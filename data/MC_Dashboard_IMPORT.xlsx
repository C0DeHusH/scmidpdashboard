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61CDEE00-524F-49AA-A376-4F40F5ED5A97}" xr6:coauthVersionLast="47" xr6:coauthVersionMax="47" xr10:uidLastSave="{00000000-0000-0000-0000-000000000000}"/>
  <bookViews>
    <workbookView xWindow="-110" yWindow="-110" windowWidth="19420" windowHeight="10300" tabRatio="775" activeTab="3" xr2:uid="{00000000-000D-0000-FFFF-FFFF00000000}"/>
  </bookViews>
  <sheets>
    <sheet name="Raw" sheetId="8" r:id="rId1"/>
    <sheet name="KPI_YTD_Input" sheetId="6" r:id="rId2"/>
    <sheet name="KPI_WEEKLY_Input" sheetId="7" r:id="rId3"/>
    <sheet name="Sheet2" sheetId="9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02" i="9" l="1"/>
  <c r="V102" i="9"/>
  <c r="S102" i="9"/>
  <c r="R102" i="9"/>
  <c r="O102" i="9"/>
  <c r="P102" i="9" s="1"/>
  <c r="I102" i="9"/>
  <c r="K102" i="9" s="1"/>
  <c r="H102" i="9"/>
  <c r="G102" i="9"/>
  <c r="F102" i="9"/>
  <c r="E102" i="9"/>
  <c r="D102" i="9"/>
  <c r="C102" i="9"/>
  <c r="B102" i="9"/>
  <c r="AB101" i="9"/>
  <c r="V101" i="9"/>
  <c r="U101" i="9" s="1"/>
  <c r="T101" i="9"/>
  <c r="S101" i="9"/>
  <c r="R101" i="9"/>
  <c r="P101" i="9"/>
  <c r="O101" i="9"/>
  <c r="AD101" i="9" s="1"/>
  <c r="I101" i="9"/>
  <c r="H101" i="9"/>
  <c r="J101" i="9" s="1"/>
  <c r="G101" i="9"/>
  <c r="K101" i="9" s="1"/>
  <c r="F101" i="9"/>
  <c r="E101" i="9"/>
  <c r="D101" i="9"/>
  <c r="C101" i="9"/>
  <c r="B101" i="9"/>
  <c r="AB100" i="9"/>
  <c r="V100" i="9"/>
  <c r="U100" i="9" s="1"/>
  <c r="Y100" i="9" s="1"/>
  <c r="S100" i="9"/>
  <c r="R100" i="9"/>
  <c r="T100" i="9" s="1"/>
  <c r="O100" i="9"/>
  <c r="I100" i="9"/>
  <c r="H100" i="9"/>
  <c r="G100" i="9"/>
  <c r="J100" i="9" s="1"/>
  <c r="N100" i="9" s="1"/>
  <c r="W100" i="9" s="1"/>
  <c r="F100" i="9"/>
  <c r="E100" i="9"/>
  <c r="D100" i="9"/>
  <c r="C100" i="9"/>
  <c r="B100" i="9"/>
  <c r="AD99" i="9"/>
  <c r="AB99" i="9"/>
  <c r="V99" i="9"/>
  <c r="U99" i="9" s="1"/>
  <c r="S99" i="9"/>
  <c r="R99" i="9"/>
  <c r="T99" i="9" s="1"/>
  <c r="O99" i="9"/>
  <c r="I99" i="9"/>
  <c r="H99" i="9"/>
  <c r="J99" i="9" s="1"/>
  <c r="N99" i="9" s="1"/>
  <c r="G99" i="9"/>
  <c r="K99" i="9" s="1"/>
  <c r="F99" i="9"/>
  <c r="P99" i="9" s="1"/>
  <c r="E99" i="9"/>
  <c r="D99" i="9"/>
  <c r="C99" i="9"/>
  <c r="B99" i="9"/>
  <c r="AD98" i="9"/>
  <c r="AB98" i="9"/>
  <c r="V98" i="9"/>
  <c r="U98" i="9"/>
  <c r="T98" i="9"/>
  <c r="S98" i="9"/>
  <c r="R98" i="9"/>
  <c r="O98" i="9"/>
  <c r="I98" i="9"/>
  <c r="H98" i="9"/>
  <c r="G98" i="9"/>
  <c r="F98" i="9"/>
  <c r="E98" i="9"/>
  <c r="D98" i="9"/>
  <c r="C98" i="9"/>
  <c r="B98" i="9"/>
  <c r="AB97" i="9"/>
  <c r="AD97" i="9" s="1"/>
  <c r="V97" i="9"/>
  <c r="T97" i="9"/>
  <c r="S97" i="9"/>
  <c r="R97" i="9"/>
  <c r="P97" i="9"/>
  <c r="O97" i="9"/>
  <c r="I97" i="9"/>
  <c r="H97" i="9"/>
  <c r="G97" i="9"/>
  <c r="F97" i="9"/>
  <c r="E97" i="9"/>
  <c r="D97" i="9"/>
  <c r="C97" i="9"/>
  <c r="B97" i="9"/>
  <c r="AB96" i="9"/>
  <c r="V96" i="9"/>
  <c r="U96" i="9" s="1"/>
  <c r="Y96" i="9" s="1"/>
  <c r="S96" i="9"/>
  <c r="T96" i="9" s="1"/>
  <c r="R96" i="9"/>
  <c r="O96" i="9"/>
  <c r="I96" i="9"/>
  <c r="H96" i="9"/>
  <c r="G96" i="9"/>
  <c r="J96" i="9" s="1"/>
  <c r="N96" i="9" s="1"/>
  <c r="F96" i="9"/>
  <c r="L96" i="9" s="1"/>
  <c r="E96" i="9"/>
  <c r="D96" i="9"/>
  <c r="C96" i="9"/>
  <c r="B96" i="9"/>
  <c r="AB95" i="9"/>
  <c r="AD95" i="9" s="1"/>
  <c r="Z95" i="9"/>
  <c r="V95" i="9"/>
  <c r="U95" i="9"/>
  <c r="T95" i="9"/>
  <c r="X95" i="9" s="1"/>
  <c r="AG95" i="9" s="1"/>
  <c r="S95" i="9"/>
  <c r="R95" i="9"/>
  <c r="O95" i="9"/>
  <c r="N95" i="9"/>
  <c r="J95" i="9"/>
  <c r="L95" i="9" s="1"/>
  <c r="I95" i="9"/>
  <c r="K95" i="9" s="1"/>
  <c r="M95" i="9" s="1"/>
  <c r="H95" i="9"/>
  <c r="G95" i="9"/>
  <c r="F95" i="9"/>
  <c r="P95" i="9" s="1"/>
  <c r="E95" i="9"/>
  <c r="D95" i="9"/>
  <c r="C95" i="9"/>
  <c r="B95" i="9"/>
  <c r="AD94" i="9"/>
  <c r="AB94" i="9"/>
  <c r="V94" i="9"/>
  <c r="U94" i="9"/>
  <c r="S94" i="9"/>
  <c r="R94" i="9"/>
  <c r="O94" i="9"/>
  <c r="P94" i="9" s="1"/>
  <c r="K94" i="9"/>
  <c r="M94" i="9" s="1"/>
  <c r="I94" i="9"/>
  <c r="H94" i="9"/>
  <c r="G94" i="9"/>
  <c r="J94" i="9" s="1"/>
  <c r="N94" i="9" s="1"/>
  <c r="Z94" i="9" s="1"/>
  <c r="AA94" i="9" s="1"/>
  <c r="F94" i="9"/>
  <c r="E94" i="9"/>
  <c r="D94" i="9"/>
  <c r="C94" i="9"/>
  <c r="B94" i="9"/>
  <c r="AB93" i="9"/>
  <c r="V93" i="9"/>
  <c r="S93" i="9"/>
  <c r="R93" i="9"/>
  <c r="P93" i="9"/>
  <c r="O93" i="9"/>
  <c r="AD93" i="9" s="1"/>
  <c r="I93" i="9"/>
  <c r="H93" i="9"/>
  <c r="G93" i="9"/>
  <c r="F93" i="9"/>
  <c r="E93" i="9"/>
  <c r="D93" i="9"/>
  <c r="C93" i="9"/>
  <c r="B93" i="9"/>
  <c r="AB92" i="9"/>
  <c r="V92" i="9"/>
  <c r="U92" i="9" s="1"/>
  <c r="S92" i="9"/>
  <c r="R92" i="9"/>
  <c r="T92" i="9" s="1"/>
  <c r="O92" i="9"/>
  <c r="K92" i="9"/>
  <c r="J92" i="9"/>
  <c r="N92" i="9" s="1"/>
  <c r="Z92" i="9" s="1"/>
  <c r="I92" i="9"/>
  <c r="H92" i="9"/>
  <c r="G92" i="9"/>
  <c r="F92" i="9"/>
  <c r="M92" i="9" s="1"/>
  <c r="E92" i="9"/>
  <c r="D92" i="9"/>
  <c r="C92" i="9"/>
  <c r="B92" i="9"/>
  <c r="AD91" i="9"/>
  <c r="AB91" i="9"/>
  <c r="V91" i="9"/>
  <c r="U91" i="9" s="1"/>
  <c r="Y91" i="9" s="1"/>
  <c r="S91" i="9"/>
  <c r="R91" i="9"/>
  <c r="T91" i="9" s="1"/>
  <c r="P91" i="9"/>
  <c r="O91" i="9"/>
  <c r="I91" i="9"/>
  <c r="J91" i="9" s="1"/>
  <c r="N91" i="9" s="1"/>
  <c r="H91" i="9"/>
  <c r="G91" i="9"/>
  <c r="F91" i="9"/>
  <c r="E91" i="9"/>
  <c r="D91" i="9"/>
  <c r="C91" i="9"/>
  <c r="B91" i="9"/>
  <c r="AD90" i="9"/>
  <c r="AB90" i="9"/>
  <c r="V90" i="9"/>
  <c r="U90" i="9"/>
  <c r="T90" i="9"/>
  <c r="S90" i="9"/>
  <c r="R90" i="9"/>
  <c r="P90" i="9"/>
  <c r="O90" i="9"/>
  <c r="I90" i="9"/>
  <c r="H90" i="9"/>
  <c r="G90" i="9"/>
  <c r="F90" i="9"/>
  <c r="E90" i="9"/>
  <c r="D90" i="9"/>
  <c r="C90" i="9"/>
  <c r="B90" i="9"/>
  <c r="AB89" i="9"/>
  <c r="V89" i="9"/>
  <c r="T89" i="9"/>
  <c r="S89" i="9"/>
  <c r="R89" i="9"/>
  <c r="P89" i="9"/>
  <c r="O89" i="9"/>
  <c r="I89" i="9"/>
  <c r="H89" i="9"/>
  <c r="G89" i="9"/>
  <c r="F89" i="9"/>
  <c r="E89" i="9"/>
  <c r="D89" i="9"/>
  <c r="C89" i="9"/>
  <c r="B89" i="9"/>
  <c r="AB88" i="9"/>
  <c r="V88" i="9"/>
  <c r="U88" i="9"/>
  <c r="Y88" i="9" s="1"/>
  <c r="S88" i="9"/>
  <c r="T88" i="9" s="1"/>
  <c r="R88" i="9"/>
  <c r="O88" i="9"/>
  <c r="K88" i="9"/>
  <c r="I88" i="9"/>
  <c r="H88" i="9"/>
  <c r="G88" i="9"/>
  <c r="J88" i="9" s="1"/>
  <c r="N88" i="9" s="1"/>
  <c r="W88" i="9" s="1"/>
  <c r="F88" i="9"/>
  <c r="L88" i="9" s="1"/>
  <c r="E88" i="9"/>
  <c r="D88" i="9"/>
  <c r="C88" i="9"/>
  <c r="B88" i="9"/>
  <c r="AD87" i="9"/>
  <c r="AB87" i="9"/>
  <c r="V87" i="9"/>
  <c r="S87" i="9"/>
  <c r="W87" i="9" s="1"/>
  <c r="R87" i="9"/>
  <c r="T87" i="9" s="1"/>
  <c r="X87" i="9" s="1"/>
  <c r="AG87" i="9" s="1"/>
  <c r="O87" i="9"/>
  <c r="N87" i="9"/>
  <c r="J87" i="9"/>
  <c r="I87" i="9"/>
  <c r="K87" i="9" s="1"/>
  <c r="H87" i="9"/>
  <c r="G87" i="9"/>
  <c r="F87" i="9"/>
  <c r="E87" i="9"/>
  <c r="D87" i="9"/>
  <c r="C87" i="9"/>
  <c r="B87" i="9"/>
  <c r="AD86" i="9"/>
  <c r="AB86" i="9"/>
  <c r="Y86" i="9"/>
  <c r="V86" i="9"/>
  <c r="U86" i="9"/>
  <c r="T86" i="9"/>
  <c r="X86" i="9" s="1"/>
  <c r="AG86" i="9" s="1"/>
  <c r="S86" i="9"/>
  <c r="R86" i="9"/>
  <c r="P86" i="9"/>
  <c r="O86" i="9"/>
  <c r="L86" i="9"/>
  <c r="K86" i="9"/>
  <c r="M86" i="9" s="1"/>
  <c r="Q86" i="9" s="1"/>
  <c r="I86" i="9"/>
  <c r="H86" i="9"/>
  <c r="J86" i="9" s="1"/>
  <c r="N86" i="9" s="1"/>
  <c r="Z86" i="9" s="1"/>
  <c r="G86" i="9"/>
  <c r="F86" i="9"/>
  <c r="E86" i="9"/>
  <c r="D86" i="9"/>
  <c r="C86" i="9"/>
  <c r="B86" i="9"/>
  <c r="AB85" i="9"/>
  <c r="V85" i="9"/>
  <c r="S85" i="9"/>
  <c r="R85" i="9"/>
  <c r="P85" i="9"/>
  <c r="O85" i="9"/>
  <c r="I85" i="9"/>
  <c r="H85" i="9"/>
  <c r="J85" i="9" s="1"/>
  <c r="N85" i="9" s="1"/>
  <c r="Z85" i="9" s="1"/>
  <c r="AA85" i="9" s="1"/>
  <c r="G85" i="9"/>
  <c r="F85" i="9"/>
  <c r="E85" i="9"/>
  <c r="D85" i="9"/>
  <c r="C85" i="9"/>
  <c r="B85" i="9"/>
  <c r="AB84" i="9"/>
  <c r="V84" i="9"/>
  <c r="U84" i="9" s="1"/>
  <c r="Y84" i="9" s="1"/>
  <c r="S84" i="9"/>
  <c r="R84" i="9"/>
  <c r="T84" i="9" s="1"/>
  <c r="O84" i="9"/>
  <c r="I84" i="9"/>
  <c r="K84" i="9" s="1"/>
  <c r="H84" i="9"/>
  <c r="G84" i="9"/>
  <c r="J84" i="9" s="1"/>
  <c r="N84" i="9" s="1"/>
  <c r="Z84" i="9" s="1"/>
  <c r="F84" i="9"/>
  <c r="E84" i="9"/>
  <c r="D84" i="9"/>
  <c r="C84" i="9"/>
  <c r="B84" i="9"/>
  <c r="AB83" i="9"/>
  <c r="V83" i="9"/>
  <c r="U83" i="9" s="1"/>
  <c r="S83" i="9"/>
  <c r="R83" i="9"/>
  <c r="T83" i="9" s="1"/>
  <c r="P83" i="9"/>
  <c r="O83" i="9"/>
  <c r="I83" i="9"/>
  <c r="H83" i="9"/>
  <c r="G83" i="9"/>
  <c r="J83" i="9" s="1"/>
  <c r="N83" i="9" s="1"/>
  <c r="F83" i="9"/>
  <c r="E83" i="9"/>
  <c r="D83" i="9"/>
  <c r="C83" i="9"/>
  <c r="B83" i="9"/>
  <c r="AD82" i="9"/>
  <c r="AB82" i="9"/>
  <c r="V82" i="9"/>
  <c r="T82" i="9"/>
  <c r="S82" i="9"/>
  <c r="R82" i="9"/>
  <c r="P82" i="9"/>
  <c r="O82" i="9"/>
  <c r="I82" i="9"/>
  <c r="H82" i="9"/>
  <c r="G82" i="9"/>
  <c r="F82" i="9"/>
  <c r="E82" i="9"/>
  <c r="D82" i="9"/>
  <c r="C82" i="9"/>
  <c r="B82" i="9"/>
  <c r="AB81" i="9"/>
  <c r="AD81" i="9" s="1"/>
  <c r="V81" i="9"/>
  <c r="T81" i="9"/>
  <c r="S81" i="9"/>
  <c r="R81" i="9"/>
  <c r="O81" i="9"/>
  <c r="I81" i="9"/>
  <c r="H81" i="9"/>
  <c r="G81" i="9"/>
  <c r="F81" i="9"/>
  <c r="E81" i="9"/>
  <c r="D81" i="9"/>
  <c r="C81" i="9"/>
  <c r="B81" i="9"/>
  <c r="AB80" i="9"/>
  <c r="V80" i="9"/>
  <c r="S80" i="9"/>
  <c r="T80" i="9" s="1"/>
  <c r="R80" i="9"/>
  <c r="O80" i="9"/>
  <c r="L80" i="9"/>
  <c r="I80" i="9"/>
  <c r="H80" i="9"/>
  <c r="G80" i="9"/>
  <c r="J80" i="9" s="1"/>
  <c r="N80" i="9" s="1"/>
  <c r="W80" i="9" s="1"/>
  <c r="F80" i="9"/>
  <c r="E80" i="9"/>
  <c r="D80" i="9"/>
  <c r="C80" i="9"/>
  <c r="B80" i="9"/>
  <c r="AD79" i="9"/>
  <c r="AB79" i="9"/>
  <c r="V79" i="9"/>
  <c r="S79" i="9"/>
  <c r="W79" i="9" s="1"/>
  <c r="R79" i="9"/>
  <c r="T79" i="9" s="1"/>
  <c r="X79" i="9" s="1"/>
  <c r="AG79" i="9" s="1"/>
  <c r="O79" i="9"/>
  <c r="N79" i="9"/>
  <c r="L79" i="9"/>
  <c r="K79" i="9"/>
  <c r="J79" i="9"/>
  <c r="I79" i="9"/>
  <c r="H79" i="9"/>
  <c r="G79" i="9"/>
  <c r="F79" i="9"/>
  <c r="E79" i="9"/>
  <c r="D79" i="9"/>
  <c r="C79" i="9"/>
  <c r="B79" i="9"/>
  <c r="AB78" i="9"/>
  <c r="AD78" i="9" s="1"/>
  <c r="V78" i="9"/>
  <c r="U78" i="9"/>
  <c r="S78" i="9"/>
  <c r="R78" i="9"/>
  <c r="T78" i="9" s="1"/>
  <c r="O78" i="9"/>
  <c r="P78" i="9" s="1"/>
  <c r="L78" i="9"/>
  <c r="K78" i="9"/>
  <c r="M78" i="9" s="1"/>
  <c r="I78" i="9"/>
  <c r="H78" i="9"/>
  <c r="G78" i="9"/>
  <c r="J78" i="9" s="1"/>
  <c r="N78" i="9" s="1"/>
  <c r="Z78" i="9" s="1"/>
  <c r="AA78" i="9" s="1"/>
  <c r="F78" i="9"/>
  <c r="E78" i="9"/>
  <c r="D78" i="9"/>
  <c r="C78" i="9"/>
  <c r="B78" i="9"/>
  <c r="AB77" i="9"/>
  <c r="AD77" i="9" s="1"/>
  <c r="V77" i="9"/>
  <c r="S77" i="9"/>
  <c r="R77" i="9"/>
  <c r="O77" i="9"/>
  <c r="N77" i="9"/>
  <c r="AE77" i="9" s="1"/>
  <c r="K77" i="9"/>
  <c r="J77" i="9"/>
  <c r="I77" i="9"/>
  <c r="H77" i="9"/>
  <c r="G77" i="9"/>
  <c r="F77" i="9"/>
  <c r="L77" i="9" s="1"/>
  <c r="E77" i="9"/>
  <c r="D77" i="9"/>
  <c r="C77" i="9"/>
  <c r="B77" i="9"/>
  <c r="AB76" i="9"/>
  <c r="V76" i="9"/>
  <c r="S76" i="9"/>
  <c r="R76" i="9"/>
  <c r="O76" i="9"/>
  <c r="I76" i="9"/>
  <c r="H76" i="9"/>
  <c r="G76" i="9"/>
  <c r="F76" i="9"/>
  <c r="E76" i="9"/>
  <c r="D76" i="9"/>
  <c r="C76" i="9"/>
  <c r="B76" i="9"/>
  <c r="AB75" i="9"/>
  <c r="V75" i="9"/>
  <c r="U75" i="9" s="1"/>
  <c r="T75" i="9"/>
  <c r="S75" i="9"/>
  <c r="R75" i="9"/>
  <c r="O75" i="9"/>
  <c r="J75" i="9"/>
  <c r="I75" i="9"/>
  <c r="H75" i="9"/>
  <c r="G75" i="9"/>
  <c r="F75" i="9"/>
  <c r="E75" i="9"/>
  <c r="D75" i="9"/>
  <c r="C75" i="9"/>
  <c r="B75" i="9"/>
  <c r="AB74" i="9"/>
  <c r="V74" i="9"/>
  <c r="U74" i="9"/>
  <c r="S74" i="9"/>
  <c r="T74" i="9" s="1"/>
  <c r="R74" i="9"/>
  <c r="O74" i="9"/>
  <c r="K74" i="9"/>
  <c r="I74" i="9"/>
  <c r="H74" i="9"/>
  <c r="G74" i="9"/>
  <c r="F74" i="9"/>
  <c r="E74" i="9"/>
  <c r="D74" i="9"/>
  <c r="C74" i="9"/>
  <c r="B74" i="9"/>
  <c r="AB73" i="9"/>
  <c r="V73" i="9"/>
  <c r="U73" i="9" s="1"/>
  <c r="S73" i="9"/>
  <c r="R73" i="9"/>
  <c r="T73" i="9" s="1"/>
  <c r="O73" i="9"/>
  <c r="I73" i="9"/>
  <c r="H73" i="9"/>
  <c r="G73" i="9"/>
  <c r="F73" i="9"/>
  <c r="E73" i="9"/>
  <c r="D73" i="9"/>
  <c r="C73" i="9"/>
  <c r="B73" i="9"/>
  <c r="AB72" i="9"/>
  <c r="AD72" i="9" s="1"/>
  <c r="V72" i="9"/>
  <c r="U72" i="9"/>
  <c r="T72" i="9"/>
  <c r="S72" i="9"/>
  <c r="R72" i="9"/>
  <c r="O72" i="9"/>
  <c r="I72" i="9"/>
  <c r="K72" i="9" s="1"/>
  <c r="H72" i="9"/>
  <c r="G72" i="9"/>
  <c r="F72" i="9"/>
  <c r="E72" i="9"/>
  <c r="D72" i="9"/>
  <c r="C72" i="9"/>
  <c r="B72" i="9"/>
  <c r="AE71" i="9"/>
  <c r="AD71" i="9"/>
  <c r="AB71" i="9"/>
  <c r="V71" i="9"/>
  <c r="Z71" i="9" s="1"/>
  <c r="AA71" i="9" s="1"/>
  <c r="S71" i="9"/>
  <c r="R71" i="9"/>
  <c r="O71" i="9"/>
  <c r="N71" i="9"/>
  <c r="L71" i="9"/>
  <c r="K71" i="9"/>
  <c r="M71" i="9" s="1"/>
  <c r="J71" i="9"/>
  <c r="I71" i="9"/>
  <c r="H71" i="9"/>
  <c r="G71" i="9"/>
  <c r="F71" i="9"/>
  <c r="P71" i="9" s="1"/>
  <c r="E71" i="9"/>
  <c r="D71" i="9"/>
  <c r="C71" i="9"/>
  <c r="B71" i="9"/>
  <c r="AB70" i="9"/>
  <c r="V70" i="9"/>
  <c r="U70" i="9"/>
  <c r="S70" i="9"/>
  <c r="R70" i="9"/>
  <c r="T70" i="9" s="1"/>
  <c r="O70" i="9"/>
  <c r="I70" i="9"/>
  <c r="H70" i="9"/>
  <c r="G70" i="9"/>
  <c r="F70" i="9"/>
  <c r="E70" i="9"/>
  <c r="D70" i="9"/>
  <c r="C70" i="9"/>
  <c r="B70" i="9"/>
  <c r="AB69" i="9"/>
  <c r="V69" i="9"/>
  <c r="S69" i="9"/>
  <c r="R69" i="9"/>
  <c r="T69" i="9" s="1"/>
  <c r="P69" i="9"/>
  <c r="O69" i="9"/>
  <c r="I69" i="9"/>
  <c r="H69" i="9"/>
  <c r="K69" i="9" s="1"/>
  <c r="G69" i="9"/>
  <c r="F69" i="9"/>
  <c r="E69" i="9"/>
  <c r="D69" i="9"/>
  <c r="C69" i="9"/>
  <c r="B69" i="9"/>
  <c r="AB68" i="9"/>
  <c r="V68" i="9"/>
  <c r="U68" i="9" s="1"/>
  <c r="S68" i="9"/>
  <c r="R68" i="9"/>
  <c r="T68" i="9" s="1"/>
  <c r="P68" i="9"/>
  <c r="O68" i="9"/>
  <c r="AD68" i="9" s="1"/>
  <c r="I68" i="9"/>
  <c r="H68" i="9"/>
  <c r="G68" i="9"/>
  <c r="F68" i="9"/>
  <c r="E68" i="9"/>
  <c r="D68" i="9"/>
  <c r="C68" i="9"/>
  <c r="B68" i="9"/>
  <c r="AD67" i="9"/>
  <c r="AB67" i="9"/>
  <c r="W67" i="9"/>
  <c r="V67" i="9"/>
  <c r="Z67" i="9" s="1"/>
  <c r="T67" i="9"/>
  <c r="S67" i="9"/>
  <c r="R67" i="9"/>
  <c r="O67" i="9"/>
  <c r="N67" i="9"/>
  <c r="J67" i="9"/>
  <c r="I67" i="9"/>
  <c r="H67" i="9"/>
  <c r="G67" i="9"/>
  <c r="F67" i="9"/>
  <c r="E67" i="9"/>
  <c r="D67" i="9"/>
  <c r="C67" i="9"/>
  <c r="B67" i="9"/>
  <c r="AB66" i="9"/>
  <c r="AD66" i="9" s="1"/>
  <c r="V66" i="9"/>
  <c r="U66" i="9" s="1"/>
  <c r="T66" i="9"/>
  <c r="S66" i="9"/>
  <c r="R66" i="9"/>
  <c r="P66" i="9"/>
  <c r="O66" i="9"/>
  <c r="K66" i="9"/>
  <c r="I66" i="9"/>
  <c r="H66" i="9"/>
  <c r="G66" i="9"/>
  <c r="F66" i="9"/>
  <c r="E66" i="9"/>
  <c r="D66" i="9"/>
  <c r="C66" i="9"/>
  <c r="B66" i="9"/>
  <c r="AB65" i="9"/>
  <c r="V65" i="9"/>
  <c r="S65" i="9"/>
  <c r="T65" i="9" s="1"/>
  <c r="R65" i="9"/>
  <c r="O65" i="9"/>
  <c r="I65" i="9"/>
  <c r="H65" i="9"/>
  <c r="G65" i="9"/>
  <c r="F65" i="9"/>
  <c r="E65" i="9"/>
  <c r="D65" i="9"/>
  <c r="C65" i="9"/>
  <c r="B65" i="9"/>
  <c r="AB64" i="9"/>
  <c r="W64" i="9"/>
  <c r="V64" i="9"/>
  <c r="U64" i="9"/>
  <c r="Y64" i="9" s="1"/>
  <c r="T64" i="9"/>
  <c r="X64" i="9" s="1"/>
  <c r="AG64" i="9" s="1"/>
  <c r="S64" i="9"/>
  <c r="R64" i="9"/>
  <c r="O64" i="9"/>
  <c r="N64" i="9"/>
  <c r="K64" i="9"/>
  <c r="M64" i="9" s="1"/>
  <c r="I64" i="9"/>
  <c r="H64" i="9"/>
  <c r="G64" i="9"/>
  <c r="J64" i="9" s="1"/>
  <c r="F64" i="9"/>
  <c r="L64" i="9" s="1"/>
  <c r="E64" i="9"/>
  <c r="D64" i="9"/>
  <c r="C64" i="9"/>
  <c r="B64" i="9"/>
  <c r="AB63" i="9"/>
  <c r="AD63" i="9" s="1"/>
  <c r="V63" i="9"/>
  <c r="U63" i="9" s="1"/>
  <c r="Y63" i="9" s="1"/>
  <c r="T63" i="9"/>
  <c r="S63" i="9"/>
  <c r="R63" i="9"/>
  <c r="O63" i="9"/>
  <c r="L63" i="9"/>
  <c r="K63" i="9"/>
  <c r="M63" i="9" s="1"/>
  <c r="J63" i="9"/>
  <c r="N63" i="9" s="1"/>
  <c r="I63" i="9"/>
  <c r="H63" i="9"/>
  <c r="G63" i="9"/>
  <c r="F63" i="9"/>
  <c r="P63" i="9" s="1"/>
  <c r="E63" i="9"/>
  <c r="D63" i="9"/>
  <c r="C63" i="9"/>
  <c r="B63" i="9"/>
  <c r="AD62" i="9"/>
  <c r="AB62" i="9"/>
  <c r="V62" i="9"/>
  <c r="U62" i="9"/>
  <c r="Y62" i="9" s="1"/>
  <c r="T62" i="9"/>
  <c r="X62" i="9" s="1"/>
  <c r="AG62" i="9" s="1"/>
  <c r="S62" i="9"/>
  <c r="R62" i="9"/>
  <c r="P62" i="9"/>
  <c r="O62" i="9"/>
  <c r="L62" i="9"/>
  <c r="K62" i="9"/>
  <c r="M62" i="9" s="1"/>
  <c r="Q62" i="9" s="1"/>
  <c r="J62" i="9"/>
  <c r="N62" i="9" s="1"/>
  <c r="Z62" i="9" s="1"/>
  <c r="AA62" i="9" s="1"/>
  <c r="I62" i="9"/>
  <c r="H62" i="9"/>
  <c r="G62" i="9"/>
  <c r="F62" i="9"/>
  <c r="E62" i="9"/>
  <c r="D62" i="9"/>
  <c r="C62" i="9"/>
  <c r="B62" i="9"/>
  <c r="AB61" i="9"/>
  <c r="Y61" i="9"/>
  <c r="X61" i="9"/>
  <c r="AG61" i="9" s="1"/>
  <c r="V61" i="9"/>
  <c r="U61" i="9" s="1"/>
  <c r="T61" i="9"/>
  <c r="S61" i="9"/>
  <c r="R61" i="9"/>
  <c r="P61" i="9"/>
  <c r="O61" i="9"/>
  <c r="AD61" i="9" s="1"/>
  <c r="L61" i="9"/>
  <c r="K61" i="9"/>
  <c r="J61" i="9"/>
  <c r="N61" i="9" s="1"/>
  <c r="Z61" i="9" s="1"/>
  <c r="I61" i="9"/>
  <c r="H61" i="9"/>
  <c r="G61" i="9"/>
  <c r="F61" i="9"/>
  <c r="E61" i="9"/>
  <c r="D61" i="9"/>
  <c r="C61" i="9"/>
  <c r="B61" i="9"/>
  <c r="AB60" i="9"/>
  <c r="V60" i="9"/>
  <c r="U60" i="9" s="1"/>
  <c r="S60" i="9"/>
  <c r="R60" i="9"/>
  <c r="T60" i="9" s="1"/>
  <c r="O60" i="9"/>
  <c r="AD60" i="9" s="1"/>
  <c r="I60" i="9"/>
  <c r="H60" i="9"/>
  <c r="G60" i="9"/>
  <c r="F60" i="9"/>
  <c r="E60" i="9"/>
  <c r="D60" i="9"/>
  <c r="C60" i="9"/>
  <c r="B60" i="9"/>
  <c r="AD59" i="9"/>
  <c r="AB59" i="9"/>
  <c r="V59" i="9"/>
  <c r="U59" i="9"/>
  <c r="S59" i="9"/>
  <c r="R59" i="9"/>
  <c r="T59" i="9" s="1"/>
  <c r="O59" i="9"/>
  <c r="J59" i="9"/>
  <c r="N59" i="9" s="1"/>
  <c r="I59" i="9"/>
  <c r="H59" i="9"/>
  <c r="G59" i="9"/>
  <c r="F59" i="9"/>
  <c r="E59" i="9"/>
  <c r="D59" i="9"/>
  <c r="C59" i="9"/>
  <c r="B59" i="9"/>
  <c r="AB58" i="9"/>
  <c r="V58" i="9"/>
  <c r="U58" i="9" s="1"/>
  <c r="T58" i="9"/>
  <c r="S58" i="9"/>
  <c r="R58" i="9"/>
  <c r="O58" i="9"/>
  <c r="I58" i="9"/>
  <c r="H58" i="9"/>
  <c r="G58" i="9"/>
  <c r="F58" i="9"/>
  <c r="E58" i="9"/>
  <c r="D58" i="9"/>
  <c r="C58" i="9"/>
  <c r="B58" i="9"/>
  <c r="AD57" i="9"/>
  <c r="AB57" i="9"/>
  <c r="V57" i="9"/>
  <c r="S57" i="9"/>
  <c r="R57" i="9"/>
  <c r="O57" i="9"/>
  <c r="P57" i="9" s="1"/>
  <c r="I57" i="9"/>
  <c r="K57" i="9" s="1"/>
  <c r="H57" i="9"/>
  <c r="G57" i="9"/>
  <c r="F57" i="9"/>
  <c r="M57" i="9" s="1"/>
  <c r="E57" i="9"/>
  <c r="D57" i="9"/>
  <c r="C57" i="9"/>
  <c r="B57" i="9"/>
  <c r="AB56" i="9"/>
  <c r="V56" i="9"/>
  <c r="U56" i="9" s="1"/>
  <c r="T56" i="9"/>
  <c r="S56" i="9"/>
  <c r="R56" i="9"/>
  <c r="P56" i="9"/>
  <c r="O56" i="9"/>
  <c r="I56" i="9"/>
  <c r="H56" i="9"/>
  <c r="G56" i="9"/>
  <c r="F56" i="9"/>
  <c r="E56" i="9"/>
  <c r="D56" i="9"/>
  <c r="C56" i="9"/>
  <c r="B56" i="9"/>
  <c r="AD55" i="9"/>
  <c r="AB55" i="9"/>
  <c r="V55" i="9"/>
  <c r="U55" i="9"/>
  <c r="Y55" i="9" s="1"/>
  <c r="T55" i="9"/>
  <c r="X55" i="9" s="1"/>
  <c r="AG55" i="9" s="1"/>
  <c r="S55" i="9"/>
  <c r="W55" i="9" s="1"/>
  <c r="R55" i="9"/>
  <c r="O55" i="9"/>
  <c r="P55" i="9" s="1"/>
  <c r="L55" i="9"/>
  <c r="K55" i="9"/>
  <c r="M55" i="9" s="1"/>
  <c r="J55" i="9"/>
  <c r="N55" i="9" s="1"/>
  <c r="I55" i="9"/>
  <c r="H55" i="9"/>
  <c r="G55" i="9"/>
  <c r="F55" i="9"/>
  <c r="E55" i="9"/>
  <c r="D55" i="9"/>
  <c r="C55" i="9"/>
  <c r="B55" i="9"/>
  <c r="AB54" i="9"/>
  <c r="AD54" i="9" s="1"/>
  <c r="V54" i="9"/>
  <c r="S54" i="9"/>
  <c r="R54" i="9"/>
  <c r="T54" i="9" s="1"/>
  <c r="O54" i="9"/>
  <c r="I54" i="9"/>
  <c r="H54" i="9"/>
  <c r="K54" i="9" s="1"/>
  <c r="G54" i="9"/>
  <c r="F54" i="9"/>
  <c r="P54" i="9" s="1"/>
  <c r="E54" i="9"/>
  <c r="D54" i="9"/>
  <c r="C54" i="9"/>
  <c r="B54" i="9"/>
  <c r="AB53" i="9"/>
  <c r="V53" i="9"/>
  <c r="U53" i="9"/>
  <c r="S53" i="9"/>
  <c r="R53" i="9"/>
  <c r="T53" i="9" s="1"/>
  <c r="P53" i="9"/>
  <c r="O53" i="9"/>
  <c r="AD53" i="9" s="1"/>
  <c r="I53" i="9"/>
  <c r="H53" i="9"/>
  <c r="G53" i="9"/>
  <c r="F53" i="9"/>
  <c r="E53" i="9"/>
  <c r="D53" i="9"/>
  <c r="C53" i="9"/>
  <c r="B53" i="9"/>
  <c r="AB52" i="9"/>
  <c r="V52" i="9"/>
  <c r="T52" i="9"/>
  <c r="S52" i="9"/>
  <c r="R52" i="9"/>
  <c r="O52" i="9"/>
  <c r="I52" i="9"/>
  <c r="H52" i="9"/>
  <c r="G52" i="9"/>
  <c r="F52" i="9"/>
  <c r="E52" i="9"/>
  <c r="D52" i="9"/>
  <c r="C52" i="9"/>
  <c r="B52" i="9"/>
  <c r="AB51" i="9"/>
  <c r="V51" i="9"/>
  <c r="S51" i="9"/>
  <c r="R51" i="9"/>
  <c r="O51" i="9"/>
  <c r="AD51" i="9" s="1"/>
  <c r="I51" i="9"/>
  <c r="H51" i="9"/>
  <c r="K51" i="9" s="1"/>
  <c r="M51" i="9" s="1"/>
  <c r="G51" i="9"/>
  <c r="F51" i="9"/>
  <c r="E51" i="9"/>
  <c r="D51" i="9"/>
  <c r="C51" i="9"/>
  <c r="B51" i="9"/>
  <c r="AB50" i="9"/>
  <c r="V50" i="9"/>
  <c r="U50" i="9"/>
  <c r="T50" i="9"/>
  <c r="S50" i="9"/>
  <c r="R50" i="9"/>
  <c r="O50" i="9"/>
  <c r="M50" i="9"/>
  <c r="J50" i="9"/>
  <c r="I50" i="9"/>
  <c r="H50" i="9"/>
  <c r="G50" i="9"/>
  <c r="K50" i="9" s="1"/>
  <c r="F50" i="9"/>
  <c r="E50" i="9"/>
  <c r="D50" i="9"/>
  <c r="C50" i="9"/>
  <c r="B50" i="9"/>
  <c r="AD49" i="9"/>
  <c r="AB49" i="9"/>
  <c r="V49" i="9"/>
  <c r="T49" i="9"/>
  <c r="X49" i="9" s="1"/>
  <c r="AG49" i="9" s="1"/>
  <c r="S49" i="9"/>
  <c r="R49" i="9"/>
  <c r="O49" i="9"/>
  <c r="N49" i="9"/>
  <c r="M49" i="9"/>
  <c r="L49" i="9"/>
  <c r="K49" i="9"/>
  <c r="I49" i="9"/>
  <c r="H49" i="9"/>
  <c r="G49" i="9"/>
  <c r="J49" i="9" s="1"/>
  <c r="F49" i="9"/>
  <c r="E49" i="9"/>
  <c r="D49" i="9"/>
  <c r="C49" i="9"/>
  <c r="B49" i="9"/>
  <c r="AB48" i="9"/>
  <c r="AD48" i="9" s="1"/>
  <c r="Z48" i="9"/>
  <c r="V48" i="9"/>
  <c r="U48" i="9" s="1"/>
  <c r="T48" i="9"/>
  <c r="X48" i="9" s="1"/>
  <c r="AG48" i="9" s="1"/>
  <c r="S48" i="9"/>
  <c r="R48" i="9"/>
  <c r="O48" i="9"/>
  <c r="M48" i="9"/>
  <c r="K48" i="9"/>
  <c r="I48" i="9"/>
  <c r="H48" i="9"/>
  <c r="J48" i="9" s="1"/>
  <c r="N48" i="9" s="1"/>
  <c r="AE48" i="9" s="1"/>
  <c r="G48" i="9"/>
  <c r="F48" i="9"/>
  <c r="P48" i="9" s="1"/>
  <c r="Q48" i="9" s="1"/>
  <c r="E48" i="9"/>
  <c r="D48" i="9"/>
  <c r="C48" i="9"/>
  <c r="B48" i="9"/>
  <c r="AB47" i="9"/>
  <c r="AD47" i="9" s="1"/>
  <c r="V47" i="9"/>
  <c r="S47" i="9"/>
  <c r="R47" i="9"/>
  <c r="O47" i="9"/>
  <c r="P47" i="9" s="1"/>
  <c r="I47" i="9"/>
  <c r="H47" i="9"/>
  <c r="G47" i="9"/>
  <c r="F47" i="9"/>
  <c r="E47" i="9"/>
  <c r="D47" i="9"/>
  <c r="C47" i="9"/>
  <c r="B47" i="9"/>
  <c r="AB46" i="9"/>
  <c r="AD46" i="9" s="1"/>
  <c r="V46" i="9"/>
  <c r="U46" i="9" s="1"/>
  <c r="T46" i="9"/>
  <c r="S46" i="9"/>
  <c r="R46" i="9"/>
  <c r="P46" i="9"/>
  <c r="O46" i="9"/>
  <c r="K46" i="9"/>
  <c r="I46" i="9"/>
  <c r="J46" i="9" s="1"/>
  <c r="H46" i="9"/>
  <c r="G46" i="9"/>
  <c r="F46" i="9"/>
  <c r="E46" i="9"/>
  <c r="D46" i="9"/>
  <c r="C46" i="9"/>
  <c r="B46" i="9"/>
  <c r="AD45" i="9"/>
  <c r="AB45" i="9"/>
  <c r="V45" i="9"/>
  <c r="U45" i="9"/>
  <c r="S45" i="9"/>
  <c r="R45" i="9"/>
  <c r="T45" i="9" s="1"/>
  <c r="P45" i="9"/>
  <c r="O45" i="9"/>
  <c r="J45" i="9"/>
  <c r="I45" i="9"/>
  <c r="H45" i="9"/>
  <c r="G45" i="9"/>
  <c r="K45" i="9" s="1"/>
  <c r="M45" i="9" s="1"/>
  <c r="F45" i="9"/>
  <c r="E45" i="9"/>
  <c r="D45" i="9"/>
  <c r="C45" i="9"/>
  <c r="B45" i="9"/>
  <c r="AB44" i="9"/>
  <c r="V44" i="9"/>
  <c r="U44" i="9" s="1"/>
  <c r="S44" i="9"/>
  <c r="R44" i="9"/>
  <c r="T44" i="9" s="1"/>
  <c r="P44" i="9"/>
  <c r="O44" i="9"/>
  <c r="I44" i="9"/>
  <c r="H44" i="9"/>
  <c r="G44" i="9"/>
  <c r="F44" i="9"/>
  <c r="E44" i="9"/>
  <c r="D44" i="9"/>
  <c r="C44" i="9"/>
  <c r="B44" i="9"/>
  <c r="AB43" i="9"/>
  <c r="V43" i="9"/>
  <c r="S43" i="9"/>
  <c r="R43" i="9"/>
  <c r="O43" i="9"/>
  <c r="M43" i="9"/>
  <c r="K43" i="9"/>
  <c r="J43" i="9"/>
  <c r="N43" i="9" s="1"/>
  <c r="I43" i="9"/>
  <c r="H43" i="9"/>
  <c r="G43" i="9"/>
  <c r="F43" i="9"/>
  <c r="E43" i="9"/>
  <c r="D43" i="9"/>
  <c r="C43" i="9"/>
  <c r="B43" i="9"/>
  <c r="AD42" i="9"/>
  <c r="AB42" i="9"/>
  <c r="V42" i="9"/>
  <c r="U42" i="9"/>
  <c r="T42" i="9"/>
  <c r="S42" i="9"/>
  <c r="R42" i="9"/>
  <c r="P42" i="9"/>
  <c r="O42" i="9"/>
  <c r="I42" i="9"/>
  <c r="H42" i="9"/>
  <c r="G42" i="9"/>
  <c r="F42" i="9"/>
  <c r="E42" i="9"/>
  <c r="D42" i="9"/>
  <c r="C42" i="9"/>
  <c r="B42" i="9"/>
  <c r="AB41" i="9"/>
  <c r="V41" i="9"/>
  <c r="U41" i="9"/>
  <c r="T41" i="9"/>
  <c r="S41" i="9"/>
  <c r="R41" i="9"/>
  <c r="O41" i="9"/>
  <c r="I41" i="9"/>
  <c r="H41" i="9"/>
  <c r="G41" i="9"/>
  <c r="F41" i="9"/>
  <c r="E41" i="9"/>
  <c r="D41" i="9"/>
  <c r="C41" i="9"/>
  <c r="B41" i="9"/>
  <c r="AD40" i="9"/>
  <c r="AB40" i="9"/>
  <c r="V40" i="9"/>
  <c r="T40" i="9"/>
  <c r="X40" i="9" s="1"/>
  <c r="AG40" i="9" s="1"/>
  <c r="S40" i="9"/>
  <c r="R40" i="9"/>
  <c r="O40" i="9"/>
  <c r="P40" i="9" s="1"/>
  <c r="I40" i="9"/>
  <c r="J40" i="9" s="1"/>
  <c r="N40" i="9" s="1"/>
  <c r="H40" i="9"/>
  <c r="G40" i="9"/>
  <c r="F40" i="9"/>
  <c r="E40" i="9"/>
  <c r="D40" i="9"/>
  <c r="C40" i="9"/>
  <c r="B40" i="9"/>
  <c r="AB39" i="9"/>
  <c r="Z39" i="9"/>
  <c r="V39" i="9"/>
  <c r="T39" i="9"/>
  <c r="S39" i="9"/>
  <c r="R39" i="9"/>
  <c r="P39" i="9"/>
  <c r="Q39" i="9" s="1"/>
  <c r="O39" i="9"/>
  <c r="AD39" i="9" s="1"/>
  <c r="L39" i="9"/>
  <c r="J39" i="9"/>
  <c r="N39" i="9" s="1"/>
  <c r="X39" i="9" s="1"/>
  <c r="AG39" i="9" s="1"/>
  <c r="I39" i="9"/>
  <c r="H39" i="9"/>
  <c r="K39" i="9" s="1"/>
  <c r="M39" i="9" s="1"/>
  <c r="G39" i="9"/>
  <c r="F39" i="9"/>
  <c r="E39" i="9"/>
  <c r="D39" i="9"/>
  <c r="C39" i="9"/>
  <c r="B39" i="9"/>
  <c r="AB38" i="9"/>
  <c r="V38" i="9"/>
  <c r="S38" i="9"/>
  <c r="W38" i="9" s="1"/>
  <c r="R38" i="9"/>
  <c r="O38" i="9"/>
  <c r="AA38" i="9" s="1"/>
  <c r="I38" i="9"/>
  <c r="H38" i="9"/>
  <c r="G38" i="9"/>
  <c r="J38" i="9" s="1"/>
  <c r="N38" i="9" s="1"/>
  <c r="Z38" i="9" s="1"/>
  <c r="F38" i="9"/>
  <c r="E38" i="9"/>
  <c r="D38" i="9"/>
  <c r="C38" i="9"/>
  <c r="B38" i="9"/>
  <c r="AB37" i="9"/>
  <c r="V37" i="9"/>
  <c r="U37" i="9" s="1"/>
  <c r="S37" i="9"/>
  <c r="R37" i="9"/>
  <c r="T37" i="9" s="1"/>
  <c r="O37" i="9"/>
  <c r="AD37" i="9" s="1"/>
  <c r="J37" i="9"/>
  <c r="N37" i="9" s="1"/>
  <c r="Z37" i="9" s="1"/>
  <c r="I37" i="9"/>
  <c r="H37" i="9"/>
  <c r="G37" i="9"/>
  <c r="F37" i="9"/>
  <c r="P37" i="9" s="1"/>
  <c r="E37" i="9"/>
  <c r="D37" i="9"/>
  <c r="C37" i="9"/>
  <c r="B37" i="9"/>
  <c r="AD36" i="9"/>
  <c r="AB36" i="9"/>
  <c r="V36" i="9"/>
  <c r="U36" i="9"/>
  <c r="T36" i="9"/>
  <c r="S36" i="9"/>
  <c r="R36" i="9"/>
  <c r="O36" i="9"/>
  <c r="I36" i="9"/>
  <c r="H36" i="9"/>
  <c r="G36" i="9"/>
  <c r="F36" i="9"/>
  <c r="E36" i="9"/>
  <c r="D36" i="9"/>
  <c r="C36" i="9"/>
  <c r="B36" i="9"/>
  <c r="AB35" i="9"/>
  <c r="V35" i="9"/>
  <c r="T35" i="9"/>
  <c r="S35" i="9"/>
  <c r="R35" i="9"/>
  <c r="P35" i="9"/>
  <c r="O35" i="9"/>
  <c r="I35" i="9"/>
  <c r="H35" i="9"/>
  <c r="G35" i="9"/>
  <c r="F35" i="9"/>
  <c r="E35" i="9"/>
  <c r="D35" i="9"/>
  <c r="C35" i="9"/>
  <c r="B35" i="9"/>
  <c r="AB34" i="9"/>
  <c r="V34" i="9"/>
  <c r="U34" i="9"/>
  <c r="S34" i="9"/>
  <c r="T34" i="9" s="1"/>
  <c r="R34" i="9"/>
  <c r="O34" i="9"/>
  <c r="P34" i="9" s="1"/>
  <c r="I34" i="9"/>
  <c r="H34" i="9"/>
  <c r="G34" i="9"/>
  <c r="F34" i="9"/>
  <c r="E34" i="9"/>
  <c r="D34" i="9"/>
  <c r="C34" i="9"/>
  <c r="B34" i="9"/>
  <c r="AB33" i="9"/>
  <c r="AD33" i="9" s="1"/>
  <c r="Z33" i="9"/>
  <c r="V33" i="9"/>
  <c r="U33" i="9" s="1"/>
  <c r="T33" i="9"/>
  <c r="S33" i="9"/>
  <c r="R33" i="9"/>
  <c r="O33" i="9"/>
  <c r="N33" i="9"/>
  <c r="AE33" i="9" s="1"/>
  <c r="K33" i="9"/>
  <c r="J33" i="9"/>
  <c r="L33" i="9" s="1"/>
  <c r="I33" i="9"/>
  <c r="H33" i="9"/>
  <c r="G33" i="9"/>
  <c r="F33" i="9"/>
  <c r="M33" i="9" s="1"/>
  <c r="E33" i="9"/>
  <c r="D33" i="9"/>
  <c r="C33" i="9"/>
  <c r="B33" i="9"/>
  <c r="AD32" i="9"/>
  <c r="AB32" i="9"/>
  <c r="V32" i="9"/>
  <c r="S32" i="9"/>
  <c r="R32" i="9"/>
  <c r="O32" i="9"/>
  <c r="P32" i="9" s="1"/>
  <c r="I32" i="9"/>
  <c r="J32" i="9" s="1"/>
  <c r="H32" i="9"/>
  <c r="G32" i="9"/>
  <c r="F32" i="9"/>
  <c r="E32" i="9"/>
  <c r="D32" i="9"/>
  <c r="C32" i="9"/>
  <c r="B32" i="9"/>
  <c r="AB31" i="9"/>
  <c r="Z31" i="9"/>
  <c r="V31" i="9"/>
  <c r="S31" i="9"/>
  <c r="R31" i="9"/>
  <c r="T31" i="9" s="1"/>
  <c r="X31" i="9" s="1"/>
  <c r="AG31" i="9" s="1"/>
  <c r="P31" i="9"/>
  <c r="O31" i="9"/>
  <c r="AD31" i="9" s="1"/>
  <c r="J31" i="9"/>
  <c r="N31" i="9" s="1"/>
  <c r="I31" i="9"/>
  <c r="H31" i="9"/>
  <c r="G31" i="9"/>
  <c r="F31" i="9"/>
  <c r="E31" i="9"/>
  <c r="D31" i="9"/>
  <c r="C31" i="9"/>
  <c r="B31" i="9"/>
  <c r="AB30" i="9"/>
  <c r="V30" i="9"/>
  <c r="U30" i="9" s="1"/>
  <c r="S30" i="9"/>
  <c r="R30" i="9"/>
  <c r="O30" i="9"/>
  <c r="I30" i="9"/>
  <c r="H30" i="9"/>
  <c r="K30" i="9" s="1"/>
  <c r="G30" i="9"/>
  <c r="F30" i="9"/>
  <c r="E30" i="9"/>
  <c r="D30" i="9"/>
  <c r="C30" i="9"/>
  <c r="B30" i="9"/>
  <c r="AB29" i="9"/>
  <c r="V29" i="9"/>
  <c r="U29" i="9" s="1"/>
  <c r="S29" i="9"/>
  <c r="R29" i="9"/>
  <c r="T29" i="9" s="1"/>
  <c r="O29" i="9"/>
  <c r="I29" i="9"/>
  <c r="H29" i="9"/>
  <c r="G29" i="9"/>
  <c r="K29" i="9" s="1"/>
  <c r="F29" i="9"/>
  <c r="P29" i="9" s="1"/>
  <c r="E29" i="9"/>
  <c r="D29" i="9"/>
  <c r="C29" i="9"/>
  <c r="B29" i="9"/>
  <c r="AD28" i="9"/>
  <c r="AB28" i="9"/>
  <c r="V28" i="9"/>
  <c r="U28" i="9" s="1"/>
  <c r="T28" i="9"/>
  <c r="S28" i="9"/>
  <c r="R28" i="9"/>
  <c r="O28" i="9"/>
  <c r="I28" i="9"/>
  <c r="H28" i="9"/>
  <c r="G28" i="9"/>
  <c r="F28" i="9"/>
  <c r="E28" i="9"/>
  <c r="D28" i="9"/>
  <c r="C28" i="9"/>
  <c r="B28" i="9"/>
  <c r="AD27" i="9"/>
  <c r="AB27" i="9"/>
  <c r="V27" i="9"/>
  <c r="U27" i="9" s="1"/>
  <c r="T27" i="9"/>
  <c r="S27" i="9"/>
  <c r="R27" i="9"/>
  <c r="O27" i="9"/>
  <c r="I27" i="9"/>
  <c r="H27" i="9"/>
  <c r="G27" i="9"/>
  <c r="F27" i="9"/>
  <c r="P27" i="9" s="1"/>
  <c r="E27" i="9"/>
  <c r="D27" i="9"/>
  <c r="C27" i="9"/>
  <c r="B27" i="9"/>
  <c r="AD26" i="9"/>
  <c r="AB26" i="9"/>
  <c r="V26" i="9"/>
  <c r="U26" i="9" s="1"/>
  <c r="T26" i="9"/>
  <c r="S26" i="9"/>
  <c r="R26" i="9"/>
  <c r="O26" i="9"/>
  <c r="I26" i="9"/>
  <c r="H26" i="9"/>
  <c r="G26" i="9"/>
  <c r="F26" i="9"/>
  <c r="E26" i="9"/>
  <c r="D26" i="9"/>
  <c r="C26" i="9"/>
  <c r="B26" i="9"/>
  <c r="AB25" i="9"/>
  <c r="AD25" i="9" s="1"/>
  <c r="V25" i="9"/>
  <c r="Z25" i="9" s="1"/>
  <c r="AA25" i="9" s="1"/>
  <c r="S25" i="9"/>
  <c r="W25" i="9" s="1"/>
  <c r="R25" i="9"/>
  <c r="T25" i="9" s="1"/>
  <c r="X25" i="9" s="1"/>
  <c r="AG25" i="9" s="1"/>
  <c r="O25" i="9"/>
  <c r="P25" i="9" s="1"/>
  <c r="N25" i="9"/>
  <c r="K25" i="9"/>
  <c r="J25" i="9"/>
  <c r="I25" i="9"/>
  <c r="H25" i="9"/>
  <c r="G25" i="9"/>
  <c r="F25" i="9"/>
  <c r="M25" i="9" s="1"/>
  <c r="E25" i="9"/>
  <c r="D25" i="9"/>
  <c r="C25" i="9"/>
  <c r="B25" i="9"/>
  <c r="AD24" i="9"/>
  <c r="AB24" i="9"/>
  <c r="V24" i="9"/>
  <c r="S24" i="9"/>
  <c r="R24" i="9"/>
  <c r="T24" i="9" s="1"/>
  <c r="O24" i="9"/>
  <c r="P24" i="9" s="1"/>
  <c r="I24" i="9"/>
  <c r="K24" i="9" s="1"/>
  <c r="M24" i="9" s="1"/>
  <c r="Q24" i="9" s="1"/>
  <c r="H24" i="9"/>
  <c r="G24" i="9"/>
  <c r="F24" i="9"/>
  <c r="E24" i="9"/>
  <c r="D24" i="9"/>
  <c r="C24" i="9"/>
  <c r="B24" i="9"/>
  <c r="AB23" i="9"/>
  <c r="V23" i="9"/>
  <c r="S23" i="9"/>
  <c r="R23" i="9"/>
  <c r="T23" i="9" s="1"/>
  <c r="P23" i="9"/>
  <c r="O23" i="9"/>
  <c r="AD23" i="9" s="1"/>
  <c r="I23" i="9"/>
  <c r="H23" i="9"/>
  <c r="K23" i="9" s="1"/>
  <c r="M23" i="9" s="1"/>
  <c r="Q23" i="9" s="1"/>
  <c r="G23" i="9"/>
  <c r="F23" i="9"/>
  <c r="E23" i="9"/>
  <c r="D23" i="9"/>
  <c r="C23" i="9"/>
  <c r="B23" i="9"/>
  <c r="AB22" i="9"/>
  <c r="V22" i="9"/>
  <c r="S22" i="9"/>
  <c r="R22" i="9"/>
  <c r="O22" i="9"/>
  <c r="AD22" i="9" s="1"/>
  <c r="I22" i="9"/>
  <c r="K22" i="9" s="1"/>
  <c r="H22" i="9"/>
  <c r="G22" i="9"/>
  <c r="F22" i="9"/>
  <c r="E22" i="9"/>
  <c r="D22" i="9"/>
  <c r="C22" i="9"/>
  <c r="B22" i="9"/>
  <c r="AD21" i="9"/>
  <c r="AB21" i="9"/>
  <c r="V21" i="9"/>
  <c r="U21" i="9" s="1"/>
  <c r="S21" i="9"/>
  <c r="R21" i="9"/>
  <c r="T21" i="9" s="1"/>
  <c r="O21" i="9"/>
  <c r="I21" i="9"/>
  <c r="J21" i="9" s="1"/>
  <c r="N21" i="9" s="1"/>
  <c r="H21" i="9"/>
  <c r="G21" i="9"/>
  <c r="F21" i="9"/>
  <c r="E21" i="9"/>
  <c r="D21" i="9"/>
  <c r="C21" i="9"/>
  <c r="B21" i="9"/>
  <c r="AD20" i="9"/>
  <c r="AB20" i="9"/>
  <c r="V20" i="9"/>
  <c r="U20" i="9" s="1"/>
  <c r="S20" i="9"/>
  <c r="R20" i="9"/>
  <c r="T20" i="9" s="1"/>
  <c r="O20" i="9"/>
  <c r="I20" i="9"/>
  <c r="H20" i="9"/>
  <c r="G20" i="9"/>
  <c r="F20" i="9"/>
  <c r="E20" i="9"/>
  <c r="D20" i="9"/>
  <c r="C20" i="9"/>
  <c r="B20" i="9"/>
  <c r="AB19" i="9"/>
  <c r="V19" i="9"/>
  <c r="U19" i="9" s="1"/>
  <c r="T19" i="9"/>
  <c r="S19" i="9"/>
  <c r="R19" i="9"/>
  <c r="O19" i="9"/>
  <c r="I19" i="9"/>
  <c r="H19" i="9"/>
  <c r="G19" i="9"/>
  <c r="F19" i="9"/>
  <c r="E19" i="9"/>
  <c r="D19" i="9"/>
  <c r="C19" i="9"/>
  <c r="B19" i="9"/>
  <c r="AD18" i="9"/>
  <c r="AB18" i="9"/>
  <c r="V18" i="9"/>
  <c r="T18" i="9"/>
  <c r="S18" i="9"/>
  <c r="R18" i="9"/>
  <c r="O18" i="9"/>
  <c r="N18" i="9"/>
  <c r="X18" i="9" s="1"/>
  <c r="AG18" i="9" s="1"/>
  <c r="I18" i="9"/>
  <c r="H18" i="9"/>
  <c r="K18" i="9" s="1"/>
  <c r="G18" i="9"/>
  <c r="J18" i="9" s="1"/>
  <c r="F18" i="9"/>
  <c r="E18" i="9"/>
  <c r="D18" i="9"/>
  <c r="C18" i="9"/>
  <c r="B18" i="9"/>
  <c r="AD17" i="9"/>
  <c r="AB17" i="9"/>
  <c r="V17" i="9"/>
  <c r="U17" i="9"/>
  <c r="T17" i="9"/>
  <c r="S17" i="9"/>
  <c r="R17" i="9"/>
  <c r="O17" i="9"/>
  <c r="I17" i="9"/>
  <c r="H17" i="9"/>
  <c r="G17" i="9"/>
  <c r="K17" i="9" s="1"/>
  <c r="M17" i="9" s="1"/>
  <c r="F17" i="9"/>
  <c r="E17" i="9"/>
  <c r="D17" i="9"/>
  <c r="C17" i="9"/>
  <c r="B17" i="9"/>
  <c r="AB16" i="9"/>
  <c r="AD16" i="9" s="1"/>
  <c r="V16" i="9"/>
  <c r="T16" i="9"/>
  <c r="S16" i="9"/>
  <c r="R16" i="9"/>
  <c r="O16" i="9"/>
  <c r="P16" i="9" s="1"/>
  <c r="I16" i="9"/>
  <c r="K16" i="9" s="1"/>
  <c r="H16" i="9"/>
  <c r="G16" i="9"/>
  <c r="F16" i="9"/>
  <c r="M16" i="9" s="1"/>
  <c r="E16" i="9"/>
  <c r="D16" i="9"/>
  <c r="C16" i="9"/>
  <c r="B16" i="9"/>
  <c r="AD15" i="9"/>
  <c r="AB15" i="9"/>
  <c r="V15" i="9"/>
  <c r="S15" i="9"/>
  <c r="R15" i="9"/>
  <c r="P15" i="9"/>
  <c r="O15" i="9"/>
  <c r="K15" i="9"/>
  <c r="M15" i="9" s="1"/>
  <c r="I15" i="9"/>
  <c r="H15" i="9"/>
  <c r="J15" i="9" s="1"/>
  <c r="G15" i="9"/>
  <c r="F15" i="9"/>
  <c r="E15" i="9"/>
  <c r="D15" i="9"/>
  <c r="C15" i="9"/>
  <c r="B15" i="9"/>
  <c r="AB14" i="9"/>
  <c r="V14" i="9"/>
  <c r="U14" i="9" s="1"/>
  <c r="S14" i="9"/>
  <c r="R14" i="9"/>
  <c r="T14" i="9" s="1"/>
  <c r="O14" i="9"/>
  <c r="P14" i="9" s="1"/>
  <c r="J14" i="9"/>
  <c r="I14" i="9"/>
  <c r="H14" i="9"/>
  <c r="G14" i="9"/>
  <c r="K14" i="9" s="1"/>
  <c r="F14" i="9"/>
  <c r="M14" i="9" s="1"/>
  <c r="E14" i="9"/>
  <c r="D14" i="9"/>
  <c r="C14" i="9"/>
  <c r="B14" i="9"/>
  <c r="AB13" i="9"/>
  <c r="V13" i="9"/>
  <c r="U13" i="9" s="1"/>
  <c r="S13" i="9"/>
  <c r="R13" i="9"/>
  <c r="T13" i="9" s="1"/>
  <c r="O13" i="9"/>
  <c r="P13" i="9" s="1"/>
  <c r="I13" i="9"/>
  <c r="H13" i="9"/>
  <c r="G13" i="9"/>
  <c r="F13" i="9"/>
  <c r="E13" i="9"/>
  <c r="D13" i="9"/>
  <c r="C13" i="9"/>
  <c r="B13" i="9"/>
  <c r="AD12" i="9"/>
  <c r="AB12" i="9"/>
  <c r="V12" i="9"/>
  <c r="U12" i="9" s="1"/>
  <c r="S12" i="9"/>
  <c r="R12" i="9"/>
  <c r="T12" i="9" s="1"/>
  <c r="P12" i="9"/>
  <c r="O12" i="9"/>
  <c r="I12" i="9"/>
  <c r="H12" i="9"/>
  <c r="G12" i="9"/>
  <c r="F12" i="9"/>
  <c r="E12" i="9"/>
  <c r="D12" i="9"/>
  <c r="C12" i="9"/>
  <c r="B12" i="9"/>
  <c r="AB11" i="9"/>
  <c r="V11" i="9"/>
  <c r="U11" i="9"/>
  <c r="T11" i="9"/>
  <c r="S11" i="9"/>
  <c r="R11" i="9"/>
  <c r="O11" i="9"/>
  <c r="I11" i="9"/>
  <c r="H11" i="9"/>
  <c r="G11" i="9"/>
  <c r="F11" i="9"/>
  <c r="E11" i="9"/>
  <c r="D11" i="9"/>
  <c r="C11" i="9"/>
  <c r="B11" i="9"/>
  <c r="AB10" i="9"/>
  <c r="AD10" i="9" s="1"/>
  <c r="V10" i="9"/>
  <c r="T10" i="9"/>
  <c r="S10" i="9"/>
  <c r="R10" i="9"/>
  <c r="O10" i="9"/>
  <c r="N10" i="9"/>
  <c r="AE10" i="9" s="1"/>
  <c r="K10" i="9"/>
  <c r="I10" i="9"/>
  <c r="H10" i="9"/>
  <c r="G10" i="9"/>
  <c r="J10" i="9" s="1"/>
  <c r="F10" i="9"/>
  <c r="E10" i="9"/>
  <c r="D10" i="9"/>
  <c r="C10" i="9"/>
  <c r="B10" i="9"/>
  <c r="AD9" i="9"/>
  <c r="AB9" i="9"/>
  <c r="V9" i="9"/>
  <c r="U9" i="9"/>
  <c r="T9" i="9"/>
  <c r="S9" i="9"/>
  <c r="R9" i="9"/>
  <c r="O9" i="9"/>
  <c r="M9" i="9"/>
  <c r="I9" i="9"/>
  <c r="H9" i="9"/>
  <c r="G9" i="9"/>
  <c r="K9" i="9" s="1"/>
  <c r="F9" i="9"/>
  <c r="E9" i="9"/>
  <c r="D9" i="9"/>
  <c r="C9" i="9"/>
  <c r="B9" i="9"/>
  <c r="AB8" i="9"/>
  <c r="AD8" i="9" s="1"/>
  <c r="V8" i="9"/>
  <c r="T8" i="9"/>
  <c r="X8" i="9" s="1"/>
  <c r="AG8" i="9" s="1"/>
  <c r="S8" i="9"/>
  <c r="W8" i="9" s="1"/>
  <c r="R8" i="9"/>
  <c r="O8" i="9"/>
  <c r="P8" i="9" s="1"/>
  <c r="L8" i="9"/>
  <c r="K8" i="9"/>
  <c r="I8" i="9"/>
  <c r="J8" i="9" s="1"/>
  <c r="N8" i="9" s="1"/>
  <c r="H8" i="9"/>
  <c r="G8" i="9"/>
  <c r="F8" i="9"/>
  <c r="M8" i="9" s="1"/>
  <c r="E8" i="9"/>
  <c r="D8" i="9"/>
  <c r="C8" i="9"/>
  <c r="B8" i="9"/>
  <c r="AD7" i="9"/>
  <c r="AB7" i="9"/>
  <c r="V7" i="9"/>
  <c r="S7" i="9"/>
  <c r="R7" i="9"/>
  <c r="T7" i="9" s="1"/>
  <c r="P7" i="9"/>
  <c r="Q7" i="9" s="1"/>
  <c r="O7" i="9"/>
  <c r="K7" i="9"/>
  <c r="M7" i="9" s="1"/>
  <c r="J7" i="9"/>
  <c r="N7" i="9" s="1"/>
  <c r="Z7" i="9" s="1"/>
  <c r="AA7" i="9" s="1"/>
  <c r="I7" i="9"/>
  <c r="H7" i="9"/>
  <c r="G7" i="9"/>
  <c r="F7" i="9"/>
  <c r="E7" i="9"/>
  <c r="D7" i="9"/>
  <c r="C7" i="9"/>
  <c r="B7" i="9"/>
  <c r="AB6" i="9"/>
  <c r="V6" i="9"/>
  <c r="U6" i="9"/>
  <c r="S6" i="9"/>
  <c r="R6" i="9"/>
  <c r="T6" i="9" s="1"/>
  <c r="Q6" i="9"/>
  <c r="O6" i="9"/>
  <c r="P6" i="9" s="1"/>
  <c r="J6" i="9"/>
  <c r="I6" i="9"/>
  <c r="H6" i="9"/>
  <c r="G6" i="9"/>
  <c r="K6" i="9" s="1"/>
  <c r="M6" i="9" s="1"/>
  <c r="F6" i="9"/>
  <c r="E6" i="9"/>
  <c r="D6" i="9"/>
  <c r="C6" i="9"/>
  <c r="B6" i="9"/>
  <c r="AB5" i="9"/>
  <c r="V5" i="9"/>
  <c r="U5" i="9" s="1"/>
  <c r="S5" i="9"/>
  <c r="T5" i="9" s="1"/>
  <c r="R5" i="9"/>
  <c r="P5" i="9"/>
  <c r="O5" i="9"/>
  <c r="AD5" i="9" s="1"/>
  <c r="I5" i="9"/>
  <c r="H5" i="9"/>
  <c r="G5" i="9"/>
  <c r="F5" i="9"/>
  <c r="E5" i="9"/>
  <c r="D5" i="9"/>
  <c r="C5" i="9"/>
  <c r="B5" i="9"/>
  <c r="AB4" i="9"/>
  <c r="V4" i="9"/>
  <c r="U4" i="9" s="1"/>
  <c r="S4" i="9"/>
  <c r="R4" i="9"/>
  <c r="T4" i="9" s="1"/>
  <c r="O4" i="9"/>
  <c r="I4" i="9"/>
  <c r="H4" i="9"/>
  <c r="G4" i="9"/>
  <c r="F4" i="9"/>
  <c r="E4" i="9"/>
  <c r="D4" i="9"/>
  <c r="C4" i="9"/>
  <c r="B4" i="9"/>
  <c r="AB3" i="9"/>
  <c r="V3" i="9"/>
  <c r="T3" i="9"/>
  <c r="S3" i="9"/>
  <c r="R3" i="9"/>
  <c r="O3" i="9"/>
  <c r="I3" i="9"/>
  <c r="H3" i="9"/>
  <c r="G3" i="9"/>
  <c r="F3" i="9"/>
  <c r="E3" i="9"/>
  <c r="D3" i="9"/>
  <c r="C3" i="9"/>
  <c r="B3" i="9"/>
  <c r="AE21" i="9" l="1"/>
  <c r="X21" i="9"/>
  <c r="AG21" i="9" s="1"/>
  <c r="W21" i="9"/>
  <c r="AD3" i="9"/>
  <c r="P3" i="9"/>
  <c r="K5" i="9"/>
  <c r="Z8" i="9"/>
  <c r="AA8" i="9" s="1"/>
  <c r="Q14" i="9"/>
  <c r="Q15" i="9"/>
  <c r="Q16" i="9"/>
  <c r="AD19" i="9"/>
  <c r="P19" i="9"/>
  <c r="AD4" i="9"/>
  <c r="AA4" i="9"/>
  <c r="AF7" i="9"/>
  <c r="M10" i="9"/>
  <c r="L10" i="9"/>
  <c r="P10" i="9"/>
  <c r="Q10" i="9" s="1"/>
  <c r="W10" i="9"/>
  <c r="X14" i="9"/>
  <c r="AG14" i="9" s="1"/>
  <c r="T15" i="9"/>
  <c r="Q25" i="9"/>
  <c r="Q27" i="9"/>
  <c r="Q29" i="9"/>
  <c r="P4" i="9"/>
  <c r="AF8" i="9"/>
  <c r="AE8" i="9"/>
  <c r="X10" i="9"/>
  <c r="AG10" i="9" s="1"/>
  <c r="X13" i="9"/>
  <c r="AG13" i="9" s="1"/>
  <c r="U15" i="9"/>
  <c r="W18" i="9"/>
  <c r="K27" i="9"/>
  <c r="J27" i="9"/>
  <c r="N27" i="9" s="1"/>
  <c r="X27" i="9" s="1"/>
  <c r="AG27" i="9" s="1"/>
  <c r="L3" i="9"/>
  <c r="X3" i="9"/>
  <c r="AG3" i="9" s="1"/>
  <c r="L7" i="9"/>
  <c r="X7" i="9"/>
  <c r="AG7" i="9" s="1"/>
  <c r="U10" i="9"/>
  <c r="Y10" i="9" s="1"/>
  <c r="Z10" i="9"/>
  <c r="AA10" i="9" s="1"/>
  <c r="K11" i="9"/>
  <c r="M11" i="9" s="1"/>
  <c r="J11" i="9"/>
  <c r="Y12" i="9"/>
  <c r="M18" i="9"/>
  <c r="L18" i="9"/>
  <c r="P18" i="9"/>
  <c r="X19" i="9"/>
  <c r="AG19" i="9" s="1"/>
  <c r="Y21" i="9"/>
  <c r="J26" i="9"/>
  <c r="N26" i="9" s="1"/>
  <c r="W26" i="9" s="1"/>
  <c r="K26" i="9"/>
  <c r="M26" i="9" s="1"/>
  <c r="AE28" i="9"/>
  <c r="AD30" i="9"/>
  <c r="P30" i="9"/>
  <c r="T32" i="9"/>
  <c r="U32" i="9"/>
  <c r="K3" i="9"/>
  <c r="M3" i="9" s="1"/>
  <c r="J3" i="9"/>
  <c r="N3" i="9" s="1"/>
  <c r="W3" i="9" s="1"/>
  <c r="U3" i="9"/>
  <c r="Z3" i="9"/>
  <c r="AA3" i="9" s="1"/>
  <c r="W7" i="9"/>
  <c r="U7" i="9"/>
  <c r="Y7" i="9" s="1"/>
  <c r="Q8" i="9"/>
  <c r="K12" i="9"/>
  <c r="M12" i="9" s="1"/>
  <c r="Q12" i="9" s="1"/>
  <c r="M13" i="9"/>
  <c r="Q13" i="9" s="1"/>
  <c r="N15" i="9"/>
  <c r="Z15" i="9" s="1"/>
  <c r="AA15" i="9" s="1"/>
  <c r="L15" i="9"/>
  <c r="U18" i="9"/>
  <c r="Y18" i="9" s="1"/>
  <c r="Z18" i="9"/>
  <c r="AA18" i="9" s="1"/>
  <c r="AE26" i="9"/>
  <c r="K36" i="9"/>
  <c r="M36" i="9" s="1"/>
  <c r="J36" i="9"/>
  <c r="N36" i="9" s="1"/>
  <c r="N6" i="9"/>
  <c r="L6" i="9"/>
  <c r="K13" i="9"/>
  <c r="K19" i="9"/>
  <c r="M19" i="9" s="1"/>
  <c r="J19" i="9"/>
  <c r="N19" i="9" s="1"/>
  <c r="W19" i="9" s="1"/>
  <c r="J20" i="9"/>
  <c r="J22" i="9"/>
  <c r="N22" i="9" s="1"/>
  <c r="W22" i="9" s="1"/>
  <c r="AF25" i="9"/>
  <c r="AE25" i="9"/>
  <c r="K4" i="9"/>
  <c r="M4" i="9" s="1"/>
  <c r="J4" i="9"/>
  <c r="N4" i="9" s="1"/>
  <c r="AD11" i="9"/>
  <c r="P11" i="9"/>
  <c r="AF12" i="9"/>
  <c r="J34" i="9"/>
  <c r="N34" i="9" s="1"/>
  <c r="W34" i="9" s="1"/>
  <c r="K34" i="9"/>
  <c r="M34" i="9" s="1"/>
  <c r="M5" i="9"/>
  <c r="Q5" i="9" s="1"/>
  <c r="N14" i="9"/>
  <c r="L14" i="9"/>
  <c r="AE18" i="9"/>
  <c r="W37" i="9"/>
  <c r="AA37" i="9" s="1"/>
  <c r="X37" i="9"/>
  <c r="AG37" i="9" s="1"/>
  <c r="Y45" i="9"/>
  <c r="K42" i="9"/>
  <c r="M42" i="9" s="1"/>
  <c r="Q42" i="9" s="1"/>
  <c r="J42" i="9"/>
  <c r="N50" i="9"/>
  <c r="W50" i="9" s="1"/>
  <c r="L50" i="9"/>
  <c r="U57" i="9"/>
  <c r="T57" i="9"/>
  <c r="U65" i="9"/>
  <c r="J5" i="9"/>
  <c r="N5" i="9" s="1"/>
  <c r="AE5" i="9" s="1"/>
  <c r="Z5" i="9"/>
  <c r="AF5" i="9" s="1"/>
  <c r="U8" i="9"/>
  <c r="Y8" i="9" s="1"/>
  <c r="J13" i="9"/>
  <c r="N13" i="9" s="1"/>
  <c r="Y13" i="9" s="1"/>
  <c r="Z13" i="9"/>
  <c r="AA13" i="9" s="1"/>
  <c r="U16" i="9"/>
  <c r="U22" i="9"/>
  <c r="J29" i="9"/>
  <c r="N29" i="9" s="1"/>
  <c r="AF33" i="9"/>
  <c r="U38" i="9"/>
  <c r="Y38" i="9" s="1"/>
  <c r="AF39" i="9"/>
  <c r="AE39" i="9"/>
  <c r="Z40" i="9"/>
  <c r="U40" i="9"/>
  <c r="Y40" i="9" s="1"/>
  <c r="Y48" i="9"/>
  <c r="J54" i="9"/>
  <c r="N54" i="9" s="1"/>
  <c r="AE54" i="9" s="1"/>
  <c r="K60" i="9"/>
  <c r="M60" i="9" s="1"/>
  <c r="J60" i="9"/>
  <c r="N60" i="9" s="1"/>
  <c r="Z4" i="9"/>
  <c r="J12" i="9"/>
  <c r="N12" i="9" s="1"/>
  <c r="Z12" i="9"/>
  <c r="L21" i="9"/>
  <c r="P21" i="9"/>
  <c r="U23" i="9"/>
  <c r="Z28" i="9"/>
  <c r="AF28" i="9" s="1"/>
  <c r="N32" i="9"/>
  <c r="Z32" i="9" s="1"/>
  <c r="AA32" i="9" s="1"/>
  <c r="L32" i="9"/>
  <c r="AF37" i="9"/>
  <c r="AE37" i="9"/>
  <c r="P43" i="9"/>
  <c r="Q43" i="9" s="1"/>
  <c r="AD43" i="9"/>
  <c r="K52" i="9"/>
  <c r="J52" i="9"/>
  <c r="L5" i="9"/>
  <c r="AD6" i="9"/>
  <c r="AE7" i="9"/>
  <c r="P9" i="9"/>
  <c r="Q9" i="9" s="1"/>
  <c r="L13" i="9"/>
  <c r="AD14" i="9"/>
  <c r="P17" i="9"/>
  <c r="Q17" i="9" s="1"/>
  <c r="K21" i="9"/>
  <c r="Z21" i="9"/>
  <c r="AF21" i="9" s="1"/>
  <c r="J23" i="9"/>
  <c r="J24" i="9"/>
  <c r="L27" i="9"/>
  <c r="AD29" i="9"/>
  <c r="M30" i="9"/>
  <c r="T30" i="9"/>
  <c r="K31" i="9"/>
  <c r="M31" i="9" s="1"/>
  <c r="Q31" i="9" s="1"/>
  <c r="W31" i="9"/>
  <c r="AA31" i="9" s="1"/>
  <c r="K32" i="9"/>
  <c r="M32" i="9" s="1"/>
  <c r="Q32" i="9" s="1"/>
  <c r="P33" i="9"/>
  <c r="Q33" i="9" s="1"/>
  <c r="M35" i="9"/>
  <c r="Q35" i="9" s="1"/>
  <c r="K40" i="9"/>
  <c r="M40" i="9" s="1"/>
  <c r="Q40" i="9" s="1"/>
  <c r="L43" i="9"/>
  <c r="N45" i="9"/>
  <c r="L45" i="9"/>
  <c r="AF48" i="9"/>
  <c r="W59" i="9"/>
  <c r="Z59" i="9"/>
  <c r="AE59" i="9"/>
  <c r="AE46" i="9"/>
  <c r="U51" i="9"/>
  <c r="M58" i="9"/>
  <c r="L4" i="9"/>
  <c r="L12" i="9"/>
  <c r="AD13" i="9"/>
  <c r="U24" i="9"/>
  <c r="U25" i="9"/>
  <c r="Y25" i="9" s="1"/>
  <c r="Z26" i="9"/>
  <c r="AA26" i="9" s="1"/>
  <c r="M27" i="9"/>
  <c r="Z27" i="9"/>
  <c r="AA28" i="9"/>
  <c r="P28" i="9"/>
  <c r="J30" i="9"/>
  <c r="N30" i="9" s="1"/>
  <c r="K35" i="9"/>
  <c r="P36" i="9"/>
  <c r="Q36" i="9" s="1"/>
  <c r="L37" i="9"/>
  <c r="K38" i="9"/>
  <c r="M38" i="9" s="1"/>
  <c r="W39" i="9"/>
  <c r="AE40" i="9"/>
  <c r="W43" i="9"/>
  <c r="K53" i="9"/>
  <c r="M53" i="9" s="1"/>
  <c r="Q53" i="9" s="1"/>
  <c r="J53" i="9"/>
  <c r="X54" i="9"/>
  <c r="AG54" i="9" s="1"/>
  <c r="AD58" i="9"/>
  <c r="P58" i="9"/>
  <c r="Z87" i="9"/>
  <c r="AA87" i="9" s="1"/>
  <c r="U87" i="9"/>
  <c r="Y87" i="9" s="1"/>
  <c r="J9" i="9"/>
  <c r="J17" i="9"/>
  <c r="L19" i="9"/>
  <c r="M22" i="9"/>
  <c r="P22" i="9"/>
  <c r="L25" i="9"/>
  <c r="M29" i="9"/>
  <c r="W33" i="9"/>
  <c r="AA33" i="9" s="1"/>
  <c r="Q34" i="9"/>
  <c r="AD34" i="9"/>
  <c r="K37" i="9"/>
  <c r="M37" i="9" s="1"/>
  <c r="Q37" i="9" s="1"/>
  <c r="AD38" i="9"/>
  <c r="P38" i="9"/>
  <c r="Z43" i="9"/>
  <c r="AA43" i="9" s="1"/>
  <c r="U43" i="9"/>
  <c r="Y43" i="9" s="1"/>
  <c r="X46" i="9"/>
  <c r="AG46" i="9" s="1"/>
  <c r="Z49" i="9"/>
  <c r="AA49" i="9" s="1"/>
  <c r="U49" i="9"/>
  <c r="Y49" i="9" s="1"/>
  <c r="M54" i="9"/>
  <c r="Q54" i="9" s="1"/>
  <c r="L54" i="9"/>
  <c r="AE61" i="9"/>
  <c r="J16" i="9"/>
  <c r="K20" i="9"/>
  <c r="M20" i="9" s="1"/>
  <c r="P20" i="9"/>
  <c r="L28" i="9"/>
  <c r="L31" i="9"/>
  <c r="AE32" i="9"/>
  <c r="X33" i="9"/>
  <c r="AG33" i="9" s="1"/>
  <c r="U35" i="9"/>
  <c r="AE36" i="9"/>
  <c r="Y37" i="9"/>
  <c r="Q45" i="9"/>
  <c r="AE45" i="9"/>
  <c r="Y46" i="9"/>
  <c r="U47" i="9"/>
  <c r="T47" i="9"/>
  <c r="Y50" i="9"/>
  <c r="U54" i="9"/>
  <c r="Y54" i="9" s="1"/>
  <c r="Z19" i="9"/>
  <c r="AA19" i="9" s="1"/>
  <c r="M21" i="9"/>
  <c r="T22" i="9"/>
  <c r="X22" i="9" s="1"/>
  <c r="AG22" i="9" s="1"/>
  <c r="P26" i="9"/>
  <c r="AF27" i="9"/>
  <c r="K28" i="9"/>
  <c r="M28" i="9" s="1"/>
  <c r="J28" i="9"/>
  <c r="N28" i="9" s="1"/>
  <c r="AF31" i="9"/>
  <c r="AE31" i="9"/>
  <c r="Y33" i="9"/>
  <c r="L36" i="9"/>
  <c r="T38" i="9"/>
  <c r="X38" i="9" s="1"/>
  <c r="AG38" i="9" s="1"/>
  <c r="L40" i="9"/>
  <c r="W40" i="9"/>
  <c r="AD41" i="9"/>
  <c r="P41" i="9"/>
  <c r="K44" i="9"/>
  <c r="M44" i="9" s="1"/>
  <c r="Q44" i="9" s="1"/>
  <c r="J44" i="9"/>
  <c r="N44" i="9" s="1"/>
  <c r="N46" i="9"/>
  <c r="Z46" i="9" s="1"/>
  <c r="AA46" i="9" s="1"/>
  <c r="L46" i="9"/>
  <c r="K47" i="9"/>
  <c r="M47" i="9" s="1"/>
  <c r="Q47" i="9" s="1"/>
  <c r="J47" i="9"/>
  <c r="AF49" i="9"/>
  <c r="AE49" i="9"/>
  <c r="Z50" i="9"/>
  <c r="L67" i="9"/>
  <c r="N75" i="9"/>
  <c r="L75" i="9"/>
  <c r="AD35" i="9"/>
  <c r="Z41" i="9"/>
  <c r="AD44" i="9"/>
  <c r="L48" i="9"/>
  <c r="W49" i="9"/>
  <c r="X50" i="9"/>
  <c r="AG50" i="9" s="1"/>
  <c r="AD56" i="9"/>
  <c r="AF59" i="9"/>
  <c r="X68" i="9"/>
  <c r="AG68" i="9" s="1"/>
  <c r="M87" i="9"/>
  <c r="L87" i="9"/>
  <c r="AA39" i="9"/>
  <c r="J41" i="9"/>
  <c r="N41" i="9" s="1"/>
  <c r="W46" i="9"/>
  <c r="U52" i="9"/>
  <c r="W54" i="9"/>
  <c r="AE60" i="9"/>
  <c r="L68" i="9"/>
  <c r="M68" i="9"/>
  <c r="Q68" i="9" s="1"/>
  <c r="W71" i="9"/>
  <c r="T71" i="9"/>
  <c r="X71" i="9" s="1"/>
  <c r="AG71" i="9" s="1"/>
  <c r="AD73" i="9"/>
  <c r="P73" i="9"/>
  <c r="W76" i="9"/>
  <c r="U76" i="9"/>
  <c r="Y76" i="9" s="1"/>
  <c r="M77" i="9"/>
  <c r="P77" i="9"/>
  <c r="Z55" i="9"/>
  <c r="L56" i="9"/>
  <c r="X59" i="9"/>
  <c r="AG59" i="9" s="1"/>
  <c r="P60" i="9"/>
  <c r="X63" i="9"/>
  <c r="AG63" i="9" s="1"/>
  <c r="U71" i="9"/>
  <c r="Y71" i="9" s="1"/>
  <c r="L81" i="9"/>
  <c r="U82" i="9"/>
  <c r="X83" i="9"/>
  <c r="AG83" i="9" s="1"/>
  <c r="W83" i="9"/>
  <c r="Z83" i="9"/>
  <c r="AA83" i="9" s="1"/>
  <c r="U31" i="9"/>
  <c r="Y31" i="9" s="1"/>
  <c r="L38" i="9"/>
  <c r="U39" i="9"/>
  <c r="Y39" i="9" s="1"/>
  <c r="AD52" i="9"/>
  <c r="K56" i="9"/>
  <c r="M56" i="9" s="1"/>
  <c r="Q56" i="9" s="1"/>
  <c r="J56" i="9"/>
  <c r="N56" i="9" s="1"/>
  <c r="Z58" i="9"/>
  <c r="AA58" i="9" s="1"/>
  <c r="J35" i="9"/>
  <c r="K41" i="9"/>
  <c r="M41" i="9" s="1"/>
  <c r="P49" i="9"/>
  <c r="Q49" i="9" s="1"/>
  <c r="AA50" i="9"/>
  <c r="P50" i="9"/>
  <c r="Q50" i="9" s="1"/>
  <c r="P51" i="9"/>
  <c r="Q51" i="9" s="1"/>
  <c r="P52" i="9"/>
  <c r="AF55" i="9"/>
  <c r="Y56" i="9"/>
  <c r="Q57" i="9"/>
  <c r="Y59" i="9"/>
  <c r="Z63" i="9"/>
  <c r="AA63" i="9" s="1"/>
  <c r="AF67" i="9"/>
  <c r="AE67" i="9"/>
  <c r="K76" i="9"/>
  <c r="M76" i="9" s="1"/>
  <c r="J76" i="9"/>
  <c r="N76" i="9" s="1"/>
  <c r="Z76" i="9" s="1"/>
  <c r="AA76" i="9" s="1"/>
  <c r="Z80" i="9"/>
  <c r="AA80" i="9" s="1"/>
  <c r="U80" i="9"/>
  <c r="Y80" i="9" s="1"/>
  <c r="W85" i="9"/>
  <c r="T85" i="9"/>
  <c r="X85" i="9" s="1"/>
  <c r="AG85" i="9" s="1"/>
  <c r="T43" i="9"/>
  <c r="X43" i="9" s="1"/>
  <c r="AG43" i="9" s="1"/>
  <c r="L44" i="9"/>
  <c r="M46" i="9"/>
  <c r="Q46" i="9" s="1"/>
  <c r="W48" i="9"/>
  <c r="AA48" i="9" s="1"/>
  <c r="AD50" i="9"/>
  <c r="J51" i="9"/>
  <c r="N51" i="9" s="1"/>
  <c r="Z51" i="9" s="1"/>
  <c r="T51" i="9"/>
  <c r="M52" i="9"/>
  <c r="Q55" i="9"/>
  <c r="AE55" i="9"/>
  <c r="L60" i="9"/>
  <c r="W60" i="9"/>
  <c r="AF63" i="9"/>
  <c r="AE63" i="9"/>
  <c r="AA67" i="9"/>
  <c r="P67" i="9"/>
  <c r="Z79" i="9"/>
  <c r="AA79" i="9" s="1"/>
  <c r="U79" i="9"/>
  <c r="Y79" i="9" s="1"/>
  <c r="AA55" i="9"/>
  <c r="K59" i="9"/>
  <c r="M59" i="9" s="1"/>
  <c r="W62" i="9"/>
  <c r="AF62" i="9"/>
  <c r="AE62" i="9"/>
  <c r="W63" i="9"/>
  <c r="Y75" i="9"/>
  <c r="T76" i="9"/>
  <c r="X76" i="9" s="1"/>
  <c r="AG76" i="9" s="1"/>
  <c r="Y78" i="9"/>
  <c r="P87" i="9"/>
  <c r="Q87" i="9" s="1"/>
  <c r="P88" i="9"/>
  <c r="AA88" i="9"/>
  <c r="AA91" i="9"/>
  <c r="K93" i="9"/>
  <c r="M93" i="9" s="1"/>
  <c r="Q93" i="9" s="1"/>
  <c r="J93" i="9"/>
  <c r="Z64" i="9"/>
  <c r="AA64" i="9" s="1"/>
  <c r="K70" i="9"/>
  <c r="M70" i="9" s="1"/>
  <c r="J70" i="9"/>
  <c r="AF78" i="9"/>
  <c r="AE78" i="9"/>
  <c r="X80" i="9"/>
  <c r="AG80" i="9" s="1"/>
  <c r="Y83" i="9"/>
  <c r="AF94" i="9"/>
  <c r="AE94" i="9"/>
  <c r="L97" i="9"/>
  <c r="X97" i="9"/>
  <c r="AG97" i="9" s="1"/>
  <c r="N101" i="9"/>
  <c r="X101" i="9" s="1"/>
  <c r="AG101" i="9" s="1"/>
  <c r="L101" i="9"/>
  <c r="L94" i="9"/>
  <c r="K58" i="9"/>
  <c r="M61" i="9"/>
  <c r="Q61" i="9" s="1"/>
  <c r="AD65" i="9"/>
  <c r="K68" i="9"/>
  <c r="J68" i="9"/>
  <c r="N68" i="9" s="1"/>
  <c r="X81" i="9"/>
  <c r="AG81" i="9" s="1"/>
  <c r="Q82" i="9"/>
  <c r="W84" i="9"/>
  <c r="Z88" i="9"/>
  <c r="K89" i="9"/>
  <c r="M89" i="9" s="1"/>
  <c r="Q89" i="9" s="1"/>
  <c r="J89" i="9"/>
  <c r="X92" i="9"/>
  <c r="AG92" i="9" s="1"/>
  <c r="Q94" i="9"/>
  <c r="Z98" i="9"/>
  <c r="AF98" i="9" s="1"/>
  <c r="Q63" i="9"/>
  <c r="P64" i="9"/>
  <c r="Q64" i="9" s="1"/>
  <c r="P65" i="9"/>
  <c r="M66" i="9"/>
  <c r="Q66" i="9" s="1"/>
  <c r="K73" i="9"/>
  <c r="M73" i="9" s="1"/>
  <c r="J73" i="9"/>
  <c r="N73" i="9" s="1"/>
  <c r="X73" i="9" s="1"/>
  <c r="AG73" i="9" s="1"/>
  <c r="AD74" i="9"/>
  <c r="W77" i="9"/>
  <c r="T77" i="9"/>
  <c r="X77" i="9" s="1"/>
  <c r="AG77" i="9" s="1"/>
  <c r="Q78" i="9"/>
  <c r="AF79" i="9"/>
  <c r="AE79" i="9"/>
  <c r="U81" i="9"/>
  <c r="Y81" i="9" s="1"/>
  <c r="AF87" i="9"/>
  <c r="Z91" i="9"/>
  <c r="W92" i="9"/>
  <c r="AF95" i="9"/>
  <c r="AE95" i="9"/>
  <c r="W99" i="9"/>
  <c r="AE99" i="9"/>
  <c r="X99" i="9"/>
  <c r="AG99" i="9" s="1"/>
  <c r="K100" i="9"/>
  <c r="AA59" i="9"/>
  <c r="AD64" i="9"/>
  <c r="K65" i="9"/>
  <c r="M65" i="9" s="1"/>
  <c r="J65" i="9"/>
  <c r="J66" i="9"/>
  <c r="X67" i="9"/>
  <c r="AG67" i="9" s="1"/>
  <c r="J69" i="9"/>
  <c r="Q71" i="9"/>
  <c r="M72" i="9"/>
  <c r="P74" i="9"/>
  <c r="Q74" i="9" s="1"/>
  <c r="K75" i="9"/>
  <c r="P76" i="9"/>
  <c r="Q76" i="9" s="1"/>
  <c r="AD76" i="9"/>
  <c r="U77" i="9"/>
  <c r="Y77" i="9" s="1"/>
  <c r="Z77" i="9"/>
  <c r="AA77" i="9" s="1"/>
  <c r="X78" i="9"/>
  <c r="AG78" i="9" s="1"/>
  <c r="K82" i="9"/>
  <c r="M82" i="9" s="1"/>
  <c r="J82" i="9"/>
  <c r="N82" i="9" s="1"/>
  <c r="Z82" i="9" s="1"/>
  <c r="K85" i="9"/>
  <c r="AE87" i="9"/>
  <c r="AD88" i="9"/>
  <c r="T93" i="9"/>
  <c r="M96" i="9"/>
  <c r="J57" i="9"/>
  <c r="J58" i="9"/>
  <c r="N58" i="9" s="1"/>
  <c r="W58" i="9" s="1"/>
  <c r="L59" i="9"/>
  <c r="P59" i="9"/>
  <c r="Q59" i="9" s="1"/>
  <c r="W61" i="9"/>
  <c r="AF61" i="9" s="1"/>
  <c r="U67" i="9"/>
  <c r="Y67" i="9" s="1"/>
  <c r="U69" i="9"/>
  <c r="P70" i="9"/>
  <c r="Q70" i="9" s="1"/>
  <c r="AD70" i="9"/>
  <c r="AF71" i="9"/>
  <c r="J72" i="9"/>
  <c r="M74" i="9"/>
  <c r="X75" i="9"/>
  <c r="AG75" i="9" s="1"/>
  <c r="M79" i="9"/>
  <c r="L85" i="9"/>
  <c r="W91" i="9"/>
  <c r="X91" i="9"/>
  <c r="AG91" i="9" s="1"/>
  <c r="AE91" i="9"/>
  <c r="Y92" i="9"/>
  <c r="Y94" i="9"/>
  <c r="X96" i="9"/>
  <c r="AG96" i="9" s="1"/>
  <c r="Z97" i="9"/>
  <c r="AF97" i="9" s="1"/>
  <c r="U97" i="9"/>
  <c r="AE98" i="9"/>
  <c r="Y99" i="9"/>
  <c r="AD100" i="9"/>
  <c r="P100" i="9"/>
  <c r="K67" i="9"/>
  <c r="M67" i="9" s="1"/>
  <c r="J74" i="9"/>
  <c r="N74" i="9" s="1"/>
  <c r="Y74" i="9" s="1"/>
  <c r="AD85" i="9"/>
  <c r="AD89" i="9"/>
  <c r="L91" i="9"/>
  <c r="AF91" i="9"/>
  <c r="U93" i="9"/>
  <c r="Q95" i="9"/>
  <c r="Y101" i="9"/>
  <c r="T102" i="9"/>
  <c r="M69" i="9"/>
  <c r="Q69" i="9" s="1"/>
  <c r="AD69" i="9"/>
  <c r="AD75" i="9"/>
  <c r="P80" i="9"/>
  <c r="P81" i="9"/>
  <c r="M85" i="9"/>
  <c r="Q85" i="9" s="1"/>
  <c r="AF86" i="9"/>
  <c r="AE86" i="9"/>
  <c r="M88" i="9"/>
  <c r="K90" i="9"/>
  <c r="M90" i="9" s="1"/>
  <c r="Q90" i="9" s="1"/>
  <c r="J90" i="9"/>
  <c r="N90" i="9" s="1"/>
  <c r="Y90" i="9" s="1"/>
  <c r="AE90" i="9"/>
  <c r="K91" i="9"/>
  <c r="M91" i="9" s="1"/>
  <c r="Q91" i="9" s="1"/>
  <c r="Z96" i="9"/>
  <c r="AA96" i="9" s="1"/>
  <c r="K98" i="9"/>
  <c r="M98" i="9" s="1"/>
  <c r="J98" i="9"/>
  <c r="N98" i="9" s="1"/>
  <c r="X98" i="9"/>
  <c r="AG98" i="9" s="1"/>
  <c r="Z99" i="9"/>
  <c r="AA99" i="9" s="1"/>
  <c r="X100" i="9"/>
  <c r="AG100" i="9" s="1"/>
  <c r="M102" i="9"/>
  <c r="Q102" i="9" s="1"/>
  <c r="P72" i="9"/>
  <c r="Q72" i="9" s="1"/>
  <c r="M75" i="9"/>
  <c r="P75" i="9"/>
  <c r="P79" i="9"/>
  <c r="Q79" i="9" s="1"/>
  <c r="AD80" i="9"/>
  <c r="K81" i="9"/>
  <c r="M81" i="9" s="1"/>
  <c r="J81" i="9"/>
  <c r="N81" i="9" s="1"/>
  <c r="AD83" i="9"/>
  <c r="AD84" i="9"/>
  <c r="P84" i="9"/>
  <c r="Q84" i="9" s="1"/>
  <c r="AA84" i="9"/>
  <c r="W86" i="9"/>
  <c r="AA86" i="9" s="1"/>
  <c r="W95" i="9"/>
  <c r="AA95" i="9" s="1"/>
  <c r="K96" i="9"/>
  <c r="W96" i="9"/>
  <c r="AE97" i="9"/>
  <c r="M100" i="9"/>
  <c r="J102" i="9"/>
  <c r="N102" i="9" s="1"/>
  <c r="Z102" i="9" s="1"/>
  <c r="U102" i="9"/>
  <c r="AE101" i="9"/>
  <c r="L76" i="9"/>
  <c r="W78" i="9"/>
  <c r="M83" i="9"/>
  <c r="Q83" i="9" s="1"/>
  <c r="L83" i="9"/>
  <c r="M84" i="9"/>
  <c r="X84" i="9"/>
  <c r="AG84" i="9" s="1"/>
  <c r="Z90" i="9"/>
  <c r="AF90" i="9" s="1"/>
  <c r="W94" i="9"/>
  <c r="Y95" i="9"/>
  <c r="M97" i="9"/>
  <c r="Q97" i="9" s="1"/>
  <c r="K80" i="9"/>
  <c r="M80" i="9" s="1"/>
  <c r="K83" i="9"/>
  <c r="U85" i="9"/>
  <c r="Y85" i="9" s="1"/>
  <c r="X88" i="9"/>
  <c r="AG88" i="9" s="1"/>
  <c r="U89" i="9"/>
  <c r="AA90" i="9"/>
  <c r="AD92" i="9"/>
  <c r="P92" i="9"/>
  <c r="Q92" i="9" s="1"/>
  <c r="AA92" i="9"/>
  <c r="T94" i="9"/>
  <c r="X94" i="9" s="1"/>
  <c r="AG94" i="9" s="1"/>
  <c r="P96" i="9"/>
  <c r="AD96" i="9"/>
  <c r="K97" i="9"/>
  <c r="W97" i="9"/>
  <c r="P98" i="9"/>
  <c r="M99" i="9"/>
  <c r="Q99" i="9" s="1"/>
  <c r="L99" i="9"/>
  <c r="M101" i="9"/>
  <c r="Q101" i="9" s="1"/>
  <c r="Z100" i="9"/>
  <c r="L102" i="9"/>
  <c r="AD102" i="9"/>
  <c r="L84" i="9"/>
  <c r="L92" i="9"/>
  <c r="L100" i="9"/>
  <c r="J97" i="9"/>
  <c r="N97" i="9" s="1"/>
  <c r="AF51" i="9" l="1"/>
  <c r="AA51" i="9"/>
  <c r="AF82" i="9"/>
  <c r="AA82" i="9"/>
  <c r="Z74" i="9"/>
  <c r="AA74" i="9" s="1"/>
  <c r="Q75" i="9"/>
  <c r="Y98" i="9"/>
  <c r="W98" i="9"/>
  <c r="L98" i="9"/>
  <c r="AE100" i="9"/>
  <c r="AF100" i="9"/>
  <c r="N57" i="9"/>
  <c r="L57" i="9"/>
  <c r="Q65" i="9"/>
  <c r="Q88" i="9"/>
  <c r="W56" i="9"/>
  <c r="Z56" i="9"/>
  <c r="AA56" i="9" s="1"/>
  <c r="X56" i="9"/>
  <c r="AG56" i="9" s="1"/>
  <c r="AF73" i="9"/>
  <c r="AE73" i="9"/>
  <c r="X41" i="9"/>
  <c r="AG41" i="9" s="1"/>
  <c r="Y41" i="9"/>
  <c r="W41" i="9"/>
  <c r="X28" i="9"/>
  <c r="AG28" i="9" s="1"/>
  <c r="W28" i="9"/>
  <c r="Z54" i="9"/>
  <c r="Q20" i="9"/>
  <c r="N9" i="9"/>
  <c r="L9" i="9"/>
  <c r="N53" i="9"/>
  <c r="L53" i="9"/>
  <c r="Y58" i="9"/>
  <c r="X30" i="9"/>
  <c r="AG30" i="9" s="1"/>
  <c r="AE6" i="9"/>
  <c r="W12" i="9"/>
  <c r="AA12" i="9" s="1"/>
  <c r="AE12" i="9"/>
  <c r="AF18" i="9"/>
  <c r="X4" i="9"/>
  <c r="AG4" i="9" s="1"/>
  <c r="W4" i="9"/>
  <c r="AF10" i="9"/>
  <c r="W13" i="9"/>
  <c r="W15" i="9"/>
  <c r="X15" i="9"/>
  <c r="AG15" i="9" s="1"/>
  <c r="Q3" i="9"/>
  <c r="AE83" i="9"/>
  <c r="AF83" i="9"/>
  <c r="AE75" i="9"/>
  <c r="AF85" i="9"/>
  <c r="AE85" i="9"/>
  <c r="N69" i="9"/>
  <c r="L69" i="9"/>
  <c r="L89" i="9"/>
  <c r="N89" i="9"/>
  <c r="Q67" i="9"/>
  <c r="AE56" i="9"/>
  <c r="AF56" i="9"/>
  <c r="W51" i="9"/>
  <c r="Z44" i="9"/>
  <c r="AA44" i="9" s="1"/>
  <c r="Y44" i="9"/>
  <c r="W44" i="9"/>
  <c r="Q38" i="9"/>
  <c r="Z29" i="9"/>
  <c r="AF29" i="9" s="1"/>
  <c r="W29" i="9"/>
  <c r="X36" i="9"/>
  <c r="AG36" i="9" s="1"/>
  <c r="W36" i="9"/>
  <c r="Q30" i="9"/>
  <c r="Y26" i="9"/>
  <c r="Q98" i="9"/>
  <c r="L82" i="9"/>
  <c r="AE69" i="9"/>
  <c r="Y93" i="9"/>
  <c r="AF74" i="9"/>
  <c r="AE74" i="9"/>
  <c r="W68" i="9"/>
  <c r="Y68" i="9"/>
  <c r="Z68" i="9"/>
  <c r="L35" i="9"/>
  <c r="N35" i="9"/>
  <c r="AE35" i="9" s="1"/>
  <c r="L30" i="9"/>
  <c r="X34" i="9"/>
  <c r="AG34" i="9" s="1"/>
  <c r="AF32" i="9"/>
  <c r="N16" i="9"/>
  <c r="L16" i="9"/>
  <c r="AE38" i="9"/>
  <c r="AF38" i="9"/>
  <c r="Q22" i="9"/>
  <c r="L26" i="9"/>
  <c r="L58" i="9"/>
  <c r="Z36" i="9"/>
  <c r="AF40" i="9"/>
  <c r="AA40" i="9"/>
  <c r="Y22" i="9"/>
  <c r="AE51" i="9"/>
  <c r="Q18" i="9"/>
  <c r="Y28" i="9"/>
  <c r="AE4" i="9"/>
  <c r="AF4" i="9"/>
  <c r="AE3" i="9"/>
  <c r="AF3" i="9"/>
  <c r="AF102" i="9"/>
  <c r="AE102" i="9"/>
  <c r="AA98" i="9"/>
  <c r="AE92" i="9"/>
  <c r="AF92" i="9"/>
  <c r="Y102" i="9"/>
  <c r="W81" i="9"/>
  <c r="AE81" i="9"/>
  <c r="W102" i="9"/>
  <c r="AA102" i="9" s="1"/>
  <c r="Y97" i="9"/>
  <c r="L74" i="9"/>
  <c r="AF88" i="9"/>
  <c r="AE88" i="9"/>
  <c r="AE76" i="9"/>
  <c r="AF76" i="9"/>
  <c r="N66" i="9"/>
  <c r="L66" i="9"/>
  <c r="Z81" i="9"/>
  <c r="Y73" i="9"/>
  <c r="Q52" i="9"/>
  <c r="Q77" i="9"/>
  <c r="X58" i="9"/>
  <c r="AG58" i="9" s="1"/>
  <c r="Q41" i="9"/>
  <c r="L34" i="9"/>
  <c r="Q26" i="9"/>
  <c r="L22" i="9"/>
  <c r="Q58" i="9"/>
  <c r="AE29" i="9"/>
  <c r="AE15" i="9"/>
  <c r="X60" i="9"/>
  <c r="AG60" i="9" s="1"/>
  <c r="Y60" i="9"/>
  <c r="Z60" i="9"/>
  <c r="AA21" i="9"/>
  <c r="W5" i="9"/>
  <c r="Y5" i="9"/>
  <c r="AF15" i="9"/>
  <c r="Y34" i="9"/>
  <c r="AE30" i="9"/>
  <c r="Y27" i="9"/>
  <c r="X5" i="9"/>
  <c r="AG5" i="9" s="1"/>
  <c r="X74" i="9"/>
  <c r="AG74" i="9" s="1"/>
  <c r="W74" i="9"/>
  <c r="AA97" i="9"/>
  <c r="N65" i="9"/>
  <c r="AE65" i="9" s="1"/>
  <c r="L65" i="9"/>
  <c r="W73" i="9"/>
  <c r="Z73" i="9"/>
  <c r="AA73" i="9" s="1"/>
  <c r="AF99" i="9"/>
  <c r="W101" i="9"/>
  <c r="Z101" i="9"/>
  <c r="N93" i="9"/>
  <c r="X93" i="9" s="1"/>
  <c r="AG93" i="9" s="1"/>
  <c r="L93" i="9"/>
  <c r="X51" i="9"/>
  <c r="AG51" i="9" s="1"/>
  <c r="AA61" i="9"/>
  <c r="W75" i="9"/>
  <c r="Z75" i="9"/>
  <c r="AA75" i="9" s="1"/>
  <c r="X44" i="9"/>
  <c r="AG44" i="9" s="1"/>
  <c r="AE34" i="9"/>
  <c r="AE58" i="9"/>
  <c r="AF58" i="9"/>
  <c r="Z30" i="9"/>
  <c r="AA30" i="9" s="1"/>
  <c r="W30" i="9"/>
  <c r="Y30" i="9"/>
  <c r="Y24" i="9"/>
  <c r="Y51" i="9"/>
  <c r="AE14" i="9"/>
  <c r="AF43" i="9"/>
  <c r="AE43" i="9"/>
  <c r="Y16" i="9"/>
  <c r="N42" i="9"/>
  <c r="L42" i="9"/>
  <c r="Y36" i="9"/>
  <c r="N11" i="9"/>
  <c r="AE11" i="9" s="1"/>
  <c r="L11" i="9"/>
  <c r="Y89" i="9"/>
  <c r="AF80" i="9"/>
  <c r="AE80" i="9"/>
  <c r="X102" i="9"/>
  <c r="AG102" i="9" s="1"/>
  <c r="N72" i="9"/>
  <c r="L72" i="9"/>
  <c r="L51" i="9"/>
  <c r="N47" i="9"/>
  <c r="Y47" i="9" s="1"/>
  <c r="L47" i="9"/>
  <c r="AF41" i="9"/>
  <c r="AE41" i="9"/>
  <c r="Q28" i="9"/>
  <c r="AF13" i="9"/>
  <c r="AE13" i="9"/>
  <c r="N24" i="9"/>
  <c r="L24" i="9"/>
  <c r="Q21" i="9"/>
  <c r="X29" i="9"/>
  <c r="AG29" i="9" s="1"/>
  <c r="Q11" i="9"/>
  <c r="Z22" i="9"/>
  <c r="AE22" i="9"/>
  <c r="Y32" i="9"/>
  <c r="Q19" i="9"/>
  <c r="AA100" i="9"/>
  <c r="AF96" i="9"/>
  <c r="AE96" i="9"/>
  <c r="W90" i="9"/>
  <c r="X90" i="9"/>
  <c r="AG90" i="9" s="1"/>
  <c r="Q81" i="9"/>
  <c r="L90" i="9"/>
  <c r="X82" i="9"/>
  <c r="AG82" i="9" s="1"/>
  <c r="W82" i="9"/>
  <c r="AE64" i="9"/>
  <c r="AF64" i="9"/>
  <c r="AF50" i="9"/>
  <c r="AE50" i="9"/>
  <c r="Q60" i="9"/>
  <c r="Y35" i="9"/>
  <c r="N23" i="9"/>
  <c r="L23" i="9"/>
  <c r="L52" i="9"/>
  <c r="N52" i="9"/>
  <c r="AE52" i="9" s="1"/>
  <c r="X57" i="9"/>
  <c r="AG57" i="9" s="1"/>
  <c r="N20" i="9"/>
  <c r="L20" i="9"/>
  <c r="W6" i="9"/>
  <c r="Z6" i="9"/>
  <c r="Y6" i="9"/>
  <c r="X32" i="9"/>
  <c r="AG32" i="9" s="1"/>
  <c r="X6" i="9"/>
  <c r="AG6" i="9" s="1"/>
  <c r="Q96" i="9"/>
  <c r="AE84" i="9"/>
  <c r="AF84" i="9"/>
  <c r="AF77" i="9"/>
  <c r="Q80" i="9"/>
  <c r="AE89" i="9"/>
  <c r="Q100" i="9"/>
  <c r="L73" i="9"/>
  <c r="N70" i="9"/>
  <c r="AE70" i="9" s="1"/>
  <c r="L70" i="9"/>
  <c r="AE68" i="9"/>
  <c r="AE82" i="9"/>
  <c r="Y82" i="9"/>
  <c r="Q73" i="9"/>
  <c r="AF44" i="9"/>
  <c r="AE44" i="9"/>
  <c r="Y29" i="9"/>
  <c r="L29" i="9"/>
  <c r="L17" i="9"/>
  <c r="N17" i="9"/>
  <c r="AF46" i="9"/>
  <c r="Z45" i="9"/>
  <c r="X45" i="9"/>
  <c r="AG45" i="9" s="1"/>
  <c r="W45" i="9"/>
  <c r="L41" i="9"/>
  <c r="X26" i="9"/>
  <c r="AG26" i="9" s="1"/>
  <c r="Z34" i="9"/>
  <c r="AA34" i="9" s="1"/>
  <c r="Y57" i="9"/>
  <c r="W14" i="9"/>
  <c r="Z14" i="9"/>
  <c r="AA14" i="9" s="1"/>
  <c r="Y4" i="9"/>
  <c r="Y19" i="9"/>
  <c r="Y3" i="9"/>
  <c r="W32" i="9"/>
  <c r="Y14" i="9"/>
  <c r="W27" i="9"/>
  <c r="AA27" i="9" s="1"/>
  <c r="AE27" i="9"/>
  <c r="Y15" i="9"/>
  <c r="Q4" i="9"/>
  <c r="AF19" i="9"/>
  <c r="AE19" i="9"/>
  <c r="X12" i="9"/>
  <c r="AG12" i="9" s="1"/>
  <c r="W20" i="9" l="1"/>
  <c r="Z20" i="9"/>
  <c r="X20" i="9"/>
  <c r="AG20" i="9" s="1"/>
  <c r="AE20" i="9"/>
  <c r="Y20" i="9"/>
  <c r="AF26" i="9"/>
  <c r="AA5" i="9"/>
  <c r="AA41" i="9"/>
  <c r="AF45" i="9"/>
  <c r="AA45" i="9"/>
  <c r="W11" i="9"/>
  <c r="Z11" i="9"/>
  <c r="X11" i="9"/>
  <c r="AG11" i="9" s="1"/>
  <c r="Y11" i="9"/>
  <c r="Z53" i="9"/>
  <c r="W53" i="9"/>
  <c r="Y53" i="9"/>
  <c r="X53" i="9"/>
  <c r="AG53" i="9" s="1"/>
  <c r="AE53" i="9"/>
  <c r="W52" i="9"/>
  <c r="X52" i="9"/>
  <c r="AG52" i="9" s="1"/>
  <c r="Z52" i="9"/>
  <c r="AA22" i="9"/>
  <c r="AF22" i="9"/>
  <c r="AF14" i="9"/>
  <c r="AF34" i="9"/>
  <c r="AF60" i="9"/>
  <c r="AA60" i="9"/>
  <c r="Z69" i="9"/>
  <c r="W69" i="9"/>
  <c r="X69" i="9"/>
  <c r="AG69" i="9" s="1"/>
  <c r="Z17" i="9"/>
  <c r="W17" i="9"/>
  <c r="X17" i="9"/>
  <c r="AG17" i="9" s="1"/>
  <c r="Y17" i="9"/>
  <c r="AE17" i="9"/>
  <c r="X72" i="9"/>
  <c r="AG72" i="9" s="1"/>
  <c r="Z72" i="9"/>
  <c r="W72" i="9"/>
  <c r="AE72" i="9"/>
  <c r="Y72" i="9"/>
  <c r="AF30" i="9"/>
  <c r="X47" i="9"/>
  <c r="AG47" i="9" s="1"/>
  <c r="AF81" i="9"/>
  <c r="AA81" i="9"/>
  <c r="Y69" i="9"/>
  <c r="Z9" i="9"/>
  <c r="Y9" i="9"/>
  <c r="X9" i="9"/>
  <c r="AG9" i="9" s="1"/>
  <c r="AE9" i="9"/>
  <c r="W9" i="9"/>
  <c r="AE57" i="9"/>
  <c r="Z57" i="9"/>
  <c r="W57" i="9"/>
  <c r="W42" i="9"/>
  <c r="Y42" i="9"/>
  <c r="Z42" i="9"/>
  <c r="X42" i="9"/>
  <c r="AG42" i="9" s="1"/>
  <c r="AE42" i="9"/>
  <c r="W65" i="9"/>
  <c r="X65" i="9"/>
  <c r="AG65" i="9" s="1"/>
  <c r="Z65" i="9"/>
  <c r="W35" i="9"/>
  <c r="X35" i="9"/>
  <c r="AG35" i="9" s="1"/>
  <c r="Z35" i="9"/>
  <c r="AA6" i="9"/>
  <c r="Z23" i="9"/>
  <c r="X23" i="9"/>
  <c r="AG23" i="9" s="1"/>
  <c r="AE23" i="9"/>
  <c r="W23" i="9"/>
  <c r="Y65" i="9"/>
  <c r="Z93" i="9"/>
  <c r="W93" i="9"/>
  <c r="AE93" i="9"/>
  <c r="Y23" i="9"/>
  <c r="Y66" i="9"/>
  <c r="X66" i="9"/>
  <c r="AG66" i="9" s="1"/>
  <c r="AE66" i="9"/>
  <c r="Z66" i="9"/>
  <c r="W66" i="9"/>
  <c r="AF6" i="9"/>
  <c r="AA54" i="9"/>
  <c r="AF54" i="9"/>
  <c r="Z70" i="9"/>
  <c r="Y70" i="9"/>
  <c r="W70" i="9"/>
  <c r="X70" i="9"/>
  <c r="AG70" i="9" s="1"/>
  <c r="W47" i="9"/>
  <c r="Z47" i="9"/>
  <c r="AE47" i="9"/>
  <c r="AA101" i="9"/>
  <c r="AF101" i="9"/>
  <c r="W16" i="9"/>
  <c r="X16" i="9"/>
  <c r="AG16" i="9" s="1"/>
  <c r="Z16" i="9"/>
  <c r="AE16" i="9"/>
  <c r="AA68" i="9"/>
  <c r="AF68" i="9"/>
  <c r="AA29" i="9"/>
  <c r="Y52" i="9"/>
  <c r="Z24" i="9"/>
  <c r="X24" i="9"/>
  <c r="AG24" i="9" s="1"/>
  <c r="W24" i="9"/>
  <c r="AE24" i="9"/>
  <c r="AF36" i="9"/>
  <c r="AA36" i="9"/>
  <c r="W89" i="9"/>
  <c r="X89" i="9"/>
  <c r="AG89" i="9" s="1"/>
  <c r="Z89" i="9"/>
  <c r="AF75" i="9"/>
  <c r="AA93" i="9" l="1"/>
  <c r="AF93" i="9"/>
  <c r="AA17" i="9"/>
  <c r="AF17" i="9"/>
  <c r="AA16" i="9"/>
  <c r="AF16" i="9"/>
  <c r="AA66" i="9"/>
  <c r="AF66" i="9"/>
  <c r="AA9" i="9"/>
  <c r="AF9" i="9"/>
  <c r="AF53" i="9"/>
  <c r="AA53" i="9"/>
  <c r="AA65" i="9"/>
  <c r="AF65" i="9"/>
  <c r="AA72" i="9"/>
  <c r="AF72" i="9"/>
  <c r="AA52" i="9"/>
  <c r="AF52" i="9"/>
  <c r="AA89" i="9"/>
  <c r="AF89" i="9"/>
  <c r="AA24" i="9"/>
  <c r="AF24" i="9"/>
  <c r="AA57" i="9"/>
  <c r="AF57" i="9"/>
  <c r="AA69" i="9"/>
  <c r="AF69" i="9"/>
  <c r="AA70" i="9"/>
  <c r="AF70" i="9"/>
  <c r="AA11" i="9"/>
  <c r="AF11" i="9"/>
  <c r="AA23" i="9"/>
  <c r="AF23" i="9"/>
  <c r="AF20" i="9"/>
  <c r="AA20" i="9"/>
  <c r="AA47" i="9"/>
  <c r="AF47" i="9"/>
  <c r="AA35" i="9"/>
  <c r="AF35" i="9"/>
  <c r="AA42" i="9"/>
  <c r="AF42" i="9"/>
  <c r="AH1653" i="8" l="1"/>
  <c r="AG1653" i="8"/>
  <c r="AE1653" i="8"/>
  <c r="Y1653" i="8"/>
  <c r="V1653" i="8"/>
  <c r="Z1653" i="8" s="1"/>
  <c r="U1653" i="8"/>
  <c r="T1653" i="8"/>
  <c r="P1653" i="8"/>
  <c r="N1653" i="8"/>
  <c r="M1653" i="8"/>
  <c r="L1653" i="8"/>
  <c r="H1653" i="8"/>
  <c r="R1653" i="8" s="1"/>
  <c r="G1653" i="8"/>
  <c r="AH1652" i="8"/>
  <c r="AG1652" i="8"/>
  <c r="AE1652" i="8"/>
  <c r="Y1652" i="8"/>
  <c r="V1652" i="8"/>
  <c r="U1652" i="8"/>
  <c r="W1652" i="8" s="1"/>
  <c r="T1652" i="8"/>
  <c r="M1652" i="8"/>
  <c r="L1652" i="8"/>
  <c r="H1652" i="8"/>
  <c r="G1652" i="8"/>
  <c r="AH1651" i="8"/>
  <c r="AG1651" i="8"/>
  <c r="AE1651" i="8"/>
  <c r="Y1651" i="8"/>
  <c r="W1651" i="8"/>
  <c r="V1651" i="8"/>
  <c r="U1651" i="8"/>
  <c r="T1651" i="8"/>
  <c r="R1651" i="8"/>
  <c r="S1651" i="8" s="1"/>
  <c r="N1651" i="8"/>
  <c r="M1651" i="8"/>
  <c r="O1651" i="8" s="1"/>
  <c r="L1651" i="8"/>
  <c r="H1651" i="8"/>
  <c r="G1651" i="8"/>
  <c r="AH1650" i="8"/>
  <c r="AG1650" i="8"/>
  <c r="AE1650" i="8"/>
  <c r="Y1650" i="8"/>
  <c r="W1650" i="8"/>
  <c r="V1650" i="8"/>
  <c r="U1650" i="8"/>
  <c r="T1650" i="8"/>
  <c r="M1650" i="8"/>
  <c r="L1650" i="8"/>
  <c r="H1650" i="8"/>
  <c r="R1650" i="8" s="1"/>
  <c r="G1650" i="8"/>
  <c r="AH1649" i="8"/>
  <c r="AG1649" i="8"/>
  <c r="AE1649" i="8"/>
  <c r="AC1649" i="8"/>
  <c r="Y1649" i="8"/>
  <c r="W1649" i="8"/>
  <c r="V1649" i="8"/>
  <c r="U1649" i="8"/>
  <c r="T1649" i="8"/>
  <c r="R1649" i="8"/>
  <c r="S1649" i="8" s="1"/>
  <c r="P1649" i="8"/>
  <c r="AA1649" i="8" s="1"/>
  <c r="M1649" i="8"/>
  <c r="O1649" i="8" s="1"/>
  <c r="L1649" i="8"/>
  <c r="N1649" i="8" s="1"/>
  <c r="H1649" i="8"/>
  <c r="G1649" i="8"/>
  <c r="AH1648" i="8"/>
  <c r="AG1648" i="8"/>
  <c r="AE1648" i="8"/>
  <c r="Y1648" i="8"/>
  <c r="W1648" i="8"/>
  <c r="AA1648" i="8" s="1"/>
  <c r="V1648" i="8"/>
  <c r="U1648" i="8"/>
  <c r="T1648" i="8"/>
  <c r="R1648" i="8"/>
  <c r="P1648" i="8"/>
  <c r="AC1648" i="8" s="1"/>
  <c r="M1648" i="8"/>
  <c r="O1648" i="8" s="1"/>
  <c r="L1648" i="8"/>
  <c r="N1648" i="8" s="1"/>
  <c r="H1648" i="8"/>
  <c r="G1648" i="8"/>
  <c r="AH1647" i="8"/>
  <c r="AG1647" i="8"/>
  <c r="AE1647" i="8"/>
  <c r="Y1647" i="8"/>
  <c r="V1647" i="8"/>
  <c r="U1647" i="8"/>
  <c r="T1647" i="8"/>
  <c r="N1647" i="8"/>
  <c r="M1647" i="8"/>
  <c r="O1647" i="8" s="1"/>
  <c r="L1647" i="8"/>
  <c r="H1647" i="8"/>
  <c r="R1647" i="8" s="1"/>
  <c r="S1647" i="8" s="1"/>
  <c r="G1647" i="8"/>
  <c r="AH1646" i="8"/>
  <c r="AG1646" i="8"/>
  <c r="AE1646" i="8"/>
  <c r="Y1646" i="8"/>
  <c r="V1646" i="8"/>
  <c r="U1646" i="8"/>
  <c r="W1646" i="8" s="1"/>
  <c r="T1646" i="8"/>
  <c r="P1646" i="8"/>
  <c r="Z1646" i="8" s="1"/>
  <c r="M1646" i="8"/>
  <c r="L1646" i="8"/>
  <c r="H1646" i="8"/>
  <c r="G1646" i="8"/>
  <c r="AH1645" i="8"/>
  <c r="AG1645" i="8"/>
  <c r="AE1645" i="8"/>
  <c r="AA1645" i="8"/>
  <c r="Y1645" i="8"/>
  <c r="V1645" i="8"/>
  <c r="Z1645" i="8" s="1"/>
  <c r="U1645" i="8"/>
  <c r="W1645" i="8" s="1"/>
  <c r="T1645" i="8"/>
  <c r="R1645" i="8"/>
  <c r="P1645" i="8"/>
  <c r="M1645" i="8"/>
  <c r="L1645" i="8"/>
  <c r="N1645" i="8" s="1"/>
  <c r="H1645" i="8"/>
  <c r="G1645" i="8"/>
  <c r="AH1644" i="8"/>
  <c r="AG1644" i="8"/>
  <c r="AE1644" i="8"/>
  <c r="Y1644" i="8"/>
  <c r="V1644" i="8"/>
  <c r="U1644" i="8"/>
  <c r="W1644" i="8" s="1"/>
  <c r="T1644" i="8"/>
  <c r="M1644" i="8"/>
  <c r="L1644" i="8"/>
  <c r="H1644" i="8"/>
  <c r="R1644" i="8" s="1"/>
  <c r="G1644" i="8"/>
  <c r="AH1643" i="8"/>
  <c r="AG1643" i="8"/>
  <c r="AE1643" i="8"/>
  <c r="Y1643" i="8"/>
  <c r="W1643" i="8"/>
  <c r="V1643" i="8"/>
  <c r="U1643" i="8"/>
  <c r="T1643" i="8"/>
  <c r="R1643" i="8"/>
  <c r="S1643" i="8" s="1"/>
  <c r="N1643" i="8"/>
  <c r="M1643" i="8"/>
  <c r="O1643" i="8" s="1"/>
  <c r="L1643" i="8"/>
  <c r="H1643" i="8"/>
  <c r="G1643" i="8"/>
  <c r="AH1642" i="8"/>
  <c r="AG1642" i="8"/>
  <c r="AE1642" i="8"/>
  <c r="Z1642" i="8"/>
  <c r="Y1642" i="8"/>
  <c r="W1642" i="8"/>
  <c r="AA1642" i="8" s="1"/>
  <c r="V1642" i="8"/>
  <c r="U1642" i="8"/>
  <c r="T1642" i="8"/>
  <c r="P1642" i="8"/>
  <c r="AC1642" i="8" s="1"/>
  <c r="AF1642" i="8" s="1"/>
  <c r="M1642" i="8"/>
  <c r="L1642" i="8"/>
  <c r="H1642" i="8"/>
  <c r="G1642" i="8"/>
  <c r="AH1641" i="8"/>
  <c r="AG1641" i="8"/>
  <c r="AE1641" i="8"/>
  <c r="AC1641" i="8"/>
  <c r="Y1641" i="8"/>
  <c r="V1641" i="8"/>
  <c r="U1641" i="8"/>
  <c r="T1641" i="8"/>
  <c r="R1641" i="8"/>
  <c r="S1641" i="8" s="1"/>
  <c r="P1641" i="8"/>
  <c r="M1641" i="8"/>
  <c r="O1641" i="8" s="1"/>
  <c r="L1641" i="8"/>
  <c r="N1641" i="8" s="1"/>
  <c r="H1641" i="8"/>
  <c r="G1641" i="8"/>
  <c r="AH1640" i="8"/>
  <c r="AG1640" i="8"/>
  <c r="AE1640" i="8"/>
  <c r="Y1640" i="8"/>
  <c r="W1640" i="8"/>
  <c r="AA1640" i="8" s="1"/>
  <c r="V1640" i="8"/>
  <c r="U1640" i="8"/>
  <c r="T1640" i="8"/>
  <c r="S1640" i="8"/>
  <c r="R1640" i="8"/>
  <c r="P1640" i="8"/>
  <c r="AC1640" i="8" s="1"/>
  <c r="M1640" i="8"/>
  <c r="O1640" i="8" s="1"/>
  <c r="L1640" i="8"/>
  <c r="N1640" i="8" s="1"/>
  <c r="H1640" i="8"/>
  <c r="G1640" i="8"/>
  <c r="AH1639" i="8"/>
  <c r="AG1639" i="8"/>
  <c r="AE1639" i="8"/>
  <c r="Y1639" i="8"/>
  <c r="V1639" i="8"/>
  <c r="U1639" i="8"/>
  <c r="T1639" i="8"/>
  <c r="M1639" i="8"/>
  <c r="O1639" i="8" s="1"/>
  <c r="L1639" i="8"/>
  <c r="N1639" i="8" s="1"/>
  <c r="H1639" i="8"/>
  <c r="R1639" i="8" s="1"/>
  <c r="S1639" i="8" s="1"/>
  <c r="G1639" i="8"/>
  <c r="AH1638" i="8"/>
  <c r="AG1638" i="8"/>
  <c r="AE1638" i="8"/>
  <c r="Z1638" i="8"/>
  <c r="Y1638" i="8"/>
  <c r="V1638" i="8"/>
  <c r="U1638" i="8"/>
  <c r="W1638" i="8" s="1"/>
  <c r="AA1638" i="8" s="1"/>
  <c r="T1638" i="8"/>
  <c r="P1638" i="8"/>
  <c r="M1638" i="8"/>
  <c r="L1638" i="8"/>
  <c r="H1638" i="8"/>
  <c r="G1638" i="8"/>
  <c r="AH1637" i="8"/>
  <c r="AG1637" i="8"/>
  <c r="AE1637" i="8"/>
  <c r="Y1637" i="8"/>
  <c r="V1637" i="8"/>
  <c r="Z1637" i="8" s="1"/>
  <c r="U1637" i="8"/>
  <c r="T1637" i="8"/>
  <c r="R1637" i="8"/>
  <c r="P1637" i="8"/>
  <c r="N1637" i="8"/>
  <c r="M1637" i="8"/>
  <c r="L1637" i="8"/>
  <c r="H1637" i="8"/>
  <c r="G1637" i="8"/>
  <c r="AH1636" i="8"/>
  <c r="AG1636" i="8"/>
  <c r="AE1636" i="8"/>
  <c r="Y1636" i="8"/>
  <c r="W1636" i="8"/>
  <c r="V1636" i="8"/>
  <c r="U1636" i="8"/>
  <c r="T1636" i="8"/>
  <c r="M1636" i="8"/>
  <c r="L1636" i="8"/>
  <c r="H1636" i="8"/>
  <c r="R1636" i="8" s="1"/>
  <c r="G1636" i="8"/>
  <c r="AH1635" i="8"/>
  <c r="AG1635" i="8"/>
  <c r="AE1635" i="8"/>
  <c r="Y1635" i="8"/>
  <c r="W1635" i="8"/>
  <c r="V1635" i="8"/>
  <c r="U1635" i="8"/>
  <c r="T1635" i="8"/>
  <c r="R1635" i="8"/>
  <c r="S1635" i="8" s="1"/>
  <c r="N1635" i="8"/>
  <c r="M1635" i="8"/>
  <c r="O1635" i="8" s="1"/>
  <c r="L1635" i="8"/>
  <c r="H1635" i="8"/>
  <c r="G1635" i="8"/>
  <c r="AH1634" i="8"/>
  <c r="AG1634" i="8"/>
  <c r="AE1634" i="8"/>
  <c r="Y1634" i="8"/>
  <c r="W1634" i="8"/>
  <c r="V1634" i="8"/>
  <c r="U1634" i="8"/>
  <c r="T1634" i="8"/>
  <c r="P1634" i="8"/>
  <c r="Z1634" i="8" s="1"/>
  <c r="M1634" i="8"/>
  <c r="O1634" i="8" s="1"/>
  <c r="L1634" i="8"/>
  <c r="H1634" i="8"/>
  <c r="G1634" i="8"/>
  <c r="AH1633" i="8"/>
  <c r="AG1633" i="8"/>
  <c r="AE1633" i="8"/>
  <c r="Y1633" i="8"/>
  <c r="V1633" i="8"/>
  <c r="U1633" i="8"/>
  <c r="T1633" i="8"/>
  <c r="R1633" i="8"/>
  <c r="M1633" i="8"/>
  <c r="L1633" i="8"/>
  <c r="N1633" i="8" s="1"/>
  <c r="H1633" i="8"/>
  <c r="G1633" i="8"/>
  <c r="AH1632" i="8"/>
  <c r="AG1632" i="8"/>
  <c r="AE1632" i="8"/>
  <c r="Y1632" i="8"/>
  <c r="W1632" i="8"/>
  <c r="V1632" i="8"/>
  <c r="U1632" i="8"/>
  <c r="T1632" i="8"/>
  <c r="S1632" i="8"/>
  <c r="R1632" i="8"/>
  <c r="P1632" i="8"/>
  <c r="AC1632" i="8" s="1"/>
  <c r="M1632" i="8"/>
  <c r="O1632" i="8" s="1"/>
  <c r="L1632" i="8"/>
  <c r="N1632" i="8" s="1"/>
  <c r="H1632" i="8"/>
  <c r="G1632" i="8"/>
  <c r="AH1631" i="8"/>
  <c r="AG1631" i="8"/>
  <c r="AE1631" i="8"/>
  <c r="Y1631" i="8"/>
  <c r="V1631" i="8"/>
  <c r="U1631" i="8"/>
  <c r="T1631" i="8"/>
  <c r="N1631" i="8"/>
  <c r="M1631" i="8"/>
  <c r="O1631" i="8" s="1"/>
  <c r="L1631" i="8"/>
  <c r="H1631" i="8"/>
  <c r="R1631" i="8" s="1"/>
  <c r="S1631" i="8" s="1"/>
  <c r="G1631" i="8"/>
  <c r="AH1630" i="8"/>
  <c r="AG1630" i="8"/>
  <c r="AE1630" i="8"/>
  <c r="Y1630" i="8"/>
  <c r="V1630" i="8"/>
  <c r="U1630" i="8"/>
  <c r="W1630" i="8" s="1"/>
  <c r="T1630" i="8"/>
  <c r="P1630" i="8"/>
  <c r="AC1630" i="8" s="1"/>
  <c r="AF1630" i="8" s="1"/>
  <c r="M1630" i="8"/>
  <c r="L1630" i="8"/>
  <c r="H1630" i="8"/>
  <c r="G1630" i="8"/>
  <c r="AH1629" i="8"/>
  <c r="AG1629" i="8"/>
  <c r="AE1629" i="8"/>
  <c r="Y1629" i="8"/>
  <c r="V1629" i="8"/>
  <c r="Z1629" i="8" s="1"/>
  <c r="U1629" i="8"/>
  <c r="W1629" i="8" s="1"/>
  <c r="AA1629" i="8" s="1"/>
  <c r="T1629" i="8"/>
  <c r="R1629" i="8"/>
  <c r="P1629" i="8"/>
  <c r="M1629" i="8"/>
  <c r="L1629" i="8"/>
  <c r="N1629" i="8" s="1"/>
  <c r="H1629" i="8"/>
  <c r="G1629" i="8"/>
  <c r="AH1628" i="8"/>
  <c r="AG1628" i="8"/>
  <c r="AE1628" i="8"/>
  <c r="Y1628" i="8"/>
  <c r="V1628" i="8"/>
  <c r="U1628" i="8"/>
  <c r="W1628" i="8" s="1"/>
  <c r="T1628" i="8"/>
  <c r="M1628" i="8"/>
  <c r="L1628" i="8"/>
  <c r="H1628" i="8"/>
  <c r="R1628" i="8" s="1"/>
  <c r="G1628" i="8"/>
  <c r="AH1627" i="8"/>
  <c r="AG1627" i="8"/>
  <c r="AE1627" i="8"/>
  <c r="Y1627" i="8"/>
  <c r="W1627" i="8"/>
  <c r="V1627" i="8"/>
  <c r="U1627" i="8"/>
  <c r="T1627" i="8"/>
  <c r="R1627" i="8"/>
  <c r="S1627" i="8" s="1"/>
  <c r="N1627" i="8"/>
  <c r="M1627" i="8"/>
  <c r="O1627" i="8" s="1"/>
  <c r="L1627" i="8"/>
  <c r="H1627" i="8"/>
  <c r="G1627" i="8"/>
  <c r="AH1626" i="8"/>
  <c r="AG1626" i="8"/>
  <c r="AE1626" i="8"/>
  <c r="Y1626" i="8"/>
  <c r="W1626" i="8"/>
  <c r="AA1626" i="8" s="1"/>
  <c r="V1626" i="8"/>
  <c r="U1626" i="8"/>
  <c r="T1626" i="8"/>
  <c r="P1626" i="8"/>
  <c r="Z1626" i="8" s="1"/>
  <c r="M1626" i="8"/>
  <c r="L1626" i="8"/>
  <c r="H1626" i="8"/>
  <c r="G1626" i="8"/>
  <c r="AH1625" i="8"/>
  <c r="AG1625" i="8"/>
  <c r="AE1625" i="8"/>
  <c r="AC1625" i="8"/>
  <c r="Y1625" i="8"/>
  <c r="W1625" i="8"/>
  <c r="AA1625" i="8" s="1"/>
  <c r="V1625" i="8"/>
  <c r="Z1625" i="8" s="1"/>
  <c r="X1625" i="8" s="1"/>
  <c r="AB1625" i="8" s="1"/>
  <c r="U1625" i="8"/>
  <c r="T1625" i="8"/>
  <c r="R1625" i="8"/>
  <c r="M1625" i="8"/>
  <c r="P1625" i="8" s="1"/>
  <c r="L1625" i="8"/>
  <c r="N1625" i="8" s="1"/>
  <c r="H1625" i="8"/>
  <c r="G1625" i="8"/>
  <c r="AH1624" i="8"/>
  <c r="AG1624" i="8"/>
  <c r="AE1624" i="8"/>
  <c r="Y1624" i="8"/>
  <c r="V1624" i="8"/>
  <c r="U1624" i="8"/>
  <c r="W1624" i="8" s="1"/>
  <c r="T1624" i="8"/>
  <c r="R1624" i="8"/>
  <c r="N1624" i="8"/>
  <c r="M1624" i="8"/>
  <c r="L1624" i="8"/>
  <c r="H1624" i="8"/>
  <c r="G1624" i="8"/>
  <c r="AH1623" i="8"/>
  <c r="AG1623" i="8"/>
  <c r="AE1623" i="8"/>
  <c r="Y1623" i="8"/>
  <c r="W1623" i="8"/>
  <c r="V1623" i="8"/>
  <c r="U1623" i="8"/>
  <c r="T1623" i="8"/>
  <c r="R1623" i="8"/>
  <c r="M1623" i="8"/>
  <c r="L1623" i="8"/>
  <c r="N1623" i="8" s="1"/>
  <c r="H1623" i="8"/>
  <c r="G1623" i="8"/>
  <c r="AH1622" i="8"/>
  <c r="AG1622" i="8"/>
  <c r="AE1622" i="8"/>
  <c r="Y1622" i="8"/>
  <c r="V1622" i="8"/>
  <c r="U1622" i="8"/>
  <c r="T1622" i="8"/>
  <c r="R1622" i="8"/>
  <c r="M1622" i="8"/>
  <c r="L1622" i="8"/>
  <c r="N1622" i="8" s="1"/>
  <c r="H1622" i="8"/>
  <c r="G1622" i="8"/>
  <c r="AH1621" i="8"/>
  <c r="AG1621" i="8"/>
  <c r="AE1621" i="8"/>
  <c r="Y1621" i="8"/>
  <c r="W1621" i="8"/>
  <c r="V1621" i="8"/>
  <c r="U1621" i="8"/>
  <c r="T1621" i="8"/>
  <c r="R1621" i="8"/>
  <c r="S1621" i="8" s="1"/>
  <c r="M1621" i="8"/>
  <c r="O1621" i="8" s="1"/>
  <c r="L1621" i="8"/>
  <c r="N1621" i="8" s="1"/>
  <c r="H1621" i="8"/>
  <c r="G1621" i="8"/>
  <c r="AH1620" i="8"/>
  <c r="AG1620" i="8"/>
  <c r="AE1620" i="8"/>
  <c r="AC1620" i="8"/>
  <c r="AF1620" i="8" s="1"/>
  <c r="Y1620" i="8"/>
  <c r="V1620" i="8"/>
  <c r="U1620" i="8"/>
  <c r="W1620" i="8" s="1"/>
  <c r="AA1620" i="8" s="1"/>
  <c r="T1620" i="8"/>
  <c r="S1620" i="8"/>
  <c r="R1620" i="8"/>
  <c r="P1620" i="8"/>
  <c r="Z1620" i="8" s="1"/>
  <c r="M1620" i="8"/>
  <c r="O1620" i="8" s="1"/>
  <c r="L1620" i="8"/>
  <c r="N1620" i="8" s="1"/>
  <c r="H1620" i="8"/>
  <c r="G1620" i="8"/>
  <c r="AH1619" i="8"/>
  <c r="AG1619" i="8"/>
  <c r="AE1619" i="8"/>
  <c r="Y1619" i="8"/>
  <c r="V1619" i="8"/>
  <c r="W1619" i="8" s="1"/>
  <c r="U1619" i="8"/>
  <c r="T1619" i="8"/>
  <c r="R1619" i="8"/>
  <c r="S1619" i="8" s="1"/>
  <c r="M1619" i="8"/>
  <c r="O1619" i="8" s="1"/>
  <c r="L1619" i="8"/>
  <c r="N1619" i="8" s="1"/>
  <c r="H1619" i="8"/>
  <c r="G1619" i="8"/>
  <c r="AH1618" i="8"/>
  <c r="AG1618" i="8"/>
  <c r="AE1618" i="8"/>
  <c r="AC1618" i="8"/>
  <c r="AF1618" i="8" s="1"/>
  <c r="Y1618" i="8"/>
  <c r="V1618" i="8"/>
  <c r="Z1618" i="8" s="1"/>
  <c r="U1618" i="8"/>
  <c r="W1618" i="8" s="1"/>
  <c r="AA1618" i="8" s="1"/>
  <c r="T1618" i="8"/>
  <c r="R1618" i="8"/>
  <c r="S1618" i="8" s="1"/>
  <c r="P1618" i="8"/>
  <c r="M1618" i="8"/>
  <c r="O1618" i="8" s="1"/>
  <c r="L1618" i="8"/>
  <c r="N1618" i="8" s="1"/>
  <c r="H1618" i="8"/>
  <c r="G1618" i="8"/>
  <c r="AH1617" i="8"/>
  <c r="AG1617" i="8"/>
  <c r="AE1617" i="8"/>
  <c r="Y1617" i="8"/>
  <c r="V1617" i="8"/>
  <c r="W1617" i="8" s="1"/>
  <c r="U1617" i="8"/>
  <c r="T1617" i="8"/>
  <c r="R1617" i="8"/>
  <c r="S1617" i="8" s="1"/>
  <c r="M1617" i="8"/>
  <c r="O1617" i="8" s="1"/>
  <c r="L1617" i="8"/>
  <c r="N1617" i="8" s="1"/>
  <c r="H1617" i="8"/>
  <c r="G1617" i="8"/>
  <c r="AH1616" i="8"/>
  <c r="AG1616" i="8"/>
  <c r="AE1616" i="8"/>
  <c r="AC1616" i="8"/>
  <c r="AF1616" i="8" s="1"/>
  <c r="Y1616" i="8"/>
  <c r="V1616" i="8"/>
  <c r="Z1616" i="8" s="1"/>
  <c r="U1616" i="8"/>
  <c r="W1616" i="8" s="1"/>
  <c r="AA1616" i="8" s="1"/>
  <c r="T1616" i="8"/>
  <c r="R1616" i="8"/>
  <c r="S1616" i="8" s="1"/>
  <c r="P1616" i="8"/>
  <c r="M1616" i="8"/>
  <c r="O1616" i="8" s="1"/>
  <c r="L1616" i="8"/>
  <c r="N1616" i="8" s="1"/>
  <c r="H1616" i="8"/>
  <c r="G1616" i="8"/>
  <c r="AH1615" i="8"/>
  <c r="AG1615" i="8"/>
  <c r="AE1615" i="8"/>
  <c r="Y1615" i="8"/>
  <c r="V1615" i="8"/>
  <c r="W1615" i="8" s="1"/>
  <c r="U1615" i="8"/>
  <c r="T1615" i="8"/>
  <c r="R1615" i="8"/>
  <c r="S1615" i="8" s="1"/>
  <c r="M1615" i="8"/>
  <c r="O1615" i="8" s="1"/>
  <c r="L1615" i="8"/>
  <c r="N1615" i="8" s="1"/>
  <c r="H1615" i="8"/>
  <c r="G1615" i="8"/>
  <c r="AH1614" i="8"/>
  <c r="AG1614" i="8"/>
  <c r="AE1614" i="8"/>
  <c r="AC1614" i="8"/>
  <c r="AF1614" i="8" s="1"/>
  <c r="Y1614" i="8"/>
  <c r="V1614" i="8"/>
  <c r="Z1614" i="8" s="1"/>
  <c r="U1614" i="8"/>
  <c r="W1614" i="8" s="1"/>
  <c r="AA1614" i="8" s="1"/>
  <c r="T1614" i="8"/>
  <c r="R1614" i="8"/>
  <c r="S1614" i="8" s="1"/>
  <c r="P1614" i="8"/>
  <c r="M1614" i="8"/>
  <c r="O1614" i="8" s="1"/>
  <c r="L1614" i="8"/>
  <c r="N1614" i="8" s="1"/>
  <c r="H1614" i="8"/>
  <c r="G1614" i="8"/>
  <c r="AH1613" i="8"/>
  <c r="AG1613" i="8"/>
  <c r="AE1613" i="8"/>
  <c r="Y1613" i="8"/>
  <c r="V1613" i="8"/>
  <c r="W1613" i="8" s="1"/>
  <c r="U1613" i="8"/>
  <c r="T1613" i="8"/>
  <c r="R1613" i="8"/>
  <c r="S1613" i="8" s="1"/>
  <c r="M1613" i="8"/>
  <c r="O1613" i="8" s="1"/>
  <c r="L1613" i="8"/>
  <c r="N1613" i="8" s="1"/>
  <c r="H1613" i="8"/>
  <c r="G1613" i="8"/>
  <c r="AH1612" i="8"/>
  <c r="AG1612" i="8"/>
  <c r="AE1612" i="8"/>
  <c r="AC1612" i="8"/>
  <c r="AF1612" i="8" s="1"/>
  <c r="Y1612" i="8"/>
  <c r="V1612" i="8"/>
  <c r="Z1612" i="8" s="1"/>
  <c r="U1612" i="8"/>
  <c r="W1612" i="8" s="1"/>
  <c r="AA1612" i="8" s="1"/>
  <c r="T1612" i="8"/>
  <c r="R1612" i="8"/>
  <c r="S1612" i="8" s="1"/>
  <c r="P1612" i="8"/>
  <c r="M1612" i="8"/>
  <c r="O1612" i="8" s="1"/>
  <c r="L1612" i="8"/>
  <c r="N1612" i="8" s="1"/>
  <c r="H1612" i="8"/>
  <c r="G1612" i="8"/>
  <c r="AH1611" i="8"/>
  <c r="AG1611" i="8"/>
  <c r="AE1611" i="8"/>
  <c r="Y1611" i="8"/>
  <c r="V1611" i="8"/>
  <c r="W1611" i="8" s="1"/>
  <c r="U1611" i="8"/>
  <c r="T1611" i="8"/>
  <c r="R1611" i="8"/>
  <c r="S1611" i="8" s="1"/>
  <c r="M1611" i="8"/>
  <c r="O1611" i="8" s="1"/>
  <c r="L1611" i="8"/>
  <c r="N1611" i="8" s="1"/>
  <c r="H1611" i="8"/>
  <c r="G1611" i="8"/>
  <c r="AH1610" i="8"/>
  <c r="AG1610" i="8"/>
  <c r="AE1610" i="8"/>
  <c r="Y1610" i="8"/>
  <c r="W1610" i="8"/>
  <c r="V1610" i="8"/>
  <c r="U1610" i="8"/>
  <c r="T1610" i="8"/>
  <c r="R1610" i="8"/>
  <c r="N1610" i="8"/>
  <c r="M1610" i="8"/>
  <c r="P1610" i="8" s="1"/>
  <c r="AC1610" i="8" s="1"/>
  <c r="L1610" i="8"/>
  <c r="H1610" i="8"/>
  <c r="G1610" i="8"/>
  <c r="AH1609" i="8"/>
  <c r="AG1609" i="8"/>
  <c r="AE1609" i="8"/>
  <c r="Y1609" i="8"/>
  <c r="V1609" i="8"/>
  <c r="U1609" i="8"/>
  <c r="W1609" i="8" s="1"/>
  <c r="T1609" i="8"/>
  <c r="R1609" i="8"/>
  <c r="M1609" i="8"/>
  <c r="P1609" i="8" s="1"/>
  <c r="L1609" i="8"/>
  <c r="N1609" i="8" s="1"/>
  <c r="H1609" i="8"/>
  <c r="G1609" i="8"/>
  <c r="AH1608" i="8"/>
  <c r="AG1608" i="8"/>
  <c r="AE1608" i="8"/>
  <c r="Y1608" i="8"/>
  <c r="V1608" i="8"/>
  <c r="U1608" i="8"/>
  <c r="W1608" i="8" s="1"/>
  <c r="AA1608" i="8" s="1"/>
  <c r="T1608" i="8"/>
  <c r="R1608" i="8"/>
  <c r="S1608" i="8" s="1"/>
  <c r="P1608" i="8"/>
  <c r="Z1608" i="8" s="1"/>
  <c r="O1608" i="8"/>
  <c r="M1608" i="8"/>
  <c r="L1608" i="8"/>
  <c r="N1608" i="8" s="1"/>
  <c r="H1608" i="8"/>
  <c r="G1608" i="8"/>
  <c r="AH1607" i="8"/>
  <c r="AG1607" i="8"/>
  <c r="AE1607" i="8"/>
  <c r="AC1607" i="8"/>
  <c r="AF1607" i="8" s="1"/>
  <c r="Y1607" i="8"/>
  <c r="W1607" i="8"/>
  <c r="AA1607" i="8" s="1"/>
  <c r="V1607" i="8"/>
  <c r="Z1607" i="8" s="1"/>
  <c r="X1607" i="8" s="1"/>
  <c r="AB1607" i="8" s="1"/>
  <c r="U1607" i="8"/>
  <c r="T1607" i="8"/>
  <c r="R1607" i="8"/>
  <c r="P1607" i="8"/>
  <c r="O1607" i="8"/>
  <c r="S1607" i="8" s="1"/>
  <c r="N1607" i="8"/>
  <c r="M1607" i="8"/>
  <c r="L1607" i="8"/>
  <c r="H1607" i="8"/>
  <c r="G1607" i="8"/>
  <c r="AH1606" i="8"/>
  <c r="AG1606" i="8"/>
  <c r="AE1606" i="8"/>
  <c r="Y1606" i="8"/>
  <c r="W1606" i="8"/>
  <c r="AA1606" i="8" s="1"/>
  <c r="V1606" i="8"/>
  <c r="Z1606" i="8" s="1"/>
  <c r="X1606" i="8" s="1"/>
  <c r="AB1606" i="8" s="1"/>
  <c r="U1606" i="8"/>
  <c r="T1606" i="8"/>
  <c r="R1606" i="8"/>
  <c r="O1606" i="8"/>
  <c r="S1606" i="8" s="1"/>
  <c r="N1606" i="8"/>
  <c r="M1606" i="8"/>
  <c r="P1606" i="8" s="1"/>
  <c r="AC1606" i="8" s="1"/>
  <c r="L1606" i="8"/>
  <c r="H1606" i="8"/>
  <c r="G1606" i="8"/>
  <c r="AH1605" i="8"/>
  <c r="AG1605" i="8"/>
  <c r="AE1605" i="8"/>
  <c r="Y1605" i="8"/>
  <c r="V1605" i="8"/>
  <c r="W1605" i="8" s="1"/>
  <c r="U1605" i="8"/>
  <c r="T1605" i="8"/>
  <c r="R1605" i="8"/>
  <c r="N1605" i="8"/>
  <c r="M1605" i="8"/>
  <c r="P1605" i="8" s="1"/>
  <c r="L1605" i="8"/>
  <c r="H1605" i="8"/>
  <c r="G1605" i="8"/>
  <c r="AH1604" i="8"/>
  <c r="AG1604" i="8"/>
  <c r="AE1604" i="8"/>
  <c r="Y1604" i="8"/>
  <c r="AC1604" i="8" s="1"/>
  <c r="V1604" i="8"/>
  <c r="Z1604" i="8" s="1"/>
  <c r="U1604" i="8"/>
  <c r="W1604" i="8" s="1"/>
  <c r="AA1604" i="8" s="1"/>
  <c r="T1604" i="8"/>
  <c r="R1604" i="8"/>
  <c r="P1604" i="8"/>
  <c r="M1604" i="8"/>
  <c r="O1604" i="8" s="1"/>
  <c r="L1604" i="8"/>
  <c r="N1604" i="8" s="1"/>
  <c r="H1604" i="8"/>
  <c r="G1604" i="8"/>
  <c r="AH1603" i="8"/>
  <c r="AG1603" i="8"/>
  <c r="AE1603" i="8"/>
  <c r="AC1603" i="8"/>
  <c r="Y1603" i="8"/>
  <c r="V1603" i="8"/>
  <c r="U1603" i="8"/>
  <c r="W1603" i="8" s="1"/>
  <c r="AA1603" i="8" s="1"/>
  <c r="T1603" i="8"/>
  <c r="R1603" i="8"/>
  <c r="P1603" i="8"/>
  <c r="Z1603" i="8" s="1"/>
  <c r="X1603" i="8" s="1"/>
  <c r="AB1603" i="8" s="1"/>
  <c r="O1603" i="8"/>
  <c r="S1603" i="8" s="1"/>
  <c r="M1603" i="8"/>
  <c r="L1603" i="8"/>
  <c r="N1603" i="8" s="1"/>
  <c r="H1603" i="8"/>
  <c r="G1603" i="8"/>
  <c r="AH1602" i="8"/>
  <c r="AG1602" i="8"/>
  <c r="AE1602" i="8"/>
  <c r="Y1602" i="8"/>
  <c r="V1602" i="8"/>
  <c r="U1602" i="8"/>
  <c r="T1602" i="8"/>
  <c r="R1602" i="8"/>
  <c r="N1602" i="8"/>
  <c r="M1602" i="8"/>
  <c r="L1602" i="8"/>
  <c r="H1602" i="8"/>
  <c r="G1602" i="8"/>
  <c r="AH1601" i="8"/>
  <c r="AG1601" i="8"/>
  <c r="AE1601" i="8"/>
  <c r="Y1601" i="8"/>
  <c r="X1601" i="8" s="1"/>
  <c r="AB1601" i="8" s="1"/>
  <c r="V1601" i="8"/>
  <c r="U1601" i="8"/>
  <c r="W1601" i="8" s="1"/>
  <c r="AA1601" i="8" s="1"/>
  <c r="T1601" i="8"/>
  <c r="R1601" i="8"/>
  <c r="M1601" i="8"/>
  <c r="P1601" i="8" s="1"/>
  <c r="Z1601" i="8" s="1"/>
  <c r="L1601" i="8"/>
  <c r="N1601" i="8" s="1"/>
  <c r="H1601" i="8"/>
  <c r="G1601" i="8"/>
  <c r="AH1600" i="8"/>
  <c r="AG1600" i="8"/>
  <c r="AE1600" i="8"/>
  <c r="AC1600" i="8"/>
  <c r="Y1600" i="8"/>
  <c r="V1600" i="8"/>
  <c r="U1600" i="8"/>
  <c r="W1600" i="8" s="1"/>
  <c r="AA1600" i="8" s="1"/>
  <c r="T1600" i="8"/>
  <c r="R1600" i="8"/>
  <c r="S1600" i="8" s="1"/>
  <c r="P1600" i="8"/>
  <c r="Z1600" i="8" s="1"/>
  <c r="O1600" i="8"/>
  <c r="M1600" i="8"/>
  <c r="L1600" i="8"/>
  <c r="N1600" i="8" s="1"/>
  <c r="H1600" i="8"/>
  <c r="G1600" i="8"/>
  <c r="AH1599" i="8"/>
  <c r="AG1599" i="8"/>
  <c r="AE1599" i="8"/>
  <c r="AC1599" i="8"/>
  <c r="AF1599" i="8" s="1"/>
  <c r="AA1599" i="8"/>
  <c r="Y1599" i="8"/>
  <c r="W1599" i="8"/>
  <c r="V1599" i="8"/>
  <c r="Z1599" i="8" s="1"/>
  <c r="X1599" i="8" s="1"/>
  <c r="AB1599" i="8" s="1"/>
  <c r="U1599" i="8"/>
  <c r="T1599" i="8"/>
  <c r="P1599" i="8"/>
  <c r="O1599" i="8"/>
  <c r="M1599" i="8"/>
  <c r="L1599" i="8"/>
  <c r="H1599" i="8"/>
  <c r="N1599" i="8" s="1"/>
  <c r="G1599" i="8"/>
  <c r="AH1598" i="8"/>
  <c r="AG1598" i="8"/>
  <c r="AF1598" i="8"/>
  <c r="AE1598" i="8"/>
  <c r="AA1598" i="8"/>
  <c r="Y1598" i="8"/>
  <c r="AC1598" i="8" s="1"/>
  <c r="AD1598" i="8" s="1"/>
  <c r="X1598" i="8"/>
  <c r="AB1598" i="8" s="1"/>
  <c r="W1598" i="8"/>
  <c r="V1598" i="8"/>
  <c r="Z1598" i="8" s="1"/>
  <c r="U1598" i="8"/>
  <c r="T1598" i="8"/>
  <c r="P1598" i="8"/>
  <c r="O1598" i="8"/>
  <c r="M1598" i="8"/>
  <c r="L1598" i="8"/>
  <c r="H1598" i="8"/>
  <c r="N1598" i="8" s="1"/>
  <c r="G1598" i="8"/>
  <c r="AH1597" i="8"/>
  <c r="AG1597" i="8"/>
  <c r="AE1597" i="8"/>
  <c r="Y1597" i="8"/>
  <c r="AC1597" i="8" s="1"/>
  <c r="V1597" i="8"/>
  <c r="U1597" i="8"/>
  <c r="W1597" i="8" s="1"/>
  <c r="AA1597" i="8" s="1"/>
  <c r="T1597" i="8"/>
  <c r="P1597" i="8"/>
  <c r="O1597" i="8"/>
  <c r="M1597" i="8"/>
  <c r="L1597" i="8"/>
  <c r="N1597" i="8" s="1"/>
  <c r="H1597" i="8"/>
  <c r="R1597" i="8" s="1"/>
  <c r="S1597" i="8" s="1"/>
  <c r="G1597" i="8"/>
  <c r="AH1596" i="8"/>
  <c r="AG1596" i="8"/>
  <c r="AE1596" i="8"/>
  <c r="Y1596" i="8"/>
  <c r="V1596" i="8"/>
  <c r="U1596" i="8"/>
  <c r="W1596" i="8" s="1"/>
  <c r="AA1596" i="8" s="1"/>
  <c r="T1596" i="8"/>
  <c r="S1596" i="8"/>
  <c r="P1596" i="8"/>
  <c r="AC1596" i="8" s="1"/>
  <c r="O1596" i="8"/>
  <c r="M1596" i="8"/>
  <c r="L1596" i="8"/>
  <c r="N1596" i="8" s="1"/>
  <c r="H1596" i="8"/>
  <c r="R1596" i="8" s="1"/>
  <c r="G1596" i="8"/>
  <c r="AH1595" i="8"/>
  <c r="AG1595" i="8"/>
  <c r="AE1595" i="8"/>
  <c r="Y1595" i="8"/>
  <c r="X1595" i="8"/>
  <c r="AB1595" i="8" s="1"/>
  <c r="V1595" i="8"/>
  <c r="Z1595" i="8" s="1"/>
  <c r="U1595" i="8"/>
  <c r="W1595" i="8" s="1"/>
  <c r="AA1595" i="8" s="1"/>
  <c r="T1595" i="8"/>
  <c r="P1595" i="8"/>
  <c r="AC1595" i="8" s="1"/>
  <c r="O1595" i="8"/>
  <c r="M1595" i="8"/>
  <c r="L1595" i="8"/>
  <c r="N1595" i="8" s="1"/>
  <c r="H1595" i="8"/>
  <c r="R1595" i="8" s="1"/>
  <c r="S1595" i="8" s="1"/>
  <c r="G1595" i="8"/>
  <c r="AH1594" i="8"/>
  <c r="AG1594" i="8"/>
  <c r="AE1594" i="8"/>
  <c r="AA1594" i="8"/>
  <c r="Y1594" i="8"/>
  <c r="AC1594" i="8" s="1"/>
  <c r="X1594" i="8"/>
  <c r="AB1594" i="8" s="1"/>
  <c r="V1594" i="8"/>
  <c r="U1594" i="8"/>
  <c r="W1594" i="8" s="1"/>
  <c r="T1594" i="8"/>
  <c r="P1594" i="8"/>
  <c r="Z1594" i="8" s="1"/>
  <c r="O1594" i="8"/>
  <c r="M1594" i="8"/>
  <c r="L1594" i="8"/>
  <c r="N1594" i="8" s="1"/>
  <c r="H1594" i="8"/>
  <c r="R1594" i="8" s="1"/>
  <c r="G1594" i="8"/>
  <c r="AH1593" i="8"/>
  <c r="AG1593" i="8"/>
  <c r="AE1593" i="8"/>
  <c r="Y1593" i="8"/>
  <c r="AC1593" i="8" s="1"/>
  <c r="V1593" i="8"/>
  <c r="U1593" i="8"/>
  <c r="W1593" i="8" s="1"/>
  <c r="AA1593" i="8" s="1"/>
  <c r="T1593" i="8"/>
  <c r="S1593" i="8"/>
  <c r="P1593" i="8"/>
  <c r="Z1593" i="8" s="1"/>
  <c r="O1593" i="8"/>
  <c r="M1593" i="8"/>
  <c r="L1593" i="8"/>
  <c r="N1593" i="8" s="1"/>
  <c r="H1593" i="8"/>
  <c r="R1593" i="8" s="1"/>
  <c r="G1593" i="8"/>
  <c r="AH1592" i="8"/>
  <c r="AG1592" i="8"/>
  <c r="AE1592" i="8"/>
  <c r="Y1592" i="8"/>
  <c r="X1592" i="8"/>
  <c r="AB1592" i="8" s="1"/>
  <c r="V1592" i="8"/>
  <c r="U1592" i="8"/>
  <c r="W1592" i="8" s="1"/>
  <c r="AA1592" i="8" s="1"/>
  <c r="T1592" i="8"/>
  <c r="S1592" i="8"/>
  <c r="P1592" i="8"/>
  <c r="Z1592" i="8" s="1"/>
  <c r="O1592" i="8"/>
  <c r="M1592" i="8"/>
  <c r="L1592" i="8"/>
  <c r="N1592" i="8" s="1"/>
  <c r="H1592" i="8"/>
  <c r="R1592" i="8" s="1"/>
  <c r="G1592" i="8"/>
  <c r="AH1591" i="8"/>
  <c r="AG1591" i="8"/>
  <c r="AE1591" i="8"/>
  <c r="Y1591" i="8"/>
  <c r="X1591" i="8"/>
  <c r="AB1591" i="8" s="1"/>
  <c r="V1591" i="8"/>
  <c r="U1591" i="8"/>
  <c r="W1591" i="8" s="1"/>
  <c r="AA1591" i="8" s="1"/>
  <c r="T1591" i="8"/>
  <c r="P1591" i="8"/>
  <c r="Z1591" i="8" s="1"/>
  <c r="O1591" i="8"/>
  <c r="M1591" i="8"/>
  <c r="L1591" i="8"/>
  <c r="N1591" i="8" s="1"/>
  <c r="H1591" i="8"/>
  <c r="R1591" i="8" s="1"/>
  <c r="S1591" i="8" s="1"/>
  <c r="G1591" i="8"/>
  <c r="AH1590" i="8"/>
  <c r="AG1590" i="8"/>
  <c r="AE1590" i="8"/>
  <c r="AA1590" i="8"/>
  <c r="Y1590" i="8"/>
  <c r="AC1590" i="8" s="1"/>
  <c r="X1590" i="8"/>
  <c r="AB1590" i="8" s="1"/>
  <c r="V1590" i="8"/>
  <c r="U1590" i="8"/>
  <c r="W1590" i="8" s="1"/>
  <c r="T1590" i="8"/>
  <c r="P1590" i="8"/>
  <c r="Z1590" i="8" s="1"/>
  <c r="O1590" i="8"/>
  <c r="S1590" i="8" s="1"/>
  <c r="M1590" i="8"/>
  <c r="L1590" i="8"/>
  <c r="N1590" i="8" s="1"/>
  <c r="H1590" i="8"/>
  <c r="R1590" i="8" s="1"/>
  <c r="G1590" i="8"/>
  <c r="AH1589" i="8"/>
  <c r="AG1589" i="8"/>
  <c r="AE1589" i="8"/>
  <c r="Y1589" i="8"/>
  <c r="AC1589" i="8" s="1"/>
  <c r="V1589" i="8"/>
  <c r="U1589" i="8"/>
  <c r="W1589" i="8" s="1"/>
  <c r="AA1589" i="8" s="1"/>
  <c r="T1589" i="8"/>
  <c r="S1589" i="8"/>
  <c r="P1589" i="8"/>
  <c r="Z1589" i="8" s="1"/>
  <c r="O1589" i="8"/>
  <c r="M1589" i="8"/>
  <c r="L1589" i="8"/>
  <c r="N1589" i="8" s="1"/>
  <c r="H1589" i="8"/>
  <c r="R1589" i="8" s="1"/>
  <c r="G1589" i="8"/>
  <c r="AH1588" i="8"/>
  <c r="AG1588" i="8"/>
  <c r="AE1588" i="8"/>
  <c r="Y1588" i="8"/>
  <c r="X1588" i="8"/>
  <c r="AB1588" i="8" s="1"/>
  <c r="V1588" i="8"/>
  <c r="U1588" i="8"/>
  <c r="W1588" i="8" s="1"/>
  <c r="AA1588" i="8" s="1"/>
  <c r="T1588" i="8"/>
  <c r="S1588" i="8"/>
  <c r="P1588" i="8"/>
  <c r="Z1588" i="8" s="1"/>
  <c r="O1588" i="8"/>
  <c r="M1588" i="8"/>
  <c r="L1588" i="8"/>
  <c r="N1588" i="8" s="1"/>
  <c r="H1588" i="8"/>
  <c r="R1588" i="8" s="1"/>
  <c r="G1588" i="8"/>
  <c r="AH1587" i="8"/>
  <c r="AG1587" i="8"/>
  <c r="AE1587" i="8"/>
  <c r="Y1587" i="8"/>
  <c r="V1587" i="8"/>
  <c r="U1587" i="8"/>
  <c r="W1587" i="8" s="1"/>
  <c r="AA1587" i="8" s="1"/>
  <c r="T1587" i="8"/>
  <c r="P1587" i="8"/>
  <c r="Z1587" i="8" s="1"/>
  <c r="M1587" i="8"/>
  <c r="L1587" i="8"/>
  <c r="H1587" i="8"/>
  <c r="R1587" i="8" s="1"/>
  <c r="G1587" i="8"/>
  <c r="AH1586" i="8"/>
  <c r="AG1586" i="8"/>
  <c r="AE1586" i="8"/>
  <c r="AC1586" i="8"/>
  <c r="Y1586" i="8"/>
  <c r="X1586" i="8" s="1"/>
  <c r="AB1586" i="8" s="1"/>
  <c r="V1586" i="8"/>
  <c r="U1586" i="8"/>
  <c r="W1586" i="8" s="1"/>
  <c r="AA1586" i="8" s="1"/>
  <c r="T1586" i="8"/>
  <c r="S1586" i="8"/>
  <c r="P1586" i="8"/>
  <c r="Z1586" i="8" s="1"/>
  <c r="O1586" i="8"/>
  <c r="M1586" i="8"/>
  <c r="L1586" i="8"/>
  <c r="N1586" i="8" s="1"/>
  <c r="H1586" i="8"/>
  <c r="R1586" i="8" s="1"/>
  <c r="G1586" i="8"/>
  <c r="AH1585" i="8"/>
  <c r="AG1585" i="8"/>
  <c r="AE1585" i="8"/>
  <c r="Y1585" i="8"/>
  <c r="AC1585" i="8" s="1"/>
  <c r="V1585" i="8"/>
  <c r="U1585" i="8"/>
  <c r="W1585" i="8" s="1"/>
  <c r="AA1585" i="8" s="1"/>
  <c r="T1585" i="8"/>
  <c r="P1585" i="8"/>
  <c r="Z1585" i="8" s="1"/>
  <c r="M1585" i="8"/>
  <c r="L1585" i="8"/>
  <c r="H1585" i="8"/>
  <c r="G1585" i="8"/>
  <c r="AH1584" i="8"/>
  <c r="AG1584" i="8"/>
  <c r="AE1584" i="8"/>
  <c r="AC1584" i="8"/>
  <c r="AD1584" i="8" s="1"/>
  <c r="AA1584" i="8"/>
  <c r="Y1584" i="8"/>
  <c r="X1584" i="8"/>
  <c r="AB1584" i="8" s="1"/>
  <c r="V1584" i="8"/>
  <c r="U1584" i="8"/>
  <c r="W1584" i="8" s="1"/>
  <c r="T1584" i="8"/>
  <c r="P1584" i="8"/>
  <c r="Z1584" i="8" s="1"/>
  <c r="O1584" i="8"/>
  <c r="S1584" i="8" s="1"/>
  <c r="M1584" i="8"/>
  <c r="L1584" i="8"/>
  <c r="N1584" i="8" s="1"/>
  <c r="H1584" i="8"/>
  <c r="R1584" i="8" s="1"/>
  <c r="G1584" i="8"/>
  <c r="AH1583" i="8"/>
  <c r="AG1583" i="8"/>
  <c r="AE1583" i="8"/>
  <c r="Y1583" i="8"/>
  <c r="AC1583" i="8" s="1"/>
  <c r="V1583" i="8"/>
  <c r="U1583" i="8"/>
  <c r="W1583" i="8" s="1"/>
  <c r="T1583" i="8"/>
  <c r="P1583" i="8"/>
  <c r="Z1583" i="8" s="1"/>
  <c r="M1583" i="8"/>
  <c r="L1583" i="8"/>
  <c r="H1583" i="8"/>
  <c r="R1583" i="8" s="1"/>
  <c r="G1583" i="8"/>
  <c r="AH1582" i="8"/>
  <c r="AG1582" i="8"/>
  <c r="AF1582" i="8"/>
  <c r="AE1582" i="8"/>
  <c r="AC1582" i="8"/>
  <c r="AD1582" i="8" s="1"/>
  <c r="AA1582" i="8"/>
  <c r="Y1582" i="8"/>
  <c r="X1582" i="8"/>
  <c r="AB1582" i="8" s="1"/>
  <c r="V1582" i="8"/>
  <c r="U1582" i="8"/>
  <c r="W1582" i="8" s="1"/>
  <c r="T1582" i="8"/>
  <c r="P1582" i="8"/>
  <c r="Z1582" i="8" s="1"/>
  <c r="O1582" i="8"/>
  <c r="M1582" i="8"/>
  <c r="L1582" i="8"/>
  <c r="N1582" i="8" s="1"/>
  <c r="H1582" i="8"/>
  <c r="R1582" i="8" s="1"/>
  <c r="S1582" i="8" s="1"/>
  <c r="G1582" i="8"/>
  <c r="AH1581" i="8"/>
  <c r="AG1581" i="8"/>
  <c r="AE1581" i="8"/>
  <c r="Y1581" i="8"/>
  <c r="X1581" i="8" s="1"/>
  <c r="AB1581" i="8" s="1"/>
  <c r="V1581" i="8"/>
  <c r="U1581" i="8"/>
  <c r="W1581" i="8" s="1"/>
  <c r="AA1581" i="8" s="1"/>
  <c r="T1581" i="8"/>
  <c r="P1581" i="8"/>
  <c r="Z1581" i="8" s="1"/>
  <c r="M1581" i="8"/>
  <c r="L1581" i="8"/>
  <c r="H1581" i="8"/>
  <c r="R1581" i="8" s="1"/>
  <c r="G1581" i="8"/>
  <c r="AH1580" i="8"/>
  <c r="AG1580" i="8"/>
  <c r="AE1580" i="8"/>
  <c r="AA1580" i="8"/>
  <c r="Y1580" i="8"/>
  <c r="V1580" i="8"/>
  <c r="U1580" i="8"/>
  <c r="W1580" i="8" s="1"/>
  <c r="T1580" i="8"/>
  <c r="R1580" i="8"/>
  <c r="P1580" i="8"/>
  <c r="Z1580" i="8" s="1"/>
  <c r="O1580" i="8"/>
  <c r="M1580" i="8"/>
  <c r="L1580" i="8"/>
  <c r="N1580" i="8" s="1"/>
  <c r="H1580" i="8"/>
  <c r="G1580" i="8"/>
  <c r="AH1579" i="8"/>
  <c r="AG1579" i="8"/>
  <c r="AE1579" i="8"/>
  <c r="AC1579" i="8"/>
  <c r="AD1579" i="8" s="1"/>
  <c r="Y1579" i="8"/>
  <c r="V1579" i="8"/>
  <c r="U1579" i="8"/>
  <c r="W1579" i="8" s="1"/>
  <c r="AA1579" i="8" s="1"/>
  <c r="T1579" i="8"/>
  <c r="P1579" i="8"/>
  <c r="Z1579" i="8" s="1"/>
  <c r="X1579" i="8" s="1"/>
  <c r="AB1579" i="8" s="1"/>
  <c r="M1579" i="8"/>
  <c r="L1579" i="8"/>
  <c r="H1579" i="8"/>
  <c r="G1579" i="8"/>
  <c r="AH1578" i="8"/>
  <c r="AG1578" i="8"/>
  <c r="AE1578" i="8"/>
  <c r="AC1578" i="8"/>
  <c r="AA1578" i="8"/>
  <c r="Y1578" i="8"/>
  <c r="V1578" i="8"/>
  <c r="U1578" i="8"/>
  <c r="W1578" i="8" s="1"/>
  <c r="T1578" i="8"/>
  <c r="R1578" i="8"/>
  <c r="S1578" i="8" s="1"/>
  <c r="P1578" i="8"/>
  <c r="Z1578" i="8" s="1"/>
  <c r="X1578" i="8" s="1"/>
  <c r="AB1578" i="8" s="1"/>
  <c r="O1578" i="8"/>
  <c r="M1578" i="8"/>
  <c r="L1578" i="8"/>
  <c r="N1578" i="8" s="1"/>
  <c r="H1578" i="8"/>
  <c r="G1578" i="8"/>
  <c r="AH1577" i="8"/>
  <c r="AG1577" i="8"/>
  <c r="AE1577" i="8"/>
  <c r="Y1577" i="8"/>
  <c r="V1577" i="8"/>
  <c r="U1577" i="8"/>
  <c r="W1577" i="8" s="1"/>
  <c r="AA1577" i="8" s="1"/>
  <c r="T1577" i="8"/>
  <c r="P1577" i="8"/>
  <c r="AC1577" i="8" s="1"/>
  <c r="M1577" i="8"/>
  <c r="L1577" i="8"/>
  <c r="H1577" i="8"/>
  <c r="R1577" i="8" s="1"/>
  <c r="G1577" i="8"/>
  <c r="AH1576" i="8"/>
  <c r="AG1576" i="8"/>
  <c r="AE1576" i="8"/>
  <c r="AC1576" i="8"/>
  <c r="Y1576" i="8"/>
  <c r="V1576" i="8"/>
  <c r="U1576" i="8"/>
  <c r="W1576" i="8" s="1"/>
  <c r="T1576" i="8"/>
  <c r="R1576" i="8"/>
  <c r="S1576" i="8" s="1"/>
  <c r="P1576" i="8"/>
  <c r="AA1576" i="8" s="1"/>
  <c r="O1576" i="8"/>
  <c r="M1576" i="8"/>
  <c r="L1576" i="8"/>
  <c r="N1576" i="8" s="1"/>
  <c r="H1576" i="8"/>
  <c r="G1576" i="8"/>
  <c r="AH1575" i="8"/>
  <c r="AG1575" i="8"/>
  <c r="AE1575" i="8"/>
  <c r="Z1575" i="8"/>
  <c r="X1575" i="8" s="1"/>
  <c r="AB1575" i="8" s="1"/>
  <c r="Y1575" i="8"/>
  <c r="V1575" i="8"/>
  <c r="U1575" i="8"/>
  <c r="W1575" i="8" s="1"/>
  <c r="AA1575" i="8" s="1"/>
  <c r="T1575" i="8"/>
  <c r="P1575" i="8"/>
  <c r="O1575" i="8"/>
  <c r="M1575" i="8"/>
  <c r="L1575" i="8"/>
  <c r="N1575" i="8" s="1"/>
  <c r="H1575" i="8"/>
  <c r="R1575" i="8" s="1"/>
  <c r="S1575" i="8" s="1"/>
  <c r="G1575" i="8"/>
  <c r="AH1574" i="8"/>
  <c r="AG1574" i="8"/>
  <c r="AE1574" i="8"/>
  <c r="Y1574" i="8"/>
  <c r="AC1574" i="8" s="1"/>
  <c r="AD1574" i="8" s="1"/>
  <c r="V1574" i="8"/>
  <c r="U1574" i="8"/>
  <c r="W1574" i="8" s="1"/>
  <c r="AA1574" i="8" s="1"/>
  <c r="T1574" i="8"/>
  <c r="P1574" i="8"/>
  <c r="Z1574" i="8" s="1"/>
  <c r="O1574" i="8"/>
  <c r="M1574" i="8"/>
  <c r="L1574" i="8"/>
  <c r="N1574" i="8" s="1"/>
  <c r="H1574" i="8"/>
  <c r="R1574" i="8" s="1"/>
  <c r="S1574" i="8" s="1"/>
  <c r="G1574" i="8"/>
  <c r="AH1573" i="8"/>
  <c r="AG1573" i="8"/>
  <c r="AE1573" i="8"/>
  <c r="Y1573" i="8"/>
  <c r="V1573" i="8"/>
  <c r="U1573" i="8"/>
  <c r="W1573" i="8" s="1"/>
  <c r="AA1573" i="8" s="1"/>
  <c r="T1573" i="8"/>
  <c r="P1573" i="8"/>
  <c r="Z1573" i="8" s="1"/>
  <c r="M1573" i="8"/>
  <c r="L1573" i="8"/>
  <c r="H1573" i="8"/>
  <c r="R1573" i="8" s="1"/>
  <c r="G1573" i="8"/>
  <c r="AH1572" i="8"/>
  <c r="AG1572" i="8"/>
  <c r="AE1572" i="8"/>
  <c r="AA1572" i="8"/>
  <c r="Y1572" i="8"/>
  <c r="V1572" i="8"/>
  <c r="U1572" i="8"/>
  <c r="W1572" i="8" s="1"/>
  <c r="T1572" i="8"/>
  <c r="R1572" i="8"/>
  <c r="S1572" i="8" s="1"/>
  <c r="P1572" i="8"/>
  <c r="Z1572" i="8" s="1"/>
  <c r="O1572" i="8"/>
  <c r="M1572" i="8"/>
  <c r="L1572" i="8"/>
  <c r="N1572" i="8" s="1"/>
  <c r="H1572" i="8"/>
  <c r="G1572" i="8"/>
  <c r="AH1571" i="8"/>
  <c r="AG1571" i="8"/>
  <c r="AE1571" i="8"/>
  <c r="AC1571" i="8"/>
  <c r="AD1571" i="8" s="1"/>
  <c r="Y1571" i="8"/>
  <c r="V1571" i="8"/>
  <c r="U1571" i="8"/>
  <c r="W1571" i="8" s="1"/>
  <c r="AA1571" i="8" s="1"/>
  <c r="T1571" i="8"/>
  <c r="P1571" i="8"/>
  <c r="Z1571" i="8" s="1"/>
  <c r="X1571" i="8" s="1"/>
  <c r="AB1571" i="8" s="1"/>
  <c r="M1571" i="8"/>
  <c r="L1571" i="8"/>
  <c r="H1571" i="8"/>
  <c r="G1571" i="8"/>
  <c r="AH1570" i="8"/>
  <c r="AG1570" i="8"/>
  <c r="AE1570" i="8"/>
  <c r="AC1570" i="8"/>
  <c r="AD1570" i="8" s="1"/>
  <c r="AA1570" i="8"/>
  <c r="Y1570" i="8"/>
  <c r="V1570" i="8"/>
  <c r="U1570" i="8"/>
  <c r="W1570" i="8" s="1"/>
  <c r="T1570" i="8"/>
  <c r="R1570" i="8"/>
  <c r="S1570" i="8" s="1"/>
  <c r="P1570" i="8"/>
  <c r="Z1570" i="8" s="1"/>
  <c r="X1570" i="8" s="1"/>
  <c r="AB1570" i="8" s="1"/>
  <c r="O1570" i="8"/>
  <c r="M1570" i="8"/>
  <c r="L1570" i="8"/>
  <c r="N1570" i="8" s="1"/>
  <c r="H1570" i="8"/>
  <c r="G1570" i="8"/>
  <c r="AH1569" i="8"/>
  <c r="AG1569" i="8"/>
  <c r="AE1569" i="8"/>
  <c r="AC1569" i="8"/>
  <c r="Z1569" i="8"/>
  <c r="Y1569" i="8"/>
  <c r="X1569" i="8"/>
  <c r="AB1569" i="8" s="1"/>
  <c r="V1569" i="8"/>
  <c r="U1569" i="8"/>
  <c r="W1569" i="8" s="1"/>
  <c r="AA1569" i="8" s="1"/>
  <c r="T1569" i="8"/>
  <c r="R1569" i="8"/>
  <c r="P1569" i="8"/>
  <c r="O1569" i="8"/>
  <c r="M1569" i="8"/>
  <c r="L1569" i="8"/>
  <c r="N1569" i="8" s="1"/>
  <c r="H1569" i="8"/>
  <c r="G1569" i="8"/>
  <c r="AH1568" i="8"/>
  <c r="AG1568" i="8"/>
  <c r="AE1568" i="8"/>
  <c r="Y1568" i="8"/>
  <c r="AC1568" i="8" s="1"/>
  <c r="AD1568" i="8" s="1"/>
  <c r="W1568" i="8"/>
  <c r="AA1568" i="8" s="1"/>
  <c r="V1568" i="8"/>
  <c r="U1568" i="8"/>
  <c r="T1568" i="8"/>
  <c r="P1568" i="8"/>
  <c r="Z1568" i="8" s="1"/>
  <c r="N1568" i="8"/>
  <c r="M1568" i="8"/>
  <c r="L1568" i="8"/>
  <c r="H1568" i="8"/>
  <c r="R1568" i="8" s="1"/>
  <c r="G1568" i="8"/>
  <c r="AH1567" i="8"/>
  <c r="AG1567" i="8"/>
  <c r="AE1567" i="8"/>
  <c r="AC1567" i="8"/>
  <c r="AD1567" i="8" s="1"/>
  <c r="Z1567" i="8"/>
  <c r="Y1567" i="8"/>
  <c r="X1567" i="8"/>
  <c r="AB1567" i="8" s="1"/>
  <c r="V1567" i="8"/>
  <c r="U1567" i="8"/>
  <c r="W1567" i="8" s="1"/>
  <c r="AA1567" i="8" s="1"/>
  <c r="T1567" i="8"/>
  <c r="P1567" i="8"/>
  <c r="O1567" i="8"/>
  <c r="M1567" i="8"/>
  <c r="L1567" i="8"/>
  <c r="N1567" i="8" s="1"/>
  <c r="H1567" i="8"/>
  <c r="R1567" i="8" s="1"/>
  <c r="S1567" i="8" s="1"/>
  <c r="G1567" i="8"/>
  <c r="AH1566" i="8"/>
  <c r="AG1566" i="8"/>
  <c r="AE1566" i="8"/>
  <c r="AC1566" i="8"/>
  <c r="Z1566" i="8"/>
  <c r="Y1566" i="8"/>
  <c r="X1566" i="8" s="1"/>
  <c r="AB1566" i="8" s="1"/>
  <c r="V1566" i="8"/>
  <c r="U1566" i="8"/>
  <c r="W1566" i="8" s="1"/>
  <c r="AA1566" i="8" s="1"/>
  <c r="T1566" i="8"/>
  <c r="R1566" i="8"/>
  <c r="S1566" i="8" s="1"/>
  <c r="P1566" i="8"/>
  <c r="M1566" i="8"/>
  <c r="L1566" i="8"/>
  <c r="N1566" i="8" s="1"/>
  <c r="H1566" i="8"/>
  <c r="O1566" i="8" s="1"/>
  <c r="G1566" i="8"/>
  <c r="AH1565" i="8"/>
  <c r="AG1565" i="8"/>
  <c r="AE1565" i="8"/>
  <c r="Y1565" i="8"/>
  <c r="W1565" i="8"/>
  <c r="V1565" i="8"/>
  <c r="U1565" i="8"/>
  <c r="T1565" i="8"/>
  <c r="P1565" i="8"/>
  <c r="AA1565" i="8" s="1"/>
  <c r="M1565" i="8"/>
  <c r="L1565" i="8"/>
  <c r="H1565" i="8"/>
  <c r="G1565" i="8"/>
  <c r="AH1564" i="8"/>
  <c r="AG1564" i="8"/>
  <c r="AE1564" i="8"/>
  <c r="AC1564" i="8"/>
  <c r="AD1564" i="8" s="1"/>
  <c r="Y1564" i="8"/>
  <c r="V1564" i="8"/>
  <c r="U1564" i="8"/>
  <c r="W1564" i="8" s="1"/>
  <c r="AA1564" i="8" s="1"/>
  <c r="T1564" i="8"/>
  <c r="S1564" i="8"/>
  <c r="R1564" i="8"/>
  <c r="P1564" i="8"/>
  <c r="Z1564" i="8" s="1"/>
  <c r="X1564" i="8" s="1"/>
  <c r="AB1564" i="8" s="1"/>
  <c r="O1564" i="8"/>
  <c r="M1564" i="8"/>
  <c r="L1564" i="8"/>
  <c r="N1564" i="8" s="1"/>
  <c r="H1564" i="8"/>
  <c r="G1564" i="8"/>
  <c r="AH1563" i="8"/>
  <c r="AG1563" i="8"/>
  <c r="AE1563" i="8"/>
  <c r="Z1563" i="8"/>
  <c r="X1563" i="8" s="1"/>
  <c r="AB1563" i="8" s="1"/>
  <c r="Y1563" i="8"/>
  <c r="AC1563" i="8" s="1"/>
  <c r="W1563" i="8"/>
  <c r="AA1563" i="8" s="1"/>
  <c r="V1563" i="8"/>
  <c r="U1563" i="8"/>
  <c r="T1563" i="8"/>
  <c r="R1563" i="8"/>
  <c r="S1563" i="8" s="1"/>
  <c r="P1563" i="8"/>
  <c r="M1563" i="8"/>
  <c r="L1563" i="8"/>
  <c r="H1563" i="8"/>
  <c r="O1563" i="8" s="1"/>
  <c r="G1563" i="8"/>
  <c r="AH1562" i="8"/>
  <c r="AG1562" i="8"/>
  <c r="AE1562" i="8"/>
  <c r="Y1562" i="8"/>
  <c r="W1562" i="8"/>
  <c r="V1562" i="8"/>
  <c r="U1562" i="8"/>
  <c r="T1562" i="8"/>
  <c r="P1562" i="8"/>
  <c r="O1562" i="8"/>
  <c r="N1562" i="8"/>
  <c r="M1562" i="8"/>
  <c r="L1562" i="8"/>
  <c r="H1562" i="8"/>
  <c r="R1562" i="8" s="1"/>
  <c r="S1562" i="8" s="1"/>
  <c r="G1562" i="8"/>
  <c r="AH1561" i="8"/>
  <c r="AG1561" i="8"/>
  <c r="AE1561" i="8"/>
  <c r="AC1561" i="8"/>
  <c r="Z1561" i="8"/>
  <c r="Y1561" i="8"/>
  <c r="X1561" i="8"/>
  <c r="AB1561" i="8" s="1"/>
  <c r="V1561" i="8"/>
  <c r="U1561" i="8"/>
  <c r="W1561" i="8" s="1"/>
  <c r="AA1561" i="8" s="1"/>
  <c r="T1561" i="8"/>
  <c r="R1561" i="8"/>
  <c r="P1561" i="8"/>
  <c r="O1561" i="8"/>
  <c r="M1561" i="8"/>
  <c r="L1561" i="8"/>
  <c r="N1561" i="8" s="1"/>
  <c r="H1561" i="8"/>
  <c r="G1561" i="8"/>
  <c r="AH1560" i="8"/>
  <c r="AG1560" i="8"/>
  <c r="AE1560" i="8"/>
  <c r="Y1560" i="8"/>
  <c r="AC1560" i="8" s="1"/>
  <c r="AD1560" i="8" s="1"/>
  <c r="W1560" i="8"/>
  <c r="AA1560" i="8" s="1"/>
  <c r="V1560" i="8"/>
  <c r="U1560" i="8"/>
  <c r="T1560" i="8"/>
  <c r="P1560" i="8"/>
  <c r="Z1560" i="8" s="1"/>
  <c r="N1560" i="8"/>
  <c r="M1560" i="8"/>
  <c r="L1560" i="8"/>
  <c r="H1560" i="8"/>
  <c r="R1560" i="8" s="1"/>
  <c r="G1560" i="8"/>
  <c r="AH1559" i="8"/>
  <c r="AG1559" i="8"/>
  <c r="AE1559" i="8"/>
  <c r="AC1559" i="8"/>
  <c r="AD1559" i="8" s="1"/>
  <c r="Z1559" i="8"/>
  <c r="Y1559" i="8"/>
  <c r="X1559" i="8"/>
  <c r="AB1559" i="8" s="1"/>
  <c r="V1559" i="8"/>
  <c r="U1559" i="8"/>
  <c r="W1559" i="8" s="1"/>
  <c r="AA1559" i="8" s="1"/>
  <c r="T1559" i="8"/>
  <c r="P1559" i="8"/>
  <c r="O1559" i="8"/>
  <c r="M1559" i="8"/>
  <c r="L1559" i="8"/>
  <c r="N1559" i="8" s="1"/>
  <c r="H1559" i="8"/>
  <c r="R1559" i="8" s="1"/>
  <c r="S1559" i="8" s="1"/>
  <c r="G1559" i="8"/>
  <c r="AH1558" i="8"/>
  <c r="AG1558" i="8"/>
  <c r="AE1558" i="8"/>
  <c r="AC1558" i="8"/>
  <c r="Z1558" i="8"/>
  <c r="Y1558" i="8"/>
  <c r="X1558" i="8" s="1"/>
  <c r="AB1558" i="8" s="1"/>
  <c r="V1558" i="8"/>
  <c r="U1558" i="8"/>
  <c r="W1558" i="8" s="1"/>
  <c r="AA1558" i="8" s="1"/>
  <c r="T1558" i="8"/>
  <c r="R1558" i="8"/>
  <c r="S1558" i="8" s="1"/>
  <c r="P1558" i="8"/>
  <c r="M1558" i="8"/>
  <c r="L1558" i="8"/>
  <c r="N1558" i="8" s="1"/>
  <c r="H1558" i="8"/>
  <c r="O1558" i="8" s="1"/>
  <c r="G1558" i="8"/>
  <c r="AH1557" i="8"/>
  <c r="AG1557" i="8"/>
  <c r="AE1557" i="8"/>
  <c r="Y1557" i="8"/>
  <c r="W1557" i="8"/>
  <c r="V1557" i="8"/>
  <c r="U1557" i="8"/>
  <c r="T1557" i="8"/>
  <c r="P1557" i="8"/>
  <c r="AA1557" i="8" s="1"/>
  <c r="M1557" i="8"/>
  <c r="L1557" i="8"/>
  <c r="H1557" i="8"/>
  <c r="G1557" i="8"/>
  <c r="AH1556" i="8"/>
  <c r="AG1556" i="8"/>
  <c r="AE1556" i="8"/>
  <c r="AC1556" i="8"/>
  <c r="AA1556" i="8"/>
  <c r="Y1556" i="8"/>
  <c r="V1556" i="8"/>
  <c r="U1556" i="8"/>
  <c r="W1556" i="8" s="1"/>
  <c r="T1556" i="8"/>
  <c r="S1556" i="8"/>
  <c r="R1556" i="8"/>
  <c r="P1556" i="8"/>
  <c r="Z1556" i="8" s="1"/>
  <c r="X1556" i="8" s="1"/>
  <c r="AB1556" i="8" s="1"/>
  <c r="O1556" i="8"/>
  <c r="M1556" i="8"/>
  <c r="L1556" i="8"/>
  <c r="N1556" i="8" s="1"/>
  <c r="H1556" i="8"/>
  <c r="G1556" i="8"/>
  <c r="AH1555" i="8"/>
  <c r="AG1555" i="8"/>
  <c r="AE1555" i="8"/>
  <c r="Z1555" i="8"/>
  <c r="X1555" i="8" s="1"/>
  <c r="AB1555" i="8" s="1"/>
  <c r="Y1555" i="8"/>
  <c r="AC1555" i="8" s="1"/>
  <c r="W1555" i="8"/>
  <c r="AA1555" i="8" s="1"/>
  <c r="V1555" i="8"/>
  <c r="U1555" i="8"/>
  <c r="T1555" i="8"/>
  <c r="R1555" i="8"/>
  <c r="P1555" i="8"/>
  <c r="M1555" i="8"/>
  <c r="L1555" i="8"/>
  <c r="H1555" i="8"/>
  <c r="O1555" i="8" s="1"/>
  <c r="G1555" i="8"/>
  <c r="AH1554" i="8"/>
  <c r="AG1554" i="8"/>
  <c r="AE1554" i="8"/>
  <c r="Y1554" i="8"/>
  <c r="W1554" i="8"/>
  <c r="V1554" i="8"/>
  <c r="U1554" i="8"/>
  <c r="T1554" i="8"/>
  <c r="P1554" i="8"/>
  <c r="O1554" i="8"/>
  <c r="N1554" i="8"/>
  <c r="M1554" i="8"/>
  <c r="L1554" i="8"/>
  <c r="H1554" i="8"/>
  <c r="R1554" i="8" s="1"/>
  <c r="S1554" i="8" s="1"/>
  <c r="G1554" i="8"/>
  <c r="AH1553" i="8"/>
  <c r="AG1553" i="8"/>
  <c r="AE1553" i="8"/>
  <c r="AC1553" i="8"/>
  <c r="AD1553" i="8" s="1"/>
  <c r="Z1553" i="8"/>
  <c r="Y1553" i="8"/>
  <c r="X1553" i="8"/>
  <c r="AB1553" i="8" s="1"/>
  <c r="V1553" i="8"/>
  <c r="U1553" i="8"/>
  <c r="W1553" i="8" s="1"/>
  <c r="AA1553" i="8" s="1"/>
  <c r="T1553" i="8"/>
  <c r="R1553" i="8"/>
  <c r="P1553" i="8"/>
  <c r="O1553" i="8"/>
  <c r="M1553" i="8"/>
  <c r="L1553" i="8"/>
  <c r="N1553" i="8" s="1"/>
  <c r="H1553" i="8"/>
  <c r="G1553" i="8"/>
  <c r="AH1552" i="8"/>
  <c r="AG1552" i="8"/>
  <c r="AE1552" i="8"/>
  <c r="Y1552" i="8"/>
  <c r="AC1552" i="8" s="1"/>
  <c r="AD1552" i="8" s="1"/>
  <c r="W1552" i="8"/>
  <c r="AA1552" i="8" s="1"/>
  <c r="V1552" i="8"/>
  <c r="U1552" i="8"/>
  <c r="T1552" i="8"/>
  <c r="P1552" i="8"/>
  <c r="Z1552" i="8" s="1"/>
  <c r="N1552" i="8"/>
  <c r="M1552" i="8"/>
  <c r="L1552" i="8"/>
  <c r="H1552" i="8"/>
  <c r="R1552" i="8" s="1"/>
  <c r="G1552" i="8"/>
  <c r="AH1551" i="8"/>
  <c r="AG1551" i="8"/>
  <c r="AE1551" i="8"/>
  <c r="AC1551" i="8"/>
  <c r="AD1551" i="8" s="1"/>
  <c r="Z1551" i="8"/>
  <c r="Y1551" i="8"/>
  <c r="X1551" i="8"/>
  <c r="AB1551" i="8" s="1"/>
  <c r="V1551" i="8"/>
  <c r="U1551" i="8"/>
  <c r="W1551" i="8" s="1"/>
  <c r="AA1551" i="8" s="1"/>
  <c r="T1551" i="8"/>
  <c r="P1551" i="8"/>
  <c r="O1551" i="8"/>
  <c r="M1551" i="8"/>
  <c r="L1551" i="8"/>
  <c r="N1551" i="8" s="1"/>
  <c r="H1551" i="8"/>
  <c r="R1551" i="8" s="1"/>
  <c r="G1551" i="8"/>
  <c r="AH1550" i="8"/>
  <c r="AG1550" i="8"/>
  <c r="AE1550" i="8"/>
  <c r="AC1550" i="8"/>
  <c r="AD1550" i="8" s="1"/>
  <c r="Z1550" i="8"/>
  <c r="Y1550" i="8"/>
  <c r="X1550" i="8" s="1"/>
  <c r="AB1550" i="8" s="1"/>
  <c r="V1550" i="8"/>
  <c r="U1550" i="8"/>
  <c r="W1550" i="8" s="1"/>
  <c r="AA1550" i="8" s="1"/>
  <c r="T1550" i="8"/>
  <c r="R1550" i="8"/>
  <c r="P1550" i="8"/>
  <c r="N1550" i="8"/>
  <c r="M1550" i="8"/>
  <c r="L1550" i="8"/>
  <c r="H1550" i="8"/>
  <c r="O1550" i="8" s="1"/>
  <c r="G1550" i="8"/>
  <c r="AH1549" i="8"/>
  <c r="AG1549" i="8"/>
  <c r="AE1549" i="8"/>
  <c r="Y1549" i="8"/>
  <c r="W1549" i="8"/>
  <c r="V1549" i="8"/>
  <c r="U1549" i="8"/>
  <c r="T1549" i="8"/>
  <c r="P1549" i="8"/>
  <c r="AA1549" i="8" s="1"/>
  <c r="M1549" i="8"/>
  <c r="L1549" i="8"/>
  <c r="H1549" i="8"/>
  <c r="G1549" i="8"/>
  <c r="AH1548" i="8"/>
  <c r="AG1548" i="8"/>
  <c r="AE1548" i="8"/>
  <c r="AC1548" i="8"/>
  <c r="AA1548" i="8"/>
  <c r="Y1548" i="8"/>
  <c r="V1548" i="8"/>
  <c r="U1548" i="8"/>
  <c r="W1548" i="8" s="1"/>
  <c r="T1548" i="8"/>
  <c r="S1548" i="8"/>
  <c r="R1548" i="8"/>
  <c r="P1548" i="8"/>
  <c r="Z1548" i="8" s="1"/>
  <c r="X1548" i="8" s="1"/>
  <c r="AB1548" i="8" s="1"/>
  <c r="O1548" i="8"/>
  <c r="M1548" i="8"/>
  <c r="L1548" i="8"/>
  <c r="N1548" i="8" s="1"/>
  <c r="H1548" i="8"/>
  <c r="G1548" i="8"/>
  <c r="AH1547" i="8"/>
  <c r="AG1547" i="8"/>
  <c r="AE1547" i="8"/>
  <c r="Z1547" i="8"/>
  <c r="X1547" i="8" s="1"/>
  <c r="AB1547" i="8" s="1"/>
  <c r="Y1547" i="8"/>
  <c r="AC1547" i="8" s="1"/>
  <c r="W1547" i="8"/>
  <c r="AA1547" i="8" s="1"/>
  <c r="V1547" i="8"/>
  <c r="U1547" i="8"/>
  <c r="T1547" i="8"/>
  <c r="P1547" i="8"/>
  <c r="M1547" i="8"/>
  <c r="L1547" i="8"/>
  <c r="H1547" i="8"/>
  <c r="R1547" i="8" s="1"/>
  <c r="G1547" i="8"/>
  <c r="AH1546" i="8"/>
  <c r="AG1546" i="8"/>
  <c r="AE1546" i="8"/>
  <c r="AA1546" i="8"/>
  <c r="Y1546" i="8"/>
  <c r="W1546" i="8"/>
  <c r="V1546" i="8"/>
  <c r="U1546" i="8"/>
  <c r="T1546" i="8"/>
  <c r="P1546" i="8"/>
  <c r="Z1546" i="8" s="1"/>
  <c r="O1546" i="8"/>
  <c r="N1546" i="8"/>
  <c r="M1546" i="8"/>
  <c r="L1546" i="8"/>
  <c r="H1546" i="8"/>
  <c r="R1546" i="8" s="1"/>
  <c r="S1546" i="8" s="1"/>
  <c r="G1546" i="8"/>
  <c r="AH1545" i="8"/>
  <c r="AG1545" i="8"/>
  <c r="AE1545" i="8"/>
  <c r="AC1545" i="8"/>
  <c r="Z1545" i="8"/>
  <c r="Y1545" i="8"/>
  <c r="X1545" i="8"/>
  <c r="AB1545" i="8" s="1"/>
  <c r="V1545" i="8"/>
  <c r="U1545" i="8"/>
  <c r="W1545" i="8" s="1"/>
  <c r="AA1545" i="8" s="1"/>
  <c r="T1545" i="8"/>
  <c r="R1545" i="8"/>
  <c r="S1545" i="8" s="1"/>
  <c r="P1545" i="8"/>
  <c r="O1545" i="8"/>
  <c r="M1545" i="8"/>
  <c r="L1545" i="8"/>
  <c r="N1545" i="8" s="1"/>
  <c r="H1545" i="8"/>
  <c r="G1545" i="8"/>
  <c r="AH1544" i="8"/>
  <c r="AG1544" i="8"/>
  <c r="AE1544" i="8"/>
  <c r="Y1544" i="8"/>
  <c r="W1544" i="8"/>
  <c r="V1544" i="8"/>
  <c r="U1544" i="8"/>
  <c r="T1544" i="8"/>
  <c r="P1544" i="8"/>
  <c r="Z1544" i="8" s="1"/>
  <c r="N1544" i="8"/>
  <c r="M1544" i="8"/>
  <c r="L1544" i="8"/>
  <c r="H1544" i="8"/>
  <c r="R1544" i="8" s="1"/>
  <c r="G1544" i="8"/>
  <c r="AH1543" i="8"/>
  <c r="AG1543" i="8"/>
  <c r="AE1543" i="8"/>
  <c r="AC1543" i="8"/>
  <c r="AD1543" i="8" s="1"/>
  <c r="Z1543" i="8"/>
  <c r="Y1543" i="8"/>
  <c r="X1543" i="8"/>
  <c r="AB1543" i="8" s="1"/>
  <c r="V1543" i="8"/>
  <c r="U1543" i="8"/>
  <c r="W1543" i="8" s="1"/>
  <c r="AA1543" i="8" s="1"/>
  <c r="T1543" i="8"/>
  <c r="P1543" i="8"/>
  <c r="O1543" i="8"/>
  <c r="M1543" i="8"/>
  <c r="L1543" i="8"/>
  <c r="N1543" i="8" s="1"/>
  <c r="H1543" i="8"/>
  <c r="R1543" i="8" s="1"/>
  <c r="G1543" i="8"/>
  <c r="AH1542" i="8"/>
  <c r="AG1542" i="8"/>
  <c r="AF1542" i="8"/>
  <c r="AE1542" i="8"/>
  <c r="AC1542" i="8"/>
  <c r="AD1542" i="8" s="1"/>
  <c r="Z1542" i="8"/>
  <c r="Y1542" i="8"/>
  <c r="X1542" i="8" s="1"/>
  <c r="AB1542" i="8" s="1"/>
  <c r="W1542" i="8"/>
  <c r="AA1542" i="8" s="1"/>
  <c r="V1542" i="8"/>
  <c r="U1542" i="8"/>
  <c r="T1542" i="8"/>
  <c r="R1542" i="8"/>
  <c r="S1542" i="8" s="1"/>
  <c r="P1542" i="8"/>
  <c r="M1542" i="8"/>
  <c r="L1542" i="8"/>
  <c r="N1542" i="8" s="1"/>
  <c r="H1542" i="8"/>
  <c r="O1542" i="8" s="1"/>
  <c r="G1542" i="8"/>
  <c r="AH1541" i="8"/>
  <c r="AG1541" i="8"/>
  <c r="AE1541" i="8"/>
  <c r="Y1541" i="8"/>
  <c r="W1541" i="8"/>
  <c r="V1541" i="8"/>
  <c r="U1541" i="8"/>
  <c r="T1541" i="8"/>
  <c r="P1541" i="8"/>
  <c r="M1541" i="8"/>
  <c r="L1541" i="8"/>
  <c r="H1541" i="8"/>
  <c r="G1541" i="8"/>
  <c r="AH1540" i="8"/>
  <c r="AG1540" i="8"/>
  <c r="AE1540" i="8"/>
  <c r="AC1540" i="8"/>
  <c r="Y1540" i="8"/>
  <c r="X1540" i="8"/>
  <c r="AB1540" i="8" s="1"/>
  <c r="V1540" i="8"/>
  <c r="U1540" i="8"/>
  <c r="W1540" i="8" s="1"/>
  <c r="AA1540" i="8" s="1"/>
  <c r="T1540" i="8"/>
  <c r="S1540" i="8"/>
  <c r="R1540" i="8"/>
  <c r="P1540" i="8"/>
  <c r="Z1540" i="8" s="1"/>
  <c r="O1540" i="8"/>
  <c r="M1540" i="8"/>
  <c r="L1540" i="8"/>
  <c r="N1540" i="8" s="1"/>
  <c r="H1540" i="8"/>
  <c r="G1540" i="8"/>
  <c r="AH1539" i="8"/>
  <c r="AG1539" i="8"/>
  <c r="AE1539" i="8"/>
  <c r="Z1539" i="8"/>
  <c r="X1539" i="8" s="1"/>
  <c r="AB1539" i="8" s="1"/>
  <c r="Y1539" i="8"/>
  <c r="AC1539" i="8" s="1"/>
  <c r="AD1539" i="8" s="1"/>
  <c r="W1539" i="8"/>
  <c r="AA1539" i="8" s="1"/>
  <c r="V1539" i="8"/>
  <c r="U1539" i="8"/>
  <c r="T1539" i="8"/>
  <c r="R1539" i="8"/>
  <c r="S1539" i="8" s="1"/>
  <c r="P1539" i="8"/>
  <c r="O1539" i="8"/>
  <c r="N1539" i="8"/>
  <c r="M1539" i="8"/>
  <c r="L1539" i="8"/>
  <c r="H1539" i="8"/>
  <c r="G1539" i="8"/>
  <c r="AH1538" i="8"/>
  <c r="AG1538" i="8"/>
  <c r="AE1538" i="8"/>
  <c r="Y1538" i="8"/>
  <c r="AC1538" i="8" s="1"/>
  <c r="AD1538" i="8" s="1"/>
  <c r="W1538" i="8"/>
  <c r="V1538" i="8"/>
  <c r="U1538" i="8"/>
  <c r="T1538" i="8"/>
  <c r="P1538" i="8"/>
  <c r="Z1538" i="8" s="1"/>
  <c r="O1538" i="8"/>
  <c r="N1538" i="8"/>
  <c r="M1538" i="8"/>
  <c r="L1538" i="8"/>
  <c r="H1538" i="8"/>
  <c r="R1538" i="8" s="1"/>
  <c r="S1538" i="8" s="1"/>
  <c r="G1538" i="8"/>
  <c r="AH1537" i="8"/>
  <c r="AG1537" i="8"/>
  <c r="AF1537" i="8"/>
  <c r="AE1537" i="8"/>
  <c r="AC1537" i="8"/>
  <c r="AD1537" i="8" s="1"/>
  <c r="Z1537" i="8"/>
  <c r="X1537" i="8" s="1"/>
  <c r="AB1537" i="8" s="1"/>
  <c r="Y1537" i="8"/>
  <c r="W1537" i="8"/>
  <c r="AA1537" i="8" s="1"/>
  <c r="V1537" i="8"/>
  <c r="U1537" i="8"/>
  <c r="T1537" i="8"/>
  <c r="R1537" i="8"/>
  <c r="P1537" i="8"/>
  <c r="O1537" i="8"/>
  <c r="M1537" i="8"/>
  <c r="L1537" i="8"/>
  <c r="N1537" i="8" s="1"/>
  <c r="H1537" i="8"/>
  <c r="G1537" i="8"/>
  <c r="AH1536" i="8"/>
  <c r="AG1536" i="8"/>
  <c r="AF1536" i="8"/>
  <c r="AE1536" i="8"/>
  <c r="AC1536" i="8"/>
  <c r="AD1536" i="8" s="1"/>
  <c r="AB1536" i="8"/>
  <c r="Y1536" i="8"/>
  <c r="X1536" i="8" s="1"/>
  <c r="V1536" i="8"/>
  <c r="U1536" i="8"/>
  <c r="W1536" i="8" s="1"/>
  <c r="AA1536" i="8" s="1"/>
  <c r="T1536" i="8"/>
  <c r="P1536" i="8"/>
  <c r="Z1536" i="8" s="1"/>
  <c r="N1536" i="8"/>
  <c r="M1536" i="8"/>
  <c r="L1536" i="8"/>
  <c r="H1536" i="8"/>
  <c r="G1536" i="8"/>
  <c r="AH1535" i="8"/>
  <c r="AG1535" i="8"/>
  <c r="AE1535" i="8"/>
  <c r="AC1535" i="8"/>
  <c r="AB1535" i="8"/>
  <c r="AA1535" i="8"/>
  <c r="Z1535" i="8"/>
  <c r="Y1535" i="8"/>
  <c r="X1535" i="8"/>
  <c r="V1535" i="8"/>
  <c r="U1535" i="8"/>
  <c r="W1535" i="8" s="1"/>
  <c r="T1535" i="8"/>
  <c r="P1535" i="8"/>
  <c r="M1535" i="8"/>
  <c r="L1535" i="8"/>
  <c r="H1535" i="8"/>
  <c r="R1535" i="8" s="1"/>
  <c r="G1535" i="8"/>
  <c r="AH1534" i="8"/>
  <c r="AG1534" i="8"/>
  <c r="AE1534" i="8"/>
  <c r="AA1534" i="8"/>
  <c r="Y1534" i="8"/>
  <c r="W1534" i="8"/>
  <c r="V1534" i="8"/>
  <c r="U1534" i="8"/>
  <c r="T1534" i="8"/>
  <c r="R1534" i="8"/>
  <c r="S1534" i="8" s="1"/>
  <c r="P1534" i="8"/>
  <c r="Z1534" i="8" s="1"/>
  <c r="N1534" i="8"/>
  <c r="M1534" i="8"/>
  <c r="L1534" i="8"/>
  <c r="H1534" i="8"/>
  <c r="O1534" i="8" s="1"/>
  <c r="G1534" i="8"/>
  <c r="AH1533" i="8"/>
  <c r="AG1533" i="8"/>
  <c r="AE1533" i="8"/>
  <c r="AA1533" i="8"/>
  <c r="Z1533" i="8"/>
  <c r="X1533" i="8" s="1"/>
  <c r="AB1533" i="8" s="1"/>
  <c r="Y1533" i="8"/>
  <c r="W1533" i="8"/>
  <c r="V1533" i="8"/>
  <c r="U1533" i="8"/>
  <c r="T1533" i="8"/>
  <c r="S1533" i="8"/>
  <c r="R1533" i="8"/>
  <c r="P1533" i="8"/>
  <c r="O1533" i="8"/>
  <c r="M1533" i="8"/>
  <c r="L1533" i="8"/>
  <c r="H1533" i="8"/>
  <c r="N1533" i="8" s="1"/>
  <c r="G1533" i="8"/>
  <c r="AH1532" i="8"/>
  <c r="AG1532" i="8"/>
  <c r="AE1532" i="8"/>
  <c r="AA1532" i="8"/>
  <c r="Y1532" i="8"/>
  <c r="AC1532" i="8" s="1"/>
  <c r="W1532" i="8"/>
  <c r="V1532" i="8"/>
  <c r="U1532" i="8"/>
  <c r="T1532" i="8"/>
  <c r="S1532" i="8"/>
  <c r="R1532" i="8"/>
  <c r="P1532" i="8"/>
  <c r="Z1532" i="8" s="1"/>
  <c r="X1532" i="8" s="1"/>
  <c r="AB1532" i="8" s="1"/>
  <c r="O1532" i="8"/>
  <c r="N1532" i="8"/>
  <c r="M1532" i="8"/>
  <c r="L1532" i="8"/>
  <c r="H1532" i="8"/>
  <c r="G1532" i="8"/>
  <c r="AH1531" i="8"/>
  <c r="AG1531" i="8"/>
  <c r="AF1531" i="8"/>
  <c r="AE1531" i="8"/>
  <c r="Y1531" i="8"/>
  <c r="AC1531" i="8" s="1"/>
  <c r="AD1531" i="8" s="1"/>
  <c r="W1531" i="8"/>
  <c r="V1531" i="8"/>
  <c r="U1531" i="8"/>
  <c r="T1531" i="8"/>
  <c r="P1531" i="8"/>
  <c r="Z1531" i="8" s="1"/>
  <c r="X1531" i="8" s="1"/>
  <c r="AB1531" i="8" s="1"/>
  <c r="N1531" i="8"/>
  <c r="M1531" i="8"/>
  <c r="L1531" i="8"/>
  <c r="H1531" i="8"/>
  <c r="O1531" i="8" s="1"/>
  <c r="G1531" i="8"/>
  <c r="AH1530" i="8"/>
  <c r="AG1530" i="8"/>
  <c r="AE1530" i="8"/>
  <c r="Y1530" i="8"/>
  <c r="AC1530" i="8" s="1"/>
  <c r="V1530" i="8"/>
  <c r="U1530" i="8"/>
  <c r="W1530" i="8" s="1"/>
  <c r="AA1530" i="8" s="1"/>
  <c r="T1530" i="8"/>
  <c r="P1530" i="8"/>
  <c r="Z1530" i="8" s="1"/>
  <c r="O1530" i="8"/>
  <c r="N1530" i="8"/>
  <c r="M1530" i="8"/>
  <c r="L1530" i="8"/>
  <c r="H1530" i="8"/>
  <c r="R1530" i="8" s="1"/>
  <c r="S1530" i="8" s="1"/>
  <c r="G1530" i="8"/>
  <c r="AH1529" i="8"/>
  <c r="AG1529" i="8"/>
  <c r="AF1529" i="8"/>
  <c r="AE1529" i="8"/>
  <c r="AC1529" i="8"/>
  <c r="AD1529" i="8" s="1"/>
  <c r="Z1529" i="8"/>
  <c r="X1529" i="8" s="1"/>
  <c r="AB1529" i="8" s="1"/>
  <c r="Y1529" i="8"/>
  <c r="W1529" i="8"/>
  <c r="AA1529" i="8" s="1"/>
  <c r="V1529" i="8"/>
  <c r="U1529" i="8"/>
  <c r="T1529" i="8"/>
  <c r="P1529" i="8"/>
  <c r="O1529" i="8"/>
  <c r="M1529" i="8"/>
  <c r="L1529" i="8"/>
  <c r="N1529" i="8" s="1"/>
  <c r="H1529" i="8"/>
  <c r="R1529" i="8" s="1"/>
  <c r="S1529" i="8" s="1"/>
  <c r="G1529" i="8"/>
  <c r="AH1528" i="8"/>
  <c r="AG1528" i="8"/>
  <c r="AF1528" i="8"/>
  <c r="AE1528" i="8"/>
  <c r="AC1528" i="8"/>
  <c r="AD1528" i="8" s="1"/>
  <c r="AA1528" i="8"/>
  <c r="Y1528" i="8"/>
  <c r="W1528" i="8"/>
  <c r="V1528" i="8"/>
  <c r="U1528" i="8"/>
  <c r="T1528" i="8"/>
  <c r="R1528" i="8"/>
  <c r="S1528" i="8" s="1"/>
  <c r="P1528" i="8"/>
  <c r="Z1528" i="8" s="1"/>
  <c r="M1528" i="8"/>
  <c r="L1528" i="8"/>
  <c r="N1528" i="8" s="1"/>
  <c r="H1528" i="8"/>
  <c r="O1528" i="8" s="1"/>
  <c r="G1528" i="8"/>
  <c r="AH1527" i="8"/>
  <c r="AG1527" i="8"/>
  <c r="AE1527" i="8"/>
  <c r="AA1527" i="8"/>
  <c r="Y1527" i="8"/>
  <c r="AC1527" i="8" s="1"/>
  <c r="V1527" i="8"/>
  <c r="U1527" i="8"/>
  <c r="W1527" i="8" s="1"/>
  <c r="T1527" i="8"/>
  <c r="R1527" i="8"/>
  <c r="S1527" i="8" s="1"/>
  <c r="P1527" i="8"/>
  <c r="Z1527" i="8" s="1"/>
  <c r="O1527" i="8"/>
  <c r="M1527" i="8"/>
  <c r="L1527" i="8"/>
  <c r="N1527" i="8" s="1"/>
  <c r="H1527" i="8"/>
  <c r="G1527" i="8"/>
  <c r="AH1526" i="8"/>
  <c r="AG1526" i="8"/>
  <c r="AE1526" i="8"/>
  <c r="AC1526" i="8"/>
  <c r="AD1526" i="8" s="1"/>
  <c r="Z1526" i="8"/>
  <c r="Y1526" i="8"/>
  <c r="X1526" i="8"/>
  <c r="AB1526" i="8" s="1"/>
  <c r="V1526" i="8"/>
  <c r="U1526" i="8"/>
  <c r="W1526" i="8" s="1"/>
  <c r="AA1526" i="8" s="1"/>
  <c r="T1526" i="8"/>
  <c r="P1526" i="8"/>
  <c r="O1526" i="8"/>
  <c r="M1526" i="8"/>
  <c r="L1526" i="8"/>
  <c r="N1526" i="8" s="1"/>
  <c r="H1526" i="8"/>
  <c r="R1526" i="8" s="1"/>
  <c r="S1526" i="8" s="1"/>
  <c r="G1526" i="8"/>
  <c r="AH1525" i="8"/>
  <c r="AG1525" i="8"/>
  <c r="AE1525" i="8"/>
  <c r="AA1525" i="8"/>
  <c r="Z1525" i="8"/>
  <c r="X1525" i="8" s="1"/>
  <c r="AB1525" i="8" s="1"/>
  <c r="Y1525" i="8"/>
  <c r="W1525" i="8"/>
  <c r="V1525" i="8"/>
  <c r="U1525" i="8"/>
  <c r="T1525" i="8"/>
  <c r="P1525" i="8"/>
  <c r="M1525" i="8"/>
  <c r="L1525" i="8"/>
  <c r="H1525" i="8"/>
  <c r="O1525" i="8" s="1"/>
  <c r="G1525" i="8"/>
  <c r="AH1524" i="8"/>
  <c r="AG1524" i="8"/>
  <c r="AE1524" i="8"/>
  <c r="AC1524" i="8"/>
  <c r="AD1524" i="8" s="1"/>
  <c r="Z1524" i="8"/>
  <c r="Y1524" i="8"/>
  <c r="X1524" i="8"/>
  <c r="AB1524" i="8" s="1"/>
  <c r="V1524" i="8"/>
  <c r="U1524" i="8"/>
  <c r="W1524" i="8" s="1"/>
  <c r="AA1524" i="8" s="1"/>
  <c r="T1524" i="8"/>
  <c r="R1524" i="8"/>
  <c r="S1524" i="8" s="1"/>
  <c r="P1524" i="8"/>
  <c r="O1524" i="8"/>
  <c r="M1524" i="8"/>
  <c r="L1524" i="8"/>
  <c r="N1524" i="8" s="1"/>
  <c r="H1524" i="8"/>
  <c r="G1524" i="8"/>
  <c r="AH1523" i="8"/>
  <c r="AG1523" i="8"/>
  <c r="AE1523" i="8"/>
  <c r="Y1523" i="8"/>
  <c r="W1523" i="8"/>
  <c r="V1523" i="8"/>
  <c r="U1523" i="8"/>
  <c r="T1523" i="8"/>
  <c r="R1523" i="8"/>
  <c r="S1523" i="8" s="1"/>
  <c r="P1523" i="8"/>
  <c r="AC1523" i="8" s="1"/>
  <c r="O1523" i="8"/>
  <c r="N1523" i="8"/>
  <c r="M1523" i="8"/>
  <c r="L1523" i="8"/>
  <c r="H1523" i="8"/>
  <c r="G1523" i="8"/>
  <c r="AH1522" i="8"/>
  <c r="AG1522" i="8"/>
  <c r="AE1522" i="8"/>
  <c r="AC1522" i="8"/>
  <c r="AD1522" i="8" s="1"/>
  <c r="AB1522" i="8"/>
  <c r="Y1522" i="8"/>
  <c r="X1522" i="8"/>
  <c r="W1522" i="8"/>
  <c r="AA1522" i="8" s="1"/>
  <c r="V1522" i="8"/>
  <c r="U1522" i="8"/>
  <c r="T1522" i="8"/>
  <c r="P1522" i="8"/>
  <c r="Z1522" i="8" s="1"/>
  <c r="M1522" i="8"/>
  <c r="L1522" i="8"/>
  <c r="H1522" i="8"/>
  <c r="R1522" i="8" s="1"/>
  <c r="G1522" i="8"/>
  <c r="AH1521" i="8"/>
  <c r="AG1521" i="8"/>
  <c r="AE1521" i="8"/>
  <c r="AC1521" i="8"/>
  <c r="AD1521" i="8" s="1"/>
  <c r="Y1521" i="8"/>
  <c r="X1521" i="8" s="1"/>
  <c r="AB1521" i="8" s="1"/>
  <c r="V1521" i="8"/>
  <c r="U1521" i="8"/>
  <c r="W1521" i="8" s="1"/>
  <c r="AA1521" i="8" s="1"/>
  <c r="T1521" i="8"/>
  <c r="S1521" i="8"/>
  <c r="R1521" i="8"/>
  <c r="P1521" i="8"/>
  <c r="Z1521" i="8" s="1"/>
  <c r="O1521" i="8"/>
  <c r="M1521" i="8"/>
  <c r="L1521" i="8"/>
  <c r="N1521" i="8" s="1"/>
  <c r="H1521" i="8"/>
  <c r="G1521" i="8"/>
  <c r="AH1520" i="8"/>
  <c r="AG1520" i="8"/>
  <c r="AE1520" i="8"/>
  <c r="AB1520" i="8"/>
  <c r="Z1520" i="8"/>
  <c r="Y1520" i="8"/>
  <c r="AC1520" i="8" s="1"/>
  <c r="X1520" i="8"/>
  <c r="V1520" i="8"/>
  <c r="U1520" i="8"/>
  <c r="W1520" i="8" s="1"/>
  <c r="AA1520" i="8" s="1"/>
  <c r="T1520" i="8"/>
  <c r="P1520" i="8"/>
  <c r="M1520" i="8"/>
  <c r="L1520" i="8"/>
  <c r="N1520" i="8" s="1"/>
  <c r="H1520" i="8"/>
  <c r="R1520" i="8" s="1"/>
  <c r="G1520" i="8"/>
  <c r="AH1519" i="8"/>
  <c r="AG1519" i="8"/>
  <c r="AE1519" i="8"/>
  <c r="AA1519" i="8"/>
  <c r="Y1519" i="8"/>
  <c r="AC1519" i="8" s="1"/>
  <c r="W1519" i="8"/>
  <c r="V1519" i="8"/>
  <c r="U1519" i="8"/>
  <c r="T1519" i="8"/>
  <c r="P1519" i="8"/>
  <c r="Z1519" i="8" s="1"/>
  <c r="X1519" i="8" s="1"/>
  <c r="AB1519" i="8" s="1"/>
  <c r="O1519" i="8"/>
  <c r="N1519" i="8"/>
  <c r="M1519" i="8"/>
  <c r="L1519" i="8"/>
  <c r="H1519" i="8"/>
  <c r="R1519" i="8" s="1"/>
  <c r="S1519" i="8" s="1"/>
  <c r="G1519" i="8"/>
  <c r="AH1518" i="8"/>
  <c r="AG1518" i="8"/>
  <c r="AF1518" i="8"/>
  <c r="AE1518" i="8"/>
  <c r="AC1518" i="8"/>
  <c r="AD1518" i="8" s="1"/>
  <c r="Z1518" i="8"/>
  <c r="Y1518" i="8"/>
  <c r="X1518" i="8"/>
  <c r="AB1518" i="8" s="1"/>
  <c r="W1518" i="8"/>
  <c r="AA1518" i="8" s="1"/>
  <c r="V1518" i="8"/>
  <c r="U1518" i="8"/>
  <c r="T1518" i="8"/>
  <c r="R1518" i="8"/>
  <c r="S1518" i="8" s="1"/>
  <c r="P1518" i="8"/>
  <c r="O1518" i="8"/>
  <c r="N1518" i="8"/>
  <c r="M1518" i="8"/>
  <c r="L1518" i="8"/>
  <c r="H1518" i="8"/>
  <c r="G1518" i="8"/>
  <c r="AH1517" i="8"/>
  <c r="AG1517" i="8"/>
  <c r="AE1517" i="8"/>
  <c r="Y1517" i="8"/>
  <c r="W1517" i="8"/>
  <c r="AA1517" i="8" s="1"/>
  <c r="V1517" i="8"/>
  <c r="U1517" i="8"/>
  <c r="T1517" i="8"/>
  <c r="R1517" i="8"/>
  <c r="S1517" i="8" s="1"/>
  <c r="P1517" i="8"/>
  <c r="Z1517" i="8" s="1"/>
  <c r="O1517" i="8"/>
  <c r="N1517" i="8"/>
  <c r="M1517" i="8"/>
  <c r="L1517" i="8"/>
  <c r="H1517" i="8"/>
  <c r="G1517" i="8"/>
  <c r="AH1516" i="8"/>
  <c r="AG1516" i="8"/>
  <c r="AE1516" i="8"/>
  <c r="AC1516" i="8"/>
  <c r="Y1516" i="8"/>
  <c r="V1516" i="8"/>
  <c r="U1516" i="8"/>
  <c r="W1516" i="8" s="1"/>
  <c r="AA1516" i="8" s="1"/>
  <c r="T1516" i="8"/>
  <c r="P1516" i="8"/>
  <c r="Z1516" i="8" s="1"/>
  <c r="X1516" i="8" s="1"/>
  <c r="AB1516" i="8" s="1"/>
  <c r="O1516" i="8"/>
  <c r="M1516" i="8"/>
  <c r="L1516" i="8"/>
  <c r="N1516" i="8" s="1"/>
  <c r="H1516" i="8"/>
  <c r="R1516" i="8" s="1"/>
  <c r="S1516" i="8" s="1"/>
  <c r="G1516" i="8"/>
  <c r="AH1515" i="8"/>
  <c r="AG1515" i="8"/>
  <c r="AF1515" i="8"/>
  <c r="AE1515" i="8"/>
  <c r="AC1515" i="8"/>
  <c r="Y1515" i="8"/>
  <c r="W1515" i="8"/>
  <c r="AA1515" i="8" s="1"/>
  <c r="V1515" i="8"/>
  <c r="U1515" i="8"/>
  <c r="T1515" i="8"/>
  <c r="P1515" i="8"/>
  <c r="Z1515" i="8" s="1"/>
  <c r="X1515" i="8" s="1"/>
  <c r="AB1515" i="8" s="1"/>
  <c r="N1515" i="8"/>
  <c r="M1515" i="8"/>
  <c r="L1515" i="8"/>
  <c r="H1515" i="8"/>
  <c r="O1515" i="8" s="1"/>
  <c r="G1515" i="8"/>
  <c r="AH1514" i="8"/>
  <c r="AG1514" i="8"/>
  <c r="AE1514" i="8"/>
  <c r="AA1514" i="8"/>
  <c r="Z1514" i="8"/>
  <c r="X1514" i="8" s="1"/>
  <c r="AB1514" i="8" s="1"/>
  <c r="Y1514" i="8"/>
  <c r="AC1514" i="8" s="1"/>
  <c r="W1514" i="8"/>
  <c r="V1514" i="8"/>
  <c r="U1514" i="8"/>
  <c r="T1514" i="8"/>
  <c r="P1514" i="8"/>
  <c r="M1514" i="8"/>
  <c r="L1514" i="8"/>
  <c r="H1514" i="8"/>
  <c r="O1514" i="8" s="1"/>
  <c r="G1514" i="8"/>
  <c r="AH1513" i="8"/>
  <c r="AG1513" i="8"/>
  <c r="AE1513" i="8"/>
  <c r="AC1513" i="8"/>
  <c r="Y1513" i="8"/>
  <c r="X1513" i="8" s="1"/>
  <c r="AB1513" i="8" s="1"/>
  <c r="V1513" i="8"/>
  <c r="U1513" i="8"/>
  <c r="W1513" i="8" s="1"/>
  <c r="AA1513" i="8" s="1"/>
  <c r="T1513" i="8"/>
  <c r="S1513" i="8"/>
  <c r="R1513" i="8"/>
  <c r="P1513" i="8"/>
  <c r="Z1513" i="8" s="1"/>
  <c r="O1513" i="8"/>
  <c r="M1513" i="8"/>
  <c r="L1513" i="8"/>
  <c r="N1513" i="8" s="1"/>
  <c r="H1513" i="8"/>
  <c r="G1513" i="8"/>
  <c r="AH1512" i="8"/>
  <c r="AG1512" i="8"/>
  <c r="AE1512" i="8"/>
  <c r="AB1512" i="8"/>
  <c r="Z1512" i="8"/>
  <c r="Y1512" i="8"/>
  <c r="AC1512" i="8" s="1"/>
  <c r="X1512" i="8"/>
  <c r="V1512" i="8"/>
  <c r="U1512" i="8"/>
  <c r="W1512" i="8" s="1"/>
  <c r="AA1512" i="8" s="1"/>
  <c r="T1512" i="8"/>
  <c r="P1512" i="8"/>
  <c r="M1512" i="8"/>
  <c r="L1512" i="8"/>
  <c r="N1512" i="8" s="1"/>
  <c r="H1512" i="8"/>
  <c r="G1512" i="8"/>
  <c r="AH1511" i="8"/>
  <c r="AG1511" i="8"/>
  <c r="AE1511" i="8"/>
  <c r="AA1511" i="8"/>
  <c r="Y1511" i="8"/>
  <c r="AC1511" i="8" s="1"/>
  <c r="W1511" i="8"/>
  <c r="V1511" i="8"/>
  <c r="U1511" i="8"/>
  <c r="T1511" i="8"/>
  <c r="P1511" i="8"/>
  <c r="Z1511" i="8" s="1"/>
  <c r="X1511" i="8" s="1"/>
  <c r="AB1511" i="8" s="1"/>
  <c r="O1511" i="8"/>
  <c r="N1511" i="8"/>
  <c r="M1511" i="8"/>
  <c r="L1511" i="8"/>
  <c r="H1511" i="8"/>
  <c r="R1511" i="8" s="1"/>
  <c r="S1511" i="8" s="1"/>
  <c r="G1511" i="8"/>
  <c r="AH1510" i="8"/>
  <c r="AG1510" i="8"/>
  <c r="AF1510" i="8"/>
  <c r="AE1510" i="8"/>
  <c r="AC1510" i="8"/>
  <c r="AD1510" i="8" s="1"/>
  <c r="Z1510" i="8"/>
  <c r="Y1510" i="8"/>
  <c r="X1510" i="8"/>
  <c r="AB1510" i="8" s="1"/>
  <c r="W1510" i="8"/>
  <c r="AA1510" i="8" s="1"/>
  <c r="V1510" i="8"/>
  <c r="U1510" i="8"/>
  <c r="T1510" i="8"/>
  <c r="R1510" i="8"/>
  <c r="S1510" i="8" s="1"/>
  <c r="P1510" i="8"/>
  <c r="O1510" i="8"/>
  <c r="N1510" i="8"/>
  <c r="M1510" i="8"/>
  <c r="L1510" i="8"/>
  <c r="H1510" i="8"/>
  <c r="G1510" i="8"/>
  <c r="AH1509" i="8"/>
  <c r="AG1509" i="8"/>
  <c r="AE1509" i="8"/>
  <c r="Y1509" i="8"/>
  <c r="W1509" i="8"/>
  <c r="AA1509" i="8" s="1"/>
  <c r="V1509" i="8"/>
  <c r="U1509" i="8"/>
  <c r="T1509" i="8"/>
  <c r="R1509" i="8"/>
  <c r="S1509" i="8" s="1"/>
  <c r="P1509" i="8"/>
  <c r="Z1509" i="8" s="1"/>
  <c r="O1509" i="8"/>
  <c r="N1509" i="8"/>
  <c r="M1509" i="8"/>
  <c r="L1509" i="8"/>
  <c r="H1509" i="8"/>
  <c r="G1509" i="8"/>
  <c r="AH1508" i="8"/>
  <c r="AG1508" i="8"/>
  <c r="AE1508" i="8"/>
  <c r="AC1508" i="8"/>
  <c r="Y1508" i="8"/>
  <c r="V1508" i="8"/>
  <c r="U1508" i="8"/>
  <c r="W1508" i="8" s="1"/>
  <c r="AA1508" i="8" s="1"/>
  <c r="T1508" i="8"/>
  <c r="P1508" i="8"/>
  <c r="Z1508" i="8" s="1"/>
  <c r="X1508" i="8" s="1"/>
  <c r="AB1508" i="8" s="1"/>
  <c r="O1508" i="8"/>
  <c r="M1508" i="8"/>
  <c r="L1508" i="8"/>
  <c r="N1508" i="8" s="1"/>
  <c r="H1508" i="8"/>
  <c r="R1508" i="8" s="1"/>
  <c r="G1508" i="8"/>
  <c r="AH1507" i="8"/>
  <c r="AG1507" i="8"/>
  <c r="AF1507" i="8"/>
  <c r="AE1507" i="8"/>
  <c r="AC1507" i="8"/>
  <c r="AD1507" i="8" s="1"/>
  <c r="Y1507" i="8"/>
  <c r="W1507" i="8"/>
  <c r="AA1507" i="8" s="1"/>
  <c r="V1507" i="8"/>
  <c r="U1507" i="8"/>
  <c r="T1507" i="8"/>
  <c r="P1507" i="8"/>
  <c r="Z1507" i="8" s="1"/>
  <c r="X1507" i="8" s="1"/>
  <c r="AB1507" i="8" s="1"/>
  <c r="M1507" i="8"/>
  <c r="L1507" i="8"/>
  <c r="N1507" i="8" s="1"/>
  <c r="H1507" i="8"/>
  <c r="G1507" i="8"/>
  <c r="AH1506" i="8"/>
  <c r="AG1506" i="8"/>
  <c r="AE1506" i="8"/>
  <c r="AC1506" i="8"/>
  <c r="AA1506" i="8"/>
  <c r="Y1506" i="8"/>
  <c r="W1506" i="8"/>
  <c r="V1506" i="8"/>
  <c r="Z1506" i="8" s="1"/>
  <c r="X1506" i="8" s="1"/>
  <c r="AB1506" i="8" s="1"/>
  <c r="U1506" i="8"/>
  <c r="T1506" i="8"/>
  <c r="P1506" i="8"/>
  <c r="N1506" i="8"/>
  <c r="M1506" i="8"/>
  <c r="L1506" i="8"/>
  <c r="H1506" i="8"/>
  <c r="G1506" i="8"/>
  <c r="AH1505" i="8"/>
  <c r="AG1505" i="8"/>
  <c r="AE1505" i="8"/>
  <c r="AC1505" i="8"/>
  <c r="AA1505" i="8"/>
  <c r="Y1505" i="8"/>
  <c r="W1505" i="8"/>
  <c r="V1505" i="8"/>
  <c r="U1505" i="8"/>
  <c r="T1505" i="8"/>
  <c r="P1505" i="8"/>
  <c r="Z1505" i="8" s="1"/>
  <c r="X1505" i="8" s="1"/>
  <c r="AB1505" i="8" s="1"/>
  <c r="N1505" i="8"/>
  <c r="M1505" i="8"/>
  <c r="L1505" i="8"/>
  <c r="H1505" i="8"/>
  <c r="G1505" i="8"/>
  <c r="AH1504" i="8"/>
  <c r="AG1504" i="8"/>
  <c r="AE1504" i="8"/>
  <c r="Y1504" i="8"/>
  <c r="X1504" i="8" s="1"/>
  <c r="AB1504" i="8" s="1"/>
  <c r="V1504" i="8"/>
  <c r="U1504" i="8"/>
  <c r="W1504" i="8" s="1"/>
  <c r="AA1504" i="8" s="1"/>
  <c r="T1504" i="8"/>
  <c r="P1504" i="8"/>
  <c r="Z1504" i="8" s="1"/>
  <c r="M1504" i="8"/>
  <c r="L1504" i="8"/>
  <c r="H1504" i="8"/>
  <c r="G1504" i="8"/>
  <c r="AH1503" i="8"/>
  <c r="AG1503" i="8"/>
  <c r="AE1503" i="8"/>
  <c r="Y1503" i="8"/>
  <c r="V1503" i="8"/>
  <c r="U1503" i="8"/>
  <c r="W1503" i="8" s="1"/>
  <c r="AA1503" i="8" s="1"/>
  <c r="T1503" i="8"/>
  <c r="P1503" i="8"/>
  <c r="Z1503" i="8" s="1"/>
  <c r="M1503" i="8"/>
  <c r="L1503" i="8"/>
  <c r="N1503" i="8" s="1"/>
  <c r="H1503" i="8"/>
  <c r="G1503" i="8"/>
  <c r="AH1502" i="8"/>
  <c r="AG1502" i="8"/>
  <c r="AE1502" i="8"/>
  <c r="Y1502" i="8"/>
  <c r="AC1502" i="8" s="1"/>
  <c r="W1502" i="8"/>
  <c r="AA1502" i="8" s="1"/>
  <c r="V1502" i="8"/>
  <c r="U1502" i="8"/>
  <c r="T1502" i="8"/>
  <c r="P1502" i="8"/>
  <c r="Z1502" i="8" s="1"/>
  <c r="M1502" i="8"/>
  <c r="L1502" i="8"/>
  <c r="N1502" i="8" s="1"/>
  <c r="H1502" i="8"/>
  <c r="G1502" i="8"/>
  <c r="AH1501" i="8"/>
  <c r="AG1501" i="8"/>
  <c r="AE1501" i="8"/>
  <c r="AC1501" i="8"/>
  <c r="Y1501" i="8"/>
  <c r="X1501" i="8" s="1"/>
  <c r="AB1501" i="8" s="1"/>
  <c r="V1501" i="8"/>
  <c r="U1501" i="8"/>
  <c r="W1501" i="8" s="1"/>
  <c r="AA1501" i="8" s="1"/>
  <c r="T1501" i="8"/>
  <c r="P1501" i="8"/>
  <c r="Z1501" i="8" s="1"/>
  <c r="N1501" i="8"/>
  <c r="M1501" i="8"/>
  <c r="L1501" i="8"/>
  <c r="H1501" i="8"/>
  <c r="G1501" i="8"/>
  <c r="AH1500" i="8"/>
  <c r="AG1500" i="8"/>
  <c r="AE1500" i="8"/>
  <c r="AC1500" i="8"/>
  <c r="Y1500" i="8"/>
  <c r="X1500" i="8" s="1"/>
  <c r="AB1500" i="8" s="1"/>
  <c r="V1500" i="8"/>
  <c r="U1500" i="8"/>
  <c r="W1500" i="8" s="1"/>
  <c r="AA1500" i="8" s="1"/>
  <c r="T1500" i="8"/>
  <c r="P1500" i="8"/>
  <c r="Z1500" i="8" s="1"/>
  <c r="M1500" i="8"/>
  <c r="L1500" i="8"/>
  <c r="N1500" i="8" s="1"/>
  <c r="H1500" i="8"/>
  <c r="G1500" i="8"/>
  <c r="AH1499" i="8"/>
  <c r="AG1499" i="8"/>
  <c r="AE1499" i="8"/>
  <c r="Y1499" i="8"/>
  <c r="AC1499" i="8" s="1"/>
  <c r="V1499" i="8"/>
  <c r="U1499" i="8"/>
  <c r="W1499" i="8" s="1"/>
  <c r="AA1499" i="8" s="1"/>
  <c r="T1499" i="8"/>
  <c r="S1499" i="8"/>
  <c r="R1499" i="8"/>
  <c r="P1499" i="8"/>
  <c r="Z1499" i="8" s="1"/>
  <c r="M1499" i="8"/>
  <c r="L1499" i="8"/>
  <c r="N1499" i="8" s="1"/>
  <c r="H1499" i="8"/>
  <c r="O1499" i="8" s="1"/>
  <c r="G1499" i="8"/>
  <c r="AH1498" i="8"/>
  <c r="AG1498" i="8"/>
  <c r="AE1498" i="8"/>
  <c r="AC1498" i="8"/>
  <c r="AA1498" i="8"/>
  <c r="Y1498" i="8"/>
  <c r="W1498" i="8"/>
  <c r="V1498" i="8"/>
  <c r="U1498" i="8"/>
  <c r="T1498" i="8"/>
  <c r="R1498" i="8"/>
  <c r="S1498" i="8" s="1"/>
  <c r="P1498" i="8"/>
  <c r="Z1498" i="8" s="1"/>
  <c r="M1498" i="8"/>
  <c r="L1498" i="8"/>
  <c r="N1498" i="8" s="1"/>
  <c r="H1498" i="8"/>
  <c r="O1498" i="8" s="1"/>
  <c r="G1498" i="8"/>
  <c r="AH1497" i="8"/>
  <c r="AG1497" i="8"/>
  <c r="AE1497" i="8"/>
  <c r="AA1497" i="8"/>
  <c r="Y1497" i="8"/>
  <c r="AC1497" i="8" s="1"/>
  <c r="W1497" i="8"/>
  <c r="V1497" i="8"/>
  <c r="U1497" i="8"/>
  <c r="T1497" i="8"/>
  <c r="S1497" i="8"/>
  <c r="R1497" i="8"/>
  <c r="P1497" i="8"/>
  <c r="Z1497" i="8" s="1"/>
  <c r="M1497" i="8"/>
  <c r="L1497" i="8"/>
  <c r="N1497" i="8" s="1"/>
  <c r="H1497" i="8"/>
  <c r="O1497" i="8" s="1"/>
  <c r="G1497" i="8"/>
  <c r="AH1496" i="8"/>
  <c r="AG1496" i="8"/>
  <c r="AE1496" i="8"/>
  <c r="AC1496" i="8"/>
  <c r="AA1496" i="8"/>
  <c r="Y1496" i="8"/>
  <c r="W1496" i="8"/>
  <c r="V1496" i="8"/>
  <c r="U1496" i="8"/>
  <c r="T1496" i="8"/>
  <c r="R1496" i="8"/>
  <c r="S1496" i="8" s="1"/>
  <c r="P1496" i="8"/>
  <c r="Z1496" i="8" s="1"/>
  <c r="M1496" i="8"/>
  <c r="L1496" i="8"/>
  <c r="N1496" i="8" s="1"/>
  <c r="H1496" i="8"/>
  <c r="O1496" i="8" s="1"/>
  <c r="G1496" i="8"/>
  <c r="AH1495" i="8"/>
  <c r="AG1495" i="8"/>
  <c r="AE1495" i="8"/>
  <c r="AA1495" i="8"/>
  <c r="Y1495" i="8"/>
  <c r="AC1495" i="8" s="1"/>
  <c r="W1495" i="8"/>
  <c r="V1495" i="8"/>
  <c r="U1495" i="8"/>
  <c r="T1495" i="8"/>
  <c r="R1495" i="8"/>
  <c r="S1495" i="8" s="1"/>
  <c r="P1495" i="8"/>
  <c r="Z1495" i="8" s="1"/>
  <c r="M1495" i="8"/>
  <c r="L1495" i="8"/>
  <c r="N1495" i="8" s="1"/>
  <c r="H1495" i="8"/>
  <c r="O1495" i="8" s="1"/>
  <c r="G1495" i="8"/>
  <c r="AH1494" i="8"/>
  <c r="AG1494" i="8"/>
  <c r="AE1494" i="8"/>
  <c r="AC1494" i="8"/>
  <c r="AA1494" i="8"/>
  <c r="Y1494" i="8"/>
  <c r="W1494" i="8"/>
  <c r="V1494" i="8"/>
  <c r="U1494" i="8"/>
  <c r="T1494" i="8"/>
  <c r="R1494" i="8"/>
  <c r="S1494" i="8" s="1"/>
  <c r="P1494" i="8"/>
  <c r="Z1494" i="8" s="1"/>
  <c r="M1494" i="8"/>
  <c r="L1494" i="8"/>
  <c r="N1494" i="8" s="1"/>
  <c r="H1494" i="8"/>
  <c r="O1494" i="8" s="1"/>
  <c r="G1494" i="8"/>
  <c r="AH1493" i="8"/>
  <c r="AG1493" i="8"/>
  <c r="AE1493" i="8"/>
  <c r="AA1493" i="8"/>
  <c r="Y1493" i="8"/>
  <c r="AC1493" i="8" s="1"/>
  <c r="W1493" i="8"/>
  <c r="V1493" i="8"/>
  <c r="U1493" i="8"/>
  <c r="T1493" i="8"/>
  <c r="R1493" i="8"/>
  <c r="S1493" i="8" s="1"/>
  <c r="P1493" i="8"/>
  <c r="Z1493" i="8" s="1"/>
  <c r="M1493" i="8"/>
  <c r="L1493" i="8"/>
  <c r="N1493" i="8" s="1"/>
  <c r="H1493" i="8"/>
  <c r="O1493" i="8" s="1"/>
  <c r="G1493" i="8"/>
  <c r="AH1492" i="8"/>
  <c r="AG1492" i="8"/>
  <c r="AE1492" i="8"/>
  <c r="AC1492" i="8"/>
  <c r="AA1492" i="8"/>
  <c r="Y1492" i="8"/>
  <c r="W1492" i="8"/>
  <c r="V1492" i="8"/>
  <c r="U1492" i="8"/>
  <c r="T1492" i="8"/>
  <c r="R1492" i="8"/>
  <c r="S1492" i="8" s="1"/>
  <c r="P1492" i="8"/>
  <c r="Z1492" i="8" s="1"/>
  <c r="M1492" i="8"/>
  <c r="L1492" i="8"/>
  <c r="N1492" i="8" s="1"/>
  <c r="H1492" i="8"/>
  <c r="O1492" i="8" s="1"/>
  <c r="G1492" i="8"/>
  <c r="AH1491" i="8"/>
  <c r="AG1491" i="8"/>
  <c r="AE1491" i="8"/>
  <c r="AA1491" i="8"/>
  <c r="Y1491" i="8"/>
  <c r="AC1491" i="8" s="1"/>
  <c r="W1491" i="8"/>
  <c r="V1491" i="8"/>
  <c r="U1491" i="8"/>
  <c r="T1491" i="8"/>
  <c r="R1491" i="8"/>
  <c r="S1491" i="8" s="1"/>
  <c r="P1491" i="8"/>
  <c r="Z1491" i="8" s="1"/>
  <c r="M1491" i="8"/>
  <c r="L1491" i="8"/>
  <c r="N1491" i="8" s="1"/>
  <c r="H1491" i="8"/>
  <c r="O1491" i="8" s="1"/>
  <c r="G1491" i="8"/>
  <c r="AH1490" i="8"/>
  <c r="AG1490" i="8"/>
  <c r="AE1490" i="8"/>
  <c r="AC1490" i="8"/>
  <c r="AA1490" i="8"/>
  <c r="Y1490" i="8"/>
  <c r="W1490" i="8"/>
  <c r="V1490" i="8"/>
  <c r="U1490" i="8"/>
  <c r="T1490" i="8"/>
  <c r="R1490" i="8"/>
  <c r="S1490" i="8" s="1"/>
  <c r="P1490" i="8"/>
  <c r="Z1490" i="8" s="1"/>
  <c r="M1490" i="8"/>
  <c r="L1490" i="8"/>
  <c r="N1490" i="8" s="1"/>
  <c r="H1490" i="8"/>
  <c r="O1490" i="8" s="1"/>
  <c r="G1490" i="8"/>
  <c r="AH1489" i="8"/>
  <c r="AG1489" i="8"/>
  <c r="AE1489" i="8"/>
  <c r="Y1489" i="8"/>
  <c r="W1489" i="8"/>
  <c r="AA1489" i="8" s="1"/>
  <c r="V1489" i="8"/>
  <c r="U1489" i="8"/>
  <c r="T1489" i="8"/>
  <c r="P1489" i="8"/>
  <c r="Z1489" i="8" s="1"/>
  <c r="N1489" i="8"/>
  <c r="M1489" i="8"/>
  <c r="L1489" i="8"/>
  <c r="H1489" i="8"/>
  <c r="O1489" i="8" s="1"/>
  <c r="G1489" i="8"/>
  <c r="AH1488" i="8"/>
  <c r="AG1488" i="8"/>
  <c r="AE1488" i="8"/>
  <c r="AA1488" i="8"/>
  <c r="Z1488" i="8"/>
  <c r="X1488" i="8" s="1"/>
  <c r="AB1488" i="8" s="1"/>
  <c r="Y1488" i="8"/>
  <c r="AC1488" i="8" s="1"/>
  <c r="W1488" i="8"/>
  <c r="V1488" i="8"/>
  <c r="U1488" i="8"/>
  <c r="T1488" i="8"/>
  <c r="R1488" i="8"/>
  <c r="S1488" i="8" s="1"/>
  <c r="P1488" i="8"/>
  <c r="O1488" i="8"/>
  <c r="N1488" i="8"/>
  <c r="M1488" i="8"/>
  <c r="L1488" i="8"/>
  <c r="H1488" i="8"/>
  <c r="G1488" i="8"/>
  <c r="AH1487" i="8"/>
  <c r="AG1487" i="8"/>
  <c r="AE1487" i="8"/>
  <c r="AC1487" i="8"/>
  <c r="AD1487" i="8" s="1"/>
  <c r="Y1487" i="8"/>
  <c r="X1487" i="8" s="1"/>
  <c r="AB1487" i="8" s="1"/>
  <c r="V1487" i="8"/>
  <c r="U1487" i="8"/>
  <c r="W1487" i="8" s="1"/>
  <c r="AA1487" i="8" s="1"/>
  <c r="T1487" i="8"/>
  <c r="R1487" i="8"/>
  <c r="S1487" i="8" s="1"/>
  <c r="P1487" i="8"/>
  <c r="Z1487" i="8" s="1"/>
  <c r="O1487" i="8"/>
  <c r="M1487" i="8"/>
  <c r="L1487" i="8"/>
  <c r="N1487" i="8" s="1"/>
  <c r="H1487" i="8"/>
  <c r="G1487" i="8"/>
  <c r="AH1486" i="8"/>
  <c r="AG1486" i="8"/>
  <c r="AE1486" i="8"/>
  <c r="Y1486" i="8"/>
  <c r="AC1486" i="8" s="1"/>
  <c r="V1486" i="8"/>
  <c r="U1486" i="8"/>
  <c r="W1486" i="8" s="1"/>
  <c r="AA1486" i="8" s="1"/>
  <c r="T1486" i="8"/>
  <c r="P1486" i="8"/>
  <c r="Z1486" i="8" s="1"/>
  <c r="X1486" i="8" s="1"/>
  <c r="AB1486" i="8" s="1"/>
  <c r="M1486" i="8"/>
  <c r="L1486" i="8"/>
  <c r="N1486" i="8" s="1"/>
  <c r="H1486" i="8"/>
  <c r="R1486" i="8" s="1"/>
  <c r="G1486" i="8"/>
  <c r="AH1485" i="8"/>
  <c r="AG1485" i="8"/>
  <c r="AF1485" i="8"/>
  <c r="AE1485" i="8"/>
  <c r="AC1485" i="8"/>
  <c r="AD1485" i="8" s="1"/>
  <c r="AA1485" i="8"/>
  <c r="Y1485" i="8"/>
  <c r="W1485" i="8"/>
  <c r="V1485" i="8"/>
  <c r="U1485" i="8"/>
  <c r="T1485" i="8"/>
  <c r="P1485" i="8"/>
  <c r="Z1485" i="8" s="1"/>
  <c r="X1485" i="8" s="1"/>
  <c r="AB1485" i="8" s="1"/>
  <c r="O1485" i="8"/>
  <c r="N1485" i="8"/>
  <c r="M1485" i="8"/>
  <c r="L1485" i="8"/>
  <c r="H1485" i="8"/>
  <c r="R1485" i="8" s="1"/>
  <c r="S1485" i="8" s="1"/>
  <c r="G1485" i="8"/>
  <c r="AH1484" i="8"/>
  <c r="AG1484" i="8"/>
  <c r="AF1484" i="8"/>
  <c r="AE1484" i="8"/>
  <c r="AC1484" i="8"/>
  <c r="AD1484" i="8" s="1"/>
  <c r="Z1484" i="8"/>
  <c r="X1484" i="8" s="1"/>
  <c r="AB1484" i="8" s="1"/>
  <c r="Y1484" i="8"/>
  <c r="W1484" i="8"/>
  <c r="AA1484" i="8" s="1"/>
  <c r="V1484" i="8"/>
  <c r="U1484" i="8"/>
  <c r="T1484" i="8"/>
  <c r="R1484" i="8"/>
  <c r="P1484" i="8"/>
  <c r="N1484" i="8"/>
  <c r="M1484" i="8"/>
  <c r="L1484" i="8"/>
  <c r="H1484" i="8"/>
  <c r="O1484" i="8" s="1"/>
  <c r="G1484" i="8"/>
  <c r="AH1483" i="8"/>
  <c r="AG1483" i="8"/>
  <c r="AE1483" i="8"/>
  <c r="Y1483" i="8"/>
  <c r="X1483" i="8" s="1"/>
  <c r="AB1483" i="8" s="1"/>
  <c r="V1483" i="8"/>
  <c r="U1483" i="8"/>
  <c r="W1483" i="8" s="1"/>
  <c r="AA1483" i="8" s="1"/>
  <c r="T1483" i="8"/>
  <c r="S1483" i="8"/>
  <c r="R1483" i="8"/>
  <c r="P1483" i="8"/>
  <c r="Z1483" i="8" s="1"/>
  <c r="O1483" i="8"/>
  <c r="M1483" i="8"/>
  <c r="L1483" i="8"/>
  <c r="N1483" i="8" s="1"/>
  <c r="H1483" i="8"/>
  <c r="G1483" i="8"/>
  <c r="AH1482" i="8"/>
  <c r="AG1482" i="8"/>
  <c r="AE1482" i="8"/>
  <c r="AC1482" i="8"/>
  <c r="AD1482" i="8" s="1"/>
  <c r="Z1482" i="8"/>
  <c r="Y1482" i="8"/>
  <c r="X1482" i="8"/>
  <c r="AB1482" i="8" s="1"/>
  <c r="V1482" i="8"/>
  <c r="U1482" i="8"/>
  <c r="W1482" i="8" s="1"/>
  <c r="AA1482" i="8" s="1"/>
  <c r="T1482" i="8"/>
  <c r="P1482" i="8"/>
  <c r="O1482" i="8"/>
  <c r="M1482" i="8"/>
  <c r="L1482" i="8"/>
  <c r="N1482" i="8" s="1"/>
  <c r="H1482" i="8"/>
  <c r="R1482" i="8" s="1"/>
  <c r="S1482" i="8" s="1"/>
  <c r="G1482" i="8"/>
  <c r="AH1481" i="8"/>
  <c r="AG1481" i="8"/>
  <c r="AE1481" i="8"/>
  <c r="Y1481" i="8"/>
  <c r="X1481" i="8" s="1"/>
  <c r="AB1481" i="8" s="1"/>
  <c r="W1481" i="8"/>
  <c r="AA1481" i="8" s="1"/>
  <c r="V1481" i="8"/>
  <c r="U1481" i="8"/>
  <c r="T1481" i="8"/>
  <c r="P1481" i="8"/>
  <c r="Z1481" i="8" s="1"/>
  <c r="N1481" i="8"/>
  <c r="M1481" i="8"/>
  <c r="L1481" i="8"/>
  <c r="H1481" i="8"/>
  <c r="O1481" i="8" s="1"/>
  <c r="G1481" i="8"/>
  <c r="AH1480" i="8"/>
  <c r="AG1480" i="8"/>
  <c r="AE1480" i="8"/>
  <c r="AA1480" i="8"/>
  <c r="Z1480" i="8"/>
  <c r="X1480" i="8" s="1"/>
  <c r="AB1480" i="8" s="1"/>
  <c r="Y1480" i="8"/>
  <c r="AC1480" i="8" s="1"/>
  <c r="W1480" i="8"/>
  <c r="V1480" i="8"/>
  <c r="U1480" i="8"/>
  <c r="T1480" i="8"/>
  <c r="R1480" i="8"/>
  <c r="S1480" i="8" s="1"/>
  <c r="P1480" i="8"/>
  <c r="O1480" i="8"/>
  <c r="N1480" i="8"/>
  <c r="M1480" i="8"/>
  <c r="L1480" i="8"/>
  <c r="H1480" i="8"/>
  <c r="G1480" i="8"/>
  <c r="AH1479" i="8"/>
  <c r="AG1479" i="8"/>
  <c r="AE1479" i="8"/>
  <c r="AC1479" i="8"/>
  <c r="Y1479" i="8"/>
  <c r="X1479" i="8" s="1"/>
  <c r="AB1479" i="8" s="1"/>
  <c r="V1479" i="8"/>
  <c r="U1479" i="8"/>
  <c r="W1479" i="8" s="1"/>
  <c r="AA1479" i="8" s="1"/>
  <c r="T1479" i="8"/>
  <c r="R1479" i="8"/>
  <c r="S1479" i="8" s="1"/>
  <c r="P1479" i="8"/>
  <c r="Z1479" i="8" s="1"/>
  <c r="O1479" i="8"/>
  <c r="M1479" i="8"/>
  <c r="L1479" i="8"/>
  <c r="N1479" i="8" s="1"/>
  <c r="H1479" i="8"/>
  <c r="G1479" i="8"/>
  <c r="AH1478" i="8"/>
  <c r="AG1478" i="8"/>
  <c r="AE1478" i="8"/>
  <c r="Y1478" i="8"/>
  <c r="AC1478" i="8" s="1"/>
  <c r="V1478" i="8"/>
  <c r="U1478" i="8"/>
  <c r="W1478" i="8" s="1"/>
  <c r="AA1478" i="8" s="1"/>
  <c r="T1478" i="8"/>
  <c r="P1478" i="8"/>
  <c r="Z1478" i="8" s="1"/>
  <c r="X1478" i="8" s="1"/>
  <c r="AB1478" i="8" s="1"/>
  <c r="M1478" i="8"/>
  <c r="L1478" i="8"/>
  <c r="N1478" i="8" s="1"/>
  <c r="H1478" i="8"/>
  <c r="R1478" i="8" s="1"/>
  <c r="G1478" i="8"/>
  <c r="AH1477" i="8"/>
  <c r="AG1477" i="8"/>
  <c r="AF1477" i="8"/>
  <c r="AE1477" i="8"/>
  <c r="AC1477" i="8"/>
  <c r="AA1477" i="8"/>
  <c r="Y1477" i="8"/>
  <c r="W1477" i="8"/>
  <c r="V1477" i="8"/>
  <c r="U1477" i="8"/>
  <c r="T1477" i="8"/>
  <c r="P1477" i="8"/>
  <c r="Z1477" i="8" s="1"/>
  <c r="X1477" i="8" s="1"/>
  <c r="AB1477" i="8" s="1"/>
  <c r="O1477" i="8"/>
  <c r="N1477" i="8"/>
  <c r="M1477" i="8"/>
  <c r="L1477" i="8"/>
  <c r="H1477" i="8"/>
  <c r="R1477" i="8" s="1"/>
  <c r="S1477" i="8" s="1"/>
  <c r="G1477" i="8"/>
  <c r="AH1476" i="8"/>
  <c r="AG1476" i="8"/>
  <c r="AF1476" i="8"/>
  <c r="AE1476" i="8"/>
  <c r="AC1476" i="8"/>
  <c r="AD1476" i="8" s="1"/>
  <c r="Z1476" i="8"/>
  <c r="X1476" i="8" s="1"/>
  <c r="AB1476" i="8" s="1"/>
  <c r="Y1476" i="8"/>
  <c r="W1476" i="8"/>
  <c r="AA1476" i="8" s="1"/>
  <c r="V1476" i="8"/>
  <c r="U1476" i="8"/>
  <c r="T1476" i="8"/>
  <c r="R1476" i="8"/>
  <c r="P1476" i="8"/>
  <c r="N1476" i="8"/>
  <c r="M1476" i="8"/>
  <c r="L1476" i="8"/>
  <c r="H1476" i="8"/>
  <c r="O1476" i="8" s="1"/>
  <c r="G1476" i="8"/>
  <c r="AH1475" i="8"/>
  <c r="AG1475" i="8"/>
  <c r="AE1475" i="8"/>
  <c r="Y1475" i="8"/>
  <c r="X1475" i="8" s="1"/>
  <c r="AB1475" i="8" s="1"/>
  <c r="V1475" i="8"/>
  <c r="U1475" i="8"/>
  <c r="W1475" i="8" s="1"/>
  <c r="AA1475" i="8" s="1"/>
  <c r="T1475" i="8"/>
  <c r="S1475" i="8"/>
  <c r="R1475" i="8"/>
  <c r="P1475" i="8"/>
  <c r="Z1475" i="8" s="1"/>
  <c r="O1475" i="8"/>
  <c r="M1475" i="8"/>
  <c r="L1475" i="8"/>
  <c r="N1475" i="8" s="1"/>
  <c r="H1475" i="8"/>
  <c r="G1475" i="8"/>
  <c r="AH1474" i="8"/>
  <c r="AG1474" i="8"/>
  <c r="AE1474" i="8"/>
  <c r="AC1474" i="8"/>
  <c r="AD1474" i="8" s="1"/>
  <c r="Z1474" i="8"/>
  <c r="Y1474" i="8"/>
  <c r="X1474" i="8"/>
  <c r="AB1474" i="8" s="1"/>
  <c r="V1474" i="8"/>
  <c r="U1474" i="8"/>
  <c r="W1474" i="8" s="1"/>
  <c r="AA1474" i="8" s="1"/>
  <c r="T1474" i="8"/>
  <c r="P1474" i="8"/>
  <c r="O1474" i="8"/>
  <c r="M1474" i="8"/>
  <c r="L1474" i="8"/>
  <c r="N1474" i="8" s="1"/>
  <c r="H1474" i="8"/>
  <c r="R1474" i="8" s="1"/>
  <c r="S1474" i="8" s="1"/>
  <c r="G1474" i="8"/>
  <c r="AH1473" i="8"/>
  <c r="AG1473" i="8"/>
  <c r="AE1473" i="8"/>
  <c r="Y1473" i="8"/>
  <c r="W1473" i="8"/>
  <c r="AA1473" i="8" s="1"/>
  <c r="V1473" i="8"/>
  <c r="U1473" i="8"/>
  <c r="T1473" i="8"/>
  <c r="P1473" i="8"/>
  <c r="Z1473" i="8" s="1"/>
  <c r="N1473" i="8"/>
  <c r="M1473" i="8"/>
  <c r="L1473" i="8"/>
  <c r="H1473" i="8"/>
  <c r="O1473" i="8" s="1"/>
  <c r="G1473" i="8"/>
  <c r="AH1472" i="8"/>
  <c r="AG1472" i="8"/>
  <c r="AF1472" i="8"/>
  <c r="AE1472" i="8"/>
  <c r="AC1472" i="8"/>
  <c r="AA1472" i="8"/>
  <c r="Z1472" i="8"/>
  <c r="X1472" i="8" s="1"/>
  <c r="AB1472" i="8" s="1"/>
  <c r="Y1472" i="8"/>
  <c r="W1472" i="8"/>
  <c r="V1472" i="8"/>
  <c r="U1472" i="8"/>
  <c r="T1472" i="8"/>
  <c r="R1472" i="8"/>
  <c r="S1472" i="8" s="1"/>
  <c r="P1472" i="8"/>
  <c r="O1472" i="8"/>
  <c r="N1472" i="8"/>
  <c r="M1472" i="8"/>
  <c r="L1472" i="8"/>
  <c r="H1472" i="8"/>
  <c r="G1472" i="8"/>
  <c r="AH1471" i="8"/>
  <c r="AG1471" i="8"/>
  <c r="AE1471" i="8"/>
  <c r="AC1471" i="8"/>
  <c r="Y1471" i="8"/>
  <c r="V1471" i="8"/>
  <c r="U1471" i="8"/>
  <c r="W1471" i="8" s="1"/>
  <c r="AA1471" i="8" s="1"/>
  <c r="T1471" i="8"/>
  <c r="R1471" i="8"/>
  <c r="S1471" i="8" s="1"/>
  <c r="P1471" i="8"/>
  <c r="Z1471" i="8" s="1"/>
  <c r="O1471" i="8"/>
  <c r="M1471" i="8"/>
  <c r="L1471" i="8"/>
  <c r="N1471" i="8" s="1"/>
  <c r="H1471" i="8"/>
  <c r="G1471" i="8"/>
  <c r="AH1470" i="8"/>
  <c r="AG1470" i="8"/>
  <c r="AE1470" i="8"/>
  <c r="Y1470" i="8"/>
  <c r="AC1470" i="8" s="1"/>
  <c r="V1470" i="8"/>
  <c r="U1470" i="8"/>
  <c r="W1470" i="8" s="1"/>
  <c r="AA1470" i="8" s="1"/>
  <c r="T1470" i="8"/>
  <c r="P1470" i="8"/>
  <c r="Z1470" i="8" s="1"/>
  <c r="X1470" i="8" s="1"/>
  <c r="AB1470" i="8" s="1"/>
  <c r="M1470" i="8"/>
  <c r="L1470" i="8"/>
  <c r="N1470" i="8" s="1"/>
  <c r="H1470" i="8"/>
  <c r="R1470" i="8" s="1"/>
  <c r="G1470" i="8"/>
  <c r="AH1469" i="8"/>
  <c r="AG1469" i="8"/>
  <c r="AF1469" i="8"/>
  <c r="AE1469" i="8"/>
  <c r="AC1469" i="8"/>
  <c r="AA1469" i="8"/>
  <c r="Y1469" i="8"/>
  <c r="W1469" i="8"/>
  <c r="V1469" i="8"/>
  <c r="U1469" i="8"/>
  <c r="T1469" i="8"/>
  <c r="P1469" i="8"/>
  <c r="Z1469" i="8" s="1"/>
  <c r="X1469" i="8" s="1"/>
  <c r="AB1469" i="8" s="1"/>
  <c r="O1469" i="8"/>
  <c r="N1469" i="8"/>
  <c r="M1469" i="8"/>
  <c r="L1469" i="8"/>
  <c r="H1469" i="8"/>
  <c r="R1469" i="8" s="1"/>
  <c r="S1469" i="8" s="1"/>
  <c r="G1469" i="8"/>
  <c r="AH1468" i="8"/>
  <c r="AG1468" i="8"/>
  <c r="AF1468" i="8"/>
  <c r="AE1468" i="8"/>
  <c r="AC1468" i="8"/>
  <c r="Z1468" i="8"/>
  <c r="X1468" i="8" s="1"/>
  <c r="AB1468" i="8" s="1"/>
  <c r="Y1468" i="8"/>
  <c r="W1468" i="8"/>
  <c r="AA1468" i="8" s="1"/>
  <c r="V1468" i="8"/>
  <c r="U1468" i="8"/>
  <c r="T1468" i="8"/>
  <c r="R1468" i="8"/>
  <c r="S1468" i="8" s="1"/>
  <c r="P1468" i="8"/>
  <c r="N1468" i="8"/>
  <c r="M1468" i="8"/>
  <c r="L1468" i="8"/>
  <c r="H1468" i="8"/>
  <c r="O1468" i="8" s="1"/>
  <c r="G1468" i="8"/>
  <c r="AH1467" i="8"/>
  <c r="AG1467" i="8"/>
  <c r="AE1467" i="8"/>
  <c r="Y1467" i="8"/>
  <c r="V1467" i="8"/>
  <c r="U1467" i="8"/>
  <c r="W1467" i="8" s="1"/>
  <c r="T1467" i="8"/>
  <c r="S1467" i="8"/>
  <c r="R1467" i="8"/>
  <c r="P1467" i="8"/>
  <c r="Z1467" i="8" s="1"/>
  <c r="O1467" i="8"/>
  <c r="M1467" i="8"/>
  <c r="L1467" i="8"/>
  <c r="N1467" i="8" s="1"/>
  <c r="H1467" i="8"/>
  <c r="G1467" i="8"/>
  <c r="AH1466" i="8"/>
  <c r="AG1466" i="8"/>
  <c r="AE1466" i="8"/>
  <c r="AC1466" i="8"/>
  <c r="AD1466" i="8" s="1"/>
  <c r="Z1466" i="8"/>
  <c r="Y1466" i="8"/>
  <c r="X1466" i="8"/>
  <c r="AB1466" i="8" s="1"/>
  <c r="V1466" i="8"/>
  <c r="U1466" i="8"/>
  <c r="W1466" i="8" s="1"/>
  <c r="AA1466" i="8" s="1"/>
  <c r="T1466" i="8"/>
  <c r="P1466" i="8"/>
  <c r="M1466" i="8"/>
  <c r="L1466" i="8"/>
  <c r="H1466" i="8"/>
  <c r="R1466" i="8" s="1"/>
  <c r="G1466" i="8"/>
  <c r="AH1465" i="8"/>
  <c r="AG1465" i="8"/>
  <c r="AE1465" i="8"/>
  <c r="Y1465" i="8"/>
  <c r="W1465" i="8"/>
  <c r="AA1465" i="8" s="1"/>
  <c r="V1465" i="8"/>
  <c r="U1465" i="8"/>
  <c r="T1465" i="8"/>
  <c r="P1465" i="8"/>
  <c r="Z1465" i="8" s="1"/>
  <c r="N1465" i="8"/>
  <c r="M1465" i="8"/>
  <c r="L1465" i="8"/>
  <c r="H1465" i="8"/>
  <c r="O1465" i="8" s="1"/>
  <c r="G1465" i="8"/>
  <c r="AH1464" i="8"/>
  <c r="AG1464" i="8"/>
  <c r="AE1464" i="8"/>
  <c r="AA1464" i="8"/>
  <c r="Z1464" i="8"/>
  <c r="X1464" i="8" s="1"/>
  <c r="AB1464" i="8" s="1"/>
  <c r="Y1464" i="8"/>
  <c r="AC1464" i="8" s="1"/>
  <c r="W1464" i="8"/>
  <c r="V1464" i="8"/>
  <c r="U1464" i="8"/>
  <c r="T1464" i="8"/>
  <c r="R1464" i="8"/>
  <c r="S1464" i="8" s="1"/>
  <c r="P1464" i="8"/>
  <c r="O1464" i="8"/>
  <c r="N1464" i="8"/>
  <c r="M1464" i="8"/>
  <c r="L1464" i="8"/>
  <c r="H1464" i="8"/>
  <c r="G1464" i="8"/>
  <c r="AH1463" i="8"/>
  <c r="AG1463" i="8"/>
  <c r="AE1463" i="8"/>
  <c r="Y1463" i="8"/>
  <c r="X1463" i="8" s="1"/>
  <c r="AB1463" i="8" s="1"/>
  <c r="V1463" i="8"/>
  <c r="U1463" i="8"/>
  <c r="W1463" i="8" s="1"/>
  <c r="AA1463" i="8" s="1"/>
  <c r="T1463" i="8"/>
  <c r="R1463" i="8"/>
  <c r="S1463" i="8" s="1"/>
  <c r="P1463" i="8"/>
  <c r="Z1463" i="8" s="1"/>
  <c r="O1463" i="8"/>
  <c r="M1463" i="8"/>
  <c r="L1463" i="8"/>
  <c r="N1463" i="8" s="1"/>
  <c r="H1463" i="8"/>
  <c r="G1463" i="8"/>
  <c r="AH1462" i="8"/>
  <c r="AG1462" i="8"/>
  <c r="AE1462" i="8"/>
  <c r="Y1462" i="8"/>
  <c r="X1462" i="8"/>
  <c r="AB1462" i="8" s="1"/>
  <c r="V1462" i="8"/>
  <c r="U1462" i="8"/>
  <c r="W1462" i="8" s="1"/>
  <c r="T1462" i="8"/>
  <c r="P1462" i="8"/>
  <c r="Z1462" i="8" s="1"/>
  <c r="M1462" i="8"/>
  <c r="L1462" i="8"/>
  <c r="H1462" i="8"/>
  <c r="R1462" i="8" s="1"/>
  <c r="G1462" i="8"/>
  <c r="AH1461" i="8"/>
  <c r="AG1461" i="8"/>
  <c r="AF1461" i="8"/>
  <c r="AE1461" i="8"/>
  <c r="AC1461" i="8"/>
  <c r="AD1461" i="8" s="1"/>
  <c r="Y1461" i="8"/>
  <c r="X1461" i="8"/>
  <c r="AB1461" i="8" s="1"/>
  <c r="W1461" i="8"/>
  <c r="AA1461" i="8" s="1"/>
  <c r="V1461" i="8"/>
  <c r="U1461" i="8"/>
  <c r="T1461" i="8"/>
  <c r="P1461" i="8"/>
  <c r="Z1461" i="8" s="1"/>
  <c r="O1461" i="8"/>
  <c r="M1461" i="8"/>
  <c r="L1461" i="8"/>
  <c r="N1461" i="8" s="1"/>
  <c r="H1461" i="8"/>
  <c r="R1461" i="8" s="1"/>
  <c r="S1461" i="8" s="1"/>
  <c r="G1461" i="8"/>
  <c r="AH1460" i="8"/>
  <c r="AG1460" i="8"/>
  <c r="AF1460" i="8"/>
  <c r="AE1460" i="8"/>
  <c r="AC1460" i="8"/>
  <c r="AD1460" i="8" s="1"/>
  <c r="AB1460" i="8"/>
  <c r="Z1460" i="8"/>
  <c r="X1460" i="8" s="1"/>
  <c r="Y1460" i="8"/>
  <c r="W1460" i="8"/>
  <c r="AA1460" i="8" s="1"/>
  <c r="V1460" i="8"/>
  <c r="U1460" i="8"/>
  <c r="T1460" i="8"/>
  <c r="R1460" i="8"/>
  <c r="S1460" i="8" s="1"/>
  <c r="P1460" i="8"/>
  <c r="N1460" i="8"/>
  <c r="M1460" i="8"/>
  <c r="L1460" i="8"/>
  <c r="H1460" i="8"/>
  <c r="O1460" i="8" s="1"/>
  <c r="G1460" i="8"/>
  <c r="AH1459" i="8"/>
  <c r="AG1459" i="8"/>
  <c r="AE1459" i="8"/>
  <c r="Y1459" i="8"/>
  <c r="V1459" i="8"/>
  <c r="U1459" i="8"/>
  <c r="W1459" i="8" s="1"/>
  <c r="AA1459" i="8" s="1"/>
  <c r="T1459" i="8"/>
  <c r="S1459" i="8"/>
  <c r="R1459" i="8"/>
  <c r="P1459" i="8"/>
  <c r="Z1459" i="8" s="1"/>
  <c r="O1459" i="8"/>
  <c r="M1459" i="8"/>
  <c r="L1459" i="8"/>
  <c r="N1459" i="8" s="1"/>
  <c r="H1459" i="8"/>
  <c r="G1459" i="8"/>
  <c r="AH1458" i="8"/>
  <c r="AG1458" i="8"/>
  <c r="AE1458" i="8"/>
  <c r="AC1458" i="8"/>
  <c r="Z1458" i="8"/>
  <c r="Y1458" i="8"/>
  <c r="X1458" i="8"/>
  <c r="AB1458" i="8" s="1"/>
  <c r="V1458" i="8"/>
  <c r="U1458" i="8"/>
  <c r="W1458" i="8" s="1"/>
  <c r="AA1458" i="8" s="1"/>
  <c r="T1458" i="8"/>
  <c r="P1458" i="8"/>
  <c r="M1458" i="8"/>
  <c r="L1458" i="8"/>
  <c r="N1458" i="8" s="1"/>
  <c r="H1458" i="8"/>
  <c r="O1458" i="8" s="1"/>
  <c r="G1458" i="8"/>
  <c r="AH1457" i="8"/>
  <c r="AG1457" i="8"/>
  <c r="AE1457" i="8"/>
  <c r="Y1457" i="8"/>
  <c r="X1457" i="8"/>
  <c r="AB1457" i="8" s="1"/>
  <c r="W1457" i="8"/>
  <c r="AA1457" i="8" s="1"/>
  <c r="V1457" i="8"/>
  <c r="U1457" i="8"/>
  <c r="T1457" i="8"/>
  <c r="S1457" i="8"/>
  <c r="P1457" i="8"/>
  <c r="Z1457" i="8" s="1"/>
  <c r="O1457" i="8"/>
  <c r="N1457" i="8"/>
  <c r="M1457" i="8"/>
  <c r="L1457" i="8"/>
  <c r="H1457" i="8"/>
  <c r="R1457" i="8" s="1"/>
  <c r="G1457" i="8"/>
  <c r="AH1456" i="8"/>
  <c r="AG1456" i="8"/>
  <c r="AF1456" i="8"/>
  <c r="AE1456" i="8"/>
  <c r="AA1456" i="8"/>
  <c r="Z1456" i="8"/>
  <c r="Y1456" i="8"/>
  <c r="AC1456" i="8" s="1"/>
  <c r="X1456" i="8"/>
  <c r="AB1456" i="8" s="1"/>
  <c r="W1456" i="8"/>
  <c r="V1456" i="8"/>
  <c r="U1456" i="8"/>
  <c r="T1456" i="8"/>
  <c r="S1456" i="8"/>
  <c r="R1456" i="8"/>
  <c r="P1456" i="8"/>
  <c r="O1456" i="8"/>
  <c r="N1456" i="8"/>
  <c r="M1456" i="8"/>
  <c r="L1456" i="8"/>
  <c r="H1456" i="8"/>
  <c r="G1456" i="8"/>
  <c r="AH1455" i="8"/>
  <c r="AG1455" i="8"/>
  <c r="AE1455" i="8"/>
  <c r="Y1455" i="8"/>
  <c r="W1455" i="8"/>
  <c r="V1455" i="8"/>
  <c r="U1455" i="8"/>
  <c r="T1455" i="8"/>
  <c r="R1455" i="8"/>
  <c r="M1455" i="8"/>
  <c r="O1455" i="8" s="1"/>
  <c r="L1455" i="8"/>
  <c r="N1455" i="8" s="1"/>
  <c r="H1455" i="8"/>
  <c r="G1455" i="8"/>
  <c r="AH1454" i="8"/>
  <c r="AG1454" i="8"/>
  <c r="AE1454" i="8"/>
  <c r="Y1454" i="8"/>
  <c r="V1454" i="8"/>
  <c r="U1454" i="8"/>
  <c r="W1454" i="8" s="1"/>
  <c r="AA1454" i="8" s="1"/>
  <c r="T1454" i="8"/>
  <c r="R1454" i="8"/>
  <c r="S1454" i="8" s="1"/>
  <c r="P1454" i="8"/>
  <c r="AC1454" i="8" s="1"/>
  <c r="N1454" i="8"/>
  <c r="M1454" i="8"/>
  <c r="O1454" i="8" s="1"/>
  <c r="L1454" i="8"/>
  <c r="H1454" i="8"/>
  <c r="G1454" i="8"/>
  <c r="AH1453" i="8"/>
  <c r="AG1453" i="8"/>
  <c r="AE1453" i="8"/>
  <c r="Y1453" i="8"/>
  <c r="V1453" i="8"/>
  <c r="W1453" i="8" s="1"/>
  <c r="U1453" i="8"/>
  <c r="T1453" i="8"/>
  <c r="R1453" i="8"/>
  <c r="S1453" i="8" s="1"/>
  <c r="M1453" i="8"/>
  <c r="O1453" i="8" s="1"/>
  <c r="L1453" i="8"/>
  <c r="N1453" i="8" s="1"/>
  <c r="H1453" i="8"/>
  <c r="G1453" i="8"/>
  <c r="AH1452" i="8"/>
  <c r="AG1452" i="8"/>
  <c r="AE1452" i="8"/>
  <c r="Y1452" i="8"/>
  <c r="V1452" i="8"/>
  <c r="U1452" i="8"/>
  <c r="W1452" i="8" s="1"/>
  <c r="T1452" i="8"/>
  <c r="R1452" i="8"/>
  <c r="N1452" i="8"/>
  <c r="M1452" i="8"/>
  <c r="O1452" i="8" s="1"/>
  <c r="L1452" i="8"/>
  <c r="H1452" i="8"/>
  <c r="G1452" i="8"/>
  <c r="AH1451" i="8"/>
  <c r="AG1451" i="8"/>
  <c r="AE1451" i="8"/>
  <c r="Y1451" i="8"/>
  <c r="W1451" i="8"/>
  <c r="V1451" i="8"/>
  <c r="U1451" i="8"/>
  <c r="T1451" i="8"/>
  <c r="R1451" i="8"/>
  <c r="M1451" i="8"/>
  <c r="O1451" i="8" s="1"/>
  <c r="L1451" i="8"/>
  <c r="N1451" i="8" s="1"/>
  <c r="H1451" i="8"/>
  <c r="G1451" i="8"/>
  <c r="AH1450" i="8"/>
  <c r="AG1450" i="8"/>
  <c r="AE1450" i="8"/>
  <c r="Y1450" i="8"/>
  <c r="V1450" i="8"/>
  <c r="U1450" i="8"/>
  <c r="W1450" i="8" s="1"/>
  <c r="AA1450" i="8" s="1"/>
  <c r="T1450" i="8"/>
  <c r="R1450" i="8"/>
  <c r="S1450" i="8" s="1"/>
  <c r="P1450" i="8"/>
  <c r="AC1450" i="8" s="1"/>
  <c r="N1450" i="8"/>
  <c r="M1450" i="8"/>
  <c r="O1450" i="8" s="1"/>
  <c r="L1450" i="8"/>
  <c r="H1450" i="8"/>
  <c r="G1450" i="8"/>
  <c r="AH1449" i="8"/>
  <c r="AG1449" i="8"/>
  <c r="AE1449" i="8"/>
  <c r="Y1449" i="8"/>
  <c r="W1449" i="8"/>
  <c r="V1449" i="8"/>
  <c r="U1449" i="8"/>
  <c r="T1449" i="8"/>
  <c r="R1449" i="8"/>
  <c r="N1449" i="8"/>
  <c r="M1449" i="8"/>
  <c r="O1449" i="8" s="1"/>
  <c r="S1449" i="8" s="1"/>
  <c r="L1449" i="8"/>
  <c r="H1449" i="8"/>
  <c r="G1449" i="8"/>
  <c r="AH1448" i="8"/>
  <c r="AG1448" i="8"/>
  <c r="AE1448" i="8"/>
  <c r="AD1448" i="8"/>
  <c r="AC1448" i="8"/>
  <c r="AF1448" i="8" s="1"/>
  <c r="Y1448" i="8"/>
  <c r="V1448" i="8"/>
  <c r="U1448" i="8"/>
  <c r="W1448" i="8" s="1"/>
  <c r="AA1448" i="8" s="1"/>
  <c r="T1448" i="8"/>
  <c r="S1448" i="8"/>
  <c r="R1448" i="8"/>
  <c r="P1448" i="8"/>
  <c r="Z1448" i="8" s="1"/>
  <c r="N1448" i="8"/>
  <c r="M1448" i="8"/>
  <c r="O1448" i="8" s="1"/>
  <c r="L1448" i="8"/>
  <c r="H1448" i="8"/>
  <c r="G1448" i="8"/>
  <c r="AH1447" i="8"/>
  <c r="AG1447" i="8"/>
  <c r="AE1447" i="8"/>
  <c r="Y1447" i="8"/>
  <c r="V1447" i="8"/>
  <c r="U1447" i="8"/>
  <c r="T1447" i="8"/>
  <c r="R1447" i="8"/>
  <c r="M1447" i="8"/>
  <c r="O1447" i="8" s="1"/>
  <c r="S1447" i="8" s="1"/>
  <c r="L1447" i="8"/>
  <c r="N1447" i="8" s="1"/>
  <c r="H1447" i="8"/>
  <c r="G1447" i="8"/>
  <c r="AH1446" i="8"/>
  <c r="AG1446" i="8"/>
  <c r="AE1446" i="8"/>
  <c r="AC1446" i="8"/>
  <c r="AF1446" i="8" s="1"/>
  <c r="Y1446" i="8"/>
  <c r="V1446" i="8"/>
  <c r="U1446" i="8"/>
  <c r="W1446" i="8" s="1"/>
  <c r="AA1446" i="8" s="1"/>
  <c r="T1446" i="8"/>
  <c r="R1446" i="8"/>
  <c r="S1446" i="8" s="1"/>
  <c r="P1446" i="8"/>
  <c r="Z1446" i="8" s="1"/>
  <c r="N1446" i="8"/>
  <c r="M1446" i="8"/>
  <c r="O1446" i="8" s="1"/>
  <c r="L1446" i="8"/>
  <c r="H1446" i="8"/>
  <c r="G1446" i="8"/>
  <c r="AH1445" i="8"/>
  <c r="AG1445" i="8"/>
  <c r="AE1445" i="8"/>
  <c r="Y1445" i="8"/>
  <c r="V1445" i="8"/>
  <c r="U1445" i="8"/>
  <c r="T1445" i="8"/>
  <c r="R1445" i="8"/>
  <c r="S1445" i="8" s="1"/>
  <c r="M1445" i="8"/>
  <c r="O1445" i="8" s="1"/>
  <c r="L1445" i="8"/>
  <c r="N1445" i="8" s="1"/>
  <c r="H1445" i="8"/>
  <c r="G1445" i="8"/>
  <c r="AH1444" i="8"/>
  <c r="AG1444" i="8"/>
  <c r="AE1444" i="8"/>
  <c r="AC1444" i="8"/>
  <c r="AF1444" i="8" s="1"/>
  <c r="Y1444" i="8"/>
  <c r="V1444" i="8"/>
  <c r="U1444" i="8"/>
  <c r="W1444" i="8" s="1"/>
  <c r="AA1444" i="8" s="1"/>
  <c r="T1444" i="8"/>
  <c r="R1444" i="8"/>
  <c r="S1444" i="8" s="1"/>
  <c r="P1444" i="8"/>
  <c r="Z1444" i="8" s="1"/>
  <c r="M1444" i="8"/>
  <c r="O1444" i="8" s="1"/>
  <c r="L1444" i="8"/>
  <c r="N1444" i="8" s="1"/>
  <c r="H1444" i="8"/>
  <c r="G1444" i="8"/>
  <c r="AH1443" i="8"/>
  <c r="AG1443" i="8"/>
  <c r="AE1443" i="8"/>
  <c r="Y1443" i="8"/>
  <c r="V1443" i="8"/>
  <c r="U1443" i="8"/>
  <c r="T1443" i="8"/>
  <c r="M1443" i="8"/>
  <c r="O1443" i="8" s="1"/>
  <c r="L1443" i="8"/>
  <c r="N1443" i="8" s="1"/>
  <c r="H1443" i="8"/>
  <c r="R1443" i="8" s="1"/>
  <c r="S1443" i="8" s="1"/>
  <c r="G1443" i="8"/>
  <c r="AH1442" i="8"/>
  <c r="AG1442" i="8"/>
  <c r="AE1442" i="8"/>
  <c r="Y1442" i="8"/>
  <c r="W1442" i="8"/>
  <c r="V1442" i="8"/>
  <c r="U1442" i="8"/>
  <c r="T1442" i="8"/>
  <c r="M1442" i="8"/>
  <c r="O1442" i="8" s="1"/>
  <c r="L1442" i="8"/>
  <c r="H1442" i="8"/>
  <c r="R1442" i="8" s="1"/>
  <c r="S1442" i="8" s="1"/>
  <c r="G1442" i="8"/>
  <c r="AH1441" i="8"/>
  <c r="AG1441" i="8"/>
  <c r="AE1441" i="8"/>
  <c r="Y1441" i="8"/>
  <c r="AC1441" i="8" s="1"/>
  <c r="W1441" i="8"/>
  <c r="AA1441" i="8" s="1"/>
  <c r="V1441" i="8"/>
  <c r="U1441" i="8"/>
  <c r="T1441" i="8"/>
  <c r="R1441" i="8"/>
  <c r="S1441" i="8" s="1"/>
  <c r="P1441" i="8"/>
  <c r="Z1441" i="8" s="1"/>
  <c r="N1441" i="8"/>
  <c r="M1441" i="8"/>
  <c r="O1441" i="8" s="1"/>
  <c r="L1441" i="8"/>
  <c r="H1441" i="8"/>
  <c r="G1441" i="8"/>
  <c r="AH1440" i="8"/>
  <c r="AG1440" i="8"/>
  <c r="AE1440" i="8"/>
  <c r="Y1440" i="8"/>
  <c r="V1440" i="8"/>
  <c r="Z1440" i="8" s="1"/>
  <c r="U1440" i="8"/>
  <c r="W1440" i="8" s="1"/>
  <c r="AA1440" i="8" s="1"/>
  <c r="T1440" i="8"/>
  <c r="M1440" i="8"/>
  <c r="P1440" i="8" s="1"/>
  <c r="AC1440" i="8" s="1"/>
  <c r="L1440" i="8"/>
  <c r="N1440" i="8" s="1"/>
  <c r="H1440" i="8"/>
  <c r="R1440" i="8" s="1"/>
  <c r="G1440" i="8"/>
  <c r="AH1439" i="8"/>
  <c r="AG1439" i="8"/>
  <c r="AE1439" i="8"/>
  <c r="AC1439" i="8"/>
  <c r="AF1439" i="8" s="1"/>
  <c r="Y1439" i="8"/>
  <c r="V1439" i="8"/>
  <c r="W1439" i="8" s="1"/>
  <c r="AA1439" i="8" s="1"/>
  <c r="U1439" i="8"/>
  <c r="T1439" i="8"/>
  <c r="R1439" i="8"/>
  <c r="S1439" i="8" s="1"/>
  <c r="P1439" i="8"/>
  <c r="Z1439" i="8" s="1"/>
  <c r="M1439" i="8"/>
  <c r="O1439" i="8" s="1"/>
  <c r="L1439" i="8"/>
  <c r="N1439" i="8" s="1"/>
  <c r="H1439" i="8"/>
  <c r="G1439" i="8"/>
  <c r="AH1438" i="8"/>
  <c r="AG1438" i="8"/>
  <c r="AE1438" i="8"/>
  <c r="Y1438" i="8"/>
  <c r="W1438" i="8"/>
  <c r="V1438" i="8"/>
  <c r="U1438" i="8"/>
  <c r="T1438" i="8"/>
  <c r="N1438" i="8"/>
  <c r="M1438" i="8"/>
  <c r="O1438" i="8" s="1"/>
  <c r="L1438" i="8"/>
  <c r="H1438" i="8"/>
  <c r="R1438" i="8" s="1"/>
  <c r="S1438" i="8" s="1"/>
  <c r="G1438" i="8"/>
  <c r="AH1437" i="8"/>
  <c r="AG1437" i="8"/>
  <c r="AE1437" i="8"/>
  <c r="Y1437" i="8"/>
  <c r="V1437" i="8"/>
  <c r="Z1437" i="8" s="1"/>
  <c r="U1437" i="8"/>
  <c r="W1437" i="8" s="1"/>
  <c r="AA1437" i="8" s="1"/>
  <c r="T1437" i="8"/>
  <c r="M1437" i="8"/>
  <c r="P1437" i="8" s="1"/>
  <c r="AC1437" i="8" s="1"/>
  <c r="L1437" i="8"/>
  <c r="N1437" i="8" s="1"/>
  <c r="H1437" i="8"/>
  <c r="R1437" i="8" s="1"/>
  <c r="G1437" i="8"/>
  <c r="AH1436" i="8"/>
  <c r="AG1436" i="8"/>
  <c r="AE1436" i="8"/>
  <c r="Y1436" i="8"/>
  <c r="V1436" i="8"/>
  <c r="U1436" i="8"/>
  <c r="W1436" i="8" s="1"/>
  <c r="AA1436" i="8" s="1"/>
  <c r="T1436" i="8"/>
  <c r="R1436" i="8"/>
  <c r="P1436" i="8"/>
  <c r="Z1436" i="8" s="1"/>
  <c r="N1436" i="8"/>
  <c r="M1436" i="8"/>
  <c r="L1436" i="8"/>
  <c r="H1436" i="8"/>
  <c r="G1436" i="8"/>
  <c r="AH1435" i="8"/>
  <c r="AG1435" i="8"/>
  <c r="AE1435" i="8"/>
  <c r="Y1435" i="8"/>
  <c r="V1435" i="8"/>
  <c r="U1435" i="8"/>
  <c r="T1435" i="8"/>
  <c r="M1435" i="8"/>
  <c r="O1435" i="8" s="1"/>
  <c r="L1435" i="8"/>
  <c r="N1435" i="8" s="1"/>
  <c r="H1435" i="8"/>
  <c r="R1435" i="8" s="1"/>
  <c r="S1435" i="8" s="1"/>
  <c r="G1435" i="8"/>
  <c r="AH1434" i="8"/>
  <c r="AG1434" i="8"/>
  <c r="AE1434" i="8"/>
  <c r="Y1434" i="8"/>
  <c r="W1434" i="8"/>
  <c r="V1434" i="8"/>
  <c r="U1434" i="8"/>
  <c r="T1434" i="8"/>
  <c r="M1434" i="8"/>
  <c r="O1434" i="8" s="1"/>
  <c r="L1434" i="8"/>
  <c r="H1434" i="8"/>
  <c r="R1434" i="8" s="1"/>
  <c r="S1434" i="8" s="1"/>
  <c r="G1434" i="8"/>
  <c r="AH1433" i="8"/>
  <c r="AG1433" i="8"/>
  <c r="AE1433" i="8"/>
  <c r="Y1433" i="8"/>
  <c r="AC1433" i="8" s="1"/>
  <c r="W1433" i="8"/>
  <c r="AA1433" i="8" s="1"/>
  <c r="V1433" i="8"/>
  <c r="U1433" i="8"/>
  <c r="T1433" i="8"/>
  <c r="R1433" i="8"/>
  <c r="S1433" i="8" s="1"/>
  <c r="P1433" i="8"/>
  <c r="Z1433" i="8" s="1"/>
  <c r="N1433" i="8"/>
  <c r="M1433" i="8"/>
  <c r="O1433" i="8" s="1"/>
  <c r="L1433" i="8"/>
  <c r="H1433" i="8"/>
  <c r="G1433" i="8"/>
  <c r="AH1432" i="8"/>
  <c r="AG1432" i="8"/>
  <c r="AE1432" i="8"/>
  <c r="Y1432" i="8"/>
  <c r="V1432" i="8"/>
  <c r="U1432" i="8"/>
  <c r="W1432" i="8" s="1"/>
  <c r="AA1432" i="8" s="1"/>
  <c r="T1432" i="8"/>
  <c r="M1432" i="8"/>
  <c r="P1432" i="8" s="1"/>
  <c r="AC1432" i="8" s="1"/>
  <c r="L1432" i="8"/>
  <c r="N1432" i="8" s="1"/>
  <c r="H1432" i="8"/>
  <c r="R1432" i="8" s="1"/>
  <c r="G1432" i="8"/>
  <c r="AH1431" i="8"/>
  <c r="AG1431" i="8"/>
  <c r="AE1431" i="8"/>
  <c r="AC1431" i="8"/>
  <c r="AF1431" i="8" s="1"/>
  <c r="Y1431" i="8"/>
  <c r="V1431" i="8"/>
  <c r="W1431" i="8" s="1"/>
  <c r="AA1431" i="8" s="1"/>
  <c r="U1431" i="8"/>
  <c r="T1431" i="8"/>
  <c r="R1431" i="8"/>
  <c r="S1431" i="8" s="1"/>
  <c r="P1431" i="8"/>
  <c r="Z1431" i="8" s="1"/>
  <c r="M1431" i="8"/>
  <c r="O1431" i="8" s="1"/>
  <c r="L1431" i="8"/>
  <c r="N1431" i="8" s="1"/>
  <c r="H1431" i="8"/>
  <c r="G1431" i="8"/>
  <c r="AH1430" i="8"/>
  <c r="AG1430" i="8"/>
  <c r="AE1430" i="8"/>
  <c r="Y1430" i="8"/>
  <c r="W1430" i="8"/>
  <c r="V1430" i="8"/>
  <c r="U1430" i="8"/>
  <c r="T1430" i="8"/>
  <c r="N1430" i="8"/>
  <c r="M1430" i="8"/>
  <c r="O1430" i="8" s="1"/>
  <c r="L1430" i="8"/>
  <c r="H1430" i="8"/>
  <c r="R1430" i="8" s="1"/>
  <c r="S1430" i="8" s="1"/>
  <c r="G1430" i="8"/>
  <c r="AH1429" i="8"/>
  <c r="AG1429" i="8"/>
  <c r="AE1429" i="8"/>
  <c r="Y1429" i="8"/>
  <c r="V1429" i="8"/>
  <c r="U1429" i="8"/>
  <c r="W1429" i="8" s="1"/>
  <c r="T1429" i="8"/>
  <c r="M1429" i="8"/>
  <c r="P1429" i="8" s="1"/>
  <c r="AC1429" i="8" s="1"/>
  <c r="L1429" i="8"/>
  <c r="N1429" i="8" s="1"/>
  <c r="H1429" i="8"/>
  <c r="R1429" i="8" s="1"/>
  <c r="G1429" i="8"/>
  <c r="AH1428" i="8"/>
  <c r="AG1428" i="8"/>
  <c r="AE1428" i="8"/>
  <c r="Y1428" i="8"/>
  <c r="V1428" i="8"/>
  <c r="U1428" i="8"/>
  <c r="W1428" i="8" s="1"/>
  <c r="AA1428" i="8" s="1"/>
  <c r="T1428" i="8"/>
  <c r="R1428" i="8"/>
  <c r="P1428" i="8"/>
  <c r="Z1428" i="8" s="1"/>
  <c r="N1428" i="8"/>
  <c r="M1428" i="8"/>
  <c r="L1428" i="8"/>
  <c r="H1428" i="8"/>
  <c r="G1428" i="8"/>
  <c r="AH1427" i="8"/>
  <c r="AG1427" i="8"/>
  <c r="AE1427" i="8"/>
  <c r="Y1427" i="8"/>
  <c r="V1427" i="8"/>
  <c r="U1427" i="8"/>
  <c r="T1427" i="8"/>
  <c r="M1427" i="8"/>
  <c r="O1427" i="8" s="1"/>
  <c r="L1427" i="8"/>
  <c r="N1427" i="8" s="1"/>
  <c r="H1427" i="8"/>
  <c r="R1427" i="8" s="1"/>
  <c r="S1427" i="8" s="1"/>
  <c r="G1427" i="8"/>
  <c r="AH1426" i="8"/>
  <c r="AG1426" i="8"/>
  <c r="AE1426" i="8"/>
  <c r="Y1426" i="8"/>
  <c r="V1426" i="8"/>
  <c r="U1426" i="8"/>
  <c r="W1426" i="8" s="1"/>
  <c r="T1426" i="8"/>
  <c r="M1426" i="8"/>
  <c r="L1426" i="8"/>
  <c r="H1426" i="8"/>
  <c r="R1426" i="8" s="1"/>
  <c r="G1426" i="8"/>
  <c r="AH1425" i="8"/>
  <c r="AG1425" i="8"/>
  <c r="AE1425" i="8"/>
  <c r="Y1425" i="8"/>
  <c r="W1425" i="8"/>
  <c r="AA1425" i="8" s="1"/>
  <c r="V1425" i="8"/>
  <c r="U1425" i="8"/>
  <c r="T1425" i="8"/>
  <c r="R1425" i="8"/>
  <c r="S1425" i="8" s="1"/>
  <c r="P1425" i="8"/>
  <c r="Z1425" i="8" s="1"/>
  <c r="N1425" i="8"/>
  <c r="M1425" i="8"/>
  <c r="O1425" i="8" s="1"/>
  <c r="L1425" i="8"/>
  <c r="H1425" i="8"/>
  <c r="G1425" i="8"/>
  <c r="AH1424" i="8"/>
  <c r="AG1424" i="8"/>
  <c r="AE1424" i="8"/>
  <c r="AD1424" i="8"/>
  <c r="Y1424" i="8"/>
  <c r="V1424" i="8"/>
  <c r="Z1424" i="8" s="1"/>
  <c r="U1424" i="8"/>
  <c r="W1424" i="8" s="1"/>
  <c r="T1424" i="8"/>
  <c r="M1424" i="8"/>
  <c r="P1424" i="8" s="1"/>
  <c r="AC1424" i="8" s="1"/>
  <c r="AF1424" i="8" s="1"/>
  <c r="L1424" i="8"/>
  <c r="N1424" i="8" s="1"/>
  <c r="H1424" i="8"/>
  <c r="R1424" i="8" s="1"/>
  <c r="G1424" i="8"/>
  <c r="AH1423" i="8"/>
  <c r="AG1423" i="8"/>
  <c r="AE1423" i="8"/>
  <c r="AC1423" i="8"/>
  <c r="AF1423" i="8" s="1"/>
  <c r="Y1423" i="8"/>
  <c r="V1423" i="8"/>
  <c r="W1423" i="8" s="1"/>
  <c r="AA1423" i="8" s="1"/>
  <c r="U1423" i="8"/>
  <c r="T1423" i="8"/>
  <c r="R1423" i="8"/>
  <c r="S1423" i="8" s="1"/>
  <c r="P1423" i="8"/>
  <c r="Z1423" i="8" s="1"/>
  <c r="M1423" i="8"/>
  <c r="O1423" i="8" s="1"/>
  <c r="L1423" i="8"/>
  <c r="N1423" i="8" s="1"/>
  <c r="H1423" i="8"/>
  <c r="G1423" i="8"/>
  <c r="AH1422" i="8"/>
  <c r="AG1422" i="8"/>
  <c r="AE1422" i="8"/>
  <c r="Y1422" i="8"/>
  <c r="W1422" i="8"/>
  <c r="V1422" i="8"/>
  <c r="U1422" i="8"/>
  <c r="T1422" i="8"/>
  <c r="N1422" i="8"/>
  <c r="M1422" i="8"/>
  <c r="L1422" i="8"/>
  <c r="H1422" i="8"/>
  <c r="R1422" i="8" s="1"/>
  <c r="G1422" i="8"/>
  <c r="AH1421" i="8"/>
  <c r="AG1421" i="8"/>
  <c r="AE1421" i="8"/>
  <c r="Y1421" i="8"/>
  <c r="V1421" i="8"/>
  <c r="U1421" i="8"/>
  <c r="W1421" i="8" s="1"/>
  <c r="T1421" i="8"/>
  <c r="M1421" i="8"/>
  <c r="P1421" i="8" s="1"/>
  <c r="AC1421" i="8" s="1"/>
  <c r="L1421" i="8"/>
  <c r="H1421" i="8"/>
  <c r="R1421" i="8" s="1"/>
  <c r="G1421" i="8"/>
  <c r="AH1420" i="8"/>
  <c r="AG1420" i="8"/>
  <c r="AE1420" i="8"/>
  <c r="Z1420" i="8"/>
  <c r="Y1420" i="8"/>
  <c r="V1420" i="8"/>
  <c r="U1420" i="8"/>
  <c r="W1420" i="8" s="1"/>
  <c r="T1420" i="8"/>
  <c r="R1420" i="8"/>
  <c r="P1420" i="8"/>
  <c r="AA1420" i="8" s="1"/>
  <c r="N1420" i="8"/>
  <c r="M1420" i="8"/>
  <c r="L1420" i="8"/>
  <c r="H1420" i="8"/>
  <c r="G1420" i="8"/>
  <c r="AH1419" i="8"/>
  <c r="AG1419" i="8"/>
  <c r="AE1419" i="8"/>
  <c r="Y1419" i="8"/>
  <c r="W1419" i="8"/>
  <c r="V1419" i="8"/>
  <c r="U1419" i="8"/>
  <c r="T1419" i="8"/>
  <c r="M1419" i="8"/>
  <c r="L1419" i="8"/>
  <c r="N1419" i="8" s="1"/>
  <c r="H1419" i="8"/>
  <c r="R1419" i="8" s="1"/>
  <c r="G1419" i="8"/>
  <c r="AH1418" i="8"/>
  <c r="AG1418" i="8"/>
  <c r="AE1418" i="8"/>
  <c r="Y1418" i="8"/>
  <c r="W1418" i="8"/>
  <c r="V1418" i="8"/>
  <c r="U1418" i="8"/>
  <c r="T1418" i="8"/>
  <c r="M1418" i="8"/>
  <c r="L1418" i="8"/>
  <c r="H1418" i="8"/>
  <c r="G1418" i="8"/>
  <c r="AH1417" i="8"/>
  <c r="AG1417" i="8"/>
  <c r="AE1417" i="8"/>
  <c r="Y1417" i="8"/>
  <c r="W1417" i="8"/>
  <c r="V1417" i="8"/>
  <c r="U1417" i="8"/>
  <c r="T1417" i="8"/>
  <c r="R1417" i="8"/>
  <c r="N1417" i="8"/>
  <c r="M1417" i="8"/>
  <c r="O1417" i="8" s="1"/>
  <c r="L1417" i="8"/>
  <c r="H1417" i="8"/>
  <c r="G1417" i="8"/>
  <c r="AH1416" i="8"/>
  <c r="AG1416" i="8"/>
  <c r="AE1416" i="8"/>
  <c r="Z1416" i="8"/>
  <c r="Y1416" i="8"/>
  <c r="V1416" i="8"/>
  <c r="U1416" i="8"/>
  <c r="W1416" i="8" s="1"/>
  <c r="AA1416" i="8" s="1"/>
  <c r="T1416" i="8"/>
  <c r="P1416" i="8"/>
  <c r="AC1416" i="8" s="1"/>
  <c r="M1416" i="8"/>
  <c r="L1416" i="8"/>
  <c r="N1416" i="8" s="1"/>
  <c r="H1416" i="8"/>
  <c r="R1416" i="8" s="1"/>
  <c r="G1416" i="8"/>
  <c r="AH1415" i="8"/>
  <c r="AG1415" i="8"/>
  <c r="AE1415" i="8"/>
  <c r="AC1415" i="8"/>
  <c r="AA1415" i="8"/>
  <c r="Z1415" i="8"/>
  <c r="X1415" i="8" s="1"/>
  <c r="AB1415" i="8" s="1"/>
  <c r="Y1415" i="8"/>
  <c r="W1415" i="8"/>
  <c r="V1415" i="8"/>
  <c r="U1415" i="8"/>
  <c r="T1415" i="8"/>
  <c r="R1415" i="8"/>
  <c r="S1415" i="8" s="1"/>
  <c r="P1415" i="8"/>
  <c r="M1415" i="8"/>
  <c r="L1415" i="8"/>
  <c r="N1415" i="8" s="1"/>
  <c r="H1415" i="8"/>
  <c r="O1415" i="8" s="1"/>
  <c r="G1415" i="8"/>
  <c r="AH1414" i="8"/>
  <c r="AG1414" i="8"/>
  <c r="AE1414" i="8"/>
  <c r="AA1414" i="8"/>
  <c r="Y1414" i="8"/>
  <c r="AC1414" i="8" s="1"/>
  <c r="W1414" i="8"/>
  <c r="V1414" i="8"/>
  <c r="U1414" i="8"/>
  <c r="T1414" i="8"/>
  <c r="R1414" i="8"/>
  <c r="S1414" i="8" s="1"/>
  <c r="P1414" i="8"/>
  <c r="Z1414" i="8" s="1"/>
  <c r="M1414" i="8"/>
  <c r="L1414" i="8"/>
  <c r="N1414" i="8" s="1"/>
  <c r="H1414" i="8"/>
  <c r="O1414" i="8" s="1"/>
  <c r="G1414" i="8"/>
  <c r="AH1413" i="8"/>
  <c r="AG1413" i="8"/>
  <c r="AE1413" i="8"/>
  <c r="Y1413" i="8"/>
  <c r="W1413" i="8"/>
  <c r="V1413" i="8"/>
  <c r="U1413" i="8"/>
  <c r="T1413" i="8"/>
  <c r="S1413" i="8"/>
  <c r="R1413" i="8"/>
  <c r="P1413" i="8"/>
  <c r="AA1413" i="8" s="1"/>
  <c r="M1413" i="8"/>
  <c r="L1413" i="8"/>
  <c r="N1413" i="8" s="1"/>
  <c r="H1413" i="8"/>
  <c r="O1413" i="8" s="1"/>
  <c r="G1413" i="8"/>
  <c r="AH1412" i="8"/>
  <c r="AG1412" i="8"/>
  <c r="AE1412" i="8"/>
  <c r="AA1412" i="8"/>
  <c r="Y1412" i="8"/>
  <c r="AC1412" i="8" s="1"/>
  <c r="W1412" i="8"/>
  <c r="V1412" i="8"/>
  <c r="U1412" i="8"/>
  <c r="T1412" i="8"/>
  <c r="R1412" i="8"/>
  <c r="S1412" i="8" s="1"/>
  <c r="P1412" i="8"/>
  <c r="Z1412" i="8" s="1"/>
  <c r="M1412" i="8"/>
  <c r="L1412" i="8"/>
  <c r="N1412" i="8" s="1"/>
  <c r="H1412" i="8"/>
  <c r="O1412" i="8" s="1"/>
  <c r="G1412" i="8"/>
  <c r="AH1411" i="8"/>
  <c r="AG1411" i="8"/>
  <c r="AE1411" i="8"/>
  <c r="AA1411" i="8"/>
  <c r="Y1411" i="8"/>
  <c r="W1411" i="8"/>
  <c r="V1411" i="8"/>
  <c r="U1411" i="8"/>
  <c r="T1411" i="8"/>
  <c r="R1411" i="8"/>
  <c r="S1411" i="8" s="1"/>
  <c r="P1411" i="8"/>
  <c r="AC1411" i="8" s="1"/>
  <c r="M1411" i="8"/>
  <c r="L1411" i="8"/>
  <c r="N1411" i="8" s="1"/>
  <c r="H1411" i="8"/>
  <c r="O1411" i="8" s="1"/>
  <c r="G1411" i="8"/>
  <c r="AH1410" i="8"/>
  <c r="AG1410" i="8"/>
  <c r="AE1410" i="8"/>
  <c r="AA1410" i="8"/>
  <c r="Y1410" i="8"/>
  <c r="AC1410" i="8" s="1"/>
  <c r="W1410" i="8"/>
  <c r="V1410" i="8"/>
  <c r="U1410" i="8"/>
  <c r="T1410" i="8"/>
  <c r="R1410" i="8"/>
  <c r="S1410" i="8" s="1"/>
  <c r="P1410" i="8"/>
  <c r="Z1410" i="8" s="1"/>
  <c r="M1410" i="8"/>
  <c r="L1410" i="8"/>
  <c r="N1410" i="8" s="1"/>
  <c r="H1410" i="8"/>
  <c r="O1410" i="8" s="1"/>
  <c r="G1410" i="8"/>
  <c r="AH1409" i="8"/>
  <c r="AG1409" i="8"/>
  <c r="AE1409" i="8"/>
  <c r="AA1409" i="8"/>
  <c r="Y1409" i="8"/>
  <c r="W1409" i="8"/>
  <c r="V1409" i="8"/>
  <c r="U1409" i="8"/>
  <c r="T1409" i="8"/>
  <c r="R1409" i="8"/>
  <c r="S1409" i="8" s="1"/>
  <c r="P1409" i="8"/>
  <c r="Z1409" i="8" s="1"/>
  <c r="M1409" i="8"/>
  <c r="L1409" i="8"/>
  <c r="N1409" i="8" s="1"/>
  <c r="H1409" i="8"/>
  <c r="O1409" i="8" s="1"/>
  <c r="G1409" i="8"/>
  <c r="AH1408" i="8"/>
  <c r="AG1408" i="8"/>
  <c r="AE1408" i="8"/>
  <c r="AA1408" i="8"/>
  <c r="Y1408" i="8"/>
  <c r="AC1408" i="8" s="1"/>
  <c r="W1408" i="8"/>
  <c r="V1408" i="8"/>
  <c r="U1408" i="8"/>
  <c r="T1408" i="8"/>
  <c r="R1408" i="8"/>
  <c r="S1408" i="8" s="1"/>
  <c r="P1408" i="8"/>
  <c r="Z1408" i="8" s="1"/>
  <c r="M1408" i="8"/>
  <c r="L1408" i="8"/>
  <c r="N1408" i="8" s="1"/>
  <c r="H1408" i="8"/>
  <c r="O1408" i="8" s="1"/>
  <c r="G1408" i="8"/>
  <c r="AH1407" i="8"/>
  <c r="AG1407" i="8"/>
  <c r="AE1407" i="8"/>
  <c r="AA1407" i="8"/>
  <c r="Y1407" i="8"/>
  <c r="W1407" i="8"/>
  <c r="V1407" i="8"/>
  <c r="U1407" i="8"/>
  <c r="T1407" i="8"/>
  <c r="R1407" i="8"/>
  <c r="S1407" i="8" s="1"/>
  <c r="P1407" i="8"/>
  <c r="Z1407" i="8" s="1"/>
  <c r="M1407" i="8"/>
  <c r="L1407" i="8"/>
  <c r="N1407" i="8" s="1"/>
  <c r="H1407" i="8"/>
  <c r="O1407" i="8" s="1"/>
  <c r="G1407" i="8"/>
  <c r="AH1406" i="8"/>
  <c r="AG1406" i="8"/>
  <c r="AE1406" i="8"/>
  <c r="Y1406" i="8"/>
  <c r="AC1406" i="8" s="1"/>
  <c r="V1406" i="8"/>
  <c r="U1406" i="8"/>
  <c r="W1406" i="8" s="1"/>
  <c r="AA1406" i="8" s="1"/>
  <c r="T1406" i="8"/>
  <c r="P1406" i="8"/>
  <c r="Z1406" i="8" s="1"/>
  <c r="X1406" i="8" s="1"/>
  <c r="AB1406" i="8" s="1"/>
  <c r="M1406" i="8"/>
  <c r="L1406" i="8"/>
  <c r="H1406" i="8"/>
  <c r="R1406" i="8" s="1"/>
  <c r="G1406" i="8"/>
  <c r="AH1405" i="8"/>
  <c r="AG1405" i="8"/>
  <c r="AF1405" i="8"/>
  <c r="AE1405" i="8"/>
  <c r="Y1405" i="8"/>
  <c r="AC1405" i="8" s="1"/>
  <c r="AD1405" i="8" s="1"/>
  <c r="X1405" i="8"/>
  <c r="AB1405" i="8" s="1"/>
  <c r="W1405" i="8"/>
  <c r="AA1405" i="8" s="1"/>
  <c r="V1405" i="8"/>
  <c r="U1405" i="8"/>
  <c r="T1405" i="8"/>
  <c r="S1405" i="8"/>
  <c r="P1405" i="8"/>
  <c r="Z1405" i="8" s="1"/>
  <c r="O1405" i="8"/>
  <c r="N1405" i="8"/>
  <c r="M1405" i="8"/>
  <c r="L1405" i="8"/>
  <c r="H1405" i="8"/>
  <c r="R1405" i="8" s="1"/>
  <c r="G1405" i="8"/>
  <c r="AH1404" i="8"/>
  <c r="AG1404" i="8"/>
  <c r="AF1404" i="8"/>
  <c r="AE1404" i="8"/>
  <c r="AC1404" i="8"/>
  <c r="AD1404" i="8" s="1"/>
  <c r="Z1404" i="8"/>
  <c r="X1404" i="8" s="1"/>
  <c r="AB1404" i="8" s="1"/>
  <c r="Y1404" i="8"/>
  <c r="W1404" i="8"/>
  <c r="AA1404" i="8" s="1"/>
  <c r="V1404" i="8"/>
  <c r="U1404" i="8"/>
  <c r="T1404" i="8"/>
  <c r="R1404" i="8"/>
  <c r="S1404" i="8" s="1"/>
  <c r="P1404" i="8"/>
  <c r="O1404" i="8"/>
  <c r="N1404" i="8"/>
  <c r="M1404" i="8"/>
  <c r="L1404" i="8"/>
  <c r="H1404" i="8"/>
  <c r="G1404" i="8"/>
  <c r="AH1403" i="8"/>
  <c r="AG1403" i="8"/>
  <c r="AE1403" i="8"/>
  <c r="Y1403" i="8"/>
  <c r="V1403" i="8"/>
  <c r="W1403" i="8" s="1"/>
  <c r="U1403" i="8"/>
  <c r="T1403" i="8"/>
  <c r="R1403" i="8"/>
  <c r="N1403" i="8"/>
  <c r="M1403" i="8"/>
  <c r="L1403" i="8"/>
  <c r="H1403" i="8"/>
  <c r="G1403" i="8"/>
  <c r="AH1402" i="8"/>
  <c r="AG1402" i="8"/>
  <c r="AE1402" i="8"/>
  <c r="Y1402" i="8"/>
  <c r="V1402" i="8"/>
  <c r="W1402" i="8" s="1"/>
  <c r="U1402" i="8"/>
  <c r="T1402" i="8"/>
  <c r="R1402" i="8"/>
  <c r="N1402" i="8"/>
  <c r="M1402" i="8"/>
  <c r="L1402" i="8"/>
  <c r="H1402" i="8"/>
  <c r="G1402" i="8"/>
  <c r="AH1401" i="8"/>
  <c r="AG1401" i="8"/>
  <c r="AE1401" i="8"/>
  <c r="Y1401" i="8"/>
  <c r="V1401" i="8"/>
  <c r="W1401" i="8" s="1"/>
  <c r="U1401" i="8"/>
  <c r="T1401" i="8"/>
  <c r="R1401" i="8"/>
  <c r="S1401" i="8" s="1"/>
  <c r="N1401" i="8"/>
  <c r="M1401" i="8"/>
  <c r="O1401" i="8" s="1"/>
  <c r="L1401" i="8"/>
  <c r="H1401" i="8"/>
  <c r="G1401" i="8"/>
  <c r="AH1400" i="8"/>
  <c r="AG1400" i="8"/>
  <c r="AE1400" i="8"/>
  <c r="Y1400" i="8"/>
  <c r="V1400" i="8"/>
  <c r="W1400" i="8" s="1"/>
  <c r="AA1400" i="8" s="1"/>
  <c r="U1400" i="8"/>
  <c r="T1400" i="8"/>
  <c r="R1400" i="8"/>
  <c r="S1400" i="8" s="1"/>
  <c r="P1400" i="8"/>
  <c r="N1400" i="8"/>
  <c r="M1400" i="8"/>
  <c r="O1400" i="8" s="1"/>
  <c r="L1400" i="8"/>
  <c r="H1400" i="8"/>
  <c r="G1400" i="8"/>
  <c r="AH1399" i="8"/>
  <c r="AG1399" i="8"/>
  <c r="AE1399" i="8"/>
  <c r="Y1399" i="8"/>
  <c r="W1399" i="8"/>
  <c r="AA1399" i="8" s="1"/>
  <c r="V1399" i="8"/>
  <c r="Z1399" i="8" s="1"/>
  <c r="U1399" i="8"/>
  <c r="T1399" i="8"/>
  <c r="R1399" i="8"/>
  <c r="S1399" i="8" s="1"/>
  <c r="P1399" i="8"/>
  <c r="N1399" i="8"/>
  <c r="M1399" i="8"/>
  <c r="O1399" i="8" s="1"/>
  <c r="L1399" i="8"/>
  <c r="H1399" i="8"/>
  <c r="G1399" i="8"/>
  <c r="AH1398" i="8"/>
  <c r="AG1398" i="8"/>
  <c r="AE1398" i="8"/>
  <c r="Y1398" i="8"/>
  <c r="V1398" i="8"/>
  <c r="U1398" i="8"/>
  <c r="T1398" i="8"/>
  <c r="R1398" i="8"/>
  <c r="N1398" i="8"/>
  <c r="M1398" i="8"/>
  <c r="O1398" i="8" s="1"/>
  <c r="L1398" i="8"/>
  <c r="H1398" i="8"/>
  <c r="G1398" i="8"/>
  <c r="AH1397" i="8"/>
  <c r="AG1397" i="8"/>
  <c r="AE1397" i="8"/>
  <c r="Y1397" i="8"/>
  <c r="W1397" i="8"/>
  <c r="V1397" i="8"/>
  <c r="U1397" i="8"/>
  <c r="T1397" i="8"/>
  <c r="R1397" i="8"/>
  <c r="N1397" i="8"/>
  <c r="M1397" i="8"/>
  <c r="O1397" i="8" s="1"/>
  <c r="L1397" i="8"/>
  <c r="H1397" i="8"/>
  <c r="G1397" i="8"/>
  <c r="AH1396" i="8"/>
  <c r="AG1396" i="8"/>
  <c r="AE1396" i="8"/>
  <c r="Y1396" i="8"/>
  <c r="V1396" i="8"/>
  <c r="U1396" i="8"/>
  <c r="T1396" i="8"/>
  <c r="R1396" i="8"/>
  <c r="N1396" i="8"/>
  <c r="M1396" i="8"/>
  <c r="O1396" i="8" s="1"/>
  <c r="L1396" i="8"/>
  <c r="H1396" i="8"/>
  <c r="G1396" i="8"/>
  <c r="AH1395" i="8"/>
  <c r="AG1395" i="8"/>
  <c r="AE1395" i="8"/>
  <c r="Y1395" i="8"/>
  <c r="W1395" i="8"/>
  <c r="V1395" i="8"/>
  <c r="U1395" i="8"/>
  <c r="T1395" i="8"/>
  <c r="R1395" i="8"/>
  <c r="S1395" i="8" s="1"/>
  <c r="N1395" i="8"/>
  <c r="M1395" i="8"/>
  <c r="O1395" i="8" s="1"/>
  <c r="L1395" i="8"/>
  <c r="H1395" i="8"/>
  <c r="G1395" i="8"/>
  <c r="AH1394" i="8"/>
  <c r="AG1394" i="8"/>
  <c r="AE1394" i="8"/>
  <c r="Y1394" i="8"/>
  <c r="W1394" i="8"/>
  <c r="V1394" i="8"/>
  <c r="U1394" i="8"/>
  <c r="T1394" i="8"/>
  <c r="R1394" i="8"/>
  <c r="N1394" i="8"/>
  <c r="M1394" i="8"/>
  <c r="O1394" i="8" s="1"/>
  <c r="L1394" i="8"/>
  <c r="H1394" i="8"/>
  <c r="G1394" i="8"/>
  <c r="AH1393" i="8"/>
  <c r="AG1393" i="8"/>
  <c r="AE1393" i="8"/>
  <c r="Z1393" i="8"/>
  <c r="Y1393" i="8"/>
  <c r="V1393" i="8"/>
  <c r="W1393" i="8" s="1"/>
  <c r="AA1393" i="8" s="1"/>
  <c r="U1393" i="8"/>
  <c r="T1393" i="8"/>
  <c r="R1393" i="8"/>
  <c r="S1393" i="8" s="1"/>
  <c r="P1393" i="8"/>
  <c r="N1393" i="8"/>
  <c r="M1393" i="8"/>
  <c r="O1393" i="8" s="1"/>
  <c r="L1393" i="8"/>
  <c r="H1393" i="8"/>
  <c r="G1393" i="8"/>
  <c r="AH1392" i="8"/>
  <c r="AG1392" i="8"/>
  <c r="AE1392" i="8"/>
  <c r="Y1392" i="8"/>
  <c r="V1392" i="8"/>
  <c r="W1392" i="8" s="1"/>
  <c r="AA1392" i="8" s="1"/>
  <c r="U1392" i="8"/>
  <c r="T1392" i="8"/>
  <c r="R1392" i="8"/>
  <c r="S1392" i="8" s="1"/>
  <c r="P1392" i="8"/>
  <c r="N1392" i="8"/>
  <c r="M1392" i="8"/>
  <c r="O1392" i="8" s="1"/>
  <c r="L1392" i="8"/>
  <c r="H1392" i="8"/>
  <c r="G1392" i="8"/>
  <c r="AH1391" i="8"/>
  <c r="AG1391" i="8"/>
  <c r="AE1391" i="8"/>
  <c r="Y1391" i="8"/>
  <c r="W1391" i="8"/>
  <c r="AA1391" i="8" s="1"/>
  <c r="V1391" i="8"/>
  <c r="Z1391" i="8" s="1"/>
  <c r="U1391" i="8"/>
  <c r="T1391" i="8"/>
  <c r="R1391" i="8"/>
  <c r="S1391" i="8" s="1"/>
  <c r="P1391" i="8"/>
  <c r="N1391" i="8"/>
  <c r="M1391" i="8"/>
  <c r="O1391" i="8" s="1"/>
  <c r="L1391" i="8"/>
  <c r="H1391" i="8"/>
  <c r="G1391" i="8"/>
  <c r="AH1390" i="8"/>
  <c r="AG1390" i="8"/>
  <c r="AE1390" i="8"/>
  <c r="Y1390" i="8"/>
  <c r="V1390" i="8"/>
  <c r="U1390" i="8"/>
  <c r="T1390" i="8"/>
  <c r="R1390" i="8"/>
  <c r="N1390" i="8"/>
  <c r="M1390" i="8"/>
  <c r="O1390" i="8" s="1"/>
  <c r="L1390" i="8"/>
  <c r="H1390" i="8"/>
  <c r="G1390" i="8"/>
  <c r="AH1389" i="8"/>
  <c r="AG1389" i="8"/>
  <c r="AE1389" i="8"/>
  <c r="Y1389" i="8"/>
  <c r="W1389" i="8"/>
  <c r="V1389" i="8"/>
  <c r="U1389" i="8"/>
  <c r="T1389" i="8"/>
  <c r="R1389" i="8"/>
  <c r="N1389" i="8"/>
  <c r="M1389" i="8"/>
  <c r="O1389" i="8" s="1"/>
  <c r="L1389" i="8"/>
  <c r="H1389" i="8"/>
  <c r="G1389" i="8"/>
  <c r="AH1388" i="8"/>
  <c r="AG1388" i="8"/>
  <c r="AE1388" i="8"/>
  <c r="Y1388" i="8"/>
  <c r="V1388" i="8"/>
  <c r="Z1388" i="8" s="1"/>
  <c r="U1388" i="8"/>
  <c r="T1388" i="8"/>
  <c r="P1388" i="8"/>
  <c r="M1388" i="8"/>
  <c r="L1388" i="8"/>
  <c r="H1388" i="8"/>
  <c r="R1388" i="8" s="1"/>
  <c r="G1388" i="8"/>
  <c r="AH1387" i="8"/>
  <c r="AG1387" i="8"/>
  <c r="AE1387" i="8"/>
  <c r="Y1387" i="8"/>
  <c r="W1387" i="8"/>
  <c r="V1387" i="8"/>
  <c r="U1387" i="8"/>
  <c r="T1387" i="8"/>
  <c r="R1387" i="8"/>
  <c r="N1387" i="8"/>
  <c r="M1387" i="8"/>
  <c r="O1387" i="8" s="1"/>
  <c r="L1387" i="8"/>
  <c r="H1387" i="8"/>
  <c r="G1387" i="8"/>
  <c r="AH1386" i="8"/>
  <c r="AG1386" i="8"/>
  <c r="AE1386" i="8"/>
  <c r="Y1386" i="8"/>
  <c r="V1386" i="8"/>
  <c r="W1386" i="8" s="1"/>
  <c r="AA1386" i="8" s="1"/>
  <c r="U1386" i="8"/>
  <c r="T1386" i="8"/>
  <c r="P1386" i="8"/>
  <c r="M1386" i="8"/>
  <c r="L1386" i="8"/>
  <c r="H1386" i="8"/>
  <c r="R1386" i="8" s="1"/>
  <c r="G1386" i="8"/>
  <c r="AH1385" i="8"/>
  <c r="AG1385" i="8"/>
  <c r="AE1385" i="8"/>
  <c r="Y1385" i="8"/>
  <c r="V1385" i="8"/>
  <c r="U1385" i="8"/>
  <c r="T1385" i="8"/>
  <c r="M1385" i="8"/>
  <c r="O1385" i="8" s="1"/>
  <c r="L1385" i="8"/>
  <c r="H1385" i="8"/>
  <c r="N1385" i="8" s="1"/>
  <c r="G1385" i="8"/>
  <c r="AH1384" i="8"/>
  <c r="AG1384" i="8"/>
  <c r="AE1384" i="8"/>
  <c r="Y1384" i="8"/>
  <c r="V1384" i="8"/>
  <c r="Z1384" i="8" s="1"/>
  <c r="U1384" i="8"/>
  <c r="T1384" i="8"/>
  <c r="P1384" i="8"/>
  <c r="N1384" i="8"/>
  <c r="M1384" i="8"/>
  <c r="O1384" i="8" s="1"/>
  <c r="L1384" i="8"/>
  <c r="H1384" i="8"/>
  <c r="R1384" i="8" s="1"/>
  <c r="S1384" i="8" s="1"/>
  <c r="G1384" i="8"/>
  <c r="AH1383" i="8"/>
  <c r="AG1383" i="8"/>
  <c r="AE1383" i="8"/>
  <c r="Y1383" i="8"/>
  <c r="W1383" i="8"/>
  <c r="V1383" i="8"/>
  <c r="U1383" i="8"/>
  <c r="T1383" i="8"/>
  <c r="R1383" i="8"/>
  <c r="M1383" i="8"/>
  <c r="P1383" i="8" s="1"/>
  <c r="Z1383" i="8" s="1"/>
  <c r="X1383" i="8" s="1"/>
  <c r="AB1383" i="8" s="1"/>
  <c r="L1383" i="8"/>
  <c r="H1383" i="8"/>
  <c r="N1383" i="8" s="1"/>
  <c r="G1383" i="8"/>
  <c r="AH1382" i="8"/>
  <c r="AG1382" i="8"/>
  <c r="AE1382" i="8"/>
  <c r="Y1382" i="8"/>
  <c r="W1382" i="8"/>
  <c r="V1382" i="8"/>
  <c r="U1382" i="8"/>
  <c r="T1382" i="8"/>
  <c r="R1382" i="8"/>
  <c r="N1382" i="8"/>
  <c r="M1382" i="8"/>
  <c r="P1382" i="8" s="1"/>
  <c r="Z1382" i="8" s="1"/>
  <c r="X1382" i="8" s="1"/>
  <c r="AB1382" i="8" s="1"/>
  <c r="L1382" i="8"/>
  <c r="H1382" i="8"/>
  <c r="G1382" i="8"/>
  <c r="AH1381" i="8"/>
  <c r="AG1381" i="8"/>
  <c r="AE1381" i="8"/>
  <c r="Y1381" i="8"/>
  <c r="W1381" i="8"/>
  <c r="V1381" i="8"/>
  <c r="U1381" i="8"/>
  <c r="T1381" i="8"/>
  <c r="O1381" i="8"/>
  <c r="M1381" i="8"/>
  <c r="P1381" i="8" s="1"/>
  <c r="L1381" i="8"/>
  <c r="H1381" i="8"/>
  <c r="N1381" i="8" s="1"/>
  <c r="G1381" i="8"/>
  <c r="AH1380" i="8"/>
  <c r="AG1380" i="8"/>
  <c r="AE1380" i="8"/>
  <c r="Y1380" i="8"/>
  <c r="V1380" i="8"/>
  <c r="W1380" i="8" s="1"/>
  <c r="AA1380" i="8" s="1"/>
  <c r="U1380" i="8"/>
  <c r="T1380" i="8"/>
  <c r="R1380" i="8"/>
  <c r="P1380" i="8"/>
  <c r="O1380" i="8"/>
  <c r="M1380" i="8"/>
  <c r="L1380" i="8"/>
  <c r="H1380" i="8"/>
  <c r="N1380" i="8" s="1"/>
  <c r="G1380" i="8"/>
  <c r="AH1379" i="8"/>
  <c r="AG1379" i="8"/>
  <c r="AE1379" i="8"/>
  <c r="Y1379" i="8"/>
  <c r="W1379" i="8"/>
  <c r="V1379" i="8"/>
  <c r="U1379" i="8"/>
  <c r="T1379" i="8"/>
  <c r="R1379" i="8"/>
  <c r="N1379" i="8"/>
  <c r="M1379" i="8"/>
  <c r="L1379" i="8"/>
  <c r="H1379" i="8"/>
  <c r="G1379" i="8"/>
  <c r="AH1378" i="8"/>
  <c r="AG1378" i="8"/>
  <c r="AE1378" i="8"/>
  <c r="Y1378" i="8"/>
  <c r="V1378" i="8"/>
  <c r="W1378" i="8" s="1"/>
  <c r="U1378" i="8"/>
  <c r="T1378" i="8"/>
  <c r="R1378" i="8"/>
  <c r="N1378" i="8"/>
  <c r="M1378" i="8"/>
  <c r="O1378" i="8" s="1"/>
  <c r="L1378" i="8"/>
  <c r="H1378" i="8"/>
  <c r="G1378" i="8"/>
  <c r="AH1377" i="8"/>
  <c r="AG1377" i="8"/>
  <c r="AE1377" i="8"/>
  <c r="Y1377" i="8"/>
  <c r="V1377" i="8"/>
  <c r="W1377" i="8" s="1"/>
  <c r="AA1377" i="8" s="1"/>
  <c r="U1377" i="8"/>
  <c r="T1377" i="8"/>
  <c r="P1377" i="8"/>
  <c r="Z1377" i="8" s="1"/>
  <c r="O1377" i="8"/>
  <c r="M1377" i="8"/>
  <c r="L1377" i="8"/>
  <c r="H1377" i="8"/>
  <c r="R1377" i="8" s="1"/>
  <c r="G1377" i="8"/>
  <c r="AH1376" i="8"/>
  <c r="AG1376" i="8"/>
  <c r="AE1376" i="8"/>
  <c r="Y1376" i="8"/>
  <c r="V1376" i="8"/>
  <c r="U1376" i="8"/>
  <c r="T1376" i="8"/>
  <c r="P1376" i="8"/>
  <c r="N1376" i="8"/>
  <c r="M1376" i="8"/>
  <c r="O1376" i="8" s="1"/>
  <c r="L1376" i="8"/>
  <c r="H1376" i="8"/>
  <c r="R1376" i="8" s="1"/>
  <c r="G1376" i="8"/>
  <c r="AH1375" i="8"/>
  <c r="AG1375" i="8"/>
  <c r="AE1375" i="8"/>
  <c r="Y1375" i="8"/>
  <c r="V1375" i="8"/>
  <c r="W1375" i="8" s="1"/>
  <c r="U1375" i="8"/>
  <c r="T1375" i="8"/>
  <c r="M1375" i="8"/>
  <c r="P1375" i="8" s="1"/>
  <c r="L1375" i="8"/>
  <c r="H1375" i="8"/>
  <c r="G1375" i="8"/>
  <c r="AH1374" i="8"/>
  <c r="AG1374" i="8"/>
  <c r="AE1374" i="8"/>
  <c r="Y1374" i="8"/>
  <c r="W1374" i="8"/>
  <c r="AA1374" i="8" s="1"/>
  <c r="V1374" i="8"/>
  <c r="U1374" i="8"/>
  <c r="T1374" i="8"/>
  <c r="N1374" i="8"/>
  <c r="M1374" i="8"/>
  <c r="P1374" i="8" s="1"/>
  <c r="Z1374" i="8" s="1"/>
  <c r="X1374" i="8" s="1"/>
  <c r="AB1374" i="8" s="1"/>
  <c r="L1374" i="8"/>
  <c r="H1374" i="8"/>
  <c r="O1374" i="8" s="1"/>
  <c r="G1374" i="8"/>
  <c r="AH1373" i="8"/>
  <c r="AG1373" i="8"/>
  <c r="AE1373" i="8"/>
  <c r="AA1373" i="8"/>
  <c r="Y1373" i="8"/>
  <c r="W1373" i="8"/>
  <c r="V1373" i="8"/>
  <c r="U1373" i="8"/>
  <c r="T1373" i="8"/>
  <c r="R1373" i="8"/>
  <c r="N1373" i="8"/>
  <c r="M1373" i="8"/>
  <c r="P1373" i="8" s="1"/>
  <c r="L1373" i="8"/>
  <c r="H1373" i="8"/>
  <c r="O1373" i="8" s="1"/>
  <c r="S1373" i="8" s="1"/>
  <c r="G1373" i="8"/>
  <c r="AH1372" i="8"/>
  <c r="AG1372" i="8"/>
  <c r="AE1372" i="8"/>
  <c r="AC1372" i="8"/>
  <c r="AF1372" i="8" s="1"/>
  <c r="Z1372" i="8"/>
  <c r="Y1372" i="8"/>
  <c r="X1372" i="8" s="1"/>
  <c r="AB1372" i="8" s="1"/>
  <c r="W1372" i="8"/>
  <c r="AA1372" i="8" s="1"/>
  <c r="V1372" i="8"/>
  <c r="U1372" i="8"/>
  <c r="T1372" i="8"/>
  <c r="R1372" i="8"/>
  <c r="P1372" i="8"/>
  <c r="N1372" i="8"/>
  <c r="M1372" i="8"/>
  <c r="L1372" i="8"/>
  <c r="H1372" i="8"/>
  <c r="O1372" i="8" s="1"/>
  <c r="S1372" i="8" s="1"/>
  <c r="G1372" i="8"/>
  <c r="AH1371" i="8"/>
  <c r="AG1371" i="8"/>
  <c r="AE1371" i="8"/>
  <c r="Y1371" i="8"/>
  <c r="W1371" i="8"/>
  <c r="V1371" i="8"/>
  <c r="U1371" i="8"/>
  <c r="T1371" i="8"/>
  <c r="R1371" i="8"/>
  <c r="S1371" i="8" s="1"/>
  <c r="P1371" i="8"/>
  <c r="AA1371" i="8" s="1"/>
  <c r="N1371" i="8"/>
  <c r="M1371" i="8"/>
  <c r="L1371" i="8"/>
  <c r="H1371" i="8"/>
  <c r="O1371" i="8" s="1"/>
  <c r="G1371" i="8"/>
  <c r="AH1370" i="8"/>
  <c r="AG1370" i="8"/>
  <c r="AE1370" i="8"/>
  <c r="Y1370" i="8"/>
  <c r="W1370" i="8"/>
  <c r="AA1370" i="8" s="1"/>
  <c r="V1370" i="8"/>
  <c r="U1370" i="8"/>
  <c r="T1370" i="8"/>
  <c r="R1370" i="8"/>
  <c r="P1370" i="8"/>
  <c r="Z1370" i="8" s="1"/>
  <c r="N1370" i="8"/>
  <c r="M1370" i="8"/>
  <c r="L1370" i="8"/>
  <c r="H1370" i="8"/>
  <c r="O1370" i="8" s="1"/>
  <c r="S1370" i="8" s="1"/>
  <c r="G1370" i="8"/>
  <c r="AH1369" i="8"/>
  <c r="AG1369" i="8"/>
  <c r="AE1369" i="8"/>
  <c r="Y1369" i="8"/>
  <c r="W1369" i="8"/>
  <c r="AA1369" i="8" s="1"/>
  <c r="V1369" i="8"/>
  <c r="U1369" i="8"/>
  <c r="T1369" i="8"/>
  <c r="R1369" i="8"/>
  <c r="P1369" i="8"/>
  <c r="Z1369" i="8" s="1"/>
  <c r="M1369" i="8"/>
  <c r="L1369" i="8"/>
  <c r="N1369" i="8" s="1"/>
  <c r="H1369" i="8"/>
  <c r="O1369" i="8" s="1"/>
  <c r="S1369" i="8" s="1"/>
  <c r="G1369" i="8"/>
  <c r="AH1368" i="8"/>
  <c r="AG1368" i="8"/>
  <c r="AE1368" i="8"/>
  <c r="Y1368" i="8"/>
  <c r="V1368" i="8"/>
  <c r="U1368" i="8"/>
  <c r="W1368" i="8" s="1"/>
  <c r="AA1368" i="8" s="1"/>
  <c r="T1368" i="8"/>
  <c r="R1368" i="8"/>
  <c r="S1368" i="8" s="1"/>
  <c r="P1368" i="8"/>
  <c r="Z1368" i="8" s="1"/>
  <c r="M1368" i="8"/>
  <c r="L1368" i="8"/>
  <c r="N1368" i="8" s="1"/>
  <c r="H1368" i="8"/>
  <c r="O1368" i="8" s="1"/>
  <c r="G1368" i="8"/>
  <c r="AH1367" i="8"/>
  <c r="AG1367" i="8"/>
  <c r="AE1367" i="8"/>
  <c r="Y1367" i="8"/>
  <c r="V1367" i="8"/>
  <c r="U1367" i="8"/>
  <c r="W1367" i="8" s="1"/>
  <c r="AA1367" i="8" s="1"/>
  <c r="T1367" i="8"/>
  <c r="R1367" i="8"/>
  <c r="P1367" i="8"/>
  <c r="AC1367" i="8" s="1"/>
  <c r="M1367" i="8"/>
  <c r="L1367" i="8"/>
  <c r="N1367" i="8" s="1"/>
  <c r="H1367" i="8"/>
  <c r="O1367" i="8" s="1"/>
  <c r="S1367" i="8" s="1"/>
  <c r="G1367" i="8"/>
  <c r="AH1366" i="8"/>
  <c r="AG1366" i="8"/>
  <c r="AE1366" i="8"/>
  <c r="Y1366" i="8"/>
  <c r="AC1366" i="8" s="1"/>
  <c r="W1366" i="8"/>
  <c r="AA1366" i="8" s="1"/>
  <c r="V1366" i="8"/>
  <c r="U1366" i="8"/>
  <c r="T1366" i="8"/>
  <c r="P1366" i="8"/>
  <c r="Z1366" i="8" s="1"/>
  <c r="N1366" i="8"/>
  <c r="M1366" i="8"/>
  <c r="L1366" i="8"/>
  <c r="H1366" i="8"/>
  <c r="O1366" i="8" s="1"/>
  <c r="G1366" i="8"/>
  <c r="AH1365" i="8"/>
  <c r="AG1365" i="8"/>
  <c r="AE1365" i="8"/>
  <c r="AC1365" i="8"/>
  <c r="Y1365" i="8"/>
  <c r="V1365" i="8"/>
  <c r="U1365" i="8"/>
  <c r="W1365" i="8" s="1"/>
  <c r="AA1365" i="8" s="1"/>
  <c r="T1365" i="8"/>
  <c r="P1365" i="8"/>
  <c r="Z1365" i="8" s="1"/>
  <c r="M1365" i="8"/>
  <c r="L1365" i="8"/>
  <c r="N1365" i="8" s="1"/>
  <c r="H1365" i="8"/>
  <c r="R1365" i="8" s="1"/>
  <c r="G1365" i="8"/>
  <c r="AH1364" i="8"/>
  <c r="AG1364" i="8"/>
  <c r="AE1364" i="8"/>
  <c r="Y1364" i="8"/>
  <c r="AC1364" i="8" s="1"/>
  <c r="W1364" i="8"/>
  <c r="AA1364" i="8" s="1"/>
  <c r="V1364" i="8"/>
  <c r="U1364" i="8"/>
  <c r="T1364" i="8"/>
  <c r="R1364" i="8"/>
  <c r="S1364" i="8" s="1"/>
  <c r="P1364" i="8"/>
  <c r="Z1364" i="8" s="1"/>
  <c r="M1364" i="8"/>
  <c r="O1364" i="8" s="1"/>
  <c r="L1364" i="8"/>
  <c r="N1364" i="8" s="1"/>
  <c r="H1364" i="8"/>
  <c r="G1364" i="8"/>
  <c r="AH1363" i="8"/>
  <c r="AG1363" i="8"/>
  <c r="AE1363" i="8"/>
  <c r="AC1363" i="8"/>
  <c r="Y1363" i="8"/>
  <c r="V1363" i="8"/>
  <c r="U1363" i="8"/>
  <c r="W1363" i="8" s="1"/>
  <c r="AA1363" i="8" s="1"/>
  <c r="T1363" i="8"/>
  <c r="P1363" i="8"/>
  <c r="Z1363" i="8" s="1"/>
  <c r="M1363" i="8"/>
  <c r="L1363" i="8"/>
  <c r="N1363" i="8" s="1"/>
  <c r="H1363" i="8"/>
  <c r="R1363" i="8" s="1"/>
  <c r="G1363" i="8"/>
  <c r="AH1362" i="8"/>
  <c r="AG1362" i="8"/>
  <c r="AE1362" i="8"/>
  <c r="AA1362" i="8"/>
  <c r="Y1362" i="8"/>
  <c r="AC1362" i="8" s="1"/>
  <c r="W1362" i="8"/>
  <c r="V1362" i="8"/>
  <c r="U1362" i="8"/>
  <c r="T1362" i="8"/>
  <c r="R1362" i="8"/>
  <c r="S1362" i="8" s="1"/>
  <c r="P1362" i="8"/>
  <c r="Z1362" i="8" s="1"/>
  <c r="M1362" i="8"/>
  <c r="O1362" i="8" s="1"/>
  <c r="L1362" i="8"/>
  <c r="N1362" i="8" s="1"/>
  <c r="H1362" i="8"/>
  <c r="G1362" i="8"/>
  <c r="AH1361" i="8"/>
  <c r="AG1361" i="8"/>
  <c r="AE1361" i="8"/>
  <c r="AC1361" i="8"/>
  <c r="AA1361" i="8"/>
  <c r="Y1361" i="8"/>
  <c r="W1361" i="8"/>
  <c r="V1361" i="8"/>
  <c r="U1361" i="8"/>
  <c r="T1361" i="8"/>
  <c r="R1361" i="8"/>
  <c r="S1361" i="8" s="1"/>
  <c r="P1361" i="8"/>
  <c r="Z1361" i="8" s="1"/>
  <c r="M1361" i="8"/>
  <c r="O1361" i="8" s="1"/>
  <c r="L1361" i="8"/>
  <c r="N1361" i="8" s="1"/>
  <c r="H1361" i="8"/>
  <c r="G1361" i="8"/>
  <c r="AH1360" i="8"/>
  <c r="AG1360" i="8"/>
  <c r="AE1360" i="8"/>
  <c r="AA1360" i="8"/>
  <c r="Y1360" i="8"/>
  <c r="AC1360" i="8" s="1"/>
  <c r="W1360" i="8"/>
  <c r="V1360" i="8"/>
  <c r="U1360" i="8"/>
  <c r="T1360" i="8"/>
  <c r="R1360" i="8"/>
  <c r="S1360" i="8" s="1"/>
  <c r="P1360" i="8"/>
  <c r="Z1360" i="8" s="1"/>
  <c r="M1360" i="8"/>
  <c r="O1360" i="8" s="1"/>
  <c r="L1360" i="8"/>
  <c r="N1360" i="8" s="1"/>
  <c r="H1360" i="8"/>
  <c r="G1360" i="8"/>
  <c r="AH1359" i="8"/>
  <c r="AG1359" i="8"/>
  <c r="AE1359" i="8"/>
  <c r="AC1359" i="8"/>
  <c r="AA1359" i="8"/>
  <c r="Y1359" i="8"/>
  <c r="W1359" i="8"/>
  <c r="V1359" i="8"/>
  <c r="U1359" i="8"/>
  <c r="T1359" i="8"/>
  <c r="R1359" i="8"/>
  <c r="S1359" i="8" s="1"/>
  <c r="P1359" i="8"/>
  <c r="Z1359" i="8" s="1"/>
  <c r="M1359" i="8"/>
  <c r="O1359" i="8" s="1"/>
  <c r="L1359" i="8"/>
  <c r="N1359" i="8" s="1"/>
  <c r="H1359" i="8"/>
  <c r="G1359" i="8"/>
  <c r="AH1358" i="8"/>
  <c r="AG1358" i="8"/>
  <c r="AE1358" i="8"/>
  <c r="AA1358" i="8"/>
  <c r="Y1358" i="8"/>
  <c r="AC1358" i="8" s="1"/>
  <c r="W1358" i="8"/>
  <c r="V1358" i="8"/>
  <c r="U1358" i="8"/>
  <c r="T1358" i="8"/>
  <c r="R1358" i="8"/>
  <c r="S1358" i="8" s="1"/>
  <c r="P1358" i="8"/>
  <c r="Z1358" i="8" s="1"/>
  <c r="M1358" i="8"/>
  <c r="O1358" i="8" s="1"/>
  <c r="L1358" i="8"/>
  <c r="N1358" i="8" s="1"/>
  <c r="H1358" i="8"/>
  <c r="G1358" i="8"/>
  <c r="AH1357" i="8"/>
  <c r="AG1357" i="8"/>
  <c r="AE1357" i="8"/>
  <c r="AC1357" i="8"/>
  <c r="AA1357" i="8"/>
  <c r="Y1357" i="8"/>
  <c r="W1357" i="8"/>
  <c r="V1357" i="8"/>
  <c r="U1357" i="8"/>
  <c r="T1357" i="8"/>
  <c r="R1357" i="8"/>
  <c r="S1357" i="8" s="1"/>
  <c r="P1357" i="8"/>
  <c r="Z1357" i="8" s="1"/>
  <c r="M1357" i="8"/>
  <c r="O1357" i="8" s="1"/>
  <c r="L1357" i="8"/>
  <c r="N1357" i="8" s="1"/>
  <c r="H1357" i="8"/>
  <c r="G1357" i="8"/>
  <c r="AH1356" i="8"/>
  <c r="AG1356" i="8"/>
  <c r="AE1356" i="8"/>
  <c r="AA1356" i="8"/>
  <c r="Y1356" i="8"/>
  <c r="AC1356" i="8" s="1"/>
  <c r="W1356" i="8"/>
  <c r="V1356" i="8"/>
  <c r="U1356" i="8"/>
  <c r="T1356" i="8"/>
  <c r="R1356" i="8"/>
  <c r="S1356" i="8" s="1"/>
  <c r="P1356" i="8"/>
  <c r="Z1356" i="8" s="1"/>
  <c r="M1356" i="8"/>
  <c r="O1356" i="8" s="1"/>
  <c r="L1356" i="8"/>
  <c r="N1356" i="8" s="1"/>
  <c r="H1356" i="8"/>
  <c r="G1356" i="8"/>
  <c r="AH1355" i="8"/>
  <c r="AG1355" i="8"/>
  <c r="AE1355" i="8"/>
  <c r="AC1355" i="8"/>
  <c r="AA1355" i="8"/>
  <c r="Y1355" i="8"/>
  <c r="W1355" i="8"/>
  <c r="V1355" i="8"/>
  <c r="U1355" i="8"/>
  <c r="T1355" i="8"/>
  <c r="R1355" i="8"/>
  <c r="S1355" i="8" s="1"/>
  <c r="P1355" i="8"/>
  <c r="Z1355" i="8" s="1"/>
  <c r="M1355" i="8"/>
  <c r="O1355" i="8" s="1"/>
  <c r="L1355" i="8"/>
  <c r="N1355" i="8" s="1"/>
  <c r="H1355" i="8"/>
  <c r="G1355" i="8"/>
  <c r="AH1354" i="8"/>
  <c r="AG1354" i="8"/>
  <c r="AE1354" i="8"/>
  <c r="Y1354" i="8"/>
  <c r="V1354" i="8"/>
  <c r="U1354" i="8"/>
  <c r="T1354" i="8"/>
  <c r="R1354" i="8"/>
  <c r="S1354" i="8" s="1"/>
  <c r="M1354" i="8"/>
  <c r="O1354" i="8" s="1"/>
  <c r="L1354" i="8"/>
  <c r="N1354" i="8" s="1"/>
  <c r="H1354" i="8"/>
  <c r="G1354" i="8"/>
  <c r="AH1353" i="8"/>
  <c r="AG1353" i="8"/>
  <c r="AE1353" i="8"/>
  <c r="Y1353" i="8"/>
  <c r="W1353" i="8"/>
  <c r="V1353" i="8"/>
  <c r="U1353" i="8"/>
  <c r="T1353" i="8"/>
  <c r="N1353" i="8"/>
  <c r="M1353" i="8"/>
  <c r="O1353" i="8" s="1"/>
  <c r="L1353" i="8"/>
  <c r="H1353" i="8"/>
  <c r="R1353" i="8" s="1"/>
  <c r="S1353" i="8" s="1"/>
  <c r="G1353" i="8"/>
  <c r="AH1352" i="8"/>
  <c r="AG1352" i="8"/>
  <c r="AE1352" i="8"/>
  <c r="Y1352" i="8"/>
  <c r="V1352" i="8"/>
  <c r="U1352" i="8"/>
  <c r="W1352" i="8" s="1"/>
  <c r="AA1352" i="8" s="1"/>
  <c r="T1352" i="8"/>
  <c r="P1352" i="8"/>
  <c r="Z1352" i="8" s="1"/>
  <c r="N1352" i="8"/>
  <c r="M1352" i="8"/>
  <c r="L1352" i="8"/>
  <c r="H1352" i="8"/>
  <c r="R1352" i="8" s="1"/>
  <c r="G1352" i="8"/>
  <c r="AH1351" i="8"/>
  <c r="AG1351" i="8"/>
  <c r="AE1351" i="8"/>
  <c r="Y1351" i="8"/>
  <c r="AC1351" i="8" s="1"/>
  <c r="V1351" i="8"/>
  <c r="U1351" i="8"/>
  <c r="W1351" i="8" s="1"/>
  <c r="AA1351" i="8" s="1"/>
  <c r="T1351" i="8"/>
  <c r="P1351" i="8"/>
  <c r="Z1351" i="8" s="1"/>
  <c r="M1351" i="8"/>
  <c r="L1351" i="8"/>
  <c r="N1351" i="8" s="1"/>
  <c r="H1351" i="8"/>
  <c r="R1351" i="8" s="1"/>
  <c r="G1351" i="8"/>
  <c r="AH1350" i="8"/>
  <c r="AG1350" i="8"/>
  <c r="AE1350" i="8"/>
  <c r="Y1350" i="8"/>
  <c r="V1350" i="8"/>
  <c r="W1350" i="8" s="1"/>
  <c r="U1350" i="8"/>
  <c r="T1350" i="8"/>
  <c r="R1350" i="8"/>
  <c r="S1350" i="8" s="1"/>
  <c r="M1350" i="8"/>
  <c r="O1350" i="8" s="1"/>
  <c r="L1350" i="8"/>
  <c r="N1350" i="8" s="1"/>
  <c r="H1350" i="8"/>
  <c r="G1350" i="8"/>
  <c r="AH1349" i="8"/>
  <c r="AG1349" i="8"/>
  <c r="AE1349" i="8"/>
  <c r="Y1349" i="8"/>
  <c r="W1349" i="8"/>
  <c r="V1349" i="8"/>
  <c r="U1349" i="8"/>
  <c r="T1349" i="8"/>
  <c r="R1349" i="8"/>
  <c r="N1349" i="8"/>
  <c r="M1349" i="8"/>
  <c r="O1349" i="8" s="1"/>
  <c r="S1349" i="8" s="1"/>
  <c r="L1349" i="8"/>
  <c r="H1349" i="8"/>
  <c r="G1349" i="8"/>
  <c r="AH1348" i="8"/>
  <c r="AG1348" i="8"/>
  <c r="AE1348" i="8"/>
  <c r="AC1348" i="8"/>
  <c r="AF1348" i="8" s="1"/>
  <c r="Y1348" i="8"/>
  <c r="V1348" i="8"/>
  <c r="U1348" i="8"/>
  <c r="W1348" i="8" s="1"/>
  <c r="AA1348" i="8" s="1"/>
  <c r="T1348" i="8"/>
  <c r="P1348" i="8"/>
  <c r="Z1348" i="8" s="1"/>
  <c r="N1348" i="8"/>
  <c r="M1348" i="8"/>
  <c r="L1348" i="8"/>
  <c r="H1348" i="8"/>
  <c r="R1348" i="8" s="1"/>
  <c r="G1348" i="8"/>
  <c r="AH1347" i="8"/>
  <c r="AG1347" i="8"/>
  <c r="AE1347" i="8"/>
  <c r="Y1347" i="8"/>
  <c r="V1347" i="8"/>
  <c r="U1347" i="8"/>
  <c r="W1347" i="8" s="1"/>
  <c r="AA1347" i="8" s="1"/>
  <c r="T1347" i="8"/>
  <c r="P1347" i="8"/>
  <c r="AC1347" i="8" s="1"/>
  <c r="M1347" i="8"/>
  <c r="L1347" i="8"/>
  <c r="N1347" i="8" s="1"/>
  <c r="H1347" i="8"/>
  <c r="R1347" i="8" s="1"/>
  <c r="G1347" i="8"/>
  <c r="AH1346" i="8"/>
  <c r="AG1346" i="8"/>
  <c r="AE1346" i="8"/>
  <c r="Y1346" i="8"/>
  <c r="V1346" i="8"/>
  <c r="U1346" i="8"/>
  <c r="T1346" i="8"/>
  <c r="R1346" i="8"/>
  <c r="S1346" i="8" s="1"/>
  <c r="M1346" i="8"/>
  <c r="O1346" i="8" s="1"/>
  <c r="L1346" i="8"/>
  <c r="N1346" i="8" s="1"/>
  <c r="H1346" i="8"/>
  <c r="G1346" i="8"/>
  <c r="AH1345" i="8"/>
  <c r="AG1345" i="8"/>
  <c r="AE1345" i="8"/>
  <c r="Y1345" i="8"/>
  <c r="W1345" i="8"/>
  <c r="V1345" i="8"/>
  <c r="U1345" i="8"/>
  <c r="T1345" i="8"/>
  <c r="N1345" i="8"/>
  <c r="M1345" i="8"/>
  <c r="O1345" i="8" s="1"/>
  <c r="L1345" i="8"/>
  <c r="H1345" i="8"/>
  <c r="R1345" i="8" s="1"/>
  <c r="S1345" i="8" s="1"/>
  <c r="G1345" i="8"/>
  <c r="AH1344" i="8"/>
  <c r="AG1344" i="8"/>
  <c r="AE1344" i="8"/>
  <c r="Y1344" i="8"/>
  <c r="V1344" i="8"/>
  <c r="U1344" i="8"/>
  <c r="W1344" i="8" s="1"/>
  <c r="AA1344" i="8" s="1"/>
  <c r="T1344" i="8"/>
  <c r="P1344" i="8"/>
  <c r="Z1344" i="8" s="1"/>
  <c r="N1344" i="8"/>
  <c r="M1344" i="8"/>
  <c r="L1344" i="8"/>
  <c r="H1344" i="8"/>
  <c r="R1344" i="8" s="1"/>
  <c r="G1344" i="8"/>
  <c r="AH1343" i="8"/>
  <c r="AG1343" i="8"/>
  <c r="AE1343" i="8"/>
  <c r="Y1343" i="8"/>
  <c r="AC1343" i="8" s="1"/>
  <c r="V1343" i="8"/>
  <c r="U1343" i="8"/>
  <c r="W1343" i="8" s="1"/>
  <c r="AA1343" i="8" s="1"/>
  <c r="T1343" i="8"/>
  <c r="P1343" i="8"/>
  <c r="Z1343" i="8" s="1"/>
  <c r="M1343" i="8"/>
  <c r="L1343" i="8"/>
  <c r="N1343" i="8" s="1"/>
  <c r="H1343" i="8"/>
  <c r="R1343" i="8" s="1"/>
  <c r="G1343" i="8"/>
  <c r="AH1342" i="8"/>
  <c r="AG1342" i="8"/>
  <c r="AE1342" i="8"/>
  <c r="Y1342" i="8"/>
  <c r="V1342" i="8"/>
  <c r="W1342" i="8" s="1"/>
  <c r="U1342" i="8"/>
  <c r="T1342" i="8"/>
  <c r="R1342" i="8"/>
  <c r="S1342" i="8" s="1"/>
  <c r="M1342" i="8"/>
  <c r="O1342" i="8" s="1"/>
  <c r="L1342" i="8"/>
  <c r="N1342" i="8" s="1"/>
  <c r="H1342" i="8"/>
  <c r="G1342" i="8"/>
  <c r="AH1341" i="8"/>
  <c r="AG1341" i="8"/>
  <c r="AE1341" i="8"/>
  <c r="Y1341" i="8"/>
  <c r="W1341" i="8"/>
  <c r="V1341" i="8"/>
  <c r="U1341" i="8"/>
  <c r="T1341" i="8"/>
  <c r="R1341" i="8"/>
  <c r="N1341" i="8"/>
  <c r="M1341" i="8"/>
  <c r="O1341" i="8" s="1"/>
  <c r="S1341" i="8" s="1"/>
  <c r="L1341" i="8"/>
  <c r="H1341" i="8"/>
  <c r="G1341" i="8"/>
  <c r="AH1340" i="8"/>
  <c r="AG1340" i="8"/>
  <c r="AE1340" i="8"/>
  <c r="AC1340" i="8"/>
  <c r="AF1340" i="8" s="1"/>
  <c r="Y1340" i="8"/>
  <c r="V1340" i="8"/>
  <c r="U1340" i="8"/>
  <c r="W1340" i="8" s="1"/>
  <c r="AA1340" i="8" s="1"/>
  <c r="T1340" i="8"/>
  <c r="P1340" i="8"/>
  <c r="Z1340" i="8" s="1"/>
  <c r="N1340" i="8"/>
  <c r="M1340" i="8"/>
  <c r="L1340" i="8"/>
  <c r="H1340" i="8"/>
  <c r="R1340" i="8" s="1"/>
  <c r="G1340" i="8"/>
  <c r="AH1339" i="8"/>
  <c r="AG1339" i="8"/>
  <c r="AE1339" i="8"/>
  <c r="Y1339" i="8"/>
  <c r="V1339" i="8"/>
  <c r="U1339" i="8"/>
  <c r="W1339" i="8" s="1"/>
  <c r="AA1339" i="8" s="1"/>
  <c r="T1339" i="8"/>
  <c r="P1339" i="8"/>
  <c r="AC1339" i="8" s="1"/>
  <c r="M1339" i="8"/>
  <c r="L1339" i="8"/>
  <c r="N1339" i="8" s="1"/>
  <c r="H1339" i="8"/>
  <c r="R1339" i="8" s="1"/>
  <c r="G1339" i="8"/>
  <c r="AH1338" i="8"/>
  <c r="AG1338" i="8"/>
  <c r="AE1338" i="8"/>
  <c r="Y1338" i="8"/>
  <c r="V1338" i="8"/>
  <c r="U1338" i="8"/>
  <c r="T1338" i="8"/>
  <c r="R1338" i="8"/>
  <c r="S1338" i="8" s="1"/>
  <c r="M1338" i="8"/>
  <c r="O1338" i="8" s="1"/>
  <c r="L1338" i="8"/>
  <c r="N1338" i="8" s="1"/>
  <c r="H1338" i="8"/>
  <c r="G1338" i="8"/>
  <c r="AH1337" i="8"/>
  <c r="AG1337" i="8"/>
  <c r="AE1337" i="8"/>
  <c r="Y1337" i="8"/>
  <c r="W1337" i="8"/>
  <c r="V1337" i="8"/>
  <c r="U1337" i="8"/>
  <c r="T1337" i="8"/>
  <c r="N1337" i="8"/>
  <c r="M1337" i="8"/>
  <c r="L1337" i="8"/>
  <c r="H1337" i="8"/>
  <c r="R1337" i="8" s="1"/>
  <c r="G1337" i="8"/>
  <c r="AH1336" i="8"/>
  <c r="AG1336" i="8"/>
  <c r="AE1336" i="8"/>
  <c r="Y1336" i="8"/>
  <c r="X1336" i="8" s="1"/>
  <c r="AB1336" i="8" s="1"/>
  <c r="V1336" i="8"/>
  <c r="U1336" i="8"/>
  <c r="W1336" i="8" s="1"/>
  <c r="AA1336" i="8" s="1"/>
  <c r="T1336" i="8"/>
  <c r="P1336" i="8"/>
  <c r="Z1336" i="8" s="1"/>
  <c r="N1336" i="8"/>
  <c r="M1336" i="8"/>
  <c r="L1336" i="8"/>
  <c r="H1336" i="8"/>
  <c r="R1336" i="8" s="1"/>
  <c r="G1336" i="8"/>
  <c r="AH1335" i="8"/>
  <c r="AG1335" i="8"/>
  <c r="AE1335" i="8"/>
  <c r="Y1335" i="8"/>
  <c r="V1335" i="8"/>
  <c r="U1335" i="8"/>
  <c r="W1335" i="8" s="1"/>
  <c r="T1335" i="8"/>
  <c r="P1335" i="8"/>
  <c r="Z1335" i="8" s="1"/>
  <c r="M1335" i="8"/>
  <c r="L1335" i="8"/>
  <c r="H1335" i="8"/>
  <c r="R1335" i="8" s="1"/>
  <c r="G1335" i="8"/>
  <c r="AH1334" i="8"/>
  <c r="AG1334" i="8"/>
  <c r="AE1334" i="8"/>
  <c r="Y1334" i="8"/>
  <c r="V1334" i="8"/>
  <c r="U1334" i="8"/>
  <c r="T1334" i="8"/>
  <c r="R1334" i="8"/>
  <c r="S1334" i="8" s="1"/>
  <c r="M1334" i="8"/>
  <c r="O1334" i="8" s="1"/>
  <c r="L1334" i="8"/>
  <c r="N1334" i="8" s="1"/>
  <c r="H1334" i="8"/>
  <c r="G1334" i="8"/>
  <c r="AH1333" i="8"/>
  <c r="AG1333" i="8"/>
  <c r="AE1333" i="8"/>
  <c r="Y1333" i="8"/>
  <c r="W1333" i="8"/>
  <c r="V1333" i="8"/>
  <c r="U1333" i="8"/>
  <c r="T1333" i="8"/>
  <c r="R1333" i="8"/>
  <c r="N1333" i="8"/>
  <c r="M1333" i="8"/>
  <c r="L1333" i="8"/>
  <c r="H1333" i="8"/>
  <c r="G1333" i="8"/>
  <c r="AH1332" i="8"/>
  <c r="AG1332" i="8"/>
  <c r="AE1332" i="8"/>
  <c r="Y1332" i="8"/>
  <c r="W1332" i="8"/>
  <c r="V1332" i="8"/>
  <c r="U1332" i="8"/>
  <c r="T1332" i="8"/>
  <c r="N1332" i="8"/>
  <c r="M1332" i="8"/>
  <c r="L1332" i="8"/>
  <c r="H1332" i="8"/>
  <c r="R1332" i="8" s="1"/>
  <c r="G1332" i="8"/>
  <c r="AH1331" i="8"/>
  <c r="AG1331" i="8"/>
  <c r="AE1331" i="8"/>
  <c r="Z1331" i="8"/>
  <c r="Y1331" i="8"/>
  <c r="V1331" i="8"/>
  <c r="U1331" i="8"/>
  <c r="W1331" i="8" s="1"/>
  <c r="T1331" i="8"/>
  <c r="P1331" i="8"/>
  <c r="AC1331" i="8" s="1"/>
  <c r="M1331" i="8"/>
  <c r="L1331" i="8"/>
  <c r="H1331" i="8"/>
  <c r="R1331" i="8" s="1"/>
  <c r="G1331" i="8"/>
  <c r="AH1330" i="8"/>
  <c r="AG1330" i="8"/>
  <c r="AE1330" i="8"/>
  <c r="Y1330" i="8"/>
  <c r="V1330" i="8"/>
  <c r="W1330" i="8" s="1"/>
  <c r="AA1330" i="8" s="1"/>
  <c r="U1330" i="8"/>
  <c r="T1330" i="8"/>
  <c r="R1330" i="8"/>
  <c r="S1330" i="8" s="1"/>
  <c r="P1330" i="8"/>
  <c r="M1330" i="8"/>
  <c r="O1330" i="8" s="1"/>
  <c r="L1330" i="8"/>
  <c r="N1330" i="8" s="1"/>
  <c r="H1330" i="8"/>
  <c r="G1330" i="8"/>
  <c r="AH1329" i="8"/>
  <c r="AG1329" i="8"/>
  <c r="AE1329" i="8"/>
  <c r="Y1329" i="8"/>
  <c r="W1329" i="8"/>
  <c r="V1329" i="8"/>
  <c r="U1329" i="8"/>
  <c r="T1329" i="8"/>
  <c r="M1329" i="8"/>
  <c r="L1329" i="8"/>
  <c r="N1329" i="8" s="1"/>
  <c r="H1329" i="8"/>
  <c r="R1329" i="8" s="1"/>
  <c r="G1329" i="8"/>
  <c r="AH1328" i="8"/>
  <c r="AG1328" i="8"/>
  <c r="AE1328" i="8"/>
  <c r="AC1328" i="8"/>
  <c r="AB1328" i="8"/>
  <c r="Y1328" i="8"/>
  <c r="X1328" i="8" s="1"/>
  <c r="V1328" i="8"/>
  <c r="U1328" i="8"/>
  <c r="W1328" i="8" s="1"/>
  <c r="AA1328" i="8" s="1"/>
  <c r="T1328" i="8"/>
  <c r="P1328" i="8"/>
  <c r="Z1328" i="8" s="1"/>
  <c r="N1328" i="8"/>
  <c r="M1328" i="8"/>
  <c r="L1328" i="8"/>
  <c r="H1328" i="8"/>
  <c r="R1328" i="8" s="1"/>
  <c r="G1328" i="8"/>
  <c r="AH1327" i="8"/>
  <c r="AG1327" i="8"/>
  <c r="AE1327" i="8"/>
  <c r="AA1327" i="8"/>
  <c r="Z1327" i="8"/>
  <c r="X1327" i="8" s="1"/>
  <c r="AB1327" i="8" s="1"/>
  <c r="Y1327" i="8"/>
  <c r="AC1327" i="8" s="1"/>
  <c r="W1327" i="8"/>
  <c r="V1327" i="8"/>
  <c r="U1327" i="8"/>
  <c r="T1327" i="8"/>
  <c r="R1327" i="8"/>
  <c r="S1327" i="8" s="1"/>
  <c r="P1327" i="8"/>
  <c r="O1327" i="8"/>
  <c r="N1327" i="8"/>
  <c r="M1327" i="8"/>
  <c r="L1327" i="8"/>
  <c r="H1327" i="8"/>
  <c r="G1327" i="8"/>
  <c r="AH1326" i="8"/>
  <c r="AG1326" i="8"/>
  <c r="AE1326" i="8"/>
  <c r="Z1326" i="8"/>
  <c r="X1326" i="8" s="1"/>
  <c r="AB1326" i="8" s="1"/>
  <c r="Y1326" i="8"/>
  <c r="AC1326" i="8" s="1"/>
  <c r="W1326" i="8"/>
  <c r="AA1326" i="8" s="1"/>
  <c r="V1326" i="8"/>
  <c r="U1326" i="8"/>
  <c r="T1326" i="8"/>
  <c r="S1326" i="8"/>
  <c r="R1326" i="8"/>
  <c r="P1326" i="8"/>
  <c r="O1326" i="8"/>
  <c r="N1326" i="8"/>
  <c r="M1326" i="8"/>
  <c r="L1326" i="8"/>
  <c r="H1326" i="8"/>
  <c r="G1326" i="8"/>
  <c r="AH1325" i="8"/>
  <c r="AG1325" i="8"/>
  <c r="AE1325" i="8"/>
  <c r="AA1325" i="8"/>
  <c r="Z1325" i="8"/>
  <c r="X1325" i="8" s="1"/>
  <c r="AB1325" i="8" s="1"/>
  <c r="Y1325" i="8"/>
  <c r="AC1325" i="8" s="1"/>
  <c r="W1325" i="8"/>
  <c r="V1325" i="8"/>
  <c r="U1325" i="8"/>
  <c r="T1325" i="8"/>
  <c r="R1325" i="8"/>
  <c r="S1325" i="8" s="1"/>
  <c r="P1325" i="8"/>
  <c r="N1325" i="8"/>
  <c r="M1325" i="8"/>
  <c r="L1325" i="8"/>
  <c r="H1325" i="8"/>
  <c r="O1325" i="8" s="1"/>
  <c r="G1325" i="8"/>
  <c r="AH1324" i="8"/>
  <c r="AG1324" i="8"/>
  <c r="AE1324" i="8"/>
  <c r="AA1324" i="8"/>
  <c r="Y1324" i="8"/>
  <c r="W1324" i="8"/>
  <c r="V1324" i="8"/>
  <c r="U1324" i="8"/>
  <c r="T1324" i="8"/>
  <c r="R1324" i="8"/>
  <c r="S1324" i="8" s="1"/>
  <c r="P1324" i="8"/>
  <c r="Z1324" i="8" s="1"/>
  <c r="N1324" i="8"/>
  <c r="M1324" i="8"/>
  <c r="L1324" i="8"/>
  <c r="H1324" i="8"/>
  <c r="O1324" i="8" s="1"/>
  <c r="G1324" i="8"/>
  <c r="AH1323" i="8"/>
  <c r="AG1323" i="8"/>
  <c r="AE1323" i="8"/>
  <c r="Y1323" i="8"/>
  <c r="W1323" i="8"/>
  <c r="AA1323" i="8" s="1"/>
  <c r="V1323" i="8"/>
  <c r="U1323" i="8"/>
  <c r="T1323" i="8"/>
  <c r="R1323" i="8"/>
  <c r="S1323" i="8" s="1"/>
  <c r="P1323" i="8"/>
  <c r="Z1323" i="8" s="1"/>
  <c r="N1323" i="8"/>
  <c r="M1323" i="8"/>
  <c r="L1323" i="8"/>
  <c r="H1323" i="8"/>
  <c r="O1323" i="8" s="1"/>
  <c r="G1323" i="8"/>
  <c r="AH1322" i="8"/>
  <c r="AG1322" i="8"/>
  <c r="AE1322" i="8"/>
  <c r="Y1322" i="8"/>
  <c r="W1322" i="8"/>
  <c r="AA1322" i="8" s="1"/>
  <c r="V1322" i="8"/>
  <c r="U1322" i="8"/>
  <c r="T1322" i="8"/>
  <c r="R1322" i="8"/>
  <c r="S1322" i="8" s="1"/>
  <c r="P1322" i="8"/>
  <c r="Z1322" i="8" s="1"/>
  <c r="M1322" i="8"/>
  <c r="L1322" i="8"/>
  <c r="H1322" i="8"/>
  <c r="O1322" i="8" s="1"/>
  <c r="G1322" i="8"/>
  <c r="AH1321" i="8"/>
  <c r="AG1321" i="8"/>
  <c r="AE1321" i="8"/>
  <c r="AA1321" i="8"/>
  <c r="Y1321" i="8"/>
  <c r="W1321" i="8"/>
  <c r="V1321" i="8"/>
  <c r="U1321" i="8"/>
  <c r="T1321" i="8"/>
  <c r="P1321" i="8"/>
  <c r="Z1321" i="8" s="1"/>
  <c r="M1321" i="8"/>
  <c r="L1321" i="8"/>
  <c r="H1321" i="8"/>
  <c r="O1321" i="8" s="1"/>
  <c r="G1321" i="8"/>
  <c r="AH1320" i="8"/>
  <c r="AG1320" i="8"/>
  <c r="AE1320" i="8"/>
  <c r="Y1320" i="8"/>
  <c r="W1320" i="8"/>
  <c r="AA1320" i="8" s="1"/>
  <c r="V1320" i="8"/>
  <c r="U1320" i="8"/>
  <c r="T1320" i="8"/>
  <c r="P1320" i="8"/>
  <c r="Z1320" i="8" s="1"/>
  <c r="M1320" i="8"/>
  <c r="L1320" i="8"/>
  <c r="H1320" i="8"/>
  <c r="O1320" i="8" s="1"/>
  <c r="G1320" i="8"/>
  <c r="AH1319" i="8"/>
  <c r="AG1319" i="8"/>
  <c r="AE1319" i="8"/>
  <c r="AA1319" i="8"/>
  <c r="Y1319" i="8"/>
  <c r="W1319" i="8"/>
  <c r="V1319" i="8"/>
  <c r="U1319" i="8"/>
  <c r="T1319" i="8"/>
  <c r="R1319" i="8"/>
  <c r="S1319" i="8" s="1"/>
  <c r="P1319" i="8"/>
  <c r="Z1319" i="8" s="1"/>
  <c r="N1319" i="8"/>
  <c r="M1319" i="8"/>
  <c r="L1319" i="8"/>
  <c r="H1319" i="8"/>
  <c r="O1319" i="8" s="1"/>
  <c r="G1319" i="8"/>
  <c r="AH1318" i="8"/>
  <c r="AG1318" i="8"/>
  <c r="AE1318" i="8"/>
  <c r="Y1318" i="8"/>
  <c r="W1318" i="8"/>
  <c r="AA1318" i="8" s="1"/>
  <c r="V1318" i="8"/>
  <c r="U1318" i="8"/>
  <c r="T1318" i="8"/>
  <c r="P1318" i="8"/>
  <c r="Z1318" i="8" s="1"/>
  <c r="M1318" i="8"/>
  <c r="L1318" i="8"/>
  <c r="H1318" i="8"/>
  <c r="O1318" i="8" s="1"/>
  <c r="G1318" i="8"/>
  <c r="AH1317" i="8"/>
  <c r="AG1317" i="8"/>
  <c r="AE1317" i="8"/>
  <c r="Y1317" i="8"/>
  <c r="W1317" i="8"/>
  <c r="V1317" i="8"/>
  <c r="U1317" i="8"/>
  <c r="T1317" i="8"/>
  <c r="P1317" i="8"/>
  <c r="AA1317" i="8" s="1"/>
  <c r="N1317" i="8"/>
  <c r="M1317" i="8"/>
  <c r="L1317" i="8"/>
  <c r="H1317" i="8"/>
  <c r="O1317" i="8" s="1"/>
  <c r="G1317" i="8"/>
  <c r="AH1316" i="8"/>
  <c r="AG1316" i="8"/>
  <c r="AE1316" i="8"/>
  <c r="Y1316" i="8"/>
  <c r="W1316" i="8"/>
  <c r="AA1316" i="8" s="1"/>
  <c r="V1316" i="8"/>
  <c r="U1316" i="8"/>
  <c r="T1316" i="8"/>
  <c r="P1316" i="8"/>
  <c r="Z1316" i="8" s="1"/>
  <c r="M1316" i="8"/>
  <c r="L1316" i="8"/>
  <c r="H1316" i="8"/>
  <c r="O1316" i="8" s="1"/>
  <c r="G1316" i="8"/>
  <c r="AH1315" i="8"/>
  <c r="AG1315" i="8"/>
  <c r="AE1315" i="8"/>
  <c r="Y1315" i="8"/>
  <c r="W1315" i="8"/>
  <c r="AA1315" i="8" s="1"/>
  <c r="V1315" i="8"/>
  <c r="U1315" i="8"/>
  <c r="T1315" i="8"/>
  <c r="R1315" i="8"/>
  <c r="S1315" i="8" s="1"/>
  <c r="P1315" i="8"/>
  <c r="Z1315" i="8" s="1"/>
  <c r="X1315" i="8" s="1"/>
  <c r="AB1315" i="8" s="1"/>
  <c r="O1315" i="8"/>
  <c r="N1315" i="8"/>
  <c r="M1315" i="8"/>
  <c r="L1315" i="8"/>
  <c r="H1315" i="8"/>
  <c r="G1315" i="8"/>
  <c r="AH1314" i="8"/>
  <c r="AG1314" i="8"/>
  <c r="AE1314" i="8"/>
  <c r="AA1314" i="8"/>
  <c r="Y1314" i="8"/>
  <c r="W1314" i="8"/>
  <c r="V1314" i="8"/>
  <c r="U1314" i="8"/>
  <c r="T1314" i="8"/>
  <c r="S1314" i="8"/>
  <c r="R1314" i="8"/>
  <c r="P1314" i="8"/>
  <c r="Z1314" i="8" s="1"/>
  <c r="X1314" i="8" s="1"/>
  <c r="AB1314" i="8" s="1"/>
  <c r="O1314" i="8"/>
  <c r="N1314" i="8"/>
  <c r="M1314" i="8"/>
  <c r="L1314" i="8"/>
  <c r="H1314" i="8"/>
  <c r="G1314" i="8"/>
  <c r="AH1313" i="8"/>
  <c r="AG1313" i="8"/>
  <c r="AE1313" i="8"/>
  <c r="AA1313" i="8"/>
  <c r="Y1313" i="8"/>
  <c r="X1313" i="8" s="1"/>
  <c r="AB1313" i="8" s="1"/>
  <c r="W1313" i="8"/>
  <c r="V1313" i="8"/>
  <c r="U1313" i="8"/>
  <c r="T1313" i="8"/>
  <c r="P1313" i="8"/>
  <c r="Z1313" i="8" s="1"/>
  <c r="M1313" i="8"/>
  <c r="L1313" i="8"/>
  <c r="H1313" i="8"/>
  <c r="O1313" i="8" s="1"/>
  <c r="G1313" i="8"/>
  <c r="AH1312" i="8"/>
  <c r="AG1312" i="8"/>
  <c r="AE1312" i="8"/>
  <c r="Y1312" i="8"/>
  <c r="W1312" i="8"/>
  <c r="AA1312" i="8" s="1"/>
  <c r="V1312" i="8"/>
  <c r="U1312" i="8"/>
  <c r="T1312" i="8"/>
  <c r="R1312" i="8"/>
  <c r="P1312" i="8"/>
  <c r="Z1312" i="8" s="1"/>
  <c r="N1312" i="8"/>
  <c r="M1312" i="8"/>
  <c r="L1312" i="8"/>
  <c r="H1312" i="8"/>
  <c r="O1312" i="8" s="1"/>
  <c r="S1312" i="8" s="1"/>
  <c r="G1312" i="8"/>
  <c r="AH1311" i="8"/>
  <c r="AG1311" i="8"/>
  <c r="AE1311" i="8"/>
  <c r="Y1311" i="8"/>
  <c r="W1311" i="8"/>
  <c r="AA1311" i="8" s="1"/>
  <c r="V1311" i="8"/>
  <c r="U1311" i="8"/>
  <c r="T1311" i="8"/>
  <c r="R1311" i="8"/>
  <c r="P1311" i="8"/>
  <c r="Z1311" i="8" s="1"/>
  <c r="X1311" i="8" s="1"/>
  <c r="AB1311" i="8" s="1"/>
  <c r="O1311" i="8"/>
  <c r="S1311" i="8" s="1"/>
  <c r="N1311" i="8"/>
  <c r="M1311" i="8"/>
  <c r="L1311" i="8"/>
  <c r="H1311" i="8"/>
  <c r="G1311" i="8"/>
  <c r="AH1310" i="8"/>
  <c r="AG1310" i="8"/>
  <c r="AE1310" i="8"/>
  <c r="AA1310" i="8"/>
  <c r="Y1310" i="8"/>
  <c r="W1310" i="8"/>
  <c r="V1310" i="8"/>
  <c r="U1310" i="8"/>
  <c r="T1310" i="8"/>
  <c r="S1310" i="8"/>
  <c r="R1310" i="8"/>
  <c r="P1310" i="8"/>
  <c r="Z1310" i="8" s="1"/>
  <c r="X1310" i="8" s="1"/>
  <c r="AB1310" i="8" s="1"/>
  <c r="O1310" i="8"/>
  <c r="N1310" i="8"/>
  <c r="M1310" i="8"/>
  <c r="L1310" i="8"/>
  <c r="H1310" i="8"/>
  <c r="G1310" i="8"/>
  <c r="AH1309" i="8"/>
  <c r="AG1309" i="8"/>
  <c r="AE1309" i="8"/>
  <c r="AA1309" i="8"/>
  <c r="Y1309" i="8"/>
  <c r="X1309" i="8" s="1"/>
  <c r="AB1309" i="8" s="1"/>
  <c r="W1309" i="8"/>
  <c r="V1309" i="8"/>
  <c r="U1309" i="8"/>
  <c r="T1309" i="8"/>
  <c r="P1309" i="8"/>
  <c r="Z1309" i="8" s="1"/>
  <c r="N1309" i="8"/>
  <c r="M1309" i="8"/>
  <c r="L1309" i="8"/>
  <c r="H1309" i="8"/>
  <c r="O1309" i="8" s="1"/>
  <c r="G1309" i="8"/>
  <c r="AH1308" i="8"/>
  <c r="AG1308" i="8"/>
  <c r="AE1308" i="8"/>
  <c r="Y1308" i="8"/>
  <c r="W1308" i="8"/>
  <c r="AA1308" i="8" s="1"/>
  <c r="V1308" i="8"/>
  <c r="U1308" i="8"/>
  <c r="T1308" i="8"/>
  <c r="R1308" i="8"/>
  <c r="P1308" i="8"/>
  <c r="Z1308" i="8" s="1"/>
  <c r="N1308" i="8"/>
  <c r="M1308" i="8"/>
  <c r="L1308" i="8"/>
  <c r="H1308" i="8"/>
  <c r="O1308" i="8" s="1"/>
  <c r="S1308" i="8" s="1"/>
  <c r="G1308" i="8"/>
  <c r="AH1307" i="8"/>
  <c r="AG1307" i="8"/>
  <c r="AE1307" i="8"/>
  <c r="Y1307" i="8"/>
  <c r="W1307" i="8"/>
  <c r="AA1307" i="8" s="1"/>
  <c r="V1307" i="8"/>
  <c r="U1307" i="8"/>
  <c r="T1307" i="8"/>
  <c r="R1307" i="8"/>
  <c r="P1307" i="8"/>
  <c r="Z1307" i="8" s="1"/>
  <c r="O1307" i="8"/>
  <c r="S1307" i="8" s="1"/>
  <c r="N1307" i="8"/>
  <c r="M1307" i="8"/>
  <c r="L1307" i="8"/>
  <c r="H1307" i="8"/>
  <c r="G1307" i="8"/>
  <c r="AH1306" i="8"/>
  <c r="AG1306" i="8"/>
  <c r="AE1306" i="8"/>
  <c r="AA1306" i="8"/>
  <c r="Y1306" i="8"/>
  <c r="W1306" i="8"/>
  <c r="V1306" i="8"/>
  <c r="U1306" i="8"/>
  <c r="T1306" i="8"/>
  <c r="S1306" i="8"/>
  <c r="R1306" i="8"/>
  <c r="P1306" i="8"/>
  <c r="Z1306" i="8" s="1"/>
  <c r="O1306" i="8"/>
  <c r="N1306" i="8"/>
  <c r="M1306" i="8"/>
  <c r="L1306" i="8"/>
  <c r="H1306" i="8"/>
  <c r="G1306" i="8"/>
  <c r="AH1305" i="8"/>
  <c r="AG1305" i="8"/>
  <c r="AE1305" i="8"/>
  <c r="AA1305" i="8"/>
  <c r="Y1305" i="8"/>
  <c r="X1305" i="8" s="1"/>
  <c r="AB1305" i="8" s="1"/>
  <c r="W1305" i="8"/>
  <c r="V1305" i="8"/>
  <c r="U1305" i="8"/>
  <c r="T1305" i="8"/>
  <c r="P1305" i="8"/>
  <c r="Z1305" i="8" s="1"/>
  <c r="N1305" i="8"/>
  <c r="M1305" i="8"/>
  <c r="L1305" i="8"/>
  <c r="H1305" i="8"/>
  <c r="O1305" i="8" s="1"/>
  <c r="G1305" i="8"/>
  <c r="AH1304" i="8"/>
  <c r="AG1304" i="8"/>
  <c r="AE1304" i="8"/>
  <c r="Y1304" i="8"/>
  <c r="W1304" i="8"/>
  <c r="AA1304" i="8" s="1"/>
  <c r="V1304" i="8"/>
  <c r="U1304" i="8"/>
  <c r="T1304" i="8"/>
  <c r="R1304" i="8"/>
  <c r="P1304" i="8"/>
  <c r="Z1304" i="8" s="1"/>
  <c r="N1304" i="8"/>
  <c r="M1304" i="8"/>
  <c r="L1304" i="8"/>
  <c r="H1304" i="8"/>
  <c r="O1304" i="8" s="1"/>
  <c r="S1304" i="8" s="1"/>
  <c r="G1304" i="8"/>
  <c r="AH1303" i="8"/>
  <c r="AG1303" i="8"/>
  <c r="AE1303" i="8"/>
  <c r="Y1303" i="8"/>
  <c r="W1303" i="8"/>
  <c r="AA1303" i="8" s="1"/>
  <c r="V1303" i="8"/>
  <c r="U1303" i="8"/>
  <c r="T1303" i="8"/>
  <c r="S1303" i="8"/>
  <c r="R1303" i="8"/>
  <c r="P1303" i="8"/>
  <c r="Z1303" i="8" s="1"/>
  <c r="O1303" i="8"/>
  <c r="N1303" i="8"/>
  <c r="M1303" i="8"/>
  <c r="L1303" i="8"/>
  <c r="H1303" i="8"/>
  <c r="G1303" i="8"/>
  <c r="AH1302" i="8"/>
  <c r="AG1302" i="8"/>
  <c r="AE1302" i="8"/>
  <c r="AA1302" i="8"/>
  <c r="Y1302" i="8"/>
  <c r="X1302" i="8" s="1"/>
  <c r="AB1302" i="8" s="1"/>
  <c r="W1302" i="8"/>
  <c r="V1302" i="8"/>
  <c r="U1302" i="8"/>
  <c r="T1302" i="8"/>
  <c r="S1302" i="8"/>
  <c r="R1302" i="8"/>
  <c r="P1302" i="8"/>
  <c r="Z1302" i="8" s="1"/>
  <c r="O1302" i="8"/>
  <c r="N1302" i="8"/>
  <c r="M1302" i="8"/>
  <c r="L1302" i="8"/>
  <c r="H1302" i="8"/>
  <c r="G1302" i="8"/>
  <c r="AH1301" i="8"/>
  <c r="AG1301" i="8"/>
  <c r="AE1301" i="8"/>
  <c r="AA1301" i="8"/>
  <c r="Y1301" i="8"/>
  <c r="X1301" i="8" s="1"/>
  <c r="AB1301" i="8" s="1"/>
  <c r="W1301" i="8"/>
  <c r="V1301" i="8"/>
  <c r="U1301" i="8"/>
  <c r="T1301" i="8"/>
  <c r="P1301" i="8"/>
  <c r="Z1301" i="8" s="1"/>
  <c r="N1301" i="8"/>
  <c r="M1301" i="8"/>
  <c r="L1301" i="8"/>
  <c r="H1301" i="8"/>
  <c r="O1301" i="8" s="1"/>
  <c r="G1301" i="8"/>
  <c r="AH1300" i="8"/>
  <c r="AG1300" i="8"/>
  <c r="AE1300" i="8"/>
  <c r="Y1300" i="8"/>
  <c r="X1300" i="8" s="1"/>
  <c r="AB1300" i="8" s="1"/>
  <c r="W1300" i="8"/>
  <c r="AA1300" i="8" s="1"/>
  <c r="V1300" i="8"/>
  <c r="U1300" i="8"/>
  <c r="T1300" i="8"/>
  <c r="R1300" i="8"/>
  <c r="P1300" i="8"/>
  <c r="Z1300" i="8" s="1"/>
  <c r="N1300" i="8"/>
  <c r="M1300" i="8"/>
  <c r="L1300" i="8"/>
  <c r="H1300" i="8"/>
  <c r="O1300" i="8" s="1"/>
  <c r="S1300" i="8" s="1"/>
  <c r="G1300" i="8"/>
  <c r="AH1299" i="8"/>
  <c r="AG1299" i="8"/>
  <c r="AE1299" i="8"/>
  <c r="Y1299" i="8"/>
  <c r="X1299" i="8" s="1"/>
  <c r="AB1299" i="8" s="1"/>
  <c r="W1299" i="8"/>
  <c r="AA1299" i="8" s="1"/>
  <c r="V1299" i="8"/>
  <c r="U1299" i="8"/>
  <c r="T1299" i="8"/>
  <c r="S1299" i="8"/>
  <c r="R1299" i="8"/>
  <c r="P1299" i="8"/>
  <c r="Z1299" i="8" s="1"/>
  <c r="O1299" i="8"/>
  <c r="N1299" i="8"/>
  <c r="M1299" i="8"/>
  <c r="L1299" i="8"/>
  <c r="H1299" i="8"/>
  <c r="G1299" i="8"/>
  <c r="AH1298" i="8"/>
  <c r="AG1298" i="8"/>
  <c r="AE1298" i="8"/>
  <c r="AA1298" i="8"/>
  <c r="Y1298" i="8"/>
  <c r="W1298" i="8"/>
  <c r="V1298" i="8"/>
  <c r="U1298" i="8"/>
  <c r="T1298" i="8"/>
  <c r="S1298" i="8"/>
  <c r="R1298" i="8"/>
  <c r="P1298" i="8"/>
  <c r="Z1298" i="8" s="1"/>
  <c r="O1298" i="8"/>
  <c r="N1298" i="8"/>
  <c r="M1298" i="8"/>
  <c r="L1298" i="8"/>
  <c r="H1298" i="8"/>
  <c r="G1298" i="8"/>
  <c r="AH1297" i="8"/>
  <c r="AG1297" i="8"/>
  <c r="AE1297" i="8"/>
  <c r="AA1297" i="8"/>
  <c r="Y1297" i="8"/>
  <c r="W1297" i="8"/>
  <c r="V1297" i="8"/>
  <c r="U1297" i="8"/>
  <c r="T1297" i="8"/>
  <c r="P1297" i="8"/>
  <c r="Z1297" i="8" s="1"/>
  <c r="N1297" i="8"/>
  <c r="M1297" i="8"/>
  <c r="L1297" i="8"/>
  <c r="H1297" i="8"/>
  <c r="O1297" i="8" s="1"/>
  <c r="G1297" i="8"/>
  <c r="AH1296" i="8"/>
  <c r="AG1296" i="8"/>
  <c r="AE1296" i="8"/>
  <c r="Y1296" i="8"/>
  <c r="X1296" i="8" s="1"/>
  <c r="AB1296" i="8" s="1"/>
  <c r="W1296" i="8"/>
  <c r="AA1296" i="8" s="1"/>
  <c r="V1296" i="8"/>
  <c r="U1296" i="8"/>
  <c r="T1296" i="8"/>
  <c r="R1296" i="8"/>
  <c r="P1296" i="8"/>
  <c r="Z1296" i="8" s="1"/>
  <c r="N1296" i="8"/>
  <c r="M1296" i="8"/>
  <c r="L1296" i="8"/>
  <c r="H1296" i="8"/>
  <c r="O1296" i="8" s="1"/>
  <c r="S1296" i="8" s="1"/>
  <c r="G1296" i="8"/>
  <c r="AH1295" i="8"/>
  <c r="AG1295" i="8"/>
  <c r="AE1295" i="8"/>
  <c r="Y1295" i="8"/>
  <c r="X1295" i="8" s="1"/>
  <c r="AB1295" i="8" s="1"/>
  <c r="W1295" i="8"/>
  <c r="AA1295" i="8" s="1"/>
  <c r="V1295" i="8"/>
  <c r="U1295" i="8"/>
  <c r="T1295" i="8"/>
  <c r="S1295" i="8"/>
  <c r="R1295" i="8"/>
  <c r="P1295" i="8"/>
  <c r="Z1295" i="8" s="1"/>
  <c r="O1295" i="8"/>
  <c r="N1295" i="8"/>
  <c r="M1295" i="8"/>
  <c r="L1295" i="8"/>
  <c r="H1295" i="8"/>
  <c r="G1295" i="8"/>
  <c r="AH1294" i="8"/>
  <c r="AG1294" i="8"/>
  <c r="AE1294" i="8"/>
  <c r="AA1294" i="8"/>
  <c r="Y1294" i="8"/>
  <c r="W1294" i="8"/>
  <c r="V1294" i="8"/>
  <c r="U1294" i="8"/>
  <c r="T1294" i="8"/>
  <c r="S1294" i="8"/>
  <c r="R1294" i="8"/>
  <c r="P1294" i="8"/>
  <c r="Z1294" i="8" s="1"/>
  <c r="O1294" i="8"/>
  <c r="N1294" i="8"/>
  <c r="M1294" i="8"/>
  <c r="L1294" i="8"/>
  <c r="H1294" i="8"/>
  <c r="G1294" i="8"/>
  <c r="AH1293" i="8"/>
  <c r="AG1293" i="8"/>
  <c r="AE1293" i="8"/>
  <c r="AA1293" i="8"/>
  <c r="Y1293" i="8"/>
  <c r="X1293" i="8" s="1"/>
  <c r="AB1293" i="8" s="1"/>
  <c r="W1293" i="8"/>
  <c r="V1293" i="8"/>
  <c r="U1293" i="8"/>
  <c r="T1293" i="8"/>
  <c r="P1293" i="8"/>
  <c r="Z1293" i="8" s="1"/>
  <c r="N1293" i="8"/>
  <c r="M1293" i="8"/>
  <c r="L1293" i="8"/>
  <c r="H1293" i="8"/>
  <c r="O1293" i="8" s="1"/>
  <c r="G1293" i="8"/>
  <c r="AH1292" i="8"/>
  <c r="AG1292" i="8"/>
  <c r="AE1292" i="8"/>
  <c r="Y1292" i="8"/>
  <c r="W1292" i="8"/>
  <c r="AA1292" i="8" s="1"/>
  <c r="V1292" i="8"/>
  <c r="U1292" i="8"/>
  <c r="T1292" i="8"/>
  <c r="R1292" i="8"/>
  <c r="P1292" i="8"/>
  <c r="Z1292" i="8" s="1"/>
  <c r="N1292" i="8"/>
  <c r="M1292" i="8"/>
  <c r="L1292" i="8"/>
  <c r="H1292" i="8"/>
  <c r="O1292" i="8" s="1"/>
  <c r="S1292" i="8" s="1"/>
  <c r="G1292" i="8"/>
  <c r="AH1291" i="8"/>
  <c r="AG1291" i="8"/>
  <c r="AE1291" i="8"/>
  <c r="Y1291" i="8"/>
  <c r="W1291" i="8"/>
  <c r="AA1291" i="8" s="1"/>
  <c r="V1291" i="8"/>
  <c r="U1291" i="8"/>
  <c r="T1291" i="8"/>
  <c r="S1291" i="8"/>
  <c r="R1291" i="8"/>
  <c r="P1291" i="8"/>
  <c r="Z1291" i="8" s="1"/>
  <c r="O1291" i="8"/>
  <c r="N1291" i="8"/>
  <c r="M1291" i="8"/>
  <c r="L1291" i="8"/>
  <c r="H1291" i="8"/>
  <c r="G1291" i="8"/>
  <c r="AH1290" i="8"/>
  <c r="AG1290" i="8"/>
  <c r="AE1290" i="8"/>
  <c r="AA1290" i="8"/>
  <c r="Y1290" i="8"/>
  <c r="W1290" i="8"/>
  <c r="V1290" i="8"/>
  <c r="U1290" i="8"/>
  <c r="T1290" i="8"/>
  <c r="S1290" i="8"/>
  <c r="R1290" i="8"/>
  <c r="P1290" i="8"/>
  <c r="Z1290" i="8" s="1"/>
  <c r="O1290" i="8"/>
  <c r="N1290" i="8"/>
  <c r="M1290" i="8"/>
  <c r="L1290" i="8"/>
  <c r="H1290" i="8"/>
  <c r="G1290" i="8"/>
  <c r="AH1289" i="8"/>
  <c r="AG1289" i="8"/>
  <c r="AE1289" i="8"/>
  <c r="AA1289" i="8"/>
  <c r="Y1289" i="8"/>
  <c r="W1289" i="8"/>
  <c r="V1289" i="8"/>
  <c r="U1289" i="8"/>
  <c r="T1289" i="8"/>
  <c r="P1289" i="8"/>
  <c r="Z1289" i="8" s="1"/>
  <c r="N1289" i="8"/>
  <c r="M1289" i="8"/>
  <c r="L1289" i="8"/>
  <c r="H1289" i="8"/>
  <c r="O1289" i="8" s="1"/>
  <c r="G1289" i="8"/>
  <c r="AH1288" i="8"/>
  <c r="AG1288" i="8"/>
  <c r="AE1288" i="8"/>
  <c r="Y1288" i="8"/>
  <c r="W1288" i="8"/>
  <c r="AA1288" i="8" s="1"/>
  <c r="V1288" i="8"/>
  <c r="U1288" i="8"/>
  <c r="T1288" i="8"/>
  <c r="R1288" i="8"/>
  <c r="P1288" i="8"/>
  <c r="Z1288" i="8" s="1"/>
  <c r="N1288" i="8"/>
  <c r="M1288" i="8"/>
  <c r="O1288" i="8" s="1"/>
  <c r="S1288" i="8" s="1"/>
  <c r="L1288" i="8"/>
  <c r="H1288" i="8"/>
  <c r="G1288" i="8"/>
  <c r="AH1287" i="8"/>
  <c r="AG1287" i="8"/>
  <c r="AE1287" i="8"/>
  <c r="Y1287" i="8"/>
  <c r="V1287" i="8"/>
  <c r="U1287" i="8"/>
  <c r="T1287" i="8"/>
  <c r="R1287" i="8"/>
  <c r="S1287" i="8" s="1"/>
  <c r="O1287" i="8"/>
  <c r="M1287" i="8"/>
  <c r="P1287" i="8" s="1"/>
  <c r="L1287" i="8"/>
  <c r="H1287" i="8"/>
  <c r="N1287" i="8" s="1"/>
  <c r="G1287" i="8"/>
  <c r="AH1286" i="8"/>
  <c r="AG1286" i="8"/>
  <c r="AE1286" i="8"/>
  <c r="Y1286" i="8"/>
  <c r="W1286" i="8"/>
  <c r="AA1286" i="8" s="1"/>
  <c r="V1286" i="8"/>
  <c r="U1286" i="8"/>
  <c r="T1286" i="8"/>
  <c r="S1286" i="8"/>
  <c r="R1286" i="8"/>
  <c r="P1286" i="8"/>
  <c r="Z1286" i="8" s="1"/>
  <c r="O1286" i="8"/>
  <c r="N1286" i="8"/>
  <c r="M1286" i="8"/>
  <c r="L1286" i="8"/>
  <c r="H1286" i="8"/>
  <c r="G1286" i="8"/>
  <c r="AH1285" i="8"/>
  <c r="AG1285" i="8"/>
  <c r="AE1285" i="8"/>
  <c r="Y1285" i="8"/>
  <c r="V1285" i="8"/>
  <c r="U1285" i="8"/>
  <c r="T1285" i="8"/>
  <c r="M1285" i="8"/>
  <c r="P1285" i="8" s="1"/>
  <c r="L1285" i="8"/>
  <c r="H1285" i="8"/>
  <c r="R1285" i="8" s="1"/>
  <c r="G1285" i="8"/>
  <c r="AH1284" i="8"/>
  <c r="AG1284" i="8"/>
  <c r="AE1284" i="8"/>
  <c r="AA1284" i="8"/>
  <c r="Y1284" i="8"/>
  <c r="X1284" i="8" s="1"/>
  <c r="AB1284" i="8" s="1"/>
  <c r="W1284" i="8"/>
  <c r="V1284" i="8"/>
  <c r="Z1284" i="8" s="1"/>
  <c r="U1284" i="8"/>
  <c r="T1284" i="8"/>
  <c r="R1284" i="8"/>
  <c r="P1284" i="8"/>
  <c r="N1284" i="8"/>
  <c r="M1284" i="8"/>
  <c r="O1284" i="8" s="1"/>
  <c r="S1284" i="8" s="1"/>
  <c r="L1284" i="8"/>
  <c r="H1284" i="8"/>
  <c r="G1284" i="8"/>
  <c r="AH1283" i="8"/>
  <c r="AG1283" i="8"/>
  <c r="AE1283" i="8"/>
  <c r="Y1283" i="8"/>
  <c r="V1283" i="8"/>
  <c r="Z1283" i="8" s="1"/>
  <c r="X1283" i="8" s="1"/>
  <c r="AB1283" i="8" s="1"/>
  <c r="U1283" i="8"/>
  <c r="T1283" i="8"/>
  <c r="M1283" i="8"/>
  <c r="P1283" i="8" s="1"/>
  <c r="L1283" i="8"/>
  <c r="H1283" i="8"/>
  <c r="R1283" i="8" s="1"/>
  <c r="G1283" i="8"/>
  <c r="AH1282" i="8"/>
  <c r="AG1282" i="8"/>
  <c r="AE1282" i="8"/>
  <c r="AA1282" i="8"/>
  <c r="Y1282" i="8"/>
  <c r="W1282" i="8"/>
  <c r="V1282" i="8"/>
  <c r="Z1282" i="8" s="1"/>
  <c r="U1282" i="8"/>
  <c r="T1282" i="8"/>
  <c r="P1282" i="8"/>
  <c r="N1282" i="8"/>
  <c r="M1282" i="8"/>
  <c r="O1282" i="8" s="1"/>
  <c r="L1282" i="8"/>
  <c r="H1282" i="8"/>
  <c r="R1282" i="8" s="1"/>
  <c r="S1282" i="8" s="1"/>
  <c r="G1282" i="8"/>
  <c r="AH1281" i="8"/>
  <c r="AG1281" i="8"/>
  <c r="AE1281" i="8"/>
  <c r="Y1281" i="8"/>
  <c r="V1281" i="8"/>
  <c r="W1281" i="8" s="1"/>
  <c r="U1281" i="8"/>
  <c r="T1281" i="8"/>
  <c r="R1281" i="8"/>
  <c r="S1281" i="8" s="1"/>
  <c r="O1281" i="8"/>
  <c r="M1281" i="8"/>
  <c r="P1281" i="8" s="1"/>
  <c r="Z1281" i="8" s="1"/>
  <c r="X1281" i="8" s="1"/>
  <c r="AB1281" i="8" s="1"/>
  <c r="L1281" i="8"/>
  <c r="H1281" i="8"/>
  <c r="N1281" i="8" s="1"/>
  <c r="G1281" i="8"/>
  <c r="AH1280" i="8"/>
  <c r="AG1280" i="8"/>
  <c r="AE1280" i="8"/>
  <c r="Y1280" i="8"/>
  <c r="W1280" i="8"/>
  <c r="AA1280" i="8" s="1"/>
  <c r="V1280" i="8"/>
  <c r="U1280" i="8"/>
  <c r="T1280" i="8"/>
  <c r="R1280" i="8"/>
  <c r="P1280" i="8"/>
  <c r="Z1280" i="8" s="1"/>
  <c r="N1280" i="8"/>
  <c r="M1280" i="8"/>
  <c r="O1280" i="8" s="1"/>
  <c r="S1280" i="8" s="1"/>
  <c r="L1280" i="8"/>
  <c r="H1280" i="8"/>
  <c r="G1280" i="8"/>
  <c r="AH1279" i="8"/>
  <c r="AG1279" i="8"/>
  <c r="AE1279" i="8"/>
  <c r="Y1279" i="8"/>
  <c r="V1279" i="8"/>
  <c r="Z1279" i="8" s="1"/>
  <c r="X1279" i="8" s="1"/>
  <c r="AB1279" i="8" s="1"/>
  <c r="U1279" i="8"/>
  <c r="T1279" i="8"/>
  <c r="R1279" i="8"/>
  <c r="S1279" i="8" s="1"/>
  <c r="O1279" i="8"/>
  <c r="M1279" i="8"/>
  <c r="P1279" i="8" s="1"/>
  <c r="L1279" i="8"/>
  <c r="H1279" i="8"/>
  <c r="N1279" i="8" s="1"/>
  <c r="G1279" i="8"/>
  <c r="AH1278" i="8"/>
  <c r="AG1278" i="8"/>
  <c r="AE1278" i="8"/>
  <c r="Y1278" i="8"/>
  <c r="W1278" i="8"/>
  <c r="AA1278" i="8" s="1"/>
  <c r="V1278" i="8"/>
  <c r="U1278" i="8"/>
  <c r="T1278" i="8"/>
  <c r="S1278" i="8"/>
  <c r="R1278" i="8"/>
  <c r="P1278" i="8"/>
  <c r="Z1278" i="8" s="1"/>
  <c r="O1278" i="8"/>
  <c r="N1278" i="8"/>
  <c r="M1278" i="8"/>
  <c r="L1278" i="8"/>
  <c r="H1278" i="8"/>
  <c r="G1278" i="8"/>
  <c r="AH1277" i="8"/>
  <c r="AG1277" i="8"/>
  <c r="AE1277" i="8"/>
  <c r="Y1277" i="8"/>
  <c r="V1277" i="8"/>
  <c r="Z1277" i="8" s="1"/>
  <c r="X1277" i="8" s="1"/>
  <c r="AB1277" i="8" s="1"/>
  <c r="U1277" i="8"/>
  <c r="T1277" i="8"/>
  <c r="M1277" i="8"/>
  <c r="P1277" i="8" s="1"/>
  <c r="L1277" i="8"/>
  <c r="H1277" i="8"/>
  <c r="R1277" i="8" s="1"/>
  <c r="G1277" i="8"/>
  <c r="AH1276" i="8"/>
  <c r="AG1276" i="8"/>
  <c r="AE1276" i="8"/>
  <c r="AA1276" i="8"/>
  <c r="Y1276" i="8"/>
  <c r="W1276" i="8"/>
  <c r="V1276" i="8"/>
  <c r="Z1276" i="8" s="1"/>
  <c r="U1276" i="8"/>
  <c r="T1276" i="8"/>
  <c r="R1276" i="8"/>
  <c r="P1276" i="8"/>
  <c r="N1276" i="8"/>
  <c r="M1276" i="8"/>
  <c r="O1276" i="8" s="1"/>
  <c r="S1276" i="8" s="1"/>
  <c r="L1276" i="8"/>
  <c r="H1276" i="8"/>
  <c r="G1276" i="8"/>
  <c r="AH1275" i="8"/>
  <c r="AG1275" i="8"/>
  <c r="AE1275" i="8"/>
  <c r="Y1275" i="8"/>
  <c r="V1275" i="8"/>
  <c r="Z1275" i="8" s="1"/>
  <c r="X1275" i="8" s="1"/>
  <c r="AB1275" i="8" s="1"/>
  <c r="U1275" i="8"/>
  <c r="T1275" i="8"/>
  <c r="M1275" i="8"/>
  <c r="P1275" i="8" s="1"/>
  <c r="L1275" i="8"/>
  <c r="H1275" i="8"/>
  <c r="R1275" i="8" s="1"/>
  <c r="G1275" i="8"/>
  <c r="AH1274" i="8"/>
  <c r="AG1274" i="8"/>
  <c r="AE1274" i="8"/>
  <c r="AA1274" i="8"/>
  <c r="Y1274" i="8"/>
  <c r="W1274" i="8"/>
  <c r="V1274" i="8"/>
  <c r="Z1274" i="8" s="1"/>
  <c r="U1274" i="8"/>
  <c r="T1274" i="8"/>
  <c r="P1274" i="8"/>
  <c r="N1274" i="8"/>
  <c r="M1274" i="8"/>
  <c r="O1274" i="8" s="1"/>
  <c r="L1274" i="8"/>
  <c r="H1274" i="8"/>
  <c r="R1274" i="8" s="1"/>
  <c r="G1274" i="8"/>
  <c r="AH1273" i="8"/>
  <c r="AG1273" i="8"/>
  <c r="AE1273" i="8"/>
  <c r="Y1273" i="8"/>
  <c r="V1273" i="8"/>
  <c r="W1273" i="8" s="1"/>
  <c r="AA1273" i="8" s="1"/>
  <c r="U1273" i="8"/>
  <c r="T1273" i="8"/>
  <c r="R1273" i="8"/>
  <c r="S1273" i="8" s="1"/>
  <c r="O1273" i="8"/>
  <c r="M1273" i="8"/>
  <c r="P1273" i="8" s="1"/>
  <c r="Z1273" i="8" s="1"/>
  <c r="X1273" i="8" s="1"/>
  <c r="AB1273" i="8" s="1"/>
  <c r="L1273" i="8"/>
  <c r="H1273" i="8"/>
  <c r="N1273" i="8" s="1"/>
  <c r="G1273" i="8"/>
  <c r="AH1272" i="8"/>
  <c r="AG1272" i="8"/>
  <c r="AE1272" i="8"/>
  <c r="Y1272" i="8"/>
  <c r="W1272" i="8"/>
  <c r="AA1272" i="8" s="1"/>
  <c r="V1272" i="8"/>
  <c r="U1272" i="8"/>
  <c r="T1272" i="8"/>
  <c r="R1272" i="8"/>
  <c r="P1272" i="8"/>
  <c r="Z1272" i="8" s="1"/>
  <c r="N1272" i="8"/>
  <c r="M1272" i="8"/>
  <c r="O1272" i="8" s="1"/>
  <c r="S1272" i="8" s="1"/>
  <c r="L1272" i="8"/>
  <c r="H1272" i="8"/>
  <c r="G1272" i="8"/>
  <c r="AH1271" i="8"/>
  <c r="AG1271" i="8"/>
  <c r="AE1271" i="8"/>
  <c r="Y1271" i="8"/>
  <c r="X1271" i="8"/>
  <c r="AB1271" i="8" s="1"/>
  <c r="V1271" i="8"/>
  <c r="Z1271" i="8" s="1"/>
  <c r="U1271" i="8"/>
  <c r="T1271" i="8"/>
  <c r="R1271" i="8"/>
  <c r="S1271" i="8" s="1"/>
  <c r="O1271" i="8"/>
  <c r="M1271" i="8"/>
  <c r="P1271" i="8" s="1"/>
  <c r="L1271" i="8"/>
  <c r="H1271" i="8"/>
  <c r="N1271" i="8" s="1"/>
  <c r="G1271" i="8"/>
  <c r="AH1270" i="8"/>
  <c r="AG1270" i="8"/>
  <c r="AE1270" i="8"/>
  <c r="Y1270" i="8"/>
  <c r="W1270" i="8"/>
  <c r="AA1270" i="8" s="1"/>
  <c r="V1270" i="8"/>
  <c r="U1270" i="8"/>
  <c r="T1270" i="8"/>
  <c r="S1270" i="8"/>
  <c r="R1270" i="8"/>
  <c r="P1270" i="8"/>
  <c r="Z1270" i="8" s="1"/>
  <c r="O1270" i="8"/>
  <c r="N1270" i="8"/>
  <c r="M1270" i="8"/>
  <c r="L1270" i="8"/>
  <c r="H1270" i="8"/>
  <c r="G1270" i="8"/>
  <c r="AH1269" i="8"/>
  <c r="AG1269" i="8"/>
  <c r="AE1269" i="8"/>
  <c r="Y1269" i="8"/>
  <c r="V1269" i="8"/>
  <c r="U1269" i="8"/>
  <c r="T1269" i="8"/>
  <c r="M1269" i="8"/>
  <c r="L1269" i="8"/>
  <c r="H1269" i="8"/>
  <c r="R1269" i="8" s="1"/>
  <c r="G1269" i="8"/>
  <c r="AH1268" i="8"/>
  <c r="AG1268" i="8"/>
  <c r="AE1268" i="8"/>
  <c r="Y1268" i="8"/>
  <c r="X1268" i="8" s="1"/>
  <c r="AB1268" i="8" s="1"/>
  <c r="W1268" i="8"/>
  <c r="AA1268" i="8" s="1"/>
  <c r="V1268" i="8"/>
  <c r="Z1268" i="8" s="1"/>
  <c r="U1268" i="8"/>
  <c r="T1268" i="8"/>
  <c r="R1268" i="8"/>
  <c r="P1268" i="8"/>
  <c r="N1268" i="8"/>
  <c r="M1268" i="8"/>
  <c r="O1268" i="8" s="1"/>
  <c r="S1268" i="8" s="1"/>
  <c r="L1268" i="8"/>
  <c r="H1268" i="8"/>
  <c r="G1268" i="8"/>
  <c r="AH1267" i="8"/>
  <c r="AG1267" i="8"/>
  <c r="AE1267" i="8"/>
  <c r="Y1267" i="8"/>
  <c r="V1267" i="8"/>
  <c r="U1267" i="8"/>
  <c r="T1267" i="8"/>
  <c r="M1267" i="8"/>
  <c r="P1267" i="8" s="1"/>
  <c r="L1267" i="8"/>
  <c r="H1267" i="8"/>
  <c r="G1267" i="8"/>
  <c r="AH1266" i="8"/>
  <c r="AG1266" i="8"/>
  <c r="AE1266" i="8"/>
  <c r="AA1266" i="8"/>
  <c r="Y1266" i="8"/>
  <c r="X1266" i="8" s="1"/>
  <c r="AB1266" i="8" s="1"/>
  <c r="W1266" i="8"/>
  <c r="V1266" i="8"/>
  <c r="Z1266" i="8" s="1"/>
  <c r="U1266" i="8"/>
  <c r="T1266" i="8"/>
  <c r="P1266" i="8"/>
  <c r="N1266" i="8"/>
  <c r="M1266" i="8"/>
  <c r="O1266" i="8" s="1"/>
  <c r="L1266" i="8"/>
  <c r="H1266" i="8"/>
  <c r="R1266" i="8" s="1"/>
  <c r="S1266" i="8" s="1"/>
  <c r="G1266" i="8"/>
  <c r="AH1265" i="8"/>
  <c r="AG1265" i="8"/>
  <c r="AE1265" i="8"/>
  <c r="Y1265" i="8"/>
  <c r="V1265" i="8"/>
  <c r="W1265" i="8" s="1"/>
  <c r="AA1265" i="8" s="1"/>
  <c r="U1265" i="8"/>
  <c r="T1265" i="8"/>
  <c r="R1265" i="8"/>
  <c r="S1265" i="8" s="1"/>
  <c r="O1265" i="8"/>
  <c r="M1265" i="8"/>
  <c r="P1265" i="8" s="1"/>
  <c r="Z1265" i="8" s="1"/>
  <c r="X1265" i="8" s="1"/>
  <c r="AB1265" i="8" s="1"/>
  <c r="L1265" i="8"/>
  <c r="H1265" i="8"/>
  <c r="N1265" i="8" s="1"/>
  <c r="G1265" i="8"/>
  <c r="AH1264" i="8"/>
  <c r="AG1264" i="8"/>
  <c r="AE1264" i="8"/>
  <c r="Y1264" i="8"/>
  <c r="W1264" i="8"/>
  <c r="AA1264" i="8" s="1"/>
  <c r="V1264" i="8"/>
  <c r="U1264" i="8"/>
  <c r="T1264" i="8"/>
  <c r="R1264" i="8"/>
  <c r="P1264" i="8"/>
  <c r="Z1264" i="8" s="1"/>
  <c r="N1264" i="8"/>
  <c r="M1264" i="8"/>
  <c r="O1264" i="8" s="1"/>
  <c r="S1264" i="8" s="1"/>
  <c r="L1264" i="8"/>
  <c r="H1264" i="8"/>
  <c r="G1264" i="8"/>
  <c r="AH1263" i="8"/>
  <c r="AG1263" i="8"/>
  <c r="AE1263" i="8"/>
  <c r="Y1263" i="8"/>
  <c r="V1263" i="8"/>
  <c r="U1263" i="8"/>
  <c r="T1263" i="8"/>
  <c r="R1263" i="8"/>
  <c r="O1263" i="8"/>
  <c r="M1263" i="8"/>
  <c r="P1263" i="8" s="1"/>
  <c r="L1263" i="8"/>
  <c r="H1263" i="8"/>
  <c r="N1263" i="8" s="1"/>
  <c r="G1263" i="8"/>
  <c r="AH1262" i="8"/>
  <c r="AG1262" i="8"/>
  <c r="AE1262" i="8"/>
  <c r="Y1262" i="8"/>
  <c r="W1262" i="8"/>
  <c r="AA1262" i="8" s="1"/>
  <c r="V1262" i="8"/>
  <c r="U1262" i="8"/>
  <c r="T1262" i="8"/>
  <c r="S1262" i="8"/>
  <c r="R1262" i="8"/>
  <c r="P1262" i="8"/>
  <c r="Z1262" i="8" s="1"/>
  <c r="O1262" i="8"/>
  <c r="N1262" i="8"/>
  <c r="M1262" i="8"/>
  <c r="L1262" i="8"/>
  <c r="H1262" i="8"/>
  <c r="G1262" i="8"/>
  <c r="AH1261" i="8"/>
  <c r="AG1261" i="8"/>
  <c r="AE1261" i="8"/>
  <c r="Y1261" i="8"/>
  <c r="V1261" i="8"/>
  <c r="U1261" i="8"/>
  <c r="T1261" i="8"/>
  <c r="M1261" i="8"/>
  <c r="P1261" i="8" s="1"/>
  <c r="L1261" i="8"/>
  <c r="H1261" i="8"/>
  <c r="O1261" i="8" s="1"/>
  <c r="G1261" i="8"/>
  <c r="AH1260" i="8"/>
  <c r="AG1260" i="8"/>
  <c r="AE1260" i="8"/>
  <c r="Y1260" i="8"/>
  <c r="X1260" i="8" s="1"/>
  <c r="AB1260" i="8" s="1"/>
  <c r="W1260" i="8"/>
  <c r="AA1260" i="8" s="1"/>
  <c r="V1260" i="8"/>
  <c r="Z1260" i="8" s="1"/>
  <c r="U1260" i="8"/>
  <c r="T1260" i="8"/>
  <c r="S1260" i="8"/>
  <c r="R1260" i="8"/>
  <c r="P1260" i="8"/>
  <c r="N1260" i="8"/>
  <c r="M1260" i="8"/>
  <c r="O1260" i="8" s="1"/>
  <c r="L1260" i="8"/>
  <c r="H1260" i="8"/>
  <c r="G1260" i="8"/>
  <c r="AH1259" i="8"/>
  <c r="AG1259" i="8"/>
  <c r="AE1259" i="8"/>
  <c r="Y1259" i="8"/>
  <c r="V1259" i="8"/>
  <c r="W1259" i="8" s="1"/>
  <c r="AA1259" i="8" s="1"/>
  <c r="U1259" i="8"/>
  <c r="T1259" i="8"/>
  <c r="M1259" i="8"/>
  <c r="P1259" i="8" s="1"/>
  <c r="L1259" i="8"/>
  <c r="H1259" i="8"/>
  <c r="N1259" i="8" s="1"/>
  <c r="G1259" i="8"/>
  <c r="AH1258" i="8"/>
  <c r="AG1258" i="8"/>
  <c r="AE1258" i="8"/>
  <c r="Y1258" i="8"/>
  <c r="W1258" i="8"/>
  <c r="AA1258" i="8" s="1"/>
  <c r="V1258" i="8"/>
  <c r="Z1258" i="8" s="1"/>
  <c r="U1258" i="8"/>
  <c r="T1258" i="8"/>
  <c r="P1258" i="8"/>
  <c r="N1258" i="8"/>
  <c r="M1258" i="8"/>
  <c r="O1258" i="8" s="1"/>
  <c r="L1258" i="8"/>
  <c r="H1258" i="8"/>
  <c r="R1258" i="8" s="1"/>
  <c r="S1258" i="8" s="1"/>
  <c r="G1258" i="8"/>
  <c r="AH1257" i="8"/>
  <c r="AG1257" i="8"/>
  <c r="AE1257" i="8"/>
  <c r="Y1257" i="8"/>
  <c r="V1257" i="8"/>
  <c r="W1257" i="8" s="1"/>
  <c r="U1257" i="8"/>
  <c r="T1257" i="8"/>
  <c r="M1257" i="8"/>
  <c r="P1257" i="8" s="1"/>
  <c r="Z1257" i="8" s="1"/>
  <c r="X1257" i="8" s="1"/>
  <c r="AB1257" i="8" s="1"/>
  <c r="L1257" i="8"/>
  <c r="H1257" i="8"/>
  <c r="N1257" i="8" s="1"/>
  <c r="G1257" i="8"/>
  <c r="AH1256" i="8"/>
  <c r="AG1256" i="8"/>
  <c r="AE1256" i="8"/>
  <c r="Y1256" i="8"/>
  <c r="W1256" i="8"/>
  <c r="V1256" i="8"/>
  <c r="U1256" i="8"/>
  <c r="T1256" i="8"/>
  <c r="R1256" i="8"/>
  <c r="P1256" i="8"/>
  <c r="Z1256" i="8" s="1"/>
  <c r="N1256" i="8"/>
  <c r="M1256" i="8"/>
  <c r="O1256" i="8" s="1"/>
  <c r="S1256" i="8" s="1"/>
  <c r="L1256" i="8"/>
  <c r="H1256" i="8"/>
  <c r="G1256" i="8"/>
  <c r="AH1255" i="8"/>
  <c r="AG1255" i="8"/>
  <c r="AE1255" i="8"/>
  <c r="Y1255" i="8"/>
  <c r="V1255" i="8"/>
  <c r="W1255" i="8" s="1"/>
  <c r="AA1255" i="8" s="1"/>
  <c r="U1255" i="8"/>
  <c r="T1255" i="8"/>
  <c r="R1255" i="8"/>
  <c r="M1255" i="8"/>
  <c r="P1255" i="8" s="1"/>
  <c r="L1255" i="8"/>
  <c r="H1255" i="8"/>
  <c r="O1255" i="8" s="1"/>
  <c r="G1255" i="8"/>
  <c r="AH1254" i="8"/>
  <c r="AG1254" i="8"/>
  <c r="AE1254" i="8"/>
  <c r="Y1254" i="8"/>
  <c r="V1254" i="8"/>
  <c r="Z1254" i="8" s="1"/>
  <c r="X1254" i="8" s="1"/>
  <c r="AB1254" i="8" s="1"/>
  <c r="U1254" i="8"/>
  <c r="T1254" i="8"/>
  <c r="M1254" i="8"/>
  <c r="P1254" i="8" s="1"/>
  <c r="L1254" i="8"/>
  <c r="H1254" i="8"/>
  <c r="R1254" i="8" s="1"/>
  <c r="G1254" i="8"/>
  <c r="AH1253" i="8"/>
  <c r="AG1253" i="8"/>
  <c r="AE1253" i="8"/>
  <c r="Y1253" i="8"/>
  <c r="V1253" i="8"/>
  <c r="Z1253" i="8" s="1"/>
  <c r="X1253" i="8" s="1"/>
  <c r="AB1253" i="8" s="1"/>
  <c r="U1253" i="8"/>
  <c r="T1253" i="8"/>
  <c r="R1253" i="8"/>
  <c r="M1253" i="8"/>
  <c r="P1253" i="8" s="1"/>
  <c r="L1253" i="8"/>
  <c r="N1253" i="8" s="1"/>
  <c r="H1253" i="8"/>
  <c r="G1253" i="8"/>
  <c r="AH1252" i="8"/>
  <c r="AG1252" i="8"/>
  <c r="AE1252" i="8"/>
  <c r="Y1252" i="8"/>
  <c r="X1252" i="8" s="1"/>
  <c r="AB1252" i="8" s="1"/>
  <c r="V1252" i="8"/>
  <c r="Z1252" i="8" s="1"/>
  <c r="U1252" i="8"/>
  <c r="T1252" i="8"/>
  <c r="P1252" i="8"/>
  <c r="M1252" i="8"/>
  <c r="L1252" i="8"/>
  <c r="H1252" i="8"/>
  <c r="R1252" i="8" s="1"/>
  <c r="G1252" i="8"/>
  <c r="AH1251" i="8"/>
  <c r="AG1251" i="8"/>
  <c r="AE1251" i="8"/>
  <c r="Y1251" i="8"/>
  <c r="V1251" i="8"/>
  <c r="U1251" i="8"/>
  <c r="T1251" i="8"/>
  <c r="M1251" i="8"/>
  <c r="P1251" i="8" s="1"/>
  <c r="L1251" i="8"/>
  <c r="H1251" i="8"/>
  <c r="O1251" i="8" s="1"/>
  <c r="G1251" i="8"/>
  <c r="AH1250" i="8"/>
  <c r="AG1250" i="8"/>
  <c r="AE1250" i="8"/>
  <c r="Y1250" i="8"/>
  <c r="X1250" i="8" s="1"/>
  <c r="AB1250" i="8" s="1"/>
  <c r="V1250" i="8"/>
  <c r="U1250" i="8"/>
  <c r="T1250" i="8"/>
  <c r="O1250" i="8"/>
  <c r="M1250" i="8"/>
  <c r="P1250" i="8" s="1"/>
  <c r="Z1250" i="8" s="1"/>
  <c r="L1250" i="8"/>
  <c r="N1250" i="8" s="1"/>
  <c r="H1250" i="8"/>
  <c r="R1250" i="8" s="1"/>
  <c r="S1250" i="8" s="1"/>
  <c r="G1250" i="8"/>
  <c r="AH1249" i="8"/>
  <c r="AG1249" i="8"/>
  <c r="AE1249" i="8"/>
  <c r="Y1249" i="8"/>
  <c r="V1249" i="8"/>
  <c r="Z1249" i="8" s="1"/>
  <c r="X1249" i="8" s="1"/>
  <c r="AB1249" i="8" s="1"/>
  <c r="U1249" i="8"/>
  <c r="T1249" i="8"/>
  <c r="R1249" i="8"/>
  <c r="P1249" i="8"/>
  <c r="M1249" i="8"/>
  <c r="L1249" i="8"/>
  <c r="N1249" i="8" s="1"/>
  <c r="H1249" i="8"/>
  <c r="O1249" i="8" s="1"/>
  <c r="G1249" i="8"/>
  <c r="AH1248" i="8"/>
  <c r="AG1248" i="8"/>
  <c r="AE1248" i="8"/>
  <c r="Y1248" i="8"/>
  <c r="V1248" i="8"/>
  <c r="Z1248" i="8" s="1"/>
  <c r="X1248" i="8" s="1"/>
  <c r="AB1248" i="8" s="1"/>
  <c r="U1248" i="8"/>
  <c r="T1248" i="8"/>
  <c r="P1248" i="8"/>
  <c r="M1248" i="8"/>
  <c r="L1248" i="8"/>
  <c r="N1248" i="8" s="1"/>
  <c r="H1248" i="8"/>
  <c r="O1248" i="8" s="1"/>
  <c r="G1248" i="8"/>
  <c r="AH1247" i="8"/>
  <c r="AG1247" i="8"/>
  <c r="AE1247" i="8"/>
  <c r="Y1247" i="8"/>
  <c r="V1247" i="8"/>
  <c r="U1247" i="8"/>
  <c r="W1247" i="8" s="1"/>
  <c r="T1247" i="8"/>
  <c r="R1247" i="8"/>
  <c r="P1247" i="8"/>
  <c r="Z1247" i="8" s="1"/>
  <c r="X1247" i="8" s="1"/>
  <c r="AB1247" i="8" s="1"/>
  <c r="O1247" i="8"/>
  <c r="M1247" i="8"/>
  <c r="L1247" i="8"/>
  <c r="N1247" i="8" s="1"/>
  <c r="H1247" i="8"/>
  <c r="G1247" i="8"/>
  <c r="AH1246" i="8"/>
  <c r="AG1246" i="8"/>
  <c r="AE1246" i="8"/>
  <c r="Y1246" i="8"/>
  <c r="V1246" i="8"/>
  <c r="Z1246" i="8" s="1"/>
  <c r="U1246" i="8"/>
  <c r="W1246" i="8" s="1"/>
  <c r="T1246" i="8"/>
  <c r="M1246" i="8"/>
  <c r="P1246" i="8" s="1"/>
  <c r="L1246" i="8"/>
  <c r="H1246" i="8"/>
  <c r="R1246" i="8" s="1"/>
  <c r="G1246" i="8"/>
  <c r="AH1245" i="8"/>
  <c r="AG1245" i="8"/>
  <c r="AE1245" i="8"/>
  <c r="Y1245" i="8"/>
  <c r="V1245" i="8"/>
  <c r="Z1245" i="8" s="1"/>
  <c r="X1245" i="8" s="1"/>
  <c r="AB1245" i="8" s="1"/>
  <c r="U1245" i="8"/>
  <c r="T1245" i="8"/>
  <c r="R1245" i="8"/>
  <c r="M1245" i="8"/>
  <c r="P1245" i="8" s="1"/>
  <c r="L1245" i="8"/>
  <c r="N1245" i="8" s="1"/>
  <c r="H1245" i="8"/>
  <c r="G1245" i="8"/>
  <c r="AH1244" i="8"/>
  <c r="AG1244" i="8"/>
  <c r="AE1244" i="8"/>
  <c r="Y1244" i="8"/>
  <c r="V1244" i="8"/>
  <c r="Z1244" i="8" s="1"/>
  <c r="U1244" i="8"/>
  <c r="T1244" i="8"/>
  <c r="P1244" i="8"/>
  <c r="M1244" i="8"/>
  <c r="L1244" i="8"/>
  <c r="H1244" i="8"/>
  <c r="R1244" i="8" s="1"/>
  <c r="G1244" i="8"/>
  <c r="AH1243" i="8"/>
  <c r="AG1243" i="8"/>
  <c r="AE1243" i="8"/>
  <c r="Y1243" i="8"/>
  <c r="V1243" i="8"/>
  <c r="Z1243" i="8" s="1"/>
  <c r="X1243" i="8" s="1"/>
  <c r="AB1243" i="8" s="1"/>
  <c r="U1243" i="8"/>
  <c r="T1243" i="8"/>
  <c r="M1243" i="8"/>
  <c r="P1243" i="8" s="1"/>
  <c r="L1243" i="8"/>
  <c r="H1243" i="8"/>
  <c r="O1243" i="8" s="1"/>
  <c r="G1243" i="8"/>
  <c r="AH1242" i="8"/>
  <c r="AG1242" i="8"/>
  <c r="AE1242" i="8"/>
  <c r="Y1242" i="8"/>
  <c r="X1242" i="8" s="1"/>
  <c r="AB1242" i="8" s="1"/>
  <c r="V1242" i="8"/>
  <c r="U1242" i="8"/>
  <c r="T1242" i="8"/>
  <c r="O1242" i="8"/>
  <c r="M1242" i="8"/>
  <c r="P1242" i="8" s="1"/>
  <c r="Z1242" i="8" s="1"/>
  <c r="L1242" i="8"/>
  <c r="N1242" i="8" s="1"/>
  <c r="H1242" i="8"/>
  <c r="R1242" i="8" s="1"/>
  <c r="S1242" i="8" s="1"/>
  <c r="G1242" i="8"/>
  <c r="AH1241" i="8"/>
  <c r="AG1241" i="8"/>
  <c r="AE1241" i="8"/>
  <c r="Y1241" i="8"/>
  <c r="V1241" i="8"/>
  <c r="Z1241" i="8" s="1"/>
  <c r="X1241" i="8" s="1"/>
  <c r="AB1241" i="8" s="1"/>
  <c r="U1241" i="8"/>
  <c r="T1241" i="8"/>
  <c r="R1241" i="8"/>
  <c r="P1241" i="8"/>
  <c r="M1241" i="8"/>
  <c r="L1241" i="8"/>
  <c r="N1241" i="8" s="1"/>
  <c r="H1241" i="8"/>
  <c r="O1241" i="8" s="1"/>
  <c r="G1241" i="8"/>
  <c r="AH1240" i="8"/>
  <c r="AG1240" i="8"/>
  <c r="AE1240" i="8"/>
  <c r="Y1240" i="8"/>
  <c r="V1240" i="8"/>
  <c r="Z1240" i="8" s="1"/>
  <c r="X1240" i="8" s="1"/>
  <c r="AB1240" i="8" s="1"/>
  <c r="U1240" i="8"/>
  <c r="T1240" i="8"/>
  <c r="P1240" i="8"/>
  <c r="M1240" i="8"/>
  <c r="L1240" i="8"/>
  <c r="N1240" i="8" s="1"/>
  <c r="H1240" i="8"/>
  <c r="O1240" i="8" s="1"/>
  <c r="G1240" i="8"/>
  <c r="AH1239" i="8"/>
  <c r="AG1239" i="8"/>
  <c r="AE1239" i="8"/>
  <c r="Y1239" i="8"/>
  <c r="V1239" i="8"/>
  <c r="U1239" i="8"/>
  <c r="W1239" i="8" s="1"/>
  <c r="T1239" i="8"/>
  <c r="R1239" i="8"/>
  <c r="P1239" i="8"/>
  <c r="Z1239" i="8" s="1"/>
  <c r="O1239" i="8"/>
  <c r="M1239" i="8"/>
  <c r="L1239" i="8"/>
  <c r="N1239" i="8" s="1"/>
  <c r="H1239" i="8"/>
  <c r="G1239" i="8"/>
  <c r="AH1238" i="8"/>
  <c r="AG1238" i="8"/>
  <c r="AE1238" i="8"/>
  <c r="Y1238" i="8"/>
  <c r="V1238" i="8"/>
  <c r="U1238" i="8"/>
  <c r="W1238" i="8" s="1"/>
  <c r="T1238" i="8"/>
  <c r="M1238" i="8"/>
  <c r="P1238" i="8" s="1"/>
  <c r="L1238" i="8"/>
  <c r="H1238" i="8"/>
  <c r="R1238" i="8" s="1"/>
  <c r="G1238" i="8"/>
  <c r="AH1237" i="8"/>
  <c r="AG1237" i="8"/>
  <c r="AE1237" i="8"/>
  <c r="Y1237" i="8"/>
  <c r="V1237" i="8"/>
  <c r="Z1237" i="8" s="1"/>
  <c r="X1237" i="8" s="1"/>
  <c r="AB1237" i="8" s="1"/>
  <c r="U1237" i="8"/>
  <c r="T1237" i="8"/>
  <c r="R1237" i="8"/>
  <c r="M1237" i="8"/>
  <c r="P1237" i="8" s="1"/>
  <c r="L1237" i="8"/>
  <c r="N1237" i="8" s="1"/>
  <c r="H1237" i="8"/>
  <c r="G1237" i="8"/>
  <c r="AH1236" i="8"/>
  <c r="AG1236" i="8"/>
  <c r="AE1236" i="8"/>
  <c r="Y1236" i="8"/>
  <c r="V1236" i="8"/>
  <c r="Z1236" i="8" s="1"/>
  <c r="X1236" i="8" s="1"/>
  <c r="AB1236" i="8" s="1"/>
  <c r="U1236" i="8"/>
  <c r="T1236" i="8"/>
  <c r="P1236" i="8"/>
  <c r="M1236" i="8"/>
  <c r="L1236" i="8"/>
  <c r="H1236" i="8"/>
  <c r="R1236" i="8" s="1"/>
  <c r="G1236" i="8"/>
  <c r="AH1235" i="8"/>
  <c r="AG1235" i="8"/>
  <c r="AE1235" i="8"/>
  <c r="Y1235" i="8"/>
  <c r="V1235" i="8"/>
  <c r="Z1235" i="8" s="1"/>
  <c r="X1235" i="8" s="1"/>
  <c r="AB1235" i="8" s="1"/>
  <c r="U1235" i="8"/>
  <c r="T1235" i="8"/>
  <c r="M1235" i="8"/>
  <c r="P1235" i="8" s="1"/>
  <c r="L1235" i="8"/>
  <c r="H1235" i="8"/>
  <c r="O1235" i="8" s="1"/>
  <c r="G1235" i="8"/>
  <c r="AH1234" i="8"/>
  <c r="AG1234" i="8"/>
  <c r="AE1234" i="8"/>
  <c r="Y1234" i="8"/>
  <c r="V1234" i="8"/>
  <c r="U1234" i="8"/>
  <c r="T1234" i="8"/>
  <c r="O1234" i="8"/>
  <c r="M1234" i="8"/>
  <c r="P1234" i="8" s="1"/>
  <c r="Z1234" i="8" s="1"/>
  <c r="L1234" i="8"/>
  <c r="N1234" i="8" s="1"/>
  <c r="H1234" i="8"/>
  <c r="R1234" i="8" s="1"/>
  <c r="S1234" i="8" s="1"/>
  <c r="G1234" i="8"/>
  <c r="AH1233" i="8"/>
  <c r="AG1233" i="8"/>
  <c r="AE1233" i="8"/>
  <c r="Y1233" i="8"/>
  <c r="V1233" i="8"/>
  <c r="W1233" i="8" s="1"/>
  <c r="AA1233" i="8" s="1"/>
  <c r="U1233" i="8"/>
  <c r="T1233" i="8"/>
  <c r="R1233" i="8"/>
  <c r="P1233" i="8"/>
  <c r="M1233" i="8"/>
  <c r="L1233" i="8"/>
  <c r="H1233" i="8"/>
  <c r="N1233" i="8" s="1"/>
  <c r="G1233" i="8"/>
  <c r="AH1232" i="8"/>
  <c r="AG1232" i="8"/>
  <c r="AE1232" i="8"/>
  <c r="Y1232" i="8"/>
  <c r="V1232" i="8"/>
  <c r="W1232" i="8" s="1"/>
  <c r="AA1232" i="8" s="1"/>
  <c r="U1232" i="8"/>
  <c r="T1232" i="8"/>
  <c r="P1232" i="8"/>
  <c r="M1232" i="8"/>
  <c r="L1232" i="8"/>
  <c r="H1232" i="8"/>
  <c r="N1232" i="8" s="1"/>
  <c r="G1232" i="8"/>
  <c r="AH1231" i="8"/>
  <c r="AG1231" i="8"/>
  <c r="AE1231" i="8"/>
  <c r="Z1231" i="8"/>
  <c r="Y1231" i="8"/>
  <c r="X1231" i="8" s="1"/>
  <c r="AB1231" i="8" s="1"/>
  <c r="V1231" i="8"/>
  <c r="W1231" i="8" s="1"/>
  <c r="U1231" i="8"/>
  <c r="T1231" i="8"/>
  <c r="R1231" i="8"/>
  <c r="P1231" i="8"/>
  <c r="O1231" i="8"/>
  <c r="M1231" i="8"/>
  <c r="L1231" i="8"/>
  <c r="H1231" i="8"/>
  <c r="N1231" i="8" s="1"/>
  <c r="G1231" i="8"/>
  <c r="AH1230" i="8"/>
  <c r="AG1230" i="8"/>
  <c r="AE1230" i="8"/>
  <c r="Y1230" i="8"/>
  <c r="V1230" i="8"/>
  <c r="W1230" i="8" s="1"/>
  <c r="U1230" i="8"/>
  <c r="T1230" i="8"/>
  <c r="M1230" i="8"/>
  <c r="P1230" i="8" s="1"/>
  <c r="L1230" i="8"/>
  <c r="H1230" i="8"/>
  <c r="N1230" i="8" s="1"/>
  <c r="G1230" i="8"/>
  <c r="AH1229" i="8"/>
  <c r="AG1229" i="8"/>
  <c r="AE1229" i="8"/>
  <c r="Y1229" i="8"/>
  <c r="V1229" i="8"/>
  <c r="W1229" i="8" s="1"/>
  <c r="U1229" i="8"/>
  <c r="T1229" i="8"/>
  <c r="R1229" i="8"/>
  <c r="M1229" i="8"/>
  <c r="P1229" i="8" s="1"/>
  <c r="L1229" i="8"/>
  <c r="H1229" i="8"/>
  <c r="N1229" i="8" s="1"/>
  <c r="G1229" i="8"/>
  <c r="AH1228" i="8"/>
  <c r="AG1228" i="8"/>
  <c r="AE1228" i="8"/>
  <c r="Y1228" i="8"/>
  <c r="V1228" i="8"/>
  <c r="W1228" i="8" s="1"/>
  <c r="AA1228" i="8" s="1"/>
  <c r="U1228" i="8"/>
  <c r="T1228" i="8"/>
  <c r="P1228" i="8"/>
  <c r="M1228" i="8"/>
  <c r="L1228" i="8"/>
  <c r="H1228" i="8"/>
  <c r="N1228" i="8" s="1"/>
  <c r="G1228" i="8"/>
  <c r="AH1227" i="8"/>
  <c r="AG1227" i="8"/>
  <c r="AE1227" i="8"/>
  <c r="Y1227" i="8"/>
  <c r="V1227" i="8"/>
  <c r="W1227" i="8" s="1"/>
  <c r="U1227" i="8"/>
  <c r="T1227" i="8"/>
  <c r="M1227" i="8"/>
  <c r="P1227" i="8" s="1"/>
  <c r="L1227" i="8"/>
  <c r="H1227" i="8"/>
  <c r="N1227" i="8" s="1"/>
  <c r="G1227" i="8"/>
  <c r="AH1226" i="8"/>
  <c r="AG1226" i="8"/>
  <c r="AE1226" i="8"/>
  <c r="Y1226" i="8"/>
  <c r="V1226" i="8"/>
  <c r="W1226" i="8" s="1"/>
  <c r="U1226" i="8"/>
  <c r="T1226" i="8"/>
  <c r="O1226" i="8"/>
  <c r="M1226" i="8"/>
  <c r="P1226" i="8" s="1"/>
  <c r="Z1226" i="8" s="1"/>
  <c r="L1226" i="8"/>
  <c r="H1226" i="8"/>
  <c r="N1226" i="8" s="1"/>
  <c r="G1226" i="8"/>
  <c r="AH1225" i="8"/>
  <c r="AG1225" i="8"/>
  <c r="AE1225" i="8"/>
  <c r="Y1225" i="8"/>
  <c r="V1225" i="8"/>
  <c r="W1225" i="8" s="1"/>
  <c r="AA1225" i="8" s="1"/>
  <c r="U1225" i="8"/>
  <c r="T1225" i="8"/>
  <c r="R1225" i="8"/>
  <c r="P1225" i="8"/>
  <c r="M1225" i="8"/>
  <c r="L1225" i="8"/>
  <c r="H1225" i="8"/>
  <c r="N1225" i="8" s="1"/>
  <c r="G1225" i="8"/>
  <c r="AH1224" i="8"/>
  <c r="AG1224" i="8"/>
  <c r="AE1224" i="8"/>
  <c r="Y1224" i="8"/>
  <c r="V1224" i="8"/>
  <c r="W1224" i="8" s="1"/>
  <c r="AA1224" i="8" s="1"/>
  <c r="U1224" i="8"/>
  <c r="T1224" i="8"/>
  <c r="P1224" i="8"/>
  <c r="M1224" i="8"/>
  <c r="L1224" i="8"/>
  <c r="H1224" i="8"/>
  <c r="N1224" i="8" s="1"/>
  <c r="G1224" i="8"/>
  <c r="AH1223" i="8"/>
  <c r="AG1223" i="8"/>
  <c r="AE1223" i="8"/>
  <c r="Z1223" i="8"/>
  <c r="Y1223" i="8"/>
  <c r="X1223" i="8" s="1"/>
  <c r="AB1223" i="8" s="1"/>
  <c r="V1223" i="8"/>
  <c r="W1223" i="8" s="1"/>
  <c r="U1223" i="8"/>
  <c r="T1223" i="8"/>
  <c r="R1223" i="8"/>
  <c r="P1223" i="8"/>
  <c r="O1223" i="8"/>
  <c r="M1223" i="8"/>
  <c r="L1223" i="8"/>
  <c r="H1223" i="8"/>
  <c r="N1223" i="8" s="1"/>
  <c r="G1223" i="8"/>
  <c r="AH1222" i="8"/>
  <c r="AG1222" i="8"/>
  <c r="AE1222" i="8"/>
  <c r="Y1222" i="8"/>
  <c r="V1222" i="8"/>
  <c r="W1222" i="8" s="1"/>
  <c r="U1222" i="8"/>
  <c r="T1222" i="8"/>
  <c r="M1222" i="8"/>
  <c r="P1222" i="8" s="1"/>
  <c r="L1222" i="8"/>
  <c r="H1222" i="8"/>
  <c r="N1222" i="8" s="1"/>
  <c r="G1222" i="8"/>
  <c r="AH1221" i="8"/>
  <c r="AG1221" i="8"/>
  <c r="AE1221" i="8"/>
  <c r="Y1221" i="8"/>
  <c r="V1221" i="8"/>
  <c r="W1221" i="8" s="1"/>
  <c r="U1221" i="8"/>
  <c r="T1221" i="8"/>
  <c r="R1221" i="8"/>
  <c r="M1221" i="8"/>
  <c r="P1221" i="8" s="1"/>
  <c r="L1221" i="8"/>
  <c r="H1221" i="8"/>
  <c r="N1221" i="8" s="1"/>
  <c r="G1221" i="8"/>
  <c r="AH1220" i="8"/>
  <c r="AG1220" i="8"/>
  <c r="AE1220" i="8"/>
  <c r="Y1220" i="8"/>
  <c r="V1220" i="8"/>
  <c r="W1220" i="8" s="1"/>
  <c r="AA1220" i="8" s="1"/>
  <c r="U1220" i="8"/>
  <c r="T1220" i="8"/>
  <c r="P1220" i="8"/>
  <c r="M1220" i="8"/>
  <c r="L1220" i="8"/>
  <c r="H1220" i="8"/>
  <c r="N1220" i="8" s="1"/>
  <c r="G1220" i="8"/>
  <c r="AH1219" i="8"/>
  <c r="AG1219" i="8"/>
  <c r="AE1219" i="8"/>
  <c r="Y1219" i="8"/>
  <c r="V1219" i="8"/>
  <c r="W1219" i="8" s="1"/>
  <c r="U1219" i="8"/>
  <c r="T1219" i="8"/>
  <c r="M1219" i="8"/>
  <c r="P1219" i="8" s="1"/>
  <c r="Z1219" i="8" s="1"/>
  <c r="X1219" i="8" s="1"/>
  <c r="AB1219" i="8" s="1"/>
  <c r="L1219" i="8"/>
  <c r="H1219" i="8"/>
  <c r="N1219" i="8" s="1"/>
  <c r="G1219" i="8"/>
  <c r="AH1218" i="8"/>
  <c r="AG1218" i="8"/>
  <c r="AE1218" i="8"/>
  <c r="Y1218" i="8"/>
  <c r="V1218" i="8"/>
  <c r="W1218" i="8" s="1"/>
  <c r="U1218" i="8"/>
  <c r="T1218" i="8"/>
  <c r="R1218" i="8"/>
  <c r="O1218" i="8"/>
  <c r="N1218" i="8"/>
  <c r="M1218" i="8"/>
  <c r="P1218" i="8" s="1"/>
  <c r="Z1218" i="8" s="1"/>
  <c r="L1218" i="8"/>
  <c r="H1218" i="8"/>
  <c r="G1218" i="8"/>
  <c r="AH1217" i="8"/>
  <c r="AG1217" i="8"/>
  <c r="AE1217" i="8"/>
  <c r="Y1217" i="8"/>
  <c r="V1217" i="8"/>
  <c r="W1217" i="8" s="1"/>
  <c r="U1217" i="8"/>
  <c r="T1217" i="8"/>
  <c r="O1217" i="8"/>
  <c r="M1217" i="8"/>
  <c r="P1217" i="8" s="1"/>
  <c r="L1217" i="8"/>
  <c r="H1217" i="8"/>
  <c r="N1217" i="8" s="1"/>
  <c r="G1217" i="8"/>
  <c r="AH1216" i="8"/>
  <c r="AG1216" i="8"/>
  <c r="AE1216" i="8"/>
  <c r="Y1216" i="8"/>
  <c r="X1216" i="8" s="1"/>
  <c r="AB1216" i="8" s="1"/>
  <c r="V1216" i="8"/>
  <c r="Z1216" i="8" s="1"/>
  <c r="U1216" i="8"/>
  <c r="T1216" i="8"/>
  <c r="R1216" i="8"/>
  <c r="M1216" i="8"/>
  <c r="P1216" i="8" s="1"/>
  <c r="L1216" i="8"/>
  <c r="H1216" i="8"/>
  <c r="N1216" i="8" s="1"/>
  <c r="G1216" i="8"/>
  <c r="AH1215" i="8"/>
  <c r="AG1215" i="8"/>
  <c r="AE1215" i="8"/>
  <c r="Y1215" i="8"/>
  <c r="W1215" i="8"/>
  <c r="V1215" i="8"/>
  <c r="U1215" i="8"/>
  <c r="T1215" i="8"/>
  <c r="R1215" i="8"/>
  <c r="S1215" i="8" s="1"/>
  <c r="P1215" i="8"/>
  <c r="AA1215" i="8" s="1"/>
  <c r="O1215" i="8"/>
  <c r="M1215" i="8"/>
  <c r="L1215" i="8"/>
  <c r="H1215" i="8"/>
  <c r="N1215" i="8" s="1"/>
  <c r="G1215" i="8"/>
  <c r="AH1214" i="8"/>
  <c r="AG1214" i="8"/>
  <c r="AE1214" i="8"/>
  <c r="Y1214" i="8"/>
  <c r="W1214" i="8"/>
  <c r="AA1214" i="8" s="1"/>
  <c r="V1214" i="8"/>
  <c r="U1214" i="8"/>
  <c r="T1214" i="8"/>
  <c r="P1214" i="8"/>
  <c r="Z1214" i="8" s="1"/>
  <c r="X1214" i="8" s="1"/>
  <c r="AB1214" i="8" s="1"/>
  <c r="O1214" i="8"/>
  <c r="M1214" i="8"/>
  <c r="L1214" i="8"/>
  <c r="H1214" i="8"/>
  <c r="R1214" i="8" s="1"/>
  <c r="S1214" i="8" s="1"/>
  <c r="G1214" i="8"/>
  <c r="AH1213" i="8"/>
  <c r="AG1213" i="8"/>
  <c r="AE1213" i="8"/>
  <c r="Y1213" i="8"/>
  <c r="W1213" i="8"/>
  <c r="AA1213" i="8" s="1"/>
  <c r="V1213" i="8"/>
  <c r="Z1213" i="8" s="1"/>
  <c r="X1213" i="8" s="1"/>
  <c r="AB1213" i="8" s="1"/>
  <c r="U1213" i="8"/>
  <c r="T1213" i="8"/>
  <c r="R1213" i="8"/>
  <c r="P1213" i="8"/>
  <c r="O1213" i="8"/>
  <c r="S1213" i="8" s="1"/>
  <c r="N1213" i="8"/>
  <c r="M1213" i="8"/>
  <c r="L1213" i="8"/>
  <c r="H1213" i="8"/>
  <c r="G1213" i="8"/>
  <c r="AH1212" i="8"/>
  <c r="AG1212" i="8"/>
  <c r="AE1212" i="8"/>
  <c r="Y1212" i="8"/>
  <c r="V1212" i="8"/>
  <c r="U1212" i="8"/>
  <c r="T1212" i="8"/>
  <c r="R1212" i="8"/>
  <c r="N1212" i="8"/>
  <c r="M1212" i="8"/>
  <c r="P1212" i="8" s="1"/>
  <c r="L1212" i="8"/>
  <c r="H1212" i="8"/>
  <c r="G1212" i="8"/>
  <c r="AH1211" i="8"/>
  <c r="AG1211" i="8"/>
  <c r="AE1211" i="8"/>
  <c r="Y1211" i="8"/>
  <c r="V1211" i="8"/>
  <c r="W1211" i="8" s="1"/>
  <c r="U1211" i="8"/>
  <c r="T1211" i="8"/>
  <c r="N1211" i="8"/>
  <c r="M1211" i="8"/>
  <c r="L1211" i="8"/>
  <c r="H1211" i="8"/>
  <c r="R1211" i="8" s="1"/>
  <c r="G1211" i="8"/>
  <c r="AH1210" i="8"/>
  <c r="AG1210" i="8"/>
  <c r="AE1210" i="8"/>
  <c r="Y1210" i="8"/>
  <c r="V1210" i="8"/>
  <c r="W1210" i="8" s="1"/>
  <c r="U1210" i="8"/>
  <c r="T1210" i="8"/>
  <c r="O1210" i="8"/>
  <c r="M1210" i="8"/>
  <c r="P1210" i="8" s="1"/>
  <c r="L1210" i="8"/>
  <c r="H1210" i="8"/>
  <c r="G1210" i="8"/>
  <c r="AH1209" i="8"/>
  <c r="AG1209" i="8"/>
  <c r="AE1209" i="8"/>
  <c r="Y1209" i="8"/>
  <c r="W1209" i="8"/>
  <c r="AA1209" i="8" s="1"/>
  <c r="V1209" i="8"/>
  <c r="Z1209" i="8" s="1"/>
  <c r="X1209" i="8" s="1"/>
  <c r="AB1209" i="8" s="1"/>
  <c r="U1209" i="8"/>
  <c r="T1209" i="8"/>
  <c r="M1209" i="8"/>
  <c r="P1209" i="8" s="1"/>
  <c r="L1209" i="8"/>
  <c r="H1209" i="8"/>
  <c r="R1209" i="8" s="1"/>
  <c r="G1209" i="8"/>
  <c r="AH1208" i="8"/>
  <c r="AG1208" i="8"/>
  <c r="AE1208" i="8"/>
  <c r="Y1208" i="8"/>
  <c r="W1208" i="8"/>
  <c r="AA1208" i="8" s="1"/>
  <c r="V1208" i="8"/>
  <c r="U1208" i="8"/>
  <c r="T1208" i="8"/>
  <c r="M1208" i="8"/>
  <c r="P1208" i="8" s="1"/>
  <c r="L1208" i="8"/>
  <c r="H1208" i="8"/>
  <c r="R1208" i="8" s="1"/>
  <c r="G1208" i="8"/>
  <c r="AH1207" i="8"/>
  <c r="AG1207" i="8"/>
  <c r="AE1207" i="8"/>
  <c r="AC1207" i="8"/>
  <c r="Y1207" i="8"/>
  <c r="X1207" i="8" s="1"/>
  <c r="AB1207" i="8" s="1"/>
  <c r="W1207" i="8"/>
  <c r="AA1207" i="8" s="1"/>
  <c r="V1207" i="8"/>
  <c r="U1207" i="8"/>
  <c r="T1207" i="8"/>
  <c r="P1207" i="8"/>
  <c r="Z1207" i="8" s="1"/>
  <c r="M1207" i="8"/>
  <c r="O1207" i="8" s="1"/>
  <c r="S1207" i="8" s="1"/>
  <c r="L1207" i="8"/>
  <c r="N1207" i="8" s="1"/>
  <c r="H1207" i="8"/>
  <c r="R1207" i="8" s="1"/>
  <c r="G1207" i="8"/>
  <c r="AH1206" i="8"/>
  <c r="AG1206" i="8"/>
  <c r="AE1206" i="8"/>
  <c r="Y1206" i="8"/>
  <c r="W1206" i="8"/>
  <c r="AA1206" i="8" s="1"/>
  <c r="V1206" i="8"/>
  <c r="U1206" i="8"/>
  <c r="T1206" i="8"/>
  <c r="R1206" i="8"/>
  <c r="P1206" i="8"/>
  <c r="Z1206" i="8" s="1"/>
  <c r="M1206" i="8"/>
  <c r="O1206" i="8" s="1"/>
  <c r="S1206" i="8" s="1"/>
  <c r="L1206" i="8"/>
  <c r="N1206" i="8" s="1"/>
  <c r="H1206" i="8"/>
  <c r="G1206" i="8"/>
  <c r="AH1205" i="8"/>
  <c r="AG1205" i="8"/>
  <c r="AE1205" i="8"/>
  <c r="AC1205" i="8"/>
  <c r="Y1205" i="8"/>
  <c r="W1205" i="8"/>
  <c r="AA1205" i="8" s="1"/>
  <c r="V1205" i="8"/>
  <c r="U1205" i="8"/>
  <c r="T1205" i="8"/>
  <c r="R1205" i="8"/>
  <c r="P1205" i="8"/>
  <c r="Z1205" i="8" s="1"/>
  <c r="M1205" i="8"/>
  <c r="O1205" i="8" s="1"/>
  <c r="S1205" i="8" s="1"/>
  <c r="L1205" i="8"/>
  <c r="N1205" i="8" s="1"/>
  <c r="H1205" i="8"/>
  <c r="G1205" i="8"/>
  <c r="AH1204" i="8"/>
  <c r="AG1204" i="8"/>
  <c r="AE1204" i="8"/>
  <c r="AA1204" i="8"/>
  <c r="Y1204" i="8"/>
  <c r="W1204" i="8"/>
  <c r="V1204" i="8"/>
  <c r="U1204" i="8"/>
  <c r="T1204" i="8"/>
  <c r="R1204" i="8"/>
  <c r="S1204" i="8" s="1"/>
  <c r="P1204" i="8"/>
  <c r="Z1204" i="8" s="1"/>
  <c r="M1204" i="8"/>
  <c r="O1204" i="8" s="1"/>
  <c r="L1204" i="8"/>
  <c r="N1204" i="8" s="1"/>
  <c r="H1204" i="8"/>
  <c r="G1204" i="8"/>
  <c r="AH1203" i="8"/>
  <c r="AG1203" i="8"/>
  <c r="AE1203" i="8"/>
  <c r="AC1203" i="8"/>
  <c r="Y1203" i="8"/>
  <c r="W1203" i="8"/>
  <c r="AA1203" i="8" s="1"/>
  <c r="V1203" i="8"/>
  <c r="U1203" i="8"/>
  <c r="T1203" i="8"/>
  <c r="R1203" i="8"/>
  <c r="S1203" i="8" s="1"/>
  <c r="P1203" i="8"/>
  <c r="Z1203" i="8" s="1"/>
  <c r="M1203" i="8"/>
  <c r="O1203" i="8" s="1"/>
  <c r="L1203" i="8"/>
  <c r="N1203" i="8" s="1"/>
  <c r="H1203" i="8"/>
  <c r="G1203" i="8"/>
  <c r="AH1202" i="8"/>
  <c r="AG1202" i="8"/>
  <c r="AE1202" i="8"/>
  <c r="AA1202" i="8"/>
  <c r="Y1202" i="8"/>
  <c r="W1202" i="8"/>
  <c r="V1202" i="8"/>
  <c r="U1202" i="8"/>
  <c r="T1202" i="8"/>
  <c r="R1202" i="8"/>
  <c r="S1202" i="8" s="1"/>
  <c r="P1202" i="8"/>
  <c r="Z1202" i="8" s="1"/>
  <c r="M1202" i="8"/>
  <c r="O1202" i="8" s="1"/>
  <c r="L1202" i="8"/>
  <c r="N1202" i="8" s="1"/>
  <c r="H1202" i="8"/>
  <c r="G1202" i="8"/>
  <c r="AH1201" i="8"/>
  <c r="AG1201" i="8"/>
  <c r="AE1201" i="8"/>
  <c r="AC1201" i="8"/>
  <c r="Y1201" i="8"/>
  <c r="W1201" i="8"/>
  <c r="AA1201" i="8" s="1"/>
  <c r="V1201" i="8"/>
  <c r="U1201" i="8"/>
  <c r="T1201" i="8"/>
  <c r="R1201" i="8"/>
  <c r="S1201" i="8" s="1"/>
  <c r="P1201" i="8"/>
  <c r="Z1201" i="8" s="1"/>
  <c r="M1201" i="8"/>
  <c r="O1201" i="8" s="1"/>
  <c r="L1201" i="8"/>
  <c r="N1201" i="8" s="1"/>
  <c r="H1201" i="8"/>
  <c r="G1201" i="8"/>
  <c r="AH1200" i="8"/>
  <c r="AG1200" i="8"/>
  <c r="AE1200" i="8"/>
  <c r="AA1200" i="8"/>
  <c r="Y1200" i="8"/>
  <c r="W1200" i="8"/>
  <c r="V1200" i="8"/>
  <c r="U1200" i="8"/>
  <c r="T1200" i="8"/>
  <c r="R1200" i="8"/>
  <c r="S1200" i="8" s="1"/>
  <c r="P1200" i="8"/>
  <c r="Z1200" i="8" s="1"/>
  <c r="M1200" i="8"/>
  <c r="O1200" i="8" s="1"/>
  <c r="L1200" i="8"/>
  <c r="N1200" i="8" s="1"/>
  <c r="H1200" i="8"/>
  <c r="G1200" i="8"/>
  <c r="AH1199" i="8"/>
  <c r="AG1199" i="8"/>
  <c r="AE1199" i="8"/>
  <c r="AC1199" i="8"/>
  <c r="AA1199" i="8"/>
  <c r="Y1199" i="8"/>
  <c r="W1199" i="8"/>
  <c r="V1199" i="8"/>
  <c r="U1199" i="8"/>
  <c r="T1199" i="8"/>
  <c r="R1199" i="8"/>
  <c r="S1199" i="8" s="1"/>
  <c r="P1199" i="8"/>
  <c r="Z1199" i="8" s="1"/>
  <c r="M1199" i="8"/>
  <c r="O1199" i="8" s="1"/>
  <c r="L1199" i="8"/>
  <c r="N1199" i="8" s="1"/>
  <c r="H1199" i="8"/>
  <c r="G1199" i="8"/>
  <c r="AH1198" i="8"/>
  <c r="AG1198" i="8"/>
  <c r="AE1198" i="8"/>
  <c r="AA1198" i="8"/>
  <c r="Y1198" i="8"/>
  <c r="W1198" i="8"/>
  <c r="V1198" i="8"/>
  <c r="U1198" i="8"/>
  <c r="T1198" i="8"/>
  <c r="R1198" i="8"/>
  <c r="S1198" i="8" s="1"/>
  <c r="P1198" i="8"/>
  <c r="Z1198" i="8" s="1"/>
  <c r="M1198" i="8"/>
  <c r="O1198" i="8" s="1"/>
  <c r="L1198" i="8"/>
  <c r="N1198" i="8" s="1"/>
  <c r="H1198" i="8"/>
  <c r="G1198" i="8"/>
  <c r="AH1197" i="8"/>
  <c r="AG1197" i="8"/>
  <c r="AE1197" i="8"/>
  <c r="AA1197" i="8"/>
  <c r="Y1197" i="8"/>
  <c r="AC1197" i="8" s="1"/>
  <c r="W1197" i="8"/>
  <c r="V1197" i="8"/>
  <c r="U1197" i="8"/>
  <c r="T1197" i="8"/>
  <c r="R1197" i="8"/>
  <c r="S1197" i="8" s="1"/>
  <c r="P1197" i="8"/>
  <c r="Z1197" i="8" s="1"/>
  <c r="M1197" i="8"/>
  <c r="O1197" i="8" s="1"/>
  <c r="L1197" i="8"/>
  <c r="N1197" i="8" s="1"/>
  <c r="H1197" i="8"/>
  <c r="G1197" i="8"/>
  <c r="AH1196" i="8"/>
  <c r="AG1196" i="8"/>
  <c r="AE1196" i="8"/>
  <c r="AA1196" i="8"/>
  <c r="Y1196" i="8"/>
  <c r="W1196" i="8"/>
  <c r="V1196" i="8"/>
  <c r="U1196" i="8"/>
  <c r="T1196" i="8"/>
  <c r="R1196" i="8"/>
  <c r="S1196" i="8" s="1"/>
  <c r="P1196" i="8"/>
  <c r="Z1196" i="8" s="1"/>
  <c r="M1196" i="8"/>
  <c r="O1196" i="8" s="1"/>
  <c r="L1196" i="8"/>
  <c r="N1196" i="8" s="1"/>
  <c r="H1196" i="8"/>
  <c r="G1196" i="8"/>
  <c r="AH1195" i="8"/>
  <c r="AG1195" i="8"/>
  <c r="AE1195" i="8"/>
  <c r="AA1195" i="8"/>
  <c r="Y1195" i="8"/>
  <c r="AC1195" i="8" s="1"/>
  <c r="W1195" i="8"/>
  <c r="V1195" i="8"/>
  <c r="U1195" i="8"/>
  <c r="T1195" i="8"/>
  <c r="R1195" i="8"/>
  <c r="S1195" i="8" s="1"/>
  <c r="P1195" i="8"/>
  <c r="Z1195" i="8" s="1"/>
  <c r="M1195" i="8"/>
  <c r="O1195" i="8" s="1"/>
  <c r="L1195" i="8"/>
  <c r="N1195" i="8" s="1"/>
  <c r="H1195" i="8"/>
  <c r="G1195" i="8"/>
  <c r="AH1194" i="8"/>
  <c r="AG1194" i="8"/>
  <c r="AE1194" i="8"/>
  <c r="AA1194" i="8"/>
  <c r="Y1194" i="8"/>
  <c r="W1194" i="8"/>
  <c r="V1194" i="8"/>
  <c r="U1194" i="8"/>
  <c r="T1194" i="8"/>
  <c r="R1194" i="8"/>
  <c r="S1194" i="8" s="1"/>
  <c r="P1194" i="8"/>
  <c r="Z1194" i="8" s="1"/>
  <c r="M1194" i="8"/>
  <c r="O1194" i="8" s="1"/>
  <c r="L1194" i="8"/>
  <c r="N1194" i="8" s="1"/>
  <c r="H1194" i="8"/>
  <c r="G1194" i="8"/>
  <c r="AH1193" i="8"/>
  <c r="AG1193" i="8"/>
  <c r="AE1193" i="8"/>
  <c r="Y1193" i="8"/>
  <c r="W1193" i="8"/>
  <c r="V1193" i="8"/>
  <c r="U1193" i="8"/>
  <c r="T1193" i="8"/>
  <c r="N1193" i="8"/>
  <c r="M1193" i="8"/>
  <c r="O1193" i="8" s="1"/>
  <c r="L1193" i="8"/>
  <c r="H1193" i="8"/>
  <c r="R1193" i="8" s="1"/>
  <c r="S1193" i="8" s="1"/>
  <c r="G1193" i="8"/>
  <c r="AH1192" i="8"/>
  <c r="AG1192" i="8"/>
  <c r="AE1192" i="8"/>
  <c r="AC1192" i="8"/>
  <c r="AF1192" i="8" s="1"/>
  <c r="Y1192" i="8"/>
  <c r="V1192" i="8"/>
  <c r="U1192" i="8"/>
  <c r="W1192" i="8" s="1"/>
  <c r="AA1192" i="8" s="1"/>
  <c r="T1192" i="8"/>
  <c r="P1192" i="8"/>
  <c r="Z1192" i="8" s="1"/>
  <c r="N1192" i="8"/>
  <c r="M1192" i="8"/>
  <c r="L1192" i="8"/>
  <c r="H1192" i="8"/>
  <c r="R1192" i="8" s="1"/>
  <c r="G1192" i="8"/>
  <c r="AH1191" i="8"/>
  <c r="AG1191" i="8"/>
  <c r="AE1191" i="8"/>
  <c r="Y1191" i="8"/>
  <c r="V1191" i="8"/>
  <c r="U1191" i="8"/>
  <c r="W1191" i="8" s="1"/>
  <c r="AA1191" i="8" s="1"/>
  <c r="T1191" i="8"/>
  <c r="P1191" i="8"/>
  <c r="Z1191" i="8" s="1"/>
  <c r="M1191" i="8"/>
  <c r="L1191" i="8"/>
  <c r="N1191" i="8" s="1"/>
  <c r="H1191" i="8"/>
  <c r="R1191" i="8" s="1"/>
  <c r="G1191" i="8"/>
  <c r="AH1190" i="8"/>
  <c r="AG1190" i="8"/>
  <c r="AE1190" i="8"/>
  <c r="Y1190" i="8"/>
  <c r="V1190" i="8"/>
  <c r="W1190" i="8" s="1"/>
  <c r="U1190" i="8"/>
  <c r="T1190" i="8"/>
  <c r="R1190" i="8"/>
  <c r="S1190" i="8" s="1"/>
  <c r="M1190" i="8"/>
  <c r="O1190" i="8" s="1"/>
  <c r="L1190" i="8"/>
  <c r="N1190" i="8" s="1"/>
  <c r="H1190" i="8"/>
  <c r="G1190" i="8"/>
  <c r="AH1189" i="8"/>
  <c r="AG1189" i="8"/>
  <c r="AE1189" i="8"/>
  <c r="Y1189" i="8"/>
  <c r="W1189" i="8"/>
  <c r="V1189" i="8"/>
  <c r="U1189" i="8"/>
  <c r="T1189" i="8"/>
  <c r="N1189" i="8"/>
  <c r="M1189" i="8"/>
  <c r="O1189" i="8" s="1"/>
  <c r="L1189" i="8"/>
  <c r="H1189" i="8"/>
  <c r="R1189" i="8" s="1"/>
  <c r="S1189" i="8" s="1"/>
  <c r="G1189" i="8"/>
  <c r="AH1188" i="8"/>
  <c r="AG1188" i="8"/>
  <c r="AE1188" i="8"/>
  <c r="Y1188" i="8"/>
  <c r="AC1188" i="8" s="1"/>
  <c r="V1188" i="8"/>
  <c r="U1188" i="8"/>
  <c r="W1188" i="8" s="1"/>
  <c r="AA1188" i="8" s="1"/>
  <c r="T1188" i="8"/>
  <c r="P1188" i="8"/>
  <c r="Z1188" i="8" s="1"/>
  <c r="N1188" i="8"/>
  <c r="M1188" i="8"/>
  <c r="L1188" i="8"/>
  <c r="H1188" i="8"/>
  <c r="R1188" i="8" s="1"/>
  <c r="G1188" i="8"/>
  <c r="AH1187" i="8"/>
  <c r="AG1187" i="8"/>
  <c r="AE1187" i="8"/>
  <c r="Y1187" i="8"/>
  <c r="V1187" i="8"/>
  <c r="U1187" i="8"/>
  <c r="W1187" i="8" s="1"/>
  <c r="AA1187" i="8" s="1"/>
  <c r="T1187" i="8"/>
  <c r="P1187" i="8"/>
  <c r="Z1187" i="8" s="1"/>
  <c r="M1187" i="8"/>
  <c r="L1187" i="8"/>
  <c r="N1187" i="8" s="1"/>
  <c r="H1187" i="8"/>
  <c r="R1187" i="8" s="1"/>
  <c r="G1187" i="8"/>
  <c r="AH1186" i="8"/>
  <c r="AG1186" i="8"/>
  <c r="AE1186" i="8"/>
  <c r="Y1186" i="8"/>
  <c r="V1186" i="8"/>
  <c r="U1186" i="8"/>
  <c r="T1186" i="8"/>
  <c r="R1186" i="8"/>
  <c r="S1186" i="8" s="1"/>
  <c r="M1186" i="8"/>
  <c r="O1186" i="8" s="1"/>
  <c r="L1186" i="8"/>
  <c r="N1186" i="8" s="1"/>
  <c r="H1186" i="8"/>
  <c r="G1186" i="8"/>
  <c r="AH1185" i="8"/>
  <c r="AG1185" i="8"/>
  <c r="AE1185" i="8"/>
  <c r="Y1185" i="8"/>
  <c r="W1185" i="8"/>
  <c r="V1185" i="8"/>
  <c r="U1185" i="8"/>
  <c r="T1185" i="8"/>
  <c r="N1185" i="8"/>
  <c r="M1185" i="8"/>
  <c r="O1185" i="8" s="1"/>
  <c r="L1185" i="8"/>
  <c r="H1185" i="8"/>
  <c r="R1185" i="8" s="1"/>
  <c r="S1185" i="8" s="1"/>
  <c r="G1185" i="8"/>
  <c r="AH1184" i="8"/>
  <c r="AG1184" i="8"/>
  <c r="AE1184" i="8"/>
  <c r="AC1184" i="8"/>
  <c r="AF1184" i="8" s="1"/>
  <c r="Y1184" i="8"/>
  <c r="V1184" i="8"/>
  <c r="U1184" i="8"/>
  <c r="W1184" i="8" s="1"/>
  <c r="AA1184" i="8" s="1"/>
  <c r="T1184" i="8"/>
  <c r="P1184" i="8"/>
  <c r="Z1184" i="8" s="1"/>
  <c r="N1184" i="8"/>
  <c r="M1184" i="8"/>
  <c r="L1184" i="8"/>
  <c r="H1184" i="8"/>
  <c r="R1184" i="8" s="1"/>
  <c r="G1184" i="8"/>
  <c r="AH1183" i="8"/>
  <c r="AG1183" i="8"/>
  <c r="AE1183" i="8"/>
  <c r="Y1183" i="8"/>
  <c r="V1183" i="8"/>
  <c r="U1183" i="8"/>
  <c r="W1183" i="8" s="1"/>
  <c r="AA1183" i="8" s="1"/>
  <c r="T1183" i="8"/>
  <c r="P1183" i="8"/>
  <c r="Z1183" i="8" s="1"/>
  <c r="M1183" i="8"/>
  <c r="L1183" i="8"/>
  <c r="N1183" i="8" s="1"/>
  <c r="H1183" i="8"/>
  <c r="R1183" i="8" s="1"/>
  <c r="G1183" i="8"/>
  <c r="AH1182" i="8"/>
  <c r="AG1182" i="8"/>
  <c r="AE1182" i="8"/>
  <c r="Y1182" i="8"/>
  <c r="V1182" i="8"/>
  <c r="W1182" i="8" s="1"/>
  <c r="U1182" i="8"/>
  <c r="T1182" i="8"/>
  <c r="R1182" i="8"/>
  <c r="S1182" i="8" s="1"/>
  <c r="M1182" i="8"/>
  <c r="O1182" i="8" s="1"/>
  <c r="L1182" i="8"/>
  <c r="N1182" i="8" s="1"/>
  <c r="H1182" i="8"/>
  <c r="G1182" i="8"/>
  <c r="AH1181" i="8"/>
  <c r="AG1181" i="8"/>
  <c r="AE1181" i="8"/>
  <c r="Y1181" i="8"/>
  <c r="W1181" i="8"/>
  <c r="V1181" i="8"/>
  <c r="U1181" i="8"/>
  <c r="T1181" i="8"/>
  <c r="N1181" i="8"/>
  <c r="M1181" i="8"/>
  <c r="O1181" i="8" s="1"/>
  <c r="L1181" i="8"/>
  <c r="H1181" i="8"/>
  <c r="R1181" i="8" s="1"/>
  <c r="S1181" i="8" s="1"/>
  <c r="G1181" i="8"/>
  <c r="AH1180" i="8"/>
  <c r="AG1180" i="8"/>
  <c r="AE1180" i="8"/>
  <c r="Y1180" i="8"/>
  <c r="AC1180" i="8" s="1"/>
  <c r="V1180" i="8"/>
  <c r="U1180" i="8"/>
  <c r="W1180" i="8" s="1"/>
  <c r="AA1180" i="8" s="1"/>
  <c r="T1180" i="8"/>
  <c r="P1180" i="8"/>
  <c r="Z1180" i="8" s="1"/>
  <c r="N1180" i="8"/>
  <c r="M1180" i="8"/>
  <c r="L1180" i="8"/>
  <c r="H1180" i="8"/>
  <c r="R1180" i="8" s="1"/>
  <c r="G1180" i="8"/>
  <c r="AH1179" i="8"/>
  <c r="AG1179" i="8"/>
  <c r="AE1179" i="8"/>
  <c r="Y1179" i="8"/>
  <c r="V1179" i="8"/>
  <c r="U1179" i="8"/>
  <c r="W1179" i="8" s="1"/>
  <c r="AA1179" i="8" s="1"/>
  <c r="T1179" i="8"/>
  <c r="P1179" i="8"/>
  <c r="Z1179" i="8" s="1"/>
  <c r="M1179" i="8"/>
  <c r="L1179" i="8"/>
  <c r="N1179" i="8" s="1"/>
  <c r="H1179" i="8"/>
  <c r="R1179" i="8" s="1"/>
  <c r="G1179" i="8"/>
  <c r="AH1178" i="8"/>
  <c r="AG1178" i="8"/>
  <c r="AE1178" i="8"/>
  <c r="Y1178" i="8"/>
  <c r="V1178" i="8"/>
  <c r="U1178" i="8"/>
  <c r="T1178" i="8"/>
  <c r="R1178" i="8"/>
  <c r="S1178" i="8" s="1"/>
  <c r="M1178" i="8"/>
  <c r="O1178" i="8" s="1"/>
  <c r="L1178" i="8"/>
  <c r="N1178" i="8" s="1"/>
  <c r="H1178" i="8"/>
  <c r="G1178" i="8"/>
  <c r="AH1177" i="8"/>
  <c r="AG1177" i="8"/>
  <c r="AE1177" i="8"/>
  <c r="Y1177" i="8"/>
  <c r="W1177" i="8"/>
  <c r="V1177" i="8"/>
  <c r="U1177" i="8"/>
  <c r="T1177" i="8"/>
  <c r="N1177" i="8"/>
  <c r="M1177" i="8"/>
  <c r="O1177" i="8" s="1"/>
  <c r="L1177" i="8"/>
  <c r="H1177" i="8"/>
  <c r="R1177" i="8" s="1"/>
  <c r="S1177" i="8" s="1"/>
  <c r="G1177" i="8"/>
  <c r="AH1176" i="8"/>
  <c r="AG1176" i="8"/>
  <c r="AE1176" i="8"/>
  <c r="AC1176" i="8"/>
  <c r="AF1176" i="8" s="1"/>
  <c r="Y1176" i="8"/>
  <c r="V1176" i="8"/>
  <c r="U1176" i="8"/>
  <c r="W1176" i="8" s="1"/>
  <c r="AA1176" i="8" s="1"/>
  <c r="T1176" i="8"/>
  <c r="P1176" i="8"/>
  <c r="Z1176" i="8" s="1"/>
  <c r="N1176" i="8"/>
  <c r="M1176" i="8"/>
  <c r="L1176" i="8"/>
  <c r="H1176" i="8"/>
  <c r="R1176" i="8" s="1"/>
  <c r="G1176" i="8"/>
  <c r="AH1175" i="8"/>
  <c r="AG1175" i="8"/>
  <c r="AE1175" i="8"/>
  <c r="Y1175" i="8"/>
  <c r="V1175" i="8"/>
  <c r="U1175" i="8"/>
  <c r="W1175" i="8" s="1"/>
  <c r="AA1175" i="8" s="1"/>
  <c r="T1175" i="8"/>
  <c r="P1175" i="8"/>
  <c r="Z1175" i="8" s="1"/>
  <c r="M1175" i="8"/>
  <c r="L1175" i="8"/>
  <c r="N1175" i="8" s="1"/>
  <c r="H1175" i="8"/>
  <c r="R1175" i="8" s="1"/>
  <c r="G1175" i="8"/>
  <c r="AH1174" i="8"/>
  <c r="AG1174" i="8"/>
  <c r="AE1174" i="8"/>
  <c r="Y1174" i="8"/>
  <c r="V1174" i="8"/>
  <c r="W1174" i="8" s="1"/>
  <c r="U1174" i="8"/>
  <c r="T1174" i="8"/>
  <c r="R1174" i="8"/>
  <c r="S1174" i="8" s="1"/>
  <c r="M1174" i="8"/>
  <c r="O1174" i="8" s="1"/>
  <c r="L1174" i="8"/>
  <c r="N1174" i="8" s="1"/>
  <c r="H1174" i="8"/>
  <c r="G1174" i="8"/>
  <c r="AH1173" i="8"/>
  <c r="AG1173" i="8"/>
  <c r="AE1173" i="8"/>
  <c r="Y1173" i="8"/>
  <c r="W1173" i="8"/>
  <c r="V1173" i="8"/>
  <c r="U1173" i="8"/>
  <c r="T1173" i="8"/>
  <c r="N1173" i="8"/>
  <c r="M1173" i="8"/>
  <c r="O1173" i="8" s="1"/>
  <c r="L1173" i="8"/>
  <c r="H1173" i="8"/>
  <c r="R1173" i="8" s="1"/>
  <c r="S1173" i="8" s="1"/>
  <c r="G1173" i="8"/>
  <c r="AH1172" i="8"/>
  <c r="AG1172" i="8"/>
  <c r="AE1172" i="8"/>
  <c r="Y1172" i="8"/>
  <c r="AC1172" i="8" s="1"/>
  <c r="V1172" i="8"/>
  <c r="U1172" i="8"/>
  <c r="W1172" i="8" s="1"/>
  <c r="AA1172" i="8" s="1"/>
  <c r="T1172" i="8"/>
  <c r="P1172" i="8"/>
  <c r="Z1172" i="8" s="1"/>
  <c r="N1172" i="8"/>
  <c r="M1172" i="8"/>
  <c r="L1172" i="8"/>
  <c r="H1172" i="8"/>
  <c r="R1172" i="8" s="1"/>
  <c r="G1172" i="8"/>
  <c r="AH1171" i="8"/>
  <c r="AG1171" i="8"/>
  <c r="AE1171" i="8"/>
  <c r="Y1171" i="8"/>
  <c r="V1171" i="8"/>
  <c r="U1171" i="8"/>
  <c r="W1171" i="8" s="1"/>
  <c r="AA1171" i="8" s="1"/>
  <c r="T1171" i="8"/>
  <c r="P1171" i="8"/>
  <c r="Z1171" i="8" s="1"/>
  <c r="M1171" i="8"/>
  <c r="L1171" i="8"/>
  <c r="N1171" i="8" s="1"/>
  <c r="H1171" i="8"/>
  <c r="R1171" i="8" s="1"/>
  <c r="G1171" i="8"/>
  <c r="AH1170" i="8"/>
  <c r="AG1170" i="8"/>
  <c r="AE1170" i="8"/>
  <c r="Y1170" i="8"/>
  <c r="V1170" i="8"/>
  <c r="U1170" i="8"/>
  <c r="T1170" i="8"/>
  <c r="R1170" i="8"/>
  <c r="S1170" i="8" s="1"/>
  <c r="M1170" i="8"/>
  <c r="O1170" i="8" s="1"/>
  <c r="L1170" i="8"/>
  <c r="N1170" i="8" s="1"/>
  <c r="H1170" i="8"/>
  <c r="G1170" i="8"/>
  <c r="AH1169" i="8"/>
  <c r="AG1169" i="8"/>
  <c r="AE1169" i="8"/>
  <c r="Y1169" i="8"/>
  <c r="W1169" i="8"/>
  <c r="V1169" i="8"/>
  <c r="U1169" i="8"/>
  <c r="T1169" i="8"/>
  <c r="N1169" i="8"/>
  <c r="M1169" i="8"/>
  <c r="O1169" i="8" s="1"/>
  <c r="L1169" i="8"/>
  <c r="H1169" i="8"/>
  <c r="R1169" i="8" s="1"/>
  <c r="S1169" i="8" s="1"/>
  <c r="G1169" i="8"/>
  <c r="AH1168" i="8"/>
  <c r="AG1168" i="8"/>
  <c r="AE1168" i="8"/>
  <c r="AC1168" i="8"/>
  <c r="AF1168" i="8" s="1"/>
  <c r="Y1168" i="8"/>
  <c r="V1168" i="8"/>
  <c r="U1168" i="8"/>
  <c r="W1168" i="8" s="1"/>
  <c r="AA1168" i="8" s="1"/>
  <c r="T1168" i="8"/>
  <c r="P1168" i="8"/>
  <c r="Z1168" i="8" s="1"/>
  <c r="N1168" i="8"/>
  <c r="M1168" i="8"/>
  <c r="L1168" i="8"/>
  <c r="H1168" i="8"/>
  <c r="R1168" i="8" s="1"/>
  <c r="G1168" i="8"/>
  <c r="AH1167" i="8"/>
  <c r="AG1167" i="8"/>
  <c r="AE1167" i="8"/>
  <c r="Y1167" i="8"/>
  <c r="V1167" i="8"/>
  <c r="U1167" i="8"/>
  <c r="W1167" i="8" s="1"/>
  <c r="AA1167" i="8" s="1"/>
  <c r="T1167" i="8"/>
  <c r="P1167" i="8"/>
  <c r="Z1167" i="8" s="1"/>
  <c r="M1167" i="8"/>
  <c r="L1167" i="8"/>
  <c r="N1167" i="8" s="1"/>
  <c r="H1167" i="8"/>
  <c r="R1167" i="8" s="1"/>
  <c r="G1167" i="8"/>
  <c r="AH1166" i="8"/>
  <c r="AG1166" i="8"/>
  <c r="AE1166" i="8"/>
  <c r="Y1166" i="8"/>
  <c r="V1166" i="8"/>
  <c r="W1166" i="8" s="1"/>
  <c r="U1166" i="8"/>
  <c r="T1166" i="8"/>
  <c r="R1166" i="8"/>
  <c r="S1166" i="8" s="1"/>
  <c r="M1166" i="8"/>
  <c r="O1166" i="8" s="1"/>
  <c r="L1166" i="8"/>
  <c r="N1166" i="8" s="1"/>
  <c r="H1166" i="8"/>
  <c r="G1166" i="8"/>
  <c r="AH1165" i="8"/>
  <c r="AG1165" i="8"/>
  <c r="AE1165" i="8"/>
  <c r="Y1165" i="8"/>
  <c r="W1165" i="8"/>
  <c r="V1165" i="8"/>
  <c r="U1165" i="8"/>
  <c r="T1165" i="8"/>
  <c r="N1165" i="8"/>
  <c r="M1165" i="8"/>
  <c r="O1165" i="8" s="1"/>
  <c r="L1165" i="8"/>
  <c r="H1165" i="8"/>
  <c r="R1165" i="8" s="1"/>
  <c r="S1165" i="8" s="1"/>
  <c r="G1165" i="8"/>
  <c r="AH1164" i="8"/>
  <c r="AG1164" i="8"/>
  <c r="AE1164" i="8"/>
  <c r="Y1164" i="8"/>
  <c r="AC1164" i="8" s="1"/>
  <c r="V1164" i="8"/>
  <c r="U1164" i="8"/>
  <c r="W1164" i="8" s="1"/>
  <c r="AA1164" i="8" s="1"/>
  <c r="T1164" i="8"/>
  <c r="P1164" i="8"/>
  <c r="Z1164" i="8" s="1"/>
  <c r="N1164" i="8"/>
  <c r="M1164" i="8"/>
  <c r="L1164" i="8"/>
  <c r="H1164" i="8"/>
  <c r="R1164" i="8" s="1"/>
  <c r="G1164" i="8"/>
  <c r="AH1163" i="8"/>
  <c r="AG1163" i="8"/>
  <c r="AE1163" i="8"/>
  <c r="Y1163" i="8"/>
  <c r="V1163" i="8"/>
  <c r="U1163" i="8"/>
  <c r="W1163" i="8" s="1"/>
  <c r="AA1163" i="8" s="1"/>
  <c r="T1163" i="8"/>
  <c r="P1163" i="8"/>
  <c r="Z1163" i="8" s="1"/>
  <c r="M1163" i="8"/>
  <c r="L1163" i="8"/>
  <c r="N1163" i="8" s="1"/>
  <c r="H1163" i="8"/>
  <c r="R1163" i="8" s="1"/>
  <c r="G1163" i="8"/>
  <c r="AH1162" i="8"/>
  <c r="AG1162" i="8"/>
  <c r="AE1162" i="8"/>
  <c r="Y1162" i="8"/>
  <c r="V1162" i="8"/>
  <c r="U1162" i="8"/>
  <c r="T1162" i="8"/>
  <c r="R1162" i="8"/>
  <c r="S1162" i="8" s="1"/>
  <c r="M1162" i="8"/>
  <c r="O1162" i="8" s="1"/>
  <c r="L1162" i="8"/>
  <c r="N1162" i="8" s="1"/>
  <c r="H1162" i="8"/>
  <c r="G1162" i="8"/>
  <c r="AH1161" i="8"/>
  <c r="AG1161" i="8"/>
  <c r="AE1161" i="8"/>
  <c r="Y1161" i="8"/>
  <c r="W1161" i="8"/>
  <c r="V1161" i="8"/>
  <c r="U1161" i="8"/>
  <c r="T1161" i="8"/>
  <c r="N1161" i="8"/>
  <c r="M1161" i="8"/>
  <c r="O1161" i="8" s="1"/>
  <c r="L1161" i="8"/>
  <c r="H1161" i="8"/>
  <c r="R1161" i="8" s="1"/>
  <c r="S1161" i="8" s="1"/>
  <c r="G1161" i="8"/>
  <c r="AH1160" i="8"/>
  <c r="AG1160" i="8"/>
  <c r="AE1160" i="8"/>
  <c r="AC1160" i="8"/>
  <c r="AF1160" i="8" s="1"/>
  <c r="Y1160" i="8"/>
  <c r="V1160" i="8"/>
  <c r="U1160" i="8"/>
  <c r="W1160" i="8" s="1"/>
  <c r="AA1160" i="8" s="1"/>
  <c r="T1160" i="8"/>
  <c r="P1160" i="8"/>
  <c r="Z1160" i="8" s="1"/>
  <c r="N1160" i="8"/>
  <c r="M1160" i="8"/>
  <c r="L1160" i="8"/>
  <c r="H1160" i="8"/>
  <c r="R1160" i="8" s="1"/>
  <c r="G1160" i="8"/>
  <c r="AH1159" i="8"/>
  <c r="AG1159" i="8"/>
  <c r="AE1159" i="8"/>
  <c r="Y1159" i="8"/>
  <c r="V1159" i="8"/>
  <c r="U1159" i="8"/>
  <c r="W1159" i="8" s="1"/>
  <c r="AA1159" i="8" s="1"/>
  <c r="T1159" i="8"/>
  <c r="P1159" i="8"/>
  <c r="Z1159" i="8" s="1"/>
  <c r="M1159" i="8"/>
  <c r="L1159" i="8"/>
  <c r="N1159" i="8" s="1"/>
  <c r="H1159" i="8"/>
  <c r="R1159" i="8" s="1"/>
  <c r="G1159" i="8"/>
  <c r="AH1158" i="8"/>
  <c r="AG1158" i="8"/>
  <c r="AE1158" i="8"/>
  <c r="Y1158" i="8"/>
  <c r="V1158" i="8"/>
  <c r="W1158" i="8" s="1"/>
  <c r="U1158" i="8"/>
  <c r="T1158" i="8"/>
  <c r="R1158" i="8"/>
  <c r="S1158" i="8" s="1"/>
  <c r="M1158" i="8"/>
  <c r="O1158" i="8" s="1"/>
  <c r="L1158" i="8"/>
  <c r="N1158" i="8" s="1"/>
  <c r="H1158" i="8"/>
  <c r="G1158" i="8"/>
  <c r="AH1157" i="8"/>
  <c r="AG1157" i="8"/>
  <c r="AE1157" i="8"/>
  <c r="Y1157" i="8"/>
  <c r="W1157" i="8"/>
  <c r="V1157" i="8"/>
  <c r="U1157" i="8"/>
  <c r="T1157" i="8"/>
  <c r="N1157" i="8"/>
  <c r="M1157" i="8"/>
  <c r="O1157" i="8" s="1"/>
  <c r="L1157" i="8"/>
  <c r="H1157" i="8"/>
  <c r="R1157" i="8" s="1"/>
  <c r="S1157" i="8" s="1"/>
  <c r="G1157" i="8"/>
  <c r="AH1156" i="8"/>
  <c r="AG1156" i="8"/>
  <c r="AE1156" i="8"/>
  <c r="Y1156" i="8"/>
  <c r="AC1156" i="8" s="1"/>
  <c r="V1156" i="8"/>
  <c r="U1156" i="8"/>
  <c r="W1156" i="8" s="1"/>
  <c r="AA1156" i="8" s="1"/>
  <c r="T1156" i="8"/>
  <c r="P1156" i="8"/>
  <c r="Z1156" i="8" s="1"/>
  <c r="N1156" i="8"/>
  <c r="M1156" i="8"/>
  <c r="L1156" i="8"/>
  <c r="H1156" i="8"/>
  <c r="R1156" i="8" s="1"/>
  <c r="G1156" i="8"/>
  <c r="AH1155" i="8"/>
  <c r="AG1155" i="8"/>
  <c r="AE1155" i="8"/>
  <c r="Y1155" i="8"/>
  <c r="V1155" i="8"/>
  <c r="U1155" i="8"/>
  <c r="W1155" i="8" s="1"/>
  <c r="AA1155" i="8" s="1"/>
  <c r="T1155" i="8"/>
  <c r="P1155" i="8"/>
  <c r="Z1155" i="8" s="1"/>
  <c r="M1155" i="8"/>
  <c r="L1155" i="8"/>
  <c r="N1155" i="8" s="1"/>
  <c r="H1155" i="8"/>
  <c r="R1155" i="8" s="1"/>
  <c r="G1155" i="8"/>
  <c r="AH1154" i="8"/>
  <c r="AG1154" i="8"/>
  <c r="AE1154" i="8"/>
  <c r="Y1154" i="8"/>
  <c r="V1154" i="8"/>
  <c r="U1154" i="8"/>
  <c r="T1154" i="8"/>
  <c r="R1154" i="8"/>
  <c r="S1154" i="8" s="1"/>
  <c r="M1154" i="8"/>
  <c r="O1154" i="8" s="1"/>
  <c r="L1154" i="8"/>
  <c r="N1154" i="8" s="1"/>
  <c r="H1154" i="8"/>
  <c r="G1154" i="8"/>
  <c r="AH1153" i="8"/>
  <c r="AG1153" i="8"/>
  <c r="AE1153" i="8"/>
  <c r="Y1153" i="8"/>
  <c r="W1153" i="8"/>
  <c r="V1153" i="8"/>
  <c r="U1153" i="8"/>
  <c r="T1153" i="8"/>
  <c r="N1153" i="8"/>
  <c r="M1153" i="8"/>
  <c r="O1153" i="8" s="1"/>
  <c r="L1153" i="8"/>
  <c r="H1153" i="8"/>
  <c r="R1153" i="8" s="1"/>
  <c r="S1153" i="8" s="1"/>
  <c r="G1153" i="8"/>
  <c r="AH1152" i="8"/>
  <c r="AG1152" i="8"/>
  <c r="AE1152" i="8"/>
  <c r="AC1152" i="8"/>
  <c r="AF1152" i="8" s="1"/>
  <c r="Y1152" i="8"/>
  <c r="V1152" i="8"/>
  <c r="U1152" i="8"/>
  <c r="W1152" i="8" s="1"/>
  <c r="AA1152" i="8" s="1"/>
  <c r="T1152" i="8"/>
  <c r="P1152" i="8"/>
  <c r="Z1152" i="8" s="1"/>
  <c r="N1152" i="8"/>
  <c r="M1152" i="8"/>
  <c r="L1152" i="8"/>
  <c r="H1152" i="8"/>
  <c r="R1152" i="8" s="1"/>
  <c r="G1152" i="8"/>
  <c r="AH1151" i="8"/>
  <c r="AG1151" i="8"/>
  <c r="AE1151" i="8"/>
  <c r="Y1151" i="8"/>
  <c r="V1151" i="8"/>
  <c r="U1151" i="8"/>
  <c r="W1151" i="8" s="1"/>
  <c r="AA1151" i="8" s="1"/>
  <c r="T1151" i="8"/>
  <c r="P1151" i="8"/>
  <c r="Z1151" i="8" s="1"/>
  <c r="M1151" i="8"/>
  <c r="L1151" i="8"/>
  <c r="N1151" i="8" s="1"/>
  <c r="H1151" i="8"/>
  <c r="R1151" i="8" s="1"/>
  <c r="G1151" i="8"/>
  <c r="AH1150" i="8"/>
  <c r="AG1150" i="8"/>
  <c r="AE1150" i="8"/>
  <c r="Y1150" i="8"/>
  <c r="V1150" i="8"/>
  <c r="W1150" i="8" s="1"/>
  <c r="U1150" i="8"/>
  <c r="T1150" i="8"/>
  <c r="R1150" i="8"/>
  <c r="S1150" i="8" s="1"/>
  <c r="M1150" i="8"/>
  <c r="O1150" i="8" s="1"/>
  <c r="L1150" i="8"/>
  <c r="N1150" i="8" s="1"/>
  <c r="H1150" i="8"/>
  <c r="G1150" i="8"/>
  <c r="AH1149" i="8"/>
  <c r="AG1149" i="8"/>
  <c r="AE1149" i="8"/>
  <c r="Y1149" i="8"/>
  <c r="W1149" i="8"/>
  <c r="V1149" i="8"/>
  <c r="U1149" i="8"/>
  <c r="T1149" i="8"/>
  <c r="N1149" i="8"/>
  <c r="M1149" i="8"/>
  <c r="O1149" i="8" s="1"/>
  <c r="L1149" i="8"/>
  <c r="H1149" i="8"/>
  <c r="R1149" i="8" s="1"/>
  <c r="S1149" i="8" s="1"/>
  <c r="G1149" i="8"/>
  <c r="AH1148" i="8"/>
  <c r="AG1148" i="8"/>
  <c r="AE1148" i="8"/>
  <c r="Y1148" i="8"/>
  <c r="AC1148" i="8" s="1"/>
  <c r="V1148" i="8"/>
  <c r="U1148" i="8"/>
  <c r="W1148" i="8" s="1"/>
  <c r="AA1148" i="8" s="1"/>
  <c r="T1148" i="8"/>
  <c r="P1148" i="8"/>
  <c r="Z1148" i="8" s="1"/>
  <c r="N1148" i="8"/>
  <c r="M1148" i="8"/>
  <c r="L1148" i="8"/>
  <c r="H1148" i="8"/>
  <c r="R1148" i="8" s="1"/>
  <c r="G1148" i="8"/>
  <c r="AH1147" i="8"/>
  <c r="AG1147" i="8"/>
  <c r="AE1147" i="8"/>
  <c r="Y1147" i="8"/>
  <c r="V1147" i="8"/>
  <c r="U1147" i="8"/>
  <c r="W1147" i="8" s="1"/>
  <c r="AA1147" i="8" s="1"/>
  <c r="T1147" i="8"/>
  <c r="P1147" i="8"/>
  <c r="Z1147" i="8" s="1"/>
  <c r="M1147" i="8"/>
  <c r="L1147" i="8"/>
  <c r="N1147" i="8" s="1"/>
  <c r="H1147" i="8"/>
  <c r="R1147" i="8" s="1"/>
  <c r="G1147" i="8"/>
  <c r="AH1146" i="8"/>
  <c r="AG1146" i="8"/>
  <c r="AE1146" i="8"/>
  <c r="Y1146" i="8"/>
  <c r="V1146" i="8"/>
  <c r="U1146" i="8"/>
  <c r="T1146" i="8"/>
  <c r="R1146" i="8"/>
  <c r="S1146" i="8" s="1"/>
  <c r="M1146" i="8"/>
  <c r="O1146" i="8" s="1"/>
  <c r="L1146" i="8"/>
  <c r="N1146" i="8" s="1"/>
  <c r="H1146" i="8"/>
  <c r="G1146" i="8"/>
  <c r="AH1145" i="8"/>
  <c r="AG1145" i="8"/>
  <c r="AE1145" i="8"/>
  <c r="Y1145" i="8"/>
  <c r="W1145" i="8"/>
  <c r="V1145" i="8"/>
  <c r="U1145" i="8"/>
  <c r="T1145" i="8"/>
  <c r="N1145" i="8"/>
  <c r="M1145" i="8"/>
  <c r="O1145" i="8" s="1"/>
  <c r="L1145" i="8"/>
  <c r="H1145" i="8"/>
  <c r="R1145" i="8" s="1"/>
  <c r="S1145" i="8" s="1"/>
  <c r="G1145" i="8"/>
  <c r="AH1144" i="8"/>
  <c r="AG1144" i="8"/>
  <c r="AE1144" i="8"/>
  <c r="AC1144" i="8"/>
  <c r="AF1144" i="8" s="1"/>
  <c r="Y1144" i="8"/>
  <c r="V1144" i="8"/>
  <c r="U1144" i="8"/>
  <c r="W1144" i="8" s="1"/>
  <c r="AA1144" i="8" s="1"/>
  <c r="T1144" i="8"/>
  <c r="P1144" i="8"/>
  <c r="Z1144" i="8" s="1"/>
  <c r="N1144" i="8"/>
  <c r="M1144" i="8"/>
  <c r="L1144" i="8"/>
  <c r="H1144" i="8"/>
  <c r="R1144" i="8" s="1"/>
  <c r="G1144" i="8"/>
  <c r="AH1143" i="8"/>
  <c r="AG1143" i="8"/>
  <c r="AE1143" i="8"/>
  <c r="Y1143" i="8"/>
  <c r="V1143" i="8"/>
  <c r="U1143" i="8"/>
  <c r="W1143" i="8" s="1"/>
  <c r="AA1143" i="8" s="1"/>
  <c r="T1143" i="8"/>
  <c r="P1143" i="8"/>
  <c r="Z1143" i="8" s="1"/>
  <c r="M1143" i="8"/>
  <c r="L1143" i="8"/>
  <c r="N1143" i="8" s="1"/>
  <c r="H1143" i="8"/>
  <c r="R1143" i="8" s="1"/>
  <c r="G1143" i="8"/>
  <c r="AH1142" i="8"/>
  <c r="AG1142" i="8"/>
  <c r="AE1142" i="8"/>
  <c r="Y1142" i="8"/>
  <c r="V1142" i="8"/>
  <c r="W1142" i="8" s="1"/>
  <c r="U1142" i="8"/>
  <c r="T1142" i="8"/>
  <c r="R1142" i="8"/>
  <c r="S1142" i="8" s="1"/>
  <c r="M1142" i="8"/>
  <c r="O1142" i="8" s="1"/>
  <c r="L1142" i="8"/>
  <c r="N1142" i="8" s="1"/>
  <c r="H1142" i="8"/>
  <c r="G1142" i="8"/>
  <c r="AH1141" i="8"/>
  <c r="AG1141" i="8"/>
  <c r="AE1141" i="8"/>
  <c r="Y1141" i="8"/>
  <c r="W1141" i="8"/>
  <c r="V1141" i="8"/>
  <c r="U1141" i="8"/>
  <c r="T1141" i="8"/>
  <c r="N1141" i="8"/>
  <c r="M1141" i="8"/>
  <c r="O1141" i="8" s="1"/>
  <c r="L1141" i="8"/>
  <c r="H1141" i="8"/>
  <c r="R1141" i="8" s="1"/>
  <c r="S1141" i="8" s="1"/>
  <c r="G1141" i="8"/>
  <c r="AH1140" i="8"/>
  <c r="AG1140" i="8"/>
  <c r="AE1140" i="8"/>
  <c r="Y1140" i="8"/>
  <c r="AC1140" i="8" s="1"/>
  <c r="V1140" i="8"/>
  <c r="U1140" i="8"/>
  <c r="W1140" i="8" s="1"/>
  <c r="AA1140" i="8" s="1"/>
  <c r="T1140" i="8"/>
  <c r="P1140" i="8"/>
  <c r="Z1140" i="8" s="1"/>
  <c r="N1140" i="8"/>
  <c r="M1140" i="8"/>
  <c r="L1140" i="8"/>
  <c r="H1140" i="8"/>
  <c r="R1140" i="8" s="1"/>
  <c r="G1140" i="8"/>
  <c r="AH1139" i="8"/>
  <c r="AG1139" i="8"/>
  <c r="AE1139" i="8"/>
  <c r="Y1139" i="8"/>
  <c r="V1139" i="8"/>
  <c r="U1139" i="8"/>
  <c r="W1139" i="8" s="1"/>
  <c r="AA1139" i="8" s="1"/>
  <c r="T1139" i="8"/>
  <c r="P1139" i="8"/>
  <c r="Z1139" i="8" s="1"/>
  <c r="M1139" i="8"/>
  <c r="L1139" i="8"/>
  <c r="N1139" i="8" s="1"/>
  <c r="H1139" i="8"/>
  <c r="R1139" i="8" s="1"/>
  <c r="G1139" i="8"/>
  <c r="AH1138" i="8"/>
  <c r="AG1138" i="8"/>
  <c r="AE1138" i="8"/>
  <c r="Y1138" i="8"/>
  <c r="V1138" i="8"/>
  <c r="U1138" i="8"/>
  <c r="T1138" i="8"/>
  <c r="R1138" i="8"/>
  <c r="S1138" i="8" s="1"/>
  <c r="M1138" i="8"/>
  <c r="O1138" i="8" s="1"/>
  <c r="L1138" i="8"/>
  <c r="N1138" i="8" s="1"/>
  <c r="H1138" i="8"/>
  <c r="G1138" i="8"/>
  <c r="AH1137" i="8"/>
  <c r="AG1137" i="8"/>
  <c r="AE1137" i="8"/>
  <c r="Y1137" i="8"/>
  <c r="W1137" i="8"/>
  <c r="V1137" i="8"/>
  <c r="U1137" i="8"/>
  <c r="T1137" i="8"/>
  <c r="N1137" i="8"/>
  <c r="M1137" i="8"/>
  <c r="O1137" i="8" s="1"/>
  <c r="L1137" i="8"/>
  <c r="H1137" i="8"/>
  <c r="R1137" i="8" s="1"/>
  <c r="S1137" i="8" s="1"/>
  <c r="G1137" i="8"/>
  <c r="AH1136" i="8"/>
  <c r="AG1136" i="8"/>
  <c r="AE1136" i="8"/>
  <c r="AC1136" i="8"/>
  <c r="AF1136" i="8" s="1"/>
  <c r="Y1136" i="8"/>
  <c r="V1136" i="8"/>
  <c r="U1136" i="8"/>
  <c r="W1136" i="8" s="1"/>
  <c r="AA1136" i="8" s="1"/>
  <c r="T1136" i="8"/>
  <c r="P1136" i="8"/>
  <c r="Z1136" i="8" s="1"/>
  <c r="N1136" i="8"/>
  <c r="M1136" i="8"/>
  <c r="L1136" i="8"/>
  <c r="H1136" i="8"/>
  <c r="R1136" i="8" s="1"/>
  <c r="G1136" i="8"/>
  <c r="AH1135" i="8"/>
  <c r="AG1135" i="8"/>
  <c r="AE1135" i="8"/>
  <c r="Y1135" i="8"/>
  <c r="V1135" i="8"/>
  <c r="U1135" i="8"/>
  <c r="W1135" i="8" s="1"/>
  <c r="AA1135" i="8" s="1"/>
  <c r="T1135" i="8"/>
  <c r="P1135" i="8"/>
  <c r="Z1135" i="8" s="1"/>
  <c r="M1135" i="8"/>
  <c r="L1135" i="8"/>
  <c r="N1135" i="8" s="1"/>
  <c r="H1135" i="8"/>
  <c r="R1135" i="8" s="1"/>
  <c r="G1135" i="8"/>
  <c r="AH1134" i="8"/>
  <c r="AG1134" i="8"/>
  <c r="AE1134" i="8"/>
  <c r="Y1134" i="8"/>
  <c r="V1134" i="8"/>
  <c r="W1134" i="8" s="1"/>
  <c r="U1134" i="8"/>
  <c r="T1134" i="8"/>
  <c r="R1134" i="8"/>
  <c r="S1134" i="8" s="1"/>
  <c r="M1134" i="8"/>
  <c r="O1134" i="8" s="1"/>
  <c r="L1134" i="8"/>
  <c r="N1134" i="8" s="1"/>
  <c r="H1134" i="8"/>
  <c r="G1134" i="8"/>
  <c r="AH1133" i="8"/>
  <c r="AG1133" i="8"/>
  <c r="AE1133" i="8"/>
  <c r="Y1133" i="8"/>
  <c r="W1133" i="8"/>
  <c r="V1133" i="8"/>
  <c r="U1133" i="8"/>
  <c r="T1133" i="8"/>
  <c r="N1133" i="8"/>
  <c r="M1133" i="8"/>
  <c r="O1133" i="8" s="1"/>
  <c r="L1133" i="8"/>
  <c r="H1133" i="8"/>
  <c r="R1133" i="8" s="1"/>
  <c r="S1133" i="8" s="1"/>
  <c r="G1133" i="8"/>
  <c r="AH1132" i="8"/>
  <c r="AG1132" i="8"/>
  <c r="AE1132" i="8"/>
  <c r="Y1132" i="8"/>
  <c r="V1132" i="8"/>
  <c r="U1132" i="8"/>
  <c r="W1132" i="8" s="1"/>
  <c r="AA1132" i="8" s="1"/>
  <c r="T1132" i="8"/>
  <c r="P1132" i="8"/>
  <c r="Z1132" i="8" s="1"/>
  <c r="N1132" i="8"/>
  <c r="M1132" i="8"/>
  <c r="L1132" i="8"/>
  <c r="H1132" i="8"/>
  <c r="R1132" i="8" s="1"/>
  <c r="G1132" i="8"/>
  <c r="AH1131" i="8"/>
  <c r="AG1131" i="8"/>
  <c r="AE1131" i="8"/>
  <c r="Y1131" i="8"/>
  <c r="V1131" i="8"/>
  <c r="U1131" i="8"/>
  <c r="W1131" i="8" s="1"/>
  <c r="AA1131" i="8" s="1"/>
  <c r="T1131" i="8"/>
  <c r="P1131" i="8"/>
  <c r="Z1131" i="8" s="1"/>
  <c r="M1131" i="8"/>
  <c r="L1131" i="8"/>
  <c r="N1131" i="8" s="1"/>
  <c r="H1131" i="8"/>
  <c r="R1131" i="8" s="1"/>
  <c r="G1131" i="8"/>
  <c r="AH1130" i="8"/>
  <c r="AG1130" i="8"/>
  <c r="AE1130" i="8"/>
  <c r="Y1130" i="8"/>
  <c r="V1130" i="8"/>
  <c r="U1130" i="8"/>
  <c r="T1130" i="8"/>
  <c r="R1130" i="8"/>
  <c r="S1130" i="8" s="1"/>
  <c r="M1130" i="8"/>
  <c r="O1130" i="8" s="1"/>
  <c r="L1130" i="8"/>
  <c r="N1130" i="8" s="1"/>
  <c r="H1130" i="8"/>
  <c r="G1130" i="8"/>
  <c r="AH1129" i="8"/>
  <c r="AG1129" i="8"/>
  <c r="AE1129" i="8"/>
  <c r="Y1129" i="8"/>
  <c r="W1129" i="8"/>
  <c r="V1129" i="8"/>
  <c r="U1129" i="8"/>
  <c r="T1129" i="8"/>
  <c r="N1129" i="8"/>
  <c r="M1129" i="8"/>
  <c r="L1129" i="8"/>
  <c r="H1129" i="8"/>
  <c r="R1129" i="8" s="1"/>
  <c r="G1129" i="8"/>
  <c r="AH1128" i="8"/>
  <c r="AG1128" i="8"/>
  <c r="AE1128" i="8"/>
  <c r="Y1128" i="8"/>
  <c r="X1128" i="8" s="1"/>
  <c r="AB1128" i="8" s="1"/>
  <c r="V1128" i="8"/>
  <c r="U1128" i="8"/>
  <c r="W1128" i="8" s="1"/>
  <c r="AA1128" i="8" s="1"/>
  <c r="T1128" i="8"/>
  <c r="P1128" i="8"/>
  <c r="Z1128" i="8" s="1"/>
  <c r="N1128" i="8"/>
  <c r="M1128" i="8"/>
  <c r="L1128" i="8"/>
  <c r="H1128" i="8"/>
  <c r="R1128" i="8" s="1"/>
  <c r="G1128" i="8"/>
  <c r="AH1127" i="8"/>
  <c r="AG1127" i="8"/>
  <c r="AE1127" i="8"/>
  <c r="AD1127" i="8"/>
  <c r="Z1127" i="8"/>
  <c r="Y1127" i="8"/>
  <c r="V1127" i="8"/>
  <c r="U1127" i="8"/>
  <c r="W1127" i="8" s="1"/>
  <c r="AA1127" i="8" s="1"/>
  <c r="T1127" i="8"/>
  <c r="P1127" i="8"/>
  <c r="AC1127" i="8" s="1"/>
  <c r="AF1127" i="8" s="1"/>
  <c r="M1127" i="8"/>
  <c r="L1127" i="8"/>
  <c r="H1127" i="8"/>
  <c r="R1127" i="8" s="1"/>
  <c r="G1127" i="8"/>
  <c r="AH1126" i="8"/>
  <c r="AG1126" i="8"/>
  <c r="AE1126" i="8"/>
  <c r="Y1126" i="8"/>
  <c r="V1126" i="8"/>
  <c r="U1126" i="8"/>
  <c r="T1126" i="8"/>
  <c r="R1126" i="8"/>
  <c r="S1126" i="8" s="1"/>
  <c r="M1126" i="8"/>
  <c r="O1126" i="8" s="1"/>
  <c r="L1126" i="8"/>
  <c r="N1126" i="8" s="1"/>
  <c r="H1126" i="8"/>
  <c r="G1126" i="8"/>
  <c r="AH1125" i="8"/>
  <c r="AG1125" i="8"/>
  <c r="AE1125" i="8"/>
  <c r="Y1125" i="8"/>
  <c r="W1125" i="8"/>
  <c r="V1125" i="8"/>
  <c r="U1125" i="8"/>
  <c r="T1125" i="8"/>
  <c r="N1125" i="8"/>
  <c r="M1125" i="8"/>
  <c r="L1125" i="8"/>
  <c r="H1125" i="8"/>
  <c r="R1125" i="8" s="1"/>
  <c r="G1125" i="8"/>
  <c r="AH1124" i="8"/>
  <c r="AG1124" i="8"/>
  <c r="AE1124" i="8"/>
  <c r="Y1124" i="8"/>
  <c r="X1124" i="8" s="1"/>
  <c r="AB1124" i="8" s="1"/>
  <c r="V1124" i="8"/>
  <c r="U1124" i="8"/>
  <c r="W1124" i="8" s="1"/>
  <c r="AA1124" i="8" s="1"/>
  <c r="T1124" i="8"/>
  <c r="P1124" i="8"/>
  <c r="Z1124" i="8" s="1"/>
  <c r="N1124" i="8"/>
  <c r="M1124" i="8"/>
  <c r="L1124" i="8"/>
  <c r="H1124" i="8"/>
  <c r="R1124" i="8" s="1"/>
  <c r="G1124" i="8"/>
  <c r="AH1123" i="8"/>
  <c r="AG1123" i="8"/>
  <c r="AE1123" i="8"/>
  <c r="Z1123" i="8"/>
  <c r="Y1123" i="8"/>
  <c r="V1123" i="8"/>
  <c r="U1123" i="8"/>
  <c r="W1123" i="8" s="1"/>
  <c r="AA1123" i="8" s="1"/>
  <c r="T1123" i="8"/>
  <c r="P1123" i="8"/>
  <c r="M1123" i="8"/>
  <c r="L1123" i="8"/>
  <c r="H1123" i="8"/>
  <c r="R1123" i="8" s="1"/>
  <c r="G1123" i="8"/>
  <c r="AH1122" i="8"/>
  <c r="AG1122" i="8"/>
  <c r="AE1122" i="8"/>
  <c r="Y1122" i="8"/>
  <c r="V1122" i="8"/>
  <c r="U1122" i="8"/>
  <c r="T1122" i="8"/>
  <c r="S1122" i="8"/>
  <c r="R1122" i="8"/>
  <c r="M1122" i="8"/>
  <c r="O1122" i="8" s="1"/>
  <c r="L1122" i="8"/>
  <c r="N1122" i="8" s="1"/>
  <c r="H1122" i="8"/>
  <c r="G1122" i="8"/>
  <c r="AH1121" i="8"/>
  <c r="AG1121" i="8"/>
  <c r="AE1121" i="8"/>
  <c r="Y1121" i="8"/>
  <c r="V1121" i="8"/>
  <c r="U1121" i="8"/>
  <c r="W1121" i="8" s="1"/>
  <c r="T1121" i="8"/>
  <c r="P1121" i="8"/>
  <c r="Z1121" i="8" s="1"/>
  <c r="X1121" i="8" s="1"/>
  <c r="AB1121" i="8" s="1"/>
  <c r="M1121" i="8"/>
  <c r="L1121" i="8"/>
  <c r="H1121" i="8"/>
  <c r="R1121" i="8" s="1"/>
  <c r="G1121" i="8"/>
  <c r="AH1120" i="8"/>
  <c r="AG1120" i="8"/>
  <c r="AE1120" i="8"/>
  <c r="Y1120" i="8"/>
  <c r="X1120" i="8" s="1"/>
  <c r="AB1120" i="8" s="1"/>
  <c r="V1120" i="8"/>
  <c r="U1120" i="8"/>
  <c r="W1120" i="8" s="1"/>
  <c r="AA1120" i="8" s="1"/>
  <c r="T1120" i="8"/>
  <c r="P1120" i="8"/>
  <c r="Z1120" i="8" s="1"/>
  <c r="M1120" i="8"/>
  <c r="L1120" i="8"/>
  <c r="N1120" i="8" s="1"/>
  <c r="H1120" i="8"/>
  <c r="R1120" i="8" s="1"/>
  <c r="G1120" i="8"/>
  <c r="AH1119" i="8"/>
  <c r="AG1119" i="8"/>
  <c r="AE1119" i="8"/>
  <c r="Y1119" i="8"/>
  <c r="AC1119" i="8" s="1"/>
  <c r="X1119" i="8"/>
  <c r="AB1119" i="8" s="1"/>
  <c r="V1119" i="8"/>
  <c r="U1119" i="8"/>
  <c r="W1119" i="8" s="1"/>
  <c r="AA1119" i="8" s="1"/>
  <c r="T1119" i="8"/>
  <c r="P1119" i="8"/>
  <c r="Z1119" i="8" s="1"/>
  <c r="M1119" i="8"/>
  <c r="L1119" i="8"/>
  <c r="H1119" i="8"/>
  <c r="R1119" i="8" s="1"/>
  <c r="G1119" i="8"/>
  <c r="AH1118" i="8"/>
  <c r="AG1118" i="8"/>
  <c r="AE1118" i="8"/>
  <c r="Y1118" i="8"/>
  <c r="AC1118" i="8" s="1"/>
  <c r="X1118" i="8"/>
  <c r="AB1118" i="8" s="1"/>
  <c r="V1118" i="8"/>
  <c r="U1118" i="8"/>
  <c r="W1118" i="8" s="1"/>
  <c r="AA1118" i="8" s="1"/>
  <c r="T1118" i="8"/>
  <c r="P1118" i="8"/>
  <c r="Z1118" i="8" s="1"/>
  <c r="M1118" i="8"/>
  <c r="L1118" i="8"/>
  <c r="H1118" i="8"/>
  <c r="R1118" i="8" s="1"/>
  <c r="G1118" i="8"/>
  <c r="AH1117" i="8"/>
  <c r="AG1117" i="8"/>
  <c r="AE1117" i="8"/>
  <c r="Y1117" i="8"/>
  <c r="AC1117" i="8" s="1"/>
  <c r="X1117" i="8"/>
  <c r="AB1117" i="8" s="1"/>
  <c r="V1117" i="8"/>
  <c r="U1117" i="8"/>
  <c r="W1117" i="8" s="1"/>
  <c r="T1117" i="8"/>
  <c r="P1117" i="8"/>
  <c r="Z1117" i="8" s="1"/>
  <c r="M1117" i="8"/>
  <c r="L1117" i="8"/>
  <c r="H1117" i="8"/>
  <c r="R1117" i="8" s="1"/>
  <c r="G1117" i="8"/>
  <c r="AH1116" i="8"/>
  <c r="AG1116" i="8"/>
  <c r="AE1116" i="8"/>
  <c r="Z1116" i="8"/>
  <c r="Y1116" i="8"/>
  <c r="AC1116" i="8" s="1"/>
  <c r="V1116" i="8"/>
  <c r="U1116" i="8"/>
  <c r="W1116" i="8" s="1"/>
  <c r="T1116" i="8"/>
  <c r="R1116" i="8"/>
  <c r="P1116" i="8"/>
  <c r="O1116" i="8"/>
  <c r="M1116" i="8"/>
  <c r="L1116" i="8"/>
  <c r="N1116" i="8" s="1"/>
  <c r="H1116" i="8"/>
  <c r="G1116" i="8"/>
  <c r="AH1115" i="8"/>
  <c r="AG1115" i="8"/>
  <c r="AF1115" i="8"/>
  <c r="AE1115" i="8"/>
  <c r="AC1115" i="8"/>
  <c r="AD1115" i="8" s="1"/>
  <c r="Y1115" i="8"/>
  <c r="V1115" i="8"/>
  <c r="U1115" i="8"/>
  <c r="W1115" i="8" s="1"/>
  <c r="AA1115" i="8" s="1"/>
  <c r="T1115" i="8"/>
  <c r="P1115" i="8"/>
  <c r="Z1115" i="8" s="1"/>
  <c r="X1115" i="8" s="1"/>
  <c r="AB1115" i="8" s="1"/>
  <c r="M1115" i="8"/>
  <c r="L1115" i="8"/>
  <c r="H1115" i="8"/>
  <c r="R1115" i="8" s="1"/>
  <c r="G1115" i="8"/>
  <c r="AH1114" i="8"/>
  <c r="AG1114" i="8"/>
  <c r="AE1114" i="8"/>
  <c r="Z1114" i="8"/>
  <c r="Y1114" i="8"/>
  <c r="AC1114" i="8" s="1"/>
  <c r="X1114" i="8"/>
  <c r="AB1114" i="8" s="1"/>
  <c r="V1114" i="8"/>
  <c r="U1114" i="8"/>
  <c r="W1114" i="8" s="1"/>
  <c r="T1114" i="8"/>
  <c r="P1114" i="8"/>
  <c r="M1114" i="8"/>
  <c r="L1114" i="8"/>
  <c r="N1114" i="8" s="1"/>
  <c r="H1114" i="8"/>
  <c r="R1114" i="8" s="1"/>
  <c r="G1114" i="8"/>
  <c r="AH1113" i="8"/>
  <c r="AG1113" i="8"/>
  <c r="AE1113" i="8"/>
  <c r="Y1113" i="8"/>
  <c r="V1113" i="8"/>
  <c r="U1113" i="8"/>
  <c r="W1113" i="8" s="1"/>
  <c r="T1113" i="8"/>
  <c r="R1113" i="8"/>
  <c r="P1113" i="8"/>
  <c r="AC1113" i="8" s="1"/>
  <c r="O1113" i="8"/>
  <c r="M1113" i="8"/>
  <c r="L1113" i="8"/>
  <c r="H1113" i="8"/>
  <c r="G1113" i="8"/>
  <c r="AH1112" i="8"/>
  <c r="AG1112" i="8"/>
  <c r="AE1112" i="8"/>
  <c r="Z1112" i="8"/>
  <c r="Y1112" i="8"/>
  <c r="AC1112" i="8" s="1"/>
  <c r="X1112" i="8"/>
  <c r="AB1112" i="8" s="1"/>
  <c r="V1112" i="8"/>
  <c r="U1112" i="8"/>
  <c r="W1112" i="8" s="1"/>
  <c r="AA1112" i="8" s="1"/>
  <c r="T1112" i="8"/>
  <c r="P1112" i="8"/>
  <c r="M1112" i="8"/>
  <c r="L1112" i="8"/>
  <c r="N1112" i="8" s="1"/>
  <c r="H1112" i="8"/>
  <c r="O1112" i="8" s="1"/>
  <c r="G1112" i="8"/>
  <c r="AH1111" i="8"/>
  <c r="AG1111" i="8"/>
  <c r="AE1111" i="8"/>
  <c r="Y1111" i="8"/>
  <c r="AC1111" i="8" s="1"/>
  <c r="V1111" i="8"/>
  <c r="U1111" i="8"/>
  <c r="W1111" i="8" s="1"/>
  <c r="T1111" i="8"/>
  <c r="P1111" i="8"/>
  <c r="Z1111" i="8" s="1"/>
  <c r="O1111" i="8"/>
  <c r="M1111" i="8"/>
  <c r="L1111" i="8"/>
  <c r="N1111" i="8" s="1"/>
  <c r="H1111" i="8"/>
  <c r="R1111" i="8" s="1"/>
  <c r="S1111" i="8" s="1"/>
  <c r="G1111" i="8"/>
  <c r="AH1110" i="8"/>
  <c r="AG1110" i="8"/>
  <c r="AE1110" i="8"/>
  <c r="AC1110" i="8"/>
  <c r="Y1110" i="8"/>
  <c r="V1110" i="8"/>
  <c r="U1110" i="8"/>
  <c r="W1110" i="8" s="1"/>
  <c r="AA1110" i="8" s="1"/>
  <c r="T1110" i="8"/>
  <c r="R1110" i="8"/>
  <c r="P1110" i="8"/>
  <c r="Z1110" i="8" s="1"/>
  <c r="X1110" i="8" s="1"/>
  <c r="AB1110" i="8" s="1"/>
  <c r="M1110" i="8"/>
  <c r="L1110" i="8"/>
  <c r="H1110" i="8"/>
  <c r="O1110" i="8" s="1"/>
  <c r="G1110" i="8"/>
  <c r="AH1109" i="8"/>
  <c r="AG1109" i="8"/>
  <c r="AE1109" i="8"/>
  <c r="Z1109" i="8"/>
  <c r="Y1109" i="8"/>
  <c r="AC1109" i="8" s="1"/>
  <c r="X1109" i="8"/>
  <c r="AB1109" i="8" s="1"/>
  <c r="V1109" i="8"/>
  <c r="U1109" i="8"/>
  <c r="W1109" i="8" s="1"/>
  <c r="AA1109" i="8" s="1"/>
  <c r="T1109" i="8"/>
  <c r="P1109" i="8"/>
  <c r="M1109" i="8"/>
  <c r="L1109" i="8"/>
  <c r="H1109" i="8"/>
  <c r="O1109" i="8" s="1"/>
  <c r="G1109" i="8"/>
  <c r="AH1108" i="8"/>
  <c r="AG1108" i="8"/>
  <c r="AE1108" i="8"/>
  <c r="Z1108" i="8"/>
  <c r="Y1108" i="8"/>
  <c r="AC1108" i="8" s="1"/>
  <c r="V1108" i="8"/>
  <c r="U1108" i="8"/>
  <c r="W1108" i="8" s="1"/>
  <c r="T1108" i="8"/>
  <c r="R1108" i="8"/>
  <c r="P1108" i="8"/>
  <c r="O1108" i="8"/>
  <c r="M1108" i="8"/>
  <c r="L1108" i="8"/>
  <c r="N1108" i="8" s="1"/>
  <c r="H1108" i="8"/>
  <c r="G1108" i="8"/>
  <c r="AH1107" i="8"/>
  <c r="AG1107" i="8"/>
  <c r="AF1107" i="8"/>
  <c r="AE1107" i="8"/>
  <c r="AC1107" i="8"/>
  <c r="AD1107" i="8" s="1"/>
  <c r="Y1107" i="8"/>
  <c r="V1107" i="8"/>
  <c r="U1107" i="8"/>
  <c r="W1107" i="8" s="1"/>
  <c r="AA1107" i="8" s="1"/>
  <c r="T1107" i="8"/>
  <c r="P1107" i="8"/>
  <c r="Z1107" i="8" s="1"/>
  <c r="X1107" i="8" s="1"/>
  <c r="AB1107" i="8" s="1"/>
  <c r="M1107" i="8"/>
  <c r="L1107" i="8"/>
  <c r="H1107" i="8"/>
  <c r="R1107" i="8" s="1"/>
  <c r="G1107" i="8"/>
  <c r="AH1106" i="8"/>
  <c r="AG1106" i="8"/>
  <c r="AE1106" i="8"/>
  <c r="Z1106" i="8"/>
  <c r="Y1106" i="8"/>
  <c r="AC1106" i="8" s="1"/>
  <c r="X1106" i="8"/>
  <c r="AB1106" i="8" s="1"/>
  <c r="V1106" i="8"/>
  <c r="U1106" i="8"/>
  <c r="W1106" i="8" s="1"/>
  <c r="T1106" i="8"/>
  <c r="P1106" i="8"/>
  <c r="M1106" i="8"/>
  <c r="L1106" i="8"/>
  <c r="N1106" i="8" s="1"/>
  <c r="H1106" i="8"/>
  <c r="R1106" i="8" s="1"/>
  <c r="G1106" i="8"/>
  <c r="AH1105" i="8"/>
  <c r="AG1105" i="8"/>
  <c r="AE1105" i="8"/>
  <c r="Y1105" i="8"/>
  <c r="V1105" i="8"/>
  <c r="U1105" i="8"/>
  <c r="W1105" i="8" s="1"/>
  <c r="T1105" i="8"/>
  <c r="R1105" i="8"/>
  <c r="P1105" i="8"/>
  <c r="AC1105" i="8" s="1"/>
  <c r="O1105" i="8"/>
  <c r="M1105" i="8"/>
  <c r="L1105" i="8"/>
  <c r="H1105" i="8"/>
  <c r="G1105" i="8"/>
  <c r="AH1104" i="8"/>
  <c r="AG1104" i="8"/>
  <c r="AE1104" i="8"/>
  <c r="Z1104" i="8"/>
  <c r="Y1104" i="8"/>
  <c r="AC1104" i="8" s="1"/>
  <c r="X1104" i="8"/>
  <c r="AB1104" i="8" s="1"/>
  <c r="V1104" i="8"/>
  <c r="U1104" i="8"/>
  <c r="W1104" i="8" s="1"/>
  <c r="AA1104" i="8" s="1"/>
  <c r="T1104" i="8"/>
  <c r="P1104" i="8"/>
  <c r="M1104" i="8"/>
  <c r="L1104" i="8"/>
  <c r="N1104" i="8" s="1"/>
  <c r="H1104" i="8"/>
  <c r="O1104" i="8" s="1"/>
  <c r="G1104" i="8"/>
  <c r="AH1103" i="8"/>
  <c r="AG1103" i="8"/>
  <c r="AE1103" i="8"/>
  <c r="Y1103" i="8"/>
  <c r="AC1103" i="8" s="1"/>
  <c r="V1103" i="8"/>
  <c r="U1103" i="8"/>
  <c r="W1103" i="8" s="1"/>
  <c r="T1103" i="8"/>
  <c r="R1103" i="8"/>
  <c r="P1103" i="8"/>
  <c r="Z1103" i="8" s="1"/>
  <c r="O1103" i="8"/>
  <c r="M1103" i="8"/>
  <c r="L1103" i="8"/>
  <c r="N1103" i="8" s="1"/>
  <c r="H1103" i="8"/>
  <c r="G1103" i="8"/>
  <c r="AH1102" i="8"/>
  <c r="AG1102" i="8"/>
  <c r="AE1102" i="8"/>
  <c r="AC1102" i="8"/>
  <c r="AD1102" i="8" s="1"/>
  <c r="Y1102" i="8"/>
  <c r="V1102" i="8"/>
  <c r="U1102" i="8"/>
  <c r="W1102" i="8" s="1"/>
  <c r="T1102" i="8"/>
  <c r="R1102" i="8"/>
  <c r="P1102" i="8"/>
  <c r="Z1102" i="8" s="1"/>
  <c r="X1102" i="8" s="1"/>
  <c r="AB1102" i="8" s="1"/>
  <c r="M1102" i="8"/>
  <c r="L1102" i="8"/>
  <c r="H1102" i="8"/>
  <c r="O1102" i="8" s="1"/>
  <c r="G1102" i="8"/>
  <c r="AH1101" i="8"/>
  <c r="AG1101" i="8"/>
  <c r="AE1101" i="8"/>
  <c r="Z1101" i="8"/>
  <c r="Y1101" i="8"/>
  <c r="AC1101" i="8" s="1"/>
  <c r="X1101" i="8"/>
  <c r="AB1101" i="8" s="1"/>
  <c r="V1101" i="8"/>
  <c r="U1101" i="8"/>
  <c r="W1101" i="8" s="1"/>
  <c r="AA1101" i="8" s="1"/>
  <c r="T1101" i="8"/>
  <c r="P1101" i="8"/>
  <c r="M1101" i="8"/>
  <c r="L1101" i="8"/>
  <c r="H1101" i="8"/>
  <c r="O1101" i="8" s="1"/>
  <c r="G1101" i="8"/>
  <c r="AH1100" i="8"/>
  <c r="AG1100" i="8"/>
  <c r="AE1100" i="8"/>
  <c r="Z1100" i="8"/>
  <c r="Y1100" i="8"/>
  <c r="AC1100" i="8" s="1"/>
  <c r="V1100" i="8"/>
  <c r="U1100" i="8"/>
  <c r="W1100" i="8" s="1"/>
  <c r="T1100" i="8"/>
  <c r="R1100" i="8"/>
  <c r="P1100" i="8"/>
  <c r="O1100" i="8"/>
  <c r="M1100" i="8"/>
  <c r="L1100" i="8"/>
  <c r="N1100" i="8" s="1"/>
  <c r="H1100" i="8"/>
  <c r="G1100" i="8"/>
  <c r="AH1099" i="8"/>
  <c r="AG1099" i="8"/>
  <c r="AF1099" i="8"/>
  <c r="AE1099" i="8"/>
  <c r="AC1099" i="8"/>
  <c r="AD1099" i="8" s="1"/>
  <c r="Y1099" i="8"/>
  <c r="V1099" i="8"/>
  <c r="U1099" i="8"/>
  <c r="W1099" i="8" s="1"/>
  <c r="AA1099" i="8" s="1"/>
  <c r="T1099" i="8"/>
  <c r="P1099" i="8"/>
  <c r="Z1099" i="8" s="1"/>
  <c r="X1099" i="8" s="1"/>
  <c r="AB1099" i="8" s="1"/>
  <c r="M1099" i="8"/>
  <c r="L1099" i="8"/>
  <c r="H1099" i="8"/>
  <c r="R1099" i="8" s="1"/>
  <c r="G1099" i="8"/>
  <c r="AH1098" i="8"/>
  <c r="AG1098" i="8"/>
  <c r="AE1098" i="8"/>
  <c r="Z1098" i="8"/>
  <c r="Y1098" i="8"/>
  <c r="AC1098" i="8" s="1"/>
  <c r="X1098" i="8"/>
  <c r="AB1098" i="8" s="1"/>
  <c r="V1098" i="8"/>
  <c r="U1098" i="8"/>
  <c r="W1098" i="8" s="1"/>
  <c r="T1098" i="8"/>
  <c r="P1098" i="8"/>
  <c r="M1098" i="8"/>
  <c r="L1098" i="8"/>
  <c r="N1098" i="8" s="1"/>
  <c r="H1098" i="8"/>
  <c r="R1098" i="8" s="1"/>
  <c r="G1098" i="8"/>
  <c r="AH1097" i="8"/>
  <c r="AG1097" i="8"/>
  <c r="AE1097" i="8"/>
  <c r="Y1097" i="8"/>
  <c r="V1097" i="8"/>
  <c r="U1097" i="8"/>
  <c r="W1097" i="8" s="1"/>
  <c r="T1097" i="8"/>
  <c r="R1097" i="8"/>
  <c r="P1097" i="8"/>
  <c r="AC1097" i="8" s="1"/>
  <c r="O1097" i="8"/>
  <c r="M1097" i="8"/>
  <c r="L1097" i="8"/>
  <c r="H1097" i="8"/>
  <c r="G1097" i="8"/>
  <c r="AH1096" i="8"/>
  <c r="AG1096" i="8"/>
  <c r="AE1096" i="8"/>
  <c r="Z1096" i="8"/>
  <c r="Y1096" i="8"/>
  <c r="AC1096" i="8" s="1"/>
  <c r="X1096" i="8"/>
  <c r="AB1096" i="8" s="1"/>
  <c r="V1096" i="8"/>
  <c r="U1096" i="8"/>
  <c r="W1096" i="8" s="1"/>
  <c r="AA1096" i="8" s="1"/>
  <c r="T1096" i="8"/>
  <c r="P1096" i="8"/>
  <c r="M1096" i="8"/>
  <c r="L1096" i="8"/>
  <c r="N1096" i="8" s="1"/>
  <c r="H1096" i="8"/>
  <c r="O1096" i="8" s="1"/>
  <c r="G1096" i="8"/>
  <c r="AH1095" i="8"/>
  <c r="AG1095" i="8"/>
  <c r="AE1095" i="8"/>
  <c r="Y1095" i="8"/>
  <c r="AC1095" i="8" s="1"/>
  <c r="V1095" i="8"/>
  <c r="U1095" i="8"/>
  <c r="W1095" i="8" s="1"/>
  <c r="T1095" i="8"/>
  <c r="R1095" i="8"/>
  <c r="P1095" i="8"/>
  <c r="Z1095" i="8" s="1"/>
  <c r="O1095" i="8"/>
  <c r="M1095" i="8"/>
  <c r="L1095" i="8"/>
  <c r="N1095" i="8" s="1"/>
  <c r="H1095" i="8"/>
  <c r="G1095" i="8"/>
  <c r="AH1094" i="8"/>
  <c r="AG1094" i="8"/>
  <c r="AE1094" i="8"/>
  <c r="AC1094" i="8"/>
  <c r="Y1094" i="8"/>
  <c r="V1094" i="8"/>
  <c r="U1094" i="8"/>
  <c r="W1094" i="8" s="1"/>
  <c r="T1094" i="8"/>
  <c r="R1094" i="8"/>
  <c r="P1094" i="8"/>
  <c r="Z1094" i="8" s="1"/>
  <c r="X1094" i="8" s="1"/>
  <c r="AB1094" i="8" s="1"/>
  <c r="M1094" i="8"/>
  <c r="L1094" i="8"/>
  <c r="N1094" i="8" s="1"/>
  <c r="H1094" i="8"/>
  <c r="O1094" i="8" s="1"/>
  <c r="G1094" i="8"/>
  <c r="AH1093" i="8"/>
  <c r="AG1093" i="8"/>
  <c r="AE1093" i="8"/>
  <c r="Y1093" i="8"/>
  <c r="AC1093" i="8" s="1"/>
  <c r="V1093" i="8"/>
  <c r="U1093" i="8"/>
  <c r="W1093" i="8" s="1"/>
  <c r="AA1093" i="8" s="1"/>
  <c r="T1093" i="8"/>
  <c r="P1093" i="8"/>
  <c r="Z1093" i="8" s="1"/>
  <c r="X1093" i="8" s="1"/>
  <c r="AB1093" i="8" s="1"/>
  <c r="M1093" i="8"/>
  <c r="L1093" i="8"/>
  <c r="H1093" i="8"/>
  <c r="O1093" i="8" s="1"/>
  <c r="G1093" i="8"/>
  <c r="AH1092" i="8"/>
  <c r="AG1092" i="8"/>
  <c r="AE1092" i="8"/>
  <c r="Z1092" i="8"/>
  <c r="Y1092" i="8"/>
  <c r="AC1092" i="8" s="1"/>
  <c r="V1092" i="8"/>
  <c r="U1092" i="8"/>
  <c r="W1092" i="8" s="1"/>
  <c r="T1092" i="8"/>
  <c r="R1092" i="8"/>
  <c r="P1092" i="8"/>
  <c r="O1092" i="8"/>
  <c r="M1092" i="8"/>
  <c r="L1092" i="8"/>
  <c r="N1092" i="8" s="1"/>
  <c r="H1092" i="8"/>
  <c r="G1092" i="8"/>
  <c r="AH1091" i="8"/>
  <c r="AG1091" i="8"/>
  <c r="AF1091" i="8"/>
  <c r="AE1091" i="8"/>
  <c r="AC1091" i="8"/>
  <c r="Y1091" i="8"/>
  <c r="V1091" i="8"/>
  <c r="U1091" i="8"/>
  <c r="W1091" i="8" s="1"/>
  <c r="AA1091" i="8" s="1"/>
  <c r="T1091" i="8"/>
  <c r="P1091" i="8"/>
  <c r="Z1091" i="8" s="1"/>
  <c r="X1091" i="8" s="1"/>
  <c r="AB1091" i="8" s="1"/>
  <c r="M1091" i="8"/>
  <c r="L1091" i="8"/>
  <c r="H1091" i="8"/>
  <c r="R1091" i="8" s="1"/>
  <c r="G1091" i="8"/>
  <c r="AH1090" i="8"/>
  <c r="AG1090" i="8"/>
  <c r="AE1090" i="8"/>
  <c r="Z1090" i="8"/>
  <c r="Y1090" i="8"/>
  <c r="AC1090" i="8" s="1"/>
  <c r="X1090" i="8"/>
  <c r="AB1090" i="8" s="1"/>
  <c r="V1090" i="8"/>
  <c r="U1090" i="8"/>
  <c r="W1090" i="8" s="1"/>
  <c r="T1090" i="8"/>
  <c r="P1090" i="8"/>
  <c r="M1090" i="8"/>
  <c r="L1090" i="8"/>
  <c r="N1090" i="8" s="1"/>
  <c r="H1090" i="8"/>
  <c r="R1090" i="8" s="1"/>
  <c r="G1090" i="8"/>
  <c r="AH1089" i="8"/>
  <c r="AG1089" i="8"/>
  <c r="AE1089" i="8"/>
  <c r="Y1089" i="8"/>
  <c r="V1089" i="8"/>
  <c r="U1089" i="8"/>
  <c r="W1089" i="8" s="1"/>
  <c r="T1089" i="8"/>
  <c r="R1089" i="8"/>
  <c r="P1089" i="8"/>
  <c r="AC1089" i="8" s="1"/>
  <c r="O1089" i="8"/>
  <c r="M1089" i="8"/>
  <c r="L1089" i="8"/>
  <c r="H1089" i="8"/>
  <c r="G1089" i="8"/>
  <c r="AH1088" i="8"/>
  <c r="AG1088" i="8"/>
  <c r="AE1088" i="8"/>
  <c r="Z1088" i="8"/>
  <c r="Y1088" i="8"/>
  <c r="AC1088" i="8" s="1"/>
  <c r="X1088" i="8"/>
  <c r="AB1088" i="8" s="1"/>
  <c r="V1088" i="8"/>
  <c r="U1088" i="8"/>
  <c r="W1088" i="8" s="1"/>
  <c r="AA1088" i="8" s="1"/>
  <c r="T1088" i="8"/>
  <c r="P1088" i="8"/>
  <c r="M1088" i="8"/>
  <c r="L1088" i="8"/>
  <c r="N1088" i="8" s="1"/>
  <c r="H1088" i="8"/>
  <c r="O1088" i="8" s="1"/>
  <c r="G1088" i="8"/>
  <c r="AH1087" i="8"/>
  <c r="AG1087" i="8"/>
  <c r="AE1087" i="8"/>
  <c r="Y1087" i="8"/>
  <c r="AC1087" i="8" s="1"/>
  <c r="V1087" i="8"/>
  <c r="U1087" i="8"/>
  <c r="W1087" i="8" s="1"/>
  <c r="T1087" i="8"/>
  <c r="R1087" i="8"/>
  <c r="P1087" i="8"/>
  <c r="Z1087" i="8" s="1"/>
  <c r="O1087" i="8"/>
  <c r="M1087" i="8"/>
  <c r="L1087" i="8"/>
  <c r="N1087" i="8" s="1"/>
  <c r="H1087" i="8"/>
  <c r="G1087" i="8"/>
  <c r="AH1086" i="8"/>
  <c r="AG1086" i="8"/>
  <c r="AE1086" i="8"/>
  <c r="AC1086" i="8"/>
  <c r="AD1086" i="8" s="1"/>
  <c r="Y1086" i="8"/>
  <c r="V1086" i="8"/>
  <c r="U1086" i="8"/>
  <c r="W1086" i="8" s="1"/>
  <c r="AA1086" i="8" s="1"/>
  <c r="T1086" i="8"/>
  <c r="R1086" i="8"/>
  <c r="P1086" i="8"/>
  <c r="Z1086" i="8" s="1"/>
  <c r="X1086" i="8" s="1"/>
  <c r="AB1086" i="8" s="1"/>
  <c r="M1086" i="8"/>
  <c r="L1086" i="8"/>
  <c r="H1086" i="8"/>
  <c r="O1086" i="8" s="1"/>
  <c r="G1086" i="8"/>
  <c r="AH1085" i="8"/>
  <c r="AG1085" i="8"/>
  <c r="AE1085" i="8"/>
  <c r="Z1085" i="8"/>
  <c r="Y1085" i="8"/>
  <c r="AC1085" i="8" s="1"/>
  <c r="X1085" i="8"/>
  <c r="AB1085" i="8" s="1"/>
  <c r="V1085" i="8"/>
  <c r="U1085" i="8"/>
  <c r="W1085" i="8" s="1"/>
  <c r="AA1085" i="8" s="1"/>
  <c r="T1085" i="8"/>
  <c r="P1085" i="8"/>
  <c r="M1085" i="8"/>
  <c r="L1085" i="8"/>
  <c r="H1085" i="8"/>
  <c r="O1085" i="8" s="1"/>
  <c r="G1085" i="8"/>
  <c r="AH1084" i="8"/>
  <c r="AG1084" i="8"/>
  <c r="AE1084" i="8"/>
  <c r="Z1084" i="8"/>
  <c r="Y1084" i="8"/>
  <c r="AC1084" i="8" s="1"/>
  <c r="V1084" i="8"/>
  <c r="U1084" i="8"/>
  <c r="W1084" i="8" s="1"/>
  <c r="T1084" i="8"/>
  <c r="R1084" i="8"/>
  <c r="P1084" i="8"/>
  <c r="O1084" i="8"/>
  <c r="M1084" i="8"/>
  <c r="L1084" i="8"/>
  <c r="N1084" i="8" s="1"/>
  <c r="H1084" i="8"/>
  <c r="G1084" i="8"/>
  <c r="AH1083" i="8"/>
  <c r="AG1083" i="8"/>
  <c r="AF1083" i="8"/>
  <c r="AE1083" i="8"/>
  <c r="AC1083" i="8"/>
  <c r="Y1083" i="8"/>
  <c r="V1083" i="8"/>
  <c r="U1083" i="8"/>
  <c r="W1083" i="8" s="1"/>
  <c r="AA1083" i="8" s="1"/>
  <c r="T1083" i="8"/>
  <c r="P1083" i="8"/>
  <c r="Z1083" i="8" s="1"/>
  <c r="X1083" i="8" s="1"/>
  <c r="AB1083" i="8" s="1"/>
  <c r="M1083" i="8"/>
  <c r="L1083" i="8"/>
  <c r="H1083" i="8"/>
  <c r="R1083" i="8" s="1"/>
  <c r="G1083" i="8"/>
  <c r="AH1082" i="8"/>
  <c r="AG1082" i="8"/>
  <c r="AE1082" i="8"/>
  <c r="Y1082" i="8"/>
  <c r="AC1082" i="8" s="1"/>
  <c r="W1082" i="8"/>
  <c r="AA1082" i="8" s="1"/>
  <c r="V1082" i="8"/>
  <c r="U1082" i="8"/>
  <c r="T1082" i="8"/>
  <c r="R1082" i="8"/>
  <c r="P1082" i="8"/>
  <c r="Z1082" i="8" s="1"/>
  <c r="X1082" i="8" s="1"/>
  <c r="AB1082" i="8" s="1"/>
  <c r="O1082" i="8"/>
  <c r="N1082" i="8"/>
  <c r="M1082" i="8"/>
  <c r="L1082" i="8"/>
  <c r="H1082" i="8"/>
  <c r="G1082" i="8"/>
  <c r="AH1081" i="8"/>
  <c r="AG1081" i="8"/>
  <c r="AE1081" i="8"/>
  <c r="AC1081" i="8"/>
  <c r="AD1081" i="8" s="1"/>
  <c r="Y1081" i="8"/>
  <c r="V1081" i="8"/>
  <c r="U1081" i="8"/>
  <c r="W1081" i="8" s="1"/>
  <c r="AA1081" i="8" s="1"/>
  <c r="T1081" i="8"/>
  <c r="P1081" i="8"/>
  <c r="Z1081" i="8" s="1"/>
  <c r="X1081" i="8" s="1"/>
  <c r="AB1081" i="8" s="1"/>
  <c r="M1081" i="8"/>
  <c r="L1081" i="8"/>
  <c r="N1081" i="8" s="1"/>
  <c r="H1081" i="8"/>
  <c r="O1081" i="8" s="1"/>
  <c r="G1081" i="8"/>
  <c r="AH1080" i="8"/>
  <c r="AG1080" i="8"/>
  <c r="AE1080" i="8"/>
  <c r="Y1080" i="8"/>
  <c r="V1080" i="8"/>
  <c r="U1080" i="8"/>
  <c r="W1080" i="8" s="1"/>
  <c r="AA1080" i="8" s="1"/>
  <c r="T1080" i="8"/>
  <c r="R1080" i="8"/>
  <c r="P1080" i="8"/>
  <c r="AC1080" i="8" s="1"/>
  <c r="O1080" i="8"/>
  <c r="M1080" i="8"/>
  <c r="L1080" i="8"/>
  <c r="N1080" i="8" s="1"/>
  <c r="H1080" i="8"/>
  <c r="G1080" i="8"/>
  <c r="AH1079" i="8"/>
  <c r="AG1079" i="8"/>
  <c r="AE1079" i="8"/>
  <c r="Y1079" i="8"/>
  <c r="AC1079" i="8" s="1"/>
  <c r="W1079" i="8"/>
  <c r="V1079" i="8"/>
  <c r="U1079" i="8"/>
  <c r="T1079" i="8"/>
  <c r="R1079" i="8"/>
  <c r="P1079" i="8"/>
  <c r="Z1079" i="8" s="1"/>
  <c r="X1079" i="8" s="1"/>
  <c r="AB1079" i="8" s="1"/>
  <c r="N1079" i="8"/>
  <c r="M1079" i="8"/>
  <c r="O1079" i="8" s="1"/>
  <c r="L1079" i="8"/>
  <c r="H1079" i="8"/>
  <c r="G1079" i="8"/>
  <c r="AH1078" i="8"/>
  <c r="AG1078" i="8"/>
  <c r="AE1078" i="8"/>
  <c r="Y1078" i="8"/>
  <c r="V1078" i="8"/>
  <c r="Z1078" i="8" s="1"/>
  <c r="X1078" i="8" s="1"/>
  <c r="AB1078" i="8" s="1"/>
  <c r="U1078" i="8"/>
  <c r="W1078" i="8" s="1"/>
  <c r="AA1078" i="8" s="1"/>
  <c r="T1078" i="8"/>
  <c r="M1078" i="8"/>
  <c r="P1078" i="8" s="1"/>
  <c r="L1078" i="8"/>
  <c r="N1078" i="8" s="1"/>
  <c r="H1078" i="8"/>
  <c r="R1078" i="8" s="1"/>
  <c r="G1078" i="8"/>
  <c r="AH1077" i="8"/>
  <c r="AG1077" i="8"/>
  <c r="AE1077" i="8"/>
  <c r="Y1077" i="8"/>
  <c r="V1077" i="8"/>
  <c r="U1077" i="8"/>
  <c r="W1077" i="8" s="1"/>
  <c r="AA1077" i="8" s="1"/>
  <c r="T1077" i="8"/>
  <c r="R1077" i="8"/>
  <c r="M1077" i="8"/>
  <c r="P1077" i="8" s="1"/>
  <c r="AC1077" i="8" s="1"/>
  <c r="L1077" i="8"/>
  <c r="N1077" i="8" s="1"/>
  <c r="H1077" i="8"/>
  <c r="G1077" i="8"/>
  <c r="AH1076" i="8"/>
  <c r="AG1076" i="8"/>
  <c r="AE1076" i="8"/>
  <c r="Y1076" i="8"/>
  <c r="V1076" i="8"/>
  <c r="U1076" i="8"/>
  <c r="W1076" i="8" s="1"/>
  <c r="AA1076" i="8" s="1"/>
  <c r="T1076" i="8"/>
  <c r="R1076" i="8"/>
  <c r="P1076" i="8"/>
  <c r="AC1076" i="8" s="1"/>
  <c r="O1076" i="8"/>
  <c r="M1076" i="8"/>
  <c r="L1076" i="8"/>
  <c r="N1076" i="8" s="1"/>
  <c r="H1076" i="8"/>
  <c r="G1076" i="8"/>
  <c r="AH1075" i="8"/>
  <c r="AG1075" i="8"/>
  <c r="AE1075" i="8"/>
  <c r="Y1075" i="8"/>
  <c r="AC1075" i="8" s="1"/>
  <c r="W1075" i="8"/>
  <c r="V1075" i="8"/>
  <c r="U1075" i="8"/>
  <c r="T1075" i="8"/>
  <c r="R1075" i="8"/>
  <c r="P1075" i="8"/>
  <c r="Z1075" i="8" s="1"/>
  <c r="X1075" i="8" s="1"/>
  <c r="AB1075" i="8" s="1"/>
  <c r="N1075" i="8"/>
  <c r="M1075" i="8"/>
  <c r="O1075" i="8" s="1"/>
  <c r="L1075" i="8"/>
  <c r="H1075" i="8"/>
  <c r="G1075" i="8"/>
  <c r="AH1074" i="8"/>
  <c r="AG1074" i="8"/>
  <c r="AE1074" i="8"/>
  <c r="Y1074" i="8"/>
  <c r="V1074" i="8"/>
  <c r="Z1074" i="8" s="1"/>
  <c r="X1074" i="8" s="1"/>
  <c r="AB1074" i="8" s="1"/>
  <c r="U1074" i="8"/>
  <c r="T1074" i="8"/>
  <c r="M1074" i="8"/>
  <c r="P1074" i="8" s="1"/>
  <c r="L1074" i="8"/>
  <c r="N1074" i="8" s="1"/>
  <c r="H1074" i="8"/>
  <c r="R1074" i="8" s="1"/>
  <c r="G1074" i="8"/>
  <c r="AH1073" i="8"/>
  <c r="AG1073" i="8"/>
  <c r="AE1073" i="8"/>
  <c r="Y1073" i="8"/>
  <c r="V1073" i="8"/>
  <c r="U1073" i="8"/>
  <c r="W1073" i="8" s="1"/>
  <c r="T1073" i="8"/>
  <c r="R1073" i="8"/>
  <c r="M1073" i="8"/>
  <c r="P1073" i="8" s="1"/>
  <c r="AC1073" i="8" s="1"/>
  <c r="L1073" i="8"/>
  <c r="N1073" i="8" s="1"/>
  <c r="H1073" i="8"/>
  <c r="G1073" i="8"/>
  <c r="AH1072" i="8"/>
  <c r="AG1072" i="8"/>
  <c r="AE1072" i="8"/>
  <c r="Y1072" i="8"/>
  <c r="V1072" i="8"/>
  <c r="U1072" i="8"/>
  <c r="W1072" i="8" s="1"/>
  <c r="T1072" i="8"/>
  <c r="R1072" i="8"/>
  <c r="P1072" i="8"/>
  <c r="AC1072" i="8" s="1"/>
  <c r="O1072" i="8"/>
  <c r="M1072" i="8"/>
  <c r="L1072" i="8"/>
  <c r="N1072" i="8" s="1"/>
  <c r="H1072" i="8"/>
  <c r="G1072" i="8"/>
  <c r="AH1071" i="8"/>
  <c r="AG1071" i="8"/>
  <c r="AE1071" i="8"/>
  <c r="Y1071" i="8"/>
  <c r="AC1071" i="8" s="1"/>
  <c r="W1071" i="8"/>
  <c r="V1071" i="8"/>
  <c r="U1071" i="8"/>
  <c r="T1071" i="8"/>
  <c r="R1071" i="8"/>
  <c r="P1071" i="8"/>
  <c r="Z1071" i="8" s="1"/>
  <c r="X1071" i="8" s="1"/>
  <c r="AB1071" i="8" s="1"/>
  <c r="N1071" i="8"/>
  <c r="M1071" i="8"/>
  <c r="O1071" i="8" s="1"/>
  <c r="L1071" i="8"/>
  <c r="H1071" i="8"/>
  <c r="G1071" i="8"/>
  <c r="AH1070" i="8"/>
  <c r="AG1070" i="8"/>
  <c r="AE1070" i="8"/>
  <c r="Y1070" i="8"/>
  <c r="V1070" i="8"/>
  <c r="U1070" i="8"/>
  <c r="T1070" i="8"/>
  <c r="M1070" i="8"/>
  <c r="P1070" i="8" s="1"/>
  <c r="L1070" i="8"/>
  <c r="N1070" i="8" s="1"/>
  <c r="H1070" i="8"/>
  <c r="R1070" i="8" s="1"/>
  <c r="G1070" i="8"/>
  <c r="AH1069" i="8"/>
  <c r="AG1069" i="8"/>
  <c r="AE1069" i="8"/>
  <c r="Y1069" i="8"/>
  <c r="V1069" i="8"/>
  <c r="Z1069" i="8" s="1"/>
  <c r="X1069" i="8" s="1"/>
  <c r="AB1069" i="8" s="1"/>
  <c r="U1069" i="8"/>
  <c r="T1069" i="8"/>
  <c r="R1069" i="8"/>
  <c r="M1069" i="8"/>
  <c r="P1069" i="8" s="1"/>
  <c r="AC1069" i="8" s="1"/>
  <c r="L1069" i="8"/>
  <c r="N1069" i="8" s="1"/>
  <c r="H1069" i="8"/>
  <c r="G1069" i="8"/>
  <c r="AH1068" i="8"/>
  <c r="AG1068" i="8"/>
  <c r="AE1068" i="8"/>
  <c r="AC1068" i="8"/>
  <c r="Z1068" i="8"/>
  <c r="Y1068" i="8"/>
  <c r="X1068" i="8" s="1"/>
  <c r="AB1068" i="8" s="1"/>
  <c r="V1068" i="8"/>
  <c r="U1068" i="8"/>
  <c r="W1068" i="8" s="1"/>
  <c r="AA1068" i="8" s="1"/>
  <c r="T1068" i="8"/>
  <c r="R1068" i="8"/>
  <c r="P1068" i="8"/>
  <c r="O1068" i="8"/>
  <c r="M1068" i="8"/>
  <c r="L1068" i="8"/>
  <c r="N1068" i="8" s="1"/>
  <c r="H1068" i="8"/>
  <c r="G1068" i="8"/>
  <c r="AH1067" i="8"/>
  <c r="AG1067" i="8"/>
  <c r="AE1067" i="8"/>
  <c r="Y1067" i="8"/>
  <c r="W1067" i="8"/>
  <c r="V1067" i="8"/>
  <c r="U1067" i="8"/>
  <c r="T1067" i="8"/>
  <c r="R1067" i="8"/>
  <c r="P1067" i="8"/>
  <c r="Z1067" i="8" s="1"/>
  <c r="X1067" i="8" s="1"/>
  <c r="AB1067" i="8" s="1"/>
  <c r="N1067" i="8"/>
  <c r="M1067" i="8"/>
  <c r="O1067" i="8" s="1"/>
  <c r="L1067" i="8"/>
  <c r="H1067" i="8"/>
  <c r="G1067" i="8"/>
  <c r="AH1066" i="8"/>
  <c r="AG1066" i="8"/>
  <c r="AE1066" i="8"/>
  <c r="Y1066" i="8"/>
  <c r="AC1066" i="8" s="1"/>
  <c r="V1066" i="8"/>
  <c r="U1066" i="8"/>
  <c r="W1066" i="8" s="1"/>
  <c r="AA1066" i="8" s="1"/>
  <c r="T1066" i="8"/>
  <c r="N1066" i="8"/>
  <c r="M1066" i="8"/>
  <c r="P1066" i="8" s="1"/>
  <c r="L1066" i="8"/>
  <c r="H1066" i="8"/>
  <c r="R1066" i="8" s="1"/>
  <c r="G1066" i="8"/>
  <c r="AH1065" i="8"/>
  <c r="AG1065" i="8"/>
  <c r="AE1065" i="8"/>
  <c r="AC1065" i="8"/>
  <c r="Y1065" i="8"/>
  <c r="V1065" i="8"/>
  <c r="U1065" i="8"/>
  <c r="T1065" i="8"/>
  <c r="R1065" i="8"/>
  <c r="M1065" i="8"/>
  <c r="P1065" i="8" s="1"/>
  <c r="L1065" i="8"/>
  <c r="N1065" i="8" s="1"/>
  <c r="H1065" i="8"/>
  <c r="G1065" i="8"/>
  <c r="AH1064" i="8"/>
  <c r="AG1064" i="8"/>
  <c r="AE1064" i="8"/>
  <c r="Z1064" i="8"/>
  <c r="Y1064" i="8"/>
  <c r="V1064" i="8"/>
  <c r="U1064" i="8"/>
  <c r="W1064" i="8" s="1"/>
  <c r="T1064" i="8"/>
  <c r="R1064" i="8"/>
  <c r="P1064" i="8"/>
  <c r="AC1064" i="8" s="1"/>
  <c r="O1064" i="8"/>
  <c r="M1064" i="8"/>
  <c r="L1064" i="8"/>
  <c r="N1064" i="8" s="1"/>
  <c r="H1064" i="8"/>
  <c r="G1064" i="8"/>
  <c r="AH1063" i="8"/>
  <c r="AG1063" i="8"/>
  <c r="AE1063" i="8"/>
  <c r="Y1063" i="8"/>
  <c r="V1063" i="8"/>
  <c r="U1063" i="8"/>
  <c r="W1063" i="8" s="1"/>
  <c r="AA1063" i="8" s="1"/>
  <c r="T1063" i="8"/>
  <c r="S1063" i="8"/>
  <c r="R1063" i="8"/>
  <c r="P1063" i="8"/>
  <c r="Z1063" i="8" s="1"/>
  <c r="O1063" i="8"/>
  <c r="M1063" i="8"/>
  <c r="L1063" i="8"/>
  <c r="N1063" i="8" s="1"/>
  <c r="H1063" i="8"/>
  <c r="G1063" i="8"/>
  <c r="AH1062" i="8"/>
  <c r="AG1062" i="8"/>
  <c r="AE1062" i="8"/>
  <c r="Y1062" i="8"/>
  <c r="V1062" i="8"/>
  <c r="U1062" i="8"/>
  <c r="W1062" i="8" s="1"/>
  <c r="AA1062" i="8" s="1"/>
  <c r="T1062" i="8"/>
  <c r="S1062" i="8"/>
  <c r="R1062" i="8"/>
  <c r="P1062" i="8"/>
  <c r="Z1062" i="8" s="1"/>
  <c r="O1062" i="8"/>
  <c r="M1062" i="8"/>
  <c r="L1062" i="8"/>
  <c r="N1062" i="8" s="1"/>
  <c r="H1062" i="8"/>
  <c r="G1062" i="8"/>
  <c r="AH1061" i="8"/>
  <c r="AG1061" i="8"/>
  <c r="AE1061" i="8"/>
  <c r="Z1061" i="8"/>
  <c r="Y1061" i="8"/>
  <c r="V1061" i="8"/>
  <c r="U1061" i="8"/>
  <c r="W1061" i="8" s="1"/>
  <c r="AA1061" i="8" s="1"/>
  <c r="T1061" i="8"/>
  <c r="S1061" i="8"/>
  <c r="R1061" i="8"/>
  <c r="P1061" i="8"/>
  <c r="O1061" i="8"/>
  <c r="M1061" i="8"/>
  <c r="L1061" i="8"/>
  <c r="N1061" i="8" s="1"/>
  <c r="H1061" i="8"/>
  <c r="G1061" i="8"/>
  <c r="AH1060" i="8"/>
  <c r="AG1060" i="8"/>
  <c r="AE1060" i="8"/>
  <c r="Y1060" i="8"/>
  <c r="V1060" i="8"/>
  <c r="U1060" i="8"/>
  <c r="W1060" i="8" s="1"/>
  <c r="T1060" i="8"/>
  <c r="S1060" i="8"/>
  <c r="R1060" i="8"/>
  <c r="P1060" i="8"/>
  <c r="AA1060" i="8" s="1"/>
  <c r="O1060" i="8"/>
  <c r="M1060" i="8"/>
  <c r="L1060" i="8"/>
  <c r="N1060" i="8" s="1"/>
  <c r="H1060" i="8"/>
  <c r="G1060" i="8"/>
  <c r="AH1059" i="8"/>
  <c r="AG1059" i="8"/>
  <c r="AE1059" i="8"/>
  <c r="Z1059" i="8"/>
  <c r="Y1059" i="8"/>
  <c r="V1059" i="8"/>
  <c r="U1059" i="8"/>
  <c r="W1059" i="8" s="1"/>
  <c r="AA1059" i="8" s="1"/>
  <c r="T1059" i="8"/>
  <c r="R1059" i="8"/>
  <c r="S1059" i="8" s="1"/>
  <c r="P1059" i="8"/>
  <c r="O1059" i="8"/>
  <c r="M1059" i="8"/>
  <c r="L1059" i="8"/>
  <c r="N1059" i="8" s="1"/>
  <c r="H1059" i="8"/>
  <c r="G1059" i="8"/>
  <c r="AH1058" i="8"/>
  <c r="AG1058" i="8"/>
  <c r="AE1058" i="8"/>
  <c r="Y1058" i="8"/>
  <c r="V1058" i="8"/>
  <c r="U1058" i="8"/>
  <c r="W1058" i="8" s="1"/>
  <c r="AA1058" i="8" s="1"/>
  <c r="T1058" i="8"/>
  <c r="S1058" i="8"/>
  <c r="R1058" i="8"/>
  <c r="P1058" i="8"/>
  <c r="Z1058" i="8" s="1"/>
  <c r="O1058" i="8"/>
  <c r="M1058" i="8"/>
  <c r="L1058" i="8"/>
  <c r="N1058" i="8" s="1"/>
  <c r="H1058" i="8"/>
  <c r="G1058" i="8"/>
  <c r="AH1057" i="8"/>
  <c r="AG1057" i="8"/>
  <c r="AE1057" i="8"/>
  <c r="Z1057" i="8"/>
  <c r="Y1057" i="8"/>
  <c r="V1057" i="8"/>
  <c r="U1057" i="8"/>
  <c r="W1057" i="8" s="1"/>
  <c r="AA1057" i="8" s="1"/>
  <c r="T1057" i="8"/>
  <c r="S1057" i="8"/>
  <c r="R1057" i="8"/>
  <c r="P1057" i="8"/>
  <c r="O1057" i="8"/>
  <c r="M1057" i="8"/>
  <c r="L1057" i="8"/>
  <c r="N1057" i="8" s="1"/>
  <c r="H1057" i="8"/>
  <c r="G1057" i="8"/>
  <c r="AH1056" i="8"/>
  <c r="AG1056" i="8"/>
  <c r="AE1056" i="8"/>
  <c r="Z1056" i="8"/>
  <c r="Y1056" i="8"/>
  <c r="V1056" i="8"/>
  <c r="U1056" i="8"/>
  <c r="W1056" i="8" s="1"/>
  <c r="AA1056" i="8" s="1"/>
  <c r="T1056" i="8"/>
  <c r="S1056" i="8"/>
  <c r="R1056" i="8"/>
  <c r="P1056" i="8"/>
  <c r="M1056" i="8"/>
  <c r="L1056" i="8"/>
  <c r="N1056" i="8" s="1"/>
  <c r="H1056" i="8"/>
  <c r="O1056" i="8" s="1"/>
  <c r="G1056" i="8"/>
  <c r="AH1055" i="8"/>
  <c r="AG1055" i="8"/>
  <c r="AE1055" i="8"/>
  <c r="Y1055" i="8"/>
  <c r="W1055" i="8"/>
  <c r="V1055" i="8"/>
  <c r="U1055" i="8"/>
  <c r="T1055" i="8"/>
  <c r="R1055" i="8"/>
  <c r="S1055" i="8" s="1"/>
  <c r="P1055" i="8"/>
  <c r="AA1055" i="8" s="1"/>
  <c r="M1055" i="8"/>
  <c r="L1055" i="8"/>
  <c r="H1055" i="8"/>
  <c r="O1055" i="8" s="1"/>
  <c r="G1055" i="8"/>
  <c r="AH1054" i="8"/>
  <c r="AG1054" i="8"/>
  <c r="AE1054" i="8"/>
  <c r="AA1054" i="8"/>
  <c r="Y1054" i="8"/>
  <c r="W1054" i="8"/>
  <c r="V1054" i="8"/>
  <c r="U1054" i="8"/>
  <c r="T1054" i="8"/>
  <c r="R1054" i="8"/>
  <c r="S1054" i="8" s="1"/>
  <c r="P1054" i="8"/>
  <c r="Z1054" i="8" s="1"/>
  <c r="M1054" i="8"/>
  <c r="L1054" i="8"/>
  <c r="H1054" i="8"/>
  <c r="O1054" i="8" s="1"/>
  <c r="G1054" i="8"/>
  <c r="AH1053" i="8"/>
  <c r="AG1053" i="8"/>
  <c r="AE1053" i="8"/>
  <c r="AA1053" i="8"/>
  <c r="Y1053" i="8"/>
  <c r="W1053" i="8"/>
  <c r="V1053" i="8"/>
  <c r="U1053" i="8"/>
  <c r="T1053" i="8"/>
  <c r="R1053" i="8"/>
  <c r="P1053" i="8"/>
  <c r="Z1053" i="8" s="1"/>
  <c r="M1053" i="8"/>
  <c r="L1053" i="8"/>
  <c r="H1053" i="8"/>
  <c r="O1053" i="8" s="1"/>
  <c r="S1053" i="8" s="1"/>
  <c r="G1053" i="8"/>
  <c r="AH1052" i="8"/>
  <c r="AG1052" i="8"/>
  <c r="AE1052" i="8"/>
  <c r="Y1052" i="8"/>
  <c r="W1052" i="8"/>
  <c r="V1052" i="8"/>
  <c r="U1052" i="8"/>
  <c r="T1052" i="8"/>
  <c r="S1052" i="8"/>
  <c r="R1052" i="8"/>
  <c r="P1052" i="8"/>
  <c r="AA1052" i="8" s="1"/>
  <c r="M1052" i="8"/>
  <c r="L1052" i="8"/>
  <c r="H1052" i="8"/>
  <c r="O1052" i="8" s="1"/>
  <c r="G1052" i="8"/>
  <c r="AH1051" i="8"/>
  <c r="AG1051" i="8"/>
  <c r="AE1051" i="8"/>
  <c r="AA1051" i="8"/>
  <c r="Y1051" i="8"/>
  <c r="W1051" i="8"/>
  <c r="V1051" i="8"/>
  <c r="U1051" i="8"/>
  <c r="T1051" i="8"/>
  <c r="R1051" i="8"/>
  <c r="S1051" i="8" s="1"/>
  <c r="P1051" i="8"/>
  <c r="Z1051" i="8" s="1"/>
  <c r="M1051" i="8"/>
  <c r="L1051" i="8"/>
  <c r="H1051" i="8"/>
  <c r="O1051" i="8" s="1"/>
  <c r="G1051" i="8"/>
  <c r="AH1050" i="8"/>
  <c r="AG1050" i="8"/>
  <c r="AE1050" i="8"/>
  <c r="AA1050" i="8"/>
  <c r="Y1050" i="8"/>
  <c r="W1050" i="8"/>
  <c r="V1050" i="8"/>
  <c r="U1050" i="8"/>
  <c r="T1050" i="8"/>
  <c r="R1050" i="8"/>
  <c r="P1050" i="8"/>
  <c r="Z1050" i="8" s="1"/>
  <c r="M1050" i="8"/>
  <c r="L1050" i="8"/>
  <c r="H1050" i="8"/>
  <c r="G1050" i="8"/>
  <c r="AH1049" i="8"/>
  <c r="AG1049" i="8"/>
  <c r="AE1049" i="8"/>
  <c r="Y1049" i="8"/>
  <c r="W1049" i="8"/>
  <c r="V1049" i="8"/>
  <c r="U1049" i="8"/>
  <c r="T1049" i="8"/>
  <c r="P1049" i="8"/>
  <c r="AA1049" i="8" s="1"/>
  <c r="M1049" i="8"/>
  <c r="L1049" i="8"/>
  <c r="H1049" i="8"/>
  <c r="O1049" i="8" s="1"/>
  <c r="G1049" i="8"/>
  <c r="AH1048" i="8"/>
  <c r="AG1048" i="8"/>
  <c r="AE1048" i="8"/>
  <c r="Y1048" i="8"/>
  <c r="W1048" i="8"/>
  <c r="AA1048" i="8" s="1"/>
  <c r="V1048" i="8"/>
  <c r="U1048" i="8"/>
  <c r="T1048" i="8"/>
  <c r="P1048" i="8"/>
  <c r="Z1048" i="8" s="1"/>
  <c r="N1048" i="8"/>
  <c r="M1048" i="8"/>
  <c r="L1048" i="8"/>
  <c r="H1048" i="8"/>
  <c r="O1048" i="8" s="1"/>
  <c r="G1048" i="8"/>
  <c r="AH1047" i="8"/>
  <c r="AG1047" i="8"/>
  <c r="AE1047" i="8"/>
  <c r="Y1047" i="8"/>
  <c r="W1047" i="8"/>
  <c r="AA1047" i="8" s="1"/>
  <c r="V1047" i="8"/>
  <c r="U1047" i="8"/>
  <c r="T1047" i="8"/>
  <c r="R1047" i="8"/>
  <c r="S1047" i="8" s="1"/>
  <c r="P1047" i="8"/>
  <c r="Z1047" i="8" s="1"/>
  <c r="N1047" i="8"/>
  <c r="M1047" i="8"/>
  <c r="L1047" i="8"/>
  <c r="H1047" i="8"/>
  <c r="O1047" i="8" s="1"/>
  <c r="G1047" i="8"/>
  <c r="AH1046" i="8"/>
  <c r="AG1046" i="8"/>
  <c r="AE1046" i="8"/>
  <c r="AA1046" i="8"/>
  <c r="Y1046" i="8"/>
  <c r="W1046" i="8"/>
  <c r="V1046" i="8"/>
  <c r="U1046" i="8"/>
  <c r="T1046" i="8"/>
  <c r="R1046" i="8"/>
  <c r="S1046" i="8" s="1"/>
  <c r="P1046" i="8"/>
  <c r="Z1046" i="8" s="1"/>
  <c r="M1046" i="8"/>
  <c r="L1046" i="8"/>
  <c r="N1046" i="8" s="1"/>
  <c r="H1046" i="8"/>
  <c r="O1046" i="8" s="1"/>
  <c r="G1046" i="8"/>
  <c r="AH1045" i="8"/>
  <c r="AG1045" i="8"/>
  <c r="AE1045" i="8"/>
  <c r="Y1045" i="8"/>
  <c r="V1045" i="8"/>
  <c r="U1045" i="8"/>
  <c r="W1045" i="8" s="1"/>
  <c r="AA1045" i="8" s="1"/>
  <c r="T1045" i="8"/>
  <c r="P1045" i="8"/>
  <c r="AC1045" i="8" s="1"/>
  <c r="M1045" i="8"/>
  <c r="L1045" i="8"/>
  <c r="N1045" i="8" s="1"/>
  <c r="H1045" i="8"/>
  <c r="O1045" i="8" s="1"/>
  <c r="G1045" i="8"/>
  <c r="AH1044" i="8"/>
  <c r="AG1044" i="8"/>
  <c r="AE1044" i="8"/>
  <c r="Y1044" i="8"/>
  <c r="AC1044" i="8" s="1"/>
  <c r="V1044" i="8"/>
  <c r="U1044" i="8"/>
  <c r="W1044" i="8" s="1"/>
  <c r="AA1044" i="8" s="1"/>
  <c r="T1044" i="8"/>
  <c r="R1044" i="8"/>
  <c r="S1044" i="8" s="1"/>
  <c r="P1044" i="8"/>
  <c r="Z1044" i="8" s="1"/>
  <c r="M1044" i="8"/>
  <c r="L1044" i="8"/>
  <c r="N1044" i="8" s="1"/>
  <c r="H1044" i="8"/>
  <c r="O1044" i="8" s="1"/>
  <c r="G1044" i="8"/>
  <c r="AH1043" i="8"/>
  <c r="AG1043" i="8"/>
  <c r="AE1043" i="8"/>
  <c r="Y1043" i="8"/>
  <c r="V1043" i="8"/>
  <c r="U1043" i="8"/>
  <c r="W1043" i="8" s="1"/>
  <c r="AA1043" i="8" s="1"/>
  <c r="T1043" i="8"/>
  <c r="R1043" i="8"/>
  <c r="S1043" i="8" s="1"/>
  <c r="P1043" i="8"/>
  <c r="AC1043" i="8" s="1"/>
  <c r="M1043" i="8"/>
  <c r="L1043" i="8"/>
  <c r="N1043" i="8" s="1"/>
  <c r="H1043" i="8"/>
  <c r="O1043" i="8" s="1"/>
  <c r="G1043" i="8"/>
  <c r="AH1042" i="8"/>
  <c r="AG1042" i="8"/>
  <c r="AE1042" i="8"/>
  <c r="Y1042" i="8"/>
  <c r="AC1042" i="8" s="1"/>
  <c r="V1042" i="8"/>
  <c r="U1042" i="8"/>
  <c r="W1042" i="8" s="1"/>
  <c r="AA1042" i="8" s="1"/>
  <c r="T1042" i="8"/>
  <c r="R1042" i="8"/>
  <c r="S1042" i="8" s="1"/>
  <c r="P1042" i="8"/>
  <c r="Z1042" i="8" s="1"/>
  <c r="M1042" i="8"/>
  <c r="L1042" i="8"/>
  <c r="N1042" i="8" s="1"/>
  <c r="H1042" i="8"/>
  <c r="O1042" i="8" s="1"/>
  <c r="G1042" i="8"/>
  <c r="AH1041" i="8"/>
  <c r="AG1041" i="8"/>
  <c r="AE1041" i="8"/>
  <c r="AA1041" i="8"/>
  <c r="Y1041" i="8"/>
  <c r="W1041" i="8"/>
  <c r="V1041" i="8"/>
  <c r="U1041" i="8"/>
  <c r="T1041" i="8"/>
  <c r="R1041" i="8"/>
  <c r="S1041" i="8" s="1"/>
  <c r="P1041" i="8"/>
  <c r="AC1041" i="8" s="1"/>
  <c r="M1041" i="8"/>
  <c r="L1041" i="8"/>
  <c r="N1041" i="8" s="1"/>
  <c r="H1041" i="8"/>
  <c r="O1041" i="8" s="1"/>
  <c r="G1041" i="8"/>
  <c r="AH1040" i="8"/>
  <c r="AG1040" i="8"/>
  <c r="AE1040" i="8"/>
  <c r="Y1040" i="8"/>
  <c r="AC1040" i="8" s="1"/>
  <c r="V1040" i="8"/>
  <c r="U1040" i="8"/>
  <c r="W1040" i="8" s="1"/>
  <c r="AA1040" i="8" s="1"/>
  <c r="T1040" i="8"/>
  <c r="R1040" i="8"/>
  <c r="S1040" i="8" s="1"/>
  <c r="P1040" i="8"/>
  <c r="Z1040" i="8" s="1"/>
  <c r="M1040" i="8"/>
  <c r="L1040" i="8"/>
  <c r="N1040" i="8" s="1"/>
  <c r="H1040" i="8"/>
  <c r="O1040" i="8" s="1"/>
  <c r="G1040" i="8"/>
  <c r="AH1039" i="8"/>
  <c r="AG1039" i="8"/>
  <c r="AE1039" i="8"/>
  <c r="AA1039" i="8"/>
  <c r="Y1039" i="8"/>
  <c r="W1039" i="8"/>
  <c r="V1039" i="8"/>
  <c r="U1039" i="8"/>
  <c r="T1039" i="8"/>
  <c r="R1039" i="8"/>
  <c r="S1039" i="8" s="1"/>
  <c r="P1039" i="8"/>
  <c r="AC1039" i="8" s="1"/>
  <c r="M1039" i="8"/>
  <c r="L1039" i="8"/>
  <c r="N1039" i="8" s="1"/>
  <c r="H1039" i="8"/>
  <c r="O1039" i="8" s="1"/>
  <c r="G1039" i="8"/>
  <c r="AH1038" i="8"/>
  <c r="AG1038" i="8"/>
  <c r="AE1038" i="8"/>
  <c r="AA1038" i="8"/>
  <c r="Y1038" i="8"/>
  <c r="AC1038" i="8" s="1"/>
  <c r="W1038" i="8"/>
  <c r="V1038" i="8"/>
  <c r="U1038" i="8"/>
  <c r="T1038" i="8"/>
  <c r="R1038" i="8"/>
  <c r="S1038" i="8" s="1"/>
  <c r="P1038" i="8"/>
  <c r="Z1038" i="8" s="1"/>
  <c r="M1038" i="8"/>
  <c r="L1038" i="8"/>
  <c r="N1038" i="8" s="1"/>
  <c r="H1038" i="8"/>
  <c r="O1038" i="8" s="1"/>
  <c r="G1038" i="8"/>
  <c r="AH1037" i="8"/>
  <c r="AG1037" i="8"/>
  <c r="AE1037" i="8"/>
  <c r="AA1037" i="8"/>
  <c r="Y1037" i="8"/>
  <c r="W1037" i="8"/>
  <c r="V1037" i="8"/>
  <c r="U1037" i="8"/>
  <c r="T1037" i="8"/>
  <c r="R1037" i="8"/>
  <c r="S1037" i="8" s="1"/>
  <c r="P1037" i="8"/>
  <c r="AC1037" i="8" s="1"/>
  <c r="M1037" i="8"/>
  <c r="L1037" i="8"/>
  <c r="N1037" i="8" s="1"/>
  <c r="H1037" i="8"/>
  <c r="O1037" i="8" s="1"/>
  <c r="G1037" i="8"/>
  <c r="AH1036" i="8"/>
  <c r="AG1036" i="8"/>
  <c r="AE1036" i="8"/>
  <c r="AA1036" i="8"/>
  <c r="Y1036" i="8"/>
  <c r="AC1036" i="8" s="1"/>
  <c r="W1036" i="8"/>
  <c r="V1036" i="8"/>
  <c r="U1036" i="8"/>
  <c r="T1036" i="8"/>
  <c r="R1036" i="8"/>
  <c r="S1036" i="8" s="1"/>
  <c r="P1036" i="8"/>
  <c r="Z1036" i="8" s="1"/>
  <c r="M1036" i="8"/>
  <c r="L1036" i="8"/>
  <c r="N1036" i="8" s="1"/>
  <c r="H1036" i="8"/>
  <c r="O1036" i="8" s="1"/>
  <c r="G1036" i="8"/>
  <c r="AH1035" i="8"/>
  <c r="AG1035" i="8"/>
  <c r="AE1035" i="8"/>
  <c r="AA1035" i="8"/>
  <c r="Y1035" i="8"/>
  <c r="W1035" i="8"/>
  <c r="V1035" i="8"/>
  <c r="U1035" i="8"/>
  <c r="T1035" i="8"/>
  <c r="R1035" i="8"/>
  <c r="S1035" i="8" s="1"/>
  <c r="P1035" i="8"/>
  <c r="AC1035" i="8" s="1"/>
  <c r="M1035" i="8"/>
  <c r="L1035" i="8"/>
  <c r="N1035" i="8" s="1"/>
  <c r="H1035" i="8"/>
  <c r="O1035" i="8" s="1"/>
  <c r="G1035" i="8"/>
  <c r="AH1034" i="8"/>
  <c r="AG1034" i="8"/>
  <c r="AE1034" i="8"/>
  <c r="AA1034" i="8"/>
  <c r="Y1034" i="8"/>
  <c r="AC1034" i="8" s="1"/>
  <c r="W1034" i="8"/>
  <c r="V1034" i="8"/>
  <c r="U1034" i="8"/>
  <c r="T1034" i="8"/>
  <c r="R1034" i="8"/>
  <c r="S1034" i="8" s="1"/>
  <c r="P1034" i="8"/>
  <c r="Z1034" i="8" s="1"/>
  <c r="M1034" i="8"/>
  <c r="L1034" i="8"/>
  <c r="N1034" i="8" s="1"/>
  <c r="H1034" i="8"/>
  <c r="O1034" i="8" s="1"/>
  <c r="G1034" i="8"/>
  <c r="AH1033" i="8"/>
  <c r="AG1033" i="8"/>
  <c r="AE1033" i="8"/>
  <c r="AA1033" i="8"/>
  <c r="Y1033" i="8"/>
  <c r="W1033" i="8"/>
  <c r="V1033" i="8"/>
  <c r="U1033" i="8"/>
  <c r="T1033" i="8"/>
  <c r="R1033" i="8"/>
  <c r="S1033" i="8" s="1"/>
  <c r="P1033" i="8"/>
  <c r="AC1033" i="8" s="1"/>
  <c r="M1033" i="8"/>
  <c r="L1033" i="8"/>
  <c r="N1033" i="8" s="1"/>
  <c r="H1033" i="8"/>
  <c r="O1033" i="8" s="1"/>
  <c r="G1033" i="8"/>
  <c r="AH1032" i="8"/>
  <c r="AG1032" i="8"/>
  <c r="AE1032" i="8"/>
  <c r="AA1032" i="8"/>
  <c r="Y1032" i="8"/>
  <c r="AC1032" i="8" s="1"/>
  <c r="W1032" i="8"/>
  <c r="V1032" i="8"/>
  <c r="U1032" i="8"/>
  <c r="T1032" i="8"/>
  <c r="R1032" i="8"/>
  <c r="S1032" i="8" s="1"/>
  <c r="P1032" i="8"/>
  <c r="Z1032" i="8" s="1"/>
  <c r="M1032" i="8"/>
  <c r="L1032" i="8"/>
  <c r="N1032" i="8" s="1"/>
  <c r="H1032" i="8"/>
  <c r="O1032" i="8" s="1"/>
  <c r="G1032" i="8"/>
  <c r="AH1031" i="8"/>
  <c r="AG1031" i="8"/>
  <c r="AE1031" i="8"/>
  <c r="AA1031" i="8"/>
  <c r="Y1031" i="8"/>
  <c r="W1031" i="8"/>
  <c r="V1031" i="8"/>
  <c r="U1031" i="8"/>
  <c r="T1031" i="8"/>
  <c r="R1031" i="8"/>
  <c r="S1031" i="8" s="1"/>
  <c r="P1031" i="8"/>
  <c r="AC1031" i="8" s="1"/>
  <c r="M1031" i="8"/>
  <c r="L1031" i="8"/>
  <c r="N1031" i="8" s="1"/>
  <c r="H1031" i="8"/>
  <c r="O1031" i="8" s="1"/>
  <c r="G1031" i="8"/>
  <c r="AH1030" i="8"/>
  <c r="AG1030" i="8"/>
  <c r="AE1030" i="8"/>
  <c r="AA1030" i="8"/>
  <c r="Y1030" i="8"/>
  <c r="AC1030" i="8" s="1"/>
  <c r="W1030" i="8"/>
  <c r="V1030" i="8"/>
  <c r="U1030" i="8"/>
  <c r="T1030" i="8"/>
  <c r="R1030" i="8"/>
  <c r="S1030" i="8" s="1"/>
  <c r="P1030" i="8"/>
  <c r="Z1030" i="8" s="1"/>
  <c r="M1030" i="8"/>
  <c r="L1030" i="8"/>
  <c r="N1030" i="8" s="1"/>
  <c r="H1030" i="8"/>
  <c r="O1030" i="8" s="1"/>
  <c r="G1030" i="8"/>
  <c r="AH1029" i="8"/>
  <c r="AG1029" i="8"/>
  <c r="AE1029" i="8"/>
  <c r="AA1029" i="8"/>
  <c r="Y1029" i="8"/>
  <c r="W1029" i="8"/>
  <c r="V1029" i="8"/>
  <c r="U1029" i="8"/>
  <c r="T1029" i="8"/>
  <c r="R1029" i="8"/>
  <c r="S1029" i="8" s="1"/>
  <c r="P1029" i="8"/>
  <c r="AC1029" i="8" s="1"/>
  <c r="M1029" i="8"/>
  <c r="L1029" i="8"/>
  <c r="N1029" i="8" s="1"/>
  <c r="H1029" i="8"/>
  <c r="O1029" i="8" s="1"/>
  <c r="G1029" i="8"/>
  <c r="AH1028" i="8"/>
  <c r="AG1028" i="8"/>
  <c r="AE1028" i="8"/>
  <c r="AA1028" i="8"/>
  <c r="Y1028" i="8"/>
  <c r="AC1028" i="8" s="1"/>
  <c r="W1028" i="8"/>
  <c r="V1028" i="8"/>
  <c r="U1028" i="8"/>
  <c r="T1028" i="8"/>
  <c r="R1028" i="8"/>
  <c r="S1028" i="8" s="1"/>
  <c r="P1028" i="8"/>
  <c r="Z1028" i="8" s="1"/>
  <c r="M1028" i="8"/>
  <c r="L1028" i="8"/>
  <c r="N1028" i="8" s="1"/>
  <c r="H1028" i="8"/>
  <c r="O1028" i="8" s="1"/>
  <c r="G1028" i="8"/>
  <c r="AH1027" i="8"/>
  <c r="AG1027" i="8"/>
  <c r="AE1027" i="8"/>
  <c r="AA1027" i="8"/>
  <c r="Y1027" i="8"/>
  <c r="W1027" i="8"/>
  <c r="V1027" i="8"/>
  <c r="U1027" i="8"/>
  <c r="T1027" i="8"/>
  <c r="R1027" i="8"/>
  <c r="S1027" i="8" s="1"/>
  <c r="P1027" i="8"/>
  <c r="AC1027" i="8" s="1"/>
  <c r="M1027" i="8"/>
  <c r="L1027" i="8"/>
  <c r="N1027" i="8" s="1"/>
  <c r="H1027" i="8"/>
  <c r="O1027" i="8" s="1"/>
  <c r="G1027" i="8"/>
  <c r="AH1026" i="8"/>
  <c r="AG1026" i="8"/>
  <c r="AE1026" i="8"/>
  <c r="AA1026" i="8"/>
  <c r="Y1026" i="8"/>
  <c r="AC1026" i="8" s="1"/>
  <c r="W1026" i="8"/>
  <c r="V1026" i="8"/>
  <c r="U1026" i="8"/>
  <c r="T1026" i="8"/>
  <c r="R1026" i="8"/>
  <c r="S1026" i="8" s="1"/>
  <c r="P1026" i="8"/>
  <c r="Z1026" i="8" s="1"/>
  <c r="M1026" i="8"/>
  <c r="L1026" i="8"/>
  <c r="N1026" i="8" s="1"/>
  <c r="H1026" i="8"/>
  <c r="O1026" i="8" s="1"/>
  <c r="G1026" i="8"/>
  <c r="AH1025" i="8"/>
  <c r="AG1025" i="8"/>
  <c r="AE1025" i="8"/>
  <c r="AA1025" i="8"/>
  <c r="Y1025" i="8"/>
  <c r="W1025" i="8"/>
  <c r="V1025" i="8"/>
  <c r="U1025" i="8"/>
  <c r="T1025" i="8"/>
  <c r="R1025" i="8"/>
  <c r="S1025" i="8" s="1"/>
  <c r="P1025" i="8"/>
  <c r="AC1025" i="8" s="1"/>
  <c r="M1025" i="8"/>
  <c r="L1025" i="8"/>
  <c r="N1025" i="8" s="1"/>
  <c r="H1025" i="8"/>
  <c r="O1025" i="8" s="1"/>
  <c r="G1025" i="8"/>
  <c r="AH1024" i="8"/>
  <c r="AG1024" i="8"/>
  <c r="AE1024" i="8"/>
  <c r="AA1024" i="8"/>
  <c r="Y1024" i="8"/>
  <c r="AC1024" i="8" s="1"/>
  <c r="W1024" i="8"/>
  <c r="V1024" i="8"/>
  <c r="U1024" i="8"/>
  <c r="T1024" i="8"/>
  <c r="R1024" i="8"/>
  <c r="S1024" i="8" s="1"/>
  <c r="P1024" i="8"/>
  <c r="Z1024" i="8" s="1"/>
  <c r="M1024" i="8"/>
  <c r="L1024" i="8"/>
  <c r="N1024" i="8" s="1"/>
  <c r="H1024" i="8"/>
  <c r="O1024" i="8" s="1"/>
  <c r="G1024" i="8"/>
  <c r="AH1023" i="8"/>
  <c r="AG1023" i="8"/>
  <c r="AE1023" i="8"/>
  <c r="AA1023" i="8"/>
  <c r="Y1023" i="8"/>
  <c r="W1023" i="8"/>
  <c r="V1023" i="8"/>
  <c r="U1023" i="8"/>
  <c r="T1023" i="8"/>
  <c r="R1023" i="8"/>
  <c r="S1023" i="8" s="1"/>
  <c r="P1023" i="8"/>
  <c r="AC1023" i="8" s="1"/>
  <c r="M1023" i="8"/>
  <c r="O1023" i="8" s="1"/>
  <c r="L1023" i="8"/>
  <c r="N1023" i="8" s="1"/>
  <c r="H1023" i="8"/>
  <c r="G1023" i="8"/>
  <c r="AH1022" i="8"/>
  <c r="AG1022" i="8"/>
  <c r="AE1022" i="8"/>
  <c r="Y1022" i="8"/>
  <c r="AC1022" i="8" s="1"/>
  <c r="X1022" i="8"/>
  <c r="AB1022" i="8" s="1"/>
  <c r="V1022" i="8"/>
  <c r="U1022" i="8"/>
  <c r="W1022" i="8" s="1"/>
  <c r="AA1022" i="8" s="1"/>
  <c r="T1022" i="8"/>
  <c r="P1022" i="8"/>
  <c r="Z1022" i="8" s="1"/>
  <c r="O1022" i="8"/>
  <c r="M1022" i="8"/>
  <c r="L1022" i="8"/>
  <c r="H1022" i="8"/>
  <c r="R1022" i="8" s="1"/>
  <c r="G1022" i="8"/>
  <c r="AH1021" i="8"/>
  <c r="AG1021" i="8"/>
  <c r="AF1021" i="8"/>
  <c r="AE1021" i="8"/>
  <c r="Y1021" i="8"/>
  <c r="AC1021" i="8" s="1"/>
  <c r="AD1021" i="8" s="1"/>
  <c r="X1021" i="8"/>
  <c r="AB1021" i="8" s="1"/>
  <c r="V1021" i="8"/>
  <c r="U1021" i="8"/>
  <c r="W1021" i="8" s="1"/>
  <c r="AA1021" i="8" s="1"/>
  <c r="T1021" i="8"/>
  <c r="P1021" i="8"/>
  <c r="Z1021" i="8" s="1"/>
  <c r="O1021" i="8"/>
  <c r="M1021" i="8"/>
  <c r="L1021" i="8"/>
  <c r="H1021" i="8"/>
  <c r="R1021" i="8" s="1"/>
  <c r="G1021" i="8"/>
  <c r="AH1020" i="8"/>
  <c r="AG1020" i="8"/>
  <c r="AE1020" i="8"/>
  <c r="Y1020" i="8"/>
  <c r="X1020" i="8"/>
  <c r="AB1020" i="8" s="1"/>
  <c r="V1020" i="8"/>
  <c r="U1020" i="8"/>
  <c r="W1020" i="8" s="1"/>
  <c r="T1020" i="8"/>
  <c r="P1020" i="8"/>
  <c r="Z1020" i="8" s="1"/>
  <c r="O1020" i="8"/>
  <c r="M1020" i="8"/>
  <c r="L1020" i="8"/>
  <c r="H1020" i="8"/>
  <c r="R1020" i="8" s="1"/>
  <c r="G1020" i="8"/>
  <c r="AH1019" i="8"/>
  <c r="AG1019" i="8"/>
  <c r="AE1019" i="8"/>
  <c r="Y1019" i="8"/>
  <c r="X1019" i="8"/>
  <c r="AB1019" i="8" s="1"/>
  <c r="V1019" i="8"/>
  <c r="U1019" i="8"/>
  <c r="W1019" i="8" s="1"/>
  <c r="T1019" i="8"/>
  <c r="P1019" i="8"/>
  <c r="Z1019" i="8" s="1"/>
  <c r="O1019" i="8"/>
  <c r="M1019" i="8"/>
  <c r="L1019" i="8"/>
  <c r="H1019" i="8"/>
  <c r="R1019" i="8" s="1"/>
  <c r="G1019" i="8"/>
  <c r="AH1018" i="8"/>
  <c r="AG1018" i="8"/>
  <c r="AE1018" i="8"/>
  <c r="Y1018" i="8"/>
  <c r="X1018" i="8"/>
  <c r="AB1018" i="8" s="1"/>
  <c r="V1018" i="8"/>
  <c r="U1018" i="8"/>
  <c r="W1018" i="8" s="1"/>
  <c r="T1018" i="8"/>
  <c r="P1018" i="8"/>
  <c r="Z1018" i="8" s="1"/>
  <c r="O1018" i="8"/>
  <c r="M1018" i="8"/>
  <c r="L1018" i="8"/>
  <c r="H1018" i="8"/>
  <c r="R1018" i="8" s="1"/>
  <c r="G1018" i="8"/>
  <c r="AH1017" i="8"/>
  <c r="AG1017" i="8"/>
  <c r="AE1017" i="8"/>
  <c r="Y1017" i="8"/>
  <c r="X1017" i="8"/>
  <c r="AB1017" i="8" s="1"/>
  <c r="V1017" i="8"/>
  <c r="U1017" i="8"/>
  <c r="W1017" i="8" s="1"/>
  <c r="T1017" i="8"/>
  <c r="P1017" i="8"/>
  <c r="Z1017" i="8" s="1"/>
  <c r="O1017" i="8"/>
  <c r="M1017" i="8"/>
  <c r="L1017" i="8"/>
  <c r="H1017" i="8"/>
  <c r="R1017" i="8" s="1"/>
  <c r="G1017" i="8"/>
  <c r="AH1016" i="8"/>
  <c r="AG1016" i="8"/>
  <c r="AE1016" i="8"/>
  <c r="Y1016" i="8"/>
  <c r="X1016" i="8"/>
  <c r="AB1016" i="8" s="1"/>
  <c r="V1016" i="8"/>
  <c r="U1016" i="8"/>
  <c r="W1016" i="8" s="1"/>
  <c r="T1016" i="8"/>
  <c r="P1016" i="8"/>
  <c r="Z1016" i="8" s="1"/>
  <c r="O1016" i="8"/>
  <c r="M1016" i="8"/>
  <c r="L1016" i="8"/>
  <c r="H1016" i="8"/>
  <c r="R1016" i="8" s="1"/>
  <c r="G1016" i="8"/>
  <c r="AH1015" i="8"/>
  <c r="AG1015" i="8"/>
  <c r="AE1015" i="8"/>
  <c r="Y1015" i="8"/>
  <c r="X1015" i="8"/>
  <c r="AB1015" i="8" s="1"/>
  <c r="V1015" i="8"/>
  <c r="U1015" i="8"/>
  <c r="W1015" i="8" s="1"/>
  <c r="T1015" i="8"/>
  <c r="P1015" i="8"/>
  <c r="Z1015" i="8" s="1"/>
  <c r="O1015" i="8"/>
  <c r="M1015" i="8"/>
  <c r="L1015" i="8"/>
  <c r="H1015" i="8"/>
  <c r="R1015" i="8" s="1"/>
  <c r="G1015" i="8"/>
  <c r="AH1014" i="8"/>
  <c r="AG1014" i="8"/>
  <c r="AE1014" i="8"/>
  <c r="Y1014" i="8"/>
  <c r="X1014" i="8"/>
  <c r="AB1014" i="8" s="1"/>
  <c r="V1014" i="8"/>
  <c r="U1014" i="8"/>
  <c r="W1014" i="8" s="1"/>
  <c r="T1014" i="8"/>
  <c r="P1014" i="8"/>
  <c r="Z1014" i="8" s="1"/>
  <c r="O1014" i="8"/>
  <c r="M1014" i="8"/>
  <c r="L1014" i="8"/>
  <c r="H1014" i="8"/>
  <c r="R1014" i="8" s="1"/>
  <c r="G1014" i="8"/>
  <c r="AH1013" i="8"/>
  <c r="AG1013" i="8"/>
  <c r="AE1013" i="8"/>
  <c r="Y1013" i="8"/>
  <c r="X1013" i="8"/>
  <c r="AB1013" i="8" s="1"/>
  <c r="V1013" i="8"/>
  <c r="U1013" i="8"/>
  <c r="W1013" i="8" s="1"/>
  <c r="T1013" i="8"/>
  <c r="P1013" i="8"/>
  <c r="Z1013" i="8" s="1"/>
  <c r="M1013" i="8"/>
  <c r="L1013" i="8"/>
  <c r="H1013" i="8"/>
  <c r="R1013" i="8" s="1"/>
  <c r="G1013" i="8"/>
  <c r="AH1012" i="8"/>
  <c r="AG1012" i="8"/>
  <c r="AE1012" i="8"/>
  <c r="Y1012" i="8"/>
  <c r="X1012" i="8"/>
  <c r="AB1012" i="8" s="1"/>
  <c r="V1012" i="8"/>
  <c r="U1012" i="8"/>
  <c r="W1012" i="8" s="1"/>
  <c r="T1012" i="8"/>
  <c r="P1012" i="8"/>
  <c r="Z1012" i="8" s="1"/>
  <c r="M1012" i="8"/>
  <c r="L1012" i="8"/>
  <c r="H1012" i="8"/>
  <c r="R1012" i="8" s="1"/>
  <c r="G1012" i="8"/>
  <c r="AH1011" i="8"/>
  <c r="AG1011" i="8"/>
  <c r="AE1011" i="8"/>
  <c r="Y1011" i="8"/>
  <c r="X1011" i="8"/>
  <c r="AB1011" i="8" s="1"/>
  <c r="V1011" i="8"/>
  <c r="U1011" i="8"/>
  <c r="W1011" i="8" s="1"/>
  <c r="T1011" i="8"/>
  <c r="P1011" i="8"/>
  <c r="Z1011" i="8" s="1"/>
  <c r="M1011" i="8"/>
  <c r="L1011" i="8"/>
  <c r="H1011" i="8"/>
  <c r="R1011" i="8" s="1"/>
  <c r="G1011" i="8"/>
  <c r="AH1010" i="8"/>
  <c r="AG1010" i="8"/>
  <c r="AE1010" i="8"/>
  <c r="Y1010" i="8"/>
  <c r="X1010" i="8"/>
  <c r="AB1010" i="8" s="1"/>
  <c r="V1010" i="8"/>
  <c r="U1010" i="8"/>
  <c r="W1010" i="8" s="1"/>
  <c r="T1010" i="8"/>
  <c r="P1010" i="8"/>
  <c r="Z1010" i="8" s="1"/>
  <c r="M1010" i="8"/>
  <c r="L1010" i="8"/>
  <c r="H1010" i="8"/>
  <c r="R1010" i="8" s="1"/>
  <c r="G1010" i="8"/>
  <c r="AH1009" i="8"/>
  <c r="AG1009" i="8"/>
  <c r="AE1009" i="8"/>
  <c r="Y1009" i="8"/>
  <c r="AC1009" i="8" s="1"/>
  <c r="AD1009" i="8" s="1"/>
  <c r="V1009" i="8"/>
  <c r="U1009" i="8"/>
  <c r="W1009" i="8" s="1"/>
  <c r="AA1009" i="8" s="1"/>
  <c r="T1009" i="8"/>
  <c r="R1009" i="8"/>
  <c r="S1009" i="8" s="1"/>
  <c r="P1009" i="8"/>
  <c r="Z1009" i="8" s="1"/>
  <c r="O1009" i="8"/>
  <c r="M1009" i="8"/>
  <c r="L1009" i="8"/>
  <c r="N1009" i="8" s="1"/>
  <c r="H1009" i="8"/>
  <c r="G1009" i="8"/>
  <c r="AH1008" i="8"/>
  <c r="AG1008" i="8"/>
  <c r="AE1008" i="8"/>
  <c r="Y1008" i="8"/>
  <c r="V1008" i="8"/>
  <c r="U1008" i="8"/>
  <c r="W1008" i="8" s="1"/>
  <c r="AA1008" i="8" s="1"/>
  <c r="T1008" i="8"/>
  <c r="P1008" i="8"/>
  <c r="Z1008" i="8" s="1"/>
  <c r="X1008" i="8" s="1"/>
  <c r="AB1008" i="8" s="1"/>
  <c r="M1008" i="8"/>
  <c r="L1008" i="8"/>
  <c r="N1008" i="8" s="1"/>
  <c r="H1008" i="8"/>
  <c r="R1008" i="8" s="1"/>
  <c r="G1008" i="8"/>
  <c r="AH1007" i="8"/>
  <c r="AG1007" i="8"/>
  <c r="AF1007" i="8"/>
  <c r="AE1007" i="8"/>
  <c r="Z1007" i="8"/>
  <c r="X1007" i="8" s="1"/>
  <c r="AB1007" i="8" s="1"/>
  <c r="Y1007" i="8"/>
  <c r="AC1007" i="8" s="1"/>
  <c r="AD1007" i="8" s="1"/>
  <c r="V1007" i="8"/>
  <c r="U1007" i="8"/>
  <c r="W1007" i="8" s="1"/>
  <c r="AA1007" i="8" s="1"/>
  <c r="T1007" i="8"/>
  <c r="P1007" i="8"/>
  <c r="O1007" i="8"/>
  <c r="M1007" i="8"/>
  <c r="L1007" i="8"/>
  <c r="N1007" i="8" s="1"/>
  <c r="H1007" i="8"/>
  <c r="R1007" i="8" s="1"/>
  <c r="S1007" i="8" s="1"/>
  <c r="G1007" i="8"/>
  <c r="AH1006" i="8"/>
  <c r="AG1006" i="8"/>
  <c r="AE1006" i="8"/>
  <c r="Z1006" i="8"/>
  <c r="Y1006" i="8"/>
  <c r="X1006" i="8" s="1"/>
  <c r="AB1006" i="8" s="1"/>
  <c r="V1006" i="8"/>
  <c r="U1006" i="8"/>
  <c r="W1006" i="8" s="1"/>
  <c r="T1006" i="8"/>
  <c r="R1006" i="8"/>
  <c r="P1006" i="8"/>
  <c r="M1006" i="8"/>
  <c r="L1006" i="8"/>
  <c r="H1006" i="8"/>
  <c r="O1006" i="8" s="1"/>
  <c r="G1006" i="8"/>
  <c r="AH1005" i="8"/>
  <c r="AG1005" i="8"/>
  <c r="AE1005" i="8"/>
  <c r="Y1005" i="8"/>
  <c r="AC1005" i="8" s="1"/>
  <c r="AD1005" i="8" s="1"/>
  <c r="V1005" i="8"/>
  <c r="U1005" i="8"/>
  <c r="W1005" i="8" s="1"/>
  <c r="AA1005" i="8" s="1"/>
  <c r="T1005" i="8"/>
  <c r="R1005" i="8"/>
  <c r="S1005" i="8" s="1"/>
  <c r="P1005" i="8"/>
  <c r="Z1005" i="8" s="1"/>
  <c r="O1005" i="8"/>
  <c r="M1005" i="8"/>
  <c r="L1005" i="8"/>
  <c r="N1005" i="8" s="1"/>
  <c r="H1005" i="8"/>
  <c r="G1005" i="8"/>
  <c r="AH1004" i="8"/>
  <c r="AG1004" i="8"/>
  <c r="AE1004" i="8"/>
  <c r="Y1004" i="8"/>
  <c r="V1004" i="8"/>
  <c r="U1004" i="8"/>
  <c r="W1004" i="8" s="1"/>
  <c r="AA1004" i="8" s="1"/>
  <c r="T1004" i="8"/>
  <c r="P1004" i="8"/>
  <c r="Z1004" i="8" s="1"/>
  <c r="X1004" i="8" s="1"/>
  <c r="AB1004" i="8" s="1"/>
  <c r="M1004" i="8"/>
  <c r="L1004" i="8"/>
  <c r="N1004" i="8" s="1"/>
  <c r="H1004" i="8"/>
  <c r="R1004" i="8" s="1"/>
  <c r="G1004" i="8"/>
  <c r="AH1003" i="8"/>
  <c r="AG1003" i="8"/>
  <c r="AF1003" i="8"/>
  <c r="AE1003" i="8"/>
  <c r="Z1003" i="8"/>
  <c r="X1003" i="8" s="1"/>
  <c r="AB1003" i="8" s="1"/>
  <c r="Y1003" i="8"/>
  <c r="AC1003" i="8" s="1"/>
  <c r="V1003" i="8"/>
  <c r="U1003" i="8"/>
  <c r="W1003" i="8" s="1"/>
  <c r="AA1003" i="8" s="1"/>
  <c r="T1003" i="8"/>
  <c r="P1003" i="8"/>
  <c r="O1003" i="8"/>
  <c r="M1003" i="8"/>
  <c r="L1003" i="8"/>
  <c r="N1003" i="8" s="1"/>
  <c r="H1003" i="8"/>
  <c r="R1003" i="8" s="1"/>
  <c r="S1003" i="8" s="1"/>
  <c r="G1003" i="8"/>
  <c r="AH1002" i="8"/>
  <c r="AG1002" i="8"/>
  <c r="AE1002" i="8"/>
  <c r="Z1002" i="8"/>
  <c r="Y1002" i="8"/>
  <c r="X1002" i="8" s="1"/>
  <c r="AB1002" i="8" s="1"/>
  <c r="V1002" i="8"/>
  <c r="U1002" i="8"/>
  <c r="W1002" i="8" s="1"/>
  <c r="T1002" i="8"/>
  <c r="R1002" i="8"/>
  <c r="S1002" i="8" s="1"/>
  <c r="P1002" i="8"/>
  <c r="O1002" i="8"/>
  <c r="M1002" i="8"/>
  <c r="L1002" i="8"/>
  <c r="H1002" i="8"/>
  <c r="G1002" i="8"/>
  <c r="AH1001" i="8"/>
  <c r="AG1001" i="8"/>
  <c r="AE1001" i="8"/>
  <c r="Y1001" i="8"/>
  <c r="AC1001" i="8" s="1"/>
  <c r="AD1001" i="8" s="1"/>
  <c r="V1001" i="8"/>
  <c r="U1001" i="8"/>
  <c r="W1001" i="8" s="1"/>
  <c r="AA1001" i="8" s="1"/>
  <c r="T1001" i="8"/>
  <c r="R1001" i="8"/>
  <c r="S1001" i="8" s="1"/>
  <c r="P1001" i="8"/>
  <c r="Z1001" i="8" s="1"/>
  <c r="O1001" i="8"/>
  <c r="M1001" i="8"/>
  <c r="L1001" i="8"/>
  <c r="N1001" i="8" s="1"/>
  <c r="H1001" i="8"/>
  <c r="G1001" i="8"/>
  <c r="AH1000" i="8"/>
  <c r="AG1000" i="8"/>
  <c r="AE1000" i="8"/>
  <c r="Y1000" i="8"/>
  <c r="V1000" i="8"/>
  <c r="U1000" i="8"/>
  <c r="W1000" i="8" s="1"/>
  <c r="AA1000" i="8" s="1"/>
  <c r="T1000" i="8"/>
  <c r="P1000" i="8"/>
  <c r="Z1000" i="8" s="1"/>
  <c r="X1000" i="8" s="1"/>
  <c r="AB1000" i="8" s="1"/>
  <c r="M1000" i="8"/>
  <c r="L1000" i="8"/>
  <c r="N1000" i="8" s="1"/>
  <c r="H1000" i="8"/>
  <c r="R1000" i="8" s="1"/>
  <c r="G1000" i="8"/>
  <c r="AH999" i="8"/>
  <c r="AG999" i="8"/>
  <c r="AF999" i="8"/>
  <c r="AE999" i="8"/>
  <c r="Z999" i="8"/>
  <c r="X999" i="8" s="1"/>
  <c r="AB999" i="8" s="1"/>
  <c r="Y999" i="8"/>
  <c r="AC999" i="8" s="1"/>
  <c r="AD999" i="8" s="1"/>
  <c r="V999" i="8"/>
  <c r="U999" i="8"/>
  <c r="W999" i="8" s="1"/>
  <c r="AA999" i="8" s="1"/>
  <c r="T999" i="8"/>
  <c r="P999" i="8"/>
  <c r="O999" i="8"/>
  <c r="M999" i="8"/>
  <c r="L999" i="8"/>
  <c r="N999" i="8" s="1"/>
  <c r="H999" i="8"/>
  <c r="R999" i="8" s="1"/>
  <c r="S999" i="8" s="1"/>
  <c r="G999" i="8"/>
  <c r="AH998" i="8"/>
  <c r="AG998" i="8"/>
  <c r="AE998" i="8"/>
  <c r="Z998" i="8"/>
  <c r="Y998" i="8"/>
  <c r="X998" i="8" s="1"/>
  <c r="AB998" i="8" s="1"/>
  <c r="V998" i="8"/>
  <c r="U998" i="8"/>
  <c r="W998" i="8" s="1"/>
  <c r="AA998" i="8" s="1"/>
  <c r="T998" i="8"/>
  <c r="R998" i="8"/>
  <c r="S998" i="8" s="1"/>
  <c r="P998" i="8"/>
  <c r="O998" i="8"/>
  <c r="M998" i="8"/>
  <c r="L998" i="8"/>
  <c r="H998" i="8"/>
  <c r="G998" i="8"/>
  <c r="AH997" i="8"/>
  <c r="AG997" i="8"/>
  <c r="AE997" i="8"/>
  <c r="Y997" i="8"/>
  <c r="AC997" i="8" s="1"/>
  <c r="AD997" i="8" s="1"/>
  <c r="V997" i="8"/>
  <c r="U997" i="8"/>
  <c r="W997" i="8" s="1"/>
  <c r="AA997" i="8" s="1"/>
  <c r="T997" i="8"/>
  <c r="R997" i="8"/>
  <c r="S997" i="8" s="1"/>
  <c r="P997" i="8"/>
  <c r="Z997" i="8" s="1"/>
  <c r="O997" i="8"/>
  <c r="M997" i="8"/>
  <c r="L997" i="8"/>
  <c r="N997" i="8" s="1"/>
  <c r="H997" i="8"/>
  <c r="G997" i="8"/>
  <c r="AH996" i="8"/>
  <c r="AG996" i="8"/>
  <c r="AE996" i="8"/>
  <c r="Y996" i="8"/>
  <c r="V996" i="8"/>
  <c r="U996" i="8"/>
  <c r="W996" i="8" s="1"/>
  <c r="AA996" i="8" s="1"/>
  <c r="T996" i="8"/>
  <c r="P996" i="8"/>
  <c r="Z996" i="8" s="1"/>
  <c r="X996" i="8" s="1"/>
  <c r="AB996" i="8" s="1"/>
  <c r="M996" i="8"/>
  <c r="L996" i="8"/>
  <c r="N996" i="8" s="1"/>
  <c r="H996" i="8"/>
  <c r="R996" i="8" s="1"/>
  <c r="G996" i="8"/>
  <c r="AH995" i="8"/>
  <c r="AG995" i="8"/>
  <c r="AE995" i="8"/>
  <c r="Z995" i="8"/>
  <c r="X995" i="8" s="1"/>
  <c r="AB995" i="8" s="1"/>
  <c r="Y995" i="8"/>
  <c r="AC995" i="8" s="1"/>
  <c r="AD995" i="8" s="1"/>
  <c r="V995" i="8"/>
  <c r="U995" i="8"/>
  <c r="W995" i="8" s="1"/>
  <c r="AA995" i="8" s="1"/>
  <c r="T995" i="8"/>
  <c r="R995" i="8"/>
  <c r="P995" i="8"/>
  <c r="O995" i="8"/>
  <c r="M995" i="8"/>
  <c r="L995" i="8"/>
  <c r="N995" i="8" s="1"/>
  <c r="H995" i="8"/>
  <c r="G995" i="8"/>
  <c r="AH994" i="8"/>
  <c r="AG994" i="8"/>
  <c r="AE994" i="8"/>
  <c r="Y994" i="8"/>
  <c r="V994" i="8"/>
  <c r="U994" i="8"/>
  <c r="W994" i="8" s="1"/>
  <c r="T994" i="8"/>
  <c r="P994" i="8"/>
  <c r="AC994" i="8" s="1"/>
  <c r="M994" i="8"/>
  <c r="L994" i="8"/>
  <c r="N994" i="8" s="1"/>
  <c r="H994" i="8"/>
  <c r="R994" i="8" s="1"/>
  <c r="G994" i="8"/>
  <c r="AH993" i="8"/>
  <c r="AG993" i="8"/>
  <c r="AE993" i="8"/>
  <c r="Y993" i="8"/>
  <c r="V993" i="8"/>
  <c r="U993" i="8"/>
  <c r="W993" i="8" s="1"/>
  <c r="AA993" i="8" s="1"/>
  <c r="T993" i="8"/>
  <c r="P993" i="8"/>
  <c r="AC993" i="8" s="1"/>
  <c r="M993" i="8"/>
  <c r="L993" i="8"/>
  <c r="N993" i="8" s="1"/>
  <c r="H993" i="8"/>
  <c r="R993" i="8" s="1"/>
  <c r="G993" i="8"/>
  <c r="AH992" i="8"/>
  <c r="AG992" i="8"/>
  <c r="AE992" i="8"/>
  <c r="Y992" i="8"/>
  <c r="V992" i="8"/>
  <c r="U992" i="8"/>
  <c r="W992" i="8" s="1"/>
  <c r="T992" i="8"/>
  <c r="P992" i="8"/>
  <c r="Z992" i="8" s="1"/>
  <c r="O992" i="8"/>
  <c r="M992" i="8"/>
  <c r="L992" i="8"/>
  <c r="H992" i="8"/>
  <c r="R992" i="8" s="1"/>
  <c r="S992" i="8" s="1"/>
  <c r="G992" i="8"/>
  <c r="AH991" i="8"/>
  <c r="AG991" i="8"/>
  <c r="AF991" i="8"/>
  <c r="AE991" i="8"/>
  <c r="AC991" i="8"/>
  <c r="AD991" i="8" s="1"/>
  <c r="Z991" i="8"/>
  <c r="Y991" i="8"/>
  <c r="X991" i="8"/>
  <c r="AB991" i="8" s="1"/>
  <c r="V991" i="8"/>
  <c r="U991" i="8"/>
  <c r="W991" i="8" s="1"/>
  <c r="AA991" i="8" s="1"/>
  <c r="T991" i="8"/>
  <c r="R991" i="8"/>
  <c r="S991" i="8" s="1"/>
  <c r="P991" i="8"/>
  <c r="O991" i="8"/>
  <c r="M991" i="8"/>
  <c r="L991" i="8"/>
  <c r="N991" i="8" s="1"/>
  <c r="H991" i="8"/>
  <c r="G991" i="8"/>
  <c r="AH990" i="8"/>
  <c r="AG990" i="8"/>
  <c r="AE990" i="8"/>
  <c r="Y990" i="8"/>
  <c r="V990" i="8"/>
  <c r="U990" i="8"/>
  <c r="W990" i="8" s="1"/>
  <c r="T990" i="8"/>
  <c r="P990" i="8"/>
  <c r="Z990" i="8" s="1"/>
  <c r="M990" i="8"/>
  <c r="L990" i="8"/>
  <c r="H990" i="8"/>
  <c r="R990" i="8" s="1"/>
  <c r="G990" i="8"/>
  <c r="AH989" i="8"/>
  <c r="AG989" i="8"/>
  <c r="AE989" i="8"/>
  <c r="AC989" i="8"/>
  <c r="AD989" i="8" s="1"/>
  <c r="Z989" i="8"/>
  <c r="X989" i="8" s="1"/>
  <c r="AB989" i="8" s="1"/>
  <c r="Y989" i="8"/>
  <c r="V989" i="8"/>
  <c r="U989" i="8"/>
  <c r="W989" i="8" s="1"/>
  <c r="T989" i="8"/>
  <c r="R989" i="8"/>
  <c r="S989" i="8" s="1"/>
  <c r="P989" i="8"/>
  <c r="O989" i="8"/>
  <c r="M989" i="8"/>
  <c r="L989" i="8"/>
  <c r="H989" i="8"/>
  <c r="G989" i="8"/>
  <c r="AH988" i="8"/>
  <c r="AG988" i="8"/>
  <c r="AE988" i="8"/>
  <c r="Z988" i="8"/>
  <c r="Y988" i="8"/>
  <c r="AC988" i="8" s="1"/>
  <c r="V988" i="8"/>
  <c r="U988" i="8"/>
  <c r="W988" i="8" s="1"/>
  <c r="AA988" i="8" s="1"/>
  <c r="T988" i="8"/>
  <c r="P988" i="8"/>
  <c r="M988" i="8"/>
  <c r="L988" i="8"/>
  <c r="H988" i="8"/>
  <c r="R988" i="8" s="1"/>
  <c r="G988" i="8"/>
  <c r="AH987" i="8"/>
  <c r="AG987" i="8"/>
  <c r="AE987" i="8"/>
  <c r="Z987" i="8"/>
  <c r="X987" i="8" s="1"/>
  <c r="AB987" i="8" s="1"/>
  <c r="Y987" i="8"/>
  <c r="AC987" i="8" s="1"/>
  <c r="V987" i="8"/>
  <c r="U987" i="8"/>
  <c r="W987" i="8" s="1"/>
  <c r="AA987" i="8" s="1"/>
  <c r="T987" i="8"/>
  <c r="R987" i="8"/>
  <c r="P987" i="8"/>
  <c r="O987" i="8"/>
  <c r="M987" i="8"/>
  <c r="L987" i="8"/>
  <c r="N987" i="8" s="1"/>
  <c r="H987" i="8"/>
  <c r="G987" i="8"/>
  <c r="AH986" i="8"/>
  <c r="AG986" i="8"/>
  <c r="AE986" i="8"/>
  <c r="Y986" i="8"/>
  <c r="V986" i="8"/>
  <c r="U986" i="8"/>
  <c r="W986" i="8" s="1"/>
  <c r="T986" i="8"/>
  <c r="P986" i="8"/>
  <c r="AC986" i="8" s="1"/>
  <c r="M986" i="8"/>
  <c r="L986" i="8"/>
  <c r="N986" i="8" s="1"/>
  <c r="H986" i="8"/>
  <c r="R986" i="8" s="1"/>
  <c r="G986" i="8"/>
  <c r="AH985" i="8"/>
  <c r="AG985" i="8"/>
  <c r="AE985" i="8"/>
  <c r="Y985" i="8"/>
  <c r="V985" i="8"/>
  <c r="U985" i="8"/>
  <c r="W985" i="8" s="1"/>
  <c r="AA985" i="8" s="1"/>
  <c r="T985" i="8"/>
  <c r="P985" i="8"/>
  <c r="AC985" i="8" s="1"/>
  <c r="M985" i="8"/>
  <c r="L985" i="8"/>
  <c r="N985" i="8" s="1"/>
  <c r="H985" i="8"/>
  <c r="R985" i="8" s="1"/>
  <c r="G985" i="8"/>
  <c r="AH984" i="8"/>
  <c r="AG984" i="8"/>
  <c r="AE984" i="8"/>
  <c r="Y984" i="8"/>
  <c r="V984" i="8"/>
  <c r="U984" i="8"/>
  <c r="W984" i="8" s="1"/>
  <c r="T984" i="8"/>
  <c r="P984" i="8"/>
  <c r="Z984" i="8" s="1"/>
  <c r="O984" i="8"/>
  <c r="M984" i="8"/>
  <c r="L984" i="8"/>
  <c r="H984" i="8"/>
  <c r="R984" i="8" s="1"/>
  <c r="S984" i="8" s="1"/>
  <c r="G984" i="8"/>
  <c r="AH983" i="8"/>
  <c r="AG983" i="8"/>
  <c r="AF983" i="8"/>
  <c r="AE983" i="8"/>
  <c r="AC983" i="8"/>
  <c r="AD983" i="8" s="1"/>
  <c r="Z983" i="8"/>
  <c r="Y983" i="8"/>
  <c r="X983" i="8"/>
  <c r="AB983" i="8" s="1"/>
  <c r="V983" i="8"/>
  <c r="U983" i="8"/>
  <c r="W983" i="8" s="1"/>
  <c r="AA983" i="8" s="1"/>
  <c r="T983" i="8"/>
  <c r="R983" i="8"/>
  <c r="S983" i="8" s="1"/>
  <c r="P983" i="8"/>
  <c r="O983" i="8"/>
  <c r="M983" i="8"/>
  <c r="L983" i="8"/>
  <c r="N983" i="8" s="1"/>
  <c r="H983" i="8"/>
  <c r="G983" i="8"/>
  <c r="AH982" i="8"/>
  <c r="AG982" i="8"/>
  <c r="AE982" i="8"/>
  <c r="Y982" i="8"/>
  <c r="V982" i="8"/>
  <c r="U982" i="8"/>
  <c r="W982" i="8" s="1"/>
  <c r="T982" i="8"/>
  <c r="P982" i="8"/>
  <c r="Z982" i="8" s="1"/>
  <c r="M982" i="8"/>
  <c r="L982" i="8"/>
  <c r="H982" i="8"/>
  <c r="R982" i="8" s="1"/>
  <c r="G982" i="8"/>
  <c r="AH981" i="8"/>
  <c r="AG981" i="8"/>
  <c r="AE981" i="8"/>
  <c r="AC981" i="8"/>
  <c r="AD981" i="8" s="1"/>
  <c r="Z981" i="8"/>
  <c r="X981" i="8" s="1"/>
  <c r="AB981" i="8" s="1"/>
  <c r="Y981" i="8"/>
  <c r="V981" i="8"/>
  <c r="U981" i="8"/>
  <c r="W981" i="8" s="1"/>
  <c r="T981" i="8"/>
  <c r="R981" i="8"/>
  <c r="S981" i="8" s="1"/>
  <c r="P981" i="8"/>
  <c r="O981" i="8"/>
  <c r="M981" i="8"/>
  <c r="L981" i="8"/>
  <c r="H981" i="8"/>
  <c r="G981" i="8"/>
  <c r="AH980" i="8"/>
  <c r="AG980" i="8"/>
  <c r="AE980" i="8"/>
  <c r="Z980" i="8"/>
  <c r="Y980" i="8"/>
  <c r="AC980" i="8" s="1"/>
  <c r="V980" i="8"/>
  <c r="U980" i="8"/>
  <c r="W980" i="8" s="1"/>
  <c r="AA980" i="8" s="1"/>
  <c r="T980" i="8"/>
  <c r="P980" i="8"/>
  <c r="M980" i="8"/>
  <c r="L980" i="8"/>
  <c r="H980" i="8"/>
  <c r="R980" i="8" s="1"/>
  <c r="G980" i="8"/>
  <c r="AH979" i="8"/>
  <c r="AG979" i="8"/>
  <c r="AE979" i="8"/>
  <c r="Z979" i="8"/>
  <c r="X979" i="8" s="1"/>
  <c r="AB979" i="8" s="1"/>
  <c r="Y979" i="8"/>
  <c r="AC979" i="8" s="1"/>
  <c r="V979" i="8"/>
  <c r="U979" i="8"/>
  <c r="W979" i="8" s="1"/>
  <c r="AA979" i="8" s="1"/>
  <c r="T979" i="8"/>
  <c r="R979" i="8"/>
  <c r="P979" i="8"/>
  <c r="O979" i="8"/>
  <c r="M979" i="8"/>
  <c r="L979" i="8"/>
  <c r="N979" i="8" s="1"/>
  <c r="H979" i="8"/>
  <c r="G979" i="8"/>
  <c r="AH978" i="8"/>
  <c r="AG978" i="8"/>
  <c r="AE978" i="8"/>
  <c r="Y978" i="8"/>
  <c r="V978" i="8"/>
  <c r="U978" i="8"/>
  <c r="W978" i="8" s="1"/>
  <c r="T978" i="8"/>
  <c r="P978" i="8"/>
  <c r="AC978" i="8" s="1"/>
  <c r="M978" i="8"/>
  <c r="L978" i="8"/>
  <c r="N978" i="8" s="1"/>
  <c r="H978" i="8"/>
  <c r="R978" i="8" s="1"/>
  <c r="G978" i="8"/>
  <c r="AH977" i="8"/>
  <c r="AG977" i="8"/>
  <c r="AE977" i="8"/>
  <c r="Y977" i="8"/>
  <c r="V977" i="8"/>
  <c r="U977" i="8"/>
  <c r="W977" i="8" s="1"/>
  <c r="AA977" i="8" s="1"/>
  <c r="T977" i="8"/>
  <c r="P977" i="8"/>
  <c r="AC977" i="8" s="1"/>
  <c r="M977" i="8"/>
  <c r="L977" i="8"/>
  <c r="N977" i="8" s="1"/>
  <c r="H977" i="8"/>
  <c r="R977" i="8" s="1"/>
  <c r="G977" i="8"/>
  <c r="AH976" i="8"/>
  <c r="AG976" i="8"/>
  <c r="AE976" i="8"/>
  <c r="Y976" i="8"/>
  <c r="V976" i="8"/>
  <c r="U976" i="8"/>
  <c r="W976" i="8" s="1"/>
  <c r="T976" i="8"/>
  <c r="P976" i="8"/>
  <c r="Z976" i="8" s="1"/>
  <c r="O976" i="8"/>
  <c r="M976" i="8"/>
  <c r="L976" i="8"/>
  <c r="H976" i="8"/>
  <c r="R976" i="8" s="1"/>
  <c r="S976" i="8" s="1"/>
  <c r="G976" i="8"/>
  <c r="AH975" i="8"/>
  <c r="AG975" i="8"/>
  <c r="AF975" i="8"/>
  <c r="AE975" i="8"/>
  <c r="AC975" i="8"/>
  <c r="Y975" i="8"/>
  <c r="V975" i="8"/>
  <c r="U975" i="8"/>
  <c r="W975" i="8" s="1"/>
  <c r="AA975" i="8" s="1"/>
  <c r="T975" i="8"/>
  <c r="P975" i="8"/>
  <c r="Z975" i="8" s="1"/>
  <c r="X975" i="8" s="1"/>
  <c r="AB975" i="8" s="1"/>
  <c r="M975" i="8"/>
  <c r="L975" i="8"/>
  <c r="N975" i="8" s="1"/>
  <c r="H975" i="8"/>
  <c r="R975" i="8" s="1"/>
  <c r="G975" i="8"/>
  <c r="AH974" i="8"/>
  <c r="AG974" i="8"/>
  <c r="AE974" i="8"/>
  <c r="Y974" i="8"/>
  <c r="W974" i="8"/>
  <c r="AA974" i="8" s="1"/>
  <c r="V974" i="8"/>
  <c r="U974" i="8"/>
  <c r="T974" i="8"/>
  <c r="R974" i="8"/>
  <c r="S974" i="8" s="1"/>
  <c r="P974" i="8"/>
  <c r="Z974" i="8" s="1"/>
  <c r="O974" i="8"/>
  <c r="M974" i="8"/>
  <c r="L974" i="8"/>
  <c r="N974" i="8" s="1"/>
  <c r="H974" i="8"/>
  <c r="G974" i="8"/>
  <c r="AH973" i="8"/>
  <c r="AG973" i="8"/>
  <c r="AF973" i="8"/>
  <c r="AE973" i="8"/>
  <c r="AC973" i="8"/>
  <c r="AD973" i="8" s="1"/>
  <c r="Y973" i="8"/>
  <c r="W973" i="8"/>
  <c r="AA973" i="8" s="1"/>
  <c r="V973" i="8"/>
  <c r="U973" i="8"/>
  <c r="T973" i="8"/>
  <c r="R973" i="8"/>
  <c r="P973" i="8"/>
  <c r="Z973" i="8" s="1"/>
  <c r="X973" i="8" s="1"/>
  <c r="AB973" i="8" s="1"/>
  <c r="N973" i="8"/>
  <c r="M973" i="8"/>
  <c r="L973" i="8"/>
  <c r="H973" i="8"/>
  <c r="O973" i="8" s="1"/>
  <c r="G973" i="8"/>
  <c r="AH972" i="8"/>
  <c r="AG972" i="8"/>
  <c r="AE972" i="8"/>
  <c r="AC972" i="8"/>
  <c r="AD972" i="8" s="1"/>
  <c r="Y972" i="8"/>
  <c r="V972" i="8"/>
  <c r="U972" i="8"/>
  <c r="W972" i="8" s="1"/>
  <c r="AA972" i="8" s="1"/>
  <c r="T972" i="8"/>
  <c r="P972" i="8"/>
  <c r="Z972" i="8" s="1"/>
  <c r="M972" i="8"/>
  <c r="L972" i="8"/>
  <c r="H972" i="8"/>
  <c r="R972" i="8" s="1"/>
  <c r="G972" i="8"/>
  <c r="AH971" i="8"/>
  <c r="AG971" i="8"/>
  <c r="AE971" i="8"/>
  <c r="Y971" i="8"/>
  <c r="W971" i="8"/>
  <c r="V971" i="8"/>
  <c r="U971" i="8"/>
  <c r="T971" i="8"/>
  <c r="P971" i="8"/>
  <c r="Z971" i="8" s="1"/>
  <c r="O971" i="8"/>
  <c r="N971" i="8"/>
  <c r="M971" i="8"/>
  <c r="L971" i="8"/>
  <c r="H971" i="8"/>
  <c r="R971" i="8" s="1"/>
  <c r="S971" i="8" s="1"/>
  <c r="G971" i="8"/>
  <c r="AH970" i="8"/>
  <c r="AG970" i="8"/>
  <c r="AE970" i="8"/>
  <c r="Y970" i="8"/>
  <c r="AC970" i="8" s="1"/>
  <c r="W970" i="8"/>
  <c r="AA970" i="8" s="1"/>
  <c r="V970" i="8"/>
  <c r="U970" i="8"/>
  <c r="T970" i="8"/>
  <c r="P970" i="8"/>
  <c r="Z970" i="8" s="1"/>
  <c r="M970" i="8"/>
  <c r="L970" i="8"/>
  <c r="N970" i="8" s="1"/>
  <c r="H970" i="8"/>
  <c r="R970" i="8" s="1"/>
  <c r="G970" i="8"/>
  <c r="AH969" i="8"/>
  <c r="AG969" i="8"/>
  <c r="AE969" i="8"/>
  <c r="AC969" i="8"/>
  <c r="AD969" i="8" s="1"/>
  <c r="Y969" i="8"/>
  <c r="W969" i="8"/>
  <c r="V969" i="8"/>
  <c r="U969" i="8"/>
  <c r="T969" i="8"/>
  <c r="R969" i="8"/>
  <c r="S969" i="8" s="1"/>
  <c r="P969" i="8"/>
  <c r="Z969" i="8" s="1"/>
  <c r="X969" i="8" s="1"/>
  <c r="AB969" i="8" s="1"/>
  <c r="O969" i="8"/>
  <c r="M969" i="8"/>
  <c r="L969" i="8"/>
  <c r="N969" i="8" s="1"/>
  <c r="H969" i="8"/>
  <c r="G969" i="8"/>
  <c r="AH968" i="8"/>
  <c r="AG968" i="8"/>
  <c r="AE968" i="8"/>
  <c r="Y968" i="8"/>
  <c r="W968" i="8"/>
  <c r="AA968" i="8" s="1"/>
  <c r="V968" i="8"/>
  <c r="U968" i="8"/>
  <c r="T968" i="8"/>
  <c r="R968" i="8"/>
  <c r="P968" i="8"/>
  <c r="Z968" i="8" s="1"/>
  <c r="O968" i="8"/>
  <c r="N968" i="8"/>
  <c r="M968" i="8"/>
  <c r="L968" i="8"/>
  <c r="H968" i="8"/>
  <c r="G968" i="8"/>
  <c r="AH967" i="8"/>
  <c r="AG967" i="8"/>
  <c r="AF967" i="8"/>
  <c r="AE967" i="8"/>
  <c r="AC967" i="8"/>
  <c r="AD967" i="8" s="1"/>
  <c r="Y967" i="8"/>
  <c r="V967" i="8"/>
  <c r="U967" i="8"/>
  <c r="W967" i="8" s="1"/>
  <c r="AA967" i="8" s="1"/>
  <c r="T967" i="8"/>
  <c r="P967" i="8"/>
  <c r="Z967" i="8" s="1"/>
  <c r="X967" i="8" s="1"/>
  <c r="AB967" i="8" s="1"/>
  <c r="M967" i="8"/>
  <c r="L967" i="8"/>
  <c r="N967" i="8" s="1"/>
  <c r="H967" i="8"/>
  <c r="R967" i="8" s="1"/>
  <c r="G967" i="8"/>
  <c r="AH966" i="8"/>
  <c r="AG966" i="8"/>
  <c r="AE966" i="8"/>
  <c r="Y966" i="8"/>
  <c r="X966" i="8" s="1"/>
  <c r="AB966" i="8" s="1"/>
  <c r="W966" i="8"/>
  <c r="AA966" i="8" s="1"/>
  <c r="V966" i="8"/>
  <c r="U966" i="8"/>
  <c r="T966" i="8"/>
  <c r="R966" i="8"/>
  <c r="S966" i="8" s="1"/>
  <c r="P966" i="8"/>
  <c r="Z966" i="8" s="1"/>
  <c r="O966" i="8"/>
  <c r="M966" i="8"/>
  <c r="L966" i="8"/>
  <c r="N966" i="8" s="1"/>
  <c r="H966" i="8"/>
  <c r="G966" i="8"/>
  <c r="AH965" i="8"/>
  <c r="AG965" i="8"/>
  <c r="AF965" i="8"/>
  <c r="AE965" i="8"/>
  <c r="AC965" i="8"/>
  <c r="AD965" i="8" s="1"/>
  <c r="Y965" i="8"/>
  <c r="W965" i="8"/>
  <c r="AA965" i="8" s="1"/>
  <c r="V965" i="8"/>
  <c r="U965" i="8"/>
  <c r="T965" i="8"/>
  <c r="R965" i="8"/>
  <c r="P965" i="8"/>
  <c r="Z965" i="8" s="1"/>
  <c r="X965" i="8" s="1"/>
  <c r="AB965" i="8" s="1"/>
  <c r="N965" i="8"/>
  <c r="M965" i="8"/>
  <c r="L965" i="8"/>
  <c r="H965" i="8"/>
  <c r="O965" i="8" s="1"/>
  <c r="G965" i="8"/>
  <c r="AH964" i="8"/>
  <c r="AG964" i="8"/>
  <c r="AE964" i="8"/>
  <c r="AC964" i="8"/>
  <c r="AD964" i="8" s="1"/>
  <c r="Y964" i="8"/>
  <c r="X964" i="8" s="1"/>
  <c r="AB964" i="8" s="1"/>
  <c r="V964" i="8"/>
  <c r="U964" i="8"/>
  <c r="W964" i="8" s="1"/>
  <c r="AA964" i="8" s="1"/>
  <c r="T964" i="8"/>
  <c r="P964" i="8"/>
  <c r="Z964" i="8" s="1"/>
  <c r="M964" i="8"/>
  <c r="L964" i="8"/>
  <c r="H964" i="8"/>
  <c r="R964" i="8" s="1"/>
  <c r="G964" i="8"/>
  <c r="AH963" i="8"/>
  <c r="AG963" i="8"/>
  <c r="AE963" i="8"/>
  <c r="Y963" i="8"/>
  <c r="W963" i="8"/>
  <c r="V963" i="8"/>
  <c r="U963" i="8"/>
  <c r="T963" i="8"/>
  <c r="P963" i="8"/>
  <c r="Z963" i="8" s="1"/>
  <c r="O963" i="8"/>
  <c r="N963" i="8"/>
  <c r="M963" i="8"/>
  <c r="L963" i="8"/>
  <c r="H963" i="8"/>
  <c r="R963" i="8" s="1"/>
  <c r="S963" i="8" s="1"/>
  <c r="G963" i="8"/>
  <c r="AH962" i="8"/>
  <c r="AG962" i="8"/>
  <c r="AE962" i="8"/>
  <c r="Y962" i="8"/>
  <c r="AC962" i="8" s="1"/>
  <c r="W962" i="8"/>
  <c r="AA962" i="8" s="1"/>
  <c r="V962" i="8"/>
  <c r="U962" i="8"/>
  <c r="T962" i="8"/>
  <c r="P962" i="8"/>
  <c r="Z962" i="8" s="1"/>
  <c r="M962" i="8"/>
  <c r="L962" i="8"/>
  <c r="N962" i="8" s="1"/>
  <c r="H962" i="8"/>
  <c r="R962" i="8" s="1"/>
  <c r="G962" i="8"/>
  <c r="AH961" i="8"/>
  <c r="AG961" i="8"/>
  <c r="AE961" i="8"/>
  <c r="AC961" i="8"/>
  <c r="AD961" i="8" s="1"/>
  <c r="Y961" i="8"/>
  <c r="W961" i="8"/>
  <c r="V961" i="8"/>
  <c r="U961" i="8"/>
  <c r="T961" i="8"/>
  <c r="R961" i="8"/>
  <c r="S961" i="8" s="1"/>
  <c r="P961" i="8"/>
  <c r="Z961" i="8" s="1"/>
  <c r="X961" i="8" s="1"/>
  <c r="AB961" i="8" s="1"/>
  <c r="O961" i="8"/>
  <c r="M961" i="8"/>
  <c r="L961" i="8"/>
  <c r="N961" i="8" s="1"/>
  <c r="H961" i="8"/>
  <c r="G961" i="8"/>
  <c r="AH960" i="8"/>
  <c r="AG960" i="8"/>
  <c r="AE960" i="8"/>
  <c r="Y960" i="8"/>
  <c r="W960" i="8"/>
  <c r="AA960" i="8" s="1"/>
  <c r="V960" i="8"/>
  <c r="U960" i="8"/>
  <c r="T960" i="8"/>
  <c r="R960" i="8"/>
  <c r="P960" i="8"/>
  <c r="Z960" i="8" s="1"/>
  <c r="O960" i="8"/>
  <c r="N960" i="8"/>
  <c r="M960" i="8"/>
  <c r="L960" i="8"/>
  <c r="H960" i="8"/>
  <c r="G960" i="8"/>
  <c r="AH959" i="8"/>
  <c r="AG959" i="8"/>
  <c r="AF959" i="8"/>
  <c r="AE959" i="8"/>
  <c r="AC959" i="8"/>
  <c r="AD959" i="8" s="1"/>
  <c r="Y959" i="8"/>
  <c r="V959" i="8"/>
  <c r="U959" i="8"/>
  <c r="W959" i="8" s="1"/>
  <c r="AA959" i="8" s="1"/>
  <c r="T959" i="8"/>
  <c r="P959" i="8"/>
  <c r="Z959" i="8" s="1"/>
  <c r="X959" i="8" s="1"/>
  <c r="AB959" i="8" s="1"/>
  <c r="M959" i="8"/>
  <c r="L959" i="8"/>
  <c r="N959" i="8" s="1"/>
  <c r="H959" i="8"/>
  <c r="R959" i="8" s="1"/>
  <c r="G959" i="8"/>
  <c r="AH958" i="8"/>
  <c r="AG958" i="8"/>
  <c r="AE958" i="8"/>
  <c r="Y958" i="8"/>
  <c r="X958" i="8" s="1"/>
  <c r="AB958" i="8" s="1"/>
  <c r="W958" i="8"/>
  <c r="AA958" i="8" s="1"/>
  <c r="V958" i="8"/>
  <c r="U958" i="8"/>
  <c r="T958" i="8"/>
  <c r="R958" i="8"/>
  <c r="S958" i="8" s="1"/>
  <c r="P958" i="8"/>
  <c r="Z958" i="8" s="1"/>
  <c r="O958" i="8"/>
  <c r="M958" i="8"/>
  <c r="L958" i="8"/>
  <c r="N958" i="8" s="1"/>
  <c r="H958" i="8"/>
  <c r="G958" i="8"/>
  <c r="AH957" i="8"/>
  <c r="AG957" i="8"/>
  <c r="AF957" i="8"/>
  <c r="AE957" i="8"/>
  <c r="AC957" i="8"/>
  <c r="Y957" i="8"/>
  <c r="W957" i="8"/>
  <c r="AA957" i="8" s="1"/>
  <c r="V957" i="8"/>
  <c r="U957" i="8"/>
  <c r="T957" i="8"/>
  <c r="R957" i="8"/>
  <c r="P957" i="8"/>
  <c r="Z957" i="8" s="1"/>
  <c r="X957" i="8" s="1"/>
  <c r="AB957" i="8" s="1"/>
  <c r="N957" i="8"/>
  <c r="M957" i="8"/>
  <c r="L957" i="8"/>
  <c r="H957" i="8"/>
  <c r="O957" i="8" s="1"/>
  <c r="G957" i="8"/>
  <c r="AH956" i="8"/>
  <c r="AG956" i="8"/>
  <c r="AE956" i="8"/>
  <c r="AC956" i="8"/>
  <c r="AF956" i="8" s="1"/>
  <c r="Y956" i="8"/>
  <c r="X956" i="8" s="1"/>
  <c r="AB956" i="8" s="1"/>
  <c r="V956" i="8"/>
  <c r="U956" i="8"/>
  <c r="W956" i="8" s="1"/>
  <c r="AA956" i="8" s="1"/>
  <c r="T956" i="8"/>
  <c r="P956" i="8"/>
  <c r="Z956" i="8" s="1"/>
  <c r="M956" i="8"/>
  <c r="L956" i="8"/>
  <c r="H956" i="8"/>
  <c r="R956" i="8" s="1"/>
  <c r="G956" i="8"/>
  <c r="AH955" i="8"/>
  <c r="AG955" i="8"/>
  <c r="AE955" i="8"/>
  <c r="Y955" i="8"/>
  <c r="X955" i="8" s="1"/>
  <c r="AB955" i="8" s="1"/>
  <c r="W955" i="8"/>
  <c r="V955" i="8"/>
  <c r="U955" i="8"/>
  <c r="T955" i="8"/>
  <c r="P955" i="8"/>
  <c r="Z955" i="8" s="1"/>
  <c r="O955" i="8"/>
  <c r="N955" i="8"/>
  <c r="M955" i="8"/>
  <c r="L955" i="8"/>
  <c r="H955" i="8"/>
  <c r="R955" i="8" s="1"/>
  <c r="S955" i="8" s="1"/>
  <c r="G955" i="8"/>
  <c r="AH954" i="8"/>
  <c r="AG954" i="8"/>
  <c r="AE954" i="8"/>
  <c r="Y954" i="8"/>
  <c r="AC954" i="8" s="1"/>
  <c r="W954" i="8"/>
  <c r="AA954" i="8" s="1"/>
  <c r="V954" i="8"/>
  <c r="U954" i="8"/>
  <c r="T954" i="8"/>
  <c r="P954" i="8"/>
  <c r="Z954" i="8" s="1"/>
  <c r="M954" i="8"/>
  <c r="L954" i="8"/>
  <c r="N954" i="8" s="1"/>
  <c r="H954" i="8"/>
  <c r="R954" i="8" s="1"/>
  <c r="G954" i="8"/>
  <c r="AH953" i="8"/>
  <c r="AG953" i="8"/>
  <c r="AE953" i="8"/>
  <c r="AC953" i="8"/>
  <c r="AF953" i="8" s="1"/>
  <c r="Y953" i="8"/>
  <c r="W953" i="8"/>
  <c r="V953" i="8"/>
  <c r="U953" i="8"/>
  <c r="T953" i="8"/>
  <c r="R953" i="8"/>
  <c r="S953" i="8" s="1"/>
  <c r="P953" i="8"/>
  <c r="Z953" i="8" s="1"/>
  <c r="X953" i="8" s="1"/>
  <c r="AB953" i="8" s="1"/>
  <c r="O953" i="8"/>
  <c r="M953" i="8"/>
  <c r="L953" i="8"/>
  <c r="N953" i="8" s="1"/>
  <c r="H953" i="8"/>
  <c r="G953" i="8"/>
  <c r="AH952" i="8"/>
  <c r="AG952" i="8"/>
  <c r="AE952" i="8"/>
  <c r="Y952" i="8"/>
  <c r="X952" i="8" s="1"/>
  <c r="AB952" i="8" s="1"/>
  <c r="W952" i="8"/>
  <c r="AA952" i="8" s="1"/>
  <c r="V952" i="8"/>
  <c r="U952" i="8"/>
  <c r="T952" i="8"/>
  <c r="R952" i="8"/>
  <c r="P952" i="8"/>
  <c r="Z952" i="8" s="1"/>
  <c r="O952" i="8"/>
  <c r="N952" i="8"/>
  <c r="M952" i="8"/>
  <c r="L952" i="8"/>
  <c r="H952" i="8"/>
  <c r="G952" i="8"/>
  <c r="AH951" i="8"/>
  <c r="AG951" i="8"/>
  <c r="AF951" i="8"/>
  <c r="AE951" i="8"/>
  <c r="AC951" i="8"/>
  <c r="AD951" i="8" s="1"/>
  <c r="Y951" i="8"/>
  <c r="V951" i="8"/>
  <c r="U951" i="8"/>
  <c r="W951" i="8" s="1"/>
  <c r="AA951" i="8" s="1"/>
  <c r="T951" i="8"/>
  <c r="P951" i="8"/>
  <c r="Z951" i="8" s="1"/>
  <c r="X951" i="8" s="1"/>
  <c r="AB951" i="8" s="1"/>
  <c r="M951" i="8"/>
  <c r="L951" i="8"/>
  <c r="N951" i="8" s="1"/>
  <c r="H951" i="8"/>
  <c r="R951" i="8" s="1"/>
  <c r="G951" i="8"/>
  <c r="AH950" i="8"/>
  <c r="AG950" i="8"/>
  <c r="AE950" i="8"/>
  <c r="Y950" i="8"/>
  <c r="W950" i="8"/>
  <c r="AA950" i="8" s="1"/>
  <c r="V950" i="8"/>
  <c r="U950" i="8"/>
  <c r="T950" i="8"/>
  <c r="R950" i="8"/>
  <c r="S950" i="8" s="1"/>
  <c r="P950" i="8"/>
  <c r="Z950" i="8" s="1"/>
  <c r="O950" i="8"/>
  <c r="M950" i="8"/>
  <c r="L950" i="8"/>
  <c r="N950" i="8" s="1"/>
  <c r="H950" i="8"/>
  <c r="G950" i="8"/>
  <c r="AH949" i="8"/>
  <c r="AG949" i="8"/>
  <c r="AE949" i="8"/>
  <c r="Y949" i="8"/>
  <c r="W949" i="8"/>
  <c r="V949" i="8"/>
  <c r="U949" i="8"/>
  <c r="T949" i="8"/>
  <c r="P949" i="8"/>
  <c r="Z949" i="8" s="1"/>
  <c r="O949" i="8"/>
  <c r="N949" i="8"/>
  <c r="M949" i="8"/>
  <c r="L949" i="8"/>
  <c r="H949" i="8"/>
  <c r="R949" i="8" s="1"/>
  <c r="S949" i="8" s="1"/>
  <c r="G949" i="8"/>
  <c r="AH948" i="8"/>
  <c r="AG948" i="8"/>
  <c r="AF948" i="8"/>
  <c r="AE948" i="8"/>
  <c r="AC948" i="8"/>
  <c r="AD948" i="8" s="1"/>
  <c r="Z948" i="8"/>
  <c r="Y948" i="8"/>
  <c r="X948" i="8"/>
  <c r="AB948" i="8" s="1"/>
  <c r="W948" i="8"/>
  <c r="AA948" i="8" s="1"/>
  <c r="V948" i="8"/>
  <c r="U948" i="8"/>
  <c r="T948" i="8"/>
  <c r="P948" i="8"/>
  <c r="O948" i="8"/>
  <c r="N948" i="8"/>
  <c r="M948" i="8"/>
  <c r="L948" i="8"/>
  <c r="H948" i="8"/>
  <c r="R948" i="8" s="1"/>
  <c r="S948" i="8" s="1"/>
  <c r="G948" i="8"/>
  <c r="AH947" i="8"/>
  <c r="AG947" i="8"/>
  <c r="AE947" i="8"/>
  <c r="Y947" i="8"/>
  <c r="AC947" i="8" s="1"/>
  <c r="AD947" i="8" s="1"/>
  <c r="W947" i="8"/>
  <c r="AA947" i="8" s="1"/>
  <c r="V947" i="8"/>
  <c r="U947" i="8"/>
  <c r="T947" i="8"/>
  <c r="R947" i="8"/>
  <c r="P947" i="8"/>
  <c r="Z947" i="8" s="1"/>
  <c r="N947" i="8"/>
  <c r="M947" i="8"/>
  <c r="L947" i="8"/>
  <c r="H947" i="8"/>
  <c r="O947" i="8" s="1"/>
  <c r="S947" i="8" s="1"/>
  <c r="G947" i="8"/>
  <c r="AH946" i="8"/>
  <c r="AG946" i="8"/>
  <c r="AE946" i="8"/>
  <c r="AC946" i="8"/>
  <c r="AF946" i="8" s="1"/>
  <c r="Z946" i="8"/>
  <c r="Y946" i="8"/>
  <c r="X946" i="8"/>
  <c r="AB946" i="8" s="1"/>
  <c r="V946" i="8"/>
  <c r="U946" i="8"/>
  <c r="W946" i="8" s="1"/>
  <c r="AA946" i="8" s="1"/>
  <c r="T946" i="8"/>
  <c r="P946" i="8"/>
  <c r="O946" i="8"/>
  <c r="M946" i="8"/>
  <c r="L946" i="8"/>
  <c r="N946" i="8" s="1"/>
  <c r="H946" i="8"/>
  <c r="R946" i="8" s="1"/>
  <c r="S946" i="8" s="1"/>
  <c r="G946" i="8"/>
  <c r="AH945" i="8"/>
  <c r="AG945" i="8"/>
  <c r="AE945" i="8"/>
  <c r="AC945" i="8"/>
  <c r="Y945" i="8"/>
  <c r="V945" i="8"/>
  <c r="U945" i="8"/>
  <c r="W945" i="8" s="1"/>
  <c r="AA945" i="8" s="1"/>
  <c r="T945" i="8"/>
  <c r="P945" i="8"/>
  <c r="Z945" i="8" s="1"/>
  <c r="X945" i="8" s="1"/>
  <c r="AB945" i="8" s="1"/>
  <c r="M945" i="8"/>
  <c r="L945" i="8"/>
  <c r="N945" i="8" s="1"/>
  <c r="H945" i="8"/>
  <c r="R945" i="8" s="1"/>
  <c r="G945" i="8"/>
  <c r="AH944" i="8"/>
  <c r="AG944" i="8"/>
  <c r="AE944" i="8"/>
  <c r="AB944" i="8"/>
  <c r="AA944" i="8"/>
  <c r="Z944" i="8"/>
  <c r="Y944" i="8"/>
  <c r="AC944" i="8" s="1"/>
  <c r="X944" i="8"/>
  <c r="W944" i="8"/>
  <c r="V944" i="8"/>
  <c r="U944" i="8"/>
  <c r="T944" i="8"/>
  <c r="P944" i="8"/>
  <c r="M944" i="8"/>
  <c r="L944" i="8"/>
  <c r="H944" i="8"/>
  <c r="G944" i="8"/>
  <c r="AH943" i="8"/>
  <c r="AG943" i="8"/>
  <c r="AF943" i="8"/>
  <c r="AE943" i="8"/>
  <c r="AC943" i="8"/>
  <c r="AD943" i="8" s="1"/>
  <c r="Y943" i="8"/>
  <c r="V943" i="8"/>
  <c r="U943" i="8"/>
  <c r="W943" i="8" s="1"/>
  <c r="AA943" i="8" s="1"/>
  <c r="T943" i="8"/>
  <c r="S943" i="8"/>
  <c r="R943" i="8"/>
  <c r="P943" i="8"/>
  <c r="Z943" i="8" s="1"/>
  <c r="O943" i="8"/>
  <c r="M943" i="8"/>
  <c r="L943" i="8"/>
  <c r="N943" i="8" s="1"/>
  <c r="H943" i="8"/>
  <c r="G943" i="8"/>
  <c r="AH942" i="8"/>
  <c r="AG942" i="8"/>
  <c r="AE942" i="8"/>
  <c r="Z942" i="8"/>
  <c r="X942" i="8" s="1"/>
  <c r="AB942" i="8" s="1"/>
  <c r="Y942" i="8"/>
  <c r="AC942" i="8" s="1"/>
  <c r="V942" i="8"/>
  <c r="U942" i="8"/>
  <c r="W942" i="8" s="1"/>
  <c r="AA942" i="8" s="1"/>
  <c r="T942" i="8"/>
  <c r="R942" i="8"/>
  <c r="S942" i="8" s="1"/>
  <c r="P942" i="8"/>
  <c r="O942" i="8"/>
  <c r="M942" i="8"/>
  <c r="L942" i="8"/>
  <c r="N942" i="8" s="1"/>
  <c r="H942" i="8"/>
  <c r="G942" i="8"/>
  <c r="AH941" i="8"/>
  <c r="AG941" i="8"/>
  <c r="AE941" i="8"/>
  <c r="Y941" i="8"/>
  <c r="W941" i="8"/>
  <c r="V941" i="8"/>
  <c r="U941" i="8"/>
  <c r="T941" i="8"/>
  <c r="P941" i="8"/>
  <c r="Z941" i="8" s="1"/>
  <c r="O941" i="8"/>
  <c r="N941" i="8"/>
  <c r="M941" i="8"/>
  <c r="L941" i="8"/>
  <c r="H941" i="8"/>
  <c r="R941" i="8" s="1"/>
  <c r="S941" i="8" s="1"/>
  <c r="G941" i="8"/>
  <c r="AH940" i="8"/>
  <c r="AG940" i="8"/>
  <c r="AF940" i="8"/>
  <c r="AE940" i="8"/>
  <c r="AC940" i="8"/>
  <c r="AD940" i="8" s="1"/>
  <c r="Z940" i="8"/>
  <c r="Y940" i="8"/>
  <c r="X940" i="8"/>
  <c r="AB940" i="8" s="1"/>
  <c r="W940" i="8"/>
  <c r="AA940" i="8" s="1"/>
  <c r="V940" i="8"/>
  <c r="U940" i="8"/>
  <c r="T940" i="8"/>
  <c r="P940" i="8"/>
  <c r="O940" i="8"/>
  <c r="N940" i="8"/>
  <c r="M940" i="8"/>
  <c r="L940" i="8"/>
  <c r="H940" i="8"/>
  <c r="R940" i="8" s="1"/>
  <c r="S940" i="8" s="1"/>
  <c r="G940" i="8"/>
  <c r="AH939" i="8"/>
  <c r="AG939" i="8"/>
  <c r="AF939" i="8"/>
  <c r="AE939" i="8"/>
  <c r="Y939" i="8"/>
  <c r="AC939" i="8" s="1"/>
  <c r="W939" i="8"/>
  <c r="AA939" i="8" s="1"/>
  <c r="V939" i="8"/>
  <c r="U939" i="8"/>
  <c r="T939" i="8"/>
  <c r="P939" i="8"/>
  <c r="Z939" i="8" s="1"/>
  <c r="N939" i="8"/>
  <c r="M939" i="8"/>
  <c r="L939" i="8"/>
  <c r="H939" i="8"/>
  <c r="R939" i="8" s="1"/>
  <c r="G939" i="8"/>
  <c r="AH938" i="8"/>
  <c r="AG938" i="8"/>
  <c r="AE938" i="8"/>
  <c r="AC938" i="8"/>
  <c r="AD938" i="8" s="1"/>
  <c r="Z938" i="8"/>
  <c r="Y938" i="8"/>
  <c r="X938" i="8"/>
  <c r="AB938" i="8" s="1"/>
  <c r="V938" i="8"/>
  <c r="U938" i="8"/>
  <c r="W938" i="8" s="1"/>
  <c r="AA938" i="8" s="1"/>
  <c r="T938" i="8"/>
  <c r="P938" i="8"/>
  <c r="O938" i="8"/>
  <c r="M938" i="8"/>
  <c r="L938" i="8"/>
  <c r="N938" i="8" s="1"/>
  <c r="H938" i="8"/>
  <c r="R938" i="8" s="1"/>
  <c r="S938" i="8" s="1"/>
  <c r="G938" i="8"/>
  <c r="AH937" i="8"/>
  <c r="AG937" i="8"/>
  <c r="AE937" i="8"/>
  <c r="AC937" i="8"/>
  <c r="Y937" i="8"/>
  <c r="V937" i="8"/>
  <c r="U937" i="8"/>
  <c r="W937" i="8" s="1"/>
  <c r="AA937" i="8" s="1"/>
  <c r="T937" i="8"/>
  <c r="P937" i="8"/>
  <c r="Z937" i="8" s="1"/>
  <c r="X937" i="8" s="1"/>
  <c r="AB937" i="8" s="1"/>
  <c r="M937" i="8"/>
  <c r="L937" i="8"/>
  <c r="N937" i="8" s="1"/>
  <c r="H937" i="8"/>
  <c r="R937" i="8" s="1"/>
  <c r="G937" i="8"/>
  <c r="AH936" i="8"/>
  <c r="AG936" i="8"/>
  <c r="AE936" i="8"/>
  <c r="AB936" i="8"/>
  <c r="AA936" i="8"/>
  <c r="Z936" i="8"/>
  <c r="Y936" i="8"/>
  <c r="AC936" i="8" s="1"/>
  <c r="X936" i="8"/>
  <c r="W936" i="8"/>
  <c r="V936" i="8"/>
  <c r="U936" i="8"/>
  <c r="T936" i="8"/>
  <c r="P936" i="8"/>
  <c r="M936" i="8"/>
  <c r="L936" i="8"/>
  <c r="H936" i="8"/>
  <c r="G936" i="8"/>
  <c r="AH935" i="8"/>
  <c r="AG935" i="8"/>
  <c r="AE935" i="8"/>
  <c r="AC935" i="8"/>
  <c r="AD935" i="8" s="1"/>
  <c r="Z935" i="8"/>
  <c r="Y935" i="8"/>
  <c r="X935" i="8" s="1"/>
  <c r="AB935" i="8" s="1"/>
  <c r="V935" i="8"/>
  <c r="U935" i="8"/>
  <c r="W935" i="8" s="1"/>
  <c r="AA935" i="8" s="1"/>
  <c r="T935" i="8"/>
  <c r="S935" i="8"/>
  <c r="R935" i="8"/>
  <c r="P935" i="8"/>
  <c r="O935" i="8"/>
  <c r="M935" i="8"/>
  <c r="L935" i="8"/>
  <c r="N935" i="8" s="1"/>
  <c r="H935" i="8"/>
  <c r="G935" i="8"/>
  <c r="AH934" i="8"/>
  <c r="AG934" i="8"/>
  <c r="AE934" i="8"/>
  <c r="Z934" i="8"/>
  <c r="X934" i="8" s="1"/>
  <c r="AB934" i="8" s="1"/>
  <c r="Y934" i="8"/>
  <c r="AC934" i="8" s="1"/>
  <c r="V934" i="8"/>
  <c r="U934" i="8"/>
  <c r="W934" i="8" s="1"/>
  <c r="AA934" i="8" s="1"/>
  <c r="T934" i="8"/>
  <c r="R934" i="8"/>
  <c r="S934" i="8" s="1"/>
  <c r="P934" i="8"/>
  <c r="M934" i="8"/>
  <c r="L934" i="8"/>
  <c r="N934" i="8" s="1"/>
  <c r="H934" i="8"/>
  <c r="O934" i="8" s="1"/>
  <c r="G934" i="8"/>
  <c r="AH933" i="8"/>
  <c r="AG933" i="8"/>
  <c r="AE933" i="8"/>
  <c r="Y933" i="8"/>
  <c r="W933" i="8"/>
  <c r="V933" i="8"/>
  <c r="U933" i="8"/>
  <c r="T933" i="8"/>
  <c r="P933" i="8"/>
  <c r="O933" i="8"/>
  <c r="N933" i="8"/>
  <c r="M933" i="8"/>
  <c r="L933" i="8"/>
  <c r="H933" i="8"/>
  <c r="R933" i="8" s="1"/>
  <c r="S933" i="8" s="1"/>
  <c r="G933" i="8"/>
  <c r="AH932" i="8"/>
  <c r="AG932" i="8"/>
  <c r="AF932" i="8"/>
  <c r="AE932" i="8"/>
  <c r="AC932" i="8"/>
  <c r="AD932" i="8" s="1"/>
  <c r="Z932" i="8"/>
  <c r="Y932" i="8"/>
  <c r="X932" i="8"/>
  <c r="AB932" i="8" s="1"/>
  <c r="W932" i="8"/>
  <c r="AA932" i="8" s="1"/>
  <c r="V932" i="8"/>
  <c r="U932" i="8"/>
  <c r="T932" i="8"/>
  <c r="P932" i="8"/>
  <c r="O932" i="8"/>
  <c r="N932" i="8"/>
  <c r="M932" i="8"/>
  <c r="L932" i="8"/>
  <c r="H932" i="8"/>
  <c r="R932" i="8" s="1"/>
  <c r="S932" i="8" s="1"/>
  <c r="G932" i="8"/>
  <c r="AH931" i="8"/>
  <c r="AG931" i="8"/>
  <c r="AF931" i="8"/>
  <c r="AE931" i="8"/>
  <c r="Y931" i="8"/>
  <c r="AC931" i="8" s="1"/>
  <c r="AD931" i="8" s="1"/>
  <c r="W931" i="8"/>
  <c r="AA931" i="8" s="1"/>
  <c r="V931" i="8"/>
  <c r="U931" i="8"/>
  <c r="T931" i="8"/>
  <c r="P931" i="8"/>
  <c r="Z931" i="8" s="1"/>
  <c r="N931" i="8"/>
  <c r="M931" i="8"/>
  <c r="L931" i="8"/>
  <c r="H931" i="8"/>
  <c r="R931" i="8" s="1"/>
  <c r="G931" i="8"/>
  <c r="AH930" i="8"/>
  <c r="AG930" i="8"/>
  <c r="AE930" i="8"/>
  <c r="AC930" i="8"/>
  <c r="AD930" i="8" s="1"/>
  <c r="Z930" i="8"/>
  <c r="Y930" i="8"/>
  <c r="X930" i="8"/>
  <c r="AB930" i="8" s="1"/>
  <c r="V930" i="8"/>
  <c r="U930" i="8"/>
  <c r="W930" i="8" s="1"/>
  <c r="AA930" i="8" s="1"/>
  <c r="T930" i="8"/>
  <c r="P930" i="8"/>
  <c r="O930" i="8"/>
  <c r="M930" i="8"/>
  <c r="L930" i="8"/>
  <c r="N930" i="8" s="1"/>
  <c r="H930" i="8"/>
  <c r="R930" i="8" s="1"/>
  <c r="S930" i="8" s="1"/>
  <c r="G930" i="8"/>
  <c r="AH929" i="8"/>
  <c r="AG929" i="8"/>
  <c r="AE929" i="8"/>
  <c r="AC929" i="8"/>
  <c r="Y929" i="8"/>
  <c r="V929" i="8"/>
  <c r="U929" i="8"/>
  <c r="W929" i="8" s="1"/>
  <c r="AA929" i="8" s="1"/>
  <c r="T929" i="8"/>
  <c r="P929" i="8"/>
  <c r="Z929" i="8" s="1"/>
  <c r="X929" i="8" s="1"/>
  <c r="AB929" i="8" s="1"/>
  <c r="M929" i="8"/>
  <c r="L929" i="8"/>
  <c r="N929" i="8" s="1"/>
  <c r="H929" i="8"/>
  <c r="R929" i="8" s="1"/>
  <c r="G929" i="8"/>
  <c r="AH928" i="8"/>
  <c r="AG928" i="8"/>
  <c r="AE928" i="8"/>
  <c r="AB928" i="8"/>
  <c r="AA928" i="8"/>
  <c r="Z928" i="8"/>
  <c r="Y928" i="8"/>
  <c r="AC928" i="8" s="1"/>
  <c r="X928" i="8"/>
  <c r="W928" i="8"/>
  <c r="V928" i="8"/>
  <c r="U928" i="8"/>
  <c r="T928" i="8"/>
  <c r="P928" i="8"/>
  <c r="M928" i="8"/>
  <c r="L928" i="8"/>
  <c r="H928" i="8"/>
  <c r="G928" i="8"/>
  <c r="AH927" i="8"/>
  <c r="AG927" i="8"/>
  <c r="AE927" i="8"/>
  <c r="AC927" i="8"/>
  <c r="AD927" i="8" s="1"/>
  <c r="AA927" i="8"/>
  <c r="Z927" i="8"/>
  <c r="X927" i="8" s="1"/>
  <c r="AB927" i="8" s="1"/>
  <c r="Y927" i="8"/>
  <c r="V927" i="8"/>
  <c r="U927" i="8"/>
  <c r="W927" i="8" s="1"/>
  <c r="T927" i="8"/>
  <c r="S927" i="8"/>
  <c r="R927" i="8"/>
  <c r="P927" i="8"/>
  <c r="O927" i="8"/>
  <c r="M927" i="8"/>
  <c r="L927" i="8"/>
  <c r="N927" i="8" s="1"/>
  <c r="H927" i="8"/>
  <c r="G927" i="8"/>
  <c r="AH926" i="8"/>
  <c r="AG926" i="8"/>
  <c r="AE926" i="8"/>
  <c r="Z926" i="8"/>
  <c r="X926" i="8" s="1"/>
  <c r="AB926" i="8" s="1"/>
  <c r="Y926" i="8"/>
  <c r="AC926" i="8" s="1"/>
  <c r="W926" i="8"/>
  <c r="AA926" i="8" s="1"/>
  <c r="V926" i="8"/>
  <c r="U926" i="8"/>
  <c r="T926" i="8"/>
  <c r="R926" i="8"/>
  <c r="P926" i="8"/>
  <c r="M926" i="8"/>
  <c r="L926" i="8"/>
  <c r="H926" i="8"/>
  <c r="O926" i="8" s="1"/>
  <c r="G926" i="8"/>
  <c r="AH925" i="8"/>
  <c r="AG925" i="8"/>
  <c r="AE925" i="8"/>
  <c r="Y925" i="8"/>
  <c r="W925" i="8"/>
  <c r="V925" i="8"/>
  <c r="U925" i="8"/>
  <c r="T925" i="8"/>
  <c r="P925" i="8"/>
  <c r="O925" i="8"/>
  <c r="N925" i="8"/>
  <c r="M925" i="8"/>
  <c r="L925" i="8"/>
  <c r="H925" i="8"/>
  <c r="R925" i="8" s="1"/>
  <c r="S925" i="8" s="1"/>
  <c r="G925" i="8"/>
  <c r="AH924" i="8"/>
  <c r="AG924" i="8"/>
  <c r="AF924" i="8"/>
  <c r="AE924" i="8"/>
  <c r="AC924" i="8"/>
  <c r="Z924" i="8"/>
  <c r="Y924" i="8"/>
  <c r="X924" i="8"/>
  <c r="AB924" i="8" s="1"/>
  <c r="W924" i="8"/>
  <c r="AA924" i="8" s="1"/>
  <c r="V924" i="8"/>
  <c r="U924" i="8"/>
  <c r="T924" i="8"/>
  <c r="R924" i="8"/>
  <c r="P924" i="8"/>
  <c r="O924" i="8"/>
  <c r="N924" i="8"/>
  <c r="M924" i="8"/>
  <c r="L924" i="8"/>
  <c r="H924" i="8"/>
  <c r="G924" i="8"/>
  <c r="AH923" i="8"/>
  <c r="AG923" i="8"/>
  <c r="AF923" i="8"/>
  <c r="AE923" i="8"/>
  <c r="Y923" i="8"/>
  <c r="AC923" i="8" s="1"/>
  <c r="AD923" i="8" s="1"/>
  <c r="W923" i="8"/>
  <c r="AA923" i="8" s="1"/>
  <c r="V923" i="8"/>
  <c r="U923" i="8"/>
  <c r="T923" i="8"/>
  <c r="P923" i="8"/>
  <c r="Z923" i="8" s="1"/>
  <c r="N923" i="8"/>
  <c r="M923" i="8"/>
  <c r="L923" i="8"/>
  <c r="H923" i="8"/>
  <c r="R923" i="8" s="1"/>
  <c r="G923" i="8"/>
  <c r="AH922" i="8"/>
  <c r="AG922" i="8"/>
  <c r="AE922" i="8"/>
  <c r="AC922" i="8"/>
  <c r="AD922" i="8" s="1"/>
  <c r="Z922" i="8"/>
  <c r="Y922" i="8"/>
  <c r="X922" i="8"/>
  <c r="AB922" i="8" s="1"/>
  <c r="V922" i="8"/>
  <c r="U922" i="8"/>
  <c r="W922" i="8" s="1"/>
  <c r="AA922" i="8" s="1"/>
  <c r="T922" i="8"/>
  <c r="P922" i="8"/>
  <c r="O922" i="8"/>
  <c r="M922" i="8"/>
  <c r="L922" i="8"/>
  <c r="N922" i="8" s="1"/>
  <c r="H922" i="8"/>
  <c r="R922" i="8" s="1"/>
  <c r="S922" i="8" s="1"/>
  <c r="G922" i="8"/>
  <c r="AH921" i="8"/>
  <c r="AG921" i="8"/>
  <c r="AE921" i="8"/>
  <c r="AC921" i="8"/>
  <c r="Y921" i="8"/>
  <c r="V921" i="8"/>
  <c r="U921" i="8"/>
  <c r="W921" i="8" s="1"/>
  <c r="AA921" i="8" s="1"/>
  <c r="T921" i="8"/>
  <c r="P921" i="8"/>
  <c r="Z921" i="8" s="1"/>
  <c r="X921" i="8" s="1"/>
  <c r="AB921" i="8" s="1"/>
  <c r="M921" i="8"/>
  <c r="L921" i="8"/>
  <c r="N921" i="8" s="1"/>
  <c r="H921" i="8"/>
  <c r="R921" i="8" s="1"/>
  <c r="G921" i="8"/>
  <c r="AH920" i="8"/>
  <c r="AG920" i="8"/>
  <c r="AE920" i="8"/>
  <c r="AB920" i="8"/>
  <c r="AA920" i="8"/>
  <c r="Z920" i="8"/>
  <c r="Y920" i="8"/>
  <c r="AC920" i="8" s="1"/>
  <c r="X920" i="8"/>
  <c r="W920" i="8"/>
  <c r="V920" i="8"/>
  <c r="U920" i="8"/>
  <c r="T920" i="8"/>
  <c r="P920" i="8"/>
  <c r="M920" i="8"/>
  <c r="L920" i="8"/>
  <c r="H920" i="8"/>
  <c r="G920" i="8"/>
  <c r="AH919" i="8"/>
  <c r="AG919" i="8"/>
  <c r="AE919" i="8"/>
  <c r="AC919" i="8"/>
  <c r="AD919" i="8" s="1"/>
  <c r="Z919" i="8"/>
  <c r="X919" i="8" s="1"/>
  <c r="AB919" i="8" s="1"/>
  <c r="Y919" i="8"/>
  <c r="V919" i="8"/>
  <c r="U919" i="8"/>
  <c r="W919" i="8" s="1"/>
  <c r="AA919" i="8" s="1"/>
  <c r="T919" i="8"/>
  <c r="S919" i="8"/>
  <c r="R919" i="8"/>
  <c r="P919" i="8"/>
  <c r="O919" i="8"/>
  <c r="M919" i="8"/>
  <c r="L919" i="8"/>
  <c r="N919" i="8" s="1"/>
  <c r="H919" i="8"/>
  <c r="G919" i="8"/>
  <c r="AH918" i="8"/>
  <c r="AG918" i="8"/>
  <c r="AE918" i="8"/>
  <c r="Z918" i="8"/>
  <c r="X918" i="8" s="1"/>
  <c r="AB918" i="8" s="1"/>
  <c r="Y918" i="8"/>
  <c r="AC918" i="8" s="1"/>
  <c r="W918" i="8"/>
  <c r="AA918" i="8" s="1"/>
  <c r="V918" i="8"/>
  <c r="U918" i="8"/>
  <c r="T918" i="8"/>
  <c r="R918" i="8"/>
  <c r="S918" i="8" s="1"/>
  <c r="P918" i="8"/>
  <c r="M918" i="8"/>
  <c r="L918" i="8"/>
  <c r="H918" i="8"/>
  <c r="O918" i="8" s="1"/>
  <c r="G918" i="8"/>
  <c r="AH917" i="8"/>
  <c r="AG917" i="8"/>
  <c r="AE917" i="8"/>
  <c r="Y917" i="8"/>
  <c r="W917" i="8"/>
  <c r="V917" i="8"/>
  <c r="U917" i="8"/>
  <c r="T917" i="8"/>
  <c r="P917" i="8"/>
  <c r="O917" i="8"/>
  <c r="N917" i="8"/>
  <c r="M917" i="8"/>
  <c r="L917" i="8"/>
  <c r="H917" i="8"/>
  <c r="R917" i="8" s="1"/>
  <c r="S917" i="8" s="1"/>
  <c r="G917" i="8"/>
  <c r="AH916" i="8"/>
  <c r="AG916" i="8"/>
  <c r="AF916" i="8"/>
  <c r="AE916" i="8"/>
  <c r="AC916" i="8"/>
  <c r="Z916" i="8"/>
  <c r="Y916" i="8"/>
  <c r="X916" i="8"/>
  <c r="AB916" i="8" s="1"/>
  <c r="W916" i="8"/>
  <c r="AA916" i="8" s="1"/>
  <c r="V916" i="8"/>
  <c r="U916" i="8"/>
  <c r="T916" i="8"/>
  <c r="R916" i="8"/>
  <c r="S916" i="8" s="1"/>
  <c r="P916" i="8"/>
  <c r="O916" i="8"/>
  <c r="N916" i="8"/>
  <c r="M916" i="8"/>
  <c r="L916" i="8"/>
  <c r="H916" i="8"/>
  <c r="G916" i="8"/>
  <c r="AH915" i="8"/>
  <c r="AG915" i="8"/>
  <c r="AE915" i="8"/>
  <c r="Y915" i="8"/>
  <c r="AC915" i="8" s="1"/>
  <c r="AD915" i="8" s="1"/>
  <c r="W915" i="8"/>
  <c r="AA915" i="8" s="1"/>
  <c r="V915" i="8"/>
  <c r="U915" i="8"/>
  <c r="T915" i="8"/>
  <c r="P915" i="8"/>
  <c r="Z915" i="8" s="1"/>
  <c r="N915" i="8"/>
  <c r="M915" i="8"/>
  <c r="L915" i="8"/>
  <c r="H915" i="8"/>
  <c r="R915" i="8" s="1"/>
  <c r="G915" i="8"/>
  <c r="AH914" i="8"/>
  <c r="AG914" i="8"/>
  <c r="AE914" i="8"/>
  <c r="AC914" i="8"/>
  <c r="AD914" i="8" s="1"/>
  <c r="Z914" i="8"/>
  <c r="Y914" i="8"/>
  <c r="X914" i="8"/>
  <c r="AB914" i="8" s="1"/>
  <c r="V914" i="8"/>
  <c r="U914" i="8"/>
  <c r="W914" i="8" s="1"/>
  <c r="AA914" i="8" s="1"/>
  <c r="T914" i="8"/>
  <c r="P914" i="8"/>
  <c r="O914" i="8"/>
  <c r="M914" i="8"/>
  <c r="L914" i="8"/>
  <c r="N914" i="8" s="1"/>
  <c r="H914" i="8"/>
  <c r="R914" i="8" s="1"/>
  <c r="S914" i="8" s="1"/>
  <c r="G914" i="8"/>
  <c r="AH913" i="8"/>
  <c r="AG913" i="8"/>
  <c r="AE913" i="8"/>
  <c r="AC913" i="8"/>
  <c r="Y913" i="8"/>
  <c r="V913" i="8"/>
  <c r="U913" i="8"/>
  <c r="W913" i="8" s="1"/>
  <c r="AA913" i="8" s="1"/>
  <c r="T913" i="8"/>
  <c r="P913" i="8"/>
  <c r="Z913" i="8" s="1"/>
  <c r="X913" i="8" s="1"/>
  <c r="AB913" i="8" s="1"/>
  <c r="M913" i="8"/>
  <c r="L913" i="8"/>
  <c r="N913" i="8" s="1"/>
  <c r="H913" i="8"/>
  <c r="R913" i="8" s="1"/>
  <c r="G913" i="8"/>
  <c r="AH912" i="8"/>
  <c r="AG912" i="8"/>
  <c r="AE912" i="8"/>
  <c r="AC912" i="8"/>
  <c r="Y912" i="8"/>
  <c r="V912" i="8"/>
  <c r="U912" i="8"/>
  <c r="W912" i="8" s="1"/>
  <c r="AA912" i="8" s="1"/>
  <c r="T912" i="8"/>
  <c r="P912" i="8"/>
  <c r="Z912" i="8" s="1"/>
  <c r="M912" i="8"/>
  <c r="L912" i="8"/>
  <c r="N912" i="8" s="1"/>
  <c r="H912" i="8"/>
  <c r="R912" i="8" s="1"/>
  <c r="G912" i="8"/>
  <c r="AH911" i="8"/>
  <c r="AG911" i="8"/>
  <c r="AE911" i="8"/>
  <c r="AC911" i="8"/>
  <c r="Y911" i="8"/>
  <c r="X911" i="8" s="1"/>
  <c r="AB911" i="8" s="1"/>
  <c r="V911" i="8"/>
  <c r="U911" i="8"/>
  <c r="W911" i="8" s="1"/>
  <c r="T911" i="8"/>
  <c r="P911" i="8"/>
  <c r="Z911" i="8" s="1"/>
  <c r="M911" i="8"/>
  <c r="L911" i="8"/>
  <c r="N911" i="8" s="1"/>
  <c r="H911" i="8"/>
  <c r="R911" i="8" s="1"/>
  <c r="G911" i="8"/>
  <c r="AH910" i="8"/>
  <c r="AG910" i="8"/>
  <c r="AE910" i="8"/>
  <c r="Y910" i="8"/>
  <c r="X910" i="8" s="1"/>
  <c r="AB910" i="8" s="1"/>
  <c r="V910" i="8"/>
  <c r="U910" i="8"/>
  <c r="W910" i="8" s="1"/>
  <c r="AA910" i="8" s="1"/>
  <c r="T910" i="8"/>
  <c r="P910" i="8"/>
  <c r="Z910" i="8" s="1"/>
  <c r="M910" i="8"/>
  <c r="L910" i="8"/>
  <c r="N910" i="8" s="1"/>
  <c r="H910" i="8"/>
  <c r="R910" i="8" s="1"/>
  <c r="G910" i="8"/>
  <c r="AH909" i="8"/>
  <c r="AG909" i="8"/>
  <c r="AE909" i="8"/>
  <c r="AC909" i="8"/>
  <c r="Y909" i="8"/>
  <c r="X909" i="8" s="1"/>
  <c r="AB909" i="8" s="1"/>
  <c r="V909" i="8"/>
  <c r="U909" i="8"/>
  <c r="W909" i="8" s="1"/>
  <c r="AA909" i="8" s="1"/>
  <c r="T909" i="8"/>
  <c r="P909" i="8"/>
  <c r="Z909" i="8" s="1"/>
  <c r="M909" i="8"/>
  <c r="L909" i="8"/>
  <c r="N909" i="8" s="1"/>
  <c r="H909" i="8"/>
  <c r="R909" i="8" s="1"/>
  <c r="G909" i="8"/>
  <c r="AH908" i="8"/>
  <c r="AG908" i="8"/>
  <c r="AE908" i="8"/>
  <c r="Y908" i="8"/>
  <c r="X908" i="8" s="1"/>
  <c r="AB908" i="8" s="1"/>
  <c r="V908" i="8"/>
  <c r="U908" i="8"/>
  <c r="W908" i="8" s="1"/>
  <c r="T908" i="8"/>
  <c r="R908" i="8"/>
  <c r="P908" i="8"/>
  <c r="Z908" i="8" s="1"/>
  <c r="M908" i="8"/>
  <c r="L908" i="8"/>
  <c r="N908" i="8" s="1"/>
  <c r="H908" i="8"/>
  <c r="O908" i="8" s="1"/>
  <c r="G908" i="8"/>
  <c r="AH907" i="8"/>
  <c r="AG907" i="8"/>
  <c r="AE907" i="8"/>
  <c r="Y907" i="8"/>
  <c r="W907" i="8"/>
  <c r="AA907" i="8" s="1"/>
  <c r="V907" i="8"/>
  <c r="U907" i="8"/>
  <c r="T907" i="8"/>
  <c r="R907" i="8"/>
  <c r="P907" i="8"/>
  <c r="AC907" i="8" s="1"/>
  <c r="M907" i="8"/>
  <c r="L907" i="8"/>
  <c r="N907" i="8" s="1"/>
  <c r="H907" i="8"/>
  <c r="O907" i="8" s="1"/>
  <c r="G907" i="8"/>
  <c r="AH906" i="8"/>
  <c r="AG906" i="8"/>
  <c r="AE906" i="8"/>
  <c r="Y906" i="8"/>
  <c r="AC906" i="8" s="1"/>
  <c r="W906" i="8"/>
  <c r="AA906" i="8" s="1"/>
  <c r="V906" i="8"/>
  <c r="U906" i="8"/>
  <c r="T906" i="8"/>
  <c r="R906" i="8"/>
  <c r="S906" i="8" s="1"/>
  <c r="P906" i="8"/>
  <c r="Z906" i="8" s="1"/>
  <c r="M906" i="8"/>
  <c r="L906" i="8"/>
  <c r="N906" i="8" s="1"/>
  <c r="H906" i="8"/>
  <c r="O906" i="8" s="1"/>
  <c r="G906" i="8"/>
  <c r="AH905" i="8"/>
  <c r="AG905" i="8"/>
  <c r="AE905" i="8"/>
  <c r="Z905" i="8"/>
  <c r="Y905" i="8"/>
  <c r="AC905" i="8" s="1"/>
  <c r="V905" i="8"/>
  <c r="U905" i="8"/>
  <c r="W905" i="8" s="1"/>
  <c r="AA905" i="8" s="1"/>
  <c r="T905" i="8"/>
  <c r="R905" i="8"/>
  <c r="P905" i="8"/>
  <c r="N905" i="8"/>
  <c r="M905" i="8"/>
  <c r="L905" i="8"/>
  <c r="H905" i="8"/>
  <c r="O905" i="8" s="1"/>
  <c r="G905" i="8"/>
  <c r="AH904" i="8"/>
  <c r="AG904" i="8"/>
  <c r="AE904" i="8"/>
  <c r="AC904" i="8"/>
  <c r="Y904" i="8"/>
  <c r="W904" i="8"/>
  <c r="V904" i="8"/>
  <c r="U904" i="8"/>
  <c r="T904" i="8"/>
  <c r="R904" i="8"/>
  <c r="S904" i="8" s="1"/>
  <c r="P904" i="8"/>
  <c r="Z904" i="8" s="1"/>
  <c r="M904" i="8"/>
  <c r="L904" i="8"/>
  <c r="N904" i="8" s="1"/>
  <c r="H904" i="8"/>
  <c r="O904" i="8" s="1"/>
  <c r="G904" i="8"/>
  <c r="AH903" i="8"/>
  <c r="AG903" i="8"/>
  <c r="AE903" i="8"/>
  <c r="Z903" i="8"/>
  <c r="Y903" i="8"/>
  <c r="X903" i="8" s="1"/>
  <c r="AB903" i="8" s="1"/>
  <c r="V903" i="8"/>
  <c r="U903" i="8"/>
  <c r="W903" i="8" s="1"/>
  <c r="AA903" i="8" s="1"/>
  <c r="T903" i="8"/>
  <c r="R903" i="8"/>
  <c r="S903" i="8" s="1"/>
  <c r="P903" i="8"/>
  <c r="N903" i="8"/>
  <c r="M903" i="8"/>
  <c r="L903" i="8"/>
  <c r="H903" i="8"/>
  <c r="O903" i="8" s="1"/>
  <c r="G903" i="8"/>
  <c r="AH902" i="8"/>
  <c r="AG902" i="8"/>
  <c r="AE902" i="8"/>
  <c r="Y902" i="8"/>
  <c r="W902" i="8"/>
  <c r="AA902" i="8" s="1"/>
  <c r="V902" i="8"/>
  <c r="U902" i="8"/>
  <c r="T902" i="8"/>
  <c r="P902" i="8"/>
  <c r="AC902" i="8" s="1"/>
  <c r="M902" i="8"/>
  <c r="L902" i="8"/>
  <c r="N902" i="8" s="1"/>
  <c r="H902" i="8"/>
  <c r="O902" i="8" s="1"/>
  <c r="G902" i="8"/>
  <c r="AH901" i="8"/>
  <c r="AG901" i="8"/>
  <c r="AE901" i="8"/>
  <c r="Z901" i="8"/>
  <c r="Y901" i="8"/>
  <c r="AC901" i="8" s="1"/>
  <c r="V901" i="8"/>
  <c r="U901" i="8"/>
  <c r="W901" i="8" s="1"/>
  <c r="AA901" i="8" s="1"/>
  <c r="T901" i="8"/>
  <c r="P901" i="8"/>
  <c r="N901" i="8"/>
  <c r="M901" i="8"/>
  <c r="L901" i="8"/>
  <c r="H901" i="8"/>
  <c r="O901" i="8" s="1"/>
  <c r="G901" i="8"/>
  <c r="AH900" i="8"/>
  <c r="AG900" i="8"/>
  <c r="AE900" i="8"/>
  <c r="AC900" i="8"/>
  <c r="Y900" i="8"/>
  <c r="W900" i="8"/>
  <c r="V900" i="8"/>
  <c r="U900" i="8"/>
  <c r="T900" i="8"/>
  <c r="R900" i="8"/>
  <c r="S900" i="8" s="1"/>
  <c r="P900" i="8"/>
  <c r="Z900" i="8" s="1"/>
  <c r="M900" i="8"/>
  <c r="L900" i="8"/>
  <c r="N900" i="8" s="1"/>
  <c r="H900" i="8"/>
  <c r="O900" i="8" s="1"/>
  <c r="G900" i="8"/>
  <c r="AH899" i="8"/>
  <c r="AG899" i="8"/>
  <c r="AE899" i="8"/>
  <c r="Z899" i="8"/>
  <c r="Y899" i="8"/>
  <c r="X899" i="8" s="1"/>
  <c r="AB899" i="8" s="1"/>
  <c r="V899" i="8"/>
  <c r="U899" i="8"/>
  <c r="W899" i="8" s="1"/>
  <c r="AA899" i="8" s="1"/>
  <c r="T899" i="8"/>
  <c r="R899" i="8"/>
  <c r="S899" i="8" s="1"/>
  <c r="P899" i="8"/>
  <c r="N899" i="8"/>
  <c r="M899" i="8"/>
  <c r="L899" i="8"/>
  <c r="H899" i="8"/>
  <c r="O899" i="8" s="1"/>
  <c r="G899" i="8"/>
  <c r="AH898" i="8"/>
  <c r="AG898" i="8"/>
  <c r="AE898" i="8"/>
  <c r="Y898" i="8"/>
  <c r="W898" i="8"/>
  <c r="AA898" i="8" s="1"/>
  <c r="V898" i="8"/>
  <c r="U898" i="8"/>
  <c r="T898" i="8"/>
  <c r="P898" i="8"/>
  <c r="AC898" i="8" s="1"/>
  <c r="M898" i="8"/>
  <c r="L898" i="8"/>
  <c r="N898" i="8" s="1"/>
  <c r="H898" i="8"/>
  <c r="O898" i="8" s="1"/>
  <c r="G898" i="8"/>
  <c r="AH897" i="8"/>
  <c r="AG897" i="8"/>
  <c r="AE897" i="8"/>
  <c r="Z897" i="8"/>
  <c r="Y897" i="8"/>
  <c r="AC897" i="8" s="1"/>
  <c r="V897" i="8"/>
  <c r="U897" i="8"/>
  <c r="W897" i="8" s="1"/>
  <c r="AA897" i="8" s="1"/>
  <c r="T897" i="8"/>
  <c r="P897" i="8"/>
  <c r="N897" i="8"/>
  <c r="M897" i="8"/>
  <c r="L897" i="8"/>
  <c r="H897" i="8"/>
  <c r="O897" i="8" s="1"/>
  <c r="G897" i="8"/>
  <c r="AH896" i="8"/>
  <c r="AG896" i="8"/>
  <c r="AE896" i="8"/>
  <c r="AC896" i="8"/>
  <c r="Y896" i="8"/>
  <c r="W896" i="8"/>
  <c r="V896" i="8"/>
  <c r="U896" i="8"/>
  <c r="T896" i="8"/>
  <c r="R896" i="8"/>
  <c r="S896" i="8" s="1"/>
  <c r="P896" i="8"/>
  <c r="Z896" i="8" s="1"/>
  <c r="M896" i="8"/>
  <c r="L896" i="8"/>
  <c r="N896" i="8" s="1"/>
  <c r="H896" i="8"/>
  <c r="O896" i="8" s="1"/>
  <c r="G896" i="8"/>
  <c r="AH895" i="8"/>
  <c r="AG895" i="8"/>
  <c r="AE895" i="8"/>
  <c r="Z895" i="8"/>
  <c r="Y895" i="8"/>
  <c r="X895" i="8" s="1"/>
  <c r="AB895" i="8" s="1"/>
  <c r="V895" i="8"/>
  <c r="U895" i="8"/>
  <c r="W895" i="8" s="1"/>
  <c r="AA895" i="8" s="1"/>
  <c r="T895" i="8"/>
  <c r="R895" i="8"/>
  <c r="S895" i="8" s="1"/>
  <c r="P895" i="8"/>
  <c r="N895" i="8"/>
  <c r="M895" i="8"/>
  <c r="L895" i="8"/>
  <c r="H895" i="8"/>
  <c r="O895" i="8" s="1"/>
  <c r="G895" i="8"/>
  <c r="AH894" i="8"/>
  <c r="AG894" i="8"/>
  <c r="AE894" i="8"/>
  <c r="Y894" i="8"/>
  <c r="W894" i="8"/>
  <c r="AA894" i="8" s="1"/>
  <c r="V894" i="8"/>
  <c r="U894" i="8"/>
  <c r="T894" i="8"/>
  <c r="P894" i="8"/>
  <c r="AC894" i="8" s="1"/>
  <c r="M894" i="8"/>
  <c r="L894" i="8"/>
  <c r="N894" i="8" s="1"/>
  <c r="H894" i="8"/>
  <c r="O894" i="8" s="1"/>
  <c r="G894" i="8"/>
  <c r="AH893" i="8"/>
  <c r="AG893" i="8"/>
  <c r="AE893" i="8"/>
  <c r="Z893" i="8"/>
  <c r="Y893" i="8"/>
  <c r="AC893" i="8" s="1"/>
  <c r="V893" i="8"/>
  <c r="U893" i="8"/>
  <c r="W893" i="8" s="1"/>
  <c r="AA893" i="8" s="1"/>
  <c r="T893" i="8"/>
  <c r="R893" i="8"/>
  <c r="S893" i="8" s="1"/>
  <c r="P893" i="8"/>
  <c r="N893" i="8"/>
  <c r="M893" i="8"/>
  <c r="L893" i="8"/>
  <c r="H893" i="8"/>
  <c r="O893" i="8" s="1"/>
  <c r="G893" i="8"/>
  <c r="AH892" i="8"/>
  <c r="AG892" i="8"/>
  <c r="AE892" i="8"/>
  <c r="AC892" i="8"/>
  <c r="Y892" i="8"/>
  <c r="W892" i="8"/>
  <c r="V892" i="8"/>
  <c r="U892" i="8"/>
  <c r="T892" i="8"/>
  <c r="R892" i="8"/>
  <c r="S892" i="8" s="1"/>
  <c r="P892" i="8"/>
  <c r="Z892" i="8" s="1"/>
  <c r="M892" i="8"/>
  <c r="L892" i="8"/>
  <c r="N892" i="8" s="1"/>
  <c r="H892" i="8"/>
  <c r="O892" i="8" s="1"/>
  <c r="G892" i="8"/>
  <c r="AH891" i="8"/>
  <c r="AG891" i="8"/>
  <c r="AE891" i="8"/>
  <c r="Z891" i="8"/>
  <c r="Y891" i="8"/>
  <c r="X891" i="8" s="1"/>
  <c r="AB891" i="8" s="1"/>
  <c r="V891" i="8"/>
  <c r="U891" i="8"/>
  <c r="W891" i="8" s="1"/>
  <c r="AA891" i="8" s="1"/>
  <c r="T891" i="8"/>
  <c r="R891" i="8"/>
  <c r="S891" i="8" s="1"/>
  <c r="P891" i="8"/>
  <c r="N891" i="8"/>
  <c r="M891" i="8"/>
  <c r="L891" i="8"/>
  <c r="H891" i="8"/>
  <c r="O891" i="8" s="1"/>
  <c r="G891" i="8"/>
  <c r="AH890" i="8"/>
  <c r="AG890" i="8"/>
  <c r="AE890" i="8"/>
  <c r="Y890" i="8"/>
  <c r="W890" i="8"/>
  <c r="AA890" i="8" s="1"/>
  <c r="V890" i="8"/>
  <c r="U890" i="8"/>
  <c r="T890" i="8"/>
  <c r="P890" i="8"/>
  <c r="AC890" i="8" s="1"/>
  <c r="M890" i="8"/>
  <c r="L890" i="8"/>
  <c r="N890" i="8" s="1"/>
  <c r="H890" i="8"/>
  <c r="O890" i="8" s="1"/>
  <c r="G890" i="8"/>
  <c r="AH889" i="8"/>
  <c r="AG889" i="8"/>
  <c r="AE889" i="8"/>
  <c r="Z889" i="8"/>
  <c r="Y889" i="8"/>
  <c r="AC889" i="8" s="1"/>
  <c r="V889" i="8"/>
  <c r="U889" i="8"/>
  <c r="W889" i="8" s="1"/>
  <c r="AA889" i="8" s="1"/>
  <c r="T889" i="8"/>
  <c r="R889" i="8"/>
  <c r="S889" i="8" s="1"/>
  <c r="P889" i="8"/>
  <c r="N889" i="8"/>
  <c r="M889" i="8"/>
  <c r="L889" i="8"/>
  <c r="H889" i="8"/>
  <c r="O889" i="8" s="1"/>
  <c r="G889" i="8"/>
  <c r="AH888" i="8"/>
  <c r="AG888" i="8"/>
  <c r="AE888" i="8"/>
  <c r="AC888" i="8"/>
  <c r="Y888" i="8"/>
  <c r="W888" i="8"/>
  <c r="V888" i="8"/>
  <c r="U888" i="8"/>
  <c r="T888" i="8"/>
  <c r="R888" i="8"/>
  <c r="S888" i="8" s="1"/>
  <c r="P888" i="8"/>
  <c r="Z888" i="8" s="1"/>
  <c r="M888" i="8"/>
  <c r="L888" i="8"/>
  <c r="N888" i="8" s="1"/>
  <c r="H888" i="8"/>
  <c r="O888" i="8" s="1"/>
  <c r="G888" i="8"/>
  <c r="AH887" i="8"/>
  <c r="AG887" i="8"/>
  <c r="AE887" i="8"/>
  <c r="Z887" i="8"/>
  <c r="Y887" i="8"/>
  <c r="X887" i="8" s="1"/>
  <c r="AB887" i="8" s="1"/>
  <c r="V887" i="8"/>
  <c r="U887" i="8"/>
  <c r="W887" i="8" s="1"/>
  <c r="AA887" i="8" s="1"/>
  <c r="T887" i="8"/>
  <c r="R887" i="8"/>
  <c r="S887" i="8" s="1"/>
  <c r="P887" i="8"/>
  <c r="N887" i="8"/>
  <c r="M887" i="8"/>
  <c r="L887" i="8"/>
  <c r="H887" i="8"/>
  <c r="O887" i="8" s="1"/>
  <c r="G887" i="8"/>
  <c r="AH886" i="8"/>
  <c r="AG886" i="8"/>
  <c r="AE886" i="8"/>
  <c r="Y886" i="8"/>
  <c r="W886" i="8"/>
  <c r="AA886" i="8" s="1"/>
  <c r="V886" i="8"/>
  <c r="U886" i="8"/>
  <c r="T886" i="8"/>
  <c r="P886" i="8"/>
  <c r="AC886" i="8" s="1"/>
  <c r="M886" i="8"/>
  <c r="L886" i="8"/>
  <c r="N886" i="8" s="1"/>
  <c r="H886" i="8"/>
  <c r="O886" i="8" s="1"/>
  <c r="G886" i="8"/>
  <c r="AH885" i="8"/>
  <c r="AG885" i="8"/>
  <c r="AE885" i="8"/>
  <c r="Z885" i="8"/>
  <c r="Y885" i="8"/>
  <c r="AC885" i="8" s="1"/>
  <c r="V885" i="8"/>
  <c r="U885" i="8"/>
  <c r="W885" i="8" s="1"/>
  <c r="AA885" i="8" s="1"/>
  <c r="T885" i="8"/>
  <c r="R885" i="8"/>
  <c r="S885" i="8" s="1"/>
  <c r="P885" i="8"/>
  <c r="N885" i="8"/>
  <c r="M885" i="8"/>
  <c r="L885" i="8"/>
  <c r="H885" i="8"/>
  <c r="O885" i="8" s="1"/>
  <c r="G885" i="8"/>
  <c r="AH884" i="8"/>
  <c r="AG884" i="8"/>
  <c r="AE884" i="8"/>
  <c r="AC884" i="8"/>
  <c r="Y884" i="8"/>
  <c r="W884" i="8"/>
  <c r="V884" i="8"/>
  <c r="U884" i="8"/>
  <c r="T884" i="8"/>
  <c r="R884" i="8"/>
  <c r="S884" i="8" s="1"/>
  <c r="P884" i="8"/>
  <c r="Z884" i="8" s="1"/>
  <c r="M884" i="8"/>
  <c r="L884" i="8"/>
  <c r="N884" i="8" s="1"/>
  <c r="H884" i="8"/>
  <c r="O884" i="8" s="1"/>
  <c r="G884" i="8"/>
  <c r="AH883" i="8"/>
  <c r="AG883" i="8"/>
  <c r="AE883" i="8"/>
  <c r="Z883" i="8"/>
  <c r="Y883" i="8"/>
  <c r="X883" i="8" s="1"/>
  <c r="AB883" i="8" s="1"/>
  <c r="V883" i="8"/>
  <c r="U883" i="8"/>
  <c r="W883" i="8" s="1"/>
  <c r="AA883" i="8" s="1"/>
  <c r="T883" i="8"/>
  <c r="R883" i="8"/>
  <c r="S883" i="8" s="1"/>
  <c r="P883" i="8"/>
  <c r="N883" i="8"/>
  <c r="M883" i="8"/>
  <c r="L883" i="8"/>
  <c r="H883" i="8"/>
  <c r="O883" i="8" s="1"/>
  <c r="G883" i="8"/>
  <c r="AH882" i="8"/>
  <c r="AG882" i="8"/>
  <c r="AE882" i="8"/>
  <c r="Y882" i="8"/>
  <c r="AC882" i="8" s="1"/>
  <c r="W882" i="8"/>
  <c r="AA882" i="8" s="1"/>
  <c r="V882" i="8"/>
  <c r="U882" i="8"/>
  <c r="T882" i="8"/>
  <c r="S882" i="8"/>
  <c r="R882" i="8"/>
  <c r="P882" i="8"/>
  <c r="Z882" i="8" s="1"/>
  <c r="N882" i="8"/>
  <c r="M882" i="8"/>
  <c r="L882" i="8"/>
  <c r="H882" i="8"/>
  <c r="O882" i="8" s="1"/>
  <c r="G882" i="8"/>
  <c r="AH881" i="8"/>
  <c r="AG881" i="8"/>
  <c r="AE881" i="8"/>
  <c r="AC881" i="8"/>
  <c r="Y881" i="8"/>
  <c r="W881" i="8"/>
  <c r="AA881" i="8" s="1"/>
  <c r="V881" i="8"/>
  <c r="U881" i="8"/>
  <c r="T881" i="8"/>
  <c r="S881" i="8"/>
  <c r="R881" i="8"/>
  <c r="P881" i="8"/>
  <c r="Z881" i="8" s="1"/>
  <c r="M881" i="8"/>
  <c r="L881" i="8"/>
  <c r="N881" i="8" s="1"/>
  <c r="H881" i="8"/>
  <c r="O881" i="8" s="1"/>
  <c r="G881" i="8"/>
  <c r="AH880" i="8"/>
  <c r="AG880" i="8"/>
  <c r="AE880" i="8"/>
  <c r="Y880" i="8"/>
  <c r="AC880" i="8" s="1"/>
  <c r="W880" i="8"/>
  <c r="AA880" i="8" s="1"/>
  <c r="V880" i="8"/>
  <c r="U880" i="8"/>
  <c r="T880" i="8"/>
  <c r="S880" i="8"/>
  <c r="R880" i="8"/>
  <c r="P880" i="8"/>
  <c r="Z880" i="8" s="1"/>
  <c r="N880" i="8"/>
  <c r="M880" i="8"/>
  <c r="L880" i="8"/>
  <c r="H880" i="8"/>
  <c r="O880" i="8" s="1"/>
  <c r="G880" i="8"/>
  <c r="AH879" i="8"/>
  <c r="AG879" i="8"/>
  <c r="AE879" i="8"/>
  <c r="AC879" i="8"/>
  <c r="Y879" i="8"/>
  <c r="W879" i="8"/>
  <c r="AA879" i="8" s="1"/>
  <c r="V879" i="8"/>
  <c r="U879" i="8"/>
  <c r="T879" i="8"/>
  <c r="S879" i="8"/>
  <c r="R879" i="8"/>
  <c r="P879" i="8"/>
  <c r="Z879" i="8" s="1"/>
  <c r="M879" i="8"/>
  <c r="L879" i="8"/>
  <c r="N879" i="8" s="1"/>
  <c r="H879" i="8"/>
  <c r="O879" i="8" s="1"/>
  <c r="G879" i="8"/>
  <c r="AH878" i="8"/>
  <c r="AG878" i="8"/>
  <c r="AE878" i="8"/>
  <c r="Y878" i="8"/>
  <c r="AC878" i="8" s="1"/>
  <c r="W878" i="8"/>
  <c r="AA878" i="8" s="1"/>
  <c r="V878" i="8"/>
  <c r="U878" i="8"/>
  <c r="T878" i="8"/>
  <c r="R878" i="8"/>
  <c r="S878" i="8" s="1"/>
  <c r="P878" i="8"/>
  <c r="Z878" i="8" s="1"/>
  <c r="N878" i="8"/>
  <c r="M878" i="8"/>
  <c r="L878" i="8"/>
  <c r="H878" i="8"/>
  <c r="O878" i="8" s="1"/>
  <c r="G878" i="8"/>
  <c r="AH877" i="8"/>
  <c r="AG877" i="8"/>
  <c r="AE877" i="8"/>
  <c r="AC877" i="8"/>
  <c r="Y877" i="8"/>
  <c r="W877" i="8"/>
  <c r="AA877" i="8" s="1"/>
  <c r="V877" i="8"/>
  <c r="U877" i="8"/>
  <c r="T877" i="8"/>
  <c r="S877" i="8"/>
  <c r="R877" i="8"/>
  <c r="P877" i="8"/>
  <c r="Z877" i="8" s="1"/>
  <c r="M877" i="8"/>
  <c r="L877" i="8"/>
  <c r="N877" i="8" s="1"/>
  <c r="H877" i="8"/>
  <c r="O877" i="8" s="1"/>
  <c r="G877" i="8"/>
  <c r="AH876" i="8"/>
  <c r="AG876" i="8"/>
  <c r="AE876" i="8"/>
  <c r="Y876" i="8"/>
  <c r="AC876" i="8" s="1"/>
  <c r="W876" i="8"/>
  <c r="AA876" i="8" s="1"/>
  <c r="V876" i="8"/>
  <c r="U876" i="8"/>
  <c r="T876" i="8"/>
  <c r="R876" i="8"/>
  <c r="S876" i="8" s="1"/>
  <c r="P876" i="8"/>
  <c r="Z876" i="8" s="1"/>
  <c r="N876" i="8"/>
  <c r="M876" i="8"/>
  <c r="L876" i="8"/>
  <c r="H876" i="8"/>
  <c r="O876" i="8" s="1"/>
  <c r="G876" i="8"/>
  <c r="AH875" i="8"/>
  <c r="AG875" i="8"/>
  <c r="AE875" i="8"/>
  <c r="AC875" i="8"/>
  <c r="AA875" i="8"/>
  <c r="Y875" i="8"/>
  <c r="W875" i="8"/>
  <c r="V875" i="8"/>
  <c r="U875" i="8"/>
  <c r="T875" i="8"/>
  <c r="S875" i="8"/>
  <c r="R875" i="8"/>
  <c r="P875" i="8"/>
  <c r="Z875" i="8" s="1"/>
  <c r="M875" i="8"/>
  <c r="L875" i="8"/>
  <c r="N875" i="8" s="1"/>
  <c r="H875" i="8"/>
  <c r="O875" i="8" s="1"/>
  <c r="G875" i="8"/>
  <c r="AH874" i="8"/>
  <c r="AG874" i="8"/>
  <c r="AE874" i="8"/>
  <c r="Y874" i="8"/>
  <c r="AC874" i="8" s="1"/>
  <c r="W874" i="8"/>
  <c r="AA874" i="8" s="1"/>
  <c r="V874" i="8"/>
  <c r="U874" i="8"/>
  <c r="T874" i="8"/>
  <c r="R874" i="8"/>
  <c r="S874" i="8" s="1"/>
  <c r="P874" i="8"/>
  <c r="Z874" i="8" s="1"/>
  <c r="N874" i="8"/>
  <c r="M874" i="8"/>
  <c r="L874" i="8"/>
  <c r="H874" i="8"/>
  <c r="O874" i="8" s="1"/>
  <c r="G874" i="8"/>
  <c r="AH873" i="8"/>
  <c r="AG873" i="8"/>
  <c r="AE873" i="8"/>
  <c r="AC873" i="8"/>
  <c r="AA873" i="8"/>
  <c r="Y873" i="8"/>
  <c r="W873" i="8"/>
  <c r="V873" i="8"/>
  <c r="U873" i="8"/>
  <c r="T873" i="8"/>
  <c r="S873" i="8"/>
  <c r="R873" i="8"/>
  <c r="P873" i="8"/>
  <c r="Z873" i="8" s="1"/>
  <c r="M873" i="8"/>
  <c r="L873" i="8"/>
  <c r="N873" i="8" s="1"/>
  <c r="H873" i="8"/>
  <c r="O873" i="8" s="1"/>
  <c r="G873" i="8"/>
  <c r="AH872" i="8"/>
  <c r="AG872" i="8"/>
  <c r="AE872" i="8"/>
  <c r="AA872" i="8"/>
  <c r="Y872" i="8"/>
  <c r="AC872" i="8" s="1"/>
  <c r="W872" i="8"/>
  <c r="V872" i="8"/>
  <c r="U872" i="8"/>
  <c r="T872" i="8"/>
  <c r="R872" i="8"/>
  <c r="S872" i="8" s="1"/>
  <c r="P872" i="8"/>
  <c r="Z872" i="8" s="1"/>
  <c r="N872" i="8"/>
  <c r="M872" i="8"/>
  <c r="L872" i="8"/>
  <c r="H872" i="8"/>
  <c r="O872" i="8" s="1"/>
  <c r="G872" i="8"/>
  <c r="AH871" i="8"/>
  <c r="AG871" i="8"/>
  <c r="AE871" i="8"/>
  <c r="AC871" i="8"/>
  <c r="AA871" i="8"/>
  <c r="Y871" i="8"/>
  <c r="W871" i="8"/>
  <c r="V871" i="8"/>
  <c r="U871" i="8"/>
  <c r="T871" i="8"/>
  <c r="R871" i="8"/>
  <c r="S871" i="8" s="1"/>
  <c r="P871" i="8"/>
  <c r="Z871" i="8" s="1"/>
  <c r="M871" i="8"/>
  <c r="L871" i="8"/>
  <c r="N871" i="8" s="1"/>
  <c r="H871" i="8"/>
  <c r="O871" i="8" s="1"/>
  <c r="G871" i="8"/>
  <c r="AH870" i="8"/>
  <c r="AG870" i="8"/>
  <c r="AE870" i="8"/>
  <c r="AA870" i="8"/>
  <c r="Y870" i="8"/>
  <c r="AC870" i="8" s="1"/>
  <c r="W870" i="8"/>
  <c r="V870" i="8"/>
  <c r="U870" i="8"/>
  <c r="T870" i="8"/>
  <c r="R870" i="8"/>
  <c r="S870" i="8" s="1"/>
  <c r="P870" i="8"/>
  <c r="Z870" i="8" s="1"/>
  <c r="N870" i="8"/>
  <c r="M870" i="8"/>
  <c r="L870" i="8"/>
  <c r="H870" i="8"/>
  <c r="O870" i="8" s="1"/>
  <c r="G870" i="8"/>
  <c r="AH869" i="8"/>
  <c r="AG869" i="8"/>
  <c r="AE869" i="8"/>
  <c r="AC869" i="8"/>
  <c r="AA869" i="8"/>
  <c r="Y869" i="8"/>
  <c r="W869" i="8"/>
  <c r="V869" i="8"/>
  <c r="U869" i="8"/>
  <c r="T869" i="8"/>
  <c r="R869" i="8"/>
  <c r="S869" i="8" s="1"/>
  <c r="P869" i="8"/>
  <c r="Z869" i="8" s="1"/>
  <c r="M869" i="8"/>
  <c r="L869" i="8"/>
  <c r="N869" i="8" s="1"/>
  <c r="H869" i="8"/>
  <c r="O869" i="8" s="1"/>
  <c r="G869" i="8"/>
  <c r="AH868" i="8"/>
  <c r="AG868" i="8"/>
  <c r="AE868" i="8"/>
  <c r="AA868" i="8"/>
  <c r="Y868" i="8"/>
  <c r="AC868" i="8" s="1"/>
  <c r="W868" i="8"/>
  <c r="V868" i="8"/>
  <c r="U868" i="8"/>
  <c r="T868" i="8"/>
  <c r="R868" i="8"/>
  <c r="S868" i="8" s="1"/>
  <c r="P868" i="8"/>
  <c r="Z868" i="8" s="1"/>
  <c r="M868" i="8"/>
  <c r="O868" i="8" s="1"/>
  <c r="L868" i="8"/>
  <c r="N868" i="8" s="1"/>
  <c r="H868" i="8"/>
  <c r="G868" i="8"/>
  <c r="AH867" i="8"/>
  <c r="AG867" i="8"/>
  <c r="AE867" i="8"/>
  <c r="AC867" i="8"/>
  <c r="AA867" i="8"/>
  <c r="Y867" i="8"/>
  <c r="W867" i="8"/>
  <c r="V867" i="8"/>
  <c r="U867" i="8"/>
  <c r="T867" i="8"/>
  <c r="R867" i="8"/>
  <c r="S867" i="8" s="1"/>
  <c r="P867" i="8"/>
  <c r="Z867" i="8" s="1"/>
  <c r="M867" i="8"/>
  <c r="O867" i="8" s="1"/>
  <c r="L867" i="8"/>
  <c r="N867" i="8" s="1"/>
  <c r="H867" i="8"/>
  <c r="G867" i="8"/>
  <c r="AH866" i="8"/>
  <c r="AG866" i="8"/>
  <c r="AE866" i="8"/>
  <c r="AA866" i="8"/>
  <c r="Y866" i="8"/>
  <c r="AC866" i="8" s="1"/>
  <c r="W866" i="8"/>
  <c r="V866" i="8"/>
  <c r="U866" i="8"/>
  <c r="T866" i="8"/>
  <c r="R866" i="8"/>
  <c r="S866" i="8" s="1"/>
  <c r="P866" i="8"/>
  <c r="Z866" i="8" s="1"/>
  <c r="M866" i="8"/>
  <c r="O866" i="8" s="1"/>
  <c r="L866" i="8"/>
  <c r="N866" i="8" s="1"/>
  <c r="H866" i="8"/>
  <c r="G866" i="8"/>
  <c r="AH865" i="8"/>
  <c r="AG865" i="8"/>
  <c r="AE865" i="8"/>
  <c r="AC865" i="8"/>
  <c r="AA865" i="8"/>
  <c r="Y865" i="8"/>
  <c r="W865" i="8"/>
  <c r="V865" i="8"/>
  <c r="U865" i="8"/>
  <c r="T865" i="8"/>
  <c r="R865" i="8"/>
  <c r="S865" i="8" s="1"/>
  <c r="P865" i="8"/>
  <c r="Z865" i="8" s="1"/>
  <c r="M865" i="8"/>
  <c r="O865" i="8" s="1"/>
  <c r="L865" i="8"/>
  <c r="N865" i="8" s="1"/>
  <c r="H865" i="8"/>
  <c r="G865" i="8"/>
  <c r="AH864" i="8"/>
  <c r="AG864" i="8"/>
  <c r="AE864" i="8"/>
  <c r="AA864" i="8"/>
  <c r="Y864" i="8"/>
  <c r="AC864" i="8" s="1"/>
  <c r="W864" i="8"/>
  <c r="V864" i="8"/>
  <c r="U864" i="8"/>
  <c r="T864" i="8"/>
  <c r="R864" i="8"/>
  <c r="S864" i="8" s="1"/>
  <c r="P864" i="8"/>
  <c r="Z864" i="8" s="1"/>
  <c r="M864" i="8"/>
  <c r="O864" i="8" s="1"/>
  <c r="L864" i="8"/>
  <c r="N864" i="8" s="1"/>
  <c r="H864" i="8"/>
  <c r="G864" i="8"/>
  <c r="AH863" i="8"/>
  <c r="AG863" i="8"/>
  <c r="AE863" i="8"/>
  <c r="AC863" i="8"/>
  <c r="AA863" i="8"/>
  <c r="Y863" i="8"/>
  <c r="W863" i="8"/>
  <c r="V863" i="8"/>
  <c r="U863" i="8"/>
  <c r="T863" i="8"/>
  <c r="R863" i="8"/>
  <c r="S863" i="8" s="1"/>
  <c r="P863" i="8"/>
  <c r="Z863" i="8" s="1"/>
  <c r="M863" i="8"/>
  <c r="O863" i="8" s="1"/>
  <c r="L863" i="8"/>
  <c r="N863" i="8" s="1"/>
  <c r="H863" i="8"/>
  <c r="G863" i="8"/>
  <c r="AH862" i="8"/>
  <c r="AG862" i="8"/>
  <c r="AE862" i="8"/>
  <c r="AA862" i="8"/>
  <c r="Y862" i="8"/>
  <c r="AC862" i="8" s="1"/>
  <c r="W862" i="8"/>
  <c r="V862" i="8"/>
  <c r="U862" i="8"/>
  <c r="T862" i="8"/>
  <c r="R862" i="8"/>
  <c r="S862" i="8" s="1"/>
  <c r="P862" i="8"/>
  <c r="Z862" i="8" s="1"/>
  <c r="M862" i="8"/>
  <c r="O862" i="8" s="1"/>
  <c r="L862" i="8"/>
  <c r="N862" i="8" s="1"/>
  <c r="H862" i="8"/>
  <c r="G862" i="8"/>
  <c r="AH861" i="8"/>
  <c r="AG861" i="8"/>
  <c r="AE861" i="8"/>
  <c r="AC861" i="8"/>
  <c r="AA861" i="8"/>
  <c r="Y861" i="8"/>
  <c r="W861" i="8"/>
  <c r="V861" i="8"/>
  <c r="U861" i="8"/>
  <c r="T861" i="8"/>
  <c r="R861" i="8"/>
  <c r="S861" i="8" s="1"/>
  <c r="P861" i="8"/>
  <c r="Z861" i="8" s="1"/>
  <c r="M861" i="8"/>
  <c r="O861" i="8" s="1"/>
  <c r="L861" i="8"/>
  <c r="N861" i="8" s="1"/>
  <c r="H861" i="8"/>
  <c r="G861" i="8"/>
  <c r="AH860" i="8"/>
  <c r="AG860" i="8"/>
  <c r="AE860" i="8"/>
  <c r="AA860" i="8"/>
  <c r="Y860" i="8"/>
  <c r="AC860" i="8" s="1"/>
  <c r="W860" i="8"/>
  <c r="V860" i="8"/>
  <c r="U860" i="8"/>
  <c r="T860" i="8"/>
  <c r="R860" i="8"/>
  <c r="S860" i="8" s="1"/>
  <c r="P860" i="8"/>
  <c r="Z860" i="8" s="1"/>
  <c r="M860" i="8"/>
  <c r="O860" i="8" s="1"/>
  <c r="L860" i="8"/>
  <c r="N860" i="8" s="1"/>
  <c r="H860" i="8"/>
  <c r="G860" i="8"/>
  <c r="AH859" i="8"/>
  <c r="AG859" i="8"/>
  <c r="AE859" i="8"/>
  <c r="Y859" i="8"/>
  <c r="W859" i="8"/>
  <c r="V859" i="8"/>
  <c r="U859" i="8"/>
  <c r="T859" i="8"/>
  <c r="R859" i="8"/>
  <c r="S859" i="8" s="1"/>
  <c r="M859" i="8"/>
  <c r="O859" i="8" s="1"/>
  <c r="L859" i="8"/>
  <c r="N859" i="8" s="1"/>
  <c r="H859" i="8"/>
  <c r="G859" i="8"/>
  <c r="AH858" i="8"/>
  <c r="AG858" i="8"/>
  <c r="AE858" i="8"/>
  <c r="Y858" i="8"/>
  <c r="W858" i="8"/>
  <c r="V858" i="8"/>
  <c r="U858" i="8"/>
  <c r="T858" i="8"/>
  <c r="N858" i="8"/>
  <c r="M858" i="8"/>
  <c r="O858" i="8" s="1"/>
  <c r="L858" i="8"/>
  <c r="H858" i="8"/>
  <c r="R858" i="8" s="1"/>
  <c r="S858" i="8" s="1"/>
  <c r="G858" i="8"/>
  <c r="AH857" i="8"/>
  <c r="AG857" i="8"/>
  <c r="AE857" i="8"/>
  <c r="Y857" i="8"/>
  <c r="V857" i="8"/>
  <c r="Z857" i="8" s="1"/>
  <c r="U857" i="8"/>
  <c r="W857" i="8" s="1"/>
  <c r="AA857" i="8" s="1"/>
  <c r="T857" i="8"/>
  <c r="P857" i="8"/>
  <c r="N857" i="8"/>
  <c r="M857" i="8"/>
  <c r="L857" i="8"/>
  <c r="H857" i="8"/>
  <c r="R857" i="8" s="1"/>
  <c r="G857" i="8"/>
  <c r="AH856" i="8"/>
  <c r="AG856" i="8"/>
  <c r="AE856" i="8"/>
  <c r="Y856" i="8"/>
  <c r="AC856" i="8" s="1"/>
  <c r="V856" i="8"/>
  <c r="U856" i="8"/>
  <c r="W856" i="8" s="1"/>
  <c r="AA856" i="8" s="1"/>
  <c r="T856" i="8"/>
  <c r="P856" i="8"/>
  <c r="Z856" i="8" s="1"/>
  <c r="M856" i="8"/>
  <c r="L856" i="8"/>
  <c r="N856" i="8" s="1"/>
  <c r="H856" i="8"/>
  <c r="R856" i="8" s="1"/>
  <c r="G856" i="8"/>
  <c r="AH855" i="8"/>
  <c r="AG855" i="8"/>
  <c r="AE855" i="8"/>
  <c r="Y855" i="8"/>
  <c r="V855" i="8"/>
  <c r="W855" i="8" s="1"/>
  <c r="U855" i="8"/>
  <c r="T855" i="8"/>
  <c r="R855" i="8"/>
  <c r="S855" i="8" s="1"/>
  <c r="M855" i="8"/>
  <c r="O855" i="8" s="1"/>
  <c r="L855" i="8"/>
  <c r="N855" i="8" s="1"/>
  <c r="H855" i="8"/>
  <c r="G855" i="8"/>
  <c r="AH854" i="8"/>
  <c r="AG854" i="8"/>
  <c r="AE854" i="8"/>
  <c r="Y854" i="8"/>
  <c r="W854" i="8"/>
  <c r="V854" i="8"/>
  <c r="U854" i="8"/>
  <c r="T854" i="8"/>
  <c r="M854" i="8"/>
  <c r="O854" i="8" s="1"/>
  <c r="L854" i="8"/>
  <c r="H854" i="8"/>
  <c r="R854" i="8" s="1"/>
  <c r="S854" i="8" s="1"/>
  <c r="G854" i="8"/>
  <c r="AH853" i="8"/>
  <c r="AG853" i="8"/>
  <c r="AE853" i="8"/>
  <c r="AC853" i="8"/>
  <c r="AF853" i="8" s="1"/>
  <c r="Y853" i="8"/>
  <c r="V853" i="8"/>
  <c r="U853" i="8"/>
  <c r="W853" i="8" s="1"/>
  <c r="AA853" i="8" s="1"/>
  <c r="T853" i="8"/>
  <c r="R853" i="8"/>
  <c r="P853" i="8"/>
  <c r="Z853" i="8" s="1"/>
  <c r="N853" i="8"/>
  <c r="M853" i="8"/>
  <c r="L853" i="8"/>
  <c r="H853" i="8"/>
  <c r="G853" i="8"/>
  <c r="AH852" i="8"/>
  <c r="AG852" i="8"/>
  <c r="AE852" i="8"/>
  <c r="Y852" i="8"/>
  <c r="V852" i="8"/>
  <c r="U852" i="8"/>
  <c r="W852" i="8" s="1"/>
  <c r="AA852" i="8" s="1"/>
  <c r="T852" i="8"/>
  <c r="P852" i="8"/>
  <c r="AC852" i="8" s="1"/>
  <c r="M852" i="8"/>
  <c r="L852" i="8"/>
  <c r="N852" i="8" s="1"/>
  <c r="H852" i="8"/>
  <c r="R852" i="8" s="1"/>
  <c r="G852" i="8"/>
  <c r="AH851" i="8"/>
  <c r="AG851" i="8"/>
  <c r="AE851" i="8"/>
  <c r="Y851" i="8"/>
  <c r="V851" i="8"/>
  <c r="U851" i="8"/>
  <c r="T851" i="8"/>
  <c r="R851" i="8"/>
  <c r="S851" i="8" s="1"/>
  <c r="M851" i="8"/>
  <c r="O851" i="8" s="1"/>
  <c r="L851" i="8"/>
  <c r="N851" i="8" s="1"/>
  <c r="H851" i="8"/>
  <c r="G851" i="8"/>
  <c r="AH850" i="8"/>
  <c r="AG850" i="8"/>
  <c r="AE850" i="8"/>
  <c r="Y850" i="8"/>
  <c r="W850" i="8"/>
  <c r="V850" i="8"/>
  <c r="U850" i="8"/>
  <c r="T850" i="8"/>
  <c r="N850" i="8"/>
  <c r="M850" i="8"/>
  <c r="O850" i="8" s="1"/>
  <c r="L850" i="8"/>
  <c r="H850" i="8"/>
  <c r="R850" i="8" s="1"/>
  <c r="S850" i="8" s="1"/>
  <c r="G850" i="8"/>
  <c r="AH849" i="8"/>
  <c r="AG849" i="8"/>
  <c r="AE849" i="8"/>
  <c r="Y849" i="8"/>
  <c r="V849" i="8"/>
  <c r="Z849" i="8" s="1"/>
  <c r="U849" i="8"/>
  <c r="W849" i="8" s="1"/>
  <c r="AA849" i="8" s="1"/>
  <c r="T849" i="8"/>
  <c r="P849" i="8"/>
  <c r="N849" i="8"/>
  <c r="M849" i="8"/>
  <c r="L849" i="8"/>
  <c r="H849" i="8"/>
  <c r="R849" i="8" s="1"/>
  <c r="G849" i="8"/>
  <c r="AH848" i="8"/>
  <c r="AG848" i="8"/>
  <c r="AE848" i="8"/>
  <c r="Y848" i="8"/>
  <c r="AC848" i="8" s="1"/>
  <c r="V848" i="8"/>
  <c r="U848" i="8"/>
  <c r="W848" i="8" s="1"/>
  <c r="AA848" i="8" s="1"/>
  <c r="T848" i="8"/>
  <c r="P848" i="8"/>
  <c r="Z848" i="8" s="1"/>
  <c r="M848" i="8"/>
  <c r="L848" i="8"/>
  <c r="N848" i="8" s="1"/>
  <c r="H848" i="8"/>
  <c r="R848" i="8" s="1"/>
  <c r="G848" i="8"/>
  <c r="AH847" i="8"/>
  <c r="AG847" i="8"/>
  <c r="AE847" i="8"/>
  <c r="Y847" i="8"/>
  <c r="V847" i="8"/>
  <c r="W847" i="8" s="1"/>
  <c r="U847" i="8"/>
  <c r="T847" i="8"/>
  <c r="R847" i="8"/>
  <c r="S847" i="8" s="1"/>
  <c r="M847" i="8"/>
  <c r="O847" i="8" s="1"/>
  <c r="L847" i="8"/>
  <c r="N847" i="8" s="1"/>
  <c r="H847" i="8"/>
  <c r="G847" i="8"/>
  <c r="AH846" i="8"/>
  <c r="AG846" i="8"/>
  <c r="AE846" i="8"/>
  <c r="Y846" i="8"/>
  <c r="W846" i="8"/>
  <c r="V846" i="8"/>
  <c r="U846" i="8"/>
  <c r="T846" i="8"/>
  <c r="M846" i="8"/>
  <c r="L846" i="8"/>
  <c r="H846" i="8"/>
  <c r="R846" i="8" s="1"/>
  <c r="G846" i="8"/>
  <c r="AH845" i="8"/>
  <c r="AG845" i="8"/>
  <c r="AE845" i="8"/>
  <c r="AC845" i="8"/>
  <c r="Y845" i="8"/>
  <c r="V845" i="8"/>
  <c r="U845" i="8"/>
  <c r="W845" i="8" s="1"/>
  <c r="AA845" i="8" s="1"/>
  <c r="T845" i="8"/>
  <c r="R845" i="8"/>
  <c r="P845" i="8"/>
  <c r="Z845" i="8" s="1"/>
  <c r="N845" i="8"/>
  <c r="M845" i="8"/>
  <c r="L845" i="8"/>
  <c r="H845" i="8"/>
  <c r="G845" i="8"/>
  <c r="AH844" i="8"/>
  <c r="AG844" i="8"/>
  <c r="AE844" i="8"/>
  <c r="Y844" i="8"/>
  <c r="V844" i="8"/>
  <c r="U844" i="8"/>
  <c r="W844" i="8" s="1"/>
  <c r="T844" i="8"/>
  <c r="P844" i="8"/>
  <c r="AC844" i="8" s="1"/>
  <c r="M844" i="8"/>
  <c r="L844" i="8"/>
  <c r="N844" i="8" s="1"/>
  <c r="H844" i="8"/>
  <c r="R844" i="8" s="1"/>
  <c r="G844" i="8"/>
  <c r="AH843" i="8"/>
  <c r="AG843" i="8"/>
  <c r="AE843" i="8"/>
  <c r="Y843" i="8"/>
  <c r="V843" i="8"/>
  <c r="U843" i="8"/>
  <c r="T843" i="8"/>
  <c r="R843" i="8"/>
  <c r="S843" i="8" s="1"/>
  <c r="M843" i="8"/>
  <c r="O843" i="8" s="1"/>
  <c r="L843" i="8"/>
  <c r="N843" i="8" s="1"/>
  <c r="H843" i="8"/>
  <c r="G843" i="8"/>
  <c r="AH842" i="8"/>
  <c r="AG842" i="8"/>
  <c r="AE842" i="8"/>
  <c r="Y842" i="8"/>
  <c r="W842" i="8"/>
  <c r="V842" i="8"/>
  <c r="U842" i="8"/>
  <c r="T842" i="8"/>
  <c r="N842" i="8"/>
  <c r="M842" i="8"/>
  <c r="L842" i="8"/>
  <c r="H842" i="8"/>
  <c r="R842" i="8" s="1"/>
  <c r="G842" i="8"/>
  <c r="AH841" i="8"/>
  <c r="AG841" i="8"/>
  <c r="AE841" i="8"/>
  <c r="Y841" i="8"/>
  <c r="X841" i="8" s="1"/>
  <c r="AB841" i="8" s="1"/>
  <c r="V841" i="8"/>
  <c r="Z841" i="8" s="1"/>
  <c r="U841" i="8"/>
  <c r="W841" i="8" s="1"/>
  <c r="AA841" i="8" s="1"/>
  <c r="T841" i="8"/>
  <c r="P841" i="8"/>
  <c r="N841" i="8"/>
  <c r="M841" i="8"/>
  <c r="L841" i="8"/>
  <c r="H841" i="8"/>
  <c r="R841" i="8" s="1"/>
  <c r="G841" i="8"/>
  <c r="AH840" i="8"/>
  <c r="AG840" i="8"/>
  <c r="AE840" i="8"/>
  <c r="Z840" i="8"/>
  <c r="Y840" i="8"/>
  <c r="V840" i="8"/>
  <c r="U840" i="8"/>
  <c r="W840" i="8" s="1"/>
  <c r="AA840" i="8" s="1"/>
  <c r="T840" i="8"/>
  <c r="P840" i="8"/>
  <c r="M840" i="8"/>
  <c r="L840" i="8"/>
  <c r="H840" i="8"/>
  <c r="R840" i="8" s="1"/>
  <c r="G840" i="8"/>
  <c r="AH839" i="8"/>
  <c r="AG839" i="8"/>
  <c r="AE839" i="8"/>
  <c r="Y839" i="8"/>
  <c r="V839" i="8"/>
  <c r="U839" i="8"/>
  <c r="T839" i="8"/>
  <c r="R839" i="8"/>
  <c r="S839" i="8" s="1"/>
  <c r="M839" i="8"/>
  <c r="O839" i="8" s="1"/>
  <c r="L839" i="8"/>
  <c r="N839" i="8" s="1"/>
  <c r="H839" i="8"/>
  <c r="G839" i="8"/>
  <c r="AH838" i="8"/>
  <c r="AG838" i="8"/>
  <c r="AE838" i="8"/>
  <c r="Y838" i="8"/>
  <c r="W838" i="8"/>
  <c r="V838" i="8"/>
  <c r="U838" i="8"/>
  <c r="T838" i="8"/>
  <c r="M838" i="8"/>
  <c r="L838" i="8"/>
  <c r="H838" i="8"/>
  <c r="R838" i="8" s="1"/>
  <c r="G838" i="8"/>
  <c r="AH837" i="8"/>
  <c r="AG837" i="8"/>
  <c r="AE837" i="8"/>
  <c r="AC837" i="8"/>
  <c r="Y837" i="8"/>
  <c r="X837" i="8" s="1"/>
  <c r="AB837" i="8" s="1"/>
  <c r="V837" i="8"/>
  <c r="U837" i="8"/>
  <c r="W837" i="8" s="1"/>
  <c r="AA837" i="8" s="1"/>
  <c r="T837" i="8"/>
  <c r="R837" i="8"/>
  <c r="P837" i="8"/>
  <c r="Z837" i="8" s="1"/>
  <c r="N837" i="8"/>
  <c r="M837" i="8"/>
  <c r="L837" i="8"/>
  <c r="H837" i="8"/>
  <c r="G837" i="8"/>
  <c r="AH836" i="8"/>
  <c r="AG836" i="8"/>
  <c r="AE836" i="8"/>
  <c r="Y836" i="8"/>
  <c r="V836" i="8"/>
  <c r="W836" i="8" s="1"/>
  <c r="U836" i="8"/>
  <c r="T836" i="8"/>
  <c r="R836" i="8"/>
  <c r="N836" i="8"/>
  <c r="M836" i="8"/>
  <c r="L836" i="8"/>
  <c r="H836" i="8"/>
  <c r="G836" i="8"/>
  <c r="AH835" i="8"/>
  <c r="AG835" i="8"/>
  <c r="AE835" i="8"/>
  <c r="Y835" i="8"/>
  <c r="V835" i="8"/>
  <c r="W835" i="8" s="1"/>
  <c r="U835" i="8"/>
  <c r="T835" i="8"/>
  <c r="R835" i="8"/>
  <c r="N835" i="8"/>
  <c r="M835" i="8"/>
  <c r="L835" i="8"/>
  <c r="H835" i="8"/>
  <c r="G835" i="8"/>
  <c r="AH834" i="8"/>
  <c r="AG834" i="8"/>
  <c r="AE834" i="8"/>
  <c r="Y834" i="8"/>
  <c r="V834" i="8"/>
  <c r="W834" i="8" s="1"/>
  <c r="U834" i="8"/>
  <c r="T834" i="8"/>
  <c r="R834" i="8"/>
  <c r="N834" i="8"/>
  <c r="M834" i="8"/>
  <c r="L834" i="8"/>
  <c r="H834" i="8"/>
  <c r="G834" i="8"/>
  <c r="AH833" i="8"/>
  <c r="AG833" i="8"/>
  <c r="AE833" i="8"/>
  <c r="Y833" i="8"/>
  <c r="V833" i="8"/>
  <c r="W833" i="8" s="1"/>
  <c r="U833" i="8"/>
  <c r="T833" i="8"/>
  <c r="R833" i="8"/>
  <c r="N833" i="8"/>
  <c r="M833" i="8"/>
  <c r="L833" i="8"/>
  <c r="H833" i="8"/>
  <c r="G833" i="8"/>
  <c r="AH832" i="8"/>
  <c r="AG832" i="8"/>
  <c r="AE832" i="8"/>
  <c r="Y832" i="8"/>
  <c r="W832" i="8"/>
  <c r="V832" i="8"/>
  <c r="U832" i="8"/>
  <c r="T832" i="8"/>
  <c r="R832" i="8"/>
  <c r="N832" i="8"/>
  <c r="M832" i="8"/>
  <c r="L832" i="8"/>
  <c r="H832" i="8"/>
  <c r="G832" i="8"/>
  <c r="AH831" i="8"/>
  <c r="AG831" i="8"/>
  <c r="AE831" i="8"/>
  <c r="Y831" i="8"/>
  <c r="W831" i="8"/>
  <c r="V831" i="8"/>
  <c r="U831" i="8"/>
  <c r="T831" i="8"/>
  <c r="R831" i="8"/>
  <c r="N831" i="8"/>
  <c r="M831" i="8"/>
  <c r="L831" i="8"/>
  <c r="H831" i="8"/>
  <c r="G831" i="8"/>
  <c r="AH830" i="8"/>
  <c r="AG830" i="8"/>
  <c r="AE830" i="8"/>
  <c r="Y830" i="8"/>
  <c r="W830" i="8"/>
  <c r="V830" i="8"/>
  <c r="U830" i="8"/>
  <c r="T830" i="8"/>
  <c r="R830" i="8"/>
  <c r="N830" i="8"/>
  <c r="M830" i="8"/>
  <c r="L830" i="8"/>
  <c r="H830" i="8"/>
  <c r="G830" i="8"/>
  <c r="AH829" i="8"/>
  <c r="AG829" i="8"/>
  <c r="AE829" i="8"/>
  <c r="Y829" i="8"/>
  <c r="W829" i="8"/>
  <c r="V829" i="8"/>
  <c r="U829" i="8"/>
  <c r="T829" i="8"/>
  <c r="R829" i="8"/>
  <c r="N829" i="8"/>
  <c r="M829" i="8"/>
  <c r="L829" i="8"/>
  <c r="H829" i="8"/>
  <c r="G829" i="8"/>
  <c r="AH828" i="8"/>
  <c r="AG828" i="8"/>
  <c r="AE828" i="8"/>
  <c r="Y828" i="8"/>
  <c r="W828" i="8"/>
  <c r="V828" i="8"/>
  <c r="U828" i="8"/>
  <c r="T828" i="8"/>
  <c r="R828" i="8"/>
  <c r="N828" i="8"/>
  <c r="M828" i="8"/>
  <c r="L828" i="8"/>
  <c r="H828" i="8"/>
  <c r="G828" i="8"/>
  <c r="AH827" i="8"/>
  <c r="AG827" i="8"/>
  <c r="AE827" i="8"/>
  <c r="Y827" i="8"/>
  <c r="W827" i="8"/>
  <c r="V827" i="8"/>
  <c r="U827" i="8"/>
  <c r="T827" i="8"/>
  <c r="R827" i="8"/>
  <c r="N827" i="8"/>
  <c r="M827" i="8"/>
  <c r="L827" i="8"/>
  <c r="H827" i="8"/>
  <c r="G827" i="8"/>
  <c r="AH826" i="8"/>
  <c r="AG826" i="8"/>
  <c r="AE826" i="8"/>
  <c r="Y826" i="8"/>
  <c r="W826" i="8"/>
  <c r="V826" i="8"/>
  <c r="U826" i="8"/>
  <c r="T826" i="8"/>
  <c r="R826" i="8"/>
  <c r="S826" i="8" s="1"/>
  <c r="N826" i="8"/>
  <c r="M826" i="8"/>
  <c r="O826" i="8" s="1"/>
  <c r="L826" i="8"/>
  <c r="H826" i="8"/>
  <c r="G826" i="8"/>
  <c r="AH825" i="8"/>
  <c r="AG825" i="8"/>
  <c r="AE825" i="8"/>
  <c r="Y825" i="8"/>
  <c r="V825" i="8"/>
  <c r="Z825" i="8" s="1"/>
  <c r="U825" i="8"/>
  <c r="T825" i="8"/>
  <c r="R825" i="8"/>
  <c r="S825" i="8" s="1"/>
  <c r="P825" i="8"/>
  <c r="N825" i="8"/>
  <c r="M825" i="8"/>
  <c r="O825" i="8" s="1"/>
  <c r="L825" i="8"/>
  <c r="H825" i="8"/>
  <c r="G825" i="8"/>
  <c r="AH824" i="8"/>
  <c r="AG824" i="8"/>
  <c r="AE824" i="8"/>
  <c r="Y824" i="8"/>
  <c r="W824" i="8"/>
  <c r="AA824" i="8" s="1"/>
  <c r="V824" i="8"/>
  <c r="Z824" i="8" s="1"/>
  <c r="U824" i="8"/>
  <c r="T824" i="8"/>
  <c r="R824" i="8"/>
  <c r="S824" i="8" s="1"/>
  <c r="P824" i="8"/>
  <c r="N824" i="8"/>
  <c r="M824" i="8"/>
  <c r="O824" i="8" s="1"/>
  <c r="L824" i="8"/>
  <c r="H824" i="8"/>
  <c r="G824" i="8"/>
  <c r="AH823" i="8"/>
  <c r="AG823" i="8"/>
  <c r="AE823" i="8"/>
  <c r="Y823" i="8"/>
  <c r="V823" i="8"/>
  <c r="W823" i="8" s="1"/>
  <c r="U823" i="8"/>
  <c r="T823" i="8"/>
  <c r="R823" i="8"/>
  <c r="N823" i="8"/>
  <c r="M823" i="8"/>
  <c r="O823" i="8" s="1"/>
  <c r="L823" i="8"/>
  <c r="H823" i="8"/>
  <c r="G823" i="8"/>
  <c r="AH822" i="8"/>
  <c r="AG822" i="8"/>
  <c r="AE822" i="8"/>
  <c r="Y822" i="8"/>
  <c r="W822" i="8"/>
  <c r="V822" i="8"/>
  <c r="U822" i="8"/>
  <c r="T822" i="8"/>
  <c r="R822" i="8"/>
  <c r="N822" i="8"/>
  <c r="M822" i="8"/>
  <c r="O822" i="8" s="1"/>
  <c r="L822" i="8"/>
  <c r="H822" i="8"/>
  <c r="G822" i="8"/>
  <c r="AH821" i="8"/>
  <c r="AG821" i="8"/>
  <c r="AE821" i="8"/>
  <c r="Y821" i="8"/>
  <c r="W821" i="8"/>
  <c r="V821" i="8"/>
  <c r="Z821" i="8" s="1"/>
  <c r="U821" i="8"/>
  <c r="T821" i="8"/>
  <c r="R821" i="8"/>
  <c r="P821" i="8"/>
  <c r="N821" i="8"/>
  <c r="M821" i="8"/>
  <c r="O821" i="8" s="1"/>
  <c r="L821" i="8"/>
  <c r="H821" i="8"/>
  <c r="G821" i="8"/>
  <c r="AH820" i="8"/>
  <c r="AG820" i="8"/>
  <c r="AE820" i="8"/>
  <c r="Y820" i="8"/>
  <c r="V820" i="8"/>
  <c r="W820" i="8" s="1"/>
  <c r="U820" i="8"/>
  <c r="T820" i="8"/>
  <c r="R820" i="8"/>
  <c r="S820" i="8" s="1"/>
  <c r="N820" i="8"/>
  <c r="M820" i="8"/>
  <c r="O820" i="8" s="1"/>
  <c r="L820" i="8"/>
  <c r="H820" i="8"/>
  <c r="G820" i="8"/>
  <c r="AH819" i="8"/>
  <c r="AG819" i="8"/>
  <c r="AE819" i="8"/>
  <c r="Y819" i="8"/>
  <c r="W819" i="8"/>
  <c r="V819" i="8"/>
  <c r="U819" i="8"/>
  <c r="T819" i="8"/>
  <c r="R819" i="8"/>
  <c r="P819" i="8"/>
  <c r="Z819" i="8" s="1"/>
  <c r="N819" i="8"/>
  <c r="M819" i="8"/>
  <c r="O819" i="8" s="1"/>
  <c r="L819" i="8"/>
  <c r="H819" i="8"/>
  <c r="G819" i="8"/>
  <c r="AH818" i="8"/>
  <c r="AG818" i="8"/>
  <c r="AE818" i="8"/>
  <c r="Y818" i="8"/>
  <c r="W818" i="8"/>
  <c r="V818" i="8"/>
  <c r="U818" i="8"/>
  <c r="T818" i="8"/>
  <c r="R818" i="8"/>
  <c r="S818" i="8" s="1"/>
  <c r="N818" i="8"/>
  <c r="M818" i="8"/>
  <c r="O818" i="8" s="1"/>
  <c r="L818" i="8"/>
  <c r="H818" i="8"/>
  <c r="G818" i="8"/>
  <c r="AH817" i="8"/>
  <c r="AG817" i="8"/>
  <c r="AE817" i="8"/>
  <c r="Y817" i="8"/>
  <c r="V817" i="8"/>
  <c r="Z817" i="8" s="1"/>
  <c r="U817" i="8"/>
  <c r="T817" i="8"/>
  <c r="R817" i="8"/>
  <c r="S817" i="8" s="1"/>
  <c r="P817" i="8"/>
  <c r="N817" i="8"/>
  <c r="M817" i="8"/>
  <c r="O817" i="8" s="1"/>
  <c r="L817" i="8"/>
  <c r="H817" i="8"/>
  <c r="G817" i="8"/>
  <c r="AH816" i="8"/>
  <c r="AG816" i="8"/>
  <c r="AE816" i="8"/>
  <c r="Y816" i="8"/>
  <c r="W816" i="8"/>
  <c r="AA816" i="8" s="1"/>
  <c r="V816" i="8"/>
  <c r="Z816" i="8" s="1"/>
  <c r="U816" i="8"/>
  <c r="T816" i="8"/>
  <c r="R816" i="8"/>
  <c r="S816" i="8" s="1"/>
  <c r="P816" i="8"/>
  <c r="N816" i="8"/>
  <c r="M816" i="8"/>
  <c r="O816" i="8" s="1"/>
  <c r="L816" i="8"/>
  <c r="H816" i="8"/>
  <c r="G816" i="8"/>
  <c r="AH815" i="8"/>
  <c r="AG815" i="8"/>
  <c r="AE815" i="8"/>
  <c r="Y815" i="8"/>
  <c r="V815" i="8"/>
  <c r="W815" i="8" s="1"/>
  <c r="U815" i="8"/>
  <c r="T815" i="8"/>
  <c r="R815" i="8"/>
  <c r="N815" i="8"/>
  <c r="M815" i="8"/>
  <c r="O815" i="8" s="1"/>
  <c r="L815" i="8"/>
  <c r="H815" i="8"/>
  <c r="G815" i="8"/>
  <c r="AH814" i="8"/>
  <c r="AG814" i="8"/>
  <c r="AE814" i="8"/>
  <c r="Y814" i="8"/>
  <c r="W814" i="8"/>
  <c r="V814" i="8"/>
  <c r="U814" i="8"/>
  <c r="T814" i="8"/>
  <c r="R814" i="8"/>
  <c r="N814" i="8"/>
  <c r="M814" i="8"/>
  <c r="O814" i="8" s="1"/>
  <c r="L814" i="8"/>
  <c r="H814" i="8"/>
  <c r="G814" i="8"/>
  <c r="AH813" i="8"/>
  <c r="AG813" i="8"/>
  <c r="AE813" i="8"/>
  <c r="Y813" i="8"/>
  <c r="W813" i="8"/>
  <c r="V813" i="8"/>
  <c r="Z813" i="8" s="1"/>
  <c r="U813" i="8"/>
  <c r="T813" i="8"/>
  <c r="R813" i="8"/>
  <c r="P813" i="8"/>
  <c r="N813" i="8"/>
  <c r="M813" i="8"/>
  <c r="O813" i="8" s="1"/>
  <c r="L813" i="8"/>
  <c r="H813" i="8"/>
  <c r="G813" i="8"/>
  <c r="AH812" i="8"/>
  <c r="AG812" i="8"/>
  <c r="AE812" i="8"/>
  <c r="Y812" i="8"/>
  <c r="V812" i="8"/>
  <c r="U812" i="8"/>
  <c r="T812" i="8"/>
  <c r="R812" i="8"/>
  <c r="S812" i="8" s="1"/>
  <c r="N812" i="8"/>
  <c r="M812" i="8"/>
  <c r="O812" i="8" s="1"/>
  <c r="L812" i="8"/>
  <c r="H812" i="8"/>
  <c r="G812" i="8"/>
  <c r="AH811" i="8"/>
  <c r="AG811" i="8"/>
  <c r="AE811" i="8"/>
  <c r="Y811" i="8"/>
  <c r="W811" i="8"/>
  <c r="AA811" i="8" s="1"/>
  <c r="V811" i="8"/>
  <c r="U811" i="8"/>
  <c r="T811" i="8"/>
  <c r="R811" i="8"/>
  <c r="P811" i="8"/>
  <c r="Z811" i="8" s="1"/>
  <c r="N811" i="8"/>
  <c r="M811" i="8"/>
  <c r="O811" i="8" s="1"/>
  <c r="L811" i="8"/>
  <c r="H811" i="8"/>
  <c r="G811" i="8"/>
  <c r="AH810" i="8"/>
  <c r="AG810" i="8"/>
  <c r="AE810" i="8"/>
  <c r="Y810" i="8"/>
  <c r="W810" i="8"/>
  <c r="V810" i="8"/>
  <c r="U810" i="8"/>
  <c r="T810" i="8"/>
  <c r="R810" i="8"/>
  <c r="N810" i="8"/>
  <c r="M810" i="8"/>
  <c r="O810" i="8" s="1"/>
  <c r="L810" i="8"/>
  <c r="H810" i="8"/>
  <c r="G810" i="8"/>
  <c r="AH809" i="8"/>
  <c r="AG809" i="8"/>
  <c r="AE809" i="8"/>
  <c r="Y809" i="8"/>
  <c r="V809" i="8"/>
  <c r="Z809" i="8" s="1"/>
  <c r="U809" i="8"/>
  <c r="T809" i="8"/>
  <c r="R809" i="8"/>
  <c r="S809" i="8" s="1"/>
  <c r="P809" i="8"/>
  <c r="N809" i="8"/>
  <c r="M809" i="8"/>
  <c r="O809" i="8" s="1"/>
  <c r="L809" i="8"/>
  <c r="H809" i="8"/>
  <c r="G809" i="8"/>
  <c r="AH808" i="8"/>
  <c r="AG808" i="8"/>
  <c r="AE808" i="8"/>
  <c r="Y808" i="8"/>
  <c r="W808" i="8"/>
  <c r="AA808" i="8" s="1"/>
  <c r="V808" i="8"/>
  <c r="Z808" i="8" s="1"/>
  <c r="U808" i="8"/>
  <c r="T808" i="8"/>
  <c r="R808" i="8"/>
  <c r="S808" i="8" s="1"/>
  <c r="P808" i="8"/>
  <c r="N808" i="8"/>
  <c r="M808" i="8"/>
  <c r="O808" i="8" s="1"/>
  <c r="L808" i="8"/>
  <c r="H808" i="8"/>
  <c r="G808" i="8"/>
  <c r="AH807" i="8"/>
  <c r="AG807" i="8"/>
  <c r="AE807" i="8"/>
  <c r="Y807" i="8"/>
  <c r="V807" i="8"/>
  <c r="W807" i="8" s="1"/>
  <c r="U807" i="8"/>
  <c r="T807" i="8"/>
  <c r="R807" i="8"/>
  <c r="N807" i="8"/>
  <c r="M807" i="8"/>
  <c r="O807" i="8" s="1"/>
  <c r="L807" i="8"/>
  <c r="H807" i="8"/>
  <c r="G807" i="8"/>
  <c r="AH806" i="8"/>
  <c r="AG806" i="8"/>
  <c r="AE806" i="8"/>
  <c r="Y806" i="8"/>
  <c r="V806" i="8"/>
  <c r="W806" i="8" s="1"/>
  <c r="U806" i="8"/>
  <c r="T806" i="8"/>
  <c r="R806" i="8"/>
  <c r="N806" i="8"/>
  <c r="M806" i="8"/>
  <c r="O806" i="8" s="1"/>
  <c r="L806" i="8"/>
  <c r="H806" i="8"/>
  <c r="G806" i="8"/>
  <c r="AH805" i="8"/>
  <c r="AG805" i="8"/>
  <c r="AE805" i="8"/>
  <c r="Y805" i="8"/>
  <c r="W805" i="8"/>
  <c r="V805" i="8"/>
  <c r="Z805" i="8" s="1"/>
  <c r="U805" i="8"/>
  <c r="T805" i="8"/>
  <c r="R805" i="8"/>
  <c r="P805" i="8"/>
  <c r="N805" i="8"/>
  <c r="M805" i="8"/>
  <c r="O805" i="8" s="1"/>
  <c r="L805" i="8"/>
  <c r="H805" i="8"/>
  <c r="G805" i="8"/>
  <c r="AH804" i="8"/>
  <c r="AG804" i="8"/>
  <c r="AE804" i="8"/>
  <c r="Y804" i="8"/>
  <c r="V804" i="8"/>
  <c r="W804" i="8" s="1"/>
  <c r="U804" i="8"/>
  <c r="T804" i="8"/>
  <c r="R804" i="8"/>
  <c r="S804" i="8" s="1"/>
  <c r="N804" i="8"/>
  <c r="M804" i="8"/>
  <c r="O804" i="8" s="1"/>
  <c r="L804" i="8"/>
  <c r="H804" i="8"/>
  <c r="G804" i="8"/>
  <c r="AH803" i="8"/>
  <c r="AG803" i="8"/>
  <c r="AE803" i="8"/>
  <c r="Y803" i="8"/>
  <c r="W803" i="8"/>
  <c r="V803" i="8"/>
  <c r="U803" i="8"/>
  <c r="T803" i="8"/>
  <c r="R803" i="8"/>
  <c r="P803" i="8"/>
  <c r="Z803" i="8" s="1"/>
  <c r="N803" i="8"/>
  <c r="M803" i="8"/>
  <c r="O803" i="8" s="1"/>
  <c r="L803" i="8"/>
  <c r="H803" i="8"/>
  <c r="G803" i="8"/>
  <c r="AH802" i="8"/>
  <c r="AG802" i="8"/>
  <c r="AE802" i="8"/>
  <c r="Y802" i="8"/>
  <c r="W802" i="8"/>
  <c r="V802" i="8"/>
  <c r="U802" i="8"/>
  <c r="T802" i="8"/>
  <c r="R802" i="8"/>
  <c r="S802" i="8" s="1"/>
  <c r="N802" i="8"/>
  <c r="M802" i="8"/>
  <c r="O802" i="8" s="1"/>
  <c r="L802" i="8"/>
  <c r="H802" i="8"/>
  <c r="G802" i="8"/>
  <c r="AH801" i="8"/>
  <c r="AG801" i="8"/>
  <c r="AE801" i="8"/>
  <c r="Y801" i="8"/>
  <c r="V801" i="8"/>
  <c r="Z801" i="8" s="1"/>
  <c r="U801" i="8"/>
  <c r="T801" i="8"/>
  <c r="R801" i="8"/>
  <c r="S801" i="8" s="1"/>
  <c r="P801" i="8"/>
  <c r="N801" i="8"/>
  <c r="M801" i="8"/>
  <c r="O801" i="8" s="1"/>
  <c r="L801" i="8"/>
  <c r="H801" i="8"/>
  <c r="G801" i="8"/>
  <c r="AH800" i="8"/>
  <c r="AG800" i="8"/>
  <c r="AE800" i="8"/>
  <c r="Y800" i="8"/>
  <c r="W800" i="8"/>
  <c r="AA800" i="8" s="1"/>
  <c r="V800" i="8"/>
  <c r="Z800" i="8" s="1"/>
  <c r="U800" i="8"/>
  <c r="T800" i="8"/>
  <c r="R800" i="8"/>
  <c r="S800" i="8" s="1"/>
  <c r="P800" i="8"/>
  <c r="N800" i="8"/>
  <c r="M800" i="8"/>
  <c r="O800" i="8" s="1"/>
  <c r="L800" i="8"/>
  <c r="H800" i="8"/>
  <c r="G800" i="8"/>
  <c r="AH799" i="8"/>
  <c r="AG799" i="8"/>
  <c r="AE799" i="8"/>
  <c r="Y799" i="8"/>
  <c r="V799" i="8"/>
  <c r="W799" i="8" s="1"/>
  <c r="U799" i="8"/>
  <c r="T799" i="8"/>
  <c r="R799" i="8"/>
  <c r="N799" i="8"/>
  <c r="M799" i="8"/>
  <c r="O799" i="8" s="1"/>
  <c r="L799" i="8"/>
  <c r="H799" i="8"/>
  <c r="G799" i="8"/>
  <c r="AH798" i="8"/>
  <c r="AG798" i="8"/>
  <c r="AE798" i="8"/>
  <c r="Y798" i="8"/>
  <c r="W798" i="8"/>
  <c r="V798" i="8"/>
  <c r="U798" i="8"/>
  <c r="T798" i="8"/>
  <c r="R798" i="8"/>
  <c r="P798" i="8"/>
  <c r="Z798" i="8" s="1"/>
  <c r="N798" i="8"/>
  <c r="M798" i="8"/>
  <c r="O798" i="8" s="1"/>
  <c r="S798" i="8" s="1"/>
  <c r="L798" i="8"/>
  <c r="H798" i="8"/>
  <c r="G798" i="8"/>
  <c r="AH797" i="8"/>
  <c r="AG797" i="8"/>
  <c r="AE797" i="8"/>
  <c r="AA797" i="8"/>
  <c r="Y797" i="8"/>
  <c r="W797" i="8"/>
  <c r="V797" i="8"/>
  <c r="U797" i="8"/>
  <c r="T797" i="8"/>
  <c r="R797" i="8"/>
  <c r="S797" i="8" s="1"/>
  <c r="P797" i="8"/>
  <c r="Z797" i="8" s="1"/>
  <c r="N797" i="8"/>
  <c r="M797" i="8"/>
  <c r="O797" i="8" s="1"/>
  <c r="L797" i="8"/>
  <c r="H797" i="8"/>
  <c r="G797" i="8"/>
  <c r="AH796" i="8"/>
  <c r="AG796" i="8"/>
  <c r="AE796" i="8"/>
  <c r="Y796" i="8"/>
  <c r="W796" i="8"/>
  <c r="V796" i="8"/>
  <c r="U796" i="8"/>
  <c r="T796" i="8"/>
  <c r="R796" i="8"/>
  <c r="N796" i="8"/>
  <c r="M796" i="8"/>
  <c r="O796" i="8" s="1"/>
  <c r="S796" i="8" s="1"/>
  <c r="L796" i="8"/>
  <c r="H796" i="8"/>
  <c r="G796" i="8"/>
  <c r="AH795" i="8"/>
  <c r="AG795" i="8"/>
  <c r="AE795" i="8"/>
  <c r="Y795" i="8"/>
  <c r="V795" i="8"/>
  <c r="U795" i="8"/>
  <c r="T795" i="8"/>
  <c r="R795" i="8"/>
  <c r="S795" i="8" s="1"/>
  <c r="N795" i="8"/>
  <c r="M795" i="8"/>
  <c r="O795" i="8" s="1"/>
  <c r="L795" i="8"/>
  <c r="H795" i="8"/>
  <c r="G795" i="8"/>
  <c r="AH794" i="8"/>
  <c r="AG794" i="8"/>
  <c r="AE794" i="8"/>
  <c r="Y794" i="8"/>
  <c r="V794" i="8"/>
  <c r="W794" i="8" s="1"/>
  <c r="AA794" i="8" s="1"/>
  <c r="U794" i="8"/>
  <c r="T794" i="8"/>
  <c r="S794" i="8"/>
  <c r="R794" i="8"/>
  <c r="P794" i="8"/>
  <c r="Z794" i="8" s="1"/>
  <c r="N794" i="8"/>
  <c r="M794" i="8"/>
  <c r="O794" i="8" s="1"/>
  <c r="L794" i="8"/>
  <c r="H794" i="8"/>
  <c r="G794" i="8"/>
  <c r="AH793" i="8"/>
  <c r="AG793" i="8"/>
  <c r="AE793" i="8"/>
  <c r="Y793" i="8"/>
  <c r="V793" i="8"/>
  <c r="W793" i="8" s="1"/>
  <c r="U793" i="8"/>
  <c r="T793" i="8"/>
  <c r="S793" i="8"/>
  <c r="R793" i="8"/>
  <c r="N793" i="8"/>
  <c r="M793" i="8"/>
  <c r="O793" i="8" s="1"/>
  <c r="L793" i="8"/>
  <c r="H793" i="8"/>
  <c r="G793" i="8"/>
  <c r="AH792" i="8"/>
  <c r="AG792" i="8"/>
  <c r="AE792" i="8"/>
  <c r="Y792" i="8"/>
  <c r="V792" i="8"/>
  <c r="W792" i="8" s="1"/>
  <c r="AA792" i="8" s="1"/>
  <c r="U792" i="8"/>
  <c r="T792" i="8"/>
  <c r="S792" i="8"/>
  <c r="R792" i="8"/>
  <c r="P792" i="8"/>
  <c r="Z792" i="8" s="1"/>
  <c r="N792" i="8"/>
  <c r="M792" i="8"/>
  <c r="O792" i="8" s="1"/>
  <c r="L792" i="8"/>
  <c r="H792" i="8"/>
  <c r="G792" i="8"/>
  <c r="AH791" i="8"/>
  <c r="AG791" i="8"/>
  <c r="AE791" i="8"/>
  <c r="Y791" i="8"/>
  <c r="V791" i="8"/>
  <c r="Z791" i="8" s="1"/>
  <c r="U791" i="8"/>
  <c r="T791" i="8"/>
  <c r="S791" i="8"/>
  <c r="R791" i="8"/>
  <c r="P791" i="8"/>
  <c r="N791" i="8"/>
  <c r="M791" i="8"/>
  <c r="O791" i="8" s="1"/>
  <c r="L791" i="8"/>
  <c r="H791" i="8"/>
  <c r="G791" i="8"/>
  <c r="AH790" i="8"/>
  <c r="AG790" i="8"/>
  <c r="AE790" i="8"/>
  <c r="Y790" i="8"/>
  <c r="W790" i="8"/>
  <c r="AA790" i="8" s="1"/>
  <c r="V790" i="8"/>
  <c r="U790" i="8"/>
  <c r="T790" i="8"/>
  <c r="R790" i="8"/>
  <c r="P790" i="8"/>
  <c r="Z790" i="8" s="1"/>
  <c r="N790" i="8"/>
  <c r="M790" i="8"/>
  <c r="O790" i="8" s="1"/>
  <c r="S790" i="8" s="1"/>
  <c r="L790" i="8"/>
  <c r="H790" i="8"/>
  <c r="G790" i="8"/>
  <c r="AH789" i="8"/>
  <c r="AG789" i="8"/>
  <c r="AE789" i="8"/>
  <c r="AA789" i="8"/>
  <c r="Y789" i="8"/>
  <c r="W789" i="8"/>
  <c r="V789" i="8"/>
  <c r="U789" i="8"/>
  <c r="T789" i="8"/>
  <c r="R789" i="8"/>
  <c r="S789" i="8" s="1"/>
  <c r="P789" i="8"/>
  <c r="Z789" i="8" s="1"/>
  <c r="N789" i="8"/>
  <c r="M789" i="8"/>
  <c r="O789" i="8" s="1"/>
  <c r="L789" i="8"/>
  <c r="H789" i="8"/>
  <c r="G789" i="8"/>
  <c r="AH788" i="8"/>
  <c r="AG788" i="8"/>
  <c r="AE788" i="8"/>
  <c r="Y788" i="8"/>
  <c r="W788" i="8"/>
  <c r="V788" i="8"/>
  <c r="U788" i="8"/>
  <c r="T788" i="8"/>
  <c r="R788" i="8"/>
  <c r="N788" i="8"/>
  <c r="M788" i="8"/>
  <c r="O788" i="8" s="1"/>
  <c r="S788" i="8" s="1"/>
  <c r="L788" i="8"/>
  <c r="H788" i="8"/>
  <c r="G788" i="8"/>
  <c r="AH787" i="8"/>
  <c r="AG787" i="8"/>
  <c r="AE787" i="8"/>
  <c r="Y787" i="8"/>
  <c r="V787" i="8"/>
  <c r="U787" i="8"/>
  <c r="T787" i="8"/>
  <c r="R787" i="8"/>
  <c r="S787" i="8" s="1"/>
  <c r="N787" i="8"/>
  <c r="M787" i="8"/>
  <c r="O787" i="8" s="1"/>
  <c r="L787" i="8"/>
  <c r="H787" i="8"/>
  <c r="G787" i="8"/>
  <c r="AH786" i="8"/>
  <c r="AG786" i="8"/>
  <c r="AE786" i="8"/>
  <c r="Y786" i="8"/>
  <c r="V786" i="8"/>
  <c r="W786" i="8" s="1"/>
  <c r="AA786" i="8" s="1"/>
  <c r="U786" i="8"/>
  <c r="T786" i="8"/>
  <c r="S786" i="8"/>
  <c r="R786" i="8"/>
  <c r="P786" i="8"/>
  <c r="Z786" i="8" s="1"/>
  <c r="N786" i="8"/>
  <c r="M786" i="8"/>
  <c r="O786" i="8" s="1"/>
  <c r="L786" i="8"/>
  <c r="H786" i="8"/>
  <c r="G786" i="8"/>
  <c r="AH785" i="8"/>
  <c r="AG785" i="8"/>
  <c r="AE785" i="8"/>
  <c r="Y785" i="8"/>
  <c r="V785" i="8"/>
  <c r="W785" i="8" s="1"/>
  <c r="U785" i="8"/>
  <c r="T785" i="8"/>
  <c r="S785" i="8"/>
  <c r="R785" i="8"/>
  <c r="N785" i="8"/>
  <c r="M785" i="8"/>
  <c r="O785" i="8" s="1"/>
  <c r="L785" i="8"/>
  <c r="H785" i="8"/>
  <c r="G785" i="8"/>
  <c r="AH784" i="8"/>
  <c r="AG784" i="8"/>
  <c r="AE784" i="8"/>
  <c r="Y784" i="8"/>
  <c r="V784" i="8"/>
  <c r="W784" i="8" s="1"/>
  <c r="AA784" i="8" s="1"/>
  <c r="U784" i="8"/>
  <c r="T784" i="8"/>
  <c r="S784" i="8"/>
  <c r="R784" i="8"/>
  <c r="P784" i="8"/>
  <c r="Z784" i="8" s="1"/>
  <c r="N784" i="8"/>
  <c r="M784" i="8"/>
  <c r="O784" i="8" s="1"/>
  <c r="L784" i="8"/>
  <c r="H784" i="8"/>
  <c r="G784" i="8"/>
  <c r="AH783" i="8"/>
  <c r="AG783" i="8"/>
  <c r="AE783" i="8"/>
  <c r="Y783" i="8"/>
  <c r="V783" i="8"/>
  <c r="Z783" i="8" s="1"/>
  <c r="U783" i="8"/>
  <c r="T783" i="8"/>
  <c r="S783" i="8"/>
  <c r="R783" i="8"/>
  <c r="P783" i="8"/>
  <c r="N783" i="8"/>
  <c r="M783" i="8"/>
  <c r="O783" i="8" s="1"/>
  <c r="L783" i="8"/>
  <c r="H783" i="8"/>
  <c r="G783" i="8"/>
  <c r="AH782" i="8"/>
  <c r="AG782" i="8"/>
  <c r="AE782" i="8"/>
  <c r="Y782" i="8"/>
  <c r="W782" i="8"/>
  <c r="AA782" i="8" s="1"/>
  <c r="V782" i="8"/>
  <c r="U782" i="8"/>
  <c r="T782" i="8"/>
  <c r="P782" i="8"/>
  <c r="Z782" i="8" s="1"/>
  <c r="M782" i="8"/>
  <c r="O782" i="8" s="1"/>
  <c r="L782" i="8"/>
  <c r="H782" i="8"/>
  <c r="N782" i="8" s="1"/>
  <c r="G782" i="8"/>
  <c r="AH781" i="8"/>
  <c r="AG781" i="8"/>
  <c r="AE781" i="8"/>
  <c r="Y781" i="8"/>
  <c r="V781" i="8"/>
  <c r="W781" i="8" s="1"/>
  <c r="AA781" i="8" s="1"/>
  <c r="U781" i="8"/>
  <c r="T781" i="8"/>
  <c r="P781" i="8"/>
  <c r="Z781" i="8" s="1"/>
  <c r="M781" i="8"/>
  <c r="L781" i="8"/>
  <c r="H781" i="8"/>
  <c r="R781" i="8" s="1"/>
  <c r="G781" i="8"/>
  <c r="AH780" i="8"/>
  <c r="AG780" i="8"/>
  <c r="AE780" i="8"/>
  <c r="Y780" i="8"/>
  <c r="V780" i="8"/>
  <c r="W780" i="8" s="1"/>
  <c r="AA780" i="8" s="1"/>
  <c r="U780" i="8"/>
  <c r="T780" i="8"/>
  <c r="P780" i="8"/>
  <c r="Z780" i="8" s="1"/>
  <c r="M780" i="8"/>
  <c r="O780" i="8" s="1"/>
  <c r="L780" i="8"/>
  <c r="H780" i="8"/>
  <c r="N780" i="8" s="1"/>
  <c r="G780" i="8"/>
  <c r="AH779" i="8"/>
  <c r="AG779" i="8"/>
  <c r="AE779" i="8"/>
  <c r="Y779" i="8"/>
  <c r="V779" i="8"/>
  <c r="W779" i="8" s="1"/>
  <c r="AA779" i="8" s="1"/>
  <c r="U779" i="8"/>
  <c r="T779" i="8"/>
  <c r="P779" i="8"/>
  <c r="Z779" i="8" s="1"/>
  <c r="M779" i="8"/>
  <c r="L779" i="8"/>
  <c r="H779" i="8"/>
  <c r="R779" i="8" s="1"/>
  <c r="G779" i="8"/>
  <c r="AH778" i="8"/>
  <c r="AG778" i="8"/>
  <c r="AE778" i="8"/>
  <c r="Y778" i="8"/>
  <c r="V778" i="8"/>
  <c r="W778" i="8" s="1"/>
  <c r="AA778" i="8" s="1"/>
  <c r="U778" i="8"/>
  <c r="T778" i="8"/>
  <c r="P778" i="8"/>
  <c r="Z778" i="8" s="1"/>
  <c r="M778" i="8"/>
  <c r="O778" i="8" s="1"/>
  <c r="L778" i="8"/>
  <c r="H778" i="8"/>
  <c r="N778" i="8" s="1"/>
  <c r="G778" i="8"/>
  <c r="AH777" i="8"/>
  <c r="AG777" i="8"/>
  <c r="AE777" i="8"/>
  <c r="Y777" i="8"/>
  <c r="V777" i="8"/>
  <c r="W777" i="8" s="1"/>
  <c r="AA777" i="8" s="1"/>
  <c r="U777" i="8"/>
  <c r="T777" i="8"/>
  <c r="P777" i="8"/>
  <c r="Z777" i="8" s="1"/>
  <c r="M777" i="8"/>
  <c r="L777" i="8"/>
  <c r="H777" i="8"/>
  <c r="R777" i="8" s="1"/>
  <c r="G777" i="8"/>
  <c r="AH776" i="8"/>
  <c r="AG776" i="8"/>
  <c r="AE776" i="8"/>
  <c r="Y776" i="8"/>
  <c r="V776" i="8"/>
  <c r="W776" i="8" s="1"/>
  <c r="AA776" i="8" s="1"/>
  <c r="U776" i="8"/>
  <c r="T776" i="8"/>
  <c r="P776" i="8"/>
  <c r="Z776" i="8" s="1"/>
  <c r="M776" i="8"/>
  <c r="O776" i="8" s="1"/>
  <c r="L776" i="8"/>
  <c r="H776" i="8"/>
  <c r="N776" i="8" s="1"/>
  <c r="G776" i="8"/>
  <c r="AH775" i="8"/>
  <c r="AG775" i="8"/>
  <c r="AE775" i="8"/>
  <c r="Y775" i="8"/>
  <c r="V775" i="8"/>
  <c r="Z775" i="8" s="1"/>
  <c r="U775" i="8"/>
  <c r="T775" i="8"/>
  <c r="P775" i="8"/>
  <c r="M775" i="8"/>
  <c r="L775" i="8"/>
  <c r="H775" i="8"/>
  <c r="R775" i="8" s="1"/>
  <c r="G775" i="8"/>
  <c r="AH774" i="8"/>
  <c r="AG774" i="8"/>
  <c r="AE774" i="8"/>
  <c r="Y774" i="8"/>
  <c r="V774" i="8"/>
  <c r="Z774" i="8" s="1"/>
  <c r="U774" i="8"/>
  <c r="T774" i="8"/>
  <c r="R774" i="8"/>
  <c r="S774" i="8" s="1"/>
  <c r="P774" i="8"/>
  <c r="M774" i="8"/>
  <c r="O774" i="8" s="1"/>
  <c r="L774" i="8"/>
  <c r="H774" i="8"/>
  <c r="N774" i="8" s="1"/>
  <c r="G774" i="8"/>
  <c r="AH773" i="8"/>
  <c r="AG773" i="8"/>
  <c r="AE773" i="8"/>
  <c r="Y773" i="8"/>
  <c r="V773" i="8"/>
  <c r="Z773" i="8" s="1"/>
  <c r="U773" i="8"/>
  <c r="T773" i="8"/>
  <c r="R773" i="8"/>
  <c r="P773" i="8"/>
  <c r="M773" i="8"/>
  <c r="L773" i="8"/>
  <c r="H773" i="8"/>
  <c r="N773" i="8" s="1"/>
  <c r="G773" i="8"/>
  <c r="AH772" i="8"/>
  <c r="AG772" i="8"/>
  <c r="AE772" i="8"/>
  <c r="Y772" i="8"/>
  <c r="V772" i="8"/>
  <c r="Z772" i="8" s="1"/>
  <c r="U772" i="8"/>
  <c r="T772" i="8"/>
  <c r="R772" i="8"/>
  <c r="S772" i="8" s="1"/>
  <c r="P772" i="8"/>
  <c r="M772" i="8"/>
  <c r="O772" i="8" s="1"/>
  <c r="L772" i="8"/>
  <c r="H772" i="8"/>
  <c r="N772" i="8" s="1"/>
  <c r="G772" i="8"/>
  <c r="AH771" i="8"/>
  <c r="AG771" i="8"/>
  <c r="AE771" i="8"/>
  <c r="Y771" i="8"/>
  <c r="V771" i="8"/>
  <c r="Z771" i="8" s="1"/>
  <c r="U771" i="8"/>
  <c r="T771" i="8"/>
  <c r="R771" i="8"/>
  <c r="P771" i="8"/>
  <c r="M771" i="8"/>
  <c r="L771" i="8"/>
  <c r="H771" i="8"/>
  <c r="N771" i="8" s="1"/>
  <c r="G771" i="8"/>
  <c r="AH770" i="8"/>
  <c r="AG770" i="8"/>
  <c r="AE770" i="8"/>
  <c r="Y770" i="8"/>
  <c r="V770" i="8"/>
  <c r="Z770" i="8" s="1"/>
  <c r="U770" i="8"/>
  <c r="T770" i="8"/>
  <c r="R770" i="8"/>
  <c r="S770" i="8" s="1"/>
  <c r="P770" i="8"/>
  <c r="M770" i="8"/>
  <c r="O770" i="8" s="1"/>
  <c r="L770" i="8"/>
  <c r="H770" i="8"/>
  <c r="N770" i="8" s="1"/>
  <c r="G770" i="8"/>
  <c r="AH769" i="8"/>
  <c r="AG769" i="8"/>
  <c r="AE769" i="8"/>
  <c r="Y769" i="8"/>
  <c r="V769" i="8"/>
  <c r="U769" i="8"/>
  <c r="T769" i="8"/>
  <c r="R769" i="8"/>
  <c r="M769" i="8"/>
  <c r="L769" i="8"/>
  <c r="H769" i="8"/>
  <c r="N769" i="8" s="1"/>
  <c r="G769" i="8"/>
  <c r="AH768" i="8"/>
  <c r="AG768" i="8"/>
  <c r="AE768" i="8"/>
  <c r="Y768" i="8"/>
  <c r="V768" i="8"/>
  <c r="Z768" i="8" s="1"/>
  <c r="U768" i="8"/>
  <c r="T768" i="8"/>
  <c r="R768" i="8"/>
  <c r="S768" i="8" s="1"/>
  <c r="P768" i="8"/>
  <c r="M768" i="8"/>
  <c r="O768" i="8" s="1"/>
  <c r="L768" i="8"/>
  <c r="H768" i="8"/>
  <c r="N768" i="8" s="1"/>
  <c r="G768" i="8"/>
  <c r="AH767" i="8"/>
  <c r="AG767" i="8"/>
  <c r="AE767" i="8"/>
  <c r="Y767" i="8"/>
  <c r="V767" i="8"/>
  <c r="U767" i="8"/>
  <c r="T767" i="8"/>
  <c r="R767" i="8"/>
  <c r="M767" i="8"/>
  <c r="L767" i="8"/>
  <c r="H767" i="8"/>
  <c r="N767" i="8" s="1"/>
  <c r="G767" i="8"/>
  <c r="AH766" i="8"/>
  <c r="AG766" i="8"/>
  <c r="AE766" i="8"/>
  <c r="Y766" i="8"/>
  <c r="V766" i="8"/>
  <c r="U766" i="8"/>
  <c r="T766" i="8"/>
  <c r="R766" i="8"/>
  <c r="S766" i="8" s="1"/>
  <c r="M766" i="8"/>
  <c r="O766" i="8" s="1"/>
  <c r="L766" i="8"/>
  <c r="H766" i="8"/>
  <c r="N766" i="8" s="1"/>
  <c r="G766" i="8"/>
  <c r="AH765" i="8"/>
  <c r="AG765" i="8"/>
  <c r="AE765" i="8"/>
  <c r="Y765" i="8"/>
  <c r="V765" i="8"/>
  <c r="U765" i="8"/>
  <c r="T765" i="8"/>
  <c r="R765" i="8"/>
  <c r="M765" i="8"/>
  <c r="L765" i="8"/>
  <c r="H765" i="8"/>
  <c r="N765" i="8" s="1"/>
  <c r="G765" i="8"/>
  <c r="AH764" i="8"/>
  <c r="AG764" i="8"/>
  <c r="AE764" i="8"/>
  <c r="Y764" i="8"/>
  <c r="V764" i="8"/>
  <c r="U764" i="8"/>
  <c r="T764" i="8"/>
  <c r="R764" i="8"/>
  <c r="S764" i="8" s="1"/>
  <c r="M764" i="8"/>
  <c r="O764" i="8" s="1"/>
  <c r="L764" i="8"/>
  <c r="H764" i="8"/>
  <c r="N764" i="8" s="1"/>
  <c r="G764" i="8"/>
  <c r="AH763" i="8"/>
  <c r="AG763" i="8"/>
  <c r="AE763" i="8"/>
  <c r="Y763" i="8"/>
  <c r="V763" i="8"/>
  <c r="U763" i="8"/>
  <c r="T763" i="8"/>
  <c r="R763" i="8"/>
  <c r="M763" i="8"/>
  <c r="L763" i="8"/>
  <c r="H763" i="8"/>
  <c r="N763" i="8" s="1"/>
  <c r="G763" i="8"/>
  <c r="AH762" i="8"/>
  <c r="AG762" i="8"/>
  <c r="AE762" i="8"/>
  <c r="Y762" i="8"/>
  <c r="V762" i="8"/>
  <c r="U762" i="8"/>
  <c r="T762" i="8"/>
  <c r="R762" i="8"/>
  <c r="S762" i="8" s="1"/>
  <c r="M762" i="8"/>
  <c r="O762" i="8" s="1"/>
  <c r="L762" i="8"/>
  <c r="H762" i="8"/>
  <c r="N762" i="8" s="1"/>
  <c r="G762" i="8"/>
  <c r="AH761" i="8"/>
  <c r="AG761" i="8"/>
  <c r="AE761" i="8"/>
  <c r="Y761" i="8"/>
  <c r="V761" i="8"/>
  <c r="U761" i="8"/>
  <c r="T761" i="8"/>
  <c r="R761" i="8"/>
  <c r="M761" i="8"/>
  <c r="L761" i="8"/>
  <c r="H761" i="8"/>
  <c r="N761" i="8" s="1"/>
  <c r="G761" i="8"/>
  <c r="AH760" i="8"/>
  <c r="AG760" i="8"/>
  <c r="AE760" i="8"/>
  <c r="Y760" i="8"/>
  <c r="V760" i="8"/>
  <c r="U760" i="8"/>
  <c r="T760" i="8"/>
  <c r="R760" i="8"/>
  <c r="S760" i="8" s="1"/>
  <c r="M760" i="8"/>
  <c r="O760" i="8" s="1"/>
  <c r="L760" i="8"/>
  <c r="H760" i="8"/>
  <c r="N760" i="8" s="1"/>
  <c r="G760" i="8"/>
  <c r="AH759" i="8"/>
  <c r="AG759" i="8"/>
  <c r="AE759" i="8"/>
  <c r="Y759" i="8"/>
  <c r="V759" i="8"/>
  <c r="U759" i="8"/>
  <c r="T759" i="8"/>
  <c r="R759" i="8"/>
  <c r="M759" i="8"/>
  <c r="L759" i="8"/>
  <c r="H759" i="8"/>
  <c r="N759" i="8" s="1"/>
  <c r="G759" i="8"/>
  <c r="AH758" i="8"/>
  <c r="AG758" i="8"/>
  <c r="AE758" i="8"/>
  <c r="Y758" i="8"/>
  <c r="V758" i="8"/>
  <c r="U758" i="8"/>
  <c r="T758" i="8"/>
  <c r="R758" i="8"/>
  <c r="S758" i="8" s="1"/>
  <c r="M758" i="8"/>
  <c r="O758" i="8" s="1"/>
  <c r="L758" i="8"/>
  <c r="H758" i="8"/>
  <c r="N758" i="8" s="1"/>
  <c r="G758" i="8"/>
  <c r="AH757" i="8"/>
  <c r="AG757" i="8"/>
  <c r="AE757" i="8"/>
  <c r="Y757" i="8"/>
  <c r="V757" i="8"/>
  <c r="U757" i="8"/>
  <c r="T757" i="8"/>
  <c r="R757" i="8"/>
  <c r="M757" i="8"/>
  <c r="L757" i="8"/>
  <c r="H757" i="8"/>
  <c r="N757" i="8" s="1"/>
  <c r="G757" i="8"/>
  <c r="AH756" i="8"/>
  <c r="AG756" i="8"/>
  <c r="AE756" i="8"/>
  <c r="Y756" i="8"/>
  <c r="V756" i="8"/>
  <c r="U756" i="8"/>
  <c r="T756" i="8"/>
  <c r="R756" i="8"/>
  <c r="S756" i="8" s="1"/>
  <c r="M756" i="8"/>
  <c r="O756" i="8" s="1"/>
  <c r="L756" i="8"/>
  <c r="H756" i="8"/>
  <c r="N756" i="8" s="1"/>
  <c r="G756" i="8"/>
  <c r="AH755" i="8"/>
  <c r="AG755" i="8"/>
  <c r="AE755" i="8"/>
  <c r="Y755" i="8"/>
  <c r="V755" i="8"/>
  <c r="U755" i="8"/>
  <c r="T755" i="8"/>
  <c r="R755" i="8"/>
  <c r="M755" i="8"/>
  <c r="L755" i="8"/>
  <c r="H755" i="8"/>
  <c r="N755" i="8" s="1"/>
  <c r="G755" i="8"/>
  <c r="AH754" i="8"/>
  <c r="AG754" i="8"/>
  <c r="AE754" i="8"/>
  <c r="Y754" i="8"/>
  <c r="V754" i="8"/>
  <c r="U754" i="8"/>
  <c r="T754" i="8"/>
  <c r="R754" i="8"/>
  <c r="S754" i="8" s="1"/>
  <c r="M754" i="8"/>
  <c r="O754" i="8" s="1"/>
  <c r="L754" i="8"/>
  <c r="H754" i="8"/>
  <c r="N754" i="8" s="1"/>
  <c r="G754" i="8"/>
  <c r="AH753" i="8"/>
  <c r="AG753" i="8"/>
  <c r="AE753" i="8"/>
  <c r="Y753" i="8"/>
  <c r="V753" i="8"/>
  <c r="U753" i="8"/>
  <c r="T753" i="8"/>
  <c r="R753" i="8"/>
  <c r="M753" i="8"/>
  <c r="L753" i="8"/>
  <c r="H753" i="8"/>
  <c r="N753" i="8" s="1"/>
  <c r="G753" i="8"/>
  <c r="AH752" i="8"/>
  <c r="AG752" i="8"/>
  <c r="AE752" i="8"/>
  <c r="Y752" i="8"/>
  <c r="V752" i="8"/>
  <c r="U752" i="8"/>
  <c r="T752" i="8"/>
  <c r="R752" i="8"/>
  <c r="S752" i="8" s="1"/>
  <c r="M752" i="8"/>
  <c r="O752" i="8" s="1"/>
  <c r="L752" i="8"/>
  <c r="H752" i="8"/>
  <c r="N752" i="8" s="1"/>
  <c r="G752" i="8"/>
  <c r="AH751" i="8"/>
  <c r="AG751" i="8"/>
  <c r="AE751" i="8"/>
  <c r="Y751" i="8"/>
  <c r="V751" i="8"/>
  <c r="U751" i="8"/>
  <c r="T751" i="8"/>
  <c r="R751" i="8"/>
  <c r="S751" i="8" s="1"/>
  <c r="M751" i="8"/>
  <c r="O751" i="8" s="1"/>
  <c r="L751" i="8"/>
  <c r="H751" i="8"/>
  <c r="N751" i="8" s="1"/>
  <c r="G751" i="8"/>
  <c r="AH750" i="8"/>
  <c r="AG750" i="8"/>
  <c r="AE750" i="8"/>
  <c r="Y750" i="8"/>
  <c r="V750" i="8"/>
  <c r="U750" i="8"/>
  <c r="T750" i="8"/>
  <c r="R750" i="8"/>
  <c r="S750" i="8" s="1"/>
  <c r="N750" i="8"/>
  <c r="M750" i="8"/>
  <c r="O750" i="8" s="1"/>
  <c r="L750" i="8"/>
  <c r="H750" i="8"/>
  <c r="G750" i="8"/>
  <c r="AH749" i="8"/>
  <c r="AG749" i="8"/>
  <c r="AE749" i="8"/>
  <c r="Y749" i="8"/>
  <c r="V749" i="8"/>
  <c r="U749" i="8"/>
  <c r="T749" i="8"/>
  <c r="R749" i="8"/>
  <c r="S749" i="8" s="1"/>
  <c r="M749" i="8"/>
  <c r="O749" i="8" s="1"/>
  <c r="L749" i="8"/>
  <c r="H749" i="8"/>
  <c r="N749" i="8" s="1"/>
  <c r="G749" i="8"/>
  <c r="AH748" i="8"/>
  <c r="AG748" i="8"/>
  <c r="AE748" i="8"/>
  <c r="Y748" i="8"/>
  <c r="V748" i="8"/>
  <c r="U748" i="8"/>
  <c r="T748" i="8"/>
  <c r="R748" i="8"/>
  <c r="S748" i="8" s="1"/>
  <c r="N748" i="8"/>
  <c r="M748" i="8"/>
  <c r="O748" i="8" s="1"/>
  <c r="L748" i="8"/>
  <c r="H748" i="8"/>
  <c r="G748" i="8"/>
  <c r="AH747" i="8"/>
  <c r="AG747" i="8"/>
  <c r="AE747" i="8"/>
  <c r="Y747" i="8"/>
  <c r="V747" i="8"/>
  <c r="U747" i="8"/>
  <c r="T747" i="8"/>
  <c r="R747" i="8"/>
  <c r="S747" i="8" s="1"/>
  <c r="M747" i="8"/>
  <c r="O747" i="8" s="1"/>
  <c r="L747" i="8"/>
  <c r="H747" i="8"/>
  <c r="N747" i="8" s="1"/>
  <c r="G747" i="8"/>
  <c r="AH746" i="8"/>
  <c r="AG746" i="8"/>
  <c r="AE746" i="8"/>
  <c r="Y746" i="8"/>
  <c r="V746" i="8"/>
  <c r="U746" i="8"/>
  <c r="T746" i="8"/>
  <c r="R746" i="8"/>
  <c r="S746" i="8" s="1"/>
  <c r="N746" i="8"/>
  <c r="M746" i="8"/>
  <c r="O746" i="8" s="1"/>
  <c r="L746" i="8"/>
  <c r="H746" i="8"/>
  <c r="G746" i="8"/>
  <c r="AH745" i="8"/>
  <c r="AG745" i="8"/>
  <c r="AE745" i="8"/>
  <c r="Y745" i="8"/>
  <c r="V745" i="8"/>
  <c r="U745" i="8"/>
  <c r="T745" i="8"/>
  <c r="R745" i="8"/>
  <c r="S745" i="8" s="1"/>
  <c r="M745" i="8"/>
  <c r="O745" i="8" s="1"/>
  <c r="L745" i="8"/>
  <c r="H745" i="8"/>
  <c r="N745" i="8" s="1"/>
  <c r="G745" i="8"/>
  <c r="AH744" i="8"/>
  <c r="AG744" i="8"/>
  <c r="AE744" i="8"/>
  <c r="Y744" i="8"/>
  <c r="V744" i="8"/>
  <c r="U744" i="8"/>
  <c r="T744" i="8"/>
  <c r="R744" i="8"/>
  <c r="N744" i="8"/>
  <c r="M744" i="8"/>
  <c r="L744" i="8"/>
  <c r="H744" i="8"/>
  <c r="G744" i="8"/>
  <c r="AH743" i="8"/>
  <c r="AG743" i="8"/>
  <c r="AE743" i="8"/>
  <c r="Y743" i="8"/>
  <c r="V743" i="8"/>
  <c r="W743" i="8" s="1"/>
  <c r="AA743" i="8" s="1"/>
  <c r="U743" i="8"/>
  <c r="T743" i="8"/>
  <c r="R743" i="8"/>
  <c r="P743" i="8"/>
  <c r="N743" i="8"/>
  <c r="M743" i="8"/>
  <c r="O743" i="8" s="1"/>
  <c r="L743" i="8"/>
  <c r="H743" i="8"/>
  <c r="G743" i="8"/>
  <c r="AH742" i="8"/>
  <c r="AG742" i="8"/>
  <c r="AE742" i="8"/>
  <c r="Y742" i="8"/>
  <c r="X742" i="8"/>
  <c r="AB742" i="8" s="1"/>
  <c r="W742" i="8"/>
  <c r="AA742" i="8" s="1"/>
  <c r="V742" i="8"/>
  <c r="U742" i="8"/>
  <c r="T742" i="8"/>
  <c r="P742" i="8"/>
  <c r="Z742" i="8" s="1"/>
  <c r="O742" i="8"/>
  <c r="M742" i="8"/>
  <c r="L742" i="8"/>
  <c r="H742" i="8"/>
  <c r="G742" i="8"/>
  <c r="AH741" i="8"/>
  <c r="AG741" i="8"/>
  <c r="AE741" i="8"/>
  <c r="Y741" i="8"/>
  <c r="W741" i="8"/>
  <c r="V741" i="8"/>
  <c r="U741" i="8"/>
  <c r="T741" i="8"/>
  <c r="N741" i="8"/>
  <c r="M741" i="8"/>
  <c r="P741" i="8" s="1"/>
  <c r="AA741" i="8" s="1"/>
  <c r="L741" i="8"/>
  <c r="H741" i="8"/>
  <c r="R741" i="8" s="1"/>
  <c r="G741" i="8"/>
  <c r="AH740" i="8"/>
  <c r="AG740" i="8"/>
  <c r="AE740" i="8"/>
  <c r="Y740" i="8"/>
  <c r="V740" i="8"/>
  <c r="W740" i="8" s="1"/>
  <c r="U740" i="8"/>
  <c r="T740" i="8"/>
  <c r="R740" i="8"/>
  <c r="N740" i="8"/>
  <c r="M740" i="8"/>
  <c r="L740" i="8"/>
  <c r="H740" i="8"/>
  <c r="G740" i="8"/>
  <c r="AH739" i="8"/>
  <c r="AG739" i="8"/>
  <c r="AE739" i="8"/>
  <c r="Y739" i="8"/>
  <c r="V739" i="8"/>
  <c r="W739" i="8" s="1"/>
  <c r="AA739" i="8" s="1"/>
  <c r="U739" i="8"/>
  <c r="T739" i="8"/>
  <c r="R739" i="8"/>
  <c r="S739" i="8" s="1"/>
  <c r="P739" i="8"/>
  <c r="Z739" i="8" s="1"/>
  <c r="M739" i="8"/>
  <c r="O739" i="8" s="1"/>
  <c r="L739" i="8"/>
  <c r="H739" i="8"/>
  <c r="N739" i="8" s="1"/>
  <c r="G739" i="8"/>
  <c r="AH738" i="8"/>
  <c r="AG738" i="8"/>
  <c r="AE738" i="8"/>
  <c r="Y738" i="8"/>
  <c r="X738" i="8"/>
  <c r="AB738" i="8" s="1"/>
  <c r="V738" i="8"/>
  <c r="Z738" i="8" s="1"/>
  <c r="U738" i="8"/>
  <c r="T738" i="8"/>
  <c r="P738" i="8"/>
  <c r="M738" i="8"/>
  <c r="L738" i="8"/>
  <c r="H738" i="8"/>
  <c r="O738" i="8" s="1"/>
  <c r="G738" i="8"/>
  <c r="AH737" i="8"/>
  <c r="AG737" i="8"/>
  <c r="AE737" i="8"/>
  <c r="Y737" i="8"/>
  <c r="W737" i="8"/>
  <c r="AA737" i="8" s="1"/>
  <c r="V737" i="8"/>
  <c r="U737" i="8"/>
  <c r="T737" i="8"/>
  <c r="S737" i="8"/>
  <c r="O737" i="8"/>
  <c r="N737" i="8"/>
  <c r="M737" i="8"/>
  <c r="P737" i="8" s="1"/>
  <c r="Z737" i="8" s="1"/>
  <c r="X737" i="8" s="1"/>
  <c r="AB737" i="8" s="1"/>
  <c r="L737" i="8"/>
  <c r="H737" i="8"/>
  <c r="R737" i="8" s="1"/>
  <c r="G737" i="8"/>
  <c r="AH736" i="8"/>
  <c r="AG736" i="8"/>
  <c r="AE736" i="8"/>
  <c r="Y736" i="8"/>
  <c r="V736" i="8"/>
  <c r="W736" i="8" s="1"/>
  <c r="U736" i="8"/>
  <c r="T736" i="8"/>
  <c r="R736" i="8"/>
  <c r="N736" i="8"/>
  <c r="M736" i="8"/>
  <c r="L736" i="8"/>
  <c r="H736" i="8"/>
  <c r="G736" i="8"/>
  <c r="AH735" i="8"/>
  <c r="AG735" i="8"/>
  <c r="AE735" i="8"/>
  <c r="Y735" i="8"/>
  <c r="V735" i="8"/>
  <c r="W735" i="8" s="1"/>
  <c r="U735" i="8"/>
  <c r="T735" i="8"/>
  <c r="R735" i="8"/>
  <c r="P735" i="8"/>
  <c r="N735" i="8"/>
  <c r="M735" i="8"/>
  <c r="O735" i="8" s="1"/>
  <c r="L735" i="8"/>
  <c r="H735" i="8"/>
  <c r="G735" i="8"/>
  <c r="AH734" i="8"/>
  <c r="AG734" i="8"/>
  <c r="AE734" i="8"/>
  <c r="Y734" i="8"/>
  <c r="W734" i="8"/>
  <c r="AA734" i="8" s="1"/>
  <c r="V734" i="8"/>
  <c r="U734" i="8"/>
  <c r="T734" i="8"/>
  <c r="P734" i="8"/>
  <c r="Z734" i="8" s="1"/>
  <c r="X734" i="8" s="1"/>
  <c r="AB734" i="8" s="1"/>
  <c r="O734" i="8"/>
  <c r="M734" i="8"/>
  <c r="L734" i="8"/>
  <c r="H734" i="8"/>
  <c r="G734" i="8"/>
  <c r="AH733" i="8"/>
  <c r="AG733" i="8"/>
  <c r="AE733" i="8"/>
  <c r="Y733" i="8"/>
  <c r="W733" i="8"/>
  <c r="V733" i="8"/>
  <c r="U733" i="8"/>
  <c r="T733" i="8"/>
  <c r="N733" i="8"/>
  <c r="M733" i="8"/>
  <c r="P733" i="8" s="1"/>
  <c r="AA733" i="8" s="1"/>
  <c r="L733" i="8"/>
  <c r="H733" i="8"/>
  <c r="R733" i="8" s="1"/>
  <c r="G733" i="8"/>
  <c r="AH732" i="8"/>
  <c r="AG732" i="8"/>
  <c r="AE732" i="8"/>
  <c r="Y732" i="8"/>
  <c r="V732" i="8"/>
  <c r="W732" i="8" s="1"/>
  <c r="U732" i="8"/>
  <c r="T732" i="8"/>
  <c r="R732" i="8"/>
  <c r="N732" i="8"/>
  <c r="M732" i="8"/>
  <c r="L732" i="8"/>
  <c r="H732" i="8"/>
  <c r="G732" i="8"/>
  <c r="AH731" i="8"/>
  <c r="AG731" i="8"/>
  <c r="AE731" i="8"/>
  <c r="Y731" i="8"/>
  <c r="V731" i="8"/>
  <c r="W731" i="8" s="1"/>
  <c r="AA731" i="8" s="1"/>
  <c r="U731" i="8"/>
  <c r="T731" i="8"/>
  <c r="R731" i="8"/>
  <c r="P731" i="8"/>
  <c r="Z731" i="8" s="1"/>
  <c r="M731" i="8"/>
  <c r="O731" i="8" s="1"/>
  <c r="L731" i="8"/>
  <c r="H731" i="8"/>
  <c r="N731" i="8" s="1"/>
  <c r="G731" i="8"/>
  <c r="AH730" i="8"/>
  <c r="AG730" i="8"/>
  <c r="AE730" i="8"/>
  <c r="Y730" i="8"/>
  <c r="X730" i="8"/>
  <c r="AB730" i="8" s="1"/>
  <c r="V730" i="8"/>
  <c r="Z730" i="8" s="1"/>
  <c r="U730" i="8"/>
  <c r="T730" i="8"/>
  <c r="P730" i="8"/>
  <c r="M730" i="8"/>
  <c r="L730" i="8"/>
  <c r="H730" i="8"/>
  <c r="O730" i="8" s="1"/>
  <c r="G730" i="8"/>
  <c r="AH729" i="8"/>
  <c r="AG729" i="8"/>
  <c r="AE729" i="8"/>
  <c r="Y729" i="8"/>
  <c r="W729" i="8"/>
  <c r="AA729" i="8" s="1"/>
  <c r="V729" i="8"/>
  <c r="U729" i="8"/>
  <c r="T729" i="8"/>
  <c r="S729" i="8"/>
  <c r="O729" i="8"/>
  <c r="N729" i="8"/>
  <c r="M729" i="8"/>
  <c r="P729" i="8" s="1"/>
  <c r="Z729" i="8" s="1"/>
  <c r="X729" i="8" s="1"/>
  <c r="AB729" i="8" s="1"/>
  <c r="L729" i="8"/>
  <c r="H729" i="8"/>
  <c r="R729" i="8" s="1"/>
  <c r="G729" i="8"/>
  <c r="AH728" i="8"/>
  <c r="AG728" i="8"/>
  <c r="AE728" i="8"/>
  <c r="Y728" i="8"/>
  <c r="V728" i="8"/>
  <c r="W728" i="8" s="1"/>
  <c r="U728" i="8"/>
  <c r="T728" i="8"/>
  <c r="R728" i="8"/>
  <c r="N728" i="8"/>
  <c r="M728" i="8"/>
  <c r="L728" i="8"/>
  <c r="H728" i="8"/>
  <c r="G728" i="8"/>
  <c r="AH727" i="8"/>
  <c r="AG727" i="8"/>
  <c r="AE727" i="8"/>
  <c r="Y727" i="8"/>
  <c r="V727" i="8"/>
  <c r="W727" i="8" s="1"/>
  <c r="U727" i="8"/>
  <c r="T727" i="8"/>
  <c r="R727" i="8"/>
  <c r="S727" i="8" s="1"/>
  <c r="P727" i="8"/>
  <c r="N727" i="8"/>
  <c r="M727" i="8"/>
  <c r="O727" i="8" s="1"/>
  <c r="L727" i="8"/>
  <c r="H727" i="8"/>
  <c r="G727" i="8"/>
  <c r="AH726" i="8"/>
  <c r="AG726" i="8"/>
  <c r="AE726" i="8"/>
  <c r="AB726" i="8"/>
  <c r="Y726" i="8"/>
  <c r="X726" i="8"/>
  <c r="W726" i="8"/>
  <c r="AA726" i="8" s="1"/>
  <c r="V726" i="8"/>
  <c r="U726" i="8"/>
  <c r="T726" i="8"/>
  <c r="P726" i="8"/>
  <c r="Z726" i="8" s="1"/>
  <c r="O726" i="8"/>
  <c r="M726" i="8"/>
  <c r="L726" i="8"/>
  <c r="H726" i="8"/>
  <c r="G726" i="8"/>
  <c r="AH725" i="8"/>
  <c r="AG725" i="8"/>
  <c r="AE725" i="8"/>
  <c r="Y725" i="8"/>
  <c r="W725" i="8"/>
  <c r="V725" i="8"/>
  <c r="U725" i="8"/>
  <c r="T725" i="8"/>
  <c r="N725" i="8"/>
  <c r="M725" i="8"/>
  <c r="P725" i="8" s="1"/>
  <c r="AA725" i="8" s="1"/>
  <c r="L725" i="8"/>
  <c r="H725" i="8"/>
  <c r="R725" i="8" s="1"/>
  <c r="G725" i="8"/>
  <c r="AH724" i="8"/>
  <c r="AG724" i="8"/>
  <c r="AE724" i="8"/>
  <c r="Y724" i="8"/>
  <c r="V724" i="8"/>
  <c r="W724" i="8" s="1"/>
  <c r="U724" i="8"/>
  <c r="T724" i="8"/>
  <c r="R724" i="8"/>
  <c r="N724" i="8"/>
  <c r="M724" i="8"/>
  <c r="L724" i="8"/>
  <c r="H724" i="8"/>
  <c r="G724" i="8"/>
  <c r="AH723" i="8"/>
  <c r="AG723" i="8"/>
  <c r="AE723" i="8"/>
  <c r="Y723" i="8"/>
  <c r="V723" i="8"/>
  <c r="W723" i="8" s="1"/>
  <c r="AA723" i="8" s="1"/>
  <c r="U723" i="8"/>
  <c r="T723" i="8"/>
  <c r="R723" i="8"/>
  <c r="P723" i="8"/>
  <c r="Z723" i="8" s="1"/>
  <c r="M723" i="8"/>
  <c r="O723" i="8" s="1"/>
  <c r="L723" i="8"/>
  <c r="H723" i="8"/>
  <c r="N723" i="8" s="1"/>
  <c r="G723" i="8"/>
  <c r="AH722" i="8"/>
  <c r="AG722" i="8"/>
  <c r="AE722" i="8"/>
  <c r="Y722" i="8"/>
  <c r="X722" i="8"/>
  <c r="AB722" i="8" s="1"/>
  <c r="V722" i="8"/>
  <c r="Z722" i="8" s="1"/>
  <c r="U722" i="8"/>
  <c r="T722" i="8"/>
  <c r="P722" i="8"/>
  <c r="M722" i="8"/>
  <c r="L722" i="8"/>
  <c r="H722" i="8"/>
  <c r="O722" i="8" s="1"/>
  <c r="G722" i="8"/>
  <c r="AH721" i="8"/>
  <c r="AG721" i="8"/>
  <c r="AE721" i="8"/>
  <c r="Y721" i="8"/>
  <c r="W721" i="8"/>
  <c r="V721" i="8"/>
  <c r="U721" i="8"/>
  <c r="T721" i="8"/>
  <c r="O721" i="8"/>
  <c r="N721" i="8"/>
  <c r="M721" i="8"/>
  <c r="P721" i="8" s="1"/>
  <c r="Z721" i="8" s="1"/>
  <c r="X721" i="8" s="1"/>
  <c r="AB721" i="8" s="1"/>
  <c r="L721" i="8"/>
  <c r="H721" i="8"/>
  <c r="R721" i="8" s="1"/>
  <c r="S721" i="8" s="1"/>
  <c r="G721" i="8"/>
  <c r="AH720" i="8"/>
  <c r="AG720" i="8"/>
  <c r="AE720" i="8"/>
  <c r="Y720" i="8"/>
  <c r="W720" i="8"/>
  <c r="V720" i="8"/>
  <c r="U720" i="8"/>
  <c r="T720" i="8"/>
  <c r="R720" i="8"/>
  <c r="N720" i="8"/>
  <c r="M720" i="8"/>
  <c r="L720" i="8"/>
  <c r="H720" i="8"/>
  <c r="G720" i="8"/>
  <c r="AH719" i="8"/>
  <c r="AG719" i="8"/>
  <c r="AE719" i="8"/>
  <c r="Y719" i="8"/>
  <c r="V719" i="8"/>
  <c r="U719" i="8"/>
  <c r="T719" i="8"/>
  <c r="R719" i="8"/>
  <c r="S719" i="8" s="1"/>
  <c r="M719" i="8"/>
  <c r="O719" i="8" s="1"/>
  <c r="L719" i="8"/>
  <c r="H719" i="8"/>
  <c r="N719" i="8" s="1"/>
  <c r="G719" i="8"/>
  <c r="AH718" i="8"/>
  <c r="AG718" i="8"/>
  <c r="AE718" i="8"/>
  <c r="Y718" i="8"/>
  <c r="X718" i="8"/>
  <c r="AB718" i="8" s="1"/>
  <c r="W718" i="8"/>
  <c r="AA718" i="8" s="1"/>
  <c r="V718" i="8"/>
  <c r="U718" i="8"/>
  <c r="T718" i="8"/>
  <c r="P718" i="8"/>
  <c r="Z718" i="8" s="1"/>
  <c r="O718" i="8"/>
  <c r="M718" i="8"/>
  <c r="L718" i="8"/>
  <c r="H718" i="8"/>
  <c r="G718" i="8"/>
  <c r="AH717" i="8"/>
  <c r="AG717" i="8"/>
  <c r="AE717" i="8"/>
  <c r="Y717" i="8"/>
  <c r="W717" i="8"/>
  <c r="V717" i="8"/>
  <c r="U717" i="8"/>
  <c r="T717" i="8"/>
  <c r="M717" i="8"/>
  <c r="P717" i="8" s="1"/>
  <c r="AA717" i="8" s="1"/>
  <c r="L717" i="8"/>
  <c r="H717" i="8"/>
  <c r="G717" i="8"/>
  <c r="AH716" i="8"/>
  <c r="AG716" i="8"/>
  <c r="AE716" i="8"/>
  <c r="Y716" i="8"/>
  <c r="V716" i="8"/>
  <c r="W716" i="8" s="1"/>
  <c r="U716" i="8"/>
  <c r="T716" i="8"/>
  <c r="R716" i="8"/>
  <c r="N716" i="8"/>
  <c r="M716" i="8"/>
  <c r="L716" i="8"/>
  <c r="H716" i="8"/>
  <c r="G716" i="8"/>
  <c r="AH715" i="8"/>
  <c r="AG715" i="8"/>
  <c r="AE715" i="8"/>
  <c r="Z715" i="8"/>
  <c r="Y715" i="8"/>
  <c r="V715" i="8"/>
  <c r="W715" i="8" s="1"/>
  <c r="AA715" i="8" s="1"/>
  <c r="U715" i="8"/>
  <c r="T715" i="8"/>
  <c r="R715" i="8"/>
  <c r="P715" i="8"/>
  <c r="M715" i="8"/>
  <c r="O715" i="8" s="1"/>
  <c r="L715" i="8"/>
  <c r="H715" i="8"/>
  <c r="N715" i="8" s="1"/>
  <c r="G715" i="8"/>
  <c r="AH714" i="8"/>
  <c r="AG714" i="8"/>
  <c r="AE714" i="8"/>
  <c r="Y714" i="8"/>
  <c r="V714" i="8"/>
  <c r="U714" i="8"/>
  <c r="T714" i="8"/>
  <c r="P714" i="8"/>
  <c r="M714" i="8"/>
  <c r="L714" i="8"/>
  <c r="H714" i="8"/>
  <c r="O714" i="8" s="1"/>
  <c r="G714" i="8"/>
  <c r="AH713" i="8"/>
  <c r="AG713" i="8"/>
  <c r="AE713" i="8"/>
  <c r="Y713" i="8"/>
  <c r="W713" i="8"/>
  <c r="V713" i="8"/>
  <c r="U713" i="8"/>
  <c r="T713" i="8"/>
  <c r="O713" i="8"/>
  <c r="N713" i="8"/>
  <c r="M713" i="8"/>
  <c r="P713" i="8" s="1"/>
  <c r="Z713" i="8" s="1"/>
  <c r="X713" i="8" s="1"/>
  <c r="AB713" i="8" s="1"/>
  <c r="L713" i="8"/>
  <c r="H713" i="8"/>
  <c r="R713" i="8" s="1"/>
  <c r="S713" i="8" s="1"/>
  <c r="G713" i="8"/>
  <c r="AH712" i="8"/>
  <c r="AG712" i="8"/>
  <c r="AE712" i="8"/>
  <c r="Y712" i="8"/>
  <c r="W712" i="8"/>
  <c r="AA712" i="8" s="1"/>
  <c r="V712" i="8"/>
  <c r="U712" i="8"/>
  <c r="T712" i="8"/>
  <c r="O712" i="8"/>
  <c r="N712" i="8"/>
  <c r="M712" i="8"/>
  <c r="P712" i="8" s="1"/>
  <c r="L712" i="8"/>
  <c r="H712" i="8"/>
  <c r="R712" i="8" s="1"/>
  <c r="S712" i="8" s="1"/>
  <c r="G712" i="8"/>
  <c r="AH711" i="8"/>
  <c r="AG711" i="8"/>
  <c r="AE711" i="8"/>
  <c r="AA711" i="8"/>
  <c r="Z711" i="8"/>
  <c r="Y711" i="8"/>
  <c r="AC711" i="8" s="1"/>
  <c r="AD711" i="8" s="1"/>
  <c r="X711" i="8"/>
  <c r="AB711" i="8" s="1"/>
  <c r="W711" i="8"/>
  <c r="V711" i="8"/>
  <c r="U711" i="8"/>
  <c r="T711" i="8"/>
  <c r="P711" i="8"/>
  <c r="O711" i="8"/>
  <c r="N711" i="8"/>
  <c r="M711" i="8"/>
  <c r="L711" i="8"/>
  <c r="H711" i="8"/>
  <c r="R711" i="8" s="1"/>
  <c r="S711" i="8" s="1"/>
  <c r="G711" i="8"/>
  <c r="AH710" i="8"/>
  <c r="AG710" i="8"/>
  <c r="AF710" i="8"/>
  <c r="AE710" i="8"/>
  <c r="Z710" i="8"/>
  <c r="Y710" i="8"/>
  <c r="AC710" i="8" s="1"/>
  <c r="AD710" i="8" s="1"/>
  <c r="X710" i="8"/>
  <c r="AB710" i="8" s="1"/>
  <c r="W710" i="8"/>
  <c r="AA710" i="8" s="1"/>
  <c r="V710" i="8"/>
  <c r="U710" i="8"/>
  <c r="T710" i="8"/>
  <c r="P710" i="8"/>
  <c r="O710" i="8"/>
  <c r="N710" i="8"/>
  <c r="M710" i="8"/>
  <c r="L710" i="8"/>
  <c r="H710" i="8"/>
  <c r="R710" i="8" s="1"/>
  <c r="S710" i="8" s="1"/>
  <c r="G710" i="8"/>
  <c r="AH709" i="8"/>
  <c r="AG709" i="8"/>
  <c r="AE709" i="8"/>
  <c r="AA709" i="8"/>
  <c r="Z709" i="8"/>
  <c r="Y709" i="8"/>
  <c r="AC709" i="8" s="1"/>
  <c r="AD709" i="8" s="1"/>
  <c r="X709" i="8"/>
  <c r="AB709" i="8" s="1"/>
  <c r="W709" i="8"/>
  <c r="V709" i="8"/>
  <c r="U709" i="8"/>
  <c r="T709" i="8"/>
  <c r="P709" i="8"/>
  <c r="O709" i="8"/>
  <c r="N709" i="8"/>
  <c r="M709" i="8"/>
  <c r="L709" i="8"/>
  <c r="H709" i="8"/>
  <c r="R709" i="8" s="1"/>
  <c r="S709" i="8" s="1"/>
  <c r="G709" i="8"/>
  <c r="AH708" i="8"/>
  <c r="AG708" i="8"/>
  <c r="AF708" i="8"/>
  <c r="AE708" i="8"/>
  <c r="Z708" i="8"/>
  <c r="Y708" i="8"/>
  <c r="AC708" i="8" s="1"/>
  <c r="AD708" i="8" s="1"/>
  <c r="X708" i="8"/>
  <c r="AB708" i="8" s="1"/>
  <c r="W708" i="8"/>
  <c r="AA708" i="8" s="1"/>
  <c r="V708" i="8"/>
  <c r="U708" i="8"/>
  <c r="T708" i="8"/>
  <c r="S708" i="8"/>
  <c r="R708" i="8"/>
  <c r="P708" i="8"/>
  <c r="O708" i="8"/>
  <c r="N708" i="8"/>
  <c r="M708" i="8"/>
  <c r="L708" i="8"/>
  <c r="H708" i="8"/>
  <c r="G708" i="8"/>
  <c r="AH707" i="8"/>
  <c r="AG707" i="8"/>
  <c r="AE707" i="8"/>
  <c r="AA707" i="8"/>
  <c r="Z707" i="8"/>
  <c r="X707" i="8" s="1"/>
  <c r="AB707" i="8" s="1"/>
  <c r="Y707" i="8"/>
  <c r="AC707" i="8" s="1"/>
  <c r="AD707" i="8" s="1"/>
  <c r="W707" i="8"/>
  <c r="V707" i="8"/>
  <c r="U707" i="8"/>
  <c r="T707" i="8"/>
  <c r="S707" i="8"/>
  <c r="R707" i="8"/>
  <c r="P707" i="8"/>
  <c r="O707" i="8"/>
  <c r="N707" i="8"/>
  <c r="M707" i="8"/>
  <c r="L707" i="8"/>
  <c r="H707" i="8"/>
  <c r="G707" i="8"/>
  <c r="AH706" i="8"/>
  <c r="AG706" i="8"/>
  <c r="AE706" i="8"/>
  <c r="Z706" i="8"/>
  <c r="Y706" i="8"/>
  <c r="AC706" i="8" s="1"/>
  <c r="AD706" i="8" s="1"/>
  <c r="X706" i="8"/>
  <c r="AB706" i="8" s="1"/>
  <c r="W706" i="8"/>
  <c r="AA706" i="8" s="1"/>
  <c r="V706" i="8"/>
  <c r="U706" i="8"/>
  <c r="T706" i="8"/>
  <c r="R706" i="8"/>
  <c r="P706" i="8"/>
  <c r="O706" i="8"/>
  <c r="S706" i="8" s="1"/>
  <c r="N706" i="8"/>
  <c r="M706" i="8"/>
  <c r="L706" i="8"/>
  <c r="H706" i="8"/>
  <c r="G706" i="8"/>
  <c r="AH705" i="8"/>
  <c r="AG705" i="8"/>
  <c r="AE705" i="8"/>
  <c r="Y705" i="8"/>
  <c r="W705" i="8"/>
  <c r="AA705" i="8" s="1"/>
  <c r="V705" i="8"/>
  <c r="U705" i="8"/>
  <c r="T705" i="8"/>
  <c r="R705" i="8"/>
  <c r="S705" i="8" s="1"/>
  <c r="P705" i="8"/>
  <c r="Z705" i="8" s="1"/>
  <c r="X705" i="8" s="1"/>
  <c r="AB705" i="8" s="1"/>
  <c r="O705" i="8"/>
  <c r="N705" i="8"/>
  <c r="M705" i="8"/>
  <c r="L705" i="8"/>
  <c r="H705" i="8"/>
  <c r="G705" i="8"/>
  <c r="AH704" i="8"/>
  <c r="AG704" i="8"/>
  <c r="AE704" i="8"/>
  <c r="Y704" i="8"/>
  <c r="W704" i="8"/>
  <c r="V704" i="8"/>
  <c r="U704" i="8"/>
  <c r="T704" i="8"/>
  <c r="R704" i="8"/>
  <c r="S704" i="8" s="1"/>
  <c r="P704" i="8"/>
  <c r="AA704" i="8" s="1"/>
  <c r="O704" i="8"/>
  <c r="N704" i="8"/>
  <c r="M704" i="8"/>
  <c r="L704" i="8"/>
  <c r="H704" i="8"/>
  <c r="G704" i="8"/>
  <c r="AH703" i="8"/>
  <c r="AG703" i="8"/>
  <c r="AE703" i="8"/>
  <c r="Z703" i="8"/>
  <c r="X703" i="8" s="1"/>
  <c r="AB703" i="8" s="1"/>
  <c r="Y703" i="8"/>
  <c r="W703" i="8"/>
  <c r="AA703" i="8" s="1"/>
  <c r="V703" i="8"/>
  <c r="U703" i="8"/>
  <c r="T703" i="8"/>
  <c r="R703" i="8"/>
  <c r="S703" i="8" s="1"/>
  <c r="P703" i="8"/>
  <c r="O703" i="8"/>
  <c r="N703" i="8"/>
  <c r="M703" i="8"/>
  <c r="L703" i="8"/>
  <c r="H703" i="8"/>
  <c r="G703" i="8"/>
  <c r="AH702" i="8"/>
  <c r="AG702" i="8"/>
  <c r="AE702" i="8"/>
  <c r="AA702" i="8"/>
  <c r="Y702" i="8"/>
  <c r="W702" i="8"/>
  <c r="V702" i="8"/>
  <c r="U702" i="8"/>
  <c r="T702" i="8"/>
  <c r="P702" i="8"/>
  <c r="Z702" i="8" s="1"/>
  <c r="X702" i="8" s="1"/>
  <c r="AB702" i="8" s="1"/>
  <c r="M702" i="8"/>
  <c r="L702" i="8"/>
  <c r="H702" i="8"/>
  <c r="O702" i="8" s="1"/>
  <c r="G702" i="8"/>
  <c r="AH701" i="8"/>
  <c r="AG701" i="8"/>
  <c r="AE701" i="8"/>
  <c r="Y701" i="8"/>
  <c r="W701" i="8"/>
  <c r="AA701" i="8" s="1"/>
  <c r="V701" i="8"/>
  <c r="U701" i="8"/>
  <c r="T701" i="8"/>
  <c r="R701" i="8"/>
  <c r="P701" i="8"/>
  <c r="Z701" i="8" s="1"/>
  <c r="N701" i="8"/>
  <c r="M701" i="8"/>
  <c r="L701" i="8"/>
  <c r="H701" i="8"/>
  <c r="O701" i="8" s="1"/>
  <c r="G701" i="8"/>
  <c r="AH700" i="8"/>
  <c r="AG700" i="8"/>
  <c r="AE700" i="8"/>
  <c r="Z700" i="8"/>
  <c r="Y700" i="8"/>
  <c r="X700" i="8"/>
  <c r="AB700" i="8" s="1"/>
  <c r="W700" i="8"/>
  <c r="AA700" i="8" s="1"/>
  <c r="V700" i="8"/>
  <c r="U700" i="8"/>
  <c r="T700" i="8"/>
  <c r="P700" i="8"/>
  <c r="O700" i="8"/>
  <c r="N700" i="8"/>
  <c r="M700" i="8"/>
  <c r="L700" i="8"/>
  <c r="H700" i="8"/>
  <c r="R700" i="8" s="1"/>
  <c r="S700" i="8" s="1"/>
  <c r="G700" i="8"/>
  <c r="AH699" i="8"/>
  <c r="AG699" i="8"/>
  <c r="AE699" i="8"/>
  <c r="Y699" i="8"/>
  <c r="W699" i="8"/>
  <c r="AA699" i="8" s="1"/>
  <c r="V699" i="8"/>
  <c r="U699" i="8"/>
  <c r="T699" i="8"/>
  <c r="R699" i="8"/>
  <c r="S699" i="8" s="1"/>
  <c r="P699" i="8"/>
  <c r="Z699" i="8" s="1"/>
  <c r="O699" i="8"/>
  <c r="N699" i="8"/>
  <c r="M699" i="8"/>
  <c r="L699" i="8"/>
  <c r="H699" i="8"/>
  <c r="G699" i="8"/>
  <c r="AH698" i="8"/>
  <c r="AG698" i="8"/>
  <c r="AE698" i="8"/>
  <c r="AA698" i="8"/>
  <c r="Y698" i="8"/>
  <c r="W698" i="8"/>
  <c r="V698" i="8"/>
  <c r="U698" i="8"/>
  <c r="T698" i="8"/>
  <c r="P698" i="8"/>
  <c r="Z698" i="8" s="1"/>
  <c r="X698" i="8" s="1"/>
  <c r="AB698" i="8" s="1"/>
  <c r="M698" i="8"/>
  <c r="L698" i="8"/>
  <c r="H698" i="8"/>
  <c r="O698" i="8" s="1"/>
  <c r="G698" i="8"/>
  <c r="AH697" i="8"/>
  <c r="AG697" i="8"/>
  <c r="AE697" i="8"/>
  <c r="Y697" i="8"/>
  <c r="X697" i="8" s="1"/>
  <c r="AB697" i="8" s="1"/>
  <c r="W697" i="8"/>
  <c r="AA697" i="8" s="1"/>
  <c r="V697" i="8"/>
  <c r="U697" i="8"/>
  <c r="T697" i="8"/>
  <c r="R697" i="8"/>
  <c r="S697" i="8" s="1"/>
  <c r="P697" i="8"/>
  <c r="Z697" i="8" s="1"/>
  <c r="N697" i="8"/>
  <c r="M697" i="8"/>
  <c r="L697" i="8"/>
  <c r="H697" i="8"/>
  <c r="O697" i="8" s="1"/>
  <c r="G697" i="8"/>
  <c r="AH696" i="8"/>
  <c r="AG696" i="8"/>
  <c r="AE696" i="8"/>
  <c r="Y696" i="8"/>
  <c r="W696" i="8"/>
  <c r="AA696" i="8" s="1"/>
  <c r="V696" i="8"/>
  <c r="U696" i="8"/>
  <c r="T696" i="8"/>
  <c r="P696" i="8"/>
  <c r="Z696" i="8" s="1"/>
  <c r="X696" i="8" s="1"/>
  <c r="AB696" i="8" s="1"/>
  <c r="O696" i="8"/>
  <c r="N696" i="8"/>
  <c r="M696" i="8"/>
  <c r="L696" i="8"/>
  <c r="H696" i="8"/>
  <c r="R696" i="8" s="1"/>
  <c r="S696" i="8" s="1"/>
  <c r="G696" i="8"/>
  <c r="AH695" i="8"/>
  <c r="AG695" i="8"/>
  <c r="AE695" i="8"/>
  <c r="Y695" i="8"/>
  <c r="W695" i="8"/>
  <c r="AA695" i="8" s="1"/>
  <c r="V695" i="8"/>
  <c r="U695" i="8"/>
  <c r="T695" i="8"/>
  <c r="S695" i="8"/>
  <c r="R695" i="8"/>
  <c r="P695" i="8"/>
  <c r="Z695" i="8" s="1"/>
  <c r="O695" i="8"/>
  <c r="N695" i="8"/>
  <c r="M695" i="8"/>
  <c r="L695" i="8"/>
  <c r="H695" i="8"/>
  <c r="G695" i="8"/>
  <c r="AH694" i="8"/>
  <c r="AG694" i="8"/>
  <c r="AE694" i="8"/>
  <c r="AA694" i="8"/>
  <c r="Y694" i="8"/>
  <c r="W694" i="8"/>
  <c r="V694" i="8"/>
  <c r="U694" i="8"/>
  <c r="T694" i="8"/>
  <c r="P694" i="8"/>
  <c r="Z694" i="8" s="1"/>
  <c r="X694" i="8" s="1"/>
  <c r="AB694" i="8" s="1"/>
  <c r="M694" i="8"/>
  <c r="L694" i="8"/>
  <c r="H694" i="8"/>
  <c r="O694" i="8" s="1"/>
  <c r="G694" i="8"/>
  <c r="AH693" i="8"/>
  <c r="AG693" i="8"/>
  <c r="AE693" i="8"/>
  <c r="Y693" i="8"/>
  <c r="X693" i="8" s="1"/>
  <c r="AB693" i="8" s="1"/>
  <c r="W693" i="8"/>
  <c r="AA693" i="8" s="1"/>
  <c r="V693" i="8"/>
  <c r="U693" i="8"/>
  <c r="T693" i="8"/>
  <c r="R693" i="8"/>
  <c r="P693" i="8"/>
  <c r="Z693" i="8" s="1"/>
  <c r="N693" i="8"/>
  <c r="M693" i="8"/>
  <c r="L693" i="8"/>
  <c r="H693" i="8"/>
  <c r="O693" i="8" s="1"/>
  <c r="G693" i="8"/>
  <c r="AH692" i="8"/>
  <c r="AG692" i="8"/>
  <c r="AE692" i="8"/>
  <c r="Y692" i="8"/>
  <c r="W692" i="8"/>
  <c r="AA692" i="8" s="1"/>
  <c r="V692" i="8"/>
  <c r="U692" i="8"/>
  <c r="T692" i="8"/>
  <c r="P692" i="8"/>
  <c r="Z692" i="8" s="1"/>
  <c r="X692" i="8" s="1"/>
  <c r="AB692" i="8" s="1"/>
  <c r="O692" i="8"/>
  <c r="N692" i="8"/>
  <c r="M692" i="8"/>
  <c r="L692" i="8"/>
  <c r="H692" i="8"/>
  <c r="R692" i="8" s="1"/>
  <c r="S692" i="8" s="1"/>
  <c r="G692" i="8"/>
  <c r="AH691" i="8"/>
  <c r="AG691" i="8"/>
  <c r="AE691" i="8"/>
  <c r="Y691" i="8"/>
  <c r="X691" i="8" s="1"/>
  <c r="AB691" i="8" s="1"/>
  <c r="W691" i="8"/>
  <c r="AA691" i="8" s="1"/>
  <c r="V691" i="8"/>
  <c r="U691" i="8"/>
  <c r="T691" i="8"/>
  <c r="S691" i="8"/>
  <c r="R691" i="8"/>
  <c r="P691" i="8"/>
  <c r="Z691" i="8" s="1"/>
  <c r="O691" i="8"/>
  <c r="N691" i="8"/>
  <c r="M691" i="8"/>
  <c r="L691" i="8"/>
  <c r="H691" i="8"/>
  <c r="G691" i="8"/>
  <c r="AH690" i="8"/>
  <c r="AG690" i="8"/>
  <c r="AE690" i="8"/>
  <c r="AA690" i="8"/>
  <c r="Y690" i="8"/>
  <c r="X690" i="8" s="1"/>
  <c r="AB690" i="8" s="1"/>
  <c r="W690" i="8"/>
  <c r="V690" i="8"/>
  <c r="U690" i="8"/>
  <c r="T690" i="8"/>
  <c r="P690" i="8"/>
  <c r="Z690" i="8" s="1"/>
  <c r="N690" i="8"/>
  <c r="M690" i="8"/>
  <c r="L690" i="8"/>
  <c r="H690" i="8"/>
  <c r="O690" i="8" s="1"/>
  <c r="G690" i="8"/>
  <c r="AH689" i="8"/>
  <c r="AG689" i="8"/>
  <c r="AE689" i="8"/>
  <c r="Y689" i="8"/>
  <c r="X689" i="8" s="1"/>
  <c r="AB689" i="8" s="1"/>
  <c r="W689" i="8"/>
  <c r="AA689" i="8" s="1"/>
  <c r="V689" i="8"/>
  <c r="U689" i="8"/>
  <c r="T689" i="8"/>
  <c r="R689" i="8"/>
  <c r="P689" i="8"/>
  <c r="Z689" i="8" s="1"/>
  <c r="N689" i="8"/>
  <c r="M689" i="8"/>
  <c r="L689" i="8"/>
  <c r="H689" i="8"/>
  <c r="O689" i="8" s="1"/>
  <c r="G689" i="8"/>
  <c r="AH688" i="8"/>
  <c r="AG688" i="8"/>
  <c r="AE688" i="8"/>
  <c r="Y688" i="8"/>
  <c r="W688" i="8"/>
  <c r="AA688" i="8" s="1"/>
  <c r="V688" i="8"/>
  <c r="U688" i="8"/>
  <c r="T688" i="8"/>
  <c r="P688" i="8"/>
  <c r="Z688" i="8" s="1"/>
  <c r="X688" i="8" s="1"/>
  <c r="AB688" i="8" s="1"/>
  <c r="O688" i="8"/>
  <c r="N688" i="8"/>
  <c r="M688" i="8"/>
  <c r="L688" i="8"/>
  <c r="H688" i="8"/>
  <c r="R688" i="8" s="1"/>
  <c r="S688" i="8" s="1"/>
  <c r="G688" i="8"/>
  <c r="AH687" i="8"/>
  <c r="AG687" i="8"/>
  <c r="AE687" i="8"/>
  <c r="Y687" i="8"/>
  <c r="W687" i="8"/>
  <c r="V687" i="8"/>
  <c r="U687" i="8"/>
  <c r="T687" i="8"/>
  <c r="S687" i="8"/>
  <c r="R687" i="8"/>
  <c r="P687" i="8"/>
  <c r="AA687" i="8" s="1"/>
  <c r="O687" i="8"/>
  <c r="N687" i="8"/>
  <c r="M687" i="8"/>
  <c r="L687" i="8"/>
  <c r="H687" i="8"/>
  <c r="G687" i="8"/>
  <c r="AH686" i="8"/>
  <c r="AG686" i="8"/>
  <c r="AE686" i="8"/>
  <c r="AA686" i="8"/>
  <c r="Y686" i="8"/>
  <c r="W686" i="8"/>
  <c r="V686" i="8"/>
  <c r="U686" i="8"/>
  <c r="T686" i="8"/>
  <c r="P686" i="8"/>
  <c r="Z686" i="8" s="1"/>
  <c r="N686" i="8"/>
  <c r="M686" i="8"/>
  <c r="L686" i="8"/>
  <c r="H686" i="8"/>
  <c r="O686" i="8" s="1"/>
  <c r="G686" i="8"/>
  <c r="AH685" i="8"/>
  <c r="AG685" i="8"/>
  <c r="AE685" i="8"/>
  <c r="Y685" i="8"/>
  <c r="W685" i="8"/>
  <c r="AA685" i="8" s="1"/>
  <c r="V685" i="8"/>
  <c r="U685" i="8"/>
  <c r="T685" i="8"/>
  <c r="R685" i="8"/>
  <c r="P685" i="8"/>
  <c r="Z685" i="8" s="1"/>
  <c r="N685" i="8"/>
  <c r="M685" i="8"/>
  <c r="L685" i="8"/>
  <c r="H685" i="8"/>
  <c r="O685" i="8" s="1"/>
  <c r="G685" i="8"/>
  <c r="AH684" i="8"/>
  <c r="AG684" i="8"/>
  <c r="AE684" i="8"/>
  <c r="Y684" i="8"/>
  <c r="W684" i="8"/>
  <c r="AA684" i="8" s="1"/>
  <c r="V684" i="8"/>
  <c r="U684" i="8"/>
  <c r="T684" i="8"/>
  <c r="P684" i="8"/>
  <c r="Z684" i="8" s="1"/>
  <c r="X684" i="8" s="1"/>
  <c r="AB684" i="8" s="1"/>
  <c r="O684" i="8"/>
  <c r="N684" i="8"/>
  <c r="M684" i="8"/>
  <c r="L684" i="8"/>
  <c r="H684" i="8"/>
  <c r="R684" i="8" s="1"/>
  <c r="S684" i="8" s="1"/>
  <c r="G684" i="8"/>
  <c r="AH683" i="8"/>
  <c r="AG683" i="8"/>
  <c r="AE683" i="8"/>
  <c r="Y683" i="8"/>
  <c r="X683" i="8" s="1"/>
  <c r="AB683" i="8" s="1"/>
  <c r="W683" i="8"/>
  <c r="AA683" i="8" s="1"/>
  <c r="V683" i="8"/>
  <c r="U683" i="8"/>
  <c r="T683" i="8"/>
  <c r="S683" i="8"/>
  <c r="R683" i="8"/>
  <c r="P683" i="8"/>
  <c r="Z683" i="8" s="1"/>
  <c r="O683" i="8"/>
  <c r="N683" i="8"/>
  <c r="M683" i="8"/>
  <c r="L683" i="8"/>
  <c r="H683" i="8"/>
  <c r="G683" i="8"/>
  <c r="AH682" i="8"/>
  <c r="AG682" i="8"/>
  <c r="AE682" i="8"/>
  <c r="AA682" i="8"/>
  <c r="Y682" i="8"/>
  <c r="X682" i="8" s="1"/>
  <c r="AB682" i="8" s="1"/>
  <c r="W682" i="8"/>
  <c r="V682" i="8"/>
  <c r="U682" i="8"/>
  <c r="T682" i="8"/>
  <c r="P682" i="8"/>
  <c r="Z682" i="8" s="1"/>
  <c r="N682" i="8"/>
  <c r="M682" i="8"/>
  <c r="L682" i="8"/>
  <c r="H682" i="8"/>
  <c r="O682" i="8" s="1"/>
  <c r="G682" i="8"/>
  <c r="AH681" i="8"/>
  <c r="AG681" i="8"/>
  <c r="AE681" i="8"/>
  <c r="Y681" i="8"/>
  <c r="W681" i="8"/>
  <c r="AA681" i="8" s="1"/>
  <c r="V681" i="8"/>
  <c r="U681" i="8"/>
  <c r="T681" i="8"/>
  <c r="R681" i="8"/>
  <c r="S681" i="8" s="1"/>
  <c r="P681" i="8"/>
  <c r="Z681" i="8" s="1"/>
  <c r="N681" i="8"/>
  <c r="M681" i="8"/>
  <c r="L681" i="8"/>
  <c r="H681" i="8"/>
  <c r="O681" i="8" s="1"/>
  <c r="G681" i="8"/>
  <c r="AH680" i="8"/>
  <c r="AG680" i="8"/>
  <c r="AE680" i="8"/>
  <c r="Y680" i="8"/>
  <c r="W680" i="8"/>
  <c r="AA680" i="8" s="1"/>
  <c r="V680" i="8"/>
  <c r="U680" i="8"/>
  <c r="T680" i="8"/>
  <c r="P680" i="8"/>
  <c r="Z680" i="8" s="1"/>
  <c r="X680" i="8" s="1"/>
  <c r="AB680" i="8" s="1"/>
  <c r="O680" i="8"/>
  <c r="N680" i="8"/>
  <c r="M680" i="8"/>
  <c r="L680" i="8"/>
  <c r="H680" i="8"/>
  <c r="R680" i="8" s="1"/>
  <c r="S680" i="8" s="1"/>
  <c r="G680" i="8"/>
  <c r="AH679" i="8"/>
  <c r="AG679" i="8"/>
  <c r="AE679" i="8"/>
  <c r="Y679" i="8"/>
  <c r="W679" i="8"/>
  <c r="V679" i="8"/>
  <c r="U679" i="8"/>
  <c r="T679" i="8"/>
  <c r="S679" i="8"/>
  <c r="R679" i="8"/>
  <c r="P679" i="8"/>
  <c r="AA679" i="8" s="1"/>
  <c r="O679" i="8"/>
  <c r="N679" i="8"/>
  <c r="M679" i="8"/>
  <c r="L679" i="8"/>
  <c r="H679" i="8"/>
  <c r="G679" i="8"/>
  <c r="AH678" i="8"/>
  <c r="AG678" i="8"/>
  <c r="AE678" i="8"/>
  <c r="AA678" i="8"/>
  <c r="Y678" i="8"/>
  <c r="W678" i="8"/>
  <c r="V678" i="8"/>
  <c r="U678" i="8"/>
  <c r="T678" i="8"/>
  <c r="P678" i="8"/>
  <c r="Z678" i="8" s="1"/>
  <c r="N678" i="8"/>
  <c r="M678" i="8"/>
  <c r="L678" i="8"/>
  <c r="H678" i="8"/>
  <c r="O678" i="8" s="1"/>
  <c r="G678" i="8"/>
  <c r="AH677" i="8"/>
  <c r="AG677" i="8"/>
  <c r="AE677" i="8"/>
  <c r="Y677" i="8"/>
  <c r="X677" i="8" s="1"/>
  <c r="AB677" i="8" s="1"/>
  <c r="W677" i="8"/>
  <c r="AA677" i="8" s="1"/>
  <c r="V677" i="8"/>
  <c r="U677" i="8"/>
  <c r="T677" i="8"/>
  <c r="R677" i="8"/>
  <c r="P677" i="8"/>
  <c r="Z677" i="8" s="1"/>
  <c r="N677" i="8"/>
  <c r="M677" i="8"/>
  <c r="L677" i="8"/>
  <c r="H677" i="8"/>
  <c r="O677" i="8" s="1"/>
  <c r="G677" i="8"/>
  <c r="AH676" i="8"/>
  <c r="AG676" i="8"/>
  <c r="AE676" i="8"/>
  <c r="Y676" i="8"/>
  <c r="W676" i="8"/>
  <c r="AA676" i="8" s="1"/>
  <c r="V676" i="8"/>
  <c r="U676" i="8"/>
  <c r="T676" i="8"/>
  <c r="P676" i="8"/>
  <c r="Z676" i="8" s="1"/>
  <c r="X676" i="8" s="1"/>
  <c r="AB676" i="8" s="1"/>
  <c r="O676" i="8"/>
  <c r="N676" i="8"/>
  <c r="M676" i="8"/>
  <c r="L676" i="8"/>
  <c r="H676" i="8"/>
  <c r="R676" i="8" s="1"/>
  <c r="S676" i="8" s="1"/>
  <c r="G676" i="8"/>
  <c r="AH675" i="8"/>
  <c r="AG675" i="8"/>
  <c r="AE675" i="8"/>
  <c r="Y675" i="8"/>
  <c r="W675" i="8"/>
  <c r="V675" i="8"/>
  <c r="U675" i="8"/>
  <c r="T675" i="8"/>
  <c r="S675" i="8"/>
  <c r="R675" i="8"/>
  <c r="P675" i="8"/>
  <c r="AA675" i="8" s="1"/>
  <c r="O675" i="8"/>
  <c r="N675" i="8"/>
  <c r="M675" i="8"/>
  <c r="L675" i="8"/>
  <c r="H675" i="8"/>
  <c r="G675" i="8"/>
  <c r="AH674" i="8"/>
  <c r="AG674" i="8"/>
  <c r="AE674" i="8"/>
  <c r="AA674" i="8"/>
  <c r="Y674" i="8"/>
  <c r="X674" i="8" s="1"/>
  <c r="AB674" i="8" s="1"/>
  <c r="W674" i="8"/>
  <c r="V674" i="8"/>
  <c r="U674" i="8"/>
  <c r="T674" i="8"/>
  <c r="P674" i="8"/>
  <c r="Z674" i="8" s="1"/>
  <c r="N674" i="8"/>
  <c r="M674" i="8"/>
  <c r="L674" i="8"/>
  <c r="H674" i="8"/>
  <c r="O674" i="8" s="1"/>
  <c r="G674" i="8"/>
  <c r="AH673" i="8"/>
  <c r="AG673" i="8"/>
  <c r="AE673" i="8"/>
  <c r="Y673" i="8"/>
  <c r="X673" i="8" s="1"/>
  <c r="AB673" i="8" s="1"/>
  <c r="W673" i="8"/>
  <c r="AA673" i="8" s="1"/>
  <c r="V673" i="8"/>
  <c r="U673" i="8"/>
  <c r="T673" i="8"/>
  <c r="R673" i="8"/>
  <c r="P673" i="8"/>
  <c r="Z673" i="8" s="1"/>
  <c r="N673" i="8"/>
  <c r="M673" i="8"/>
  <c r="L673" i="8"/>
  <c r="H673" i="8"/>
  <c r="O673" i="8" s="1"/>
  <c r="S673" i="8" s="1"/>
  <c r="G673" i="8"/>
  <c r="AH672" i="8"/>
  <c r="AG672" i="8"/>
  <c r="AE672" i="8"/>
  <c r="Y672" i="8"/>
  <c r="W672" i="8"/>
  <c r="AA672" i="8" s="1"/>
  <c r="V672" i="8"/>
  <c r="U672" i="8"/>
  <c r="T672" i="8"/>
  <c r="P672" i="8"/>
  <c r="Z672" i="8" s="1"/>
  <c r="X672" i="8" s="1"/>
  <c r="AB672" i="8" s="1"/>
  <c r="O672" i="8"/>
  <c r="N672" i="8"/>
  <c r="M672" i="8"/>
  <c r="L672" i="8"/>
  <c r="H672" i="8"/>
  <c r="R672" i="8" s="1"/>
  <c r="S672" i="8" s="1"/>
  <c r="G672" i="8"/>
  <c r="AH671" i="8"/>
  <c r="AG671" i="8"/>
  <c r="AE671" i="8"/>
  <c r="Y671" i="8"/>
  <c r="W671" i="8"/>
  <c r="V671" i="8"/>
  <c r="U671" i="8"/>
  <c r="T671" i="8"/>
  <c r="S671" i="8"/>
  <c r="R671" i="8"/>
  <c r="P671" i="8"/>
  <c r="AA671" i="8" s="1"/>
  <c r="O671" i="8"/>
  <c r="N671" i="8"/>
  <c r="M671" i="8"/>
  <c r="L671" i="8"/>
  <c r="H671" i="8"/>
  <c r="G671" i="8"/>
  <c r="AH670" i="8"/>
  <c r="AG670" i="8"/>
  <c r="AE670" i="8"/>
  <c r="AA670" i="8"/>
  <c r="Y670" i="8"/>
  <c r="X670" i="8" s="1"/>
  <c r="AB670" i="8" s="1"/>
  <c r="W670" i="8"/>
  <c r="V670" i="8"/>
  <c r="U670" i="8"/>
  <c r="T670" i="8"/>
  <c r="P670" i="8"/>
  <c r="Z670" i="8" s="1"/>
  <c r="N670" i="8"/>
  <c r="M670" i="8"/>
  <c r="L670" i="8"/>
  <c r="H670" i="8"/>
  <c r="O670" i="8" s="1"/>
  <c r="G670" i="8"/>
  <c r="AH669" i="8"/>
  <c r="AG669" i="8"/>
  <c r="AE669" i="8"/>
  <c r="Y669" i="8"/>
  <c r="W669" i="8"/>
  <c r="AA669" i="8" s="1"/>
  <c r="V669" i="8"/>
  <c r="U669" i="8"/>
  <c r="T669" i="8"/>
  <c r="R669" i="8"/>
  <c r="P669" i="8"/>
  <c r="Z669" i="8" s="1"/>
  <c r="N669" i="8"/>
  <c r="M669" i="8"/>
  <c r="L669" i="8"/>
  <c r="H669" i="8"/>
  <c r="O669" i="8" s="1"/>
  <c r="S669" i="8" s="1"/>
  <c r="G669" i="8"/>
  <c r="AH668" i="8"/>
  <c r="AG668" i="8"/>
  <c r="AE668" i="8"/>
  <c r="Y668" i="8"/>
  <c r="W668" i="8"/>
  <c r="AA668" i="8" s="1"/>
  <c r="V668" i="8"/>
  <c r="U668" i="8"/>
  <c r="T668" i="8"/>
  <c r="P668" i="8"/>
  <c r="Z668" i="8" s="1"/>
  <c r="O668" i="8"/>
  <c r="N668" i="8"/>
  <c r="M668" i="8"/>
  <c r="L668" i="8"/>
  <c r="H668" i="8"/>
  <c r="R668" i="8" s="1"/>
  <c r="S668" i="8" s="1"/>
  <c r="G668" i="8"/>
  <c r="AH667" i="8"/>
  <c r="AG667" i="8"/>
  <c r="AE667" i="8"/>
  <c r="Y667" i="8"/>
  <c r="W667" i="8"/>
  <c r="V667" i="8"/>
  <c r="U667" i="8"/>
  <c r="T667" i="8"/>
  <c r="S667" i="8"/>
  <c r="R667" i="8"/>
  <c r="P667" i="8"/>
  <c r="AA667" i="8" s="1"/>
  <c r="O667" i="8"/>
  <c r="N667" i="8"/>
  <c r="M667" i="8"/>
  <c r="L667" i="8"/>
  <c r="H667" i="8"/>
  <c r="G667" i="8"/>
  <c r="AH666" i="8"/>
  <c r="AG666" i="8"/>
  <c r="AE666" i="8"/>
  <c r="AA666" i="8"/>
  <c r="Y666" i="8"/>
  <c r="W666" i="8"/>
  <c r="V666" i="8"/>
  <c r="U666" i="8"/>
  <c r="T666" i="8"/>
  <c r="P666" i="8"/>
  <c r="Z666" i="8" s="1"/>
  <c r="N666" i="8"/>
  <c r="M666" i="8"/>
  <c r="L666" i="8"/>
  <c r="H666" i="8"/>
  <c r="O666" i="8" s="1"/>
  <c r="G666" i="8"/>
  <c r="AH665" i="8"/>
  <c r="AG665" i="8"/>
  <c r="AE665" i="8"/>
  <c r="Y665" i="8"/>
  <c r="W665" i="8"/>
  <c r="AA665" i="8" s="1"/>
  <c r="V665" i="8"/>
  <c r="U665" i="8"/>
  <c r="T665" i="8"/>
  <c r="R665" i="8"/>
  <c r="P665" i="8"/>
  <c r="Z665" i="8" s="1"/>
  <c r="N665" i="8"/>
  <c r="M665" i="8"/>
  <c r="L665" i="8"/>
  <c r="H665" i="8"/>
  <c r="O665" i="8" s="1"/>
  <c r="S665" i="8" s="1"/>
  <c r="G665" i="8"/>
  <c r="AH664" i="8"/>
  <c r="AG664" i="8"/>
  <c r="AE664" i="8"/>
  <c r="Y664" i="8"/>
  <c r="W664" i="8"/>
  <c r="AA664" i="8" s="1"/>
  <c r="V664" i="8"/>
  <c r="U664" i="8"/>
  <c r="T664" i="8"/>
  <c r="P664" i="8"/>
  <c r="Z664" i="8" s="1"/>
  <c r="O664" i="8"/>
  <c r="N664" i="8"/>
  <c r="M664" i="8"/>
  <c r="L664" i="8"/>
  <c r="H664" i="8"/>
  <c r="R664" i="8" s="1"/>
  <c r="S664" i="8" s="1"/>
  <c r="G664" i="8"/>
  <c r="AH663" i="8"/>
  <c r="AG663" i="8"/>
  <c r="AE663" i="8"/>
  <c r="Y663" i="8"/>
  <c r="W663" i="8"/>
  <c r="V663" i="8"/>
  <c r="U663" i="8"/>
  <c r="T663" i="8"/>
  <c r="S663" i="8"/>
  <c r="R663" i="8"/>
  <c r="P663" i="8"/>
  <c r="AA663" i="8" s="1"/>
  <c r="O663" i="8"/>
  <c r="N663" i="8"/>
  <c r="M663" i="8"/>
  <c r="L663" i="8"/>
  <c r="H663" i="8"/>
  <c r="G663" i="8"/>
  <c r="AH662" i="8"/>
  <c r="AG662" i="8"/>
  <c r="AE662" i="8"/>
  <c r="AA662" i="8"/>
  <c r="Y662" i="8"/>
  <c r="W662" i="8"/>
  <c r="V662" i="8"/>
  <c r="U662" i="8"/>
  <c r="T662" i="8"/>
  <c r="P662" i="8"/>
  <c r="Z662" i="8" s="1"/>
  <c r="N662" i="8"/>
  <c r="M662" i="8"/>
  <c r="L662" i="8"/>
  <c r="H662" i="8"/>
  <c r="O662" i="8" s="1"/>
  <c r="G662" i="8"/>
  <c r="AH661" i="8"/>
  <c r="AG661" i="8"/>
  <c r="AE661" i="8"/>
  <c r="Y661" i="8"/>
  <c r="X661" i="8" s="1"/>
  <c r="AB661" i="8" s="1"/>
  <c r="W661" i="8"/>
  <c r="AA661" i="8" s="1"/>
  <c r="V661" i="8"/>
  <c r="U661" i="8"/>
  <c r="T661" i="8"/>
  <c r="R661" i="8"/>
  <c r="P661" i="8"/>
  <c r="Z661" i="8" s="1"/>
  <c r="N661" i="8"/>
  <c r="M661" i="8"/>
  <c r="L661" i="8"/>
  <c r="H661" i="8"/>
  <c r="O661" i="8" s="1"/>
  <c r="S661" i="8" s="1"/>
  <c r="G661" i="8"/>
  <c r="AH660" i="8"/>
  <c r="AG660" i="8"/>
  <c r="AE660" i="8"/>
  <c r="Y660" i="8"/>
  <c r="X660" i="8" s="1"/>
  <c r="AB660" i="8" s="1"/>
  <c r="W660" i="8"/>
  <c r="AA660" i="8" s="1"/>
  <c r="V660" i="8"/>
  <c r="U660" i="8"/>
  <c r="T660" i="8"/>
  <c r="P660" i="8"/>
  <c r="Z660" i="8" s="1"/>
  <c r="O660" i="8"/>
  <c r="N660" i="8"/>
  <c r="M660" i="8"/>
  <c r="L660" i="8"/>
  <c r="H660" i="8"/>
  <c r="R660" i="8" s="1"/>
  <c r="S660" i="8" s="1"/>
  <c r="G660" i="8"/>
  <c r="AH659" i="8"/>
  <c r="AG659" i="8"/>
  <c r="AE659" i="8"/>
  <c r="Y659" i="8"/>
  <c r="W659" i="8"/>
  <c r="V659" i="8"/>
  <c r="U659" i="8"/>
  <c r="T659" i="8"/>
  <c r="S659" i="8"/>
  <c r="R659" i="8"/>
  <c r="P659" i="8"/>
  <c r="AA659" i="8" s="1"/>
  <c r="O659" i="8"/>
  <c r="N659" i="8"/>
  <c r="M659" i="8"/>
  <c r="L659" i="8"/>
  <c r="H659" i="8"/>
  <c r="G659" i="8"/>
  <c r="AH658" i="8"/>
  <c r="AG658" i="8"/>
  <c r="AE658" i="8"/>
  <c r="AA658" i="8"/>
  <c r="Y658" i="8"/>
  <c r="X658" i="8" s="1"/>
  <c r="AB658" i="8" s="1"/>
  <c r="W658" i="8"/>
  <c r="V658" i="8"/>
  <c r="U658" i="8"/>
  <c r="T658" i="8"/>
  <c r="P658" i="8"/>
  <c r="Z658" i="8" s="1"/>
  <c r="N658" i="8"/>
  <c r="M658" i="8"/>
  <c r="L658" i="8"/>
  <c r="H658" i="8"/>
  <c r="O658" i="8" s="1"/>
  <c r="G658" i="8"/>
  <c r="AH657" i="8"/>
  <c r="AG657" i="8"/>
  <c r="AE657" i="8"/>
  <c r="Y657" i="8"/>
  <c r="W657" i="8"/>
  <c r="V657" i="8"/>
  <c r="U657" i="8"/>
  <c r="T657" i="8"/>
  <c r="R657" i="8"/>
  <c r="P657" i="8"/>
  <c r="Z657" i="8" s="1"/>
  <c r="N657" i="8"/>
  <c r="M657" i="8"/>
  <c r="L657" i="8"/>
  <c r="H657" i="8"/>
  <c r="O657" i="8" s="1"/>
  <c r="S657" i="8" s="1"/>
  <c r="G657" i="8"/>
  <c r="AH656" i="8"/>
  <c r="AG656" i="8"/>
  <c r="AE656" i="8"/>
  <c r="Y656" i="8"/>
  <c r="W656" i="8"/>
  <c r="AA656" i="8" s="1"/>
  <c r="V656" i="8"/>
  <c r="U656" i="8"/>
  <c r="T656" i="8"/>
  <c r="P656" i="8"/>
  <c r="Z656" i="8" s="1"/>
  <c r="O656" i="8"/>
  <c r="N656" i="8"/>
  <c r="M656" i="8"/>
  <c r="L656" i="8"/>
  <c r="H656" i="8"/>
  <c r="R656" i="8" s="1"/>
  <c r="S656" i="8" s="1"/>
  <c r="G656" i="8"/>
  <c r="AH655" i="8"/>
  <c r="AG655" i="8"/>
  <c r="AE655" i="8"/>
  <c r="Y655" i="8"/>
  <c r="W655" i="8"/>
  <c r="V655" i="8"/>
  <c r="U655" i="8"/>
  <c r="T655" i="8"/>
  <c r="S655" i="8"/>
  <c r="R655" i="8"/>
  <c r="P655" i="8"/>
  <c r="AA655" i="8" s="1"/>
  <c r="O655" i="8"/>
  <c r="N655" i="8"/>
  <c r="M655" i="8"/>
  <c r="L655" i="8"/>
  <c r="H655" i="8"/>
  <c r="G655" i="8"/>
  <c r="AH654" i="8"/>
  <c r="AG654" i="8"/>
  <c r="AE654" i="8"/>
  <c r="Y654" i="8"/>
  <c r="W654" i="8"/>
  <c r="AA654" i="8" s="1"/>
  <c r="V654" i="8"/>
  <c r="U654" i="8"/>
  <c r="T654" i="8"/>
  <c r="P654" i="8"/>
  <c r="Z654" i="8" s="1"/>
  <c r="N654" i="8"/>
  <c r="M654" i="8"/>
  <c r="L654" i="8"/>
  <c r="H654" i="8"/>
  <c r="O654" i="8" s="1"/>
  <c r="G654" i="8"/>
  <c r="AH653" i="8"/>
  <c r="AG653" i="8"/>
  <c r="AE653" i="8"/>
  <c r="Y653" i="8"/>
  <c r="W653" i="8"/>
  <c r="V653" i="8"/>
  <c r="U653" i="8"/>
  <c r="T653" i="8"/>
  <c r="R653" i="8"/>
  <c r="P653" i="8"/>
  <c r="Z653" i="8" s="1"/>
  <c r="N653" i="8"/>
  <c r="M653" i="8"/>
  <c r="L653" i="8"/>
  <c r="H653" i="8"/>
  <c r="O653" i="8" s="1"/>
  <c r="S653" i="8" s="1"/>
  <c r="G653" i="8"/>
  <c r="AH652" i="8"/>
  <c r="AG652" i="8"/>
  <c r="AE652" i="8"/>
  <c r="AA652" i="8"/>
  <c r="Y652" i="8"/>
  <c r="W652" i="8"/>
  <c r="V652" i="8"/>
  <c r="U652" i="8"/>
  <c r="T652" i="8"/>
  <c r="S652" i="8"/>
  <c r="P652" i="8"/>
  <c r="Z652" i="8" s="1"/>
  <c r="O652" i="8"/>
  <c r="N652" i="8"/>
  <c r="M652" i="8"/>
  <c r="L652" i="8"/>
  <c r="H652" i="8"/>
  <c r="R652" i="8" s="1"/>
  <c r="G652" i="8"/>
  <c r="AH651" i="8"/>
  <c r="AG651" i="8"/>
  <c r="AE651" i="8"/>
  <c r="Y651" i="8"/>
  <c r="W651" i="8"/>
  <c r="V651" i="8"/>
  <c r="U651" i="8"/>
  <c r="T651" i="8"/>
  <c r="S651" i="8"/>
  <c r="R651" i="8"/>
  <c r="P651" i="8"/>
  <c r="O651" i="8"/>
  <c r="N651" i="8"/>
  <c r="M651" i="8"/>
  <c r="L651" i="8"/>
  <c r="H651" i="8"/>
  <c r="G651" i="8"/>
  <c r="AH650" i="8"/>
  <c r="AG650" i="8"/>
  <c r="AE650" i="8"/>
  <c r="AA650" i="8"/>
  <c r="Y650" i="8"/>
  <c r="W650" i="8"/>
  <c r="V650" i="8"/>
  <c r="U650" i="8"/>
  <c r="T650" i="8"/>
  <c r="P650" i="8"/>
  <c r="Z650" i="8" s="1"/>
  <c r="N650" i="8"/>
  <c r="M650" i="8"/>
  <c r="L650" i="8"/>
  <c r="H650" i="8"/>
  <c r="O650" i="8" s="1"/>
  <c r="G650" i="8"/>
  <c r="AH649" i="8"/>
  <c r="AG649" i="8"/>
  <c r="AE649" i="8"/>
  <c r="Y649" i="8"/>
  <c r="W649" i="8"/>
  <c r="V649" i="8"/>
  <c r="U649" i="8"/>
  <c r="T649" i="8"/>
  <c r="R649" i="8"/>
  <c r="P649" i="8"/>
  <c r="Z649" i="8" s="1"/>
  <c r="N649" i="8"/>
  <c r="M649" i="8"/>
  <c r="L649" i="8"/>
  <c r="H649" i="8"/>
  <c r="O649" i="8" s="1"/>
  <c r="S649" i="8" s="1"/>
  <c r="G649" i="8"/>
  <c r="AH648" i="8"/>
  <c r="AG648" i="8"/>
  <c r="AE648" i="8"/>
  <c r="AA648" i="8"/>
  <c r="Y648" i="8"/>
  <c r="W648" i="8"/>
  <c r="V648" i="8"/>
  <c r="U648" i="8"/>
  <c r="T648" i="8"/>
  <c r="S648" i="8"/>
  <c r="P648" i="8"/>
  <c r="Z648" i="8" s="1"/>
  <c r="O648" i="8"/>
  <c r="N648" i="8"/>
  <c r="M648" i="8"/>
  <c r="L648" i="8"/>
  <c r="H648" i="8"/>
  <c r="R648" i="8" s="1"/>
  <c r="G648" i="8"/>
  <c r="AH647" i="8"/>
  <c r="AG647" i="8"/>
  <c r="AE647" i="8"/>
  <c r="Y647" i="8"/>
  <c r="W647" i="8"/>
  <c r="V647" i="8"/>
  <c r="U647" i="8"/>
  <c r="T647" i="8"/>
  <c r="S647" i="8"/>
  <c r="R647" i="8"/>
  <c r="P647" i="8"/>
  <c r="Z647" i="8" s="1"/>
  <c r="O647" i="8"/>
  <c r="N647" i="8"/>
  <c r="M647" i="8"/>
  <c r="L647" i="8"/>
  <c r="H647" i="8"/>
  <c r="G647" i="8"/>
  <c r="AH646" i="8"/>
  <c r="AG646" i="8"/>
  <c r="AE646" i="8"/>
  <c r="Y646" i="8"/>
  <c r="W646" i="8"/>
  <c r="AA646" i="8" s="1"/>
  <c r="V646" i="8"/>
  <c r="U646" i="8"/>
  <c r="T646" i="8"/>
  <c r="P646" i="8"/>
  <c r="Z646" i="8" s="1"/>
  <c r="N646" i="8"/>
  <c r="M646" i="8"/>
  <c r="L646" i="8"/>
  <c r="H646" i="8"/>
  <c r="O646" i="8" s="1"/>
  <c r="G646" i="8"/>
  <c r="AH645" i="8"/>
  <c r="AG645" i="8"/>
  <c r="AE645" i="8"/>
  <c r="Y645" i="8"/>
  <c r="W645" i="8"/>
  <c r="AA645" i="8" s="1"/>
  <c r="V645" i="8"/>
  <c r="U645" i="8"/>
  <c r="T645" i="8"/>
  <c r="S645" i="8"/>
  <c r="R645" i="8"/>
  <c r="P645" i="8"/>
  <c r="Z645" i="8" s="1"/>
  <c r="N645" i="8"/>
  <c r="M645" i="8"/>
  <c r="L645" i="8"/>
  <c r="H645" i="8"/>
  <c r="O645" i="8" s="1"/>
  <c r="G645" i="8"/>
  <c r="AH644" i="8"/>
  <c r="AG644" i="8"/>
  <c r="AE644" i="8"/>
  <c r="Y644" i="8"/>
  <c r="W644" i="8"/>
  <c r="AA644" i="8" s="1"/>
  <c r="V644" i="8"/>
  <c r="U644" i="8"/>
  <c r="T644" i="8"/>
  <c r="S644" i="8"/>
  <c r="P644" i="8"/>
  <c r="Z644" i="8" s="1"/>
  <c r="O644" i="8"/>
  <c r="N644" i="8"/>
  <c r="M644" i="8"/>
  <c r="L644" i="8"/>
  <c r="H644" i="8"/>
  <c r="R644" i="8" s="1"/>
  <c r="G644" i="8"/>
  <c r="AH643" i="8"/>
  <c r="AG643" i="8"/>
  <c r="AE643" i="8"/>
  <c r="Y643" i="8"/>
  <c r="W643" i="8"/>
  <c r="AA643" i="8" s="1"/>
  <c r="V643" i="8"/>
  <c r="U643" i="8"/>
  <c r="T643" i="8"/>
  <c r="S643" i="8"/>
  <c r="R643" i="8"/>
  <c r="P643" i="8"/>
  <c r="Z643" i="8" s="1"/>
  <c r="O643" i="8"/>
  <c r="N643" i="8"/>
  <c r="M643" i="8"/>
  <c r="L643" i="8"/>
  <c r="H643" i="8"/>
  <c r="G643" i="8"/>
  <c r="AH642" i="8"/>
  <c r="AG642" i="8"/>
  <c r="AE642" i="8"/>
  <c r="Y642" i="8"/>
  <c r="W642" i="8"/>
  <c r="AA642" i="8" s="1"/>
  <c r="V642" i="8"/>
  <c r="U642" i="8"/>
  <c r="T642" i="8"/>
  <c r="P642" i="8"/>
  <c r="Z642" i="8" s="1"/>
  <c r="N642" i="8"/>
  <c r="M642" i="8"/>
  <c r="L642" i="8"/>
  <c r="H642" i="8"/>
  <c r="O642" i="8" s="1"/>
  <c r="G642" i="8"/>
  <c r="AH641" i="8"/>
  <c r="AG641" i="8"/>
  <c r="AE641" i="8"/>
  <c r="Y641" i="8"/>
  <c r="W641" i="8"/>
  <c r="AA641" i="8" s="1"/>
  <c r="V641" i="8"/>
  <c r="U641" i="8"/>
  <c r="T641" i="8"/>
  <c r="S641" i="8"/>
  <c r="R641" i="8"/>
  <c r="P641" i="8"/>
  <c r="Z641" i="8" s="1"/>
  <c r="N641" i="8"/>
  <c r="M641" i="8"/>
  <c r="L641" i="8"/>
  <c r="H641" i="8"/>
  <c r="O641" i="8" s="1"/>
  <c r="G641" i="8"/>
  <c r="AH640" i="8"/>
  <c r="AG640" i="8"/>
  <c r="AE640" i="8"/>
  <c r="Y640" i="8"/>
  <c r="W640" i="8"/>
  <c r="AA640" i="8" s="1"/>
  <c r="V640" i="8"/>
  <c r="U640" i="8"/>
  <c r="T640" i="8"/>
  <c r="S640" i="8"/>
  <c r="P640" i="8"/>
  <c r="Z640" i="8" s="1"/>
  <c r="O640" i="8"/>
  <c r="N640" i="8"/>
  <c r="M640" i="8"/>
  <c r="L640" i="8"/>
  <c r="H640" i="8"/>
  <c r="R640" i="8" s="1"/>
  <c r="G640" i="8"/>
  <c r="AH639" i="8"/>
  <c r="AG639" i="8"/>
  <c r="AE639" i="8"/>
  <c r="Y639" i="8"/>
  <c r="W639" i="8"/>
  <c r="V639" i="8"/>
  <c r="U639" i="8"/>
  <c r="T639" i="8"/>
  <c r="S639" i="8"/>
  <c r="R639" i="8"/>
  <c r="P639" i="8"/>
  <c r="Z639" i="8" s="1"/>
  <c r="O639" i="8"/>
  <c r="N639" i="8"/>
  <c r="M639" i="8"/>
  <c r="L639" i="8"/>
  <c r="H639" i="8"/>
  <c r="G639" i="8"/>
  <c r="AH638" i="8"/>
  <c r="AG638" i="8"/>
  <c r="AE638" i="8"/>
  <c r="Y638" i="8"/>
  <c r="W638" i="8"/>
  <c r="AA638" i="8" s="1"/>
  <c r="V638" i="8"/>
  <c r="U638" i="8"/>
  <c r="T638" i="8"/>
  <c r="P638" i="8"/>
  <c r="Z638" i="8" s="1"/>
  <c r="N638" i="8"/>
  <c r="M638" i="8"/>
  <c r="L638" i="8"/>
  <c r="H638" i="8"/>
  <c r="O638" i="8" s="1"/>
  <c r="G638" i="8"/>
  <c r="AH637" i="8"/>
  <c r="AG637" i="8"/>
  <c r="AE637" i="8"/>
  <c r="Y637" i="8"/>
  <c r="W637" i="8"/>
  <c r="AA637" i="8" s="1"/>
  <c r="V637" i="8"/>
  <c r="U637" i="8"/>
  <c r="T637" i="8"/>
  <c r="S637" i="8"/>
  <c r="R637" i="8"/>
  <c r="P637" i="8"/>
  <c r="Z637" i="8" s="1"/>
  <c r="N637" i="8"/>
  <c r="M637" i="8"/>
  <c r="L637" i="8"/>
  <c r="H637" i="8"/>
  <c r="O637" i="8" s="1"/>
  <c r="G637" i="8"/>
  <c r="AH636" i="8"/>
  <c r="AG636" i="8"/>
  <c r="AE636" i="8"/>
  <c r="Y636" i="8"/>
  <c r="W636" i="8"/>
  <c r="AA636" i="8" s="1"/>
  <c r="V636" i="8"/>
  <c r="U636" i="8"/>
  <c r="T636" i="8"/>
  <c r="S636" i="8"/>
  <c r="P636" i="8"/>
  <c r="Z636" i="8" s="1"/>
  <c r="O636" i="8"/>
  <c r="N636" i="8"/>
  <c r="M636" i="8"/>
  <c r="L636" i="8"/>
  <c r="H636" i="8"/>
  <c r="R636" i="8" s="1"/>
  <c r="G636" i="8"/>
  <c r="AH635" i="8"/>
  <c r="AG635" i="8"/>
  <c r="AE635" i="8"/>
  <c r="Y635" i="8"/>
  <c r="W635" i="8"/>
  <c r="V635" i="8"/>
  <c r="U635" i="8"/>
  <c r="T635" i="8"/>
  <c r="S635" i="8"/>
  <c r="R635" i="8"/>
  <c r="P635" i="8"/>
  <c r="Z635" i="8" s="1"/>
  <c r="O635" i="8"/>
  <c r="N635" i="8"/>
  <c r="M635" i="8"/>
  <c r="L635" i="8"/>
  <c r="H635" i="8"/>
  <c r="G635" i="8"/>
  <c r="AH634" i="8"/>
  <c r="AG634" i="8"/>
  <c r="AE634" i="8"/>
  <c r="Y634" i="8"/>
  <c r="W634" i="8"/>
  <c r="AA634" i="8" s="1"/>
  <c r="V634" i="8"/>
  <c r="U634" i="8"/>
  <c r="T634" i="8"/>
  <c r="P634" i="8"/>
  <c r="Z634" i="8" s="1"/>
  <c r="N634" i="8"/>
  <c r="M634" i="8"/>
  <c r="L634" i="8"/>
  <c r="H634" i="8"/>
  <c r="O634" i="8" s="1"/>
  <c r="G634" i="8"/>
  <c r="AH633" i="8"/>
  <c r="AG633" i="8"/>
  <c r="AE633" i="8"/>
  <c r="Y633" i="8"/>
  <c r="W633" i="8"/>
  <c r="AA633" i="8" s="1"/>
  <c r="V633" i="8"/>
  <c r="U633" i="8"/>
  <c r="T633" i="8"/>
  <c r="S633" i="8"/>
  <c r="R633" i="8"/>
  <c r="P633" i="8"/>
  <c r="Z633" i="8" s="1"/>
  <c r="N633" i="8"/>
  <c r="M633" i="8"/>
  <c r="L633" i="8"/>
  <c r="H633" i="8"/>
  <c r="O633" i="8" s="1"/>
  <c r="G633" i="8"/>
  <c r="AH632" i="8"/>
  <c r="AG632" i="8"/>
  <c r="AE632" i="8"/>
  <c r="Y632" i="8"/>
  <c r="W632" i="8"/>
  <c r="AA632" i="8" s="1"/>
  <c r="V632" i="8"/>
  <c r="U632" i="8"/>
  <c r="T632" i="8"/>
  <c r="S632" i="8"/>
  <c r="P632" i="8"/>
  <c r="Z632" i="8" s="1"/>
  <c r="O632" i="8"/>
  <c r="N632" i="8"/>
  <c r="M632" i="8"/>
  <c r="L632" i="8"/>
  <c r="H632" i="8"/>
  <c r="R632" i="8" s="1"/>
  <c r="G632" i="8"/>
  <c r="AH631" i="8"/>
  <c r="AG631" i="8"/>
  <c r="AE631" i="8"/>
  <c r="Y631" i="8"/>
  <c r="W631" i="8"/>
  <c r="V631" i="8"/>
  <c r="U631" i="8"/>
  <c r="T631" i="8"/>
  <c r="S631" i="8"/>
  <c r="R631" i="8"/>
  <c r="P631" i="8"/>
  <c r="Z631" i="8" s="1"/>
  <c r="O631" i="8"/>
  <c r="N631" i="8"/>
  <c r="M631" i="8"/>
  <c r="L631" i="8"/>
  <c r="H631" i="8"/>
  <c r="G631" i="8"/>
  <c r="AH630" i="8"/>
  <c r="AG630" i="8"/>
  <c r="AE630" i="8"/>
  <c r="Y630" i="8"/>
  <c r="W630" i="8"/>
  <c r="AA630" i="8" s="1"/>
  <c r="V630" i="8"/>
  <c r="U630" i="8"/>
  <c r="T630" i="8"/>
  <c r="P630" i="8"/>
  <c r="Z630" i="8" s="1"/>
  <c r="M630" i="8"/>
  <c r="L630" i="8"/>
  <c r="H630" i="8"/>
  <c r="G630" i="8"/>
  <c r="AH629" i="8"/>
  <c r="AG629" i="8"/>
  <c r="AE629" i="8"/>
  <c r="Z629" i="8"/>
  <c r="X629" i="8" s="1"/>
  <c r="AB629" i="8" s="1"/>
  <c r="Y629" i="8"/>
  <c r="V629" i="8"/>
  <c r="W629" i="8" s="1"/>
  <c r="AA629" i="8" s="1"/>
  <c r="U629" i="8"/>
  <c r="T629" i="8"/>
  <c r="O629" i="8"/>
  <c r="M629" i="8"/>
  <c r="P629" i="8" s="1"/>
  <c r="L629" i="8"/>
  <c r="H629" i="8"/>
  <c r="N629" i="8" s="1"/>
  <c r="G629" i="8"/>
  <c r="AH628" i="8"/>
  <c r="AG628" i="8"/>
  <c r="AE628" i="8"/>
  <c r="AA628" i="8"/>
  <c r="Y628" i="8"/>
  <c r="W628" i="8"/>
  <c r="V628" i="8"/>
  <c r="U628" i="8"/>
  <c r="T628" i="8"/>
  <c r="S628" i="8"/>
  <c r="R628" i="8"/>
  <c r="P628" i="8"/>
  <c r="Z628" i="8" s="1"/>
  <c r="N628" i="8"/>
  <c r="M628" i="8"/>
  <c r="O628" i="8" s="1"/>
  <c r="L628" i="8"/>
  <c r="H628" i="8"/>
  <c r="G628" i="8"/>
  <c r="AH627" i="8"/>
  <c r="AG627" i="8"/>
  <c r="AE627" i="8"/>
  <c r="Y627" i="8"/>
  <c r="V627" i="8"/>
  <c r="W627" i="8" s="1"/>
  <c r="U627" i="8"/>
  <c r="T627" i="8"/>
  <c r="P627" i="8"/>
  <c r="M627" i="8"/>
  <c r="L627" i="8"/>
  <c r="H627" i="8"/>
  <c r="N627" i="8" s="1"/>
  <c r="G627" i="8"/>
  <c r="AH626" i="8"/>
  <c r="AG626" i="8"/>
  <c r="AF626" i="8"/>
  <c r="AE626" i="8"/>
  <c r="Y626" i="8"/>
  <c r="AC626" i="8" s="1"/>
  <c r="AD626" i="8" s="1"/>
  <c r="W626" i="8"/>
  <c r="AA626" i="8" s="1"/>
  <c r="V626" i="8"/>
  <c r="U626" i="8"/>
  <c r="T626" i="8"/>
  <c r="P626" i="8"/>
  <c r="Z626" i="8" s="1"/>
  <c r="O626" i="8"/>
  <c r="N626" i="8"/>
  <c r="M626" i="8"/>
  <c r="L626" i="8"/>
  <c r="H626" i="8"/>
  <c r="R626" i="8" s="1"/>
  <c r="S626" i="8" s="1"/>
  <c r="G626" i="8"/>
  <c r="AH625" i="8"/>
  <c r="AG625" i="8"/>
  <c r="AE625" i="8"/>
  <c r="Y625" i="8"/>
  <c r="W625" i="8"/>
  <c r="V625" i="8"/>
  <c r="U625" i="8"/>
  <c r="T625" i="8"/>
  <c r="R625" i="8"/>
  <c r="N625" i="8"/>
  <c r="M625" i="8"/>
  <c r="P625" i="8" s="1"/>
  <c r="Z625" i="8" s="1"/>
  <c r="X625" i="8" s="1"/>
  <c r="AB625" i="8" s="1"/>
  <c r="L625" i="8"/>
  <c r="H625" i="8"/>
  <c r="G625" i="8"/>
  <c r="AH624" i="8"/>
  <c r="AG624" i="8"/>
  <c r="AE624" i="8"/>
  <c r="Y624" i="8"/>
  <c r="W624" i="8"/>
  <c r="V624" i="8"/>
  <c r="Z624" i="8" s="1"/>
  <c r="X624" i="8" s="1"/>
  <c r="AB624" i="8" s="1"/>
  <c r="U624" i="8"/>
  <c r="T624" i="8"/>
  <c r="R624" i="8"/>
  <c r="N624" i="8"/>
  <c r="M624" i="8"/>
  <c r="P624" i="8" s="1"/>
  <c r="L624" i="8"/>
  <c r="H624" i="8"/>
  <c r="G624" i="8"/>
  <c r="AH623" i="8"/>
  <c r="AG623" i="8"/>
  <c r="AE623" i="8"/>
  <c r="Y623" i="8"/>
  <c r="X623" i="8" s="1"/>
  <c r="AB623" i="8" s="1"/>
  <c r="W623" i="8"/>
  <c r="V623" i="8"/>
  <c r="U623" i="8"/>
  <c r="T623" i="8"/>
  <c r="O623" i="8"/>
  <c r="M623" i="8"/>
  <c r="P623" i="8" s="1"/>
  <c r="Z623" i="8" s="1"/>
  <c r="L623" i="8"/>
  <c r="H623" i="8"/>
  <c r="R623" i="8" s="1"/>
  <c r="S623" i="8" s="1"/>
  <c r="G623" i="8"/>
  <c r="AH622" i="8"/>
  <c r="AG622" i="8"/>
  <c r="AF622" i="8"/>
  <c r="AE622" i="8"/>
  <c r="Y622" i="8"/>
  <c r="AC622" i="8" s="1"/>
  <c r="AD622" i="8" s="1"/>
  <c r="V622" i="8"/>
  <c r="W622" i="8" s="1"/>
  <c r="AA622" i="8" s="1"/>
  <c r="U622" i="8"/>
  <c r="T622" i="8"/>
  <c r="P622" i="8"/>
  <c r="O622" i="8"/>
  <c r="N622" i="8"/>
  <c r="M622" i="8"/>
  <c r="L622" i="8"/>
  <c r="H622" i="8"/>
  <c r="R622" i="8" s="1"/>
  <c r="S622" i="8" s="1"/>
  <c r="G622" i="8"/>
  <c r="AH621" i="8"/>
  <c r="AG621" i="8"/>
  <c r="AE621" i="8"/>
  <c r="Y621" i="8"/>
  <c r="W621" i="8"/>
  <c r="V621" i="8"/>
  <c r="Z621" i="8" s="1"/>
  <c r="U621" i="8"/>
  <c r="T621" i="8"/>
  <c r="R621" i="8"/>
  <c r="M621" i="8"/>
  <c r="P621" i="8" s="1"/>
  <c r="L621" i="8"/>
  <c r="H621" i="8"/>
  <c r="N621" i="8" s="1"/>
  <c r="G621" i="8"/>
  <c r="AH620" i="8"/>
  <c r="AG620" i="8"/>
  <c r="AE620" i="8"/>
  <c r="Y620" i="8"/>
  <c r="W620" i="8"/>
  <c r="V620" i="8"/>
  <c r="U620" i="8"/>
  <c r="T620" i="8"/>
  <c r="R620" i="8"/>
  <c r="P620" i="8"/>
  <c r="Z620" i="8" s="1"/>
  <c r="X620" i="8" s="1"/>
  <c r="AB620" i="8" s="1"/>
  <c r="N620" i="8"/>
  <c r="M620" i="8"/>
  <c r="O620" i="8" s="1"/>
  <c r="L620" i="8"/>
  <c r="H620" i="8"/>
  <c r="G620" i="8"/>
  <c r="AH619" i="8"/>
  <c r="AG619" i="8"/>
  <c r="AE619" i="8"/>
  <c r="Y619" i="8"/>
  <c r="W619" i="8"/>
  <c r="V619" i="8"/>
  <c r="U619" i="8"/>
  <c r="T619" i="8"/>
  <c r="M619" i="8"/>
  <c r="P619" i="8" s="1"/>
  <c r="L619" i="8"/>
  <c r="H619" i="8"/>
  <c r="R619" i="8" s="1"/>
  <c r="G619" i="8"/>
  <c r="AH618" i="8"/>
  <c r="AG618" i="8"/>
  <c r="AE618" i="8"/>
  <c r="Y618" i="8"/>
  <c r="V618" i="8"/>
  <c r="W618" i="8" s="1"/>
  <c r="AA618" i="8" s="1"/>
  <c r="U618" i="8"/>
  <c r="T618" i="8"/>
  <c r="P618" i="8"/>
  <c r="Z618" i="8" s="1"/>
  <c r="M618" i="8"/>
  <c r="L618" i="8"/>
  <c r="H618" i="8"/>
  <c r="R618" i="8" s="1"/>
  <c r="G618" i="8"/>
  <c r="AH617" i="8"/>
  <c r="AG617" i="8"/>
  <c r="AE617" i="8"/>
  <c r="Y617" i="8"/>
  <c r="W617" i="8"/>
  <c r="V617" i="8"/>
  <c r="U617" i="8"/>
  <c r="T617" i="8"/>
  <c r="R617" i="8"/>
  <c r="N617" i="8"/>
  <c r="M617" i="8"/>
  <c r="O617" i="8" s="1"/>
  <c r="L617" i="8"/>
  <c r="H617" i="8"/>
  <c r="G617" i="8"/>
  <c r="AH616" i="8"/>
  <c r="AG616" i="8"/>
  <c r="AE616" i="8"/>
  <c r="Y616" i="8"/>
  <c r="W616" i="8"/>
  <c r="V616" i="8"/>
  <c r="Z616" i="8" s="1"/>
  <c r="X616" i="8" s="1"/>
  <c r="AB616" i="8" s="1"/>
  <c r="U616" i="8"/>
  <c r="T616" i="8"/>
  <c r="R616" i="8"/>
  <c r="N616" i="8"/>
  <c r="M616" i="8"/>
  <c r="P616" i="8" s="1"/>
  <c r="L616" i="8"/>
  <c r="H616" i="8"/>
  <c r="G616" i="8"/>
  <c r="AH615" i="8"/>
  <c r="AG615" i="8"/>
  <c r="AE615" i="8"/>
  <c r="Y615" i="8"/>
  <c r="X615" i="8" s="1"/>
  <c r="AB615" i="8" s="1"/>
  <c r="W615" i="8"/>
  <c r="V615" i="8"/>
  <c r="U615" i="8"/>
  <c r="T615" i="8"/>
  <c r="O615" i="8"/>
  <c r="M615" i="8"/>
  <c r="P615" i="8" s="1"/>
  <c r="Z615" i="8" s="1"/>
  <c r="L615" i="8"/>
  <c r="H615" i="8"/>
  <c r="R615" i="8" s="1"/>
  <c r="S615" i="8" s="1"/>
  <c r="G615" i="8"/>
  <c r="AH614" i="8"/>
  <c r="AG614" i="8"/>
  <c r="AF614" i="8"/>
  <c r="AE614" i="8"/>
  <c r="Y614" i="8"/>
  <c r="AC614" i="8" s="1"/>
  <c r="AD614" i="8" s="1"/>
  <c r="V614" i="8"/>
  <c r="W614" i="8" s="1"/>
  <c r="AA614" i="8" s="1"/>
  <c r="U614" i="8"/>
  <c r="T614" i="8"/>
  <c r="P614" i="8"/>
  <c r="O614" i="8"/>
  <c r="N614" i="8"/>
  <c r="M614" i="8"/>
  <c r="L614" i="8"/>
  <c r="H614" i="8"/>
  <c r="R614" i="8" s="1"/>
  <c r="S614" i="8" s="1"/>
  <c r="G614" i="8"/>
  <c r="AH613" i="8"/>
  <c r="AG613" i="8"/>
  <c r="AE613" i="8"/>
  <c r="Y613" i="8"/>
  <c r="W613" i="8"/>
  <c r="V613" i="8"/>
  <c r="U613" i="8"/>
  <c r="T613" i="8"/>
  <c r="R613" i="8"/>
  <c r="M613" i="8"/>
  <c r="P613" i="8" s="1"/>
  <c r="L613" i="8"/>
  <c r="H613" i="8"/>
  <c r="N613" i="8" s="1"/>
  <c r="G613" i="8"/>
  <c r="AH612" i="8"/>
  <c r="AG612" i="8"/>
  <c r="AE612" i="8"/>
  <c r="Y612" i="8"/>
  <c r="W612" i="8"/>
  <c r="V612" i="8"/>
  <c r="U612" i="8"/>
  <c r="T612" i="8"/>
  <c r="R612" i="8"/>
  <c r="P612" i="8"/>
  <c r="Z612" i="8" s="1"/>
  <c r="X612" i="8" s="1"/>
  <c r="AB612" i="8" s="1"/>
  <c r="N612" i="8"/>
  <c r="M612" i="8"/>
  <c r="O612" i="8" s="1"/>
  <c r="L612" i="8"/>
  <c r="H612" i="8"/>
  <c r="G612" i="8"/>
  <c r="AH611" i="8"/>
  <c r="AG611" i="8"/>
  <c r="AE611" i="8"/>
  <c r="Y611" i="8"/>
  <c r="X611" i="8" s="1"/>
  <c r="AB611" i="8" s="1"/>
  <c r="W611" i="8"/>
  <c r="V611" i="8"/>
  <c r="Z611" i="8" s="1"/>
  <c r="U611" i="8"/>
  <c r="T611" i="8"/>
  <c r="M611" i="8"/>
  <c r="P611" i="8" s="1"/>
  <c r="L611" i="8"/>
  <c r="H611" i="8"/>
  <c r="R611" i="8" s="1"/>
  <c r="G611" i="8"/>
  <c r="AH610" i="8"/>
  <c r="AG610" i="8"/>
  <c r="AE610" i="8"/>
  <c r="Y610" i="8"/>
  <c r="X610" i="8" s="1"/>
  <c r="AB610" i="8" s="1"/>
  <c r="V610" i="8"/>
  <c r="W610" i="8" s="1"/>
  <c r="AA610" i="8" s="1"/>
  <c r="U610" i="8"/>
  <c r="T610" i="8"/>
  <c r="P610" i="8"/>
  <c r="Z610" i="8" s="1"/>
  <c r="M610" i="8"/>
  <c r="L610" i="8"/>
  <c r="H610" i="8"/>
  <c r="R610" i="8" s="1"/>
  <c r="G610" i="8"/>
  <c r="AH609" i="8"/>
  <c r="AG609" i="8"/>
  <c r="AE609" i="8"/>
  <c r="Y609" i="8"/>
  <c r="W609" i="8"/>
  <c r="V609" i="8"/>
  <c r="U609" i="8"/>
  <c r="T609" i="8"/>
  <c r="R609" i="8"/>
  <c r="N609" i="8"/>
  <c r="M609" i="8"/>
  <c r="O609" i="8" s="1"/>
  <c r="L609" i="8"/>
  <c r="H609" i="8"/>
  <c r="G609" i="8"/>
  <c r="AH608" i="8"/>
  <c r="AG608" i="8"/>
  <c r="AE608" i="8"/>
  <c r="Y608" i="8"/>
  <c r="W608" i="8"/>
  <c r="V608" i="8"/>
  <c r="Z608" i="8" s="1"/>
  <c r="X608" i="8" s="1"/>
  <c r="AB608" i="8" s="1"/>
  <c r="U608" i="8"/>
  <c r="T608" i="8"/>
  <c r="R608" i="8"/>
  <c r="N608" i="8"/>
  <c r="M608" i="8"/>
  <c r="P608" i="8" s="1"/>
  <c r="L608" i="8"/>
  <c r="H608" i="8"/>
  <c r="G608" i="8"/>
  <c r="AH607" i="8"/>
  <c r="AG607" i="8"/>
  <c r="AE607" i="8"/>
  <c r="Y607" i="8"/>
  <c r="AC607" i="8" s="1"/>
  <c r="AF607" i="8" s="1"/>
  <c r="W607" i="8"/>
  <c r="V607" i="8"/>
  <c r="U607" i="8"/>
  <c r="T607" i="8"/>
  <c r="P607" i="8"/>
  <c r="Z607" i="8" s="1"/>
  <c r="O607" i="8"/>
  <c r="M607" i="8"/>
  <c r="L607" i="8"/>
  <c r="H607" i="8"/>
  <c r="R607" i="8" s="1"/>
  <c r="S607" i="8" s="1"/>
  <c r="G607" i="8"/>
  <c r="AH606" i="8"/>
  <c r="AG606" i="8"/>
  <c r="AF606" i="8"/>
  <c r="AE606" i="8"/>
  <c r="Y606" i="8"/>
  <c r="AC606" i="8" s="1"/>
  <c r="AD606" i="8" s="1"/>
  <c r="V606" i="8"/>
  <c r="W606" i="8" s="1"/>
  <c r="AA606" i="8" s="1"/>
  <c r="U606" i="8"/>
  <c r="T606" i="8"/>
  <c r="P606" i="8"/>
  <c r="O606" i="8"/>
  <c r="N606" i="8"/>
  <c r="M606" i="8"/>
  <c r="L606" i="8"/>
  <c r="H606" i="8"/>
  <c r="R606" i="8" s="1"/>
  <c r="S606" i="8" s="1"/>
  <c r="G606" i="8"/>
  <c r="AH605" i="8"/>
  <c r="AG605" i="8"/>
  <c r="AE605" i="8"/>
  <c r="Y605" i="8"/>
  <c r="W605" i="8"/>
  <c r="V605" i="8"/>
  <c r="Z605" i="8" s="1"/>
  <c r="X605" i="8" s="1"/>
  <c r="AB605" i="8" s="1"/>
  <c r="U605" i="8"/>
  <c r="T605" i="8"/>
  <c r="R605" i="8"/>
  <c r="M605" i="8"/>
  <c r="P605" i="8" s="1"/>
  <c r="L605" i="8"/>
  <c r="H605" i="8"/>
  <c r="N605" i="8" s="1"/>
  <c r="G605" i="8"/>
  <c r="AH604" i="8"/>
  <c r="AG604" i="8"/>
  <c r="AE604" i="8"/>
  <c r="Y604" i="8"/>
  <c r="W604" i="8"/>
  <c r="V604" i="8"/>
  <c r="U604" i="8"/>
  <c r="T604" i="8"/>
  <c r="R604" i="8"/>
  <c r="P604" i="8"/>
  <c r="Z604" i="8" s="1"/>
  <c r="X604" i="8" s="1"/>
  <c r="AB604" i="8" s="1"/>
  <c r="N604" i="8"/>
  <c r="M604" i="8"/>
  <c r="O604" i="8" s="1"/>
  <c r="L604" i="8"/>
  <c r="H604" i="8"/>
  <c r="G604" i="8"/>
  <c r="AH603" i="8"/>
  <c r="AG603" i="8"/>
  <c r="AE603" i="8"/>
  <c r="Y603" i="8"/>
  <c r="V603" i="8"/>
  <c r="W603" i="8" s="1"/>
  <c r="U603" i="8"/>
  <c r="T603" i="8"/>
  <c r="R603" i="8"/>
  <c r="N603" i="8"/>
  <c r="M603" i="8"/>
  <c r="O603" i="8" s="1"/>
  <c r="L603" i="8"/>
  <c r="H603" i="8"/>
  <c r="G603" i="8"/>
  <c r="AH602" i="8"/>
  <c r="AG602" i="8"/>
  <c r="AE602" i="8"/>
  <c r="Y602" i="8"/>
  <c r="W602" i="8"/>
  <c r="AA602" i="8" s="1"/>
  <c r="V602" i="8"/>
  <c r="Z602" i="8" s="1"/>
  <c r="U602" i="8"/>
  <c r="T602" i="8"/>
  <c r="P602" i="8"/>
  <c r="O602" i="8"/>
  <c r="N602" i="8"/>
  <c r="M602" i="8"/>
  <c r="L602" i="8"/>
  <c r="H602" i="8"/>
  <c r="R602" i="8" s="1"/>
  <c r="S602" i="8" s="1"/>
  <c r="G602" i="8"/>
  <c r="AH601" i="8"/>
  <c r="AG601" i="8"/>
  <c r="AE601" i="8"/>
  <c r="Y601" i="8"/>
  <c r="W601" i="8"/>
  <c r="V601" i="8"/>
  <c r="Z601" i="8" s="1"/>
  <c r="X601" i="8" s="1"/>
  <c r="AB601" i="8" s="1"/>
  <c r="U601" i="8"/>
  <c r="T601" i="8"/>
  <c r="O601" i="8"/>
  <c r="N601" i="8"/>
  <c r="M601" i="8"/>
  <c r="P601" i="8" s="1"/>
  <c r="L601" i="8"/>
  <c r="H601" i="8"/>
  <c r="R601" i="8" s="1"/>
  <c r="S601" i="8" s="1"/>
  <c r="G601" i="8"/>
  <c r="AH600" i="8"/>
  <c r="AG600" i="8"/>
  <c r="AE600" i="8"/>
  <c r="Y600" i="8"/>
  <c r="W600" i="8"/>
  <c r="AA600" i="8" s="1"/>
  <c r="V600" i="8"/>
  <c r="U600" i="8"/>
  <c r="T600" i="8"/>
  <c r="R600" i="8"/>
  <c r="N600" i="8"/>
  <c r="M600" i="8"/>
  <c r="P600" i="8" s="1"/>
  <c r="L600" i="8"/>
  <c r="H600" i="8"/>
  <c r="G600" i="8"/>
  <c r="AH599" i="8"/>
  <c r="AG599" i="8"/>
  <c r="AE599" i="8"/>
  <c r="Y599" i="8"/>
  <c r="V599" i="8"/>
  <c r="U599" i="8"/>
  <c r="T599" i="8"/>
  <c r="R599" i="8"/>
  <c r="M599" i="8"/>
  <c r="P599" i="8" s="1"/>
  <c r="L599" i="8"/>
  <c r="H599" i="8"/>
  <c r="N599" i="8" s="1"/>
  <c r="G599" i="8"/>
  <c r="AH598" i="8"/>
  <c r="AG598" i="8"/>
  <c r="AE598" i="8"/>
  <c r="Y598" i="8"/>
  <c r="V598" i="8"/>
  <c r="Z598" i="8" s="1"/>
  <c r="U598" i="8"/>
  <c r="T598" i="8"/>
  <c r="P598" i="8"/>
  <c r="M598" i="8"/>
  <c r="L598" i="8"/>
  <c r="N598" i="8" s="1"/>
  <c r="H598" i="8"/>
  <c r="R598" i="8" s="1"/>
  <c r="G598" i="8"/>
  <c r="AH597" i="8"/>
  <c r="AG597" i="8"/>
  <c r="AE597" i="8"/>
  <c r="Y597" i="8"/>
  <c r="V597" i="8"/>
  <c r="Z597" i="8" s="1"/>
  <c r="U597" i="8"/>
  <c r="W597" i="8" s="1"/>
  <c r="AA597" i="8" s="1"/>
  <c r="T597" i="8"/>
  <c r="P597" i="8"/>
  <c r="M597" i="8"/>
  <c r="L597" i="8"/>
  <c r="N597" i="8" s="1"/>
  <c r="H597" i="8"/>
  <c r="R597" i="8" s="1"/>
  <c r="G597" i="8"/>
  <c r="AH596" i="8"/>
  <c r="AG596" i="8"/>
  <c r="AE596" i="8"/>
  <c r="Y596" i="8"/>
  <c r="V596" i="8"/>
  <c r="Z596" i="8" s="1"/>
  <c r="U596" i="8"/>
  <c r="W596" i="8" s="1"/>
  <c r="AA596" i="8" s="1"/>
  <c r="T596" i="8"/>
  <c r="P596" i="8"/>
  <c r="M596" i="8"/>
  <c r="L596" i="8"/>
  <c r="N596" i="8" s="1"/>
  <c r="H596" i="8"/>
  <c r="R596" i="8" s="1"/>
  <c r="G596" i="8"/>
  <c r="AH595" i="8"/>
  <c r="AG595" i="8"/>
  <c r="AE595" i="8"/>
  <c r="Y595" i="8"/>
  <c r="V595" i="8"/>
  <c r="U595" i="8"/>
  <c r="W595" i="8" s="1"/>
  <c r="AA595" i="8" s="1"/>
  <c r="T595" i="8"/>
  <c r="P595" i="8"/>
  <c r="Z595" i="8" s="1"/>
  <c r="M595" i="8"/>
  <c r="L595" i="8"/>
  <c r="N595" i="8" s="1"/>
  <c r="H595" i="8"/>
  <c r="R595" i="8" s="1"/>
  <c r="G595" i="8"/>
  <c r="AH594" i="8"/>
  <c r="AG594" i="8"/>
  <c r="AE594" i="8"/>
  <c r="Y594" i="8"/>
  <c r="X594" i="8" s="1"/>
  <c r="AB594" i="8" s="1"/>
  <c r="V594" i="8"/>
  <c r="U594" i="8"/>
  <c r="W594" i="8" s="1"/>
  <c r="AA594" i="8" s="1"/>
  <c r="T594" i="8"/>
  <c r="P594" i="8"/>
  <c r="Z594" i="8" s="1"/>
  <c r="M594" i="8"/>
  <c r="L594" i="8"/>
  <c r="N594" i="8" s="1"/>
  <c r="H594" i="8"/>
  <c r="R594" i="8" s="1"/>
  <c r="G594" i="8"/>
  <c r="AH593" i="8"/>
  <c r="AG593" i="8"/>
  <c r="AE593" i="8"/>
  <c r="Y593" i="8"/>
  <c r="X593" i="8" s="1"/>
  <c r="AB593" i="8" s="1"/>
  <c r="V593" i="8"/>
  <c r="U593" i="8"/>
  <c r="W593" i="8" s="1"/>
  <c r="T593" i="8"/>
  <c r="P593" i="8"/>
  <c r="Z593" i="8" s="1"/>
  <c r="M593" i="8"/>
  <c r="L593" i="8"/>
  <c r="N593" i="8" s="1"/>
  <c r="H593" i="8"/>
  <c r="R593" i="8" s="1"/>
  <c r="G593" i="8"/>
  <c r="AH592" i="8"/>
  <c r="AG592" i="8"/>
  <c r="AE592" i="8"/>
  <c r="Y592" i="8"/>
  <c r="X592" i="8" s="1"/>
  <c r="AB592" i="8" s="1"/>
  <c r="V592" i="8"/>
  <c r="U592" i="8"/>
  <c r="W592" i="8" s="1"/>
  <c r="AA592" i="8" s="1"/>
  <c r="T592" i="8"/>
  <c r="P592" i="8"/>
  <c r="Z592" i="8" s="1"/>
  <c r="M592" i="8"/>
  <c r="L592" i="8"/>
  <c r="N592" i="8" s="1"/>
  <c r="H592" i="8"/>
  <c r="R592" i="8" s="1"/>
  <c r="G592" i="8"/>
  <c r="AH591" i="8"/>
  <c r="AG591" i="8"/>
  <c r="AE591" i="8"/>
  <c r="Y591" i="8"/>
  <c r="X591" i="8" s="1"/>
  <c r="AB591" i="8" s="1"/>
  <c r="V591" i="8"/>
  <c r="U591" i="8"/>
  <c r="W591" i="8" s="1"/>
  <c r="AA591" i="8" s="1"/>
  <c r="T591" i="8"/>
  <c r="P591" i="8"/>
  <c r="Z591" i="8" s="1"/>
  <c r="M591" i="8"/>
  <c r="L591" i="8"/>
  <c r="N591" i="8" s="1"/>
  <c r="H591" i="8"/>
  <c r="R591" i="8" s="1"/>
  <c r="G591" i="8"/>
  <c r="AH590" i="8"/>
  <c r="AG590" i="8"/>
  <c r="AE590" i="8"/>
  <c r="Y590" i="8"/>
  <c r="X590" i="8" s="1"/>
  <c r="AB590" i="8" s="1"/>
  <c r="V590" i="8"/>
  <c r="U590" i="8"/>
  <c r="W590" i="8" s="1"/>
  <c r="AA590" i="8" s="1"/>
  <c r="T590" i="8"/>
  <c r="P590" i="8"/>
  <c r="Z590" i="8" s="1"/>
  <c r="M590" i="8"/>
  <c r="L590" i="8"/>
  <c r="N590" i="8" s="1"/>
  <c r="H590" i="8"/>
  <c r="R590" i="8" s="1"/>
  <c r="G590" i="8"/>
  <c r="AH589" i="8"/>
  <c r="AG589" i="8"/>
  <c r="AE589" i="8"/>
  <c r="Y589" i="8"/>
  <c r="X589" i="8" s="1"/>
  <c r="AB589" i="8" s="1"/>
  <c r="V589" i="8"/>
  <c r="U589" i="8"/>
  <c r="W589" i="8" s="1"/>
  <c r="T589" i="8"/>
  <c r="P589" i="8"/>
  <c r="Z589" i="8" s="1"/>
  <c r="M589" i="8"/>
  <c r="L589" i="8"/>
  <c r="N589" i="8" s="1"/>
  <c r="H589" i="8"/>
  <c r="R589" i="8" s="1"/>
  <c r="G589" i="8"/>
  <c r="AH588" i="8"/>
  <c r="AG588" i="8"/>
  <c r="AE588" i="8"/>
  <c r="Y588" i="8"/>
  <c r="V588" i="8"/>
  <c r="U588" i="8"/>
  <c r="W588" i="8" s="1"/>
  <c r="AA588" i="8" s="1"/>
  <c r="T588" i="8"/>
  <c r="R588" i="8"/>
  <c r="S588" i="8" s="1"/>
  <c r="P588" i="8"/>
  <c r="AC588" i="8" s="1"/>
  <c r="M588" i="8"/>
  <c r="L588" i="8"/>
  <c r="N588" i="8" s="1"/>
  <c r="H588" i="8"/>
  <c r="O588" i="8" s="1"/>
  <c r="G588" i="8"/>
  <c r="AH587" i="8"/>
  <c r="AG587" i="8"/>
  <c r="AE587" i="8"/>
  <c r="Y587" i="8"/>
  <c r="V587" i="8"/>
  <c r="U587" i="8"/>
  <c r="W587" i="8" s="1"/>
  <c r="AA587" i="8" s="1"/>
  <c r="T587" i="8"/>
  <c r="R587" i="8"/>
  <c r="S587" i="8" s="1"/>
  <c r="P587" i="8"/>
  <c r="AC587" i="8" s="1"/>
  <c r="M587" i="8"/>
  <c r="L587" i="8"/>
  <c r="N587" i="8" s="1"/>
  <c r="H587" i="8"/>
  <c r="O587" i="8" s="1"/>
  <c r="G587" i="8"/>
  <c r="AH586" i="8"/>
  <c r="AG586" i="8"/>
  <c r="AE586" i="8"/>
  <c r="Y586" i="8"/>
  <c r="V586" i="8"/>
  <c r="U586" i="8"/>
  <c r="W586" i="8" s="1"/>
  <c r="AA586" i="8" s="1"/>
  <c r="T586" i="8"/>
  <c r="R586" i="8"/>
  <c r="S586" i="8" s="1"/>
  <c r="P586" i="8"/>
  <c r="AC586" i="8" s="1"/>
  <c r="M586" i="8"/>
  <c r="L586" i="8"/>
  <c r="N586" i="8" s="1"/>
  <c r="H586" i="8"/>
  <c r="O586" i="8" s="1"/>
  <c r="G586" i="8"/>
  <c r="AH585" i="8"/>
  <c r="AG585" i="8"/>
  <c r="AE585" i="8"/>
  <c r="Y585" i="8"/>
  <c r="V585" i="8"/>
  <c r="U585" i="8"/>
  <c r="W585" i="8" s="1"/>
  <c r="AA585" i="8" s="1"/>
  <c r="T585" i="8"/>
  <c r="R585" i="8"/>
  <c r="S585" i="8" s="1"/>
  <c r="P585" i="8"/>
  <c r="AC585" i="8" s="1"/>
  <c r="M585" i="8"/>
  <c r="L585" i="8"/>
  <c r="N585" i="8" s="1"/>
  <c r="H585" i="8"/>
  <c r="O585" i="8" s="1"/>
  <c r="G585" i="8"/>
  <c r="AH584" i="8"/>
  <c r="AG584" i="8"/>
  <c r="AE584" i="8"/>
  <c r="Y584" i="8"/>
  <c r="V584" i="8"/>
  <c r="U584" i="8"/>
  <c r="W584" i="8" s="1"/>
  <c r="AA584" i="8" s="1"/>
  <c r="T584" i="8"/>
  <c r="R584" i="8"/>
  <c r="S584" i="8" s="1"/>
  <c r="P584" i="8"/>
  <c r="AC584" i="8" s="1"/>
  <c r="M584" i="8"/>
  <c r="L584" i="8"/>
  <c r="N584" i="8" s="1"/>
  <c r="H584" i="8"/>
  <c r="O584" i="8" s="1"/>
  <c r="G584" i="8"/>
  <c r="AH583" i="8"/>
  <c r="AG583" i="8"/>
  <c r="AE583" i="8"/>
  <c r="Y583" i="8"/>
  <c r="V583" i="8"/>
  <c r="U583" i="8"/>
  <c r="W583" i="8" s="1"/>
  <c r="AA583" i="8" s="1"/>
  <c r="T583" i="8"/>
  <c r="R583" i="8"/>
  <c r="S583" i="8" s="1"/>
  <c r="P583" i="8"/>
  <c r="AC583" i="8" s="1"/>
  <c r="M583" i="8"/>
  <c r="L583" i="8"/>
  <c r="N583" i="8" s="1"/>
  <c r="H583" i="8"/>
  <c r="O583" i="8" s="1"/>
  <c r="G583" i="8"/>
  <c r="AH582" i="8"/>
  <c r="AG582" i="8"/>
  <c r="AE582" i="8"/>
  <c r="Y582" i="8"/>
  <c r="V582" i="8"/>
  <c r="U582" i="8"/>
  <c r="W582" i="8" s="1"/>
  <c r="AA582" i="8" s="1"/>
  <c r="T582" i="8"/>
  <c r="R582" i="8"/>
  <c r="S582" i="8" s="1"/>
  <c r="P582" i="8"/>
  <c r="AC582" i="8" s="1"/>
  <c r="M582" i="8"/>
  <c r="L582" i="8"/>
  <c r="N582" i="8" s="1"/>
  <c r="H582" i="8"/>
  <c r="O582" i="8" s="1"/>
  <c r="G582" i="8"/>
  <c r="AH581" i="8"/>
  <c r="AG581" i="8"/>
  <c r="AE581" i="8"/>
  <c r="Y581" i="8"/>
  <c r="V581" i="8"/>
  <c r="U581" i="8"/>
  <c r="W581" i="8" s="1"/>
  <c r="AA581" i="8" s="1"/>
  <c r="T581" i="8"/>
  <c r="R581" i="8"/>
  <c r="S581" i="8" s="1"/>
  <c r="P581" i="8"/>
  <c r="AC581" i="8" s="1"/>
  <c r="M581" i="8"/>
  <c r="L581" i="8"/>
  <c r="N581" i="8" s="1"/>
  <c r="H581" i="8"/>
  <c r="O581" i="8" s="1"/>
  <c r="G581" i="8"/>
  <c r="AH580" i="8"/>
  <c r="AG580" i="8"/>
  <c r="AE580" i="8"/>
  <c r="Y580" i="8"/>
  <c r="V580" i="8"/>
  <c r="U580" i="8"/>
  <c r="W580" i="8" s="1"/>
  <c r="AA580" i="8" s="1"/>
  <c r="T580" i="8"/>
  <c r="R580" i="8"/>
  <c r="S580" i="8" s="1"/>
  <c r="P580" i="8"/>
  <c r="AC580" i="8" s="1"/>
  <c r="M580" i="8"/>
  <c r="L580" i="8"/>
  <c r="N580" i="8" s="1"/>
  <c r="H580" i="8"/>
  <c r="O580" i="8" s="1"/>
  <c r="G580" i="8"/>
  <c r="AH579" i="8"/>
  <c r="AG579" i="8"/>
  <c r="AE579" i="8"/>
  <c r="Y579" i="8"/>
  <c r="V579" i="8"/>
  <c r="U579" i="8"/>
  <c r="W579" i="8" s="1"/>
  <c r="AA579" i="8" s="1"/>
  <c r="T579" i="8"/>
  <c r="R579" i="8"/>
  <c r="S579" i="8" s="1"/>
  <c r="P579" i="8"/>
  <c r="AC579" i="8" s="1"/>
  <c r="M579" i="8"/>
  <c r="L579" i="8"/>
  <c r="N579" i="8" s="1"/>
  <c r="H579" i="8"/>
  <c r="O579" i="8" s="1"/>
  <c r="G579" i="8"/>
  <c r="AH578" i="8"/>
  <c r="AG578" i="8"/>
  <c r="AE578" i="8"/>
  <c r="Y578" i="8"/>
  <c r="V578" i="8"/>
  <c r="U578" i="8"/>
  <c r="W578" i="8" s="1"/>
  <c r="AA578" i="8" s="1"/>
  <c r="T578" i="8"/>
  <c r="R578" i="8"/>
  <c r="S578" i="8" s="1"/>
  <c r="P578" i="8"/>
  <c r="AC578" i="8" s="1"/>
  <c r="M578" i="8"/>
  <c r="L578" i="8"/>
  <c r="N578" i="8" s="1"/>
  <c r="H578" i="8"/>
  <c r="O578" i="8" s="1"/>
  <c r="G578" i="8"/>
  <c r="AH577" i="8"/>
  <c r="AG577" i="8"/>
  <c r="AE577" i="8"/>
  <c r="Y577" i="8"/>
  <c r="V577" i="8"/>
  <c r="U577" i="8"/>
  <c r="W577" i="8" s="1"/>
  <c r="AA577" i="8" s="1"/>
  <c r="T577" i="8"/>
  <c r="R577" i="8"/>
  <c r="S577" i="8" s="1"/>
  <c r="P577" i="8"/>
  <c r="AC577" i="8" s="1"/>
  <c r="M577" i="8"/>
  <c r="L577" i="8"/>
  <c r="N577" i="8" s="1"/>
  <c r="H577" i="8"/>
  <c r="O577" i="8" s="1"/>
  <c r="G577" i="8"/>
  <c r="AH576" i="8"/>
  <c r="AG576" i="8"/>
  <c r="AE576" i="8"/>
  <c r="Z576" i="8"/>
  <c r="Y576" i="8"/>
  <c r="V576" i="8"/>
  <c r="U576" i="8"/>
  <c r="W576" i="8" s="1"/>
  <c r="AA576" i="8" s="1"/>
  <c r="T576" i="8"/>
  <c r="R576" i="8"/>
  <c r="S576" i="8" s="1"/>
  <c r="P576" i="8"/>
  <c r="AC576" i="8" s="1"/>
  <c r="M576" i="8"/>
  <c r="L576" i="8"/>
  <c r="N576" i="8" s="1"/>
  <c r="H576" i="8"/>
  <c r="O576" i="8" s="1"/>
  <c r="G576" i="8"/>
  <c r="AH575" i="8"/>
  <c r="AG575" i="8"/>
  <c r="AE575" i="8"/>
  <c r="Z575" i="8"/>
  <c r="Y575" i="8"/>
  <c r="V575" i="8"/>
  <c r="U575" i="8"/>
  <c r="W575" i="8" s="1"/>
  <c r="AA575" i="8" s="1"/>
  <c r="T575" i="8"/>
  <c r="R575" i="8"/>
  <c r="S575" i="8" s="1"/>
  <c r="P575" i="8"/>
  <c r="AC575" i="8" s="1"/>
  <c r="M575" i="8"/>
  <c r="L575" i="8"/>
  <c r="N575" i="8" s="1"/>
  <c r="H575" i="8"/>
  <c r="O575" i="8" s="1"/>
  <c r="G575" i="8"/>
  <c r="AH574" i="8"/>
  <c r="AG574" i="8"/>
  <c r="AE574" i="8"/>
  <c r="Z574" i="8"/>
  <c r="Y574" i="8"/>
  <c r="X574" i="8" s="1"/>
  <c r="AB574" i="8" s="1"/>
  <c r="V574" i="8"/>
  <c r="U574" i="8"/>
  <c r="W574" i="8" s="1"/>
  <c r="AA574" i="8" s="1"/>
  <c r="T574" i="8"/>
  <c r="R574" i="8"/>
  <c r="S574" i="8" s="1"/>
  <c r="P574" i="8"/>
  <c r="M574" i="8"/>
  <c r="L574" i="8"/>
  <c r="H574" i="8"/>
  <c r="O574" i="8" s="1"/>
  <c r="G574" i="8"/>
  <c r="AH573" i="8"/>
  <c r="AG573" i="8"/>
  <c r="AE573" i="8"/>
  <c r="Z573" i="8"/>
  <c r="Y573" i="8"/>
  <c r="X573" i="8" s="1"/>
  <c r="AB573" i="8" s="1"/>
  <c r="V573" i="8"/>
  <c r="U573" i="8"/>
  <c r="W573" i="8" s="1"/>
  <c r="AA573" i="8" s="1"/>
  <c r="T573" i="8"/>
  <c r="P573" i="8"/>
  <c r="M573" i="8"/>
  <c r="L573" i="8"/>
  <c r="H573" i="8"/>
  <c r="O573" i="8" s="1"/>
  <c r="G573" i="8"/>
  <c r="AH572" i="8"/>
  <c r="AG572" i="8"/>
  <c r="AE572" i="8"/>
  <c r="Z572" i="8"/>
  <c r="Y572" i="8"/>
  <c r="X572" i="8" s="1"/>
  <c r="AB572" i="8" s="1"/>
  <c r="V572" i="8"/>
  <c r="U572" i="8"/>
  <c r="W572" i="8" s="1"/>
  <c r="T572" i="8"/>
  <c r="P572" i="8"/>
  <c r="AA572" i="8" s="1"/>
  <c r="M572" i="8"/>
  <c r="L572" i="8"/>
  <c r="N572" i="8" s="1"/>
  <c r="H572" i="8"/>
  <c r="O572" i="8" s="1"/>
  <c r="G572" i="8"/>
  <c r="AH571" i="8"/>
  <c r="AG571" i="8"/>
  <c r="AE571" i="8"/>
  <c r="Y571" i="8"/>
  <c r="V571" i="8"/>
  <c r="U571" i="8"/>
  <c r="W571" i="8" s="1"/>
  <c r="T571" i="8"/>
  <c r="R571" i="8"/>
  <c r="S571" i="8" s="1"/>
  <c r="P571" i="8"/>
  <c r="Z571" i="8" s="1"/>
  <c r="M571" i="8"/>
  <c r="L571" i="8"/>
  <c r="N571" i="8" s="1"/>
  <c r="H571" i="8"/>
  <c r="O571" i="8" s="1"/>
  <c r="G571" i="8"/>
  <c r="AH570" i="8"/>
  <c r="AG570" i="8"/>
  <c r="AE570" i="8"/>
  <c r="AC570" i="8"/>
  <c r="Y570" i="8"/>
  <c r="V570" i="8"/>
  <c r="U570" i="8"/>
  <c r="W570" i="8" s="1"/>
  <c r="AA570" i="8" s="1"/>
  <c r="T570" i="8"/>
  <c r="P570" i="8"/>
  <c r="Z570" i="8" s="1"/>
  <c r="M570" i="8"/>
  <c r="L570" i="8"/>
  <c r="N570" i="8" s="1"/>
  <c r="H570" i="8"/>
  <c r="O570" i="8" s="1"/>
  <c r="G570" i="8"/>
  <c r="AH569" i="8"/>
  <c r="AG569" i="8"/>
  <c r="AE569" i="8"/>
  <c r="Y569" i="8"/>
  <c r="V569" i="8"/>
  <c r="U569" i="8"/>
  <c r="W569" i="8" s="1"/>
  <c r="AA569" i="8" s="1"/>
  <c r="T569" i="8"/>
  <c r="P569" i="8"/>
  <c r="Z569" i="8" s="1"/>
  <c r="M569" i="8"/>
  <c r="L569" i="8"/>
  <c r="H569" i="8"/>
  <c r="O569" i="8" s="1"/>
  <c r="G569" i="8"/>
  <c r="AH568" i="8"/>
  <c r="AG568" i="8"/>
  <c r="AE568" i="8"/>
  <c r="Z568" i="8"/>
  <c r="Y568" i="8"/>
  <c r="X568" i="8" s="1"/>
  <c r="AB568" i="8" s="1"/>
  <c r="V568" i="8"/>
  <c r="U568" i="8"/>
  <c r="W568" i="8" s="1"/>
  <c r="T568" i="8"/>
  <c r="P568" i="8"/>
  <c r="AA568" i="8" s="1"/>
  <c r="M568" i="8"/>
  <c r="L568" i="8"/>
  <c r="N568" i="8" s="1"/>
  <c r="H568" i="8"/>
  <c r="O568" i="8" s="1"/>
  <c r="G568" i="8"/>
  <c r="AH567" i="8"/>
  <c r="AG567" i="8"/>
  <c r="AE567" i="8"/>
  <c r="Y567" i="8"/>
  <c r="V567" i="8"/>
  <c r="U567" i="8"/>
  <c r="W567" i="8" s="1"/>
  <c r="T567" i="8"/>
  <c r="R567" i="8"/>
  <c r="S567" i="8" s="1"/>
  <c r="P567" i="8"/>
  <c r="Z567" i="8" s="1"/>
  <c r="M567" i="8"/>
  <c r="L567" i="8"/>
  <c r="N567" i="8" s="1"/>
  <c r="H567" i="8"/>
  <c r="O567" i="8" s="1"/>
  <c r="G567" i="8"/>
  <c r="AH566" i="8"/>
  <c r="AG566" i="8"/>
  <c r="AE566" i="8"/>
  <c r="AC566" i="8"/>
  <c r="Y566" i="8"/>
  <c r="V566" i="8"/>
  <c r="U566" i="8"/>
  <c r="W566" i="8" s="1"/>
  <c r="AA566" i="8" s="1"/>
  <c r="T566" i="8"/>
  <c r="P566" i="8"/>
  <c r="Z566" i="8" s="1"/>
  <c r="M566" i="8"/>
  <c r="L566" i="8"/>
  <c r="N566" i="8" s="1"/>
  <c r="H566" i="8"/>
  <c r="O566" i="8" s="1"/>
  <c r="G566" i="8"/>
  <c r="AH565" i="8"/>
  <c r="AG565" i="8"/>
  <c r="AE565" i="8"/>
  <c r="Y565" i="8"/>
  <c r="V565" i="8"/>
  <c r="U565" i="8"/>
  <c r="W565" i="8" s="1"/>
  <c r="AA565" i="8" s="1"/>
  <c r="T565" i="8"/>
  <c r="P565" i="8"/>
  <c r="Z565" i="8" s="1"/>
  <c r="M565" i="8"/>
  <c r="L565" i="8"/>
  <c r="H565" i="8"/>
  <c r="O565" i="8" s="1"/>
  <c r="G565" i="8"/>
  <c r="AH564" i="8"/>
  <c r="AG564" i="8"/>
  <c r="AE564" i="8"/>
  <c r="Z564" i="8"/>
  <c r="Y564" i="8"/>
  <c r="X564" i="8" s="1"/>
  <c r="AB564" i="8" s="1"/>
  <c r="V564" i="8"/>
  <c r="U564" i="8"/>
  <c r="W564" i="8" s="1"/>
  <c r="T564" i="8"/>
  <c r="P564" i="8"/>
  <c r="AA564" i="8" s="1"/>
  <c r="M564" i="8"/>
  <c r="L564" i="8"/>
  <c r="N564" i="8" s="1"/>
  <c r="H564" i="8"/>
  <c r="O564" i="8" s="1"/>
  <c r="G564" i="8"/>
  <c r="AH563" i="8"/>
  <c r="AG563" i="8"/>
  <c r="AE563" i="8"/>
  <c r="Y563" i="8"/>
  <c r="AC563" i="8" s="1"/>
  <c r="V563" i="8"/>
  <c r="U563" i="8"/>
  <c r="W563" i="8" s="1"/>
  <c r="T563" i="8"/>
  <c r="R563" i="8"/>
  <c r="S563" i="8" s="1"/>
  <c r="P563" i="8"/>
  <c r="Z563" i="8" s="1"/>
  <c r="M563" i="8"/>
  <c r="L563" i="8"/>
  <c r="N563" i="8" s="1"/>
  <c r="H563" i="8"/>
  <c r="O563" i="8" s="1"/>
  <c r="G563" i="8"/>
  <c r="AH562" i="8"/>
  <c r="AG562" i="8"/>
  <c r="AE562" i="8"/>
  <c r="AC562" i="8"/>
  <c r="Y562" i="8"/>
  <c r="V562" i="8"/>
  <c r="U562" i="8"/>
  <c r="W562" i="8" s="1"/>
  <c r="AA562" i="8" s="1"/>
  <c r="T562" i="8"/>
  <c r="P562" i="8"/>
  <c r="Z562" i="8" s="1"/>
  <c r="M562" i="8"/>
  <c r="L562" i="8"/>
  <c r="N562" i="8" s="1"/>
  <c r="H562" i="8"/>
  <c r="R562" i="8" s="1"/>
  <c r="G562" i="8"/>
  <c r="AH561" i="8"/>
  <c r="AG561" i="8"/>
  <c r="AE561" i="8"/>
  <c r="Y561" i="8"/>
  <c r="V561" i="8"/>
  <c r="U561" i="8"/>
  <c r="W561" i="8" s="1"/>
  <c r="AA561" i="8" s="1"/>
  <c r="T561" i="8"/>
  <c r="P561" i="8"/>
  <c r="Z561" i="8" s="1"/>
  <c r="M561" i="8"/>
  <c r="L561" i="8"/>
  <c r="H561" i="8"/>
  <c r="R561" i="8" s="1"/>
  <c r="G561" i="8"/>
  <c r="AH560" i="8"/>
  <c r="AG560" i="8"/>
  <c r="AE560" i="8"/>
  <c r="Z560" i="8"/>
  <c r="Y560" i="8"/>
  <c r="X560" i="8" s="1"/>
  <c r="AB560" i="8" s="1"/>
  <c r="V560" i="8"/>
  <c r="U560" i="8"/>
  <c r="W560" i="8" s="1"/>
  <c r="T560" i="8"/>
  <c r="P560" i="8"/>
  <c r="AA560" i="8" s="1"/>
  <c r="M560" i="8"/>
  <c r="O560" i="8" s="1"/>
  <c r="L560" i="8"/>
  <c r="N560" i="8" s="1"/>
  <c r="H560" i="8"/>
  <c r="R560" i="8" s="1"/>
  <c r="S560" i="8" s="1"/>
  <c r="G560" i="8"/>
  <c r="AH559" i="8"/>
  <c r="AG559" i="8"/>
  <c r="AE559" i="8"/>
  <c r="Y559" i="8"/>
  <c r="V559" i="8"/>
  <c r="U559" i="8"/>
  <c r="W559" i="8" s="1"/>
  <c r="T559" i="8"/>
  <c r="R559" i="8"/>
  <c r="S559" i="8" s="1"/>
  <c r="P559" i="8"/>
  <c r="Z559" i="8" s="1"/>
  <c r="M559" i="8"/>
  <c r="O559" i="8" s="1"/>
  <c r="L559" i="8"/>
  <c r="N559" i="8" s="1"/>
  <c r="H559" i="8"/>
  <c r="G559" i="8"/>
  <c r="AH558" i="8"/>
  <c r="AG558" i="8"/>
  <c r="AE558" i="8"/>
  <c r="AC558" i="8"/>
  <c r="Y558" i="8"/>
  <c r="V558" i="8"/>
  <c r="U558" i="8"/>
  <c r="W558" i="8" s="1"/>
  <c r="AA558" i="8" s="1"/>
  <c r="T558" i="8"/>
  <c r="P558" i="8"/>
  <c r="Z558" i="8" s="1"/>
  <c r="M558" i="8"/>
  <c r="L558" i="8"/>
  <c r="N558" i="8" s="1"/>
  <c r="H558" i="8"/>
  <c r="R558" i="8" s="1"/>
  <c r="G558" i="8"/>
  <c r="AH557" i="8"/>
  <c r="AG557" i="8"/>
  <c r="AE557" i="8"/>
  <c r="Y557" i="8"/>
  <c r="V557" i="8"/>
  <c r="U557" i="8"/>
  <c r="W557" i="8" s="1"/>
  <c r="AA557" i="8" s="1"/>
  <c r="T557" i="8"/>
  <c r="P557" i="8"/>
  <c r="Z557" i="8" s="1"/>
  <c r="M557" i="8"/>
  <c r="L557" i="8"/>
  <c r="H557" i="8"/>
  <c r="R557" i="8" s="1"/>
  <c r="G557" i="8"/>
  <c r="AH556" i="8"/>
  <c r="AG556" i="8"/>
  <c r="AE556" i="8"/>
  <c r="Z556" i="8"/>
  <c r="Y556" i="8"/>
  <c r="X556" i="8" s="1"/>
  <c r="AB556" i="8" s="1"/>
  <c r="V556" i="8"/>
  <c r="U556" i="8"/>
  <c r="W556" i="8" s="1"/>
  <c r="T556" i="8"/>
  <c r="P556" i="8"/>
  <c r="AA556" i="8" s="1"/>
  <c r="M556" i="8"/>
  <c r="O556" i="8" s="1"/>
  <c r="L556" i="8"/>
  <c r="N556" i="8" s="1"/>
  <c r="H556" i="8"/>
  <c r="R556" i="8" s="1"/>
  <c r="S556" i="8" s="1"/>
  <c r="G556" i="8"/>
  <c r="AH555" i="8"/>
  <c r="AG555" i="8"/>
  <c r="AE555" i="8"/>
  <c r="Y555" i="8"/>
  <c r="AC555" i="8" s="1"/>
  <c r="V555" i="8"/>
  <c r="U555" i="8"/>
  <c r="W555" i="8" s="1"/>
  <c r="T555" i="8"/>
  <c r="R555" i="8"/>
  <c r="P555" i="8"/>
  <c r="Z555" i="8" s="1"/>
  <c r="M555" i="8"/>
  <c r="L555" i="8"/>
  <c r="N555" i="8" s="1"/>
  <c r="H555" i="8"/>
  <c r="G555" i="8"/>
  <c r="AH554" i="8"/>
  <c r="AG554" i="8"/>
  <c r="AE554" i="8"/>
  <c r="AC554" i="8"/>
  <c r="Y554" i="8"/>
  <c r="V554" i="8"/>
  <c r="U554" i="8"/>
  <c r="W554" i="8" s="1"/>
  <c r="AA554" i="8" s="1"/>
  <c r="T554" i="8"/>
  <c r="P554" i="8"/>
  <c r="Z554" i="8" s="1"/>
  <c r="M554" i="8"/>
  <c r="L554" i="8"/>
  <c r="N554" i="8" s="1"/>
  <c r="H554" i="8"/>
  <c r="R554" i="8" s="1"/>
  <c r="G554" i="8"/>
  <c r="AH553" i="8"/>
  <c r="AG553" i="8"/>
  <c r="AE553" i="8"/>
  <c r="Y553" i="8"/>
  <c r="V553" i="8"/>
  <c r="U553" i="8"/>
  <c r="W553" i="8" s="1"/>
  <c r="AA553" i="8" s="1"/>
  <c r="T553" i="8"/>
  <c r="R553" i="8"/>
  <c r="P553" i="8"/>
  <c r="Z553" i="8" s="1"/>
  <c r="N553" i="8"/>
  <c r="M553" i="8"/>
  <c r="L553" i="8"/>
  <c r="H553" i="8"/>
  <c r="G553" i="8"/>
  <c r="AH552" i="8"/>
  <c r="AG552" i="8"/>
  <c r="AE552" i="8"/>
  <c r="AC552" i="8"/>
  <c r="Y552" i="8"/>
  <c r="V552" i="8"/>
  <c r="U552" i="8"/>
  <c r="W552" i="8" s="1"/>
  <c r="AA552" i="8" s="1"/>
  <c r="T552" i="8"/>
  <c r="P552" i="8"/>
  <c r="Z552" i="8" s="1"/>
  <c r="M552" i="8"/>
  <c r="L552" i="8"/>
  <c r="N552" i="8" s="1"/>
  <c r="H552" i="8"/>
  <c r="R552" i="8" s="1"/>
  <c r="G552" i="8"/>
  <c r="AH551" i="8"/>
  <c r="AG551" i="8"/>
  <c r="AE551" i="8"/>
  <c r="Y551" i="8"/>
  <c r="W551" i="8"/>
  <c r="V551" i="8"/>
  <c r="U551" i="8"/>
  <c r="T551" i="8"/>
  <c r="R551" i="8"/>
  <c r="P551" i="8"/>
  <c r="AA551" i="8" s="1"/>
  <c r="N551" i="8"/>
  <c r="M551" i="8"/>
  <c r="L551" i="8"/>
  <c r="H551" i="8"/>
  <c r="G551" i="8"/>
  <c r="AH550" i="8"/>
  <c r="AG550" i="8"/>
  <c r="AE550" i="8"/>
  <c r="AC550" i="8"/>
  <c r="Y550" i="8"/>
  <c r="V550" i="8"/>
  <c r="U550" i="8"/>
  <c r="W550" i="8" s="1"/>
  <c r="AA550" i="8" s="1"/>
  <c r="T550" i="8"/>
  <c r="P550" i="8"/>
  <c r="Z550" i="8" s="1"/>
  <c r="M550" i="8"/>
  <c r="L550" i="8"/>
  <c r="N550" i="8" s="1"/>
  <c r="H550" i="8"/>
  <c r="R550" i="8" s="1"/>
  <c r="G550" i="8"/>
  <c r="AH549" i="8"/>
  <c r="AG549" i="8"/>
  <c r="AE549" i="8"/>
  <c r="Y549" i="8"/>
  <c r="W549" i="8"/>
  <c r="V549" i="8"/>
  <c r="U549" i="8"/>
  <c r="T549" i="8"/>
  <c r="R549" i="8"/>
  <c r="S549" i="8" s="1"/>
  <c r="P549" i="8"/>
  <c r="AA549" i="8" s="1"/>
  <c r="N549" i="8"/>
  <c r="M549" i="8"/>
  <c r="O549" i="8" s="1"/>
  <c r="L549" i="8"/>
  <c r="H549" i="8"/>
  <c r="G549" i="8"/>
  <c r="AH548" i="8"/>
  <c r="AG548" i="8"/>
  <c r="AE548" i="8"/>
  <c r="AC548" i="8"/>
  <c r="Y548" i="8"/>
  <c r="V548" i="8"/>
  <c r="U548" i="8"/>
  <c r="W548" i="8" s="1"/>
  <c r="AA548" i="8" s="1"/>
  <c r="T548" i="8"/>
  <c r="P548" i="8"/>
  <c r="Z548" i="8" s="1"/>
  <c r="M548" i="8"/>
  <c r="L548" i="8"/>
  <c r="N548" i="8" s="1"/>
  <c r="H548" i="8"/>
  <c r="R548" i="8" s="1"/>
  <c r="G548" i="8"/>
  <c r="AH547" i="8"/>
  <c r="AG547" i="8"/>
  <c r="AE547" i="8"/>
  <c r="Y547" i="8"/>
  <c r="W547" i="8"/>
  <c r="V547" i="8"/>
  <c r="U547" i="8"/>
  <c r="T547" i="8"/>
  <c r="R547" i="8"/>
  <c r="S547" i="8" s="1"/>
  <c r="P547" i="8"/>
  <c r="AA547" i="8" s="1"/>
  <c r="N547" i="8"/>
  <c r="M547" i="8"/>
  <c r="O547" i="8" s="1"/>
  <c r="L547" i="8"/>
  <c r="H547" i="8"/>
  <c r="G547" i="8"/>
  <c r="AH546" i="8"/>
  <c r="AG546" i="8"/>
  <c r="AE546" i="8"/>
  <c r="AC546" i="8"/>
  <c r="Y546" i="8"/>
  <c r="V546" i="8"/>
  <c r="U546" i="8"/>
  <c r="W546" i="8" s="1"/>
  <c r="AA546" i="8" s="1"/>
  <c r="T546" i="8"/>
  <c r="P546" i="8"/>
  <c r="Z546" i="8" s="1"/>
  <c r="M546" i="8"/>
  <c r="L546" i="8"/>
  <c r="N546" i="8" s="1"/>
  <c r="H546" i="8"/>
  <c r="R546" i="8" s="1"/>
  <c r="G546" i="8"/>
  <c r="AH545" i="8"/>
  <c r="AG545" i="8"/>
  <c r="AE545" i="8"/>
  <c r="Y545" i="8"/>
  <c r="W545" i="8"/>
  <c r="V545" i="8"/>
  <c r="U545" i="8"/>
  <c r="T545" i="8"/>
  <c r="R545" i="8"/>
  <c r="S545" i="8" s="1"/>
  <c r="P545" i="8"/>
  <c r="AA545" i="8" s="1"/>
  <c r="N545" i="8"/>
  <c r="M545" i="8"/>
  <c r="O545" i="8" s="1"/>
  <c r="L545" i="8"/>
  <c r="H545" i="8"/>
  <c r="G545" i="8"/>
  <c r="AH544" i="8"/>
  <c r="AG544" i="8"/>
  <c r="AE544" i="8"/>
  <c r="AC544" i="8"/>
  <c r="Y544" i="8"/>
  <c r="V544" i="8"/>
  <c r="U544" i="8"/>
  <c r="W544" i="8" s="1"/>
  <c r="AA544" i="8" s="1"/>
  <c r="T544" i="8"/>
  <c r="P544" i="8"/>
  <c r="Z544" i="8" s="1"/>
  <c r="M544" i="8"/>
  <c r="L544" i="8"/>
  <c r="N544" i="8" s="1"/>
  <c r="H544" i="8"/>
  <c r="R544" i="8" s="1"/>
  <c r="G544" i="8"/>
  <c r="AH543" i="8"/>
  <c r="AG543" i="8"/>
  <c r="AE543" i="8"/>
  <c r="Y543" i="8"/>
  <c r="V543" i="8"/>
  <c r="W543" i="8" s="1"/>
  <c r="AA543" i="8" s="1"/>
  <c r="U543" i="8"/>
  <c r="T543" i="8"/>
  <c r="R543" i="8"/>
  <c r="S543" i="8" s="1"/>
  <c r="P543" i="8"/>
  <c r="Z543" i="8" s="1"/>
  <c r="N543" i="8"/>
  <c r="M543" i="8"/>
  <c r="O543" i="8" s="1"/>
  <c r="L543" i="8"/>
  <c r="H543" i="8"/>
  <c r="G543" i="8"/>
  <c r="AH542" i="8"/>
  <c r="AG542" i="8"/>
  <c r="AE542" i="8"/>
  <c r="Y542" i="8"/>
  <c r="V542" i="8"/>
  <c r="U542" i="8"/>
  <c r="W542" i="8" s="1"/>
  <c r="T542" i="8"/>
  <c r="M542" i="8"/>
  <c r="L542" i="8"/>
  <c r="N542" i="8" s="1"/>
  <c r="H542" i="8"/>
  <c r="R542" i="8" s="1"/>
  <c r="G542" i="8"/>
  <c r="AH541" i="8"/>
  <c r="AG541" i="8"/>
  <c r="AE541" i="8"/>
  <c r="AC541" i="8"/>
  <c r="AF541" i="8" s="1"/>
  <c r="Y541" i="8"/>
  <c r="V541" i="8"/>
  <c r="Z541" i="8" s="1"/>
  <c r="U541" i="8"/>
  <c r="W541" i="8" s="1"/>
  <c r="AA541" i="8" s="1"/>
  <c r="T541" i="8"/>
  <c r="R541" i="8"/>
  <c r="P541" i="8"/>
  <c r="N541" i="8"/>
  <c r="M541" i="8"/>
  <c r="L541" i="8"/>
  <c r="H541" i="8"/>
  <c r="G541" i="8"/>
  <c r="AH540" i="8"/>
  <c r="AG540" i="8"/>
  <c r="AE540" i="8"/>
  <c r="Y540" i="8"/>
  <c r="W540" i="8"/>
  <c r="V540" i="8"/>
  <c r="U540" i="8"/>
  <c r="T540" i="8"/>
  <c r="N540" i="8"/>
  <c r="M540" i="8"/>
  <c r="O540" i="8" s="1"/>
  <c r="L540" i="8"/>
  <c r="H540" i="8"/>
  <c r="R540" i="8" s="1"/>
  <c r="S540" i="8" s="1"/>
  <c r="G540" i="8"/>
  <c r="AH539" i="8"/>
  <c r="AG539" i="8"/>
  <c r="AE539" i="8"/>
  <c r="Y539" i="8"/>
  <c r="V539" i="8"/>
  <c r="U539" i="8"/>
  <c r="W539" i="8" s="1"/>
  <c r="T539" i="8"/>
  <c r="M539" i="8"/>
  <c r="L539" i="8"/>
  <c r="N539" i="8" s="1"/>
  <c r="H539" i="8"/>
  <c r="R539" i="8" s="1"/>
  <c r="G539" i="8"/>
  <c r="AH538" i="8"/>
  <c r="AG538" i="8"/>
  <c r="AE538" i="8"/>
  <c r="Y538" i="8"/>
  <c r="W538" i="8"/>
  <c r="V538" i="8"/>
  <c r="U538" i="8"/>
  <c r="T538" i="8"/>
  <c r="R538" i="8"/>
  <c r="S538" i="8" s="1"/>
  <c r="P538" i="8"/>
  <c r="AC538" i="8" s="1"/>
  <c r="N538" i="8"/>
  <c r="M538" i="8"/>
  <c r="O538" i="8" s="1"/>
  <c r="L538" i="8"/>
  <c r="H538" i="8"/>
  <c r="G538" i="8"/>
  <c r="AH537" i="8"/>
  <c r="AG537" i="8"/>
  <c r="AE537" i="8"/>
  <c r="Y537" i="8"/>
  <c r="V537" i="8"/>
  <c r="U537" i="8"/>
  <c r="T537" i="8"/>
  <c r="M537" i="8"/>
  <c r="O537" i="8" s="1"/>
  <c r="L537" i="8"/>
  <c r="N537" i="8" s="1"/>
  <c r="H537" i="8"/>
  <c r="R537" i="8" s="1"/>
  <c r="S537" i="8" s="1"/>
  <c r="G537" i="8"/>
  <c r="AH536" i="8"/>
  <c r="AG536" i="8"/>
  <c r="AE536" i="8"/>
  <c r="AC536" i="8"/>
  <c r="AF536" i="8" s="1"/>
  <c r="Y536" i="8"/>
  <c r="V536" i="8"/>
  <c r="U536" i="8"/>
  <c r="W536" i="8" s="1"/>
  <c r="AA536" i="8" s="1"/>
  <c r="T536" i="8"/>
  <c r="P536" i="8"/>
  <c r="Z536" i="8" s="1"/>
  <c r="M536" i="8"/>
  <c r="L536" i="8"/>
  <c r="N536" i="8" s="1"/>
  <c r="H536" i="8"/>
  <c r="R536" i="8" s="1"/>
  <c r="G536" i="8"/>
  <c r="AH535" i="8"/>
  <c r="AG535" i="8"/>
  <c r="AE535" i="8"/>
  <c r="Y535" i="8"/>
  <c r="V535" i="8"/>
  <c r="W535" i="8" s="1"/>
  <c r="AA535" i="8" s="1"/>
  <c r="U535" i="8"/>
  <c r="T535" i="8"/>
  <c r="R535" i="8"/>
  <c r="S535" i="8" s="1"/>
  <c r="P535" i="8"/>
  <c r="Z535" i="8" s="1"/>
  <c r="N535" i="8"/>
  <c r="M535" i="8"/>
  <c r="O535" i="8" s="1"/>
  <c r="L535" i="8"/>
  <c r="H535" i="8"/>
  <c r="G535" i="8"/>
  <c r="AH534" i="8"/>
  <c r="AG534" i="8"/>
  <c r="AE534" i="8"/>
  <c r="Y534" i="8"/>
  <c r="V534" i="8"/>
  <c r="U534" i="8"/>
  <c r="W534" i="8" s="1"/>
  <c r="T534" i="8"/>
  <c r="M534" i="8"/>
  <c r="L534" i="8"/>
  <c r="N534" i="8" s="1"/>
  <c r="H534" i="8"/>
  <c r="R534" i="8" s="1"/>
  <c r="G534" i="8"/>
  <c r="AH533" i="8"/>
  <c r="AG533" i="8"/>
  <c r="AE533" i="8"/>
  <c r="AC533" i="8"/>
  <c r="AF533" i="8" s="1"/>
  <c r="Y533" i="8"/>
  <c r="V533" i="8"/>
  <c r="U533" i="8"/>
  <c r="W533" i="8" s="1"/>
  <c r="AA533" i="8" s="1"/>
  <c r="T533" i="8"/>
  <c r="R533" i="8"/>
  <c r="P533" i="8"/>
  <c r="Z533" i="8" s="1"/>
  <c r="N533" i="8"/>
  <c r="M533" i="8"/>
  <c r="L533" i="8"/>
  <c r="H533" i="8"/>
  <c r="G533" i="8"/>
  <c r="AH532" i="8"/>
  <c r="AG532" i="8"/>
  <c r="AE532" i="8"/>
  <c r="Y532" i="8"/>
  <c r="W532" i="8"/>
  <c r="V532" i="8"/>
  <c r="U532" i="8"/>
  <c r="T532" i="8"/>
  <c r="N532" i="8"/>
  <c r="M532" i="8"/>
  <c r="O532" i="8" s="1"/>
  <c r="L532" i="8"/>
  <c r="H532" i="8"/>
  <c r="R532" i="8" s="1"/>
  <c r="S532" i="8" s="1"/>
  <c r="G532" i="8"/>
  <c r="AH531" i="8"/>
  <c r="AG531" i="8"/>
  <c r="AE531" i="8"/>
  <c r="Y531" i="8"/>
  <c r="V531" i="8"/>
  <c r="U531" i="8"/>
  <c r="W531" i="8" s="1"/>
  <c r="T531" i="8"/>
  <c r="M531" i="8"/>
  <c r="L531" i="8"/>
  <c r="N531" i="8" s="1"/>
  <c r="H531" i="8"/>
  <c r="R531" i="8" s="1"/>
  <c r="G531" i="8"/>
  <c r="AH530" i="8"/>
  <c r="AG530" i="8"/>
  <c r="AE530" i="8"/>
  <c r="Y530" i="8"/>
  <c r="W530" i="8"/>
  <c r="V530" i="8"/>
  <c r="U530" i="8"/>
  <c r="T530" i="8"/>
  <c r="R530" i="8"/>
  <c r="S530" i="8" s="1"/>
  <c r="P530" i="8"/>
  <c r="AC530" i="8" s="1"/>
  <c r="N530" i="8"/>
  <c r="M530" i="8"/>
  <c r="O530" i="8" s="1"/>
  <c r="L530" i="8"/>
  <c r="H530" i="8"/>
  <c r="G530" i="8"/>
  <c r="AH529" i="8"/>
  <c r="AG529" i="8"/>
  <c r="AE529" i="8"/>
  <c r="Y529" i="8"/>
  <c r="V529" i="8"/>
  <c r="U529" i="8"/>
  <c r="T529" i="8"/>
  <c r="M529" i="8"/>
  <c r="O529" i="8" s="1"/>
  <c r="L529" i="8"/>
  <c r="N529" i="8" s="1"/>
  <c r="H529" i="8"/>
  <c r="R529" i="8" s="1"/>
  <c r="S529" i="8" s="1"/>
  <c r="G529" i="8"/>
  <c r="AH528" i="8"/>
  <c r="AG528" i="8"/>
  <c r="AE528" i="8"/>
  <c r="AC528" i="8"/>
  <c r="AF528" i="8" s="1"/>
  <c r="Y528" i="8"/>
  <c r="V528" i="8"/>
  <c r="U528" i="8"/>
  <c r="W528" i="8" s="1"/>
  <c r="AA528" i="8" s="1"/>
  <c r="T528" i="8"/>
  <c r="P528" i="8"/>
  <c r="Z528" i="8" s="1"/>
  <c r="M528" i="8"/>
  <c r="L528" i="8"/>
  <c r="N528" i="8" s="1"/>
  <c r="H528" i="8"/>
  <c r="R528" i="8" s="1"/>
  <c r="G528" i="8"/>
  <c r="AH527" i="8"/>
  <c r="AG527" i="8"/>
  <c r="AE527" i="8"/>
  <c r="Y527" i="8"/>
  <c r="V527" i="8"/>
  <c r="W527" i="8" s="1"/>
  <c r="AA527" i="8" s="1"/>
  <c r="U527" i="8"/>
  <c r="T527" i="8"/>
  <c r="R527" i="8"/>
  <c r="S527" i="8" s="1"/>
  <c r="P527" i="8"/>
  <c r="Z527" i="8" s="1"/>
  <c r="N527" i="8"/>
  <c r="M527" i="8"/>
  <c r="O527" i="8" s="1"/>
  <c r="L527" i="8"/>
  <c r="H527" i="8"/>
  <c r="G527" i="8"/>
  <c r="AH526" i="8"/>
  <c r="AG526" i="8"/>
  <c r="AE526" i="8"/>
  <c r="Y526" i="8"/>
  <c r="V526" i="8"/>
  <c r="U526" i="8"/>
  <c r="W526" i="8" s="1"/>
  <c r="T526" i="8"/>
  <c r="M526" i="8"/>
  <c r="L526" i="8"/>
  <c r="N526" i="8" s="1"/>
  <c r="H526" i="8"/>
  <c r="R526" i="8" s="1"/>
  <c r="G526" i="8"/>
  <c r="AH525" i="8"/>
  <c r="AG525" i="8"/>
  <c r="AE525" i="8"/>
  <c r="AC525" i="8"/>
  <c r="AF525" i="8" s="1"/>
  <c r="Y525" i="8"/>
  <c r="V525" i="8"/>
  <c r="U525" i="8"/>
  <c r="W525" i="8" s="1"/>
  <c r="AA525" i="8" s="1"/>
  <c r="T525" i="8"/>
  <c r="R525" i="8"/>
  <c r="P525" i="8"/>
  <c r="Z525" i="8" s="1"/>
  <c r="N525" i="8"/>
  <c r="M525" i="8"/>
  <c r="L525" i="8"/>
  <c r="H525" i="8"/>
  <c r="G525" i="8"/>
  <c r="AH524" i="8"/>
  <c r="AG524" i="8"/>
  <c r="AE524" i="8"/>
  <c r="Y524" i="8"/>
  <c r="W524" i="8"/>
  <c r="V524" i="8"/>
  <c r="U524" i="8"/>
  <c r="T524" i="8"/>
  <c r="N524" i="8"/>
  <c r="M524" i="8"/>
  <c r="L524" i="8"/>
  <c r="H524" i="8"/>
  <c r="R524" i="8" s="1"/>
  <c r="G524" i="8"/>
  <c r="AH523" i="8"/>
  <c r="AG523" i="8"/>
  <c r="AE523" i="8"/>
  <c r="Y523" i="8"/>
  <c r="V523" i="8"/>
  <c r="U523" i="8"/>
  <c r="W523" i="8" s="1"/>
  <c r="T523" i="8"/>
  <c r="M523" i="8"/>
  <c r="L523" i="8"/>
  <c r="N523" i="8" s="1"/>
  <c r="H523" i="8"/>
  <c r="R523" i="8" s="1"/>
  <c r="G523" i="8"/>
  <c r="AH522" i="8"/>
  <c r="AG522" i="8"/>
  <c r="AE522" i="8"/>
  <c r="Z522" i="8"/>
  <c r="Y522" i="8"/>
  <c r="W522" i="8"/>
  <c r="V522" i="8"/>
  <c r="U522" i="8"/>
  <c r="T522" i="8"/>
  <c r="R522" i="8"/>
  <c r="S522" i="8" s="1"/>
  <c r="P522" i="8"/>
  <c r="N522" i="8"/>
  <c r="M522" i="8"/>
  <c r="O522" i="8" s="1"/>
  <c r="L522" i="8"/>
  <c r="H522" i="8"/>
  <c r="G522" i="8"/>
  <c r="AH521" i="8"/>
  <c r="AG521" i="8"/>
  <c r="AE521" i="8"/>
  <c r="Y521" i="8"/>
  <c r="V521" i="8"/>
  <c r="U521" i="8"/>
  <c r="T521" i="8"/>
  <c r="M521" i="8"/>
  <c r="O521" i="8" s="1"/>
  <c r="L521" i="8"/>
  <c r="N521" i="8" s="1"/>
  <c r="H521" i="8"/>
  <c r="R521" i="8" s="1"/>
  <c r="S521" i="8" s="1"/>
  <c r="G521" i="8"/>
  <c r="AH520" i="8"/>
  <c r="AG520" i="8"/>
  <c r="AE520" i="8"/>
  <c r="AC520" i="8"/>
  <c r="AF520" i="8" s="1"/>
  <c r="Y520" i="8"/>
  <c r="V520" i="8"/>
  <c r="U520" i="8"/>
  <c r="W520" i="8" s="1"/>
  <c r="AA520" i="8" s="1"/>
  <c r="T520" i="8"/>
  <c r="P520" i="8"/>
  <c r="Z520" i="8" s="1"/>
  <c r="M520" i="8"/>
  <c r="L520" i="8"/>
  <c r="N520" i="8" s="1"/>
  <c r="H520" i="8"/>
  <c r="R520" i="8" s="1"/>
  <c r="G520" i="8"/>
  <c r="AH519" i="8"/>
  <c r="AG519" i="8"/>
  <c r="AE519" i="8"/>
  <c r="Y519" i="8"/>
  <c r="V519" i="8"/>
  <c r="W519" i="8" s="1"/>
  <c r="AA519" i="8" s="1"/>
  <c r="U519" i="8"/>
  <c r="T519" i="8"/>
  <c r="R519" i="8"/>
  <c r="S519" i="8" s="1"/>
  <c r="P519" i="8"/>
  <c r="Z519" i="8" s="1"/>
  <c r="N519" i="8"/>
  <c r="M519" i="8"/>
  <c r="O519" i="8" s="1"/>
  <c r="L519" i="8"/>
  <c r="H519" i="8"/>
  <c r="G519" i="8"/>
  <c r="AH518" i="8"/>
  <c r="AG518" i="8"/>
  <c r="AE518" i="8"/>
  <c r="Y518" i="8"/>
  <c r="V518" i="8"/>
  <c r="U518" i="8"/>
  <c r="W518" i="8" s="1"/>
  <c r="T518" i="8"/>
  <c r="M518" i="8"/>
  <c r="L518" i="8"/>
  <c r="H518" i="8"/>
  <c r="R518" i="8" s="1"/>
  <c r="G518" i="8"/>
  <c r="AH517" i="8"/>
  <c r="AG517" i="8"/>
  <c r="AE517" i="8"/>
  <c r="AC517" i="8"/>
  <c r="AF517" i="8" s="1"/>
  <c r="AA517" i="8"/>
  <c r="Y517" i="8"/>
  <c r="W517" i="8"/>
  <c r="V517" i="8"/>
  <c r="U517" i="8"/>
  <c r="T517" i="8"/>
  <c r="R517" i="8"/>
  <c r="P517" i="8"/>
  <c r="Z517" i="8" s="1"/>
  <c r="N517" i="8"/>
  <c r="M517" i="8"/>
  <c r="L517" i="8"/>
  <c r="H517" i="8"/>
  <c r="G517" i="8"/>
  <c r="AH516" i="8"/>
  <c r="AG516" i="8"/>
  <c r="AE516" i="8"/>
  <c r="Y516" i="8"/>
  <c r="W516" i="8"/>
  <c r="V516" i="8"/>
  <c r="U516" i="8"/>
  <c r="T516" i="8"/>
  <c r="N516" i="8"/>
  <c r="M516" i="8"/>
  <c r="L516" i="8"/>
  <c r="H516" i="8"/>
  <c r="R516" i="8" s="1"/>
  <c r="G516" i="8"/>
  <c r="AH515" i="8"/>
  <c r="AG515" i="8"/>
  <c r="AE515" i="8"/>
  <c r="Y515" i="8"/>
  <c r="V515" i="8"/>
  <c r="U515" i="8"/>
  <c r="W515" i="8" s="1"/>
  <c r="T515" i="8"/>
  <c r="M515" i="8"/>
  <c r="L515" i="8"/>
  <c r="N515" i="8" s="1"/>
  <c r="H515" i="8"/>
  <c r="R515" i="8" s="1"/>
  <c r="G515" i="8"/>
  <c r="AH514" i="8"/>
  <c r="AG514" i="8"/>
  <c r="AE514" i="8"/>
  <c r="Z514" i="8"/>
  <c r="Y514" i="8"/>
  <c r="W514" i="8"/>
  <c r="V514" i="8"/>
  <c r="U514" i="8"/>
  <c r="T514" i="8"/>
  <c r="R514" i="8"/>
  <c r="S514" i="8" s="1"/>
  <c r="P514" i="8"/>
  <c r="N514" i="8"/>
  <c r="M514" i="8"/>
  <c r="O514" i="8" s="1"/>
  <c r="L514" i="8"/>
  <c r="H514" i="8"/>
  <c r="G514" i="8"/>
  <c r="AH513" i="8"/>
  <c r="AG513" i="8"/>
  <c r="AE513" i="8"/>
  <c r="Y513" i="8"/>
  <c r="V513" i="8"/>
  <c r="U513" i="8"/>
  <c r="T513" i="8"/>
  <c r="M513" i="8"/>
  <c r="O513" i="8" s="1"/>
  <c r="L513" i="8"/>
  <c r="N513" i="8" s="1"/>
  <c r="H513" i="8"/>
  <c r="R513" i="8" s="1"/>
  <c r="S513" i="8" s="1"/>
  <c r="G513" i="8"/>
  <c r="AH512" i="8"/>
  <c r="AG512" i="8"/>
  <c r="AE512" i="8"/>
  <c r="AC512" i="8"/>
  <c r="AF512" i="8" s="1"/>
  <c r="Y512" i="8"/>
  <c r="V512" i="8"/>
  <c r="U512" i="8"/>
  <c r="W512" i="8" s="1"/>
  <c r="AA512" i="8" s="1"/>
  <c r="T512" i="8"/>
  <c r="P512" i="8"/>
  <c r="Z512" i="8" s="1"/>
  <c r="M512" i="8"/>
  <c r="L512" i="8"/>
  <c r="N512" i="8" s="1"/>
  <c r="H512" i="8"/>
  <c r="R512" i="8" s="1"/>
  <c r="G512" i="8"/>
  <c r="AH511" i="8"/>
  <c r="AG511" i="8"/>
  <c r="AE511" i="8"/>
  <c r="Y511" i="8"/>
  <c r="V511" i="8"/>
  <c r="W511" i="8" s="1"/>
  <c r="AA511" i="8" s="1"/>
  <c r="U511" i="8"/>
  <c r="T511" i="8"/>
  <c r="R511" i="8"/>
  <c r="S511" i="8" s="1"/>
  <c r="P511" i="8"/>
  <c r="Z511" i="8" s="1"/>
  <c r="N511" i="8"/>
  <c r="M511" i="8"/>
  <c r="O511" i="8" s="1"/>
  <c r="L511" i="8"/>
  <c r="H511" i="8"/>
  <c r="G511" i="8"/>
  <c r="AH510" i="8"/>
  <c r="AG510" i="8"/>
  <c r="AE510" i="8"/>
  <c r="Y510" i="8"/>
  <c r="V510" i="8"/>
  <c r="U510" i="8"/>
  <c r="W510" i="8" s="1"/>
  <c r="T510" i="8"/>
  <c r="M510" i="8"/>
  <c r="L510" i="8"/>
  <c r="H510" i="8"/>
  <c r="R510" i="8" s="1"/>
  <c r="G510" i="8"/>
  <c r="AH509" i="8"/>
  <c r="AG509" i="8"/>
  <c r="AE509" i="8"/>
  <c r="Y509" i="8"/>
  <c r="W509" i="8"/>
  <c r="V509" i="8"/>
  <c r="U509" i="8"/>
  <c r="T509" i="8"/>
  <c r="R509" i="8"/>
  <c r="N509" i="8"/>
  <c r="M509" i="8"/>
  <c r="L509" i="8"/>
  <c r="H509" i="8"/>
  <c r="G509" i="8"/>
  <c r="AH508" i="8"/>
  <c r="AG508" i="8"/>
  <c r="AE508" i="8"/>
  <c r="Y508" i="8"/>
  <c r="W508" i="8"/>
  <c r="V508" i="8"/>
  <c r="U508" i="8"/>
  <c r="T508" i="8"/>
  <c r="N508" i="8"/>
  <c r="M508" i="8"/>
  <c r="L508" i="8"/>
  <c r="H508" i="8"/>
  <c r="R508" i="8" s="1"/>
  <c r="G508" i="8"/>
  <c r="AH507" i="8"/>
  <c r="AG507" i="8"/>
  <c r="AE507" i="8"/>
  <c r="Y507" i="8"/>
  <c r="V507" i="8"/>
  <c r="U507" i="8"/>
  <c r="W507" i="8" s="1"/>
  <c r="T507" i="8"/>
  <c r="M507" i="8"/>
  <c r="L507" i="8"/>
  <c r="N507" i="8" s="1"/>
  <c r="H507" i="8"/>
  <c r="R507" i="8" s="1"/>
  <c r="G507" i="8"/>
  <c r="AH506" i="8"/>
  <c r="AG506" i="8"/>
  <c r="AE506" i="8"/>
  <c r="Z506" i="8"/>
  <c r="Y506" i="8"/>
  <c r="W506" i="8"/>
  <c r="V506" i="8"/>
  <c r="U506" i="8"/>
  <c r="T506" i="8"/>
  <c r="R506" i="8"/>
  <c r="S506" i="8" s="1"/>
  <c r="P506" i="8"/>
  <c r="N506" i="8"/>
  <c r="M506" i="8"/>
  <c r="O506" i="8" s="1"/>
  <c r="L506" i="8"/>
  <c r="H506" i="8"/>
  <c r="G506" i="8"/>
  <c r="AH505" i="8"/>
  <c r="AG505" i="8"/>
  <c r="AE505" i="8"/>
  <c r="Y505" i="8"/>
  <c r="V505" i="8"/>
  <c r="U505" i="8"/>
  <c r="T505" i="8"/>
  <c r="M505" i="8"/>
  <c r="O505" i="8" s="1"/>
  <c r="L505" i="8"/>
  <c r="N505" i="8" s="1"/>
  <c r="H505" i="8"/>
  <c r="R505" i="8" s="1"/>
  <c r="S505" i="8" s="1"/>
  <c r="G505" i="8"/>
  <c r="AH504" i="8"/>
  <c r="AG504" i="8"/>
  <c r="AE504" i="8"/>
  <c r="AC504" i="8"/>
  <c r="AF504" i="8" s="1"/>
  <c r="Y504" i="8"/>
  <c r="V504" i="8"/>
  <c r="U504" i="8"/>
  <c r="W504" i="8" s="1"/>
  <c r="AA504" i="8" s="1"/>
  <c r="T504" i="8"/>
  <c r="P504" i="8"/>
  <c r="Z504" i="8" s="1"/>
  <c r="M504" i="8"/>
  <c r="L504" i="8"/>
  <c r="N504" i="8" s="1"/>
  <c r="H504" i="8"/>
  <c r="R504" i="8" s="1"/>
  <c r="G504" i="8"/>
  <c r="AH503" i="8"/>
  <c r="AG503" i="8"/>
  <c r="AE503" i="8"/>
  <c r="Y503" i="8"/>
  <c r="V503" i="8"/>
  <c r="W503" i="8" s="1"/>
  <c r="AA503" i="8" s="1"/>
  <c r="U503" i="8"/>
  <c r="T503" i="8"/>
  <c r="R503" i="8"/>
  <c r="S503" i="8" s="1"/>
  <c r="P503" i="8"/>
  <c r="Z503" i="8" s="1"/>
  <c r="N503" i="8"/>
  <c r="M503" i="8"/>
  <c r="O503" i="8" s="1"/>
  <c r="L503" i="8"/>
  <c r="H503" i="8"/>
  <c r="G503" i="8"/>
  <c r="AH502" i="8"/>
  <c r="AG502" i="8"/>
  <c r="AE502" i="8"/>
  <c r="Y502" i="8"/>
  <c r="V502" i="8"/>
  <c r="U502" i="8"/>
  <c r="W502" i="8" s="1"/>
  <c r="T502" i="8"/>
  <c r="M502" i="8"/>
  <c r="L502" i="8"/>
  <c r="H502" i="8"/>
  <c r="R502" i="8" s="1"/>
  <c r="G502" i="8"/>
  <c r="AH501" i="8"/>
  <c r="AG501" i="8"/>
  <c r="AE501" i="8"/>
  <c r="Y501" i="8"/>
  <c r="W501" i="8"/>
  <c r="V501" i="8"/>
  <c r="U501" i="8"/>
  <c r="T501" i="8"/>
  <c r="R501" i="8"/>
  <c r="S501" i="8" s="1"/>
  <c r="N501" i="8"/>
  <c r="M501" i="8"/>
  <c r="O501" i="8" s="1"/>
  <c r="L501" i="8"/>
  <c r="H501" i="8"/>
  <c r="G501" i="8"/>
  <c r="AH500" i="8"/>
  <c r="AG500" i="8"/>
  <c r="AE500" i="8"/>
  <c r="Y500" i="8"/>
  <c r="W500" i="8"/>
  <c r="V500" i="8"/>
  <c r="U500" i="8"/>
  <c r="T500" i="8"/>
  <c r="N500" i="8"/>
  <c r="M500" i="8"/>
  <c r="L500" i="8"/>
  <c r="H500" i="8"/>
  <c r="R500" i="8" s="1"/>
  <c r="G500" i="8"/>
  <c r="AH499" i="8"/>
  <c r="AG499" i="8"/>
  <c r="AE499" i="8"/>
  <c r="Y499" i="8"/>
  <c r="V499" i="8"/>
  <c r="U499" i="8"/>
  <c r="T499" i="8"/>
  <c r="N499" i="8"/>
  <c r="M499" i="8"/>
  <c r="L499" i="8"/>
  <c r="H499" i="8"/>
  <c r="R499" i="8" s="1"/>
  <c r="G499" i="8"/>
  <c r="AH498" i="8"/>
  <c r="AG498" i="8"/>
  <c r="AE498" i="8"/>
  <c r="Y498" i="8"/>
  <c r="V498" i="8"/>
  <c r="U498" i="8"/>
  <c r="T498" i="8"/>
  <c r="N498" i="8"/>
  <c r="M498" i="8"/>
  <c r="L498" i="8"/>
  <c r="H498" i="8"/>
  <c r="R498" i="8" s="1"/>
  <c r="G498" i="8"/>
  <c r="AH497" i="8"/>
  <c r="AG497" i="8"/>
  <c r="AE497" i="8"/>
  <c r="Y497" i="8"/>
  <c r="V497" i="8"/>
  <c r="U497" i="8"/>
  <c r="T497" i="8"/>
  <c r="N497" i="8"/>
  <c r="M497" i="8"/>
  <c r="L497" i="8"/>
  <c r="H497" i="8"/>
  <c r="R497" i="8" s="1"/>
  <c r="G497" i="8"/>
  <c r="AH496" i="8"/>
  <c r="AG496" i="8"/>
  <c r="AE496" i="8"/>
  <c r="Y496" i="8"/>
  <c r="V496" i="8"/>
  <c r="U496" i="8"/>
  <c r="T496" i="8"/>
  <c r="N496" i="8"/>
  <c r="M496" i="8"/>
  <c r="L496" i="8"/>
  <c r="H496" i="8"/>
  <c r="R496" i="8" s="1"/>
  <c r="G496" i="8"/>
  <c r="AH495" i="8"/>
  <c r="AG495" i="8"/>
  <c r="AE495" i="8"/>
  <c r="Y495" i="8"/>
  <c r="V495" i="8"/>
  <c r="U495" i="8"/>
  <c r="T495" i="8"/>
  <c r="N495" i="8"/>
  <c r="M495" i="8"/>
  <c r="L495" i="8"/>
  <c r="H495" i="8"/>
  <c r="R495" i="8" s="1"/>
  <c r="G495" i="8"/>
  <c r="AH494" i="8"/>
  <c r="AG494" i="8"/>
  <c r="AE494" i="8"/>
  <c r="Y494" i="8"/>
  <c r="V494" i="8"/>
  <c r="U494" i="8"/>
  <c r="T494" i="8"/>
  <c r="N494" i="8"/>
  <c r="M494" i="8"/>
  <c r="L494" i="8"/>
  <c r="H494" i="8"/>
  <c r="R494" i="8" s="1"/>
  <c r="G494" i="8"/>
  <c r="AH493" i="8"/>
  <c r="AG493" i="8"/>
  <c r="AE493" i="8"/>
  <c r="Y493" i="8"/>
  <c r="V493" i="8"/>
  <c r="U493" i="8"/>
  <c r="T493" i="8"/>
  <c r="N493" i="8"/>
  <c r="M493" i="8"/>
  <c r="L493" i="8"/>
  <c r="H493" i="8"/>
  <c r="R493" i="8" s="1"/>
  <c r="G493" i="8"/>
  <c r="AH492" i="8"/>
  <c r="AG492" i="8"/>
  <c r="AE492" i="8"/>
  <c r="Y492" i="8"/>
  <c r="V492" i="8"/>
  <c r="U492" i="8"/>
  <c r="T492" i="8"/>
  <c r="N492" i="8"/>
  <c r="M492" i="8"/>
  <c r="L492" i="8"/>
  <c r="H492" i="8"/>
  <c r="R492" i="8" s="1"/>
  <c r="G492" i="8"/>
  <c r="AH491" i="8"/>
  <c r="AG491" i="8"/>
  <c r="AE491" i="8"/>
  <c r="Y491" i="8"/>
  <c r="V491" i="8"/>
  <c r="U491" i="8"/>
  <c r="T491" i="8"/>
  <c r="P491" i="8"/>
  <c r="N491" i="8"/>
  <c r="M491" i="8"/>
  <c r="O491" i="8" s="1"/>
  <c r="L491" i="8"/>
  <c r="H491" i="8"/>
  <c r="R491" i="8" s="1"/>
  <c r="S491" i="8" s="1"/>
  <c r="G491" i="8"/>
  <c r="AH490" i="8"/>
  <c r="AG490" i="8"/>
  <c r="AE490" i="8"/>
  <c r="Y490" i="8"/>
  <c r="V490" i="8"/>
  <c r="U490" i="8"/>
  <c r="T490" i="8"/>
  <c r="N490" i="8"/>
  <c r="M490" i="8"/>
  <c r="O490" i="8" s="1"/>
  <c r="L490" i="8"/>
  <c r="H490" i="8"/>
  <c r="R490" i="8" s="1"/>
  <c r="G490" i="8"/>
  <c r="AH489" i="8"/>
  <c r="AG489" i="8"/>
  <c r="AE489" i="8"/>
  <c r="Y489" i="8"/>
  <c r="V489" i="8"/>
  <c r="U489" i="8"/>
  <c r="T489" i="8"/>
  <c r="P489" i="8"/>
  <c r="N489" i="8"/>
  <c r="M489" i="8"/>
  <c r="O489" i="8" s="1"/>
  <c r="L489" i="8"/>
  <c r="H489" i="8"/>
  <c r="R489" i="8" s="1"/>
  <c r="S489" i="8" s="1"/>
  <c r="G489" i="8"/>
  <c r="AH488" i="8"/>
  <c r="AG488" i="8"/>
  <c r="AE488" i="8"/>
  <c r="Y488" i="8"/>
  <c r="V488" i="8"/>
  <c r="U488" i="8"/>
  <c r="T488" i="8"/>
  <c r="R488" i="8"/>
  <c r="P488" i="8"/>
  <c r="N488" i="8"/>
  <c r="M488" i="8"/>
  <c r="O488" i="8" s="1"/>
  <c r="L488" i="8"/>
  <c r="H488" i="8"/>
  <c r="G488" i="8"/>
  <c r="AH487" i="8"/>
  <c r="AG487" i="8"/>
  <c r="AE487" i="8"/>
  <c r="Y487" i="8"/>
  <c r="V487" i="8"/>
  <c r="U487" i="8"/>
  <c r="T487" i="8"/>
  <c r="R487" i="8"/>
  <c r="N487" i="8"/>
  <c r="M487" i="8"/>
  <c r="O487" i="8" s="1"/>
  <c r="L487" i="8"/>
  <c r="H487" i="8"/>
  <c r="G487" i="8"/>
  <c r="AH486" i="8"/>
  <c r="AG486" i="8"/>
  <c r="AE486" i="8"/>
  <c r="Y486" i="8"/>
  <c r="V486" i="8"/>
  <c r="W486" i="8" s="1"/>
  <c r="U486" i="8"/>
  <c r="T486" i="8"/>
  <c r="R486" i="8"/>
  <c r="N486" i="8"/>
  <c r="M486" i="8"/>
  <c r="O486" i="8" s="1"/>
  <c r="L486" i="8"/>
  <c r="H486" i="8"/>
  <c r="G486" i="8"/>
  <c r="AH485" i="8"/>
  <c r="AG485" i="8"/>
  <c r="AE485" i="8"/>
  <c r="Y485" i="8"/>
  <c r="V485" i="8"/>
  <c r="W485" i="8" s="1"/>
  <c r="U485" i="8"/>
  <c r="T485" i="8"/>
  <c r="R485" i="8"/>
  <c r="N485" i="8"/>
  <c r="M485" i="8"/>
  <c r="O485" i="8" s="1"/>
  <c r="L485" i="8"/>
  <c r="H485" i="8"/>
  <c r="G485" i="8"/>
  <c r="AH484" i="8"/>
  <c r="AG484" i="8"/>
  <c r="AE484" i="8"/>
  <c r="Z484" i="8"/>
  <c r="Y484" i="8"/>
  <c r="V484" i="8"/>
  <c r="W484" i="8" s="1"/>
  <c r="AA484" i="8" s="1"/>
  <c r="U484" i="8"/>
  <c r="T484" i="8"/>
  <c r="R484" i="8"/>
  <c r="S484" i="8" s="1"/>
  <c r="P484" i="8"/>
  <c r="N484" i="8"/>
  <c r="M484" i="8"/>
  <c r="O484" i="8" s="1"/>
  <c r="L484" i="8"/>
  <c r="H484" i="8"/>
  <c r="G484" i="8"/>
  <c r="AH483" i="8"/>
  <c r="AG483" i="8"/>
  <c r="AE483" i="8"/>
  <c r="Y483" i="8"/>
  <c r="V483" i="8"/>
  <c r="W483" i="8" s="1"/>
  <c r="AA483" i="8" s="1"/>
  <c r="U483" i="8"/>
  <c r="T483" i="8"/>
  <c r="R483" i="8"/>
  <c r="S483" i="8" s="1"/>
  <c r="P483" i="8"/>
  <c r="N483" i="8"/>
  <c r="M483" i="8"/>
  <c r="O483" i="8" s="1"/>
  <c r="L483" i="8"/>
  <c r="H483" i="8"/>
  <c r="G483" i="8"/>
  <c r="AH482" i="8"/>
  <c r="AG482" i="8"/>
  <c r="AE482" i="8"/>
  <c r="Y482" i="8"/>
  <c r="V482" i="8"/>
  <c r="U482" i="8"/>
  <c r="T482" i="8"/>
  <c r="R482" i="8"/>
  <c r="S482" i="8" s="1"/>
  <c r="N482" i="8"/>
  <c r="M482" i="8"/>
  <c r="O482" i="8" s="1"/>
  <c r="L482" i="8"/>
  <c r="H482" i="8"/>
  <c r="G482" i="8"/>
  <c r="AH481" i="8"/>
  <c r="AG481" i="8"/>
  <c r="AE481" i="8"/>
  <c r="Y481" i="8"/>
  <c r="W481" i="8"/>
  <c r="V481" i="8"/>
  <c r="U481" i="8"/>
  <c r="T481" i="8"/>
  <c r="R481" i="8"/>
  <c r="N481" i="8"/>
  <c r="M481" i="8"/>
  <c r="O481" i="8" s="1"/>
  <c r="L481" i="8"/>
  <c r="H481" i="8"/>
  <c r="G481" i="8"/>
  <c r="AH480" i="8"/>
  <c r="AG480" i="8"/>
  <c r="AE480" i="8"/>
  <c r="Y480" i="8"/>
  <c r="W480" i="8"/>
  <c r="V480" i="8"/>
  <c r="U480" i="8"/>
  <c r="T480" i="8"/>
  <c r="R480" i="8"/>
  <c r="N480" i="8"/>
  <c r="M480" i="8"/>
  <c r="O480" i="8" s="1"/>
  <c r="L480" i="8"/>
  <c r="H480" i="8"/>
  <c r="G480" i="8"/>
  <c r="AH479" i="8"/>
  <c r="AG479" i="8"/>
  <c r="AE479" i="8"/>
  <c r="Y479" i="8"/>
  <c r="V479" i="8"/>
  <c r="U479" i="8"/>
  <c r="T479" i="8"/>
  <c r="R479" i="8"/>
  <c r="N479" i="8"/>
  <c r="M479" i="8"/>
  <c r="O479" i="8" s="1"/>
  <c r="L479" i="8"/>
  <c r="H479" i="8"/>
  <c r="G479" i="8"/>
  <c r="AH478" i="8"/>
  <c r="AG478" i="8"/>
  <c r="AE478" i="8"/>
  <c r="Y478" i="8"/>
  <c r="W478" i="8"/>
  <c r="AA478" i="8" s="1"/>
  <c r="V478" i="8"/>
  <c r="U478" i="8"/>
  <c r="T478" i="8"/>
  <c r="R478" i="8"/>
  <c r="P478" i="8"/>
  <c r="Z478" i="8" s="1"/>
  <c r="N478" i="8"/>
  <c r="M478" i="8"/>
  <c r="O478" i="8" s="1"/>
  <c r="L478" i="8"/>
  <c r="H478" i="8"/>
  <c r="G478" i="8"/>
  <c r="AH477" i="8"/>
  <c r="AG477" i="8"/>
  <c r="AE477" i="8"/>
  <c r="Y477" i="8"/>
  <c r="V477" i="8"/>
  <c r="W477" i="8" s="1"/>
  <c r="U477" i="8"/>
  <c r="T477" i="8"/>
  <c r="R477" i="8"/>
  <c r="N477" i="8"/>
  <c r="M477" i="8"/>
  <c r="O477" i="8" s="1"/>
  <c r="L477" i="8"/>
  <c r="H477" i="8"/>
  <c r="G477" i="8"/>
  <c r="AH476" i="8"/>
  <c r="AG476" i="8"/>
  <c r="AE476" i="8"/>
  <c r="Z476" i="8"/>
  <c r="Y476" i="8"/>
  <c r="V476" i="8"/>
  <c r="W476" i="8" s="1"/>
  <c r="AA476" i="8" s="1"/>
  <c r="U476" i="8"/>
  <c r="T476" i="8"/>
  <c r="R476" i="8"/>
  <c r="S476" i="8" s="1"/>
  <c r="P476" i="8"/>
  <c r="N476" i="8"/>
  <c r="M476" i="8"/>
  <c r="O476" i="8" s="1"/>
  <c r="L476" i="8"/>
  <c r="H476" i="8"/>
  <c r="G476" i="8"/>
  <c r="AH475" i="8"/>
  <c r="AG475" i="8"/>
  <c r="AE475" i="8"/>
  <c r="Y475" i="8"/>
  <c r="V475" i="8"/>
  <c r="W475" i="8" s="1"/>
  <c r="AA475" i="8" s="1"/>
  <c r="U475" i="8"/>
  <c r="T475" i="8"/>
  <c r="R475" i="8"/>
  <c r="S475" i="8" s="1"/>
  <c r="P475" i="8"/>
  <c r="N475" i="8"/>
  <c r="M475" i="8"/>
  <c r="O475" i="8" s="1"/>
  <c r="L475" i="8"/>
  <c r="H475" i="8"/>
  <c r="G475" i="8"/>
  <c r="AH474" i="8"/>
  <c r="AG474" i="8"/>
  <c r="AE474" i="8"/>
  <c r="Y474" i="8"/>
  <c r="V474" i="8"/>
  <c r="U474" i="8"/>
  <c r="T474" i="8"/>
  <c r="R474" i="8"/>
  <c r="S474" i="8" s="1"/>
  <c r="N474" i="8"/>
  <c r="M474" i="8"/>
  <c r="O474" i="8" s="1"/>
  <c r="L474" i="8"/>
  <c r="H474" i="8"/>
  <c r="G474" i="8"/>
  <c r="AH473" i="8"/>
  <c r="AG473" i="8"/>
  <c r="AE473" i="8"/>
  <c r="Y473" i="8"/>
  <c r="W473" i="8"/>
  <c r="V473" i="8"/>
  <c r="U473" i="8"/>
  <c r="T473" i="8"/>
  <c r="R473" i="8"/>
  <c r="N473" i="8"/>
  <c r="M473" i="8"/>
  <c r="O473" i="8" s="1"/>
  <c r="L473" i="8"/>
  <c r="H473" i="8"/>
  <c r="G473" i="8"/>
  <c r="AH472" i="8"/>
  <c r="AG472" i="8"/>
  <c r="AE472" i="8"/>
  <c r="Y472" i="8"/>
  <c r="V472" i="8"/>
  <c r="U472" i="8"/>
  <c r="T472" i="8"/>
  <c r="M472" i="8"/>
  <c r="L472" i="8"/>
  <c r="H472" i="8"/>
  <c r="R472" i="8" s="1"/>
  <c r="G472" i="8"/>
  <c r="AH471" i="8"/>
  <c r="AG471" i="8"/>
  <c r="AE471" i="8"/>
  <c r="Y471" i="8"/>
  <c r="V471" i="8"/>
  <c r="W471" i="8" s="1"/>
  <c r="U471" i="8"/>
  <c r="T471" i="8"/>
  <c r="R471" i="8"/>
  <c r="N471" i="8"/>
  <c r="M471" i="8"/>
  <c r="O471" i="8" s="1"/>
  <c r="L471" i="8"/>
  <c r="H471" i="8"/>
  <c r="G471" i="8"/>
  <c r="AH470" i="8"/>
  <c r="AG470" i="8"/>
  <c r="AE470" i="8"/>
  <c r="Y470" i="8"/>
  <c r="V470" i="8"/>
  <c r="W470" i="8" s="1"/>
  <c r="AA470" i="8" s="1"/>
  <c r="U470" i="8"/>
  <c r="T470" i="8"/>
  <c r="R470" i="8"/>
  <c r="P470" i="8"/>
  <c r="M470" i="8"/>
  <c r="L470" i="8"/>
  <c r="H470" i="8"/>
  <c r="N470" i="8" s="1"/>
  <c r="G470" i="8"/>
  <c r="AH469" i="8"/>
  <c r="AG469" i="8"/>
  <c r="AE469" i="8"/>
  <c r="Y469" i="8"/>
  <c r="W469" i="8"/>
  <c r="V469" i="8"/>
  <c r="U469" i="8"/>
  <c r="T469" i="8"/>
  <c r="M469" i="8"/>
  <c r="L469" i="8"/>
  <c r="H469" i="8"/>
  <c r="N469" i="8" s="1"/>
  <c r="G469" i="8"/>
  <c r="AH468" i="8"/>
  <c r="AG468" i="8"/>
  <c r="AE468" i="8"/>
  <c r="Y468" i="8"/>
  <c r="V468" i="8"/>
  <c r="U468" i="8"/>
  <c r="T468" i="8"/>
  <c r="M468" i="8"/>
  <c r="L468" i="8"/>
  <c r="H468" i="8"/>
  <c r="R468" i="8" s="1"/>
  <c r="G468" i="8"/>
  <c r="AH467" i="8"/>
  <c r="AG467" i="8"/>
  <c r="AE467" i="8"/>
  <c r="Y467" i="8"/>
  <c r="W467" i="8"/>
  <c r="V467" i="8"/>
  <c r="U467" i="8"/>
  <c r="T467" i="8"/>
  <c r="R467" i="8"/>
  <c r="N467" i="8"/>
  <c r="M467" i="8"/>
  <c r="O467" i="8" s="1"/>
  <c r="L467" i="8"/>
  <c r="H467" i="8"/>
  <c r="G467" i="8"/>
  <c r="AH466" i="8"/>
  <c r="AG466" i="8"/>
  <c r="AE466" i="8"/>
  <c r="Y466" i="8"/>
  <c r="V466" i="8"/>
  <c r="W466" i="8" s="1"/>
  <c r="AA466" i="8" s="1"/>
  <c r="U466" i="8"/>
  <c r="T466" i="8"/>
  <c r="R466" i="8"/>
  <c r="P466" i="8"/>
  <c r="M466" i="8"/>
  <c r="L466" i="8"/>
  <c r="H466" i="8"/>
  <c r="N466" i="8" s="1"/>
  <c r="G466" i="8"/>
  <c r="AH465" i="8"/>
  <c r="AG465" i="8"/>
  <c r="AE465" i="8"/>
  <c r="Y465" i="8"/>
  <c r="W465" i="8"/>
  <c r="V465" i="8"/>
  <c r="U465" i="8"/>
  <c r="T465" i="8"/>
  <c r="M465" i="8"/>
  <c r="L465" i="8"/>
  <c r="H465" i="8"/>
  <c r="N465" i="8" s="1"/>
  <c r="G465" i="8"/>
  <c r="AH464" i="8"/>
  <c r="AG464" i="8"/>
  <c r="AE464" i="8"/>
  <c r="Y464" i="8"/>
  <c r="V464" i="8"/>
  <c r="U464" i="8"/>
  <c r="T464" i="8"/>
  <c r="M464" i="8"/>
  <c r="L464" i="8"/>
  <c r="H464" i="8"/>
  <c r="R464" i="8" s="1"/>
  <c r="G464" i="8"/>
  <c r="AH463" i="8"/>
  <c r="AG463" i="8"/>
  <c r="AE463" i="8"/>
  <c r="Y463" i="8"/>
  <c r="W463" i="8"/>
  <c r="V463" i="8"/>
  <c r="U463" i="8"/>
  <c r="T463" i="8"/>
  <c r="R463" i="8"/>
  <c r="N463" i="8"/>
  <c r="M463" i="8"/>
  <c r="O463" i="8" s="1"/>
  <c r="L463" i="8"/>
  <c r="H463" i="8"/>
  <c r="G463" i="8"/>
  <c r="AH462" i="8"/>
  <c r="AG462" i="8"/>
  <c r="AE462" i="8"/>
  <c r="Y462" i="8"/>
  <c r="V462" i="8"/>
  <c r="W462" i="8" s="1"/>
  <c r="AA462" i="8" s="1"/>
  <c r="U462" i="8"/>
  <c r="T462" i="8"/>
  <c r="R462" i="8"/>
  <c r="P462" i="8"/>
  <c r="M462" i="8"/>
  <c r="L462" i="8"/>
  <c r="H462" i="8"/>
  <c r="N462" i="8" s="1"/>
  <c r="G462" i="8"/>
  <c r="AH461" i="8"/>
  <c r="AG461" i="8"/>
  <c r="AE461" i="8"/>
  <c r="Y461" i="8"/>
  <c r="W461" i="8"/>
  <c r="V461" i="8"/>
  <c r="U461" i="8"/>
  <c r="T461" i="8"/>
  <c r="M461" i="8"/>
  <c r="L461" i="8"/>
  <c r="H461" i="8"/>
  <c r="N461" i="8" s="1"/>
  <c r="G461" i="8"/>
  <c r="AH460" i="8"/>
  <c r="AG460" i="8"/>
  <c r="AE460" i="8"/>
  <c r="Y460" i="8"/>
  <c r="V460" i="8"/>
  <c r="U460" i="8"/>
  <c r="T460" i="8"/>
  <c r="M460" i="8"/>
  <c r="L460" i="8"/>
  <c r="H460" i="8"/>
  <c r="R460" i="8" s="1"/>
  <c r="G460" i="8"/>
  <c r="AH459" i="8"/>
  <c r="AG459" i="8"/>
  <c r="AE459" i="8"/>
  <c r="Y459" i="8"/>
  <c r="W459" i="8"/>
  <c r="V459" i="8"/>
  <c r="U459" i="8"/>
  <c r="T459" i="8"/>
  <c r="R459" i="8"/>
  <c r="N459" i="8"/>
  <c r="M459" i="8"/>
  <c r="O459" i="8" s="1"/>
  <c r="L459" i="8"/>
  <c r="H459" i="8"/>
  <c r="G459" i="8"/>
  <c r="AH458" i="8"/>
  <c r="AG458" i="8"/>
  <c r="AE458" i="8"/>
  <c r="Y458" i="8"/>
  <c r="V458" i="8"/>
  <c r="W458" i="8" s="1"/>
  <c r="AA458" i="8" s="1"/>
  <c r="U458" i="8"/>
  <c r="T458" i="8"/>
  <c r="R458" i="8"/>
  <c r="P458" i="8"/>
  <c r="M458" i="8"/>
  <c r="L458" i="8"/>
  <c r="H458" i="8"/>
  <c r="N458" i="8" s="1"/>
  <c r="G458" i="8"/>
  <c r="AH457" i="8"/>
  <c r="AG457" i="8"/>
  <c r="AE457" i="8"/>
  <c r="Y457" i="8"/>
  <c r="W457" i="8"/>
  <c r="V457" i="8"/>
  <c r="U457" i="8"/>
  <c r="T457" i="8"/>
  <c r="M457" i="8"/>
  <c r="L457" i="8"/>
  <c r="H457" i="8"/>
  <c r="N457" i="8" s="1"/>
  <c r="G457" i="8"/>
  <c r="AH456" i="8"/>
  <c r="AG456" i="8"/>
  <c r="AE456" i="8"/>
  <c r="Y456" i="8"/>
  <c r="V456" i="8"/>
  <c r="U456" i="8"/>
  <c r="T456" i="8"/>
  <c r="M456" i="8"/>
  <c r="L456" i="8"/>
  <c r="H456" i="8"/>
  <c r="R456" i="8" s="1"/>
  <c r="G456" i="8"/>
  <c r="AH455" i="8"/>
  <c r="AG455" i="8"/>
  <c r="AE455" i="8"/>
  <c r="Y455" i="8"/>
  <c r="W455" i="8"/>
  <c r="V455" i="8"/>
  <c r="U455" i="8"/>
  <c r="T455" i="8"/>
  <c r="R455" i="8"/>
  <c r="N455" i="8"/>
  <c r="M455" i="8"/>
  <c r="O455" i="8" s="1"/>
  <c r="L455" i="8"/>
  <c r="H455" i="8"/>
  <c r="G455" i="8"/>
  <c r="AH454" i="8"/>
  <c r="AG454" i="8"/>
  <c r="AE454" i="8"/>
  <c r="Y454" i="8"/>
  <c r="V454" i="8"/>
  <c r="W454" i="8" s="1"/>
  <c r="AA454" i="8" s="1"/>
  <c r="U454" i="8"/>
  <c r="T454" i="8"/>
  <c r="R454" i="8"/>
  <c r="P454" i="8"/>
  <c r="M454" i="8"/>
  <c r="L454" i="8"/>
  <c r="H454" i="8"/>
  <c r="N454" i="8" s="1"/>
  <c r="G454" i="8"/>
  <c r="AH453" i="8"/>
  <c r="AG453" i="8"/>
  <c r="AE453" i="8"/>
  <c r="Y453" i="8"/>
  <c r="W453" i="8"/>
  <c r="V453" i="8"/>
  <c r="U453" i="8"/>
  <c r="T453" i="8"/>
  <c r="M453" i="8"/>
  <c r="L453" i="8"/>
  <c r="H453" i="8"/>
  <c r="N453" i="8" s="1"/>
  <c r="G453" i="8"/>
  <c r="AH452" i="8"/>
  <c r="AG452" i="8"/>
  <c r="AE452" i="8"/>
  <c r="Y452" i="8"/>
  <c r="V452" i="8"/>
  <c r="W452" i="8" s="1"/>
  <c r="U452" i="8"/>
  <c r="T452" i="8"/>
  <c r="N452" i="8"/>
  <c r="M452" i="8"/>
  <c r="L452" i="8"/>
  <c r="H452" i="8"/>
  <c r="R452" i="8" s="1"/>
  <c r="G452" i="8"/>
  <c r="AH451" i="8"/>
  <c r="AG451" i="8"/>
  <c r="AE451" i="8"/>
  <c r="Y451" i="8"/>
  <c r="W451" i="8"/>
  <c r="V451" i="8"/>
  <c r="U451" i="8"/>
  <c r="T451" i="8"/>
  <c r="R451" i="8"/>
  <c r="S451" i="8" s="1"/>
  <c r="N451" i="8"/>
  <c r="M451" i="8"/>
  <c r="O451" i="8" s="1"/>
  <c r="L451" i="8"/>
  <c r="H451" i="8"/>
  <c r="G451" i="8"/>
  <c r="AH450" i="8"/>
  <c r="AG450" i="8"/>
  <c r="AE450" i="8"/>
  <c r="Y450" i="8"/>
  <c r="V450" i="8"/>
  <c r="W450" i="8" s="1"/>
  <c r="AA450" i="8" s="1"/>
  <c r="U450" i="8"/>
  <c r="T450" i="8"/>
  <c r="R450" i="8"/>
  <c r="P450" i="8"/>
  <c r="M450" i="8"/>
  <c r="L450" i="8"/>
  <c r="H450" i="8"/>
  <c r="N450" i="8" s="1"/>
  <c r="G450" i="8"/>
  <c r="AH449" i="8"/>
  <c r="AG449" i="8"/>
  <c r="AE449" i="8"/>
  <c r="Y449" i="8"/>
  <c r="W449" i="8"/>
  <c r="V449" i="8"/>
  <c r="U449" i="8"/>
  <c r="T449" i="8"/>
  <c r="M449" i="8"/>
  <c r="L449" i="8"/>
  <c r="H449" i="8"/>
  <c r="N449" i="8" s="1"/>
  <c r="G449" i="8"/>
  <c r="AH448" i="8"/>
  <c r="AG448" i="8"/>
  <c r="AE448" i="8"/>
  <c r="Y448" i="8"/>
  <c r="V448" i="8"/>
  <c r="W448" i="8" s="1"/>
  <c r="U448" i="8"/>
  <c r="T448" i="8"/>
  <c r="N448" i="8"/>
  <c r="M448" i="8"/>
  <c r="L448" i="8"/>
  <c r="H448" i="8"/>
  <c r="R448" i="8" s="1"/>
  <c r="G448" i="8"/>
  <c r="AH447" i="8"/>
  <c r="AG447" i="8"/>
  <c r="AE447" i="8"/>
  <c r="Y447" i="8"/>
  <c r="W447" i="8"/>
  <c r="V447" i="8"/>
  <c r="U447" i="8"/>
  <c r="T447" i="8"/>
  <c r="R447" i="8"/>
  <c r="S447" i="8" s="1"/>
  <c r="N447" i="8"/>
  <c r="M447" i="8"/>
  <c r="O447" i="8" s="1"/>
  <c r="L447" i="8"/>
  <c r="H447" i="8"/>
  <c r="G447" i="8"/>
  <c r="AH446" i="8"/>
  <c r="AG446" i="8"/>
  <c r="AE446" i="8"/>
  <c r="Y446" i="8"/>
  <c r="V446" i="8"/>
  <c r="W446" i="8" s="1"/>
  <c r="AA446" i="8" s="1"/>
  <c r="U446" i="8"/>
  <c r="T446" i="8"/>
  <c r="R446" i="8"/>
  <c r="P446" i="8"/>
  <c r="M446" i="8"/>
  <c r="L446" i="8"/>
  <c r="H446" i="8"/>
  <c r="N446" i="8" s="1"/>
  <c r="G446" i="8"/>
  <c r="AH445" i="8"/>
  <c r="AG445" i="8"/>
  <c r="AE445" i="8"/>
  <c r="Y445" i="8"/>
  <c r="W445" i="8"/>
  <c r="V445" i="8"/>
  <c r="U445" i="8"/>
  <c r="T445" i="8"/>
  <c r="M445" i="8"/>
  <c r="L445" i="8"/>
  <c r="H445" i="8"/>
  <c r="N445" i="8" s="1"/>
  <c r="G445" i="8"/>
  <c r="AH444" i="8"/>
  <c r="AG444" i="8"/>
  <c r="AE444" i="8"/>
  <c r="Y444" i="8"/>
  <c r="W444" i="8"/>
  <c r="V444" i="8"/>
  <c r="U444" i="8"/>
  <c r="T444" i="8"/>
  <c r="N444" i="8"/>
  <c r="M444" i="8"/>
  <c r="L444" i="8"/>
  <c r="H444" i="8"/>
  <c r="R444" i="8" s="1"/>
  <c r="G444" i="8"/>
  <c r="AH443" i="8"/>
  <c r="AG443" i="8"/>
  <c r="AE443" i="8"/>
  <c r="Y443" i="8"/>
  <c r="W443" i="8"/>
  <c r="V443" i="8"/>
  <c r="U443" i="8"/>
  <c r="T443" i="8"/>
  <c r="R443" i="8"/>
  <c r="S443" i="8" s="1"/>
  <c r="N443" i="8"/>
  <c r="M443" i="8"/>
  <c r="O443" i="8" s="1"/>
  <c r="L443" i="8"/>
  <c r="H443" i="8"/>
  <c r="G443" i="8"/>
  <c r="AH442" i="8"/>
  <c r="AG442" i="8"/>
  <c r="AE442" i="8"/>
  <c r="Y442" i="8"/>
  <c r="V442" i="8"/>
  <c r="W442" i="8" s="1"/>
  <c r="AA442" i="8" s="1"/>
  <c r="U442" i="8"/>
  <c r="T442" i="8"/>
  <c r="R442" i="8"/>
  <c r="P442" i="8"/>
  <c r="M442" i="8"/>
  <c r="L442" i="8"/>
  <c r="H442" i="8"/>
  <c r="N442" i="8" s="1"/>
  <c r="G442" i="8"/>
  <c r="AH441" i="8"/>
  <c r="AG441" i="8"/>
  <c r="AE441" i="8"/>
  <c r="Y441" i="8"/>
  <c r="W441" i="8"/>
  <c r="V441" i="8"/>
  <c r="U441" i="8"/>
  <c r="T441" i="8"/>
  <c r="M441" i="8"/>
  <c r="L441" i="8"/>
  <c r="H441" i="8"/>
  <c r="N441" i="8" s="1"/>
  <c r="G441" i="8"/>
  <c r="AH440" i="8"/>
  <c r="AG440" i="8"/>
  <c r="AE440" i="8"/>
  <c r="Y440" i="8"/>
  <c r="W440" i="8"/>
  <c r="V440" i="8"/>
  <c r="U440" i="8"/>
  <c r="T440" i="8"/>
  <c r="N440" i="8"/>
  <c r="M440" i="8"/>
  <c r="L440" i="8"/>
  <c r="H440" i="8"/>
  <c r="R440" i="8" s="1"/>
  <c r="G440" i="8"/>
  <c r="AH439" i="8"/>
  <c r="AG439" i="8"/>
  <c r="AE439" i="8"/>
  <c r="Y439" i="8"/>
  <c r="W439" i="8"/>
  <c r="V439" i="8"/>
  <c r="U439" i="8"/>
  <c r="T439" i="8"/>
  <c r="R439" i="8"/>
  <c r="S439" i="8" s="1"/>
  <c r="N439" i="8"/>
  <c r="M439" i="8"/>
  <c r="O439" i="8" s="1"/>
  <c r="L439" i="8"/>
  <c r="H439" i="8"/>
  <c r="G439" i="8"/>
  <c r="AH438" i="8"/>
  <c r="AG438" i="8"/>
  <c r="AE438" i="8"/>
  <c r="Y438" i="8"/>
  <c r="V438" i="8"/>
  <c r="W438" i="8" s="1"/>
  <c r="AA438" i="8" s="1"/>
  <c r="U438" i="8"/>
  <c r="T438" i="8"/>
  <c r="R438" i="8"/>
  <c r="P438" i="8"/>
  <c r="M438" i="8"/>
  <c r="L438" i="8"/>
  <c r="H438" i="8"/>
  <c r="N438" i="8" s="1"/>
  <c r="G438" i="8"/>
  <c r="AH437" i="8"/>
  <c r="AG437" i="8"/>
  <c r="AE437" i="8"/>
  <c r="Y437" i="8"/>
  <c r="W437" i="8"/>
  <c r="V437" i="8"/>
  <c r="U437" i="8"/>
  <c r="T437" i="8"/>
  <c r="M437" i="8"/>
  <c r="L437" i="8"/>
  <c r="H437" i="8"/>
  <c r="N437" i="8" s="1"/>
  <c r="G437" i="8"/>
  <c r="AH436" i="8"/>
  <c r="AG436" i="8"/>
  <c r="AE436" i="8"/>
  <c r="Y436" i="8"/>
  <c r="W436" i="8"/>
  <c r="V436" i="8"/>
  <c r="U436" i="8"/>
  <c r="T436" i="8"/>
  <c r="N436" i="8"/>
  <c r="M436" i="8"/>
  <c r="L436" i="8"/>
  <c r="H436" i="8"/>
  <c r="R436" i="8" s="1"/>
  <c r="G436" i="8"/>
  <c r="AH435" i="8"/>
  <c r="AG435" i="8"/>
  <c r="AE435" i="8"/>
  <c r="Y435" i="8"/>
  <c r="W435" i="8"/>
  <c r="V435" i="8"/>
  <c r="U435" i="8"/>
  <c r="T435" i="8"/>
  <c r="R435" i="8"/>
  <c r="S435" i="8" s="1"/>
  <c r="N435" i="8"/>
  <c r="M435" i="8"/>
  <c r="O435" i="8" s="1"/>
  <c r="L435" i="8"/>
  <c r="H435" i="8"/>
  <c r="G435" i="8"/>
  <c r="AH434" i="8"/>
  <c r="AG434" i="8"/>
  <c r="AE434" i="8"/>
  <c r="Y434" i="8"/>
  <c r="W434" i="8"/>
  <c r="V434" i="8"/>
  <c r="Z434" i="8" s="1"/>
  <c r="U434" i="8"/>
  <c r="T434" i="8"/>
  <c r="R434" i="8"/>
  <c r="P434" i="8"/>
  <c r="M434" i="8"/>
  <c r="L434" i="8"/>
  <c r="H434" i="8"/>
  <c r="N434" i="8" s="1"/>
  <c r="G434" i="8"/>
  <c r="AH433" i="8"/>
  <c r="AG433" i="8"/>
  <c r="AE433" i="8"/>
  <c r="Y433" i="8"/>
  <c r="W433" i="8"/>
  <c r="V433" i="8"/>
  <c r="U433" i="8"/>
  <c r="T433" i="8"/>
  <c r="M433" i="8"/>
  <c r="L433" i="8"/>
  <c r="H433" i="8"/>
  <c r="N433" i="8" s="1"/>
  <c r="G433" i="8"/>
  <c r="AH432" i="8"/>
  <c r="AG432" i="8"/>
  <c r="AE432" i="8"/>
  <c r="Y432" i="8"/>
  <c r="W432" i="8"/>
  <c r="V432" i="8"/>
  <c r="U432" i="8"/>
  <c r="T432" i="8"/>
  <c r="N432" i="8"/>
  <c r="M432" i="8"/>
  <c r="L432" i="8"/>
  <c r="H432" i="8"/>
  <c r="R432" i="8" s="1"/>
  <c r="G432" i="8"/>
  <c r="AH431" i="8"/>
  <c r="AG431" i="8"/>
  <c r="AE431" i="8"/>
  <c r="Y431" i="8"/>
  <c r="W431" i="8"/>
  <c r="V431" i="8"/>
  <c r="U431" i="8"/>
  <c r="T431" i="8"/>
  <c r="R431" i="8"/>
  <c r="S431" i="8" s="1"/>
  <c r="N431" i="8"/>
  <c r="M431" i="8"/>
  <c r="O431" i="8" s="1"/>
  <c r="L431" i="8"/>
  <c r="H431" i="8"/>
  <c r="G431" i="8"/>
  <c r="AH430" i="8"/>
  <c r="AG430" i="8"/>
  <c r="AE430" i="8"/>
  <c r="Y430" i="8"/>
  <c r="W430" i="8"/>
  <c r="V430" i="8"/>
  <c r="Z430" i="8" s="1"/>
  <c r="U430" i="8"/>
  <c r="T430" i="8"/>
  <c r="R430" i="8"/>
  <c r="P430" i="8"/>
  <c r="M430" i="8"/>
  <c r="L430" i="8"/>
  <c r="H430" i="8"/>
  <c r="N430" i="8" s="1"/>
  <c r="G430" i="8"/>
  <c r="AH429" i="8"/>
  <c r="AG429" i="8"/>
  <c r="AE429" i="8"/>
  <c r="Y429" i="8"/>
  <c r="W429" i="8"/>
  <c r="V429" i="8"/>
  <c r="U429" i="8"/>
  <c r="T429" i="8"/>
  <c r="M429" i="8"/>
  <c r="L429" i="8"/>
  <c r="H429" i="8"/>
  <c r="N429" i="8" s="1"/>
  <c r="G429" i="8"/>
  <c r="AH428" i="8"/>
  <c r="AG428" i="8"/>
  <c r="AE428" i="8"/>
  <c r="Y428" i="8"/>
  <c r="W428" i="8"/>
  <c r="V428" i="8"/>
  <c r="U428" i="8"/>
  <c r="T428" i="8"/>
  <c r="N428" i="8"/>
  <c r="M428" i="8"/>
  <c r="L428" i="8"/>
  <c r="H428" i="8"/>
  <c r="R428" i="8" s="1"/>
  <c r="G428" i="8"/>
  <c r="AH427" i="8"/>
  <c r="AG427" i="8"/>
  <c r="AE427" i="8"/>
  <c r="Y427" i="8"/>
  <c r="W427" i="8"/>
  <c r="V427" i="8"/>
  <c r="U427" i="8"/>
  <c r="T427" i="8"/>
  <c r="R427" i="8"/>
  <c r="S427" i="8" s="1"/>
  <c r="N427" i="8"/>
  <c r="M427" i="8"/>
  <c r="O427" i="8" s="1"/>
  <c r="L427" i="8"/>
  <c r="H427" i="8"/>
  <c r="G427" i="8"/>
  <c r="AH426" i="8"/>
  <c r="AG426" i="8"/>
  <c r="AE426" i="8"/>
  <c r="Y426" i="8"/>
  <c r="W426" i="8"/>
  <c r="V426" i="8"/>
  <c r="Z426" i="8" s="1"/>
  <c r="U426" i="8"/>
  <c r="T426" i="8"/>
  <c r="R426" i="8"/>
  <c r="P426" i="8"/>
  <c r="M426" i="8"/>
  <c r="L426" i="8"/>
  <c r="H426" i="8"/>
  <c r="N426" i="8" s="1"/>
  <c r="G426" i="8"/>
  <c r="AH425" i="8"/>
  <c r="AG425" i="8"/>
  <c r="AE425" i="8"/>
  <c r="Y425" i="8"/>
  <c r="W425" i="8"/>
  <c r="V425" i="8"/>
  <c r="U425" i="8"/>
  <c r="T425" i="8"/>
  <c r="M425" i="8"/>
  <c r="L425" i="8"/>
  <c r="H425" i="8"/>
  <c r="N425" i="8" s="1"/>
  <c r="G425" i="8"/>
  <c r="AH424" i="8"/>
  <c r="AG424" i="8"/>
  <c r="AE424" i="8"/>
  <c r="Y424" i="8"/>
  <c r="W424" i="8"/>
  <c r="V424" i="8"/>
  <c r="U424" i="8"/>
  <c r="T424" i="8"/>
  <c r="N424" i="8"/>
  <c r="M424" i="8"/>
  <c r="L424" i="8"/>
  <c r="H424" i="8"/>
  <c r="R424" i="8" s="1"/>
  <c r="G424" i="8"/>
  <c r="AH423" i="8"/>
  <c r="AG423" i="8"/>
  <c r="AE423" i="8"/>
  <c r="Y423" i="8"/>
  <c r="W423" i="8"/>
  <c r="V423" i="8"/>
  <c r="U423" i="8"/>
  <c r="T423" i="8"/>
  <c r="R423" i="8"/>
  <c r="S423" i="8" s="1"/>
  <c r="N423" i="8"/>
  <c r="M423" i="8"/>
  <c r="O423" i="8" s="1"/>
  <c r="L423" i="8"/>
  <c r="H423" i="8"/>
  <c r="G423" i="8"/>
  <c r="AH422" i="8"/>
  <c r="AG422" i="8"/>
  <c r="AE422" i="8"/>
  <c r="Y422" i="8"/>
  <c r="W422" i="8"/>
  <c r="V422" i="8"/>
  <c r="U422" i="8"/>
  <c r="T422" i="8"/>
  <c r="R422" i="8"/>
  <c r="P422" i="8"/>
  <c r="Z422" i="8" s="1"/>
  <c r="N422" i="8"/>
  <c r="M422" i="8"/>
  <c r="L422" i="8"/>
  <c r="H422" i="8"/>
  <c r="G422" i="8"/>
  <c r="AH421" i="8"/>
  <c r="AG421" i="8"/>
  <c r="AE421" i="8"/>
  <c r="Y421" i="8"/>
  <c r="W421" i="8"/>
  <c r="V421" i="8"/>
  <c r="U421" i="8"/>
  <c r="T421" i="8"/>
  <c r="M421" i="8"/>
  <c r="L421" i="8"/>
  <c r="H421" i="8"/>
  <c r="N421" i="8" s="1"/>
  <c r="G421" i="8"/>
  <c r="AH420" i="8"/>
  <c r="AG420" i="8"/>
  <c r="AE420" i="8"/>
  <c r="Y420" i="8"/>
  <c r="W420" i="8"/>
  <c r="V420" i="8"/>
  <c r="U420" i="8"/>
  <c r="T420" i="8"/>
  <c r="N420" i="8"/>
  <c r="M420" i="8"/>
  <c r="L420" i="8"/>
  <c r="H420" i="8"/>
  <c r="R420" i="8" s="1"/>
  <c r="G420" i="8"/>
  <c r="AH419" i="8"/>
  <c r="AG419" i="8"/>
  <c r="AE419" i="8"/>
  <c r="Y419" i="8"/>
  <c r="W419" i="8"/>
  <c r="V419" i="8"/>
  <c r="U419" i="8"/>
  <c r="T419" i="8"/>
  <c r="R419" i="8"/>
  <c r="S419" i="8" s="1"/>
  <c r="N419" i="8"/>
  <c r="M419" i="8"/>
  <c r="O419" i="8" s="1"/>
  <c r="L419" i="8"/>
  <c r="H419" i="8"/>
  <c r="G419" i="8"/>
  <c r="AH418" i="8"/>
  <c r="AG418" i="8"/>
  <c r="AE418" i="8"/>
  <c r="Y418" i="8"/>
  <c r="W418" i="8"/>
  <c r="V418" i="8"/>
  <c r="U418" i="8"/>
  <c r="T418" i="8"/>
  <c r="R418" i="8"/>
  <c r="P418" i="8"/>
  <c r="Z418" i="8" s="1"/>
  <c r="N418" i="8"/>
  <c r="M418" i="8"/>
  <c r="L418" i="8"/>
  <c r="H418" i="8"/>
  <c r="G418" i="8"/>
  <c r="AH417" i="8"/>
  <c r="AG417" i="8"/>
  <c r="AE417" i="8"/>
  <c r="Y417" i="8"/>
  <c r="W417" i="8"/>
  <c r="V417" i="8"/>
  <c r="U417" i="8"/>
  <c r="T417" i="8"/>
  <c r="M417" i="8"/>
  <c r="L417" i="8"/>
  <c r="H417" i="8"/>
  <c r="N417" i="8" s="1"/>
  <c r="G417" i="8"/>
  <c r="AH416" i="8"/>
  <c r="AG416" i="8"/>
  <c r="AE416" i="8"/>
  <c r="Y416" i="8"/>
  <c r="W416" i="8"/>
  <c r="V416" i="8"/>
  <c r="U416" i="8"/>
  <c r="T416" i="8"/>
  <c r="N416" i="8"/>
  <c r="M416" i="8"/>
  <c r="L416" i="8"/>
  <c r="H416" i="8"/>
  <c r="R416" i="8" s="1"/>
  <c r="G416" i="8"/>
  <c r="AH415" i="8"/>
  <c r="AG415" i="8"/>
  <c r="AE415" i="8"/>
  <c r="Y415" i="8"/>
  <c r="W415" i="8"/>
  <c r="V415" i="8"/>
  <c r="U415" i="8"/>
  <c r="T415" i="8"/>
  <c r="R415" i="8"/>
  <c r="S415" i="8" s="1"/>
  <c r="N415" i="8"/>
  <c r="M415" i="8"/>
  <c r="O415" i="8" s="1"/>
  <c r="L415" i="8"/>
  <c r="H415" i="8"/>
  <c r="G415" i="8"/>
  <c r="AH414" i="8"/>
  <c r="AG414" i="8"/>
  <c r="AE414" i="8"/>
  <c r="Y414" i="8"/>
  <c r="W414" i="8"/>
  <c r="V414" i="8"/>
  <c r="U414" i="8"/>
  <c r="T414" i="8"/>
  <c r="R414" i="8"/>
  <c r="P414" i="8"/>
  <c r="Z414" i="8" s="1"/>
  <c r="N414" i="8"/>
  <c r="M414" i="8"/>
  <c r="L414" i="8"/>
  <c r="H414" i="8"/>
  <c r="G414" i="8"/>
  <c r="AH413" i="8"/>
  <c r="AG413" i="8"/>
  <c r="AE413" i="8"/>
  <c r="Y413" i="8"/>
  <c r="W413" i="8"/>
  <c r="V413" i="8"/>
  <c r="U413" i="8"/>
  <c r="T413" i="8"/>
  <c r="R413" i="8"/>
  <c r="N413" i="8"/>
  <c r="M413" i="8"/>
  <c r="L413" i="8"/>
  <c r="H413" i="8"/>
  <c r="G413" i="8"/>
  <c r="AH412" i="8"/>
  <c r="AG412" i="8"/>
  <c r="AE412" i="8"/>
  <c r="Y412" i="8"/>
  <c r="W412" i="8"/>
  <c r="V412" i="8"/>
  <c r="U412" i="8"/>
  <c r="T412" i="8"/>
  <c r="N412" i="8"/>
  <c r="M412" i="8"/>
  <c r="L412" i="8"/>
  <c r="H412" i="8"/>
  <c r="R412" i="8" s="1"/>
  <c r="G412" i="8"/>
  <c r="AH411" i="8"/>
  <c r="AG411" i="8"/>
  <c r="AE411" i="8"/>
  <c r="Y411" i="8"/>
  <c r="W411" i="8"/>
  <c r="V411" i="8"/>
  <c r="U411" i="8"/>
  <c r="T411" i="8"/>
  <c r="R411" i="8"/>
  <c r="S411" i="8" s="1"/>
  <c r="N411" i="8"/>
  <c r="M411" i="8"/>
  <c r="O411" i="8" s="1"/>
  <c r="L411" i="8"/>
  <c r="H411" i="8"/>
  <c r="G411" i="8"/>
  <c r="AH410" i="8"/>
  <c r="AG410" i="8"/>
  <c r="AE410" i="8"/>
  <c r="Y410" i="8"/>
  <c r="W410" i="8"/>
  <c r="V410" i="8"/>
  <c r="U410" i="8"/>
  <c r="T410" i="8"/>
  <c r="R410" i="8"/>
  <c r="P410" i="8"/>
  <c r="Z410" i="8" s="1"/>
  <c r="N410" i="8"/>
  <c r="M410" i="8"/>
  <c r="L410" i="8"/>
  <c r="H410" i="8"/>
  <c r="G410" i="8"/>
  <c r="AH409" i="8"/>
  <c r="AG409" i="8"/>
  <c r="AE409" i="8"/>
  <c r="Y409" i="8"/>
  <c r="W409" i="8"/>
  <c r="V409" i="8"/>
  <c r="U409" i="8"/>
  <c r="T409" i="8"/>
  <c r="R409" i="8"/>
  <c r="N409" i="8"/>
  <c r="M409" i="8"/>
  <c r="L409" i="8"/>
  <c r="H409" i="8"/>
  <c r="G409" i="8"/>
  <c r="AH408" i="8"/>
  <c r="AG408" i="8"/>
  <c r="AE408" i="8"/>
  <c r="Y408" i="8"/>
  <c r="W408" i="8"/>
  <c r="V408" i="8"/>
  <c r="U408" i="8"/>
  <c r="T408" i="8"/>
  <c r="N408" i="8"/>
  <c r="M408" i="8"/>
  <c r="L408" i="8"/>
  <c r="H408" i="8"/>
  <c r="R408" i="8" s="1"/>
  <c r="G408" i="8"/>
  <c r="AH407" i="8"/>
  <c r="AG407" i="8"/>
  <c r="AE407" i="8"/>
  <c r="Y407" i="8"/>
  <c r="W407" i="8"/>
  <c r="V407" i="8"/>
  <c r="U407" i="8"/>
  <c r="T407" i="8"/>
  <c r="R407" i="8"/>
  <c r="S407" i="8" s="1"/>
  <c r="N407" i="8"/>
  <c r="M407" i="8"/>
  <c r="O407" i="8" s="1"/>
  <c r="L407" i="8"/>
  <c r="H407" i="8"/>
  <c r="G407" i="8"/>
  <c r="AH406" i="8"/>
  <c r="AG406" i="8"/>
  <c r="AE406" i="8"/>
  <c r="Y406" i="8"/>
  <c r="W406" i="8"/>
  <c r="AA406" i="8" s="1"/>
  <c r="V406" i="8"/>
  <c r="U406" i="8"/>
  <c r="T406" i="8"/>
  <c r="R406" i="8"/>
  <c r="P406" i="8"/>
  <c r="Z406" i="8" s="1"/>
  <c r="N406" i="8"/>
  <c r="M406" i="8"/>
  <c r="L406" i="8"/>
  <c r="H406" i="8"/>
  <c r="G406" i="8"/>
  <c r="AH405" i="8"/>
  <c r="AG405" i="8"/>
  <c r="AE405" i="8"/>
  <c r="Y405" i="8"/>
  <c r="W405" i="8"/>
  <c r="V405" i="8"/>
  <c r="U405" i="8"/>
  <c r="T405" i="8"/>
  <c r="R405" i="8"/>
  <c r="N405" i="8"/>
  <c r="M405" i="8"/>
  <c r="L405" i="8"/>
  <c r="H405" i="8"/>
  <c r="G405" i="8"/>
  <c r="AH404" i="8"/>
  <c r="AG404" i="8"/>
  <c r="AE404" i="8"/>
  <c r="Y404" i="8"/>
  <c r="W404" i="8"/>
  <c r="V404" i="8"/>
  <c r="U404" i="8"/>
  <c r="T404" i="8"/>
  <c r="N404" i="8"/>
  <c r="M404" i="8"/>
  <c r="L404" i="8"/>
  <c r="H404" i="8"/>
  <c r="R404" i="8" s="1"/>
  <c r="G404" i="8"/>
  <c r="AH403" i="8"/>
  <c r="AG403" i="8"/>
  <c r="AE403" i="8"/>
  <c r="Y403" i="8"/>
  <c r="W403" i="8"/>
  <c r="V403" i="8"/>
  <c r="U403" i="8"/>
  <c r="T403" i="8"/>
  <c r="R403" i="8"/>
  <c r="S403" i="8" s="1"/>
  <c r="N403" i="8"/>
  <c r="M403" i="8"/>
  <c r="O403" i="8" s="1"/>
  <c r="L403" i="8"/>
  <c r="H403" i="8"/>
  <c r="G403" i="8"/>
  <c r="AH402" i="8"/>
  <c r="AG402" i="8"/>
  <c r="AE402" i="8"/>
  <c r="Y402" i="8"/>
  <c r="W402" i="8"/>
  <c r="AA402" i="8" s="1"/>
  <c r="V402" i="8"/>
  <c r="U402" i="8"/>
  <c r="T402" i="8"/>
  <c r="R402" i="8"/>
  <c r="P402" i="8"/>
  <c r="Z402" i="8" s="1"/>
  <c r="N402" i="8"/>
  <c r="M402" i="8"/>
  <c r="L402" i="8"/>
  <c r="H402" i="8"/>
  <c r="G402" i="8"/>
  <c r="AH401" i="8"/>
  <c r="AG401" i="8"/>
  <c r="AE401" i="8"/>
  <c r="Y401" i="8"/>
  <c r="W401" i="8"/>
  <c r="V401" i="8"/>
  <c r="U401" i="8"/>
  <c r="T401" i="8"/>
  <c r="R401" i="8"/>
  <c r="N401" i="8"/>
  <c r="M401" i="8"/>
  <c r="L401" i="8"/>
  <c r="H401" i="8"/>
  <c r="G401" i="8"/>
  <c r="AH400" i="8"/>
  <c r="AG400" i="8"/>
  <c r="AE400" i="8"/>
  <c r="Y400" i="8"/>
  <c r="W400" i="8"/>
  <c r="V400" i="8"/>
  <c r="U400" i="8"/>
  <c r="T400" i="8"/>
  <c r="N400" i="8"/>
  <c r="M400" i="8"/>
  <c r="L400" i="8"/>
  <c r="H400" i="8"/>
  <c r="R400" i="8" s="1"/>
  <c r="G400" i="8"/>
  <c r="AH399" i="8"/>
  <c r="AG399" i="8"/>
  <c r="AE399" i="8"/>
  <c r="Y399" i="8"/>
  <c r="W399" i="8"/>
  <c r="V399" i="8"/>
  <c r="U399" i="8"/>
  <c r="T399" i="8"/>
  <c r="R399" i="8"/>
  <c r="S399" i="8" s="1"/>
  <c r="N399" i="8"/>
  <c r="M399" i="8"/>
  <c r="O399" i="8" s="1"/>
  <c r="L399" i="8"/>
  <c r="H399" i="8"/>
  <c r="G399" i="8"/>
  <c r="AH398" i="8"/>
  <c r="AG398" i="8"/>
  <c r="AE398" i="8"/>
  <c r="Z398" i="8"/>
  <c r="Y398" i="8"/>
  <c r="W398" i="8"/>
  <c r="AA398" i="8" s="1"/>
  <c r="V398" i="8"/>
  <c r="U398" i="8"/>
  <c r="T398" i="8"/>
  <c r="R398" i="8"/>
  <c r="P398" i="8"/>
  <c r="N398" i="8"/>
  <c r="M398" i="8"/>
  <c r="L398" i="8"/>
  <c r="H398" i="8"/>
  <c r="G398" i="8"/>
  <c r="AH397" i="8"/>
  <c r="AG397" i="8"/>
  <c r="AE397" i="8"/>
  <c r="Y397" i="8"/>
  <c r="W397" i="8"/>
  <c r="V397" i="8"/>
  <c r="U397" i="8"/>
  <c r="T397" i="8"/>
  <c r="R397" i="8"/>
  <c r="N397" i="8"/>
  <c r="M397" i="8"/>
  <c r="L397" i="8"/>
  <c r="H397" i="8"/>
  <c r="G397" i="8"/>
  <c r="AH396" i="8"/>
  <c r="AG396" i="8"/>
  <c r="AE396" i="8"/>
  <c r="Y396" i="8"/>
  <c r="W396" i="8"/>
  <c r="V396" i="8"/>
  <c r="U396" i="8"/>
  <c r="T396" i="8"/>
  <c r="N396" i="8"/>
  <c r="M396" i="8"/>
  <c r="L396" i="8"/>
  <c r="H396" i="8"/>
  <c r="R396" i="8" s="1"/>
  <c r="G396" i="8"/>
  <c r="AH395" i="8"/>
  <c r="AG395" i="8"/>
  <c r="AE395" i="8"/>
  <c r="Y395" i="8"/>
  <c r="W395" i="8"/>
  <c r="V395" i="8"/>
  <c r="U395" i="8"/>
  <c r="T395" i="8"/>
  <c r="R395" i="8"/>
  <c r="S395" i="8" s="1"/>
  <c r="N395" i="8"/>
  <c r="M395" i="8"/>
  <c r="O395" i="8" s="1"/>
  <c r="L395" i="8"/>
  <c r="H395" i="8"/>
  <c r="G395" i="8"/>
  <c r="AH394" i="8"/>
  <c r="AG394" i="8"/>
  <c r="AE394" i="8"/>
  <c r="Z394" i="8"/>
  <c r="Y394" i="8"/>
  <c r="W394" i="8"/>
  <c r="AA394" i="8" s="1"/>
  <c r="V394" i="8"/>
  <c r="U394" i="8"/>
  <c r="T394" i="8"/>
  <c r="R394" i="8"/>
  <c r="P394" i="8"/>
  <c r="N394" i="8"/>
  <c r="M394" i="8"/>
  <c r="L394" i="8"/>
  <c r="H394" i="8"/>
  <c r="G394" i="8"/>
  <c r="AH393" i="8"/>
  <c r="AG393" i="8"/>
  <c r="AE393" i="8"/>
  <c r="Y393" i="8"/>
  <c r="W393" i="8"/>
  <c r="V393" i="8"/>
  <c r="U393" i="8"/>
  <c r="T393" i="8"/>
  <c r="R393" i="8"/>
  <c r="N393" i="8"/>
  <c r="M393" i="8"/>
  <c r="L393" i="8"/>
  <c r="H393" i="8"/>
  <c r="G393" i="8"/>
  <c r="AH392" i="8"/>
  <c r="AG392" i="8"/>
  <c r="AE392" i="8"/>
  <c r="Y392" i="8"/>
  <c r="W392" i="8"/>
  <c r="V392" i="8"/>
  <c r="U392" i="8"/>
  <c r="T392" i="8"/>
  <c r="N392" i="8"/>
  <c r="M392" i="8"/>
  <c r="L392" i="8"/>
  <c r="H392" i="8"/>
  <c r="R392" i="8" s="1"/>
  <c r="G392" i="8"/>
  <c r="AH391" i="8"/>
  <c r="AG391" i="8"/>
  <c r="AE391" i="8"/>
  <c r="Y391" i="8"/>
  <c r="W391" i="8"/>
  <c r="V391" i="8"/>
  <c r="U391" i="8"/>
  <c r="T391" i="8"/>
  <c r="R391" i="8"/>
  <c r="S391" i="8" s="1"/>
  <c r="N391" i="8"/>
  <c r="M391" i="8"/>
  <c r="O391" i="8" s="1"/>
  <c r="L391" i="8"/>
  <c r="H391" i="8"/>
  <c r="G391" i="8"/>
  <c r="AH390" i="8"/>
  <c r="AG390" i="8"/>
  <c r="AE390" i="8"/>
  <c r="Z390" i="8"/>
  <c r="Y390" i="8"/>
  <c r="W390" i="8"/>
  <c r="AA390" i="8" s="1"/>
  <c r="V390" i="8"/>
  <c r="U390" i="8"/>
  <c r="T390" i="8"/>
  <c r="R390" i="8"/>
  <c r="P390" i="8"/>
  <c r="N390" i="8"/>
  <c r="M390" i="8"/>
  <c r="L390" i="8"/>
  <c r="H390" i="8"/>
  <c r="G390" i="8"/>
  <c r="AH389" i="8"/>
  <c r="AG389" i="8"/>
  <c r="AE389" i="8"/>
  <c r="Y389" i="8"/>
  <c r="W389" i="8"/>
  <c r="V389" i="8"/>
  <c r="U389" i="8"/>
  <c r="T389" i="8"/>
  <c r="R389" i="8"/>
  <c r="N389" i="8"/>
  <c r="M389" i="8"/>
  <c r="L389" i="8"/>
  <c r="H389" i="8"/>
  <c r="G389" i="8"/>
  <c r="AH388" i="8"/>
  <c r="AG388" i="8"/>
  <c r="AE388" i="8"/>
  <c r="Y388" i="8"/>
  <c r="W388" i="8"/>
  <c r="V388" i="8"/>
  <c r="U388" i="8"/>
  <c r="T388" i="8"/>
  <c r="N388" i="8"/>
  <c r="M388" i="8"/>
  <c r="L388" i="8"/>
  <c r="H388" i="8"/>
  <c r="R388" i="8" s="1"/>
  <c r="G388" i="8"/>
  <c r="AH387" i="8"/>
  <c r="AG387" i="8"/>
  <c r="AE387" i="8"/>
  <c r="Y387" i="8"/>
  <c r="W387" i="8"/>
  <c r="V387" i="8"/>
  <c r="U387" i="8"/>
  <c r="T387" i="8"/>
  <c r="R387" i="8"/>
  <c r="S387" i="8" s="1"/>
  <c r="N387" i="8"/>
  <c r="M387" i="8"/>
  <c r="O387" i="8" s="1"/>
  <c r="L387" i="8"/>
  <c r="H387" i="8"/>
  <c r="G387" i="8"/>
  <c r="AH386" i="8"/>
  <c r="AG386" i="8"/>
  <c r="AE386" i="8"/>
  <c r="Z386" i="8"/>
  <c r="Y386" i="8"/>
  <c r="W386" i="8"/>
  <c r="AA386" i="8" s="1"/>
  <c r="V386" i="8"/>
  <c r="U386" i="8"/>
  <c r="T386" i="8"/>
  <c r="R386" i="8"/>
  <c r="P386" i="8"/>
  <c r="N386" i="8"/>
  <c r="M386" i="8"/>
  <c r="L386" i="8"/>
  <c r="H386" i="8"/>
  <c r="G386" i="8"/>
  <c r="AH385" i="8"/>
  <c r="AG385" i="8"/>
  <c r="AE385" i="8"/>
  <c r="Y385" i="8"/>
  <c r="W385" i="8"/>
  <c r="V385" i="8"/>
  <c r="U385" i="8"/>
  <c r="T385" i="8"/>
  <c r="R385" i="8"/>
  <c r="S385" i="8" s="1"/>
  <c r="N385" i="8"/>
  <c r="M385" i="8"/>
  <c r="O385" i="8" s="1"/>
  <c r="L385" i="8"/>
  <c r="H385" i="8"/>
  <c r="G385" i="8"/>
  <c r="AH384" i="8"/>
  <c r="AG384" i="8"/>
  <c r="AE384" i="8"/>
  <c r="Z384" i="8"/>
  <c r="Y384" i="8"/>
  <c r="W384" i="8"/>
  <c r="AA384" i="8" s="1"/>
  <c r="V384" i="8"/>
  <c r="U384" i="8"/>
  <c r="T384" i="8"/>
  <c r="P384" i="8"/>
  <c r="N384" i="8"/>
  <c r="M384" i="8"/>
  <c r="L384" i="8"/>
  <c r="H384" i="8"/>
  <c r="R384" i="8" s="1"/>
  <c r="G384" i="8"/>
  <c r="AH383" i="8"/>
  <c r="AG383" i="8"/>
  <c r="AE383" i="8"/>
  <c r="Y383" i="8"/>
  <c r="W383" i="8"/>
  <c r="V383" i="8"/>
  <c r="U383" i="8"/>
  <c r="T383" i="8"/>
  <c r="R383" i="8"/>
  <c r="S383" i="8" s="1"/>
  <c r="N383" i="8"/>
  <c r="M383" i="8"/>
  <c r="O383" i="8" s="1"/>
  <c r="L383" i="8"/>
  <c r="H383" i="8"/>
  <c r="G383" i="8"/>
  <c r="AH382" i="8"/>
  <c r="AG382" i="8"/>
  <c r="AE382" i="8"/>
  <c r="Z382" i="8"/>
  <c r="Y382" i="8"/>
  <c r="W382" i="8"/>
  <c r="AA382" i="8" s="1"/>
  <c r="V382" i="8"/>
  <c r="U382" i="8"/>
  <c r="T382" i="8"/>
  <c r="R382" i="8"/>
  <c r="P382" i="8"/>
  <c r="N382" i="8"/>
  <c r="M382" i="8"/>
  <c r="L382" i="8"/>
  <c r="H382" i="8"/>
  <c r="G382" i="8"/>
  <c r="AH381" i="8"/>
  <c r="AG381" i="8"/>
  <c r="AE381" i="8"/>
  <c r="Y381" i="8"/>
  <c r="V381" i="8"/>
  <c r="Z381" i="8" s="1"/>
  <c r="U381" i="8"/>
  <c r="T381" i="8"/>
  <c r="R381" i="8"/>
  <c r="P381" i="8"/>
  <c r="N381" i="8"/>
  <c r="M381" i="8"/>
  <c r="L381" i="8"/>
  <c r="H381" i="8"/>
  <c r="G381" i="8"/>
  <c r="AH380" i="8"/>
  <c r="AG380" i="8"/>
  <c r="AE380" i="8"/>
  <c r="Y380" i="8"/>
  <c r="V380" i="8"/>
  <c r="W380" i="8" s="1"/>
  <c r="AA380" i="8" s="1"/>
  <c r="U380" i="8"/>
  <c r="T380" i="8"/>
  <c r="R380" i="8"/>
  <c r="P380" i="8"/>
  <c r="N380" i="8"/>
  <c r="M380" i="8"/>
  <c r="L380" i="8"/>
  <c r="H380" i="8"/>
  <c r="G380" i="8"/>
  <c r="AH379" i="8"/>
  <c r="AG379" i="8"/>
  <c r="AE379" i="8"/>
  <c r="Y379" i="8"/>
  <c r="V379" i="8"/>
  <c r="U379" i="8"/>
  <c r="T379" i="8"/>
  <c r="R379" i="8"/>
  <c r="N379" i="8"/>
  <c r="M379" i="8"/>
  <c r="L379" i="8"/>
  <c r="H379" i="8"/>
  <c r="G379" i="8"/>
  <c r="AH378" i="8"/>
  <c r="AG378" i="8"/>
  <c r="AE378" i="8"/>
  <c r="Y378" i="8"/>
  <c r="V378" i="8"/>
  <c r="W378" i="8" s="1"/>
  <c r="AA378" i="8" s="1"/>
  <c r="U378" i="8"/>
  <c r="T378" i="8"/>
  <c r="R378" i="8"/>
  <c r="P378" i="8"/>
  <c r="N378" i="8"/>
  <c r="M378" i="8"/>
  <c r="L378" i="8"/>
  <c r="H378" i="8"/>
  <c r="G378" i="8"/>
  <c r="AH377" i="8"/>
  <c r="AG377" i="8"/>
  <c r="AE377" i="8"/>
  <c r="Y377" i="8"/>
  <c r="V377" i="8"/>
  <c r="U377" i="8"/>
  <c r="T377" i="8"/>
  <c r="R377" i="8"/>
  <c r="S377" i="8" s="1"/>
  <c r="N377" i="8"/>
  <c r="M377" i="8"/>
  <c r="O377" i="8" s="1"/>
  <c r="L377" i="8"/>
  <c r="H377" i="8"/>
  <c r="G377" i="8"/>
  <c r="AH376" i="8"/>
  <c r="AG376" i="8"/>
  <c r="AE376" i="8"/>
  <c r="Y376" i="8"/>
  <c r="V376" i="8"/>
  <c r="W376" i="8" s="1"/>
  <c r="AA376" i="8" s="1"/>
  <c r="U376" i="8"/>
  <c r="T376" i="8"/>
  <c r="R376" i="8"/>
  <c r="P376" i="8"/>
  <c r="N376" i="8"/>
  <c r="M376" i="8"/>
  <c r="L376" i="8"/>
  <c r="H376" i="8"/>
  <c r="G376" i="8"/>
  <c r="AH375" i="8"/>
  <c r="AG375" i="8"/>
  <c r="AE375" i="8"/>
  <c r="Y375" i="8"/>
  <c r="V375" i="8"/>
  <c r="U375" i="8"/>
  <c r="T375" i="8"/>
  <c r="R375" i="8"/>
  <c r="S375" i="8" s="1"/>
  <c r="N375" i="8"/>
  <c r="M375" i="8"/>
  <c r="O375" i="8" s="1"/>
  <c r="L375" i="8"/>
  <c r="H375" i="8"/>
  <c r="G375" i="8"/>
  <c r="AH374" i="8"/>
  <c r="AG374" i="8"/>
  <c r="AE374" i="8"/>
  <c r="Y374" i="8"/>
  <c r="V374" i="8"/>
  <c r="W374" i="8" s="1"/>
  <c r="AA374" i="8" s="1"/>
  <c r="U374" i="8"/>
  <c r="T374" i="8"/>
  <c r="R374" i="8"/>
  <c r="S374" i="8" s="1"/>
  <c r="P374" i="8"/>
  <c r="N374" i="8"/>
  <c r="M374" i="8"/>
  <c r="O374" i="8" s="1"/>
  <c r="L374" i="8"/>
  <c r="H374" i="8"/>
  <c r="G374" i="8"/>
  <c r="AH373" i="8"/>
  <c r="AG373" i="8"/>
  <c r="AE373" i="8"/>
  <c r="Y373" i="8"/>
  <c r="V373" i="8"/>
  <c r="U373" i="8"/>
  <c r="T373" i="8"/>
  <c r="R373" i="8"/>
  <c r="S373" i="8" s="1"/>
  <c r="N373" i="8"/>
  <c r="M373" i="8"/>
  <c r="O373" i="8" s="1"/>
  <c r="L373" i="8"/>
  <c r="H373" i="8"/>
  <c r="G373" i="8"/>
  <c r="AH372" i="8"/>
  <c r="AG372" i="8"/>
  <c r="AE372" i="8"/>
  <c r="Y372" i="8"/>
  <c r="V372" i="8"/>
  <c r="W372" i="8" s="1"/>
  <c r="U372" i="8"/>
  <c r="T372" i="8"/>
  <c r="R372" i="8"/>
  <c r="S372" i="8" s="1"/>
  <c r="N372" i="8"/>
  <c r="M372" i="8"/>
  <c r="O372" i="8" s="1"/>
  <c r="L372" i="8"/>
  <c r="H372" i="8"/>
  <c r="G372" i="8"/>
  <c r="AH371" i="8"/>
  <c r="AG371" i="8"/>
  <c r="AE371" i="8"/>
  <c r="Y371" i="8"/>
  <c r="V371" i="8"/>
  <c r="U371" i="8"/>
  <c r="T371" i="8"/>
  <c r="R371" i="8"/>
  <c r="S371" i="8" s="1"/>
  <c r="N371" i="8"/>
  <c r="M371" i="8"/>
  <c r="O371" i="8" s="1"/>
  <c r="L371" i="8"/>
  <c r="H371" i="8"/>
  <c r="G371" i="8"/>
  <c r="AH370" i="8"/>
  <c r="AG370" i="8"/>
  <c r="AE370" i="8"/>
  <c r="Y370" i="8"/>
  <c r="V370" i="8"/>
  <c r="U370" i="8"/>
  <c r="T370" i="8"/>
  <c r="R370" i="8"/>
  <c r="S370" i="8" s="1"/>
  <c r="M370" i="8"/>
  <c r="O370" i="8" s="1"/>
  <c r="L370" i="8"/>
  <c r="N370" i="8" s="1"/>
  <c r="H370" i="8"/>
  <c r="G370" i="8"/>
  <c r="AH369" i="8"/>
  <c r="AG369" i="8"/>
  <c r="AE369" i="8"/>
  <c r="Y369" i="8"/>
  <c r="W369" i="8"/>
  <c r="V369" i="8"/>
  <c r="U369" i="8"/>
  <c r="T369" i="8"/>
  <c r="N369" i="8"/>
  <c r="M369" i="8"/>
  <c r="L369" i="8"/>
  <c r="H369" i="8"/>
  <c r="R369" i="8" s="1"/>
  <c r="G369" i="8"/>
  <c r="AH368" i="8"/>
  <c r="AG368" i="8"/>
  <c r="AE368" i="8"/>
  <c r="Y368" i="8"/>
  <c r="X368" i="8" s="1"/>
  <c r="AB368" i="8" s="1"/>
  <c r="V368" i="8"/>
  <c r="Z368" i="8" s="1"/>
  <c r="U368" i="8"/>
  <c r="W368" i="8" s="1"/>
  <c r="AA368" i="8" s="1"/>
  <c r="T368" i="8"/>
  <c r="P368" i="8"/>
  <c r="N368" i="8"/>
  <c r="M368" i="8"/>
  <c r="L368" i="8"/>
  <c r="H368" i="8"/>
  <c r="R368" i="8" s="1"/>
  <c r="G368" i="8"/>
  <c r="AH367" i="8"/>
  <c r="AG367" i="8"/>
  <c r="AE367" i="8"/>
  <c r="Y367" i="8"/>
  <c r="V367" i="8"/>
  <c r="U367" i="8"/>
  <c r="W367" i="8" s="1"/>
  <c r="AA367" i="8" s="1"/>
  <c r="T367" i="8"/>
  <c r="P367" i="8"/>
  <c r="Z367" i="8" s="1"/>
  <c r="M367" i="8"/>
  <c r="L367" i="8"/>
  <c r="H367" i="8"/>
  <c r="R367" i="8" s="1"/>
  <c r="G367" i="8"/>
  <c r="AH366" i="8"/>
  <c r="AG366" i="8"/>
  <c r="AE366" i="8"/>
  <c r="Y366" i="8"/>
  <c r="V366" i="8"/>
  <c r="U366" i="8"/>
  <c r="T366" i="8"/>
  <c r="R366" i="8"/>
  <c r="S366" i="8" s="1"/>
  <c r="M366" i="8"/>
  <c r="O366" i="8" s="1"/>
  <c r="L366" i="8"/>
  <c r="N366" i="8" s="1"/>
  <c r="H366" i="8"/>
  <c r="G366" i="8"/>
  <c r="AH365" i="8"/>
  <c r="AG365" i="8"/>
  <c r="AE365" i="8"/>
  <c r="Y365" i="8"/>
  <c r="W365" i="8"/>
  <c r="V365" i="8"/>
  <c r="U365" i="8"/>
  <c r="T365" i="8"/>
  <c r="M365" i="8"/>
  <c r="L365" i="8"/>
  <c r="H365" i="8"/>
  <c r="N365" i="8" s="1"/>
  <c r="G365" i="8"/>
  <c r="AH364" i="8"/>
  <c r="AG364" i="8"/>
  <c r="AE364" i="8"/>
  <c r="AC364" i="8"/>
  <c r="Y364" i="8"/>
  <c r="V364" i="8"/>
  <c r="W364" i="8" s="1"/>
  <c r="AA364" i="8" s="1"/>
  <c r="U364" i="8"/>
  <c r="T364" i="8"/>
  <c r="R364" i="8"/>
  <c r="S364" i="8" s="1"/>
  <c r="P364" i="8"/>
  <c r="Z364" i="8" s="1"/>
  <c r="N364" i="8"/>
  <c r="M364" i="8"/>
  <c r="O364" i="8" s="1"/>
  <c r="L364" i="8"/>
  <c r="H364" i="8"/>
  <c r="G364" i="8"/>
  <c r="AH363" i="8"/>
  <c r="AG363" i="8"/>
  <c r="AE363" i="8"/>
  <c r="Z363" i="8"/>
  <c r="Y363" i="8"/>
  <c r="W363" i="8"/>
  <c r="AA363" i="8" s="1"/>
  <c r="V363" i="8"/>
  <c r="U363" i="8"/>
  <c r="T363" i="8"/>
  <c r="P363" i="8"/>
  <c r="AC363" i="8" s="1"/>
  <c r="AF363" i="8" s="1"/>
  <c r="M363" i="8"/>
  <c r="O363" i="8" s="1"/>
  <c r="L363" i="8"/>
  <c r="N363" i="8" s="1"/>
  <c r="H363" i="8"/>
  <c r="R363" i="8" s="1"/>
  <c r="G363" i="8"/>
  <c r="AH362" i="8"/>
  <c r="AG362" i="8"/>
  <c r="AE362" i="8"/>
  <c r="Y362" i="8"/>
  <c r="V362" i="8"/>
  <c r="U362" i="8"/>
  <c r="T362" i="8"/>
  <c r="R362" i="8"/>
  <c r="S362" i="8" s="1"/>
  <c r="M362" i="8"/>
  <c r="O362" i="8" s="1"/>
  <c r="L362" i="8"/>
  <c r="N362" i="8" s="1"/>
  <c r="H362" i="8"/>
  <c r="G362" i="8"/>
  <c r="AH361" i="8"/>
  <c r="AG361" i="8"/>
  <c r="AE361" i="8"/>
  <c r="Y361" i="8"/>
  <c r="W361" i="8"/>
  <c r="V361" i="8"/>
  <c r="U361" i="8"/>
  <c r="T361" i="8"/>
  <c r="N361" i="8"/>
  <c r="M361" i="8"/>
  <c r="O361" i="8" s="1"/>
  <c r="L361" i="8"/>
  <c r="H361" i="8"/>
  <c r="R361" i="8" s="1"/>
  <c r="S361" i="8" s="1"/>
  <c r="G361" i="8"/>
  <c r="AH360" i="8"/>
  <c r="AG360" i="8"/>
  <c r="AE360" i="8"/>
  <c r="AC360" i="8"/>
  <c r="Y360" i="8"/>
  <c r="X360" i="8" s="1"/>
  <c r="AB360" i="8" s="1"/>
  <c r="V360" i="8"/>
  <c r="Z360" i="8" s="1"/>
  <c r="U360" i="8"/>
  <c r="W360" i="8" s="1"/>
  <c r="AA360" i="8" s="1"/>
  <c r="T360" i="8"/>
  <c r="P360" i="8"/>
  <c r="M360" i="8"/>
  <c r="L360" i="8"/>
  <c r="N360" i="8" s="1"/>
  <c r="H360" i="8"/>
  <c r="R360" i="8" s="1"/>
  <c r="G360" i="8"/>
  <c r="AH359" i="8"/>
  <c r="AG359" i="8"/>
  <c r="AE359" i="8"/>
  <c r="Z359" i="8"/>
  <c r="Y359" i="8"/>
  <c r="V359" i="8"/>
  <c r="U359" i="8"/>
  <c r="W359" i="8" s="1"/>
  <c r="AA359" i="8" s="1"/>
  <c r="T359" i="8"/>
  <c r="S359" i="8"/>
  <c r="R359" i="8"/>
  <c r="P359" i="8"/>
  <c r="O359" i="8"/>
  <c r="M359" i="8"/>
  <c r="L359" i="8"/>
  <c r="N359" i="8" s="1"/>
  <c r="H359" i="8"/>
  <c r="G359" i="8"/>
  <c r="AH358" i="8"/>
  <c r="AG358" i="8"/>
  <c r="AE358" i="8"/>
  <c r="Y358" i="8"/>
  <c r="V358" i="8"/>
  <c r="U358" i="8"/>
  <c r="W358" i="8" s="1"/>
  <c r="AA358" i="8" s="1"/>
  <c r="T358" i="8"/>
  <c r="R358" i="8"/>
  <c r="S358" i="8" s="1"/>
  <c r="P358" i="8"/>
  <c r="Z358" i="8" s="1"/>
  <c r="M358" i="8"/>
  <c r="O358" i="8" s="1"/>
  <c r="L358" i="8"/>
  <c r="N358" i="8" s="1"/>
  <c r="H358" i="8"/>
  <c r="G358" i="8"/>
  <c r="AH357" i="8"/>
  <c r="AG357" i="8"/>
  <c r="AE357" i="8"/>
  <c r="AC357" i="8"/>
  <c r="Z357" i="8"/>
  <c r="Y357" i="8"/>
  <c r="V357" i="8"/>
  <c r="U357" i="8"/>
  <c r="W357" i="8" s="1"/>
  <c r="AA357" i="8" s="1"/>
  <c r="T357" i="8"/>
  <c r="R357" i="8"/>
  <c r="P357" i="8"/>
  <c r="M357" i="8"/>
  <c r="O357" i="8" s="1"/>
  <c r="S357" i="8" s="1"/>
  <c r="L357" i="8"/>
  <c r="N357" i="8" s="1"/>
  <c r="H357" i="8"/>
  <c r="G357" i="8"/>
  <c r="AH356" i="8"/>
  <c r="AG356" i="8"/>
  <c r="AE356" i="8"/>
  <c r="Y356" i="8"/>
  <c r="AC356" i="8" s="1"/>
  <c r="V356" i="8"/>
  <c r="U356" i="8"/>
  <c r="W356" i="8" s="1"/>
  <c r="AA356" i="8" s="1"/>
  <c r="T356" i="8"/>
  <c r="S356" i="8"/>
  <c r="R356" i="8"/>
  <c r="P356" i="8"/>
  <c r="Z356" i="8" s="1"/>
  <c r="M356" i="8"/>
  <c r="O356" i="8" s="1"/>
  <c r="L356" i="8"/>
  <c r="N356" i="8" s="1"/>
  <c r="H356" i="8"/>
  <c r="G356" i="8"/>
  <c r="AH355" i="8"/>
  <c r="AG355" i="8"/>
  <c r="AE355" i="8"/>
  <c r="Z355" i="8"/>
  <c r="Y355" i="8"/>
  <c r="X355" i="8" s="1"/>
  <c r="AB355" i="8" s="1"/>
  <c r="V355" i="8"/>
  <c r="U355" i="8"/>
  <c r="W355" i="8" s="1"/>
  <c r="AA355" i="8" s="1"/>
  <c r="T355" i="8"/>
  <c r="R355" i="8"/>
  <c r="S355" i="8" s="1"/>
  <c r="P355" i="8"/>
  <c r="M355" i="8"/>
  <c r="O355" i="8" s="1"/>
  <c r="L355" i="8"/>
  <c r="N355" i="8" s="1"/>
  <c r="H355" i="8"/>
  <c r="G355" i="8"/>
  <c r="AH354" i="8"/>
  <c r="AG354" i="8"/>
  <c r="AE354" i="8"/>
  <c r="Z354" i="8"/>
  <c r="Y354" i="8"/>
  <c r="AC354" i="8" s="1"/>
  <c r="V354" i="8"/>
  <c r="U354" i="8"/>
  <c r="W354" i="8" s="1"/>
  <c r="T354" i="8"/>
  <c r="R354" i="8"/>
  <c r="P354" i="8"/>
  <c r="AA354" i="8" s="1"/>
  <c r="M354" i="8"/>
  <c r="O354" i="8" s="1"/>
  <c r="S354" i="8" s="1"/>
  <c r="L354" i="8"/>
  <c r="N354" i="8" s="1"/>
  <c r="H354" i="8"/>
  <c r="G354" i="8"/>
  <c r="AH353" i="8"/>
  <c r="AG353" i="8"/>
  <c r="AE353" i="8"/>
  <c r="Y353" i="8"/>
  <c r="V353" i="8"/>
  <c r="U353" i="8"/>
  <c r="W353" i="8" s="1"/>
  <c r="T353" i="8"/>
  <c r="R353" i="8"/>
  <c r="S353" i="8" s="1"/>
  <c r="P353" i="8"/>
  <c r="AA353" i="8" s="1"/>
  <c r="M353" i="8"/>
  <c r="O353" i="8" s="1"/>
  <c r="L353" i="8"/>
  <c r="N353" i="8" s="1"/>
  <c r="H353" i="8"/>
  <c r="G353" i="8"/>
  <c r="AH352" i="8"/>
  <c r="AG352" i="8"/>
  <c r="AE352" i="8"/>
  <c r="AC352" i="8"/>
  <c r="Y352" i="8"/>
  <c r="W352" i="8"/>
  <c r="V352" i="8"/>
  <c r="U352" i="8"/>
  <c r="T352" i="8"/>
  <c r="S352" i="8"/>
  <c r="R352" i="8"/>
  <c r="P352" i="8"/>
  <c r="AA352" i="8" s="1"/>
  <c r="M352" i="8"/>
  <c r="O352" i="8" s="1"/>
  <c r="L352" i="8"/>
  <c r="N352" i="8" s="1"/>
  <c r="H352" i="8"/>
  <c r="G352" i="8"/>
  <c r="AH351" i="8"/>
  <c r="AG351" i="8"/>
  <c r="AE351" i="8"/>
  <c r="Y351" i="8"/>
  <c r="V351" i="8"/>
  <c r="U351" i="8"/>
  <c r="W351" i="8" s="1"/>
  <c r="AA351" i="8" s="1"/>
  <c r="T351" i="8"/>
  <c r="R351" i="8"/>
  <c r="P351" i="8"/>
  <c r="AC351" i="8" s="1"/>
  <c r="M351" i="8"/>
  <c r="O351" i="8" s="1"/>
  <c r="S351" i="8" s="1"/>
  <c r="L351" i="8"/>
  <c r="N351" i="8" s="1"/>
  <c r="H351" i="8"/>
  <c r="G351" i="8"/>
  <c r="AH350" i="8"/>
  <c r="AG350" i="8"/>
  <c r="AE350" i="8"/>
  <c r="Y350" i="8"/>
  <c r="AC350" i="8" s="1"/>
  <c r="W350" i="8"/>
  <c r="AA350" i="8" s="1"/>
  <c r="V350" i="8"/>
  <c r="U350" i="8"/>
  <c r="T350" i="8"/>
  <c r="R350" i="8"/>
  <c r="S350" i="8" s="1"/>
  <c r="P350" i="8"/>
  <c r="Z350" i="8" s="1"/>
  <c r="N350" i="8"/>
  <c r="M350" i="8"/>
  <c r="O350" i="8" s="1"/>
  <c r="L350" i="8"/>
  <c r="H350" i="8"/>
  <c r="G350" i="8"/>
  <c r="AH349" i="8"/>
  <c r="AG349" i="8"/>
  <c r="AE349" i="8"/>
  <c r="AC349" i="8"/>
  <c r="Y349" i="8"/>
  <c r="V349" i="8"/>
  <c r="U349" i="8"/>
  <c r="W349" i="8" s="1"/>
  <c r="AA349" i="8" s="1"/>
  <c r="T349" i="8"/>
  <c r="R349" i="8"/>
  <c r="P349" i="8"/>
  <c r="Z349" i="8" s="1"/>
  <c r="N349" i="8"/>
  <c r="M349" i="8"/>
  <c r="O349" i="8" s="1"/>
  <c r="S349" i="8" s="1"/>
  <c r="L349" i="8"/>
  <c r="H349" i="8"/>
  <c r="G349" i="8"/>
  <c r="AH348" i="8"/>
  <c r="AG348" i="8"/>
  <c r="AE348" i="8"/>
  <c r="Y348" i="8"/>
  <c r="AC348" i="8" s="1"/>
  <c r="V348" i="8"/>
  <c r="U348" i="8"/>
  <c r="W348" i="8" s="1"/>
  <c r="AA348" i="8" s="1"/>
  <c r="T348" i="8"/>
  <c r="R348" i="8"/>
  <c r="S348" i="8" s="1"/>
  <c r="P348" i="8"/>
  <c r="Z348" i="8" s="1"/>
  <c r="N348" i="8"/>
  <c r="M348" i="8"/>
  <c r="O348" i="8" s="1"/>
  <c r="L348" i="8"/>
  <c r="H348" i="8"/>
  <c r="G348" i="8"/>
  <c r="AH347" i="8"/>
  <c r="AG347" i="8"/>
  <c r="AE347" i="8"/>
  <c r="Y347" i="8"/>
  <c r="V347" i="8"/>
  <c r="U347" i="8"/>
  <c r="W347" i="8" s="1"/>
  <c r="AA347" i="8" s="1"/>
  <c r="T347" i="8"/>
  <c r="S347" i="8"/>
  <c r="R347" i="8"/>
  <c r="P347" i="8"/>
  <c r="Z347" i="8" s="1"/>
  <c r="N347" i="8"/>
  <c r="M347" i="8"/>
  <c r="O347" i="8" s="1"/>
  <c r="L347" i="8"/>
  <c r="H347" i="8"/>
  <c r="G347" i="8"/>
  <c r="AH346" i="8"/>
  <c r="AG346" i="8"/>
  <c r="AE346" i="8"/>
  <c r="Y346" i="8"/>
  <c r="V346" i="8"/>
  <c r="U346" i="8"/>
  <c r="W346" i="8" s="1"/>
  <c r="AA346" i="8" s="1"/>
  <c r="T346" i="8"/>
  <c r="S346" i="8"/>
  <c r="R346" i="8"/>
  <c r="P346" i="8"/>
  <c r="Z346" i="8" s="1"/>
  <c r="N346" i="8"/>
  <c r="M346" i="8"/>
  <c r="O346" i="8" s="1"/>
  <c r="L346" i="8"/>
  <c r="H346" i="8"/>
  <c r="G346" i="8"/>
  <c r="AH345" i="8"/>
  <c r="AG345" i="8"/>
  <c r="AE345" i="8"/>
  <c r="Y345" i="8"/>
  <c r="AC345" i="8" s="1"/>
  <c r="V345" i="8"/>
  <c r="U345" i="8"/>
  <c r="W345" i="8" s="1"/>
  <c r="AA345" i="8" s="1"/>
  <c r="T345" i="8"/>
  <c r="S345" i="8"/>
  <c r="R345" i="8"/>
  <c r="P345" i="8"/>
  <c r="Z345" i="8" s="1"/>
  <c r="N345" i="8"/>
  <c r="M345" i="8"/>
  <c r="O345" i="8" s="1"/>
  <c r="L345" i="8"/>
  <c r="H345" i="8"/>
  <c r="G345" i="8"/>
  <c r="AH344" i="8"/>
  <c r="AG344" i="8"/>
  <c r="AE344" i="8"/>
  <c r="AC344" i="8"/>
  <c r="Y344" i="8"/>
  <c r="W344" i="8"/>
  <c r="V344" i="8"/>
  <c r="U344" i="8"/>
  <c r="T344" i="8"/>
  <c r="S344" i="8"/>
  <c r="R344" i="8"/>
  <c r="P344" i="8"/>
  <c r="AA344" i="8" s="1"/>
  <c r="M344" i="8"/>
  <c r="O344" i="8" s="1"/>
  <c r="L344" i="8"/>
  <c r="N344" i="8" s="1"/>
  <c r="H344" i="8"/>
  <c r="G344" i="8"/>
  <c r="AH343" i="8"/>
  <c r="AG343" i="8"/>
  <c r="AE343" i="8"/>
  <c r="Y343" i="8"/>
  <c r="V343" i="8"/>
  <c r="U343" i="8"/>
  <c r="W343" i="8" s="1"/>
  <c r="AA343" i="8" s="1"/>
  <c r="T343" i="8"/>
  <c r="P343" i="8"/>
  <c r="AC343" i="8" s="1"/>
  <c r="M343" i="8"/>
  <c r="L343" i="8"/>
  <c r="N343" i="8" s="1"/>
  <c r="H343" i="8"/>
  <c r="R343" i="8" s="1"/>
  <c r="G343" i="8"/>
  <c r="AH342" i="8"/>
  <c r="AG342" i="8"/>
  <c r="AE342" i="8"/>
  <c r="Y342" i="8"/>
  <c r="AC342" i="8" s="1"/>
  <c r="V342" i="8"/>
  <c r="U342" i="8"/>
  <c r="W342" i="8" s="1"/>
  <c r="AA342" i="8" s="1"/>
  <c r="T342" i="8"/>
  <c r="P342" i="8"/>
  <c r="Z342" i="8" s="1"/>
  <c r="M342" i="8"/>
  <c r="L342" i="8"/>
  <c r="H342" i="8"/>
  <c r="R342" i="8" s="1"/>
  <c r="G342" i="8"/>
  <c r="AH341" i="8"/>
  <c r="AG341" i="8"/>
  <c r="AE341" i="8"/>
  <c r="Y341" i="8"/>
  <c r="W341" i="8"/>
  <c r="AA341" i="8" s="1"/>
  <c r="V341" i="8"/>
  <c r="U341" i="8"/>
  <c r="T341" i="8"/>
  <c r="P341" i="8"/>
  <c r="AC341" i="8" s="1"/>
  <c r="M341" i="8"/>
  <c r="O341" i="8" s="1"/>
  <c r="L341" i="8"/>
  <c r="N341" i="8" s="1"/>
  <c r="H341" i="8"/>
  <c r="R341" i="8" s="1"/>
  <c r="S341" i="8" s="1"/>
  <c r="G341" i="8"/>
  <c r="AH340" i="8"/>
  <c r="AG340" i="8"/>
  <c r="AE340" i="8"/>
  <c r="Y340" i="8"/>
  <c r="AC340" i="8" s="1"/>
  <c r="V340" i="8"/>
  <c r="U340" i="8"/>
  <c r="W340" i="8" s="1"/>
  <c r="AA340" i="8" s="1"/>
  <c r="T340" i="8"/>
  <c r="R340" i="8"/>
  <c r="P340" i="8"/>
  <c r="Z340" i="8" s="1"/>
  <c r="M340" i="8"/>
  <c r="L340" i="8"/>
  <c r="N340" i="8" s="1"/>
  <c r="H340" i="8"/>
  <c r="G340" i="8"/>
  <c r="AH339" i="8"/>
  <c r="AG339" i="8"/>
  <c r="AE339" i="8"/>
  <c r="Y339" i="8"/>
  <c r="W339" i="8"/>
  <c r="AA339" i="8" s="1"/>
  <c r="V339" i="8"/>
  <c r="U339" i="8"/>
  <c r="T339" i="8"/>
  <c r="R339" i="8"/>
  <c r="S339" i="8" s="1"/>
  <c r="P339" i="8"/>
  <c r="AC339" i="8" s="1"/>
  <c r="M339" i="8"/>
  <c r="O339" i="8" s="1"/>
  <c r="L339" i="8"/>
  <c r="N339" i="8" s="1"/>
  <c r="H339" i="8"/>
  <c r="G339" i="8"/>
  <c r="AH338" i="8"/>
  <c r="AG338" i="8"/>
  <c r="AE338" i="8"/>
  <c r="Y338" i="8"/>
  <c r="AC338" i="8" s="1"/>
  <c r="V338" i="8"/>
  <c r="U338" i="8"/>
  <c r="W338" i="8" s="1"/>
  <c r="AA338" i="8" s="1"/>
  <c r="T338" i="8"/>
  <c r="R338" i="8"/>
  <c r="P338" i="8"/>
  <c r="Z338" i="8" s="1"/>
  <c r="M338" i="8"/>
  <c r="L338" i="8"/>
  <c r="N338" i="8" s="1"/>
  <c r="H338" i="8"/>
  <c r="G338" i="8"/>
  <c r="AH337" i="8"/>
  <c r="AG337" i="8"/>
  <c r="AE337" i="8"/>
  <c r="AA337" i="8"/>
  <c r="Y337" i="8"/>
  <c r="W337" i="8"/>
  <c r="V337" i="8"/>
  <c r="U337" i="8"/>
  <c r="T337" i="8"/>
  <c r="R337" i="8"/>
  <c r="S337" i="8" s="1"/>
  <c r="P337" i="8"/>
  <c r="AC337" i="8" s="1"/>
  <c r="M337" i="8"/>
  <c r="O337" i="8" s="1"/>
  <c r="L337" i="8"/>
  <c r="N337" i="8" s="1"/>
  <c r="H337" i="8"/>
  <c r="G337" i="8"/>
  <c r="AH336" i="8"/>
  <c r="AG336" i="8"/>
  <c r="AE336" i="8"/>
  <c r="AA336" i="8"/>
  <c r="Y336" i="8"/>
  <c r="AC336" i="8" s="1"/>
  <c r="W336" i="8"/>
  <c r="V336" i="8"/>
  <c r="U336" i="8"/>
  <c r="T336" i="8"/>
  <c r="R336" i="8"/>
  <c r="S336" i="8" s="1"/>
  <c r="P336" i="8"/>
  <c r="Z336" i="8" s="1"/>
  <c r="M336" i="8"/>
  <c r="O336" i="8" s="1"/>
  <c r="L336" i="8"/>
  <c r="N336" i="8" s="1"/>
  <c r="H336" i="8"/>
  <c r="G336" i="8"/>
  <c r="AH335" i="8"/>
  <c r="AG335" i="8"/>
  <c r="AE335" i="8"/>
  <c r="AA335" i="8"/>
  <c r="Y335" i="8"/>
  <c r="W335" i="8"/>
  <c r="V335" i="8"/>
  <c r="U335" i="8"/>
  <c r="T335" i="8"/>
  <c r="R335" i="8"/>
  <c r="S335" i="8" s="1"/>
  <c r="P335" i="8"/>
  <c r="AC335" i="8" s="1"/>
  <c r="M335" i="8"/>
  <c r="O335" i="8" s="1"/>
  <c r="L335" i="8"/>
  <c r="N335" i="8" s="1"/>
  <c r="H335" i="8"/>
  <c r="G335" i="8"/>
  <c r="AH334" i="8"/>
  <c r="AG334" i="8"/>
  <c r="AE334" i="8"/>
  <c r="AA334" i="8"/>
  <c r="Y334" i="8"/>
  <c r="AC334" i="8" s="1"/>
  <c r="W334" i="8"/>
  <c r="V334" i="8"/>
  <c r="U334" i="8"/>
  <c r="T334" i="8"/>
  <c r="R334" i="8"/>
  <c r="S334" i="8" s="1"/>
  <c r="P334" i="8"/>
  <c r="Z334" i="8" s="1"/>
  <c r="M334" i="8"/>
  <c r="O334" i="8" s="1"/>
  <c r="L334" i="8"/>
  <c r="N334" i="8" s="1"/>
  <c r="H334" i="8"/>
  <c r="G334" i="8"/>
  <c r="AH333" i="8"/>
  <c r="AG333" i="8"/>
  <c r="AE333" i="8"/>
  <c r="AA333" i="8"/>
  <c r="Y333" i="8"/>
  <c r="W333" i="8"/>
  <c r="V333" i="8"/>
  <c r="U333" i="8"/>
  <c r="T333" i="8"/>
  <c r="R333" i="8"/>
  <c r="S333" i="8" s="1"/>
  <c r="P333" i="8"/>
  <c r="AC333" i="8" s="1"/>
  <c r="M333" i="8"/>
  <c r="O333" i="8" s="1"/>
  <c r="L333" i="8"/>
  <c r="N333" i="8" s="1"/>
  <c r="H333" i="8"/>
  <c r="G333" i="8"/>
  <c r="AH332" i="8"/>
  <c r="AG332" i="8"/>
  <c r="AE332" i="8"/>
  <c r="AA332" i="8"/>
  <c r="Y332" i="8"/>
  <c r="AC332" i="8" s="1"/>
  <c r="W332" i="8"/>
  <c r="V332" i="8"/>
  <c r="U332" i="8"/>
  <c r="T332" i="8"/>
  <c r="R332" i="8"/>
  <c r="S332" i="8" s="1"/>
  <c r="P332" i="8"/>
  <c r="Z332" i="8" s="1"/>
  <c r="M332" i="8"/>
  <c r="O332" i="8" s="1"/>
  <c r="L332" i="8"/>
  <c r="N332" i="8" s="1"/>
  <c r="H332" i="8"/>
  <c r="G332" i="8"/>
  <c r="AH331" i="8"/>
  <c r="AG331" i="8"/>
  <c r="AE331" i="8"/>
  <c r="Y331" i="8"/>
  <c r="W331" i="8"/>
  <c r="V331" i="8"/>
  <c r="U331" i="8"/>
  <c r="T331" i="8"/>
  <c r="R331" i="8"/>
  <c r="N331" i="8"/>
  <c r="M331" i="8"/>
  <c r="O331" i="8" s="1"/>
  <c r="S331" i="8" s="1"/>
  <c r="L331" i="8"/>
  <c r="H331" i="8"/>
  <c r="G331" i="8"/>
  <c r="AH330" i="8"/>
  <c r="AG330" i="8"/>
  <c r="AE330" i="8"/>
  <c r="AC330" i="8"/>
  <c r="AF330" i="8" s="1"/>
  <c r="Y330" i="8"/>
  <c r="V330" i="8"/>
  <c r="U330" i="8"/>
  <c r="W330" i="8" s="1"/>
  <c r="AA330" i="8" s="1"/>
  <c r="T330" i="8"/>
  <c r="P330" i="8"/>
  <c r="Z330" i="8" s="1"/>
  <c r="N330" i="8"/>
  <c r="M330" i="8"/>
  <c r="L330" i="8"/>
  <c r="H330" i="8"/>
  <c r="R330" i="8" s="1"/>
  <c r="G330" i="8"/>
  <c r="AH329" i="8"/>
  <c r="AG329" i="8"/>
  <c r="AE329" i="8"/>
  <c r="Y329" i="8"/>
  <c r="V329" i="8"/>
  <c r="U329" i="8"/>
  <c r="W329" i="8" s="1"/>
  <c r="AA329" i="8" s="1"/>
  <c r="T329" i="8"/>
  <c r="P329" i="8"/>
  <c r="Z329" i="8" s="1"/>
  <c r="M329" i="8"/>
  <c r="L329" i="8"/>
  <c r="N329" i="8" s="1"/>
  <c r="H329" i="8"/>
  <c r="R329" i="8" s="1"/>
  <c r="G329" i="8"/>
  <c r="AH328" i="8"/>
  <c r="AG328" i="8"/>
  <c r="AE328" i="8"/>
  <c r="Y328" i="8"/>
  <c r="V328" i="8"/>
  <c r="W328" i="8" s="1"/>
  <c r="U328" i="8"/>
  <c r="T328" i="8"/>
  <c r="R328" i="8"/>
  <c r="S328" i="8" s="1"/>
  <c r="M328" i="8"/>
  <c r="O328" i="8" s="1"/>
  <c r="L328" i="8"/>
  <c r="N328" i="8" s="1"/>
  <c r="H328" i="8"/>
  <c r="G328" i="8"/>
  <c r="AH327" i="8"/>
  <c r="AG327" i="8"/>
  <c r="AE327" i="8"/>
  <c r="Y327" i="8"/>
  <c r="W327" i="8"/>
  <c r="V327" i="8"/>
  <c r="U327" i="8"/>
  <c r="T327" i="8"/>
  <c r="S327" i="8"/>
  <c r="R327" i="8"/>
  <c r="N327" i="8"/>
  <c r="M327" i="8"/>
  <c r="O327" i="8" s="1"/>
  <c r="L327" i="8"/>
  <c r="H327" i="8"/>
  <c r="G327" i="8"/>
  <c r="AH326" i="8"/>
  <c r="AG326" i="8"/>
  <c r="AE326" i="8"/>
  <c r="Y326" i="8"/>
  <c r="AC326" i="8" s="1"/>
  <c r="V326" i="8"/>
  <c r="U326" i="8"/>
  <c r="W326" i="8" s="1"/>
  <c r="AA326" i="8" s="1"/>
  <c r="T326" i="8"/>
  <c r="P326" i="8"/>
  <c r="Z326" i="8" s="1"/>
  <c r="N326" i="8"/>
  <c r="M326" i="8"/>
  <c r="L326" i="8"/>
  <c r="H326" i="8"/>
  <c r="R326" i="8" s="1"/>
  <c r="G326" i="8"/>
  <c r="AH325" i="8"/>
  <c r="AG325" i="8"/>
  <c r="AE325" i="8"/>
  <c r="Y325" i="8"/>
  <c r="V325" i="8"/>
  <c r="U325" i="8"/>
  <c r="W325" i="8" s="1"/>
  <c r="AA325" i="8" s="1"/>
  <c r="T325" i="8"/>
  <c r="P325" i="8"/>
  <c r="Z325" i="8" s="1"/>
  <c r="M325" i="8"/>
  <c r="L325" i="8"/>
  <c r="N325" i="8" s="1"/>
  <c r="H325" i="8"/>
  <c r="R325" i="8" s="1"/>
  <c r="G325" i="8"/>
  <c r="AH324" i="8"/>
  <c r="AG324" i="8"/>
  <c r="AE324" i="8"/>
  <c r="Y324" i="8"/>
  <c r="V324" i="8"/>
  <c r="U324" i="8"/>
  <c r="T324" i="8"/>
  <c r="R324" i="8"/>
  <c r="S324" i="8" s="1"/>
  <c r="M324" i="8"/>
  <c r="O324" i="8" s="1"/>
  <c r="L324" i="8"/>
  <c r="N324" i="8" s="1"/>
  <c r="H324" i="8"/>
  <c r="G324" i="8"/>
  <c r="AH323" i="8"/>
  <c r="AG323" i="8"/>
  <c r="AE323" i="8"/>
  <c r="Y323" i="8"/>
  <c r="W323" i="8"/>
  <c r="V323" i="8"/>
  <c r="U323" i="8"/>
  <c r="T323" i="8"/>
  <c r="R323" i="8"/>
  <c r="N323" i="8"/>
  <c r="M323" i="8"/>
  <c r="O323" i="8" s="1"/>
  <c r="S323" i="8" s="1"/>
  <c r="L323" i="8"/>
  <c r="H323" i="8"/>
  <c r="G323" i="8"/>
  <c r="AH322" i="8"/>
  <c r="AG322" i="8"/>
  <c r="AE322" i="8"/>
  <c r="AC322" i="8"/>
  <c r="AF322" i="8" s="1"/>
  <c r="Y322" i="8"/>
  <c r="V322" i="8"/>
  <c r="U322" i="8"/>
  <c r="W322" i="8" s="1"/>
  <c r="AA322" i="8" s="1"/>
  <c r="T322" i="8"/>
  <c r="P322" i="8"/>
  <c r="Z322" i="8" s="1"/>
  <c r="N322" i="8"/>
  <c r="M322" i="8"/>
  <c r="L322" i="8"/>
  <c r="H322" i="8"/>
  <c r="R322" i="8" s="1"/>
  <c r="G322" i="8"/>
  <c r="AH321" i="8"/>
  <c r="AG321" i="8"/>
  <c r="AE321" i="8"/>
  <c r="Y321" i="8"/>
  <c r="V321" i="8"/>
  <c r="U321" i="8"/>
  <c r="W321" i="8" s="1"/>
  <c r="AA321" i="8" s="1"/>
  <c r="T321" i="8"/>
  <c r="P321" i="8"/>
  <c r="Z321" i="8" s="1"/>
  <c r="M321" i="8"/>
  <c r="L321" i="8"/>
  <c r="N321" i="8" s="1"/>
  <c r="H321" i="8"/>
  <c r="R321" i="8" s="1"/>
  <c r="G321" i="8"/>
  <c r="AH320" i="8"/>
  <c r="AG320" i="8"/>
  <c r="AE320" i="8"/>
  <c r="Y320" i="8"/>
  <c r="V320" i="8"/>
  <c r="W320" i="8" s="1"/>
  <c r="U320" i="8"/>
  <c r="T320" i="8"/>
  <c r="R320" i="8"/>
  <c r="S320" i="8" s="1"/>
  <c r="M320" i="8"/>
  <c r="O320" i="8" s="1"/>
  <c r="L320" i="8"/>
  <c r="N320" i="8" s="1"/>
  <c r="H320" i="8"/>
  <c r="G320" i="8"/>
  <c r="AH319" i="8"/>
  <c r="AG319" i="8"/>
  <c r="AE319" i="8"/>
  <c r="Y319" i="8"/>
  <c r="W319" i="8"/>
  <c r="V319" i="8"/>
  <c r="U319" i="8"/>
  <c r="T319" i="8"/>
  <c r="S319" i="8"/>
  <c r="R319" i="8"/>
  <c r="N319" i="8"/>
  <c r="M319" i="8"/>
  <c r="O319" i="8" s="1"/>
  <c r="L319" i="8"/>
  <c r="H319" i="8"/>
  <c r="G319" i="8"/>
  <c r="AH318" i="8"/>
  <c r="AG318" i="8"/>
  <c r="AE318" i="8"/>
  <c r="Y318" i="8"/>
  <c r="AC318" i="8" s="1"/>
  <c r="V318" i="8"/>
  <c r="U318" i="8"/>
  <c r="W318" i="8" s="1"/>
  <c r="AA318" i="8" s="1"/>
  <c r="T318" i="8"/>
  <c r="P318" i="8"/>
  <c r="Z318" i="8" s="1"/>
  <c r="N318" i="8"/>
  <c r="M318" i="8"/>
  <c r="L318" i="8"/>
  <c r="H318" i="8"/>
  <c r="R318" i="8" s="1"/>
  <c r="G318" i="8"/>
  <c r="AH317" i="8"/>
  <c r="AG317" i="8"/>
  <c r="AE317" i="8"/>
  <c r="Y317" i="8"/>
  <c r="V317" i="8"/>
  <c r="U317" i="8"/>
  <c r="W317" i="8" s="1"/>
  <c r="AA317" i="8" s="1"/>
  <c r="T317" i="8"/>
  <c r="P317" i="8"/>
  <c r="Z317" i="8" s="1"/>
  <c r="M317" i="8"/>
  <c r="L317" i="8"/>
  <c r="N317" i="8" s="1"/>
  <c r="H317" i="8"/>
  <c r="R317" i="8" s="1"/>
  <c r="G317" i="8"/>
  <c r="AH316" i="8"/>
  <c r="AG316" i="8"/>
  <c r="AE316" i="8"/>
  <c r="Y316" i="8"/>
  <c r="V316" i="8"/>
  <c r="U316" i="8"/>
  <c r="T316" i="8"/>
  <c r="R316" i="8"/>
  <c r="S316" i="8" s="1"/>
  <c r="M316" i="8"/>
  <c r="O316" i="8" s="1"/>
  <c r="L316" i="8"/>
  <c r="N316" i="8" s="1"/>
  <c r="H316" i="8"/>
  <c r="G316" i="8"/>
  <c r="AH315" i="8"/>
  <c r="AG315" i="8"/>
  <c r="AE315" i="8"/>
  <c r="Y315" i="8"/>
  <c r="W315" i="8"/>
  <c r="V315" i="8"/>
  <c r="U315" i="8"/>
  <c r="T315" i="8"/>
  <c r="R315" i="8"/>
  <c r="N315" i="8"/>
  <c r="M315" i="8"/>
  <c r="O315" i="8" s="1"/>
  <c r="S315" i="8" s="1"/>
  <c r="L315" i="8"/>
  <c r="H315" i="8"/>
  <c r="G315" i="8"/>
  <c r="AH314" i="8"/>
  <c r="AG314" i="8"/>
  <c r="AE314" i="8"/>
  <c r="AC314" i="8"/>
  <c r="AF314" i="8" s="1"/>
  <c r="Y314" i="8"/>
  <c r="V314" i="8"/>
  <c r="U314" i="8"/>
  <c r="W314" i="8" s="1"/>
  <c r="AA314" i="8" s="1"/>
  <c r="T314" i="8"/>
  <c r="P314" i="8"/>
  <c r="Z314" i="8" s="1"/>
  <c r="N314" i="8"/>
  <c r="M314" i="8"/>
  <c r="L314" i="8"/>
  <c r="H314" i="8"/>
  <c r="R314" i="8" s="1"/>
  <c r="G314" i="8"/>
  <c r="AH313" i="8"/>
  <c r="AG313" i="8"/>
  <c r="AE313" i="8"/>
  <c r="Y313" i="8"/>
  <c r="V313" i="8"/>
  <c r="U313" i="8"/>
  <c r="W313" i="8" s="1"/>
  <c r="AA313" i="8" s="1"/>
  <c r="T313" i="8"/>
  <c r="P313" i="8"/>
  <c r="Z313" i="8" s="1"/>
  <c r="M313" i="8"/>
  <c r="L313" i="8"/>
  <c r="N313" i="8" s="1"/>
  <c r="H313" i="8"/>
  <c r="R313" i="8" s="1"/>
  <c r="G313" i="8"/>
  <c r="AH312" i="8"/>
  <c r="AG312" i="8"/>
  <c r="AE312" i="8"/>
  <c r="Y312" i="8"/>
  <c r="V312" i="8"/>
  <c r="W312" i="8" s="1"/>
  <c r="U312" i="8"/>
  <c r="T312" i="8"/>
  <c r="R312" i="8"/>
  <c r="S312" i="8" s="1"/>
  <c r="M312" i="8"/>
  <c r="O312" i="8" s="1"/>
  <c r="L312" i="8"/>
  <c r="N312" i="8" s="1"/>
  <c r="H312" i="8"/>
  <c r="G312" i="8"/>
  <c r="AH311" i="8"/>
  <c r="AG311" i="8"/>
  <c r="AE311" i="8"/>
  <c r="Y311" i="8"/>
  <c r="W311" i="8"/>
  <c r="V311" i="8"/>
  <c r="U311" i="8"/>
  <c r="T311" i="8"/>
  <c r="S311" i="8"/>
  <c r="R311" i="8"/>
  <c r="N311" i="8"/>
  <c r="M311" i="8"/>
  <c r="O311" i="8" s="1"/>
  <c r="L311" i="8"/>
  <c r="H311" i="8"/>
  <c r="G311" i="8"/>
  <c r="AH310" i="8"/>
  <c r="AG310" i="8"/>
  <c r="AE310" i="8"/>
  <c r="Y310" i="8"/>
  <c r="AC310" i="8" s="1"/>
  <c r="V310" i="8"/>
  <c r="U310" i="8"/>
  <c r="W310" i="8" s="1"/>
  <c r="AA310" i="8" s="1"/>
  <c r="T310" i="8"/>
  <c r="P310" i="8"/>
  <c r="Z310" i="8" s="1"/>
  <c r="N310" i="8"/>
  <c r="M310" i="8"/>
  <c r="L310" i="8"/>
  <c r="H310" i="8"/>
  <c r="R310" i="8" s="1"/>
  <c r="G310" i="8"/>
  <c r="AH309" i="8"/>
  <c r="AG309" i="8"/>
  <c r="AE309" i="8"/>
  <c r="Y309" i="8"/>
  <c r="V309" i="8"/>
  <c r="U309" i="8"/>
  <c r="W309" i="8" s="1"/>
  <c r="AA309" i="8" s="1"/>
  <c r="T309" i="8"/>
  <c r="P309" i="8"/>
  <c r="Z309" i="8" s="1"/>
  <c r="M309" i="8"/>
  <c r="L309" i="8"/>
  <c r="N309" i="8" s="1"/>
  <c r="H309" i="8"/>
  <c r="R309" i="8" s="1"/>
  <c r="G309" i="8"/>
  <c r="AH308" i="8"/>
  <c r="AG308" i="8"/>
  <c r="AE308" i="8"/>
  <c r="Y308" i="8"/>
  <c r="V308" i="8"/>
  <c r="U308" i="8"/>
  <c r="T308" i="8"/>
  <c r="R308" i="8"/>
  <c r="S308" i="8" s="1"/>
  <c r="M308" i="8"/>
  <c r="O308" i="8" s="1"/>
  <c r="L308" i="8"/>
  <c r="N308" i="8" s="1"/>
  <c r="H308" i="8"/>
  <c r="G308" i="8"/>
  <c r="AH307" i="8"/>
  <c r="AG307" i="8"/>
  <c r="AE307" i="8"/>
  <c r="Y307" i="8"/>
  <c r="W307" i="8"/>
  <c r="V307" i="8"/>
  <c r="U307" i="8"/>
  <c r="T307" i="8"/>
  <c r="R307" i="8"/>
  <c r="N307" i="8"/>
  <c r="M307" i="8"/>
  <c r="O307" i="8" s="1"/>
  <c r="S307" i="8" s="1"/>
  <c r="L307" i="8"/>
  <c r="H307" i="8"/>
  <c r="G307" i="8"/>
  <c r="AH306" i="8"/>
  <c r="AG306" i="8"/>
  <c r="AE306" i="8"/>
  <c r="AC306" i="8"/>
  <c r="AF306" i="8" s="1"/>
  <c r="Y306" i="8"/>
  <c r="V306" i="8"/>
  <c r="U306" i="8"/>
  <c r="W306" i="8" s="1"/>
  <c r="AA306" i="8" s="1"/>
  <c r="T306" i="8"/>
  <c r="P306" i="8"/>
  <c r="Z306" i="8" s="1"/>
  <c r="N306" i="8"/>
  <c r="M306" i="8"/>
  <c r="L306" i="8"/>
  <c r="H306" i="8"/>
  <c r="R306" i="8" s="1"/>
  <c r="G306" i="8"/>
  <c r="AH305" i="8"/>
  <c r="AG305" i="8"/>
  <c r="AE305" i="8"/>
  <c r="Y305" i="8"/>
  <c r="V305" i="8"/>
  <c r="U305" i="8"/>
  <c r="W305" i="8" s="1"/>
  <c r="AA305" i="8" s="1"/>
  <c r="T305" i="8"/>
  <c r="P305" i="8"/>
  <c r="Z305" i="8" s="1"/>
  <c r="M305" i="8"/>
  <c r="L305" i="8"/>
  <c r="N305" i="8" s="1"/>
  <c r="H305" i="8"/>
  <c r="R305" i="8" s="1"/>
  <c r="G305" i="8"/>
  <c r="AH304" i="8"/>
  <c r="AG304" i="8"/>
  <c r="AE304" i="8"/>
  <c r="Y304" i="8"/>
  <c r="V304" i="8"/>
  <c r="W304" i="8" s="1"/>
  <c r="U304" i="8"/>
  <c r="T304" i="8"/>
  <c r="R304" i="8"/>
  <c r="S304" i="8" s="1"/>
  <c r="M304" i="8"/>
  <c r="O304" i="8" s="1"/>
  <c r="L304" i="8"/>
  <c r="N304" i="8" s="1"/>
  <c r="H304" i="8"/>
  <c r="G304" i="8"/>
  <c r="AH303" i="8"/>
  <c r="AG303" i="8"/>
  <c r="AE303" i="8"/>
  <c r="Y303" i="8"/>
  <c r="W303" i="8"/>
  <c r="V303" i="8"/>
  <c r="U303" i="8"/>
  <c r="T303" i="8"/>
  <c r="S303" i="8"/>
  <c r="R303" i="8"/>
  <c r="N303" i="8"/>
  <c r="M303" i="8"/>
  <c r="O303" i="8" s="1"/>
  <c r="L303" i="8"/>
  <c r="H303" i="8"/>
  <c r="G303" i="8"/>
  <c r="AH302" i="8"/>
  <c r="AG302" i="8"/>
  <c r="AE302" i="8"/>
  <c r="Y302" i="8"/>
  <c r="AC302" i="8" s="1"/>
  <c r="V302" i="8"/>
  <c r="U302" i="8"/>
  <c r="W302" i="8" s="1"/>
  <c r="AA302" i="8" s="1"/>
  <c r="T302" i="8"/>
  <c r="P302" i="8"/>
  <c r="Z302" i="8" s="1"/>
  <c r="N302" i="8"/>
  <c r="M302" i="8"/>
  <c r="L302" i="8"/>
  <c r="H302" i="8"/>
  <c r="R302" i="8" s="1"/>
  <c r="G302" i="8"/>
  <c r="AH301" i="8"/>
  <c r="AG301" i="8"/>
  <c r="AE301" i="8"/>
  <c r="Y301" i="8"/>
  <c r="V301" i="8"/>
  <c r="U301" i="8"/>
  <c r="W301" i="8" s="1"/>
  <c r="AA301" i="8" s="1"/>
  <c r="T301" i="8"/>
  <c r="P301" i="8"/>
  <c r="Z301" i="8" s="1"/>
  <c r="M301" i="8"/>
  <c r="L301" i="8"/>
  <c r="N301" i="8" s="1"/>
  <c r="H301" i="8"/>
  <c r="R301" i="8" s="1"/>
  <c r="G301" i="8"/>
  <c r="AH300" i="8"/>
  <c r="AG300" i="8"/>
  <c r="AE300" i="8"/>
  <c r="Y300" i="8"/>
  <c r="V300" i="8"/>
  <c r="U300" i="8"/>
  <c r="T300" i="8"/>
  <c r="R300" i="8"/>
  <c r="S300" i="8" s="1"/>
  <c r="M300" i="8"/>
  <c r="O300" i="8" s="1"/>
  <c r="L300" i="8"/>
  <c r="N300" i="8" s="1"/>
  <c r="H300" i="8"/>
  <c r="G300" i="8"/>
  <c r="AH299" i="8"/>
  <c r="AG299" i="8"/>
  <c r="AE299" i="8"/>
  <c r="Y299" i="8"/>
  <c r="W299" i="8"/>
  <c r="V299" i="8"/>
  <c r="U299" i="8"/>
  <c r="T299" i="8"/>
  <c r="R299" i="8"/>
  <c r="N299" i="8"/>
  <c r="M299" i="8"/>
  <c r="O299" i="8" s="1"/>
  <c r="S299" i="8" s="1"/>
  <c r="L299" i="8"/>
  <c r="H299" i="8"/>
  <c r="G299" i="8"/>
  <c r="AH298" i="8"/>
  <c r="AG298" i="8"/>
  <c r="AE298" i="8"/>
  <c r="AC298" i="8"/>
  <c r="AF298" i="8" s="1"/>
  <c r="Y298" i="8"/>
  <c r="V298" i="8"/>
  <c r="U298" i="8"/>
  <c r="W298" i="8" s="1"/>
  <c r="AA298" i="8" s="1"/>
  <c r="T298" i="8"/>
  <c r="P298" i="8"/>
  <c r="Z298" i="8" s="1"/>
  <c r="N298" i="8"/>
  <c r="M298" i="8"/>
  <c r="L298" i="8"/>
  <c r="H298" i="8"/>
  <c r="R298" i="8" s="1"/>
  <c r="G298" i="8"/>
  <c r="AH297" i="8"/>
  <c r="AG297" i="8"/>
  <c r="AE297" i="8"/>
  <c r="Y297" i="8"/>
  <c r="V297" i="8"/>
  <c r="U297" i="8"/>
  <c r="W297" i="8" s="1"/>
  <c r="AA297" i="8" s="1"/>
  <c r="T297" i="8"/>
  <c r="P297" i="8"/>
  <c r="Z297" i="8" s="1"/>
  <c r="M297" i="8"/>
  <c r="L297" i="8"/>
  <c r="N297" i="8" s="1"/>
  <c r="H297" i="8"/>
  <c r="R297" i="8" s="1"/>
  <c r="G297" i="8"/>
  <c r="AH296" i="8"/>
  <c r="AG296" i="8"/>
  <c r="AE296" i="8"/>
  <c r="Y296" i="8"/>
  <c r="V296" i="8"/>
  <c r="W296" i="8" s="1"/>
  <c r="U296" i="8"/>
  <c r="T296" i="8"/>
  <c r="R296" i="8"/>
  <c r="S296" i="8" s="1"/>
  <c r="M296" i="8"/>
  <c r="O296" i="8" s="1"/>
  <c r="L296" i="8"/>
  <c r="N296" i="8" s="1"/>
  <c r="H296" i="8"/>
  <c r="G296" i="8"/>
  <c r="AH295" i="8"/>
  <c r="AG295" i="8"/>
  <c r="AE295" i="8"/>
  <c r="Y295" i="8"/>
  <c r="W295" i="8"/>
  <c r="V295" i="8"/>
  <c r="U295" i="8"/>
  <c r="T295" i="8"/>
  <c r="S295" i="8"/>
  <c r="R295" i="8"/>
  <c r="N295" i="8"/>
  <c r="M295" i="8"/>
  <c r="O295" i="8" s="1"/>
  <c r="L295" i="8"/>
  <c r="H295" i="8"/>
  <c r="G295" i="8"/>
  <c r="AH294" i="8"/>
  <c r="AG294" i="8"/>
  <c r="AE294" i="8"/>
  <c r="Y294" i="8"/>
  <c r="AC294" i="8" s="1"/>
  <c r="V294" i="8"/>
  <c r="U294" i="8"/>
  <c r="W294" i="8" s="1"/>
  <c r="AA294" i="8" s="1"/>
  <c r="T294" i="8"/>
  <c r="P294" i="8"/>
  <c r="Z294" i="8" s="1"/>
  <c r="N294" i="8"/>
  <c r="M294" i="8"/>
  <c r="L294" i="8"/>
  <c r="H294" i="8"/>
  <c r="R294" i="8" s="1"/>
  <c r="G294" i="8"/>
  <c r="AH293" i="8"/>
  <c r="AG293" i="8"/>
  <c r="AE293" i="8"/>
  <c r="Y293" i="8"/>
  <c r="V293" i="8"/>
  <c r="U293" i="8"/>
  <c r="W293" i="8" s="1"/>
  <c r="AA293" i="8" s="1"/>
  <c r="T293" i="8"/>
  <c r="P293" i="8"/>
  <c r="Z293" i="8" s="1"/>
  <c r="M293" i="8"/>
  <c r="L293" i="8"/>
  <c r="N293" i="8" s="1"/>
  <c r="H293" i="8"/>
  <c r="R293" i="8" s="1"/>
  <c r="G293" i="8"/>
  <c r="AH292" i="8"/>
  <c r="AG292" i="8"/>
  <c r="AE292" i="8"/>
  <c r="Y292" i="8"/>
  <c r="V292" i="8"/>
  <c r="U292" i="8"/>
  <c r="T292" i="8"/>
  <c r="R292" i="8"/>
  <c r="S292" i="8" s="1"/>
  <c r="M292" i="8"/>
  <c r="O292" i="8" s="1"/>
  <c r="L292" i="8"/>
  <c r="N292" i="8" s="1"/>
  <c r="H292" i="8"/>
  <c r="G292" i="8"/>
  <c r="AH291" i="8"/>
  <c r="AG291" i="8"/>
  <c r="AE291" i="8"/>
  <c r="Y291" i="8"/>
  <c r="W291" i="8"/>
  <c r="V291" i="8"/>
  <c r="U291" i="8"/>
  <c r="T291" i="8"/>
  <c r="R291" i="8"/>
  <c r="N291" i="8"/>
  <c r="M291" i="8"/>
  <c r="O291" i="8" s="1"/>
  <c r="S291" i="8" s="1"/>
  <c r="L291" i="8"/>
  <c r="H291" i="8"/>
  <c r="G291" i="8"/>
  <c r="AH290" i="8"/>
  <c r="AG290" i="8"/>
  <c r="AE290" i="8"/>
  <c r="AC290" i="8"/>
  <c r="AF290" i="8" s="1"/>
  <c r="Y290" i="8"/>
  <c r="V290" i="8"/>
  <c r="U290" i="8"/>
  <c r="W290" i="8" s="1"/>
  <c r="AA290" i="8" s="1"/>
  <c r="T290" i="8"/>
  <c r="P290" i="8"/>
  <c r="Z290" i="8" s="1"/>
  <c r="N290" i="8"/>
  <c r="M290" i="8"/>
  <c r="L290" i="8"/>
  <c r="H290" i="8"/>
  <c r="R290" i="8" s="1"/>
  <c r="G290" i="8"/>
  <c r="AH289" i="8"/>
  <c r="AG289" i="8"/>
  <c r="AE289" i="8"/>
  <c r="Y289" i="8"/>
  <c r="V289" i="8"/>
  <c r="U289" i="8"/>
  <c r="W289" i="8" s="1"/>
  <c r="AA289" i="8" s="1"/>
  <c r="T289" i="8"/>
  <c r="P289" i="8"/>
  <c r="Z289" i="8" s="1"/>
  <c r="M289" i="8"/>
  <c r="L289" i="8"/>
  <c r="N289" i="8" s="1"/>
  <c r="H289" i="8"/>
  <c r="R289" i="8" s="1"/>
  <c r="G289" i="8"/>
  <c r="AH288" i="8"/>
  <c r="AG288" i="8"/>
  <c r="AE288" i="8"/>
  <c r="Y288" i="8"/>
  <c r="V288" i="8"/>
  <c r="W288" i="8" s="1"/>
  <c r="U288" i="8"/>
  <c r="T288" i="8"/>
  <c r="R288" i="8"/>
  <c r="S288" i="8" s="1"/>
  <c r="M288" i="8"/>
  <c r="O288" i="8" s="1"/>
  <c r="L288" i="8"/>
  <c r="N288" i="8" s="1"/>
  <c r="H288" i="8"/>
  <c r="G288" i="8"/>
  <c r="AH287" i="8"/>
  <c r="AG287" i="8"/>
  <c r="AE287" i="8"/>
  <c r="Y287" i="8"/>
  <c r="W287" i="8"/>
  <c r="V287" i="8"/>
  <c r="U287" i="8"/>
  <c r="T287" i="8"/>
  <c r="S287" i="8"/>
  <c r="R287" i="8"/>
  <c r="N287" i="8"/>
  <c r="M287" i="8"/>
  <c r="O287" i="8" s="1"/>
  <c r="L287" i="8"/>
  <c r="H287" i="8"/>
  <c r="G287" i="8"/>
  <c r="AH286" i="8"/>
  <c r="AG286" i="8"/>
  <c r="AE286" i="8"/>
  <c r="Y286" i="8"/>
  <c r="AC286" i="8" s="1"/>
  <c r="V286" i="8"/>
  <c r="U286" i="8"/>
  <c r="W286" i="8" s="1"/>
  <c r="AA286" i="8" s="1"/>
  <c r="T286" i="8"/>
  <c r="P286" i="8"/>
  <c r="Z286" i="8" s="1"/>
  <c r="N286" i="8"/>
  <c r="M286" i="8"/>
  <c r="L286" i="8"/>
  <c r="H286" i="8"/>
  <c r="R286" i="8" s="1"/>
  <c r="G286" i="8"/>
  <c r="AH285" i="8"/>
  <c r="AG285" i="8"/>
  <c r="AE285" i="8"/>
  <c r="Y285" i="8"/>
  <c r="V285" i="8"/>
  <c r="U285" i="8"/>
  <c r="W285" i="8" s="1"/>
  <c r="AA285" i="8" s="1"/>
  <c r="T285" i="8"/>
  <c r="P285" i="8"/>
  <c r="Z285" i="8" s="1"/>
  <c r="M285" i="8"/>
  <c r="L285" i="8"/>
  <c r="N285" i="8" s="1"/>
  <c r="H285" i="8"/>
  <c r="R285" i="8" s="1"/>
  <c r="G285" i="8"/>
  <c r="AH284" i="8"/>
  <c r="AG284" i="8"/>
  <c r="AE284" i="8"/>
  <c r="Y284" i="8"/>
  <c r="V284" i="8"/>
  <c r="U284" i="8"/>
  <c r="T284" i="8"/>
  <c r="R284" i="8"/>
  <c r="S284" i="8" s="1"/>
  <c r="M284" i="8"/>
  <c r="O284" i="8" s="1"/>
  <c r="L284" i="8"/>
  <c r="N284" i="8" s="1"/>
  <c r="H284" i="8"/>
  <c r="G284" i="8"/>
  <c r="AH283" i="8"/>
  <c r="AG283" i="8"/>
  <c r="AE283" i="8"/>
  <c r="Y283" i="8"/>
  <c r="W283" i="8"/>
  <c r="V283" i="8"/>
  <c r="U283" i="8"/>
  <c r="T283" i="8"/>
  <c r="R283" i="8"/>
  <c r="N283" i="8"/>
  <c r="M283" i="8"/>
  <c r="O283" i="8" s="1"/>
  <c r="S283" i="8" s="1"/>
  <c r="L283" i="8"/>
  <c r="H283" i="8"/>
  <c r="G283" i="8"/>
  <c r="AH282" i="8"/>
  <c r="AG282" i="8"/>
  <c r="AE282" i="8"/>
  <c r="AC282" i="8"/>
  <c r="AF282" i="8" s="1"/>
  <c r="Y282" i="8"/>
  <c r="V282" i="8"/>
  <c r="U282" i="8"/>
  <c r="W282" i="8" s="1"/>
  <c r="AA282" i="8" s="1"/>
  <c r="T282" i="8"/>
  <c r="P282" i="8"/>
  <c r="Z282" i="8" s="1"/>
  <c r="N282" i="8"/>
  <c r="M282" i="8"/>
  <c r="L282" i="8"/>
  <c r="H282" i="8"/>
  <c r="R282" i="8" s="1"/>
  <c r="G282" i="8"/>
  <c r="AH281" i="8"/>
  <c r="AG281" i="8"/>
  <c r="AE281" i="8"/>
  <c r="Y281" i="8"/>
  <c r="V281" i="8"/>
  <c r="U281" i="8"/>
  <c r="W281" i="8" s="1"/>
  <c r="AA281" i="8" s="1"/>
  <c r="T281" i="8"/>
  <c r="P281" i="8"/>
  <c r="Z281" i="8" s="1"/>
  <c r="M281" i="8"/>
  <c r="L281" i="8"/>
  <c r="N281" i="8" s="1"/>
  <c r="H281" i="8"/>
  <c r="R281" i="8" s="1"/>
  <c r="G281" i="8"/>
  <c r="AH280" i="8"/>
  <c r="AG280" i="8"/>
  <c r="AE280" i="8"/>
  <c r="Y280" i="8"/>
  <c r="V280" i="8"/>
  <c r="W280" i="8" s="1"/>
  <c r="U280" i="8"/>
  <c r="T280" i="8"/>
  <c r="R280" i="8"/>
  <c r="S280" i="8" s="1"/>
  <c r="M280" i="8"/>
  <c r="O280" i="8" s="1"/>
  <c r="L280" i="8"/>
  <c r="N280" i="8" s="1"/>
  <c r="H280" i="8"/>
  <c r="G280" i="8"/>
  <c r="AH279" i="8"/>
  <c r="AG279" i="8"/>
  <c r="AE279" i="8"/>
  <c r="Y279" i="8"/>
  <c r="W279" i="8"/>
  <c r="V279" i="8"/>
  <c r="U279" i="8"/>
  <c r="T279" i="8"/>
  <c r="S279" i="8"/>
  <c r="R279" i="8"/>
  <c r="N279" i="8"/>
  <c r="M279" i="8"/>
  <c r="O279" i="8" s="1"/>
  <c r="L279" i="8"/>
  <c r="H279" i="8"/>
  <c r="G279" i="8"/>
  <c r="AH278" i="8"/>
  <c r="AG278" i="8"/>
  <c r="AE278" i="8"/>
  <c r="Y278" i="8"/>
  <c r="AC278" i="8" s="1"/>
  <c r="V278" i="8"/>
  <c r="U278" i="8"/>
  <c r="W278" i="8" s="1"/>
  <c r="AA278" i="8" s="1"/>
  <c r="T278" i="8"/>
  <c r="P278" i="8"/>
  <c r="Z278" i="8" s="1"/>
  <c r="N278" i="8"/>
  <c r="M278" i="8"/>
  <c r="L278" i="8"/>
  <c r="H278" i="8"/>
  <c r="R278" i="8" s="1"/>
  <c r="G278" i="8"/>
  <c r="AH277" i="8"/>
  <c r="AG277" i="8"/>
  <c r="AE277" i="8"/>
  <c r="Y277" i="8"/>
  <c r="V277" i="8"/>
  <c r="U277" i="8"/>
  <c r="W277" i="8" s="1"/>
  <c r="AA277" i="8" s="1"/>
  <c r="T277" i="8"/>
  <c r="P277" i="8"/>
  <c r="Z277" i="8" s="1"/>
  <c r="M277" i="8"/>
  <c r="L277" i="8"/>
  <c r="N277" i="8" s="1"/>
  <c r="H277" i="8"/>
  <c r="R277" i="8" s="1"/>
  <c r="G277" i="8"/>
  <c r="AH276" i="8"/>
  <c r="AG276" i="8"/>
  <c r="AE276" i="8"/>
  <c r="Y276" i="8"/>
  <c r="V276" i="8"/>
  <c r="U276" i="8"/>
  <c r="T276" i="8"/>
  <c r="R276" i="8"/>
  <c r="S276" i="8" s="1"/>
  <c r="M276" i="8"/>
  <c r="O276" i="8" s="1"/>
  <c r="L276" i="8"/>
  <c r="N276" i="8" s="1"/>
  <c r="H276" i="8"/>
  <c r="G276" i="8"/>
  <c r="AH275" i="8"/>
  <c r="AG275" i="8"/>
  <c r="AE275" i="8"/>
  <c r="Y275" i="8"/>
  <c r="W275" i="8"/>
  <c r="V275" i="8"/>
  <c r="U275" i="8"/>
  <c r="T275" i="8"/>
  <c r="R275" i="8"/>
  <c r="N275" i="8"/>
  <c r="M275" i="8"/>
  <c r="O275" i="8" s="1"/>
  <c r="S275" i="8" s="1"/>
  <c r="L275" i="8"/>
  <c r="H275" i="8"/>
  <c r="G275" i="8"/>
  <c r="AH274" i="8"/>
  <c r="AG274" i="8"/>
  <c r="AE274" i="8"/>
  <c r="AC274" i="8"/>
  <c r="Y274" i="8"/>
  <c r="V274" i="8"/>
  <c r="U274" i="8"/>
  <c r="W274" i="8" s="1"/>
  <c r="AA274" i="8" s="1"/>
  <c r="T274" i="8"/>
  <c r="P274" i="8"/>
  <c r="Z274" i="8" s="1"/>
  <c r="N274" i="8"/>
  <c r="M274" i="8"/>
  <c r="L274" i="8"/>
  <c r="H274" i="8"/>
  <c r="R274" i="8" s="1"/>
  <c r="G274" i="8"/>
  <c r="AH273" i="8"/>
  <c r="AG273" i="8"/>
  <c r="AE273" i="8"/>
  <c r="Y273" i="8"/>
  <c r="V273" i="8"/>
  <c r="U273" i="8"/>
  <c r="W273" i="8" s="1"/>
  <c r="AA273" i="8" s="1"/>
  <c r="T273" i="8"/>
  <c r="P273" i="8"/>
  <c r="AC273" i="8" s="1"/>
  <c r="M273" i="8"/>
  <c r="L273" i="8"/>
  <c r="N273" i="8" s="1"/>
  <c r="H273" i="8"/>
  <c r="R273" i="8" s="1"/>
  <c r="G273" i="8"/>
  <c r="AH272" i="8"/>
  <c r="AG272" i="8"/>
  <c r="AE272" i="8"/>
  <c r="Y272" i="8"/>
  <c r="V272" i="8"/>
  <c r="U272" i="8"/>
  <c r="T272" i="8"/>
  <c r="R272" i="8"/>
  <c r="S272" i="8" s="1"/>
  <c r="M272" i="8"/>
  <c r="O272" i="8" s="1"/>
  <c r="L272" i="8"/>
  <c r="N272" i="8" s="1"/>
  <c r="H272" i="8"/>
  <c r="G272" i="8"/>
  <c r="AH271" i="8"/>
  <c r="AG271" i="8"/>
  <c r="AE271" i="8"/>
  <c r="Y271" i="8"/>
  <c r="W271" i="8"/>
  <c r="V271" i="8"/>
  <c r="U271" i="8"/>
  <c r="T271" i="8"/>
  <c r="S271" i="8"/>
  <c r="R271" i="8"/>
  <c r="N271" i="8"/>
  <c r="M271" i="8"/>
  <c r="O271" i="8" s="1"/>
  <c r="L271" i="8"/>
  <c r="H271" i="8"/>
  <c r="G271" i="8"/>
  <c r="AH270" i="8"/>
  <c r="AG270" i="8"/>
  <c r="AE270" i="8"/>
  <c r="Y270" i="8"/>
  <c r="V270" i="8"/>
  <c r="U270" i="8"/>
  <c r="W270" i="8" s="1"/>
  <c r="AA270" i="8" s="1"/>
  <c r="T270" i="8"/>
  <c r="P270" i="8"/>
  <c r="Z270" i="8" s="1"/>
  <c r="N270" i="8"/>
  <c r="M270" i="8"/>
  <c r="L270" i="8"/>
  <c r="H270" i="8"/>
  <c r="R270" i="8" s="1"/>
  <c r="G270" i="8"/>
  <c r="AH269" i="8"/>
  <c r="AG269" i="8"/>
  <c r="AE269" i="8"/>
  <c r="Y269" i="8"/>
  <c r="V269" i="8"/>
  <c r="U269" i="8"/>
  <c r="W269" i="8" s="1"/>
  <c r="T269" i="8"/>
  <c r="P269" i="8"/>
  <c r="Z269" i="8" s="1"/>
  <c r="M269" i="8"/>
  <c r="L269" i="8"/>
  <c r="N269" i="8" s="1"/>
  <c r="H269" i="8"/>
  <c r="R269" i="8" s="1"/>
  <c r="G269" i="8"/>
  <c r="AH268" i="8"/>
  <c r="AG268" i="8"/>
  <c r="AE268" i="8"/>
  <c r="Y268" i="8"/>
  <c r="W268" i="8"/>
  <c r="AA268" i="8" s="1"/>
  <c r="V268" i="8"/>
  <c r="U268" i="8"/>
  <c r="T268" i="8"/>
  <c r="N268" i="8"/>
  <c r="M268" i="8"/>
  <c r="P268" i="8" s="1"/>
  <c r="L268" i="8"/>
  <c r="H268" i="8"/>
  <c r="R268" i="8" s="1"/>
  <c r="G268" i="8"/>
  <c r="AH267" i="8"/>
  <c r="AG267" i="8"/>
  <c r="AE267" i="8"/>
  <c r="Y267" i="8"/>
  <c r="W267" i="8"/>
  <c r="AA267" i="8" s="1"/>
  <c r="V267" i="8"/>
  <c r="U267" i="8"/>
  <c r="T267" i="8"/>
  <c r="M267" i="8"/>
  <c r="P267" i="8" s="1"/>
  <c r="Z267" i="8" s="1"/>
  <c r="X267" i="8" s="1"/>
  <c r="AB267" i="8" s="1"/>
  <c r="L267" i="8"/>
  <c r="H267" i="8"/>
  <c r="G267" i="8"/>
  <c r="AH266" i="8"/>
  <c r="AG266" i="8"/>
  <c r="AE266" i="8"/>
  <c r="Y266" i="8"/>
  <c r="AC266" i="8" s="1"/>
  <c r="W266" i="8"/>
  <c r="AA266" i="8" s="1"/>
  <c r="V266" i="8"/>
  <c r="U266" i="8"/>
  <c r="T266" i="8"/>
  <c r="P266" i="8"/>
  <c r="Z266" i="8" s="1"/>
  <c r="X266" i="8" s="1"/>
  <c r="AB266" i="8" s="1"/>
  <c r="M266" i="8"/>
  <c r="L266" i="8"/>
  <c r="H266" i="8"/>
  <c r="N266" i="8" s="1"/>
  <c r="G266" i="8"/>
  <c r="AH265" i="8"/>
  <c r="AG265" i="8"/>
  <c r="AE265" i="8"/>
  <c r="Y265" i="8"/>
  <c r="X265" i="8" s="1"/>
  <c r="AB265" i="8" s="1"/>
  <c r="W265" i="8"/>
  <c r="AA265" i="8" s="1"/>
  <c r="V265" i="8"/>
  <c r="U265" i="8"/>
  <c r="T265" i="8"/>
  <c r="P265" i="8"/>
  <c r="Z265" i="8" s="1"/>
  <c r="M265" i="8"/>
  <c r="L265" i="8"/>
  <c r="H265" i="8"/>
  <c r="N265" i="8" s="1"/>
  <c r="G265" i="8"/>
  <c r="AH264" i="8"/>
  <c r="AG264" i="8"/>
  <c r="AE264" i="8"/>
  <c r="AA264" i="8"/>
  <c r="Y264" i="8"/>
  <c r="W264" i="8"/>
  <c r="V264" i="8"/>
  <c r="U264" i="8"/>
  <c r="T264" i="8"/>
  <c r="P264" i="8"/>
  <c r="Z264" i="8" s="1"/>
  <c r="N264" i="8"/>
  <c r="M264" i="8"/>
  <c r="L264" i="8"/>
  <c r="H264" i="8"/>
  <c r="G264" i="8"/>
  <c r="AH263" i="8"/>
  <c r="AG263" i="8"/>
  <c r="AE263" i="8"/>
  <c r="Y263" i="8"/>
  <c r="W263" i="8"/>
  <c r="V263" i="8"/>
  <c r="U263" i="8"/>
  <c r="T263" i="8"/>
  <c r="P263" i="8"/>
  <c r="Z263" i="8" s="1"/>
  <c r="M263" i="8"/>
  <c r="L263" i="8"/>
  <c r="H263" i="8"/>
  <c r="G263" i="8"/>
  <c r="AH262" i="8"/>
  <c r="AG262" i="8"/>
  <c r="AE262" i="8"/>
  <c r="Y262" i="8"/>
  <c r="W262" i="8"/>
  <c r="AA262" i="8" s="1"/>
  <c r="V262" i="8"/>
  <c r="U262" i="8"/>
  <c r="T262" i="8"/>
  <c r="P262" i="8"/>
  <c r="Z262" i="8" s="1"/>
  <c r="M262" i="8"/>
  <c r="L262" i="8"/>
  <c r="H262" i="8"/>
  <c r="O262" i="8" s="1"/>
  <c r="G262" i="8"/>
  <c r="AH261" i="8"/>
  <c r="AG261" i="8"/>
  <c r="AE261" i="8"/>
  <c r="Y261" i="8"/>
  <c r="W261" i="8"/>
  <c r="AA261" i="8" s="1"/>
  <c r="V261" i="8"/>
  <c r="U261" i="8"/>
  <c r="T261" i="8"/>
  <c r="P261" i="8"/>
  <c r="Z261" i="8" s="1"/>
  <c r="M261" i="8"/>
  <c r="L261" i="8"/>
  <c r="H261" i="8"/>
  <c r="O261" i="8" s="1"/>
  <c r="G261" i="8"/>
  <c r="AH260" i="8"/>
  <c r="AG260" i="8"/>
  <c r="AE260" i="8"/>
  <c r="Y260" i="8"/>
  <c r="W260" i="8"/>
  <c r="V260" i="8"/>
  <c r="U260" i="8"/>
  <c r="T260" i="8"/>
  <c r="P260" i="8"/>
  <c r="Z260" i="8" s="1"/>
  <c r="M260" i="8"/>
  <c r="L260" i="8"/>
  <c r="H260" i="8"/>
  <c r="O260" i="8" s="1"/>
  <c r="G260" i="8"/>
  <c r="AH259" i="8"/>
  <c r="AG259" i="8"/>
  <c r="AE259" i="8"/>
  <c r="Y259" i="8"/>
  <c r="W259" i="8"/>
  <c r="AA259" i="8" s="1"/>
  <c r="V259" i="8"/>
  <c r="U259" i="8"/>
  <c r="T259" i="8"/>
  <c r="P259" i="8"/>
  <c r="Z259" i="8" s="1"/>
  <c r="M259" i="8"/>
  <c r="L259" i="8"/>
  <c r="H259" i="8"/>
  <c r="O259" i="8" s="1"/>
  <c r="G259" i="8"/>
  <c r="AH258" i="8"/>
  <c r="AG258" i="8"/>
  <c r="AE258" i="8"/>
  <c r="Y258" i="8"/>
  <c r="W258" i="8"/>
  <c r="V258" i="8"/>
  <c r="U258" i="8"/>
  <c r="T258" i="8"/>
  <c r="R258" i="8"/>
  <c r="S258" i="8" s="1"/>
  <c r="P258" i="8"/>
  <c r="AA258" i="8" s="1"/>
  <c r="N258" i="8"/>
  <c r="M258" i="8"/>
  <c r="L258" i="8"/>
  <c r="H258" i="8"/>
  <c r="O258" i="8" s="1"/>
  <c r="G258" i="8"/>
  <c r="AH257" i="8"/>
  <c r="AG257" i="8"/>
  <c r="AE257" i="8"/>
  <c r="Y257" i="8"/>
  <c r="W257" i="8"/>
  <c r="AA257" i="8" s="1"/>
  <c r="V257" i="8"/>
  <c r="U257" i="8"/>
  <c r="T257" i="8"/>
  <c r="P257" i="8"/>
  <c r="Z257" i="8" s="1"/>
  <c r="M257" i="8"/>
  <c r="L257" i="8"/>
  <c r="H257" i="8"/>
  <c r="O257" i="8" s="1"/>
  <c r="G257" i="8"/>
  <c r="AH256" i="8"/>
  <c r="AG256" i="8"/>
  <c r="AE256" i="8"/>
  <c r="Y256" i="8"/>
  <c r="W256" i="8"/>
  <c r="AA256" i="8" s="1"/>
  <c r="V256" i="8"/>
  <c r="U256" i="8"/>
  <c r="T256" i="8"/>
  <c r="P256" i="8"/>
  <c r="Z256" i="8" s="1"/>
  <c r="N256" i="8"/>
  <c r="M256" i="8"/>
  <c r="L256" i="8"/>
  <c r="H256" i="8"/>
  <c r="O256" i="8" s="1"/>
  <c r="G256" i="8"/>
  <c r="AH255" i="8"/>
  <c r="AG255" i="8"/>
  <c r="AE255" i="8"/>
  <c r="Y255" i="8"/>
  <c r="W255" i="8"/>
  <c r="AA255" i="8" s="1"/>
  <c r="V255" i="8"/>
  <c r="U255" i="8"/>
  <c r="T255" i="8"/>
  <c r="P255" i="8"/>
  <c r="Z255" i="8" s="1"/>
  <c r="M255" i="8"/>
  <c r="L255" i="8"/>
  <c r="H255" i="8"/>
  <c r="O255" i="8" s="1"/>
  <c r="G255" i="8"/>
  <c r="AH254" i="8"/>
  <c r="AG254" i="8"/>
  <c r="AE254" i="8"/>
  <c r="Y254" i="8"/>
  <c r="W254" i="8"/>
  <c r="AA254" i="8" s="1"/>
  <c r="V254" i="8"/>
  <c r="U254" i="8"/>
  <c r="T254" i="8"/>
  <c r="P254" i="8"/>
  <c r="Z254" i="8" s="1"/>
  <c r="M254" i="8"/>
  <c r="L254" i="8"/>
  <c r="H254" i="8"/>
  <c r="O254" i="8" s="1"/>
  <c r="G254" i="8"/>
  <c r="AH253" i="8"/>
  <c r="AG253" i="8"/>
  <c r="AE253" i="8"/>
  <c r="Y253" i="8"/>
  <c r="W253" i="8"/>
  <c r="AA253" i="8" s="1"/>
  <c r="V253" i="8"/>
  <c r="U253" i="8"/>
  <c r="T253" i="8"/>
  <c r="P253" i="8"/>
  <c r="Z253" i="8" s="1"/>
  <c r="M253" i="8"/>
  <c r="L253" i="8"/>
  <c r="H253" i="8"/>
  <c r="O253" i="8" s="1"/>
  <c r="G253" i="8"/>
  <c r="AH252" i="8"/>
  <c r="AG252" i="8"/>
  <c r="AE252" i="8"/>
  <c r="AA252" i="8"/>
  <c r="Y252" i="8"/>
  <c r="W252" i="8"/>
  <c r="V252" i="8"/>
  <c r="U252" i="8"/>
  <c r="T252" i="8"/>
  <c r="P252" i="8"/>
  <c r="Z252" i="8" s="1"/>
  <c r="M252" i="8"/>
  <c r="L252" i="8"/>
  <c r="H252" i="8"/>
  <c r="O252" i="8" s="1"/>
  <c r="G252" i="8"/>
  <c r="AH251" i="8"/>
  <c r="AG251" i="8"/>
  <c r="AE251" i="8"/>
  <c r="Y251" i="8"/>
  <c r="W251" i="8"/>
  <c r="AA251" i="8" s="1"/>
  <c r="V251" i="8"/>
  <c r="U251" i="8"/>
  <c r="T251" i="8"/>
  <c r="P251" i="8"/>
  <c r="Z251" i="8" s="1"/>
  <c r="M251" i="8"/>
  <c r="L251" i="8"/>
  <c r="H251" i="8"/>
  <c r="O251" i="8" s="1"/>
  <c r="G251" i="8"/>
  <c r="AH250" i="8"/>
  <c r="AG250" i="8"/>
  <c r="AE250" i="8"/>
  <c r="AA250" i="8"/>
  <c r="Y250" i="8"/>
  <c r="W250" i="8"/>
  <c r="V250" i="8"/>
  <c r="U250" i="8"/>
  <c r="T250" i="8"/>
  <c r="P250" i="8"/>
  <c r="Z250" i="8" s="1"/>
  <c r="N250" i="8"/>
  <c r="M250" i="8"/>
  <c r="L250" i="8"/>
  <c r="H250" i="8"/>
  <c r="O250" i="8" s="1"/>
  <c r="G250" i="8"/>
  <c r="AH249" i="8"/>
  <c r="AG249" i="8"/>
  <c r="AE249" i="8"/>
  <c r="Y249" i="8"/>
  <c r="W249" i="8"/>
  <c r="V249" i="8"/>
  <c r="U249" i="8"/>
  <c r="T249" i="8"/>
  <c r="P249" i="8"/>
  <c r="AA249" i="8" s="1"/>
  <c r="M249" i="8"/>
  <c r="L249" i="8"/>
  <c r="H249" i="8"/>
  <c r="O249" i="8" s="1"/>
  <c r="G249" i="8"/>
  <c r="AH248" i="8"/>
  <c r="AG248" i="8"/>
  <c r="AE248" i="8"/>
  <c r="Y248" i="8"/>
  <c r="W248" i="8"/>
  <c r="AA248" i="8" s="1"/>
  <c r="V248" i="8"/>
  <c r="U248" i="8"/>
  <c r="T248" i="8"/>
  <c r="P248" i="8"/>
  <c r="Z248" i="8" s="1"/>
  <c r="N248" i="8"/>
  <c r="M248" i="8"/>
  <c r="L248" i="8"/>
  <c r="H248" i="8"/>
  <c r="R248" i="8" s="1"/>
  <c r="G248" i="8"/>
  <c r="AH247" i="8"/>
  <c r="AG247" i="8"/>
  <c r="AE247" i="8"/>
  <c r="Y247" i="8"/>
  <c r="W247" i="8"/>
  <c r="AA247" i="8" s="1"/>
  <c r="V247" i="8"/>
  <c r="U247" i="8"/>
  <c r="T247" i="8"/>
  <c r="P247" i="8"/>
  <c r="Z247" i="8" s="1"/>
  <c r="N247" i="8"/>
  <c r="M247" i="8"/>
  <c r="O247" i="8" s="1"/>
  <c r="L247" i="8"/>
  <c r="H247" i="8"/>
  <c r="R247" i="8" s="1"/>
  <c r="S247" i="8" s="1"/>
  <c r="G247" i="8"/>
  <c r="AH246" i="8"/>
  <c r="AG246" i="8"/>
  <c r="AE246" i="8"/>
  <c r="Y246" i="8"/>
  <c r="W246" i="8"/>
  <c r="AA246" i="8" s="1"/>
  <c r="V246" i="8"/>
  <c r="U246" i="8"/>
  <c r="T246" i="8"/>
  <c r="P246" i="8"/>
  <c r="Z246" i="8" s="1"/>
  <c r="M246" i="8"/>
  <c r="L246" i="8"/>
  <c r="H246" i="8"/>
  <c r="R246" i="8" s="1"/>
  <c r="G246" i="8"/>
  <c r="AH245" i="8"/>
  <c r="AG245" i="8"/>
  <c r="AE245" i="8"/>
  <c r="Y245" i="8"/>
  <c r="W245" i="8"/>
  <c r="AA245" i="8" s="1"/>
  <c r="V245" i="8"/>
  <c r="U245" i="8"/>
  <c r="T245" i="8"/>
  <c r="P245" i="8"/>
  <c r="Z245" i="8" s="1"/>
  <c r="M245" i="8"/>
  <c r="L245" i="8"/>
  <c r="H245" i="8"/>
  <c r="R245" i="8" s="1"/>
  <c r="G245" i="8"/>
  <c r="AH244" i="8"/>
  <c r="AG244" i="8"/>
  <c r="AE244" i="8"/>
  <c r="Y244" i="8"/>
  <c r="W244" i="8"/>
  <c r="V244" i="8"/>
  <c r="U244" i="8"/>
  <c r="T244" i="8"/>
  <c r="P244" i="8"/>
  <c r="Z244" i="8" s="1"/>
  <c r="M244" i="8"/>
  <c r="L244" i="8"/>
  <c r="H244" i="8"/>
  <c r="N244" i="8" s="1"/>
  <c r="G244" i="8"/>
  <c r="AH243" i="8"/>
  <c r="AG243" i="8"/>
  <c r="AE243" i="8"/>
  <c r="Y243" i="8"/>
  <c r="W243" i="8"/>
  <c r="AA243" i="8" s="1"/>
  <c r="V243" i="8"/>
  <c r="U243" i="8"/>
  <c r="T243" i="8"/>
  <c r="P243" i="8"/>
  <c r="Z243" i="8" s="1"/>
  <c r="M243" i="8"/>
  <c r="L243" i="8"/>
  <c r="H243" i="8"/>
  <c r="R243" i="8" s="1"/>
  <c r="G243" i="8"/>
  <c r="AH242" i="8"/>
  <c r="AG242" i="8"/>
  <c r="AE242" i="8"/>
  <c r="AA242" i="8"/>
  <c r="Y242" i="8"/>
  <c r="W242" i="8"/>
  <c r="V242" i="8"/>
  <c r="U242" i="8"/>
  <c r="T242" i="8"/>
  <c r="P242" i="8"/>
  <c r="Z242" i="8" s="1"/>
  <c r="N242" i="8"/>
  <c r="M242" i="8"/>
  <c r="L242" i="8"/>
  <c r="H242" i="8"/>
  <c r="R242" i="8" s="1"/>
  <c r="G242" i="8"/>
  <c r="AH241" i="8"/>
  <c r="AG241" i="8"/>
  <c r="AE241" i="8"/>
  <c r="Y241" i="8"/>
  <c r="W241" i="8"/>
  <c r="V241" i="8"/>
  <c r="U241" i="8"/>
  <c r="T241" i="8"/>
  <c r="P241" i="8"/>
  <c r="AA241" i="8" s="1"/>
  <c r="M241" i="8"/>
  <c r="L241" i="8"/>
  <c r="H241" i="8"/>
  <c r="R241" i="8" s="1"/>
  <c r="G241" i="8"/>
  <c r="AH240" i="8"/>
  <c r="AG240" i="8"/>
  <c r="AE240" i="8"/>
  <c r="Y240" i="8"/>
  <c r="W240" i="8"/>
  <c r="AA240" i="8" s="1"/>
  <c r="V240" i="8"/>
  <c r="U240" i="8"/>
  <c r="T240" i="8"/>
  <c r="P240" i="8"/>
  <c r="Z240" i="8" s="1"/>
  <c r="N240" i="8"/>
  <c r="M240" i="8"/>
  <c r="L240" i="8"/>
  <c r="H240" i="8"/>
  <c r="R240" i="8" s="1"/>
  <c r="G240" i="8"/>
  <c r="AH239" i="8"/>
  <c r="AG239" i="8"/>
  <c r="AE239" i="8"/>
  <c r="Y239" i="8"/>
  <c r="W239" i="8"/>
  <c r="AA239" i="8" s="1"/>
  <c r="V239" i="8"/>
  <c r="U239" i="8"/>
  <c r="T239" i="8"/>
  <c r="P239" i="8"/>
  <c r="Z239" i="8" s="1"/>
  <c r="N239" i="8"/>
  <c r="M239" i="8"/>
  <c r="O239" i="8" s="1"/>
  <c r="L239" i="8"/>
  <c r="H239" i="8"/>
  <c r="R239" i="8" s="1"/>
  <c r="S239" i="8" s="1"/>
  <c r="G239" i="8"/>
  <c r="AH238" i="8"/>
  <c r="AG238" i="8"/>
  <c r="AE238" i="8"/>
  <c r="AA238" i="8"/>
  <c r="Y238" i="8"/>
  <c r="W238" i="8"/>
  <c r="V238" i="8"/>
  <c r="U238" i="8"/>
  <c r="T238" i="8"/>
  <c r="P238" i="8"/>
  <c r="Z238" i="8" s="1"/>
  <c r="M238" i="8"/>
  <c r="L238" i="8"/>
  <c r="H238" i="8"/>
  <c r="R238" i="8" s="1"/>
  <c r="G238" i="8"/>
  <c r="AH237" i="8"/>
  <c r="AG237" i="8"/>
  <c r="AE237" i="8"/>
  <c r="Y237" i="8"/>
  <c r="W237" i="8"/>
  <c r="AA237" i="8" s="1"/>
  <c r="V237" i="8"/>
  <c r="U237" i="8"/>
  <c r="T237" i="8"/>
  <c r="P237" i="8"/>
  <c r="Z237" i="8" s="1"/>
  <c r="M237" i="8"/>
  <c r="L237" i="8"/>
  <c r="H237" i="8"/>
  <c r="R237" i="8" s="1"/>
  <c r="G237" i="8"/>
  <c r="AH236" i="8"/>
  <c r="AG236" i="8"/>
  <c r="AE236" i="8"/>
  <c r="Y236" i="8"/>
  <c r="W236" i="8"/>
  <c r="V236" i="8"/>
  <c r="U236" i="8"/>
  <c r="T236" i="8"/>
  <c r="P236" i="8"/>
  <c r="Z236" i="8" s="1"/>
  <c r="N236" i="8"/>
  <c r="M236" i="8"/>
  <c r="L236" i="8"/>
  <c r="H236" i="8"/>
  <c r="R236" i="8" s="1"/>
  <c r="G236" i="8"/>
  <c r="AH235" i="8"/>
  <c r="AG235" i="8"/>
  <c r="AE235" i="8"/>
  <c r="Y235" i="8"/>
  <c r="W235" i="8"/>
  <c r="AA235" i="8" s="1"/>
  <c r="V235" i="8"/>
  <c r="U235" i="8"/>
  <c r="T235" i="8"/>
  <c r="P235" i="8"/>
  <c r="Z235" i="8" s="1"/>
  <c r="M235" i="8"/>
  <c r="L235" i="8"/>
  <c r="H235" i="8"/>
  <c r="R235" i="8" s="1"/>
  <c r="G235" i="8"/>
  <c r="AH234" i="8"/>
  <c r="AG234" i="8"/>
  <c r="AE234" i="8"/>
  <c r="AA234" i="8"/>
  <c r="Y234" i="8"/>
  <c r="W234" i="8"/>
  <c r="V234" i="8"/>
  <c r="U234" i="8"/>
  <c r="T234" i="8"/>
  <c r="P234" i="8"/>
  <c r="Z234" i="8" s="1"/>
  <c r="N234" i="8"/>
  <c r="M234" i="8"/>
  <c r="L234" i="8"/>
  <c r="H234" i="8"/>
  <c r="R234" i="8" s="1"/>
  <c r="G234" i="8"/>
  <c r="AH233" i="8"/>
  <c r="AG233" i="8"/>
  <c r="AE233" i="8"/>
  <c r="Y233" i="8"/>
  <c r="W233" i="8"/>
  <c r="V233" i="8"/>
  <c r="U233" i="8"/>
  <c r="T233" i="8"/>
  <c r="P233" i="8"/>
  <c r="AA233" i="8" s="1"/>
  <c r="M233" i="8"/>
  <c r="L233" i="8"/>
  <c r="H233" i="8"/>
  <c r="R233" i="8" s="1"/>
  <c r="G233" i="8"/>
  <c r="AH232" i="8"/>
  <c r="AG232" i="8"/>
  <c r="AE232" i="8"/>
  <c r="Y232" i="8"/>
  <c r="W232" i="8"/>
  <c r="AA232" i="8" s="1"/>
  <c r="V232" i="8"/>
  <c r="U232" i="8"/>
  <c r="T232" i="8"/>
  <c r="P232" i="8"/>
  <c r="Z232" i="8" s="1"/>
  <c r="M232" i="8"/>
  <c r="O232" i="8" s="1"/>
  <c r="L232" i="8"/>
  <c r="H232" i="8"/>
  <c r="R232" i="8" s="1"/>
  <c r="S232" i="8" s="1"/>
  <c r="G232" i="8"/>
  <c r="AH231" i="8"/>
  <c r="AG231" i="8"/>
  <c r="AE231" i="8"/>
  <c r="Y231" i="8"/>
  <c r="V231" i="8"/>
  <c r="Z231" i="8" s="1"/>
  <c r="U231" i="8"/>
  <c r="T231" i="8"/>
  <c r="P231" i="8"/>
  <c r="M231" i="8"/>
  <c r="L231" i="8"/>
  <c r="H231" i="8"/>
  <c r="R231" i="8" s="1"/>
  <c r="G231" i="8"/>
  <c r="AH230" i="8"/>
  <c r="AG230" i="8"/>
  <c r="AE230" i="8"/>
  <c r="Y230" i="8"/>
  <c r="V230" i="8"/>
  <c r="U230" i="8"/>
  <c r="T230" i="8"/>
  <c r="R230" i="8"/>
  <c r="S230" i="8" s="1"/>
  <c r="M230" i="8"/>
  <c r="O230" i="8" s="1"/>
  <c r="L230" i="8"/>
  <c r="H230" i="8"/>
  <c r="N230" i="8" s="1"/>
  <c r="G230" i="8"/>
  <c r="AH229" i="8"/>
  <c r="AG229" i="8"/>
  <c r="AE229" i="8"/>
  <c r="Y229" i="8"/>
  <c r="V229" i="8"/>
  <c r="Z229" i="8" s="1"/>
  <c r="U229" i="8"/>
  <c r="T229" i="8"/>
  <c r="R229" i="8"/>
  <c r="P229" i="8"/>
  <c r="M229" i="8"/>
  <c r="L229" i="8"/>
  <c r="H229" i="8"/>
  <c r="N229" i="8" s="1"/>
  <c r="G229" i="8"/>
  <c r="AH228" i="8"/>
  <c r="AG228" i="8"/>
  <c r="AE228" i="8"/>
  <c r="Y228" i="8"/>
  <c r="V228" i="8"/>
  <c r="U228" i="8"/>
  <c r="T228" i="8"/>
  <c r="R228" i="8"/>
  <c r="S228" i="8" s="1"/>
  <c r="M228" i="8"/>
  <c r="O228" i="8" s="1"/>
  <c r="L228" i="8"/>
  <c r="H228" i="8"/>
  <c r="N228" i="8" s="1"/>
  <c r="G228" i="8"/>
  <c r="AH227" i="8"/>
  <c r="AG227" i="8"/>
  <c r="AE227" i="8"/>
  <c r="Y227" i="8"/>
  <c r="V227" i="8"/>
  <c r="U227" i="8"/>
  <c r="T227" i="8"/>
  <c r="R227" i="8"/>
  <c r="M227" i="8"/>
  <c r="L227" i="8"/>
  <c r="H227" i="8"/>
  <c r="N227" i="8" s="1"/>
  <c r="G227" i="8"/>
  <c r="AH226" i="8"/>
  <c r="AG226" i="8"/>
  <c r="AE226" i="8"/>
  <c r="Y226" i="8"/>
  <c r="V226" i="8"/>
  <c r="U226" i="8"/>
  <c r="T226" i="8"/>
  <c r="R226" i="8"/>
  <c r="S226" i="8" s="1"/>
  <c r="M226" i="8"/>
  <c r="O226" i="8" s="1"/>
  <c r="L226" i="8"/>
  <c r="H226" i="8"/>
  <c r="N226" i="8" s="1"/>
  <c r="G226" i="8"/>
  <c r="AH225" i="8"/>
  <c r="AG225" i="8"/>
  <c r="AE225" i="8"/>
  <c r="Y225" i="8"/>
  <c r="V225" i="8"/>
  <c r="U225" i="8"/>
  <c r="T225" i="8"/>
  <c r="R225" i="8"/>
  <c r="S225" i="8" s="1"/>
  <c r="M225" i="8"/>
  <c r="O225" i="8" s="1"/>
  <c r="L225" i="8"/>
  <c r="H225" i="8"/>
  <c r="N225" i="8" s="1"/>
  <c r="G225" i="8"/>
  <c r="AH224" i="8"/>
  <c r="AG224" i="8"/>
  <c r="AE224" i="8"/>
  <c r="Y224" i="8"/>
  <c r="V224" i="8"/>
  <c r="U224" i="8"/>
  <c r="T224" i="8"/>
  <c r="R224" i="8"/>
  <c r="S224" i="8" s="1"/>
  <c r="M224" i="8"/>
  <c r="O224" i="8" s="1"/>
  <c r="L224" i="8"/>
  <c r="H224" i="8"/>
  <c r="N224" i="8" s="1"/>
  <c r="G224" i="8"/>
  <c r="AH223" i="8"/>
  <c r="AG223" i="8"/>
  <c r="AE223" i="8"/>
  <c r="Y223" i="8"/>
  <c r="V223" i="8"/>
  <c r="U223" i="8"/>
  <c r="T223" i="8"/>
  <c r="R223" i="8"/>
  <c r="S223" i="8" s="1"/>
  <c r="M223" i="8"/>
  <c r="O223" i="8" s="1"/>
  <c r="L223" i="8"/>
  <c r="H223" i="8"/>
  <c r="N223" i="8" s="1"/>
  <c r="G223" i="8"/>
  <c r="AH222" i="8"/>
  <c r="AG222" i="8"/>
  <c r="AE222" i="8"/>
  <c r="Y222" i="8"/>
  <c r="V222" i="8"/>
  <c r="U222" i="8"/>
  <c r="T222" i="8"/>
  <c r="R222" i="8"/>
  <c r="S222" i="8" s="1"/>
  <c r="M222" i="8"/>
  <c r="O222" i="8" s="1"/>
  <c r="L222" i="8"/>
  <c r="H222" i="8"/>
  <c r="N222" i="8" s="1"/>
  <c r="G222" i="8"/>
  <c r="AH221" i="8"/>
  <c r="AG221" i="8"/>
  <c r="AE221" i="8"/>
  <c r="Y221" i="8"/>
  <c r="V221" i="8"/>
  <c r="U221" i="8"/>
  <c r="T221" i="8"/>
  <c r="R221" i="8"/>
  <c r="S221" i="8" s="1"/>
  <c r="M221" i="8"/>
  <c r="O221" i="8" s="1"/>
  <c r="L221" i="8"/>
  <c r="H221" i="8"/>
  <c r="N221" i="8" s="1"/>
  <c r="G221" i="8"/>
  <c r="AH220" i="8"/>
  <c r="AG220" i="8"/>
  <c r="AE220" i="8"/>
  <c r="Y220" i="8"/>
  <c r="V220" i="8"/>
  <c r="U220" i="8"/>
  <c r="T220" i="8"/>
  <c r="R220" i="8"/>
  <c r="S220" i="8" s="1"/>
  <c r="M220" i="8"/>
  <c r="O220" i="8" s="1"/>
  <c r="L220" i="8"/>
  <c r="H220" i="8"/>
  <c r="N220" i="8" s="1"/>
  <c r="G220" i="8"/>
  <c r="AH219" i="8"/>
  <c r="AG219" i="8"/>
  <c r="AE219" i="8"/>
  <c r="Y219" i="8"/>
  <c r="V219" i="8"/>
  <c r="U219" i="8"/>
  <c r="T219" i="8"/>
  <c r="R219" i="8"/>
  <c r="S219" i="8" s="1"/>
  <c r="M219" i="8"/>
  <c r="O219" i="8" s="1"/>
  <c r="L219" i="8"/>
  <c r="H219" i="8"/>
  <c r="N219" i="8" s="1"/>
  <c r="G219" i="8"/>
  <c r="AH218" i="8"/>
  <c r="AG218" i="8"/>
  <c r="AE218" i="8"/>
  <c r="Y218" i="8"/>
  <c r="V218" i="8"/>
  <c r="U218" i="8"/>
  <c r="T218" i="8"/>
  <c r="R218" i="8"/>
  <c r="S218" i="8" s="1"/>
  <c r="M218" i="8"/>
  <c r="O218" i="8" s="1"/>
  <c r="L218" i="8"/>
  <c r="H218" i="8"/>
  <c r="N218" i="8" s="1"/>
  <c r="G218" i="8"/>
  <c r="AH217" i="8"/>
  <c r="AG217" i="8"/>
  <c r="AE217" i="8"/>
  <c r="Y217" i="8"/>
  <c r="V217" i="8"/>
  <c r="U217" i="8"/>
  <c r="T217" i="8"/>
  <c r="R217" i="8"/>
  <c r="S217" i="8" s="1"/>
  <c r="M217" i="8"/>
  <c r="O217" i="8" s="1"/>
  <c r="L217" i="8"/>
  <c r="H217" i="8"/>
  <c r="N217" i="8" s="1"/>
  <c r="G217" i="8"/>
  <c r="AH216" i="8"/>
  <c r="AG216" i="8"/>
  <c r="AE216" i="8"/>
  <c r="Y216" i="8"/>
  <c r="V216" i="8"/>
  <c r="U216" i="8"/>
  <c r="T216" i="8"/>
  <c r="R216" i="8"/>
  <c r="S216" i="8" s="1"/>
  <c r="M216" i="8"/>
  <c r="O216" i="8" s="1"/>
  <c r="L216" i="8"/>
  <c r="H216" i="8"/>
  <c r="N216" i="8" s="1"/>
  <c r="G216" i="8"/>
  <c r="AH215" i="8"/>
  <c r="AG215" i="8"/>
  <c r="AE215" i="8"/>
  <c r="Y215" i="8"/>
  <c r="V215" i="8"/>
  <c r="U215" i="8"/>
  <c r="T215" i="8"/>
  <c r="R215" i="8"/>
  <c r="S215" i="8" s="1"/>
  <c r="M215" i="8"/>
  <c r="O215" i="8" s="1"/>
  <c r="L215" i="8"/>
  <c r="H215" i="8"/>
  <c r="N215" i="8" s="1"/>
  <c r="G215" i="8"/>
  <c r="AH214" i="8"/>
  <c r="AG214" i="8"/>
  <c r="AE214" i="8"/>
  <c r="Y214" i="8"/>
  <c r="V214" i="8"/>
  <c r="U214" i="8"/>
  <c r="T214" i="8"/>
  <c r="R214" i="8"/>
  <c r="S214" i="8" s="1"/>
  <c r="M214" i="8"/>
  <c r="O214" i="8" s="1"/>
  <c r="L214" i="8"/>
  <c r="H214" i="8"/>
  <c r="N214" i="8" s="1"/>
  <c r="G214" i="8"/>
  <c r="AH213" i="8"/>
  <c r="AG213" i="8"/>
  <c r="AE213" i="8"/>
  <c r="Y213" i="8"/>
  <c r="V213" i="8"/>
  <c r="U213" i="8"/>
  <c r="T213" i="8"/>
  <c r="R213" i="8"/>
  <c r="S213" i="8" s="1"/>
  <c r="M213" i="8"/>
  <c r="O213" i="8" s="1"/>
  <c r="L213" i="8"/>
  <c r="H213" i="8"/>
  <c r="N213" i="8" s="1"/>
  <c r="G213" i="8"/>
  <c r="AH212" i="8"/>
  <c r="AG212" i="8"/>
  <c r="AE212" i="8"/>
  <c r="Y212" i="8"/>
  <c r="V212" i="8"/>
  <c r="U212" i="8"/>
  <c r="T212" i="8"/>
  <c r="R212" i="8"/>
  <c r="S212" i="8" s="1"/>
  <c r="M212" i="8"/>
  <c r="O212" i="8" s="1"/>
  <c r="L212" i="8"/>
  <c r="H212" i="8"/>
  <c r="N212" i="8" s="1"/>
  <c r="G212" i="8"/>
  <c r="AH211" i="8"/>
  <c r="AG211" i="8"/>
  <c r="AE211" i="8"/>
  <c r="Y211" i="8"/>
  <c r="V211" i="8"/>
  <c r="U211" i="8"/>
  <c r="T211" i="8"/>
  <c r="R211" i="8"/>
  <c r="S211" i="8" s="1"/>
  <c r="M211" i="8"/>
  <c r="O211" i="8" s="1"/>
  <c r="L211" i="8"/>
  <c r="H211" i="8"/>
  <c r="N211" i="8" s="1"/>
  <c r="G211" i="8"/>
  <c r="AH210" i="8"/>
  <c r="AG210" i="8"/>
  <c r="AE210" i="8"/>
  <c r="Y210" i="8"/>
  <c r="V210" i="8"/>
  <c r="U210" i="8"/>
  <c r="T210" i="8"/>
  <c r="R210" i="8"/>
  <c r="S210" i="8" s="1"/>
  <c r="M210" i="8"/>
  <c r="O210" i="8" s="1"/>
  <c r="L210" i="8"/>
  <c r="H210" i="8"/>
  <c r="N210" i="8" s="1"/>
  <c r="G210" i="8"/>
  <c r="AH209" i="8"/>
  <c r="AG209" i="8"/>
  <c r="AE209" i="8"/>
  <c r="Y209" i="8"/>
  <c r="V209" i="8"/>
  <c r="U209" i="8"/>
  <c r="T209" i="8"/>
  <c r="R209" i="8"/>
  <c r="S209" i="8" s="1"/>
  <c r="M209" i="8"/>
  <c r="O209" i="8" s="1"/>
  <c r="L209" i="8"/>
  <c r="H209" i="8"/>
  <c r="N209" i="8" s="1"/>
  <c r="G209" i="8"/>
  <c r="AH208" i="8"/>
  <c r="AG208" i="8"/>
  <c r="AE208" i="8"/>
  <c r="Y208" i="8"/>
  <c r="V208" i="8"/>
  <c r="U208" i="8"/>
  <c r="T208" i="8"/>
  <c r="R208" i="8"/>
  <c r="S208" i="8" s="1"/>
  <c r="M208" i="8"/>
  <c r="O208" i="8" s="1"/>
  <c r="L208" i="8"/>
  <c r="H208" i="8"/>
  <c r="N208" i="8" s="1"/>
  <c r="G208" i="8"/>
  <c r="AH207" i="8"/>
  <c r="AG207" i="8"/>
  <c r="AE207" i="8"/>
  <c r="Y207" i="8"/>
  <c r="V207" i="8"/>
  <c r="U207" i="8"/>
  <c r="T207" i="8"/>
  <c r="R207" i="8"/>
  <c r="S207" i="8" s="1"/>
  <c r="M207" i="8"/>
  <c r="O207" i="8" s="1"/>
  <c r="L207" i="8"/>
  <c r="H207" i="8"/>
  <c r="N207" i="8" s="1"/>
  <c r="G207" i="8"/>
  <c r="AH206" i="8"/>
  <c r="AG206" i="8"/>
  <c r="AE206" i="8"/>
  <c r="Y206" i="8"/>
  <c r="V206" i="8"/>
  <c r="U206" i="8"/>
  <c r="T206" i="8"/>
  <c r="R206" i="8"/>
  <c r="S206" i="8" s="1"/>
  <c r="M206" i="8"/>
  <c r="O206" i="8" s="1"/>
  <c r="L206" i="8"/>
  <c r="H206" i="8"/>
  <c r="N206" i="8" s="1"/>
  <c r="G206" i="8"/>
  <c r="AH205" i="8"/>
  <c r="AG205" i="8"/>
  <c r="AE205" i="8"/>
  <c r="Y205" i="8"/>
  <c r="V205" i="8"/>
  <c r="U205" i="8"/>
  <c r="T205" i="8"/>
  <c r="R205" i="8"/>
  <c r="S205" i="8" s="1"/>
  <c r="M205" i="8"/>
  <c r="O205" i="8" s="1"/>
  <c r="L205" i="8"/>
  <c r="H205" i="8"/>
  <c r="N205" i="8" s="1"/>
  <c r="G205" i="8"/>
  <c r="AH204" i="8"/>
  <c r="AG204" i="8"/>
  <c r="AE204" i="8"/>
  <c r="Y204" i="8"/>
  <c r="V204" i="8"/>
  <c r="U204" i="8"/>
  <c r="T204" i="8"/>
  <c r="R204" i="8"/>
  <c r="S204" i="8" s="1"/>
  <c r="M204" i="8"/>
  <c r="O204" i="8" s="1"/>
  <c r="L204" i="8"/>
  <c r="H204" i="8"/>
  <c r="N204" i="8" s="1"/>
  <c r="G204" i="8"/>
  <c r="AH203" i="8"/>
  <c r="AG203" i="8"/>
  <c r="AE203" i="8"/>
  <c r="Y203" i="8"/>
  <c r="V203" i="8"/>
  <c r="U203" i="8"/>
  <c r="T203" i="8"/>
  <c r="R203" i="8"/>
  <c r="S203" i="8" s="1"/>
  <c r="M203" i="8"/>
  <c r="O203" i="8" s="1"/>
  <c r="L203" i="8"/>
  <c r="H203" i="8"/>
  <c r="N203" i="8" s="1"/>
  <c r="G203" i="8"/>
  <c r="AH202" i="8"/>
  <c r="AG202" i="8"/>
  <c r="AE202" i="8"/>
  <c r="Y202" i="8"/>
  <c r="V202" i="8"/>
  <c r="U202" i="8"/>
  <c r="T202" i="8"/>
  <c r="R202" i="8"/>
  <c r="S202" i="8" s="1"/>
  <c r="M202" i="8"/>
  <c r="O202" i="8" s="1"/>
  <c r="L202" i="8"/>
  <c r="H202" i="8"/>
  <c r="N202" i="8" s="1"/>
  <c r="G202" i="8"/>
  <c r="AH201" i="8"/>
  <c r="AG201" i="8"/>
  <c r="AE201" i="8"/>
  <c r="Y201" i="8"/>
  <c r="V201" i="8"/>
  <c r="U201" i="8"/>
  <c r="T201" i="8"/>
  <c r="R201" i="8"/>
  <c r="S201" i="8" s="1"/>
  <c r="M201" i="8"/>
  <c r="O201" i="8" s="1"/>
  <c r="L201" i="8"/>
  <c r="H201" i="8"/>
  <c r="N201" i="8" s="1"/>
  <c r="G201" i="8"/>
  <c r="AH200" i="8"/>
  <c r="AG200" i="8"/>
  <c r="AE200" i="8"/>
  <c r="Y200" i="8"/>
  <c r="V200" i="8"/>
  <c r="U200" i="8"/>
  <c r="T200" i="8"/>
  <c r="R200" i="8"/>
  <c r="S200" i="8" s="1"/>
  <c r="N200" i="8"/>
  <c r="M200" i="8"/>
  <c r="O200" i="8" s="1"/>
  <c r="L200" i="8"/>
  <c r="H200" i="8"/>
  <c r="G200" i="8"/>
  <c r="AH199" i="8"/>
  <c r="AG199" i="8"/>
  <c r="AE199" i="8"/>
  <c r="Y199" i="8"/>
  <c r="V199" i="8"/>
  <c r="U199" i="8"/>
  <c r="T199" i="8"/>
  <c r="R199" i="8"/>
  <c r="S199" i="8" s="1"/>
  <c r="N199" i="8"/>
  <c r="M199" i="8"/>
  <c r="O199" i="8" s="1"/>
  <c r="L199" i="8"/>
  <c r="H199" i="8"/>
  <c r="G199" i="8"/>
  <c r="AH198" i="8"/>
  <c r="AG198" i="8"/>
  <c r="AE198" i="8"/>
  <c r="Y198" i="8"/>
  <c r="V198" i="8"/>
  <c r="U198" i="8"/>
  <c r="T198" i="8"/>
  <c r="R198" i="8"/>
  <c r="S198" i="8" s="1"/>
  <c r="N198" i="8"/>
  <c r="M198" i="8"/>
  <c r="O198" i="8" s="1"/>
  <c r="L198" i="8"/>
  <c r="H198" i="8"/>
  <c r="G198" i="8"/>
  <c r="AH197" i="8"/>
  <c r="AG197" i="8"/>
  <c r="AE197" i="8"/>
  <c r="Y197" i="8"/>
  <c r="V197" i="8"/>
  <c r="U197" i="8"/>
  <c r="T197" i="8"/>
  <c r="R197" i="8"/>
  <c r="S197" i="8" s="1"/>
  <c r="N197" i="8"/>
  <c r="M197" i="8"/>
  <c r="O197" i="8" s="1"/>
  <c r="L197" i="8"/>
  <c r="H197" i="8"/>
  <c r="G197" i="8"/>
  <c r="AH196" i="8"/>
  <c r="AG196" i="8"/>
  <c r="AE196" i="8"/>
  <c r="Y196" i="8"/>
  <c r="V196" i="8"/>
  <c r="U196" i="8"/>
  <c r="T196" i="8"/>
  <c r="R196" i="8"/>
  <c r="S196" i="8" s="1"/>
  <c r="N196" i="8"/>
  <c r="M196" i="8"/>
  <c r="O196" i="8" s="1"/>
  <c r="L196" i="8"/>
  <c r="H196" i="8"/>
  <c r="G196" i="8"/>
  <c r="AH195" i="8"/>
  <c r="AG195" i="8"/>
  <c r="AE195" i="8"/>
  <c r="Y195" i="8"/>
  <c r="V195" i="8"/>
  <c r="U195" i="8"/>
  <c r="T195" i="8"/>
  <c r="R195" i="8"/>
  <c r="S195" i="8" s="1"/>
  <c r="N195" i="8"/>
  <c r="M195" i="8"/>
  <c r="O195" i="8" s="1"/>
  <c r="L195" i="8"/>
  <c r="H195" i="8"/>
  <c r="G195" i="8"/>
  <c r="AH194" i="8"/>
  <c r="AG194" i="8"/>
  <c r="AE194" i="8"/>
  <c r="Y194" i="8"/>
  <c r="V194" i="8"/>
  <c r="U194" i="8"/>
  <c r="T194" i="8"/>
  <c r="R194" i="8"/>
  <c r="S194" i="8" s="1"/>
  <c r="N194" i="8"/>
  <c r="M194" i="8"/>
  <c r="O194" i="8" s="1"/>
  <c r="L194" i="8"/>
  <c r="H194" i="8"/>
  <c r="G194" i="8"/>
  <c r="AH193" i="8"/>
  <c r="AG193" i="8"/>
  <c r="AE193" i="8"/>
  <c r="Y193" i="8"/>
  <c r="V193" i="8"/>
  <c r="U193" i="8"/>
  <c r="T193" i="8"/>
  <c r="R193" i="8"/>
  <c r="S193" i="8" s="1"/>
  <c r="N193" i="8"/>
  <c r="M193" i="8"/>
  <c r="O193" i="8" s="1"/>
  <c r="L193" i="8"/>
  <c r="H193" i="8"/>
  <c r="G193" i="8"/>
  <c r="AH192" i="8"/>
  <c r="AG192" i="8"/>
  <c r="AE192" i="8"/>
  <c r="Y192" i="8"/>
  <c r="V192" i="8"/>
  <c r="U192" i="8"/>
  <c r="T192" i="8"/>
  <c r="R192" i="8"/>
  <c r="S192" i="8" s="1"/>
  <c r="N192" i="8"/>
  <c r="M192" i="8"/>
  <c r="O192" i="8" s="1"/>
  <c r="L192" i="8"/>
  <c r="H192" i="8"/>
  <c r="G192" i="8"/>
  <c r="AH191" i="8"/>
  <c r="AG191" i="8"/>
  <c r="AE191" i="8"/>
  <c r="Y191" i="8"/>
  <c r="V191" i="8"/>
  <c r="W191" i="8" s="1"/>
  <c r="AA191" i="8" s="1"/>
  <c r="U191" i="8"/>
  <c r="T191" i="8"/>
  <c r="P191" i="8"/>
  <c r="Z191" i="8" s="1"/>
  <c r="X191" i="8" s="1"/>
  <c r="AB191" i="8" s="1"/>
  <c r="M191" i="8"/>
  <c r="L191" i="8"/>
  <c r="H191" i="8"/>
  <c r="R191" i="8" s="1"/>
  <c r="G191" i="8"/>
  <c r="AH190" i="8"/>
  <c r="AG190" i="8"/>
  <c r="AF190" i="8"/>
  <c r="AE190" i="8"/>
  <c r="AC190" i="8"/>
  <c r="AD190" i="8" s="1"/>
  <c r="Y190" i="8"/>
  <c r="V190" i="8"/>
  <c r="U190" i="8"/>
  <c r="W190" i="8" s="1"/>
  <c r="AA190" i="8" s="1"/>
  <c r="T190" i="8"/>
  <c r="P190" i="8"/>
  <c r="Z190" i="8" s="1"/>
  <c r="X190" i="8" s="1"/>
  <c r="AB190" i="8" s="1"/>
  <c r="O190" i="8"/>
  <c r="M190" i="8"/>
  <c r="L190" i="8"/>
  <c r="N190" i="8" s="1"/>
  <c r="H190" i="8"/>
  <c r="R190" i="8" s="1"/>
  <c r="G190" i="8"/>
  <c r="AH189" i="8"/>
  <c r="AG189" i="8"/>
  <c r="AE189" i="8"/>
  <c r="Y189" i="8"/>
  <c r="AC189" i="8" s="1"/>
  <c r="AD189" i="8" s="1"/>
  <c r="V189" i="8"/>
  <c r="U189" i="8"/>
  <c r="W189" i="8" s="1"/>
  <c r="T189" i="8"/>
  <c r="P189" i="8"/>
  <c r="Z189" i="8" s="1"/>
  <c r="O189" i="8"/>
  <c r="M189" i="8"/>
  <c r="L189" i="8"/>
  <c r="N189" i="8" s="1"/>
  <c r="H189" i="8"/>
  <c r="R189" i="8" s="1"/>
  <c r="G189" i="8"/>
  <c r="AH188" i="8"/>
  <c r="AG188" i="8"/>
  <c r="AE188" i="8"/>
  <c r="Y188" i="8"/>
  <c r="AC188" i="8" s="1"/>
  <c r="AD188" i="8" s="1"/>
  <c r="V188" i="8"/>
  <c r="U188" i="8"/>
  <c r="W188" i="8" s="1"/>
  <c r="T188" i="8"/>
  <c r="P188" i="8"/>
  <c r="Z188" i="8" s="1"/>
  <c r="O188" i="8"/>
  <c r="M188" i="8"/>
  <c r="L188" i="8"/>
  <c r="N188" i="8" s="1"/>
  <c r="H188" i="8"/>
  <c r="R188" i="8" s="1"/>
  <c r="G188" i="8"/>
  <c r="AH187" i="8"/>
  <c r="AG187" i="8"/>
  <c r="AE187" i="8"/>
  <c r="Y187" i="8"/>
  <c r="AC187" i="8" s="1"/>
  <c r="AD187" i="8" s="1"/>
  <c r="V187" i="8"/>
  <c r="U187" i="8"/>
  <c r="W187" i="8" s="1"/>
  <c r="T187" i="8"/>
  <c r="P187" i="8"/>
  <c r="Z187" i="8" s="1"/>
  <c r="O187" i="8"/>
  <c r="M187" i="8"/>
  <c r="L187" i="8"/>
  <c r="N187" i="8" s="1"/>
  <c r="H187" i="8"/>
  <c r="R187" i="8" s="1"/>
  <c r="G187" i="8"/>
  <c r="AH186" i="8"/>
  <c r="AG186" i="8"/>
  <c r="AE186" i="8"/>
  <c r="Y186" i="8"/>
  <c r="AC186" i="8" s="1"/>
  <c r="AD186" i="8" s="1"/>
  <c r="V186" i="8"/>
  <c r="U186" i="8"/>
  <c r="W186" i="8" s="1"/>
  <c r="T186" i="8"/>
  <c r="P186" i="8"/>
  <c r="Z186" i="8" s="1"/>
  <c r="O186" i="8"/>
  <c r="M186" i="8"/>
  <c r="L186" i="8"/>
  <c r="N186" i="8" s="1"/>
  <c r="H186" i="8"/>
  <c r="R186" i="8" s="1"/>
  <c r="G186" i="8"/>
  <c r="AH185" i="8"/>
  <c r="AG185" i="8"/>
  <c r="AE185" i="8"/>
  <c r="Y185" i="8"/>
  <c r="AC185" i="8" s="1"/>
  <c r="AD185" i="8" s="1"/>
  <c r="V185" i="8"/>
  <c r="U185" i="8"/>
  <c r="W185" i="8" s="1"/>
  <c r="T185" i="8"/>
  <c r="P185" i="8"/>
  <c r="Z185" i="8" s="1"/>
  <c r="O185" i="8"/>
  <c r="M185" i="8"/>
  <c r="L185" i="8"/>
  <c r="N185" i="8" s="1"/>
  <c r="H185" i="8"/>
  <c r="R185" i="8" s="1"/>
  <c r="G185" i="8"/>
  <c r="AH184" i="8"/>
  <c r="AG184" i="8"/>
  <c r="AE184" i="8"/>
  <c r="Y184" i="8"/>
  <c r="AC184" i="8" s="1"/>
  <c r="AD184" i="8" s="1"/>
  <c r="V184" i="8"/>
  <c r="U184" i="8"/>
  <c r="W184" i="8" s="1"/>
  <c r="T184" i="8"/>
  <c r="P184" i="8"/>
  <c r="Z184" i="8" s="1"/>
  <c r="O184" i="8"/>
  <c r="M184" i="8"/>
  <c r="L184" i="8"/>
  <c r="N184" i="8" s="1"/>
  <c r="H184" i="8"/>
  <c r="R184" i="8" s="1"/>
  <c r="G184" i="8"/>
  <c r="AH183" i="8"/>
  <c r="AG183" i="8"/>
  <c r="AE183" i="8"/>
  <c r="Y183" i="8"/>
  <c r="AC183" i="8" s="1"/>
  <c r="AD183" i="8" s="1"/>
  <c r="V183" i="8"/>
  <c r="U183" i="8"/>
  <c r="W183" i="8" s="1"/>
  <c r="T183" i="8"/>
  <c r="P183" i="8"/>
  <c r="Z183" i="8" s="1"/>
  <c r="O183" i="8"/>
  <c r="M183" i="8"/>
  <c r="L183" i="8"/>
  <c r="N183" i="8" s="1"/>
  <c r="H183" i="8"/>
  <c r="R183" i="8" s="1"/>
  <c r="G183" i="8"/>
  <c r="AH182" i="8"/>
  <c r="AG182" i="8"/>
  <c r="AE182" i="8"/>
  <c r="Y182" i="8"/>
  <c r="AC182" i="8" s="1"/>
  <c r="AD182" i="8" s="1"/>
  <c r="V182" i="8"/>
  <c r="U182" i="8"/>
  <c r="W182" i="8" s="1"/>
  <c r="T182" i="8"/>
  <c r="P182" i="8"/>
  <c r="Z182" i="8" s="1"/>
  <c r="O182" i="8"/>
  <c r="M182" i="8"/>
  <c r="L182" i="8"/>
  <c r="N182" i="8" s="1"/>
  <c r="H182" i="8"/>
  <c r="R182" i="8" s="1"/>
  <c r="G182" i="8"/>
  <c r="AH181" i="8"/>
  <c r="AG181" i="8"/>
  <c r="AE181" i="8"/>
  <c r="Y181" i="8"/>
  <c r="AC181" i="8" s="1"/>
  <c r="AD181" i="8" s="1"/>
  <c r="V181" i="8"/>
  <c r="U181" i="8"/>
  <c r="W181" i="8" s="1"/>
  <c r="T181" i="8"/>
  <c r="P181" i="8"/>
  <c r="Z181" i="8" s="1"/>
  <c r="O181" i="8"/>
  <c r="M181" i="8"/>
  <c r="L181" i="8"/>
  <c r="N181" i="8" s="1"/>
  <c r="H181" i="8"/>
  <c r="R181" i="8" s="1"/>
  <c r="G181" i="8"/>
  <c r="AH180" i="8"/>
  <c r="AG180" i="8"/>
  <c r="AE180" i="8"/>
  <c r="Y180" i="8"/>
  <c r="AC180" i="8" s="1"/>
  <c r="AD180" i="8" s="1"/>
  <c r="V180" i="8"/>
  <c r="U180" i="8"/>
  <c r="W180" i="8" s="1"/>
  <c r="T180" i="8"/>
  <c r="P180" i="8"/>
  <c r="Z180" i="8" s="1"/>
  <c r="O180" i="8"/>
  <c r="M180" i="8"/>
  <c r="L180" i="8"/>
  <c r="N180" i="8" s="1"/>
  <c r="H180" i="8"/>
  <c r="R180" i="8" s="1"/>
  <c r="G180" i="8"/>
  <c r="AH179" i="8"/>
  <c r="AG179" i="8"/>
  <c r="AE179" i="8"/>
  <c r="Y179" i="8"/>
  <c r="AC179" i="8" s="1"/>
  <c r="V179" i="8"/>
  <c r="U179" i="8"/>
  <c r="W179" i="8" s="1"/>
  <c r="T179" i="8"/>
  <c r="P179" i="8"/>
  <c r="Z179" i="8" s="1"/>
  <c r="O179" i="8"/>
  <c r="M179" i="8"/>
  <c r="L179" i="8"/>
  <c r="N179" i="8" s="1"/>
  <c r="H179" i="8"/>
  <c r="R179" i="8" s="1"/>
  <c r="G179" i="8"/>
  <c r="AH178" i="8"/>
  <c r="AG178" i="8"/>
  <c r="AE178" i="8"/>
  <c r="Y178" i="8"/>
  <c r="AC178" i="8" s="1"/>
  <c r="AD178" i="8" s="1"/>
  <c r="V178" i="8"/>
  <c r="U178" i="8"/>
  <c r="W178" i="8" s="1"/>
  <c r="T178" i="8"/>
  <c r="P178" i="8"/>
  <c r="Z178" i="8" s="1"/>
  <c r="O178" i="8"/>
  <c r="M178" i="8"/>
  <c r="L178" i="8"/>
  <c r="N178" i="8" s="1"/>
  <c r="H178" i="8"/>
  <c r="R178" i="8" s="1"/>
  <c r="G178" i="8"/>
  <c r="AH177" i="8"/>
  <c r="AG177" i="8"/>
  <c r="AE177" i="8"/>
  <c r="Y177" i="8"/>
  <c r="AC177" i="8" s="1"/>
  <c r="V177" i="8"/>
  <c r="U177" i="8"/>
  <c r="W177" i="8" s="1"/>
  <c r="AA177" i="8" s="1"/>
  <c r="T177" i="8"/>
  <c r="P177" i="8"/>
  <c r="Z177" i="8" s="1"/>
  <c r="X177" i="8" s="1"/>
  <c r="AB177" i="8" s="1"/>
  <c r="M177" i="8"/>
  <c r="L177" i="8"/>
  <c r="H177" i="8"/>
  <c r="R177" i="8" s="1"/>
  <c r="G177" i="8"/>
  <c r="AH176" i="8"/>
  <c r="AG176" i="8"/>
  <c r="AE176" i="8"/>
  <c r="Y176" i="8"/>
  <c r="X176" i="8" s="1"/>
  <c r="AB176" i="8" s="1"/>
  <c r="V176" i="8"/>
  <c r="U176" i="8"/>
  <c r="W176" i="8" s="1"/>
  <c r="AA176" i="8" s="1"/>
  <c r="T176" i="8"/>
  <c r="P176" i="8"/>
  <c r="Z176" i="8" s="1"/>
  <c r="O176" i="8"/>
  <c r="M176" i="8"/>
  <c r="L176" i="8"/>
  <c r="N176" i="8" s="1"/>
  <c r="H176" i="8"/>
  <c r="R176" i="8" s="1"/>
  <c r="G176" i="8"/>
  <c r="AH175" i="8"/>
  <c r="AG175" i="8"/>
  <c r="AE175" i="8"/>
  <c r="Y175" i="8"/>
  <c r="X175" i="8"/>
  <c r="AB175" i="8" s="1"/>
  <c r="V175" i="8"/>
  <c r="U175" i="8"/>
  <c r="W175" i="8" s="1"/>
  <c r="AA175" i="8" s="1"/>
  <c r="T175" i="8"/>
  <c r="P175" i="8"/>
  <c r="Z175" i="8" s="1"/>
  <c r="M175" i="8"/>
  <c r="L175" i="8"/>
  <c r="H175" i="8"/>
  <c r="R175" i="8" s="1"/>
  <c r="G175" i="8"/>
  <c r="AH174" i="8"/>
  <c r="AG174" i="8"/>
  <c r="AE174" i="8"/>
  <c r="AC174" i="8"/>
  <c r="Z174" i="8"/>
  <c r="X174" i="8" s="1"/>
  <c r="AB174" i="8" s="1"/>
  <c r="Y174" i="8"/>
  <c r="V174" i="8"/>
  <c r="U174" i="8"/>
  <c r="W174" i="8" s="1"/>
  <c r="AA174" i="8" s="1"/>
  <c r="T174" i="8"/>
  <c r="R174" i="8"/>
  <c r="P174" i="8"/>
  <c r="O174" i="8"/>
  <c r="M174" i="8"/>
  <c r="L174" i="8"/>
  <c r="N174" i="8" s="1"/>
  <c r="H174" i="8"/>
  <c r="G174" i="8"/>
  <c r="AH173" i="8"/>
  <c r="AG173" i="8"/>
  <c r="AE173" i="8"/>
  <c r="Y173" i="8"/>
  <c r="AC173" i="8" s="1"/>
  <c r="V173" i="8"/>
  <c r="U173" i="8"/>
  <c r="W173" i="8" s="1"/>
  <c r="T173" i="8"/>
  <c r="P173" i="8"/>
  <c r="Z173" i="8" s="1"/>
  <c r="M173" i="8"/>
  <c r="L173" i="8"/>
  <c r="H173" i="8"/>
  <c r="R173" i="8" s="1"/>
  <c r="G173" i="8"/>
  <c r="AH172" i="8"/>
  <c r="AG172" i="8"/>
  <c r="AF172" i="8"/>
  <c r="AE172" i="8"/>
  <c r="AC172" i="8"/>
  <c r="Z172" i="8"/>
  <c r="Y172" i="8"/>
  <c r="X172" i="8"/>
  <c r="AB172" i="8" s="1"/>
  <c r="V172" i="8"/>
  <c r="U172" i="8"/>
  <c r="W172" i="8" s="1"/>
  <c r="AA172" i="8" s="1"/>
  <c r="T172" i="8"/>
  <c r="P172" i="8"/>
  <c r="O172" i="8"/>
  <c r="M172" i="8"/>
  <c r="L172" i="8"/>
  <c r="N172" i="8" s="1"/>
  <c r="H172" i="8"/>
  <c r="R172" i="8" s="1"/>
  <c r="S172" i="8" s="1"/>
  <c r="G172" i="8"/>
  <c r="AH171" i="8"/>
  <c r="AG171" i="8"/>
  <c r="AE171" i="8"/>
  <c r="Y171" i="8"/>
  <c r="AC171" i="8" s="1"/>
  <c r="V171" i="8"/>
  <c r="U171" i="8"/>
  <c r="W171" i="8" s="1"/>
  <c r="T171" i="8"/>
  <c r="P171" i="8"/>
  <c r="Z171" i="8" s="1"/>
  <c r="M171" i="8"/>
  <c r="L171" i="8"/>
  <c r="H171" i="8"/>
  <c r="R171" i="8" s="1"/>
  <c r="G171" i="8"/>
  <c r="AH170" i="8"/>
  <c r="AG170" i="8"/>
  <c r="AF170" i="8"/>
  <c r="AE170" i="8"/>
  <c r="AC170" i="8"/>
  <c r="AD170" i="8" s="1"/>
  <c r="Z170" i="8"/>
  <c r="Y170" i="8"/>
  <c r="X170" i="8"/>
  <c r="AB170" i="8" s="1"/>
  <c r="V170" i="8"/>
  <c r="U170" i="8"/>
  <c r="W170" i="8" s="1"/>
  <c r="AA170" i="8" s="1"/>
  <c r="T170" i="8"/>
  <c r="R170" i="8"/>
  <c r="S170" i="8" s="1"/>
  <c r="P170" i="8"/>
  <c r="O170" i="8"/>
  <c r="M170" i="8"/>
  <c r="L170" i="8"/>
  <c r="N170" i="8" s="1"/>
  <c r="H170" i="8"/>
  <c r="G170" i="8"/>
  <c r="AH169" i="8"/>
  <c r="AG169" i="8"/>
  <c r="AE169" i="8"/>
  <c r="Y169" i="8"/>
  <c r="V169" i="8"/>
  <c r="U169" i="8"/>
  <c r="W169" i="8" s="1"/>
  <c r="T169" i="8"/>
  <c r="P169" i="8"/>
  <c r="Z169" i="8" s="1"/>
  <c r="M169" i="8"/>
  <c r="L169" i="8"/>
  <c r="H169" i="8"/>
  <c r="O169" i="8" s="1"/>
  <c r="G169" i="8"/>
  <c r="AH168" i="8"/>
  <c r="AG168" i="8"/>
  <c r="AE168" i="8"/>
  <c r="AC168" i="8"/>
  <c r="AD168" i="8" s="1"/>
  <c r="Z168" i="8"/>
  <c r="X168" i="8" s="1"/>
  <c r="AB168" i="8" s="1"/>
  <c r="Y168" i="8"/>
  <c r="V168" i="8"/>
  <c r="U168" i="8"/>
  <c r="W168" i="8" s="1"/>
  <c r="AA168" i="8" s="1"/>
  <c r="T168" i="8"/>
  <c r="R168" i="8"/>
  <c r="S168" i="8" s="1"/>
  <c r="P168" i="8"/>
  <c r="O168" i="8"/>
  <c r="M168" i="8"/>
  <c r="L168" i="8"/>
  <c r="N168" i="8" s="1"/>
  <c r="H168" i="8"/>
  <c r="G168" i="8"/>
  <c r="AH167" i="8"/>
  <c r="AG167" i="8"/>
  <c r="AE167" i="8"/>
  <c r="Y167" i="8"/>
  <c r="X167" i="8" s="1"/>
  <c r="AB167" i="8" s="1"/>
  <c r="V167" i="8"/>
  <c r="U167" i="8"/>
  <c r="W167" i="8" s="1"/>
  <c r="T167" i="8"/>
  <c r="P167" i="8"/>
  <c r="Z167" i="8" s="1"/>
  <c r="M167" i="8"/>
  <c r="L167" i="8"/>
  <c r="H167" i="8"/>
  <c r="R167" i="8" s="1"/>
  <c r="G167" i="8"/>
  <c r="AH166" i="8"/>
  <c r="AG166" i="8"/>
  <c r="AE166" i="8"/>
  <c r="AC166" i="8"/>
  <c r="AD166" i="8" s="1"/>
  <c r="Z166" i="8"/>
  <c r="X166" i="8" s="1"/>
  <c r="AB166" i="8" s="1"/>
  <c r="Y166" i="8"/>
  <c r="V166" i="8"/>
  <c r="U166" i="8"/>
  <c r="W166" i="8" s="1"/>
  <c r="AA166" i="8" s="1"/>
  <c r="T166" i="8"/>
  <c r="R166" i="8"/>
  <c r="P166" i="8"/>
  <c r="O166" i="8"/>
  <c r="M166" i="8"/>
  <c r="L166" i="8"/>
  <c r="N166" i="8" s="1"/>
  <c r="H166" i="8"/>
  <c r="G166" i="8"/>
  <c r="AH165" i="8"/>
  <c r="AG165" i="8"/>
  <c r="AE165" i="8"/>
  <c r="Y165" i="8"/>
  <c r="AC165" i="8" s="1"/>
  <c r="V165" i="8"/>
  <c r="U165" i="8"/>
  <c r="W165" i="8" s="1"/>
  <c r="T165" i="8"/>
  <c r="P165" i="8"/>
  <c r="Z165" i="8" s="1"/>
  <c r="M165" i="8"/>
  <c r="L165" i="8"/>
  <c r="H165" i="8"/>
  <c r="R165" i="8" s="1"/>
  <c r="G165" i="8"/>
  <c r="AH164" i="8"/>
  <c r="AG164" i="8"/>
  <c r="AF164" i="8"/>
  <c r="AE164" i="8"/>
  <c r="AC164" i="8"/>
  <c r="AD164" i="8" s="1"/>
  <c r="Z164" i="8"/>
  <c r="Y164" i="8"/>
  <c r="X164" i="8"/>
  <c r="AB164" i="8" s="1"/>
  <c r="V164" i="8"/>
  <c r="U164" i="8"/>
  <c r="W164" i="8" s="1"/>
  <c r="AA164" i="8" s="1"/>
  <c r="T164" i="8"/>
  <c r="P164" i="8"/>
  <c r="O164" i="8"/>
  <c r="M164" i="8"/>
  <c r="L164" i="8"/>
  <c r="N164" i="8" s="1"/>
  <c r="H164" i="8"/>
  <c r="R164" i="8" s="1"/>
  <c r="S164" i="8" s="1"/>
  <c r="G164" i="8"/>
  <c r="AH163" i="8"/>
  <c r="AG163" i="8"/>
  <c r="AE163" i="8"/>
  <c r="Y163" i="8"/>
  <c r="AC163" i="8" s="1"/>
  <c r="V163" i="8"/>
  <c r="U163" i="8"/>
  <c r="W163" i="8" s="1"/>
  <c r="T163" i="8"/>
  <c r="P163" i="8"/>
  <c r="Z163" i="8" s="1"/>
  <c r="M163" i="8"/>
  <c r="L163" i="8"/>
  <c r="H163" i="8"/>
  <c r="R163" i="8" s="1"/>
  <c r="G163" i="8"/>
  <c r="AH162" i="8"/>
  <c r="AG162" i="8"/>
  <c r="AF162" i="8"/>
  <c r="AE162" i="8"/>
  <c r="AC162" i="8"/>
  <c r="AD162" i="8" s="1"/>
  <c r="Z162" i="8"/>
  <c r="Y162" i="8"/>
  <c r="X162" i="8"/>
  <c r="AB162" i="8" s="1"/>
  <c r="V162" i="8"/>
  <c r="U162" i="8"/>
  <c r="W162" i="8" s="1"/>
  <c r="AA162" i="8" s="1"/>
  <c r="T162" i="8"/>
  <c r="R162" i="8"/>
  <c r="S162" i="8" s="1"/>
  <c r="P162" i="8"/>
  <c r="O162" i="8"/>
  <c r="M162" i="8"/>
  <c r="L162" i="8"/>
  <c r="N162" i="8" s="1"/>
  <c r="H162" i="8"/>
  <c r="G162" i="8"/>
  <c r="AH161" i="8"/>
  <c r="AG161" i="8"/>
  <c r="AE161" i="8"/>
  <c r="Y161" i="8"/>
  <c r="V161" i="8"/>
  <c r="U161" i="8"/>
  <c r="W161" i="8" s="1"/>
  <c r="T161" i="8"/>
  <c r="P161" i="8"/>
  <c r="Z161" i="8" s="1"/>
  <c r="M161" i="8"/>
  <c r="L161" i="8"/>
  <c r="H161" i="8"/>
  <c r="O161" i="8" s="1"/>
  <c r="G161" i="8"/>
  <c r="AH160" i="8"/>
  <c r="AG160" i="8"/>
  <c r="AE160" i="8"/>
  <c r="AC160" i="8"/>
  <c r="AD160" i="8" s="1"/>
  <c r="Z160" i="8"/>
  <c r="X160" i="8" s="1"/>
  <c r="AB160" i="8" s="1"/>
  <c r="Y160" i="8"/>
  <c r="V160" i="8"/>
  <c r="U160" i="8"/>
  <c r="W160" i="8" s="1"/>
  <c r="AA160" i="8" s="1"/>
  <c r="T160" i="8"/>
  <c r="R160" i="8"/>
  <c r="S160" i="8" s="1"/>
  <c r="P160" i="8"/>
  <c r="O160" i="8"/>
  <c r="M160" i="8"/>
  <c r="L160" i="8"/>
  <c r="N160" i="8" s="1"/>
  <c r="H160" i="8"/>
  <c r="G160" i="8"/>
  <c r="AH159" i="8"/>
  <c r="AG159" i="8"/>
  <c r="AE159" i="8"/>
  <c r="Y159" i="8"/>
  <c r="X159" i="8" s="1"/>
  <c r="AB159" i="8" s="1"/>
  <c r="V159" i="8"/>
  <c r="U159" i="8"/>
  <c r="W159" i="8" s="1"/>
  <c r="T159" i="8"/>
  <c r="P159" i="8"/>
  <c r="Z159" i="8" s="1"/>
  <c r="M159" i="8"/>
  <c r="L159" i="8"/>
  <c r="H159" i="8"/>
  <c r="R159" i="8" s="1"/>
  <c r="G159" i="8"/>
  <c r="AH158" i="8"/>
  <c r="AG158" i="8"/>
  <c r="AE158" i="8"/>
  <c r="AC158" i="8"/>
  <c r="AD158" i="8" s="1"/>
  <c r="Z158" i="8"/>
  <c r="X158" i="8" s="1"/>
  <c r="AB158" i="8" s="1"/>
  <c r="Y158" i="8"/>
  <c r="V158" i="8"/>
  <c r="U158" i="8"/>
  <c r="W158" i="8" s="1"/>
  <c r="AA158" i="8" s="1"/>
  <c r="T158" i="8"/>
  <c r="R158" i="8"/>
  <c r="P158" i="8"/>
  <c r="O158" i="8"/>
  <c r="M158" i="8"/>
  <c r="L158" i="8"/>
  <c r="N158" i="8" s="1"/>
  <c r="H158" i="8"/>
  <c r="G158" i="8"/>
  <c r="AH157" i="8"/>
  <c r="AG157" i="8"/>
  <c r="AE157" i="8"/>
  <c r="Y157" i="8"/>
  <c r="AC157" i="8" s="1"/>
  <c r="V157" i="8"/>
  <c r="U157" i="8"/>
  <c r="W157" i="8" s="1"/>
  <c r="T157" i="8"/>
  <c r="P157" i="8"/>
  <c r="Z157" i="8" s="1"/>
  <c r="M157" i="8"/>
  <c r="L157" i="8"/>
  <c r="H157" i="8"/>
  <c r="R157" i="8" s="1"/>
  <c r="G157" i="8"/>
  <c r="AH156" i="8"/>
  <c r="AG156" i="8"/>
  <c r="AF156" i="8"/>
  <c r="AE156" i="8"/>
  <c r="AC156" i="8"/>
  <c r="AD156" i="8" s="1"/>
  <c r="Z156" i="8"/>
  <c r="Y156" i="8"/>
  <c r="X156" i="8"/>
  <c r="AB156" i="8" s="1"/>
  <c r="V156" i="8"/>
  <c r="U156" i="8"/>
  <c r="W156" i="8" s="1"/>
  <c r="AA156" i="8" s="1"/>
  <c r="T156" i="8"/>
  <c r="P156" i="8"/>
  <c r="O156" i="8"/>
  <c r="M156" i="8"/>
  <c r="L156" i="8"/>
  <c r="N156" i="8" s="1"/>
  <c r="H156" i="8"/>
  <c r="R156" i="8" s="1"/>
  <c r="S156" i="8" s="1"/>
  <c r="G156" i="8"/>
  <c r="AH155" i="8"/>
  <c r="AG155" i="8"/>
  <c r="AE155" i="8"/>
  <c r="Y155" i="8"/>
  <c r="AC155" i="8" s="1"/>
  <c r="V155" i="8"/>
  <c r="U155" i="8"/>
  <c r="W155" i="8" s="1"/>
  <c r="T155" i="8"/>
  <c r="P155" i="8"/>
  <c r="Z155" i="8" s="1"/>
  <c r="M155" i="8"/>
  <c r="L155" i="8"/>
  <c r="H155" i="8"/>
  <c r="R155" i="8" s="1"/>
  <c r="G155" i="8"/>
  <c r="AH154" i="8"/>
  <c r="AG154" i="8"/>
  <c r="AF154" i="8"/>
  <c r="AE154" i="8"/>
  <c r="AC154" i="8"/>
  <c r="AD154" i="8" s="1"/>
  <c r="Z154" i="8"/>
  <c r="Y154" i="8"/>
  <c r="X154" i="8"/>
  <c r="AB154" i="8" s="1"/>
  <c r="V154" i="8"/>
  <c r="U154" i="8"/>
  <c r="W154" i="8" s="1"/>
  <c r="AA154" i="8" s="1"/>
  <c r="T154" i="8"/>
  <c r="R154" i="8"/>
  <c r="S154" i="8" s="1"/>
  <c r="P154" i="8"/>
  <c r="O154" i="8"/>
  <c r="M154" i="8"/>
  <c r="L154" i="8"/>
  <c r="N154" i="8" s="1"/>
  <c r="H154" i="8"/>
  <c r="G154" i="8"/>
  <c r="AH153" i="8"/>
  <c r="AG153" i="8"/>
  <c r="AE153" i="8"/>
  <c r="Y153" i="8"/>
  <c r="V153" i="8"/>
  <c r="U153" i="8"/>
  <c r="W153" i="8" s="1"/>
  <c r="T153" i="8"/>
  <c r="P153" i="8"/>
  <c r="Z153" i="8" s="1"/>
  <c r="M153" i="8"/>
  <c r="L153" i="8"/>
  <c r="H153" i="8"/>
  <c r="O153" i="8" s="1"/>
  <c r="G153" i="8"/>
  <c r="AH152" i="8"/>
  <c r="AG152" i="8"/>
  <c r="AE152" i="8"/>
  <c r="AC152" i="8"/>
  <c r="AD152" i="8" s="1"/>
  <c r="Z152" i="8"/>
  <c r="X152" i="8" s="1"/>
  <c r="AB152" i="8" s="1"/>
  <c r="Y152" i="8"/>
  <c r="V152" i="8"/>
  <c r="U152" i="8"/>
  <c r="W152" i="8" s="1"/>
  <c r="AA152" i="8" s="1"/>
  <c r="T152" i="8"/>
  <c r="R152" i="8"/>
  <c r="S152" i="8" s="1"/>
  <c r="P152" i="8"/>
  <c r="O152" i="8"/>
  <c r="M152" i="8"/>
  <c r="L152" i="8"/>
  <c r="N152" i="8" s="1"/>
  <c r="H152" i="8"/>
  <c r="G152" i="8"/>
  <c r="AH151" i="8"/>
  <c r="AG151" i="8"/>
  <c r="AE151" i="8"/>
  <c r="Y151" i="8"/>
  <c r="X151" i="8" s="1"/>
  <c r="AB151" i="8" s="1"/>
  <c r="V151" i="8"/>
  <c r="U151" i="8"/>
  <c r="W151" i="8" s="1"/>
  <c r="T151" i="8"/>
  <c r="P151" i="8"/>
  <c r="Z151" i="8" s="1"/>
  <c r="M151" i="8"/>
  <c r="L151" i="8"/>
  <c r="H151" i="8"/>
  <c r="R151" i="8" s="1"/>
  <c r="G151" i="8"/>
  <c r="AH150" i="8"/>
  <c r="AG150" i="8"/>
  <c r="AF150" i="8"/>
  <c r="AE150" i="8"/>
  <c r="AC150" i="8"/>
  <c r="AD150" i="8" s="1"/>
  <c r="Z150" i="8"/>
  <c r="X150" i="8" s="1"/>
  <c r="AB150" i="8" s="1"/>
  <c r="Y150" i="8"/>
  <c r="V150" i="8"/>
  <c r="U150" i="8"/>
  <c r="W150" i="8" s="1"/>
  <c r="AA150" i="8" s="1"/>
  <c r="T150" i="8"/>
  <c r="R150" i="8"/>
  <c r="P150" i="8"/>
  <c r="O150" i="8"/>
  <c r="M150" i="8"/>
  <c r="L150" i="8"/>
  <c r="N150" i="8" s="1"/>
  <c r="H150" i="8"/>
  <c r="G150" i="8"/>
  <c r="AH149" i="8"/>
  <c r="AG149" i="8"/>
  <c r="AE149" i="8"/>
  <c r="Y149" i="8"/>
  <c r="AC149" i="8" s="1"/>
  <c r="V149" i="8"/>
  <c r="U149" i="8"/>
  <c r="W149" i="8" s="1"/>
  <c r="T149" i="8"/>
  <c r="P149" i="8"/>
  <c r="Z149" i="8" s="1"/>
  <c r="M149" i="8"/>
  <c r="L149" i="8"/>
  <c r="H149" i="8"/>
  <c r="R149" i="8" s="1"/>
  <c r="G149" i="8"/>
  <c r="AH148" i="8"/>
  <c r="AG148" i="8"/>
  <c r="AF148" i="8"/>
  <c r="AE148" i="8"/>
  <c r="AC148" i="8"/>
  <c r="Z148" i="8"/>
  <c r="Y148" i="8"/>
  <c r="X148" i="8"/>
  <c r="AB148" i="8" s="1"/>
  <c r="V148" i="8"/>
  <c r="U148" i="8"/>
  <c r="W148" i="8" s="1"/>
  <c r="AA148" i="8" s="1"/>
  <c r="T148" i="8"/>
  <c r="P148" i="8"/>
  <c r="O148" i="8"/>
  <c r="M148" i="8"/>
  <c r="L148" i="8"/>
  <c r="N148" i="8" s="1"/>
  <c r="H148" i="8"/>
  <c r="R148" i="8" s="1"/>
  <c r="S148" i="8" s="1"/>
  <c r="G148" i="8"/>
  <c r="AH147" i="8"/>
  <c r="AG147" i="8"/>
  <c r="AE147" i="8"/>
  <c r="Y147" i="8"/>
  <c r="AC147" i="8" s="1"/>
  <c r="V147" i="8"/>
  <c r="U147" i="8"/>
  <c r="W147" i="8" s="1"/>
  <c r="T147" i="8"/>
  <c r="P147" i="8"/>
  <c r="Z147" i="8" s="1"/>
  <c r="M147" i="8"/>
  <c r="L147" i="8"/>
  <c r="H147" i="8"/>
  <c r="R147" i="8" s="1"/>
  <c r="G147" i="8"/>
  <c r="AH146" i="8"/>
  <c r="AG146" i="8"/>
  <c r="AF146" i="8"/>
  <c r="AE146" i="8"/>
  <c r="AC146" i="8"/>
  <c r="AD146" i="8" s="1"/>
  <c r="Z146" i="8"/>
  <c r="Y146" i="8"/>
  <c r="X146" i="8"/>
  <c r="AB146" i="8" s="1"/>
  <c r="V146" i="8"/>
  <c r="U146" i="8"/>
  <c r="W146" i="8" s="1"/>
  <c r="AA146" i="8" s="1"/>
  <c r="T146" i="8"/>
  <c r="R146" i="8"/>
  <c r="S146" i="8" s="1"/>
  <c r="P146" i="8"/>
  <c r="O146" i="8"/>
  <c r="M146" i="8"/>
  <c r="L146" i="8"/>
  <c r="N146" i="8" s="1"/>
  <c r="H146" i="8"/>
  <c r="G146" i="8"/>
  <c r="AH145" i="8"/>
  <c r="AG145" i="8"/>
  <c r="AE145" i="8"/>
  <c r="Y145" i="8"/>
  <c r="X145" i="8" s="1"/>
  <c r="AB145" i="8" s="1"/>
  <c r="V145" i="8"/>
  <c r="U145" i="8"/>
  <c r="W145" i="8" s="1"/>
  <c r="T145" i="8"/>
  <c r="P145" i="8"/>
  <c r="Z145" i="8" s="1"/>
  <c r="M145" i="8"/>
  <c r="L145" i="8"/>
  <c r="H145" i="8"/>
  <c r="O145" i="8" s="1"/>
  <c r="G145" i="8"/>
  <c r="AH144" i="8"/>
  <c r="AG144" i="8"/>
  <c r="AE144" i="8"/>
  <c r="AC144" i="8"/>
  <c r="AD144" i="8" s="1"/>
  <c r="Z144" i="8"/>
  <c r="X144" i="8" s="1"/>
  <c r="AB144" i="8" s="1"/>
  <c r="Y144" i="8"/>
  <c r="V144" i="8"/>
  <c r="U144" i="8"/>
  <c r="W144" i="8" s="1"/>
  <c r="AA144" i="8" s="1"/>
  <c r="T144" i="8"/>
  <c r="R144" i="8"/>
  <c r="S144" i="8" s="1"/>
  <c r="P144" i="8"/>
  <c r="O144" i="8"/>
  <c r="M144" i="8"/>
  <c r="L144" i="8"/>
  <c r="N144" i="8" s="1"/>
  <c r="H144" i="8"/>
  <c r="G144" i="8"/>
  <c r="AH143" i="8"/>
  <c r="AG143" i="8"/>
  <c r="AE143" i="8"/>
  <c r="Y143" i="8"/>
  <c r="V143" i="8"/>
  <c r="U143" i="8"/>
  <c r="W143" i="8" s="1"/>
  <c r="T143" i="8"/>
  <c r="P143" i="8"/>
  <c r="Z143" i="8" s="1"/>
  <c r="M143" i="8"/>
  <c r="L143" i="8"/>
  <c r="H143" i="8"/>
  <c r="R143" i="8" s="1"/>
  <c r="G143" i="8"/>
  <c r="AH142" i="8"/>
  <c r="AG142" i="8"/>
  <c r="AF142" i="8"/>
  <c r="AE142" i="8"/>
  <c r="AC142" i="8"/>
  <c r="AD142" i="8" s="1"/>
  <c r="Z142" i="8"/>
  <c r="X142" i="8" s="1"/>
  <c r="AB142" i="8" s="1"/>
  <c r="Y142" i="8"/>
  <c r="V142" i="8"/>
  <c r="U142" i="8"/>
  <c r="W142" i="8" s="1"/>
  <c r="AA142" i="8" s="1"/>
  <c r="T142" i="8"/>
  <c r="R142" i="8"/>
  <c r="P142" i="8"/>
  <c r="O142" i="8"/>
  <c r="M142" i="8"/>
  <c r="L142" i="8"/>
  <c r="N142" i="8" s="1"/>
  <c r="H142" i="8"/>
  <c r="G142" i="8"/>
  <c r="AH141" i="8"/>
  <c r="AG141" i="8"/>
  <c r="AE141" i="8"/>
  <c r="Y141" i="8"/>
  <c r="AC141" i="8" s="1"/>
  <c r="V141" i="8"/>
  <c r="U141" i="8"/>
  <c r="W141" i="8" s="1"/>
  <c r="T141" i="8"/>
  <c r="P141" i="8"/>
  <c r="Z141" i="8" s="1"/>
  <c r="M141" i="8"/>
  <c r="L141" i="8"/>
  <c r="H141" i="8"/>
  <c r="R141" i="8" s="1"/>
  <c r="G141" i="8"/>
  <c r="AH140" i="8"/>
  <c r="AG140" i="8"/>
  <c r="AF140" i="8"/>
  <c r="AE140" i="8"/>
  <c r="AC140" i="8"/>
  <c r="AD140" i="8" s="1"/>
  <c r="Z140" i="8"/>
  <c r="Y140" i="8"/>
  <c r="X140" i="8"/>
  <c r="AB140" i="8" s="1"/>
  <c r="V140" i="8"/>
  <c r="U140" i="8"/>
  <c r="W140" i="8" s="1"/>
  <c r="AA140" i="8" s="1"/>
  <c r="T140" i="8"/>
  <c r="P140" i="8"/>
  <c r="O140" i="8"/>
  <c r="M140" i="8"/>
  <c r="L140" i="8"/>
  <c r="N140" i="8" s="1"/>
  <c r="H140" i="8"/>
  <c r="R140" i="8" s="1"/>
  <c r="S140" i="8" s="1"/>
  <c r="G140" i="8"/>
  <c r="AH139" i="8"/>
  <c r="AG139" i="8"/>
  <c r="AE139" i="8"/>
  <c r="Y139" i="8"/>
  <c r="AC139" i="8" s="1"/>
  <c r="V139" i="8"/>
  <c r="U139" i="8"/>
  <c r="W139" i="8" s="1"/>
  <c r="T139" i="8"/>
  <c r="P139" i="8"/>
  <c r="Z139" i="8" s="1"/>
  <c r="M139" i="8"/>
  <c r="L139" i="8"/>
  <c r="H139" i="8"/>
  <c r="R139" i="8" s="1"/>
  <c r="G139" i="8"/>
  <c r="AH138" i="8"/>
  <c r="AG138" i="8"/>
  <c r="AF138" i="8"/>
  <c r="AE138" i="8"/>
  <c r="AC138" i="8"/>
  <c r="AD138" i="8" s="1"/>
  <c r="Z138" i="8"/>
  <c r="Y138" i="8"/>
  <c r="X138" i="8"/>
  <c r="AB138" i="8" s="1"/>
  <c r="V138" i="8"/>
  <c r="U138" i="8"/>
  <c r="W138" i="8" s="1"/>
  <c r="AA138" i="8" s="1"/>
  <c r="T138" i="8"/>
  <c r="R138" i="8"/>
  <c r="S138" i="8" s="1"/>
  <c r="P138" i="8"/>
  <c r="O138" i="8"/>
  <c r="M138" i="8"/>
  <c r="L138" i="8"/>
  <c r="N138" i="8" s="1"/>
  <c r="H138" i="8"/>
  <c r="G138" i="8"/>
  <c r="AH137" i="8"/>
  <c r="AG137" i="8"/>
  <c r="AE137" i="8"/>
  <c r="Y137" i="8"/>
  <c r="V137" i="8"/>
  <c r="U137" i="8"/>
  <c r="W137" i="8" s="1"/>
  <c r="T137" i="8"/>
  <c r="P137" i="8"/>
  <c r="Z137" i="8" s="1"/>
  <c r="M137" i="8"/>
  <c r="L137" i="8"/>
  <c r="H137" i="8"/>
  <c r="O137" i="8" s="1"/>
  <c r="G137" i="8"/>
  <c r="AH136" i="8"/>
  <c r="AG136" i="8"/>
  <c r="AE136" i="8"/>
  <c r="AC136" i="8"/>
  <c r="AD136" i="8" s="1"/>
  <c r="Z136" i="8"/>
  <c r="X136" i="8" s="1"/>
  <c r="AB136" i="8" s="1"/>
  <c r="Y136" i="8"/>
  <c r="V136" i="8"/>
  <c r="U136" i="8"/>
  <c r="W136" i="8" s="1"/>
  <c r="AA136" i="8" s="1"/>
  <c r="T136" i="8"/>
  <c r="R136" i="8"/>
  <c r="S136" i="8" s="1"/>
  <c r="P136" i="8"/>
  <c r="O136" i="8"/>
  <c r="M136" i="8"/>
  <c r="L136" i="8"/>
  <c r="N136" i="8" s="1"/>
  <c r="H136" i="8"/>
  <c r="G136" i="8"/>
  <c r="AH135" i="8"/>
  <c r="AG135" i="8"/>
  <c r="AE135" i="8"/>
  <c r="Y135" i="8"/>
  <c r="X135" i="8" s="1"/>
  <c r="AB135" i="8" s="1"/>
  <c r="V135" i="8"/>
  <c r="U135" i="8"/>
  <c r="W135" i="8" s="1"/>
  <c r="T135" i="8"/>
  <c r="P135" i="8"/>
  <c r="Z135" i="8" s="1"/>
  <c r="M135" i="8"/>
  <c r="L135" i="8"/>
  <c r="H135" i="8"/>
  <c r="R135" i="8" s="1"/>
  <c r="G135" i="8"/>
  <c r="AH134" i="8"/>
  <c r="AG134" i="8"/>
  <c r="AF134" i="8"/>
  <c r="AE134" i="8"/>
  <c r="AC134" i="8"/>
  <c r="Z134" i="8"/>
  <c r="X134" i="8" s="1"/>
  <c r="AB134" i="8" s="1"/>
  <c r="Y134" i="8"/>
  <c r="V134" i="8"/>
  <c r="U134" i="8"/>
  <c r="W134" i="8" s="1"/>
  <c r="AA134" i="8" s="1"/>
  <c r="T134" i="8"/>
  <c r="R134" i="8"/>
  <c r="P134" i="8"/>
  <c r="O134" i="8"/>
  <c r="M134" i="8"/>
  <c r="L134" i="8"/>
  <c r="N134" i="8" s="1"/>
  <c r="H134" i="8"/>
  <c r="G134" i="8"/>
  <c r="AH133" i="8"/>
  <c r="AG133" i="8"/>
  <c r="AE133" i="8"/>
  <c r="Y133" i="8"/>
  <c r="AC133" i="8" s="1"/>
  <c r="V133" i="8"/>
  <c r="U133" i="8"/>
  <c r="W133" i="8" s="1"/>
  <c r="T133" i="8"/>
  <c r="P133" i="8"/>
  <c r="Z133" i="8" s="1"/>
  <c r="M133" i="8"/>
  <c r="L133" i="8"/>
  <c r="H133" i="8"/>
  <c r="R133" i="8" s="1"/>
  <c r="G133" i="8"/>
  <c r="AH132" i="8"/>
  <c r="AG132" i="8"/>
  <c r="AF132" i="8"/>
  <c r="AE132" i="8"/>
  <c r="AC132" i="8"/>
  <c r="Z132" i="8"/>
  <c r="Y132" i="8"/>
  <c r="X132" i="8"/>
  <c r="AB132" i="8" s="1"/>
  <c r="V132" i="8"/>
  <c r="U132" i="8"/>
  <c r="W132" i="8" s="1"/>
  <c r="AA132" i="8" s="1"/>
  <c r="T132" i="8"/>
  <c r="P132" i="8"/>
  <c r="O132" i="8"/>
  <c r="M132" i="8"/>
  <c r="L132" i="8"/>
  <c r="N132" i="8" s="1"/>
  <c r="H132" i="8"/>
  <c r="R132" i="8" s="1"/>
  <c r="S132" i="8" s="1"/>
  <c r="G132" i="8"/>
  <c r="AH131" i="8"/>
  <c r="AG131" i="8"/>
  <c r="AE131" i="8"/>
  <c r="Y131" i="8"/>
  <c r="AC131" i="8" s="1"/>
  <c r="V131" i="8"/>
  <c r="U131" i="8"/>
  <c r="W131" i="8" s="1"/>
  <c r="T131" i="8"/>
  <c r="P131" i="8"/>
  <c r="Z131" i="8" s="1"/>
  <c r="M131" i="8"/>
  <c r="L131" i="8"/>
  <c r="H131" i="8"/>
  <c r="R131" i="8" s="1"/>
  <c r="G131" i="8"/>
  <c r="AH130" i="8"/>
  <c r="AG130" i="8"/>
  <c r="AF130" i="8"/>
  <c r="AE130" i="8"/>
  <c r="AC130" i="8"/>
  <c r="AD130" i="8" s="1"/>
  <c r="Z130" i="8"/>
  <c r="Y130" i="8"/>
  <c r="X130" i="8"/>
  <c r="AB130" i="8" s="1"/>
  <c r="V130" i="8"/>
  <c r="U130" i="8"/>
  <c r="W130" i="8" s="1"/>
  <c r="AA130" i="8" s="1"/>
  <c r="T130" i="8"/>
  <c r="R130" i="8"/>
  <c r="S130" i="8" s="1"/>
  <c r="P130" i="8"/>
  <c r="O130" i="8"/>
  <c r="M130" i="8"/>
  <c r="L130" i="8"/>
  <c r="N130" i="8" s="1"/>
  <c r="H130" i="8"/>
  <c r="G130" i="8"/>
  <c r="AH129" i="8"/>
  <c r="AG129" i="8"/>
  <c r="AE129" i="8"/>
  <c r="Y129" i="8"/>
  <c r="X129" i="8" s="1"/>
  <c r="AB129" i="8" s="1"/>
  <c r="V129" i="8"/>
  <c r="U129" i="8"/>
  <c r="W129" i="8" s="1"/>
  <c r="T129" i="8"/>
  <c r="P129" i="8"/>
  <c r="Z129" i="8" s="1"/>
  <c r="M129" i="8"/>
  <c r="L129" i="8"/>
  <c r="H129" i="8"/>
  <c r="O129" i="8" s="1"/>
  <c r="G129" i="8"/>
  <c r="AH128" i="8"/>
  <c r="AG128" i="8"/>
  <c r="AE128" i="8"/>
  <c r="AC128" i="8"/>
  <c r="AD128" i="8" s="1"/>
  <c r="Z128" i="8"/>
  <c r="X128" i="8" s="1"/>
  <c r="AB128" i="8" s="1"/>
  <c r="Y128" i="8"/>
  <c r="V128" i="8"/>
  <c r="U128" i="8"/>
  <c r="W128" i="8" s="1"/>
  <c r="AA128" i="8" s="1"/>
  <c r="T128" i="8"/>
  <c r="R128" i="8"/>
  <c r="S128" i="8" s="1"/>
  <c r="P128" i="8"/>
  <c r="O128" i="8"/>
  <c r="M128" i="8"/>
  <c r="L128" i="8"/>
  <c r="N128" i="8" s="1"/>
  <c r="H128" i="8"/>
  <c r="G128" i="8"/>
  <c r="AH127" i="8"/>
  <c r="AG127" i="8"/>
  <c r="AE127" i="8"/>
  <c r="Y127" i="8"/>
  <c r="V127" i="8"/>
  <c r="U127" i="8"/>
  <c r="W127" i="8" s="1"/>
  <c r="T127" i="8"/>
  <c r="P127" i="8"/>
  <c r="Z127" i="8" s="1"/>
  <c r="M127" i="8"/>
  <c r="L127" i="8"/>
  <c r="H127" i="8"/>
  <c r="R127" i="8" s="1"/>
  <c r="G127" i="8"/>
  <c r="AH126" i="8"/>
  <c r="AG126" i="8"/>
  <c r="AE126" i="8"/>
  <c r="AC126" i="8"/>
  <c r="AD126" i="8" s="1"/>
  <c r="Z126" i="8"/>
  <c r="X126" i="8" s="1"/>
  <c r="AB126" i="8" s="1"/>
  <c r="Y126" i="8"/>
  <c r="V126" i="8"/>
  <c r="U126" i="8"/>
  <c r="W126" i="8" s="1"/>
  <c r="AA126" i="8" s="1"/>
  <c r="T126" i="8"/>
  <c r="R126" i="8"/>
  <c r="P126" i="8"/>
  <c r="O126" i="8"/>
  <c r="M126" i="8"/>
  <c r="L126" i="8"/>
  <c r="N126" i="8" s="1"/>
  <c r="H126" i="8"/>
  <c r="G126" i="8"/>
  <c r="AH125" i="8"/>
  <c r="AG125" i="8"/>
  <c r="AE125" i="8"/>
  <c r="Y125" i="8"/>
  <c r="AC125" i="8" s="1"/>
  <c r="V125" i="8"/>
  <c r="U125" i="8"/>
  <c r="W125" i="8" s="1"/>
  <c r="T125" i="8"/>
  <c r="P125" i="8"/>
  <c r="Z125" i="8" s="1"/>
  <c r="M125" i="8"/>
  <c r="L125" i="8"/>
  <c r="H125" i="8"/>
  <c r="R125" i="8" s="1"/>
  <c r="G125" i="8"/>
  <c r="AH124" i="8"/>
  <c r="AG124" i="8"/>
  <c r="AF124" i="8"/>
  <c r="AE124" i="8"/>
  <c r="AC124" i="8"/>
  <c r="Z124" i="8"/>
  <c r="Y124" i="8"/>
  <c r="X124" i="8"/>
  <c r="AB124" i="8" s="1"/>
  <c r="V124" i="8"/>
  <c r="U124" i="8"/>
  <c r="W124" i="8" s="1"/>
  <c r="AA124" i="8" s="1"/>
  <c r="T124" i="8"/>
  <c r="P124" i="8"/>
  <c r="O124" i="8"/>
  <c r="M124" i="8"/>
  <c r="L124" i="8"/>
  <c r="N124" i="8" s="1"/>
  <c r="H124" i="8"/>
  <c r="R124" i="8" s="1"/>
  <c r="S124" i="8" s="1"/>
  <c r="G124" i="8"/>
  <c r="AH123" i="8"/>
  <c r="AG123" i="8"/>
  <c r="AE123" i="8"/>
  <c r="Y123" i="8"/>
  <c r="AC123" i="8" s="1"/>
  <c r="V123" i="8"/>
  <c r="U123" i="8"/>
  <c r="W123" i="8" s="1"/>
  <c r="T123" i="8"/>
  <c r="P123" i="8"/>
  <c r="Z123" i="8" s="1"/>
  <c r="M123" i="8"/>
  <c r="L123" i="8"/>
  <c r="H123" i="8"/>
  <c r="R123" i="8" s="1"/>
  <c r="G123" i="8"/>
  <c r="AH122" i="8"/>
  <c r="AG122" i="8"/>
  <c r="AF122" i="8"/>
  <c r="AE122" i="8"/>
  <c r="AC122" i="8"/>
  <c r="AD122" i="8" s="1"/>
  <c r="Z122" i="8"/>
  <c r="Y122" i="8"/>
  <c r="X122" i="8"/>
  <c r="AB122" i="8" s="1"/>
  <c r="V122" i="8"/>
  <c r="U122" i="8"/>
  <c r="W122" i="8" s="1"/>
  <c r="AA122" i="8" s="1"/>
  <c r="T122" i="8"/>
  <c r="R122" i="8"/>
  <c r="S122" i="8" s="1"/>
  <c r="P122" i="8"/>
  <c r="O122" i="8"/>
  <c r="M122" i="8"/>
  <c r="L122" i="8"/>
  <c r="N122" i="8" s="1"/>
  <c r="H122" i="8"/>
  <c r="G122" i="8"/>
  <c r="AH121" i="8"/>
  <c r="AG121" i="8"/>
  <c r="AE121" i="8"/>
  <c r="Y121" i="8"/>
  <c r="V121" i="8"/>
  <c r="U121" i="8"/>
  <c r="W121" i="8" s="1"/>
  <c r="T121" i="8"/>
  <c r="P121" i="8"/>
  <c r="Z121" i="8" s="1"/>
  <c r="M121" i="8"/>
  <c r="L121" i="8"/>
  <c r="H121" i="8"/>
  <c r="O121" i="8" s="1"/>
  <c r="G121" i="8"/>
  <c r="AH120" i="8"/>
  <c r="AG120" i="8"/>
  <c r="AE120" i="8"/>
  <c r="AC120" i="8"/>
  <c r="AD120" i="8" s="1"/>
  <c r="Z120" i="8"/>
  <c r="X120" i="8" s="1"/>
  <c r="AB120" i="8" s="1"/>
  <c r="Y120" i="8"/>
  <c r="V120" i="8"/>
  <c r="U120" i="8"/>
  <c r="W120" i="8" s="1"/>
  <c r="AA120" i="8" s="1"/>
  <c r="T120" i="8"/>
  <c r="R120" i="8"/>
  <c r="S120" i="8" s="1"/>
  <c r="P120" i="8"/>
  <c r="O120" i="8"/>
  <c r="M120" i="8"/>
  <c r="L120" i="8"/>
  <c r="N120" i="8" s="1"/>
  <c r="H120" i="8"/>
  <c r="G120" i="8"/>
  <c r="AH119" i="8"/>
  <c r="AG119" i="8"/>
  <c r="AE119" i="8"/>
  <c r="Y119" i="8"/>
  <c r="V119" i="8"/>
  <c r="U119" i="8"/>
  <c r="W119" i="8" s="1"/>
  <c r="T119" i="8"/>
  <c r="P119" i="8"/>
  <c r="Z119" i="8" s="1"/>
  <c r="M119" i="8"/>
  <c r="L119" i="8"/>
  <c r="H119" i="8"/>
  <c r="R119" i="8" s="1"/>
  <c r="G119" i="8"/>
  <c r="AH118" i="8"/>
  <c r="AG118" i="8"/>
  <c r="AE118" i="8"/>
  <c r="AC118" i="8"/>
  <c r="AD118" i="8" s="1"/>
  <c r="Z118" i="8"/>
  <c r="X118" i="8" s="1"/>
  <c r="AB118" i="8" s="1"/>
  <c r="Y118" i="8"/>
  <c r="V118" i="8"/>
  <c r="U118" i="8"/>
  <c r="W118" i="8" s="1"/>
  <c r="AA118" i="8" s="1"/>
  <c r="T118" i="8"/>
  <c r="R118" i="8"/>
  <c r="P118" i="8"/>
  <c r="O118" i="8"/>
  <c r="M118" i="8"/>
  <c r="L118" i="8"/>
  <c r="N118" i="8" s="1"/>
  <c r="H118" i="8"/>
  <c r="G118" i="8"/>
  <c r="AH117" i="8"/>
  <c r="AG117" i="8"/>
  <c r="AE117" i="8"/>
  <c r="Y117" i="8"/>
  <c r="AC117" i="8" s="1"/>
  <c r="V117" i="8"/>
  <c r="U117" i="8"/>
  <c r="W117" i="8" s="1"/>
  <c r="T117" i="8"/>
  <c r="P117" i="8"/>
  <c r="Z117" i="8" s="1"/>
  <c r="M117" i="8"/>
  <c r="L117" i="8"/>
  <c r="H117" i="8"/>
  <c r="R117" i="8" s="1"/>
  <c r="G117" i="8"/>
  <c r="AH116" i="8"/>
  <c r="AG116" i="8"/>
  <c r="AF116" i="8"/>
  <c r="AE116" i="8"/>
  <c r="AC116" i="8"/>
  <c r="AD116" i="8" s="1"/>
  <c r="Z116" i="8"/>
  <c r="Y116" i="8"/>
  <c r="X116" i="8"/>
  <c r="AB116" i="8" s="1"/>
  <c r="V116" i="8"/>
  <c r="U116" i="8"/>
  <c r="W116" i="8" s="1"/>
  <c r="AA116" i="8" s="1"/>
  <c r="T116" i="8"/>
  <c r="P116" i="8"/>
  <c r="O116" i="8"/>
  <c r="M116" i="8"/>
  <c r="L116" i="8"/>
  <c r="N116" i="8" s="1"/>
  <c r="H116" i="8"/>
  <c r="R116" i="8" s="1"/>
  <c r="S116" i="8" s="1"/>
  <c r="G116" i="8"/>
  <c r="AH115" i="8"/>
  <c r="AG115" i="8"/>
  <c r="AE115" i="8"/>
  <c r="Y115" i="8"/>
  <c r="AC115" i="8" s="1"/>
  <c r="V115" i="8"/>
  <c r="U115" i="8"/>
  <c r="W115" i="8" s="1"/>
  <c r="T115" i="8"/>
  <c r="P115" i="8"/>
  <c r="Z115" i="8" s="1"/>
  <c r="M115" i="8"/>
  <c r="L115" i="8"/>
  <c r="H115" i="8"/>
  <c r="R115" i="8" s="1"/>
  <c r="G115" i="8"/>
  <c r="AH114" i="8"/>
  <c r="AG114" i="8"/>
  <c r="AF114" i="8"/>
  <c r="AE114" i="8"/>
  <c r="AC114" i="8"/>
  <c r="AD114" i="8" s="1"/>
  <c r="Z114" i="8"/>
  <c r="Y114" i="8"/>
  <c r="X114" i="8"/>
  <c r="AB114" i="8" s="1"/>
  <c r="V114" i="8"/>
  <c r="U114" i="8"/>
  <c r="W114" i="8" s="1"/>
  <c r="AA114" i="8" s="1"/>
  <c r="T114" i="8"/>
  <c r="R114" i="8"/>
  <c r="S114" i="8" s="1"/>
  <c r="P114" i="8"/>
  <c r="O114" i="8"/>
  <c r="M114" i="8"/>
  <c r="L114" i="8"/>
  <c r="N114" i="8" s="1"/>
  <c r="H114" i="8"/>
  <c r="G114" i="8"/>
  <c r="AH113" i="8"/>
  <c r="AG113" i="8"/>
  <c r="AE113" i="8"/>
  <c r="Y113" i="8"/>
  <c r="V113" i="8"/>
  <c r="U113" i="8"/>
  <c r="W113" i="8" s="1"/>
  <c r="T113" i="8"/>
  <c r="P113" i="8"/>
  <c r="Z113" i="8" s="1"/>
  <c r="M113" i="8"/>
  <c r="L113" i="8"/>
  <c r="H113" i="8"/>
  <c r="O113" i="8" s="1"/>
  <c r="G113" i="8"/>
  <c r="AH112" i="8"/>
  <c r="AG112" i="8"/>
  <c r="AE112" i="8"/>
  <c r="AC112" i="8"/>
  <c r="AD112" i="8" s="1"/>
  <c r="Z112" i="8"/>
  <c r="X112" i="8" s="1"/>
  <c r="AB112" i="8" s="1"/>
  <c r="Y112" i="8"/>
  <c r="V112" i="8"/>
  <c r="U112" i="8"/>
  <c r="W112" i="8" s="1"/>
  <c r="AA112" i="8" s="1"/>
  <c r="T112" i="8"/>
  <c r="R112" i="8"/>
  <c r="S112" i="8" s="1"/>
  <c r="P112" i="8"/>
  <c r="O112" i="8"/>
  <c r="M112" i="8"/>
  <c r="L112" i="8"/>
  <c r="N112" i="8" s="1"/>
  <c r="H112" i="8"/>
  <c r="G112" i="8"/>
  <c r="AH111" i="8"/>
  <c r="AG111" i="8"/>
  <c r="AE111" i="8"/>
  <c r="Y111" i="8"/>
  <c r="V111" i="8"/>
  <c r="U111" i="8"/>
  <c r="W111" i="8" s="1"/>
  <c r="T111" i="8"/>
  <c r="P111" i="8"/>
  <c r="Z111" i="8" s="1"/>
  <c r="M111" i="8"/>
  <c r="L111" i="8"/>
  <c r="H111" i="8"/>
  <c r="R111" i="8" s="1"/>
  <c r="G111" i="8"/>
  <c r="AH110" i="8"/>
  <c r="AG110" i="8"/>
  <c r="AE110" i="8"/>
  <c r="AC110" i="8"/>
  <c r="AD110" i="8" s="1"/>
  <c r="Z110" i="8"/>
  <c r="X110" i="8" s="1"/>
  <c r="AB110" i="8" s="1"/>
  <c r="Y110" i="8"/>
  <c r="V110" i="8"/>
  <c r="U110" i="8"/>
  <c r="W110" i="8" s="1"/>
  <c r="AA110" i="8" s="1"/>
  <c r="T110" i="8"/>
  <c r="R110" i="8"/>
  <c r="P110" i="8"/>
  <c r="O110" i="8"/>
  <c r="M110" i="8"/>
  <c r="L110" i="8"/>
  <c r="N110" i="8" s="1"/>
  <c r="H110" i="8"/>
  <c r="G110" i="8"/>
  <c r="AH109" i="8"/>
  <c r="AG109" i="8"/>
  <c r="AE109" i="8"/>
  <c r="Y109" i="8"/>
  <c r="AC109" i="8" s="1"/>
  <c r="V109" i="8"/>
  <c r="U109" i="8"/>
  <c r="W109" i="8" s="1"/>
  <c r="T109" i="8"/>
  <c r="P109" i="8"/>
  <c r="Z109" i="8" s="1"/>
  <c r="M109" i="8"/>
  <c r="L109" i="8"/>
  <c r="H109" i="8"/>
  <c r="R109" i="8" s="1"/>
  <c r="G109" i="8"/>
  <c r="AH108" i="8"/>
  <c r="AG108" i="8"/>
  <c r="AF108" i="8"/>
  <c r="AE108" i="8"/>
  <c r="AC108" i="8"/>
  <c r="AD108" i="8" s="1"/>
  <c r="Z108" i="8"/>
  <c r="Y108" i="8"/>
  <c r="X108" i="8"/>
  <c r="AB108" i="8" s="1"/>
  <c r="V108" i="8"/>
  <c r="U108" i="8"/>
  <c r="W108" i="8" s="1"/>
  <c r="AA108" i="8" s="1"/>
  <c r="T108" i="8"/>
  <c r="P108" i="8"/>
  <c r="O108" i="8"/>
  <c r="M108" i="8"/>
  <c r="L108" i="8"/>
  <c r="N108" i="8" s="1"/>
  <c r="H108" i="8"/>
  <c r="R108" i="8" s="1"/>
  <c r="S108" i="8" s="1"/>
  <c r="G108" i="8"/>
  <c r="AH107" i="8"/>
  <c r="AG107" i="8"/>
  <c r="AE107" i="8"/>
  <c r="Y107" i="8"/>
  <c r="AC107" i="8" s="1"/>
  <c r="V107" i="8"/>
  <c r="U107" i="8"/>
  <c r="W107" i="8" s="1"/>
  <c r="T107" i="8"/>
  <c r="P107" i="8"/>
  <c r="Z107" i="8" s="1"/>
  <c r="M107" i="8"/>
  <c r="L107" i="8"/>
  <c r="H107" i="8"/>
  <c r="R107" i="8" s="1"/>
  <c r="G107" i="8"/>
  <c r="AH106" i="8"/>
  <c r="AG106" i="8"/>
  <c r="AF106" i="8"/>
  <c r="AE106" i="8"/>
  <c r="AC106" i="8"/>
  <c r="AD106" i="8" s="1"/>
  <c r="Z106" i="8"/>
  <c r="Y106" i="8"/>
  <c r="X106" i="8"/>
  <c r="AB106" i="8" s="1"/>
  <c r="V106" i="8"/>
  <c r="U106" i="8"/>
  <c r="W106" i="8" s="1"/>
  <c r="AA106" i="8" s="1"/>
  <c r="T106" i="8"/>
  <c r="R106" i="8"/>
  <c r="S106" i="8" s="1"/>
  <c r="P106" i="8"/>
  <c r="O106" i="8"/>
  <c r="M106" i="8"/>
  <c r="L106" i="8"/>
  <c r="N106" i="8" s="1"/>
  <c r="H106" i="8"/>
  <c r="G106" i="8"/>
  <c r="AH105" i="8"/>
  <c r="AG105" i="8"/>
  <c r="AE105" i="8"/>
  <c r="Y105" i="8"/>
  <c r="V105" i="8"/>
  <c r="U105" i="8"/>
  <c r="W105" i="8" s="1"/>
  <c r="T105" i="8"/>
  <c r="P105" i="8"/>
  <c r="Z105" i="8" s="1"/>
  <c r="M105" i="8"/>
  <c r="L105" i="8"/>
  <c r="H105" i="8"/>
  <c r="O105" i="8" s="1"/>
  <c r="G105" i="8"/>
  <c r="AH104" i="8"/>
  <c r="AG104" i="8"/>
  <c r="AE104" i="8"/>
  <c r="AC104" i="8"/>
  <c r="AD104" i="8" s="1"/>
  <c r="Z104" i="8"/>
  <c r="X104" i="8" s="1"/>
  <c r="AB104" i="8" s="1"/>
  <c r="Y104" i="8"/>
  <c r="V104" i="8"/>
  <c r="U104" i="8"/>
  <c r="W104" i="8" s="1"/>
  <c r="AA104" i="8" s="1"/>
  <c r="T104" i="8"/>
  <c r="R104" i="8"/>
  <c r="S104" i="8" s="1"/>
  <c r="P104" i="8"/>
  <c r="O104" i="8"/>
  <c r="M104" i="8"/>
  <c r="L104" i="8"/>
  <c r="N104" i="8" s="1"/>
  <c r="H104" i="8"/>
  <c r="G104" i="8"/>
  <c r="AH103" i="8"/>
  <c r="AG103" i="8"/>
  <c r="AE103" i="8"/>
  <c r="Y103" i="8"/>
  <c r="X103" i="8" s="1"/>
  <c r="AB103" i="8" s="1"/>
  <c r="V103" i="8"/>
  <c r="U103" i="8"/>
  <c r="W103" i="8" s="1"/>
  <c r="T103" i="8"/>
  <c r="P103" i="8"/>
  <c r="Z103" i="8" s="1"/>
  <c r="M103" i="8"/>
  <c r="L103" i="8"/>
  <c r="H103" i="8"/>
  <c r="R103" i="8" s="1"/>
  <c r="G103" i="8"/>
  <c r="AH102" i="8"/>
  <c r="AG102" i="8"/>
  <c r="AF102" i="8"/>
  <c r="AE102" i="8"/>
  <c r="AC102" i="8"/>
  <c r="AD102" i="8" s="1"/>
  <c r="Z102" i="8"/>
  <c r="X102" i="8" s="1"/>
  <c r="AB102" i="8" s="1"/>
  <c r="Y102" i="8"/>
  <c r="V102" i="8"/>
  <c r="U102" i="8"/>
  <c r="W102" i="8" s="1"/>
  <c r="AA102" i="8" s="1"/>
  <c r="T102" i="8"/>
  <c r="R102" i="8"/>
  <c r="P102" i="8"/>
  <c r="O102" i="8"/>
  <c r="M102" i="8"/>
  <c r="L102" i="8"/>
  <c r="N102" i="8" s="1"/>
  <c r="H102" i="8"/>
  <c r="G102" i="8"/>
  <c r="AH101" i="8"/>
  <c r="AG101" i="8"/>
  <c r="AE101" i="8"/>
  <c r="Y101" i="8"/>
  <c r="AC101" i="8" s="1"/>
  <c r="V101" i="8"/>
  <c r="U101" i="8"/>
  <c r="W101" i="8" s="1"/>
  <c r="T101" i="8"/>
  <c r="P101" i="8"/>
  <c r="Z101" i="8" s="1"/>
  <c r="M101" i="8"/>
  <c r="L101" i="8"/>
  <c r="H101" i="8"/>
  <c r="R101" i="8" s="1"/>
  <c r="G101" i="8"/>
  <c r="AH100" i="8"/>
  <c r="AG100" i="8"/>
  <c r="AF100" i="8"/>
  <c r="AE100" i="8"/>
  <c r="AC100" i="8"/>
  <c r="AD100" i="8" s="1"/>
  <c r="Z100" i="8"/>
  <c r="Y100" i="8"/>
  <c r="X100" i="8"/>
  <c r="AB100" i="8" s="1"/>
  <c r="V100" i="8"/>
  <c r="U100" i="8"/>
  <c r="W100" i="8" s="1"/>
  <c r="AA100" i="8" s="1"/>
  <c r="T100" i="8"/>
  <c r="P100" i="8"/>
  <c r="O100" i="8"/>
  <c r="M100" i="8"/>
  <c r="L100" i="8"/>
  <c r="N100" i="8" s="1"/>
  <c r="H100" i="8"/>
  <c r="R100" i="8" s="1"/>
  <c r="S100" i="8" s="1"/>
  <c r="G100" i="8"/>
  <c r="AH99" i="8"/>
  <c r="AG99" i="8"/>
  <c r="AE99" i="8"/>
  <c r="Y99" i="8"/>
  <c r="AC99" i="8" s="1"/>
  <c r="V99" i="8"/>
  <c r="U99" i="8"/>
  <c r="W99" i="8" s="1"/>
  <c r="T99" i="8"/>
  <c r="P99" i="8"/>
  <c r="Z99" i="8" s="1"/>
  <c r="M99" i="8"/>
  <c r="L99" i="8"/>
  <c r="H99" i="8"/>
  <c r="R99" i="8" s="1"/>
  <c r="G99" i="8"/>
  <c r="AH98" i="8"/>
  <c r="AG98" i="8"/>
  <c r="AF98" i="8"/>
  <c r="AE98" i="8"/>
  <c r="AC98" i="8"/>
  <c r="AD98" i="8" s="1"/>
  <c r="Z98" i="8"/>
  <c r="Y98" i="8"/>
  <c r="X98" i="8"/>
  <c r="AB98" i="8" s="1"/>
  <c r="V98" i="8"/>
  <c r="U98" i="8"/>
  <c r="W98" i="8" s="1"/>
  <c r="AA98" i="8" s="1"/>
  <c r="T98" i="8"/>
  <c r="R98" i="8"/>
  <c r="S98" i="8" s="1"/>
  <c r="P98" i="8"/>
  <c r="O98" i="8"/>
  <c r="M98" i="8"/>
  <c r="L98" i="8"/>
  <c r="N98" i="8" s="1"/>
  <c r="H98" i="8"/>
  <c r="G98" i="8"/>
  <c r="AH97" i="8"/>
  <c r="AG97" i="8"/>
  <c r="AE97" i="8"/>
  <c r="Y97" i="8"/>
  <c r="X97" i="8" s="1"/>
  <c r="AB97" i="8" s="1"/>
  <c r="V97" i="8"/>
  <c r="U97" i="8"/>
  <c r="W97" i="8" s="1"/>
  <c r="T97" i="8"/>
  <c r="P97" i="8"/>
  <c r="Z97" i="8" s="1"/>
  <c r="M97" i="8"/>
  <c r="L97" i="8"/>
  <c r="H97" i="8"/>
  <c r="O97" i="8" s="1"/>
  <c r="G97" i="8"/>
  <c r="AH96" i="8"/>
  <c r="AG96" i="8"/>
  <c r="AE96" i="8"/>
  <c r="AC96" i="8"/>
  <c r="AD96" i="8" s="1"/>
  <c r="Z96" i="8"/>
  <c r="X96" i="8" s="1"/>
  <c r="AB96" i="8" s="1"/>
  <c r="Y96" i="8"/>
  <c r="V96" i="8"/>
  <c r="U96" i="8"/>
  <c r="W96" i="8" s="1"/>
  <c r="AA96" i="8" s="1"/>
  <c r="T96" i="8"/>
  <c r="R96" i="8"/>
  <c r="S96" i="8" s="1"/>
  <c r="P96" i="8"/>
  <c r="O96" i="8"/>
  <c r="M96" i="8"/>
  <c r="L96" i="8"/>
  <c r="N96" i="8" s="1"/>
  <c r="H96" i="8"/>
  <c r="G96" i="8"/>
  <c r="AH95" i="8"/>
  <c r="AG95" i="8"/>
  <c r="AE95" i="8"/>
  <c r="Y95" i="8"/>
  <c r="V95" i="8"/>
  <c r="U95" i="8"/>
  <c r="W95" i="8" s="1"/>
  <c r="T95" i="8"/>
  <c r="P95" i="8"/>
  <c r="Z95" i="8" s="1"/>
  <c r="M95" i="8"/>
  <c r="L95" i="8"/>
  <c r="H95" i="8"/>
  <c r="R95" i="8" s="1"/>
  <c r="G95" i="8"/>
  <c r="AH94" i="8"/>
  <c r="AG94" i="8"/>
  <c r="AE94" i="8"/>
  <c r="AC94" i="8"/>
  <c r="Z94" i="8"/>
  <c r="X94" i="8" s="1"/>
  <c r="AB94" i="8" s="1"/>
  <c r="Y94" i="8"/>
  <c r="V94" i="8"/>
  <c r="U94" i="8"/>
  <c r="W94" i="8" s="1"/>
  <c r="AA94" i="8" s="1"/>
  <c r="T94" i="8"/>
  <c r="R94" i="8"/>
  <c r="P94" i="8"/>
  <c r="O94" i="8"/>
  <c r="M94" i="8"/>
  <c r="L94" i="8"/>
  <c r="N94" i="8" s="1"/>
  <c r="H94" i="8"/>
  <c r="G94" i="8"/>
  <c r="AH93" i="8"/>
  <c r="AG93" i="8"/>
  <c r="AE93" i="8"/>
  <c r="Y93" i="8"/>
  <c r="AC93" i="8" s="1"/>
  <c r="V93" i="8"/>
  <c r="U93" i="8"/>
  <c r="W93" i="8" s="1"/>
  <c r="T93" i="8"/>
  <c r="P93" i="8"/>
  <c r="Z93" i="8" s="1"/>
  <c r="M93" i="8"/>
  <c r="L93" i="8"/>
  <c r="H93" i="8"/>
  <c r="R93" i="8" s="1"/>
  <c r="G93" i="8"/>
  <c r="AH92" i="8"/>
  <c r="AG92" i="8"/>
  <c r="AF92" i="8"/>
  <c r="AE92" i="8"/>
  <c r="AC92" i="8"/>
  <c r="AD92" i="8" s="1"/>
  <c r="Z92" i="8"/>
  <c r="Y92" i="8"/>
  <c r="X92" i="8"/>
  <c r="AB92" i="8" s="1"/>
  <c r="V92" i="8"/>
  <c r="U92" i="8"/>
  <c r="W92" i="8" s="1"/>
  <c r="AA92" i="8" s="1"/>
  <c r="T92" i="8"/>
  <c r="P92" i="8"/>
  <c r="O92" i="8"/>
  <c r="M92" i="8"/>
  <c r="L92" i="8"/>
  <c r="N92" i="8" s="1"/>
  <c r="H92" i="8"/>
  <c r="R92" i="8" s="1"/>
  <c r="S92" i="8" s="1"/>
  <c r="G92" i="8"/>
  <c r="AH91" i="8"/>
  <c r="AG91" i="8"/>
  <c r="AE91" i="8"/>
  <c r="Y91" i="8"/>
  <c r="AC91" i="8" s="1"/>
  <c r="V91" i="8"/>
  <c r="U91" i="8"/>
  <c r="W91" i="8" s="1"/>
  <c r="AA91" i="8" s="1"/>
  <c r="T91" i="8"/>
  <c r="R91" i="8"/>
  <c r="P91" i="8"/>
  <c r="Z91" i="8" s="1"/>
  <c r="M91" i="8"/>
  <c r="L91" i="8"/>
  <c r="H91" i="8"/>
  <c r="O91" i="8" s="1"/>
  <c r="G91" i="8"/>
  <c r="AH90" i="8"/>
  <c r="AG90" i="8"/>
  <c r="AE90" i="8"/>
  <c r="Y90" i="8"/>
  <c r="W90" i="8"/>
  <c r="AA90" i="8" s="1"/>
  <c r="V90" i="8"/>
  <c r="U90" i="8"/>
  <c r="T90" i="8"/>
  <c r="P90" i="8"/>
  <c r="AC90" i="8" s="1"/>
  <c r="N90" i="8"/>
  <c r="M90" i="8"/>
  <c r="L90" i="8"/>
  <c r="H90" i="8"/>
  <c r="O90" i="8" s="1"/>
  <c r="G90" i="8"/>
  <c r="AH89" i="8"/>
  <c r="AG89" i="8"/>
  <c r="AE89" i="8"/>
  <c r="AC89" i="8"/>
  <c r="AD89" i="8" s="1"/>
  <c r="Y89" i="8"/>
  <c r="V89" i="8"/>
  <c r="U89" i="8"/>
  <c r="W89" i="8" s="1"/>
  <c r="AA89" i="8" s="1"/>
  <c r="T89" i="8"/>
  <c r="P89" i="8"/>
  <c r="Z89" i="8" s="1"/>
  <c r="M89" i="8"/>
  <c r="L89" i="8"/>
  <c r="H89" i="8"/>
  <c r="R89" i="8" s="1"/>
  <c r="G89" i="8"/>
  <c r="AH88" i="8"/>
  <c r="AG88" i="8"/>
  <c r="AE88" i="8"/>
  <c r="Y88" i="8"/>
  <c r="X88" i="8" s="1"/>
  <c r="AB88" i="8" s="1"/>
  <c r="W88" i="8"/>
  <c r="V88" i="8"/>
  <c r="U88" i="8"/>
  <c r="T88" i="8"/>
  <c r="P88" i="8"/>
  <c r="Z88" i="8" s="1"/>
  <c r="O88" i="8"/>
  <c r="N88" i="8"/>
  <c r="M88" i="8"/>
  <c r="L88" i="8"/>
  <c r="H88" i="8"/>
  <c r="R88" i="8" s="1"/>
  <c r="S88" i="8" s="1"/>
  <c r="G88" i="8"/>
  <c r="AH87" i="8"/>
  <c r="AG87" i="8"/>
  <c r="AE87" i="8"/>
  <c r="Y87" i="8"/>
  <c r="W87" i="8"/>
  <c r="AA87" i="8" s="1"/>
  <c r="V87" i="8"/>
  <c r="U87" i="8"/>
  <c r="T87" i="8"/>
  <c r="P87" i="8"/>
  <c r="Z87" i="8" s="1"/>
  <c r="O87" i="8"/>
  <c r="M87" i="8"/>
  <c r="L87" i="8"/>
  <c r="N87" i="8" s="1"/>
  <c r="H87" i="8"/>
  <c r="R87" i="8" s="1"/>
  <c r="S87" i="8" s="1"/>
  <c r="G87" i="8"/>
  <c r="AH86" i="8"/>
  <c r="AG86" i="8"/>
  <c r="AE86" i="8"/>
  <c r="AC86" i="8"/>
  <c r="AD86" i="8" s="1"/>
  <c r="Y86" i="8"/>
  <c r="W86" i="8"/>
  <c r="V86" i="8"/>
  <c r="U86" i="8"/>
  <c r="T86" i="8"/>
  <c r="R86" i="8"/>
  <c r="S86" i="8" s="1"/>
  <c r="P86" i="8"/>
  <c r="Z86" i="8" s="1"/>
  <c r="X86" i="8" s="1"/>
  <c r="AB86" i="8" s="1"/>
  <c r="O86" i="8"/>
  <c r="M86" i="8"/>
  <c r="L86" i="8"/>
  <c r="N86" i="8" s="1"/>
  <c r="H86" i="8"/>
  <c r="G86" i="8"/>
  <c r="AH85" i="8"/>
  <c r="AG85" i="8"/>
  <c r="AE85" i="8"/>
  <c r="Y85" i="8"/>
  <c r="W85" i="8"/>
  <c r="AA85" i="8" s="1"/>
  <c r="V85" i="8"/>
  <c r="U85" i="8"/>
  <c r="T85" i="8"/>
  <c r="R85" i="8"/>
  <c r="P85" i="8"/>
  <c r="Z85" i="8" s="1"/>
  <c r="O85" i="8"/>
  <c r="N85" i="8"/>
  <c r="M85" i="8"/>
  <c r="L85" i="8"/>
  <c r="H85" i="8"/>
  <c r="G85" i="8"/>
  <c r="AH84" i="8"/>
  <c r="AG84" i="8"/>
  <c r="AF84" i="8"/>
  <c r="AE84" i="8"/>
  <c r="AC84" i="8"/>
  <c r="AD84" i="8" s="1"/>
  <c r="Y84" i="8"/>
  <c r="V84" i="8"/>
  <c r="U84" i="8"/>
  <c r="W84" i="8" s="1"/>
  <c r="AA84" i="8" s="1"/>
  <c r="T84" i="8"/>
  <c r="P84" i="8"/>
  <c r="Z84" i="8" s="1"/>
  <c r="X84" i="8" s="1"/>
  <c r="AB84" i="8" s="1"/>
  <c r="M84" i="8"/>
  <c r="L84" i="8"/>
  <c r="N84" i="8" s="1"/>
  <c r="H84" i="8"/>
  <c r="R84" i="8" s="1"/>
  <c r="G84" i="8"/>
  <c r="AH83" i="8"/>
  <c r="AG83" i="8"/>
  <c r="AE83" i="8"/>
  <c r="Y83" i="8"/>
  <c r="AC83" i="8" s="1"/>
  <c r="V83" i="8"/>
  <c r="U83" i="8"/>
  <c r="W83" i="8" s="1"/>
  <c r="AA83" i="8" s="1"/>
  <c r="T83" i="8"/>
  <c r="R83" i="8"/>
  <c r="P83" i="8"/>
  <c r="Z83" i="8" s="1"/>
  <c r="M83" i="8"/>
  <c r="L83" i="8"/>
  <c r="H83" i="8"/>
  <c r="O83" i="8" s="1"/>
  <c r="G83" i="8"/>
  <c r="AH82" i="8"/>
  <c r="AG82" i="8"/>
  <c r="AE82" i="8"/>
  <c r="Y82" i="8"/>
  <c r="W82" i="8"/>
  <c r="AA82" i="8" s="1"/>
  <c r="V82" i="8"/>
  <c r="U82" i="8"/>
  <c r="T82" i="8"/>
  <c r="P82" i="8"/>
  <c r="AC82" i="8" s="1"/>
  <c r="N82" i="8"/>
  <c r="M82" i="8"/>
  <c r="L82" i="8"/>
  <c r="H82" i="8"/>
  <c r="O82" i="8" s="1"/>
  <c r="G82" i="8"/>
  <c r="AH81" i="8"/>
  <c r="AG81" i="8"/>
  <c r="AE81" i="8"/>
  <c r="AC81" i="8"/>
  <c r="Y81" i="8"/>
  <c r="V81" i="8"/>
  <c r="U81" i="8"/>
  <c r="W81" i="8" s="1"/>
  <c r="AA81" i="8" s="1"/>
  <c r="T81" i="8"/>
  <c r="P81" i="8"/>
  <c r="Z81" i="8" s="1"/>
  <c r="M81" i="8"/>
  <c r="L81" i="8"/>
  <c r="H81" i="8"/>
  <c r="R81" i="8" s="1"/>
  <c r="G81" i="8"/>
  <c r="AH80" i="8"/>
  <c r="AG80" i="8"/>
  <c r="AE80" i="8"/>
  <c r="Y80" i="8"/>
  <c r="W80" i="8"/>
  <c r="V80" i="8"/>
  <c r="U80" i="8"/>
  <c r="T80" i="8"/>
  <c r="P80" i="8"/>
  <c r="Z80" i="8" s="1"/>
  <c r="X80" i="8" s="1"/>
  <c r="AB80" i="8" s="1"/>
  <c r="O80" i="8"/>
  <c r="N80" i="8"/>
  <c r="M80" i="8"/>
  <c r="L80" i="8"/>
  <c r="H80" i="8"/>
  <c r="R80" i="8" s="1"/>
  <c r="S80" i="8" s="1"/>
  <c r="G80" i="8"/>
  <c r="AH79" i="8"/>
  <c r="AG79" i="8"/>
  <c r="AE79" i="8"/>
  <c r="Y79" i="8"/>
  <c r="W79" i="8"/>
  <c r="AA79" i="8" s="1"/>
  <c r="V79" i="8"/>
  <c r="U79" i="8"/>
  <c r="T79" i="8"/>
  <c r="P79" i="8"/>
  <c r="Z79" i="8" s="1"/>
  <c r="O79" i="8"/>
  <c r="M79" i="8"/>
  <c r="L79" i="8"/>
  <c r="N79" i="8" s="1"/>
  <c r="H79" i="8"/>
  <c r="R79" i="8" s="1"/>
  <c r="S79" i="8" s="1"/>
  <c r="G79" i="8"/>
  <c r="AH78" i="8"/>
  <c r="AG78" i="8"/>
  <c r="AE78" i="8"/>
  <c r="AC78" i="8"/>
  <c r="AF78" i="8" s="1"/>
  <c r="Y78" i="8"/>
  <c r="W78" i="8"/>
  <c r="V78" i="8"/>
  <c r="U78" i="8"/>
  <c r="T78" i="8"/>
  <c r="R78" i="8"/>
  <c r="S78" i="8" s="1"/>
  <c r="P78" i="8"/>
  <c r="Z78" i="8" s="1"/>
  <c r="X78" i="8" s="1"/>
  <c r="AB78" i="8" s="1"/>
  <c r="O78" i="8"/>
  <c r="M78" i="8"/>
  <c r="L78" i="8"/>
  <c r="N78" i="8" s="1"/>
  <c r="H78" i="8"/>
  <c r="G78" i="8"/>
  <c r="AH77" i="8"/>
  <c r="AG77" i="8"/>
  <c r="AE77" i="8"/>
  <c r="Y77" i="8"/>
  <c r="W77" i="8"/>
  <c r="AA77" i="8" s="1"/>
  <c r="V77" i="8"/>
  <c r="U77" i="8"/>
  <c r="T77" i="8"/>
  <c r="R77" i="8"/>
  <c r="P77" i="8"/>
  <c r="Z77" i="8" s="1"/>
  <c r="O77" i="8"/>
  <c r="N77" i="8"/>
  <c r="M77" i="8"/>
  <c r="L77" i="8"/>
  <c r="H77" i="8"/>
  <c r="G77" i="8"/>
  <c r="AH76" i="8"/>
  <c r="AG76" i="8"/>
  <c r="AF76" i="8"/>
  <c r="AE76" i="8"/>
  <c r="AC76" i="8"/>
  <c r="AD76" i="8" s="1"/>
  <c r="Y76" i="8"/>
  <c r="V76" i="8"/>
  <c r="U76" i="8"/>
  <c r="W76" i="8" s="1"/>
  <c r="AA76" i="8" s="1"/>
  <c r="T76" i="8"/>
  <c r="P76" i="8"/>
  <c r="Z76" i="8" s="1"/>
  <c r="X76" i="8" s="1"/>
  <c r="AB76" i="8" s="1"/>
  <c r="M76" i="8"/>
  <c r="L76" i="8"/>
  <c r="N76" i="8" s="1"/>
  <c r="H76" i="8"/>
  <c r="R76" i="8" s="1"/>
  <c r="G76" i="8"/>
  <c r="AH75" i="8"/>
  <c r="AG75" i="8"/>
  <c r="AE75" i="8"/>
  <c r="Y75" i="8"/>
  <c r="AC75" i="8" s="1"/>
  <c r="V75" i="8"/>
  <c r="U75" i="8"/>
  <c r="W75" i="8" s="1"/>
  <c r="AA75" i="8" s="1"/>
  <c r="T75" i="8"/>
  <c r="R75" i="8"/>
  <c r="S75" i="8" s="1"/>
  <c r="P75" i="8"/>
  <c r="Z75" i="8" s="1"/>
  <c r="O75" i="8"/>
  <c r="M75" i="8"/>
  <c r="L75" i="8"/>
  <c r="H75" i="8"/>
  <c r="N75" i="8" s="1"/>
  <c r="G75" i="8"/>
  <c r="AH74" i="8"/>
  <c r="AG74" i="8"/>
  <c r="AE74" i="8"/>
  <c r="Y74" i="8"/>
  <c r="W74" i="8"/>
  <c r="AA74" i="8" s="1"/>
  <c r="V74" i="8"/>
  <c r="U74" i="8"/>
  <c r="T74" i="8"/>
  <c r="P74" i="8"/>
  <c r="AC74" i="8" s="1"/>
  <c r="N74" i="8"/>
  <c r="M74" i="8"/>
  <c r="L74" i="8"/>
  <c r="H74" i="8"/>
  <c r="O74" i="8" s="1"/>
  <c r="G74" i="8"/>
  <c r="AH73" i="8"/>
  <c r="AG73" i="8"/>
  <c r="AE73" i="8"/>
  <c r="AC73" i="8"/>
  <c r="AD73" i="8" s="1"/>
  <c r="Y73" i="8"/>
  <c r="X73" i="8" s="1"/>
  <c r="AB73" i="8" s="1"/>
  <c r="V73" i="8"/>
  <c r="U73" i="8"/>
  <c r="W73" i="8" s="1"/>
  <c r="AA73" i="8" s="1"/>
  <c r="T73" i="8"/>
  <c r="P73" i="8"/>
  <c r="Z73" i="8" s="1"/>
  <c r="M73" i="8"/>
  <c r="L73" i="8"/>
  <c r="H73" i="8"/>
  <c r="R73" i="8" s="1"/>
  <c r="G73" i="8"/>
  <c r="AH72" i="8"/>
  <c r="AG72" i="8"/>
  <c r="AE72" i="8"/>
  <c r="Y72" i="8"/>
  <c r="W72" i="8"/>
  <c r="V72" i="8"/>
  <c r="U72" i="8"/>
  <c r="T72" i="8"/>
  <c r="P72" i="8"/>
  <c r="Z72" i="8" s="1"/>
  <c r="X72" i="8" s="1"/>
  <c r="AB72" i="8" s="1"/>
  <c r="O72" i="8"/>
  <c r="N72" i="8"/>
  <c r="M72" i="8"/>
  <c r="L72" i="8"/>
  <c r="H72" i="8"/>
  <c r="R72" i="8" s="1"/>
  <c r="S72" i="8" s="1"/>
  <c r="G72" i="8"/>
  <c r="AH71" i="8"/>
  <c r="AG71" i="8"/>
  <c r="AE71" i="8"/>
  <c r="Y71" i="8"/>
  <c r="X71" i="8" s="1"/>
  <c r="AB71" i="8" s="1"/>
  <c r="W71" i="8"/>
  <c r="AA71" i="8" s="1"/>
  <c r="V71" i="8"/>
  <c r="U71" i="8"/>
  <c r="T71" i="8"/>
  <c r="P71" i="8"/>
  <c r="Z71" i="8" s="1"/>
  <c r="O71" i="8"/>
  <c r="M71" i="8"/>
  <c r="L71" i="8"/>
  <c r="N71" i="8" s="1"/>
  <c r="H71" i="8"/>
  <c r="R71" i="8" s="1"/>
  <c r="S71" i="8" s="1"/>
  <c r="G71" i="8"/>
  <c r="AH70" i="8"/>
  <c r="AG70" i="8"/>
  <c r="AE70" i="8"/>
  <c r="AC70" i="8"/>
  <c r="AD70" i="8" s="1"/>
  <c r="Y70" i="8"/>
  <c r="W70" i="8"/>
  <c r="V70" i="8"/>
  <c r="U70" i="8"/>
  <c r="T70" i="8"/>
  <c r="R70" i="8"/>
  <c r="S70" i="8" s="1"/>
  <c r="P70" i="8"/>
  <c r="Z70" i="8" s="1"/>
  <c r="X70" i="8" s="1"/>
  <c r="AB70" i="8" s="1"/>
  <c r="O70" i="8"/>
  <c r="M70" i="8"/>
  <c r="L70" i="8"/>
  <c r="N70" i="8" s="1"/>
  <c r="H70" i="8"/>
  <c r="G70" i="8"/>
  <c r="AH69" i="8"/>
  <c r="AG69" i="8"/>
  <c r="AE69" i="8"/>
  <c r="Y69" i="8"/>
  <c r="X69" i="8" s="1"/>
  <c r="AB69" i="8" s="1"/>
  <c r="W69" i="8"/>
  <c r="AA69" i="8" s="1"/>
  <c r="V69" i="8"/>
  <c r="U69" i="8"/>
  <c r="T69" i="8"/>
  <c r="R69" i="8"/>
  <c r="P69" i="8"/>
  <c r="Z69" i="8" s="1"/>
  <c r="O69" i="8"/>
  <c r="N69" i="8"/>
  <c r="M69" i="8"/>
  <c r="L69" i="8"/>
  <c r="H69" i="8"/>
  <c r="G69" i="8"/>
  <c r="AH68" i="8"/>
  <c r="AG68" i="8"/>
  <c r="AF68" i="8"/>
  <c r="AE68" i="8"/>
  <c r="AC68" i="8"/>
  <c r="Y68" i="8"/>
  <c r="V68" i="8"/>
  <c r="U68" i="8"/>
  <c r="W68" i="8" s="1"/>
  <c r="AA68" i="8" s="1"/>
  <c r="T68" i="8"/>
  <c r="P68" i="8"/>
  <c r="Z68" i="8" s="1"/>
  <c r="X68" i="8" s="1"/>
  <c r="AB68" i="8" s="1"/>
  <c r="M68" i="8"/>
  <c r="L68" i="8"/>
  <c r="N68" i="8" s="1"/>
  <c r="H68" i="8"/>
  <c r="R68" i="8" s="1"/>
  <c r="G68" i="8"/>
  <c r="AH67" i="8"/>
  <c r="AG67" i="8"/>
  <c r="AE67" i="8"/>
  <c r="Y67" i="8"/>
  <c r="AC67" i="8" s="1"/>
  <c r="V67" i="8"/>
  <c r="U67" i="8"/>
  <c r="W67" i="8" s="1"/>
  <c r="AA67" i="8" s="1"/>
  <c r="T67" i="8"/>
  <c r="R67" i="8"/>
  <c r="S67" i="8" s="1"/>
  <c r="P67" i="8"/>
  <c r="Z67" i="8" s="1"/>
  <c r="O67" i="8"/>
  <c r="M67" i="8"/>
  <c r="L67" i="8"/>
  <c r="H67" i="8"/>
  <c r="N67" i="8" s="1"/>
  <c r="G67" i="8"/>
  <c r="AH66" i="8"/>
  <c r="AG66" i="8"/>
  <c r="AE66" i="8"/>
  <c r="Y66" i="8"/>
  <c r="W66" i="8"/>
  <c r="AA66" i="8" s="1"/>
  <c r="V66" i="8"/>
  <c r="U66" i="8"/>
  <c r="T66" i="8"/>
  <c r="P66" i="8"/>
  <c r="AC66" i="8" s="1"/>
  <c r="N66" i="8"/>
  <c r="M66" i="8"/>
  <c r="L66" i="8"/>
  <c r="H66" i="8"/>
  <c r="O66" i="8" s="1"/>
  <c r="G66" i="8"/>
  <c r="AH65" i="8"/>
  <c r="AG65" i="8"/>
  <c r="AE65" i="8"/>
  <c r="AC65" i="8"/>
  <c r="AD65" i="8" s="1"/>
  <c r="Y65" i="8"/>
  <c r="V65" i="8"/>
  <c r="U65" i="8"/>
  <c r="W65" i="8" s="1"/>
  <c r="AA65" i="8" s="1"/>
  <c r="T65" i="8"/>
  <c r="P65" i="8"/>
  <c r="Z65" i="8" s="1"/>
  <c r="M65" i="8"/>
  <c r="L65" i="8"/>
  <c r="H65" i="8"/>
  <c r="R65" i="8" s="1"/>
  <c r="G65" i="8"/>
  <c r="AH64" i="8"/>
  <c r="AG64" i="8"/>
  <c r="AE64" i="8"/>
  <c r="Y64" i="8"/>
  <c r="W64" i="8"/>
  <c r="V64" i="8"/>
  <c r="U64" i="8"/>
  <c r="T64" i="8"/>
  <c r="P64" i="8"/>
  <c r="Z64" i="8" s="1"/>
  <c r="X64" i="8" s="1"/>
  <c r="AB64" i="8" s="1"/>
  <c r="O64" i="8"/>
  <c r="N64" i="8"/>
  <c r="M64" i="8"/>
  <c r="L64" i="8"/>
  <c r="H64" i="8"/>
  <c r="R64" i="8" s="1"/>
  <c r="S64" i="8" s="1"/>
  <c r="G64" i="8"/>
  <c r="AH63" i="8"/>
  <c r="AG63" i="8"/>
  <c r="AE63" i="8"/>
  <c r="Y63" i="8"/>
  <c r="W63" i="8"/>
  <c r="AA63" i="8" s="1"/>
  <c r="V63" i="8"/>
  <c r="U63" i="8"/>
  <c r="T63" i="8"/>
  <c r="P63" i="8"/>
  <c r="Z63" i="8" s="1"/>
  <c r="O63" i="8"/>
  <c r="M63" i="8"/>
  <c r="L63" i="8"/>
  <c r="N63" i="8" s="1"/>
  <c r="H63" i="8"/>
  <c r="R63" i="8" s="1"/>
  <c r="S63" i="8" s="1"/>
  <c r="G63" i="8"/>
  <c r="AH62" i="8"/>
  <c r="AG62" i="8"/>
  <c r="AE62" i="8"/>
  <c r="AC62" i="8"/>
  <c r="AD62" i="8" s="1"/>
  <c r="Y62" i="8"/>
  <c r="W62" i="8"/>
  <c r="V62" i="8"/>
  <c r="U62" i="8"/>
  <c r="T62" i="8"/>
  <c r="R62" i="8"/>
  <c r="S62" i="8" s="1"/>
  <c r="P62" i="8"/>
  <c r="Z62" i="8" s="1"/>
  <c r="X62" i="8" s="1"/>
  <c r="AB62" i="8" s="1"/>
  <c r="O62" i="8"/>
  <c r="M62" i="8"/>
  <c r="L62" i="8"/>
  <c r="N62" i="8" s="1"/>
  <c r="H62" i="8"/>
  <c r="G62" i="8"/>
  <c r="AH61" i="8"/>
  <c r="AG61" i="8"/>
  <c r="AE61" i="8"/>
  <c r="Y61" i="8"/>
  <c r="W61" i="8"/>
  <c r="V61" i="8"/>
  <c r="U61" i="8"/>
  <c r="T61" i="8"/>
  <c r="R61" i="8"/>
  <c r="O61" i="8"/>
  <c r="N61" i="8"/>
  <c r="M61" i="8"/>
  <c r="P61" i="8" s="1"/>
  <c r="Z61" i="8" s="1"/>
  <c r="L61" i="8"/>
  <c r="H61" i="8"/>
  <c r="G61" i="8"/>
  <c r="AH60" i="8"/>
  <c r="AG60" i="8"/>
  <c r="AE60" i="8"/>
  <c r="Y60" i="8"/>
  <c r="X60" i="8" s="1"/>
  <c r="AB60" i="8" s="1"/>
  <c r="W60" i="8"/>
  <c r="V60" i="8"/>
  <c r="Z60" i="8" s="1"/>
  <c r="U60" i="8"/>
  <c r="T60" i="8"/>
  <c r="M60" i="8"/>
  <c r="P60" i="8" s="1"/>
  <c r="L60" i="8"/>
  <c r="N60" i="8" s="1"/>
  <c r="H60" i="8"/>
  <c r="R60" i="8" s="1"/>
  <c r="G60" i="8"/>
  <c r="AH59" i="8"/>
  <c r="AG59" i="8"/>
  <c r="AE59" i="8"/>
  <c r="Y59" i="8"/>
  <c r="V59" i="8"/>
  <c r="U59" i="8"/>
  <c r="W59" i="8" s="1"/>
  <c r="T59" i="8"/>
  <c r="M59" i="8"/>
  <c r="P59" i="8" s="1"/>
  <c r="L59" i="8"/>
  <c r="H59" i="8"/>
  <c r="R59" i="8" s="1"/>
  <c r="G59" i="8"/>
  <c r="AH58" i="8"/>
  <c r="AG58" i="8"/>
  <c r="AE58" i="8"/>
  <c r="Y58" i="8"/>
  <c r="AC58" i="8" s="1"/>
  <c r="V58" i="8"/>
  <c r="Z58" i="8" s="1"/>
  <c r="U58" i="8"/>
  <c r="W58" i="8" s="1"/>
  <c r="AA58" i="8" s="1"/>
  <c r="T58" i="8"/>
  <c r="R58" i="8"/>
  <c r="S58" i="8" s="1"/>
  <c r="P58" i="8"/>
  <c r="O58" i="8"/>
  <c r="M58" i="8"/>
  <c r="L58" i="8"/>
  <c r="N58" i="8" s="1"/>
  <c r="H58" i="8"/>
  <c r="G58" i="8"/>
  <c r="AH57" i="8"/>
  <c r="AG57" i="8"/>
  <c r="AE57" i="8"/>
  <c r="Z57" i="8"/>
  <c r="X57" i="8" s="1"/>
  <c r="AB57" i="8" s="1"/>
  <c r="Y57" i="8"/>
  <c r="AC57" i="8" s="1"/>
  <c r="V57" i="8"/>
  <c r="U57" i="8"/>
  <c r="W57" i="8" s="1"/>
  <c r="AA57" i="8" s="1"/>
  <c r="T57" i="8"/>
  <c r="R57" i="8"/>
  <c r="S57" i="8" s="1"/>
  <c r="P57" i="8"/>
  <c r="O57" i="8"/>
  <c r="M57" i="8"/>
  <c r="L57" i="8"/>
  <c r="N57" i="8" s="1"/>
  <c r="H57" i="8"/>
  <c r="G57" i="8"/>
  <c r="AH56" i="8"/>
  <c r="AG56" i="8"/>
  <c r="AE56" i="8"/>
  <c r="Z56" i="8"/>
  <c r="Y56" i="8"/>
  <c r="X56" i="8" s="1"/>
  <c r="AB56" i="8" s="1"/>
  <c r="V56" i="8"/>
  <c r="U56" i="8"/>
  <c r="W56" i="8" s="1"/>
  <c r="AA56" i="8" s="1"/>
  <c r="T56" i="8"/>
  <c r="R56" i="8"/>
  <c r="S56" i="8" s="1"/>
  <c r="P56" i="8"/>
  <c r="O56" i="8"/>
  <c r="M56" i="8"/>
  <c r="L56" i="8"/>
  <c r="N56" i="8" s="1"/>
  <c r="H56" i="8"/>
  <c r="G56" i="8"/>
  <c r="AH55" i="8"/>
  <c r="AG55" i="8"/>
  <c r="AE55" i="8"/>
  <c r="Z55" i="8"/>
  <c r="Y55" i="8"/>
  <c r="X55" i="8" s="1"/>
  <c r="AB55" i="8" s="1"/>
  <c r="V55" i="8"/>
  <c r="U55" i="8"/>
  <c r="W55" i="8" s="1"/>
  <c r="AA55" i="8" s="1"/>
  <c r="T55" i="8"/>
  <c r="R55" i="8"/>
  <c r="S55" i="8" s="1"/>
  <c r="P55" i="8"/>
  <c r="O55" i="8"/>
  <c r="M55" i="8"/>
  <c r="L55" i="8"/>
  <c r="N55" i="8" s="1"/>
  <c r="H55" i="8"/>
  <c r="G55" i="8"/>
  <c r="AH54" i="8"/>
  <c r="AG54" i="8"/>
  <c r="AE54" i="8"/>
  <c r="Z54" i="8"/>
  <c r="Y54" i="8"/>
  <c r="X54" i="8" s="1"/>
  <c r="AB54" i="8" s="1"/>
  <c r="V54" i="8"/>
  <c r="U54" i="8"/>
  <c r="W54" i="8" s="1"/>
  <c r="AA54" i="8" s="1"/>
  <c r="T54" i="8"/>
  <c r="R54" i="8"/>
  <c r="S54" i="8" s="1"/>
  <c r="P54" i="8"/>
  <c r="O54" i="8"/>
  <c r="M54" i="8"/>
  <c r="L54" i="8"/>
  <c r="N54" i="8" s="1"/>
  <c r="H54" i="8"/>
  <c r="G54" i="8"/>
  <c r="AH53" i="8"/>
  <c r="AG53" i="8"/>
  <c r="AE53" i="8"/>
  <c r="Z53" i="8"/>
  <c r="Y53" i="8"/>
  <c r="X53" i="8" s="1"/>
  <c r="AB53" i="8" s="1"/>
  <c r="V53" i="8"/>
  <c r="U53" i="8"/>
  <c r="W53" i="8" s="1"/>
  <c r="AA53" i="8" s="1"/>
  <c r="T53" i="8"/>
  <c r="R53" i="8"/>
  <c r="S53" i="8" s="1"/>
  <c r="P53" i="8"/>
  <c r="O53" i="8"/>
  <c r="M53" i="8"/>
  <c r="L53" i="8"/>
  <c r="N53" i="8" s="1"/>
  <c r="H53" i="8"/>
  <c r="G53" i="8"/>
  <c r="AH52" i="8"/>
  <c r="AG52" i="8"/>
  <c r="AE52" i="8"/>
  <c r="Z52" i="8"/>
  <c r="Y52" i="8"/>
  <c r="X52" i="8" s="1"/>
  <c r="AB52" i="8" s="1"/>
  <c r="V52" i="8"/>
  <c r="U52" i="8"/>
  <c r="W52" i="8" s="1"/>
  <c r="AA52" i="8" s="1"/>
  <c r="T52" i="8"/>
  <c r="R52" i="8"/>
  <c r="P52" i="8"/>
  <c r="M52" i="8"/>
  <c r="L52" i="8"/>
  <c r="N52" i="8" s="1"/>
  <c r="H52" i="8"/>
  <c r="O52" i="8" s="1"/>
  <c r="G52" i="8"/>
  <c r="AH51" i="8"/>
  <c r="AG51" i="8"/>
  <c r="AE51" i="8"/>
  <c r="Z51" i="8"/>
  <c r="Y51" i="8"/>
  <c r="X51" i="8" s="1"/>
  <c r="AB51" i="8" s="1"/>
  <c r="V51" i="8"/>
  <c r="U51" i="8"/>
  <c r="W51" i="8" s="1"/>
  <c r="AA51" i="8" s="1"/>
  <c r="T51" i="8"/>
  <c r="R51" i="8"/>
  <c r="P51" i="8"/>
  <c r="M51" i="8"/>
  <c r="L51" i="8"/>
  <c r="N51" i="8" s="1"/>
  <c r="H51" i="8"/>
  <c r="O51" i="8" s="1"/>
  <c r="G51" i="8"/>
  <c r="AH50" i="8"/>
  <c r="AG50" i="8"/>
  <c r="AE50" i="8"/>
  <c r="Z50" i="8"/>
  <c r="Y50" i="8"/>
  <c r="X50" i="8" s="1"/>
  <c r="AB50" i="8" s="1"/>
  <c r="V50" i="8"/>
  <c r="U50" i="8"/>
  <c r="W50" i="8" s="1"/>
  <c r="AA50" i="8" s="1"/>
  <c r="T50" i="8"/>
  <c r="R50" i="8"/>
  <c r="S50" i="8" s="1"/>
  <c r="P50" i="8"/>
  <c r="M50" i="8"/>
  <c r="L50" i="8"/>
  <c r="N50" i="8" s="1"/>
  <c r="H50" i="8"/>
  <c r="O50" i="8" s="1"/>
  <c r="G50" i="8"/>
  <c r="AH49" i="8"/>
  <c r="AG49" i="8"/>
  <c r="AE49" i="8"/>
  <c r="Z49" i="8"/>
  <c r="Y49" i="8"/>
  <c r="X49" i="8" s="1"/>
  <c r="AB49" i="8" s="1"/>
  <c r="V49" i="8"/>
  <c r="U49" i="8"/>
  <c r="W49" i="8" s="1"/>
  <c r="AA49" i="8" s="1"/>
  <c r="T49" i="8"/>
  <c r="R49" i="8"/>
  <c r="S49" i="8" s="1"/>
  <c r="P49" i="8"/>
  <c r="M49" i="8"/>
  <c r="L49" i="8"/>
  <c r="N49" i="8" s="1"/>
  <c r="H49" i="8"/>
  <c r="O49" i="8" s="1"/>
  <c r="G49" i="8"/>
  <c r="AH48" i="8"/>
  <c r="AG48" i="8"/>
  <c r="AE48" i="8"/>
  <c r="Z48" i="8"/>
  <c r="Y48" i="8"/>
  <c r="X48" i="8" s="1"/>
  <c r="AB48" i="8" s="1"/>
  <c r="V48" i="8"/>
  <c r="U48" i="8"/>
  <c r="W48" i="8" s="1"/>
  <c r="AA48" i="8" s="1"/>
  <c r="T48" i="8"/>
  <c r="R48" i="8"/>
  <c r="P48" i="8"/>
  <c r="M48" i="8"/>
  <c r="L48" i="8"/>
  <c r="N48" i="8" s="1"/>
  <c r="H48" i="8"/>
  <c r="O48" i="8" s="1"/>
  <c r="G48" i="8"/>
  <c r="AH47" i="8"/>
  <c r="AG47" i="8"/>
  <c r="AE47" i="8"/>
  <c r="Z47" i="8"/>
  <c r="Y47" i="8"/>
  <c r="X47" i="8" s="1"/>
  <c r="AB47" i="8" s="1"/>
  <c r="V47" i="8"/>
  <c r="U47" i="8"/>
  <c r="W47" i="8" s="1"/>
  <c r="AA47" i="8" s="1"/>
  <c r="T47" i="8"/>
  <c r="R47" i="8"/>
  <c r="P47" i="8"/>
  <c r="M47" i="8"/>
  <c r="L47" i="8"/>
  <c r="N47" i="8" s="1"/>
  <c r="H47" i="8"/>
  <c r="O47" i="8" s="1"/>
  <c r="G47" i="8"/>
  <c r="AH46" i="8"/>
  <c r="AG46" i="8"/>
  <c r="AE46" i="8"/>
  <c r="Z46" i="8"/>
  <c r="Y46" i="8"/>
  <c r="X46" i="8" s="1"/>
  <c r="AB46" i="8" s="1"/>
  <c r="V46" i="8"/>
  <c r="U46" i="8"/>
  <c r="W46" i="8" s="1"/>
  <c r="AA46" i="8" s="1"/>
  <c r="T46" i="8"/>
  <c r="R46" i="8"/>
  <c r="S46" i="8" s="1"/>
  <c r="P46" i="8"/>
  <c r="M46" i="8"/>
  <c r="L46" i="8"/>
  <c r="N46" i="8" s="1"/>
  <c r="H46" i="8"/>
  <c r="O46" i="8" s="1"/>
  <c r="G46" i="8"/>
  <c r="AH45" i="8"/>
  <c r="AG45" i="8"/>
  <c r="AE45" i="8"/>
  <c r="Z45" i="8"/>
  <c r="Y45" i="8"/>
  <c r="X45" i="8" s="1"/>
  <c r="AB45" i="8" s="1"/>
  <c r="V45" i="8"/>
  <c r="U45" i="8"/>
  <c r="W45" i="8" s="1"/>
  <c r="AA45" i="8" s="1"/>
  <c r="T45" i="8"/>
  <c r="R45" i="8"/>
  <c r="S45" i="8" s="1"/>
  <c r="P45" i="8"/>
  <c r="M45" i="8"/>
  <c r="L45" i="8"/>
  <c r="N45" i="8" s="1"/>
  <c r="H45" i="8"/>
  <c r="O45" i="8" s="1"/>
  <c r="G45" i="8"/>
  <c r="AH44" i="8"/>
  <c r="AG44" i="8"/>
  <c r="AE44" i="8"/>
  <c r="Z44" i="8"/>
  <c r="Y44" i="8"/>
  <c r="X44" i="8" s="1"/>
  <c r="AB44" i="8" s="1"/>
  <c r="V44" i="8"/>
  <c r="U44" i="8"/>
  <c r="W44" i="8" s="1"/>
  <c r="AA44" i="8" s="1"/>
  <c r="T44" i="8"/>
  <c r="R44" i="8"/>
  <c r="P44" i="8"/>
  <c r="M44" i="8"/>
  <c r="L44" i="8"/>
  <c r="N44" i="8" s="1"/>
  <c r="H44" i="8"/>
  <c r="O44" i="8" s="1"/>
  <c r="G44" i="8"/>
  <c r="AH43" i="8"/>
  <c r="AG43" i="8"/>
  <c r="AE43" i="8"/>
  <c r="Z43" i="8"/>
  <c r="Y43" i="8"/>
  <c r="X43" i="8" s="1"/>
  <c r="AB43" i="8" s="1"/>
  <c r="W43" i="8"/>
  <c r="AA43" i="8" s="1"/>
  <c r="V43" i="8"/>
  <c r="U43" i="8"/>
  <c r="T43" i="8"/>
  <c r="R43" i="8"/>
  <c r="P43" i="8"/>
  <c r="M43" i="8"/>
  <c r="L43" i="8"/>
  <c r="H43" i="8"/>
  <c r="O43" i="8" s="1"/>
  <c r="G43" i="8"/>
  <c r="AH42" i="8"/>
  <c r="AG42" i="8"/>
  <c r="AE42" i="8"/>
  <c r="Z42" i="8"/>
  <c r="Y42" i="8"/>
  <c r="X42" i="8" s="1"/>
  <c r="AB42" i="8" s="1"/>
  <c r="W42" i="8"/>
  <c r="AA42" i="8" s="1"/>
  <c r="V42" i="8"/>
  <c r="U42" i="8"/>
  <c r="T42" i="8"/>
  <c r="R42" i="8"/>
  <c r="P42" i="8"/>
  <c r="M42" i="8"/>
  <c r="L42" i="8"/>
  <c r="H42" i="8"/>
  <c r="O42" i="8" s="1"/>
  <c r="G42" i="8"/>
  <c r="AH41" i="8"/>
  <c r="AG41" i="8"/>
  <c r="AE41" i="8"/>
  <c r="Z41" i="8"/>
  <c r="Y41" i="8"/>
  <c r="X41" i="8" s="1"/>
  <c r="AB41" i="8" s="1"/>
  <c r="W41" i="8"/>
  <c r="AA41" i="8" s="1"/>
  <c r="V41" i="8"/>
  <c r="U41" i="8"/>
  <c r="T41" i="8"/>
  <c r="R41" i="8"/>
  <c r="P41" i="8"/>
  <c r="M41" i="8"/>
  <c r="L41" i="8"/>
  <c r="H41" i="8"/>
  <c r="O41" i="8" s="1"/>
  <c r="G41" i="8"/>
  <c r="AH40" i="8"/>
  <c r="AG40" i="8"/>
  <c r="AE40" i="8"/>
  <c r="Z40" i="8"/>
  <c r="Y40" i="8"/>
  <c r="X40" i="8" s="1"/>
  <c r="AB40" i="8" s="1"/>
  <c r="W40" i="8"/>
  <c r="AA40" i="8" s="1"/>
  <c r="V40" i="8"/>
  <c r="U40" i="8"/>
  <c r="T40" i="8"/>
  <c r="R40" i="8"/>
  <c r="P40" i="8"/>
  <c r="M40" i="8"/>
  <c r="L40" i="8"/>
  <c r="H40" i="8"/>
  <c r="O40" i="8" s="1"/>
  <c r="G40" i="8"/>
  <c r="AH39" i="8"/>
  <c r="AG39" i="8"/>
  <c r="AE39" i="8"/>
  <c r="Z39" i="8"/>
  <c r="Y39" i="8"/>
  <c r="X39" i="8" s="1"/>
  <c r="AB39" i="8" s="1"/>
  <c r="W39" i="8"/>
  <c r="AA39" i="8" s="1"/>
  <c r="V39" i="8"/>
  <c r="U39" i="8"/>
  <c r="T39" i="8"/>
  <c r="R39" i="8"/>
  <c r="P39" i="8"/>
  <c r="M39" i="8"/>
  <c r="L39" i="8"/>
  <c r="H39" i="8"/>
  <c r="O39" i="8" s="1"/>
  <c r="G39" i="8"/>
  <c r="AH38" i="8"/>
  <c r="AG38" i="8"/>
  <c r="AE38" i="8"/>
  <c r="Z38" i="8"/>
  <c r="Y38" i="8"/>
  <c r="X38" i="8" s="1"/>
  <c r="AB38" i="8" s="1"/>
  <c r="W38" i="8"/>
  <c r="AA38" i="8" s="1"/>
  <c r="V38" i="8"/>
  <c r="U38" i="8"/>
  <c r="T38" i="8"/>
  <c r="R38" i="8"/>
  <c r="S38" i="8" s="1"/>
  <c r="P38" i="8"/>
  <c r="M38" i="8"/>
  <c r="L38" i="8"/>
  <c r="H38" i="8"/>
  <c r="O38" i="8" s="1"/>
  <c r="G38" i="8"/>
  <c r="AH37" i="8"/>
  <c r="AG37" i="8"/>
  <c r="AE37" i="8"/>
  <c r="Z37" i="8"/>
  <c r="Y37" i="8"/>
  <c r="X37" i="8" s="1"/>
  <c r="AB37" i="8" s="1"/>
  <c r="W37" i="8"/>
  <c r="AA37" i="8" s="1"/>
  <c r="V37" i="8"/>
  <c r="U37" i="8"/>
  <c r="T37" i="8"/>
  <c r="R37" i="8"/>
  <c r="P37" i="8"/>
  <c r="M37" i="8"/>
  <c r="L37" i="8"/>
  <c r="H37" i="8"/>
  <c r="O37" i="8" s="1"/>
  <c r="G37" i="8"/>
  <c r="AH36" i="8"/>
  <c r="AG36" i="8"/>
  <c r="AE36" i="8"/>
  <c r="Z36" i="8"/>
  <c r="Y36" i="8"/>
  <c r="X36" i="8" s="1"/>
  <c r="AB36" i="8" s="1"/>
  <c r="W36" i="8"/>
  <c r="AA36" i="8" s="1"/>
  <c r="V36" i="8"/>
  <c r="U36" i="8"/>
  <c r="T36" i="8"/>
  <c r="R36" i="8"/>
  <c r="P36" i="8"/>
  <c r="M36" i="8"/>
  <c r="L36" i="8"/>
  <c r="H36" i="8"/>
  <c r="O36" i="8" s="1"/>
  <c r="G36" i="8"/>
  <c r="AH35" i="8"/>
  <c r="AG35" i="8"/>
  <c r="AE35" i="8"/>
  <c r="Z35" i="8"/>
  <c r="Y35" i="8"/>
  <c r="X35" i="8" s="1"/>
  <c r="AB35" i="8" s="1"/>
  <c r="W35" i="8"/>
  <c r="AA35" i="8" s="1"/>
  <c r="V35" i="8"/>
  <c r="U35" i="8"/>
  <c r="T35" i="8"/>
  <c r="R35" i="8"/>
  <c r="P35" i="8"/>
  <c r="M35" i="8"/>
  <c r="L35" i="8"/>
  <c r="H35" i="8"/>
  <c r="O35" i="8" s="1"/>
  <c r="G35" i="8"/>
  <c r="AH34" i="8"/>
  <c r="AG34" i="8"/>
  <c r="AE34" i="8"/>
  <c r="Z34" i="8"/>
  <c r="Y34" i="8"/>
  <c r="X34" i="8" s="1"/>
  <c r="AB34" i="8" s="1"/>
  <c r="W34" i="8"/>
  <c r="AA34" i="8" s="1"/>
  <c r="V34" i="8"/>
  <c r="U34" i="8"/>
  <c r="T34" i="8"/>
  <c r="R34" i="8"/>
  <c r="P34" i="8"/>
  <c r="M34" i="8"/>
  <c r="L34" i="8"/>
  <c r="H34" i="8"/>
  <c r="O34" i="8" s="1"/>
  <c r="G34" i="8"/>
  <c r="AH33" i="8"/>
  <c r="AG33" i="8"/>
  <c r="AE33" i="8"/>
  <c r="Z33" i="8"/>
  <c r="Y33" i="8"/>
  <c r="X33" i="8" s="1"/>
  <c r="AB33" i="8" s="1"/>
  <c r="W33" i="8"/>
  <c r="AA33" i="8" s="1"/>
  <c r="V33" i="8"/>
  <c r="U33" i="8"/>
  <c r="T33" i="8"/>
  <c r="R33" i="8"/>
  <c r="P33" i="8"/>
  <c r="M33" i="8"/>
  <c r="L33" i="8"/>
  <c r="H33" i="8"/>
  <c r="O33" i="8" s="1"/>
  <c r="G33" i="8"/>
  <c r="AH32" i="8"/>
  <c r="AG32" i="8"/>
  <c r="AE32" i="8"/>
  <c r="Z32" i="8"/>
  <c r="Y32" i="8"/>
  <c r="X32" i="8" s="1"/>
  <c r="AB32" i="8" s="1"/>
  <c r="W32" i="8"/>
  <c r="AA32" i="8" s="1"/>
  <c r="V32" i="8"/>
  <c r="U32" i="8"/>
  <c r="T32" i="8"/>
  <c r="R32" i="8"/>
  <c r="P32" i="8"/>
  <c r="M32" i="8"/>
  <c r="L32" i="8"/>
  <c r="H32" i="8"/>
  <c r="O32" i="8" s="1"/>
  <c r="G32" i="8"/>
  <c r="AH31" i="8"/>
  <c r="AG31" i="8"/>
  <c r="AE31" i="8"/>
  <c r="Z31" i="8"/>
  <c r="Y31" i="8"/>
  <c r="X31" i="8" s="1"/>
  <c r="AB31" i="8" s="1"/>
  <c r="W31" i="8"/>
  <c r="AA31" i="8" s="1"/>
  <c r="V31" i="8"/>
  <c r="U31" i="8"/>
  <c r="T31" i="8"/>
  <c r="R31" i="8"/>
  <c r="S31" i="8" s="1"/>
  <c r="P31" i="8"/>
  <c r="M31" i="8"/>
  <c r="O31" i="8" s="1"/>
  <c r="L31" i="8"/>
  <c r="H31" i="8"/>
  <c r="N31" i="8" s="1"/>
  <c r="G31" i="8"/>
  <c r="AH30" i="8"/>
  <c r="AG30" i="8"/>
  <c r="AE30" i="8"/>
  <c r="Z30" i="8"/>
  <c r="Y30" i="8"/>
  <c r="X30" i="8" s="1"/>
  <c r="AB30" i="8" s="1"/>
  <c r="W30" i="8"/>
  <c r="AA30" i="8" s="1"/>
  <c r="V30" i="8"/>
  <c r="U30" i="8"/>
  <c r="T30" i="8"/>
  <c r="R30" i="8"/>
  <c r="S30" i="8" s="1"/>
  <c r="P30" i="8"/>
  <c r="M30" i="8"/>
  <c r="O30" i="8" s="1"/>
  <c r="L30" i="8"/>
  <c r="H30" i="8"/>
  <c r="N30" i="8" s="1"/>
  <c r="G30" i="8"/>
  <c r="AH29" i="8"/>
  <c r="AG29" i="8"/>
  <c r="AE29" i="8"/>
  <c r="Z29" i="8"/>
  <c r="Y29" i="8"/>
  <c r="X29" i="8" s="1"/>
  <c r="AB29" i="8" s="1"/>
  <c r="W29" i="8"/>
  <c r="AA29" i="8" s="1"/>
  <c r="V29" i="8"/>
  <c r="U29" i="8"/>
  <c r="T29" i="8"/>
  <c r="R29" i="8"/>
  <c r="P29" i="8"/>
  <c r="M29" i="8"/>
  <c r="O29" i="8" s="1"/>
  <c r="L29" i="8"/>
  <c r="H29" i="8"/>
  <c r="N29" i="8" s="1"/>
  <c r="G29" i="8"/>
  <c r="AH28" i="8"/>
  <c r="AG28" i="8"/>
  <c r="AE28" i="8"/>
  <c r="Z28" i="8"/>
  <c r="Y28" i="8"/>
  <c r="X28" i="8" s="1"/>
  <c r="AB28" i="8" s="1"/>
  <c r="W28" i="8"/>
  <c r="AA28" i="8" s="1"/>
  <c r="V28" i="8"/>
  <c r="U28" i="8"/>
  <c r="T28" i="8"/>
  <c r="R28" i="8"/>
  <c r="P28" i="8"/>
  <c r="M28" i="8"/>
  <c r="O28" i="8" s="1"/>
  <c r="L28" i="8"/>
  <c r="H28" i="8"/>
  <c r="N28" i="8" s="1"/>
  <c r="G28" i="8"/>
  <c r="AH27" i="8"/>
  <c r="AG27" i="8"/>
  <c r="AE27" i="8"/>
  <c r="Z27" i="8"/>
  <c r="Y27" i="8"/>
  <c r="X27" i="8" s="1"/>
  <c r="AB27" i="8" s="1"/>
  <c r="W27" i="8"/>
  <c r="AA27" i="8" s="1"/>
  <c r="V27" i="8"/>
  <c r="U27" i="8"/>
  <c r="T27" i="8"/>
  <c r="R27" i="8"/>
  <c r="P27" i="8"/>
  <c r="M27" i="8"/>
  <c r="O27" i="8" s="1"/>
  <c r="L27" i="8"/>
  <c r="H27" i="8"/>
  <c r="N27" i="8" s="1"/>
  <c r="G27" i="8"/>
  <c r="AH26" i="8"/>
  <c r="AG26" i="8"/>
  <c r="AE26" i="8"/>
  <c r="Z26" i="8"/>
  <c r="Y26" i="8"/>
  <c r="X26" i="8" s="1"/>
  <c r="AB26" i="8" s="1"/>
  <c r="W26" i="8"/>
  <c r="AA26" i="8" s="1"/>
  <c r="V26" i="8"/>
  <c r="U26" i="8"/>
  <c r="T26" i="8"/>
  <c r="R26" i="8"/>
  <c r="P26" i="8"/>
  <c r="M26" i="8"/>
  <c r="O26" i="8" s="1"/>
  <c r="L26" i="8"/>
  <c r="H26" i="8"/>
  <c r="N26" i="8" s="1"/>
  <c r="G26" i="8"/>
  <c r="AH25" i="8"/>
  <c r="AG25" i="8"/>
  <c r="AE25" i="8"/>
  <c r="Y25" i="8"/>
  <c r="W25" i="8"/>
  <c r="AA25" i="8" s="1"/>
  <c r="V25" i="8"/>
  <c r="U25" i="8"/>
  <c r="T25" i="8"/>
  <c r="R25" i="8"/>
  <c r="S25" i="8" s="1"/>
  <c r="P25" i="8"/>
  <c r="Z25" i="8" s="1"/>
  <c r="M25" i="8"/>
  <c r="O25" i="8" s="1"/>
  <c r="L25" i="8"/>
  <c r="H25" i="8"/>
  <c r="N25" i="8" s="1"/>
  <c r="G25" i="8"/>
  <c r="AH24" i="8"/>
  <c r="AG24" i="8"/>
  <c r="AE24" i="8"/>
  <c r="Y24" i="8"/>
  <c r="W24" i="8"/>
  <c r="AA24" i="8" s="1"/>
  <c r="V24" i="8"/>
  <c r="U24" i="8"/>
  <c r="T24" i="8"/>
  <c r="R24" i="8"/>
  <c r="S24" i="8" s="1"/>
  <c r="P24" i="8"/>
  <c r="Z24" i="8" s="1"/>
  <c r="M24" i="8"/>
  <c r="O24" i="8" s="1"/>
  <c r="L24" i="8"/>
  <c r="H24" i="8"/>
  <c r="N24" i="8" s="1"/>
  <c r="G24" i="8"/>
  <c r="AH23" i="8"/>
  <c r="AG23" i="8"/>
  <c r="AE23" i="8"/>
  <c r="Y23" i="8"/>
  <c r="X23" i="8" s="1"/>
  <c r="AB23" i="8" s="1"/>
  <c r="W23" i="8"/>
  <c r="AA23" i="8" s="1"/>
  <c r="V23" i="8"/>
  <c r="U23" i="8"/>
  <c r="T23" i="8"/>
  <c r="R23" i="8"/>
  <c r="P23" i="8"/>
  <c r="Z23" i="8" s="1"/>
  <c r="M23" i="8"/>
  <c r="O23" i="8" s="1"/>
  <c r="L23" i="8"/>
  <c r="H23" i="8"/>
  <c r="N23" i="8" s="1"/>
  <c r="G23" i="8"/>
  <c r="AH22" i="8"/>
  <c r="AG22" i="8"/>
  <c r="AE22" i="8"/>
  <c r="Y22" i="8"/>
  <c r="X22" i="8" s="1"/>
  <c r="AB22" i="8" s="1"/>
  <c r="W22" i="8"/>
  <c r="AA22" i="8" s="1"/>
  <c r="V22" i="8"/>
  <c r="U22" i="8"/>
  <c r="T22" i="8"/>
  <c r="R22" i="8"/>
  <c r="P22" i="8"/>
  <c r="Z22" i="8" s="1"/>
  <c r="M22" i="8"/>
  <c r="O22" i="8" s="1"/>
  <c r="L22" i="8"/>
  <c r="H22" i="8"/>
  <c r="N22" i="8" s="1"/>
  <c r="G22" i="8"/>
  <c r="AH21" i="8"/>
  <c r="AG21" i="8"/>
  <c r="AE21" i="8"/>
  <c r="Y21" i="8"/>
  <c r="W21" i="8"/>
  <c r="AA21" i="8" s="1"/>
  <c r="V21" i="8"/>
  <c r="U21" i="8"/>
  <c r="T21" i="8"/>
  <c r="R21" i="8"/>
  <c r="S21" i="8" s="1"/>
  <c r="P21" i="8"/>
  <c r="Z21" i="8" s="1"/>
  <c r="M21" i="8"/>
  <c r="O21" i="8" s="1"/>
  <c r="L21" i="8"/>
  <c r="H21" i="8"/>
  <c r="N21" i="8" s="1"/>
  <c r="G21" i="8"/>
  <c r="AH20" i="8"/>
  <c r="AG20" i="8"/>
  <c r="AE20" i="8"/>
  <c r="Y20" i="8"/>
  <c r="W20" i="8"/>
  <c r="AA20" i="8" s="1"/>
  <c r="V20" i="8"/>
  <c r="U20" i="8"/>
  <c r="T20" i="8"/>
  <c r="R20" i="8"/>
  <c r="S20" i="8" s="1"/>
  <c r="P20" i="8"/>
  <c r="Z20" i="8" s="1"/>
  <c r="M20" i="8"/>
  <c r="O20" i="8" s="1"/>
  <c r="L20" i="8"/>
  <c r="H20" i="8"/>
  <c r="N20" i="8" s="1"/>
  <c r="G20" i="8"/>
  <c r="AH19" i="8"/>
  <c r="AG19" i="8"/>
  <c r="AE19" i="8"/>
  <c r="Y19" i="8"/>
  <c r="X19" i="8" s="1"/>
  <c r="AB19" i="8" s="1"/>
  <c r="W19" i="8"/>
  <c r="AA19" i="8" s="1"/>
  <c r="V19" i="8"/>
  <c r="U19" i="8"/>
  <c r="T19" i="8"/>
  <c r="R19" i="8"/>
  <c r="P19" i="8"/>
  <c r="Z19" i="8" s="1"/>
  <c r="M19" i="8"/>
  <c r="O19" i="8" s="1"/>
  <c r="L19" i="8"/>
  <c r="H19" i="8"/>
  <c r="N19" i="8" s="1"/>
  <c r="G19" i="8"/>
  <c r="AH18" i="8"/>
  <c r="AG18" i="8"/>
  <c r="AE18" i="8"/>
  <c r="Y18" i="8"/>
  <c r="X18" i="8" s="1"/>
  <c r="AB18" i="8" s="1"/>
  <c r="W18" i="8"/>
  <c r="AA18" i="8" s="1"/>
  <c r="V18" i="8"/>
  <c r="U18" i="8"/>
  <c r="T18" i="8"/>
  <c r="R18" i="8"/>
  <c r="P18" i="8"/>
  <c r="Z18" i="8" s="1"/>
  <c r="M18" i="8"/>
  <c r="O18" i="8" s="1"/>
  <c r="L18" i="8"/>
  <c r="H18" i="8"/>
  <c r="N18" i="8" s="1"/>
  <c r="G18" i="8"/>
  <c r="AH17" i="8"/>
  <c r="AG17" i="8"/>
  <c r="AE17" i="8"/>
  <c r="Y17" i="8"/>
  <c r="W17" i="8"/>
  <c r="AA17" i="8" s="1"/>
  <c r="V17" i="8"/>
  <c r="U17" i="8"/>
  <c r="T17" i="8"/>
  <c r="R17" i="8"/>
  <c r="S17" i="8" s="1"/>
  <c r="P17" i="8"/>
  <c r="Z17" i="8" s="1"/>
  <c r="M17" i="8"/>
  <c r="O17" i="8" s="1"/>
  <c r="L17" i="8"/>
  <c r="H17" i="8"/>
  <c r="N17" i="8" s="1"/>
  <c r="G17" i="8"/>
  <c r="AH16" i="8"/>
  <c r="AG16" i="8"/>
  <c r="AE16" i="8"/>
  <c r="Y16" i="8"/>
  <c r="W16" i="8"/>
  <c r="AA16" i="8" s="1"/>
  <c r="V16" i="8"/>
  <c r="U16" i="8"/>
  <c r="T16" i="8"/>
  <c r="R16" i="8"/>
  <c r="S16" i="8" s="1"/>
  <c r="P16" i="8"/>
  <c r="Z16" i="8" s="1"/>
  <c r="M16" i="8"/>
  <c r="O16" i="8" s="1"/>
  <c r="L16" i="8"/>
  <c r="H16" i="8"/>
  <c r="N16" i="8" s="1"/>
  <c r="G16" i="8"/>
  <c r="AH15" i="8"/>
  <c r="AG15" i="8"/>
  <c r="AE15" i="8"/>
  <c r="Y15" i="8"/>
  <c r="X15" i="8" s="1"/>
  <c r="AB15" i="8" s="1"/>
  <c r="W15" i="8"/>
  <c r="AA15" i="8" s="1"/>
  <c r="V15" i="8"/>
  <c r="U15" i="8"/>
  <c r="T15" i="8"/>
  <c r="R15" i="8"/>
  <c r="P15" i="8"/>
  <c r="Z15" i="8" s="1"/>
  <c r="M15" i="8"/>
  <c r="O15" i="8" s="1"/>
  <c r="L15" i="8"/>
  <c r="H15" i="8"/>
  <c r="N15" i="8" s="1"/>
  <c r="G15" i="8"/>
  <c r="AH14" i="8"/>
  <c r="AG14" i="8"/>
  <c r="AE14" i="8"/>
  <c r="Y14" i="8"/>
  <c r="X14" i="8" s="1"/>
  <c r="AB14" i="8" s="1"/>
  <c r="W14" i="8"/>
  <c r="AA14" i="8" s="1"/>
  <c r="V14" i="8"/>
  <c r="U14" i="8"/>
  <c r="T14" i="8"/>
  <c r="R14" i="8"/>
  <c r="P14" i="8"/>
  <c r="Z14" i="8" s="1"/>
  <c r="M14" i="8"/>
  <c r="O14" i="8" s="1"/>
  <c r="L14" i="8"/>
  <c r="H14" i="8"/>
  <c r="N14" i="8" s="1"/>
  <c r="G14" i="8"/>
  <c r="AH13" i="8"/>
  <c r="AG13" i="8"/>
  <c r="AE13" i="8"/>
  <c r="Y13" i="8"/>
  <c r="W13" i="8"/>
  <c r="AA13" i="8" s="1"/>
  <c r="V13" i="8"/>
  <c r="U13" i="8"/>
  <c r="T13" i="8"/>
  <c r="R13" i="8"/>
  <c r="S13" i="8" s="1"/>
  <c r="P13" i="8"/>
  <c r="Z13" i="8" s="1"/>
  <c r="M13" i="8"/>
  <c r="O13" i="8" s="1"/>
  <c r="L13" i="8"/>
  <c r="H13" i="8"/>
  <c r="N13" i="8" s="1"/>
  <c r="G13" i="8"/>
  <c r="AH12" i="8"/>
  <c r="AG12" i="8"/>
  <c r="AE12" i="8"/>
  <c r="Y12" i="8"/>
  <c r="W12" i="8"/>
  <c r="AA12" i="8" s="1"/>
  <c r="V12" i="8"/>
  <c r="U12" i="8"/>
  <c r="T12" i="8"/>
  <c r="R12" i="8"/>
  <c r="S12" i="8" s="1"/>
  <c r="P12" i="8"/>
  <c r="Z12" i="8" s="1"/>
  <c r="M12" i="8"/>
  <c r="O12" i="8" s="1"/>
  <c r="L12" i="8"/>
  <c r="H12" i="8"/>
  <c r="N12" i="8" s="1"/>
  <c r="G12" i="8"/>
  <c r="AH11" i="8"/>
  <c r="AG11" i="8"/>
  <c r="AE11" i="8"/>
  <c r="Y11" i="8"/>
  <c r="X11" i="8" s="1"/>
  <c r="AB11" i="8" s="1"/>
  <c r="W11" i="8"/>
  <c r="AA11" i="8" s="1"/>
  <c r="V11" i="8"/>
  <c r="U11" i="8"/>
  <c r="T11" i="8"/>
  <c r="R11" i="8"/>
  <c r="P11" i="8"/>
  <c r="Z11" i="8" s="1"/>
  <c r="M11" i="8"/>
  <c r="O11" i="8" s="1"/>
  <c r="L11" i="8"/>
  <c r="H11" i="8"/>
  <c r="N11" i="8" s="1"/>
  <c r="G11" i="8"/>
  <c r="AH10" i="8"/>
  <c r="AG10" i="8"/>
  <c r="AE10" i="8"/>
  <c r="Y10" i="8"/>
  <c r="X10" i="8" s="1"/>
  <c r="AB10" i="8" s="1"/>
  <c r="W10" i="8"/>
  <c r="AA10" i="8" s="1"/>
  <c r="V10" i="8"/>
  <c r="U10" i="8"/>
  <c r="T10" i="8"/>
  <c r="R10" i="8"/>
  <c r="P10" i="8"/>
  <c r="Z10" i="8" s="1"/>
  <c r="M10" i="8"/>
  <c r="O10" i="8" s="1"/>
  <c r="L10" i="8"/>
  <c r="H10" i="8"/>
  <c r="N10" i="8" s="1"/>
  <c r="G10" i="8"/>
  <c r="AH9" i="8"/>
  <c r="AG9" i="8"/>
  <c r="AE9" i="8"/>
  <c r="Y9" i="8"/>
  <c r="W9" i="8"/>
  <c r="AA9" i="8" s="1"/>
  <c r="V9" i="8"/>
  <c r="U9" i="8"/>
  <c r="T9" i="8"/>
  <c r="R9" i="8"/>
  <c r="S9" i="8" s="1"/>
  <c r="P9" i="8"/>
  <c r="Z9" i="8" s="1"/>
  <c r="M9" i="8"/>
  <c r="O9" i="8" s="1"/>
  <c r="L9" i="8"/>
  <c r="H9" i="8"/>
  <c r="N9" i="8" s="1"/>
  <c r="G9" i="8"/>
  <c r="AH8" i="8"/>
  <c r="AG8" i="8"/>
  <c r="AE8" i="8"/>
  <c r="Y8" i="8"/>
  <c r="W8" i="8"/>
  <c r="AA8" i="8" s="1"/>
  <c r="V8" i="8"/>
  <c r="U8" i="8"/>
  <c r="T8" i="8"/>
  <c r="R8" i="8"/>
  <c r="S8" i="8" s="1"/>
  <c r="P8" i="8"/>
  <c r="Z8" i="8" s="1"/>
  <c r="M8" i="8"/>
  <c r="O8" i="8" s="1"/>
  <c r="L8" i="8"/>
  <c r="H8" i="8"/>
  <c r="N8" i="8" s="1"/>
  <c r="G8" i="8"/>
  <c r="AH7" i="8"/>
  <c r="AG7" i="8"/>
  <c r="AE7" i="8"/>
  <c r="Y7" i="8"/>
  <c r="X7" i="8" s="1"/>
  <c r="AB7" i="8" s="1"/>
  <c r="W7" i="8"/>
  <c r="AA7" i="8" s="1"/>
  <c r="V7" i="8"/>
  <c r="U7" i="8"/>
  <c r="T7" i="8"/>
  <c r="R7" i="8"/>
  <c r="P7" i="8"/>
  <c r="Z7" i="8" s="1"/>
  <c r="M7" i="8"/>
  <c r="O7" i="8" s="1"/>
  <c r="L7" i="8"/>
  <c r="H7" i="8"/>
  <c r="N7" i="8" s="1"/>
  <c r="G7" i="8"/>
  <c r="AH6" i="8"/>
  <c r="AG6" i="8"/>
  <c r="AE6" i="8"/>
  <c r="Y6" i="8"/>
  <c r="X6" i="8" s="1"/>
  <c r="AB6" i="8" s="1"/>
  <c r="W6" i="8"/>
  <c r="AA6" i="8" s="1"/>
  <c r="V6" i="8"/>
  <c r="U6" i="8"/>
  <c r="T6" i="8"/>
  <c r="R6" i="8"/>
  <c r="P6" i="8"/>
  <c r="Z6" i="8" s="1"/>
  <c r="M6" i="8"/>
  <c r="O6" i="8" s="1"/>
  <c r="L6" i="8"/>
  <c r="H6" i="8"/>
  <c r="N6" i="8" s="1"/>
  <c r="G6" i="8"/>
  <c r="AH5" i="8"/>
  <c r="AG5" i="8"/>
  <c r="AE5" i="8"/>
  <c r="Y5" i="8"/>
  <c r="W5" i="8"/>
  <c r="AA5" i="8" s="1"/>
  <c r="V5" i="8"/>
  <c r="U5" i="8"/>
  <c r="T5" i="8"/>
  <c r="R5" i="8"/>
  <c r="S5" i="8" s="1"/>
  <c r="P5" i="8"/>
  <c r="Z5" i="8" s="1"/>
  <c r="M5" i="8"/>
  <c r="O5" i="8" s="1"/>
  <c r="L5" i="8"/>
  <c r="H5" i="8"/>
  <c r="N5" i="8" s="1"/>
  <c r="G5" i="8"/>
  <c r="AH4" i="8"/>
  <c r="AG4" i="8"/>
  <c r="AE4" i="8"/>
  <c r="Y4" i="8"/>
  <c r="W4" i="8"/>
  <c r="AA4" i="8" s="1"/>
  <c r="V4" i="8"/>
  <c r="U4" i="8"/>
  <c r="T4" i="8"/>
  <c r="R4" i="8"/>
  <c r="S4" i="8" s="1"/>
  <c r="P4" i="8"/>
  <c r="Z4" i="8" s="1"/>
  <c r="M4" i="8"/>
  <c r="O4" i="8" s="1"/>
  <c r="L4" i="8"/>
  <c r="H4" i="8"/>
  <c r="N4" i="8" s="1"/>
  <c r="G4" i="8"/>
  <c r="AH3" i="8"/>
  <c r="AG3" i="8"/>
  <c r="AE3" i="8"/>
  <c r="Y3" i="8"/>
  <c r="X3" i="8" s="1"/>
  <c r="AB3" i="8" s="1"/>
  <c r="W3" i="8"/>
  <c r="AA3" i="8" s="1"/>
  <c r="V3" i="8"/>
  <c r="U3" i="8"/>
  <c r="T3" i="8"/>
  <c r="R3" i="8"/>
  <c r="P3" i="8"/>
  <c r="Z3" i="8" s="1"/>
  <c r="M3" i="8"/>
  <c r="O3" i="8" s="1"/>
  <c r="L3" i="8"/>
  <c r="H3" i="8"/>
  <c r="N3" i="8" s="1"/>
  <c r="G3" i="8"/>
  <c r="E56" i="7"/>
  <c r="E55" i="7"/>
  <c r="E49" i="7"/>
  <c r="E44" i="7"/>
  <c r="E39" i="7"/>
  <c r="E38" i="7"/>
  <c r="E31" i="7"/>
  <c r="E26" i="7"/>
  <c r="E21" i="7"/>
  <c r="E20" i="7"/>
  <c r="E13" i="7"/>
  <c r="E8" i="7"/>
  <c r="E3" i="7"/>
  <c r="D20" i="7"/>
  <c r="D38" i="7" s="1"/>
  <c r="D56" i="7" s="1"/>
  <c r="K20" i="6"/>
  <c r="K38" i="6"/>
  <c r="K56" i="6"/>
  <c r="K55" i="6"/>
  <c r="K49" i="6"/>
  <c r="K44" i="6"/>
  <c r="K39" i="6"/>
  <c r="K31" i="6"/>
  <c r="K26" i="6"/>
  <c r="K21" i="6"/>
  <c r="K13" i="6"/>
  <c r="K8" i="6"/>
  <c r="K3" i="6"/>
  <c r="D3" i="7"/>
  <c r="D8" i="7"/>
  <c r="D13" i="7"/>
  <c r="D21" i="7"/>
  <c r="D26" i="7"/>
  <c r="D31" i="7"/>
  <c r="D39" i="7"/>
  <c r="D44" i="7"/>
  <c r="D49" i="7"/>
  <c r="D55" i="7"/>
  <c r="C3" i="7"/>
  <c r="C8" i="7"/>
  <c r="C13" i="7"/>
  <c r="C20" i="7"/>
  <c r="C38" i="7" s="1"/>
  <c r="C56" i="7" s="1"/>
  <c r="C21" i="7"/>
  <c r="C26" i="7"/>
  <c r="C31" i="7"/>
  <c r="C39" i="7"/>
  <c r="C44" i="7"/>
  <c r="C49" i="7"/>
  <c r="C55" i="7"/>
  <c r="K55" i="7"/>
  <c r="J55" i="7"/>
  <c r="I55" i="7"/>
  <c r="H55" i="7"/>
  <c r="G55" i="7"/>
  <c r="F55" i="7"/>
  <c r="K49" i="7"/>
  <c r="J49" i="7"/>
  <c r="I49" i="7"/>
  <c r="H49" i="7"/>
  <c r="G49" i="7"/>
  <c r="F49" i="7"/>
  <c r="K44" i="7"/>
  <c r="J44" i="7"/>
  <c r="I44" i="7"/>
  <c r="H44" i="7"/>
  <c r="G44" i="7"/>
  <c r="F44" i="7"/>
  <c r="K39" i="7"/>
  <c r="J39" i="7"/>
  <c r="I39" i="7"/>
  <c r="H39" i="7"/>
  <c r="G39" i="7"/>
  <c r="F39" i="7"/>
  <c r="K31" i="7"/>
  <c r="J31" i="7"/>
  <c r="I31" i="7"/>
  <c r="H31" i="7"/>
  <c r="G31" i="7"/>
  <c r="F31" i="7"/>
  <c r="K26" i="7"/>
  <c r="J26" i="7"/>
  <c r="I26" i="7"/>
  <c r="H26" i="7"/>
  <c r="G26" i="7"/>
  <c r="F26" i="7"/>
  <c r="K21" i="7"/>
  <c r="J21" i="7"/>
  <c r="I21" i="7"/>
  <c r="H21" i="7"/>
  <c r="G21" i="7"/>
  <c r="F21" i="7"/>
  <c r="K20" i="7"/>
  <c r="K38" i="7" s="1"/>
  <c r="K56" i="7" s="1"/>
  <c r="J20" i="7"/>
  <c r="J38" i="7" s="1"/>
  <c r="J56" i="7" s="1"/>
  <c r="I20" i="7"/>
  <c r="I38" i="7" s="1"/>
  <c r="I56" i="7" s="1"/>
  <c r="H20" i="7"/>
  <c r="H38" i="7" s="1"/>
  <c r="H56" i="7" s="1"/>
  <c r="G20" i="7"/>
  <c r="G38" i="7" s="1"/>
  <c r="G56" i="7" s="1"/>
  <c r="F20" i="7"/>
  <c r="F38" i="7" s="1"/>
  <c r="F56" i="7" s="1"/>
  <c r="K13" i="7"/>
  <c r="J13" i="7"/>
  <c r="I13" i="7"/>
  <c r="H13" i="7"/>
  <c r="G13" i="7"/>
  <c r="F13" i="7"/>
  <c r="K8" i="7"/>
  <c r="J8" i="7"/>
  <c r="I8" i="7"/>
  <c r="H8" i="7"/>
  <c r="G8" i="7"/>
  <c r="F8" i="7"/>
  <c r="K3" i="7"/>
  <c r="J3" i="7"/>
  <c r="I3" i="7"/>
  <c r="H3" i="7"/>
  <c r="G3" i="7"/>
  <c r="F3" i="7"/>
  <c r="N55" i="6"/>
  <c r="M55" i="6"/>
  <c r="L55" i="6"/>
  <c r="J55" i="6"/>
  <c r="I55" i="6"/>
  <c r="H55" i="6"/>
  <c r="G55" i="6"/>
  <c r="F55" i="6"/>
  <c r="E55" i="6"/>
  <c r="D55" i="6"/>
  <c r="C55" i="6"/>
  <c r="N49" i="6"/>
  <c r="M49" i="6"/>
  <c r="L49" i="6"/>
  <c r="J49" i="6"/>
  <c r="I49" i="6"/>
  <c r="H49" i="6"/>
  <c r="G49" i="6"/>
  <c r="F49" i="6"/>
  <c r="E49" i="6"/>
  <c r="D49" i="6"/>
  <c r="C49" i="6"/>
  <c r="N44" i="6"/>
  <c r="M44" i="6"/>
  <c r="L44" i="6"/>
  <c r="J44" i="6"/>
  <c r="I44" i="6"/>
  <c r="H44" i="6"/>
  <c r="G44" i="6"/>
  <c r="F44" i="6"/>
  <c r="E44" i="6"/>
  <c r="D44" i="6"/>
  <c r="C44" i="6"/>
  <c r="N39" i="6"/>
  <c r="M39" i="6"/>
  <c r="L39" i="6"/>
  <c r="J39" i="6"/>
  <c r="I39" i="6"/>
  <c r="H39" i="6"/>
  <c r="G39" i="6"/>
  <c r="F39" i="6"/>
  <c r="E39" i="6"/>
  <c r="D39" i="6"/>
  <c r="C39" i="6"/>
  <c r="N31" i="6"/>
  <c r="M31" i="6"/>
  <c r="L31" i="6"/>
  <c r="J31" i="6"/>
  <c r="I31" i="6"/>
  <c r="H31" i="6"/>
  <c r="G31" i="6"/>
  <c r="F31" i="6"/>
  <c r="E31" i="6"/>
  <c r="D31" i="6"/>
  <c r="C31" i="6"/>
  <c r="N26" i="6"/>
  <c r="M26" i="6"/>
  <c r="L26" i="6"/>
  <c r="J26" i="6"/>
  <c r="I26" i="6"/>
  <c r="H26" i="6"/>
  <c r="G26" i="6"/>
  <c r="F26" i="6"/>
  <c r="E26" i="6"/>
  <c r="D26" i="6"/>
  <c r="C26" i="6"/>
  <c r="N21" i="6"/>
  <c r="M21" i="6"/>
  <c r="L21" i="6"/>
  <c r="J21" i="6"/>
  <c r="I21" i="6"/>
  <c r="H21" i="6"/>
  <c r="G21" i="6"/>
  <c r="F21" i="6"/>
  <c r="E21" i="6"/>
  <c r="D21" i="6"/>
  <c r="C21" i="6"/>
  <c r="N20" i="6"/>
  <c r="N38" i="6" s="1"/>
  <c r="N56" i="6" s="1"/>
  <c r="M20" i="6"/>
  <c r="M38" i="6" s="1"/>
  <c r="M56" i="6" s="1"/>
  <c r="L20" i="6"/>
  <c r="L38" i="6" s="1"/>
  <c r="L56" i="6" s="1"/>
  <c r="J20" i="6"/>
  <c r="J38" i="6" s="1"/>
  <c r="J56" i="6" s="1"/>
  <c r="I20" i="6"/>
  <c r="I38" i="6" s="1"/>
  <c r="I56" i="6" s="1"/>
  <c r="H20" i="6"/>
  <c r="H38" i="6" s="1"/>
  <c r="H56" i="6" s="1"/>
  <c r="G20" i="6"/>
  <c r="G38" i="6" s="1"/>
  <c r="G56" i="6" s="1"/>
  <c r="F20" i="6"/>
  <c r="F38" i="6" s="1"/>
  <c r="F56" i="6" s="1"/>
  <c r="E20" i="6"/>
  <c r="E38" i="6" s="1"/>
  <c r="E56" i="6" s="1"/>
  <c r="D20" i="6"/>
  <c r="D38" i="6" s="1"/>
  <c r="D56" i="6" s="1"/>
  <c r="C20" i="6"/>
  <c r="C38" i="6" s="1"/>
  <c r="C56" i="6" s="1"/>
  <c r="N13" i="6"/>
  <c r="M13" i="6"/>
  <c r="L13" i="6"/>
  <c r="J13" i="6"/>
  <c r="I13" i="6"/>
  <c r="H13" i="6"/>
  <c r="G13" i="6"/>
  <c r="F13" i="6"/>
  <c r="E13" i="6"/>
  <c r="D13" i="6"/>
  <c r="C13" i="6"/>
  <c r="N8" i="6"/>
  <c r="M8" i="6"/>
  <c r="L8" i="6"/>
  <c r="J8" i="6"/>
  <c r="I8" i="6"/>
  <c r="H8" i="6"/>
  <c r="G8" i="6"/>
  <c r="F8" i="6"/>
  <c r="E8" i="6"/>
  <c r="D8" i="6"/>
  <c r="C8" i="6"/>
  <c r="N3" i="6"/>
  <c r="M3" i="6"/>
  <c r="L3" i="6"/>
  <c r="J3" i="6"/>
  <c r="I3" i="6"/>
  <c r="H3" i="6"/>
  <c r="G3" i="6"/>
  <c r="F3" i="6"/>
  <c r="E3" i="6"/>
  <c r="D3" i="6"/>
  <c r="C3" i="6"/>
  <c r="S29" i="8" l="1"/>
  <c r="S37" i="8"/>
  <c r="AF57" i="8"/>
  <c r="AD57" i="8"/>
  <c r="AA59" i="8"/>
  <c r="AD66" i="8"/>
  <c r="AF66" i="8"/>
  <c r="AD82" i="8"/>
  <c r="AF82" i="8"/>
  <c r="X85" i="8"/>
  <c r="AB85" i="8" s="1"/>
  <c r="AD99" i="8"/>
  <c r="AF99" i="8"/>
  <c r="S115" i="8"/>
  <c r="X119" i="8"/>
  <c r="AB119" i="8" s="1"/>
  <c r="S3" i="8"/>
  <c r="S7" i="8"/>
  <c r="S11" i="8"/>
  <c r="S15" i="8"/>
  <c r="S19" i="8"/>
  <c r="S23" i="8"/>
  <c r="S28" i="8"/>
  <c r="S36" i="8"/>
  <c r="S44" i="8"/>
  <c r="S48" i="8"/>
  <c r="S52" i="8"/>
  <c r="X89" i="8"/>
  <c r="AB89" i="8" s="1"/>
  <c r="AD109" i="8"/>
  <c r="AF109" i="8"/>
  <c r="X113" i="8"/>
  <c r="AB113" i="8" s="1"/>
  <c r="S119" i="8"/>
  <c r="AD139" i="8"/>
  <c r="AF139" i="8"/>
  <c r="AD155" i="8"/>
  <c r="AF155" i="8"/>
  <c r="AD165" i="8"/>
  <c r="AF165" i="8"/>
  <c r="X169" i="8"/>
  <c r="AB169" i="8" s="1"/>
  <c r="X5" i="8"/>
  <c r="AB5" i="8" s="1"/>
  <c r="X9" i="8"/>
  <c r="AB9" i="8" s="1"/>
  <c r="X13" i="8"/>
  <c r="AB13" i="8" s="1"/>
  <c r="X17" i="8"/>
  <c r="AB17" i="8" s="1"/>
  <c r="X21" i="8"/>
  <c r="AB21" i="8" s="1"/>
  <c r="X25" i="8"/>
  <c r="AB25" i="8" s="1"/>
  <c r="S27" i="8"/>
  <c r="S35" i="8"/>
  <c r="S43" i="8"/>
  <c r="AD83" i="8"/>
  <c r="AF83" i="8"/>
  <c r="S89" i="8"/>
  <c r="AD93" i="8"/>
  <c r="AF93" i="8"/>
  <c r="AD123" i="8"/>
  <c r="AF123" i="8"/>
  <c r="AD133" i="8"/>
  <c r="AF133" i="8"/>
  <c r="AD149" i="8"/>
  <c r="AF149" i="8"/>
  <c r="S165" i="8"/>
  <c r="AD177" i="8"/>
  <c r="AF177" i="8"/>
  <c r="AF58" i="8"/>
  <c r="AD58" i="8"/>
  <c r="AD171" i="8"/>
  <c r="AF171" i="8"/>
  <c r="S6" i="8"/>
  <c r="S10" i="8"/>
  <c r="S14" i="8"/>
  <c r="S18" i="8"/>
  <c r="S22" i="8"/>
  <c r="S26" i="8"/>
  <c r="S34" i="8"/>
  <c r="S42" i="8"/>
  <c r="S47" i="8"/>
  <c r="S51" i="8"/>
  <c r="X63" i="8"/>
  <c r="AB63" i="8" s="1"/>
  <c r="AD67" i="8"/>
  <c r="AF67" i="8"/>
  <c r="S73" i="8"/>
  <c r="X79" i="8"/>
  <c r="AB79" i="8" s="1"/>
  <c r="AD90" i="8"/>
  <c r="AF90" i="8"/>
  <c r="S93" i="8"/>
  <c r="X127" i="8"/>
  <c r="AB127" i="8" s="1"/>
  <c r="X137" i="8"/>
  <c r="AB137" i="8" s="1"/>
  <c r="X143" i="8"/>
  <c r="AB143" i="8" s="1"/>
  <c r="X153" i="8"/>
  <c r="AB153" i="8" s="1"/>
  <c r="AD125" i="8"/>
  <c r="AF125" i="8"/>
  <c r="X4" i="8"/>
  <c r="AB4" i="8" s="1"/>
  <c r="X8" i="8"/>
  <c r="AB8" i="8" s="1"/>
  <c r="X12" i="8"/>
  <c r="AB12" i="8" s="1"/>
  <c r="X16" i="8"/>
  <c r="AB16" i="8" s="1"/>
  <c r="X20" i="8"/>
  <c r="AB20" i="8" s="1"/>
  <c r="X24" i="8"/>
  <c r="AB24" i="8" s="1"/>
  <c r="S33" i="8"/>
  <c r="S41" i="8"/>
  <c r="AD74" i="8"/>
  <c r="AF74" i="8"/>
  <c r="S76" i="8"/>
  <c r="AD107" i="8"/>
  <c r="AF107" i="8"/>
  <c r="AD117" i="8"/>
  <c r="AF117" i="8"/>
  <c r="X121" i="8"/>
  <c r="AB121" i="8" s="1"/>
  <c r="AD163" i="8"/>
  <c r="AF163" i="8"/>
  <c r="AD173" i="8"/>
  <c r="AF173" i="8"/>
  <c r="S32" i="8"/>
  <c r="S40" i="8"/>
  <c r="X61" i="8"/>
  <c r="AB61" i="8" s="1"/>
  <c r="X77" i="8"/>
  <c r="AB77" i="8" s="1"/>
  <c r="AD91" i="8"/>
  <c r="AF91" i="8"/>
  <c r="AD101" i="8"/>
  <c r="AF101" i="8"/>
  <c r="X111" i="8"/>
  <c r="AB111" i="8" s="1"/>
  <c r="AD131" i="8"/>
  <c r="AF131" i="8"/>
  <c r="AD147" i="8"/>
  <c r="AF147" i="8"/>
  <c r="AD75" i="8"/>
  <c r="AF75" i="8"/>
  <c r="AD115" i="8"/>
  <c r="AF115" i="8"/>
  <c r="S39" i="8"/>
  <c r="AC59" i="8"/>
  <c r="Z59" i="8"/>
  <c r="X59" i="8" s="1"/>
  <c r="AB59" i="8" s="1"/>
  <c r="X65" i="8"/>
  <c r="AB65" i="8" s="1"/>
  <c r="X81" i="8"/>
  <c r="AB81" i="8" s="1"/>
  <c r="X87" i="8"/>
  <c r="AB87" i="8" s="1"/>
  <c r="X95" i="8"/>
  <c r="AB95" i="8" s="1"/>
  <c r="X105" i="8"/>
  <c r="AB105" i="8" s="1"/>
  <c r="S111" i="8"/>
  <c r="AD141" i="8"/>
  <c r="AF141" i="8"/>
  <c r="S147" i="8"/>
  <c r="AD157" i="8"/>
  <c r="AF157" i="8"/>
  <c r="X161" i="8"/>
  <c r="AB161" i="8" s="1"/>
  <c r="O60" i="8"/>
  <c r="S60" i="8" s="1"/>
  <c r="S61" i="8"/>
  <c r="AF62" i="8"/>
  <c r="AC64" i="8"/>
  <c r="Z66" i="8"/>
  <c r="X66" i="8" s="1"/>
  <c r="AB66" i="8" s="1"/>
  <c r="S69" i="8"/>
  <c r="AF70" i="8"/>
  <c r="AC72" i="8"/>
  <c r="Z74" i="8"/>
  <c r="X74" i="8" s="1"/>
  <c r="AB74" i="8" s="1"/>
  <c r="S77" i="8"/>
  <c r="AC80" i="8"/>
  <c r="Z82" i="8"/>
  <c r="X82" i="8" s="1"/>
  <c r="AB82" i="8" s="1"/>
  <c r="S85" i="8"/>
  <c r="AF86" i="8"/>
  <c r="AC88" i="8"/>
  <c r="Z90" i="8"/>
  <c r="X90" i="8" s="1"/>
  <c r="AB90" i="8" s="1"/>
  <c r="S94" i="8"/>
  <c r="AD94" i="8"/>
  <c r="AF96" i="8"/>
  <c r="S102" i="8"/>
  <c r="AF104" i="8"/>
  <c r="S110" i="8"/>
  <c r="AF112" i="8"/>
  <c r="S118" i="8"/>
  <c r="AF120" i="8"/>
  <c r="S126" i="8"/>
  <c r="AF128" i="8"/>
  <c r="S134" i="8"/>
  <c r="AD134" i="8"/>
  <c r="AF136" i="8"/>
  <c r="S142" i="8"/>
  <c r="AF144" i="8"/>
  <c r="S150" i="8"/>
  <c r="AF152" i="8"/>
  <c r="S158" i="8"/>
  <c r="AF160" i="8"/>
  <c r="S166" i="8"/>
  <c r="AF168" i="8"/>
  <c r="S174" i="8"/>
  <c r="AD174" i="8"/>
  <c r="W192" i="8"/>
  <c r="Z196" i="8"/>
  <c r="W196" i="8"/>
  <c r="W200" i="8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N59" i="8"/>
  <c r="AC61" i="8"/>
  <c r="AA62" i="8"/>
  <c r="N65" i="8"/>
  <c r="R66" i="8"/>
  <c r="S66" i="8" s="1"/>
  <c r="O68" i="8"/>
  <c r="S68" i="8" s="1"/>
  <c r="AC69" i="8"/>
  <c r="AA70" i="8"/>
  <c r="N73" i="8"/>
  <c r="R74" i="8"/>
  <c r="S74" i="8" s="1"/>
  <c r="O76" i="8"/>
  <c r="AC77" i="8"/>
  <c r="AA78" i="8"/>
  <c r="N81" i="8"/>
  <c r="R82" i="8"/>
  <c r="S82" i="8" s="1"/>
  <c r="O84" i="8"/>
  <c r="S84" i="8" s="1"/>
  <c r="AC85" i="8"/>
  <c r="AA86" i="8"/>
  <c r="N89" i="8"/>
  <c r="R90" i="8"/>
  <c r="S90" i="8" s="1"/>
  <c r="N93" i="8"/>
  <c r="X93" i="8"/>
  <c r="AB93" i="8" s="1"/>
  <c r="O95" i="8"/>
  <c r="S95" i="8" s="1"/>
  <c r="R97" i="8"/>
  <c r="S97" i="8" s="1"/>
  <c r="AC97" i="8"/>
  <c r="AA99" i="8"/>
  <c r="N101" i="8"/>
  <c r="X101" i="8"/>
  <c r="AB101" i="8" s="1"/>
  <c r="O103" i="8"/>
  <c r="S103" i="8" s="1"/>
  <c r="R105" i="8"/>
  <c r="S105" i="8" s="1"/>
  <c r="AC105" i="8"/>
  <c r="AA107" i="8"/>
  <c r="N109" i="8"/>
  <c r="X109" i="8"/>
  <c r="AB109" i="8" s="1"/>
  <c r="O111" i="8"/>
  <c r="R113" i="8"/>
  <c r="S113" i="8" s="1"/>
  <c r="AC113" i="8"/>
  <c r="AA115" i="8"/>
  <c r="N117" i="8"/>
  <c r="X117" i="8"/>
  <c r="AB117" i="8" s="1"/>
  <c r="O119" i="8"/>
  <c r="R121" i="8"/>
  <c r="S121" i="8" s="1"/>
  <c r="AC121" i="8"/>
  <c r="AA123" i="8"/>
  <c r="N125" i="8"/>
  <c r="X125" i="8"/>
  <c r="AB125" i="8" s="1"/>
  <c r="O127" i="8"/>
  <c r="S127" i="8" s="1"/>
  <c r="R129" i="8"/>
  <c r="S129" i="8" s="1"/>
  <c r="AC129" i="8"/>
  <c r="AA131" i="8"/>
  <c r="N133" i="8"/>
  <c r="X133" i="8"/>
  <c r="AB133" i="8" s="1"/>
  <c r="O135" i="8"/>
  <c r="S135" i="8" s="1"/>
  <c r="R137" i="8"/>
  <c r="S137" i="8" s="1"/>
  <c r="AC137" i="8"/>
  <c r="AA139" i="8"/>
  <c r="N141" i="8"/>
  <c r="X141" i="8"/>
  <c r="AB141" i="8" s="1"/>
  <c r="O143" i="8"/>
  <c r="S143" i="8" s="1"/>
  <c r="R145" i="8"/>
  <c r="S145" i="8" s="1"/>
  <c r="AC145" i="8"/>
  <c r="AA147" i="8"/>
  <c r="N149" i="8"/>
  <c r="X149" i="8"/>
  <c r="AB149" i="8" s="1"/>
  <c r="O151" i="8"/>
  <c r="S151" i="8" s="1"/>
  <c r="R153" i="8"/>
  <c r="S153" i="8" s="1"/>
  <c r="AC153" i="8"/>
  <c r="AA155" i="8"/>
  <c r="N157" i="8"/>
  <c r="X157" i="8"/>
  <c r="AB157" i="8" s="1"/>
  <c r="O159" i="8"/>
  <c r="S159" i="8" s="1"/>
  <c r="R161" i="8"/>
  <c r="S161" i="8" s="1"/>
  <c r="AC161" i="8"/>
  <c r="AA163" i="8"/>
  <c r="N165" i="8"/>
  <c r="X165" i="8"/>
  <c r="AB165" i="8" s="1"/>
  <c r="O167" i="8"/>
  <c r="S167" i="8" s="1"/>
  <c r="R169" i="8"/>
  <c r="S169" i="8" s="1"/>
  <c r="AC169" i="8"/>
  <c r="AA171" i="8"/>
  <c r="N173" i="8"/>
  <c r="X173" i="8"/>
  <c r="AB173" i="8" s="1"/>
  <c r="O175" i="8"/>
  <c r="AC175" i="8"/>
  <c r="N177" i="8"/>
  <c r="S178" i="8"/>
  <c r="X178" i="8"/>
  <c r="AB178" i="8" s="1"/>
  <c r="S179" i="8"/>
  <c r="X179" i="8"/>
  <c r="AB179" i="8" s="1"/>
  <c r="S180" i="8"/>
  <c r="X180" i="8"/>
  <c r="AB180" i="8" s="1"/>
  <c r="S181" i="8"/>
  <c r="X181" i="8"/>
  <c r="AB181" i="8" s="1"/>
  <c r="S182" i="8"/>
  <c r="X182" i="8"/>
  <c r="AB182" i="8" s="1"/>
  <c r="S183" i="8"/>
  <c r="X183" i="8"/>
  <c r="AB183" i="8" s="1"/>
  <c r="S184" i="8"/>
  <c r="X184" i="8"/>
  <c r="AB184" i="8" s="1"/>
  <c r="S185" i="8"/>
  <c r="X185" i="8"/>
  <c r="AB185" i="8" s="1"/>
  <c r="S186" i="8"/>
  <c r="X186" i="8"/>
  <c r="AB186" i="8" s="1"/>
  <c r="S187" i="8"/>
  <c r="X187" i="8"/>
  <c r="AB187" i="8" s="1"/>
  <c r="S188" i="8"/>
  <c r="X188" i="8"/>
  <c r="AB188" i="8" s="1"/>
  <c r="S189" i="8"/>
  <c r="X189" i="8"/>
  <c r="AB189" i="8" s="1"/>
  <c r="S190" i="8"/>
  <c r="W205" i="8"/>
  <c r="AA205" i="8" s="1"/>
  <c r="O59" i="8"/>
  <c r="S59" i="8" s="1"/>
  <c r="O65" i="8"/>
  <c r="S65" i="8" s="1"/>
  <c r="O73" i="8"/>
  <c r="O81" i="8"/>
  <c r="S81" i="8" s="1"/>
  <c r="O89" i="8"/>
  <c r="AF94" i="8"/>
  <c r="AF110" i="8"/>
  <c r="AF118" i="8"/>
  <c r="AD124" i="8"/>
  <c r="AF126" i="8"/>
  <c r="AD132" i="8"/>
  <c r="AD148" i="8"/>
  <c r="AF158" i="8"/>
  <c r="AF166" i="8"/>
  <c r="AD172" i="8"/>
  <c r="AF174" i="8"/>
  <c r="AC176" i="8"/>
  <c r="W195" i="8"/>
  <c r="W199" i="8"/>
  <c r="AA199" i="8" s="1"/>
  <c r="Z202" i="8"/>
  <c r="X202" i="8" s="1"/>
  <c r="AB202" i="8" s="1"/>
  <c r="W202" i="8"/>
  <c r="S245" i="8"/>
  <c r="S248" i="8"/>
  <c r="N32" i="8"/>
  <c r="N33" i="8"/>
  <c r="N34" i="8"/>
  <c r="N35" i="8"/>
  <c r="N36" i="8"/>
  <c r="N37" i="8"/>
  <c r="N38" i="8"/>
  <c r="N39" i="8"/>
  <c r="N40" i="8"/>
  <c r="N41" i="8"/>
  <c r="N42" i="8"/>
  <c r="N43" i="8"/>
  <c r="X58" i="8"/>
  <c r="AB58" i="8" s="1"/>
  <c r="AC60" i="8"/>
  <c r="AC63" i="8"/>
  <c r="AA64" i="8"/>
  <c r="X67" i="8"/>
  <c r="AB67" i="8" s="1"/>
  <c r="AC71" i="8"/>
  <c r="AA72" i="8"/>
  <c r="X75" i="8"/>
  <c r="AB75" i="8" s="1"/>
  <c r="AC79" i="8"/>
  <c r="AA80" i="8"/>
  <c r="N83" i="8"/>
  <c r="X83" i="8"/>
  <c r="AB83" i="8" s="1"/>
  <c r="AC87" i="8"/>
  <c r="AA88" i="8"/>
  <c r="N91" i="8"/>
  <c r="X91" i="8"/>
  <c r="AB91" i="8" s="1"/>
  <c r="O93" i="8"/>
  <c r="AC95" i="8"/>
  <c r="AA97" i="8"/>
  <c r="N99" i="8"/>
  <c r="X99" i="8"/>
  <c r="AB99" i="8" s="1"/>
  <c r="O101" i="8"/>
  <c r="S101" i="8" s="1"/>
  <c r="AC103" i="8"/>
  <c r="AA105" i="8"/>
  <c r="N107" i="8"/>
  <c r="X107" i="8"/>
  <c r="AB107" i="8" s="1"/>
  <c r="O109" i="8"/>
  <c r="S109" i="8" s="1"/>
  <c r="AC111" i="8"/>
  <c r="AA113" i="8"/>
  <c r="N115" i="8"/>
  <c r="X115" i="8"/>
  <c r="AB115" i="8" s="1"/>
  <c r="O117" i="8"/>
  <c r="S117" i="8" s="1"/>
  <c r="AC119" i="8"/>
  <c r="AA121" i="8"/>
  <c r="N123" i="8"/>
  <c r="X123" i="8"/>
  <c r="AB123" i="8" s="1"/>
  <c r="O125" i="8"/>
  <c r="S125" i="8" s="1"/>
  <c r="AC127" i="8"/>
  <c r="AA129" i="8"/>
  <c r="N131" i="8"/>
  <c r="X131" i="8"/>
  <c r="AB131" i="8" s="1"/>
  <c r="O133" i="8"/>
  <c r="S133" i="8" s="1"/>
  <c r="AC135" i="8"/>
  <c r="AA137" i="8"/>
  <c r="N139" i="8"/>
  <c r="X139" i="8"/>
  <c r="AB139" i="8" s="1"/>
  <c r="O141" i="8"/>
  <c r="S141" i="8" s="1"/>
  <c r="AC143" i="8"/>
  <c r="AA145" i="8"/>
  <c r="N147" i="8"/>
  <c r="X147" i="8"/>
  <c r="AB147" i="8" s="1"/>
  <c r="O149" i="8"/>
  <c r="S149" i="8" s="1"/>
  <c r="AC151" i="8"/>
  <c r="AA153" i="8"/>
  <c r="N155" i="8"/>
  <c r="X155" i="8"/>
  <c r="AB155" i="8" s="1"/>
  <c r="O157" i="8"/>
  <c r="S157" i="8" s="1"/>
  <c r="AC159" i="8"/>
  <c r="AA161" i="8"/>
  <c r="N163" i="8"/>
  <c r="X163" i="8"/>
  <c r="AB163" i="8" s="1"/>
  <c r="O165" i="8"/>
  <c r="AC167" i="8"/>
  <c r="AA169" i="8"/>
  <c r="N171" i="8"/>
  <c r="X171" i="8"/>
  <c r="AB171" i="8" s="1"/>
  <c r="O173" i="8"/>
  <c r="S173" i="8" s="1"/>
  <c r="O177" i="8"/>
  <c r="S177" i="8" s="1"/>
  <c r="N191" i="8"/>
  <c r="AA61" i="8"/>
  <c r="AD68" i="8"/>
  <c r="W194" i="8"/>
  <c r="AA194" i="8" s="1"/>
  <c r="Z198" i="8"/>
  <c r="X198" i="8" s="1"/>
  <c r="AB198" i="8" s="1"/>
  <c r="W198" i="8"/>
  <c r="AA198" i="8" s="1"/>
  <c r="W204" i="8"/>
  <c r="AD81" i="8"/>
  <c r="AA95" i="8"/>
  <c r="N97" i="8"/>
  <c r="O99" i="8"/>
  <c r="S99" i="8" s="1"/>
  <c r="AA103" i="8"/>
  <c r="N105" i="8"/>
  <c r="O107" i="8"/>
  <c r="S107" i="8" s="1"/>
  <c r="AA111" i="8"/>
  <c r="N113" i="8"/>
  <c r="O115" i="8"/>
  <c r="AA119" i="8"/>
  <c r="N121" i="8"/>
  <c r="O123" i="8"/>
  <c r="S123" i="8" s="1"/>
  <c r="AA127" i="8"/>
  <c r="N129" i="8"/>
  <c r="O131" i="8"/>
  <c r="S131" i="8" s="1"/>
  <c r="AA135" i="8"/>
  <c r="N137" i="8"/>
  <c r="O139" i="8"/>
  <c r="S139" i="8" s="1"/>
  <c r="AA143" i="8"/>
  <c r="N145" i="8"/>
  <c r="O147" i="8"/>
  <c r="AA151" i="8"/>
  <c r="N153" i="8"/>
  <c r="O155" i="8"/>
  <c r="S155" i="8" s="1"/>
  <c r="AA159" i="8"/>
  <c r="N161" i="8"/>
  <c r="O163" i="8"/>
  <c r="S163" i="8" s="1"/>
  <c r="AA167" i="8"/>
  <c r="N169" i="8"/>
  <c r="O171" i="8"/>
  <c r="S171" i="8" s="1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O191" i="8"/>
  <c r="S191" i="8" s="1"/>
  <c r="W201" i="8"/>
  <c r="AA60" i="8"/>
  <c r="AD78" i="8"/>
  <c r="S83" i="8"/>
  <c r="S91" i="8"/>
  <c r="S175" i="8"/>
  <c r="W193" i="8"/>
  <c r="W197" i="8"/>
  <c r="AA197" i="8" s="1"/>
  <c r="Z210" i="8"/>
  <c r="X210" i="8" s="1"/>
  <c r="AB210" i="8" s="1"/>
  <c r="Z212" i="8"/>
  <c r="Z220" i="8"/>
  <c r="Z226" i="8"/>
  <c r="X226" i="8" s="1"/>
  <c r="AB226" i="8" s="1"/>
  <c r="Z228" i="8"/>
  <c r="AF65" i="8"/>
  <c r="AF73" i="8"/>
  <c r="AF81" i="8"/>
  <c r="AF89" i="8"/>
  <c r="AA93" i="8"/>
  <c r="N95" i="8"/>
  <c r="AA101" i="8"/>
  <c r="N103" i="8"/>
  <c r="AA109" i="8"/>
  <c r="N111" i="8"/>
  <c r="AA117" i="8"/>
  <c r="N119" i="8"/>
  <c r="AA125" i="8"/>
  <c r="N127" i="8"/>
  <c r="AA133" i="8"/>
  <c r="N135" i="8"/>
  <c r="AA141" i="8"/>
  <c r="N143" i="8"/>
  <c r="AA149" i="8"/>
  <c r="N151" i="8"/>
  <c r="AA157" i="8"/>
  <c r="N159" i="8"/>
  <c r="AA165" i="8"/>
  <c r="N167" i="8"/>
  <c r="AA173" i="8"/>
  <c r="N175" i="8"/>
  <c r="S176" i="8"/>
  <c r="AA178" i="8"/>
  <c r="AA179" i="8"/>
  <c r="AD179" i="8" s="1"/>
  <c r="AA180" i="8"/>
  <c r="AA181" i="8"/>
  <c r="AA182" i="8"/>
  <c r="AA183" i="8"/>
  <c r="AA184" i="8"/>
  <c r="AA185" i="8"/>
  <c r="AA186" i="8"/>
  <c r="AA187" i="8"/>
  <c r="AA188" i="8"/>
  <c r="AA189" i="8"/>
  <c r="W203" i="8"/>
  <c r="AA203" i="8" s="1"/>
  <c r="Z230" i="8"/>
  <c r="S246" i="8"/>
  <c r="W206" i="8"/>
  <c r="W208" i="8"/>
  <c r="W210" i="8"/>
  <c r="W212" i="8"/>
  <c r="AA212" i="8" s="1"/>
  <c r="W214" i="8"/>
  <c r="W216" i="8"/>
  <c r="W218" i="8"/>
  <c r="AA218" i="8" s="1"/>
  <c r="W220" i="8"/>
  <c r="W222" i="8"/>
  <c r="W224" i="8"/>
  <c r="W226" i="8"/>
  <c r="W228" i="8"/>
  <c r="AA228" i="8" s="1"/>
  <c r="W230" i="8"/>
  <c r="X234" i="8"/>
  <c r="AB234" i="8" s="1"/>
  <c r="AC234" i="8"/>
  <c r="AA236" i="8"/>
  <c r="O237" i="8"/>
  <c r="S237" i="8" s="1"/>
  <c r="X242" i="8"/>
  <c r="AB242" i="8" s="1"/>
  <c r="AC242" i="8"/>
  <c r="R244" i="8"/>
  <c r="S244" i="8" s="1"/>
  <c r="AA244" i="8"/>
  <c r="O245" i="8"/>
  <c r="X250" i="8"/>
  <c r="AB250" i="8" s="1"/>
  <c r="AC250" i="8"/>
  <c r="R252" i="8"/>
  <c r="S252" i="8" s="1"/>
  <c r="AC258" i="8"/>
  <c r="R260" i="8"/>
  <c r="S260" i="8" s="1"/>
  <c r="AA260" i="8"/>
  <c r="R267" i="8"/>
  <c r="O267" i="8"/>
  <c r="W272" i="8"/>
  <c r="Z291" i="8"/>
  <c r="X291" i="8" s="1"/>
  <c r="AB291" i="8" s="1"/>
  <c r="Z315" i="8"/>
  <c r="AD332" i="8"/>
  <c r="AF332" i="8"/>
  <c r="AD345" i="8"/>
  <c r="AF345" i="8"/>
  <c r="X196" i="8"/>
  <c r="AB196" i="8" s="1"/>
  <c r="AC198" i="8"/>
  <c r="X212" i="8"/>
  <c r="AB212" i="8" s="1"/>
  <c r="AC214" i="8"/>
  <c r="X220" i="8"/>
  <c r="AB220" i="8" s="1"/>
  <c r="X228" i="8"/>
  <c r="AB228" i="8" s="1"/>
  <c r="X230" i="8"/>
  <c r="AB230" i="8" s="1"/>
  <c r="AC230" i="8"/>
  <c r="N232" i="8"/>
  <c r="X232" i="8"/>
  <c r="AB232" i="8" s="1"/>
  <c r="AC232" i="8"/>
  <c r="N237" i="8"/>
  <c r="X237" i="8"/>
  <c r="AB237" i="8" s="1"/>
  <c r="AC237" i="8"/>
  <c r="O240" i="8"/>
  <c r="S240" i="8" s="1"/>
  <c r="N245" i="8"/>
  <c r="X245" i="8"/>
  <c r="AB245" i="8" s="1"/>
  <c r="AC245" i="8"/>
  <c r="O248" i="8"/>
  <c r="N253" i="8"/>
  <c r="X253" i="8"/>
  <c r="AB253" i="8" s="1"/>
  <c r="AC253" i="8"/>
  <c r="R255" i="8"/>
  <c r="S255" i="8" s="1"/>
  <c r="Z258" i="8"/>
  <c r="X258" i="8" s="1"/>
  <c r="AB258" i="8" s="1"/>
  <c r="N261" i="8"/>
  <c r="X261" i="8"/>
  <c r="AB261" i="8" s="1"/>
  <c r="AC261" i="8"/>
  <c r="AF266" i="8"/>
  <c r="AD266" i="8"/>
  <c r="AC267" i="8"/>
  <c r="AC268" i="8"/>
  <c r="AF273" i="8"/>
  <c r="AD273" i="8"/>
  <c r="AA288" i="8"/>
  <c r="AA299" i="8"/>
  <c r="AA320" i="8"/>
  <c r="AD333" i="8"/>
  <c r="AF333" i="8"/>
  <c r="AD338" i="8"/>
  <c r="AF338" i="8"/>
  <c r="AD339" i="8"/>
  <c r="AF339" i="8"/>
  <c r="AD354" i="8"/>
  <c r="AF354" i="8"/>
  <c r="P192" i="8"/>
  <c r="AC192" i="8" s="1"/>
  <c r="P194" i="8"/>
  <c r="AC194" i="8" s="1"/>
  <c r="P196" i="8"/>
  <c r="AC196" i="8" s="1"/>
  <c r="P198" i="8"/>
  <c r="P200" i="8"/>
  <c r="Z200" i="8" s="1"/>
  <c r="X200" i="8" s="1"/>
  <c r="AB200" i="8" s="1"/>
  <c r="P202" i="8"/>
  <c r="AC202" i="8" s="1"/>
  <c r="P204" i="8"/>
  <c r="Z204" i="8" s="1"/>
  <c r="X204" i="8" s="1"/>
  <c r="AB204" i="8" s="1"/>
  <c r="P206" i="8"/>
  <c r="AC206" i="8" s="1"/>
  <c r="P208" i="8"/>
  <c r="Z208" i="8" s="1"/>
  <c r="X208" i="8" s="1"/>
  <c r="AB208" i="8" s="1"/>
  <c r="P210" i="8"/>
  <c r="AC210" i="8" s="1"/>
  <c r="P212" i="8"/>
  <c r="AC212" i="8" s="1"/>
  <c r="P214" i="8"/>
  <c r="Z214" i="8" s="1"/>
  <c r="X214" i="8" s="1"/>
  <c r="AB214" i="8" s="1"/>
  <c r="P216" i="8"/>
  <c r="AC216" i="8" s="1"/>
  <c r="P218" i="8"/>
  <c r="Z218" i="8" s="1"/>
  <c r="X218" i="8" s="1"/>
  <c r="AB218" i="8" s="1"/>
  <c r="P220" i="8"/>
  <c r="AC220" i="8" s="1"/>
  <c r="P222" i="8"/>
  <c r="AC222" i="8" s="1"/>
  <c r="P224" i="8"/>
  <c r="Z224" i="8" s="1"/>
  <c r="X224" i="8" s="1"/>
  <c r="AB224" i="8" s="1"/>
  <c r="P226" i="8"/>
  <c r="AC226" i="8" s="1"/>
  <c r="P228" i="8"/>
  <c r="AC228" i="8" s="1"/>
  <c r="P230" i="8"/>
  <c r="O235" i="8"/>
  <c r="S235" i="8" s="1"/>
  <c r="X240" i="8"/>
  <c r="AB240" i="8" s="1"/>
  <c r="AC240" i="8"/>
  <c r="O243" i="8"/>
  <c r="S243" i="8" s="1"/>
  <c r="X248" i="8"/>
  <c r="AB248" i="8" s="1"/>
  <c r="AC248" i="8"/>
  <c r="R250" i="8"/>
  <c r="S250" i="8" s="1"/>
  <c r="X256" i="8"/>
  <c r="AB256" i="8" s="1"/>
  <c r="AC256" i="8"/>
  <c r="AC275" i="8"/>
  <c r="AC283" i="8"/>
  <c r="AD350" i="8"/>
  <c r="AF350" i="8"/>
  <c r="AD351" i="8"/>
  <c r="AF351" i="8"/>
  <c r="N235" i="8"/>
  <c r="X235" i="8"/>
  <c r="AB235" i="8" s="1"/>
  <c r="AC235" i="8"/>
  <c r="O238" i="8"/>
  <c r="S238" i="8" s="1"/>
  <c r="N243" i="8"/>
  <c r="X243" i="8"/>
  <c r="AB243" i="8" s="1"/>
  <c r="AC243" i="8"/>
  <c r="O246" i="8"/>
  <c r="N251" i="8"/>
  <c r="X251" i="8"/>
  <c r="AB251" i="8" s="1"/>
  <c r="AC251" i="8"/>
  <c r="R253" i="8"/>
  <c r="S253" i="8" s="1"/>
  <c r="N259" i="8"/>
  <c r="X259" i="8"/>
  <c r="AB259" i="8" s="1"/>
  <c r="AC259" i="8"/>
  <c r="R261" i="8"/>
  <c r="S261" i="8" s="1"/>
  <c r="N267" i="8"/>
  <c r="AA271" i="8"/>
  <c r="S277" i="8"/>
  <c r="S314" i="8"/>
  <c r="S317" i="8"/>
  <c r="AC191" i="8"/>
  <c r="W207" i="8"/>
  <c r="W209" i="8"/>
  <c r="AA209" i="8" s="1"/>
  <c r="W211" i="8"/>
  <c r="W213" i="8"/>
  <c r="AA213" i="8" s="1"/>
  <c r="W215" i="8"/>
  <c r="W217" i="8"/>
  <c r="W219" i="8"/>
  <c r="W221" i="8"/>
  <c r="AA221" i="8" s="1"/>
  <c r="W223" i="8"/>
  <c r="W225" i="8"/>
  <c r="AA225" i="8" s="1"/>
  <c r="O227" i="8"/>
  <c r="S227" i="8" s="1"/>
  <c r="W227" i="8"/>
  <c r="O229" i="8"/>
  <c r="S229" i="8" s="1"/>
  <c r="W229" i="8"/>
  <c r="AA229" i="8" s="1"/>
  <c r="O231" i="8"/>
  <c r="S231" i="8" s="1"/>
  <c r="W231" i="8"/>
  <c r="AA231" i="8" s="1"/>
  <c r="O233" i="8"/>
  <c r="S233" i="8" s="1"/>
  <c r="N238" i="8"/>
  <c r="X238" i="8"/>
  <c r="AB238" i="8" s="1"/>
  <c r="AC238" i="8"/>
  <c r="O241" i="8"/>
  <c r="S241" i="8" s="1"/>
  <c r="N246" i="8"/>
  <c r="X246" i="8"/>
  <c r="AB246" i="8" s="1"/>
  <c r="AC246" i="8"/>
  <c r="N254" i="8"/>
  <c r="X254" i="8"/>
  <c r="AB254" i="8" s="1"/>
  <c r="AC254" i="8"/>
  <c r="R256" i="8"/>
  <c r="S256" i="8" s="1"/>
  <c r="N262" i="8"/>
  <c r="X262" i="8"/>
  <c r="AB262" i="8" s="1"/>
  <c r="AC262" i="8"/>
  <c r="R263" i="8"/>
  <c r="S263" i="8" s="1"/>
  <c r="O263" i="8"/>
  <c r="AA269" i="8"/>
  <c r="AF274" i="8"/>
  <c r="AD274" i="8"/>
  <c r="Z327" i="8"/>
  <c r="X327" i="8" s="1"/>
  <c r="AB327" i="8" s="1"/>
  <c r="AD336" i="8"/>
  <c r="AF336" i="8"/>
  <c r="AD340" i="8"/>
  <c r="AF340" i="8"/>
  <c r="AD341" i="8"/>
  <c r="AF341" i="8"/>
  <c r="AD348" i="8"/>
  <c r="AF348" i="8"/>
  <c r="AC199" i="8"/>
  <c r="AC207" i="8"/>
  <c r="AC215" i="8"/>
  <c r="AC223" i="8"/>
  <c r="X229" i="8"/>
  <c r="AB229" i="8" s="1"/>
  <c r="AC229" i="8"/>
  <c r="N231" i="8"/>
  <c r="X231" i="8"/>
  <c r="AB231" i="8" s="1"/>
  <c r="AC231" i="8"/>
  <c r="N233" i="8"/>
  <c r="AC233" i="8"/>
  <c r="O236" i="8"/>
  <c r="S236" i="8" s="1"/>
  <c r="N241" i="8"/>
  <c r="AC241" i="8"/>
  <c r="O244" i="8"/>
  <c r="N249" i="8"/>
  <c r="AC249" i="8"/>
  <c r="R251" i="8"/>
  <c r="S251" i="8" s="1"/>
  <c r="N257" i="8"/>
  <c r="X257" i="8"/>
  <c r="AB257" i="8" s="1"/>
  <c r="AC257" i="8"/>
  <c r="R259" i="8"/>
  <c r="S259" i="8" s="1"/>
  <c r="R264" i="8"/>
  <c r="S264" i="8" s="1"/>
  <c r="O264" i="8"/>
  <c r="X270" i="8"/>
  <c r="AB270" i="8" s="1"/>
  <c r="AC270" i="8"/>
  <c r="AA279" i="8"/>
  <c r="Z300" i="8"/>
  <c r="X300" i="8" s="1"/>
  <c r="AB300" i="8" s="1"/>
  <c r="AD337" i="8"/>
  <c r="AF337" i="8"/>
  <c r="AD342" i="8"/>
  <c r="AF342" i="8"/>
  <c r="AD343" i="8"/>
  <c r="AF343" i="8"/>
  <c r="P193" i="8"/>
  <c r="Z193" i="8" s="1"/>
  <c r="X193" i="8" s="1"/>
  <c r="AB193" i="8" s="1"/>
  <c r="P195" i="8"/>
  <c r="AC195" i="8" s="1"/>
  <c r="P197" i="8"/>
  <c r="Z197" i="8" s="1"/>
  <c r="X197" i="8" s="1"/>
  <c r="AB197" i="8" s="1"/>
  <c r="P199" i="8"/>
  <c r="Z199" i="8" s="1"/>
  <c r="X199" i="8" s="1"/>
  <c r="AB199" i="8" s="1"/>
  <c r="P201" i="8"/>
  <c r="Z201" i="8" s="1"/>
  <c r="X201" i="8" s="1"/>
  <c r="AB201" i="8" s="1"/>
  <c r="P203" i="8"/>
  <c r="Z203" i="8" s="1"/>
  <c r="X203" i="8" s="1"/>
  <c r="AB203" i="8" s="1"/>
  <c r="P205" i="8"/>
  <c r="Z205" i="8" s="1"/>
  <c r="X205" i="8" s="1"/>
  <c r="AB205" i="8" s="1"/>
  <c r="P207" i="8"/>
  <c r="Z207" i="8" s="1"/>
  <c r="X207" i="8" s="1"/>
  <c r="AB207" i="8" s="1"/>
  <c r="P209" i="8"/>
  <c r="AC209" i="8" s="1"/>
  <c r="P211" i="8"/>
  <c r="AC211" i="8" s="1"/>
  <c r="P213" i="8"/>
  <c r="Z213" i="8" s="1"/>
  <c r="X213" i="8" s="1"/>
  <c r="AB213" i="8" s="1"/>
  <c r="P215" i="8"/>
  <c r="Z215" i="8" s="1"/>
  <c r="X215" i="8" s="1"/>
  <c r="AB215" i="8" s="1"/>
  <c r="P217" i="8"/>
  <c r="Z217" i="8" s="1"/>
  <c r="X217" i="8" s="1"/>
  <c r="AB217" i="8" s="1"/>
  <c r="P219" i="8"/>
  <c r="Z219" i="8" s="1"/>
  <c r="X219" i="8" s="1"/>
  <c r="AB219" i="8" s="1"/>
  <c r="P221" i="8"/>
  <c r="Z221" i="8" s="1"/>
  <c r="X221" i="8" s="1"/>
  <c r="AB221" i="8" s="1"/>
  <c r="P223" i="8"/>
  <c r="Z223" i="8" s="1"/>
  <c r="X223" i="8" s="1"/>
  <c r="AB223" i="8" s="1"/>
  <c r="P225" i="8"/>
  <c r="AC225" i="8" s="1"/>
  <c r="P227" i="8"/>
  <c r="AC227" i="8" s="1"/>
  <c r="Z233" i="8"/>
  <c r="X233" i="8" s="1"/>
  <c r="AB233" i="8" s="1"/>
  <c r="X236" i="8"/>
  <c r="AB236" i="8" s="1"/>
  <c r="AC236" i="8"/>
  <c r="Z241" i="8"/>
  <c r="X241" i="8" s="1"/>
  <c r="AB241" i="8" s="1"/>
  <c r="X244" i="8"/>
  <c r="AB244" i="8" s="1"/>
  <c r="AC244" i="8"/>
  <c r="Z249" i="8"/>
  <c r="X249" i="8" s="1"/>
  <c r="AB249" i="8" s="1"/>
  <c r="N252" i="8"/>
  <c r="X252" i="8"/>
  <c r="AB252" i="8" s="1"/>
  <c r="AC252" i="8"/>
  <c r="R254" i="8"/>
  <c r="S254" i="8" s="1"/>
  <c r="N260" i="8"/>
  <c r="X260" i="8"/>
  <c r="AB260" i="8" s="1"/>
  <c r="AC260" i="8"/>
  <c r="R262" i="8"/>
  <c r="S262" i="8" s="1"/>
  <c r="X263" i="8"/>
  <c r="AB263" i="8" s="1"/>
  <c r="AC263" i="8"/>
  <c r="R265" i="8"/>
  <c r="O265" i="8"/>
  <c r="S273" i="8"/>
  <c r="Z273" i="8"/>
  <c r="AC292" i="8"/>
  <c r="AC316" i="8"/>
  <c r="AC324" i="8"/>
  <c r="AD334" i="8"/>
  <c r="AF334" i="8"/>
  <c r="AD356" i="8"/>
  <c r="AF356" i="8"/>
  <c r="O234" i="8"/>
  <c r="S234" i="8" s="1"/>
  <c r="X239" i="8"/>
  <c r="AB239" i="8" s="1"/>
  <c r="AC239" i="8"/>
  <c r="O242" i="8"/>
  <c r="S242" i="8" s="1"/>
  <c r="X247" i="8"/>
  <c r="AB247" i="8" s="1"/>
  <c r="AC247" i="8"/>
  <c r="R249" i="8"/>
  <c r="S249" i="8" s="1"/>
  <c r="N255" i="8"/>
  <c r="X255" i="8"/>
  <c r="AB255" i="8" s="1"/>
  <c r="AC255" i="8"/>
  <c r="R257" i="8"/>
  <c r="S257" i="8" s="1"/>
  <c r="N263" i="8"/>
  <c r="AA263" i="8"/>
  <c r="X264" i="8"/>
  <c r="AB264" i="8" s="1"/>
  <c r="AC264" i="8"/>
  <c r="R266" i="8"/>
  <c r="O266" i="8"/>
  <c r="Z268" i="8"/>
  <c r="X268" i="8" s="1"/>
  <c r="AB268" i="8" s="1"/>
  <c r="AF278" i="8"/>
  <c r="AD278" i="8"/>
  <c r="AF286" i="8"/>
  <c r="AD286" i="8"/>
  <c r="AF294" i="8"/>
  <c r="AD294" i="8"/>
  <c r="S297" i="8"/>
  <c r="AF302" i="8"/>
  <c r="AD302" i="8"/>
  <c r="S305" i="8"/>
  <c r="AF310" i="8"/>
  <c r="AD310" i="8"/>
  <c r="S313" i="8"/>
  <c r="AF318" i="8"/>
  <c r="AD318" i="8"/>
  <c r="S321" i="8"/>
  <c r="AF326" i="8"/>
  <c r="AD326" i="8"/>
  <c r="S329" i="8"/>
  <c r="AF335" i="8"/>
  <c r="AC265" i="8"/>
  <c r="O269" i="8"/>
  <c r="S269" i="8" s="1"/>
  <c r="P275" i="8"/>
  <c r="AA275" i="8" s="1"/>
  <c r="O277" i="8"/>
  <c r="P283" i="8"/>
  <c r="Z283" i="8" s="1"/>
  <c r="X283" i="8" s="1"/>
  <c r="AB283" i="8" s="1"/>
  <c r="O285" i="8"/>
  <c r="S285" i="8" s="1"/>
  <c r="P291" i="8"/>
  <c r="AC291" i="8" s="1"/>
  <c r="O293" i="8"/>
  <c r="S293" i="8" s="1"/>
  <c r="P299" i="8"/>
  <c r="AC299" i="8" s="1"/>
  <c r="O301" i="8"/>
  <c r="S301" i="8" s="1"/>
  <c r="P307" i="8"/>
  <c r="Z307" i="8" s="1"/>
  <c r="X307" i="8" s="1"/>
  <c r="AB307" i="8" s="1"/>
  <c r="O309" i="8"/>
  <c r="S309" i="8" s="1"/>
  <c r="P315" i="8"/>
  <c r="AA315" i="8" s="1"/>
  <c r="O317" i="8"/>
  <c r="P323" i="8"/>
  <c r="Z323" i="8" s="1"/>
  <c r="X323" i="8" s="1"/>
  <c r="AB323" i="8" s="1"/>
  <c r="O325" i="8"/>
  <c r="S325" i="8" s="1"/>
  <c r="X328" i="8"/>
  <c r="AB328" i="8" s="1"/>
  <c r="P331" i="8"/>
  <c r="AA331" i="8" s="1"/>
  <c r="X333" i="8"/>
  <c r="AB333" i="8" s="1"/>
  <c r="X341" i="8"/>
  <c r="AB341" i="8" s="1"/>
  <c r="X351" i="8"/>
  <c r="AB351" i="8" s="1"/>
  <c r="X357" i="8"/>
  <c r="AB357" i="8" s="1"/>
  <c r="W362" i="8"/>
  <c r="S363" i="8"/>
  <c r="X364" i="8"/>
  <c r="AB364" i="8" s="1"/>
  <c r="O365" i="8"/>
  <c r="P365" i="8"/>
  <c r="AC368" i="8"/>
  <c r="Z371" i="8"/>
  <c r="X371" i="8" s="1"/>
  <c r="AB371" i="8" s="1"/>
  <c r="W371" i="8"/>
  <c r="W375" i="8"/>
  <c r="X269" i="8"/>
  <c r="AB269" i="8" s="1"/>
  <c r="P272" i="8"/>
  <c r="AC272" i="8" s="1"/>
  <c r="O274" i="8"/>
  <c r="S274" i="8" s="1"/>
  <c r="X277" i="8"/>
  <c r="AB277" i="8" s="1"/>
  <c r="P280" i="8"/>
  <c r="AC280" i="8" s="1"/>
  <c r="AC281" i="8"/>
  <c r="O282" i="8"/>
  <c r="S282" i="8" s="1"/>
  <c r="X285" i="8"/>
  <c r="AB285" i="8" s="1"/>
  <c r="P288" i="8"/>
  <c r="AC288" i="8" s="1"/>
  <c r="AC289" i="8"/>
  <c r="O290" i="8"/>
  <c r="S290" i="8" s="1"/>
  <c r="X293" i="8"/>
  <c r="AB293" i="8" s="1"/>
  <c r="P296" i="8"/>
  <c r="AC296" i="8" s="1"/>
  <c r="Z296" i="8"/>
  <c r="X296" i="8" s="1"/>
  <c r="AB296" i="8" s="1"/>
  <c r="AC297" i="8"/>
  <c r="O298" i="8"/>
  <c r="S298" i="8" s="1"/>
  <c r="X301" i="8"/>
  <c r="AB301" i="8" s="1"/>
  <c r="P304" i="8"/>
  <c r="AC304" i="8" s="1"/>
  <c r="Z304" i="8"/>
  <c r="X304" i="8" s="1"/>
  <c r="AB304" i="8" s="1"/>
  <c r="AC305" i="8"/>
  <c r="O306" i="8"/>
  <c r="S306" i="8" s="1"/>
  <c r="X309" i="8"/>
  <c r="AB309" i="8" s="1"/>
  <c r="P312" i="8"/>
  <c r="AC312" i="8" s="1"/>
  <c r="AC313" i="8"/>
  <c r="O314" i="8"/>
  <c r="X317" i="8"/>
  <c r="AB317" i="8" s="1"/>
  <c r="P320" i="8"/>
  <c r="AC320" i="8" s="1"/>
  <c r="Z320" i="8"/>
  <c r="X320" i="8" s="1"/>
  <c r="AB320" i="8" s="1"/>
  <c r="AC321" i="8"/>
  <c r="O322" i="8"/>
  <c r="S322" i="8" s="1"/>
  <c r="X325" i="8"/>
  <c r="AB325" i="8" s="1"/>
  <c r="P328" i="8"/>
  <c r="AC328" i="8" s="1"/>
  <c r="Z328" i="8"/>
  <c r="AC329" i="8"/>
  <c r="O330" i="8"/>
  <c r="S330" i="8" s="1"/>
  <c r="Z333" i="8"/>
  <c r="Z335" i="8"/>
  <c r="X335" i="8" s="1"/>
  <c r="AB335" i="8" s="1"/>
  <c r="Z337" i="8"/>
  <c r="X337" i="8" s="1"/>
  <c r="AB337" i="8" s="1"/>
  <c r="Z339" i="8"/>
  <c r="X339" i="8" s="1"/>
  <c r="AB339" i="8" s="1"/>
  <c r="Z341" i="8"/>
  <c r="Z343" i="8"/>
  <c r="X343" i="8" s="1"/>
  <c r="AB343" i="8" s="1"/>
  <c r="X346" i="8"/>
  <c r="AB346" i="8" s="1"/>
  <c r="Z351" i="8"/>
  <c r="AC355" i="8"/>
  <c r="X358" i="8"/>
  <c r="AB358" i="8" s="1"/>
  <c r="AF364" i="8"/>
  <c r="AD364" i="8"/>
  <c r="S388" i="8"/>
  <c r="X274" i="8"/>
  <c r="AB274" i="8" s="1"/>
  <c r="X282" i="8"/>
  <c r="AB282" i="8" s="1"/>
  <c r="X290" i="8"/>
  <c r="AB290" i="8" s="1"/>
  <c r="X298" i="8"/>
  <c r="AB298" i="8" s="1"/>
  <c r="X306" i="8"/>
  <c r="AB306" i="8" s="1"/>
  <c r="X314" i="8"/>
  <c r="AB314" i="8" s="1"/>
  <c r="X322" i="8"/>
  <c r="AB322" i="8" s="1"/>
  <c r="X330" i="8"/>
  <c r="AB330" i="8" s="1"/>
  <c r="X349" i="8"/>
  <c r="AB349" i="8" s="1"/>
  <c r="AD363" i="8"/>
  <c r="W366" i="8"/>
  <c r="N367" i="8"/>
  <c r="W370" i="8"/>
  <c r="Z370" i="8"/>
  <c r="O268" i="8"/>
  <c r="S268" i="8" s="1"/>
  <c r="W276" i="8"/>
  <c r="AA276" i="8" s="1"/>
  <c r="W284" i="8"/>
  <c r="W292" i="8"/>
  <c r="AA292" i="8" s="1"/>
  <c r="W300" i="8"/>
  <c r="AA300" i="8" s="1"/>
  <c r="W308" i="8"/>
  <c r="AA308" i="8" s="1"/>
  <c r="W316" i="8"/>
  <c r="W324" i="8"/>
  <c r="AA324" i="8" s="1"/>
  <c r="O338" i="8"/>
  <c r="S338" i="8" s="1"/>
  <c r="O340" i="8"/>
  <c r="S340" i="8" s="1"/>
  <c r="O342" i="8"/>
  <c r="S342" i="8" s="1"/>
  <c r="AD357" i="8"/>
  <c r="AF357" i="8"/>
  <c r="S376" i="8"/>
  <c r="S448" i="8"/>
  <c r="P271" i="8"/>
  <c r="AC271" i="8" s="1"/>
  <c r="O273" i="8"/>
  <c r="P279" i="8"/>
  <c r="AC279" i="8" s="1"/>
  <c r="O281" i="8"/>
  <c r="S281" i="8" s="1"/>
  <c r="P287" i="8"/>
  <c r="AC287" i="8" s="1"/>
  <c r="O289" i="8"/>
  <c r="S289" i="8" s="1"/>
  <c r="P295" i="8"/>
  <c r="AC295" i="8" s="1"/>
  <c r="O297" i="8"/>
  <c r="P303" i="8"/>
  <c r="AC303" i="8" s="1"/>
  <c r="O305" i="8"/>
  <c r="P311" i="8"/>
  <c r="AC311" i="8" s="1"/>
  <c r="O313" i="8"/>
  <c r="P319" i="8"/>
  <c r="AC319" i="8" s="1"/>
  <c r="O321" i="8"/>
  <c r="P327" i="8"/>
  <c r="AC327" i="8" s="1"/>
  <c r="O329" i="8"/>
  <c r="X332" i="8"/>
  <c r="AB332" i="8" s="1"/>
  <c r="X334" i="8"/>
  <c r="AB334" i="8" s="1"/>
  <c r="X336" i="8"/>
  <c r="AB336" i="8" s="1"/>
  <c r="X338" i="8"/>
  <c r="AB338" i="8" s="1"/>
  <c r="X340" i="8"/>
  <c r="AB340" i="8" s="1"/>
  <c r="N342" i="8"/>
  <c r="X342" i="8"/>
  <c r="AB342" i="8" s="1"/>
  <c r="Z344" i="8"/>
  <c r="X344" i="8" s="1"/>
  <c r="AB344" i="8" s="1"/>
  <c r="AC346" i="8"/>
  <c r="X347" i="8"/>
  <c r="AB347" i="8" s="1"/>
  <c r="Z352" i="8"/>
  <c r="X352" i="8" s="1"/>
  <c r="AB352" i="8" s="1"/>
  <c r="AC358" i="8"/>
  <c r="AF360" i="8"/>
  <c r="AD360" i="8"/>
  <c r="W373" i="8"/>
  <c r="AA373" i="8" s="1"/>
  <c r="S416" i="8"/>
  <c r="AC269" i="8"/>
  <c r="O270" i="8"/>
  <c r="S270" i="8" s="1"/>
  <c r="X273" i="8"/>
  <c r="AB273" i="8" s="1"/>
  <c r="P276" i="8"/>
  <c r="Z276" i="8" s="1"/>
  <c r="X276" i="8" s="1"/>
  <c r="AB276" i="8" s="1"/>
  <c r="AC277" i="8"/>
  <c r="O278" i="8"/>
  <c r="S278" i="8" s="1"/>
  <c r="X281" i="8"/>
  <c r="AB281" i="8" s="1"/>
  <c r="P284" i="8"/>
  <c r="Z284" i="8" s="1"/>
  <c r="X284" i="8" s="1"/>
  <c r="AB284" i="8" s="1"/>
  <c r="AC285" i="8"/>
  <c r="O286" i="8"/>
  <c r="S286" i="8" s="1"/>
  <c r="X289" i="8"/>
  <c r="AB289" i="8" s="1"/>
  <c r="P292" i="8"/>
  <c r="Z292" i="8" s="1"/>
  <c r="X292" i="8" s="1"/>
  <c r="AB292" i="8" s="1"/>
  <c r="AC293" i="8"/>
  <c r="O294" i="8"/>
  <c r="S294" i="8" s="1"/>
  <c r="X297" i="8"/>
  <c r="AB297" i="8" s="1"/>
  <c r="P300" i="8"/>
  <c r="AC300" i="8" s="1"/>
  <c r="AC301" i="8"/>
  <c r="O302" i="8"/>
  <c r="S302" i="8" s="1"/>
  <c r="X305" i="8"/>
  <c r="AB305" i="8" s="1"/>
  <c r="P308" i="8"/>
  <c r="Z308" i="8" s="1"/>
  <c r="X308" i="8" s="1"/>
  <c r="AB308" i="8" s="1"/>
  <c r="AC309" i="8"/>
  <c r="O310" i="8"/>
  <c r="S310" i="8" s="1"/>
  <c r="X313" i="8"/>
  <c r="AB313" i="8" s="1"/>
  <c r="P316" i="8"/>
  <c r="Z316" i="8" s="1"/>
  <c r="X316" i="8" s="1"/>
  <c r="AB316" i="8" s="1"/>
  <c r="AC317" i="8"/>
  <c r="O318" i="8"/>
  <c r="S318" i="8" s="1"/>
  <c r="X321" i="8"/>
  <c r="AB321" i="8" s="1"/>
  <c r="P324" i="8"/>
  <c r="Z324" i="8" s="1"/>
  <c r="X324" i="8" s="1"/>
  <c r="AB324" i="8" s="1"/>
  <c r="AC325" i="8"/>
  <c r="O326" i="8"/>
  <c r="S326" i="8" s="1"/>
  <c r="X329" i="8"/>
  <c r="AB329" i="8" s="1"/>
  <c r="AD349" i="8"/>
  <c r="AF349" i="8"/>
  <c r="X350" i="8"/>
  <c r="AB350" i="8" s="1"/>
  <c r="Z353" i="8"/>
  <c r="X353" i="8" s="1"/>
  <c r="AB353" i="8" s="1"/>
  <c r="X354" i="8"/>
  <c r="AB354" i="8" s="1"/>
  <c r="P361" i="8"/>
  <c r="Z361" i="8" s="1"/>
  <c r="AA365" i="8"/>
  <c r="X278" i="8"/>
  <c r="AB278" i="8" s="1"/>
  <c r="X286" i="8"/>
  <c r="AB286" i="8" s="1"/>
  <c r="X294" i="8"/>
  <c r="AB294" i="8" s="1"/>
  <c r="X302" i="8"/>
  <c r="AB302" i="8" s="1"/>
  <c r="X310" i="8"/>
  <c r="AB310" i="8" s="1"/>
  <c r="X318" i="8"/>
  <c r="AB318" i="8" s="1"/>
  <c r="X326" i="8"/>
  <c r="AB326" i="8" s="1"/>
  <c r="AF344" i="8"/>
  <c r="X345" i="8"/>
  <c r="AB345" i="8" s="1"/>
  <c r="AD352" i="8"/>
  <c r="AF352" i="8"/>
  <c r="S384" i="8"/>
  <c r="AD282" i="8"/>
  <c r="AD290" i="8"/>
  <c r="AD298" i="8"/>
  <c r="AD306" i="8"/>
  <c r="AD314" i="8"/>
  <c r="X315" i="8"/>
  <c r="AB315" i="8" s="1"/>
  <c r="AD322" i="8"/>
  <c r="AD330" i="8"/>
  <c r="O343" i="8"/>
  <c r="S343" i="8" s="1"/>
  <c r="AC347" i="8"/>
  <c r="X348" i="8"/>
  <c r="AB348" i="8" s="1"/>
  <c r="AC353" i="8"/>
  <c r="X356" i="8"/>
  <c r="AB356" i="8" s="1"/>
  <c r="O369" i="8"/>
  <c r="S369" i="8" s="1"/>
  <c r="P369" i="8"/>
  <c r="Z369" i="8" s="1"/>
  <c r="X369" i="8" s="1"/>
  <c r="AB369" i="8" s="1"/>
  <c r="S444" i="8"/>
  <c r="Z469" i="8"/>
  <c r="X469" i="8" s="1"/>
  <c r="AB469" i="8" s="1"/>
  <c r="Z482" i="8"/>
  <c r="O367" i="8"/>
  <c r="S367" i="8" s="1"/>
  <c r="X370" i="8"/>
  <c r="AB370" i="8" s="1"/>
  <c r="AC374" i="8"/>
  <c r="X374" i="8"/>
  <c r="AB374" i="8" s="1"/>
  <c r="AC376" i="8"/>
  <c r="AC378" i="8"/>
  <c r="X378" i="8"/>
  <c r="AB378" i="8" s="1"/>
  <c r="AC380" i="8"/>
  <c r="AA383" i="8"/>
  <c r="S401" i="8"/>
  <c r="R417" i="8"/>
  <c r="S417" i="8" s="1"/>
  <c r="R421" i="8"/>
  <c r="R425" i="8"/>
  <c r="R429" i="8"/>
  <c r="R433" i="8"/>
  <c r="S433" i="8" s="1"/>
  <c r="R437" i="8"/>
  <c r="Z438" i="8"/>
  <c r="R441" i="8"/>
  <c r="S441" i="8" s="1"/>
  <c r="Z442" i="8"/>
  <c r="R445" i="8"/>
  <c r="S445" i="8" s="1"/>
  <c r="Z446" i="8"/>
  <c r="R449" i="8"/>
  <c r="Z450" i="8"/>
  <c r="R453" i="8"/>
  <c r="Z454" i="8"/>
  <c r="AA455" i="8"/>
  <c r="R457" i="8"/>
  <c r="Z458" i="8"/>
  <c r="R461" i="8"/>
  <c r="Z462" i="8"/>
  <c r="X462" i="8" s="1"/>
  <c r="AB462" i="8" s="1"/>
  <c r="R465" i="8"/>
  <c r="Z466" i="8"/>
  <c r="X466" i="8" s="1"/>
  <c r="AB466" i="8" s="1"/>
  <c r="R469" i="8"/>
  <c r="Z470" i="8"/>
  <c r="S473" i="8"/>
  <c r="P474" i="8"/>
  <c r="Z474" i="8" s="1"/>
  <c r="X474" i="8" s="1"/>
  <c r="AB474" i="8" s="1"/>
  <c r="Z475" i="8"/>
  <c r="AC476" i="8"/>
  <c r="X476" i="8"/>
  <c r="AB476" i="8" s="1"/>
  <c r="S481" i="8"/>
  <c r="P482" i="8"/>
  <c r="Z483" i="8"/>
  <c r="AC484" i="8"/>
  <c r="X484" i="8"/>
  <c r="AB484" i="8" s="1"/>
  <c r="Z491" i="8"/>
  <c r="W491" i="8"/>
  <c r="AA491" i="8" s="1"/>
  <c r="P495" i="8"/>
  <c r="O495" i="8"/>
  <c r="S497" i="8"/>
  <c r="W499" i="8"/>
  <c r="X503" i="8"/>
  <c r="AB503" i="8" s="1"/>
  <c r="AC503" i="8"/>
  <c r="N510" i="8"/>
  <c r="S534" i="8"/>
  <c r="AF555" i="8"/>
  <c r="AD555" i="8"/>
  <c r="AF577" i="8"/>
  <c r="AF585" i="8"/>
  <c r="AD585" i="8"/>
  <c r="X359" i="8"/>
  <c r="AB359" i="8" s="1"/>
  <c r="P362" i="8"/>
  <c r="AC362" i="8" s="1"/>
  <c r="R365" i="8"/>
  <c r="X367" i="8"/>
  <c r="AB367" i="8" s="1"/>
  <c r="P370" i="8"/>
  <c r="AC370" i="8" s="1"/>
  <c r="P372" i="8"/>
  <c r="AA372" i="8" s="1"/>
  <c r="Z374" i="8"/>
  <c r="Z376" i="8"/>
  <c r="X376" i="8" s="1"/>
  <c r="AB376" i="8" s="1"/>
  <c r="Z378" i="8"/>
  <c r="Z380" i="8"/>
  <c r="X380" i="8" s="1"/>
  <c r="AB380" i="8" s="1"/>
  <c r="X391" i="8"/>
  <c r="AB391" i="8" s="1"/>
  <c r="X407" i="8"/>
  <c r="AB407" i="8" s="1"/>
  <c r="X423" i="8"/>
  <c r="AB423" i="8" s="1"/>
  <c r="X439" i="8"/>
  <c r="AB439" i="8" s="1"/>
  <c r="X455" i="8"/>
  <c r="AB455" i="8" s="1"/>
  <c r="X471" i="8"/>
  <c r="AB471" i="8" s="1"/>
  <c r="AC486" i="8"/>
  <c r="AC491" i="8"/>
  <c r="X491" i="8"/>
  <c r="AB491" i="8" s="1"/>
  <c r="P492" i="8"/>
  <c r="O492" i="8"/>
  <c r="W496" i="8"/>
  <c r="AA496" i="8" s="1"/>
  <c r="O500" i="8"/>
  <c r="P500" i="8"/>
  <c r="Z500" i="8" s="1"/>
  <c r="X500" i="8" s="1"/>
  <c r="AB500" i="8" s="1"/>
  <c r="W505" i="8"/>
  <c r="O516" i="8"/>
  <c r="P516" i="8"/>
  <c r="Z516" i="8" s="1"/>
  <c r="S526" i="8"/>
  <c r="AF582" i="8"/>
  <c r="AD582" i="8"/>
  <c r="AA388" i="8"/>
  <c r="AA404" i="8"/>
  <c r="AA420" i="8"/>
  <c r="AA436" i="8"/>
  <c r="W456" i="8"/>
  <c r="W460" i="8"/>
  <c r="W464" i="8"/>
  <c r="S466" i="8"/>
  <c r="W468" i="8"/>
  <c r="W472" i="8"/>
  <c r="AC478" i="8"/>
  <c r="X478" i="8"/>
  <c r="AB478" i="8" s="1"/>
  <c r="W479" i="8"/>
  <c r="W490" i="8"/>
  <c r="W493" i="8"/>
  <c r="AC496" i="8"/>
  <c r="P497" i="8"/>
  <c r="O497" i="8"/>
  <c r="Z518" i="8"/>
  <c r="X518" i="8" s="1"/>
  <c r="AB518" i="8" s="1"/>
  <c r="X519" i="8"/>
  <c r="AB519" i="8" s="1"/>
  <c r="AC519" i="8"/>
  <c r="S528" i="8"/>
  <c r="AF576" i="8"/>
  <c r="AD576" i="8"/>
  <c r="AF579" i="8"/>
  <c r="AD579" i="8"/>
  <c r="AF587" i="8"/>
  <c r="AD587" i="8"/>
  <c r="X361" i="8"/>
  <c r="AB361" i="8" s="1"/>
  <c r="W377" i="8"/>
  <c r="O379" i="8"/>
  <c r="S379" i="8" s="1"/>
  <c r="W379" i="8"/>
  <c r="O381" i="8"/>
  <c r="S381" i="8" s="1"/>
  <c r="W381" i="8"/>
  <c r="AA381" i="8" s="1"/>
  <c r="P383" i="8"/>
  <c r="Z383" i="8" s="1"/>
  <c r="X383" i="8" s="1"/>
  <c r="AB383" i="8" s="1"/>
  <c r="O384" i="8"/>
  <c r="AC384" i="8"/>
  <c r="X384" i="8"/>
  <c r="AB384" i="8" s="1"/>
  <c r="P387" i="8"/>
  <c r="Z387" i="8" s="1"/>
  <c r="X387" i="8" s="1"/>
  <c r="AB387" i="8" s="1"/>
  <c r="O388" i="8"/>
  <c r="X388" i="8"/>
  <c r="AB388" i="8" s="1"/>
  <c r="P391" i="8"/>
  <c r="Z391" i="8" s="1"/>
  <c r="O392" i="8"/>
  <c r="S392" i="8" s="1"/>
  <c r="P395" i="8"/>
  <c r="Z395" i="8" s="1"/>
  <c r="X395" i="8" s="1"/>
  <c r="AB395" i="8" s="1"/>
  <c r="O396" i="8"/>
  <c r="S396" i="8" s="1"/>
  <c r="X396" i="8"/>
  <c r="AB396" i="8" s="1"/>
  <c r="P399" i="8"/>
  <c r="Z399" i="8" s="1"/>
  <c r="X399" i="8" s="1"/>
  <c r="AB399" i="8" s="1"/>
  <c r="O400" i="8"/>
  <c r="S400" i="8" s="1"/>
  <c r="P403" i="8"/>
  <c r="Z403" i="8" s="1"/>
  <c r="X403" i="8" s="1"/>
  <c r="AB403" i="8" s="1"/>
  <c r="O404" i="8"/>
  <c r="S404" i="8" s="1"/>
  <c r="X404" i="8"/>
  <c r="AB404" i="8" s="1"/>
  <c r="P407" i="8"/>
  <c r="Z407" i="8" s="1"/>
  <c r="O408" i="8"/>
  <c r="S408" i="8" s="1"/>
  <c r="P411" i="8"/>
  <c r="Z411" i="8" s="1"/>
  <c r="X411" i="8" s="1"/>
  <c r="AB411" i="8" s="1"/>
  <c r="O412" i="8"/>
  <c r="S412" i="8" s="1"/>
  <c r="X412" i="8"/>
  <c r="AB412" i="8" s="1"/>
  <c r="P415" i="8"/>
  <c r="Z415" i="8" s="1"/>
  <c r="X415" i="8" s="1"/>
  <c r="AB415" i="8" s="1"/>
  <c r="O416" i="8"/>
  <c r="P419" i="8"/>
  <c r="Z419" i="8" s="1"/>
  <c r="X419" i="8" s="1"/>
  <c r="AB419" i="8" s="1"/>
  <c r="O420" i="8"/>
  <c r="S420" i="8" s="1"/>
  <c r="X420" i="8"/>
  <c r="AB420" i="8" s="1"/>
  <c r="P423" i="8"/>
  <c r="Z423" i="8" s="1"/>
  <c r="O424" i="8"/>
  <c r="S424" i="8" s="1"/>
  <c r="P427" i="8"/>
  <c r="Z427" i="8" s="1"/>
  <c r="X427" i="8" s="1"/>
  <c r="AB427" i="8" s="1"/>
  <c r="O428" i="8"/>
  <c r="S428" i="8" s="1"/>
  <c r="X428" i="8"/>
  <c r="AB428" i="8" s="1"/>
  <c r="P431" i="8"/>
  <c r="Z431" i="8" s="1"/>
  <c r="X431" i="8" s="1"/>
  <c r="AB431" i="8" s="1"/>
  <c r="O432" i="8"/>
  <c r="S432" i="8" s="1"/>
  <c r="P435" i="8"/>
  <c r="Z435" i="8" s="1"/>
  <c r="X435" i="8" s="1"/>
  <c r="AB435" i="8" s="1"/>
  <c r="O436" i="8"/>
  <c r="S436" i="8" s="1"/>
  <c r="X436" i="8"/>
  <c r="AB436" i="8" s="1"/>
  <c r="P439" i="8"/>
  <c r="Z439" i="8" s="1"/>
  <c r="O440" i="8"/>
  <c r="S440" i="8" s="1"/>
  <c r="P443" i="8"/>
  <c r="Z443" i="8" s="1"/>
  <c r="X443" i="8" s="1"/>
  <c r="AB443" i="8" s="1"/>
  <c r="O444" i="8"/>
  <c r="X444" i="8"/>
  <c r="AB444" i="8" s="1"/>
  <c r="P447" i="8"/>
  <c r="Z447" i="8" s="1"/>
  <c r="X447" i="8" s="1"/>
  <c r="AB447" i="8" s="1"/>
  <c r="O448" i="8"/>
  <c r="P451" i="8"/>
  <c r="Z451" i="8" s="1"/>
  <c r="X451" i="8" s="1"/>
  <c r="AB451" i="8" s="1"/>
  <c r="O452" i="8"/>
  <c r="S452" i="8" s="1"/>
  <c r="X452" i="8"/>
  <c r="AB452" i="8" s="1"/>
  <c r="P455" i="8"/>
  <c r="Z455" i="8" s="1"/>
  <c r="O456" i="8"/>
  <c r="S456" i="8" s="1"/>
  <c r="P459" i="8"/>
  <c r="Z459" i="8" s="1"/>
  <c r="X459" i="8" s="1"/>
  <c r="AB459" i="8" s="1"/>
  <c r="O460" i="8"/>
  <c r="S460" i="8" s="1"/>
  <c r="P463" i="8"/>
  <c r="Z463" i="8" s="1"/>
  <c r="X463" i="8" s="1"/>
  <c r="AB463" i="8" s="1"/>
  <c r="O464" i="8"/>
  <c r="S464" i="8" s="1"/>
  <c r="P467" i="8"/>
  <c r="Z467" i="8" s="1"/>
  <c r="X467" i="8" s="1"/>
  <c r="AB467" i="8" s="1"/>
  <c r="O468" i="8"/>
  <c r="S468" i="8" s="1"/>
  <c r="P471" i="8"/>
  <c r="Z471" i="8" s="1"/>
  <c r="O472" i="8"/>
  <c r="S472" i="8" s="1"/>
  <c r="P477" i="8"/>
  <c r="Z477" i="8" s="1"/>
  <c r="X477" i="8" s="1"/>
  <c r="AB477" i="8" s="1"/>
  <c r="P485" i="8"/>
  <c r="AC485" i="8" s="1"/>
  <c r="P486" i="8"/>
  <c r="AA486" i="8" s="1"/>
  <c r="P487" i="8"/>
  <c r="AC487" i="8" s="1"/>
  <c r="S488" i="8"/>
  <c r="S490" i="8"/>
  <c r="AC493" i="8"/>
  <c r="P494" i="8"/>
  <c r="AC494" i="8" s="1"/>
  <c r="O494" i="8"/>
  <c r="S494" i="8" s="1"/>
  <c r="W498" i="8"/>
  <c r="AA498" i="8" s="1"/>
  <c r="AC506" i="8"/>
  <c r="AA506" i="8"/>
  <c r="Z521" i="8"/>
  <c r="W521" i="8"/>
  <c r="Z537" i="8"/>
  <c r="X537" i="8" s="1"/>
  <c r="AB537" i="8" s="1"/>
  <c r="AF584" i="8"/>
  <c r="AD584" i="8"/>
  <c r="AC373" i="8"/>
  <c r="AC381" i="8"/>
  <c r="X381" i="8"/>
  <c r="AB381" i="8" s="1"/>
  <c r="AA397" i="8"/>
  <c r="AA429" i="8"/>
  <c r="S455" i="8"/>
  <c r="N456" i="8"/>
  <c r="S459" i="8"/>
  <c r="N460" i="8"/>
  <c r="S463" i="8"/>
  <c r="N464" i="8"/>
  <c r="S467" i="8"/>
  <c r="N468" i="8"/>
  <c r="S471" i="8"/>
  <c r="N472" i="8"/>
  <c r="S477" i="8"/>
  <c r="S485" i="8"/>
  <c r="S486" i="8"/>
  <c r="S487" i="8"/>
  <c r="Z489" i="8"/>
  <c r="W489" i="8"/>
  <c r="AA489" i="8" s="1"/>
  <c r="Z495" i="8"/>
  <c r="X495" i="8" s="1"/>
  <c r="AB495" i="8" s="1"/>
  <c r="W495" i="8"/>
  <c r="AA495" i="8" s="1"/>
  <c r="P499" i="8"/>
  <c r="Z499" i="8" s="1"/>
  <c r="X499" i="8" s="1"/>
  <c r="AB499" i="8" s="1"/>
  <c r="O499" i="8"/>
  <c r="S499" i="8" s="1"/>
  <c r="N502" i="8"/>
  <c r="Z510" i="8"/>
  <c r="X510" i="8" s="1"/>
  <c r="AB510" i="8" s="1"/>
  <c r="X511" i="8"/>
  <c r="AB511" i="8" s="1"/>
  <c r="AC511" i="8"/>
  <c r="S546" i="8"/>
  <c r="AF575" i="8"/>
  <c r="AD575" i="8"/>
  <c r="AF581" i="8"/>
  <c r="AD581" i="8"/>
  <c r="AC359" i="8"/>
  <c r="O360" i="8"/>
  <c r="S360" i="8" s="1"/>
  <c r="X363" i="8"/>
  <c r="AB363" i="8" s="1"/>
  <c r="P366" i="8"/>
  <c r="AC366" i="8" s="1"/>
  <c r="AC367" i="8"/>
  <c r="O368" i="8"/>
  <c r="S368" i="8" s="1"/>
  <c r="P371" i="8"/>
  <c r="AC371" i="8" s="1"/>
  <c r="P373" i="8"/>
  <c r="Z373" i="8" s="1"/>
  <c r="X373" i="8" s="1"/>
  <c r="AB373" i="8" s="1"/>
  <c r="P375" i="8"/>
  <c r="Z375" i="8" s="1"/>
  <c r="X375" i="8" s="1"/>
  <c r="AB375" i="8" s="1"/>
  <c r="P377" i="8"/>
  <c r="Z377" i="8" s="1"/>
  <c r="X377" i="8" s="1"/>
  <c r="AB377" i="8" s="1"/>
  <c r="P379" i="8"/>
  <c r="Z379" i="8" s="1"/>
  <c r="X379" i="8" s="1"/>
  <c r="AB379" i="8" s="1"/>
  <c r="P388" i="8"/>
  <c r="Z388" i="8" s="1"/>
  <c r="O389" i="8"/>
  <c r="S389" i="8" s="1"/>
  <c r="P392" i="8"/>
  <c r="Z392" i="8" s="1"/>
  <c r="X392" i="8" s="1"/>
  <c r="AB392" i="8" s="1"/>
  <c r="O393" i="8"/>
  <c r="S393" i="8" s="1"/>
  <c r="P396" i="8"/>
  <c r="Z396" i="8" s="1"/>
  <c r="O397" i="8"/>
  <c r="S397" i="8" s="1"/>
  <c r="P400" i="8"/>
  <c r="Z400" i="8" s="1"/>
  <c r="X400" i="8" s="1"/>
  <c r="AB400" i="8" s="1"/>
  <c r="O401" i="8"/>
  <c r="P404" i="8"/>
  <c r="Z404" i="8" s="1"/>
  <c r="O405" i="8"/>
  <c r="S405" i="8" s="1"/>
  <c r="P408" i="8"/>
  <c r="Z408" i="8" s="1"/>
  <c r="X408" i="8" s="1"/>
  <c r="AB408" i="8" s="1"/>
  <c r="O409" i="8"/>
  <c r="S409" i="8" s="1"/>
  <c r="P412" i="8"/>
  <c r="Z412" i="8" s="1"/>
  <c r="O413" i="8"/>
  <c r="S413" i="8" s="1"/>
  <c r="P416" i="8"/>
  <c r="Z416" i="8" s="1"/>
  <c r="X416" i="8" s="1"/>
  <c r="AB416" i="8" s="1"/>
  <c r="O417" i="8"/>
  <c r="P420" i="8"/>
  <c r="Z420" i="8" s="1"/>
  <c r="O421" i="8"/>
  <c r="P424" i="8"/>
  <c r="Z424" i="8" s="1"/>
  <c r="X424" i="8" s="1"/>
  <c r="AB424" i="8" s="1"/>
  <c r="O425" i="8"/>
  <c r="P428" i="8"/>
  <c r="Z428" i="8" s="1"/>
  <c r="O429" i="8"/>
  <c r="P432" i="8"/>
  <c r="Z432" i="8" s="1"/>
  <c r="X432" i="8" s="1"/>
  <c r="AB432" i="8" s="1"/>
  <c r="O433" i="8"/>
  <c r="P436" i="8"/>
  <c r="Z436" i="8" s="1"/>
  <c r="O437" i="8"/>
  <c r="P440" i="8"/>
  <c r="Z440" i="8" s="1"/>
  <c r="X440" i="8" s="1"/>
  <c r="AB440" i="8" s="1"/>
  <c r="O441" i="8"/>
  <c r="P444" i="8"/>
  <c r="Z444" i="8" s="1"/>
  <c r="O445" i="8"/>
  <c r="P448" i="8"/>
  <c r="Z448" i="8" s="1"/>
  <c r="X448" i="8" s="1"/>
  <c r="AB448" i="8" s="1"/>
  <c r="O449" i="8"/>
  <c r="P452" i="8"/>
  <c r="Z452" i="8" s="1"/>
  <c r="O453" i="8"/>
  <c r="P456" i="8"/>
  <c r="Z456" i="8" s="1"/>
  <c r="X456" i="8" s="1"/>
  <c r="AB456" i="8" s="1"/>
  <c r="O457" i="8"/>
  <c r="P460" i="8"/>
  <c r="AC460" i="8" s="1"/>
  <c r="O461" i="8"/>
  <c r="P464" i="8"/>
  <c r="Z464" i="8" s="1"/>
  <c r="X464" i="8" s="1"/>
  <c r="AB464" i="8" s="1"/>
  <c r="O465" i="8"/>
  <c r="P468" i="8"/>
  <c r="AC468" i="8" s="1"/>
  <c r="O469" i="8"/>
  <c r="P472" i="8"/>
  <c r="AC472" i="8" s="1"/>
  <c r="W474" i="8"/>
  <c r="AA474" i="8" s="1"/>
  <c r="S478" i="8"/>
  <c r="P479" i="8"/>
  <c r="Z479" i="8" s="1"/>
  <c r="X479" i="8" s="1"/>
  <c r="AB479" i="8" s="1"/>
  <c r="W482" i="8"/>
  <c r="AA482" i="8" s="1"/>
  <c r="AC489" i="8"/>
  <c r="X489" i="8"/>
  <c r="AB489" i="8" s="1"/>
  <c r="Z492" i="8"/>
  <c r="X492" i="8" s="1"/>
  <c r="AB492" i="8" s="1"/>
  <c r="W492" i="8"/>
  <c r="AA492" i="8" s="1"/>
  <c r="AC495" i="8"/>
  <c r="P496" i="8"/>
  <c r="Z496" i="8" s="1"/>
  <c r="X496" i="8" s="1"/>
  <c r="AB496" i="8" s="1"/>
  <c r="O496" i="8"/>
  <c r="S496" i="8" s="1"/>
  <c r="S498" i="8"/>
  <c r="O508" i="8"/>
  <c r="S508" i="8" s="1"/>
  <c r="P508" i="8"/>
  <c r="Z508" i="8" s="1"/>
  <c r="Z513" i="8"/>
  <c r="X513" i="8" s="1"/>
  <c r="AB513" i="8" s="1"/>
  <c r="W513" i="8"/>
  <c r="AC522" i="8"/>
  <c r="AA522" i="8"/>
  <c r="AA523" i="8"/>
  <c r="AA531" i="8"/>
  <c r="AF538" i="8"/>
  <c r="S541" i="8"/>
  <c r="AF578" i="8"/>
  <c r="AD578" i="8"/>
  <c r="AF586" i="8"/>
  <c r="AD586" i="8"/>
  <c r="AA410" i="8"/>
  <c r="AA414" i="8"/>
  <c r="AA418" i="8"/>
  <c r="AA422" i="8"/>
  <c r="AA426" i="8"/>
  <c r="AA430" i="8"/>
  <c r="AA434" i="8"/>
  <c r="S479" i="8"/>
  <c r="P480" i="8"/>
  <c r="Z480" i="8" s="1"/>
  <c r="X480" i="8" s="1"/>
  <c r="AB480" i="8" s="1"/>
  <c r="AC482" i="8"/>
  <c r="X482" i="8"/>
  <c r="AB482" i="8" s="1"/>
  <c r="Z488" i="8"/>
  <c r="X488" i="8" s="1"/>
  <c r="AB488" i="8" s="1"/>
  <c r="W488" i="8"/>
  <c r="AA488" i="8" s="1"/>
  <c r="AC492" i="8"/>
  <c r="P493" i="8"/>
  <c r="Z493" i="8" s="1"/>
  <c r="X493" i="8" s="1"/>
  <c r="AB493" i="8" s="1"/>
  <c r="O493" i="8"/>
  <c r="S493" i="8" s="1"/>
  <c r="S495" i="8"/>
  <c r="Z497" i="8"/>
  <c r="X497" i="8" s="1"/>
  <c r="AB497" i="8" s="1"/>
  <c r="W497" i="8"/>
  <c r="AA497" i="8" s="1"/>
  <c r="AA500" i="8"/>
  <c r="AA516" i="8"/>
  <c r="N518" i="8"/>
  <c r="AF530" i="8"/>
  <c r="AF563" i="8"/>
  <c r="AD563" i="8"/>
  <c r="AF583" i="8"/>
  <c r="AD583" i="8"/>
  <c r="AC361" i="8"/>
  <c r="AC369" i="8"/>
  <c r="O376" i="8"/>
  <c r="O378" i="8"/>
  <c r="S378" i="8" s="1"/>
  <c r="O380" i="8"/>
  <c r="S380" i="8" s="1"/>
  <c r="O382" i="8"/>
  <c r="S382" i="8" s="1"/>
  <c r="AC382" i="8"/>
  <c r="X382" i="8"/>
  <c r="AB382" i="8" s="1"/>
  <c r="P385" i="8"/>
  <c r="Z385" i="8" s="1"/>
  <c r="X385" i="8" s="1"/>
  <c r="AB385" i="8" s="1"/>
  <c r="O386" i="8"/>
  <c r="S386" i="8" s="1"/>
  <c r="AC386" i="8"/>
  <c r="X386" i="8"/>
  <c r="AB386" i="8" s="1"/>
  <c r="P389" i="8"/>
  <c r="Z389" i="8" s="1"/>
  <c r="X389" i="8" s="1"/>
  <c r="AB389" i="8" s="1"/>
  <c r="O390" i="8"/>
  <c r="S390" i="8" s="1"/>
  <c r="AC390" i="8"/>
  <c r="X390" i="8"/>
  <c r="AB390" i="8" s="1"/>
  <c r="P393" i="8"/>
  <c r="Z393" i="8" s="1"/>
  <c r="X393" i="8" s="1"/>
  <c r="AB393" i="8" s="1"/>
  <c r="O394" i="8"/>
  <c r="S394" i="8" s="1"/>
  <c r="AC394" i="8"/>
  <c r="X394" i="8"/>
  <c r="AB394" i="8" s="1"/>
  <c r="P397" i="8"/>
  <c r="Z397" i="8" s="1"/>
  <c r="X397" i="8" s="1"/>
  <c r="AB397" i="8" s="1"/>
  <c r="O398" i="8"/>
  <c r="S398" i="8" s="1"/>
  <c r="AC398" i="8"/>
  <c r="X398" i="8"/>
  <c r="AB398" i="8" s="1"/>
  <c r="P401" i="8"/>
  <c r="Z401" i="8" s="1"/>
  <c r="X401" i="8" s="1"/>
  <c r="AB401" i="8" s="1"/>
  <c r="O402" i="8"/>
  <c r="S402" i="8" s="1"/>
  <c r="AC402" i="8"/>
  <c r="X402" i="8"/>
  <c r="AB402" i="8" s="1"/>
  <c r="P405" i="8"/>
  <c r="Z405" i="8" s="1"/>
  <c r="X405" i="8" s="1"/>
  <c r="AB405" i="8" s="1"/>
  <c r="O406" i="8"/>
  <c r="S406" i="8" s="1"/>
  <c r="AC406" i="8"/>
  <c r="X406" i="8"/>
  <c r="AB406" i="8" s="1"/>
  <c r="P409" i="8"/>
  <c r="Z409" i="8" s="1"/>
  <c r="X409" i="8" s="1"/>
  <c r="AB409" i="8" s="1"/>
  <c r="O410" i="8"/>
  <c r="S410" i="8" s="1"/>
  <c r="AC410" i="8"/>
  <c r="X410" i="8"/>
  <c r="AB410" i="8" s="1"/>
  <c r="P413" i="8"/>
  <c r="Z413" i="8" s="1"/>
  <c r="X413" i="8" s="1"/>
  <c r="AB413" i="8" s="1"/>
  <c r="O414" i="8"/>
  <c r="S414" i="8" s="1"/>
  <c r="AC414" i="8"/>
  <c r="X414" i="8"/>
  <c r="AB414" i="8" s="1"/>
  <c r="P417" i="8"/>
  <c r="AC417" i="8" s="1"/>
  <c r="O418" i="8"/>
  <c r="S418" i="8" s="1"/>
  <c r="AC418" i="8"/>
  <c r="X418" i="8"/>
  <c r="AB418" i="8" s="1"/>
  <c r="P421" i="8"/>
  <c r="AA421" i="8" s="1"/>
  <c r="O422" i="8"/>
  <c r="S422" i="8" s="1"/>
  <c r="AC422" i="8"/>
  <c r="X422" i="8"/>
  <c r="AB422" i="8" s="1"/>
  <c r="P425" i="8"/>
  <c r="AC425" i="8" s="1"/>
  <c r="O426" i="8"/>
  <c r="S426" i="8" s="1"/>
  <c r="AC426" i="8"/>
  <c r="X426" i="8"/>
  <c r="AB426" i="8" s="1"/>
  <c r="P429" i="8"/>
  <c r="Z429" i="8" s="1"/>
  <c r="X429" i="8" s="1"/>
  <c r="AB429" i="8" s="1"/>
  <c r="O430" i="8"/>
  <c r="S430" i="8" s="1"/>
  <c r="AC430" i="8"/>
  <c r="X430" i="8"/>
  <c r="AB430" i="8" s="1"/>
  <c r="P433" i="8"/>
  <c r="Z433" i="8" s="1"/>
  <c r="X433" i="8" s="1"/>
  <c r="AB433" i="8" s="1"/>
  <c r="O434" i="8"/>
  <c r="S434" i="8" s="1"/>
  <c r="AC434" i="8"/>
  <c r="X434" i="8"/>
  <c r="AB434" i="8" s="1"/>
  <c r="P437" i="8"/>
  <c r="AA437" i="8" s="1"/>
  <c r="O438" i="8"/>
  <c r="S438" i="8" s="1"/>
  <c r="AC438" i="8"/>
  <c r="X438" i="8"/>
  <c r="AB438" i="8" s="1"/>
  <c r="P441" i="8"/>
  <c r="AC441" i="8" s="1"/>
  <c r="O442" i="8"/>
  <c r="S442" i="8" s="1"/>
  <c r="AC442" i="8"/>
  <c r="X442" i="8"/>
  <c r="AB442" i="8" s="1"/>
  <c r="P445" i="8"/>
  <c r="Z445" i="8" s="1"/>
  <c r="X445" i="8" s="1"/>
  <c r="AB445" i="8" s="1"/>
  <c r="O446" i="8"/>
  <c r="S446" i="8" s="1"/>
  <c r="AC446" i="8"/>
  <c r="X446" i="8"/>
  <c r="AB446" i="8" s="1"/>
  <c r="P449" i="8"/>
  <c r="AC449" i="8" s="1"/>
  <c r="O450" i="8"/>
  <c r="S450" i="8" s="1"/>
  <c r="AC450" i="8"/>
  <c r="X450" i="8"/>
  <c r="AB450" i="8" s="1"/>
  <c r="P453" i="8"/>
  <c r="AA453" i="8" s="1"/>
  <c r="O454" i="8"/>
  <c r="S454" i="8" s="1"/>
  <c r="AC454" i="8"/>
  <c r="X454" i="8"/>
  <c r="AB454" i="8" s="1"/>
  <c r="P457" i="8"/>
  <c r="AC457" i="8" s="1"/>
  <c r="O458" i="8"/>
  <c r="S458" i="8" s="1"/>
  <c r="AC458" i="8"/>
  <c r="X458" i="8"/>
  <c r="AB458" i="8" s="1"/>
  <c r="P461" i="8"/>
  <c r="Z461" i="8" s="1"/>
  <c r="X461" i="8" s="1"/>
  <c r="AB461" i="8" s="1"/>
  <c r="O462" i="8"/>
  <c r="S462" i="8" s="1"/>
  <c r="AC462" i="8"/>
  <c r="P465" i="8"/>
  <c r="AC465" i="8" s="1"/>
  <c r="O466" i="8"/>
  <c r="AC466" i="8"/>
  <c r="P469" i="8"/>
  <c r="AA469" i="8" s="1"/>
  <c r="O470" i="8"/>
  <c r="S470" i="8" s="1"/>
  <c r="AC470" i="8"/>
  <c r="X470" i="8"/>
  <c r="AB470" i="8" s="1"/>
  <c r="P473" i="8"/>
  <c r="AA473" i="8" s="1"/>
  <c r="AC475" i="8"/>
  <c r="X475" i="8"/>
  <c r="AB475" i="8" s="1"/>
  <c r="S480" i="8"/>
  <c r="P481" i="8"/>
  <c r="Z481" i="8" s="1"/>
  <c r="X481" i="8" s="1"/>
  <c r="AB481" i="8" s="1"/>
  <c r="AC483" i="8"/>
  <c r="X483" i="8"/>
  <c r="AB483" i="8" s="1"/>
  <c r="Z485" i="8"/>
  <c r="X485" i="8" s="1"/>
  <c r="AB485" i="8" s="1"/>
  <c r="Z486" i="8"/>
  <c r="X486" i="8" s="1"/>
  <c r="AB486" i="8" s="1"/>
  <c r="Z487" i="8"/>
  <c r="X487" i="8" s="1"/>
  <c r="AB487" i="8" s="1"/>
  <c r="W487" i="8"/>
  <c r="AA487" i="8" s="1"/>
  <c r="AC488" i="8"/>
  <c r="P490" i="8"/>
  <c r="Z490" i="8" s="1"/>
  <c r="X490" i="8" s="1"/>
  <c r="AB490" i="8" s="1"/>
  <c r="S492" i="8"/>
  <c r="Z494" i="8"/>
  <c r="W494" i="8"/>
  <c r="AA494" i="8" s="1"/>
  <c r="AC497" i="8"/>
  <c r="P498" i="8"/>
  <c r="AC498" i="8" s="1"/>
  <c r="O498" i="8"/>
  <c r="S500" i="8"/>
  <c r="AC514" i="8"/>
  <c r="AA514" i="8"/>
  <c r="S516" i="8"/>
  <c r="O524" i="8"/>
  <c r="S524" i="8" s="1"/>
  <c r="P524" i="8"/>
  <c r="Z524" i="8" s="1"/>
  <c r="X524" i="8" s="1"/>
  <c r="AB524" i="8" s="1"/>
  <c r="AF580" i="8"/>
  <c r="AD580" i="8"/>
  <c r="AF588" i="8"/>
  <c r="X527" i="8"/>
  <c r="AB527" i="8" s="1"/>
  <c r="Z530" i="8"/>
  <c r="AD530" i="8" s="1"/>
  <c r="X535" i="8"/>
  <c r="AB535" i="8" s="1"/>
  <c r="Z538" i="8"/>
  <c r="AD538" i="8" s="1"/>
  <c r="X543" i="8"/>
  <c r="AB543" i="8" s="1"/>
  <c r="AF544" i="8"/>
  <c r="AD544" i="8"/>
  <c r="AF546" i="8"/>
  <c r="AD546" i="8"/>
  <c r="AF548" i="8"/>
  <c r="AD548" i="8"/>
  <c r="X549" i="8"/>
  <c r="AB549" i="8" s="1"/>
  <c r="AF550" i="8"/>
  <c r="AD550" i="8"/>
  <c r="AF552" i="8"/>
  <c r="AD552" i="8"/>
  <c r="X553" i="8"/>
  <c r="AB553" i="8" s="1"/>
  <c r="AF554" i="8"/>
  <c r="AD554" i="8"/>
  <c r="AA555" i="8"/>
  <c r="AF558" i="8"/>
  <c r="AD558" i="8"/>
  <c r="AA559" i="8"/>
  <c r="AF562" i="8"/>
  <c r="AD562" i="8"/>
  <c r="AA563" i="8"/>
  <c r="AF566" i="8"/>
  <c r="AD566" i="8"/>
  <c r="AA567" i="8"/>
  <c r="AF570" i="8"/>
  <c r="AD570" i="8"/>
  <c r="AA571" i="8"/>
  <c r="AA589" i="8"/>
  <c r="AC590" i="8"/>
  <c r="X595" i="8"/>
  <c r="AB595" i="8" s="1"/>
  <c r="AC595" i="8"/>
  <c r="X597" i="8"/>
  <c r="AB597" i="8" s="1"/>
  <c r="X599" i="8"/>
  <c r="AB599" i="8" s="1"/>
  <c r="X508" i="8"/>
  <c r="AB508" i="8" s="1"/>
  <c r="X516" i="8"/>
  <c r="AB516" i="8" s="1"/>
  <c r="W529" i="8"/>
  <c r="AA530" i="8"/>
  <c r="W537" i="8"/>
  <c r="AA537" i="8" s="1"/>
  <c r="AA538" i="8"/>
  <c r="Z545" i="8"/>
  <c r="X545" i="8" s="1"/>
  <c r="AB545" i="8" s="1"/>
  <c r="Z547" i="8"/>
  <c r="X547" i="8" s="1"/>
  <c r="AB547" i="8" s="1"/>
  <c r="Z549" i="8"/>
  <c r="Z551" i="8"/>
  <c r="X551" i="8" s="1"/>
  <c r="AB551" i="8" s="1"/>
  <c r="S597" i="8"/>
  <c r="X619" i="8"/>
  <c r="AB619" i="8" s="1"/>
  <c r="X494" i="8"/>
  <c r="AB494" i="8" s="1"/>
  <c r="O502" i="8"/>
  <c r="S502" i="8" s="1"/>
  <c r="AD504" i="8"/>
  <c r="O510" i="8"/>
  <c r="S510" i="8" s="1"/>
  <c r="AD512" i="8"/>
  <c r="O518" i="8"/>
  <c r="S518" i="8" s="1"/>
  <c r="AD520" i="8"/>
  <c r="X521" i="8"/>
  <c r="AB521" i="8" s="1"/>
  <c r="O526" i="8"/>
  <c r="AD528" i="8"/>
  <c r="P532" i="8"/>
  <c r="Z532" i="8" s="1"/>
  <c r="X532" i="8" s="1"/>
  <c r="AB532" i="8" s="1"/>
  <c r="O534" i="8"/>
  <c r="AD536" i="8"/>
  <c r="P540" i="8"/>
  <c r="Z540" i="8" s="1"/>
  <c r="X540" i="8" s="1"/>
  <c r="AB540" i="8" s="1"/>
  <c r="O542" i="8"/>
  <c r="S542" i="8" s="1"/>
  <c r="N557" i="8"/>
  <c r="X557" i="8"/>
  <c r="AB557" i="8" s="1"/>
  <c r="AC559" i="8"/>
  <c r="N561" i="8"/>
  <c r="X561" i="8"/>
  <c r="AB561" i="8" s="1"/>
  <c r="N565" i="8"/>
  <c r="X565" i="8"/>
  <c r="AB565" i="8" s="1"/>
  <c r="AC567" i="8"/>
  <c r="N569" i="8"/>
  <c r="X569" i="8"/>
  <c r="AB569" i="8" s="1"/>
  <c r="AC571" i="8"/>
  <c r="N573" i="8"/>
  <c r="AC592" i="8"/>
  <c r="S610" i="8"/>
  <c r="P505" i="8"/>
  <c r="AC505" i="8" s="1"/>
  <c r="O507" i="8"/>
  <c r="S507" i="8" s="1"/>
  <c r="P513" i="8"/>
  <c r="O515" i="8"/>
  <c r="S515" i="8" s="1"/>
  <c r="AD517" i="8"/>
  <c r="P521" i="8"/>
  <c r="O523" i="8"/>
  <c r="S523" i="8" s="1"/>
  <c r="AD525" i="8"/>
  <c r="P529" i="8"/>
  <c r="Z529" i="8" s="1"/>
  <c r="X529" i="8" s="1"/>
  <c r="AB529" i="8" s="1"/>
  <c r="O531" i="8"/>
  <c r="S531" i="8" s="1"/>
  <c r="AD533" i="8"/>
  <c r="P537" i="8"/>
  <c r="O539" i="8"/>
  <c r="S539" i="8" s="1"/>
  <c r="AD541" i="8"/>
  <c r="O544" i="8"/>
  <c r="S544" i="8" s="1"/>
  <c r="O546" i="8"/>
  <c r="O548" i="8"/>
  <c r="S548" i="8" s="1"/>
  <c r="O550" i="8"/>
  <c r="S550" i="8" s="1"/>
  <c r="O552" i="8"/>
  <c r="S552" i="8" s="1"/>
  <c r="O554" i="8"/>
  <c r="S554" i="8" s="1"/>
  <c r="O557" i="8"/>
  <c r="S557" i="8" s="1"/>
  <c r="O561" i="8"/>
  <c r="S561" i="8" s="1"/>
  <c r="R564" i="8"/>
  <c r="S564" i="8" s="1"/>
  <c r="R568" i="8"/>
  <c r="S568" i="8" s="1"/>
  <c r="R572" i="8"/>
  <c r="S572" i="8" s="1"/>
  <c r="X575" i="8"/>
  <c r="AB575" i="8" s="1"/>
  <c r="X576" i="8"/>
  <c r="AB576" i="8" s="1"/>
  <c r="AC589" i="8"/>
  <c r="AA601" i="8"/>
  <c r="X602" i="8"/>
  <c r="AB602" i="8" s="1"/>
  <c r="P502" i="8"/>
  <c r="AC502" i="8" s="1"/>
  <c r="O504" i="8"/>
  <c r="S504" i="8" s="1"/>
  <c r="P510" i="8"/>
  <c r="AA510" i="8" s="1"/>
  <c r="O512" i="8"/>
  <c r="S512" i="8" s="1"/>
  <c r="P518" i="8"/>
  <c r="AA518" i="8" s="1"/>
  <c r="O520" i="8"/>
  <c r="S520" i="8" s="1"/>
  <c r="P526" i="8"/>
  <c r="AC526" i="8" s="1"/>
  <c r="AC527" i="8"/>
  <c r="O528" i="8"/>
  <c r="P534" i="8"/>
  <c r="AC534" i="8" s="1"/>
  <c r="AC535" i="8"/>
  <c r="O536" i="8"/>
  <c r="S536" i="8" s="1"/>
  <c r="P542" i="8"/>
  <c r="AA542" i="8" s="1"/>
  <c r="AC543" i="8"/>
  <c r="X544" i="8"/>
  <c r="AB544" i="8" s="1"/>
  <c r="AC545" i="8"/>
  <c r="X546" i="8"/>
  <c r="AB546" i="8" s="1"/>
  <c r="AC547" i="8"/>
  <c r="X548" i="8"/>
  <c r="AB548" i="8" s="1"/>
  <c r="AC549" i="8"/>
  <c r="X550" i="8"/>
  <c r="AB550" i="8" s="1"/>
  <c r="AC551" i="8"/>
  <c r="X552" i="8"/>
  <c r="AB552" i="8" s="1"/>
  <c r="AC553" i="8"/>
  <c r="X554" i="8"/>
  <c r="AB554" i="8" s="1"/>
  <c r="AC556" i="8"/>
  <c r="X558" i="8"/>
  <c r="AB558" i="8" s="1"/>
  <c r="AC560" i="8"/>
  <c r="X562" i="8"/>
  <c r="AB562" i="8" s="1"/>
  <c r="AC564" i="8"/>
  <c r="X566" i="8"/>
  <c r="AB566" i="8" s="1"/>
  <c r="AC568" i="8"/>
  <c r="X570" i="8"/>
  <c r="AB570" i="8" s="1"/>
  <c r="AC572" i="8"/>
  <c r="N574" i="8"/>
  <c r="Z577" i="8"/>
  <c r="X577" i="8" s="1"/>
  <c r="AB577" i="8" s="1"/>
  <c r="Z578" i="8"/>
  <c r="X578" i="8" s="1"/>
  <c r="AB578" i="8" s="1"/>
  <c r="Z579" i="8"/>
  <c r="X579" i="8" s="1"/>
  <c r="AB579" i="8" s="1"/>
  <c r="Z580" i="8"/>
  <c r="X580" i="8" s="1"/>
  <c r="AB580" i="8" s="1"/>
  <c r="Z581" i="8"/>
  <c r="X581" i="8" s="1"/>
  <c r="AB581" i="8" s="1"/>
  <c r="Z582" i="8"/>
  <c r="X582" i="8" s="1"/>
  <c r="AB582" i="8" s="1"/>
  <c r="Z583" i="8"/>
  <c r="X583" i="8" s="1"/>
  <c r="AB583" i="8" s="1"/>
  <c r="Z584" i="8"/>
  <c r="X584" i="8" s="1"/>
  <c r="AB584" i="8" s="1"/>
  <c r="Z585" i="8"/>
  <c r="X585" i="8" s="1"/>
  <c r="AB585" i="8" s="1"/>
  <c r="Z586" i="8"/>
  <c r="X586" i="8" s="1"/>
  <c r="AB586" i="8" s="1"/>
  <c r="Z587" i="8"/>
  <c r="X587" i="8" s="1"/>
  <c r="AB587" i="8" s="1"/>
  <c r="Z588" i="8"/>
  <c r="AD588" i="8" s="1"/>
  <c r="AA593" i="8"/>
  <c r="S594" i="8"/>
  <c r="AC594" i="8"/>
  <c r="X596" i="8"/>
  <c r="AB596" i="8" s="1"/>
  <c r="AC596" i="8"/>
  <c r="X598" i="8"/>
  <c r="AB598" i="8" s="1"/>
  <c r="Z600" i="8"/>
  <c r="X600" i="8" s="1"/>
  <c r="AB600" i="8" s="1"/>
  <c r="S603" i="8"/>
  <c r="AC500" i="8"/>
  <c r="X504" i="8"/>
  <c r="AB504" i="8" s="1"/>
  <c r="P507" i="8"/>
  <c r="AC507" i="8" s="1"/>
  <c r="AC508" i="8"/>
  <c r="O509" i="8"/>
  <c r="S509" i="8" s="1"/>
  <c r="X512" i="8"/>
  <c r="AB512" i="8" s="1"/>
  <c r="P515" i="8"/>
  <c r="AC515" i="8" s="1"/>
  <c r="AC516" i="8"/>
  <c r="O517" i="8"/>
  <c r="S517" i="8" s="1"/>
  <c r="X520" i="8"/>
  <c r="AB520" i="8" s="1"/>
  <c r="P523" i="8"/>
  <c r="AC523" i="8" s="1"/>
  <c r="AC524" i="8"/>
  <c r="O525" i="8"/>
  <c r="S525" i="8" s="1"/>
  <c r="X528" i="8"/>
  <c r="AB528" i="8" s="1"/>
  <c r="P531" i="8"/>
  <c r="AC531" i="8" s="1"/>
  <c r="AC532" i="8"/>
  <c r="O533" i="8"/>
  <c r="S533" i="8" s="1"/>
  <c r="X536" i="8"/>
  <c r="AB536" i="8" s="1"/>
  <c r="P539" i="8"/>
  <c r="AC539" i="8" s="1"/>
  <c r="AC540" i="8"/>
  <c r="O541" i="8"/>
  <c r="O558" i="8"/>
  <c r="S558" i="8" s="1"/>
  <c r="O562" i="8"/>
  <c r="S562" i="8" s="1"/>
  <c r="R565" i="8"/>
  <c r="S565" i="8" s="1"/>
  <c r="R569" i="8"/>
  <c r="S569" i="8" s="1"/>
  <c r="R573" i="8"/>
  <c r="S573" i="8" s="1"/>
  <c r="AC591" i="8"/>
  <c r="X618" i="8"/>
  <c r="AB618" i="8" s="1"/>
  <c r="X621" i="8"/>
  <c r="AB621" i="8" s="1"/>
  <c r="AC513" i="8"/>
  <c r="X517" i="8"/>
  <c r="AB517" i="8" s="1"/>
  <c r="AC521" i="8"/>
  <c r="X525" i="8"/>
  <c r="AB525" i="8" s="1"/>
  <c r="AC529" i="8"/>
  <c r="X533" i="8"/>
  <c r="AB533" i="8" s="1"/>
  <c r="AC537" i="8"/>
  <c r="X541" i="8"/>
  <c r="AB541" i="8" s="1"/>
  <c r="X555" i="8"/>
  <c r="AB555" i="8" s="1"/>
  <c r="AC557" i="8"/>
  <c r="X559" i="8"/>
  <c r="AB559" i="8" s="1"/>
  <c r="AC561" i="8"/>
  <c r="X563" i="8"/>
  <c r="AB563" i="8" s="1"/>
  <c r="AC565" i="8"/>
  <c r="X567" i="8"/>
  <c r="AB567" i="8" s="1"/>
  <c r="AC569" i="8"/>
  <c r="X571" i="8"/>
  <c r="AB571" i="8" s="1"/>
  <c r="AC573" i="8"/>
  <c r="AC574" i="8"/>
  <c r="P501" i="8"/>
  <c r="X506" i="8"/>
  <c r="AB506" i="8" s="1"/>
  <c r="P509" i="8"/>
  <c r="AC510" i="8"/>
  <c r="X514" i="8"/>
  <c r="AB514" i="8" s="1"/>
  <c r="AC518" i="8"/>
  <c r="X522" i="8"/>
  <c r="AB522" i="8" s="1"/>
  <c r="X538" i="8"/>
  <c r="AB538" i="8" s="1"/>
  <c r="AC542" i="8"/>
  <c r="O551" i="8"/>
  <c r="S551" i="8" s="1"/>
  <c r="O553" i="8"/>
  <c r="S553" i="8" s="1"/>
  <c r="O555" i="8"/>
  <c r="S555" i="8" s="1"/>
  <c r="R566" i="8"/>
  <c r="S566" i="8" s="1"/>
  <c r="R570" i="8"/>
  <c r="S570" i="8" s="1"/>
  <c r="AC593" i="8"/>
  <c r="Z599" i="8"/>
  <c r="Z613" i="8"/>
  <c r="X613" i="8" s="1"/>
  <c r="AB613" i="8" s="1"/>
  <c r="Z619" i="8"/>
  <c r="P603" i="8"/>
  <c r="Z603" i="8" s="1"/>
  <c r="X603" i="8" s="1"/>
  <c r="AB603" i="8" s="1"/>
  <c r="S604" i="8"/>
  <c r="AD607" i="8"/>
  <c r="AA608" i="8"/>
  <c r="P609" i="8"/>
  <c r="Z609" i="8" s="1"/>
  <c r="X609" i="8" s="1"/>
  <c r="AB609" i="8" s="1"/>
  <c r="N611" i="8"/>
  <c r="S612" i="8"/>
  <c r="AA616" i="8"/>
  <c r="P617" i="8"/>
  <c r="Z617" i="8" s="1"/>
  <c r="X617" i="8" s="1"/>
  <c r="AB617" i="8" s="1"/>
  <c r="N619" i="8"/>
  <c r="S620" i="8"/>
  <c r="X626" i="8"/>
  <c r="AB626" i="8" s="1"/>
  <c r="O630" i="8"/>
  <c r="R630" i="8"/>
  <c r="S630" i="8" s="1"/>
  <c r="AC635" i="8"/>
  <c r="X635" i="8"/>
  <c r="AB635" i="8" s="1"/>
  <c r="AC643" i="8"/>
  <c r="X643" i="8"/>
  <c r="AB643" i="8" s="1"/>
  <c r="X666" i="8"/>
  <c r="AB666" i="8" s="1"/>
  <c r="X669" i="8"/>
  <c r="AB669" i="8" s="1"/>
  <c r="X685" i="8"/>
  <c r="AB685" i="8" s="1"/>
  <c r="AC597" i="8"/>
  <c r="AC602" i="8"/>
  <c r="AA605" i="8"/>
  <c r="Z606" i="8"/>
  <c r="X606" i="8" s="1"/>
  <c r="AB606" i="8" s="1"/>
  <c r="S609" i="8"/>
  <c r="O611" i="8"/>
  <c r="S611" i="8" s="1"/>
  <c r="AC611" i="8"/>
  <c r="AA613" i="8"/>
  <c r="Z614" i="8"/>
  <c r="X614" i="8" s="1"/>
  <c r="AB614" i="8" s="1"/>
  <c r="S617" i="8"/>
  <c r="O619" i="8"/>
  <c r="S619" i="8" s="1"/>
  <c r="AC619" i="8"/>
  <c r="AA621" i="8"/>
  <c r="Z622" i="8"/>
  <c r="X622" i="8" s="1"/>
  <c r="AB622" i="8" s="1"/>
  <c r="AC624" i="8"/>
  <c r="AA627" i="8"/>
  <c r="AA635" i="8"/>
  <c r="AC636" i="8"/>
  <c r="X636" i="8"/>
  <c r="AB636" i="8" s="1"/>
  <c r="AC644" i="8"/>
  <c r="X644" i="8"/>
  <c r="AB644" i="8" s="1"/>
  <c r="X668" i="8"/>
  <c r="AB668" i="8" s="1"/>
  <c r="S689" i="8"/>
  <c r="W599" i="8"/>
  <c r="AA599" i="8" s="1"/>
  <c r="O600" i="8"/>
  <c r="S600" i="8" s="1"/>
  <c r="AC601" i="8"/>
  <c r="O608" i="8"/>
  <c r="AC608" i="8"/>
  <c r="O616" i="8"/>
  <c r="AC616" i="8"/>
  <c r="O624" i="8"/>
  <c r="R629" i="8"/>
  <c r="S629" i="8" s="1"/>
  <c r="AC630" i="8"/>
  <c r="X630" i="8"/>
  <c r="AB630" i="8" s="1"/>
  <c r="AC637" i="8"/>
  <c r="X637" i="8"/>
  <c r="AB637" i="8" s="1"/>
  <c r="AC638" i="8"/>
  <c r="X638" i="8"/>
  <c r="AB638" i="8" s="1"/>
  <c r="AC645" i="8"/>
  <c r="X645" i="8"/>
  <c r="AB645" i="8" s="1"/>
  <c r="AC646" i="8"/>
  <c r="X646" i="8"/>
  <c r="AB646" i="8" s="1"/>
  <c r="X662" i="8"/>
  <c r="AB662" i="8" s="1"/>
  <c r="X665" i="8"/>
  <c r="AB665" i="8" s="1"/>
  <c r="X678" i="8"/>
  <c r="AB678" i="8" s="1"/>
  <c r="X681" i="8"/>
  <c r="AB681" i="8" s="1"/>
  <c r="S701" i="8"/>
  <c r="W598" i="8"/>
  <c r="AA598" i="8" s="1"/>
  <c r="O599" i="8"/>
  <c r="S599" i="8" s="1"/>
  <c r="AC600" i="8"/>
  <c r="O605" i="8"/>
  <c r="AC605" i="8"/>
  <c r="AA607" i="8"/>
  <c r="N610" i="8"/>
  <c r="O613" i="8"/>
  <c r="AC613" i="8"/>
  <c r="AA615" i="8"/>
  <c r="N618" i="8"/>
  <c r="O621" i="8"/>
  <c r="AC621" i="8"/>
  <c r="AA623" i="8"/>
  <c r="S624" i="8"/>
  <c r="AA625" i="8"/>
  <c r="AC627" i="8"/>
  <c r="N630" i="8"/>
  <c r="X664" i="8"/>
  <c r="AB664" i="8" s="1"/>
  <c r="S685" i="8"/>
  <c r="X695" i="8"/>
  <c r="AB695" i="8" s="1"/>
  <c r="O589" i="8"/>
  <c r="S589" i="8" s="1"/>
  <c r="O590" i="8"/>
  <c r="S590" i="8" s="1"/>
  <c r="O591" i="8"/>
  <c r="S591" i="8" s="1"/>
  <c r="O592" i="8"/>
  <c r="S592" i="8" s="1"/>
  <c r="O593" i="8"/>
  <c r="S593" i="8" s="1"/>
  <c r="O594" i="8"/>
  <c r="O595" i="8"/>
  <c r="S595" i="8" s="1"/>
  <c r="O596" i="8"/>
  <c r="S596" i="8" s="1"/>
  <c r="O597" i="8"/>
  <c r="O598" i="8"/>
  <c r="S598" i="8" s="1"/>
  <c r="AC599" i="8"/>
  <c r="AA604" i="8"/>
  <c r="N607" i="8"/>
  <c r="X607" i="8"/>
  <c r="AB607" i="8" s="1"/>
  <c r="S608" i="8"/>
  <c r="O610" i="8"/>
  <c r="AC610" i="8"/>
  <c r="AA612" i="8"/>
  <c r="N615" i="8"/>
  <c r="S616" i="8"/>
  <c r="O618" i="8"/>
  <c r="S618" i="8" s="1"/>
  <c r="AC618" i="8"/>
  <c r="AA620" i="8"/>
  <c r="N623" i="8"/>
  <c r="O627" i="8"/>
  <c r="Z627" i="8"/>
  <c r="X627" i="8" s="1"/>
  <c r="AB627" i="8" s="1"/>
  <c r="AC631" i="8"/>
  <c r="X631" i="8"/>
  <c r="AB631" i="8" s="1"/>
  <c r="AC639" i="8"/>
  <c r="X639" i="8"/>
  <c r="AB639" i="8" s="1"/>
  <c r="AC647" i="8"/>
  <c r="X647" i="8"/>
  <c r="AB647" i="8" s="1"/>
  <c r="AA649" i="8"/>
  <c r="X650" i="8"/>
  <c r="AB650" i="8" s="1"/>
  <c r="AA657" i="8"/>
  <c r="X679" i="8"/>
  <c r="AB679" i="8" s="1"/>
  <c r="AC598" i="8"/>
  <c r="S605" i="8"/>
  <c r="AA609" i="8"/>
  <c r="S613" i="8"/>
  <c r="AC615" i="8"/>
  <c r="AA617" i="8"/>
  <c r="S621" i="8"/>
  <c r="AC623" i="8"/>
  <c r="AC628" i="8"/>
  <c r="X628" i="8"/>
  <c r="AB628" i="8" s="1"/>
  <c r="AA631" i="8"/>
  <c r="AC632" i="8"/>
  <c r="X632" i="8"/>
  <c r="AB632" i="8" s="1"/>
  <c r="AA639" i="8"/>
  <c r="AC640" i="8"/>
  <c r="X640" i="8"/>
  <c r="AB640" i="8" s="1"/>
  <c r="AA647" i="8"/>
  <c r="X648" i="8"/>
  <c r="AB648" i="8" s="1"/>
  <c r="AC649" i="8"/>
  <c r="X649" i="8"/>
  <c r="AB649" i="8" s="1"/>
  <c r="AA653" i="8"/>
  <c r="X654" i="8"/>
  <c r="AB654" i="8" s="1"/>
  <c r="AC657" i="8"/>
  <c r="X657" i="8"/>
  <c r="AB657" i="8" s="1"/>
  <c r="AC604" i="8"/>
  <c r="AC612" i="8"/>
  <c r="AC620" i="8"/>
  <c r="O625" i="8"/>
  <c r="S625" i="8" s="1"/>
  <c r="R627" i="8"/>
  <c r="S627" i="8" s="1"/>
  <c r="AC633" i="8"/>
  <c r="X633" i="8"/>
  <c r="AB633" i="8" s="1"/>
  <c r="AC634" i="8"/>
  <c r="X634" i="8"/>
  <c r="AB634" i="8" s="1"/>
  <c r="AC641" i="8"/>
  <c r="X641" i="8"/>
  <c r="AB641" i="8" s="1"/>
  <c r="AC642" i="8"/>
  <c r="X642" i="8"/>
  <c r="AB642" i="8" s="1"/>
  <c r="AC651" i="8"/>
  <c r="X652" i="8"/>
  <c r="AB652" i="8" s="1"/>
  <c r="AC653" i="8"/>
  <c r="X653" i="8"/>
  <c r="AB653" i="8" s="1"/>
  <c r="X656" i="8"/>
  <c r="AB656" i="8" s="1"/>
  <c r="X659" i="8"/>
  <c r="AB659" i="8" s="1"/>
  <c r="X686" i="8"/>
  <c r="AB686" i="8" s="1"/>
  <c r="X704" i="8"/>
  <c r="AB704" i="8" s="1"/>
  <c r="AC609" i="8"/>
  <c r="AA611" i="8"/>
  <c r="AC617" i="8"/>
  <c r="AA619" i="8"/>
  <c r="AA624" i="8"/>
  <c r="AA651" i="8"/>
  <c r="Z651" i="8"/>
  <c r="X651" i="8" s="1"/>
  <c r="AB651" i="8" s="1"/>
  <c r="S677" i="8"/>
  <c r="S693" i="8"/>
  <c r="X699" i="8"/>
  <c r="AB699" i="8" s="1"/>
  <c r="X701" i="8"/>
  <c r="AB701" i="8" s="1"/>
  <c r="AC629" i="8"/>
  <c r="R634" i="8"/>
  <c r="S634" i="8" s="1"/>
  <c r="R638" i="8"/>
  <c r="S638" i="8" s="1"/>
  <c r="R642" i="8"/>
  <c r="S642" i="8" s="1"/>
  <c r="R646" i="8"/>
  <c r="S646" i="8" s="1"/>
  <c r="R650" i="8"/>
  <c r="S650" i="8" s="1"/>
  <c r="R654" i="8"/>
  <c r="S654" i="8" s="1"/>
  <c r="R658" i="8"/>
  <c r="S658" i="8" s="1"/>
  <c r="R662" i="8"/>
  <c r="S662" i="8" s="1"/>
  <c r="R666" i="8"/>
  <c r="S666" i="8" s="1"/>
  <c r="R670" i="8"/>
  <c r="S670" i="8" s="1"/>
  <c r="R674" i="8"/>
  <c r="S674" i="8" s="1"/>
  <c r="R678" i="8"/>
  <c r="S678" i="8" s="1"/>
  <c r="R682" i="8"/>
  <c r="S682" i="8" s="1"/>
  <c r="R686" i="8"/>
  <c r="S686" i="8" s="1"/>
  <c r="R690" i="8"/>
  <c r="S690" i="8" s="1"/>
  <c r="R694" i="8"/>
  <c r="S694" i="8" s="1"/>
  <c r="R698" i="8"/>
  <c r="S698" i="8" s="1"/>
  <c r="R702" i="8"/>
  <c r="S702" i="8" s="1"/>
  <c r="S715" i="8"/>
  <c r="P719" i="8"/>
  <c r="S723" i="8"/>
  <c r="N726" i="8"/>
  <c r="R726" i="8"/>
  <c r="S726" i="8" s="1"/>
  <c r="AA727" i="8"/>
  <c r="Z728" i="8"/>
  <c r="X728" i="8" s="1"/>
  <c r="AB728" i="8" s="1"/>
  <c r="Z733" i="8"/>
  <c r="X733" i="8" s="1"/>
  <c r="AB733" i="8" s="1"/>
  <c r="W744" i="8"/>
  <c r="AC661" i="8"/>
  <c r="AC665" i="8"/>
  <c r="AC669" i="8"/>
  <c r="AC673" i="8"/>
  <c r="AC677" i="8"/>
  <c r="AC681" i="8"/>
  <c r="AC685" i="8"/>
  <c r="AC689" i="8"/>
  <c r="AC693" i="8"/>
  <c r="AC697" i="8"/>
  <c r="AC701" i="8"/>
  <c r="AC704" i="8"/>
  <c r="AC727" i="8"/>
  <c r="P728" i="8"/>
  <c r="O728" i="8"/>
  <c r="S728" i="8" s="1"/>
  <c r="S731" i="8"/>
  <c r="N734" i="8"/>
  <c r="R734" i="8"/>
  <c r="S734" i="8" s="1"/>
  <c r="AA735" i="8"/>
  <c r="Z736" i="8"/>
  <c r="X736" i="8" s="1"/>
  <c r="AB736" i="8" s="1"/>
  <c r="Z741" i="8"/>
  <c r="X741" i="8" s="1"/>
  <c r="AB741" i="8" s="1"/>
  <c r="Z753" i="8"/>
  <c r="X753" i="8" s="1"/>
  <c r="AB753" i="8" s="1"/>
  <c r="Z763" i="8"/>
  <c r="X763" i="8" s="1"/>
  <c r="AB763" i="8" s="1"/>
  <c r="S771" i="8"/>
  <c r="Z788" i="8"/>
  <c r="X788" i="8" s="1"/>
  <c r="AB788" i="8" s="1"/>
  <c r="Z704" i="8"/>
  <c r="Z717" i="8"/>
  <c r="X717" i="8" s="1"/>
  <c r="AB717" i="8" s="1"/>
  <c r="AC735" i="8"/>
  <c r="P736" i="8"/>
  <c r="O736" i="8"/>
  <c r="S736" i="8" s="1"/>
  <c r="N742" i="8"/>
  <c r="R742" i="8"/>
  <c r="S742" i="8" s="1"/>
  <c r="W746" i="8"/>
  <c r="AC648" i="8"/>
  <c r="AC652" i="8"/>
  <c r="AC656" i="8"/>
  <c r="AC660" i="8"/>
  <c r="AC664" i="8"/>
  <c r="AC668" i="8"/>
  <c r="AC672" i="8"/>
  <c r="AC676" i="8"/>
  <c r="AC680" i="8"/>
  <c r="AC684" i="8"/>
  <c r="AC688" i="8"/>
  <c r="AC692" i="8"/>
  <c r="AC696" i="8"/>
  <c r="AC700" i="8"/>
  <c r="Z712" i="8"/>
  <c r="X712" i="8" s="1"/>
  <c r="AB712" i="8" s="1"/>
  <c r="AC712" i="8"/>
  <c r="R717" i="8"/>
  <c r="S717" i="8" s="1"/>
  <c r="O717" i="8"/>
  <c r="AC743" i="8"/>
  <c r="P744" i="8"/>
  <c r="Z744" i="8" s="1"/>
  <c r="X744" i="8" s="1"/>
  <c r="AB744" i="8" s="1"/>
  <c r="O744" i="8"/>
  <c r="AC625" i="8"/>
  <c r="AC703" i="8"/>
  <c r="AF707" i="8"/>
  <c r="Z714" i="8"/>
  <c r="X714" i="8" s="1"/>
  <c r="AB714" i="8" s="1"/>
  <c r="AC715" i="8"/>
  <c r="X715" i="8"/>
  <c r="AB715" i="8" s="1"/>
  <c r="N718" i="8"/>
  <c r="R718" i="8"/>
  <c r="S718" i="8" s="1"/>
  <c r="W719" i="8"/>
  <c r="AA719" i="8" s="1"/>
  <c r="Z719" i="8"/>
  <c r="AC723" i="8"/>
  <c r="X723" i="8"/>
  <c r="AB723" i="8" s="1"/>
  <c r="P724" i="8"/>
  <c r="Z724" i="8" s="1"/>
  <c r="X724" i="8" s="1"/>
  <c r="AB724" i="8" s="1"/>
  <c r="O724" i="8"/>
  <c r="W748" i="8"/>
  <c r="AA815" i="8"/>
  <c r="AC655" i="8"/>
  <c r="AC659" i="8"/>
  <c r="AC663" i="8"/>
  <c r="AC667" i="8"/>
  <c r="AC671" i="8"/>
  <c r="AC675" i="8"/>
  <c r="AC679" i="8"/>
  <c r="AC683" i="8"/>
  <c r="AC687" i="8"/>
  <c r="AC691" i="8"/>
  <c r="N694" i="8"/>
  <c r="AC695" i="8"/>
  <c r="N698" i="8"/>
  <c r="AC699" i="8"/>
  <c r="N702" i="8"/>
  <c r="AF709" i="8"/>
  <c r="AF711" i="8"/>
  <c r="R714" i="8"/>
  <c r="S714" i="8" s="1"/>
  <c r="N714" i="8"/>
  <c r="P716" i="8"/>
  <c r="Z716" i="8" s="1"/>
  <c r="X716" i="8" s="1"/>
  <c r="AB716" i="8" s="1"/>
  <c r="O716" i="8"/>
  <c r="S716" i="8" s="1"/>
  <c r="AC719" i="8"/>
  <c r="X719" i="8"/>
  <c r="AB719" i="8" s="1"/>
  <c r="P720" i="8"/>
  <c r="Z720" i="8" s="1"/>
  <c r="X720" i="8" s="1"/>
  <c r="AB720" i="8" s="1"/>
  <c r="O720" i="8"/>
  <c r="R722" i="8"/>
  <c r="S722" i="8" s="1"/>
  <c r="N722" i="8"/>
  <c r="AC731" i="8"/>
  <c r="X731" i="8"/>
  <c r="AB731" i="8" s="1"/>
  <c r="P732" i="8"/>
  <c r="AA732" i="8" s="1"/>
  <c r="O732" i="8"/>
  <c r="Z740" i="8"/>
  <c r="X740" i="8" s="1"/>
  <c r="AB740" i="8" s="1"/>
  <c r="S744" i="8"/>
  <c r="Z655" i="8"/>
  <c r="X655" i="8" s="1"/>
  <c r="AB655" i="8" s="1"/>
  <c r="Z659" i="8"/>
  <c r="Z663" i="8"/>
  <c r="X663" i="8" s="1"/>
  <c r="AB663" i="8" s="1"/>
  <c r="Z667" i="8"/>
  <c r="X667" i="8" s="1"/>
  <c r="AB667" i="8" s="1"/>
  <c r="Z671" i="8"/>
  <c r="X671" i="8" s="1"/>
  <c r="AB671" i="8" s="1"/>
  <c r="Z675" i="8"/>
  <c r="X675" i="8" s="1"/>
  <c r="AB675" i="8" s="1"/>
  <c r="Z679" i="8"/>
  <c r="Z687" i="8"/>
  <c r="X687" i="8" s="1"/>
  <c r="AB687" i="8" s="1"/>
  <c r="AC705" i="8"/>
  <c r="AC714" i="8"/>
  <c r="N717" i="8"/>
  <c r="S724" i="8"/>
  <c r="AA728" i="8"/>
  <c r="R730" i="8"/>
  <c r="S730" i="8" s="1"/>
  <c r="N730" i="8"/>
  <c r="S735" i="8"/>
  <c r="AC739" i="8"/>
  <c r="X739" i="8"/>
  <c r="AB739" i="8" s="1"/>
  <c r="P740" i="8"/>
  <c r="AA740" i="8" s="1"/>
  <c r="O740" i="8"/>
  <c r="S740" i="8" s="1"/>
  <c r="S759" i="8"/>
  <c r="AC650" i="8"/>
  <c r="AC654" i="8"/>
  <c r="AC658" i="8"/>
  <c r="AC662" i="8"/>
  <c r="AC666" i="8"/>
  <c r="AC670" i="8"/>
  <c r="AC674" i="8"/>
  <c r="AC678" i="8"/>
  <c r="AC682" i="8"/>
  <c r="AC686" i="8"/>
  <c r="AC690" i="8"/>
  <c r="AC694" i="8"/>
  <c r="AC698" i="8"/>
  <c r="AC702" i="8"/>
  <c r="AF706" i="8"/>
  <c r="AA713" i="8"/>
  <c r="S720" i="8"/>
  <c r="AA721" i="8"/>
  <c r="Z725" i="8"/>
  <c r="X725" i="8" s="1"/>
  <c r="AB725" i="8" s="1"/>
  <c r="S732" i="8"/>
  <c r="AA736" i="8"/>
  <c r="R738" i="8"/>
  <c r="S738" i="8" s="1"/>
  <c r="N738" i="8"/>
  <c r="S743" i="8"/>
  <c r="S769" i="8"/>
  <c r="R776" i="8"/>
  <c r="S776" i="8" s="1"/>
  <c r="R778" i="8"/>
  <c r="S778" i="8" s="1"/>
  <c r="R780" i="8"/>
  <c r="S780" i="8" s="1"/>
  <c r="R782" i="8"/>
  <c r="S782" i="8" s="1"/>
  <c r="W783" i="8"/>
  <c r="AA783" i="8" s="1"/>
  <c r="P785" i="8"/>
  <c r="AA785" i="8" s="1"/>
  <c r="Z785" i="8"/>
  <c r="W791" i="8"/>
  <c r="AA791" i="8" s="1"/>
  <c r="P793" i="8"/>
  <c r="Z793" i="8" s="1"/>
  <c r="X793" i="8" s="1"/>
  <c r="AB793" i="8" s="1"/>
  <c r="X800" i="8"/>
  <c r="AB800" i="8" s="1"/>
  <c r="AC800" i="8"/>
  <c r="W801" i="8"/>
  <c r="AA801" i="8" s="1"/>
  <c r="S805" i="8"/>
  <c r="P806" i="8"/>
  <c r="Z806" i="8" s="1"/>
  <c r="X808" i="8"/>
  <c r="AB808" i="8" s="1"/>
  <c r="AC808" i="8"/>
  <c r="W809" i="8"/>
  <c r="AA809" i="8" s="1"/>
  <c r="S813" i="8"/>
  <c r="P814" i="8"/>
  <c r="Z814" i="8" s="1"/>
  <c r="X814" i="8" s="1"/>
  <c r="AB814" i="8" s="1"/>
  <c r="X816" i="8"/>
  <c r="AB816" i="8" s="1"/>
  <c r="AC816" i="8"/>
  <c r="W817" i="8"/>
  <c r="AA817" i="8" s="1"/>
  <c r="S821" i="8"/>
  <c r="P822" i="8"/>
  <c r="Z822" i="8" s="1"/>
  <c r="X824" i="8"/>
  <c r="AB824" i="8" s="1"/>
  <c r="AC824" i="8"/>
  <c r="W825" i="8"/>
  <c r="AA825" i="8" s="1"/>
  <c r="O836" i="8"/>
  <c r="P836" i="8"/>
  <c r="W839" i="8"/>
  <c r="Z839" i="8"/>
  <c r="N840" i="8"/>
  <c r="W843" i="8"/>
  <c r="AF852" i="8"/>
  <c r="AD852" i="8"/>
  <c r="AF868" i="8"/>
  <c r="AD868" i="8"/>
  <c r="AF870" i="8"/>
  <c r="AD870" i="8"/>
  <c r="AF872" i="8"/>
  <c r="AD872" i="8"/>
  <c r="AF878" i="8"/>
  <c r="AD878" i="8"/>
  <c r="AF880" i="8"/>
  <c r="AD880" i="8"/>
  <c r="AF882" i="8"/>
  <c r="AD882" i="8"/>
  <c r="AF893" i="8"/>
  <c r="AD893" i="8"/>
  <c r="AC718" i="8"/>
  <c r="O725" i="8"/>
  <c r="S725" i="8" s="1"/>
  <c r="AC726" i="8"/>
  <c r="Z727" i="8"/>
  <c r="X727" i="8" s="1"/>
  <c r="AB727" i="8" s="1"/>
  <c r="O733" i="8"/>
  <c r="S733" i="8" s="1"/>
  <c r="AC734" i="8"/>
  <c r="Z735" i="8"/>
  <c r="X735" i="8" s="1"/>
  <c r="AB735" i="8" s="1"/>
  <c r="O741" i="8"/>
  <c r="S741" i="8" s="1"/>
  <c r="AC742" i="8"/>
  <c r="Z743" i="8"/>
  <c r="X743" i="8" s="1"/>
  <c r="AB743" i="8" s="1"/>
  <c r="W745" i="8"/>
  <c r="W747" i="8"/>
  <c r="W749" i="8"/>
  <c r="W751" i="8"/>
  <c r="O753" i="8"/>
  <c r="S753" i="8" s="1"/>
  <c r="W753" i="8"/>
  <c r="AA753" i="8" s="1"/>
  <c r="O755" i="8"/>
  <c r="S755" i="8" s="1"/>
  <c r="W755" i="8"/>
  <c r="O757" i="8"/>
  <c r="S757" i="8" s="1"/>
  <c r="W757" i="8"/>
  <c r="O759" i="8"/>
  <c r="W759" i="8"/>
  <c r="O761" i="8"/>
  <c r="S761" i="8" s="1"/>
  <c r="W761" i="8"/>
  <c r="O763" i="8"/>
  <c r="S763" i="8" s="1"/>
  <c r="W763" i="8"/>
  <c r="O765" i="8"/>
  <c r="S765" i="8" s="1"/>
  <c r="W765" i="8"/>
  <c r="O767" i="8"/>
  <c r="S767" i="8" s="1"/>
  <c r="W767" i="8"/>
  <c r="O769" i="8"/>
  <c r="W769" i="8"/>
  <c r="AA769" i="8" s="1"/>
  <c r="O771" i="8"/>
  <c r="W771" i="8"/>
  <c r="AA771" i="8" s="1"/>
  <c r="O773" i="8"/>
  <c r="S773" i="8" s="1"/>
  <c r="W773" i="8"/>
  <c r="AA773" i="8" s="1"/>
  <c r="O775" i="8"/>
  <c r="S775" i="8" s="1"/>
  <c r="W775" i="8"/>
  <c r="AA775" i="8" s="1"/>
  <c r="O777" i="8"/>
  <c r="S777" i="8" s="1"/>
  <c r="O779" i="8"/>
  <c r="S779" i="8" s="1"/>
  <c r="O781" i="8"/>
  <c r="S781" i="8" s="1"/>
  <c r="X783" i="8"/>
  <c r="AB783" i="8" s="1"/>
  <c r="AC783" i="8"/>
  <c r="P788" i="8"/>
  <c r="AC788" i="8" s="1"/>
  <c r="X791" i="8"/>
  <c r="AB791" i="8" s="1"/>
  <c r="AC791" i="8"/>
  <c r="P796" i="8"/>
  <c r="Z796" i="8" s="1"/>
  <c r="X796" i="8" s="1"/>
  <c r="AB796" i="8" s="1"/>
  <c r="P799" i="8"/>
  <c r="AA799" i="8" s="1"/>
  <c r="X801" i="8"/>
  <c r="AB801" i="8" s="1"/>
  <c r="AC801" i="8"/>
  <c r="S806" i="8"/>
  <c r="P807" i="8"/>
  <c r="AA807" i="8" s="1"/>
  <c r="X809" i="8"/>
  <c r="AB809" i="8" s="1"/>
  <c r="AC809" i="8"/>
  <c r="AA810" i="8"/>
  <c r="S814" i="8"/>
  <c r="P815" i="8"/>
  <c r="Z815" i="8" s="1"/>
  <c r="X815" i="8" s="1"/>
  <c r="AB815" i="8" s="1"/>
  <c r="X817" i="8"/>
  <c r="AB817" i="8" s="1"/>
  <c r="AC817" i="8"/>
  <c r="S822" i="8"/>
  <c r="P823" i="8"/>
  <c r="Z823" i="8" s="1"/>
  <c r="X823" i="8" s="1"/>
  <c r="AB823" i="8" s="1"/>
  <c r="X825" i="8"/>
  <c r="AB825" i="8" s="1"/>
  <c r="AC825" i="8"/>
  <c r="AA827" i="8"/>
  <c r="O835" i="8"/>
  <c r="S835" i="8" s="1"/>
  <c r="P835" i="8"/>
  <c r="AC835" i="8" s="1"/>
  <c r="AF866" i="8"/>
  <c r="AD866" i="8"/>
  <c r="AF874" i="8"/>
  <c r="AD874" i="8"/>
  <c r="AF876" i="8"/>
  <c r="AD876" i="8"/>
  <c r="AF894" i="8"/>
  <c r="AD894" i="8"/>
  <c r="AF897" i="8"/>
  <c r="AD897" i="8"/>
  <c r="AC717" i="8"/>
  <c r="AC725" i="8"/>
  <c r="AC733" i="8"/>
  <c r="AC741" i="8"/>
  <c r="AC753" i="8"/>
  <c r="AC769" i="8"/>
  <c r="X771" i="8"/>
  <c r="AB771" i="8" s="1"/>
  <c r="AC771" i="8"/>
  <c r="X773" i="8"/>
  <c r="AB773" i="8" s="1"/>
  <c r="AC773" i="8"/>
  <c r="N775" i="8"/>
  <c r="X775" i="8"/>
  <c r="AB775" i="8" s="1"/>
  <c r="AC775" i="8"/>
  <c r="N777" i="8"/>
  <c r="X777" i="8"/>
  <c r="AB777" i="8" s="1"/>
  <c r="AC777" i="8"/>
  <c r="N779" i="8"/>
  <c r="X779" i="8"/>
  <c r="AB779" i="8" s="1"/>
  <c r="AC779" i="8"/>
  <c r="N781" i="8"/>
  <c r="X781" i="8"/>
  <c r="AB781" i="8" s="1"/>
  <c r="AC781" i="8"/>
  <c r="X786" i="8"/>
  <c r="AB786" i="8" s="1"/>
  <c r="AC786" i="8"/>
  <c r="X794" i="8"/>
  <c r="AB794" i="8" s="1"/>
  <c r="AC794" i="8"/>
  <c r="S799" i="8"/>
  <c r="AA803" i="8"/>
  <c r="S807" i="8"/>
  <c r="AC810" i="8"/>
  <c r="S815" i="8"/>
  <c r="AA819" i="8"/>
  <c r="S823" i="8"/>
  <c r="X827" i="8"/>
  <c r="AB827" i="8" s="1"/>
  <c r="O834" i="8"/>
  <c r="P834" i="8"/>
  <c r="AC834" i="8" s="1"/>
  <c r="S836" i="8"/>
  <c r="AF844" i="8"/>
  <c r="AD844" i="8"/>
  <c r="AF848" i="8"/>
  <c r="AD848" i="8"/>
  <c r="AF864" i="8"/>
  <c r="AD864" i="8"/>
  <c r="AF898" i="8"/>
  <c r="AD898" i="8"/>
  <c r="AF901" i="8"/>
  <c r="AD901" i="8"/>
  <c r="W714" i="8"/>
  <c r="AA714" i="8" s="1"/>
  <c r="AC716" i="8"/>
  <c r="W722" i="8"/>
  <c r="AA722" i="8" s="1"/>
  <c r="AC724" i="8"/>
  <c r="W730" i="8"/>
  <c r="AA730" i="8" s="1"/>
  <c r="AC732" i="8"/>
  <c r="W738" i="8"/>
  <c r="AA738" i="8" s="1"/>
  <c r="AC740" i="8"/>
  <c r="P745" i="8"/>
  <c r="Z745" i="8" s="1"/>
  <c r="X745" i="8" s="1"/>
  <c r="AB745" i="8" s="1"/>
  <c r="P747" i="8"/>
  <c r="AC747" i="8" s="1"/>
  <c r="P749" i="8"/>
  <c r="AC749" i="8" s="1"/>
  <c r="P751" i="8"/>
  <c r="Z751" i="8" s="1"/>
  <c r="X751" i="8" s="1"/>
  <c r="AB751" i="8" s="1"/>
  <c r="P753" i="8"/>
  <c r="P755" i="8"/>
  <c r="AC755" i="8" s="1"/>
  <c r="P757" i="8"/>
  <c r="AC757" i="8" s="1"/>
  <c r="P759" i="8"/>
  <c r="Z759" i="8" s="1"/>
  <c r="X759" i="8" s="1"/>
  <c r="AB759" i="8" s="1"/>
  <c r="P761" i="8"/>
  <c r="Z761" i="8" s="1"/>
  <c r="X761" i="8" s="1"/>
  <c r="AB761" i="8" s="1"/>
  <c r="P763" i="8"/>
  <c r="AC763" i="8" s="1"/>
  <c r="P765" i="8"/>
  <c r="AC765" i="8" s="1"/>
  <c r="P767" i="8"/>
  <c r="Z767" i="8" s="1"/>
  <c r="X767" i="8" s="1"/>
  <c r="AB767" i="8" s="1"/>
  <c r="P769" i="8"/>
  <c r="Z769" i="8" s="1"/>
  <c r="X769" i="8" s="1"/>
  <c r="AB769" i="8" s="1"/>
  <c r="X789" i="8"/>
  <c r="AB789" i="8" s="1"/>
  <c r="AC789" i="8"/>
  <c r="X797" i="8"/>
  <c r="AB797" i="8" s="1"/>
  <c r="AC797" i="8"/>
  <c r="X803" i="8"/>
  <c r="AB803" i="8" s="1"/>
  <c r="AC803" i="8"/>
  <c r="X811" i="8"/>
  <c r="AB811" i="8" s="1"/>
  <c r="AC811" i="8"/>
  <c r="W812" i="8"/>
  <c r="X819" i="8"/>
  <c r="AB819" i="8" s="1"/>
  <c r="AC819" i="8"/>
  <c r="O827" i="8"/>
  <c r="S827" i="8" s="1"/>
  <c r="P827" i="8"/>
  <c r="Z827" i="8" s="1"/>
  <c r="O828" i="8"/>
  <c r="P828" i="8"/>
  <c r="Z828" i="8" s="1"/>
  <c r="X828" i="8" s="1"/>
  <c r="AB828" i="8" s="1"/>
  <c r="O829" i="8"/>
  <c r="P829" i="8"/>
  <c r="Z829" i="8" s="1"/>
  <c r="X829" i="8" s="1"/>
  <c r="AB829" i="8" s="1"/>
  <c r="O830" i="8"/>
  <c r="P830" i="8"/>
  <c r="Z830" i="8" s="1"/>
  <c r="X830" i="8" s="1"/>
  <c r="AB830" i="8" s="1"/>
  <c r="O831" i="8"/>
  <c r="S831" i="8" s="1"/>
  <c r="P831" i="8"/>
  <c r="Z831" i="8" s="1"/>
  <c r="X831" i="8" s="1"/>
  <c r="AB831" i="8" s="1"/>
  <c r="O832" i="8"/>
  <c r="P832" i="8"/>
  <c r="Z832" i="8" s="1"/>
  <c r="X832" i="8" s="1"/>
  <c r="AB832" i="8" s="1"/>
  <c r="O833" i="8"/>
  <c r="P833" i="8"/>
  <c r="Z833" i="8" s="1"/>
  <c r="X833" i="8" s="1"/>
  <c r="AB833" i="8" s="1"/>
  <c r="AF862" i="8"/>
  <c r="AD862" i="8"/>
  <c r="AF902" i="8"/>
  <c r="AD902" i="8"/>
  <c r="AF906" i="8"/>
  <c r="AD906" i="8"/>
  <c r="AF907" i="8"/>
  <c r="X784" i="8"/>
  <c r="AB784" i="8" s="1"/>
  <c r="AC784" i="8"/>
  <c r="W787" i="8"/>
  <c r="X792" i="8"/>
  <c r="AB792" i="8" s="1"/>
  <c r="AC792" i="8"/>
  <c r="W795" i="8"/>
  <c r="P802" i="8"/>
  <c r="Z802" i="8" s="1"/>
  <c r="X802" i="8" s="1"/>
  <c r="AB802" i="8" s="1"/>
  <c r="AA805" i="8"/>
  <c r="P810" i="8"/>
  <c r="Z810" i="8" s="1"/>
  <c r="X810" i="8" s="1"/>
  <c r="AB810" i="8" s="1"/>
  <c r="AA813" i="8"/>
  <c r="P818" i="8"/>
  <c r="Z818" i="8" s="1"/>
  <c r="X818" i="8" s="1"/>
  <c r="AB818" i="8" s="1"/>
  <c r="AA821" i="8"/>
  <c r="P826" i="8"/>
  <c r="Z826" i="8" s="1"/>
  <c r="X826" i="8" s="1"/>
  <c r="AB826" i="8" s="1"/>
  <c r="S834" i="8"/>
  <c r="AA844" i="8"/>
  <c r="AF860" i="8"/>
  <c r="AD860" i="8"/>
  <c r="AF885" i="8"/>
  <c r="AD885" i="8"/>
  <c r="AF905" i="8"/>
  <c r="AD905" i="8"/>
  <c r="AC722" i="8"/>
  <c r="AC730" i="8"/>
  <c r="AC738" i="8"/>
  <c r="W750" i="8"/>
  <c r="W752" i="8"/>
  <c r="W754" i="8"/>
  <c r="W756" i="8"/>
  <c r="W758" i="8"/>
  <c r="W760" i="8"/>
  <c r="AA760" i="8" s="1"/>
  <c r="W762" i="8"/>
  <c r="W764" i="8"/>
  <c r="W766" i="8"/>
  <c r="W768" i="8"/>
  <c r="AA768" i="8" s="1"/>
  <c r="W770" i="8"/>
  <c r="AA770" i="8" s="1"/>
  <c r="W772" i="8"/>
  <c r="AA772" i="8" s="1"/>
  <c r="W774" i="8"/>
  <c r="AA774" i="8" s="1"/>
  <c r="AA798" i="8"/>
  <c r="X805" i="8"/>
  <c r="AB805" i="8" s="1"/>
  <c r="AC805" i="8"/>
  <c r="S810" i="8"/>
  <c r="X813" i="8"/>
  <c r="AB813" i="8" s="1"/>
  <c r="AC813" i="8"/>
  <c r="X821" i="8"/>
  <c r="AB821" i="8" s="1"/>
  <c r="AC821" i="8"/>
  <c r="AA822" i="8"/>
  <c r="S828" i="8"/>
  <c r="S829" i="8"/>
  <c r="S830" i="8"/>
  <c r="S832" i="8"/>
  <c r="S833" i="8"/>
  <c r="AA836" i="8"/>
  <c r="O842" i="8"/>
  <c r="S842" i="8" s="1"/>
  <c r="P842" i="8"/>
  <c r="Z842" i="8" s="1"/>
  <c r="X842" i="8" s="1"/>
  <c r="AB842" i="8" s="1"/>
  <c r="O846" i="8"/>
  <c r="S846" i="8" s="1"/>
  <c r="P846" i="8"/>
  <c r="AA846" i="8" s="1"/>
  <c r="AF886" i="8"/>
  <c r="AD886" i="8"/>
  <c r="AC713" i="8"/>
  <c r="AC721" i="8"/>
  <c r="AC729" i="8"/>
  <c r="AC737" i="8"/>
  <c r="AC744" i="8"/>
  <c r="AC756" i="8"/>
  <c r="X768" i="8"/>
  <c r="AB768" i="8" s="1"/>
  <c r="AC768" i="8"/>
  <c r="X770" i="8"/>
  <c r="AB770" i="8" s="1"/>
  <c r="AC770" i="8"/>
  <c r="X772" i="8"/>
  <c r="AB772" i="8" s="1"/>
  <c r="AC772" i="8"/>
  <c r="X774" i="8"/>
  <c r="AB774" i="8" s="1"/>
  <c r="AC774" i="8"/>
  <c r="X776" i="8"/>
  <c r="AB776" i="8" s="1"/>
  <c r="AC776" i="8"/>
  <c r="X778" i="8"/>
  <c r="AB778" i="8" s="1"/>
  <c r="AC778" i="8"/>
  <c r="X780" i="8"/>
  <c r="AB780" i="8" s="1"/>
  <c r="AC780" i="8"/>
  <c r="X782" i="8"/>
  <c r="AB782" i="8" s="1"/>
  <c r="AC782" i="8"/>
  <c r="P787" i="8"/>
  <c r="Z787" i="8" s="1"/>
  <c r="X787" i="8" s="1"/>
  <c r="AB787" i="8" s="1"/>
  <c r="X790" i="8"/>
  <c r="AB790" i="8" s="1"/>
  <c r="AC790" i="8"/>
  <c r="P795" i="8"/>
  <c r="AC795" i="8" s="1"/>
  <c r="X798" i="8"/>
  <c r="AB798" i="8" s="1"/>
  <c r="AC798" i="8"/>
  <c r="S803" i="8"/>
  <c r="P804" i="8"/>
  <c r="Z804" i="8" s="1"/>
  <c r="X804" i="8" s="1"/>
  <c r="AB804" i="8" s="1"/>
  <c r="X806" i="8"/>
  <c r="AB806" i="8" s="1"/>
  <c r="AC806" i="8"/>
  <c r="S811" i="8"/>
  <c r="P812" i="8"/>
  <c r="Z812" i="8" s="1"/>
  <c r="X812" i="8" s="1"/>
  <c r="AB812" i="8" s="1"/>
  <c r="AC814" i="8"/>
  <c r="S819" i="8"/>
  <c r="P820" i="8"/>
  <c r="Z820" i="8" s="1"/>
  <c r="X820" i="8" s="1"/>
  <c r="AB820" i="8" s="1"/>
  <c r="X822" i="8"/>
  <c r="AB822" i="8" s="1"/>
  <c r="AC822" i="8"/>
  <c r="AA835" i="8"/>
  <c r="O838" i="8"/>
  <c r="S838" i="8" s="1"/>
  <c r="P838" i="8"/>
  <c r="AA838" i="8" s="1"/>
  <c r="AC840" i="8"/>
  <c r="AC841" i="8"/>
  <c r="AF845" i="8"/>
  <c r="AD845" i="8"/>
  <c r="S853" i="8"/>
  <c r="AF889" i="8"/>
  <c r="AD889" i="8"/>
  <c r="AC720" i="8"/>
  <c r="AC728" i="8"/>
  <c r="AC736" i="8"/>
  <c r="P746" i="8"/>
  <c r="Z746" i="8" s="1"/>
  <c r="X746" i="8" s="1"/>
  <c r="AB746" i="8" s="1"/>
  <c r="P748" i="8"/>
  <c r="AC748" i="8" s="1"/>
  <c r="P750" i="8"/>
  <c r="Z750" i="8" s="1"/>
  <c r="X750" i="8" s="1"/>
  <c r="AB750" i="8" s="1"/>
  <c r="P752" i="8"/>
  <c r="Z752" i="8" s="1"/>
  <c r="X752" i="8" s="1"/>
  <c r="AB752" i="8" s="1"/>
  <c r="P754" i="8"/>
  <c r="Z754" i="8" s="1"/>
  <c r="X754" i="8" s="1"/>
  <c r="AB754" i="8" s="1"/>
  <c r="P756" i="8"/>
  <c r="Z756" i="8" s="1"/>
  <c r="X756" i="8" s="1"/>
  <c r="AB756" i="8" s="1"/>
  <c r="P758" i="8"/>
  <c r="AC758" i="8" s="1"/>
  <c r="P760" i="8"/>
  <c r="Z760" i="8" s="1"/>
  <c r="X760" i="8" s="1"/>
  <c r="AB760" i="8" s="1"/>
  <c r="P762" i="8"/>
  <c r="Z762" i="8" s="1"/>
  <c r="X762" i="8" s="1"/>
  <c r="AB762" i="8" s="1"/>
  <c r="P764" i="8"/>
  <c r="AC764" i="8" s="1"/>
  <c r="P766" i="8"/>
  <c r="Z766" i="8" s="1"/>
  <c r="X766" i="8" s="1"/>
  <c r="AB766" i="8" s="1"/>
  <c r="X785" i="8"/>
  <c r="AB785" i="8" s="1"/>
  <c r="AC785" i="8"/>
  <c r="AC793" i="8"/>
  <c r="AC807" i="8"/>
  <c r="AC815" i="8"/>
  <c r="AC823" i="8"/>
  <c r="AA834" i="8"/>
  <c r="AF837" i="8"/>
  <c r="AD837" i="8"/>
  <c r="Z844" i="8"/>
  <c r="X844" i="8" s="1"/>
  <c r="AB844" i="8" s="1"/>
  <c r="AF856" i="8"/>
  <c r="AD856" i="8"/>
  <c r="AF890" i="8"/>
  <c r="AD890" i="8"/>
  <c r="P839" i="8"/>
  <c r="AC839" i="8" s="1"/>
  <c r="O841" i="8"/>
  <c r="S841" i="8" s="1"/>
  <c r="P847" i="8"/>
  <c r="AA847" i="8" s="1"/>
  <c r="Z847" i="8"/>
  <c r="O849" i="8"/>
  <c r="S849" i="8" s="1"/>
  <c r="X852" i="8"/>
  <c r="AB852" i="8" s="1"/>
  <c r="P855" i="8"/>
  <c r="Z855" i="8" s="1"/>
  <c r="X855" i="8" s="1"/>
  <c r="AB855" i="8" s="1"/>
  <c r="O857" i="8"/>
  <c r="S857" i="8" s="1"/>
  <c r="X902" i="8"/>
  <c r="AB902" i="8" s="1"/>
  <c r="AC908" i="8"/>
  <c r="AD939" i="8"/>
  <c r="X960" i="8"/>
  <c r="AB960" i="8" s="1"/>
  <c r="X974" i="8"/>
  <c r="AB974" i="8" s="1"/>
  <c r="AD987" i="8"/>
  <c r="AF987" i="8"/>
  <c r="X849" i="8"/>
  <c r="AB849" i="8" s="1"/>
  <c r="Z852" i="8"/>
  <c r="X857" i="8"/>
  <c r="AB857" i="8" s="1"/>
  <c r="Z886" i="8"/>
  <c r="X886" i="8" s="1"/>
  <c r="AB886" i="8" s="1"/>
  <c r="Z890" i="8"/>
  <c r="X890" i="8" s="1"/>
  <c r="AB890" i="8" s="1"/>
  <c r="Z894" i="8"/>
  <c r="X894" i="8" s="1"/>
  <c r="AB894" i="8" s="1"/>
  <c r="R897" i="8"/>
  <c r="S897" i="8" s="1"/>
  <c r="Z898" i="8"/>
  <c r="X898" i="8" s="1"/>
  <c r="AB898" i="8" s="1"/>
  <c r="R901" i="8"/>
  <c r="S901" i="8" s="1"/>
  <c r="Z902" i="8"/>
  <c r="S905" i="8"/>
  <c r="Z907" i="8"/>
  <c r="AD907" i="8" s="1"/>
  <c r="AD913" i="8"/>
  <c r="AF913" i="8"/>
  <c r="AF915" i="8"/>
  <c r="AD918" i="8"/>
  <c r="AF918" i="8"/>
  <c r="R920" i="8"/>
  <c r="S920" i="8" s="1"/>
  <c r="O920" i="8"/>
  <c r="N920" i="8"/>
  <c r="AD934" i="8"/>
  <c r="AF934" i="8"/>
  <c r="R936" i="8"/>
  <c r="S936" i="8" s="1"/>
  <c r="O936" i="8"/>
  <c r="N936" i="8"/>
  <c r="AD942" i="8"/>
  <c r="AF942" i="8"/>
  <c r="X943" i="8"/>
  <c r="AB943" i="8" s="1"/>
  <c r="R944" i="8"/>
  <c r="S944" i="8" s="1"/>
  <c r="O944" i="8"/>
  <c r="N944" i="8"/>
  <c r="AD979" i="8"/>
  <c r="AF979" i="8"/>
  <c r="X992" i="8"/>
  <c r="AB992" i="8" s="1"/>
  <c r="AF993" i="8"/>
  <c r="N838" i="8"/>
  <c r="N846" i="8"/>
  <c r="W851" i="8"/>
  <c r="AD853" i="8"/>
  <c r="N854" i="8"/>
  <c r="AC910" i="8"/>
  <c r="AD920" i="8"/>
  <c r="AF920" i="8"/>
  <c r="AD921" i="8"/>
  <c r="AF921" i="8"/>
  <c r="AD926" i="8"/>
  <c r="AF926" i="8"/>
  <c r="R928" i="8"/>
  <c r="S928" i="8" s="1"/>
  <c r="O928" i="8"/>
  <c r="N928" i="8"/>
  <c r="AD936" i="8"/>
  <c r="AF936" i="8"/>
  <c r="AD937" i="8"/>
  <c r="AF937" i="8"/>
  <c r="AA941" i="8"/>
  <c r="AD944" i="8"/>
  <c r="AF944" i="8"/>
  <c r="AD945" i="8"/>
  <c r="AF945" i="8"/>
  <c r="X984" i="8"/>
  <c r="AB984" i="8" s="1"/>
  <c r="AD985" i="8"/>
  <c r="AF985" i="8"/>
  <c r="X990" i="8"/>
  <c r="AB990" i="8" s="1"/>
  <c r="O840" i="8"/>
  <c r="S840" i="8" s="1"/>
  <c r="O848" i="8"/>
  <c r="S848" i="8" s="1"/>
  <c r="P854" i="8"/>
  <c r="AA854" i="8" s="1"/>
  <c r="O856" i="8"/>
  <c r="S856" i="8" s="1"/>
  <c r="X861" i="8"/>
  <c r="AB861" i="8" s="1"/>
  <c r="X863" i="8"/>
  <c r="AB863" i="8" s="1"/>
  <c r="X865" i="8"/>
  <c r="AB865" i="8" s="1"/>
  <c r="X867" i="8"/>
  <c r="AB867" i="8" s="1"/>
  <c r="X869" i="8"/>
  <c r="AB869" i="8" s="1"/>
  <c r="X871" i="8"/>
  <c r="AB871" i="8" s="1"/>
  <c r="X873" i="8"/>
  <c r="AB873" i="8" s="1"/>
  <c r="X875" i="8"/>
  <c r="AB875" i="8" s="1"/>
  <c r="X877" i="8"/>
  <c r="AB877" i="8" s="1"/>
  <c r="X879" i="8"/>
  <c r="AB879" i="8" s="1"/>
  <c r="X881" i="8"/>
  <c r="AB881" i="8" s="1"/>
  <c r="AA884" i="8"/>
  <c r="R886" i="8"/>
  <c r="S886" i="8" s="1"/>
  <c r="AA888" i="8"/>
  <c r="R890" i="8"/>
  <c r="S890" i="8" s="1"/>
  <c r="AA892" i="8"/>
  <c r="R894" i="8"/>
  <c r="S894" i="8" s="1"/>
  <c r="AA896" i="8"/>
  <c r="R898" i="8"/>
  <c r="S898" i="8" s="1"/>
  <c r="AA900" i="8"/>
  <c r="R902" i="8"/>
  <c r="S902" i="8" s="1"/>
  <c r="AA904" i="8"/>
  <c r="S907" i="8"/>
  <c r="S908" i="8"/>
  <c r="X912" i="8"/>
  <c r="AB912" i="8" s="1"/>
  <c r="AC917" i="8"/>
  <c r="AD928" i="8"/>
  <c r="AF928" i="8"/>
  <c r="AD929" i="8"/>
  <c r="AF929" i="8"/>
  <c r="X941" i="8"/>
  <c r="AB941" i="8" s="1"/>
  <c r="AC941" i="8"/>
  <c r="AF947" i="8"/>
  <c r="AA949" i="8"/>
  <c r="X950" i="8"/>
  <c r="AB950" i="8" s="1"/>
  <c r="X971" i="8"/>
  <c r="AB971" i="8" s="1"/>
  <c r="X976" i="8"/>
  <c r="AB976" i="8" s="1"/>
  <c r="AD977" i="8"/>
  <c r="AF977" i="8"/>
  <c r="X982" i="8"/>
  <c r="AB982" i="8" s="1"/>
  <c r="AC827" i="8"/>
  <c r="O837" i="8"/>
  <c r="S837" i="8" s="1"/>
  <c r="X840" i="8"/>
  <c r="AB840" i="8" s="1"/>
  <c r="P843" i="8"/>
  <c r="AC843" i="8" s="1"/>
  <c r="O845" i="8"/>
  <c r="S845" i="8" s="1"/>
  <c r="X848" i="8"/>
  <c r="AB848" i="8" s="1"/>
  <c r="P851" i="8"/>
  <c r="AC851" i="8" s="1"/>
  <c r="O853" i="8"/>
  <c r="X856" i="8"/>
  <c r="AB856" i="8" s="1"/>
  <c r="P859" i="8"/>
  <c r="X884" i="8"/>
  <c r="AB884" i="8" s="1"/>
  <c r="X888" i="8"/>
  <c r="AB888" i="8" s="1"/>
  <c r="X892" i="8"/>
  <c r="AB892" i="8" s="1"/>
  <c r="X896" i="8"/>
  <c r="AB896" i="8" s="1"/>
  <c r="X900" i="8"/>
  <c r="AB900" i="8" s="1"/>
  <c r="X904" i="8"/>
  <c r="AB904" i="8" s="1"/>
  <c r="AA911" i="8"/>
  <c r="AF912" i="8"/>
  <c r="AD912" i="8"/>
  <c r="S924" i="8"/>
  <c r="AC925" i="8"/>
  <c r="AC933" i="8"/>
  <c r="X949" i="8"/>
  <c r="AB949" i="8" s="1"/>
  <c r="AC949" i="8"/>
  <c r="X963" i="8"/>
  <c r="AB963" i="8" s="1"/>
  <c r="AD970" i="8"/>
  <c r="AF970" i="8"/>
  <c r="S1008" i="8"/>
  <c r="X845" i="8"/>
  <c r="AB845" i="8" s="1"/>
  <c r="AC849" i="8"/>
  <c r="X853" i="8"/>
  <c r="AB853" i="8" s="1"/>
  <c r="AC857" i="8"/>
  <c r="AC883" i="8"/>
  <c r="AC887" i="8"/>
  <c r="AC891" i="8"/>
  <c r="AC895" i="8"/>
  <c r="AC899" i="8"/>
  <c r="AC903" i="8"/>
  <c r="AA908" i="8"/>
  <c r="AF909" i="8"/>
  <c r="AD909" i="8"/>
  <c r="S926" i="8"/>
  <c r="S962" i="8"/>
  <c r="AD962" i="8"/>
  <c r="AF962" i="8"/>
  <c r="AD988" i="8"/>
  <c r="AF988" i="8"/>
  <c r="AF994" i="8"/>
  <c r="S996" i="8"/>
  <c r="X858" i="8"/>
  <c r="AB858" i="8" s="1"/>
  <c r="X885" i="8"/>
  <c r="AB885" i="8" s="1"/>
  <c r="X889" i="8"/>
  <c r="AB889" i="8" s="1"/>
  <c r="X893" i="8"/>
  <c r="AB893" i="8" s="1"/>
  <c r="X897" i="8"/>
  <c r="AB897" i="8" s="1"/>
  <c r="X901" i="8"/>
  <c r="AB901" i="8" s="1"/>
  <c r="X905" i="8"/>
  <c r="AB905" i="8" s="1"/>
  <c r="AA917" i="8"/>
  <c r="Z917" i="8"/>
  <c r="X917" i="8" s="1"/>
  <c r="AB917" i="8" s="1"/>
  <c r="AD954" i="8"/>
  <c r="AF954" i="8"/>
  <c r="AD980" i="8"/>
  <c r="AF980" i="8"/>
  <c r="AD986" i="8"/>
  <c r="AF986" i="8"/>
  <c r="S993" i="8"/>
  <c r="X839" i="8"/>
  <c r="AB839" i="8" s="1"/>
  <c r="O844" i="8"/>
  <c r="S844" i="8" s="1"/>
  <c r="X847" i="8"/>
  <c r="AB847" i="8" s="1"/>
  <c r="P850" i="8"/>
  <c r="Z850" i="8" s="1"/>
  <c r="X850" i="8" s="1"/>
  <c r="AB850" i="8" s="1"/>
  <c r="O852" i="8"/>
  <c r="S852" i="8" s="1"/>
  <c r="P858" i="8"/>
  <c r="Z858" i="8" s="1"/>
  <c r="X860" i="8"/>
  <c r="AB860" i="8" s="1"/>
  <c r="AF861" i="8"/>
  <c r="AD861" i="8"/>
  <c r="X862" i="8"/>
  <c r="AB862" i="8" s="1"/>
  <c r="AF863" i="8"/>
  <c r="AD863" i="8"/>
  <c r="X864" i="8"/>
  <c r="AB864" i="8" s="1"/>
  <c r="AF865" i="8"/>
  <c r="AD865" i="8"/>
  <c r="X866" i="8"/>
  <c r="AB866" i="8" s="1"/>
  <c r="AF867" i="8"/>
  <c r="AD867" i="8"/>
  <c r="X868" i="8"/>
  <c r="AB868" i="8" s="1"/>
  <c r="AF869" i="8"/>
  <c r="AD869" i="8"/>
  <c r="X870" i="8"/>
  <c r="AB870" i="8" s="1"/>
  <c r="AF871" i="8"/>
  <c r="AD871" i="8"/>
  <c r="X872" i="8"/>
  <c r="AB872" i="8" s="1"/>
  <c r="AF873" i="8"/>
  <c r="AD873" i="8"/>
  <c r="X874" i="8"/>
  <c r="AB874" i="8" s="1"/>
  <c r="AF875" i="8"/>
  <c r="AD875" i="8"/>
  <c r="X876" i="8"/>
  <c r="AB876" i="8" s="1"/>
  <c r="AF877" i="8"/>
  <c r="AD877" i="8"/>
  <c r="X878" i="8"/>
  <c r="AB878" i="8" s="1"/>
  <c r="AF879" i="8"/>
  <c r="AD879" i="8"/>
  <c r="X880" i="8"/>
  <c r="AB880" i="8" s="1"/>
  <c r="AF881" i="8"/>
  <c r="AD881" i="8"/>
  <c r="X882" i="8"/>
  <c r="AB882" i="8" s="1"/>
  <c r="AF884" i="8"/>
  <c r="AD884" i="8"/>
  <c r="AF888" i="8"/>
  <c r="AD888" i="8"/>
  <c r="AF892" i="8"/>
  <c r="AD892" i="8"/>
  <c r="AF896" i="8"/>
  <c r="AD896" i="8"/>
  <c r="AF900" i="8"/>
  <c r="AD900" i="8"/>
  <c r="AF904" i="8"/>
  <c r="AD904" i="8"/>
  <c r="X906" i="8"/>
  <c r="AB906" i="8" s="1"/>
  <c r="AF911" i="8"/>
  <c r="AD911" i="8"/>
  <c r="AA925" i="8"/>
  <c r="Z925" i="8"/>
  <c r="X925" i="8" s="1"/>
  <c r="AB925" i="8" s="1"/>
  <c r="AA933" i="8"/>
  <c r="Z933" i="8"/>
  <c r="X933" i="8" s="1"/>
  <c r="AB933" i="8" s="1"/>
  <c r="S959" i="8"/>
  <c r="X968" i="8"/>
  <c r="AB968" i="8" s="1"/>
  <c r="X972" i="8"/>
  <c r="AB972" i="8" s="1"/>
  <c r="AD978" i="8"/>
  <c r="AF978" i="8"/>
  <c r="S980" i="8"/>
  <c r="AF914" i="8"/>
  <c r="O915" i="8"/>
  <c r="S915" i="8" s="1"/>
  <c r="X915" i="8"/>
  <c r="AB915" i="8" s="1"/>
  <c r="AF922" i="8"/>
  <c r="O923" i="8"/>
  <c r="S923" i="8" s="1"/>
  <c r="X923" i="8"/>
  <c r="AB923" i="8" s="1"/>
  <c r="AF930" i="8"/>
  <c r="O931" i="8"/>
  <c r="S931" i="8" s="1"/>
  <c r="X931" i="8"/>
  <c r="AB931" i="8" s="1"/>
  <c r="AF938" i="8"/>
  <c r="O939" i="8"/>
  <c r="S939" i="8" s="1"/>
  <c r="X939" i="8"/>
  <c r="AB939" i="8" s="1"/>
  <c r="X947" i="8"/>
  <c r="AB947" i="8" s="1"/>
  <c r="AC950" i="8"/>
  <c r="X954" i="8"/>
  <c r="AB954" i="8" s="1"/>
  <c r="AC958" i="8"/>
  <c r="X962" i="8"/>
  <c r="AB962" i="8" s="1"/>
  <c r="AF964" i="8"/>
  <c r="AC966" i="8"/>
  <c r="X970" i="8"/>
  <c r="AB970" i="8" s="1"/>
  <c r="AF972" i="8"/>
  <c r="AC974" i="8"/>
  <c r="AC976" i="8"/>
  <c r="AA978" i="8"/>
  <c r="N980" i="8"/>
  <c r="X980" i="8"/>
  <c r="AB980" i="8" s="1"/>
  <c r="O982" i="8"/>
  <c r="S982" i="8" s="1"/>
  <c r="AC984" i="8"/>
  <c r="AA986" i="8"/>
  <c r="N988" i="8"/>
  <c r="X988" i="8"/>
  <c r="AB988" i="8" s="1"/>
  <c r="O990" i="8"/>
  <c r="S990" i="8" s="1"/>
  <c r="AC992" i="8"/>
  <c r="AA994" i="8"/>
  <c r="AC996" i="8"/>
  <c r="AC1000" i="8"/>
  <c r="AC1004" i="8"/>
  <c r="AC1008" i="8"/>
  <c r="AA1010" i="8"/>
  <c r="AA1011" i="8"/>
  <c r="AA1012" i="8"/>
  <c r="AA1013" i="8"/>
  <c r="AA1014" i="8"/>
  <c r="AA1015" i="8"/>
  <c r="AA1016" i="8"/>
  <c r="AA1017" i="8"/>
  <c r="AA1018" i="8"/>
  <c r="AA1019" i="8"/>
  <c r="AA1020" i="8"/>
  <c r="AF1027" i="8"/>
  <c r="AD1027" i="8"/>
  <c r="AF1035" i="8"/>
  <c r="AF1040" i="8"/>
  <c r="AD1040" i="8"/>
  <c r="AF1041" i="8"/>
  <c r="AD1041" i="8"/>
  <c r="AF1073" i="8"/>
  <c r="AD1073" i="8"/>
  <c r="S952" i="8"/>
  <c r="O954" i="8"/>
  <c r="S954" i="8" s="1"/>
  <c r="AC955" i="8"/>
  <c r="S960" i="8"/>
  <c r="AF961" i="8"/>
  <c r="O962" i="8"/>
  <c r="AC963" i="8"/>
  <c r="S968" i="8"/>
  <c r="AF969" i="8"/>
  <c r="O970" i="8"/>
  <c r="S970" i="8" s="1"/>
  <c r="AC971" i="8"/>
  <c r="O977" i="8"/>
  <c r="S977" i="8" s="1"/>
  <c r="Z977" i="8"/>
  <c r="X977" i="8" s="1"/>
  <c r="AB977" i="8" s="1"/>
  <c r="S979" i="8"/>
  <c r="AA981" i="8"/>
  <c r="AF981" i="8"/>
  <c r="O985" i="8"/>
  <c r="S985" i="8" s="1"/>
  <c r="Z985" i="8"/>
  <c r="X985" i="8" s="1"/>
  <c r="AB985" i="8" s="1"/>
  <c r="S987" i="8"/>
  <c r="AA989" i="8"/>
  <c r="AF989" i="8"/>
  <c r="O993" i="8"/>
  <c r="Z993" i="8"/>
  <c r="X993" i="8" s="1"/>
  <c r="AB993" i="8" s="1"/>
  <c r="S995" i="8"/>
  <c r="O996" i="8"/>
  <c r="X997" i="8"/>
  <c r="AB997" i="8" s="1"/>
  <c r="O1000" i="8"/>
  <c r="S1000" i="8" s="1"/>
  <c r="X1001" i="8"/>
  <c r="AB1001" i="8" s="1"/>
  <c r="AA1002" i="8"/>
  <c r="O1004" i="8"/>
  <c r="S1004" i="8" s="1"/>
  <c r="X1005" i="8"/>
  <c r="AB1005" i="8" s="1"/>
  <c r="AA1006" i="8"/>
  <c r="O1008" i="8"/>
  <c r="X1009" i="8"/>
  <c r="AB1009" i="8" s="1"/>
  <c r="AF1024" i="8"/>
  <c r="AD1024" i="8"/>
  <c r="AF1032" i="8"/>
  <c r="AD1032" i="8"/>
  <c r="O909" i="8"/>
  <c r="S909" i="8" s="1"/>
  <c r="O910" i="8"/>
  <c r="S910" i="8" s="1"/>
  <c r="O911" i="8"/>
  <c r="S911" i="8" s="1"/>
  <c r="O912" i="8"/>
  <c r="S912" i="8" s="1"/>
  <c r="O913" i="8"/>
  <c r="S913" i="8" s="1"/>
  <c r="O921" i="8"/>
  <c r="S921" i="8" s="1"/>
  <c r="O929" i="8"/>
  <c r="S929" i="8" s="1"/>
  <c r="O937" i="8"/>
  <c r="S937" i="8" s="1"/>
  <c r="O945" i="8"/>
  <c r="S945" i="8" s="1"/>
  <c r="O951" i="8"/>
  <c r="S951" i="8" s="1"/>
  <c r="AC952" i="8"/>
  <c r="AA953" i="8"/>
  <c r="N956" i="8"/>
  <c r="S957" i="8"/>
  <c r="O959" i="8"/>
  <c r="AC960" i="8"/>
  <c r="AA961" i="8"/>
  <c r="N964" i="8"/>
  <c r="S965" i="8"/>
  <c r="O967" i="8"/>
  <c r="S967" i="8" s="1"/>
  <c r="AC968" i="8"/>
  <c r="AA969" i="8"/>
  <c r="N972" i="8"/>
  <c r="S973" i="8"/>
  <c r="O975" i="8"/>
  <c r="S975" i="8" s="1"/>
  <c r="AA976" i="8"/>
  <c r="O980" i="8"/>
  <c r="AC982" i="8"/>
  <c r="AA984" i="8"/>
  <c r="O988" i="8"/>
  <c r="S988" i="8" s="1"/>
  <c r="AC990" i="8"/>
  <c r="AA992" i="8"/>
  <c r="AF995" i="8"/>
  <c r="S1014" i="8"/>
  <c r="S1015" i="8"/>
  <c r="S1016" i="8"/>
  <c r="S1017" i="8"/>
  <c r="S1018" i="8"/>
  <c r="S1019" i="8"/>
  <c r="S1020" i="8"/>
  <c r="S1021" i="8"/>
  <c r="S1022" i="8"/>
  <c r="AF1025" i="8"/>
  <c r="AD1025" i="8"/>
  <c r="AF1033" i="8"/>
  <c r="AF919" i="8"/>
  <c r="AF927" i="8"/>
  <c r="AF935" i="8"/>
  <c r="O956" i="8"/>
  <c r="S956" i="8" s="1"/>
  <c r="AD957" i="8"/>
  <c r="O964" i="8"/>
  <c r="S964" i="8" s="1"/>
  <c r="O972" i="8"/>
  <c r="S972" i="8" s="1"/>
  <c r="N981" i="8"/>
  <c r="N989" i="8"/>
  <c r="N998" i="8"/>
  <c r="N1002" i="8"/>
  <c r="N1006" i="8"/>
  <c r="N1010" i="8"/>
  <c r="AC1010" i="8"/>
  <c r="N1011" i="8"/>
  <c r="AC1011" i="8"/>
  <c r="N1012" i="8"/>
  <c r="AC1012" i="8"/>
  <c r="N1013" i="8"/>
  <c r="AC1013" i="8"/>
  <c r="N1014" i="8"/>
  <c r="AC1014" i="8"/>
  <c r="N1015" i="8"/>
  <c r="AC1015" i="8"/>
  <c r="N1016" i="8"/>
  <c r="AC1016" i="8"/>
  <c r="N1017" i="8"/>
  <c r="AC1017" i="8"/>
  <c r="N1018" i="8"/>
  <c r="AC1018" i="8"/>
  <c r="N1019" i="8"/>
  <c r="AC1019" i="8"/>
  <c r="N1020" i="8"/>
  <c r="AC1020" i="8"/>
  <c r="N1021" i="8"/>
  <c r="N1022" i="8"/>
  <c r="AD1022" i="8"/>
  <c r="AF1022" i="8"/>
  <c r="AF1030" i="8"/>
  <c r="AD1030" i="8"/>
  <c r="AF1038" i="8"/>
  <c r="AD1038" i="8"/>
  <c r="AD916" i="8"/>
  <c r="N918" i="8"/>
  <c r="AD924" i="8"/>
  <c r="N926" i="8"/>
  <c r="AA955" i="8"/>
  <c r="AA963" i="8"/>
  <c r="AA971" i="8"/>
  <c r="N976" i="8"/>
  <c r="O978" i="8"/>
  <c r="S978" i="8" s="1"/>
  <c r="Z978" i="8"/>
  <c r="X978" i="8" s="1"/>
  <c r="AB978" i="8" s="1"/>
  <c r="AA982" i="8"/>
  <c r="N984" i="8"/>
  <c r="O986" i="8"/>
  <c r="S986" i="8" s="1"/>
  <c r="Z986" i="8"/>
  <c r="X986" i="8" s="1"/>
  <c r="AB986" i="8" s="1"/>
  <c r="AA990" i="8"/>
  <c r="N992" i="8"/>
  <c r="O994" i="8"/>
  <c r="S994" i="8" s="1"/>
  <c r="Z994" i="8"/>
  <c r="X994" i="8" s="1"/>
  <c r="AB994" i="8" s="1"/>
  <c r="AC998" i="8"/>
  <c r="AC1002" i="8"/>
  <c r="AC1006" i="8"/>
  <c r="AF1023" i="8"/>
  <c r="AF1031" i="8"/>
  <c r="AD1031" i="8"/>
  <c r="AF1039" i="8"/>
  <c r="AF1042" i="8"/>
  <c r="AD1042" i="8"/>
  <c r="AF1043" i="8"/>
  <c r="AD1043" i="8"/>
  <c r="AF1069" i="8"/>
  <c r="AD1069" i="8"/>
  <c r="AD975" i="8"/>
  <c r="O1010" i="8"/>
  <c r="S1010" i="8" s="1"/>
  <c r="O1011" i="8"/>
  <c r="S1011" i="8" s="1"/>
  <c r="O1012" i="8"/>
  <c r="S1012" i="8" s="1"/>
  <c r="O1013" i="8"/>
  <c r="S1013" i="8" s="1"/>
  <c r="AF1028" i="8"/>
  <c r="AD1028" i="8"/>
  <c r="AF1036" i="8"/>
  <c r="AD1036" i="8"/>
  <c r="AD946" i="8"/>
  <c r="AD956" i="8"/>
  <c r="N982" i="8"/>
  <c r="N990" i="8"/>
  <c r="AF997" i="8"/>
  <c r="AF1001" i="8"/>
  <c r="AD1003" i="8"/>
  <c r="AF1005" i="8"/>
  <c r="AF1009" i="8"/>
  <c r="AF1029" i="8"/>
  <c r="AF1037" i="8"/>
  <c r="AF1044" i="8"/>
  <c r="AD1044" i="8"/>
  <c r="AF1045" i="8"/>
  <c r="AD1045" i="8"/>
  <c r="AD953" i="8"/>
  <c r="S1006" i="8"/>
  <c r="AF1026" i="8"/>
  <c r="AD1026" i="8"/>
  <c r="AF1034" i="8"/>
  <c r="AD1034" i="8"/>
  <c r="AD1064" i="8"/>
  <c r="AF1064" i="8"/>
  <c r="X1023" i="8"/>
  <c r="AB1023" i="8" s="1"/>
  <c r="X1033" i="8"/>
  <c r="AB1033" i="8" s="1"/>
  <c r="X1039" i="8"/>
  <c r="AB1039" i="8" s="1"/>
  <c r="AC1059" i="8"/>
  <c r="X1059" i="8"/>
  <c r="AB1059" i="8" s="1"/>
  <c r="AA1064" i="8"/>
  <c r="Z1072" i="8"/>
  <c r="AC1074" i="8"/>
  <c r="AD1076" i="8"/>
  <c r="AF1076" i="8"/>
  <c r="Z1077" i="8"/>
  <c r="X1077" i="8" s="1"/>
  <c r="AB1077" i="8" s="1"/>
  <c r="AD1085" i="8"/>
  <c r="AF1085" i="8"/>
  <c r="AD1093" i="8"/>
  <c r="AF1093" i="8"/>
  <c r="AD1101" i="8"/>
  <c r="AF1101" i="8"/>
  <c r="Z1023" i="8"/>
  <c r="AD1023" i="8" s="1"/>
  <c r="Z1025" i="8"/>
  <c r="X1025" i="8" s="1"/>
  <c r="AB1025" i="8" s="1"/>
  <c r="Z1027" i="8"/>
  <c r="X1027" i="8" s="1"/>
  <c r="AB1027" i="8" s="1"/>
  <c r="Z1029" i="8"/>
  <c r="AD1029" i="8" s="1"/>
  <c r="Z1031" i="8"/>
  <c r="X1031" i="8" s="1"/>
  <c r="AB1031" i="8" s="1"/>
  <c r="Z1033" i="8"/>
  <c r="AD1033" i="8" s="1"/>
  <c r="Z1035" i="8"/>
  <c r="AD1035" i="8" s="1"/>
  <c r="Z1037" i="8"/>
  <c r="X1037" i="8" s="1"/>
  <c r="AB1037" i="8" s="1"/>
  <c r="Z1039" i="8"/>
  <c r="AD1039" i="8" s="1"/>
  <c r="Z1041" i="8"/>
  <c r="X1041" i="8" s="1"/>
  <c r="AB1041" i="8" s="1"/>
  <c r="Z1043" i="8"/>
  <c r="X1043" i="8" s="1"/>
  <c r="AB1043" i="8" s="1"/>
  <c r="Z1045" i="8"/>
  <c r="X1045" i="8" s="1"/>
  <c r="AB1045" i="8" s="1"/>
  <c r="AC1051" i="8"/>
  <c r="X1051" i="8"/>
  <c r="AB1051" i="8" s="1"/>
  <c r="AC1060" i="8"/>
  <c r="AF1065" i="8"/>
  <c r="AD1065" i="8"/>
  <c r="W1069" i="8"/>
  <c r="AA1069" i="8" s="1"/>
  <c r="AC1070" i="8"/>
  <c r="AF1071" i="8"/>
  <c r="AD1071" i="8"/>
  <c r="AD1096" i="8"/>
  <c r="AF1096" i="8"/>
  <c r="AD1109" i="8"/>
  <c r="AF1109" i="8"/>
  <c r="AD1117" i="8"/>
  <c r="AF1117" i="8"/>
  <c r="R1045" i="8"/>
  <c r="S1045" i="8" s="1"/>
  <c r="AC1048" i="8"/>
  <c r="X1048" i="8"/>
  <c r="AB1048" i="8" s="1"/>
  <c r="AC1052" i="8"/>
  <c r="Z1060" i="8"/>
  <c r="X1060" i="8" s="1"/>
  <c r="AB1060" i="8" s="1"/>
  <c r="AC1061" i="8"/>
  <c r="X1061" i="8"/>
  <c r="AB1061" i="8" s="1"/>
  <c r="X1064" i="8"/>
  <c r="AB1064" i="8" s="1"/>
  <c r="AD1072" i="8"/>
  <c r="AF1072" i="8"/>
  <c r="AA1073" i="8"/>
  <c r="AD1084" i="8"/>
  <c r="AF1084" i="8"/>
  <c r="AD1088" i="8"/>
  <c r="AF1088" i="8"/>
  <c r="AD1100" i="8"/>
  <c r="AF1100" i="8"/>
  <c r="AD1104" i="8"/>
  <c r="AF1104" i="8"/>
  <c r="AD1112" i="8"/>
  <c r="AF1112" i="8"/>
  <c r="Z1052" i="8"/>
  <c r="X1052" i="8" s="1"/>
  <c r="AB1052" i="8" s="1"/>
  <c r="AC1053" i="8"/>
  <c r="X1053" i="8"/>
  <c r="AB1053" i="8" s="1"/>
  <c r="AC1062" i="8"/>
  <c r="X1062" i="8"/>
  <c r="AB1062" i="8" s="1"/>
  <c r="AC1063" i="8"/>
  <c r="X1063" i="8"/>
  <c r="AB1063" i="8" s="1"/>
  <c r="Z1073" i="8"/>
  <c r="X1073" i="8" s="1"/>
  <c r="AB1073" i="8" s="1"/>
  <c r="AF1079" i="8"/>
  <c r="AD1079" i="8"/>
  <c r="AD1092" i="8"/>
  <c r="AF1092" i="8"/>
  <c r="AD1097" i="8"/>
  <c r="AF1097" i="8"/>
  <c r="AD1108" i="8"/>
  <c r="AF1108" i="8"/>
  <c r="AD1116" i="8"/>
  <c r="AF1116" i="8"/>
  <c r="AD1119" i="8"/>
  <c r="AF1119" i="8"/>
  <c r="X1024" i="8"/>
  <c r="AB1024" i="8" s="1"/>
  <c r="X1026" i="8"/>
  <c r="AB1026" i="8" s="1"/>
  <c r="X1028" i="8"/>
  <c r="AB1028" i="8" s="1"/>
  <c r="X1030" i="8"/>
  <c r="AB1030" i="8" s="1"/>
  <c r="X1032" i="8"/>
  <c r="AB1032" i="8" s="1"/>
  <c r="X1034" i="8"/>
  <c r="AB1034" i="8" s="1"/>
  <c r="X1036" i="8"/>
  <c r="AB1036" i="8" s="1"/>
  <c r="X1038" i="8"/>
  <c r="AB1038" i="8" s="1"/>
  <c r="X1040" i="8"/>
  <c r="AB1040" i="8" s="1"/>
  <c r="X1042" i="8"/>
  <c r="AB1042" i="8" s="1"/>
  <c r="X1044" i="8"/>
  <c r="AB1044" i="8" s="1"/>
  <c r="AC1046" i="8"/>
  <c r="X1046" i="8"/>
  <c r="AB1046" i="8" s="1"/>
  <c r="R1048" i="8"/>
  <c r="S1048" i="8" s="1"/>
  <c r="AC1054" i="8"/>
  <c r="X1054" i="8"/>
  <c r="AB1054" i="8" s="1"/>
  <c r="Z1066" i="8"/>
  <c r="X1066" i="8" s="1"/>
  <c r="AB1066" i="8" s="1"/>
  <c r="AF1077" i="8"/>
  <c r="AD1077" i="8"/>
  <c r="AC1078" i="8"/>
  <c r="AD1080" i="8"/>
  <c r="AF1080" i="8"/>
  <c r="AF1089" i="8"/>
  <c r="S1091" i="8"/>
  <c r="AD1095" i="8"/>
  <c r="AF1095" i="8"/>
  <c r="AD1105" i="8"/>
  <c r="AF1105" i="8"/>
  <c r="AD1113" i="8"/>
  <c r="AF1113" i="8"/>
  <c r="N1049" i="8"/>
  <c r="AC1049" i="8"/>
  <c r="X1049" i="8"/>
  <c r="AB1049" i="8" s="1"/>
  <c r="O1050" i="8"/>
  <c r="S1050" i="8" s="1"/>
  <c r="N1050" i="8"/>
  <c r="AC1055" i="8"/>
  <c r="AC1056" i="8"/>
  <c r="X1056" i="8"/>
  <c r="AB1056" i="8" s="1"/>
  <c r="AA1072" i="8"/>
  <c r="AF1087" i="8"/>
  <c r="AD1098" i="8"/>
  <c r="AF1098" i="8"/>
  <c r="AD1103" i="8"/>
  <c r="AF1103" i="8"/>
  <c r="AD1111" i="8"/>
  <c r="AF1111" i="8"/>
  <c r="Z1049" i="8"/>
  <c r="Z1055" i="8"/>
  <c r="X1055" i="8" s="1"/>
  <c r="AB1055" i="8" s="1"/>
  <c r="AC1057" i="8"/>
  <c r="X1057" i="8"/>
  <c r="AB1057" i="8" s="1"/>
  <c r="W1065" i="8"/>
  <c r="AA1065" i="8" s="1"/>
  <c r="AF1066" i="8"/>
  <c r="AD1066" i="8"/>
  <c r="AC1067" i="8"/>
  <c r="W1070" i="8"/>
  <c r="AA1070" i="8" s="1"/>
  <c r="W1074" i="8"/>
  <c r="AA1074" i="8" s="1"/>
  <c r="AD1082" i="8"/>
  <c r="AF1082" i="8"/>
  <c r="AD1090" i="8"/>
  <c r="AF1090" i="8"/>
  <c r="AD1106" i="8"/>
  <c r="AF1106" i="8"/>
  <c r="AD1114" i="8"/>
  <c r="AF1114" i="8"/>
  <c r="AD1118" i="8"/>
  <c r="AF1118" i="8"/>
  <c r="AC1047" i="8"/>
  <c r="X1047" i="8"/>
  <c r="AB1047" i="8" s="1"/>
  <c r="R1049" i="8"/>
  <c r="S1049" i="8" s="1"/>
  <c r="AC1050" i="8"/>
  <c r="X1050" i="8"/>
  <c r="AB1050" i="8" s="1"/>
  <c r="AC1058" i="8"/>
  <c r="X1058" i="8"/>
  <c r="AB1058" i="8" s="1"/>
  <c r="Z1065" i="8"/>
  <c r="X1065" i="8" s="1"/>
  <c r="AB1065" i="8" s="1"/>
  <c r="AD1068" i="8"/>
  <c r="AF1068" i="8"/>
  <c r="Z1070" i="8"/>
  <c r="X1070" i="8" s="1"/>
  <c r="AB1070" i="8" s="1"/>
  <c r="X1072" i="8"/>
  <c r="AB1072" i="8" s="1"/>
  <c r="AF1075" i="8"/>
  <c r="AD1075" i="8"/>
  <c r="O1065" i="8"/>
  <c r="O1069" i="8"/>
  <c r="O1073" i="8"/>
  <c r="O1077" i="8"/>
  <c r="O1083" i="8"/>
  <c r="S1083" i="8" s="1"/>
  <c r="R1085" i="8"/>
  <c r="S1085" i="8" s="1"/>
  <c r="AA1087" i="8"/>
  <c r="AD1087" i="8" s="1"/>
  <c r="N1089" i="8"/>
  <c r="O1091" i="8"/>
  <c r="R1093" i="8"/>
  <c r="S1093" i="8" s="1"/>
  <c r="AA1095" i="8"/>
  <c r="N1097" i="8"/>
  <c r="O1099" i="8"/>
  <c r="S1099" i="8" s="1"/>
  <c r="R1101" i="8"/>
  <c r="S1101" i="8" s="1"/>
  <c r="AA1103" i="8"/>
  <c r="N1105" i="8"/>
  <c r="O1107" i="8"/>
  <c r="S1107" i="8" s="1"/>
  <c r="R1109" i="8"/>
  <c r="S1109" i="8" s="1"/>
  <c r="AA1111" i="8"/>
  <c r="N1113" i="8"/>
  <c r="O1115" i="8"/>
  <c r="S1115" i="8" s="1"/>
  <c r="O1119" i="8"/>
  <c r="N1121" i="8"/>
  <c r="AC1121" i="8"/>
  <c r="X1132" i="8"/>
  <c r="AB1132" i="8" s="1"/>
  <c r="AC1132" i="8"/>
  <c r="AD1195" i="8"/>
  <c r="AF1195" i="8"/>
  <c r="N1051" i="8"/>
  <c r="N1052" i="8"/>
  <c r="N1053" i="8"/>
  <c r="N1054" i="8"/>
  <c r="N1055" i="8"/>
  <c r="R1081" i="8"/>
  <c r="S1081" i="8" s="1"/>
  <c r="X1084" i="8"/>
  <c r="AB1084" i="8" s="1"/>
  <c r="R1088" i="8"/>
  <c r="S1088" i="8" s="1"/>
  <c r="AA1090" i="8"/>
  <c r="X1092" i="8"/>
  <c r="AB1092" i="8" s="1"/>
  <c r="R1096" i="8"/>
  <c r="S1096" i="8" s="1"/>
  <c r="AA1098" i="8"/>
  <c r="X1100" i="8"/>
  <c r="AB1100" i="8" s="1"/>
  <c r="R1104" i="8"/>
  <c r="S1104" i="8" s="1"/>
  <c r="AA1106" i="8"/>
  <c r="X1108" i="8"/>
  <c r="AB1108" i="8" s="1"/>
  <c r="R1112" i="8"/>
  <c r="S1112" i="8" s="1"/>
  <c r="AA1114" i="8"/>
  <c r="X1116" i="8"/>
  <c r="AB1116" i="8" s="1"/>
  <c r="AA1117" i="8"/>
  <c r="O1120" i="8"/>
  <c r="AC1120" i="8"/>
  <c r="AF1172" i="8"/>
  <c r="AD1172" i="8"/>
  <c r="S1065" i="8"/>
  <c r="AA1067" i="8"/>
  <c r="S1069" i="8"/>
  <c r="AA1071" i="8"/>
  <c r="S1073" i="8"/>
  <c r="AA1075" i="8"/>
  <c r="S1077" i="8"/>
  <c r="AA1079" i="8"/>
  <c r="AD1083" i="8"/>
  <c r="X1087" i="8"/>
  <c r="AB1087" i="8" s="1"/>
  <c r="Z1089" i="8"/>
  <c r="X1089" i="8" s="1"/>
  <c r="AB1089" i="8" s="1"/>
  <c r="AD1091" i="8"/>
  <c r="X1095" i="8"/>
  <c r="AB1095" i="8" s="1"/>
  <c r="Z1097" i="8"/>
  <c r="X1097" i="8" s="1"/>
  <c r="AB1097" i="8" s="1"/>
  <c r="X1103" i="8"/>
  <c r="AB1103" i="8" s="1"/>
  <c r="Z1105" i="8"/>
  <c r="X1105" i="8" s="1"/>
  <c r="AB1105" i="8" s="1"/>
  <c r="X1111" i="8"/>
  <c r="AB1111" i="8" s="1"/>
  <c r="Z1113" i="8"/>
  <c r="X1113" i="8" s="1"/>
  <c r="AB1113" i="8" s="1"/>
  <c r="O1121" i="8"/>
  <c r="AF1148" i="8"/>
  <c r="AD1148" i="8"/>
  <c r="Z1076" i="8"/>
  <c r="X1076" i="8" s="1"/>
  <c r="AB1076" i="8" s="1"/>
  <c r="Z1080" i="8"/>
  <c r="X1080" i="8" s="1"/>
  <c r="AB1080" i="8" s="1"/>
  <c r="S1086" i="8"/>
  <c r="S1094" i="8"/>
  <c r="AD1094" i="8"/>
  <c r="S1102" i="8"/>
  <c r="S1110" i="8"/>
  <c r="AD1110" i="8"/>
  <c r="O1125" i="8"/>
  <c r="S1125" i="8" s="1"/>
  <c r="P1125" i="8"/>
  <c r="O1129" i="8"/>
  <c r="S1129" i="8" s="1"/>
  <c r="P1129" i="8"/>
  <c r="Z1129" i="8" s="1"/>
  <c r="AF1188" i="8"/>
  <c r="AD1188" i="8"/>
  <c r="S1064" i="8"/>
  <c r="S1068" i="8"/>
  <c r="S1072" i="8"/>
  <c r="S1076" i="8"/>
  <c r="S1080" i="8"/>
  <c r="AF1081" i="8"/>
  <c r="N1085" i="8"/>
  <c r="S1089" i="8"/>
  <c r="N1093" i="8"/>
  <c r="S1097" i="8"/>
  <c r="N1101" i="8"/>
  <c r="S1105" i="8"/>
  <c r="N1109" i="8"/>
  <c r="S1113" i="8"/>
  <c r="N1117" i="8"/>
  <c r="AC1124" i="8"/>
  <c r="AC1128" i="8"/>
  <c r="AF1164" i="8"/>
  <c r="AD1164" i="8"/>
  <c r="S1084" i="8"/>
  <c r="AF1086" i="8"/>
  <c r="O1090" i="8"/>
  <c r="S1090" i="8" s="1"/>
  <c r="S1092" i="8"/>
  <c r="AA1094" i="8"/>
  <c r="AF1094" i="8"/>
  <c r="O1098" i="8"/>
  <c r="S1098" i="8" s="1"/>
  <c r="S1100" i="8"/>
  <c r="AA1102" i="8"/>
  <c r="AF1102" i="8"/>
  <c r="O1106" i="8"/>
  <c r="S1106" i="8" s="1"/>
  <c r="S1108" i="8"/>
  <c r="AF1110" i="8"/>
  <c r="O1114" i="8"/>
  <c r="S1114" i="8" s="1"/>
  <c r="S1116" i="8"/>
  <c r="N1118" i="8"/>
  <c r="S1119" i="8"/>
  <c r="AA1121" i="8"/>
  <c r="W1122" i="8"/>
  <c r="AF1140" i="8"/>
  <c r="AD1140" i="8"/>
  <c r="O1066" i="8"/>
  <c r="S1066" i="8" s="1"/>
  <c r="S1067" i="8"/>
  <c r="O1070" i="8"/>
  <c r="S1070" i="8" s="1"/>
  <c r="S1071" i="8"/>
  <c r="O1074" i="8"/>
  <c r="S1074" i="8" s="1"/>
  <c r="S1075" i="8"/>
  <c r="O1078" i="8"/>
  <c r="S1078" i="8" s="1"/>
  <c r="S1079" i="8"/>
  <c r="S1082" i="8"/>
  <c r="N1083" i="8"/>
  <c r="S1087" i="8"/>
  <c r="AA1089" i="8"/>
  <c r="N1091" i="8"/>
  <c r="S1095" i="8"/>
  <c r="AA1097" i="8"/>
  <c r="N1099" i="8"/>
  <c r="S1103" i="8"/>
  <c r="AA1105" i="8"/>
  <c r="N1107" i="8"/>
  <c r="AA1113" i="8"/>
  <c r="N1115" i="8"/>
  <c r="O1117" i="8"/>
  <c r="S1117" i="8" s="1"/>
  <c r="N1119" i="8"/>
  <c r="S1120" i="8"/>
  <c r="N1123" i="8"/>
  <c r="W1126" i="8"/>
  <c r="AA1126" i="8" s="1"/>
  <c r="N1127" i="8"/>
  <c r="AF1180" i="8"/>
  <c r="AD1180" i="8"/>
  <c r="AD1197" i="8"/>
  <c r="AF1197" i="8"/>
  <c r="AA1084" i="8"/>
  <c r="N1086" i="8"/>
  <c r="AA1092" i="8"/>
  <c r="AA1100" i="8"/>
  <c r="N1102" i="8"/>
  <c r="AA1108" i="8"/>
  <c r="N1110" i="8"/>
  <c r="AA1116" i="8"/>
  <c r="O1118" i="8"/>
  <c r="S1118" i="8" s="1"/>
  <c r="S1121" i="8"/>
  <c r="AF1156" i="8"/>
  <c r="AD1156" i="8"/>
  <c r="X1123" i="8"/>
  <c r="AB1123" i="8" s="1"/>
  <c r="P1126" i="8"/>
  <c r="AC1126" i="8" s="1"/>
  <c r="O1128" i="8"/>
  <c r="S1128" i="8" s="1"/>
  <c r="X1131" i="8"/>
  <c r="AB1131" i="8" s="1"/>
  <c r="P1134" i="8"/>
  <c r="AC1134" i="8" s="1"/>
  <c r="AC1135" i="8"/>
  <c r="O1136" i="8"/>
  <c r="S1136" i="8" s="1"/>
  <c r="X1139" i="8"/>
  <c r="AB1139" i="8" s="1"/>
  <c r="P1142" i="8"/>
  <c r="AC1142" i="8" s="1"/>
  <c r="AC1143" i="8"/>
  <c r="O1144" i="8"/>
  <c r="S1144" i="8" s="1"/>
  <c r="X1147" i="8"/>
  <c r="AB1147" i="8" s="1"/>
  <c r="P1150" i="8"/>
  <c r="AC1150" i="8" s="1"/>
  <c r="Z1150" i="8"/>
  <c r="AC1151" i="8"/>
  <c r="O1152" i="8"/>
  <c r="S1152" i="8" s="1"/>
  <c r="X1155" i="8"/>
  <c r="AB1155" i="8" s="1"/>
  <c r="P1158" i="8"/>
  <c r="AC1158" i="8" s="1"/>
  <c r="Z1158" i="8"/>
  <c r="AC1159" i="8"/>
  <c r="O1160" i="8"/>
  <c r="S1160" i="8" s="1"/>
  <c r="X1163" i="8"/>
  <c r="AB1163" i="8" s="1"/>
  <c r="P1166" i="8"/>
  <c r="AC1166" i="8" s="1"/>
  <c r="Z1166" i="8"/>
  <c r="AC1167" i="8"/>
  <c r="O1168" i="8"/>
  <c r="S1168" i="8" s="1"/>
  <c r="X1171" i="8"/>
  <c r="AB1171" i="8" s="1"/>
  <c r="P1174" i="8"/>
  <c r="AC1174" i="8" s="1"/>
  <c r="Z1174" i="8"/>
  <c r="AC1175" i="8"/>
  <c r="O1176" i="8"/>
  <c r="S1176" i="8" s="1"/>
  <c r="X1179" i="8"/>
  <c r="AB1179" i="8" s="1"/>
  <c r="P1182" i="8"/>
  <c r="AC1182" i="8" s="1"/>
  <c r="AC1183" i="8"/>
  <c r="O1184" i="8"/>
  <c r="S1184" i="8" s="1"/>
  <c r="X1187" i="8"/>
  <c r="AB1187" i="8" s="1"/>
  <c r="P1190" i="8"/>
  <c r="AC1190" i="8" s="1"/>
  <c r="AC1191" i="8"/>
  <c r="O1192" i="8"/>
  <c r="S1192" i="8" s="1"/>
  <c r="AC1208" i="8"/>
  <c r="Z1208" i="8"/>
  <c r="Z1212" i="8"/>
  <c r="X1212" i="8" s="1"/>
  <c r="AB1212" i="8" s="1"/>
  <c r="X1234" i="8"/>
  <c r="AB1234" i="8" s="1"/>
  <c r="X1244" i="8"/>
  <c r="AB1244" i="8" s="1"/>
  <c r="X1136" i="8"/>
  <c r="AB1136" i="8" s="1"/>
  <c r="X1144" i="8"/>
  <c r="AB1144" i="8" s="1"/>
  <c r="X1152" i="8"/>
  <c r="AB1152" i="8" s="1"/>
  <c r="X1160" i="8"/>
  <c r="AB1160" i="8" s="1"/>
  <c r="X1168" i="8"/>
  <c r="AB1168" i="8" s="1"/>
  <c r="X1176" i="8"/>
  <c r="AB1176" i="8" s="1"/>
  <c r="X1184" i="8"/>
  <c r="AB1184" i="8" s="1"/>
  <c r="X1192" i="8"/>
  <c r="AB1192" i="8" s="1"/>
  <c r="AD1207" i="8"/>
  <c r="AF1207" i="8"/>
  <c r="N1208" i="8"/>
  <c r="N1209" i="8"/>
  <c r="W1130" i="8"/>
  <c r="W1138" i="8"/>
  <c r="W1146" i="8"/>
  <c r="W1154" i="8"/>
  <c r="W1162" i="8"/>
  <c r="W1170" i="8"/>
  <c r="W1178" i="8"/>
  <c r="W1186" i="8"/>
  <c r="O1127" i="8"/>
  <c r="S1127" i="8" s="1"/>
  <c r="P1133" i="8"/>
  <c r="O1135" i="8"/>
  <c r="S1135" i="8" s="1"/>
  <c r="P1141" i="8"/>
  <c r="O1143" i="8"/>
  <c r="S1143" i="8" s="1"/>
  <c r="P1149" i="8"/>
  <c r="O1151" i="8"/>
  <c r="S1151" i="8" s="1"/>
  <c r="P1157" i="8"/>
  <c r="AA1157" i="8" s="1"/>
  <c r="O1159" i="8"/>
  <c r="S1159" i="8" s="1"/>
  <c r="P1165" i="8"/>
  <c r="O1167" i="8"/>
  <c r="S1167" i="8" s="1"/>
  <c r="P1173" i="8"/>
  <c r="AA1173" i="8" s="1"/>
  <c r="O1175" i="8"/>
  <c r="S1175" i="8" s="1"/>
  <c r="P1181" i="8"/>
  <c r="O1183" i="8"/>
  <c r="S1183" i="8" s="1"/>
  <c r="P1189" i="8"/>
  <c r="O1191" i="8"/>
  <c r="S1191" i="8" s="1"/>
  <c r="X1194" i="8"/>
  <c r="AB1194" i="8" s="1"/>
  <c r="X1196" i="8"/>
  <c r="AB1196" i="8" s="1"/>
  <c r="X1198" i="8"/>
  <c r="AB1198" i="8" s="1"/>
  <c r="AD1199" i="8"/>
  <c r="AF1199" i="8"/>
  <c r="X1200" i="8"/>
  <c r="AB1200" i="8" s="1"/>
  <c r="AD1201" i="8"/>
  <c r="AF1201" i="8"/>
  <c r="X1202" i="8"/>
  <c r="AB1202" i="8" s="1"/>
  <c r="AD1203" i="8"/>
  <c r="AF1203" i="8"/>
  <c r="X1204" i="8"/>
  <c r="AB1204" i="8" s="1"/>
  <c r="AD1205" i="8"/>
  <c r="AF1205" i="8"/>
  <c r="X1206" i="8"/>
  <c r="AB1206" i="8" s="1"/>
  <c r="P1122" i="8"/>
  <c r="AC1122" i="8" s="1"/>
  <c r="AC1123" i="8"/>
  <c r="O1124" i="8"/>
  <c r="S1124" i="8" s="1"/>
  <c r="X1127" i="8"/>
  <c r="AB1127" i="8" s="1"/>
  <c r="P1130" i="8"/>
  <c r="AC1130" i="8" s="1"/>
  <c r="AC1131" i="8"/>
  <c r="O1132" i="8"/>
  <c r="S1132" i="8" s="1"/>
  <c r="X1135" i="8"/>
  <c r="AB1135" i="8" s="1"/>
  <c r="P1138" i="8"/>
  <c r="AC1138" i="8" s="1"/>
  <c r="AC1139" i="8"/>
  <c r="O1140" i="8"/>
  <c r="S1140" i="8" s="1"/>
  <c r="X1143" i="8"/>
  <c r="AB1143" i="8" s="1"/>
  <c r="P1146" i="8"/>
  <c r="Z1146" i="8" s="1"/>
  <c r="X1146" i="8" s="1"/>
  <c r="AB1146" i="8" s="1"/>
  <c r="AC1147" i="8"/>
  <c r="O1148" i="8"/>
  <c r="S1148" i="8" s="1"/>
  <c r="X1151" i="8"/>
  <c r="AB1151" i="8" s="1"/>
  <c r="P1154" i="8"/>
  <c r="AC1154" i="8" s="1"/>
  <c r="AC1155" i="8"/>
  <c r="O1156" i="8"/>
  <c r="S1156" i="8" s="1"/>
  <c r="X1159" i="8"/>
  <c r="AB1159" i="8" s="1"/>
  <c r="P1162" i="8"/>
  <c r="AC1162" i="8" s="1"/>
  <c r="AC1163" i="8"/>
  <c r="O1164" i="8"/>
  <c r="S1164" i="8" s="1"/>
  <c r="X1167" i="8"/>
  <c r="AB1167" i="8" s="1"/>
  <c r="P1170" i="8"/>
  <c r="AC1170" i="8" s="1"/>
  <c r="AC1171" i="8"/>
  <c r="O1172" i="8"/>
  <c r="S1172" i="8" s="1"/>
  <c r="X1175" i="8"/>
  <c r="AB1175" i="8" s="1"/>
  <c r="P1178" i="8"/>
  <c r="Z1178" i="8" s="1"/>
  <c r="X1178" i="8" s="1"/>
  <c r="AB1178" i="8" s="1"/>
  <c r="AC1179" i="8"/>
  <c r="O1180" i="8"/>
  <c r="S1180" i="8" s="1"/>
  <c r="X1183" i="8"/>
  <c r="AB1183" i="8" s="1"/>
  <c r="P1186" i="8"/>
  <c r="Z1186" i="8" s="1"/>
  <c r="X1186" i="8" s="1"/>
  <c r="AB1186" i="8" s="1"/>
  <c r="AC1187" i="8"/>
  <c r="O1188" i="8"/>
  <c r="S1188" i="8" s="1"/>
  <c r="X1191" i="8"/>
  <c r="AB1191" i="8" s="1"/>
  <c r="X1218" i="8"/>
  <c r="AB1218" i="8" s="1"/>
  <c r="X1239" i="8"/>
  <c r="AB1239" i="8" s="1"/>
  <c r="Z1251" i="8"/>
  <c r="X1251" i="8" s="1"/>
  <c r="AB1251" i="8" s="1"/>
  <c r="X1140" i="8"/>
  <c r="AB1140" i="8" s="1"/>
  <c r="X1148" i="8"/>
  <c r="AB1148" i="8" s="1"/>
  <c r="X1156" i="8"/>
  <c r="AB1156" i="8" s="1"/>
  <c r="X1164" i="8"/>
  <c r="AB1164" i="8" s="1"/>
  <c r="X1172" i="8"/>
  <c r="AB1172" i="8" s="1"/>
  <c r="X1180" i="8"/>
  <c r="AB1180" i="8" s="1"/>
  <c r="X1188" i="8"/>
  <c r="AB1188" i="8" s="1"/>
  <c r="AA1210" i="8"/>
  <c r="AA1217" i="8"/>
  <c r="Z1238" i="8"/>
  <c r="X1129" i="8"/>
  <c r="AB1129" i="8" s="1"/>
  <c r="AD1136" i="8"/>
  <c r="AD1144" i="8"/>
  <c r="AD1152" i="8"/>
  <c r="AD1160" i="8"/>
  <c r="AD1168" i="8"/>
  <c r="AD1176" i="8"/>
  <c r="AD1184" i="8"/>
  <c r="AD1192" i="8"/>
  <c r="X1226" i="8"/>
  <c r="AB1226" i="8" s="1"/>
  <c r="X1238" i="8"/>
  <c r="AB1238" i="8" s="1"/>
  <c r="O1123" i="8"/>
  <c r="S1123" i="8" s="1"/>
  <c r="O1131" i="8"/>
  <c r="S1131" i="8" s="1"/>
  <c r="P1137" i="8"/>
  <c r="Z1137" i="8" s="1"/>
  <c r="X1137" i="8" s="1"/>
  <c r="AB1137" i="8" s="1"/>
  <c r="O1139" i="8"/>
  <c r="S1139" i="8" s="1"/>
  <c r="P1145" i="8"/>
  <c r="Z1145" i="8" s="1"/>
  <c r="X1145" i="8" s="1"/>
  <c r="AB1145" i="8" s="1"/>
  <c r="AC1146" i="8"/>
  <c r="O1147" i="8"/>
  <c r="S1147" i="8" s="1"/>
  <c r="X1150" i="8"/>
  <c r="AB1150" i="8" s="1"/>
  <c r="P1153" i="8"/>
  <c r="Z1153" i="8" s="1"/>
  <c r="X1153" i="8" s="1"/>
  <c r="AB1153" i="8" s="1"/>
  <c r="O1155" i="8"/>
  <c r="S1155" i="8" s="1"/>
  <c r="X1158" i="8"/>
  <c r="AB1158" i="8" s="1"/>
  <c r="P1161" i="8"/>
  <c r="Z1161" i="8" s="1"/>
  <c r="X1161" i="8" s="1"/>
  <c r="AB1161" i="8" s="1"/>
  <c r="O1163" i="8"/>
  <c r="S1163" i="8" s="1"/>
  <c r="X1166" i="8"/>
  <c r="AB1166" i="8" s="1"/>
  <c r="P1169" i="8"/>
  <c r="Z1169" i="8" s="1"/>
  <c r="X1169" i="8" s="1"/>
  <c r="AB1169" i="8" s="1"/>
  <c r="O1171" i="8"/>
  <c r="S1171" i="8" s="1"/>
  <c r="X1174" i="8"/>
  <c r="AB1174" i="8" s="1"/>
  <c r="P1177" i="8"/>
  <c r="Z1177" i="8" s="1"/>
  <c r="X1177" i="8" s="1"/>
  <c r="AB1177" i="8" s="1"/>
  <c r="AC1178" i="8"/>
  <c r="O1179" i="8"/>
  <c r="S1179" i="8" s="1"/>
  <c r="P1185" i="8"/>
  <c r="Z1185" i="8" s="1"/>
  <c r="X1185" i="8" s="1"/>
  <c r="AB1185" i="8" s="1"/>
  <c r="AC1186" i="8"/>
  <c r="O1187" i="8"/>
  <c r="S1187" i="8" s="1"/>
  <c r="P1193" i="8"/>
  <c r="Z1193" i="8" s="1"/>
  <c r="X1193" i="8" s="1"/>
  <c r="AB1193" i="8" s="1"/>
  <c r="AC1194" i="8"/>
  <c r="X1195" i="8"/>
  <c r="AB1195" i="8" s="1"/>
  <c r="AC1196" i="8"/>
  <c r="X1197" i="8"/>
  <c r="AB1197" i="8" s="1"/>
  <c r="AC1198" i="8"/>
  <c r="X1199" i="8"/>
  <c r="AB1199" i="8" s="1"/>
  <c r="AC1200" i="8"/>
  <c r="X1201" i="8"/>
  <c r="AB1201" i="8" s="1"/>
  <c r="AC1202" i="8"/>
  <c r="X1203" i="8"/>
  <c r="AB1203" i="8" s="1"/>
  <c r="AC1204" i="8"/>
  <c r="X1205" i="8"/>
  <c r="AB1205" i="8" s="1"/>
  <c r="AC1206" i="8"/>
  <c r="X1208" i="8"/>
  <c r="AB1208" i="8" s="1"/>
  <c r="N1210" i="8"/>
  <c r="R1210" i="8"/>
  <c r="S1210" i="8" s="1"/>
  <c r="P1211" i="8"/>
  <c r="AA1211" i="8" s="1"/>
  <c r="O1211" i="8"/>
  <c r="S1211" i="8" s="1"/>
  <c r="X1246" i="8"/>
  <c r="AB1246" i="8" s="1"/>
  <c r="O1208" i="8"/>
  <c r="S1208" i="8" s="1"/>
  <c r="O1209" i="8"/>
  <c r="S1209" i="8" s="1"/>
  <c r="AC1210" i="8"/>
  <c r="W1216" i="8"/>
  <c r="AA1216" i="8" s="1"/>
  <c r="Z1217" i="8"/>
  <c r="X1217" i="8" s="1"/>
  <c r="AB1217" i="8" s="1"/>
  <c r="O1222" i="8"/>
  <c r="Z1222" i="8"/>
  <c r="X1222" i="8" s="1"/>
  <c r="AB1222" i="8" s="1"/>
  <c r="AA1223" i="8"/>
  <c r="R1224" i="8"/>
  <c r="AC1225" i="8"/>
  <c r="O1230" i="8"/>
  <c r="Z1230" i="8"/>
  <c r="X1230" i="8" s="1"/>
  <c r="AB1230" i="8" s="1"/>
  <c r="AA1231" i="8"/>
  <c r="R1232" i="8"/>
  <c r="AC1233" i="8"/>
  <c r="W1234" i="8"/>
  <c r="AA1234" i="8" s="1"/>
  <c r="N1236" i="8"/>
  <c r="O1238" i="8"/>
  <c r="S1238" i="8" s="1"/>
  <c r="R1240" i="8"/>
  <c r="S1240" i="8" s="1"/>
  <c r="AC1241" i="8"/>
  <c r="W1242" i="8"/>
  <c r="AA1242" i="8" s="1"/>
  <c r="N1244" i="8"/>
  <c r="O1246" i="8"/>
  <c r="S1246" i="8" s="1"/>
  <c r="R1248" i="8"/>
  <c r="S1248" i="8" s="1"/>
  <c r="AC1249" i="8"/>
  <c r="W1250" i="8"/>
  <c r="AA1250" i="8" s="1"/>
  <c r="N1252" i="8"/>
  <c r="O1254" i="8"/>
  <c r="S1254" i="8" s="1"/>
  <c r="N1255" i="8"/>
  <c r="R1259" i="8"/>
  <c r="AC1264" i="8"/>
  <c r="X1264" i="8"/>
  <c r="AB1264" i="8" s="1"/>
  <c r="X1270" i="8"/>
  <c r="AB1270" i="8" s="1"/>
  <c r="S1274" i="8"/>
  <c r="X1282" i="8"/>
  <c r="AB1282" i="8" s="1"/>
  <c r="X1286" i="8"/>
  <c r="AB1286" i="8" s="1"/>
  <c r="X1304" i="8"/>
  <c r="AB1304" i="8" s="1"/>
  <c r="X1306" i="8"/>
  <c r="AB1306" i="8" s="1"/>
  <c r="X1308" i="8"/>
  <c r="AB1308" i="8" s="1"/>
  <c r="X1312" i="8"/>
  <c r="AB1312" i="8" s="1"/>
  <c r="AC1209" i="8"/>
  <c r="Z1210" i="8"/>
  <c r="X1210" i="8" s="1"/>
  <c r="AB1210" i="8" s="1"/>
  <c r="O1216" i="8"/>
  <c r="S1216" i="8" s="1"/>
  <c r="R1217" i="8"/>
  <c r="S1217" i="8" s="1"/>
  <c r="AA1218" i="8"/>
  <c r="R1219" i="8"/>
  <c r="AC1220" i="8"/>
  <c r="O1225" i="8"/>
  <c r="Z1225" i="8"/>
  <c r="X1225" i="8" s="1"/>
  <c r="AB1225" i="8" s="1"/>
  <c r="AA1226" i="8"/>
  <c r="R1227" i="8"/>
  <c r="AC1228" i="8"/>
  <c r="O1233" i="8"/>
  <c r="Z1233" i="8"/>
  <c r="X1233" i="8" s="1"/>
  <c r="AB1233" i="8" s="1"/>
  <c r="R1235" i="8"/>
  <c r="S1235" i="8" s="1"/>
  <c r="AC1236" i="8"/>
  <c r="W1237" i="8"/>
  <c r="AA1237" i="8" s="1"/>
  <c r="R1243" i="8"/>
  <c r="S1243" i="8" s="1"/>
  <c r="AC1244" i="8"/>
  <c r="W1245" i="8"/>
  <c r="AA1245" i="8" s="1"/>
  <c r="R1251" i="8"/>
  <c r="S1251" i="8" s="1"/>
  <c r="AC1252" i="8"/>
  <c r="W1253" i="8"/>
  <c r="AA1253" i="8" s="1"/>
  <c r="Z1255" i="8"/>
  <c r="X1255" i="8" s="1"/>
  <c r="AB1255" i="8" s="1"/>
  <c r="AA1257" i="8"/>
  <c r="X1262" i="8"/>
  <c r="AB1262" i="8" s="1"/>
  <c r="X1274" i="8"/>
  <c r="AB1274" i="8" s="1"/>
  <c r="X1278" i="8"/>
  <c r="AB1278" i="8" s="1"/>
  <c r="AA1281" i="8"/>
  <c r="X1303" i="8"/>
  <c r="AB1303" i="8" s="1"/>
  <c r="X1307" i="8"/>
  <c r="AB1307" i="8" s="1"/>
  <c r="N1214" i="8"/>
  <c r="AC1216" i="8"/>
  <c r="O1220" i="8"/>
  <c r="Z1220" i="8"/>
  <c r="X1220" i="8" s="1"/>
  <c r="AB1220" i="8" s="1"/>
  <c r="AA1221" i="8"/>
  <c r="R1222" i="8"/>
  <c r="S1222" i="8" s="1"/>
  <c r="AC1223" i="8"/>
  <c r="O1228" i="8"/>
  <c r="Z1228" i="8"/>
  <c r="X1228" i="8" s="1"/>
  <c r="AB1228" i="8" s="1"/>
  <c r="AA1229" i="8"/>
  <c r="R1230" i="8"/>
  <c r="S1230" i="8" s="1"/>
  <c r="AC1231" i="8"/>
  <c r="O1236" i="8"/>
  <c r="S1236" i="8" s="1"/>
  <c r="AC1239" i="8"/>
  <c r="W1240" i="8"/>
  <c r="AA1240" i="8" s="1"/>
  <c r="O1244" i="8"/>
  <c r="S1244" i="8" s="1"/>
  <c r="AC1247" i="8"/>
  <c r="W1248" i="8"/>
  <c r="AA1248" i="8" s="1"/>
  <c r="O1252" i="8"/>
  <c r="S1252" i="8" s="1"/>
  <c r="AC1256" i="8"/>
  <c r="X1256" i="8"/>
  <c r="AB1256" i="8" s="1"/>
  <c r="Z1267" i="8"/>
  <c r="X1267" i="8" s="1"/>
  <c r="AB1267" i="8" s="1"/>
  <c r="X1289" i="8"/>
  <c r="AB1289" i="8" s="1"/>
  <c r="AC1215" i="8"/>
  <c r="AC1218" i="8"/>
  <c r="S1225" i="8"/>
  <c r="AC1226" i="8"/>
  <c r="S1233" i="8"/>
  <c r="AC1234" i="8"/>
  <c r="W1235" i="8"/>
  <c r="AA1235" i="8" s="1"/>
  <c r="S1241" i="8"/>
  <c r="AC1242" i="8"/>
  <c r="W1243" i="8"/>
  <c r="AA1243" i="8" s="1"/>
  <c r="S1249" i="8"/>
  <c r="AC1250" i="8"/>
  <c r="W1251" i="8"/>
  <c r="AA1251" i="8" s="1"/>
  <c r="W1254" i="8"/>
  <c r="AA1254" i="8" s="1"/>
  <c r="S1255" i="8"/>
  <c r="AA1256" i="8"/>
  <c r="P1269" i="8"/>
  <c r="O1269" i="8"/>
  <c r="S1269" i="8" s="1"/>
  <c r="W1212" i="8"/>
  <c r="AA1212" i="8" s="1"/>
  <c r="AC1214" i="8"/>
  <c r="Z1215" i="8"/>
  <c r="X1215" i="8" s="1"/>
  <c r="AB1215" i="8" s="1"/>
  <c r="AA1219" i="8"/>
  <c r="R1220" i="8"/>
  <c r="S1220" i="8" s="1"/>
  <c r="AC1221" i="8"/>
  <c r="AA1227" i="8"/>
  <c r="R1228" i="8"/>
  <c r="S1228" i="8" s="1"/>
  <c r="AC1229" i="8"/>
  <c r="AC1237" i="8"/>
  <c r="AA1238" i="8"/>
  <c r="AC1245" i="8"/>
  <c r="AA1246" i="8"/>
  <c r="AC1253" i="8"/>
  <c r="AC1258" i="8"/>
  <c r="X1258" i="8"/>
  <c r="AB1258" i="8" s="1"/>
  <c r="S1263" i="8"/>
  <c r="X1276" i="8"/>
  <c r="AB1276" i="8" s="1"/>
  <c r="Z1287" i="8"/>
  <c r="X1287" i="8" s="1"/>
  <c r="AB1287" i="8" s="1"/>
  <c r="X1288" i="8"/>
  <c r="AB1288" i="8" s="1"/>
  <c r="X1290" i="8"/>
  <c r="AB1290" i="8" s="1"/>
  <c r="X1297" i="8"/>
  <c r="AB1297" i="8" s="1"/>
  <c r="O1212" i="8"/>
  <c r="S1212" i="8" s="1"/>
  <c r="AC1213" i="8"/>
  <c r="O1221" i="8"/>
  <c r="Z1221" i="8"/>
  <c r="X1221" i="8" s="1"/>
  <c r="AB1221" i="8" s="1"/>
  <c r="AA1222" i="8"/>
  <c r="S1223" i="8"/>
  <c r="AC1224" i="8"/>
  <c r="O1229" i="8"/>
  <c r="Z1229" i="8"/>
  <c r="X1229" i="8" s="1"/>
  <c r="AB1229" i="8" s="1"/>
  <c r="AA1230" i="8"/>
  <c r="S1231" i="8"/>
  <c r="AC1232" i="8"/>
  <c r="N1235" i="8"/>
  <c r="O1237" i="8"/>
  <c r="S1239" i="8"/>
  <c r="AC1240" i="8"/>
  <c r="W1241" i="8"/>
  <c r="AA1241" i="8" s="1"/>
  <c r="N1243" i="8"/>
  <c r="O1245" i="8"/>
  <c r="S1247" i="8"/>
  <c r="AC1248" i="8"/>
  <c r="W1249" i="8"/>
  <c r="AA1249" i="8" s="1"/>
  <c r="N1251" i="8"/>
  <c r="O1253" i="8"/>
  <c r="O1257" i="8"/>
  <c r="Z1261" i="8"/>
  <c r="X1261" i="8" s="1"/>
  <c r="AB1261" i="8" s="1"/>
  <c r="W1261" i="8"/>
  <c r="AA1261" i="8" s="1"/>
  <c r="R1267" i="8"/>
  <c r="N1267" i="8"/>
  <c r="X1280" i="8"/>
  <c r="AB1280" i="8" s="1"/>
  <c r="X1292" i="8"/>
  <c r="AB1292" i="8" s="1"/>
  <c r="X1294" i="8"/>
  <c r="AB1294" i="8" s="1"/>
  <c r="AF1331" i="8"/>
  <c r="AD1331" i="8"/>
  <c r="AC1212" i="8"/>
  <c r="S1218" i="8"/>
  <c r="AC1219" i="8"/>
  <c r="O1224" i="8"/>
  <c r="Z1224" i="8"/>
  <c r="X1224" i="8" s="1"/>
  <c r="AB1224" i="8" s="1"/>
  <c r="R1226" i="8"/>
  <c r="S1226" i="8" s="1"/>
  <c r="AC1227" i="8"/>
  <c r="O1232" i="8"/>
  <c r="Z1232" i="8"/>
  <c r="X1232" i="8" s="1"/>
  <c r="AB1232" i="8" s="1"/>
  <c r="AC1235" i="8"/>
  <c r="W1236" i="8"/>
  <c r="AA1236" i="8" s="1"/>
  <c r="N1238" i="8"/>
  <c r="AC1243" i="8"/>
  <c r="W1244" i="8"/>
  <c r="AA1244" i="8" s="1"/>
  <c r="N1246" i="8"/>
  <c r="AC1251" i="8"/>
  <c r="W1252" i="8"/>
  <c r="AA1252" i="8" s="1"/>
  <c r="N1254" i="8"/>
  <c r="AC1254" i="8"/>
  <c r="R1257" i="8"/>
  <c r="S1257" i="8" s="1"/>
  <c r="Z1259" i="8"/>
  <c r="X1259" i="8" s="1"/>
  <c r="AB1259" i="8" s="1"/>
  <c r="Z1269" i="8"/>
  <c r="X1269" i="8" s="1"/>
  <c r="AB1269" i="8" s="1"/>
  <c r="W1269" i="8"/>
  <c r="AA1269" i="8" s="1"/>
  <c r="AC1272" i="8"/>
  <c r="X1272" i="8"/>
  <c r="AB1272" i="8" s="1"/>
  <c r="Z1285" i="8"/>
  <c r="X1285" i="8" s="1"/>
  <c r="AB1285" i="8" s="1"/>
  <c r="X1291" i="8"/>
  <c r="AB1291" i="8" s="1"/>
  <c r="X1298" i="8"/>
  <c r="AB1298" i="8" s="1"/>
  <c r="AC1211" i="8"/>
  <c r="AC1217" i="8"/>
  <c r="O1219" i="8"/>
  <c r="S1221" i="8"/>
  <c r="AC1222" i="8"/>
  <c r="O1227" i="8"/>
  <c r="Z1227" i="8"/>
  <c r="X1227" i="8" s="1"/>
  <c r="AB1227" i="8" s="1"/>
  <c r="S1229" i="8"/>
  <c r="AC1230" i="8"/>
  <c r="S1237" i="8"/>
  <c r="AC1238" i="8"/>
  <c r="AA1239" i="8"/>
  <c r="S1245" i="8"/>
  <c r="AC1246" i="8"/>
  <c r="AA1247" i="8"/>
  <c r="S1253" i="8"/>
  <c r="O1259" i="8"/>
  <c r="R1261" i="8"/>
  <c r="S1261" i="8" s="1"/>
  <c r="N1261" i="8"/>
  <c r="Z1263" i="8"/>
  <c r="X1263" i="8" s="1"/>
  <c r="AB1263" i="8" s="1"/>
  <c r="W1263" i="8"/>
  <c r="AA1263" i="8" s="1"/>
  <c r="AC1257" i="8"/>
  <c r="AC1265" i="8"/>
  <c r="W1271" i="8"/>
  <c r="AA1271" i="8" s="1"/>
  <c r="AC1273" i="8"/>
  <c r="W1279" i="8"/>
  <c r="AA1279" i="8" s="1"/>
  <c r="AC1281" i="8"/>
  <c r="W1287" i="8"/>
  <c r="AA1287" i="8" s="1"/>
  <c r="R1289" i="8"/>
  <c r="S1289" i="8" s="1"/>
  <c r="R1293" i="8"/>
  <c r="S1293" i="8" s="1"/>
  <c r="R1297" i="8"/>
  <c r="S1297" i="8" s="1"/>
  <c r="R1301" i="8"/>
  <c r="S1301" i="8" s="1"/>
  <c r="R1305" i="8"/>
  <c r="S1305" i="8" s="1"/>
  <c r="R1309" i="8"/>
  <c r="S1309" i="8" s="1"/>
  <c r="R1313" i="8"/>
  <c r="S1313" i="8" s="1"/>
  <c r="R1316" i="8"/>
  <c r="S1316" i="8" s="1"/>
  <c r="N1322" i="8"/>
  <c r="X1322" i="8"/>
  <c r="AB1322" i="8" s="1"/>
  <c r="AC1322" i="8"/>
  <c r="O1333" i="8"/>
  <c r="S1333" i="8" s="1"/>
  <c r="P1333" i="8"/>
  <c r="AA1335" i="8"/>
  <c r="AC1280" i="8"/>
  <c r="AC1288" i="8"/>
  <c r="AC1292" i="8"/>
  <c r="AC1296" i="8"/>
  <c r="AC1300" i="8"/>
  <c r="AC1304" i="8"/>
  <c r="AC1308" i="8"/>
  <c r="AC1312" i="8"/>
  <c r="AC1317" i="8"/>
  <c r="O1337" i="8"/>
  <c r="P1337" i="8"/>
  <c r="AC1337" i="8" s="1"/>
  <c r="AF1347" i="8"/>
  <c r="AD1347" i="8"/>
  <c r="AF1351" i="8"/>
  <c r="AD1351" i="8"/>
  <c r="AF1366" i="8"/>
  <c r="AD1366" i="8"/>
  <c r="AF1367" i="8"/>
  <c r="AD1367" i="8"/>
  <c r="AC1255" i="8"/>
  <c r="AC1263" i="8"/>
  <c r="N1269" i="8"/>
  <c r="AC1271" i="8"/>
  <c r="N1277" i="8"/>
  <c r="W1277" i="8"/>
  <c r="AA1277" i="8" s="1"/>
  <c r="AC1279" i="8"/>
  <c r="N1285" i="8"/>
  <c r="W1285" i="8"/>
  <c r="AA1285" i="8" s="1"/>
  <c r="AC1287" i="8"/>
  <c r="Z1317" i="8"/>
  <c r="X1317" i="8" s="1"/>
  <c r="AB1317" i="8" s="1"/>
  <c r="N1320" i="8"/>
  <c r="X1320" i="8"/>
  <c r="AB1320" i="8" s="1"/>
  <c r="AC1320" i="8"/>
  <c r="AF1326" i="8"/>
  <c r="AD1326" i="8"/>
  <c r="AC1330" i="8"/>
  <c r="N1331" i="8"/>
  <c r="O1332" i="8"/>
  <c r="S1332" i="8" s="1"/>
  <c r="P1332" i="8"/>
  <c r="AC1335" i="8"/>
  <c r="AC1336" i="8"/>
  <c r="AF1362" i="8"/>
  <c r="AD1362" i="8"/>
  <c r="AC1262" i="8"/>
  <c r="AC1270" i="8"/>
  <c r="O1277" i="8"/>
  <c r="S1277" i="8" s="1"/>
  <c r="AC1278" i="8"/>
  <c r="O1285" i="8"/>
  <c r="S1285" i="8" s="1"/>
  <c r="AC1286" i="8"/>
  <c r="AC1291" i="8"/>
  <c r="AC1295" i="8"/>
  <c r="AC1299" i="8"/>
  <c r="AC1303" i="8"/>
  <c r="AC1307" i="8"/>
  <c r="AC1311" i="8"/>
  <c r="AC1315" i="8"/>
  <c r="R1317" i="8"/>
  <c r="S1317" i="8" s="1"/>
  <c r="X1323" i="8"/>
  <c r="AB1323" i="8" s="1"/>
  <c r="AC1323" i="8"/>
  <c r="Z1330" i="8"/>
  <c r="AF1339" i="8"/>
  <c r="AD1339" i="8"/>
  <c r="AF1343" i="8"/>
  <c r="AD1343" i="8"/>
  <c r="AF1360" i="8"/>
  <c r="AD1360" i="8"/>
  <c r="AC1261" i="8"/>
  <c r="W1267" i="8"/>
  <c r="AA1267" i="8" s="1"/>
  <c r="AC1269" i="8"/>
  <c r="N1275" i="8"/>
  <c r="W1275" i="8"/>
  <c r="AA1275" i="8" s="1"/>
  <c r="AC1277" i="8"/>
  <c r="N1283" i="8"/>
  <c r="W1283" i="8"/>
  <c r="AA1283" i="8" s="1"/>
  <c r="AC1285" i="8"/>
  <c r="N1318" i="8"/>
  <c r="X1318" i="8"/>
  <c r="AB1318" i="8" s="1"/>
  <c r="AC1318" i="8"/>
  <c r="R1320" i="8"/>
  <c r="S1320" i="8" s="1"/>
  <c r="W1334" i="8"/>
  <c r="N1335" i="8"/>
  <c r="AF1358" i="8"/>
  <c r="AD1358" i="8"/>
  <c r="AC1260" i="8"/>
  <c r="O1267" i="8"/>
  <c r="AC1268" i="8"/>
  <c r="O1275" i="8"/>
  <c r="S1275" i="8" s="1"/>
  <c r="AC1276" i="8"/>
  <c r="O1283" i="8"/>
  <c r="S1283" i="8" s="1"/>
  <c r="AC1284" i="8"/>
  <c r="AC1290" i="8"/>
  <c r="AC1294" i="8"/>
  <c r="AC1298" i="8"/>
  <c r="AC1302" i="8"/>
  <c r="AC1306" i="8"/>
  <c r="AC1310" i="8"/>
  <c r="N1313" i="8"/>
  <c r="AC1314" i="8"/>
  <c r="N1321" i="8"/>
  <c r="X1321" i="8"/>
  <c r="AB1321" i="8" s="1"/>
  <c r="AC1321" i="8"/>
  <c r="X1324" i="8"/>
  <c r="AB1324" i="8" s="1"/>
  <c r="AC1324" i="8"/>
  <c r="AF1327" i="8"/>
  <c r="AD1327" i="8"/>
  <c r="Z1337" i="8"/>
  <c r="AF1356" i="8"/>
  <c r="AD1356" i="8"/>
  <c r="AC1259" i="8"/>
  <c r="AC1267" i="8"/>
  <c r="AC1275" i="8"/>
  <c r="AC1283" i="8"/>
  <c r="N1316" i="8"/>
  <c r="X1316" i="8"/>
  <c r="AB1316" i="8" s="1"/>
  <c r="AC1316" i="8"/>
  <c r="R1318" i="8"/>
  <c r="S1318" i="8" s="1"/>
  <c r="O1329" i="8"/>
  <c r="S1329" i="8" s="1"/>
  <c r="P1329" i="8"/>
  <c r="AC1329" i="8" s="1"/>
  <c r="AA1331" i="8"/>
  <c r="AA1337" i="8"/>
  <c r="AF1364" i="8"/>
  <c r="AD1364" i="8"/>
  <c r="AC1266" i="8"/>
  <c r="AC1274" i="8"/>
  <c r="AC1282" i="8"/>
  <c r="AC1289" i="8"/>
  <c r="AC1293" i="8"/>
  <c r="AC1297" i="8"/>
  <c r="AC1301" i="8"/>
  <c r="AC1305" i="8"/>
  <c r="AC1309" i="8"/>
  <c r="AC1313" i="8"/>
  <c r="X1319" i="8"/>
  <c r="AB1319" i="8" s="1"/>
  <c r="AC1319" i="8"/>
  <c r="R1321" i="8"/>
  <c r="S1321" i="8" s="1"/>
  <c r="AF1325" i="8"/>
  <c r="AD1325" i="8"/>
  <c r="AF1328" i="8"/>
  <c r="AD1328" i="8"/>
  <c r="AA1332" i="8"/>
  <c r="AA1333" i="8"/>
  <c r="S1337" i="8"/>
  <c r="O1331" i="8"/>
  <c r="S1331" i="8" s="1"/>
  <c r="O1339" i="8"/>
  <c r="S1339" i="8" s="1"/>
  <c r="P1345" i="8"/>
  <c r="AC1345" i="8" s="1"/>
  <c r="O1347" i="8"/>
  <c r="S1347" i="8" s="1"/>
  <c r="P1353" i="8"/>
  <c r="Z1353" i="8" s="1"/>
  <c r="X1353" i="8" s="1"/>
  <c r="AB1353" i="8" s="1"/>
  <c r="X1355" i="8"/>
  <c r="AB1355" i="8" s="1"/>
  <c r="X1357" i="8"/>
  <c r="AB1357" i="8" s="1"/>
  <c r="X1359" i="8"/>
  <c r="AB1359" i="8" s="1"/>
  <c r="X1361" i="8"/>
  <c r="AB1361" i="8" s="1"/>
  <c r="X1363" i="8"/>
  <c r="AB1363" i="8" s="1"/>
  <c r="X1365" i="8"/>
  <c r="AB1365" i="8" s="1"/>
  <c r="X1370" i="8"/>
  <c r="AB1370" i="8" s="1"/>
  <c r="AC1370" i="8"/>
  <c r="S1377" i="8"/>
  <c r="AC1377" i="8"/>
  <c r="X1377" i="8"/>
  <c r="AB1377" i="8" s="1"/>
  <c r="O1328" i="8"/>
  <c r="S1328" i="8" s="1"/>
  <c r="X1331" i="8"/>
  <c r="AB1331" i="8" s="1"/>
  <c r="P1334" i="8"/>
  <c r="AC1334" i="8" s="1"/>
  <c r="O1336" i="8"/>
  <c r="S1336" i="8" s="1"/>
  <c r="P1342" i="8"/>
  <c r="AC1342" i="8" s="1"/>
  <c r="O1344" i="8"/>
  <c r="S1344" i="8" s="1"/>
  <c r="P1350" i="8"/>
  <c r="AC1350" i="8" s="1"/>
  <c r="O1352" i="8"/>
  <c r="S1352" i="8" s="1"/>
  <c r="Z1367" i="8"/>
  <c r="X1367" i="8" s="1"/>
  <c r="AB1367" i="8" s="1"/>
  <c r="Z1376" i="8"/>
  <c r="X1376" i="8" s="1"/>
  <c r="AB1376" i="8" s="1"/>
  <c r="W1376" i="8"/>
  <c r="AA1376" i="8" s="1"/>
  <c r="Z1339" i="8"/>
  <c r="X1339" i="8" s="1"/>
  <c r="AB1339" i="8" s="1"/>
  <c r="X1344" i="8"/>
  <c r="AB1344" i="8" s="1"/>
  <c r="Z1347" i="8"/>
  <c r="X1347" i="8" s="1"/>
  <c r="AB1347" i="8" s="1"/>
  <c r="X1352" i="8"/>
  <c r="AB1352" i="8" s="1"/>
  <c r="AC1371" i="8"/>
  <c r="AA1375" i="8"/>
  <c r="S1376" i="8"/>
  <c r="W1338" i="8"/>
  <c r="AD1340" i="8"/>
  <c r="W1346" i="8"/>
  <c r="AD1348" i="8"/>
  <c r="W1354" i="8"/>
  <c r="X1368" i="8"/>
  <c r="AB1368" i="8" s="1"/>
  <c r="Z1371" i="8"/>
  <c r="X1371" i="8" s="1"/>
  <c r="AB1371" i="8" s="1"/>
  <c r="X1330" i="8"/>
  <c r="AB1330" i="8" s="1"/>
  <c r="O1335" i="8"/>
  <c r="S1335" i="8" s="1"/>
  <c r="P1341" i="8"/>
  <c r="AA1341" i="8" s="1"/>
  <c r="O1343" i="8"/>
  <c r="S1343" i="8" s="1"/>
  <c r="P1349" i="8"/>
  <c r="AA1349" i="8" s="1"/>
  <c r="O1351" i="8"/>
  <c r="S1351" i="8" s="1"/>
  <c r="AF1355" i="8"/>
  <c r="AD1355" i="8"/>
  <c r="X1356" i="8"/>
  <c r="AB1356" i="8" s="1"/>
  <c r="AF1357" i="8"/>
  <c r="AD1357" i="8"/>
  <c r="X1358" i="8"/>
  <c r="AB1358" i="8" s="1"/>
  <c r="AF1359" i="8"/>
  <c r="AD1359" i="8"/>
  <c r="X1360" i="8"/>
  <c r="AB1360" i="8" s="1"/>
  <c r="AF1361" i="8"/>
  <c r="AD1361" i="8"/>
  <c r="X1362" i="8"/>
  <c r="AB1362" i="8" s="1"/>
  <c r="AF1363" i="8"/>
  <c r="AD1363" i="8"/>
  <c r="X1364" i="8"/>
  <c r="AB1364" i="8" s="1"/>
  <c r="AF1365" i="8"/>
  <c r="AD1365" i="8"/>
  <c r="X1366" i="8"/>
  <c r="AB1366" i="8" s="1"/>
  <c r="N1375" i="8"/>
  <c r="R1375" i="8"/>
  <c r="X1335" i="8"/>
  <c r="AB1335" i="8" s="1"/>
  <c r="P1338" i="8"/>
  <c r="AC1338" i="8" s="1"/>
  <c r="O1340" i="8"/>
  <c r="S1340" i="8" s="1"/>
  <c r="X1343" i="8"/>
  <c r="AB1343" i="8" s="1"/>
  <c r="P1346" i="8"/>
  <c r="Z1346" i="8" s="1"/>
  <c r="X1346" i="8" s="1"/>
  <c r="AB1346" i="8" s="1"/>
  <c r="O1348" i="8"/>
  <c r="S1348" i="8" s="1"/>
  <c r="X1351" i="8"/>
  <c r="AB1351" i="8" s="1"/>
  <c r="P1354" i="8"/>
  <c r="Z1354" i="8" s="1"/>
  <c r="X1354" i="8" s="1"/>
  <c r="AB1354" i="8" s="1"/>
  <c r="P1379" i="8"/>
  <c r="AA1379" i="8" s="1"/>
  <c r="O1379" i="8"/>
  <c r="Z1381" i="8"/>
  <c r="X1340" i="8"/>
  <c r="AB1340" i="8" s="1"/>
  <c r="AC1344" i="8"/>
  <c r="X1348" i="8"/>
  <c r="AB1348" i="8" s="1"/>
  <c r="AC1352" i="8"/>
  <c r="R1366" i="8"/>
  <c r="S1366" i="8" s="1"/>
  <c r="AC1368" i="8"/>
  <c r="X1369" i="8"/>
  <c r="AB1369" i="8" s="1"/>
  <c r="AC1369" i="8"/>
  <c r="AC1373" i="8"/>
  <c r="Z1373" i="8"/>
  <c r="X1373" i="8" s="1"/>
  <c r="AB1373" i="8" s="1"/>
  <c r="X1337" i="8"/>
  <c r="AB1337" i="8" s="1"/>
  <c r="O1363" i="8"/>
  <c r="S1363" i="8" s="1"/>
  <c r="O1365" i="8"/>
  <c r="S1365" i="8" s="1"/>
  <c r="O1375" i="8"/>
  <c r="X1381" i="8"/>
  <c r="AB1381" i="8" s="1"/>
  <c r="AC1374" i="8"/>
  <c r="Z1375" i="8"/>
  <c r="X1375" i="8" s="1"/>
  <c r="AB1375" i="8" s="1"/>
  <c r="P1378" i="8"/>
  <c r="AA1378" i="8" s="1"/>
  <c r="Z1378" i="8"/>
  <c r="X1378" i="8" s="1"/>
  <c r="AB1378" i="8" s="1"/>
  <c r="R1381" i="8"/>
  <c r="S1381" i="8" s="1"/>
  <c r="O1383" i="8"/>
  <c r="AC1383" i="8"/>
  <c r="P1385" i="8"/>
  <c r="Z1385" i="8" s="1"/>
  <c r="X1385" i="8" s="1"/>
  <c r="AB1385" i="8" s="1"/>
  <c r="O1386" i="8"/>
  <c r="S1386" i="8" s="1"/>
  <c r="AC1386" i="8"/>
  <c r="S1389" i="8"/>
  <c r="P1390" i="8"/>
  <c r="Z1390" i="8" s="1"/>
  <c r="X1390" i="8" s="1"/>
  <c r="AB1390" i="8" s="1"/>
  <c r="AC1392" i="8"/>
  <c r="S1397" i="8"/>
  <c r="P1398" i="8"/>
  <c r="Z1398" i="8" s="1"/>
  <c r="X1398" i="8" s="1"/>
  <c r="AB1398" i="8" s="1"/>
  <c r="AC1400" i="8"/>
  <c r="R1374" i="8"/>
  <c r="S1374" i="8" s="1"/>
  <c r="N1377" i="8"/>
  <c r="S1378" i="8"/>
  <c r="AC1380" i="8"/>
  <c r="AA1382" i="8"/>
  <c r="R1385" i="8"/>
  <c r="S1385" i="8" s="1"/>
  <c r="N1386" i="8"/>
  <c r="Z1386" i="8"/>
  <c r="X1386" i="8" s="1"/>
  <c r="AB1386" i="8" s="1"/>
  <c r="S1390" i="8"/>
  <c r="Z1392" i="8"/>
  <c r="X1392" i="8" s="1"/>
  <c r="AB1392" i="8" s="1"/>
  <c r="X1393" i="8"/>
  <c r="AB1393" i="8" s="1"/>
  <c r="AC1393" i="8"/>
  <c r="S1398" i="8"/>
  <c r="Z1400" i="8"/>
  <c r="X1400" i="8" s="1"/>
  <c r="AB1400" i="8" s="1"/>
  <c r="O1406" i="8"/>
  <c r="AD1412" i="8"/>
  <c r="AF1412" i="8"/>
  <c r="AF1416" i="8"/>
  <c r="AD1416" i="8"/>
  <c r="Z1380" i="8"/>
  <c r="X1380" i="8" s="1"/>
  <c r="AB1380" i="8" s="1"/>
  <c r="S1383" i="8"/>
  <c r="O1402" i="8"/>
  <c r="P1402" i="8"/>
  <c r="Z1402" i="8" s="1"/>
  <c r="X1402" i="8" s="1"/>
  <c r="AB1402" i="8" s="1"/>
  <c r="O1403" i="8"/>
  <c r="P1403" i="8"/>
  <c r="AF1421" i="8"/>
  <c r="S1380" i="8"/>
  <c r="O1382" i="8"/>
  <c r="AC1382" i="8"/>
  <c r="W1384" i="8"/>
  <c r="AA1384" i="8" s="1"/>
  <c r="W1388" i="8"/>
  <c r="AA1388" i="8" s="1"/>
  <c r="W1396" i="8"/>
  <c r="P1401" i="8"/>
  <c r="Z1401" i="8" s="1"/>
  <c r="X1401" i="8" s="1"/>
  <c r="AB1401" i="8" s="1"/>
  <c r="AD1410" i="8"/>
  <c r="AF1410" i="8"/>
  <c r="AC1379" i="8"/>
  <c r="AA1381" i="8"/>
  <c r="X1384" i="8"/>
  <c r="AB1384" i="8" s="1"/>
  <c r="AC1384" i="8"/>
  <c r="P1387" i="8"/>
  <c r="Z1387" i="8" s="1"/>
  <c r="X1387" i="8" s="1"/>
  <c r="AB1387" i="8" s="1"/>
  <c r="O1388" i="8"/>
  <c r="S1388" i="8" s="1"/>
  <c r="X1388" i="8"/>
  <c r="AB1388" i="8" s="1"/>
  <c r="AC1388" i="8"/>
  <c r="P1394" i="8"/>
  <c r="Z1394" i="8" s="1"/>
  <c r="X1394" i="8" s="1"/>
  <c r="AB1394" i="8" s="1"/>
  <c r="S1402" i="8"/>
  <c r="S1403" i="8"/>
  <c r="AD1411" i="8"/>
  <c r="AF1411" i="8"/>
  <c r="AD1372" i="8"/>
  <c r="AC1376" i="8"/>
  <c r="S1382" i="8"/>
  <c r="W1385" i="8"/>
  <c r="AA1385" i="8" s="1"/>
  <c r="S1387" i="8"/>
  <c r="N1388" i="8"/>
  <c r="W1390" i="8"/>
  <c r="AA1390" i="8" s="1"/>
  <c r="S1394" i="8"/>
  <c r="P1395" i="8"/>
  <c r="Z1395" i="8" s="1"/>
  <c r="X1395" i="8" s="1"/>
  <c r="AB1395" i="8" s="1"/>
  <c r="W1398" i="8"/>
  <c r="AA1398" i="8" s="1"/>
  <c r="AD1408" i="8"/>
  <c r="AF1408" i="8"/>
  <c r="S1379" i="8"/>
  <c r="AC1381" i="8"/>
  <c r="AA1383" i="8"/>
  <c r="AC1385" i="8"/>
  <c r="AC1390" i="8"/>
  <c r="P1396" i="8"/>
  <c r="Z1396" i="8" s="1"/>
  <c r="X1396" i="8" s="1"/>
  <c r="AB1396" i="8" s="1"/>
  <c r="AC1398" i="8"/>
  <c r="S1406" i="8"/>
  <c r="AC1375" i="8"/>
  <c r="AC1378" i="8"/>
  <c r="P1389" i="8"/>
  <c r="Z1389" i="8" s="1"/>
  <c r="X1389" i="8" s="1"/>
  <c r="AB1389" i="8" s="1"/>
  <c r="X1391" i="8"/>
  <c r="AB1391" i="8" s="1"/>
  <c r="AC1391" i="8"/>
  <c r="S1396" i="8"/>
  <c r="P1397" i="8"/>
  <c r="Z1397" i="8" s="1"/>
  <c r="X1397" i="8" s="1"/>
  <c r="AB1397" i="8" s="1"/>
  <c r="X1399" i="8"/>
  <c r="AB1399" i="8" s="1"/>
  <c r="AC1399" i="8"/>
  <c r="N1406" i="8"/>
  <c r="AD1406" i="8"/>
  <c r="AF1406" i="8"/>
  <c r="AD1414" i="8"/>
  <c r="AF1414" i="8"/>
  <c r="P1417" i="8"/>
  <c r="Z1417" i="8" s="1"/>
  <c r="O1418" i="8"/>
  <c r="P1418" i="8"/>
  <c r="O1419" i="8"/>
  <c r="P1419" i="8"/>
  <c r="Z1421" i="8"/>
  <c r="AD1421" i="8" s="1"/>
  <c r="AA1424" i="8"/>
  <c r="Z1432" i="8"/>
  <c r="AF1433" i="8"/>
  <c r="AD1433" i="8"/>
  <c r="S1417" i="8"/>
  <c r="W1427" i="8"/>
  <c r="AA1429" i="8"/>
  <c r="AF1450" i="8"/>
  <c r="O1422" i="8"/>
  <c r="S1422" i="8" s="1"/>
  <c r="P1422" i="8"/>
  <c r="Z1422" i="8" s="1"/>
  <c r="X1425" i="8"/>
  <c r="AB1425" i="8" s="1"/>
  <c r="AC1425" i="8"/>
  <c r="Z1429" i="8"/>
  <c r="AF1440" i="8"/>
  <c r="AD1440" i="8"/>
  <c r="X1407" i="8"/>
  <c r="AB1407" i="8" s="1"/>
  <c r="X1409" i="8"/>
  <c r="AB1409" i="8" s="1"/>
  <c r="Z1411" i="8"/>
  <c r="X1411" i="8" s="1"/>
  <c r="AB1411" i="8" s="1"/>
  <c r="Z1413" i="8"/>
  <c r="X1413" i="8" s="1"/>
  <c r="AB1413" i="8" s="1"/>
  <c r="Z1419" i="8"/>
  <c r="N1421" i="8"/>
  <c r="AF1437" i="8"/>
  <c r="AD1437" i="8"/>
  <c r="AA1418" i="8"/>
  <c r="AA1419" i="8"/>
  <c r="AF1432" i="8"/>
  <c r="AD1432" i="8"/>
  <c r="AF1441" i="8"/>
  <c r="AD1441" i="8"/>
  <c r="AF1454" i="8"/>
  <c r="O1416" i="8"/>
  <c r="S1416" i="8" s="1"/>
  <c r="X1417" i="8"/>
  <c r="AB1417" i="8" s="1"/>
  <c r="R1418" i="8"/>
  <c r="S1418" i="8" s="1"/>
  <c r="N1418" i="8"/>
  <c r="S1419" i="8"/>
  <c r="X1419" i="8"/>
  <c r="AB1419" i="8" s="1"/>
  <c r="AC1419" i="8"/>
  <c r="AC1407" i="8"/>
  <c r="X1408" i="8"/>
  <c r="AB1408" i="8" s="1"/>
  <c r="AC1409" i="8"/>
  <c r="X1410" i="8"/>
  <c r="AB1410" i="8" s="1"/>
  <c r="X1412" i="8"/>
  <c r="AB1412" i="8" s="1"/>
  <c r="AC1413" i="8"/>
  <c r="X1414" i="8"/>
  <c r="AB1414" i="8" s="1"/>
  <c r="AF1415" i="8"/>
  <c r="AD1415" i="8"/>
  <c r="AA1421" i="8"/>
  <c r="AA1422" i="8"/>
  <c r="AF1429" i="8"/>
  <c r="AD1429" i="8"/>
  <c r="X1421" i="8"/>
  <c r="AB1421" i="8" s="1"/>
  <c r="O1426" i="8"/>
  <c r="S1426" i="8" s="1"/>
  <c r="X1429" i="8"/>
  <c r="AB1429" i="8" s="1"/>
  <c r="X1437" i="8"/>
  <c r="AB1437" i="8" s="1"/>
  <c r="S1452" i="8"/>
  <c r="AD1456" i="8"/>
  <c r="X1459" i="8"/>
  <c r="AB1459" i="8" s="1"/>
  <c r="X1465" i="8"/>
  <c r="AB1465" i="8" s="1"/>
  <c r="N1466" i="8"/>
  <c r="AA1467" i="8"/>
  <c r="O1470" i="8"/>
  <c r="X1473" i="8"/>
  <c r="AB1473" i="8" s="1"/>
  <c r="AD1478" i="8"/>
  <c r="AF1478" i="8"/>
  <c r="S1484" i="8"/>
  <c r="AF1499" i="8"/>
  <c r="AD1499" i="8"/>
  <c r="AF1502" i="8"/>
  <c r="AD1502" i="8"/>
  <c r="N1426" i="8"/>
  <c r="N1434" i="8"/>
  <c r="N1442" i="8"/>
  <c r="P1453" i="8"/>
  <c r="AA1453" i="8" s="1"/>
  <c r="R1458" i="8"/>
  <c r="S1458" i="8" s="1"/>
  <c r="AD1458" i="8"/>
  <c r="AF1458" i="8"/>
  <c r="O1462" i="8"/>
  <c r="AF1495" i="8"/>
  <c r="AD1495" i="8"/>
  <c r="AF1497" i="8"/>
  <c r="AD1497" i="8"/>
  <c r="O1420" i="8"/>
  <c r="S1420" i="8" s="1"/>
  <c r="X1423" i="8"/>
  <c r="AB1423" i="8" s="1"/>
  <c r="P1426" i="8"/>
  <c r="AA1426" i="8" s="1"/>
  <c r="O1428" i="8"/>
  <c r="S1428" i="8" s="1"/>
  <c r="X1431" i="8"/>
  <c r="AB1431" i="8" s="1"/>
  <c r="P1434" i="8"/>
  <c r="AA1434" i="8" s="1"/>
  <c r="O1436" i="8"/>
  <c r="S1436" i="8" s="1"/>
  <c r="X1439" i="8"/>
  <c r="AB1439" i="8" s="1"/>
  <c r="P1442" i="8"/>
  <c r="X1444" i="8"/>
  <c r="AB1444" i="8" s="1"/>
  <c r="X1446" i="8"/>
  <c r="AB1446" i="8" s="1"/>
  <c r="X1448" i="8"/>
  <c r="AB1448" i="8" s="1"/>
  <c r="Z1450" i="8"/>
  <c r="X1450" i="8" s="1"/>
  <c r="AB1450" i="8" s="1"/>
  <c r="Z1454" i="8"/>
  <c r="AD1454" i="8" s="1"/>
  <c r="AC1459" i="8"/>
  <c r="O1466" i="8"/>
  <c r="X1467" i="8"/>
  <c r="AB1467" i="8" s="1"/>
  <c r="S1476" i="8"/>
  <c r="AF1493" i="8"/>
  <c r="AD1493" i="8"/>
  <c r="X1420" i="8"/>
  <c r="AB1420" i="8" s="1"/>
  <c r="X1428" i="8"/>
  <c r="AB1428" i="8" s="1"/>
  <c r="X1436" i="8"/>
  <c r="AB1436" i="8" s="1"/>
  <c r="AC1467" i="8"/>
  <c r="AF1491" i="8"/>
  <c r="AD1491" i="8"/>
  <c r="X1433" i="8"/>
  <c r="AB1433" i="8" s="1"/>
  <c r="X1441" i="8"/>
  <c r="AB1441" i="8" s="1"/>
  <c r="AC1457" i="8"/>
  <c r="AA1462" i="8"/>
  <c r="X1422" i="8"/>
  <c r="AB1422" i="8" s="1"/>
  <c r="W1435" i="8"/>
  <c r="W1443" i="8"/>
  <c r="W1445" i="8"/>
  <c r="W1447" i="8"/>
  <c r="P1451" i="8"/>
  <c r="Z1451" i="8" s="1"/>
  <c r="X1451" i="8" s="1"/>
  <c r="AB1451" i="8" s="1"/>
  <c r="P1455" i="8"/>
  <c r="Z1455" i="8" s="1"/>
  <c r="X1455" i="8" s="1"/>
  <c r="AB1455" i="8" s="1"/>
  <c r="AC1455" i="8"/>
  <c r="S1470" i="8"/>
  <c r="X1471" i="8"/>
  <c r="AB1471" i="8" s="1"/>
  <c r="AD1488" i="8"/>
  <c r="AF1488" i="8"/>
  <c r="X1489" i="8"/>
  <c r="AB1489" i="8" s="1"/>
  <c r="O1424" i="8"/>
  <c r="S1424" i="8" s="1"/>
  <c r="P1430" i="8"/>
  <c r="Z1430" i="8" s="1"/>
  <c r="X1430" i="8" s="1"/>
  <c r="AB1430" i="8" s="1"/>
  <c r="O1432" i="8"/>
  <c r="S1432" i="8" s="1"/>
  <c r="P1438" i="8"/>
  <c r="Z1438" i="8" s="1"/>
  <c r="X1438" i="8" s="1"/>
  <c r="AB1438" i="8" s="1"/>
  <c r="O1440" i="8"/>
  <c r="S1440" i="8" s="1"/>
  <c r="AD1444" i="8"/>
  <c r="AD1446" i="8"/>
  <c r="S1451" i="8"/>
  <c r="S1455" i="8"/>
  <c r="S1462" i="8"/>
  <c r="AD1470" i="8"/>
  <c r="AF1470" i="8"/>
  <c r="AD1471" i="8"/>
  <c r="AF1471" i="8"/>
  <c r="AD1486" i="8"/>
  <c r="AF1486" i="8"/>
  <c r="X1416" i="8"/>
  <c r="AB1416" i="8" s="1"/>
  <c r="AC1420" i="8"/>
  <c r="O1421" i="8"/>
  <c r="S1421" i="8" s="1"/>
  <c r="AD1423" i="8"/>
  <c r="X1424" i="8"/>
  <c r="AB1424" i="8" s="1"/>
  <c r="P1427" i="8"/>
  <c r="Z1427" i="8" s="1"/>
  <c r="X1427" i="8" s="1"/>
  <c r="AB1427" i="8" s="1"/>
  <c r="AC1428" i="8"/>
  <c r="O1429" i="8"/>
  <c r="S1429" i="8" s="1"/>
  <c r="AD1431" i="8"/>
  <c r="X1432" i="8"/>
  <c r="AB1432" i="8" s="1"/>
  <c r="P1435" i="8"/>
  <c r="Z1435" i="8" s="1"/>
  <c r="X1435" i="8" s="1"/>
  <c r="AB1435" i="8" s="1"/>
  <c r="AC1436" i="8"/>
  <c r="O1437" i="8"/>
  <c r="S1437" i="8" s="1"/>
  <c r="AD1439" i="8"/>
  <c r="X1440" i="8"/>
  <c r="AB1440" i="8" s="1"/>
  <c r="P1443" i="8"/>
  <c r="AC1443" i="8" s="1"/>
  <c r="P1445" i="8"/>
  <c r="AC1445" i="8" s="1"/>
  <c r="P1447" i="8"/>
  <c r="AC1447" i="8" s="1"/>
  <c r="P1449" i="8"/>
  <c r="Z1449" i="8" s="1"/>
  <c r="X1449" i="8" s="1"/>
  <c r="AB1449" i="8" s="1"/>
  <c r="P1452" i="8"/>
  <c r="AA1452" i="8" s="1"/>
  <c r="AC1452" i="8"/>
  <c r="N1462" i="8"/>
  <c r="AC1462" i="8"/>
  <c r="AC1463" i="8"/>
  <c r="AD1464" i="8"/>
  <c r="AF1464" i="8"/>
  <c r="S1466" i="8"/>
  <c r="AD1480" i="8"/>
  <c r="AF1480" i="8"/>
  <c r="R1465" i="8"/>
  <c r="S1465" i="8" s="1"/>
  <c r="AD1468" i="8"/>
  <c r="R1473" i="8"/>
  <c r="S1473" i="8" s="1"/>
  <c r="R1481" i="8"/>
  <c r="S1481" i="8" s="1"/>
  <c r="R1489" i="8"/>
  <c r="S1489" i="8" s="1"/>
  <c r="O1500" i="8"/>
  <c r="R1500" i="8"/>
  <c r="S1500" i="8" s="1"/>
  <c r="X1503" i="8"/>
  <c r="AB1503" i="8" s="1"/>
  <c r="O1504" i="8"/>
  <c r="R1504" i="8"/>
  <c r="S1504" i="8" s="1"/>
  <c r="AD1511" i="8"/>
  <c r="AF1511" i="8"/>
  <c r="AD1513" i="8"/>
  <c r="AF1513" i="8"/>
  <c r="AD1519" i="8"/>
  <c r="AF1519" i="8"/>
  <c r="AC1475" i="8"/>
  <c r="O1478" i="8"/>
  <c r="S1478" i="8" s="1"/>
  <c r="AC1483" i="8"/>
  <c r="O1486" i="8"/>
  <c r="S1486" i="8" s="1"/>
  <c r="AF1506" i="8"/>
  <c r="AD1506" i="8"/>
  <c r="S1508" i="8"/>
  <c r="O1501" i="8"/>
  <c r="R1501" i="8"/>
  <c r="S1501" i="8" s="1"/>
  <c r="O1505" i="8"/>
  <c r="R1505" i="8"/>
  <c r="S1505" i="8" s="1"/>
  <c r="AD1523" i="8"/>
  <c r="AF1523" i="8"/>
  <c r="AC1465" i="8"/>
  <c r="AC1473" i="8"/>
  <c r="AC1481" i="8"/>
  <c r="AC1489" i="8"/>
  <c r="X1490" i="8"/>
  <c r="AB1490" i="8" s="1"/>
  <c r="X1492" i="8"/>
  <c r="AB1492" i="8" s="1"/>
  <c r="X1494" i="8"/>
  <c r="AB1494" i="8" s="1"/>
  <c r="X1496" i="8"/>
  <c r="AB1496" i="8" s="1"/>
  <c r="X1498" i="8"/>
  <c r="AB1498" i="8" s="1"/>
  <c r="AC1503" i="8"/>
  <c r="N1504" i="8"/>
  <c r="AD1508" i="8"/>
  <c r="AF1508" i="8"/>
  <c r="X1509" i="8"/>
  <c r="AB1509" i="8" s="1"/>
  <c r="AC1509" i="8"/>
  <c r="AF1466" i="8"/>
  <c r="AD1472" i="8"/>
  <c r="AF1474" i="8"/>
  <c r="AF1482" i="8"/>
  <c r="O1502" i="8"/>
  <c r="R1502" i="8"/>
  <c r="S1502" i="8" s="1"/>
  <c r="O1506" i="8"/>
  <c r="R1506" i="8"/>
  <c r="S1506" i="8" s="1"/>
  <c r="AD1479" i="8"/>
  <c r="AF1500" i="8"/>
  <c r="AD1500" i="8"/>
  <c r="AC1504" i="8"/>
  <c r="AD1514" i="8"/>
  <c r="AF1514" i="8"/>
  <c r="X1517" i="8"/>
  <c r="AB1517" i="8" s="1"/>
  <c r="X1502" i="8"/>
  <c r="AB1502" i="8" s="1"/>
  <c r="O1503" i="8"/>
  <c r="R1503" i="8"/>
  <c r="S1503" i="8" s="1"/>
  <c r="O1507" i="8"/>
  <c r="R1507" i="8"/>
  <c r="S1507" i="8" s="1"/>
  <c r="R1512" i="8"/>
  <c r="O1512" i="8"/>
  <c r="AD1512" i="8"/>
  <c r="AF1512" i="8"/>
  <c r="AD1520" i="8"/>
  <c r="AF1520" i="8"/>
  <c r="AD1527" i="8"/>
  <c r="AF1527" i="8"/>
  <c r="AD1469" i="8"/>
  <c r="AD1477" i="8"/>
  <c r="AF1479" i="8"/>
  <c r="AF1487" i="8"/>
  <c r="AF1490" i="8"/>
  <c r="AD1490" i="8"/>
  <c r="X1491" i="8"/>
  <c r="AB1491" i="8" s="1"/>
  <c r="AF1492" i="8"/>
  <c r="AD1492" i="8"/>
  <c r="X1493" i="8"/>
  <c r="AB1493" i="8" s="1"/>
  <c r="AF1494" i="8"/>
  <c r="AD1494" i="8"/>
  <c r="X1495" i="8"/>
  <c r="AB1495" i="8" s="1"/>
  <c r="AF1496" i="8"/>
  <c r="AD1496" i="8"/>
  <c r="X1497" i="8"/>
  <c r="AB1497" i="8" s="1"/>
  <c r="AF1498" i="8"/>
  <c r="AD1498" i="8"/>
  <c r="X1499" i="8"/>
  <c r="AB1499" i="8" s="1"/>
  <c r="AF1501" i="8"/>
  <c r="AD1501" i="8"/>
  <c r="AF1505" i="8"/>
  <c r="AD1505" i="8"/>
  <c r="AD1530" i="8"/>
  <c r="AF1530" i="8"/>
  <c r="AD1532" i="8"/>
  <c r="AF1532" i="8"/>
  <c r="R1515" i="8"/>
  <c r="S1515" i="8" s="1"/>
  <c r="AC1525" i="8"/>
  <c r="R1531" i="8"/>
  <c r="S1531" i="8" s="1"/>
  <c r="AC1533" i="8"/>
  <c r="O1535" i="8"/>
  <c r="S1535" i="8" s="1"/>
  <c r="R1536" i="8"/>
  <c r="S1536" i="8" s="1"/>
  <c r="O1536" i="8"/>
  <c r="X1538" i="8"/>
  <c r="AB1538" i="8" s="1"/>
  <c r="AF1539" i="8"/>
  <c r="AD1547" i="8"/>
  <c r="AF1547" i="8"/>
  <c r="R1549" i="8"/>
  <c r="S1549" i="8" s="1"/>
  <c r="O1549" i="8"/>
  <c r="N1549" i="8"/>
  <c r="S1551" i="8"/>
  <c r="AD1555" i="8"/>
  <c r="AF1555" i="8"/>
  <c r="S1561" i="8"/>
  <c r="R1571" i="8"/>
  <c r="S1571" i="8" s="1"/>
  <c r="O1571" i="8"/>
  <c r="AC1575" i="8"/>
  <c r="AD1576" i="8"/>
  <c r="AF1576" i="8"/>
  <c r="AD1577" i="8"/>
  <c r="AF1577" i="8"/>
  <c r="X1580" i="8"/>
  <c r="AB1580" i="8" s="1"/>
  <c r="AC1580" i="8"/>
  <c r="AD1585" i="8"/>
  <c r="AF1585" i="8"/>
  <c r="AD1589" i="8"/>
  <c r="AF1589" i="8"/>
  <c r="AD1594" i="8"/>
  <c r="AF1594" i="8"/>
  <c r="AD1596" i="8"/>
  <c r="AF1596" i="8"/>
  <c r="R1514" i="8"/>
  <c r="S1514" i="8" s="1"/>
  <c r="AC1517" i="8"/>
  <c r="O1520" i="8"/>
  <c r="S1520" i="8" s="1"/>
  <c r="R1525" i="8"/>
  <c r="S1525" i="8" s="1"/>
  <c r="X1530" i="8"/>
  <c r="AB1530" i="8" s="1"/>
  <c r="AD1540" i="8"/>
  <c r="AF1540" i="8"/>
  <c r="AA1541" i="8"/>
  <c r="Z1541" i="8"/>
  <c r="X1546" i="8"/>
  <c r="AB1546" i="8" s="1"/>
  <c r="AC1546" i="8"/>
  <c r="AA1562" i="8"/>
  <c r="Z1562" i="8"/>
  <c r="R1585" i="8"/>
  <c r="S1585" i="8" s="1"/>
  <c r="O1585" i="8"/>
  <c r="AD1516" i="8"/>
  <c r="AA1523" i="8"/>
  <c r="X1527" i="8"/>
  <c r="AB1527" i="8" s="1"/>
  <c r="AA1538" i="8"/>
  <c r="AC1554" i="8"/>
  <c r="R1579" i="8"/>
  <c r="S1579" i="8" s="1"/>
  <c r="O1579" i="8"/>
  <c r="AD1593" i="8"/>
  <c r="AF1593" i="8"/>
  <c r="AD1595" i="8"/>
  <c r="AF1595" i="8"/>
  <c r="AD1515" i="8"/>
  <c r="X1534" i="8"/>
  <c r="AB1534" i="8" s="1"/>
  <c r="AD1535" i="8"/>
  <c r="AF1535" i="8"/>
  <c r="AD1548" i="8"/>
  <c r="AF1548" i="8"/>
  <c r="S1550" i="8"/>
  <c r="AF1552" i="8"/>
  <c r="S1555" i="8"/>
  <c r="R1565" i="8"/>
  <c r="S1565" i="8" s="1"/>
  <c r="O1565" i="8"/>
  <c r="N1565" i="8"/>
  <c r="AD1566" i="8"/>
  <c r="AF1566" i="8"/>
  <c r="AF1568" i="8"/>
  <c r="X1587" i="8"/>
  <c r="AB1587" i="8" s="1"/>
  <c r="AC1587" i="8"/>
  <c r="AF1516" i="8"/>
  <c r="AF1522" i="8"/>
  <c r="AF1526" i="8"/>
  <c r="AA1531" i="8"/>
  <c r="AF1538" i="8"/>
  <c r="AF1550" i="8"/>
  <c r="S1553" i="8"/>
  <c r="AD1563" i="8"/>
  <c r="AF1563" i="8"/>
  <c r="S1569" i="8"/>
  <c r="X1573" i="8"/>
  <c r="AB1573" i="8" s="1"/>
  <c r="AF1574" i="8"/>
  <c r="S1580" i="8"/>
  <c r="AD1583" i="8"/>
  <c r="AF1583" i="8"/>
  <c r="Z1523" i="8"/>
  <c r="X1523" i="8" s="1"/>
  <c r="AB1523" i="8" s="1"/>
  <c r="AA1554" i="8"/>
  <c r="Z1554" i="8"/>
  <c r="X1554" i="8" s="1"/>
  <c r="AB1554" i="8" s="1"/>
  <c r="N1514" i="8"/>
  <c r="N1522" i="8"/>
  <c r="N1525" i="8"/>
  <c r="N1535" i="8"/>
  <c r="R1541" i="8"/>
  <c r="S1541" i="8" s="1"/>
  <c r="O1541" i="8"/>
  <c r="N1541" i="8"/>
  <c r="X1541" i="8"/>
  <c r="AB1541" i="8" s="1"/>
  <c r="AC1541" i="8"/>
  <c r="S1543" i="8"/>
  <c r="AA1544" i="8"/>
  <c r="X1562" i="8"/>
  <c r="AB1562" i="8" s="1"/>
  <c r="AC1562" i="8"/>
  <c r="X1572" i="8"/>
  <c r="AB1572" i="8" s="1"/>
  <c r="AC1572" i="8"/>
  <c r="AD1590" i="8"/>
  <c r="AF1590" i="8"/>
  <c r="AF1521" i="8"/>
  <c r="O1522" i="8"/>
  <c r="S1522" i="8" s="1"/>
  <c r="AF1524" i="8"/>
  <c r="X1528" i="8"/>
  <c r="AB1528" i="8" s="1"/>
  <c r="AC1534" i="8"/>
  <c r="S1537" i="8"/>
  <c r="AC1544" i="8"/>
  <c r="X1544" i="8"/>
  <c r="AB1544" i="8" s="1"/>
  <c r="O1547" i="8"/>
  <c r="S1547" i="8" s="1"/>
  <c r="N1547" i="8"/>
  <c r="R1557" i="8"/>
  <c r="O1557" i="8"/>
  <c r="N1557" i="8"/>
  <c r="AD1558" i="8"/>
  <c r="AF1558" i="8"/>
  <c r="AF1560" i="8"/>
  <c r="AD1586" i="8"/>
  <c r="AF1586" i="8"/>
  <c r="S1594" i="8"/>
  <c r="AF1543" i="8"/>
  <c r="O1544" i="8"/>
  <c r="S1544" i="8" s="1"/>
  <c r="AC1549" i="8"/>
  <c r="AF1551" i="8"/>
  <c r="O1552" i="8"/>
  <c r="S1552" i="8" s="1"/>
  <c r="X1552" i="8"/>
  <c r="AB1552" i="8" s="1"/>
  <c r="AC1557" i="8"/>
  <c r="AF1559" i="8"/>
  <c r="O1560" i="8"/>
  <c r="S1560" i="8" s="1"/>
  <c r="X1560" i="8"/>
  <c r="AB1560" i="8" s="1"/>
  <c r="AC1565" i="8"/>
  <c r="AF1567" i="8"/>
  <c r="O1568" i="8"/>
  <c r="S1568" i="8" s="1"/>
  <c r="X1568" i="8"/>
  <c r="AB1568" i="8" s="1"/>
  <c r="N1571" i="8"/>
  <c r="AF1571" i="8"/>
  <c r="AC1573" i="8"/>
  <c r="X1574" i="8"/>
  <c r="AB1574" i="8" s="1"/>
  <c r="O1577" i="8"/>
  <c r="S1577" i="8" s="1"/>
  <c r="N1579" i="8"/>
  <c r="AF1579" i="8"/>
  <c r="AC1581" i="8"/>
  <c r="N1585" i="8"/>
  <c r="X1585" i="8"/>
  <c r="AB1585" i="8" s="1"/>
  <c r="O1587" i="8"/>
  <c r="S1587" i="8" s="1"/>
  <c r="Z1596" i="8"/>
  <c r="X1596" i="8" s="1"/>
  <c r="AB1596" i="8" s="1"/>
  <c r="X1600" i="8"/>
  <c r="AB1600" i="8" s="1"/>
  <c r="AD1556" i="8"/>
  <c r="Z1577" i="8"/>
  <c r="X1577" i="8" s="1"/>
  <c r="AB1577" i="8" s="1"/>
  <c r="AD1578" i="8"/>
  <c r="AF1600" i="8"/>
  <c r="AD1600" i="8"/>
  <c r="N1573" i="8"/>
  <c r="N1581" i="8"/>
  <c r="N1583" i="8"/>
  <c r="X1583" i="8"/>
  <c r="AB1583" i="8" s="1"/>
  <c r="AC1591" i="8"/>
  <c r="Z1597" i="8"/>
  <c r="AD1603" i="8"/>
  <c r="X1608" i="8"/>
  <c r="AB1608" i="8" s="1"/>
  <c r="Z1610" i="8"/>
  <c r="X1610" i="8" s="1"/>
  <c r="AB1610" i="8" s="1"/>
  <c r="AF1556" i="8"/>
  <c r="AF1564" i="8"/>
  <c r="AF1570" i="8"/>
  <c r="AF1578" i="8"/>
  <c r="AF1584" i="8"/>
  <c r="X1589" i="8"/>
  <c r="AB1589" i="8" s="1"/>
  <c r="X1593" i="8"/>
  <c r="AB1593" i="8" s="1"/>
  <c r="X1597" i="8"/>
  <c r="AB1597" i="8" s="1"/>
  <c r="S1604" i="8"/>
  <c r="AA1605" i="8"/>
  <c r="AF1606" i="8"/>
  <c r="AD1606" i="8"/>
  <c r="AA1610" i="8"/>
  <c r="AD1545" i="8"/>
  <c r="N1555" i="8"/>
  <c r="AD1561" i="8"/>
  <c r="N1563" i="8"/>
  <c r="AD1569" i="8"/>
  <c r="O1573" i="8"/>
  <c r="S1573" i="8" s="1"/>
  <c r="Z1576" i="8"/>
  <c r="X1576" i="8" s="1"/>
  <c r="AB1576" i="8" s="1"/>
  <c r="O1581" i="8"/>
  <c r="S1581" i="8" s="1"/>
  <c r="O1583" i="8"/>
  <c r="S1583" i="8" s="1"/>
  <c r="AA1583" i="8"/>
  <c r="AC1588" i="8"/>
  <c r="AC1592" i="8"/>
  <c r="AD1597" i="8"/>
  <c r="AC1605" i="8"/>
  <c r="AA1609" i="8"/>
  <c r="Z1549" i="8"/>
  <c r="X1549" i="8" s="1"/>
  <c r="AB1549" i="8" s="1"/>
  <c r="Z1557" i="8"/>
  <c r="X1557" i="8" s="1"/>
  <c r="AB1557" i="8" s="1"/>
  <c r="Z1565" i="8"/>
  <c r="X1565" i="8" s="1"/>
  <c r="AB1565" i="8" s="1"/>
  <c r="P1602" i="8"/>
  <c r="AC1602" i="8" s="1"/>
  <c r="O1602" i="8"/>
  <c r="S1602" i="8" s="1"/>
  <c r="Z1609" i="8"/>
  <c r="AF1610" i="8"/>
  <c r="AD1610" i="8"/>
  <c r="AF1545" i="8"/>
  <c r="AF1553" i="8"/>
  <c r="AF1561" i="8"/>
  <c r="AF1569" i="8"/>
  <c r="N1577" i="8"/>
  <c r="N1587" i="8"/>
  <c r="X1609" i="8"/>
  <c r="AB1609" i="8" s="1"/>
  <c r="AF1597" i="8"/>
  <c r="AD1604" i="8"/>
  <c r="AF1604" i="8"/>
  <c r="R1598" i="8"/>
  <c r="S1598" i="8" s="1"/>
  <c r="R1599" i="8"/>
  <c r="S1599" i="8" s="1"/>
  <c r="AC1601" i="8"/>
  <c r="O1605" i="8"/>
  <c r="S1605" i="8" s="1"/>
  <c r="AC1609" i="8"/>
  <c r="AD1612" i="8"/>
  <c r="AD1614" i="8"/>
  <c r="AD1616" i="8"/>
  <c r="AD1618" i="8"/>
  <c r="AD1620" i="8"/>
  <c r="Z1630" i="8"/>
  <c r="W1637" i="8"/>
  <c r="AA1637" i="8" s="1"/>
  <c r="N1638" i="8"/>
  <c r="R1638" i="8"/>
  <c r="AC1638" i="8"/>
  <c r="AF1640" i="8"/>
  <c r="AD1640" i="8"/>
  <c r="Z1640" i="8"/>
  <c r="AF1641" i="8"/>
  <c r="AA1646" i="8"/>
  <c r="W1647" i="8"/>
  <c r="AF1649" i="8"/>
  <c r="AD1649" i="8"/>
  <c r="R1652" i="8"/>
  <c r="N1652" i="8"/>
  <c r="AF1603" i="8"/>
  <c r="X1604" i="8"/>
  <c r="AB1604" i="8" s="1"/>
  <c r="AC1608" i="8"/>
  <c r="P1611" i="8"/>
  <c r="AC1611" i="8" s="1"/>
  <c r="P1613" i="8"/>
  <c r="AC1613" i="8" s="1"/>
  <c r="Z1613" i="8"/>
  <c r="X1613" i="8" s="1"/>
  <c r="AB1613" i="8" s="1"/>
  <c r="P1615" i="8"/>
  <c r="AC1615" i="8" s="1"/>
  <c r="P1617" i="8"/>
  <c r="AC1617" i="8" s="1"/>
  <c r="Z1617" i="8"/>
  <c r="X1617" i="8" s="1"/>
  <c r="AB1617" i="8" s="1"/>
  <c r="P1619" i="8"/>
  <c r="AC1619" i="8" s="1"/>
  <c r="P1621" i="8"/>
  <c r="AA1621" i="8" s="1"/>
  <c r="P1624" i="8"/>
  <c r="O1624" i="8"/>
  <c r="S1624" i="8" s="1"/>
  <c r="X1629" i="8"/>
  <c r="AB1629" i="8" s="1"/>
  <c r="AC1629" i="8"/>
  <c r="Z1648" i="8"/>
  <c r="W1602" i="8"/>
  <c r="AA1602" i="8" s="1"/>
  <c r="Z1605" i="8"/>
  <c r="X1605" i="8" s="1"/>
  <c r="AB1605" i="8" s="1"/>
  <c r="W1622" i="8"/>
  <c r="R1626" i="8"/>
  <c r="N1626" i="8"/>
  <c r="N1628" i="8"/>
  <c r="AD1630" i="8"/>
  <c r="AA1634" i="8"/>
  <c r="X1637" i="8"/>
  <c r="AB1637" i="8" s="1"/>
  <c r="AC1637" i="8"/>
  <c r="N1646" i="8"/>
  <c r="R1646" i="8"/>
  <c r="AC1646" i="8"/>
  <c r="AF1648" i="8"/>
  <c r="AD1648" i="8"/>
  <c r="AD1599" i="8"/>
  <c r="AD1607" i="8"/>
  <c r="O1610" i="8"/>
  <c r="S1610" i="8" s="1"/>
  <c r="P1622" i="8"/>
  <c r="AC1622" i="8" s="1"/>
  <c r="O1622" i="8"/>
  <c r="S1622" i="8" s="1"/>
  <c r="O1628" i="8"/>
  <c r="S1628" i="8" s="1"/>
  <c r="P1628" i="8"/>
  <c r="AC1628" i="8" s="1"/>
  <c r="W1633" i="8"/>
  <c r="R1634" i="8"/>
  <c r="S1634" i="8" s="1"/>
  <c r="N1634" i="8"/>
  <c r="N1636" i="8"/>
  <c r="S1648" i="8"/>
  <c r="O1601" i="8"/>
  <c r="S1601" i="8" s="1"/>
  <c r="O1609" i="8"/>
  <c r="S1609" i="8" s="1"/>
  <c r="X1612" i="8"/>
  <c r="AB1612" i="8" s="1"/>
  <c r="X1614" i="8"/>
  <c r="AB1614" i="8" s="1"/>
  <c r="X1616" i="8"/>
  <c r="AB1616" i="8" s="1"/>
  <c r="X1618" i="8"/>
  <c r="AB1618" i="8" s="1"/>
  <c r="X1620" i="8"/>
  <c r="AB1620" i="8" s="1"/>
  <c r="O1626" i="8"/>
  <c r="O1636" i="8"/>
  <c r="S1636" i="8" s="1"/>
  <c r="P1636" i="8"/>
  <c r="AA1636" i="8" s="1"/>
  <c r="X1645" i="8"/>
  <c r="AB1645" i="8" s="1"/>
  <c r="AC1645" i="8"/>
  <c r="X1653" i="8"/>
  <c r="AB1653" i="8" s="1"/>
  <c r="AC1653" i="8"/>
  <c r="AF1625" i="8"/>
  <c r="AD1625" i="8"/>
  <c r="AA1630" i="8"/>
  <c r="W1631" i="8"/>
  <c r="AA1632" i="8"/>
  <c r="Z1641" i="8"/>
  <c r="AD1641" i="8" s="1"/>
  <c r="W1641" i="8"/>
  <c r="AA1641" i="8" s="1"/>
  <c r="R1642" i="8"/>
  <c r="N1642" i="8"/>
  <c r="N1644" i="8"/>
  <c r="P1623" i="8"/>
  <c r="O1623" i="8"/>
  <c r="S1623" i="8" s="1"/>
  <c r="W1639" i="8"/>
  <c r="O1644" i="8"/>
  <c r="S1644" i="8" s="1"/>
  <c r="P1644" i="8"/>
  <c r="Z1644" i="8" s="1"/>
  <c r="X1644" i="8" s="1"/>
  <c r="AB1644" i="8" s="1"/>
  <c r="Z1628" i="8"/>
  <c r="N1630" i="8"/>
  <c r="R1630" i="8"/>
  <c r="AF1632" i="8"/>
  <c r="AD1632" i="8"/>
  <c r="Z1632" i="8"/>
  <c r="O1642" i="8"/>
  <c r="AD1642" i="8"/>
  <c r="O1650" i="8"/>
  <c r="S1650" i="8" s="1"/>
  <c r="P1650" i="8"/>
  <c r="AA1650" i="8" s="1"/>
  <c r="P1627" i="8"/>
  <c r="AA1627" i="8" s="1"/>
  <c r="O1629" i="8"/>
  <c r="S1629" i="8" s="1"/>
  <c r="X1632" i="8"/>
  <c r="AB1632" i="8" s="1"/>
  <c r="P1635" i="8"/>
  <c r="O1637" i="8"/>
  <c r="S1637" i="8" s="1"/>
  <c r="X1640" i="8"/>
  <c r="AB1640" i="8" s="1"/>
  <c r="P1643" i="8"/>
  <c r="O1645" i="8"/>
  <c r="S1645" i="8" s="1"/>
  <c r="X1648" i="8"/>
  <c r="AB1648" i="8" s="1"/>
  <c r="P1651" i="8"/>
  <c r="AA1651" i="8" s="1"/>
  <c r="O1653" i="8"/>
  <c r="S1653" i="8" s="1"/>
  <c r="W1653" i="8"/>
  <c r="AA1653" i="8" s="1"/>
  <c r="X1626" i="8"/>
  <c r="AB1626" i="8" s="1"/>
  <c r="X1634" i="8"/>
  <c r="AB1634" i="8" s="1"/>
  <c r="X1642" i="8"/>
  <c r="AB1642" i="8" s="1"/>
  <c r="N1650" i="8"/>
  <c r="O1652" i="8"/>
  <c r="O1625" i="8"/>
  <c r="S1625" i="8" s="1"/>
  <c r="X1628" i="8"/>
  <c r="AB1628" i="8" s="1"/>
  <c r="P1631" i="8"/>
  <c r="AC1631" i="8" s="1"/>
  <c r="O1633" i="8"/>
  <c r="S1633" i="8" s="1"/>
  <c r="P1639" i="8"/>
  <c r="Z1639" i="8" s="1"/>
  <c r="X1639" i="8" s="1"/>
  <c r="AB1639" i="8" s="1"/>
  <c r="P1647" i="8"/>
  <c r="AC1647" i="8" s="1"/>
  <c r="O1630" i="8"/>
  <c r="O1638" i="8"/>
  <c r="X1641" i="8"/>
  <c r="AB1641" i="8" s="1"/>
  <c r="O1646" i="8"/>
  <c r="P1652" i="8"/>
  <c r="AA1652" i="8" s="1"/>
  <c r="AC1626" i="8"/>
  <c r="X1630" i="8"/>
  <c r="AB1630" i="8" s="1"/>
  <c r="P1633" i="8"/>
  <c r="AC1633" i="8" s="1"/>
  <c r="AC1634" i="8"/>
  <c r="X1638" i="8"/>
  <c r="AB1638" i="8" s="1"/>
  <c r="X1646" i="8"/>
  <c r="AB1646" i="8" s="1"/>
  <c r="Z1649" i="8"/>
  <c r="X1649" i="8" s="1"/>
  <c r="AB1649" i="8" s="1"/>
  <c r="E19" i="7"/>
  <c r="E37" i="7"/>
  <c r="E1" i="7"/>
  <c r="H1" i="6"/>
  <c r="L37" i="6"/>
  <c r="N19" i="6"/>
  <c r="M37" i="6"/>
  <c r="K37" i="6"/>
  <c r="I1" i="6"/>
  <c r="F1" i="6"/>
  <c r="E19" i="6"/>
  <c r="D37" i="6"/>
  <c r="G19" i="6"/>
  <c r="J1" i="6"/>
  <c r="I19" i="6"/>
  <c r="N37" i="6"/>
  <c r="H37" i="7"/>
  <c r="K37" i="7"/>
  <c r="K19" i="6"/>
  <c r="H19" i="6"/>
  <c r="C37" i="7"/>
  <c r="F37" i="7"/>
  <c r="G1" i="6"/>
  <c r="D1" i="6"/>
  <c r="M1" i="6"/>
  <c r="C19" i="6"/>
  <c r="L19" i="6"/>
  <c r="F37" i="6"/>
  <c r="C37" i="6"/>
  <c r="F1" i="7"/>
  <c r="J19" i="6"/>
  <c r="E37" i="6"/>
  <c r="G37" i="6"/>
  <c r="F19" i="7"/>
  <c r="K1" i="6"/>
  <c r="I37" i="6"/>
  <c r="G19" i="7"/>
  <c r="J37" i="7"/>
  <c r="C1" i="7"/>
  <c r="D19" i="6"/>
  <c r="M19" i="6"/>
  <c r="H37" i="6"/>
  <c r="C1" i="6"/>
  <c r="L1" i="6"/>
  <c r="F19" i="6"/>
  <c r="J37" i="6"/>
  <c r="G37" i="7"/>
  <c r="C19" i="7"/>
  <c r="E1" i="6"/>
  <c r="N1" i="6"/>
  <c r="H19" i="7"/>
  <c r="I37" i="7"/>
  <c r="D37" i="7"/>
  <c r="D19" i="7"/>
  <c r="I19" i="7"/>
  <c r="J19" i="7"/>
  <c r="K19" i="7"/>
  <c r="D1" i="7"/>
  <c r="G1" i="7"/>
  <c r="K1" i="7"/>
  <c r="J1" i="7"/>
  <c r="H1" i="7"/>
  <c r="I1" i="7"/>
  <c r="AF1443" i="8" l="1"/>
  <c r="AD1443" i="8"/>
  <c r="AF795" i="8"/>
  <c r="AF788" i="8"/>
  <c r="AD788" i="8"/>
  <c r="AF472" i="8"/>
  <c r="AD472" i="8"/>
  <c r="AF225" i="8"/>
  <c r="AD225" i="8"/>
  <c r="AF209" i="8"/>
  <c r="AD209" i="8"/>
  <c r="AF192" i="8"/>
  <c r="AD192" i="8"/>
  <c r="AF505" i="8"/>
  <c r="AF494" i="8"/>
  <c r="AD494" i="8"/>
  <c r="AF300" i="8"/>
  <c r="AD300" i="8"/>
  <c r="AF222" i="8"/>
  <c r="AF206" i="8"/>
  <c r="AF757" i="8"/>
  <c r="AD757" i="8"/>
  <c r="AF534" i="8"/>
  <c r="AF457" i="8"/>
  <c r="AF449" i="8"/>
  <c r="AF441" i="8"/>
  <c r="AD441" i="8"/>
  <c r="AF425" i="8"/>
  <c r="AD425" i="8"/>
  <c r="AF417" i="8"/>
  <c r="AD417" i="8"/>
  <c r="AF468" i="8"/>
  <c r="AD468" i="8"/>
  <c r="AF366" i="8"/>
  <c r="AD366" i="8"/>
  <c r="AF220" i="8"/>
  <c r="AD220" i="8"/>
  <c r="AF755" i="8"/>
  <c r="AF502" i="8"/>
  <c r="AD502" i="8"/>
  <c r="AF498" i="8"/>
  <c r="AF465" i="8"/>
  <c r="AD465" i="8"/>
  <c r="AF202" i="8"/>
  <c r="AD202" i="8"/>
  <c r="AF1338" i="8"/>
  <c r="AD1338" i="8"/>
  <c r="AF839" i="8"/>
  <c r="AD839" i="8"/>
  <c r="AF764" i="8"/>
  <c r="AF748" i="8"/>
  <c r="AD748" i="8"/>
  <c r="AF299" i="8"/>
  <c r="AD299" i="8"/>
  <c r="AF216" i="8"/>
  <c r="AD216" i="8"/>
  <c r="AF487" i="8"/>
  <c r="AD487" i="8"/>
  <c r="AF370" i="8"/>
  <c r="AD370" i="8"/>
  <c r="AF1628" i="8"/>
  <c r="AD1628" i="8"/>
  <c r="AF1447" i="8"/>
  <c r="AF765" i="8"/>
  <c r="AD765" i="8"/>
  <c r="AF749" i="8"/>
  <c r="AD749" i="8"/>
  <c r="AF460" i="8"/>
  <c r="AD460" i="8"/>
  <c r="AF291" i="8"/>
  <c r="AD291" i="8"/>
  <c r="AF228" i="8"/>
  <c r="AD228" i="8"/>
  <c r="AF212" i="8"/>
  <c r="AD212" i="8"/>
  <c r="AF196" i="8"/>
  <c r="AD196" i="8"/>
  <c r="AF1445" i="8"/>
  <c r="AD1445" i="8"/>
  <c r="AF758" i="8"/>
  <c r="AF763" i="8"/>
  <c r="AD763" i="8"/>
  <c r="AF747" i="8"/>
  <c r="AD747" i="8"/>
  <c r="AF371" i="8"/>
  <c r="AF485" i="8"/>
  <c r="AD485" i="8"/>
  <c r="AF227" i="8"/>
  <c r="AF211" i="8"/>
  <c r="AD211" i="8"/>
  <c r="AF195" i="8"/>
  <c r="AD195" i="8"/>
  <c r="AF226" i="8"/>
  <c r="AD226" i="8"/>
  <c r="AF210" i="8"/>
  <c r="AD210" i="8"/>
  <c r="AF194" i="8"/>
  <c r="AD194" i="8"/>
  <c r="Z1635" i="8"/>
  <c r="X1635" i="8" s="1"/>
  <c r="AB1635" i="8" s="1"/>
  <c r="AC1635" i="8"/>
  <c r="AA1635" i="8"/>
  <c r="AC1652" i="8"/>
  <c r="Z1623" i="8"/>
  <c r="X1623" i="8" s="1"/>
  <c r="AB1623" i="8" s="1"/>
  <c r="AC1623" i="8"/>
  <c r="AF1653" i="8"/>
  <c r="AD1653" i="8"/>
  <c r="AA1633" i="8"/>
  <c r="AF1637" i="8"/>
  <c r="AD1637" i="8"/>
  <c r="S1626" i="8"/>
  <c r="AF1617" i="8"/>
  <c r="AD1617" i="8"/>
  <c r="Z1647" i="8"/>
  <c r="X1647" i="8" s="1"/>
  <c r="AB1647" i="8" s="1"/>
  <c r="AF1638" i="8"/>
  <c r="AD1638" i="8"/>
  <c r="AA1628" i="8"/>
  <c r="AD1591" i="8"/>
  <c r="AF1591" i="8"/>
  <c r="AD1565" i="8"/>
  <c r="AF1565" i="8"/>
  <c r="AD1549" i="8"/>
  <c r="AF1549" i="8"/>
  <c r="AD1587" i="8"/>
  <c r="AF1587" i="8"/>
  <c r="AD1554" i="8"/>
  <c r="AF1554" i="8"/>
  <c r="AF1489" i="8"/>
  <c r="AD1489" i="8"/>
  <c r="AD1467" i="8"/>
  <c r="AF1467" i="8"/>
  <c r="AF1419" i="8"/>
  <c r="AD1419" i="8"/>
  <c r="Z1443" i="8"/>
  <c r="X1443" i="8" s="1"/>
  <c r="AB1443" i="8" s="1"/>
  <c r="AC1430" i="8"/>
  <c r="Z1418" i="8"/>
  <c r="X1418" i="8" s="1"/>
  <c r="AB1418" i="8" s="1"/>
  <c r="AC1418" i="8"/>
  <c r="AF1399" i="8"/>
  <c r="AD1399" i="8"/>
  <c r="AF1375" i="8"/>
  <c r="AD1375" i="8"/>
  <c r="AA1395" i="8"/>
  <c r="AF1400" i="8"/>
  <c r="AD1400" i="8"/>
  <c r="AF1386" i="8"/>
  <c r="AD1386" i="8"/>
  <c r="AF1369" i="8"/>
  <c r="AD1369" i="8"/>
  <c r="AC1354" i="8"/>
  <c r="AD1293" i="8"/>
  <c r="AF1293" i="8"/>
  <c r="AF1316" i="8"/>
  <c r="AD1316" i="8"/>
  <c r="AD1290" i="8"/>
  <c r="AF1290" i="8"/>
  <c r="AA1334" i="8"/>
  <c r="AF1277" i="8"/>
  <c r="AD1277" i="8"/>
  <c r="AD1307" i="8"/>
  <c r="AF1307" i="8"/>
  <c r="Z1329" i="8"/>
  <c r="X1329" i="8" s="1"/>
  <c r="AB1329" i="8" s="1"/>
  <c r="AD1255" i="8"/>
  <c r="AF1255" i="8"/>
  <c r="AF1280" i="8"/>
  <c r="AD1280" i="8"/>
  <c r="AF1238" i="8"/>
  <c r="AD1238" i="8"/>
  <c r="AF1272" i="8"/>
  <c r="AD1272" i="8"/>
  <c r="AF1251" i="8"/>
  <c r="AD1251" i="8"/>
  <c r="AF1213" i="8"/>
  <c r="AD1213" i="8"/>
  <c r="AD1218" i="8"/>
  <c r="AF1218" i="8"/>
  <c r="AF1216" i="8"/>
  <c r="AD1216" i="8"/>
  <c r="AF1244" i="8"/>
  <c r="AD1244" i="8"/>
  <c r="S1227" i="8"/>
  <c r="Z1211" i="8"/>
  <c r="X1211" i="8" s="1"/>
  <c r="AB1211" i="8" s="1"/>
  <c r="AD1200" i="8"/>
  <c r="AF1200" i="8"/>
  <c r="AC1149" i="8"/>
  <c r="Z1149" i="8"/>
  <c r="X1149" i="8" s="1"/>
  <c r="AB1149" i="8" s="1"/>
  <c r="AA1178" i="8"/>
  <c r="AA1146" i="8"/>
  <c r="AF1174" i="8"/>
  <c r="AD1174" i="8"/>
  <c r="AF1159" i="8"/>
  <c r="AD1159" i="8"/>
  <c r="Z1134" i="8"/>
  <c r="X1134" i="8" s="1"/>
  <c r="AB1134" i="8" s="1"/>
  <c r="AA1137" i="8"/>
  <c r="Z1126" i="8"/>
  <c r="X1126" i="8" s="1"/>
  <c r="AB1126" i="8" s="1"/>
  <c r="AA1166" i="8"/>
  <c r="AF1128" i="8"/>
  <c r="AD1128" i="8"/>
  <c r="AA1169" i="8"/>
  <c r="AC1137" i="8"/>
  <c r="AF1050" i="8"/>
  <c r="AD1050" i="8"/>
  <c r="AF1061" i="8"/>
  <c r="AD1061" i="8"/>
  <c r="AF1070" i="8"/>
  <c r="AD1070" i="8"/>
  <c r="AF1051" i="8"/>
  <c r="AD1051" i="8"/>
  <c r="X1035" i="8"/>
  <c r="AB1035" i="8" s="1"/>
  <c r="AD998" i="8"/>
  <c r="AF998" i="8"/>
  <c r="AD990" i="8"/>
  <c r="AF990" i="8"/>
  <c r="AD958" i="8"/>
  <c r="AF958" i="8"/>
  <c r="AD994" i="8"/>
  <c r="AF887" i="8"/>
  <c r="AD887" i="8"/>
  <c r="X907" i="8"/>
  <c r="AB907" i="8" s="1"/>
  <c r="AF807" i="8"/>
  <c r="AD807" i="8"/>
  <c r="AF778" i="8"/>
  <c r="AD778" i="8"/>
  <c r="AF770" i="8"/>
  <c r="AD770" i="8"/>
  <c r="AC762" i="8"/>
  <c r="AC754" i="8"/>
  <c r="AC746" i="8"/>
  <c r="AF805" i="8"/>
  <c r="AD805" i="8"/>
  <c r="AA756" i="8"/>
  <c r="AC842" i="8"/>
  <c r="AC812" i="8"/>
  <c r="AF792" i="8"/>
  <c r="AD792" i="8"/>
  <c r="AD716" i="8"/>
  <c r="AF716" i="8"/>
  <c r="AA855" i="8"/>
  <c r="AC833" i="8"/>
  <c r="AF825" i="8"/>
  <c r="AD825" i="8"/>
  <c r="AF742" i="8"/>
  <c r="AD742" i="8"/>
  <c r="AF718" i="8"/>
  <c r="AD718" i="8"/>
  <c r="AC836" i="8"/>
  <c r="Z836" i="8"/>
  <c r="X836" i="8" s="1"/>
  <c r="AB836" i="8" s="1"/>
  <c r="AA796" i="8"/>
  <c r="AD690" i="8"/>
  <c r="AF690" i="8"/>
  <c r="AD658" i="8"/>
  <c r="AF658" i="8"/>
  <c r="AF714" i="8"/>
  <c r="AD714" i="8"/>
  <c r="Z758" i="8"/>
  <c r="X758" i="8" s="1"/>
  <c r="AB758" i="8" s="1"/>
  <c r="AF719" i="8"/>
  <c r="AD719" i="8"/>
  <c r="AD699" i="8"/>
  <c r="AF699" i="8"/>
  <c r="AD675" i="8"/>
  <c r="AF675" i="8"/>
  <c r="AA748" i="8"/>
  <c r="AF723" i="8"/>
  <c r="AD723" i="8"/>
  <c r="AD680" i="8"/>
  <c r="AF680" i="8"/>
  <c r="AD648" i="8"/>
  <c r="AF648" i="8"/>
  <c r="Z795" i="8"/>
  <c r="X795" i="8" s="1"/>
  <c r="AB795" i="8" s="1"/>
  <c r="Z765" i="8"/>
  <c r="X765" i="8" s="1"/>
  <c r="AB765" i="8" s="1"/>
  <c r="AD685" i="8"/>
  <c r="AF685" i="8"/>
  <c r="Z749" i="8"/>
  <c r="X749" i="8" s="1"/>
  <c r="AB749" i="8" s="1"/>
  <c r="AA716" i="8"/>
  <c r="AF615" i="8"/>
  <c r="AD615" i="8"/>
  <c r="AD631" i="8"/>
  <c r="AF631" i="8"/>
  <c r="AF599" i="8"/>
  <c r="AD599" i="8"/>
  <c r="AF602" i="8"/>
  <c r="AD602" i="8"/>
  <c r="AD643" i="8"/>
  <c r="AF643" i="8"/>
  <c r="AC603" i="8"/>
  <c r="X530" i="8"/>
  <c r="AB530" i="8" s="1"/>
  <c r="Z501" i="8"/>
  <c r="X501" i="8" s="1"/>
  <c r="AB501" i="8" s="1"/>
  <c r="AC501" i="8"/>
  <c r="AA501" i="8"/>
  <c r="AF565" i="8"/>
  <c r="AD565" i="8"/>
  <c r="AF594" i="8"/>
  <c r="AD594" i="8"/>
  <c r="AF572" i="8"/>
  <c r="AD572" i="8"/>
  <c r="AF556" i="8"/>
  <c r="AD556" i="8"/>
  <c r="AF547" i="8"/>
  <c r="AD547" i="8"/>
  <c r="AF535" i="8"/>
  <c r="AD535" i="8"/>
  <c r="AF567" i="8"/>
  <c r="AD567" i="8"/>
  <c r="AF470" i="8"/>
  <c r="AD470" i="8"/>
  <c r="AF462" i="8"/>
  <c r="AD462" i="8"/>
  <c r="AF454" i="8"/>
  <c r="AD454" i="8"/>
  <c r="AF446" i="8"/>
  <c r="AD446" i="8"/>
  <c r="AF438" i="8"/>
  <c r="AD438" i="8"/>
  <c r="AF430" i="8"/>
  <c r="AD430" i="8"/>
  <c r="AF422" i="8"/>
  <c r="AD422" i="8"/>
  <c r="AF414" i="8"/>
  <c r="AD414" i="8"/>
  <c r="AF406" i="8"/>
  <c r="AD406" i="8"/>
  <c r="AF398" i="8"/>
  <c r="AD398" i="8"/>
  <c r="AF390" i="8"/>
  <c r="AD390" i="8"/>
  <c r="AF382" i="8"/>
  <c r="AD382" i="8"/>
  <c r="AF482" i="8"/>
  <c r="AD482" i="8"/>
  <c r="AF489" i="8"/>
  <c r="AD489" i="8"/>
  <c r="AC473" i="8"/>
  <c r="AA481" i="8"/>
  <c r="AA457" i="8"/>
  <c r="AA433" i="8"/>
  <c r="AA401" i="8"/>
  <c r="AC379" i="8"/>
  <c r="AA521" i="8"/>
  <c r="AC490" i="8"/>
  <c r="AC479" i="8"/>
  <c r="AA379" i="8"/>
  <c r="AA468" i="8"/>
  <c r="AA432" i="8"/>
  <c r="AA416" i="8"/>
  <c r="AA400" i="8"/>
  <c r="AC499" i="8"/>
  <c r="Z372" i="8"/>
  <c r="X372" i="8" s="1"/>
  <c r="AB372" i="8" s="1"/>
  <c r="AA463" i="8"/>
  <c r="S453" i="8"/>
  <c r="S429" i="8"/>
  <c r="AF380" i="8"/>
  <c r="AD380" i="8"/>
  <c r="AC372" i="8"/>
  <c r="Z453" i="8"/>
  <c r="X453" i="8" s="1"/>
  <c r="AB453" i="8" s="1"/>
  <c r="Z417" i="8"/>
  <c r="X417" i="8" s="1"/>
  <c r="AB417" i="8" s="1"/>
  <c r="AD344" i="8"/>
  <c r="Z472" i="8"/>
  <c r="X472" i="8" s="1"/>
  <c r="AB472" i="8" s="1"/>
  <c r="Z421" i="8"/>
  <c r="X421" i="8" s="1"/>
  <c r="AB421" i="8" s="1"/>
  <c r="AF327" i="8"/>
  <c r="AD327" i="8"/>
  <c r="Z437" i="8"/>
  <c r="X437" i="8" s="1"/>
  <c r="AB437" i="8" s="1"/>
  <c r="AF320" i="8"/>
  <c r="AD320" i="8"/>
  <c r="AF305" i="8"/>
  <c r="AD305" i="8"/>
  <c r="Z280" i="8"/>
  <c r="X280" i="8" s="1"/>
  <c r="AB280" i="8" s="1"/>
  <c r="AC365" i="8"/>
  <c r="Z365" i="8"/>
  <c r="X365" i="8" s="1"/>
  <c r="AB365" i="8" s="1"/>
  <c r="AD335" i="8"/>
  <c r="S266" i="8"/>
  <c r="AF263" i="8"/>
  <c r="AD263" i="8"/>
  <c r="AA303" i="8"/>
  <c r="AF270" i="8"/>
  <c r="AD270" i="8"/>
  <c r="AF229" i="8"/>
  <c r="AD229" i="8"/>
  <c r="AC221" i="8"/>
  <c r="AC213" i="8"/>
  <c r="AC205" i="8"/>
  <c r="AC197" i="8"/>
  <c r="Z311" i="8"/>
  <c r="X311" i="8" s="1"/>
  <c r="AB311" i="8" s="1"/>
  <c r="AA223" i="8"/>
  <c r="AA207" i="8"/>
  <c r="AF251" i="8"/>
  <c r="AD251" i="8"/>
  <c r="AF235" i="8"/>
  <c r="AD235" i="8"/>
  <c r="AC331" i="8"/>
  <c r="Z271" i="8"/>
  <c r="X271" i="8" s="1"/>
  <c r="AB271" i="8" s="1"/>
  <c r="AA323" i="8"/>
  <c r="AA291" i="8"/>
  <c r="AF267" i="8"/>
  <c r="AD267" i="8"/>
  <c r="AF253" i="8"/>
  <c r="AD253" i="8"/>
  <c r="AF237" i="8"/>
  <c r="AD237" i="8"/>
  <c r="AC204" i="8"/>
  <c r="Z299" i="8"/>
  <c r="X299" i="8" s="1"/>
  <c r="AB299" i="8" s="1"/>
  <c r="AA230" i="8"/>
  <c r="AA214" i="8"/>
  <c r="Z222" i="8"/>
  <c r="X222" i="8" s="1"/>
  <c r="AB222" i="8" s="1"/>
  <c r="Z206" i="8"/>
  <c r="X206" i="8" s="1"/>
  <c r="AB206" i="8" s="1"/>
  <c r="Z194" i="8"/>
  <c r="X194" i="8" s="1"/>
  <c r="AB194" i="8" s="1"/>
  <c r="AD119" i="8"/>
  <c r="AF119" i="8"/>
  <c r="AD79" i="8"/>
  <c r="AF79" i="8"/>
  <c r="AA195" i="8"/>
  <c r="AF54" i="8"/>
  <c r="AD54" i="8"/>
  <c r="AF46" i="8"/>
  <c r="AD46" i="8"/>
  <c r="AF38" i="8"/>
  <c r="AD38" i="8"/>
  <c r="AF30" i="8"/>
  <c r="AD30" i="8"/>
  <c r="AF22" i="8"/>
  <c r="AD22" i="8"/>
  <c r="AF14" i="8"/>
  <c r="AD14" i="8"/>
  <c r="AF6" i="8"/>
  <c r="AD6" i="8"/>
  <c r="AA196" i="8"/>
  <c r="AF1626" i="8"/>
  <c r="AD1626" i="8"/>
  <c r="Z1652" i="8"/>
  <c r="X1652" i="8" s="1"/>
  <c r="AB1652" i="8" s="1"/>
  <c r="AC1627" i="8"/>
  <c r="Z1633" i="8"/>
  <c r="X1633" i="8" s="1"/>
  <c r="AB1633" i="8" s="1"/>
  <c r="AC1651" i="8"/>
  <c r="AA1622" i="8"/>
  <c r="Z1615" i="8"/>
  <c r="X1615" i="8" s="1"/>
  <c r="AB1615" i="8" s="1"/>
  <c r="S1638" i="8"/>
  <c r="Z1622" i="8"/>
  <c r="X1622" i="8" s="1"/>
  <c r="AB1622" i="8" s="1"/>
  <c r="AA1623" i="8"/>
  <c r="AD1544" i="8"/>
  <c r="AF1544" i="8"/>
  <c r="AD1541" i="8"/>
  <c r="AF1541" i="8"/>
  <c r="AD1525" i="8"/>
  <c r="AF1525" i="8"/>
  <c r="AF1504" i="8"/>
  <c r="AD1504" i="8"/>
  <c r="AD1481" i="8"/>
  <c r="AF1481" i="8"/>
  <c r="AD1475" i="8"/>
  <c r="AF1475" i="8"/>
  <c r="AF1420" i="8"/>
  <c r="AD1420" i="8"/>
  <c r="AC1451" i="8"/>
  <c r="AC1426" i="8"/>
  <c r="Z1426" i="8"/>
  <c r="X1426" i="8" s="1"/>
  <c r="AB1426" i="8" s="1"/>
  <c r="AD1409" i="8"/>
  <c r="AF1409" i="8"/>
  <c r="Z1445" i="8"/>
  <c r="X1445" i="8" s="1"/>
  <c r="AB1445" i="8" s="1"/>
  <c r="AD1450" i="8"/>
  <c r="AC1449" i="8"/>
  <c r="AA1397" i="8"/>
  <c r="AC1394" i="8"/>
  <c r="AA1346" i="8"/>
  <c r="Z1379" i="8"/>
  <c r="X1379" i="8" s="1"/>
  <c r="AB1379" i="8" s="1"/>
  <c r="Z1350" i="8"/>
  <c r="X1350" i="8" s="1"/>
  <c r="AB1350" i="8" s="1"/>
  <c r="AF1334" i="8"/>
  <c r="AD1334" i="8"/>
  <c r="AF1319" i="8"/>
  <c r="AD1319" i="8"/>
  <c r="AD1289" i="8"/>
  <c r="AF1289" i="8"/>
  <c r="AD1314" i="8"/>
  <c r="AF1314" i="8"/>
  <c r="AF1284" i="8"/>
  <c r="AD1284" i="8"/>
  <c r="AC1353" i="8"/>
  <c r="AD1303" i="8"/>
  <c r="AF1303" i="8"/>
  <c r="AD1270" i="8"/>
  <c r="AF1270" i="8"/>
  <c r="Z1338" i="8"/>
  <c r="X1338" i="8" s="1"/>
  <c r="AB1338" i="8" s="1"/>
  <c r="AD1312" i="8"/>
  <c r="AF1312" i="8"/>
  <c r="AF1273" i="8"/>
  <c r="AD1273" i="8"/>
  <c r="AF1217" i="8"/>
  <c r="AD1217" i="8"/>
  <c r="AF1227" i="8"/>
  <c r="AD1227" i="8"/>
  <c r="AD1258" i="8"/>
  <c r="AF1258" i="8"/>
  <c r="AD1242" i="8"/>
  <c r="AF1242" i="8"/>
  <c r="AD1215" i="8"/>
  <c r="AF1215" i="8"/>
  <c r="AF1247" i="8"/>
  <c r="AD1247" i="8"/>
  <c r="AF1225" i="8"/>
  <c r="AD1225" i="8"/>
  <c r="AF1210" i="8"/>
  <c r="AD1210" i="8"/>
  <c r="AF1179" i="8"/>
  <c r="AD1179" i="8"/>
  <c r="AF1163" i="8"/>
  <c r="AD1163" i="8"/>
  <c r="AF1147" i="8"/>
  <c r="AD1147" i="8"/>
  <c r="AF1131" i="8"/>
  <c r="AD1131" i="8"/>
  <c r="AC1189" i="8"/>
  <c r="Z1189" i="8"/>
  <c r="X1189" i="8" s="1"/>
  <c r="AB1189" i="8" s="1"/>
  <c r="AF1183" i="8"/>
  <c r="AD1183" i="8"/>
  <c r="AF1134" i="8"/>
  <c r="AD1134" i="8"/>
  <c r="Z1170" i="8"/>
  <c r="X1170" i="8" s="1"/>
  <c r="AB1170" i="8" s="1"/>
  <c r="Z1154" i="8"/>
  <c r="X1154" i="8" s="1"/>
  <c r="AB1154" i="8" s="1"/>
  <c r="AA1122" i="8"/>
  <c r="AF1124" i="8"/>
  <c r="AD1124" i="8"/>
  <c r="AC1125" i="8"/>
  <c r="Z1125" i="8"/>
  <c r="X1125" i="8" s="1"/>
  <c r="AB1125" i="8" s="1"/>
  <c r="Z1162" i="8"/>
  <c r="X1162" i="8" s="1"/>
  <c r="AB1162" i="8" s="1"/>
  <c r="AA1125" i="8"/>
  <c r="AA1134" i="8"/>
  <c r="AF1056" i="8"/>
  <c r="AD1056" i="8"/>
  <c r="AD1017" i="8"/>
  <c r="AF1017" i="8"/>
  <c r="AD1013" i="8"/>
  <c r="AF1013" i="8"/>
  <c r="AD976" i="8"/>
  <c r="AF976" i="8"/>
  <c r="AF883" i="8"/>
  <c r="AD883" i="8"/>
  <c r="AD925" i="8"/>
  <c r="AF925" i="8"/>
  <c r="AF851" i="8"/>
  <c r="AD917" i="8"/>
  <c r="AF917" i="8"/>
  <c r="AD993" i="8"/>
  <c r="AF790" i="8"/>
  <c r="AD790" i="8"/>
  <c r="AA754" i="8"/>
  <c r="AA842" i="8"/>
  <c r="AF797" i="8"/>
  <c r="AD797" i="8"/>
  <c r="AC832" i="8"/>
  <c r="AF781" i="8"/>
  <c r="AD781" i="8"/>
  <c r="AF769" i="8"/>
  <c r="AD769" i="8"/>
  <c r="AC761" i="8"/>
  <c r="AF753" i="8"/>
  <c r="AD753" i="8"/>
  <c r="AC745" i="8"/>
  <c r="AC858" i="8"/>
  <c r="AA832" i="8"/>
  <c r="AA761" i="8"/>
  <c r="AF808" i="8"/>
  <c r="AD808" i="8"/>
  <c r="Z799" i="8"/>
  <c r="X799" i="8" s="1"/>
  <c r="AB799" i="8" s="1"/>
  <c r="AD686" i="8"/>
  <c r="AF686" i="8"/>
  <c r="AD654" i="8"/>
  <c r="AF654" i="8"/>
  <c r="AF739" i="8"/>
  <c r="AD739" i="8"/>
  <c r="AD705" i="8"/>
  <c r="AF705" i="8"/>
  <c r="AD671" i="8"/>
  <c r="AF671" i="8"/>
  <c r="Z748" i="8"/>
  <c r="X748" i="8" s="1"/>
  <c r="AB748" i="8" s="1"/>
  <c r="AD712" i="8"/>
  <c r="AF712" i="8"/>
  <c r="AD676" i="8"/>
  <c r="AF676" i="8"/>
  <c r="AF727" i="8"/>
  <c r="AD727" i="8"/>
  <c r="AD681" i="8"/>
  <c r="AF681" i="8"/>
  <c r="AA744" i="8"/>
  <c r="AD642" i="8"/>
  <c r="AF642" i="8"/>
  <c r="AD632" i="8"/>
  <c r="AF632" i="8"/>
  <c r="AD645" i="8"/>
  <c r="AF645" i="8"/>
  <c r="AF597" i="8"/>
  <c r="AD597" i="8"/>
  <c r="AF529" i="8"/>
  <c r="AD529" i="8"/>
  <c r="AF500" i="8"/>
  <c r="AD500" i="8"/>
  <c r="AF589" i="8"/>
  <c r="AD589" i="8"/>
  <c r="AA502" i="8"/>
  <c r="AF483" i="8"/>
  <c r="AD483" i="8"/>
  <c r="AA490" i="8"/>
  <c r="AF486" i="8"/>
  <c r="AD486" i="8"/>
  <c r="AC467" i="8"/>
  <c r="AC451" i="8"/>
  <c r="AC435" i="8"/>
  <c r="AC419" i="8"/>
  <c r="AC403" i="8"/>
  <c r="AC387" i="8"/>
  <c r="AD577" i="8"/>
  <c r="AA451" i="8"/>
  <c r="AA427" i="8"/>
  <c r="AA411" i="8"/>
  <c r="AA395" i="8"/>
  <c r="AD353" i="8"/>
  <c r="AF353" i="8"/>
  <c r="Z465" i="8"/>
  <c r="X465" i="8" s="1"/>
  <c r="AB465" i="8" s="1"/>
  <c r="AF303" i="8"/>
  <c r="AD303" i="8"/>
  <c r="AA477" i="8"/>
  <c r="AF329" i="8"/>
  <c r="AD329" i="8"/>
  <c r="AF280" i="8"/>
  <c r="AD280" i="8"/>
  <c r="Z460" i="8"/>
  <c r="X460" i="8" s="1"/>
  <c r="AB460" i="8" s="1"/>
  <c r="AF264" i="8"/>
  <c r="AD264" i="8"/>
  <c r="AF292" i="8"/>
  <c r="AD292" i="8"/>
  <c r="Z303" i="8"/>
  <c r="X303" i="8" s="1"/>
  <c r="AB303" i="8" s="1"/>
  <c r="AF246" i="8"/>
  <c r="AD246" i="8"/>
  <c r="AF191" i="8"/>
  <c r="AD191" i="8"/>
  <c r="AC323" i="8"/>
  <c r="AF256" i="8"/>
  <c r="AD256" i="8"/>
  <c r="AD143" i="8"/>
  <c r="AF143" i="8"/>
  <c r="Z227" i="8"/>
  <c r="X227" i="8" s="1"/>
  <c r="AB227" i="8" s="1"/>
  <c r="Z211" i="8"/>
  <c r="X211" i="8" s="1"/>
  <c r="AB211" i="8" s="1"/>
  <c r="Z195" i="8"/>
  <c r="X195" i="8" s="1"/>
  <c r="AB195" i="8" s="1"/>
  <c r="AD145" i="8"/>
  <c r="AF145" i="8"/>
  <c r="AD113" i="8"/>
  <c r="AF113" i="8"/>
  <c r="AF53" i="8"/>
  <c r="AD53" i="8"/>
  <c r="AF45" i="8"/>
  <c r="AD45" i="8"/>
  <c r="AF37" i="8"/>
  <c r="AD37" i="8"/>
  <c r="AF29" i="8"/>
  <c r="AD29" i="8"/>
  <c r="AF21" i="8"/>
  <c r="AD21" i="8"/>
  <c r="AF13" i="8"/>
  <c r="AD13" i="8"/>
  <c r="AF5" i="8"/>
  <c r="AD5" i="8"/>
  <c r="AD64" i="8"/>
  <c r="AF64" i="8"/>
  <c r="AF1647" i="8"/>
  <c r="AD1647" i="8"/>
  <c r="AA1631" i="8"/>
  <c r="AC1636" i="8"/>
  <c r="AF1615" i="8"/>
  <c r="AD1615" i="8"/>
  <c r="AA1619" i="8"/>
  <c r="AC1639" i="8"/>
  <c r="AD1573" i="8"/>
  <c r="AF1573" i="8"/>
  <c r="AD1572" i="8"/>
  <c r="AF1572" i="8"/>
  <c r="AD1546" i="8"/>
  <c r="AF1546" i="8"/>
  <c r="AF1503" i="8"/>
  <c r="AD1503" i="8"/>
  <c r="AD1473" i="8"/>
  <c r="AF1473" i="8"/>
  <c r="AD1463" i="8"/>
  <c r="AF1463" i="8"/>
  <c r="AC1453" i="8"/>
  <c r="Z1447" i="8"/>
  <c r="X1447" i="8" s="1"/>
  <c r="AB1447" i="8" s="1"/>
  <c r="AC1422" i="8"/>
  <c r="AF1398" i="8"/>
  <c r="AD1398" i="8"/>
  <c r="AF1381" i="8"/>
  <c r="AD1381" i="8"/>
  <c r="AD1376" i="8"/>
  <c r="AF1376" i="8"/>
  <c r="AC1396" i="8"/>
  <c r="AF1384" i="8"/>
  <c r="AD1384" i="8"/>
  <c r="AA1396" i="8"/>
  <c r="AA1394" i="8"/>
  <c r="AD1374" i="8"/>
  <c r="AF1374" i="8"/>
  <c r="AF1368" i="8"/>
  <c r="AD1368" i="8"/>
  <c r="AA1402" i="8"/>
  <c r="AF1350" i="8"/>
  <c r="AF1282" i="8"/>
  <c r="AD1282" i="8"/>
  <c r="AA1342" i="8"/>
  <c r="AA1350" i="8"/>
  <c r="AF1318" i="8"/>
  <c r="AD1318" i="8"/>
  <c r="Z1345" i="8"/>
  <c r="X1345" i="8" s="1"/>
  <c r="AB1345" i="8" s="1"/>
  <c r="AA1329" i="8"/>
  <c r="AD1299" i="8"/>
  <c r="AF1299" i="8"/>
  <c r="AF1262" i="8"/>
  <c r="AD1262" i="8"/>
  <c r="AF1336" i="8"/>
  <c r="AD1336" i="8"/>
  <c r="AD1279" i="8"/>
  <c r="AF1279" i="8"/>
  <c r="AC1346" i="8"/>
  <c r="AD1308" i="8"/>
  <c r="AF1308" i="8"/>
  <c r="AF1230" i="8"/>
  <c r="AD1230" i="8"/>
  <c r="AF1211" i="8"/>
  <c r="AD1211" i="8"/>
  <c r="AF1240" i="8"/>
  <c r="AD1240" i="8"/>
  <c r="AD1253" i="8"/>
  <c r="AF1253" i="8"/>
  <c r="AD1221" i="8"/>
  <c r="AF1221" i="8"/>
  <c r="AD1209" i="8"/>
  <c r="AF1209" i="8"/>
  <c r="AF1249" i="8"/>
  <c r="AD1249" i="8"/>
  <c r="S1224" i="8"/>
  <c r="AD1206" i="8"/>
  <c r="AF1206" i="8"/>
  <c r="AD1198" i="8"/>
  <c r="AF1198" i="8"/>
  <c r="AF1186" i="8"/>
  <c r="AD1186" i="8"/>
  <c r="AF1162" i="8"/>
  <c r="AD1162" i="8"/>
  <c r="AF1130" i="8"/>
  <c r="AD1130" i="8"/>
  <c r="AC1165" i="8"/>
  <c r="Z1165" i="8"/>
  <c r="X1165" i="8" s="1"/>
  <c r="AB1165" i="8" s="1"/>
  <c r="AA1170" i="8"/>
  <c r="AA1138" i="8"/>
  <c r="AD1208" i="8"/>
  <c r="AF1208" i="8"/>
  <c r="Z1182" i="8"/>
  <c r="X1182" i="8" s="1"/>
  <c r="AB1182" i="8" s="1"/>
  <c r="AF1158" i="8"/>
  <c r="AD1158" i="8"/>
  <c r="AF1143" i="8"/>
  <c r="AD1143" i="8"/>
  <c r="AC1161" i="8"/>
  <c r="AC1145" i="8"/>
  <c r="Z1122" i="8"/>
  <c r="X1122" i="8" s="1"/>
  <c r="AB1122" i="8" s="1"/>
  <c r="AC1193" i="8"/>
  <c r="AC1153" i="8"/>
  <c r="AD1120" i="8"/>
  <c r="AF1120" i="8"/>
  <c r="AF1132" i="8"/>
  <c r="AD1132" i="8"/>
  <c r="AF1057" i="8"/>
  <c r="AD1057" i="8"/>
  <c r="AF1063" i="8"/>
  <c r="AD1063" i="8"/>
  <c r="AF1059" i="8"/>
  <c r="AD1059" i="8"/>
  <c r="AD968" i="8"/>
  <c r="AF968" i="8"/>
  <c r="AD971" i="8"/>
  <c r="AF971" i="8"/>
  <c r="AD955" i="8"/>
  <c r="AF955" i="8"/>
  <c r="AD1008" i="8"/>
  <c r="AF1008" i="8"/>
  <c r="AD974" i="8"/>
  <c r="AF974" i="8"/>
  <c r="AD950" i="8"/>
  <c r="AF950" i="8"/>
  <c r="AF857" i="8"/>
  <c r="AD857" i="8"/>
  <c r="AD941" i="8"/>
  <c r="AF941" i="8"/>
  <c r="AC799" i="8"/>
  <c r="AC847" i="8"/>
  <c r="AF822" i="8"/>
  <c r="AD822" i="8"/>
  <c r="AF806" i="8"/>
  <c r="AD806" i="8"/>
  <c r="AF776" i="8"/>
  <c r="AD776" i="8"/>
  <c r="AF768" i="8"/>
  <c r="AD768" i="8"/>
  <c r="AC760" i="8"/>
  <c r="AC752" i="8"/>
  <c r="AF744" i="8"/>
  <c r="AD744" i="8"/>
  <c r="AF821" i="8"/>
  <c r="AD821" i="8"/>
  <c r="AA752" i="8"/>
  <c r="AA787" i="8"/>
  <c r="AF819" i="8"/>
  <c r="AD819" i="8"/>
  <c r="AD740" i="8"/>
  <c r="AF740" i="8"/>
  <c r="AC831" i="8"/>
  <c r="AC802" i="8"/>
  <c r="AF775" i="8"/>
  <c r="AD775" i="8"/>
  <c r="AA831" i="8"/>
  <c r="AF809" i="8"/>
  <c r="AD809" i="8"/>
  <c r="Z835" i="8"/>
  <c r="X835" i="8" s="1"/>
  <c r="AB835" i="8" s="1"/>
  <c r="AC796" i="8"/>
  <c r="AD682" i="8"/>
  <c r="AF682" i="8"/>
  <c r="AD650" i="8"/>
  <c r="AF650" i="8"/>
  <c r="AA823" i="8"/>
  <c r="AF731" i="8"/>
  <c r="AD731" i="8"/>
  <c r="AD695" i="8"/>
  <c r="AF695" i="8"/>
  <c r="AD667" i="8"/>
  <c r="AF667" i="8"/>
  <c r="AD703" i="8"/>
  <c r="AF703" i="8"/>
  <c r="AD672" i="8"/>
  <c r="AF672" i="8"/>
  <c r="AA804" i="8"/>
  <c r="AA724" i="8"/>
  <c r="AD677" i="8"/>
  <c r="AF677" i="8"/>
  <c r="AF620" i="8"/>
  <c r="AD620" i="8"/>
  <c r="AD649" i="8"/>
  <c r="AF649" i="8"/>
  <c r="AD610" i="8"/>
  <c r="AF610" i="8"/>
  <c r="AF616" i="8"/>
  <c r="AD616" i="8"/>
  <c r="AF624" i="8"/>
  <c r="AD624" i="8"/>
  <c r="AF611" i="8"/>
  <c r="AD611" i="8"/>
  <c r="AD635" i="8"/>
  <c r="AF635" i="8"/>
  <c r="AF518" i="8"/>
  <c r="AD518" i="8"/>
  <c r="AF561" i="8"/>
  <c r="AD561" i="8"/>
  <c r="AF532" i="8"/>
  <c r="AD532" i="8"/>
  <c r="AF516" i="8"/>
  <c r="AD516" i="8"/>
  <c r="AF568" i="8"/>
  <c r="AD568" i="8"/>
  <c r="AF553" i="8"/>
  <c r="AD553" i="8"/>
  <c r="AF545" i="8"/>
  <c r="AD545" i="8"/>
  <c r="AF592" i="8"/>
  <c r="AD592" i="8"/>
  <c r="Z526" i="8"/>
  <c r="X526" i="8" s="1"/>
  <c r="AB526" i="8" s="1"/>
  <c r="Z539" i="8"/>
  <c r="X539" i="8" s="1"/>
  <c r="AB539" i="8" s="1"/>
  <c r="AF359" i="8"/>
  <c r="AD359" i="8"/>
  <c r="Z542" i="8"/>
  <c r="X542" i="8" s="1"/>
  <c r="AB542" i="8" s="1"/>
  <c r="AC480" i="8"/>
  <c r="AA465" i="8"/>
  <c r="AA425" i="8"/>
  <c r="AA393" i="8"/>
  <c r="AC377" i="8"/>
  <c r="Z498" i="8"/>
  <c r="X498" i="8" s="1"/>
  <c r="AB498" i="8" s="1"/>
  <c r="AA377" i="8"/>
  <c r="AA508" i="8"/>
  <c r="AA464" i="8"/>
  <c r="AA444" i="8"/>
  <c r="AA428" i="8"/>
  <c r="AA412" i="8"/>
  <c r="AA396" i="8"/>
  <c r="Z515" i="8"/>
  <c r="X515" i="8" s="1"/>
  <c r="AB515" i="8" s="1"/>
  <c r="AF484" i="8"/>
  <c r="AD484" i="8"/>
  <c r="S461" i="8"/>
  <c r="AA439" i="8"/>
  <c r="S425" i="8"/>
  <c r="AF378" i="8"/>
  <c r="AD378" i="8"/>
  <c r="AD358" i="8"/>
  <c r="AF358" i="8"/>
  <c r="AF279" i="8"/>
  <c r="Z473" i="8"/>
  <c r="X473" i="8" s="1"/>
  <c r="AB473" i="8" s="1"/>
  <c r="AA370" i="8"/>
  <c r="AA485" i="8"/>
  <c r="AF304" i="8"/>
  <c r="AD304" i="8"/>
  <c r="AF289" i="8"/>
  <c r="AD289" i="8"/>
  <c r="AF247" i="8"/>
  <c r="AD247" i="8"/>
  <c r="AC284" i="8"/>
  <c r="AA327" i="8"/>
  <c r="AA295" i="8"/>
  <c r="AF249" i="8"/>
  <c r="AD249" i="8"/>
  <c r="AF233" i="8"/>
  <c r="AD233" i="8"/>
  <c r="AC219" i="8"/>
  <c r="AC203" i="8"/>
  <c r="Z295" i="8"/>
  <c r="X295" i="8" s="1"/>
  <c r="AB295" i="8" s="1"/>
  <c r="AF262" i="8"/>
  <c r="AD262" i="8"/>
  <c r="AA219" i="8"/>
  <c r="AC315" i="8"/>
  <c r="AA283" i="8"/>
  <c r="AC218" i="8"/>
  <c r="AF258" i="8"/>
  <c r="AD258" i="8"/>
  <c r="AF242" i="8"/>
  <c r="AD242" i="8"/>
  <c r="AA226" i="8"/>
  <c r="AA210" i="8"/>
  <c r="AD167" i="8"/>
  <c r="AF167" i="8"/>
  <c r="AD103" i="8"/>
  <c r="AF103" i="8"/>
  <c r="Z225" i="8"/>
  <c r="X225" i="8" s="1"/>
  <c r="AB225" i="8" s="1"/>
  <c r="Z209" i="8"/>
  <c r="X209" i="8" s="1"/>
  <c r="AB209" i="8" s="1"/>
  <c r="AD175" i="8"/>
  <c r="AF175" i="8"/>
  <c r="AD77" i="8"/>
  <c r="AF77" i="8"/>
  <c r="AF52" i="8"/>
  <c r="AD52" i="8"/>
  <c r="AF44" i="8"/>
  <c r="AD44" i="8"/>
  <c r="AF36" i="8"/>
  <c r="AD36" i="8"/>
  <c r="AF28" i="8"/>
  <c r="AD28" i="8"/>
  <c r="AF20" i="8"/>
  <c r="AD20" i="8"/>
  <c r="AF12" i="8"/>
  <c r="AD12" i="8"/>
  <c r="AF4" i="8"/>
  <c r="AD4" i="8"/>
  <c r="AA192" i="8"/>
  <c r="AD80" i="8"/>
  <c r="AF80" i="8"/>
  <c r="AA1639" i="8"/>
  <c r="Z1631" i="8"/>
  <c r="X1631" i="8" s="1"/>
  <c r="AB1631" i="8" s="1"/>
  <c r="AC1624" i="8"/>
  <c r="Z1624" i="8"/>
  <c r="X1624" i="8" s="1"/>
  <c r="AB1624" i="8" s="1"/>
  <c r="S1652" i="8"/>
  <c r="AF1609" i="8"/>
  <c r="AD1609" i="8"/>
  <c r="AA1611" i="8"/>
  <c r="AD1534" i="8"/>
  <c r="AF1534" i="8"/>
  <c r="AD1517" i="8"/>
  <c r="AF1517" i="8"/>
  <c r="AD1575" i="8"/>
  <c r="AF1575" i="8"/>
  <c r="AD1465" i="8"/>
  <c r="AF1465" i="8"/>
  <c r="AD1462" i="8"/>
  <c r="AF1462" i="8"/>
  <c r="AA1447" i="8"/>
  <c r="AD1457" i="8"/>
  <c r="AF1457" i="8"/>
  <c r="AD1459" i="8"/>
  <c r="AF1459" i="8"/>
  <c r="AC1442" i="8"/>
  <c r="Z1442" i="8"/>
  <c r="X1442" i="8" s="1"/>
  <c r="AB1442" i="8" s="1"/>
  <c r="Z1452" i="8"/>
  <c r="X1452" i="8" s="1"/>
  <c r="AB1452" i="8" s="1"/>
  <c r="AD1407" i="8"/>
  <c r="AF1407" i="8"/>
  <c r="AA1442" i="8"/>
  <c r="AC1395" i="8"/>
  <c r="AC1387" i="8"/>
  <c r="AF1393" i="8"/>
  <c r="AD1393" i="8"/>
  <c r="AA1401" i="8"/>
  <c r="AF1345" i="8"/>
  <c r="AD1345" i="8"/>
  <c r="AD1313" i="8"/>
  <c r="AF1313" i="8"/>
  <c r="AF1274" i="8"/>
  <c r="AD1274" i="8"/>
  <c r="AF1283" i="8"/>
  <c r="AD1283" i="8"/>
  <c r="AD1310" i="8"/>
  <c r="AF1310" i="8"/>
  <c r="AF1276" i="8"/>
  <c r="AD1276" i="8"/>
  <c r="AA1345" i="8"/>
  <c r="AF1269" i="8"/>
  <c r="AD1269" i="8"/>
  <c r="AF1323" i="8"/>
  <c r="AD1323" i="8"/>
  <c r="AD1295" i="8"/>
  <c r="AF1295" i="8"/>
  <c r="AF1335" i="8"/>
  <c r="AD1335" i="8"/>
  <c r="AF1320" i="8"/>
  <c r="AD1320" i="8"/>
  <c r="AF1337" i="8"/>
  <c r="AD1337" i="8"/>
  <c r="AD1304" i="8"/>
  <c r="AF1304" i="8"/>
  <c r="AF1322" i="8"/>
  <c r="AD1322" i="8"/>
  <c r="AF1265" i="8"/>
  <c r="AD1265" i="8"/>
  <c r="AF1243" i="8"/>
  <c r="AD1243" i="8"/>
  <c r="AF1224" i="8"/>
  <c r="AD1224" i="8"/>
  <c r="AF1223" i="8"/>
  <c r="AD1223" i="8"/>
  <c r="AF1236" i="8"/>
  <c r="AD1236" i="8"/>
  <c r="AF1146" i="8"/>
  <c r="AD1146" i="8"/>
  <c r="AC1141" i="8"/>
  <c r="Z1141" i="8"/>
  <c r="X1141" i="8" s="1"/>
  <c r="AB1141" i="8" s="1"/>
  <c r="AF1182" i="8"/>
  <c r="AD1182" i="8"/>
  <c r="AF1167" i="8"/>
  <c r="AD1167" i="8"/>
  <c r="Z1142" i="8"/>
  <c r="X1142" i="8" s="1"/>
  <c r="AB1142" i="8" s="1"/>
  <c r="AA1158" i="8"/>
  <c r="AA1161" i="8"/>
  <c r="AA1142" i="8"/>
  <c r="AA1190" i="8"/>
  <c r="AA1150" i="8"/>
  <c r="AA1177" i="8"/>
  <c r="AF1047" i="8"/>
  <c r="AD1047" i="8"/>
  <c r="AF1055" i="8"/>
  <c r="AD1055" i="8"/>
  <c r="AD1089" i="8"/>
  <c r="AF1054" i="8"/>
  <c r="AD1054" i="8"/>
  <c r="AF1052" i="8"/>
  <c r="AD1052" i="8"/>
  <c r="X1029" i="8"/>
  <c r="AB1029" i="8" s="1"/>
  <c r="AD1037" i="8"/>
  <c r="AD1020" i="8"/>
  <c r="AF1020" i="8"/>
  <c r="AD1016" i="8"/>
  <c r="AF1016" i="8"/>
  <c r="AD1012" i="8"/>
  <c r="AF1012" i="8"/>
  <c r="AD982" i="8"/>
  <c r="AF982" i="8"/>
  <c r="AD1004" i="8"/>
  <c r="AF1004" i="8"/>
  <c r="AA851" i="8"/>
  <c r="AF736" i="8"/>
  <c r="AD736" i="8"/>
  <c r="AA766" i="8"/>
  <c r="AA750" i="8"/>
  <c r="AF784" i="8"/>
  <c r="AD784" i="8"/>
  <c r="AF789" i="8"/>
  <c r="AD789" i="8"/>
  <c r="AC830" i="8"/>
  <c r="AC818" i="8"/>
  <c r="AC767" i="8"/>
  <c r="AC759" i="8"/>
  <c r="AC751" i="8"/>
  <c r="AD741" i="8"/>
  <c r="AF741" i="8"/>
  <c r="AA830" i="8"/>
  <c r="AF791" i="8"/>
  <c r="AD791" i="8"/>
  <c r="AA767" i="8"/>
  <c r="AA759" i="8"/>
  <c r="AA751" i="8"/>
  <c r="AF734" i="8"/>
  <c r="AD734" i="8"/>
  <c r="AA843" i="8"/>
  <c r="AA833" i="8"/>
  <c r="AF816" i="8"/>
  <c r="AD816" i="8"/>
  <c r="Z807" i="8"/>
  <c r="X807" i="8" s="1"/>
  <c r="AB807" i="8" s="1"/>
  <c r="AD678" i="8"/>
  <c r="AF678" i="8"/>
  <c r="AA806" i="8"/>
  <c r="AA793" i="8"/>
  <c r="AD663" i="8"/>
  <c r="AF663" i="8"/>
  <c r="AD625" i="8"/>
  <c r="AF625" i="8"/>
  <c r="AF743" i="8"/>
  <c r="AD743" i="8"/>
  <c r="AD700" i="8"/>
  <c r="AF700" i="8"/>
  <c r="AD668" i="8"/>
  <c r="AF668" i="8"/>
  <c r="AA788" i="8"/>
  <c r="AD704" i="8"/>
  <c r="AF704" i="8"/>
  <c r="AD673" i="8"/>
  <c r="AF673" i="8"/>
  <c r="AF617" i="8"/>
  <c r="AD617" i="8"/>
  <c r="AD641" i="8"/>
  <c r="AF641" i="8"/>
  <c r="AF612" i="8"/>
  <c r="AD612" i="8"/>
  <c r="AD621" i="8"/>
  <c r="AF621" i="8"/>
  <c r="AD605" i="8"/>
  <c r="AF605" i="8"/>
  <c r="AD638" i="8"/>
  <c r="AF638" i="8"/>
  <c r="AF574" i="8"/>
  <c r="AD574" i="8"/>
  <c r="AF521" i="8"/>
  <c r="AD521" i="8"/>
  <c r="AF531" i="8"/>
  <c r="AF515" i="8"/>
  <c r="AD515" i="8"/>
  <c r="X588" i="8"/>
  <c r="AB588" i="8" s="1"/>
  <c r="AF595" i="8"/>
  <c r="AD595" i="8"/>
  <c r="AF488" i="8"/>
  <c r="AD488" i="8"/>
  <c r="Z523" i="8"/>
  <c r="X523" i="8" s="1"/>
  <c r="AB523" i="8" s="1"/>
  <c r="AF522" i="8"/>
  <c r="AD522" i="8"/>
  <c r="AC481" i="8"/>
  <c r="AC469" i="8"/>
  <c r="AC461" i="8"/>
  <c r="AC453" i="8"/>
  <c r="AC445" i="8"/>
  <c r="AC437" i="8"/>
  <c r="AC429" i="8"/>
  <c r="AC421" i="8"/>
  <c r="AC413" i="8"/>
  <c r="AC405" i="8"/>
  <c r="AC397" i="8"/>
  <c r="AC389" i="8"/>
  <c r="AA539" i="8"/>
  <c r="Z507" i="8"/>
  <c r="X507" i="8" s="1"/>
  <c r="AB507" i="8" s="1"/>
  <c r="AA389" i="8"/>
  <c r="AC464" i="8"/>
  <c r="AC456" i="8"/>
  <c r="AC448" i="8"/>
  <c r="AC440" i="8"/>
  <c r="AC432" i="8"/>
  <c r="AC424" i="8"/>
  <c r="AC416" i="8"/>
  <c r="AC408" i="8"/>
  <c r="AC400" i="8"/>
  <c r="AC392" i="8"/>
  <c r="AF384" i="8"/>
  <c r="AD384" i="8"/>
  <c r="AA479" i="8"/>
  <c r="AC463" i="8"/>
  <c r="AC447" i="8"/>
  <c r="AC431" i="8"/>
  <c r="AC415" i="8"/>
  <c r="AC399" i="8"/>
  <c r="AC383" i="8"/>
  <c r="AA459" i="8"/>
  <c r="S449" i="8"/>
  <c r="AA423" i="8"/>
  <c r="AA407" i="8"/>
  <c r="AA391" i="8"/>
  <c r="AD347" i="8"/>
  <c r="AF347" i="8"/>
  <c r="Z441" i="8"/>
  <c r="X441" i="8" s="1"/>
  <c r="AB441" i="8" s="1"/>
  <c r="AF317" i="8"/>
  <c r="AD317" i="8"/>
  <c r="AF301" i="8"/>
  <c r="AD301" i="8"/>
  <c r="AF285" i="8"/>
  <c r="AD285" i="8"/>
  <c r="AF269" i="8"/>
  <c r="AD269" i="8"/>
  <c r="AF319" i="8"/>
  <c r="AD319" i="8"/>
  <c r="AA316" i="8"/>
  <c r="AA284" i="8"/>
  <c r="AA471" i="8"/>
  <c r="AF328" i="8"/>
  <c r="AD328" i="8"/>
  <c r="AF313" i="8"/>
  <c r="AD313" i="8"/>
  <c r="Z288" i="8"/>
  <c r="X288" i="8" s="1"/>
  <c r="AB288" i="8" s="1"/>
  <c r="AA375" i="8"/>
  <c r="AC276" i="8"/>
  <c r="AF260" i="8"/>
  <c r="AD260" i="8"/>
  <c r="AF244" i="8"/>
  <c r="AD244" i="8"/>
  <c r="Z287" i="8"/>
  <c r="X287" i="8" s="1"/>
  <c r="AB287" i="8" s="1"/>
  <c r="AA217" i="8"/>
  <c r="AC307" i="8"/>
  <c r="AA312" i="8"/>
  <c r="AA280" i="8"/>
  <c r="AF261" i="8"/>
  <c r="AD261" i="8"/>
  <c r="AF232" i="8"/>
  <c r="AD232" i="8"/>
  <c r="Z275" i="8"/>
  <c r="X275" i="8" s="1"/>
  <c r="AB275" i="8" s="1"/>
  <c r="AA224" i="8"/>
  <c r="AA208" i="8"/>
  <c r="Z216" i="8"/>
  <c r="X216" i="8" s="1"/>
  <c r="AB216" i="8" s="1"/>
  <c r="AA193" i="8"/>
  <c r="AA204" i="8"/>
  <c r="AD127" i="8"/>
  <c r="AF127" i="8"/>
  <c r="AD71" i="8"/>
  <c r="AF71" i="8"/>
  <c r="AD153" i="8"/>
  <c r="AF153" i="8"/>
  <c r="AD121" i="8"/>
  <c r="AF121" i="8"/>
  <c r="AF51" i="8"/>
  <c r="AD51" i="8"/>
  <c r="AF43" i="8"/>
  <c r="AD43" i="8"/>
  <c r="AF35" i="8"/>
  <c r="AD35" i="8"/>
  <c r="AF27" i="8"/>
  <c r="AD27" i="8"/>
  <c r="AF19" i="8"/>
  <c r="AD19" i="8"/>
  <c r="AF11" i="8"/>
  <c r="AD11" i="8"/>
  <c r="AF3" i="8"/>
  <c r="AD3" i="8"/>
  <c r="Z192" i="8"/>
  <c r="X192" i="8" s="1"/>
  <c r="AB192" i="8" s="1"/>
  <c r="AC1650" i="8"/>
  <c r="Z1650" i="8"/>
  <c r="X1650" i="8" s="1"/>
  <c r="AB1650" i="8" s="1"/>
  <c r="AF1645" i="8"/>
  <c r="AD1645" i="8"/>
  <c r="AF1646" i="8"/>
  <c r="AD1646" i="8"/>
  <c r="AC1621" i="8"/>
  <c r="Z1621" i="8"/>
  <c r="X1621" i="8" s="1"/>
  <c r="AB1621" i="8" s="1"/>
  <c r="AF1613" i="8"/>
  <c r="AD1613" i="8"/>
  <c r="Z1651" i="8"/>
  <c r="X1651" i="8" s="1"/>
  <c r="AB1651" i="8" s="1"/>
  <c r="Z1636" i="8"/>
  <c r="X1636" i="8" s="1"/>
  <c r="AB1636" i="8" s="1"/>
  <c r="AF1602" i="8"/>
  <c r="AD1602" i="8"/>
  <c r="AF1605" i="8"/>
  <c r="AD1605" i="8"/>
  <c r="AA1615" i="8"/>
  <c r="AD1557" i="8"/>
  <c r="AF1557" i="8"/>
  <c r="AD1562" i="8"/>
  <c r="AF1562" i="8"/>
  <c r="AF1428" i="8"/>
  <c r="AD1428" i="8"/>
  <c r="AA1445" i="8"/>
  <c r="AA1455" i="8"/>
  <c r="AA1449" i="8"/>
  <c r="AC1438" i="8"/>
  <c r="AA1438" i="8"/>
  <c r="AC1427" i="8"/>
  <c r="AF1391" i="8"/>
  <c r="AD1391" i="8"/>
  <c r="AC1389" i="8"/>
  <c r="AC1417" i="8"/>
  <c r="AC1403" i="8"/>
  <c r="Z1403" i="8"/>
  <c r="X1403" i="8" s="1"/>
  <c r="AB1403" i="8" s="1"/>
  <c r="AF1380" i="8"/>
  <c r="AD1380" i="8"/>
  <c r="AF1392" i="8"/>
  <c r="AD1392" i="8"/>
  <c r="AF1383" i="8"/>
  <c r="AD1383" i="8"/>
  <c r="AF1352" i="8"/>
  <c r="AD1352" i="8"/>
  <c r="AC1349" i="8"/>
  <c r="Z1349" i="8"/>
  <c r="X1349" i="8" s="1"/>
  <c r="AB1349" i="8" s="1"/>
  <c r="AA1338" i="8"/>
  <c r="AF1371" i="8"/>
  <c r="AD1371" i="8"/>
  <c r="AD1309" i="8"/>
  <c r="AF1309" i="8"/>
  <c r="AF1266" i="8"/>
  <c r="AD1266" i="8"/>
  <c r="AF1275" i="8"/>
  <c r="AD1275" i="8"/>
  <c r="AF1324" i="8"/>
  <c r="AD1324" i="8"/>
  <c r="AD1306" i="8"/>
  <c r="AF1306" i="8"/>
  <c r="AD1291" i="8"/>
  <c r="AF1291" i="8"/>
  <c r="Z1332" i="8"/>
  <c r="X1332" i="8" s="1"/>
  <c r="AB1332" i="8" s="1"/>
  <c r="AC1332" i="8"/>
  <c r="AD1300" i="8"/>
  <c r="AF1300" i="8"/>
  <c r="AF1257" i="8"/>
  <c r="AD1257" i="8"/>
  <c r="AD1245" i="8"/>
  <c r="AF1245" i="8"/>
  <c r="AD1234" i="8"/>
  <c r="AF1234" i="8"/>
  <c r="AF1239" i="8"/>
  <c r="AD1239" i="8"/>
  <c r="AF1220" i="8"/>
  <c r="AD1220" i="8"/>
  <c r="AD1264" i="8"/>
  <c r="AF1264" i="8"/>
  <c r="AF1233" i="8"/>
  <c r="AD1233" i="8"/>
  <c r="AD1204" i="8"/>
  <c r="AF1204" i="8"/>
  <c r="AD1196" i="8"/>
  <c r="AF1196" i="8"/>
  <c r="AC1181" i="8"/>
  <c r="Z1181" i="8"/>
  <c r="X1181" i="8" s="1"/>
  <c r="AB1181" i="8" s="1"/>
  <c r="AA1162" i="8"/>
  <c r="AA1130" i="8"/>
  <c r="AF1191" i="8"/>
  <c r="AD1191" i="8"/>
  <c r="AF1142" i="8"/>
  <c r="AD1142" i="8"/>
  <c r="AF1126" i="8"/>
  <c r="AD1126" i="8"/>
  <c r="AA1149" i="8"/>
  <c r="Z1138" i="8"/>
  <c r="X1138" i="8" s="1"/>
  <c r="AB1138" i="8" s="1"/>
  <c r="AA1153" i="8"/>
  <c r="AA1165" i="8"/>
  <c r="AF1067" i="8"/>
  <c r="AD1067" i="8"/>
  <c r="AF1062" i="8"/>
  <c r="AD1062" i="8"/>
  <c r="AD952" i="8"/>
  <c r="AF952" i="8"/>
  <c r="AD1000" i="8"/>
  <c r="AF1000" i="8"/>
  <c r="AD984" i="8"/>
  <c r="AF984" i="8"/>
  <c r="AF903" i="8"/>
  <c r="AD903" i="8"/>
  <c r="AF849" i="8"/>
  <c r="AD849" i="8"/>
  <c r="AF843" i="8"/>
  <c r="AD843" i="8"/>
  <c r="Z851" i="8"/>
  <c r="X851" i="8" s="1"/>
  <c r="AB851" i="8" s="1"/>
  <c r="AF823" i="8"/>
  <c r="AD823" i="8"/>
  <c r="AF793" i="8"/>
  <c r="AD793" i="8"/>
  <c r="AF728" i="8"/>
  <c r="AD728" i="8"/>
  <c r="AF782" i="8"/>
  <c r="AD782" i="8"/>
  <c r="AF774" i="8"/>
  <c r="AD774" i="8"/>
  <c r="AC766" i="8"/>
  <c r="AC750" i="8"/>
  <c r="AD737" i="8"/>
  <c r="AF737" i="8"/>
  <c r="AC846" i="8"/>
  <c r="Z846" i="8"/>
  <c r="X846" i="8" s="1"/>
  <c r="AB846" i="8" s="1"/>
  <c r="AA814" i="8"/>
  <c r="AA764" i="8"/>
  <c r="AF738" i="8"/>
  <c r="AD738" i="8"/>
  <c r="AC820" i="8"/>
  <c r="AC804" i="8"/>
  <c r="AA812" i="8"/>
  <c r="AD732" i="8"/>
  <c r="AF732" i="8"/>
  <c r="AC829" i="8"/>
  <c r="AF779" i="8"/>
  <c r="AD779" i="8"/>
  <c r="AD733" i="8"/>
  <c r="AF733" i="8"/>
  <c r="AA829" i="8"/>
  <c r="AA818" i="8"/>
  <c r="AA749" i="8"/>
  <c r="Z843" i="8"/>
  <c r="X843" i="8" s="1"/>
  <c r="AB843" i="8" s="1"/>
  <c r="AD674" i="8"/>
  <c r="AF674" i="8"/>
  <c r="AD691" i="8"/>
  <c r="AF691" i="8"/>
  <c r="AD659" i="8"/>
  <c r="AF659" i="8"/>
  <c r="Z732" i="8"/>
  <c r="X732" i="8" s="1"/>
  <c r="AB732" i="8" s="1"/>
  <c r="AA820" i="8"/>
  <c r="AD696" i="8"/>
  <c r="AF696" i="8"/>
  <c r="AD664" i="8"/>
  <c r="AF664" i="8"/>
  <c r="AF735" i="8"/>
  <c r="AD735" i="8"/>
  <c r="Z757" i="8"/>
  <c r="X757" i="8" s="1"/>
  <c r="AB757" i="8" s="1"/>
  <c r="AD701" i="8"/>
  <c r="AF701" i="8"/>
  <c r="AD669" i="8"/>
  <c r="AF669" i="8"/>
  <c r="AD653" i="8"/>
  <c r="AF653" i="8"/>
  <c r="AF604" i="8"/>
  <c r="AD604" i="8"/>
  <c r="AF628" i="8"/>
  <c r="AD628" i="8"/>
  <c r="AF598" i="8"/>
  <c r="AD598" i="8"/>
  <c r="AD647" i="8"/>
  <c r="AF647" i="8"/>
  <c r="AF608" i="8"/>
  <c r="AD608" i="8"/>
  <c r="AA603" i="8"/>
  <c r="AF510" i="8"/>
  <c r="AD510" i="8"/>
  <c r="AF573" i="8"/>
  <c r="AD573" i="8"/>
  <c r="AF557" i="8"/>
  <c r="AD557" i="8"/>
  <c r="AF564" i="8"/>
  <c r="AD564" i="8"/>
  <c r="AF551" i="8"/>
  <c r="AD551" i="8"/>
  <c r="AF543" i="8"/>
  <c r="AD543" i="8"/>
  <c r="AF527" i="8"/>
  <c r="AD527" i="8"/>
  <c r="AA529" i="8"/>
  <c r="AA515" i="8"/>
  <c r="AF466" i="8"/>
  <c r="AD466" i="8"/>
  <c r="AF458" i="8"/>
  <c r="AD458" i="8"/>
  <c r="AF450" i="8"/>
  <c r="AD450" i="8"/>
  <c r="AF442" i="8"/>
  <c r="AD442" i="8"/>
  <c r="AF434" i="8"/>
  <c r="AD434" i="8"/>
  <c r="AF426" i="8"/>
  <c r="AD426" i="8"/>
  <c r="AF418" i="8"/>
  <c r="AD418" i="8"/>
  <c r="AF410" i="8"/>
  <c r="AD410" i="8"/>
  <c r="AF402" i="8"/>
  <c r="AD402" i="8"/>
  <c r="AF394" i="8"/>
  <c r="AD394" i="8"/>
  <c r="AF386" i="8"/>
  <c r="AD386" i="8"/>
  <c r="AF492" i="8"/>
  <c r="AD492" i="8"/>
  <c r="AC474" i="8"/>
  <c r="AF495" i="8"/>
  <c r="AD495" i="8"/>
  <c r="AA534" i="8"/>
  <c r="AA449" i="8"/>
  <c r="AA417" i="8"/>
  <c r="AA385" i="8"/>
  <c r="AC375" i="8"/>
  <c r="AA460" i="8"/>
  <c r="AA440" i="8"/>
  <c r="AA424" i="8"/>
  <c r="AA408" i="8"/>
  <c r="AA392" i="8"/>
  <c r="AA505" i="8"/>
  <c r="S365" i="8"/>
  <c r="AF503" i="8"/>
  <c r="AD503" i="8"/>
  <c r="S469" i="8"/>
  <c r="AA447" i="8"/>
  <c r="S437" i="8"/>
  <c r="S421" i="8"/>
  <c r="AF376" i="8"/>
  <c r="AD376" i="8"/>
  <c r="Z468" i="8"/>
  <c r="X468" i="8" s="1"/>
  <c r="AB468" i="8" s="1"/>
  <c r="AF295" i="8"/>
  <c r="AD295" i="8"/>
  <c r="AA366" i="8"/>
  <c r="Z457" i="8"/>
  <c r="X457" i="8" s="1"/>
  <c r="AB457" i="8" s="1"/>
  <c r="Z312" i="8"/>
  <c r="X312" i="8" s="1"/>
  <c r="AB312" i="8" s="1"/>
  <c r="AF288" i="8"/>
  <c r="AD288" i="8"/>
  <c r="AF272" i="8"/>
  <c r="AD272" i="8"/>
  <c r="Z362" i="8"/>
  <c r="X362" i="8" s="1"/>
  <c r="AB362" i="8" s="1"/>
  <c r="AA319" i="8"/>
  <c r="AA287" i="8"/>
  <c r="AC217" i="8"/>
  <c r="AC201" i="8"/>
  <c r="AC193" i="8"/>
  <c r="Z279" i="8"/>
  <c r="X279" i="8" s="1"/>
  <c r="AB279" i="8" s="1"/>
  <c r="AA215" i="8"/>
  <c r="AF259" i="8"/>
  <c r="AD259" i="8"/>
  <c r="AF243" i="8"/>
  <c r="AD243" i="8"/>
  <c r="AF248" i="8"/>
  <c r="AD248" i="8"/>
  <c r="AA307" i="8"/>
  <c r="AF245" i="8"/>
  <c r="AD245" i="8"/>
  <c r="AC224" i="8"/>
  <c r="AC208" i="8"/>
  <c r="AC200" i="8"/>
  <c r="Z331" i="8"/>
  <c r="X331" i="8" s="1"/>
  <c r="AB331" i="8" s="1"/>
  <c r="Z272" i="8"/>
  <c r="X272" i="8" s="1"/>
  <c r="AB272" i="8" s="1"/>
  <c r="AA222" i="8"/>
  <c r="AA206" i="8"/>
  <c r="AA201" i="8"/>
  <c r="AD151" i="8"/>
  <c r="AF151" i="8"/>
  <c r="AD87" i="8"/>
  <c r="AF87" i="8"/>
  <c r="AA202" i="8"/>
  <c r="AD176" i="8"/>
  <c r="AF176" i="8"/>
  <c r="AD61" i="8"/>
  <c r="AF61" i="8"/>
  <c r="AF50" i="8"/>
  <c r="AD50" i="8"/>
  <c r="AF42" i="8"/>
  <c r="AD42" i="8"/>
  <c r="AF34" i="8"/>
  <c r="AD34" i="8"/>
  <c r="AF26" i="8"/>
  <c r="AD26" i="8"/>
  <c r="AF18" i="8"/>
  <c r="AD18" i="8"/>
  <c r="AF10" i="8"/>
  <c r="AD10" i="8"/>
  <c r="Z1643" i="8"/>
  <c r="X1643" i="8" s="1"/>
  <c r="AB1643" i="8" s="1"/>
  <c r="AA1643" i="8"/>
  <c r="S1630" i="8"/>
  <c r="AF1622" i="8"/>
  <c r="AD1622" i="8"/>
  <c r="S1646" i="8"/>
  <c r="Z1619" i="8"/>
  <c r="X1619" i="8" s="1"/>
  <c r="AB1619" i="8" s="1"/>
  <c r="Z1611" i="8"/>
  <c r="X1611" i="8" s="1"/>
  <c r="AB1611" i="8" s="1"/>
  <c r="AD1581" i="8"/>
  <c r="AF1581" i="8"/>
  <c r="S1557" i="8"/>
  <c r="AD1580" i="8"/>
  <c r="AF1580" i="8"/>
  <c r="AD1509" i="8"/>
  <c r="AF1509" i="8"/>
  <c r="AA1443" i="8"/>
  <c r="X1454" i="8"/>
  <c r="AB1454" i="8" s="1"/>
  <c r="Z1453" i="8"/>
  <c r="X1453" i="8" s="1"/>
  <c r="AB1453" i="8" s="1"/>
  <c r="AC1435" i="8"/>
  <c r="AF1425" i="8"/>
  <c r="AD1425" i="8"/>
  <c r="AF1390" i="8"/>
  <c r="AD1390" i="8"/>
  <c r="AA1389" i="8"/>
  <c r="AD1379" i="8"/>
  <c r="AF1379" i="8"/>
  <c r="AC1402" i="8"/>
  <c r="AA1403" i="8"/>
  <c r="Z1342" i="8"/>
  <c r="X1342" i="8" s="1"/>
  <c r="AB1342" i="8" s="1"/>
  <c r="AF1377" i="8"/>
  <c r="AD1377" i="8"/>
  <c r="AD1305" i="8"/>
  <c r="AF1305" i="8"/>
  <c r="AF1329" i="8"/>
  <c r="AD1329" i="8"/>
  <c r="AF1267" i="8"/>
  <c r="AD1267" i="8"/>
  <c r="AD1302" i="8"/>
  <c r="AF1302" i="8"/>
  <c r="AF1268" i="8"/>
  <c r="AD1268" i="8"/>
  <c r="AF1285" i="8"/>
  <c r="AD1285" i="8"/>
  <c r="AF1261" i="8"/>
  <c r="AD1261" i="8"/>
  <c r="AD1286" i="8"/>
  <c r="AF1286" i="8"/>
  <c r="AA1353" i="8"/>
  <c r="AD1271" i="8"/>
  <c r="AF1271" i="8"/>
  <c r="AD1296" i="8"/>
  <c r="AF1296" i="8"/>
  <c r="AF1246" i="8"/>
  <c r="AD1246" i="8"/>
  <c r="AF1254" i="8"/>
  <c r="AD1254" i="8"/>
  <c r="AF1219" i="8"/>
  <c r="AD1219" i="8"/>
  <c r="AF1248" i="8"/>
  <c r="AD1248" i="8"/>
  <c r="AF1252" i="8"/>
  <c r="AD1252" i="8"/>
  <c r="S1219" i="8"/>
  <c r="S1259" i="8"/>
  <c r="S1232" i="8"/>
  <c r="AF1187" i="8"/>
  <c r="AD1187" i="8"/>
  <c r="AF1171" i="8"/>
  <c r="AD1171" i="8"/>
  <c r="AF1155" i="8"/>
  <c r="AD1155" i="8"/>
  <c r="AF1139" i="8"/>
  <c r="AD1139" i="8"/>
  <c r="AF1123" i="8"/>
  <c r="AD1123" i="8"/>
  <c r="AC1157" i="8"/>
  <c r="Z1157" i="8"/>
  <c r="X1157" i="8" s="1"/>
  <c r="AB1157" i="8" s="1"/>
  <c r="Z1190" i="8"/>
  <c r="X1190" i="8" s="1"/>
  <c r="AB1190" i="8" s="1"/>
  <c r="AF1166" i="8"/>
  <c r="AD1166" i="8"/>
  <c r="AF1151" i="8"/>
  <c r="AD1151" i="8"/>
  <c r="AC1185" i="8"/>
  <c r="AA1185" i="8"/>
  <c r="AA1145" i="8"/>
  <c r="AA1193" i="8"/>
  <c r="AA1141" i="8"/>
  <c r="AA1129" i="8"/>
  <c r="AF1048" i="8"/>
  <c r="AD1048" i="8"/>
  <c r="AD1019" i="8"/>
  <c r="AF1019" i="8"/>
  <c r="AD1015" i="8"/>
  <c r="AF1015" i="8"/>
  <c r="AD1011" i="8"/>
  <c r="AF1011" i="8"/>
  <c r="AD996" i="8"/>
  <c r="AF996" i="8"/>
  <c r="AD966" i="8"/>
  <c r="AF966" i="8"/>
  <c r="AF899" i="8"/>
  <c r="AD899" i="8"/>
  <c r="AD949" i="8"/>
  <c r="AF949" i="8"/>
  <c r="AD720" i="8"/>
  <c r="AF720" i="8"/>
  <c r="AF841" i="8"/>
  <c r="AD841" i="8"/>
  <c r="AD729" i="8"/>
  <c r="AF729" i="8"/>
  <c r="AF813" i="8"/>
  <c r="AD813" i="8"/>
  <c r="AC787" i="8"/>
  <c r="AA762" i="8"/>
  <c r="AF730" i="8"/>
  <c r="AD730" i="8"/>
  <c r="AC855" i="8"/>
  <c r="AF811" i="8"/>
  <c r="AD811" i="8"/>
  <c r="AC828" i="8"/>
  <c r="AF794" i="8"/>
  <c r="AD794" i="8"/>
  <c r="AF773" i="8"/>
  <c r="AD773" i="8"/>
  <c r="AD725" i="8"/>
  <c r="AF725" i="8"/>
  <c r="AF835" i="8"/>
  <c r="AD835" i="8"/>
  <c r="AA828" i="8"/>
  <c r="AF817" i="8"/>
  <c r="AD817" i="8"/>
  <c r="AA765" i="8"/>
  <c r="AA757" i="8"/>
  <c r="AA747" i="8"/>
  <c r="AF824" i="8"/>
  <c r="AD824" i="8"/>
  <c r="AD702" i="8"/>
  <c r="AF702" i="8"/>
  <c r="AD670" i="8"/>
  <c r="AF670" i="8"/>
  <c r="Z747" i="8"/>
  <c r="X747" i="8" s="1"/>
  <c r="AB747" i="8" s="1"/>
  <c r="Z764" i="8"/>
  <c r="X764" i="8" s="1"/>
  <c r="AB764" i="8" s="1"/>
  <c r="AD687" i="8"/>
  <c r="AF687" i="8"/>
  <c r="AD655" i="8"/>
  <c r="AF655" i="8"/>
  <c r="AD692" i="8"/>
  <c r="AF692" i="8"/>
  <c r="AD660" i="8"/>
  <c r="AF660" i="8"/>
  <c r="AA746" i="8"/>
  <c r="Z755" i="8"/>
  <c r="X755" i="8" s="1"/>
  <c r="AB755" i="8" s="1"/>
  <c r="AD697" i="8"/>
  <c r="AF697" i="8"/>
  <c r="AD665" i="8"/>
  <c r="AF665" i="8"/>
  <c r="AF609" i="8"/>
  <c r="AD609" i="8"/>
  <c r="AD634" i="8"/>
  <c r="AF634" i="8"/>
  <c r="AF623" i="8"/>
  <c r="AD623" i="8"/>
  <c r="AD618" i="8"/>
  <c r="AF618" i="8"/>
  <c r="AD600" i="8"/>
  <c r="AF600" i="8"/>
  <c r="AD637" i="8"/>
  <c r="AF637" i="8"/>
  <c r="AD644" i="8"/>
  <c r="AF644" i="8"/>
  <c r="AF619" i="8"/>
  <c r="AD619" i="8"/>
  <c r="AF542" i="8"/>
  <c r="AD542" i="8"/>
  <c r="Z509" i="8"/>
  <c r="X509" i="8" s="1"/>
  <c r="AB509" i="8" s="1"/>
  <c r="AC509" i="8"/>
  <c r="AA509" i="8"/>
  <c r="AF513" i="8"/>
  <c r="AD513" i="8"/>
  <c r="AF526" i="8"/>
  <c r="AD526" i="8"/>
  <c r="AF571" i="8"/>
  <c r="AD571" i="8"/>
  <c r="AF559" i="8"/>
  <c r="AD559" i="8"/>
  <c r="AF590" i="8"/>
  <c r="AD590" i="8"/>
  <c r="AF497" i="8"/>
  <c r="AD497" i="8"/>
  <c r="AF475" i="8"/>
  <c r="AD475" i="8"/>
  <c r="AF369" i="8"/>
  <c r="AD369" i="8"/>
  <c r="Z534" i="8"/>
  <c r="X534" i="8" s="1"/>
  <c r="AB534" i="8" s="1"/>
  <c r="AA513" i="8"/>
  <c r="AA461" i="8"/>
  <c r="AA445" i="8"/>
  <c r="AA413" i="8"/>
  <c r="AA507" i="8"/>
  <c r="AA540" i="8"/>
  <c r="AF478" i="8"/>
  <c r="AD478" i="8"/>
  <c r="Z505" i="8"/>
  <c r="X505" i="8" s="1"/>
  <c r="AB505" i="8" s="1"/>
  <c r="AC477" i="8"/>
  <c r="AC459" i="8"/>
  <c r="AC443" i="8"/>
  <c r="AC427" i="8"/>
  <c r="AC411" i="8"/>
  <c r="AC395" i="8"/>
  <c r="AF362" i="8"/>
  <c r="AD362" i="8"/>
  <c r="AA467" i="8"/>
  <c r="S457" i="8"/>
  <c r="AA435" i="8"/>
  <c r="AA419" i="8"/>
  <c r="AA403" i="8"/>
  <c r="AA387" i="8"/>
  <c r="AA369" i="8"/>
  <c r="AA452" i="8"/>
  <c r="AF271" i="8"/>
  <c r="AD271" i="8"/>
  <c r="Z366" i="8"/>
  <c r="X366" i="8" s="1"/>
  <c r="AB366" i="8" s="1"/>
  <c r="AF312" i="8"/>
  <c r="AD312" i="8"/>
  <c r="AF297" i="8"/>
  <c r="AD297" i="8"/>
  <c r="AA371" i="8"/>
  <c r="AD371" i="8" s="1"/>
  <c r="AA362" i="8"/>
  <c r="AF239" i="8"/>
  <c r="AD239" i="8"/>
  <c r="AF324" i="8"/>
  <c r="AD324" i="8"/>
  <c r="AF231" i="8"/>
  <c r="AD231" i="8"/>
  <c r="AF238" i="8"/>
  <c r="AD238" i="8"/>
  <c r="AA227" i="8"/>
  <c r="AA304" i="8"/>
  <c r="AA272" i="8"/>
  <c r="AF250" i="8"/>
  <c r="AD250" i="8"/>
  <c r="AA220" i="8"/>
  <c r="AD111" i="8"/>
  <c r="AF111" i="8"/>
  <c r="AD161" i="8"/>
  <c r="AF161" i="8"/>
  <c r="AD129" i="8"/>
  <c r="AF129" i="8"/>
  <c r="AD97" i="8"/>
  <c r="AF97" i="8"/>
  <c r="AD85" i="8"/>
  <c r="AF85" i="8"/>
  <c r="AF49" i="8"/>
  <c r="AD49" i="8"/>
  <c r="AF41" i="8"/>
  <c r="AD41" i="8"/>
  <c r="AF33" i="8"/>
  <c r="AD33" i="8"/>
  <c r="AF25" i="8"/>
  <c r="AD25" i="8"/>
  <c r="AF17" i="8"/>
  <c r="AD17" i="8"/>
  <c r="AF9" i="8"/>
  <c r="AD9" i="8"/>
  <c r="AD72" i="8"/>
  <c r="AF72" i="8"/>
  <c r="AD59" i="8"/>
  <c r="AF59" i="8"/>
  <c r="AF1634" i="8"/>
  <c r="AD1634" i="8"/>
  <c r="AC1643" i="8"/>
  <c r="S1642" i="8"/>
  <c r="AC1644" i="8"/>
  <c r="AF1619" i="8"/>
  <c r="AD1619" i="8"/>
  <c r="AF1611" i="8"/>
  <c r="AD1611" i="8"/>
  <c r="AF1601" i="8"/>
  <c r="AD1601" i="8"/>
  <c r="AA1644" i="8"/>
  <c r="AD1592" i="8"/>
  <c r="AF1592" i="8"/>
  <c r="Z1602" i="8"/>
  <c r="X1602" i="8" s="1"/>
  <c r="AB1602" i="8" s="1"/>
  <c r="AA1613" i="8"/>
  <c r="AA1624" i="8"/>
  <c r="AF1452" i="8"/>
  <c r="AD1452" i="8"/>
  <c r="AD1455" i="8"/>
  <c r="AF1455" i="8"/>
  <c r="AA1451" i="8"/>
  <c r="AC1434" i="8"/>
  <c r="Z1434" i="8"/>
  <c r="X1434" i="8" s="1"/>
  <c r="AB1434" i="8" s="1"/>
  <c r="AA1430" i="8"/>
  <c r="AD1413" i="8"/>
  <c r="AF1413" i="8"/>
  <c r="AA1427" i="8"/>
  <c r="AF1388" i="8"/>
  <c r="AD1388" i="8"/>
  <c r="AA1417" i="8"/>
  <c r="AC1401" i="8"/>
  <c r="AF1344" i="8"/>
  <c r="AD1344" i="8"/>
  <c r="S1375" i="8"/>
  <c r="AA1354" i="8"/>
  <c r="AF1342" i="8"/>
  <c r="AD1342" i="8"/>
  <c r="AD1301" i="8"/>
  <c r="AF1301" i="8"/>
  <c r="AF1259" i="8"/>
  <c r="AD1259" i="8"/>
  <c r="AF1321" i="8"/>
  <c r="AD1321" i="8"/>
  <c r="AD1298" i="8"/>
  <c r="AF1298" i="8"/>
  <c r="AF1315" i="8"/>
  <c r="AD1315" i="8"/>
  <c r="AD1292" i="8"/>
  <c r="AF1292" i="8"/>
  <c r="AF1222" i="8"/>
  <c r="AD1222" i="8"/>
  <c r="AF1235" i="8"/>
  <c r="AD1235" i="8"/>
  <c r="S1267" i="8"/>
  <c r="AF1232" i="8"/>
  <c r="AD1232" i="8"/>
  <c r="AD1237" i="8"/>
  <c r="AF1237" i="8"/>
  <c r="AF1214" i="8"/>
  <c r="AD1214" i="8"/>
  <c r="AD1250" i="8"/>
  <c r="AF1250" i="8"/>
  <c r="AD1226" i="8"/>
  <c r="AF1226" i="8"/>
  <c r="AF1256" i="8"/>
  <c r="AD1256" i="8"/>
  <c r="AF1231" i="8"/>
  <c r="AD1231" i="8"/>
  <c r="AD1202" i="8"/>
  <c r="AF1202" i="8"/>
  <c r="AD1194" i="8"/>
  <c r="AF1194" i="8"/>
  <c r="AF1178" i="8"/>
  <c r="AD1178" i="8"/>
  <c r="AF1170" i="8"/>
  <c r="AD1170" i="8"/>
  <c r="AF1154" i="8"/>
  <c r="AD1154" i="8"/>
  <c r="AF1138" i="8"/>
  <c r="AD1138" i="8"/>
  <c r="AF1122" i="8"/>
  <c r="AD1122" i="8"/>
  <c r="AC1133" i="8"/>
  <c r="Z1133" i="8"/>
  <c r="X1133" i="8" s="1"/>
  <c r="AB1133" i="8" s="1"/>
  <c r="AA1186" i="8"/>
  <c r="AA1154" i="8"/>
  <c r="AF1190" i="8"/>
  <c r="AD1190" i="8"/>
  <c r="AF1175" i="8"/>
  <c r="AD1175" i="8"/>
  <c r="AA1189" i="8"/>
  <c r="AA1182" i="8"/>
  <c r="AA1133" i="8"/>
  <c r="AA1181" i="8"/>
  <c r="AC1177" i="8"/>
  <c r="AF1121" i="8"/>
  <c r="AD1121" i="8"/>
  <c r="AF1058" i="8"/>
  <c r="AD1058" i="8"/>
  <c r="AF1078" i="8"/>
  <c r="AD1078" i="8"/>
  <c r="AF1046" i="8"/>
  <c r="AD1046" i="8"/>
  <c r="AF1053" i="8"/>
  <c r="AD1053" i="8"/>
  <c r="AF1060" i="8"/>
  <c r="AD1060" i="8"/>
  <c r="AF1074" i="8"/>
  <c r="AD1074" i="8"/>
  <c r="AD1006" i="8"/>
  <c r="AF1006" i="8"/>
  <c r="AD963" i="8"/>
  <c r="AF963" i="8"/>
  <c r="AF895" i="8"/>
  <c r="AD895" i="8"/>
  <c r="AC859" i="8"/>
  <c r="AA859" i="8"/>
  <c r="Z859" i="8"/>
  <c r="X859" i="8" s="1"/>
  <c r="AB859" i="8" s="1"/>
  <c r="AC854" i="8"/>
  <c r="Z854" i="8"/>
  <c r="X854" i="8" s="1"/>
  <c r="AB854" i="8" s="1"/>
  <c r="AF910" i="8"/>
  <c r="AD910" i="8"/>
  <c r="AF815" i="8"/>
  <c r="AD815" i="8"/>
  <c r="AF785" i="8"/>
  <c r="AD785" i="8"/>
  <c r="AF840" i="8"/>
  <c r="AD840" i="8"/>
  <c r="AF814" i="8"/>
  <c r="AD814" i="8"/>
  <c r="AF798" i="8"/>
  <c r="AD798" i="8"/>
  <c r="AF780" i="8"/>
  <c r="AD780" i="8"/>
  <c r="AF772" i="8"/>
  <c r="AD772" i="8"/>
  <c r="AF756" i="8"/>
  <c r="AD756" i="8"/>
  <c r="AD721" i="8"/>
  <c r="AF721" i="8"/>
  <c r="AF722" i="8"/>
  <c r="AD722" i="8"/>
  <c r="AC850" i="8"/>
  <c r="AA850" i="8"/>
  <c r="AD724" i="8"/>
  <c r="AF724" i="8"/>
  <c r="AF810" i="8"/>
  <c r="AD810" i="8"/>
  <c r="AD717" i="8"/>
  <c r="AF717" i="8"/>
  <c r="AA802" i="8"/>
  <c r="AF783" i="8"/>
  <c r="AD783" i="8"/>
  <c r="AA745" i="8"/>
  <c r="AF726" i="8"/>
  <c r="AD726" i="8"/>
  <c r="AD698" i="8"/>
  <c r="AF698" i="8"/>
  <c r="AD666" i="8"/>
  <c r="AF666" i="8"/>
  <c r="AD683" i="8"/>
  <c r="AF683" i="8"/>
  <c r="AA720" i="8"/>
  <c r="AD688" i="8"/>
  <c r="AF688" i="8"/>
  <c r="AD656" i="8"/>
  <c r="AF656" i="8"/>
  <c r="AD693" i="8"/>
  <c r="AF693" i="8"/>
  <c r="AD661" i="8"/>
  <c r="AF661" i="8"/>
  <c r="AD657" i="8"/>
  <c r="AF657" i="8"/>
  <c r="AD640" i="8"/>
  <c r="AF640" i="8"/>
  <c r="AD639" i="8"/>
  <c r="AF639" i="8"/>
  <c r="AD601" i="8"/>
  <c r="AF601" i="8"/>
  <c r="AF593" i="8"/>
  <c r="AD593" i="8"/>
  <c r="AF569" i="8"/>
  <c r="AD569" i="8"/>
  <c r="AF591" i="8"/>
  <c r="AD591" i="8"/>
  <c r="AF540" i="8"/>
  <c r="AD540" i="8"/>
  <c r="AF524" i="8"/>
  <c r="AD524" i="8"/>
  <c r="AF508" i="8"/>
  <c r="AD508" i="8"/>
  <c r="AF596" i="8"/>
  <c r="AD596" i="8"/>
  <c r="AF560" i="8"/>
  <c r="AD560" i="8"/>
  <c r="AF549" i="8"/>
  <c r="AD549" i="8"/>
  <c r="AF514" i="8"/>
  <c r="AD514" i="8"/>
  <c r="AF367" i="8"/>
  <c r="AD367" i="8"/>
  <c r="AA524" i="8"/>
  <c r="AA441" i="8"/>
  <c r="AA409" i="8"/>
  <c r="AF381" i="8"/>
  <c r="AD381" i="8"/>
  <c r="AF373" i="8"/>
  <c r="AD373" i="8"/>
  <c r="AF493" i="8"/>
  <c r="AD493" i="8"/>
  <c r="AA480" i="8"/>
  <c r="AF496" i="8"/>
  <c r="AD496" i="8"/>
  <c r="AA472" i="8"/>
  <c r="AA456" i="8"/>
  <c r="Z502" i="8"/>
  <c r="X502" i="8" s="1"/>
  <c r="AB502" i="8" s="1"/>
  <c r="AF374" i="8"/>
  <c r="AD374" i="8"/>
  <c r="Z449" i="8"/>
  <c r="X449" i="8" s="1"/>
  <c r="AB449" i="8" s="1"/>
  <c r="AD346" i="8"/>
  <c r="AF346" i="8"/>
  <c r="AF311" i="8"/>
  <c r="AD311" i="8"/>
  <c r="Z425" i="8"/>
  <c r="X425" i="8" s="1"/>
  <c r="AB425" i="8" s="1"/>
  <c r="AA448" i="8"/>
  <c r="AF321" i="8"/>
  <c r="AD321" i="8"/>
  <c r="AF265" i="8"/>
  <c r="AD265" i="8"/>
  <c r="AF255" i="8"/>
  <c r="AD255" i="8"/>
  <c r="AF316" i="8"/>
  <c r="AD316" i="8"/>
  <c r="AF236" i="8"/>
  <c r="AD236" i="8"/>
  <c r="AA311" i="8"/>
  <c r="AF257" i="8"/>
  <c r="AD257" i="8"/>
  <c r="AF241" i="8"/>
  <c r="AD241" i="8"/>
  <c r="AF223" i="8"/>
  <c r="AD223" i="8"/>
  <c r="AF215" i="8"/>
  <c r="AD215" i="8"/>
  <c r="AF207" i="8"/>
  <c r="AD207" i="8"/>
  <c r="AF199" i="8"/>
  <c r="AD199" i="8"/>
  <c r="AF254" i="8"/>
  <c r="AD254" i="8"/>
  <c r="AA211" i="8"/>
  <c r="AF283" i="8"/>
  <c r="AD283" i="8"/>
  <c r="AF230" i="8"/>
  <c r="AD230" i="8"/>
  <c r="AF214" i="8"/>
  <c r="AD214" i="8"/>
  <c r="AF198" i="8"/>
  <c r="AD198" i="8"/>
  <c r="AF234" i="8"/>
  <c r="AD234" i="8"/>
  <c r="AD135" i="8"/>
  <c r="AF135" i="8"/>
  <c r="AD63" i="8"/>
  <c r="AF63" i="8"/>
  <c r="AF56" i="8"/>
  <c r="AD56" i="8"/>
  <c r="AF48" i="8"/>
  <c r="AD48" i="8"/>
  <c r="AF40" i="8"/>
  <c r="AD40" i="8"/>
  <c r="AF32" i="8"/>
  <c r="AD32" i="8"/>
  <c r="AF24" i="8"/>
  <c r="AD24" i="8"/>
  <c r="AF16" i="8"/>
  <c r="AD16" i="8"/>
  <c r="AF8" i="8"/>
  <c r="AD8" i="8"/>
  <c r="AA200" i="8"/>
  <c r="AD88" i="8"/>
  <c r="AF88" i="8"/>
  <c r="AF1633" i="8"/>
  <c r="AD1633" i="8"/>
  <c r="AF1631" i="8"/>
  <c r="AD1631" i="8"/>
  <c r="AF1629" i="8"/>
  <c r="AD1629" i="8"/>
  <c r="AF1608" i="8"/>
  <c r="AD1608" i="8"/>
  <c r="AA1647" i="8"/>
  <c r="Z1627" i="8"/>
  <c r="X1627" i="8" s="1"/>
  <c r="AB1627" i="8" s="1"/>
  <c r="AA1617" i="8"/>
  <c r="AD1588" i="8"/>
  <c r="AF1588" i="8"/>
  <c r="AD1533" i="8"/>
  <c r="AF1533" i="8"/>
  <c r="S1512" i="8"/>
  <c r="AD1483" i="8"/>
  <c r="AF1483" i="8"/>
  <c r="AF1436" i="8"/>
  <c r="AD1436" i="8"/>
  <c r="AA1435" i="8"/>
  <c r="AF1378" i="8"/>
  <c r="AD1378" i="8"/>
  <c r="AF1385" i="8"/>
  <c r="AD1385" i="8"/>
  <c r="AC1397" i="8"/>
  <c r="AD1382" i="8"/>
  <c r="AF1382" i="8"/>
  <c r="AA1387" i="8"/>
  <c r="AF1373" i="8"/>
  <c r="AD1373" i="8"/>
  <c r="AC1341" i="8"/>
  <c r="Z1341" i="8"/>
  <c r="X1341" i="8" s="1"/>
  <c r="AB1341" i="8" s="1"/>
  <c r="AF1370" i="8"/>
  <c r="AD1370" i="8"/>
  <c r="AD1297" i="8"/>
  <c r="AF1297" i="8"/>
  <c r="AD1294" i="8"/>
  <c r="AF1294" i="8"/>
  <c r="AF1260" i="8"/>
  <c r="AD1260" i="8"/>
  <c r="Z1334" i="8"/>
  <c r="X1334" i="8" s="1"/>
  <c r="AB1334" i="8" s="1"/>
  <c r="AD1311" i="8"/>
  <c r="AF1311" i="8"/>
  <c r="AD1278" i="8"/>
  <c r="AF1278" i="8"/>
  <c r="AF1330" i="8"/>
  <c r="AD1330" i="8"/>
  <c r="AD1287" i="8"/>
  <c r="AF1287" i="8"/>
  <c r="AD1263" i="8"/>
  <c r="AF1263" i="8"/>
  <c r="AF1317" i="8"/>
  <c r="AD1317" i="8"/>
  <c r="AD1288" i="8"/>
  <c r="AF1288" i="8"/>
  <c r="AC1333" i="8"/>
  <c r="Z1333" i="8"/>
  <c r="X1333" i="8" s="1"/>
  <c r="AB1333" i="8" s="1"/>
  <c r="AF1281" i="8"/>
  <c r="AD1281" i="8"/>
  <c r="AF1212" i="8"/>
  <c r="AD1212" i="8"/>
  <c r="AD1229" i="8"/>
  <c r="AF1229" i="8"/>
  <c r="AF1228" i="8"/>
  <c r="AD1228" i="8"/>
  <c r="AF1241" i="8"/>
  <c r="AD1241" i="8"/>
  <c r="AC1173" i="8"/>
  <c r="Z1173" i="8"/>
  <c r="X1173" i="8" s="1"/>
  <c r="AB1173" i="8" s="1"/>
  <c r="AF1150" i="8"/>
  <c r="AD1150" i="8"/>
  <c r="AF1135" i="8"/>
  <c r="AD1135" i="8"/>
  <c r="AC1169" i="8"/>
  <c r="Z1130" i="8"/>
  <c r="X1130" i="8" s="1"/>
  <c r="AB1130" i="8" s="1"/>
  <c r="AA1174" i="8"/>
  <c r="AC1129" i="8"/>
  <c r="AF1049" i="8"/>
  <c r="AD1049" i="8"/>
  <c r="AD1002" i="8"/>
  <c r="AF1002" i="8"/>
  <c r="AD1018" i="8"/>
  <c r="AF1018" i="8"/>
  <c r="AD1014" i="8"/>
  <c r="AF1014" i="8"/>
  <c r="AD1010" i="8"/>
  <c r="AF1010" i="8"/>
  <c r="AD960" i="8"/>
  <c r="AF960" i="8"/>
  <c r="AD992" i="8"/>
  <c r="AF992" i="8"/>
  <c r="AF891" i="8"/>
  <c r="AD891" i="8"/>
  <c r="AD933" i="8"/>
  <c r="AF933" i="8"/>
  <c r="AF827" i="8"/>
  <c r="AD827" i="8"/>
  <c r="AF908" i="8"/>
  <c r="AD908" i="8"/>
  <c r="AC838" i="8"/>
  <c r="Z838" i="8"/>
  <c r="X838" i="8" s="1"/>
  <c r="AB838" i="8" s="1"/>
  <c r="AD713" i="8"/>
  <c r="AF713" i="8"/>
  <c r="AA758" i="8"/>
  <c r="AA795" i="8"/>
  <c r="AF803" i="8"/>
  <c r="AD803" i="8"/>
  <c r="AF834" i="8"/>
  <c r="AD834" i="8"/>
  <c r="AC826" i="8"/>
  <c r="AF786" i="8"/>
  <c r="AD786" i="8"/>
  <c r="AF777" i="8"/>
  <c r="AD777" i="8"/>
  <c r="AF771" i="8"/>
  <c r="AD771" i="8"/>
  <c r="Z834" i="8"/>
  <c r="X834" i="8" s="1"/>
  <c r="AB834" i="8" s="1"/>
  <c r="AA826" i="8"/>
  <c r="AF801" i="8"/>
  <c r="AD801" i="8"/>
  <c r="AA763" i="8"/>
  <c r="AA755" i="8"/>
  <c r="AA858" i="8"/>
  <c r="AA839" i="8"/>
  <c r="AF800" i="8"/>
  <c r="AD800" i="8"/>
  <c r="AD694" i="8"/>
  <c r="AF694" i="8"/>
  <c r="AD662" i="8"/>
  <c r="AF662" i="8"/>
  <c r="AD679" i="8"/>
  <c r="AF679" i="8"/>
  <c r="AF715" i="8"/>
  <c r="AD715" i="8"/>
  <c r="AD684" i="8"/>
  <c r="AF684" i="8"/>
  <c r="AD652" i="8"/>
  <c r="AF652" i="8"/>
  <c r="AD689" i="8"/>
  <c r="AF689" i="8"/>
  <c r="AF629" i="8"/>
  <c r="AD629" i="8"/>
  <c r="AD651" i="8"/>
  <c r="AF651" i="8"/>
  <c r="AD633" i="8"/>
  <c r="AF633" i="8"/>
  <c r="AD627" i="8"/>
  <c r="AF627" i="8"/>
  <c r="AD613" i="8"/>
  <c r="AF613" i="8"/>
  <c r="AD646" i="8"/>
  <c r="AF646" i="8"/>
  <c r="AD630" i="8"/>
  <c r="AF630" i="8"/>
  <c r="AD636" i="8"/>
  <c r="AF636" i="8"/>
  <c r="AF537" i="8"/>
  <c r="AD537" i="8"/>
  <c r="AF539" i="8"/>
  <c r="AD539" i="8"/>
  <c r="AF523" i="8"/>
  <c r="AD523" i="8"/>
  <c r="AF507" i="8"/>
  <c r="AD507" i="8"/>
  <c r="AF361" i="8"/>
  <c r="AD361" i="8"/>
  <c r="Z531" i="8"/>
  <c r="X531" i="8" s="1"/>
  <c r="AB531" i="8" s="1"/>
  <c r="AA526" i="8"/>
  <c r="AC433" i="8"/>
  <c r="AC409" i="8"/>
  <c r="AC401" i="8"/>
  <c r="AC393" i="8"/>
  <c r="AC385" i="8"/>
  <c r="AF511" i="8"/>
  <c r="AD511" i="8"/>
  <c r="AA405" i="8"/>
  <c r="AA532" i="8"/>
  <c r="AF506" i="8"/>
  <c r="AD506" i="8"/>
  <c r="AC452" i="8"/>
  <c r="AC444" i="8"/>
  <c r="AC436" i="8"/>
  <c r="AC428" i="8"/>
  <c r="AC420" i="8"/>
  <c r="AC412" i="8"/>
  <c r="AC404" i="8"/>
  <c r="AC396" i="8"/>
  <c r="AC388" i="8"/>
  <c r="AF519" i="8"/>
  <c r="AD519" i="8"/>
  <c r="AA493" i="8"/>
  <c r="AF491" i="8"/>
  <c r="AD491" i="8"/>
  <c r="AC471" i="8"/>
  <c r="AC455" i="8"/>
  <c r="AC439" i="8"/>
  <c r="AC423" i="8"/>
  <c r="AC407" i="8"/>
  <c r="AC391" i="8"/>
  <c r="AA499" i="8"/>
  <c r="AF476" i="8"/>
  <c r="AD476" i="8"/>
  <c r="S465" i="8"/>
  <c r="AA443" i="8"/>
  <c r="AA431" i="8"/>
  <c r="AA415" i="8"/>
  <c r="AA399" i="8"/>
  <c r="AF325" i="8"/>
  <c r="AD325" i="8"/>
  <c r="AF309" i="8"/>
  <c r="AD309" i="8"/>
  <c r="AF293" i="8"/>
  <c r="AD293" i="8"/>
  <c r="AF277" i="8"/>
  <c r="AD277" i="8"/>
  <c r="AF287" i="8"/>
  <c r="AD287" i="8"/>
  <c r="AA361" i="8"/>
  <c r="AD355" i="8"/>
  <c r="AF355" i="8"/>
  <c r="AF296" i="8"/>
  <c r="AD296" i="8"/>
  <c r="AF281" i="8"/>
  <c r="AD281" i="8"/>
  <c r="AF368" i="8"/>
  <c r="AD368" i="8"/>
  <c r="AC308" i="8"/>
  <c r="S265" i="8"/>
  <c r="AF252" i="8"/>
  <c r="AD252" i="8"/>
  <c r="Z319" i="8"/>
  <c r="X319" i="8" s="1"/>
  <c r="AB319" i="8" s="1"/>
  <c r="AF275" i="8"/>
  <c r="AD275" i="8"/>
  <c r="AF240" i="8"/>
  <c r="AD240" i="8"/>
  <c r="AA328" i="8"/>
  <c r="AA296" i="8"/>
  <c r="AF268" i="8"/>
  <c r="AD268" i="8"/>
  <c r="S267" i="8"/>
  <c r="AA216" i="8"/>
  <c r="AD159" i="8"/>
  <c r="AF159" i="8"/>
  <c r="AD95" i="8"/>
  <c r="AF95" i="8"/>
  <c r="AF60" i="8"/>
  <c r="AD60" i="8"/>
  <c r="AD169" i="8"/>
  <c r="AF169" i="8"/>
  <c r="AD137" i="8"/>
  <c r="AF137" i="8"/>
  <c r="AD105" i="8"/>
  <c r="AF105" i="8"/>
  <c r="AD69" i="8"/>
  <c r="AF69" i="8"/>
  <c r="AF55" i="8"/>
  <c r="AD55" i="8"/>
  <c r="AF47" i="8"/>
  <c r="AD47" i="8"/>
  <c r="AF39" i="8"/>
  <c r="AD39" i="8"/>
  <c r="AF31" i="8"/>
  <c r="AD31" i="8"/>
  <c r="AF23" i="8"/>
  <c r="AD23" i="8"/>
  <c r="AF15" i="8"/>
  <c r="AD15" i="8"/>
  <c r="AF7" i="8"/>
  <c r="AD7" i="8"/>
  <c r="AF407" i="8" l="1"/>
  <c r="AD407" i="8"/>
  <c r="AF436" i="8"/>
  <c r="AD436" i="8"/>
  <c r="AF826" i="8"/>
  <c r="AD826" i="8"/>
  <c r="AF443" i="8"/>
  <c r="AD443" i="8"/>
  <c r="AF200" i="8"/>
  <c r="AD200" i="8"/>
  <c r="AF217" i="8"/>
  <c r="AD217" i="8"/>
  <c r="AF846" i="8"/>
  <c r="AD846" i="8"/>
  <c r="AF1389" i="8"/>
  <c r="AD1389" i="8"/>
  <c r="AF415" i="8"/>
  <c r="AD415" i="8"/>
  <c r="AF400" i="8"/>
  <c r="AD400" i="8"/>
  <c r="AF464" i="8"/>
  <c r="AD464" i="8"/>
  <c r="AF421" i="8"/>
  <c r="AD421" i="8"/>
  <c r="AF767" i="8"/>
  <c r="AD767" i="8"/>
  <c r="AF799" i="8"/>
  <c r="AD799" i="8"/>
  <c r="AF1639" i="8"/>
  <c r="AD1639" i="8"/>
  <c r="AF435" i="8"/>
  <c r="AD435" i="8"/>
  <c r="AF858" i="8"/>
  <c r="AD858" i="8"/>
  <c r="AF1189" i="8"/>
  <c r="AD1189" i="8"/>
  <c r="AF1394" i="8"/>
  <c r="AD1394" i="8"/>
  <c r="AF1426" i="8"/>
  <c r="AD1426" i="8"/>
  <c r="AF205" i="8"/>
  <c r="AD205" i="8"/>
  <c r="AF479" i="8"/>
  <c r="AD479" i="8"/>
  <c r="AF473" i="8"/>
  <c r="AD473" i="8"/>
  <c r="AF746" i="8"/>
  <c r="AD746" i="8"/>
  <c r="AD449" i="8"/>
  <c r="AD206" i="8"/>
  <c r="AD505" i="8"/>
  <c r="AF423" i="8"/>
  <c r="AD423" i="8"/>
  <c r="AF444" i="8"/>
  <c r="AD444" i="8"/>
  <c r="AF385" i="8"/>
  <c r="AD385" i="8"/>
  <c r="AF1129" i="8"/>
  <c r="AD1129" i="8"/>
  <c r="AF459" i="8"/>
  <c r="AD459" i="8"/>
  <c r="AF855" i="8"/>
  <c r="AD855" i="8"/>
  <c r="AF208" i="8"/>
  <c r="AD208" i="8"/>
  <c r="AF804" i="8"/>
  <c r="AD804" i="8"/>
  <c r="AF1621" i="8"/>
  <c r="AD1621" i="8"/>
  <c r="AF431" i="8"/>
  <c r="AD431" i="8"/>
  <c r="AF408" i="8"/>
  <c r="AD408" i="8"/>
  <c r="AF429" i="8"/>
  <c r="AD429" i="8"/>
  <c r="AF818" i="8"/>
  <c r="AD818" i="8"/>
  <c r="AF1442" i="8"/>
  <c r="AD1442" i="8"/>
  <c r="AF203" i="8"/>
  <c r="AD203" i="8"/>
  <c r="AF284" i="8"/>
  <c r="AD284" i="8"/>
  <c r="AF802" i="8"/>
  <c r="AD802" i="8"/>
  <c r="AF1422" i="8"/>
  <c r="AD1422" i="8"/>
  <c r="AF451" i="8"/>
  <c r="AD451" i="8"/>
  <c r="AF745" i="8"/>
  <c r="AD745" i="8"/>
  <c r="AF832" i="8"/>
  <c r="AD832" i="8"/>
  <c r="AF1451" i="8"/>
  <c r="AD1451" i="8"/>
  <c r="AF213" i="8"/>
  <c r="AD213" i="8"/>
  <c r="AF490" i="8"/>
  <c r="AD490" i="8"/>
  <c r="AF754" i="8"/>
  <c r="AD754" i="8"/>
  <c r="AF439" i="8"/>
  <c r="AD439" i="8"/>
  <c r="AF388" i="8"/>
  <c r="AD388" i="8"/>
  <c r="AF452" i="8"/>
  <c r="AD452" i="8"/>
  <c r="AF393" i="8"/>
  <c r="AD393" i="8"/>
  <c r="AF838" i="8"/>
  <c r="AD838" i="8"/>
  <c r="AF1173" i="8"/>
  <c r="AD1173" i="8"/>
  <c r="AF850" i="8"/>
  <c r="AD850" i="8"/>
  <c r="AF854" i="8"/>
  <c r="AD854" i="8"/>
  <c r="AF1177" i="8"/>
  <c r="AD1177" i="8"/>
  <c r="AF1401" i="8"/>
  <c r="AD1401" i="8"/>
  <c r="AF477" i="8"/>
  <c r="AD477" i="8"/>
  <c r="AF1157" i="8"/>
  <c r="AD1157" i="8"/>
  <c r="AF224" i="8"/>
  <c r="AD224" i="8"/>
  <c r="AF820" i="8"/>
  <c r="AD820" i="8"/>
  <c r="AF1332" i="8"/>
  <c r="AD1332" i="8"/>
  <c r="AF276" i="8"/>
  <c r="AD276" i="8"/>
  <c r="AF447" i="8"/>
  <c r="AD447" i="8"/>
  <c r="AF416" i="8"/>
  <c r="AD416" i="8"/>
  <c r="AF437" i="8"/>
  <c r="AD437" i="8"/>
  <c r="AD531" i="8"/>
  <c r="AF830" i="8"/>
  <c r="AD830" i="8"/>
  <c r="AF1387" i="8"/>
  <c r="AD1387" i="8"/>
  <c r="AF218" i="8"/>
  <c r="AD218" i="8"/>
  <c r="AF219" i="8"/>
  <c r="AD219" i="8"/>
  <c r="AF796" i="8"/>
  <c r="AD796" i="8"/>
  <c r="AF831" i="8"/>
  <c r="AD831" i="8"/>
  <c r="AF1165" i="8"/>
  <c r="AD1165" i="8"/>
  <c r="AF1396" i="8"/>
  <c r="AD1396" i="8"/>
  <c r="AF467" i="8"/>
  <c r="AD467" i="8"/>
  <c r="AF1353" i="8"/>
  <c r="AD1353" i="8"/>
  <c r="AF1449" i="8"/>
  <c r="AD1449" i="8"/>
  <c r="AF221" i="8"/>
  <c r="AD221" i="8"/>
  <c r="AF499" i="8"/>
  <c r="AD499" i="8"/>
  <c r="AF762" i="8"/>
  <c r="AD762" i="8"/>
  <c r="AF1418" i="8"/>
  <c r="AD1418" i="8"/>
  <c r="AF1623" i="8"/>
  <c r="AD1623" i="8"/>
  <c r="AD227" i="8"/>
  <c r="AD755" i="8"/>
  <c r="AD457" i="8"/>
  <c r="AD222" i="8"/>
  <c r="AF308" i="8"/>
  <c r="AD308" i="8"/>
  <c r="AF455" i="8"/>
  <c r="AD455" i="8"/>
  <c r="AF396" i="8"/>
  <c r="AD396" i="8"/>
  <c r="AF401" i="8"/>
  <c r="AD401" i="8"/>
  <c r="AF1434" i="8"/>
  <c r="AD1434" i="8"/>
  <c r="AF1185" i="8"/>
  <c r="AD1185" i="8"/>
  <c r="AF1402" i="8"/>
  <c r="AD1402" i="8"/>
  <c r="AF1435" i="8"/>
  <c r="AD1435" i="8"/>
  <c r="AF750" i="8"/>
  <c r="AD750" i="8"/>
  <c r="AF1427" i="8"/>
  <c r="AD1427" i="8"/>
  <c r="AF307" i="8"/>
  <c r="AD307" i="8"/>
  <c r="AF463" i="8"/>
  <c r="AD463" i="8"/>
  <c r="AF424" i="8"/>
  <c r="AD424" i="8"/>
  <c r="AF445" i="8"/>
  <c r="AD445" i="8"/>
  <c r="AF1395" i="8"/>
  <c r="AD1395" i="8"/>
  <c r="AD279" i="8"/>
  <c r="AF480" i="8"/>
  <c r="AD480" i="8"/>
  <c r="AF1153" i="8"/>
  <c r="AD1153" i="8"/>
  <c r="AF1453" i="8"/>
  <c r="AD1453" i="8"/>
  <c r="AF323" i="8"/>
  <c r="AD323" i="8"/>
  <c r="AD851" i="8"/>
  <c r="AF372" i="8"/>
  <c r="AD372" i="8"/>
  <c r="AF379" i="8"/>
  <c r="AD379" i="8"/>
  <c r="AF812" i="8"/>
  <c r="AD812" i="8"/>
  <c r="AF1149" i="8"/>
  <c r="AD1149" i="8"/>
  <c r="AF471" i="8"/>
  <c r="AD471" i="8"/>
  <c r="AF404" i="8"/>
  <c r="AD404" i="8"/>
  <c r="AF409" i="8"/>
  <c r="AD409" i="8"/>
  <c r="AF1169" i="8"/>
  <c r="AD1169" i="8"/>
  <c r="AF474" i="8"/>
  <c r="AD474" i="8"/>
  <c r="AF766" i="8"/>
  <c r="AD766" i="8"/>
  <c r="AF1349" i="8"/>
  <c r="AD1349" i="8"/>
  <c r="AF432" i="8"/>
  <c r="AD432" i="8"/>
  <c r="AF389" i="8"/>
  <c r="AD389" i="8"/>
  <c r="AF453" i="8"/>
  <c r="AD453" i="8"/>
  <c r="AF315" i="8"/>
  <c r="AD315" i="8"/>
  <c r="AF1193" i="8"/>
  <c r="AD1193" i="8"/>
  <c r="AF1636" i="8"/>
  <c r="AD1636" i="8"/>
  <c r="AF761" i="8"/>
  <c r="AD761" i="8"/>
  <c r="AF501" i="8"/>
  <c r="AD501" i="8"/>
  <c r="AF842" i="8"/>
  <c r="AD842" i="8"/>
  <c r="AF1137" i="8"/>
  <c r="AD1137" i="8"/>
  <c r="AF1430" i="8"/>
  <c r="AD1430" i="8"/>
  <c r="AF1652" i="8"/>
  <c r="AD1652" i="8"/>
  <c r="AD758" i="8"/>
  <c r="AD764" i="8"/>
  <c r="AD534" i="8"/>
  <c r="AD795" i="8"/>
  <c r="AF412" i="8"/>
  <c r="AD412" i="8"/>
  <c r="AF433" i="8"/>
  <c r="AD433" i="8"/>
  <c r="AF1397" i="8"/>
  <c r="AD1397" i="8"/>
  <c r="AF859" i="8"/>
  <c r="AD859" i="8"/>
  <c r="AF1644" i="8"/>
  <c r="AD1644" i="8"/>
  <c r="AF395" i="8"/>
  <c r="AD395" i="8"/>
  <c r="AF787" i="8"/>
  <c r="AD787" i="8"/>
  <c r="AF375" i="8"/>
  <c r="AD375" i="8"/>
  <c r="AF829" i="8"/>
  <c r="AD829" i="8"/>
  <c r="AF1181" i="8"/>
  <c r="AD1181" i="8"/>
  <c r="AF1438" i="8"/>
  <c r="AD1438" i="8"/>
  <c r="AF440" i="8"/>
  <c r="AD440" i="8"/>
  <c r="AF397" i="8"/>
  <c r="AD397" i="8"/>
  <c r="AF461" i="8"/>
  <c r="AD461" i="8"/>
  <c r="AF1141" i="8"/>
  <c r="AD1141" i="8"/>
  <c r="AF752" i="8"/>
  <c r="AD752" i="8"/>
  <c r="AF387" i="8"/>
  <c r="AD387" i="8"/>
  <c r="AF1125" i="8"/>
  <c r="AD1125" i="8"/>
  <c r="AF1651" i="8"/>
  <c r="AD1651" i="8"/>
  <c r="AF204" i="8"/>
  <c r="AD204" i="8"/>
  <c r="AF365" i="8"/>
  <c r="AD365" i="8"/>
  <c r="AF833" i="8"/>
  <c r="AD833" i="8"/>
  <c r="AF420" i="8"/>
  <c r="AD420" i="8"/>
  <c r="AF1333" i="8"/>
  <c r="AD1333" i="8"/>
  <c r="AF1133" i="8"/>
  <c r="AD1133" i="8"/>
  <c r="AF411" i="8"/>
  <c r="AD411" i="8"/>
  <c r="AF509" i="8"/>
  <c r="AD509" i="8"/>
  <c r="AF828" i="8"/>
  <c r="AD828" i="8"/>
  <c r="AF193" i="8"/>
  <c r="AD193" i="8"/>
  <c r="AF1403" i="8"/>
  <c r="AD1403" i="8"/>
  <c r="AF383" i="8"/>
  <c r="AD383" i="8"/>
  <c r="AF448" i="8"/>
  <c r="AD448" i="8"/>
  <c r="AF405" i="8"/>
  <c r="AD405" i="8"/>
  <c r="AF469" i="8"/>
  <c r="AD469" i="8"/>
  <c r="AF751" i="8"/>
  <c r="AD751" i="8"/>
  <c r="AF1624" i="8"/>
  <c r="AD1624" i="8"/>
  <c r="AF760" i="8"/>
  <c r="AD760" i="8"/>
  <c r="AF1145" i="8"/>
  <c r="AD1145" i="8"/>
  <c r="AF1346" i="8"/>
  <c r="AD1346" i="8"/>
  <c r="AF403" i="8"/>
  <c r="AD403" i="8"/>
  <c r="AF836" i="8"/>
  <c r="AD836" i="8"/>
  <c r="AF1354" i="8"/>
  <c r="AD1354" i="8"/>
  <c r="AF1635" i="8"/>
  <c r="AD1635" i="8"/>
  <c r="AD1447" i="8"/>
  <c r="AD498" i="8"/>
  <c r="AF391" i="8"/>
  <c r="AD391" i="8"/>
  <c r="AF428" i="8"/>
  <c r="AD428" i="8"/>
  <c r="AF1341" i="8"/>
  <c r="AD1341" i="8"/>
  <c r="AF1643" i="8"/>
  <c r="AD1643" i="8"/>
  <c r="AF427" i="8"/>
  <c r="AD427" i="8"/>
  <c r="AF201" i="8"/>
  <c r="AD201" i="8"/>
  <c r="AF1417" i="8"/>
  <c r="AD1417" i="8"/>
  <c r="AF1650" i="8"/>
  <c r="AD1650" i="8"/>
  <c r="AF399" i="8"/>
  <c r="AD399" i="8"/>
  <c r="AF392" i="8"/>
  <c r="AD392" i="8"/>
  <c r="AF456" i="8"/>
  <c r="AD456" i="8"/>
  <c r="AF413" i="8"/>
  <c r="AD413" i="8"/>
  <c r="AF481" i="8"/>
  <c r="AD481" i="8"/>
  <c r="AF759" i="8"/>
  <c r="AD759" i="8"/>
  <c r="AF377" i="8"/>
  <c r="AD377" i="8"/>
  <c r="AF847" i="8"/>
  <c r="AD847" i="8"/>
  <c r="AF1161" i="8"/>
  <c r="AD1161" i="8"/>
  <c r="AD1350" i="8"/>
  <c r="AF419" i="8"/>
  <c r="AD419" i="8"/>
  <c r="AF1627" i="8"/>
  <c r="AD1627" i="8"/>
  <c r="AF331" i="8"/>
  <c r="AD331" i="8"/>
  <c r="AF197" i="8"/>
  <c r="AD197" i="8"/>
  <c r="AF603" i="8"/>
  <c r="AD603" i="8"/>
</calcChain>
</file>

<file path=xl/sharedStrings.xml><?xml version="1.0" encoding="utf-8"?>
<sst xmlns="http://schemas.openxmlformats.org/spreadsheetml/2006/main" count="8528" uniqueCount="324">
  <si>
    <t>Class A</t>
  </si>
  <si>
    <t>AREA I</t>
  </si>
  <si>
    <t>Class B</t>
  </si>
  <si>
    <t>Class C</t>
  </si>
  <si>
    <t>Area</t>
  </si>
  <si>
    <t>MUTI CATALUNAN GRANDE</t>
  </si>
  <si>
    <t>Stock Status</t>
  </si>
  <si>
    <t>DoI</t>
  </si>
  <si>
    <t>Class</t>
  </si>
  <si>
    <t>Branch</t>
  </si>
  <si>
    <t>Suggested Transfer</t>
  </si>
  <si>
    <t>HONDA ISULAN</t>
  </si>
  <si>
    <t>ADV160</t>
  </si>
  <si>
    <t>Over</t>
  </si>
  <si>
    <t>CLICK125 FI</t>
  </si>
  <si>
    <t>Stockout</t>
  </si>
  <si>
    <t>CLICK125 FI SE</t>
  </si>
  <si>
    <t>CRF150</t>
  </si>
  <si>
    <t>XR150</t>
  </si>
  <si>
    <t>HONDA SURALLAH</t>
  </si>
  <si>
    <t>XRM DUAL SPORTS FI(DS)</t>
  </si>
  <si>
    <t>MUTI BANGA</t>
  </si>
  <si>
    <t>CLICK160 FI</t>
  </si>
  <si>
    <t>CT125</t>
  </si>
  <si>
    <t>KLX150</t>
  </si>
  <si>
    <t>MIO AEROX 155</t>
  </si>
  <si>
    <t>RAIDER150 FI BLADE</t>
  </si>
  <si>
    <t>MUTI ISULAN</t>
  </si>
  <si>
    <t>NMAX155 FI ABS</t>
  </si>
  <si>
    <t>MUTI SURALLAH</t>
  </si>
  <si>
    <t>MUTI TACURONG</t>
  </si>
  <si>
    <t>CT100</t>
  </si>
  <si>
    <t>ADV350</t>
  </si>
  <si>
    <t>CRF300</t>
  </si>
  <si>
    <t>GIORNO</t>
  </si>
  <si>
    <t>NAVI</t>
  </si>
  <si>
    <t>TMX150 SUPREMO</t>
  </si>
  <si>
    <t>XRM MOTARD FI</t>
  </si>
  <si>
    <t>ADV160 ROADSYNC</t>
  </si>
  <si>
    <t>BEAT FI PREM</t>
  </si>
  <si>
    <t>TMX ALPHA FI</t>
  </si>
  <si>
    <t>LEXI 155</t>
  </si>
  <si>
    <t>MIO AEROX S 155</t>
  </si>
  <si>
    <t>MIO i125</t>
  </si>
  <si>
    <t>NMAX155 TECHMAX</t>
  </si>
  <si>
    <t>SNIPER 155 FI</t>
  </si>
  <si>
    <t>XRM RS</t>
  </si>
  <si>
    <t>MIO GEAR S</t>
  </si>
  <si>
    <t>ACCESS 125</t>
  </si>
  <si>
    <t>BAJAJ RE 4S FI</t>
  </si>
  <si>
    <t>MIO GRAVIS</t>
  </si>
  <si>
    <t>V-STROM 160</t>
  </si>
  <si>
    <t>XTZ125</t>
  </si>
  <si>
    <t>AIRBLADE 160</t>
  </si>
  <si>
    <t>BEAT FI STD</t>
  </si>
  <si>
    <t>CRF150R</t>
  </si>
  <si>
    <t>CRF300 RALLY</t>
  </si>
  <si>
    <t>EM1 e:</t>
  </si>
  <si>
    <t>PCX160 ABS</t>
  </si>
  <si>
    <t>PCX160 ROADSYNC</t>
  </si>
  <si>
    <t>WAVE RSX (DRUM)</t>
  </si>
  <si>
    <t>WAVE RSX(DISC)</t>
  </si>
  <si>
    <t>WINNER X ABS</t>
  </si>
  <si>
    <t>WINNER X RC</t>
  </si>
  <si>
    <t>XRM OFFROAD FI(DSX)</t>
  </si>
  <si>
    <t>AVENIS125</t>
  </si>
  <si>
    <t>BARAKO II (DUAL START)</t>
  </si>
  <si>
    <t>FAZZIO</t>
  </si>
  <si>
    <t>SKYDRIVE CROSSOVER</t>
  </si>
  <si>
    <t>YTX125</t>
  </si>
  <si>
    <t>BARAKO II (KICK START)</t>
  </si>
  <si>
    <t>BURGMAN15</t>
  </si>
  <si>
    <t>CT100B</t>
  </si>
  <si>
    <t>DR160</t>
  </si>
  <si>
    <t>LANCE150</t>
  </si>
  <si>
    <t>RAIDER150 FI PRO</t>
  </si>
  <si>
    <t>SMASH(SPOKE)</t>
  </si>
  <si>
    <t>ACCESS 125 RIDE CONNECT</t>
  </si>
  <si>
    <t>BARAKO III FI(DUAL START)</t>
  </si>
  <si>
    <t>BURGMAN STREET</t>
  </si>
  <si>
    <t>MIO GEAR</t>
  </si>
  <si>
    <t>PCX160 CBS</t>
  </si>
  <si>
    <t>SMASH(MAGS)</t>
  </si>
  <si>
    <t>WIZARD</t>
  </si>
  <si>
    <t>BOLT150</t>
  </si>
  <si>
    <t>BOXER</t>
  </si>
  <si>
    <t>BRUSKY125</t>
  </si>
  <si>
    <t>CB150X</t>
  </si>
  <si>
    <t>MIO i125s</t>
  </si>
  <si>
    <t>WINNER X STD</t>
  </si>
  <si>
    <t>AREA II</t>
  </si>
  <si>
    <t>HONDA MARAMAG</t>
  </si>
  <si>
    <t>MUTI BULUA</t>
  </si>
  <si>
    <t>MUTI DON CARLOS</t>
  </si>
  <si>
    <t>MUTI LAPASAN</t>
  </si>
  <si>
    <t>MUTI MANOLO</t>
  </si>
  <si>
    <t>MUTI MARAMAG</t>
  </si>
  <si>
    <t>MUTI QUEZON</t>
  </si>
  <si>
    <t>MUTI VALENCIA</t>
  </si>
  <si>
    <t>PG-1</t>
  </si>
  <si>
    <t>MAXIMA Z</t>
  </si>
  <si>
    <t>MAXIMA CARGO</t>
  </si>
  <si>
    <t>CRF125</t>
  </si>
  <si>
    <t>GIXXER 250</t>
  </si>
  <si>
    <t>SMASH FI(MAGS)</t>
  </si>
  <si>
    <t>V-STROM 250 SX</t>
  </si>
  <si>
    <t>RAIDER150 CARB</t>
  </si>
  <si>
    <t>BURGMAN STREET EX</t>
  </si>
  <si>
    <t>SMASH FI(SPOKE)</t>
  </si>
  <si>
    <t>AREA III-A</t>
  </si>
  <si>
    <t>MUTI NABUNTURAN</t>
  </si>
  <si>
    <t>MUTI PANABO</t>
  </si>
  <si>
    <t>MUTI SAMAL</t>
  </si>
  <si>
    <t>MUTI TAGUM 1</t>
  </si>
  <si>
    <t>MUTI TAGUM 2</t>
  </si>
  <si>
    <t>MUTI TAGUM 3</t>
  </si>
  <si>
    <t>MUTI TIBUNGCO</t>
  </si>
  <si>
    <t>PCX160 STANDARD</t>
  </si>
  <si>
    <t>AREA III-B</t>
  </si>
  <si>
    <t>MUTI BANSALAN</t>
  </si>
  <si>
    <t>MUTI CABANTIAN</t>
  </si>
  <si>
    <t>MUTI CALINAN</t>
  </si>
  <si>
    <t>MUTI DIGOS</t>
  </si>
  <si>
    <t>MUTI ECOLAND</t>
  </si>
  <si>
    <t>KING</t>
  </si>
  <si>
    <t>SKYDRIVE SPORT</t>
  </si>
  <si>
    <t>KLX300</t>
  </si>
  <si>
    <t>RAIDER J CROSSOVER</t>
  </si>
  <si>
    <t>AREA IV</t>
  </si>
  <si>
    <t>MUTI KABACAN</t>
  </si>
  <si>
    <t>MUTI KIDAPAWAN</t>
  </si>
  <si>
    <t>MUTI MIDSAYAP</t>
  </si>
  <si>
    <t>MUTI MLANG</t>
  </si>
  <si>
    <t>MIO SPORTY</t>
  </si>
  <si>
    <t>SUPRA GTR</t>
  </si>
  <si>
    <t>BARAKO III FI(KICK START)</t>
  </si>
  <si>
    <t>MT-03</t>
  </si>
  <si>
    <t>AREA V</t>
  </si>
  <si>
    <t>GREATWALL</t>
  </si>
  <si>
    <t>HONDA KORONADAL</t>
  </si>
  <si>
    <t>HONDA MALUNGON</t>
  </si>
  <si>
    <t>MUTI 3S</t>
  </si>
  <si>
    <t>MUTI ALABEL</t>
  </si>
  <si>
    <t>MUTI MALUNGON</t>
  </si>
  <si>
    <t>MUTI MARBEL</t>
  </si>
  <si>
    <t>MUTI POLOMOLOK</t>
  </si>
  <si>
    <t>MUTI TUPI</t>
  </si>
  <si>
    <t>XMAX 300</t>
  </si>
  <si>
    <t>GIXXER 155</t>
  </si>
  <si>
    <t>CUV e:</t>
  </si>
  <si>
    <t>BAJAJ RE SP. ED</t>
  </si>
  <si>
    <t>W175</t>
  </si>
  <si>
    <t>AREA VI</t>
  </si>
  <si>
    <t>MUTI BAYUGAN</t>
  </si>
  <si>
    <t>MUTI BUTUAN</t>
  </si>
  <si>
    <t>MUTI CABADBARAN</t>
  </si>
  <si>
    <t>MUTI PROSPERIDAD</t>
  </si>
  <si>
    <t>MUTI SAN FRANCISCO</t>
  </si>
  <si>
    <t>MUTI SURIGAO</t>
  </si>
  <si>
    <t>AREA VII</t>
  </si>
  <si>
    <t>MUTI BATANGAS</t>
  </si>
  <si>
    <t>MUTI CALAMBA</t>
  </si>
  <si>
    <t>MUTI STO. TOMAS</t>
  </si>
  <si>
    <t>MUTI MC : Stock Outrate - Overall after PO Balance</t>
  </si>
  <si>
    <t>Reorder</t>
  </si>
  <si>
    <t>#N/A</t>
  </si>
  <si>
    <t>MUTI MC : Stock Outrate - Per Branch</t>
  </si>
  <si>
    <t>MUTI MC : Stock Outrate - Overall (Before PO Balance)</t>
  </si>
  <si>
    <t>MUTI MC : DoI</t>
  </si>
  <si>
    <t>EDITABLE KPI INPUT | YTD MONTHLY</t>
  </si>
  <si>
    <t>Update the gold cells only: dates, status counts (Over / Reorder / Stockout / #N/A), and Class A/B/C DoI. All KPI percentages and overall DoI are formula-driven and feed the dashboard automatically.</t>
  </si>
  <si>
    <t>EDITABLE KPI INPUT | WEEKLY</t>
  </si>
  <si>
    <t>Overall Class A Stock Out Rate</t>
  </si>
  <si>
    <t>MC Class A Doi</t>
  </si>
  <si>
    <t>Rank</t>
  </si>
  <si>
    <t>ROUSER NS125</t>
  </si>
  <si>
    <t>CLICK125 FI STREET</t>
  </si>
  <si>
    <t>Re-order</t>
  </si>
  <si>
    <t>Distribution as of 2026-09-12</t>
  </si>
  <si>
    <t>Standard Description</t>
  </si>
  <si>
    <t>ABC</t>
  </si>
  <si>
    <t>RANK</t>
  </si>
  <si>
    <t>CLASS</t>
  </si>
  <si>
    <t>BRAND</t>
  </si>
  <si>
    <t>Cost</t>
  </si>
  <si>
    <t>LAST 90D Sale Qty</t>
  </si>
  <si>
    <t>LAST 60D Sale Qty</t>
  </si>
  <si>
    <t>LAST 30D Sale Qty</t>
  </si>
  <si>
    <t>3Mo Sales Qty Total</t>
  </si>
  <si>
    <t>A-3Mo Sale Qty</t>
  </si>
  <si>
    <t>3Mo Sales (Php)</t>
  </si>
  <si>
    <t>A-3Mo Sales Val (Php)</t>
  </si>
  <si>
    <t>Avg. Daily Sale (Qty)</t>
  </si>
  <si>
    <t>Inv. Qty Total</t>
  </si>
  <si>
    <t>Inv. (Php)</t>
  </si>
  <si>
    <t>DoI (Branch)</t>
  </si>
  <si>
    <t>DoI (Re-order)</t>
  </si>
  <si>
    <t>LT (D) (branch)</t>
  </si>
  <si>
    <t>SS (D) (branch)</t>
  </si>
  <si>
    <t>RoP (D) (branch)</t>
  </si>
  <si>
    <t>Order (D) (branch)</t>
  </si>
  <si>
    <t>Max (D) (branch)</t>
  </si>
  <si>
    <t>SS (Qty) (branch)</t>
  </si>
  <si>
    <t>RoP (Qty)  (branch)</t>
  </si>
  <si>
    <t>Order (Qty) (branch)</t>
  </si>
  <si>
    <t>Max Stock (Qty) (branch)</t>
  </si>
  <si>
    <t>Stock Status (branch)</t>
  </si>
  <si>
    <t>Stock Status (Re-order)</t>
  </si>
  <si>
    <t>GW</t>
  </si>
  <si>
    <t>DUARTE</t>
  </si>
  <si>
    <t>Qty Transfer</t>
  </si>
  <si>
    <t>Actual Transfer</t>
  </si>
  <si>
    <t>Remaining Transfer</t>
  </si>
  <si>
    <t>From (Source Location)</t>
  </si>
  <si>
    <t>To (Destination Location)</t>
  </si>
  <si>
    <t>Remarks</t>
  </si>
  <si>
    <t>STS No.</t>
  </si>
  <si>
    <t>Allocation Date</t>
  </si>
  <si>
    <t>Delivery Date</t>
  </si>
  <si>
    <t>Lead Time</t>
  </si>
  <si>
    <t>Status</t>
  </si>
  <si>
    <t>C3</t>
  </si>
  <si>
    <t>B16</t>
  </si>
  <si>
    <t>C2</t>
  </si>
  <si>
    <t>B4</t>
  </si>
  <si>
    <t>A3</t>
  </si>
  <si>
    <t>C12</t>
  </si>
  <si>
    <t>A1</t>
  </si>
  <si>
    <t>B14</t>
  </si>
  <si>
    <t>C7</t>
  </si>
  <si>
    <t>A6</t>
  </si>
  <si>
    <t>C11</t>
  </si>
  <si>
    <t>C13</t>
  </si>
  <si>
    <t>B3</t>
  </si>
  <si>
    <t>A4</t>
  </si>
  <si>
    <t>C8</t>
  </si>
  <si>
    <t>B2</t>
  </si>
  <si>
    <t>C9</t>
  </si>
  <si>
    <t>A2</t>
  </si>
  <si>
    <t>C15</t>
  </si>
  <si>
    <t>B5</t>
  </si>
  <si>
    <t>C4</t>
  </si>
  <si>
    <t>C14</t>
  </si>
  <si>
    <t>B10</t>
  </si>
  <si>
    <t>C39</t>
  </si>
  <si>
    <t>C20</t>
  </si>
  <si>
    <t>B6</t>
  </si>
  <si>
    <t>C6</t>
  </si>
  <si>
    <t>MUTI OZAMIZ</t>
  </si>
  <si>
    <t>C37</t>
  </si>
  <si>
    <t>A9</t>
  </si>
  <si>
    <t>A8</t>
  </si>
  <si>
    <t>B13</t>
  </si>
  <si>
    <t>C10</t>
  </si>
  <si>
    <t>B1</t>
  </si>
  <si>
    <t>B7</t>
  </si>
  <si>
    <t>B8</t>
  </si>
  <si>
    <t>C5</t>
  </si>
  <si>
    <t>C16</t>
  </si>
  <si>
    <t>A5</t>
  </si>
  <si>
    <t>C21</t>
  </si>
  <si>
    <t>B11</t>
  </si>
  <si>
    <t>B9</t>
  </si>
  <si>
    <t>C29</t>
  </si>
  <si>
    <t>A7</t>
  </si>
  <si>
    <t>C17</t>
  </si>
  <si>
    <t>B12</t>
  </si>
  <si>
    <t>C18</t>
  </si>
  <si>
    <t>C1</t>
  </si>
  <si>
    <t>A16</t>
  </si>
  <si>
    <t>A15</t>
  </si>
  <si>
    <t>C33</t>
  </si>
  <si>
    <t>C19</t>
  </si>
  <si>
    <t>C22</t>
  </si>
  <si>
    <t>A10</t>
  </si>
  <si>
    <t>C36</t>
  </si>
  <si>
    <t>C23</t>
  </si>
  <si>
    <t>A18</t>
  </si>
  <si>
    <t>A13</t>
  </si>
  <si>
    <t>A17</t>
  </si>
  <si>
    <t>B15</t>
  </si>
  <si>
    <t>C27</t>
  </si>
  <si>
    <t>C40</t>
  </si>
  <si>
    <t>C25</t>
  </si>
  <si>
    <t>A11</t>
  </si>
  <si>
    <t>C32</t>
  </si>
  <si>
    <t>A14</t>
  </si>
  <si>
    <t>A12</t>
  </si>
  <si>
    <t>A19</t>
  </si>
  <si>
    <t>C24</t>
  </si>
  <si>
    <t>C35</t>
  </si>
  <si>
    <t>C38</t>
  </si>
  <si>
    <t>C26</t>
  </si>
  <si>
    <t>B17</t>
  </si>
  <si>
    <t>C41</t>
  </si>
  <si>
    <t>C30</t>
  </si>
  <si>
    <t>C43</t>
  </si>
  <si>
    <t>C28</t>
  </si>
  <si>
    <t>C34</t>
  </si>
  <si>
    <t>C42</t>
  </si>
  <si>
    <t>C31</t>
  </si>
  <si>
    <t>Re-order as of 2026-09-11</t>
  </si>
  <si>
    <t>Brand</t>
  </si>
  <si>
    <t>A-3Mo Sales Qty Total</t>
  </si>
  <si>
    <t>3Mo Sales (PHP)</t>
  </si>
  <si>
    <t>A-3Mo Sales Val (PHP)</t>
  </si>
  <si>
    <t>Inv. (PHP)</t>
  </si>
  <si>
    <t>LT (D)</t>
  </si>
  <si>
    <t>SS (D)</t>
  </si>
  <si>
    <t>RoP (D)</t>
  </si>
  <si>
    <t>Order (D)</t>
  </si>
  <si>
    <t>Max (D)</t>
  </si>
  <si>
    <t>SS (Qty)</t>
  </si>
  <si>
    <t>RoP (Qty)</t>
  </si>
  <si>
    <t>Order (Qty)</t>
  </si>
  <si>
    <t>Max Stock (Qty)</t>
  </si>
  <si>
    <t>PO Balance</t>
  </si>
  <si>
    <t>Allocation</t>
  </si>
  <si>
    <t>Inv After PO</t>
  </si>
  <si>
    <t>DoI after PO Bal</t>
  </si>
  <si>
    <t>Stock Status after PO Bal</t>
  </si>
  <si>
    <t>CB150R</t>
  </si>
  <si>
    <t>GIXXER SF 250</t>
  </si>
  <si>
    <t>KLX140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</si>
</sst>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mm/dd/yyyy"/>
    <numFmt numFmtId="166" formatCode="0.0"/>
    <numFmt numFmtId="167" formatCode="#,##0_);[Red]\(#,##0\);\-\ \ ;@"/>
    <numFmt numFmtId="168" formatCode="#,##0.00_);[Red]\(#,##0.00\);\-\ \ ;@"/>
  </numFmts>
  <fonts count="10">
    <font>
      <sz val="11"/>
      <name val="Carlito"/>
    </font>
    <font>
      <b/>
      <sz val="10"/>
      <color rgb="FFFFFFFF"/>
      <name val="Aptos"/>
      <family val="2"/>
    </font>
    <font>
      <b/>
      <sz val="11"/>
      <color rgb="FF17212B"/>
      <name val="Aptos"/>
      <family val="2"/>
    </font>
    <font>
      <sz val="10"/>
      <color rgb="FF1F2937"/>
      <name val="Aptos"/>
      <family val="2"/>
    </font>
    <font>
      <b/>
      <sz val="10"/>
      <color rgb="FF1F2937"/>
      <name val="Aptos"/>
      <family val="2"/>
    </font>
    <font>
      <b/>
      <sz val="10"/>
      <color rgb="FFC62828"/>
      <name val="Aptos"/>
      <family val="2"/>
    </font>
    <font>
      <i/>
      <sz val="9"/>
      <color rgb="FF1F2937"/>
      <name val="Aptos"/>
      <family val="2"/>
    </font>
    <font>
      <b/>
      <sz val="14"/>
      <color theme="1"/>
      <name val="Calibre"/>
      <family val="2"/>
    </font>
    <font>
      <b/>
      <sz val="10"/>
      <color rgb="FFFFFFFF"/>
      <name val="Calibre"/>
      <family val="2"/>
    </font>
    <font>
      <sz val="10"/>
      <color theme="1"/>
      <name val="Calibre"/>
      <family val="2"/>
    </font>
  </fonts>
  <fills count="10">
    <fill>
      <patternFill patternType="none"/>
    </fill>
    <fill>
      <patternFill patternType="gray125"/>
    </fill>
    <fill>
      <patternFill patternType="solid">
        <fgColor rgb="FF17212B"/>
      </patternFill>
    </fill>
    <fill>
      <patternFill patternType="solid">
        <fgColor rgb="FFF3F5F7"/>
      </patternFill>
    </fill>
    <fill>
      <patternFill patternType="solid">
        <fgColor rgb="FFECECEC"/>
      </patternFill>
    </fill>
    <fill>
      <patternFill patternType="solid">
        <fgColor rgb="FFFFF2CC"/>
      </patternFill>
    </fill>
    <fill>
      <patternFill patternType="solid">
        <fgColor rgb="FFEEF1F4"/>
      </patternFill>
    </fill>
    <fill>
      <patternFill patternType="solid">
        <fgColor rgb="FFD9A514"/>
      </patternFill>
    </fill>
    <fill>
      <patternFill patternType="solid">
        <fgColor rgb="FFFFF9E8"/>
      </patternFill>
    </fill>
    <fill>
      <patternFill patternType="solid">
        <fgColor rgb="FF00003E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1"/>
  </cellStyleXfs>
  <cellXfs count="47">
    <xf numFmtId="0" fontId="0" fillId="0" borderId="0" xfId="0" applyBorder="1"/>
    <xf numFmtId="0" fontId="0" fillId="0" borderId="1" xfId="0"/>
    <xf numFmtId="0" fontId="3" fillId="0" borderId="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0" xfId="0" applyFont="1" applyFill="1" applyBorder="1" applyAlignment="1">
      <alignment vertical="center"/>
    </xf>
    <xf numFmtId="0" fontId="4" fillId="3" borderId="5" xfId="0" applyFont="1" applyFill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0" fontId="3" fillId="4" borderId="0" xfId="0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4" fontId="1" fillId="2" borderId="0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166" fontId="1" fillId="2" borderId="0" xfId="0" applyNumberFormat="1" applyFont="1" applyFill="1" applyBorder="1" applyAlignment="1">
      <alignment vertical="center"/>
    </xf>
    <xf numFmtId="166" fontId="1" fillId="2" borderId="6" xfId="0" applyNumberFormat="1" applyFont="1" applyFill="1" applyBorder="1" applyAlignment="1">
      <alignment vertical="center"/>
    </xf>
    <xf numFmtId="0" fontId="3" fillId="5" borderId="0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166" fontId="3" fillId="5" borderId="0" xfId="0" applyNumberFormat="1" applyFont="1" applyFill="1" applyBorder="1" applyAlignment="1">
      <alignment horizontal="center" vertical="center"/>
    </xf>
    <xf numFmtId="166" fontId="3" fillId="5" borderId="6" xfId="0" applyNumberFormat="1" applyFont="1" applyFill="1" applyBorder="1" applyAlignment="1">
      <alignment horizontal="center" vertical="center"/>
    </xf>
    <xf numFmtId="166" fontId="3" fillId="5" borderId="8" xfId="0" applyNumberFormat="1" applyFont="1" applyFill="1" applyBorder="1" applyAlignment="1">
      <alignment horizontal="center" vertical="center"/>
    </xf>
    <xf numFmtId="166" fontId="3" fillId="5" borderId="9" xfId="0" applyNumberFormat="1" applyFont="1" applyFill="1" applyBorder="1" applyAlignment="1">
      <alignment horizontal="center" vertical="center"/>
    </xf>
    <xf numFmtId="165" fontId="4" fillId="5" borderId="0" xfId="0" applyNumberFormat="1" applyFont="1" applyFill="1" applyBorder="1" applyAlignment="1">
      <alignment horizontal="center" vertical="center"/>
    </xf>
    <xf numFmtId="165" fontId="4" fillId="5" borderId="6" xfId="0" applyNumberFormat="1" applyFont="1" applyFill="1" applyBorder="1" applyAlignment="1">
      <alignment horizontal="center" vertical="center"/>
    </xf>
    <xf numFmtId="165" fontId="4" fillId="6" borderId="0" xfId="0" applyNumberFormat="1" applyFont="1" applyFill="1" applyBorder="1" applyAlignment="1">
      <alignment horizontal="center" vertical="center"/>
    </xf>
    <xf numFmtId="165" fontId="4" fillId="6" borderId="6" xfId="0" applyNumberFormat="1" applyFont="1" applyFill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164" fontId="4" fillId="6" borderId="0" xfId="0" applyNumberFormat="1" applyFont="1" applyFill="1" applyBorder="1" applyAlignment="1">
      <alignment horizontal="center" vertical="center"/>
    </xf>
    <xf numFmtId="164" fontId="4" fillId="6" borderId="6" xfId="0" applyNumberFormat="1" applyFont="1" applyFill="1" applyBorder="1" applyAlignment="1">
      <alignment horizontal="center" vertical="center"/>
    </xf>
    <xf numFmtId="1" fontId="3" fillId="5" borderId="0" xfId="0" applyNumberFormat="1" applyFont="1" applyFill="1" applyBorder="1" applyAlignment="1">
      <alignment horizontal="center" vertical="center"/>
    </xf>
    <xf numFmtId="1" fontId="3" fillId="5" borderId="8" xfId="0" applyNumberFormat="1" applyFont="1" applyFill="1" applyBorder="1" applyAlignment="1">
      <alignment horizontal="center" vertical="center"/>
    </xf>
    <xf numFmtId="14" fontId="4" fillId="5" borderId="0" xfId="0" applyNumberFormat="1" applyFont="1" applyFill="1" applyBorder="1" applyAlignment="1">
      <alignment horizontal="center" vertical="center"/>
    </xf>
    <xf numFmtId="1" fontId="0" fillId="0" borderId="1" xfId="0" applyNumberFormat="1"/>
    <xf numFmtId="0" fontId="6" fillId="8" borderId="1" xfId="0" applyFont="1" applyFill="1" applyAlignment="1">
      <alignment vertical="center" wrapText="1"/>
    </xf>
    <xf numFmtId="0" fontId="0" fillId="0" borderId="1" xfId="0"/>
    <xf numFmtId="0" fontId="2" fillId="7" borderId="1" xfId="0" applyFont="1" applyFill="1" applyAlignment="1">
      <alignment vertical="center"/>
    </xf>
    <xf numFmtId="0" fontId="7" fillId="0" borderId="1" xfId="0" applyFont="1" applyAlignment="1">
      <alignment horizontal="left"/>
    </xf>
    <xf numFmtId="0" fontId="8" fillId="9" borderId="10" xfId="0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left"/>
    </xf>
    <xf numFmtId="0" fontId="9" fillId="0" borderId="10" xfId="0" applyFont="1" applyBorder="1" applyAlignment="1">
      <alignment horizontal="center"/>
    </xf>
    <xf numFmtId="168" fontId="9" fillId="0" borderId="10" xfId="0" applyNumberFormat="1" applyFont="1" applyBorder="1" applyAlignment="1">
      <alignment horizontal="right"/>
    </xf>
    <xf numFmtId="167" fontId="9" fillId="0" borderId="10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OWNLOADS\ABC%20Report%202026-09-12.xlsx" TargetMode="External"/><Relationship Id="rId1" Type="http://schemas.openxmlformats.org/officeDocument/2006/relationships/externalLinkPath" Target="file:///D:\DOWNLOADS\ABC%20Report%202026-09-1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OWNLOADS\ABC%20Report%202026-09-11.xlsx" TargetMode="External"/><Relationship Id="rId1" Type="http://schemas.openxmlformats.org/officeDocument/2006/relationships/externalLinkPath" Target="file:///D:\DOWNLOADS\ABC%20Report%202026-09-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st Masterlist"/>
      <sheetName val="Raw Sales"/>
      <sheetName val="Raw Inventory"/>
      <sheetName val="MC Masterlist 2026-09-12"/>
      <sheetName val="Branch-Area Masterlist"/>
      <sheetName val="Class ABC"/>
      <sheetName val="Class ABC - Branch"/>
      <sheetName val="Distribution"/>
      <sheetName val="Re-order"/>
      <sheetName val="PO Balance"/>
    </sheetNames>
    <sheetDataSet>
      <sheetData sheetId="0"/>
      <sheetData sheetId="1"/>
      <sheetData sheetId="2">
        <row r="2">
          <cell r="B2" t="str">
            <v>Description</v>
          </cell>
          <cell r="C2" t="str">
            <v>Branch</v>
          </cell>
          <cell r="D2" t="str">
            <v>Quantity</v>
          </cell>
        </row>
        <row r="3">
          <cell r="B3" t="str">
            <v>TMX150 SUPREMO</v>
          </cell>
          <cell r="C3" t="str">
            <v>MUTI DON CARLOS</v>
          </cell>
          <cell r="D3">
            <v>1</v>
          </cell>
        </row>
        <row r="4">
          <cell r="B4" t="str">
            <v>XR150</v>
          </cell>
          <cell r="C4" t="str">
            <v>MUTI CATALUNAN GRANDE</v>
          </cell>
          <cell r="D4">
            <v>1</v>
          </cell>
        </row>
        <row r="5">
          <cell r="B5" t="str">
            <v>XR150</v>
          </cell>
          <cell r="C5" t="str">
            <v>MUTI TAGUM 2</v>
          </cell>
          <cell r="D5">
            <v>1</v>
          </cell>
        </row>
        <row r="6">
          <cell r="B6" t="str">
            <v>XRM RS</v>
          </cell>
          <cell r="C6" t="str">
            <v>HONDA MARAMAG</v>
          </cell>
          <cell r="D6">
            <v>1</v>
          </cell>
        </row>
        <row r="7">
          <cell r="B7" t="str">
            <v>SUPRA GTR</v>
          </cell>
          <cell r="C7" t="str">
            <v>MUTI KABACAN</v>
          </cell>
          <cell r="D7">
            <v>1</v>
          </cell>
        </row>
        <row r="8">
          <cell r="B8" t="str">
            <v>TMX ALPHA FI</v>
          </cell>
          <cell r="C8" t="str">
            <v>MUTI TAGUM 3</v>
          </cell>
          <cell r="D8">
            <v>1</v>
          </cell>
        </row>
        <row r="9">
          <cell r="B9" t="str">
            <v>PCX160 CBS</v>
          </cell>
          <cell r="C9" t="str">
            <v>MUTI DON CARLOS</v>
          </cell>
          <cell r="D9">
            <v>1</v>
          </cell>
        </row>
        <row r="10">
          <cell r="B10" t="str">
            <v>PCX160 ABS</v>
          </cell>
          <cell r="C10" t="str">
            <v>MUTI MARBEL-MC</v>
          </cell>
          <cell r="D10">
            <v>1</v>
          </cell>
        </row>
        <row r="11">
          <cell r="B11" t="str">
            <v>PCX160 ABS</v>
          </cell>
          <cell r="C11" t="str">
            <v>MUTI TUPI</v>
          </cell>
          <cell r="D11">
            <v>1</v>
          </cell>
        </row>
        <row r="12">
          <cell r="B12" t="str">
            <v>BEAT FI STD</v>
          </cell>
          <cell r="C12" t="str">
            <v>MUTI ISULAN</v>
          </cell>
          <cell r="D12">
            <v>1</v>
          </cell>
        </row>
        <row r="13">
          <cell r="B13" t="str">
            <v>CRF150</v>
          </cell>
          <cell r="C13" t="str">
            <v>MUTI POLOMOLOK</v>
          </cell>
          <cell r="D13">
            <v>1</v>
          </cell>
        </row>
        <row r="14">
          <cell r="B14" t="str">
            <v>CRF150</v>
          </cell>
          <cell r="C14" t="str">
            <v>MUTI STO. TOMAS</v>
          </cell>
          <cell r="D14">
            <v>1</v>
          </cell>
        </row>
        <row r="15">
          <cell r="B15" t="str">
            <v>WAVE RSX (DRUM)</v>
          </cell>
          <cell r="C15" t="str">
            <v>HONDA MARAMAG</v>
          </cell>
          <cell r="D15">
            <v>1</v>
          </cell>
        </row>
        <row r="16">
          <cell r="B16" t="str">
            <v>WAVE RSX (DRUM)</v>
          </cell>
          <cell r="C16" t="str">
            <v>MUTI PROSPERIDAD</v>
          </cell>
          <cell r="D16">
            <v>1</v>
          </cell>
        </row>
        <row r="17">
          <cell r="B17" t="str">
            <v>AIRBLADE 160</v>
          </cell>
          <cell r="C17" t="str">
            <v>MUTI DON CARLOS</v>
          </cell>
          <cell r="D17">
            <v>1</v>
          </cell>
        </row>
        <row r="18">
          <cell r="B18" t="str">
            <v>AIRBLADE 160</v>
          </cell>
          <cell r="C18" t="str">
            <v>MUTI MALUNGON</v>
          </cell>
          <cell r="D18">
            <v>1</v>
          </cell>
        </row>
        <row r="19">
          <cell r="B19" t="str">
            <v>AIRBLADE 160</v>
          </cell>
          <cell r="C19" t="str">
            <v>MUTI QUEZON</v>
          </cell>
          <cell r="D19">
            <v>1</v>
          </cell>
        </row>
        <row r="20">
          <cell r="B20" t="str">
            <v>AIRBLADE 160</v>
          </cell>
          <cell r="C20" t="str">
            <v>MUTI TUPI</v>
          </cell>
          <cell r="D20">
            <v>1</v>
          </cell>
        </row>
        <row r="21">
          <cell r="B21" t="str">
            <v>AIRBLADE 160</v>
          </cell>
          <cell r="C21" t="str">
            <v>MUTI CATALUNAN GRANDE</v>
          </cell>
          <cell r="D21">
            <v>1</v>
          </cell>
        </row>
        <row r="22">
          <cell r="B22" t="str">
            <v>AIRBLADE 160</v>
          </cell>
          <cell r="C22" t="str">
            <v>HONDA ISULAN</v>
          </cell>
          <cell r="D22">
            <v>1</v>
          </cell>
        </row>
        <row r="23">
          <cell r="B23" t="str">
            <v>AIRBLADE 160</v>
          </cell>
          <cell r="C23" t="str">
            <v>HONDA SURALLAH</v>
          </cell>
          <cell r="D23">
            <v>1</v>
          </cell>
        </row>
        <row r="24">
          <cell r="B24" t="str">
            <v>AIRBLADE 160</v>
          </cell>
          <cell r="C24" t="str">
            <v>MUTI TACURONG</v>
          </cell>
          <cell r="D24">
            <v>1</v>
          </cell>
        </row>
        <row r="25">
          <cell r="B25" t="str">
            <v>CB150X</v>
          </cell>
          <cell r="C25" t="str">
            <v>HONDA MALUNGON</v>
          </cell>
          <cell r="D25">
            <v>2</v>
          </cell>
        </row>
        <row r="26">
          <cell r="B26" t="str">
            <v>CB150X</v>
          </cell>
          <cell r="C26" t="str">
            <v>HONDA MARAMAG</v>
          </cell>
          <cell r="D26">
            <v>1</v>
          </cell>
        </row>
        <row r="27">
          <cell r="B27" t="str">
            <v>CB150X</v>
          </cell>
          <cell r="C27" t="str">
            <v>MUTI TACURONG</v>
          </cell>
          <cell r="D27">
            <v>1</v>
          </cell>
        </row>
        <row r="28">
          <cell r="B28" t="str">
            <v>WAVE RSX(DISC)</v>
          </cell>
          <cell r="C28" t="str">
            <v>MUTI SAMAL</v>
          </cell>
          <cell r="D28">
            <v>1</v>
          </cell>
        </row>
        <row r="29">
          <cell r="B29" t="str">
            <v>ADV160</v>
          </cell>
          <cell r="C29" t="str">
            <v>HONDA MALUNGON</v>
          </cell>
          <cell r="D29">
            <v>1</v>
          </cell>
        </row>
        <row r="30">
          <cell r="B30" t="str">
            <v>ADV160</v>
          </cell>
          <cell r="C30" t="str">
            <v>MUTI MARBEL-MC</v>
          </cell>
          <cell r="D30">
            <v>1</v>
          </cell>
        </row>
        <row r="31">
          <cell r="B31" t="str">
            <v>ADV160</v>
          </cell>
          <cell r="C31" t="str">
            <v>HONDA ISULAN</v>
          </cell>
          <cell r="D31">
            <v>1</v>
          </cell>
        </row>
        <row r="32">
          <cell r="B32" t="str">
            <v>ADV160</v>
          </cell>
          <cell r="C32" t="str">
            <v>MUTI BANSALAN</v>
          </cell>
          <cell r="D32">
            <v>1</v>
          </cell>
        </row>
        <row r="33">
          <cell r="B33" t="str">
            <v>ADV160</v>
          </cell>
          <cell r="C33" t="str">
            <v>MUTI BUTUAN</v>
          </cell>
          <cell r="D33">
            <v>1</v>
          </cell>
        </row>
        <row r="34">
          <cell r="B34" t="str">
            <v>ADV160</v>
          </cell>
          <cell r="C34" t="str">
            <v>MUTI ECOLAND</v>
          </cell>
          <cell r="D34">
            <v>1</v>
          </cell>
        </row>
        <row r="35">
          <cell r="B35" t="str">
            <v>ADV160</v>
          </cell>
          <cell r="C35" t="str">
            <v>MUTI KABACAN</v>
          </cell>
          <cell r="D35">
            <v>1</v>
          </cell>
        </row>
        <row r="36">
          <cell r="B36" t="str">
            <v>ADV160</v>
          </cell>
          <cell r="C36" t="str">
            <v>MUTI KIDAPAWAN</v>
          </cell>
          <cell r="D36">
            <v>3</v>
          </cell>
        </row>
        <row r="37">
          <cell r="B37" t="str">
            <v>ADV160</v>
          </cell>
          <cell r="C37" t="str">
            <v>MUTI MALUNGON</v>
          </cell>
          <cell r="D37">
            <v>3</v>
          </cell>
        </row>
        <row r="38">
          <cell r="B38" t="str">
            <v>ADV160</v>
          </cell>
          <cell r="C38" t="str">
            <v>MUTI SURIGAO</v>
          </cell>
          <cell r="D38">
            <v>1</v>
          </cell>
        </row>
        <row r="39">
          <cell r="B39" t="str">
            <v>ADV160</v>
          </cell>
          <cell r="C39" t="str">
            <v>HONDA KORONADAL</v>
          </cell>
          <cell r="D39">
            <v>1</v>
          </cell>
        </row>
        <row r="40">
          <cell r="B40" t="str">
            <v>ADV160</v>
          </cell>
          <cell r="C40" t="str">
            <v>MUTI CABADBARAN</v>
          </cell>
          <cell r="D40">
            <v>1</v>
          </cell>
        </row>
        <row r="41">
          <cell r="B41" t="str">
            <v>ADV160</v>
          </cell>
          <cell r="C41" t="str">
            <v>MUTI CABANTIAN</v>
          </cell>
          <cell r="D41">
            <v>1</v>
          </cell>
        </row>
        <row r="42">
          <cell r="B42" t="str">
            <v>ADV160</v>
          </cell>
          <cell r="C42" t="str">
            <v>MUTI SAMAL</v>
          </cell>
          <cell r="D42">
            <v>1</v>
          </cell>
        </row>
        <row r="43">
          <cell r="B43" t="str">
            <v>ADV160</v>
          </cell>
          <cell r="C43" t="str">
            <v>MUTI TAGUM 1</v>
          </cell>
          <cell r="D43">
            <v>1</v>
          </cell>
        </row>
        <row r="44">
          <cell r="B44" t="str">
            <v>ADV160</v>
          </cell>
          <cell r="C44" t="str">
            <v>MUTI TAGUM 3</v>
          </cell>
          <cell r="D44">
            <v>1</v>
          </cell>
        </row>
        <row r="45">
          <cell r="B45" t="str">
            <v>ADV160</v>
          </cell>
          <cell r="C45" t="str">
            <v>MUTI ALABEL</v>
          </cell>
          <cell r="D45">
            <v>1</v>
          </cell>
        </row>
        <row r="46">
          <cell r="B46" t="str">
            <v>ADV160</v>
          </cell>
          <cell r="C46" t="str">
            <v>MUTI BANSALAN</v>
          </cell>
          <cell r="D46">
            <v>1</v>
          </cell>
        </row>
        <row r="47">
          <cell r="B47" t="str">
            <v>ADV160</v>
          </cell>
          <cell r="C47" t="str">
            <v>MUTI MALUNGON</v>
          </cell>
          <cell r="D47">
            <v>1</v>
          </cell>
        </row>
        <row r="48">
          <cell r="B48" t="str">
            <v>ADV160</v>
          </cell>
          <cell r="C48" t="str">
            <v>MUTI MARBEL-MC</v>
          </cell>
          <cell r="D48">
            <v>1</v>
          </cell>
        </row>
        <row r="49">
          <cell r="B49" t="str">
            <v>ADV160</v>
          </cell>
          <cell r="C49" t="str">
            <v>MUTI POLOMOLOK</v>
          </cell>
          <cell r="D49">
            <v>1</v>
          </cell>
        </row>
        <row r="50">
          <cell r="B50" t="str">
            <v>ADV160</v>
          </cell>
          <cell r="C50" t="str">
            <v>MUTI QUEZON</v>
          </cell>
          <cell r="D50">
            <v>1</v>
          </cell>
        </row>
        <row r="51">
          <cell r="B51" t="str">
            <v>ADV160</v>
          </cell>
          <cell r="C51" t="str">
            <v>MUTI TUPI</v>
          </cell>
          <cell r="D51">
            <v>1</v>
          </cell>
        </row>
        <row r="52">
          <cell r="B52" t="str">
            <v>ADV160</v>
          </cell>
          <cell r="C52" t="str">
            <v>MUTI BAYUGAN</v>
          </cell>
          <cell r="D52">
            <v>1</v>
          </cell>
        </row>
        <row r="53">
          <cell r="B53" t="str">
            <v>ADV160</v>
          </cell>
          <cell r="C53" t="str">
            <v>MUTI PROSPERIDAD</v>
          </cell>
          <cell r="D53">
            <v>1</v>
          </cell>
        </row>
        <row r="54">
          <cell r="B54" t="str">
            <v>ADV160</v>
          </cell>
          <cell r="C54" t="str">
            <v>MUTI TAGUM 3</v>
          </cell>
          <cell r="D54">
            <v>1</v>
          </cell>
        </row>
        <row r="55">
          <cell r="B55" t="str">
            <v>XR150</v>
          </cell>
          <cell r="C55" t="str">
            <v>MUTI TAGUM 1</v>
          </cell>
          <cell r="D55">
            <v>1</v>
          </cell>
        </row>
        <row r="56">
          <cell r="B56" t="str">
            <v>XR150</v>
          </cell>
          <cell r="C56" t="str">
            <v>MUTI CABANTIAN</v>
          </cell>
          <cell r="D56">
            <v>1</v>
          </cell>
        </row>
        <row r="57">
          <cell r="B57" t="str">
            <v>XR150</v>
          </cell>
          <cell r="C57" t="str">
            <v>MUTI CALINAN</v>
          </cell>
          <cell r="D57">
            <v>1</v>
          </cell>
        </row>
        <row r="58">
          <cell r="B58" t="str">
            <v>XR150</v>
          </cell>
          <cell r="C58" t="str">
            <v>MUTI SAMAL</v>
          </cell>
          <cell r="D58">
            <v>2</v>
          </cell>
        </row>
        <row r="59">
          <cell r="B59" t="str">
            <v>XR150</v>
          </cell>
          <cell r="C59" t="str">
            <v>MUTI TAGUM 2</v>
          </cell>
          <cell r="D59">
            <v>1</v>
          </cell>
        </row>
        <row r="60">
          <cell r="B60" t="str">
            <v>CRF125</v>
          </cell>
          <cell r="C60" t="str">
            <v>HONDA MARAMAG</v>
          </cell>
          <cell r="D60">
            <v>1</v>
          </cell>
        </row>
        <row r="61">
          <cell r="B61" t="str">
            <v>CRF300 RALLY</v>
          </cell>
          <cell r="C61" t="str">
            <v>HONDA ISULAN</v>
          </cell>
          <cell r="D61">
            <v>1</v>
          </cell>
        </row>
        <row r="62">
          <cell r="B62" t="str">
            <v>CRF300 RALLY</v>
          </cell>
          <cell r="C62" t="str">
            <v>HONDA MARAMAG</v>
          </cell>
          <cell r="D62">
            <v>1</v>
          </cell>
        </row>
        <row r="63">
          <cell r="B63" t="str">
            <v>CRF300 RALLY</v>
          </cell>
          <cell r="C63" t="str">
            <v>MUTI DIGOS</v>
          </cell>
          <cell r="D63">
            <v>1</v>
          </cell>
        </row>
        <row r="64">
          <cell r="B64" t="str">
            <v>CRF300 RALLY</v>
          </cell>
          <cell r="C64" t="str">
            <v>MUTI QUEZON</v>
          </cell>
          <cell r="D64">
            <v>1</v>
          </cell>
        </row>
        <row r="65">
          <cell r="B65" t="str">
            <v>CRF300 RALLY</v>
          </cell>
          <cell r="C65" t="str">
            <v>MUTI VALENCIA</v>
          </cell>
          <cell r="D65">
            <v>1</v>
          </cell>
        </row>
        <row r="66">
          <cell r="B66" t="str">
            <v>XRM OFFROAD FI(DSX)</v>
          </cell>
          <cell r="C66" t="str">
            <v>HONDA ISULAN</v>
          </cell>
          <cell r="D66">
            <v>1</v>
          </cell>
        </row>
        <row r="67">
          <cell r="B67" t="str">
            <v>TMX150 SUPREMO</v>
          </cell>
          <cell r="C67" t="str">
            <v>GREATWALL</v>
          </cell>
          <cell r="D67">
            <v>11</v>
          </cell>
        </row>
        <row r="68">
          <cell r="B68" t="str">
            <v>TMX150 SUPREMO</v>
          </cell>
          <cell r="C68" t="str">
            <v>HONDA ISULAN</v>
          </cell>
          <cell r="D68">
            <v>3</v>
          </cell>
        </row>
        <row r="69">
          <cell r="B69" t="str">
            <v>TMX150 SUPREMO</v>
          </cell>
          <cell r="C69" t="str">
            <v>HONDA MARAMAG</v>
          </cell>
          <cell r="D69">
            <v>1</v>
          </cell>
        </row>
        <row r="70">
          <cell r="B70" t="str">
            <v>TMX150 SUPREMO</v>
          </cell>
          <cell r="C70" t="str">
            <v>MUTI ALABEL</v>
          </cell>
          <cell r="D70">
            <v>1</v>
          </cell>
        </row>
        <row r="71">
          <cell r="B71" t="str">
            <v>TMX150 SUPREMO</v>
          </cell>
          <cell r="C71" t="str">
            <v>MUTI BANGA</v>
          </cell>
          <cell r="D71">
            <v>1</v>
          </cell>
        </row>
        <row r="72">
          <cell r="B72" t="str">
            <v>TMX150 SUPREMO</v>
          </cell>
          <cell r="C72" t="str">
            <v>MUTI BATANGAS</v>
          </cell>
          <cell r="D72">
            <v>3</v>
          </cell>
        </row>
        <row r="73">
          <cell r="B73" t="str">
            <v>TMX150 SUPREMO</v>
          </cell>
          <cell r="C73" t="str">
            <v>MUTI DIGOS</v>
          </cell>
          <cell r="D73">
            <v>1</v>
          </cell>
        </row>
        <row r="74">
          <cell r="B74" t="str">
            <v>TMX150 SUPREMO</v>
          </cell>
          <cell r="C74" t="str">
            <v>MUTI ISULAN</v>
          </cell>
          <cell r="D74">
            <v>2</v>
          </cell>
        </row>
        <row r="75">
          <cell r="B75" t="str">
            <v>TMX150 SUPREMO</v>
          </cell>
          <cell r="C75" t="str">
            <v>MUTI LAPASAN</v>
          </cell>
          <cell r="D75">
            <v>1</v>
          </cell>
        </row>
        <row r="76">
          <cell r="B76" t="str">
            <v>TMX150 SUPREMO</v>
          </cell>
          <cell r="C76" t="str">
            <v>MUTI MALUNGON</v>
          </cell>
          <cell r="D76">
            <v>1</v>
          </cell>
        </row>
        <row r="77">
          <cell r="B77" t="str">
            <v>TMX150 SUPREMO</v>
          </cell>
          <cell r="C77" t="str">
            <v>MUTI MANOLO</v>
          </cell>
          <cell r="D77">
            <v>1</v>
          </cell>
        </row>
        <row r="78">
          <cell r="B78" t="str">
            <v>TMX150 SUPREMO</v>
          </cell>
          <cell r="C78" t="str">
            <v>MUTI MARBEL-MC</v>
          </cell>
          <cell r="D78">
            <v>1</v>
          </cell>
        </row>
        <row r="79">
          <cell r="B79" t="str">
            <v>TMX150 SUPREMO</v>
          </cell>
          <cell r="C79" t="str">
            <v>MUTI STO. TOMAS</v>
          </cell>
          <cell r="D79">
            <v>3</v>
          </cell>
        </row>
        <row r="80">
          <cell r="B80" t="str">
            <v>TMX150 SUPREMO</v>
          </cell>
          <cell r="C80" t="str">
            <v>HONDA KORONADAL</v>
          </cell>
          <cell r="D80">
            <v>2</v>
          </cell>
        </row>
        <row r="81">
          <cell r="B81" t="str">
            <v>TMX150 SUPREMO</v>
          </cell>
          <cell r="C81" t="str">
            <v>MUTI CALINAN</v>
          </cell>
          <cell r="D81">
            <v>1</v>
          </cell>
        </row>
        <row r="82">
          <cell r="B82" t="str">
            <v>TMX150 SUPREMO</v>
          </cell>
          <cell r="C82" t="str">
            <v>MUTI CATALUNAN GRANDE</v>
          </cell>
          <cell r="D82">
            <v>3</v>
          </cell>
        </row>
        <row r="83">
          <cell r="B83" t="str">
            <v>TMX150 SUPREMO</v>
          </cell>
          <cell r="C83" t="str">
            <v>MUTI PROSPERIDAD</v>
          </cell>
          <cell r="D83">
            <v>2</v>
          </cell>
        </row>
        <row r="84">
          <cell r="B84" t="str">
            <v>TMX150 SUPREMO</v>
          </cell>
          <cell r="C84" t="str">
            <v>GREATWALL</v>
          </cell>
          <cell r="D84">
            <v>7</v>
          </cell>
        </row>
        <row r="85">
          <cell r="B85" t="str">
            <v>TMX150 SUPREMO</v>
          </cell>
          <cell r="C85" t="str">
            <v>HONDA ISULAN</v>
          </cell>
          <cell r="D85">
            <v>1</v>
          </cell>
        </row>
        <row r="86">
          <cell r="B86" t="str">
            <v>TMX150 SUPREMO</v>
          </cell>
          <cell r="C86" t="str">
            <v>HONDA MALUNGON</v>
          </cell>
          <cell r="D86">
            <v>2</v>
          </cell>
        </row>
        <row r="87">
          <cell r="B87" t="str">
            <v>TMX150 SUPREMO</v>
          </cell>
          <cell r="C87" t="str">
            <v>HONDA SURALLAH</v>
          </cell>
          <cell r="D87">
            <v>1</v>
          </cell>
        </row>
        <row r="88">
          <cell r="B88" t="str">
            <v>TMX150 SUPREMO</v>
          </cell>
          <cell r="C88" t="str">
            <v>MUTI ECOLAND</v>
          </cell>
          <cell r="D88">
            <v>1</v>
          </cell>
        </row>
        <row r="89">
          <cell r="B89" t="str">
            <v>TMX150 SUPREMO</v>
          </cell>
          <cell r="C89" t="str">
            <v>MUTI NABUNTURAN</v>
          </cell>
          <cell r="D89">
            <v>1</v>
          </cell>
        </row>
        <row r="90">
          <cell r="B90" t="str">
            <v>TMX150 SUPREMO</v>
          </cell>
          <cell r="C90" t="str">
            <v>MUTI POLOMOLOK</v>
          </cell>
          <cell r="D90">
            <v>1</v>
          </cell>
        </row>
        <row r="91">
          <cell r="B91" t="str">
            <v>TMX150 SUPREMO</v>
          </cell>
          <cell r="C91" t="str">
            <v>MUTI STO. TOMAS</v>
          </cell>
          <cell r="D91">
            <v>3</v>
          </cell>
        </row>
        <row r="92">
          <cell r="B92" t="str">
            <v>TMX150 SUPREMO</v>
          </cell>
          <cell r="C92" t="str">
            <v>HONDA KORONADAL</v>
          </cell>
          <cell r="D92">
            <v>1</v>
          </cell>
        </row>
        <row r="93">
          <cell r="B93" t="str">
            <v>TMX150 SUPREMO</v>
          </cell>
          <cell r="C93" t="str">
            <v>MUTI CABADBARAN</v>
          </cell>
          <cell r="D93">
            <v>2</v>
          </cell>
        </row>
        <row r="94">
          <cell r="B94" t="str">
            <v>TMX150 SUPREMO</v>
          </cell>
          <cell r="C94" t="str">
            <v>MUTI CABANTIAN</v>
          </cell>
          <cell r="D94">
            <v>1</v>
          </cell>
        </row>
        <row r="95">
          <cell r="B95" t="str">
            <v>TMX150 SUPREMO</v>
          </cell>
          <cell r="C95" t="str">
            <v>MUTI CALINAN</v>
          </cell>
          <cell r="D95">
            <v>1</v>
          </cell>
        </row>
        <row r="96">
          <cell r="B96" t="str">
            <v>PCX160 ABS</v>
          </cell>
          <cell r="C96" t="str">
            <v>HONDA ISULAN</v>
          </cell>
          <cell r="D96">
            <v>1</v>
          </cell>
        </row>
        <row r="97">
          <cell r="B97" t="str">
            <v>BEAT FI STD</v>
          </cell>
          <cell r="C97" t="str">
            <v>MUTI TUPI</v>
          </cell>
          <cell r="D97">
            <v>1</v>
          </cell>
        </row>
        <row r="98">
          <cell r="B98" t="str">
            <v>WAVE RSX (DRUM)</v>
          </cell>
          <cell r="C98" t="str">
            <v>MUTI STO. TOMAS</v>
          </cell>
          <cell r="D98">
            <v>1</v>
          </cell>
        </row>
        <row r="99">
          <cell r="B99" t="str">
            <v>WAVE RSX (DRUM)</v>
          </cell>
          <cell r="C99" t="str">
            <v>MUTI SURALLAH</v>
          </cell>
          <cell r="D99">
            <v>1</v>
          </cell>
        </row>
        <row r="100">
          <cell r="B100" t="str">
            <v>WAVE RSX (DRUM)</v>
          </cell>
          <cell r="C100" t="str">
            <v>MUTI CALINAN</v>
          </cell>
          <cell r="D100">
            <v>1</v>
          </cell>
        </row>
        <row r="101">
          <cell r="B101" t="str">
            <v>WAVE RSX (DRUM)</v>
          </cell>
          <cell r="C101" t="str">
            <v>HONDA ISULAN</v>
          </cell>
          <cell r="D101">
            <v>1</v>
          </cell>
        </row>
        <row r="102">
          <cell r="B102" t="str">
            <v>WAVE RSX (DRUM)</v>
          </cell>
          <cell r="C102" t="str">
            <v>MUTI POLOMOLOK</v>
          </cell>
          <cell r="D102">
            <v>1</v>
          </cell>
        </row>
        <row r="103">
          <cell r="B103" t="str">
            <v>WAVE RSX (DRUM)</v>
          </cell>
          <cell r="C103" t="str">
            <v>MUTI STO. TOMAS</v>
          </cell>
          <cell r="D103">
            <v>1</v>
          </cell>
        </row>
        <row r="104">
          <cell r="B104" t="str">
            <v>WAVE RSX (DRUM)</v>
          </cell>
          <cell r="C104" t="str">
            <v>MUTI VALENCIA</v>
          </cell>
          <cell r="D104">
            <v>1</v>
          </cell>
        </row>
        <row r="105">
          <cell r="B105" t="str">
            <v>WAVE RSX (DRUM)</v>
          </cell>
          <cell r="C105" t="str">
            <v>MUTI BULUA</v>
          </cell>
          <cell r="D105">
            <v>1</v>
          </cell>
        </row>
        <row r="106">
          <cell r="B106" t="str">
            <v>WAVE RSX(DISC)</v>
          </cell>
          <cell r="C106" t="str">
            <v>GREATWALL</v>
          </cell>
          <cell r="D106">
            <v>1</v>
          </cell>
        </row>
        <row r="107">
          <cell r="B107" t="str">
            <v>WAVE RSX(DISC)</v>
          </cell>
          <cell r="C107" t="str">
            <v>HONDA ISULAN</v>
          </cell>
          <cell r="D107">
            <v>1</v>
          </cell>
        </row>
        <row r="108">
          <cell r="B108" t="str">
            <v>WAVE RSX(DISC)</v>
          </cell>
          <cell r="C108" t="str">
            <v>HONDA MARAMAG</v>
          </cell>
          <cell r="D108">
            <v>1</v>
          </cell>
        </row>
        <row r="109">
          <cell r="B109" t="str">
            <v>WAVE RSX(DISC)</v>
          </cell>
          <cell r="C109" t="str">
            <v>MUTI BUTUAN</v>
          </cell>
          <cell r="D109">
            <v>1</v>
          </cell>
        </row>
        <row r="110">
          <cell r="B110" t="str">
            <v>WAVE RSX(DISC)</v>
          </cell>
          <cell r="C110" t="str">
            <v>MUTI TUPI</v>
          </cell>
          <cell r="D110">
            <v>2</v>
          </cell>
        </row>
        <row r="111">
          <cell r="B111" t="str">
            <v>WAVE RSX(DISC)</v>
          </cell>
          <cell r="C111" t="str">
            <v>MUTI VALENCIA</v>
          </cell>
          <cell r="D111">
            <v>1</v>
          </cell>
        </row>
        <row r="112">
          <cell r="B112" t="str">
            <v>WAVE RSX(DISC)</v>
          </cell>
          <cell r="C112" t="str">
            <v>MUTI SAMAL</v>
          </cell>
          <cell r="D112">
            <v>1</v>
          </cell>
        </row>
        <row r="113">
          <cell r="B113" t="str">
            <v>WAVE RSX(DISC)</v>
          </cell>
          <cell r="C113" t="str">
            <v>MUTI MARBEL-MC</v>
          </cell>
          <cell r="D113">
            <v>1</v>
          </cell>
        </row>
        <row r="114">
          <cell r="B114" t="str">
            <v>WAVE RSX(DISC)</v>
          </cell>
          <cell r="C114" t="str">
            <v>MUTI BAYUGAN</v>
          </cell>
          <cell r="D114">
            <v>1</v>
          </cell>
        </row>
        <row r="115">
          <cell r="B115" t="str">
            <v>WINNER X STD</v>
          </cell>
          <cell r="C115" t="str">
            <v>GREATWALL</v>
          </cell>
          <cell r="D115">
            <v>3</v>
          </cell>
        </row>
        <row r="116">
          <cell r="B116" t="str">
            <v>WINNER X STD</v>
          </cell>
          <cell r="C116" t="str">
            <v>MUTI STO. TOMAS</v>
          </cell>
          <cell r="D116">
            <v>1</v>
          </cell>
        </row>
        <row r="117">
          <cell r="B117" t="str">
            <v>WINNER X STD</v>
          </cell>
          <cell r="C117" t="str">
            <v>MUTI TAGUM 1</v>
          </cell>
          <cell r="D117">
            <v>1</v>
          </cell>
        </row>
        <row r="118">
          <cell r="B118" t="str">
            <v>WINNER X STD</v>
          </cell>
          <cell r="C118" t="str">
            <v>GREATWALL</v>
          </cell>
          <cell r="D118">
            <v>2</v>
          </cell>
        </row>
        <row r="119">
          <cell r="B119" t="str">
            <v>WINNER X STD</v>
          </cell>
          <cell r="C119" t="str">
            <v>MUTI CALAMBA</v>
          </cell>
          <cell r="D119">
            <v>1</v>
          </cell>
        </row>
        <row r="120">
          <cell r="B120" t="str">
            <v>WINNER X STD</v>
          </cell>
          <cell r="C120" t="str">
            <v>MUTI STO. TOMAS</v>
          </cell>
          <cell r="D120">
            <v>2</v>
          </cell>
        </row>
        <row r="121">
          <cell r="B121" t="str">
            <v>WINNER X ABS</v>
          </cell>
          <cell r="C121" t="str">
            <v>GREATWALL</v>
          </cell>
          <cell r="D121">
            <v>3</v>
          </cell>
        </row>
        <row r="122">
          <cell r="B122" t="str">
            <v>WINNER X ABS</v>
          </cell>
          <cell r="C122" t="str">
            <v>MUTI CALAMBA</v>
          </cell>
          <cell r="D122">
            <v>1</v>
          </cell>
        </row>
        <row r="123">
          <cell r="B123" t="str">
            <v>WINNER X ABS</v>
          </cell>
          <cell r="C123" t="str">
            <v>GREATWALL</v>
          </cell>
          <cell r="D123">
            <v>1</v>
          </cell>
        </row>
        <row r="124">
          <cell r="B124" t="str">
            <v>WINNER X ABS</v>
          </cell>
          <cell r="C124" t="str">
            <v>MUTI NABUNTURAN</v>
          </cell>
          <cell r="D124">
            <v>1</v>
          </cell>
        </row>
        <row r="125">
          <cell r="B125" t="str">
            <v>WINNER X ABS</v>
          </cell>
          <cell r="C125" t="str">
            <v>MUTI STO. TOMAS</v>
          </cell>
          <cell r="D125">
            <v>2</v>
          </cell>
        </row>
        <row r="126">
          <cell r="B126" t="str">
            <v>WINNER X ABS</v>
          </cell>
          <cell r="C126" t="str">
            <v>MUTI BAYUGAN</v>
          </cell>
          <cell r="D126">
            <v>1</v>
          </cell>
        </row>
        <row r="127">
          <cell r="B127" t="str">
            <v>WINNER X ABS</v>
          </cell>
          <cell r="C127" t="str">
            <v>MUTI CALINAN</v>
          </cell>
          <cell r="D127">
            <v>1</v>
          </cell>
        </row>
        <row r="128">
          <cell r="B128" t="str">
            <v>WINNER X ABS</v>
          </cell>
          <cell r="C128" t="str">
            <v>MUTI CATALUNAN GRANDE</v>
          </cell>
          <cell r="D128">
            <v>1</v>
          </cell>
        </row>
        <row r="129">
          <cell r="B129" t="str">
            <v>TMX ALPHA FI</v>
          </cell>
          <cell r="C129" t="str">
            <v>HONDA ISULAN</v>
          </cell>
          <cell r="D129">
            <v>1</v>
          </cell>
        </row>
        <row r="130">
          <cell r="B130" t="str">
            <v>TMX ALPHA FI</v>
          </cell>
          <cell r="C130" t="str">
            <v>HONDA MALUNGON</v>
          </cell>
          <cell r="D130">
            <v>1</v>
          </cell>
        </row>
        <row r="131">
          <cell r="B131" t="str">
            <v>TMX ALPHA FI</v>
          </cell>
          <cell r="C131" t="str">
            <v>HONDA SURALLAH</v>
          </cell>
          <cell r="D131">
            <v>2</v>
          </cell>
        </row>
        <row r="132">
          <cell r="B132" t="str">
            <v>TMX ALPHA FI</v>
          </cell>
          <cell r="C132" t="str">
            <v>MUTI BANSALAN</v>
          </cell>
          <cell r="D132">
            <v>2</v>
          </cell>
        </row>
        <row r="133">
          <cell r="B133" t="str">
            <v>TMX ALPHA FI</v>
          </cell>
          <cell r="C133" t="str">
            <v>MUTI BATANGAS</v>
          </cell>
          <cell r="D133">
            <v>1</v>
          </cell>
        </row>
        <row r="134">
          <cell r="B134" t="str">
            <v>TMX ALPHA FI</v>
          </cell>
          <cell r="C134" t="str">
            <v>MUTI BUTUAN</v>
          </cell>
          <cell r="D134">
            <v>2</v>
          </cell>
        </row>
        <row r="135">
          <cell r="B135" t="str">
            <v>TMX ALPHA FI</v>
          </cell>
          <cell r="C135" t="str">
            <v>MUTI DIGOS</v>
          </cell>
          <cell r="D135">
            <v>1</v>
          </cell>
        </row>
        <row r="136">
          <cell r="B136" t="str">
            <v>TMX ALPHA FI</v>
          </cell>
          <cell r="C136" t="str">
            <v>MUTI KABACAN</v>
          </cell>
          <cell r="D136">
            <v>1</v>
          </cell>
        </row>
        <row r="137">
          <cell r="B137" t="str">
            <v>TMX ALPHA FI</v>
          </cell>
          <cell r="C137" t="str">
            <v>MUTI MALUNGON</v>
          </cell>
          <cell r="D137">
            <v>1</v>
          </cell>
        </row>
        <row r="138">
          <cell r="B138" t="str">
            <v>TMX ALPHA FI</v>
          </cell>
          <cell r="C138" t="str">
            <v>MUTI NABUNTURAN</v>
          </cell>
          <cell r="D138">
            <v>1</v>
          </cell>
        </row>
        <row r="139">
          <cell r="B139" t="str">
            <v>TMX ALPHA FI</v>
          </cell>
          <cell r="C139" t="str">
            <v>MUTI QUEZON</v>
          </cell>
          <cell r="D139">
            <v>1</v>
          </cell>
        </row>
        <row r="140">
          <cell r="B140" t="str">
            <v>TMX ALPHA FI</v>
          </cell>
          <cell r="C140" t="str">
            <v>MUTI SURALLAH</v>
          </cell>
          <cell r="D140">
            <v>1</v>
          </cell>
        </row>
        <row r="141">
          <cell r="B141" t="str">
            <v>TMX ALPHA FI</v>
          </cell>
          <cell r="C141" t="str">
            <v>MUTI SURIGAO</v>
          </cell>
          <cell r="D141">
            <v>1</v>
          </cell>
        </row>
        <row r="142">
          <cell r="B142" t="str">
            <v>TMX ALPHA FI</v>
          </cell>
          <cell r="C142" t="str">
            <v>HONDA KORONADAL</v>
          </cell>
          <cell r="D142">
            <v>4</v>
          </cell>
        </row>
        <row r="143">
          <cell r="B143" t="str">
            <v>TMX ALPHA FI</v>
          </cell>
          <cell r="C143" t="str">
            <v>MUTI CABANTIAN</v>
          </cell>
          <cell r="D143">
            <v>1</v>
          </cell>
        </row>
        <row r="144">
          <cell r="B144" t="str">
            <v>TMX ALPHA FI</v>
          </cell>
          <cell r="C144" t="str">
            <v>MUTI CATALUNAN GRANDE</v>
          </cell>
          <cell r="D144">
            <v>1</v>
          </cell>
        </row>
        <row r="145">
          <cell r="B145" t="str">
            <v>TMX ALPHA FI</v>
          </cell>
          <cell r="C145" t="str">
            <v>MUTI TAGUM 1</v>
          </cell>
          <cell r="D145">
            <v>2</v>
          </cell>
        </row>
        <row r="146">
          <cell r="B146" t="str">
            <v>TMX ALPHA FI</v>
          </cell>
          <cell r="C146" t="str">
            <v>GREATWALL</v>
          </cell>
          <cell r="D146">
            <v>18</v>
          </cell>
        </row>
        <row r="147">
          <cell r="B147" t="str">
            <v>TMX ALPHA FI</v>
          </cell>
          <cell r="C147" t="str">
            <v>HONDA ISULAN</v>
          </cell>
          <cell r="D147">
            <v>1</v>
          </cell>
        </row>
        <row r="148">
          <cell r="B148" t="str">
            <v>TMX ALPHA FI</v>
          </cell>
          <cell r="C148" t="str">
            <v>HONDA SURALLAH</v>
          </cell>
          <cell r="D148">
            <v>1</v>
          </cell>
        </row>
        <row r="149">
          <cell r="B149" t="str">
            <v>TMX ALPHA FI</v>
          </cell>
          <cell r="C149" t="str">
            <v>MUTI ALABEL</v>
          </cell>
          <cell r="D149">
            <v>1</v>
          </cell>
        </row>
        <row r="150">
          <cell r="B150" t="str">
            <v>TMX ALPHA FI</v>
          </cell>
          <cell r="C150" t="str">
            <v>MUTI BATANGAS</v>
          </cell>
          <cell r="D150">
            <v>2</v>
          </cell>
        </row>
        <row r="151">
          <cell r="B151" t="str">
            <v>TMX ALPHA FI</v>
          </cell>
          <cell r="C151" t="str">
            <v>MUTI BUTUAN</v>
          </cell>
          <cell r="D151">
            <v>1</v>
          </cell>
        </row>
        <row r="152">
          <cell r="B152" t="str">
            <v>TMX ALPHA FI</v>
          </cell>
          <cell r="C152" t="str">
            <v>MUTI DON CARLOS</v>
          </cell>
          <cell r="D152">
            <v>2</v>
          </cell>
        </row>
        <row r="153">
          <cell r="B153" t="str">
            <v>TMX ALPHA FI</v>
          </cell>
          <cell r="C153" t="str">
            <v>MUTI MALUNGON</v>
          </cell>
          <cell r="D153">
            <v>1</v>
          </cell>
        </row>
        <row r="154">
          <cell r="B154" t="str">
            <v>TMX ALPHA FI</v>
          </cell>
          <cell r="C154" t="str">
            <v>MUTI MARBEL-MC</v>
          </cell>
          <cell r="D154">
            <v>1</v>
          </cell>
        </row>
        <row r="155">
          <cell r="B155" t="str">
            <v>TMX ALPHA FI</v>
          </cell>
          <cell r="C155" t="str">
            <v>MUTI SURALLAH</v>
          </cell>
          <cell r="D155">
            <v>1</v>
          </cell>
        </row>
        <row r="156">
          <cell r="B156" t="str">
            <v>TMX ALPHA FI</v>
          </cell>
          <cell r="C156" t="str">
            <v>HONDA KORONADAL</v>
          </cell>
          <cell r="D156">
            <v>2</v>
          </cell>
        </row>
        <row r="157">
          <cell r="B157" t="str">
            <v>TMX ALPHA FI</v>
          </cell>
          <cell r="C157" t="str">
            <v>MUTI CABANTIAN</v>
          </cell>
          <cell r="D157">
            <v>1</v>
          </cell>
        </row>
        <row r="158">
          <cell r="B158" t="str">
            <v>TMX ALPHA FI</v>
          </cell>
          <cell r="C158" t="str">
            <v>MUTI SAMAL</v>
          </cell>
          <cell r="D158">
            <v>1</v>
          </cell>
        </row>
        <row r="159">
          <cell r="B159" t="str">
            <v>TMX ALPHA FI</v>
          </cell>
          <cell r="C159" t="str">
            <v>GREATWALL</v>
          </cell>
          <cell r="D159">
            <v>26</v>
          </cell>
        </row>
        <row r="160">
          <cell r="B160" t="str">
            <v>TMX ALPHA FI</v>
          </cell>
          <cell r="C160" t="str">
            <v>HONDA MARAMAG</v>
          </cell>
          <cell r="D160">
            <v>2</v>
          </cell>
        </row>
        <row r="161">
          <cell r="B161" t="str">
            <v>TMX ALPHA FI</v>
          </cell>
          <cell r="C161" t="str">
            <v>HONDA SURALLAH</v>
          </cell>
          <cell r="D161">
            <v>2</v>
          </cell>
        </row>
        <row r="162">
          <cell r="B162" t="str">
            <v>TMX ALPHA FI</v>
          </cell>
          <cell r="C162" t="str">
            <v>MUTI BUTUAN</v>
          </cell>
          <cell r="D162">
            <v>1</v>
          </cell>
        </row>
        <row r="163">
          <cell r="B163" t="str">
            <v>TMX ALPHA FI</v>
          </cell>
          <cell r="C163" t="str">
            <v>MUTI CALAMBA</v>
          </cell>
          <cell r="D163">
            <v>1</v>
          </cell>
        </row>
        <row r="164">
          <cell r="B164" t="str">
            <v>TMX ALPHA FI</v>
          </cell>
          <cell r="C164" t="str">
            <v>MUTI ECOLAND</v>
          </cell>
          <cell r="D164">
            <v>1</v>
          </cell>
        </row>
        <row r="165">
          <cell r="B165" t="str">
            <v>TMX ALPHA FI</v>
          </cell>
          <cell r="C165" t="str">
            <v>MUTI MALUNGON</v>
          </cell>
          <cell r="D165">
            <v>2</v>
          </cell>
        </row>
        <row r="166">
          <cell r="B166" t="str">
            <v>TMX ALPHA FI</v>
          </cell>
          <cell r="C166" t="str">
            <v>MUTI MARBEL-MC</v>
          </cell>
          <cell r="D166">
            <v>1</v>
          </cell>
        </row>
        <row r="167">
          <cell r="B167" t="str">
            <v>TMX ALPHA FI</v>
          </cell>
          <cell r="C167" t="str">
            <v>MUTI NABUNTURAN</v>
          </cell>
          <cell r="D167">
            <v>1</v>
          </cell>
        </row>
        <row r="168">
          <cell r="B168" t="str">
            <v>TMX ALPHA FI</v>
          </cell>
          <cell r="C168" t="str">
            <v>MUTI POLOMOLOK</v>
          </cell>
          <cell r="D168">
            <v>2</v>
          </cell>
        </row>
        <row r="169">
          <cell r="B169" t="str">
            <v>TMX ALPHA FI</v>
          </cell>
          <cell r="C169" t="str">
            <v>MUTI VALENCIA</v>
          </cell>
          <cell r="D169">
            <v>1</v>
          </cell>
        </row>
        <row r="170">
          <cell r="B170" t="str">
            <v>TMX ALPHA FI</v>
          </cell>
          <cell r="C170" t="str">
            <v>HONDA KORONADAL</v>
          </cell>
          <cell r="D170">
            <v>1</v>
          </cell>
        </row>
        <row r="171">
          <cell r="B171" t="str">
            <v>TMX ALPHA FI</v>
          </cell>
          <cell r="C171" t="str">
            <v>MUTI 3S</v>
          </cell>
          <cell r="D171">
            <v>2</v>
          </cell>
        </row>
        <row r="172">
          <cell r="B172" t="str">
            <v>TMX ALPHA FI</v>
          </cell>
          <cell r="C172" t="str">
            <v>MUTI CABADBARAN</v>
          </cell>
          <cell r="D172">
            <v>4</v>
          </cell>
        </row>
        <row r="173">
          <cell r="B173" t="str">
            <v>TMX ALPHA FI</v>
          </cell>
          <cell r="C173" t="str">
            <v>MUTI SAMAL</v>
          </cell>
          <cell r="D173">
            <v>1</v>
          </cell>
        </row>
        <row r="174">
          <cell r="B174" t="str">
            <v>TMX ALPHA FI</v>
          </cell>
          <cell r="C174" t="str">
            <v>GREATWALL</v>
          </cell>
          <cell r="D174">
            <v>1</v>
          </cell>
        </row>
        <row r="175">
          <cell r="B175" t="str">
            <v>BEAT FI PREM</v>
          </cell>
          <cell r="C175" t="str">
            <v>HONDA MARAMAG</v>
          </cell>
          <cell r="D175">
            <v>1</v>
          </cell>
        </row>
        <row r="176">
          <cell r="B176" t="str">
            <v>XRM DUAL SPORTS FI(DS)</v>
          </cell>
          <cell r="C176" t="str">
            <v>GREATWALL</v>
          </cell>
          <cell r="D176">
            <v>55</v>
          </cell>
        </row>
        <row r="177">
          <cell r="B177" t="str">
            <v>XRM DUAL SPORTS FI(DS)</v>
          </cell>
          <cell r="C177" t="str">
            <v>HONDA MALUNGON</v>
          </cell>
          <cell r="D177">
            <v>2</v>
          </cell>
        </row>
        <row r="178">
          <cell r="B178" t="str">
            <v>XRM DUAL SPORTS FI(DS)</v>
          </cell>
          <cell r="C178" t="str">
            <v>HONDA MARAMAG</v>
          </cell>
          <cell r="D178">
            <v>1</v>
          </cell>
        </row>
        <row r="179">
          <cell r="B179" t="str">
            <v>XRM DUAL SPORTS FI(DS)</v>
          </cell>
          <cell r="C179" t="str">
            <v>HONDA SURALLAH</v>
          </cell>
          <cell r="D179">
            <v>3</v>
          </cell>
        </row>
        <row r="180">
          <cell r="B180" t="str">
            <v>XRM DUAL SPORTS FI(DS)</v>
          </cell>
          <cell r="C180" t="str">
            <v>MUTI ALABEL</v>
          </cell>
          <cell r="D180">
            <v>2</v>
          </cell>
        </row>
        <row r="181">
          <cell r="B181" t="str">
            <v>XRM DUAL SPORTS FI(DS)</v>
          </cell>
          <cell r="C181" t="str">
            <v>MUTI BANSALAN</v>
          </cell>
          <cell r="D181">
            <v>2</v>
          </cell>
        </row>
        <row r="182">
          <cell r="B182" t="str">
            <v>XRM DUAL SPORTS FI(DS)</v>
          </cell>
          <cell r="C182" t="str">
            <v>MUTI BUTUAN</v>
          </cell>
          <cell r="D182">
            <v>3</v>
          </cell>
        </row>
        <row r="183">
          <cell r="B183" t="str">
            <v>XRM DUAL SPORTS FI(DS)</v>
          </cell>
          <cell r="C183" t="str">
            <v>MUTI DIGOS</v>
          </cell>
          <cell r="D183">
            <v>4</v>
          </cell>
        </row>
        <row r="184">
          <cell r="B184" t="str">
            <v>XRM DUAL SPORTS FI(DS)</v>
          </cell>
          <cell r="C184" t="str">
            <v>MUTI DON CARLOS</v>
          </cell>
          <cell r="D184">
            <v>5</v>
          </cell>
        </row>
        <row r="185">
          <cell r="B185" t="str">
            <v>XRM DUAL SPORTS FI(DS)</v>
          </cell>
          <cell r="C185" t="str">
            <v>MUTI ECOLAND</v>
          </cell>
          <cell r="D185">
            <v>4</v>
          </cell>
        </row>
        <row r="186">
          <cell r="B186" t="str">
            <v>XRM DUAL SPORTS FI(DS)</v>
          </cell>
          <cell r="C186" t="str">
            <v>MUTI KABACAN</v>
          </cell>
          <cell r="D186">
            <v>4</v>
          </cell>
        </row>
        <row r="187">
          <cell r="B187" t="str">
            <v>XRM DUAL SPORTS FI(DS)</v>
          </cell>
          <cell r="C187" t="str">
            <v>MUTI KIDAPAWAN</v>
          </cell>
          <cell r="D187">
            <v>3</v>
          </cell>
        </row>
        <row r="188">
          <cell r="B188" t="str">
            <v>XRM DUAL SPORTS FI(DS)</v>
          </cell>
          <cell r="C188" t="str">
            <v>MUTI LAPASAN</v>
          </cell>
          <cell r="D188">
            <v>2</v>
          </cell>
        </row>
        <row r="189">
          <cell r="B189" t="str">
            <v>XRM DUAL SPORTS FI(DS)</v>
          </cell>
          <cell r="C189" t="str">
            <v>MUTI MALUNGON</v>
          </cell>
          <cell r="D189">
            <v>1</v>
          </cell>
        </row>
        <row r="190">
          <cell r="B190" t="str">
            <v>XRM DUAL SPORTS FI(DS)</v>
          </cell>
          <cell r="C190" t="str">
            <v>MUTI MARBEL-MC</v>
          </cell>
          <cell r="D190">
            <v>1</v>
          </cell>
        </row>
        <row r="191">
          <cell r="B191" t="str">
            <v>XRM DUAL SPORTS FI(DS)</v>
          </cell>
          <cell r="C191" t="str">
            <v>MUTI MIDSAYAP</v>
          </cell>
          <cell r="D191">
            <v>1</v>
          </cell>
        </row>
        <row r="192">
          <cell r="B192" t="str">
            <v>XRM DUAL SPORTS FI(DS)</v>
          </cell>
          <cell r="C192" t="str">
            <v>MUTI NABUNTURAN</v>
          </cell>
          <cell r="D192">
            <v>3</v>
          </cell>
        </row>
        <row r="193">
          <cell r="B193" t="str">
            <v>XRM DUAL SPORTS FI(DS)</v>
          </cell>
          <cell r="C193" t="str">
            <v>MUTI POLOMOLOK</v>
          </cell>
          <cell r="D193">
            <v>3</v>
          </cell>
        </row>
        <row r="194">
          <cell r="B194" t="str">
            <v>XRM DUAL SPORTS FI(DS)</v>
          </cell>
          <cell r="C194" t="str">
            <v>MUTI QUEZON</v>
          </cell>
          <cell r="D194">
            <v>2</v>
          </cell>
        </row>
        <row r="195">
          <cell r="B195" t="str">
            <v>XRM DUAL SPORTS FI(DS)</v>
          </cell>
          <cell r="C195" t="str">
            <v>MUTI SAN FRANCISCO</v>
          </cell>
          <cell r="D195">
            <v>2</v>
          </cell>
        </row>
        <row r="196">
          <cell r="B196" t="str">
            <v>XRM DUAL SPORTS FI(DS)</v>
          </cell>
          <cell r="C196" t="str">
            <v>MUTI STO. TOMAS</v>
          </cell>
          <cell r="D196">
            <v>2</v>
          </cell>
        </row>
        <row r="197">
          <cell r="B197" t="str">
            <v>XRM DUAL SPORTS FI(DS)</v>
          </cell>
          <cell r="C197" t="str">
            <v>MUTI SURIGAO</v>
          </cell>
          <cell r="D197">
            <v>2</v>
          </cell>
        </row>
        <row r="198">
          <cell r="B198" t="str">
            <v>XRM DUAL SPORTS FI(DS)</v>
          </cell>
          <cell r="C198" t="str">
            <v>MUTI TACURONG</v>
          </cell>
          <cell r="D198">
            <v>1</v>
          </cell>
        </row>
        <row r="199">
          <cell r="B199" t="str">
            <v>XRM DUAL SPORTS FI(DS)</v>
          </cell>
          <cell r="C199" t="str">
            <v>MUTI TIBUNGCO</v>
          </cell>
          <cell r="D199">
            <v>4</v>
          </cell>
        </row>
        <row r="200">
          <cell r="B200" t="str">
            <v>XRM DUAL SPORTS FI(DS)</v>
          </cell>
          <cell r="C200" t="str">
            <v>MUTI VALENCIA</v>
          </cell>
          <cell r="D200">
            <v>4</v>
          </cell>
        </row>
        <row r="201">
          <cell r="B201" t="str">
            <v>XRM DUAL SPORTS FI(DS)</v>
          </cell>
          <cell r="C201" t="str">
            <v>HONDA KORONADAL</v>
          </cell>
          <cell r="D201">
            <v>2</v>
          </cell>
        </row>
        <row r="202">
          <cell r="B202" t="str">
            <v>XRM DUAL SPORTS FI(DS)</v>
          </cell>
          <cell r="C202" t="str">
            <v>MUTI BAYUGAN</v>
          </cell>
          <cell r="D202">
            <v>6</v>
          </cell>
        </row>
        <row r="203">
          <cell r="B203" t="str">
            <v>XRM DUAL SPORTS FI(DS)</v>
          </cell>
          <cell r="C203" t="str">
            <v>MUTI BULUA</v>
          </cell>
          <cell r="D203">
            <v>4</v>
          </cell>
        </row>
        <row r="204">
          <cell r="B204" t="str">
            <v>XRM DUAL SPORTS FI(DS)</v>
          </cell>
          <cell r="C204" t="str">
            <v>MUTI CABADBARAN</v>
          </cell>
          <cell r="D204">
            <v>1</v>
          </cell>
        </row>
        <row r="205">
          <cell r="B205" t="str">
            <v>XRM DUAL SPORTS FI(DS)</v>
          </cell>
          <cell r="C205" t="str">
            <v>MUTI CABANTIAN</v>
          </cell>
          <cell r="D205">
            <v>6</v>
          </cell>
        </row>
        <row r="206">
          <cell r="B206" t="str">
            <v>XRM DUAL SPORTS FI(DS)</v>
          </cell>
          <cell r="C206" t="str">
            <v>MUTI CATALUNAN GRANDE</v>
          </cell>
          <cell r="D206">
            <v>2</v>
          </cell>
        </row>
        <row r="207">
          <cell r="B207" t="str">
            <v>XRM DUAL SPORTS FI(DS)</v>
          </cell>
          <cell r="C207" t="str">
            <v>MUTI OZAMIZ</v>
          </cell>
          <cell r="D207">
            <v>2</v>
          </cell>
        </row>
        <row r="208">
          <cell r="B208" t="str">
            <v>XRM DUAL SPORTS FI(DS)</v>
          </cell>
          <cell r="C208" t="str">
            <v>MUTI PANABO</v>
          </cell>
          <cell r="D208">
            <v>2</v>
          </cell>
        </row>
        <row r="209">
          <cell r="B209" t="str">
            <v>XRM DUAL SPORTS FI(DS)</v>
          </cell>
          <cell r="C209" t="str">
            <v>MUTI TAGUM 1</v>
          </cell>
          <cell r="D209">
            <v>4</v>
          </cell>
        </row>
        <row r="210">
          <cell r="B210" t="str">
            <v>XRM DUAL SPORTS FI(DS)</v>
          </cell>
          <cell r="C210" t="str">
            <v>MUTI TAGUM 2</v>
          </cell>
          <cell r="D210">
            <v>8</v>
          </cell>
        </row>
        <row r="211">
          <cell r="B211" t="str">
            <v>XRM DUAL SPORTS FI(DS)</v>
          </cell>
          <cell r="C211" t="str">
            <v>MUTI TAGUM 3</v>
          </cell>
          <cell r="D211">
            <v>3</v>
          </cell>
        </row>
        <row r="212">
          <cell r="B212" t="str">
            <v>XRM DUAL SPORTS FI(DS)</v>
          </cell>
          <cell r="C212" t="str">
            <v>GREATWALL</v>
          </cell>
          <cell r="D212">
            <v>5</v>
          </cell>
        </row>
        <row r="213">
          <cell r="B213" t="str">
            <v>XRM DUAL SPORTS FI(DS)</v>
          </cell>
          <cell r="C213" t="str">
            <v>GREATWALL</v>
          </cell>
          <cell r="D213">
            <v>11</v>
          </cell>
        </row>
        <row r="214">
          <cell r="B214" t="str">
            <v>XRM DUAL SPORTS FI(DS)</v>
          </cell>
          <cell r="C214" t="str">
            <v>HONDA MALUNGON</v>
          </cell>
          <cell r="D214">
            <v>2</v>
          </cell>
        </row>
        <row r="215">
          <cell r="B215" t="str">
            <v>XRM DUAL SPORTS FI(DS)</v>
          </cell>
          <cell r="C215" t="str">
            <v>HONDA MARAMAG</v>
          </cell>
          <cell r="D215">
            <v>4</v>
          </cell>
        </row>
        <row r="216">
          <cell r="B216" t="str">
            <v>XRM DUAL SPORTS FI(DS)</v>
          </cell>
          <cell r="C216" t="str">
            <v>HONDA SURALLAH</v>
          </cell>
          <cell r="D216">
            <v>1</v>
          </cell>
        </row>
        <row r="217">
          <cell r="B217" t="str">
            <v>XRM DUAL SPORTS FI(DS)</v>
          </cell>
          <cell r="C217" t="str">
            <v>MUTI BANGA</v>
          </cell>
          <cell r="D217">
            <v>2</v>
          </cell>
        </row>
        <row r="218">
          <cell r="B218" t="str">
            <v>XRM DUAL SPORTS FI(DS)</v>
          </cell>
          <cell r="C218" t="str">
            <v>MUTI BANSALAN</v>
          </cell>
          <cell r="D218">
            <v>1</v>
          </cell>
        </row>
        <row r="219">
          <cell r="B219" t="str">
            <v>XRM DUAL SPORTS FI(DS)</v>
          </cell>
          <cell r="C219" t="str">
            <v>MUTI BATANGAS</v>
          </cell>
          <cell r="D219">
            <v>2</v>
          </cell>
        </row>
        <row r="220">
          <cell r="B220" t="str">
            <v>XRM DUAL SPORTS FI(DS)</v>
          </cell>
          <cell r="C220" t="str">
            <v>MUTI BUTUAN</v>
          </cell>
          <cell r="D220">
            <v>1</v>
          </cell>
        </row>
        <row r="221">
          <cell r="B221" t="str">
            <v>XRM DUAL SPORTS FI(DS)</v>
          </cell>
          <cell r="C221" t="str">
            <v>MUTI DIGOS</v>
          </cell>
          <cell r="D221">
            <v>1</v>
          </cell>
        </row>
        <row r="222">
          <cell r="B222" t="str">
            <v>XRM DUAL SPORTS FI(DS)</v>
          </cell>
          <cell r="C222" t="str">
            <v>MUTI DON CARLOS</v>
          </cell>
          <cell r="D222">
            <v>5</v>
          </cell>
        </row>
        <row r="223">
          <cell r="B223" t="str">
            <v>XRM DUAL SPORTS FI(DS)</v>
          </cell>
          <cell r="C223" t="str">
            <v>MUTI ISULAN</v>
          </cell>
          <cell r="D223">
            <v>4</v>
          </cell>
        </row>
        <row r="224">
          <cell r="B224" t="str">
            <v>XRM DUAL SPORTS FI(DS)</v>
          </cell>
          <cell r="C224" t="str">
            <v>MUTI KABACAN</v>
          </cell>
          <cell r="D224">
            <v>2</v>
          </cell>
        </row>
        <row r="225">
          <cell r="B225" t="str">
            <v>XRM DUAL SPORTS FI(DS)</v>
          </cell>
          <cell r="C225" t="str">
            <v>MUTI LAPASAN</v>
          </cell>
          <cell r="D225">
            <v>1</v>
          </cell>
        </row>
        <row r="226">
          <cell r="B226" t="str">
            <v>XRM DUAL SPORTS FI(DS)</v>
          </cell>
          <cell r="C226" t="str">
            <v>MUTI MANOLO</v>
          </cell>
          <cell r="D226">
            <v>6</v>
          </cell>
        </row>
        <row r="227">
          <cell r="B227" t="str">
            <v>XRM DUAL SPORTS FI(DS)</v>
          </cell>
          <cell r="C227" t="str">
            <v>MUTI MARBEL-MC</v>
          </cell>
          <cell r="D227">
            <v>2</v>
          </cell>
        </row>
        <row r="228">
          <cell r="B228" t="str">
            <v>XRM DUAL SPORTS FI(DS)</v>
          </cell>
          <cell r="C228" t="str">
            <v>MUTI MLANG</v>
          </cell>
          <cell r="D228">
            <v>2</v>
          </cell>
        </row>
        <row r="229">
          <cell r="B229" t="str">
            <v>XRM DUAL SPORTS FI(DS)</v>
          </cell>
          <cell r="C229" t="str">
            <v>MUTI NABUNTURAN</v>
          </cell>
          <cell r="D229">
            <v>2</v>
          </cell>
        </row>
        <row r="230">
          <cell r="B230" t="str">
            <v>XRM DUAL SPORTS FI(DS)</v>
          </cell>
          <cell r="C230" t="str">
            <v>MUTI POLOMOLOK</v>
          </cell>
          <cell r="D230">
            <v>2</v>
          </cell>
        </row>
        <row r="231">
          <cell r="B231" t="str">
            <v>XRM DUAL SPORTS FI(DS)</v>
          </cell>
          <cell r="C231" t="str">
            <v>MUTI QUEZON</v>
          </cell>
          <cell r="D231">
            <v>5</v>
          </cell>
        </row>
        <row r="232">
          <cell r="B232" t="str">
            <v>XRM DUAL SPORTS FI(DS)</v>
          </cell>
          <cell r="C232" t="str">
            <v>MUTI STO. TOMAS</v>
          </cell>
          <cell r="D232">
            <v>2</v>
          </cell>
        </row>
        <row r="233">
          <cell r="B233" t="str">
            <v>XRM DUAL SPORTS FI(DS)</v>
          </cell>
          <cell r="C233" t="str">
            <v>MUTI SURALLAH</v>
          </cell>
          <cell r="D233">
            <v>4</v>
          </cell>
        </row>
        <row r="234">
          <cell r="B234" t="str">
            <v>XRM DUAL SPORTS FI(DS)</v>
          </cell>
          <cell r="C234" t="str">
            <v>MUTI SURIGAO</v>
          </cell>
          <cell r="D234">
            <v>3</v>
          </cell>
        </row>
        <row r="235">
          <cell r="B235" t="str">
            <v>XRM DUAL SPORTS FI(DS)</v>
          </cell>
          <cell r="C235" t="str">
            <v>MUTI TACURONG</v>
          </cell>
          <cell r="D235">
            <v>1</v>
          </cell>
        </row>
        <row r="236">
          <cell r="B236" t="str">
            <v>XRM DUAL SPORTS FI(DS)</v>
          </cell>
          <cell r="C236" t="str">
            <v>HONDA KORONADAL</v>
          </cell>
          <cell r="D236">
            <v>3</v>
          </cell>
        </row>
        <row r="237">
          <cell r="B237" t="str">
            <v>XRM DUAL SPORTS FI(DS)</v>
          </cell>
          <cell r="C237" t="str">
            <v>MUTI BULUA</v>
          </cell>
          <cell r="D237">
            <v>2</v>
          </cell>
        </row>
        <row r="238">
          <cell r="B238" t="str">
            <v>XRM DUAL SPORTS FI(DS)</v>
          </cell>
          <cell r="C238" t="str">
            <v>MUTI CABADBARAN</v>
          </cell>
          <cell r="D238">
            <v>4</v>
          </cell>
        </row>
        <row r="239">
          <cell r="B239" t="str">
            <v>XRM DUAL SPORTS FI(DS)</v>
          </cell>
          <cell r="C239" t="str">
            <v>MUTI PANABO</v>
          </cell>
          <cell r="D239">
            <v>2</v>
          </cell>
        </row>
        <row r="240">
          <cell r="B240" t="str">
            <v>XRM DUAL SPORTS FI(DS)</v>
          </cell>
          <cell r="C240" t="str">
            <v>MUTI PROSPERIDAD</v>
          </cell>
          <cell r="D240">
            <v>2</v>
          </cell>
        </row>
        <row r="241">
          <cell r="B241" t="str">
            <v>XRM DUAL SPORTS FI(DS)</v>
          </cell>
          <cell r="C241" t="str">
            <v>MUTI SAMAL</v>
          </cell>
          <cell r="D241">
            <v>2</v>
          </cell>
        </row>
        <row r="242">
          <cell r="B242" t="str">
            <v>XRM DUAL SPORTS FI(DS)</v>
          </cell>
          <cell r="C242" t="str">
            <v>MUTI TAGUM 1</v>
          </cell>
          <cell r="D242">
            <v>1</v>
          </cell>
        </row>
        <row r="243">
          <cell r="B243" t="str">
            <v>XRM DUAL SPORTS FI(DS)</v>
          </cell>
          <cell r="C243" t="str">
            <v>MUTI TAGUM 2</v>
          </cell>
          <cell r="D243">
            <v>1</v>
          </cell>
        </row>
        <row r="244">
          <cell r="B244" t="str">
            <v>XRM DUAL SPORTS FI(DS)</v>
          </cell>
          <cell r="C244" t="str">
            <v>MUTI TAGUM 3</v>
          </cell>
          <cell r="D244">
            <v>1</v>
          </cell>
        </row>
        <row r="245">
          <cell r="B245" t="str">
            <v>XRM DUAL SPORTS FI(DS)</v>
          </cell>
          <cell r="C245" t="str">
            <v>GREATWALL</v>
          </cell>
          <cell r="D245">
            <v>39</v>
          </cell>
        </row>
        <row r="246">
          <cell r="B246" t="str">
            <v>XRM DUAL SPORTS FI(DS)</v>
          </cell>
          <cell r="C246" t="str">
            <v>MUTI BANSALAN</v>
          </cell>
          <cell r="D246">
            <v>2</v>
          </cell>
        </row>
        <row r="247">
          <cell r="B247" t="str">
            <v>XRM DUAL SPORTS FI(DS)</v>
          </cell>
          <cell r="C247" t="str">
            <v>MUTI BATANGAS</v>
          </cell>
          <cell r="D247">
            <v>1</v>
          </cell>
        </row>
        <row r="248">
          <cell r="B248" t="str">
            <v>XRM DUAL SPORTS FI(DS)</v>
          </cell>
          <cell r="C248" t="str">
            <v>MUTI DIGOS</v>
          </cell>
          <cell r="D248">
            <v>1</v>
          </cell>
        </row>
        <row r="249">
          <cell r="B249" t="str">
            <v>XRM DUAL SPORTS FI(DS)</v>
          </cell>
          <cell r="C249" t="str">
            <v>MUTI MARBEL-MC</v>
          </cell>
          <cell r="D249">
            <v>1</v>
          </cell>
        </row>
        <row r="250">
          <cell r="B250" t="str">
            <v>XRM DUAL SPORTS FI(DS)</v>
          </cell>
          <cell r="C250" t="str">
            <v>MUTI MIDSAYAP</v>
          </cell>
          <cell r="D250">
            <v>1</v>
          </cell>
        </row>
        <row r="251">
          <cell r="B251" t="str">
            <v>XRM DUAL SPORTS FI(DS)</v>
          </cell>
          <cell r="C251" t="str">
            <v>MUTI SURALLAH</v>
          </cell>
          <cell r="D251">
            <v>1</v>
          </cell>
        </row>
        <row r="252">
          <cell r="B252" t="str">
            <v>XRM DUAL SPORTS FI(DS)</v>
          </cell>
          <cell r="C252" t="str">
            <v>HONDA KORONADAL</v>
          </cell>
          <cell r="D252">
            <v>1</v>
          </cell>
        </row>
        <row r="253">
          <cell r="B253" t="str">
            <v>XRM DUAL SPORTS FI(DS)</v>
          </cell>
          <cell r="C253" t="str">
            <v>MUTI BAYUGAN</v>
          </cell>
          <cell r="D253">
            <v>1</v>
          </cell>
        </row>
        <row r="254">
          <cell r="B254" t="str">
            <v>XRM OFFROAD FI(DSX)</v>
          </cell>
          <cell r="C254" t="str">
            <v>GREATWALL</v>
          </cell>
          <cell r="D254">
            <v>13</v>
          </cell>
        </row>
        <row r="255">
          <cell r="B255" t="str">
            <v>XRM OFFROAD FI(DSX)</v>
          </cell>
          <cell r="C255" t="str">
            <v>HONDA ISULAN</v>
          </cell>
          <cell r="D255">
            <v>1</v>
          </cell>
        </row>
        <row r="256">
          <cell r="B256" t="str">
            <v>XRM OFFROAD FI(DSX)</v>
          </cell>
          <cell r="C256" t="str">
            <v>HONDA MALUNGON</v>
          </cell>
          <cell r="D256">
            <v>1</v>
          </cell>
        </row>
        <row r="257">
          <cell r="B257" t="str">
            <v>XRM OFFROAD FI(DSX)</v>
          </cell>
          <cell r="C257" t="str">
            <v>HONDA MARAMAG</v>
          </cell>
          <cell r="D257">
            <v>3</v>
          </cell>
        </row>
        <row r="258">
          <cell r="B258" t="str">
            <v>XRM OFFROAD FI(DSX)</v>
          </cell>
          <cell r="C258" t="str">
            <v>HONDA SURALLAH</v>
          </cell>
          <cell r="D258">
            <v>5</v>
          </cell>
        </row>
        <row r="259">
          <cell r="B259" t="str">
            <v>XRM OFFROAD FI(DSX)</v>
          </cell>
          <cell r="C259" t="str">
            <v>MUTI ALABEL</v>
          </cell>
          <cell r="D259">
            <v>1</v>
          </cell>
        </row>
        <row r="260">
          <cell r="B260" t="str">
            <v>XRM OFFROAD FI(DSX)</v>
          </cell>
          <cell r="C260" t="str">
            <v>MUTI BANSALAN</v>
          </cell>
          <cell r="D260">
            <v>2</v>
          </cell>
        </row>
        <row r="261">
          <cell r="B261" t="str">
            <v>XRM OFFROAD FI(DSX)</v>
          </cell>
          <cell r="C261" t="str">
            <v>MUTI BATANGAS</v>
          </cell>
          <cell r="D261">
            <v>2</v>
          </cell>
        </row>
        <row r="262">
          <cell r="B262" t="str">
            <v>XRM OFFROAD FI(DSX)</v>
          </cell>
          <cell r="C262" t="str">
            <v>MUTI DIGOS</v>
          </cell>
          <cell r="D262">
            <v>3</v>
          </cell>
        </row>
        <row r="263">
          <cell r="B263" t="str">
            <v>XRM OFFROAD FI(DSX)</v>
          </cell>
          <cell r="C263" t="str">
            <v>MUTI DON CARLOS</v>
          </cell>
          <cell r="D263">
            <v>2</v>
          </cell>
        </row>
        <row r="264">
          <cell r="B264" t="str">
            <v>XRM OFFROAD FI(DSX)</v>
          </cell>
          <cell r="C264" t="str">
            <v>MUTI ISULAN</v>
          </cell>
          <cell r="D264">
            <v>1</v>
          </cell>
        </row>
        <row r="265">
          <cell r="B265" t="str">
            <v>XRM OFFROAD FI(DSX)</v>
          </cell>
          <cell r="C265" t="str">
            <v>MUTI KIDAPAWAN</v>
          </cell>
          <cell r="D265">
            <v>2</v>
          </cell>
        </row>
        <row r="266">
          <cell r="B266" t="str">
            <v>XRM OFFROAD FI(DSX)</v>
          </cell>
          <cell r="C266" t="str">
            <v>MUTI LAPASAN</v>
          </cell>
          <cell r="D266">
            <v>2</v>
          </cell>
        </row>
        <row r="267">
          <cell r="B267" t="str">
            <v>XRM OFFROAD FI(DSX)</v>
          </cell>
          <cell r="C267" t="str">
            <v>MUTI MALUNGON</v>
          </cell>
          <cell r="D267">
            <v>3</v>
          </cell>
        </row>
        <row r="268">
          <cell r="B268" t="str">
            <v>XRM OFFROAD FI(DSX)</v>
          </cell>
          <cell r="C268" t="str">
            <v>MUTI MANOLO</v>
          </cell>
          <cell r="D268">
            <v>5</v>
          </cell>
        </row>
        <row r="269">
          <cell r="B269" t="str">
            <v>XRM OFFROAD FI(DSX)</v>
          </cell>
          <cell r="C269" t="str">
            <v>MUTI MIDSAYAP</v>
          </cell>
          <cell r="D269">
            <v>2</v>
          </cell>
        </row>
        <row r="270">
          <cell r="B270" t="str">
            <v>XRM OFFROAD FI(DSX)</v>
          </cell>
          <cell r="C270" t="str">
            <v>MUTI MLANG</v>
          </cell>
          <cell r="D270">
            <v>2</v>
          </cell>
        </row>
        <row r="271">
          <cell r="B271" t="str">
            <v>XRM OFFROAD FI(DSX)</v>
          </cell>
          <cell r="C271" t="str">
            <v>MUTI NABUNTURAN</v>
          </cell>
          <cell r="D271">
            <v>1</v>
          </cell>
        </row>
        <row r="272">
          <cell r="B272" t="str">
            <v>XRM OFFROAD FI(DSX)</v>
          </cell>
          <cell r="C272" t="str">
            <v>MUTI POLOMOLOK</v>
          </cell>
          <cell r="D272">
            <v>1</v>
          </cell>
        </row>
        <row r="273">
          <cell r="B273" t="str">
            <v>XRM OFFROAD FI(DSX)</v>
          </cell>
          <cell r="C273" t="str">
            <v>MUTI SAN FRANCISCO</v>
          </cell>
          <cell r="D273">
            <v>1</v>
          </cell>
        </row>
        <row r="274">
          <cell r="B274" t="str">
            <v>XRM OFFROAD FI(DSX)</v>
          </cell>
          <cell r="C274" t="str">
            <v>MUTI STO. TOMAS</v>
          </cell>
          <cell r="D274">
            <v>8</v>
          </cell>
        </row>
        <row r="275">
          <cell r="B275" t="str">
            <v>XRM OFFROAD FI(DSX)</v>
          </cell>
          <cell r="C275" t="str">
            <v>MUTI SURALLAH</v>
          </cell>
          <cell r="D275">
            <v>2</v>
          </cell>
        </row>
        <row r="276">
          <cell r="B276" t="str">
            <v>XRM OFFROAD FI(DSX)</v>
          </cell>
          <cell r="C276" t="str">
            <v>MUTI TACURONG</v>
          </cell>
          <cell r="D276">
            <v>3</v>
          </cell>
        </row>
        <row r="277">
          <cell r="B277" t="str">
            <v>XRM OFFROAD FI(DSX)</v>
          </cell>
          <cell r="C277" t="str">
            <v>MUTI TUPI</v>
          </cell>
          <cell r="D277">
            <v>1</v>
          </cell>
        </row>
        <row r="278">
          <cell r="B278" t="str">
            <v>XRM OFFROAD FI(DSX)</v>
          </cell>
          <cell r="C278" t="str">
            <v>MUTI VALENCIA</v>
          </cell>
          <cell r="D278">
            <v>4</v>
          </cell>
        </row>
        <row r="279">
          <cell r="B279" t="str">
            <v>XRM OFFROAD FI(DSX)</v>
          </cell>
          <cell r="C279" t="str">
            <v>HONDA KORONADAL</v>
          </cell>
          <cell r="D279">
            <v>6</v>
          </cell>
        </row>
        <row r="280">
          <cell r="B280" t="str">
            <v>XRM OFFROAD FI(DSX)</v>
          </cell>
          <cell r="C280" t="str">
            <v>MUTI BAYUGAN</v>
          </cell>
          <cell r="D280">
            <v>1</v>
          </cell>
        </row>
        <row r="281">
          <cell r="B281" t="str">
            <v>XRM OFFROAD FI(DSX)</v>
          </cell>
          <cell r="C281" t="str">
            <v>MUTI BULUA</v>
          </cell>
          <cell r="D281">
            <v>4</v>
          </cell>
        </row>
        <row r="282">
          <cell r="B282" t="str">
            <v>XRM OFFROAD FI(DSX)</v>
          </cell>
          <cell r="C282" t="str">
            <v>MUTI CABADBARAN</v>
          </cell>
          <cell r="D282">
            <v>3</v>
          </cell>
        </row>
        <row r="283">
          <cell r="B283" t="str">
            <v>XRM OFFROAD FI(DSX)</v>
          </cell>
          <cell r="C283" t="str">
            <v>MUTI CABANTIAN</v>
          </cell>
          <cell r="D283">
            <v>3</v>
          </cell>
        </row>
        <row r="284">
          <cell r="B284" t="str">
            <v>XRM OFFROAD FI(DSX)</v>
          </cell>
          <cell r="C284" t="str">
            <v>MUTI CATALUNAN GRANDE</v>
          </cell>
          <cell r="D284">
            <v>2</v>
          </cell>
        </row>
        <row r="285">
          <cell r="B285" t="str">
            <v>XRM OFFROAD FI(DSX)</v>
          </cell>
          <cell r="C285" t="str">
            <v>MUTI OZAMIZ</v>
          </cell>
          <cell r="D285">
            <v>2</v>
          </cell>
        </row>
        <row r="286">
          <cell r="B286" t="str">
            <v>XRM OFFROAD FI(DSX)</v>
          </cell>
          <cell r="C286" t="str">
            <v>MUTI PANABO</v>
          </cell>
          <cell r="D286">
            <v>3</v>
          </cell>
        </row>
        <row r="287">
          <cell r="B287" t="str">
            <v>XRM OFFROAD FI(DSX)</v>
          </cell>
          <cell r="C287" t="str">
            <v>MUTI PROSPERIDAD</v>
          </cell>
          <cell r="D287">
            <v>4</v>
          </cell>
        </row>
        <row r="288">
          <cell r="B288" t="str">
            <v>XRM OFFROAD FI(DSX)</v>
          </cell>
          <cell r="C288" t="str">
            <v>MUTI SAMAL</v>
          </cell>
          <cell r="D288">
            <v>4</v>
          </cell>
        </row>
        <row r="289">
          <cell r="B289" t="str">
            <v>XRM OFFROAD FI(DSX)</v>
          </cell>
          <cell r="C289" t="str">
            <v>MUTI TAGUM 1</v>
          </cell>
          <cell r="D289">
            <v>3</v>
          </cell>
        </row>
        <row r="290">
          <cell r="B290" t="str">
            <v>XRM OFFROAD FI(DSX)</v>
          </cell>
          <cell r="C290" t="str">
            <v>MUTI TAGUM 2</v>
          </cell>
          <cell r="D290">
            <v>2</v>
          </cell>
        </row>
        <row r="291">
          <cell r="B291" t="str">
            <v>XRM OFFROAD FI(DSX)</v>
          </cell>
          <cell r="C291" t="str">
            <v>MUTI TAGUM 3</v>
          </cell>
          <cell r="D291">
            <v>1</v>
          </cell>
        </row>
        <row r="292">
          <cell r="B292" t="str">
            <v>XRM MOTARD FI</v>
          </cell>
          <cell r="C292" t="str">
            <v>GREATWALL</v>
          </cell>
          <cell r="D292">
            <v>28</v>
          </cell>
        </row>
        <row r="293">
          <cell r="B293" t="str">
            <v>XRM MOTARD FI</v>
          </cell>
          <cell r="C293" t="str">
            <v>HONDA ISULAN</v>
          </cell>
          <cell r="D293">
            <v>2</v>
          </cell>
        </row>
        <row r="294">
          <cell r="B294" t="str">
            <v>XRM MOTARD FI</v>
          </cell>
          <cell r="C294" t="str">
            <v>HONDA MALUNGON</v>
          </cell>
          <cell r="D294">
            <v>4</v>
          </cell>
        </row>
        <row r="295">
          <cell r="B295" t="str">
            <v>XRM MOTARD FI</v>
          </cell>
          <cell r="C295" t="str">
            <v>HONDA SURALLAH</v>
          </cell>
          <cell r="D295">
            <v>5</v>
          </cell>
        </row>
        <row r="296">
          <cell r="B296" t="str">
            <v>XRM MOTARD FI</v>
          </cell>
          <cell r="C296" t="str">
            <v>MUTI ALABEL</v>
          </cell>
          <cell r="D296">
            <v>1</v>
          </cell>
        </row>
        <row r="297">
          <cell r="B297" t="str">
            <v>XRM MOTARD FI</v>
          </cell>
          <cell r="C297" t="str">
            <v>MUTI BANSALAN</v>
          </cell>
          <cell r="D297">
            <v>1</v>
          </cell>
        </row>
        <row r="298">
          <cell r="B298" t="str">
            <v>XRM MOTARD FI</v>
          </cell>
          <cell r="C298" t="str">
            <v>MUTI BATANGAS</v>
          </cell>
          <cell r="D298">
            <v>1</v>
          </cell>
        </row>
        <row r="299">
          <cell r="B299" t="str">
            <v>XRM MOTARD FI</v>
          </cell>
          <cell r="C299" t="str">
            <v>MUTI BUTUAN</v>
          </cell>
          <cell r="D299">
            <v>1</v>
          </cell>
        </row>
        <row r="300">
          <cell r="B300" t="str">
            <v>XRM MOTARD FI</v>
          </cell>
          <cell r="C300" t="str">
            <v>MUTI DIGOS</v>
          </cell>
          <cell r="D300">
            <v>3</v>
          </cell>
        </row>
        <row r="301">
          <cell r="B301" t="str">
            <v>XRM MOTARD FI</v>
          </cell>
          <cell r="C301" t="str">
            <v>MUTI ECOLAND</v>
          </cell>
          <cell r="D301">
            <v>2</v>
          </cell>
        </row>
        <row r="302">
          <cell r="B302" t="str">
            <v>XRM MOTARD FI</v>
          </cell>
          <cell r="C302" t="str">
            <v>MUTI KABACAN</v>
          </cell>
          <cell r="D302">
            <v>1</v>
          </cell>
        </row>
        <row r="303">
          <cell r="B303" t="str">
            <v>XRM MOTARD FI</v>
          </cell>
          <cell r="C303" t="str">
            <v>MUTI MALUNGON</v>
          </cell>
          <cell r="D303">
            <v>2</v>
          </cell>
        </row>
        <row r="304">
          <cell r="B304" t="str">
            <v>XRM MOTARD FI</v>
          </cell>
          <cell r="C304" t="str">
            <v>MUTI MARBEL-MC</v>
          </cell>
          <cell r="D304">
            <v>1</v>
          </cell>
        </row>
        <row r="305">
          <cell r="B305" t="str">
            <v>XRM MOTARD FI</v>
          </cell>
          <cell r="C305" t="str">
            <v>MUTI MIDSAYAP</v>
          </cell>
          <cell r="D305">
            <v>4</v>
          </cell>
        </row>
        <row r="306">
          <cell r="B306" t="str">
            <v>XRM MOTARD FI</v>
          </cell>
          <cell r="C306" t="str">
            <v>MUTI MLANG</v>
          </cell>
          <cell r="D306">
            <v>1</v>
          </cell>
        </row>
        <row r="307">
          <cell r="B307" t="str">
            <v>XRM MOTARD FI</v>
          </cell>
          <cell r="C307" t="str">
            <v>MUTI NABUNTURAN</v>
          </cell>
          <cell r="D307">
            <v>3</v>
          </cell>
        </row>
        <row r="308">
          <cell r="B308" t="str">
            <v>XRM MOTARD FI</v>
          </cell>
          <cell r="C308" t="str">
            <v>MUTI QUEZON</v>
          </cell>
          <cell r="D308">
            <v>1</v>
          </cell>
        </row>
        <row r="309">
          <cell r="B309" t="str">
            <v>XRM MOTARD FI</v>
          </cell>
          <cell r="C309" t="str">
            <v>MUTI STO. TOMAS</v>
          </cell>
          <cell r="D309">
            <v>2</v>
          </cell>
        </row>
        <row r="310">
          <cell r="B310" t="str">
            <v>XRM MOTARD FI</v>
          </cell>
          <cell r="C310" t="str">
            <v>MUTI SURALLAH</v>
          </cell>
          <cell r="D310">
            <v>1</v>
          </cell>
        </row>
        <row r="311">
          <cell r="B311" t="str">
            <v>XRM MOTARD FI</v>
          </cell>
          <cell r="C311" t="str">
            <v>MUTI SURIGAO</v>
          </cell>
          <cell r="D311">
            <v>2</v>
          </cell>
        </row>
        <row r="312">
          <cell r="B312" t="str">
            <v>XRM MOTARD FI</v>
          </cell>
          <cell r="C312" t="str">
            <v>MUTI TACURONG</v>
          </cell>
          <cell r="D312">
            <v>3</v>
          </cell>
        </row>
        <row r="313">
          <cell r="B313" t="str">
            <v>XRM MOTARD FI</v>
          </cell>
          <cell r="C313" t="str">
            <v>MUTI VALENCIA</v>
          </cell>
          <cell r="D313">
            <v>3</v>
          </cell>
        </row>
        <row r="314">
          <cell r="B314" t="str">
            <v>XRM MOTARD FI</v>
          </cell>
          <cell r="C314" t="str">
            <v>HONDA KORONADAL</v>
          </cell>
          <cell r="D314">
            <v>3</v>
          </cell>
        </row>
        <row r="315">
          <cell r="B315" t="str">
            <v>XRM MOTARD FI</v>
          </cell>
          <cell r="C315" t="str">
            <v>MUTI BAYUGAN</v>
          </cell>
          <cell r="D315">
            <v>1</v>
          </cell>
        </row>
        <row r="316">
          <cell r="B316" t="str">
            <v>XRM MOTARD FI</v>
          </cell>
          <cell r="C316" t="str">
            <v>MUTI BULUA</v>
          </cell>
          <cell r="D316">
            <v>1</v>
          </cell>
        </row>
        <row r="317">
          <cell r="B317" t="str">
            <v>XRM MOTARD FI</v>
          </cell>
          <cell r="C317" t="str">
            <v>MUTI CABADBARAN</v>
          </cell>
          <cell r="D317">
            <v>2</v>
          </cell>
        </row>
        <row r="318">
          <cell r="B318" t="str">
            <v>XRM MOTARD FI</v>
          </cell>
          <cell r="C318" t="str">
            <v>MUTI CABANTIAN</v>
          </cell>
          <cell r="D318">
            <v>2</v>
          </cell>
        </row>
        <row r="319">
          <cell r="B319" t="str">
            <v>XRM MOTARD FI</v>
          </cell>
          <cell r="C319" t="str">
            <v>MUTI CALINAN</v>
          </cell>
          <cell r="D319">
            <v>1</v>
          </cell>
        </row>
        <row r="320">
          <cell r="B320" t="str">
            <v>XRM MOTARD FI</v>
          </cell>
          <cell r="C320" t="str">
            <v>MUTI CATALUNAN GRANDE</v>
          </cell>
          <cell r="D320">
            <v>1</v>
          </cell>
        </row>
        <row r="321">
          <cell r="B321" t="str">
            <v>XRM MOTARD FI</v>
          </cell>
          <cell r="C321" t="str">
            <v>MUTI PROSPERIDAD</v>
          </cell>
          <cell r="D321">
            <v>1</v>
          </cell>
        </row>
        <row r="322">
          <cell r="B322" t="str">
            <v>XRM MOTARD FI</v>
          </cell>
          <cell r="C322" t="str">
            <v>MUTI TAGUM 2</v>
          </cell>
          <cell r="D322">
            <v>1</v>
          </cell>
        </row>
        <row r="323">
          <cell r="B323" t="str">
            <v>XRM MOTARD FI</v>
          </cell>
          <cell r="C323" t="str">
            <v>MUTI TAGUM 3</v>
          </cell>
          <cell r="D323">
            <v>1</v>
          </cell>
        </row>
        <row r="324">
          <cell r="B324" t="str">
            <v>XRM RS</v>
          </cell>
          <cell r="C324" t="str">
            <v>HONDA ISULAN</v>
          </cell>
          <cell r="D324">
            <v>1</v>
          </cell>
        </row>
        <row r="325">
          <cell r="B325" t="str">
            <v>XRM RS</v>
          </cell>
          <cell r="C325" t="str">
            <v>HONDA MALUNGON</v>
          </cell>
          <cell r="D325">
            <v>2</v>
          </cell>
        </row>
        <row r="326">
          <cell r="B326" t="str">
            <v>XRM RS</v>
          </cell>
          <cell r="C326" t="str">
            <v>HONDA MARAMAG</v>
          </cell>
          <cell r="D326">
            <v>1</v>
          </cell>
        </row>
        <row r="327">
          <cell r="B327" t="str">
            <v>XRM RS</v>
          </cell>
          <cell r="C327" t="str">
            <v>HONDA SURALLAH</v>
          </cell>
          <cell r="D327">
            <v>1</v>
          </cell>
        </row>
        <row r="328">
          <cell r="B328" t="str">
            <v>XRM RS</v>
          </cell>
          <cell r="C328" t="str">
            <v>MUTI DIGOS</v>
          </cell>
          <cell r="D328">
            <v>1</v>
          </cell>
        </row>
        <row r="329">
          <cell r="B329" t="str">
            <v>XRM RS</v>
          </cell>
          <cell r="C329" t="str">
            <v>MUTI MARBEL-MC</v>
          </cell>
          <cell r="D329">
            <v>1</v>
          </cell>
        </row>
        <row r="330">
          <cell r="B330" t="str">
            <v>XRM RS</v>
          </cell>
          <cell r="C330" t="str">
            <v>MUTI VALENCIA</v>
          </cell>
          <cell r="D330">
            <v>1</v>
          </cell>
        </row>
        <row r="331">
          <cell r="B331" t="str">
            <v>XRM RS</v>
          </cell>
          <cell r="C331" t="str">
            <v>HONDA KORONADAL</v>
          </cell>
          <cell r="D331">
            <v>2</v>
          </cell>
        </row>
        <row r="332">
          <cell r="B332" t="str">
            <v>XRM RS</v>
          </cell>
          <cell r="C332" t="str">
            <v>MUTI BAYUGAN</v>
          </cell>
          <cell r="D332">
            <v>1</v>
          </cell>
        </row>
        <row r="333">
          <cell r="B333" t="str">
            <v>XRM RS</v>
          </cell>
          <cell r="C333" t="str">
            <v>MUTI CABANTIAN</v>
          </cell>
          <cell r="D333">
            <v>1</v>
          </cell>
        </row>
        <row r="334">
          <cell r="B334" t="str">
            <v>XRM RS</v>
          </cell>
          <cell r="C334" t="str">
            <v>MUTI PROSPERIDAD</v>
          </cell>
          <cell r="D334">
            <v>1</v>
          </cell>
        </row>
        <row r="335">
          <cell r="B335" t="str">
            <v>XRM RS</v>
          </cell>
          <cell r="C335" t="str">
            <v>MUTI SAMAL</v>
          </cell>
          <cell r="D335">
            <v>2</v>
          </cell>
        </row>
        <row r="336">
          <cell r="B336" t="str">
            <v>XRM RS</v>
          </cell>
          <cell r="C336" t="str">
            <v>MUTI TAGUM 3</v>
          </cell>
          <cell r="D336">
            <v>1</v>
          </cell>
        </row>
        <row r="337">
          <cell r="B337" t="str">
            <v>XRM RS</v>
          </cell>
          <cell r="C337" t="str">
            <v>HONDA ISULAN</v>
          </cell>
          <cell r="D337">
            <v>1</v>
          </cell>
        </row>
        <row r="338">
          <cell r="B338" t="str">
            <v>XRM RS</v>
          </cell>
          <cell r="C338" t="str">
            <v>HONDA MARAMAG</v>
          </cell>
          <cell r="D338">
            <v>1</v>
          </cell>
        </row>
        <row r="339">
          <cell r="B339" t="str">
            <v>XRM RS</v>
          </cell>
          <cell r="C339" t="str">
            <v>MUTI ALABEL</v>
          </cell>
          <cell r="D339">
            <v>1</v>
          </cell>
        </row>
        <row r="340">
          <cell r="B340" t="str">
            <v>XRM RS</v>
          </cell>
          <cell r="C340" t="str">
            <v>MUTI DIGOS</v>
          </cell>
          <cell r="D340">
            <v>1</v>
          </cell>
        </row>
        <row r="341">
          <cell r="B341" t="str">
            <v>XRM RS</v>
          </cell>
          <cell r="C341" t="str">
            <v>MUTI ECOLAND</v>
          </cell>
          <cell r="D341">
            <v>1</v>
          </cell>
        </row>
        <row r="342">
          <cell r="B342" t="str">
            <v>XRM RS</v>
          </cell>
          <cell r="C342" t="str">
            <v>MUTI MALUNGON</v>
          </cell>
          <cell r="D342">
            <v>1</v>
          </cell>
        </row>
        <row r="343">
          <cell r="B343" t="str">
            <v>XRM RS</v>
          </cell>
          <cell r="C343" t="str">
            <v>MUTI MANOLO</v>
          </cell>
          <cell r="D343">
            <v>1</v>
          </cell>
        </row>
        <row r="344">
          <cell r="B344" t="str">
            <v>XRM RS</v>
          </cell>
          <cell r="C344" t="str">
            <v>MUTI MLANG</v>
          </cell>
          <cell r="D344">
            <v>1</v>
          </cell>
        </row>
        <row r="345">
          <cell r="B345" t="str">
            <v>XRM RS</v>
          </cell>
          <cell r="C345" t="str">
            <v>MUTI QUEZON</v>
          </cell>
          <cell r="D345">
            <v>2</v>
          </cell>
        </row>
        <row r="346">
          <cell r="B346" t="str">
            <v>XRM RS</v>
          </cell>
          <cell r="C346" t="str">
            <v>MUTI SURIGAO</v>
          </cell>
          <cell r="D346">
            <v>2</v>
          </cell>
        </row>
        <row r="347">
          <cell r="B347" t="str">
            <v>XRM RS</v>
          </cell>
          <cell r="C347" t="str">
            <v>MUTI BULUA</v>
          </cell>
          <cell r="D347">
            <v>1</v>
          </cell>
        </row>
        <row r="348">
          <cell r="B348" t="str">
            <v>XRM RS</v>
          </cell>
          <cell r="C348" t="str">
            <v>MUTI PANABO</v>
          </cell>
          <cell r="D348">
            <v>2</v>
          </cell>
        </row>
        <row r="349">
          <cell r="B349" t="str">
            <v>XRM RS</v>
          </cell>
          <cell r="C349" t="str">
            <v>MUTI PROSPERIDAD</v>
          </cell>
          <cell r="D349">
            <v>1</v>
          </cell>
        </row>
        <row r="350">
          <cell r="B350" t="str">
            <v>XRM RS</v>
          </cell>
          <cell r="C350" t="str">
            <v>MUTI TAGUM 3</v>
          </cell>
          <cell r="D350">
            <v>1</v>
          </cell>
        </row>
        <row r="351">
          <cell r="B351" t="str">
            <v>CLICK160 FI</v>
          </cell>
          <cell r="C351" t="str">
            <v>HONDA MALUNGON</v>
          </cell>
          <cell r="D351">
            <v>1</v>
          </cell>
        </row>
        <row r="352">
          <cell r="B352" t="str">
            <v>CLICK160 FI</v>
          </cell>
          <cell r="C352" t="str">
            <v>MUTI SURALLAH</v>
          </cell>
          <cell r="D352">
            <v>2</v>
          </cell>
        </row>
        <row r="353">
          <cell r="B353" t="str">
            <v>CLICK125 FI</v>
          </cell>
          <cell r="C353" t="str">
            <v>MUTI DON CARLOS</v>
          </cell>
          <cell r="D353">
            <v>1</v>
          </cell>
        </row>
        <row r="354">
          <cell r="B354" t="str">
            <v>XR150</v>
          </cell>
          <cell r="C354" t="str">
            <v>GREATWALL</v>
          </cell>
          <cell r="D354">
            <v>69</v>
          </cell>
        </row>
        <row r="355">
          <cell r="B355" t="str">
            <v>XR150</v>
          </cell>
          <cell r="C355" t="str">
            <v>HONDA MARAMAG</v>
          </cell>
          <cell r="D355">
            <v>1</v>
          </cell>
        </row>
        <row r="356">
          <cell r="B356" t="str">
            <v>XR150</v>
          </cell>
          <cell r="C356" t="str">
            <v>HONDA SURALLAH</v>
          </cell>
          <cell r="D356">
            <v>4</v>
          </cell>
        </row>
        <row r="357">
          <cell r="B357" t="str">
            <v>XR150</v>
          </cell>
          <cell r="C357" t="str">
            <v>MUTI BUTUAN</v>
          </cell>
          <cell r="D357">
            <v>1</v>
          </cell>
        </row>
        <row r="358">
          <cell r="B358" t="str">
            <v>XR150</v>
          </cell>
          <cell r="C358" t="str">
            <v>MUTI DIGOS</v>
          </cell>
          <cell r="D358">
            <v>3</v>
          </cell>
        </row>
        <row r="359">
          <cell r="B359" t="str">
            <v>XR150</v>
          </cell>
          <cell r="C359" t="str">
            <v>MUTI ISULAN</v>
          </cell>
          <cell r="D359">
            <v>2</v>
          </cell>
        </row>
        <row r="360">
          <cell r="B360" t="str">
            <v>XR150</v>
          </cell>
          <cell r="C360" t="str">
            <v>MUTI KABACAN</v>
          </cell>
          <cell r="D360">
            <v>2</v>
          </cell>
        </row>
        <row r="361">
          <cell r="B361" t="str">
            <v>XR150</v>
          </cell>
          <cell r="C361" t="str">
            <v>MUTI KIDAPAWAN</v>
          </cell>
          <cell r="D361">
            <v>2</v>
          </cell>
        </row>
        <row r="362">
          <cell r="B362" t="str">
            <v>XR150</v>
          </cell>
          <cell r="C362" t="str">
            <v>MUTI MALUNGON</v>
          </cell>
          <cell r="D362">
            <v>1</v>
          </cell>
        </row>
        <row r="363">
          <cell r="B363" t="str">
            <v>XR150</v>
          </cell>
          <cell r="C363" t="str">
            <v>MUTI MARBEL-MC</v>
          </cell>
          <cell r="D363">
            <v>1</v>
          </cell>
        </row>
        <row r="364">
          <cell r="B364" t="str">
            <v>XR150</v>
          </cell>
          <cell r="C364" t="str">
            <v>MUTI MIDSAYAP</v>
          </cell>
          <cell r="D364">
            <v>2</v>
          </cell>
        </row>
        <row r="365">
          <cell r="B365" t="str">
            <v>XR150</v>
          </cell>
          <cell r="C365" t="str">
            <v>MUTI MLANG</v>
          </cell>
          <cell r="D365">
            <v>4</v>
          </cell>
        </row>
        <row r="366">
          <cell r="B366" t="str">
            <v>XR150</v>
          </cell>
          <cell r="C366" t="str">
            <v>MUTI POLOMOLOK</v>
          </cell>
          <cell r="D366">
            <v>2</v>
          </cell>
        </row>
        <row r="367">
          <cell r="B367" t="str">
            <v>XR150</v>
          </cell>
          <cell r="C367" t="str">
            <v>MUTI SAN FRANCISCO</v>
          </cell>
          <cell r="D367">
            <v>5</v>
          </cell>
        </row>
        <row r="368">
          <cell r="B368" t="str">
            <v>XR150</v>
          </cell>
          <cell r="C368" t="str">
            <v>MUTI TIBUNGCO</v>
          </cell>
          <cell r="D368">
            <v>1</v>
          </cell>
        </row>
        <row r="369">
          <cell r="B369" t="str">
            <v>XR150</v>
          </cell>
          <cell r="C369" t="str">
            <v>MUTI TUPI</v>
          </cell>
          <cell r="D369">
            <v>1</v>
          </cell>
        </row>
        <row r="370">
          <cell r="B370" t="str">
            <v>XR150</v>
          </cell>
          <cell r="C370" t="str">
            <v>MUTI VALENCIA</v>
          </cell>
          <cell r="D370">
            <v>1</v>
          </cell>
        </row>
        <row r="371">
          <cell r="B371" t="str">
            <v>XR150</v>
          </cell>
          <cell r="C371" t="str">
            <v>HONDA KORONADAL</v>
          </cell>
          <cell r="D371">
            <v>2</v>
          </cell>
        </row>
        <row r="372">
          <cell r="B372" t="str">
            <v>XR150</v>
          </cell>
          <cell r="C372" t="str">
            <v>MUTI BAYUGAN</v>
          </cell>
          <cell r="D372">
            <v>3</v>
          </cell>
        </row>
        <row r="373">
          <cell r="B373" t="str">
            <v>XR150</v>
          </cell>
          <cell r="C373" t="str">
            <v>MUTI BULUA</v>
          </cell>
          <cell r="D373">
            <v>1</v>
          </cell>
        </row>
        <row r="374">
          <cell r="B374" t="str">
            <v>XR150</v>
          </cell>
          <cell r="C374" t="str">
            <v>MUTI CABADBARAN</v>
          </cell>
          <cell r="D374">
            <v>1</v>
          </cell>
        </row>
        <row r="375">
          <cell r="B375" t="str">
            <v>XR150</v>
          </cell>
          <cell r="C375" t="str">
            <v>MUTI CABANTIAN</v>
          </cell>
          <cell r="D375">
            <v>3</v>
          </cell>
        </row>
        <row r="376">
          <cell r="B376" t="str">
            <v>XR150</v>
          </cell>
          <cell r="C376" t="str">
            <v>MUTI PROSPERIDAD</v>
          </cell>
          <cell r="D376">
            <v>5</v>
          </cell>
        </row>
        <row r="377">
          <cell r="B377" t="str">
            <v>XR150</v>
          </cell>
          <cell r="C377" t="str">
            <v>MUTI TAGUM 1</v>
          </cell>
          <cell r="D377">
            <v>1</v>
          </cell>
        </row>
        <row r="378">
          <cell r="B378" t="str">
            <v>XR150</v>
          </cell>
          <cell r="C378" t="str">
            <v>GREATWALL</v>
          </cell>
          <cell r="D378">
            <v>19</v>
          </cell>
        </row>
        <row r="379">
          <cell r="B379" t="str">
            <v>XR150</v>
          </cell>
          <cell r="C379" t="str">
            <v>HONDA ISULAN</v>
          </cell>
          <cell r="D379">
            <v>6</v>
          </cell>
        </row>
        <row r="380">
          <cell r="B380" t="str">
            <v>XR150</v>
          </cell>
          <cell r="C380" t="str">
            <v>HONDA MALUNGON</v>
          </cell>
          <cell r="D380">
            <v>5</v>
          </cell>
        </row>
        <row r="381">
          <cell r="B381" t="str">
            <v>XR150</v>
          </cell>
          <cell r="C381" t="str">
            <v>HONDA SURALLAH</v>
          </cell>
          <cell r="D381">
            <v>2</v>
          </cell>
        </row>
        <row r="382">
          <cell r="B382" t="str">
            <v>XR150</v>
          </cell>
          <cell r="C382" t="str">
            <v>MUTI ALABEL</v>
          </cell>
          <cell r="D382">
            <v>3</v>
          </cell>
        </row>
        <row r="383">
          <cell r="B383" t="str">
            <v>XR150</v>
          </cell>
          <cell r="C383" t="str">
            <v>MUTI BANSALAN</v>
          </cell>
          <cell r="D383">
            <v>2</v>
          </cell>
        </row>
        <row r="384">
          <cell r="B384" t="str">
            <v>XR150</v>
          </cell>
          <cell r="C384" t="str">
            <v>MUTI DIGOS</v>
          </cell>
          <cell r="D384">
            <v>3</v>
          </cell>
        </row>
        <row r="385">
          <cell r="B385" t="str">
            <v>XR150</v>
          </cell>
          <cell r="C385" t="str">
            <v>MUTI ISULAN</v>
          </cell>
          <cell r="D385">
            <v>10</v>
          </cell>
        </row>
        <row r="386">
          <cell r="B386" t="str">
            <v>XR150</v>
          </cell>
          <cell r="C386" t="str">
            <v>MUTI KABACAN</v>
          </cell>
          <cell r="D386">
            <v>1</v>
          </cell>
        </row>
        <row r="387">
          <cell r="B387" t="str">
            <v>XR150</v>
          </cell>
          <cell r="C387" t="str">
            <v>MUTI MARBEL-MC</v>
          </cell>
          <cell r="D387">
            <v>1</v>
          </cell>
        </row>
        <row r="388">
          <cell r="B388" t="str">
            <v>XR150</v>
          </cell>
          <cell r="C388" t="str">
            <v>MUTI MLANG</v>
          </cell>
          <cell r="D388">
            <v>2</v>
          </cell>
        </row>
        <row r="389">
          <cell r="B389" t="str">
            <v>XR150</v>
          </cell>
          <cell r="C389" t="str">
            <v>MUTI NABUNTURAN</v>
          </cell>
          <cell r="D389">
            <v>2</v>
          </cell>
        </row>
        <row r="390">
          <cell r="B390" t="str">
            <v>XR150</v>
          </cell>
          <cell r="C390" t="str">
            <v>MUTI POLOMOLOK</v>
          </cell>
          <cell r="D390">
            <v>2</v>
          </cell>
        </row>
        <row r="391">
          <cell r="B391" t="str">
            <v>XR150</v>
          </cell>
          <cell r="C391" t="str">
            <v>MUTI QUEZON</v>
          </cell>
          <cell r="D391">
            <v>3</v>
          </cell>
        </row>
        <row r="392">
          <cell r="B392" t="str">
            <v>XR150</v>
          </cell>
          <cell r="C392" t="str">
            <v>MUTI SAN FRANCISCO</v>
          </cell>
          <cell r="D392">
            <v>2</v>
          </cell>
        </row>
        <row r="393">
          <cell r="B393" t="str">
            <v>XR150</v>
          </cell>
          <cell r="C393" t="str">
            <v>MUTI SURALLAH</v>
          </cell>
          <cell r="D393">
            <v>2</v>
          </cell>
        </row>
        <row r="394">
          <cell r="B394" t="str">
            <v>XR150</v>
          </cell>
          <cell r="C394" t="str">
            <v>MUTI SURIGAO</v>
          </cell>
          <cell r="D394">
            <v>3</v>
          </cell>
        </row>
        <row r="395">
          <cell r="B395" t="str">
            <v>XR150</v>
          </cell>
          <cell r="C395" t="str">
            <v>MUTI TACURONG</v>
          </cell>
          <cell r="D395">
            <v>4</v>
          </cell>
        </row>
        <row r="396">
          <cell r="B396" t="str">
            <v>XR150</v>
          </cell>
          <cell r="C396" t="str">
            <v>MUTI VALENCIA</v>
          </cell>
          <cell r="D396">
            <v>2</v>
          </cell>
        </row>
        <row r="397">
          <cell r="B397" t="str">
            <v>XR150</v>
          </cell>
          <cell r="C397" t="str">
            <v>HONDA KORONADAL</v>
          </cell>
          <cell r="D397">
            <v>4</v>
          </cell>
        </row>
        <row r="398">
          <cell r="B398" t="str">
            <v>XR150</v>
          </cell>
          <cell r="C398" t="str">
            <v>MUTI 3S</v>
          </cell>
          <cell r="D398">
            <v>1</v>
          </cell>
        </row>
        <row r="399">
          <cell r="B399" t="str">
            <v>XR150</v>
          </cell>
          <cell r="C399" t="str">
            <v>MUTI CALINAN</v>
          </cell>
          <cell r="D399">
            <v>1</v>
          </cell>
        </row>
        <row r="400">
          <cell r="B400" t="str">
            <v>XR150</v>
          </cell>
          <cell r="C400" t="str">
            <v>MUTI CATALUNAN GRANDE</v>
          </cell>
          <cell r="D400">
            <v>2</v>
          </cell>
        </row>
        <row r="401">
          <cell r="B401" t="str">
            <v>XR150</v>
          </cell>
          <cell r="C401" t="str">
            <v>MUTI PANABO</v>
          </cell>
          <cell r="D401">
            <v>2</v>
          </cell>
        </row>
        <row r="402">
          <cell r="B402" t="str">
            <v>XR150</v>
          </cell>
          <cell r="C402" t="str">
            <v>MUTI TAGUM 1</v>
          </cell>
          <cell r="D402">
            <v>1</v>
          </cell>
        </row>
        <row r="403">
          <cell r="B403" t="str">
            <v>XR150</v>
          </cell>
          <cell r="C403" t="str">
            <v>MUTI TAGUM 3</v>
          </cell>
          <cell r="D403">
            <v>3</v>
          </cell>
        </row>
        <row r="404">
          <cell r="B404" t="str">
            <v>CRF300</v>
          </cell>
          <cell r="C404" t="str">
            <v>HONDA MALUNGON</v>
          </cell>
          <cell r="D404">
            <v>1</v>
          </cell>
        </row>
        <row r="405">
          <cell r="B405" t="str">
            <v>CRF300</v>
          </cell>
          <cell r="C405" t="str">
            <v>MUTI SURALLAH</v>
          </cell>
          <cell r="D405">
            <v>1</v>
          </cell>
        </row>
        <row r="406">
          <cell r="B406" t="str">
            <v>PCX160 ROADSYNC</v>
          </cell>
          <cell r="C406" t="str">
            <v>MUTI VALENCIA</v>
          </cell>
          <cell r="D406">
            <v>1</v>
          </cell>
        </row>
        <row r="407">
          <cell r="B407" t="str">
            <v>PCX160 ROADSYNC</v>
          </cell>
          <cell r="C407" t="str">
            <v>MUTI BATANGAS</v>
          </cell>
          <cell r="D407">
            <v>2</v>
          </cell>
        </row>
        <row r="408">
          <cell r="B408" t="str">
            <v>PCX160 STANDARD</v>
          </cell>
          <cell r="C408" t="str">
            <v>GREATWALL</v>
          </cell>
          <cell r="D408">
            <v>1</v>
          </cell>
        </row>
        <row r="409">
          <cell r="B409" t="str">
            <v>ADV350</v>
          </cell>
          <cell r="C409" t="str">
            <v>GREATWALL</v>
          </cell>
          <cell r="D409">
            <v>3</v>
          </cell>
        </row>
        <row r="410">
          <cell r="B410" t="str">
            <v>ADV350</v>
          </cell>
          <cell r="C410" t="str">
            <v>HONDA ISULAN</v>
          </cell>
          <cell r="D410">
            <v>1</v>
          </cell>
        </row>
        <row r="411">
          <cell r="B411" t="str">
            <v>ADV350</v>
          </cell>
          <cell r="C411" t="str">
            <v>MUTI POLOMOLOK</v>
          </cell>
          <cell r="D411">
            <v>1</v>
          </cell>
        </row>
        <row r="412">
          <cell r="B412" t="str">
            <v>ADV350</v>
          </cell>
          <cell r="C412" t="str">
            <v>HONDA KORONADAL</v>
          </cell>
          <cell r="D412">
            <v>1</v>
          </cell>
        </row>
        <row r="413">
          <cell r="B413" t="str">
            <v>ADV350</v>
          </cell>
          <cell r="C413" t="str">
            <v>GREATWALL</v>
          </cell>
          <cell r="D413">
            <v>4</v>
          </cell>
        </row>
        <row r="414">
          <cell r="B414" t="str">
            <v>ADV350</v>
          </cell>
          <cell r="C414" t="str">
            <v>MUTI MARBEL-MC</v>
          </cell>
          <cell r="D414">
            <v>1</v>
          </cell>
        </row>
        <row r="415">
          <cell r="B415" t="str">
            <v>ADV350</v>
          </cell>
          <cell r="C415" t="str">
            <v>HONDA KORONADAL</v>
          </cell>
          <cell r="D415">
            <v>1</v>
          </cell>
        </row>
        <row r="416">
          <cell r="B416" t="str">
            <v>ADV350</v>
          </cell>
          <cell r="C416" t="str">
            <v>MUTI SAMAL</v>
          </cell>
          <cell r="D416">
            <v>1</v>
          </cell>
        </row>
        <row r="417">
          <cell r="B417" t="str">
            <v>NAVI</v>
          </cell>
          <cell r="C417" t="str">
            <v>GREATWALL</v>
          </cell>
          <cell r="D417">
            <v>17</v>
          </cell>
        </row>
        <row r="418">
          <cell r="B418" t="str">
            <v>NAVI</v>
          </cell>
          <cell r="C418" t="str">
            <v>MUTI KABACAN</v>
          </cell>
          <cell r="D418">
            <v>2</v>
          </cell>
        </row>
        <row r="419">
          <cell r="B419" t="str">
            <v>NAVI</v>
          </cell>
          <cell r="C419" t="str">
            <v>MUTI MLANG</v>
          </cell>
          <cell r="D419">
            <v>1</v>
          </cell>
        </row>
        <row r="420">
          <cell r="B420" t="str">
            <v>NAVI</v>
          </cell>
          <cell r="C420" t="str">
            <v>HONDA KORONADAL</v>
          </cell>
          <cell r="D420">
            <v>1</v>
          </cell>
        </row>
        <row r="421">
          <cell r="B421" t="str">
            <v>NAVI</v>
          </cell>
          <cell r="C421" t="str">
            <v>MUTI BULUA</v>
          </cell>
          <cell r="D421">
            <v>1</v>
          </cell>
        </row>
        <row r="422">
          <cell r="B422" t="str">
            <v>NAVI</v>
          </cell>
          <cell r="C422" t="str">
            <v>HONDA ISULAN</v>
          </cell>
          <cell r="D422">
            <v>1</v>
          </cell>
        </row>
        <row r="423">
          <cell r="B423" t="str">
            <v>NAVI</v>
          </cell>
          <cell r="C423" t="str">
            <v>HONDA MALUNGON</v>
          </cell>
          <cell r="D423">
            <v>2</v>
          </cell>
        </row>
        <row r="424">
          <cell r="B424" t="str">
            <v>NAVI</v>
          </cell>
          <cell r="C424" t="str">
            <v>HONDA SURALLAH</v>
          </cell>
          <cell r="D424">
            <v>2</v>
          </cell>
        </row>
        <row r="425">
          <cell r="B425" t="str">
            <v>NAVI</v>
          </cell>
          <cell r="C425" t="str">
            <v>MUTI BATANGAS</v>
          </cell>
          <cell r="D425">
            <v>1</v>
          </cell>
        </row>
        <row r="426">
          <cell r="B426" t="str">
            <v>NAVI</v>
          </cell>
          <cell r="C426" t="str">
            <v>HONDA KORONADAL</v>
          </cell>
          <cell r="D426">
            <v>1</v>
          </cell>
        </row>
        <row r="427">
          <cell r="B427" t="str">
            <v>NAVI</v>
          </cell>
          <cell r="C427" t="str">
            <v>GREATWALL</v>
          </cell>
          <cell r="D427">
            <v>12</v>
          </cell>
        </row>
        <row r="428">
          <cell r="B428" t="str">
            <v>NAVI</v>
          </cell>
          <cell r="C428" t="str">
            <v>HONDA ISULAN</v>
          </cell>
          <cell r="D428">
            <v>1</v>
          </cell>
        </row>
        <row r="429">
          <cell r="B429" t="str">
            <v>NAVI</v>
          </cell>
          <cell r="C429" t="str">
            <v>HONDA MARAMAG</v>
          </cell>
          <cell r="D429">
            <v>1</v>
          </cell>
        </row>
        <row r="430">
          <cell r="B430" t="str">
            <v>NAVI</v>
          </cell>
          <cell r="C430" t="str">
            <v>MUTI BANSALAN</v>
          </cell>
          <cell r="D430">
            <v>1</v>
          </cell>
        </row>
        <row r="431">
          <cell r="B431" t="str">
            <v>NAVI</v>
          </cell>
          <cell r="C431" t="str">
            <v>MUTI DIGOS</v>
          </cell>
          <cell r="D431">
            <v>1</v>
          </cell>
        </row>
        <row r="432">
          <cell r="B432" t="str">
            <v>NAVI</v>
          </cell>
          <cell r="C432" t="str">
            <v>MUTI ECOLAND</v>
          </cell>
          <cell r="D432">
            <v>1</v>
          </cell>
        </row>
        <row r="433">
          <cell r="B433" t="str">
            <v>NAVI</v>
          </cell>
          <cell r="C433" t="str">
            <v>MUTI KIDAPAWAN</v>
          </cell>
          <cell r="D433">
            <v>1</v>
          </cell>
        </row>
        <row r="434">
          <cell r="B434" t="str">
            <v>NAVI</v>
          </cell>
          <cell r="C434" t="str">
            <v>MUTI LAPASAN</v>
          </cell>
          <cell r="D434">
            <v>1</v>
          </cell>
        </row>
        <row r="435">
          <cell r="B435" t="str">
            <v>NAVI</v>
          </cell>
          <cell r="C435" t="str">
            <v>MUTI MALUNGON</v>
          </cell>
          <cell r="D435">
            <v>1</v>
          </cell>
        </row>
        <row r="436">
          <cell r="B436" t="str">
            <v>NAVI</v>
          </cell>
          <cell r="C436" t="str">
            <v>MUTI STO. TOMAS</v>
          </cell>
          <cell r="D436">
            <v>1</v>
          </cell>
        </row>
        <row r="437">
          <cell r="B437" t="str">
            <v>NAVI</v>
          </cell>
          <cell r="C437" t="str">
            <v>MUTI TACURONG</v>
          </cell>
          <cell r="D437">
            <v>1</v>
          </cell>
        </row>
        <row r="438">
          <cell r="B438" t="str">
            <v>NAVI</v>
          </cell>
          <cell r="C438" t="str">
            <v>MUTI 3S</v>
          </cell>
          <cell r="D438">
            <v>1</v>
          </cell>
        </row>
        <row r="439">
          <cell r="B439" t="str">
            <v>NAVI</v>
          </cell>
          <cell r="C439" t="str">
            <v>MUTI BULUA</v>
          </cell>
          <cell r="D439">
            <v>1</v>
          </cell>
        </row>
        <row r="440">
          <cell r="B440" t="str">
            <v>NAVI</v>
          </cell>
          <cell r="C440" t="str">
            <v>MUTI OZAMIZ</v>
          </cell>
          <cell r="D440">
            <v>1</v>
          </cell>
        </row>
        <row r="441">
          <cell r="B441" t="str">
            <v>NAVI</v>
          </cell>
          <cell r="C441" t="str">
            <v>MUTI PROSPERIDAD</v>
          </cell>
          <cell r="D441">
            <v>1</v>
          </cell>
        </row>
        <row r="442">
          <cell r="B442" t="str">
            <v>NAVI</v>
          </cell>
          <cell r="C442" t="str">
            <v>MUTI TAGUM 3</v>
          </cell>
          <cell r="D442">
            <v>2</v>
          </cell>
        </row>
        <row r="443">
          <cell r="B443" t="str">
            <v>NAVI</v>
          </cell>
          <cell r="C443" t="str">
            <v>MUTI BUTUAN</v>
          </cell>
          <cell r="D443">
            <v>1</v>
          </cell>
        </row>
        <row r="444">
          <cell r="B444" t="str">
            <v>NAVI</v>
          </cell>
          <cell r="C444" t="str">
            <v>MUTI KIDAPAWAN</v>
          </cell>
          <cell r="D444">
            <v>1</v>
          </cell>
        </row>
        <row r="445">
          <cell r="B445" t="str">
            <v>NAVI</v>
          </cell>
          <cell r="C445" t="str">
            <v>MUTI MANOLO</v>
          </cell>
          <cell r="D445">
            <v>1</v>
          </cell>
        </row>
        <row r="446">
          <cell r="B446" t="str">
            <v>NAVI</v>
          </cell>
          <cell r="C446" t="str">
            <v>MUTI MARBEL-MC</v>
          </cell>
          <cell r="D446">
            <v>1</v>
          </cell>
        </row>
        <row r="447">
          <cell r="B447" t="str">
            <v>NAVI</v>
          </cell>
          <cell r="C447" t="str">
            <v>MUTI QUEZON</v>
          </cell>
          <cell r="D447">
            <v>1</v>
          </cell>
        </row>
        <row r="448">
          <cell r="B448" t="str">
            <v>NAVI</v>
          </cell>
          <cell r="C448" t="str">
            <v>MUTI BAYUGAN</v>
          </cell>
          <cell r="D448">
            <v>1</v>
          </cell>
        </row>
        <row r="449">
          <cell r="B449" t="str">
            <v>NAVI</v>
          </cell>
          <cell r="C449" t="str">
            <v>MUTI TAGUM 2</v>
          </cell>
          <cell r="D449">
            <v>1</v>
          </cell>
        </row>
        <row r="450">
          <cell r="B450" t="str">
            <v>CUV e:</v>
          </cell>
          <cell r="C450" t="str">
            <v>HONDA KORONADAL</v>
          </cell>
          <cell r="D450">
            <v>1</v>
          </cell>
        </row>
        <row r="451">
          <cell r="B451" t="str">
            <v>EM1 e:</v>
          </cell>
          <cell r="C451" t="str">
            <v>HONDA ISULAN</v>
          </cell>
          <cell r="D451">
            <v>1</v>
          </cell>
        </row>
        <row r="452">
          <cell r="B452" t="str">
            <v>CRF150R</v>
          </cell>
          <cell r="C452" t="str">
            <v>HONDA ISULAN</v>
          </cell>
          <cell r="D452">
            <v>1</v>
          </cell>
        </row>
        <row r="453">
          <cell r="B453" t="str">
            <v>CRF150R</v>
          </cell>
          <cell r="C453" t="str">
            <v>HONDA MARAMAG</v>
          </cell>
          <cell r="D453">
            <v>1</v>
          </cell>
        </row>
        <row r="454">
          <cell r="B454" t="str">
            <v>CRF150R</v>
          </cell>
          <cell r="C454" t="str">
            <v>HONDA SURALLAH</v>
          </cell>
          <cell r="D454">
            <v>1</v>
          </cell>
        </row>
        <row r="455">
          <cell r="B455" t="str">
            <v>CRF150R</v>
          </cell>
          <cell r="C455" t="str">
            <v>MUTI BUTUAN</v>
          </cell>
          <cell r="D455">
            <v>1</v>
          </cell>
        </row>
        <row r="456">
          <cell r="B456" t="str">
            <v>CRF150R</v>
          </cell>
          <cell r="C456" t="str">
            <v>MUTI DIGOS</v>
          </cell>
          <cell r="D456">
            <v>1</v>
          </cell>
        </row>
        <row r="457">
          <cell r="B457" t="str">
            <v>CRF150R</v>
          </cell>
          <cell r="C457" t="str">
            <v>MUTI ECOLAND</v>
          </cell>
          <cell r="D457">
            <v>1</v>
          </cell>
        </row>
        <row r="458">
          <cell r="B458" t="str">
            <v>CRF150R</v>
          </cell>
          <cell r="C458" t="str">
            <v>MUTI TACURONG</v>
          </cell>
          <cell r="D458">
            <v>1</v>
          </cell>
        </row>
        <row r="459">
          <cell r="B459" t="str">
            <v>CRF150R</v>
          </cell>
          <cell r="C459" t="str">
            <v>HONDA KORONADAL</v>
          </cell>
          <cell r="D459">
            <v>1</v>
          </cell>
        </row>
        <row r="460">
          <cell r="B460" t="str">
            <v>BEAT FI PREM</v>
          </cell>
          <cell r="C460" t="str">
            <v>HONDA ISULAN</v>
          </cell>
          <cell r="D460">
            <v>1</v>
          </cell>
        </row>
        <row r="461">
          <cell r="B461" t="str">
            <v>BEAT FI PREM</v>
          </cell>
          <cell r="C461" t="str">
            <v>HONDA MALUNGON</v>
          </cell>
          <cell r="D461">
            <v>1</v>
          </cell>
        </row>
        <row r="462">
          <cell r="B462" t="str">
            <v>BEAT FI PREM</v>
          </cell>
          <cell r="C462" t="str">
            <v>MUTI BANSALAN</v>
          </cell>
          <cell r="D462">
            <v>1</v>
          </cell>
        </row>
        <row r="463">
          <cell r="B463" t="str">
            <v>BEAT FI PREM</v>
          </cell>
          <cell r="C463" t="str">
            <v>MUTI CALAMBA</v>
          </cell>
          <cell r="D463">
            <v>1</v>
          </cell>
        </row>
        <row r="464">
          <cell r="B464" t="str">
            <v>BEAT FI PREM</v>
          </cell>
          <cell r="C464" t="str">
            <v>MUTI ISULAN</v>
          </cell>
          <cell r="D464">
            <v>1</v>
          </cell>
        </row>
        <row r="465">
          <cell r="B465" t="str">
            <v>BEAT FI PREM</v>
          </cell>
          <cell r="C465" t="str">
            <v>MUTI MALUNGON</v>
          </cell>
          <cell r="D465">
            <v>1</v>
          </cell>
        </row>
        <row r="466">
          <cell r="B466" t="str">
            <v>BEAT FI PREM</v>
          </cell>
          <cell r="C466" t="str">
            <v>HONDA KORONADAL</v>
          </cell>
          <cell r="D466">
            <v>2</v>
          </cell>
        </row>
        <row r="467">
          <cell r="B467" t="str">
            <v>BEAT FI PREM</v>
          </cell>
          <cell r="C467" t="str">
            <v>MUTI BULUA</v>
          </cell>
          <cell r="D467">
            <v>1</v>
          </cell>
        </row>
        <row r="468">
          <cell r="B468" t="str">
            <v>BEAT FI PREM</v>
          </cell>
          <cell r="C468" t="str">
            <v>MUTI CABADBARAN</v>
          </cell>
          <cell r="D468">
            <v>1</v>
          </cell>
        </row>
        <row r="469">
          <cell r="B469" t="str">
            <v>BEAT FI PREM</v>
          </cell>
          <cell r="C469" t="str">
            <v>GREATWALL</v>
          </cell>
          <cell r="D469">
            <v>12</v>
          </cell>
        </row>
        <row r="470">
          <cell r="B470" t="str">
            <v>BEAT FI PREM</v>
          </cell>
          <cell r="C470" t="str">
            <v>HONDA SURALLAH</v>
          </cell>
          <cell r="D470">
            <v>2</v>
          </cell>
        </row>
        <row r="471">
          <cell r="B471" t="str">
            <v>BEAT FI PREM</v>
          </cell>
          <cell r="C471" t="str">
            <v>MUTI ALABEL</v>
          </cell>
          <cell r="D471">
            <v>1</v>
          </cell>
        </row>
        <row r="472">
          <cell r="B472" t="str">
            <v>BEAT FI PREM</v>
          </cell>
          <cell r="C472" t="str">
            <v>MUTI LAPASAN</v>
          </cell>
          <cell r="D472">
            <v>1</v>
          </cell>
        </row>
        <row r="473">
          <cell r="B473" t="str">
            <v>BEAT FI PREM</v>
          </cell>
          <cell r="C473" t="str">
            <v>MUTI NABUNTURAN</v>
          </cell>
          <cell r="D473">
            <v>2</v>
          </cell>
        </row>
        <row r="474">
          <cell r="B474" t="str">
            <v>BEAT FI PREM</v>
          </cell>
          <cell r="C474" t="str">
            <v>MUTI POLOMOLOK</v>
          </cell>
          <cell r="D474">
            <v>1</v>
          </cell>
        </row>
        <row r="475">
          <cell r="B475" t="str">
            <v>BEAT FI PREM</v>
          </cell>
          <cell r="C475" t="str">
            <v>MUTI SAN FRANCISCO</v>
          </cell>
          <cell r="D475">
            <v>1</v>
          </cell>
        </row>
        <row r="476">
          <cell r="B476" t="str">
            <v>BEAT FI PREM</v>
          </cell>
          <cell r="C476" t="str">
            <v>MUTI STO. TOMAS</v>
          </cell>
          <cell r="D476">
            <v>2</v>
          </cell>
        </row>
        <row r="477">
          <cell r="B477" t="str">
            <v>BEAT FI PREM</v>
          </cell>
          <cell r="C477" t="str">
            <v>MUTI CABADBARAN</v>
          </cell>
          <cell r="D477">
            <v>1</v>
          </cell>
        </row>
        <row r="478">
          <cell r="B478" t="str">
            <v>BEAT FI PREM</v>
          </cell>
          <cell r="C478" t="str">
            <v>MUTI OZAMIZ</v>
          </cell>
          <cell r="D478">
            <v>1</v>
          </cell>
        </row>
        <row r="479">
          <cell r="B479" t="str">
            <v>BEAT FI PREM</v>
          </cell>
          <cell r="C479" t="str">
            <v>GREATWALL</v>
          </cell>
          <cell r="D479">
            <v>1</v>
          </cell>
        </row>
        <row r="480">
          <cell r="B480" t="str">
            <v>BEAT FI PREM</v>
          </cell>
          <cell r="C480" t="str">
            <v>GREATWALL</v>
          </cell>
          <cell r="D480">
            <v>2</v>
          </cell>
        </row>
        <row r="481">
          <cell r="B481" t="str">
            <v>BEAT FI PREM</v>
          </cell>
          <cell r="C481" t="str">
            <v>HONDA ISULAN</v>
          </cell>
          <cell r="D481">
            <v>3</v>
          </cell>
        </row>
        <row r="482">
          <cell r="B482" t="str">
            <v>BEAT FI PREM</v>
          </cell>
          <cell r="C482" t="str">
            <v>HONDA MARAMAG</v>
          </cell>
          <cell r="D482">
            <v>1</v>
          </cell>
        </row>
        <row r="483">
          <cell r="B483" t="str">
            <v>BEAT FI PREM</v>
          </cell>
          <cell r="C483" t="str">
            <v>MUTI BUTUAN</v>
          </cell>
          <cell r="D483">
            <v>1</v>
          </cell>
        </row>
        <row r="484">
          <cell r="B484" t="str">
            <v>BEAT FI PREM</v>
          </cell>
          <cell r="C484" t="str">
            <v>MUTI LAPASAN</v>
          </cell>
          <cell r="D484">
            <v>1</v>
          </cell>
        </row>
        <row r="485">
          <cell r="B485" t="str">
            <v>BEAT FI PREM</v>
          </cell>
          <cell r="C485" t="str">
            <v>MUTI MALUNGON</v>
          </cell>
          <cell r="D485">
            <v>1</v>
          </cell>
        </row>
        <row r="486">
          <cell r="B486" t="str">
            <v>BEAT FI PREM</v>
          </cell>
          <cell r="C486" t="str">
            <v>MUTI QUEZON</v>
          </cell>
          <cell r="D486">
            <v>1</v>
          </cell>
        </row>
        <row r="487">
          <cell r="B487" t="str">
            <v>BEAT FI PREM</v>
          </cell>
          <cell r="C487" t="str">
            <v>MUTI TACURONG</v>
          </cell>
          <cell r="D487">
            <v>1</v>
          </cell>
        </row>
        <row r="488">
          <cell r="B488" t="str">
            <v>BEAT FI PREM</v>
          </cell>
          <cell r="C488" t="str">
            <v>HONDA KORONADAL</v>
          </cell>
          <cell r="D488">
            <v>2</v>
          </cell>
        </row>
        <row r="489">
          <cell r="B489" t="str">
            <v>BEAT FI PREM</v>
          </cell>
          <cell r="C489" t="str">
            <v>MUTI CATALUNAN GRANDE</v>
          </cell>
          <cell r="D489">
            <v>1</v>
          </cell>
        </row>
        <row r="490">
          <cell r="B490" t="str">
            <v>BEAT FI PREM</v>
          </cell>
          <cell r="C490" t="str">
            <v>GREATWALL</v>
          </cell>
          <cell r="D490">
            <v>1</v>
          </cell>
        </row>
        <row r="491">
          <cell r="B491" t="str">
            <v>BEAT FI STD</v>
          </cell>
          <cell r="C491" t="str">
            <v>HONDA ISULAN</v>
          </cell>
          <cell r="D491">
            <v>2</v>
          </cell>
        </row>
        <row r="492">
          <cell r="B492" t="str">
            <v>BEAT FI STD</v>
          </cell>
          <cell r="C492" t="str">
            <v>HONDA MALUNGON</v>
          </cell>
          <cell r="D492">
            <v>2</v>
          </cell>
        </row>
        <row r="493">
          <cell r="B493" t="str">
            <v>BEAT FI STD</v>
          </cell>
          <cell r="C493" t="str">
            <v>HONDA KORONADAL</v>
          </cell>
          <cell r="D493">
            <v>1</v>
          </cell>
        </row>
        <row r="494">
          <cell r="B494" t="str">
            <v>BEAT FI STD</v>
          </cell>
          <cell r="C494" t="str">
            <v>HONDA MALUNGON</v>
          </cell>
          <cell r="D494">
            <v>1</v>
          </cell>
        </row>
        <row r="495">
          <cell r="B495" t="str">
            <v>BEAT FI STD</v>
          </cell>
          <cell r="C495" t="str">
            <v>HONDA ISULAN</v>
          </cell>
          <cell r="D495">
            <v>1</v>
          </cell>
        </row>
        <row r="496">
          <cell r="B496" t="str">
            <v>BEAT FI STD</v>
          </cell>
          <cell r="C496" t="str">
            <v>HONDA MALUNGON</v>
          </cell>
          <cell r="D496">
            <v>1</v>
          </cell>
        </row>
        <row r="497">
          <cell r="B497" t="str">
            <v>BEAT FI STD</v>
          </cell>
          <cell r="C497" t="str">
            <v>MUTI CALAMBA</v>
          </cell>
          <cell r="D497">
            <v>1</v>
          </cell>
        </row>
        <row r="498">
          <cell r="B498" t="str">
            <v>BEAT FI STD</v>
          </cell>
          <cell r="C498" t="str">
            <v>MUTI BULUA</v>
          </cell>
          <cell r="D498">
            <v>3</v>
          </cell>
        </row>
        <row r="499">
          <cell r="B499" t="str">
            <v>CRF150</v>
          </cell>
          <cell r="C499" t="str">
            <v>GREATWALL</v>
          </cell>
          <cell r="D499">
            <v>3</v>
          </cell>
        </row>
        <row r="500">
          <cell r="B500" t="str">
            <v>CRF150</v>
          </cell>
          <cell r="C500" t="str">
            <v>HONDA ISULAN</v>
          </cell>
          <cell r="D500">
            <v>3</v>
          </cell>
        </row>
        <row r="501">
          <cell r="B501" t="str">
            <v>CRF150</v>
          </cell>
          <cell r="C501" t="str">
            <v>MUTI BANSALAN</v>
          </cell>
          <cell r="D501">
            <v>2</v>
          </cell>
        </row>
        <row r="502">
          <cell r="B502" t="str">
            <v>CRF150</v>
          </cell>
          <cell r="C502" t="str">
            <v>MUTI DIGOS</v>
          </cell>
          <cell r="D502">
            <v>1</v>
          </cell>
        </row>
        <row r="503">
          <cell r="B503" t="str">
            <v>CRF150</v>
          </cell>
          <cell r="C503" t="str">
            <v>MUTI DON CARLOS</v>
          </cell>
          <cell r="D503">
            <v>2</v>
          </cell>
        </row>
        <row r="504">
          <cell r="B504" t="str">
            <v>CRF150</v>
          </cell>
          <cell r="C504" t="str">
            <v>MUTI ECOLAND</v>
          </cell>
          <cell r="D504">
            <v>1</v>
          </cell>
        </row>
        <row r="505">
          <cell r="B505" t="str">
            <v>CRF150</v>
          </cell>
          <cell r="C505" t="str">
            <v>MUTI KABACAN</v>
          </cell>
          <cell r="D505">
            <v>4</v>
          </cell>
        </row>
        <row r="506">
          <cell r="B506" t="str">
            <v>CRF150</v>
          </cell>
          <cell r="C506" t="str">
            <v>MUTI KIDAPAWAN</v>
          </cell>
          <cell r="D506">
            <v>1</v>
          </cell>
        </row>
        <row r="507">
          <cell r="B507" t="str">
            <v>CRF150</v>
          </cell>
          <cell r="C507" t="str">
            <v>MUTI LAPASAN</v>
          </cell>
          <cell r="D507">
            <v>2</v>
          </cell>
        </row>
        <row r="508">
          <cell r="B508" t="str">
            <v>CRF150</v>
          </cell>
          <cell r="C508" t="str">
            <v>MUTI MALUNGON</v>
          </cell>
          <cell r="D508">
            <v>5</v>
          </cell>
        </row>
        <row r="509">
          <cell r="B509" t="str">
            <v>CRF150</v>
          </cell>
          <cell r="C509" t="str">
            <v>MUTI MARBEL-MC</v>
          </cell>
          <cell r="D509">
            <v>1</v>
          </cell>
        </row>
        <row r="510">
          <cell r="B510" t="str">
            <v>CRF150</v>
          </cell>
          <cell r="C510" t="str">
            <v>MUTI MIDSAYAP</v>
          </cell>
          <cell r="D510">
            <v>3</v>
          </cell>
        </row>
        <row r="511">
          <cell r="B511" t="str">
            <v>CRF150</v>
          </cell>
          <cell r="C511" t="str">
            <v>MUTI MLANG</v>
          </cell>
          <cell r="D511">
            <v>1</v>
          </cell>
        </row>
        <row r="512">
          <cell r="B512" t="str">
            <v>CRF150</v>
          </cell>
          <cell r="C512" t="str">
            <v>MUTI POLOMOLOK</v>
          </cell>
          <cell r="D512">
            <v>2</v>
          </cell>
        </row>
        <row r="513">
          <cell r="B513" t="str">
            <v>CRF150</v>
          </cell>
          <cell r="C513" t="str">
            <v>MUTI QUEZON</v>
          </cell>
          <cell r="D513">
            <v>3</v>
          </cell>
        </row>
        <row r="514">
          <cell r="B514" t="str">
            <v>CRF150</v>
          </cell>
          <cell r="C514" t="str">
            <v>MUTI SURIGAO</v>
          </cell>
          <cell r="D514">
            <v>2</v>
          </cell>
        </row>
        <row r="515">
          <cell r="B515" t="str">
            <v>CRF150</v>
          </cell>
          <cell r="C515" t="str">
            <v>MUTI TUPI</v>
          </cell>
          <cell r="D515">
            <v>1</v>
          </cell>
        </row>
        <row r="516">
          <cell r="B516" t="str">
            <v>CRF150</v>
          </cell>
          <cell r="C516" t="str">
            <v>MUTI VALENCIA</v>
          </cell>
          <cell r="D516">
            <v>1</v>
          </cell>
        </row>
        <row r="517">
          <cell r="B517" t="str">
            <v>CRF150</v>
          </cell>
          <cell r="C517" t="str">
            <v>HONDA KORONADAL</v>
          </cell>
          <cell r="D517">
            <v>1</v>
          </cell>
        </row>
        <row r="518">
          <cell r="B518" t="str">
            <v>CRF150</v>
          </cell>
          <cell r="C518" t="str">
            <v>MUTI BULUA</v>
          </cell>
          <cell r="D518">
            <v>2</v>
          </cell>
        </row>
        <row r="519">
          <cell r="B519" t="str">
            <v>CRF150</v>
          </cell>
          <cell r="C519" t="str">
            <v>MUTI CABADBARAN</v>
          </cell>
          <cell r="D519">
            <v>2</v>
          </cell>
        </row>
        <row r="520">
          <cell r="B520" t="str">
            <v>CRF150</v>
          </cell>
          <cell r="C520" t="str">
            <v>MUTI CABANTIAN</v>
          </cell>
          <cell r="D520">
            <v>2</v>
          </cell>
        </row>
        <row r="521">
          <cell r="B521" t="str">
            <v>CRF150</v>
          </cell>
          <cell r="C521" t="str">
            <v>MUTI OZAMIZ</v>
          </cell>
          <cell r="D521">
            <v>2</v>
          </cell>
        </row>
        <row r="522">
          <cell r="B522" t="str">
            <v>CRF150</v>
          </cell>
          <cell r="C522" t="str">
            <v>MUTI PANABO</v>
          </cell>
          <cell r="D522">
            <v>1</v>
          </cell>
        </row>
        <row r="523">
          <cell r="B523" t="str">
            <v>CRF150</v>
          </cell>
          <cell r="C523" t="str">
            <v>MUTI PROSPERIDAD</v>
          </cell>
          <cell r="D523">
            <v>1</v>
          </cell>
        </row>
        <row r="524">
          <cell r="B524" t="str">
            <v>CRF150</v>
          </cell>
          <cell r="C524" t="str">
            <v>MUTI SAMAL</v>
          </cell>
          <cell r="D524">
            <v>1</v>
          </cell>
        </row>
        <row r="525">
          <cell r="B525" t="str">
            <v>CRF150</v>
          </cell>
          <cell r="C525" t="str">
            <v>MUTI TAGUM 2</v>
          </cell>
          <cell r="D525">
            <v>1</v>
          </cell>
        </row>
        <row r="526">
          <cell r="B526" t="str">
            <v>CRF150</v>
          </cell>
          <cell r="C526" t="str">
            <v>MUTI TAGUM 3</v>
          </cell>
          <cell r="D526">
            <v>3</v>
          </cell>
        </row>
        <row r="527">
          <cell r="B527" t="str">
            <v>CRF150</v>
          </cell>
          <cell r="C527" t="str">
            <v>HONDA ISULAN</v>
          </cell>
          <cell r="D527">
            <v>2</v>
          </cell>
        </row>
        <row r="528">
          <cell r="B528" t="str">
            <v>CRF150</v>
          </cell>
          <cell r="C528" t="str">
            <v>HONDA MARAMAG</v>
          </cell>
          <cell r="D528">
            <v>1</v>
          </cell>
        </row>
        <row r="529">
          <cell r="B529" t="str">
            <v>CRF150</v>
          </cell>
          <cell r="C529" t="str">
            <v>HONDA SURALLAH</v>
          </cell>
          <cell r="D529">
            <v>3</v>
          </cell>
        </row>
        <row r="530">
          <cell r="B530" t="str">
            <v>CRF150</v>
          </cell>
          <cell r="C530" t="str">
            <v>MUTI BANSALAN</v>
          </cell>
          <cell r="D530">
            <v>3</v>
          </cell>
        </row>
        <row r="531">
          <cell r="B531" t="str">
            <v>CRF150</v>
          </cell>
          <cell r="C531" t="str">
            <v>MUTI DIGOS</v>
          </cell>
          <cell r="D531">
            <v>2</v>
          </cell>
        </row>
        <row r="532">
          <cell r="B532" t="str">
            <v>CRF150</v>
          </cell>
          <cell r="C532" t="str">
            <v>MUTI DON CARLOS</v>
          </cell>
          <cell r="D532">
            <v>1</v>
          </cell>
        </row>
        <row r="533">
          <cell r="B533" t="str">
            <v>CRF150</v>
          </cell>
          <cell r="C533" t="str">
            <v>MUTI ISULAN</v>
          </cell>
          <cell r="D533">
            <v>2</v>
          </cell>
        </row>
        <row r="534">
          <cell r="B534" t="str">
            <v>CRF150</v>
          </cell>
          <cell r="C534" t="str">
            <v>MUTI KABACAN</v>
          </cell>
          <cell r="D534">
            <v>1</v>
          </cell>
        </row>
        <row r="535">
          <cell r="B535" t="str">
            <v>CRF150</v>
          </cell>
          <cell r="C535" t="str">
            <v>MUTI MALUNGON</v>
          </cell>
          <cell r="D535">
            <v>1</v>
          </cell>
        </row>
        <row r="536">
          <cell r="B536" t="str">
            <v>CRF150</v>
          </cell>
          <cell r="C536" t="str">
            <v>MUTI MIDSAYAP</v>
          </cell>
          <cell r="D536">
            <v>1</v>
          </cell>
        </row>
        <row r="537">
          <cell r="B537" t="str">
            <v>CRF150</v>
          </cell>
          <cell r="C537" t="str">
            <v>MUTI MLANG</v>
          </cell>
          <cell r="D537">
            <v>2</v>
          </cell>
        </row>
        <row r="538">
          <cell r="B538" t="str">
            <v>CRF150</v>
          </cell>
          <cell r="C538" t="str">
            <v>MUTI QUEZON</v>
          </cell>
          <cell r="D538">
            <v>2</v>
          </cell>
        </row>
        <row r="539">
          <cell r="B539" t="str">
            <v>CRF150</v>
          </cell>
          <cell r="C539" t="str">
            <v>MUTI SAN FRANCISCO</v>
          </cell>
          <cell r="D539">
            <v>2</v>
          </cell>
        </row>
        <row r="540">
          <cell r="B540" t="str">
            <v>CRF150</v>
          </cell>
          <cell r="C540" t="str">
            <v>MUTI TACURONG</v>
          </cell>
          <cell r="D540">
            <v>2</v>
          </cell>
        </row>
        <row r="541">
          <cell r="B541" t="str">
            <v>CRF150</v>
          </cell>
          <cell r="C541" t="str">
            <v>MUTI TIBUNGCO</v>
          </cell>
          <cell r="D541">
            <v>1</v>
          </cell>
        </row>
        <row r="542">
          <cell r="B542" t="str">
            <v>CRF150</v>
          </cell>
          <cell r="C542" t="str">
            <v>HONDA KORONADAL</v>
          </cell>
          <cell r="D542">
            <v>2</v>
          </cell>
        </row>
        <row r="543">
          <cell r="B543" t="str">
            <v>CRF150</v>
          </cell>
          <cell r="C543" t="str">
            <v>MUTI CALINAN</v>
          </cell>
          <cell r="D543">
            <v>1</v>
          </cell>
        </row>
        <row r="544">
          <cell r="B544" t="str">
            <v>CRF150</v>
          </cell>
          <cell r="C544" t="str">
            <v>MUTI CATALUNAN GRANDE</v>
          </cell>
          <cell r="D544">
            <v>2</v>
          </cell>
        </row>
        <row r="545">
          <cell r="B545" t="str">
            <v>CRF150</v>
          </cell>
          <cell r="C545" t="str">
            <v>MUTI TAGUM 2</v>
          </cell>
          <cell r="D545">
            <v>2</v>
          </cell>
        </row>
        <row r="546">
          <cell r="B546" t="str">
            <v>CRF150</v>
          </cell>
          <cell r="C546" t="str">
            <v>MUTI TAGUM 3</v>
          </cell>
          <cell r="D546">
            <v>2</v>
          </cell>
        </row>
        <row r="547">
          <cell r="B547" t="str">
            <v>CRF150</v>
          </cell>
          <cell r="C547" t="str">
            <v>GREATWALL</v>
          </cell>
          <cell r="D547">
            <v>7</v>
          </cell>
        </row>
        <row r="548">
          <cell r="B548" t="str">
            <v>CRF150</v>
          </cell>
          <cell r="C548" t="str">
            <v>HONDA ISULAN</v>
          </cell>
          <cell r="D548">
            <v>1</v>
          </cell>
        </row>
        <row r="549">
          <cell r="B549" t="str">
            <v>CRF150</v>
          </cell>
          <cell r="C549" t="str">
            <v>HONDA MALUNGON</v>
          </cell>
          <cell r="D549">
            <v>4</v>
          </cell>
        </row>
        <row r="550">
          <cell r="B550" t="str">
            <v>CRF150</v>
          </cell>
          <cell r="C550" t="str">
            <v>HONDA MARAMAG</v>
          </cell>
          <cell r="D550">
            <v>2</v>
          </cell>
        </row>
        <row r="551">
          <cell r="B551" t="str">
            <v>CRF150</v>
          </cell>
          <cell r="C551" t="str">
            <v>HONDA SURALLAH</v>
          </cell>
          <cell r="D551">
            <v>1</v>
          </cell>
        </row>
        <row r="552">
          <cell r="B552" t="str">
            <v>CRF150</v>
          </cell>
          <cell r="C552" t="str">
            <v>MUTI ALABEL</v>
          </cell>
          <cell r="D552">
            <v>1</v>
          </cell>
        </row>
        <row r="553">
          <cell r="B553" t="str">
            <v>CRF150</v>
          </cell>
          <cell r="C553" t="str">
            <v>MUTI BANSALAN</v>
          </cell>
          <cell r="D553">
            <v>2</v>
          </cell>
        </row>
        <row r="554">
          <cell r="B554" t="str">
            <v>CRF150</v>
          </cell>
          <cell r="C554" t="str">
            <v>MUTI BUTUAN</v>
          </cell>
          <cell r="D554">
            <v>2</v>
          </cell>
        </row>
        <row r="555">
          <cell r="B555" t="str">
            <v>CRF150</v>
          </cell>
          <cell r="C555" t="str">
            <v>MUTI DIGOS</v>
          </cell>
          <cell r="D555">
            <v>1</v>
          </cell>
        </row>
        <row r="556">
          <cell r="B556" t="str">
            <v>CRF150</v>
          </cell>
          <cell r="C556" t="str">
            <v>MUTI ECOLAND</v>
          </cell>
          <cell r="D556">
            <v>1</v>
          </cell>
        </row>
        <row r="557">
          <cell r="B557" t="str">
            <v>CRF150</v>
          </cell>
          <cell r="C557" t="str">
            <v>MUTI KABACAN</v>
          </cell>
          <cell r="D557">
            <v>1</v>
          </cell>
        </row>
        <row r="558">
          <cell r="B558" t="str">
            <v>CRF150</v>
          </cell>
          <cell r="C558" t="str">
            <v>MUTI KIDAPAWAN</v>
          </cell>
          <cell r="D558">
            <v>3</v>
          </cell>
        </row>
        <row r="559">
          <cell r="B559" t="str">
            <v>CRF150</v>
          </cell>
          <cell r="C559" t="str">
            <v>MUTI LAPASAN</v>
          </cell>
          <cell r="D559">
            <v>2</v>
          </cell>
        </row>
        <row r="560">
          <cell r="B560" t="str">
            <v>CRF150</v>
          </cell>
          <cell r="C560" t="str">
            <v>MUTI MALUNGON</v>
          </cell>
          <cell r="D560">
            <v>1</v>
          </cell>
        </row>
        <row r="561">
          <cell r="B561" t="str">
            <v>CRF150</v>
          </cell>
          <cell r="C561" t="str">
            <v>MUTI MARBEL-MC</v>
          </cell>
          <cell r="D561">
            <v>1</v>
          </cell>
        </row>
        <row r="562">
          <cell r="B562" t="str">
            <v>CRF150</v>
          </cell>
          <cell r="C562" t="str">
            <v>MUTI MIDSAYAP</v>
          </cell>
          <cell r="D562">
            <v>1</v>
          </cell>
        </row>
        <row r="563">
          <cell r="B563" t="str">
            <v>CRF150</v>
          </cell>
          <cell r="C563" t="str">
            <v>MUTI NABUNTURAN</v>
          </cell>
          <cell r="D563">
            <v>3</v>
          </cell>
        </row>
        <row r="564">
          <cell r="B564" t="str">
            <v>CRF150</v>
          </cell>
          <cell r="C564" t="str">
            <v>MUTI SAN FRANCISCO</v>
          </cell>
          <cell r="D564">
            <v>1</v>
          </cell>
        </row>
        <row r="565">
          <cell r="B565" t="str">
            <v>CRF150</v>
          </cell>
          <cell r="C565" t="str">
            <v>MUTI SURIGAO</v>
          </cell>
          <cell r="D565">
            <v>2</v>
          </cell>
        </row>
        <row r="566">
          <cell r="B566" t="str">
            <v>CRF150</v>
          </cell>
          <cell r="C566" t="str">
            <v>MUTI TUPI</v>
          </cell>
          <cell r="D566">
            <v>1</v>
          </cell>
        </row>
        <row r="567">
          <cell r="B567" t="str">
            <v>CRF150</v>
          </cell>
          <cell r="C567" t="str">
            <v>MUTI VALENCIA</v>
          </cell>
          <cell r="D567">
            <v>2</v>
          </cell>
        </row>
        <row r="568">
          <cell r="B568" t="str">
            <v>CRF150</v>
          </cell>
          <cell r="C568" t="str">
            <v>MUTI BAYUGAN</v>
          </cell>
          <cell r="D568">
            <v>1</v>
          </cell>
        </row>
        <row r="569">
          <cell r="B569" t="str">
            <v>CRF150</v>
          </cell>
          <cell r="C569" t="str">
            <v>MUTI BULUA</v>
          </cell>
          <cell r="D569">
            <v>1</v>
          </cell>
        </row>
        <row r="570">
          <cell r="B570" t="str">
            <v>CRF150</v>
          </cell>
          <cell r="C570" t="str">
            <v>MUTI CABANTIAN</v>
          </cell>
          <cell r="D570">
            <v>1</v>
          </cell>
        </row>
        <row r="571">
          <cell r="B571" t="str">
            <v>CRF150</v>
          </cell>
          <cell r="C571" t="str">
            <v>MUTI PANABO</v>
          </cell>
          <cell r="D571">
            <v>1</v>
          </cell>
        </row>
        <row r="572">
          <cell r="B572" t="str">
            <v>CRF150</v>
          </cell>
          <cell r="C572" t="str">
            <v>MUTI PROSPERIDAD</v>
          </cell>
          <cell r="D572">
            <v>3</v>
          </cell>
        </row>
        <row r="573">
          <cell r="B573" t="str">
            <v>CRF150</v>
          </cell>
          <cell r="C573" t="str">
            <v>MUTI SAMAL</v>
          </cell>
          <cell r="D573">
            <v>3</v>
          </cell>
        </row>
        <row r="574">
          <cell r="B574" t="str">
            <v>CRF150</v>
          </cell>
          <cell r="C574" t="str">
            <v>MUTI TAGUM 1</v>
          </cell>
          <cell r="D574">
            <v>4</v>
          </cell>
        </row>
        <row r="575">
          <cell r="B575" t="str">
            <v>CRF150</v>
          </cell>
          <cell r="C575" t="str">
            <v>GREATWALL</v>
          </cell>
          <cell r="D575">
            <v>2</v>
          </cell>
        </row>
        <row r="576">
          <cell r="B576" t="str">
            <v>CLICK160 FI</v>
          </cell>
          <cell r="C576" t="str">
            <v>GREATWALL</v>
          </cell>
          <cell r="D576">
            <v>2</v>
          </cell>
        </row>
        <row r="577">
          <cell r="B577" t="str">
            <v>CLICK160 FI</v>
          </cell>
          <cell r="C577" t="str">
            <v>HONDA MALUNGON</v>
          </cell>
          <cell r="D577">
            <v>1</v>
          </cell>
        </row>
        <row r="578">
          <cell r="B578" t="str">
            <v>CLICK160 FI</v>
          </cell>
          <cell r="C578" t="str">
            <v>HONDA MARAMAG</v>
          </cell>
          <cell r="D578">
            <v>3</v>
          </cell>
        </row>
        <row r="579">
          <cell r="B579" t="str">
            <v>CLICK160 FI</v>
          </cell>
          <cell r="C579" t="str">
            <v>MUTI ALABEL</v>
          </cell>
          <cell r="D579">
            <v>2</v>
          </cell>
        </row>
        <row r="580">
          <cell r="B580" t="str">
            <v>CLICK160 FI</v>
          </cell>
          <cell r="C580" t="str">
            <v>MUTI DON CARLOS</v>
          </cell>
          <cell r="D580">
            <v>1</v>
          </cell>
        </row>
        <row r="581">
          <cell r="B581" t="str">
            <v>CLICK160 FI</v>
          </cell>
          <cell r="C581" t="str">
            <v>MUTI ECOLAND</v>
          </cell>
          <cell r="D581">
            <v>3</v>
          </cell>
        </row>
        <row r="582">
          <cell r="B582" t="str">
            <v>CLICK160 FI</v>
          </cell>
          <cell r="C582" t="str">
            <v>MUTI LAPASAN</v>
          </cell>
          <cell r="D582">
            <v>1</v>
          </cell>
        </row>
        <row r="583">
          <cell r="B583" t="str">
            <v>CLICK160 FI</v>
          </cell>
          <cell r="C583" t="str">
            <v>MUTI MANOLO</v>
          </cell>
          <cell r="D583">
            <v>1</v>
          </cell>
        </row>
        <row r="584">
          <cell r="B584" t="str">
            <v>CLICK160 FI</v>
          </cell>
          <cell r="C584" t="str">
            <v>MUTI POLOMOLOK</v>
          </cell>
          <cell r="D584">
            <v>1</v>
          </cell>
        </row>
        <row r="585">
          <cell r="B585" t="str">
            <v>CLICK160 FI</v>
          </cell>
          <cell r="C585" t="str">
            <v>MUTI SURIGAO</v>
          </cell>
          <cell r="D585">
            <v>1</v>
          </cell>
        </row>
        <row r="586">
          <cell r="B586" t="str">
            <v>CLICK160 FI</v>
          </cell>
          <cell r="C586" t="str">
            <v>MUTI TACURONG</v>
          </cell>
          <cell r="D586">
            <v>1</v>
          </cell>
        </row>
        <row r="587">
          <cell r="B587" t="str">
            <v>CLICK160 FI</v>
          </cell>
          <cell r="C587" t="str">
            <v>MUTI CABADBARAN</v>
          </cell>
          <cell r="D587">
            <v>1</v>
          </cell>
        </row>
        <row r="588">
          <cell r="B588" t="str">
            <v>CLICK160 FI</v>
          </cell>
          <cell r="C588" t="str">
            <v>MUTI CALINAN</v>
          </cell>
          <cell r="D588">
            <v>1</v>
          </cell>
        </row>
        <row r="589">
          <cell r="B589" t="str">
            <v>CLICK160 FI</v>
          </cell>
          <cell r="C589" t="str">
            <v>MUTI CATALUNAN GRANDE</v>
          </cell>
          <cell r="D589">
            <v>2</v>
          </cell>
        </row>
        <row r="590">
          <cell r="B590" t="str">
            <v>CLICK160 FI</v>
          </cell>
          <cell r="C590" t="str">
            <v>MUTI PROSPERIDAD</v>
          </cell>
          <cell r="D590">
            <v>2</v>
          </cell>
        </row>
        <row r="591">
          <cell r="B591" t="str">
            <v>CLICK160 FI</v>
          </cell>
          <cell r="C591" t="str">
            <v>MUTI TAGUM 3</v>
          </cell>
          <cell r="D591">
            <v>2</v>
          </cell>
        </row>
        <row r="592">
          <cell r="B592" t="str">
            <v>CLICK160 FI</v>
          </cell>
          <cell r="C592" t="str">
            <v>GREATWALL</v>
          </cell>
          <cell r="D592">
            <v>2</v>
          </cell>
        </row>
        <row r="593">
          <cell r="B593" t="str">
            <v>CLICK160 FI</v>
          </cell>
          <cell r="C593" t="str">
            <v>HONDA MARAMAG</v>
          </cell>
          <cell r="D593">
            <v>1</v>
          </cell>
        </row>
        <row r="594">
          <cell r="B594" t="str">
            <v>CLICK160 FI</v>
          </cell>
          <cell r="C594" t="str">
            <v>MUTI BANGA</v>
          </cell>
          <cell r="D594">
            <v>1</v>
          </cell>
        </row>
        <row r="595">
          <cell r="B595" t="str">
            <v>CLICK160 FI</v>
          </cell>
          <cell r="C595" t="str">
            <v>MUTI BANSALAN</v>
          </cell>
          <cell r="D595">
            <v>3</v>
          </cell>
        </row>
        <row r="596">
          <cell r="B596" t="str">
            <v>CLICK160 FI</v>
          </cell>
          <cell r="C596" t="str">
            <v>MUTI BUTUAN</v>
          </cell>
          <cell r="D596">
            <v>3</v>
          </cell>
        </row>
        <row r="597">
          <cell r="B597" t="str">
            <v>CLICK160 FI</v>
          </cell>
          <cell r="C597" t="str">
            <v>MUTI DIGOS</v>
          </cell>
          <cell r="D597">
            <v>1</v>
          </cell>
        </row>
        <row r="598">
          <cell r="B598" t="str">
            <v>CLICK160 FI</v>
          </cell>
          <cell r="C598" t="str">
            <v>MUTI DON CARLOS</v>
          </cell>
          <cell r="D598">
            <v>1</v>
          </cell>
        </row>
        <row r="599">
          <cell r="B599" t="str">
            <v>CLICK160 FI</v>
          </cell>
          <cell r="C599" t="str">
            <v>MUTI ISULAN</v>
          </cell>
          <cell r="D599">
            <v>1</v>
          </cell>
        </row>
        <row r="600">
          <cell r="B600" t="str">
            <v>CLICK160 FI</v>
          </cell>
          <cell r="C600" t="str">
            <v>MUTI NABUNTURAN</v>
          </cell>
          <cell r="D600">
            <v>1</v>
          </cell>
        </row>
        <row r="601">
          <cell r="B601" t="str">
            <v>CLICK160 FI</v>
          </cell>
          <cell r="C601" t="str">
            <v>MUTI POLOMOLOK</v>
          </cell>
          <cell r="D601">
            <v>1</v>
          </cell>
        </row>
        <row r="602">
          <cell r="B602" t="str">
            <v>CLICK160 FI</v>
          </cell>
          <cell r="C602" t="str">
            <v>MUTI SAN FRANCISCO</v>
          </cell>
          <cell r="D602">
            <v>1</v>
          </cell>
        </row>
        <row r="603">
          <cell r="B603" t="str">
            <v>CLICK160 FI</v>
          </cell>
          <cell r="C603" t="str">
            <v>HONDA KORONADAL</v>
          </cell>
          <cell r="D603">
            <v>1</v>
          </cell>
        </row>
        <row r="604">
          <cell r="B604" t="str">
            <v>CLICK160 FI</v>
          </cell>
          <cell r="C604" t="str">
            <v>MUTI BAYUGAN</v>
          </cell>
          <cell r="D604">
            <v>2</v>
          </cell>
        </row>
        <row r="605">
          <cell r="B605" t="str">
            <v>CLICK160 FI</v>
          </cell>
          <cell r="C605" t="str">
            <v>MUTI BULUA</v>
          </cell>
          <cell r="D605">
            <v>1</v>
          </cell>
        </row>
        <row r="606">
          <cell r="B606" t="str">
            <v>CLICK160 FI</v>
          </cell>
          <cell r="C606" t="str">
            <v>MUTI PROSPERIDAD</v>
          </cell>
          <cell r="D606">
            <v>2</v>
          </cell>
        </row>
        <row r="607">
          <cell r="B607" t="str">
            <v>CLICK160 FI</v>
          </cell>
          <cell r="C607" t="str">
            <v>MUTI SAMAL</v>
          </cell>
          <cell r="D607">
            <v>9</v>
          </cell>
        </row>
        <row r="608">
          <cell r="B608" t="str">
            <v>CLICK160 FI</v>
          </cell>
          <cell r="C608" t="str">
            <v>MUTI TAGUM 1</v>
          </cell>
          <cell r="D608">
            <v>4</v>
          </cell>
        </row>
        <row r="609">
          <cell r="B609" t="str">
            <v>CLICK160 FI</v>
          </cell>
          <cell r="C609" t="str">
            <v>HONDA SURALLAH</v>
          </cell>
          <cell r="D609">
            <v>1</v>
          </cell>
        </row>
        <row r="610">
          <cell r="B610" t="str">
            <v>CLICK160 FI</v>
          </cell>
          <cell r="C610" t="str">
            <v>MUTI BANGA</v>
          </cell>
          <cell r="D610">
            <v>1</v>
          </cell>
        </row>
        <row r="611">
          <cell r="B611" t="str">
            <v>CLICK160 FI</v>
          </cell>
          <cell r="C611" t="str">
            <v>MUTI BANSALAN</v>
          </cell>
          <cell r="D611">
            <v>1</v>
          </cell>
        </row>
        <row r="612">
          <cell r="B612" t="str">
            <v>CLICK160 FI</v>
          </cell>
          <cell r="C612" t="str">
            <v>MUTI DIGOS</v>
          </cell>
          <cell r="D612">
            <v>1</v>
          </cell>
        </row>
        <row r="613">
          <cell r="B613" t="str">
            <v>CLICK160 FI</v>
          </cell>
          <cell r="C613" t="str">
            <v>MUTI KABACAN</v>
          </cell>
          <cell r="D613">
            <v>1</v>
          </cell>
        </row>
        <row r="614">
          <cell r="B614" t="str">
            <v>CLICK160 FI</v>
          </cell>
          <cell r="C614" t="str">
            <v>MUTI MALUNGON</v>
          </cell>
          <cell r="D614">
            <v>1</v>
          </cell>
        </row>
        <row r="615">
          <cell r="B615" t="str">
            <v>CLICK160 FI</v>
          </cell>
          <cell r="C615" t="str">
            <v>MUTI MANOLO</v>
          </cell>
          <cell r="D615">
            <v>2</v>
          </cell>
        </row>
        <row r="616">
          <cell r="B616" t="str">
            <v>CLICK160 FI</v>
          </cell>
          <cell r="C616" t="str">
            <v>MUTI MIDSAYAP</v>
          </cell>
          <cell r="D616">
            <v>4</v>
          </cell>
        </row>
        <row r="617">
          <cell r="B617" t="str">
            <v>CLICK160 FI</v>
          </cell>
          <cell r="C617" t="str">
            <v>MUTI MLANG</v>
          </cell>
          <cell r="D617">
            <v>2</v>
          </cell>
        </row>
        <row r="618">
          <cell r="B618" t="str">
            <v>CLICK160 FI</v>
          </cell>
          <cell r="C618" t="str">
            <v>MUTI NABUNTURAN</v>
          </cell>
          <cell r="D618">
            <v>3</v>
          </cell>
        </row>
        <row r="619">
          <cell r="B619" t="str">
            <v>CLICK160 FI</v>
          </cell>
          <cell r="C619" t="str">
            <v>MUTI SAN FRANCISCO</v>
          </cell>
          <cell r="D619">
            <v>2</v>
          </cell>
        </row>
        <row r="620">
          <cell r="B620" t="str">
            <v>CLICK160 FI</v>
          </cell>
          <cell r="C620" t="str">
            <v>MUTI SURALLAH</v>
          </cell>
          <cell r="D620">
            <v>1</v>
          </cell>
        </row>
        <row r="621">
          <cell r="B621" t="str">
            <v>CLICK160 FI</v>
          </cell>
          <cell r="C621" t="str">
            <v>MUTI SURIGAO</v>
          </cell>
          <cell r="D621">
            <v>2</v>
          </cell>
        </row>
        <row r="622">
          <cell r="B622" t="str">
            <v>CLICK160 FI</v>
          </cell>
          <cell r="C622" t="str">
            <v>MUTI TACURONG</v>
          </cell>
          <cell r="D622">
            <v>3</v>
          </cell>
        </row>
        <row r="623">
          <cell r="B623" t="str">
            <v>CLICK160 FI</v>
          </cell>
          <cell r="C623" t="str">
            <v>MUTI TUPI</v>
          </cell>
          <cell r="D623">
            <v>1</v>
          </cell>
        </row>
        <row r="624">
          <cell r="B624" t="str">
            <v>CLICK160 FI</v>
          </cell>
          <cell r="C624" t="str">
            <v>MUTI 3S</v>
          </cell>
          <cell r="D624">
            <v>1</v>
          </cell>
        </row>
        <row r="625">
          <cell r="B625" t="str">
            <v>CLICK160 FI</v>
          </cell>
          <cell r="C625" t="str">
            <v>MUTI BULUA</v>
          </cell>
          <cell r="D625">
            <v>1</v>
          </cell>
        </row>
        <row r="626">
          <cell r="B626" t="str">
            <v>CLICK160 FI</v>
          </cell>
          <cell r="C626" t="str">
            <v>MUTI CABADBARAN</v>
          </cell>
          <cell r="D626">
            <v>1</v>
          </cell>
        </row>
        <row r="627">
          <cell r="B627" t="str">
            <v>CLICK160 FI</v>
          </cell>
          <cell r="C627" t="str">
            <v>MUTI CATALUNAN GRANDE</v>
          </cell>
          <cell r="D627">
            <v>2</v>
          </cell>
        </row>
        <row r="628">
          <cell r="B628" t="str">
            <v>CLICK160 FI</v>
          </cell>
          <cell r="C628" t="str">
            <v>MUTI SAMAL</v>
          </cell>
          <cell r="D628">
            <v>1</v>
          </cell>
        </row>
        <row r="629">
          <cell r="B629" t="str">
            <v>CLICK160 FI</v>
          </cell>
          <cell r="C629" t="str">
            <v>MUTI TAGUM 3</v>
          </cell>
          <cell r="D629">
            <v>1</v>
          </cell>
        </row>
        <row r="630">
          <cell r="B630" t="str">
            <v>WAVE RSX(DISC)</v>
          </cell>
          <cell r="C630" t="str">
            <v>HONDA ISULAN</v>
          </cell>
          <cell r="D630">
            <v>1</v>
          </cell>
        </row>
        <row r="631">
          <cell r="B631" t="str">
            <v>ADV160</v>
          </cell>
          <cell r="C631" t="str">
            <v>GREATWALL</v>
          </cell>
          <cell r="D631">
            <v>29</v>
          </cell>
        </row>
        <row r="632">
          <cell r="B632" t="str">
            <v>ADV160</v>
          </cell>
          <cell r="C632" t="str">
            <v>HONDA MALUNGON</v>
          </cell>
          <cell r="D632">
            <v>1</v>
          </cell>
        </row>
        <row r="633">
          <cell r="B633" t="str">
            <v>ADV160</v>
          </cell>
          <cell r="C633" t="str">
            <v>HONDA MARAMAG</v>
          </cell>
          <cell r="D633">
            <v>2</v>
          </cell>
        </row>
        <row r="634">
          <cell r="B634" t="str">
            <v>ADV160</v>
          </cell>
          <cell r="C634" t="str">
            <v>MUTI BANGA</v>
          </cell>
          <cell r="D634">
            <v>1</v>
          </cell>
        </row>
        <row r="635">
          <cell r="B635" t="str">
            <v>ADV160</v>
          </cell>
          <cell r="C635" t="str">
            <v>MUTI BATANGAS</v>
          </cell>
          <cell r="D635">
            <v>1</v>
          </cell>
        </row>
        <row r="636">
          <cell r="B636" t="str">
            <v>ADV160</v>
          </cell>
          <cell r="C636" t="str">
            <v>MUTI BUTUAN</v>
          </cell>
          <cell r="D636">
            <v>1</v>
          </cell>
        </row>
        <row r="637">
          <cell r="B637" t="str">
            <v>ADV160</v>
          </cell>
          <cell r="C637" t="str">
            <v>MUTI DON CARLOS</v>
          </cell>
          <cell r="D637">
            <v>1</v>
          </cell>
        </row>
        <row r="638">
          <cell r="B638" t="str">
            <v>ADV160</v>
          </cell>
          <cell r="C638" t="str">
            <v>MUTI MANOLO</v>
          </cell>
          <cell r="D638">
            <v>1</v>
          </cell>
        </row>
        <row r="639">
          <cell r="B639" t="str">
            <v>ADV160</v>
          </cell>
          <cell r="C639" t="str">
            <v>MUTI MIDSAYAP</v>
          </cell>
          <cell r="D639">
            <v>1</v>
          </cell>
        </row>
        <row r="640">
          <cell r="B640" t="str">
            <v>ADV160</v>
          </cell>
          <cell r="C640" t="str">
            <v>MUTI NABUNTURAN</v>
          </cell>
          <cell r="D640">
            <v>1</v>
          </cell>
        </row>
        <row r="641">
          <cell r="B641" t="str">
            <v>ADV160</v>
          </cell>
          <cell r="C641" t="str">
            <v>MUTI POLOMOLOK</v>
          </cell>
          <cell r="D641">
            <v>1</v>
          </cell>
        </row>
        <row r="642">
          <cell r="B642" t="str">
            <v>ADV160</v>
          </cell>
          <cell r="C642" t="str">
            <v>MUTI SAN FRANCISCO</v>
          </cell>
          <cell r="D642">
            <v>4</v>
          </cell>
        </row>
        <row r="643">
          <cell r="B643" t="str">
            <v>ADV160</v>
          </cell>
          <cell r="C643" t="str">
            <v>MUTI STO. TOMAS</v>
          </cell>
          <cell r="D643">
            <v>2</v>
          </cell>
        </row>
        <row r="644">
          <cell r="B644" t="str">
            <v>ADV160</v>
          </cell>
          <cell r="C644" t="str">
            <v>MUTI SURALLAH</v>
          </cell>
          <cell r="D644">
            <v>1</v>
          </cell>
        </row>
        <row r="645">
          <cell r="B645" t="str">
            <v>ADV160</v>
          </cell>
          <cell r="C645" t="str">
            <v>MUTI SURIGAO</v>
          </cell>
          <cell r="D645">
            <v>5</v>
          </cell>
        </row>
        <row r="646">
          <cell r="B646" t="str">
            <v>ADV160</v>
          </cell>
          <cell r="C646" t="str">
            <v>MUTI 3S</v>
          </cell>
          <cell r="D646">
            <v>1</v>
          </cell>
        </row>
        <row r="647">
          <cell r="B647" t="str">
            <v>ADV160</v>
          </cell>
          <cell r="C647" t="str">
            <v>MUTI BAYUGAN</v>
          </cell>
          <cell r="D647">
            <v>1</v>
          </cell>
        </row>
        <row r="648">
          <cell r="B648" t="str">
            <v>ADV160</v>
          </cell>
          <cell r="C648" t="str">
            <v>MUTI BULUA</v>
          </cell>
          <cell r="D648">
            <v>1</v>
          </cell>
        </row>
        <row r="649">
          <cell r="B649" t="str">
            <v>ADV160</v>
          </cell>
          <cell r="C649" t="str">
            <v>MUTI CATALUNAN GRANDE</v>
          </cell>
          <cell r="D649">
            <v>2</v>
          </cell>
        </row>
        <row r="650">
          <cell r="B650" t="str">
            <v>ADV160</v>
          </cell>
          <cell r="C650" t="str">
            <v>MUTI PANABO</v>
          </cell>
          <cell r="D650">
            <v>5</v>
          </cell>
        </row>
        <row r="651">
          <cell r="B651" t="str">
            <v>ADV160</v>
          </cell>
          <cell r="C651" t="str">
            <v>MUTI TAGUM 2</v>
          </cell>
          <cell r="D651">
            <v>1</v>
          </cell>
        </row>
        <row r="652">
          <cell r="B652" t="str">
            <v>ADV160</v>
          </cell>
          <cell r="C652" t="str">
            <v>GREATWALL</v>
          </cell>
          <cell r="D652">
            <v>4</v>
          </cell>
        </row>
        <row r="653">
          <cell r="B653" t="str">
            <v>ADV160</v>
          </cell>
          <cell r="C653" t="str">
            <v>HONDA ISULAN</v>
          </cell>
          <cell r="D653">
            <v>1</v>
          </cell>
        </row>
        <row r="654">
          <cell r="B654" t="str">
            <v>ADV160</v>
          </cell>
          <cell r="C654" t="str">
            <v>MUTI BUTUAN</v>
          </cell>
          <cell r="D654">
            <v>1</v>
          </cell>
        </row>
        <row r="655">
          <cell r="B655" t="str">
            <v>ADV160</v>
          </cell>
          <cell r="C655" t="str">
            <v>MUTI CALAMBA</v>
          </cell>
          <cell r="D655">
            <v>1</v>
          </cell>
        </row>
        <row r="656">
          <cell r="B656" t="str">
            <v>ADV160</v>
          </cell>
          <cell r="C656" t="str">
            <v>MUTI DON CARLOS</v>
          </cell>
          <cell r="D656">
            <v>1</v>
          </cell>
        </row>
        <row r="657">
          <cell r="B657" t="str">
            <v>ADV160</v>
          </cell>
          <cell r="C657" t="str">
            <v>MUTI ECOLAND</v>
          </cell>
          <cell r="D657">
            <v>2</v>
          </cell>
        </row>
        <row r="658">
          <cell r="B658" t="str">
            <v>ADV160</v>
          </cell>
          <cell r="C658" t="str">
            <v>MUTI LAPASAN</v>
          </cell>
          <cell r="D658">
            <v>1</v>
          </cell>
        </row>
        <row r="659">
          <cell r="B659" t="str">
            <v>ADV160</v>
          </cell>
          <cell r="C659" t="str">
            <v>MUTI MANOLO</v>
          </cell>
          <cell r="D659">
            <v>2</v>
          </cell>
        </row>
        <row r="660">
          <cell r="B660" t="str">
            <v>ADV160</v>
          </cell>
          <cell r="C660" t="str">
            <v>MUTI MARBEL-MC</v>
          </cell>
          <cell r="D660">
            <v>1</v>
          </cell>
        </row>
        <row r="661">
          <cell r="B661" t="str">
            <v>ADV160</v>
          </cell>
          <cell r="C661" t="str">
            <v>MUTI MLANG</v>
          </cell>
          <cell r="D661">
            <v>2</v>
          </cell>
        </row>
        <row r="662">
          <cell r="B662" t="str">
            <v>ADV160</v>
          </cell>
          <cell r="C662" t="str">
            <v>MUTI NABUNTURAN</v>
          </cell>
          <cell r="D662">
            <v>1</v>
          </cell>
        </row>
        <row r="663">
          <cell r="B663" t="str">
            <v>ADV160</v>
          </cell>
          <cell r="C663" t="str">
            <v>MUTI POLOMOLOK</v>
          </cell>
          <cell r="D663">
            <v>1</v>
          </cell>
        </row>
        <row r="664">
          <cell r="B664" t="str">
            <v>ADV160</v>
          </cell>
          <cell r="C664" t="str">
            <v>MUTI STO. TOMAS</v>
          </cell>
          <cell r="D664">
            <v>1</v>
          </cell>
        </row>
        <row r="665">
          <cell r="B665" t="str">
            <v>ADV160</v>
          </cell>
          <cell r="C665" t="str">
            <v>MUTI SURALLAH</v>
          </cell>
          <cell r="D665">
            <v>1</v>
          </cell>
        </row>
        <row r="666">
          <cell r="B666" t="str">
            <v>ADV160</v>
          </cell>
          <cell r="C666" t="str">
            <v>MUTI TIBUNGCO</v>
          </cell>
          <cell r="D666">
            <v>1</v>
          </cell>
        </row>
        <row r="667">
          <cell r="B667" t="str">
            <v>ADV160</v>
          </cell>
          <cell r="C667" t="str">
            <v>MUTI TUPI</v>
          </cell>
          <cell r="D667">
            <v>1</v>
          </cell>
        </row>
        <row r="668">
          <cell r="B668" t="str">
            <v>ADV160</v>
          </cell>
          <cell r="C668" t="str">
            <v>HONDA KORONADAL</v>
          </cell>
          <cell r="D668">
            <v>1</v>
          </cell>
        </row>
        <row r="669">
          <cell r="B669" t="str">
            <v>ADV160</v>
          </cell>
          <cell r="C669" t="str">
            <v>MUTI BAYUGAN</v>
          </cell>
          <cell r="D669">
            <v>6</v>
          </cell>
        </row>
        <row r="670">
          <cell r="B670" t="str">
            <v>ADV160</v>
          </cell>
          <cell r="C670" t="str">
            <v>MUTI CALINAN</v>
          </cell>
          <cell r="D670">
            <v>2</v>
          </cell>
        </row>
        <row r="671">
          <cell r="B671" t="str">
            <v>ADV160</v>
          </cell>
          <cell r="C671" t="str">
            <v>MUTI PANABO</v>
          </cell>
          <cell r="D671">
            <v>1</v>
          </cell>
        </row>
        <row r="672">
          <cell r="B672" t="str">
            <v>ADV160</v>
          </cell>
          <cell r="C672" t="str">
            <v>MUTI SAMAL</v>
          </cell>
          <cell r="D672">
            <v>1</v>
          </cell>
        </row>
        <row r="673">
          <cell r="B673" t="str">
            <v>ADV160</v>
          </cell>
          <cell r="C673" t="str">
            <v>GREATWALL</v>
          </cell>
          <cell r="D673">
            <v>2</v>
          </cell>
        </row>
        <row r="674">
          <cell r="B674" t="str">
            <v>ADV160</v>
          </cell>
          <cell r="C674" t="str">
            <v>HONDA ISULAN</v>
          </cell>
          <cell r="D674">
            <v>1</v>
          </cell>
        </row>
        <row r="675">
          <cell r="B675" t="str">
            <v>ADV160</v>
          </cell>
          <cell r="C675" t="str">
            <v>HONDA MALUNGON</v>
          </cell>
          <cell r="D675">
            <v>1</v>
          </cell>
        </row>
        <row r="676">
          <cell r="B676" t="str">
            <v>ADV160</v>
          </cell>
          <cell r="C676" t="str">
            <v>MUTI BATANGAS</v>
          </cell>
          <cell r="D676">
            <v>2</v>
          </cell>
        </row>
        <row r="677">
          <cell r="B677" t="str">
            <v>ADV160</v>
          </cell>
          <cell r="C677" t="str">
            <v>MUTI BUTUAN</v>
          </cell>
          <cell r="D677">
            <v>1</v>
          </cell>
        </row>
        <row r="678">
          <cell r="B678" t="str">
            <v>ADV160</v>
          </cell>
          <cell r="C678" t="str">
            <v>MUTI CALAMBA</v>
          </cell>
          <cell r="D678">
            <v>2</v>
          </cell>
        </row>
        <row r="679">
          <cell r="B679" t="str">
            <v>ADV160</v>
          </cell>
          <cell r="C679" t="str">
            <v>MUTI ECOLAND</v>
          </cell>
          <cell r="D679">
            <v>2</v>
          </cell>
        </row>
        <row r="680">
          <cell r="B680" t="str">
            <v>ADV160</v>
          </cell>
          <cell r="C680" t="str">
            <v>MUTI ISULAN</v>
          </cell>
          <cell r="D680">
            <v>2</v>
          </cell>
        </row>
        <row r="681">
          <cell r="B681" t="str">
            <v>ADV160</v>
          </cell>
          <cell r="C681" t="str">
            <v>MUTI KABACAN</v>
          </cell>
          <cell r="D681">
            <v>1</v>
          </cell>
        </row>
        <row r="682">
          <cell r="B682" t="str">
            <v>ADV160</v>
          </cell>
          <cell r="C682" t="str">
            <v>MUTI LAPASAN</v>
          </cell>
          <cell r="D682">
            <v>1</v>
          </cell>
        </row>
        <row r="683">
          <cell r="B683" t="str">
            <v>ADV160</v>
          </cell>
          <cell r="C683" t="str">
            <v>MUTI MARBEL-MC</v>
          </cell>
          <cell r="D683">
            <v>1</v>
          </cell>
        </row>
        <row r="684">
          <cell r="B684" t="str">
            <v>ADV160</v>
          </cell>
          <cell r="C684" t="str">
            <v>MUTI SAN FRANCISCO</v>
          </cell>
          <cell r="D684">
            <v>3</v>
          </cell>
        </row>
        <row r="685">
          <cell r="B685" t="str">
            <v>ADV160</v>
          </cell>
          <cell r="C685" t="str">
            <v>MUTI STO. TOMAS</v>
          </cell>
          <cell r="D685">
            <v>1</v>
          </cell>
        </row>
        <row r="686">
          <cell r="B686" t="str">
            <v>ADV160</v>
          </cell>
          <cell r="C686" t="str">
            <v>MUTI TACURONG</v>
          </cell>
          <cell r="D686">
            <v>2</v>
          </cell>
        </row>
        <row r="687">
          <cell r="B687" t="str">
            <v>ADV160</v>
          </cell>
          <cell r="C687" t="str">
            <v>MUTI TIBUNGCO</v>
          </cell>
          <cell r="D687">
            <v>1</v>
          </cell>
        </row>
        <row r="688">
          <cell r="B688" t="str">
            <v>ADV160</v>
          </cell>
          <cell r="C688" t="str">
            <v>MUTI TUPI</v>
          </cell>
          <cell r="D688">
            <v>1</v>
          </cell>
        </row>
        <row r="689">
          <cell r="B689" t="str">
            <v>ADV160</v>
          </cell>
          <cell r="C689" t="str">
            <v>MUTI VALENCIA</v>
          </cell>
          <cell r="D689">
            <v>1</v>
          </cell>
        </row>
        <row r="690">
          <cell r="B690" t="str">
            <v>ADV160</v>
          </cell>
          <cell r="C690" t="str">
            <v>MUTI BAYUGAN</v>
          </cell>
          <cell r="D690">
            <v>2</v>
          </cell>
        </row>
        <row r="691">
          <cell r="B691" t="str">
            <v>ADV160</v>
          </cell>
          <cell r="C691" t="str">
            <v>MUTI CABANTIAN</v>
          </cell>
          <cell r="D691">
            <v>1</v>
          </cell>
        </row>
        <row r="692">
          <cell r="B692" t="str">
            <v>ADV160</v>
          </cell>
          <cell r="C692" t="str">
            <v>MUTI CALINAN</v>
          </cell>
          <cell r="D692">
            <v>2</v>
          </cell>
        </row>
        <row r="693">
          <cell r="B693" t="str">
            <v>ADV160</v>
          </cell>
          <cell r="C693" t="str">
            <v>MUTI PANABO</v>
          </cell>
          <cell r="D693">
            <v>2</v>
          </cell>
        </row>
        <row r="694">
          <cell r="B694" t="str">
            <v>ADV160</v>
          </cell>
          <cell r="C694" t="str">
            <v>MUTI TAGUM 3</v>
          </cell>
          <cell r="D694">
            <v>1</v>
          </cell>
        </row>
        <row r="695">
          <cell r="B695" t="str">
            <v>ADV160 ROADSYNC</v>
          </cell>
          <cell r="C695" t="str">
            <v>GREATWALL</v>
          </cell>
          <cell r="D695">
            <v>4</v>
          </cell>
        </row>
        <row r="696">
          <cell r="B696" t="str">
            <v>ADV160 ROADSYNC</v>
          </cell>
          <cell r="C696" t="str">
            <v>HONDA MALUNGON</v>
          </cell>
          <cell r="D696">
            <v>1</v>
          </cell>
        </row>
        <row r="697">
          <cell r="B697" t="str">
            <v>ADV160 ROADSYNC</v>
          </cell>
          <cell r="C697" t="str">
            <v>GREATWALL</v>
          </cell>
          <cell r="D697">
            <v>2</v>
          </cell>
        </row>
        <row r="698">
          <cell r="B698" t="str">
            <v>ADV160 ROADSYNC</v>
          </cell>
          <cell r="C698" t="str">
            <v>MUTI CATALUNAN GRANDE</v>
          </cell>
          <cell r="D698">
            <v>1</v>
          </cell>
        </row>
        <row r="699">
          <cell r="B699" t="str">
            <v>CLICK125 FI</v>
          </cell>
          <cell r="C699" t="str">
            <v>GREATWALL</v>
          </cell>
          <cell r="D699">
            <v>1</v>
          </cell>
        </row>
        <row r="700">
          <cell r="B700" t="str">
            <v>CLICK125 FI</v>
          </cell>
          <cell r="C700" t="str">
            <v>HONDA ISULAN</v>
          </cell>
          <cell r="D700">
            <v>1</v>
          </cell>
        </row>
        <row r="701">
          <cell r="B701" t="str">
            <v>CLICK125 FI</v>
          </cell>
          <cell r="C701" t="str">
            <v>HONDA MARAMAG</v>
          </cell>
          <cell r="D701">
            <v>1</v>
          </cell>
        </row>
        <row r="702">
          <cell r="B702" t="str">
            <v>CLICK125 FI</v>
          </cell>
          <cell r="C702" t="str">
            <v>HONDA SURALLAH</v>
          </cell>
          <cell r="D702">
            <v>3</v>
          </cell>
        </row>
        <row r="703">
          <cell r="B703" t="str">
            <v>CLICK125 FI</v>
          </cell>
          <cell r="C703" t="str">
            <v>MUTI ALABEL</v>
          </cell>
          <cell r="D703">
            <v>1</v>
          </cell>
        </row>
        <row r="704">
          <cell r="B704" t="str">
            <v>CLICK125 FI</v>
          </cell>
          <cell r="C704" t="str">
            <v>MUTI BANGA</v>
          </cell>
          <cell r="D704">
            <v>1</v>
          </cell>
        </row>
        <row r="705">
          <cell r="B705" t="str">
            <v>CLICK125 FI</v>
          </cell>
          <cell r="C705" t="str">
            <v>MUTI BANSALAN</v>
          </cell>
          <cell r="D705">
            <v>2</v>
          </cell>
        </row>
        <row r="706">
          <cell r="B706" t="str">
            <v>CLICK125 FI</v>
          </cell>
          <cell r="C706" t="str">
            <v>MUTI BUTUAN</v>
          </cell>
          <cell r="D706">
            <v>3</v>
          </cell>
        </row>
        <row r="707">
          <cell r="B707" t="str">
            <v>CLICK125 FI</v>
          </cell>
          <cell r="C707" t="str">
            <v>MUTI CALAMBA</v>
          </cell>
          <cell r="D707">
            <v>4</v>
          </cell>
        </row>
        <row r="708">
          <cell r="B708" t="str">
            <v>CLICK125 FI</v>
          </cell>
          <cell r="C708" t="str">
            <v>MUTI DIGOS</v>
          </cell>
          <cell r="D708">
            <v>4</v>
          </cell>
        </row>
        <row r="709">
          <cell r="B709" t="str">
            <v>CLICK125 FI</v>
          </cell>
          <cell r="C709" t="str">
            <v>MUTI DON CARLOS</v>
          </cell>
          <cell r="D709">
            <v>3</v>
          </cell>
        </row>
        <row r="710">
          <cell r="B710" t="str">
            <v>CLICK125 FI</v>
          </cell>
          <cell r="C710" t="str">
            <v>MUTI ECOLAND</v>
          </cell>
          <cell r="D710">
            <v>2</v>
          </cell>
        </row>
        <row r="711">
          <cell r="B711" t="str">
            <v>CLICK125 FI</v>
          </cell>
          <cell r="C711" t="str">
            <v>MUTI ISULAN</v>
          </cell>
          <cell r="D711">
            <v>8</v>
          </cell>
        </row>
        <row r="712">
          <cell r="B712" t="str">
            <v>CLICK125 FI</v>
          </cell>
          <cell r="C712" t="str">
            <v>MUTI KABACAN</v>
          </cell>
          <cell r="D712">
            <v>7</v>
          </cell>
        </row>
        <row r="713">
          <cell r="B713" t="str">
            <v>CLICK125 FI</v>
          </cell>
          <cell r="C713" t="str">
            <v>MUTI KIDAPAWAN</v>
          </cell>
          <cell r="D713">
            <v>7</v>
          </cell>
        </row>
        <row r="714">
          <cell r="B714" t="str">
            <v>CLICK125 FI</v>
          </cell>
          <cell r="C714" t="str">
            <v>MUTI MALUNGON</v>
          </cell>
          <cell r="D714">
            <v>1</v>
          </cell>
        </row>
        <row r="715">
          <cell r="B715" t="str">
            <v>CLICK125 FI</v>
          </cell>
          <cell r="C715" t="str">
            <v>MUTI MANOLO</v>
          </cell>
          <cell r="D715">
            <v>2</v>
          </cell>
        </row>
        <row r="716">
          <cell r="B716" t="str">
            <v>CLICK125 FI</v>
          </cell>
          <cell r="C716" t="str">
            <v>MUTI MARBEL-MC</v>
          </cell>
          <cell r="D716">
            <v>1</v>
          </cell>
        </row>
        <row r="717">
          <cell r="B717" t="str">
            <v>CLICK125 FI</v>
          </cell>
          <cell r="C717" t="str">
            <v>MUTI MIDSAYAP</v>
          </cell>
          <cell r="D717">
            <v>2</v>
          </cell>
        </row>
        <row r="718">
          <cell r="B718" t="str">
            <v>CLICK125 FI</v>
          </cell>
          <cell r="C718" t="str">
            <v>MUTI MLANG</v>
          </cell>
          <cell r="D718">
            <v>3</v>
          </cell>
        </row>
        <row r="719">
          <cell r="B719" t="str">
            <v>CLICK125 FI</v>
          </cell>
          <cell r="C719" t="str">
            <v>MUTI NABUNTURAN</v>
          </cell>
          <cell r="D719">
            <v>3</v>
          </cell>
        </row>
        <row r="720">
          <cell r="B720" t="str">
            <v>CLICK125 FI</v>
          </cell>
          <cell r="C720" t="str">
            <v>MUTI POLOMOLOK</v>
          </cell>
          <cell r="D720">
            <v>3</v>
          </cell>
        </row>
        <row r="721">
          <cell r="B721" t="str">
            <v>CLICK125 FI</v>
          </cell>
          <cell r="C721" t="str">
            <v>MUTI QUEZON</v>
          </cell>
          <cell r="D721">
            <v>2</v>
          </cell>
        </row>
        <row r="722">
          <cell r="B722" t="str">
            <v>CLICK125 FI</v>
          </cell>
          <cell r="C722" t="str">
            <v>MUTI SAN FRANCISCO</v>
          </cell>
          <cell r="D722">
            <v>1</v>
          </cell>
        </row>
        <row r="723">
          <cell r="B723" t="str">
            <v>CLICK125 FI</v>
          </cell>
          <cell r="C723" t="str">
            <v>MUTI TACURONG</v>
          </cell>
          <cell r="D723">
            <v>1</v>
          </cell>
        </row>
        <row r="724">
          <cell r="B724" t="str">
            <v>CLICK125 FI</v>
          </cell>
          <cell r="C724" t="str">
            <v>MUTI VALENCIA</v>
          </cell>
          <cell r="D724">
            <v>3</v>
          </cell>
        </row>
        <row r="725">
          <cell r="B725" t="str">
            <v>CLICK125 FI</v>
          </cell>
          <cell r="C725" t="str">
            <v>HONDA KORONADAL</v>
          </cell>
          <cell r="D725">
            <v>4</v>
          </cell>
        </row>
        <row r="726">
          <cell r="B726" t="str">
            <v>CLICK125 FI</v>
          </cell>
          <cell r="C726" t="str">
            <v>MUTI 3S</v>
          </cell>
          <cell r="D726">
            <v>1</v>
          </cell>
        </row>
        <row r="727">
          <cell r="B727" t="str">
            <v>CLICK125 FI</v>
          </cell>
          <cell r="C727" t="str">
            <v>MUTI CABADBARAN</v>
          </cell>
          <cell r="D727">
            <v>1</v>
          </cell>
        </row>
        <row r="728">
          <cell r="B728" t="str">
            <v>CLICK125 FI</v>
          </cell>
          <cell r="C728" t="str">
            <v>MUTI CABANTIAN</v>
          </cell>
          <cell r="D728">
            <v>7</v>
          </cell>
        </row>
        <row r="729">
          <cell r="B729" t="str">
            <v>CLICK125 FI</v>
          </cell>
          <cell r="C729" t="str">
            <v>MUTI CATALUNAN GRANDE</v>
          </cell>
          <cell r="D729">
            <v>5</v>
          </cell>
        </row>
        <row r="730">
          <cell r="B730" t="str">
            <v>CLICK125 FI</v>
          </cell>
          <cell r="C730" t="str">
            <v>MUTI TAGUM 2</v>
          </cell>
          <cell r="D730">
            <v>1</v>
          </cell>
        </row>
        <row r="731">
          <cell r="B731" t="str">
            <v>CLICK125 FI</v>
          </cell>
          <cell r="C731" t="str">
            <v>MUTI TAGUM 3</v>
          </cell>
          <cell r="D731">
            <v>2</v>
          </cell>
        </row>
        <row r="732">
          <cell r="B732" t="str">
            <v>CLICK125 FI</v>
          </cell>
          <cell r="C732" t="str">
            <v>GREATWALL</v>
          </cell>
          <cell r="D732">
            <v>1</v>
          </cell>
        </row>
        <row r="733">
          <cell r="B733" t="str">
            <v>CLICK125 FI</v>
          </cell>
          <cell r="C733" t="str">
            <v>GREATWALL</v>
          </cell>
          <cell r="D733">
            <v>93</v>
          </cell>
        </row>
        <row r="734">
          <cell r="B734" t="str">
            <v>CLICK125 FI</v>
          </cell>
          <cell r="C734" t="str">
            <v>HONDA MALUNGON</v>
          </cell>
          <cell r="D734">
            <v>1</v>
          </cell>
        </row>
        <row r="735">
          <cell r="B735" t="str">
            <v>CLICK125 FI</v>
          </cell>
          <cell r="C735" t="str">
            <v>HONDA MARAMAG</v>
          </cell>
          <cell r="D735">
            <v>1</v>
          </cell>
        </row>
        <row r="736">
          <cell r="B736" t="str">
            <v>CLICK125 FI</v>
          </cell>
          <cell r="C736" t="str">
            <v>HONDA SURALLAH</v>
          </cell>
          <cell r="D736">
            <v>4</v>
          </cell>
        </row>
        <row r="737">
          <cell r="B737" t="str">
            <v>CLICK125 FI</v>
          </cell>
          <cell r="C737" t="str">
            <v>MUTI BANGA</v>
          </cell>
          <cell r="D737">
            <v>1</v>
          </cell>
        </row>
        <row r="738">
          <cell r="B738" t="str">
            <v>CLICK125 FI</v>
          </cell>
          <cell r="C738" t="str">
            <v>MUTI BATANGAS</v>
          </cell>
          <cell r="D738">
            <v>2</v>
          </cell>
        </row>
        <row r="739">
          <cell r="B739" t="str">
            <v>CLICK125 FI</v>
          </cell>
          <cell r="C739" t="str">
            <v>MUTI BUTUAN</v>
          </cell>
          <cell r="D739">
            <v>2</v>
          </cell>
        </row>
        <row r="740">
          <cell r="B740" t="str">
            <v>CLICK125 FI</v>
          </cell>
          <cell r="C740" t="str">
            <v>MUTI CALAMBA</v>
          </cell>
          <cell r="D740">
            <v>3</v>
          </cell>
        </row>
        <row r="741">
          <cell r="B741" t="str">
            <v>CLICK125 FI</v>
          </cell>
          <cell r="C741" t="str">
            <v>MUTI DIGOS</v>
          </cell>
          <cell r="D741">
            <v>3</v>
          </cell>
        </row>
        <row r="742">
          <cell r="B742" t="str">
            <v>CLICK125 FI</v>
          </cell>
          <cell r="C742" t="str">
            <v>MUTI DON CARLOS</v>
          </cell>
          <cell r="D742">
            <v>1</v>
          </cell>
        </row>
        <row r="743">
          <cell r="B743" t="str">
            <v>CLICK125 FI</v>
          </cell>
          <cell r="C743" t="str">
            <v>MUTI ECOLAND</v>
          </cell>
          <cell r="D743">
            <v>5</v>
          </cell>
        </row>
        <row r="744">
          <cell r="B744" t="str">
            <v>CLICK125 FI</v>
          </cell>
          <cell r="C744" t="str">
            <v>MUTI ISULAN</v>
          </cell>
          <cell r="D744">
            <v>2</v>
          </cell>
        </row>
        <row r="745">
          <cell r="B745" t="str">
            <v>CLICK125 FI</v>
          </cell>
          <cell r="C745" t="str">
            <v>MUTI KABACAN</v>
          </cell>
          <cell r="D745">
            <v>2</v>
          </cell>
        </row>
        <row r="746">
          <cell r="B746" t="str">
            <v>CLICK125 FI</v>
          </cell>
          <cell r="C746" t="str">
            <v>MUTI KIDAPAWAN</v>
          </cell>
          <cell r="D746">
            <v>1</v>
          </cell>
        </row>
        <row r="747">
          <cell r="B747" t="str">
            <v>CLICK125 FI</v>
          </cell>
          <cell r="C747" t="str">
            <v>MUTI MARBEL-MC</v>
          </cell>
          <cell r="D747">
            <v>1</v>
          </cell>
        </row>
        <row r="748">
          <cell r="B748" t="str">
            <v>CLICK125 FI</v>
          </cell>
          <cell r="C748" t="str">
            <v>MUTI MLANG</v>
          </cell>
          <cell r="D748">
            <v>4</v>
          </cell>
        </row>
        <row r="749">
          <cell r="B749" t="str">
            <v>CLICK125 FI</v>
          </cell>
          <cell r="C749" t="str">
            <v>MUTI POLOMOLOK</v>
          </cell>
          <cell r="D749">
            <v>2</v>
          </cell>
        </row>
        <row r="750">
          <cell r="B750" t="str">
            <v>CLICK125 FI</v>
          </cell>
          <cell r="C750" t="str">
            <v>MUTI QUEZON</v>
          </cell>
          <cell r="D750">
            <v>1</v>
          </cell>
        </row>
        <row r="751">
          <cell r="B751" t="str">
            <v>CLICK125 FI</v>
          </cell>
          <cell r="C751" t="str">
            <v>MUTI SAN FRANCISCO</v>
          </cell>
          <cell r="D751">
            <v>2</v>
          </cell>
        </row>
        <row r="752">
          <cell r="B752" t="str">
            <v>CLICK125 FI</v>
          </cell>
          <cell r="C752" t="str">
            <v>MUTI STO. TOMAS</v>
          </cell>
          <cell r="D752">
            <v>4</v>
          </cell>
        </row>
        <row r="753">
          <cell r="B753" t="str">
            <v>CLICK125 FI</v>
          </cell>
          <cell r="C753" t="str">
            <v>MUTI SURIGAO</v>
          </cell>
          <cell r="D753">
            <v>1</v>
          </cell>
        </row>
        <row r="754">
          <cell r="B754" t="str">
            <v>CLICK125 FI</v>
          </cell>
          <cell r="C754" t="str">
            <v>MUTI TIBUNGCO</v>
          </cell>
          <cell r="D754">
            <v>1</v>
          </cell>
        </row>
        <row r="755">
          <cell r="B755" t="str">
            <v>CLICK125 FI</v>
          </cell>
          <cell r="C755" t="str">
            <v>MUTI TUPI</v>
          </cell>
          <cell r="D755">
            <v>1</v>
          </cell>
        </row>
        <row r="756">
          <cell r="B756" t="str">
            <v>CLICK125 FI</v>
          </cell>
          <cell r="C756" t="str">
            <v>HONDA KORONADAL</v>
          </cell>
          <cell r="D756">
            <v>2</v>
          </cell>
        </row>
        <row r="757">
          <cell r="B757" t="str">
            <v>CLICK125 FI</v>
          </cell>
          <cell r="C757" t="str">
            <v>MUTI BAYUGAN</v>
          </cell>
          <cell r="D757">
            <v>1</v>
          </cell>
        </row>
        <row r="758">
          <cell r="B758" t="str">
            <v>CLICK125 FI</v>
          </cell>
          <cell r="C758" t="str">
            <v>MUTI BULUA</v>
          </cell>
          <cell r="D758">
            <v>1</v>
          </cell>
        </row>
        <row r="759">
          <cell r="B759" t="str">
            <v>CLICK125 FI</v>
          </cell>
          <cell r="C759" t="str">
            <v>MUTI PANABO</v>
          </cell>
          <cell r="D759">
            <v>2</v>
          </cell>
        </row>
        <row r="760">
          <cell r="B760" t="str">
            <v>CLICK125 FI</v>
          </cell>
          <cell r="C760" t="str">
            <v>MUTI PROSPERIDAD</v>
          </cell>
          <cell r="D760">
            <v>2</v>
          </cell>
        </row>
        <row r="761">
          <cell r="B761" t="str">
            <v>CLICK125 FI</v>
          </cell>
          <cell r="C761" t="str">
            <v>MUTI SAMAL</v>
          </cell>
          <cell r="D761">
            <v>6</v>
          </cell>
        </row>
        <row r="762">
          <cell r="B762" t="str">
            <v>CLICK125 FI</v>
          </cell>
          <cell r="C762" t="str">
            <v>MUTI TAGUM 1</v>
          </cell>
          <cell r="D762">
            <v>2</v>
          </cell>
        </row>
        <row r="763">
          <cell r="B763" t="str">
            <v>CLICK125 FI</v>
          </cell>
          <cell r="C763" t="str">
            <v>MUTI TAGUM 2</v>
          </cell>
          <cell r="D763">
            <v>6</v>
          </cell>
        </row>
        <row r="764">
          <cell r="B764" t="str">
            <v>CLICK125 FI</v>
          </cell>
          <cell r="C764" t="str">
            <v>GREATWALL</v>
          </cell>
          <cell r="D764">
            <v>22</v>
          </cell>
        </row>
        <row r="765">
          <cell r="B765" t="str">
            <v>CLICK125 FI</v>
          </cell>
          <cell r="C765" t="str">
            <v>GREATWALL</v>
          </cell>
          <cell r="D765">
            <v>57</v>
          </cell>
        </row>
        <row r="766">
          <cell r="B766" t="str">
            <v>CLICK125 FI</v>
          </cell>
          <cell r="C766" t="str">
            <v>MUTI BATANGAS</v>
          </cell>
          <cell r="D766">
            <v>2</v>
          </cell>
        </row>
        <row r="767">
          <cell r="B767" t="str">
            <v>CLICK125 FI</v>
          </cell>
          <cell r="C767" t="str">
            <v>MUTI CALAMBA</v>
          </cell>
          <cell r="D767">
            <v>2</v>
          </cell>
        </row>
        <row r="768">
          <cell r="B768" t="str">
            <v>CLICK125 FI</v>
          </cell>
          <cell r="C768" t="str">
            <v>MUTI MARBEL-MC</v>
          </cell>
          <cell r="D768">
            <v>2</v>
          </cell>
        </row>
        <row r="769">
          <cell r="B769" t="str">
            <v>CLICK125 FI</v>
          </cell>
          <cell r="C769" t="str">
            <v>MUTI QUEZON</v>
          </cell>
          <cell r="D769">
            <v>2</v>
          </cell>
        </row>
        <row r="770">
          <cell r="B770" t="str">
            <v>CLICK125 FI</v>
          </cell>
          <cell r="C770" t="str">
            <v>MUTI STO. TOMAS</v>
          </cell>
          <cell r="D770">
            <v>7</v>
          </cell>
        </row>
        <row r="771">
          <cell r="B771" t="str">
            <v>CLICK125 FI</v>
          </cell>
          <cell r="C771" t="str">
            <v>MUTI TIBUNGCO</v>
          </cell>
          <cell r="D771">
            <v>3</v>
          </cell>
        </row>
        <row r="772">
          <cell r="B772" t="str">
            <v>CLICK125 FI</v>
          </cell>
          <cell r="C772" t="str">
            <v>HONDA KORONADAL</v>
          </cell>
          <cell r="D772">
            <v>5</v>
          </cell>
        </row>
        <row r="773">
          <cell r="B773" t="str">
            <v>CLICK125 FI</v>
          </cell>
          <cell r="C773" t="str">
            <v>MUTI OZAMIZ</v>
          </cell>
          <cell r="D773">
            <v>2</v>
          </cell>
        </row>
        <row r="774">
          <cell r="B774" t="str">
            <v>CLICK125 FI</v>
          </cell>
          <cell r="C774" t="str">
            <v>GREATWALL</v>
          </cell>
          <cell r="D774">
            <v>2</v>
          </cell>
        </row>
        <row r="775">
          <cell r="B775" t="str">
            <v>CLICK125 FI SE</v>
          </cell>
          <cell r="C775" t="str">
            <v>GREATWALL</v>
          </cell>
          <cell r="D775">
            <v>25</v>
          </cell>
        </row>
        <row r="776">
          <cell r="B776" t="str">
            <v>CLICK125 FI SE</v>
          </cell>
          <cell r="C776" t="str">
            <v>HONDA ISULAN</v>
          </cell>
          <cell r="D776">
            <v>6</v>
          </cell>
        </row>
        <row r="777">
          <cell r="B777" t="str">
            <v>CLICK125 FI SE</v>
          </cell>
          <cell r="C777" t="str">
            <v>HONDA MALUNGON</v>
          </cell>
          <cell r="D777">
            <v>12</v>
          </cell>
        </row>
        <row r="778">
          <cell r="B778" t="str">
            <v>CLICK125 FI SE</v>
          </cell>
          <cell r="C778" t="str">
            <v>HONDA SURALLAH</v>
          </cell>
          <cell r="D778">
            <v>1</v>
          </cell>
        </row>
        <row r="779">
          <cell r="B779" t="str">
            <v>CLICK125 FI SE</v>
          </cell>
          <cell r="C779" t="str">
            <v>MUTI ALABEL</v>
          </cell>
          <cell r="D779">
            <v>1</v>
          </cell>
        </row>
        <row r="780">
          <cell r="B780" t="str">
            <v>CLICK125 FI SE</v>
          </cell>
          <cell r="C780" t="str">
            <v>MUTI BANSALAN</v>
          </cell>
          <cell r="D780">
            <v>1</v>
          </cell>
        </row>
        <row r="781">
          <cell r="B781" t="str">
            <v>CLICK125 FI SE</v>
          </cell>
          <cell r="C781" t="str">
            <v>MUTI DIGOS</v>
          </cell>
          <cell r="D781">
            <v>3</v>
          </cell>
        </row>
        <row r="782">
          <cell r="B782" t="str">
            <v>CLICK125 FI SE</v>
          </cell>
          <cell r="C782" t="str">
            <v>MUTI KABACAN</v>
          </cell>
          <cell r="D782">
            <v>1</v>
          </cell>
        </row>
        <row r="783">
          <cell r="B783" t="str">
            <v>CLICK125 FI SE</v>
          </cell>
          <cell r="C783" t="str">
            <v>MUTI MARBEL-MC</v>
          </cell>
          <cell r="D783">
            <v>1</v>
          </cell>
        </row>
        <row r="784">
          <cell r="B784" t="str">
            <v>CLICK125 FI SE</v>
          </cell>
          <cell r="C784" t="str">
            <v>MUTI MLANG</v>
          </cell>
          <cell r="D784">
            <v>1</v>
          </cell>
        </row>
        <row r="785">
          <cell r="B785" t="str">
            <v>CLICK125 FI SE</v>
          </cell>
          <cell r="C785" t="str">
            <v>MUTI SURALLAH</v>
          </cell>
          <cell r="D785">
            <v>1</v>
          </cell>
        </row>
        <row r="786">
          <cell r="B786" t="str">
            <v>CLICK125 FI SE</v>
          </cell>
          <cell r="C786" t="str">
            <v>MUTI TACURONG</v>
          </cell>
          <cell r="D786">
            <v>3</v>
          </cell>
        </row>
        <row r="787">
          <cell r="B787" t="str">
            <v>CLICK125 FI SE</v>
          </cell>
          <cell r="C787" t="str">
            <v>MUTI TIBUNGCO</v>
          </cell>
          <cell r="D787">
            <v>1</v>
          </cell>
        </row>
        <row r="788">
          <cell r="B788" t="str">
            <v>CLICK125 FI SE</v>
          </cell>
          <cell r="C788" t="str">
            <v>MUTI OZAMIZ</v>
          </cell>
          <cell r="D788">
            <v>2</v>
          </cell>
        </row>
        <row r="789">
          <cell r="B789" t="str">
            <v>CLICK125 FI SE</v>
          </cell>
          <cell r="C789" t="str">
            <v>MUTI PROSPERIDAD</v>
          </cell>
          <cell r="D789">
            <v>2</v>
          </cell>
        </row>
        <row r="790">
          <cell r="B790" t="str">
            <v>CLICK125 FI SE</v>
          </cell>
          <cell r="C790" t="str">
            <v>MUTI TAGUM 1</v>
          </cell>
          <cell r="D790">
            <v>3</v>
          </cell>
        </row>
        <row r="791">
          <cell r="B791" t="str">
            <v>CLICK125 FI SE</v>
          </cell>
          <cell r="C791" t="str">
            <v>GREATWALL</v>
          </cell>
          <cell r="D791">
            <v>8</v>
          </cell>
        </row>
        <row r="792">
          <cell r="B792" t="str">
            <v>CLICK125 FI SE</v>
          </cell>
          <cell r="C792" t="str">
            <v>GREATWALL</v>
          </cell>
          <cell r="D792">
            <v>17</v>
          </cell>
        </row>
        <row r="793">
          <cell r="B793" t="str">
            <v>CLICK125 FI SE</v>
          </cell>
          <cell r="C793" t="str">
            <v>HONDA MARAMAG</v>
          </cell>
          <cell r="D793">
            <v>3</v>
          </cell>
        </row>
        <row r="794">
          <cell r="B794" t="str">
            <v>CLICK125 FI SE</v>
          </cell>
          <cell r="C794" t="str">
            <v>MUTI ALABEL</v>
          </cell>
          <cell r="D794">
            <v>1</v>
          </cell>
        </row>
        <row r="795">
          <cell r="B795" t="str">
            <v>CLICK125 FI SE</v>
          </cell>
          <cell r="C795" t="str">
            <v>MUTI BUTUAN</v>
          </cell>
          <cell r="D795">
            <v>4</v>
          </cell>
        </row>
        <row r="796">
          <cell r="B796" t="str">
            <v>CLICK125 FI SE</v>
          </cell>
          <cell r="C796" t="str">
            <v>MUTI DON CARLOS</v>
          </cell>
          <cell r="D796">
            <v>3</v>
          </cell>
        </row>
        <row r="797">
          <cell r="B797" t="str">
            <v>CLICK125 FI SE</v>
          </cell>
          <cell r="C797" t="str">
            <v>MUTI ECOLAND</v>
          </cell>
          <cell r="D797">
            <v>2</v>
          </cell>
        </row>
        <row r="798">
          <cell r="B798" t="str">
            <v>CLICK125 FI SE</v>
          </cell>
          <cell r="C798" t="str">
            <v>MUTI KABACAN</v>
          </cell>
          <cell r="D798">
            <v>1</v>
          </cell>
        </row>
        <row r="799">
          <cell r="B799" t="str">
            <v>CLICK125 FI SE</v>
          </cell>
          <cell r="C799" t="str">
            <v>MUTI MARBEL-MC</v>
          </cell>
          <cell r="D799">
            <v>1</v>
          </cell>
        </row>
        <row r="800">
          <cell r="B800" t="str">
            <v>CLICK125 FI SE</v>
          </cell>
          <cell r="C800" t="str">
            <v>MUTI MLANG</v>
          </cell>
          <cell r="D800">
            <v>1</v>
          </cell>
        </row>
        <row r="801">
          <cell r="B801" t="str">
            <v>CLICK125 FI SE</v>
          </cell>
          <cell r="C801" t="str">
            <v>MUTI POLOMOLOK</v>
          </cell>
          <cell r="D801">
            <v>2</v>
          </cell>
        </row>
        <row r="802">
          <cell r="B802" t="str">
            <v>CLICK125 FI SE</v>
          </cell>
          <cell r="C802" t="str">
            <v>MUTI QUEZON</v>
          </cell>
          <cell r="D802">
            <v>2</v>
          </cell>
        </row>
        <row r="803">
          <cell r="B803" t="str">
            <v>CLICK125 FI SE</v>
          </cell>
          <cell r="C803" t="str">
            <v>MUTI STO. TOMAS</v>
          </cell>
          <cell r="D803">
            <v>4</v>
          </cell>
        </row>
        <row r="804">
          <cell r="B804" t="str">
            <v>CLICK125 FI SE</v>
          </cell>
          <cell r="C804" t="str">
            <v>MUTI TUPI</v>
          </cell>
          <cell r="D804">
            <v>3</v>
          </cell>
        </row>
        <row r="805">
          <cell r="B805" t="str">
            <v>CLICK125 FI SE</v>
          </cell>
          <cell r="C805" t="str">
            <v>MUTI VALENCIA</v>
          </cell>
          <cell r="D805">
            <v>2</v>
          </cell>
        </row>
        <row r="806">
          <cell r="B806" t="str">
            <v>CLICK125 FI SE</v>
          </cell>
          <cell r="C806" t="str">
            <v>HONDA KORONADAL</v>
          </cell>
          <cell r="D806">
            <v>4</v>
          </cell>
        </row>
        <row r="807">
          <cell r="B807" t="str">
            <v>CLICK125 FI SE</v>
          </cell>
          <cell r="C807" t="str">
            <v>MUTI BULUA</v>
          </cell>
          <cell r="D807">
            <v>1</v>
          </cell>
        </row>
        <row r="808">
          <cell r="B808" t="str">
            <v>CLICK125 FI SE</v>
          </cell>
          <cell r="C808" t="str">
            <v>MUTI CABANTIAN</v>
          </cell>
          <cell r="D808">
            <v>1</v>
          </cell>
        </row>
        <row r="809">
          <cell r="B809" t="str">
            <v>CLICK125 FI SE</v>
          </cell>
          <cell r="C809" t="str">
            <v>MUTI PROSPERIDAD</v>
          </cell>
          <cell r="D809">
            <v>1</v>
          </cell>
        </row>
        <row r="810">
          <cell r="B810" t="str">
            <v>GIORNO</v>
          </cell>
          <cell r="C810" t="str">
            <v>HONDA MALUNGON</v>
          </cell>
          <cell r="D810">
            <v>1</v>
          </cell>
        </row>
        <row r="811">
          <cell r="B811" t="str">
            <v>GIORNO</v>
          </cell>
          <cell r="C811" t="str">
            <v>GREATWALL</v>
          </cell>
          <cell r="D811">
            <v>1</v>
          </cell>
        </row>
        <row r="812">
          <cell r="B812" t="str">
            <v>GIORNO</v>
          </cell>
          <cell r="C812" t="str">
            <v>HONDA KORONADAL</v>
          </cell>
          <cell r="D812">
            <v>1</v>
          </cell>
        </row>
        <row r="813">
          <cell r="B813" t="str">
            <v>PCX160 STANDARD</v>
          </cell>
          <cell r="C813" t="str">
            <v>GREATWALL</v>
          </cell>
          <cell r="D813">
            <v>1</v>
          </cell>
        </row>
        <row r="814">
          <cell r="B814" t="str">
            <v>PCX160 STANDARD</v>
          </cell>
          <cell r="C814" t="str">
            <v>MUTI BATANGAS</v>
          </cell>
          <cell r="D814">
            <v>3</v>
          </cell>
        </row>
        <row r="815">
          <cell r="B815" t="str">
            <v>PCX160 STANDARD</v>
          </cell>
          <cell r="C815" t="str">
            <v>MUTI STO. TOMAS</v>
          </cell>
          <cell r="D815">
            <v>1</v>
          </cell>
        </row>
        <row r="816">
          <cell r="B816" t="str">
            <v>EM1 e:</v>
          </cell>
          <cell r="C816" t="str">
            <v>HONDA MALUNGON</v>
          </cell>
          <cell r="D816">
            <v>1</v>
          </cell>
        </row>
        <row r="817">
          <cell r="B817" t="str">
            <v>EM1 e:</v>
          </cell>
          <cell r="C817" t="str">
            <v>HONDA MARAMAG</v>
          </cell>
          <cell r="D817">
            <v>1</v>
          </cell>
        </row>
        <row r="818">
          <cell r="B818" t="str">
            <v>EM1 e:</v>
          </cell>
          <cell r="C818" t="str">
            <v>HONDA SURALLAH</v>
          </cell>
          <cell r="D818">
            <v>1</v>
          </cell>
        </row>
        <row r="819">
          <cell r="B819" t="str">
            <v>NAVI</v>
          </cell>
          <cell r="C819" t="str">
            <v>HONDA KORONADAL</v>
          </cell>
          <cell r="D819">
            <v>1</v>
          </cell>
        </row>
        <row r="820">
          <cell r="B820" t="str">
            <v>NAVI</v>
          </cell>
          <cell r="C820" t="str">
            <v>MUTI CALINAN</v>
          </cell>
          <cell r="D820">
            <v>1</v>
          </cell>
        </row>
        <row r="821">
          <cell r="B821" t="str">
            <v>PCX160 ROADSYNC</v>
          </cell>
          <cell r="C821" t="str">
            <v>HONDA SURALLAH</v>
          </cell>
          <cell r="D821">
            <v>1</v>
          </cell>
        </row>
        <row r="822">
          <cell r="B822" t="str">
            <v>PCX160 ROADSYNC</v>
          </cell>
          <cell r="C822" t="str">
            <v>MUTI MLANG</v>
          </cell>
          <cell r="D822">
            <v>1</v>
          </cell>
        </row>
        <row r="823">
          <cell r="B823" t="str">
            <v>PCX160 ROADSYNC</v>
          </cell>
          <cell r="C823" t="str">
            <v>HONDA KORONADAL</v>
          </cell>
          <cell r="D823">
            <v>1</v>
          </cell>
        </row>
        <row r="824">
          <cell r="B824" t="str">
            <v>PCX160 ROADSYNC</v>
          </cell>
          <cell r="C824" t="str">
            <v>HONDA ISULAN</v>
          </cell>
          <cell r="D824">
            <v>1</v>
          </cell>
        </row>
        <row r="825">
          <cell r="B825" t="str">
            <v>PCX160 ROADSYNC</v>
          </cell>
          <cell r="C825" t="str">
            <v>HONDA SURALLAH</v>
          </cell>
          <cell r="D825">
            <v>1</v>
          </cell>
        </row>
        <row r="826">
          <cell r="B826" t="str">
            <v>PCX160 ROADSYNC</v>
          </cell>
          <cell r="C826" t="str">
            <v>HONDA KORONADAL</v>
          </cell>
          <cell r="D826">
            <v>1</v>
          </cell>
        </row>
        <row r="827">
          <cell r="B827" t="str">
            <v>CLICK125 FI STREET</v>
          </cell>
          <cell r="C827" t="str">
            <v>GREATWALL</v>
          </cell>
          <cell r="D827">
            <v>25</v>
          </cell>
        </row>
        <row r="828">
          <cell r="B828" t="str">
            <v>CLICK125 FI STREET</v>
          </cell>
          <cell r="C828" t="str">
            <v>HONDA SURALLAH</v>
          </cell>
          <cell r="D828">
            <v>8</v>
          </cell>
        </row>
        <row r="829">
          <cell r="B829" t="str">
            <v>CLICK125 FI STREET</v>
          </cell>
          <cell r="C829" t="str">
            <v>HONDA KORONADAL</v>
          </cell>
          <cell r="D829">
            <v>4</v>
          </cell>
        </row>
        <row r="830">
          <cell r="B830" t="str">
            <v>CLICK125 FI SE</v>
          </cell>
          <cell r="C830" t="str">
            <v>GREATWALL</v>
          </cell>
          <cell r="D830">
            <v>6</v>
          </cell>
        </row>
        <row r="831">
          <cell r="B831" t="str">
            <v>CLICK125 FI SE</v>
          </cell>
          <cell r="C831" t="str">
            <v>MUTI ECOLAND</v>
          </cell>
          <cell r="D831">
            <v>1</v>
          </cell>
        </row>
        <row r="832">
          <cell r="B832" t="str">
            <v>CLICK125 FI SE</v>
          </cell>
          <cell r="C832" t="str">
            <v>MUTI MIDSAYAP</v>
          </cell>
          <cell r="D832">
            <v>2</v>
          </cell>
        </row>
        <row r="833">
          <cell r="B833" t="str">
            <v>CLICK125 FI SE</v>
          </cell>
          <cell r="C833" t="str">
            <v>MUTI MLANG</v>
          </cell>
          <cell r="D833">
            <v>4</v>
          </cell>
        </row>
        <row r="834">
          <cell r="B834" t="str">
            <v>CLICK125 FI SE</v>
          </cell>
          <cell r="C834" t="str">
            <v>MUTI NABUNTURAN</v>
          </cell>
          <cell r="D834">
            <v>2</v>
          </cell>
        </row>
        <row r="835">
          <cell r="B835" t="str">
            <v>CLICK125 FI SE</v>
          </cell>
          <cell r="C835" t="str">
            <v>MUTI TIBUNGCO</v>
          </cell>
          <cell r="D835">
            <v>2</v>
          </cell>
        </row>
        <row r="836">
          <cell r="B836" t="str">
            <v>CLICK125 FI SE</v>
          </cell>
          <cell r="C836" t="str">
            <v>MUTI TAGUM 2</v>
          </cell>
          <cell r="D836">
            <v>2</v>
          </cell>
        </row>
        <row r="837">
          <cell r="B837" t="str">
            <v>CLICK125 FI SE</v>
          </cell>
          <cell r="C837" t="str">
            <v>GREATWALL</v>
          </cell>
          <cell r="D837">
            <v>2</v>
          </cell>
        </row>
        <row r="838">
          <cell r="B838" t="str">
            <v>ROUSER NS125</v>
          </cell>
          <cell r="C838" t="str">
            <v>MUTI TACURONG</v>
          </cell>
          <cell r="D838">
            <v>1</v>
          </cell>
        </row>
        <row r="839">
          <cell r="B839" t="str">
            <v>BOXER</v>
          </cell>
          <cell r="C839" t="str">
            <v>MUTI BANSALAN</v>
          </cell>
          <cell r="D839">
            <v>1</v>
          </cell>
        </row>
        <row r="840">
          <cell r="B840" t="str">
            <v>BOXER</v>
          </cell>
          <cell r="C840" t="str">
            <v>MUTI LAPASAN</v>
          </cell>
          <cell r="D840">
            <v>1</v>
          </cell>
        </row>
        <row r="841">
          <cell r="B841" t="str">
            <v>BOXER</v>
          </cell>
          <cell r="C841" t="str">
            <v>MUTI MALUNGON</v>
          </cell>
          <cell r="D841">
            <v>1</v>
          </cell>
        </row>
        <row r="842">
          <cell r="B842" t="str">
            <v>BOXER</v>
          </cell>
          <cell r="C842" t="str">
            <v>MUTI MARBEL-MC</v>
          </cell>
          <cell r="D842">
            <v>1</v>
          </cell>
        </row>
        <row r="843">
          <cell r="B843" t="str">
            <v>BOXER</v>
          </cell>
          <cell r="C843" t="str">
            <v>MUTI CATALUNAN GRANDE</v>
          </cell>
          <cell r="D843">
            <v>1</v>
          </cell>
        </row>
        <row r="844">
          <cell r="B844" t="str">
            <v>BOXER</v>
          </cell>
          <cell r="C844" t="str">
            <v>MUTI SAMAL</v>
          </cell>
          <cell r="D844">
            <v>2</v>
          </cell>
        </row>
        <row r="845">
          <cell r="B845" t="str">
            <v>CT125</v>
          </cell>
          <cell r="C845" t="str">
            <v>GREATWALL</v>
          </cell>
          <cell r="D845">
            <v>215</v>
          </cell>
        </row>
        <row r="846">
          <cell r="B846" t="str">
            <v>CT125</v>
          </cell>
          <cell r="C846" t="str">
            <v>MUTI ALABEL</v>
          </cell>
          <cell r="D846">
            <v>3</v>
          </cell>
        </row>
        <row r="847">
          <cell r="B847" t="str">
            <v>CT125</v>
          </cell>
          <cell r="C847" t="str">
            <v>MUTI BANGA</v>
          </cell>
          <cell r="D847">
            <v>13</v>
          </cell>
        </row>
        <row r="848">
          <cell r="B848" t="str">
            <v>CT125</v>
          </cell>
          <cell r="C848" t="str">
            <v>MUTI BANSALAN</v>
          </cell>
          <cell r="D848">
            <v>10</v>
          </cell>
        </row>
        <row r="849">
          <cell r="B849" t="str">
            <v>CT125</v>
          </cell>
          <cell r="C849" t="str">
            <v>MUTI BUTUAN</v>
          </cell>
          <cell r="D849">
            <v>13</v>
          </cell>
        </row>
        <row r="850">
          <cell r="B850" t="str">
            <v>CT125</v>
          </cell>
          <cell r="C850" t="str">
            <v>MUTI DIGOS</v>
          </cell>
          <cell r="D850">
            <v>9</v>
          </cell>
        </row>
        <row r="851">
          <cell r="B851" t="str">
            <v>CT125</v>
          </cell>
          <cell r="C851" t="str">
            <v>MUTI DON CARLOS</v>
          </cell>
          <cell r="D851">
            <v>7</v>
          </cell>
        </row>
        <row r="852">
          <cell r="B852" t="str">
            <v>CT125</v>
          </cell>
          <cell r="C852" t="str">
            <v>MUTI ECOLAND</v>
          </cell>
          <cell r="D852">
            <v>16</v>
          </cell>
        </row>
        <row r="853">
          <cell r="B853" t="str">
            <v>CT125</v>
          </cell>
          <cell r="C853" t="str">
            <v>MUTI ISULAN</v>
          </cell>
          <cell r="D853">
            <v>6</v>
          </cell>
        </row>
        <row r="854">
          <cell r="B854" t="str">
            <v>CT125</v>
          </cell>
          <cell r="C854" t="str">
            <v>MUTI KABACAN</v>
          </cell>
          <cell r="D854">
            <v>7</v>
          </cell>
        </row>
        <row r="855">
          <cell r="B855" t="str">
            <v>CT125</v>
          </cell>
          <cell r="C855" t="str">
            <v>MUTI KIDAPAWAN</v>
          </cell>
          <cell r="D855">
            <v>10</v>
          </cell>
        </row>
        <row r="856">
          <cell r="B856" t="str">
            <v>CT125</v>
          </cell>
          <cell r="C856" t="str">
            <v>MUTI MALUNGON</v>
          </cell>
          <cell r="D856">
            <v>8</v>
          </cell>
        </row>
        <row r="857">
          <cell r="B857" t="str">
            <v>CT125</v>
          </cell>
          <cell r="C857" t="str">
            <v>MUTI MANOLO</v>
          </cell>
          <cell r="D857">
            <v>4</v>
          </cell>
        </row>
        <row r="858">
          <cell r="B858" t="str">
            <v>CT125</v>
          </cell>
          <cell r="C858" t="str">
            <v>MUTI MARBEL-MC</v>
          </cell>
          <cell r="D858">
            <v>12</v>
          </cell>
        </row>
        <row r="859">
          <cell r="B859" t="str">
            <v>CT125</v>
          </cell>
          <cell r="C859" t="str">
            <v>MUTI MIDSAYAP</v>
          </cell>
          <cell r="D859">
            <v>8</v>
          </cell>
        </row>
        <row r="860">
          <cell r="B860" t="str">
            <v>CT125</v>
          </cell>
          <cell r="C860" t="str">
            <v>MUTI MLANG</v>
          </cell>
          <cell r="D860">
            <v>24</v>
          </cell>
        </row>
        <row r="861">
          <cell r="B861" t="str">
            <v>CT125</v>
          </cell>
          <cell r="C861" t="str">
            <v>MUTI NABUNTURAN</v>
          </cell>
          <cell r="D861">
            <v>3</v>
          </cell>
        </row>
        <row r="862">
          <cell r="B862" t="str">
            <v>CT125</v>
          </cell>
          <cell r="C862" t="str">
            <v>MUTI POLOMOLOK</v>
          </cell>
          <cell r="D862">
            <v>11</v>
          </cell>
        </row>
        <row r="863">
          <cell r="B863" t="str">
            <v>CT125</v>
          </cell>
          <cell r="C863" t="str">
            <v>MUTI QUEZON</v>
          </cell>
          <cell r="D863">
            <v>5</v>
          </cell>
        </row>
        <row r="864">
          <cell r="B864" t="str">
            <v>CT125</v>
          </cell>
          <cell r="C864" t="str">
            <v>MUTI STO. TOMAS</v>
          </cell>
          <cell r="D864">
            <v>1</v>
          </cell>
        </row>
        <row r="865">
          <cell r="B865" t="str">
            <v>CT125</v>
          </cell>
          <cell r="C865" t="str">
            <v>MUTI SURALLAH</v>
          </cell>
          <cell r="D865">
            <v>12</v>
          </cell>
        </row>
        <row r="866">
          <cell r="B866" t="str">
            <v>CT125</v>
          </cell>
          <cell r="C866" t="str">
            <v>MUTI SURIGAO</v>
          </cell>
          <cell r="D866">
            <v>11</v>
          </cell>
        </row>
        <row r="867">
          <cell r="B867" t="str">
            <v>CT125</v>
          </cell>
          <cell r="C867" t="str">
            <v>MUTI TACURONG</v>
          </cell>
          <cell r="D867">
            <v>5</v>
          </cell>
        </row>
        <row r="868">
          <cell r="B868" t="str">
            <v>CT125</v>
          </cell>
          <cell r="C868" t="str">
            <v>MUTI TIBUNGCO</v>
          </cell>
          <cell r="D868">
            <v>1</v>
          </cell>
        </row>
        <row r="869">
          <cell r="B869" t="str">
            <v>CT125</v>
          </cell>
          <cell r="C869" t="str">
            <v>MUTI TUPI</v>
          </cell>
          <cell r="D869">
            <v>4</v>
          </cell>
        </row>
        <row r="870">
          <cell r="B870" t="str">
            <v>CT125</v>
          </cell>
          <cell r="C870" t="str">
            <v>MUTI VALENCIA</v>
          </cell>
          <cell r="D870">
            <v>5</v>
          </cell>
        </row>
        <row r="871">
          <cell r="B871" t="str">
            <v>CT125</v>
          </cell>
          <cell r="C871" t="str">
            <v>MUTI 3S</v>
          </cell>
          <cell r="D871">
            <v>4</v>
          </cell>
        </row>
        <row r="872">
          <cell r="B872" t="str">
            <v>CT125</v>
          </cell>
          <cell r="C872" t="str">
            <v>MUTI BAYUGAN</v>
          </cell>
          <cell r="D872">
            <v>11</v>
          </cell>
        </row>
        <row r="873">
          <cell r="B873" t="str">
            <v>CT125</v>
          </cell>
          <cell r="C873" t="str">
            <v>MUTI BULUA</v>
          </cell>
          <cell r="D873">
            <v>7</v>
          </cell>
        </row>
        <row r="874">
          <cell r="B874" t="str">
            <v>CT125</v>
          </cell>
          <cell r="C874" t="str">
            <v>MUTI CABADBARAN</v>
          </cell>
          <cell r="D874">
            <v>2</v>
          </cell>
        </row>
        <row r="875">
          <cell r="B875" t="str">
            <v>CT125</v>
          </cell>
          <cell r="C875" t="str">
            <v>MUTI CABANTIAN</v>
          </cell>
          <cell r="D875">
            <v>1</v>
          </cell>
        </row>
        <row r="876">
          <cell r="B876" t="str">
            <v>CT125</v>
          </cell>
          <cell r="C876" t="str">
            <v>MUTI CALINAN</v>
          </cell>
          <cell r="D876">
            <v>3</v>
          </cell>
        </row>
        <row r="877">
          <cell r="B877" t="str">
            <v>CT125</v>
          </cell>
          <cell r="C877" t="str">
            <v>MUTI CATALUNAN GRANDE</v>
          </cell>
          <cell r="D877">
            <v>14</v>
          </cell>
        </row>
        <row r="878">
          <cell r="B878" t="str">
            <v>CT125</v>
          </cell>
          <cell r="C878" t="str">
            <v>MUTI OZAMIZ</v>
          </cell>
          <cell r="D878">
            <v>1</v>
          </cell>
        </row>
        <row r="879">
          <cell r="B879" t="str">
            <v>CT125</v>
          </cell>
          <cell r="C879" t="str">
            <v>MUTI PANABO</v>
          </cell>
          <cell r="D879">
            <v>42</v>
          </cell>
        </row>
        <row r="880">
          <cell r="B880" t="str">
            <v>CT125</v>
          </cell>
          <cell r="C880" t="str">
            <v>MUTI PROSPERIDAD</v>
          </cell>
          <cell r="D880">
            <v>12</v>
          </cell>
        </row>
        <row r="881">
          <cell r="B881" t="str">
            <v>CT125</v>
          </cell>
          <cell r="C881" t="str">
            <v>MUTI SAMAL</v>
          </cell>
          <cell r="D881">
            <v>3</v>
          </cell>
        </row>
        <row r="882">
          <cell r="B882" t="str">
            <v>CT125</v>
          </cell>
          <cell r="C882" t="str">
            <v>MUTI TAGUM 1</v>
          </cell>
          <cell r="D882">
            <v>8</v>
          </cell>
        </row>
        <row r="883">
          <cell r="B883" t="str">
            <v>CT125</v>
          </cell>
          <cell r="C883" t="str">
            <v>MUTI TAGUM 2</v>
          </cell>
          <cell r="D883">
            <v>4</v>
          </cell>
        </row>
        <row r="884">
          <cell r="B884" t="str">
            <v>CT125</v>
          </cell>
          <cell r="C884" t="str">
            <v>MUTI TAGUM 3</v>
          </cell>
          <cell r="D884">
            <v>9</v>
          </cell>
        </row>
        <row r="885">
          <cell r="B885" t="str">
            <v>CT125</v>
          </cell>
          <cell r="C885" t="str">
            <v>GREATWALL</v>
          </cell>
          <cell r="D885">
            <v>3</v>
          </cell>
        </row>
        <row r="886">
          <cell r="B886" t="str">
            <v>CT125</v>
          </cell>
          <cell r="C886" t="str">
            <v>GREATWALL</v>
          </cell>
          <cell r="D886">
            <v>62</v>
          </cell>
        </row>
        <row r="887">
          <cell r="B887" t="str">
            <v>CT125</v>
          </cell>
          <cell r="C887" t="str">
            <v>MUTI BANGA</v>
          </cell>
          <cell r="D887">
            <v>5</v>
          </cell>
        </row>
        <row r="888">
          <cell r="B888" t="str">
            <v>CT125</v>
          </cell>
          <cell r="C888" t="str">
            <v>MUTI BATANGAS</v>
          </cell>
          <cell r="D888">
            <v>1</v>
          </cell>
        </row>
        <row r="889">
          <cell r="B889" t="str">
            <v>CT125</v>
          </cell>
          <cell r="C889" t="str">
            <v>MUTI BUTUAN</v>
          </cell>
          <cell r="D889">
            <v>7</v>
          </cell>
        </row>
        <row r="890">
          <cell r="B890" t="str">
            <v>CT125</v>
          </cell>
          <cell r="C890" t="str">
            <v>MUTI DIGOS</v>
          </cell>
          <cell r="D890">
            <v>4</v>
          </cell>
        </row>
        <row r="891">
          <cell r="B891" t="str">
            <v>CT125</v>
          </cell>
          <cell r="C891" t="str">
            <v>MUTI DON CARLOS</v>
          </cell>
          <cell r="D891">
            <v>3</v>
          </cell>
        </row>
        <row r="892">
          <cell r="B892" t="str">
            <v>CT125</v>
          </cell>
          <cell r="C892" t="str">
            <v>MUTI ECOLAND</v>
          </cell>
          <cell r="D892">
            <v>1</v>
          </cell>
        </row>
        <row r="893">
          <cell r="B893" t="str">
            <v>CT125</v>
          </cell>
          <cell r="C893" t="str">
            <v>MUTI ISULAN</v>
          </cell>
          <cell r="D893">
            <v>14</v>
          </cell>
        </row>
        <row r="894">
          <cell r="B894" t="str">
            <v>CT125</v>
          </cell>
          <cell r="C894" t="str">
            <v>MUTI KABACAN</v>
          </cell>
          <cell r="D894">
            <v>6</v>
          </cell>
        </row>
        <row r="895">
          <cell r="B895" t="str">
            <v>CT125</v>
          </cell>
          <cell r="C895" t="str">
            <v>MUTI KIDAPAWAN</v>
          </cell>
          <cell r="D895">
            <v>1</v>
          </cell>
        </row>
        <row r="896">
          <cell r="B896" t="str">
            <v>CT125</v>
          </cell>
          <cell r="C896" t="str">
            <v>MUTI LAPASAN</v>
          </cell>
          <cell r="D896">
            <v>8</v>
          </cell>
        </row>
        <row r="897">
          <cell r="B897" t="str">
            <v>CT125</v>
          </cell>
          <cell r="C897" t="str">
            <v>MUTI MALUNGON</v>
          </cell>
          <cell r="D897">
            <v>1</v>
          </cell>
        </row>
        <row r="898">
          <cell r="B898" t="str">
            <v>CT125</v>
          </cell>
          <cell r="C898" t="str">
            <v>MUTI MANOLO</v>
          </cell>
          <cell r="D898">
            <v>3</v>
          </cell>
        </row>
        <row r="899">
          <cell r="B899" t="str">
            <v>CT125</v>
          </cell>
          <cell r="C899" t="str">
            <v>MUTI MARBEL-MC</v>
          </cell>
          <cell r="D899">
            <v>8</v>
          </cell>
        </row>
        <row r="900">
          <cell r="B900" t="str">
            <v>CT125</v>
          </cell>
          <cell r="C900" t="str">
            <v>MUTI MIDSAYAP</v>
          </cell>
          <cell r="D900">
            <v>1</v>
          </cell>
        </row>
        <row r="901">
          <cell r="B901" t="str">
            <v>CT125</v>
          </cell>
          <cell r="C901" t="str">
            <v>MUTI MLANG</v>
          </cell>
          <cell r="D901">
            <v>17</v>
          </cell>
        </row>
        <row r="902">
          <cell r="B902" t="str">
            <v>CT125</v>
          </cell>
          <cell r="C902" t="str">
            <v>MUTI NABUNTURAN</v>
          </cell>
          <cell r="D902">
            <v>3</v>
          </cell>
        </row>
        <row r="903">
          <cell r="B903" t="str">
            <v>CT125</v>
          </cell>
          <cell r="C903" t="str">
            <v>MUTI POLOMOLOK</v>
          </cell>
          <cell r="D903">
            <v>5</v>
          </cell>
        </row>
        <row r="904">
          <cell r="B904" t="str">
            <v>CT125</v>
          </cell>
          <cell r="C904" t="str">
            <v>MUTI QUEZON</v>
          </cell>
          <cell r="D904">
            <v>5</v>
          </cell>
        </row>
        <row r="905">
          <cell r="B905" t="str">
            <v>CT125</v>
          </cell>
          <cell r="C905" t="str">
            <v>MUTI SAN FRANCISCO</v>
          </cell>
          <cell r="D905">
            <v>4</v>
          </cell>
        </row>
        <row r="906">
          <cell r="B906" t="str">
            <v>CT125</v>
          </cell>
          <cell r="C906" t="str">
            <v>MUTI STO. TOMAS</v>
          </cell>
          <cell r="D906">
            <v>1</v>
          </cell>
        </row>
        <row r="907">
          <cell r="B907" t="str">
            <v>CT125</v>
          </cell>
          <cell r="C907" t="str">
            <v>MUTI SURALLAH</v>
          </cell>
          <cell r="D907">
            <v>7</v>
          </cell>
        </row>
        <row r="908">
          <cell r="B908" t="str">
            <v>CT125</v>
          </cell>
          <cell r="C908" t="str">
            <v>MUTI SURIGAO</v>
          </cell>
          <cell r="D908">
            <v>5</v>
          </cell>
        </row>
        <row r="909">
          <cell r="B909" t="str">
            <v>CT125</v>
          </cell>
          <cell r="C909" t="str">
            <v>MUTI TACURONG</v>
          </cell>
          <cell r="D909">
            <v>3</v>
          </cell>
        </row>
        <row r="910">
          <cell r="B910" t="str">
            <v>CT125</v>
          </cell>
          <cell r="C910" t="str">
            <v>MUTI TIBUNGCO</v>
          </cell>
          <cell r="D910">
            <v>3</v>
          </cell>
        </row>
        <row r="911">
          <cell r="B911" t="str">
            <v>CT125</v>
          </cell>
          <cell r="C911" t="str">
            <v>MUTI TUPI</v>
          </cell>
          <cell r="D911">
            <v>5</v>
          </cell>
        </row>
        <row r="912">
          <cell r="B912" t="str">
            <v>CT125</v>
          </cell>
          <cell r="C912" t="str">
            <v>MUTI VALENCIA</v>
          </cell>
          <cell r="D912">
            <v>12</v>
          </cell>
        </row>
        <row r="913">
          <cell r="B913" t="str">
            <v>CT125</v>
          </cell>
          <cell r="C913" t="str">
            <v>MUTI 3S</v>
          </cell>
          <cell r="D913">
            <v>4</v>
          </cell>
        </row>
        <row r="914">
          <cell r="B914" t="str">
            <v>CT125</v>
          </cell>
          <cell r="C914" t="str">
            <v>MUTI BAYUGAN</v>
          </cell>
          <cell r="D914">
            <v>3</v>
          </cell>
        </row>
        <row r="915">
          <cell r="B915" t="str">
            <v>CT125</v>
          </cell>
          <cell r="C915" t="str">
            <v>MUTI CABADBARAN</v>
          </cell>
          <cell r="D915">
            <v>3</v>
          </cell>
        </row>
        <row r="916">
          <cell r="B916" t="str">
            <v>CT125</v>
          </cell>
          <cell r="C916" t="str">
            <v>MUTI CABANTIAN</v>
          </cell>
          <cell r="D916">
            <v>7</v>
          </cell>
        </row>
        <row r="917">
          <cell r="B917" t="str">
            <v>CT125</v>
          </cell>
          <cell r="C917" t="str">
            <v>MUTI CALINAN</v>
          </cell>
          <cell r="D917">
            <v>5</v>
          </cell>
        </row>
        <row r="918">
          <cell r="B918" t="str">
            <v>CT125</v>
          </cell>
          <cell r="C918" t="str">
            <v>MUTI CATALUNAN GRANDE</v>
          </cell>
          <cell r="D918">
            <v>7</v>
          </cell>
        </row>
        <row r="919">
          <cell r="B919" t="str">
            <v>CT125</v>
          </cell>
          <cell r="C919" t="str">
            <v>MUTI OZAMIZ</v>
          </cell>
          <cell r="D919">
            <v>1</v>
          </cell>
        </row>
        <row r="920">
          <cell r="B920" t="str">
            <v>CT125</v>
          </cell>
          <cell r="C920" t="str">
            <v>MUTI PANABO</v>
          </cell>
          <cell r="D920">
            <v>11</v>
          </cell>
        </row>
        <row r="921">
          <cell r="B921" t="str">
            <v>CT125</v>
          </cell>
          <cell r="C921" t="str">
            <v>MUTI PROSPERIDAD</v>
          </cell>
          <cell r="D921">
            <v>4</v>
          </cell>
        </row>
        <row r="922">
          <cell r="B922" t="str">
            <v>CT125</v>
          </cell>
          <cell r="C922" t="str">
            <v>MUTI TAGUM 1</v>
          </cell>
          <cell r="D922">
            <v>9</v>
          </cell>
        </row>
        <row r="923">
          <cell r="B923" t="str">
            <v>CT125</v>
          </cell>
          <cell r="C923" t="str">
            <v>MUTI TAGUM 2</v>
          </cell>
          <cell r="D923">
            <v>9</v>
          </cell>
        </row>
        <row r="924">
          <cell r="B924" t="str">
            <v>CT125</v>
          </cell>
          <cell r="C924" t="str">
            <v>MUTI TAGUM 3</v>
          </cell>
          <cell r="D924">
            <v>5</v>
          </cell>
        </row>
        <row r="925">
          <cell r="B925" t="str">
            <v>CT125</v>
          </cell>
          <cell r="C925" t="str">
            <v>GREATWALL</v>
          </cell>
          <cell r="D925">
            <v>2</v>
          </cell>
        </row>
        <row r="926">
          <cell r="B926" t="str">
            <v>CT100</v>
          </cell>
          <cell r="C926" t="str">
            <v>GREATWALL</v>
          </cell>
          <cell r="D926">
            <v>3</v>
          </cell>
        </row>
        <row r="927">
          <cell r="B927" t="str">
            <v>CT100</v>
          </cell>
          <cell r="C927" t="str">
            <v>MUTI KIDAPAWAN</v>
          </cell>
          <cell r="D927">
            <v>1</v>
          </cell>
        </row>
        <row r="928">
          <cell r="B928" t="str">
            <v>CT100</v>
          </cell>
          <cell r="C928" t="str">
            <v>MUTI LAPASAN</v>
          </cell>
          <cell r="D928">
            <v>1</v>
          </cell>
        </row>
        <row r="929">
          <cell r="B929" t="str">
            <v>CT100</v>
          </cell>
          <cell r="C929" t="str">
            <v>MUTI SURALLAH</v>
          </cell>
          <cell r="D929">
            <v>1</v>
          </cell>
        </row>
        <row r="930">
          <cell r="B930" t="str">
            <v>CT100</v>
          </cell>
          <cell r="C930" t="str">
            <v>MUTI CATALUNAN GRANDE</v>
          </cell>
          <cell r="D930">
            <v>1</v>
          </cell>
        </row>
        <row r="931">
          <cell r="B931" t="str">
            <v>CT100B</v>
          </cell>
          <cell r="C931" t="str">
            <v>GREATWALL</v>
          </cell>
          <cell r="D931">
            <v>2</v>
          </cell>
        </row>
        <row r="932">
          <cell r="B932" t="str">
            <v>CT100B</v>
          </cell>
          <cell r="C932" t="str">
            <v>MUTI ISULAN</v>
          </cell>
          <cell r="D932">
            <v>4</v>
          </cell>
        </row>
        <row r="933">
          <cell r="B933" t="str">
            <v>CT100B</v>
          </cell>
          <cell r="C933" t="str">
            <v>MUTI KABACAN</v>
          </cell>
          <cell r="D933">
            <v>1</v>
          </cell>
        </row>
        <row r="934">
          <cell r="B934" t="str">
            <v>CT100B</v>
          </cell>
          <cell r="C934" t="str">
            <v>MUTI MLANG</v>
          </cell>
          <cell r="D934">
            <v>1</v>
          </cell>
        </row>
        <row r="935">
          <cell r="B935" t="str">
            <v>CT100B</v>
          </cell>
          <cell r="C935" t="str">
            <v>MUTI SURALLAH</v>
          </cell>
          <cell r="D935">
            <v>1</v>
          </cell>
        </row>
        <row r="936">
          <cell r="B936" t="str">
            <v>CT100B</v>
          </cell>
          <cell r="C936" t="str">
            <v>MUTI 3S</v>
          </cell>
          <cell r="D936">
            <v>1</v>
          </cell>
        </row>
        <row r="937">
          <cell r="B937" t="str">
            <v>CT100B</v>
          </cell>
          <cell r="C937" t="str">
            <v>MUTI BULUA</v>
          </cell>
          <cell r="D937">
            <v>1</v>
          </cell>
        </row>
        <row r="938">
          <cell r="B938" t="str">
            <v>CT100B</v>
          </cell>
          <cell r="C938" t="str">
            <v>MUTI CALINAN</v>
          </cell>
          <cell r="D938">
            <v>1</v>
          </cell>
        </row>
        <row r="939">
          <cell r="B939" t="str">
            <v>CT100B</v>
          </cell>
          <cell r="C939" t="str">
            <v>MUTI CATALUNAN GRANDE</v>
          </cell>
          <cell r="D939">
            <v>1</v>
          </cell>
        </row>
        <row r="940">
          <cell r="B940" t="str">
            <v>CT100B</v>
          </cell>
          <cell r="C940" t="str">
            <v>MUTI SAMAL</v>
          </cell>
          <cell r="D940">
            <v>2</v>
          </cell>
        </row>
        <row r="941">
          <cell r="B941" t="str">
            <v>CT100B</v>
          </cell>
          <cell r="C941" t="str">
            <v>GREATWALL</v>
          </cell>
          <cell r="D941">
            <v>12</v>
          </cell>
        </row>
        <row r="942">
          <cell r="B942" t="str">
            <v>CT100B</v>
          </cell>
          <cell r="C942" t="str">
            <v>MUTI ECOLAND</v>
          </cell>
          <cell r="D942">
            <v>1</v>
          </cell>
        </row>
        <row r="943">
          <cell r="B943" t="str">
            <v>CT100B</v>
          </cell>
          <cell r="C943" t="str">
            <v>MUTI ISULAN</v>
          </cell>
          <cell r="D943">
            <v>5</v>
          </cell>
        </row>
        <row r="944">
          <cell r="B944" t="str">
            <v>CT100B</v>
          </cell>
          <cell r="C944" t="str">
            <v>MUTI MARBEL-MC</v>
          </cell>
          <cell r="D944">
            <v>2</v>
          </cell>
        </row>
        <row r="945">
          <cell r="B945" t="str">
            <v>CT100B</v>
          </cell>
          <cell r="C945" t="str">
            <v>MUTI QUEZON</v>
          </cell>
          <cell r="D945">
            <v>1</v>
          </cell>
        </row>
        <row r="946">
          <cell r="B946" t="str">
            <v>CT100B</v>
          </cell>
          <cell r="C946" t="str">
            <v>MUTI SURALLAH</v>
          </cell>
          <cell r="D946">
            <v>2</v>
          </cell>
        </row>
        <row r="947">
          <cell r="B947" t="str">
            <v>CT100B</v>
          </cell>
          <cell r="C947" t="str">
            <v>MUTI TACURONG</v>
          </cell>
          <cell r="D947">
            <v>2</v>
          </cell>
        </row>
        <row r="948">
          <cell r="B948" t="str">
            <v>CT100B</v>
          </cell>
          <cell r="C948" t="str">
            <v>MUTI TIBUNGCO</v>
          </cell>
          <cell r="D948">
            <v>1</v>
          </cell>
        </row>
        <row r="949">
          <cell r="B949" t="str">
            <v>CT100B</v>
          </cell>
          <cell r="C949" t="str">
            <v>GREATWALL</v>
          </cell>
          <cell r="D949">
            <v>1</v>
          </cell>
        </row>
        <row r="950">
          <cell r="B950" t="str">
            <v>BARAKO II (DUAL START)</v>
          </cell>
          <cell r="C950" t="str">
            <v>MUTI DIGOS</v>
          </cell>
          <cell r="D950">
            <v>1</v>
          </cell>
        </row>
        <row r="951">
          <cell r="B951" t="str">
            <v>BARAKO III FI(KICK START)</v>
          </cell>
          <cell r="C951" t="str">
            <v>MUTI KIDAPAWAN</v>
          </cell>
          <cell r="D951">
            <v>1</v>
          </cell>
        </row>
        <row r="952">
          <cell r="B952" t="str">
            <v>BARAKO III FI(DUAL START)</v>
          </cell>
          <cell r="C952" t="str">
            <v>MUTI MARAMAG</v>
          </cell>
          <cell r="D952">
            <v>1</v>
          </cell>
        </row>
        <row r="953">
          <cell r="B953" t="str">
            <v>BARAKO III FI(DUAL START)</v>
          </cell>
          <cell r="C953" t="str">
            <v>MUTI PANABO</v>
          </cell>
          <cell r="D953">
            <v>1</v>
          </cell>
        </row>
        <row r="954">
          <cell r="B954" t="str">
            <v>BARAKO III FI(DUAL START)</v>
          </cell>
          <cell r="C954" t="str">
            <v>MUTI PROSPERIDAD</v>
          </cell>
          <cell r="D954">
            <v>1</v>
          </cell>
        </row>
        <row r="955">
          <cell r="B955" t="str">
            <v>W175</v>
          </cell>
          <cell r="C955" t="str">
            <v>MUTI TUPI</v>
          </cell>
          <cell r="D955">
            <v>1</v>
          </cell>
        </row>
        <row r="956">
          <cell r="B956" t="str">
            <v>CT100</v>
          </cell>
          <cell r="C956" t="str">
            <v>GREATWALL</v>
          </cell>
          <cell r="D956">
            <v>75</v>
          </cell>
        </row>
        <row r="957">
          <cell r="B957" t="str">
            <v>CT100</v>
          </cell>
          <cell r="C957" t="str">
            <v>MUTI ALABEL</v>
          </cell>
          <cell r="D957">
            <v>2</v>
          </cell>
        </row>
        <row r="958">
          <cell r="B958" t="str">
            <v>CT100</v>
          </cell>
          <cell r="C958" t="str">
            <v>MUTI BANGA</v>
          </cell>
          <cell r="D958">
            <v>1</v>
          </cell>
        </row>
        <row r="959">
          <cell r="B959" t="str">
            <v>CT100</v>
          </cell>
          <cell r="C959" t="str">
            <v>MUTI BUTUAN</v>
          </cell>
          <cell r="D959">
            <v>1</v>
          </cell>
        </row>
        <row r="960">
          <cell r="B960" t="str">
            <v>CT100</v>
          </cell>
          <cell r="C960" t="str">
            <v>MUTI DIGOS</v>
          </cell>
          <cell r="D960">
            <v>2</v>
          </cell>
        </row>
        <row r="961">
          <cell r="B961" t="str">
            <v>CT100</v>
          </cell>
          <cell r="C961" t="str">
            <v>MUTI DON CARLOS</v>
          </cell>
          <cell r="D961">
            <v>3</v>
          </cell>
        </row>
        <row r="962">
          <cell r="B962" t="str">
            <v>CT100</v>
          </cell>
          <cell r="C962" t="str">
            <v>MUTI ECOLAND</v>
          </cell>
          <cell r="D962">
            <v>2</v>
          </cell>
        </row>
        <row r="963">
          <cell r="B963" t="str">
            <v>CT100</v>
          </cell>
          <cell r="C963" t="str">
            <v>MUTI ISULAN</v>
          </cell>
          <cell r="D963">
            <v>6</v>
          </cell>
        </row>
        <row r="964">
          <cell r="B964" t="str">
            <v>CT100</v>
          </cell>
          <cell r="C964" t="str">
            <v>MUTI KABACAN</v>
          </cell>
          <cell r="D964">
            <v>7</v>
          </cell>
        </row>
        <row r="965">
          <cell r="B965" t="str">
            <v>CT100</v>
          </cell>
          <cell r="C965" t="str">
            <v>MUTI MALUNGON</v>
          </cell>
          <cell r="D965">
            <v>2</v>
          </cell>
        </row>
        <row r="966">
          <cell r="B966" t="str">
            <v>CT100</v>
          </cell>
          <cell r="C966" t="str">
            <v>MUTI MANOLO</v>
          </cell>
          <cell r="D966">
            <v>6</v>
          </cell>
        </row>
        <row r="967">
          <cell r="B967" t="str">
            <v>CT100</v>
          </cell>
          <cell r="C967" t="str">
            <v>MUTI MARAMAG</v>
          </cell>
          <cell r="D967">
            <v>1</v>
          </cell>
        </row>
        <row r="968">
          <cell r="B968" t="str">
            <v>CT100</v>
          </cell>
          <cell r="C968" t="str">
            <v>MUTI MIDSAYAP</v>
          </cell>
          <cell r="D968">
            <v>1</v>
          </cell>
        </row>
        <row r="969">
          <cell r="B969" t="str">
            <v>CT100</v>
          </cell>
          <cell r="C969" t="str">
            <v>MUTI MLANG</v>
          </cell>
          <cell r="D969">
            <v>4</v>
          </cell>
        </row>
        <row r="970">
          <cell r="B970" t="str">
            <v>CT100</v>
          </cell>
          <cell r="C970" t="str">
            <v>MUTI NABUNTURAN</v>
          </cell>
          <cell r="D970">
            <v>2</v>
          </cell>
        </row>
        <row r="971">
          <cell r="B971" t="str">
            <v>CT100</v>
          </cell>
          <cell r="C971" t="str">
            <v>MUTI SURALLAH</v>
          </cell>
          <cell r="D971">
            <v>9</v>
          </cell>
        </row>
        <row r="972">
          <cell r="B972" t="str">
            <v>CT100</v>
          </cell>
          <cell r="C972" t="str">
            <v>MUTI SURIGAO</v>
          </cell>
          <cell r="D972">
            <v>1</v>
          </cell>
        </row>
        <row r="973">
          <cell r="B973" t="str">
            <v>CT100</v>
          </cell>
          <cell r="C973" t="str">
            <v>MUTI TACURONG</v>
          </cell>
          <cell r="D973">
            <v>1</v>
          </cell>
        </row>
        <row r="974">
          <cell r="B974" t="str">
            <v>CT100</v>
          </cell>
          <cell r="C974" t="str">
            <v>MUTI TUPI</v>
          </cell>
          <cell r="D974">
            <v>1</v>
          </cell>
        </row>
        <row r="975">
          <cell r="B975" t="str">
            <v>CT100</v>
          </cell>
          <cell r="C975" t="str">
            <v>MUTI VALENCIA</v>
          </cell>
          <cell r="D975">
            <v>3</v>
          </cell>
        </row>
        <row r="976">
          <cell r="B976" t="str">
            <v>CT100</v>
          </cell>
          <cell r="C976" t="str">
            <v>MUTI BAYUGAN</v>
          </cell>
          <cell r="D976">
            <v>1</v>
          </cell>
        </row>
        <row r="977">
          <cell r="B977" t="str">
            <v>CT100</v>
          </cell>
          <cell r="C977" t="str">
            <v>MUTI BULUA</v>
          </cell>
          <cell r="D977">
            <v>1</v>
          </cell>
        </row>
        <row r="978">
          <cell r="B978" t="str">
            <v>CT100</v>
          </cell>
          <cell r="C978" t="str">
            <v>MUTI CABADBARAN</v>
          </cell>
          <cell r="D978">
            <v>1</v>
          </cell>
        </row>
        <row r="979">
          <cell r="B979" t="str">
            <v>CT100</v>
          </cell>
          <cell r="C979" t="str">
            <v>MUTI CABANTIAN</v>
          </cell>
          <cell r="D979">
            <v>1</v>
          </cell>
        </row>
        <row r="980">
          <cell r="B980" t="str">
            <v>CT100</v>
          </cell>
          <cell r="C980" t="str">
            <v>MUTI CALINAN</v>
          </cell>
          <cell r="D980">
            <v>2</v>
          </cell>
        </row>
        <row r="981">
          <cell r="B981" t="str">
            <v>CT100</v>
          </cell>
          <cell r="C981" t="str">
            <v>MUTI CATALUNAN GRANDE</v>
          </cell>
          <cell r="D981">
            <v>1</v>
          </cell>
        </row>
        <row r="982">
          <cell r="B982" t="str">
            <v>CT100</v>
          </cell>
          <cell r="C982" t="str">
            <v>MUTI PROSPERIDAD</v>
          </cell>
          <cell r="D982">
            <v>1</v>
          </cell>
        </row>
        <row r="983">
          <cell r="B983" t="str">
            <v>CT100</v>
          </cell>
          <cell r="C983" t="str">
            <v>MUTI TAGUM 3</v>
          </cell>
          <cell r="D983">
            <v>1</v>
          </cell>
        </row>
        <row r="984">
          <cell r="B984" t="str">
            <v>CT100</v>
          </cell>
          <cell r="C984" t="str">
            <v>GREATWALL</v>
          </cell>
          <cell r="D984">
            <v>1</v>
          </cell>
        </row>
        <row r="985">
          <cell r="B985" t="str">
            <v>KLX150</v>
          </cell>
          <cell r="C985" t="str">
            <v>MUTI MALUNGON</v>
          </cell>
          <cell r="D985">
            <v>1</v>
          </cell>
        </row>
        <row r="986">
          <cell r="B986" t="str">
            <v>BRUSKY125</v>
          </cell>
          <cell r="C986" t="str">
            <v>MUTI MALUNGON</v>
          </cell>
          <cell r="D986">
            <v>1</v>
          </cell>
        </row>
        <row r="987">
          <cell r="B987" t="str">
            <v>BRUSKY125</v>
          </cell>
          <cell r="C987" t="str">
            <v>MUTI MALUNGON</v>
          </cell>
          <cell r="D987">
            <v>1</v>
          </cell>
        </row>
        <row r="988">
          <cell r="B988" t="str">
            <v>BRUSKY125</v>
          </cell>
          <cell r="C988" t="str">
            <v>MUTI NABUNTURAN</v>
          </cell>
          <cell r="D988">
            <v>2</v>
          </cell>
        </row>
        <row r="989">
          <cell r="B989" t="str">
            <v>BRUSKY125</v>
          </cell>
          <cell r="C989" t="str">
            <v>MUTI TACURONG</v>
          </cell>
          <cell r="D989">
            <v>1</v>
          </cell>
        </row>
        <row r="990">
          <cell r="B990" t="str">
            <v>BRUSKY125</v>
          </cell>
          <cell r="C990" t="str">
            <v>MUTI 3S</v>
          </cell>
          <cell r="D990">
            <v>1</v>
          </cell>
        </row>
        <row r="991">
          <cell r="B991" t="str">
            <v>BRUSKY125</v>
          </cell>
          <cell r="C991" t="str">
            <v>MUTI KIDAPAWAN</v>
          </cell>
          <cell r="D991">
            <v>1</v>
          </cell>
        </row>
        <row r="992">
          <cell r="B992" t="str">
            <v>BARAKO II (KICK START)</v>
          </cell>
          <cell r="C992" t="str">
            <v>GREATWALL</v>
          </cell>
          <cell r="D992">
            <v>3</v>
          </cell>
        </row>
        <row r="993">
          <cell r="B993" t="str">
            <v>BARAKO II (KICK START)</v>
          </cell>
          <cell r="C993" t="str">
            <v>MUTI BATANGAS</v>
          </cell>
          <cell r="D993">
            <v>1</v>
          </cell>
        </row>
        <row r="994">
          <cell r="B994" t="str">
            <v>BARAKO II (KICK START)</v>
          </cell>
          <cell r="C994" t="str">
            <v>MUTI CALAMBA</v>
          </cell>
          <cell r="D994">
            <v>1</v>
          </cell>
        </row>
        <row r="995">
          <cell r="B995" t="str">
            <v>BARAKO II (KICK START)</v>
          </cell>
          <cell r="C995" t="str">
            <v>MUTI ECOLAND</v>
          </cell>
          <cell r="D995">
            <v>1</v>
          </cell>
        </row>
        <row r="996">
          <cell r="B996" t="str">
            <v>BARAKO II (KICK START)</v>
          </cell>
          <cell r="C996" t="str">
            <v>MUTI ISULAN</v>
          </cell>
          <cell r="D996">
            <v>2</v>
          </cell>
        </row>
        <row r="997">
          <cell r="B997" t="str">
            <v>BARAKO II (KICK START)</v>
          </cell>
          <cell r="C997" t="str">
            <v>MUTI KIDAPAWAN</v>
          </cell>
          <cell r="D997">
            <v>6</v>
          </cell>
        </row>
        <row r="998">
          <cell r="B998" t="str">
            <v>BARAKO II (KICK START)</v>
          </cell>
          <cell r="C998" t="str">
            <v>MUTI MALUNGON</v>
          </cell>
          <cell r="D998">
            <v>1</v>
          </cell>
        </row>
        <row r="999">
          <cell r="B999" t="str">
            <v>BARAKO II (KICK START)</v>
          </cell>
          <cell r="C999" t="str">
            <v>MUTI MARAMAG</v>
          </cell>
          <cell r="D999">
            <v>2</v>
          </cell>
        </row>
        <row r="1000">
          <cell r="B1000" t="str">
            <v>BARAKO II (KICK START)</v>
          </cell>
          <cell r="C1000" t="str">
            <v>MUTI MLANG</v>
          </cell>
          <cell r="D1000">
            <v>5</v>
          </cell>
        </row>
        <row r="1001">
          <cell r="B1001" t="str">
            <v>BARAKO II (KICK START)</v>
          </cell>
          <cell r="C1001" t="str">
            <v>MUTI QUEZON</v>
          </cell>
          <cell r="D1001">
            <v>1</v>
          </cell>
        </row>
        <row r="1002">
          <cell r="B1002" t="str">
            <v>BARAKO II (KICK START)</v>
          </cell>
          <cell r="C1002" t="str">
            <v>MUTI STO. TOMAS</v>
          </cell>
          <cell r="D1002">
            <v>5</v>
          </cell>
        </row>
        <row r="1003">
          <cell r="B1003" t="str">
            <v>BARAKO II (KICK START)</v>
          </cell>
          <cell r="C1003" t="str">
            <v>MUTI CABANTIAN</v>
          </cell>
          <cell r="D1003">
            <v>2</v>
          </cell>
        </row>
        <row r="1004">
          <cell r="B1004" t="str">
            <v>BARAKO II (KICK START)</v>
          </cell>
          <cell r="C1004" t="str">
            <v>MUTI CALINAN</v>
          </cell>
          <cell r="D1004">
            <v>3</v>
          </cell>
        </row>
        <row r="1005">
          <cell r="B1005" t="str">
            <v>BARAKO II (KICK START)</v>
          </cell>
          <cell r="C1005" t="str">
            <v>GREATWALL</v>
          </cell>
          <cell r="D1005">
            <v>1</v>
          </cell>
        </row>
        <row r="1006">
          <cell r="B1006" t="str">
            <v>BARAKO II (DUAL START)</v>
          </cell>
          <cell r="C1006" t="str">
            <v>GREATWALL</v>
          </cell>
          <cell r="D1006">
            <v>64</v>
          </cell>
        </row>
        <row r="1007">
          <cell r="B1007" t="str">
            <v>BARAKO II (DUAL START)</v>
          </cell>
          <cell r="C1007" t="str">
            <v>MUTI BANSALAN</v>
          </cell>
          <cell r="D1007">
            <v>2</v>
          </cell>
        </row>
        <row r="1008">
          <cell r="B1008" t="str">
            <v>BARAKO II (DUAL START)</v>
          </cell>
          <cell r="C1008" t="str">
            <v>MUTI BATANGAS</v>
          </cell>
          <cell r="D1008">
            <v>5</v>
          </cell>
        </row>
        <row r="1009">
          <cell r="B1009" t="str">
            <v>BARAKO II (DUAL START)</v>
          </cell>
          <cell r="C1009" t="str">
            <v>MUTI DIGOS</v>
          </cell>
          <cell r="D1009">
            <v>2</v>
          </cell>
        </row>
        <row r="1010">
          <cell r="B1010" t="str">
            <v>BARAKO II (DUAL START)</v>
          </cell>
          <cell r="C1010" t="str">
            <v>MUTI ECOLAND</v>
          </cell>
          <cell r="D1010">
            <v>1</v>
          </cell>
        </row>
        <row r="1011">
          <cell r="B1011" t="str">
            <v>BARAKO II (DUAL START)</v>
          </cell>
          <cell r="C1011" t="str">
            <v>MUTI KABACAN</v>
          </cell>
          <cell r="D1011">
            <v>1</v>
          </cell>
        </row>
        <row r="1012">
          <cell r="B1012" t="str">
            <v>BARAKO II (DUAL START)</v>
          </cell>
          <cell r="C1012" t="str">
            <v>MUTI KIDAPAWAN</v>
          </cell>
          <cell r="D1012">
            <v>1</v>
          </cell>
        </row>
        <row r="1013">
          <cell r="B1013" t="str">
            <v>BARAKO II (DUAL START)</v>
          </cell>
          <cell r="C1013" t="str">
            <v>MUTI MARBEL-MC</v>
          </cell>
          <cell r="D1013">
            <v>1</v>
          </cell>
        </row>
        <row r="1014">
          <cell r="B1014" t="str">
            <v>BARAKO II (DUAL START)</v>
          </cell>
          <cell r="C1014" t="str">
            <v>MUTI MIDSAYAP</v>
          </cell>
          <cell r="D1014">
            <v>2</v>
          </cell>
        </row>
        <row r="1015">
          <cell r="B1015" t="str">
            <v>BARAKO II (DUAL START)</v>
          </cell>
          <cell r="C1015" t="str">
            <v>MUTI MLANG</v>
          </cell>
          <cell r="D1015">
            <v>2</v>
          </cell>
        </row>
        <row r="1016">
          <cell r="B1016" t="str">
            <v>BARAKO II (DUAL START)</v>
          </cell>
          <cell r="C1016" t="str">
            <v>MUTI STO. TOMAS</v>
          </cell>
          <cell r="D1016">
            <v>10</v>
          </cell>
        </row>
        <row r="1017">
          <cell r="B1017" t="str">
            <v>BARAKO II (DUAL START)</v>
          </cell>
          <cell r="C1017" t="str">
            <v>MUTI 3S</v>
          </cell>
          <cell r="D1017">
            <v>1</v>
          </cell>
        </row>
        <row r="1018">
          <cell r="B1018" t="str">
            <v>BARAKO II (DUAL START)</v>
          </cell>
          <cell r="C1018" t="str">
            <v>MUTI CALINAN</v>
          </cell>
          <cell r="D1018">
            <v>3</v>
          </cell>
        </row>
        <row r="1019">
          <cell r="B1019" t="str">
            <v>BARAKO II (DUAL START)</v>
          </cell>
          <cell r="C1019" t="str">
            <v>MUTI PANABO</v>
          </cell>
          <cell r="D1019">
            <v>3</v>
          </cell>
        </row>
        <row r="1020">
          <cell r="B1020" t="str">
            <v>BARAKO III FI(DUAL START)</v>
          </cell>
          <cell r="C1020" t="str">
            <v>GREATWALL</v>
          </cell>
          <cell r="D1020">
            <v>26</v>
          </cell>
        </row>
        <row r="1021">
          <cell r="B1021" t="str">
            <v>BARAKO III FI(DUAL START)</v>
          </cell>
          <cell r="C1021" t="str">
            <v>MUTI BATANGAS</v>
          </cell>
          <cell r="D1021">
            <v>3</v>
          </cell>
        </row>
        <row r="1022">
          <cell r="B1022" t="str">
            <v>BARAKO III FI(DUAL START)</v>
          </cell>
          <cell r="C1022" t="str">
            <v>MUTI CALAMBA</v>
          </cell>
          <cell r="D1022">
            <v>1</v>
          </cell>
        </row>
        <row r="1023">
          <cell r="B1023" t="str">
            <v>BARAKO III FI(DUAL START)</v>
          </cell>
          <cell r="C1023" t="str">
            <v>MUTI STO. TOMAS</v>
          </cell>
          <cell r="D1023">
            <v>1</v>
          </cell>
        </row>
        <row r="1024">
          <cell r="B1024" t="str">
            <v>BARAKO III FI(DUAL START)</v>
          </cell>
          <cell r="C1024" t="str">
            <v>MUTI SURALLAH</v>
          </cell>
          <cell r="D1024">
            <v>2</v>
          </cell>
        </row>
        <row r="1025">
          <cell r="B1025" t="str">
            <v>BARAKO III FI(DUAL START)</v>
          </cell>
          <cell r="C1025" t="str">
            <v>MUTI SURIGAO</v>
          </cell>
          <cell r="D1025">
            <v>3</v>
          </cell>
        </row>
        <row r="1026">
          <cell r="B1026" t="str">
            <v>KLX300</v>
          </cell>
          <cell r="C1026" t="str">
            <v>MUTI DIGOS</v>
          </cell>
          <cell r="D1026">
            <v>1</v>
          </cell>
        </row>
        <row r="1027">
          <cell r="B1027" t="str">
            <v>KLX150</v>
          </cell>
          <cell r="C1027" t="str">
            <v>MUTI BUTUAN</v>
          </cell>
          <cell r="D1027">
            <v>1</v>
          </cell>
        </row>
        <row r="1028">
          <cell r="B1028" t="str">
            <v>KLX150</v>
          </cell>
          <cell r="C1028" t="str">
            <v>MUTI STO. TOMAS</v>
          </cell>
          <cell r="D1028">
            <v>1</v>
          </cell>
        </row>
        <row r="1029">
          <cell r="B1029" t="str">
            <v>KLX150</v>
          </cell>
          <cell r="C1029" t="str">
            <v>MUTI SURIGAO</v>
          </cell>
          <cell r="D1029">
            <v>1</v>
          </cell>
        </row>
        <row r="1030">
          <cell r="B1030" t="str">
            <v>KLX150</v>
          </cell>
          <cell r="C1030" t="str">
            <v>MUTI CABANTIAN</v>
          </cell>
          <cell r="D1030">
            <v>1</v>
          </cell>
        </row>
        <row r="1031">
          <cell r="B1031" t="str">
            <v>KLX150</v>
          </cell>
          <cell r="C1031" t="str">
            <v>MUTI SAMAL</v>
          </cell>
          <cell r="D1031">
            <v>1</v>
          </cell>
        </row>
        <row r="1032">
          <cell r="B1032" t="str">
            <v>KLX150</v>
          </cell>
          <cell r="C1032" t="str">
            <v>MUTI TAGUM 3</v>
          </cell>
          <cell r="D1032">
            <v>1</v>
          </cell>
        </row>
        <row r="1033">
          <cell r="B1033" t="str">
            <v>BRUSKY125</v>
          </cell>
          <cell r="C1033" t="str">
            <v>MUTI STO. TOMAS</v>
          </cell>
          <cell r="D1033">
            <v>1</v>
          </cell>
        </row>
        <row r="1034">
          <cell r="B1034" t="str">
            <v>BRUSKY125</v>
          </cell>
          <cell r="C1034" t="str">
            <v>MUTI STO. TOMAS</v>
          </cell>
          <cell r="D1034">
            <v>1</v>
          </cell>
        </row>
        <row r="1035">
          <cell r="B1035" t="str">
            <v>BRUSKY125</v>
          </cell>
          <cell r="C1035" t="str">
            <v>MUTI STO. TOMAS</v>
          </cell>
          <cell r="D1035">
            <v>1</v>
          </cell>
        </row>
        <row r="1036">
          <cell r="B1036" t="str">
            <v>KLX150</v>
          </cell>
          <cell r="C1036" t="str">
            <v>GREATWALL</v>
          </cell>
          <cell r="D1036">
            <v>9</v>
          </cell>
        </row>
        <row r="1037">
          <cell r="B1037" t="str">
            <v>KLX150</v>
          </cell>
          <cell r="C1037" t="str">
            <v>MUTI ALABEL</v>
          </cell>
          <cell r="D1037">
            <v>1</v>
          </cell>
        </row>
        <row r="1038">
          <cell r="B1038" t="str">
            <v>KLX150</v>
          </cell>
          <cell r="C1038" t="str">
            <v>MUTI BANGA</v>
          </cell>
          <cell r="D1038">
            <v>1</v>
          </cell>
        </row>
        <row r="1039">
          <cell r="B1039" t="str">
            <v>KLX150</v>
          </cell>
          <cell r="C1039" t="str">
            <v>MUTI BANSALAN</v>
          </cell>
          <cell r="D1039">
            <v>3</v>
          </cell>
        </row>
        <row r="1040">
          <cell r="B1040" t="str">
            <v>KLX150</v>
          </cell>
          <cell r="C1040" t="str">
            <v>MUTI BUTUAN</v>
          </cell>
          <cell r="D1040">
            <v>1</v>
          </cell>
        </row>
        <row r="1041">
          <cell r="B1041" t="str">
            <v>KLX150</v>
          </cell>
          <cell r="C1041" t="str">
            <v>MUTI DIGOS</v>
          </cell>
          <cell r="D1041">
            <v>4</v>
          </cell>
        </row>
        <row r="1042">
          <cell r="B1042" t="str">
            <v>KLX150</v>
          </cell>
          <cell r="C1042" t="str">
            <v>MUTI DON CARLOS</v>
          </cell>
          <cell r="D1042">
            <v>2</v>
          </cell>
        </row>
        <row r="1043">
          <cell r="B1043" t="str">
            <v>KLX150</v>
          </cell>
          <cell r="C1043" t="str">
            <v>MUTI ECOLAND</v>
          </cell>
          <cell r="D1043">
            <v>3</v>
          </cell>
        </row>
        <row r="1044">
          <cell r="B1044" t="str">
            <v>KLX150</v>
          </cell>
          <cell r="C1044" t="str">
            <v>MUTI ISULAN</v>
          </cell>
          <cell r="D1044">
            <v>4</v>
          </cell>
        </row>
        <row r="1045">
          <cell r="B1045" t="str">
            <v>KLX150</v>
          </cell>
          <cell r="C1045" t="str">
            <v>MUTI KABACAN</v>
          </cell>
          <cell r="D1045">
            <v>2</v>
          </cell>
        </row>
        <row r="1046">
          <cell r="B1046" t="str">
            <v>KLX150</v>
          </cell>
          <cell r="C1046" t="str">
            <v>MUTI MANOLO</v>
          </cell>
          <cell r="D1046">
            <v>1</v>
          </cell>
        </row>
        <row r="1047">
          <cell r="B1047" t="str">
            <v>KLX150</v>
          </cell>
          <cell r="C1047" t="str">
            <v>MUTI MARBEL-MC</v>
          </cell>
          <cell r="D1047">
            <v>1</v>
          </cell>
        </row>
        <row r="1048">
          <cell r="B1048" t="str">
            <v>KLX150</v>
          </cell>
          <cell r="C1048" t="str">
            <v>MUTI MIDSAYAP</v>
          </cell>
          <cell r="D1048">
            <v>1</v>
          </cell>
        </row>
        <row r="1049">
          <cell r="B1049" t="str">
            <v>KLX150</v>
          </cell>
          <cell r="C1049" t="str">
            <v>MUTI MLANG</v>
          </cell>
          <cell r="D1049">
            <v>3</v>
          </cell>
        </row>
        <row r="1050">
          <cell r="B1050" t="str">
            <v>KLX150</v>
          </cell>
          <cell r="C1050" t="str">
            <v>MUTI NABUNTURAN</v>
          </cell>
          <cell r="D1050">
            <v>3</v>
          </cell>
        </row>
        <row r="1051">
          <cell r="B1051" t="str">
            <v>KLX150</v>
          </cell>
          <cell r="C1051" t="str">
            <v>MUTI POLOMOLOK</v>
          </cell>
          <cell r="D1051">
            <v>1</v>
          </cell>
        </row>
        <row r="1052">
          <cell r="B1052" t="str">
            <v>KLX150</v>
          </cell>
          <cell r="C1052" t="str">
            <v>MUTI SAN FRANCISCO</v>
          </cell>
          <cell r="D1052">
            <v>3</v>
          </cell>
        </row>
        <row r="1053">
          <cell r="B1053" t="str">
            <v>KLX150</v>
          </cell>
          <cell r="C1053" t="str">
            <v>MUTI SURALLAH</v>
          </cell>
          <cell r="D1053">
            <v>2</v>
          </cell>
        </row>
        <row r="1054">
          <cell r="B1054" t="str">
            <v>KLX150</v>
          </cell>
          <cell r="C1054" t="str">
            <v>MUTI TACURONG</v>
          </cell>
          <cell r="D1054">
            <v>5</v>
          </cell>
        </row>
        <row r="1055">
          <cell r="B1055" t="str">
            <v>KLX150</v>
          </cell>
          <cell r="C1055" t="str">
            <v>MUTI VALENCIA</v>
          </cell>
          <cell r="D1055">
            <v>2</v>
          </cell>
        </row>
        <row r="1056">
          <cell r="B1056" t="str">
            <v>KLX150</v>
          </cell>
          <cell r="C1056" t="str">
            <v>MUTI BAYUGAN</v>
          </cell>
          <cell r="D1056">
            <v>1</v>
          </cell>
        </row>
        <row r="1057">
          <cell r="B1057" t="str">
            <v>KLX150</v>
          </cell>
          <cell r="C1057" t="str">
            <v>MUTI BULUA</v>
          </cell>
          <cell r="D1057">
            <v>1</v>
          </cell>
        </row>
        <row r="1058">
          <cell r="B1058" t="str">
            <v>KLX150</v>
          </cell>
          <cell r="C1058" t="str">
            <v>MUTI CABADBARAN</v>
          </cell>
          <cell r="D1058">
            <v>1</v>
          </cell>
        </row>
        <row r="1059">
          <cell r="B1059" t="str">
            <v>KLX150</v>
          </cell>
          <cell r="C1059" t="str">
            <v>MUTI OZAMIZ</v>
          </cell>
          <cell r="D1059">
            <v>1</v>
          </cell>
        </row>
        <row r="1060">
          <cell r="B1060" t="str">
            <v>KLX150</v>
          </cell>
          <cell r="C1060" t="str">
            <v>MUTI PANABO</v>
          </cell>
          <cell r="D1060">
            <v>2</v>
          </cell>
        </row>
        <row r="1061">
          <cell r="B1061" t="str">
            <v>KLX150</v>
          </cell>
          <cell r="C1061" t="str">
            <v>MUTI PROSPERIDAD</v>
          </cell>
          <cell r="D1061">
            <v>2</v>
          </cell>
        </row>
        <row r="1062">
          <cell r="B1062" t="str">
            <v>KLX150</v>
          </cell>
          <cell r="C1062" t="str">
            <v>MUTI TAGUM 1</v>
          </cell>
          <cell r="D1062">
            <v>4</v>
          </cell>
        </row>
        <row r="1063">
          <cell r="B1063" t="str">
            <v>KLX150</v>
          </cell>
          <cell r="C1063" t="str">
            <v>MUTI TAGUM 2</v>
          </cell>
          <cell r="D1063">
            <v>2</v>
          </cell>
        </row>
        <row r="1064">
          <cell r="B1064" t="str">
            <v>KLX150</v>
          </cell>
          <cell r="C1064" t="str">
            <v>MUTI TAGUM 3</v>
          </cell>
          <cell r="D1064">
            <v>4</v>
          </cell>
        </row>
        <row r="1065">
          <cell r="B1065" t="str">
            <v>KLX150</v>
          </cell>
          <cell r="C1065" t="str">
            <v>GREATWALL</v>
          </cell>
          <cell r="D1065">
            <v>3</v>
          </cell>
        </row>
        <row r="1066">
          <cell r="B1066" t="str">
            <v>WIZARD</v>
          </cell>
          <cell r="C1066" t="str">
            <v>MUTI BANSALAN</v>
          </cell>
          <cell r="D1066">
            <v>1</v>
          </cell>
        </row>
        <row r="1067">
          <cell r="B1067" t="str">
            <v>WIZARD</v>
          </cell>
          <cell r="C1067" t="str">
            <v>MUTI BANSALAN</v>
          </cell>
          <cell r="D1067">
            <v>2</v>
          </cell>
        </row>
        <row r="1068">
          <cell r="B1068" t="str">
            <v>WIZARD</v>
          </cell>
          <cell r="C1068" t="str">
            <v>MUTI QUEZON</v>
          </cell>
          <cell r="D1068">
            <v>1</v>
          </cell>
        </row>
        <row r="1069">
          <cell r="B1069" t="str">
            <v>KING</v>
          </cell>
          <cell r="C1069" t="str">
            <v>MUTI BANSALAN</v>
          </cell>
          <cell r="D1069">
            <v>1</v>
          </cell>
        </row>
        <row r="1070">
          <cell r="B1070" t="str">
            <v>KING</v>
          </cell>
          <cell r="C1070" t="str">
            <v>MUTI MARBEL-MC</v>
          </cell>
          <cell r="D1070">
            <v>1</v>
          </cell>
        </row>
        <row r="1071">
          <cell r="B1071" t="str">
            <v>WIZARD</v>
          </cell>
          <cell r="C1071" t="str">
            <v>GREATWALL</v>
          </cell>
          <cell r="D1071">
            <v>14</v>
          </cell>
        </row>
        <row r="1072">
          <cell r="B1072" t="str">
            <v>WIZARD</v>
          </cell>
          <cell r="C1072" t="str">
            <v>MUTI ALABEL</v>
          </cell>
          <cell r="D1072">
            <v>2</v>
          </cell>
        </row>
        <row r="1073">
          <cell r="B1073" t="str">
            <v>WIZARD</v>
          </cell>
          <cell r="C1073" t="str">
            <v>MUTI BANSALAN</v>
          </cell>
          <cell r="D1073">
            <v>2</v>
          </cell>
        </row>
        <row r="1074">
          <cell r="B1074" t="str">
            <v>WIZARD</v>
          </cell>
          <cell r="C1074" t="str">
            <v>MUTI DIGOS</v>
          </cell>
          <cell r="D1074">
            <v>2</v>
          </cell>
        </row>
        <row r="1075">
          <cell r="B1075" t="str">
            <v>WIZARD</v>
          </cell>
          <cell r="C1075" t="str">
            <v>MUTI ECOLAND</v>
          </cell>
          <cell r="D1075">
            <v>1</v>
          </cell>
        </row>
        <row r="1076">
          <cell r="B1076" t="str">
            <v>WIZARD</v>
          </cell>
          <cell r="C1076" t="str">
            <v>MUTI MARBEL-MC</v>
          </cell>
          <cell r="D1076">
            <v>1</v>
          </cell>
        </row>
        <row r="1077">
          <cell r="B1077" t="str">
            <v>WIZARD</v>
          </cell>
          <cell r="C1077" t="str">
            <v>MUTI POLOMOLOK</v>
          </cell>
          <cell r="D1077">
            <v>3</v>
          </cell>
        </row>
        <row r="1078">
          <cell r="B1078" t="str">
            <v>WIZARD</v>
          </cell>
          <cell r="C1078" t="str">
            <v>MUTI TUPI</v>
          </cell>
          <cell r="D1078">
            <v>7</v>
          </cell>
        </row>
        <row r="1079">
          <cell r="B1079" t="str">
            <v>WIZARD</v>
          </cell>
          <cell r="C1079" t="str">
            <v>MUTI CABADBARAN</v>
          </cell>
          <cell r="D1079">
            <v>1</v>
          </cell>
        </row>
        <row r="1080">
          <cell r="B1080" t="str">
            <v>WIZARD</v>
          </cell>
          <cell r="C1080" t="str">
            <v>MUTI PROSPERIDAD</v>
          </cell>
          <cell r="D1080">
            <v>1</v>
          </cell>
        </row>
        <row r="1081">
          <cell r="B1081" t="str">
            <v>WIZARD</v>
          </cell>
          <cell r="C1081" t="str">
            <v>GREATWALL</v>
          </cell>
          <cell r="D1081">
            <v>6</v>
          </cell>
        </row>
        <row r="1082">
          <cell r="B1082" t="str">
            <v>WIZARD</v>
          </cell>
          <cell r="C1082" t="str">
            <v>MUTI ALABEL</v>
          </cell>
          <cell r="D1082">
            <v>3</v>
          </cell>
        </row>
        <row r="1083">
          <cell r="B1083" t="str">
            <v>WIZARD</v>
          </cell>
          <cell r="C1083" t="str">
            <v>MUTI DIGOS</v>
          </cell>
          <cell r="D1083">
            <v>1</v>
          </cell>
        </row>
        <row r="1084">
          <cell r="B1084" t="str">
            <v>WIZARD</v>
          </cell>
          <cell r="C1084" t="str">
            <v>MUTI ECOLAND</v>
          </cell>
          <cell r="D1084">
            <v>1</v>
          </cell>
        </row>
        <row r="1085">
          <cell r="B1085" t="str">
            <v>WIZARD</v>
          </cell>
          <cell r="C1085" t="str">
            <v>MUTI MARBEL-MC</v>
          </cell>
          <cell r="D1085">
            <v>1</v>
          </cell>
        </row>
        <row r="1086">
          <cell r="B1086" t="str">
            <v>WIZARD</v>
          </cell>
          <cell r="C1086" t="str">
            <v>MUTI POLOMOLOK</v>
          </cell>
          <cell r="D1086">
            <v>2</v>
          </cell>
        </row>
        <row r="1087">
          <cell r="B1087" t="str">
            <v>WIZARD</v>
          </cell>
          <cell r="C1087" t="str">
            <v>MUTI SURALLAH</v>
          </cell>
          <cell r="D1087">
            <v>1</v>
          </cell>
        </row>
        <row r="1088">
          <cell r="B1088" t="str">
            <v>WIZARD</v>
          </cell>
          <cell r="C1088" t="str">
            <v>MUTI TUPI</v>
          </cell>
          <cell r="D1088">
            <v>5</v>
          </cell>
        </row>
        <row r="1089">
          <cell r="B1089" t="str">
            <v>WIZARD</v>
          </cell>
          <cell r="C1089" t="str">
            <v>MUTI 3S</v>
          </cell>
          <cell r="D1089">
            <v>1</v>
          </cell>
        </row>
        <row r="1090">
          <cell r="B1090" t="str">
            <v>WIZARD</v>
          </cell>
          <cell r="C1090" t="str">
            <v>MUTI CALINAN</v>
          </cell>
          <cell r="D1090">
            <v>1</v>
          </cell>
        </row>
        <row r="1091">
          <cell r="B1091" t="str">
            <v>WIZARD</v>
          </cell>
          <cell r="C1091" t="str">
            <v>MUTI TAGUM 2</v>
          </cell>
          <cell r="D1091">
            <v>1</v>
          </cell>
        </row>
        <row r="1092">
          <cell r="B1092" t="str">
            <v>WIZARD</v>
          </cell>
          <cell r="C1092" t="str">
            <v>MUTI TAGUM 3</v>
          </cell>
          <cell r="D1092">
            <v>4</v>
          </cell>
        </row>
        <row r="1093">
          <cell r="B1093" t="str">
            <v>WIZARD</v>
          </cell>
          <cell r="C1093" t="str">
            <v>GREATWALL</v>
          </cell>
          <cell r="D1093">
            <v>13</v>
          </cell>
        </row>
        <row r="1094">
          <cell r="B1094" t="str">
            <v>WIZARD</v>
          </cell>
          <cell r="C1094" t="str">
            <v>MUTI MALUNGON</v>
          </cell>
          <cell r="D1094">
            <v>1</v>
          </cell>
        </row>
        <row r="1095">
          <cell r="B1095" t="str">
            <v>WIZARD</v>
          </cell>
          <cell r="C1095" t="str">
            <v>MUTI MARBEL-MC</v>
          </cell>
          <cell r="D1095">
            <v>1</v>
          </cell>
        </row>
        <row r="1096">
          <cell r="B1096" t="str">
            <v>WIZARD</v>
          </cell>
          <cell r="C1096" t="str">
            <v>MUTI SURALLAH</v>
          </cell>
          <cell r="D1096">
            <v>2</v>
          </cell>
        </row>
        <row r="1097">
          <cell r="B1097" t="str">
            <v>WIZARD</v>
          </cell>
          <cell r="C1097" t="str">
            <v>MUTI TUPI</v>
          </cell>
          <cell r="D1097">
            <v>3</v>
          </cell>
        </row>
        <row r="1098">
          <cell r="B1098" t="str">
            <v>WIZARD</v>
          </cell>
          <cell r="C1098" t="str">
            <v>MUTI CALINAN</v>
          </cell>
          <cell r="D1098">
            <v>2</v>
          </cell>
        </row>
        <row r="1099">
          <cell r="B1099" t="str">
            <v>BOLT150</v>
          </cell>
          <cell r="C1099" t="str">
            <v>MUTI KIDAPAWAN</v>
          </cell>
          <cell r="D1099">
            <v>1</v>
          </cell>
        </row>
        <row r="1100">
          <cell r="B1100" t="str">
            <v>BOLT150</v>
          </cell>
          <cell r="C1100" t="str">
            <v>MUTI TACURONG</v>
          </cell>
          <cell r="D1100">
            <v>1</v>
          </cell>
        </row>
        <row r="1101">
          <cell r="B1101" t="str">
            <v>BOLT150</v>
          </cell>
          <cell r="C1101" t="str">
            <v>MUTI TUPI</v>
          </cell>
          <cell r="D1101">
            <v>1</v>
          </cell>
        </row>
        <row r="1102">
          <cell r="B1102" t="str">
            <v>BOLT150</v>
          </cell>
          <cell r="C1102" t="str">
            <v>MUTI BAYUGAN</v>
          </cell>
          <cell r="D1102">
            <v>1</v>
          </cell>
        </row>
        <row r="1103">
          <cell r="B1103" t="str">
            <v>LANCE150</v>
          </cell>
          <cell r="C1103" t="str">
            <v>MUTI BUTUAN</v>
          </cell>
          <cell r="D1103">
            <v>1</v>
          </cell>
        </row>
        <row r="1104">
          <cell r="B1104" t="str">
            <v>LANCE150</v>
          </cell>
          <cell r="C1104" t="str">
            <v>MUTI DIGOS</v>
          </cell>
          <cell r="D1104">
            <v>1</v>
          </cell>
        </row>
        <row r="1105">
          <cell r="B1105" t="str">
            <v>LANCE150</v>
          </cell>
          <cell r="C1105" t="str">
            <v>MUTI CABADBARAN</v>
          </cell>
          <cell r="D1105">
            <v>1</v>
          </cell>
        </row>
        <row r="1106">
          <cell r="B1106" t="str">
            <v>LANCE150</v>
          </cell>
          <cell r="C1106" t="str">
            <v>MUTI DIGOS</v>
          </cell>
          <cell r="D1106">
            <v>1</v>
          </cell>
        </row>
        <row r="1107">
          <cell r="B1107" t="str">
            <v>LANCE150</v>
          </cell>
          <cell r="C1107" t="str">
            <v>MUTI ISULAN</v>
          </cell>
          <cell r="D1107">
            <v>1</v>
          </cell>
        </row>
        <row r="1108">
          <cell r="B1108" t="str">
            <v>LANCE150</v>
          </cell>
          <cell r="C1108" t="str">
            <v>MUTI TAGUM 1</v>
          </cell>
          <cell r="D1108">
            <v>1</v>
          </cell>
        </row>
        <row r="1109">
          <cell r="B1109" t="str">
            <v>LANCE150</v>
          </cell>
          <cell r="C1109" t="str">
            <v>MUTI BUTUAN</v>
          </cell>
          <cell r="D1109">
            <v>1</v>
          </cell>
        </row>
        <row r="1110">
          <cell r="B1110" t="str">
            <v>SMASH(SPOKE)</v>
          </cell>
          <cell r="C1110" t="str">
            <v>MUTI BATANGAS</v>
          </cell>
          <cell r="D1110">
            <v>1</v>
          </cell>
        </row>
        <row r="1111">
          <cell r="B1111" t="str">
            <v>SKYDRIVE SPORT</v>
          </cell>
          <cell r="C1111" t="str">
            <v>MUTI CATALUNAN GRANDE</v>
          </cell>
          <cell r="D1111">
            <v>1</v>
          </cell>
        </row>
        <row r="1112">
          <cell r="B1112" t="str">
            <v>RAIDER J CROSSOVER</v>
          </cell>
          <cell r="C1112" t="str">
            <v>MUTI ECOLAND</v>
          </cell>
          <cell r="D1112">
            <v>1</v>
          </cell>
        </row>
        <row r="1113">
          <cell r="B1113" t="str">
            <v>RAIDER J CROSSOVER</v>
          </cell>
          <cell r="C1113" t="str">
            <v>MUTI MALUNGON</v>
          </cell>
          <cell r="D1113">
            <v>2</v>
          </cell>
        </row>
        <row r="1114">
          <cell r="B1114" t="str">
            <v>SKYDRIVE SPORT</v>
          </cell>
          <cell r="C1114" t="str">
            <v>MUTI CABANTIAN</v>
          </cell>
          <cell r="D1114">
            <v>1</v>
          </cell>
        </row>
        <row r="1115">
          <cell r="B1115" t="str">
            <v>SKYDRIVE CROSSOVER</v>
          </cell>
          <cell r="C1115" t="str">
            <v>MUTI ISULAN</v>
          </cell>
          <cell r="D1115">
            <v>1</v>
          </cell>
        </row>
        <row r="1116">
          <cell r="B1116" t="str">
            <v>SKYDRIVE CROSSOVER</v>
          </cell>
          <cell r="C1116" t="str">
            <v>MUTI 3S</v>
          </cell>
          <cell r="D1116">
            <v>1</v>
          </cell>
        </row>
        <row r="1117">
          <cell r="B1117" t="str">
            <v>SKYDRIVE CROSSOVER</v>
          </cell>
          <cell r="C1117" t="str">
            <v>MUTI BANGA</v>
          </cell>
          <cell r="D1117">
            <v>1</v>
          </cell>
        </row>
        <row r="1118">
          <cell r="B1118" t="str">
            <v>SKYDRIVE CROSSOVER</v>
          </cell>
          <cell r="C1118" t="str">
            <v>MUTI KABACAN</v>
          </cell>
          <cell r="D1118">
            <v>1</v>
          </cell>
        </row>
        <row r="1119">
          <cell r="B1119" t="str">
            <v>SKYDRIVE CROSSOVER</v>
          </cell>
          <cell r="C1119" t="str">
            <v>MUTI NABUNTURAN</v>
          </cell>
          <cell r="D1119">
            <v>1</v>
          </cell>
        </row>
        <row r="1120">
          <cell r="B1120" t="str">
            <v>SKYDRIVE CROSSOVER</v>
          </cell>
          <cell r="C1120" t="str">
            <v>MUTI 3S</v>
          </cell>
          <cell r="D1120">
            <v>1</v>
          </cell>
        </row>
        <row r="1121">
          <cell r="B1121" t="str">
            <v>SMASH(MAGS)</v>
          </cell>
          <cell r="C1121" t="str">
            <v>MUTI DON CARLOS</v>
          </cell>
          <cell r="D1121">
            <v>1</v>
          </cell>
        </row>
        <row r="1122">
          <cell r="B1122" t="str">
            <v>SMASH(MAGS)</v>
          </cell>
          <cell r="C1122" t="str">
            <v>MUTI KABACAN</v>
          </cell>
          <cell r="D1122">
            <v>1</v>
          </cell>
        </row>
        <row r="1123">
          <cell r="B1123" t="str">
            <v>BURGMAN STREET</v>
          </cell>
          <cell r="C1123" t="str">
            <v>MUTI CABANTIAN</v>
          </cell>
          <cell r="D1123">
            <v>1</v>
          </cell>
        </row>
        <row r="1124">
          <cell r="B1124" t="str">
            <v>BURGMAN STREET</v>
          </cell>
          <cell r="C1124" t="str">
            <v>MUTI 3S</v>
          </cell>
          <cell r="D1124">
            <v>1</v>
          </cell>
        </row>
        <row r="1125">
          <cell r="B1125" t="str">
            <v>AVENIS125</v>
          </cell>
          <cell r="C1125" t="str">
            <v>GREATWALL</v>
          </cell>
          <cell r="D1125">
            <v>4</v>
          </cell>
        </row>
        <row r="1126">
          <cell r="B1126" t="str">
            <v>AVENIS125</v>
          </cell>
          <cell r="C1126" t="str">
            <v>MUTI BANSALAN</v>
          </cell>
          <cell r="D1126">
            <v>1</v>
          </cell>
        </row>
        <row r="1127">
          <cell r="B1127" t="str">
            <v>AVENIS125</v>
          </cell>
          <cell r="C1127" t="str">
            <v>MUTI BUTUAN</v>
          </cell>
          <cell r="D1127">
            <v>1</v>
          </cell>
        </row>
        <row r="1128">
          <cell r="B1128" t="str">
            <v>AVENIS125</v>
          </cell>
          <cell r="C1128" t="str">
            <v>MUTI DIGOS</v>
          </cell>
          <cell r="D1128">
            <v>1</v>
          </cell>
        </row>
        <row r="1129">
          <cell r="B1129" t="str">
            <v>AVENIS125</v>
          </cell>
          <cell r="C1129" t="str">
            <v>MUTI ECOLAND</v>
          </cell>
          <cell r="D1129">
            <v>1</v>
          </cell>
        </row>
        <row r="1130">
          <cell r="B1130" t="str">
            <v>AVENIS125</v>
          </cell>
          <cell r="C1130" t="str">
            <v>MUTI NABUNTURAN</v>
          </cell>
          <cell r="D1130">
            <v>1</v>
          </cell>
        </row>
        <row r="1131">
          <cell r="B1131" t="str">
            <v>AVENIS125</v>
          </cell>
          <cell r="C1131" t="str">
            <v>MUTI POLOMOLOK</v>
          </cell>
          <cell r="D1131">
            <v>2</v>
          </cell>
        </row>
        <row r="1132">
          <cell r="B1132" t="str">
            <v>AVENIS125</v>
          </cell>
          <cell r="C1132" t="str">
            <v>MUTI QUEZON</v>
          </cell>
          <cell r="D1132">
            <v>1</v>
          </cell>
        </row>
        <row r="1133">
          <cell r="B1133" t="str">
            <v>AVENIS125</v>
          </cell>
          <cell r="C1133" t="str">
            <v>MUTI SAN FRANCISCO</v>
          </cell>
          <cell r="D1133">
            <v>1</v>
          </cell>
        </row>
        <row r="1134">
          <cell r="B1134" t="str">
            <v>AVENIS125</v>
          </cell>
          <cell r="C1134" t="str">
            <v>MUTI SURIGAO</v>
          </cell>
          <cell r="D1134">
            <v>1</v>
          </cell>
        </row>
        <row r="1135">
          <cell r="B1135" t="str">
            <v>AVENIS125</v>
          </cell>
          <cell r="C1135" t="str">
            <v>MUTI TUPI</v>
          </cell>
          <cell r="D1135">
            <v>1</v>
          </cell>
        </row>
        <row r="1136">
          <cell r="B1136" t="str">
            <v>AVENIS125</v>
          </cell>
          <cell r="C1136" t="str">
            <v>MUTI 3S</v>
          </cell>
          <cell r="D1136">
            <v>2</v>
          </cell>
        </row>
        <row r="1137">
          <cell r="B1137" t="str">
            <v>AVENIS125</v>
          </cell>
          <cell r="C1137" t="str">
            <v>MUTI BULUA</v>
          </cell>
          <cell r="D1137">
            <v>1</v>
          </cell>
        </row>
        <row r="1138">
          <cell r="B1138" t="str">
            <v>AVENIS125</v>
          </cell>
          <cell r="C1138" t="str">
            <v>MUTI CABADBARAN</v>
          </cell>
          <cell r="D1138">
            <v>1</v>
          </cell>
        </row>
        <row r="1139">
          <cell r="B1139" t="str">
            <v>AVENIS125</v>
          </cell>
          <cell r="C1139" t="str">
            <v>MUTI CALINAN</v>
          </cell>
          <cell r="D1139">
            <v>1</v>
          </cell>
        </row>
        <row r="1140">
          <cell r="B1140" t="str">
            <v>AVENIS125</v>
          </cell>
          <cell r="C1140" t="str">
            <v>MUTI BANGA</v>
          </cell>
          <cell r="D1140">
            <v>1</v>
          </cell>
        </row>
        <row r="1141">
          <cell r="B1141" t="str">
            <v>AVENIS125</v>
          </cell>
          <cell r="C1141" t="str">
            <v>MUTI ECOLAND</v>
          </cell>
          <cell r="D1141">
            <v>2</v>
          </cell>
        </row>
        <row r="1142">
          <cell r="B1142" t="str">
            <v>AVENIS125</v>
          </cell>
          <cell r="C1142" t="str">
            <v>MUTI MALUNGON</v>
          </cell>
          <cell r="D1142">
            <v>1</v>
          </cell>
        </row>
        <row r="1143">
          <cell r="B1143" t="str">
            <v>AVENIS125</v>
          </cell>
          <cell r="C1143" t="str">
            <v>MUTI STO. TOMAS</v>
          </cell>
          <cell r="D1143">
            <v>1</v>
          </cell>
        </row>
        <row r="1144">
          <cell r="B1144" t="str">
            <v>AVENIS125</v>
          </cell>
          <cell r="C1144" t="str">
            <v>MUTI SURALLAH</v>
          </cell>
          <cell r="D1144">
            <v>1</v>
          </cell>
        </row>
        <row r="1145">
          <cell r="B1145" t="str">
            <v>AVENIS125</v>
          </cell>
          <cell r="C1145" t="str">
            <v>MUTI CABADBARAN</v>
          </cell>
          <cell r="D1145">
            <v>1</v>
          </cell>
        </row>
        <row r="1146">
          <cell r="B1146" t="str">
            <v>AVENIS125</v>
          </cell>
          <cell r="C1146" t="str">
            <v>MUTI CATALUNAN GRANDE</v>
          </cell>
          <cell r="D1146">
            <v>1</v>
          </cell>
        </row>
        <row r="1147">
          <cell r="B1147" t="str">
            <v>AVENIS125</v>
          </cell>
          <cell r="C1147" t="str">
            <v>MUTI PANABO</v>
          </cell>
          <cell r="D1147">
            <v>1</v>
          </cell>
        </row>
        <row r="1148">
          <cell r="B1148" t="str">
            <v>AVENIS125</v>
          </cell>
          <cell r="C1148" t="str">
            <v>MUTI MARAMAG</v>
          </cell>
          <cell r="D1148">
            <v>1</v>
          </cell>
        </row>
        <row r="1149">
          <cell r="B1149" t="str">
            <v>BURGMAN STREET EX</v>
          </cell>
          <cell r="C1149" t="str">
            <v>MUTI BANSALAN</v>
          </cell>
          <cell r="D1149">
            <v>1</v>
          </cell>
        </row>
        <row r="1150">
          <cell r="B1150" t="str">
            <v>BURGMAN STREET EX</v>
          </cell>
          <cell r="C1150" t="str">
            <v>MUTI BATANGAS</v>
          </cell>
          <cell r="D1150">
            <v>1</v>
          </cell>
        </row>
        <row r="1151">
          <cell r="B1151" t="str">
            <v>BURGMAN STREET EX</v>
          </cell>
          <cell r="C1151" t="str">
            <v>MUTI QUEZON</v>
          </cell>
          <cell r="D1151">
            <v>1</v>
          </cell>
        </row>
        <row r="1152">
          <cell r="B1152" t="str">
            <v>BURGMAN STREET EX</v>
          </cell>
          <cell r="C1152" t="str">
            <v>MUTI CABADBARAN</v>
          </cell>
          <cell r="D1152">
            <v>1</v>
          </cell>
        </row>
        <row r="1153">
          <cell r="B1153" t="str">
            <v>SMASH(SPOKE)</v>
          </cell>
          <cell r="C1153" t="str">
            <v>MUTI DON CARLOS</v>
          </cell>
          <cell r="D1153">
            <v>1</v>
          </cell>
        </row>
        <row r="1154">
          <cell r="B1154" t="str">
            <v>SMASH FI(SPOKE)</v>
          </cell>
          <cell r="C1154" t="str">
            <v>MUTI NABUNTURAN</v>
          </cell>
          <cell r="D1154">
            <v>1</v>
          </cell>
        </row>
        <row r="1155">
          <cell r="B1155" t="str">
            <v>SMASH FI(SPOKE)</v>
          </cell>
          <cell r="C1155" t="str">
            <v>MUTI VALENCIA</v>
          </cell>
          <cell r="D1155">
            <v>1</v>
          </cell>
        </row>
        <row r="1156">
          <cell r="B1156" t="str">
            <v>SMASH FI(SPOKE)</v>
          </cell>
          <cell r="C1156" t="str">
            <v>MUTI 3S</v>
          </cell>
          <cell r="D1156">
            <v>1</v>
          </cell>
        </row>
        <row r="1157">
          <cell r="B1157" t="str">
            <v>SMASH FI(SPOKE)</v>
          </cell>
          <cell r="C1157" t="str">
            <v>MUTI CALINAN</v>
          </cell>
          <cell r="D1157">
            <v>1</v>
          </cell>
        </row>
        <row r="1158">
          <cell r="B1158" t="str">
            <v>SMASH FI(SPOKE)</v>
          </cell>
          <cell r="C1158" t="str">
            <v>MUTI PROSPERIDAD</v>
          </cell>
          <cell r="D1158">
            <v>2</v>
          </cell>
        </row>
        <row r="1159">
          <cell r="B1159" t="str">
            <v>SMASH FI(SPOKE)</v>
          </cell>
          <cell r="C1159" t="str">
            <v>MUTI SAMAL</v>
          </cell>
          <cell r="D1159">
            <v>1</v>
          </cell>
        </row>
        <row r="1160">
          <cell r="B1160" t="str">
            <v>SMASH FI(SPOKE)</v>
          </cell>
          <cell r="C1160" t="str">
            <v>MUTI CALINAN</v>
          </cell>
          <cell r="D1160">
            <v>1</v>
          </cell>
        </row>
        <row r="1161">
          <cell r="B1161" t="str">
            <v>SMASH FI(MAGS)</v>
          </cell>
          <cell r="C1161" t="str">
            <v>MUTI MARAMAG</v>
          </cell>
          <cell r="D1161">
            <v>1</v>
          </cell>
        </row>
        <row r="1162">
          <cell r="B1162" t="str">
            <v>SMASH FI(MAGS)</v>
          </cell>
          <cell r="C1162" t="str">
            <v>MUTI POLOMOLOK</v>
          </cell>
          <cell r="D1162">
            <v>1</v>
          </cell>
        </row>
        <row r="1163">
          <cell r="B1163" t="str">
            <v>SMASH FI(MAGS)</v>
          </cell>
          <cell r="C1163" t="str">
            <v>MUTI 3S</v>
          </cell>
          <cell r="D1163">
            <v>2</v>
          </cell>
        </row>
        <row r="1164">
          <cell r="B1164" t="str">
            <v>SMASH FI(MAGS)</v>
          </cell>
          <cell r="C1164" t="str">
            <v>MUTI 3S</v>
          </cell>
          <cell r="D1164">
            <v>1</v>
          </cell>
        </row>
        <row r="1165">
          <cell r="B1165" t="str">
            <v>SMASH(SPOKE)</v>
          </cell>
          <cell r="C1165" t="str">
            <v>MUTI 3S</v>
          </cell>
          <cell r="D1165">
            <v>1</v>
          </cell>
        </row>
        <row r="1166">
          <cell r="B1166" t="str">
            <v>RAIDER150 CARB</v>
          </cell>
          <cell r="C1166" t="str">
            <v>MUTI MARAMAG</v>
          </cell>
          <cell r="D1166">
            <v>1</v>
          </cell>
        </row>
        <row r="1167">
          <cell r="B1167" t="str">
            <v>BURGMAN STREET</v>
          </cell>
          <cell r="C1167" t="str">
            <v>MUTI SURIGAO</v>
          </cell>
          <cell r="D1167">
            <v>1</v>
          </cell>
        </row>
        <row r="1168">
          <cell r="B1168" t="str">
            <v>BURGMAN STREET</v>
          </cell>
          <cell r="C1168" t="str">
            <v>MUTI SURIGAO</v>
          </cell>
          <cell r="D1168">
            <v>1</v>
          </cell>
        </row>
        <row r="1169">
          <cell r="B1169" t="str">
            <v>SMASH(MAGS)</v>
          </cell>
          <cell r="C1169" t="str">
            <v>MUTI MANOLO</v>
          </cell>
          <cell r="D1169">
            <v>1</v>
          </cell>
        </row>
        <row r="1170">
          <cell r="B1170" t="str">
            <v>SMASH(MAGS)</v>
          </cell>
          <cell r="C1170" t="str">
            <v>MUTI MARAMAG</v>
          </cell>
          <cell r="D1170">
            <v>1</v>
          </cell>
        </row>
        <row r="1171">
          <cell r="B1171" t="str">
            <v>V-STROM 250 SX</v>
          </cell>
          <cell r="C1171" t="str">
            <v>MUTI DON CARLOS</v>
          </cell>
          <cell r="D1171">
            <v>1</v>
          </cell>
        </row>
        <row r="1172">
          <cell r="B1172" t="str">
            <v>V-STROM 250 SX</v>
          </cell>
          <cell r="C1172" t="str">
            <v>MUTI 3S</v>
          </cell>
          <cell r="D1172">
            <v>1</v>
          </cell>
        </row>
        <row r="1173">
          <cell r="B1173" t="str">
            <v>V-STROM 250 SX</v>
          </cell>
          <cell r="C1173" t="str">
            <v>MUTI CABANTIAN</v>
          </cell>
          <cell r="D1173">
            <v>1</v>
          </cell>
        </row>
        <row r="1174">
          <cell r="B1174" t="str">
            <v>GIXXER 250</v>
          </cell>
          <cell r="C1174" t="str">
            <v>MUTI BULUA</v>
          </cell>
          <cell r="D1174">
            <v>1</v>
          </cell>
        </row>
        <row r="1175">
          <cell r="B1175" t="str">
            <v>SMASH(SPOKE)</v>
          </cell>
          <cell r="C1175" t="str">
            <v>MUTI BANSALAN</v>
          </cell>
          <cell r="D1175">
            <v>1</v>
          </cell>
        </row>
        <row r="1176">
          <cell r="B1176" t="str">
            <v>SMASH(SPOKE)</v>
          </cell>
          <cell r="C1176" t="str">
            <v>MUTI DIGOS</v>
          </cell>
          <cell r="D1176">
            <v>1</v>
          </cell>
        </row>
        <row r="1177">
          <cell r="B1177" t="str">
            <v>SMASH(SPOKE)</v>
          </cell>
          <cell r="C1177" t="str">
            <v>MUTI ECOLAND</v>
          </cell>
          <cell r="D1177">
            <v>1</v>
          </cell>
        </row>
        <row r="1178">
          <cell r="B1178" t="str">
            <v>SMASH(SPOKE)</v>
          </cell>
          <cell r="C1178" t="str">
            <v>MUTI ISULAN</v>
          </cell>
          <cell r="D1178">
            <v>1</v>
          </cell>
        </row>
        <row r="1179">
          <cell r="B1179" t="str">
            <v>SMASH(SPOKE)</v>
          </cell>
          <cell r="C1179" t="str">
            <v>MUTI KABACAN</v>
          </cell>
          <cell r="D1179">
            <v>1</v>
          </cell>
        </row>
        <row r="1180">
          <cell r="B1180" t="str">
            <v>SMASH(SPOKE)</v>
          </cell>
          <cell r="C1180" t="str">
            <v>MUTI LAPASAN</v>
          </cell>
          <cell r="D1180">
            <v>1</v>
          </cell>
        </row>
        <row r="1181">
          <cell r="B1181" t="str">
            <v>SMASH(SPOKE)</v>
          </cell>
          <cell r="C1181" t="str">
            <v>MUTI 3S</v>
          </cell>
          <cell r="D1181">
            <v>1</v>
          </cell>
        </row>
        <row r="1182">
          <cell r="B1182" t="str">
            <v>SMASH(SPOKE)</v>
          </cell>
          <cell r="C1182" t="str">
            <v>MUTI BAYUGAN</v>
          </cell>
          <cell r="D1182">
            <v>1</v>
          </cell>
        </row>
        <row r="1183">
          <cell r="B1183" t="str">
            <v>SMASH(SPOKE)</v>
          </cell>
          <cell r="C1183" t="str">
            <v>MUTI CABANTIAN</v>
          </cell>
          <cell r="D1183">
            <v>1</v>
          </cell>
        </row>
        <row r="1184">
          <cell r="B1184" t="str">
            <v>SMASH(SPOKE)</v>
          </cell>
          <cell r="C1184" t="str">
            <v>MUTI TAGUM 1</v>
          </cell>
          <cell r="D1184">
            <v>1</v>
          </cell>
        </row>
        <row r="1185">
          <cell r="B1185" t="str">
            <v>SMASH(SPOKE)</v>
          </cell>
          <cell r="C1185" t="str">
            <v>GREATWALL</v>
          </cell>
          <cell r="D1185">
            <v>1</v>
          </cell>
        </row>
        <row r="1186">
          <cell r="B1186" t="str">
            <v>SMASH(SPOKE)</v>
          </cell>
          <cell r="C1186" t="str">
            <v>MUTI BATANGAS</v>
          </cell>
          <cell r="D1186">
            <v>1</v>
          </cell>
        </row>
        <row r="1187">
          <cell r="B1187" t="str">
            <v>SMASH(SPOKE)</v>
          </cell>
          <cell r="C1187" t="str">
            <v>MUTI MIDSAYAP</v>
          </cell>
          <cell r="D1187">
            <v>2</v>
          </cell>
        </row>
        <row r="1188">
          <cell r="B1188" t="str">
            <v>SMASH(SPOKE)</v>
          </cell>
          <cell r="C1188" t="str">
            <v>MUTI NABUNTURAN</v>
          </cell>
          <cell r="D1188">
            <v>1</v>
          </cell>
        </row>
        <row r="1189">
          <cell r="B1189" t="str">
            <v>SMASH(SPOKE)</v>
          </cell>
          <cell r="C1189" t="str">
            <v>MUTI POLOMOLOK</v>
          </cell>
          <cell r="D1189">
            <v>2</v>
          </cell>
        </row>
        <row r="1190">
          <cell r="B1190" t="str">
            <v>SMASH(SPOKE)</v>
          </cell>
          <cell r="C1190" t="str">
            <v>MUTI QUEZON</v>
          </cell>
          <cell r="D1190">
            <v>1</v>
          </cell>
        </row>
        <row r="1191">
          <cell r="B1191" t="str">
            <v>SMASH(SPOKE)</v>
          </cell>
          <cell r="C1191" t="str">
            <v>MUTI STO. TOMAS</v>
          </cell>
          <cell r="D1191">
            <v>1</v>
          </cell>
        </row>
        <row r="1192">
          <cell r="B1192" t="str">
            <v>SMASH(SPOKE)</v>
          </cell>
          <cell r="C1192" t="str">
            <v>MUTI 3S</v>
          </cell>
          <cell r="D1192">
            <v>1</v>
          </cell>
        </row>
        <row r="1193">
          <cell r="B1193" t="str">
            <v>SMASH(SPOKE)</v>
          </cell>
          <cell r="C1193" t="str">
            <v>MUTI BAYUGAN</v>
          </cell>
          <cell r="D1193">
            <v>1</v>
          </cell>
        </row>
        <row r="1194">
          <cell r="B1194" t="str">
            <v>SMASH(SPOKE)</v>
          </cell>
          <cell r="C1194" t="str">
            <v>MUTI SAMAL</v>
          </cell>
          <cell r="D1194">
            <v>1</v>
          </cell>
        </row>
        <row r="1195">
          <cell r="B1195" t="str">
            <v>SMASH(SPOKE)</v>
          </cell>
          <cell r="C1195" t="str">
            <v>MUTI CALAMBA</v>
          </cell>
          <cell r="D1195">
            <v>1</v>
          </cell>
        </row>
        <row r="1196">
          <cell r="B1196" t="str">
            <v>SMASH(SPOKE)</v>
          </cell>
          <cell r="C1196" t="str">
            <v>MUTI DIGOS</v>
          </cell>
          <cell r="D1196">
            <v>1</v>
          </cell>
        </row>
        <row r="1197">
          <cell r="B1197" t="str">
            <v>SMASH(SPOKE)</v>
          </cell>
          <cell r="C1197" t="str">
            <v>MUTI ISULAN</v>
          </cell>
          <cell r="D1197">
            <v>1</v>
          </cell>
        </row>
        <row r="1198">
          <cell r="B1198" t="str">
            <v>SMASH(SPOKE)</v>
          </cell>
          <cell r="C1198" t="str">
            <v>MUTI KABACAN</v>
          </cell>
          <cell r="D1198">
            <v>1</v>
          </cell>
        </row>
        <row r="1199">
          <cell r="B1199" t="str">
            <v>SMASH(SPOKE)</v>
          </cell>
          <cell r="C1199" t="str">
            <v>MUTI SAN FRANCISCO</v>
          </cell>
          <cell r="D1199">
            <v>1</v>
          </cell>
        </row>
        <row r="1200">
          <cell r="B1200" t="str">
            <v>SMASH(SPOKE)</v>
          </cell>
          <cell r="C1200" t="str">
            <v>MUTI TACURONG</v>
          </cell>
          <cell r="D1200">
            <v>2</v>
          </cell>
        </row>
        <row r="1201">
          <cell r="B1201" t="str">
            <v>SMASH(SPOKE)</v>
          </cell>
          <cell r="C1201" t="str">
            <v>MUTI VALENCIA</v>
          </cell>
          <cell r="D1201">
            <v>1</v>
          </cell>
        </row>
        <row r="1202">
          <cell r="B1202" t="str">
            <v>SMASH(SPOKE)</v>
          </cell>
          <cell r="C1202" t="str">
            <v>MUTI 3S</v>
          </cell>
          <cell r="D1202">
            <v>1</v>
          </cell>
        </row>
        <row r="1203">
          <cell r="B1203" t="str">
            <v>SMASH(SPOKE)</v>
          </cell>
          <cell r="C1203" t="str">
            <v>MUTI CATALUNAN GRANDE</v>
          </cell>
          <cell r="D1203">
            <v>1</v>
          </cell>
        </row>
        <row r="1204">
          <cell r="B1204" t="str">
            <v>SMASH(SPOKE)</v>
          </cell>
          <cell r="C1204" t="str">
            <v>MUTI PANABO</v>
          </cell>
          <cell r="D1204">
            <v>1</v>
          </cell>
        </row>
        <row r="1205">
          <cell r="B1205" t="str">
            <v>SMASH(SPOKE)</v>
          </cell>
          <cell r="C1205" t="str">
            <v>MUTI ECOLAND</v>
          </cell>
          <cell r="D1205">
            <v>1</v>
          </cell>
        </row>
        <row r="1206">
          <cell r="B1206" t="str">
            <v>SMASH(SPOKE)</v>
          </cell>
          <cell r="C1206" t="str">
            <v>MUTI QUEZON</v>
          </cell>
          <cell r="D1206">
            <v>1</v>
          </cell>
        </row>
        <row r="1207">
          <cell r="B1207" t="str">
            <v>SMASH(SPOKE)</v>
          </cell>
          <cell r="C1207" t="str">
            <v>MUTI SURALLAH</v>
          </cell>
          <cell r="D1207">
            <v>1</v>
          </cell>
        </row>
        <row r="1208">
          <cell r="B1208" t="str">
            <v>SMASH(SPOKE)</v>
          </cell>
          <cell r="C1208" t="str">
            <v>MUTI 3S</v>
          </cell>
          <cell r="D1208">
            <v>1</v>
          </cell>
        </row>
        <row r="1209">
          <cell r="B1209" t="str">
            <v>SMASH(SPOKE)</v>
          </cell>
          <cell r="C1209" t="str">
            <v>MUTI BAYUGAN</v>
          </cell>
          <cell r="D1209">
            <v>1</v>
          </cell>
        </row>
        <row r="1210">
          <cell r="B1210" t="str">
            <v>SMASH(SPOKE)</v>
          </cell>
          <cell r="C1210" t="str">
            <v>MUTI SAMAL</v>
          </cell>
          <cell r="D1210">
            <v>2</v>
          </cell>
        </row>
        <row r="1211">
          <cell r="B1211" t="str">
            <v>SMASH(SPOKE)</v>
          </cell>
          <cell r="C1211" t="str">
            <v>MUTI TAGUM 1</v>
          </cell>
          <cell r="D1211">
            <v>4</v>
          </cell>
        </row>
        <row r="1212">
          <cell r="B1212" t="str">
            <v>SMASH(SPOKE)</v>
          </cell>
          <cell r="C1212" t="str">
            <v>MUTI TACURONG</v>
          </cell>
          <cell r="D1212">
            <v>1</v>
          </cell>
        </row>
        <row r="1213">
          <cell r="B1213" t="str">
            <v>SMASH(SPOKE)</v>
          </cell>
          <cell r="C1213" t="str">
            <v>MUTI 3S</v>
          </cell>
          <cell r="D1213">
            <v>1</v>
          </cell>
        </row>
        <row r="1214">
          <cell r="B1214" t="str">
            <v>SMASH(SPOKE)</v>
          </cell>
          <cell r="C1214" t="str">
            <v>MUTI CABADBARAN</v>
          </cell>
          <cell r="D1214">
            <v>1</v>
          </cell>
        </row>
        <row r="1215">
          <cell r="B1215" t="str">
            <v>SMASH(SPOKE)</v>
          </cell>
          <cell r="C1215" t="str">
            <v>MUTI SAMAL</v>
          </cell>
          <cell r="D1215">
            <v>1</v>
          </cell>
        </row>
        <row r="1216">
          <cell r="B1216" t="str">
            <v>SMASH(SPOKE)</v>
          </cell>
          <cell r="C1216" t="str">
            <v>MUTI TAGUM 3</v>
          </cell>
          <cell r="D1216">
            <v>1</v>
          </cell>
        </row>
        <row r="1217">
          <cell r="B1217" t="str">
            <v>SMASH(MAGS)</v>
          </cell>
          <cell r="C1217" t="str">
            <v>MUTI ECOLAND</v>
          </cell>
          <cell r="D1217">
            <v>1</v>
          </cell>
        </row>
        <row r="1218">
          <cell r="B1218" t="str">
            <v>SMASH(MAGS)</v>
          </cell>
          <cell r="C1218" t="str">
            <v>MUTI SAN FRANCISCO</v>
          </cell>
          <cell r="D1218">
            <v>1</v>
          </cell>
        </row>
        <row r="1219">
          <cell r="B1219" t="str">
            <v>SMASH(MAGS)</v>
          </cell>
          <cell r="C1219" t="str">
            <v>MUTI SURALLAH</v>
          </cell>
          <cell r="D1219">
            <v>1</v>
          </cell>
        </row>
        <row r="1220">
          <cell r="B1220" t="str">
            <v>SMASH(MAGS)</v>
          </cell>
          <cell r="C1220" t="str">
            <v>MUTI TACURONG</v>
          </cell>
          <cell r="D1220">
            <v>1</v>
          </cell>
        </row>
        <row r="1221">
          <cell r="B1221" t="str">
            <v>SMASH(MAGS)</v>
          </cell>
          <cell r="C1221" t="str">
            <v>MUTI PANABO</v>
          </cell>
          <cell r="D1221">
            <v>1</v>
          </cell>
        </row>
        <row r="1222">
          <cell r="B1222" t="str">
            <v>SMASH(MAGS)</v>
          </cell>
          <cell r="C1222" t="str">
            <v>GREATWALL</v>
          </cell>
          <cell r="D1222">
            <v>1</v>
          </cell>
        </row>
        <row r="1223">
          <cell r="B1223" t="str">
            <v>SMASH(MAGS)</v>
          </cell>
          <cell r="C1223" t="str">
            <v>MUTI LAPASAN</v>
          </cell>
          <cell r="D1223">
            <v>1</v>
          </cell>
        </row>
        <row r="1224">
          <cell r="B1224" t="str">
            <v>SMASH(MAGS)</v>
          </cell>
          <cell r="C1224" t="str">
            <v>MUTI POLOMOLOK</v>
          </cell>
          <cell r="D1224">
            <v>1</v>
          </cell>
        </row>
        <row r="1225">
          <cell r="B1225" t="str">
            <v>SMASH(MAGS)</v>
          </cell>
          <cell r="C1225" t="str">
            <v>MUTI SAN FRANCISCO</v>
          </cell>
          <cell r="D1225">
            <v>1</v>
          </cell>
        </row>
        <row r="1226">
          <cell r="B1226" t="str">
            <v>SMASH(MAGS)</v>
          </cell>
          <cell r="C1226" t="str">
            <v>MUTI SURIGAO</v>
          </cell>
          <cell r="D1226">
            <v>1</v>
          </cell>
        </row>
        <row r="1227">
          <cell r="B1227" t="str">
            <v>SMASH(MAGS)</v>
          </cell>
          <cell r="C1227" t="str">
            <v>MUTI CABADBARAN</v>
          </cell>
          <cell r="D1227">
            <v>1</v>
          </cell>
        </row>
        <row r="1228">
          <cell r="B1228" t="str">
            <v>SMASH(MAGS)</v>
          </cell>
          <cell r="C1228" t="str">
            <v>MUTI TAGUM 1</v>
          </cell>
          <cell r="D1228">
            <v>2</v>
          </cell>
        </row>
        <row r="1229">
          <cell r="B1229" t="str">
            <v>BURGMAN STREET EX</v>
          </cell>
          <cell r="C1229" t="str">
            <v>MUTI BATANGAS</v>
          </cell>
          <cell r="D1229">
            <v>1</v>
          </cell>
        </row>
        <row r="1230">
          <cell r="B1230" t="str">
            <v>BURGMAN STREET EX</v>
          </cell>
          <cell r="C1230" t="str">
            <v>MUTI BUTUAN</v>
          </cell>
          <cell r="D1230">
            <v>1</v>
          </cell>
        </row>
        <row r="1231">
          <cell r="B1231" t="str">
            <v>BURGMAN STREET EX</v>
          </cell>
          <cell r="C1231" t="str">
            <v>MUTI CALAMBA</v>
          </cell>
          <cell r="D1231">
            <v>1</v>
          </cell>
        </row>
        <row r="1232">
          <cell r="B1232" t="str">
            <v>BURGMAN STREET EX</v>
          </cell>
          <cell r="C1232" t="str">
            <v>MUTI STO. TOMAS</v>
          </cell>
          <cell r="D1232">
            <v>2</v>
          </cell>
        </row>
        <row r="1233">
          <cell r="B1233" t="str">
            <v>BURGMAN STREET EX</v>
          </cell>
          <cell r="C1233" t="str">
            <v>MUTI SURIGAO</v>
          </cell>
          <cell r="D1233">
            <v>1</v>
          </cell>
        </row>
        <row r="1234">
          <cell r="B1234" t="str">
            <v>ACCESS 125</v>
          </cell>
          <cell r="C1234" t="str">
            <v>GREATWALL</v>
          </cell>
          <cell r="D1234">
            <v>4</v>
          </cell>
        </row>
        <row r="1235">
          <cell r="B1235" t="str">
            <v>ACCESS 125</v>
          </cell>
          <cell r="C1235" t="str">
            <v>MUTI BUTUAN</v>
          </cell>
          <cell r="D1235">
            <v>1</v>
          </cell>
        </row>
        <row r="1236">
          <cell r="B1236" t="str">
            <v>ACCESS 125</v>
          </cell>
          <cell r="C1236" t="str">
            <v>MUTI ISULAN</v>
          </cell>
          <cell r="D1236">
            <v>1</v>
          </cell>
        </row>
        <row r="1237">
          <cell r="B1237" t="str">
            <v>ACCESS 125</v>
          </cell>
          <cell r="C1237" t="str">
            <v>MUTI STO. TOMAS</v>
          </cell>
          <cell r="D1237">
            <v>1</v>
          </cell>
        </row>
        <row r="1238">
          <cell r="B1238" t="str">
            <v>ACCESS 125</v>
          </cell>
          <cell r="C1238" t="str">
            <v>MUTI TUPI</v>
          </cell>
          <cell r="D1238">
            <v>1</v>
          </cell>
        </row>
        <row r="1239">
          <cell r="B1239" t="str">
            <v>ACCESS 125</v>
          </cell>
          <cell r="C1239" t="str">
            <v>MUTI VALENCIA</v>
          </cell>
          <cell r="D1239">
            <v>1</v>
          </cell>
        </row>
        <row r="1240">
          <cell r="B1240" t="str">
            <v>ACCESS 125</v>
          </cell>
          <cell r="C1240" t="str">
            <v>MUTI CABADBARAN</v>
          </cell>
          <cell r="D1240">
            <v>1</v>
          </cell>
        </row>
        <row r="1241">
          <cell r="B1241" t="str">
            <v>ACCESS 125</v>
          </cell>
          <cell r="C1241" t="str">
            <v>MUTI CATALUNAN GRANDE</v>
          </cell>
          <cell r="D1241">
            <v>1</v>
          </cell>
        </row>
        <row r="1242">
          <cell r="B1242" t="str">
            <v>ACCESS 125</v>
          </cell>
          <cell r="C1242" t="str">
            <v>MUTI OZAMIZ</v>
          </cell>
          <cell r="D1242">
            <v>1</v>
          </cell>
        </row>
        <row r="1243">
          <cell r="B1243" t="str">
            <v>ACCESS 125</v>
          </cell>
          <cell r="C1243" t="str">
            <v>MUTI PROSPERIDAD</v>
          </cell>
          <cell r="D1243">
            <v>1</v>
          </cell>
        </row>
        <row r="1244">
          <cell r="B1244" t="str">
            <v>ACCESS 125</v>
          </cell>
          <cell r="C1244" t="str">
            <v>MUTI TAGUM 3</v>
          </cell>
          <cell r="D1244">
            <v>1</v>
          </cell>
        </row>
        <row r="1245">
          <cell r="B1245" t="str">
            <v>ACCESS 125</v>
          </cell>
          <cell r="C1245" t="str">
            <v>GREATWALL</v>
          </cell>
          <cell r="D1245">
            <v>3</v>
          </cell>
        </row>
        <row r="1246">
          <cell r="B1246" t="str">
            <v>ACCESS 125</v>
          </cell>
          <cell r="C1246" t="str">
            <v>MUTI ALABEL</v>
          </cell>
          <cell r="D1246">
            <v>1</v>
          </cell>
        </row>
        <row r="1247">
          <cell r="B1247" t="str">
            <v>ACCESS 125</v>
          </cell>
          <cell r="C1247" t="str">
            <v>MUTI NABUNTURAN</v>
          </cell>
          <cell r="D1247">
            <v>1</v>
          </cell>
        </row>
        <row r="1248">
          <cell r="B1248" t="str">
            <v>ACCESS 125</v>
          </cell>
          <cell r="C1248" t="str">
            <v>MUTI POLOMOLOK</v>
          </cell>
          <cell r="D1248">
            <v>1</v>
          </cell>
        </row>
        <row r="1249">
          <cell r="B1249" t="str">
            <v>ACCESS 125</v>
          </cell>
          <cell r="C1249" t="str">
            <v>MUTI STO. TOMAS</v>
          </cell>
          <cell r="D1249">
            <v>1</v>
          </cell>
        </row>
        <row r="1250">
          <cell r="B1250" t="str">
            <v>ACCESS 125</v>
          </cell>
          <cell r="C1250" t="str">
            <v>GREATWALL</v>
          </cell>
          <cell r="D1250">
            <v>3</v>
          </cell>
        </row>
        <row r="1251">
          <cell r="B1251" t="str">
            <v>ACCESS 125</v>
          </cell>
          <cell r="C1251" t="str">
            <v>MUTI STO. TOMAS</v>
          </cell>
          <cell r="D1251">
            <v>1</v>
          </cell>
        </row>
        <row r="1252">
          <cell r="B1252" t="str">
            <v>ACCESS 125</v>
          </cell>
          <cell r="C1252" t="str">
            <v>MUTI TAGUM 3</v>
          </cell>
          <cell r="D1252">
            <v>2</v>
          </cell>
        </row>
        <row r="1253">
          <cell r="B1253" t="str">
            <v>ACCESS 125 RIDE CONNECT</v>
          </cell>
          <cell r="C1253" t="str">
            <v>GREATWALL</v>
          </cell>
          <cell r="D1253">
            <v>5</v>
          </cell>
        </row>
        <row r="1254">
          <cell r="B1254" t="str">
            <v>ACCESS 125 RIDE CONNECT</v>
          </cell>
          <cell r="C1254" t="str">
            <v>MUTI BATANGAS</v>
          </cell>
          <cell r="D1254">
            <v>2</v>
          </cell>
        </row>
        <row r="1255">
          <cell r="B1255" t="str">
            <v>ACCESS 125 RIDE CONNECT</v>
          </cell>
          <cell r="C1255" t="str">
            <v>MUTI CALAMBA</v>
          </cell>
          <cell r="D1255">
            <v>1</v>
          </cell>
        </row>
        <row r="1256">
          <cell r="B1256" t="str">
            <v>ACCESS 125 RIDE CONNECT</v>
          </cell>
          <cell r="C1256" t="str">
            <v>MUTI STO. TOMAS</v>
          </cell>
          <cell r="D1256">
            <v>2</v>
          </cell>
        </row>
        <row r="1257">
          <cell r="B1257" t="str">
            <v>ACCESS 125 RIDE CONNECT</v>
          </cell>
          <cell r="C1257" t="str">
            <v>MUTI SURALLAH</v>
          </cell>
          <cell r="D1257">
            <v>1</v>
          </cell>
        </row>
        <row r="1258">
          <cell r="B1258" t="str">
            <v>ACCESS 125 RIDE CONNECT</v>
          </cell>
          <cell r="C1258" t="str">
            <v>MUTI 3S</v>
          </cell>
          <cell r="D1258">
            <v>1</v>
          </cell>
        </row>
        <row r="1259">
          <cell r="B1259" t="str">
            <v>ACCESS 125 RIDE CONNECT</v>
          </cell>
          <cell r="C1259" t="str">
            <v>MUTI TAGUM 3</v>
          </cell>
          <cell r="D1259">
            <v>1</v>
          </cell>
        </row>
        <row r="1260">
          <cell r="B1260" t="str">
            <v>RAIDER150 FI BLADE</v>
          </cell>
          <cell r="C1260" t="str">
            <v>GREATWALL</v>
          </cell>
          <cell r="D1260">
            <v>12</v>
          </cell>
        </row>
        <row r="1261">
          <cell r="B1261" t="str">
            <v>RAIDER150 FI BLADE</v>
          </cell>
          <cell r="C1261" t="str">
            <v>MUTI BANSALAN</v>
          </cell>
          <cell r="D1261">
            <v>1</v>
          </cell>
        </row>
        <row r="1262">
          <cell r="B1262" t="str">
            <v>RAIDER150 FI BLADE</v>
          </cell>
          <cell r="C1262" t="str">
            <v>MUTI BATANGAS</v>
          </cell>
          <cell r="D1262">
            <v>1</v>
          </cell>
        </row>
        <row r="1263">
          <cell r="B1263" t="str">
            <v>RAIDER150 FI BLADE</v>
          </cell>
          <cell r="C1263" t="str">
            <v>MUTI BUTUAN</v>
          </cell>
          <cell r="D1263">
            <v>2</v>
          </cell>
        </row>
        <row r="1264">
          <cell r="B1264" t="str">
            <v>RAIDER150 FI BLADE</v>
          </cell>
          <cell r="C1264" t="str">
            <v>MUTI DIGOS</v>
          </cell>
          <cell r="D1264">
            <v>1</v>
          </cell>
        </row>
        <row r="1265">
          <cell r="B1265" t="str">
            <v>RAIDER150 FI BLADE</v>
          </cell>
          <cell r="C1265" t="str">
            <v>MUTI ISULAN</v>
          </cell>
          <cell r="D1265">
            <v>1</v>
          </cell>
        </row>
        <row r="1266">
          <cell r="B1266" t="str">
            <v>RAIDER150 FI BLADE</v>
          </cell>
          <cell r="C1266" t="str">
            <v>MUTI KABACAN</v>
          </cell>
          <cell r="D1266">
            <v>2</v>
          </cell>
        </row>
        <row r="1267">
          <cell r="B1267" t="str">
            <v>RAIDER150 FI BLADE</v>
          </cell>
          <cell r="C1267" t="str">
            <v>MUTI KIDAPAWAN</v>
          </cell>
          <cell r="D1267">
            <v>1</v>
          </cell>
        </row>
        <row r="1268">
          <cell r="B1268" t="str">
            <v>RAIDER150 FI BLADE</v>
          </cell>
          <cell r="C1268" t="str">
            <v>MUTI MALUNGON</v>
          </cell>
          <cell r="D1268">
            <v>1</v>
          </cell>
        </row>
        <row r="1269">
          <cell r="B1269" t="str">
            <v>RAIDER150 FI BLADE</v>
          </cell>
          <cell r="C1269" t="str">
            <v>MUTI MARBEL-MC</v>
          </cell>
          <cell r="D1269">
            <v>1</v>
          </cell>
        </row>
        <row r="1270">
          <cell r="B1270" t="str">
            <v>RAIDER150 FI BLADE</v>
          </cell>
          <cell r="C1270" t="str">
            <v>MUTI MLANG</v>
          </cell>
          <cell r="D1270">
            <v>3</v>
          </cell>
        </row>
        <row r="1271">
          <cell r="B1271" t="str">
            <v>RAIDER150 FI BLADE</v>
          </cell>
          <cell r="C1271" t="str">
            <v>MUTI POLOMOLOK</v>
          </cell>
          <cell r="D1271">
            <v>3</v>
          </cell>
        </row>
        <row r="1272">
          <cell r="B1272" t="str">
            <v>RAIDER150 FI BLADE</v>
          </cell>
          <cell r="C1272" t="str">
            <v>MUTI QUEZON</v>
          </cell>
          <cell r="D1272">
            <v>4</v>
          </cell>
        </row>
        <row r="1273">
          <cell r="B1273" t="str">
            <v>RAIDER150 FI BLADE</v>
          </cell>
          <cell r="C1273" t="str">
            <v>MUTI SAN FRANCISCO</v>
          </cell>
          <cell r="D1273">
            <v>2</v>
          </cell>
        </row>
        <row r="1274">
          <cell r="B1274" t="str">
            <v>RAIDER150 FI BLADE</v>
          </cell>
          <cell r="C1274" t="str">
            <v>MUTI TUPI</v>
          </cell>
          <cell r="D1274">
            <v>1</v>
          </cell>
        </row>
        <row r="1275">
          <cell r="B1275" t="str">
            <v>RAIDER150 FI BLADE</v>
          </cell>
          <cell r="C1275" t="str">
            <v>MUTI 3S</v>
          </cell>
          <cell r="D1275">
            <v>5</v>
          </cell>
        </row>
        <row r="1276">
          <cell r="B1276" t="str">
            <v>RAIDER150 FI BLADE</v>
          </cell>
          <cell r="C1276" t="str">
            <v>MUTI BAYUGAN</v>
          </cell>
          <cell r="D1276">
            <v>2</v>
          </cell>
        </row>
        <row r="1277">
          <cell r="B1277" t="str">
            <v>RAIDER150 FI BLADE</v>
          </cell>
          <cell r="C1277" t="str">
            <v>MUTI BULUA</v>
          </cell>
          <cell r="D1277">
            <v>1</v>
          </cell>
        </row>
        <row r="1278">
          <cell r="B1278" t="str">
            <v>RAIDER150 FI BLADE</v>
          </cell>
          <cell r="C1278" t="str">
            <v>MUTI CABADBARAN</v>
          </cell>
          <cell r="D1278">
            <v>2</v>
          </cell>
        </row>
        <row r="1279">
          <cell r="B1279" t="str">
            <v>RAIDER150 FI BLADE</v>
          </cell>
          <cell r="C1279" t="str">
            <v>MUTI CALINAN</v>
          </cell>
          <cell r="D1279">
            <v>1</v>
          </cell>
        </row>
        <row r="1280">
          <cell r="B1280" t="str">
            <v>RAIDER150 FI BLADE</v>
          </cell>
          <cell r="C1280" t="str">
            <v>MUTI TAGUM 1</v>
          </cell>
          <cell r="D1280">
            <v>2</v>
          </cell>
        </row>
        <row r="1281">
          <cell r="B1281" t="str">
            <v>RAIDER150 FI BLADE</v>
          </cell>
          <cell r="C1281" t="str">
            <v>MUTI TAGUM 2</v>
          </cell>
          <cell r="D1281">
            <v>2</v>
          </cell>
        </row>
        <row r="1282">
          <cell r="B1282" t="str">
            <v>RAIDER150 FI BLADE</v>
          </cell>
          <cell r="C1282" t="str">
            <v>MUTI ALABEL</v>
          </cell>
          <cell r="D1282">
            <v>1</v>
          </cell>
        </row>
        <row r="1283">
          <cell r="B1283" t="str">
            <v>RAIDER150 FI BLADE</v>
          </cell>
          <cell r="C1283" t="str">
            <v>MUTI BANGA</v>
          </cell>
          <cell r="D1283">
            <v>1</v>
          </cell>
        </row>
        <row r="1284">
          <cell r="B1284" t="str">
            <v>RAIDER150 FI BLADE</v>
          </cell>
          <cell r="C1284" t="str">
            <v>MUTI BANSALAN</v>
          </cell>
          <cell r="D1284">
            <v>2</v>
          </cell>
        </row>
        <row r="1285">
          <cell r="B1285" t="str">
            <v>RAIDER150 FI BLADE</v>
          </cell>
          <cell r="C1285" t="str">
            <v>MUTI CALAMBA</v>
          </cell>
          <cell r="D1285">
            <v>1</v>
          </cell>
        </row>
        <row r="1286">
          <cell r="B1286" t="str">
            <v>RAIDER150 FI BLADE</v>
          </cell>
          <cell r="C1286" t="str">
            <v>MUTI DIGOS</v>
          </cell>
          <cell r="D1286">
            <v>3</v>
          </cell>
        </row>
        <row r="1287">
          <cell r="B1287" t="str">
            <v>RAIDER150 FI BLADE</v>
          </cell>
          <cell r="C1287" t="str">
            <v>MUTI ISULAN</v>
          </cell>
          <cell r="D1287">
            <v>1</v>
          </cell>
        </row>
        <row r="1288">
          <cell r="B1288" t="str">
            <v>RAIDER150 FI BLADE</v>
          </cell>
          <cell r="C1288" t="str">
            <v>MUTI KIDAPAWAN</v>
          </cell>
          <cell r="D1288">
            <v>1</v>
          </cell>
        </row>
        <row r="1289">
          <cell r="B1289" t="str">
            <v>RAIDER150 FI BLADE</v>
          </cell>
          <cell r="C1289" t="str">
            <v>MUTI LAPASAN</v>
          </cell>
          <cell r="D1289">
            <v>2</v>
          </cell>
        </row>
        <row r="1290">
          <cell r="B1290" t="str">
            <v>RAIDER150 FI BLADE</v>
          </cell>
          <cell r="C1290" t="str">
            <v>MUTI MALUNGON</v>
          </cell>
          <cell r="D1290">
            <v>2</v>
          </cell>
        </row>
        <row r="1291">
          <cell r="B1291" t="str">
            <v>RAIDER150 FI BLADE</v>
          </cell>
          <cell r="C1291" t="str">
            <v>MUTI MIDSAYAP</v>
          </cell>
          <cell r="D1291">
            <v>1</v>
          </cell>
        </row>
        <row r="1292">
          <cell r="B1292" t="str">
            <v>RAIDER150 FI BLADE</v>
          </cell>
          <cell r="C1292" t="str">
            <v>MUTI MLANG</v>
          </cell>
          <cell r="D1292">
            <v>1</v>
          </cell>
        </row>
        <row r="1293">
          <cell r="B1293" t="str">
            <v>RAIDER150 FI BLADE</v>
          </cell>
          <cell r="C1293" t="str">
            <v>MUTI POLOMOLOK</v>
          </cell>
          <cell r="D1293">
            <v>3</v>
          </cell>
        </row>
        <row r="1294">
          <cell r="B1294" t="str">
            <v>RAIDER150 FI BLADE</v>
          </cell>
          <cell r="C1294" t="str">
            <v>MUTI SAN FRANCISCO</v>
          </cell>
          <cell r="D1294">
            <v>1</v>
          </cell>
        </row>
        <row r="1295">
          <cell r="B1295" t="str">
            <v>RAIDER150 FI BLADE</v>
          </cell>
          <cell r="C1295" t="str">
            <v>MUTI SURIGAO</v>
          </cell>
          <cell r="D1295">
            <v>3</v>
          </cell>
        </row>
        <row r="1296">
          <cell r="B1296" t="str">
            <v>RAIDER150 FI BLADE</v>
          </cell>
          <cell r="C1296" t="str">
            <v>MUTI TACURONG</v>
          </cell>
          <cell r="D1296">
            <v>1</v>
          </cell>
        </row>
        <row r="1297">
          <cell r="B1297" t="str">
            <v>RAIDER150 FI BLADE</v>
          </cell>
          <cell r="C1297" t="str">
            <v>MUTI BAYUGAN</v>
          </cell>
          <cell r="D1297">
            <v>1</v>
          </cell>
        </row>
        <row r="1298">
          <cell r="B1298" t="str">
            <v>RAIDER150 FI BLADE</v>
          </cell>
          <cell r="C1298" t="str">
            <v>MUTI CABADBARAN</v>
          </cell>
          <cell r="D1298">
            <v>1</v>
          </cell>
        </row>
        <row r="1299">
          <cell r="B1299" t="str">
            <v>RAIDER150 FI BLADE</v>
          </cell>
          <cell r="C1299" t="str">
            <v>MUTI CABANTIAN</v>
          </cell>
          <cell r="D1299">
            <v>2</v>
          </cell>
        </row>
        <row r="1300">
          <cell r="B1300" t="str">
            <v>RAIDER150 FI BLADE</v>
          </cell>
          <cell r="C1300" t="str">
            <v>MUTI CATALUNAN GRANDE</v>
          </cell>
          <cell r="D1300">
            <v>1</v>
          </cell>
        </row>
        <row r="1301">
          <cell r="B1301" t="str">
            <v>RAIDER150 FI BLADE</v>
          </cell>
          <cell r="C1301" t="str">
            <v>MUTI PROSPERIDAD</v>
          </cell>
          <cell r="D1301">
            <v>1</v>
          </cell>
        </row>
        <row r="1302">
          <cell r="B1302" t="str">
            <v>RAIDER150 FI BLADE</v>
          </cell>
          <cell r="C1302" t="str">
            <v>MUTI SAMAL</v>
          </cell>
          <cell r="D1302">
            <v>2</v>
          </cell>
        </row>
        <row r="1303">
          <cell r="B1303" t="str">
            <v>RAIDER150 FI BLADE</v>
          </cell>
          <cell r="C1303" t="str">
            <v>GREATWALL</v>
          </cell>
          <cell r="D1303">
            <v>18</v>
          </cell>
        </row>
        <row r="1304">
          <cell r="B1304" t="str">
            <v>RAIDER150 FI BLADE</v>
          </cell>
          <cell r="C1304" t="str">
            <v>MUTI DIGOS</v>
          </cell>
          <cell r="D1304">
            <v>3</v>
          </cell>
        </row>
        <row r="1305">
          <cell r="B1305" t="str">
            <v>RAIDER150 FI BLADE</v>
          </cell>
          <cell r="C1305" t="str">
            <v>MUTI DON CARLOS</v>
          </cell>
          <cell r="D1305">
            <v>2</v>
          </cell>
        </row>
        <row r="1306">
          <cell r="B1306" t="str">
            <v>RAIDER150 FI BLADE</v>
          </cell>
          <cell r="C1306" t="str">
            <v>MUTI ECOLAND</v>
          </cell>
          <cell r="D1306">
            <v>4</v>
          </cell>
        </row>
        <row r="1307">
          <cell r="B1307" t="str">
            <v>RAIDER150 FI BLADE</v>
          </cell>
          <cell r="C1307" t="str">
            <v>MUTI LAPASAN</v>
          </cell>
          <cell r="D1307">
            <v>2</v>
          </cell>
        </row>
        <row r="1308">
          <cell r="B1308" t="str">
            <v>RAIDER150 FI BLADE</v>
          </cell>
          <cell r="C1308" t="str">
            <v>MUTI MANOLO</v>
          </cell>
          <cell r="D1308">
            <v>2</v>
          </cell>
        </row>
        <row r="1309">
          <cell r="B1309" t="str">
            <v>RAIDER150 FI BLADE</v>
          </cell>
          <cell r="C1309" t="str">
            <v>MUTI MARBEL-MC</v>
          </cell>
          <cell r="D1309">
            <v>1</v>
          </cell>
        </row>
        <row r="1310">
          <cell r="B1310" t="str">
            <v>RAIDER150 FI BLADE</v>
          </cell>
          <cell r="C1310" t="str">
            <v>MUTI MIDSAYAP</v>
          </cell>
          <cell r="D1310">
            <v>1</v>
          </cell>
        </row>
        <row r="1311">
          <cell r="B1311" t="str">
            <v>RAIDER150 FI BLADE</v>
          </cell>
          <cell r="C1311" t="str">
            <v>MUTI NABUNTURAN</v>
          </cell>
          <cell r="D1311">
            <v>3</v>
          </cell>
        </row>
        <row r="1312">
          <cell r="B1312" t="str">
            <v>RAIDER150 FI BLADE</v>
          </cell>
          <cell r="C1312" t="str">
            <v>MUTI VALENCIA</v>
          </cell>
          <cell r="D1312">
            <v>1</v>
          </cell>
        </row>
        <row r="1313">
          <cell r="B1313" t="str">
            <v>RAIDER150 FI BLADE</v>
          </cell>
          <cell r="C1313" t="str">
            <v>MUTI OZAMIZ</v>
          </cell>
          <cell r="D1313">
            <v>2</v>
          </cell>
        </row>
        <row r="1314">
          <cell r="B1314" t="str">
            <v>RAIDER150 FI BLADE</v>
          </cell>
          <cell r="C1314" t="str">
            <v>MUTI SAMAL</v>
          </cell>
          <cell r="D1314">
            <v>2</v>
          </cell>
        </row>
        <row r="1315">
          <cell r="B1315" t="str">
            <v>RAIDER150 FI BLADE</v>
          </cell>
          <cell r="C1315" t="str">
            <v>MUTI TAGUM 1</v>
          </cell>
          <cell r="D1315">
            <v>1</v>
          </cell>
        </row>
        <row r="1316">
          <cell r="B1316" t="str">
            <v>RAIDER150 FI BLADE</v>
          </cell>
          <cell r="C1316" t="str">
            <v>MUTI TAGUM 2</v>
          </cell>
          <cell r="D1316">
            <v>1</v>
          </cell>
        </row>
        <row r="1317">
          <cell r="B1317" t="str">
            <v>RAIDER150 FI BLADE</v>
          </cell>
          <cell r="C1317" t="str">
            <v>MUTI TAGUM 3</v>
          </cell>
          <cell r="D1317">
            <v>5</v>
          </cell>
        </row>
        <row r="1318">
          <cell r="B1318" t="str">
            <v>RAIDER150 FI BLADE</v>
          </cell>
          <cell r="C1318" t="str">
            <v>MUTI ALABEL</v>
          </cell>
          <cell r="D1318">
            <v>2</v>
          </cell>
        </row>
        <row r="1319">
          <cell r="B1319" t="str">
            <v>RAIDER150 FI BLADE</v>
          </cell>
          <cell r="C1319" t="str">
            <v>MUTI BANSALAN</v>
          </cell>
          <cell r="D1319">
            <v>1</v>
          </cell>
        </row>
        <row r="1320">
          <cell r="B1320" t="str">
            <v>RAIDER150 FI BLADE</v>
          </cell>
          <cell r="C1320" t="str">
            <v>MUTI BATANGAS</v>
          </cell>
          <cell r="D1320">
            <v>1</v>
          </cell>
        </row>
        <row r="1321">
          <cell r="B1321" t="str">
            <v>RAIDER150 FI BLADE</v>
          </cell>
          <cell r="C1321" t="str">
            <v>MUTI BUTUAN</v>
          </cell>
          <cell r="D1321">
            <v>1</v>
          </cell>
        </row>
        <row r="1322">
          <cell r="B1322" t="str">
            <v>RAIDER150 FI BLADE</v>
          </cell>
          <cell r="C1322" t="str">
            <v>MUTI ECOLAND</v>
          </cell>
          <cell r="D1322">
            <v>1</v>
          </cell>
        </row>
        <row r="1323">
          <cell r="B1323" t="str">
            <v>RAIDER150 FI BLADE</v>
          </cell>
          <cell r="C1323" t="str">
            <v>MUTI ISULAN</v>
          </cell>
          <cell r="D1323">
            <v>3</v>
          </cell>
        </row>
        <row r="1324">
          <cell r="B1324" t="str">
            <v>RAIDER150 FI BLADE</v>
          </cell>
          <cell r="C1324" t="str">
            <v>MUTI KIDAPAWAN</v>
          </cell>
          <cell r="D1324">
            <v>1</v>
          </cell>
        </row>
        <row r="1325">
          <cell r="B1325" t="str">
            <v>RAIDER150 FI BLADE</v>
          </cell>
          <cell r="C1325" t="str">
            <v>MUTI MARBEL-MC</v>
          </cell>
          <cell r="D1325">
            <v>1</v>
          </cell>
        </row>
        <row r="1326">
          <cell r="B1326" t="str">
            <v>RAIDER150 FI BLADE</v>
          </cell>
          <cell r="C1326" t="str">
            <v>MUTI MIDSAYAP</v>
          </cell>
          <cell r="D1326">
            <v>1</v>
          </cell>
        </row>
        <row r="1327">
          <cell r="B1327" t="str">
            <v>RAIDER150 FI BLADE</v>
          </cell>
          <cell r="C1327" t="str">
            <v>MUTI MLANG</v>
          </cell>
          <cell r="D1327">
            <v>2</v>
          </cell>
        </row>
        <row r="1328">
          <cell r="B1328" t="str">
            <v>RAIDER150 FI BLADE</v>
          </cell>
          <cell r="C1328" t="str">
            <v>MUTI POLOMOLOK</v>
          </cell>
          <cell r="D1328">
            <v>1</v>
          </cell>
        </row>
        <row r="1329">
          <cell r="B1329" t="str">
            <v>RAIDER150 FI BLADE</v>
          </cell>
          <cell r="C1329" t="str">
            <v>MUTI SURIGAO</v>
          </cell>
          <cell r="D1329">
            <v>2</v>
          </cell>
        </row>
        <row r="1330">
          <cell r="B1330" t="str">
            <v>RAIDER150 FI BLADE</v>
          </cell>
          <cell r="C1330" t="str">
            <v>MUTI 3S</v>
          </cell>
          <cell r="D1330">
            <v>2</v>
          </cell>
        </row>
        <row r="1331">
          <cell r="B1331" t="str">
            <v>RAIDER150 FI BLADE</v>
          </cell>
          <cell r="C1331" t="str">
            <v>MUTI BAYUGAN</v>
          </cell>
          <cell r="D1331">
            <v>2</v>
          </cell>
        </row>
        <row r="1332">
          <cell r="B1332" t="str">
            <v>RAIDER150 FI BLADE</v>
          </cell>
          <cell r="C1332" t="str">
            <v>MUTI BULUA</v>
          </cell>
          <cell r="D1332">
            <v>1</v>
          </cell>
        </row>
        <row r="1333">
          <cell r="B1333" t="str">
            <v>RAIDER150 FI BLADE</v>
          </cell>
          <cell r="C1333" t="str">
            <v>MUTI CABADBARAN</v>
          </cell>
          <cell r="D1333">
            <v>2</v>
          </cell>
        </row>
        <row r="1334">
          <cell r="B1334" t="str">
            <v>RAIDER150 FI BLADE</v>
          </cell>
          <cell r="C1334" t="str">
            <v>MUTI CABANTIAN</v>
          </cell>
          <cell r="D1334">
            <v>1</v>
          </cell>
        </row>
        <row r="1335">
          <cell r="B1335" t="str">
            <v>RAIDER150 FI BLADE</v>
          </cell>
          <cell r="C1335" t="str">
            <v>MUTI CALINAN</v>
          </cell>
          <cell r="D1335">
            <v>1</v>
          </cell>
        </row>
        <row r="1336">
          <cell r="B1336" t="str">
            <v>RAIDER150 FI BLADE</v>
          </cell>
          <cell r="C1336" t="str">
            <v>MUTI CATALUNAN GRANDE</v>
          </cell>
          <cell r="D1336">
            <v>1</v>
          </cell>
        </row>
        <row r="1337">
          <cell r="B1337" t="str">
            <v>RAIDER150 FI BLADE</v>
          </cell>
          <cell r="C1337" t="str">
            <v>MUTI SAMAL</v>
          </cell>
          <cell r="D1337">
            <v>2</v>
          </cell>
        </row>
        <row r="1338">
          <cell r="B1338" t="str">
            <v>RAIDER150 FI BLADE</v>
          </cell>
          <cell r="C1338" t="str">
            <v>MUTI TAGUM 2</v>
          </cell>
          <cell r="D1338">
            <v>2</v>
          </cell>
        </row>
        <row r="1339">
          <cell r="B1339" t="str">
            <v>RAIDER150 FI PRO</v>
          </cell>
          <cell r="C1339" t="str">
            <v>MUTI POLOMOLOK</v>
          </cell>
          <cell r="D1339">
            <v>1</v>
          </cell>
        </row>
        <row r="1340">
          <cell r="B1340" t="str">
            <v>RAIDER150 FI PRO</v>
          </cell>
          <cell r="C1340" t="str">
            <v>MUTI STO. TOMAS</v>
          </cell>
          <cell r="D1340">
            <v>1</v>
          </cell>
        </row>
        <row r="1341">
          <cell r="B1341" t="str">
            <v>RAIDER150 FI PRO</v>
          </cell>
          <cell r="C1341" t="str">
            <v>MUTI TUPI</v>
          </cell>
          <cell r="D1341">
            <v>1</v>
          </cell>
        </row>
        <row r="1342">
          <cell r="B1342" t="str">
            <v>RAIDER150 FI PRO</v>
          </cell>
          <cell r="C1342" t="str">
            <v>MUTI PANABO</v>
          </cell>
          <cell r="D1342">
            <v>1</v>
          </cell>
        </row>
        <row r="1343">
          <cell r="B1343" t="str">
            <v>RAIDER150 FI PRO</v>
          </cell>
          <cell r="C1343" t="str">
            <v>GREATWALL</v>
          </cell>
          <cell r="D1343">
            <v>8</v>
          </cell>
        </row>
        <row r="1344">
          <cell r="B1344" t="str">
            <v>RAIDER150 FI PRO</v>
          </cell>
          <cell r="C1344" t="str">
            <v>MUTI BATANGAS</v>
          </cell>
          <cell r="D1344">
            <v>2</v>
          </cell>
        </row>
        <row r="1345">
          <cell r="B1345" t="str">
            <v>RAIDER150 FI PRO</v>
          </cell>
          <cell r="C1345" t="str">
            <v>MUTI CALAMBA</v>
          </cell>
          <cell r="D1345">
            <v>1</v>
          </cell>
        </row>
        <row r="1346">
          <cell r="B1346" t="str">
            <v>RAIDER150 FI PRO</v>
          </cell>
          <cell r="C1346" t="str">
            <v>MUTI SURALLAH</v>
          </cell>
          <cell r="D1346">
            <v>1</v>
          </cell>
        </row>
        <row r="1347">
          <cell r="B1347" t="str">
            <v>RAIDER150 FI PRO</v>
          </cell>
          <cell r="C1347" t="str">
            <v>MUTI 3S</v>
          </cell>
          <cell r="D1347">
            <v>1</v>
          </cell>
        </row>
        <row r="1348">
          <cell r="B1348" t="str">
            <v>RAIDER150 FI PRO</v>
          </cell>
          <cell r="C1348" t="str">
            <v>MUTI TAGUM 1</v>
          </cell>
          <cell r="D1348">
            <v>2</v>
          </cell>
        </row>
        <row r="1349">
          <cell r="B1349" t="str">
            <v>SMASH FI(SPOKE)</v>
          </cell>
          <cell r="C1349" t="str">
            <v>MUTI STO. TOMAS</v>
          </cell>
          <cell r="D1349">
            <v>1</v>
          </cell>
        </row>
        <row r="1350">
          <cell r="B1350" t="str">
            <v>SMASH FI(SPOKE)</v>
          </cell>
          <cell r="C1350" t="str">
            <v>MUTI BATANGAS</v>
          </cell>
          <cell r="D1350">
            <v>1</v>
          </cell>
        </row>
        <row r="1351">
          <cell r="B1351" t="str">
            <v>SMASH FI(SPOKE)</v>
          </cell>
          <cell r="C1351" t="str">
            <v>MUTI STO. TOMAS</v>
          </cell>
          <cell r="D1351">
            <v>1</v>
          </cell>
        </row>
        <row r="1352">
          <cell r="B1352" t="str">
            <v>SMASH FI(SPOKE)</v>
          </cell>
          <cell r="C1352" t="str">
            <v>MUTI STO. TOMAS</v>
          </cell>
          <cell r="D1352">
            <v>1</v>
          </cell>
        </row>
        <row r="1353">
          <cell r="B1353" t="str">
            <v>ACCESS 125 RIDE CONNECT</v>
          </cell>
          <cell r="C1353" t="str">
            <v>GREATWALL</v>
          </cell>
          <cell r="D1353">
            <v>5</v>
          </cell>
        </row>
        <row r="1354">
          <cell r="B1354" t="str">
            <v>ACCESS 125 RIDE CONNECT</v>
          </cell>
          <cell r="C1354" t="str">
            <v>MUTI SURALLAH</v>
          </cell>
          <cell r="D1354">
            <v>1</v>
          </cell>
        </row>
        <row r="1355">
          <cell r="B1355" t="str">
            <v>ACCESS 125 RIDE CONNECT</v>
          </cell>
          <cell r="C1355" t="str">
            <v>MUTI 3S</v>
          </cell>
          <cell r="D1355">
            <v>1</v>
          </cell>
        </row>
        <row r="1356">
          <cell r="B1356" t="str">
            <v>ACCESS 125 RIDE CONNECT</v>
          </cell>
          <cell r="C1356" t="str">
            <v>GREATWALL</v>
          </cell>
          <cell r="D1356">
            <v>3</v>
          </cell>
        </row>
        <row r="1357">
          <cell r="B1357" t="str">
            <v>ACCESS 125 RIDE CONNECT</v>
          </cell>
          <cell r="C1357" t="str">
            <v>MUTI BATANGAS</v>
          </cell>
          <cell r="D1357">
            <v>1</v>
          </cell>
        </row>
        <row r="1358">
          <cell r="B1358" t="str">
            <v>ACCESS 125 RIDE CONNECT</v>
          </cell>
          <cell r="C1358" t="str">
            <v>MUTI ECOLAND</v>
          </cell>
          <cell r="D1358">
            <v>1</v>
          </cell>
        </row>
        <row r="1359">
          <cell r="B1359" t="str">
            <v>DR160</v>
          </cell>
          <cell r="C1359" t="str">
            <v>GREATWALL</v>
          </cell>
          <cell r="D1359">
            <v>6</v>
          </cell>
        </row>
        <row r="1360">
          <cell r="B1360" t="str">
            <v>DR160</v>
          </cell>
          <cell r="C1360" t="str">
            <v>MUTI DIGOS</v>
          </cell>
          <cell r="D1360">
            <v>1</v>
          </cell>
        </row>
        <row r="1361">
          <cell r="B1361" t="str">
            <v>DR160</v>
          </cell>
          <cell r="C1361" t="str">
            <v>MUTI KIDAPAWAN</v>
          </cell>
          <cell r="D1361">
            <v>2</v>
          </cell>
        </row>
        <row r="1362">
          <cell r="B1362" t="str">
            <v>DR160</v>
          </cell>
          <cell r="C1362" t="str">
            <v>MUTI MALUNGON</v>
          </cell>
          <cell r="D1362">
            <v>2</v>
          </cell>
        </row>
        <row r="1363">
          <cell r="B1363" t="str">
            <v>DR160</v>
          </cell>
          <cell r="C1363" t="str">
            <v>MUTI MIDSAYAP</v>
          </cell>
          <cell r="D1363">
            <v>1</v>
          </cell>
        </row>
        <row r="1364">
          <cell r="B1364" t="str">
            <v>DR160</v>
          </cell>
          <cell r="C1364" t="str">
            <v>MUTI POLOMOLOK</v>
          </cell>
          <cell r="D1364">
            <v>1</v>
          </cell>
        </row>
        <row r="1365">
          <cell r="B1365" t="str">
            <v>DR160</v>
          </cell>
          <cell r="C1365" t="str">
            <v>MUTI SAN FRANCISCO</v>
          </cell>
          <cell r="D1365">
            <v>1</v>
          </cell>
        </row>
        <row r="1366">
          <cell r="B1366" t="str">
            <v>DR160</v>
          </cell>
          <cell r="C1366" t="str">
            <v>MUTI 3S</v>
          </cell>
          <cell r="D1366">
            <v>1</v>
          </cell>
        </row>
        <row r="1367">
          <cell r="B1367" t="str">
            <v>DR160</v>
          </cell>
          <cell r="C1367" t="str">
            <v>MUTI OZAMIZ</v>
          </cell>
          <cell r="D1367">
            <v>1</v>
          </cell>
        </row>
        <row r="1368">
          <cell r="B1368" t="str">
            <v>DR160</v>
          </cell>
          <cell r="C1368" t="str">
            <v>MUTI PROSPERIDAD</v>
          </cell>
          <cell r="D1368">
            <v>1</v>
          </cell>
        </row>
        <row r="1369">
          <cell r="B1369" t="str">
            <v>DR160</v>
          </cell>
          <cell r="C1369" t="str">
            <v>MUTI TAGUM 3</v>
          </cell>
          <cell r="D1369">
            <v>1</v>
          </cell>
        </row>
        <row r="1370">
          <cell r="B1370" t="str">
            <v>DR160</v>
          </cell>
          <cell r="C1370" t="str">
            <v>GREATWALL</v>
          </cell>
          <cell r="D1370">
            <v>3</v>
          </cell>
        </row>
        <row r="1371">
          <cell r="B1371" t="str">
            <v>DR160</v>
          </cell>
          <cell r="C1371" t="str">
            <v>MUTI BUTUAN</v>
          </cell>
          <cell r="D1371">
            <v>2</v>
          </cell>
        </row>
        <row r="1372">
          <cell r="B1372" t="str">
            <v>DR160</v>
          </cell>
          <cell r="C1372" t="str">
            <v>MUTI ISULAN</v>
          </cell>
          <cell r="D1372">
            <v>1</v>
          </cell>
        </row>
        <row r="1373">
          <cell r="B1373" t="str">
            <v>DR160</v>
          </cell>
          <cell r="C1373" t="str">
            <v>MUTI KIDAPAWAN</v>
          </cell>
          <cell r="D1373">
            <v>2</v>
          </cell>
        </row>
        <row r="1374">
          <cell r="B1374" t="str">
            <v>DR160</v>
          </cell>
          <cell r="C1374" t="str">
            <v>MUTI MALUNGON</v>
          </cell>
          <cell r="D1374">
            <v>2</v>
          </cell>
        </row>
        <row r="1375">
          <cell r="B1375" t="str">
            <v>DR160</v>
          </cell>
          <cell r="C1375" t="str">
            <v>MUTI SURALLAH</v>
          </cell>
          <cell r="D1375">
            <v>1</v>
          </cell>
        </row>
        <row r="1376">
          <cell r="B1376" t="str">
            <v>DR160</v>
          </cell>
          <cell r="C1376" t="str">
            <v>MUTI TUPI</v>
          </cell>
          <cell r="D1376">
            <v>1</v>
          </cell>
        </row>
        <row r="1377">
          <cell r="B1377" t="str">
            <v>DR160</v>
          </cell>
          <cell r="C1377" t="str">
            <v>MUTI 3S</v>
          </cell>
          <cell r="D1377">
            <v>2</v>
          </cell>
        </row>
        <row r="1378">
          <cell r="B1378" t="str">
            <v>DR160</v>
          </cell>
          <cell r="C1378" t="str">
            <v>MUTI TAGUM 1</v>
          </cell>
          <cell r="D1378">
            <v>2</v>
          </cell>
        </row>
        <row r="1379">
          <cell r="B1379" t="str">
            <v>DR160</v>
          </cell>
          <cell r="C1379" t="str">
            <v>MUTI TAGUM 2</v>
          </cell>
          <cell r="D1379">
            <v>1</v>
          </cell>
        </row>
        <row r="1380">
          <cell r="B1380" t="str">
            <v>V-STROM 160</v>
          </cell>
          <cell r="C1380" t="str">
            <v>MUTI SURALLAH</v>
          </cell>
          <cell r="D1380">
            <v>1</v>
          </cell>
        </row>
        <row r="1381">
          <cell r="B1381" t="str">
            <v>SMASH(MAGS)</v>
          </cell>
          <cell r="C1381" t="str">
            <v>MUTI POLOMOLOK</v>
          </cell>
          <cell r="D1381">
            <v>1</v>
          </cell>
        </row>
        <row r="1382">
          <cell r="B1382" t="str">
            <v>BURGMAN15</v>
          </cell>
          <cell r="C1382" t="str">
            <v>GREATWALL</v>
          </cell>
          <cell r="D1382">
            <v>6</v>
          </cell>
        </row>
        <row r="1383">
          <cell r="B1383" t="str">
            <v>BURGMAN15</v>
          </cell>
          <cell r="C1383" t="str">
            <v>MUTI BATANGAS</v>
          </cell>
          <cell r="D1383">
            <v>3</v>
          </cell>
        </row>
        <row r="1384">
          <cell r="B1384" t="str">
            <v>BURGMAN15</v>
          </cell>
          <cell r="C1384" t="str">
            <v>MUTI CALAMBA</v>
          </cell>
          <cell r="D1384">
            <v>1</v>
          </cell>
        </row>
        <row r="1385">
          <cell r="B1385" t="str">
            <v>BURGMAN15</v>
          </cell>
          <cell r="C1385" t="str">
            <v>MUTI KIDAPAWAN</v>
          </cell>
          <cell r="D1385">
            <v>1</v>
          </cell>
        </row>
        <row r="1386">
          <cell r="B1386" t="str">
            <v>BURGMAN15</v>
          </cell>
          <cell r="C1386" t="str">
            <v>MUTI MARBEL-MC</v>
          </cell>
          <cell r="D1386">
            <v>1</v>
          </cell>
        </row>
        <row r="1387">
          <cell r="B1387" t="str">
            <v>BURGMAN15</v>
          </cell>
          <cell r="C1387" t="str">
            <v>MUTI STO. TOMAS</v>
          </cell>
          <cell r="D1387">
            <v>3</v>
          </cell>
        </row>
        <row r="1388">
          <cell r="B1388" t="str">
            <v>BURGMAN15</v>
          </cell>
          <cell r="C1388" t="str">
            <v>MUTI 3S</v>
          </cell>
          <cell r="D1388">
            <v>1</v>
          </cell>
        </row>
        <row r="1389">
          <cell r="B1389" t="str">
            <v>BURGMAN15</v>
          </cell>
          <cell r="C1389" t="str">
            <v>GREATWALL</v>
          </cell>
          <cell r="D1389">
            <v>7</v>
          </cell>
        </row>
        <row r="1390">
          <cell r="B1390" t="str">
            <v>BURGMAN15</v>
          </cell>
          <cell r="C1390" t="str">
            <v>MUTI BATANGAS</v>
          </cell>
          <cell r="D1390">
            <v>2</v>
          </cell>
        </row>
        <row r="1391">
          <cell r="B1391" t="str">
            <v>BURGMAN15</v>
          </cell>
          <cell r="C1391" t="str">
            <v>MUTI CALAMBA</v>
          </cell>
          <cell r="D1391">
            <v>1</v>
          </cell>
        </row>
        <row r="1392">
          <cell r="B1392" t="str">
            <v>BURGMAN15</v>
          </cell>
          <cell r="C1392" t="str">
            <v>MUTI ECOLAND</v>
          </cell>
          <cell r="D1392">
            <v>1</v>
          </cell>
        </row>
        <row r="1393">
          <cell r="B1393" t="str">
            <v>BURGMAN15</v>
          </cell>
          <cell r="C1393" t="str">
            <v>MUTI STO. TOMAS</v>
          </cell>
          <cell r="D1393">
            <v>3</v>
          </cell>
        </row>
        <row r="1394">
          <cell r="B1394" t="str">
            <v>BURGMAN15</v>
          </cell>
          <cell r="C1394" t="str">
            <v>MUTI TIBUNGCO</v>
          </cell>
          <cell r="D1394">
            <v>1</v>
          </cell>
        </row>
        <row r="1395">
          <cell r="B1395" t="str">
            <v>BURGMAN15</v>
          </cell>
          <cell r="C1395" t="str">
            <v>MUTI 3S</v>
          </cell>
          <cell r="D1395">
            <v>2</v>
          </cell>
        </row>
        <row r="1396">
          <cell r="B1396" t="str">
            <v>BURGMAN15</v>
          </cell>
          <cell r="C1396" t="str">
            <v>MUTI OZAMIZ</v>
          </cell>
          <cell r="D1396">
            <v>1</v>
          </cell>
        </row>
        <row r="1397">
          <cell r="B1397" t="str">
            <v>MAXIMA Z</v>
          </cell>
          <cell r="C1397" t="str">
            <v>MUTI MALUNGON</v>
          </cell>
          <cell r="D1397">
            <v>1</v>
          </cell>
        </row>
        <row r="1398">
          <cell r="B1398" t="str">
            <v>MAXIMA CARGO</v>
          </cell>
          <cell r="C1398" t="str">
            <v>MUTI MARBEL-MC</v>
          </cell>
          <cell r="D1398">
            <v>1</v>
          </cell>
        </row>
        <row r="1399">
          <cell r="B1399" t="str">
            <v>BAJAJ RE SP. ED</v>
          </cell>
          <cell r="C1399" t="str">
            <v>MUTI MARBEL-MC</v>
          </cell>
          <cell r="D1399">
            <v>1</v>
          </cell>
        </row>
        <row r="1400">
          <cell r="B1400" t="str">
            <v>BAJAJ RE 4S FI</v>
          </cell>
          <cell r="C1400" t="str">
            <v>MUTI BANSALAN</v>
          </cell>
          <cell r="D1400">
            <v>2</v>
          </cell>
        </row>
        <row r="1401">
          <cell r="B1401" t="str">
            <v>BAJAJ RE 4S FI</v>
          </cell>
          <cell r="C1401" t="str">
            <v>MUTI DIGOS</v>
          </cell>
          <cell r="D1401">
            <v>1</v>
          </cell>
        </row>
        <row r="1402">
          <cell r="B1402" t="str">
            <v>BAJAJ RE 4S FI</v>
          </cell>
          <cell r="C1402" t="str">
            <v>MUTI ISULAN</v>
          </cell>
          <cell r="D1402">
            <v>1</v>
          </cell>
        </row>
        <row r="1403">
          <cell r="B1403" t="str">
            <v>BAJAJ RE 4S FI</v>
          </cell>
          <cell r="C1403" t="str">
            <v>MUTI MARAMAG</v>
          </cell>
          <cell r="D1403">
            <v>1</v>
          </cell>
        </row>
        <row r="1404">
          <cell r="B1404" t="str">
            <v>BAJAJ RE 4S FI</v>
          </cell>
          <cell r="C1404" t="str">
            <v>MUTI NABUNTURAN</v>
          </cell>
          <cell r="D1404">
            <v>1</v>
          </cell>
        </row>
        <row r="1405">
          <cell r="B1405" t="str">
            <v>BAJAJ RE 4S FI</v>
          </cell>
          <cell r="C1405" t="str">
            <v>MUTI BAYUGAN</v>
          </cell>
          <cell r="D1405">
            <v>4</v>
          </cell>
        </row>
        <row r="1406">
          <cell r="B1406" t="str">
            <v>BAJAJ RE 4S FI</v>
          </cell>
          <cell r="C1406" t="str">
            <v>MUTI CABADBARAN</v>
          </cell>
          <cell r="D1406">
            <v>1</v>
          </cell>
        </row>
        <row r="1407">
          <cell r="B1407" t="str">
            <v>BAJAJ RE 4S FI</v>
          </cell>
          <cell r="C1407" t="str">
            <v>MUTI CALINAN</v>
          </cell>
          <cell r="D1407">
            <v>1</v>
          </cell>
        </row>
        <row r="1408">
          <cell r="B1408" t="str">
            <v>BAJAJ RE 4S FI</v>
          </cell>
          <cell r="C1408" t="str">
            <v>MUTI TAGUM 1</v>
          </cell>
          <cell r="D1408">
            <v>1</v>
          </cell>
        </row>
        <row r="1409">
          <cell r="B1409" t="str">
            <v>BAJAJ RE 4S FI</v>
          </cell>
          <cell r="C1409" t="str">
            <v>MUTI BANSALAN</v>
          </cell>
          <cell r="D1409">
            <v>1</v>
          </cell>
        </row>
        <row r="1410">
          <cell r="B1410" t="str">
            <v>BAJAJ RE 4S FI</v>
          </cell>
          <cell r="C1410" t="str">
            <v>MUTI MANOLO</v>
          </cell>
          <cell r="D1410">
            <v>1</v>
          </cell>
        </row>
        <row r="1411">
          <cell r="B1411" t="str">
            <v>BAJAJ RE 4S FI</v>
          </cell>
          <cell r="C1411" t="str">
            <v>MUTI NABUNTURAN</v>
          </cell>
          <cell r="D1411">
            <v>3</v>
          </cell>
        </row>
        <row r="1412">
          <cell r="B1412" t="str">
            <v>BAJAJ RE 4S FI</v>
          </cell>
          <cell r="C1412" t="str">
            <v>MUTI TACURONG</v>
          </cell>
          <cell r="D1412">
            <v>1</v>
          </cell>
        </row>
        <row r="1413">
          <cell r="B1413" t="str">
            <v>BAJAJ RE 4S FI</v>
          </cell>
          <cell r="C1413" t="str">
            <v>MUTI CABANTIAN</v>
          </cell>
          <cell r="D1413">
            <v>1</v>
          </cell>
        </row>
        <row r="1414">
          <cell r="B1414" t="str">
            <v>BAJAJ RE 4S FI</v>
          </cell>
          <cell r="C1414" t="str">
            <v>MUTI OZAMIZ</v>
          </cell>
          <cell r="D1414">
            <v>1</v>
          </cell>
        </row>
        <row r="1415">
          <cell r="B1415" t="str">
            <v>BAJAJ RE 4S FI</v>
          </cell>
          <cell r="C1415" t="str">
            <v>MUTI SAMAL</v>
          </cell>
          <cell r="D1415">
            <v>2</v>
          </cell>
        </row>
        <row r="1416">
          <cell r="B1416" t="str">
            <v>BAJAJ RE 4S FI</v>
          </cell>
          <cell r="C1416" t="str">
            <v>MUTI TAGUM 1</v>
          </cell>
          <cell r="D1416">
            <v>2</v>
          </cell>
        </row>
        <row r="1417">
          <cell r="B1417" t="str">
            <v>BAJAJ RE 4S FI</v>
          </cell>
          <cell r="C1417" t="str">
            <v>MUTI TAGUM 3</v>
          </cell>
          <cell r="D1417">
            <v>1</v>
          </cell>
        </row>
        <row r="1418">
          <cell r="B1418" t="str">
            <v>BAJAJ RE 4S FI</v>
          </cell>
          <cell r="C1418" t="str">
            <v>MUTI ECOLAND</v>
          </cell>
          <cell r="D1418">
            <v>1</v>
          </cell>
        </row>
        <row r="1419">
          <cell r="B1419" t="str">
            <v>BAJAJ RE 4S FI</v>
          </cell>
          <cell r="C1419" t="str">
            <v>MUTI LAPASAN</v>
          </cell>
          <cell r="D1419">
            <v>1</v>
          </cell>
        </row>
        <row r="1420">
          <cell r="B1420" t="str">
            <v>BAJAJ RE 4S FI</v>
          </cell>
          <cell r="C1420" t="str">
            <v>MUTI NABUNTURAN</v>
          </cell>
          <cell r="D1420">
            <v>3</v>
          </cell>
        </row>
        <row r="1421">
          <cell r="B1421" t="str">
            <v>BAJAJ RE 4S FI</v>
          </cell>
          <cell r="C1421" t="str">
            <v>MUTI SAN FRANCISCO</v>
          </cell>
          <cell r="D1421">
            <v>3</v>
          </cell>
        </row>
        <row r="1422">
          <cell r="B1422" t="str">
            <v>BAJAJ RE 4S FI</v>
          </cell>
          <cell r="C1422" t="str">
            <v>MUTI SURIGAO</v>
          </cell>
          <cell r="D1422">
            <v>1</v>
          </cell>
        </row>
        <row r="1423">
          <cell r="B1423" t="str">
            <v>BAJAJ RE 4S FI</v>
          </cell>
          <cell r="C1423" t="str">
            <v>MUTI TIBUNGCO</v>
          </cell>
          <cell r="D1423">
            <v>1</v>
          </cell>
        </row>
        <row r="1424">
          <cell r="B1424" t="str">
            <v>BAJAJ RE 4S FI</v>
          </cell>
          <cell r="C1424" t="str">
            <v>MUTI CABADBARAN</v>
          </cell>
          <cell r="D1424">
            <v>1</v>
          </cell>
        </row>
        <row r="1425">
          <cell r="B1425" t="str">
            <v>BAJAJ RE 4S FI</v>
          </cell>
          <cell r="C1425" t="str">
            <v>MUTI CABANTIAN</v>
          </cell>
          <cell r="D1425">
            <v>3</v>
          </cell>
        </row>
        <row r="1426">
          <cell r="B1426" t="str">
            <v>BAJAJ RE 4S FI</v>
          </cell>
          <cell r="C1426" t="str">
            <v>MUTI PROSPERIDAD</v>
          </cell>
          <cell r="D1426">
            <v>6</v>
          </cell>
        </row>
        <row r="1427">
          <cell r="B1427" t="str">
            <v>BAJAJ RE 4S FI</v>
          </cell>
          <cell r="C1427" t="str">
            <v>MUTI SAMAL</v>
          </cell>
          <cell r="D1427">
            <v>1</v>
          </cell>
        </row>
        <row r="1428">
          <cell r="B1428" t="str">
            <v>BAJAJ RE 4S FI</v>
          </cell>
          <cell r="C1428" t="str">
            <v>MUTI TAGUM 1</v>
          </cell>
          <cell r="D1428">
            <v>2</v>
          </cell>
        </row>
        <row r="1429">
          <cell r="B1429" t="str">
            <v>BAJAJ RE 4S FI</v>
          </cell>
          <cell r="C1429" t="str">
            <v>MUTI ECOLAND</v>
          </cell>
          <cell r="D1429">
            <v>1</v>
          </cell>
        </row>
        <row r="1430">
          <cell r="B1430" t="str">
            <v>BAJAJ RE 4S FI</v>
          </cell>
          <cell r="C1430" t="str">
            <v>MUTI NABUNTURAN</v>
          </cell>
          <cell r="D1430">
            <v>5</v>
          </cell>
        </row>
        <row r="1431">
          <cell r="B1431" t="str">
            <v>BAJAJ RE 4S FI</v>
          </cell>
          <cell r="C1431" t="str">
            <v>MUTI TIBUNGCO</v>
          </cell>
          <cell r="D1431">
            <v>1</v>
          </cell>
        </row>
        <row r="1432">
          <cell r="B1432" t="str">
            <v>BAJAJ RE 4S FI</v>
          </cell>
          <cell r="C1432" t="str">
            <v>MUTI CABANTIAN</v>
          </cell>
          <cell r="D1432">
            <v>1</v>
          </cell>
        </row>
        <row r="1433">
          <cell r="B1433" t="str">
            <v>BAJAJ RE 4S FI</v>
          </cell>
          <cell r="C1433" t="str">
            <v>MUTI SAMAL</v>
          </cell>
          <cell r="D1433">
            <v>2</v>
          </cell>
        </row>
        <row r="1434">
          <cell r="B1434" t="str">
            <v>BAJAJ RE 4S FI</v>
          </cell>
          <cell r="C1434" t="str">
            <v>MUTI TAGUM 1</v>
          </cell>
          <cell r="D1434">
            <v>3</v>
          </cell>
        </row>
        <row r="1435">
          <cell r="B1435" t="str">
            <v>BAJAJ RE 4S FI</v>
          </cell>
          <cell r="C1435" t="str">
            <v>MUTI DON CARLOS</v>
          </cell>
          <cell r="D1435">
            <v>1</v>
          </cell>
        </row>
        <row r="1436">
          <cell r="B1436" t="str">
            <v>BAJAJ RE 4S FI</v>
          </cell>
          <cell r="C1436" t="str">
            <v>MUTI KIDAPAWAN</v>
          </cell>
          <cell r="D1436">
            <v>1</v>
          </cell>
        </row>
        <row r="1437">
          <cell r="B1437" t="str">
            <v>BAJAJ RE 4S FI</v>
          </cell>
          <cell r="C1437" t="str">
            <v>MUTI LAPASAN</v>
          </cell>
          <cell r="D1437">
            <v>1</v>
          </cell>
        </row>
        <row r="1438">
          <cell r="B1438" t="str">
            <v>BAJAJ RE 4S FI</v>
          </cell>
          <cell r="C1438" t="str">
            <v>MUTI MIDSAYAP</v>
          </cell>
          <cell r="D1438">
            <v>1</v>
          </cell>
        </row>
        <row r="1439">
          <cell r="B1439" t="str">
            <v>BAJAJ RE 4S FI</v>
          </cell>
          <cell r="C1439" t="str">
            <v>MUTI MLANG</v>
          </cell>
          <cell r="D1439">
            <v>1</v>
          </cell>
        </row>
        <row r="1440">
          <cell r="B1440" t="str">
            <v>BAJAJ RE 4S FI</v>
          </cell>
          <cell r="C1440" t="str">
            <v>MUTI NABUNTURAN</v>
          </cell>
          <cell r="D1440">
            <v>8</v>
          </cell>
        </row>
        <row r="1441">
          <cell r="B1441" t="str">
            <v>BAJAJ RE 4S FI</v>
          </cell>
          <cell r="C1441" t="str">
            <v>MUTI STO. TOMAS</v>
          </cell>
          <cell r="D1441">
            <v>1</v>
          </cell>
        </row>
        <row r="1442">
          <cell r="B1442" t="str">
            <v>BAJAJ RE 4S FI</v>
          </cell>
          <cell r="C1442" t="str">
            <v>MUTI CABADBARAN</v>
          </cell>
          <cell r="D1442">
            <v>1</v>
          </cell>
        </row>
        <row r="1443">
          <cell r="B1443" t="str">
            <v>BAJAJ RE 4S FI</v>
          </cell>
          <cell r="C1443" t="str">
            <v>MUTI CABANTIAN</v>
          </cell>
          <cell r="D1443">
            <v>1</v>
          </cell>
        </row>
        <row r="1444">
          <cell r="B1444" t="str">
            <v>BAJAJ RE 4S FI</v>
          </cell>
          <cell r="C1444" t="str">
            <v>MUTI CATALUNAN GRANDE</v>
          </cell>
          <cell r="D1444">
            <v>1</v>
          </cell>
        </row>
        <row r="1445">
          <cell r="B1445" t="str">
            <v>BAJAJ RE 4S FI</v>
          </cell>
          <cell r="C1445" t="str">
            <v>MUTI TAGUM 1</v>
          </cell>
          <cell r="D1445">
            <v>10</v>
          </cell>
        </row>
        <row r="1446">
          <cell r="B1446" t="str">
            <v>BAJAJ RE 4S FI</v>
          </cell>
          <cell r="C1446" t="str">
            <v>MUTI TAGUM 2</v>
          </cell>
          <cell r="D1446">
            <v>4</v>
          </cell>
        </row>
        <row r="1447">
          <cell r="B1447" t="str">
            <v>MAXIMA CARGO</v>
          </cell>
          <cell r="C1447" t="str">
            <v>MUTI TAGUM 3</v>
          </cell>
          <cell r="D1447">
            <v>1</v>
          </cell>
        </row>
        <row r="1448">
          <cell r="B1448" t="str">
            <v>YTX125</v>
          </cell>
          <cell r="C1448" t="str">
            <v>GREATWALL</v>
          </cell>
          <cell r="D1448">
            <v>1</v>
          </cell>
        </row>
        <row r="1449">
          <cell r="B1449" t="str">
            <v>YTX125</v>
          </cell>
          <cell r="C1449" t="str">
            <v>MUTI ALABEL</v>
          </cell>
          <cell r="D1449">
            <v>2</v>
          </cell>
        </row>
        <row r="1450">
          <cell r="B1450" t="str">
            <v>YTX125</v>
          </cell>
          <cell r="C1450" t="str">
            <v>MUTI BANGA</v>
          </cell>
          <cell r="D1450">
            <v>1</v>
          </cell>
        </row>
        <row r="1451">
          <cell r="B1451" t="str">
            <v>YTX125</v>
          </cell>
          <cell r="C1451" t="str">
            <v>MUTI DIGOS</v>
          </cell>
          <cell r="D1451">
            <v>1</v>
          </cell>
        </row>
        <row r="1452">
          <cell r="B1452" t="str">
            <v>YTX125</v>
          </cell>
          <cell r="C1452" t="str">
            <v>MUTI ECOLAND</v>
          </cell>
          <cell r="D1452">
            <v>1</v>
          </cell>
        </row>
        <row r="1453">
          <cell r="B1453" t="str">
            <v>YTX125</v>
          </cell>
          <cell r="C1453" t="str">
            <v>MUTI ISULAN</v>
          </cell>
          <cell r="D1453">
            <v>1</v>
          </cell>
        </row>
        <row r="1454">
          <cell r="B1454" t="str">
            <v>YTX125</v>
          </cell>
          <cell r="C1454" t="str">
            <v>MUTI MARBEL-MC</v>
          </cell>
          <cell r="D1454">
            <v>1</v>
          </cell>
        </row>
        <row r="1455">
          <cell r="B1455" t="str">
            <v>YTX125</v>
          </cell>
          <cell r="C1455" t="str">
            <v>MUTI STO. TOMAS</v>
          </cell>
          <cell r="D1455">
            <v>1</v>
          </cell>
        </row>
        <row r="1456">
          <cell r="B1456" t="str">
            <v>YTX125</v>
          </cell>
          <cell r="C1456" t="str">
            <v>MUTI SURALLAH</v>
          </cell>
          <cell r="D1456">
            <v>1</v>
          </cell>
        </row>
        <row r="1457">
          <cell r="B1457" t="str">
            <v>YTX125</v>
          </cell>
          <cell r="C1457" t="str">
            <v>MUTI CABADBARAN</v>
          </cell>
          <cell r="D1457">
            <v>1</v>
          </cell>
        </row>
        <row r="1458">
          <cell r="B1458" t="str">
            <v>YTX125</v>
          </cell>
          <cell r="C1458" t="str">
            <v>MUTI ALABEL</v>
          </cell>
          <cell r="D1458">
            <v>1</v>
          </cell>
        </row>
        <row r="1459">
          <cell r="B1459" t="str">
            <v>YTX125</v>
          </cell>
          <cell r="C1459" t="str">
            <v>MUTI BANGA</v>
          </cell>
          <cell r="D1459">
            <v>1</v>
          </cell>
        </row>
        <row r="1460">
          <cell r="B1460" t="str">
            <v>YTX125</v>
          </cell>
          <cell r="C1460" t="str">
            <v>MUTI MALUNGON</v>
          </cell>
          <cell r="D1460">
            <v>1</v>
          </cell>
        </row>
        <row r="1461">
          <cell r="B1461" t="str">
            <v>YTX125</v>
          </cell>
          <cell r="C1461" t="str">
            <v>MUTI TACURONG</v>
          </cell>
          <cell r="D1461">
            <v>1</v>
          </cell>
        </row>
        <row r="1462">
          <cell r="B1462" t="str">
            <v>YTX125</v>
          </cell>
          <cell r="C1462" t="str">
            <v>MUTI ALABEL</v>
          </cell>
          <cell r="D1462">
            <v>1</v>
          </cell>
        </row>
        <row r="1463">
          <cell r="B1463" t="str">
            <v>YTX125</v>
          </cell>
          <cell r="C1463" t="str">
            <v>MUTI BATANGAS</v>
          </cell>
          <cell r="D1463">
            <v>1</v>
          </cell>
        </row>
        <row r="1464">
          <cell r="B1464" t="str">
            <v>YTX125</v>
          </cell>
          <cell r="C1464" t="str">
            <v>MUTI MARBEL-MC</v>
          </cell>
          <cell r="D1464">
            <v>1</v>
          </cell>
        </row>
        <row r="1465">
          <cell r="B1465" t="str">
            <v>YTX125</v>
          </cell>
          <cell r="C1465" t="str">
            <v>MUTI MLANG</v>
          </cell>
          <cell r="D1465">
            <v>1</v>
          </cell>
        </row>
        <row r="1466">
          <cell r="B1466" t="str">
            <v>YTX125</v>
          </cell>
          <cell r="C1466" t="str">
            <v>MUTI NABUNTURAN</v>
          </cell>
          <cell r="D1466">
            <v>2</v>
          </cell>
        </row>
        <row r="1467">
          <cell r="B1467" t="str">
            <v>YTX125</v>
          </cell>
          <cell r="C1467" t="str">
            <v>MUTI SURALLAH</v>
          </cell>
          <cell r="D1467">
            <v>1</v>
          </cell>
        </row>
        <row r="1468">
          <cell r="B1468" t="str">
            <v>YTX125</v>
          </cell>
          <cell r="C1468" t="str">
            <v>MUTI 3S</v>
          </cell>
          <cell r="D1468">
            <v>1</v>
          </cell>
        </row>
        <row r="1469">
          <cell r="B1469" t="str">
            <v>YTX125</v>
          </cell>
          <cell r="C1469" t="str">
            <v>MUTI BULUA</v>
          </cell>
          <cell r="D1469">
            <v>2</v>
          </cell>
        </row>
        <row r="1470">
          <cell r="B1470" t="str">
            <v>YTX125</v>
          </cell>
          <cell r="C1470" t="str">
            <v>MUTI PANABO</v>
          </cell>
          <cell r="D1470">
            <v>1</v>
          </cell>
        </row>
        <row r="1471">
          <cell r="B1471" t="str">
            <v>YTX125</v>
          </cell>
          <cell r="C1471" t="str">
            <v>MUTI TAGUM 3</v>
          </cell>
          <cell r="D1471">
            <v>1</v>
          </cell>
        </row>
        <row r="1472">
          <cell r="B1472" t="str">
            <v>MIO SPORTY</v>
          </cell>
          <cell r="C1472" t="str">
            <v>MUTI MALUNGON</v>
          </cell>
          <cell r="D1472">
            <v>1</v>
          </cell>
        </row>
        <row r="1473">
          <cell r="B1473" t="str">
            <v>MIO GRAVIS</v>
          </cell>
          <cell r="C1473" t="str">
            <v>MUTI ALABEL</v>
          </cell>
          <cell r="D1473">
            <v>1</v>
          </cell>
        </row>
        <row r="1474">
          <cell r="B1474" t="str">
            <v>MIO GRAVIS</v>
          </cell>
          <cell r="C1474" t="str">
            <v>MUTI ISULAN</v>
          </cell>
          <cell r="D1474">
            <v>1</v>
          </cell>
        </row>
        <row r="1475">
          <cell r="B1475" t="str">
            <v>MIO GRAVIS</v>
          </cell>
          <cell r="C1475" t="str">
            <v>MUTI LAPASAN</v>
          </cell>
          <cell r="D1475">
            <v>1</v>
          </cell>
        </row>
        <row r="1476">
          <cell r="B1476" t="str">
            <v>MIO GRAVIS</v>
          </cell>
          <cell r="C1476" t="str">
            <v>MUTI MALUNGON</v>
          </cell>
          <cell r="D1476">
            <v>1</v>
          </cell>
        </row>
        <row r="1477">
          <cell r="B1477" t="str">
            <v>MIO GRAVIS</v>
          </cell>
          <cell r="C1477" t="str">
            <v>MUTI TUPI</v>
          </cell>
          <cell r="D1477">
            <v>1</v>
          </cell>
        </row>
        <row r="1478">
          <cell r="B1478" t="str">
            <v>MIO GRAVIS</v>
          </cell>
          <cell r="C1478" t="str">
            <v>MUTI CATALUNAN GRANDE</v>
          </cell>
          <cell r="D1478">
            <v>1</v>
          </cell>
        </row>
        <row r="1479">
          <cell r="B1479" t="str">
            <v>MIO GRAVIS</v>
          </cell>
          <cell r="C1479" t="str">
            <v>MUTI KIDAPAWAN</v>
          </cell>
          <cell r="D1479">
            <v>1</v>
          </cell>
        </row>
        <row r="1480">
          <cell r="B1480" t="str">
            <v>MIO GRAVIS</v>
          </cell>
          <cell r="C1480" t="str">
            <v>MUTI MALUNGON</v>
          </cell>
          <cell r="D1480">
            <v>1</v>
          </cell>
        </row>
        <row r="1481">
          <cell r="B1481" t="str">
            <v>MIO GRAVIS</v>
          </cell>
          <cell r="C1481" t="str">
            <v>MUTI TACURONG</v>
          </cell>
          <cell r="D1481">
            <v>2</v>
          </cell>
        </row>
        <row r="1482">
          <cell r="B1482" t="str">
            <v>MIO GRAVIS</v>
          </cell>
          <cell r="C1482" t="str">
            <v>MUTI TAGUM 2</v>
          </cell>
          <cell r="D1482">
            <v>1</v>
          </cell>
        </row>
        <row r="1483">
          <cell r="B1483" t="str">
            <v>MIO SPORTY</v>
          </cell>
          <cell r="C1483" t="str">
            <v>MUTI KABACAN</v>
          </cell>
          <cell r="D1483">
            <v>1</v>
          </cell>
        </row>
        <row r="1484">
          <cell r="B1484" t="str">
            <v>MIO GEAR S</v>
          </cell>
          <cell r="C1484" t="str">
            <v>MUTI TACURONG</v>
          </cell>
          <cell r="D1484">
            <v>1</v>
          </cell>
        </row>
        <row r="1485">
          <cell r="B1485" t="str">
            <v>FAZZIO</v>
          </cell>
          <cell r="C1485" t="str">
            <v>MUTI POLOMOLOK</v>
          </cell>
          <cell r="D1485">
            <v>1</v>
          </cell>
        </row>
        <row r="1486">
          <cell r="B1486" t="str">
            <v>MIO i125</v>
          </cell>
          <cell r="C1486" t="str">
            <v>MUTI BATANGAS</v>
          </cell>
          <cell r="D1486">
            <v>3</v>
          </cell>
        </row>
        <row r="1487">
          <cell r="B1487" t="str">
            <v>MIO i125</v>
          </cell>
          <cell r="C1487" t="str">
            <v>MUTI ISULAN</v>
          </cell>
          <cell r="D1487">
            <v>1</v>
          </cell>
        </row>
        <row r="1488">
          <cell r="B1488" t="str">
            <v>MIO i125</v>
          </cell>
          <cell r="C1488" t="str">
            <v>MUTI MARAMAG</v>
          </cell>
          <cell r="D1488">
            <v>1</v>
          </cell>
        </row>
        <row r="1489">
          <cell r="B1489" t="str">
            <v>MIO i125</v>
          </cell>
          <cell r="C1489" t="str">
            <v>MUTI NABUNTURAN</v>
          </cell>
          <cell r="D1489">
            <v>2</v>
          </cell>
        </row>
        <row r="1490">
          <cell r="B1490" t="str">
            <v>MIO i125</v>
          </cell>
          <cell r="C1490" t="str">
            <v>MUTI STO. TOMAS</v>
          </cell>
          <cell r="D1490">
            <v>1</v>
          </cell>
        </row>
        <row r="1491">
          <cell r="B1491" t="str">
            <v>MIO i125</v>
          </cell>
          <cell r="C1491" t="str">
            <v>MUTI TACURONG</v>
          </cell>
          <cell r="D1491">
            <v>2</v>
          </cell>
        </row>
        <row r="1492">
          <cell r="B1492" t="str">
            <v>MIO i125</v>
          </cell>
          <cell r="C1492" t="str">
            <v>MUTI PROSPERIDAD</v>
          </cell>
          <cell r="D1492">
            <v>1</v>
          </cell>
        </row>
        <row r="1493">
          <cell r="B1493" t="str">
            <v>MIO i125</v>
          </cell>
          <cell r="C1493" t="str">
            <v>MUTI SAMAL</v>
          </cell>
          <cell r="D1493">
            <v>2</v>
          </cell>
        </row>
        <row r="1494">
          <cell r="B1494" t="str">
            <v>MIO i125</v>
          </cell>
          <cell r="C1494" t="str">
            <v>MUTI TAGUM 3</v>
          </cell>
          <cell r="D1494">
            <v>1</v>
          </cell>
        </row>
        <row r="1495">
          <cell r="B1495" t="str">
            <v>MIO i125</v>
          </cell>
          <cell r="C1495" t="str">
            <v>MUTI BATANGAS</v>
          </cell>
          <cell r="D1495">
            <v>4</v>
          </cell>
        </row>
        <row r="1496">
          <cell r="B1496" t="str">
            <v>MIO i125</v>
          </cell>
          <cell r="C1496" t="str">
            <v>MUTI CALAMBA</v>
          </cell>
          <cell r="D1496">
            <v>1</v>
          </cell>
        </row>
        <row r="1497">
          <cell r="B1497" t="str">
            <v>MIO i125</v>
          </cell>
          <cell r="C1497" t="str">
            <v>MUTI NABUNTURAN</v>
          </cell>
          <cell r="D1497">
            <v>2</v>
          </cell>
        </row>
        <row r="1498">
          <cell r="B1498" t="str">
            <v>MIO i125</v>
          </cell>
          <cell r="C1498" t="str">
            <v>MUTI BANSALAN</v>
          </cell>
          <cell r="D1498">
            <v>2</v>
          </cell>
        </row>
        <row r="1499">
          <cell r="B1499" t="str">
            <v>MIO i125</v>
          </cell>
          <cell r="C1499" t="str">
            <v>MUTI BATANGAS</v>
          </cell>
          <cell r="D1499">
            <v>2</v>
          </cell>
        </row>
        <row r="1500">
          <cell r="B1500" t="str">
            <v>MIO i125</v>
          </cell>
          <cell r="C1500" t="str">
            <v>MUTI NABUNTURAN</v>
          </cell>
          <cell r="D1500">
            <v>1</v>
          </cell>
        </row>
        <row r="1501">
          <cell r="B1501" t="str">
            <v>MIO i125</v>
          </cell>
          <cell r="C1501" t="str">
            <v>MUTI POLOMOLOK</v>
          </cell>
          <cell r="D1501">
            <v>1</v>
          </cell>
        </row>
        <row r="1502">
          <cell r="B1502" t="str">
            <v>MIO i125</v>
          </cell>
          <cell r="C1502" t="str">
            <v>MUTI TACURONG</v>
          </cell>
          <cell r="D1502">
            <v>1</v>
          </cell>
        </row>
        <row r="1503">
          <cell r="B1503" t="str">
            <v>MIO i125</v>
          </cell>
          <cell r="C1503" t="str">
            <v>MUTI CABANTIAN</v>
          </cell>
          <cell r="D1503">
            <v>1</v>
          </cell>
        </row>
        <row r="1504">
          <cell r="B1504" t="str">
            <v>MIO i125</v>
          </cell>
          <cell r="C1504" t="str">
            <v>MUTI SAMAL</v>
          </cell>
          <cell r="D1504">
            <v>1</v>
          </cell>
        </row>
        <row r="1505">
          <cell r="B1505" t="str">
            <v>MIO i125s</v>
          </cell>
          <cell r="C1505" t="str">
            <v>MUTI BATANGAS</v>
          </cell>
          <cell r="D1505">
            <v>1</v>
          </cell>
        </row>
        <row r="1506">
          <cell r="B1506" t="str">
            <v>MIO GEAR</v>
          </cell>
          <cell r="C1506" t="str">
            <v>MUTI BANSALAN</v>
          </cell>
          <cell r="D1506">
            <v>1</v>
          </cell>
        </row>
        <row r="1507">
          <cell r="B1507" t="str">
            <v>MIO GEAR</v>
          </cell>
          <cell r="C1507" t="str">
            <v>MUTI KABACAN</v>
          </cell>
          <cell r="D1507">
            <v>1</v>
          </cell>
        </row>
        <row r="1508">
          <cell r="B1508" t="str">
            <v>MIO GEAR</v>
          </cell>
          <cell r="C1508" t="str">
            <v>MUTI MARAMAG</v>
          </cell>
          <cell r="D1508">
            <v>1</v>
          </cell>
        </row>
        <row r="1509">
          <cell r="B1509" t="str">
            <v>MIO GEAR</v>
          </cell>
          <cell r="C1509" t="str">
            <v>MUTI QUEZON</v>
          </cell>
          <cell r="D1509">
            <v>1</v>
          </cell>
        </row>
        <row r="1510">
          <cell r="B1510" t="str">
            <v>MIO GEAR</v>
          </cell>
          <cell r="C1510" t="str">
            <v>MUTI MALUNGON</v>
          </cell>
          <cell r="D1510">
            <v>3</v>
          </cell>
        </row>
        <row r="1511">
          <cell r="B1511" t="str">
            <v>MIO GEAR</v>
          </cell>
          <cell r="C1511" t="str">
            <v>MUTI MARAMAG</v>
          </cell>
          <cell r="D1511">
            <v>1</v>
          </cell>
        </row>
        <row r="1512">
          <cell r="B1512" t="str">
            <v>MIO GEAR</v>
          </cell>
          <cell r="C1512" t="str">
            <v>MUTI QUEZON</v>
          </cell>
          <cell r="D1512">
            <v>1</v>
          </cell>
        </row>
        <row r="1513">
          <cell r="B1513" t="str">
            <v>MIO GEAR S</v>
          </cell>
          <cell r="C1513" t="str">
            <v>MUTI KABACAN</v>
          </cell>
          <cell r="D1513">
            <v>1</v>
          </cell>
        </row>
        <row r="1514">
          <cell r="B1514" t="str">
            <v>MIO GEAR S</v>
          </cell>
          <cell r="C1514" t="str">
            <v>MUTI BULUA</v>
          </cell>
          <cell r="D1514">
            <v>2</v>
          </cell>
        </row>
        <row r="1515">
          <cell r="B1515" t="str">
            <v>MIO GEAR S</v>
          </cell>
          <cell r="C1515" t="str">
            <v>MUTI CATALUNAN GRANDE</v>
          </cell>
          <cell r="D1515">
            <v>1</v>
          </cell>
        </row>
        <row r="1516">
          <cell r="B1516" t="str">
            <v>MIO GEAR S</v>
          </cell>
          <cell r="C1516" t="str">
            <v>MUTI MARAMAG</v>
          </cell>
          <cell r="D1516">
            <v>1</v>
          </cell>
        </row>
        <row r="1517">
          <cell r="B1517" t="str">
            <v>MIO i125s</v>
          </cell>
          <cell r="C1517" t="str">
            <v>MUTI BATANGAS</v>
          </cell>
          <cell r="D1517">
            <v>2</v>
          </cell>
        </row>
        <row r="1518">
          <cell r="B1518" t="str">
            <v>MIO i125s</v>
          </cell>
          <cell r="C1518" t="str">
            <v>MUTI STO. TOMAS</v>
          </cell>
          <cell r="D1518">
            <v>1</v>
          </cell>
        </row>
        <row r="1519">
          <cell r="B1519" t="str">
            <v>FAZZIO</v>
          </cell>
          <cell r="C1519" t="str">
            <v>MUTI PANABO</v>
          </cell>
          <cell r="D1519">
            <v>1</v>
          </cell>
        </row>
        <row r="1520">
          <cell r="B1520" t="str">
            <v>FAZZIO</v>
          </cell>
          <cell r="C1520" t="str">
            <v>MUTI TAGUM 2</v>
          </cell>
          <cell r="D1520">
            <v>1</v>
          </cell>
        </row>
        <row r="1521">
          <cell r="B1521" t="str">
            <v>MIO AEROX 155</v>
          </cell>
          <cell r="C1521" t="str">
            <v>MUTI MALUNGON</v>
          </cell>
          <cell r="D1521">
            <v>1</v>
          </cell>
        </row>
        <row r="1522">
          <cell r="B1522" t="str">
            <v>SNIPER 155 FI</v>
          </cell>
          <cell r="C1522" t="str">
            <v>GREATWALL</v>
          </cell>
          <cell r="D1522">
            <v>2</v>
          </cell>
        </row>
        <row r="1523">
          <cell r="B1523" t="str">
            <v>SNIPER 155 FI</v>
          </cell>
          <cell r="C1523" t="str">
            <v>MUTI ALABEL</v>
          </cell>
          <cell r="D1523">
            <v>3</v>
          </cell>
        </row>
        <row r="1524">
          <cell r="B1524" t="str">
            <v>SNIPER 155 FI</v>
          </cell>
          <cell r="C1524" t="str">
            <v>GREATWALL</v>
          </cell>
          <cell r="D1524">
            <v>3</v>
          </cell>
        </row>
        <row r="1525">
          <cell r="B1525" t="str">
            <v>MT-03</v>
          </cell>
          <cell r="C1525" t="str">
            <v>MUTI MLANG</v>
          </cell>
          <cell r="D1525">
            <v>1</v>
          </cell>
        </row>
        <row r="1526">
          <cell r="B1526" t="str">
            <v>NMAX155 FI ABS</v>
          </cell>
          <cell r="C1526" t="str">
            <v>MUTI CABADBARAN</v>
          </cell>
          <cell r="D1526">
            <v>3</v>
          </cell>
        </row>
        <row r="1527">
          <cell r="B1527" t="str">
            <v>NMAX155 FI ABS</v>
          </cell>
          <cell r="C1527" t="str">
            <v>MUTI KABACAN</v>
          </cell>
          <cell r="D1527">
            <v>1</v>
          </cell>
        </row>
        <row r="1528">
          <cell r="B1528" t="str">
            <v>NMAX155 FI ABS</v>
          </cell>
          <cell r="C1528" t="str">
            <v>MUTI MARAMAG</v>
          </cell>
          <cell r="D1528">
            <v>1</v>
          </cell>
        </row>
        <row r="1529">
          <cell r="B1529" t="str">
            <v>NMAX155 TECHMAX</v>
          </cell>
          <cell r="C1529" t="str">
            <v>MUTI SAN FRANCISCO</v>
          </cell>
          <cell r="D1529">
            <v>1</v>
          </cell>
        </row>
        <row r="1530">
          <cell r="B1530" t="str">
            <v>NMAX155 TECHMAX</v>
          </cell>
          <cell r="C1530" t="str">
            <v>MUTI BUTUAN</v>
          </cell>
          <cell r="D1530">
            <v>1</v>
          </cell>
        </row>
        <row r="1531">
          <cell r="B1531" t="str">
            <v>NMAX155 TECHMAX</v>
          </cell>
          <cell r="C1531" t="str">
            <v>MUTI ECOLAND</v>
          </cell>
          <cell r="D1531">
            <v>1</v>
          </cell>
        </row>
        <row r="1532">
          <cell r="B1532" t="str">
            <v>NMAX155 TECHMAX</v>
          </cell>
          <cell r="C1532" t="str">
            <v>MUTI MARBEL-MC</v>
          </cell>
          <cell r="D1532">
            <v>1</v>
          </cell>
        </row>
        <row r="1533">
          <cell r="B1533" t="str">
            <v>NMAX155 TECHMAX</v>
          </cell>
          <cell r="C1533" t="str">
            <v>MUTI POLOMOLOK</v>
          </cell>
          <cell r="D1533">
            <v>1</v>
          </cell>
        </row>
        <row r="1534">
          <cell r="B1534" t="str">
            <v>XTZ125</v>
          </cell>
          <cell r="C1534" t="str">
            <v>MUTI ALABEL</v>
          </cell>
          <cell r="D1534">
            <v>2</v>
          </cell>
        </row>
        <row r="1535">
          <cell r="B1535" t="str">
            <v>XTZ125</v>
          </cell>
          <cell r="C1535" t="str">
            <v>MUTI BANGA</v>
          </cell>
          <cell r="D1535">
            <v>1</v>
          </cell>
        </row>
        <row r="1536">
          <cell r="B1536" t="str">
            <v>XTZ125</v>
          </cell>
          <cell r="C1536" t="str">
            <v>MUTI ISULAN</v>
          </cell>
          <cell r="D1536">
            <v>2</v>
          </cell>
        </row>
        <row r="1537">
          <cell r="B1537" t="str">
            <v>XTZ125</v>
          </cell>
          <cell r="C1537" t="str">
            <v>MUTI KABACAN</v>
          </cell>
          <cell r="D1537">
            <v>1</v>
          </cell>
        </row>
        <row r="1538">
          <cell r="B1538" t="str">
            <v>XTZ125</v>
          </cell>
          <cell r="C1538" t="str">
            <v>MUTI MALUNGON</v>
          </cell>
          <cell r="D1538">
            <v>2</v>
          </cell>
        </row>
        <row r="1539">
          <cell r="B1539" t="str">
            <v>XTZ125</v>
          </cell>
          <cell r="C1539" t="str">
            <v>MUTI SAN FRANCISCO</v>
          </cell>
          <cell r="D1539">
            <v>1</v>
          </cell>
        </row>
        <row r="1540">
          <cell r="B1540" t="str">
            <v>XTZ125</v>
          </cell>
          <cell r="C1540" t="str">
            <v>MUTI TACURONG</v>
          </cell>
          <cell r="D1540">
            <v>2</v>
          </cell>
        </row>
        <row r="1541">
          <cell r="B1541" t="str">
            <v>XTZ125</v>
          </cell>
          <cell r="C1541" t="str">
            <v>MUTI VALENCIA</v>
          </cell>
          <cell r="D1541">
            <v>1</v>
          </cell>
        </row>
        <row r="1542">
          <cell r="B1542" t="str">
            <v>XTZ125</v>
          </cell>
          <cell r="C1542" t="str">
            <v>MUTI BAYUGAN</v>
          </cell>
          <cell r="D1542">
            <v>1</v>
          </cell>
        </row>
        <row r="1543">
          <cell r="B1543" t="str">
            <v>XTZ125</v>
          </cell>
          <cell r="C1543" t="str">
            <v>MUTI CALINAN</v>
          </cell>
          <cell r="D1543">
            <v>1</v>
          </cell>
        </row>
        <row r="1544">
          <cell r="B1544" t="str">
            <v>XTZ125</v>
          </cell>
          <cell r="C1544" t="str">
            <v>MUTI PANABO</v>
          </cell>
          <cell r="D1544">
            <v>1</v>
          </cell>
        </row>
        <row r="1545">
          <cell r="B1545" t="str">
            <v>XTZ125</v>
          </cell>
          <cell r="C1545" t="str">
            <v>MUTI SAMAL</v>
          </cell>
          <cell r="D1545">
            <v>1</v>
          </cell>
        </row>
        <row r="1546">
          <cell r="B1546" t="str">
            <v>XTZ125</v>
          </cell>
          <cell r="C1546" t="str">
            <v>MUTI TAGUM 1</v>
          </cell>
          <cell r="D1546">
            <v>1</v>
          </cell>
        </row>
        <row r="1547">
          <cell r="B1547" t="str">
            <v>XTZ125</v>
          </cell>
          <cell r="C1547" t="str">
            <v>MUTI ALABEL</v>
          </cell>
          <cell r="D1547">
            <v>1</v>
          </cell>
        </row>
        <row r="1548">
          <cell r="B1548" t="str">
            <v>XTZ125</v>
          </cell>
          <cell r="C1548" t="str">
            <v>MUTI BANSALAN</v>
          </cell>
          <cell r="D1548">
            <v>1</v>
          </cell>
        </row>
        <row r="1549">
          <cell r="B1549" t="str">
            <v>XTZ125</v>
          </cell>
          <cell r="C1549" t="str">
            <v>MUTI BUTUAN</v>
          </cell>
          <cell r="D1549">
            <v>1</v>
          </cell>
        </row>
        <row r="1550">
          <cell r="B1550" t="str">
            <v>XTZ125</v>
          </cell>
          <cell r="C1550" t="str">
            <v>MUTI ECOLAND</v>
          </cell>
          <cell r="D1550">
            <v>1</v>
          </cell>
        </row>
        <row r="1551">
          <cell r="B1551" t="str">
            <v>XTZ125</v>
          </cell>
          <cell r="C1551" t="str">
            <v>MUTI ISULAN</v>
          </cell>
          <cell r="D1551">
            <v>1</v>
          </cell>
        </row>
        <row r="1552">
          <cell r="B1552" t="str">
            <v>XTZ125</v>
          </cell>
          <cell r="C1552" t="str">
            <v>MUTI KIDAPAWAN</v>
          </cell>
          <cell r="D1552">
            <v>1</v>
          </cell>
        </row>
        <row r="1553">
          <cell r="B1553" t="str">
            <v>XTZ125</v>
          </cell>
          <cell r="C1553" t="str">
            <v>MUTI MARAMAG</v>
          </cell>
          <cell r="D1553">
            <v>1</v>
          </cell>
        </row>
        <row r="1554">
          <cell r="B1554" t="str">
            <v>XTZ125</v>
          </cell>
          <cell r="C1554" t="str">
            <v>MUTI MIDSAYAP</v>
          </cell>
          <cell r="D1554">
            <v>1</v>
          </cell>
        </row>
        <row r="1555">
          <cell r="B1555" t="str">
            <v>XTZ125</v>
          </cell>
          <cell r="C1555" t="str">
            <v>MUTI QUEZON</v>
          </cell>
          <cell r="D1555">
            <v>1</v>
          </cell>
        </row>
        <row r="1556">
          <cell r="B1556" t="str">
            <v>XTZ125</v>
          </cell>
          <cell r="C1556" t="str">
            <v>MUTI BAYUGAN</v>
          </cell>
          <cell r="D1556">
            <v>4</v>
          </cell>
        </row>
        <row r="1557">
          <cell r="B1557" t="str">
            <v>XTZ125</v>
          </cell>
          <cell r="C1557" t="str">
            <v>MUTI BULUA</v>
          </cell>
          <cell r="D1557">
            <v>1</v>
          </cell>
        </row>
        <row r="1558">
          <cell r="B1558" t="str">
            <v>XTZ125</v>
          </cell>
          <cell r="C1558" t="str">
            <v>MUTI SAMAL</v>
          </cell>
          <cell r="D1558">
            <v>1</v>
          </cell>
        </row>
        <row r="1559">
          <cell r="B1559" t="str">
            <v>XTZ125</v>
          </cell>
          <cell r="C1559" t="str">
            <v>MUTI TAGUM 1</v>
          </cell>
          <cell r="D1559">
            <v>1</v>
          </cell>
        </row>
        <row r="1560">
          <cell r="B1560" t="str">
            <v>XTZ125</v>
          </cell>
          <cell r="C1560" t="str">
            <v>MUTI TAGUM 2</v>
          </cell>
          <cell r="D1560">
            <v>1</v>
          </cell>
        </row>
        <row r="1561">
          <cell r="B1561" t="str">
            <v>XTZ125</v>
          </cell>
          <cell r="C1561" t="str">
            <v>MUTI TAGUM 3</v>
          </cell>
          <cell r="D1561">
            <v>1</v>
          </cell>
        </row>
        <row r="1562">
          <cell r="B1562" t="str">
            <v>MIO GRAVIS</v>
          </cell>
          <cell r="C1562" t="str">
            <v>GREATWALL</v>
          </cell>
          <cell r="D1562">
            <v>7</v>
          </cell>
        </row>
        <row r="1563">
          <cell r="B1563" t="str">
            <v>MIO GRAVIS</v>
          </cell>
          <cell r="C1563" t="str">
            <v>MUTI BANGA</v>
          </cell>
          <cell r="D1563">
            <v>1</v>
          </cell>
        </row>
        <row r="1564">
          <cell r="B1564" t="str">
            <v>MIO GRAVIS</v>
          </cell>
          <cell r="C1564" t="str">
            <v>MUTI POLOMOLOK</v>
          </cell>
          <cell r="D1564">
            <v>1</v>
          </cell>
        </row>
        <row r="1565">
          <cell r="B1565" t="str">
            <v>MIO GRAVIS</v>
          </cell>
          <cell r="C1565" t="str">
            <v>GREATWALL</v>
          </cell>
          <cell r="D1565">
            <v>4</v>
          </cell>
        </row>
        <row r="1566">
          <cell r="B1566" t="str">
            <v>MIO GRAVIS</v>
          </cell>
          <cell r="C1566" t="str">
            <v>GREATWALL</v>
          </cell>
          <cell r="D1566">
            <v>10</v>
          </cell>
        </row>
        <row r="1567">
          <cell r="B1567" t="str">
            <v>MIO GRAVIS</v>
          </cell>
          <cell r="C1567" t="str">
            <v>MUTI ALABEL</v>
          </cell>
          <cell r="D1567">
            <v>1</v>
          </cell>
        </row>
        <row r="1568">
          <cell r="B1568" t="str">
            <v>MIO GRAVIS</v>
          </cell>
          <cell r="C1568" t="str">
            <v>MUTI BANGA</v>
          </cell>
          <cell r="D1568">
            <v>3</v>
          </cell>
        </row>
        <row r="1569">
          <cell r="B1569" t="str">
            <v>MIO GRAVIS</v>
          </cell>
          <cell r="C1569" t="str">
            <v>MUTI STO. TOMAS</v>
          </cell>
          <cell r="D1569">
            <v>1</v>
          </cell>
        </row>
        <row r="1570">
          <cell r="B1570" t="str">
            <v>MIO GRAVIS</v>
          </cell>
          <cell r="C1570" t="str">
            <v>MUTI OZAMIZ</v>
          </cell>
          <cell r="D1570">
            <v>1</v>
          </cell>
        </row>
        <row r="1571">
          <cell r="B1571" t="str">
            <v>MIO GRAVIS</v>
          </cell>
          <cell r="C1571" t="str">
            <v>GREATWALL</v>
          </cell>
          <cell r="D1571">
            <v>2</v>
          </cell>
        </row>
        <row r="1572">
          <cell r="B1572" t="str">
            <v>MIO AEROX S 155</v>
          </cell>
          <cell r="C1572" t="str">
            <v>GREATWALL</v>
          </cell>
          <cell r="D1572">
            <v>2</v>
          </cell>
        </row>
        <row r="1573">
          <cell r="B1573" t="str">
            <v>MIO AEROX S 155</v>
          </cell>
          <cell r="C1573" t="str">
            <v>MUTI ALABEL</v>
          </cell>
          <cell r="D1573">
            <v>4</v>
          </cell>
        </row>
        <row r="1574">
          <cell r="B1574" t="str">
            <v>MIO AEROX S 155</v>
          </cell>
          <cell r="C1574" t="str">
            <v>MUTI BANSALAN</v>
          </cell>
          <cell r="D1574">
            <v>2</v>
          </cell>
        </row>
        <row r="1575">
          <cell r="B1575" t="str">
            <v>MIO AEROX S 155</v>
          </cell>
          <cell r="C1575" t="str">
            <v>MUTI BUTUAN</v>
          </cell>
          <cell r="D1575">
            <v>3</v>
          </cell>
        </row>
        <row r="1576">
          <cell r="B1576" t="str">
            <v>MIO AEROX S 155</v>
          </cell>
          <cell r="C1576" t="str">
            <v>MUTI DIGOS</v>
          </cell>
          <cell r="D1576">
            <v>1</v>
          </cell>
        </row>
        <row r="1577">
          <cell r="B1577" t="str">
            <v>MIO AEROX S 155</v>
          </cell>
          <cell r="C1577" t="str">
            <v>MUTI ECOLAND</v>
          </cell>
          <cell r="D1577">
            <v>3</v>
          </cell>
        </row>
        <row r="1578">
          <cell r="B1578" t="str">
            <v>MIO AEROX S 155</v>
          </cell>
          <cell r="C1578" t="str">
            <v>MUTI ISULAN</v>
          </cell>
          <cell r="D1578">
            <v>2</v>
          </cell>
        </row>
        <row r="1579">
          <cell r="B1579" t="str">
            <v>MIO AEROX S 155</v>
          </cell>
          <cell r="C1579" t="str">
            <v>MUTI KABACAN</v>
          </cell>
          <cell r="D1579">
            <v>3</v>
          </cell>
        </row>
        <row r="1580">
          <cell r="B1580" t="str">
            <v>MIO AEROX S 155</v>
          </cell>
          <cell r="C1580" t="str">
            <v>MUTI KIDAPAWAN</v>
          </cell>
          <cell r="D1580">
            <v>3</v>
          </cell>
        </row>
        <row r="1581">
          <cell r="B1581" t="str">
            <v>MIO AEROX S 155</v>
          </cell>
          <cell r="C1581" t="str">
            <v>MUTI LAPASAN</v>
          </cell>
          <cell r="D1581">
            <v>1</v>
          </cell>
        </row>
        <row r="1582">
          <cell r="B1582" t="str">
            <v>MIO AEROX S 155</v>
          </cell>
          <cell r="C1582" t="str">
            <v>MUTI MALUNGON</v>
          </cell>
          <cell r="D1582">
            <v>2</v>
          </cell>
        </row>
        <row r="1583">
          <cell r="B1583" t="str">
            <v>MIO AEROX S 155</v>
          </cell>
          <cell r="C1583" t="str">
            <v>MUTI MANOLO</v>
          </cell>
          <cell r="D1583">
            <v>2</v>
          </cell>
        </row>
        <row r="1584">
          <cell r="B1584" t="str">
            <v>MIO AEROX S 155</v>
          </cell>
          <cell r="C1584" t="str">
            <v>MUTI MARAMAG</v>
          </cell>
          <cell r="D1584">
            <v>1</v>
          </cell>
        </row>
        <row r="1585">
          <cell r="B1585" t="str">
            <v>MIO AEROX S 155</v>
          </cell>
          <cell r="C1585" t="str">
            <v>MUTI MARBEL-MC</v>
          </cell>
          <cell r="D1585">
            <v>1</v>
          </cell>
        </row>
        <row r="1586">
          <cell r="B1586" t="str">
            <v>MIO AEROX S 155</v>
          </cell>
          <cell r="C1586" t="str">
            <v>MUTI MIDSAYAP</v>
          </cell>
          <cell r="D1586">
            <v>1</v>
          </cell>
        </row>
        <row r="1587">
          <cell r="B1587" t="str">
            <v>MIO AEROX S 155</v>
          </cell>
          <cell r="C1587" t="str">
            <v>MUTI MLANG</v>
          </cell>
          <cell r="D1587">
            <v>3</v>
          </cell>
        </row>
        <row r="1588">
          <cell r="B1588" t="str">
            <v>MIO AEROX S 155</v>
          </cell>
          <cell r="C1588" t="str">
            <v>MUTI NABUNTURAN</v>
          </cell>
          <cell r="D1588">
            <v>2</v>
          </cell>
        </row>
        <row r="1589">
          <cell r="B1589" t="str">
            <v>MIO AEROX S 155</v>
          </cell>
          <cell r="C1589" t="str">
            <v>MUTI POLOMOLOK</v>
          </cell>
          <cell r="D1589">
            <v>2</v>
          </cell>
        </row>
        <row r="1590">
          <cell r="B1590" t="str">
            <v>MIO AEROX S 155</v>
          </cell>
          <cell r="C1590" t="str">
            <v>MUTI QUEZON</v>
          </cell>
          <cell r="D1590">
            <v>2</v>
          </cell>
        </row>
        <row r="1591">
          <cell r="B1591" t="str">
            <v>MIO AEROX S 155</v>
          </cell>
          <cell r="C1591" t="str">
            <v>MUTI SAN FRANCISCO</v>
          </cell>
          <cell r="D1591">
            <v>2</v>
          </cell>
        </row>
        <row r="1592">
          <cell r="B1592" t="str">
            <v>MIO AEROX S 155</v>
          </cell>
          <cell r="C1592" t="str">
            <v>MUTI SURIGAO</v>
          </cell>
          <cell r="D1592">
            <v>1</v>
          </cell>
        </row>
        <row r="1593">
          <cell r="B1593" t="str">
            <v>MIO AEROX S 155</v>
          </cell>
          <cell r="C1593" t="str">
            <v>MUTI TACURONG</v>
          </cell>
          <cell r="D1593">
            <v>1</v>
          </cell>
        </row>
        <row r="1594">
          <cell r="B1594" t="str">
            <v>MIO AEROX S 155</v>
          </cell>
          <cell r="C1594" t="str">
            <v>MUTI TIBUNGCO</v>
          </cell>
          <cell r="D1594">
            <v>1</v>
          </cell>
        </row>
        <row r="1595">
          <cell r="B1595" t="str">
            <v>MIO AEROX S 155</v>
          </cell>
          <cell r="C1595" t="str">
            <v>MUTI TUPI</v>
          </cell>
          <cell r="D1595">
            <v>1</v>
          </cell>
        </row>
        <row r="1596">
          <cell r="B1596" t="str">
            <v>MIO AEROX S 155</v>
          </cell>
          <cell r="C1596" t="str">
            <v>MUTI VALENCIA</v>
          </cell>
          <cell r="D1596">
            <v>2</v>
          </cell>
        </row>
        <row r="1597">
          <cell r="B1597" t="str">
            <v>MIO AEROX S 155</v>
          </cell>
          <cell r="C1597" t="str">
            <v>MUTI BAYUGAN</v>
          </cell>
          <cell r="D1597">
            <v>2</v>
          </cell>
        </row>
        <row r="1598">
          <cell r="B1598" t="str">
            <v>MIO AEROX S 155</v>
          </cell>
          <cell r="C1598" t="str">
            <v>MUTI BULUA</v>
          </cell>
          <cell r="D1598">
            <v>1</v>
          </cell>
        </row>
        <row r="1599">
          <cell r="B1599" t="str">
            <v>MIO AEROX S 155</v>
          </cell>
          <cell r="C1599" t="str">
            <v>MUTI CABADBARAN</v>
          </cell>
          <cell r="D1599">
            <v>6</v>
          </cell>
        </row>
        <row r="1600">
          <cell r="B1600" t="str">
            <v>MIO AEROX S 155</v>
          </cell>
          <cell r="C1600" t="str">
            <v>MUTI CABANTIAN</v>
          </cell>
          <cell r="D1600">
            <v>6</v>
          </cell>
        </row>
        <row r="1601">
          <cell r="B1601" t="str">
            <v>MIO AEROX S 155</v>
          </cell>
          <cell r="C1601" t="str">
            <v>MUTI CALINAN</v>
          </cell>
          <cell r="D1601">
            <v>1</v>
          </cell>
        </row>
        <row r="1602">
          <cell r="B1602" t="str">
            <v>MIO AEROX S 155</v>
          </cell>
          <cell r="C1602" t="str">
            <v>MUTI CATALUNAN GRANDE</v>
          </cell>
          <cell r="D1602">
            <v>1</v>
          </cell>
        </row>
        <row r="1603">
          <cell r="B1603" t="str">
            <v>MIO AEROX S 155</v>
          </cell>
          <cell r="C1603" t="str">
            <v>MUTI PANABO</v>
          </cell>
          <cell r="D1603">
            <v>2</v>
          </cell>
        </row>
        <row r="1604">
          <cell r="B1604" t="str">
            <v>MIO AEROX S 155</v>
          </cell>
          <cell r="C1604" t="str">
            <v>MUTI PROSPERIDAD</v>
          </cell>
          <cell r="D1604">
            <v>4</v>
          </cell>
        </row>
        <row r="1605">
          <cell r="B1605" t="str">
            <v>MIO AEROX S 155</v>
          </cell>
          <cell r="C1605" t="str">
            <v>MUTI SAMAL</v>
          </cell>
          <cell r="D1605">
            <v>5</v>
          </cell>
        </row>
        <row r="1606">
          <cell r="B1606" t="str">
            <v>MIO AEROX S 155</v>
          </cell>
          <cell r="C1606" t="str">
            <v>MUTI TAGUM 1</v>
          </cell>
          <cell r="D1606">
            <v>2</v>
          </cell>
        </row>
        <row r="1607">
          <cell r="B1607" t="str">
            <v>MIO AEROX S 155</v>
          </cell>
          <cell r="C1607" t="str">
            <v>GREATWALL</v>
          </cell>
          <cell r="D1607">
            <v>1</v>
          </cell>
        </row>
        <row r="1608">
          <cell r="B1608" t="str">
            <v>MIO AEROX 155</v>
          </cell>
          <cell r="C1608" t="str">
            <v>MUTI CALAMBA</v>
          </cell>
          <cell r="D1608">
            <v>1</v>
          </cell>
        </row>
        <row r="1609">
          <cell r="B1609" t="str">
            <v>MIO AEROX 155</v>
          </cell>
          <cell r="C1609" t="str">
            <v>MUTI ECOLAND</v>
          </cell>
          <cell r="D1609">
            <v>1</v>
          </cell>
        </row>
        <row r="1610">
          <cell r="B1610" t="str">
            <v>MIO AEROX 155</v>
          </cell>
          <cell r="C1610" t="str">
            <v>GREATWALL</v>
          </cell>
          <cell r="D1610">
            <v>1</v>
          </cell>
        </row>
        <row r="1611">
          <cell r="B1611" t="str">
            <v>MIO AEROX 155</v>
          </cell>
          <cell r="C1611" t="str">
            <v>MUTI BUTUAN</v>
          </cell>
          <cell r="D1611">
            <v>1</v>
          </cell>
        </row>
        <row r="1612">
          <cell r="B1612" t="str">
            <v>MIO AEROX 155</v>
          </cell>
          <cell r="C1612" t="str">
            <v>MUTI OZAMIZ</v>
          </cell>
          <cell r="D1612">
            <v>1</v>
          </cell>
        </row>
        <row r="1613">
          <cell r="B1613" t="str">
            <v>MIO AEROX 155</v>
          </cell>
          <cell r="C1613" t="str">
            <v>MUTI PROSPERIDAD</v>
          </cell>
          <cell r="D1613">
            <v>1</v>
          </cell>
        </row>
        <row r="1614">
          <cell r="B1614" t="str">
            <v>MIO AEROX 155</v>
          </cell>
          <cell r="C1614" t="str">
            <v>MUTI CALAMBA</v>
          </cell>
          <cell r="D1614">
            <v>3</v>
          </cell>
        </row>
        <row r="1615">
          <cell r="B1615" t="str">
            <v>MIO AEROX 155</v>
          </cell>
          <cell r="C1615" t="str">
            <v>MUTI DIGOS</v>
          </cell>
          <cell r="D1615">
            <v>1</v>
          </cell>
        </row>
        <row r="1616">
          <cell r="B1616" t="str">
            <v>XMAX 300</v>
          </cell>
          <cell r="C1616" t="str">
            <v>GREATWALL</v>
          </cell>
          <cell r="D1616">
            <v>1</v>
          </cell>
        </row>
        <row r="1617">
          <cell r="B1617" t="str">
            <v>NMAX155 FI ABS</v>
          </cell>
          <cell r="C1617" t="str">
            <v>MUTI BULUA</v>
          </cell>
          <cell r="D1617">
            <v>1</v>
          </cell>
        </row>
        <row r="1618">
          <cell r="B1618" t="str">
            <v>NMAX155 FI ABS</v>
          </cell>
          <cell r="C1618" t="str">
            <v>MUTI PROSPERIDAD</v>
          </cell>
          <cell r="D1618">
            <v>1</v>
          </cell>
        </row>
        <row r="1619">
          <cell r="B1619" t="str">
            <v>NMAX155 FI ABS</v>
          </cell>
          <cell r="C1619" t="str">
            <v>MUTI BUTUAN</v>
          </cell>
          <cell r="D1619">
            <v>1</v>
          </cell>
        </row>
        <row r="1620">
          <cell r="B1620" t="str">
            <v>NMAX155 FI ABS</v>
          </cell>
          <cell r="C1620" t="str">
            <v>MUTI CALAMBA</v>
          </cell>
          <cell r="D1620">
            <v>1</v>
          </cell>
        </row>
        <row r="1621">
          <cell r="B1621" t="str">
            <v>NMAX155 FI ABS</v>
          </cell>
          <cell r="C1621" t="str">
            <v>MUTI LAPASAN</v>
          </cell>
          <cell r="D1621">
            <v>2</v>
          </cell>
        </row>
        <row r="1622">
          <cell r="B1622" t="str">
            <v>NMAX155 FI ABS</v>
          </cell>
          <cell r="C1622" t="str">
            <v>MUTI MANOLO</v>
          </cell>
          <cell r="D1622">
            <v>1</v>
          </cell>
        </row>
        <row r="1623">
          <cell r="B1623" t="str">
            <v>NMAX155 FI ABS</v>
          </cell>
          <cell r="C1623" t="str">
            <v>MUTI MIDSAYAP</v>
          </cell>
          <cell r="D1623">
            <v>2</v>
          </cell>
        </row>
        <row r="1624">
          <cell r="B1624" t="str">
            <v>NMAX155 FI ABS</v>
          </cell>
          <cell r="C1624" t="str">
            <v>MUTI POLOMOLOK</v>
          </cell>
          <cell r="D1624">
            <v>1</v>
          </cell>
        </row>
        <row r="1625">
          <cell r="B1625" t="str">
            <v>NMAX155 FI ABS</v>
          </cell>
          <cell r="C1625" t="str">
            <v>MUTI SAN FRANCISCO</v>
          </cell>
          <cell r="D1625">
            <v>1</v>
          </cell>
        </row>
        <row r="1626">
          <cell r="B1626" t="str">
            <v>NMAX155 FI ABS</v>
          </cell>
          <cell r="C1626" t="str">
            <v>MUTI STO. TOMAS</v>
          </cell>
          <cell r="D1626">
            <v>3</v>
          </cell>
        </row>
        <row r="1627">
          <cell r="B1627" t="str">
            <v>NMAX155 FI ABS</v>
          </cell>
          <cell r="C1627" t="str">
            <v>MUTI VALENCIA</v>
          </cell>
          <cell r="D1627">
            <v>1</v>
          </cell>
        </row>
        <row r="1628">
          <cell r="B1628" t="str">
            <v>NMAX155 FI ABS</v>
          </cell>
          <cell r="C1628" t="str">
            <v>MUTI BAYUGAN</v>
          </cell>
          <cell r="D1628">
            <v>2</v>
          </cell>
        </row>
        <row r="1629">
          <cell r="B1629" t="str">
            <v>NMAX155 FI ABS</v>
          </cell>
          <cell r="C1629" t="str">
            <v>MUTI SAMAL</v>
          </cell>
          <cell r="D1629">
            <v>2</v>
          </cell>
        </row>
        <row r="1630">
          <cell r="B1630" t="str">
            <v>NMAX155 FI ABS</v>
          </cell>
          <cell r="C1630" t="str">
            <v>MUTI TAGUM 3</v>
          </cell>
          <cell r="D1630">
            <v>1</v>
          </cell>
        </row>
        <row r="1631">
          <cell r="B1631" t="str">
            <v>NMAX155 TECHMAX</v>
          </cell>
          <cell r="C1631" t="str">
            <v>MUTI BATANGAS</v>
          </cell>
          <cell r="D1631">
            <v>1</v>
          </cell>
        </row>
        <row r="1632">
          <cell r="B1632" t="str">
            <v>PG-1</v>
          </cell>
          <cell r="C1632" t="str">
            <v>GREATWALL</v>
          </cell>
          <cell r="D1632">
            <v>1</v>
          </cell>
        </row>
        <row r="1633">
          <cell r="B1633" t="str">
            <v>PG-1</v>
          </cell>
          <cell r="C1633" t="str">
            <v>MUTI BATANGAS</v>
          </cell>
          <cell r="D1633">
            <v>1</v>
          </cell>
        </row>
        <row r="1634">
          <cell r="B1634" t="str">
            <v>PG-1</v>
          </cell>
          <cell r="C1634" t="str">
            <v>MUTI STO. TOMAS</v>
          </cell>
          <cell r="D1634">
            <v>2</v>
          </cell>
        </row>
        <row r="1635">
          <cell r="B1635" t="str">
            <v>MIO i125</v>
          </cell>
          <cell r="C1635" t="str">
            <v>MUTI ALABEL</v>
          </cell>
          <cell r="D1635">
            <v>2</v>
          </cell>
        </row>
        <row r="1636">
          <cell r="B1636" t="str">
            <v>MIO i125</v>
          </cell>
          <cell r="C1636" t="str">
            <v>MUTI BANGA</v>
          </cell>
          <cell r="D1636">
            <v>2</v>
          </cell>
        </row>
        <row r="1637">
          <cell r="B1637" t="str">
            <v>MIO i125</v>
          </cell>
          <cell r="C1637" t="str">
            <v>MUTI SAN FRANCISCO</v>
          </cell>
          <cell r="D1637">
            <v>1</v>
          </cell>
        </row>
        <row r="1638">
          <cell r="B1638" t="str">
            <v>MIO i125</v>
          </cell>
          <cell r="C1638" t="str">
            <v>MUTI TACURONG</v>
          </cell>
          <cell r="D1638">
            <v>1</v>
          </cell>
        </row>
        <row r="1639">
          <cell r="B1639" t="str">
            <v>MIO i125</v>
          </cell>
          <cell r="C1639" t="str">
            <v>MUTI VALENCIA</v>
          </cell>
          <cell r="D1639">
            <v>1</v>
          </cell>
        </row>
        <row r="1640">
          <cell r="B1640" t="str">
            <v>MIO i125</v>
          </cell>
          <cell r="C1640" t="str">
            <v>MUTI BULUA</v>
          </cell>
          <cell r="D1640">
            <v>1</v>
          </cell>
        </row>
        <row r="1641">
          <cell r="B1641" t="str">
            <v>MIO i125</v>
          </cell>
          <cell r="C1641" t="str">
            <v>MUTI PROSPERIDAD</v>
          </cell>
          <cell r="D1641">
            <v>1</v>
          </cell>
        </row>
        <row r="1642">
          <cell r="B1642" t="str">
            <v>MIO i125</v>
          </cell>
          <cell r="C1642" t="str">
            <v>MUTI TAGUM 1</v>
          </cell>
          <cell r="D1642">
            <v>1</v>
          </cell>
        </row>
        <row r="1643">
          <cell r="B1643" t="str">
            <v>MIO i125</v>
          </cell>
          <cell r="C1643" t="str">
            <v>MUTI ALABEL</v>
          </cell>
          <cell r="D1643">
            <v>2</v>
          </cell>
        </row>
        <row r="1644">
          <cell r="B1644" t="str">
            <v>MIO i125</v>
          </cell>
          <cell r="C1644" t="str">
            <v>MUTI BANGA</v>
          </cell>
          <cell r="D1644">
            <v>1</v>
          </cell>
        </row>
        <row r="1645">
          <cell r="B1645" t="str">
            <v>MIO i125</v>
          </cell>
          <cell r="C1645" t="str">
            <v>MUTI BULUA</v>
          </cell>
          <cell r="D1645">
            <v>1</v>
          </cell>
        </row>
        <row r="1646">
          <cell r="B1646" t="str">
            <v>MIO i125</v>
          </cell>
          <cell r="C1646" t="str">
            <v>MUTI CABADBARAN</v>
          </cell>
          <cell r="D1646">
            <v>1</v>
          </cell>
        </row>
        <row r="1647">
          <cell r="B1647" t="str">
            <v>MIO i125</v>
          </cell>
          <cell r="C1647" t="str">
            <v>MUTI TAGUM 1</v>
          </cell>
          <cell r="D1647">
            <v>1</v>
          </cell>
        </row>
        <row r="1648">
          <cell r="B1648" t="str">
            <v>LEXI 155</v>
          </cell>
          <cell r="C1648" t="str">
            <v>MUTI BANGA</v>
          </cell>
          <cell r="D1648">
            <v>1</v>
          </cell>
        </row>
        <row r="1649">
          <cell r="B1649" t="str">
            <v>LEXI 155</v>
          </cell>
          <cell r="C1649" t="str">
            <v>MUTI CALAMBA</v>
          </cell>
          <cell r="D1649">
            <v>2</v>
          </cell>
        </row>
        <row r="1650">
          <cell r="B1650" t="str">
            <v>LEXI 155</v>
          </cell>
          <cell r="C1650" t="str">
            <v>MUTI SAN FRANCISCO</v>
          </cell>
          <cell r="D1650">
            <v>2</v>
          </cell>
        </row>
        <row r="1651">
          <cell r="B1651" t="str">
            <v>LEXI 155</v>
          </cell>
          <cell r="C1651" t="str">
            <v>MUTI SURALLAH</v>
          </cell>
          <cell r="D1651">
            <v>1</v>
          </cell>
        </row>
        <row r="1652">
          <cell r="B1652" t="str">
            <v>LEXI 155</v>
          </cell>
          <cell r="C1652" t="str">
            <v>MUTI SURIGAO</v>
          </cell>
          <cell r="D1652">
            <v>1</v>
          </cell>
        </row>
        <row r="1653">
          <cell r="B1653" t="str">
            <v>LEXI 155</v>
          </cell>
          <cell r="C1653" t="str">
            <v>MUTI BAYUGAN</v>
          </cell>
          <cell r="D1653">
            <v>1</v>
          </cell>
        </row>
        <row r="1654">
          <cell r="B1654" t="str">
            <v>LEXI 155</v>
          </cell>
          <cell r="C1654" t="str">
            <v>MUTI TAGUM 3</v>
          </cell>
          <cell r="D1654">
            <v>1</v>
          </cell>
        </row>
        <row r="1655">
          <cell r="B1655" t="str">
            <v>LEXI 155</v>
          </cell>
          <cell r="C1655" t="str">
            <v>GREATWALL</v>
          </cell>
          <cell r="D1655">
            <v>2</v>
          </cell>
        </row>
        <row r="1656">
          <cell r="B1656" t="str">
            <v>LEXI 155</v>
          </cell>
          <cell r="C1656" t="str">
            <v>MUTI BANGA</v>
          </cell>
          <cell r="D1656">
            <v>2</v>
          </cell>
        </row>
        <row r="1657">
          <cell r="B1657" t="str">
            <v>LEXI 155</v>
          </cell>
          <cell r="C1657" t="str">
            <v>MUTI ECOLAND</v>
          </cell>
          <cell r="D1657">
            <v>1</v>
          </cell>
        </row>
        <row r="1658">
          <cell r="B1658" t="str">
            <v>LEXI 155</v>
          </cell>
          <cell r="C1658" t="str">
            <v>MUTI MARBEL-MC</v>
          </cell>
          <cell r="D1658">
            <v>1</v>
          </cell>
        </row>
        <row r="1659">
          <cell r="B1659" t="str">
            <v>LEXI 155</v>
          </cell>
          <cell r="C1659" t="str">
            <v>MUTI TAGUM 2</v>
          </cell>
          <cell r="D1659">
            <v>1</v>
          </cell>
        </row>
        <row r="1660">
          <cell r="B1660" t="str">
            <v>FAZZIO</v>
          </cell>
          <cell r="C1660" t="str">
            <v>GREATWALL</v>
          </cell>
          <cell r="D1660">
            <v>1</v>
          </cell>
        </row>
        <row r="1661">
          <cell r="B1661" t="str">
            <v>FAZZIO</v>
          </cell>
          <cell r="C1661" t="str">
            <v>MUTI MARBEL-MC</v>
          </cell>
          <cell r="D1661">
            <v>1</v>
          </cell>
        </row>
        <row r="1662">
          <cell r="B1662" t="str">
            <v>FAZZIO</v>
          </cell>
          <cell r="C1662" t="str">
            <v>MUTI ALABEL</v>
          </cell>
          <cell r="D1662">
            <v>2</v>
          </cell>
        </row>
        <row r="1663">
          <cell r="B1663" t="str">
            <v>FAZZIO</v>
          </cell>
          <cell r="C1663" t="str">
            <v>MUTI STO. TOMAS</v>
          </cell>
          <cell r="D1663">
            <v>1</v>
          </cell>
        </row>
        <row r="1664">
          <cell r="B1664" t="str">
            <v>FAZZIO</v>
          </cell>
          <cell r="C1664" t="str">
            <v>MUTI TACURONG</v>
          </cell>
          <cell r="D1664">
            <v>1</v>
          </cell>
        </row>
        <row r="1665">
          <cell r="B1665" t="str">
            <v>MIO GEAR S</v>
          </cell>
          <cell r="C1665" t="str">
            <v>MUTI ALABEL</v>
          </cell>
          <cell r="D1665">
            <v>2</v>
          </cell>
        </row>
        <row r="1666">
          <cell r="B1666" t="str">
            <v>MIO GEAR S</v>
          </cell>
          <cell r="C1666" t="str">
            <v>MUTI BANGA</v>
          </cell>
          <cell r="D1666">
            <v>1</v>
          </cell>
        </row>
        <row r="1667">
          <cell r="B1667" t="str">
            <v>MIO GEAR S</v>
          </cell>
          <cell r="C1667" t="str">
            <v>MUTI BUTUAN</v>
          </cell>
          <cell r="D1667">
            <v>1</v>
          </cell>
        </row>
        <row r="1668">
          <cell r="B1668" t="str">
            <v>MIO GEAR S</v>
          </cell>
          <cell r="C1668" t="str">
            <v>MUTI MARBEL-MC</v>
          </cell>
          <cell r="D1668">
            <v>1</v>
          </cell>
        </row>
        <row r="1669">
          <cell r="B1669" t="str">
            <v>MIO GEAR S</v>
          </cell>
          <cell r="C1669" t="str">
            <v>GREATWALL</v>
          </cell>
          <cell r="D1669">
            <v>1</v>
          </cell>
        </row>
        <row r="1670">
          <cell r="B1670" t="str">
            <v>MIO GEAR S</v>
          </cell>
          <cell r="C1670" t="str">
            <v>MUTI DIGOS</v>
          </cell>
          <cell r="D1670">
            <v>1</v>
          </cell>
        </row>
        <row r="1671">
          <cell r="B1671" t="str">
            <v>MIO GEAR S</v>
          </cell>
          <cell r="C1671" t="str">
            <v>MUTI ECOLAND</v>
          </cell>
          <cell r="D1671">
            <v>1</v>
          </cell>
        </row>
        <row r="1672">
          <cell r="B1672" t="str">
            <v>MIO GEAR S</v>
          </cell>
          <cell r="C1672" t="str">
            <v>MUTI CABANTIAN</v>
          </cell>
          <cell r="D1672">
            <v>1</v>
          </cell>
        </row>
        <row r="1673">
          <cell r="B1673" t="str">
            <v>MIO GEAR S</v>
          </cell>
          <cell r="C1673" t="str">
            <v>MUTI ALABEL</v>
          </cell>
          <cell r="D1673">
            <v>1</v>
          </cell>
        </row>
        <row r="1674">
          <cell r="B1674" t="str">
            <v>MIO GEAR S</v>
          </cell>
          <cell r="C1674" t="str">
            <v>MUTI BANGA</v>
          </cell>
          <cell r="D1674">
            <v>3</v>
          </cell>
        </row>
        <row r="1675">
          <cell r="B1675" t="str">
            <v>MIO GEAR S</v>
          </cell>
          <cell r="C1675" t="str">
            <v>MUTI BUTUAN</v>
          </cell>
          <cell r="D1675">
            <v>2</v>
          </cell>
        </row>
        <row r="1676">
          <cell r="B1676" t="str">
            <v>MIO GEAR S</v>
          </cell>
          <cell r="C1676" t="str">
            <v>MUTI DIGOS</v>
          </cell>
          <cell r="D1676">
            <v>1</v>
          </cell>
        </row>
        <row r="1677">
          <cell r="B1677" t="str">
            <v>MIO GEAR S</v>
          </cell>
          <cell r="C1677" t="str">
            <v>MUTI TIBUNGCO</v>
          </cell>
          <cell r="D1677">
            <v>1</v>
          </cell>
        </row>
        <row r="1678">
          <cell r="B1678" t="str">
            <v>MIO GEAR S</v>
          </cell>
          <cell r="C1678" t="str">
            <v>MUTI 3S</v>
          </cell>
          <cell r="D1678">
            <v>1</v>
          </cell>
        </row>
        <row r="1679">
          <cell r="B1679" t="str">
            <v>MIO GEAR S</v>
          </cell>
          <cell r="C1679" t="str">
            <v>MUTI CATALUNAN GRANDE</v>
          </cell>
          <cell r="D1679">
            <v>2</v>
          </cell>
        </row>
      </sheetData>
      <sheetData sheetId="3">
        <row r="2">
          <cell r="B2" t="str">
            <v>Description</v>
          </cell>
          <cell r="C2" t="str">
            <v>Remarks</v>
          </cell>
          <cell r="D2" t="str">
            <v>Brand</v>
          </cell>
          <cell r="E2" t="str">
            <v>Old Description</v>
          </cell>
          <cell r="F2" t="str">
            <v>Usage</v>
          </cell>
          <cell r="G2" t="str">
            <v>Cost</v>
          </cell>
          <cell r="H2" t="str">
            <v>LT(Supp)</v>
          </cell>
          <cell r="I2" t="str">
            <v>SS(WH)</v>
          </cell>
          <cell r="J2" t="str">
            <v>Max Stock(WH)</v>
          </cell>
          <cell r="K2" t="str">
            <v>LT(branch)</v>
          </cell>
          <cell r="L2" t="str">
            <v>SS(branch)</v>
          </cell>
          <cell r="M2" t="str">
            <v>Max Stock(branch)</v>
          </cell>
        </row>
        <row r="3">
          <cell r="B3" t="str">
            <v>ADV160</v>
          </cell>
          <cell r="C3" t="str">
            <v>OLD</v>
          </cell>
          <cell r="D3" t="str">
            <v>HONDA</v>
          </cell>
          <cell r="E3" t="str">
            <v>ADV160AP-GB (BLACK)</v>
          </cell>
          <cell r="F3" t="str">
            <v>SCOOTER</v>
          </cell>
          <cell r="G3">
            <v>158270</v>
          </cell>
          <cell r="H3">
            <v>45</v>
          </cell>
          <cell r="I3">
            <v>30</v>
          </cell>
          <cell r="J3">
            <v>90</v>
          </cell>
          <cell r="K3">
            <v>15</v>
          </cell>
          <cell r="L3">
            <v>15</v>
          </cell>
          <cell r="M3">
            <v>30</v>
          </cell>
        </row>
        <row r="4">
          <cell r="B4" t="str">
            <v>ADV160</v>
          </cell>
          <cell r="C4" t="str">
            <v>OLD</v>
          </cell>
          <cell r="D4" t="str">
            <v>HONDA</v>
          </cell>
          <cell r="E4" t="str">
            <v>ADV160AP-MSR (RED/BLACK)</v>
          </cell>
          <cell r="F4" t="str">
            <v>SCOOTER</v>
          </cell>
          <cell r="G4">
            <v>158270</v>
          </cell>
          <cell r="H4">
            <v>45</v>
          </cell>
          <cell r="I4">
            <v>30</v>
          </cell>
          <cell r="J4">
            <v>90</v>
          </cell>
          <cell r="K4">
            <v>15</v>
          </cell>
          <cell r="L4">
            <v>15</v>
          </cell>
          <cell r="M4">
            <v>30</v>
          </cell>
        </row>
        <row r="5">
          <cell r="B5" t="str">
            <v>ADV160</v>
          </cell>
          <cell r="C5" t="str">
            <v>OLD</v>
          </cell>
          <cell r="D5" t="str">
            <v>HONDA</v>
          </cell>
          <cell r="E5" t="str">
            <v>ADV160AP-WC (WHITE/BLACK)</v>
          </cell>
          <cell r="F5" t="str">
            <v>SCOOTER</v>
          </cell>
          <cell r="G5">
            <v>158270</v>
          </cell>
          <cell r="H5">
            <v>45</v>
          </cell>
          <cell r="I5">
            <v>30</v>
          </cell>
          <cell r="J5">
            <v>90</v>
          </cell>
          <cell r="K5">
            <v>15</v>
          </cell>
          <cell r="L5">
            <v>15</v>
          </cell>
          <cell r="M5">
            <v>30</v>
          </cell>
        </row>
        <row r="6">
          <cell r="B6" t="str">
            <v>AIRBLADE 160</v>
          </cell>
          <cell r="D6" t="str">
            <v>HONDA</v>
          </cell>
          <cell r="E6" t="str">
            <v>ACA160CAFPII AIRBLADE160 - GM</v>
          </cell>
          <cell r="F6" t="str">
            <v>SCOOTER</v>
          </cell>
          <cell r="G6">
            <v>118838</v>
          </cell>
          <cell r="H6">
            <v>45</v>
          </cell>
          <cell r="I6">
            <v>30</v>
          </cell>
          <cell r="J6">
            <v>90</v>
          </cell>
          <cell r="K6">
            <v>15</v>
          </cell>
          <cell r="L6">
            <v>15</v>
          </cell>
          <cell r="M6">
            <v>30</v>
          </cell>
        </row>
        <row r="7">
          <cell r="B7" t="str">
            <v>AIRBLADE 160</v>
          </cell>
          <cell r="D7" t="str">
            <v>HONDA</v>
          </cell>
          <cell r="E7" t="str">
            <v>ACA160CAFPII AIRBLADE160 - AB</v>
          </cell>
          <cell r="F7" t="str">
            <v>SCOOTER</v>
          </cell>
          <cell r="G7">
            <v>118838</v>
          </cell>
          <cell r="H7">
            <v>45</v>
          </cell>
          <cell r="I7">
            <v>30</v>
          </cell>
          <cell r="J7">
            <v>90</v>
          </cell>
          <cell r="K7">
            <v>15</v>
          </cell>
          <cell r="L7">
            <v>15</v>
          </cell>
          <cell r="M7">
            <v>30</v>
          </cell>
        </row>
        <row r="8">
          <cell r="B8" t="str">
            <v>AIRBLADE 160</v>
          </cell>
          <cell r="D8" t="str">
            <v>HONDA</v>
          </cell>
          <cell r="E8" t="str">
            <v>ACA160CAFPII AIRBLADE160 - CR</v>
          </cell>
          <cell r="F8" t="str">
            <v>SCOOTER</v>
          </cell>
          <cell r="G8">
            <v>118838</v>
          </cell>
          <cell r="H8">
            <v>45</v>
          </cell>
          <cell r="I8">
            <v>30</v>
          </cell>
          <cell r="J8">
            <v>90</v>
          </cell>
          <cell r="K8">
            <v>15</v>
          </cell>
          <cell r="L8">
            <v>15</v>
          </cell>
          <cell r="M8">
            <v>30</v>
          </cell>
        </row>
        <row r="9">
          <cell r="B9" t="str">
            <v>AVENIS125</v>
          </cell>
          <cell r="D9" t="str">
            <v>SUZUKI</v>
          </cell>
          <cell r="E9" t="str">
            <v>UN125NE AVENIS 125 - MBLACK</v>
          </cell>
          <cell r="F9" t="str">
            <v>SCOOTER</v>
          </cell>
          <cell r="G9">
            <v>77572</v>
          </cell>
          <cell r="H9">
            <v>45</v>
          </cell>
          <cell r="I9">
            <v>30</v>
          </cell>
          <cell r="J9">
            <v>90</v>
          </cell>
          <cell r="K9">
            <v>15</v>
          </cell>
          <cell r="L9">
            <v>15</v>
          </cell>
          <cell r="M9">
            <v>30</v>
          </cell>
        </row>
        <row r="10">
          <cell r="B10" t="str">
            <v>AVENIS125</v>
          </cell>
          <cell r="D10" t="str">
            <v>SUZUKI</v>
          </cell>
          <cell r="E10" t="str">
            <v>UN125NE AVENIS 125 - ORANGE</v>
          </cell>
          <cell r="F10" t="str">
            <v>SCOOTER</v>
          </cell>
          <cell r="G10">
            <v>77572</v>
          </cell>
          <cell r="H10">
            <v>45</v>
          </cell>
          <cell r="I10">
            <v>30</v>
          </cell>
          <cell r="J10">
            <v>90</v>
          </cell>
          <cell r="K10">
            <v>15</v>
          </cell>
          <cell r="L10">
            <v>15</v>
          </cell>
          <cell r="M10">
            <v>30</v>
          </cell>
        </row>
        <row r="11">
          <cell r="B11" t="str">
            <v>AVENIS125</v>
          </cell>
          <cell r="D11" t="str">
            <v>SUZUKI</v>
          </cell>
          <cell r="E11" t="str">
            <v>UN125NE AVENIS 125 - WHITE</v>
          </cell>
          <cell r="F11" t="str">
            <v>SCOOTER</v>
          </cell>
          <cell r="G11">
            <v>77572</v>
          </cell>
          <cell r="H11">
            <v>45</v>
          </cell>
          <cell r="I11">
            <v>30</v>
          </cell>
          <cell r="J11">
            <v>90</v>
          </cell>
          <cell r="K11">
            <v>15</v>
          </cell>
          <cell r="L11">
            <v>15</v>
          </cell>
          <cell r="M11">
            <v>30</v>
          </cell>
        </row>
        <row r="12">
          <cell r="B12" t="str">
            <v>BAJAJ RE 4S FI</v>
          </cell>
          <cell r="D12" t="str">
            <v>BAJAJ RE</v>
          </cell>
          <cell r="E12" t="str">
            <v>BAJAJ RE 4S FI (BLUE)</v>
          </cell>
          <cell r="F12" t="str">
            <v>TRI-WHEELED</v>
          </cell>
          <cell r="G12">
            <v>191000</v>
          </cell>
          <cell r="H12">
            <v>45</v>
          </cell>
          <cell r="I12">
            <v>30</v>
          </cell>
          <cell r="J12">
            <v>90</v>
          </cell>
          <cell r="K12">
            <v>15</v>
          </cell>
          <cell r="L12">
            <v>15</v>
          </cell>
          <cell r="M12">
            <v>30</v>
          </cell>
        </row>
        <row r="13">
          <cell r="B13" t="str">
            <v>BAJAJ RE 4S FI</v>
          </cell>
          <cell r="D13" t="str">
            <v>BAJAJ RE</v>
          </cell>
          <cell r="E13" t="str">
            <v>BAJAJ RE 4S FI (YELLOW)</v>
          </cell>
          <cell r="F13" t="str">
            <v>TRI-WHEELED</v>
          </cell>
          <cell r="G13">
            <v>191000</v>
          </cell>
          <cell r="H13">
            <v>45</v>
          </cell>
          <cell r="I13">
            <v>30</v>
          </cell>
          <cell r="J13">
            <v>90</v>
          </cell>
          <cell r="K13">
            <v>15</v>
          </cell>
          <cell r="L13">
            <v>15</v>
          </cell>
          <cell r="M13">
            <v>30</v>
          </cell>
        </row>
        <row r="14">
          <cell r="B14" t="str">
            <v>BAJAJ RE 4S FI</v>
          </cell>
          <cell r="D14" t="str">
            <v>BAJAJ RE</v>
          </cell>
          <cell r="E14" t="str">
            <v>BAJAJ RE 4S FI (WHITE)</v>
          </cell>
          <cell r="F14" t="str">
            <v>TRI-WHEELED</v>
          </cell>
          <cell r="G14">
            <v>191000</v>
          </cell>
          <cell r="H14">
            <v>45</v>
          </cell>
          <cell r="I14">
            <v>30</v>
          </cell>
          <cell r="J14">
            <v>90</v>
          </cell>
          <cell r="K14">
            <v>15</v>
          </cell>
          <cell r="L14">
            <v>15</v>
          </cell>
          <cell r="M14">
            <v>30</v>
          </cell>
        </row>
        <row r="15">
          <cell r="B15" t="str">
            <v>BAJAJ RE 4S FI</v>
          </cell>
          <cell r="D15" t="str">
            <v>BAJAJ RE</v>
          </cell>
          <cell r="E15" t="str">
            <v>BAJAJ RE 4S FI (RED)</v>
          </cell>
          <cell r="F15" t="str">
            <v>TRI-WHEELED</v>
          </cell>
          <cell r="G15">
            <v>191000</v>
          </cell>
          <cell r="H15">
            <v>45</v>
          </cell>
          <cell r="I15">
            <v>30</v>
          </cell>
          <cell r="J15">
            <v>90</v>
          </cell>
          <cell r="K15">
            <v>15</v>
          </cell>
          <cell r="L15">
            <v>15</v>
          </cell>
          <cell r="M15">
            <v>30</v>
          </cell>
        </row>
        <row r="16">
          <cell r="B16" t="str">
            <v>BAJAJ RE 4S FI</v>
          </cell>
          <cell r="D16" t="str">
            <v>BAJAJ RE</v>
          </cell>
          <cell r="E16" t="str">
            <v>BAJAJ RE 4S FI (GREEN)</v>
          </cell>
          <cell r="F16" t="str">
            <v>TRI-WHEELED</v>
          </cell>
          <cell r="G16">
            <v>191000</v>
          </cell>
          <cell r="H16">
            <v>45</v>
          </cell>
          <cell r="I16">
            <v>30</v>
          </cell>
          <cell r="J16">
            <v>90</v>
          </cell>
          <cell r="K16">
            <v>15</v>
          </cell>
          <cell r="L16">
            <v>15</v>
          </cell>
          <cell r="M16">
            <v>30</v>
          </cell>
        </row>
        <row r="17">
          <cell r="B17" t="str">
            <v>BAJAJ RE SP. ED</v>
          </cell>
          <cell r="D17" t="str">
            <v>BAJAJ RE</v>
          </cell>
          <cell r="E17" t="str">
            <v>BAJAJ RE SPECIAL EDITION (YELLOW)</v>
          </cell>
          <cell r="F17" t="str">
            <v>TRI-WHEELED</v>
          </cell>
          <cell r="G17">
            <v>233000</v>
          </cell>
          <cell r="H17">
            <v>45</v>
          </cell>
          <cell r="I17">
            <v>30</v>
          </cell>
          <cell r="J17">
            <v>90</v>
          </cell>
          <cell r="K17">
            <v>15</v>
          </cell>
          <cell r="L17">
            <v>15</v>
          </cell>
          <cell r="M17">
            <v>30</v>
          </cell>
        </row>
        <row r="18">
          <cell r="B18" t="str">
            <v>BAJAJ RE SP. ED</v>
          </cell>
          <cell r="D18" t="str">
            <v>BAJAJ RE</v>
          </cell>
          <cell r="E18" t="str">
            <v>BAJAJ RE SPECIAL EDITION (GREEN)</v>
          </cell>
          <cell r="F18" t="str">
            <v>TRI-WHEELED</v>
          </cell>
          <cell r="G18">
            <v>233000</v>
          </cell>
          <cell r="H18">
            <v>45</v>
          </cell>
          <cell r="I18">
            <v>30</v>
          </cell>
          <cell r="J18">
            <v>90</v>
          </cell>
          <cell r="K18">
            <v>15</v>
          </cell>
          <cell r="L18">
            <v>15</v>
          </cell>
          <cell r="M18">
            <v>30</v>
          </cell>
        </row>
        <row r="19">
          <cell r="B19" t="str">
            <v>BAJAJ RE SP. ED</v>
          </cell>
          <cell r="D19" t="str">
            <v>BAJAJ RE</v>
          </cell>
          <cell r="E19" t="str">
            <v>BAJAJ RE SPECIAL EDITION (BLUE)</v>
          </cell>
          <cell r="F19" t="str">
            <v>TRI-WHEELED</v>
          </cell>
          <cell r="G19">
            <v>233000</v>
          </cell>
          <cell r="H19">
            <v>45</v>
          </cell>
          <cell r="I19">
            <v>30</v>
          </cell>
          <cell r="J19">
            <v>90</v>
          </cell>
          <cell r="K19">
            <v>15</v>
          </cell>
          <cell r="L19">
            <v>15</v>
          </cell>
          <cell r="M19">
            <v>30</v>
          </cell>
        </row>
        <row r="20">
          <cell r="B20" t="str">
            <v>BAJAJ RE SP. ED</v>
          </cell>
          <cell r="D20" t="str">
            <v>BAJAJ RE</v>
          </cell>
          <cell r="E20" t="str">
            <v>BAJAJ RE SPECIAL EDITION (RED)</v>
          </cell>
          <cell r="F20" t="str">
            <v>TRI-WHEELED</v>
          </cell>
          <cell r="G20">
            <v>233000</v>
          </cell>
          <cell r="H20">
            <v>45</v>
          </cell>
          <cell r="I20">
            <v>30</v>
          </cell>
          <cell r="J20">
            <v>90</v>
          </cell>
          <cell r="K20">
            <v>15</v>
          </cell>
          <cell r="L20">
            <v>15</v>
          </cell>
          <cell r="M20">
            <v>30</v>
          </cell>
        </row>
        <row r="21">
          <cell r="B21" t="str">
            <v>BAJAJ RE SP. ED</v>
          </cell>
          <cell r="D21" t="str">
            <v>BAJAJ RE</v>
          </cell>
          <cell r="E21" t="str">
            <v>BAJAJ RE SPECIAL EDITION (YELLOW)</v>
          </cell>
          <cell r="F21" t="str">
            <v>TRI-WHEELED</v>
          </cell>
          <cell r="G21">
            <v>233000</v>
          </cell>
          <cell r="H21">
            <v>45</v>
          </cell>
          <cell r="I21">
            <v>30</v>
          </cell>
          <cell r="J21">
            <v>90</v>
          </cell>
          <cell r="K21">
            <v>15</v>
          </cell>
          <cell r="L21">
            <v>15</v>
          </cell>
          <cell r="M21">
            <v>30</v>
          </cell>
        </row>
        <row r="22">
          <cell r="B22" t="str">
            <v>BARAKO II (DUAL START)</v>
          </cell>
          <cell r="D22" t="str">
            <v>KAWASAKI</v>
          </cell>
          <cell r="E22" t="str">
            <v>BC175JHF ELEC. START NEW BARAKO(BLACK)</v>
          </cell>
          <cell r="F22" t="str">
            <v>BUSINESS</v>
          </cell>
          <cell r="G22">
            <v>95530</v>
          </cell>
          <cell r="H22">
            <v>45</v>
          </cell>
          <cell r="I22">
            <v>30</v>
          </cell>
          <cell r="J22">
            <v>90</v>
          </cell>
          <cell r="K22">
            <v>15</v>
          </cell>
          <cell r="L22">
            <v>15</v>
          </cell>
          <cell r="M22">
            <v>30</v>
          </cell>
        </row>
        <row r="23">
          <cell r="B23" t="str">
            <v>BARAKO II (DUAL START)</v>
          </cell>
          <cell r="D23" t="str">
            <v>KAWASAKI</v>
          </cell>
          <cell r="E23" t="str">
            <v>BC175JHF ELEC. START NEW BARAKO(BLUE)</v>
          </cell>
          <cell r="F23" t="str">
            <v>BUSINESS</v>
          </cell>
          <cell r="G23">
            <v>95530</v>
          </cell>
          <cell r="H23">
            <v>45</v>
          </cell>
          <cell r="I23">
            <v>30</v>
          </cell>
          <cell r="J23">
            <v>90</v>
          </cell>
          <cell r="K23">
            <v>15</v>
          </cell>
          <cell r="L23">
            <v>15</v>
          </cell>
          <cell r="M23">
            <v>30</v>
          </cell>
        </row>
        <row r="24">
          <cell r="B24" t="str">
            <v>BARAKO II (DUAL START)</v>
          </cell>
          <cell r="D24" t="str">
            <v>KAWASAKI</v>
          </cell>
          <cell r="E24" t="str">
            <v>BC175JLS ELEC. START NEW BARAKO(BLACK)</v>
          </cell>
          <cell r="F24" t="str">
            <v>BUSINESS</v>
          </cell>
          <cell r="G24">
            <v>95530</v>
          </cell>
          <cell r="H24">
            <v>45</v>
          </cell>
          <cell r="I24">
            <v>30</v>
          </cell>
          <cell r="J24">
            <v>90</v>
          </cell>
          <cell r="K24">
            <v>15</v>
          </cell>
          <cell r="L24">
            <v>15</v>
          </cell>
          <cell r="M24">
            <v>30</v>
          </cell>
        </row>
        <row r="25">
          <cell r="B25" t="str">
            <v>BARAKO II (DUAL START)</v>
          </cell>
          <cell r="D25" t="str">
            <v>KAWASAKI</v>
          </cell>
          <cell r="E25" t="str">
            <v>BC175JLF ELEC. START NEW BARAKO(BLUE)</v>
          </cell>
          <cell r="F25" t="str">
            <v>BUSINESS</v>
          </cell>
          <cell r="G25">
            <v>95530</v>
          </cell>
          <cell r="H25">
            <v>45</v>
          </cell>
          <cell r="I25">
            <v>30</v>
          </cell>
          <cell r="J25">
            <v>90</v>
          </cell>
          <cell r="K25">
            <v>15</v>
          </cell>
          <cell r="L25">
            <v>15</v>
          </cell>
          <cell r="M25">
            <v>30</v>
          </cell>
        </row>
        <row r="26">
          <cell r="B26" t="str">
            <v>BARAKO II (DUAL START)</v>
          </cell>
          <cell r="D26" t="str">
            <v>KAWASAKI</v>
          </cell>
          <cell r="E26" t="str">
            <v>BC175JLF ELEC. START NEW BARAKO(BLACK)</v>
          </cell>
          <cell r="F26" t="str">
            <v>BUSINESS</v>
          </cell>
          <cell r="G26">
            <v>95530</v>
          </cell>
          <cell r="H26">
            <v>45</v>
          </cell>
          <cell r="I26">
            <v>30</v>
          </cell>
          <cell r="J26">
            <v>90</v>
          </cell>
          <cell r="K26">
            <v>15</v>
          </cell>
          <cell r="L26">
            <v>15</v>
          </cell>
          <cell r="M26">
            <v>30</v>
          </cell>
        </row>
        <row r="27">
          <cell r="B27" t="str">
            <v>BARAKO II (DUAL START)</v>
          </cell>
          <cell r="D27" t="str">
            <v>KAWASAKI</v>
          </cell>
          <cell r="E27" t="str">
            <v>BC175JMFNN DUAL START BARAKO(BLACK)</v>
          </cell>
          <cell r="F27" t="str">
            <v>BUSINESS</v>
          </cell>
          <cell r="G27">
            <v>95530</v>
          </cell>
          <cell r="H27">
            <v>45</v>
          </cell>
          <cell r="I27">
            <v>30</v>
          </cell>
          <cell r="J27">
            <v>90</v>
          </cell>
          <cell r="K27">
            <v>15</v>
          </cell>
          <cell r="L27">
            <v>15</v>
          </cell>
          <cell r="M27">
            <v>30</v>
          </cell>
        </row>
        <row r="28">
          <cell r="B28" t="str">
            <v>BARAKO II (DUAL START)</v>
          </cell>
          <cell r="D28" t="str">
            <v>KAWASAKI</v>
          </cell>
          <cell r="E28" t="str">
            <v>BC175JMJNN DUAL START BARAKO(BLACK) (</v>
          </cell>
          <cell r="F28" t="str">
            <v>BUSINESS</v>
          </cell>
          <cell r="G28">
            <v>95530</v>
          </cell>
          <cell r="H28">
            <v>45</v>
          </cell>
          <cell r="I28">
            <v>30</v>
          </cell>
          <cell r="J28">
            <v>90</v>
          </cell>
          <cell r="K28">
            <v>15</v>
          </cell>
          <cell r="L28">
            <v>15</v>
          </cell>
          <cell r="M28">
            <v>30</v>
          </cell>
        </row>
        <row r="29">
          <cell r="B29" t="str">
            <v>BARAKO II (DUAL START)</v>
          </cell>
          <cell r="D29" t="str">
            <v>KAWASAKI</v>
          </cell>
          <cell r="E29" t="str">
            <v>BC175NNFNN DUAL START BARAKO(BLACK)</v>
          </cell>
          <cell r="F29" t="str">
            <v>BUSINESS</v>
          </cell>
          <cell r="G29">
            <v>95530</v>
          </cell>
          <cell r="H29">
            <v>45</v>
          </cell>
          <cell r="I29">
            <v>30</v>
          </cell>
          <cell r="J29">
            <v>90</v>
          </cell>
          <cell r="K29">
            <v>15</v>
          </cell>
          <cell r="L29">
            <v>15</v>
          </cell>
          <cell r="M29">
            <v>30</v>
          </cell>
        </row>
        <row r="30">
          <cell r="B30" t="str">
            <v>BARAKO II (DUAL START)</v>
          </cell>
          <cell r="D30" t="str">
            <v>KAWASAKI</v>
          </cell>
          <cell r="E30" t="str">
            <v>BC175NPFNN BARAKO II ELECTRIC (GREY)</v>
          </cell>
          <cell r="F30" t="str">
            <v>BUSINESS</v>
          </cell>
          <cell r="G30">
            <v>95530</v>
          </cell>
          <cell r="H30">
            <v>45</v>
          </cell>
          <cell r="I30">
            <v>30</v>
          </cell>
          <cell r="J30">
            <v>90</v>
          </cell>
          <cell r="K30">
            <v>15</v>
          </cell>
          <cell r="L30">
            <v>15</v>
          </cell>
          <cell r="M30">
            <v>30</v>
          </cell>
        </row>
        <row r="31">
          <cell r="B31" t="str">
            <v>BARAKO II (KICK START)</v>
          </cell>
          <cell r="D31" t="str">
            <v>KAWASAKI</v>
          </cell>
          <cell r="E31" t="str">
            <v>BC175HHF KICK START NEW BARAKO(BLACK)</v>
          </cell>
          <cell r="F31" t="str">
            <v>BUSINESS</v>
          </cell>
          <cell r="G31">
            <v>91770</v>
          </cell>
          <cell r="H31">
            <v>45</v>
          </cell>
          <cell r="I31">
            <v>30</v>
          </cell>
          <cell r="J31">
            <v>90</v>
          </cell>
          <cell r="K31">
            <v>15</v>
          </cell>
          <cell r="L31">
            <v>15</v>
          </cell>
          <cell r="M31">
            <v>30</v>
          </cell>
        </row>
        <row r="32">
          <cell r="B32" t="str">
            <v>BARAKO II (KICK START)</v>
          </cell>
          <cell r="D32" t="str">
            <v>KAWASAKI</v>
          </cell>
          <cell r="E32" t="str">
            <v>BC175HHF KICK START NEW BARAKO(GRAY)</v>
          </cell>
          <cell r="F32" t="str">
            <v>BUSINESS</v>
          </cell>
          <cell r="G32">
            <v>91770</v>
          </cell>
          <cell r="H32">
            <v>45</v>
          </cell>
          <cell r="I32">
            <v>30</v>
          </cell>
          <cell r="J32">
            <v>90</v>
          </cell>
          <cell r="K32">
            <v>15</v>
          </cell>
          <cell r="L32">
            <v>15</v>
          </cell>
          <cell r="M32">
            <v>30</v>
          </cell>
        </row>
        <row r="33">
          <cell r="B33" t="str">
            <v>BARAKO II (KICK START)</v>
          </cell>
          <cell r="D33" t="str">
            <v>KAWASAKI</v>
          </cell>
          <cell r="E33" t="str">
            <v>BC175HHF KICK START NEW BARAKO(RED)</v>
          </cell>
          <cell r="F33" t="str">
            <v>BUSINESS</v>
          </cell>
          <cell r="G33">
            <v>91770</v>
          </cell>
          <cell r="H33">
            <v>45</v>
          </cell>
          <cell r="I33">
            <v>30</v>
          </cell>
          <cell r="J33">
            <v>90</v>
          </cell>
          <cell r="K33">
            <v>15</v>
          </cell>
          <cell r="L33">
            <v>15</v>
          </cell>
          <cell r="M33">
            <v>30</v>
          </cell>
        </row>
        <row r="34">
          <cell r="B34" t="str">
            <v>BARAKO II (KICK START)</v>
          </cell>
          <cell r="C34" t="str">
            <v>OLD MODEL CODE</v>
          </cell>
          <cell r="D34" t="str">
            <v>KAWASAKI</v>
          </cell>
          <cell r="E34" t="str">
            <v>BC175JHF ELEC. START NEW BARAKO(RED)</v>
          </cell>
          <cell r="F34" t="str">
            <v>BUSINESS</v>
          </cell>
          <cell r="G34">
            <v>91770</v>
          </cell>
          <cell r="H34">
            <v>45</v>
          </cell>
          <cell r="I34">
            <v>30</v>
          </cell>
          <cell r="J34">
            <v>90</v>
          </cell>
          <cell r="K34">
            <v>15</v>
          </cell>
          <cell r="L34">
            <v>15</v>
          </cell>
          <cell r="M34">
            <v>30</v>
          </cell>
        </row>
        <row r="35">
          <cell r="B35" t="str">
            <v>BARAKO II (KICK START)</v>
          </cell>
          <cell r="D35" t="str">
            <v>KAWASAKI</v>
          </cell>
          <cell r="E35" t="str">
            <v>BC175HKS (GRAY)</v>
          </cell>
          <cell r="F35" t="str">
            <v>BUSINESS</v>
          </cell>
          <cell r="G35">
            <v>91770</v>
          </cell>
          <cell r="H35">
            <v>45</v>
          </cell>
          <cell r="I35">
            <v>30</v>
          </cell>
          <cell r="J35">
            <v>90</v>
          </cell>
          <cell r="K35">
            <v>15</v>
          </cell>
          <cell r="L35">
            <v>15</v>
          </cell>
          <cell r="M35">
            <v>30</v>
          </cell>
        </row>
        <row r="36">
          <cell r="B36" t="str">
            <v>BARAKO II (KICK START)</v>
          </cell>
          <cell r="D36" t="str">
            <v>KAWASAKI</v>
          </cell>
          <cell r="E36" t="str">
            <v>BC175HLF (RED)</v>
          </cell>
          <cell r="F36" t="str">
            <v>BUSINESS</v>
          </cell>
          <cell r="G36">
            <v>91770</v>
          </cell>
          <cell r="H36">
            <v>45</v>
          </cell>
          <cell r="I36">
            <v>30</v>
          </cell>
          <cell r="J36">
            <v>90</v>
          </cell>
          <cell r="K36">
            <v>15</v>
          </cell>
          <cell r="L36">
            <v>15</v>
          </cell>
          <cell r="M36">
            <v>30</v>
          </cell>
        </row>
        <row r="37">
          <cell r="B37" t="str">
            <v>BARAKO II (KICK START)</v>
          </cell>
          <cell r="D37" t="str">
            <v>KAWASAKI</v>
          </cell>
          <cell r="E37" t="str">
            <v>BC175HLF(GRAY)</v>
          </cell>
          <cell r="F37" t="str">
            <v>BUSINESS</v>
          </cell>
          <cell r="G37">
            <v>91770</v>
          </cell>
          <cell r="H37">
            <v>45</v>
          </cell>
          <cell r="I37">
            <v>30</v>
          </cell>
          <cell r="J37">
            <v>90</v>
          </cell>
          <cell r="K37">
            <v>15</v>
          </cell>
          <cell r="L37">
            <v>15</v>
          </cell>
          <cell r="M37">
            <v>30</v>
          </cell>
        </row>
        <row r="38">
          <cell r="B38" t="str">
            <v>BARAKO II (KICK START)</v>
          </cell>
          <cell r="D38" t="str">
            <v>KAWASAKI</v>
          </cell>
          <cell r="E38" t="str">
            <v>BC175JMFNN BARAKO (RED)</v>
          </cell>
          <cell r="F38" t="str">
            <v>BUSINESS</v>
          </cell>
          <cell r="G38">
            <v>91770</v>
          </cell>
          <cell r="H38">
            <v>45</v>
          </cell>
          <cell r="I38">
            <v>30</v>
          </cell>
          <cell r="J38">
            <v>90</v>
          </cell>
          <cell r="K38">
            <v>15</v>
          </cell>
          <cell r="L38">
            <v>15</v>
          </cell>
          <cell r="M38">
            <v>30</v>
          </cell>
        </row>
        <row r="39">
          <cell r="B39" t="str">
            <v>BARAKO II (KICK START)</v>
          </cell>
          <cell r="D39" t="str">
            <v>KAWASAKI</v>
          </cell>
          <cell r="E39" t="str">
            <v>BC175MNFNN BARAKO IIKICK START(RED)</v>
          </cell>
          <cell r="F39" t="str">
            <v>BUSINESS</v>
          </cell>
          <cell r="G39">
            <v>91770</v>
          </cell>
          <cell r="H39">
            <v>45</v>
          </cell>
          <cell r="I39">
            <v>30</v>
          </cell>
          <cell r="J39">
            <v>90</v>
          </cell>
          <cell r="K39">
            <v>15</v>
          </cell>
          <cell r="L39">
            <v>15</v>
          </cell>
          <cell r="M39">
            <v>30</v>
          </cell>
        </row>
        <row r="40">
          <cell r="B40" t="str">
            <v>BARAKO II (KICK START)</v>
          </cell>
          <cell r="D40" t="str">
            <v>KAWASAKI</v>
          </cell>
          <cell r="E40" t="str">
            <v>BC175MPFNN BARAKO II KICK (RED)</v>
          </cell>
          <cell r="F40" t="str">
            <v>BUSINESS</v>
          </cell>
          <cell r="G40">
            <v>91770</v>
          </cell>
          <cell r="H40">
            <v>45</v>
          </cell>
          <cell r="I40">
            <v>30</v>
          </cell>
          <cell r="J40">
            <v>90</v>
          </cell>
          <cell r="K40">
            <v>15</v>
          </cell>
          <cell r="L40">
            <v>15</v>
          </cell>
          <cell r="M40">
            <v>30</v>
          </cell>
        </row>
        <row r="41">
          <cell r="B41" t="str">
            <v>BARAKO III FI(DUAL START)</v>
          </cell>
          <cell r="D41" t="str">
            <v>KAWASAKI</v>
          </cell>
          <cell r="E41" t="str">
            <v>BC175LMFNN BARAKO III FI DUAL START (BLUE)</v>
          </cell>
          <cell r="F41" t="str">
            <v>BUSINESS</v>
          </cell>
          <cell r="G41">
            <v>100700</v>
          </cell>
          <cell r="H41">
            <v>45</v>
          </cell>
          <cell r="I41">
            <v>30</v>
          </cell>
          <cell r="J41">
            <v>90</v>
          </cell>
          <cell r="K41">
            <v>15</v>
          </cell>
          <cell r="L41">
            <v>15</v>
          </cell>
          <cell r="M41">
            <v>30</v>
          </cell>
        </row>
        <row r="42">
          <cell r="B42" t="str">
            <v>BARAKO III FI(DUAL START)</v>
          </cell>
          <cell r="D42" t="str">
            <v>KAWASAKI</v>
          </cell>
          <cell r="E42" t="str">
            <v>BC175LPFNN BARAKO III ELECTRIC (BLACK)</v>
          </cell>
          <cell r="F42" t="str">
            <v>BUSINESS</v>
          </cell>
          <cell r="G42">
            <v>100700</v>
          </cell>
          <cell r="H42">
            <v>45</v>
          </cell>
          <cell r="I42">
            <v>30</v>
          </cell>
          <cell r="J42">
            <v>90</v>
          </cell>
          <cell r="K42">
            <v>15</v>
          </cell>
          <cell r="L42">
            <v>15</v>
          </cell>
          <cell r="M42">
            <v>30</v>
          </cell>
        </row>
        <row r="43">
          <cell r="B43" t="str">
            <v>BARAKO III FI(KICK START)</v>
          </cell>
          <cell r="D43" t="str">
            <v>KAWASAKI</v>
          </cell>
          <cell r="E43" t="str">
            <v>BC175KMFNN BARAKO III FI KICK START(GRAY)</v>
          </cell>
          <cell r="F43" t="str">
            <v>BUSINESS</v>
          </cell>
          <cell r="G43">
            <v>92710</v>
          </cell>
          <cell r="H43">
            <v>45</v>
          </cell>
          <cell r="I43">
            <v>30</v>
          </cell>
          <cell r="J43">
            <v>90</v>
          </cell>
          <cell r="K43">
            <v>15</v>
          </cell>
          <cell r="L43">
            <v>15</v>
          </cell>
          <cell r="M43">
            <v>30</v>
          </cell>
        </row>
        <row r="44">
          <cell r="B44" t="str">
            <v>BARAKO III FI(KICK START)</v>
          </cell>
          <cell r="D44" t="str">
            <v>KAWASAKI</v>
          </cell>
          <cell r="E44" t="str">
            <v>BC175KPFNN BARAKO III KICK (BLUE)</v>
          </cell>
          <cell r="F44" t="str">
            <v>BUSINESS</v>
          </cell>
          <cell r="G44">
            <v>92710</v>
          </cell>
          <cell r="H44">
            <v>45</v>
          </cell>
          <cell r="I44">
            <v>30</v>
          </cell>
          <cell r="J44">
            <v>90</v>
          </cell>
          <cell r="K44">
            <v>15</v>
          </cell>
          <cell r="L44">
            <v>15</v>
          </cell>
          <cell r="M44">
            <v>30</v>
          </cell>
        </row>
        <row r="45">
          <cell r="B45" t="str">
            <v>BEAT FI STD</v>
          </cell>
          <cell r="C45" t="str">
            <v>OLD MODEL CODE</v>
          </cell>
          <cell r="D45" t="str">
            <v>HONDA</v>
          </cell>
          <cell r="E45" t="str">
            <v>ACH110CBTJII BEAT FI(RED/WHITE)</v>
          </cell>
          <cell r="F45" t="str">
            <v>SCOOTER</v>
          </cell>
          <cell r="G45">
            <v>70998</v>
          </cell>
          <cell r="H45">
            <v>45</v>
          </cell>
          <cell r="I45">
            <v>30</v>
          </cell>
          <cell r="J45">
            <v>90</v>
          </cell>
          <cell r="K45">
            <v>15</v>
          </cell>
          <cell r="L45">
            <v>15</v>
          </cell>
          <cell r="M45">
            <v>30</v>
          </cell>
        </row>
        <row r="46">
          <cell r="B46" t="str">
            <v>BEAT FI STD</v>
          </cell>
          <cell r="C46" t="str">
            <v>OLD MODEL CODE</v>
          </cell>
          <cell r="D46" t="str">
            <v>HONDA</v>
          </cell>
          <cell r="E46" t="str">
            <v>ACH110CSFK (ORANGE/BLACK)</v>
          </cell>
          <cell r="F46" t="str">
            <v>SCOOTER</v>
          </cell>
          <cell r="G46">
            <v>70998</v>
          </cell>
          <cell r="H46">
            <v>45</v>
          </cell>
          <cell r="I46">
            <v>30</v>
          </cell>
          <cell r="J46">
            <v>90</v>
          </cell>
          <cell r="K46">
            <v>15</v>
          </cell>
          <cell r="L46">
            <v>15</v>
          </cell>
          <cell r="M46">
            <v>30</v>
          </cell>
        </row>
        <row r="47">
          <cell r="B47" t="str">
            <v>BEAT FI STD</v>
          </cell>
          <cell r="C47" t="str">
            <v>OLD MODEL CODE</v>
          </cell>
          <cell r="D47" t="str">
            <v>HONDA</v>
          </cell>
          <cell r="E47" t="str">
            <v>ACH110CSFK (RED/WHITE)</v>
          </cell>
          <cell r="F47" t="str">
            <v>SCOOTER</v>
          </cell>
          <cell r="G47">
            <v>70998</v>
          </cell>
          <cell r="H47">
            <v>45</v>
          </cell>
          <cell r="I47">
            <v>30</v>
          </cell>
          <cell r="J47">
            <v>90</v>
          </cell>
          <cell r="K47">
            <v>15</v>
          </cell>
          <cell r="L47">
            <v>15</v>
          </cell>
          <cell r="M47">
            <v>30</v>
          </cell>
        </row>
        <row r="48">
          <cell r="B48" t="str">
            <v>BEAT FI STD</v>
          </cell>
          <cell r="C48" t="str">
            <v>OLD MODEL CODE</v>
          </cell>
          <cell r="D48" t="str">
            <v>HONDA</v>
          </cell>
          <cell r="E48" t="str">
            <v>ACH110CSFK (BLUE/WHITE)</v>
          </cell>
          <cell r="F48" t="str">
            <v>SCOOTER</v>
          </cell>
          <cell r="G48">
            <v>70998</v>
          </cell>
          <cell r="H48">
            <v>45</v>
          </cell>
          <cell r="I48">
            <v>30</v>
          </cell>
          <cell r="J48">
            <v>90</v>
          </cell>
          <cell r="K48">
            <v>15</v>
          </cell>
          <cell r="L48">
            <v>15</v>
          </cell>
          <cell r="M48">
            <v>30</v>
          </cell>
        </row>
        <row r="49">
          <cell r="B49" t="str">
            <v>BEAT FI STD</v>
          </cell>
          <cell r="C49" t="str">
            <v>OLD MODEL CODE</v>
          </cell>
          <cell r="D49" t="str">
            <v>HONDA</v>
          </cell>
          <cell r="E49" t="str">
            <v>ACH110CSFKII BEAT FI (WHITE/BLACK)</v>
          </cell>
          <cell r="F49" t="str">
            <v>SCOOTER</v>
          </cell>
          <cell r="G49">
            <v>70998</v>
          </cell>
          <cell r="H49">
            <v>45</v>
          </cell>
          <cell r="I49">
            <v>30</v>
          </cell>
          <cell r="J49">
            <v>90</v>
          </cell>
          <cell r="K49">
            <v>15</v>
          </cell>
          <cell r="L49">
            <v>15</v>
          </cell>
          <cell r="M49">
            <v>30</v>
          </cell>
        </row>
        <row r="50">
          <cell r="B50" t="str">
            <v>BEAT FI STD</v>
          </cell>
          <cell r="C50" t="str">
            <v>OLD MODEL CODE</v>
          </cell>
          <cell r="D50" t="str">
            <v>HONDA</v>
          </cell>
          <cell r="E50" t="str">
            <v>ACH110CSFKII BEAT FI (GRAY/BLACK)</v>
          </cell>
          <cell r="F50" t="str">
            <v>SCOOTER</v>
          </cell>
          <cell r="G50">
            <v>70998</v>
          </cell>
          <cell r="H50">
            <v>45</v>
          </cell>
          <cell r="I50">
            <v>30</v>
          </cell>
          <cell r="J50">
            <v>90</v>
          </cell>
          <cell r="K50">
            <v>15</v>
          </cell>
          <cell r="L50">
            <v>15</v>
          </cell>
          <cell r="M50">
            <v>30</v>
          </cell>
        </row>
        <row r="51">
          <cell r="B51" t="str">
            <v>BEAT FI STD</v>
          </cell>
          <cell r="C51" t="str">
            <v>OLD MODEL CODE</v>
          </cell>
          <cell r="D51" t="str">
            <v>HONDA</v>
          </cell>
          <cell r="E51" t="str">
            <v>ACH110CSFKII BEAT FI (BLACK)</v>
          </cell>
          <cell r="F51" t="str">
            <v>SCOOTER</v>
          </cell>
          <cell r="G51">
            <v>70998</v>
          </cell>
          <cell r="H51">
            <v>45</v>
          </cell>
          <cell r="I51">
            <v>30</v>
          </cell>
          <cell r="J51">
            <v>90</v>
          </cell>
          <cell r="K51">
            <v>15</v>
          </cell>
          <cell r="L51">
            <v>15</v>
          </cell>
          <cell r="M51">
            <v>30</v>
          </cell>
        </row>
        <row r="52">
          <cell r="B52" t="str">
            <v>BEAT FI STD</v>
          </cell>
          <cell r="C52" t="str">
            <v>OLD MODEL CODE</v>
          </cell>
          <cell r="D52" t="str">
            <v>HONDA</v>
          </cell>
          <cell r="E52" t="str">
            <v>ACH110CSFLII (GRAY/BLACK)</v>
          </cell>
          <cell r="F52" t="str">
            <v>SCOOTER</v>
          </cell>
          <cell r="G52">
            <v>70998</v>
          </cell>
          <cell r="H52">
            <v>45</v>
          </cell>
          <cell r="I52">
            <v>30</v>
          </cell>
          <cell r="J52">
            <v>90</v>
          </cell>
          <cell r="K52">
            <v>15</v>
          </cell>
          <cell r="L52">
            <v>15</v>
          </cell>
          <cell r="M52">
            <v>30</v>
          </cell>
        </row>
        <row r="53">
          <cell r="B53" t="str">
            <v>BEAT FI STD</v>
          </cell>
          <cell r="C53" t="str">
            <v>OLD MODEL CODE</v>
          </cell>
          <cell r="D53" t="str">
            <v>HONDA</v>
          </cell>
          <cell r="E53" t="str">
            <v>ACH110CSFLII (WHITE/BLACK)</v>
          </cell>
          <cell r="F53" t="str">
            <v>SCOOTER</v>
          </cell>
          <cell r="G53">
            <v>70998</v>
          </cell>
          <cell r="H53">
            <v>45</v>
          </cell>
          <cell r="I53">
            <v>30</v>
          </cell>
          <cell r="J53">
            <v>90</v>
          </cell>
          <cell r="K53">
            <v>15</v>
          </cell>
          <cell r="L53">
            <v>15</v>
          </cell>
          <cell r="M53">
            <v>30</v>
          </cell>
        </row>
        <row r="54">
          <cell r="B54" t="str">
            <v>BEAT FI STD</v>
          </cell>
          <cell r="C54" t="str">
            <v>OLD MODEL CODE</v>
          </cell>
          <cell r="D54" t="str">
            <v>HONDA</v>
          </cell>
          <cell r="E54" t="str">
            <v>ACH110CSFLII (GRAY)</v>
          </cell>
          <cell r="F54" t="str">
            <v>SCOOTER</v>
          </cell>
          <cell r="G54">
            <v>70998</v>
          </cell>
          <cell r="H54">
            <v>45</v>
          </cell>
          <cell r="I54">
            <v>30</v>
          </cell>
          <cell r="J54">
            <v>90</v>
          </cell>
          <cell r="K54">
            <v>15</v>
          </cell>
          <cell r="L54">
            <v>15</v>
          </cell>
          <cell r="M54">
            <v>30</v>
          </cell>
        </row>
        <row r="55">
          <cell r="B55" t="str">
            <v>BEAT FI STD</v>
          </cell>
          <cell r="C55" t="str">
            <v>OLD MODEL CODE</v>
          </cell>
          <cell r="D55" t="str">
            <v>HONDA</v>
          </cell>
          <cell r="E55" t="str">
            <v>ACH110CSFL(BLACK)</v>
          </cell>
          <cell r="F55" t="str">
            <v>SCOOTER</v>
          </cell>
          <cell r="G55">
            <v>70998</v>
          </cell>
          <cell r="H55">
            <v>45</v>
          </cell>
          <cell r="I55">
            <v>30</v>
          </cell>
          <cell r="J55">
            <v>90</v>
          </cell>
          <cell r="K55">
            <v>15</v>
          </cell>
          <cell r="L55">
            <v>15</v>
          </cell>
          <cell r="M55">
            <v>30</v>
          </cell>
        </row>
        <row r="56">
          <cell r="B56" t="str">
            <v>BEAT FI STD</v>
          </cell>
          <cell r="C56" t="str">
            <v>OLD MODEL CODE</v>
          </cell>
          <cell r="D56" t="str">
            <v>HONDA</v>
          </cell>
          <cell r="E56" t="str">
            <v>ACH110CSFL(RED/BLACK)</v>
          </cell>
          <cell r="F56" t="str">
            <v>SCOOTER</v>
          </cell>
          <cell r="G56">
            <v>70998</v>
          </cell>
          <cell r="H56">
            <v>45</v>
          </cell>
          <cell r="I56">
            <v>30</v>
          </cell>
          <cell r="J56">
            <v>90</v>
          </cell>
          <cell r="K56">
            <v>15</v>
          </cell>
          <cell r="L56">
            <v>15</v>
          </cell>
          <cell r="M56">
            <v>30</v>
          </cell>
        </row>
        <row r="57">
          <cell r="B57" t="str">
            <v>BEAT FI STD</v>
          </cell>
          <cell r="C57" t="str">
            <v>OLD MODEL CODE</v>
          </cell>
          <cell r="D57" t="str">
            <v>HONDA</v>
          </cell>
          <cell r="E57" t="str">
            <v>ACH110CSFL(ORANGE/BLACK)</v>
          </cell>
          <cell r="F57" t="str">
            <v>SCOOTER</v>
          </cell>
          <cell r="G57">
            <v>70998</v>
          </cell>
          <cell r="H57">
            <v>45</v>
          </cell>
          <cell r="I57">
            <v>30</v>
          </cell>
          <cell r="J57">
            <v>90</v>
          </cell>
          <cell r="K57">
            <v>15</v>
          </cell>
          <cell r="L57">
            <v>15</v>
          </cell>
          <cell r="M57">
            <v>30</v>
          </cell>
        </row>
        <row r="58">
          <cell r="B58" t="str">
            <v>BEAT FI STD</v>
          </cell>
          <cell r="C58" t="str">
            <v>OLD MODEL CODE</v>
          </cell>
          <cell r="D58" t="str">
            <v>HONDA</v>
          </cell>
          <cell r="E58" t="str">
            <v>ACH110CSFL(BLUE/BLACK)</v>
          </cell>
          <cell r="F58" t="str">
            <v>SCOOTER</v>
          </cell>
          <cell r="G58">
            <v>70998</v>
          </cell>
          <cell r="H58">
            <v>45</v>
          </cell>
          <cell r="I58">
            <v>30</v>
          </cell>
          <cell r="J58">
            <v>90</v>
          </cell>
          <cell r="K58">
            <v>15</v>
          </cell>
          <cell r="L58">
            <v>15</v>
          </cell>
          <cell r="M58">
            <v>30</v>
          </cell>
        </row>
        <row r="59">
          <cell r="B59" t="str">
            <v>BEAT FI STD</v>
          </cell>
          <cell r="C59" t="str">
            <v>OLD MODEL CODE</v>
          </cell>
          <cell r="D59" t="str">
            <v>HONDA</v>
          </cell>
          <cell r="E59" t="str">
            <v>ACH110CSFL(BLUE/BLACK)</v>
          </cell>
          <cell r="F59" t="str">
            <v>SCOOTER</v>
          </cell>
          <cell r="G59">
            <v>70998</v>
          </cell>
          <cell r="H59">
            <v>45</v>
          </cell>
          <cell r="I59">
            <v>30</v>
          </cell>
          <cell r="J59">
            <v>90</v>
          </cell>
          <cell r="K59">
            <v>15</v>
          </cell>
          <cell r="L59">
            <v>15</v>
          </cell>
          <cell r="M59">
            <v>30</v>
          </cell>
        </row>
        <row r="60">
          <cell r="B60" t="str">
            <v>BEAT FI STD</v>
          </cell>
          <cell r="D60" t="str">
            <v>HONDA</v>
          </cell>
          <cell r="E60" t="str">
            <v>ACH110CSFMII BEAT FI (GRAY/BLACK)</v>
          </cell>
          <cell r="F60" t="str">
            <v>SCOOTER</v>
          </cell>
          <cell r="G60">
            <v>70998</v>
          </cell>
          <cell r="H60">
            <v>45</v>
          </cell>
          <cell r="I60">
            <v>30</v>
          </cell>
          <cell r="J60">
            <v>90</v>
          </cell>
          <cell r="K60">
            <v>15</v>
          </cell>
          <cell r="L60">
            <v>15</v>
          </cell>
          <cell r="M60">
            <v>30</v>
          </cell>
        </row>
        <row r="61">
          <cell r="B61" t="str">
            <v>BEAT FI STD</v>
          </cell>
          <cell r="D61" t="str">
            <v>HONDA</v>
          </cell>
          <cell r="E61" t="str">
            <v>ACH110CSFMII BEAT FI (WHITE/BLACK)</v>
          </cell>
          <cell r="F61" t="str">
            <v>SCOOTER</v>
          </cell>
          <cell r="G61">
            <v>70998</v>
          </cell>
          <cell r="H61">
            <v>45</v>
          </cell>
          <cell r="I61">
            <v>30</v>
          </cell>
          <cell r="J61">
            <v>90</v>
          </cell>
          <cell r="K61">
            <v>15</v>
          </cell>
          <cell r="L61">
            <v>15</v>
          </cell>
          <cell r="M61">
            <v>30</v>
          </cell>
        </row>
        <row r="62">
          <cell r="B62" t="str">
            <v>BEAT FI STD</v>
          </cell>
          <cell r="D62" t="str">
            <v>HONDA</v>
          </cell>
          <cell r="E62" t="str">
            <v>ACH110CSFM BEAT FI (BLACK)</v>
          </cell>
          <cell r="F62" t="str">
            <v>SCOOTER</v>
          </cell>
          <cell r="G62">
            <v>70998</v>
          </cell>
          <cell r="H62">
            <v>45</v>
          </cell>
          <cell r="I62">
            <v>30</v>
          </cell>
          <cell r="J62">
            <v>90</v>
          </cell>
          <cell r="K62">
            <v>15</v>
          </cell>
          <cell r="L62">
            <v>15</v>
          </cell>
          <cell r="M62">
            <v>30</v>
          </cell>
        </row>
        <row r="63">
          <cell r="B63" t="str">
            <v>BEAT FI STD</v>
          </cell>
          <cell r="D63" t="str">
            <v>HONDA</v>
          </cell>
          <cell r="E63" t="str">
            <v>ACH110CSFMII BEAT FI (GRAY)</v>
          </cell>
          <cell r="F63" t="str">
            <v>SCOOTER</v>
          </cell>
          <cell r="G63">
            <v>70998</v>
          </cell>
          <cell r="H63">
            <v>45</v>
          </cell>
          <cell r="I63">
            <v>30</v>
          </cell>
          <cell r="J63">
            <v>90</v>
          </cell>
          <cell r="K63">
            <v>15</v>
          </cell>
          <cell r="L63">
            <v>15</v>
          </cell>
          <cell r="M63">
            <v>30</v>
          </cell>
        </row>
        <row r="64">
          <cell r="B64" t="str">
            <v>BEAT FI STD</v>
          </cell>
          <cell r="D64" t="str">
            <v>HONDA</v>
          </cell>
          <cell r="E64" t="str">
            <v>ACH110CSFM BEAT FI (RED/BLACK)</v>
          </cell>
          <cell r="F64" t="str">
            <v>SCOOTER</v>
          </cell>
          <cell r="G64">
            <v>70998</v>
          </cell>
          <cell r="H64">
            <v>45</v>
          </cell>
          <cell r="I64">
            <v>30</v>
          </cell>
          <cell r="J64">
            <v>90</v>
          </cell>
          <cell r="K64">
            <v>15</v>
          </cell>
          <cell r="L64">
            <v>15</v>
          </cell>
          <cell r="M64">
            <v>30</v>
          </cell>
        </row>
        <row r="65">
          <cell r="B65" t="str">
            <v>BEAT FI STD</v>
          </cell>
          <cell r="D65" t="str">
            <v>HONDA</v>
          </cell>
          <cell r="E65" t="str">
            <v>ACH110CSFM BEAT FI (ORANGE/BLACK)</v>
          </cell>
          <cell r="F65" t="str">
            <v>SCOOTER</v>
          </cell>
          <cell r="G65">
            <v>70998</v>
          </cell>
          <cell r="H65">
            <v>45</v>
          </cell>
          <cell r="I65">
            <v>30</v>
          </cell>
          <cell r="J65">
            <v>90</v>
          </cell>
          <cell r="K65">
            <v>15</v>
          </cell>
          <cell r="L65">
            <v>15</v>
          </cell>
          <cell r="M65">
            <v>30</v>
          </cell>
        </row>
        <row r="66">
          <cell r="B66" t="str">
            <v>BEAT FI STD</v>
          </cell>
          <cell r="D66" t="str">
            <v>HONDA</v>
          </cell>
          <cell r="E66" t="str">
            <v>ACH110CSFM BEAT FI (BLUE/BLACK)</v>
          </cell>
          <cell r="F66" t="str">
            <v>SCOOTER</v>
          </cell>
          <cell r="G66">
            <v>70998</v>
          </cell>
          <cell r="H66">
            <v>45</v>
          </cell>
          <cell r="I66">
            <v>30</v>
          </cell>
          <cell r="J66">
            <v>90</v>
          </cell>
          <cell r="K66">
            <v>15</v>
          </cell>
          <cell r="L66">
            <v>15</v>
          </cell>
          <cell r="M66">
            <v>30</v>
          </cell>
        </row>
        <row r="67">
          <cell r="B67" t="str">
            <v>BEAT FI PREM</v>
          </cell>
          <cell r="D67" t="str">
            <v>HONDA</v>
          </cell>
          <cell r="E67" t="str">
            <v>ACH110CBTM3 (GRAY/BLACK)</v>
          </cell>
          <cell r="F67" t="str">
            <v>SCOOTER</v>
          </cell>
          <cell r="G67">
            <v>72434</v>
          </cell>
          <cell r="H67">
            <v>45</v>
          </cell>
          <cell r="I67">
            <v>30</v>
          </cell>
          <cell r="J67">
            <v>90</v>
          </cell>
          <cell r="K67">
            <v>15</v>
          </cell>
          <cell r="L67">
            <v>15</v>
          </cell>
          <cell r="M67">
            <v>30</v>
          </cell>
        </row>
        <row r="68">
          <cell r="B68" t="str">
            <v>BEAT FI PREM</v>
          </cell>
          <cell r="D68" t="str">
            <v>HONDA</v>
          </cell>
          <cell r="E68" t="str">
            <v>ACH110CBTM3 (RED/BLACK)</v>
          </cell>
          <cell r="F68" t="str">
            <v>SCOOTER</v>
          </cell>
          <cell r="G68">
            <v>72434</v>
          </cell>
          <cell r="H68">
            <v>45</v>
          </cell>
          <cell r="I68">
            <v>30</v>
          </cell>
          <cell r="J68">
            <v>90</v>
          </cell>
          <cell r="K68">
            <v>15</v>
          </cell>
          <cell r="L68">
            <v>15</v>
          </cell>
          <cell r="M68">
            <v>30</v>
          </cell>
        </row>
        <row r="69">
          <cell r="B69" t="str">
            <v>BEAT FI STD</v>
          </cell>
          <cell r="D69" t="str">
            <v>HONDA</v>
          </cell>
          <cell r="E69" t="str">
            <v>ACH110CSFN (BLACK)</v>
          </cell>
          <cell r="F69" t="str">
            <v>SCOOTER</v>
          </cell>
          <cell r="G69">
            <v>70410</v>
          </cell>
          <cell r="H69">
            <v>45</v>
          </cell>
          <cell r="I69">
            <v>30</v>
          </cell>
          <cell r="J69">
            <v>90</v>
          </cell>
          <cell r="K69">
            <v>15</v>
          </cell>
          <cell r="L69">
            <v>15</v>
          </cell>
          <cell r="M69">
            <v>30</v>
          </cell>
        </row>
        <row r="70">
          <cell r="B70" t="str">
            <v>BEAT FI STD</v>
          </cell>
          <cell r="D70" t="str">
            <v>HONDA</v>
          </cell>
          <cell r="E70" t="str">
            <v>ACH110CSFN (RED/BLACK)</v>
          </cell>
          <cell r="F70" t="str">
            <v>SCOOTER</v>
          </cell>
          <cell r="G70">
            <v>70410</v>
          </cell>
          <cell r="H70">
            <v>45</v>
          </cell>
          <cell r="I70">
            <v>30</v>
          </cell>
          <cell r="J70">
            <v>90</v>
          </cell>
          <cell r="K70">
            <v>15</v>
          </cell>
          <cell r="L70">
            <v>15</v>
          </cell>
          <cell r="M70">
            <v>30</v>
          </cell>
        </row>
        <row r="71">
          <cell r="B71" t="str">
            <v>BEAT FI PREM</v>
          </cell>
          <cell r="D71" t="str">
            <v>HONDA</v>
          </cell>
          <cell r="E71" t="str">
            <v>ACH110CBTN3 (RED/BLACK)</v>
          </cell>
          <cell r="F71" t="str">
            <v>SCOOTER</v>
          </cell>
          <cell r="G71">
            <v>72434</v>
          </cell>
          <cell r="H71">
            <v>45</v>
          </cell>
          <cell r="I71">
            <v>30</v>
          </cell>
          <cell r="J71">
            <v>90</v>
          </cell>
          <cell r="K71">
            <v>15</v>
          </cell>
          <cell r="L71">
            <v>15</v>
          </cell>
          <cell r="M71">
            <v>30</v>
          </cell>
        </row>
        <row r="72">
          <cell r="B72" t="str">
            <v>BEAT FI STD</v>
          </cell>
          <cell r="D72" t="str">
            <v>HONDA</v>
          </cell>
          <cell r="E72" t="str">
            <v>ACH110CSFN (YELLOW/BLACK)</v>
          </cell>
          <cell r="F72" t="str">
            <v>SCOOTER</v>
          </cell>
          <cell r="G72">
            <v>70410</v>
          </cell>
          <cell r="H72">
            <v>45</v>
          </cell>
          <cell r="I72">
            <v>30</v>
          </cell>
          <cell r="J72">
            <v>90</v>
          </cell>
          <cell r="K72">
            <v>15</v>
          </cell>
          <cell r="L72">
            <v>15</v>
          </cell>
          <cell r="M72">
            <v>30</v>
          </cell>
        </row>
        <row r="73">
          <cell r="B73" t="str">
            <v>BEAT FI STD</v>
          </cell>
          <cell r="D73" t="str">
            <v>HONDA</v>
          </cell>
          <cell r="E73" t="str">
            <v>ACH110CSFNII (SILVER/BLACK)</v>
          </cell>
          <cell r="F73" t="str">
            <v>SCOOTER</v>
          </cell>
          <cell r="G73">
            <v>70410</v>
          </cell>
          <cell r="H73">
            <v>45</v>
          </cell>
          <cell r="I73">
            <v>30</v>
          </cell>
          <cell r="J73">
            <v>90</v>
          </cell>
          <cell r="K73">
            <v>15</v>
          </cell>
          <cell r="L73">
            <v>15</v>
          </cell>
          <cell r="M73">
            <v>30</v>
          </cell>
        </row>
        <row r="74">
          <cell r="B74" t="str">
            <v>BEAT FI STD</v>
          </cell>
          <cell r="D74" t="str">
            <v>HONDA</v>
          </cell>
          <cell r="E74" t="str">
            <v>ACH110CSFNII (GRAY/BLACK)</v>
          </cell>
          <cell r="F74" t="str">
            <v>SCOOTER</v>
          </cell>
          <cell r="G74">
            <v>70410</v>
          </cell>
          <cell r="H74">
            <v>45</v>
          </cell>
          <cell r="I74">
            <v>30</v>
          </cell>
          <cell r="J74">
            <v>90</v>
          </cell>
          <cell r="K74">
            <v>15</v>
          </cell>
          <cell r="L74">
            <v>15</v>
          </cell>
          <cell r="M74">
            <v>30</v>
          </cell>
        </row>
        <row r="75">
          <cell r="B75" t="str">
            <v>BEAT FI STD</v>
          </cell>
          <cell r="D75" t="str">
            <v>HONDA</v>
          </cell>
          <cell r="E75" t="str">
            <v>ACH110CBFR-PG (GRAY/BLACK)</v>
          </cell>
          <cell r="F75" t="str">
            <v>SCOOTER</v>
          </cell>
          <cell r="G75">
            <v>70410</v>
          </cell>
          <cell r="H75">
            <v>45</v>
          </cell>
          <cell r="I75">
            <v>30</v>
          </cell>
          <cell r="J75">
            <v>90</v>
          </cell>
          <cell r="K75">
            <v>15</v>
          </cell>
          <cell r="L75">
            <v>15</v>
          </cell>
          <cell r="M75">
            <v>30</v>
          </cell>
        </row>
        <row r="76">
          <cell r="B76" t="str">
            <v>BEAT FI STD</v>
          </cell>
          <cell r="D76" t="str">
            <v>HONDA</v>
          </cell>
          <cell r="E76" t="str">
            <v>ACH110CBFR-RD (RED/BLACK)</v>
          </cell>
          <cell r="F76" t="str">
            <v>SCOOTER</v>
          </cell>
          <cell r="G76">
            <v>70410</v>
          </cell>
          <cell r="H76">
            <v>45</v>
          </cell>
          <cell r="I76">
            <v>30</v>
          </cell>
          <cell r="J76">
            <v>90</v>
          </cell>
          <cell r="K76">
            <v>15</v>
          </cell>
          <cell r="L76">
            <v>15</v>
          </cell>
          <cell r="M76">
            <v>30</v>
          </cell>
        </row>
        <row r="77">
          <cell r="B77" t="str">
            <v>BEAT FI STD</v>
          </cell>
          <cell r="D77" t="str">
            <v>HONDA</v>
          </cell>
          <cell r="E77" t="str">
            <v>ACH110CBFR-PNB (BLUE/BLACK)</v>
          </cell>
          <cell r="F77" t="str">
            <v>SCOOTER</v>
          </cell>
          <cell r="G77">
            <v>70410</v>
          </cell>
          <cell r="H77">
            <v>45</v>
          </cell>
          <cell r="I77">
            <v>30</v>
          </cell>
          <cell r="J77">
            <v>90</v>
          </cell>
          <cell r="K77">
            <v>15</v>
          </cell>
          <cell r="L77">
            <v>15</v>
          </cell>
          <cell r="M77">
            <v>30</v>
          </cell>
        </row>
        <row r="78">
          <cell r="B78" t="str">
            <v>BEAT FI STD</v>
          </cell>
          <cell r="D78" t="str">
            <v>HONDA</v>
          </cell>
          <cell r="E78" t="str">
            <v>ACH110CBFR-YW (YELLOW/BLACK)</v>
          </cell>
          <cell r="F78" t="str">
            <v>SCOOTER</v>
          </cell>
          <cell r="G78">
            <v>70410</v>
          </cell>
          <cell r="H78">
            <v>45</v>
          </cell>
          <cell r="I78">
            <v>30</v>
          </cell>
          <cell r="J78">
            <v>90</v>
          </cell>
          <cell r="K78">
            <v>15</v>
          </cell>
          <cell r="L78">
            <v>15</v>
          </cell>
          <cell r="M78">
            <v>30</v>
          </cell>
        </row>
        <row r="79">
          <cell r="B79" t="str">
            <v>BEAT FI PREM</v>
          </cell>
          <cell r="D79" t="str">
            <v>HONDA</v>
          </cell>
          <cell r="E79" t="str">
            <v>ACH110CBFR3-MAG (GRAY)</v>
          </cell>
          <cell r="F79" t="str">
            <v>SCOOTER</v>
          </cell>
          <cell r="G79">
            <v>72434</v>
          </cell>
          <cell r="H79">
            <v>45</v>
          </cell>
          <cell r="I79">
            <v>30</v>
          </cell>
          <cell r="J79">
            <v>90</v>
          </cell>
          <cell r="K79">
            <v>15</v>
          </cell>
          <cell r="L79">
            <v>15</v>
          </cell>
          <cell r="M79">
            <v>30</v>
          </cell>
        </row>
        <row r="80">
          <cell r="B80" t="str">
            <v>BEAT FI PREM</v>
          </cell>
          <cell r="D80" t="str">
            <v>HONDA</v>
          </cell>
          <cell r="E80" t="str">
            <v>ACH110CBFR3-PW (WHITE)</v>
          </cell>
          <cell r="F80" t="str">
            <v>SCOOTER</v>
          </cell>
          <cell r="G80">
            <v>72434</v>
          </cell>
          <cell r="H80">
            <v>45</v>
          </cell>
          <cell r="I80">
            <v>30</v>
          </cell>
          <cell r="J80">
            <v>90</v>
          </cell>
          <cell r="K80">
            <v>15</v>
          </cell>
          <cell r="L80">
            <v>15</v>
          </cell>
          <cell r="M80">
            <v>30</v>
          </cell>
        </row>
        <row r="81">
          <cell r="B81" t="str">
            <v>BOXER</v>
          </cell>
          <cell r="D81" t="str">
            <v>KAWASAKI</v>
          </cell>
          <cell r="E81" t="str">
            <v>CT150B (RED)</v>
          </cell>
          <cell r="F81" t="str">
            <v>BUSINESS</v>
          </cell>
          <cell r="G81">
            <v>71560</v>
          </cell>
          <cell r="H81">
            <v>45</v>
          </cell>
          <cell r="I81">
            <v>30</v>
          </cell>
          <cell r="J81">
            <v>90</v>
          </cell>
          <cell r="K81">
            <v>15</v>
          </cell>
          <cell r="L81">
            <v>15</v>
          </cell>
          <cell r="M81">
            <v>30</v>
          </cell>
        </row>
        <row r="82">
          <cell r="B82" t="str">
            <v>BURGMAN STREET</v>
          </cell>
          <cell r="C82" t="str">
            <v>OLD MODEL CODE</v>
          </cell>
          <cell r="D82" t="str">
            <v>SUZUKI</v>
          </cell>
          <cell r="E82" t="str">
            <v>UB125NB BURGMAN STREET (GRAY)</v>
          </cell>
          <cell r="F82" t="str">
            <v>SCOOTER</v>
          </cell>
          <cell r="G82">
            <v>78872</v>
          </cell>
          <cell r="H82">
            <v>45</v>
          </cell>
          <cell r="I82">
            <v>30</v>
          </cell>
          <cell r="J82">
            <v>90</v>
          </cell>
          <cell r="K82">
            <v>15</v>
          </cell>
          <cell r="L82">
            <v>15</v>
          </cell>
          <cell r="M82">
            <v>30</v>
          </cell>
        </row>
        <row r="83">
          <cell r="B83" t="str">
            <v>BURGMAN STREET</v>
          </cell>
          <cell r="C83" t="str">
            <v>OLD MODEL CODE</v>
          </cell>
          <cell r="D83" t="str">
            <v>SUZUKI</v>
          </cell>
          <cell r="E83" t="str">
            <v>UB125NB BURGMAN STREET (BLACK)</v>
          </cell>
          <cell r="F83" t="str">
            <v>SCOOTER</v>
          </cell>
          <cell r="G83">
            <v>78872</v>
          </cell>
          <cell r="H83">
            <v>45</v>
          </cell>
          <cell r="I83">
            <v>30</v>
          </cell>
          <cell r="J83">
            <v>90</v>
          </cell>
          <cell r="K83">
            <v>15</v>
          </cell>
          <cell r="L83">
            <v>15</v>
          </cell>
          <cell r="M83">
            <v>30</v>
          </cell>
        </row>
        <row r="84">
          <cell r="B84" t="str">
            <v>BURGMAN STREET</v>
          </cell>
          <cell r="C84" t="str">
            <v>OLD MODEL CODE</v>
          </cell>
          <cell r="D84" t="str">
            <v>SUZUKI</v>
          </cell>
          <cell r="E84" t="str">
            <v>UB125NB BURGMAN STREET (WHITE)</v>
          </cell>
          <cell r="F84" t="str">
            <v>SCOOTER</v>
          </cell>
          <cell r="G84">
            <v>78872</v>
          </cell>
          <cell r="H84">
            <v>45</v>
          </cell>
          <cell r="I84">
            <v>30</v>
          </cell>
          <cell r="J84">
            <v>90</v>
          </cell>
          <cell r="K84">
            <v>15</v>
          </cell>
          <cell r="L84">
            <v>15</v>
          </cell>
          <cell r="M84">
            <v>30</v>
          </cell>
        </row>
        <row r="85">
          <cell r="B85" t="str">
            <v>BURGMAN STREET</v>
          </cell>
          <cell r="D85" t="str">
            <v>SUZUKI</v>
          </cell>
          <cell r="E85" t="str">
            <v>UB125NMX BURGMAN STREET-MRED</v>
          </cell>
          <cell r="F85" t="str">
            <v>SCOOTER</v>
          </cell>
          <cell r="G85">
            <v>78872</v>
          </cell>
          <cell r="H85">
            <v>45</v>
          </cell>
          <cell r="I85">
            <v>30</v>
          </cell>
          <cell r="J85">
            <v>90</v>
          </cell>
          <cell r="K85">
            <v>15</v>
          </cell>
          <cell r="L85">
            <v>15</v>
          </cell>
          <cell r="M85">
            <v>30</v>
          </cell>
        </row>
        <row r="86">
          <cell r="B86" t="str">
            <v>BURGMAN STREET</v>
          </cell>
          <cell r="D86" t="str">
            <v>SUZUKI</v>
          </cell>
          <cell r="E86" t="str">
            <v>UB125NMX BURGMAN STREET-BLUE</v>
          </cell>
          <cell r="F86" t="str">
            <v>SCOOTER</v>
          </cell>
          <cell r="G86">
            <v>78872</v>
          </cell>
          <cell r="H86">
            <v>45</v>
          </cell>
          <cell r="I86">
            <v>30</v>
          </cell>
          <cell r="J86">
            <v>90</v>
          </cell>
          <cell r="K86">
            <v>15</v>
          </cell>
          <cell r="L86">
            <v>15</v>
          </cell>
          <cell r="M86">
            <v>30</v>
          </cell>
        </row>
        <row r="87">
          <cell r="B87" t="str">
            <v>BURGMAN STREET</v>
          </cell>
          <cell r="D87" t="str">
            <v>SUZUKI</v>
          </cell>
          <cell r="E87" t="str">
            <v>UB125NMX BURGMAN STREET-MBLACK</v>
          </cell>
          <cell r="F87" t="str">
            <v>SCOOTER</v>
          </cell>
          <cell r="G87">
            <v>78872</v>
          </cell>
          <cell r="H87">
            <v>45</v>
          </cell>
          <cell r="I87">
            <v>30</v>
          </cell>
          <cell r="J87">
            <v>90</v>
          </cell>
          <cell r="K87">
            <v>15</v>
          </cell>
          <cell r="L87">
            <v>15</v>
          </cell>
          <cell r="M87">
            <v>30</v>
          </cell>
        </row>
        <row r="88">
          <cell r="B88" t="str">
            <v>BURGMAN STREET</v>
          </cell>
          <cell r="D88" t="str">
            <v>SUZUKI</v>
          </cell>
          <cell r="E88" t="str">
            <v>UB125NMX BURGMAN STREET-WHITE</v>
          </cell>
          <cell r="F88" t="str">
            <v>SCOOTER</v>
          </cell>
          <cell r="G88">
            <v>78872</v>
          </cell>
          <cell r="H88">
            <v>45</v>
          </cell>
          <cell r="I88">
            <v>30</v>
          </cell>
          <cell r="J88">
            <v>90</v>
          </cell>
          <cell r="K88">
            <v>15</v>
          </cell>
          <cell r="L88">
            <v>15</v>
          </cell>
          <cell r="M88">
            <v>30</v>
          </cell>
        </row>
        <row r="89">
          <cell r="B89" t="str">
            <v>BURGMAN STREET EX</v>
          </cell>
          <cell r="D89" t="str">
            <v>SUZUKI</v>
          </cell>
          <cell r="E89" t="str">
            <v>UB125LNM-1BRNZE BURGMAN STREET EX</v>
          </cell>
          <cell r="F89" t="str">
            <v>SCOOTER</v>
          </cell>
          <cell r="G89">
            <v>89662</v>
          </cell>
          <cell r="H89">
            <v>45</v>
          </cell>
          <cell r="I89">
            <v>30</v>
          </cell>
          <cell r="J89">
            <v>90</v>
          </cell>
          <cell r="K89">
            <v>15</v>
          </cell>
          <cell r="L89">
            <v>15</v>
          </cell>
          <cell r="M89">
            <v>30</v>
          </cell>
        </row>
        <row r="90">
          <cell r="B90" t="str">
            <v>BURGMAN STREET EX</v>
          </cell>
          <cell r="D90" t="str">
            <v>SUZUKI</v>
          </cell>
          <cell r="E90" t="str">
            <v>UB125LNM-1MBLCK BURGMAN STREET EX</v>
          </cell>
          <cell r="F90" t="str">
            <v>SCOOTER</v>
          </cell>
          <cell r="G90">
            <v>89662</v>
          </cell>
          <cell r="H90">
            <v>45</v>
          </cell>
          <cell r="I90">
            <v>30</v>
          </cell>
          <cell r="J90">
            <v>90</v>
          </cell>
          <cell r="K90">
            <v>15</v>
          </cell>
          <cell r="L90">
            <v>15</v>
          </cell>
          <cell r="M90">
            <v>30</v>
          </cell>
        </row>
        <row r="91">
          <cell r="B91" t="str">
            <v>CB150R</v>
          </cell>
          <cell r="D91" t="str">
            <v>HONDA</v>
          </cell>
          <cell r="E91" t="str">
            <v>CBR150RMIV-WR</v>
          </cell>
          <cell r="F91" t="str">
            <v>SPORTS TYPE</v>
          </cell>
          <cell r="G91">
            <v>173910</v>
          </cell>
          <cell r="H91">
            <v>45</v>
          </cell>
          <cell r="I91">
            <v>30</v>
          </cell>
          <cell r="J91">
            <v>90</v>
          </cell>
          <cell r="K91">
            <v>15</v>
          </cell>
          <cell r="L91">
            <v>15</v>
          </cell>
          <cell r="M91">
            <v>30</v>
          </cell>
        </row>
        <row r="92">
          <cell r="B92" t="str">
            <v>CB150R</v>
          </cell>
          <cell r="D92" t="str">
            <v>HONDA</v>
          </cell>
          <cell r="E92" t="str">
            <v>CBR150RAPIV-WR</v>
          </cell>
          <cell r="F92" t="str">
            <v>SPORTS TYPE</v>
          </cell>
          <cell r="G92">
            <v>173910</v>
          </cell>
          <cell r="H92">
            <v>45</v>
          </cell>
          <cell r="I92">
            <v>30</v>
          </cell>
          <cell r="J92">
            <v>90</v>
          </cell>
          <cell r="K92">
            <v>15</v>
          </cell>
          <cell r="L92">
            <v>15</v>
          </cell>
          <cell r="M92">
            <v>30</v>
          </cell>
        </row>
        <row r="93">
          <cell r="B93" t="str">
            <v>CB150X</v>
          </cell>
          <cell r="D93" t="str">
            <v>HONDA</v>
          </cell>
          <cell r="E93" t="str">
            <v>CB150XN ( RED / SILVER)</v>
          </cell>
          <cell r="F93" t="str">
            <v>SPORTS TYPE</v>
          </cell>
          <cell r="G93">
            <v>156098</v>
          </cell>
          <cell r="H93">
            <v>45</v>
          </cell>
          <cell r="I93">
            <v>30</v>
          </cell>
          <cell r="J93">
            <v>90</v>
          </cell>
          <cell r="K93">
            <v>15</v>
          </cell>
          <cell r="L93">
            <v>15</v>
          </cell>
          <cell r="M93">
            <v>30</v>
          </cell>
        </row>
        <row r="94">
          <cell r="B94" t="str">
            <v>CB150X</v>
          </cell>
          <cell r="D94" t="str">
            <v>HONDA</v>
          </cell>
          <cell r="E94" t="str">
            <v>CB150XNII (BLACK/SILVER)</v>
          </cell>
          <cell r="F94" t="str">
            <v>SPORTS TYPE</v>
          </cell>
          <cell r="G94">
            <v>156098</v>
          </cell>
          <cell r="H94">
            <v>45</v>
          </cell>
          <cell r="I94">
            <v>30</v>
          </cell>
          <cell r="J94">
            <v>90</v>
          </cell>
          <cell r="K94">
            <v>15</v>
          </cell>
          <cell r="L94">
            <v>15</v>
          </cell>
          <cell r="M94">
            <v>30</v>
          </cell>
        </row>
        <row r="95">
          <cell r="B95" t="str">
            <v>CLICK125 FI</v>
          </cell>
          <cell r="C95" t="str">
            <v>OLD MODEL CODE</v>
          </cell>
          <cell r="D95" t="str">
            <v>HONDA</v>
          </cell>
          <cell r="E95" t="str">
            <v>ACB125CBFL (RED/BLACK)</v>
          </cell>
          <cell r="F95" t="str">
            <v>SCOOTER</v>
          </cell>
          <cell r="G95">
            <v>80070</v>
          </cell>
          <cell r="H95">
            <v>45</v>
          </cell>
          <cell r="I95">
            <v>30</v>
          </cell>
          <cell r="J95">
            <v>90</v>
          </cell>
          <cell r="K95">
            <v>15</v>
          </cell>
          <cell r="L95">
            <v>15</v>
          </cell>
          <cell r="M95">
            <v>30</v>
          </cell>
        </row>
        <row r="96">
          <cell r="B96" t="str">
            <v>CLICK125 FI</v>
          </cell>
          <cell r="C96" t="str">
            <v>OLD MODEL CODE</v>
          </cell>
          <cell r="D96" t="str">
            <v>HONDA</v>
          </cell>
          <cell r="E96" t="str">
            <v>ACB125CBFL (BLUE/BLACK)</v>
          </cell>
          <cell r="F96" t="str">
            <v>SCOOTER</v>
          </cell>
          <cell r="G96">
            <v>80070</v>
          </cell>
          <cell r="H96">
            <v>45</v>
          </cell>
          <cell r="I96">
            <v>30</v>
          </cell>
          <cell r="J96">
            <v>90</v>
          </cell>
          <cell r="K96">
            <v>15</v>
          </cell>
          <cell r="L96">
            <v>15</v>
          </cell>
          <cell r="M96">
            <v>30</v>
          </cell>
        </row>
        <row r="97">
          <cell r="B97" t="str">
            <v>CLICK125 FI</v>
          </cell>
          <cell r="C97" t="str">
            <v>OLD MODEL CODE</v>
          </cell>
          <cell r="D97" t="str">
            <v>HONDA</v>
          </cell>
          <cell r="E97" t="str">
            <v>ACB125CBFL (BLACK)</v>
          </cell>
          <cell r="F97" t="str">
            <v>SCOOTER</v>
          </cell>
          <cell r="G97">
            <v>80070</v>
          </cell>
          <cell r="H97">
            <v>45</v>
          </cell>
          <cell r="I97">
            <v>30</v>
          </cell>
          <cell r="J97">
            <v>90</v>
          </cell>
          <cell r="K97">
            <v>15</v>
          </cell>
          <cell r="L97">
            <v>15</v>
          </cell>
          <cell r="M97">
            <v>30</v>
          </cell>
        </row>
        <row r="98">
          <cell r="B98" t="str">
            <v>CLICK125 FI</v>
          </cell>
          <cell r="C98" t="str">
            <v>OLD MODEL CODE</v>
          </cell>
          <cell r="D98" t="str">
            <v>HONDA</v>
          </cell>
          <cell r="E98" t="str">
            <v>ACB125CBFL (ORANGE/BLACK)</v>
          </cell>
          <cell r="F98" t="str">
            <v>SCOOTER</v>
          </cell>
          <cell r="G98">
            <v>80070</v>
          </cell>
          <cell r="H98">
            <v>45</v>
          </cell>
          <cell r="I98">
            <v>30</v>
          </cell>
          <cell r="J98">
            <v>90</v>
          </cell>
          <cell r="K98">
            <v>15</v>
          </cell>
          <cell r="L98">
            <v>15</v>
          </cell>
          <cell r="M98">
            <v>30</v>
          </cell>
        </row>
        <row r="99">
          <cell r="B99" t="str">
            <v>CLICK125 FI</v>
          </cell>
          <cell r="C99" t="str">
            <v>OLD MODEL CODE</v>
          </cell>
          <cell r="D99" t="str">
            <v>HONDA</v>
          </cell>
          <cell r="E99" t="str">
            <v>ACB125CBFM(BLUE/BLACK)</v>
          </cell>
          <cell r="F99" t="str">
            <v>SCOOTER</v>
          </cell>
          <cell r="G99">
            <v>80070</v>
          </cell>
          <cell r="H99">
            <v>45</v>
          </cell>
          <cell r="I99">
            <v>30</v>
          </cell>
          <cell r="J99">
            <v>90</v>
          </cell>
          <cell r="K99">
            <v>15</v>
          </cell>
          <cell r="L99">
            <v>15</v>
          </cell>
          <cell r="M99">
            <v>30</v>
          </cell>
        </row>
        <row r="100">
          <cell r="B100" t="str">
            <v>CLICK125 FI</v>
          </cell>
          <cell r="C100" t="str">
            <v>OLD MODEL CODE</v>
          </cell>
          <cell r="D100" t="str">
            <v>HONDA</v>
          </cell>
          <cell r="E100" t="str">
            <v>ACB125CBFM(RED/BLACK)</v>
          </cell>
          <cell r="F100" t="str">
            <v>SCOOTER</v>
          </cell>
          <cell r="G100">
            <v>80070</v>
          </cell>
          <cell r="H100">
            <v>45</v>
          </cell>
          <cell r="I100">
            <v>30</v>
          </cell>
          <cell r="J100">
            <v>90</v>
          </cell>
          <cell r="K100">
            <v>15</v>
          </cell>
          <cell r="L100">
            <v>15</v>
          </cell>
          <cell r="M100">
            <v>30</v>
          </cell>
        </row>
        <row r="101">
          <cell r="B101" t="str">
            <v>CLICK125 FI</v>
          </cell>
          <cell r="C101" t="str">
            <v>OLD MODEL CODE</v>
          </cell>
          <cell r="D101" t="str">
            <v>HONDA</v>
          </cell>
          <cell r="E101" t="str">
            <v>ACB125CBFM(BLACK)</v>
          </cell>
          <cell r="F101" t="str">
            <v>SCOOTER</v>
          </cell>
          <cell r="G101">
            <v>80070</v>
          </cell>
          <cell r="H101">
            <v>45</v>
          </cell>
          <cell r="I101">
            <v>30</v>
          </cell>
          <cell r="J101">
            <v>90</v>
          </cell>
          <cell r="K101">
            <v>15</v>
          </cell>
          <cell r="L101">
            <v>15</v>
          </cell>
          <cell r="M101">
            <v>30</v>
          </cell>
        </row>
        <row r="102">
          <cell r="B102" t="str">
            <v>CLICK125 FI</v>
          </cell>
          <cell r="C102" t="str">
            <v>OLD MODEL CODE</v>
          </cell>
          <cell r="D102" t="str">
            <v>HONDA</v>
          </cell>
          <cell r="E102" t="str">
            <v>ACB125CBFM(ORANGE/BLACK)</v>
          </cell>
          <cell r="F102" t="str">
            <v>SCOOTER</v>
          </cell>
          <cell r="G102">
            <v>80070</v>
          </cell>
          <cell r="H102">
            <v>45</v>
          </cell>
          <cell r="I102">
            <v>30</v>
          </cell>
          <cell r="J102">
            <v>90</v>
          </cell>
          <cell r="K102">
            <v>15</v>
          </cell>
          <cell r="L102">
            <v>15</v>
          </cell>
          <cell r="M102">
            <v>30</v>
          </cell>
        </row>
        <row r="103">
          <cell r="B103" t="str">
            <v>CLICK125 FI</v>
          </cell>
          <cell r="D103" t="str">
            <v>HONDA</v>
          </cell>
          <cell r="E103" t="str">
            <v>ACB125CBFN (WHITE/BLACK)</v>
          </cell>
          <cell r="F103" t="str">
            <v>SCOOTER</v>
          </cell>
          <cell r="G103">
            <v>80070</v>
          </cell>
          <cell r="H103">
            <v>45</v>
          </cell>
          <cell r="I103">
            <v>30</v>
          </cell>
          <cell r="J103">
            <v>90</v>
          </cell>
          <cell r="K103">
            <v>15</v>
          </cell>
          <cell r="L103">
            <v>15</v>
          </cell>
          <cell r="M103">
            <v>30</v>
          </cell>
        </row>
        <row r="104">
          <cell r="B104" t="str">
            <v>CLICK125 FI</v>
          </cell>
          <cell r="D104" t="str">
            <v>HONDA</v>
          </cell>
          <cell r="E104" t="str">
            <v>ACB125CBFN (BLUE/BLACK)</v>
          </cell>
          <cell r="F104" t="str">
            <v>SCOOTER</v>
          </cell>
          <cell r="G104">
            <v>80070</v>
          </cell>
          <cell r="H104">
            <v>45</v>
          </cell>
          <cell r="I104">
            <v>30</v>
          </cell>
          <cell r="J104">
            <v>90</v>
          </cell>
          <cell r="K104">
            <v>15</v>
          </cell>
          <cell r="L104">
            <v>15</v>
          </cell>
          <cell r="M104">
            <v>30</v>
          </cell>
        </row>
        <row r="105">
          <cell r="B105" t="str">
            <v>CLICK125 FI</v>
          </cell>
          <cell r="D105" t="str">
            <v>HONDA</v>
          </cell>
          <cell r="E105" t="str">
            <v>ACB125CBFN (RED/BLACK)</v>
          </cell>
          <cell r="F105" t="str">
            <v>SCOOTER</v>
          </cell>
          <cell r="G105">
            <v>80070</v>
          </cell>
          <cell r="H105">
            <v>45</v>
          </cell>
          <cell r="I105">
            <v>30</v>
          </cell>
          <cell r="J105">
            <v>90</v>
          </cell>
          <cell r="K105">
            <v>15</v>
          </cell>
          <cell r="L105">
            <v>15</v>
          </cell>
          <cell r="M105">
            <v>30</v>
          </cell>
        </row>
        <row r="106">
          <cell r="B106" t="str">
            <v>CLICK125 FI</v>
          </cell>
          <cell r="D106" t="str">
            <v>HONDA</v>
          </cell>
          <cell r="E106" t="str">
            <v>ACB125CBFN (ORANGE/BLACK)</v>
          </cell>
          <cell r="F106" t="str">
            <v>SCOOTER</v>
          </cell>
          <cell r="G106">
            <v>80070</v>
          </cell>
          <cell r="H106">
            <v>45</v>
          </cell>
          <cell r="I106">
            <v>30</v>
          </cell>
          <cell r="J106">
            <v>90</v>
          </cell>
          <cell r="K106">
            <v>15</v>
          </cell>
          <cell r="L106">
            <v>15</v>
          </cell>
          <cell r="M106">
            <v>30</v>
          </cell>
        </row>
        <row r="107">
          <cell r="B107" t="str">
            <v>CLICK125 FI</v>
          </cell>
          <cell r="D107" t="str">
            <v>HONDA</v>
          </cell>
          <cell r="E107" t="str">
            <v>ACB125CBFN (BLACK)</v>
          </cell>
          <cell r="F107" t="str">
            <v>SCOOTER</v>
          </cell>
          <cell r="G107">
            <v>80070</v>
          </cell>
          <cell r="H107">
            <v>45</v>
          </cell>
          <cell r="I107">
            <v>30</v>
          </cell>
          <cell r="J107">
            <v>90</v>
          </cell>
          <cell r="K107">
            <v>15</v>
          </cell>
          <cell r="L107">
            <v>15</v>
          </cell>
          <cell r="M107">
            <v>30</v>
          </cell>
        </row>
        <row r="108">
          <cell r="B108" t="str">
            <v>CLICK125 FI</v>
          </cell>
          <cell r="D108" t="str">
            <v>HONDA</v>
          </cell>
          <cell r="E108" t="str">
            <v>ACB125CBFPII-OB CLICK125 (BLACK)</v>
          </cell>
          <cell r="F108" t="str">
            <v>SCOOTER</v>
          </cell>
          <cell r="G108">
            <v>80070</v>
          </cell>
          <cell r="H108">
            <v>45</v>
          </cell>
          <cell r="I108">
            <v>30</v>
          </cell>
          <cell r="J108">
            <v>90</v>
          </cell>
          <cell r="K108">
            <v>15</v>
          </cell>
          <cell r="L108">
            <v>15</v>
          </cell>
          <cell r="M108">
            <v>30</v>
          </cell>
        </row>
        <row r="109">
          <cell r="B109" t="str">
            <v>CLICK125 FI</v>
          </cell>
          <cell r="D109" t="str">
            <v>HONDA</v>
          </cell>
          <cell r="E109" t="str">
            <v>ACB125CBFPII-CR CLICK125 (RED)</v>
          </cell>
          <cell r="F109" t="str">
            <v>SCOOTER</v>
          </cell>
          <cell r="G109">
            <v>80070</v>
          </cell>
          <cell r="H109">
            <v>45</v>
          </cell>
          <cell r="I109">
            <v>30</v>
          </cell>
          <cell r="J109">
            <v>90</v>
          </cell>
          <cell r="K109">
            <v>15</v>
          </cell>
          <cell r="L109">
            <v>15</v>
          </cell>
          <cell r="M109">
            <v>30</v>
          </cell>
        </row>
        <row r="110">
          <cell r="B110" t="str">
            <v>CLICK125 FI</v>
          </cell>
          <cell r="D110" t="str">
            <v>HONDA</v>
          </cell>
          <cell r="E110" t="str">
            <v>ACB125CBFPII-PG CLICK125 (GRAY)</v>
          </cell>
          <cell r="F110" t="str">
            <v>SCOOTER</v>
          </cell>
          <cell r="G110">
            <v>80070</v>
          </cell>
          <cell r="H110">
            <v>45</v>
          </cell>
          <cell r="I110">
            <v>30</v>
          </cell>
          <cell r="J110">
            <v>90</v>
          </cell>
          <cell r="K110">
            <v>15</v>
          </cell>
          <cell r="L110">
            <v>15</v>
          </cell>
          <cell r="M110">
            <v>30</v>
          </cell>
        </row>
        <row r="111">
          <cell r="B111" t="str">
            <v>CLICK125 FI</v>
          </cell>
          <cell r="D111" t="str">
            <v>HONDA</v>
          </cell>
          <cell r="E111" t="str">
            <v>ACB125CBFPII-SB CLICK125 (BLUE)</v>
          </cell>
          <cell r="F111" t="str">
            <v>SCOOTER</v>
          </cell>
          <cell r="G111">
            <v>80070</v>
          </cell>
          <cell r="H111">
            <v>45</v>
          </cell>
          <cell r="I111">
            <v>30</v>
          </cell>
          <cell r="J111">
            <v>90</v>
          </cell>
          <cell r="K111">
            <v>15</v>
          </cell>
          <cell r="L111">
            <v>15</v>
          </cell>
          <cell r="M111">
            <v>30</v>
          </cell>
        </row>
        <row r="112">
          <cell r="B112" t="str">
            <v>CLICK125 FI</v>
          </cell>
          <cell r="D112" t="str">
            <v>HONDA</v>
          </cell>
          <cell r="E112" t="str">
            <v>ACB125CBFPII-PW CLICK125 (WHITE)</v>
          </cell>
          <cell r="F112" t="str">
            <v>SCOOTER</v>
          </cell>
          <cell r="G112">
            <v>80070</v>
          </cell>
          <cell r="H112">
            <v>45</v>
          </cell>
          <cell r="I112">
            <v>30</v>
          </cell>
          <cell r="J112">
            <v>90</v>
          </cell>
          <cell r="K112">
            <v>15</v>
          </cell>
          <cell r="L112">
            <v>15</v>
          </cell>
          <cell r="M112">
            <v>30</v>
          </cell>
        </row>
        <row r="113">
          <cell r="B113" t="str">
            <v>CLICK125 FI</v>
          </cell>
          <cell r="D113" t="str">
            <v>HONDA</v>
          </cell>
          <cell r="E113" t="str">
            <v>ACB125CBFRII-OB CLICK125 (BLACK)</v>
          </cell>
          <cell r="F113" t="str">
            <v>SCOOTER</v>
          </cell>
          <cell r="G113">
            <v>80070</v>
          </cell>
          <cell r="H113">
            <v>45</v>
          </cell>
          <cell r="I113">
            <v>30</v>
          </cell>
          <cell r="J113">
            <v>90</v>
          </cell>
          <cell r="K113">
            <v>15</v>
          </cell>
          <cell r="L113">
            <v>15</v>
          </cell>
          <cell r="M113">
            <v>30</v>
          </cell>
        </row>
        <row r="114">
          <cell r="B114" t="str">
            <v>CLICK125 FI</v>
          </cell>
          <cell r="D114" t="str">
            <v>HONDA</v>
          </cell>
          <cell r="E114" t="str">
            <v>ACB125CBFRII-CR CLICK125 (RED)</v>
          </cell>
          <cell r="F114" t="str">
            <v>SCOOTER</v>
          </cell>
          <cell r="G114">
            <v>80070</v>
          </cell>
          <cell r="H114">
            <v>45</v>
          </cell>
          <cell r="I114">
            <v>30</v>
          </cell>
          <cell r="J114">
            <v>90</v>
          </cell>
          <cell r="K114">
            <v>15</v>
          </cell>
          <cell r="L114">
            <v>15</v>
          </cell>
          <cell r="M114">
            <v>30</v>
          </cell>
        </row>
        <row r="115">
          <cell r="B115" t="str">
            <v>CLICK125 FI</v>
          </cell>
          <cell r="D115" t="str">
            <v>HONDA</v>
          </cell>
          <cell r="E115" t="str">
            <v>ACB125CBFRII-PG CLICK125 (GRAY)</v>
          </cell>
          <cell r="F115" t="str">
            <v>SCOOTER</v>
          </cell>
          <cell r="G115">
            <v>80070</v>
          </cell>
          <cell r="H115">
            <v>45</v>
          </cell>
          <cell r="I115">
            <v>30</v>
          </cell>
          <cell r="J115">
            <v>90</v>
          </cell>
          <cell r="K115">
            <v>15</v>
          </cell>
          <cell r="L115">
            <v>15</v>
          </cell>
          <cell r="M115">
            <v>30</v>
          </cell>
        </row>
        <row r="116">
          <cell r="B116" t="str">
            <v>CLICK125 FI</v>
          </cell>
          <cell r="D116" t="str">
            <v>HONDA</v>
          </cell>
          <cell r="E116" t="str">
            <v>ACB125CBFRII-SB CLICK125 (BLUE)</v>
          </cell>
          <cell r="F116" t="str">
            <v>SCOOTER</v>
          </cell>
          <cell r="G116">
            <v>80070</v>
          </cell>
          <cell r="H116">
            <v>45</v>
          </cell>
          <cell r="I116">
            <v>30</v>
          </cell>
          <cell r="J116">
            <v>90</v>
          </cell>
          <cell r="K116">
            <v>15</v>
          </cell>
          <cell r="L116">
            <v>15</v>
          </cell>
          <cell r="M116">
            <v>30</v>
          </cell>
        </row>
        <row r="117">
          <cell r="B117" t="str">
            <v>CLICK125 FI</v>
          </cell>
          <cell r="D117" t="str">
            <v>HONDA</v>
          </cell>
          <cell r="E117" t="str">
            <v>ACB125CBFRII-PW CLICK125 (WHITE)</v>
          </cell>
          <cell r="F117" t="str">
            <v>SCOOTER</v>
          </cell>
          <cell r="G117">
            <v>80070</v>
          </cell>
          <cell r="H117">
            <v>45</v>
          </cell>
          <cell r="I117">
            <v>30</v>
          </cell>
          <cell r="J117">
            <v>90</v>
          </cell>
          <cell r="K117">
            <v>15</v>
          </cell>
          <cell r="L117">
            <v>15</v>
          </cell>
          <cell r="M117">
            <v>30</v>
          </cell>
        </row>
        <row r="118">
          <cell r="B118" t="str">
            <v>CLICK160 FI</v>
          </cell>
          <cell r="D118" t="str">
            <v>HONDA</v>
          </cell>
          <cell r="E118" t="str">
            <v>ACB160CBTN-MGB</v>
          </cell>
          <cell r="F118" t="str">
            <v>SCOOTER</v>
          </cell>
          <cell r="G118">
            <v>111258</v>
          </cell>
          <cell r="H118">
            <v>45</v>
          </cell>
          <cell r="I118">
            <v>30</v>
          </cell>
          <cell r="J118">
            <v>90</v>
          </cell>
          <cell r="K118">
            <v>15</v>
          </cell>
          <cell r="L118">
            <v>15</v>
          </cell>
          <cell r="M118">
            <v>30</v>
          </cell>
        </row>
        <row r="119">
          <cell r="B119" t="str">
            <v>CLICK160 FI</v>
          </cell>
          <cell r="D119" t="str">
            <v>HONDA</v>
          </cell>
          <cell r="E119" t="str">
            <v>ACB160CBTN-WC</v>
          </cell>
          <cell r="F119" t="str">
            <v>SCOOTER</v>
          </cell>
          <cell r="G119">
            <v>111258</v>
          </cell>
          <cell r="H119">
            <v>45</v>
          </cell>
          <cell r="I119">
            <v>30</v>
          </cell>
          <cell r="J119">
            <v>90</v>
          </cell>
          <cell r="K119">
            <v>15</v>
          </cell>
          <cell r="L119">
            <v>15</v>
          </cell>
          <cell r="M119">
            <v>30</v>
          </cell>
        </row>
        <row r="120">
          <cell r="B120" t="str">
            <v>CLICK160 FI</v>
          </cell>
          <cell r="D120" t="str">
            <v>HONDA</v>
          </cell>
          <cell r="E120" t="str">
            <v>ACB160CBTN-MSR</v>
          </cell>
          <cell r="F120" t="str">
            <v>SCOOTER</v>
          </cell>
          <cell r="G120">
            <v>111258</v>
          </cell>
          <cell r="H120">
            <v>45</v>
          </cell>
          <cell r="I120">
            <v>30</v>
          </cell>
          <cell r="J120">
            <v>90</v>
          </cell>
          <cell r="K120">
            <v>15</v>
          </cell>
          <cell r="L120">
            <v>15</v>
          </cell>
          <cell r="M120">
            <v>30</v>
          </cell>
        </row>
        <row r="121">
          <cell r="B121" t="str">
            <v>CRF150</v>
          </cell>
          <cell r="C121" t="str">
            <v>OLD MODEL CODE</v>
          </cell>
          <cell r="D121" t="str">
            <v>HONDA</v>
          </cell>
          <cell r="E121" t="str">
            <v>CRF150 LK (BLACK)</v>
          </cell>
          <cell r="F121" t="str">
            <v>SPORTS TYPE</v>
          </cell>
          <cell r="G121">
            <v>140790</v>
          </cell>
          <cell r="H121">
            <v>45</v>
          </cell>
          <cell r="I121">
            <v>30</v>
          </cell>
          <cell r="J121">
            <v>90</v>
          </cell>
          <cell r="K121">
            <v>15</v>
          </cell>
          <cell r="L121">
            <v>15</v>
          </cell>
          <cell r="M121">
            <v>30</v>
          </cell>
        </row>
        <row r="122">
          <cell r="B122" t="str">
            <v>CRF150</v>
          </cell>
          <cell r="C122" t="str">
            <v>OLD MODEL CODE</v>
          </cell>
          <cell r="D122" t="str">
            <v>HONDA</v>
          </cell>
          <cell r="E122" t="str">
            <v>CRF150LL (RED)</v>
          </cell>
          <cell r="F122" t="str">
            <v>SPORTS TYPE</v>
          </cell>
          <cell r="G122">
            <v>140790</v>
          </cell>
          <cell r="H122">
            <v>45</v>
          </cell>
          <cell r="I122">
            <v>30</v>
          </cell>
          <cell r="J122">
            <v>90</v>
          </cell>
          <cell r="K122">
            <v>15</v>
          </cell>
          <cell r="L122">
            <v>15</v>
          </cell>
          <cell r="M122">
            <v>30</v>
          </cell>
        </row>
        <row r="123">
          <cell r="B123" t="str">
            <v>CRF150</v>
          </cell>
          <cell r="C123" t="str">
            <v>OLD MODEL CODE</v>
          </cell>
          <cell r="D123" t="str">
            <v>HONDA</v>
          </cell>
          <cell r="E123" t="str">
            <v>CRF150LLIII</v>
          </cell>
          <cell r="F123" t="str">
            <v>SPORTS TYPE</v>
          </cell>
          <cell r="G123">
            <v>140790</v>
          </cell>
          <cell r="H123">
            <v>45</v>
          </cell>
          <cell r="I123">
            <v>30</v>
          </cell>
          <cell r="J123">
            <v>90</v>
          </cell>
          <cell r="K123">
            <v>15</v>
          </cell>
          <cell r="L123">
            <v>15</v>
          </cell>
          <cell r="M123">
            <v>30</v>
          </cell>
        </row>
        <row r="124">
          <cell r="B124" t="str">
            <v>CRF150</v>
          </cell>
          <cell r="C124" t="str">
            <v>OLD MODEL CODE</v>
          </cell>
          <cell r="D124" t="str">
            <v>HONDA</v>
          </cell>
          <cell r="E124" t="str">
            <v>CRF150LL(RED)</v>
          </cell>
          <cell r="F124" t="str">
            <v>SPORTS TYPE</v>
          </cell>
          <cell r="G124">
            <v>140790</v>
          </cell>
          <cell r="H124">
            <v>45</v>
          </cell>
          <cell r="I124">
            <v>30</v>
          </cell>
          <cell r="J124">
            <v>90</v>
          </cell>
          <cell r="K124">
            <v>15</v>
          </cell>
          <cell r="L124">
            <v>15</v>
          </cell>
          <cell r="M124">
            <v>30</v>
          </cell>
        </row>
        <row r="125">
          <cell r="B125" t="str">
            <v>CRF150</v>
          </cell>
          <cell r="D125" t="str">
            <v>HONDA</v>
          </cell>
          <cell r="E125" t="str">
            <v>CRF150 LNIV (WHITE/BLACK)</v>
          </cell>
          <cell r="F125" t="str">
            <v>SPORTS TYPE</v>
          </cell>
          <cell r="G125">
            <v>140790</v>
          </cell>
          <cell r="H125">
            <v>45</v>
          </cell>
          <cell r="I125">
            <v>30</v>
          </cell>
          <cell r="J125">
            <v>90</v>
          </cell>
          <cell r="K125">
            <v>15</v>
          </cell>
          <cell r="L125">
            <v>15</v>
          </cell>
          <cell r="M125">
            <v>30</v>
          </cell>
        </row>
        <row r="126">
          <cell r="B126" t="str">
            <v>CRF150</v>
          </cell>
          <cell r="D126" t="str">
            <v>HONDA</v>
          </cell>
          <cell r="E126" t="str">
            <v>CRF150LN (RED)</v>
          </cell>
          <cell r="F126" t="str">
            <v>SPORTS TYPE</v>
          </cell>
          <cell r="G126">
            <v>140790</v>
          </cell>
          <cell r="H126">
            <v>45</v>
          </cell>
          <cell r="I126">
            <v>30</v>
          </cell>
          <cell r="J126">
            <v>90</v>
          </cell>
          <cell r="K126">
            <v>15</v>
          </cell>
          <cell r="L126">
            <v>15</v>
          </cell>
          <cell r="M126">
            <v>30</v>
          </cell>
        </row>
        <row r="127">
          <cell r="B127" t="str">
            <v>CRF150</v>
          </cell>
          <cell r="D127" t="str">
            <v>HONDA</v>
          </cell>
          <cell r="E127" t="str">
            <v>CRF150LNIII (BLACK)</v>
          </cell>
          <cell r="F127" t="str">
            <v>SPORTS TYPE</v>
          </cell>
          <cell r="G127">
            <v>140790</v>
          </cell>
          <cell r="H127">
            <v>45</v>
          </cell>
          <cell r="I127">
            <v>30</v>
          </cell>
          <cell r="J127">
            <v>90</v>
          </cell>
          <cell r="K127">
            <v>15</v>
          </cell>
          <cell r="L127">
            <v>15</v>
          </cell>
          <cell r="M127">
            <v>30</v>
          </cell>
        </row>
        <row r="128">
          <cell r="B128" t="str">
            <v>CRF300</v>
          </cell>
          <cell r="D128" t="str">
            <v>HONDA</v>
          </cell>
          <cell r="E128" t="str">
            <v>CRF300LM CRF300 L(RED)</v>
          </cell>
          <cell r="F128" t="str">
            <v>SPORTS TYPE</v>
          </cell>
          <cell r="G128">
            <v>251318</v>
          </cell>
          <cell r="H128">
            <v>45</v>
          </cell>
          <cell r="I128">
            <v>30</v>
          </cell>
          <cell r="J128">
            <v>90</v>
          </cell>
          <cell r="K128">
            <v>15</v>
          </cell>
          <cell r="L128">
            <v>15</v>
          </cell>
          <cell r="M128">
            <v>30</v>
          </cell>
        </row>
        <row r="129">
          <cell r="B129" t="str">
            <v>CRF300</v>
          </cell>
          <cell r="D129" t="str">
            <v>HONDA</v>
          </cell>
          <cell r="E129" t="str">
            <v>CRF300LP</v>
          </cell>
          <cell r="F129" t="str">
            <v>SPORTS TYPE</v>
          </cell>
          <cell r="G129">
            <v>254870</v>
          </cell>
          <cell r="H129">
            <v>45</v>
          </cell>
          <cell r="I129">
            <v>30</v>
          </cell>
          <cell r="J129">
            <v>90</v>
          </cell>
          <cell r="K129">
            <v>15</v>
          </cell>
          <cell r="L129">
            <v>15</v>
          </cell>
          <cell r="M129">
            <v>30</v>
          </cell>
        </row>
        <row r="130">
          <cell r="B130" t="str">
            <v>CRF300 RALLY</v>
          </cell>
          <cell r="D130" t="str">
            <v>HONDA</v>
          </cell>
          <cell r="E130" t="str">
            <v>CRF300LRM CRF300 RALLY(RED)</v>
          </cell>
          <cell r="F130" t="str">
            <v>SPORTS TYPE</v>
          </cell>
          <cell r="G130">
            <v>288118</v>
          </cell>
          <cell r="H130">
            <v>45</v>
          </cell>
          <cell r="I130">
            <v>30</v>
          </cell>
          <cell r="J130">
            <v>90</v>
          </cell>
          <cell r="K130">
            <v>15</v>
          </cell>
          <cell r="L130">
            <v>15</v>
          </cell>
          <cell r="M130">
            <v>30</v>
          </cell>
        </row>
        <row r="131">
          <cell r="B131" t="str">
            <v>CRF300 RALLY</v>
          </cell>
          <cell r="D131" t="str">
            <v>HONDA</v>
          </cell>
          <cell r="E131" t="str">
            <v>CRF300LRP</v>
          </cell>
          <cell r="F131" t="str">
            <v>SPORTS TYPE</v>
          </cell>
          <cell r="G131">
            <v>288118</v>
          </cell>
          <cell r="H131">
            <v>45</v>
          </cell>
          <cell r="I131">
            <v>30</v>
          </cell>
          <cell r="J131">
            <v>90</v>
          </cell>
          <cell r="K131">
            <v>15</v>
          </cell>
          <cell r="L131">
            <v>15</v>
          </cell>
          <cell r="M131">
            <v>30</v>
          </cell>
        </row>
        <row r="132">
          <cell r="B132" t="str">
            <v>CT100</v>
          </cell>
          <cell r="D132" t="str">
            <v>KAWASAKI</v>
          </cell>
          <cell r="E132" t="str">
            <v>CT100 NEW(BLACK/RED)</v>
          </cell>
          <cell r="F132" t="str">
            <v>BUSINESS</v>
          </cell>
          <cell r="G132">
            <v>59528</v>
          </cell>
          <cell r="H132">
            <v>45</v>
          </cell>
          <cell r="I132">
            <v>30</v>
          </cell>
          <cell r="J132">
            <v>90</v>
          </cell>
          <cell r="K132">
            <v>15</v>
          </cell>
          <cell r="L132">
            <v>15</v>
          </cell>
          <cell r="M132">
            <v>30</v>
          </cell>
        </row>
        <row r="133">
          <cell r="B133" t="str">
            <v>CT100</v>
          </cell>
          <cell r="D133" t="str">
            <v>KAWASAKI</v>
          </cell>
          <cell r="E133" t="str">
            <v>CT100 NEW(BLACK/BLUE)</v>
          </cell>
          <cell r="F133" t="str">
            <v>BUSINESS</v>
          </cell>
          <cell r="G133">
            <v>59528</v>
          </cell>
          <cell r="H133">
            <v>45</v>
          </cell>
          <cell r="I133">
            <v>30</v>
          </cell>
          <cell r="J133">
            <v>90</v>
          </cell>
          <cell r="K133">
            <v>15</v>
          </cell>
          <cell r="L133">
            <v>15</v>
          </cell>
          <cell r="M133">
            <v>30</v>
          </cell>
        </row>
        <row r="134">
          <cell r="B134" t="str">
            <v>CT100</v>
          </cell>
          <cell r="D134" t="str">
            <v>KAWASAKI</v>
          </cell>
          <cell r="E134" t="str">
            <v>CT100AD NEW(BLACK/RED)</v>
          </cell>
          <cell r="F134" t="str">
            <v>BUSINESS</v>
          </cell>
          <cell r="G134">
            <v>59528</v>
          </cell>
          <cell r="H134">
            <v>45</v>
          </cell>
          <cell r="I134">
            <v>30</v>
          </cell>
          <cell r="J134">
            <v>90</v>
          </cell>
          <cell r="K134">
            <v>15</v>
          </cell>
          <cell r="L134">
            <v>15</v>
          </cell>
          <cell r="M134">
            <v>30</v>
          </cell>
        </row>
        <row r="135">
          <cell r="B135" t="str">
            <v>CT100</v>
          </cell>
          <cell r="D135" t="str">
            <v>KAWASAKI</v>
          </cell>
          <cell r="E135" t="str">
            <v>CT100AD NEW(BLACK/BLUE)</v>
          </cell>
          <cell r="F135" t="str">
            <v>BUSINESS</v>
          </cell>
          <cell r="G135">
            <v>59528</v>
          </cell>
          <cell r="H135">
            <v>45</v>
          </cell>
          <cell r="I135">
            <v>30</v>
          </cell>
          <cell r="J135">
            <v>90</v>
          </cell>
          <cell r="K135">
            <v>15</v>
          </cell>
          <cell r="L135">
            <v>15</v>
          </cell>
          <cell r="M135">
            <v>30</v>
          </cell>
        </row>
        <row r="136">
          <cell r="B136" t="str">
            <v>CT100</v>
          </cell>
          <cell r="D136" t="str">
            <v>KAWASAKI</v>
          </cell>
          <cell r="E136" t="str">
            <v>CT100CA (BLACK/BLUE)</v>
          </cell>
          <cell r="F136" t="str">
            <v>BUSINESS</v>
          </cell>
          <cell r="G136">
            <v>59528</v>
          </cell>
          <cell r="H136">
            <v>45</v>
          </cell>
          <cell r="I136">
            <v>30</v>
          </cell>
          <cell r="J136">
            <v>90</v>
          </cell>
          <cell r="K136">
            <v>15</v>
          </cell>
          <cell r="L136">
            <v>15</v>
          </cell>
          <cell r="M136">
            <v>30</v>
          </cell>
        </row>
        <row r="137">
          <cell r="B137" t="str">
            <v>CT100</v>
          </cell>
          <cell r="D137" t="str">
            <v>KAWASAKI</v>
          </cell>
          <cell r="E137" t="str">
            <v>CT100CA (BLACK/RED)</v>
          </cell>
          <cell r="F137" t="str">
            <v>BUSINESS</v>
          </cell>
          <cell r="G137">
            <v>59528</v>
          </cell>
          <cell r="H137">
            <v>45</v>
          </cell>
          <cell r="I137">
            <v>30</v>
          </cell>
          <cell r="J137">
            <v>90</v>
          </cell>
          <cell r="K137">
            <v>15</v>
          </cell>
          <cell r="L137">
            <v>15</v>
          </cell>
          <cell r="M137">
            <v>30</v>
          </cell>
        </row>
        <row r="138">
          <cell r="B138" t="str">
            <v>CT100</v>
          </cell>
          <cell r="D138" t="str">
            <v>KAWASAKI</v>
          </cell>
          <cell r="E138" t="str">
            <v>CT100CB (BLACK/RED)</v>
          </cell>
          <cell r="F138" t="str">
            <v>BUSINESS</v>
          </cell>
          <cell r="G138">
            <v>59528</v>
          </cell>
          <cell r="H138">
            <v>45</v>
          </cell>
          <cell r="I138">
            <v>30</v>
          </cell>
          <cell r="J138">
            <v>90</v>
          </cell>
          <cell r="K138">
            <v>15</v>
          </cell>
          <cell r="L138">
            <v>15</v>
          </cell>
          <cell r="M138">
            <v>30</v>
          </cell>
        </row>
        <row r="139">
          <cell r="B139" t="str">
            <v>CT100</v>
          </cell>
          <cell r="D139" t="str">
            <v>KAWASAKI</v>
          </cell>
          <cell r="E139" t="str">
            <v>CT100CB (BLACK/BLUE)</v>
          </cell>
          <cell r="F139" t="str">
            <v>BUSINESS</v>
          </cell>
          <cell r="G139">
            <v>59528</v>
          </cell>
          <cell r="H139">
            <v>45</v>
          </cell>
          <cell r="I139">
            <v>30</v>
          </cell>
          <cell r="J139">
            <v>90</v>
          </cell>
          <cell r="K139">
            <v>15</v>
          </cell>
          <cell r="L139">
            <v>15</v>
          </cell>
          <cell r="M139">
            <v>30</v>
          </cell>
        </row>
        <row r="140">
          <cell r="B140" t="str">
            <v>CT100B</v>
          </cell>
          <cell r="D140" t="str">
            <v>KAWASAKI</v>
          </cell>
          <cell r="E140" t="str">
            <v>CT100 B NEW(BLACK/RED)</v>
          </cell>
          <cell r="F140" t="str">
            <v>BUSINESS</v>
          </cell>
          <cell r="G140">
            <v>52948</v>
          </cell>
          <cell r="H140">
            <v>45</v>
          </cell>
          <cell r="I140">
            <v>30</v>
          </cell>
          <cell r="J140">
            <v>90</v>
          </cell>
          <cell r="K140">
            <v>15</v>
          </cell>
          <cell r="L140">
            <v>15</v>
          </cell>
          <cell r="M140">
            <v>30</v>
          </cell>
        </row>
        <row r="141">
          <cell r="B141" t="str">
            <v>CT100B</v>
          </cell>
          <cell r="D141" t="str">
            <v>KAWASAKI</v>
          </cell>
          <cell r="E141" t="str">
            <v>CT100B NEW(BLACK/BLUE)</v>
          </cell>
          <cell r="F141" t="str">
            <v>BUSINESS</v>
          </cell>
          <cell r="G141">
            <v>52948</v>
          </cell>
          <cell r="H141">
            <v>45</v>
          </cell>
          <cell r="I141">
            <v>30</v>
          </cell>
          <cell r="J141">
            <v>90</v>
          </cell>
          <cell r="K141">
            <v>15</v>
          </cell>
          <cell r="L141">
            <v>15</v>
          </cell>
          <cell r="M141">
            <v>30</v>
          </cell>
        </row>
        <row r="142">
          <cell r="B142" t="str">
            <v>CT100B</v>
          </cell>
          <cell r="D142" t="str">
            <v>KAWASAKI</v>
          </cell>
          <cell r="E142" t="str">
            <v>CT100B NEW (BLACK/RED)</v>
          </cell>
          <cell r="F142" t="str">
            <v>BUSINESS</v>
          </cell>
          <cell r="G142">
            <v>52948</v>
          </cell>
          <cell r="H142">
            <v>45</v>
          </cell>
          <cell r="I142">
            <v>30</v>
          </cell>
          <cell r="J142">
            <v>90</v>
          </cell>
          <cell r="K142">
            <v>15</v>
          </cell>
          <cell r="L142">
            <v>15</v>
          </cell>
          <cell r="M142">
            <v>30</v>
          </cell>
        </row>
        <row r="143">
          <cell r="B143" t="str">
            <v>CT100B</v>
          </cell>
          <cell r="D143" t="str">
            <v>KAWASAKI</v>
          </cell>
          <cell r="E143" t="str">
            <v>CT100BD NEW(BLACK/RED)</v>
          </cell>
          <cell r="F143" t="str">
            <v>BUSINESS</v>
          </cell>
          <cell r="G143">
            <v>52948</v>
          </cell>
          <cell r="H143">
            <v>45</v>
          </cell>
          <cell r="I143">
            <v>30</v>
          </cell>
          <cell r="J143">
            <v>90</v>
          </cell>
          <cell r="K143">
            <v>15</v>
          </cell>
          <cell r="L143">
            <v>15</v>
          </cell>
          <cell r="M143">
            <v>30</v>
          </cell>
        </row>
        <row r="144">
          <cell r="B144" t="str">
            <v>CT100B</v>
          </cell>
          <cell r="D144" t="str">
            <v>KAWASAKI</v>
          </cell>
          <cell r="E144" t="str">
            <v>CT100BD NEW(BLACK/BLUE)</v>
          </cell>
          <cell r="F144" t="str">
            <v>BUSINESS</v>
          </cell>
          <cell r="G144">
            <v>52948</v>
          </cell>
          <cell r="H144">
            <v>45</v>
          </cell>
          <cell r="I144">
            <v>30</v>
          </cell>
          <cell r="J144">
            <v>90</v>
          </cell>
          <cell r="K144">
            <v>15</v>
          </cell>
          <cell r="L144">
            <v>15</v>
          </cell>
          <cell r="M144">
            <v>30</v>
          </cell>
        </row>
        <row r="145">
          <cell r="B145" t="str">
            <v>CT100B</v>
          </cell>
          <cell r="D145" t="str">
            <v>KAWASAKI</v>
          </cell>
          <cell r="E145" t="str">
            <v>CT100BE NEW (BLACK/ RED)</v>
          </cell>
          <cell r="F145" t="str">
            <v>BUSINESS</v>
          </cell>
          <cell r="G145">
            <v>52948</v>
          </cell>
          <cell r="H145">
            <v>45</v>
          </cell>
          <cell r="I145">
            <v>30</v>
          </cell>
          <cell r="J145">
            <v>90</v>
          </cell>
          <cell r="K145">
            <v>15</v>
          </cell>
          <cell r="L145">
            <v>15</v>
          </cell>
          <cell r="M145">
            <v>30</v>
          </cell>
        </row>
        <row r="146">
          <cell r="B146" t="str">
            <v>CT100B</v>
          </cell>
          <cell r="D146" t="str">
            <v>KAWASAKI</v>
          </cell>
          <cell r="E146" t="str">
            <v>CT100BE NEW (BLACK/ BLUE)</v>
          </cell>
          <cell r="F146" t="str">
            <v>BUSINESS</v>
          </cell>
          <cell r="G146">
            <v>52948</v>
          </cell>
          <cell r="H146">
            <v>45</v>
          </cell>
          <cell r="I146">
            <v>30</v>
          </cell>
          <cell r="J146">
            <v>90</v>
          </cell>
          <cell r="K146">
            <v>15</v>
          </cell>
          <cell r="L146">
            <v>15</v>
          </cell>
          <cell r="M146">
            <v>30</v>
          </cell>
        </row>
        <row r="147">
          <cell r="B147" t="str">
            <v>CT125</v>
          </cell>
          <cell r="D147" t="str">
            <v>KAWASAKI</v>
          </cell>
          <cell r="E147" t="str">
            <v>CT125A CT125 NEW (RED)</v>
          </cell>
          <cell r="F147" t="str">
            <v>BUSINESS</v>
          </cell>
          <cell r="G147">
            <v>60656</v>
          </cell>
          <cell r="H147">
            <v>45</v>
          </cell>
          <cell r="I147">
            <v>30</v>
          </cell>
          <cell r="J147">
            <v>90</v>
          </cell>
          <cell r="K147">
            <v>15</v>
          </cell>
          <cell r="L147">
            <v>15</v>
          </cell>
          <cell r="M147">
            <v>30</v>
          </cell>
        </row>
        <row r="148">
          <cell r="B148" t="str">
            <v>CT125</v>
          </cell>
          <cell r="D148" t="str">
            <v>KAWASAKI</v>
          </cell>
          <cell r="E148" t="str">
            <v>CT125A CT125 NEW (BLACK/BLUE)</v>
          </cell>
          <cell r="F148" t="str">
            <v>BUSINESS</v>
          </cell>
          <cell r="G148">
            <v>60656</v>
          </cell>
          <cell r="H148">
            <v>45</v>
          </cell>
          <cell r="I148">
            <v>30</v>
          </cell>
          <cell r="J148">
            <v>90</v>
          </cell>
          <cell r="K148">
            <v>15</v>
          </cell>
          <cell r="L148">
            <v>15</v>
          </cell>
          <cell r="M148">
            <v>30</v>
          </cell>
        </row>
        <row r="149">
          <cell r="B149" t="str">
            <v>CT125</v>
          </cell>
          <cell r="C149" t="str">
            <v>OLD MODEL CODE</v>
          </cell>
          <cell r="D149" t="str">
            <v>KAWASAKI</v>
          </cell>
          <cell r="E149" t="str">
            <v>CT125A CT125 (BLACK/ BLUE)</v>
          </cell>
          <cell r="F149" t="str">
            <v>BUSINESS</v>
          </cell>
          <cell r="G149">
            <v>60656</v>
          </cell>
          <cell r="H149">
            <v>45</v>
          </cell>
          <cell r="I149">
            <v>30</v>
          </cell>
          <cell r="J149">
            <v>90</v>
          </cell>
          <cell r="K149">
            <v>15</v>
          </cell>
          <cell r="L149">
            <v>15</v>
          </cell>
          <cell r="M149">
            <v>30</v>
          </cell>
        </row>
        <row r="150">
          <cell r="B150" t="str">
            <v>CT125</v>
          </cell>
          <cell r="D150" t="str">
            <v>KAWASAKI</v>
          </cell>
          <cell r="E150" t="str">
            <v>CT125A CT125 NEW (BLACK/RED)</v>
          </cell>
          <cell r="F150" t="str">
            <v>BUSINESS</v>
          </cell>
          <cell r="G150">
            <v>60656</v>
          </cell>
          <cell r="H150">
            <v>45</v>
          </cell>
          <cell r="I150">
            <v>30</v>
          </cell>
          <cell r="J150">
            <v>90</v>
          </cell>
          <cell r="K150">
            <v>15</v>
          </cell>
          <cell r="L150">
            <v>15</v>
          </cell>
          <cell r="M150">
            <v>30</v>
          </cell>
        </row>
        <row r="151">
          <cell r="B151" t="str">
            <v>CT125</v>
          </cell>
          <cell r="D151" t="str">
            <v>KAWASAKI</v>
          </cell>
          <cell r="E151" t="str">
            <v>CT125AA(BLACK/BLUE)</v>
          </cell>
          <cell r="F151" t="str">
            <v>BUSINESS</v>
          </cell>
          <cell r="G151">
            <v>60656</v>
          </cell>
          <cell r="H151">
            <v>45</v>
          </cell>
          <cell r="I151">
            <v>30</v>
          </cell>
          <cell r="J151">
            <v>90</v>
          </cell>
          <cell r="K151">
            <v>15</v>
          </cell>
          <cell r="L151">
            <v>15</v>
          </cell>
          <cell r="M151">
            <v>30</v>
          </cell>
        </row>
        <row r="152">
          <cell r="B152" t="str">
            <v>CT125</v>
          </cell>
          <cell r="D152" t="str">
            <v>KAWASAKI</v>
          </cell>
          <cell r="E152" t="str">
            <v>CT125AA(BLACK/RED)</v>
          </cell>
          <cell r="F152" t="str">
            <v>BUSINESS</v>
          </cell>
          <cell r="G152">
            <v>60656</v>
          </cell>
          <cell r="H152">
            <v>45</v>
          </cell>
          <cell r="I152">
            <v>30</v>
          </cell>
          <cell r="J152">
            <v>90</v>
          </cell>
          <cell r="K152">
            <v>15</v>
          </cell>
          <cell r="L152">
            <v>15</v>
          </cell>
          <cell r="M152">
            <v>30</v>
          </cell>
        </row>
        <row r="153">
          <cell r="B153" t="str">
            <v>CT125</v>
          </cell>
          <cell r="D153" t="str">
            <v>KAWASAKI</v>
          </cell>
          <cell r="E153" t="str">
            <v>CT125AB(BLACK/RED)</v>
          </cell>
          <cell r="F153" t="str">
            <v>BUSINESS</v>
          </cell>
          <cell r="G153">
            <v>60656</v>
          </cell>
          <cell r="H153">
            <v>45</v>
          </cell>
          <cell r="I153">
            <v>30</v>
          </cell>
          <cell r="J153">
            <v>90</v>
          </cell>
          <cell r="K153">
            <v>15</v>
          </cell>
          <cell r="L153">
            <v>15</v>
          </cell>
          <cell r="M153">
            <v>30</v>
          </cell>
        </row>
        <row r="154">
          <cell r="B154" t="str">
            <v>CT125</v>
          </cell>
          <cell r="D154" t="str">
            <v>KAWASAKI</v>
          </cell>
          <cell r="E154" t="str">
            <v>CT125AB(BLACK/BLUE)</v>
          </cell>
          <cell r="F154" t="str">
            <v>BUSINESS</v>
          </cell>
          <cell r="G154">
            <v>60656</v>
          </cell>
          <cell r="H154">
            <v>45</v>
          </cell>
          <cell r="I154">
            <v>30</v>
          </cell>
          <cell r="J154">
            <v>90</v>
          </cell>
          <cell r="K154">
            <v>15</v>
          </cell>
          <cell r="L154">
            <v>15</v>
          </cell>
          <cell r="M154">
            <v>30</v>
          </cell>
        </row>
        <row r="155">
          <cell r="B155" t="str">
            <v>CT125</v>
          </cell>
          <cell r="D155" t="str">
            <v>KAWASAKI</v>
          </cell>
          <cell r="E155" t="str">
            <v>CT125AC (BLACK/BLUE)</v>
          </cell>
          <cell r="F155" t="str">
            <v>BUSINESS</v>
          </cell>
          <cell r="G155">
            <v>60656</v>
          </cell>
          <cell r="H155">
            <v>45</v>
          </cell>
          <cell r="I155">
            <v>30</v>
          </cell>
          <cell r="J155">
            <v>90</v>
          </cell>
          <cell r="K155">
            <v>15</v>
          </cell>
          <cell r="L155">
            <v>15</v>
          </cell>
          <cell r="M155">
            <v>30</v>
          </cell>
        </row>
        <row r="156">
          <cell r="B156" t="str">
            <v>CT125</v>
          </cell>
          <cell r="D156" t="str">
            <v>KAWASAKI</v>
          </cell>
          <cell r="E156" t="str">
            <v>CT125AC (BLACK/RED)</v>
          </cell>
          <cell r="F156" t="str">
            <v>BUSINESS</v>
          </cell>
          <cell r="G156">
            <v>60656</v>
          </cell>
          <cell r="H156">
            <v>45</v>
          </cell>
          <cell r="I156">
            <v>30</v>
          </cell>
          <cell r="J156">
            <v>90</v>
          </cell>
          <cell r="K156">
            <v>15</v>
          </cell>
          <cell r="L156">
            <v>15</v>
          </cell>
          <cell r="M156">
            <v>30</v>
          </cell>
        </row>
        <row r="157">
          <cell r="B157" t="str">
            <v>CT125</v>
          </cell>
          <cell r="D157" t="str">
            <v>KAWASAKI</v>
          </cell>
          <cell r="E157" t="str">
            <v>CT125AD(BLACK/RED)</v>
          </cell>
          <cell r="F157" t="str">
            <v>BUSINESS</v>
          </cell>
          <cell r="G157">
            <v>60656</v>
          </cell>
          <cell r="H157">
            <v>45</v>
          </cell>
          <cell r="I157">
            <v>30</v>
          </cell>
          <cell r="J157">
            <v>90</v>
          </cell>
          <cell r="K157">
            <v>15</v>
          </cell>
          <cell r="L157">
            <v>15</v>
          </cell>
          <cell r="M157">
            <v>30</v>
          </cell>
        </row>
        <row r="158">
          <cell r="B158" t="str">
            <v>CT125</v>
          </cell>
          <cell r="D158" t="str">
            <v>KAWASAKI</v>
          </cell>
          <cell r="E158" t="str">
            <v>CT125AD(BLACK/blue)</v>
          </cell>
          <cell r="F158" t="str">
            <v>BUSINESS</v>
          </cell>
          <cell r="G158">
            <v>60656</v>
          </cell>
          <cell r="H158">
            <v>45</v>
          </cell>
          <cell r="I158">
            <v>30</v>
          </cell>
          <cell r="J158">
            <v>90</v>
          </cell>
          <cell r="K158">
            <v>15</v>
          </cell>
          <cell r="L158">
            <v>15</v>
          </cell>
          <cell r="M158">
            <v>30</v>
          </cell>
        </row>
        <row r="159">
          <cell r="B159" t="str">
            <v>CT125</v>
          </cell>
          <cell r="D159" t="str">
            <v>KAWASAKI</v>
          </cell>
          <cell r="E159" t="str">
            <v>CT125AE(BLACK/RED)</v>
          </cell>
          <cell r="F159" t="str">
            <v>BUSINESS</v>
          </cell>
          <cell r="G159">
            <v>60656</v>
          </cell>
          <cell r="H159">
            <v>45</v>
          </cell>
          <cell r="I159">
            <v>30</v>
          </cell>
          <cell r="J159">
            <v>90</v>
          </cell>
          <cell r="K159">
            <v>15</v>
          </cell>
          <cell r="L159">
            <v>15</v>
          </cell>
          <cell r="M159">
            <v>30</v>
          </cell>
        </row>
        <row r="160">
          <cell r="B160" t="str">
            <v>CT125</v>
          </cell>
          <cell r="D160" t="str">
            <v>KAWASAKI</v>
          </cell>
          <cell r="E160" t="str">
            <v>CT125AE(BLACK/BLUE)</v>
          </cell>
          <cell r="F160" t="str">
            <v>BUSINESS</v>
          </cell>
          <cell r="G160">
            <v>60656</v>
          </cell>
          <cell r="H160">
            <v>45</v>
          </cell>
          <cell r="I160">
            <v>30</v>
          </cell>
          <cell r="J160">
            <v>90</v>
          </cell>
          <cell r="K160">
            <v>15</v>
          </cell>
          <cell r="L160">
            <v>15</v>
          </cell>
          <cell r="M160">
            <v>30</v>
          </cell>
        </row>
        <row r="161">
          <cell r="B161" t="str">
            <v>FAZZIO</v>
          </cell>
          <cell r="D161" t="str">
            <v>YAMAHA</v>
          </cell>
          <cell r="E161" t="str">
            <v>MIO FAZZIO BRV1 (RED)</v>
          </cell>
          <cell r="F161" t="str">
            <v>SCOOTER</v>
          </cell>
          <cell r="G161">
            <v>86397</v>
          </cell>
          <cell r="H161">
            <v>45</v>
          </cell>
          <cell r="I161">
            <v>30</v>
          </cell>
          <cell r="J161">
            <v>90</v>
          </cell>
          <cell r="K161">
            <v>15</v>
          </cell>
          <cell r="L161">
            <v>15</v>
          </cell>
          <cell r="M161">
            <v>30</v>
          </cell>
        </row>
        <row r="162">
          <cell r="B162" t="str">
            <v>FAZZIO</v>
          </cell>
          <cell r="D162" t="str">
            <v>YAMAHA</v>
          </cell>
          <cell r="E162" t="str">
            <v>MIO FAZZIO BRV1 (YELLOWISH WHITE)</v>
          </cell>
          <cell r="F162" t="str">
            <v>SCOOTER</v>
          </cell>
          <cell r="G162">
            <v>86397</v>
          </cell>
          <cell r="H162">
            <v>45</v>
          </cell>
          <cell r="I162">
            <v>30</v>
          </cell>
          <cell r="J162">
            <v>90</v>
          </cell>
          <cell r="K162">
            <v>15</v>
          </cell>
          <cell r="L162">
            <v>15</v>
          </cell>
          <cell r="M162">
            <v>30</v>
          </cell>
        </row>
        <row r="163">
          <cell r="B163" t="str">
            <v>FAZZIO</v>
          </cell>
          <cell r="D163" t="str">
            <v>YAMAHA</v>
          </cell>
          <cell r="E163" t="str">
            <v>MIO FAZZIO BRV1 (CYAN)</v>
          </cell>
          <cell r="F163" t="str">
            <v>SCOOTER</v>
          </cell>
          <cell r="G163">
            <v>86397</v>
          </cell>
          <cell r="H163">
            <v>45</v>
          </cell>
          <cell r="I163">
            <v>30</v>
          </cell>
          <cell r="J163">
            <v>90</v>
          </cell>
          <cell r="K163">
            <v>15</v>
          </cell>
          <cell r="L163">
            <v>15</v>
          </cell>
          <cell r="M163">
            <v>30</v>
          </cell>
        </row>
        <row r="164">
          <cell r="B164" t="str">
            <v>FAZZIO</v>
          </cell>
          <cell r="D164" t="str">
            <v>YAMAHA</v>
          </cell>
          <cell r="E164" t="str">
            <v>MIO FAZZIO BRV2 (LIGHT BLUE)</v>
          </cell>
          <cell r="F164" t="str">
            <v>SCOOTER</v>
          </cell>
          <cell r="G164">
            <v>86397</v>
          </cell>
          <cell r="H164">
            <v>45</v>
          </cell>
          <cell r="I164">
            <v>30</v>
          </cell>
          <cell r="J164">
            <v>90</v>
          </cell>
          <cell r="K164">
            <v>15</v>
          </cell>
          <cell r="L164">
            <v>15</v>
          </cell>
          <cell r="M164">
            <v>30</v>
          </cell>
        </row>
        <row r="165">
          <cell r="B165" t="str">
            <v>FAZZIO</v>
          </cell>
          <cell r="D165" t="str">
            <v>YAMAHA</v>
          </cell>
          <cell r="E165" t="str">
            <v>MIO FAZZIO BRV2 (YELLOWISH WHITE)</v>
          </cell>
          <cell r="F165" t="str">
            <v>SCOOTER</v>
          </cell>
          <cell r="G165">
            <v>86397</v>
          </cell>
          <cell r="H165">
            <v>45</v>
          </cell>
          <cell r="I165">
            <v>30</v>
          </cell>
          <cell r="J165">
            <v>90</v>
          </cell>
          <cell r="K165">
            <v>15</v>
          </cell>
          <cell r="L165">
            <v>15</v>
          </cell>
          <cell r="M165">
            <v>30</v>
          </cell>
        </row>
        <row r="166">
          <cell r="B166" t="str">
            <v>FAZZIO</v>
          </cell>
          <cell r="D166" t="str">
            <v>YAMAHA</v>
          </cell>
          <cell r="E166" t="str">
            <v>MIO FAZZIO BRV2 (ORANGE/BLACK)</v>
          </cell>
          <cell r="F166" t="str">
            <v>SCOOTER</v>
          </cell>
          <cell r="G166">
            <v>86397</v>
          </cell>
          <cell r="H166">
            <v>45</v>
          </cell>
          <cell r="I166">
            <v>30</v>
          </cell>
          <cell r="J166">
            <v>90</v>
          </cell>
          <cell r="K166">
            <v>15</v>
          </cell>
          <cell r="L166">
            <v>15</v>
          </cell>
          <cell r="M166">
            <v>30</v>
          </cell>
        </row>
        <row r="167">
          <cell r="B167" t="str">
            <v>GIXXER 155</v>
          </cell>
          <cell r="D167" t="str">
            <v>SUZUKI</v>
          </cell>
          <cell r="E167" t="str">
            <v>GSX150RF GIXXER(BLACK)</v>
          </cell>
          <cell r="F167" t="str">
            <v>BACKBONE</v>
          </cell>
          <cell r="G167">
            <v>101752</v>
          </cell>
          <cell r="H167">
            <v>45</v>
          </cell>
          <cell r="I167">
            <v>30</v>
          </cell>
          <cell r="J167">
            <v>90</v>
          </cell>
          <cell r="K167">
            <v>15</v>
          </cell>
          <cell r="L167">
            <v>15</v>
          </cell>
          <cell r="M167">
            <v>30</v>
          </cell>
        </row>
        <row r="168">
          <cell r="B168" t="str">
            <v>GIXXER 155</v>
          </cell>
          <cell r="D168" t="str">
            <v>SUZUKI</v>
          </cell>
          <cell r="E168" t="str">
            <v>GSX150RF GIXXER(BLUE)</v>
          </cell>
          <cell r="F168" t="str">
            <v>BACKBONE</v>
          </cell>
          <cell r="G168">
            <v>101752</v>
          </cell>
          <cell r="H168">
            <v>45</v>
          </cell>
          <cell r="I168">
            <v>30</v>
          </cell>
          <cell r="J168">
            <v>90</v>
          </cell>
          <cell r="K168">
            <v>15</v>
          </cell>
          <cell r="L168">
            <v>15</v>
          </cell>
          <cell r="M168">
            <v>30</v>
          </cell>
        </row>
        <row r="169">
          <cell r="B169" t="str">
            <v>GIXXER 155</v>
          </cell>
          <cell r="D169" t="str">
            <v>SUZUKI</v>
          </cell>
          <cell r="E169" t="str">
            <v>GSX150RF GIXXER(SILVER)</v>
          </cell>
          <cell r="F169" t="str">
            <v>BACKBONE</v>
          </cell>
          <cell r="G169">
            <v>101752</v>
          </cell>
          <cell r="H169">
            <v>45</v>
          </cell>
          <cell r="I169">
            <v>30</v>
          </cell>
          <cell r="J169">
            <v>90</v>
          </cell>
          <cell r="K169">
            <v>15</v>
          </cell>
          <cell r="L169">
            <v>15</v>
          </cell>
          <cell r="M169">
            <v>30</v>
          </cell>
        </row>
        <row r="170">
          <cell r="B170" t="str">
            <v>GIXXER 155</v>
          </cell>
          <cell r="D170" t="str">
            <v>SUZUKI</v>
          </cell>
          <cell r="E170" t="str">
            <v>GSX150RF-6ORNGE</v>
          </cell>
          <cell r="F170" t="str">
            <v>BACKBONE</v>
          </cell>
          <cell r="G170">
            <v>101752</v>
          </cell>
          <cell r="H170">
            <v>45</v>
          </cell>
          <cell r="I170">
            <v>30</v>
          </cell>
          <cell r="J170">
            <v>90</v>
          </cell>
          <cell r="K170">
            <v>15</v>
          </cell>
          <cell r="L170">
            <v>15</v>
          </cell>
          <cell r="M170">
            <v>30</v>
          </cell>
        </row>
        <row r="171">
          <cell r="B171" t="str">
            <v>GIXXER 155</v>
          </cell>
          <cell r="D171" t="str">
            <v>SUZUKI</v>
          </cell>
          <cell r="E171" t="str">
            <v>GSX150RF-6BLACK</v>
          </cell>
          <cell r="F171" t="str">
            <v>BACKBONE</v>
          </cell>
          <cell r="G171">
            <v>101752</v>
          </cell>
          <cell r="H171">
            <v>45</v>
          </cell>
          <cell r="I171">
            <v>30</v>
          </cell>
          <cell r="J171">
            <v>90</v>
          </cell>
          <cell r="K171">
            <v>15</v>
          </cell>
          <cell r="L171">
            <v>15</v>
          </cell>
          <cell r="M171">
            <v>30</v>
          </cell>
        </row>
        <row r="172">
          <cell r="B172" t="str">
            <v>GIXXER 155</v>
          </cell>
          <cell r="D172" t="str">
            <v>SUZUKI</v>
          </cell>
          <cell r="E172" t="str">
            <v>GSX150RF-6BLUE</v>
          </cell>
          <cell r="F172" t="str">
            <v>BACKBONE</v>
          </cell>
          <cell r="G172">
            <v>101752</v>
          </cell>
          <cell r="H172">
            <v>45</v>
          </cell>
          <cell r="I172">
            <v>30</v>
          </cell>
          <cell r="J172">
            <v>90</v>
          </cell>
          <cell r="K172">
            <v>15</v>
          </cell>
          <cell r="L172">
            <v>15</v>
          </cell>
          <cell r="M172">
            <v>30</v>
          </cell>
        </row>
        <row r="173">
          <cell r="B173" t="str">
            <v>GIXXER 155</v>
          </cell>
          <cell r="C173" t="str">
            <v>PHASE OUT</v>
          </cell>
          <cell r="D173" t="str">
            <v>SUZUKI</v>
          </cell>
          <cell r="E173" t="str">
            <v>GSX150RZA GIXXER 150 FI (BLACK)</v>
          </cell>
          <cell r="F173" t="str">
            <v>BACKBONE</v>
          </cell>
          <cell r="G173">
            <v>101752</v>
          </cell>
          <cell r="H173">
            <v>45</v>
          </cell>
          <cell r="I173">
            <v>30</v>
          </cell>
          <cell r="J173">
            <v>90</v>
          </cell>
          <cell r="K173">
            <v>15</v>
          </cell>
          <cell r="L173">
            <v>15</v>
          </cell>
          <cell r="M173">
            <v>30</v>
          </cell>
        </row>
        <row r="174">
          <cell r="B174" t="str">
            <v>GIXXER 155</v>
          </cell>
          <cell r="C174" t="str">
            <v>PHASE OUT</v>
          </cell>
          <cell r="D174" t="str">
            <v>SUZUKI</v>
          </cell>
          <cell r="E174" t="str">
            <v>GSX150RZA GIXXER 150 FI (RED)</v>
          </cell>
          <cell r="F174" t="str">
            <v>BACKBONE</v>
          </cell>
          <cell r="G174">
            <v>101752</v>
          </cell>
          <cell r="H174">
            <v>45</v>
          </cell>
          <cell r="I174">
            <v>30</v>
          </cell>
          <cell r="J174">
            <v>90</v>
          </cell>
          <cell r="K174">
            <v>15</v>
          </cell>
          <cell r="L174">
            <v>15</v>
          </cell>
          <cell r="M174">
            <v>30</v>
          </cell>
        </row>
        <row r="175">
          <cell r="B175" t="str">
            <v>KING</v>
          </cell>
          <cell r="D175" t="str">
            <v>SKYGO</v>
          </cell>
          <cell r="E175" t="str">
            <v>SG-150 KING 150cc</v>
          </cell>
          <cell r="F175" t="str">
            <v>BUSINESS</v>
          </cell>
          <cell r="G175">
            <v>36765</v>
          </cell>
          <cell r="H175">
            <v>45</v>
          </cell>
          <cell r="I175">
            <v>30</v>
          </cell>
          <cell r="J175">
            <v>90</v>
          </cell>
          <cell r="K175">
            <v>15</v>
          </cell>
          <cell r="L175">
            <v>15</v>
          </cell>
          <cell r="M175">
            <v>30</v>
          </cell>
        </row>
        <row r="176">
          <cell r="B176" t="str">
            <v>KING</v>
          </cell>
          <cell r="D176" t="str">
            <v>SKYGO</v>
          </cell>
          <cell r="E176" t="str">
            <v>SG-150 KING 150 cc (BLACK/RED)</v>
          </cell>
          <cell r="F176" t="str">
            <v>BUSINESS</v>
          </cell>
          <cell r="G176">
            <v>39159</v>
          </cell>
          <cell r="H176">
            <v>45</v>
          </cell>
          <cell r="I176">
            <v>30</v>
          </cell>
          <cell r="J176">
            <v>90</v>
          </cell>
          <cell r="K176">
            <v>15</v>
          </cell>
          <cell r="L176">
            <v>15</v>
          </cell>
          <cell r="M176">
            <v>30</v>
          </cell>
        </row>
        <row r="177">
          <cell r="B177" t="str">
            <v>KING</v>
          </cell>
          <cell r="D177" t="str">
            <v>SKYGO</v>
          </cell>
          <cell r="E177" t="str">
            <v>SG-150 KING 150 cc (BLACK/BLUE)</v>
          </cell>
          <cell r="F177" t="str">
            <v>BUSINESS</v>
          </cell>
          <cell r="G177">
            <v>39159</v>
          </cell>
          <cell r="H177">
            <v>45</v>
          </cell>
          <cell r="I177">
            <v>30</v>
          </cell>
          <cell r="J177">
            <v>90</v>
          </cell>
          <cell r="K177">
            <v>15</v>
          </cell>
          <cell r="L177">
            <v>15</v>
          </cell>
          <cell r="M177">
            <v>30</v>
          </cell>
        </row>
        <row r="178">
          <cell r="B178" t="str">
            <v>KLX140</v>
          </cell>
          <cell r="D178" t="str">
            <v>KAWASAKI</v>
          </cell>
          <cell r="E178" t="str">
            <v>KLX140CJF (GREEN)</v>
          </cell>
          <cell r="F178" t="str">
            <v>SPORTS TYPE</v>
          </cell>
          <cell r="G178">
            <v>154280</v>
          </cell>
          <cell r="H178">
            <v>45</v>
          </cell>
          <cell r="I178">
            <v>30</v>
          </cell>
          <cell r="J178">
            <v>90</v>
          </cell>
          <cell r="K178">
            <v>15</v>
          </cell>
          <cell r="L178">
            <v>15</v>
          </cell>
          <cell r="M178">
            <v>30</v>
          </cell>
        </row>
        <row r="179">
          <cell r="B179" t="str">
            <v>KLX140</v>
          </cell>
          <cell r="D179" t="str">
            <v>KAWASAKI</v>
          </cell>
          <cell r="E179" t="str">
            <v>KLX140CNFNN (GREEN)</v>
          </cell>
          <cell r="F179" t="str">
            <v>SPORTS TYPE</v>
          </cell>
          <cell r="G179">
            <v>154280</v>
          </cell>
          <cell r="H179">
            <v>45</v>
          </cell>
          <cell r="I179">
            <v>30</v>
          </cell>
          <cell r="J179">
            <v>90</v>
          </cell>
          <cell r="K179">
            <v>15</v>
          </cell>
          <cell r="L179">
            <v>15</v>
          </cell>
          <cell r="M179">
            <v>30</v>
          </cell>
        </row>
        <row r="180">
          <cell r="B180" t="str">
            <v>KLX150</v>
          </cell>
          <cell r="D180" t="str">
            <v>KAWASAKI</v>
          </cell>
          <cell r="E180" t="str">
            <v>KLX 150JFF KLX 150LW NEW(GREEN)</v>
          </cell>
          <cell r="F180" t="str">
            <v>SPORTS TYPE</v>
          </cell>
          <cell r="G180">
            <v>131626</v>
          </cell>
          <cell r="H180">
            <v>45</v>
          </cell>
          <cell r="I180">
            <v>30</v>
          </cell>
          <cell r="J180">
            <v>90</v>
          </cell>
          <cell r="K180">
            <v>15</v>
          </cell>
          <cell r="L180">
            <v>15</v>
          </cell>
          <cell r="M180">
            <v>30</v>
          </cell>
        </row>
        <row r="181">
          <cell r="B181" t="str">
            <v>KLX150</v>
          </cell>
          <cell r="D181" t="str">
            <v>KAWASAKI</v>
          </cell>
          <cell r="E181" t="str">
            <v>KLX 150JFF KLX150LW NEW (BLACK)</v>
          </cell>
          <cell r="F181" t="str">
            <v>SPORTS TYPE</v>
          </cell>
          <cell r="G181">
            <v>131626</v>
          </cell>
          <cell r="H181">
            <v>45</v>
          </cell>
          <cell r="I181">
            <v>30</v>
          </cell>
          <cell r="J181">
            <v>90</v>
          </cell>
          <cell r="K181">
            <v>15</v>
          </cell>
          <cell r="L181">
            <v>15</v>
          </cell>
          <cell r="M181">
            <v>30</v>
          </cell>
        </row>
        <row r="182">
          <cell r="B182" t="str">
            <v>KLX150</v>
          </cell>
          <cell r="D182" t="str">
            <v>KAWASAKI</v>
          </cell>
          <cell r="E182" t="str">
            <v>KLX 150JJF KLX 150LW NEW(GREEN)</v>
          </cell>
          <cell r="F182" t="str">
            <v>SPORTS TYPE</v>
          </cell>
          <cell r="G182">
            <v>131626</v>
          </cell>
          <cell r="H182">
            <v>45</v>
          </cell>
          <cell r="I182">
            <v>30</v>
          </cell>
          <cell r="J182">
            <v>90</v>
          </cell>
          <cell r="K182">
            <v>15</v>
          </cell>
          <cell r="L182">
            <v>15</v>
          </cell>
          <cell r="M182">
            <v>30</v>
          </cell>
        </row>
        <row r="183">
          <cell r="B183" t="str">
            <v>KLX150</v>
          </cell>
          <cell r="D183" t="str">
            <v>KAWASAKI</v>
          </cell>
          <cell r="E183" t="str">
            <v>KLX 150JJF KLX 150LW NEW(BLACK)</v>
          </cell>
          <cell r="F183" t="str">
            <v>SPORTS TYPE</v>
          </cell>
          <cell r="G183">
            <v>131626</v>
          </cell>
          <cell r="H183">
            <v>45</v>
          </cell>
          <cell r="I183">
            <v>30</v>
          </cell>
          <cell r="J183">
            <v>90</v>
          </cell>
          <cell r="K183">
            <v>15</v>
          </cell>
          <cell r="L183">
            <v>15</v>
          </cell>
          <cell r="M183">
            <v>30</v>
          </cell>
        </row>
        <row r="184">
          <cell r="B184" t="str">
            <v>KLX150</v>
          </cell>
          <cell r="D184" t="str">
            <v>KAWASAKI</v>
          </cell>
          <cell r="E184" t="str">
            <v>KLX150JKF NEW(BLACK)</v>
          </cell>
          <cell r="F184" t="str">
            <v>SPORTS TYPE</v>
          </cell>
          <cell r="G184">
            <v>131626</v>
          </cell>
          <cell r="H184">
            <v>45</v>
          </cell>
          <cell r="I184">
            <v>30</v>
          </cell>
          <cell r="J184">
            <v>90</v>
          </cell>
          <cell r="K184">
            <v>15</v>
          </cell>
          <cell r="L184">
            <v>15</v>
          </cell>
          <cell r="M184">
            <v>30</v>
          </cell>
        </row>
        <row r="185">
          <cell r="B185" t="str">
            <v>KLX150</v>
          </cell>
          <cell r="D185" t="str">
            <v>KAWASAKI</v>
          </cell>
          <cell r="E185" t="str">
            <v>KLX150JJF (GREEN)</v>
          </cell>
          <cell r="F185" t="str">
            <v>SPORTS TYPE</v>
          </cell>
          <cell r="G185">
            <v>131626</v>
          </cell>
          <cell r="H185">
            <v>45</v>
          </cell>
          <cell r="I185">
            <v>30</v>
          </cell>
          <cell r="J185">
            <v>90</v>
          </cell>
          <cell r="K185">
            <v>15</v>
          </cell>
          <cell r="L185">
            <v>15</v>
          </cell>
          <cell r="M185">
            <v>30</v>
          </cell>
        </row>
        <row r="186">
          <cell r="B186" t="str">
            <v>KLX150</v>
          </cell>
          <cell r="D186" t="str">
            <v>KAWASAKI</v>
          </cell>
          <cell r="E186" t="str">
            <v>KLX150BF (BLUE)</v>
          </cell>
          <cell r="F186" t="str">
            <v>SPORTS TYPE</v>
          </cell>
          <cell r="G186">
            <v>131626</v>
          </cell>
          <cell r="H186">
            <v>45</v>
          </cell>
          <cell r="I186">
            <v>30</v>
          </cell>
          <cell r="J186">
            <v>90</v>
          </cell>
          <cell r="K186">
            <v>15</v>
          </cell>
          <cell r="L186">
            <v>15</v>
          </cell>
          <cell r="M186">
            <v>30</v>
          </cell>
        </row>
        <row r="187">
          <cell r="B187" t="str">
            <v>KLX150</v>
          </cell>
          <cell r="D187" t="str">
            <v>KAWASAKI</v>
          </cell>
          <cell r="E187" t="str">
            <v>KLX150BF (GREEN)</v>
          </cell>
          <cell r="F187" t="str">
            <v>SPORTS TYPE</v>
          </cell>
          <cell r="G187">
            <v>131626</v>
          </cell>
          <cell r="H187">
            <v>45</v>
          </cell>
          <cell r="I187">
            <v>30</v>
          </cell>
          <cell r="J187">
            <v>90</v>
          </cell>
          <cell r="K187">
            <v>15</v>
          </cell>
          <cell r="L187">
            <v>15</v>
          </cell>
          <cell r="M187">
            <v>30</v>
          </cell>
        </row>
        <row r="188">
          <cell r="B188" t="str">
            <v>KLX150</v>
          </cell>
          <cell r="D188" t="str">
            <v>KAWASAKI</v>
          </cell>
          <cell r="E188" t="str">
            <v>KLX150FMBBN KLX150BF (BLACK)</v>
          </cell>
          <cell r="F188" t="str">
            <v>SPORTS TYPE</v>
          </cell>
          <cell r="G188">
            <v>131626</v>
          </cell>
          <cell r="H188">
            <v>45</v>
          </cell>
          <cell r="I188">
            <v>30</v>
          </cell>
          <cell r="J188">
            <v>90</v>
          </cell>
          <cell r="K188">
            <v>15</v>
          </cell>
          <cell r="L188">
            <v>15</v>
          </cell>
          <cell r="M188">
            <v>30</v>
          </cell>
        </row>
        <row r="189">
          <cell r="B189" t="str">
            <v>KLX150</v>
          </cell>
          <cell r="D189" t="str">
            <v>KAWASAKI</v>
          </cell>
          <cell r="E189" t="str">
            <v>KLX150KRAAN KLX150 (BLUE)</v>
          </cell>
          <cell r="F189" t="str">
            <v>SPORTS TYPE</v>
          </cell>
          <cell r="G189">
            <v>131626</v>
          </cell>
          <cell r="H189">
            <v>45</v>
          </cell>
          <cell r="I189">
            <v>30</v>
          </cell>
          <cell r="J189">
            <v>90</v>
          </cell>
          <cell r="K189">
            <v>15</v>
          </cell>
          <cell r="L189">
            <v>15</v>
          </cell>
          <cell r="M189">
            <v>30</v>
          </cell>
        </row>
        <row r="190">
          <cell r="B190" t="str">
            <v>MAXIMA CARGO</v>
          </cell>
          <cell r="D190" t="str">
            <v>BAJAJ RE</v>
          </cell>
          <cell r="E190" t="str">
            <v>MAXIMA CARGO (WHITE)</v>
          </cell>
          <cell r="F190" t="str">
            <v>TRI-WHEELED</v>
          </cell>
          <cell r="G190">
            <v>221800</v>
          </cell>
          <cell r="H190">
            <v>45</v>
          </cell>
          <cell r="I190">
            <v>30</v>
          </cell>
          <cell r="J190">
            <v>90</v>
          </cell>
          <cell r="K190">
            <v>15</v>
          </cell>
          <cell r="L190">
            <v>15</v>
          </cell>
          <cell r="M190">
            <v>30</v>
          </cell>
        </row>
        <row r="191">
          <cell r="B191" t="str">
            <v>MAXIMA Z</v>
          </cell>
          <cell r="D191" t="str">
            <v>BAJAJ RE</v>
          </cell>
          <cell r="E191" t="str">
            <v>BAJAJ MAXIMA Z (BLUE)</v>
          </cell>
          <cell r="F191" t="str">
            <v>TRI-WHEELED</v>
          </cell>
          <cell r="G191">
            <v>225800</v>
          </cell>
          <cell r="H191">
            <v>45</v>
          </cell>
          <cell r="I191">
            <v>30</v>
          </cell>
          <cell r="J191">
            <v>90</v>
          </cell>
          <cell r="K191">
            <v>15</v>
          </cell>
          <cell r="L191">
            <v>15</v>
          </cell>
          <cell r="M191">
            <v>30</v>
          </cell>
        </row>
        <row r="192">
          <cell r="B192" t="str">
            <v>MAXIMA Z</v>
          </cell>
          <cell r="D192" t="str">
            <v>BAJAJ RE</v>
          </cell>
          <cell r="E192" t="str">
            <v>MAXIMA Z (WHITE)</v>
          </cell>
          <cell r="F192" t="str">
            <v>TRI-WHEELED</v>
          </cell>
          <cell r="G192">
            <v>225800</v>
          </cell>
          <cell r="H192">
            <v>45</v>
          </cell>
          <cell r="I192">
            <v>30</v>
          </cell>
          <cell r="J192">
            <v>90</v>
          </cell>
          <cell r="K192">
            <v>15</v>
          </cell>
          <cell r="L192">
            <v>15</v>
          </cell>
          <cell r="M192">
            <v>30</v>
          </cell>
        </row>
        <row r="193">
          <cell r="B193" t="str">
            <v>MAXIMA Z</v>
          </cell>
          <cell r="D193" t="str">
            <v>BAJAJ RE</v>
          </cell>
          <cell r="E193" t="str">
            <v>MAXIMA Z (YELLOW)</v>
          </cell>
          <cell r="F193" t="str">
            <v>TRI-WHEELED</v>
          </cell>
          <cell r="G193">
            <v>225800</v>
          </cell>
          <cell r="H193">
            <v>45</v>
          </cell>
          <cell r="I193">
            <v>30</v>
          </cell>
          <cell r="J193">
            <v>90</v>
          </cell>
          <cell r="K193">
            <v>15</v>
          </cell>
          <cell r="L193">
            <v>15</v>
          </cell>
          <cell r="M193">
            <v>30</v>
          </cell>
        </row>
        <row r="194">
          <cell r="B194" t="str">
            <v>MIO AEROX 155</v>
          </cell>
          <cell r="D194" t="str">
            <v>YAMAHA</v>
          </cell>
          <cell r="E194" t="str">
            <v>B1W3 MIO AEROX S (BLACK)</v>
          </cell>
          <cell r="F194" t="str">
            <v>SCOOTER</v>
          </cell>
          <cell r="G194">
            <v>124527</v>
          </cell>
          <cell r="H194">
            <v>45</v>
          </cell>
          <cell r="I194">
            <v>30</v>
          </cell>
          <cell r="J194">
            <v>90</v>
          </cell>
          <cell r="K194">
            <v>15</v>
          </cell>
          <cell r="L194">
            <v>15</v>
          </cell>
          <cell r="M194">
            <v>30</v>
          </cell>
        </row>
        <row r="195">
          <cell r="B195" t="str">
            <v>MIO AEROX 155</v>
          </cell>
          <cell r="D195" t="str">
            <v>YAMAHA</v>
          </cell>
          <cell r="E195" t="str">
            <v>B1W3 MIO AEROX (ORANGE/BLACK)</v>
          </cell>
          <cell r="F195" t="str">
            <v>SCOOTER</v>
          </cell>
          <cell r="G195">
            <v>124527</v>
          </cell>
          <cell r="H195">
            <v>45</v>
          </cell>
          <cell r="I195">
            <v>30</v>
          </cell>
          <cell r="J195">
            <v>90</v>
          </cell>
          <cell r="K195">
            <v>15</v>
          </cell>
          <cell r="L195">
            <v>15</v>
          </cell>
          <cell r="M195">
            <v>30</v>
          </cell>
        </row>
        <row r="196">
          <cell r="B196" t="str">
            <v>MIO AEROX 155</v>
          </cell>
          <cell r="C196" t="str">
            <v>OLD MODEL CODE</v>
          </cell>
          <cell r="D196" t="str">
            <v>YAMAHA</v>
          </cell>
          <cell r="E196" t="str">
            <v>MIO AEROX B1WB (BLUE)</v>
          </cell>
          <cell r="F196" t="str">
            <v>SCOOTER</v>
          </cell>
          <cell r="G196">
            <v>124527</v>
          </cell>
          <cell r="H196">
            <v>45</v>
          </cell>
          <cell r="I196">
            <v>30</v>
          </cell>
          <cell r="J196">
            <v>90</v>
          </cell>
          <cell r="K196">
            <v>15</v>
          </cell>
          <cell r="L196">
            <v>15</v>
          </cell>
          <cell r="M196">
            <v>30</v>
          </cell>
        </row>
        <row r="197">
          <cell r="B197" t="str">
            <v>MIO AEROX 155</v>
          </cell>
          <cell r="D197" t="str">
            <v>YAMAHA</v>
          </cell>
          <cell r="E197" t="str">
            <v>MIO AEROX B1W3 (BLUE/BLACK</v>
          </cell>
          <cell r="F197" t="str">
            <v>SCOOTER</v>
          </cell>
          <cell r="G197">
            <v>124527</v>
          </cell>
          <cell r="H197">
            <v>45</v>
          </cell>
          <cell r="I197">
            <v>30</v>
          </cell>
          <cell r="J197">
            <v>90</v>
          </cell>
          <cell r="K197">
            <v>15</v>
          </cell>
          <cell r="L197">
            <v>15</v>
          </cell>
          <cell r="M197">
            <v>30</v>
          </cell>
        </row>
        <row r="198">
          <cell r="B198" t="str">
            <v>MIO AEROX 155</v>
          </cell>
          <cell r="D198" t="str">
            <v>YAMAHA</v>
          </cell>
          <cell r="E198" t="str">
            <v>MIO AEROX BDM1(MATTE BLACK/BLACK)</v>
          </cell>
          <cell r="F198" t="str">
            <v>SCOOTER</v>
          </cell>
          <cell r="G198">
            <v>124527</v>
          </cell>
          <cell r="H198">
            <v>45</v>
          </cell>
          <cell r="I198">
            <v>30</v>
          </cell>
          <cell r="J198">
            <v>90</v>
          </cell>
          <cell r="K198">
            <v>15</v>
          </cell>
          <cell r="L198">
            <v>15</v>
          </cell>
          <cell r="M198">
            <v>30</v>
          </cell>
        </row>
        <row r="199">
          <cell r="B199" t="str">
            <v>MIO AEROX 155</v>
          </cell>
          <cell r="D199" t="str">
            <v>YAMAHA</v>
          </cell>
          <cell r="E199" t="str">
            <v>MIO AEROX BDM1(RED/MATTE BLACK)</v>
          </cell>
          <cell r="F199" t="str">
            <v>SCOOTER</v>
          </cell>
          <cell r="G199">
            <v>124527</v>
          </cell>
          <cell r="H199">
            <v>45</v>
          </cell>
          <cell r="I199">
            <v>30</v>
          </cell>
          <cell r="J199">
            <v>90</v>
          </cell>
          <cell r="K199">
            <v>15</v>
          </cell>
          <cell r="L199">
            <v>15</v>
          </cell>
          <cell r="M199">
            <v>30</v>
          </cell>
        </row>
        <row r="200">
          <cell r="B200" t="str">
            <v>MIO AEROX 155</v>
          </cell>
          <cell r="D200" t="str">
            <v>YAMAHA</v>
          </cell>
          <cell r="E200" t="str">
            <v>MIO AEROX BDM1(GRAY/BLACK)</v>
          </cell>
          <cell r="F200" t="str">
            <v>SCOOTER</v>
          </cell>
          <cell r="G200">
            <v>124527</v>
          </cell>
          <cell r="H200">
            <v>45</v>
          </cell>
          <cell r="I200">
            <v>30</v>
          </cell>
          <cell r="J200">
            <v>90</v>
          </cell>
          <cell r="K200">
            <v>15</v>
          </cell>
          <cell r="L200">
            <v>15</v>
          </cell>
          <cell r="M200">
            <v>30</v>
          </cell>
        </row>
        <row r="201">
          <cell r="B201" t="str">
            <v>MIO AEROX 155</v>
          </cell>
          <cell r="D201" t="str">
            <v>YAMAHA</v>
          </cell>
          <cell r="E201" t="str">
            <v>MIO AEROX BDM1(BLUE/MATTE GRAY)</v>
          </cell>
          <cell r="F201" t="str">
            <v>SCOOTER</v>
          </cell>
          <cell r="G201">
            <v>124527</v>
          </cell>
          <cell r="H201">
            <v>45</v>
          </cell>
          <cell r="I201">
            <v>30</v>
          </cell>
          <cell r="J201">
            <v>90</v>
          </cell>
          <cell r="K201">
            <v>15</v>
          </cell>
          <cell r="L201">
            <v>15</v>
          </cell>
          <cell r="M201">
            <v>30</v>
          </cell>
        </row>
        <row r="202">
          <cell r="B202" t="str">
            <v>MIO AEROX 155</v>
          </cell>
          <cell r="D202" t="str">
            <v>YAMAHA</v>
          </cell>
          <cell r="E202" t="str">
            <v>MIO AEROX BKM1 (MATTE BLACK/BLACK)</v>
          </cell>
          <cell r="F202" t="str">
            <v>SCOOTER</v>
          </cell>
          <cell r="G202">
            <v>124527</v>
          </cell>
          <cell r="H202">
            <v>45</v>
          </cell>
          <cell r="I202">
            <v>30</v>
          </cell>
          <cell r="J202">
            <v>90</v>
          </cell>
          <cell r="K202">
            <v>15</v>
          </cell>
          <cell r="L202">
            <v>15</v>
          </cell>
          <cell r="M202">
            <v>30</v>
          </cell>
        </row>
        <row r="203">
          <cell r="B203" t="str">
            <v>MIO AEROX 155</v>
          </cell>
          <cell r="D203" t="str">
            <v>YAMAHA</v>
          </cell>
          <cell r="E203" t="str">
            <v>MIO AEROX BKM1 (RED/MATTE BLACK)</v>
          </cell>
          <cell r="F203" t="str">
            <v>SCOOTER</v>
          </cell>
          <cell r="G203">
            <v>124527</v>
          </cell>
          <cell r="H203">
            <v>45</v>
          </cell>
          <cell r="I203">
            <v>30</v>
          </cell>
          <cell r="J203">
            <v>90</v>
          </cell>
          <cell r="K203">
            <v>15</v>
          </cell>
          <cell r="L203">
            <v>15</v>
          </cell>
          <cell r="M203">
            <v>30</v>
          </cell>
        </row>
        <row r="204">
          <cell r="B204" t="str">
            <v>MIO AEROX 155</v>
          </cell>
          <cell r="D204" t="str">
            <v>YAMAHA</v>
          </cell>
          <cell r="E204" t="str">
            <v>MIO AEROX BKM1 (GRAY/BLACK)</v>
          </cell>
          <cell r="F204" t="str">
            <v>SCOOTER</v>
          </cell>
          <cell r="G204">
            <v>124527</v>
          </cell>
          <cell r="H204">
            <v>45</v>
          </cell>
          <cell r="I204">
            <v>30</v>
          </cell>
          <cell r="J204">
            <v>90</v>
          </cell>
          <cell r="K204">
            <v>15</v>
          </cell>
          <cell r="L204">
            <v>15</v>
          </cell>
          <cell r="M204">
            <v>30</v>
          </cell>
        </row>
        <row r="205">
          <cell r="B205" t="str">
            <v>MIO AEROX 155</v>
          </cell>
          <cell r="D205" t="str">
            <v>YAMAHA</v>
          </cell>
          <cell r="E205" t="str">
            <v>MIO AEROX BKM1 (BLUE/MATTE GRAY)</v>
          </cell>
          <cell r="F205" t="str">
            <v>SCOOTER</v>
          </cell>
          <cell r="G205">
            <v>124527</v>
          </cell>
          <cell r="H205">
            <v>45</v>
          </cell>
          <cell r="I205">
            <v>30</v>
          </cell>
          <cell r="J205">
            <v>90</v>
          </cell>
          <cell r="K205">
            <v>15</v>
          </cell>
          <cell r="L205">
            <v>15</v>
          </cell>
          <cell r="M205">
            <v>30</v>
          </cell>
        </row>
        <row r="206">
          <cell r="B206" t="str">
            <v>MIO AEROX 155</v>
          </cell>
          <cell r="C206" t="str">
            <v>LATEST MODEL CODE</v>
          </cell>
          <cell r="D206" t="str">
            <v>YAMAHA</v>
          </cell>
          <cell r="E206" t="str">
            <v>MIO AEROX BRW1 (MATTE BLACK/ BLACK)</v>
          </cell>
          <cell r="F206" t="str">
            <v>SCOOTER</v>
          </cell>
          <cell r="G206">
            <v>124527</v>
          </cell>
          <cell r="H206">
            <v>45</v>
          </cell>
          <cell r="I206">
            <v>30</v>
          </cell>
          <cell r="J206">
            <v>90</v>
          </cell>
          <cell r="K206">
            <v>15</v>
          </cell>
          <cell r="L206">
            <v>15</v>
          </cell>
          <cell r="M206">
            <v>30</v>
          </cell>
        </row>
        <row r="207">
          <cell r="B207" t="str">
            <v>MIO AEROX 155</v>
          </cell>
          <cell r="C207" t="str">
            <v>LATEST MODEL CODE</v>
          </cell>
          <cell r="D207" t="str">
            <v>YAMAHA</v>
          </cell>
          <cell r="E207" t="str">
            <v>MIO AEROX BRW1 (GRAY/ BLACK)</v>
          </cell>
          <cell r="F207" t="str">
            <v>SCOOTER</v>
          </cell>
          <cell r="G207">
            <v>124527</v>
          </cell>
          <cell r="H207">
            <v>45</v>
          </cell>
          <cell r="I207">
            <v>30</v>
          </cell>
          <cell r="J207">
            <v>90</v>
          </cell>
          <cell r="K207">
            <v>15</v>
          </cell>
          <cell r="L207">
            <v>15</v>
          </cell>
          <cell r="M207">
            <v>30</v>
          </cell>
        </row>
        <row r="208">
          <cell r="B208" t="str">
            <v>MIO AEROX 155</v>
          </cell>
          <cell r="C208" t="str">
            <v>LATEST MODEL CODE</v>
          </cell>
          <cell r="D208" t="str">
            <v>YAMAHA</v>
          </cell>
          <cell r="E208" t="str">
            <v>MIO AEROX BRW1 (BLUE/ MATTE GRAY)</v>
          </cell>
          <cell r="F208" t="str">
            <v>SCOOTER</v>
          </cell>
          <cell r="G208">
            <v>124527</v>
          </cell>
          <cell r="H208">
            <v>45</v>
          </cell>
          <cell r="I208">
            <v>30</v>
          </cell>
          <cell r="J208">
            <v>90</v>
          </cell>
          <cell r="K208">
            <v>15</v>
          </cell>
          <cell r="L208">
            <v>15</v>
          </cell>
          <cell r="M208">
            <v>30</v>
          </cell>
        </row>
        <row r="209">
          <cell r="B209" t="str">
            <v>MIO AEROX 155</v>
          </cell>
          <cell r="D209" t="str">
            <v>YAMAHA</v>
          </cell>
          <cell r="E209" t="str">
            <v>MIO AEROX BRW4 (BLACK/ MATTE BLACK)</v>
          </cell>
          <cell r="F209" t="str">
            <v>SCOOTER</v>
          </cell>
          <cell r="G209">
            <v>124527</v>
          </cell>
          <cell r="H209">
            <v>45</v>
          </cell>
          <cell r="I209">
            <v>30</v>
          </cell>
          <cell r="J209">
            <v>90</v>
          </cell>
          <cell r="K209">
            <v>15</v>
          </cell>
          <cell r="L209">
            <v>15</v>
          </cell>
          <cell r="M209">
            <v>30</v>
          </cell>
        </row>
        <row r="210">
          <cell r="B210" t="str">
            <v>MIO AEROX 155</v>
          </cell>
          <cell r="D210" t="str">
            <v>YAMAHA</v>
          </cell>
          <cell r="E210" t="str">
            <v>MIO AEROX BRW4 (GRAY/BLACK)</v>
          </cell>
          <cell r="F210" t="str">
            <v>SCOOTER</v>
          </cell>
          <cell r="G210">
            <v>124527</v>
          </cell>
          <cell r="H210">
            <v>45</v>
          </cell>
          <cell r="I210">
            <v>30</v>
          </cell>
          <cell r="J210">
            <v>90</v>
          </cell>
          <cell r="K210">
            <v>15</v>
          </cell>
          <cell r="L210">
            <v>15</v>
          </cell>
          <cell r="M210">
            <v>30</v>
          </cell>
        </row>
        <row r="211">
          <cell r="B211" t="str">
            <v>MIO AEROX 155</v>
          </cell>
          <cell r="D211" t="str">
            <v>YAMAHA</v>
          </cell>
          <cell r="E211" t="str">
            <v>MIO AEROX BRW4 (BLUE/ MATTE BLUE)</v>
          </cell>
          <cell r="F211" t="str">
            <v>SCOOTER</v>
          </cell>
          <cell r="G211">
            <v>124527</v>
          </cell>
          <cell r="H211">
            <v>45</v>
          </cell>
          <cell r="I211">
            <v>30</v>
          </cell>
          <cell r="J211">
            <v>90</v>
          </cell>
          <cell r="K211">
            <v>15</v>
          </cell>
          <cell r="L211">
            <v>15</v>
          </cell>
          <cell r="M211">
            <v>30</v>
          </cell>
        </row>
        <row r="212">
          <cell r="B212" t="str">
            <v>MIO AEROX 155</v>
          </cell>
          <cell r="D212" t="str">
            <v>YAMAHA</v>
          </cell>
          <cell r="E212" t="str">
            <v>MIO AEROX BRW4 (MATTE GRAY/ BLACK)</v>
          </cell>
          <cell r="F212" t="str">
            <v>SCOOTER</v>
          </cell>
          <cell r="G212">
            <v>124527</v>
          </cell>
          <cell r="H212">
            <v>45</v>
          </cell>
          <cell r="I212">
            <v>30</v>
          </cell>
          <cell r="J212">
            <v>90</v>
          </cell>
          <cell r="K212">
            <v>15</v>
          </cell>
          <cell r="L212">
            <v>15</v>
          </cell>
          <cell r="M212">
            <v>30</v>
          </cell>
        </row>
        <row r="213">
          <cell r="B213" t="str">
            <v>MIO AEROX S 155</v>
          </cell>
          <cell r="C213" t="str">
            <v>OLD MODEL CODE</v>
          </cell>
          <cell r="D213" t="str">
            <v>YAMAHA</v>
          </cell>
          <cell r="E213" t="str">
            <v>MIO AEROX S B1W1 (WHITE/GRAY)</v>
          </cell>
          <cell r="F213" t="str">
            <v>SCOOTER</v>
          </cell>
          <cell r="G213">
            <v>152892</v>
          </cell>
          <cell r="H213">
            <v>45</v>
          </cell>
          <cell r="I213">
            <v>30</v>
          </cell>
          <cell r="J213">
            <v>90</v>
          </cell>
          <cell r="K213">
            <v>15</v>
          </cell>
          <cell r="L213">
            <v>15</v>
          </cell>
          <cell r="M213">
            <v>30</v>
          </cell>
        </row>
        <row r="214">
          <cell r="B214" t="str">
            <v>MIO AEROX S 155</v>
          </cell>
          <cell r="C214" t="str">
            <v>OLD MODEL CODE</v>
          </cell>
          <cell r="D214" t="str">
            <v>YAMAHA</v>
          </cell>
          <cell r="E214" t="str">
            <v>MIO AEROX S B1W1 (MATTE BLUE/ORANGE)</v>
          </cell>
          <cell r="F214" t="str">
            <v>SCOOTER</v>
          </cell>
          <cell r="G214">
            <v>134850</v>
          </cell>
          <cell r="H214">
            <v>45</v>
          </cell>
          <cell r="I214">
            <v>30</v>
          </cell>
          <cell r="J214">
            <v>90</v>
          </cell>
          <cell r="K214">
            <v>15</v>
          </cell>
          <cell r="L214">
            <v>15</v>
          </cell>
          <cell r="M214">
            <v>30</v>
          </cell>
        </row>
        <row r="215">
          <cell r="B215" t="str">
            <v>MIO AEROX S 155</v>
          </cell>
          <cell r="C215" t="str">
            <v>OLD MODEL CODE</v>
          </cell>
          <cell r="D215" t="str">
            <v>YAMAHA</v>
          </cell>
          <cell r="E215" t="str">
            <v>MIO AEROX DOXOU B1W5</v>
          </cell>
          <cell r="F215" t="str">
            <v>SCOOTER</v>
          </cell>
          <cell r="G215">
            <v>134850</v>
          </cell>
          <cell r="H215">
            <v>45</v>
          </cell>
          <cell r="I215">
            <v>30</v>
          </cell>
          <cell r="J215">
            <v>90</v>
          </cell>
          <cell r="K215">
            <v>15</v>
          </cell>
          <cell r="L215">
            <v>15</v>
          </cell>
          <cell r="M215">
            <v>30</v>
          </cell>
        </row>
        <row r="216">
          <cell r="B216" t="str">
            <v>MIO AEROX S 155</v>
          </cell>
          <cell r="C216" t="str">
            <v>OLD MODEL CODE</v>
          </cell>
          <cell r="D216" t="str">
            <v>YAMAHA</v>
          </cell>
          <cell r="E216" t="str">
            <v>MIO AEROX B1WA (MONSTER ENERGY EDITION)</v>
          </cell>
          <cell r="F216" t="str">
            <v>SCOOTER</v>
          </cell>
          <cell r="G216">
            <v>134850</v>
          </cell>
          <cell r="H216">
            <v>45</v>
          </cell>
          <cell r="I216">
            <v>30</v>
          </cell>
          <cell r="J216">
            <v>90</v>
          </cell>
          <cell r="K216">
            <v>15</v>
          </cell>
          <cell r="L216">
            <v>15</v>
          </cell>
          <cell r="M216">
            <v>30</v>
          </cell>
        </row>
        <row r="217">
          <cell r="B217" t="str">
            <v>MIO AEROX S 155</v>
          </cell>
          <cell r="C217" t="str">
            <v>OLD MODEL CODE</v>
          </cell>
          <cell r="D217" t="str">
            <v>YAMAHA</v>
          </cell>
          <cell r="E217" t="str">
            <v>MIO AEROX B1W6 (MATTE ORANGE/BLACK)</v>
          </cell>
          <cell r="F217" t="str">
            <v>SCOOTER</v>
          </cell>
          <cell r="G217">
            <v>134850</v>
          </cell>
          <cell r="H217">
            <v>45</v>
          </cell>
          <cell r="I217">
            <v>30</v>
          </cell>
          <cell r="J217">
            <v>90</v>
          </cell>
          <cell r="K217">
            <v>15</v>
          </cell>
          <cell r="L217">
            <v>15</v>
          </cell>
          <cell r="M217">
            <v>30</v>
          </cell>
        </row>
        <row r="218">
          <cell r="B218" t="str">
            <v>MIO AEROX S 155</v>
          </cell>
          <cell r="C218" t="str">
            <v>OLD MODEL CODE</v>
          </cell>
          <cell r="D218" t="str">
            <v>YAMAHA</v>
          </cell>
          <cell r="E218" t="str">
            <v>MIO AEROX S B1W7 (WHITE/GRAY)</v>
          </cell>
          <cell r="F218" t="str">
            <v>SCOOTER</v>
          </cell>
          <cell r="G218">
            <v>134850</v>
          </cell>
          <cell r="H218">
            <v>45</v>
          </cell>
          <cell r="I218">
            <v>30</v>
          </cell>
          <cell r="J218">
            <v>90</v>
          </cell>
          <cell r="K218">
            <v>15</v>
          </cell>
          <cell r="L218">
            <v>15</v>
          </cell>
          <cell r="M218">
            <v>30</v>
          </cell>
        </row>
        <row r="219">
          <cell r="B219" t="str">
            <v>MIO AEROX S 155</v>
          </cell>
          <cell r="C219" t="str">
            <v>OLD MODEL CODE</v>
          </cell>
          <cell r="D219" t="str">
            <v>YAMAHA</v>
          </cell>
          <cell r="E219" t="str">
            <v>MIO AEROX S B1W7 (MATTE BLUE/ORANGE)</v>
          </cell>
          <cell r="F219" t="str">
            <v>SCOOTER</v>
          </cell>
          <cell r="G219">
            <v>134850</v>
          </cell>
          <cell r="H219">
            <v>45</v>
          </cell>
          <cell r="I219">
            <v>30</v>
          </cell>
          <cell r="J219">
            <v>90</v>
          </cell>
          <cell r="K219">
            <v>15</v>
          </cell>
          <cell r="L219">
            <v>15</v>
          </cell>
          <cell r="M219">
            <v>30</v>
          </cell>
        </row>
        <row r="220">
          <cell r="B220" t="str">
            <v>MIO AEROX S 155</v>
          </cell>
          <cell r="D220" t="str">
            <v>YAMAHA</v>
          </cell>
          <cell r="E220" t="str">
            <v>MIO AEROX S BDM2(MATTE BLACK/BLACK)</v>
          </cell>
          <cell r="F220" t="str">
            <v>SCOOTER</v>
          </cell>
          <cell r="G220">
            <v>134850</v>
          </cell>
          <cell r="H220">
            <v>45</v>
          </cell>
          <cell r="I220">
            <v>30</v>
          </cell>
          <cell r="J220">
            <v>90</v>
          </cell>
          <cell r="K220">
            <v>15</v>
          </cell>
          <cell r="L220">
            <v>15</v>
          </cell>
          <cell r="M220">
            <v>30</v>
          </cell>
        </row>
        <row r="221">
          <cell r="B221" t="str">
            <v>MIO AEROX S 155</v>
          </cell>
          <cell r="D221" t="str">
            <v>YAMAHA</v>
          </cell>
          <cell r="E221" t="str">
            <v>MIO AEROX MONSTER EDITION(BLACK)</v>
          </cell>
          <cell r="F221" t="str">
            <v>SCOOTER</v>
          </cell>
          <cell r="G221">
            <v>134850</v>
          </cell>
          <cell r="H221">
            <v>45</v>
          </cell>
          <cell r="I221">
            <v>30</v>
          </cell>
          <cell r="J221">
            <v>90</v>
          </cell>
          <cell r="K221">
            <v>15</v>
          </cell>
          <cell r="L221">
            <v>15</v>
          </cell>
          <cell r="M221">
            <v>30</v>
          </cell>
        </row>
        <row r="222">
          <cell r="B222" t="str">
            <v>MIO AEROX S 155</v>
          </cell>
          <cell r="D222" t="str">
            <v>YAMAHA</v>
          </cell>
          <cell r="E222" t="str">
            <v>MIO AEROX BDM4 (MATTE SILVER/ MATTE DARK GRAY)</v>
          </cell>
          <cell r="F222" t="str">
            <v>SCOOTER</v>
          </cell>
          <cell r="G222">
            <v>134850</v>
          </cell>
          <cell r="H222">
            <v>45</v>
          </cell>
          <cell r="I222">
            <v>30</v>
          </cell>
          <cell r="J222">
            <v>90</v>
          </cell>
          <cell r="K222">
            <v>15</v>
          </cell>
          <cell r="L222">
            <v>15</v>
          </cell>
          <cell r="M222">
            <v>30</v>
          </cell>
        </row>
        <row r="223">
          <cell r="B223" t="str">
            <v>MIO AEROX S 155</v>
          </cell>
          <cell r="D223" t="str">
            <v>YAMAHA</v>
          </cell>
          <cell r="E223" t="str">
            <v>MIO AEROX S BDM9 (WHITE/ RED)</v>
          </cell>
          <cell r="F223" t="str">
            <v>SCOOTER</v>
          </cell>
          <cell r="G223">
            <v>134850</v>
          </cell>
          <cell r="H223">
            <v>45</v>
          </cell>
          <cell r="I223">
            <v>30</v>
          </cell>
          <cell r="J223">
            <v>90</v>
          </cell>
          <cell r="K223">
            <v>15</v>
          </cell>
          <cell r="L223">
            <v>15</v>
          </cell>
          <cell r="M223">
            <v>30</v>
          </cell>
        </row>
        <row r="224">
          <cell r="B224" t="str">
            <v>MIO AEROX S 155</v>
          </cell>
          <cell r="D224" t="str">
            <v>YAMAHA</v>
          </cell>
          <cell r="E224" t="str">
            <v>MIO AEROX S BKM2</v>
          </cell>
          <cell r="F224" t="str">
            <v>SCOOTER</v>
          </cell>
          <cell r="G224">
            <v>134850</v>
          </cell>
          <cell r="H224">
            <v>45</v>
          </cell>
          <cell r="I224">
            <v>30</v>
          </cell>
          <cell r="J224">
            <v>90</v>
          </cell>
          <cell r="K224">
            <v>15</v>
          </cell>
          <cell r="L224">
            <v>15</v>
          </cell>
          <cell r="M224">
            <v>30</v>
          </cell>
        </row>
        <row r="225">
          <cell r="B225" t="str">
            <v>MIO AEROX S 155</v>
          </cell>
          <cell r="D225" t="str">
            <v>YAMAHA</v>
          </cell>
          <cell r="E225" t="str">
            <v>MIO AEROX BRW2 (MATTE BLACK/ BLACK)</v>
          </cell>
          <cell r="F225" t="str">
            <v>SCOOTER</v>
          </cell>
          <cell r="G225">
            <v>134850</v>
          </cell>
          <cell r="H225">
            <v>45</v>
          </cell>
          <cell r="I225">
            <v>30</v>
          </cell>
          <cell r="J225">
            <v>90</v>
          </cell>
          <cell r="K225">
            <v>15</v>
          </cell>
          <cell r="L225">
            <v>15</v>
          </cell>
          <cell r="M225">
            <v>30</v>
          </cell>
        </row>
        <row r="226">
          <cell r="B226" t="str">
            <v>MIO AEROX S 155</v>
          </cell>
          <cell r="D226" t="str">
            <v>YAMAHA</v>
          </cell>
          <cell r="E226" t="str">
            <v>MIO AEROX S B1W5/B1W8/B1WC DOXOU</v>
          </cell>
          <cell r="F226" t="str">
            <v>SCOOTER</v>
          </cell>
          <cell r="G226">
            <v>134850</v>
          </cell>
          <cell r="H226">
            <v>45</v>
          </cell>
          <cell r="I226">
            <v>30</v>
          </cell>
          <cell r="J226">
            <v>90</v>
          </cell>
          <cell r="K226">
            <v>15</v>
          </cell>
          <cell r="L226">
            <v>15</v>
          </cell>
          <cell r="M226">
            <v>30</v>
          </cell>
        </row>
        <row r="227">
          <cell r="B227" t="str">
            <v>MIO AEROX S 155</v>
          </cell>
          <cell r="D227" t="str">
            <v>YAMAHA</v>
          </cell>
          <cell r="E227" t="str">
            <v>MIO AEROX S BRW5 (MATTE DARK GRAY/BLACK)</v>
          </cell>
          <cell r="F227" t="str">
            <v>SCOOTER</v>
          </cell>
          <cell r="G227">
            <v>134850</v>
          </cell>
          <cell r="H227">
            <v>45</v>
          </cell>
          <cell r="I227">
            <v>30</v>
          </cell>
          <cell r="J227">
            <v>90</v>
          </cell>
          <cell r="K227">
            <v>15</v>
          </cell>
          <cell r="L227">
            <v>15</v>
          </cell>
          <cell r="M227">
            <v>30</v>
          </cell>
        </row>
        <row r="228">
          <cell r="B228" t="str">
            <v>MIO AEROX S 155</v>
          </cell>
          <cell r="D228" t="str">
            <v>YAMAHA</v>
          </cell>
          <cell r="E228" t="str">
            <v>MIO AEROX S BRW5 (MATTE WHITE/ MATTE GRAY)</v>
          </cell>
          <cell r="F228" t="str">
            <v>SCOOTER</v>
          </cell>
          <cell r="G228">
            <v>134850</v>
          </cell>
          <cell r="H228">
            <v>45</v>
          </cell>
          <cell r="I228">
            <v>30</v>
          </cell>
          <cell r="J228">
            <v>90</v>
          </cell>
          <cell r="K228">
            <v>15</v>
          </cell>
          <cell r="L228">
            <v>15</v>
          </cell>
          <cell r="M228">
            <v>30</v>
          </cell>
        </row>
        <row r="229">
          <cell r="B229" t="str">
            <v>MIO GEAR</v>
          </cell>
          <cell r="D229" t="str">
            <v>YAMAHA</v>
          </cell>
          <cell r="E229" t="str">
            <v>MIO GEAR BJN1 (MATTE WHITE)</v>
          </cell>
          <cell r="F229" t="str">
            <v>SCOOTER</v>
          </cell>
          <cell r="G229">
            <v>73842</v>
          </cell>
          <cell r="H229">
            <v>45</v>
          </cell>
          <cell r="I229">
            <v>30</v>
          </cell>
          <cell r="J229">
            <v>90</v>
          </cell>
          <cell r="K229">
            <v>15</v>
          </cell>
          <cell r="L229">
            <v>15</v>
          </cell>
          <cell r="M229">
            <v>30</v>
          </cell>
        </row>
        <row r="230">
          <cell r="B230" t="str">
            <v>MIO GEAR</v>
          </cell>
          <cell r="D230" t="str">
            <v>YAMAHA</v>
          </cell>
          <cell r="E230" t="str">
            <v>MIO GEAR BJN1 (MATTE GRAY)</v>
          </cell>
          <cell r="F230" t="str">
            <v>SCOOTER</v>
          </cell>
          <cell r="G230">
            <v>73842</v>
          </cell>
          <cell r="H230">
            <v>45</v>
          </cell>
          <cell r="I230">
            <v>30</v>
          </cell>
          <cell r="J230">
            <v>90</v>
          </cell>
          <cell r="K230">
            <v>15</v>
          </cell>
          <cell r="L230">
            <v>15</v>
          </cell>
          <cell r="M230">
            <v>30</v>
          </cell>
        </row>
        <row r="231">
          <cell r="B231" t="str">
            <v>MIO GEAR</v>
          </cell>
          <cell r="D231" t="str">
            <v>YAMAHA</v>
          </cell>
          <cell r="E231" t="str">
            <v>MIO GEAR BJN1 (MATTE DARK GRAY)</v>
          </cell>
          <cell r="F231" t="str">
            <v>SCOOTER</v>
          </cell>
          <cell r="G231">
            <v>73842</v>
          </cell>
          <cell r="H231">
            <v>45</v>
          </cell>
          <cell r="I231">
            <v>30</v>
          </cell>
          <cell r="J231">
            <v>90</v>
          </cell>
          <cell r="K231">
            <v>15</v>
          </cell>
          <cell r="L231">
            <v>15</v>
          </cell>
          <cell r="M231">
            <v>30</v>
          </cell>
        </row>
        <row r="232">
          <cell r="B232" t="str">
            <v>MIO GEAR</v>
          </cell>
          <cell r="D232" t="str">
            <v>YAMAHA</v>
          </cell>
          <cell r="E232" t="str">
            <v>MIO GEAR BJN4 (MATTE DARK GRAY)</v>
          </cell>
          <cell r="F232" t="str">
            <v>SCOOTER</v>
          </cell>
          <cell r="G232">
            <v>73842</v>
          </cell>
          <cell r="H232">
            <v>45</v>
          </cell>
          <cell r="I232">
            <v>30</v>
          </cell>
          <cell r="J232">
            <v>90</v>
          </cell>
          <cell r="K232">
            <v>15</v>
          </cell>
          <cell r="L232">
            <v>15</v>
          </cell>
          <cell r="M232">
            <v>30</v>
          </cell>
        </row>
        <row r="233">
          <cell r="B233" t="str">
            <v>MIO GEAR</v>
          </cell>
          <cell r="D233" t="str">
            <v>YAMAHA</v>
          </cell>
          <cell r="E233" t="str">
            <v>MIO GEAR BJN4 (MATTE GRAY)</v>
          </cell>
          <cell r="F233" t="str">
            <v>SCOOTER</v>
          </cell>
          <cell r="G233">
            <v>73842</v>
          </cell>
          <cell r="H233">
            <v>45</v>
          </cell>
          <cell r="I233">
            <v>30</v>
          </cell>
          <cell r="J233">
            <v>90</v>
          </cell>
          <cell r="K233">
            <v>15</v>
          </cell>
          <cell r="L233">
            <v>15</v>
          </cell>
          <cell r="M233">
            <v>30</v>
          </cell>
        </row>
        <row r="234">
          <cell r="B234" t="str">
            <v>MIO GEAR S</v>
          </cell>
          <cell r="D234" t="str">
            <v>YAMAHA</v>
          </cell>
          <cell r="E234" t="str">
            <v>MIO GEAR S BJN200 (MATTE BLACK)</v>
          </cell>
          <cell r="F234" t="str">
            <v>SCOOTER</v>
          </cell>
          <cell r="G234">
            <v>76167</v>
          </cell>
          <cell r="H234">
            <v>45</v>
          </cell>
          <cell r="I234">
            <v>30</v>
          </cell>
          <cell r="J234">
            <v>90</v>
          </cell>
          <cell r="K234">
            <v>15</v>
          </cell>
          <cell r="L234">
            <v>15</v>
          </cell>
          <cell r="M234">
            <v>30</v>
          </cell>
        </row>
        <row r="235">
          <cell r="B235" t="str">
            <v>MIO GEAR S</v>
          </cell>
          <cell r="D235" t="str">
            <v>YAMAHA</v>
          </cell>
          <cell r="E235" t="str">
            <v>MIO GEAR S BJN200 (MATTE BLUE)</v>
          </cell>
          <cell r="F235" t="str">
            <v>SCOOTER</v>
          </cell>
          <cell r="G235">
            <v>76167</v>
          </cell>
          <cell r="H235">
            <v>45</v>
          </cell>
          <cell r="I235">
            <v>30</v>
          </cell>
          <cell r="J235">
            <v>90</v>
          </cell>
          <cell r="K235">
            <v>15</v>
          </cell>
          <cell r="L235">
            <v>15</v>
          </cell>
          <cell r="M235">
            <v>30</v>
          </cell>
        </row>
        <row r="236">
          <cell r="B236" t="str">
            <v>MIO GEAR S</v>
          </cell>
          <cell r="D236" t="str">
            <v>YAMAHA</v>
          </cell>
          <cell r="E236" t="str">
            <v>MIO GEAR S BJN3 (FINDURTRIP)</v>
          </cell>
          <cell r="F236" t="str">
            <v>SCOOTER</v>
          </cell>
          <cell r="G236">
            <v>76167</v>
          </cell>
          <cell r="H236">
            <v>45</v>
          </cell>
          <cell r="I236">
            <v>30</v>
          </cell>
          <cell r="J236">
            <v>90</v>
          </cell>
          <cell r="K236">
            <v>15</v>
          </cell>
          <cell r="L236">
            <v>15</v>
          </cell>
          <cell r="M236">
            <v>30</v>
          </cell>
        </row>
        <row r="237">
          <cell r="B237" t="str">
            <v>MIO GEAR S</v>
          </cell>
          <cell r="D237" t="str">
            <v>YAMAHA</v>
          </cell>
          <cell r="E237" t="str">
            <v>MIO GEAR S BJN200 (MATTE BROWN)</v>
          </cell>
          <cell r="F237" t="str">
            <v>SCOOTER</v>
          </cell>
          <cell r="G237">
            <v>76167</v>
          </cell>
          <cell r="H237">
            <v>45</v>
          </cell>
          <cell r="I237">
            <v>30</v>
          </cell>
          <cell r="J237">
            <v>90</v>
          </cell>
          <cell r="K237">
            <v>15</v>
          </cell>
          <cell r="L237">
            <v>15</v>
          </cell>
          <cell r="M237">
            <v>30</v>
          </cell>
        </row>
        <row r="238">
          <cell r="B238" t="str">
            <v>MIO GEAR S</v>
          </cell>
          <cell r="D238" t="str">
            <v>YAMAHA</v>
          </cell>
          <cell r="E238" t="str">
            <v>MIO GEAR S BJN5 (MATTE BLACK)</v>
          </cell>
          <cell r="F238" t="str">
            <v>SCOOTER</v>
          </cell>
          <cell r="G238">
            <v>76167</v>
          </cell>
          <cell r="H238">
            <v>45</v>
          </cell>
          <cell r="I238">
            <v>30</v>
          </cell>
          <cell r="J238">
            <v>90</v>
          </cell>
          <cell r="K238">
            <v>15</v>
          </cell>
          <cell r="L238">
            <v>15</v>
          </cell>
          <cell r="M238">
            <v>30</v>
          </cell>
        </row>
        <row r="239">
          <cell r="B239" t="str">
            <v>MIO GEAR S</v>
          </cell>
          <cell r="D239" t="str">
            <v>YAMAHA</v>
          </cell>
          <cell r="E239" t="str">
            <v>MIO GEAR S BJN5 (MATTE BLACK)</v>
          </cell>
          <cell r="F239" t="str">
            <v>SCOOTER</v>
          </cell>
          <cell r="G239">
            <v>76167</v>
          </cell>
          <cell r="H239">
            <v>45</v>
          </cell>
          <cell r="I239">
            <v>30</v>
          </cell>
          <cell r="J239">
            <v>90</v>
          </cell>
          <cell r="K239">
            <v>15</v>
          </cell>
          <cell r="L239">
            <v>15</v>
          </cell>
          <cell r="M239">
            <v>30</v>
          </cell>
        </row>
        <row r="240">
          <cell r="B240" t="str">
            <v>MIO GRAVIS</v>
          </cell>
          <cell r="D240" t="str">
            <v>YAMAHA</v>
          </cell>
          <cell r="E240" t="str">
            <v>MIO GRAVIS</v>
          </cell>
          <cell r="F240" t="str">
            <v>SCOOTER</v>
          </cell>
          <cell r="G240">
            <v>78957</v>
          </cell>
          <cell r="H240">
            <v>45</v>
          </cell>
          <cell r="I240">
            <v>30</v>
          </cell>
          <cell r="J240">
            <v>90</v>
          </cell>
          <cell r="K240">
            <v>15</v>
          </cell>
          <cell r="L240">
            <v>15</v>
          </cell>
          <cell r="M240">
            <v>30</v>
          </cell>
        </row>
        <row r="241">
          <cell r="B241" t="str">
            <v>MIO GRAVIS</v>
          </cell>
          <cell r="D241" t="str">
            <v>YAMAHA</v>
          </cell>
          <cell r="E241" t="str">
            <v>MIO GRAVIS</v>
          </cell>
          <cell r="F241" t="str">
            <v>SCOOTER</v>
          </cell>
          <cell r="G241">
            <v>78957</v>
          </cell>
          <cell r="H241">
            <v>45</v>
          </cell>
          <cell r="I241">
            <v>30</v>
          </cell>
          <cell r="J241">
            <v>90</v>
          </cell>
          <cell r="K241">
            <v>15</v>
          </cell>
          <cell r="L241">
            <v>15</v>
          </cell>
          <cell r="M241">
            <v>30</v>
          </cell>
        </row>
        <row r="242">
          <cell r="B242" t="str">
            <v>MIO GRAVIS</v>
          </cell>
          <cell r="D242" t="str">
            <v>YAMAHA</v>
          </cell>
          <cell r="E242" t="str">
            <v>MIO GRAVIS</v>
          </cell>
          <cell r="F242" t="str">
            <v>SCOOTER</v>
          </cell>
          <cell r="G242">
            <v>78957</v>
          </cell>
          <cell r="H242">
            <v>45</v>
          </cell>
          <cell r="I242">
            <v>30</v>
          </cell>
          <cell r="J242">
            <v>90</v>
          </cell>
          <cell r="K242">
            <v>15</v>
          </cell>
          <cell r="L242">
            <v>15</v>
          </cell>
          <cell r="M242">
            <v>30</v>
          </cell>
        </row>
        <row r="243">
          <cell r="B243" t="str">
            <v>MIO GRAVIS</v>
          </cell>
          <cell r="C243" t="str">
            <v>OLD MODEL CODE</v>
          </cell>
          <cell r="D243" t="str">
            <v>YAMAHA</v>
          </cell>
          <cell r="E243" t="str">
            <v>MIO GRAVIS B3U2 (MATTED RED)</v>
          </cell>
          <cell r="F243" t="str">
            <v>SCOOTER</v>
          </cell>
          <cell r="G243">
            <v>78957</v>
          </cell>
          <cell r="H243">
            <v>45</v>
          </cell>
          <cell r="I243">
            <v>30</v>
          </cell>
          <cell r="J243">
            <v>90</v>
          </cell>
          <cell r="K243">
            <v>15</v>
          </cell>
          <cell r="L243">
            <v>15</v>
          </cell>
          <cell r="M243">
            <v>30</v>
          </cell>
        </row>
        <row r="244">
          <cell r="B244" t="str">
            <v>MIO GRAVIS</v>
          </cell>
          <cell r="C244" t="str">
            <v>OLD MODEL CODE</v>
          </cell>
          <cell r="D244" t="str">
            <v>YAMAHA</v>
          </cell>
          <cell r="E244" t="str">
            <v>MIO GRAVIS B3U2 (MATTED BLACK)</v>
          </cell>
          <cell r="F244" t="str">
            <v>SCOOTER</v>
          </cell>
          <cell r="G244">
            <v>78957</v>
          </cell>
          <cell r="H244">
            <v>45</v>
          </cell>
          <cell r="I244">
            <v>30</v>
          </cell>
          <cell r="J244">
            <v>90</v>
          </cell>
          <cell r="K244">
            <v>15</v>
          </cell>
          <cell r="L244">
            <v>15</v>
          </cell>
          <cell r="M244">
            <v>30</v>
          </cell>
        </row>
        <row r="245">
          <cell r="B245" t="str">
            <v>MIO GRAVIS</v>
          </cell>
          <cell r="C245" t="str">
            <v>OLD MODEL CODE</v>
          </cell>
          <cell r="D245" t="str">
            <v>YAMAHA</v>
          </cell>
          <cell r="E245" t="str">
            <v>MIO GRAVIS B3U2 (MATTED GREEN)</v>
          </cell>
          <cell r="F245" t="str">
            <v>SCOOTER</v>
          </cell>
          <cell r="G245">
            <v>78957</v>
          </cell>
          <cell r="H245">
            <v>45</v>
          </cell>
          <cell r="I245">
            <v>30</v>
          </cell>
          <cell r="J245">
            <v>90</v>
          </cell>
          <cell r="K245">
            <v>15</v>
          </cell>
          <cell r="L245">
            <v>15</v>
          </cell>
          <cell r="M245">
            <v>30</v>
          </cell>
        </row>
        <row r="246">
          <cell r="B246" t="str">
            <v>MIO GRAVIS</v>
          </cell>
          <cell r="D246" t="str">
            <v>YAMAHA</v>
          </cell>
          <cell r="E246" t="str">
            <v>MIO GRAVIS B3U3 (MATTED RED)</v>
          </cell>
          <cell r="F246" t="str">
            <v>SCOOTER</v>
          </cell>
          <cell r="G246">
            <v>78957</v>
          </cell>
          <cell r="H246">
            <v>45</v>
          </cell>
          <cell r="I246">
            <v>30</v>
          </cell>
          <cell r="J246">
            <v>90</v>
          </cell>
          <cell r="K246">
            <v>15</v>
          </cell>
          <cell r="L246">
            <v>15</v>
          </cell>
          <cell r="M246">
            <v>30</v>
          </cell>
        </row>
        <row r="247">
          <cell r="B247" t="str">
            <v>MIO GRAVIS</v>
          </cell>
          <cell r="D247" t="str">
            <v>YAMAHA</v>
          </cell>
          <cell r="E247" t="str">
            <v>MIO GRAVIS B3U3 (MATTED BLACK)</v>
          </cell>
          <cell r="F247" t="str">
            <v>SCOOTER</v>
          </cell>
          <cell r="G247">
            <v>78957</v>
          </cell>
          <cell r="H247">
            <v>45</v>
          </cell>
          <cell r="I247">
            <v>30</v>
          </cell>
          <cell r="J247">
            <v>90</v>
          </cell>
          <cell r="K247">
            <v>15</v>
          </cell>
          <cell r="L247">
            <v>15</v>
          </cell>
          <cell r="M247">
            <v>30</v>
          </cell>
        </row>
        <row r="248">
          <cell r="B248" t="str">
            <v>MIO GRAVIS</v>
          </cell>
          <cell r="D248" t="str">
            <v>YAMAHA</v>
          </cell>
          <cell r="E248" t="str">
            <v>MIO GRAVIS B3U3 (MATTED BLUE</v>
          </cell>
          <cell r="F248" t="str">
            <v>SCOOTER</v>
          </cell>
          <cell r="G248">
            <v>78957</v>
          </cell>
          <cell r="H248">
            <v>45</v>
          </cell>
          <cell r="I248">
            <v>30</v>
          </cell>
          <cell r="J248">
            <v>90</v>
          </cell>
          <cell r="K248">
            <v>15</v>
          </cell>
          <cell r="L248">
            <v>15</v>
          </cell>
          <cell r="M248">
            <v>30</v>
          </cell>
        </row>
        <row r="249">
          <cell r="B249" t="str">
            <v>MIO GRAVIS</v>
          </cell>
          <cell r="D249" t="str">
            <v>YAMAHA</v>
          </cell>
          <cell r="E249" t="str">
            <v>MIO GRAVIS B3U3 (SILVER/ MATTE DARK GRAY)</v>
          </cell>
          <cell r="F249" t="str">
            <v>SCOOTER</v>
          </cell>
          <cell r="G249">
            <v>78957</v>
          </cell>
          <cell r="H249">
            <v>45</v>
          </cell>
          <cell r="I249">
            <v>30</v>
          </cell>
          <cell r="J249">
            <v>90</v>
          </cell>
          <cell r="K249">
            <v>15</v>
          </cell>
          <cell r="L249">
            <v>15</v>
          </cell>
          <cell r="M249">
            <v>30</v>
          </cell>
        </row>
        <row r="250">
          <cell r="B250" t="str">
            <v>MIO GRAVIS</v>
          </cell>
          <cell r="D250" t="str">
            <v>YAMAHA</v>
          </cell>
          <cell r="E250" t="str">
            <v>MIO GRAVIS BKV1 (DARK/ GRAY)</v>
          </cell>
          <cell r="F250" t="str">
            <v>SCOOTER</v>
          </cell>
          <cell r="G250">
            <v>78957</v>
          </cell>
          <cell r="H250">
            <v>45</v>
          </cell>
          <cell r="I250">
            <v>30</v>
          </cell>
          <cell r="J250">
            <v>90</v>
          </cell>
          <cell r="K250">
            <v>15</v>
          </cell>
          <cell r="L250">
            <v>15</v>
          </cell>
          <cell r="M250">
            <v>30</v>
          </cell>
        </row>
        <row r="251">
          <cell r="B251" t="str">
            <v>MIO i125</v>
          </cell>
          <cell r="C251" t="str">
            <v>OLD MODEL CODE</v>
          </cell>
          <cell r="D251" t="str">
            <v>YAMAHA</v>
          </cell>
          <cell r="E251" t="str">
            <v>MIO I 125 BB36 (YELLOW/WHITE)</v>
          </cell>
          <cell r="F251" t="str">
            <v>SCOOTER</v>
          </cell>
          <cell r="G251">
            <v>70587</v>
          </cell>
          <cell r="H251">
            <v>45</v>
          </cell>
          <cell r="I251">
            <v>30</v>
          </cell>
          <cell r="J251">
            <v>90</v>
          </cell>
          <cell r="K251">
            <v>15</v>
          </cell>
          <cell r="L251">
            <v>15</v>
          </cell>
          <cell r="M251">
            <v>30</v>
          </cell>
        </row>
        <row r="252">
          <cell r="B252" t="str">
            <v>MIO i125</v>
          </cell>
          <cell r="C252" t="str">
            <v>OLD MODEL CODE</v>
          </cell>
          <cell r="D252" t="str">
            <v>YAMAHA</v>
          </cell>
          <cell r="E252" t="str">
            <v>MIO I 125 BB36 (MAGENTA/WHITE)</v>
          </cell>
          <cell r="F252" t="str">
            <v>SCOOTER</v>
          </cell>
          <cell r="G252">
            <v>70587</v>
          </cell>
          <cell r="H252">
            <v>45</v>
          </cell>
          <cell r="I252">
            <v>30</v>
          </cell>
          <cell r="J252">
            <v>90</v>
          </cell>
          <cell r="K252">
            <v>15</v>
          </cell>
          <cell r="L252">
            <v>15</v>
          </cell>
          <cell r="M252">
            <v>30</v>
          </cell>
        </row>
        <row r="253">
          <cell r="B253" t="str">
            <v>MIO i125</v>
          </cell>
          <cell r="C253" t="str">
            <v>OLD MODEL CODE</v>
          </cell>
          <cell r="D253" t="str">
            <v>YAMAHA</v>
          </cell>
          <cell r="E253" t="str">
            <v>MIO I 125 BB36 (MATTE BLUE/BLACK)</v>
          </cell>
          <cell r="F253" t="str">
            <v>SCOOTER</v>
          </cell>
          <cell r="G253">
            <v>70587</v>
          </cell>
          <cell r="H253">
            <v>45</v>
          </cell>
          <cell r="I253">
            <v>30</v>
          </cell>
          <cell r="J253">
            <v>90</v>
          </cell>
          <cell r="K253">
            <v>15</v>
          </cell>
          <cell r="L253">
            <v>15</v>
          </cell>
          <cell r="M253">
            <v>30</v>
          </cell>
        </row>
        <row r="254">
          <cell r="B254" t="str">
            <v>MIO i125</v>
          </cell>
          <cell r="C254" t="str">
            <v>OLD MODEL CODE</v>
          </cell>
          <cell r="D254" t="str">
            <v>YAMAHA</v>
          </cell>
          <cell r="E254" t="str">
            <v>MIO I 125 BB36 (MATTE ORANGE/BLACK)</v>
          </cell>
          <cell r="F254" t="str">
            <v>SCOOTER</v>
          </cell>
          <cell r="G254">
            <v>70587</v>
          </cell>
          <cell r="H254">
            <v>45</v>
          </cell>
          <cell r="I254">
            <v>30</v>
          </cell>
          <cell r="J254">
            <v>90</v>
          </cell>
          <cell r="K254">
            <v>15</v>
          </cell>
          <cell r="L254">
            <v>15</v>
          </cell>
          <cell r="M254">
            <v>30</v>
          </cell>
        </row>
        <row r="255">
          <cell r="B255" t="str">
            <v>MIO i125</v>
          </cell>
          <cell r="C255" t="str">
            <v>OLD MODEL CODE</v>
          </cell>
          <cell r="D255" t="str">
            <v>YAMAHA</v>
          </cell>
          <cell r="E255" t="str">
            <v>MIO I 125 BB37 (YELLOW/WHITE)</v>
          </cell>
          <cell r="F255" t="str">
            <v>SCOOTER</v>
          </cell>
          <cell r="G255">
            <v>70587</v>
          </cell>
          <cell r="H255">
            <v>45</v>
          </cell>
          <cell r="I255">
            <v>30</v>
          </cell>
          <cell r="J255">
            <v>90</v>
          </cell>
          <cell r="K255">
            <v>15</v>
          </cell>
          <cell r="L255">
            <v>15</v>
          </cell>
          <cell r="M255">
            <v>30</v>
          </cell>
        </row>
        <row r="256">
          <cell r="B256" t="str">
            <v>MIO i125</v>
          </cell>
          <cell r="C256" t="str">
            <v>OLD MODEL CODE</v>
          </cell>
          <cell r="D256" t="str">
            <v>YAMAHA</v>
          </cell>
          <cell r="E256" t="str">
            <v>MIO I 125 BB37 (MAGENTA/WHITE)</v>
          </cell>
          <cell r="F256" t="str">
            <v>SCOOTER</v>
          </cell>
          <cell r="G256">
            <v>70587</v>
          </cell>
          <cell r="H256">
            <v>45</v>
          </cell>
          <cell r="I256">
            <v>30</v>
          </cell>
          <cell r="J256">
            <v>90</v>
          </cell>
          <cell r="K256">
            <v>15</v>
          </cell>
          <cell r="L256">
            <v>15</v>
          </cell>
          <cell r="M256">
            <v>30</v>
          </cell>
        </row>
        <row r="257">
          <cell r="B257" t="str">
            <v>MIO i125</v>
          </cell>
          <cell r="C257" t="str">
            <v>OLD MODEL CODE</v>
          </cell>
          <cell r="D257" t="str">
            <v>YAMAHA</v>
          </cell>
          <cell r="E257" t="str">
            <v>MIO I 125 BB37 (MATTE BLUE/BLACK)</v>
          </cell>
          <cell r="F257" t="str">
            <v>SCOOTER</v>
          </cell>
          <cell r="G257">
            <v>70587</v>
          </cell>
          <cell r="H257">
            <v>45</v>
          </cell>
          <cell r="I257">
            <v>30</v>
          </cell>
          <cell r="J257">
            <v>90</v>
          </cell>
          <cell r="K257">
            <v>15</v>
          </cell>
          <cell r="L257">
            <v>15</v>
          </cell>
          <cell r="M257">
            <v>30</v>
          </cell>
        </row>
        <row r="258">
          <cell r="B258" t="str">
            <v>MIO i125</v>
          </cell>
          <cell r="C258" t="str">
            <v>OLD MODEL CODE</v>
          </cell>
          <cell r="D258" t="str">
            <v>YAMAHA</v>
          </cell>
          <cell r="E258" t="str">
            <v>MIO I 125 BB3 (MATTE ORANGE/BLACK)</v>
          </cell>
          <cell r="F258" t="str">
            <v>SCOOTER</v>
          </cell>
          <cell r="G258">
            <v>70587</v>
          </cell>
          <cell r="H258">
            <v>45</v>
          </cell>
          <cell r="I258">
            <v>30</v>
          </cell>
          <cell r="J258">
            <v>90</v>
          </cell>
          <cell r="K258">
            <v>15</v>
          </cell>
          <cell r="L258">
            <v>15</v>
          </cell>
          <cell r="M258">
            <v>30</v>
          </cell>
        </row>
        <row r="259">
          <cell r="B259" t="str">
            <v>MIO i125</v>
          </cell>
          <cell r="D259" t="str">
            <v>YAMAHA</v>
          </cell>
          <cell r="E259" t="str">
            <v>MIO I 125 BB38 (CYAN)</v>
          </cell>
          <cell r="F259" t="str">
            <v>SCOOTER</v>
          </cell>
          <cell r="G259">
            <v>70587</v>
          </cell>
          <cell r="H259">
            <v>45</v>
          </cell>
          <cell r="I259">
            <v>30</v>
          </cell>
          <cell r="J259">
            <v>90</v>
          </cell>
          <cell r="K259">
            <v>15</v>
          </cell>
          <cell r="L259">
            <v>15</v>
          </cell>
          <cell r="M259">
            <v>30</v>
          </cell>
        </row>
        <row r="260">
          <cell r="B260" t="str">
            <v>MIO i125</v>
          </cell>
          <cell r="D260" t="str">
            <v>YAMAHA</v>
          </cell>
          <cell r="E260" t="str">
            <v>MIO I 125 BB38 (MATTE BLUE)</v>
          </cell>
          <cell r="F260" t="str">
            <v>SCOOTER</v>
          </cell>
          <cell r="G260">
            <v>70587</v>
          </cell>
          <cell r="H260">
            <v>45</v>
          </cell>
          <cell r="I260">
            <v>30</v>
          </cell>
          <cell r="J260">
            <v>90</v>
          </cell>
          <cell r="K260">
            <v>15</v>
          </cell>
          <cell r="L260">
            <v>15</v>
          </cell>
          <cell r="M260">
            <v>30</v>
          </cell>
        </row>
        <row r="261">
          <cell r="B261" t="str">
            <v>MIO i125</v>
          </cell>
          <cell r="D261" t="str">
            <v>YAMAHA</v>
          </cell>
          <cell r="E261" t="str">
            <v>MIO I 125 BB38 (MAGENTA/BLACK)</v>
          </cell>
          <cell r="F261" t="str">
            <v>SCOOTER</v>
          </cell>
          <cell r="G261">
            <v>70587</v>
          </cell>
          <cell r="H261">
            <v>45</v>
          </cell>
          <cell r="I261">
            <v>30</v>
          </cell>
          <cell r="J261">
            <v>90</v>
          </cell>
          <cell r="K261">
            <v>15</v>
          </cell>
          <cell r="L261">
            <v>15</v>
          </cell>
          <cell r="M261">
            <v>30</v>
          </cell>
        </row>
        <row r="262">
          <cell r="B262" t="str">
            <v>MIO i125</v>
          </cell>
          <cell r="D262" t="str">
            <v>YAMAHA</v>
          </cell>
          <cell r="E262" t="str">
            <v>MIO I 125 BB38 (YELLOW/MATTE GARY)</v>
          </cell>
          <cell r="F262" t="str">
            <v>SCOOTER</v>
          </cell>
          <cell r="G262">
            <v>70587</v>
          </cell>
          <cell r="H262">
            <v>45</v>
          </cell>
          <cell r="I262">
            <v>30</v>
          </cell>
          <cell r="J262">
            <v>90</v>
          </cell>
          <cell r="K262">
            <v>15</v>
          </cell>
          <cell r="L262">
            <v>15</v>
          </cell>
          <cell r="M262">
            <v>30</v>
          </cell>
        </row>
        <row r="263">
          <cell r="B263" t="str">
            <v>MIO i125</v>
          </cell>
          <cell r="D263" t="str">
            <v>YAMAHA</v>
          </cell>
          <cell r="E263" t="str">
            <v>MIO I 125 BB39 (WHITE/ CYAN)</v>
          </cell>
          <cell r="F263" t="str">
            <v>SCOOTER</v>
          </cell>
          <cell r="G263">
            <v>70587</v>
          </cell>
          <cell r="H263">
            <v>45</v>
          </cell>
          <cell r="I263">
            <v>30</v>
          </cell>
          <cell r="J263">
            <v>90</v>
          </cell>
          <cell r="K263">
            <v>15</v>
          </cell>
          <cell r="L263">
            <v>15</v>
          </cell>
          <cell r="M263">
            <v>30</v>
          </cell>
        </row>
        <row r="264">
          <cell r="B264" t="str">
            <v>MIO i125</v>
          </cell>
          <cell r="D264" t="str">
            <v>YAMAHA</v>
          </cell>
          <cell r="E264" t="str">
            <v>MIO I 125 BB39 (BLACK/ MATTE GRAY)</v>
          </cell>
          <cell r="F264" t="str">
            <v>SCOOTER</v>
          </cell>
          <cell r="G264">
            <v>70587</v>
          </cell>
          <cell r="H264">
            <v>45</v>
          </cell>
          <cell r="I264">
            <v>30</v>
          </cell>
          <cell r="J264">
            <v>90</v>
          </cell>
          <cell r="K264">
            <v>15</v>
          </cell>
          <cell r="L264">
            <v>15</v>
          </cell>
          <cell r="M264">
            <v>30</v>
          </cell>
        </row>
        <row r="265">
          <cell r="B265" t="str">
            <v>MIO i125</v>
          </cell>
          <cell r="D265" t="str">
            <v>YAMAHA</v>
          </cell>
          <cell r="E265" t="str">
            <v>MIO I 125 BB39 (ORANGE/ WHITE)</v>
          </cell>
          <cell r="F265" t="str">
            <v>SCOOTER</v>
          </cell>
          <cell r="G265">
            <v>70587</v>
          </cell>
          <cell r="H265">
            <v>45</v>
          </cell>
          <cell r="I265">
            <v>30</v>
          </cell>
          <cell r="J265">
            <v>90</v>
          </cell>
          <cell r="K265">
            <v>15</v>
          </cell>
          <cell r="L265">
            <v>15</v>
          </cell>
          <cell r="M265">
            <v>30</v>
          </cell>
        </row>
        <row r="266">
          <cell r="B266" t="str">
            <v>MIO SPORTY</v>
          </cell>
          <cell r="C266" t="str">
            <v>OLD MODEL CODE</v>
          </cell>
          <cell r="D266" t="str">
            <v>YAMAHA</v>
          </cell>
          <cell r="E266" t="str">
            <v>MIO SPORTY 40C9 (V.ORANGE)</v>
          </cell>
          <cell r="F266" t="str">
            <v>SCOOTER</v>
          </cell>
          <cell r="G266">
            <v>68727</v>
          </cell>
          <cell r="H266">
            <v>45</v>
          </cell>
          <cell r="I266">
            <v>30</v>
          </cell>
          <cell r="J266">
            <v>90</v>
          </cell>
          <cell r="K266">
            <v>15</v>
          </cell>
          <cell r="L266">
            <v>15</v>
          </cell>
          <cell r="M266">
            <v>30</v>
          </cell>
        </row>
        <row r="267">
          <cell r="B267" t="str">
            <v>MIO SPORTY</v>
          </cell>
          <cell r="C267" t="str">
            <v>OLD MODEL CODE</v>
          </cell>
          <cell r="D267" t="str">
            <v>YAMAHA</v>
          </cell>
          <cell r="E267" t="str">
            <v>MIO SPORTY 40C9 (MATTE GRAY)</v>
          </cell>
          <cell r="F267" t="str">
            <v>SCOOTER</v>
          </cell>
          <cell r="G267">
            <v>68727</v>
          </cell>
          <cell r="H267">
            <v>45</v>
          </cell>
          <cell r="I267">
            <v>30</v>
          </cell>
          <cell r="J267">
            <v>90</v>
          </cell>
          <cell r="K267">
            <v>15</v>
          </cell>
          <cell r="L267">
            <v>15</v>
          </cell>
          <cell r="M267">
            <v>30</v>
          </cell>
        </row>
        <row r="268">
          <cell r="B268" t="str">
            <v>MIO SPORTY</v>
          </cell>
          <cell r="C268" t="str">
            <v>OLD MODEL CODE</v>
          </cell>
          <cell r="D268" t="str">
            <v>YAMAHA</v>
          </cell>
          <cell r="E268" t="str">
            <v>MIO SPORTY 40C9 (MAGENTA)</v>
          </cell>
          <cell r="F268" t="str">
            <v>SCOOTER</v>
          </cell>
          <cell r="G268">
            <v>68727</v>
          </cell>
          <cell r="H268">
            <v>45</v>
          </cell>
          <cell r="I268">
            <v>30</v>
          </cell>
          <cell r="J268">
            <v>90</v>
          </cell>
          <cell r="K268">
            <v>15</v>
          </cell>
          <cell r="L268">
            <v>15</v>
          </cell>
          <cell r="M268">
            <v>30</v>
          </cell>
        </row>
        <row r="269">
          <cell r="B269" t="str">
            <v>MIO SPORTY</v>
          </cell>
          <cell r="C269" t="str">
            <v>OLD MODEL CODE</v>
          </cell>
          <cell r="D269" t="str">
            <v>YAMAHA</v>
          </cell>
          <cell r="E269" t="str">
            <v>MIO SPORTY 40C9 (PURPLE)</v>
          </cell>
          <cell r="F269" t="str">
            <v>SCOOTER</v>
          </cell>
          <cell r="G269">
            <v>68727</v>
          </cell>
          <cell r="H269">
            <v>45</v>
          </cell>
          <cell r="I269">
            <v>30</v>
          </cell>
          <cell r="J269">
            <v>90</v>
          </cell>
          <cell r="K269">
            <v>15</v>
          </cell>
          <cell r="L269">
            <v>15</v>
          </cell>
          <cell r="M269">
            <v>30</v>
          </cell>
        </row>
        <row r="270">
          <cell r="B270" t="str">
            <v>MIO SPORTY</v>
          </cell>
          <cell r="C270" t="str">
            <v>OLD MODEL CODE</v>
          </cell>
          <cell r="D270" t="str">
            <v>YAMAHA</v>
          </cell>
          <cell r="E270" t="str">
            <v>MIO SPORTY 40C9 (YELLOW)</v>
          </cell>
          <cell r="F270" t="str">
            <v>SCOOTER</v>
          </cell>
          <cell r="G270">
            <v>68727</v>
          </cell>
          <cell r="H270">
            <v>45</v>
          </cell>
          <cell r="I270">
            <v>30</v>
          </cell>
          <cell r="J270">
            <v>90</v>
          </cell>
          <cell r="K270">
            <v>15</v>
          </cell>
          <cell r="L270">
            <v>15</v>
          </cell>
          <cell r="M270">
            <v>30</v>
          </cell>
        </row>
        <row r="271">
          <cell r="B271" t="str">
            <v>MIO SPORTY</v>
          </cell>
          <cell r="C271" t="str">
            <v>OLD MODEL CODE</v>
          </cell>
          <cell r="D271" t="str">
            <v>YAMAHA</v>
          </cell>
          <cell r="E271" t="str">
            <v>MIO SPORTY 40CA</v>
          </cell>
          <cell r="F271" t="str">
            <v>SCOOTER</v>
          </cell>
          <cell r="G271">
            <v>68727</v>
          </cell>
          <cell r="H271">
            <v>45</v>
          </cell>
          <cell r="I271">
            <v>30</v>
          </cell>
          <cell r="J271">
            <v>90</v>
          </cell>
          <cell r="K271">
            <v>15</v>
          </cell>
          <cell r="L271">
            <v>15</v>
          </cell>
          <cell r="M271">
            <v>30</v>
          </cell>
        </row>
        <row r="272">
          <cell r="B272" t="str">
            <v>MIO SPORTY</v>
          </cell>
          <cell r="C272" t="str">
            <v>OLD MODEL CODE</v>
          </cell>
          <cell r="D272" t="str">
            <v>YAMAHA</v>
          </cell>
          <cell r="E272" t="str">
            <v>MIO SPORTY 40CA</v>
          </cell>
          <cell r="F272" t="str">
            <v>SCOOTER</v>
          </cell>
          <cell r="G272">
            <v>68727</v>
          </cell>
          <cell r="H272">
            <v>45</v>
          </cell>
          <cell r="I272">
            <v>30</v>
          </cell>
          <cell r="J272">
            <v>90</v>
          </cell>
          <cell r="K272">
            <v>15</v>
          </cell>
          <cell r="L272">
            <v>15</v>
          </cell>
          <cell r="M272">
            <v>30</v>
          </cell>
        </row>
        <row r="273">
          <cell r="B273" t="str">
            <v>MIO SPORTY</v>
          </cell>
          <cell r="C273" t="str">
            <v>OLD MODEL CODE</v>
          </cell>
          <cell r="D273" t="str">
            <v>YAMAHA</v>
          </cell>
          <cell r="E273" t="str">
            <v>MIO SPORTY 40CA</v>
          </cell>
          <cell r="F273" t="str">
            <v>SCOOTER</v>
          </cell>
          <cell r="G273">
            <v>68727</v>
          </cell>
          <cell r="H273">
            <v>45</v>
          </cell>
          <cell r="I273">
            <v>30</v>
          </cell>
          <cell r="J273">
            <v>90</v>
          </cell>
          <cell r="K273">
            <v>15</v>
          </cell>
          <cell r="L273">
            <v>15</v>
          </cell>
          <cell r="M273">
            <v>30</v>
          </cell>
        </row>
        <row r="274">
          <cell r="B274" t="str">
            <v>MIO SPORTY</v>
          </cell>
          <cell r="C274" t="str">
            <v>OLD MODEL CODE</v>
          </cell>
          <cell r="D274" t="str">
            <v>YAMAHA</v>
          </cell>
          <cell r="E274" t="str">
            <v>MIO SPORTY 40CA</v>
          </cell>
          <cell r="F274" t="str">
            <v>SCOOTER</v>
          </cell>
          <cell r="G274">
            <v>68727</v>
          </cell>
          <cell r="H274">
            <v>45</v>
          </cell>
          <cell r="I274">
            <v>30</v>
          </cell>
          <cell r="J274">
            <v>90</v>
          </cell>
          <cell r="K274">
            <v>15</v>
          </cell>
          <cell r="L274">
            <v>15</v>
          </cell>
          <cell r="M274">
            <v>30</v>
          </cell>
        </row>
        <row r="275">
          <cell r="B275" t="str">
            <v>MIO SPORTY</v>
          </cell>
          <cell r="C275" t="str">
            <v>OLD MODEL CODE</v>
          </cell>
          <cell r="D275" t="str">
            <v>YAMAHA</v>
          </cell>
          <cell r="E275" t="str">
            <v>MIO SPORTY 40CA</v>
          </cell>
          <cell r="F275" t="str">
            <v>SCOOTER</v>
          </cell>
          <cell r="G275">
            <v>68727</v>
          </cell>
          <cell r="H275">
            <v>45</v>
          </cell>
          <cell r="I275">
            <v>30</v>
          </cell>
          <cell r="J275">
            <v>90</v>
          </cell>
          <cell r="K275">
            <v>15</v>
          </cell>
          <cell r="L275">
            <v>15</v>
          </cell>
          <cell r="M275">
            <v>30</v>
          </cell>
        </row>
        <row r="276">
          <cell r="B276" t="str">
            <v>MIO SPORTY</v>
          </cell>
          <cell r="C276" t="str">
            <v>OLD MODEL CODE</v>
          </cell>
          <cell r="D276" t="str">
            <v>YAMAHA</v>
          </cell>
          <cell r="E276" t="str">
            <v>MIO SPORTY 40CA</v>
          </cell>
          <cell r="F276" t="str">
            <v>SCOOTER</v>
          </cell>
          <cell r="G276">
            <v>68727</v>
          </cell>
          <cell r="H276">
            <v>45</v>
          </cell>
          <cell r="I276">
            <v>30</v>
          </cell>
          <cell r="J276">
            <v>90</v>
          </cell>
          <cell r="K276">
            <v>15</v>
          </cell>
          <cell r="L276">
            <v>15</v>
          </cell>
          <cell r="M276">
            <v>30</v>
          </cell>
        </row>
        <row r="277">
          <cell r="B277" t="str">
            <v>MIO SPORTY</v>
          </cell>
          <cell r="D277" t="str">
            <v>YAMAHA</v>
          </cell>
          <cell r="E277" t="str">
            <v>MIO SPORTY 40CB (MATTE BLACK)</v>
          </cell>
          <cell r="F277" t="str">
            <v>SCOOTER</v>
          </cell>
          <cell r="G277">
            <v>68727</v>
          </cell>
          <cell r="H277">
            <v>45</v>
          </cell>
          <cell r="I277">
            <v>30</v>
          </cell>
          <cell r="J277">
            <v>90</v>
          </cell>
          <cell r="K277">
            <v>15</v>
          </cell>
          <cell r="L277">
            <v>15</v>
          </cell>
          <cell r="M277">
            <v>30</v>
          </cell>
        </row>
        <row r="278">
          <cell r="B278" t="str">
            <v>MIO SPORTY</v>
          </cell>
          <cell r="D278" t="str">
            <v>YAMAHA</v>
          </cell>
          <cell r="E278" t="str">
            <v>MIO SPORTY 40CB (MATTE BLUE)</v>
          </cell>
          <cell r="F278" t="str">
            <v>SCOOTER</v>
          </cell>
          <cell r="G278">
            <v>68727</v>
          </cell>
          <cell r="H278">
            <v>45</v>
          </cell>
          <cell r="I278">
            <v>30</v>
          </cell>
          <cell r="J278">
            <v>90</v>
          </cell>
          <cell r="K278">
            <v>15</v>
          </cell>
          <cell r="L278">
            <v>15</v>
          </cell>
          <cell r="M278">
            <v>30</v>
          </cell>
        </row>
        <row r="279">
          <cell r="B279" t="str">
            <v>MIO SPORTY</v>
          </cell>
          <cell r="D279" t="str">
            <v>YAMAHA</v>
          </cell>
          <cell r="E279" t="str">
            <v>MIO SPORTY 40CB (MAGENTA)</v>
          </cell>
          <cell r="F279" t="str">
            <v>SCOOTER</v>
          </cell>
          <cell r="G279">
            <v>68727</v>
          </cell>
          <cell r="H279">
            <v>45</v>
          </cell>
          <cell r="I279">
            <v>30</v>
          </cell>
          <cell r="J279">
            <v>90</v>
          </cell>
          <cell r="K279">
            <v>15</v>
          </cell>
          <cell r="L279">
            <v>15</v>
          </cell>
          <cell r="M279">
            <v>30</v>
          </cell>
        </row>
        <row r="280">
          <cell r="B280" t="str">
            <v>MIO SPORTY</v>
          </cell>
          <cell r="D280" t="str">
            <v>YAMAHA</v>
          </cell>
          <cell r="E280" t="str">
            <v>MIO SPORTY 40CB (CYAN)</v>
          </cell>
          <cell r="F280" t="str">
            <v>SCOOTER</v>
          </cell>
          <cell r="G280">
            <v>68727</v>
          </cell>
          <cell r="H280">
            <v>45</v>
          </cell>
          <cell r="I280">
            <v>30</v>
          </cell>
          <cell r="J280">
            <v>90</v>
          </cell>
          <cell r="K280">
            <v>15</v>
          </cell>
          <cell r="L280">
            <v>15</v>
          </cell>
          <cell r="M280">
            <v>30</v>
          </cell>
        </row>
        <row r="281">
          <cell r="B281" t="str">
            <v>MIO SPORTY</v>
          </cell>
          <cell r="D281" t="str">
            <v>YAMAHA</v>
          </cell>
          <cell r="E281" t="str">
            <v>MIO SPORTY 40CC (MATTE SILVER/ DARK MATTE GRAY)</v>
          </cell>
          <cell r="F281" t="str">
            <v>SCOOTER</v>
          </cell>
          <cell r="G281">
            <v>68727</v>
          </cell>
          <cell r="H281">
            <v>45</v>
          </cell>
          <cell r="I281">
            <v>30</v>
          </cell>
          <cell r="J281">
            <v>90</v>
          </cell>
          <cell r="K281">
            <v>15</v>
          </cell>
          <cell r="L281">
            <v>15</v>
          </cell>
          <cell r="M281">
            <v>30</v>
          </cell>
        </row>
        <row r="282">
          <cell r="B282" t="str">
            <v>MT-03</v>
          </cell>
          <cell r="C282" t="str">
            <v>OLD MODEL CODE</v>
          </cell>
          <cell r="D282" t="str">
            <v>YAMAHA</v>
          </cell>
          <cell r="E282" t="str">
            <v>MT-03 B5W5 (MATTE GRAY/BLACK)</v>
          </cell>
          <cell r="F282" t="str">
            <v>SPORTS TYPE</v>
          </cell>
          <cell r="G282">
            <v>236220</v>
          </cell>
          <cell r="H282">
            <v>45</v>
          </cell>
          <cell r="I282">
            <v>30</v>
          </cell>
          <cell r="J282">
            <v>90</v>
          </cell>
          <cell r="K282">
            <v>15</v>
          </cell>
          <cell r="L282">
            <v>15</v>
          </cell>
          <cell r="M282">
            <v>30</v>
          </cell>
        </row>
        <row r="283">
          <cell r="B283" t="str">
            <v>MT-03</v>
          </cell>
          <cell r="C283" t="str">
            <v>OLD MODEL CODE</v>
          </cell>
          <cell r="D283" t="str">
            <v>YAMAHA</v>
          </cell>
          <cell r="E283" t="str">
            <v>MT-03 B5W5 (BLACK)</v>
          </cell>
          <cell r="F283" t="str">
            <v>SPORTS TYPE</v>
          </cell>
          <cell r="G283">
            <v>236220</v>
          </cell>
          <cell r="H283">
            <v>45</v>
          </cell>
          <cell r="I283">
            <v>30</v>
          </cell>
          <cell r="J283">
            <v>90</v>
          </cell>
          <cell r="K283">
            <v>15</v>
          </cell>
          <cell r="L283">
            <v>15</v>
          </cell>
          <cell r="M283">
            <v>30</v>
          </cell>
        </row>
        <row r="284">
          <cell r="B284" t="str">
            <v>MT-03</v>
          </cell>
          <cell r="C284" t="str">
            <v>OLD MODEL CODE</v>
          </cell>
          <cell r="D284" t="str">
            <v>YAMAHA</v>
          </cell>
          <cell r="E284" t="str">
            <v>MT-03 B5W5 (GRAY/MATTE DARK GRAY)</v>
          </cell>
          <cell r="F284" t="str">
            <v>SPORTS TYPE</v>
          </cell>
          <cell r="G284">
            <v>236220</v>
          </cell>
          <cell r="H284">
            <v>45</v>
          </cell>
          <cell r="I284">
            <v>30</v>
          </cell>
          <cell r="J284">
            <v>90</v>
          </cell>
          <cell r="K284">
            <v>15</v>
          </cell>
          <cell r="L284">
            <v>15</v>
          </cell>
          <cell r="M284">
            <v>30</v>
          </cell>
        </row>
        <row r="285">
          <cell r="B285" t="str">
            <v>NMAX155 FI ABS</v>
          </cell>
          <cell r="C285" t="str">
            <v>OLD MODEL CODE</v>
          </cell>
          <cell r="D285" t="str">
            <v>YAMAHA</v>
          </cell>
          <cell r="E285" t="str">
            <v>NMAX 2DPF (MATTE/BLACK)</v>
          </cell>
          <cell r="F285" t="str">
            <v>SCOOTER</v>
          </cell>
          <cell r="G285">
            <v>147312</v>
          </cell>
          <cell r="H285">
            <v>45</v>
          </cell>
          <cell r="I285">
            <v>30</v>
          </cell>
          <cell r="J285">
            <v>90</v>
          </cell>
          <cell r="K285">
            <v>15</v>
          </cell>
          <cell r="L285">
            <v>15</v>
          </cell>
          <cell r="M285">
            <v>30</v>
          </cell>
        </row>
        <row r="286">
          <cell r="B286" t="str">
            <v>NMAX155 FI ABS</v>
          </cell>
          <cell r="C286" t="str">
            <v>OLD MODEL CODE</v>
          </cell>
          <cell r="D286" t="str">
            <v>YAMAHA</v>
          </cell>
          <cell r="E286" t="str">
            <v>NMAX 2DPF (MATTE GRAY/SILVER)</v>
          </cell>
          <cell r="F286" t="str">
            <v>SCOOTER</v>
          </cell>
          <cell r="G286">
            <v>147312</v>
          </cell>
          <cell r="H286">
            <v>45</v>
          </cell>
          <cell r="I286">
            <v>30</v>
          </cell>
          <cell r="J286">
            <v>90</v>
          </cell>
          <cell r="K286">
            <v>15</v>
          </cell>
          <cell r="L286">
            <v>15</v>
          </cell>
          <cell r="M286">
            <v>30</v>
          </cell>
        </row>
        <row r="287">
          <cell r="B287" t="str">
            <v>NMAX155 FI ABS</v>
          </cell>
          <cell r="C287" t="str">
            <v>OLD MODEL CODE</v>
          </cell>
          <cell r="D287" t="str">
            <v>YAMAHA</v>
          </cell>
          <cell r="E287" t="str">
            <v>NMAX2DPF</v>
          </cell>
          <cell r="F287" t="str">
            <v>SCOOTER</v>
          </cell>
          <cell r="G287">
            <v>147312</v>
          </cell>
          <cell r="H287">
            <v>45</v>
          </cell>
          <cell r="I287">
            <v>30</v>
          </cell>
          <cell r="J287">
            <v>90</v>
          </cell>
          <cell r="K287">
            <v>15</v>
          </cell>
          <cell r="L287">
            <v>15</v>
          </cell>
          <cell r="M287">
            <v>30</v>
          </cell>
        </row>
        <row r="288">
          <cell r="B288" t="str">
            <v>NMAX155 FI ABS</v>
          </cell>
          <cell r="C288" t="str">
            <v>OLD MODEL CODE</v>
          </cell>
          <cell r="D288" t="str">
            <v>YAMAHA</v>
          </cell>
          <cell r="E288" t="str">
            <v>NMAX B6H4 ABS (MATTE BLACK)</v>
          </cell>
          <cell r="F288" t="str">
            <v>SCOOTER</v>
          </cell>
          <cell r="G288">
            <v>147312</v>
          </cell>
          <cell r="H288">
            <v>45</v>
          </cell>
          <cell r="I288">
            <v>30</v>
          </cell>
          <cell r="J288">
            <v>90</v>
          </cell>
          <cell r="K288">
            <v>15</v>
          </cell>
          <cell r="L288">
            <v>15</v>
          </cell>
          <cell r="M288">
            <v>30</v>
          </cell>
        </row>
        <row r="289">
          <cell r="B289" t="str">
            <v>NMAX155 FI ABS</v>
          </cell>
          <cell r="C289" t="str">
            <v>OLD MODEL CODE</v>
          </cell>
          <cell r="D289" t="str">
            <v>YAMAHA</v>
          </cell>
          <cell r="E289" t="str">
            <v>NMAX B6H4 ABS (MATTE RED)</v>
          </cell>
          <cell r="F289" t="str">
            <v>SCOOTER</v>
          </cell>
          <cell r="G289">
            <v>147312</v>
          </cell>
          <cell r="H289">
            <v>45</v>
          </cell>
          <cell r="I289">
            <v>30</v>
          </cell>
          <cell r="J289">
            <v>90</v>
          </cell>
          <cell r="K289">
            <v>15</v>
          </cell>
          <cell r="L289">
            <v>15</v>
          </cell>
          <cell r="M289">
            <v>30</v>
          </cell>
        </row>
        <row r="290">
          <cell r="B290" t="str">
            <v>NMAX155 FI ABS</v>
          </cell>
          <cell r="C290" t="str">
            <v>OLD MODEL CODE</v>
          </cell>
          <cell r="D290" t="str">
            <v>YAMAHA</v>
          </cell>
          <cell r="E290" t="str">
            <v>NMAX B6H4 ABS (MATTE GREEN)</v>
          </cell>
          <cell r="F290" t="str">
            <v>SCOOTER</v>
          </cell>
          <cell r="G290">
            <v>147312</v>
          </cell>
          <cell r="H290">
            <v>45</v>
          </cell>
          <cell r="I290">
            <v>30</v>
          </cell>
          <cell r="J290">
            <v>90</v>
          </cell>
          <cell r="K290">
            <v>15</v>
          </cell>
          <cell r="L290">
            <v>15</v>
          </cell>
          <cell r="M290">
            <v>30</v>
          </cell>
        </row>
        <row r="291">
          <cell r="B291" t="str">
            <v>NMAX155 FI ABS</v>
          </cell>
          <cell r="C291" t="str">
            <v>OLD MODEL CODE</v>
          </cell>
          <cell r="D291" t="str">
            <v>YAMAHA</v>
          </cell>
          <cell r="E291" t="str">
            <v>NMAX ABS BKT1 (MATTE GRAY/MATTE BLACK)</v>
          </cell>
          <cell r="F291" t="str">
            <v>SCOOTER</v>
          </cell>
          <cell r="G291">
            <v>147312</v>
          </cell>
          <cell r="H291">
            <v>45</v>
          </cell>
          <cell r="I291">
            <v>30</v>
          </cell>
          <cell r="J291">
            <v>90</v>
          </cell>
          <cell r="K291">
            <v>15</v>
          </cell>
          <cell r="L291">
            <v>15</v>
          </cell>
          <cell r="M291">
            <v>30</v>
          </cell>
        </row>
        <row r="292">
          <cell r="B292" t="str">
            <v>NMAX155 FI ABS</v>
          </cell>
          <cell r="C292" t="str">
            <v>OLD MODEL CODE</v>
          </cell>
          <cell r="D292" t="str">
            <v>YAMAHA</v>
          </cell>
          <cell r="E292" t="str">
            <v>NMAX ABS BKT1 (MATTE DARK GRAY/BLACK)</v>
          </cell>
          <cell r="F292" t="str">
            <v>SCOOTER</v>
          </cell>
          <cell r="G292">
            <v>147312</v>
          </cell>
          <cell r="H292">
            <v>45</v>
          </cell>
          <cell r="I292">
            <v>30</v>
          </cell>
          <cell r="J292">
            <v>90</v>
          </cell>
          <cell r="K292">
            <v>15</v>
          </cell>
          <cell r="L292">
            <v>15</v>
          </cell>
          <cell r="M292">
            <v>30</v>
          </cell>
        </row>
        <row r="293">
          <cell r="B293" t="str">
            <v>NMAX155 FI ABS</v>
          </cell>
          <cell r="C293" t="str">
            <v>OLD MODEL CODE</v>
          </cell>
          <cell r="D293" t="str">
            <v>YAMAHA</v>
          </cell>
          <cell r="E293" t="str">
            <v>NMAX ABS BKT1 (GRAY/BLACK)</v>
          </cell>
          <cell r="F293" t="str">
            <v>SCOOTER</v>
          </cell>
          <cell r="G293">
            <v>147312</v>
          </cell>
          <cell r="H293">
            <v>45</v>
          </cell>
          <cell r="I293">
            <v>30</v>
          </cell>
          <cell r="J293">
            <v>90</v>
          </cell>
          <cell r="K293">
            <v>15</v>
          </cell>
          <cell r="L293">
            <v>15</v>
          </cell>
          <cell r="M293">
            <v>30</v>
          </cell>
        </row>
        <row r="294">
          <cell r="B294" t="str">
            <v>NMAX155 FI ABS</v>
          </cell>
          <cell r="D294" t="str">
            <v>YAMAHA</v>
          </cell>
          <cell r="E294" t="str">
            <v>NMAX ABS BKT2 (MATTE DARK GRAY/ BLACK)</v>
          </cell>
          <cell r="F294" t="str">
            <v>SCOOTER</v>
          </cell>
          <cell r="G294">
            <v>147312</v>
          </cell>
          <cell r="H294">
            <v>45</v>
          </cell>
          <cell r="I294">
            <v>30</v>
          </cell>
          <cell r="J294">
            <v>90</v>
          </cell>
          <cell r="K294">
            <v>15</v>
          </cell>
          <cell r="L294">
            <v>15</v>
          </cell>
          <cell r="M294">
            <v>30</v>
          </cell>
        </row>
        <row r="295">
          <cell r="B295" t="str">
            <v>NMAX155 FI ABS</v>
          </cell>
          <cell r="D295" t="str">
            <v>YAMAHA</v>
          </cell>
          <cell r="E295" t="str">
            <v>NMAX ABS BKT2 (GRAY/ BLACK)</v>
          </cell>
          <cell r="F295" t="str">
            <v>SCOOTER</v>
          </cell>
          <cell r="G295">
            <v>147312</v>
          </cell>
          <cell r="H295">
            <v>45</v>
          </cell>
          <cell r="I295">
            <v>30</v>
          </cell>
          <cell r="J295">
            <v>90</v>
          </cell>
          <cell r="K295">
            <v>15</v>
          </cell>
          <cell r="L295">
            <v>15</v>
          </cell>
          <cell r="M295">
            <v>30</v>
          </cell>
        </row>
        <row r="296">
          <cell r="B296" t="str">
            <v>NMAX155 FI ABS</v>
          </cell>
          <cell r="D296" t="str">
            <v>YAMAHA</v>
          </cell>
          <cell r="E296" t="str">
            <v>NMAX ABS BKT2 (SILVER/ MATTE BLACK)</v>
          </cell>
          <cell r="F296" t="str">
            <v>SCOOTER</v>
          </cell>
          <cell r="G296">
            <v>147312</v>
          </cell>
          <cell r="H296">
            <v>45</v>
          </cell>
          <cell r="I296">
            <v>30</v>
          </cell>
          <cell r="J296">
            <v>90</v>
          </cell>
          <cell r="K296">
            <v>15</v>
          </cell>
          <cell r="L296">
            <v>15</v>
          </cell>
          <cell r="M296">
            <v>30</v>
          </cell>
        </row>
        <row r="297">
          <cell r="B297" t="str">
            <v>NMAX155 FI ABS</v>
          </cell>
          <cell r="D297" t="str">
            <v>YAMAHA</v>
          </cell>
          <cell r="E297" t="str">
            <v>NMAX ABS BKT2 (MATTE GREEN/ BLACK)</v>
          </cell>
          <cell r="F297" t="str">
            <v>SCOOTER</v>
          </cell>
          <cell r="G297">
            <v>147312</v>
          </cell>
          <cell r="H297">
            <v>45</v>
          </cell>
          <cell r="I297">
            <v>30</v>
          </cell>
          <cell r="J297">
            <v>90</v>
          </cell>
          <cell r="K297">
            <v>15</v>
          </cell>
          <cell r="L297">
            <v>15</v>
          </cell>
          <cell r="M297">
            <v>30</v>
          </cell>
        </row>
        <row r="298">
          <cell r="B298" t="str">
            <v>NMAX155 FI ABS</v>
          </cell>
          <cell r="D298" t="str">
            <v>YAMAHA</v>
          </cell>
          <cell r="E298" t="str">
            <v>NMAX ABS BKT4 (SILVER/MATTE BLACK)</v>
          </cell>
          <cell r="F298" t="str">
            <v>SCOOTER</v>
          </cell>
          <cell r="G298">
            <v>147312</v>
          </cell>
          <cell r="H298">
            <v>45</v>
          </cell>
          <cell r="I298">
            <v>30</v>
          </cell>
          <cell r="J298">
            <v>90</v>
          </cell>
          <cell r="K298">
            <v>15</v>
          </cell>
          <cell r="L298">
            <v>15</v>
          </cell>
          <cell r="M298">
            <v>30</v>
          </cell>
        </row>
        <row r="299">
          <cell r="B299" t="str">
            <v>NMAX155 FI ABS</v>
          </cell>
          <cell r="D299" t="str">
            <v>YAMAHA</v>
          </cell>
          <cell r="E299" t="str">
            <v>NMAX ABS BKT4 (MATTE DARK GRAY/BLACK)</v>
          </cell>
          <cell r="F299" t="str">
            <v>SCOOTER</v>
          </cell>
          <cell r="G299">
            <v>147312</v>
          </cell>
          <cell r="H299">
            <v>45</v>
          </cell>
          <cell r="I299">
            <v>30</v>
          </cell>
          <cell r="J299">
            <v>90</v>
          </cell>
          <cell r="K299">
            <v>15</v>
          </cell>
          <cell r="L299">
            <v>15</v>
          </cell>
          <cell r="M299">
            <v>30</v>
          </cell>
        </row>
        <row r="300">
          <cell r="B300" t="str">
            <v>NMAX155 FI ABS</v>
          </cell>
          <cell r="D300" t="str">
            <v>YAMAHA</v>
          </cell>
          <cell r="E300" t="str">
            <v>NMAX ABS BKT3 (MATTE GREEN/BLACK)</v>
          </cell>
          <cell r="F300" t="str">
            <v>SCOOTER</v>
          </cell>
          <cell r="G300">
            <v>147312</v>
          </cell>
          <cell r="H300">
            <v>45</v>
          </cell>
          <cell r="I300">
            <v>30</v>
          </cell>
          <cell r="J300">
            <v>90</v>
          </cell>
          <cell r="K300">
            <v>15</v>
          </cell>
          <cell r="L300">
            <v>15</v>
          </cell>
          <cell r="M300">
            <v>30</v>
          </cell>
        </row>
        <row r="301">
          <cell r="B301" t="str">
            <v>NMAX155 FI ABS</v>
          </cell>
          <cell r="D301" t="str">
            <v>YAMAHA</v>
          </cell>
          <cell r="E301" t="str">
            <v>NMAX ABS BKT3 (DARK BLUE/MATTE BLACK)</v>
          </cell>
          <cell r="F301" t="str">
            <v>SCOOTER</v>
          </cell>
          <cell r="G301">
            <v>147312</v>
          </cell>
          <cell r="H301">
            <v>45</v>
          </cell>
          <cell r="I301">
            <v>30</v>
          </cell>
          <cell r="J301">
            <v>90</v>
          </cell>
          <cell r="K301">
            <v>15</v>
          </cell>
          <cell r="L301">
            <v>15</v>
          </cell>
          <cell r="M301">
            <v>30</v>
          </cell>
        </row>
        <row r="302">
          <cell r="B302" t="str">
            <v>NMAX155 FI ABS</v>
          </cell>
          <cell r="D302" t="str">
            <v>YAMAHA</v>
          </cell>
          <cell r="E302" t="str">
            <v>NMAX ABS BKT3 (MATTE DARK GRAY/BLACK)</v>
          </cell>
          <cell r="F302" t="str">
            <v>SCOOTER</v>
          </cell>
          <cell r="G302">
            <v>147312</v>
          </cell>
          <cell r="H302">
            <v>45</v>
          </cell>
          <cell r="I302">
            <v>30</v>
          </cell>
          <cell r="J302">
            <v>90</v>
          </cell>
          <cell r="K302">
            <v>15</v>
          </cell>
          <cell r="L302">
            <v>15</v>
          </cell>
          <cell r="M302">
            <v>30</v>
          </cell>
        </row>
        <row r="303">
          <cell r="B303" t="str">
            <v>NMAX155 FI ABS</v>
          </cell>
          <cell r="D303" t="str">
            <v>YAMAHA</v>
          </cell>
          <cell r="E303" t="str">
            <v>NMAX ABS BKT3 (SILVER/MATTE BLACK)</v>
          </cell>
          <cell r="F303" t="str">
            <v>SCOOTER</v>
          </cell>
          <cell r="G303">
            <v>147312</v>
          </cell>
          <cell r="H303">
            <v>45</v>
          </cell>
          <cell r="I303">
            <v>30</v>
          </cell>
          <cell r="J303">
            <v>90</v>
          </cell>
          <cell r="K303">
            <v>15</v>
          </cell>
          <cell r="L303">
            <v>15</v>
          </cell>
          <cell r="M303">
            <v>30</v>
          </cell>
        </row>
        <row r="304">
          <cell r="B304" t="str">
            <v>NMAX155 FI ABS</v>
          </cell>
          <cell r="D304" t="str">
            <v>YAMAHA</v>
          </cell>
          <cell r="E304" t="str">
            <v>NMAX ABS BKT3 (MATTE GREEN/BLACK)</v>
          </cell>
          <cell r="F304" t="str">
            <v>SCOOTER</v>
          </cell>
          <cell r="G304">
            <v>147312</v>
          </cell>
          <cell r="H304">
            <v>45</v>
          </cell>
          <cell r="I304">
            <v>30</v>
          </cell>
          <cell r="J304">
            <v>90</v>
          </cell>
          <cell r="K304">
            <v>15</v>
          </cell>
          <cell r="L304">
            <v>15</v>
          </cell>
          <cell r="M304">
            <v>30</v>
          </cell>
        </row>
        <row r="305">
          <cell r="B305" t="str">
            <v>NMAX155 FI ABS</v>
          </cell>
          <cell r="D305" t="str">
            <v>YAMAHA</v>
          </cell>
          <cell r="E305" t="str">
            <v>NMAX ABS BKT3 (DARK BLUE/MATTE BLACK)</v>
          </cell>
          <cell r="F305" t="str">
            <v>SCOOTER</v>
          </cell>
          <cell r="G305">
            <v>147312</v>
          </cell>
          <cell r="H305">
            <v>45</v>
          </cell>
          <cell r="I305">
            <v>30</v>
          </cell>
          <cell r="J305">
            <v>90</v>
          </cell>
          <cell r="K305">
            <v>15</v>
          </cell>
          <cell r="L305">
            <v>15</v>
          </cell>
          <cell r="M305">
            <v>30</v>
          </cell>
        </row>
        <row r="306">
          <cell r="B306" t="str">
            <v>PCX160 ABS</v>
          </cell>
          <cell r="C306" t="str">
            <v>OLD MODEL CODE</v>
          </cell>
          <cell r="D306" t="str">
            <v>HONDA</v>
          </cell>
          <cell r="E306" t="str">
            <v>WW150AK PCX150 (RED)</v>
          </cell>
          <cell r="F306" t="str">
            <v>SCOOTER</v>
          </cell>
          <cell r="G306">
            <v>142758</v>
          </cell>
          <cell r="H306">
            <v>45</v>
          </cell>
          <cell r="I306">
            <v>30</v>
          </cell>
          <cell r="J306">
            <v>90</v>
          </cell>
          <cell r="K306">
            <v>15</v>
          </cell>
          <cell r="L306">
            <v>15</v>
          </cell>
          <cell r="M306">
            <v>30</v>
          </cell>
        </row>
        <row r="307">
          <cell r="B307" t="str">
            <v>PCX160 ABS</v>
          </cell>
          <cell r="C307" t="str">
            <v>OLD MODEL CODE</v>
          </cell>
          <cell r="D307" t="str">
            <v>HONDA</v>
          </cell>
          <cell r="E307" t="str">
            <v>WW150AL PCX150 (BLACK METTALIC)</v>
          </cell>
          <cell r="F307" t="str">
            <v>SCOOTER</v>
          </cell>
          <cell r="G307">
            <v>142758</v>
          </cell>
          <cell r="H307">
            <v>45</v>
          </cell>
          <cell r="I307">
            <v>30</v>
          </cell>
          <cell r="J307">
            <v>90</v>
          </cell>
          <cell r="K307">
            <v>15</v>
          </cell>
          <cell r="L307">
            <v>15</v>
          </cell>
          <cell r="M307">
            <v>30</v>
          </cell>
        </row>
        <row r="308">
          <cell r="B308" t="str">
            <v>PCX160 ABS</v>
          </cell>
          <cell r="C308" t="str">
            <v>OLD MODEL CODE</v>
          </cell>
          <cell r="D308" t="str">
            <v>HONDA</v>
          </cell>
          <cell r="E308" t="str">
            <v>WW150AL PCX150 (WHITE)</v>
          </cell>
          <cell r="F308" t="str">
            <v>SCOOTER</v>
          </cell>
          <cell r="G308">
            <v>142758</v>
          </cell>
          <cell r="H308">
            <v>45</v>
          </cell>
          <cell r="I308">
            <v>30</v>
          </cell>
          <cell r="J308">
            <v>90</v>
          </cell>
          <cell r="K308">
            <v>15</v>
          </cell>
          <cell r="L308">
            <v>15</v>
          </cell>
          <cell r="M308">
            <v>30</v>
          </cell>
        </row>
        <row r="309">
          <cell r="B309" t="str">
            <v>PCX160 ABS</v>
          </cell>
          <cell r="D309" t="str">
            <v>HONDA</v>
          </cell>
          <cell r="E309" t="str">
            <v>WW150AM PCX160 ABS VARIANT(BLACK)</v>
          </cell>
          <cell r="F309" t="str">
            <v>SCOOTER</v>
          </cell>
          <cell r="G309">
            <v>142758</v>
          </cell>
          <cell r="H309">
            <v>45</v>
          </cell>
          <cell r="I309">
            <v>30</v>
          </cell>
          <cell r="J309">
            <v>90</v>
          </cell>
          <cell r="K309">
            <v>15</v>
          </cell>
          <cell r="L309">
            <v>15</v>
          </cell>
          <cell r="M309">
            <v>30</v>
          </cell>
        </row>
        <row r="310">
          <cell r="B310" t="str">
            <v>PCX160 ABS</v>
          </cell>
          <cell r="D310" t="str">
            <v>HONDA</v>
          </cell>
          <cell r="E310" t="str">
            <v>WW150AM PCX160 ABS VARIANT(WHITE)</v>
          </cell>
          <cell r="F310" t="str">
            <v>SCOOTER</v>
          </cell>
          <cell r="G310">
            <v>142758</v>
          </cell>
          <cell r="H310">
            <v>45</v>
          </cell>
          <cell r="I310">
            <v>30</v>
          </cell>
          <cell r="J310">
            <v>90</v>
          </cell>
          <cell r="K310">
            <v>15</v>
          </cell>
          <cell r="L310">
            <v>15</v>
          </cell>
          <cell r="M310">
            <v>30</v>
          </cell>
        </row>
        <row r="311">
          <cell r="B311" t="str">
            <v>PCX160 ABS</v>
          </cell>
          <cell r="D311" t="str">
            <v>HONDA</v>
          </cell>
          <cell r="E311" t="str">
            <v>WW160AP PCX160 ABS BM</v>
          </cell>
          <cell r="F311" t="str">
            <v>SCOOTER</v>
          </cell>
          <cell r="G311">
            <v>142758</v>
          </cell>
          <cell r="H311">
            <v>45</v>
          </cell>
          <cell r="I311">
            <v>30</v>
          </cell>
          <cell r="J311">
            <v>90</v>
          </cell>
          <cell r="K311">
            <v>15</v>
          </cell>
          <cell r="L311">
            <v>15</v>
          </cell>
          <cell r="M311">
            <v>30</v>
          </cell>
        </row>
        <row r="312">
          <cell r="B312" t="str">
            <v>PCX160 ABS</v>
          </cell>
          <cell r="D312" t="str">
            <v>HONDA</v>
          </cell>
          <cell r="E312" t="str">
            <v>WW160AP PCX160 ABS FW</v>
          </cell>
          <cell r="F312" t="str">
            <v>SCOOTER</v>
          </cell>
          <cell r="G312">
            <v>142758</v>
          </cell>
          <cell r="H312">
            <v>45</v>
          </cell>
          <cell r="I312">
            <v>30</v>
          </cell>
          <cell r="J312">
            <v>90</v>
          </cell>
          <cell r="K312">
            <v>15</v>
          </cell>
          <cell r="L312">
            <v>15</v>
          </cell>
          <cell r="M312">
            <v>30</v>
          </cell>
        </row>
        <row r="313">
          <cell r="B313" t="str">
            <v>PCX160 ABS</v>
          </cell>
          <cell r="D313" t="str">
            <v>HONDA</v>
          </cell>
          <cell r="E313" t="str">
            <v>WW160AP PCX160 ABS MSR</v>
          </cell>
          <cell r="F313" t="str">
            <v>SCOOTER</v>
          </cell>
          <cell r="G313">
            <v>142758</v>
          </cell>
          <cell r="H313">
            <v>45</v>
          </cell>
          <cell r="I313">
            <v>30</v>
          </cell>
          <cell r="J313">
            <v>90</v>
          </cell>
          <cell r="K313">
            <v>15</v>
          </cell>
          <cell r="L313">
            <v>15</v>
          </cell>
          <cell r="M313">
            <v>30</v>
          </cell>
        </row>
        <row r="314">
          <cell r="B314" t="str">
            <v>PCX160 CBS</v>
          </cell>
          <cell r="D314" t="str">
            <v>HONDA</v>
          </cell>
          <cell r="E314" t="str">
            <v>WW150M PCX160 CBS VARIANT(WHITE)</v>
          </cell>
          <cell r="F314" t="str">
            <v>SCOOTER</v>
          </cell>
          <cell r="G314">
            <v>126198</v>
          </cell>
          <cell r="H314">
            <v>45</v>
          </cell>
          <cell r="I314">
            <v>30</v>
          </cell>
          <cell r="J314">
            <v>90</v>
          </cell>
          <cell r="K314">
            <v>15</v>
          </cell>
          <cell r="L314">
            <v>15</v>
          </cell>
          <cell r="M314">
            <v>30</v>
          </cell>
        </row>
        <row r="315">
          <cell r="B315" t="str">
            <v>PCX160 CBS</v>
          </cell>
          <cell r="D315" t="str">
            <v>HONDA</v>
          </cell>
          <cell r="E315" t="str">
            <v>WW150M PCX160 CBS VARIANT(GRAY)</v>
          </cell>
          <cell r="F315" t="str">
            <v>SCOOTER</v>
          </cell>
          <cell r="G315">
            <v>126198</v>
          </cell>
          <cell r="H315">
            <v>45</v>
          </cell>
          <cell r="I315">
            <v>30</v>
          </cell>
          <cell r="J315">
            <v>90</v>
          </cell>
          <cell r="K315">
            <v>15</v>
          </cell>
          <cell r="L315">
            <v>15</v>
          </cell>
          <cell r="M315">
            <v>30</v>
          </cell>
        </row>
        <row r="316">
          <cell r="B316" t="str">
            <v>PCX160 CBS</v>
          </cell>
          <cell r="D316" t="str">
            <v>HONDA</v>
          </cell>
          <cell r="E316" t="str">
            <v>WW160P PCX160 CBS ABM</v>
          </cell>
          <cell r="F316" t="str">
            <v>SCOOTER</v>
          </cell>
          <cell r="G316">
            <v>126198</v>
          </cell>
          <cell r="H316">
            <v>45</v>
          </cell>
          <cell r="I316">
            <v>30</v>
          </cell>
          <cell r="J316">
            <v>90</v>
          </cell>
          <cell r="K316">
            <v>15</v>
          </cell>
          <cell r="L316">
            <v>15</v>
          </cell>
          <cell r="M316">
            <v>30</v>
          </cell>
        </row>
        <row r="317">
          <cell r="B317" t="str">
            <v>PCX160 CBS</v>
          </cell>
          <cell r="D317" t="str">
            <v>HONDA</v>
          </cell>
          <cell r="E317" t="str">
            <v>WW160P PCX160 CBS FW</v>
          </cell>
          <cell r="F317" t="str">
            <v>SCOOTER</v>
          </cell>
          <cell r="G317">
            <v>126198</v>
          </cell>
          <cell r="H317">
            <v>45</v>
          </cell>
          <cell r="I317">
            <v>30</v>
          </cell>
          <cell r="J317">
            <v>90</v>
          </cell>
          <cell r="K317">
            <v>15</v>
          </cell>
          <cell r="L317">
            <v>15</v>
          </cell>
          <cell r="M317">
            <v>30</v>
          </cell>
        </row>
        <row r="318">
          <cell r="B318" t="str">
            <v>RAIDER J CROSSOVER</v>
          </cell>
          <cell r="D318" t="str">
            <v>SUZUKI</v>
          </cell>
          <cell r="E318" t="str">
            <v>FJ110LB2 ( BYELLOW)</v>
          </cell>
          <cell r="F318" t="str">
            <v>UNDERBONE</v>
          </cell>
          <cell r="G318">
            <v>69667</v>
          </cell>
          <cell r="H318">
            <v>45</v>
          </cell>
          <cell r="I318">
            <v>30</v>
          </cell>
          <cell r="J318">
            <v>90</v>
          </cell>
          <cell r="K318">
            <v>15</v>
          </cell>
          <cell r="L318">
            <v>15</v>
          </cell>
          <cell r="M318">
            <v>30</v>
          </cell>
        </row>
        <row r="319">
          <cell r="B319" t="str">
            <v>RAIDER J CROSSOVER</v>
          </cell>
          <cell r="D319" t="str">
            <v>SUZUKI</v>
          </cell>
          <cell r="E319" t="str">
            <v>FJ110LB2 ( BBLUE)</v>
          </cell>
          <cell r="F319" t="str">
            <v>UNDERBONE</v>
          </cell>
          <cell r="G319">
            <v>69667</v>
          </cell>
          <cell r="H319">
            <v>45</v>
          </cell>
          <cell r="I319">
            <v>30</v>
          </cell>
          <cell r="J319">
            <v>90</v>
          </cell>
          <cell r="K319">
            <v>15</v>
          </cell>
          <cell r="L319">
            <v>15</v>
          </cell>
          <cell r="M319">
            <v>30</v>
          </cell>
        </row>
        <row r="320">
          <cell r="B320" t="str">
            <v>RAIDER J CROSSOVER</v>
          </cell>
          <cell r="D320" t="str">
            <v>SUZUKI</v>
          </cell>
          <cell r="E320" t="str">
            <v>FJ110LB2 (BBLACK)</v>
          </cell>
          <cell r="F320" t="str">
            <v>UNDERBONE</v>
          </cell>
          <cell r="G320">
            <v>69667</v>
          </cell>
          <cell r="H320">
            <v>45</v>
          </cell>
          <cell r="I320">
            <v>30</v>
          </cell>
          <cell r="J320">
            <v>90</v>
          </cell>
          <cell r="K320">
            <v>15</v>
          </cell>
          <cell r="L320">
            <v>15</v>
          </cell>
          <cell r="M320">
            <v>30</v>
          </cell>
        </row>
        <row r="321">
          <cell r="B321" t="str">
            <v>RAIDER J CROSSOVER</v>
          </cell>
          <cell r="D321" t="str">
            <v>SUZUKI</v>
          </cell>
          <cell r="E321" t="str">
            <v>FJ110LB2 (BRED)</v>
          </cell>
          <cell r="F321" t="str">
            <v>UNDERBONE</v>
          </cell>
          <cell r="G321">
            <v>69667</v>
          </cell>
          <cell r="H321">
            <v>45</v>
          </cell>
          <cell r="I321">
            <v>30</v>
          </cell>
          <cell r="J321">
            <v>90</v>
          </cell>
          <cell r="K321">
            <v>15</v>
          </cell>
          <cell r="L321">
            <v>15</v>
          </cell>
          <cell r="M321">
            <v>30</v>
          </cell>
        </row>
        <row r="322">
          <cell r="B322" t="str">
            <v>RAIDER150 CARB</v>
          </cell>
          <cell r="C322" t="str">
            <v>OLD MODEL CODE</v>
          </cell>
          <cell r="D322" t="str">
            <v>SUZUKI</v>
          </cell>
          <cell r="E322" t="str">
            <v>FU150CD3 RAIDER R 150(BLACK/GOLD)</v>
          </cell>
          <cell r="F322" t="str">
            <v>UNDERBONE</v>
          </cell>
          <cell r="G322">
            <v>104077</v>
          </cell>
          <cell r="H322">
            <v>45</v>
          </cell>
          <cell r="I322">
            <v>30</v>
          </cell>
          <cell r="J322">
            <v>90</v>
          </cell>
          <cell r="K322">
            <v>15</v>
          </cell>
          <cell r="L322">
            <v>15</v>
          </cell>
          <cell r="M322">
            <v>30</v>
          </cell>
        </row>
        <row r="323">
          <cell r="B323" t="str">
            <v>RAIDER150 CARB</v>
          </cell>
          <cell r="C323" t="str">
            <v>OLD MODEL CODE</v>
          </cell>
          <cell r="D323" t="str">
            <v>SUZUKI</v>
          </cell>
          <cell r="E323" t="str">
            <v>FU150CD3 RAIDER R 150(BLACK/RED)</v>
          </cell>
          <cell r="F323" t="str">
            <v>UNDERBONE</v>
          </cell>
          <cell r="G323">
            <v>104077</v>
          </cell>
          <cell r="H323">
            <v>45</v>
          </cell>
          <cell r="I323">
            <v>30</v>
          </cell>
          <cell r="J323">
            <v>90</v>
          </cell>
          <cell r="K323">
            <v>15</v>
          </cell>
          <cell r="L323">
            <v>15</v>
          </cell>
          <cell r="M323">
            <v>30</v>
          </cell>
        </row>
        <row r="324">
          <cell r="B324" t="str">
            <v>RAIDER150 CARB</v>
          </cell>
          <cell r="C324" t="str">
            <v>OLD MODEL CODE</v>
          </cell>
          <cell r="D324" t="str">
            <v>SUZUKI</v>
          </cell>
          <cell r="E324" t="str">
            <v>FU150CD3 RAIDER R 150(S.D.C.YELLOW/N.T.BLACK)</v>
          </cell>
          <cell r="F324" t="str">
            <v>UNDERBONE</v>
          </cell>
          <cell r="G324">
            <v>104077</v>
          </cell>
          <cell r="H324">
            <v>45</v>
          </cell>
          <cell r="I324">
            <v>30</v>
          </cell>
          <cell r="J324">
            <v>90</v>
          </cell>
          <cell r="K324">
            <v>15</v>
          </cell>
          <cell r="L324">
            <v>15</v>
          </cell>
          <cell r="M324">
            <v>30</v>
          </cell>
        </row>
        <row r="325">
          <cell r="B325" t="str">
            <v>RAIDER150 CARB</v>
          </cell>
          <cell r="C325" t="str">
            <v>OLD MODEL CODE</v>
          </cell>
          <cell r="D325" t="str">
            <v>SUZUKI</v>
          </cell>
          <cell r="E325" t="str">
            <v>FU150DX3 RAIDER 150(MET. TRITON BLUE)</v>
          </cell>
          <cell r="F325" t="str">
            <v>UNDERBONE</v>
          </cell>
          <cell r="G325">
            <v>104077</v>
          </cell>
          <cell r="H325">
            <v>45</v>
          </cell>
          <cell r="I325">
            <v>30</v>
          </cell>
          <cell r="J325">
            <v>90</v>
          </cell>
          <cell r="K325">
            <v>15</v>
          </cell>
          <cell r="L325">
            <v>15</v>
          </cell>
          <cell r="M325">
            <v>30</v>
          </cell>
        </row>
        <row r="326">
          <cell r="B326" t="str">
            <v>RAIDER150 CARB</v>
          </cell>
          <cell r="D326" t="str">
            <v>SUZUKI</v>
          </cell>
          <cell r="E326" t="str">
            <v>FU150CD3 RAIDER R 150(MATTE BLACK)</v>
          </cell>
          <cell r="F326" t="str">
            <v>UNDERBONE</v>
          </cell>
          <cell r="G326">
            <v>104077</v>
          </cell>
          <cell r="H326">
            <v>45</v>
          </cell>
          <cell r="I326">
            <v>30</v>
          </cell>
          <cell r="J326">
            <v>90</v>
          </cell>
          <cell r="K326">
            <v>15</v>
          </cell>
          <cell r="L326">
            <v>15</v>
          </cell>
          <cell r="M326">
            <v>30</v>
          </cell>
        </row>
        <row r="327">
          <cell r="B327" t="str">
            <v>RAIDER150 CARB</v>
          </cell>
          <cell r="C327" t="str">
            <v>OLD MODEL CODE</v>
          </cell>
          <cell r="D327" t="str">
            <v>SUZUKI</v>
          </cell>
          <cell r="E327" t="str">
            <v>FU150DX3 CS (MATTE GRAY)</v>
          </cell>
          <cell r="F327" t="str">
            <v>UNDERBONE</v>
          </cell>
          <cell r="G327">
            <v>104077</v>
          </cell>
          <cell r="H327">
            <v>45</v>
          </cell>
          <cell r="I327">
            <v>30</v>
          </cell>
          <cell r="J327">
            <v>90</v>
          </cell>
          <cell r="K327">
            <v>15</v>
          </cell>
          <cell r="L327">
            <v>15</v>
          </cell>
          <cell r="M327">
            <v>30</v>
          </cell>
        </row>
        <row r="328">
          <cell r="B328" t="str">
            <v>RAIDER150 CARB</v>
          </cell>
          <cell r="C328" t="str">
            <v>OLD MODEL CODE</v>
          </cell>
          <cell r="D328" t="str">
            <v>SUZUKI</v>
          </cell>
          <cell r="E328" t="str">
            <v>FU150DX3 CS (MATTE BLACK)</v>
          </cell>
          <cell r="F328" t="str">
            <v>UNDERBONE</v>
          </cell>
          <cell r="G328">
            <v>104077</v>
          </cell>
          <cell r="H328">
            <v>45</v>
          </cell>
          <cell r="I328">
            <v>30</v>
          </cell>
          <cell r="J328">
            <v>90</v>
          </cell>
          <cell r="K328">
            <v>15</v>
          </cell>
          <cell r="L328">
            <v>15</v>
          </cell>
          <cell r="M328">
            <v>30</v>
          </cell>
        </row>
        <row r="329">
          <cell r="B329" t="str">
            <v>RAIDER150 CARB</v>
          </cell>
          <cell r="C329" t="str">
            <v>OLD MODEL CODE</v>
          </cell>
          <cell r="D329" t="str">
            <v>SUZUKI</v>
          </cell>
          <cell r="E329" t="str">
            <v>FU150DY3(BLUE)</v>
          </cell>
          <cell r="F329" t="str">
            <v>UNDERBONE</v>
          </cell>
          <cell r="G329">
            <v>104077</v>
          </cell>
          <cell r="H329">
            <v>45</v>
          </cell>
          <cell r="I329">
            <v>30</v>
          </cell>
          <cell r="J329">
            <v>90</v>
          </cell>
          <cell r="K329">
            <v>15</v>
          </cell>
          <cell r="L329">
            <v>15</v>
          </cell>
          <cell r="M329">
            <v>30</v>
          </cell>
        </row>
        <row r="330">
          <cell r="B330" t="str">
            <v>RAIDER150 CARB</v>
          </cell>
          <cell r="C330" t="str">
            <v>OLD MODEL CODE</v>
          </cell>
          <cell r="D330" t="str">
            <v>SUZUKI</v>
          </cell>
          <cell r="E330" t="str">
            <v>FU150CD3 RAIDER R 150(JACKAL GREEN)</v>
          </cell>
          <cell r="F330" t="str">
            <v>UNDERBONE</v>
          </cell>
          <cell r="G330">
            <v>104077</v>
          </cell>
          <cell r="H330">
            <v>45</v>
          </cell>
          <cell r="I330">
            <v>30</v>
          </cell>
          <cell r="J330">
            <v>90</v>
          </cell>
          <cell r="K330">
            <v>15</v>
          </cell>
          <cell r="L330">
            <v>15</v>
          </cell>
          <cell r="M330">
            <v>30</v>
          </cell>
        </row>
        <row r="331">
          <cell r="B331" t="str">
            <v>RAIDER150 CARB</v>
          </cell>
          <cell r="C331" t="str">
            <v>OLD MODEL CODE</v>
          </cell>
          <cell r="D331" t="str">
            <v>SUZUKI</v>
          </cell>
          <cell r="E331" t="str">
            <v>FU150CD3 RAIDER R 150(BLACK)</v>
          </cell>
          <cell r="F331" t="str">
            <v>UNDERBONE</v>
          </cell>
          <cell r="G331">
            <v>104077</v>
          </cell>
          <cell r="H331">
            <v>45</v>
          </cell>
          <cell r="I331">
            <v>30</v>
          </cell>
          <cell r="J331">
            <v>90</v>
          </cell>
          <cell r="K331">
            <v>15</v>
          </cell>
          <cell r="L331">
            <v>15</v>
          </cell>
          <cell r="M331">
            <v>30</v>
          </cell>
        </row>
        <row r="332">
          <cell r="B332" t="str">
            <v>RAIDER150 CARB</v>
          </cell>
          <cell r="C332" t="str">
            <v>OLD MODEL CODE</v>
          </cell>
          <cell r="D332" t="str">
            <v>SUZUKI</v>
          </cell>
          <cell r="E332" t="str">
            <v>FU150CD3 RAIDER R 150(BLACK)</v>
          </cell>
          <cell r="F332" t="str">
            <v>UNDERBONE</v>
          </cell>
          <cell r="G332">
            <v>104077</v>
          </cell>
          <cell r="H332">
            <v>45</v>
          </cell>
          <cell r="I332">
            <v>30</v>
          </cell>
          <cell r="J332">
            <v>90</v>
          </cell>
          <cell r="K332">
            <v>15</v>
          </cell>
          <cell r="L332">
            <v>15</v>
          </cell>
          <cell r="M332">
            <v>30</v>
          </cell>
        </row>
        <row r="333">
          <cell r="B333" t="str">
            <v>RAIDER150 CARB</v>
          </cell>
          <cell r="C333" t="str">
            <v>OLD MODEL CODE</v>
          </cell>
          <cell r="D333" t="str">
            <v>SUZUKI</v>
          </cell>
          <cell r="E333" t="str">
            <v>FU150CD3-BCBLACK RAIDER R 150(BLACK)</v>
          </cell>
          <cell r="F333" t="str">
            <v>UNDERBONE</v>
          </cell>
          <cell r="G333">
            <v>104077</v>
          </cell>
          <cell r="H333">
            <v>45</v>
          </cell>
          <cell r="I333">
            <v>30</v>
          </cell>
          <cell r="J333">
            <v>90</v>
          </cell>
          <cell r="K333">
            <v>15</v>
          </cell>
          <cell r="L333">
            <v>15</v>
          </cell>
          <cell r="M333">
            <v>30</v>
          </cell>
        </row>
        <row r="334">
          <cell r="B334" t="str">
            <v>RAIDER150 CARB</v>
          </cell>
          <cell r="D334" t="str">
            <v>SUZUKI</v>
          </cell>
          <cell r="E334" t="str">
            <v>FU150CD3-CBLKR RAIDER R 150(BLACK)</v>
          </cell>
          <cell r="F334" t="str">
            <v>UNDERBONE</v>
          </cell>
          <cell r="G334">
            <v>104077</v>
          </cell>
          <cell r="H334">
            <v>45</v>
          </cell>
          <cell r="I334">
            <v>30</v>
          </cell>
          <cell r="J334">
            <v>90</v>
          </cell>
          <cell r="K334">
            <v>15</v>
          </cell>
          <cell r="L334">
            <v>15</v>
          </cell>
          <cell r="M334">
            <v>30</v>
          </cell>
        </row>
        <row r="335">
          <cell r="B335" t="str">
            <v>RAIDER150 CARB</v>
          </cell>
          <cell r="D335" t="str">
            <v>SUZUKI</v>
          </cell>
          <cell r="E335" t="str">
            <v>FU150CD3-CBKGRN RAIDER R 150(BLACK)</v>
          </cell>
          <cell r="F335" t="str">
            <v>UNDERBONE</v>
          </cell>
          <cell r="G335">
            <v>104077</v>
          </cell>
          <cell r="H335">
            <v>45</v>
          </cell>
          <cell r="I335">
            <v>30</v>
          </cell>
          <cell r="J335">
            <v>90</v>
          </cell>
          <cell r="K335">
            <v>15</v>
          </cell>
          <cell r="L335">
            <v>15</v>
          </cell>
          <cell r="M335">
            <v>30</v>
          </cell>
        </row>
        <row r="336">
          <cell r="B336" t="str">
            <v>RAIDER150 CARB</v>
          </cell>
          <cell r="D336" t="str">
            <v>SUZUKI</v>
          </cell>
          <cell r="E336" t="str">
            <v>FU150 DY3 RAIDER R(BLUE)</v>
          </cell>
          <cell r="F336" t="str">
            <v>UNDERBONE</v>
          </cell>
          <cell r="G336">
            <v>104077</v>
          </cell>
          <cell r="H336">
            <v>45</v>
          </cell>
          <cell r="I336">
            <v>30</v>
          </cell>
          <cell r="J336">
            <v>90</v>
          </cell>
          <cell r="K336">
            <v>15</v>
          </cell>
          <cell r="L336">
            <v>15</v>
          </cell>
          <cell r="M336">
            <v>30</v>
          </cell>
        </row>
        <row r="337">
          <cell r="B337" t="str">
            <v>RAIDER150 CARB</v>
          </cell>
          <cell r="D337" t="str">
            <v>SUZUKI</v>
          </cell>
          <cell r="E337" t="str">
            <v>FU150CD3-7RED RAIDER R 150</v>
          </cell>
          <cell r="F337" t="str">
            <v>UNDERBONE</v>
          </cell>
          <cell r="G337">
            <v>104077</v>
          </cell>
          <cell r="H337">
            <v>45</v>
          </cell>
          <cell r="I337">
            <v>30</v>
          </cell>
          <cell r="J337">
            <v>90</v>
          </cell>
          <cell r="K337">
            <v>15</v>
          </cell>
          <cell r="L337">
            <v>15</v>
          </cell>
          <cell r="M337">
            <v>30</v>
          </cell>
        </row>
        <row r="338">
          <cell r="B338" t="str">
            <v>RAIDER150 CARB</v>
          </cell>
          <cell r="D338" t="str">
            <v>SUZUKI</v>
          </cell>
          <cell r="E338" t="str">
            <v>FU150CD3-7BLACK RAIDER R 150</v>
          </cell>
          <cell r="F338" t="str">
            <v>UNDERBONE</v>
          </cell>
          <cell r="G338">
            <v>104077</v>
          </cell>
          <cell r="H338">
            <v>45</v>
          </cell>
          <cell r="I338">
            <v>30</v>
          </cell>
          <cell r="J338">
            <v>90</v>
          </cell>
          <cell r="K338">
            <v>15</v>
          </cell>
          <cell r="L338">
            <v>15</v>
          </cell>
          <cell r="M338">
            <v>30</v>
          </cell>
        </row>
        <row r="339">
          <cell r="B339" t="str">
            <v>RAIDER150 CARB</v>
          </cell>
          <cell r="D339" t="str">
            <v>SUZUKI</v>
          </cell>
          <cell r="E339" t="str">
            <v>FU150CD3-7GREEN RAIDER R 150</v>
          </cell>
          <cell r="F339" t="str">
            <v>UNDERBONE</v>
          </cell>
          <cell r="G339">
            <v>104077</v>
          </cell>
          <cell r="H339">
            <v>45</v>
          </cell>
          <cell r="I339">
            <v>30</v>
          </cell>
          <cell r="J339">
            <v>90</v>
          </cell>
          <cell r="K339">
            <v>15</v>
          </cell>
          <cell r="L339">
            <v>15</v>
          </cell>
          <cell r="M339">
            <v>30</v>
          </cell>
        </row>
        <row r="340">
          <cell r="B340" t="str">
            <v>ROUSER NS125</v>
          </cell>
          <cell r="C340" t="str">
            <v>OLD MODEL CODE</v>
          </cell>
          <cell r="D340" t="str">
            <v>KAWASAKI</v>
          </cell>
          <cell r="E340" t="str">
            <v>ROUSER NS125 (BLACK)</v>
          </cell>
          <cell r="F340" t="str">
            <v>UNDERBONE</v>
          </cell>
          <cell r="G340">
            <v>73158</v>
          </cell>
          <cell r="H340">
            <v>45</v>
          </cell>
          <cell r="I340">
            <v>30</v>
          </cell>
          <cell r="J340">
            <v>90</v>
          </cell>
          <cell r="K340">
            <v>15</v>
          </cell>
          <cell r="L340">
            <v>15</v>
          </cell>
          <cell r="M340">
            <v>30</v>
          </cell>
        </row>
        <row r="341">
          <cell r="B341" t="str">
            <v>ROUSER NS125</v>
          </cell>
          <cell r="C341" t="str">
            <v>OLD MODEL CODE</v>
          </cell>
          <cell r="D341" t="str">
            <v>KAWASAKI</v>
          </cell>
          <cell r="E341" t="str">
            <v>ROUSER NS125 (YELLOW</v>
          </cell>
          <cell r="F341" t="str">
            <v>UNDERBONE</v>
          </cell>
          <cell r="G341">
            <v>73158</v>
          </cell>
          <cell r="H341">
            <v>45</v>
          </cell>
          <cell r="I341">
            <v>30</v>
          </cell>
          <cell r="J341">
            <v>90</v>
          </cell>
          <cell r="K341">
            <v>15</v>
          </cell>
          <cell r="L341">
            <v>15</v>
          </cell>
          <cell r="M341">
            <v>30</v>
          </cell>
        </row>
        <row r="342">
          <cell r="B342" t="str">
            <v>ROUSER NS125</v>
          </cell>
          <cell r="D342" t="str">
            <v>KAWASAKI</v>
          </cell>
          <cell r="E342" t="str">
            <v>ROUSER NS125AA (BLACK)</v>
          </cell>
          <cell r="F342" t="str">
            <v>UNDERBONE</v>
          </cell>
          <cell r="G342">
            <v>73158</v>
          </cell>
          <cell r="H342">
            <v>45</v>
          </cell>
          <cell r="I342">
            <v>30</v>
          </cell>
          <cell r="J342">
            <v>90</v>
          </cell>
          <cell r="K342">
            <v>15</v>
          </cell>
          <cell r="L342">
            <v>15</v>
          </cell>
          <cell r="M342">
            <v>30</v>
          </cell>
        </row>
        <row r="343">
          <cell r="B343" t="str">
            <v>ROUSER NS125</v>
          </cell>
          <cell r="D343" t="str">
            <v>KAWASAKI</v>
          </cell>
          <cell r="E343" t="str">
            <v>ROUSER NS125AA (YELLOW)</v>
          </cell>
          <cell r="F343" t="str">
            <v>UNDERBONE</v>
          </cell>
          <cell r="G343">
            <v>73158</v>
          </cell>
          <cell r="H343">
            <v>45</v>
          </cell>
          <cell r="I343">
            <v>30</v>
          </cell>
          <cell r="J343">
            <v>90</v>
          </cell>
          <cell r="K343">
            <v>15</v>
          </cell>
          <cell r="L343">
            <v>15</v>
          </cell>
          <cell r="M343">
            <v>30</v>
          </cell>
        </row>
        <row r="344">
          <cell r="B344" t="str">
            <v>SKYDRIVE CROSSOVER</v>
          </cell>
          <cell r="D344" t="str">
            <v>SUZUKI</v>
          </cell>
          <cell r="E344" t="str">
            <v>UX110NER SKYDRIVE CROSSOVER (BLACK)</v>
          </cell>
          <cell r="F344" t="str">
            <v>SCOOTER</v>
          </cell>
          <cell r="G344">
            <v>70037</v>
          </cell>
          <cell r="H344">
            <v>45</v>
          </cell>
          <cell r="I344">
            <v>30</v>
          </cell>
          <cell r="J344">
            <v>90</v>
          </cell>
          <cell r="K344">
            <v>15</v>
          </cell>
          <cell r="L344">
            <v>15</v>
          </cell>
          <cell r="M344">
            <v>30</v>
          </cell>
        </row>
        <row r="345">
          <cell r="B345" t="str">
            <v>SKYDRIVE CROSSOVER</v>
          </cell>
          <cell r="D345" t="str">
            <v>SUZUKI</v>
          </cell>
          <cell r="E345" t="str">
            <v>UX110NER SKYDRIVE CROSSOVER (RED)</v>
          </cell>
          <cell r="F345" t="str">
            <v>SCOOTER</v>
          </cell>
          <cell r="G345">
            <v>70037</v>
          </cell>
          <cell r="H345">
            <v>45</v>
          </cell>
          <cell r="I345">
            <v>30</v>
          </cell>
          <cell r="J345">
            <v>90</v>
          </cell>
          <cell r="K345">
            <v>15</v>
          </cell>
          <cell r="L345">
            <v>15</v>
          </cell>
          <cell r="M345">
            <v>30</v>
          </cell>
        </row>
        <row r="346">
          <cell r="B346" t="str">
            <v>SKYDRIVE CROSSOVER</v>
          </cell>
          <cell r="D346" t="str">
            <v>SUZUKI</v>
          </cell>
          <cell r="E346" t="str">
            <v>UX110NER SKYDRIVE CROSSOVER (YELLOW)</v>
          </cell>
          <cell r="F346" t="str">
            <v>SCOOTER</v>
          </cell>
          <cell r="G346">
            <v>70037</v>
          </cell>
          <cell r="H346">
            <v>45</v>
          </cell>
          <cell r="I346">
            <v>30</v>
          </cell>
          <cell r="J346">
            <v>90</v>
          </cell>
          <cell r="K346">
            <v>15</v>
          </cell>
          <cell r="L346">
            <v>15</v>
          </cell>
          <cell r="M346">
            <v>30</v>
          </cell>
        </row>
        <row r="347">
          <cell r="B347" t="str">
            <v>SKYDRIVE CROSSOVER</v>
          </cell>
          <cell r="D347" t="str">
            <v>SUZUKI</v>
          </cell>
          <cell r="E347" t="str">
            <v>UX110NER SKYDRIVE CROSSOVER (BLUE)</v>
          </cell>
          <cell r="F347" t="str">
            <v>SCOOTER</v>
          </cell>
          <cell r="G347">
            <v>70037</v>
          </cell>
          <cell r="H347">
            <v>45</v>
          </cell>
          <cell r="I347">
            <v>30</v>
          </cell>
          <cell r="J347">
            <v>90</v>
          </cell>
          <cell r="K347">
            <v>15</v>
          </cell>
          <cell r="L347">
            <v>15</v>
          </cell>
          <cell r="M347">
            <v>30</v>
          </cell>
        </row>
        <row r="348">
          <cell r="B348" t="str">
            <v>SKYDRIVE SPORT</v>
          </cell>
          <cell r="D348" t="str">
            <v>SUZUKI</v>
          </cell>
          <cell r="E348" t="str">
            <v>UX110NE (PINK)</v>
          </cell>
          <cell r="F348" t="str">
            <v>SCOOTER</v>
          </cell>
          <cell r="G348">
            <v>68177</v>
          </cell>
          <cell r="H348">
            <v>45</v>
          </cell>
          <cell r="I348">
            <v>30</v>
          </cell>
          <cell r="J348">
            <v>90</v>
          </cell>
          <cell r="K348">
            <v>15</v>
          </cell>
          <cell r="L348">
            <v>15</v>
          </cell>
          <cell r="M348">
            <v>30</v>
          </cell>
        </row>
        <row r="349">
          <cell r="B349" t="str">
            <v>SKYDRIVE SPORT</v>
          </cell>
          <cell r="D349" t="str">
            <v>SUZUKI</v>
          </cell>
          <cell r="E349" t="str">
            <v>UX110NE (BLACK)</v>
          </cell>
          <cell r="F349" t="str">
            <v>SCOOTER</v>
          </cell>
          <cell r="G349">
            <v>68177</v>
          </cell>
          <cell r="H349">
            <v>45</v>
          </cell>
          <cell r="I349">
            <v>30</v>
          </cell>
          <cell r="J349">
            <v>90</v>
          </cell>
          <cell r="K349">
            <v>15</v>
          </cell>
          <cell r="L349">
            <v>15</v>
          </cell>
          <cell r="M349">
            <v>30</v>
          </cell>
        </row>
        <row r="350">
          <cell r="B350" t="str">
            <v>SKYDRIVE SPORT</v>
          </cell>
          <cell r="D350" t="str">
            <v>SUZUKI</v>
          </cell>
          <cell r="E350" t="str">
            <v>UX110NE (MATTE SILVER)</v>
          </cell>
          <cell r="F350" t="str">
            <v>SCOOTER</v>
          </cell>
          <cell r="G350">
            <v>68177</v>
          </cell>
          <cell r="H350">
            <v>45</v>
          </cell>
          <cell r="I350">
            <v>30</v>
          </cell>
          <cell r="J350">
            <v>90</v>
          </cell>
          <cell r="K350">
            <v>15</v>
          </cell>
          <cell r="L350">
            <v>15</v>
          </cell>
          <cell r="M350">
            <v>30</v>
          </cell>
        </row>
        <row r="351">
          <cell r="B351" t="str">
            <v>SKYDRIVE SPORT</v>
          </cell>
          <cell r="D351" t="str">
            <v>SUZUKI</v>
          </cell>
          <cell r="E351" t="str">
            <v>UX110NE (BLUE)</v>
          </cell>
          <cell r="F351" t="str">
            <v>SCOOTER</v>
          </cell>
          <cell r="G351">
            <v>68177</v>
          </cell>
          <cell r="H351">
            <v>45</v>
          </cell>
          <cell r="I351">
            <v>30</v>
          </cell>
          <cell r="J351">
            <v>90</v>
          </cell>
          <cell r="K351">
            <v>15</v>
          </cell>
          <cell r="L351">
            <v>15</v>
          </cell>
          <cell r="M351">
            <v>30</v>
          </cell>
        </row>
        <row r="352">
          <cell r="B352" t="str">
            <v>SKYDRIVE SPORT</v>
          </cell>
          <cell r="D352" t="str">
            <v>SUZUKI</v>
          </cell>
          <cell r="E352" t="str">
            <v>UX110NE (MATTE BLACK)</v>
          </cell>
          <cell r="F352" t="str">
            <v>SCOOTER</v>
          </cell>
          <cell r="G352">
            <v>68177</v>
          </cell>
          <cell r="H352">
            <v>45</v>
          </cell>
          <cell r="I352">
            <v>30</v>
          </cell>
          <cell r="J352">
            <v>90</v>
          </cell>
          <cell r="K352">
            <v>15</v>
          </cell>
          <cell r="L352">
            <v>15</v>
          </cell>
          <cell r="M352">
            <v>30</v>
          </cell>
        </row>
        <row r="353">
          <cell r="B353" t="str">
            <v>SKYDRIVE SPORT</v>
          </cell>
          <cell r="D353" t="str">
            <v>SUZUKI</v>
          </cell>
          <cell r="E353" t="str">
            <v>UX110NE (GREEN)</v>
          </cell>
          <cell r="F353" t="str">
            <v>SCOOTER</v>
          </cell>
          <cell r="G353">
            <v>68177</v>
          </cell>
          <cell r="H353">
            <v>45</v>
          </cell>
          <cell r="I353">
            <v>30</v>
          </cell>
          <cell r="J353">
            <v>90</v>
          </cell>
          <cell r="K353">
            <v>15</v>
          </cell>
          <cell r="L353">
            <v>15</v>
          </cell>
          <cell r="M353">
            <v>30</v>
          </cell>
        </row>
        <row r="354">
          <cell r="B354" t="str">
            <v>SKYDRIVE SPORT</v>
          </cell>
          <cell r="C354" t="str">
            <v>PHASE OUT</v>
          </cell>
          <cell r="D354" t="str">
            <v>SUZUKI</v>
          </cell>
          <cell r="E354" t="str">
            <v>UX110NZ (MATTE BLACK)</v>
          </cell>
          <cell r="F354" t="str">
            <v>SCOOTER</v>
          </cell>
          <cell r="G354">
            <v>68177</v>
          </cell>
          <cell r="H354">
            <v>45</v>
          </cell>
          <cell r="I354">
            <v>30</v>
          </cell>
          <cell r="J354">
            <v>90</v>
          </cell>
          <cell r="K354">
            <v>15</v>
          </cell>
          <cell r="L354">
            <v>15</v>
          </cell>
          <cell r="M354">
            <v>30</v>
          </cell>
        </row>
        <row r="355">
          <cell r="B355" t="str">
            <v>SKYDRIVE SPORT</v>
          </cell>
          <cell r="D355" t="str">
            <v>SUZUKI</v>
          </cell>
          <cell r="E355" t="str">
            <v>UX110NE-3BLACK (TITAN BLACK)</v>
          </cell>
          <cell r="F355" t="str">
            <v>SCOOTER</v>
          </cell>
          <cell r="G355">
            <v>68177</v>
          </cell>
          <cell r="H355">
            <v>45</v>
          </cell>
          <cell r="I355">
            <v>30</v>
          </cell>
          <cell r="J355">
            <v>90</v>
          </cell>
          <cell r="K355">
            <v>15</v>
          </cell>
          <cell r="L355">
            <v>15</v>
          </cell>
          <cell r="M355">
            <v>30</v>
          </cell>
        </row>
        <row r="356">
          <cell r="B356" t="str">
            <v>SMASH(MAGS)</v>
          </cell>
          <cell r="C356" t="str">
            <v>OLD MODEL CODE</v>
          </cell>
          <cell r="D356" t="str">
            <v>SUZUKI</v>
          </cell>
          <cell r="E356" t="str">
            <v>FW110SD SMASH (MATTE GRAY)</v>
          </cell>
          <cell r="F356" t="str">
            <v>UNDERBONE</v>
          </cell>
          <cell r="G356">
            <v>67342</v>
          </cell>
          <cell r="H356">
            <v>45</v>
          </cell>
          <cell r="I356">
            <v>30</v>
          </cell>
          <cell r="J356">
            <v>90</v>
          </cell>
          <cell r="K356">
            <v>15</v>
          </cell>
          <cell r="L356">
            <v>15</v>
          </cell>
          <cell r="M356">
            <v>30</v>
          </cell>
        </row>
        <row r="357">
          <cell r="B357" t="str">
            <v>SMASH(MAGS)</v>
          </cell>
          <cell r="C357" t="str">
            <v>OLD MODEL CODE</v>
          </cell>
          <cell r="D357" t="str">
            <v>SUZUKI</v>
          </cell>
          <cell r="E357" t="str">
            <v>FW110SD SMASH (BLUE)</v>
          </cell>
          <cell r="F357" t="str">
            <v>UNDERBONE</v>
          </cell>
          <cell r="G357">
            <v>67342</v>
          </cell>
          <cell r="H357">
            <v>45</v>
          </cell>
          <cell r="I357">
            <v>30</v>
          </cell>
          <cell r="J357">
            <v>90</v>
          </cell>
          <cell r="K357">
            <v>15</v>
          </cell>
          <cell r="L357">
            <v>15</v>
          </cell>
          <cell r="M357">
            <v>30</v>
          </cell>
        </row>
        <row r="358">
          <cell r="B358" t="str">
            <v>SMASH(MAGS)</v>
          </cell>
          <cell r="D358" t="str">
            <v>SUZUKI</v>
          </cell>
          <cell r="E358" t="str">
            <v>FW110SC-ABLUE</v>
          </cell>
          <cell r="F358" t="str">
            <v>UNDERBONE</v>
          </cell>
          <cell r="G358">
            <v>67342</v>
          </cell>
          <cell r="H358">
            <v>45</v>
          </cell>
          <cell r="I358">
            <v>30</v>
          </cell>
          <cell r="J358">
            <v>90</v>
          </cell>
          <cell r="K358">
            <v>15</v>
          </cell>
          <cell r="L358">
            <v>15</v>
          </cell>
          <cell r="M358">
            <v>30</v>
          </cell>
        </row>
        <row r="359">
          <cell r="B359" t="str">
            <v>SMASH(MAGS)</v>
          </cell>
          <cell r="D359" t="str">
            <v>SUZUKI</v>
          </cell>
          <cell r="E359" t="str">
            <v>FW110SC-ABLACK</v>
          </cell>
          <cell r="F359" t="str">
            <v>UNDERBONE</v>
          </cell>
          <cell r="G359">
            <v>67342</v>
          </cell>
          <cell r="H359">
            <v>45</v>
          </cell>
          <cell r="I359">
            <v>30</v>
          </cell>
          <cell r="J359">
            <v>90</v>
          </cell>
          <cell r="K359">
            <v>15</v>
          </cell>
          <cell r="L359">
            <v>15</v>
          </cell>
          <cell r="M359">
            <v>30</v>
          </cell>
        </row>
        <row r="360">
          <cell r="B360" t="str">
            <v>SMASH(SPOKE)</v>
          </cell>
          <cell r="C360" t="str">
            <v>OLD MODEL CODE</v>
          </cell>
          <cell r="D360" t="str">
            <v>SUZUKI</v>
          </cell>
          <cell r="E360" t="str">
            <v>FW110TD SMASH(MATTE BLACK)</v>
          </cell>
          <cell r="F360" t="str">
            <v>UNDERBONE</v>
          </cell>
          <cell r="G360">
            <v>62692</v>
          </cell>
          <cell r="H360">
            <v>45</v>
          </cell>
          <cell r="I360">
            <v>30</v>
          </cell>
          <cell r="J360">
            <v>90</v>
          </cell>
          <cell r="K360">
            <v>15</v>
          </cell>
          <cell r="L360">
            <v>15</v>
          </cell>
          <cell r="M360">
            <v>30</v>
          </cell>
        </row>
        <row r="361">
          <cell r="B361" t="str">
            <v>SMASH(SPOKE)</v>
          </cell>
          <cell r="C361" t="str">
            <v>OLD MODEL CODE</v>
          </cell>
          <cell r="D361" t="str">
            <v>SUZUKI</v>
          </cell>
          <cell r="E361" t="str">
            <v>FW110TD SMASH(BLACK)</v>
          </cell>
          <cell r="F361" t="str">
            <v>UNDERBONE</v>
          </cell>
          <cell r="G361">
            <v>62692</v>
          </cell>
          <cell r="H361">
            <v>45</v>
          </cell>
          <cell r="I361">
            <v>30</v>
          </cell>
          <cell r="J361">
            <v>90</v>
          </cell>
          <cell r="K361">
            <v>15</v>
          </cell>
          <cell r="L361">
            <v>15</v>
          </cell>
          <cell r="M361">
            <v>30</v>
          </cell>
        </row>
        <row r="362">
          <cell r="B362" t="str">
            <v>SMASH(SPOKE)</v>
          </cell>
          <cell r="C362" t="str">
            <v>OLD MODEL CODE</v>
          </cell>
          <cell r="D362" t="str">
            <v>SUZUKI</v>
          </cell>
          <cell r="E362" t="str">
            <v>FW110TD SMASH(RED)</v>
          </cell>
          <cell r="F362" t="str">
            <v>UNDERBONE</v>
          </cell>
          <cell r="G362">
            <v>62692</v>
          </cell>
          <cell r="H362">
            <v>45</v>
          </cell>
          <cell r="I362">
            <v>30</v>
          </cell>
          <cell r="J362">
            <v>90</v>
          </cell>
          <cell r="K362">
            <v>15</v>
          </cell>
          <cell r="L362">
            <v>15</v>
          </cell>
          <cell r="M362">
            <v>30</v>
          </cell>
        </row>
        <row r="363">
          <cell r="B363" t="str">
            <v>SMASH(SPOKE)</v>
          </cell>
          <cell r="D363" t="str">
            <v>SUZUKI</v>
          </cell>
          <cell r="E363" t="str">
            <v>FW110D SMASH (BLACK)</v>
          </cell>
          <cell r="F363" t="str">
            <v>UNDERBONE</v>
          </cell>
          <cell r="G363">
            <v>62692</v>
          </cell>
          <cell r="H363">
            <v>45</v>
          </cell>
          <cell r="I363">
            <v>30</v>
          </cell>
          <cell r="J363">
            <v>90</v>
          </cell>
          <cell r="K363">
            <v>15</v>
          </cell>
          <cell r="L363">
            <v>15</v>
          </cell>
          <cell r="M363">
            <v>30</v>
          </cell>
        </row>
        <row r="364">
          <cell r="B364" t="str">
            <v>SMASH(SPOKE)</v>
          </cell>
          <cell r="D364" t="str">
            <v>SUZUKI</v>
          </cell>
          <cell r="E364" t="str">
            <v>FW110D SMASH (PINK)</v>
          </cell>
          <cell r="F364" t="str">
            <v>UNDERBONE</v>
          </cell>
          <cell r="G364">
            <v>62692</v>
          </cell>
          <cell r="H364">
            <v>45</v>
          </cell>
          <cell r="I364">
            <v>30</v>
          </cell>
          <cell r="J364">
            <v>90</v>
          </cell>
          <cell r="K364">
            <v>15</v>
          </cell>
          <cell r="L364">
            <v>15</v>
          </cell>
          <cell r="M364">
            <v>30</v>
          </cell>
        </row>
        <row r="365">
          <cell r="B365" t="str">
            <v>SMASH(SPOKE)</v>
          </cell>
          <cell r="D365" t="str">
            <v>SUZUKI</v>
          </cell>
          <cell r="E365" t="str">
            <v>FW110D SMASH (RED)</v>
          </cell>
          <cell r="F365" t="str">
            <v>UNDERBONE</v>
          </cell>
          <cell r="G365">
            <v>62692</v>
          </cell>
          <cell r="H365">
            <v>45</v>
          </cell>
          <cell r="I365">
            <v>30</v>
          </cell>
          <cell r="J365">
            <v>90</v>
          </cell>
          <cell r="K365">
            <v>15</v>
          </cell>
          <cell r="L365">
            <v>15</v>
          </cell>
          <cell r="M365">
            <v>30</v>
          </cell>
        </row>
        <row r="366">
          <cell r="B366" t="str">
            <v>SMASH(SPOKE)</v>
          </cell>
          <cell r="C366" t="str">
            <v>OLD MODEL CODE</v>
          </cell>
          <cell r="D366" t="str">
            <v>SUZUKI</v>
          </cell>
          <cell r="E366" t="str">
            <v>FW110 SMASH (VIOLET)</v>
          </cell>
          <cell r="F366" t="str">
            <v>UNDERBONE</v>
          </cell>
          <cell r="G366">
            <v>62692</v>
          </cell>
          <cell r="H366">
            <v>45</v>
          </cell>
          <cell r="I366">
            <v>30</v>
          </cell>
          <cell r="J366">
            <v>90</v>
          </cell>
          <cell r="K366">
            <v>15</v>
          </cell>
          <cell r="L366">
            <v>15</v>
          </cell>
          <cell r="M366">
            <v>30</v>
          </cell>
        </row>
        <row r="367">
          <cell r="B367" t="str">
            <v>SMASH(SPOKE)</v>
          </cell>
          <cell r="C367" t="str">
            <v>OLD MODEL CODE</v>
          </cell>
          <cell r="D367" t="str">
            <v>SUZUKI</v>
          </cell>
          <cell r="E367" t="str">
            <v>FW110 SMASH (MATTE BLACK)</v>
          </cell>
          <cell r="F367" t="str">
            <v>UNDERBONE</v>
          </cell>
          <cell r="G367">
            <v>62692</v>
          </cell>
          <cell r="H367">
            <v>45</v>
          </cell>
          <cell r="I367">
            <v>30</v>
          </cell>
          <cell r="J367">
            <v>90</v>
          </cell>
          <cell r="K367">
            <v>15</v>
          </cell>
          <cell r="L367">
            <v>15</v>
          </cell>
          <cell r="M367">
            <v>30</v>
          </cell>
        </row>
        <row r="368">
          <cell r="B368" t="str">
            <v>SMASH(SPOKE)</v>
          </cell>
          <cell r="D368" t="str">
            <v>SUZUKI</v>
          </cell>
          <cell r="E368" t="str">
            <v>FW110D (MATTE BLACK)</v>
          </cell>
          <cell r="F368" t="str">
            <v>UNDERBONE</v>
          </cell>
          <cell r="G368">
            <v>62692</v>
          </cell>
          <cell r="H368">
            <v>45</v>
          </cell>
          <cell r="I368">
            <v>30</v>
          </cell>
          <cell r="J368">
            <v>90</v>
          </cell>
          <cell r="K368">
            <v>15</v>
          </cell>
          <cell r="L368">
            <v>15</v>
          </cell>
          <cell r="M368">
            <v>30</v>
          </cell>
        </row>
        <row r="369">
          <cell r="B369" t="str">
            <v>SMASH(SPOKE)</v>
          </cell>
          <cell r="D369" t="str">
            <v>SUZUKI</v>
          </cell>
          <cell r="E369" t="str">
            <v>FW110D (FRENETIC VIOLET)</v>
          </cell>
          <cell r="F369" t="str">
            <v>UNDERBONE</v>
          </cell>
          <cell r="G369">
            <v>62692</v>
          </cell>
          <cell r="H369">
            <v>45</v>
          </cell>
          <cell r="I369">
            <v>30</v>
          </cell>
          <cell r="J369">
            <v>90</v>
          </cell>
          <cell r="K369">
            <v>15</v>
          </cell>
          <cell r="L369">
            <v>15</v>
          </cell>
          <cell r="M369">
            <v>30</v>
          </cell>
        </row>
        <row r="370">
          <cell r="B370" t="str">
            <v>SMASH(SPOKE)</v>
          </cell>
          <cell r="D370" t="str">
            <v>SUZUKI</v>
          </cell>
          <cell r="E370" t="str">
            <v>FW110D SMASH- HGREEN</v>
          </cell>
          <cell r="F370" t="str">
            <v>UNDERBONE</v>
          </cell>
          <cell r="G370">
            <v>62692</v>
          </cell>
          <cell r="H370">
            <v>45</v>
          </cell>
          <cell r="I370">
            <v>30</v>
          </cell>
          <cell r="J370">
            <v>90</v>
          </cell>
          <cell r="K370">
            <v>15</v>
          </cell>
          <cell r="L370">
            <v>15</v>
          </cell>
          <cell r="M370">
            <v>30</v>
          </cell>
        </row>
        <row r="371">
          <cell r="B371" t="str">
            <v>SMASH(SPOKE)</v>
          </cell>
          <cell r="D371" t="str">
            <v>SUZUKI</v>
          </cell>
          <cell r="E371" t="str">
            <v>FW110D-SMASH IVORY</v>
          </cell>
          <cell r="F371" t="str">
            <v>UNDERBONE</v>
          </cell>
          <cell r="G371">
            <v>62692</v>
          </cell>
          <cell r="H371">
            <v>45</v>
          </cell>
          <cell r="I371">
            <v>30</v>
          </cell>
          <cell r="J371">
            <v>90</v>
          </cell>
          <cell r="K371">
            <v>15</v>
          </cell>
          <cell r="L371">
            <v>15</v>
          </cell>
          <cell r="M371">
            <v>30</v>
          </cell>
        </row>
        <row r="372">
          <cell r="B372" t="str">
            <v>SMASH(SPOKE)</v>
          </cell>
          <cell r="D372" t="str">
            <v>SUZUKI</v>
          </cell>
          <cell r="E372" t="str">
            <v>FW110D-IBLACK SMASH110</v>
          </cell>
          <cell r="F372" t="str">
            <v>UNDERBONE</v>
          </cell>
          <cell r="G372">
            <v>62692</v>
          </cell>
          <cell r="H372">
            <v>45</v>
          </cell>
          <cell r="I372">
            <v>30</v>
          </cell>
          <cell r="J372">
            <v>90</v>
          </cell>
          <cell r="K372">
            <v>15</v>
          </cell>
          <cell r="L372">
            <v>15</v>
          </cell>
          <cell r="M372">
            <v>30</v>
          </cell>
        </row>
        <row r="373">
          <cell r="B373" t="str">
            <v>SMASH(SPOKE)</v>
          </cell>
          <cell r="D373" t="str">
            <v>SUZUKI</v>
          </cell>
          <cell r="E373" t="str">
            <v>FW110D-IPINK SMASH115</v>
          </cell>
          <cell r="F373" t="str">
            <v>UNDERBONE</v>
          </cell>
          <cell r="G373">
            <v>62692</v>
          </cell>
          <cell r="H373">
            <v>45</v>
          </cell>
          <cell r="I373">
            <v>30</v>
          </cell>
          <cell r="J373">
            <v>90</v>
          </cell>
          <cell r="K373">
            <v>15</v>
          </cell>
          <cell r="L373">
            <v>15</v>
          </cell>
          <cell r="M373">
            <v>30</v>
          </cell>
        </row>
        <row r="374">
          <cell r="B374" t="str">
            <v>SMASH(SPOKE)</v>
          </cell>
          <cell r="D374" t="str">
            <v>SUZUKI</v>
          </cell>
          <cell r="E374" t="str">
            <v>FW110D-IIVORY SMASH110</v>
          </cell>
          <cell r="F374" t="str">
            <v>UNDERBONE</v>
          </cell>
          <cell r="G374">
            <v>62692</v>
          </cell>
          <cell r="H374">
            <v>45</v>
          </cell>
          <cell r="I374">
            <v>30</v>
          </cell>
          <cell r="J374">
            <v>90</v>
          </cell>
          <cell r="K374">
            <v>15</v>
          </cell>
          <cell r="L374">
            <v>15</v>
          </cell>
          <cell r="M374">
            <v>30</v>
          </cell>
        </row>
        <row r="375">
          <cell r="B375" t="str">
            <v>SMASH(SPOKE)</v>
          </cell>
          <cell r="D375" t="str">
            <v>SUZUKI</v>
          </cell>
          <cell r="E375" t="str">
            <v>FW110D-IRED SMASH110</v>
          </cell>
          <cell r="F375" t="str">
            <v>UNDERBONE</v>
          </cell>
          <cell r="G375">
            <v>62692</v>
          </cell>
          <cell r="H375">
            <v>45</v>
          </cell>
          <cell r="I375">
            <v>30</v>
          </cell>
          <cell r="J375">
            <v>90</v>
          </cell>
          <cell r="K375">
            <v>15</v>
          </cell>
          <cell r="L375">
            <v>15</v>
          </cell>
          <cell r="M375">
            <v>30</v>
          </cell>
        </row>
        <row r="376">
          <cell r="B376" t="str">
            <v>SMASH(SPOKE)</v>
          </cell>
          <cell r="D376" t="str">
            <v>SUZUKI</v>
          </cell>
          <cell r="E376" t="str">
            <v>FW110D-SMASH GRAY</v>
          </cell>
          <cell r="F376" t="str">
            <v>UNDERBONE</v>
          </cell>
          <cell r="G376">
            <v>62692</v>
          </cell>
          <cell r="H376">
            <v>45</v>
          </cell>
          <cell r="I376">
            <v>30</v>
          </cell>
          <cell r="J376">
            <v>90</v>
          </cell>
          <cell r="K376">
            <v>15</v>
          </cell>
          <cell r="L376">
            <v>15</v>
          </cell>
          <cell r="M376">
            <v>30</v>
          </cell>
        </row>
        <row r="377">
          <cell r="B377" t="str">
            <v>SMASH(SPOKE)</v>
          </cell>
          <cell r="D377" t="str">
            <v>SUZUKI</v>
          </cell>
          <cell r="E377" t="str">
            <v>FW110D SMASH110 (GREEN)</v>
          </cell>
          <cell r="F377" t="str">
            <v>UNDERBONE</v>
          </cell>
          <cell r="G377">
            <v>62692</v>
          </cell>
          <cell r="H377">
            <v>45</v>
          </cell>
          <cell r="I377">
            <v>30</v>
          </cell>
          <cell r="J377">
            <v>90</v>
          </cell>
          <cell r="K377">
            <v>15</v>
          </cell>
          <cell r="L377">
            <v>15</v>
          </cell>
          <cell r="M377">
            <v>30</v>
          </cell>
        </row>
        <row r="378">
          <cell r="B378" t="str">
            <v>SMASH(SPOKE)</v>
          </cell>
          <cell r="D378" t="str">
            <v>SUZUKI</v>
          </cell>
          <cell r="E378" t="str">
            <v>FW110D SMASH (C1IVORY)</v>
          </cell>
          <cell r="F378" t="str">
            <v>UNDERBONE</v>
          </cell>
          <cell r="G378">
            <v>62692</v>
          </cell>
          <cell r="H378">
            <v>45</v>
          </cell>
          <cell r="I378">
            <v>30</v>
          </cell>
          <cell r="J378">
            <v>90</v>
          </cell>
          <cell r="K378">
            <v>15</v>
          </cell>
          <cell r="L378">
            <v>15</v>
          </cell>
          <cell r="M378">
            <v>30</v>
          </cell>
        </row>
        <row r="379">
          <cell r="B379" t="str">
            <v>SMASH(SPOKE)</v>
          </cell>
          <cell r="D379" t="str">
            <v>SUZUKI</v>
          </cell>
          <cell r="E379" t="str">
            <v>FW110D SMASH (C1GREEN)</v>
          </cell>
          <cell r="F379" t="str">
            <v>UNDERBONE</v>
          </cell>
          <cell r="G379">
            <v>62692</v>
          </cell>
          <cell r="H379">
            <v>45</v>
          </cell>
          <cell r="I379">
            <v>30</v>
          </cell>
          <cell r="J379">
            <v>90</v>
          </cell>
          <cell r="K379">
            <v>15</v>
          </cell>
          <cell r="L379">
            <v>15</v>
          </cell>
          <cell r="M379">
            <v>30</v>
          </cell>
        </row>
        <row r="380">
          <cell r="B380" t="str">
            <v>SMASH(SPOKE)</v>
          </cell>
          <cell r="D380" t="str">
            <v>SUZUKI</v>
          </cell>
          <cell r="E380" t="str">
            <v>FW110D SMASH (C1BLACK)</v>
          </cell>
          <cell r="F380" t="str">
            <v>UNDERBONE</v>
          </cell>
          <cell r="G380">
            <v>62692</v>
          </cell>
          <cell r="H380">
            <v>45</v>
          </cell>
          <cell r="I380">
            <v>30</v>
          </cell>
          <cell r="J380">
            <v>90</v>
          </cell>
          <cell r="K380">
            <v>15</v>
          </cell>
          <cell r="L380">
            <v>15</v>
          </cell>
          <cell r="M380">
            <v>30</v>
          </cell>
        </row>
        <row r="381">
          <cell r="B381" t="str">
            <v>SNIPER 155 FI</v>
          </cell>
          <cell r="C381" t="str">
            <v>OLD MODEL CODE</v>
          </cell>
          <cell r="D381" t="str">
            <v>YAMAHA</v>
          </cell>
          <cell r="E381" t="str">
            <v>SNIPER 150 MX B187(MATTE GREEN/M.GRAY)</v>
          </cell>
          <cell r="F381" t="str">
            <v>UNDERBONE</v>
          </cell>
          <cell r="G381">
            <v>117087</v>
          </cell>
          <cell r="H381">
            <v>45</v>
          </cell>
          <cell r="I381">
            <v>30</v>
          </cell>
          <cell r="J381">
            <v>90</v>
          </cell>
          <cell r="K381">
            <v>15</v>
          </cell>
          <cell r="L381">
            <v>15</v>
          </cell>
          <cell r="M381">
            <v>30</v>
          </cell>
        </row>
        <row r="382">
          <cell r="B382" t="str">
            <v>SNIPER 155 FI</v>
          </cell>
          <cell r="C382" t="str">
            <v>OLD MODEL CODE</v>
          </cell>
          <cell r="D382" t="str">
            <v>YAMAHA</v>
          </cell>
          <cell r="E382" t="str">
            <v>SNIPER 150 MX i B187 (BLUE/SILVER)</v>
          </cell>
          <cell r="F382" t="str">
            <v>UNDERBONE</v>
          </cell>
          <cell r="G382">
            <v>117087</v>
          </cell>
          <cell r="H382">
            <v>45</v>
          </cell>
          <cell r="I382">
            <v>30</v>
          </cell>
          <cell r="J382">
            <v>90</v>
          </cell>
          <cell r="K382">
            <v>15</v>
          </cell>
          <cell r="L382">
            <v>15</v>
          </cell>
          <cell r="M382">
            <v>30</v>
          </cell>
        </row>
        <row r="383">
          <cell r="B383" t="str">
            <v>SNIPER 155 FI</v>
          </cell>
          <cell r="C383" t="str">
            <v>OLD MODEL CODE</v>
          </cell>
          <cell r="D383" t="str">
            <v>YAMAHA</v>
          </cell>
          <cell r="E383" t="str">
            <v>SNIPER150 B186 (BLUE/BLACK)</v>
          </cell>
          <cell r="F383" t="str">
            <v>UNDERBONE</v>
          </cell>
          <cell r="G383">
            <v>117087</v>
          </cell>
          <cell r="H383">
            <v>45</v>
          </cell>
          <cell r="I383">
            <v>30</v>
          </cell>
          <cell r="J383">
            <v>90</v>
          </cell>
          <cell r="K383">
            <v>15</v>
          </cell>
          <cell r="L383">
            <v>15</v>
          </cell>
          <cell r="M383">
            <v>30</v>
          </cell>
        </row>
        <row r="384">
          <cell r="B384" t="str">
            <v>SNIPER 155 FI</v>
          </cell>
          <cell r="C384" t="str">
            <v>OLD MODEL CODE</v>
          </cell>
          <cell r="D384" t="str">
            <v>YAMAHA</v>
          </cell>
          <cell r="E384" t="str">
            <v>SNIPER150 B186 (MATTE/BLACK)</v>
          </cell>
          <cell r="F384" t="str">
            <v>UNDERBONE</v>
          </cell>
          <cell r="G384">
            <v>117087</v>
          </cell>
          <cell r="H384">
            <v>45</v>
          </cell>
          <cell r="I384">
            <v>30</v>
          </cell>
          <cell r="J384">
            <v>90</v>
          </cell>
          <cell r="K384">
            <v>15</v>
          </cell>
          <cell r="L384">
            <v>15</v>
          </cell>
          <cell r="M384">
            <v>30</v>
          </cell>
        </row>
        <row r="385">
          <cell r="B385" t="str">
            <v>SNIPER 155 FI</v>
          </cell>
          <cell r="C385" t="str">
            <v>OLD MODEL CODE</v>
          </cell>
          <cell r="D385" t="str">
            <v>YAMAHA</v>
          </cell>
          <cell r="E385" t="str">
            <v>SNIPER150 B186 (MATTE GRAY/YELLOW)</v>
          </cell>
          <cell r="F385" t="str">
            <v>UNDERBONE</v>
          </cell>
          <cell r="G385">
            <v>117087</v>
          </cell>
          <cell r="H385">
            <v>45</v>
          </cell>
          <cell r="I385">
            <v>30</v>
          </cell>
          <cell r="J385">
            <v>90</v>
          </cell>
          <cell r="K385">
            <v>15</v>
          </cell>
          <cell r="L385">
            <v>15</v>
          </cell>
          <cell r="M385">
            <v>30</v>
          </cell>
        </row>
        <row r="386">
          <cell r="B386" t="str">
            <v>SNIPER 155 FI</v>
          </cell>
          <cell r="C386" t="str">
            <v>OLD MODEL CODE</v>
          </cell>
          <cell r="D386" t="str">
            <v>YAMAHA</v>
          </cell>
          <cell r="E386" t="str">
            <v>SNIPER150 B186 (MATTE GREEN/BLACK)</v>
          </cell>
          <cell r="F386" t="str">
            <v>UNDERBONE</v>
          </cell>
          <cell r="G386">
            <v>117087</v>
          </cell>
          <cell r="H386">
            <v>45</v>
          </cell>
          <cell r="I386">
            <v>30</v>
          </cell>
          <cell r="J386">
            <v>90</v>
          </cell>
          <cell r="K386">
            <v>15</v>
          </cell>
          <cell r="L386">
            <v>15</v>
          </cell>
          <cell r="M386">
            <v>30</v>
          </cell>
        </row>
        <row r="387">
          <cell r="B387" t="str">
            <v>SNIPER 155 FI</v>
          </cell>
          <cell r="C387" t="str">
            <v>OLD MODEL CODE</v>
          </cell>
          <cell r="D387" t="str">
            <v>YAMAHA</v>
          </cell>
          <cell r="E387" t="str">
            <v>SNIPER150 B18A (MONSTER ENERGY EDITION)</v>
          </cell>
          <cell r="F387" t="str">
            <v>UNDERBONE</v>
          </cell>
          <cell r="G387">
            <v>117087</v>
          </cell>
          <cell r="H387">
            <v>45</v>
          </cell>
          <cell r="I387">
            <v>30</v>
          </cell>
          <cell r="J387">
            <v>90</v>
          </cell>
          <cell r="K387">
            <v>15</v>
          </cell>
          <cell r="L387">
            <v>15</v>
          </cell>
          <cell r="M387">
            <v>30</v>
          </cell>
        </row>
        <row r="388">
          <cell r="B388" t="str">
            <v>SNIPER 155 FI</v>
          </cell>
          <cell r="C388" t="str">
            <v>OLD MODEL CODE</v>
          </cell>
          <cell r="D388" t="str">
            <v>YAMAHA</v>
          </cell>
          <cell r="E388" t="str">
            <v>SNIPER150 B18B (BLUE)</v>
          </cell>
          <cell r="F388" t="str">
            <v>UNDERBONE</v>
          </cell>
          <cell r="G388">
            <v>117087</v>
          </cell>
          <cell r="H388">
            <v>45</v>
          </cell>
          <cell r="I388">
            <v>30</v>
          </cell>
          <cell r="J388">
            <v>90</v>
          </cell>
          <cell r="K388">
            <v>15</v>
          </cell>
          <cell r="L388">
            <v>15</v>
          </cell>
          <cell r="M388">
            <v>30</v>
          </cell>
        </row>
        <row r="389">
          <cell r="B389" t="str">
            <v>SNIPER 155 FI</v>
          </cell>
          <cell r="D389" t="str">
            <v>YAMAHA</v>
          </cell>
          <cell r="E389" t="str">
            <v>SNIPER155 BAY2 (MATTE GRAY)</v>
          </cell>
          <cell r="F389" t="str">
            <v>UNDERBONE</v>
          </cell>
          <cell r="G389">
            <v>117087</v>
          </cell>
          <cell r="H389">
            <v>45</v>
          </cell>
          <cell r="I389">
            <v>30</v>
          </cell>
          <cell r="J389">
            <v>90</v>
          </cell>
          <cell r="K389">
            <v>15</v>
          </cell>
          <cell r="L389">
            <v>15</v>
          </cell>
          <cell r="M389">
            <v>30</v>
          </cell>
        </row>
        <row r="390">
          <cell r="B390" t="str">
            <v>SNIPER 155 FI</v>
          </cell>
          <cell r="D390" t="str">
            <v>YAMAHA</v>
          </cell>
          <cell r="E390" t="str">
            <v>SNIPER155 BAY2 (MATTE BLACK)</v>
          </cell>
          <cell r="F390" t="str">
            <v>UNDERBONE</v>
          </cell>
          <cell r="G390">
            <v>117087</v>
          </cell>
          <cell r="H390">
            <v>45</v>
          </cell>
          <cell r="I390">
            <v>30</v>
          </cell>
          <cell r="J390">
            <v>90</v>
          </cell>
          <cell r="K390">
            <v>15</v>
          </cell>
          <cell r="L390">
            <v>15</v>
          </cell>
          <cell r="M390">
            <v>30</v>
          </cell>
        </row>
        <row r="391">
          <cell r="B391" t="str">
            <v>SNIPER 155 FI</v>
          </cell>
          <cell r="D391" t="str">
            <v>YAMAHA</v>
          </cell>
          <cell r="E391" t="str">
            <v>SNIPER155 BAY2 (BLUE)</v>
          </cell>
          <cell r="F391" t="str">
            <v>UNDERBONE</v>
          </cell>
          <cell r="G391">
            <v>117087</v>
          </cell>
          <cell r="H391">
            <v>45</v>
          </cell>
          <cell r="I391">
            <v>30</v>
          </cell>
          <cell r="J391">
            <v>90</v>
          </cell>
          <cell r="K391">
            <v>15</v>
          </cell>
          <cell r="L391">
            <v>15</v>
          </cell>
          <cell r="M391">
            <v>30</v>
          </cell>
        </row>
        <row r="392">
          <cell r="B392" t="str">
            <v>SNIPER 155 FI</v>
          </cell>
          <cell r="D392" t="str">
            <v>YAMAHA</v>
          </cell>
          <cell r="E392" t="str">
            <v>SNIPER155 BAY8 (BLUE/ MATTE BLUE)</v>
          </cell>
          <cell r="F392" t="str">
            <v>UNDERBONE</v>
          </cell>
          <cell r="G392">
            <v>117087</v>
          </cell>
          <cell r="H392">
            <v>45</v>
          </cell>
          <cell r="I392">
            <v>30</v>
          </cell>
          <cell r="J392">
            <v>90</v>
          </cell>
          <cell r="K392">
            <v>15</v>
          </cell>
          <cell r="L392">
            <v>15</v>
          </cell>
          <cell r="M392">
            <v>30</v>
          </cell>
        </row>
        <row r="393">
          <cell r="B393" t="str">
            <v>SNIPER 155 FI</v>
          </cell>
          <cell r="D393" t="str">
            <v>YAMAHA</v>
          </cell>
          <cell r="E393" t="str">
            <v>SNIPER155 BAY8 (DARK GRAY)</v>
          </cell>
          <cell r="F393" t="str">
            <v>UNDERBONE</v>
          </cell>
          <cell r="G393">
            <v>117087</v>
          </cell>
          <cell r="H393">
            <v>45</v>
          </cell>
          <cell r="I393">
            <v>30</v>
          </cell>
          <cell r="J393">
            <v>90</v>
          </cell>
          <cell r="K393">
            <v>15</v>
          </cell>
          <cell r="L393">
            <v>15</v>
          </cell>
          <cell r="M393">
            <v>30</v>
          </cell>
        </row>
        <row r="394">
          <cell r="B394" t="str">
            <v>SUPRA GTR</v>
          </cell>
          <cell r="D394" t="str">
            <v>HONDA</v>
          </cell>
          <cell r="E394" t="str">
            <v>FS150FL (BLACK)</v>
          </cell>
          <cell r="F394" t="str">
            <v>UNDERBONE</v>
          </cell>
          <cell r="G394">
            <v>101358</v>
          </cell>
          <cell r="H394">
            <v>45</v>
          </cell>
          <cell r="I394">
            <v>30</v>
          </cell>
          <cell r="J394">
            <v>90</v>
          </cell>
          <cell r="K394">
            <v>15</v>
          </cell>
          <cell r="L394">
            <v>15</v>
          </cell>
          <cell r="M394">
            <v>30</v>
          </cell>
        </row>
        <row r="395">
          <cell r="B395" t="str">
            <v>SUPRA GTR</v>
          </cell>
          <cell r="D395" t="str">
            <v>HONDA</v>
          </cell>
          <cell r="E395" t="str">
            <v>FS150FL (RED/BLACK)</v>
          </cell>
          <cell r="F395" t="str">
            <v>UNDERBONE</v>
          </cell>
          <cell r="G395">
            <v>101358</v>
          </cell>
          <cell r="H395">
            <v>45</v>
          </cell>
          <cell r="I395">
            <v>30</v>
          </cell>
          <cell r="J395">
            <v>90</v>
          </cell>
          <cell r="K395">
            <v>15</v>
          </cell>
          <cell r="L395">
            <v>15</v>
          </cell>
          <cell r="M395">
            <v>30</v>
          </cell>
        </row>
        <row r="396">
          <cell r="B396" t="str">
            <v>TMX ALPHA FI</v>
          </cell>
          <cell r="C396" t="str">
            <v>OLD MODEL CODE</v>
          </cell>
          <cell r="D396" t="str">
            <v>HONDA</v>
          </cell>
          <cell r="E396" t="str">
            <v>CCG125WHF TMX125 ALPHA(RED)</v>
          </cell>
          <cell r="F396" t="str">
            <v>BUSINESS</v>
          </cell>
          <cell r="G396">
            <v>56426</v>
          </cell>
          <cell r="H396">
            <v>45</v>
          </cell>
          <cell r="I396">
            <v>30</v>
          </cell>
          <cell r="J396">
            <v>90</v>
          </cell>
          <cell r="K396">
            <v>15</v>
          </cell>
          <cell r="L396">
            <v>15</v>
          </cell>
          <cell r="M396">
            <v>30</v>
          </cell>
        </row>
        <row r="397">
          <cell r="B397" t="str">
            <v>TMX ALPHA FI</v>
          </cell>
          <cell r="C397" t="str">
            <v>OLD MODEL CODE</v>
          </cell>
          <cell r="D397" t="str">
            <v>HONDA</v>
          </cell>
          <cell r="E397" t="str">
            <v>CCG125WHJ FI TMX125 ALPHA(BLACK)</v>
          </cell>
          <cell r="F397" t="str">
            <v>BUSINESS</v>
          </cell>
          <cell r="G397">
            <v>56426</v>
          </cell>
          <cell r="H397">
            <v>45</v>
          </cell>
          <cell r="I397">
            <v>30</v>
          </cell>
          <cell r="J397">
            <v>90</v>
          </cell>
          <cell r="K397">
            <v>15</v>
          </cell>
          <cell r="L397">
            <v>15</v>
          </cell>
          <cell r="M397">
            <v>30</v>
          </cell>
        </row>
        <row r="398">
          <cell r="B398" t="str">
            <v>TMX ALPHA FI</v>
          </cell>
          <cell r="C398" t="str">
            <v>OLD MODEL CODE</v>
          </cell>
          <cell r="D398" t="str">
            <v>HONDA</v>
          </cell>
          <cell r="E398" t="str">
            <v>CCG125WHJ FI TMX125 ALPHA(BLUE)</v>
          </cell>
          <cell r="F398" t="str">
            <v>BUSINESS</v>
          </cell>
          <cell r="G398">
            <v>56426</v>
          </cell>
          <cell r="H398">
            <v>45</v>
          </cell>
          <cell r="I398">
            <v>30</v>
          </cell>
          <cell r="J398">
            <v>90</v>
          </cell>
          <cell r="K398">
            <v>15</v>
          </cell>
          <cell r="L398">
            <v>15</v>
          </cell>
          <cell r="M398">
            <v>30</v>
          </cell>
        </row>
        <row r="399">
          <cell r="B399" t="str">
            <v>TMX ALPHA FI</v>
          </cell>
          <cell r="C399" t="str">
            <v>OLD MODEL CODE</v>
          </cell>
          <cell r="D399" t="str">
            <v>HONDA</v>
          </cell>
          <cell r="E399" t="str">
            <v>CCG125 WHJ TMX125 (RED)</v>
          </cell>
          <cell r="F399" t="str">
            <v>BUSINESS</v>
          </cell>
          <cell r="G399">
            <v>56426</v>
          </cell>
          <cell r="H399">
            <v>45</v>
          </cell>
          <cell r="I399">
            <v>30</v>
          </cell>
          <cell r="J399">
            <v>90</v>
          </cell>
          <cell r="K399">
            <v>15</v>
          </cell>
          <cell r="L399">
            <v>15</v>
          </cell>
          <cell r="M399">
            <v>30</v>
          </cell>
        </row>
        <row r="400">
          <cell r="B400" t="str">
            <v>TMX ALPHA FI</v>
          </cell>
          <cell r="C400" t="str">
            <v>OLD MODEL CODE</v>
          </cell>
          <cell r="D400" t="str">
            <v>HONDA</v>
          </cell>
          <cell r="E400" t="str">
            <v>CCG125WHJ (BLACK) TMX125 ALPHA NEW</v>
          </cell>
          <cell r="F400" t="str">
            <v>BUSINESS</v>
          </cell>
          <cell r="G400">
            <v>56426</v>
          </cell>
          <cell r="H400">
            <v>45</v>
          </cell>
          <cell r="I400">
            <v>30</v>
          </cell>
          <cell r="J400">
            <v>90</v>
          </cell>
          <cell r="K400">
            <v>15</v>
          </cell>
          <cell r="L400">
            <v>15</v>
          </cell>
          <cell r="M400">
            <v>30</v>
          </cell>
        </row>
        <row r="401">
          <cell r="B401" t="str">
            <v>TMX ALPHA FI</v>
          </cell>
          <cell r="C401" t="str">
            <v>OLD MODEL CODE</v>
          </cell>
          <cell r="D401" t="str">
            <v>HONDA</v>
          </cell>
          <cell r="E401" t="str">
            <v>CCG125WHJ (RED) TMX125 ALPHA NEW</v>
          </cell>
          <cell r="F401" t="str">
            <v>BUSINESS</v>
          </cell>
          <cell r="G401">
            <v>56426</v>
          </cell>
          <cell r="H401">
            <v>45</v>
          </cell>
          <cell r="I401">
            <v>30</v>
          </cell>
          <cell r="J401">
            <v>90</v>
          </cell>
          <cell r="K401">
            <v>15</v>
          </cell>
          <cell r="L401">
            <v>15</v>
          </cell>
          <cell r="M401">
            <v>30</v>
          </cell>
        </row>
        <row r="402">
          <cell r="B402" t="str">
            <v>TMX ALPHA FI</v>
          </cell>
          <cell r="C402" t="str">
            <v>OLD MODEL CODE</v>
          </cell>
          <cell r="D402" t="str">
            <v>HONDA</v>
          </cell>
          <cell r="E402" t="str">
            <v>CCG125WHJ(RED) TMX125 ALPHA</v>
          </cell>
          <cell r="F402" t="str">
            <v>BUSINESS</v>
          </cell>
          <cell r="G402">
            <v>56426</v>
          </cell>
          <cell r="H402">
            <v>45</v>
          </cell>
          <cell r="I402">
            <v>30</v>
          </cell>
          <cell r="J402">
            <v>90</v>
          </cell>
          <cell r="K402">
            <v>15</v>
          </cell>
          <cell r="L402">
            <v>15</v>
          </cell>
          <cell r="M402">
            <v>30</v>
          </cell>
        </row>
        <row r="403">
          <cell r="B403" t="str">
            <v>TMX ALPHA FI</v>
          </cell>
          <cell r="D403" t="str">
            <v>HONDA</v>
          </cell>
          <cell r="E403" t="str">
            <v>CCG125MII ( BLACK)</v>
          </cell>
          <cell r="F403" t="str">
            <v>BUSINESS</v>
          </cell>
          <cell r="G403">
            <v>56426</v>
          </cell>
          <cell r="H403">
            <v>45</v>
          </cell>
          <cell r="I403">
            <v>30</v>
          </cell>
          <cell r="J403">
            <v>90</v>
          </cell>
          <cell r="K403">
            <v>15</v>
          </cell>
          <cell r="L403">
            <v>15</v>
          </cell>
          <cell r="M403">
            <v>30</v>
          </cell>
        </row>
        <row r="404">
          <cell r="B404" t="str">
            <v>TMX ALPHA FI</v>
          </cell>
          <cell r="D404" t="str">
            <v>HONDA</v>
          </cell>
          <cell r="E404" t="str">
            <v>CCG125MII ( RED)</v>
          </cell>
          <cell r="F404" t="str">
            <v>BUSINESS</v>
          </cell>
          <cell r="G404">
            <v>56426</v>
          </cell>
          <cell r="H404">
            <v>45</v>
          </cell>
          <cell r="I404">
            <v>30</v>
          </cell>
          <cell r="J404">
            <v>90</v>
          </cell>
          <cell r="K404">
            <v>15</v>
          </cell>
          <cell r="L404">
            <v>15</v>
          </cell>
          <cell r="M404">
            <v>30</v>
          </cell>
        </row>
        <row r="405">
          <cell r="B405" t="str">
            <v>TMX ALPHA FI</v>
          </cell>
          <cell r="D405" t="str">
            <v>HONDA</v>
          </cell>
          <cell r="E405" t="str">
            <v>CCG125MII ( SILVER)</v>
          </cell>
          <cell r="F405" t="str">
            <v>BUSINESS</v>
          </cell>
          <cell r="G405">
            <v>56426</v>
          </cell>
          <cell r="H405">
            <v>45</v>
          </cell>
          <cell r="I405">
            <v>30</v>
          </cell>
          <cell r="J405">
            <v>90</v>
          </cell>
          <cell r="K405">
            <v>15</v>
          </cell>
          <cell r="L405">
            <v>15</v>
          </cell>
          <cell r="M405">
            <v>30</v>
          </cell>
        </row>
        <row r="406">
          <cell r="B406" t="str">
            <v>TMX150 SUPREMO</v>
          </cell>
          <cell r="D406" t="str">
            <v>HONDA</v>
          </cell>
          <cell r="E406" t="str">
            <v>TMXS2J FI TMX SUPREMO(RED)</v>
          </cell>
          <cell r="F406" t="str">
            <v>BUSINESS</v>
          </cell>
          <cell r="G406">
            <v>76850</v>
          </cell>
          <cell r="H406">
            <v>45</v>
          </cell>
          <cell r="I406">
            <v>30</v>
          </cell>
          <cell r="J406">
            <v>90</v>
          </cell>
          <cell r="K406">
            <v>15</v>
          </cell>
          <cell r="L406">
            <v>15</v>
          </cell>
          <cell r="M406">
            <v>30</v>
          </cell>
        </row>
        <row r="407">
          <cell r="B407" t="str">
            <v>TMX150 SUPREMO</v>
          </cell>
          <cell r="D407" t="str">
            <v>HONDA</v>
          </cell>
          <cell r="E407" t="str">
            <v>TMXS2J FI TMX SUPREMO(BLACK)</v>
          </cell>
          <cell r="F407" t="str">
            <v>BUSINESS</v>
          </cell>
          <cell r="G407">
            <v>76850</v>
          </cell>
          <cell r="H407">
            <v>45</v>
          </cell>
          <cell r="I407">
            <v>30</v>
          </cell>
          <cell r="J407">
            <v>90</v>
          </cell>
          <cell r="K407">
            <v>15</v>
          </cell>
          <cell r="L407">
            <v>15</v>
          </cell>
          <cell r="M407">
            <v>30</v>
          </cell>
        </row>
        <row r="408">
          <cell r="B408" t="str">
            <v>TMX150 SUPREMO</v>
          </cell>
          <cell r="D408" t="str">
            <v>HONDA</v>
          </cell>
          <cell r="E408" t="str">
            <v>GL150R TMX SUPREMO ( BLACK)</v>
          </cell>
          <cell r="F408" t="str">
            <v>BUSINESS</v>
          </cell>
          <cell r="G408">
            <v>76850</v>
          </cell>
          <cell r="H408">
            <v>45</v>
          </cell>
          <cell r="I408">
            <v>30</v>
          </cell>
          <cell r="J408">
            <v>90</v>
          </cell>
          <cell r="K408">
            <v>15</v>
          </cell>
          <cell r="L408">
            <v>15</v>
          </cell>
          <cell r="M408">
            <v>30</v>
          </cell>
        </row>
        <row r="409">
          <cell r="B409" t="str">
            <v>TMX150 SUPREMO</v>
          </cell>
          <cell r="D409" t="str">
            <v>HONDA</v>
          </cell>
          <cell r="E409" t="str">
            <v>GL150R TMX SUPREMO (RED)</v>
          </cell>
          <cell r="F409" t="str">
            <v>BUSINESS</v>
          </cell>
          <cell r="G409">
            <v>76850</v>
          </cell>
          <cell r="H409">
            <v>45</v>
          </cell>
          <cell r="I409">
            <v>30</v>
          </cell>
          <cell r="J409">
            <v>90</v>
          </cell>
          <cell r="K409">
            <v>15</v>
          </cell>
          <cell r="L409">
            <v>15</v>
          </cell>
          <cell r="M409">
            <v>30</v>
          </cell>
        </row>
        <row r="410">
          <cell r="B410" t="str">
            <v>V-STROM 250 SX</v>
          </cell>
          <cell r="D410" t="str">
            <v>SUZUKI</v>
          </cell>
          <cell r="E410" t="str">
            <v>DS250RL 250 V-STROM (BLACK)</v>
          </cell>
          <cell r="F410" t="str">
            <v>UNDERBONE</v>
          </cell>
          <cell r="G410">
            <v>215770</v>
          </cell>
          <cell r="H410">
            <v>45</v>
          </cell>
          <cell r="I410">
            <v>30</v>
          </cell>
          <cell r="J410">
            <v>90</v>
          </cell>
          <cell r="K410">
            <v>15</v>
          </cell>
          <cell r="L410">
            <v>15</v>
          </cell>
          <cell r="M410">
            <v>30</v>
          </cell>
        </row>
        <row r="411">
          <cell r="B411" t="str">
            <v>V-STROM 250 SX</v>
          </cell>
          <cell r="D411" t="str">
            <v>SUZUKI</v>
          </cell>
          <cell r="E411" t="str">
            <v>DS250RL 250 V-STROM (YELLOW)</v>
          </cell>
          <cell r="F411" t="str">
            <v>UNDERBONE</v>
          </cell>
          <cell r="G411">
            <v>215770</v>
          </cell>
          <cell r="H411">
            <v>45</v>
          </cell>
          <cell r="I411">
            <v>30</v>
          </cell>
          <cell r="J411">
            <v>90</v>
          </cell>
          <cell r="K411">
            <v>15</v>
          </cell>
          <cell r="L411">
            <v>15</v>
          </cell>
          <cell r="M411">
            <v>30</v>
          </cell>
        </row>
        <row r="412">
          <cell r="B412" t="str">
            <v>W175</v>
          </cell>
          <cell r="D412" t="str">
            <v>KAWASAKI</v>
          </cell>
          <cell r="E412" t="str">
            <v>BJ175APAAN W175 (GREEN)</v>
          </cell>
          <cell r="F412" t="str">
            <v>BIGBIKE</v>
          </cell>
          <cell r="G412">
            <v>127866</v>
          </cell>
          <cell r="H412">
            <v>45</v>
          </cell>
          <cell r="I412">
            <v>30</v>
          </cell>
          <cell r="J412">
            <v>90</v>
          </cell>
          <cell r="K412">
            <v>15</v>
          </cell>
          <cell r="L412">
            <v>15</v>
          </cell>
          <cell r="M412">
            <v>30</v>
          </cell>
        </row>
        <row r="413">
          <cell r="B413" t="str">
            <v>WAVE RSX (DRUM)</v>
          </cell>
          <cell r="D413" t="str">
            <v>HONDA</v>
          </cell>
          <cell r="E413" t="str">
            <v>AFP110DFP WAVE110 (DRUM) BLUE/BLACK</v>
          </cell>
          <cell r="F413" t="str">
            <v>UNDERBONE</v>
          </cell>
          <cell r="G413">
            <v>61670</v>
          </cell>
          <cell r="H413">
            <v>45</v>
          </cell>
          <cell r="I413">
            <v>30</v>
          </cell>
          <cell r="J413">
            <v>90</v>
          </cell>
          <cell r="K413">
            <v>15</v>
          </cell>
          <cell r="L413">
            <v>15</v>
          </cell>
          <cell r="M413">
            <v>30</v>
          </cell>
        </row>
        <row r="414">
          <cell r="B414" t="str">
            <v>WAVE RSX (DRUM)</v>
          </cell>
          <cell r="D414" t="str">
            <v>HONDA</v>
          </cell>
          <cell r="E414" t="str">
            <v>AFP110DFP WAVE110 (DRUM) SILVER/BLACK</v>
          </cell>
          <cell r="F414" t="str">
            <v>UNDERBONE</v>
          </cell>
          <cell r="G414">
            <v>61670</v>
          </cell>
          <cell r="H414">
            <v>45</v>
          </cell>
          <cell r="I414">
            <v>30</v>
          </cell>
          <cell r="J414">
            <v>90</v>
          </cell>
          <cell r="K414">
            <v>15</v>
          </cell>
          <cell r="L414">
            <v>15</v>
          </cell>
          <cell r="M414">
            <v>30</v>
          </cell>
        </row>
        <row r="415">
          <cell r="B415" t="str">
            <v>WAVE RSX(DISC)</v>
          </cell>
          <cell r="D415" t="str">
            <v>HONDA</v>
          </cell>
          <cell r="E415" t="str">
            <v>AFP110SFP WAVE110(DISK) RED/BLACK</v>
          </cell>
          <cell r="F415" t="str">
            <v>UNDERBONE</v>
          </cell>
          <cell r="G415">
            <v>63510</v>
          </cell>
          <cell r="H415">
            <v>45</v>
          </cell>
          <cell r="I415">
            <v>30</v>
          </cell>
          <cell r="J415">
            <v>90</v>
          </cell>
          <cell r="K415">
            <v>15</v>
          </cell>
          <cell r="L415">
            <v>15</v>
          </cell>
          <cell r="M415">
            <v>30</v>
          </cell>
        </row>
        <row r="416">
          <cell r="B416" t="str">
            <v>WIZARD</v>
          </cell>
          <cell r="D416" t="str">
            <v>SKYGO</v>
          </cell>
          <cell r="E416" t="str">
            <v>SG125-8A WIZARD</v>
          </cell>
          <cell r="F416" t="str">
            <v>BUSINESS</v>
          </cell>
          <cell r="G416">
            <v>35055</v>
          </cell>
          <cell r="H416">
            <v>45</v>
          </cell>
          <cell r="I416">
            <v>30</v>
          </cell>
          <cell r="J416">
            <v>90</v>
          </cell>
          <cell r="K416">
            <v>15</v>
          </cell>
          <cell r="L416">
            <v>15</v>
          </cell>
          <cell r="M416">
            <v>30</v>
          </cell>
        </row>
        <row r="417">
          <cell r="B417" t="str">
            <v>WIZARD</v>
          </cell>
          <cell r="D417" t="str">
            <v>SKYGO</v>
          </cell>
          <cell r="E417" t="str">
            <v>SG125-8A WIZARD</v>
          </cell>
          <cell r="F417" t="str">
            <v>BUSINESS</v>
          </cell>
          <cell r="G417">
            <v>35055</v>
          </cell>
          <cell r="H417">
            <v>45</v>
          </cell>
          <cell r="I417">
            <v>30</v>
          </cell>
          <cell r="J417">
            <v>90</v>
          </cell>
          <cell r="K417">
            <v>15</v>
          </cell>
          <cell r="L417">
            <v>15</v>
          </cell>
          <cell r="M417">
            <v>30</v>
          </cell>
        </row>
        <row r="418">
          <cell r="B418" t="str">
            <v>WIZARD</v>
          </cell>
          <cell r="D418" t="str">
            <v>SKYGO</v>
          </cell>
          <cell r="E418" t="str">
            <v>SG125-8A WIZARD</v>
          </cell>
          <cell r="F418" t="str">
            <v>BUSINESS</v>
          </cell>
          <cell r="G418">
            <v>35055</v>
          </cell>
          <cell r="H418">
            <v>45</v>
          </cell>
          <cell r="I418">
            <v>30</v>
          </cell>
          <cell r="J418">
            <v>90</v>
          </cell>
          <cell r="K418">
            <v>15</v>
          </cell>
          <cell r="L418">
            <v>15</v>
          </cell>
          <cell r="M418">
            <v>30</v>
          </cell>
        </row>
        <row r="419">
          <cell r="B419" t="str">
            <v>WIZARD</v>
          </cell>
          <cell r="D419" t="str">
            <v>SKYGO</v>
          </cell>
          <cell r="E419" t="str">
            <v>SG125-8A WIZARD</v>
          </cell>
          <cell r="F419" t="str">
            <v>BUSINESS</v>
          </cell>
          <cell r="G419">
            <v>35055</v>
          </cell>
          <cell r="H419">
            <v>45</v>
          </cell>
          <cell r="I419">
            <v>30</v>
          </cell>
          <cell r="J419">
            <v>90</v>
          </cell>
          <cell r="K419">
            <v>15</v>
          </cell>
          <cell r="L419">
            <v>15</v>
          </cell>
          <cell r="M419">
            <v>30</v>
          </cell>
        </row>
        <row r="420">
          <cell r="B420" t="str">
            <v>WIZARD</v>
          </cell>
          <cell r="D420" t="str">
            <v>SKYGO</v>
          </cell>
          <cell r="E420" t="str">
            <v>SG125-8A WIZARD</v>
          </cell>
          <cell r="F420" t="str">
            <v>BUSINESS</v>
          </cell>
          <cell r="G420">
            <v>35055</v>
          </cell>
          <cell r="H420">
            <v>45</v>
          </cell>
          <cell r="I420">
            <v>30</v>
          </cell>
          <cell r="J420">
            <v>90</v>
          </cell>
          <cell r="K420">
            <v>15</v>
          </cell>
          <cell r="L420">
            <v>15</v>
          </cell>
          <cell r="M420">
            <v>30</v>
          </cell>
        </row>
        <row r="421">
          <cell r="B421" t="str">
            <v>XMAX 300</v>
          </cell>
          <cell r="C421" t="str">
            <v>OLD MODEL CODE</v>
          </cell>
          <cell r="D421" t="str">
            <v>YAMAHA</v>
          </cell>
          <cell r="E421" t="str">
            <v>XMAX 300-B746 (BRONZE/M-BLACK)</v>
          </cell>
          <cell r="F421" t="str">
            <v>SCOOTER</v>
          </cell>
          <cell r="G421">
            <v>278535</v>
          </cell>
          <cell r="H421">
            <v>45</v>
          </cell>
          <cell r="I421">
            <v>30</v>
          </cell>
          <cell r="J421">
            <v>90</v>
          </cell>
          <cell r="K421">
            <v>15</v>
          </cell>
          <cell r="L421">
            <v>15</v>
          </cell>
          <cell r="M421">
            <v>30</v>
          </cell>
        </row>
        <row r="422">
          <cell r="B422" t="str">
            <v>XMAX 300</v>
          </cell>
          <cell r="D422" t="str">
            <v>YAMAHA</v>
          </cell>
          <cell r="E422" t="str">
            <v>XMAX 300 B5XE (MATTE GREEN/ BLACK)</v>
          </cell>
          <cell r="F422" t="str">
            <v>SCOOTER</v>
          </cell>
          <cell r="G422">
            <v>278535</v>
          </cell>
          <cell r="H422">
            <v>45</v>
          </cell>
          <cell r="I422">
            <v>30</v>
          </cell>
          <cell r="J422">
            <v>90</v>
          </cell>
          <cell r="K422">
            <v>15</v>
          </cell>
          <cell r="L422">
            <v>15</v>
          </cell>
          <cell r="M422">
            <v>30</v>
          </cell>
        </row>
        <row r="423">
          <cell r="B423" t="str">
            <v>XMAX 300</v>
          </cell>
          <cell r="D423" t="str">
            <v>YAMAHA</v>
          </cell>
          <cell r="E423" t="str">
            <v>XMAX BKA5</v>
          </cell>
          <cell r="F423" t="str">
            <v>SCOOTER</v>
          </cell>
          <cell r="G423">
            <v>278535</v>
          </cell>
          <cell r="H423">
            <v>45</v>
          </cell>
          <cell r="I423">
            <v>30</v>
          </cell>
          <cell r="J423">
            <v>90</v>
          </cell>
          <cell r="K423">
            <v>15</v>
          </cell>
          <cell r="L423">
            <v>15</v>
          </cell>
          <cell r="M423">
            <v>30</v>
          </cell>
        </row>
        <row r="424">
          <cell r="B424" t="str">
            <v>XR150</v>
          </cell>
          <cell r="D424" t="str">
            <v>HONDA</v>
          </cell>
          <cell r="E424" t="str">
            <v>XR150 LEKJ XR150L EURO 3 (BLACK)</v>
          </cell>
          <cell r="F424" t="str">
            <v>SPORTS TYPE</v>
          </cell>
          <cell r="G424">
            <v>94330</v>
          </cell>
          <cell r="H424">
            <v>45</v>
          </cell>
          <cell r="I424">
            <v>30</v>
          </cell>
          <cell r="J424">
            <v>90</v>
          </cell>
          <cell r="K424">
            <v>15</v>
          </cell>
          <cell r="L424">
            <v>15</v>
          </cell>
          <cell r="M424">
            <v>30</v>
          </cell>
        </row>
        <row r="425">
          <cell r="B425" t="str">
            <v>XR150</v>
          </cell>
          <cell r="D425" t="str">
            <v>HONDA</v>
          </cell>
          <cell r="E425" t="str">
            <v>XR150 LEKJ XR150L EURO 3 (RED)</v>
          </cell>
          <cell r="F425" t="str">
            <v>SPORTS TYPE</v>
          </cell>
          <cell r="G425">
            <v>94330</v>
          </cell>
          <cell r="H425">
            <v>45</v>
          </cell>
          <cell r="I425">
            <v>30</v>
          </cell>
          <cell r="J425">
            <v>90</v>
          </cell>
          <cell r="K425">
            <v>15</v>
          </cell>
          <cell r="L425">
            <v>15</v>
          </cell>
          <cell r="M425">
            <v>30</v>
          </cell>
        </row>
        <row r="426">
          <cell r="B426" t="str">
            <v>XR150</v>
          </cell>
          <cell r="D426" t="str">
            <v>HONDA</v>
          </cell>
          <cell r="E426" t="str">
            <v>XR150LEKP (BLACK)</v>
          </cell>
          <cell r="F426" t="str">
            <v>SPORTS TYPE</v>
          </cell>
          <cell r="G426">
            <v>94330</v>
          </cell>
          <cell r="H426">
            <v>45</v>
          </cell>
          <cell r="I426">
            <v>30</v>
          </cell>
          <cell r="J426">
            <v>90</v>
          </cell>
          <cell r="K426">
            <v>15</v>
          </cell>
          <cell r="L426">
            <v>15</v>
          </cell>
          <cell r="M426">
            <v>30</v>
          </cell>
        </row>
        <row r="427">
          <cell r="B427" t="str">
            <v>XR150</v>
          </cell>
          <cell r="D427" t="str">
            <v>HONDA</v>
          </cell>
          <cell r="E427" t="str">
            <v>XR150LEKP (RED)</v>
          </cell>
          <cell r="F427" t="str">
            <v>SPORTS TYPE</v>
          </cell>
          <cell r="G427">
            <v>94330</v>
          </cell>
          <cell r="H427">
            <v>45</v>
          </cell>
          <cell r="I427">
            <v>30</v>
          </cell>
          <cell r="J427">
            <v>90</v>
          </cell>
          <cell r="K427">
            <v>15</v>
          </cell>
          <cell r="L427">
            <v>15</v>
          </cell>
          <cell r="M427">
            <v>30</v>
          </cell>
        </row>
        <row r="428">
          <cell r="B428" t="str">
            <v>XR150</v>
          </cell>
          <cell r="D428" t="str">
            <v>HONDA</v>
          </cell>
          <cell r="E428" t="str">
            <v>XR150LEKP (WHITE)</v>
          </cell>
          <cell r="F428" t="str">
            <v>SPORTS TYPE</v>
          </cell>
          <cell r="G428">
            <v>94330</v>
          </cell>
          <cell r="H428">
            <v>45</v>
          </cell>
          <cell r="I428">
            <v>30</v>
          </cell>
          <cell r="J428">
            <v>90</v>
          </cell>
          <cell r="K428">
            <v>15</v>
          </cell>
          <cell r="L428">
            <v>15</v>
          </cell>
          <cell r="M428">
            <v>30</v>
          </cell>
        </row>
        <row r="429">
          <cell r="B429" t="str">
            <v>XRM DUAL SPORTS FI(DS)</v>
          </cell>
          <cell r="C429" t="str">
            <v>OLD MODEL CODE</v>
          </cell>
          <cell r="D429" t="str">
            <v>HONDA</v>
          </cell>
          <cell r="E429" t="str">
            <v>CFT125MSL</v>
          </cell>
          <cell r="F429" t="str">
            <v>UNDERBONE</v>
          </cell>
          <cell r="G429">
            <v>69950</v>
          </cell>
          <cell r="H429">
            <v>45</v>
          </cell>
          <cell r="I429">
            <v>30</v>
          </cell>
          <cell r="J429">
            <v>90</v>
          </cell>
          <cell r="K429">
            <v>15</v>
          </cell>
          <cell r="L429">
            <v>15</v>
          </cell>
          <cell r="M429">
            <v>30</v>
          </cell>
        </row>
        <row r="430">
          <cell r="B430" t="str">
            <v>XRM DUAL SPORTS FI(DS)</v>
          </cell>
          <cell r="C430" t="str">
            <v>OLD MODEL CODE</v>
          </cell>
          <cell r="D430" t="str">
            <v>HONDA</v>
          </cell>
          <cell r="E430" t="str">
            <v>CFT125MSL</v>
          </cell>
          <cell r="F430" t="str">
            <v>UNDERBONE</v>
          </cell>
          <cell r="G430">
            <v>69950</v>
          </cell>
          <cell r="H430">
            <v>45</v>
          </cell>
          <cell r="I430">
            <v>30</v>
          </cell>
          <cell r="J430">
            <v>90</v>
          </cell>
          <cell r="K430">
            <v>15</v>
          </cell>
          <cell r="L430">
            <v>15</v>
          </cell>
          <cell r="M430">
            <v>30</v>
          </cell>
        </row>
        <row r="431">
          <cell r="B431" t="str">
            <v>XRM DUAL SPORTS FI(DS)</v>
          </cell>
          <cell r="C431" t="str">
            <v>OLD MODEL CODE</v>
          </cell>
          <cell r="D431" t="str">
            <v>HONDA</v>
          </cell>
          <cell r="E431" t="str">
            <v>CFT125MSL</v>
          </cell>
          <cell r="F431" t="str">
            <v>UNDERBONE</v>
          </cell>
          <cell r="G431">
            <v>69950</v>
          </cell>
          <cell r="H431">
            <v>45</v>
          </cell>
          <cell r="I431">
            <v>30</v>
          </cell>
          <cell r="J431">
            <v>90</v>
          </cell>
          <cell r="K431">
            <v>15</v>
          </cell>
          <cell r="L431">
            <v>15</v>
          </cell>
          <cell r="M431">
            <v>30</v>
          </cell>
        </row>
        <row r="432">
          <cell r="B432" t="str">
            <v>XRM DUAL SPORTS FI(DS)</v>
          </cell>
          <cell r="D432" t="str">
            <v>HONDA</v>
          </cell>
          <cell r="E432" t="str">
            <v>CFT125MSM XRM 125 DS (Green/Black)</v>
          </cell>
          <cell r="F432" t="str">
            <v>UNDERBONE</v>
          </cell>
          <cell r="G432">
            <v>69950</v>
          </cell>
          <cell r="H432">
            <v>45</v>
          </cell>
          <cell r="I432">
            <v>30</v>
          </cell>
          <cell r="J432">
            <v>90</v>
          </cell>
          <cell r="K432">
            <v>15</v>
          </cell>
          <cell r="L432">
            <v>15</v>
          </cell>
          <cell r="M432">
            <v>30</v>
          </cell>
        </row>
        <row r="433">
          <cell r="B433" t="str">
            <v>XRM DUAL SPORTS FI(DS)</v>
          </cell>
          <cell r="D433" t="str">
            <v>HONDA</v>
          </cell>
          <cell r="E433" t="str">
            <v>CFT125MSM XRM 125 DS (Red/BLACK)</v>
          </cell>
          <cell r="F433" t="str">
            <v>UNDERBONE</v>
          </cell>
          <cell r="G433">
            <v>69950</v>
          </cell>
          <cell r="H433">
            <v>45</v>
          </cell>
          <cell r="I433">
            <v>30</v>
          </cell>
          <cell r="J433">
            <v>90</v>
          </cell>
          <cell r="K433">
            <v>15</v>
          </cell>
          <cell r="L433">
            <v>15</v>
          </cell>
          <cell r="M433">
            <v>30</v>
          </cell>
        </row>
        <row r="434">
          <cell r="B434" t="str">
            <v>XRM DUAL SPORTS FI(DS)</v>
          </cell>
          <cell r="D434" t="str">
            <v>HONDA</v>
          </cell>
          <cell r="E434" t="str">
            <v>CFT125MSM XRM 125 DS (GRAY/BLACK)</v>
          </cell>
          <cell r="F434" t="str">
            <v>UNDERBONE</v>
          </cell>
          <cell r="G434">
            <v>69950</v>
          </cell>
          <cell r="H434">
            <v>45</v>
          </cell>
          <cell r="I434">
            <v>30</v>
          </cell>
          <cell r="J434">
            <v>90</v>
          </cell>
          <cell r="K434">
            <v>15</v>
          </cell>
          <cell r="L434">
            <v>15</v>
          </cell>
          <cell r="M434">
            <v>30</v>
          </cell>
        </row>
        <row r="435">
          <cell r="B435" t="str">
            <v>XRM DUAL SPORTS FI(DS)</v>
          </cell>
          <cell r="D435" t="str">
            <v>HONDA</v>
          </cell>
          <cell r="E435" t="str">
            <v>CFT125MSM XRM 125 DS (BLUE/BLACK)</v>
          </cell>
          <cell r="F435" t="str">
            <v>UNDERBONE</v>
          </cell>
          <cell r="G435">
            <v>69950</v>
          </cell>
          <cell r="H435">
            <v>45</v>
          </cell>
          <cell r="I435">
            <v>30</v>
          </cell>
          <cell r="J435">
            <v>90</v>
          </cell>
          <cell r="K435">
            <v>15</v>
          </cell>
          <cell r="L435">
            <v>15</v>
          </cell>
          <cell r="M435">
            <v>30</v>
          </cell>
        </row>
        <row r="436">
          <cell r="B436" t="str">
            <v>XRM DUAL SPORTS FI(DS)</v>
          </cell>
          <cell r="D436" t="str">
            <v>HONDA</v>
          </cell>
          <cell r="E436" t="str">
            <v>CFT125MSP XRM125 DS (RED/BLACK)</v>
          </cell>
          <cell r="F436" t="str">
            <v>UNDERBONE</v>
          </cell>
          <cell r="G436">
            <v>69950</v>
          </cell>
          <cell r="H436">
            <v>45</v>
          </cell>
          <cell r="I436">
            <v>30</v>
          </cell>
          <cell r="J436">
            <v>90</v>
          </cell>
          <cell r="K436">
            <v>15</v>
          </cell>
          <cell r="L436">
            <v>15</v>
          </cell>
          <cell r="M436">
            <v>30</v>
          </cell>
        </row>
        <row r="437">
          <cell r="B437" t="str">
            <v>XRM DUAL SPORTS FI(DS)</v>
          </cell>
          <cell r="D437" t="str">
            <v>HONDA</v>
          </cell>
          <cell r="E437" t="str">
            <v>CFT125MSP XRM125 DS (GRAY/BLACK)</v>
          </cell>
          <cell r="F437" t="str">
            <v>UNDERBONE</v>
          </cell>
          <cell r="G437">
            <v>69950</v>
          </cell>
          <cell r="H437">
            <v>45</v>
          </cell>
          <cell r="I437">
            <v>30</v>
          </cell>
          <cell r="J437">
            <v>90</v>
          </cell>
          <cell r="K437">
            <v>15</v>
          </cell>
          <cell r="L437">
            <v>15</v>
          </cell>
          <cell r="M437">
            <v>30</v>
          </cell>
        </row>
        <row r="438">
          <cell r="B438" t="str">
            <v>XRM DUAL SPORTS FI(DS)</v>
          </cell>
          <cell r="D438" t="str">
            <v>HONDA</v>
          </cell>
          <cell r="E438" t="str">
            <v>CFT125MSP XRM125 DS (GREEN/BLACK)</v>
          </cell>
          <cell r="F438" t="str">
            <v>UNDERBONE</v>
          </cell>
          <cell r="G438">
            <v>69950</v>
          </cell>
          <cell r="H438">
            <v>45</v>
          </cell>
          <cell r="I438">
            <v>30</v>
          </cell>
          <cell r="J438">
            <v>90</v>
          </cell>
          <cell r="K438">
            <v>15</v>
          </cell>
          <cell r="L438">
            <v>15</v>
          </cell>
          <cell r="M438">
            <v>30</v>
          </cell>
        </row>
        <row r="439">
          <cell r="B439" t="str">
            <v>XRM DUAL SPORTS FI(DS)</v>
          </cell>
          <cell r="D439" t="str">
            <v>HONDA</v>
          </cell>
          <cell r="E439" t="str">
            <v>CFT125MSP XRM125 DS (BLUE/BLACK)</v>
          </cell>
          <cell r="F439" t="str">
            <v>UNDERBONE</v>
          </cell>
          <cell r="G439">
            <v>69950</v>
          </cell>
          <cell r="H439">
            <v>45</v>
          </cell>
          <cell r="I439">
            <v>30</v>
          </cell>
          <cell r="J439">
            <v>90</v>
          </cell>
          <cell r="K439">
            <v>15</v>
          </cell>
          <cell r="L439">
            <v>15</v>
          </cell>
          <cell r="M439">
            <v>30</v>
          </cell>
        </row>
        <row r="440">
          <cell r="B440" t="str">
            <v>XRM DUAL SPORTS FI(DS)</v>
          </cell>
          <cell r="C440" t="str">
            <v>OLD MODEL CODE</v>
          </cell>
          <cell r="D440" t="str">
            <v>HONDA</v>
          </cell>
          <cell r="E440" t="str">
            <v>CFT125MSJ FI XRM125 DUAL (RED/WHITE)</v>
          </cell>
          <cell r="F440" t="str">
            <v>UNDERBONE</v>
          </cell>
          <cell r="G440">
            <v>69950</v>
          </cell>
          <cell r="H440">
            <v>45</v>
          </cell>
          <cell r="I440">
            <v>30</v>
          </cell>
          <cell r="J440">
            <v>90</v>
          </cell>
          <cell r="K440">
            <v>15</v>
          </cell>
          <cell r="L440">
            <v>15</v>
          </cell>
          <cell r="M440">
            <v>30</v>
          </cell>
        </row>
        <row r="441">
          <cell r="B441" t="str">
            <v>XRM MOTARD FI</v>
          </cell>
          <cell r="C441" t="str">
            <v>OLD MODEL CODE</v>
          </cell>
          <cell r="D441" t="str">
            <v>HONDA</v>
          </cell>
          <cell r="E441" t="str">
            <v>CFT125MRCJ FI XRM125 MOTARD(ORANGE/BLACK)</v>
          </cell>
          <cell r="F441" t="str">
            <v>UNDERBONE</v>
          </cell>
          <cell r="G441">
            <v>74550</v>
          </cell>
          <cell r="H441">
            <v>45</v>
          </cell>
          <cell r="I441">
            <v>30</v>
          </cell>
          <cell r="J441">
            <v>90</v>
          </cell>
          <cell r="K441">
            <v>15</v>
          </cell>
          <cell r="L441">
            <v>15</v>
          </cell>
          <cell r="M441">
            <v>30</v>
          </cell>
        </row>
        <row r="442">
          <cell r="B442" t="str">
            <v>XRM MOTARD FI</v>
          </cell>
          <cell r="C442" t="str">
            <v>OLD MODEL CODE</v>
          </cell>
          <cell r="D442" t="str">
            <v>HONDA</v>
          </cell>
          <cell r="E442" t="str">
            <v>CFT125 MRCK (ORANGE/BLACK)</v>
          </cell>
          <cell r="F442" t="str">
            <v>UNDERBONE</v>
          </cell>
          <cell r="G442">
            <v>74550</v>
          </cell>
          <cell r="H442">
            <v>45</v>
          </cell>
          <cell r="I442">
            <v>30</v>
          </cell>
          <cell r="J442">
            <v>90</v>
          </cell>
          <cell r="K442">
            <v>15</v>
          </cell>
          <cell r="L442">
            <v>15</v>
          </cell>
          <cell r="M442">
            <v>30</v>
          </cell>
        </row>
        <row r="443">
          <cell r="B443" t="str">
            <v>XRM MOTARD FI</v>
          </cell>
          <cell r="C443" t="str">
            <v>OLD MODEL CODE</v>
          </cell>
          <cell r="D443" t="str">
            <v>HONDA</v>
          </cell>
          <cell r="E443" t="str">
            <v>CFT125 MRCK (RED/BLACK)</v>
          </cell>
          <cell r="F443" t="str">
            <v>UNDERBONE</v>
          </cell>
          <cell r="G443">
            <v>74550</v>
          </cell>
          <cell r="H443">
            <v>45</v>
          </cell>
          <cell r="I443">
            <v>30</v>
          </cell>
          <cell r="J443">
            <v>90</v>
          </cell>
          <cell r="K443">
            <v>15</v>
          </cell>
          <cell r="L443">
            <v>15</v>
          </cell>
          <cell r="M443">
            <v>30</v>
          </cell>
        </row>
        <row r="444">
          <cell r="B444" t="str">
            <v>XRM MOTARD FI</v>
          </cell>
          <cell r="C444" t="str">
            <v>OLD MODEL CODE</v>
          </cell>
          <cell r="D444" t="str">
            <v>HONDA</v>
          </cell>
          <cell r="E444" t="str">
            <v>CFT125MRCL</v>
          </cell>
          <cell r="F444" t="str">
            <v>UNDERBONE</v>
          </cell>
          <cell r="G444">
            <v>74550</v>
          </cell>
          <cell r="H444">
            <v>45</v>
          </cell>
          <cell r="I444">
            <v>30</v>
          </cell>
          <cell r="J444">
            <v>90</v>
          </cell>
          <cell r="K444">
            <v>15</v>
          </cell>
          <cell r="L444">
            <v>15</v>
          </cell>
          <cell r="M444">
            <v>30</v>
          </cell>
        </row>
        <row r="445">
          <cell r="B445" t="str">
            <v>XRM MOTARD FI</v>
          </cell>
          <cell r="C445" t="str">
            <v>OLD MODEL CODE</v>
          </cell>
          <cell r="D445" t="str">
            <v>HONDA</v>
          </cell>
          <cell r="E445" t="str">
            <v>CFT125MRCL</v>
          </cell>
          <cell r="F445" t="str">
            <v>UNDERBONE</v>
          </cell>
          <cell r="G445">
            <v>74550</v>
          </cell>
          <cell r="H445">
            <v>45</v>
          </cell>
          <cell r="I445">
            <v>30</v>
          </cell>
          <cell r="J445">
            <v>90</v>
          </cell>
          <cell r="K445">
            <v>15</v>
          </cell>
          <cell r="L445">
            <v>15</v>
          </cell>
          <cell r="M445">
            <v>30</v>
          </cell>
        </row>
        <row r="446">
          <cell r="B446" t="str">
            <v>XRM MOTARD FI</v>
          </cell>
          <cell r="D446" t="str">
            <v>HONDA</v>
          </cell>
          <cell r="E446" t="str">
            <v>CFT125MRCM XRM 125 (RED/GRAY)</v>
          </cell>
          <cell r="F446" t="str">
            <v>UNDERBONE</v>
          </cell>
          <cell r="G446">
            <v>74550</v>
          </cell>
          <cell r="H446">
            <v>45</v>
          </cell>
          <cell r="I446">
            <v>30</v>
          </cell>
          <cell r="J446">
            <v>90</v>
          </cell>
          <cell r="K446">
            <v>15</v>
          </cell>
          <cell r="L446">
            <v>15</v>
          </cell>
          <cell r="M446">
            <v>30</v>
          </cell>
        </row>
        <row r="447">
          <cell r="B447" t="str">
            <v>XRM MOTARD FI</v>
          </cell>
          <cell r="D447" t="str">
            <v>HONDA</v>
          </cell>
          <cell r="E447" t="str">
            <v>CFT125MRCP (BLACK/GRAY)</v>
          </cell>
          <cell r="F447" t="str">
            <v>UNDERBONE</v>
          </cell>
          <cell r="G447">
            <v>74550</v>
          </cell>
          <cell r="H447">
            <v>45</v>
          </cell>
          <cell r="I447">
            <v>30</v>
          </cell>
          <cell r="J447">
            <v>90</v>
          </cell>
          <cell r="K447">
            <v>15</v>
          </cell>
          <cell r="L447">
            <v>15</v>
          </cell>
          <cell r="M447">
            <v>30</v>
          </cell>
        </row>
        <row r="448">
          <cell r="B448" t="str">
            <v>XRM OFFROAD FI(DSX)</v>
          </cell>
          <cell r="C448" t="str">
            <v>OLD MODEL CODE</v>
          </cell>
          <cell r="D448" t="str">
            <v>HONDA</v>
          </cell>
          <cell r="E448" t="str">
            <v>CFT125MRK (BLACK)</v>
          </cell>
          <cell r="F448" t="str">
            <v>UNDERBONE</v>
          </cell>
          <cell r="G448">
            <v>73170</v>
          </cell>
          <cell r="H448">
            <v>45</v>
          </cell>
          <cell r="I448">
            <v>30</v>
          </cell>
          <cell r="J448">
            <v>90</v>
          </cell>
          <cell r="K448">
            <v>15</v>
          </cell>
          <cell r="L448">
            <v>15</v>
          </cell>
          <cell r="M448">
            <v>30</v>
          </cell>
        </row>
        <row r="449">
          <cell r="B449" t="str">
            <v>XRM OFFROAD FI(DSX)</v>
          </cell>
          <cell r="C449" t="str">
            <v>OLD MODEL CODE</v>
          </cell>
          <cell r="D449" t="str">
            <v>HONDA</v>
          </cell>
          <cell r="E449" t="str">
            <v>CFT125MRL</v>
          </cell>
          <cell r="F449" t="str">
            <v>UNDERBONE</v>
          </cell>
          <cell r="G449">
            <v>73170</v>
          </cell>
          <cell r="H449">
            <v>45</v>
          </cell>
          <cell r="I449">
            <v>30</v>
          </cell>
          <cell r="J449">
            <v>90</v>
          </cell>
          <cell r="K449">
            <v>15</v>
          </cell>
          <cell r="L449">
            <v>15</v>
          </cell>
          <cell r="M449">
            <v>30</v>
          </cell>
        </row>
        <row r="450">
          <cell r="B450" t="str">
            <v>XRM OFFROAD FI(DSX)</v>
          </cell>
          <cell r="D450" t="str">
            <v>HONDA</v>
          </cell>
          <cell r="E450" t="str">
            <v>CFT125MRM XRM 125 (BLACK)</v>
          </cell>
          <cell r="F450" t="str">
            <v>UNDERBONE</v>
          </cell>
          <cell r="G450">
            <v>73170</v>
          </cell>
          <cell r="H450">
            <v>45</v>
          </cell>
          <cell r="I450">
            <v>30</v>
          </cell>
          <cell r="J450">
            <v>90</v>
          </cell>
          <cell r="K450">
            <v>15</v>
          </cell>
          <cell r="L450">
            <v>15</v>
          </cell>
          <cell r="M450">
            <v>30</v>
          </cell>
        </row>
        <row r="451">
          <cell r="B451" t="str">
            <v>XRM OFFROAD FI(DSX)</v>
          </cell>
          <cell r="D451" t="str">
            <v>HONDA</v>
          </cell>
          <cell r="E451" t="str">
            <v>CFT125MRNII-RED/WHITE</v>
          </cell>
          <cell r="F451" t="str">
            <v>UNDERBONE</v>
          </cell>
          <cell r="G451">
            <v>73170</v>
          </cell>
          <cell r="H451">
            <v>45</v>
          </cell>
          <cell r="I451">
            <v>30</v>
          </cell>
          <cell r="J451">
            <v>90</v>
          </cell>
          <cell r="K451">
            <v>15</v>
          </cell>
          <cell r="L451">
            <v>15</v>
          </cell>
          <cell r="M451">
            <v>30</v>
          </cell>
        </row>
        <row r="452">
          <cell r="B452" t="str">
            <v>XRM OFFROAD FI(DSX)</v>
          </cell>
          <cell r="D452" t="str">
            <v>HONDA</v>
          </cell>
          <cell r="E452" t="str">
            <v>CFT125MRP XRM125 DSX (BLACK)</v>
          </cell>
          <cell r="F452" t="str">
            <v>UNDERBONE</v>
          </cell>
          <cell r="G452">
            <v>73170</v>
          </cell>
          <cell r="H452">
            <v>45</v>
          </cell>
          <cell r="I452">
            <v>30</v>
          </cell>
          <cell r="J452">
            <v>90</v>
          </cell>
          <cell r="K452">
            <v>15</v>
          </cell>
          <cell r="L452">
            <v>15</v>
          </cell>
          <cell r="M452">
            <v>30</v>
          </cell>
        </row>
        <row r="453">
          <cell r="B453" t="str">
            <v>XRM OFFROAD FI(DSX)</v>
          </cell>
          <cell r="D453" t="str">
            <v>HONDA</v>
          </cell>
          <cell r="E453" t="str">
            <v>CFT125MRP XRM125 DSX (WHITE)</v>
          </cell>
          <cell r="F453" t="str">
            <v>UNDERBONE</v>
          </cell>
          <cell r="G453">
            <v>73170</v>
          </cell>
          <cell r="H453">
            <v>45</v>
          </cell>
          <cell r="I453">
            <v>30</v>
          </cell>
          <cell r="J453">
            <v>90</v>
          </cell>
          <cell r="K453">
            <v>15</v>
          </cell>
          <cell r="L453">
            <v>15</v>
          </cell>
          <cell r="M453">
            <v>30</v>
          </cell>
        </row>
        <row r="454">
          <cell r="B454" t="str">
            <v>XRM RS</v>
          </cell>
          <cell r="D454" t="str">
            <v>HONDA</v>
          </cell>
          <cell r="E454" t="str">
            <v>ZN125MK(ORANGE/BLACK)</v>
          </cell>
          <cell r="F454" t="str">
            <v>UNDERBONE</v>
          </cell>
          <cell r="G454">
            <v>73630</v>
          </cell>
          <cell r="H454">
            <v>45</v>
          </cell>
          <cell r="I454">
            <v>30</v>
          </cell>
          <cell r="J454">
            <v>90</v>
          </cell>
          <cell r="K454">
            <v>15</v>
          </cell>
          <cell r="L454">
            <v>15</v>
          </cell>
          <cell r="M454">
            <v>30</v>
          </cell>
        </row>
        <row r="455">
          <cell r="B455" t="str">
            <v>XRM RS</v>
          </cell>
          <cell r="D455" t="str">
            <v>HONDA</v>
          </cell>
          <cell r="E455" t="str">
            <v>ZN125MK(BLUE/BLACK)</v>
          </cell>
          <cell r="F455" t="str">
            <v>UNDERBONE</v>
          </cell>
          <cell r="G455">
            <v>73630</v>
          </cell>
          <cell r="H455">
            <v>45</v>
          </cell>
          <cell r="I455">
            <v>30</v>
          </cell>
          <cell r="J455">
            <v>90</v>
          </cell>
          <cell r="K455">
            <v>15</v>
          </cell>
          <cell r="L455">
            <v>15</v>
          </cell>
          <cell r="M455">
            <v>30</v>
          </cell>
        </row>
        <row r="456">
          <cell r="B456" t="str">
            <v>XRM RS</v>
          </cell>
          <cell r="D456" t="str">
            <v>HONDA</v>
          </cell>
          <cell r="E456" t="str">
            <v>ZN125MK(RED/BLACK)</v>
          </cell>
          <cell r="F456" t="str">
            <v>UNDERBONE</v>
          </cell>
          <cell r="G456">
            <v>73630</v>
          </cell>
          <cell r="H456">
            <v>45</v>
          </cell>
          <cell r="I456">
            <v>30</v>
          </cell>
          <cell r="J456">
            <v>90</v>
          </cell>
          <cell r="K456">
            <v>15</v>
          </cell>
          <cell r="L456">
            <v>15</v>
          </cell>
          <cell r="M456">
            <v>30</v>
          </cell>
        </row>
        <row r="457">
          <cell r="B457" t="str">
            <v>XRM RS</v>
          </cell>
          <cell r="D457" t="str">
            <v>HONDA</v>
          </cell>
          <cell r="E457" t="str">
            <v>ZN125MK(GRAY)</v>
          </cell>
          <cell r="F457" t="str">
            <v>UNDERBONE</v>
          </cell>
          <cell r="G457">
            <v>73630</v>
          </cell>
          <cell r="H457">
            <v>45</v>
          </cell>
          <cell r="I457">
            <v>30</v>
          </cell>
          <cell r="J457">
            <v>90</v>
          </cell>
          <cell r="K457">
            <v>15</v>
          </cell>
          <cell r="L457">
            <v>15</v>
          </cell>
          <cell r="M457">
            <v>30</v>
          </cell>
        </row>
        <row r="458">
          <cell r="B458" t="str">
            <v>XRM RS</v>
          </cell>
          <cell r="D458" t="str">
            <v>HONDA</v>
          </cell>
          <cell r="E458" t="str">
            <v>ZN125MM (GRAY)</v>
          </cell>
          <cell r="F458" t="str">
            <v>UNDERBONE</v>
          </cell>
          <cell r="G458">
            <v>73630</v>
          </cell>
          <cell r="H458">
            <v>45</v>
          </cell>
          <cell r="I458">
            <v>30</v>
          </cell>
          <cell r="J458">
            <v>90</v>
          </cell>
          <cell r="K458">
            <v>15</v>
          </cell>
          <cell r="L458">
            <v>15</v>
          </cell>
          <cell r="M458">
            <v>30</v>
          </cell>
        </row>
        <row r="459">
          <cell r="B459" t="str">
            <v>XRM RS</v>
          </cell>
          <cell r="D459" t="str">
            <v>HONDA</v>
          </cell>
          <cell r="E459" t="str">
            <v>ZN125MM (RED/BLACK)</v>
          </cell>
          <cell r="F459" t="str">
            <v>UNDERBONE</v>
          </cell>
          <cell r="G459">
            <v>73630</v>
          </cell>
          <cell r="H459">
            <v>45</v>
          </cell>
          <cell r="I459">
            <v>30</v>
          </cell>
          <cell r="J459">
            <v>90</v>
          </cell>
          <cell r="K459">
            <v>15</v>
          </cell>
          <cell r="L459">
            <v>15</v>
          </cell>
          <cell r="M459">
            <v>30</v>
          </cell>
        </row>
        <row r="460">
          <cell r="B460" t="str">
            <v>XRM RS</v>
          </cell>
          <cell r="D460" t="str">
            <v>HONDA</v>
          </cell>
          <cell r="E460" t="str">
            <v>ZN125MM (BLUE/BLACK)</v>
          </cell>
          <cell r="F460" t="str">
            <v>UNDERBONE</v>
          </cell>
          <cell r="G460">
            <v>73630</v>
          </cell>
          <cell r="H460">
            <v>45</v>
          </cell>
          <cell r="I460">
            <v>30</v>
          </cell>
          <cell r="J460">
            <v>90</v>
          </cell>
          <cell r="K460">
            <v>15</v>
          </cell>
          <cell r="L460">
            <v>15</v>
          </cell>
          <cell r="M460">
            <v>30</v>
          </cell>
        </row>
        <row r="461">
          <cell r="B461" t="str">
            <v>XTZ125</v>
          </cell>
          <cell r="C461" t="str">
            <v>OLD MODEL CODE</v>
          </cell>
          <cell r="D461" t="str">
            <v>YAMAHA</v>
          </cell>
          <cell r="E461" t="str">
            <v>XTZ 125 2MC3 (WHITE)</v>
          </cell>
          <cell r="F461" t="str">
            <v>SPORTS TYPE</v>
          </cell>
          <cell r="G461">
            <v>85446</v>
          </cell>
          <cell r="H461">
            <v>45</v>
          </cell>
          <cell r="I461">
            <v>30</v>
          </cell>
          <cell r="J461">
            <v>90</v>
          </cell>
          <cell r="K461">
            <v>15</v>
          </cell>
          <cell r="L461">
            <v>15</v>
          </cell>
          <cell r="M461">
            <v>30</v>
          </cell>
        </row>
        <row r="462">
          <cell r="B462" t="str">
            <v>XTZ125</v>
          </cell>
          <cell r="C462" t="str">
            <v>OLD MODEL CODE</v>
          </cell>
          <cell r="D462" t="str">
            <v>YAMAHA</v>
          </cell>
          <cell r="E462" t="str">
            <v>XTZ 125 2MC3 (BLUE)</v>
          </cell>
          <cell r="F462" t="str">
            <v>SPORTS TYPE</v>
          </cell>
          <cell r="G462">
            <v>85446</v>
          </cell>
          <cell r="H462">
            <v>45</v>
          </cell>
          <cell r="I462">
            <v>30</v>
          </cell>
          <cell r="J462">
            <v>90</v>
          </cell>
          <cell r="K462">
            <v>15</v>
          </cell>
          <cell r="L462">
            <v>15</v>
          </cell>
          <cell r="M462">
            <v>30</v>
          </cell>
        </row>
        <row r="463">
          <cell r="B463" t="str">
            <v>XTZ125</v>
          </cell>
          <cell r="D463" t="str">
            <v>YAMAHA</v>
          </cell>
          <cell r="E463" t="str">
            <v>XTZ 125 2MC5 (BLACK)</v>
          </cell>
          <cell r="F463" t="str">
            <v>SPORTS TYPE</v>
          </cell>
          <cell r="G463">
            <v>85446</v>
          </cell>
          <cell r="H463">
            <v>45</v>
          </cell>
          <cell r="I463">
            <v>30</v>
          </cell>
          <cell r="J463">
            <v>90</v>
          </cell>
          <cell r="K463">
            <v>15</v>
          </cell>
          <cell r="L463">
            <v>15</v>
          </cell>
          <cell r="M463">
            <v>30</v>
          </cell>
        </row>
        <row r="464">
          <cell r="B464" t="str">
            <v>XTZ125</v>
          </cell>
          <cell r="D464" t="str">
            <v>YAMAHA</v>
          </cell>
          <cell r="E464" t="str">
            <v>XTZ 125 2MC5 (BLUE)</v>
          </cell>
          <cell r="F464" t="str">
            <v>SPORTS TYPE</v>
          </cell>
          <cell r="G464">
            <v>85446</v>
          </cell>
          <cell r="H464">
            <v>45</v>
          </cell>
          <cell r="I464">
            <v>30</v>
          </cell>
          <cell r="J464">
            <v>90</v>
          </cell>
          <cell r="K464">
            <v>15</v>
          </cell>
          <cell r="L464">
            <v>15</v>
          </cell>
          <cell r="M464">
            <v>30</v>
          </cell>
        </row>
        <row r="465">
          <cell r="B465" t="str">
            <v>XTZ125</v>
          </cell>
          <cell r="D465" t="str">
            <v>YAMAHA</v>
          </cell>
          <cell r="E465" t="str">
            <v>XTZ125 2MC6 (BLUE)</v>
          </cell>
          <cell r="F465" t="str">
            <v>SPORTS TYPE</v>
          </cell>
          <cell r="G465">
            <v>85446</v>
          </cell>
          <cell r="H465">
            <v>45</v>
          </cell>
          <cell r="I465">
            <v>30</v>
          </cell>
          <cell r="J465">
            <v>90</v>
          </cell>
          <cell r="K465">
            <v>15</v>
          </cell>
          <cell r="L465">
            <v>15</v>
          </cell>
          <cell r="M465">
            <v>30</v>
          </cell>
        </row>
        <row r="466">
          <cell r="B466" t="str">
            <v>XTZ125</v>
          </cell>
          <cell r="D466" t="str">
            <v>YAMAHA</v>
          </cell>
          <cell r="E466" t="str">
            <v>XTZ125 2MC6 (BLACK)</v>
          </cell>
          <cell r="F466" t="str">
            <v>SPORTS TYPE</v>
          </cell>
          <cell r="G466">
            <v>85446</v>
          </cell>
          <cell r="H466">
            <v>45</v>
          </cell>
          <cell r="I466">
            <v>30</v>
          </cell>
          <cell r="J466">
            <v>90</v>
          </cell>
          <cell r="K466">
            <v>15</v>
          </cell>
          <cell r="L466">
            <v>15</v>
          </cell>
          <cell r="M466">
            <v>30</v>
          </cell>
        </row>
        <row r="467">
          <cell r="B467" t="str">
            <v>YTX125</v>
          </cell>
          <cell r="D467" t="str">
            <v>YAMAHA</v>
          </cell>
          <cell r="E467" t="str">
            <v>YTX125 BR21 (BLACK)</v>
          </cell>
          <cell r="F467" t="str">
            <v>BUSINESS</v>
          </cell>
          <cell r="G467">
            <v>54426</v>
          </cell>
          <cell r="H467">
            <v>45</v>
          </cell>
          <cell r="I467">
            <v>30</v>
          </cell>
          <cell r="J467">
            <v>90</v>
          </cell>
          <cell r="K467">
            <v>15</v>
          </cell>
          <cell r="L467">
            <v>15</v>
          </cell>
          <cell r="M467">
            <v>30</v>
          </cell>
        </row>
        <row r="468">
          <cell r="B468" t="str">
            <v>YTX125</v>
          </cell>
          <cell r="D468" t="str">
            <v>YAMAHA</v>
          </cell>
          <cell r="E468" t="str">
            <v>YTX125 BR21 (RED)</v>
          </cell>
          <cell r="F468" t="str">
            <v>BUSINESS</v>
          </cell>
          <cell r="G468">
            <v>54426</v>
          </cell>
          <cell r="H468">
            <v>45</v>
          </cell>
          <cell r="I468">
            <v>30</v>
          </cell>
          <cell r="J468">
            <v>90</v>
          </cell>
          <cell r="K468">
            <v>15</v>
          </cell>
          <cell r="L468">
            <v>15</v>
          </cell>
          <cell r="M468">
            <v>30</v>
          </cell>
        </row>
        <row r="469">
          <cell r="B469" t="str">
            <v>YTX125</v>
          </cell>
          <cell r="D469" t="str">
            <v>YAMAHA</v>
          </cell>
          <cell r="E469" t="str">
            <v>YTX125 BR21 (BLUE/MATTE BLACK)</v>
          </cell>
          <cell r="F469" t="str">
            <v>BUSINESS</v>
          </cell>
          <cell r="G469">
            <v>54426</v>
          </cell>
          <cell r="H469">
            <v>45</v>
          </cell>
          <cell r="I469">
            <v>30</v>
          </cell>
          <cell r="J469">
            <v>90</v>
          </cell>
          <cell r="K469">
            <v>15</v>
          </cell>
          <cell r="L469">
            <v>15</v>
          </cell>
          <cell r="M469">
            <v>30</v>
          </cell>
        </row>
        <row r="470">
          <cell r="B470" t="str">
            <v>SKYDRIVE SPORT</v>
          </cell>
          <cell r="D470" t="str">
            <v>SUZUKI</v>
          </cell>
          <cell r="E470" t="str">
            <v>UX110NE-3GREEN (CANDY JACKAL GREEN)</v>
          </cell>
          <cell r="F470" t="str">
            <v>SCOOTER</v>
          </cell>
          <cell r="G470">
            <v>68177</v>
          </cell>
          <cell r="H470">
            <v>45</v>
          </cell>
          <cell r="I470">
            <v>30</v>
          </cell>
          <cell r="J470">
            <v>90</v>
          </cell>
          <cell r="K470">
            <v>15</v>
          </cell>
          <cell r="L470">
            <v>15</v>
          </cell>
          <cell r="M470">
            <v>30</v>
          </cell>
        </row>
        <row r="471">
          <cell r="B471" t="str">
            <v>SKYDRIVE SPORT</v>
          </cell>
          <cell r="D471" t="str">
            <v>SUZUKI</v>
          </cell>
          <cell r="E471" t="str">
            <v>UX110NE-3BLUE (METALIC MATTE STELLAR BLUE)</v>
          </cell>
          <cell r="F471" t="str">
            <v>SCOOTER</v>
          </cell>
          <cell r="G471">
            <v>68177</v>
          </cell>
          <cell r="H471">
            <v>45</v>
          </cell>
          <cell r="I471">
            <v>30</v>
          </cell>
          <cell r="J471">
            <v>90</v>
          </cell>
          <cell r="K471">
            <v>15</v>
          </cell>
          <cell r="L471">
            <v>15</v>
          </cell>
          <cell r="M471">
            <v>30</v>
          </cell>
        </row>
        <row r="472">
          <cell r="B472" t="str">
            <v>CLICK125 FI</v>
          </cell>
          <cell r="D472" t="str">
            <v>HONDA</v>
          </cell>
          <cell r="E472" t="str">
            <v>ACB125CBFR3-PW (WHITE/BLUE)</v>
          </cell>
          <cell r="F472" t="str">
            <v>SCOOTER</v>
          </cell>
          <cell r="G472">
            <v>80070</v>
          </cell>
          <cell r="H472">
            <v>45</v>
          </cell>
          <cell r="I472">
            <v>30</v>
          </cell>
          <cell r="J472">
            <v>90</v>
          </cell>
          <cell r="K472">
            <v>15</v>
          </cell>
          <cell r="L472">
            <v>15</v>
          </cell>
          <cell r="M472">
            <v>30</v>
          </cell>
        </row>
        <row r="473">
          <cell r="B473" t="str">
            <v>GIXXER SF 250</v>
          </cell>
          <cell r="D473" t="str">
            <v>SUZUKI</v>
          </cell>
          <cell r="E473" t="str">
            <v>GSX250FRLX (BLUE)</v>
          </cell>
          <cell r="F473" t="str">
            <v>BIGBIKE</v>
          </cell>
          <cell r="G473">
            <v>182197</v>
          </cell>
          <cell r="H473">
            <v>45</v>
          </cell>
          <cell r="I473">
            <v>30</v>
          </cell>
          <cell r="J473">
            <v>90</v>
          </cell>
          <cell r="K473">
            <v>15</v>
          </cell>
          <cell r="L473">
            <v>15</v>
          </cell>
          <cell r="M473">
            <v>30</v>
          </cell>
        </row>
        <row r="474">
          <cell r="B474" t="str">
            <v>BEAT FI PREM</v>
          </cell>
          <cell r="D474" t="str">
            <v>HONDA</v>
          </cell>
          <cell r="E474" t="str">
            <v>ACH110CBFR4-PW (WHITE/BLUE)-LIMITED ED</v>
          </cell>
          <cell r="F474" t="str">
            <v>SCOOTER</v>
          </cell>
          <cell r="G474">
            <v>72434</v>
          </cell>
          <cell r="H474">
            <v>45</v>
          </cell>
          <cell r="I474">
            <v>30</v>
          </cell>
          <cell r="J474">
            <v>90</v>
          </cell>
          <cell r="K474">
            <v>15</v>
          </cell>
          <cell r="L474">
            <v>15</v>
          </cell>
          <cell r="M474">
            <v>30</v>
          </cell>
        </row>
        <row r="475">
          <cell r="B475" t="str">
            <v>XMAX 300</v>
          </cell>
          <cell r="D475" t="str">
            <v>YAMAHA</v>
          </cell>
          <cell r="E475" t="str">
            <v>XMAX BKA5 DARK GRAY/BLACK</v>
          </cell>
          <cell r="F475" t="str">
            <v>SCOOTER</v>
          </cell>
          <cell r="G475">
            <v>278535</v>
          </cell>
          <cell r="H475">
            <v>45</v>
          </cell>
          <cell r="I475">
            <v>30</v>
          </cell>
          <cell r="J475">
            <v>90</v>
          </cell>
          <cell r="K475">
            <v>15</v>
          </cell>
          <cell r="L475">
            <v>15</v>
          </cell>
          <cell r="M475">
            <v>30</v>
          </cell>
        </row>
        <row r="476">
          <cell r="B476" t="str">
            <v>SMASH(MAGS)</v>
          </cell>
          <cell r="D476" t="str">
            <v>SUZUKI</v>
          </cell>
          <cell r="E476" t="str">
            <v>FW110SC-1BLACK</v>
          </cell>
          <cell r="F476" t="str">
            <v>UNDERBONE</v>
          </cell>
          <cell r="G476">
            <v>67342</v>
          </cell>
          <cell r="H476">
            <v>45</v>
          </cell>
          <cell r="I476">
            <v>30</v>
          </cell>
          <cell r="J476">
            <v>90</v>
          </cell>
          <cell r="K476">
            <v>15</v>
          </cell>
          <cell r="L476">
            <v>15</v>
          </cell>
          <cell r="M476">
            <v>30</v>
          </cell>
        </row>
        <row r="477">
          <cell r="B477" t="str">
            <v>SMASH(MAGS)</v>
          </cell>
          <cell r="D477" t="str">
            <v>SUZUKI</v>
          </cell>
          <cell r="E477" t="str">
            <v>FW110SC-1BLUE</v>
          </cell>
          <cell r="F477" t="str">
            <v>UNDERBONE</v>
          </cell>
          <cell r="G477">
            <v>67342</v>
          </cell>
          <cell r="H477">
            <v>45</v>
          </cell>
          <cell r="I477">
            <v>30</v>
          </cell>
          <cell r="J477">
            <v>90</v>
          </cell>
          <cell r="K477">
            <v>15</v>
          </cell>
          <cell r="L477">
            <v>15</v>
          </cell>
          <cell r="M477">
            <v>30</v>
          </cell>
        </row>
        <row r="478">
          <cell r="B478" t="str">
            <v>MIO AEROX 155</v>
          </cell>
          <cell r="D478" t="str">
            <v>YAMAHA</v>
          </cell>
          <cell r="E478" t="str">
            <v>MIO AEROX BRW6 (BLACK/ MATTE BLACK)</v>
          </cell>
          <cell r="F478" t="str">
            <v>SCOOTER</v>
          </cell>
          <cell r="G478">
            <v>124527</v>
          </cell>
          <cell r="H478">
            <v>45</v>
          </cell>
          <cell r="I478">
            <v>30</v>
          </cell>
          <cell r="J478">
            <v>90</v>
          </cell>
          <cell r="K478">
            <v>15</v>
          </cell>
          <cell r="L478">
            <v>15</v>
          </cell>
          <cell r="M478">
            <v>30</v>
          </cell>
        </row>
        <row r="479">
          <cell r="B479" t="str">
            <v>MIO AEROX 155</v>
          </cell>
          <cell r="D479" t="str">
            <v>YAMAHA</v>
          </cell>
          <cell r="E479" t="str">
            <v>MIO AEROX BRW6 (GRAY/BLACK)</v>
          </cell>
          <cell r="F479" t="str">
            <v>SCOOTER</v>
          </cell>
          <cell r="G479">
            <v>124527</v>
          </cell>
          <cell r="H479">
            <v>45</v>
          </cell>
          <cell r="I479">
            <v>30</v>
          </cell>
          <cell r="J479">
            <v>90</v>
          </cell>
          <cell r="K479">
            <v>15</v>
          </cell>
          <cell r="L479">
            <v>15</v>
          </cell>
          <cell r="M479">
            <v>30</v>
          </cell>
        </row>
        <row r="480">
          <cell r="B480" t="str">
            <v>MIO AEROX 155</v>
          </cell>
          <cell r="D480" t="str">
            <v>YAMAHA</v>
          </cell>
          <cell r="E480" t="str">
            <v>MIO AEROX BRW6 (BLUE/ MATTE BLUE)</v>
          </cell>
          <cell r="F480" t="str">
            <v>SCOOTER</v>
          </cell>
          <cell r="G480">
            <v>124527</v>
          </cell>
          <cell r="H480">
            <v>45</v>
          </cell>
          <cell r="I480">
            <v>30</v>
          </cell>
          <cell r="J480">
            <v>90</v>
          </cell>
          <cell r="K480">
            <v>15</v>
          </cell>
          <cell r="L480">
            <v>15</v>
          </cell>
          <cell r="M480">
            <v>30</v>
          </cell>
        </row>
        <row r="481">
          <cell r="B481" t="str">
            <v>MIO AEROX 155</v>
          </cell>
          <cell r="D481" t="str">
            <v>YAMAHA</v>
          </cell>
          <cell r="E481" t="str">
            <v>MIO AEROX BRW6 (MATTE  GRAY/ BLACK)</v>
          </cell>
          <cell r="F481" t="str">
            <v>SCOOTER</v>
          </cell>
          <cell r="G481">
            <v>124527</v>
          </cell>
          <cell r="H481">
            <v>45</v>
          </cell>
          <cell r="I481">
            <v>30</v>
          </cell>
          <cell r="J481">
            <v>90</v>
          </cell>
          <cell r="K481">
            <v>15</v>
          </cell>
          <cell r="L481">
            <v>15</v>
          </cell>
          <cell r="M481">
            <v>30</v>
          </cell>
        </row>
        <row r="482">
          <cell r="B482" t="str">
            <v>SMASH FI(SPOKE)</v>
          </cell>
          <cell r="D482" t="str">
            <v>SUZUKI</v>
          </cell>
          <cell r="E482" t="str">
            <v>FV110LA-B1RED</v>
          </cell>
          <cell r="F482" t="str">
            <v>UNDERBONE</v>
          </cell>
          <cell r="G482">
            <v>66412</v>
          </cell>
          <cell r="H482">
            <v>45</v>
          </cell>
          <cell r="I482">
            <v>30</v>
          </cell>
          <cell r="J482">
            <v>90</v>
          </cell>
          <cell r="K482">
            <v>15</v>
          </cell>
          <cell r="L482">
            <v>15</v>
          </cell>
          <cell r="M482">
            <v>30</v>
          </cell>
        </row>
        <row r="483">
          <cell r="B483" t="str">
            <v>SMASH FI(SPOKE)</v>
          </cell>
          <cell r="D483" t="str">
            <v>SUZUKI</v>
          </cell>
          <cell r="E483" t="str">
            <v>FV110LA-B1BLACK</v>
          </cell>
          <cell r="F483" t="str">
            <v>UNDERBONE</v>
          </cell>
          <cell r="G483">
            <v>66412</v>
          </cell>
          <cell r="H483">
            <v>45</v>
          </cell>
          <cell r="I483">
            <v>30</v>
          </cell>
          <cell r="J483">
            <v>90</v>
          </cell>
          <cell r="K483">
            <v>15</v>
          </cell>
          <cell r="L483">
            <v>15</v>
          </cell>
          <cell r="M483">
            <v>30</v>
          </cell>
        </row>
        <row r="484">
          <cell r="B484" t="str">
            <v>SMASH FI(MAGS)</v>
          </cell>
          <cell r="D484" t="str">
            <v>SUZUKI</v>
          </cell>
          <cell r="E484" t="str">
            <v>FV110LE-B1BLUE</v>
          </cell>
          <cell r="F484" t="str">
            <v>UNDERBONE</v>
          </cell>
          <cell r="G484">
            <v>71062</v>
          </cell>
          <cell r="H484">
            <v>45</v>
          </cell>
          <cell r="I484">
            <v>30</v>
          </cell>
          <cell r="J484">
            <v>90</v>
          </cell>
          <cell r="K484">
            <v>15</v>
          </cell>
          <cell r="L484">
            <v>15</v>
          </cell>
          <cell r="M484">
            <v>30</v>
          </cell>
        </row>
        <row r="485">
          <cell r="B485" t="str">
            <v>SMASH FI(MAGS)</v>
          </cell>
          <cell r="D485" t="str">
            <v>SUZUKI</v>
          </cell>
          <cell r="E485" t="str">
            <v>FV110LE-B1BLACK</v>
          </cell>
          <cell r="F485" t="str">
            <v>UNDERBONE</v>
          </cell>
          <cell r="G485">
            <v>71062</v>
          </cell>
          <cell r="H485">
            <v>45</v>
          </cell>
          <cell r="I485">
            <v>30</v>
          </cell>
          <cell r="J485">
            <v>90</v>
          </cell>
          <cell r="K485">
            <v>15</v>
          </cell>
          <cell r="L485">
            <v>15</v>
          </cell>
          <cell r="M485">
            <v>30</v>
          </cell>
        </row>
        <row r="486">
          <cell r="B486" t="str">
            <v>BAJAJ RE 4S FI</v>
          </cell>
          <cell r="D486" t="str">
            <v>BAJAJ RE</v>
          </cell>
          <cell r="E486" t="str">
            <v>BAJAJ RE 4S FI (BLACK)</v>
          </cell>
          <cell r="F486" t="str">
            <v>TRI-WHEELED</v>
          </cell>
          <cell r="G486">
            <v>191000</v>
          </cell>
          <cell r="H486">
            <v>45</v>
          </cell>
          <cell r="I486">
            <v>30</v>
          </cell>
          <cell r="J486">
            <v>90</v>
          </cell>
          <cell r="K486">
            <v>15</v>
          </cell>
          <cell r="L486">
            <v>15</v>
          </cell>
          <cell r="M486">
            <v>30</v>
          </cell>
        </row>
        <row r="487">
          <cell r="B487" t="str">
            <v>CLICK160 FI</v>
          </cell>
          <cell r="D487" t="str">
            <v>HONDA</v>
          </cell>
          <cell r="E487" t="str">
            <v>ACB160CBTR-MGB</v>
          </cell>
          <cell r="F487" t="str">
            <v>SCOOTER</v>
          </cell>
          <cell r="G487">
            <v>111258</v>
          </cell>
          <cell r="H487">
            <v>45</v>
          </cell>
          <cell r="I487">
            <v>30</v>
          </cell>
          <cell r="J487">
            <v>90</v>
          </cell>
          <cell r="K487">
            <v>15</v>
          </cell>
          <cell r="L487">
            <v>15</v>
          </cell>
          <cell r="M487">
            <v>30</v>
          </cell>
        </row>
        <row r="488">
          <cell r="B488" t="str">
            <v>CLICK160 FI</v>
          </cell>
          <cell r="D488" t="str">
            <v>HONDA</v>
          </cell>
          <cell r="E488" t="str">
            <v>ACB160CBTR-WC</v>
          </cell>
          <cell r="F488" t="str">
            <v>SCOOTER</v>
          </cell>
          <cell r="G488">
            <v>111258</v>
          </cell>
          <cell r="H488">
            <v>45</v>
          </cell>
          <cell r="I488">
            <v>30</v>
          </cell>
          <cell r="J488">
            <v>90</v>
          </cell>
          <cell r="K488">
            <v>15</v>
          </cell>
          <cell r="L488">
            <v>15</v>
          </cell>
          <cell r="M488">
            <v>30</v>
          </cell>
        </row>
        <row r="489">
          <cell r="B489" t="str">
            <v>CLICK160 FI</v>
          </cell>
          <cell r="D489" t="str">
            <v>HONDA</v>
          </cell>
          <cell r="E489" t="str">
            <v>ACB160CBTR-MSR</v>
          </cell>
          <cell r="F489" t="str">
            <v>SCOOTER</v>
          </cell>
          <cell r="G489">
            <v>111258</v>
          </cell>
          <cell r="H489">
            <v>45</v>
          </cell>
          <cell r="I489">
            <v>30</v>
          </cell>
          <cell r="J489">
            <v>90</v>
          </cell>
          <cell r="K489">
            <v>15</v>
          </cell>
          <cell r="L489">
            <v>15</v>
          </cell>
          <cell r="M489">
            <v>30</v>
          </cell>
        </row>
        <row r="490">
          <cell r="B490" t="str">
            <v>NMAX155 FI ABS</v>
          </cell>
          <cell r="D490" t="str">
            <v>YAMAHA</v>
          </cell>
          <cell r="E490" t="str">
            <v>NMAX ABS BKT4 (MATTE GREEN/BLACK)</v>
          </cell>
          <cell r="F490" t="str">
            <v>SCOOTER</v>
          </cell>
          <cell r="G490">
            <v>147312</v>
          </cell>
          <cell r="H490">
            <v>45</v>
          </cell>
          <cell r="I490">
            <v>30</v>
          </cell>
          <cell r="J490">
            <v>90</v>
          </cell>
          <cell r="K490">
            <v>15</v>
          </cell>
          <cell r="L490">
            <v>15</v>
          </cell>
          <cell r="M490">
            <v>30</v>
          </cell>
        </row>
        <row r="491">
          <cell r="B491" t="str">
            <v>NMAX155 FI ABS</v>
          </cell>
          <cell r="D491" t="str">
            <v>YAMAHA</v>
          </cell>
          <cell r="E491" t="str">
            <v>NMAX ABS BKT4 (DARK BLUE/MATTE BLACK)</v>
          </cell>
          <cell r="F491" t="str">
            <v>SCOOTER</v>
          </cell>
          <cell r="G491">
            <v>147312</v>
          </cell>
          <cell r="H491">
            <v>45</v>
          </cell>
          <cell r="I491">
            <v>30</v>
          </cell>
          <cell r="J491">
            <v>90</v>
          </cell>
          <cell r="K491">
            <v>15</v>
          </cell>
          <cell r="L491">
            <v>15</v>
          </cell>
          <cell r="M491">
            <v>30</v>
          </cell>
        </row>
        <row r="492">
          <cell r="B492" t="str">
            <v>WINNER X STD</v>
          </cell>
          <cell r="D492" t="str">
            <v>HONDA</v>
          </cell>
          <cell r="E492" t="str">
            <v>FS150FR-IR WINNER X (STANDARD) (RED/BLACK)</v>
          </cell>
          <cell r="F492" t="str">
            <v>UNDERBONE</v>
          </cell>
          <cell r="G492">
            <v>117790</v>
          </cell>
          <cell r="H492">
            <v>45</v>
          </cell>
          <cell r="I492">
            <v>30</v>
          </cell>
          <cell r="J492">
            <v>90</v>
          </cell>
          <cell r="K492">
            <v>15</v>
          </cell>
          <cell r="L492">
            <v>15</v>
          </cell>
          <cell r="M492">
            <v>30</v>
          </cell>
        </row>
        <row r="493">
          <cell r="B493" t="str">
            <v>WINNER X STD</v>
          </cell>
          <cell r="D493" t="str">
            <v>HONDA</v>
          </cell>
          <cell r="E493" t="str">
            <v>FS150FR-IW WINNER X (STANDARD) (WHITE/BLACK)</v>
          </cell>
          <cell r="F493" t="str">
            <v>UNDERBONE</v>
          </cell>
          <cell r="G493">
            <v>117790</v>
          </cell>
          <cell r="H493">
            <v>45</v>
          </cell>
          <cell r="I493">
            <v>30</v>
          </cell>
          <cell r="J493">
            <v>90</v>
          </cell>
          <cell r="K493">
            <v>15</v>
          </cell>
          <cell r="L493">
            <v>15</v>
          </cell>
          <cell r="M493">
            <v>30</v>
          </cell>
        </row>
        <row r="494">
          <cell r="B494" t="str">
            <v>WINNER X ABS</v>
          </cell>
          <cell r="D494" t="str">
            <v>HONDA</v>
          </cell>
          <cell r="E494" t="str">
            <v>FS150FAR-MR WINNER X (ABS PREMIUM) (RED)</v>
          </cell>
          <cell r="F494" t="str">
            <v>UNDERBONE</v>
          </cell>
          <cell r="G494">
            <v>123310</v>
          </cell>
          <cell r="H494">
            <v>45</v>
          </cell>
          <cell r="I494">
            <v>30</v>
          </cell>
          <cell r="J494">
            <v>90</v>
          </cell>
          <cell r="K494">
            <v>15</v>
          </cell>
          <cell r="L494">
            <v>15</v>
          </cell>
          <cell r="M494">
            <v>30</v>
          </cell>
        </row>
        <row r="495">
          <cell r="B495" t="str">
            <v>WINNER X ABS</v>
          </cell>
          <cell r="D495" t="str">
            <v>HONDA</v>
          </cell>
          <cell r="E495" t="str">
            <v>FS150FAR-MB WINNER X (ABS PREMIUM (BLACK)</v>
          </cell>
          <cell r="F495" t="str">
            <v>UNDERBONE</v>
          </cell>
          <cell r="G495">
            <v>123310</v>
          </cell>
          <cell r="H495">
            <v>45</v>
          </cell>
          <cell r="I495">
            <v>30</v>
          </cell>
          <cell r="J495">
            <v>90</v>
          </cell>
          <cell r="K495">
            <v>15</v>
          </cell>
          <cell r="L495">
            <v>15</v>
          </cell>
          <cell r="M495">
            <v>30</v>
          </cell>
        </row>
        <row r="496">
          <cell r="B496" t="str">
            <v>SMASH(SPOKE)</v>
          </cell>
          <cell r="D496" t="str">
            <v>SUZUKI</v>
          </cell>
          <cell r="E496" t="str">
            <v>FW110D SMASH (D1IVORY)</v>
          </cell>
          <cell r="F496" t="str">
            <v>UNDERBONE</v>
          </cell>
          <cell r="G496">
            <v>62692</v>
          </cell>
          <cell r="H496">
            <v>45</v>
          </cell>
          <cell r="I496">
            <v>30</v>
          </cell>
          <cell r="J496">
            <v>90</v>
          </cell>
          <cell r="K496">
            <v>15</v>
          </cell>
          <cell r="L496">
            <v>15</v>
          </cell>
          <cell r="M496">
            <v>30</v>
          </cell>
        </row>
        <row r="497">
          <cell r="B497" t="str">
            <v>SMASH(SPOKE)</v>
          </cell>
          <cell r="D497" t="str">
            <v>SUZUKI</v>
          </cell>
          <cell r="E497" t="str">
            <v>FW110D SMASH (D1GREEN)</v>
          </cell>
          <cell r="F497" t="str">
            <v>UNDERBONE</v>
          </cell>
          <cell r="G497">
            <v>62692</v>
          </cell>
          <cell r="H497">
            <v>45</v>
          </cell>
          <cell r="I497">
            <v>30</v>
          </cell>
          <cell r="J497">
            <v>90</v>
          </cell>
          <cell r="K497">
            <v>15</v>
          </cell>
          <cell r="L497">
            <v>15</v>
          </cell>
          <cell r="M497">
            <v>30</v>
          </cell>
        </row>
        <row r="498">
          <cell r="B498" t="str">
            <v>SMASH(SPOKE)</v>
          </cell>
          <cell r="D498" t="str">
            <v>SUZUKI</v>
          </cell>
          <cell r="E498" t="str">
            <v>FW110D SMASH (D1GRAY)</v>
          </cell>
          <cell r="F498" t="str">
            <v>UNDERBONE</v>
          </cell>
          <cell r="G498">
            <v>62692</v>
          </cell>
          <cell r="H498">
            <v>45</v>
          </cell>
          <cell r="I498">
            <v>30</v>
          </cell>
          <cell r="J498">
            <v>90</v>
          </cell>
          <cell r="K498">
            <v>15</v>
          </cell>
          <cell r="L498">
            <v>15</v>
          </cell>
          <cell r="M498">
            <v>30</v>
          </cell>
        </row>
        <row r="499">
          <cell r="B499" t="str">
            <v>SMASH(SPOKE)</v>
          </cell>
          <cell r="D499" t="str">
            <v>SUZUKI</v>
          </cell>
          <cell r="E499" t="str">
            <v>FW110D SMASH (D1RED)</v>
          </cell>
          <cell r="F499" t="str">
            <v>UNDERBONE</v>
          </cell>
          <cell r="G499">
            <v>62692</v>
          </cell>
          <cell r="H499">
            <v>45</v>
          </cell>
          <cell r="I499">
            <v>30</v>
          </cell>
          <cell r="J499">
            <v>90</v>
          </cell>
          <cell r="K499">
            <v>15</v>
          </cell>
          <cell r="L499">
            <v>15</v>
          </cell>
          <cell r="M499">
            <v>30</v>
          </cell>
        </row>
        <row r="500">
          <cell r="B500" t="str">
            <v>SKYDRIVE SPORT</v>
          </cell>
          <cell r="D500" t="str">
            <v>SUZUKI</v>
          </cell>
          <cell r="E500" t="str">
            <v>UX110NE-5BLACK (TITAN BLACK)</v>
          </cell>
          <cell r="F500" t="str">
            <v>SCOOTER</v>
          </cell>
          <cell r="G500">
            <v>68177</v>
          </cell>
          <cell r="H500">
            <v>45</v>
          </cell>
          <cell r="I500">
            <v>30</v>
          </cell>
          <cell r="J500">
            <v>90</v>
          </cell>
          <cell r="K500">
            <v>15</v>
          </cell>
          <cell r="L500">
            <v>15</v>
          </cell>
          <cell r="M500">
            <v>30</v>
          </cell>
        </row>
        <row r="501">
          <cell r="B501" t="str">
            <v>RAIDER150 CARB</v>
          </cell>
          <cell r="D501" t="str">
            <v>SUZUKI</v>
          </cell>
          <cell r="E501" t="str">
            <v>FU150CD3-7BKBL RAIDER R 150</v>
          </cell>
          <cell r="F501" t="str">
            <v>UNDERBONE</v>
          </cell>
          <cell r="G501">
            <v>104077</v>
          </cell>
          <cell r="H501">
            <v>45</v>
          </cell>
          <cell r="I501">
            <v>30</v>
          </cell>
          <cell r="J501">
            <v>90</v>
          </cell>
          <cell r="K501">
            <v>15</v>
          </cell>
          <cell r="L501">
            <v>15</v>
          </cell>
          <cell r="M501">
            <v>30</v>
          </cell>
        </row>
        <row r="502">
          <cell r="B502" t="str">
            <v>MIO GRAVIS</v>
          </cell>
          <cell r="D502" t="str">
            <v>YAMAHA</v>
          </cell>
          <cell r="E502" t="str">
            <v>MIO GRAVIS BKV2 (MATTE BROWN)</v>
          </cell>
          <cell r="F502" t="str">
            <v>SCOOTER</v>
          </cell>
          <cell r="G502">
            <v>78957</v>
          </cell>
          <cell r="H502">
            <v>45</v>
          </cell>
          <cell r="I502">
            <v>30</v>
          </cell>
          <cell r="J502">
            <v>90</v>
          </cell>
          <cell r="K502">
            <v>15</v>
          </cell>
          <cell r="L502">
            <v>15</v>
          </cell>
          <cell r="M502">
            <v>30</v>
          </cell>
        </row>
        <row r="503">
          <cell r="B503" t="str">
            <v>FAZZIO</v>
          </cell>
          <cell r="D503" t="str">
            <v>YAMAHA</v>
          </cell>
          <cell r="E503" t="str">
            <v>MIO FAZZIO BRV5 (LIGHT BLUE)</v>
          </cell>
          <cell r="F503" t="str">
            <v>SCOOTER</v>
          </cell>
          <cell r="G503">
            <v>86397</v>
          </cell>
          <cell r="H503">
            <v>45</v>
          </cell>
          <cell r="I503">
            <v>30</v>
          </cell>
          <cell r="J503">
            <v>90</v>
          </cell>
          <cell r="K503">
            <v>15</v>
          </cell>
          <cell r="L503">
            <v>15</v>
          </cell>
          <cell r="M503">
            <v>30</v>
          </cell>
        </row>
        <row r="504">
          <cell r="B504" t="str">
            <v>FAZZIO</v>
          </cell>
          <cell r="D504" t="str">
            <v>YAMAHA</v>
          </cell>
          <cell r="E504" t="str">
            <v>MIO FAZZIO BRV5 (YELLOWISH WHITE)</v>
          </cell>
          <cell r="F504" t="str">
            <v>SCOOTER</v>
          </cell>
          <cell r="G504">
            <v>86397</v>
          </cell>
          <cell r="H504">
            <v>45</v>
          </cell>
          <cell r="I504">
            <v>30</v>
          </cell>
          <cell r="J504">
            <v>90</v>
          </cell>
          <cell r="K504">
            <v>15</v>
          </cell>
          <cell r="L504">
            <v>15</v>
          </cell>
          <cell r="M504">
            <v>30</v>
          </cell>
        </row>
        <row r="505">
          <cell r="B505" t="str">
            <v>CLICK125 FI</v>
          </cell>
          <cell r="D505" t="str">
            <v>HONDA</v>
          </cell>
          <cell r="E505" t="str">
            <v>ACB125CBFSII-OB CLICK125 (BLACK)</v>
          </cell>
          <cell r="F505" t="str">
            <v>SCOOTER</v>
          </cell>
          <cell r="G505">
            <v>80070</v>
          </cell>
          <cell r="H505">
            <v>45</v>
          </cell>
          <cell r="I505">
            <v>30</v>
          </cell>
          <cell r="J505">
            <v>90</v>
          </cell>
          <cell r="K505">
            <v>15</v>
          </cell>
          <cell r="L505">
            <v>15</v>
          </cell>
          <cell r="M505">
            <v>30</v>
          </cell>
        </row>
        <row r="506">
          <cell r="B506" t="str">
            <v>WAVE RSX (DRUM)</v>
          </cell>
          <cell r="D506" t="str">
            <v>HONDA</v>
          </cell>
          <cell r="E506" t="str">
            <v>AFP110DFR-IR WAVE110 (DRUM)</v>
          </cell>
          <cell r="F506" t="str">
            <v>UNDERBONE</v>
          </cell>
          <cell r="G506">
            <v>61670</v>
          </cell>
          <cell r="H506">
            <v>45</v>
          </cell>
          <cell r="I506">
            <v>30</v>
          </cell>
          <cell r="J506">
            <v>90</v>
          </cell>
          <cell r="K506">
            <v>15</v>
          </cell>
          <cell r="L506">
            <v>15</v>
          </cell>
          <cell r="M506">
            <v>30</v>
          </cell>
        </row>
        <row r="507">
          <cell r="B507" t="str">
            <v>WAVE RSX (DRUM)</v>
          </cell>
          <cell r="D507" t="str">
            <v>HONDA</v>
          </cell>
          <cell r="E507" t="str">
            <v>AFP110DFR-BM WAVE110 (DRUM)</v>
          </cell>
          <cell r="F507" t="str">
            <v>UNDERBONE</v>
          </cell>
          <cell r="G507">
            <v>61670</v>
          </cell>
          <cell r="H507">
            <v>45</v>
          </cell>
          <cell r="I507">
            <v>30</v>
          </cell>
          <cell r="J507">
            <v>90</v>
          </cell>
          <cell r="K507">
            <v>15</v>
          </cell>
          <cell r="L507">
            <v>15</v>
          </cell>
          <cell r="M507">
            <v>30</v>
          </cell>
        </row>
        <row r="508">
          <cell r="B508" t="str">
            <v>WAVE RSX(DISC)</v>
          </cell>
          <cell r="D508" t="str">
            <v>HONDA</v>
          </cell>
          <cell r="E508" t="str">
            <v>AFP110SFR-MB WAVE110 (DISK)</v>
          </cell>
          <cell r="F508" t="str">
            <v>UNDERBONE</v>
          </cell>
          <cell r="G508">
            <v>63510</v>
          </cell>
          <cell r="H508">
            <v>45</v>
          </cell>
          <cell r="I508">
            <v>30</v>
          </cell>
          <cell r="J508">
            <v>90</v>
          </cell>
          <cell r="K508">
            <v>15</v>
          </cell>
          <cell r="L508">
            <v>15</v>
          </cell>
          <cell r="M508">
            <v>30</v>
          </cell>
        </row>
        <row r="509">
          <cell r="B509" t="str">
            <v>WAVE RSX(DISC)</v>
          </cell>
          <cell r="D509" t="str">
            <v>HONDA</v>
          </cell>
          <cell r="E509" t="str">
            <v>AFP110SFR-IW WAVE110 (DISK)</v>
          </cell>
          <cell r="F509" t="str">
            <v>UNDERBONE</v>
          </cell>
          <cell r="G509">
            <v>63510</v>
          </cell>
          <cell r="H509">
            <v>45</v>
          </cell>
          <cell r="I509">
            <v>30</v>
          </cell>
          <cell r="J509">
            <v>90</v>
          </cell>
          <cell r="K509">
            <v>15</v>
          </cell>
          <cell r="L509">
            <v>15</v>
          </cell>
          <cell r="M509">
            <v>30</v>
          </cell>
        </row>
        <row r="510">
          <cell r="B510" t="str">
            <v>CLICK125 FI</v>
          </cell>
          <cell r="D510" t="str">
            <v>HONDA</v>
          </cell>
          <cell r="E510" t="str">
            <v>ACB125CBFSII-CR CLICK125 (RED)</v>
          </cell>
          <cell r="F510" t="str">
            <v>SCOOTER</v>
          </cell>
          <cell r="G510">
            <v>80070</v>
          </cell>
          <cell r="H510">
            <v>45</v>
          </cell>
          <cell r="I510">
            <v>30</v>
          </cell>
          <cell r="J510">
            <v>90</v>
          </cell>
          <cell r="K510">
            <v>15</v>
          </cell>
          <cell r="L510">
            <v>15</v>
          </cell>
          <cell r="M510">
            <v>30</v>
          </cell>
        </row>
        <row r="511">
          <cell r="B511" t="str">
            <v>CLICK125 FI</v>
          </cell>
          <cell r="D511" t="str">
            <v>HONDA</v>
          </cell>
          <cell r="E511" t="str">
            <v>ACB125CBFSII-PW CLICK125 (WHITE)</v>
          </cell>
          <cell r="F511" t="str">
            <v>SCOOTER</v>
          </cell>
          <cell r="G511">
            <v>80070</v>
          </cell>
          <cell r="H511">
            <v>45</v>
          </cell>
          <cell r="I511">
            <v>30</v>
          </cell>
          <cell r="J511">
            <v>90</v>
          </cell>
          <cell r="K511">
            <v>15</v>
          </cell>
          <cell r="L511">
            <v>15</v>
          </cell>
          <cell r="M511">
            <v>30</v>
          </cell>
        </row>
        <row r="512">
          <cell r="B512" t="str">
            <v>CLICK125 FI SE</v>
          </cell>
          <cell r="D512" t="str">
            <v>HONDA</v>
          </cell>
          <cell r="E512" t="str">
            <v>ACB125CBFS4-SB CLICK125 (BLUE/WHITE)</v>
          </cell>
          <cell r="F512" t="str">
            <v>SCOOTER</v>
          </cell>
          <cell r="G512">
            <v>84394</v>
          </cell>
          <cell r="H512">
            <v>45</v>
          </cell>
          <cell r="I512">
            <v>30</v>
          </cell>
          <cell r="J512">
            <v>90</v>
          </cell>
          <cell r="K512">
            <v>15</v>
          </cell>
          <cell r="L512">
            <v>15</v>
          </cell>
          <cell r="M512">
            <v>30</v>
          </cell>
        </row>
        <row r="513">
          <cell r="B513" t="str">
            <v>SMASH(SPOKE)</v>
          </cell>
          <cell r="D513" t="str">
            <v>SUZUKI</v>
          </cell>
          <cell r="E513" t="str">
            <v>FW110D SMASH (D1BLACK)</v>
          </cell>
          <cell r="F513" t="str">
            <v>UNDERBONE</v>
          </cell>
          <cell r="G513">
            <v>62692</v>
          </cell>
          <cell r="H513">
            <v>45</v>
          </cell>
          <cell r="I513">
            <v>30</v>
          </cell>
          <cell r="J513">
            <v>90</v>
          </cell>
          <cell r="K513">
            <v>15</v>
          </cell>
          <cell r="L513">
            <v>15</v>
          </cell>
          <cell r="M513">
            <v>30</v>
          </cell>
        </row>
        <row r="514">
          <cell r="B514" t="str">
            <v>CT100</v>
          </cell>
          <cell r="D514" t="str">
            <v>KAWASAKI</v>
          </cell>
          <cell r="E514" t="str">
            <v>CA100AA CT100 (BLACK BLUE)</v>
          </cell>
          <cell r="F514" t="str">
            <v>BUSINESS</v>
          </cell>
          <cell r="G514">
            <v>59528</v>
          </cell>
          <cell r="H514">
            <v>45</v>
          </cell>
          <cell r="I514">
            <v>30</v>
          </cell>
          <cell r="J514">
            <v>90</v>
          </cell>
          <cell r="K514">
            <v>15</v>
          </cell>
          <cell r="L514">
            <v>15</v>
          </cell>
          <cell r="M514">
            <v>30</v>
          </cell>
        </row>
        <row r="515">
          <cell r="B515" t="str">
            <v>PG-1</v>
          </cell>
          <cell r="D515" t="str">
            <v>YAMAHA</v>
          </cell>
          <cell r="E515" t="str">
            <v>PG-1 BNR1 ( MATT BROWN )</v>
          </cell>
          <cell r="F515" t="str">
            <v>UNDERBONE</v>
          </cell>
          <cell r="G515">
            <v>86397</v>
          </cell>
          <cell r="H515">
            <v>45</v>
          </cell>
          <cell r="I515">
            <v>30</v>
          </cell>
          <cell r="J515">
            <v>90</v>
          </cell>
          <cell r="K515">
            <v>15</v>
          </cell>
          <cell r="L515">
            <v>15</v>
          </cell>
          <cell r="M515">
            <v>30</v>
          </cell>
        </row>
        <row r="516">
          <cell r="B516" t="str">
            <v>CLICK125 FI SE</v>
          </cell>
          <cell r="D516" t="str">
            <v>HONDA</v>
          </cell>
          <cell r="E516" t="str">
            <v>ACB125CBFS4-PG CLICK125 (GRAY/BLACK)</v>
          </cell>
          <cell r="F516" t="str">
            <v>SCOOTER</v>
          </cell>
          <cell r="G516">
            <v>84394</v>
          </cell>
          <cell r="H516">
            <v>45</v>
          </cell>
          <cell r="I516">
            <v>30</v>
          </cell>
          <cell r="J516">
            <v>90</v>
          </cell>
          <cell r="K516">
            <v>15</v>
          </cell>
          <cell r="L516">
            <v>15</v>
          </cell>
          <cell r="M516">
            <v>30</v>
          </cell>
        </row>
        <row r="517">
          <cell r="B517" t="str">
            <v>CLICK125 FI</v>
          </cell>
          <cell r="D517" t="str">
            <v>HONDA</v>
          </cell>
          <cell r="E517" t="str">
            <v>ACB125CBFSII-PG CLICK125 (GRAY)</v>
          </cell>
          <cell r="F517" t="str">
            <v>SCOOTER</v>
          </cell>
          <cell r="G517">
            <v>80070</v>
          </cell>
          <cell r="H517">
            <v>45</v>
          </cell>
          <cell r="I517">
            <v>30</v>
          </cell>
          <cell r="J517">
            <v>90</v>
          </cell>
          <cell r="K517">
            <v>15</v>
          </cell>
          <cell r="L517">
            <v>15</v>
          </cell>
          <cell r="M517">
            <v>30</v>
          </cell>
        </row>
        <row r="518">
          <cell r="B518" t="str">
            <v>MAXIMA Z</v>
          </cell>
          <cell r="D518" t="str">
            <v>BAJAJ RE</v>
          </cell>
          <cell r="E518" t="str">
            <v>MAXIMA Z (GREEN)</v>
          </cell>
          <cell r="F518" t="str">
            <v>TRI-WHEELED</v>
          </cell>
          <cell r="G518">
            <v>225800</v>
          </cell>
          <cell r="H518">
            <v>45</v>
          </cell>
          <cell r="I518">
            <v>30</v>
          </cell>
          <cell r="J518">
            <v>90</v>
          </cell>
          <cell r="K518">
            <v>15</v>
          </cell>
          <cell r="L518">
            <v>15</v>
          </cell>
          <cell r="M518">
            <v>30</v>
          </cell>
        </row>
        <row r="519">
          <cell r="B519" t="str">
            <v>SNIPER 155 FI</v>
          </cell>
          <cell r="D519" t="str">
            <v>YAMAHA</v>
          </cell>
          <cell r="E519" t="str">
            <v>SNIPER155 BAY6 (CYAN)</v>
          </cell>
          <cell r="F519" t="str">
            <v>UNDERBONE</v>
          </cell>
          <cell r="G519">
            <v>117087</v>
          </cell>
          <cell r="H519">
            <v>45</v>
          </cell>
          <cell r="I519">
            <v>30</v>
          </cell>
          <cell r="J519">
            <v>90</v>
          </cell>
          <cell r="K519">
            <v>15</v>
          </cell>
          <cell r="L519">
            <v>15</v>
          </cell>
          <cell r="M519">
            <v>30</v>
          </cell>
        </row>
        <row r="520">
          <cell r="B520" t="str">
            <v>SNIPER 155 FI</v>
          </cell>
          <cell r="D520" t="str">
            <v>YAMAHA</v>
          </cell>
          <cell r="E520" t="str">
            <v>SNIPER155 BAY6 (BLUE/ MATTE BLUE)</v>
          </cell>
          <cell r="F520" t="str">
            <v>UNDERBONE</v>
          </cell>
          <cell r="G520">
            <v>117087</v>
          </cell>
          <cell r="H520">
            <v>45</v>
          </cell>
          <cell r="I520">
            <v>30</v>
          </cell>
          <cell r="J520">
            <v>90</v>
          </cell>
          <cell r="K520">
            <v>15</v>
          </cell>
          <cell r="L520">
            <v>15</v>
          </cell>
          <cell r="M520">
            <v>30</v>
          </cell>
        </row>
        <row r="521">
          <cell r="B521" t="str">
            <v>MT-03</v>
          </cell>
          <cell r="D521" t="str">
            <v>YAMAHA</v>
          </cell>
          <cell r="E521" t="str">
            <v>MT-03 B5WF (GRAY/MATTE DARK GRAY)</v>
          </cell>
          <cell r="F521" t="str">
            <v>SPORTS TYPE</v>
          </cell>
          <cell r="G521">
            <v>265050</v>
          </cell>
          <cell r="H521">
            <v>45</v>
          </cell>
          <cell r="I521">
            <v>30</v>
          </cell>
          <cell r="J521">
            <v>90</v>
          </cell>
          <cell r="K521">
            <v>15</v>
          </cell>
          <cell r="L521">
            <v>15</v>
          </cell>
          <cell r="M521">
            <v>30</v>
          </cell>
        </row>
        <row r="522">
          <cell r="B522" t="str">
            <v>CLICK125 FI SE</v>
          </cell>
          <cell r="D522" t="str">
            <v>HONDA</v>
          </cell>
          <cell r="E522" t="str">
            <v>ACB125CBFS4-SB CLICK125 (BLUE/WHITE)</v>
          </cell>
          <cell r="F522" t="str">
            <v>SCOOTER</v>
          </cell>
          <cell r="G522">
            <v>84394</v>
          </cell>
          <cell r="H522">
            <v>45</v>
          </cell>
          <cell r="I522">
            <v>30</v>
          </cell>
          <cell r="J522">
            <v>90</v>
          </cell>
          <cell r="K522">
            <v>15</v>
          </cell>
          <cell r="L522">
            <v>15</v>
          </cell>
          <cell r="M522">
            <v>30</v>
          </cell>
        </row>
        <row r="523">
          <cell r="B523" t="str">
            <v>TMX ALPHA FI</v>
          </cell>
          <cell r="D523" t="str">
            <v>HONDA</v>
          </cell>
          <cell r="E523" t="str">
            <v>CCG125SII-RED TMX125 ALPHA (RED)</v>
          </cell>
          <cell r="F523" t="str">
            <v>BUSINESS</v>
          </cell>
          <cell r="G523">
            <v>56426</v>
          </cell>
          <cell r="H523">
            <v>45</v>
          </cell>
          <cell r="I523">
            <v>30</v>
          </cell>
          <cell r="J523">
            <v>90</v>
          </cell>
          <cell r="K523">
            <v>15</v>
          </cell>
          <cell r="L523">
            <v>15</v>
          </cell>
          <cell r="M523">
            <v>30</v>
          </cell>
        </row>
        <row r="524">
          <cell r="B524" t="str">
            <v>TMX ALPHA FI</v>
          </cell>
          <cell r="D524" t="str">
            <v>HONDA</v>
          </cell>
          <cell r="E524" t="str">
            <v>CCG125SII-BK TMX125 ALPHA (BLACK)</v>
          </cell>
          <cell r="F524" t="str">
            <v>BUSINESS</v>
          </cell>
          <cell r="G524">
            <v>56426</v>
          </cell>
          <cell r="H524">
            <v>45</v>
          </cell>
          <cell r="I524">
            <v>30</v>
          </cell>
          <cell r="J524">
            <v>90</v>
          </cell>
          <cell r="K524">
            <v>15</v>
          </cell>
          <cell r="L524">
            <v>15</v>
          </cell>
          <cell r="M524">
            <v>30</v>
          </cell>
        </row>
        <row r="525">
          <cell r="B525" t="str">
            <v>TMX ALPHA FI</v>
          </cell>
          <cell r="D525" t="str">
            <v>HONDA</v>
          </cell>
          <cell r="E525" t="str">
            <v>CCG125SII-MAS TMX125 ALPHA (SILVER)</v>
          </cell>
          <cell r="F525" t="str">
            <v>BUSINESS</v>
          </cell>
          <cell r="G525">
            <v>56426</v>
          </cell>
          <cell r="H525">
            <v>45</v>
          </cell>
          <cell r="I525">
            <v>30</v>
          </cell>
          <cell r="J525">
            <v>90</v>
          </cell>
          <cell r="K525">
            <v>15</v>
          </cell>
          <cell r="L525">
            <v>15</v>
          </cell>
          <cell r="M525">
            <v>30</v>
          </cell>
        </row>
        <row r="526">
          <cell r="B526" t="str">
            <v>XMAX 300</v>
          </cell>
          <cell r="C526" t="str">
            <v>MATTE LIGHT GRAY</v>
          </cell>
          <cell r="D526" t="str">
            <v>YAMAHA</v>
          </cell>
          <cell r="E526" t="str">
            <v>XMAX BKA5 ( MATTE LIGHT GRAY )</v>
          </cell>
          <cell r="F526" t="str">
            <v>SCOOTER</v>
          </cell>
          <cell r="G526">
            <v>278535</v>
          </cell>
          <cell r="H526">
            <v>45</v>
          </cell>
          <cell r="I526">
            <v>30</v>
          </cell>
          <cell r="J526">
            <v>90</v>
          </cell>
          <cell r="K526">
            <v>15</v>
          </cell>
          <cell r="L526">
            <v>15</v>
          </cell>
          <cell r="M526">
            <v>30</v>
          </cell>
        </row>
        <row r="527">
          <cell r="B527" t="str">
            <v>SMASH(MAGS)</v>
          </cell>
          <cell r="D527" t="str">
            <v>SUZUKI</v>
          </cell>
          <cell r="E527" t="str">
            <v>FW110SC-DBLACK</v>
          </cell>
          <cell r="F527" t="str">
            <v>UNDERBONE</v>
          </cell>
          <cell r="G527">
            <v>67342</v>
          </cell>
          <cell r="H527">
            <v>45</v>
          </cell>
          <cell r="I527">
            <v>30</v>
          </cell>
          <cell r="J527">
            <v>90</v>
          </cell>
          <cell r="K527">
            <v>15</v>
          </cell>
          <cell r="L527">
            <v>15</v>
          </cell>
          <cell r="M527">
            <v>30</v>
          </cell>
        </row>
        <row r="528">
          <cell r="B528" t="str">
            <v>SMASH(MAGS)</v>
          </cell>
          <cell r="D528" t="str">
            <v>SUZUKI</v>
          </cell>
          <cell r="E528" t="str">
            <v>FW110SC-DBLUE</v>
          </cell>
          <cell r="F528" t="str">
            <v>UNDERBONE</v>
          </cell>
          <cell r="G528">
            <v>67342</v>
          </cell>
          <cell r="H528">
            <v>45</v>
          </cell>
          <cell r="I528">
            <v>30</v>
          </cell>
          <cell r="J528">
            <v>90</v>
          </cell>
          <cell r="K528">
            <v>15</v>
          </cell>
          <cell r="L528">
            <v>15</v>
          </cell>
          <cell r="M528">
            <v>30</v>
          </cell>
        </row>
        <row r="529">
          <cell r="B529" t="str">
            <v>BEAT FI STD</v>
          </cell>
          <cell r="D529" t="str">
            <v>HONDA</v>
          </cell>
          <cell r="E529" t="str">
            <v>ACH110CBFS-PG BEAT (GRAY/BLACK)</v>
          </cell>
          <cell r="F529" t="str">
            <v>SCOOTER</v>
          </cell>
          <cell r="G529">
            <v>70410</v>
          </cell>
          <cell r="H529">
            <v>45</v>
          </cell>
          <cell r="I529">
            <v>30</v>
          </cell>
          <cell r="J529">
            <v>90</v>
          </cell>
          <cell r="K529">
            <v>15</v>
          </cell>
          <cell r="L529">
            <v>15</v>
          </cell>
          <cell r="M529">
            <v>30</v>
          </cell>
        </row>
        <row r="530">
          <cell r="B530" t="str">
            <v>BEAT FI STD</v>
          </cell>
          <cell r="D530" t="str">
            <v>HONDA</v>
          </cell>
          <cell r="E530" t="str">
            <v>ACH110CBFS-RD BEAT (RED/BLACK)</v>
          </cell>
          <cell r="F530" t="str">
            <v>SCOOTER</v>
          </cell>
          <cell r="G530">
            <v>70410</v>
          </cell>
          <cell r="H530">
            <v>45</v>
          </cell>
          <cell r="I530">
            <v>30</v>
          </cell>
          <cell r="J530">
            <v>90</v>
          </cell>
          <cell r="K530">
            <v>15</v>
          </cell>
          <cell r="L530">
            <v>15</v>
          </cell>
          <cell r="M530">
            <v>30</v>
          </cell>
        </row>
        <row r="531">
          <cell r="B531" t="str">
            <v>BEAT FI STD</v>
          </cell>
          <cell r="D531" t="str">
            <v>HONDA</v>
          </cell>
          <cell r="E531" t="str">
            <v>ACH110CBFS-PND BEAT (BLUE/BLACK)</v>
          </cell>
          <cell r="F531" t="str">
            <v>SCOOTER</v>
          </cell>
          <cell r="G531">
            <v>70410</v>
          </cell>
          <cell r="H531">
            <v>45</v>
          </cell>
          <cell r="I531">
            <v>30</v>
          </cell>
          <cell r="J531">
            <v>90</v>
          </cell>
          <cell r="K531">
            <v>15</v>
          </cell>
          <cell r="L531">
            <v>15</v>
          </cell>
          <cell r="M531">
            <v>30</v>
          </cell>
        </row>
        <row r="532">
          <cell r="B532" t="str">
            <v>BEAT FI STD</v>
          </cell>
          <cell r="D532" t="str">
            <v>HONDA</v>
          </cell>
          <cell r="E532" t="str">
            <v>ACH110CBFS-YW BEAT (YELLOW/BLACK)</v>
          </cell>
          <cell r="F532" t="str">
            <v>SCOOTER</v>
          </cell>
          <cell r="G532">
            <v>70410</v>
          </cell>
          <cell r="H532">
            <v>45</v>
          </cell>
          <cell r="I532">
            <v>30</v>
          </cell>
          <cell r="J532">
            <v>90</v>
          </cell>
          <cell r="K532">
            <v>15</v>
          </cell>
          <cell r="L532">
            <v>15</v>
          </cell>
          <cell r="M532">
            <v>30</v>
          </cell>
        </row>
        <row r="533">
          <cell r="B533" t="str">
            <v>BEAT FI PREM</v>
          </cell>
          <cell r="D533" t="str">
            <v>HONDA</v>
          </cell>
          <cell r="E533" t="str">
            <v>ACH110CBFS3-MG BEAT (GRAY)</v>
          </cell>
          <cell r="F533" t="str">
            <v>SCOOTER</v>
          </cell>
          <cell r="G533">
            <v>72434</v>
          </cell>
          <cell r="H533">
            <v>45</v>
          </cell>
          <cell r="I533">
            <v>30</v>
          </cell>
          <cell r="J533">
            <v>90</v>
          </cell>
          <cell r="K533">
            <v>15</v>
          </cell>
          <cell r="L533">
            <v>15</v>
          </cell>
          <cell r="M533">
            <v>30</v>
          </cell>
        </row>
        <row r="534">
          <cell r="B534" t="str">
            <v>BEAT FI PREM</v>
          </cell>
          <cell r="D534" t="str">
            <v>HONDA</v>
          </cell>
          <cell r="E534" t="str">
            <v>ACH110CBFS3-PW BEAT (WHITE)</v>
          </cell>
          <cell r="F534" t="str">
            <v>SCOOTER</v>
          </cell>
          <cell r="G534">
            <v>72434</v>
          </cell>
          <cell r="H534">
            <v>45</v>
          </cell>
          <cell r="I534">
            <v>30</v>
          </cell>
          <cell r="J534">
            <v>90</v>
          </cell>
          <cell r="K534">
            <v>15</v>
          </cell>
          <cell r="L534">
            <v>15</v>
          </cell>
          <cell r="M534">
            <v>30</v>
          </cell>
        </row>
        <row r="535">
          <cell r="B535" t="str">
            <v>MIO i125s</v>
          </cell>
          <cell r="D535" t="str">
            <v>YAMAHA</v>
          </cell>
          <cell r="E535" t="str">
            <v>MIO i 125 S B6B5 (MATTE BLACK/ BLACK)</v>
          </cell>
          <cell r="F535" t="str">
            <v>SCOOTER</v>
          </cell>
          <cell r="G535">
            <v>74772</v>
          </cell>
          <cell r="H535">
            <v>45</v>
          </cell>
          <cell r="I535">
            <v>30</v>
          </cell>
          <cell r="J535">
            <v>90</v>
          </cell>
          <cell r="K535">
            <v>15</v>
          </cell>
          <cell r="L535">
            <v>15</v>
          </cell>
          <cell r="M535">
            <v>30</v>
          </cell>
        </row>
        <row r="536">
          <cell r="B536" t="str">
            <v>WIZARD</v>
          </cell>
          <cell r="D536" t="str">
            <v>SKYGO</v>
          </cell>
          <cell r="E536" t="str">
            <v>SG125-8A-1 WIZARD (RED)</v>
          </cell>
          <cell r="F536" t="str">
            <v>BUSINESS</v>
          </cell>
          <cell r="G536">
            <v>35055</v>
          </cell>
          <cell r="H536">
            <v>45</v>
          </cell>
          <cell r="I536">
            <v>30</v>
          </cell>
          <cell r="J536">
            <v>90</v>
          </cell>
          <cell r="K536">
            <v>15</v>
          </cell>
          <cell r="L536">
            <v>15</v>
          </cell>
          <cell r="M536">
            <v>30</v>
          </cell>
        </row>
        <row r="537">
          <cell r="B537" t="str">
            <v>WIZARD</v>
          </cell>
          <cell r="D537" t="str">
            <v>SKYGO</v>
          </cell>
          <cell r="E537" t="str">
            <v>SG125-8A-1 WIZARD (BLUE)</v>
          </cell>
          <cell r="F537" t="str">
            <v>BUSINESS</v>
          </cell>
          <cell r="G537">
            <v>35055</v>
          </cell>
          <cell r="H537">
            <v>45</v>
          </cell>
          <cell r="I537">
            <v>30</v>
          </cell>
          <cell r="J537">
            <v>90</v>
          </cell>
          <cell r="K537">
            <v>15</v>
          </cell>
          <cell r="L537">
            <v>15</v>
          </cell>
          <cell r="M537">
            <v>30</v>
          </cell>
        </row>
        <row r="538">
          <cell r="B538" t="str">
            <v>V-STROM 250 SX</v>
          </cell>
          <cell r="D538" t="str">
            <v>SUZUKI</v>
          </cell>
          <cell r="E538" t="str">
            <v>DS250RL-1YELLOW</v>
          </cell>
          <cell r="F538" t="str">
            <v>UNDERBONE</v>
          </cell>
          <cell r="G538">
            <v>215770</v>
          </cell>
          <cell r="H538">
            <v>45</v>
          </cell>
          <cell r="I538">
            <v>30</v>
          </cell>
          <cell r="J538">
            <v>90</v>
          </cell>
          <cell r="K538">
            <v>15</v>
          </cell>
          <cell r="L538">
            <v>15</v>
          </cell>
          <cell r="M538">
            <v>30</v>
          </cell>
        </row>
        <row r="539">
          <cell r="B539" t="str">
            <v>V-STROM 250 SX</v>
          </cell>
          <cell r="D539" t="str">
            <v>SUZUKI</v>
          </cell>
          <cell r="E539" t="str">
            <v>DS250RL-1BLACK</v>
          </cell>
          <cell r="F539" t="str">
            <v>UNDERBONE</v>
          </cell>
          <cell r="G539">
            <v>215770</v>
          </cell>
          <cell r="H539">
            <v>45</v>
          </cell>
          <cell r="I539">
            <v>30</v>
          </cell>
          <cell r="J539">
            <v>90</v>
          </cell>
          <cell r="K539">
            <v>15</v>
          </cell>
          <cell r="L539">
            <v>15</v>
          </cell>
          <cell r="M539">
            <v>30</v>
          </cell>
        </row>
        <row r="540">
          <cell r="B540" t="str">
            <v>XMAX 300</v>
          </cell>
          <cell r="C540" t="str">
            <v>MATTE DARK LIGHT GRAY</v>
          </cell>
          <cell r="D540" t="str">
            <v>YAMAHA</v>
          </cell>
          <cell r="E540" t="str">
            <v>XMAX BKA5 ( MATTE DARK LIGHT GRAY/BLACK )</v>
          </cell>
          <cell r="F540" t="str">
            <v>SCOOTER</v>
          </cell>
          <cell r="G540">
            <v>278535</v>
          </cell>
          <cell r="H540">
            <v>45</v>
          </cell>
          <cell r="I540">
            <v>30</v>
          </cell>
          <cell r="J540">
            <v>90</v>
          </cell>
          <cell r="K540">
            <v>15</v>
          </cell>
          <cell r="L540">
            <v>15</v>
          </cell>
          <cell r="M540">
            <v>30</v>
          </cell>
        </row>
        <row r="541">
          <cell r="B541" t="str">
            <v>KLX150</v>
          </cell>
          <cell r="D541" t="str">
            <v>KAWASAKI</v>
          </cell>
          <cell r="E541" t="str">
            <v>KLX150KSAAN KLX150 (GRAY)</v>
          </cell>
          <cell r="F541" t="str">
            <v>SPORTS TYPE</v>
          </cell>
          <cell r="G541">
            <v>131626</v>
          </cell>
          <cell r="H541">
            <v>45</v>
          </cell>
          <cell r="I541">
            <v>30</v>
          </cell>
          <cell r="J541">
            <v>90</v>
          </cell>
          <cell r="K541">
            <v>15</v>
          </cell>
          <cell r="L541">
            <v>15</v>
          </cell>
          <cell r="M541">
            <v>30</v>
          </cell>
        </row>
        <row r="542">
          <cell r="B542" t="str">
            <v>XRM DUAL SPORTS FI(DS)</v>
          </cell>
          <cell r="D542" t="str">
            <v>HONDA</v>
          </cell>
          <cell r="E542" t="str">
            <v>CFT125MSS-RD XRM125 DS (RED/BLACK)</v>
          </cell>
          <cell r="F542" t="str">
            <v>UNDERBONE</v>
          </cell>
          <cell r="G542">
            <v>69950</v>
          </cell>
          <cell r="H542">
            <v>45</v>
          </cell>
          <cell r="I542">
            <v>30</v>
          </cell>
          <cell r="J542">
            <v>90</v>
          </cell>
          <cell r="K542">
            <v>15</v>
          </cell>
          <cell r="L542">
            <v>15</v>
          </cell>
          <cell r="M542">
            <v>30</v>
          </cell>
        </row>
        <row r="543">
          <cell r="B543" t="str">
            <v>XRM DUAL SPORTS FI(DS)</v>
          </cell>
          <cell r="D543" t="str">
            <v>HONDA</v>
          </cell>
          <cell r="E543" t="str">
            <v>CFT125MSS-BK XRM125 DS (BLACK)</v>
          </cell>
          <cell r="F543" t="str">
            <v>UNDERBONE</v>
          </cell>
          <cell r="G543">
            <v>69950</v>
          </cell>
          <cell r="H543">
            <v>45</v>
          </cell>
          <cell r="I543">
            <v>30</v>
          </cell>
          <cell r="J543">
            <v>90</v>
          </cell>
          <cell r="K543">
            <v>15</v>
          </cell>
          <cell r="L543">
            <v>15</v>
          </cell>
          <cell r="M543">
            <v>30</v>
          </cell>
        </row>
        <row r="544">
          <cell r="B544" t="str">
            <v>XRM DUAL SPORTS FI(DS)</v>
          </cell>
          <cell r="D544" t="str">
            <v>HONDA</v>
          </cell>
          <cell r="E544" t="str">
            <v>CFT125MSS-BA XRM125 DS (BLUE/BLACK)</v>
          </cell>
          <cell r="F544" t="str">
            <v>UNDERBONE</v>
          </cell>
          <cell r="G544">
            <v>69950</v>
          </cell>
          <cell r="H544">
            <v>45</v>
          </cell>
          <cell r="I544">
            <v>30</v>
          </cell>
          <cell r="J544">
            <v>90</v>
          </cell>
          <cell r="K544">
            <v>15</v>
          </cell>
          <cell r="L544">
            <v>15</v>
          </cell>
          <cell r="M544">
            <v>30</v>
          </cell>
        </row>
        <row r="545">
          <cell r="B545" t="str">
            <v>XRM OFFROAD FI(DSX)</v>
          </cell>
          <cell r="D545" t="str">
            <v>HONDA</v>
          </cell>
          <cell r="E545" t="str">
            <v>CFT125MRS-RWH XRM125 DSX (WHITE/BLUE)</v>
          </cell>
          <cell r="F545" t="str">
            <v>UNDERBONE</v>
          </cell>
          <cell r="G545">
            <v>73170</v>
          </cell>
          <cell r="H545">
            <v>45</v>
          </cell>
          <cell r="I545">
            <v>30</v>
          </cell>
          <cell r="J545">
            <v>90</v>
          </cell>
          <cell r="K545">
            <v>15</v>
          </cell>
          <cell r="L545">
            <v>15</v>
          </cell>
          <cell r="M545">
            <v>30</v>
          </cell>
        </row>
        <row r="546">
          <cell r="B546" t="str">
            <v>XRM MOTARD FI</v>
          </cell>
          <cell r="D546" t="str">
            <v>HONDA</v>
          </cell>
          <cell r="E546" t="str">
            <v>CFT125MRCS-BK XRM125 MOTARD (BLACK)</v>
          </cell>
          <cell r="F546" t="str">
            <v>UNDERBONE</v>
          </cell>
          <cell r="G546">
            <v>74550</v>
          </cell>
          <cell r="H546">
            <v>45</v>
          </cell>
          <cell r="I546">
            <v>30</v>
          </cell>
          <cell r="J546">
            <v>90</v>
          </cell>
          <cell r="K546">
            <v>15</v>
          </cell>
          <cell r="L546">
            <v>15</v>
          </cell>
          <cell r="M546">
            <v>30</v>
          </cell>
        </row>
        <row r="547">
          <cell r="B547" t="str">
            <v>BURGMAN STREET EX</v>
          </cell>
          <cell r="D547" t="str">
            <v>SUZUKI</v>
          </cell>
          <cell r="E547" t="str">
            <v>UB125LNM-1MSLVR BURGMAN STREET  EX</v>
          </cell>
          <cell r="F547" t="str">
            <v>SCOOTER</v>
          </cell>
          <cell r="G547">
            <v>89662</v>
          </cell>
          <cell r="H547">
            <v>45</v>
          </cell>
          <cell r="I547">
            <v>30</v>
          </cell>
          <cell r="J547">
            <v>90</v>
          </cell>
          <cell r="K547">
            <v>15</v>
          </cell>
          <cell r="L547">
            <v>15</v>
          </cell>
          <cell r="M547">
            <v>30</v>
          </cell>
        </row>
        <row r="548">
          <cell r="B548" t="str">
            <v>BURGMAN STREET</v>
          </cell>
          <cell r="D548" t="str">
            <v>SUZUKI</v>
          </cell>
          <cell r="E548" t="str">
            <v>UB125NM-A1BLACK BURGMAN STREET</v>
          </cell>
          <cell r="F548" t="str">
            <v>SCOOTER</v>
          </cell>
          <cell r="G548">
            <v>79802</v>
          </cell>
          <cell r="H548">
            <v>45</v>
          </cell>
          <cell r="I548">
            <v>30</v>
          </cell>
          <cell r="J548">
            <v>90</v>
          </cell>
          <cell r="K548">
            <v>15</v>
          </cell>
          <cell r="L548">
            <v>15</v>
          </cell>
          <cell r="M548">
            <v>30</v>
          </cell>
        </row>
        <row r="549">
          <cell r="B549" t="str">
            <v>BURGMAN STREET</v>
          </cell>
          <cell r="D549" t="str">
            <v>SUZUKI</v>
          </cell>
          <cell r="E549" t="str">
            <v>UB125NM-A1WHITE BURGMAN STREET</v>
          </cell>
          <cell r="F549" t="str">
            <v>SCOOTER</v>
          </cell>
          <cell r="G549">
            <v>79802</v>
          </cell>
          <cell r="H549">
            <v>45</v>
          </cell>
          <cell r="I549">
            <v>30</v>
          </cell>
          <cell r="J549">
            <v>90</v>
          </cell>
          <cell r="K549">
            <v>15</v>
          </cell>
          <cell r="L549">
            <v>15</v>
          </cell>
          <cell r="M549">
            <v>30</v>
          </cell>
        </row>
        <row r="550">
          <cell r="B550" t="str">
            <v>BURGMAN STREET</v>
          </cell>
          <cell r="D550" t="str">
            <v>SUZUKI</v>
          </cell>
          <cell r="E550" t="str">
            <v>UB125NM-A1GRAY BURGMAN STREET</v>
          </cell>
          <cell r="F550" t="str">
            <v>SCOOTER</v>
          </cell>
          <cell r="G550">
            <v>79802</v>
          </cell>
          <cell r="H550">
            <v>45</v>
          </cell>
          <cell r="I550">
            <v>30</v>
          </cell>
          <cell r="J550">
            <v>90</v>
          </cell>
          <cell r="K550">
            <v>15</v>
          </cell>
          <cell r="L550">
            <v>15</v>
          </cell>
          <cell r="M550">
            <v>30</v>
          </cell>
        </row>
        <row r="551">
          <cell r="B551" t="str">
            <v>MAXIMA Z</v>
          </cell>
          <cell r="D551" t="str">
            <v>BAJAJ RE</v>
          </cell>
          <cell r="E551" t="str">
            <v>C1AY1SP MAXIMA Z (BLUE)</v>
          </cell>
          <cell r="F551" t="str">
            <v>TRI-WHEELED</v>
          </cell>
          <cell r="G551">
            <v>225800</v>
          </cell>
          <cell r="H551">
            <v>45</v>
          </cell>
          <cell r="I551">
            <v>30</v>
          </cell>
          <cell r="J551">
            <v>90</v>
          </cell>
          <cell r="K551">
            <v>15</v>
          </cell>
          <cell r="L551">
            <v>15</v>
          </cell>
          <cell r="M551">
            <v>30</v>
          </cell>
        </row>
        <row r="552">
          <cell r="B552" t="str">
            <v>MAXIMA Z</v>
          </cell>
          <cell r="D552" t="str">
            <v>BAJAJ RE</v>
          </cell>
          <cell r="E552" t="str">
            <v>C1AY1SP MAXIMA Z (WHITE)</v>
          </cell>
          <cell r="F552" t="str">
            <v>TRI-WHEELED</v>
          </cell>
          <cell r="G552">
            <v>225800</v>
          </cell>
          <cell r="H552">
            <v>45</v>
          </cell>
          <cell r="I552">
            <v>30</v>
          </cell>
          <cell r="J552">
            <v>90</v>
          </cell>
          <cell r="K552">
            <v>15</v>
          </cell>
          <cell r="L552">
            <v>15</v>
          </cell>
          <cell r="M552">
            <v>30</v>
          </cell>
        </row>
        <row r="553">
          <cell r="B553" t="str">
            <v>MAXIMA Z</v>
          </cell>
          <cell r="D553" t="str">
            <v>BAJAJ RE</v>
          </cell>
          <cell r="E553" t="str">
            <v>C1AY1SP MAXIMA Z (GREEN)</v>
          </cell>
          <cell r="F553" t="str">
            <v>TRI-WHEELED</v>
          </cell>
          <cell r="G553">
            <v>225800</v>
          </cell>
          <cell r="H553">
            <v>45</v>
          </cell>
          <cell r="I553">
            <v>30</v>
          </cell>
          <cell r="J553">
            <v>90</v>
          </cell>
          <cell r="K553">
            <v>15</v>
          </cell>
          <cell r="L553">
            <v>15</v>
          </cell>
          <cell r="M553">
            <v>30</v>
          </cell>
        </row>
        <row r="554">
          <cell r="B554" t="str">
            <v>MAXIMA Z</v>
          </cell>
          <cell r="D554" t="str">
            <v>BAJAJ RE</v>
          </cell>
          <cell r="E554" t="str">
            <v>C1AY1SP MAXIMA Z (RED)</v>
          </cell>
          <cell r="F554" t="str">
            <v>TRI-WHEELED</v>
          </cell>
          <cell r="G554">
            <v>225800</v>
          </cell>
          <cell r="H554">
            <v>45</v>
          </cell>
          <cell r="I554">
            <v>30</v>
          </cell>
          <cell r="J554">
            <v>90</v>
          </cell>
          <cell r="K554">
            <v>15</v>
          </cell>
          <cell r="L554">
            <v>15</v>
          </cell>
          <cell r="M554">
            <v>30</v>
          </cell>
        </row>
        <row r="555">
          <cell r="B555" t="str">
            <v>XRM RS</v>
          </cell>
          <cell r="D555" t="str">
            <v>HONDA</v>
          </cell>
          <cell r="E555" t="str">
            <v>ZN125MS-VR RS125 (RED/BLACK)</v>
          </cell>
          <cell r="F555" t="str">
            <v>UNDERBONE</v>
          </cell>
          <cell r="G555">
            <v>73630</v>
          </cell>
          <cell r="H555">
            <v>45</v>
          </cell>
          <cell r="I555">
            <v>30</v>
          </cell>
          <cell r="J555">
            <v>90</v>
          </cell>
          <cell r="K555">
            <v>15</v>
          </cell>
          <cell r="L555">
            <v>15</v>
          </cell>
          <cell r="M555">
            <v>30</v>
          </cell>
        </row>
        <row r="556">
          <cell r="B556" t="str">
            <v>XRM RS</v>
          </cell>
          <cell r="D556" t="str">
            <v>HONDA</v>
          </cell>
          <cell r="E556" t="str">
            <v>ZN125MS-MG RS125 (GARY)</v>
          </cell>
          <cell r="F556" t="str">
            <v>UNDERBONE</v>
          </cell>
          <cell r="G556">
            <v>73630</v>
          </cell>
          <cell r="H556">
            <v>45</v>
          </cell>
          <cell r="I556">
            <v>30</v>
          </cell>
          <cell r="J556">
            <v>90</v>
          </cell>
          <cell r="K556">
            <v>15</v>
          </cell>
          <cell r="L556">
            <v>15</v>
          </cell>
          <cell r="M556">
            <v>30</v>
          </cell>
        </row>
        <row r="557">
          <cell r="B557" t="str">
            <v>BURGMAN STREET</v>
          </cell>
          <cell r="D557" t="str">
            <v>SUZUKI</v>
          </cell>
          <cell r="E557" t="str">
            <v>UB125NM-A1RED BURGMAN STREET</v>
          </cell>
          <cell r="F557" t="str">
            <v>SCOOTER</v>
          </cell>
          <cell r="G557">
            <v>79802</v>
          </cell>
          <cell r="H557">
            <v>45</v>
          </cell>
          <cell r="I557">
            <v>30</v>
          </cell>
          <cell r="J557">
            <v>90</v>
          </cell>
          <cell r="K557">
            <v>15</v>
          </cell>
          <cell r="L557">
            <v>15</v>
          </cell>
          <cell r="M557">
            <v>30</v>
          </cell>
        </row>
        <row r="558">
          <cell r="B558" t="str">
            <v>CLICK160 FI</v>
          </cell>
          <cell r="D558" t="str">
            <v>HONDA</v>
          </cell>
          <cell r="E558" t="str">
            <v>ACB160CBTS-CS CLICK160 (SILVER/BLACK)</v>
          </cell>
          <cell r="F558" t="str">
            <v>SCOOTER</v>
          </cell>
          <cell r="G558">
            <v>111258</v>
          </cell>
          <cell r="H558">
            <v>45</v>
          </cell>
          <cell r="I558">
            <v>30</v>
          </cell>
          <cell r="J558">
            <v>90</v>
          </cell>
          <cell r="K558">
            <v>15</v>
          </cell>
          <cell r="L558">
            <v>15</v>
          </cell>
          <cell r="M558">
            <v>30</v>
          </cell>
        </row>
        <row r="559">
          <cell r="B559" t="str">
            <v>CLICK160 FI</v>
          </cell>
          <cell r="D559" t="str">
            <v>HONDA</v>
          </cell>
          <cell r="E559" t="str">
            <v>ACB160CBTS-MGB CLICK160 (BLACK)</v>
          </cell>
          <cell r="F559" t="str">
            <v>SCOOTER</v>
          </cell>
          <cell r="G559">
            <v>111258</v>
          </cell>
          <cell r="H559">
            <v>45</v>
          </cell>
          <cell r="I559">
            <v>30</v>
          </cell>
          <cell r="J559">
            <v>90</v>
          </cell>
          <cell r="K559">
            <v>15</v>
          </cell>
          <cell r="L559">
            <v>15</v>
          </cell>
          <cell r="M559">
            <v>30</v>
          </cell>
        </row>
        <row r="560">
          <cell r="B560" t="str">
            <v>CLICK160 FI</v>
          </cell>
          <cell r="D560" t="str">
            <v>HONDA</v>
          </cell>
          <cell r="E560" t="str">
            <v>ACB160CBTS-MSR CLICK160 (RED/BLACK)</v>
          </cell>
          <cell r="F560" t="str">
            <v>SCOOTER</v>
          </cell>
          <cell r="G560">
            <v>111258</v>
          </cell>
          <cell r="H560">
            <v>45</v>
          </cell>
          <cell r="I560">
            <v>30</v>
          </cell>
          <cell r="J560">
            <v>90</v>
          </cell>
          <cell r="K560">
            <v>15</v>
          </cell>
          <cell r="L560">
            <v>15</v>
          </cell>
          <cell r="M560">
            <v>30</v>
          </cell>
        </row>
        <row r="561">
          <cell r="B561" t="str">
            <v>WIZARD</v>
          </cell>
          <cell r="D561" t="str">
            <v>SKYGO</v>
          </cell>
          <cell r="E561" t="str">
            <v>SG125-8A-1 WIZARD (BLACK)</v>
          </cell>
          <cell r="F561" t="str">
            <v>BUSINESS</v>
          </cell>
          <cell r="G561">
            <v>35055</v>
          </cell>
          <cell r="H561">
            <v>45</v>
          </cell>
          <cell r="I561">
            <v>30</v>
          </cell>
          <cell r="J561">
            <v>90</v>
          </cell>
          <cell r="K561">
            <v>15</v>
          </cell>
          <cell r="L561">
            <v>15</v>
          </cell>
          <cell r="M561">
            <v>30</v>
          </cell>
        </row>
        <row r="562">
          <cell r="B562" t="str">
            <v>MAXIMA Z</v>
          </cell>
          <cell r="D562" t="str">
            <v>BAJAJ RE</v>
          </cell>
          <cell r="E562" t="str">
            <v>C1AY1SP MAXIMA Z (YELLOW)</v>
          </cell>
          <cell r="F562" t="str">
            <v>TRI-WHEELED</v>
          </cell>
          <cell r="G562">
            <v>225800</v>
          </cell>
          <cell r="H562">
            <v>45</v>
          </cell>
          <cell r="I562">
            <v>30</v>
          </cell>
          <cell r="J562">
            <v>90</v>
          </cell>
          <cell r="K562">
            <v>15</v>
          </cell>
          <cell r="L562">
            <v>15</v>
          </cell>
          <cell r="M562">
            <v>30</v>
          </cell>
        </row>
        <row r="563">
          <cell r="B563" t="str">
            <v>BRUSKY125</v>
          </cell>
          <cell r="D563" t="str">
            <v>KAWASAKI</v>
          </cell>
          <cell r="E563" t="str">
            <v>SN125ZRFNN BRUSKY125 (BLU)</v>
          </cell>
          <cell r="F563" t="str">
            <v>SCOOTER</v>
          </cell>
          <cell r="G563">
            <v>72500</v>
          </cell>
          <cell r="H563">
            <v>45</v>
          </cell>
          <cell r="I563">
            <v>30</v>
          </cell>
          <cell r="J563">
            <v>90</v>
          </cell>
          <cell r="K563">
            <v>15</v>
          </cell>
          <cell r="L563">
            <v>15</v>
          </cell>
          <cell r="M563">
            <v>30</v>
          </cell>
        </row>
        <row r="564">
          <cell r="B564" t="str">
            <v>BRUSKY125</v>
          </cell>
          <cell r="D564" t="str">
            <v>KAWASAKI</v>
          </cell>
          <cell r="E564" t="str">
            <v>SN125ZRFNN BRUSKY125 (RED)</v>
          </cell>
          <cell r="F564" t="str">
            <v>SCOOTER</v>
          </cell>
          <cell r="G564">
            <v>72500</v>
          </cell>
          <cell r="H564">
            <v>45</v>
          </cell>
          <cell r="I564">
            <v>30</v>
          </cell>
          <cell r="J564">
            <v>90</v>
          </cell>
          <cell r="K564">
            <v>15</v>
          </cell>
          <cell r="L564">
            <v>15</v>
          </cell>
          <cell r="M564">
            <v>30</v>
          </cell>
        </row>
        <row r="565">
          <cell r="B565" t="str">
            <v>BRUSKY125</v>
          </cell>
          <cell r="D565" t="str">
            <v>KAWASAKI</v>
          </cell>
          <cell r="E565" t="str">
            <v>SN125ZRFNN BRUSKY125 (GLD)</v>
          </cell>
          <cell r="F565" t="str">
            <v>SCOOTER</v>
          </cell>
          <cell r="G565">
            <v>72500</v>
          </cell>
          <cell r="H565">
            <v>45</v>
          </cell>
          <cell r="I565">
            <v>30</v>
          </cell>
          <cell r="J565">
            <v>90</v>
          </cell>
          <cell r="K565">
            <v>15</v>
          </cell>
          <cell r="L565">
            <v>15</v>
          </cell>
          <cell r="M565">
            <v>30</v>
          </cell>
        </row>
        <row r="566">
          <cell r="B566" t="str">
            <v>BAJAJ RE 4S FI</v>
          </cell>
          <cell r="D566" t="str">
            <v>BAJAJ RE</v>
          </cell>
          <cell r="E566" t="str">
            <v>C1AU021S BAJAJ RE FL236 (WHITE)</v>
          </cell>
          <cell r="F566" t="str">
            <v>TRI-WHEELED</v>
          </cell>
          <cell r="G566">
            <v>191000</v>
          </cell>
          <cell r="H566">
            <v>45</v>
          </cell>
          <cell r="I566">
            <v>30</v>
          </cell>
          <cell r="J566">
            <v>90</v>
          </cell>
          <cell r="K566">
            <v>15</v>
          </cell>
          <cell r="L566">
            <v>15</v>
          </cell>
          <cell r="M566">
            <v>30</v>
          </cell>
        </row>
        <row r="567">
          <cell r="B567" t="str">
            <v>BAJAJ RE 4S FI</v>
          </cell>
          <cell r="D567" t="str">
            <v>BAJAJ RE</v>
          </cell>
          <cell r="E567" t="str">
            <v>C1AU021S BAJAJ RE FL236 (GREEN)</v>
          </cell>
          <cell r="F567" t="str">
            <v>TRI-WHEELED</v>
          </cell>
          <cell r="G567">
            <v>191000</v>
          </cell>
          <cell r="H567">
            <v>45</v>
          </cell>
          <cell r="I567">
            <v>30</v>
          </cell>
          <cell r="J567">
            <v>90</v>
          </cell>
          <cell r="K567">
            <v>15</v>
          </cell>
          <cell r="L567">
            <v>15</v>
          </cell>
          <cell r="M567">
            <v>30</v>
          </cell>
        </row>
        <row r="568">
          <cell r="B568" t="str">
            <v>BAJAJ RE 4S FI</v>
          </cell>
          <cell r="D568" t="str">
            <v>BAJAJ RE</v>
          </cell>
          <cell r="E568" t="str">
            <v>C1AU021S BAJAJ RE FL236 (YELLOW)</v>
          </cell>
          <cell r="F568" t="str">
            <v>TRI-WHEELED</v>
          </cell>
          <cell r="G568">
            <v>191000</v>
          </cell>
          <cell r="H568">
            <v>45</v>
          </cell>
          <cell r="I568">
            <v>30</v>
          </cell>
          <cell r="J568">
            <v>90</v>
          </cell>
          <cell r="K568">
            <v>15</v>
          </cell>
          <cell r="L568">
            <v>15</v>
          </cell>
          <cell r="M568">
            <v>30</v>
          </cell>
        </row>
        <row r="569">
          <cell r="B569" t="str">
            <v>BAJAJ RE 4S FI</v>
          </cell>
          <cell r="D569" t="str">
            <v>BAJAJ RE</v>
          </cell>
          <cell r="E569" t="str">
            <v>C1AU021S BAJAJ RE FL236 (BLUE)</v>
          </cell>
          <cell r="F569" t="str">
            <v>TRI-WHEELED</v>
          </cell>
          <cell r="G569">
            <v>191000</v>
          </cell>
          <cell r="H569">
            <v>45</v>
          </cell>
          <cell r="I569">
            <v>30</v>
          </cell>
          <cell r="J569">
            <v>90</v>
          </cell>
          <cell r="K569">
            <v>15</v>
          </cell>
          <cell r="L569">
            <v>15</v>
          </cell>
          <cell r="M569">
            <v>30</v>
          </cell>
        </row>
        <row r="570">
          <cell r="B570" t="str">
            <v>BAJAJ RE 4S FI</v>
          </cell>
          <cell r="D570" t="str">
            <v>BAJAJ RE</v>
          </cell>
          <cell r="E570" t="str">
            <v>C1AU021S BAJAJ RE FL236 (RED</v>
          </cell>
          <cell r="F570" t="str">
            <v>TRI-WHEELED</v>
          </cell>
          <cell r="G570">
            <v>191000</v>
          </cell>
          <cell r="H570">
            <v>45</v>
          </cell>
          <cell r="I570">
            <v>30</v>
          </cell>
          <cell r="J570">
            <v>90</v>
          </cell>
          <cell r="K570">
            <v>15</v>
          </cell>
          <cell r="L570">
            <v>15</v>
          </cell>
          <cell r="M570">
            <v>30</v>
          </cell>
        </row>
        <row r="571">
          <cell r="B571" t="str">
            <v>BARAKO II (KICK START)</v>
          </cell>
          <cell r="D571" t="str">
            <v>KAWASAKI</v>
          </cell>
          <cell r="E571" t="str">
            <v>BC175MSFNN BARAKO II KICK (GREY)</v>
          </cell>
          <cell r="F571" t="str">
            <v>BUSINESS</v>
          </cell>
          <cell r="G571">
            <v>91770</v>
          </cell>
          <cell r="H571">
            <v>45</v>
          </cell>
          <cell r="I571">
            <v>30</v>
          </cell>
          <cell r="J571">
            <v>90</v>
          </cell>
          <cell r="K571">
            <v>15</v>
          </cell>
          <cell r="L571">
            <v>15</v>
          </cell>
          <cell r="M571">
            <v>30</v>
          </cell>
        </row>
        <row r="572">
          <cell r="B572" t="str">
            <v>BARAKO II (DUAL START)</v>
          </cell>
          <cell r="D572" t="str">
            <v>KAWASAKI</v>
          </cell>
          <cell r="E572" t="str">
            <v>BC175NSFNN BARAKO II ELECTRIC (BLACK)</v>
          </cell>
          <cell r="F572" t="str">
            <v>BUSINESS</v>
          </cell>
          <cell r="G572">
            <v>95530</v>
          </cell>
          <cell r="H572">
            <v>45</v>
          </cell>
          <cell r="I572">
            <v>30</v>
          </cell>
          <cell r="J572">
            <v>90</v>
          </cell>
          <cell r="K572">
            <v>15</v>
          </cell>
          <cell r="L572">
            <v>15</v>
          </cell>
          <cell r="M572">
            <v>30</v>
          </cell>
        </row>
        <row r="573">
          <cell r="B573" t="str">
            <v>GIORNO</v>
          </cell>
          <cell r="D573" t="str">
            <v>HONDA</v>
          </cell>
          <cell r="E573" t="str">
            <v>ACF125CBS-JW GIORNO (WHITE)</v>
          </cell>
          <cell r="F573" t="str">
            <v>SCOOTER</v>
          </cell>
          <cell r="G573">
            <v>101230</v>
          </cell>
          <cell r="H573">
            <v>45</v>
          </cell>
          <cell r="I573">
            <v>30</v>
          </cell>
          <cell r="J573">
            <v>90</v>
          </cell>
          <cell r="K573">
            <v>15</v>
          </cell>
          <cell r="L573">
            <v>15</v>
          </cell>
          <cell r="M573">
            <v>30</v>
          </cell>
        </row>
        <row r="574">
          <cell r="B574" t="str">
            <v>GIORNO</v>
          </cell>
          <cell r="D574" t="str">
            <v>HONDA</v>
          </cell>
          <cell r="E574" t="str">
            <v>ACF125CBS-VB GIORNO (BEIGE)</v>
          </cell>
          <cell r="F574" t="str">
            <v>SCOOTER</v>
          </cell>
          <cell r="G574">
            <v>101230</v>
          </cell>
          <cell r="H574">
            <v>45</v>
          </cell>
          <cell r="I574">
            <v>30</v>
          </cell>
          <cell r="J574">
            <v>90</v>
          </cell>
          <cell r="K574">
            <v>15</v>
          </cell>
          <cell r="L574">
            <v>15</v>
          </cell>
          <cell r="M574">
            <v>30</v>
          </cell>
        </row>
        <row r="575">
          <cell r="B575" t="str">
            <v>GIORNO</v>
          </cell>
          <cell r="D575" t="str">
            <v>HONDA</v>
          </cell>
          <cell r="E575" t="str">
            <v>ACF125CBS-PO GIORNO (ORANGE)</v>
          </cell>
          <cell r="F575" t="str">
            <v>SCOOTER</v>
          </cell>
          <cell r="G575">
            <v>101230</v>
          </cell>
          <cell r="H575">
            <v>45</v>
          </cell>
          <cell r="I575">
            <v>30</v>
          </cell>
          <cell r="J575">
            <v>90</v>
          </cell>
          <cell r="K575">
            <v>15</v>
          </cell>
          <cell r="L575">
            <v>15</v>
          </cell>
          <cell r="M575">
            <v>30</v>
          </cell>
        </row>
        <row r="576">
          <cell r="B576" t="str">
            <v>GIORNO</v>
          </cell>
          <cell r="D576" t="str">
            <v>HONDA</v>
          </cell>
          <cell r="E576" t="str">
            <v>ACF125CBS-BM GIORNO (BLACK)</v>
          </cell>
          <cell r="F576" t="str">
            <v>SCOOTER</v>
          </cell>
          <cell r="G576">
            <v>101230</v>
          </cell>
          <cell r="H576">
            <v>45</v>
          </cell>
          <cell r="I576">
            <v>30</v>
          </cell>
          <cell r="J576">
            <v>90</v>
          </cell>
          <cell r="K576">
            <v>15</v>
          </cell>
          <cell r="L576">
            <v>15</v>
          </cell>
          <cell r="M576">
            <v>30</v>
          </cell>
        </row>
        <row r="577">
          <cell r="B577" t="str">
            <v>NMAX155 FI ABS</v>
          </cell>
          <cell r="D577" t="str">
            <v>YAMAHA</v>
          </cell>
          <cell r="E577" t="str">
            <v>NMAX  BUA1 (BLACK)</v>
          </cell>
          <cell r="F577" t="str">
            <v>SCOOTER</v>
          </cell>
          <cell r="G577">
            <v>147312</v>
          </cell>
          <cell r="H577">
            <v>45</v>
          </cell>
          <cell r="I577">
            <v>30</v>
          </cell>
          <cell r="J577">
            <v>90</v>
          </cell>
          <cell r="K577">
            <v>15</v>
          </cell>
          <cell r="L577">
            <v>15</v>
          </cell>
          <cell r="M577">
            <v>30</v>
          </cell>
        </row>
        <row r="578">
          <cell r="B578" t="str">
            <v>NMAX155 FI ABS</v>
          </cell>
          <cell r="D578" t="str">
            <v>YAMAHA</v>
          </cell>
          <cell r="E578" t="str">
            <v>NMAX  BUA1 (LIGHT GRAY)</v>
          </cell>
          <cell r="F578" t="str">
            <v>SCOOTER</v>
          </cell>
          <cell r="G578">
            <v>147312</v>
          </cell>
          <cell r="H578">
            <v>45</v>
          </cell>
          <cell r="I578">
            <v>30</v>
          </cell>
          <cell r="J578">
            <v>90</v>
          </cell>
          <cell r="K578">
            <v>15</v>
          </cell>
          <cell r="L578">
            <v>15</v>
          </cell>
          <cell r="M578">
            <v>30</v>
          </cell>
        </row>
        <row r="579">
          <cell r="B579" t="str">
            <v>NMAX155 TECHMAX</v>
          </cell>
          <cell r="D579" t="str">
            <v>YAMAHA</v>
          </cell>
          <cell r="E579" t="str">
            <v>NMAX TECH MAX BTU1 (BLACK)</v>
          </cell>
          <cell r="F579" t="str">
            <v>SCOOTER</v>
          </cell>
          <cell r="G579">
            <v>165912</v>
          </cell>
          <cell r="H579">
            <v>45</v>
          </cell>
          <cell r="I579">
            <v>30</v>
          </cell>
          <cell r="J579">
            <v>90</v>
          </cell>
          <cell r="K579">
            <v>15</v>
          </cell>
          <cell r="L579">
            <v>15</v>
          </cell>
          <cell r="M579">
            <v>30</v>
          </cell>
        </row>
        <row r="580">
          <cell r="B580" t="str">
            <v>NMAX155 TECHMAX</v>
          </cell>
          <cell r="D580" t="str">
            <v>YAMAHA</v>
          </cell>
          <cell r="E580" t="str">
            <v>NMAX TECH MAX BTU1 (MATTE DARK RED/BLACK)</v>
          </cell>
          <cell r="F580" t="str">
            <v>SCOOTER</v>
          </cell>
          <cell r="G580">
            <v>165912</v>
          </cell>
          <cell r="H580">
            <v>45</v>
          </cell>
          <cell r="I580">
            <v>30</v>
          </cell>
          <cell r="J580">
            <v>90</v>
          </cell>
          <cell r="K580">
            <v>15</v>
          </cell>
          <cell r="L580">
            <v>15</v>
          </cell>
          <cell r="M580">
            <v>30</v>
          </cell>
        </row>
        <row r="581">
          <cell r="B581" t="str">
            <v>XTZ125</v>
          </cell>
          <cell r="D581" t="str">
            <v>YAMAHA</v>
          </cell>
          <cell r="E581" t="str">
            <v>XTZ125 2MC7 (BLUE)</v>
          </cell>
          <cell r="F581" t="str">
            <v>SPORTS TYPE</v>
          </cell>
          <cell r="G581">
            <v>85446</v>
          </cell>
          <cell r="H581">
            <v>45</v>
          </cell>
          <cell r="I581">
            <v>30</v>
          </cell>
          <cell r="J581">
            <v>90</v>
          </cell>
          <cell r="K581">
            <v>15</v>
          </cell>
          <cell r="L581">
            <v>15</v>
          </cell>
          <cell r="M581">
            <v>30</v>
          </cell>
        </row>
        <row r="582">
          <cell r="B582" t="str">
            <v>XTZ125</v>
          </cell>
          <cell r="D582" t="str">
            <v>YAMAHA</v>
          </cell>
          <cell r="E582" t="str">
            <v>XTZ125 2MC7 (BLACK)</v>
          </cell>
          <cell r="F582" t="str">
            <v>SPORTS TYPE</v>
          </cell>
          <cell r="G582">
            <v>85446</v>
          </cell>
          <cell r="H582">
            <v>45</v>
          </cell>
          <cell r="I582">
            <v>30</v>
          </cell>
          <cell r="J582">
            <v>90</v>
          </cell>
          <cell r="K582">
            <v>15</v>
          </cell>
          <cell r="L582">
            <v>15</v>
          </cell>
          <cell r="M582">
            <v>30</v>
          </cell>
        </row>
        <row r="583">
          <cell r="B583" t="str">
            <v>KLX150</v>
          </cell>
          <cell r="D583" t="str">
            <v>KAWASAKI</v>
          </cell>
          <cell r="E583" t="str">
            <v>KLX150KSBAN KLX150 (GRAY)</v>
          </cell>
          <cell r="F583" t="str">
            <v>SPORTS TYPE</v>
          </cell>
          <cell r="G583">
            <v>131626</v>
          </cell>
          <cell r="H583">
            <v>45</v>
          </cell>
          <cell r="I583">
            <v>30</v>
          </cell>
          <cell r="J583">
            <v>90</v>
          </cell>
          <cell r="K583">
            <v>15</v>
          </cell>
          <cell r="L583">
            <v>15</v>
          </cell>
          <cell r="M583">
            <v>30</v>
          </cell>
        </row>
        <row r="584">
          <cell r="B584" t="str">
            <v>MIO GRAVIS</v>
          </cell>
          <cell r="D584" t="str">
            <v>YAMAHA</v>
          </cell>
          <cell r="E584" t="str">
            <v>MIO GRAVIS BKV2 (MATTE GREEN)</v>
          </cell>
          <cell r="F584" t="str">
            <v>SCOOTER</v>
          </cell>
          <cell r="G584">
            <v>78957</v>
          </cell>
          <cell r="H584">
            <v>45</v>
          </cell>
          <cell r="I584">
            <v>30</v>
          </cell>
          <cell r="J584">
            <v>90</v>
          </cell>
          <cell r="K584">
            <v>15</v>
          </cell>
          <cell r="L584">
            <v>15</v>
          </cell>
          <cell r="M584">
            <v>30</v>
          </cell>
        </row>
        <row r="585">
          <cell r="B585" t="str">
            <v>SMASH(SPOKE)</v>
          </cell>
          <cell r="D585" t="str">
            <v>SUZUKI</v>
          </cell>
          <cell r="E585" t="str">
            <v>FW110D SMASH (E1RED)</v>
          </cell>
          <cell r="F585" t="str">
            <v>UNDERBONE</v>
          </cell>
          <cell r="G585">
            <v>62692</v>
          </cell>
          <cell r="H585">
            <v>45</v>
          </cell>
          <cell r="I585">
            <v>30</v>
          </cell>
          <cell r="J585">
            <v>90</v>
          </cell>
          <cell r="K585">
            <v>15</v>
          </cell>
          <cell r="L585">
            <v>15</v>
          </cell>
          <cell r="M585">
            <v>30</v>
          </cell>
        </row>
        <row r="586">
          <cell r="B586" t="str">
            <v>MIO GRAVIS</v>
          </cell>
          <cell r="D586" t="str">
            <v>YAMAHA</v>
          </cell>
          <cell r="E586" t="str">
            <v>MIO GRAVIS BKV3 (MATTE BROWN)</v>
          </cell>
          <cell r="F586" t="str">
            <v>SCOOTER</v>
          </cell>
          <cell r="G586">
            <v>78957</v>
          </cell>
          <cell r="H586">
            <v>45</v>
          </cell>
          <cell r="I586">
            <v>30</v>
          </cell>
          <cell r="J586">
            <v>90</v>
          </cell>
          <cell r="K586">
            <v>15</v>
          </cell>
          <cell r="L586">
            <v>15</v>
          </cell>
          <cell r="M586">
            <v>30</v>
          </cell>
        </row>
        <row r="587">
          <cell r="B587" t="str">
            <v>MIO GRAVIS</v>
          </cell>
          <cell r="D587" t="str">
            <v>YAMAHA</v>
          </cell>
          <cell r="E587" t="str">
            <v>MIO GRAVIS BKV3 (DARK GRAY)</v>
          </cell>
          <cell r="F587" t="str">
            <v>SCOOTER</v>
          </cell>
          <cell r="G587">
            <v>78957</v>
          </cell>
          <cell r="H587">
            <v>45</v>
          </cell>
          <cell r="I587">
            <v>30</v>
          </cell>
          <cell r="J587">
            <v>90</v>
          </cell>
          <cell r="K587">
            <v>15</v>
          </cell>
          <cell r="L587">
            <v>15</v>
          </cell>
          <cell r="M587">
            <v>30</v>
          </cell>
        </row>
        <row r="588">
          <cell r="B588" t="str">
            <v>XMAX 300</v>
          </cell>
          <cell r="D588" t="str">
            <v>YAMAHA</v>
          </cell>
          <cell r="E588" t="str">
            <v>XMAX BSS6 (MATTE DARK GRAY/BLACK)</v>
          </cell>
          <cell r="F588" t="str">
            <v>SCOOTER</v>
          </cell>
          <cell r="G588">
            <v>289230</v>
          </cell>
          <cell r="H588">
            <v>45</v>
          </cell>
          <cell r="I588">
            <v>30</v>
          </cell>
          <cell r="J588">
            <v>90</v>
          </cell>
          <cell r="K588">
            <v>15</v>
          </cell>
          <cell r="L588">
            <v>15</v>
          </cell>
          <cell r="M588">
            <v>30</v>
          </cell>
        </row>
        <row r="589">
          <cell r="B589" t="str">
            <v>XMAX 300</v>
          </cell>
          <cell r="D589" t="str">
            <v>YAMAHA</v>
          </cell>
          <cell r="E589" t="str">
            <v>XMAX BSS6 (GRAY/BLACK)</v>
          </cell>
          <cell r="F589" t="str">
            <v>SCOOTER</v>
          </cell>
          <cell r="G589">
            <v>289230</v>
          </cell>
          <cell r="H589">
            <v>45</v>
          </cell>
          <cell r="I589">
            <v>30</v>
          </cell>
          <cell r="J589">
            <v>90</v>
          </cell>
          <cell r="K589">
            <v>15</v>
          </cell>
          <cell r="L589">
            <v>15</v>
          </cell>
          <cell r="M589">
            <v>30</v>
          </cell>
        </row>
        <row r="590">
          <cell r="B590" t="str">
            <v>SMASH(SPOKE)</v>
          </cell>
          <cell r="D590" t="str">
            <v>SUZUKI</v>
          </cell>
          <cell r="E590" t="str">
            <v>FW110D SMASH (E1GRAY)</v>
          </cell>
          <cell r="F590" t="str">
            <v>UNDERBONE</v>
          </cell>
          <cell r="G590">
            <v>62692</v>
          </cell>
          <cell r="H590">
            <v>45</v>
          </cell>
          <cell r="I590">
            <v>30</v>
          </cell>
          <cell r="J590">
            <v>90</v>
          </cell>
          <cell r="K590">
            <v>15</v>
          </cell>
          <cell r="L590">
            <v>15</v>
          </cell>
          <cell r="M590">
            <v>30</v>
          </cell>
        </row>
        <row r="591">
          <cell r="B591" t="str">
            <v>SMASH(SPOKE)</v>
          </cell>
          <cell r="D591" t="str">
            <v>SUZUKI</v>
          </cell>
          <cell r="E591" t="str">
            <v>FW110D SMASH (E1BLACK)</v>
          </cell>
          <cell r="F591" t="str">
            <v>UNDERBONE</v>
          </cell>
          <cell r="G591">
            <v>62692</v>
          </cell>
          <cell r="H591">
            <v>45</v>
          </cell>
          <cell r="I591">
            <v>30</v>
          </cell>
          <cell r="J591">
            <v>90</v>
          </cell>
          <cell r="K591">
            <v>15</v>
          </cell>
          <cell r="L591">
            <v>15</v>
          </cell>
          <cell r="M591">
            <v>30</v>
          </cell>
        </row>
        <row r="592">
          <cell r="B592" t="str">
            <v>SMASH(SPOKE)</v>
          </cell>
          <cell r="D592" t="str">
            <v>SUZUKI</v>
          </cell>
          <cell r="E592" t="str">
            <v>FW110D SMASH (E1GRYGRN)</v>
          </cell>
          <cell r="F592" t="str">
            <v>UNDERBONE</v>
          </cell>
          <cell r="G592">
            <v>62692</v>
          </cell>
          <cell r="H592">
            <v>45</v>
          </cell>
          <cell r="I592">
            <v>30</v>
          </cell>
          <cell r="J592">
            <v>90</v>
          </cell>
          <cell r="K592">
            <v>15</v>
          </cell>
          <cell r="L592">
            <v>15</v>
          </cell>
          <cell r="M592">
            <v>30</v>
          </cell>
        </row>
        <row r="593">
          <cell r="B593" t="str">
            <v>GIXXER 155</v>
          </cell>
          <cell r="D593" t="str">
            <v>SUZUKI</v>
          </cell>
          <cell r="E593" t="str">
            <v>GSX150RF-8BLACK</v>
          </cell>
          <cell r="F593" t="str">
            <v>BACKBONE</v>
          </cell>
          <cell r="G593">
            <v>101752</v>
          </cell>
          <cell r="H593">
            <v>45</v>
          </cell>
          <cell r="I593">
            <v>30</v>
          </cell>
          <cell r="J593">
            <v>90</v>
          </cell>
          <cell r="K593">
            <v>15</v>
          </cell>
          <cell r="L593">
            <v>15</v>
          </cell>
          <cell r="M593">
            <v>30</v>
          </cell>
        </row>
        <row r="594">
          <cell r="B594" t="str">
            <v>GIXXER 155</v>
          </cell>
          <cell r="D594" t="str">
            <v>SUZUKI</v>
          </cell>
          <cell r="E594" t="str">
            <v>GSX150RF-8GRAY</v>
          </cell>
          <cell r="F594" t="str">
            <v>BACKBONE</v>
          </cell>
          <cell r="G594">
            <v>101752</v>
          </cell>
          <cell r="H594">
            <v>45</v>
          </cell>
          <cell r="I594">
            <v>30</v>
          </cell>
          <cell r="J594">
            <v>90</v>
          </cell>
          <cell r="K594">
            <v>15</v>
          </cell>
          <cell r="L594">
            <v>15</v>
          </cell>
          <cell r="M594">
            <v>30</v>
          </cell>
        </row>
        <row r="595">
          <cell r="B595" t="str">
            <v>CLICK125 FI</v>
          </cell>
          <cell r="D595" t="str">
            <v>HONDA</v>
          </cell>
          <cell r="E595" t="str">
            <v>ACB125CBFTII-OB CLICK125 (BLACK/GRAY)</v>
          </cell>
          <cell r="F595" t="str">
            <v>SCOOTER</v>
          </cell>
          <cell r="G595">
            <v>80070</v>
          </cell>
          <cell r="H595">
            <v>45</v>
          </cell>
          <cell r="I595">
            <v>30</v>
          </cell>
          <cell r="J595">
            <v>90</v>
          </cell>
          <cell r="K595">
            <v>15</v>
          </cell>
          <cell r="L595">
            <v>15</v>
          </cell>
          <cell r="M595">
            <v>30</v>
          </cell>
        </row>
        <row r="596">
          <cell r="B596" t="str">
            <v>CLICK125 FI</v>
          </cell>
          <cell r="D596" t="str">
            <v>HONDA</v>
          </cell>
          <cell r="E596" t="str">
            <v>ACB125CBFTII-PW CLICK125 (WHITE/BLACK)</v>
          </cell>
          <cell r="F596" t="str">
            <v>SCOOTER</v>
          </cell>
          <cell r="G596">
            <v>80070</v>
          </cell>
          <cell r="H596">
            <v>45</v>
          </cell>
          <cell r="I596">
            <v>30</v>
          </cell>
          <cell r="J596">
            <v>90</v>
          </cell>
          <cell r="K596">
            <v>15</v>
          </cell>
          <cell r="L596">
            <v>15</v>
          </cell>
          <cell r="M596">
            <v>30</v>
          </cell>
        </row>
        <row r="597">
          <cell r="B597" t="str">
            <v>CLICK125 FI</v>
          </cell>
          <cell r="D597" t="str">
            <v>HONDA</v>
          </cell>
          <cell r="E597" t="str">
            <v>ACB125CBFTII-PG CLICK125 (GRAY/BLACK)</v>
          </cell>
          <cell r="F597" t="str">
            <v>SCOOTER</v>
          </cell>
          <cell r="G597">
            <v>80070</v>
          </cell>
          <cell r="H597">
            <v>45</v>
          </cell>
          <cell r="I597">
            <v>30</v>
          </cell>
          <cell r="J597">
            <v>90</v>
          </cell>
          <cell r="K597">
            <v>15</v>
          </cell>
          <cell r="L597">
            <v>15</v>
          </cell>
          <cell r="M597">
            <v>30</v>
          </cell>
        </row>
        <row r="598">
          <cell r="B598" t="str">
            <v>CLICK125 FI</v>
          </cell>
          <cell r="D598" t="str">
            <v>HONDA</v>
          </cell>
          <cell r="E598" t="str">
            <v>ACB125CBFTII-SB CLICK125 (BLUE/GRAY)</v>
          </cell>
          <cell r="F598" t="str">
            <v>SCOOTER</v>
          </cell>
          <cell r="G598">
            <v>80070</v>
          </cell>
          <cell r="H598">
            <v>45</v>
          </cell>
          <cell r="I598">
            <v>30</v>
          </cell>
          <cell r="J598">
            <v>90</v>
          </cell>
          <cell r="K598">
            <v>15</v>
          </cell>
          <cell r="L598">
            <v>15</v>
          </cell>
          <cell r="M598">
            <v>30</v>
          </cell>
        </row>
        <row r="599">
          <cell r="B599" t="str">
            <v>CLICK125 FI SE</v>
          </cell>
          <cell r="D599" t="str">
            <v>HONDA</v>
          </cell>
          <cell r="E599" t="str">
            <v>ACB125CBFTIV-OB CLICK125 ES (BLACK)</v>
          </cell>
          <cell r="F599" t="str">
            <v>SCOOTER</v>
          </cell>
          <cell r="G599">
            <v>84394</v>
          </cell>
          <cell r="H599">
            <v>45</v>
          </cell>
          <cell r="I599">
            <v>30</v>
          </cell>
          <cell r="J599">
            <v>90</v>
          </cell>
          <cell r="K599">
            <v>15</v>
          </cell>
          <cell r="L599">
            <v>15</v>
          </cell>
          <cell r="M599">
            <v>30</v>
          </cell>
        </row>
        <row r="600">
          <cell r="B600" t="str">
            <v>CLICK125 FI SE</v>
          </cell>
          <cell r="D600" t="str">
            <v>HONDA</v>
          </cell>
          <cell r="E600" t="str">
            <v>ACB125CBFTIV-PW CLICK125 ES (WHITE)</v>
          </cell>
          <cell r="F600" t="str">
            <v>SCOOTER</v>
          </cell>
          <cell r="G600">
            <v>84394</v>
          </cell>
          <cell r="H600">
            <v>45</v>
          </cell>
          <cell r="I600">
            <v>30</v>
          </cell>
          <cell r="J600">
            <v>90</v>
          </cell>
          <cell r="K600">
            <v>15</v>
          </cell>
          <cell r="L600">
            <v>15</v>
          </cell>
          <cell r="M600">
            <v>30</v>
          </cell>
        </row>
        <row r="601">
          <cell r="B601" t="str">
            <v>CLICK125 FI SE</v>
          </cell>
          <cell r="D601" t="str">
            <v>HONDA</v>
          </cell>
          <cell r="E601" t="str">
            <v>ACB125CBFTIV-CR CLICK125 ES (RED)</v>
          </cell>
          <cell r="F601" t="str">
            <v>SCOOTER</v>
          </cell>
          <cell r="G601">
            <v>84394</v>
          </cell>
          <cell r="H601">
            <v>45</v>
          </cell>
          <cell r="I601">
            <v>30</v>
          </cell>
          <cell r="J601">
            <v>90</v>
          </cell>
          <cell r="K601">
            <v>15</v>
          </cell>
          <cell r="L601">
            <v>15</v>
          </cell>
          <cell r="M601">
            <v>30</v>
          </cell>
        </row>
        <row r="602">
          <cell r="B602" t="str">
            <v>SMASH(SPOKE)</v>
          </cell>
          <cell r="D602" t="str">
            <v>SUZUKI</v>
          </cell>
          <cell r="E602" t="str">
            <v>FW110D SMASH (E1BLUEIV)</v>
          </cell>
          <cell r="F602" t="str">
            <v>UNDERBONE</v>
          </cell>
          <cell r="G602">
            <v>62692</v>
          </cell>
          <cell r="H602">
            <v>45</v>
          </cell>
          <cell r="I602">
            <v>30</v>
          </cell>
          <cell r="J602">
            <v>90</v>
          </cell>
          <cell r="K602">
            <v>15</v>
          </cell>
          <cell r="L602">
            <v>15</v>
          </cell>
          <cell r="M602">
            <v>30</v>
          </cell>
        </row>
        <row r="603">
          <cell r="B603" t="str">
            <v>SMASH(MAGS)</v>
          </cell>
          <cell r="D603" t="str">
            <v>SUZUKI</v>
          </cell>
          <cell r="E603" t="str">
            <v>FW110SC-EBLACK</v>
          </cell>
          <cell r="F603" t="str">
            <v>UNDERBONE</v>
          </cell>
          <cell r="G603">
            <v>67342</v>
          </cell>
          <cell r="H603">
            <v>45</v>
          </cell>
          <cell r="I603">
            <v>30</v>
          </cell>
          <cell r="J603">
            <v>90</v>
          </cell>
          <cell r="K603">
            <v>15</v>
          </cell>
          <cell r="L603">
            <v>15</v>
          </cell>
          <cell r="M603">
            <v>30</v>
          </cell>
        </row>
        <row r="604">
          <cell r="B604" t="str">
            <v>CRF300</v>
          </cell>
          <cell r="D604" t="str">
            <v>HONDA</v>
          </cell>
          <cell r="E604" t="str">
            <v>CRF300LS CRF300L (RED)</v>
          </cell>
          <cell r="F604" t="str">
            <v>SPORTS TYPE</v>
          </cell>
          <cell r="G604">
            <v>254870</v>
          </cell>
          <cell r="H604">
            <v>45</v>
          </cell>
          <cell r="I604">
            <v>30</v>
          </cell>
          <cell r="J604">
            <v>90</v>
          </cell>
          <cell r="K604">
            <v>15</v>
          </cell>
          <cell r="L604">
            <v>15</v>
          </cell>
          <cell r="M604">
            <v>30</v>
          </cell>
        </row>
        <row r="605">
          <cell r="B605" t="str">
            <v>CRF300 RALLY</v>
          </cell>
          <cell r="D605" t="str">
            <v>HONDA</v>
          </cell>
          <cell r="E605" t="str">
            <v>CRF300LRS CRF300 RALLY (RED/BLUE)</v>
          </cell>
          <cell r="F605" t="str">
            <v>SPORTS TYPE</v>
          </cell>
          <cell r="G605">
            <v>288118</v>
          </cell>
          <cell r="H605">
            <v>45</v>
          </cell>
          <cell r="I605">
            <v>30</v>
          </cell>
          <cell r="J605">
            <v>90</v>
          </cell>
          <cell r="K605">
            <v>15</v>
          </cell>
          <cell r="L605">
            <v>15</v>
          </cell>
          <cell r="M605">
            <v>30</v>
          </cell>
        </row>
        <row r="606">
          <cell r="B606" t="str">
            <v>XR150</v>
          </cell>
          <cell r="D606" t="str">
            <v>HONDA</v>
          </cell>
          <cell r="E606" t="str">
            <v>XR150LEKS-BK (BLACK)</v>
          </cell>
          <cell r="F606" t="str">
            <v>SPORTS TYPE</v>
          </cell>
          <cell r="G606">
            <v>94330</v>
          </cell>
          <cell r="H606">
            <v>45</v>
          </cell>
          <cell r="I606">
            <v>30</v>
          </cell>
          <cell r="J606">
            <v>90</v>
          </cell>
          <cell r="K606">
            <v>15</v>
          </cell>
          <cell r="L606">
            <v>15</v>
          </cell>
          <cell r="M606">
            <v>30</v>
          </cell>
        </row>
        <row r="607">
          <cell r="B607" t="str">
            <v>XR150</v>
          </cell>
          <cell r="D607" t="str">
            <v>HONDA</v>
          </cell>
          <cell r="E607" t="str">
            <v>XR150LEKS-RHW (WHITE)</v>
          </cell>
          <cell r="F607" t="str">
            <v>SPORTS TYPE</v>
          </cell>
          <cell r="G607">
            <v>94330</v>
          </cell>
          <cell r="H607">
            <v>45</v>
          </cell>
          <cell r="I607">
            <v>30</v>
          </cell>
          <cell r="J607">
            <v>90</v>
          </cell>
          <cell r="K607">
            <v>15</v>
          </cell>
          <cell r="L607">
            <v>15</v>
          </cell>
          <cell r="M607">
            <v>30</v>
          </cell>
        </row>
        <row r="608">
          <cell r="B608" t="str">
            <v>PCX160 ROADSYNC</v>
          </cell>
          <cell r="D608" t="str">
            <v>HONDA</v>
          </cell>
          <cell r="E608" t="str">
            <v>WW160SS-BM PCX160 ROADSYNC (BLACK)</v>
          </cell>
          <cell r="F608" t="str">
            <v>SCOOTER</v>
          </cell>
          <cell r="G608">
            <v>147230</v>
          </cell>
          <cell r="H608">
            <v>45</v>
          </cell>
          <cell r="I608">
            <v>30</v>
          </cell>
          <cell r="J608">
            <v>90</v>
          </cell>
          <cell r="K608">
            <v>15</v>
          </cell>
          <cell r="L608">
            <v>15</v>
          </cell>
          <cell r="M608">
            <v>30</v>
          </cell>
        </row>
        <row r="609">
          <cell r="B609" t="str">
            <v>PCX160 ROADSYNC</v>
          </cell>
          <cell r="D609" t="str">
            <v>HONDA</v>
          </cell>
          <cell r="E609" t="str">
            <v>WW160SS-FW PCX160 ROADSYNC (WHITE)</v>
          </cell>
          <cell r="F609" t="str">
            <v>SCOOTER</v>
          </cell>
          <cell r="G609">
            <v>147230</v>
          </cell>
          <cell r="H609">
            <v>45</v>
          </cell>
          <cell r="I609">
            <v>30</v>
          </cell>
          <cell r="J609">
            <v>90</v>
          </cell>
          <cell r="K609">
            <v>15</v>
          </cell>
          <cell r="L609">
            <v>15</v>
          </cell>
          <cell r="M609">
            <v>30</v>
          </cell>
        </row>
        <row r="610">
          <cell r="B610" t="str">
            <v>PCX160 STANDARD</v>
          </cell>
          <cell r="D610" t="str">
            <v>HONDA</v>
          </cell>
          <cell r="E610" t="str">
            <v>WW160S-VM PCX160 STANDARD (RED)</v>
          </cell>
          <cell r="F610" t="str">
            <v>SCOOTER</v>
          </cell>
          <cell r="G610">
            <v>126990</v>
          </cell>
          <cell r="H610">
            <v>45</v>
          </cell>
          <cell r="I610">
            <v>30</v>
          </cell>
          <cell r="J610">
            <v>90</v>
          </cell>
          <cell r="K610">
            <v>15</v>
          </cell>
          <cell r="L610">
            <v>15</v>
          </cell>
          <cell r="M610">
            <v>30</v>
          </cell>
        </row>
        <row r="611">
          <cell r="B611" t="str">
            <v>PCX160 STANDARD</v>
          </cell>
          <cell r="D611" t="str">
            <v>HONDA</v>
          </cell>
          <cell r="E611" t="str">
            <v>WW160S-MBS PCX160 STANDARD (SILVER)</v>
          </cell>
          <cell r="F611" t="str">
            <v>SCOOTER</v>
          </cell>
          <cell r="G611">
            <v>126990</v>
          </cell>
          <cell r="H611">
            <v>45</v>
          </cell>
          <cell r="I611">
            <v>30</v>
          </cell>
          <cell r="J611">
            <v>90</v>
          </cell>
          <cell r="K611">
            <v>15</v>
          </cell>
          <cell r="L611">
            <v>15</v>
          </cell>
          <cell r="M611">
            <v>30</v>
          </cell>
        </row>
        <row r="612">
          <cell r="B612" t="str">
            <v>PCX160 STANDARD</v>
          </cell>
          <cell r="D612" t="str">
            <v>HONDA</v>
          </cell>
          <cell r="E612" t="str">
            <v>WW160S-FW PCX160 STANDARD (WHITE)</v>
          </cell>
          <cell r="F612" t="str">
            <v>SCOOTER</v>
          </cell>
          <cell r="G612">
            <v>126990</v>
          </cell>
          <cell r="H612">
            <v>45</v>
          </cell>
          <cell r="I612">
            <v>30</v>
          </cell>
          <cell r="J612">
            <v>90</v>
          </cell>
          <cell r="K612">
            <v>15</v>
          </cell>
          <cell r="L612">
            <v>15</v>
          </cell>
          <cell r="M612">
            <v>30</v>
          </cell>
        </row>
        <row r="613">
          <cell r="B613" t="str">
            <v>FAZZIO</v>
          </cell>
          <cell r="D613" t="str">
            <v>YAMAHA</v>
          </cell>
          <cell r="E613" t="str">
            <v>MIO FAZZIO BRV4 (YELLOWISH WHITE)</v>
          </cell>
          <cell r="F613" t="str">
            <v>SCOOTER</v>
          </cell>
          <cell r="G613">
            <v>86397</v>
          </cell>
          <cell r="H613">
            <v>45</v>
          </cell>
          <cell r="I613">
            <v>30</v>
          </cell>
          <cell r="J613">
            <v>90</v>
          </cell>
          <cell r="K613">
            <v>15</v>
          </cell>
          <cell r="L613">
            <v>15</v>
          </cell>
          <cell r="M613">
            <v>30</v>
          </cell>
        </row>
        <row r="614">
          <cell r="B614" t="str">
            <v>NAVI</v>
          </cell>
          <cell r="D614" t="str">
            <v>HONDA</v>
          </cell>
          <cell r="E614" t="str">
            <v>NVA110BTII-BK</v>
          </cell>
          <cell r="F614" t="str">
            <v>SCOOTER</v>
          </cell>
          <cell r="G614">
            <v>57990</v>
          </cell>
          <cell r="H614">
            <v>45</v>
          </cell>
          <cell r="I614">
            <v>30</v>
          </cell>
          <cell r="J614">
            <v>90</v>
          </cell>
          <cell r="K614">
            <v>15</v>
          </cell>
          <cell r="L614">
            <v>15</v>
          </cell>
          <cell r="M614">
            <v>30</v>
          </cell>
        </row>
        <row r="615">
          <cell r="B615" t="str">
            <v>NAVI</v>
          </cell>
          <cell r="D615" t="str">
            <v>HONDA</v>
          </cell>
          <cell r="E615" t="str">
            <v>NVA110BTII-PR</v>
          </cell>
          <cell r="F615" t="str">
            <v>SCOOTER</v>
          </cell>
          <cell r="G615">
            <v>57990</v>
          </cell>
          <cell r="H615">
            <v>45</v>
          </cell>
          <cell r="I615">
            <v>30</v>
          </cell>
          <cell r="J615">
            <v>90</v>
          </cell>
          <cell r="K615">
            <v>15</v>
          </cell>
          <cell r="L615">
            <v>15</v>
          </cell>
          <cell r="M615">
            <v>30</v>
          </cell>
        </row>
        <row r="616">
          <cell r="B616" t="str">
            <v>NAVI</v>
          </cell>
          <cell r="D616" t="str">
            <v>HONDA</v>
          </cell>
          <cell r="E616" t="str">
            <v>NVA110BTII-RG</v>
          </cell>
          <cell r="F616" t="str">
            <v>SCOOTER</v>
          </cell>
          <cell r="G616">
            <v>57990</v>
          </cell>
          <cell r="H616">
            <v>45</v>
          </cell>
          <cell r="I616">
            <v>30</v>
          </cell>
          <cell r="J616">
            <v>90</v>
          </cell>
          <cell r="K616">
            <v>15</v>
          </cell>
          <cell r="L616">
            <v>15</v>
          </cell>
          <cell r="M616">
            <v>30</v>
          </cell>
        </row>
        <row r="617">
          <cell r="B617" t="str">
            <v>NAVI</v>
          </cell>
          <cell r="D617" t="str">
            <v>HONDA</v>
          </cell>
          <cell r="E617" t="str">
            <v>NVA110BTII-SW</v>
          </cell>
          <cell r="F617" t="str">
            <v>SCOOTER</v>
          </cell>
          <cell r="G617">
            <v>57990</v>
          </cell>
          <cell r="H617">
            <v>45</v>
          </cell>
          <cell r="I617">
            <v>30</v>
          </cell>
          <cell r="J617">
            <v>90</v>
          </cell>
          <cell r="K617">
            <v>15</v>
          </cell>
          <cell r="L617">
            <v>15</v>
          </cell>
          <cell r="M617">
            <v>30</v>
          </cell>
        </row>
        <row r="618">
          <cell r="B618" t="str">
            <v>KLX150</v>
          </cell>
          <cell r="D618" t="str">
            <v>KAWASAKI</v>
          </cell>
          <cell r="E618" t="str">
            <v>KLX150KTAAN(BLACK)</v>
          </cell>
          <cell r="F618" t="str">
            <v>SPORTS TYPE</v>
          </cell>
          <cell r="G618">
            <v>131626</v>
          </cell>
          <cell r="H618">
            <v>45</v>
          </cell>
          <cell r="I618">
            <v>30</v>
          </cell>
          <cell r="J618">
            <v>90</v>
          </cell>
          <cell r="K618">
            <v>15</v>
          </cell>
          <cell r="L618">
            <v>15</v>
          </cell>
          <cell r="M618">
            <v>30</v>
          </cell>
        </row>
        <row r="619">
          <cell r="B619" t="str">
            <v>CB150R</v>
          </cell>
          <cell r="D619" t="str">
            <v>HONDA</v>
          </cell>
          <cell r="E619" t="str">
            <v>CBR150RASVII-WR CBR150R (RED)</v>
          </cell>
          <cell r="F619" t="str">
            <v>SPORTS TYPE</v>
          </cell>
          <cell r="G619">
            <v>173910</v>
          </cell>
          <cell r="H619">
            <v>45</v>
          </cell>
          <cell r="I619">
            <v>30</v>
          </cell>
          <cell r="J619">
            <v>90</v>
          </cell>
          <cell r="K619">
            <v>15</v>
          </cell>
          <cell r="L619">
            <v>15</v>
          </cell>
          <cell r="M619">
            <v>30</v>
          </cell>
        </row>
        <row r="620">
          <cell r="B620" t="str">
            <v>BOLT150</v>
          </cell>
          <cell r="D620" t="str">
            <v>SKYGO</v>
          </cell>
          <cell r="E620" t="str">
            <v>SG150T-8G BOLT150 (GOLDEN BROWN)</v>
          </cell>
          <cell r="F620" t="str">
            <v>BUSINESS</v>
          </cell>
          <cell r="G620">
            <v>98325</v>
          </cell>
          <cell r="H620">
            <v>45</v>
          </cell>
          <cell r="I620">
            <v>30</v>
          </cell>
          <cell r="J620">
            <v>90</v>
          </cell>
          <cell r="K620">
            <v>15</v>
          </cell>
          <cell r="L620">
            <v>15</v>
          </cell>
          <cell r="M620">
            <v>30</v>
          </cell>
        </row>
        <row r="621">
          <cell r="B621" t="str">
            <v>LANCE150</v>
          </cell>
          <cell r="D621" t="str">
            <v>SKYGO</v>
          </cell>
          <cell r="E621" t="str">
            <v>SG150T-8U LANCE150 (WHITE)</v>
          </cell>
          <cell r="F621" t="str">
            <v>BUSINESS</v>
          </cell>
          <cell r="G621">
            <v>98325</v>
          </cell>
          <cell r="H621">
            <v>45</v>
          </cell>
          <cell r="I621">
            <v>30</v>
          </cell>
          <cell r="J621">
            <v>90</v>
          </cell>
          <cell r="K621">
            <v>15</v>
          </cell>
          <cell r="L621">
            <v>15</v>
          </cell>
          <cell r="M621">
            <v>30</v>
          </cell>
        </row>
        <row r="622">
          <cell r="B622" t="str">
            <v>SMASH(MAGS)</v>
          </cell>
          <cell r="D622" t="str">
            <v>SUZUKI</v>
          </cell>
          <cell r="E622" t="str">
            <v>FW110SC-EBLUE</v>
          </cell>
          <cell r="F622" t="str">
            <v>UNDERBONE</v>
          </cell>
          <cell r="G622">
            <v>67342</v>
          </cell>
          <cell r="H622">
            <v>45</v>
          </cell>
          <cell r="I622">
            <v>30</v>
          </cell>
          <cell r="J622">
            <v>90</v>
          </cell>
          <cell r="K622">
            <v>15</v>
          </cell>
          <cell r="L622">
            <v>15</v>
          </cell>
          <cell r="M622">
            <v>30</v>
          </cell>
        </row>
        <row r="623">
          <cell r="B623" t="str">
            <v>LANCE150</v>
          </cell>
          <cell r="D623" t="str">
            <v>SKYGO</v>
          </cell>
          <cell r="E623" t="str">
            <v>SG150T-8U LANCE150 (BLACK)</v>
          </cell>
          <cell r="F623" t="str">
            <v>BUSINESS</v>
          </cell>
          <cell r="G623">
            <v>98325</v>
          </cell>
          <cell r="H623">
            <v>45</v>
          </cell>
          <cell r="I623">
            <v>30</v>
          </cell>
          <cell r="J623">
            <v>90</v>
          </cell>
          <cell r="K623">
            <v>15</v>
          </cell>
          <cell r="L623">
            <v>15</v>
          </cell>
          <cell r="M623">
            <v>30</v>
          </cell>
        </row>
        <row r="624">
          <cell r="B624" t="str">
            <v>BURGMAN STREET EX</v>
          </cell>
          <cell r="D624" t="str">
            <v>SUZUKI</v>
          </cell>
          <cell r="E624" t="str">
            <v>UB125LNM-1WHITE BURGMAN STREET  EX</v>
          </cell>
          <cell r="F624" t="str">
            <v>SCOOTER</v>
          </cell>
          <cell r="G624">
            <v>89662</v>
          </cell>
          <cell r="H624">
            <v>45</v>
          </cell>
          <cell r="I624">
            <v>30</v>
          </cell>
          <cell r="J624">
            <v>90</v>
          </cell>
          <cell r="K624">
            <v>15</v>
          </cell>
          <cell r="L624">
            <v>15</v>
          </cell>
          <cell r="M624">
            <v>30</v>
          </cell>
        </row>
        <row r="625">
          <cell r="B625" t="str">
            <v>KLX300</v>
          </cell>
          <cell r="D625" t="str">
            <v>KAWASAKI</v>
          </cell>
          <cell r="E625" t="str">
            <v>LX300C KLX300R (GREEN)</v>
          </cell>
          <cell r="F625" t="str">
            <v>SPORTS TYPE</v>
          </cell>
          <cell r="G625">
            <v>134000</v>
          </cell>
          <cell r="H625">
            <v>45</v>
          </cell>
          <cell r="I625">
            <v>30</v>
          </cell>
          <cell r="J625">
            <v>90</v>
          </cell>
          <cell r="K625">
            <v>15</v>
          </cell>
          <cell r="L625">
            <v>15</v>
          </cell>
          <cell r="M625">
            <v>30</v>
          </cell>
        </row>
        <row r="626">
          <cell r="B626" t="str">
            <v>ADV350</v>
          </cell>
          <cell r="D626" t="str">
            <v>HONDA</v>
          </cell>
          <cell r="E626" t="str">
            <v>ADV350ASIII-BM-(BLACK)</v>
          </cell>
          <cell r="F626" t="str">
            <v>SCOOTER</v>
          </cell>
          <cell r="G626">
            <v>288910</v>
          </cell>
          <cell r="H626">
            <v>45</v>
          </cell>
          <cell r="I626">
            <v>30</v>
          </cell>
          <cell r="J626">
            <v>90</v>
          </cell>
          <cell r="K626">
            <v>15</v>
          </cell>
          <cell r="L626">
            <v>15</v>
          </cell>
          <cell r="M626">
            <v>30</v>
          </cell>
        </row>
        <row r="627">
          <cell r="B627" t="str">
            <v>ADV350</v>
          </cell>
          <cell r="D627" t="str">
            <v>HONDA</v>
          </cell>
          <cell r="E627" t="str">
            <v>ADV350ASIII-RM-(RED)</v>
          </cell>
          <cell r="F627" t="str">
            <v>SCOOTER</v>
          </cell>
          <cell r="G627">
            <v>288910</v>
          </cell>
          <cell r="H627">
            <v>45</v>
          </cell>
          <cell r="I627">
            <v>30</v>
          </cell>
          <cell r="J627">
            <v>90</v>
          </cell>
          <cell r="K627">
            <v>15</v>
          </cell>
          <cell r="L627">
            <v>15</v>
          </cell>
          <cell r="M627">
            <v>30</v>
          </cell>
        </row>
        <row r="628">
          <cell r="B628" t="str">
            <v>FAZZIO</v>
          </cell>
          <cell r="D628" t="str">
            <v>YAMAHA</v>
          </cell>
          <cell r="E628" t="str">
            <v>MIO FAZZIO BRV4 (LIGHT GREEN)</v>
          </cell>
          <cell r="F628" t="str">
            <v>SCOOTER</v>
          </cell>
          <cell r="G628">
            <v>86397</v>
          </cell>
          <cell r="H628">
            <v>45</v>
          </cell>
          <cell r="I628">
            <v>30</v>
          </cell>
          <cell r="J628">
            <v>90</v>
          </cell>
          <cell r="K628">
            <v>15</v>
          </cell>
          <cell r="L628">
            <v>15</v>
          </cell>
          <cell r="M628">
            <v>30</v>
          </cell>
        </row>
        <row r="629">
          <cell r="B629" t="str">
            <v>BARAKO III FI(DUAL START)</v>
          </cell>
          <cell r="D629" t="str">
            <v>KAWASAKI</v>
          </cell>
          <cell r="E629" t="str">
            <v>BC175LSFNN BARAKO III ELECTRIC START</v>
          </cell>
          <cell r="F629" t="str">
            <v>BUSINESS</v>
          </cell>
          <cell r="G629">
            <v>100700</v>
          </cell>
          <cell r="H629">
            <v>45</v>
          </cell>
          <cell r="I629">
            <v>30</v>
          </cell>
          <cell r="J629">
            <v>90</v>
          </cell>
          <cell r="K629">
            <v>15</v>
          </cell>
          <cell r="L629">
            <v>15</v>
          </cell>
          <cell r="M629">
            <v>30</v>
          </cell>
        </row>
        <row r="630">
          <cell r="B630" t="str">
            <v>FAZZIO</v>
          </cell>
          <cell r="D630" t="str">
            <v>YAMAHA</v>
          </cell>
          <cell r="E630" t="str">
            <v>MIO FAZZIO BRV4 (BLACK)</v>
          </cell>
          <cell r="F630" t="str">
            <v>SCOOTER</v>
          </cell>
          <cell r="G630">
            <v>86397</v>
          </cell>
          <cell r="H630">
            <v>45</v>
          </cell>
          <cell r="I630">
            <v>30</v>
          </cell>
          <cell r="J630">
            <v>90</v>
          </cell>
          <cell r="K630">
            <v>15</v>
          </cell>
          <cell r="L630">
            <v>15</v>
          </cell>
          <cell r="M630">
            <v>30</v>
          </cell>
        </row>
        <row r="631">
          <cell r="B631" t="str">
            <v>MIO AEROX 155</v>
          </cell>
          <cell r="D631" t="str">
            <v>YAMAHA</v>
          </cell>
          <cell r="E631" t="str">
            <v>MIO AEROX D541(BLACK)</v>
          </cell>
          <cell r="F631" t="str">
            <v>SCOOTER</v>
          </cell>
          <cell r="G631">
            <v>124527</v>
          </cell>
          <cell r="H631">
            <v>45</v>
          </cell>
          <cell r="I631">
            <v>30</v>
          </cell>
          <cell r="J631">
            <v>90</v>
          </cell>
          <cell r="K631">
            <v>15</v>
          </cell>
          <cell r="L631">
            <v>15</v>
          </cell>
          <cell r="M631">
            <v>30</v>
          </cell>
        </row>
        <row r="632">
          <cell r="B632" t="str">
            <v>MIO AEROX 155</v>
          </cell>
          <cell r="D632" t="str">
            <v>YAMAHA</v>
          </cell>
          <cell r="E632" t="str">
            <v>MIO AEROX D541(LIGHT BLUE)</v>
          </cell>
          <cell r="F632" t="str">
            <v>SCOOTER</v>
          </cell>
          <cell r="G632">
            <v>124527</v>
          </cell>
          <cell r="H632">
            <v>45</v>
          </cell>
          <cell r="I632">
            <v>30</v>
          </cell>
          <cell r="J632">
            <v>90</v>
          </cell>
          <cell r="K632">
            <v>15</v>
          </cell>
          <cell r="L632">
            <v>15</v>
          </cell>
          <cell r="M632">
            <v>30</v>
          </cell>
        </row>
        <row r="633">
          <cell r="B633" t="str">
            <v>MIO AEROX S 155</v>
          </cell>
          <cell r="D633" t="str">
            <v>YAMAHA</v>
          </cell>
          <cell r="E633" t="str">
            <v>MIO AEROX SP D551(MATTE BLUE)</v>
          </cell>
          <cell r="F633" t="str">
            <v>SCOOTER</v>
          </cell>
          <cell r="G633">
            <v>152892</v>
          </cell>
          <cell r="H633">
            <v>45</v>
          </cell>
          <cell r="I633">
            <v>30</v>
          </cell>
          <cell r="J633">
            <v>90</v>
          </cell>
          <cell r="K633">
            <v>15</v>
          </cell>
          <cell r="L633">
            <v>15</v>
          </cell>
          <cell r="M633">
            <v>30</v>
          </cell>
        </row>
        <row r="634">
          <cell r="B634" t="str">
            <v>MIO AEROX 155</v>
          </cell>
          <cell r="D634" t="str">
            <v>YAMAHA</v>
          </cell>
          <cell r="E634" t="str">
            <v>MIO AEROX D541(BLUE/BLACK)</v>
          </cell>
          <cell r="F634" t="str">
            <v>SCOOTER</v>
          </cell>
          <cell r="G634">
            <v>124527</v>
          </cell>
          <cell r="H634">
            <v>45</v>
          </cell>
          <cell r="I634">
            <v>30</v>
          </cell>
          <cell r="J634">
            <v>90</v>
          </cell>
          <cell r="K634">
            <v>15</v>
          </cell>
          <cell r="L634">
            <v>15</v>
          </cell>
          <cell r="M634">
            <v>30</v>
          </cell>
        </row>
        <row r="635">
          <cell r="B635" t="str">
            <v>CUV e:</v>
          </cell>
          <cell r="D635" t="str">
            <v>HONDA</v>
          </cell>
          <cell r="E635" t="str">
            <v>EVP4S CUV e</v>
          </cell>
          <cell r="F635" t="str">
            <v>ELECTRIC SCOOTER</v>
          </cell>
          <cell r="G635">
            <v>254520</v>
          </cell>
          <cell r="H635">
            <v>45</v>
          </cell>
          <cell r="I635">
            <v>30</v>
          </cell>
          <cell r="J635">
            <v>90</v>
          </cell>
          <cell r="K635">
            <v>15</v>
          </cell>
          <cell r="L635">
            <v>15</v>
          </cell>
          <cell r="M635">
            <v>30</v>
          </cell>
        </row>
        <row r="636">
          <cell r="B636" t="str">
            <v>EM1 e:</v>
          </cell>
          <cell r="D636" t="str">
            <v>HONDA</v>
          </cell>
          <cell r="E636" t="str">
            <v>EVP1P EM 1 e</v>
          </cell>
          <cell r="F636" t="str">
            <v>ELECTRIC SCOOTER</v>
          </cell>
          <cell r="G636">
            <v>146328</v>
          </cell>
          <cell r="H636">
            <v>45</v>
          </cell>
          <cell r="I636">
            <v>30</v>
          </cell>
          <cell r="J636">
            <v>90</v>
          </cell>
          <cell r="K636">
            <v>15</v>
          </cell>
          <cell r="L636">
            <v>15</v>
          </cell>
          <cell r="M636">
            <v>30</v>
          </cell>
        </row>
        <row r="637">
          <cell r="B637" t="str">
            <v>BEAT FI PREM</v>
          </cell>
          <cell r="D637" t="str">
            <v>HONDA</v>
          </cell>
          <cell r="E637" t="str">
            <v>ACH110CBFT3 - MG</v>
          </cell>
          <cell r="F637" t="str">
            <v>SCOOTER</v>
          </cell>
          <cell r="G637">
            <v>72434</v>
          </cell>
          <cell r="H637">
            <v>45</v>
          </cell>
          <cell r="I637">
            <v>30</v>
          </cell>
          <cell r="J637">
            <v>90</v>
          </cell>
          <cell r="K637">
            <v>15</v>
          </cell>
          <cell r="L637">
            <v>15</v>
          </cell>
          <cell r="M637">
            <v>30</v>
          </cell>
        </row>
        <row r="638">
          <cell r="B638" t="str">
            <v>BEAT FI PREM</v>
          </cell>
          <cell r="D638" t="str">
            <v>HONDA</v>
          </cell>
          <cell r="E638" t="str">
            <v>ACH110CBFT3-PW</v>
          </cell>
          <cell r="F638" t="str">
            <v>SCOOTER</v>
          </cell>
          <cell r="G638">
            <v>72434</v>
          </cell>
          <cell r="H638">
            <v>45</v>
          </cell>
          <cell r="I638">
            <v>30</v>
          </cell>
          <cell r="J638">
            <v>90</v>
          </cell>
          <cell r="K638">
            <v>15</v>
          </cell>
          <cell r="L638">
            <v>15</v>
          </cell>
          <cell r="M638">
            <v>30</v>
          </cell>
        </row>
        <row r="639">
          <cell r="B639" t="str">
            <v>BEAT FI PREM</v>
          </cell>
          <cell r="D639" t="str">
            <v>HONDA</v>
          </cell>
          <cell r="E639" t="str">
            <v>ACH110CBFT3-MSS</v>
          </cell>
          <cell r="F639" t="str">
            <v>SCOOTER</v>
          </cell>
          <cell r="G639">
            <v>72434</v>
          </cell>
          <cell r="H639">
            <v>45</v>
          </cell>
          <cell r="I639">
            <v>30</v>
          </cell>
          <cell r="J639">
            <v>90</v>
          </cell>
          <cell r="K639">
            <v>15</v>
          </cell>
          <cell r="L639">
            <v>15</v>
          </cell>
          <cell r="M639">
            <v>30</v>
          </cell>
        </row>
        <row r="640">
          <cell r="B640" t="str">
            <v>CRF150R</v>
          </cell>
          <cell r="D640" t="str">
            <v>HONDA</v>
          </cell>
          <cell r="E640" t="str">
            <v>CRF150RBN(RED)</v>
          </cell>
          <cell r="F640" t="str">
            <v>SPORTS TYPE</v>
          </cell>
          <cell r="G640">
            <v>284880</v>
          </cell>
          <cell r="H640">
            <v>45</v>
          </cell>
          <cell r="I640">
            <v>30</v>
          </cell>
          <cell r="J640">
            <v>90</v>
          </cell>
          <cell r="K640">
            <v>15</v>
          </cell>
          <cell r="L640">
            <v>15</v>
          </cell>
          <cell r="M640">
            <v>30</v>
          </cell>
        </row>
        <row r="641">
          <cell r="B641" t="str">
            <v>CRF125</v>
          </cell>
          <cell r="D641" t="str">
            <v>HONDA</v>
          </cell>
          <cell r="E641" t="str">
            <v>CRF125FBP</v>
          </cell>
          <cell r="F641" t="str">
            <v>SPORTS TYPE</v>
          </cell>
          <cell r="G641">
            <v>178068</v>
          </cell>
          <cell r="H641">
            <v>45</v>
          </cell>
          <cell r="I641">
            <v>30</v>
          </cell>
          <cell r="J641">
            <v>90</v>
          </cell>
          <cell r="K641">
            <v>15</v>
          </cell>
          <cell r="L641">
            <v>15</v>
          </cell>
          <cell r="M641">
            <v>30</v>
          </cell>
        </row>
        <row r="642">
          <cell r="B642" t="str">
            <v>BEAT FI STD</v>
          </cell>
          <cell r="D642" t="str">
            <v>HONDA</v>
          </cell>
          <cell r="E642" t="str">
            <v>ACH110CBFT-PG</v>
          </cell>
          <cell r="F642" t="str">
            <v>SCOOTER</v>
          </cell>
          <cell r="G642">
            <v>70410</v>
          </cell>
          <cell r="H642">
            <v>45</v>
          </cell>
          <cell r="I642">
            <v>30</v>
          </cell>
          <cell r="J642">
            <v>90</v>
          </cell>
          <cell r="K642">
            <v>15</v>
          </cell>
          <cell r="L642">
            <v>15</v>
          </cell>
          <cell r="M642">
            <v>30</v>
          </cell>
        </row>
        <row r="643">
          <cell r="B643" t="str">
            <v>BEAT FI STD</v>
          </cell>
          <cell r="D643" t="str">
            <v>HONDA</v>
          </cell>
          <cell r="E643" t="str">
            <v>ACH110CBFT-PTP</v>
          </cell>
          <cell r="F643" t="str">
            <v>SCOOTER</v>
          </cell>
          <cell r="G643">
            <v>70410</v>
          </cell>
          <cell r="H643">
            <v>45</v>
          </cell>
          <cell r="I643">
            <v>30</v>
          </cell>
          <cell r="J643">
            <v>90</v>
          </cell>
          <cell r="K643">
            <v>15</v>
          </cell>
          <cell r="L643">
            <v>15</v>
          </cell>
          <cell r="M643">
            <v>30</v>
          </cell>
        </row>
        <row r="644">
          <cell r="B644" t="str">
            <v>BEAT FI STD</v>
          </cell>
          <cell r="D644" t="str">
            <v>HONDA</v>
          </cell>
          <cell r="E644" t="str">
            <v>ACH110CBFT-RD</v>
          </cell>
          <cell r="F644" t="str">
            <v>SCOOTER</v>
          </cell>
          <cell r="G644">
            <v>70410</v>
          </cell>
          <cell r="H644">
            <v>45</v>
          </cell>
          <cell r="I644">
            <v>30</v>
          </cell>
          <cell r="J644">
            <v>90</v>
          </cell>
          <cell r="K644">
            <v>15</v>
          </cell>
          <cell r="L644">
            <v>15</v>
          </cell>
          <cell r="M644">
            <v>30</v>
          </cell>
        </row>
        <row r="645">
          <cell r="B645" t="str">
            <v>ACCESS 125</v>
          </cell>
          <cell r="D645" t="str">
            <v>SUZUKI</v>
          </cell>
          <cell r="E645" t="str">
            <v>UZ125NEY-1BLACK</v>
          </cell>
          <cell r="F645" t="str">
            <v>SCOOTER</v>
          </cell>
          <cell r="G645">
            <v>82687</v>
          </cell>
          <cell r="H645">
            <v>45</v>
          </cell>
          <cell r="I645">
            <v>30</v>
          </cell>
          <cell r="J645">
            <v>90</v>
          </cell>
          <cell r="K645">
            <v>15</v>
          </cell>
          <cell r="L645">
            <v>15</v>
          </cell>
          <cell r="M645">
            <v>30</v>
          </cell>
        </row>
        <row r="646">
          <cell r="B646" t="str">
            <v>ACCESS 125</v>
          </cell>
          <cell r="D646" t="str">
            <v>SUZUKI</v>
          </cell>
          <cell r="E646" t="str">
            <v>UZ125NEY-1GREEN</v>
          </cell>
          <cell r="F646" t="str">
            <v>SCOOTER</v>
          </cell>
          <cell r="G646">
            <v>82687</v>
          </cell>
          <cell r="H646">
            <v>45</v>
          </cell>
          <cell r="I646">
            <v>30</v>
          </cell>
          <cell r="J646">
            <v>90</v>
          </cell>
          <cell r="K646">
            <v>15</v>
          </cell>
          <cell r="L646">
            <v>15</v>
          </cell>
          <cell r="M646">
            <v>30</v>
          </cell>
        </row>
        <row r="647">
          <cell r="B647" t="str">
            <v>ACCESS 125</v>
          </cell>
          <cell r="D647" t="str">
            <v>SUZUKI</v>
          </cell>
          <cell r="E647" t="str">
            <v>UZ125NEY-1WHITE</v>
          </cell>
          <cell r="F647" t="str">
            <v>SCOOTER</v>
          </cell>
          <cell r="G647">
            <v>82687</v>
          </cell>
          <cell r="H647">
            <v>45</v>
          </cell>
          <cell r="I647">
            <v>30</v>
          </cell>
          <cell r="J647">
            <v>90</v>
          </cell>
          <cell r="K647">
            <v>15</v>
          </cell>
          <cell r="L647">
            <v>15</v>
          </cell>
          <cell r="M647">
            <v>30</v>
          </cell>
        </row>
        <row r="648">
          <cell r="B648" t="str">
            <v>ACCESS 125 RIDE CONNECT</v>
          </cell>
          <cell r="D648" t="str">
            <v>SUZUKI</v>
          </cell>
          <cell r="E648" t="str">
            <v>UZ125NES-1BLUE(BLUE)</v>
          </cell>
          <cell r="F648" t="str">
            <v>SCOOTER</v>
          </cell>
          <cell r="G648">
            <v>91057</v>
          </cell>
          <cell r="H648">
            <v>45</v>
          </cell>
          <cell r="I648">
            <v>30</v>
          </cell>
          <cell r="J648">
            <v>90</v>
          </cell>
          <cell r="K648">
            <v>15</v>
          </cell>
          <cell r="L648">
            <v>15</v>
          </cell>
          <cell r="M648">
            <v>30</v>
          </cell>
        </row>
        <row r="649">
          <cell r="B649" t="str">
            <v>CRF150</v>
          </cell>
          <cell r="D649" t="str">
            <v>HONDA</v>
          </cell>
          <cell r="E649" t="str">
            <v>CRF150LT (RED)</v>
          </cell>
          <cell r="F649" t="str">
            <v>SPORTS TYPE</v>
          </cell>
          <cell r="G649">
            <v>140790</v>
          </cell>
          <cell r="H649">
            <v>45</v>
          </cell>
          <cell r="I649">
            <v>30</v>
          </cell>
          <cell r="J649">
            <v>90</v>
          </cell>
          <cell r="K649">
            <v>15</v>
          </cell>
          <cell r="L649">
            <v>15</v>
          </cell>
          <cell r="M649">
            <v>30</v>
          </cell>
        </row>
        <row r="650">
          <cell r="B650" t="str">
            <v>CRF150</v>
          </cell>
          <cell r="D650" t="str">
            <v>HONDA</v>
          </cell>
          <cell r="E650" t="str">
            <v>CRF150LTIII (WHITE/BLACK)</v>
          </cell>
          <cell r="F650" t="str">
            <v>SPORTS TYPE</v>
          </cell>
          <cell r="G650">
            <v>140790</v>
          </cell>
          <cell r="H650">
            <v>45</v>
          </cell>
          <cell r="I650">
            <v>30</v>
          </cell>
          <cell r="J650">
            <v>90</v>
          </cell>
          <cell r="K650">
            <v>15</v>
          </cell>
          <cell r="L650">
            <v>15</v>
          </cell>
          <cell r="M650">
            <v>30</v>
          </cell>
        </row>
        <row r="651">
          <cell r="B651" t="str">
            <v>CRF150</v>
          </cell>
          <cell r="D651" t="str">
            <v>HONDA</v>
          </cell>
          <cell r="E651" t="str">
            <v>CRF150LTIV (BLACK)</v>
          </cell>
          <cell r="F651" t="str">
            <v>SPORTS TYPE</v>
          </cell>
          <cell r="G651">
            <v>140790</v>
          </cell>
          <cell r="H651">
            <v>45</v>
          </cell>
          <cell r="I651">
            <v>30</v>
          </cell>
          <cell r="J651">
            <v>90</v>
          </cell>
          <cell r="K651">
            <v>15</v>
          </cell>
          <cell r="L651">
            <v>15</v>
          </cell>
          <cell r="M651">
            <v>30</v>
          </cell>
        </row>
        <row r="652">
          <cell r="B652" t="str">
            <v>RAIDER150 FI BLADE</v>
          </cell>
          <cell r="D652" t="str">
            <v>SUZUKI</v>
          </cell>
          <cell r="E652" t="str">
            <v>FU150RF-9IVORY/GRAY (IVORY/GRAY)</v>
          </cell>
          <cell r="F652" t="str">
            <v>UNDERBONE</v>
          </cell>
          <cell r="G652">
            <v>123700</v>
          </cell>
          <cell r="H652">
            <v>45</v>
          </cell>
          <cell r="I652">
            <v>30</v>
          </cell>
          <cell r="J652">
            <v>90</v>
          </cell>
          <cell r="K652">
            <v>15</v>
          </cell>
          <cell r="L652">
            <v>15</v>
          </cell>
          <cell r="M652">
            <v>30</v>
          </cell>
        </row>
        <row r="653">
          <cell r="B653" t="str">
            <v>XMAX 300</v>
          </cell>
          <cell r="D653" t="str">
            <v>YAMAHA</v>
          </cell>
          <cell r="E653" t="str">
            <v>XMAX BSSH-010E (MATTE BLACK)</v>
          </cell>
          <cell r="F653" t="str">
            <v>SCOOTER</v>
          </cell>
          <cell r="G653">
            <v>289230</v>
          </cell>
          <cell r="H653">
            <v>45</v>
          </cell>
          <cell r="I653">
            <v>30</v>
          </cell>
          <cell r="J653">
            <v>90</v>
          </cell>
          <cell r="K653">
            <v>15</v>
          </cell>
          <cell r="L653">
            <v>15</v>
          </cell>
          <cell r="M653">
            <v>30</v>
          </cell>
        </row>
        <row r="654">
          <cell r="B654" t="str">
            <v>XMAX 300</v>
          </cell>
          <cell r="D654" t="str">
            <v>YAMAHA</v>
          </cell>
          <cell r="E654" t="str">
            <v>XMAX BSSH-010B (GRAY/MATTE BLACK)</v>
          </cell>
          <cell r="F654" t="str">
            <v>SCOOTER</v>
          </cell>
          <cell r="G654">
            <v>289230</v>
          </cell>
          <cell r="H654">
            <v>45</v>
          </cell>
          <cell r="I654">
            <v>30</v>
          </cell>
          <cell r="J654">
            <v>90</v>
          </cell>
          <cell r="K654">
            <v>15</v>
          </cell>
          <cell r="L654">
            <v>15</v>
          </cell>
          <cell r="M654">
            <v>30</v>
          </cell>
        </row>
        <row r="655">
          <cell r="B655" t="str">
            <v>BRUSKY125</v>
          </cell>
          <cell r="D655" t="str">
            <v>KAWASAKI</v>
          </cell>
          <cell r="E655" t="str">
            <v>BRUSKY125-SN125ZSFNN (BLACK)</v>
          </cell>
          <cell r="F655" t="str">
            <v>SCOOTER</v>
          </cell>
          <cell r="G655">
            <v>72500</v>
          </cell>
          <cell r="H655">
            <v>45</v>
          </cell>
          <cell r="I655">
            <v>30</v>
          </cell>
          <cell r="J655">
            <v>90</v>
          </cell>
          <cell r="K655">
            <v>15</v>
          </cell>
          <cell r="L655">
            <v>15</v>
          </cell>
          <cell r="M655">
            <v>30</v>
          </cell>
        </row>
        <row r="656">
          <cell r="B656" t="str">
            <v>BRUSKY125</v>
          </cell>
          <cell r="D656" t="str">
            <v>KAWASAKI</v>
          </cell>
          <cell r="E656" t="str">
            <v>BRUSKY125-SN125ZSFNN (BLUE)</v>
          </cell>
          <cell r="F656" t="str">
            <v>SCOOTER</v>
          </cell>
          <cell r="G656">
            <v>72500</v>
          </cell>
          <cell r="H656">
            <v>45</v>
          </cell>
          <cell r="I656">
            <v>30</v>
          </cell>
          <cell r="J656">
            <v>90</v>
          </cell>
          <cell r="K656">
            <v>15</v>
          </cell>
          <cell r="L656">
            <v>15</v>
          </cell>
          <cell r="M656">
            <v>30</v>
          </cell>
        </row>
        <row r="657">
          <cell r="B657" t="str">
            <v>BRUSKY125</v>
          </cell>
          <cell r="D657" t="str">
            <v>KAWASAKI</v>
          </cell>
          <cell r="E657" t="str">
            <v>BRUSKY125-SN125ZSFNN (WHITE)</v>
          </cell>
          <cell r="F657" t="str">
            <v>SCOOTER</v>
          </cell>
          <cell r="G657">
            <v>72500</v>
          </cell>
          <cell r="H657">
            <v>45</v>
          </cell>
          <cell r="I657">
            <v>30</v>
          </cell>
          <cell r="J657">
            <v>90</v>
          </cell>
          <cell r="K657">
            <v>15</v>
          </cell>
          <cell r="L657">
            <v>15</v>
          </cell>
          <cell r="M657">
            <v>30</v>
          </cell>
        </row>
        <row r="658">
          <cell r="B658" t="str">
            <v>RAIDER150 FI BLADE</v>
          </cell>
          <cell r="D658" t="str">
            <v>SUZUKI</v>
          </cell>
          <cell r="E658" t="str">
            <v>FU150RF-9BLUE/GRAY (BLUE/GRAY)</v>
          </cell>
          <cell r="F658" t="str">
            <v>UNDERBONE</v>
          </cell>
          <cell r="G658">
            <v>123700</v>
          </cell>
          <cell r="H658">
            <v>45</v>
          </cell>
          <cell r="I658">
            <v>30</v>
          </cell>
          <cell r="J658">
            <v>90</v>
          </cell>
          <cell r="K658">
            <v>15</v>
          </cell>
          <cell r="L658">
            <v>15</v>
          </cell>
          <cell r="M658">
            <v>30</v>
          </cell>
        </row>
        <row r="659">
          <cell r="B659" t="str">
            <v>RAIDER150 FI BLADE</v>
          </cell>
          <cell r="D659" t="str">
            <v>SUZUKI</v>
          </cell>
          <cell r="E659" t="str">
            <v>FU150RF-9RED/BLACK(RED/BLACK)</v>
          </cell>
          <cell r="F659" t="str">
            <v>UNDERBONE</v>
          </cell>
          <cell r="G659">
            <v>123700</v>
          </cell>
          <cell r="H659">
            <v>45</v>
          </cell>
          <cell r="I659">
            <v>30</v>
          </cell>
          <cell r="J659">
            <v>90</v>
          </cell>
          <cell r="K659">
            <v>15</v>
          </cell>
          <cell r="L659">
            <v>15</v>
          </cell>
          <cell r="M659">
            <v>30</v>
          </cell>
        </row>
        <row r="660">
          <cell r="B660" t="str">
            <v>RAIDER150 FI BLADE</v>
          </cell>
          <cell r="D660" t="str">
            <v>SUZUKI</v>
          </cell>
          <cell r="E660" t="str">
            <v>FU150RF-9GRAY/BLACK (GRAY/BLACK)</v>
          </cell>
          <cell r="F660" t="str">
            <v>UNDERBONE</v>
          </cell>
          <cell r="G660">
            <v>123700</v>
          </cell>
          <cell r="H660">
            <v>45</v>
          </cell>
          <cell r="I660">
            <v>30</v>
          </cell>
          <cell r="J660">
            <v>90</v>
          </cell>
          <cell r="K660">
            <v>15</v>
          </cell>
          <cell r="L660">
            <v>15</v>
          </cell>
          <cell r="M660">
            <v>30</v>
          </cell>
        </row>
        <row r="661">
          <cell r="B661" t="str">
            <v>RAIDER150 FI PRO</v>
          </cell>
          <cell r="D661" t="str">
            <v>SUZUKI</v>
          </cell>
          <cell r="E661" t="str">
            <v>FU150RL-9SILVER/YELLOW (SILVER/YELLOW)</v>
          </cell>
          <cell r="F661" t="str">
            <v>UNDERBONE</v>
          </cell>
          <cell r="G661">
            <v>138952</v>
          </cell>
          <cell r="H661">
            <v>45</v>
          </cell>
          <cell r="I661">
            <v>30</v>
          </cell>
          <cell r="J661">
            <v>90</v>
          </cell>
          <cell r="K661">
            <v>15</v>
          </cell>
          <cell r="L661">
            <v>15</v>
          </cell>
          <cell r="M661">
            <v>30</v>
          </cell>
        </row>
        <row r="662">
          <cell r="B662" t="str">
            <v>RAIDER150 FI PRO</v>
          </cell>
          <cell r="D662" t="str">
            <v>SUZUKI</v>
          </cell>
          <cell r="E662" t="str">
            <v>FU150RL-9RED/BLACK (RED/BLACK)</v>
          </cell>
          <cell r="F662" t="str">
            <v>UNDERBONE</v>
          </cell>
          <cell r="G662">
            <v>138952</v>
          </cell>
          <cell r="H662">
            <v>45</v>
          </cell>
          <cell r="I662">
            <v>30</v>
          </cell>
          <cell r="J662">
            <v>90</v>
          </cell>
          <cell r="K662">
            <v>15</v>
          </cell>
          <cell r="L662">
            <v>15</v>
          </cell>
          <cell r="M662">
            <v>30</v>
          </cell>
        </row>
        <row r="663">
          <cell r="B663" t="str">
            <v>SMASH FI(SPOKE)</v>
          </cell>
          <cell r="D663" t="str">
            <v>SUZUKI</v>
          </cell>
          <cell r="E663" t="str">
            <v>SMASH FI (SPOKE/DRUM) FV110LA - CRED (RED/BLACK)</v>
          </cell>
          <cell r="F663" t="str">
            <v>UNDERBONE</v>
          </cell>
          <cell r="G663">
            <v>66412</v>
          </cell>
          <cell r="H663">
            <v>45</v>
          </cell>
          <cell r="I663">
            <v>30</v>
          </cell>
          <cell r="J663">
            <v>90</v>
          </cell>
          <cell r="K663">
            <v>15</v>
          </cell>
          <cell r="L663">
            <v>15</v>
          </cell>
          <cell r="M663">
            <v>30</v>
          </cell>
        </row>
        <row r="664">
          <cell r="B664" t="str">
            <v>SMASH FI(SPOKE)</v>
          </cell>
          <cell r="D664" t="str">
            <v>SUZUKI</v>
          </cell>
          <cell r="E664" t="str">
            <v>SMASH FI (SPOKE/DRUM) FV110LA - CBLUE (BLUE/BLACK)</v>
          </cell>
          <cell r="F664" t="str">
            <v>UNDERBONE</v>
          </cell>
          <cell r="G664">
            <v>66412</v>
          </cell>
          <cell r="H664">
            <v>45</v>
          </cell>
          <cell r="I664">
            <v>30</v>
          </cell>
          <cell r="J664">
            <v>90</v>
          </cell>
          <cell r="K664">
            <v>15</v>
          </cell>
          <cell r="L664">
            <v>15</v>
          </cell>
          <cell r="M664">
            <v>30</v>
          </cell>
        </row>
        <row r="665">
          <cell r="B665" t="str">
            <v>SMASH FI(SPOKE)</v>
          </cell>
          <cell r="D665" t="str">
            <v>SUZUKI</v>
          </cell>
          <cell r="E665" t="str">
            <v>SMASH FI (SPOKE/DRUM) FV110LA - CBLACK (BLACK)</v>
          </cell>
          <cell r="F665" t="str">
            <v>UNDERBONE</v>
          </cell>
          <cell r="G665">
            <v>66412</v>
          </cell>
          <cell r="H665">
            <v>45</v>
          </cell>
          <cell r="I665">
            <v>30</v>
          </cell>
          <cell r="J665">
            <v>90</v>
          </cell>
          <cell r="K665">
            <v>15</v>
          </cell>
          <cell r="L665">
            <v>15</v>
          </cell>
          <cell r="M665">
            <v>30</v>
          </cell>
        </row>
        <row r="666">
          <cell r="B666" t="str">
            <v>CLICK160 FI</v>
          </cell>
          <cell r="D666" t="str">
            <v>HONDA</v>
          </cell>
          <cell r="E666" t="str">
            <v>ACB160CBTT-BLACK CLICK160</v>
          </cell>
          <cell r="F666" t="str">
            <v>SCOOTER</v>
          </cell>
          <cell r="G666">
            <v>111258</v>
          </cell>
          <cell r="H666">
            <v>45</v>
          </cell>
          <cell r="I666">
            <v>30</v>
          </cell>
          <cell r="J666">
            <v>90</v>
          </cell>
          <cell r="K666">
            <v>15</v>
          </cell>
          <cell r="L666">
            <v>15</v>
          </cell>
          <cell r="M666">
            <v>30</v>
          </cell>
        </row>
        <row r="667">
          <cell r="B667" t="str">
            <v>CLICK160 FI</v>
          </cell>
          <cell r="D667" t="str">
            <v>HONDA</v>
          </cell>
          <cell r="E667" t="str">
            <v>ACB160CBTT-WHITE CLICK160</v>
          </cell>
          <cell r="F667" t="str">
            <v>SCOOTER</v>
          </cell>
          <cell r="G667">
            <v>111258</v>
          </cell>
          <cell r="H667">
            <v>45</v>
          </cell>
          <cell r="I667">
            <v>30</v>
          </cell>
          <cell r="J667">
            <v>90</v>
          </cell>
          <cell r="K667">
            <v>15</v>
          </cell>
          <cell r="L667">
            <v>15</v>
          </cell>
          <cell r="M667">
            <v>30</v>
          </cell>
        </row>
        <row r="668">
          <cell r="B668" t="str">
            <v>CLICK160 FI</v>
          </cell>
          <cell r="D668" t="str">
            <v>HONDA</v>
          </cell>
          <cell r="E668" t="str">
            <v>ACB160CBTT-SILVER CLICK160</v>
          </cell>
          <cell r="F668" t="str">
            <v>SCOOTER</v>
          </cell>
          <cell r="G668">
            <v>111258</v>
          </cell>
          <cell r="H668">
            <v>45</v>
          </cell>
          <cell r="I668">
            <v>30</v>
          </cell>
          <cell r="J668">
            <v>90</v>
          </cell>
          <cell r="K668">
            <v>15</v>
          </cell>
          <cell r="L668">
            <v>15</v>
          </cell>
          <cell r="M668">
            <v>30</v>
          </cell>
        </row>
        <row r="669">
          <cell r="B669" t="str">
            <v>WAVE RSX(DISC)</v>
          </cell>
          <cell r="D669" t="str">
            <v>HONDA</v>
          </cell>
          <cell r="E669" t="str">
            <v>AFP110SFT-MB WAVE110 (DISC)</v>
          </cell>
          <cell r="F669" t="str">
            <v>UNDERBONE</v>
          </cell>
          <cell r="G669">
            <v>63510</v>
          </cell>
          <cell r="H669">
            <v>45</v>
          </cell>
          <cell r="I669">
            <v>30</v>
          </cell>
          <cell r="J669">
            <v>90</v>
          </cell>
          <cell r="K669">
            <v>15</v>
          </cell>
          <cell r="L669">
            <v>15</v>
          </cell>
          <cell r="M669">
            <v>30</v>
          </cell>
        </row>
        <row r="670">
          <cell r="B670" t="str">
            <v>BOLT150</v>
          </cell>
          <cell r="D670" t="str">
            <v>SKYGO</v>
          </cell>
          <cell r="E670" t="str">
            <v>SG150T-8G BOLT150 (BLACK/ SILVER)</v>
          </cell>
          <cell r="F670" t="str">
            <v>BUSINESS</v>
          </cell>
          <cell r="G670">
            <v>98325</v>
          </cell>
          <cell r="H670">
            <v>45</v>
          </cell>
          <cell r="I670">
            <v>30</v>
          </cell>
          <cell r="J670">
            <v>90</v>
          </cell>
          <cell r="K670">
            <v>15</v>
          </cell>
          <cell r="L670">
            <v>15</v>
          </cell>
          <cell r="M670">
            <v>30</v>
          </cell>
        </row>
        <row r="671">
          <cell r="B671" t="str">
            <v>CLICK125 FI SE</v>
          </cell>
          <cell r="D671" t="str">
            <v>HONDA</v>
          </cell>
          <cell r="E671" t="str">
            <v>CLICK125 FI (SMART EDITION) ACB125CBTT-MG (GRAY)</v>
          </cell>
          <cell r="F671" t="str">
            <v>SCOOTER</v>
          </cell>
          <cell r="G671">
            <v>84394</v>
          </cell>
          <cell r="H671">
            <v>45</v>
          </cell>
          <cell r="I671">
            <v>30</v>
          </cell>
          <cell r="J671">
            <v>90</v>
          </cell>
          <cell r="K671">
            <v>15</v>
          </cell>
          <cell r="L671">
            <v>15</v>
          </cell>
          <cell r="M671">
            <v>30</v>
          </cell>
        </row>
        <row r="672">
          <cell r="B672" t="str">
            <v>CLICK125 FI SE</v>
          </cell>
          <cell r="D672" t="str">
            <v>HONDA</v>
          </cell>
          <cell r="E672" t="str">
            <v>CLICK125 (SMART EDITION) ACB125CBTT-BP (BROWN)</v>
          </cell>
          <cell r="F672" t="str">
            <v>SCOOTER</v>
          </cell>
          <cell r="G672">
            <v>84394</v>
          </cell>
          <cell r="H672">
            <v>45</v>
          </cell>
          <cell r="I672">
            <v>30</v>
          </cell>
          <cell r="J672">
            <v>90</v>
          </cell>
          <cell r="K672">
            <v>15</v>
          </cell>
          <cell r="L672">
            <v>15</v>
          </cell>
          <cell r="M672">
            <v>30</v>
          </cell>
        </row>
        <row r="673">
          <cell r="B673" t="str">
            <v>CLICK125 FI</v>
          </cell>
          <cell r="D673" t="str">
            <v>HONDA</v>
          </cell>
          <cell r="E673" t="str">
            <v>CLICK 125 FI (STD) ACB125CBFT-PG (GRAY/BLACK)</v>
          </cell>
          <cell r="F673" t="str">
            <v>SCOOTER</v>
          </cell>
          <cell r="G673">
            <v>80070</v>
          </cell>
          <cell r="H673">
            <v>45</v>
          </cell>
          <cell r="I673">
            <v>30</v>
          </cell>
          <cell r="J673">
            <v>90</v>
          </cell>
          <cell r="K673">
            <v>15</v>
          </cell>
          <cell r="L673">
            <v>15</v>
          </cell>
          <cell r="M673">
            <v>30</v>
          </cell>
        </row>
        <row r="674">
          <cell r="B674" t="str">
            <v>CLICK125 FI</v>
          </cell>
          <cell r="D674" t="str">
            <v>HONDA</v>
          </cell>
          <cell r="E674" t="str">
            <v>CLICK 125 (STD) ACB125CBFT-PW (WHITE/BLACK)</v>
          </cell>
          <cell r="F674" t="str">
            <v>SCOOTER</v>
          </cell>
          <cell r="G674">
            <v>80070</v>
          </cell>
          <cell r="H674">
            <v>45</v>
          </cell>
          <cell r="I674">
            <v>30</v>
          </cell>
          <cell r="J674">
            <v>90</v>
          </cell>
          <cell r="K674">
            <v>15</v>
          </cell>
          <cell r="L674">
            <v>15</v>
          </cell>
          <cell r="M674">
            <v>30</v>
          </cell>
        </row>
        <row r="675">
          <cell r="B675" t="str">
            <v>ADV160 ROADSYNC</v>
          </cell>
          <cell r="C675" t="str">
            <v>LATEST MODEL CODE</v>
          </cell>
          <cell r="D675" t="str">
            <v>HONDA</v>
          </cell>
          <cell r="E675" t="str">
            <v>ADV160ATIII-QB (BROWN)</v>
          </cell>
          <cell r="F675" t="str">
            <v>SCOOTER</v>
          </cell>
          <cell r="G675">
            <v>165630</v>
          </cell>
          <cell r="H675">
            <v>45</v>
          </cell>
          <cell r="I675">
            <v>30</v>
          </cell>
          <cell r="J675">
            <v>90</v>
          </cell>
          <cell r="K675">
            <v>15</v>
          </cell>
          <cell r="L675">
            <v>15</v>
          </cell>
          <cell r="M675">
            <v>30</v>
          </cell>
        </row>
        <row r="676">
          <cell r="B676" t="str">
            <v>NMAX155 FI ABS</v>
          </cell>
          <cell r="D676" t="str">
            <v>YAMAHA</v>
          </cell>
          <cell r="E676" t="str">
            <v>NMAX155 ABS BUA2 (MATTE DARK GRAY)</v>
          </cell>
          <cell r="F676" t="str">
            <v>SCOOTER</v>
          </cell>
          <cell r="G676">
            <v>147312</v>
          </cell>
          <cell r="H676">
            <v>45</v>
          </cell>
          <cell r="I676">
            <v>30</v>
          </cell>
          <cell r="J676">
            <v>90</v>
          </cell>
          <cell r="K676">
            <v>15</v>
          </cell>
          <cell r="L676">
            <v>15</v>
          </cell>
          <cell r="M676">
            <v>30</v>
          </cell>
        </row>
        <row r="677">
          <cell r="B677" t="str">
            <v>NMAX155 TECHMAX</v>
          </cell>
          <cell r="D677" t="str">
            <v>YAMAHA</v>
          </cell>
          <cell r="E677" t="str">
            <v>NMAX155 TECHMAX BTU2 (BLACK)</v>
          </cell>
          <cell r="F677" t="str">
            <v>SCOOTER</v>
          </cell>
          <cell r="G677">
            <v>165912</v>
          </cell>
          <cell r="H677">
            <v>45</v>
          </cell>
          <cell r="I677">
            <v>30</v>
          </cell>
          <cell r="J677">
            <v>90</v>
          </cell>
          <cell r="K677">
            <v>15</v>
          </cell>
          <cell r="L677">
            <v>15</v>
          </cell>
          <cell r="M677">
            <v>30</v>
          </cell>
        </row>
        <row r="678">
          <cell r="B678" t="str">
            <v>NMAX155 TECHMAX</v>
          </cell>
          <cell r="D678" t="str">
            <v>YAMAHA</v>
          </cell>
          <cell r="E678" t="str">
            <v>NMAX155 TECHMAX BTU2 (GRAY)</v>
          </cell>
          <cell r="F678" t="str">
            <v>SCOOTER</v>
          </cell>
          <cell r="G678">
            <v>165912</v>
          </cell>
          <cell r="H678">
            <v>45</v>
          </cell>
          <cell r="I678">
            <v>30</v>
          </cell>
          <cell r="J678">
            <v>90</v>
          </cell>
          <cell r="K678">
            <v>15</v>
          </cell>
          <cell r="L678">
            <v>15</v>
          </cell>
          <cell r="M678">
            <v>30</v>
          </cell>
        </row>
        <row r="679">
          <cell r="B679" t="str">
            <v>CLICK125 FI</v>
          </cell>
          <cell r="D679" t="str">
            <v>HONDA</v>
          </cell>
          <cell r="E679" t="str">
            <v>CLICK 125 (STD) ACB125CBFT-OB (BLACK)</v>
          </cell>
          <cell r="F679" t="str">
            <v>SCOOTER</v>
          </cell>
          <cell r="G679">
            <v>80070</v>
          </cell>
          <cell r="H679">
            <v>45</v>
          </cell>
          <cell r="I679">
            <v>30</v>
          </cell>
          <cell r="J679">
            <v>90</v>
          </cell>
          <cell r="K679">
            <v>15</v>
          </cell>
          <cell r="L679">
            <v>15</v>
          </cell>
          <cell r="M679">
            <v>30</v>
          </cell>
        </row>
        <row r="680">
          <cell r="B680" t="str">
            <v>PG-1</v>
          </cell>
          <cell r="D680" t="str">
            <v>YAMAHA</v>
          </cell>
          <cell r="E680" t="str">
            <v>PG-1 BNR2 (LIGHT BLUE)</v>
          </cell>
          <cell r="F680" t="str">
            <v>UNDERBONE</v>
          </cell>
          <cell r="G680">
            <v>86397</v>
          </cell>
          <cell r="H680">
            <v>45</v>
          </cell>
          <cell r="I680">
            <v>30</v>
          </cell>
          <cell r="J680">
            <v>90</v>
          </cell>
          <cell r="K680">
            <v>15</v>
          </cell>
          <cell r="L680">
            <v>15</v>
          </cell>
          <cell r="M680">
            <v>30</v>
          </cell>
        </row>
        <row r="681">
          <cell r="B681" t="str">
            <v>ADV160</v>
          </cell>
          <cell r="C681" t="str">
            <v>LATEST MODEL CODE</v>
          </cell>
          <cell r="D681" t="str">
            <v>HONDA</v>
          </cell>
          <cell r="E681" t="str">
            <v>ADV160AT-GB (BLACK)</v>
          </cell>
          <cell r="F681" t="str">
            <v>SCOOTER</v>
          </cell>
          <cell r="G681">
            <v>158270</v>
          </cell>
          <cell r="H681">
            <v>45</v>
          </cell>
          <cell r="I681">
            <v>30</v>
          </cell>
          <cell r="J681">
            <v>90</v>
          </cell>
          <cell r="K681">
            <v>15</v>
          </cell>
          <cell r="L681">
            <v>15</v>
          </cell>
          <cell r="M681">
            <v>30</v>
          </cell>
        </row>
        <row r="682">
          <cell r="B682" t="str">
            <v>ADV160</v>
          </cell>
          <cell r="C682" t="str">
            <v>LATEST MODEL CODE</v>
          </cell>
          <cell r="D682" t="str">
            <v>HONDA</v>
          </cell>
          <cell r="E682" t="str">
            <v>ADV160AT-PFW (WHITE)</v>
          </cell>
          <cell r="F682" t="str">
            <v>SCOOTER</v>
          </cell>
          <cell r="G682">
            <v>158270</v>
          </cell>
          <cell r="H682">
            <v>45</v>
          </cell>
          <cell r="I682">
            <v>30</v>
          </cell>
          <cell r="J682">
            <v>90</v>
          </cell>
          <cell r="K682">
            <v>15</v>
          </cell>
          <cell r="L682">
            <v>15</v>
          </cell>
          <cell r="M682">
            <v>30</v>
          </cell>
        </row>
        <row r="683">
          <cell r="B683" t="str">
            <v>ADV160 ROADSYNC</v>
          </cell>
          <cell r="C683" t="str">
            <v>LATEST MODEL CODE</v>
          </cell>
          <cell r="D683" t="str">
            <v>HONDA</v>
          </cell>
          <cell r="E683" t="str">
            <v>ADV160ATIII-WC (WHITE)</v>
          </cell>
          <cell r="F683" t="str">
            <v>SCOOTER</v>
          </cell>
          <cell r="G683">
            <v>165630</v>
          </cell>
          <cell r="H683">
            <v>45</v>
          </cell>
          <cell r="I683">
            <v>30</v>
          </cell>
          <cell r="J683">
            <v>90</v>
          </cell>
          <cell r="K683">
            <v>15</v>
          </cell>
          <cell r="L683">
            <v>15</v>
          </cell>
          <cell r="M683">
            <v>30</v>
          </cell>
        </row>
        <row r="684">
          <cell r="B684" t="str">
            <v>MIO i125</v>
          </cell>
          <cell r="D684" t="str">
            <v>YAMAHA</v>
          </cell>
          <cell r="E684" t="str">
            <v>MIO I125 BB3A (MATTE BLUE)</v>
          </cell>
          <cell r="F684" t="str">
            <v>SCOOTER</v>
          </cell>
          <cell r="G684">
            <v>70587</v>
          </cell>
          <cell r="H684">
            <v>45</v>
          </cell>
          <cell r="I684">
            <v>30</v>
          </cell>
          <cell r="J684">
            <v>90</v>
          </cell>
          <cell r="K684">
            <v>15</v>
          </cell>
          <cell r="L684">
            <v>15</v>
          </cell>
          <cell r="M684">
            <v>30</v>
          </cell>
        </row>
        <row r="685">
          <cell r="B685" t="str">
            <v>MIO i125</v>
          </cell>
          <cell r="D685" t="str">
            <v>YAMAHA</v>
          </cell>
          <cell r="E685" t="str">
            <v>MIO I125 BB3A (MATTE WHITE/MATTE BLACK)</v>
          </cell>
          <cell r="F685" t="str">
            <v>SCOOTER</v>
          </cell>
          <cell r="G685">
            <v>70587</v>
          </cell>
          <cell r="H685">
            <v>45</v>
          </cell>
          <cell r="I685">
            <v>30</v>
          </cell>
          <cell r="J685">
            <v>90</v>
          </cell>
          <cell r="K685">
            <v>15</v>
          </cell>
          <cell r="L685">
            <v>15</v>
          </cell>
          <cell r="M685">
            <v>30</v>
          </cell>
        </row>
        <row r="686">
          <cell r="B686" t="str">
            <v>MIO i125</v>
          </cell>
          <cell r="D686" t="str">
            <v>YAMAHA</v>
          </cell>
          <cell r="E686" t="str">
            <v>MIO I125 BB3A (MATTE GREEN/MATTE BROWN)</v>
          </cell>
          <cell r="F686" t="str">
            <v>SCOOTER</v>
          </cell>
          <cell r="G686">
            <v>70587</v>
          </cell>
          <cell r="H686">
            <v>45</v>
          </cell>
          <cell r="I686">
            <v>30</v>
          </cell>
          <cell r="J686">
            <v>90</v>
          </cell>
          <cell r="K686">
            <v>15</v>
          </cell>
          <cell r="L686">
            <v>15</v>
          </cell>
          <cell r="M686">
            <v>30</v>
          </cell>
        </row>
        <row r="687">
          <cell r="B687" t="str">
            <v>ADV160</v>
          </cell>
          <cell r="C687" t="str">
            <v>LATEST MODEL CODE</v>
          </cell>
          <cell r="D687" t="str">
            <v>HONDA</v>
          </cell>
          <cell r="E687" t="str">
            <v>ADV160AT-MG (GREEN)</v>
          </cell>
          <cell r="F687" t="str">
            <v>SCOOTER</v>
          </cell>
          <cell r="G687">
            <v>158270</v>
          </cell>
          <cell r="H687">
            <v>45</v>
          </cell>
          <cell r="I687">
            <v>30</v>
          </cell>
          <cell r="J687">
            <v>90</v>
          </cell>
          <cell r="K687">
            <v>15</v>
          </cell>
          <cell r="L687">
            <v>15</v>
          </cell>
          <cell r="M687">
            <v>30</v>
          </cell>
        </row>
        <row r="688">
          <cell r="B688" t="str">
            <v>LEXI 155</v>
          </cell>
          <cell r="D688" t="str">
            <v>YAMAHA</v>
          </cell>
          <cell r="E688" t="str">
            <v>LEXI 155 D7H1 (BLACK/MATTE BLACK)</v>
          </cell>
          <cell r="F688" t="str">
            <v>SCOOTER</v>
          </cell>
          <cell r="G688">
            <v>92907</v>
          </cell>
          <cell r="H688">
            <v>45</v>
          </cell>
          <cell r="I688">
            <v>30</v>
          </cell>
          <cell r="J688">
            <v>90</v>
          </cell>
          <cell r="K688">
            <v>15</v>
          </cell>
          <cell r="L688">
            <v>15</v>
          </cell>
          <cell r="M688">
            <v>30</v>
          </cell>
        </row>
        <row r="689">
          <cell r="B689" t="str">
            <v>LEXI 155</v>
          </cell>
          <cell r="D689" t="str">
            <v>YAMAHA</v>
          </cell>
          <cell r="E689" t="str">
            <v>LEXI 155 D7H1 (MATTE DARK GREEN/MATTE BLACK)</v>
          </cell>
          <cell r="F689" t="str">
            <v>SCOOTER</v>
          </cell>
          <cell r="G689">
            <v>92907</v>
          </cell>
          <cell r="H689">
            <v>45</v>
          </cell>
          <cell r="I689">
            <v>30</v>
          </cell>
          <cell r="J689">
            <v>90</v>
          </cell>
          <cell r="K689">
            <v>15</v>
          </cell>
          <cell r="L689">
            <v>15</v>
          </cell>
          <cell r="M689">
            <v>30</v>
          </cell>
        </row>
        <row r="690">
          <cell r="B690" t="str">
            <v>NMAX155 FI ABS</v>
          </cell>
          <cell r="D690" t="str">
            <v>YAMAHA</v>
          </cell>
          <cell r="E690" t="str">
            <v>NMAX155 ABS BUA2 (BLACK)</v>
          </cell>
          <cell r="F690" t="str">
            <v>SCOOTER</v>
          </cell>
          <cell r="G690">
            <v>147312</v>
          </cell>
          <cell r="H690">
            <v>45</v>
          </cell>
          <cell r="I690">
            <v>30</v>
          </cell>
          <cell r="J690">
            <v>90</v>
          </cell>
          <cell r="K690">
            <v>15</v>
          </cell>
          <cell r="L690">
            <v>15</v>
          </cell>
          <cell r="M690">
            <v>30</v>
          </cell>
        </row>
        <row r="691">
          <cell r="B691" t="str">
            <v>GIORNO</v>
          </cell>
          <cell r="D691" t="str">
            <v>HONDA</v>
          </cell>
          <cell r="E691" t="str">
            <v>GIORNO+ ACF125CBT-JW (WHITE)</v>
          </cell>
          <cell r="F691" t="str">
            <v>SCOOTER</v>
          </cell>
          <cell r="G691">
            <v>101230</v>
          </cell>
          <cell r="H691">
            <v>45</v>
          </cell>
          <cell r="I691">
            <v>30</v>
          </cell>
          <cell r="J691">
            <v>90</v>
          </cell>
          <cell r="K691">
            <v>15</v>
          </cell>
          <cell r="L691">
            <v>15</v>
          </cell>
          <cell r="M691">
            <v>30</v>
          </cell>
        </row>
        <row r="692">
          <cell r="B692" t="str">
            <v>GIORNO</v>
          </cell>
          <cell r="D692" t="str">
            <v>HONDA</v>
          </cell>
          <cell r="E692" t="str">
            <v>GIORNO+ ACF125CBT-OG (GREEN)</v>
          </cell>
          <cell r="F692" t="str">
            <v>SCOOTER</v>
          </cell>
          <cell r="G692">
            <v>101230</v>
          </cell>
          <cell r="H692">
            <v>45</v>
          </cell>
          <cell r="I692">
            <v>30</v>
          </cell>
          <cell r="J692">
            <v>90</v>
          </cell>
          <cell r="K692">
            <v>15</v>
          </cell>
          <cell r="L692">
            <v>15</v>
          </cell>
          <cell r="M692">
            <v>30</v>
          </cell>
        </row>
        <row r="693">
          <cell r="B693" t="str">
            <v>FAZZIO</v>
          </cell>
          <cell r="D693" t="str">
            <v>YAMAHA</v>
          </cell>
          <cell r="E693" t="str">
            <v>MIO FAZZIO BRV6 (BLACK)</v>
          </cell>
          <cell r="F693" t="str">
            <v>SCOOTER</v>
          </cell>
          <cell r="G693">
            <v>86397</v>
          </cell>
          <cell r="H693">
            <v>45</v>
          </cell>
          <cell r="I693">
            <v>30</v>
          </cell>
          <cell r="J693">
            <v>90</v>
          </cell>
          <cell r="K693">
            <v>15</v>
          </cell>
          <cell r="L693">
            <v>15</v>
          </cell>
          <cell r="M693">
            <v>30</v>
          </cell>
        </row>
        <row r="694">
          <cell r="B694" t="str">
            <v>FAZZIO</v>
          </cell>
          <cell r="D694" t="str">
            <v>YAMAHA</v>
          </cell>
          <cell r="E694" t="str">
            <v>MIO FAZZIO BRV6 (MATTE LIGHT GREEN)</v>
          </cell>
          <cell r="F694" t="str">
            <v>SCOOTER</v>
          </cell>
          <cell r="G694">
            <v>86397</v>
          </cell>
          <cell r="H694">
            <v>45</v>
          </cell>
          <cell r="I694">
            <v>30</v>
          </cell>
          <cell r="J694">
            <v>90</v>
          </cell>
          <cell r="K694">
            <v>15</v>
          </cell>
          <cell r="L694">
            <v>15</v>
          </cell>
          <cell r="M694">
            <v>30</v>
          </cell>
        </row>
        <row r="695">
          <cell r="B695" t="str">
            <v>PCX160 STANDARD</v>
          </cell>
          <cell r="D695" t="str">
            <v>HONDA</v>
          </cell>
          <cell r="E695" t="str">
            <v>WW160T-AM PCX160 STANDARD (WHITE)</v>
          </cell>
          <cell r="F695" t="str">
            <v>SCOOTER</v>
          </cell>
          <cell r="G695">
            <v>126990</v>
          </cell>
          <cell r="H695">
            <v>45</v>
          </cell>
          <cell r="I695">
            <v>30</v>
          </cell>
          <cell r="J695">
            <v>90</v>
          </cell>
          <cell r="K695">
            <v>15</v>
          </cell>
          <cell r="L695">
            <v>15</v>
          </cell>
          <cell r="M695">
            <v>30</v>
          </cell>
        </row>
        <row r="696">
          <cell r="B696" t="str">
            <v>MAXIMA CARGO</v>
          </cell>
          <cell r="D696" t="str">
            <v>BAJAJ RE</v>
          </cell>
          <cell r="E696" t="str">
            <v>MAXIMA CARGO C1ANSEZZ MAXIMA CARGO (WHITE)</v>
          </cell>
          <cell r="F696" t="str">
            <v>TRI-WHEELED</v>
          </cell>
          <cell r="G696">
            <v>221800</v>
          </cell>
          <cell r="H696">
            <v>45</v>
          </cell>
          <cell r="I696">
            <v>30</v>
          </cell>
          <cell r="J696">
            <v>90</v>
          </cell>
          <cell r="K696">
            <v>15</v>
          </cell>
          <cell r="L696">
            <v>15</v>
          </cell>
          <cell r="M696">
            <v>30</v>
          </cell>
        </row>
        <row r="697">
          <cell r="B697" t="str">
            <v>FAZZIO</v>
          </cell>
          <cell r="D697" t="str">
            <v>YAMAHA</v>
          </cell>
          <cell r="E697" t="str">
            <v>MIO FAZZIO BRV6 (YELLOWISH WHITE)</v>
          </cell>
          <cell r="F697" t="str">
            <v>SCOOTER</v>
          </cell>
          <cell r="G697">
            <v>86397</v>
          </cell>
          <cell r="H697">
            <v>45</v>
          </cell>
          <cell r="I697">
            <v>30</v>
          </cell>
          <cell r="J697">
            <v>90</v>
          </cell>
          <cell r="K697">
            <v>15</v>
          </cell>
          <cell r="L697">
            <v>15</v>
          </cell>
          <cell r="M697">
            <v>30</v>
          </cell>
        </row>
        <row r="698">
          <cell r="B698" t="str">
            <v>GIORNO</v>
          </cell>
          <cell r="D698" t="str">
            <v>HONDA</v>
          </cell>
          <cell r="E698" t="str">
            <v>GIORNO+ ACF125CBT-TY (YELLOW)</v>
          </cell>
          <cell r="F698" t="str">
            <v>SCOOTER</v>
          </cell>
          <cell r="G698">
            <v>101230</v>
          </cell>
          <cell r="H698">
            <v>45</v>
          </cell>
          <cell r="I698">
            <v>30</v>
          </cell>
          <cell r="J698">
            <v>90</v>
          </cell>
          <cell r="K698">
            <v>15</v>
          </cell>
          <cell r="L698">
            <v>15</v>
          </cell>
          <cell r="M698">
            <v>30</v>
          </cell>
        </row>
        <row r="699">
          <cell r="B699" t="str">
            <v>PCX160 STANDARD</v>
          </cell>
          <cell r="D699" t="str">
            <v>HONDA</v>
          </cell>
          <cell r="E699" t="str">
            <v>WW160T-BK PCX160 STANDARD (BLACK)</v>
          </cell>
          <cell r="F699" t="str">
            <v>SCOOTER</v>
          </cell>
          <cell r="G699">
            <v>126990</v>
          </cell>
          <cell r="H699">
            <v>45</v>
          </cell>
          <cell r="I699">
            <v>30</v>
          </cell>
          <cell r="J699">
            <v>90</v>
          </cell>
          <cell r="K699">
            <v>15</v>
          </cell>
          <cell r="L699">
            <v>15</v>
          </cell>
          <cell r="M699">
            <v>30</v>
          </cell>
        </row>
        <row r="700">
          <cell r="B700" t="str">
            <v>EM1 e:</v>
          </cell>
          <cell r="D700" t="str">
            <v>HONDA</v>
          </cell>
          <cell r="E700" t="str">
            <v>EM1 e: EVP1P - DS (SILVER)</v>
          </cell>
          <cell r="F700" t="str">
            <v>ELECTRIC SCOOTER</v>
          </cell>
          <cell r="G700">
            <v>95710</v>
          </cell>
          <cell r="H700">
            <v>45</v>
          </cell>
          <cell r="I700">
            <v>30</v>
          </cell>
          <cell r="J700">
            <v>90</v>
          </cell>
          <cell r="K700">
            <v>15</v>
          </cell>
          <cell r="L700">
            <v>15</v>
          </cell>
          <cell r="M700">
            <v>30</v>
          </cell>
        </row>
        <row r="701">
          <cell r="B701" t="str">
            <v>V-STROM 160</v>
          </cell>
          <cell r="D701" t="str">
            <v>SUZUKI</v>
          </cell>
          <cell r="E701" t="str">
            <v>V-STROM 160 DS160RL-BLACK</v>
          </cell>
          <cell r="F701" t="str">
            <v>UNDERBONE</v>
          </cell>
          <cell r="G701">
            <v>138580</v>
          </cell>
          <cell r="H701">
            <v>45</v>
          </cell>
          <cell r="I701">
            <v>30</v>
          </cell>
          <cell r="J701">
            <v>90</v>
          </cell>
          <cell r="K701">
            <v>15</v>
          </cell>
          <cell r="L701">
            <v>15</v>
          </cell>
          <cell r="M701">
            <v>30</v>
          </cell>
        </row>
        <row r="702">
          <cell r="B702" t="str">
            <v>DR160</v>
          </cell>
          <cell r="D702" t="str">
            <v>SUZUKI</v>
          </cell>
          <cell r="E702" t="str">
            <v>DR-160 DR160RL-WHITE</v>
          </cell>
          <cell r="F702" t="str">
            <v>UNDERBONE</v>
          </cell>
          <cell r="G702">
            <v>122770</v>
          </cell>
          <cell r="H702">
            <v>45</v>
          </cell>
          <cell r="I702">
            <v>30</v>
          </cell>
          <cell r="J702">
            <v>90</v>
          </cell>
          <cell r="K702">
            <v>15</v>
          </cell>
          <cell r="L702">
            <v>15</v>
          </cell>
          <cell r="M702">
            <v>30</v>
          </cell>
        </row>
        <row r="703">
          <cell r="B703" t="str">
            <v>V-STROM 160</v>
          </cell>
          <cell r="D703" t="str">
            <v>SUZUKI</v>
          </cell>
          <cell r="E703" t="str">
            <v>V-STROM 160 DS160RL-YELLOW</v>
          </cell>
          <cell r="F703" t="str">
            <v>UNDERBONE</v>
          </cell>
          <cell r="G703">
            <v>138580</v>
          </cell>
          <cell r="H703">
            <v>45</v>
          </cell>
          <cell r="I703">
            <v>30</v>
          </cell>
          <cell r="J703">
            <v>90</v>
          </cell>
          <cell r="K703">
            <v>15</v>
          </cell>
          <cell r="L703">
            <v>15</v>
          </cell>
          <cell r="M703">
            <v>30</v>
          </cell>
        </row>
        <row r="704">
          <cell r="B704" t="str">
            <v>DR160</v>
          </cell>
          <cell r="D704" t="str">
            <v>SUZUKI</v>
          </cell>
          <cell r="E704" t="str">
            <v>DR-160 DR160RL-BLACK</v>
          </cell>
          <cell r="F704" t="str">
            <v>UNDERBONE</v>
          </cell>
          <cell r="G704">
            <v>122770</v>
          </cell>
          <cell r="H704">
            <v>45</v>
          </cell>
          <cell r="I704">
            <v>30</v>
          </cell>
          <cell r="J704">
            <v>90</v>
          </cell>
          <cell r="K704">
            <v>15</v>
          </cell>
          <cell r="L704">
            <v>15</v>
          </cell>
          <cell r="M704">
            <v>30</v>
          </cell>
        </row>
        <row r="705">
          <cell r="B705" t="str">
            <v>GIORNO</v>
          </cell>
          <cell r="D705" t="str">
            <v>HONDA</v>
          </cell>
          <cell r="E705" t="str">
            <v>GIORNO+ ACF125CBT-RB (BLUE)</v>
          </cell>
          <cell r="F705" t="str">
            <v>SCOOTER</v>
          </cell>
          <cell r="G705">
            <v>101230</v>
          </cell>
          <cell r="H705">
            <v>45</v>
          </cell>
          <cell r="I705">
            <v>30</v>
          </cell>
          <cell r="J705">
            <v>90</v>
          </cell>
          <cell r="K705">
            <v>15</v>
          </cell>
          <cell r="L705">
            <v>15</v>
          </cell>
          <cell r="M705">
            <v>30</v>
          </cell>
        </row>
        <row r="706">
          <cell r="B706" t="str">
            <v>NAVI</v>
          </cell>
          <cell r="D706" t="str">
            <v>HONDA</v>
          </cell>
          <cell r="E706" t="str">
            <v>NVA110BTII-NP NAVI (NEON PINK R)</v>
          </cell>
          <cell r="F706" t="str">
            <v>SCOOTER</v>
          </cell>
          <cell r="G706">
            <v>57990</v>
          </cell>
          <cell r="H706">
            <v>45</v>
          </cell>
          <cell r="I706">
            <v>30</v>
          </cell>
          <cell r="J706">
            <v>90</v>
          </cell>
          <cell r="K706">
            <v>15</v>
          </cell>
          <cell r="L706">
            <v>15</v>
          </cell>
          <cell r="M706">
            <v>30</v>
          </cell>
        </row>
        <row r="707">
          <cell r="B707" t="str">
            <v>SMASH(MAGS)</v>
          </cell>
          <cell r="D707" t="str">
            <v>SUZUKI</v>
          </cell>
          <cell r="E707" t="str">
            <v>SMASH(MAGS) FW110SC-FREDBLK (RED/BLACK)</v>
          </cell>
          <cell r="F707" t="str">
            <v>UNDERBONE</v>
          </cell>
          <cell r="G707">
            <v>67342</v>
          </cell>
          <cell r="H707">
            <v>45</v>
          </cell>
          <cell r="I707">
            <v>30</v>
          </cell>
          <cell r="J707">
            <v>90</v>
          </cell>
          <cell r="K707">
            <v>15</v>
          </cell>
          <cell r="L707">
            <v>15</v>
          </cell>
          <cell r="M707">
            <v>30</v>
          </cell>
        </row>
        <row r="708">
          <cell r="B708" t="str">
            <v>MIO GEAR S</v>
          </cell>
          <cell r="D708" t="str">
            <v>YAMAHA</v>
          </cell>
          <cell r="E708" t="str">
            <v>MIO GEAR S BYA2 (GRAY)</v>
          </cell>
          <cell r="F708" t="str">
            <v>SCOOTER</v>
          </cell>
          <cell r="G708">
            <v>76167</v>
          </cell>
          <cell r="H708">
            <v>45</v>
          </cell>
          <cell r="I708">
            <v>30</v>
          </cell>
          <cell r="J708">
            <v>90</v>
          </cell>
          <cell r="K708">
            <v>15</v>
          </cell>
          <cell r="L708">
            <v>15</v>
          </cell>
          <cell r="M708">
            <v>30</v>
          </cell>
        </row>
        <row r="709">
          <cell r="B709" t="str">
            <v>BURGMAN15</v>
          </cell>
          <cell r="D709" t="str">
            <v>SUZUKI</v>
          </cell>
          <cell r="E709" t="str">
            <v>BURGMAN 15 - UFR150 (WHITE/GOLD)</v>
          </cell>
          <cell r="F709" t="str">
            <v>SCOOTER</v>
          </cell>
          <cell r="G709">
            <v>156250</v>
          </cell>
          <cell r="H709">
            <v>45</v>
          </cell>
          <cell r="I709">
            <v>30</v>
          </cell>
          <cell r="J709">
            <v>90</v>
          </cell>
          <cell r="K709">
            <v>15</v>
          </cell>
          <cell r="L709">
            <v>15</v>
          </cell>
          <cell r="M709">
            <v>30</v>
          </cell>
        </row>
        <row r="710">
          <cell r="B710" t="str">
            <v>BURGMAN15</v>
          </cell>
          <cell r="D710" t="str">
            <v>SUZUKI</v>
          </cell>
          <cell r="E710" t="str">
            <v>BURGMAN 15 - UFR150 (BLACK/GRAY)</v>
          </cell>
          <cell r="F710" t="str">
            <v>SCOOTER</v>
          </cell>
          <cell r="G710">
            <v>156250</v>
          </cell>
          <cell r="H710">
            <v>45</v>
          </cell>
          <cell r="I710">
            <v>30</v>
          </cell>
          <cell r="J710">
            <v>90</v>
          </cell>
          <cell r="K710">
            <v>15</v>
          </cell>
          <cell r="L710">
            <v>15</v>
          </cell>
          <cell r="M710">
            <v>30</v>
          </cell>
        </row>
        <row r="711">
          <cell r="B711" t="str">
            <v>MIO GEAR S</v>
          </cell>
          <cell r="D711" t="str">
            <v>YAMAHA</v>
          </cell>
          <cell r="E711" t="str">
            <v>MIO GEAR S BYA2 (MATTE BROWN)</v>
          </cell>
          <cell r="F711" t="str">
            <v>SCOOTER</v>
          </cell>
          <cell r="G711">
            <v>76167</v>
          </cell>
          <cell r="H711">
            <v>45</v>
          </cell>
          <cell r="I711">
            <v>30</v>
          </cell>
          <cell r="J711">
            <v>90</v>
          </cell>
          <cell r="K711">
            <v>15</v>
          </cell>
          <cell r="L711">
            <v>15</v>
          </cell>
          <cell r="M711">
            <v>30</v>
          </cell>
        </row>
        <row r="712">
          <cell r="B712" t="str">
            <v>MIO GEAR S</v>
          </cell>
          <cell r="D712" t="str">
            <v>YAMAHA</v>
          </cell>
          <cell r="E712" t="str">
            <v>MIO GEAR S BYA2 (MATTE GRAY)</v>
          </cell>
          <cell r="F712" t="str">
            <v>SCOOTER</v>
          </cell>
          <cell r="G712">
            <v>76167</v>
          </cell>
          <cell r="H712">
            <v>45</v>
          </cell>
          <cell r="I712">
            <v>30</v>
          </cell>
          <cell r="J712">
            <v>90</v>
          </cell>
          <cell r="K712">
            <v>15</v>
          </cell>
          <cell r="L712">
            <v>15</v>
          </cell>
          <cell r="M712">
            <v>30</v>
          </cell>
        </row>
        <row r="713">
          <cell r="B713" t="str">
            <v>ACCESS 125 RIDE CONNECT</v>
          </cell>
          <cell r="D713" t="str">
            <v>SUZUKI</v>
          </cell>
          <cell r="E713" t="str">
            <v>UZ125NES-1WHITE (WHITE)</v>
          </cell>
          <cell r="F713" t="str">
            <v>SCOOTER</v>
          </cell>
          <cell r="G713">
            <v>91057</v>
          </cell>
          <cell r="H713">
            <v>45</v>
          </cell>
          <cell r="I713">
            <v>30</v>
          </cell>
          <cell r="J713">
            <v>90</v>
          </cell>
          <cell r="K713">
            <v>15</v>
          </cell>
          <cell r="L713">
            <v>15</v>
          </cell>
          <cell r="M713">
            <v>30</v>
          </cell>
        </row>
        <row r="714">
          <cell r="B714" t="str">
            <v>KLX150</v>
          </cell>
          <cell r="D714" t="str">
            <v>KAWASAKI</v>
          </cell>
          <cell r="E714" t="str">
            <v>KLX150KVAAN-GN2 (GREEN)</v>
          </cell>
          <cell r="F714" t="str">
            <v>SPORTS TYPE</v>
          </cell>
          <cell r="G714">
            <v>131626</v>
          </cell>
          <cell r="H714">
            <v>45</v>
          </cell>
          <cell r="I714">
            <v>30</v>
          </cell>
          <cell r="J714">
            <v>90</v>
          </cell>
          <cell r="K714">
            <v>15</v>
          </cell>
          <cell r="L714">
            <v>15</v>
          </cell>
          <cell r="M714">
            <v>30</v>
          </cell>
        </row>
        <row r="715">
          <cell r="B715" t="str">
            <v>WINNER X RC</v>
          </cell>
          <cell r="C715" t="str">
            <v>OLD</v>
          </cell>
          <cell r="D715" t="str">
            <v>HONDA</v>
          </cell>
          <cell r="E715" t="str">
            <v>FS150FARII-IR WINNER  X (ABS RACING) (RED)</v>
          </cell>
          <cell r="F715" t="str">
            <v>UNDERBONE</v>
          </cell>
          <cell r="G715">
            <v>125150</v>
          </cell>
          <cell r="H715">
            <v>45</v>
          </cell>
          <cell r="I715">
            <v>30</v>
          </cell>
          <cell r="J715">
            <v>90</v>
          </cell>
          <cell r="K715">
            <v>15</v>
          </cell>
          <cell r="L715">
            <v>15</v>
          </cell>
          <cell r="M715">
            <v>30</v>
          </cell>
        </row>
        <row r="716">
          <cell r="B716" t="str">
            <v>MIO i125s</v>
          </cell>
          <cell r="C716" t="str">
            <v>OLD</v>
          </cell>
          <cell r="D716" t="str">
            <v>YAMAHA</v>
          </cell>
          <cell r="E716" t="str">
            <v>MIO I 125 S B6B7 (MATTE DARK GRAY)</v>
          </cell>
          <cell r="F716" t="str">
            <v>SCOOTER</v>
          </cell>
          <cell r="G716">
            <v>74772</v>
          </cell>
          <cell r="H716">
            <v>45</v>
          </cell>
          <cell r="I716">
            <v>30</v>
          </cell>
          <cell r="J716">
            <v>90</v>
          </cell>
          <cell r="K716">
            <v>15</v>
          </cell>
          <cell r="L716">
            <v>15</v>
          </cell>
          <cell r="M716">
            <v>30</v>
          </cell>
        </row>
        <row r="717">
          <cell r="B717" t="str">
            <v>MIO i125s</v>
          </cell>
          <cell r="C717" t="str">
            <v>OLD</v>
          </cell>
          <cell r="D717" t="str">
            <v>YAMAHA</v>
          </cell>
          <cell r="E717" t="str">
            <v>MIO I 125 S B6B7 (MATTE BLUE)</v>
          </cell>
          <cell r="F717" t="str">
            <v>SCOOTER</v>
          </cell>
          <cell r="G717">
            <v>74772</v>
          </cell>
          <cell r="H717">
            <v>45</v>
          </cell>
          <cell r="I717">
            <v>30</v>
          </cell>
          <cell r="J717">
            <v>90</v>
          </cell>
          <cell r="K717">
            <v>15</v>
          </cell>
          <cell r="L717">
            <v>15</v>
          </cell>
          <cell r="M717">
            <v>30</v>
          </cell>
        </row>
        <row r="718">
          <cell r="B718" t="str">
            <v>PCX160 ROADSYNC</v>
          </cell>
          <cell r="D718" t="str">
            <v>HONDA</v>
          </cell>
          <cell r="E718" t="str">
            <v>PCX160 ROADSYNC WW160ST-QB (BROWN)</v>
          </cell>
          <cell r="F718" t="str">
            <v>SCOOTER</v>
          </cell>
          <cell r="G718">
            <v>147230</v>
          </cell>
          <cell r="H718">
            <v>45</v>
          </cell>
          <cell r="I718">
            <v>30</v>
          </cell>
          <cell r="J718">
            <v>90</v>
          </cell>
          <cell r="K718">
            <v>15</v>
          </cell>
          <cell r="L718">
            <v>15</v>
          </cell>
          <cell r="M718">
            <v>30</v>
          </cell>
        </row>
        <row r="719">
          <cell r="B719" t="str">
            <v>PCX160 ROADSYNC</v>
          </cell>
          <cell r="D719" t="str">
            <v>HONDA</v>
          </cell>
          <cell r="E719" t="str">
            <v>PCX160 ROADSYNC WW160ST-PM (RED)</v>
          </cell>
          <cell r="F719" t="str">
            <v>SCOOTER</v>
          </cell>
          <cell r="G719">
            <v>147230</v>
          </cell>
          <cell r="H719">
            <v>45</v>
          </cell>
          <cell r="I719">
            <v>30</v>
          </cell>
          <cell r="J719">
            <v>90</v>
          </cell>
          <cell r="K719">
            <v>15</v>
          </cell>
          <cell r="L719">
            <v>15</v>
          </cell>
          <cell r="M719">
            <v>30</v>
          </cell>
        </row>
        <row r="720">
          <cell r="B720" t="str">
            <v>GIXXER 250</v>
          </cell>
          <cell r="D720" t="str">
            <v>SUZUKI</v>
          </cell>
          <cell r="E720" t="str">
            <v>GSX250RL- 6BLUE</v>
          </cell>
          <cell r="F720" t="str">
            <v>BIGBIKE</v>
          </cell>
          <cell r="G720">
            <v>172897</v>
          </cell>
          <cell r="H720">
            <v>45</v>
          </cell>
          <cell r="I720">
            <v>30</v>
          </cell>
          <cell r="J720">
            <v>90</v>
          </cell>
          <cell r="K720">
            <v>15</v>
          </cell>
          <cell r="L720">
            <v>15</v>
          </cell>
          <cell r="M720">
            <v>30</v>
          </cell>
        </row>
        <row r="721">
          <cell r="B721" t="str">
            <v>ACCESS 125 RIDE CONNECT</v>
          </cell>
          <cell r="D721" t="str">
            <v>SUZUKI</v>
          </cell>
          <cell r="E721" t="str">
            <v>UZ125NES-1GREEN (GREEN)</v>
          </cell>
          <cell r="F721" t="str">
            <v>SCOOTER</v>
          </cell>
          <cell r="G721">
            <v>91057</v>
          </cell>
          <cell r="H721">
            <v>45</v>
          </cell>
          <cell r="I721">
            <v>30</v>
          </cell>
          <cell r="J721">
            <v>90</v>
          </cell>
          <cell r="K721">
            <v>15</v>
          </cell>
          <cell r="L721">
            <v>15</v>
          </cell>
          <cell r="M721">
            <v>30</v>
          </cell>
        </row>
        <row r="722">
          <cell r="B722" t="str">
            <v>CLICK125 FI SE</v>
          </cell>
          <cell r="D722" t="str">
            <v>HONDA</v>
          </cell>
          <cell r="E722" t="str">
            <v>CLICK125 FI (SMART EDITION) ACB125CBTT-PW</v>
          </cell>
          <cell r="F722" t="str">
            <v>SCOOTER</v>
          </cell>
          <cell r="G722">
            <v>84394</v>
          </cell>
          <cell r="H722">
            <v>45</v>
          </cell>
          <cell r="I722">
            <v>30</v>
          </cell>
          <cell r="J722">
            <v>90</v>
          </cell>
          <cell r="K722">
            <v>15</v>
          </cell>
          <cell r="L722">
            <v>15</v>
          </cell>
          <cell r="M722">
            <v>30</v>
          </cell>
        </row>
        <row r="723">
          <cell r="B723" t="str">
            <v>CLICK125 FI STREET</v>
          </cell>
          <cell r="D723" t="str">
            <v>HONDA</v>
          </cell>
          <cell r="E723" t="str">
            <v>CLICK125 STREET ACB125CBTV3 - GP (GRAPE/GRAY)</v>
          </cell>
          <cell r="F723" t="str">
            <v>SCOOTER</v>
          </cell>
          <cell r="G723">
            <v>86510</v>
          </cell>
          <cell r="H723">
            <v>45</v>
          </cell>
          <cell r="I723">
            <v>30</v>
          </cell>
          <cell r="J723">
            <v>90</v>
          </cell>
          <cell r="K723">
            <v>15</v>
          </cell>
          <cell r="L723">
            <v>15</v>
          </cell>
          <cell r="M723">
            <v>30</v>
          </cell>
        </row>
        <row r="724">
          <cell r="B724" t="str">
            <v>CLICK125 FI STREET</v>
          </cell>
          <cell r="D724" t="str">
            <v>HONDA</v>
          </cell>
          <cell r="E724" t="str">
            <v>LICK125 STREET ACB125CBTV3 - PW (WHITE/GRAY)</v>
          </cell>
          <cell r="F724" t="str">
            <v>SCOOTER</v>
          </cell>
          <cell r="G724">
            <v>86510</v>
          </cell>
          <cell r="H724">
            <v>45</v>
          </cell>
          <cell r="I724">
            <v>30</v>
          </cell>
          <cell r="J724">
            <v>90</v>
          </cell>
          <cell r="K724">
            <v>15</v>
          </cell>
          <cell r="L724">
            <v>15</v>
          </cell>
          <cell r="M724">
            <v>30</v>
          </cell>
        </row>
        <row r="725">
          <cell r="B725" t="str">
            <v>LANCE150</v>
          </cell>
          <cell r="D725" t="str">
            <v>SKYGO</v>
          </cell>
          <cell r="E725" t="str">
            <v>SG150T-8U LANCE150 (GRAY/BLACK)</v>
          </cell>
          <cell r="F725" t="str">
            <v>BUSINESS</v>
          </cell>
          <cell r="G725">
            <v>98325</v>
          </cell>
          <cell r="H725">
            <v>45</v>
          </cell>
          <cell r="I725">
            <v>30</v>
          </cell>
          <cell r="J725">
            <v>90</v>
          </cell>
          <cell r="K725">
            <v>15</v>
          </cell>
          <cell r="L725">
            <v>15</v>
          </cell>
          <cell r="M725">
            <v>30</v>
          </cell>
        </row>
      </sheetData>
      <sheetData sheetId="4"/>
      <sheetData sheetId="5"/>
      <sheetData sheetId="6"/>
      <sheetData sheetId="7"/>
      <sheetData sheetId="8">
        <row r="1">
          <cell r="A1" t="str">
            <v>Re-order as of 2026-09-12</v>
          </cell>
        </row>
        <row r="2">
          <cell r="A2" t="str">
            <v>Standard Description</v>
          </cell>
          <cell r="B2" t="str">
            <v>ABC</v>
          </cell>
          <cell r="C2" t="str">
            <v>Rank</v>
          </cell>
          <cell r="D2" t="str">
            <v>Class</v>
          </cell>
          <cell r="E2" t="str">
            <v>Brand</v>
          </cell>
          <cell r="F2" t="str">
            <v>Cost</v>
          </cell>
          <cell r="G2" t="str">
            <v>LAST 90D Sale Qty</v>
          </cell>
          <cell r="H2" t="str">
            <v>LAST 60D Sale Qty</v>
          </cell>
          <cell r="I2" t="str">
            <v>LAST 30D Sale Qty</v>
          </cell>
          <cell r="J2" t="str">
            <v>3Mo Sales Qty Total</v>
          </cell>
          <cell r="K2" t="str">
            <v>A-3Mo Sales Qty Total</v>
          </cell>
          <cell r="L2" t="str">
            <v>3Mo Sales (PHP)</v>
          </cell>
          <cell r="M2" t="str">
            <v>A-3Mo Sales Val (PHP)</v>
          </cell>
          <cell r="N2" t="str">
            <v>Avg. Daily Sale (Qty)</v>
          </cell>
          <cell r="O2" t="str">
            <v>Inv. Qty Total</v>
          </cell>
          <cell r="P2" t="str">
            <v>Inv. (PHP)</v>
          </cell>
          <cell r="Q2" t="str">
            <v>DoI</v>
          </cell>
          <cell r="R2" t="str">
            <v>LT (D)</v>
          </cell>
          <cell r="S2" t="str">
            <v>SS (D)</v>
          </cell>
          <cell r="T2" t="str">
            <v>RoP (D)</v>
          </cell>
          <cell r="U2" t="str">
            <v>Order (D)</v>
          </cell>
          <cell r="V2" t="str">
            <v>Max (D)</v>
          </cell>
          <cell r="W2" t="str">
            <v>SS (Qty)</v>
          </cell>
          <cell r="X2" t="str">
            <v>RoP (Qty)</v>
          </cell>
          <cell r="Y2" t="str">
            <v>Order (Qty)</v>
          </cell>
          <cell r="Z2" t="str">
            <v>Max Stock (Qty)</v>
          </cell>
          <cell r="AA2" t="str">
            <v>Stock Status</v>
          </cell>
        </row>
        <row r="3">
          <cell r="A3" t="str">
            <v>ACCESS 125</v>
          </cell>
          <cell r="B3" t="str">
            <v>C23</v>
          </cell>
          <cell r="C3">
            <v>52</v>
          </cell>
          <cell r="D3" t="str">
            <v>Class C</v>
          </cell>
          <cell r="E3" t="str">
            <v>SUZUKI</v>
          </cell>
          <cell r="F3">
            <v>82687</v>
          </cell>
          <cell r="G3">
            <v>2</v>
          </cell>
          <cell r="H3">
            <v>5</v>
          </cell>
          <cell r="I3">
            <v>1</v>
          </cell>
          <cell r="J3">
            <v>8</v>
          </cell>
          <cell r="K3">
            <v>2.6666666666666665</v>
          </cell>
          <cell r="L3">
            <v>661496</v>
          </cell>
          <cell r="M3">
            <v>220498.66666666666</v>
          </cell>
          <cell r="N3">
            <v>8.8888888888888892E-2</v>
          </cell>
          <cell r="O3">
            <v>27</v>
          </cell>
          <cell r="P3">
            <v>2232549</v>
          </cell>
          <cell r="Q3">
            <v>303.75</v>
          </cell>
          <cell r="R3">
            <v>45</v>
          </cell>
          <cell r="S3">
            <v>30</v>
          </cell>
          <cell r="T3">
            <v>75</v>
          </cell>
          <cell r="U3">
            <v>60</v>
          </cell>
          <cell r="V3">
            <v>90</v>
          </cell>
          <cell r="W3">
            <v>2.666666666666667</v>
          </cell>
          <cell r="X3">
            <v>6.666666666666667</v>
          </cell>
          <cell r="Y3">
            <v>5.3333333333333339</v>
          </cell>
          <cell r="Z3">
            <v>8</v>
          </cell>
          <cell r="AA3" t="str">
            <v>Over</v>
          </cell>
        </row>
        <row r="4">
          <cell r="A4" t="str">
            <v>ACCESS 125 RIDE CONNECT</v>
          </cell>
          <cell r="B4" t="str">
            <v>C44</v>
          </cell>
          <cell r="C4">
            <v>73</v>
          </cell>
          <cell r="D4" t="str">
            <v>Class C</v>
          </cell>
          <cell r="E4" t="str">
            <v>SUZUKI</v>
          </cell>
          <cell r="F4">
            <v>91057</v>
          </cell>
          <cell r="G4">
            <v>2</v>
          </cell>
          <cell r="H4">
            <v>0</v>
          </cell>
          <cell r="I4">
            <v>0</v>
          </cell>
          <cell r="J4">
            <v>2</v>
          </cell>
          <cell r="K4">
            <v>0.66666666666666663</v>
          </cell>
          <cell r="L4">
            <v>182114</v>
          </cell>
          <cell r="M4">
            <v>60704.666666666664</v>
          </cell>
          <cell r="N4">
            <v>2.2222222222222223E-2</v>
          </cell>
          <cell r="O4">
            <v>25</v>
          </cell>
          <cell r="P4">
            <v>2276425</v>
          </cell>
          <cell r="Q4">
            <v>1125</v>
          </cell>
          <cell r="R4">
            <v>45</v>
          </cell>
          <cell r="S4">
            <v>30</v>
          </cell>
          <cell r="T4">
            <v>75</v>
          </cell>
          <cell r="U4">
            <v>60</v>
          </cell>
          <cell r="V4">
            <v>90</v>
          </cell>
          <cell r="W4">
            <v>0.66666666666666674</v>
          </cell>
          <cell r="X4">
            <v>1.6666666666666667</v>
          </cell>
          <cell r="Y4">
            <v>1.3333333333333335</v>
          </cell>
          <cell r="Z4">
            <v>2</v>
          </cell>
          <cell r="AA4" t="str">
            <v>Over</v>
          </cell>
        </row>
        <row r="5">
          <cell r="A5" t="str">
            <v>ADV160</v>
          </cell>
          <cell r="B5" t="str">
            <v>A4</v>
          </cell>
          <cell r="C5">
            <v>4</v>
          </cell>
          <cell r="D5" t="str">
            <v>Class A</v>
          </cell>
          <cell r="E5" t="str">
            <v>HONDA</v>
          </cell>
          <cell r="F5">
            <v>158270</v>
          </cell>
          <cell r="G5">
            <v>100</v>
          </cell>
          <cell r="H5">
            <v>89</v>
          </cell>
          <cell r="I5">
            <v>119</v>
          </cell>
          <cell r="J5">
            <v>308</v>
          </cell>
          <cell r="K5">
            <v>102.66666666666667</v>
          </cell>
          <cell r="L5">
            <v>48747160</v>
          </cell>
          <cell r="M5">
            <v>16249053.333333334</v>
          </cell>
          <cell r="N5">
            <v>3.4222222222222221</v>
          </cell>
          <cell r="O5">
            <v>159</v>
          </cell>
          <cell r="P5">
            <v>25164930</v>
          </cell>
          <cell r="Q5">
            <v>46.461038961038959</v>
          </cell>
          <cell r="R5">
            <v>45</v>
          </cell>
          <cell r="S5">
            <v>30</v>
          </cell>
          <cell r="T5">
            <v>75</v>
          </cell>
          <cell r="U5">
            <v>60</v>
          </cell>
          <cell r="V5">
            <v>90</v>
          </cell>
          <cell r="W5">
            <v>102.66666666666666</v>
          </cell>
          <cell r="X5">
            <v>256.66666666666663</v>
          </cell>
          <cell r="Y5">
            <v>205.33333333333331</v>
          </cell>
          <cell r="Z5">
            <v>308</v>
          </cell>
          <cell r="AA5" t="str">
            <v>Re-order</v>
          </cell>
        </row>
        <row r="6">
          <cell r="A6" t="str">
            <v>ADV160 ROADSYNC</v>
          </cell>
          <cell r="B6" t="str">
            <v>C6</v>
          </cell>
          <cell r="C6">
            <v>35</v>
          </cell>
          <cell r="D6" t="str">
            <v>Class C</v>
          </cell>
          <cell r="E6" t="str">
            <v>HONDA</v>
          </cell>
          <cell r="F6">
            <v>165630</v>
          </cell>
          <cell r="G6">
            <v>4</v>
          </cell>
          <cell r="H6">
            <v>7</v>
          </cell>
          <cell r="I6">
            <v>1</v>
          </cell>
          <cell r="J6">
            <v>12</v>
          </cell>
          <cell r="K6">
            <v>4</v>
          </cell>
          <cell r="L6">
            <v>1987560</v>
          </cell>
          <cell r="M6">
            <v>662520</v>
          </cell>
          <cell r="N6">
            <v>0.13333333333333333</v>
          </cell>
          <cell r="O6">
            <v>8</v>
          </cell>
          <cell r="P6">
            <v>1325040</v>
          </cell>
          <cell r="Q6">
            <v>60</v>
          </cell>
          <cell r="R6">
            <v>45</v>
          </cell>
          <cell r="S6">
            <v>30</v>
          </cell>
          <cell r="T6">
            <v>75</v>
          </cell>
          <cell r="U6">
            <v>60</v>
          </cell>
          <cell r="V6">
            <v>90</v>
          </cell>
          <cell r="W6">
            <v>4</v>
          </cell>
          <cell r="X6">
            <v>10</v>
          </cell>
          <cell r="Y6">
            <v>8</v>
          </cell>
          <cell r="Z6">
            <v>12</v>
          </cell>
          <cell r="AA6" t="str">
            <v>Re-order</v>
          </cell>
        </row>
        <row r="7">
          <cell r="A7" t="str">
            <v>ADV350</v>
          </cell>
          <cell r="B7" t="str">
            <v>B18</v>
          </cell>
          <cell r="C7">
            <v>27</v>
          </cell>
          <cell r="D7" t="str">
            <v>Class B</v>
          </cell>
          <cell r="E7" t="str">
            <v>HONDA</v>
          </cell>
          <cell r="F7">
            <v>288910</v>
          </cell>
          <cell r="G7">
            <v>6</v>
          </cell>
          <cell r="H7">
            <v>4</v>
          </cell>
          <cell r="I7">
            <v>2</v>
          </cell>
          <cell r="J7">
            <v>12</v>
          </cell>
          <cell r="K7">
            <v>4</v>
          </cell>
          <cell r="L7">
            <v>3466920</v>
          </cell>
          <cell r="M7">
            <v>1155640</v>
          </cell>
          <cell r="N7">
            <v>0.13333333333333333</v>
          </cell>
          <cell r="O7">
            <v>13</v>
          </cell>
          <cell r="P7">
            <v>3755830</v>
          </cell>
          <cell r="Q7">
            <v>97.5</v>
          </cell>
          <cell r="R7">
            <v>45</v>
          </cell>
          <cell r="S7">
            <v>30</v>
          </cell>
          <cell r="T7">
            <v>75</v>
          </cell>
          <cell r="U7">
            <v>60</v>
          </cell>
          <cell r="V7">
            <v>90</v>
          </cell>
          <cell r="W7">
            <v>4</v>
          </cell>
          <cell r="X7">
            <v>10</v>
          </cell>
          <cell r="Y7">
            <v>8</v>
          </cell>
          <cell r="Z7">
            <v>12</v>
          </cell>
          <cell r="AA7" t="str">
            <v>Over</v>
          </cell>
        </row>
        <row r="8">
          <cell r="A8" t="str">
            <v>AIRBLADE 160</v>
          </cell>
          <cell r="B8" t="str">
            <v>C40</v>
          </cell>
          <cell r="C8">
            <v>69</v>
          </cell>
          <cell r="D8" t="str">
            <v>Class C</v>
          </cell>
          <cell r="E8" t="str">
            <v>HONDA</v>
          </cell>
          <cell r="F8">
            <v>118838</v>
          </cell>
          <cell r="G8">
            <v>1</v>
          </cell>
          <cell r="H8">
            <v>0</v>
          </cell>
          <cell r="I8">
            <v>1</v>
          </cell>
          <cell r="J8">
            <v>2</v>
          </cell>
          <cell r="K8">
            <v>0.66666666666666663</v>
          </cell>
          <cell r="L8">
            <v>237676</v>
          </cell>
          <cell r="M8">
            <v>79225.333333333328</v>
          </cell>
          <cell r="N8">
            <v>2.2222222222222223E-2</v>
          </cell>
          <cell r="O8">
            <v>8</v>
          </cell>
          <cell r="P8">
            <v>950704</v>
          </cell>
          <cell r="Q8">
            <v>360</v>
          </cell>
          <cell r="R8">
            <v>45</v>
          </cell>
          <cell r="S8">
            <v>30</v>
          </cell>
          <cell r="T8">
            <v>75</v>
          </cell>
          <cell r="U8">
            <v>60</v>
          </cell>
          <cell r="V8">
            <v>90</v>
          </cell>
          <cell r="W8">
            <v>0.66666666666666674</v>
          </cell>
          <cell r="X8">
            <v>1.6666666666666667</v>
          </cell>
          <cell r="Y8">
            <v>1.3333333333333335</v>
          </cell>
          <cell r="Z8">
            <v>2</v>
          </cell>
          <cell r="AA8" t="str">
            <v>Over</v>
          </cell>
        </row>
        <row r="9">
          <cell r="A9" t="str">
            <v>AVENIS125</v>
          </cell>
          <cell r="B9" t="str">
            <v>C8</v>
          </cell>
          <cell r="C9">
            <v>37</v>
          </cell>
          <cell r="D9" t="str">
            <v>Class C</v>
          </cell>
          <cell r="E9" t="str">
            <v>SUZUKI</v>
          </cell>
          <cell r="F9">
            <v>77572</v>
          </cell>
          <cell r="G9">
            <v>1</v>
          </cell>
          <cell r="H9">
            <v>8</v>
          </cell>
          <cell r="I9">
            <v>8</v>
          </cell>
          <cell r="J9">
            <v>17</v>
          </cell>
          <cell r="K9">
            <v>5.666666666666667</v>
          </cell>
          <cell r="L9">
            <v>1318724</v>
          </cell>
          <cell r="M9">
            <v>439574.66666666669</v>
          </cell>
          <cell r="N9">
            <v>0.18888888888888888</v>
          </cell>
          <cell r="O9">
            <v>30</v>
          </cell>
          <cell r="P9">
            <v>2327160</v>
          </cell>
          <cell r="Q9">
            <v>158.8235294117647</v>
          </cell>
          <cell r="R9">
            <v>45</v>
          </cell>
          <cell r="S9">
            <v>30</v>
          </cell>
          <cell r="T9">
            <v>75</v>
          </cell>
          <cell r="U9">
            <v>60</v>
          </cell>
          <cell r="V9">
            <v>90</v>
          </cell>
          <cell r="W9">
            <v>5.6666666666666661</v>
          </cell>
          <cell r="X9">
            <v>14.166666666666666</v>
          </cell>
          <cell r="Y9">
            <v>11.333333333333332</v>
          </cell>
          <cell r="Z9">
            <v>17</v>
          </cell>
          <cell r="AA9" t="str">
            <v>Over</v>
          </cell>
        </row>
        <row r="10">
          <cell r="A10" t="str">
            <v>BAJAJ RE 4S FI</v>
          </cell>
          <cell r="B10" t="str">
            <v>A3</v>
          </cell>
          <cell r="C10">
            <v>3</v>
          </cell>
          <cell r="D10" t="str">
            <v>Class A</v>
          </cell>
          <cell r="E10" t="str">
            <v>BAJAJ RE</v>
          </cell>
          <cell r="F10">
            <v>191000</v>
          </cell>
          <cell r="G10">
            <v>121</v>
          </cell>
          <cell r="H10">
            <v>127</v>
          </cell>
          <cell r="I10">
            <v>141</v>
          </cell>
          <cell r="J10">
            <v>389</v>
          </cell>
          <cell r="K10">
            <v>129.66666666666666</v>
          </cell>
          <cell r="L10">
            <v>74299000</v>
          </cell>
          <cell r="M10">
            <v>24766333.333333332</v>
          </cell>
          <cell r="N10">
            <v>4.322222222222222</v>
          </cell>
          <cell r="O10">
            <v>93</v>
          </cell>
          <cell r="P10">
            <v>17763000</v>
          </cell>
          <cell r="Q10">
            <v>21.516709511568124</v>
          </cell>
          <cell r="R10">
            <v>45</v>
          </cell>
          <cell r="S10">
            <v>30</v>
          </cell>
          <cell r="T10">
            <v>75</v>
          </cell>
          <cell r="U10">
            <v>60</v>
          </cell>
          <cell r="V10">
            <v>90</v>
          </cell>
          <cell r="W10">
            <v>129.66666666666666</v>
          </cell>
          <cell r="X10">
            <v>324.16666666666663</v>
          </cell>
          <cell r="Y10">
            <v>259.33333333333331</v>
          </cell>
          <cell r="Z10">
            <v>389</v>
          </cell>
          <cell r="AA10" t="str">
            <v>Stockout</v>
          </cell>
        </row>
        <row r="11">
          <cell r="A11" t="str">
            <v>BAJAJ RE SP. ED</v>
          </cell>
          <cell r="B11" t="str">
            <v/>
          </cell>
          <cell r="C11" t="str">
            <v/>
          </cell>
          <cell r="D11" t="str">
            <v>Class C</v>
          </cell>
          <cell r="E11" t="str">
            <v>BAJAJ RE</v>
          </cell>
          <cell r="F11">
            <v>233000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</v>
          </cell>
          <cell r="P11">
            <v>233000</v>
          </cell>
          <cell r="Q11" t="str">
            <v/>
          </cell>
          <cell r="R11">
            <v>45</v>
          </cell>
          <cell r="S11">
            <v>30</v>
          </cell>
          <cell r="T11">
            <v>75</v>
          </cell>
          <cell r="U11">
            <v>60</v>
          </cell>
          <cell r="V11">
            <v>90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 t="str">
            <v>Over</v>
          </cell>
        </row>
        <row r="12">
          <cell r="A12" t="str">
            <v>BARAKO II (DUAL START)</v>
          </cell>
          <cell r="B12" t="str">
            <v>B11</v>
          </cell>
          <cell r="C12">
            <v>20</v>
          </cell>
          <cell r="D12" t="str">
            <v>Class B</v>
          </cell>
          <cell r="E12" t="str">
            <v>KAWASAKI</v>
          </cell>
          <cell r="F12">
            <v>95530</v>
          </cell>
          <cell r="G12">
            <v>28</v>
          </cell>
          <cell r="H12">
            <v>28</v>
          </cell>
          <cell r="I12">
            <v>23</v>
          </cell>
          <cell r="J12">
            <v>79</v>
          </cell>
          <cell r="K12">
            <v>26.333333333333332</v>
          </cell>
          <cell r="L12">
            <v>7546870</v>
          </cell>
          <cell r="M12">
            <v>2515623.333333333</v>
          </cell>
          <cell r="N12">
            <v>0.87777777777777777</v>
          </cell>
          <cell r="O12">
            <v>99</v>
          </cell>
          <cell r="P12">
            <v>9457470</v>
          </cell>
          <cell r="Q12">
            <v>112.7848101265823</v>
          </cell>
          <cell r="R12">
            <v>45</v>
          </cell>
          <cell r="S12">
            <v>30</v>
          </cell>
          <cell r="T12">
            <v>75</v>
          </cell>
          <cell r="U12">
            <v>60</v>
          </cell>
          <cell r="V12">
            <v>90</v>
          </cell>
          <cell r="W12">
            <v>26.333333333333332</v>
          </cell>
          <cell r="X12">
            <v>65.833333333333329</v>
          </cell>
          <cell r="Y12">
            <v>52.666666666666664</v>
          </cell>
          <cell r="Z12">
            <v>79</v>
          </cell>
          <cell r="AA12" t="str">
            <v>Over</v>
          </cell>
        </row>
        <row r="13">
          <cell r="A13" t="str">
            <v>BARAKO II (KICK START)</v>
          </cell>
          <cell r="B13" t="str">
            <v>C13</v>
          </cell>
          <cell r="C13">
            <v>42</v>
          </cell>
          <cell r="D13" t="str">
            <v>Class C</v>
          </cell>
          <cell r="E13" t="str">
            <v>KAWASAKI</v>
          </cell>
          <cell r="F13">
            <v>91770</v>
          </cell>
          <cell r="G13">
            <v>6</v>
          </cell>
          <cell r="H13">
            <v>2</v>
          </cell>
          <cell r="I13">
            <v>4</v>
          </cell>
          <cell r="J13">
            <v>12</v>
          </cell>
          <cell r="K13">
            <v>4</v>
          </cell>
          <cell r="L13">
            <v>1101240</v>
          </cell>
          <cell r="M13">
            <v>367080</v>
          </cell>
          <cell r="N13">
            <v>0.13333333333333333</v>
          </cell>
          <cell r="O13">
            <v>34</v>
          </cell>
          <cell r="P13">
            <v>3120180</v>
          </cell>
          <cell r="Q13">
            <v>255</v>
          </cell>
          <cell r="R13">
            <v>45</v>
          </cell>
          <cell r="S13">
            <v>30</v>
          </cell>
          <cell r="T13">
            <v>75</v>
          </cell>
          <cell r="U13">
            <v>60</v>
          </cell>
          <cell r="V13">
            <v>90</v>
          </cell>
          <cell r="W13">
            <v>4</v>
          </cell>
          <cell r="X13">
            <v>10</v>
          </cell>
          <cell r="Y13">
            <v>8</v>
          </cell>
          <cell r="Z13">
            <v>12</v>
          </cell>
          <cell r="AA13" t="str">
            <v>Over</v>
          </cell>
        </row>
        <row r="14">
          <cell r="A14" t="str">
            <v>BARAKO III FI(DUAL START)</v>
          </cell>
          <cell r="B14" t="str">
            <v>C17</v>
          </cell>
          <cell r="C14">
            <v>46</v>
          </cell>
          <cell r="D14" t="str">
            <v>Class C</v>
          </cell>
          <cell r="E14" t="str">
            <v>KAWASAKI</v>
          </cell>
          <cell r="F14">
            <v>100700</v>
          </cell>
          <cell r="G14">
            <v>3</v>
          </cell>
          <cell r="H14">
            <v>0</v>
          </cell>
          <cell r="I14">
            <v>5</v>
          </cell>
          <cell r="J14">
            <v>8</v>
          </cell>
          <cell r="K14">
            <v>2.6666666666666665</v>
          </cell>
          <cell r="L14">
            <v>805600</v>
          </cell>
          <cell r="M14">
            <v>268533.33333333331</v>
          </cell>
          <cell r="N14">
            <v>8.8888888888888892E-2</v>
          </cell>
          <cell r="O14">
            <v>39</v>
          </cell>
          <cell r="P14">
            <v>3927300</v>
          </cell>
          <cell r="Q14">
            <v>438.75000000000006</v>
          </cell>
          <cell r="R14">
            <v>45</v>
          </cell>
          <cell r="S14">
            <v>30</v>
          </cell>
          <cell r="T14">
            <v>75</v>
          </cell>
          <cell r="U14">
            <v>60</v>
          </cell>
          <cell r="V14">
            <v>90</v>
          </cell>
          <cell r="W14">
            <v>2.666666666666667</v>
          </cell>
          <cell r="X14">
            <v>6.666666666666667</v>
          </cell>
          <cell r="Y14">
            <v>5.3333333333333339</v>
          </cell>
          <cell r="Z14">
            <v>8</v>
          </cell>
          <cell r="AA14" t="str">
            <v>Over</v>
          </cell>
        </row>
        <row r="15">
          <cell r="A15" t="str">
            <v>BARAKO III FI(KICK START)</v>
          </cell>
          <cell r="B15" t="str">
            <v/>
          </cell>
          <cell r="C15" t="str">
            <v/>
          </cell>
          <cell r="D15" t="str">
            <v>Class C</v>
          </cell>
          <cell r="E15" t="str">
            <v>KAWASAKI</v>
          </cell>
          <cell r="F15">
            <v>92710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1</v>
          </cell>
          <cell r="P15">
            <v>92710</v>
          </cell>
          <cell r="Q15" t="str">
            <v/>
          </cell>
          <cell r="R15">
            <v>45</v>
          </cell>
          <cell r="S15">
            <v>30</v>
          </cell>
          <cell r="T15">
            <v>75</v>
          </cell>
          <cell r="U15">
            <v>60</v>
          </cell>
          <cell r="V15">
            <v>90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 t="str">
            <v>Over</v>
          </cell>
        </row>
        <row r="16">
          <cell r="A16" t="str">
            <v>BEAT FI PREM</v>
          </cell>
          <cell r="B16" t="str">
            <v>B10</v>
          </cell>
          <cell r="C16">
            <v>19</v>
          </cell>
          <cell r="D16" t="str">
            <v>Class B</v>
          </cell>
          <cell r="E16" t="str">
            <v>HONDA</v>
          </cell>
          <cell r="F16">
            <v>72434</v>
          </cell>
          <cell r="G16">
            <v>17</v>
          </cell>
          <cell r="H16">
            <v>42</v>
          </cell>
          <cell r="I16">
            <v>53</v>
          </cell>
          <cell r="J16">
            <v>112</v>
          </cell>
          <cell r="K16">
            <v>37.333333333333336</v>
          </cell>
          <cell r="L16">
            <v>8112608</v>
          </cell>
          <cell r="M16">
            <v>2704202.666666667</v>
          </cell>
          <cell r="N16">
            <v>1.2444444444444445</v>
          </cell>
          <cell r="O16">
            <v>51</v>
          </cell>
          <cell r="P16">
            <v>3694134</v>
          </cell>
          <cell r="Q16">
            <v>40.982142857142854</v>
          </cell>
          <cell r="R16">
            <v>45</v>
          </cell>
          <cell r="S16">
            <v>30</v>
          </cell>
          <cell r="T16">
            <v>75</v>
          </cell>
          <cell r="U16">
            <v>60</v>
          </cell>
          <cell r="V16">
            <v>90</v>
          </cell>
          <cell r="W16">
            <v>37.333333333333336</v>
          </cell>
          <cell r="X16">
            <v>93.333333333333329</v>
          </cell>
          <cell r="Y16">
            <v>74.666666666666671</v>
          </cell>
          <cell r="Z16">
            <v>112</v>
          </cell>
          <cell r="AA16" t="str">
            <v>Re-order</v>
          </cell>
        </row>
        <row r="17">
          <cell r="A17" t="str">
            <v>BEAT FI STD</v>
          </cell>
          <cell r="B17" t="str">
            <v>C19</v>
          </cell>
          <cell r="C17">
            <v>48</v>
          </cell>
          <cell r="D17" t="str">
            <v>Class C</v>
          </cell>
          <cell r="E17" t="str">
            <v>HONDA</v>
          </cell>
          <cell r="F17">
            <v>70998</v>
          </cell>
          <cell r="G17">
            <v>4</v>
          </cell>
          <cell r="H17">
            <v>4</v>
          </cell>
          <cell r="I17">
            <v>3</v>
          </cell>
          <cell r="J17">
            <v>11</v>
          </cell>
          <cell r="K17">
            <v>3.6666666666666665</v>
          </cell>
          <cell r="L17">
            <v>780978</v>
          </cell>
          <cell r="M17">
            <v>260326</v>
          </cell>
          <cell r="N17">
            <v>0.12222222222222222</v>
          </cell>
          <cell r="O17">
            <v>14</v>
          </cell>
          <cell r="P17">
            <v>993972</v>
          </cell>
          <cell r="Q17">
            <v>114.54545454545455</v>
          </cell>
          <cell r="R17">
            <v>45</v>
          </cell>
          <cell r="S17">
            <v>30</v>
          </cell>
          <cell r="T17">
            <v>75</v>
          </cell>
          <cell r="U17">
            <v>60</v>
          </cell>
          <cell r="V17">
            <v>90</v>
          </cell>
          <cell r="W17">
            <v>3.6666666666666665</v>
          </cell>
          <cell r="X17">
            <v>9.1666666666666661</v>
          </cell>
          <cell r="Y17">
            <v>7.333333333333333</v>
          </cell>
          <cell r="Z17">
            <v>11</v>
          </cell>
          <cell r="AA17" t="str">
            <v>Over</v>
          </cell>
        </row>
        <row r="18">
          <cell r="A18" t="str">
            <v>BOLT150</v>
          </cell>
          <cell r="B18" t="str">
            <v>C48</v>
          </cell>
          <cell r="C18">
            <v>77</v>
          </cell>
          <cell r="D18" t="str">
            <v>Class C</v>
          </cell>
          <cell r="E18" t="str">
            <v>SKYGO</v>
          </cell>
          <cell r="F18">
            <v>98325</v>
          </cell>
          <cell r="G18">
            <v>0</v>
          </cell>
          <cell r="H18">
            <v>0</v>
          </cell>
          <cell r="I18">
            <v>1</v>
          </cell>
          <cell r="J18">
            <v>1</v>
          </cell>
          <cell r="K18">
            <v>0.33333333333333331</v>
          </cell>
          <cell r="L18">
            <v>98325</v>
          </cell>
          <cell r="M18">
            <v>32775</v>
          </cell>
          <cell r="N18">
            <v>1.1111111111111112E-2</v>
          </cell>
          <cell r="O18">
            <v>4</v>
          </cell>
          <cell r="P18">
            <v>393300</v>
          </cell>
          <cell r="Q18">
            <v>360</v>
          </cell>
          <cell r="R18">
            <v>45</v>
          </cell>
          <cell r="S18">
            <v>30</v>
          </cell>
          <cell r="T18">
            <v>75</v>
          </cell>
          <cell r="U18">
            <v>60</v>
          </cell>
          <cell r="V18">
            <v>90</v>
          </cell>
          <cell r="W18">
            <v>0.33333333333333337</v>
          </cell>
          <cell r="X18">
            <v>0.83333333333333337</v>
          </cell>
          <cell r="Y18">
            <v>0.66666666666666674</v>
          </cell>
          <cell r="Z18">
            <v>1</v>
          </cell>
          <cell r="AA18" t="str">
            <v>Over</v>
          </cell>
        </row>
        <row r="19">
          <cell r="A19" t="str">
            <v>BOXER</v>
          </cell>
          <cell r="B19" t="str">
            <v>C36</v>
          </cell>
          <cell r="C19">
            <v>65</v>
          </cell>
          <cell r="D19" t="str">
            <v>Class C</v>
          </cell>
          <cell r="E19" t="str">
            <v>KAWASAKI</v>
          </cell>
          <cell r="F19">
            <v>71560</v>
          </cell>
          <cell r="G19">
            <v>2</v>
          </cell>
          <cell r="H19">
            <v>0</v>
          </cell>
          <cell r="I19">
            <v>2</v>
          </cell>
          <cell r="J19">
            <v>4</v>
          </cell>
          <cell r="K19">
            <v>1.3333333333333333</v>
          </cell>
          <cell r="L19">
            <v>286240</v>
          </cell>
          <cell r="M19">
            <v>95413.333333333328</v>
          </cell>
          <cell r="N19">
            <v>4.4444444444444446E-2</v>
          </cell>
          <cell r="O19">
            <v>7</v>
          </cell>
          <cell r="P19">
            <v>500920</v>
          </cell>
          <cell r="Q19">
            <v>157.5</v>
          </cell>
          <cell r="R19">
            <v>45</v>
          </cell>
          <cell r="S19">
            <v>30</v>
          </cell>
          <cell r="T19">
            <v>75</v>
          </cell>
          <cell r="U19">
            <v>60</v>
          </cell>
          <cell r="V19">
            <v>90</v>
          </cell>
          <cell r="W19">
            <v>1.3333333333333335</v>
          </cell>
          <cell r="X19">
            <v>3.3333333333333335</v>
          </cell>
          <cell r="Y19">
            <v>2.666666666666667</v>
          </cell>
          <cell r="Z19">
            <v>4</v>
          </cell>
          <cell r="AA19" t="str">
            <v>Over</v>
          </cell>
        </row>
        <row r="20">
          <cell r="A20" t="str">
            <v>BRUSKY125</v>
          </cell>
          <cell r="B20" t="str">
            <v>C32</v>
          </cell>
          <cell r="C20">
            <v>61</v>
          </cell>
          <cell r="D20" t="str">
            <v>Class C</v>
          </cell>
          <cell r="E20" t="str">
            <v>KAWASAKI</v>
          </cell>
          <cell r="F20">
            <v>72500</v>
          </cell>
          <cell r="G20">
            <v>0</v>
          </cell>
          <cell r="H20">
            <v>3</v>
          </cell>
          <cell r="I20">
            <v>3</v>
          </cell>
          <cell r="J20">
            <v>6</v>
          </cell>
          <cell r="K20">
            <v>2</v>
          </cell>
          <cell r="L20">
            <v>435000</v>
          </cell>
          <cell r="M20">
            <v>145000</v>
          </cell>
          <cell r="N20">
            <v>6.6666666666666666E-2</v>
          </cell>
          <cell r="O20">
            <v>10</v>
          </cell>
          <cell r="P20">
            <v>725000</v>
          </cell>
          <cell r="Q20">
            <v>150</v>
          </cell>
          <cell r="R20">
            <v>45</v>
          </cell>
          <cell r="S20">
            <v>30</v>
          </cell>
          <cell r="T20">
            <v>75</v>
          </cell>
          <cell r="U20">
            <v>60</v>
          </cell>
          <cell r="V20">
            <v>90</v>
          </cell>
          <cell r="W20">
            <v>2</v>
          </cell>
          <cell r="X20">
            <v>5</v>
          </cell>
          <cell r="Y20">
            <v>4</v>
          </cell>
          <cell r="Z20">
            <v>6</v>
          </cell>
          <cell r="AA20" t="str">
            <v>Over</v>
          </cell>
        </row>
        <row r="21">
          <cell r="A21" t="str">
            <v>BURGMAN STREET</v>
          </cell>
          <cell r="B21" t="str">
            <v>C34</v>
          </cell>
          <cell r="C21">
            <v>63</v>
          </cell>
          <cell r="D21" t="str">
            <v>Class C</v>
          </cell>
          <cell r="E21" t="str">
            <v>SUZUKI</v>
          </cell>
          <cell r="F21">
            <v>78872</v>
          </cell>
          <cell r="G21">
            <v>1</v>
          </cell>
          <cell r="H21">
            <v>2</v>
          </cell>
          <cell r="I21">
            <v>2</v>
          </cell>
          <cell r="J21">
            <v>5</v>
          </cell>
          <cell r="K21">
            <v>1.6666666666666667</v>
          </cell>
          <cell r="L21">
            <v>394360</v>
          </cell>
          <cell r="M21">
            <v>131453.33333333334</v>
          </cell>
          <cell r="N21">
            <v>5.5555555555555552E-2</v>
          </cell>
          <cell r="O21">
            <v>4</v>
          </cell>
          <cell r="P21">
            <v>315488</v>
          </cell>
          <cell r="Q21">
            <v>72</v>
          </cell>
          <cell r="R21">
            <v>45</v>
          </cell>
          <cell r="S21">
            <v>30</v>
          </cell>
          <cell r="T21">
            <v>75</v>
          </cell>
          <cell r="U21">
            <v>60</v>
          </cell>
          <cell r="V21">
            <v>90</v>
          </cell>
          <cell r="W21">
            <v>1.6666666666666665</v>
          </cell>
          <cell r="X21">
            <v>4.1666666666666661</v>
          </cell>
          <cell r="Y21">
            <v>3.333333333333333</v>
          </cell>
          <cell r="Z21">
            <v>5</v>
          </cell>
          <cell r="AA21" t="str">
            <v>Re-order</v>
          </cell>
        </row>
        <row r="22">
          <cell r="A22" t="str">
            <v>BURGMAN STREET EX</v>
          </cell>
          <cell r="B22" t="str">
            <v>C21</v>
          </cell>
          <cell r="C22">
            <v>50</v>
          </cell>
          <cell r="D22" t="str">
            <v>Class C</v>
          </cell>
          <cell r="E22" t="str">
            <v>SUZUKI</v>
          </cell>
          <cell r="F22">
            <v>89662</v>
          </cell>
          <cell r="G22">
            <v>1</v>
          </cell>
          <cell r="H22">
            <v>4</v>
          </cell>
          <cell r="I22">
            <v>3</v>
          </cell>
          <cell r="J22">
            <v>8</v>
          </cell>
          <cell r="K22">
            <v>2.6666666666666665</v>
          </cell>
          <cell r="L22">
            <v>717296</v>
          </cell>
          <cell r="M22">
            <v>239098.66666666666</v>
          </cell>
          <cell r="N22">
            <v>8.8888888888888892E-2</v>
          </cell>
          <cell r="O22">
            <v>10</v>
          </cell>
          <cell r="P22">
            <v>896620</v>
          </cell>
          <cell r="Q22">
            <v>112.5</v>
          </cell>
          <cell r="R22">
            <v>45</v>
          </cell>
          <cell r="S22">
            <v>30</v>
          </cell>
          <cell r="T22">
            <v>75</v>
          </cell>
          <cell r="U22">
            <v>60</v>
          </cell>
          <cell r="V22">
            <v>90</v>
          </cell>
          <cell r="W22">
            <v>2.666666666666667</v>
          </cell>
          <cell r="X22">
            <v>6.666666666666667</v>
          </cell>
          <cell r="Y22">
            <v>5.3333333333333339</v>
          </cell>
          <cell r="Z22">
            <v>8</v>
          </cell>
          <cell r="AA22" t="str">
            <v>Over</v>
          </cell>
        </row>
        <row r="23">
          <cell r="A23" t="str">
            <v>BURGMAN15</v>
          </cell>
          <cell r="B23" t="str">
            <v>C18</v>
          </cell>
          <cell r="C23">
            <v>47</v>
          </cell>
          <cell r="D23" t="str">
            <v>Class C</v>
          </cell>
          <cell r="E23" t="str">
            <v>SUZUKI</v>
          </cell>
          <cell r="F23">
            <v>156250</v>
          </cell>
          <cell r="G23">
            <v>0</v>
          </cell>
          <cell r="H23">
            <v>1</v>
          </cell>
          <cell r="I23">
            <v>4</v>
          </cell>
          <cell r="J23">
            <v>5</v>
          </cell>
          <cell r="K23">
            <v>1.6666666666666667</v>
          </cell>
          <cell r="L23">
            <v>781250</v>
          </cell>
          <cell r="M23">
            <v>260416.66666666669</v>
          </cell>
          <cell r="N23">
            <v>5.5555555555555552E-2</v>
          </cell>
          <cell r="O23">
            <v>34</v>
          </cell>
          <cell r="P23">
            <v>5312500</v>
          </cell>
          <cell r="Q23">
            <v>612</v>
          </cell>
          <cell r="R23">
            <v>45</v>
          </cell>
          <cell r="S23">
            <v>30</v>
          </cell>
          <cell r="T23">
            <v>75</v>
          </cell>
          <cell r="U23">
            <v>60</v>
          </cell>
          <cell r="V23">
            <v>90</v>
          </cell>
          <cell r="W23">
            <v>1.6666666666666665</v>
          </cell>
          <cell r="X23">
            <v>4.1666666666666661</v>
          </cell>
          <cell r="Y23">
            <v>3.333333333333333</v>
          </cell>
          <cell r="Z23">
            <v>5</v>
          </cell>
          <cell r="AA23" t="str">
            <v>Over</v>
          </cell>
        </row>
        <row r="24">
          <cell r="A24" t="str">
            <v>CB150R</v>
          </cell>
          <cell r="B24" t="str">
            <v/>
          </cell>
          <cell r="C24" t="str">
            <v/>
          </cell>
          <cell r="D24" t="str">
            <v>Class C</v>
          </cell>
          <cell r="E24" t="str">
            <v>HONDA</v>
          </cell>
          <cell r="F24">
            <v>173910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 t="str">
            <v/>
          </cell>
          <cell r="R24">
            <v>45</v>
          </cell>
          <cell r="S24">
            <v>30</v>
          </cell>
          <cell r="T24">
            <v>75</v>
          </cell>
          <cell r="U24">
            <v>60</v>
          </cell>
          <cell r="V24">
            <v>90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 t="str">
            <v>Stockout</v>
          </cell>
        </row>
        <row r="25">
          <cell r="A25" t="str">
            <v>CB150X</v>
          </cell>
          <cell r="B25" t="str">
            <v/>
          </cell>
          <cell r="C25" t="str">
            <v/>
          </cell>
          <cell r="D25" t="str">
            <v>Class C</v>
          </cell>
          <cell r="E25" t="str">
            <v>HONDA</v>
          </cell>
          <cell r="F25">
            <v>156098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4</v>
          </cell>
          <cell r="P25">
            <v>624392</v>
          </cell>
          <cell r="Q25" t="str">
            <v/>
          </cell>
          <cell r="R25">
            <v>45</v>
          </cell>
          <cell r="S25">
            <v>30</v>
          </cell>
          <cell r="T25">
            <v>75</v>
          </cell>
          <cell r="U25">
            <v>60</v>
          </cell>
          <cell r="V25">
            <v>90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 t="str">
            <v>Over</v>
          </cell>
        </row>
        <row r="26">
          <cell r="A26" t="str">
            <v>CLICK125 FI</v>
          </cell>
          <cell r="B26" t="str">
            <v>A1</v>
          </cell>
          <cell r="C26">
            <v>1</v>
          </cell>
          <cell r="D26" t="str">
            <v>Class A</v>
          </cell>
          <cell r="E26" t="str">
            <v>HONDA</v>
          </cell>
          <cell r="F26">
            <v>80070</v>
          </cell>
          <cell r="G26">
            <v>574</v>
          </cell>
          <cell r="H26">
            <v>429</v>
          </cell>
          <cell r="I26">
            <v>604</v>
          </cell>
          <cell r="J26">
            <v>1607</v>
          </cell>
          <cell r="K26">
            <v>535.66666666666663</v>
          </cell>
          <cell r="L26">
            <v>128672490</v>
          </cell>
          <cell r="M26">
            <v>42890830</v>
          </cell>
          <cell r="N26">
            <v>17.855555555555554</v>
          </cell>
          <cell r="O26">
            <v>359</v>
          </cell>
          <cell r="P26">
            <v>28745130</v>
          </cell>
          <cell r="Q26">
            <v>20.105787181082761</v>
          </cell>
          <cell r="R26">
            <v>45</v>
          </cell>
          <cell r="S26">
            <v>30</v>
          </cell>
          <cell r="T26">
            <v>75</v>
          </cell>
          <cell r="U26">
            <v>60</v>
          </cell>
          <cell r="V26">
            <v>90</v>
          </cell>
          <cell r="W26">
            <v>535.66666666666663</v>
          </cell>
          <cell r="X26">
            <v>1339.1666666666665</v>
          </cell>
          <cell r="Y26">
            <v>1071.3333333333333</v>
          </cell>
          <cell r="Z26">
            <v>1607</v>
          </cell>
          <cell r="AA26" t="str">
            <v>Stockout</v>
          </cell>
        </row>
        <row r="27">
          <cell r="A27" t="str">
            <v>CLICK125 FI SE</v>
          </cell>
          <cell r="B27" t="str">
            <v>A6</v>
          </cell>
          <cell r="C27">
            <v>6</v>
          </cell>
          <cell r="D27" t="str">
            <v>Class A</v>
          </cell>
          <cell r="E27" t="str">
            <v>HONDA</v>
          </cell>
          <cell r="F27">
            <v>84394</v>
          </cell>
          <cell r="G27">
            <v>137</v>
          </cell>
          <cell r="H27">
            <v>218</v>
          </cell>
          <cell r="I27">
            <v>144</v>
          </cell>
          <cell r="J27">
            <v>499</v>
          </cell>
          <cell r="K27">
            <v>166.33333333333334</v>
          </cell>
          <cell r="L27">
            <v>42112606</v>
          </cell>
          <cell r="M27">
            <v>14037535.333333334</v>
          </cell>
          <cell r="N27">
            <v>5.5444444444444443</v>
          </cell>
          <cell r="O27">
            <v>146</v>
          </cell>
          <cell r="P27">
            <v>12321524</v>
          </cell>
          <cell r="Q27">
            <v>26.332665330661321</v>
          </cell>
          <cell r="R27">
            <v>45</v>
          </cell>
          <cell r="S27">
            <v>30</v>
          </cell>
          <cell r="T27">
            <v>75</v>
          </cell>
          <cell r="U27">
            <v>60</v>
          </cell>
          <cell r="V27">
            <v>90</v>
          </cell>
          <cell r="W27">
            <v>166.33333333333331</v>
          </cell>
          <cell r="X27">
            <v>415.83333333333331</v>
          </cell>
          <cell r="Y27">
            <v>332.66666666666663</v>
          </cell>
          <cell r="Z27">
            <v>499</v>
          </cell>
          <cell r="AA27" t="str">
            <v>Stockout</v>
          </cell>
        </row>
        <row r="28">
          <cell r="A28" t="str">
            <v>CLICK125 FI STREET</v>
          </cell>
          <cell r="B28" t="str">
            <v/>
          </cell>
          <cell r="C28" t="str">
            <v/>
          </cell>
          <cell r="D28" t="str">
            <v>Class C</v>
          </cell>
          <cell r="E28" t="str">
            <v>HONDA</v>
          </cell>
          <cell r="F28">
            <v>86510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37</v>
          </cell>
          <cell r="P28">
            <v>3200870</v>
          </cell>
          <cell r="Q28" t="str">
            <v/>
          </cell>
          <cell r="R28">
            <v>45</v>
          </cell>
          <cell r="S28">
            <v>30</v>
          </cell>
          <cell r="T28">
            <v>75</v>
          </cell>
          <cell r="U28">
            <v>60</v>
          </cell>
          <cell r="V28">
            <v>90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Over</v>
          </cell>
        </row>
        <row r="29">
          <cell r="A29" t="str">
            <v>CLICK160 FI</v>
          </cell>
          <cell r="B29" t="str">
            <v>B3</v>
          </cell>
          <cell r="C29">
            <v>12</v>
          </cell>
          <cell r="D29" t="str">
            <v>Class B</v>
          </cell>
          <cell r="E29" t="str">
            <v>HONDA</v>
          </cell>
          <cell r="F29">
            <v>111258</v>
          </cell>
          <cell r="G29">
            <v>50</v>
          </cell>
          <cell r="H29">
            <v>77</v>
          </cell>
          <cell r="I29">
            <v>82</v>
          </cell>
          <cell r="J29">
            <v>209</v>
          </cell>
          <cell r="K29">
            <v>69.666666666666671</v>
          </cell>
          <cell r="L29">
            <v>23252922</v>
          </cell>
          <cell r="M29">
            <v>7750974.0000000009</v>
          </cell>
          <cell r="N29">
            <v>2.3222222222222224</v>
          </cell>
          <cell r="O29">
            <v>96</v>
          </cell>
          <cell r="P29">
            <v>10680768</v>
          </cell>
          <cell r="Q29">
            <v>41.339712918660283</v>
          </cell>
          <cell r="R29">
            <v>45</v>
          </cell>
          <cell r="S29">
            <v>30</v>
          </cell>
          <cell r="T29">
            <v>75</v>
          </cell>
          <cell r="U29">
            <v>60</v>
          </cell>
          <cell r="V29">
            <v>90</v>
          </cell>
          <cell r="W29">
            <v>69.666666666666671</v>
          </cell>
          <cell r="X29">
            <v>174.16666666666669</v>
          </cell>
          <cell r="Y29">
            <v>139.33333333333334</v>
          </cell>
          <cell r="Z29">
            <v>209.00000000000003</v>
          </cell>
          <cell r="AA29" t="str">
            <v>Re-order</v>
          </cell>
        </row>
        <row r="30">
          <cell r="A30" t="str">
            <v>CRF125</v>
          </cell>
          <cell r="B30" t="str">
            <v/>
          </cell>
          <cell r="C30" t="str">
            <v/>
          </cell>
          <cell r="D30" t="str">
            <v>Class C</v>
          </cell>
          <cell r="E30" t="str">
            <v>HONDA</v>
          </cell>
          <cell r="F30">
            <v>178068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</v>
          </cell>
          <cell r="P30">
            <v>178068</v>
          </cell>
          <cell r="Q30" t="str">
            <v/>
          </cell>
          <cell r="R30">
            <v>45</v>
          </cell>
          <cell r="S30">
            <v>30</v>
          </cell>
          <cell r="T30">
            <v>75</v>
          </cell>
          <cell r="U30">
            <v>60</v>
          </cell>
          <cell r="V30">
            <v>90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 t="str">
            <v>Over</v>
          </cell>
        </row>
        <row r="31">
          <cell r="A31" t="str">
            <v>CRF150</v>
          </cell>
          <cell r="B31" t="str">
            <v>A5</v>
          </cell>
          <cell r="C31">
            <v>5</v>
          </cell>
          <cell r="D31" t="str">
            <v>Class A</v>
          </cell>
          <cell r="E31" t="str">
            <v>HONDA</v>
          </cell>
          <cell r="F31">
            <v>140790</v>
          </cell>
          <cell r="G31">
            <v>98</v>
          </cell>
          <cell r="H31">
            <v>76</v>
          </cell>
          <cell r="I31">
            <v>129</v>
          </cell>
          <cell r="J31">
            <v>303</v>
          </cell>
          <cell r="K31">
            <v>101</v>
          </cell>
          <cell r="L31">
            <v>42659370</v>
          </cell>
          <cell r="M31">
            <v>14219790</v>
          </cell>
          <cell r="N31">
            <v>3.3666666666666667</v>
          </cell>
          <cell r="O31">
            <v>147</v>
          </cell>
          <cell r="P31">
            <v>20696130</v>
          </cell>
          <cell r="Q31">
            <v>43.663366336633665</v>
          </cell>
          <cell r="R31">
            <v>45</v>
          </cell>
          <cell r="S31">
            <v>30</v>
          </cell>
          <cell r="T31">
            <v>75</v>
          </cell>
          <cell r="U31">
            <v>60</v>
          </cell>
          <cell r="V31">
            <v>90</v>
          </cell>
          <cell r="W31">
            <v>101</v>
          </cell>
          <cell r="X31">
            <v>252.5</v>
          </cell>
          <cell r="Y31">
            <v>202</v>
          </cell>
          <cell r="Z31">
            <v>303</v>
          </cell>
          <cell r="AA31" t="str">
            <v>Re-order</v>
          </cell>
        </row>
        <row r="32">
          <cell r="A32" t="str">
            <v>CRF150R</v>
          </cell>
          <cell r="B32" t="str">
            <v>C38</v>
          </cell>
          <cell r="C32">
            <v>67</v>
          </cell>
          <cell r="D32" t="str">
            <v>Class C</v>
          </cell>
          <cell r="E32" t="str">
            <v>HONDA</v>
          </cell>
          <cell r="F32">
            <v>284880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0.33333333333333331</v>
          </cell>
          <cell r="L32">
            <v>284880</v>
          </cell>
          <cell r="M32">
            <v>94960</v>
          </cell>
          <cell r="N32">
            <v>1.1111111111111112E-2</v>
          </cell>
          <cell r="O32">
            <v>8</v>
          </cell>
          <cell r="P32">
            <v>2279040</v>
          </cell>
          <cell r="Q32">
            <v>720</v>
          </cell>
          <cell r="R32">
            <v>45</v>
          </cell>
          <cell r="S32">
            <v>30</v>
          </cell>
          <cell r="T32">
            <v>75</v>
          </cell>
          <cell r="U32">
            <v>60</v>
          </cell>
          <cell r="V32">
            <v>90</v>
          </cell>
          <cell r="W32">
            <v>0.33333333333333337</v>
          </cell>
          <cell r="X32">
            <v>0.83333333333333337</v>
          </cell>
          <cell r="Y32">
            <v>0.66666666666666674</v>
          </cell>
          <cell r="Z32">
            <v>1</v>
          </cell>
          <cell r="AA32" t="str">
            <v>Over</v>
          </cell>
        </row>
        <row r="33">
          <cell r="A33" t="str">
            <v>CRF300</v>
          </cell>
          <cell r="B33" t="str">
            <v>B16</v>
          </cell>
          <cell r="C33">
            <v>25</v>
          </cell>
          <cell r="D33" t="str">
            <v>Class B</v>
          </cell>
          <cell r="E33" t="str">
            <v>HONDA</v>
          </cell>
          <cell r="F33">
            <v>251318</v>
          </cell>
          <cell r="G33">
            <v>2</v>
          </cell>
          <cell r="H33">
            <v>6</v>
          </cell>
          <cell r="I33">
            <v>9</v>
          </cell>
          <cell r="J33">
            <v>17</v>
          </cell>
          <cell r="K33">
            <v>5.666666666666667</v>
          </cell>
          <cell r="L33">
            <v>4272406</v>
          </cell>
          <cell r="M33">
            <v>1424135.3333333335</v>
          </cell>
          <cell r="N33">
            <v>0.18888888888888888</v>
          </cell>
          <cell r="O33">
            <v>2</v>
          </cell>
          <cell r="P33">
            <v>502636</v>
          </cell>
          <cell r="Q33">
            <v>10.588235294117647</v>
          </cell>
          <cell r="R33">
            <v>45</v>
          </cell>
          <cell r="S33">
            <v>30</v>
          </cell>
          <cell r="T33">
            <v>75</v>
          </cell>
          <cell r="U33">
            <v>60</v>
          </cell>
          <cell r="V33">
            <v>90</v>
          </cell>
          <cell r="W33">
            <v>5.6666666666666661</v>
          </cell>
          <cell r="X33">
            <v>14.166666666666666</v>
          </cell>
          <cell r="Y33">
            <v>11.333333333333332</v>
          </cell>
          <cell r="Z33">
            <v>17</v>
          </cell>
          <cell r="AA33" t="str">
            <v>Stockout</v>
          </cell>
        </row>
        <row r="34">
          <cell r="A34" t="str">
            <v>CRF300 RALLY</v>
          </cell>
          <cell r="B34" t="str">
            <v/>
          </cell>
          <cell r="C34" t="str">
            <v/>
          </cell>
          <cell r="D34" t="str">
            <v>Class C</v>
          </cell>
          <cell r="E34" t="str">
            <v>HONDA</v>
          </cell>
          <cell r="F34">
            <v>288118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5</v>
          </cell>
          <cell r="P34">
            <v>1440590</v>
          </cell>
          <cell r="Q34" t="str">
            <v/>
          </cell>
          <cell r="R34">
            <v>45</v>
          </cell>
          <cell r="S34">
            <v>30</v>
          </cell>
          <cell r="T34">
            <v>75</v>
          </cell>
          <cell r="U34">
            <v>60</v>
          </cell>
          <cell r="V34">
            <v>90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 t="str">
            <v>Over</v>
          </cell>
        </row>
        <row r="35">
          <cell r="A35" t="str">
            <v>CT100</v>
          </cell>
          <cell r="B35" t="str">
            <v>B9</v>
          </cell>
          <cell r="C35">
            <v>18</v>
          </cell>
          <cell r="D35" t="str">
            <v>Class B</v>
          </cell>
          <cell r="E35" t="str">
            <v>KAWASAKI</v>
          </cell>
          <cell r="F35">
            <v>59528</v>
          </cell>
          <cell r="G35">
            <v>50</v>
          </cell>
          <cell r="H35">
            <v>43</v>
          </cell>
          <cell r="I35">
            <v>45</v>
          </cell>
          <cell r="J35">
            <v>138</v>
          </cell>
          <cell r="K35">
            <v>46</v>
          </cell>
          <cell r="L35">
            <v>8214864</v>
          </cell>
          <cell r="M35">
            <v>2738288</v>
          </cell>
          <cell r="N35">
            <v>1.5333333333333334</v>
          </cell>
          <cell r="O35">
            <v>147</v>
          </cell>
          <cell r="P35">
            <v>8750616</v>
          </cell>
          <cell r="Q35">
            <v>95.869565217391298</v>
          </cell>
          <cell r="R35">
            <v>45</v>
          </cell>
          <cell r="S35">
            <v>30</v>
          </cell>
          <cell r="T35">
            <v>75</v>
          </cell>
          <cell r="U35">
            <v>60</v>
          </cell>
          <cell r="V35">
            <v>90</v>
          </cell>
          <cell r="W35">
            <v>46</v>
          </cell>
          <cell r="X35">
            <v>115.00000000000001</v>
          </cell>
          <cell r="Y35">
            <v>92</v>
          </cell>
          <cell r="Z35">
            <v>138</v>
          </cell>
          <cell r="AA35" t="str">
            <v>Over</v>
          </cell>
        </row>
        <row r="36">
          <cell r="A36" t="str">
            <v>CT100B</v>
          </cell>
          <cell r="B36" t="str">
            <v>C26</v>
          </cell>
          <cell r="C36">
            <v>55</v>
          </cell>
          <cell r="D36" t="str">
            <v>Class C</v>
          </cell>
          <cell r="E36" t="str">
            <v>KAWASAKI</v>
          </cell>
          <cell r="F36">
            <v>52948</v>
          </cell>
          <cell r="G36">
            <v>1</v>
          </cell>
          <cell r="H36">
            <v>4</v>
          </cell>
          <cell r="I36">
            <v>5</v>
          </cell>
          <cell r="J36">
            <v>10</v>
          </cell>
          <cell r="K36">
            <v>3.3333333333333335</v>
          </cell>
          <cell r="L36">
            <v>529480</v>
          </cell>
          <cell r="M36">
            <v>176493.33333333334</v>
          </cell>
          <cell r="N36">
            <v>0.1111111111111111</v>
          </cell>
          <cell r="O36">
            <v>42</v>
          </cell>
          <cell r="P36">
            <v>2223816</v>
          </cell>
          <cell r="Q36">
            <v>378</v>
          </cell>
          <cell r="R36">
            <v>45</v>
          </cell>
          <cell r="S36">
            <v>30</v>
          </cell>
          <cell r="T36">
            <v>75</v>
          </cell>
          <cell r="U36">
            <v>60</v>
          </cell>
          <cell r="V36">
            <v>90</v>
          </cell>
          <cell r="W36">
            <v>3.333333333333333</v>
          </cell>
          <cell r="X36">
            <v>8.3333333333333321</v>
          </cell>
          <cell r="Y36">
            <v>6.6666666666666661</v>
          </cell>
          <cell r="Z36">
            <v>10</v>
          </cell>
          <cell r="AA36" t="str">
            <v>Over</v>
          </cell>
        </row>
        <row r="37">
          <cell r="A37" t="str">
            <v>CT125</v>
          </cell>
          <cell r="B37" t="str">
            <v>A2</v>
          </cell>
          <cell r="C37">
            <v>2</v>
          </cell>
          <cell r="D37" t="str">
            <v>Class A</v>
          </cell>
          <cell r="E37" t="str">
            <v>KAWASAKI</v>
          </cell>
          <cell r="F37">
            <v>60656</v>
          </cell>
          <cell r="G37">
            <v>435</v>
          </cell>
          <cell r="H37">
            <v>551</v>
          </cell>
          <cell r="I37">
            <v>368</v>
          </cell>
          <cell r="J37">
            <v>1354</v>
          </cell>
          <cell r="K37">
            <v>451.33333333333331</v>
          </cell>
          <cell r="L37">
            <v>82128224</v>
          </cell>
          <cell r="M37">
            <v>27376074.666666664</v>
          </cell>
          <cell r="N37">
            <v>15.044444444444444</v>
          </cell>
          <cell r="O37">
            <v>812</v>
          </cell>
          <cell r="P37">
            <v>49252672</v>
          </cell>
          <cell r="Q37">
            <v>53.973412112259979</v>
          </cell>
          <cell r="R37">
            <v>45</v>
          </cell>
          <cell r="S37">
            <v>30</v>
          </cell>
          <cell r="T37">
            <v>75</v>
          </cell>
          <cell r="U37">
            <v>60</v>
          </cell>
          <cell r="V37">
            <v>90</v>
          </cell>
          <cell r="W37">
            <v>451.33333333333331</v>
          </cell>
          <cell r="X37">
            <v>1128.3333333333333</v>
          </cell>
          <cell r="Y37">
            <v>902.66666666666663</v>
          </cell>
          <cell r="Z37">
            <v>1354</v>
          </cell>
          <cell r="AA37" t="str">
            <v>Re-order</v>
          </cell>
        </row>
        <row r="38">
          <cell r="A38" t="str">
            <v>CUV e:</v>
          </cell>
          <cell r="B38" t="str">
            <v/>
          </cell>
          <cell r="C38" t="str">
            <v/>
          </cell>
          <cell r="D38" t="str">
            <v>Class C</v>
          </cell>
          <cell r="E38" t="str">
            <v>HONDA</v>
          </cell>
          <cell r="F38">
            <v>254520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1</v>
          </cell>
          <cell r="P38">
            <v>254520</v>
          </cell>
          <cell r="Q38" t="str">
            <v/>
          </cell>
          <cell r="R38">
            <v>45</v>
          </cell>
          <cell r="S38">
            <v>30</v>
          </cell>
          <cell r="T38">
            <v>75</v>
          </cell>
          <cell r="U38">
            <v>60</v>
          </cell>
          <cell r="V38">
            <v>90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 t="str">
            <v>Over</v>
          </cell>
        </row>
        <row r="39">
          <cell r="A39" t="str">
            <v>DR160</v>
          </cell>
          <cell r="B39" t="str">
            <v>C30</v>
          </cell>
          <cell r="C39">
            <v>59</v>
          </cell>
          <cell r="D39" t="str">
            <v>Class C</v>
          </cell>
          <cell r="E39" t="str">
            <v>SUZUKI</v>
          </cell>
          <cell r="F39">
            <v>122770</v>
          </cell>
          <cell r="G39">
            <v>1</v>
          </cell>
          <cell r="H39">
            <v>1</v>
          </cell>
          <cell r="I39">
            <v>2</v>
          </cell>
          <cell r="J39">
            <v>4</v>
          </cell>
          <cell r="K39">
            <v>1.3333333333333333</v>
          </cell>
          <cell r="L39">
            <v>491080</v>
          </cell>
          <cell r="M39">
            <v>163693.33333333331</v>
          </cell>
          <cell r="N39">
            <v>4.4444444444444446E-2</v>
          </cell>
          <cell r="O39">
            <v>35</v>
          </cell>
          <cell r="P39">
            <v>4296950</v>
          </cell>
          <cell r="Q39">
            <v>787.50000000000011</v>
          </cell>
          <cell r="R39">
            <v>45</v>
          </cell>
          <cell r="S39">
            <v>30</v>
          </cell>
          <cell r="T39">
            <v>75</v>
          </cell>
          <cell r="U39">
            <v>60</v>
          </cell>
          <cell r="V39">
            <v>90</v>
          </cell>
          <cell r="W39">
            <v>1.3333333333333335</v>
          </cell>
          <cell r="X39">
            <v>3.3333333333333335</v>
          </cell>
          <cell r="Y39">
            <v>2.666666666666667</v>
          </cell>
          <cell r="Z39">
            <v>4</v>
          </cell>
          <cell r="AA39" t="str">
            <v>Over</v>
          </cell>
        </row>
        <row r="40">
          <cell r="A40" t="str">
            <v>EM1 e:</v>
          </cell>
          <cell r="B40" t="str">
            <v/>
          </cell>
          <cell r="C40" t="str">
            <v/>
          </cell>
          <cell r="D40" t="str">
            <v>Class C</v>
          </cell>
          <cell r="E40" t="str">
            <v>HONDA</v>
          </cell>
          <cell r="F40">
            <v>146328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4</v>
          </cell>
          <cell r="P40">
            <v>585312</v>
          </cell>
          <cell r="Q40" t="str">
            <v/>
          </cell>
          <cell r="R40">
            <v>45</v>
          </cell>
          <cell r="S40">
            <v>30</v>
          </cell>
          <cell r="T40">
            <v>75</v>
          </cell>
          <cell r="U40">
            <v>60</v>
          </cell>
          <cell r="V40">
            <v>90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 t="str">
            <v>Over</v>
          </cell>
        </row>
        <row r="41">
          <cell r="A41" t="str">
            <v>FAZZIO</v>
          </cell>
          <cell r="B41" t="str">
            <v>C14</v>
          </cell>
          <cell r="C41">
            <v>43</v>
          </cell>
          <cell r="D41" t="str">
            <v>Class C</v>
          </cell>
          <cell r="E41" t="str">
            <v>YAMAHA</v>
          </cell>
          <cell r="F41">
            <v>86397</v>
          </cell>
          <cell r="G41">
            <v>4</v>
          </cell>
          <cell r="H41">
            <v>2</v>
          </cell>
          <cell r="I41">
            <v>5</v>
          </cell>
          <cell r="J41">
            <v>11</v>
          </cell>
          <cell r="K41">
            <v>3.6666666666666665</v>
          </cell>
          <cell r="L41">
            <v>950367</v>
          </cell>
          <cell r="M41">
            <v>316789</v>
          </cell>
          <cell r="N41">
            <v>0.12222222222222222</v>
          </cell>
          <cell r="O41">
            <v>9</v>
          </cell>
          <cell r="P41">
            <v>777573</v>
          </cell>
          <cell r="Q41">
            <v>73.63636363636364</v>
          </cell>
          <cell r="R41">
            <v>45</v>
          </cell>
          <cell r="S41">
            <v>30</v>
          </cell>
          <cell r="T41">
            <v>75</v>
          </cell>
          <cell r="U41">
            <v>60</v>
          </cell>
          <cell r="V41">
            <v>90</v>
          </cell>
          <cell r="W41">
            <v>3.6666666666666665</v>
          </cell>
          <cell r="X41">
            <v>9.1666666666666661</v>
          </cell>
          <cell r="Y41">
            <v>7.333333333333333</v>
          </cell>
          <cell r="Z41">
            <v>11</v>
          </cell>
          <cell r="AA41" t="str">
            <v>Re-order</v>
          </cell>
        </row>
        <row r="42">
          <cell r="A42" t="str">
            <v>GIORNO</v>
          </cell>
          <cell r="B42" t="str">
            <v>B19</v>
          </cell>
          <cell r="C42">
            <v>28</v>
          </cell>
          <cell r="D42" t="str">
            <v>Class B</v>
          </cell>
          <cell r="E42" t="str">
            <v>HONDA</v>
          </cell>
          <cell r="F42">
            <v>101230</v>
          </cell>
          <cell r="G42">
            <v>20</v>
          </cell>
          <cell r="H42">
            <v>3</v>
          </cell>
          <cell r="I42">
            <v>9</v>
          </cell>
          <cell r="J42">
            <v>32</v>
          </cell>
          <cell r="K42">
            <v>10.666666666666666</v>
          </cell>
          <cell r="L42">
            <v>3239360</v>
          </cell>
          <cell r="M42">
            <v>1079786.6666666665</v>
          </cell>
          <cell r="N42">
            <v>0.35555555555555557</v>
          </cell>
          <cell r="O42">
            <v>3</v>
          </cell>
          <cell r="P42">
            <v>303690</v>
          </cell>
          <cell r="Q42">
            <v>8.4375000000000018</v>
          </cell>
          <cell r="R42">
            <v>45</v>
          </cell>
          <cell r="S42">
            <v>30</v>
          </cell>
          <cell r="T42">
            <v>75</v>
          </cell>
          <cell r="U42">
            <v>60</v>
          </cell>
          <cell r="V42">
            <v>90</v>
          </cell>
          <cell r="W42">
            <v>10.666666666666668</v>
          </cell>
          <cell r="X42">
            <v>26.666666666666668</v>
          </cell>
          <cell r="Y42">
            <v>21.333333333333336</v>
          </cell>
          <cell r="Z42">
            <v>32</v>
          </cell>
          <cell r="AA42" t="str">
            <v>Stockout</v>
          </cell>
        </row>
        <row r="43">
          <cell r="A43" t="str">
            <v>GIXXER 155</v>
          </cell>
          <cell r="B43" t="str">
            <v>C42</v>
          </cell>
          <cell r="C43">
            <v>71</v>
          </cell>
          <cell r="D43" t="str">
            <v>Class C</v>
          </cell>
          <cell r="E43" t="str">
            <v>SUZUKI</v>
          </cell>
          <cell r="F43">
            <v>101752</v>
          </cell>
          <cell r="G43">
            <v>1</v>
          </cell>
          <cell r="H43">
            <v>0</v>
          </cell>
          <cell r="I43">
            <v>1</v>
          </cell>
          <cell r="J43">
            <v>2</v>
          </cell>
          <cell r="K43">
            <v>0.66666666666666663</v>
          </cell>
          <cell r="L43">
            <v>203504</v>
          </cell>
          <cell r="M43">
            <v>67834.666666666657</v>
          </cell>
          <cell r="N43">
            <v>2.2222222222222223E-2</v>
          </cell>
          <cell r="O43">
            <v>0</v>
          </cell>
          <cell r="P43">
            <v>0</v>
          </cell>
          <cell r="Q43">
            <v>0</v>
          </cell>
          <cell r="R43">
            <v>45</v>
          </cell>
          <cell r="S43">
            <v>30</v>
          </cell>
          <cell r="T43">
            <v>75</v>
          </cell>
          <cell r="U43">
            <v>60</v>
          </cell>
          <cell r="V43">
            <v>90</v>
          </cell>
          <cell r="W43">
            <v>0.66666666666666674</v>
          </cell>
          <cell r="X43">
            <v>1.6666666666666667</v>
          </cell>
          <cell r="Y43">
            <v>1.3333333333333335</v>
          </cell>
          <cell r="Z43">
            <v>2</v>
          </cell>
          <cell r="AA43" t="str">
            <v>Stockout</v>
          </cell>
        </row>
        <row r="44">
          <cell r="A44" t="str">
            <v>GIXXER 250</v>
          </cell>
          <cell r="B44" t="str">
            <v/>
          </cell>
          <cell r="C44" t="str">
            <v/>
          </cell>
          <cell r="D44" t="str">
            <v>Class C</v>
          </cell>
          <cell r="E44" t="str">
            <v>SUZUKI</v>
          </cell>
          <cell r="F44">
            <v>172897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1</v>
          </cell>
          <cell r="P44">
            <v>172897</v>
          </cell>
          <cell r="Q44" t="str">
            <v/>
          </cell>
          <cell r="R44">
            <v>45</v>
          </cell>
          <cell r="S44">
            <v>30</v>
          </cell>
          <cell r="T44">
            <v>75</v>
          </cell>
          <cell r="U44">
            <v>60</v>
          </cell>
          <cell r="V44">
            <v>90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 t="str">
            <v>Over</v>
          </cell>
        </row>
        <row r="45">
          <cell r="A45" t="str">
            <v>GIXXER SF 250</v>
          </cell>
          <cell r="B45" t="str">
            <v/>
          </cell>
          <cell r="C45" t="str">
            <v/>
          </cell>
          <cell r="D45" t="str">
            <v>Class C</v>
          </cell>
          <cell r="E45" t="str">
            <v>SUZUKI</v>
          </cell>
          <cell r="F45">
            <v>182197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 t="str">
            <v/>
          </cell>
          <cell r="R45">
            <v>45</v>
          </cell>
          <cell r="S45">
            <v>30</v>
          </cell>
          <cell r="T45">
            <v>75</v>
          </cell>
          <cell r="U45">
            <v>60</v>
          </cell>
          <cell r="V45">
            <v>90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 t="str">
            <v>Stockout</v>
          </cell>
        </row>
        <row r="46">
          <cell r="A46" t="str">
            <v>KING</v>
          </cell>
          <cell r="B46" t="str">
            <v>C49</v>
          </cell>
          <cell r="C46">
            <v>78</v>
          </cell>
          <cell r="D46" t="str">
            <v>Class C</v>
          </cell>
          <cell r="E46" t="str">
            <v>SKYGO</v>
          </cell>
          <cell r="F46">
            <v>36765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0.33333333333333331</v>
          </cell>
          <cell r="L46">
            <v>36765</v>
          </cell>
          <cell r="M46">
            <v>12255</v>
          </cell>
          <cell r="N46">
            <v>1.1111111111111112E-2</v>
          </cell>
          <cell r="O46">
            <v>2</v>
          </cell>
          <cell r="P46">
            <v>73530</v>
          </cell>
          <cell r="Q46">
            <v>180</v>
          </cell>
          <cell r="R46">
            <v>45</v>
          </cell>
          <cell r="S46">
            <v>30</v>
          </cell>
          <cell r="T46">
            <v>75</v>
          </cell>
          <cell r="U46">
            <v>60</v>
          </cell>
          <cell r="V46">
            <v>90</v>
          </cell>
          <cell r="W46">
            <v>0.33333333333333337</v>
          </cell>
          <cell r="X46">
            <v>0.83333333333333337</v>
          </cell>
          <cell r="Y46">
            <v>0.66666666666666674</v>
          </cell>
          <cell r="Z46">
            <v>1</v>
          </cell>
          <cell r="AA46" t="str">
            <v>Over</v>
          </cell>
        </row>
        <row r="47">
          <cell r="A47" t="str">
            <v>KLX140</v>
          </cell>
          <cell r="B47" t="str">
            <v/>
          </cell>
          <cell r="C47" t="str">
            <v/>
          </cell>
          <cell r="D47" t="str">
            <v>Class C</v>
          </cell>
          <cell r="E47" t="str">
            <v>KAWASAKI</v>
          </cell>
          <cell r="F47">
            <v>154280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 t="str">
            <v/>
          </cell>
          <cell r="R47">
            <v>45</v>
          </cell>
          <cell r="S47">
            <v>30</v>
          </cell>
          <cell r="T47">
            <v>75</v>
          </cell>
          <cell r="U47">
            <v>60</v>
          </cell>
          <cell r="V47">
            <v>90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 t="str">
            <v>Stockout</v>
          </cell>
        </row>
        <row r="48">
          <cell r="A48" t="str">
            <v>KLX150</v>
          </cell>
          <cell r="B48" t="str">
            <v>B2</v>
          </cell>
          <cell r="C48">
            <v>11</v>
          </cell>
          <cell r="D48" t="str">
            <v>Class B</v>
          </cell>
          <cell r="E48" t="str">
            <v>KAWASAKI</v>
          </cell>
          <cell r="F48">
            <v>131626</v>
          </cell>
          <cell r="G48">
            <v>66</v>
          </cell>
          <cell r="H48">
            <v>52</v>
          </cell>
          <cell r="I48">
            <v>59</v>
          </cell>
          <cell r="J48">
            <v>177</v>
          </cell>
          <cell r="K48">
            <v>59</v>
          </cell>
          <cell r="L48">
            <v>23297802</v>
          </cell>
          <cell r="M48">
            <v>7765934</v>
          </cell>
          <cell r="N48">
            <v>1.9666666666666666</v>
          </cell>
          <cell r="O48">
            <v>80</v>
          </cell>
          <cell r="P48">
            <v>10530080</v>
          </cell>
          <cell r="Q48">
            <v>40.677966101694913</v>
          </cell>
          <cell r="R48">
            <v>45</v>
          </cell>
          <cell r="S48">
            <v>30</v>
          </cell>
          <cell r="T48">
            <v>75</v>
          </cell>
          <cell r="U48">
            <v>60</v>
          </cell>
          <cell r="V48">
            <v>90</v>
          </cell>
          <cell r="W48">
            <v>59</v>
          </cell>
          <cell r="X48">
            <v>147.5</v>
          </cell>
          <cell r="Y48">
            <v>118</v>
          </cell>
          <cell r="Z48">
            <v>177</v>
          </cell>
          <cell r="AA48" t="str">
            <v>Re-order</v>
          </cell>
        </row>
        <row r="49">
          <cell r="A49" t="str">
            <v>KLX300</v>
          </cell>
          <cell r="B49" t="str">
            <v/>
          </cell>
          <cell r="C49" t="str">
            <v/>
          </cell>
          <cell r="D49" t="str">
            <v>Class C</v>
          </cell>
          <cell r="E49" t="str">
            <v>KAWASAKI</v>
          </cell>
          <cell r="F49">
            <v>134000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</v>
          </cell>
          <cell r="P49">
            <v>134000</v>
          </cell>
          <cell r="Q49" t="str">
            <v/>
          </cell>
          <cell r="R49">
            <v>45</v>
          </cell>
          <cell r="S49">
            <v>30</v>
          </cell>
          <cell r="T49">
            <v>75</v>
          </cell>
          <cell r="U49">
            <v>60</v>
          </cell>
          <cell r="V49">
            <v>90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 t="str">
            <v>Over</v>
          </cell>
        </row>
        <row r="50">
          <cell r="A50" t="str">
            <v>LANCE150</v>
          </cell>
          <cell r="B50" t="str">
            <v/>
          </cell>
          <cell r="C50" t="str">
            <v/>
          </cell>
          <cell r="D50" t="str">
            <v>Class C</v>
          </cell>
          <cell r="E50" t="str">
            <v>SKYGO</v>
          </cell>
          <cell r="F50">
            <v>98325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7</v>
          </cell>
          <cell r="P50">
            <v>688275</v>
          </cell>
          <cell r="Q50" t="str">
            <v/>
          </cell>
          <cell r="R50">
            <v>45</v>
          </cell>
          <cell r="S50">
            <v>30</v>
          </cell>
          <cell r="T50">
            <v>75</v>
          </cell>
          <cell r="U50">
            <v>60</v>
          </cell>
          <cell r="V50">
            <v>90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 t="str">
            <v>Over</v>
          </cell>
        </row>
        <row r="51">
          <cell r="A51" t="str">
            <v>LEXI 155</v>
          </cell>
          <cell r="B51" t="str">
            <v>C25</v>
          </cell>
          <cell r="C51">
            <v>54</v>
          </cell>
          <cell r="D51" t="str">
            <v>Class C</v>
          </cell>
          <cell r="E51" t="str">
            <v>YAMAHA</v>
          </cell>
          <cell r="F51">
            <v>92907</v>
          </cell>
          <cell r="G51">
            <v>1</v>
          </cell>
          <cell r="H51">
            <v>4</v>
          </cell>
          <cell r="I51">
            <v>1</v>
          </cell>
          <cell r="J51">
            <v>6</v>
          </cell>
          <cell r="K51">
            <v>2</v>
          </cell>
          <cell r="L51">
            <v>557442</v>
          </cell>
          <cell r="M51">
            <v>185814</v>
          </cell>
          <cell r="N51">
            <v>6.6666666666666666E-2</v>
          </cell>
          <cell r="O51">
            <v>16</v>
          </cell>
          <cell r="P51">
            <v>1486512</v>
          </cell>
          <cell r="Q51">
            <v>240</v>
          </cell>
          <cell r="R51">
            <v>45</v>
          </cell>
          <cell r="S51">
            <v>30</v>
          </cell>
          <cell r="T51">
            <v>75</v>
          </cell>
          <cell r="U51">
            <v>60</v>
          </cell>
          <cell r="V51">
            <v>90</v>
          </cell>
          <cell r="W51">
            <v>2</v>
          </cell>
          <cell r="X51">
            <v>5</v>
          </cell>
          <cell r="Y51">
            <v>4</v>
          </cell>
          <cell r="Z51">
            <v>6</v>
          </cell>
          <cell r="AA51" t="str">
            <v>Over</v>
          </cell>
        </row>
        <row r="52">
          <cell r="A52" t="str">
            <v>MAXIMA CARGO</v>
          </cell>
          <cell r="B52" t="str">
            <v>C31</v>
          </cell>
          <cell r="C52">
            <v>60</v>
          </cell>
          <cell r="D52" t="str">
            <v>Class C</v>
          </cell>
          <cell r="E52" t="str">
            <v>BAJAJ RE</v>
          </cell>
          <cell r="F52">
            <v>221800</v>
          </cell>
          <cell r="G52">
            <v>2</v>
          </cell>
          <cell r="H52">
            <v>0</v>
          </cell>
          <cell r="I52">
            <v>0</v>
          </cell>
          <cell r="J52">
            <v>2</v>
          </cell>
          <cell r="K52">
            <v>0.66666666666666663</v>
          </cell>
          <cell r="L52">
            <v>443600</v>
          </cell>
          <cell r="M52">
            <v>147866.66666666666</v>
          </cell>
          <cell r="N52">
            <v>2.2222222222222223E-2</v>
          </cell>
          <cell r="O52">
            <v>2</v>
          </cell>
          <cell r="P52">
            <v>443600</v>
          </cell>
          <cell r="Q52">
            <v>90</v>
          </cell>
          <cell r="R52">
            <v>45</v>
          </cell>
          <cell r="S52">
            <v>30</v>
          </cell>
          <cell r="T52">
            <v>75</v>
          </cell>
          <cell r="U52">
            <v>60</v>
          </cell>
          <cell r="V52">
            <v>90</v>
          </cell>
          <cell r="W52">
            <v>0.66666666666666674</v>
          </cell>
          <cell r="X52">
            <v>1.6666666666666667</v>
          </cell>
          <cell r="Y52">
            <v>1.3333333333333335</v>
          </cell>
          <cell r="Z52">
            <v>2</v>
          </cell>
          <cell r="AA52" t="str">
            <v/>
          </cell>
        </row>
        <row r="53">
          <cell r="A53" t="str">
            <v>MAXIMA Z</v>
          </cell>
          <cell r="B53" t="str">
            <v>C12</v>
          </cell>
          <cell r="C53">
            <v>41</v>
          </cell>
          <cell r="D53" t="str">
            <v>Class C</v>
          </cell>
          <cell r="E53" t="str">
            <v>BAJAJ RE</v>
          </cell>
          <cell r="F53">
            <v>225800</v>
          </cell>
          <cell r="G53">
            <v>1</v>
          </cell>
          <cell r="H53">
            <v>1</v>
          </cell>
          <cell r="I53">
            <v>3</v>
          </cell>
          <cell r="J53">
            <v>5</v>
          </cell>
          <cell r="K53">
            <v>1.6666666666666667</v>
          </cell>
          <cell r="L53">
            <v>1129000</v>
          </cell>
          <cell r="M53">
            <v>376333.33333333337</v>
          </cell>
          <cell r="N53">
            <v>5.5555555555555552E-2</v>
          </cell>
          <cell r="O53">
            <v>1</v>
          </cell>
          <cell r="P53">
            <v>225800</v>
          </cell>
          <cell r="Q53">
            <v>18</v>
          </cell>
          <cell r="R53">
            <v>45</v>
          </cell>
          <cell r="S53">
            <v>30</v>
          </cell>
          <cell r="T53">
            <v>75</v>
          </cell>
          <cell r="U53">
            <v>60</v>
          </cell>
          <cell r="V53">
            <v>90</v>
          </cell>
          <cell r="W53">
            <v>1.6666666666666665</v>
          </cell>
          <cell r="X53">
            <v>4.1666666666666661</v>
          </cell>
          <cell r="Y53">
            <v>3.333333333333333</v>
          </cell>
          <cell r="Z53">
            <v>5</v>
          </cell>
          <cell r="AA53" t="str">
            <v>Stockout</v>
          </cell>
        </row>
        <row r="54">
          <cell r="A54" t="str">
            <v>MIO AEROX 155</v>
          </cell>
          <cell r="B54" t="str">
            <v>B1</v>
          </cell>
          <cell r="C54">
            <v>10</v>
          </cell>
          <cell r="D54" t="str">
            <v>Class B</v>
          </cell>
          <cell r="E54" t="str">
            <v>YAMAHA</v>
          </cell>
          <cell r="F54">
            <v>124527</v>
          </cell>
          <cell r="G54">
            <v>86</v>
          </cell>
          <cell r="H54">
            <v>71</v>
          </cell>
          <cell r="I54">
            <v>37</v>
          </cell>
          <cell r="J54">
            <v>194</v>
          </cell>
          <cell r="K54">
            <v>64.666666666666671</v>
          </cell>
          <cell r="L54">
            <v>24158238</v>
          </cell>
          <cell r="M54">
            <v>8052746.0000000009</v>
          </cell>
          <cell r="N54">
            <v>2.1555555555555554</v>
          </cell>
          <cell r="O54">
            <v>11</v>
          </cell>
          <cell r="P54">
            <v>1369797</v>
          </cell>
          <cell r="Q54">
            <v>5.1030927835051543</v>
          </cell>
          <cell r="R54">
            <v>45</v>
          </cell>
          <cell r="S54">
            <v>30</v>
          </cell>
          <cell r="T54">
            <v>75</v>
          </cell>
          <cell r="U54">
            <v>60</v>
          </cell>
          <cell r="V54">
            <v>90</v>
          </cell>
          <cell r="W54">
            <v>64.666666666666657</v>
          </cell>
          <cell r="X54">
            <v>161.66666666666666</v>
          </cell>
          <cell r="Y54">
            <v>129.33333333333331</v>
          </cell>
          <cell r="Z54">
            <v>194</v>
          </cell>
          <cell r="AA54" t="str">
            <v>Stockout</v>
          </cell>
        </row>
        <row r="55">
          <cell r="A55" t="str">
            <v>MIO AEROX S 155</v>
          </cell>
          <cell r="B55" t="str">
            <v>B6</v>
          </cell>
          <cell r="C55">
            <v>15</v>
          </cell>
          <cell r="D55" t="str">
            <v>Class B</v>
          </cell>
          <cell r="E55" t="str">
            <v>YAMAHA</v>
          </cell>
          <cell r="F55">
            <v>152892</v>
          </cell>
          <cell r="G55">
            <v>12</v>
          </cell>
          <cell r="H55">
            <v>21</v>
          </cell>
          <cell r="I55">
            <v>35</v>
          </cell>
          <cell r="J55">
            <v>68</v>
          </cell>
          <cell r="K55">
            <v>22.666666666666668</v>
          </cell>
          <cell r="L55">
            <v>10396656</v>
          </cell>
          <cell r="M55">
            <v>3465552</v>
          </cell>
          <cell r="N55">
            <v>0.75555555555555554</v>
          </cell>
          <cell r="O55">
            <v>79</v>
          </cell>
          <cell r="P55">
            <v>12078468</v>
          </cell>
          <cell r="Q55">
            <v>104.55882352941177</v>
          </cell>
          <cell r="R55">
            <v>45</v>
          </cell>
          <cell r="S55">
            <v>30</v>
          </cell>
          <cell r="T55">
            <v>75</v>
          </cell>
          <cell r="U55">
            <v>60</v>
          </cell>
          <cell r="V55">
            <v>90</v>
          </cell>
          <cell r="W55">
            <v>22.666666666666664</v>
          </cell>
          <cell r="X55">
            <v>56.666666666666664</v>
          </cell>
          <cell r="Y55">
            <v>45.333333333333329</v>
          </cell>
          <cell r="Z55">
            <v>68</v>
          </cell>
          <cell r="AA55" t="str">
            <v>Over</v>
          </cell>
        </row>
        <row r="56">
          <cell r="A56" t="str">
            <v>MIO GEAR</v>
          </cell>
          <cell r="B56" t="str">
            <v>C15</v>
          </cell>
          <cell r="C56">
            <v>44</v>
          </cell>
          <cell r="D56" t="str">
            <v>Class C</v>
          </cell>
          <cell r="E56" t="str">
            <v>YAMAHA</v>
          </cell>
          <cell r="F56">
            <v>73842</v>
          </cell>
          <cell r="G56">
            <v>7</v>
          </cell>
          <cell r="H56">
            <v>3</v>
          </cell>
          <cell r="I56">
            <v>2</v>
          </cell>
          <cell r="J56">
            <v>12</v>
          </cell>
          <cell r="K56">
            <v>4</v>
          </cell>
          <cell r="L56">
            <v>886104</v>
          </cell>
          <cell r="M56">
            <v>295368</v>
          </cell>
          <cell r="N56">
            <v>0.13333333333333333</v>
          </cell>
          <cell r="O56">
            <v>9</v>
          </cell>
          <cell r="P56">
            <v>664578</v>
          </cell>
          <cell r="Q56">
            <v>67.5</v>
          </cell>
          <cell r="R56">
            <v>45</v>
          </cell>
          <cell r="S56">
            <v>30</v>
          </cell>
          <cell r="T56">
            <v>75</v>
          </cell>
          <cell r="U56">
            <v>60</v>
          </cell>
          <cell r="V56">
            <v>90</v>
          </cell>
          <cell r="W56">
            <v>4</v>
          </cell>
          <cell r="X56">
            <v>10</v>
          </cell>
          <cell r="Y56">
            <v>8</v>
          </cell>
          <cell r="Z56">
            <v>12</v>
          </cell>
          <cell r="AA56" t="str">
            <v>Re-order</v>
          </cell>
        </row>
        <row r="57">
          <cell r="A57" t="str">
            <v>MIO GEAR S</v>
          </cell>
          <cell r="B57" t="str">
            <v>C5</v>
          </cell>
          <cell r="C57">
            <v>34</v>
          </cell>
          <cell r="D57" t="str">
            <v>Class C</v>
          </cell>
          <cell r="E57" t="str">
            <v>YAMAHA</v>
          </cell>
          <cell r="F57">
            <v>76167</v>
          </cell>
          <cell r="G57">
            <v>1</v>
          </cell>
          <cell r="H57">
            <v>12</v>
          </cell>
          <cell r="I57">
            <v>14</v>
          </cell>
          <cell r="J57">
            <v>27</v>
          </cell>
          <cell r="K57">
            <v>9</v>
          </cell>
          <cell r="L57">
            <v>2056509</v>
          </cell>
          <cell r="M57">
            <v>685503</v>
          </cell>
          <cell r="N57">
            <v>0.3</v>
          </cell>
          <cell r="O57">
            <v>26</v>
          </cell>
          <cell r="P57">
            <v>1980342</v>
          </cell>
          <cell r="Q57">
            <v>86.666666666666671</v>
          </cell>
          <cell r="R57">
            <v>45</v>
          </cell>
          <cell r="S57">
            <v>30</v>
          </cell>
          <cell r="T57">
            <v>75</v>
          </cell>
          <cell r="U57">
            <v>60</v>
          </cell>
          <cell r="V57">
            <v>90</v>
          </cell>
          <cell r="W57">
            <v>9</v>
          </cell>
          <cell r="X57">
            <v>22.5</v>
          </cell>
          <cell r="Y57">
            <v>18</v>
          </cell>
          <cell r="Z57">
            <v>27</v>
          </cell>
          <cell r="AA57" t="str">
            <v/>
          </cell>
        </row>
        <row r="58">
          <cell r="A58" t="str">
            <v>MIO GRAVIS</v>
          </cell>
          <cell r="B58" t="str">
            <v>C3</v>
          </cell>
          <cell r="C58">
            <v>32</v>
          </cell>
          <cell r="D58" t="str">
            <v>Class C</v>
          </cell>
          <cell r="E58" t="str">
            <v>YAMAHA</v>
          </cell>
          <cell r="F58">
            <v>78957</v>
          </cell>
          <cell r="G58">
            <v>15</v>
          </cell>
          <cell r="H58">
            <v>10</v>
          </cell>
          <cell r="I58">
            <v>7</v>
          </cell>
          <cell r="J58">
            <v>32</v>
          </cell>
          <cell r="K58">
            <v>10.666666666666666</v>
          </cell>
          <cell r="L58">
            <v>2526624</v>
          </cell>
          <cell r="M58">
            <v>842208</v>
          </cell>
          <cell r="N58">
            <v>0.35555555555555557</v>
          </cell>
          <cell r="O58">
            <v>42</v>
          </cell>
          <cell r="P58">
            <v>3316194</v>
          </cell>
          <cell r="Q58">
            <v>118.125</v>
          </cell>
          <cell r="R58">
            <v>45</v>
          </cell>
          <cell r="S58">
            <v>30</v>
          </cell>
          <cell r="T58">
            <v>75</v>
          </cell>
          <cell r="U58">
            <v>60</v>
          </cell>
          <cell r="V58">
            <v>90</v>
          </cell>
          <cell r="W58">
            <v>10.666666666666668</v>
          </cell>
          <cell r="X58">
            <v>26.666666666666668</v>
          </cell>
          <cell r="Y58">
            <v>21.333333333333336</v>
          </cell>
          <cell r="Z58">
            <v>32</v>
          </cell>
          <cell r="AA58" t="str">
            <v>Over</v>
          </cell>
        </row>
        <row r="59">
          <cell r="A59" t="str">
            <v>MIO SPORTY</v>
          </cell>
          <cell r="B59" t="str">
            <v/>
          </cell>
          <cell r="C59" t="str">
            <v/>
          </cell>
          <cell r="D59" t="str">
            <v>Class C</v>
          </cell>
          <cell r="E59" t="str">
            <v>YAMAHA</v>
          </cell>
          <cell r="F59">
            <v>68727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2</v>
          </cell>
          <cell r="P59">
            <v>137454</v>
          </cell>
          <cell r="Q59" t="str">
            <v/>
          </cell>
          <cell r="R59">
            <v>45</v>
          </cell>
          <cell r="S59">
            <v>30</v>
          </cell>
          <cell r="T59">
            <v>75</v>
          </cell>
          <cell r="U59">
            <v>60</v>
          </cell>
          <cell r="V59">
            <v>90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 t="str">
            <v>Over</v>
          </cell>
        </row>
        <row r="60">
          <cell r="A60" t="str">
            <v>MIO i125</v>
          </cell>
          <cell r="B60" t="str">
            <v>B12</v>
          </cell>
          <cell r="C60">
            <v>21</v>
          </cell>
          <cell r="D60" t="str">
            <v>Class B</v>
          </cell>
          <cell r="E60" t="str">
            <v>YAMAHA</v>
          </cell>
          <cell r="F60">
            <v>70587</v>
          </cell>
          <cell r="G60">
            <v>33</v>
          </cell>
          <cell r="H60">
            <v>40</v>
          </cell>
          <cell r="I60">
            <v>22</v>
          </cell>
          <cell r="J60">
            <v>95</v>
          </cell>
          <cell r="K60">
            <v>31.666666666666668</v>
          </cell>
          <cell r="L60">
            <v>6705765</v>
          </cell>
          <cell r="M60">
            <v>2235255</v>
          </cell>
          <cell r="N60">
            <v>1.0555555555555556</v>
          </cell>
          <cell r="O60">
            <v>46</v>
          </cell>
          <cell r="P60">
            <v>3247002</v>
          </cell>
          <cell r="Q60">
            <v>43.578947368421055</v>
          </cell>
          <cell r="R60">
            <v>45</v>
          </cell>
          <cell r="S60">
            <v>30</v>
          </cell>
          <cell r="T60">
            <v>75</v>
          </cell>
          <cell r="U60">
            <v>60</v>
          </cell>
          <cell r="V60">
            <v>90</v>
          </cell>
          <cell r="W60">
            <v>31.666666666666668</v>
          </cell>
          <cell r="X60">
            <v>79.166666666666671</v>
          </cell>
          <cell r="Y60">
            <v>63.333333333333336</v>
          </cell>
          <cell r="Z60">
            <v>95</v>
          </cell>
          <cell r="AA60" t="str">
            <v>Re-order</v>
          </cell>
        </row>
        <row r="61">
          <cell r="A61" t="str">
            <v>MIO i125s</v>
          </cell>
          <cell r="B61" t="str">
            <v>C35</v>
          </cell>
          <cell r="C61">
            <v>64</v>
          </cell>
          <cell r="D61" t="str">
            <v>Class C</v>
          </cell>
          <cell r="E61" t="str">
            <v>YAMAHA</v>
          </cell>
          <cell r="F61">
            <v>74772</v>
          </cell>
          <cell r="G61">
            <v>2</v>
          </cell>
          <cell r="H61">
            <v>2</v>
          </cell>
          <cell r="I61">
            <v>0</v>
          </cell>
          <cell r="J61">
            <v>4</v>
          </cell>
          <cell r="K61">
            <v>1.3333333333333333</v>
          </cell>
          <cell r="L61">
            <v>299088</v>
          </cell>
          <cell r="M61">
            <v>99696</v>
          </cell>
          <cell r="N61">
            <v>4.4444444444444446E-2</v>
          </cell>
          <cell r="O61">
            <v>4</v>
          </cell>
          <cell r="P61">
            <v>299088</v>
          </cell>
          <cell r="Q61">
            <v>90</v>
          </cell>
          <cell r="R61">
            <v>45</v>
          </cell>
          <cell r="S61">
            <v>30</v>
          </cell>
          <cell r="T61">
            <v>75</v>
          </cell>
          <cell r="U61">
            <v>60</v>
          </cell>
          <cell r="V61">
            <v>90</v>
          </cell>
          <cell r="W61">
            <v>1.3333333333333335</v>
          </cell>
          <cell r="X61">
            <v>3.3333333333333335</v>
          </cell>
          <cell r="Y61">
            <v>2.666666666666667</v>
          </cell>
          <cell r="Z61">
            <v>4</v>
          </cell>
          <cell r="AA61" t="str">
            <v/>
          </cell>
        </row>
        <row r="62">
          <cell r="A62" t="str">
            <v>MT-03</v>
          </cell>
          <cell r="B62" t="str">
            <v/>
          </cell>
          <cell r="C62" t="str">
            <v/>
          </cell>
          <cell r="D62" t="str">
            <v>Class C</v>
          </cell>
          <cell r="E62" t="str">
            <v>YAMAHA</v>
          </cell>
          <cell r="F62">
            <v>236220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1</v>
          </cell>
          <cell r="P62">
            <v>236220</v>
          </cell>
          <cell r="Q62" t="str">
            <v/>
          </cell>
          <cell r="R62">
            <v>45</v>
          </cell>
          <cell r="S62">
            <v>30</v>
          </cell>
          <cell r="T62">
            <v>75</v>
          </cell>
          <cell r="U62">
            <v>60</v>
          </cell>
          <cell r="V62">
            <v>90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 t="str">
            <v>Over</v>
          </cell>
        </row>
        <row r="63">
          <cell r="A63" t="str">
            <v>NAVI</v>
          </cell>
          <cell r="B63" t="str">
            <v>B13</v>
          </cell>
          <cell r="C63">
            <v>22</v>
          </cell>
          <cell r="D63" t="str">
            <v>Class B</v>
          </cell>
          <cell r="E63" t="str">
            <v>HONDA</v>
          </cell>
          <cell r="F63">
            <v>57990</v>
          </cell>
          <cell r="G63">
            <v>19</v>
          </cell>
          <cell r="H63">
            <v>37</v>
          </cell>
          <cell r="I63">
            <v>31</v>
          </cell>
          <cell r="J63">
            <v>87</v>
          </cell>
          <cell r="K63">
            <v>29</v>
          </cell>
          <cell r="L63">
            <v>5045130</v>
          </cell>
          <cell r="M63">
            <v>1681710</v>
          </cell>
          <cell r="N63">
            <v>0.96666666666666667</v>
          </cell>
          <cell r="O63">
            <v>66</v>
          </cell>
          <cell r="P63">
            <v>3827340</v>
          </cell>
          <cell r="Q63">
            <v>68.275862068965523</v>
          </cell>
          <cell r="R63">
            <v>45</v>
          </cell>
          <cell r="S63">
            <v>30</v>
          </cell>
          <cell r="T63">
            <v>75</v>
          </cell>
          <cell r="U63">
            <v>60</v>
          </cell>
          <cell r="V63">
            <v>90</v>
          </cell>
          <cell r="W63">
            <v>29</v>
          </cell>
          <cell r="X63">
            <v>72.5</v>
          </cell>
          <cell r="Y63">
            <v>58</v>
          </cell>
          <cell r="Z63">
            <v>87</v>
          </cell>
          <cell r="AA63" t="str">
            <v>Re-order</v>
          </cell>
        </row>
        <row r="64">
          <cell r="A64" t="str">
            <v>NMAX155 FI ABS</v>
          </cell>
          <cell r="B64" t="str">
            <v>A7</v>
          </cell>
          <cell r="C64">
            <v>7</v>
          </cell>
          <cell r="D64" t="str">
            <v>Class A</v>
          </cell>
          <cell r="E64" t="str">
            <v>YAMAHA</v>
          </cell>
          <cell r="F64">
            <v>147312</v>
          </cell>
          <cell r="G64">
            <v>80</v>
          </cell>
          <cell r="H64">
            <v>87</v>
          </cell>
          <cell r="I64">
            <v>106</v>
          </cell>
          <cell r="J64">
            <v>273</v>
          </cell>
          <cell r="K64">
            <v>91</v>
          </cell>
          <cell r="L64">
            <v>40216176</v>
          </cell>
          <cell r="M64">
            <v>13405392</v>
          </cell>
          <cell r="N64">
            <v>3.0333333333333332</v>
          </cell>
          <cell r="O64">
            <v>25</v>
          </cell>
          <cell r="P64">
            <v>3682800</v>
          </cell>
          <cell r="Q64">
            <v>8.2417582417582427</v>
          </cell>
          <cell r="R64">
            <v>45</v>
          </cell>
          <cell r="S64">
            <v>30</v>
          </cell>
          <cell r="T64">
            <v>75</v>
          </cell>
          <cell r="U64">
            <v>60</v>
          </cell>
          <cell r="V64">
            <v>90</v>
          </cell>
          <cell r="W64">
            <v>91</v>
          </cell>
          <cell r="X64">
            <v>227.5</v>
          </cell>
          <cell r="Y64">
            <v>182</v>
          </cell>
          <cell r="Z64">
            <v>273</v>
          </cell>
          <cell r="AA64" t="str">
            <v>Stockout</v>
          </cell>
        </row>
        <row r="65">
          <cell r="A65" t="str">
            <v>NMAX155 TECHMAX</v>
          </cell>
          <cell r="B65" t="str">
            <v>B8</v>
          </cell>
          <cell r="C65">
            <v>17</v>
          </cell>
          <cell r="D65" t="str">
            <v>Class B</v>
          </cell>
          <cell r="E65" t="str">
            <v>YAMAHA</v>
          </cell>
          <cell r="F65">
            <v>165912</v>
          </cell>
          <cell r="G65">
            <v>24</v>
          </cell>
          <cell r="H65">
            <v>12</v>
          </cell>
          <cell r="I65">
            <v>15</v>
          </cell>
          <cell r="J65">
            <v>51</v>
          </cell>
          <cell r="K65">
            <v>17</v>
          </cell>
          <cell r="L65">
            <v>8461512</v>
          </cell>
          <cell r="M65">
            <v>2820504</v>
          </cell>
          <cell r="N65">
            <v>0.56666666666666665</v>
          </cell>
          <cell r="O65">
            <v>6</v>
          </cell>
          <cell r="P65">
            <v>995472</v>
          </cell>
          <cell r="Q65">
            <v>10.588235294117649</v>
          </cell>
          <cell r="R65">
            <v>45</v>
          </cell>
          <cell r="S65">
            <v>30</v>
          </cell>
          <cell r="T65">
            <v>75</v>
          </cell>
          <cell r="U65">
            <v>60</v>
          </cell>
          <cell r="V65">
            <v>90</v>
          </cell>
          <cell r="W65">
            <v>17</v>
          </cell>
          <cell r="X65">
            <v>42.5</v>
          </cell>
          <cell r="Y65">
            <v>34</v>
          </cell>
          <cell r="Z65">
            <v>51</v>
          </cell>
          <cell r="AA65" t="str">
            <v>Stockout</v>
          </cell>
        </row>
        <row r="66">
          <cell r="A66" t="str">
            <v>PCX160 ABS</v>
          </cell>
          <cell r="B66" t="str">
            <v>C37</v>
          </cell>
          <cell r="C66">
            <v>66</v>
          </cell>
          <cell r="D66" t="str">
            <v>Class C</v>
          </cell>
          <cell r="E66" t="str">
            <v>HONDA</v>
          </cell>
          <cell r="F66">
            <v>142758</v>
          </cell>
          <cell r="G66">
            <v>1</v>
          </cell>
          <cell r="H66">
            <v>0</v>
          </cell>
          <cell r="I66">
            <v>1</v>
          </cell>
          <cell r="J66">
            <v>2</v>
          </cell>
          <cell r="K66">
            <v>0.66666666666666663</v>
          </cell>
          <cell r="L66">
            <v>285516</v>
          </cell>
          <cell r="M66">
            <v>95172</v>
          </cell>
          <cell r="N66">
            <v>2.2222222222222223E-2</v>
          </cell>
          <cell r="O66">
            <v>3</v>
          </cell>
          <cell r="P66">
            <v>428274</v>
          </cell>
          <cell r="Q66">
            <v>135</v>
          </cell>
          <cell r="R66">
            <v>45</v>
          </cell>
          <cell r="S66">
            <v>30</v>
          </cell>
          <cell r="T66">
            <v>75</v>
          </cell>
          <cell r="U66">
            <v>60</v>
          </cell>
          <cell r="V66">
            <v>90</v>
          </cell>
          <cell r="W66">
            <v>0.66666666666666674</v>
          </cell>
          <cell r="X66">
            <v>1.6666666666666667</v>
          </cell>
          <cell r="Y66">
            <v>1.3333333333333335</v>
          </cell>
          <cell r="Z66">
            <v>2</v>
          </cell>
          <cell r="AA66" t="str">
            <v>Over</v>
          </cell>
        </row>
        <row r="67">
          <cell r="A67" t="str">
            <v>PCX160 CBS</v>
          </cell>
          <cell r="B67" t="str">
            <v>C29</v>
          </cell>
          <cell r="C67">
            <v>58</v>
          </cell>
          <cell r="D67" t="str">
            <v>Class C</v>
          </cell>
          <cell r="E67" t="str">
            <v>HONDA</v>
          </cell>
          <cell r="F67">
            <v>126198</v>
          </cell>
          <cell r="G67">
            <v>0</v>
          </cell>
          <cell r="H67">
            <v>3</v>
          </cell>
          <cell r="I67">
            <v>1</v>
          </cell>
          <cell r="J67">
            <v>4</v>
          </cell>
          <cell r="K67">
            <v>1.3333333333333333</v>
          </cell>
          <cell r="L67">
            <v>504792</v>
          </cell>
          <cell r="M67">
            <v>168264</v>
          </cell>
          <cell r="N67">
            <v>4.4444444444444446E-2</v>
          </cell>
          <cell r="O67">
            <v>1</v>
          </cell>
          <cell r="P67">
            <v>126198</v>
          </cell>
          <cell r="Q67">
            <v>22.5</v>
          </cell>
          <cell r="R67">
            <v>45</v>
          </cell>
          <cell r="S67">
            <v>30</v>
          </cell>
          <cell r="T67">
            <v>75</v>
          </cell>
          <cell r="U67">
            <v>60</v>
          </cell>
          <cell r="V67">
            <v>90</v>
          </cell>
          <cell r="W67">
            <v>1.3333333333333335</v>
          </cell>
          <cell r="X67">
            <v>3.3333333333333335</v>
          </cell>
          <cell r="Y67">
            <v>2.666666666666667</v>
          </cell>
          <cell r="Z67">
            <v>4</v>
          </cell>
          <cell r="AA67" t="str">
            <v>Stockout</v>
          </cell>
        </row>
        <row r="68">
          <cell r="A68" t="str">
            <v>PCX160 ROADSYNC</v>
          </cell>
          <cell r="B68" t="str">
            <v>C11</v>
          </cell>
          <cell r="C68">
            <v>40</v>
          </cell>
          <cell r="D68" t="str">
            <v>Class C</v>
          </cell>
          <cell r="E68" t="str">
            <v>HONDA</v>
          </cell>
          <cell r="F68">
            <v>147230</v>
          </cell>
          <cell r="G68">
            <v>0</v>
          </cell>
          <cell r="H68">
            <v>4</v>
          </cell>
          <cell r="I68">
            <v>4</v>
          </cell>
          <cell r="J68">
            <v>8</v>
          </cell>
          <cell r="K68">
            <v>2.6666666666666665</v>
          </cell>
          <cell r="L68">
            <v>1177840</v>
          </cell>
          <cell r="M68">
            <v>392613.33333333331</v>
          </cell>
          <cell r="N68">
            <v>8.8888888888888892E-2</v>
          </cell>
          <cell r="O68">
            <v>9</v>
          </cell>
          <cell r="P68">
            <v>1325070</v>
          </cell>
          <cell r="Q68">
            <v>101.25</v>
          </cell>
          <cell r="R68">
            <v>45</v>
          </cell>
          <cell r="S68">
            <v>30</v>
          </cell>
          <cell r="T68">
            <v>75</v>
          </cell>
          <cell r="U68">
            <v>60</v>
          </cell>
          <cell r="V68">
            <v>90</v>
          </cell>
          <cell r="W68">
            <v>2.666666666666667</v>
          </cell>
          <cell r="X68">
            <v>6.666666666666667</v>
          </cell>
          <cell r="Y68">
            <v>5.3333333333333339</v>
          </cell>
          <cell r="Z68">
            <v>8</v>
          </cell>
          <cell r="AA68" t="str">
            <v>Over</v>
          </cell>
        </row>
        <row r="69">
          <cell r="A69" t="str">
            <v>PCX160 STANDARD</v>
          </cell>
          <cell r="B69" t="str">
            <v>C28</v>
          </cell>
          <cell r="C69">
            <v>57</v>
          </cell>
          <cell r="D69" t="str">
            <v>Class C</v>
          </cell>
          <cell r="E69" t="str">
            <v>HONDA</v>
          </cell>
          <cell r="F69">
            <v>126990</v>
          </cell>
          <cell r="G69">
            <v>1</v>
          </cell>
          <cell r="H69">
            <v>3</v>
          </cell>
          <cell r="I69">
            <v>0</v>
          </cell>
          <cell r="J69">
            <v>4</v>
          </cell>
          <cell r="K69">
            <v>1.3333333333333333</v>
          </cell>
          <cell r="L69">
            <v>507960</v>
          </cell>
          <cell r="M69">
            <v>169320</v>
          </cell>
          <cell r="N69">
            <v>4.4444444444444446E-2</v>
          </cell>
          <cell r="O69">
            <v>6</v>
          </cell>
          <cell r="P69">
            <v>761940</v>
          </cell>
          <cell r="Q69">
            <v>135</v>
          </cell>
          <cell r="R69">
            <v>45</v>
          </cell>
          <cell r="S69">
            <v>30</v>
          </cell>
          <cell r="T69">
            <v>75</v>
          </cell>
          <cell r="U69">
            <v>60</v>
          </cell>
          <cell r="V69">
            <v>90</v>
          </cell>
          <cell r="W69">
            <v>1.3333333333333335</v>
          </cell>
          <cell r="X69">
            <v>3.3333333333333335</v>
          </cell>
          <cell r="Y69">
            <v>2.666666666666667</v>
          </cell>
          <cell r="Z69">
            <v>4</v>
          </cell>
          <cell r="AA69" t="str">
            <v>Over</v>
          </cell>
        </row>
        <row r="70">
          <cell r="A70" t="str">
            <v>PG-1</v>
          </cell>
          <cell r="B70" t="str">
            <v>C33</v>
          </cell>
          <cell r="C70">
            <v>62</v>
          </cell>
          <cell r="D70" t="str">
            <v>Class C</v>
          </cell>
          <cell r="E70" t="str">
            <v>YAMAHA</v>
          </cell>
          <cell r="F70">
            <v>86397</v>
          </cell>
          <cell r="G70">
            <v>2</v>
          </cell>
          <cell r="H70">
            <v>1</v>
          </cell>
          <cell r="I70">
            <v>2</v>
          </cell>
          <cell r="J70">
            <v>5</v>
          </cell>
          <cell r="K70">
            <v>1.6666666666666667</v>
          </cell>
          <cell r="L70">
            <v>431985</v>
          </cell>
          <cell r="M70">
            <v>143995</v>
          </cell>
          <cell r="N70">
            <v>5.5555555555555552E-2</v>
          </cell>
          <cell r="O70">
            <v>4</v>
          </cell>
          <cell r="P70">
            <v>345588</v>
          </cell>
          <cell r="Q70">
            <v>72</v>
          </cell>
          <cell r="R70">
            <v>45</v>
          </cell>
          <cell r="S70">
            <v>30</v>
          </cell>
          <cell r="T70">
            <v>75</v>
          </cell>
          <cell r="U70">
            <v>60</v>
          </cell>
          <cell r="V70">
            <v>90</v>
          </cell>
          <cell r="W70">
            <v>1.6666666666666665</v>
          </cell>
          <cell r="X70">
            <v>4.1666666666666661</v>
          </cell>
          <cell r="Y70">
            <v>3.333333333333333</v>
          </cell>
          <cell r="Z70">
            <v>5</v>
          </cell>
          <cell r="AA70" t="str">
            <v>Re-order</v>
          </cell>
        </row>
        <row r="71">
          <cell r="A71" t="str">
            <v>RAIDER J CROSSOVER</v>
          </cell>
          <cell r="B71" t="str">
            <v/>
          </cell>
          <cell r="C71" t="str">
            <v/>
          </cell>
          <cell r="D71" t="str">
            <v>Class C</v>
          </cell>
          <cell r="E71" t="str">
            <v>SUZUKI</v>
          </cell>
          <cell r="F71">
            <v>69667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3</v>
          </cell>
          <cell r="P71">
            <v>209001</v>
          </cell>
          <cell r="Q71" t="str">
            <v/>
          </cell>
          <cell r="R71">
            <v>45</v>
          </cell>
          <cell r="S71">
            <v>30</v>
          </cell>
          <cell r="T71">
            <v>75</v>
          </cell>
          <cell r="U71">
            <v>60</v>
          </cell>
          <cell r="V71">
            <v>90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 t="str">
            <v>Over</v>
          </cell>
        </row>
        <row r="72">
          <cell r="A72" t="str">
            <v>RAIDER150 CARB</v>
          </cell>
          <cell r="B72" t="str">
            <v>C41</v>
          </cell>
          <cell r="C72">
            <v>70</v>
          </cell>
          <cell r="D72" t="str">
            <v>Class C</v>
          </cell>
          <cell r="E72" t="str">
            <v>SUZUKI</v>
          </cell>
          <cell r="F72">
            <v>104077</v>
          </cell>
          <cell r="G72">
            <v>0</v>
          </cell>
          <cell r="H72">
            <v>2</v>
          </cell>
          <cell r="I72">
            <v>0</v>
          </cell>
          <cell r="J72">
            <v>2</v>
          </cell>
          <cell r="K72">
            <v>0.66666666666666663</v>
          </cell>
          <cell r="L72">
            <v>208154</v>
          </cell>
          <cell r="M72">
            <v>69384.666666666657</v>
          </cell>
          <cell r="N72">
            <v>2.2222222222222223E-2</v>
          </cell>
          <cell r="O72">
            <v>1</v>
          </cell>
          <cell r="P72">
            <v>104077</v>
          </cell>
          <cell r="Q72">
            <v>45.000000000000007</v>
          </cell>
          <cell r="R72">
            <v>45</v>
          </cell>
          <cell r="S72">
            <v>30</v>
          </cell>
          <cell r="T72">
            <v>75</v>
          </cell>
          <cell r="U72">
            <v>60</v>
          </cell>
          <cell r="V72">
            <v>90</v>
          </cell>
          <cell r="W72">
            <v>0.66666666666666674</v>
          </cell>
          <cell r="X72">
            <v>1.6666666666666667</v>
          </cell>
          <cell r="Y72">
            <v>1.3333333333333335</v>
          </cell>
          <cell r="Z72">
            <v>2</v>
          </cell>
          <cell r="AA72" t="str">
            <v>Re-order</v>
          </cell>
        </row>
        <row r="73">
          <cell r="A73" t="str">
            <v>RAIDER150 FI BLADE</v>
          </cell>
          <cell r="B73" t="str">
            <v>A8</v>
          </cell>
          <cell r="C73">
            <v>8</v>
          </cell>
          <cell r="D73" t="str">
            <v>Class A</v>
          </cell>
          <cell r="E73" t="str">
            <v>SUZUKI</v>
          </cell>
          <cell r="F73">
            <v>123700</v>
          </cell>
          <cell r="G73">
            <v>61</v>
          </cell>
          <cell r="H73">
            <v>60</v>
          </cell>
          <cell r="I73">
            <v>83</v>
          </cell>
          <cell r="J73">
            <v>204</v>
          </cell>
          <cell r="K73">
            <v>68</v>
          </cell>
          <cell r="L73">
            <v>25234800</v>
          </cell>
          <cell r="M73">
            <v>8411600</v>
          </cell>
          <cell r="N73">
            <v>2.2666666666666666</v>
          </cell>
          <cell r="O73">
            <v>162</v>
          </cell>
          <cell r="P73">
            <v>20039400</v>
          </cell>
          <cell r="Q73">
            <v>71.470588235294116</v>
          </cell>
          <cell r="R73">
            <v>45</v>
          </cell>
          <cell r="S73">
            <v>30</v>
          </cell>
          <cell r="T73">
            <v>75</v>
          </cell>
          <cell r="U73">
            <v>60</v>
          </cell>
          <cell r="V73">
            <v>90</v>
          </cell>
          <cell r="W73">
            <v>68</v>
          </cell>
          <cell r="X73">
            <v>170</v>
          </cell>
          <cell r="Y73">
            <v>136</v>
          </cell>
          <cell r="Z73">
            <v>204</v>
          </cell>
          <cell r="AA73" t="str">
            <v>Re-order</v>
          </cell>
        </row>
        <row r="74">
          <cell r="A74" t="str">
            <v>RAIDER150 FI PRO</v>
          </cell>
          <cell r="B74" t="str">
            <v>C39</v>
          </cell>
          <cell r="C74">
            <v>68</v>
          </cell>
          <cell r="D74" t="str">
            <v>Class C</v>
          </cell>
          <cell r="E74" t="str">
            <v>SUZUKI</v>
          </cell>
          <cell r="F74">
            <v>138952</v>
          </cell>
          <cell r="G74">
            <v>1</v>
          </cell>
          <cell r="H74">
            <v>1</v>
          </cell>
          <cell r="I74">
            <v>0</v>
          </cell>
          <cell r="J74">
            <v>2</v>
          </cell>
          <cell r="K74">
            <v>0.66666666666666663</v>
          </cell>
          <cell r="L74">
            <v>277904</v>
          </cell>
          <cell r="M74">
            <v>92634.666666666657</v>
          </cell>
          <cell r="N74">
            <v>2.2222222222222223E-2</v>
          </cell>
          <cell r="O74">
            <v>19</v>
          </cell>
          <cell r="P74">
            <v>2640088</v>
          </cell>
          <cell r="Q74">
            <v>855.00000000000011</v>
          </cell>
          <cell r="R74">
            <v>45</v>
          </cell>
          <cell r="S74">
            <v>30</v>
          </cell>
          <cell r="T74">
            <v>75</v>
          </cell>
          <cell r="U74">
            <v>60</v>
          </cell>
          <cell r="V74">
            <v>90</v>
          </cell>
          <cell r="W74">
            <v>0.66666666666666674</v>
          </cell>
          <cell r="X74">
            <v>1.6666666666666667</v>
          </cell>
          <cell r="Y74">
            <v>1.3333333333333335</v>
          </cell>
          <cell r="Z74">
            <v>2</v>
          </cell>
          <cell r="AA74" t="str">
            <v>Over</v>
          </cell>
        </row>
        <row r="75">
          <cell r="A75" t="str">
            <v>ROUSER NS125</v>
          </cell>
          <cell r="B75" t="str">
            <v/>
          </cell>
          <cell r="C75" t="str">
            <v/>
          </cell>
          <cell r="D75" t="str">
            <v>Class C</v>
          </cell>
          <cell r="E75" t="str">
            <v>KAWASAKI</v>
          </cell>
          <cell r="F75">
            <v>73158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1</v>
          </cell>
          <cell r="P75">
            <v>73158</v>
          </cell>
          <cell r="Q75" t="str">
            <v/>
          </cell>
          <cell r="R75">
            <v>45</v>
          </cell>
          <cell r="S75">
            <v>30</v>
          </cell>
          <cell r="T75">
            <v>75</v>
          </cell>
          <cell r="U75">
            <v>60</v>
          </cell>
          <cell r="V75">
            <v>90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 t="str">
            <v>Over</v>
          </cell>
        </row>
        <row r="76">
          <cell r="A76" t="str">
            <v>SKYDRIVE CROSSOVER</v>
          </cell>
          <cell r="B76" t="str">
            <v/>
          </cell>
          <cell r="C76" t="str">
            <v/>
          </cell>
          <cell r="D76" t="str">
            <v>Class C</v>
          </cell>
          <cell r="E76" t="str">
            <v>SUZUKI</v>
          </cell>
          <cell r="F76">
            <v>70037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6</v>
          </cell>
          <cell r="P76">
            <v>420222</v>
          </cell>
          <cell r="Q76" t="str">
            <v/>
          </cell>
          <cell r="R76">
            <v>45</v>
          </cell>
          <cell r="S76">
            <v>30</v>
          </cell>
          <cell r="T76">
            <v>75</v>
          </cell>
          <cell r="U76">
            <v>60</v>
          </cell>
          <cell r="V76">
            <v>90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 t="str">
            <v>Over</v>
          </cell>
        </row>
        <row r="77">
          <cell r="A77" t="str">
            <v>SKYDRIVE SPORT</v>
          </cell>
          <cell r="B77" t="str">
            <v>C46</v>
          </cell>
          <cell r="C77">
            <v>75</v>
          </cell>
          <cell r="D77" t="str">
            <v>Class C</v>
          </cell>
          <cell r="E77" t="str">
            <v>SUZUKI</v>
          </cell>
          <cell r="F77">
            <v>68177</v>
          </cell>
          <cell r="G77">
            <v>1</v>
          </cell>
          <cell r="H77">
            <v>0</v>
          </cell>
          <cell r="I77">
            <v>1</v>
          </cell>
          <cell r="J77">
            <v>2</v>
          </cell>
          <cell r="K77">
            <v>0.66666666666666663</v>
          </cell>
          <cell r="L77">
            <v>136354</v>
          </cell>
          <cell r="M77">
            <v>45451.333333333328</v>
          </cell>
          <cell r="N77">
            <v>2.2222222222222223E-2</v>
          </cell>
          <cell r="O77">
            <v>2</v>
          </cell>
          <cell r="P77">
            <v>136354</v>
          </cell>
          <cell r="Q77">
            <v>90.000000000000014</v>
          </cell>
          <cell r="R77">
            <v>45</v>
          </cell>
          <cell r="S77">
            <v>30</v>
          </cell>
          <cell r="T77">
            <v>75</v>
          </cell>
          <cell r="U77">
            <v>60</v>
          </cell>
          <cell r="V77">
            <v>90</v>
          </cell>
          <cell r="W77">
            <v>0.66666666666666674</v>
          </cell>
          <cell r="X77">
            <v>1.6666666666666667</v>
          </cell>
          <cell r="Y77">
            <v>1.3333333333333335</v>
          </cell>
          <cell r="Z77">
            <v>2</v>
          </cell>
          <cell r="AA77" t="str">
            <v/>
          </cell>
        </row>
        <row r="78">
          <cell r="A78" t="str">
            <v>SMASH FI(MAGS)</v>
          </cell>
          <cell r="B78" t="str">
            <v>C45</v>
          </cell>
          <cell r="C78">
            <v>74</v>
          </cell>
          <cell r="D78" t="str">
            <v>Class C</v>
          </cell>
          <cell r="E78" t="str">
            <v>SUZUKI</v>
          </cell>
          <cell r="F78">
            <v>71062</v>
          </cell>
          <cell r="G78">
            <v>1</v>
          </cell>
          <cell r="H78">
            <v>0</v>
          </cell>
          <cell r="I78">
            <v>1</v>
          </cell>
          <cell r="J78">
            <v>2</v>
          </cell>
          <cell r="K78">
            <v>0.66666666666666663</v>
          </cell>
          <cell r="L78">
            <v>142124</v>
          </cell>
          <cell r="M78">
            <v>47374.666666666664</v>
          </cell>
          <cell r="N78">
            <v>2.2222222222222223E-2</v>
          </cell>
          <cell r="O78">
            <v>5</v>
          </cell>
          <cell r="P78">
            <v>355310</v>
          </cell>
          <cell r="Q78">
            <v>225</v>
          </cell>
          <cell r="R78">
            <v>45</v>
          </cell>
          <cell r="S78">
            <v>30</v>
          </cell>
          <cell r="T78">
            <v>75</v>
          </cell>
          <cell r="U78">
            <v>60</v>
          </cell>
          <cell r="V78">
            <v>90</v>
          </cell>
          <cell r="W78">
            <v>0.66666666666666674</v>
          </cell>
          <cell r="X78">
            <v>1.6666666666666667</v>
          </cell>
          <cell r="Y78">
            <v>1.3333333333333335</v>
          </cell>
          <cell r="Z78">
            <v>2</v>
          </cell>
          <cell r="AA78" t="str">
            <v>Over</v>
          </cell>
        </row>
        <row r="79">
          <cell r="A79" t="str">
            <v>SMASH FI(SPOKE)</v>
          </cell>
          <cell r="B79" t="str">
            <v>C47</v>
          </cell>
          <cell r="C79">
            <v>76</v>
          </cell>
          <cell r="D79" t="str">
            <v>Class C</v>
          </cell>
          <cell r="E79" t="str">
            <v>SUZUKI</v>
          </cell>
          <cell r="F79">
            <v>66412</v>
          </cell>
          <cell r="G79">
            <v>0</v>
          </cell>
          <cell r="H79">
            <v>1</v>
          </cell>
          <cell r="I79">
            <v>1</v>
          </cell>
          <cell r="J79">
            <v>2</v>
          </cell>
          <cell r="K79">
            <v>0.66666666666666663</v>
          </cell>
          <cell r="L79">
            <v>132824</v>
          </cell>
          <cell r="M79">
            <v>44274.666666666664</v>
          </cell>
          <cell r="N79">
            <v>2.2222222222222223E-2</v>
          </cell>
          <cell r="O79">
            <v>12</v>
          </cell>
          <cell r="P79">
            <v>796944</v>
          </cell>
          <cell r="Q79">
            <v>540</v>
          </cell>
          <cell r="R79">
            <v>45</v>
          </cell>
          <cell r="S79">
            <v>30</v>
          </cell>
          <cell r="T79">
            <v>75</v>
          </cell>
          <cell r="U79">
            <v>60</v>
          </cell>
          <cell r="V79">
            <v>90</v>
          </cell>
          <cell r="W79">
            <v>0.66666666666666674</v>
          </cell>
          <cell r="X79">
            <v>1.6666666666666667</v>
          </cell>
          <cell r="Y79">
            <v>1.3333333333333335</v>
          </cell>
          <cell r="Z79">
            <v>2</v>
          </cell>
          <cell r="AA79" t="str">
            <v>Over</v>
          </cell>
        </row>
        <row r="80">
          <cell r="A80" t="str">
            <v>SMASH(MAGS)</v>
          </cell>
          <cell r="B80" t="str">
            <v>C7</v>
          </cell>
          <cell r="C80">
            <v>36</v>
          </cell>
          <cell r="D80" t="str">
            <v>Class C</v>
          </cell>
          <cell r="E80" t="str">
            <v>SUZUKI</v>
          </cell>
          <cell r="F80">
            <v>67342</v>
          </cell>
          <cell r="G80">
            <v>11</v>
          </cell>
          <cell r="H80">
            <v>9</v>
          </cell>
          <cell r="I80">
            <v>5</v>
          </cell>
          <cell r="J80">
            <v>25</v>
          </cell>
          <cell r="K80">
            <v>8.3333333333333339</v>
          </cell>
          <cell r="L80">
            <v>1683550</v>
          </cell>
          <cell r="M80">
            <v>561183.33333333337</v>
          </cell>
          <cell r="N80">
            <v>0.27777777777777779</v>
          </cell>
          <cell r="O80">
            <v>18</v>
          </cell>
          <cell r="P80">
            <v>1212156</v>
          </cell>
          <cell r="Q80">
            <v>64.8</v>
          </cell>
          <cell r="R80">
            <v>45</v>
          </cell>
          <cell r="S80">
            <v>30</v>
          </cell>
          <cell r="T80">
            <v>75</v>
          </cell>
          <cell r="U80">
            <v>60</v>
          </cell>
          <cell r="V80">
            <v>90</v>
          </cell>
          <cell r="W80">
            <v>8.3333333333333339</v>
          </cell>
          <cell r="X80">
            <v>20.833333333333336</v>
          </cell>
          <cell r="Y80">
            <v>16.666666666666668</v>
          </cell>
          <cell r="Z80">
            <v>25</v>
          </cell>
          <cell r="AA80" t="str">
            <v>Re-order</v>
          </cell>
        </row>
        <row r="81">
          <cell r="A81" t="str">
            <v>SMASH(SPOKE)</v>
          </cell>
          <cell r="B81" t="str">
            <v>C2</v>
          </cell>
          <cell r="C81">
            <v>31</v>
          </cell>
          <cell r="D81" t="str">
            <v>Class C</v>
          </cell>
          <cell r="E81" t="str">
            <v>SUZUKI</v>
          </cell>
          <cell r="F81">
            <v>62692</v>
          </cell>
          <cell r="G81">
            <v>8</v>
          </cell>
          <cell r="H81">
            <v>17</v>
          </cell>
          <cell r="I81">
            <v>19</v>
          </cell>
          <cell r="J81">
            <v>44</v>
          </cell>
          <cell r="K81">
            <v>14.666666666666666</v>
          </cell>
          <cell r="L81">
            <v>2758448</v>
          </cell>
          <cell r="M81">
            <v>919482.66666666663</v>
          </cell>
          <cell r="N81">
            <v>0.48888888888888887</v>
          </cell>
          <cell r="O81">
            <v>52</v>
          </cell>
          <cell r="P81">
            <v>3259984</v>
          </cell>
          <cell r="Q81">
            <v>106.36363636363636</v>
          </cell>
          <cell r="R81">
            <v>45</v>
          </cell>
          <cell r="S81">
            <v>30</v>
          </cell>
          <cell r="T81">
            <v>75</v>
          </cell>
          <cell r="U81">
            <v>60</v>
          </cell>
          <cell r="V81">
            <v>90</v>
          </cell>
          <cell r="W81">
            <v>14.666666666666666</v>
          </cell>
          <cell r="X81">
            <v>36.666666666666664</v>
          </cell>
          <cell r="Y81">
            <v>29.333333333333332</v>
          </cell>
          <cell r="Z81">
            <v>44</v>
          </cell>
          <cell r="AA81" t="str">
            <v>Over</v>
          </cell>
        </row>
        <row r="82">
          <cell r="A82" t="str">
            <v>SNIPER 155 FI</v>
          </cell>
          <cell r="B82" t="str">
            <v>B14</v>
          </cell>
          <cell r="C82">
            <v>23</v>
          </cell>
          <cell r="D82" t="str">
            <v>Class B</v>
          </cell>
          <cell r="E82" t="str">
            <v>YAMAHA</v>
          </cell>
          <cell r="F82">
            <v>117087</v>
          </cell>
          <cell r="G82">
            <v>27</v>
          </cell>
          <cell r="H82">
            <v>8</v>
          </cell>
          <cell r="I82">
            <v>3</v>
          </cell>
          <cell r="J82">
            <v>38</v>
          </cell>
          <cell r="K82">
            <v>12.666666666666666</v>
          </cell>
          <cell r="L82">
            <v>4449306</v>
          </cell>
          <cell r="M82">
            <v>1483102</v>
          </cell>
          <cell r="N82">
            <v>0.42222222222222222</v>
          </cell>
          <cell r="O82">
            <v>8</v>
          </cell>
          <cell r="P82">
            <v>936696</v>
          </cell>
          <cell r="Q82">
            <v>18.94736842105263</v>
          </cell>
          <cell r="R82">
            <v>45</v>
          </cell>
          <cell r="S82">
            <v>30</v>
          </cell>
          <cell r="T82">
            <v>75</v>
          </cell>
          <cell r="U82">
            <v>60</v>
          </cell>
          <cell r="V82">
            <v>90</v>
          </cell>
          <cell r="W82">
            <v>12.666666666666666</v>
          </cell>
          <cell r="X82">
            <v>31.666666666666668</v>
          </cell>
          <cell r="Y82">
            <v>25.333333333333332</v>
          </cell>
          <cell r="Z82">
            <v>38</v>
          </cell>
          <cell r="AA82" t="str">
            <v>Stockout</v>
          </cell>
        </row>
        <row r="83">
          <cell r="A83" t="str">
            <v>SUPRA GTR</v>
          </cell>
          <cell r="B83" t="str">
            <v/>
          </cell>
          <cell r="C83" t="str">
            <v/>
          </cell>
          <cell r="D83" t="str">
            <v>Class C</v>
          </cell>
          <cell r="E83" t="str">
            <v>HONDA</v>
          </cell>
          <cell r="F83">
            <v>101358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1</v>
          </cell>
          <cell r="P83">
            <v>101358</v>
          </cell>
          <cell r="Q83" t="str">
            <v/>
          </cell>
          <cell r="R83">
            <v>45</v>
          </cell>
          <cell r="S83">
            <v>30</v>
          </cell>
          <cell r="T83">
            <v>75</v>
          </cell>
          <cell r="U83">
            <v>60</v>
          </cell>
          <cell r="V83">
            <v>90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 t="str">
            <v>Over</v>
          </cell>
        </row>
        <row r="84">
          <cell r="A84" t="str">
            <v>TMX ALPHA FI</v>
          </cell>
          <cell r="B84" t="str">
            <v>B17</v>
          </cell>
          <cell r="C84">
            <v>26</v>
          </cell>
          <cell r="D84" t="str">
            <v>Class B</v>
          </cell>
          <cell r="E84" t="str">
            <v>HONDA</v>
          </cell>
          <cell r="F84">
            <v>56426</v>
          </cell>
          <cell r="G84">
            <v>28</v>
          </cell>
          <cell r="H84">
            <v>16</v>
          </cell>
          <cell r="I84">
            <v>25</v>
          </cell>
          <cell r="J84">
            <v>69</v>
          </cell>
          <cell r="K84">
            <v>23</v>
          </cell>
          <cell r="L84">
            <v>3893394</v>
          </cell>
          <cell r="M84">
            <v>1297798</v>
          </cell>
          <cell r="N84">
            <v>0.76666666666666672</v>
          </cell>
          <cell r="O84">
            <v>107</v>
          </cell>
          <cell r="P84">
            <v>6037582</v>
          </cell>
          <cell r="Q84">
            <v>139.56521739130434</v>
          </cell>
          <cell r="R84">
            <v>45</v>
          </cell>
          <cell r="S84">
            <v>30</v>
          </cell>
          <cell r="T84">
            <v>75</v>
          </cell>
          <cell r="U84">
            <v>60</v>
          </cell>
          <cell r="V84">
            <v>90</v>
          </cell>
          <cell r="W84">
            <v>23</v>
          </cell>
          <cell r="X84">
            <v>57.500000000000007</v>
          </cell>
          <cell r="Y84">
            <v>46</v>
          </cell>
          <cell r="Z84">
            <v>69</v>
          </cell>
          <cell r="AA84" t="str">
            <v>Over</v>
          </cell>
        </row>
        <row r="85">
          <cell r="A85" t="str">
            <v>TMX150 SUPREMO</v>
          </cell>
          <cell r="B85" t="str">
            <v>B20</v>
          </cell>
          <cell r="C85">
            <v>29</v>
          </cell>
          <cell r="D85" t="str">
            <v>Class B</v>
          </cell>
          <cell r="E85" t="str">
            <v>HONDA</v>
          </cell>
          <cell r="F85">
            <v>76850</v>
          </cell>
          <cell r="G85">
            <v>15</v>
          </cell>
          <cell r="H85">
            <v>12</v>
          </cell>
          <cell r="I85">
            <v>13</v>
          </cell>
          <cell r="J85">
            <v>40</v>
          </cell>
          <cell r="K85">
            <v>13.333333333333334</v>
          </cell>
          <cell r="L85">
            <v>3074000</v>
          </cell>
          <cell r="M85">
            <v>1024666.6666666667</v>
          </cell>
          <cell r="N85">
            <v>0.44444444444444442</v>
          </cell>
          <cell r="O85">
            <v>61</v>
          </cell>
          <cell r="P85">
            <v>4687850</v>
          </cell>
          <cell r="Q85">
            <v>137.24999999999997</v>
          </cell>
          <cell r="R85">
            <v>45</v>
          </cell>
          <cell r="S85">
            <v>30</v>
          </cell>
          <cell r="T85">
            <v>75</v>
          </cell>
          <cell r="U85">
            <v>60</v>
          </cell>
          <cell r="V85">
            <v>90</v>
          </cell>
          <cell r="W85">
            <v>13.333333333333332</v>
          </cell>
          <cell r="X85">
            <v>33.333333333333329</v>
          </cell>
          <cell r="Y85">
            <v>26.666666666666664</v>
          </cell>
          <cell r="Z85">
            <v>40</v>
          </cell>
          <cell r="AA85" t="str">
            <v>Over</v>
          </cell>
        </row>
        <row r="86">
          <cell r="A86" t="str">
            <v>V-STROM 160</v>
          </cell>
          <cell r="B86" t="str">
            <v>C22</v>
          </cell>
          <cell r="C86">
            <v>51</v>
          </cell>
          <cell r="D86" t="str">
            <v>Class C</v>
          </cell>
          <cell r="E86" t="str">
            <v>SUZUKI</v>
          </cell>
          <cell r="F86">
            <v>138580</v>
          </cell>
          <cell r="G86">
            <v>2</v>
          </cell>
          <cell r="H86">
            <v>2</v>
          </cell>
          <cell r="I86">
            <v>1</v>
          </cell>
          <cell r="J86">
            <v>5</v>
          </cell>
          <cell r="K86">
            <v>1.6666666666666667</v>
          </cell>
          <cell r="L86">
            <v>692900</v>
          </cell>
          <cell r="M86">
            <v>230966.66666666669</v>
          </cell>
          <cell r="N86">
            <v>5.5555555555555552E-2</v>
          </cell>
          <cell r="O86">
            <v>1</v>
          </cell>
          <cell r="P86">
            <v>138580</v>
          </cell>
          <cell r="Q86">
            <v>18</v>
          </cell>
          <cell r="R86">
            <v>45</v>
          </cell>
          <cell r="S86">
            <v>30</v>
          </cell>
          <cell r="T86">
            <v>75</v>
          </cell>
          <cell r="U86">
            <v>60</v>
          </cell>
          <cell r="V86">
            <v>90</v>
          </cell>
          <cell r="W86">
            <v>1.6666666666666665</v>
          </cell>
          <cell r="X86">
            <v>4.1666666666666661</v>
          </cell>
          <cell r="Y86">
            <v>3.333333333333333</v>
          </cell>
          <cell r="Z86">
            <v>5</v>
          </cell>
          <cell r="AA86" t="str">
            <v>Stockout</v>
          </cell>
        </row>
        <row r="87">
          <cell r="A87" t="str">
            <v>V-STROM 250 SX</v>
          </cell>
          <cell r="B87" t="str">
            <v/>
          </cell>
          <cell r="C87" t="str">
            <v/>
          </cell>
          <cell r="D87" t="str">
            <v>Class C</v>
          </cell>
          <cell r="E87" t="str">
            <v>SUZUKI</v>
          </cell>
          <cell r="F87">
            <v>215770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3</v>
          </cell>
          <cell r="P87">
            <v>647310</v>
          </cell>
          <cell r="Q87" t="str">
            <v/>
          </cell>
          <cell r="R87">
            <v>45</v>
          </cell>
          <cell r="S87">
            <v>30</v>
          </cell>
          <cell r="T87">
            <v>75</v>
          </cell>
          <cell r="U87">
            <v>60</v>
          </cell>
          <cell r="V87">
            <v>90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 t="str">
            <v>Over</v>
          </cell>
        </row>
        <row r="88">
          <cell r="A88" t="str">
            <v>W175</v>
          </cell>
          <cell r="B88" t="str">
            <v/>
          </cell>
          <cell r="C88" t="str">
            <v/>
          </cell>
          <cell r="D88" t="str">
            <v>Class C</v>
          </cell>
          <cell r="E88" t="str">
            <v>KAWASAKI</v>
          </cell>
          <cell r="F88">
            <v>127866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1</v>
          </cell>
          <cell r="P88">
            <v>127866</v>
          </cell>
          <cell r="Q88" t="str">
            <v/>
          </cell>
          <cell r="R88">
            <v>45</v>
          </cell>
          <cell r="S88">
            <v>30</v>
          </cell>
          <cell r="T88">
            <v>75</v>
          </cell>
          <cell r="U88">
            <v>60</v>
          </cell>
          <cell r="V88">
            <v>90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 t="str">
            <v>Over</v>
          </cell>
        </row>
        <row r="89">
          <cell r="A89" t="str">
            <v>WAVE RSX (DRUM)</v>
          </cell>
          <cell r="B89" t="str">
            <v>C43</v>
          </cell>
          <cell r="C89">
            <v>72</v>
          </cell>
          <cell r="D89" t="str">
            <v>Class C</v>
          </cell>
          <cell r="E89" t="str">
            <v>HONDA</v>
          </cell>
          <cell r="F89">
            <v>61670</v>
          </cell>
          <cell r="G89">
            <v>1</v>
          </cell>
          <cell r="H89">
            <v>2</v>
          </cell>
          <cell r="I89">
            <v>0</v>
          </cell>
          <cell r="J89">
            <v>3</v>
          </cell>
          <cell r="K89">
            <v>1</v>
          </cell>
          <cell r="L89">
            <v>185010</v>
          </cell>
          <cell r="M89">
            <v>61670</v>
          </cell>
          <cell r="N89">
            <v>3.3333333333333333E-2</v>
          </cell>
          <cell r="O89">
            <v>10</v>
          </cell>
          <cell r="P89">
            <v>616700</v>
          </cell>
          <cell r="Q89">
            <v>300</v>
          </cell>
          <cell r="R89">
            <v>45</v>
          </cell>
          <cell r="S89">
            <v>30</v>
          </cell>
          <cell r="T89">
            <v>75</v>
          </cell>
          <cell r="U89">
            <v>60</v>
          </cell>
          <cell r="V89">
            <v>90</v>
          </cell>
          <cell r="W89">
            <v>1</v>
          </cell>
          <cell r="X89">
            <v>2.5</v>
          </cell>
          <cell r="Y89">
            <v>2</v>
          </cell>
          <cell r="Z89">
            <v>3</v>
          </cell>
          <cell r="AA89" t="str">
            <v>Over</v>
          </cell>
        </row>
        <row r="90">
          <cell r="A90" t="str">
            <v>WAVE RSX(DISC)</v>
          </cell>
          <cell r="B90" t="str">
            <v>C27</v>
          </cell>
          <cell r="C90">
            <v>56</v>
          </cell>
          <cell r="D90" t="str">
            <v>Class C</v>
          </cell>
          <cell r="E90" t="str">
            <v>HONDA</v>
          </cell>
          <cell r="F90">
            <v>63510</v>
          </cell>
          <cell r="G90">
            <v>1</v>
          </cell>
          <cell r="H90">
            <v>4</v>
          </cell>
          <cell r="I90">
            <v>3</v>
          </cell>
          <cell r="J90">
            <v>8</v>
          </cell>
          <cell r="K90">
            <v>2.6666666666666665</v>
          </cell>
          <cell r="L90">
            <v>508080</v>
          </cell>
          <cell r="M90">
            <v>169360</v>
          </cell>
          <cell r="N90">
            <v>8.8888888888888892E-2</v>
          </cell>
          <cell r="O90">
            <v>12</v>
          </cell>
          <cell r="P90">
            <v>762120</v>
          </cell>
          <cell r="Q90">
            <v>135</v>
          </cell>
          <cell r="R90">
            <v>45</v>
          </cell>
          <cell r="S90">
            <v>30</v>
          </cell>
          <cell r="T90">
            <v>75</v>
          </cell>
          <cell r="U90">
            <v>60</v>
          </cell>
          <cell r="V90">
            <v>90</v>
          </cell>
          <cell r="W90">
            <v>2.666666666666667</v>
          </cell>
          <cell r="X90">
            <v>6.666666666666667</v>
          </cell>
          <cell r="Y90">
            <v>5.3333333333333339</v>
          </cell>
          <cell r="Z90">
            <v>8</v>
          </cell>
          <cell r="AA90" t="str">
            <v>Over</v>
          </cell>
        </row>
        <row r="91">
          <cell r="A91" t="str">
            <v>WINNER X ABS</v>
          </cell>
          <cell r="B91" t="str">
            <v>C20</v>
          </cell>
          <cell r="C91">
            <v>49</v>
          </cell>
          <cell r="D91" t="str">
            <v>Class C</v>
          </cell>
          <cell r="E91" t="str">
            <v>HONDA</v>
          </cell>
          <cell r="F91">
            <v>123310</v>
          </cell>
          <cell r="G91">
            <v>4</v>
          </cell>
          <cell r="H91">
            <v>0</v>
          </cell>
          <cell r="I91">
            <v>2</v>
          </cell>
          <cell r="J91">
            <v>6</v>
          </cell>
          <cell r="K91">
            <v>2</v>
          </cell>
          <cell r="L91">
            <v>739860</v>
          </cell>
          <cell r="M91">
            <v>246620</v>
          </cell>
          <cell r="N91">
            <v>6.6666666666666666E-2</v>
          </cell>
          <cell r="O91">
            <v>11</v>
          </cell>
          <cell r="P91">
            <v>1356410</v>
          </cell>
          <cell r="Q91">
            <v>165</v>
          </cell>
          <cell r="R91">
            <v>45</v>
          </cell>
          <cell r="S91">
            <v>30</v>
          </cell>
          <cell r="T91">
            <v>75</v>
          </cell>
          <cell r="U91">
            <v>60</v>
          </cell>
          <cell r="V91">
            <v>90</v>
          </cell>
          <cell r="W91">
            <v>2</v>
          </cell>
          <cell r="X91">
            <v>5</v>
          </cell>
          <cell r="Y91">
            <v>4</v>
          </cell>
          <cell r="Z91">
            <v>6</v>
          </cell>
          <cell r="AA91" t="str">
            <v>Over</v>
          </cell>
        </row>
        <row r="92">
          <cell r="A92" t="str">
            <v>WINNER X RC</v>
          </cell>
          <cell r="B92" t="str">
            <v>C10</v>
          </cell>
          <cell r="C92">
            <v>39</v>
          </cell>
          <cell r="D92" t="str">
            <v>Class C</v>
          </cell>
          <cell r="E92" t="str">
            <v>HONDA</v>
          </cell>
          <cell r="F92">
            <v>125150</v>
          </cell>
          <cell r="G92">
            <v>4</v>
          </cell>
          <cell r="H92">
            <v>2</v>
          </cell>
          <cell r="I92">
            <v>4</v>
          </cell>
          <cell r="J92">
            <v>10</v>
          </cell>
          <cell r="K92">
            <v>3.3333333333333335</v>
          </cell>
          <cell r="L92">
            <v>1251500</v>
          </cell>
          <cell r="M92">
            <v>417166.66666666669</v>
          </cell>
          <cell r="N92">
            <v>0.1111111111111111</v>
          </cell>
          <cell r="O92">
            <v>0</v>
          </cell>
          <cell r="P92">
            <v>0</v>
          </cell>
          <cell r="Q92">
            <v>0</v>
          </cell>
          <cell r="R92">
            <v>45</v>
          </cell>
          <cell r="S92">
            <v>30</v>
          </cell>
          <cell r="T92">
            <v>75</v>
          </cell>
          <cell r="U92">
            <v>60</v>
          </cell>
          <cell r="V92">
            <v>90</v>
          </cell>
          <cell r="W92">
            <v>3.333333333333333</v>
          </cell>
          <cell r="X92">
            <v>8.3333333333333321</v>
          </cell>
          <cell r="Y92">
            <v>6.6666666666666661</v>
          </cell>
          <cell r="Z92">
            <v>10</v>
          </cell>
          <cell r="AA92" t="str">
            <v>Stockout</v>
          </cell>
        </row>
        <row r="93">
          <cell r="A93" t="str">
            <v>WINNER X STD</v>
          </cell>
          <cell r="B93" t="str">
            <v>C9</v>
          </cell>
          <cell r="C93">
            <v>38</v>
          </cell>
          <cell r="D93" t="str">
            <v>Class C</v>
          </cell>
          <cell r="E93" t="str">
            <v>HONDA</v>
          </cell>
          <cell r="F93">
            <v>117790</v>
          </cell>
          <cell r="G93">
            <v>4</v>
          </cell>
          <cell r="H93">
            <v>4</v>
          </cell>
          <cell r="I93">
            <v>3</v>
          </cell>
          <cell r="J93">
            <v>11</v>
          </cell>
          <cell r="K93">
            <v>3.6666666666666665</v>
          </cell>
          <cell r="L93">
            <v>1295690</v>
          </cell>
          <cell r="M93">
            <v>431896.66666666663</v>
          </cell>
          <cell r="N93">
            <v>0.12222222222222222</v>
          </cell>
          <cell r="O93">
            <v>10</v>
          </cell>
          <cell r="P93">
            <v>1177900</v>
          </cell>
          <cell r="Q93">
            <v>81.818181818181827</v>
          </cell>
          <cell r="R93">
            <v>45</v>
          </cell>
          <cell r="S93">
            <v>30</v>
          </cell>
          <cell r="T93">
            <v>75</v>
          </cell>
          <cell r="U93">
            <v>60</v>
          </cell>
          <cell r="V93">
            <v>90</v>
          </cell>
          <cell r="W93">
            <v>3.6666666666666665</v>
          </cell>
          <cell r="X93">
            <v>9.1666666666666661</v>
          </cell>
          <cell r="Y93">
            <v>7.333333333333333</v>
          </cell>
          <cell r="Z93">
            <v>11</v>
          </cell>
          <cell r="AA93" t="str">
            <v/>
          </cell>
        </row>
        <row r="94">
          <cell r="A94" t="str">
            <v>WIZARD</v>
          </cell>
          <cell r="B94" t="str">
            <v>C16</v>
          </cell>
          <cell r="C94">
            <v>45</v>
          </cell>
          <cell r="D94" t="str">
            <v>Class C</v>
          </cell>
          <cell r="E94" t="str">
            <v>SKYGO</v>
          </cell>
          <cell r="F94">
            <v>35055</v>
          </cell>
          <cell r="G94">
            <v>5</v>
          </cell>
          <cell r="H94">
            <v>5</v>
          </cell>
          <cell r="I94">
            <v>15</v>
          </cell>
          <cell r="J94">
            <v>25</v>
          </cell>
          <cell r="K94">
            <v>8.3333333333333339</v>
          </cell>
          <cell r="L94">
            <v>876375</v>
          </cell>
          <cell r="M94">
            <v>292125</v>
          </cell>
          <cell r="N94">
            <v>0.27777777777777779</v>
          </cell>
          <cell r="O94">
            <v>87</v>
          </cell>
          <cell r="P94">
            <v>3049785</v>
          </cell>
          <cell r="Q94">
            <v>313.2</v>
          </cell>
          <cell r="R94">
            <v>45</v>
          </cell>
          <cell r="S94">
            <v>30</v>
          </cell>
          <cell r="T94">
            <v>75</v>
          </cell>
          <cell r="U94">
            <v>60</v>
          </cell>
          <cell r="V94">
            <v>90</v>
          </cell>
          <cell r="W94">
            <v>8.3333333333333339</v>
          </cell>
          <cell r="X94">
            <v>20.833333333333336</v>
          </cell>
          <cell r="Y94">
            <v>16.666666666666668</v>
          </cell>
          <cell r="Z94">
            <v>25</v>
          </cell>
          <cell r="AA94" t="str">
            <v>Over</v>
          </cell>
        </row>
        <row r="95">
          <cell r="A95" t="str">
            <v>XMAX 300</v>
          </cell>
          <cell r="B95" t="str">
            <v>C24</v>
          </cell>
          <cell r="C95">
            <v>53</v>
          </cell>
          <cell r="D95" t="str">
            <v>Class C</v>
          </cell>
          <cell r="E95" t="str">
            <v>YAMAHA</v>
          </cell>
          <cell r="F95">
            <v>278535</v>
          </cell>
          <cell r="G95">
            <v>0</v>
          </cell>
          <cell r="H95">
            <v>1</v>
          </cell>
          <cell r="I95">
            <v>1</v>
          </cell>
          <cell r="J95">
            <v>2</v>
          </cell>
          <cell r="K95">
            <v>0.66666666666666663</v>
          </cell>
          <cell r="L95">
            <v>557070</v>
          </cell>
          <cell r="M95">
            <v>185690</v>
          </cell>
          <cell r="N95">
            <v>2.2222222222222223E-2</v>
          </cell>
          <cell r="O95">
            <v>1</v>
          </cell>
          <cell r="P95">
            <v>278535</v>
          </cell>
          <cell r="Q95">
            <v>45</v>
          </cell>
          <cell r="R95">
            <v>45</v>
          </cell>
          <cell r="S95">
            <v>30</v>
          </cell>
          <cell r="T95">
            <v>75</v>
          </cell>
          <cell r="U95">
            <v>60</v>
          </cell>
          <cell r="V95">
            <v>90</v>
          </cell>
          <cell r="W95">
            <v>0.66666666666666674</v>
          </cell>
          <cell r="X95">
            <v>1.6666666666666667</v>
          </cell>
          <cell r="Y95">
            <v>1.3333333333333335</v>
          </cell>
          <cell r="Z95">
            <v>2</v>
          </cell>
          <cell r="AA95" t="str">
            <v>Re-order</v>
          </cell>
        </row>
        <row r="96">
          <cell r="A96" t="str">
            <v>XR150</v>
          </cell>
          <cell r="B96" t="str">
            <v>B5</v>
          </cell>
          <cell r="C96">
            <v>14</v>
          </cell>
          <cell r="D96" t="str">
            <v>Class B</v>
          </cell>
          <cell r="E96" t="str">
            <v>HONDA</v>
          </cell>
          <cell r="F96">
            <v>94330</v>
          </cell>
          <cell r="G96">
            <v>44</v>
          </cell>
          <cell r="H96">
            <v>72</v>
          </cell>
          <cell r="I96">
            <v>53</v>
          </cell>
          <cell r="J96">
            <v>169</v>
          </cell>
          <cell r="K96">
            <v>56.333333333333336</v>
          </cell>
          <cell r="L96">
            <v>15941770</v>
          </cell>
          <cell r="M96">
            <v>5313923.333333334</v>
          </cell>
          <cell r="N96">
            <v>1.8777777777777778</v>
          </cell>
          <cell r="O96">
            <v>214</v>
          </cell>
          <cell r="P96">
            <v>20186620</v>
          </cell>
          <cell r="Q96">
            <v>113.9644970414201</v>
          </cell>
          <cell r="R96">
            <v>45</v>
          </cell>
          <cell r="S96">
            <v>30</v>
          </cell>
          <cell r="T96">
            <v>75</v>
          </cell>
          <cell r="U96">
            <v>60</v>
          </cell>
          <cell r="V96">
            <v>90</v>
          </cell>
          <cell r="W96">
            <v>56.333333333333336</v>
          </cell>
          <cell r="X96">
            <v>140.83333333333334</v>
          </cell>
          <cell r="Y96">
            <v>112.66666666666667</v>
          </cell>
          <cell r="Z96">
            <v>169</v>
          </cell>
          <cell r="AA96" t="str">
            <v>Over</v>
          </cell>
        </row>
        <row r="97">
          <cell r="A97" t="str">
            <v>XRM DUAL SPORTS FI(DS)</v>
          </cell>
          <cell r="B97" t="str">
            <v>A9</v>
          </cell>
          <cell r="C97">
            <v>9</v>
          </cell>
          <cell r="D97" t="str">
            <v>Class A</v>
          </cell>
          <cell r="E97" t="str">
            <v>HONDA</v>
          </cell>
          <cell r="F97">
            <v>69950</v>
          </cell>
          <cell r="G97">
            <v>136</v>
          </cell>
          <cell r="H97">
            <v>96</v>
          </cell>
          <cell r="I97">
            <v>116</v>
          </cell>
          <cell r="J97">
            <v>348</v>
          </cell>
          <cell r="K97">
            <v>116</v>
          </cell>
          <cell r="L97">
            <v>24342600</v>
          </cell>
          <cell r="M97">
            <v>8114200</v>
          </cell>
          <cell r="N97">
            <v>3.8666666666666667</v>
          </cell>
          <cell r="O97">
            <v>293</v>
          </cell>
          <cell r="P97">
            <v>20495350</v>
          </cell>
          <cell r="Q97">
            <v>75.775862068965523</v>
          </cell>
          <cell r="R97">
            <v>45</v>
          </cell>
          <cell r="S97">
            <v>30</v>
          </cell>
          <cell r="T97">
            <v>75</v>
          </cell>
          <cell r="U97">
            <v>60</v>
          </cell>
          <cell r="V97">
            <v>90</v>
          </cell>
          <cell r="W97">
            <v>116</v>
          </cell>
          <cell r="X97">
            <v>290</v>
          </cell>
          <cell r="Y97">
            <v>232</v>
          </cell>
          <cell r="Z97">
            <v>348</v>
          </cell>
          <cell r="AA97" t="str">
            <v/>
          </cell>
        </row>
        <row r="98">
          <cell r="A98" t="str">
            <v>XRM MOTARD FI</v>
          </cell>
          <cell r="B98" t="str">
            <v>B4</v>
          </cell>
          <cell r="C98">
            <v>13</v>
          </cell>
          <cell r="D98" t="str">
            <v>Class B</v>
          </cell>
          <cell r="E98" t="str">
            <v>HONDA</v>
          </cell>
          <cell r="F98">
            <v>74550</v>
          </cell>
          <cell r="G98">
            <v>70</v>
          </cell>
          <cell r="H98">
            <v>62</v>
          </cell>
          <cell r="I98">
            <v>98</v>
          </cell>
          <cell r="J98">
            <v>230</v>
          </cell>
          <cell r="K98">
            <v>76.666666666666671</v>
          </cell>
          <cell r="L98">
            <v>17146500</v>
          </cell>
          <cell r="M98">
            <v>5715500</v>
          </cell>
          <cell r="N98">
            <v>2.5555555555555554</v>
          </cell>
          <cell r="O98">
            <v>86</v>
          </cell>
          <cell r="P98">
            <v>6411300</v>
          </cell>
          <cell r="Q98">
            <v>33.652173913043477</v>
          </cell>
          <cell r="R98">
            <v>45</v>
          </cell>
          <cell r="S98">
            <v>30</v>
          </cell>
          <cell r="T98">
            <v>75</v>
          </cell>
          <cell r="U98">
            <v>60</v>
          </cell>
          <cell r="V98">
            <v>90</v>
          </cell>
          <cell r="W98">
            <v>76.666666666666657</v>
          </cell>
          <cell r="X98">
            <v>191.66666666666666</v>
          </cell>
          <cell r="Y98">
            <v>153.33333333333331</v>
          </cell>
          <cell r="Z98">
            <v>229.99999999999997</v>
          </cell>
          <cell r="AA98" t="str">
            <v>Re-order</v>
          </cell>
        </row>
        <row r="99">
          <cell r="A99" t="str">
            <v>XRM OFFROAD FI(DSX)</v>
          </cell>
          <cell r="B99" t="str">
            <v>B7</v>
          </cell>
          <cell r="C99">
            <v>16</v>
          </cell>
          <cell r="D99" t="str">
            <v>Class B</v>
          </cell>
          <cell r="E99" t="str">
            <v>HONDA</v>
          </cell>
          <cell r="F99">
            <v>73170</v>
          </cell>
          <cell r="G99">
            <v>23</v>
          </cell>
          <cell r="H99">
            <v>57</v>
          </cell>
          <cell r="I99">
            <v>50</v>
          </cell>
          <cell r="J99">
            <v>130</v>
          </cell>
          <cell r="K99">
            <v>43.333333333333336</v>
          </cell>
          <cell r="L99">
            <v>9512100</v>
          </cell>
          <cell r="M99">
            <v>3170700</v>
          </cell>
          <cell r="N99">
            <v>1.4444444444444444</v>
          </cell>
          <cell r="O99">
            <v>110</v>
          </cell>
          <cell r="P99">
            <v>8048700</v>
          </cell>
          <cell r="Q99">
            <v>76.153846153846146</v>
          </cell>
          <cell r="R99">
            <v>45</v>
          </cell>
          <cell r="S99">
            <v>30</v>
          </cell>
          <cell r="T99">
            <v>75</v>
          </cell>
          <cell r="U99">
            <v>60</v>
          </cell>
          <cell r="V99">
            <v>90</v>
          </cell>
          <cell r="W99">
            <v>43.333333333333336</v>
          </cell>
          <cell r="X99">
            <v>108.33333333333333</v>
          </cell>
          <cell r="Y99">
            <v>86.666666666666671</v>
          </cell>
          <cell r="Z99">
            <v>130</v>
          </cell>
          <cell r="AA99" t="str">
            <v/>
          </cell>
        </row>
        <row r="100">
          <cell r="A100" t="str">
            <v>XRM RS</v>
          </cell>
          <cell r="B100" t="str">
            <v>B15</v>
          </cell>
          <cell r="C100">
            <v>24</v>
          </cell>
          <cell r="D100" t="str">
            <v>Class B</v>
          </cell>
          <cell r="E100" t="str">
            <v>HONDA</v>
          </cell>
          <cell r="F100">
            <v>73630</v>
          </cell>
          <cell r="G100">
            <v>16</v>
          </cell>
          <cell r="H100">
            <v>20</v>
          </cell>
          <cell r="I100">
            <v>24</v>
          </cell>
          <cell r="J100">
            <v>60</v>
          </cell>
          <cell r="K100">
            <v>20</v>
          </cell>
          <cell r="L100">
            <v>4417800</v>
          </cell>
          <cell r="M100">
            <v>1472600</v>
          </cell>
          <cell r="N100">
            <v>0.66666666666666663</v>
          </cell>
          <cell r="O100">
            <v>34</v>
          </cell>
          <cell r="P100">
            <v>2503420</v>
          </cell>
          <cell r="Q100">
            <v>51</v>
          </cell>
          <cell r="R100">
            <v>45</v>
          </cell>
          <cell r="S100">
            <v>30</v>
          </cell>
          <cell r="T100">
            <v>75</v>
          </cell>
          <cell r="U100">
            <v>60</v>
          </cell>
          <cell r="V100">
            <v>90</v>
          </cell>
          <cell r="W100">
            <v>20</v>
          </cell>
          <cell r="X100">
            <v>50</v>
          </cell>
          <cell r="Y100">
            <v>40</v>
          </cell>
          <cell r="Z100">
            <v>60</v>
          </cell>
          <cell r="AA100" t="str">
            <v>Re-order</v>
          </cell>
        </row>
        <row r="101">
          <cell r="A101" t="str">
            <v>XTZ125</v>
          </cell>
          <cell r="B101" t="str">
            <v>C1</v>
          </cell>
          <cell r="C101">
            <v>30</v>
          </cell>
          <cell r="D101" t="str">
            <v>Class C</v>
          </cell>
          <cell r="E101" t="str">
            <v>YAMAHA</v>
          </cell>
          <cell r="F101">
            <v>85446</v>
          </cell>
          <cell r="G101">
            <v>7</v>
          </cell>
          <cell r="H101">
            <v>16</v>
          </cell>
          <cell r="I101">
            <v>10</v>
          </cell>
          <cell r="J101">
            <v>33</v>
          </cell>
          <cell r="K101">
            <v>11</v>
          </cell>
          <cell r="L101">
            <v>2819718</v>
          </cell>
          <cell r="M101">
            <v>939906</v>
          </cell>
          <cell r="N101">
            <v>0.36666666666666664</v>
          </cell>
          <cell r="O101">
            <v>35</v>
          </cell>
          <cell r="P101">
            <v>2990610</v>
          </cell>
          <cell r="Q101">
            <v>95.454545454545453</v>
          </cell>
          <cell r="R101">
            <v>45</v>
          </cell>
          <cell r="S101">
            <v>30</v>
          </cell>
          <cell r="T101">
            <v>75</v>
          </cell>
          <cell r="U101">
            <v>60</v>
          </cell>
          <cell r="V101">
            <v>90</v>
          </cell>
          <cell r="W101">
            <v>11</v>
          </cell>
          <cell r="X101">
            <v>27.499999999999996</v>
          </cell>
          <cell r="Y101">
            <v>22</v>
          </cell>
          <cell r="Z101">
            <v>33</v>
          </cell>
          <cell r="AA101" t="str">
            <v>Over</v>
          </cell>
        </row>
        <row r="102">
          <cell r="A102" t="str">
            <v>YTX125</v>
          </cell>
          <cell r="B102" t="str">
            <v>C4</v>
          </cell>
          <cell r="C102">
            <v>33</v>
          </cell>
          <cell r="D102" t="str">
            <v>Class C</v>
          </cell>
          <cell r="E102" t="str">
            <v>YAMAHA</v>
          </cell>
          <cell r="F102">
            <v>54426</v>
          </cell>
          <cell r="G102">
            <v>12</v>
          </cell>
          <cell r="H102">
            <v>10</v>
          </cell>
          <cell r="I102">
            <v>17</v>
          </cell>
          <cell r="J102">
            <v>39</v>
          </cell>
          <cell r="K102">
            <v>13</v>
          </cell>
          <cell r="L102">
            <v>2122614</v>
          </cell>
          <cell r="M102">
            <v>707538</v>
          </cell>
          <cell r="N102">
            <v>0.43333333333333335</v>
          </cell>
          <cell r="O102">
            <v>27</v>
          </cell>
          <cell r="P102">
            <v>1469502</v>
          </cell>
          <cell r="Q102">
            <v>62.307692307692314</v>
          </cell>
          <cell r="R102">
            <v>45</v>
          </cell>
          <cell r="S102">
            <v>30</v>
          </cell>
          <cell r="T102">
            <v>75</v>
          </cell>
          <cell r="U102">
            <v>60</v>
          </cell>
          <cell r="V102">
            <v>90</v>
          </cell>
          <cell r="W102">
            <v>13</v>
          </cell>
          <cell r="X102">
            <v>32.5</v>
          </cell>
          <cell r="Y102">
            <v>26</v>
          </cell>
          <cell r="Z102">
            <v>39</v>
          </cell>
          <cell r="AA102" t="str">
            <v>Re-order</v>
          </cell>
        </row>
      </sheetData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st Masterlist"/>
      <sheetName val="Raw Sales"/>
      <sheetName val="Raw Inventory"/>
      <sheetName val="MC Masterlist 2026-09-11"/>
      <sheetName val="Branch-Area Masterlist"/>
      <sheetName val="Class ABC"/>
      <sheetName val="Class ABC - Branch"/>
      <sheetName val="Distribution"/>
      <sheetName val="Re-order"/>
      <sheetName val="PO Balance"/>
    </sheetNames>
    <sheetDataSet>
      <sheetData sheetId="0"/>
      <sheetData sheetId="1">
        <row r="2">
          <cell r="B2" t="str">
            <v>Standard Description</v>
          </cell>
          <cell r="G2" t="str">
            <v>Last 30D Sale per branch</v>
          </cell>
          <cell r="H2" t="str">
            <v>Last 60D Sale per branch</v>
          </cell>
          <cell r="I2" t="str">
            <v xml:space="preserve">Last 90D Sale per branch </v>
          </cell>
        </row>
        <row r="3">
          <cell r="B3" t="str">
            <v>XRM MOTARD FI</v>
          </cell>
          <cell r="G3">
            <v>1</v>
          </cell>
        </row>
        <row r="4">
          <cell r="B4" t="str">
            <v>MIO GRAVIS</v>
          </cell>
          <cell r="H4">
            <v>1</v>
          </cell>
        </row>
        <row r="5">
          <cell r="B5" t="str">
            <v>XRM RS</v>
          </cell>
          <cell r="G5">
            <v>1</v>
          </cell>
        </row>
        <row r="6">
          <cell r="B6" t="str">
            <v>ADV160</v>
          </cell>
          <cell r="G6">
            <v>1</v>
          </cell>
        </row>
        <row r="7">
          <cell r="B7" t="str">
            <v>CT125</v>
          </cell>
          <cell r="H7">
            <v>1</v>
          </cell>
        </row>
        <row r="8">
          <cell r="B8" t="str">
            <v>CT125</v>
          </cell>
          <cell r="G8">
            <v>4</v>
          </cell>
          <cell r="H8">
            <v>7</v>
          </cell>
          <cell r="I8">
            <v>4</v>
          </cell>
        </row>
        <row r="9">
          <cell r="B9" t="str">
            <v>XRM DUAL SPORTS FI(DS)</v>
          </cell>
          <cell r="H9">
            <v>1</v>
          </cell>
          <cell r="I9">
            <v>3</v>
          </cell>
        </row>
        <row r="10">
          <cell r="B10" t="str">
            <v>NMAX155 TECHMAX</v>
          </cell>
          <cell r="I10">
            <v>1</v>
          </cell>
        </row>
        <row r="11">
          <cell r="B11" t="str">
            <v>ADV160</v>
          </cell>
          <cell r="H11">
            <v>1</v>
          </cell>
        </row>
        <row r="12">
          <cell r="B12" t="str">
            <v>XRM OFFROAD FI(DSX)</v>
          </cell>
          <cell r="G12">
            <v>1</v>
          </cell>
          <cell r="H12">
            <v>1</v>
          </cell>
        </row>
        <row r="13">
          <cell r="B13" t="str">
            <v>MIO AEROX 155</v>
          </cell>
          <cell r="I13">
            <v>2</v>
          </cell>
        </row>
        <row r="14">
          <cell r="B14" t="str">
            <v>NMAX155 FI ABS</v>
          </cell>
          <cell r="G14">
            <v>4</v>
          </cell>
          <cell r="H14">
            <v>8</v>
          </cell>
          <cell r="I14">
            <v>8</v>
          </cell>
        </row>
        <row r="15">
          <cell r="B15" t="str">
            <v>BAJAJ RE 4S FI</v>
          </cell>
          <cell r="G15">
            <v>2</v>
          </cell>
          <cell r="H15">
            <v>2</v>
          </cell>
          <cell r="I15">
            <v>3</v>
          </cell>
        </row>
        <row r="16">
          <cell r="B16" t="str">
            <v>ADV350</v>
          </cell>
          <cell r="G16">
            <v>1</v>
          </cell>
          <cell r="H16">
            <v>1</v>
          </cell>
          <cell r="I16">
            <v>2</v>
          </cell>
        </row>
        <row r="17">
          <cell r="B17" t="str">
            <v>TMX150 SUPREMO</v>
          </cell>
          <cell r="I17">
            <v>1</v>
          </cell>
        </row>
        <row r="18">
          <cell r="B18" t="str">
            <v>NMAX155 FI ABS</v>
          </cell>
          <cell r="G18">
            <v>2</v>
          </cell>
          <cell r="H18">
            <v>1</v>
          </cell>
        </row>
        <row r="19">
          <cell r="B19" t="str">
            <v>FAZZIO</v>
          </cell>
          <cell r="I19">
            <v>1</v>
          </cell>
        </row>
        <row r="20">
          <cell r="B20" t="str">
            <v>NAVI</v>
          </cell>
          <cell r="G20">
            <v>1</v>
          </cell>
          <cell r="H20">
            <v>1</v>
          </cell>
        </row>
        <row r="21">
          <cell r="B21" t="str">
            <v>KLX150</v>
          </cell>
          <cell r="G21">
            <v>1</v>
          </cell>
          <cell r="H21">
            <v>2</v>
          </cell>
          <cell r="I21">
            <v>3</v>
          </cell>
        </row>
        <row r="22">
          <cell r="B22" t="str">
            <v>YTX125</v>
          </cell>
          <cell r="H22">
            <v>1</v>
          </cell>
        </row>
        <row r="23">
          <cell r="B23" t="str">
            <v>NMAX155 FI ABS</v>
          </cell>
          <cell r="G23">
            <v>1</v>
          </cell>
          <cell r="H23">
            <v>1</v>
          </cell>
        </row>
        <row r="24">
          <cell r="B24" t="str">
            <v>RAIDER150 FI BLADE</v>
          </cell>
          <cell r="I24">
            <v>1</v>
          </cell>
        </row>
        <row r="25">
          <cell r="B25" t="str">
            <v>TMX ALPHA FI</v>
          </cell>
          <cell r="H25">
            <v>1</v>
          </cell>
          <cell r="I25">
            <v>1</v>
          </cell>
        </row>
        <row r="26">
          <cell r="B26" t="str">
            <v>BAJAJ RE 4S FI</v>
          </cell>
          <cell r="G26">
            <v>3</v>
          </cell>
          <cell r="H26">
            <v>1</v>
          </cell>
          <cell r="I26">
            <v>2</v>
          </cell>
        </row>
        <row r="27">
          <cell r="B27" t="str">
            <v>SMASH(SPOKE)</v>
          </cell>
          <cell r="G27">
            <v>2</v>
          </cell>
        </row>
        <row r="28">
          <cell r="B28" t="str">
            <v>CLICK160 FI</v>
          </cell>
          <cell r="H28">
            <v>3</v>
          </cell>
          <cell r="I28">
            <v>5</v>
          </cell>
        </row>
        <row r="29">
          <cell r="B29" t="str">
            <v>XR150</v>
          </cell>
          <cell r="H29">
            <v>2</v>
          </cell>
        </row>
        <row r="30">
          <cell r="B30" t="str">
            <v>AVENIS125</v>
          </cell>
          <cell r="G30">
            <v>2</v>
          </cell>
          <cell r="H30">
            <v>1</v>
          </cell>
        </row>
        <row r="31">
          <cell r="B31" t="str">
            <v>NMAX155 TECHMAX</v>
          </cell>
          <cell r="I31">
            <v>1</v>
          </cell>
        </row>
        <row r="32">
          <cell r="B32" t="str">
            <v>XTZ125</v>
          </cell>
          <cell r="H32">
            <v>2</v>
          </cell>
        </row>
        <row r="33">
          <cell r="B33" t="str">
            <v>BEAT FI PREM</v>
          </cell>
          <cell r="I33">
            <v>1</v>
          </cell>
        </row>
        <row r="34">
          <cell r="B34" t="str">
            <v>FAZZIO</v>
          </cell>
          <cell r="G34">
            <v>1</v>
          </cell>
        </row>
        <row r="35">
          <cell r="B35" t="str">
            <v>XRM OFFROAD FI(DSX)</v>
          </cell>
          <cell r="G35">
            <v>2</v>
          </cell>
        </row>
        <row r="36">
          <cell r="B36" t="str">
            <v>TMX150 SUPREMO</v>
          </cell>
          <cell r="H36">
            <v>1</v>
          </cell>
        </row>
        <row r="37">
          <cell r="B37" t="str">
            <v>PCX160 CBS</v>
          </cell>
          <cell r="G37">
            <v>1</v>
          </cell>
        </row>
        <row r="38">
          <cell r="B38" t="str">
            <v>ADV160</v>
          </cell>
          <cell r="G38">
            <v>5</v>
          </cell>
          <cell r="I38">
            <v>1</v>
          </cell>
        </row>
        <row r="39">
          <cell r="B39" t="str">
            <v>XTZ125</v>
          </cell>
          <cell r="G39">
            <v>1</v>
          </cell>
          <cell r="H39">
            <v>1</v>
          </cell>
          <cell r="I39">
            <v>1</v>
          </cell>
        </row>
        <row r="40">
          <cell r="B40" t="str">
            <v>BARAKO III FI(DUAL START)</v>
          </cell>
          <cell r="G40">
            <v>1</v>
          </cell>
        </row>
        <row r="41">
          <cell r="B41" t="str">
            <v>RAIDER150 FI BLADE</v>
          </cell>
          <cell r="G41">
            <v>1</v>
          </cell>
          <cell r="H41">
            <v>1</v>
          </cell>
          <cell r="I41">
            <v>2</v>
          </cell>
        </row>
        <row r="42">
          <cell r="B42" t="str">
            <v>ADV160</v>
          </cell>
          <cell r="I42">
            <v>1</v>
          </cell>
        </row>
        <row r="43">
          <cell r="B43" t="str">
            <v>ADV160</v>
          </cell>
          <cell r="G43">
            <v>1</v>
          </cell>
          <cell r="H43">
            <v>1</v>
          </cell>
        </row>
        <row r="44">
          <cell r="B44" t="str">
            <v>ADV160 ROADSYNC</v>
          </cell>
          <cell r="H44">
            <v>1</v>
          </cell>
        </row>
        <row r="45">
          <cell r="B45" t="str">
            <v>XR150</v>
          </cell>
          <cell r="G45">
            <v>2</v>
          </cell>
          <cell r="H45">
            <v>1</v>
          </cell>
        </row>
        <row r="46">
          <cell r="B46" t="str">
            <v>WINNER X ABS</v>
          </cell>
          <cell r="I46">
            <v>1</v>
          </cell>
        </row>
        <row r="47">
          <cell r="B47" t="str">
            <v>ADV160</v>
          </cell>
          <cell r="H47">
            <v>1</v>
          </cell>
          <cell r="I47">
            <v>1</v>
          </cell>
        </row>
        <row r="48">
          <cell r="B48" t="str">
            <v>YTX125</v>
          </cell>
          <cell r="G48">
            <v>1</v>
          </cell>
        </row>
        <row r="49">
          <cell r="B49" t="str">
            <v>XRM DUAL SPORTS FI(DS)</v>
          </cell>
          <cell r="G49">
            <v>1</v>
          </cell>
        </row>
        <row r="50">
          <cell r="B50" t="str">
            <v>PG-1</v>
          </cell>
          <cell r="G50">
            <v>1</v>
          </cell>
        </row>
        <row r="51">
          <cell r="B51" t="str">
            <v>XTZ125</v>
          </cell>
          <cell r="G51">
            <v>1</v>
          </cell>
          <cell r="H51">
            <v>2</v>
          </cell>
        </row>
        <row r="52">
          <cell r="B52" t="str">
            <v>XRM DUAL SPORTS FI(DS)</v>
          </cell>
          <cell r="H52">
            <v>1</v>
          </cell>
          <cell r="I52">
            <v>1</v>
          </cell>
        </row>
        <row r="53">
          <cell r="B53" t="str">
            <v>CT100</v>
          </cell>
          <cell r="H53">
            <v>1</v>
          </cell>
          <cell r="I53">
            <v>1</v>
          </cell>
        </row>
        <row r="54">
          <cell r="B54" t="str">
            <v>BARAKO II (DUAL START)</v>
          </cell>
          <cell r="G54">
            <v>1</v>
          </cell>
          <cell r="I54">
            <v>1</v>
          </cell>
        </row>
        <row r="55">
          <cell r="B55" t="str">
            <v>MIO i125</v>
          </cell>
          <cell r="G55">
            <v>1</v>
          </cell>
          <cell r="H55">
            <v>1</v>
          </cell>
        </row>
        <row r="56">
          <cell r="B56" t="str">
            <v>CLICK125 FI</v>
          </cell>
          <cell r="G56">
            <v>5</v>
          </cell>
          <cell r="I56">
            <v>2</v>
          </cell>
        </row>
        <row r="57">
          <cell r="B57" t="str">
            <v>CT125</v>
          </cell>
          <cell r="G57">
            <v>2</v>
          </cell>
          <cell r="H57">
            <v>1</v>
          </cell>
          <cell r="I57">
            <v>2</v>
          </cell>
        </row>
        <row r="58">
          <cell r="B58" t="str">
            <v>NAVI</v>
          </cell>
          <cell r="H58">
            <v>1</v>
          </cell>
        </row>
        <row r="59">
          <cell r="B59" t="str">
            <v>CRF150</v>
          </cell>
          <cell r="H59">
            <v>1</v>
          </cell>
          <cell r="I59">
            <v>3</v>
          </cell>
        </row>
        <row r="60">
          <cell r="B60" t="str">
            <v>CT100</v>
          </cell>
          <cell r="G60">
            <v>2</v>
          </cell>
          <cell r="H60">
            <v>2</v>
          </cell>
          <cell r="I60">
            <v>7</v>
          </cell>
        </row>
        <row r="61">
          <cell r="B61" t="str">
            <v>BRUSKY125</v>
          </cell>
          <cell r="H61">
            <v>1</v>
          </cell>
        </row>
        <row r="62">
          <cell r="B62" t="str">
            <v>BAJAJ RE 4S FI</v>
          </cell>
          <cell r="G62">
            <v>1</v>
          </cell>
          <cell r="H62">
            <v>1</v>
          </cell>
          <cell r="I62">
            <v>3</v>
          </cell>
        </row>
        <row r="63">
          <cell r="B63" t="str">
            <v>ADV160</v>
          </cell>
          <cell r="H63">
            <v>1</v>
          </cell>
          <cell r="I63">
            <v>1</v>
          </cell>
        </row>
        <row r="64">
          <cell r="B64" t="str">
            <v>XR150</v>
          </cell>
          <cell r="I64">
            <v>1</v>
          </cell>
        </row>
        <row r="65">
          <cell r="B65" t="str">
            <v>BAJAJ RE 4S FI</v>
          </cell>
          <cell r="G65">
            <v>1</v>
          </cell>
          <cell r="I65">
            <v>1</v>
          </cell>
        </row>
        <row r="66">
          <cell r="B66" t="str">
            <v>BAJAJ RE 4S FI</v>
          </cell>
          <cell r="G66">
            <v>1</v>
          </cell>
          <cell r="H66">
            <v>2</v>
          </cell>
          <cell r="I66">
            <v>1</v>
          </cell>
        </row>
        <row r="67">
          <cell r="B67" t="str">
            <v>CLICK125 FI</v>
          </cell>
          <cell r="G67">
            <v>1</v>
          </cell>
        </row>
        <row r="68">
          <cell r="B68" t="str">
            <v>WINNER X RC</v>
          </cell>
          <cell r="G68">
            <v>1</v>
          </cell>
        </row>
        <row r="69">
          <cell r="B69" t="str">
            <v>ADV160</v>
          </cell>
          <cell r="I69">
            <v>1</v>
          </cell>
        </row>
        <row r="70">
          <cell r="B70" t="str">
            <v>MIO AEROX 155</v>
          </cell>
          <cell r="G70">
            <v>1</v>
          </cell>
        </row>
        <row r="71">
          <cell r="B71" t="str">
            <v>KLX150</v>
          </cell>
          <cell r="G71">
            <v>1</v>
          </cell>
        </row>
        <row r="72">
          <cell r="B72" t="str">
            <v>BARAKO II (KICK START)</v>
          </cell>
          <cell r="G72">
            <v>1</v>
          </cell>
        </row>
        <row r="73">
          <cell r="B73" t="str">
            <v>CLICK160 FI</v>
          </cell>
          <cell r="I73">
            <v>1</v>
          </cell>
        </row>
        <row r="74">
          <cell r="B74" t="str">
            <v>MIO i125</v>
          </cell>
          <cell r="H74">
            <v>1</v>
          </cell>
        </row>
        <row r="75">
          <cell r="B75" t="str">
            <v>KLX150</v>
          </cell>
          <cell r="G75">
            <v>1</v>
          </cell>
          <cell r="H75">
            <v>2</v>
          </cell>
          <cell r="I75">
            <v>6</v>
          </cell>
        </row>
        <row r="76">
          <cell r="B76" t="str">
            <v>XTZ125</v>
          </cell>
          <cell r="H76">
            <v>1</v>
          </cell>
        </row>
        <row r="77">
          <cell r="B77" t="str">
            <v>TMX ALPHA FI</v>
          </cell>
          <cell r="I77">
            <v>2</v>
          </cell>
        </row>
        <row r="78">
          <cell r="B78" t="str">
            <v>CLICK160 FI</v>
          </cell>
          <cell r="H78">
            <v>1</v>
          </cell>
        </row>
        <row r="79">
          <cell r="B79" t="str">
            <v>SNIPER 155 FI</v>
          </cell>
          <cell r="I79">
            <v>1</v>
          </cell>
        </row>
        <row r="80">
          <cell r="B80" t="str">
            <v>BAJAJ RE 4S FI</v>
          </cell>
          <cell r="G80">
            <v>3</v>
          </cell>
          <cell r="H80">
            <v>7</v>
          </cell>
          <cell r="I80">
            <v>5</v>
          </cell>
        </row>
        <row r="81">
          <cell r="B81" t="str">
            <v>CLICK160 FI</v>
          </cell>
          <cell r="G81">
            <v>1</v>
          </cell>
          <cell r="I81">
            <v>1</v>
          </cell>
        </row>
        <row r="82">
          <cell r="B82" t="str">
            <v>CRF150</v>
          </cell>
          <cell r="I82">
            <v>1</v>
          </cell>
        </row>
        <row r="83">
          <cell r="B83" t="str">
            <v>ADV160</v>
          </cell>
          <cell r="G83">
            <v>2</v>
          </cell>
        </row>
        <row r="84">
          <cell r="B84" t="str">
            <v>MIO AEROX 155</v>
          </cell>
          <cell r="G84">
            <v>1</v>
          </cell>
        </row>
        <row r="85">
          <cell r="B85" t="str">
            <v>MIO AEROX 155</v>
          </cell>
          <cell r="I85">
            <v>1</v>
          </cell>
        </row>
        <row r="86">
          <cell r="B86" t="str">
            <v>WAVE RSX(DISC)</v>
          </cell>
          <cell r="I86">
            <v>1</v>
          </cell>
        </row>
        <row r="87">
          <cell r="B87" t="str">
            <v>XR150</v>
          </cell>
          <cell r="G87">
            <v>2</v>
          </cell>
        </row>
        <row r="88">
          <cell r="B88" t="str">
            <v>SMASH(SPOKE)</v>
          </cell>
          <cell r="H88">
            <v>1</v>
          </cell>
        </row>
        <row r="89">
          <cell r="B89" t="str">
            <v>CLICK160 FI</v>
          </cell>
          <cell r="H89">
            <v>1</v>
          </cell>
        </row>
        <row r="90">
          <cell r="B90" t="str">
            <v>XRM MOTARD FI</v>
          </cell>
          <cell r="G90">
            <v>3</v>
          </cell>
          <cell r="H90">
            <v>2</v>
          </cell>
          <cell r="I90">
            <v>1</v>
          </cell>
        </row>
        <row r="91">
          <cell r="B91" t="str">
            <v>CLICK125 FI</v>
          </cell>
          <cell r="G91">
            <v>7</v>
          </cell>
          <cell r="H91">
            <v>1</v>
          </cell>
          <cell r="I91">
            <v>3</v>
          </cell>
        </row>
        <row r="92">
          <cell r="B92" t="str">
            <v>NMAX155 TECHMAX</v>
          </cell>
          <cell r="G92">
            <v>1</v>
          </cell>
        </row>
        <row r="93">
          <cell r="B93" t="str">
            <v>BARAKO II (DUAL START)</v>
          </cell>
          <cell r="G93">
            <v>2</v>
          </cell>
          <cell r="H93">
            <v>1</v>
          </cell>
          <cell r="I93">
            <v>4</v>
          </cell>
        </row>
        <row r="94">
          <cell r="B94" t="str">
            <v>CT100B</v>
          </cell>
          <cell r="H94">
            <v>1</v>
          </cell>
        </row>
        <row r="95">
          <cell r="B95" t="str">
            <v>CLICK160 FI</v>
          </cell>
          <cell r="G95">
            <v>1</v>
          </cell>
          <cell r="H95">
            <v>1</v>
          </cell>
        </row>
        <row r="96">
          <cell r="B96" t="str">
            <v>NMAX155 FI ABS</v>
          </cell>
          <cell r="G96">
            <v>3</v>
          </cell>
          <cell r="H96">
            <v>1</v>
          </cell>
        </row>
        <row r="97">
          <cell r="B97" t="str">
            <v>MIO i125</v>
          </cell>
          <cell r="H97">
            <v>1</v>
          </cell>
        </row>
        <row r="98">
          <cell r="B98" t="str">
            <v>CLICK125 FI SE</v>
          </cell>
          <cell r="G98">
            <v>1</v>
          </cell>
          <cell r="H98">
            <v>11</v>
          </cell>
          <cell r="I98">
            <v>7</v>
          </cell>
        </row>
        <row r="99">
          <cell r="B99" t="str">
            <v>BARAKO II (DUAL START)</v>
          </cell>
          <cell r="G99">
            <v>1</v>
          </cell>
        </row>
        <row r="100">
          <cell r="B100" t="str">
            <v>CT100B</v>
          </cell>
          <cell r="G100">
            <v>1</v>
          </cell>
        </row>
        <row r="101">
          <cell r="B101" t="str">
            <v>TMX ALPHA FI</v>
          </cell>
          <cell r="G101">
            <v>1</v>
          </cell>
          <cell r="I101">
            <v>1</v>
          </cell>
        </row>
        <row r="102">
          <cell r="B102" t="str">
            <v>RAIDER150 FI BLADE</v>
          </cell>
          <cell r="G102">
            <v>1</v>
          </cell>
        </row>
        <row r="103">
          <cell r="B103" t="str">
            <v>GIORNO</v>
          </cell>
          <cell r="G103">
            <v>2</v>
          </cell>
          <cell r="I103">
            <v>2</v>
          </cell>
        </row>
        <row r="104">
          <cell r="B104" t="str">
            <v>CT125</v>
          </cell>
          <cell r="G104">
            <v>16</v>
          </cell>
          <cell r="H104">
            <v>29</v>
          </cell>
          <cell r="I104">
            <v>23</v>
          </cell>
        </row>
        <row r="105">
          <cell r="B105" t="str">
            <v>CLICK125 FI</v>
          </cell>
          <cell r="G105">
            <v>1</v>
          </cell>
          <cell r="H105">
            <v>1</v>
          </cell>
          <cell r="I105">
            <v>2</v>
          </cell>
        </row>
        <row r="106">
          <cell r="B106" t="str">
            <v>CRF150</v>
          </cell>
          <cell r="I106">
            <v>1</v>
          </cell>
        </row>
        <row r="107">
          <cell r="B107" t="str">
            <v>CLICK125 FI SE</v>
          </cell>
          <cell r="H107">
            <v>1</v>
          </cell>
          <cell r="I107">
            <v>1</v>
          </cell>
        </row>
        <row r="108">
          <cell r="B108" t="str">
            <v>CLICK125 FI SE</v>
          </cell>
          <cell r="G108">
            <v>2</v>
          </cell>
        </row>
        <row r="109">
          <cell r="B109" t="str">
            <v>ADV160</v>
          </cell>
          <cell r="H109">
            <v>1</v>
          </cell>
        </row>
        <row r="110">
          <cell r="B110" t="str">
            <v>RAIDER150 FI BLADE</v>
          </cell>
          <cell r="G110">
            <v>1</v>
          </cell>
        </row>
        <row r="111">
          <cell r="B111" t="str">
            <v>ADV160</v>
          </cell>
          <cell r="G111">
            <v>1</v>
          </cell>
          <cell r="H111">
            <v>1</v>
          </cell>
        </row>
        <row r="112">
          <cell r="B112" t="str">
            <v>BAJAJ RE 4S FI</v>
          </cell>
          <cell r="H112">
            <v>1</v>
          </cell>
        </row>
        <row r="113">
          <cell r="B113" t="str">
            <v>PCX160 ROADSYNC</v>
          </cell>
          <cell r="G113">
            <v>1</v>
          </cell>
        </row>
        <row r="114">
          <cell r="B114" t="str">
            <v>ADV160</v>
          </cell>
          <cell r="G114">
            <v>1</v>
          </cell>
        </row>
        <row r="115">
          <cell r="B115" t="str">
            <v>NMAX155 TECHMAX</v>
          </cell>
          <cell r="H115">
            <v>1</v>
          </cell>
        </row>
        <row r="116">
          <cell r="B116" t="str">
            <v>ADV160</v>
          </cell>
          <cell r="G116">
            <v>1</v>
          </cell>
        </row>
        <row r="117">
          <cell r="B117" t="str">
            <v>LEXI 155</v>
          </cell>
          <cell r="I117">
            <v>2</v>
          </cell>
        </row>
        <row r="118">
          <cell r="B118" t="str">
            <v>WIZARD</v>
          </cell>
          <cell r="H118">
            <v>1</v>
          </cell>
        </row>
        <row r="119">
          <cell r="B119" t="str">
            <v>MIO AEROX 155</v>
          </cell>
          <cell r="G119">
            <v>1</v>
          </cell>
          <cell r="I119">
            <v>2</v>
          </cell>
        </row>
        <row r="120">
          <cell r="B120" t="str">
            <v>BARAKO II (KICK START)</v>
          </cell>
          <cell r="G120">
            <v>1</v>
          </cell>
        </row>
        <row r="121">
          <cell r="B121" t="str">
            <v>CLICK125 FI SE</v>
          </cell>
          <cell r="H121">
            <v>1</v>
          </cell>
        </row>
        <row r="122">
          <cell r="B122" t="str">
            <v>BEAT FI PREM</v>
          </cell>
          <cell r="G122">
            <v>1</v>
          </cell>
        </row>
        <row r="123">
          <cell r="B123" t="str">
            <v>RAIDER150 FI PRO</v>
          </cell>
          <cell r="I123">
            <v>1</v>
          </cell>
        </row>
        <row r="124">
          <cell r="B124" t="str">
            <v>CT125</v>
          </cell>
          <cell r="G124">
            <v>1</v>
          </cell>
          <cell r="H124">
            <v>1</v>
          </cell>
          <cell r="I124">
            <v>1</v>
          </cell>
        </row>
        <row r="125">
          <cell r="B125" t="str">
            <v>CLICK125 FI</v>
          </cell>
          <cell r="G125">
            <v>5</v>
          </cell>
          <cell r="H125">
            <v>2</v>
          </cell>
          <cell r="I125">
            <v>3</v>
          </cell>
        </row>
        <row r="126">
          <cell r="B126" t="str">
            <v>YTX125</v>
          </cell>
          <cell r="I126">
            <v>1</v>
          </cell>
        </row>
        <row r="127">
          <cell r="B127" t="str">
            <v>XRM MOTARD FI</v>
          </cell>
          <cell r="G127">
            <v>4</v>
          </cell>
          <cell r="H127">
            <v>3</v>
          </cell>
          <cell r="I127">
            <v>3</v>
          </cell>
        </row>
        <row r="128">
          <cell r="B128" t="str">
            <v>MIO AEROX 155</v>
          </cell>
          <cell r="H128">
            <v>4</v>
          </cell>
          <cell r="I128">
            <v>1</v>
          </cell>
        </row>
        <row r="129">
          <cell r="B129" t="str">
            <v>ADV350</v>
          </cell>
          <cell r="H129">
            <v>1</v>
          </cell>
        </row>
        <row r="130">
          <cell r="B130" t="str">
            <v>CT100B</v>
          </cell>
          <cell r="G130">
            <v>2</v>
          </cell>
        </row>
        <row r="131">
          <cell r="B131" t="str">
            <v>MIO i125</v>
          </cell>
          <cell r="I131">
            <v>1</v>
          </cell>
        </row>
        <row r="132">
          <cell r="B132" t="str">
            <v>CT125</v>
          </cell>
          <cell r="G132">
            <v>5</v>
          </cell>
          <cell r="H132">
            <v>16</v>
          </cell>
          <cell r="I132">
            <v>18</v>
          </cell>
        </row>
        <row r="133">
          <cell r="B133" t="str">
            <v>NAVI</v>
          </cell>
          <cell r="G133">
            <v>1</v>
          </cell>
        </row>
        <row r="134">
          <cell r="B134" t="str">
            <v>MIO GEAR</v>
          </cell>
          <cell r="I134">
            <v>1</v>
          </cell>
        </row>
        <row r="135">
          <cell r="B135" t="str">
            <v>CLICK125 FI</v>
          </cell>
          <cell r="H135">
            <v>1</v>
          </cell>
          <cell r="I135">
            <v>8</v>
          </cell>
        </row>
        <row r="136">
          <cell r="B136" t="str">
            <v>XRM DUAL SPORTS FI(DS)</v>
          </cell>
          <cell r="G136">
            <v>1</v>
          </cell>
          <cell r="I136">
            <v>2</v>
          </cell>
        </row>
        <row r="137">
          <cell r="B137" t="str">
            <v>NMAX155 FI ABS</v>
          </cell>
          <cell r="G137">
            <v>1</v>
          </cell>
        </row>
        <row r="138">
          <cell r="B138" t="str">
            <v>XRM OFFROAD FI(DSX)</v>
          </cell>
          <cell r="G138">
            <v>1</v>
          </cell>
          <cell r="H138">
            <v>4</v>
          </cell>
          <cell r="I138">
            <v>1</v>
          </cell>
        </row>
        <row r="139">
          <cell r="B139" t="str">
            <v>ADV160</v>
          </cell>
          <cell r="H139">
            <v>2</v>
          </cell>
          <cell r="I139">
            <v>1</v>
          </cell>
        </row>
        <row r="140">
          <cell r="B140" t="str">
            <v>YTX125</v>
          </cell>
          <cell r="H140">
            <v>1</v>
          </cell>
        </row>
        <row r="141">
          <cell r="B141" t="str">
            <v>MIO i125</v>
          </cell>
          <cell r="I141">
            <v>1</v>
          </cell>
        </row>
        <row r="142">
          <cell r="B142" t="str">
            <v>KLX150</v>
          </cell>
          <cell r="G142">
            <v>2</v>
          </cell>
          <cell r="H142">
            <v>1</v>
          </cell>
          <cell r="I142">
            <v>3</v>
          </cell>
        </row>
        <row r="143">
          <cell r="B143" t="str">
            <v>CLICK125 FI SE</v>
          </cell>
          <cell r="I143">
            <v>1</v>
          </cell>
        </row>
        <row r="144">
          <cell r="B144" t="str">
            <v>PCX160 ABS</v>
          </cell>
          <cell r="G144">
            <v>1</v>
          </cell>
        </row>
        <row r="145">
          <cell r="B145" t="str">
            <v>BARAKO II (DUAL START)</v>
          </cell>
          <cell r="G145">
            <v>1</v>
          </cell>
          <cell r="H145">
            <v>4</v>
          </cell>
          <cell r="I145">
            <v>1</v>
          </cell>
        </row>
        <row r="146">
          <cell r="B146" t="str">
            <v>RAIDER150 FI BLADE</v>
          </cell>
          <cell r="G146">
            <v>1</v>
          </cell>
        </row>
        <row r="147">
          <cell r="B147" t="str">
            <v>SMASH(SPOKE)</v>
          </cell>
          <cell r="G147">
            <v>1</v>
          </cell>
          <cell r="I147">
            <v>1</v>
          </cell>
        </row>
        <row r="148">
          <cell r="B148" t="str">
            <v>CRF150</v>
          </cell>
          <cell r="H148">
            <v>2</v>
          </cell>
        </row>
        <row r="149">
          <cell r="B149" t="str">
            <v>CLICK160 FI</v>
          </cell>
          <cell r="G149">
            <v>4</v>
          </cell>
          <cell r="H149">
            <v>2</v>
          </cell>
        </row>
        <row r="150">
          <cell r="B150" t="str">
            <v>TMX150 SUPREMO</v>
          </cell>
          <cell r="H150">
            <v>1</v>
          </cell>
        </row>
        <row r="151">
          <cell r="B151" t="str">
            <v>CT125</v>
          </cell>
          <cell r="G151">
            <v>4</v>
          </cell>
          <cell r="H151">
            <v>3</v>
          </cell>
          <cell r="I151">
            <v>3</v>
          </cell>
        </row>
        <row r="152">
          <cell r="B152" t="str">
            <v>NMAX155 TECHMAX</v>
          </cell>
          <cell r="I152">
            <v>1</v>
          </cell>
        </row>
        <row r="153">
          <cell r="B153" t="str">
            <v>CRF150</v>
          </cell>
          <cell r="H153">
            <v>1</v>
          </cell>
        </row>
        <row r="154">
          <cell r="B154" t="str">
            <v>XTZ125</v>
          </cell>
          <cell r="G154">
            <v>1</v>
          </cell>
        </row>
        <row r="155">
          <cell r="B155" t="str">
            <v>XRM RS</v>
          </cell>
          <cell r="G155">
            <v>1</v>
          </cell>
        </row>
        <row r="156">
          <cell r="B156" t="str">
            <v>TMX ALPHA FI</v>
          </cell>
          <cell r="G156">
            <v>1</v>
          </cell>
        </row>
        <row r="157">
          <cell r="B157" t="str">
            <v>CT125</v>
          </cell>
          <cell r="G157">
            <v>1</v>
          </cell>
          <cell r="H157">
            <v>1</v>
          </cell>
          <cell r="I157">
            <v>1</v>
          </cell>
        </row>
        <row r="158">
          <cell r="B158" t="str">
            <v>XRM DUAL SPORTS FI(DS)</v>
          </cell>
          <cell r="G158">
            <v>1</v>
          </cell>
        </row>
        <row r="159">
          <cell r="B159" t="str">
            <v>XRM MOTARD FI</v>
          </cell>
          <cell r="I159">
            <v>2</v>
          </cell>
        </row>
        <row r="160">
          <cell r="B160" t="str">
            <v>CLICK125 FI</v>
          </cell>
          <cell r="H160">
            <v>4</v>
          </cell>
          <cell r="I160">
            <v>3</v>
          </cell>
        </row>
        <row r="161">
          <cell r="B161" t="str">
            <v>BARAKO II (DUAL START)</v>
          </cell>
          <cell r="H161">
            <v>1</v>
          </cell>
        </row>
        <row r="162">
          <cell r="B162" t="str">
            <v>XRM DUAL SPORTS FI(DS)</v>
          </cell>
          <cell r="G162">
            <v>4</v>
          </cell>
          <cell r="H162">
            <v>5</v>
          </cell>
          <cell r="I162">
            <v>2</v>
          </cell>
        </row>
        <row r="163">
          <cell r="B163" t="str">
            <v>MIO AEROX 155</v>
          </cell>
          <cell r="G163">
            <v>1</v>
          </cell>
          <cell r="H163">
            <v>2</v>
          </cell>
          <cell r="I163">
            <v>1</v>
          </cell>
        </row>
        <row r="164">
          <cell r="B164" t="str">
            <v>WINNER X RC</v>
          </cell>
          <cell r="I164">
            <v>1</v>
          </cell>
        </row>
        <row r="165">
          <cell r="B165" t="str">
            <v>CLICK125 FI</v>
          </cell>
          <cell r="H165">
            <v>7</v>
          </cell>
          <cell r="I165">
            <v>5</v>
          </cell>
        </row>
        <row r="166">
          <cell r="B166" t="str">
            <v>SMASH(MAGS)</v>
          </cell>
          <cell r="G166">
            <v>1</v>
          </cell>
        </row>
        <row r="167">
          <cell r="B167" t="str">
            <v>CLICK125 FI</v>
          </cell>
          <cell r="G167">
            <v>3</v>
          </cell>
          <cell r="H167">
            <v>3</v>
          </cell>
          <cell r="I167">
            <v>1</v>
          </cell>
        </row>
        <row r="168">
          <cell r="B168" t="str">
            <v>ADV160</v>
          </cell>
          <cell r="H168">
            <v>1</v>
          </cell>
        </row>
        <row r="169">
          <cell r="B169" t="str">
            <v>BEAT FI PREM</v>
          </cell>
          <cell r="H169">
            <v>1</v>
          </cell>
        </row>
        <row r="170">
          <cell r="B170" t="str">
            <v>NMAX155 FI ABS</v>
          </cell>
          <cell r="H170">
            <v>1</v>
          </cell>
          <cell r="I170">
            <v>2</v>
          </cell>
        </row>
        <row r="171">
          <cell r="B171" t="str">
            <v>CLICK125 FI SE</v>
          </cell>
          <cell r="H171">
            <v>1</v>
          </cell>
          <cell r="I171">
            <v>4</v>
          </cell>
        </row>
        <row r="172">
          <cell r="B172" t="str">
            <v>TMX ALPHA FI</v>
          </cell>
          <cell r="I172">
            <v>1</v>
          </cell>
        </row>
        <row r="173">
          <cell r="B173" t="str">
            <v>MIO AEROX S 155</v>
          </cell>
          <cell r="I173">
            <v>1</v>
          </cell>
        </row>
        <row r="174">
          <cell r="B174" t="str">
            <v>CLICK125 FI SE</v>
          </cell>
          <cell r="H174">
            <v>2</v>
          </cell>
          <cell r="I174">
            <v>4</v>
          </cell>
        </row>
        <row r="175">
          <cell r="B175" t="str">
            <v>ADV160</v>
          </cell>
          <cell r="G175">
            <v>1</v>
          </cell>
        </row>
        <row r="176">
          <cell r="B176" t="str">
            <v>MIO AEROX 155</v>
          </cell>
          <cell r="I176">
            <v>2</v>
          </cell>
        </row>
        <row r="177">
          <cell r="B177" t="str">
            <v>CLICK160 FI</v>
          </cell>
          <cell r="G177">
            <v>11</v>
          </cell>
          <cell r="H177">
            <v>5</v>
          </cell>
          <cell r="I177">
            <v>5</v>
          </cell>
        </row>
        <row r="178">
          <cell r="B178" t="str">
            <v>BAJAJ RE 4S FI</v>
          </cell>
          <cell r="G178">
            <v>10</v>
          </cell>
          <cell r="H178">
            <v>9</v>
          </cell>
          <cell r="I178">
            <v>10</v>
          </cell>
        </row>
        <row r="179">
          <cell r="B179" t="str">
            <v>RAIDER150 FI BLADE</v>
          </cell>
          <cell r="G179">
            <v>3</v>
          </cell>
          <cell r="H179">
            <v>1</v>
          </cell>
          <cell r="I179">
            <v>1</v>
          </cell>
        </row>
        <row r="180">
          <cell r="B180" t="str">
            <v>NMAX155 FI ABS</v>
          </cell>
          <cell r="G180">
            <v>1</v>
          </cell>
          <cell r="H180">
            <v>3</v>
          </cell>
        </row>
        <row r="181">
          <cell r="B181" t="str">
            <v>CLICK125 FI SE</v>
          </cell>
          <cell r="H181">
            <v>2</v>
          </cell>
        </row>
        <row r="182">
          <cell r="B182" t="str">
            <v>CLICK125 FI</v>
          </cell>
          <cell r="G182">
            <v>4</v>
          </cell>
          <cell r="H182">
            <v>1</v>
          </cell>
          <cell r="I182">
            <v>2</v>
          </cell>
        </row>
        <row r="183">
          <cell r="B183" t="str">
            <v>XTZ125</v>
          </cell>
          <cell r="G183">
            <v>1</v>
          </cell>
        </row>
        <row r="184">
          <cell r="B184" t="str">
            <v>MIO GRAVIS</v>
          </cell>
          <cell r="I184">
            <v>1</v>
          </cell>
        </row>
        <row r="185">
          <cell r="B185" t="str">
            <v>ADV160</v>
          </cell>
          <cell r="H185">
            <v>1</v>
          </cell>
        </row>
        <row r="186">
          <cell r="B186" t="str">
            <v>CLICK160 FI</v>
          </cell>
          <cell r="G186">
            <v>1</v>
          </cell>
          <cell r="H186">
            <v>1</v>
          </cell>
        </row>
        <row r="187">
          <cell r="B187" t="str">
            <v>XRM MOTARD FI</v>
          </cell>
          <cell r="H187">
            <v>1</v>
          </cell>
        </row>
        <row r="188">
          <cell r="B188" t="str">
            <v>XTZ125</v>
          </cell>
          <cell r="H188">
            <v>1</v>
          </cell>
        </row>
        <row r="189">
          <cell r="B189" t="str">
            <v>XTZ125</v>
          </cell>
          <cell r="G189">
            <v>1</v>
          </cell>
        </row>
        <row r="190">
          <cell r="B190" t="str">
            <v>CRF150</v>
          </cell>
          <cell r="I190">
            <v>1</v>
          </cell>
        </row>
        <row r="191">
          <cell r="B191" t="str">
            <v>XRM MOTARD FI</v>
          </cell>
          <cell r="G191">
            <v>1</v>
          </cell>
          <cell r="H191">
            <v>2</v>
          </cell>
        </row>
        <row r="192">
          <cell r="B192" t="str">
            <v>KLX150</v>
          </cell>
          <cell r="G192">
            <v>2</v>
          </cell>
          <cell r="H192">
            <v>3</v>
          </cell>
          <cell r="I192">
            <v>3</v>
          </cell>
        </row>
        <row r="193">
          <cell r="B193" t="str">
            <v>MIO i125</v>
          </cell>
          <cell r="G193">
            <v>1</v>
          </cell>
          <cell r="I193">
            <v>1</v>
          </cell>
        </row>
        <row r="194">
          <cell r="B194" t="str">
            <v>NAVI</v>
          </cell>
          <cell r="G194">
            <v>1</v>
          </cell>
          <cell r="H194">
            <v>1</v>
          </cell>
          <cell r="I194">
            <v>1</v>
          </cell>
        </row>
        <row r="195">
          <cell r="B195" t="str">
            <v>SNIPER 155 FI</v>
          </cell>
          <cell r="I195">
            <v>1</v>
          </cell>
        </row>
        <row r="196">
          <cell r="B196" t="str">
            <v>NMAX155 TECHMAX</v>
          </cell>
          <cell r="H196">
            <v>1</v>
          </cell>
        </row>
        <row r="197">
          <cell r="B197" t="str">
            <v>CLICK125 FI SE</v>
          </cell>
          <cell r="H197">
            <v>4</v>
          </cell>
        </row>
        <row r="198">
          <cell r="B198" t="str">
            <v>XTZ125</v>
          </cell>
          <cell r="H198">
            <v>1</v>
          </cell>
        </row>
        <row r="199">
          <cell r="B199" t="str">
            <v>NMAX155 TECHMAX</v>
          </cell>
          <cell r="G199">
            <v>1</v>
          </cell>
        </row>
        <row r="200">
          <cell r="B200" t="str">
            <v>CLICK125 FI SE</v>
          </cell>
          <cell r="G200">
            <v>2</v>
          </cell>
          <cell r="H200">
            <v>5</v>
          </cell>
        </row>
        <row r="201">
          <cell r="B201" t="str">
            <v>XTZ125</v>
          </cell>
          <cell r="G201">
            <v>1</v>
          </cell>
        </row>
        <row r="202">
          <cell r="B202" t="str">
            <v>CLICK125 FI SE</v>
          </cell>
          <cell r="G202">
            <v>1</v>
          </cell>
        </row>
        <row r="203">
          <cell r="B203" t="str">
            <v>BARAKO II (KICK START)</v>
          </cell>
          <cell r="I203">
            <v>2</v>
          </cell>
        </row>
        <row r="204">
          <cell r="B204" t="str">
            <v>CLICK125 FI SE</v>
          </cell>
          <cell r="G204">
            <v>3</v>
          </cell>
          <cell r="H204">
            <v>1</v>
          </cell>
        </row>
        <row r="205">
          <cell r="B205" t="str">
            <v>CT125</v>
          </cell>
          <cell r="G205">
            <v>2</v>
          </cell>
          <cell r="I205">
            <v>1</v>
          </cell>
        </row>
        <row r="206">
          <cell r="B206" t="str">
            <v>NAVI</v>
          </cell>
          <cell r="I206">
            <v>1</v>
          </cell>
        </row>
        <row r="207">
          <cell r="B207" t="str">
            <v>NAVI</v>
          </cell>
          <cell r="H207">
            <v>1</v>
          </cell>
        </row>
        <row r="208">
          <cell r="B208" t="str">
            <v>ADV160 ROADSYNC</v>
          </cell>
          <cell r="H208">
            <v>1</v>
          </cell>
          <cell r="I208">
            <v>2</v>
          </cell>
        </row>
        <row r="209">
          <cell r="B209" t="str">
            <v>XRM MOTARD FI</v>
          </cell>
          <cell r="G209">
            <v>1</v>
          </cell>
          <cell r="I209">
            <v>1</v>
          </cell>
        </row>
        <row r="210">
          <cell r="B210" t="str">
            <v>RAIDER150 FI BLADE</v>
          </cell>
          <cell r="I210">
            <v>1</v>
          </cell>
        </row>
        <row r="211">
          <cell r="B211" t="str">
            <v>CLICK125 FI</v>
          </cell>
          <cell r="G211">
            <v>8</v>
          </cell>
          <cell r="H211">
            <v>5</v>
          </cell>
          <cell r="I211">
            <v>7</v>
          </cell>
        </row>
        <row r="212">
          <cell r="B212" t="str">
            <v>CLICK160 FI</v>
          </cell>
          <cell r="G212">
            <v>1</v>
          </cell>
          <cell r="I212">
            <v>1</v>
          </cell>
        </row>
        <row r="213">
          <cell r="B213" t="str">
            <v>XR150</v>
          </cell>
          <cell r="G213">
            <v>1</v>
          </cell>
        </row>
        <row r="214">
          <cell r="B214" t="str">
            <v>MIO AEROX S 155</v>
          </cell>
          <cell r="G214">
            <v>2</v>
          </cell>
          <cell r="I214">
            <v>1</v>
          </cell>
        </row>
        <row r="215">
          <cell r="B215" t="str">
            <v>WINNER X RC</v>
          </cell>
          <cell r="I215">
            <v>1</v>
          </cell>
        </row>
        <row r="216">
          <cell r="B216" t="str">
            <v>CT100</v>
          </cell>
          <cell r="I216">
            <v>1</v>
          </cell>
        </row>
        <row r="217">
          <cell r="B217" t="str">
            <v>CLICK125 FI SE</v>
          </cell>
          <cell r="G217">
            <v>2</v>
          </cell>
        </row>
        <row r="218">
          <cell r="B218" t="str">
            <v>TMX ALPHA FI</v>
          </cell>
          <cell r="G218">
            <v>1</v>
          </cell>
        </row>
        <row r="219">
          <cell r="B219" t="str">
            <v>SKYDRIVE SPORT</v>
          </cell>
          <cell r="G219">
            <v>1</v>
          </cell>
        </row>
        <row r="220">
          <cell r="B220" t="str">
            <v>BAJAJ RE 4S FI</v>
          </cell>
          <cell r="G220">
            <v>2</v>
          </cell>
        </row>
        <row r="221">
          <cell r="B221" t="str">
            <v>MIO AEROX 155</v>
          </cell>
          <cell r="G221">
            <v>1</v>
          </cell>
          <cell r="I221">
            <v>1</v>
          </cell>
        </row>
        <row r="222">
          <cell r="B222" t="str">
            <v>NAVI</v>
          </cell>
          <cell r="G222">
            <v>1</v>
          </cell>
          <cell r="H222">
            <v>1</v>
          </cell>
          <cell r="I222">
            <v>1</v>
          </cell>
        </row>
        <row r="223">
          <cell r="B223" t="str">
            <v>RAIDER150 FI BLADE</v>
          </cell>
          <cell r="G223">
            <v>1</v>
          </cell>
          <cell r="I223">
            <v>1</v>
          </cell>
        </row>
        <row r="224">
          <cell r="B224" t="str">
            <v>AVENIS125</v>
          </cell>
          <cell r="H224">
            <v>1</v>
          </cell>
          <cell r="I224">
            <v>1</v>
          </cell>
        </row>
        <row r="225">
          <cell r="B225" t="str">
            <v>WIZARD</v>
          </cell>
          <cell r="G225">
            <v>2</v>
          </cell>
          <cell r="H225">
            <v>2</v>
          </cell>
          <cell r="I225">
            <v>1</v>
          </cell>
        </row>
        <row r="226">
          <cell r="B226" t="str">
            <v>ACCESS 125</v>
          </cell>
          <cell r="H226">
            <v>1</v>
          </cell>
        </row>
        <row r="227">
          <cell r="B227" t="str">
            <v>CLICK125 FI</v>
          </cell>
          <cell r="I227">
            <v>2</v>
          </cell>
        </row>
        <row r="228">
          <cell r="B228" t="str">
            <v>ADV160</v>
          </cell>
          <cell r="G228">
            <v>1</v>
          </cell>
        </row>
        <row r="229">
          <cell r="B229" t="str">
            <v>TMX ALPHA FI</v>
          </cell>
          <cell r="H229">
            <v>1</v>
          </cell>
        </row>
        <row r="230">
          <cell r="B230" t="str">
            <v>TMX ALPHA FI</v>
          </cell>
          <cell r="I230">
            <v>1</v>
          </cell>
        </row>
        <row r="231">
          <cell r="B231" t="str">
            <v>SMASH(MAGS)</v>
          </cell>
          <cell r="G231">
            <v>1</v>
          </cell>
        </row>
        <row r="232">
          <cell r="B232" t="str">
            <v>MIO i125</v>
          </cell>
          <cell r="G232">
            <v>1</v>
          </cell>
          <cell r="I232">
            <v>2</v>
          </cell>
        </row>
        <row r="233">
          <cell r="B233" t="str">
            <v>YTX125</v>
          </cell>
          <cell r="I233">
            <v>1</v>
          </cell>
        </row>
        <row r="234">
          <cell r="B234" t="str">
            <v>CLICK160 FI</v>
          </cell>
          <cell r="H234">
            <v>1</v>
          </cell>
        </row>
        <row r="235">
          <cell r="B235" t="str">
            <v>BRUSKY125</v>
          </cell>
          <cell r="H235">
            <v>1</v>
          </cell>
        </row>
        <row r="236">
          <cell r="B236" t="str">
            <v>TMX ALPHA FI</v>
          </cell>
          <cell r="I236">
            <v>3</v>
          </cell>
        </row>
        <row r="237">
          <cell r="B237" t="str">
            <v>MIO AEROX 155</v>
          </cell>
          <cell r="G237">
            <v>2</v>
          </cell>
          <cell r="H237">
            <v>3</v>
          </cell>
          <cell r="I237">
            <v>3</v>
          </cell>
        </row>
        <row r="238">
          <cell r="B238" t="str">
            <v>PCX160 STANDARD</v>
          </cell>
          <cell r="H238">
            <v>1</v>
          </cell>
        </row>
        <row r="239">
          <cell r="B239" t="str">
            <v>NMAX155 TECHMAX</v>
          </cell>
          <cell r="G239">
            <v>1</v>
          </cell>
        </row>
        <row r="240">
          <cell r="B240" t="str">
            <v>NMAX155 FI ABS</v>
          </cell>
          <cell r="H240">
            <v>1</v>
          </cell>
        </row>
        <row r="241">
          <cell r="B241" t="str">
            <v>CLICK160 FI</v>
          </cell>
          <cell r="G241">
            <v>1</v>
          </cell>
        </row>
        <row r="242">
          <cell r="B242" t="str">
            <v>YTX125</v>
          </cell>
          <cell r="H242">
            <v>2</v>
          </cell>
          <cell r="I242">
            <v>1</v>
          </cell>
        </row>
        <row r="243">
          <cell r="B243" t="str">
            <v>CLICK160 FI</v>
          </cell>
          <cell r="H243">
            <v>1</v>
          </cell>
          <cell r="I243">
            <v>2</v>
          </cell>
        </row>
        <row r="244">
          <cell r="B244" t="str">
            <v>CT125</v>
          </cell>
          <cell r="G244">
            <v>7</v>
          </cell>
          <cell r="H244">
            <v>7</v>
          </cell>
          <cell r="I244">
            <v>5</v>
          </cell>
        </row>
        <row r="245">
          <cell r="B245" t="str">
            <v>RAIDER150 FI BLADE</v>
          </cell>
          <cell r="G245">
            <v>1</v>
          </cell>
          <cell r="H245">
            <v>2</v>
          </cell>
          <cell r="I245">
            <v>4</v>
          </cell>
        </row>
        <row r="246">
          <cell r="B246" t="str">
            <v>CRF150</v>
          </cell>
          <cell r="G246">
            <v>3</v>
          </cell>
          <cell r="I246">
            <v>1</v>
          </cell>
        </row>
        <row r="247">
          <cell r="B247" t="str">
            <v>ADV160</v>
          </cell>
          <cell r="H247">
            <v>1</v>
          </cell>
          <cell r="I247">
            <v>1</v>
          </cell>
        </row>
        <row r="248">
          <cell r="B248" t="str">
            <v>NAVI</v>
          </cell>
          <cell r="G248">
            <v>1</v>
          </cell>
          <cell r="I248">
            <v>1</v>
          </cell>
        </row>
        <row r="249">
          <cell r="B249" t="str">
            <v>BAJAJ RE 4S FI</v>
          </cell>
          <cell r="G249">
            <v>1</v>
          </cell>
          <cell r="I249">
            <v>1</v>
          </cell>
        </row>
        <row r="250">
          <cell r="B250" t="str">
            <v>CRF150</v>
          </cell>
          <cell r="H250">
            <v>1</v>
          </cell>
          <cell r="I250">
            <v>1</v>
          </cell>
        </row>
        <row r="251">
          <cell r="B251" t="str">
            <v>MIO i125</v>
          </cell>
          <cell r="H251">
            <v>1</v>
          </cell>
        </row>
        <row r="252">
          <cell r="B252" t="str">
            <v>ADV160</v>
          </cell>
          <cell r="G252">
            <v>1</v>
          </cell>
          <cell r="H252">
            <v>1</v>
          </cell>
        </row>
        <row r="253">
          <cell r="B253" t="str">
            <v>ADV160</v>
          </cell>
          <cell r="H253">
            <v>2</v>
          </cell>
          <cell r="I253">
            <v>4</v>
          </cell>
        </row>
        <row r="254">
          <cell r="B254" t="str">
            <v>XR150</v>
          </cell>
          <cell r="G254">
            <v>1</v>
          </cell>
        </row>
        <row r="255">
          <cell r="B255" t="str">
            <v>RAIDER150 FI PRO</v>
          </cell>
          <cell r="H255">
            <v>1</v>
          </cell>
        </row>
        <row r="256">
          <cell r="B256" t="str">
            <v>NMAX155 TECHMAX</v>
          </cell>
          <cell r="H256">
            <v>1</v>
          </cell>
        </row>
        <row r="257">
          <cell r="B257" t="str">
            <v>CLICK125 FI</v>
          </cell>
          <cell r="G257">
            <v>4</v>
          </cell>
          <cell r="H257">
            <v>2</v>
          </cell>
          <cell r="I257">
            <v>3</v>
          </cell>
        </row>
        <row r="258">
          <cell r="B258" t="str">
            <v>MIO AEROX 155</v>
          </cell>
          <cell r="G258">
            <v>2</v>
          </cell>
          <cell r="H258">
            <v>1</v>
          </cell>
          <cell r="I258">
            <v>1</v>
          </cell>
        </row>
        <row r="259">
          <cell r="B259" t="str">
            <v>NMAX155 FI ABS</v>
          </cell>
          <cell r="I259">
            <v>1</v>
          </cell>
        </row>
        <row r="260">
          <cell r="B260" t="str">
            <v>BEAT FI PREM</v>
          </cell>
          <cell r="H260">
            <v>1</v>
          </cell>
        </row>
        <row r="261">
          <cell r="B261" t="str">
            <v>CLICK125 FI</v>
          </cell>
          <cell r="G261">
            <v>7</v>
          </cell>
          <cell r="H261">
            <v>3</v>
          </cell>
          <cell r="I261">
            <v>8</v>
          </cell>
        </row>
        <row r="262">
          <cell r="B262" t="str">
            <v>MIO AEROX S 155</v>
          </cell>
          <cell r="G262">
            <v>1</v>
          </cell>
          <cell r="H262">
            <v>2</v>
          </cell>
        </row>
        <row r="263">
          <cell r="B263" t="str">
            <v>CLICK160 FI</v>
          </cell>
          <cell r="H263">
            <v>1</v>
          </cell>
        </row>
        <row r="264">
          <cell r="B264" t="str">
            <v>CLICK125 FI</v>
          </cell>
          <cell r="G264">
            <v>3</v>
          </cell>
        </row>
        <row r="265">
          <cell r="B265" t="str">
            <v>XRM DUAL SPORTS FI(DS)</v>
          </cell>
          <cell r="G265">
            <v>1</v>
          </cell>
          <cell r="H265">
            <v>4</v>
          </cell>
          <cell r="I265">
            <v>3</v>
          </cell>
        </row>
        <row r="266">
          <cell r="B266" t="str">
            <v>BEAT FI STD</v>
          </cell>
          <cell r="H266">
            <v>1</v>
          </cell>
        </row>
        <row r="267">
          <cell r="B267" t="str">
            <v>MIO GEAR S</v>
          </cell>
          <cell r="H267">
            <v>2</v>
          </cell>
        </row>
        <row r="268">
          <cell r="B268" t="str">
            <v>SNIPER 155 FI</v>
          </cell>
          <cell r="I268">
            <v>1</v>
          </cell>
        </row>
        <row r="269">
          <cell r="B269" t="str">
            <v>NMAX155 TECHMAX</v>
          </cell>
          <cell r="G269">
            <v>1</v>
          </cell>
        </row>
        <row r="270">
          <cell r="B270" t="str">
            <v>MAXIMA Z</v>
          </cell>
          <cell r="G270">
            <v>1</v>
          </cell>
        </row>
        <row r="271">
          <cell r="B271" t="str">
            <v>CT100</v>
          </cell>
          <cell r="I271">
            <v>1</v>
          </cell>
        </row>
        <row r="272">
          <cell r="B272" t="str">
            <v>CLICK160 FI</v>
          </cell>
          <cell r="G272">
            <v>2</v>
          </cell>
        </row>
        <row r="273">
          <cell r="B273" t="str">
            <v>ADV160</v>
          </cell>
          <cell r="G273">
            <v>3</v>
          </cell>
          <cell r="I273">
            <v>1</v>
          </cell>
        </row>
        <row r="274">
          <cell r="B274" t="str">
            <v>CT100</v>
          </cell>
          <cell r="H274">
            <v>1</v>
          </cell>
        </row>
        <row r="275">
          <cell r="B275" t="str">
            <v>CT125</v>
          </cell>
          <cell r="G275">
            <v>3</v>
          </cell>
          <cell r="H275">
            <v>3</v>
          </cell>
          <cell r="I275">
            <v>1</v>
          </cell>
        </row>
        <row r="276">
          <cell r="B276" t="str">
            <v>XRM DUAL SPORTS FI(DS)</v>
          </cell>
          <cell r="G276">
            <v>1</v>
          </cell>
          <cell r="H276">
            <v>1</v>
          </cell>
          <cell r="I276">
            <v>1</v>
          </cell>
        </row>
        <row r="277">
          <cell r="B277" t="str">
            <v>CT125</v>
          </cell>
          <cell r="G277">
            <v>10</v>
          </cell>
          <cell r="H277">
            <v>6</v>
          </cell>
          <cell r="I277">
            <v>10</v>
          </cell>
        </row>
        <row r="278">
          <cell r="B278" t="str">
            <v>CLICK125 FI</v>
          </cell>
          <cell r="G278">
            <v>1</v>
          </cell>
          <cell r="H278">
            <v>3</v>
          </cell>
          <cell r="I278">
            <v>3</v>
          </cell>
        </row>
        <row r="279">
          <cell r="B279" t="str">
            <v>BEAT FI PREM</v>
          </cell>
          <cell r="G279">
            <v>1</v>
          </cell>
        </row>
        <row r="280">
          <cell r="B280" t="str">
            <v>CLICK125 FI</v>
          </cell>
          <cell r="G280">
            <v>8</v>
          </cell>
          <cell r="H280">
            <v>2</v>
          </cell>
          <cell r="I280">
            <v>7</v>
          </cell>
        </row>
        <row r="281">
          <cell r="B281" t="str">
            <v>NAVI</v>
          </cell>
          <cell r="G281">
            <v>1</v>
          </cell>
          <cell r="I281">
            <v>1</v>
          </cell>
        </row>
        <row r="282">
          <cell r="B282" t="str">
            <v>BAJAJ RE 4S FI</v>
          </cell>
          <cell r="G282">
            <v>1</v>
          </cell>
          <cell r="I282">
            <v>1</v>
          </cell>
        </row>
        <row r="283">
          <cell r="B283" t="str">
            <v>ADV160</v>
          </cell>
          <cell r="G283">
            <v>1</v>
          </cell>
          <cell r="H283">
            <v>1</v>
          </cell>
          <cell r="I283">
            <v>1</v>
          </cell>
        </row>
        <row r="284">
          <cell r="B284" t="str">
            <v>CT125</v>
          </cell>
          <cell r="G284">
            <v>1</v>
          </cell>
          <cell r="H284">
            <v>1</v>
          </cell>
          <cell r="I284">
            <v>1</v>
          </cell>
        </row>
        <row r="285">
          <cell r="B285" t="str">
            <v>YTX125</v>
          </cell>
          <cell r="I285">
            <v>1</v>
          </cell>
        </row>
        <row r="286">
          <cell r="B286" t="str">
            <v>CLICK125 FI</v>
          </cell>
          <cell r="G286">
            <v>2</v>
          </cell>
          <cell r="I286">
            <v>3</v>
          </cell>
        </row>
        <row r="287">
          <cell r="B287" t="str">
            <v>NMAX155 TECHMAX</v>
          </cell>
          <cell r="I287">
            <v>1</v>
          </cell>
        </row>
        <row r="288">
          <cell r="B288" t="str">
            <v>TMX150 SUPREMO</v>
          </cell>
          <cell r="G288">
            <v>3</v>
          </cell>
          <cell r="I288">
            <v>1</v>
          </cell>
        </row>
        <row r="289">
          <cell r="B289" t="str">
            <v>SMASH(SPOKE)</v>
          </cell>
          <cell r="G289">
            <v>2</v>
          </cell>
        </row>
        <row r="290">
          <cell r="B290" t="str">
            <v>BARAKO II (KICK START)</v>
          </cell>
          <cell r="I290">
            <v>2</v>
          </cell>
        </row>
        <row r="291">
          <cell r="B291" t="str">
            <v>BEAT FI STD</v>
          </cell>
          <cell r="I291">
            <v>1</v>
          </cell>
        </row>
        <row r="292">
          <cell r="B292" t="str">
            <v>YTX125</v>
          </cell>
          <cell r="H292">
            <v>1</v>
          </cell>
        </row>
        <row r="293">
          <cell r="B293" t="str">
            <v>RAIDER150 FI BLADE</v>
          </cell>
          <cell r="G293">
            <v>3</v>
          </cell>
          <cell r="H293">
            <v>1</v>
          </cell>
        </row>
        <row r="294">
          <cell r="B294" t="str">
            <v>CRF150</v>
          </cell>
          <cell r="H294">
            <v>1</v>
          </cell>
        </row>
        <row r="295">
          <cell r="B295" t="str">
            <v>CLICK125 FI</v>
          </cell>
          <cell r="I295">
            <v>12</v>
          </cell>
        </row>
        <row r="296">
          <cell r="B296" t="str">
            <v>XRM DUAL SPORTS FI(DS)</v>
          </cell>
          <cell r="G296">
            <v>3</v>
          </cell>
          <cell r="H296">
            <v>2</v>
          </cell>
          <cell r="I296">
            <v>6</v>
          </cell>
        </row>
        <row r="297">
          <cell r="B297" t="str">
            <v>ADV160</v>
          </cell>
          <cell r="G297">
            <v>1</v>
          </cell>
        </row>
        <row r="298">
          <cell r="B298" t="str">
            <v>BAJAJ RE 4S FI</v>
          </cell>
          <cell r="H298">
            <v>1</v>
          </cell>
        </row>
        <row r="299">
          <cell r="B299" t="str">
            <v>CLICK125 FI</v>
          </cell>
          <cell r="G299">
            <v>3</v>
          </cell>
          <cell r="H299">
            <v>2</v>
          </cell>
          <cell r="I299">
            <v>10</v>
          </cell>
        </row>
        <row r="300">
          <cell r="B300" t="str">
            <v>ADV160</v>
          </cell>
          <cell r="G300">
            <v>2</v>
          </cell>
        </row>
        <row r="301">
          <cell r="B301" t="str">
            <v>CLICK125 FI</v>
          </cell>
          <cell r="I301">
            <v>4</v>
          </cell>
        </row>
        <row r="302">
          <cell r="B302" t="str">
            <v>ADV160</v>
          </cell>
          <cell r="G302">
            <v>1</v>
          </cell>
          <cell r="H302">
            <v>1</v>
          </cell>
        </row>
        <row r="303">
          <cell r="B303" t="str">
            <v>MIO AEROX S 155</v>
          </cell>
          <cell r="I303">
            <v>1</v>
          </cell>
        </row>
        <row r="304">
          <cell r="B304" t="str">
            <v>MIO AEROX 155</v>
          </cell>
          <cell r="G304">
            <v>1</v>
          </cell>
          <cell r="I304">
            <v>3</v>
          </cell>
        </row>
        <row r="305">
          <cell r="B305" t="str">
            <v>XTZ125</v>
          </cell>
          <cell r="H305">
            <v>1</v>
          </cell>
        </row>
        <row r="306">
          <cell r="B306" t="str">
            <v>TMX150 SUPREMO</v>
          </cell>
          <cell r="I306">
            <v>2</v>
          </cell>
        </row>
        <row r="307">
          <cell r="B307" t="str">
            <v>BEAT FI PREM</v>
          </cell>
          <cell r="G307">
            <v>1</v>
          </cell>
        </row>
        <row r="308">
          <cell r="B308" t="str">
            <v>CLICK125 FI</v>
          </cell>
          <cell r="G308">
            <v>3</v>
          </cell>
          <cell r="H308">
            <v>5</v>
          </cell>
          <cell r="I308">
            <v>6</v>
          </cell>
        </row>
        <row r="309">
          <cell r="B309" t="str">
            <v>BARAKO II (KICK START)</v>
          </cell>
          <cell r="H309">
            <v>2</v>
          </cell>
          <cell r="I309">
            <v>1</v>
          </cell>
        </row>
        <row r="310">
          <cell r="B310" t="str">
            <v>CRF150</v>
          </cell>
          <cell r="G310">
            <v>1</v>
          </cell>
          <cell r="I310">
            <v>1</v>
          </cell>
        </row>
        <row r="311">
          <cell r="B311" t="str">
            <v>MIO AEROX S 155</v>
          </cell>
          <cell r="H311">
            <v>1</v>
          </cell>
        </row>
        <row r="312">
          <cell r="B312" t="str">
            <v>CT125</v>
          </cell>
          <cell r="G312">
            <v>6</v>
          </cell>
          <cell r="H312">
            <v>5</v>
          </cell>
          <cell r="I312">
            <v>5</v>
          </cell>
        </row>
        <row r="313">
          <cell r="B313" t="str">
            <v>GIORNO</v>
          </cell>
          <cell r="G313">
            <v>1</v>
          </cell>
          <cell r="I313">
            <v>1</v>
          </cell>
        </row>
        <row r="314">
          <cell r="B314" t="str">
            <v>CLICK125 FI</v>
          </cell>
          <cell r="G314">
            <v>2</v>
          </cell>
          <cell r="I314">
            <v>4</v>
          </cell>
        </row>
        <row r="315">
          <cell r="B315" t="str">
            <v>TMX ALPHA FI</v>
          </cell>
          <cell r="I315">
            <v>1</v>
          </cell>
        </row>
        <row r="316">
          <cell r="B316" t="str">
            <v>MIO i125</v>
          </cell>
          <cell r="H316">
            <v>2</v>
          </cell>
          <cell r="I316">
            <v>1</v>
          </cell>
        </row>
        <row r="317">
          <cell r="B317" t="str">
            <v>CRF300</v>
          </cell>
          <cell r="G317">
            <v>1</v>
          </cell>
        </row>
        <row r="318">
          <cell r="B318" t="str">
            <v>XRM MOTARD FI</v>
          </cell>
          <cell r="G318">
            <v>1</v>
          </cell>
          <cell r="I318">
            <v>2</v>
          </cell>
        </row>
        <row r="319">
          <cell r="B319" t="str">
            <v>MIO AEROX S 155</v>
          </cell>
          <cell r="G319">
            <v>1</v>
          </cell>
        </row>
        <row r="320">
          <cell r="B320" t="str">
            <v>CRF150</v>
          </cell>
          <cell r="G320">
            <v>4</v>
          </cell>
          <cell r="H320">
            <v>4</v>
          </cell>
        </row>
        <row r="321">
          <cell r="B321" t="str">
            <v>ADV160</v>
          </cell>
          <cell r="G321">
            <v>2</v>
          </cell>
        </row>
        <row r="322">
          <cell r="B322" t="str">
            <v>GIORNO</v>
          </cell>
          <cell r="I322">
            <v>1</v>
          </cell>
        </row>
        <row r="323">
          <cell r="B323" t="str">
            <v>MIO AEROX S 155</v>
          </cell>
          <cell r="G323">
            <v>2</v>
          </cell>
          <cell r="H323">
            <v>2</v>
          </cell>
        </row>
        <row r="324">
          <cell r="B324" t="str">
            <v>CLICK125 FI SE</v>
          </cell>
          <cell r="G324">
            <v>1</v>
          </cell>
          <cell r="I324">
            <v>2</v>
          </cell>
        </row>
        <row r="325">
          <cell r="B325" t="str">
            <v>MIO AEROX 155</v>
          </cell>
          <cell r="G325">
            <v>1</v>
          </cell>
          <cell r="H325">
            <v>2</v>
          </cell>
          <cell r="I325">
            <v>3</v>
          </cell>
        </row>
        <row r="326">
          <cell r="B326" t="str">
            <v>BAJAJ RE 4S FI</v>
          </cell>
          <cell r="G326">
            <v>1</v>
          </cell>
          <cell r="H326">
            <v>2</v>
          </cell>
          <cell r="I326">
            <v>1</v>
          </cell>
        </row>
        <row r="327">
          <cell r="B327" t="str">
            <v>CLICK125 FI SE</v>
          </cell>
          <cell r="H327">
            <v>3</v>
          </cell>
          <cell r="I327">
            <v>4</v>
          </cell>
        </row>
        <row r="328">
          <cell r="B328" t="str">
            <v>NMAX155 FI ABS</v>
          </cell>
          <cell r="G328">
            <v>1</v>
          </cell>
        </row>
        <row r="329">
          <cell r="B329" t="str">
            <v>BURGMAN15</v>
          </cell>
          <cell r="G329">
            <v>2</v>
          </cell>
        </row>
        <row r="330">
          <cell r="B330" t="str">
            <v>XR150</v>
          </cell>
          <cell r="G330">
            <v>1</v>
          </cell>
          <cell r="I330">
            <v>1</v>
          </cell>
        </row>
        <row r="331">
          <cell r="B331" t="str">
            <v>CRF150</v>
          </cell>
          <cell r="G331">
            <v>1</v>
          </cell>
          <cell r="H331">
            <v>1</v>
          </cell>
          <cell r="I331">
            <v>1</v>
          </cell>
        </row>
        <row r="332">
          <cell r="B332" t="str">
            <v>MAXIMA Z</v>
          </cell>
          <cell r="H332">
            <v>1</v>
          </cell>
        </row>
        <row r="333">
          <cell r="B333" t="str">
            <v>SMASH FI(MAGS)</v>
          </cell>
          <cell r="G333">
            <v>1</v>
          </cell>
        </row>
        <row r="334">
          <cell r="B334" t="str">
            <v>MIO AEROX S 155</v>
          </cell>
          <cell r="G334">
            <v>1</v>
          </cell>
        </row>
        <row r="335">
          <cell r="B335" t="str">
            <v>RAIDER150 FI BLADE</v>
          </cell>
          <cell r="H335">
            <v>1</v>
          </cell>
          <cell r="I335">
            <v>1</v>
          </cell>
        </row>
        <row r="336">
          <cell r="B336" t="str">
            <v>XRM DUAL SPORTS FI(DS)</v>
          </cell>
          <cell r="G336">
            <v>2</v>
          </cell>
          <cell r="I336">
            <v>2</v>
          </cell>
        </row>
        <row r="337">
          <cell r="B337" t="str">
            <v>MIO AEROX S 155</v>
          </cell>
          <cell r="G337">
            <v>2</v>
          </cell>
        </row>
        <row r="338">
          <cell r="B338" t="str">
            <v>XRM DUAL SPORTS FI(DS)</v>
          </cell>
          <cell r="G338">
            <v>6</v>
          </cell>
          <cell r="H338">
            <v>1</v>
          </cell>
          <cell r="I338">
            <v>9</v>
          </cell>
        </row>
        <row r="339">
          <cell r="B339" t="str">
            <v>XR150</v>
          </cell>
          <cell r="H339">
            <v>1</v>
          </cell>
        </row>
        <row r="340">
          <cell r="B340" t="str">
            <v>SMASH(SPOKE)</v>
          </cell>
          <cell r="H340">
            <v>1</v>
          </cell>
        </row>
        <row r="341">
          <cell r="B341" t="str">
            <v>RAIDER150 FI BLADE</v>
          </cell>
          <cell r="G341">
            <v>1</v>
          </cell>
          <cell r="H341">
            <v>1</v>
          </cell>
        </row>
        <row r="342">
          <cell r="B342" t="str">
            <v>WIZARD</v>
          </cell>
          <cell r="G342">
            <v>1</v>
          </cell>
        </row>
        <row r="343">
          <cell r="B343" t="str">
            <v>CLICK125 FI SE</v>
          </cell>
          <cell r="H343">
            <v>2</v>
          </cell>
          <cell r="I343">
            <v>3</v>
          </cell>
        </row>
        <row r="344">
          <cell r="B344" t="str">
            <v>FAZZIO</v>
          </cell>
          <cell r="G344">
            <v>1</v>
          </cell>
        </row>
        <row r="345">
          <cell r="B345" t="str">
            <v>NAVI</v>
          </cell>
          <cell r="G345">
            <v>1</v>
          </cell>
          <cell r="H345">
            <v>1</v>
          </cell>
          <cell r="I345">
            <v>2</v>
          </cell>
        </row>
        <row r="346">
          <cell r="B346" t="str">
            <v>MIO i125s</v>
          </cell>
          <cell r="I346">
            <v>1</v>
          </cell>
        </row>
        <row r="347">
          <cell r="B347" t="str">
            <v>CT125</v>
          </cell>
          <cell r="G347">
            <v>10</v>
          </cell>
          <cell r="H347">
            <v>8</v>
          </cell>
          <cell r="I347">
            <v>12</v>
          </cell>
        </row>
        <row r="348">
          <cell r="B348" t="str">
            <v>SKYDRIVE SPORT</v>
          </cell>
          <cell r="I348">
            <v>1</v>
          </cell>
        </row>
        <row r="349">
          <cell r="B349" t="str">
            <v>CRF150</v>
          </cell>
          <cell r="G349">
            <v>1</v>
          </cell>
          <cell r="I349">
            <v>1</v>
          </cell>
        </row>
        <row r="350">
          <cell r="B350" t="str">
            <v>CRF300</v>
          </cell>
          <cell r="G350">
            <v>1</v>
          </cell>
          <cell r="H350">
            <v>1</v>
          </cell>
          <cell r="I350">
            <v>1</v>
          </cell>
        </row>
        <row r="351">
          <cell r="B351" t="str">
            <v>NMAX155 TECHMAX</v>
          </cell>
          <cell r="I351">
            <v>1</v>
          </cell>
        </row>
        <row r="352">
          <cell r="B352" t="str">
            <v>WAVE RSX (DRUM)</v>
          </cell>
          <cell r="I352">
            <v>1</v>
          </cell>
        </row>
        <row r="353">
          <cell r="B353" t="str">
            <v>MIO GEAR S</v>
          </cell>
          <cell r="G353">
            <v>1</v>
          </cell>
        </row>
        <row r="354">
          <cell r="B354" t="str">
            <v>XRM MOTARD FI</v>
          </cell>
          <cell r="H354">
            <v>2</v>
          </cell>
        </row>
        <row r="355">
          <cell r="B355" t="str">
            <v>SMASH(SPOKE)</v>
          </cell>
          <cell r="I355">
            <v>1</v>
          </cell>
        </row>
        <row r="356">
          <cell r="B356" t="str">
            <v>CLICK125 FI</v>
          </cell>
          <cell r="G356">
            <v>5</v>
          </cell>
          <cell r="H356">
            <v>1</v>
          </cell>
          <cell r="I356">
            <v>1</v>
          </cell>
        </row>
        <row r="357">
          <cell r="B357" t="str">
            <v>BAJAJ RE 4S FI</v>
          </cell>
          <cell r="G357">
            <v>2</v>
          </cell>
          <cell r="H357">
            <v>2</v>
          </cell>
          <cell r="I357">
            <v>5</v>
          </cell>
        </row>
        <row r="358">
          <cell r="B358" t="str">
            <v>CLICK125 FI</v>
          </cell>
          <cell r="G358">
            <v>2</v>
          </cell>
          <cell r="H358">
            <v>6</v>
          </cell>
          <cell r="I358">
            <v>4</v>
          </cell>
        </row>
        <row r="359">
          <cell r="B359" t="str">
            <v>CLICK125 FI</v>
          </cell>
          <cell r="H359">
            <v>3</v>
          </cell>
          <cell r="I359">
            <v>9</v>
          </cell>
        </row>
        <row r="360">
          <cell r="B360" t="str">
            <v>CRF150</v>
          </cell>
          <cell r="I360">
            <v>1</v>
          </cell>
        </row>
        <row r="361">
          <cell r="B361" t="str">
            <v>KLX150</v>
          </cell>
          <cell r="G361">
            <v>1</v>
          </cell>
        </row>
        <row r="362">
          <cell r="B362" t="str">
            <v>BAJAJ RE 4S FI</v>
          </cell>
          <cell r="G362">
            <v>2</v>
          </cell>
        </row>
        <row r="363">
          <cell r="B363" t="str">
            <v>XRM DUAL SPORTS FI(DS)</v>
          </cell>
          <cell r="G363">
            <v>4</v>
          </cell>
          <cell r="I363">
            <v>3</v>
          </cell>
        </row>
        <row r="364">
          <cell r="B364" t="str">
            <v>KLX150</v>
          </cell>
          <cell r="G364">
            <v>1</v>
          </cell>
          <cell r="H364">
            <v>2</v>
          </cell>
        </row>
        <row r="365">
          <cell r="B365" t="str">
            <v>XTZ125</v>
          </cell>
          <cell r="I365">
            <v>1</v>
          </cell>
        </row>
        <row r="366">
          <cell r="B366" t="str">
            <v>BAJAJ RE 4S FI</v>
          </cell>
          <cell r="I366">
            <v>1</v>
          </cell>
        </row>
        <row r="367">
          <cell r="B367" t="str">
            <v>MIO i125</v>
          </cell>
          <cell r="H367">
            <v>1</v>
          </cell>
        </row>
        <row r="368">
          <cell r="B368" t="str">
            <v>BEAT FI PREM</v>
          </cell>
          <cell r="G368">
            <v>2</v>
          </cell>
        </row>
        <row r="369">
          <cell r="B369" t="str">
            <v>TMX ALPHA FI</v>
          </cell>
          <cell r="I369">
            <v>1</v>
          </cell>
        </row>
        <row r="370">
          <cell r="B370" t="str">
            <v>XRM DUAL SPORTS FI(DS)</v>
          </cell>
          <cell r="G370">
            <v>1</v>
          </cell>
          <cell r="H370">
            <v>1</v>
          </cell>
          <cell r="I370">
            <v>3</v>
          </cell>
        </row>
        <row r="371">
          <cell r="B371" t="str">
            <v>BAJAJ RE 4S FI</v>
          </cell>
          <cell r="G371">
            <v>1</v>
          </cell>
        </row>
        <row r="372">
          <cell r="B372" t="str">
            <v>BARAKO III FI(DUAL START)</v>
          </cell>
          <cell r="G372">
            <v>1</v>
          </cell>
        </row>
        <row r="373">
          <cell r="B373" t="str">
            <v>XRM MOTARD FI</v>
          </cell>
          <cell r="G373">
            <v>2</v>
          </cell>
          <cell r="H373">
            <v>5</v>
          </cell>
          <cell r="I373">
            <v>4</v>
          </cell>
        </row>
        <row r="374">
          <cell r="B374" t="str">
            <v>NMAX155 FI ABS</v>
          </cell>
          <cell r="G374">
            <v>1</v>
          </cell>
        </row>
        <row r="375">
          <cell r="B375" t="str">
            <v>V-STROM 160</v>
          </cell>
          <cell r="H375">
            <v>1</v>
          </cell>
        </row>
        <row r="376">
          <cell r="B376" t="str">
            <v>KLX150</v>
          </cell>
          <cell r="H376">
            <v>3</v>
          </cell>
          <cell r="I376">
            <v>1</v>
          </cell>
        </row>
        <row r="377">
          <cell r="B377" t="str">
            <v>CLICK125 FI SE</v>
          </cell>
          <cell r="G377">
            <v>15</v>
          </cell>
          <cell r="H377">
            <v>4</v>
          </cell>
          <cell r="I377">
            <v>17</v>
          </cell>
        </row>
        <row r="378">
          <cell r="B378" t="str">
            <v>V-STROM 160</v>
          </cell>
          <cell r="I378">
            <v>1</v>
          </cell>
        </row>
        <row r="379">
          <cell r="B379" t="str">
            <v>NMAX155 FI ABS</v>
          </cell>
          <cell r="H379">
            <v>1</v>
          </cell>
        </row>
        <row r="380">
          <cell r="B380" t="str">
            <v>ADV160</v>
          </cell>
          <cell r="G380">
            <v>1</v>
          </cell>
        </row>
        <row r="381">
          <cell r="B381" t="str">
            <v>KLX150</v>
          </cell>
          <cell r="G381">
            <v>3</v>
          </cell>
        </row>
        <row r="382">
          <cell r="B382" t="str">
            <v>MIO i125</v>
          </cell>
          <cell r="G382">
            <v>1</v>
          </cell>
        </row>
        <row r="383">
          <cell r="B383" t="str">
            <v>CT100</v>
          </cell>
          <cell r="G383">
            <v>1</v>
          </cell>
          <cell r="I383">
            <v>4</v>
          </cell>
        </row>
        <row r="384">
          <cell r="B384" t="str">
            <v>XRM DUAL SPORTS FI(DS)</v>
          </cell>
          <cell r="I384">
            <v>1</v>
          </cell>
        </row>
        <row r="385">
          <cell r="B385" t="str">
            <v>XRM OFFROAD FI(DSX)</v>
          </cell>
          <cell r="G385">
            <v>2</v>
          </cell>
        </row>
        <row r="386">
          <cell r="B386" t="str">
            <v>CRF150</v>
          </cell>
          <cell r="G386">
            <v>2</v>
          </cell>
        </row>
        <row r="387">
          <cell r="B387" t="str">
            <v>CT125</v>
          </cell>
          <cell r="G387">
            <v>4</v>
          </cell>
          <cell r="H387">
            <v>4</v>
          </cell>
          <cell r="I387">
            <v>6</v>
          </cell>
        </row>
        <row r="388">
          <cell r="B388" t="str">
            <v>CT125</v>
          </cell>
          <cell r="G388">
            <v>5</v>
          </cell>
          <cell r="H388">
            <v>3</v>
          </cell>
          <cell r="I388">
            <v>4</v>
          </cell>
        </row>
        <row r="389">
          <cell r="B389" t="str">
            <v>ADV160</v>
          </cell>
          <cell r="G389">
            <v>3</v>
          </cell>
          <cell r="I389">
            <v>1</v>
          </cell>
        </row>
        <row r="390">
          <cell r="B390" t="str">
            <v>CT125</v>
          </cell>
          <cell r="H390">
            <v>2</v>
          </cell>
          <cell r="I390">
            <v>3</v>
          </cell>
        </row>
        <row r="391">
          <cell r="B391" t="str">
            <v>PCX160 CBS</v>
          </cell>
          <cell r="H391">
            <v>1</v>
          </cell>
        </row>
        <row r="392">
          <cell r="B392" t="str">
            <v>KLX150</v>
          </cell>
          <cell r="H392">
            <v>7</v>
          </cell>
          <cell r="I392">
            <v>9</v>
          </cell>
        </row>
        <row r="393">
          <cell r="B393" t="str">
            <v>NAVI</v>
          </cell>
          <cell r="H393">
            <v>1</v>
          </cell>
        </row>
        <row r="394">
          <cell r="B394" t="str">
            <v>NAVI</v>
          </cell>
          <cell r="G394">
            <v>2</v>
          </cell>
          <cell r="H394">
            <v>3</v>
          </cell>
          <cell r="I394">
            <v>1</v>
          </cell>
        </row>
        <row r="395">
          <cell r="B395" t="str">
            <v>MIO GRAVIS</v>
          </cell>
          <cell r="G395">
            <v>2</v>
          </cell>
        </row>
        <row r="396">
          <cell r="B396" t="str">
            <v>NAVI</v>
          </cell>
          <cell r="H396">
            <v>1</v>
          </cell>
        </row>
        <row r="397">
          <cell r="B397" t="str">
            <v>BAJAJ RE 4S FI</v>
          </cell>
          <cell r="G397">
            <v>2</v>
          </cell>
        </row>
        <row r="398">
          <cell r="B398" t="str">
            <v>RAIDER150 FI BLADE</v>
          </cell>
          <cell r="H398">
            <v>2</v>
          </cell>
        </row>
        <row r="399">
          <cell r="B399" t="str">
            <v>CT125</v>
          </cell>
          <cell r="G399">
            <v>7</v>
          </cell>
          <cell r="H399">
            <v>12</v>
          </cell>
          <cell r="I399">
            <v>14</v>
          </cell>
        </row>
        <row r="400">
          <cell r="B400" t="str">
            <v>XRM MOTARD FI</v>
          </cell>
          <cell r="H400">
            <v>1</v>
          </cell>
          <cell r="I400">
            <v>1</v>
          </cell>
        </row>
        <row r="401">
          <cell r="B401" t="str">
            <v>XRM DUAL SPORTS FI(DS)</v>
          </cell>
          <cell r="I401">
            <v>1</v>
          </cell>
        </row>
        <row r="402">
          <cell r="B402" t="str">
            <v>MIO GRAVIS</v>
          </cell>
          <cell r="G402">
            <v>1</v>
          </cell>
        </row>
        <row r="403">
          <cell r="B403" t="str">
            <v>CT125</v>
          </cell>
          <cell r="G403">
            <v>1</v>
          </cell>
          <cell r="I403">
            <v>2</v>
          </cell>
        </row>
        <row r="404">
          <cell r="B404" t="str">
            <v>BAJAJ RE 4S FI</v>
          </cell>
          <cell r="H404">
            <v>1</v>
          </cell>
        </row>
        <row r="405">
          <cell r="B405" t="str">
            <v>AVENIS125</v>
          </cell>
          <cell r="G405">
            <v>1</v>
          </cell>
        </row>
        <row r="406">
          <cell r="B406" t="str">
            <v>ADV160</v>
          </cell>
          <cell r="G406">
            <v>2</v>
          </cell>
          <cell r="H406">
            <v>2</v>
          </cell>
          <cell r="I406">
            <v>1</v>
          </cell>
        </row>
        <row r="407">
          <cell r="B407" t="str">
            <v>CRF150</v>
          </cell>
          <cell r="G407">
            <v>1</v>
          </cell>
          <cell r="H407">
            <v>1</v>
          </cell>
        </row>
        <row r="408">
          <cell r="B408" t="str">
            <v>CRF150</v>
          </cell>
          <cell r="G408">
            <v>1</v>
          </cell>
        </row>
        <row r="409">
          <cell r="B409" t="str">
            <v>GIORNO</v>
          </cell>
          <cell r="G409">
            <v>1</v>
          </cell>
        </row>
        <row r="410">
          <cell r="B410" t="str">
            <v>MIO AEROX 155</v>
          </cell>
          <cell r="G410">
            <v>1</v>
          </cell>
        </row>
        <row r="411">
          <cell r="B411" t="str">
            <v>MIO GRAVIS</v>
          </cell>
          <cell r="I411">
            <v>1</v>
          </cell>
        </row>
        <row r="412">
          <cell r="B412" t="str">
            <v>CLICK125 FI</v>
          </cell>
          <cell r="G412">
            <v>6</v>
          </cell>
          <cell r="H412">
            <v>3</v>
          </cell>
          <cell r="I412">
            <v>12</v>
          </cell>
        </row>
        <row r="413">
          <cell r="B413" t="str">
            <v>CLICK125 FI SE</v>
          </cell>
          <cell r="H413">
            <v>11</v>
          </cell>
          <cell r="I413">
            <v>1</v>
          </cell>
        </row>
        <row r="414">
          <cell r="B414" t="str">
            <v>BAJAJ RE 4S FI</v>
          </cell>
          <cell r="G414">
            <v>3</v>
          </cell>
          <cell r="H414">
            <v>2</v>
          </cell>
          <cell r="I414">
            <v>1</v>
          </cell>
        </row>
        <row r="415">
          <cell r="B415" t="str">
            <v>BEAT FI PREM</v>
          </cell>
          <cell r="G415">
            <v>1</v>
          </cell>
        </row>
        <row r="416">
          <cell r="B416" t="str">
            <v>ADV160</v>
          </cell>
          <cell r="I416">
            <v>2</v>
          </cell>
        </row>
        <row r="417">
          <cell r="B417" t="str">
            <v>BAJAJ RE 4S FI</v>
          </cell>
          <cell r="G417">
            <v>1</v>
          </cell>
          <cell r="H417">
            <v>1</v>
          </cell>
          <cell r="I417">
            <v>1</v>
          </cell>
        </row>
        <row r="418">
          <cell r="B418" t="str">
            <v>XRM DUAL SPORTS FI(DS)</v>
          </cell>
          <cell r="I418">
            <v>3</v>
          </cell>
        </row>
        <row r="419">
          <cell r="B419" t="str">
            <v>CLICK160 FI</v>
          </cell>
          <cell r="G419">
            <v>1</v>
          </cell>
        </row>
        <row r="420">
          <cell r="B420" t="str">
            <v>BURGMAN STREET EX</v>
          </cell>
          <cell r="I420">
            <v>1</v>
          </cell>
        </row>
        <row r="421">
          <cell r="B421" t="str">
            <v>XRM DUAL SPORTS FI(DS)</v>
          </cell>
          <cell r="G421">
            <v>2</v>
          </cell>
          <cell r="H421">
            <v>3</v>
          </cell>
        </row>
        <row r="422">
          <cell r="B422" t="str">
            <v>YTX125</v>
          </cell>
          <cell r="G422">
            <v>3</v>
          </cell>
          <cell r="H422">
            <v>1</v>
          </cell>
          <cell r="I422">
            <v>1</v>
          </cell>
        </row>
        <row r="423">
          <cell r="B423" t="str">
            <v>BEAT FI PREM</v>
          </cell>
          <cell r="G423">
            <v>2</v>
          </cell>
        </row>
        <row r="424">
          <cell r="B424" t="str">
            <v>KLX150</v>
          </cell>
          <cell r="G424">
            <v>1</v>
          </cell>
        </row>
        <row r="425">
          <cell r="B425" t="str">
            <v>NMAX155 FI ABS</v>
          </cell>
          <cell r="I425">
            <v>1</v>
          </cell>
        </row>
        <row r="426">
          <cell r="B426" t="str">
            <v>CT125</v>
          </cell>
          <cell r="G426">
            <v>3</v>
          </cell>
          <cell r="H426">
            <v>3</v>
          </cell>
          <cell r="I426">
            <v>5</v>
          </cell>
        </row>
        <row r="427">
          <cell r="B427" t="str">
            <v>CLICK160 FI</v>
          </cell>
          <cell r="G427">
            <v>1</v>
          </cell>
          <cell r="H427">
            <v>1</v>
          </cell>
        </row>
        <row r="428">
          <cell r="B428" t="str">
            <v>CLICK125 FI</v>
          </cell>
          <cell r="G428">
            <v>3</v>
          </cell>
          <cell r="H428">
            <v>2</v>
          </cell>
          <cell r="I428">
            <v>1</v>
          </cell>
        </row>
        <row r="429">
          <cell r="B429" t="str">
            <v>RAIDER150 FI BLADE</v>
          </cell>
          <cell r="G429">
            <v>2</v>
          </cell>
          <cell r="H429">
            <v>1</v>
          </cell>
          <cell r="I429">
            <v>2</v>
          </cell>
        </row>
        <row r="430">
          <cell r="B430" t="str">
            <v>XRM DUAL SPORTS FI(DS)</v>
          </cell>
          <cell r="H430">
            <v>1</v>
          </cell>
          <cell r="I430">
            <v>2</v>
          </cell>
        </row>
        <row r="431">
          <cell r="B431" t="str">
            <v>NAVI</v>
          </cell>
          <cell r="G431">
            <v>1</v>
          </cell>
        </row>
        <row r="432">
          <cell r="B432" t="str">
            <v>NMAX155 TECHMAX</v>
          </cell>
          <cell r="H432">
            <v>3</v>
          </cell>
        </row>
        <row r="433">
          <cell r="B433" t="str">
            <v>XR150</v>
          </cell>
          <cell r="H433">
            <v>2</v>
          </cell>
        </row>
        <row r="434">
          <cell r="B434" t="str">
            <v>XRM DUAL SPORTS FI(DS)</v>
          </cell>
          <cell r="G434">
            <v>1</v>
          </cell>
          <cell r="H434">
            <v>2</v>
          </cell>
        </row>
        <row r="435">
          <cell r="B435" t="str">
            <v>CRF150</v>
          </cell>
          <cell r="G435">
            <v>2</v>
          </cell>
          <cell r="I435">
            <v>2</v>
          </cell>
        </row>
        <row r="436">
          <cell r="B436" t="str">
            <v>CRF150</v>
          </cell>
          <cell r="H436">
            <v>1</v>
          </cell>
        </row>
        <row r="437">
          <cell r="B437" t="str">
            <v>ADV160</v>
          </cell>
          <cell r="I437">
            <v>2</v>
          </cell>
        </row>
        <row r="438">
          <cell r="B438" t="str">
            <v>MIO AEROX 155</v>
          </cell>
          <cell r="I438">
            <v>1</v>
          </cell>
        </row>
        <row r="439">
          <cell r="B439" t="str">
            <v>XR150</v>
          </cell>
          <cell r="G439">
            <v>1</v>
          </cell>
          <cell r="H439">
            <v>1</v>
          </cell>
        </row>
        <row r="440">
          <cell r="B440" t="str">
            <v>BARAKO III FI(DUAL START)</v>
          </cell>
          <cell r="I440">
            <v>1</v>
          </cell>
        </row>
        <row r="441">
          <cell r="B441" t="str">
            <v>XRM RS</v>
          </cell>
          <cell r="H441">
            <v>2</v>
          </cell>
        </row>
        <row r="442">
          <cell r="B442" t="str">
            <v>XRM RS</v>
          </cell>
          <cell r="G442">
            <v>1</v>
          </cell>
        </row>
        <row r="443">
          <cell r="B443" t="str">
            <v>MIO i125</v>
          </cell>
          <cell r="I443">
            <v>1</v>
          </cell>
        </row>
        <row r="444">
          <cell r="B444" t="str">
            <v>XRM DUAL SPORTS FI(DS)</v>
          </cell>
          <cell r="I444">
            <v>1</v>
          </cell>
        </row>
        <row r="445">
          <cell r="B445" t="str">
            <v>CLICK125 FI</v>
          </cell>
          <cell r="H445">
            <v>1</v>
          </cell>
          <cell r="I445">
            <v>2</v>
          </cell>
        </row>
        <row r="446">
          <cell r="B446" t="str">
            <v>CLICK125 FI SE</v>
          </cell>
          <cell r="H446">
            <v>3</v>
          </cell>
          <cell r="I446">
            <v>1</v>
          </cell>
        </row>
        <row r="447">
          <cell r="B447" t="str">
            <v>XRM DUAL SPORTS FI(DS)</v>
          </cell>
          <cell r="I447">
            <v>1</v>
          </cell>
        </row>
        <row r="448">
          <cell r="B448" t="str">
            <v>CRF150</v>
          </cell>
          <cell r="G448">
            <v>3</v>
          </cell>
          <cell r="H448">
            <v>1</v>
          </cell>
          <cell r="I448">
            <v>2</v>
          </cell>
        </row>
        <row r="449">
          <cell r="B449" t="str">
            <v>CLICK125 FI</v>
          </cell>
          <cell r="G449">
            <v>8</v>
          </cell>
          <cell r="H449">
            <v>3</v>
          </cell>
          <cell r="I449">
            <v>2</v>
          </cell>
        </row>
        <row r="450">
          <cell r="B450" t="str">
            <v>XR150</v>
          </cell>
          <cell r="G450">
            <v>4</v>
          </cell>
          <cell r="I450">
            <v>2</v>
          </cell>
        </row>
        <row r="451">
          <cell r="B451" t="str">
            <v>CLICK125 FI SE</v>
          </cell>
          <cell r="G451">
            <v>11</v>
          </cell>
          <cell r="H451">
            <v>6</v>
          </cell>
          <cell r="I451">
            <v>4</v>
          </cell>
        </row>
        <row r="452">
          <cell r="B452" t="str">
            <v>CLICK125 FI</v>
          </cell>
          <cell r="G452">
            <v>4</v>
          </cell>
          <cell r="H452">
            <v>3</v>
          </cell>
          <cell r="I452">
            <v>4</v>
          </cell>
        </row>
        <row r="453">
          <cell r="B453" t="str">
            <v>NMAX155 FI ABS</v>
          </cell>
          <cell r="G453">
            <v>1</v>
          </cell>
        </row>
        <row r="454">
          <cell r="B454" t="str">
            <v>TMX ALPHA FI</v>
          </cell>
          <cell r="H454">
            <v>1</v>
          </cell>
        </row>
        <row r="455">
          <cell r="B455" t="str">
            <v>NMAX155 FI ABS</v>
          </cell>
          <cell r="G455">
            <v>1</v>
          </cell>
        </row>
        <row r="456">
          <cell r="B456" t="str">
            <v>ADV160 ROADSYNC</v>
          </cell>
          <cell r="H456">
            <v>1</v>
          </cell>
        </row>
        <row r="457">
          <cell r="B457" t="str">
            <v>BURGMAN STREET EX</v>
          </cell>
          <cell r="H457">
            <v>1</v>
          </cell>
        </row>
        <row r="458">
          <cell r="B458" t="str">
            <v>CLICK125 FI</v>
          </cell>
          <cell r="G458">
            <v>2</v>
          </cell>
          <cell r="H458">
            <v>5</v>
          </cell>
          <cell r="I458">
            <v>2</v>
          </cell>
        </row>
        <row r="459">
          <cell r="B459" t="str">
            <v>WAVE RSX (DRUM)</v>
          </cell>
          <cell r="H459">
            <v>1</v>
          </cell>
        </row>
        <row r="460">
          <cell r="B460" t="str">
            <v>MIO i125</v>
          </cell>
          <cell r="H460">
            <v>1</v>
          </cell>
        </row>
        <row r="461">
          <cell r="B461" t="str">
            <v>CLICK125 FI</v>
          </cell>
          <cell r="G461">
            <v>3</v>
          </cell>
          <cell r="I461">
            <v>1</v>
          </cell>
        </row>
        <row r="462">
          <cell r="B462" t="str">
            <v>NAVI</v>
          </cell>
          <cell r="H462">
            <v>1</v>
          </cell>
        </row>
        <row r="463">
          <cell r="B463" t="str">
            <v>WINNER X STD</v>
          </cell>
          <cell r="I463">
            <v>1</v>
          </cell>
        </row>
        <row r="464">
          <cell r="B464" t="str">
            <v>BARAKO II (DUAL START)</v>
          </cell>
          <cell r="H464">
            <v>1</v>
          </cell>
          <cell r="I464">
            <v>2</v>
          </cell>
        </row>
        <row r="465">
          <cell r="B465" t="str">
            <v>WIZARD</v>
          </cell>
          <cell r="G465">
            <v>1</v>
          </cell>
        </row>
        <row r="466">
          <cell r="B466" t="str">
            <v>RAIDER150 FI BLADE</v>
          </cell>
          <cell r="G466">
            <v>2</v>
          </cell>
        </row>
        <row r="467">
          <cell r="B467" t="str">
            <v>XRM DUAL SPORTS FI(DS)</v>
          </cell>
          <cell r="H467">
            <v>1</v>
          </cell>
        </row>
        <row r="468">
          <cell r="B468" t="str">
            <v>CRF150</v>
          </cell>
          <cell r="G468">
            <v>5</v>
          </cell>
          <cell r="H468">
            <v>2</v>
          </cell>
          <cell r="I468">
            <v>5</v>
          </cell>
        </row>
        <row r="469">
          <cell r="B469" t="str">
            <v>RAIDER150 FI BLADE</v>
          </cell>
          <cell r="G469">
            <v>1</v>
          </cell>
        </row>
        <row r="470">
          <cell r="B470" t="str">
            <v>MIO AEROX 155</v>
          </cell>
          <cell r="H470">
            <v>1</v>
          </cell>
          <cell r="I470">
            <v>3</v>
          </cell>
        </row>
        <row r="471">
          <cell r="B471" t="str">
            <v>NMAX155 FI ABS</v>
          </cell>
          <cell r="G471">
            <v>4</v>
          </cell>
          <cell r="H471">
            <v>3</v>
          </cell>
        </row>
        <row r="472">
          <cell r="B472" t="str">
            <v>SNIPER 155 FI</v>
          </cell>
          <cell r="I472">
            <v>1</v>
          </cell>
        </row>
        <row r="473">
          <cell r="B473" t="str">
            <v>XRM DUAL SPORTS FI(DS)</v>
          </cell>
          <cell r="H473">
            <v>1</v>
          </cell>
        </row>
        <row r="474">
          <cell r="B474" t="str">
            <v>XRM DUAL SPORTS FI(DS)</v>
          </cell>
          <cell r="I474">
            <v>1</v>
          </cell>
        </row>
        <row r="475">
          <cell r="B475" t="str">
            <v>MIO AEROX 155</v>
          </cell>
          <cell r="I475">
            <v>4</v>
          </cell>
        </row>
        <row r="476">
          <cell r="B476" t="str">
            <v>CLICK125 FI SE</v>
          </cell>
          <cell r="H476">
            <v>2</v>
          </cell>
        </row>
        <row r="477">
          <cell r="B477" t="str">
            <v>ADV160</v>
          </cell>
          <cell r="I477">
            <v>1</v>
          </cell>
        </row>
        <row r="478">
          <cell r="B478" t="str">
            <v>NMAX155 FI ABS</v>
          </cell>
          <cell r="G478">
            <v>1</v>
          </cell>
          <cell r="H478">
            <v>1</v>
          </cell>
        </row>
        <row r="479">
          <cell r="B479" t="str">
            <v>XR150</v>
          </cell>
          <cell r="H479">
            <v>1</v>
          </cell>
        </row>
        <row r="480">
          <cell r="B480" t="str">
            <v>XRM DUAL SPORTS FI(DS)</v>
          </cell>
          <cell r="G480">
            <v>3</v>
          </cell>
          <cell r="H480">
            <v>4</v>
          </cell>
          <cell r="I480">
            <v>3</v>
          </cell>
        </row>
        <row r="481">
          <cell r="B481" t="str">
            <v>CLICK125 FI</v>
          </cell>
          <cell r="G481">
            <v>1</v>
          </cell>
          <cell r="I481">
            <v>4</v>
          </cell>
        </row>
        <row r="482">
          <cell r="B482" t="str">
            <v>ADV160</v>
          </cell>
          <cell r="G482">
            <v>1</v>
          </cell>
          <cell r="H482">
            <v>1</v>
          </cell>
        </row>
        <row r="483">
          <cell r="B483" t="str">
            <v>XRM DUAL SPORTS FI(DS)</v>
          </cell>
          <cell r="I483">
            <v>1</v>
          </cell>
        </row>
        <row r="484">
          <cell r="B484" t="str">
            <v>XRM RS</v>
          </cell>
          <cell r="I484">
            <v>1</v>
          </cell>
        </row>
        <row r="485">
          <cell r="B485" t="str">
            <v>NMAX155 TECHMAX</v>
          </cell>
          <cell r="H485">
            <v>1</v>
          </cell>
        </row>
        <row r="486">
          <cell r="B486" t="str">
            <v>XRM OFFROAD FI(DSX)</v>
          </cell>
          <cell r="G486">
            <v>2</v>
          </cell>
          <cell r="H486">
            <v>2</v>
          </cell>
        </row>
        <row r="487">
          <cell r="B487" t="str">
            <v>MIO AEROX 155</v>
          </cell>
          <cell r="G487">
            <v>1</v>
          </cell>
          <cell r="H487">
            <v>1</v>
          </cell>
        </row>
        <row r="488">
          <cell r="B488" t="str">
            <v>CLICK125 FI</v>
          </cell>
          <cell r="G488">
            <v>47</v>
          </cell>
          <cell r="H488">
            <v>33</v>
          </cell>
          <cell r="I488">
            <v>58</v>
          </cell>
        </row>
        <row r="489">
          <cell r="B489" t="str">
            <v>TMX150 SUPREMO</v>
          </cell>
          <cell r="G489">
            <v>1</v>
          </cell>
        </row>
        <row r="490">
          <cell r="B490" t="str">
            <v>XRM MOTARD FI</v>
          </cell>
          <cell r="G490">
            <v>3</v>
          </cell>
          <cell r="H490">
            <v>1</v>
          </cell>
        </row>
        <row r="491">
          <cell r="B491" t="str">
            <v>ADV160</v>
          </cell>
          <cell r="H491">
            <v>1</v>
          </cell>
        </row>
        <row r="492">
          <cell r="B492" t="str">
            <v>ADV160</v>
          </cell>
          <cell r="H492">
            <v>1</v>
          </cell>
          <cell r="I492">
            <v>6</v>
          </cell>
        </row>
        <row r="493">
          <cell r="B493" t="str">
            <v>MIO i125</v>
          </cell>
          <cell r="H493">
            <v>1</v>
          </cell>
        </row>
        <row r="494">
          <cell r="B494" t="str">
            <v>RAIDER150 FI BLADE</v>
          </cell>
          <cell r="G494">
            <v>1</v>
          </cell>
          <cell r="H494">
            <v>1</v>
          </cell>
        </row>
        <row r="495">
          <cell r="B495" t="str">
            <v>WIZARD</v>
          </cell>
          <cell r="G495">
            <v>1</v>
          </cell>
        </row>
        <row r="496">
          <cell r="B496" t="str">
            <v>CT125</v>
          </cell>
          <cell r="G496">
            <v>3</v>
          </cell>
          <cell r="H496">
            <v>2</v>
          </cell>
          <cell r="I496">
            <v>3</v>
          </cell>
        </row>
        <row r="497">
          <cell r="B497" t="str">
            <v>CLICK125 FI</v>
          </cell>
          <cell r="G497">
            <v>2</v>
          </cell>
          <cell r="H497">
            <v>1</v>
          </cell>
          <cell r="I497">
            <v>2</v>
          </cell>
        </row>
        <row r="498">
          <cell r="B498" t="str">
            <v>CLICK160 FI</v>
          </cell>
          <cell r="G498">
            <v>1</v>
          </cell>
          <cell r="H498">
            <v>1</v>
          </cell>
        </row>
        <row r="499">
          <cell r="B499" t="str">
            <v>SNIPER 155 FI</v>
          </cell>
          <cell r="I499">
            <v>1</v>
          </cell>
        </row>
        <row r="500">
          <cell r="B500" t="str">
            <v>NAVI</v>
          </cell>
          <cell r="G500">
            <v>1</v>
          </cell>
        </row>
        <row r="501">
          <cell r="B501" t="str">
            <v>XRM DUAL SPORTS FI(DS)</v>
          </cell>
          <cell r="H501">
            <v>1</v>
          </cell>
          <cell r="I501">
            <v>3</v>
          </cell>
        </row>
        <row r="502">
          <cell r="B502" t="str">
            <v>ADV160</v>
          </cell>
          <cell r="G502">
            <v>1</v>
          </cell>
          <cell r="H502">
            <v>1</v>
          </cell>
          <cell r="I502">
            <v>1</v>
          </cell>
        </row>
        <row r="503">
          <cell r="B503" t="str">
            <v>XRM MOTARD FI</v>
          </cell>
          <cell r="G503">
            <v>1</v>
          </cell>
        </row>
        <row r="504">
          <cell r="B504" t="str">
            <v>TMX150 SUPREMO</v>
          </cell>
          <cell r="I504">
            <v>1</v>
          </cell>
        </row>
        <row r="505">
          <cell r="B505" t="str">
            <v>XR150</v>
          </cell>
          <cell r="G505">
            <v>3</v>
          </cell>
          <cell r="H505">
            <v>2</v>
          </cell>
          <cell r="I505">
            <v>3</v>
          </cell>
        </row>
        <row r="506">
          <cell r="B506" t="str">
            <v>MIO i125</v>
          </cell>
          <cell r="G506">
            <v>1</v>
          </cell>
          <cell r="H506">
            <v>1</v>
          </cell>
        </row>
        <row r="507">
          <cell r="B507" t="str">
            <v>XR150</v>
          </cell>
          <cell r="G507">
            <v>1</v>
          </cell>
        </row>
        <row r="508">
          <cell r="B508" t="str">
            <v>XTZ125</v>
          </cell>
          <cell r="G508">
            <v>1</v>
          </cell>
          <cell r="H508">
            <v>1</v>
          </cell>
        </row>
        <row r="509">
          <cell r="B509" t="str">
            <v>NMAX155 TECHMAX</v>
          </cell>
          <cell r="G509">
            <v>1</v>
          </cell>
        </row>
        <row r="510">
          <cell r="B510" t="str">
            <v>FAZZIO</v>
          </cell>
          <cell r="H510">
            <v>1</v>
          </cell>
        </row>
        <row r="511">
          <cell r="B511" t="str">
            <v>XRM DUAL SPORTS FI(DS)</v>
          </cell>
          <cell r="H511">
            <v>1</v>
          </cell>
          <cell r="I511">
            <v>1</v>
          </cell>
        </row>
        <row r="512">
          <cell r="B512" t="str">
            <v>WAVE RSX(DISC)</v>
          </cell>
          <cell r="H512">
            <v>2</v>
          </cell>
        </row>
        <row r="513">
          <cell r="B513" t="str">
            <v>XRM MOTARD FI</v>
          </cell>
          <cell r="G513">
            <v>4</v>
          </cell>
          <cell r="H513">
            <v>3</v>
          </cell>
          <cell r="I513">
            <v>1</v>
          </cell>
        </row>
        <row r="514">
          <cell r="B514" t="str">
            <v>XRM DUAL SPORTS FI(DS)</v>
          </cell>
          <cell r="G514">
            <v>1</v>
          </cell>
        </row>
        <row r="515">
          <cell r="B515" t="str">
            <v>CLICK125 FI</v>
          </cell>
          <cell r="G515">
            <v>2</v>
          </cell>
          <cell r="H515">
            <v>8</v>
          </cell>
          <cell r="I515">
            <v>5</v>
          </cell>
        </row>
        <row r="516">
          <cell r="B516" t="str">
            <v>FAZZIO</v>
          </cell>
          <cell r="G516">
            <v>1</v>
          </cell>
        </row>
        <row r="517">
          <cell r="B517" t="str">
            <v>GIORNO</v>
          </cell>
          <cell r="I517">
            <v>1</v>
          </cell>
        </row>
        <row r="518">
          <cell r="B518" t="str">
            <v>SMASH(SPOKE)</v>
          </cell>
          <cell r="G518">
            <v>2</v>
          </cell>
          <cell r="H518">
            <v>1</v>
          </cell>
        </row>
        <row r="519">
          <cell r="B519" t="str">
            <v>MIO AEROX 155</v>
          </cell>
          <cell r="H519">
            <v>3</v>
          </cell>
          <cell r="I519">
            <v>5</v>
          </cell>
        </row>
        <row r="520">
          <cell r="B520" t="str">
            <v>CT100</v>
          </cell>
          <cell r="G520">
            <v>1</v>
          </cell>
        </row>
        <row r="521">
          <cell r="B521" t="str">
            <v>WINNER X STD</v>
          </cell>
          <cell r="G521">
            <v>1</v>
          </cell>
        </row>
        <row r="522">
          <cell r="B522" t="str">
            <v>FAZZIO</v>
          </cell>
          <cell r="G522">
            <v>1</v>
          </cell>
          <cell r="H522">
            <v>1</v>
          </cell>
        </row>
        <row r="523">
          <cell r="B523" t="str">
            <v>CRF300</v>
          </cell>
          <cell r="H523">
            <v>1</v>
          </cell>
        </row>
        <row r="524">
          <cell r="B524" t="str">
            <v>XRM RS</v>
          </cell>
          <cell r="G524">
            <v>1</v>
          </cell>
        </row>
        <row r="525">
          <cell r="B525" t="str">
            <v>BAJAJ RE 4S FI</v>
          </cell>
          <cell r="G525">
            <v>2</v>
          </cell>
        </row>
        <row r="526">
          <cell r="B526" t="str">
            <v>CT125</v>
          </cell>
          <cell r="G526">
            <v>9</v>
          </cell>
          <cell r="H526">
            <v>12</v>
          </cell>
          <cell r="I526">
            <v>12</v>
          </cell>
        </row>
        <row r="527">
          <cell r="B527" t="str">
            <v>CT100</v>
          </cell>
          <cell r="G527">
            <v>29</v>
          </cell>
          <cell r="H527">
            <v>4</v>
          </cell>
          <cell r="I527">
            <v>9</v>
          </cell>
        </row>
        <row r="528">
          <cell r="B528" t="str">
            <v>CT100</v>
          </cell>
          <cell r="H528">
            <v>3</v>
          </cell>
        </row>
        <row r="529">
          <cell r="B529" t="str">
            <v>XRM RS</v>
          </cell>
          <cell r="G529">
            <v>3</v>
          </cell>
          <cell r="I529">
            <v>1</v>
          </cell>
        </row>
        <row r="530">
          <cell r="B530" t="str">
            <v>CLICK125 FI</v>
          </cell>
          <cell r="G530">
            <v>3</v>
          </cell>
          <cell r="I530">
            <v>5</v>
          </cell>
        </row>
        <row r="531">
          <cell r="B531" t="str">
            <v>ADV160</v>
          </cell>
          <cell r="G531">
            <v>1</v>
          </cell>
        </row>
        <row r="532">
          <cell r="B532" t="str">
            <v>BARAKO II (DUAL START)</v>
          </cell>
          <cell r="H532">
            <v>2</v>
          </cell>
        </row>
        <row r="533">
          <cell r="B533" t="str">
            <v>MIO i125</v>
          </cell>
          <cell r="G533">
            <v>1</v>
          </cell>
          <cell r="H533">
            <v>2</v>
          </cell>
        </row>
        <row r="534">
          <cell r="B534" t="str">
            <v>RAIDER150 FI BLADE</v>
          </cell>
          <cell r="H534">
            <v>1</v>
          </cell>
        </row>
        <row r="535">
          <cell r="B535" t="str">
            <v>XRM DUAL SPORTS FI(DS)</v>
          </cell>
          <cell r="G535">
            <v>2</v>
          </cell>
          <cell r="H535">
            <v>2</v>
          </cell>
          <cell r="I535">
            <v>1</v>
          </cell>
        </row>
        <row r="536">
          <cell r="B536" t="str">
            <v>MIO GEAR S</v>
          </cell>
          <cell r="H536">
            <v>1</v>
          </cell>
        </row>
        <row r="537">
          <cell r="B537" t="str">
            <v>XRM DUAL SPORTS FI(DS)</v>
          </cell>
          <cell r="H537">
            <v>1</v>
          </cell>
        </row>
        <row r="538">
          <cell r="B538" t="str">
            <v>CLICK160 FI</v>
          </cell>
          <cell r="I538">
            <v>1</v>
          </cell>
        </row>
        <row r="539">
          <cell r="B539" t="str">
            <v>YTX125</v>
          </cell>
          <cell r="G539">
            <v>2</v>
          </cell>
        </row>
        <row r="540">
          <cell r="B540" t="str">
            <v>XRM OFFROAD FI(DSX)</v>
          </cell>
          <cell r="G540">
            <v>1</v>
          </cell>
          <cell r="H540">
            <v>1</v>
          </cell>
          <cell r="I540">
            <v>1</v>
          </cell>
        </row>
        <row r="541">
          <cell r="B541" t="str">
            <v>MIO AEROX S 155</v>
          </cell>
          <cell r="H541">
            <v>1</v>
          </cell>
        </row>
        <row r="542">
          <cell r="B542" t="str">
            <v>ADV160</v>
          </cell>
          <cell r="H542">
            <v>1</v>
          </cell>
        </row>
        <row r="543">
          <cell r="B543" t="str">
            <v>NMAX155 TECHMAX</v>
          </cell>
          <cell r="I543">
            <v>3</v>
          </cell>
        </row>
        <row r="544">
          <cell r="B544" t="str">
            <v>XRM DUAL SPORTS FI(DS)</v>
          </cell>
          <cell r="G544">
            <v>1</v>
          </cell>
          <cell r="H544">
            <v>1</v>
          </cell>
          <cell r="I544">
            <v>1</v>
          </cell>
        </row>
        <row r="545">
          <cell r="B545" t="str">
            <v>CLICK160 FI</v>
          </cell>
          <cell r="H545">
            <v>1</v>
          </cell>
          <cell r="I545">
            <v>2</v>
          </cell>
        </row>
        <row r="546">
          <cell r="B546" t="str">
            <v>ADV160 ROADSYNC</v>
          </cell>
          <cell r="I546">
            <v>1</v>
          </cell>
        </row>
        <row r="547">
          <cell r="B547" t="str">
            <v>BEAT FI PREM</v>
          </cell>
          <cell r="H547">
            <v>1</v>
          </cell>
        </row>
        <row r="548">
          <cell r="B548" t="str">
            <v>RAIDER150 FI BLADE</v>
          </cell>
          <cell r="G548">
            <v>1</v>
          </cell>
          <cell r="I548">
            <v>2</v>
          </cell>
        </row>
        <row r="549">
          <cell r="B549" t="str">
            <v>SMASH(SPOKE)</v>
          </cell>
          <cell r="I549">
            <v>1</v>
          </cell>
        </row>
        <row r="550">
          <cell r="B550" t="str">
            <v>KLX150</v>
          </cell>
          <cell r="G550">
            <v>2</v>
          </cell>
        </row>
        <row r="551">
          <cell r="B551" t="str">
            <v>TMX ALPHA FI</v>
          </cell>
          <cell r="H551">
            <v>1</v>
          </cell>
        </row>
        <row r="552">
          <cell r="B552" t="str">
            <v>BAJAJ RE 4S FI</v>
          </cell>
          <cell r="G552">
            <v>2</v>
          </cell>
          <cell r="H552">
            <v>4</v>
          </cell>
          <cell r="I552">
            <v>4</v>
          </cell>
        </row>
        <row r="553">
          <cell r="B553" t="str">
            <v>MIO i125</v>
          </cell>
          <cell r="G553">
            <v>1</v>
          </cell>
        </row>
        <row r="554">
          <cell r="B554" t="str">
            <v>NMAX155 FI ABS</v>
          </cell>
          <cell r="G554">
            <v>4</v>
          </cell>
          <cell r="H554">
            <v>1</v>
          </cell>
          <cell r="I554">
            <v>1</v>
          </cell>
        </row>
        <row r="555">
          <cell r="B555" t="str">
            <v>XRM OFFROAD FI(DSX)</v>
          </cell>
          <cell r="H555">
            <v>2</v>
          </cell>
          <cell r="I555">
            <v>1</v>
          </cell>
        </row>
        <row r="556">
          <cell r="B556" t="str">
            <v>KLX150</v>
          </cell>
          <cell r="G556">
            <v>4</v>
          </cell>
          <cell r="H556">
            <v>2</v>
          </cell>
          <cell r="I556">
            <v>1</v>
          </cell>
        </row>
        <row r="557">
          <cell r="B557" t="str">
            <v>MIO i125</v>
          </cell>
          <cell r="H557">
            <v>1</v>
          </cell>
          <cell r="I557">
            <v>2</v>
          </cell>
        </row>
        <row r="558">
          <cell r="B558" t="str">
            <v>CLICK160 FI</v>
          </cell>
          <cell r="G558">
            <v>1</v>
          </cell>
          <cell r="H558">
            <v>2</v>
          </cell>
        </row>
        <row r="559">
          <cell r="B559" t="str">
            <v>MIO i125s</v>
          </cell>
          <cell r="H559">
            <v>1</v>
          </cell>
        </row>
        <row r="560">
          <cell r="B560" t="str">
            <v>BEAT FI PREM</v>
          </cell>
          <cell r="G560">
            <v>1</v>
          </cell>
          <cell r="H560">
            <v>1</v>
          </cell>
        </row>
        <row r="561">
          <cell r="B561" t="str">
            <v>CLICK125 FI</v>
          </cell>
          <cell r="G561">
            <v>1</v>
          </cell>
          <cell r="H561">
            <v>1</v>
          </cell>
          <cell r="I561">
            <v>2</v>
          </cell>
        </row>
        <row r="562">
          <cell r="B562" t="str">
            <v>BEAT FI PREM</v>
          </cell>
          <cell r="G562">
            <v>1</v>
          </cell>
        </row>
        <row r="563">
          <cell r="B563" t="str">
            <v>MIO i125</v>
          </cell>
          <cell r="G563">
            <v>1</v>
          </cell>
        </row>
        <row r="564">
          <cell r="B564" t="str">
            <v>SNIPER 155 FI</v>
          </cell>
          <cell r="I564">
            <v>1</v>
          </cell>
        </row>
        <row r="565">
          <cell r="B565" t="str">
            <v>NAVI</v>
          </cell>
          <cell r="I565">
            <v>1</v>
          </cell>
        </row>
        <row r="566">
          <cell r="B566" t="str">
            <v>NMAX155 TECHMAX</v>
          </cell>
          <cell r="I566">
            <v>1</v>
          </cell>
        </row>
        <row r="567">
          <cell r="B567" t="str">
            <v>NMAX155 FI ABS</v>
          </cell>
          <cell r="G567">
            <v>1</v>
          </cell>
        </row>
        <row r="568">
          <cell r="B568" t="str">
            <v>MIO GRAVIS</v>
          </cell>
          <cell r="H568">
            <v>1</v>
          </cell>
        </row>
        <row r="569">
          <cell r="B569" t="str">
            <v>CRF150</v>
          </cell>
          <cell r="I569">
            <v>1</v>
          </cell>
        </row>
        <row r="570">
          <cell r="B570" t="str">
            <v>BURGMAN STREET EX</v>
          </cell>
          <cell r="G570">
            <v>1</v>
          </cell>
        </row>
        <row r="571">
          <cell r="B571" t="str">
            <v>ADV160</v>
          </cell>
          <cell r="I571">
            <v>3</v>
          </cell>
        </row>
        <row r="572">
          <cell r="B572" t="str">
            <v>FAZZIO</v>
          </cell>
          <cell r="G572">
            <v>1</v>
          </cell>
        </row>
        <row r="573">
          <cell r="B573" t="str">
            <v>BEAT FI PREM</v>
          </cell>
          <cell r="H573">
            <v>1</v>
          </cell>
          <cell r="I573">
            <v>1</v>
          </cell>
        </row>
        <row r="574">
          <cell r="B574" t="str">
            <v>RAIDER150 FI BLADE</v>
          </cell>
          <cell r="H574">
            <v>2</v>
          </cell>
        </row>
        <row r="575">
          <cell r="B575" t="str">
            <v>MIO i125</v>
          </cell>
          <cell r="G575">
            <v>1</v>
          </cell>
        </row>
        <row r="576">
          <cell r="B576" t="str">
            <v>AVENIS125</v>
          </cell>
          <cell r="H576">
            <v>1</v>
          </cell>
        </row>
        <row r="577">
          <cell r="B577" t="str">
            <v>MIO i125</v>
          </cell>
          <cell r="H577">
            <v>2</v>
          </cell>
        </row>
        <row r="578">
          <cell r="B578" t="str">
            <v>MIO AEROX 155</v>
          </cell>
          <cell r="H578">
            <v>1</v>
          </cell>
        </row>
        <row r="579">
          <cell r="B579" t="str">
            <v>XRM DUAL SPORTS FI(DS)</v>
          </cell>
          <cell r="G579">
            <v>1</v>
          </cell>
          <cell r="H579">
            <v>2</v>
          </cell>
        </row>
        <row r="580">
          <cell r="B580" t="str">
            <v>NAVI</v>
          </cell>
          <cell r="H580">
            <v>2</v>
          </cell>
        </row>
        <row r="581">
          <cell r="B581" t="str">
            <v>NAVI</v>
          </cell>
          <cell r="G581">
            <v>1</v>
          </cell>
        </row>
        <row r="582">
          <cell r="B582" t="str">
            <v>SMASH(MAGS)</v>
          </cell>
          <cell r="I582">
            <v>1</v>
          </cell>
        </row>
        <row r="583">
          <cell r="B583" t="str">
            <v>NMAX155 FI ABS</v>
          </cell>
          <cell r="I583">
            <v>1</v>
          </cell>
        </row>
        <row r="584">
          <cell r="B584" t="str">
            <v>NAVI</v>
          </cell>
          <cell r="H584">
            <v>1</v>
          </cell>
          <cell r="I584">
            <v>1</v>
          </cell>
        </row>
        <row r="585">
          <cell r="B585" t="str">
            <v>CLICK125 FI</v>
          </cell>
          <cell r="I585">
            <v>2</v>
          </cell>
        </row>
        <row r="586">
          <cell r="B586" t="str">
            <v>BAJAJ RE 4S FI</v>
          </cell>
          <cell r="G586">
            <v>1</v>
          </cell>
          <cell r="I586">
            <v>2</v>
          </cell>
        </row>
        <row r="587">
          <cell r="B587" t="str">
            <v>CRF150</v>
          </cell>
          <cell r="G587">
            <v>1</v>
          </cell>
          <cell r="H587">
            <v>1</v>
          </cell>
        </row>
        <row r="588">
          <cell r="B588" t="str">
            <v>TMX150 SUPREMO</v>
          </cell>
          <cell r="G588">
            <v>1</v>
          </cell>
          <cell r="H588">
            <v>1</v>
          </cell>
          <cell r="I588">
            <v>1</v>
          </cell>
        </row>
        <row r="589">
          <cell r="B589" t="str">
            <v>CT100B</v>
          </cell>
          <cell r="H589">
            <v>1</v>
          </cell>
        </row>
        <row r="590">
          <cell r="B590" t="str">
            <v>WINNER X ABS</v>
          </cell>
          <cell r="I590">
            <v>1</v>
          </cell>
        </row>
        <row r="591">
          <cell r="B591" t="str">
            <v>MIO i125</v>
          </cell>
          <cell r="G591">
            <v>1</v>
          </cell>
        </row>
        <row r="592">
          <cell r="B592" t="str">
            <v>MIO AEROX 155</v>
          </cell>
          <cell r="H592">
            <v>2</v>
          </cell>
        </row>
        <row r="593">
          <cell r="B593" t="str">
            <v>NMAX155 FI ABS</v>
          </cell>
          <cell r="G593">
            <v>1</v>
          </cell>
          <cell r="I593">
            <v>1</v>
          </cell>
        </row>
        <row r="594">
          <cell r="B594" t="str">
            <v>RAIDER150 FI BLADE</v>
          </cell>
          <cell r="I594">
            <v>1</v>
          </cell>
        </row>
        <row r="595">
          <cell r="B595" t="str">
            <v>XRM DUAL SPORTS FI(DS)</v>
          </cell>
          <cell r="G595">
            <v>1</v>
          </cell>
        </row>
        <row r="596">
          <cell r="B596" t="str">
            <v>MIO i125</v>
          </cell>
          <cell r="H596">
            <v>1</v>
          </cell>
          <cell r="I596">
            <v>1</v>
          </cell>
        </row>
        <row r="597">
          <cell r="B597" t="str">
            <v>TMX150 SUPREMO</v>
          </cell>
          <cell r="I597">
            <v>2</v>
          </cell>
        </row>
        <row r="598">
          <cell r="B598" t="str">
            <v>WAVE RSX (DRUM)</v>
          </cell>
          <cell r="H598">
            <v>1</v>
          </cell>
        </row>
        <row r="599">
          <cell r="B599" t="str">
            <v>NMAX155 FI ABS</v>
          </cell>
          <cell r="G599">
            <v>1</v>
          </cell>
          <cell r="H599">
            <v>2</v>
          </cell>
        </row>
        <row r="600">
          <cell r="B600" t="str">
            <v>BEAT FI STD</v>
          </cell>
          <cell r="H600">
            <v>2</v>
          </cell>
        </row>
        <row r="601">
          <cell r="B601" t="str">
            <v>KLX150</v>
          </cell>
          <cell r="H601">
            <v>2</v>
          </cell>
          <cell r="I601">
            <v>1</v>
          </cell>
        </row>
        <row r="602">
          <cell r="B602" t="str">
            <v>BURGMAN STREET</v>
          </cell>
          <cell r="G602">
            <v>1</v>
          </cell>
        </row>
        <row r="603">
          <cell r="B603" t="str">
            <v>CLICK160 FI</v>
          </cell>
          <cell r="H603">
            <v>4</v>
          </cell>
          <cell r="I603">
            <v>2</v>
          </cell>
        </row>
        <row r="604">
          <cell r="B604" t="str">
            <v>CT125</v>
          </cell>
          <cell r="G604">
            <v>3</v>
          </cell>
          <cell r="H604">
            <v>4</v>
          </cell>
          <cell r="I604">
            <v>4</v>
          </cell>
        </row>
        <row r="605">
          <cell r="B605" t="str">
            <v>CLICK125 FI</v>
          </cell>
          <cell r="H605">
            <v>1</v>
          </cell>
          <cell r="I605">
            <v>5</v>
          </cell>
        </row>
        <row r="606">
          <cell r="B606" t="str">
            <v>XRM DUAL SPORTS FI(DS)</v>
          </cell>
          <cell r="H606">
            <v>3</v>
          </cell>
        </row>
        <row r="607">
          <cell r="B607" t="str">
            <v>CLICK125 FI</v>
          </cell>
          <cell r="G607">
            <v>3</v>
          </cell>
          <cell r="I607">
            <v>7</v>
          </cell>
        </row>
        <row r="608">
          <cell r="B608" t="str">
            <v>TMX ALPHA FI</v>
          </cell>
          <cell r="H608">
            <v>1</v>
          </cell>
          <cell r="I608">
            <v>1</v>
          </cell>
        </row>
        <row r="609">
          <cell r="B609" t="str">
            <v>MIO AEROX 155</v>
          </cell>
          <cell r="G609">
            <v>1</v>
          </cell>
          <cell r="H609">
            <v>1</v>
          </cell>
          <cell r="I609">
            <v>1</v>
          </cell>
        </row>
        <row r="610">
          <cell r="B610" t="str">
            <v>BAJAJ RE 4S FI</v>
          </cell>
          <cell r="G610">
            <v>1</v>
          </cell>
          <cell r="I610">
            <v>1</v>
          </cell>
        </row>
        <row r="611">
          <cell r="B611" t="str">
            <v>CRF150</v>
          </cell>
          <cell r="H611">
            <v>1</v>
          </cell>
          <cell r="I611">
            <v>1</v>
          </cell>
        </row>
        <row r="612">
          <cell r="B612" t="str">
            <v>CRF150</v>
          </cell>
          <cell r="I612">
            <v>2</v>
          </cell>
        </row>
        <row r="613">
          <cell r="B613" t="str">
            <v>RAIDER150 FI BLADE</v>
          </cell>
          <cell r="G613">
            <v>1</v>
          </cell>
        </row>
        <row r="614">
          <cell r="B614" t="str">
            <v>ACCESS 125</v>
          </cell>
          <cell r="G614">
            <v>1</v>
          </cell>
          <cell r="I614">
            <v>1</v>
          </cell>
        </row>
        <row r="615">
          <cell r="B615" t="str">
            <v>XRM DUAL SPORTS FI(DS)</v>
          </cell>
          <cell r="H615">
            <v>1</v>
          </cell>
        </row>
        <row r="616">
          <cell r="B616" t="str">
            <v>FAZZIO</v>
          </cell>
          <cell r="I616">
            <v>1</v>
          </cell>
        </row>
        <row r="617">
          <cell r="B617" t="str">
            <v>NMAX155 TECHMAX</v>
          </cell>
          <cell r="G617">
            <v>1</v>
          </cell>
        </row>
        <row r="618">
          <cell r="B618" t="str">
            <v>YTX125</v>
          </cell>
          <cell r="G618">
            <v>2</v>
          </cell>
        </row>
        <row r="619">
          <cell r="B619" t="str">
            <v>CLICK125 FI</v>
          </cell>
          <cell r="G619">
            <v>6</v>
          </cell>
          <cell r="H619">
            <v>2</v>
          </cell>
          <cell r="I619">
            <v>6</v>
          </cell>
        </row>
        <row r="620">
          <cell r="B620" t="str">
            <v>XRM DUAL SPORTS FI(DS)</v>
          </cell>
          <cell r="G620">
            <v>1</v>
          </cell>
        </row>
        <row r="621">
          <cell r="B621" t="str">
            <v>CT125</v>
          </cell>
          <cell r="G621">
            <v>5</v>
          </cell>
          <cell r="H621">
            <v>9</v>
          </cell>
          <cell r="I621">
            <v>13</v>
          </cell>
        </row>
        <row r="622">
          <cell r="B622" t="str">
            <v>BEAT FI PREM</v>
          </cell>
          <cell r="G622">
            <v>2</v>
          </cell>
          <cell r="I622">
            <v>1</v>
          </cell>
        </row>
        <row r="623">
          <cell r="B623" t="str">
            <v>CRF300</v>
          </cell>
          <cell r="G623">
            <v>1</v>
          </cell>
        </row>
        <row r="624">
          <cell r="B624" t="str">
            <v>BEAT FI PREM</v>
          </cell>
          <cell r="G624">
            <v>9</v>
          </cell>
        </row>
        <row r="625">
          <cell r="B625" t="str">
            <v>CT100</v>
          </cell>
          <cell r="H625">
            <v>2</v>
          </cell>
          <cell r="I625">
            <v>1</v>
          </cell>
        </row>
        <row r="626">
          <cell r="B626" t="str">
            <v>CLICK125 FI</v>
          </cell>
          <cell r="H626">
            <v>1</v>
          </cell>
        </row>
        <row r="627">
          <cell r="B627" t="str">
            <v>CRF150</v>
          </cell>
          <cell r="G627">
            <v>2</v>
          </cell>
          <cell r="H627">
            <v>13</v>
          </cell>
          <cell r="I627">
            <v>1</v>
          </cell>
        </row>
        <row r="628">
          <cell r="B628" t="str">
            <v>BAJAJ RE 4S FI</v>
          </cell>
          <cell r="G628">
            <v>8</v>
          </cell>
          <cell r="H628">
            <v>10</v>
          </cell>
          <cell r="I628">
            <v>5</v>
          </cell>
        </row>
        <row r="629">
          <cell r="B629" t="str">
            <v>SNIPER 155 FI</v>
          </cell>
          <cell r="I629">
            <v>1</v>
          </cell>
        </row>
        <row r="630">
          <cell r="B630" t="str">
            <v>CRF150</v>
          </cell>
          <cell r="I630">
            <v>1</v>
          </cell>
        </row>
        <row r="631">
          <cell r="B631" t="str">
            <v>SNIPER 155 FI</v>
          </cell>
          <cell r="G631">
            <v>1</v>
          </cell>
          <cell r="H631">
            <v>2</v>
          </cell>
          <cell r="I631">
            <v>1</v>
          </cell>
        </row>
        <row r="632">
          <cell r="B632" t="str">
            <v>RAIDER150 FI BLADE</v>
          </cell>
          <cell r="G632">
            <v>2</v>
          </cell>
          <cell r="H632">
            <v>1</v>
          </cell>
        </row>
        <row r="633">
          <cell r="B633" t="str">
            <v>WINNER X STD</v>
          </cell>
          <cell r="H633">
            <v>1</v>
          </cell>
        </row>
        <row r="634">
          <cell r="B634" t="str">
            <v>BAJAJ RE 4S FI</v>
          </cell>
          <cell r="H634">
            <v>1</v>
          </cell>
          <cell r="I634">
            <v>1</v>
          </cell>
        </row>
        <row r="635">
          <cell r="B635" t="str">
            <v>NAVI</v>
          </cell>
          <cell r="H635">
            <v>1</v>
          </cell>
        </row>
        <row r="636">
          <cell r="B636" t="str">
            <v>BURGMAN15</v>
          </cell>
          <cell r="G636">
            <v>1</v>
          </cell>
        </row>
        <row r="637">
          <cell r="B637" t="str">
            <v>YTX125</v>
          </cell>
          <cell r="I637">
            <v>2</v>
          </cell>
        </row>
        <row r="638">
          <cell r="B638" t="str">
            <v>CT125</v>
          </cell>
          <cell r="G638">
            <v>1</v>
          </cell>
          <cell r="H638">
            <v>1</v>
          </cell>
          <cell r="I638">
            <v>1</v>
          </cell>
        </row>
        <row r="639">
          <cell r="B639" t="str">
            <v>CLICK125 FI</v>
          </cell>
          <cell r="H639">
            <v>4</v>
          </cell>
          <cell r="I639">
            <v>7</v>
          </cell>
        </row>
        <row r="640">
          <cell r="B640" t="str">
            <v>XRM MOTARD FI</v>
          </cell>
          <cell r="G640">
            <v>3</v>
          </cell>
          <cell r="H640">
            <v>1</v>
          </cell>
          <cell r="I640">
            <v>2</v>
          </cell>
        </row>
        <row r="641">
          <cell r="B641" t="str">
            <v>CT100</v>
          </cell>
          <cell r="G641">
            <v>1</v>
          </cell>
          <cell r="I641">
            <v>1</v>
          </cell>
        </row>
        <row r="642">
          <cell r="B642" t="str">
            <v>BAJAJ RE 4S FI</v>
          </cell>
          <cell r="G642">
            <v>2</v>
          </cell>
          <cell r="I642">
            <v>1</v>
          </cell>
        </row>
        <row r="643">
          <cell r="B643" t="str">
            <v>MIO GEAR</v>
          </cell>
          <cell r="I643">
            <v>2</v>
          </cell>
        </row>
        <row r="644">
          <cell r="B644" t="str">
            <v>NAVI</v>
          </cell>
          <cell r="G644">
            <v>1</v>
          </cell>
          <cell r="H644">
            <v>1</v>
          </cell>
        </row>
        <row r="645">
          <cell r="B645" t="str">
            <v>ADV160</v>
          </cell>
          <cell r="I645">
            <v>1</v>
          </cell>
        </row>
        <row r="646">
          <cell r="B646" t="str">
            <v>CLICK125 FI</v>
          </cell>
          <cell r="G646">
            <v>9</v>
          </cell>
          <cell r="I646">
            <v>3</v>
          </cell>
        </row>
        <row r="647">
          <cell r="B647" t="str">
            <v>XRM MOTARD FI</v>
          </cell>
          <cell r="G647">
            <v>1</v>
          </cell>
          <cell r="H647">
            <v>1</v>
          </cell>
        </row>
        <row r="648">
          <cell r="B648" t="str">
            <v>BAJAJ RE 4S FI</v>
          </cell>
          <cell r="G648">
            <v>1</v>
          </cell>
        </row>
        <row r="649">
          <cell r="B649" t="str">
            <v>XRM RS</v>
          </cell>
          <cell r="G649">
            <v>2</v>
          </cell>
          <cell r="H649">
            <v>1</v>
          </cell>
          <cell r="I649">
            <v>1</v>
          </cell>
        </row>
        <row r="650">
          <cell r="B650" t="str">
            <v>XTZ125</v>
          </cell>
          <cell r="G650">
            <v>2</v>
          </cell>
          <cell r="H650">
            <v>1</v>
          </cell>
          <cell r="I650">
            <v>1</v>
          </cell>
        </row>
        <row r="651">
          <cell r="B651" t="str">
            <v>XR150</v>
          </cell>
          <cell r="I651">
            <v>1</v>
          </cell>
        </row>
        <row r="652">
          <cell r="B652" t="str">
            <v>BEAT FI PREM</v>
          </cell>
          <cell r="G652">
            <v>2</v>
          </cell>
        </row>
        <row r="653">
          <cell r="B653" t="str">
            <v>CT100</v>
          </cell>
          <cell r="G653">
            <v>3</v>
          </cell>
          <cell r="H653">
            <v>6</v>
          </cell>
          <cell r="I653">
            <v>9</v>
          </cell>
        </row>
        <row r="654">
          <cell r="B654" t="str">
            <v>XRM MOTARD FI</v>
          </cell>
          <cell r="G654">
            <v>2</v>
          </cell>
          <cell r="H654">
            <v>1</v>
          </cell>
          <cell r="I654">
            <v>1</v>
          </cell>
        </row>
        <row r="655">
          <cell r="B655" t="str">
            <v>CT125</v>
          </cell>
          <cell r="G655">
            <v>1</v>
          </cell>
          <cell r="H655">
            <v>3</v>
          </cell>
          <cell r="I655">
            <v>4</v>
          </cell>
        </row>
        <row r="656">
          <cell r="B656" t="str">
            <v>CLICK125 FI SE</v>
          </cell>
          <cell r="H656">
            <v>1</v>
          </cell>
        </row>
        <row r="657">
          <cell r="B657" t="str">
            <v>CLICK125 FI</v>
          </cell>
          <cell r="G657">
            <v>3</v>
          </cell>
          <cell r="I657">
            <v>1</v>
          </cell>
        </row>
        <row r="658">
          <cell r="B658" t="str">
            <v>WAVE RSX(DISC)</v>
          </cell>
          <cell r="G658">
            <v>3</v>
          </cell>
        </row>
        <row r="659">
          <cell r="B659" t="str">
            <v>CRF150</v>
          </cell>
          <cell r="H659">
            <v>1</v>
          </cell>
        </row>
        <row r="660">
          <cell r="B660" t="str">
            <v>CLICK160 FI</v>
          </cell>
          <cell r="G660">
            <v>4</v>
          </cell>
          <cell r="I660">
            <v>1</v>
          </cell>
        </row>
        <row r="661">
          <cell r="B661" t="str">
            <v>BEAT FI PREM</v>
          </cell>
          <cell r="H661">
            <v>1</v>
          </cell>
        </row>
        <row r="662">
          <cell r="B662" t="str">
            <v>MIO i125</v>
          </cell>
          <cell r="G662">
            <v>1</v>
          </cell>
        </row>
        <row r="663">
          <cell r="B663" t="str">
            <v>RAIDER150 FI BLADE</v>
          </cell>
          <cell r="I663">
            <v>2</v>
          </cell>
        </row>
        <row r="664">
          <cell r="B664" t="str">
            <v>CRF150</v>
          </cell>
          <cell r="G664">
            <v>1</v>
          </cell>
          <cell r="H664">
            <v>1</v>
          </cell>
        </row>
        <row r="665">
          <cell r="B665" t="str">
            <v>CRF150</v>
          </cell>
          <cell r="H665">
            <v>1</v>
          </cell>
        </row>
        <row r="666">
          <cell r="B666" t="str">
            <v>XRM RS</v>
          </cell>
          <cell r="H666">
            <v>1</v>
          </cell>
        </row>
        <row r="667">
          <cell r="B667" t="str">
            <v>CRF150</v>
          </cell>
          <cell r="I667">
            <v>1</v>
          </cell>
        </row>
        <row r="668">
          <cell r="B668" t="str">
            <v>BEAT FI STD</v>
          </cell>
          <cell r="G668">
            <v>1</v>
          </cell>
        </row>
        <row r="669">
          <cell r="B669" t="str">
            <v>DR160</v>
          </cell>
          <cell r="I669">
            <v>1</v>
          </cell>
        </row>
        <row r="670">
          <cell r="B670" t="str">
            <v>CLICK125 FI</v>
          </cell>
          <cell r="H670">
            <v>1</v>
          </cell>
          <cell r="I670">
            <v>2</v>
          </cell>
        </row>
        <row r="671">
          <cell r="B671" t="str">
            <v>XR150</v>
          </cell>
          <cell r="G671">
            <v>1</v>
          </cell>
          <cell r="H671">
            <v>3</v>
          </cell>
          <cell r="I671">
            <v>1</v>
          </cell>
        </row>
        <row r="672">
          <cell r="B672" t="str">
            <v>CLICK160 FI</v>
          </cell>
          <cell r="H672">
            <v>3</v>
          </cell>
        </row>
        <row r="673">
          <cell r="B673" t="str">
            <v>KLX150</v>
          </cell>
          <cell r="H673">
            <v>1</v>
          </cell>
        </row>
        <row r="674">
          <cell r="B674" t="str">
            <v>CRF150</v>
          </cell>
          <cell r="G674">
            <v>3</v>
          </cell>
        </row>
        <row r="675">
          <cell r="B675" t="str">
            <v>CLICK125 FI SE</v>
          </cell>
          <cell r="G675">
            <v>3</v>
          </cell>
          <cell r="H675">
            <v>6</v>
          </cell>
        </row>
        <row r="676">
          <cell r="B676" t="str">
            <v>CRF150</v>
          </cell>
          <cell r="G676">
            <v>2</v>
          </cell>
        </row>
        <row r="677">
          <cell r="B677" t="str">
            <v>KLX150</v>
          </cell>
          <cell r="G677">
            <v>2</v>
          </cell>
        </row>
        <row r="678">
          <cell r="B678" t="str">
            <v>SMASH(SPOKE)</v>
          </cell>
          <cell r="H678">
            <v>1</v>
          </cell>
        </row>
        <row r="679">
          <cell r="B679" t="str">
            <v>NMAX155 FI ABS</v>
          </cell>
          <cell r="G679">
            <v>1</v>
          </cell>
        </row>
        <row r="680">
          <cell r="B680" t="str">
            <v>MIO AEROX 155</v>
          </cell>
          <cell r="H680">
            <v>2</v>
          </cell>
          <cell r="I680">
            <v>1</v>
          </cell>
        </row>
        <row r="681">
          <cell r="B681" t="str">
            <v>MIO AEROX S 155</v>
          </cell>
          <cell r="H681">
            <v>1</v>
          </cell>
        </row>
        <row r="682">
          <cell r="B682" t="str">
            <v>WIZARD</v>
          </cell>
          <cell r="H682">
            <v>1</v>
          </cell>
        </row>
        <row r="683">
          <cell r="B683" t="str">
            <v>BURGMAN STREET EX</v>
          </cell>
          <cell r="H683">
            <v>1</v>
          </cell>
        </row>
        <row r="684">
          <cell r="B684" t="str">
            <v>CLICK125 FI SE</v>
          </cell>
          <cell r="H684">
            <v>2</v>
          </cell>
        </row>
        <row r="685">
          <cell r="B685" t="str">
            <v>MIO i125</v>
          </cell>
          <cell r="G685">
            <v>1</v>
          </cell>
        </row>
        <row r="686">
          <cell r="B686" t="str">
            <v>ADV160</v>
          </cell>
          <cell r="I686">
            <v>1</v>
          </cell>
        </row>
        <row r="687">
          <cell r="B687" t="str">
            <v>RAIDER150 FI BLADE</v>
          </cell>
          <cell r="H687">
            <v>1</v>
          </cell>
          <cell r="I687">
            <v>1</v>
          </cell>
        </row>
        <row r="688">
          <cell r="B688" t="str">
            <v>BEAT FI PREM</v>
          </cell>
          <cell r="H688">
            <v>1</v>
          </cell>
        </row>
        <row r="689">
          <cell r="B689" t="str">
            <v>CRF150</v>
          </cell>
          <cell r="G689">
            <v>2</v>
          </cell>
          <cell r="I689">
            <v>1</v>
          </cell>
        </row>
        <row r="690">
          <cell r="B690" t="str">
            <v>NMAX155 FI ABS</v>
          </cell>
          <cell r="G690">
            <v>6</v>
          </cell>
          <cell r="H690">
            <v>2</v>
          </cell>
          <cell r="I690">
            <v>1</v>
          </cell>
        </row>
        <row r="691">
          <cell r="B691" t="str">
            <v>CLICK160 FI</v>
          </cell>
          <cell r="G691">
            <v>2</v>
          </cell>
        </row>
        <row r="692">
          <cell r="B692" t="str">
            <v>XRM DUAL SPORTS FI(DS)</v>
          </cell>
          <cell r="G692">
            <v>3</v>
          </cell>
          <cell r="H692">
            <v>2</v>
          </cell>
          <cell r="I692">
            <v>3</v>
          </cell>
        </row>
        <row r="693">
          <cell r="B693" t="str">
            <v>XR150</v>
          </cell>
          <cell r="G693">
            <v>2</v>
          </cell>
          <cell r="H693">
            <v>2</v>
          </cell>
        </row>
        <row r="694">
          <cell r="B694" t="str">
            <v>ADV160</v>
          </cell>
          <cell r="G694">
            <v>1</v>
          </cell>
          <cell r="H694">
            <v>2</v>
          </cell>
          <cell r="I694">
            <v>1</v>
          </cell>
        </row>
        <row r="695">
          <cell r="B695" t="str">
            <v>CT125</v>
          </cell>
          <cell r="G695">
            <v>4</v>
          </cell>
          <cell r="H695">
            <v>13</v>
          </cell>
          <cell r="I695">
            <v>10</v>
          </cell>
        </row>
        <row r="696">
          <cell r="B696" t="str">
            <v>KLX150</v>
          </cell>
          <cell r="H696">
            <v>2</v>
          </cell>
          <cell r="I696">
            <v>1</v>
          </cell>
        </row>
        <row r="697">
          <cell r="B697" t="str">
            <v>CLICK125 FI</v>
          </cell>
          <cell r="G697">
            <v>1</v>
          </cell>
          <cell r="H697">
            <v>2</v>
          </cell>
          <cell r="I697">
            <v>1</v>
          </cell>
        </row>
        <row r="698">
          <cell r="B698" t="str">
            <v>CRF300</v>
          </cell>
          <cell r="G698">
            <v>2</v>
          </cell>
        </row>
        <row r="699">
          <cell r="B699" t="str">
            <v>NMAX155 FI ABS</v>
          </cell>
          <cell r="G699">
            <v>2</v>
          </cell>
          <cell r="H699">
            <v>1</v>
          </cell>
          <cell r="I699">
            <v>1</v>
          </cell>
        </row>
        <row r="700">
          <cell r="B700" t="str">
            <v>CLICK125 FI</v>
          </cell>
          <cell r="G700">
            <v>3</v>
          </cell>
          <cell r="H700">
            <v>7</v>
          </cell>
          <cell r="I700">
            <v>4</v>
          </cell>
        </row>
        <row r="701">
          <cell r="B701" t="str">
            <v>CLICK125 FI SE</v>
          </cell>
          <cell r="H701">
            <v>3</v>
          </cell>
        </row>
        <row r="702">
          <cell r="B702" t="str">
            <v>NAVI</v>
          </cell>
          <cell r="G702">
            <v>1</v>
          </cell>
        </row>
        <row r="703">
          <cell r="B703" t="str">
            <v>XRM DUAL SPORTS FI(DS)</v>
          </cell>
          <cell r="G703">
            <v>3</v>
          </cell>
          <cell r="H703">
            <v>2</v>
          </cell>
          <cell r="I703">
            <v>2</v>
          </cell>
        </row>
        <row r="704">
          <cell r="B704" t="str">
            <v>PCX160 CBS</v>
          </cell>
          <cell r="H704">
            <v>1</v>
          </cell>
        </row>
        <row r="705">
          <cell r="B705" t="str">
            <v>XRM MOTARD FI</v>
          </cell>
          <cell r="G705">
            <v>2</v>
          </cell>
          <cell r="H705">
            <v>1</v>
          </cell>
          <cell r="I705">
            <v>1</v>
          </cell>
        </row>
        <row r="706">
          <cell r="B706" t="str">
            <v>CT100</v>
          </cell>
          <cell r="H706">
            <v>2</v>
          </cell>
          <cell r="I706">
            <v>1</v>
          </cell>
        </row>
        <row r="707">
          <cell r="B707" t="str">
            <v>XR150</v>
          </cell>
          <cell r="I707">
            <v>1</v>
          </cell>
        </row>
        <row r="708">
          <cell r="B708" t="str">
            <v>SMASH(SPOKE)</v>
          </cell>
          <cell r="H708">
            <v>1</v>
          </cell>
        </row>
        <row r="709">
          <cell r="B709" t="str">
            <v>CRF150</v>
          </cell>
          <cell r="G709">
            <v>2</v>
          </cell>
        </row>
        <row r="710">
          <cell r="B710" t="str">
            <v>BEAT FI PREM</v>
          </cell>
          <cell r="H710">
            <v>3</v>
          </cell>
        </row>
        <row r="711">
          <cell r="B711" t="str">
            <v>MIO GRAVIS</v>
          </cell>
          <cell r="H711">
            <v>1</v>
          </cell>
        </row>
        <row r="712">
          <cell r="B712" t="str">
            <v>CLICK125 FI SE</v>
          </cell>
          <cell r="H712">
            <v>4</v>
          </cell>
          <cell r="I712">
            <v>1</v>
          </cell>
        </row>
        <row r="713">
          <cell r="B713" t="str">
            <v>CRF150</v>
          </cell>
          <cell r="H713">
            <v>1</v>
          </cell>
        </row>
        <row r="714">
          <cell r="B714" t="str">
            <v>BAJAJ RE 4S FI</v>
          </cell>
          <cell r="G714">
            <v>1</v>
          </cell>
          <cell r="I714">
            <v>1</v>
          </cell>
        </row>
        <row r="715">
          <cell r="B715" t="str">
            <v>TMX ALPHA FI</v>
          </cell>
          <cell r="I715">
            <v>1</v>
          </cell>
        </row>
        <row r="716">
          <cell r="B716" t="str">
            <v>XRM RS</v>
          </cell>
          <cell r="G716">
            <v>1</v>
          </cell>
          <cell r="I716">
            <v>1</v>
          </cell>
        </row>
        <row r="717">
          <cell r="B717" t="str">
            <v>BEAT FI PREM</v>
          </cell>
          <cell r="G717">
            <v>3</v>
          </cell>
        </row>
        <row r="718">
          <cell r="B718" t="str">
            <v>CT125</v>
          </cell>
          <cell r="H718">
            <v>1</v>
          </cell>
          <cell r="I718">
            <v>2</v>
          </cell>
        </row>
        <row r="719">
          <cell r="B719" t="str">
            <v>MIO i125</v>
          </cell>
          <cell r="I719">
            <v>1</v>
          </cell>
        </row>
        <row r="720">
          <cell r="B720" t="str">
            <v>NMAX155 TECHMAX</v>
          </cell>
          <cell r="G720">
            <v>1</v>
          </cell>
        </row>
        <row r="721">
          <cell r="B721" t="str">
            <v>MIO AEROX S 155</v>
          </cell>
          <cell r="H721">
            <v>1</v>
          </cell>
          <cell r="I721">
            <v>1</v>
          </cell>
        </row>
        <row r="722">
          <cell r="B722" t="str">
            <v>NMAX155 FI ABS</v>
          </cell>
          <cell r="G722">
            <v>1</v>
          </cell>
        </row>
        <row r="723">
          <cell r="B723" t="str">
            <v>TMX ALPHA FI</v>
          </cell>
          <cell r="I723">
            <v>3</v>
          </cell>
        </row>
        <row r="724">
          <cell r="B724" t="str">
            <v>CLICK160 FI</v>
          </cell>
          <cell r="I724">
            <v>2</v>
          </cell>
        </row>
        <row r="725">
          <cell r="B725" t="str">
            <v>CRF150</v>
          </cell>
          <cell r="I725">
            <v>2</v>
          </cell>
        </row>
        <row r="726">
          <cell r="B726" t="str">
            <v>CRF300</v>
          </cell>
          <cell r="G726">
            <v>1</v>
          </cell>
        </row>
        <row r="727">
          <cell r="B727" t="str">
            <v>BAJAJ RE 4S FI</v>
          </cell>
          <cell r="G727">
            <v>1</v>
          </cell>
          <cell r="I727">
            <v>1</v>
          </cell>
        </row>
        <row r="728">
          <cell r="B728" t="str">
            <v>CLICK125 FI SE</v>
          </cell>
          <cell r="H728">
            <v>6</v>
          </cell>
          <cell r="I728">
            <v>3</v>
          </cell>
        </row>
        <row r="729">
          <cell r="B729" t="str">
            <v>MIO AEROX S 155</v>
          </cell>
          <cell r="G729">
            <v>1</v>
          </cell>
          <cell r="H729">
            <v>1</v>
          </cell>
          <cell r="I729">
            <v>1</v>
          </cell>
        </row>
        <row r="730">
          <cell r="B730" t="str">
            <v>MIO AEROX 155</v>
          </cell>
          <cell r="G730">
            <v>1</v>
          </cell>
          <cell r="I730">
            <v>3</v>
          </cell>
        </row>
        <row r="731">
          <cell r="B731" t="str">
            <v>RAIDER150 FI BLADE</v>
          </cell>
          <cell r="G731">
            <v>4</v>
          </cell>
        </row>
        <row r="732">
          <cell r="B732" t="str">
            <v>NAVI</v>
          </cell>
          <cell r="H732">
            <v>1</v>
          </cell>
        </row>
        <row r="733">
          <cell r="B733" t="str">
            <v>NMAX155 FI ABS</v>
          </cell>
          <cell r="I733">
            <v>1</v>
          </cell>
        </row>
        <row r="734">
          <cell r="B734" t="str">
            <v>KLX150</v>
          </cell>
          <cell r="G734">
            <v>1</v>
          </cell>
          <cell r="H734">
            <v>4</v>
          </cell>
          <cell r="I734">
            <v>3</v>
          </cell>
        </row>
        <row r="735">
          <cell r="B735" t="str">
            <v>MIO AEROX S 155</v>
          </cell>
          <cell r="G735">
            <v>2</v>
          </cell>
          <cell r="I735">
            <v>1</v>
          </cell>
        </row>
        <row r="736">
          <cell r="B736" t="str">
            <v>BEAT FI PREM</v>
          </cell>
          <cell r="I736">
            <v>1</v>
          </cell>
        </row>
        <row r="737">
          <cell r="B737" t="str">
            <v>PG-1</v>
          </cell>
          <cell r="I737">
            <v>2</v>
          </cell>
        </row>
        <row r="738">
          <cell r="B738" t="str">
            <v>MIO GEAR S</v>
          </cell>
          <cell r="G738">
            <v>2</v>
          </cell>
        </row>
        <row r="739">
          <cell r="B739" t="str">
            <v>XRM MOTARD FI</v>
          </cell>
          <cell r="G739">
            <v>3</v>
          </cell>
          <cell r="H739">
            <v>1</v>
          </cell>
          <cell r="I739">
            <v>2</v>
          </cell>
        </row>
        <row r="740">
          <cell r="B740" t="str">
            <v>CRF150</v>
          </cell>
          <cell r="G740">
            <v>2</v>
          </cell>
          <cell r="I740">
            <v>1</v>
          </cell>
        </row>
        <row r="741">
          <cell r="B741" t="str">
            <v>XRM DUAL SPORTS FI(DS)</v>
          </cell>
          <cell r="G741">
            <v>2</v>
          </cell>
          <cell r="H741">
            <v>2</v>
          </cell>
          <cell r="I741">
            <v>3</v>
          </cell>
        </row>
        <row r="742">
          <cell r="B742" t="str">
            <v>CRF150</v>
          </cell>
          <cell r="G742">
            <v>1</v>
          </cell>
        </row>
        <row r="743">
          <cell r="B743" t="str">
            <v>XTZ125</v>
          </cell>
          <cell r="H743">
            <v>1</v>
          </cell>
        </row>
        <row r="744">
          <cell r="B744" t="str">
            <v>CLICK160 FI</v>
          </cell>
          <cell r="G744">
            <v>1</v>
          </cell>
        </row>
        <row r="745">
          <cell r="B745" t="str">
            <v>CLICK125 FI SE</v>
          </cell>
          <cell r="G745">
            <v>1</v>
          </cell>
        </row>
        <row r="746">
          <cell r="B746" t="str">
            <v>ADV160</v>
          </cell>
          <cell r="G746">
            <v>1</v>
          </cell>
        </row>
        <row r="747">
          <cell r="B747" t="str">
            <v>MIO GEAR S</v>
          </cell>
          <cell r="H747">
            <v>1</v>
          </cell>
        </row>
        <row r="748">
          <cell r="B748" t="str">
            <v>MIO GEAR S</v>
          </cell>
          <cell r="G748">
            <v>1</v>
          </cell>
        </row>
        <row r="749">
          <cell r="B749" t="str">
            <v>CRF150</v>
          </cell>
          <cell r="G749">
            <v>1</v>
          </cell>
        </row>
        <row r="750">
          <cell r="B750" t="str">
            <v>ADV160</v>
          </cell>
          <cell r="H750">
            <v>1</v>
          </cell>
        </row>
        <row r="751">
          <cell r="B751" t="str">
            <v>XRM DUAL SPORTS FI(DS)</v>
          </cell>
          <cell r="I751">
            <v>1</v>
          </cell>
        </row>
        <row r="752">
          <cell r="B752" t="str">
            <v>MIO AEROX 155</v>
          </cell>
          <cell r="I752">
            <v>1</v>
          </cell>
        </row>
        <row r="753">
          <cell r="B753" t="str">
            <v>MIO AEROX 155</v>
          </cell>
          <cell r="G753">
            <v>1</v>
          </cell>
        </row>
        <row r="754">
          <cell r="B754" t="str">
            <v>ADV160</v>
          </cell>
          <cell r="I754">
            <v>1</v>
          </cell>
        </row>
        <row r="755">
          <cell r="B755" t="str">
            <v>XRM MOTARD FI</v>
          </cell>
          <cell r="I755">
            <v>1</v>
          </cell>
        </row>
        <row r="756">
          <cell r="B756" t="str">
            <v>ADV160</v>
          </cell>
          <cell r="I756">
            <v>1</v>
          </cell>
        </row>
        <row r="757">
          <cell r="B757" t="str">
            <v>XRM DUAL SPORTS FI(DS)</v>
          </cell>
          <cell r="I757">
            <v>2</v>
          </cell>
        </row>
        <row r="758">
          <cell r="B758" t="str">
            <v>TMX ALPHA FI</v>
          </cell>
          <cell r="G758">
            <v>1</v>
          </cell>
        </row>
        <row r="759">
          <cell r="B759" t="str">
            <v>MIO AEROX 155</v>
          </cell>
          <cell r="H759">
            <v>1</v>
          </cell>
          <cell r="I759">
            <v>1</v>
          </cell>
        </row>
        <row r="760">
          <cell r="B760" t="str">
            <v>SMASH(MAGS)</v>
          </cell>
          <cell r="I760">
            <v>1</v>
          </cell>
        </row>
        <row r="761">
          <cell r="B761" t="str">
            <v>MIO AEROX 155</v>
          </cell>
          <cell r="H761">
            <v>2</v>
          </cell>
        </row>
        <row r="762">
          <cell r="B762" t="str">
            <v>CT125</v>
          </cell>
          <cell r="G762">
            <v>20</v>
          </cell>
          <cell r="H762">
            <v>21</v>
          </cell>
          <cell r="I762">
            <v>13</v>
          </cell>
        </row>
        <row r="763">
          <cell r="B763" t="str">
            <v>WIZARD</v>
          </cell>
          <cell r="G763">
            <v>1</v>
          </cell>
        </row>
        <row r="764">
          <cell r="B764" t="str">
            <v>XRM OFFROAD FI(DSX)</v>
          </cell>
          <cell r="G764">
            <v>3</v>
          </cell>
          <cell r="H764">
            <v>1</v>
          </cell>
          <cell r="I764">
            <v>4</v>
          </cell>
        </row>
        <row r="765">
          <cell r="B765" t="str">
            <v>SMASH(MAGS)</v>
          </cell>
          <cell r="I765">
            <v>1</v>
          </cell>
        </row>
        <row r="766">
          <cell r="B766" t="str">
            <v>RAIDER150 FI BLADE</v>
          </cell>
          <cell r="G766">
            <v>1</v>
          </cell>
          <cell r="H766">
            <v>1</v>
          </cell>
          <cell r="I766">
            <v>2</v>
          </cell>
        </row>
        <row r="767">
          <cell r="B767" t="str">
            <v>RAIDER150 FI BLADE</v>
          </cell>
          <cell r="G767">
            <v>1</v>
          </cell>
        </row>
        <row r="768">
          <cell r="B768" t="str">
            <v>XRM MOTARD FI</v>
          </cell>
          <cell r="G768">
            <v>3</v>
          </cell>
          <cell r="H768">
            <v>3</v>
          </cell>
        </row>
        <row r="769">
          <cell r="B769" t="str">
            <v>RAIDER150 FI BLADE</v>
          </cell>
          <cell r="G769">
            <v>1</v>
          </cell>
          <cell r="H769">
            <v>1</v>
          </cell>
        </row>
        <row r="770">
          <cell r="B770" t="str">
            <v>NAVI</v>
          </cell>
          <cell r="G770">
            <v>1</v>
          </cell>
          <cell r="H770">
            <v>1</v>
          </cell>
          <cell r="I770">
            <v>1</v>
          </cell>
        </row>
        <row r="771">
          <cell r="B771" t="str">
            <v>GIORNO</v>
          </cell>
          <cell r="I771">
            <v>1</v>
          </cell>
        </row>
        <row r="772">
          <cell r="B772" t="str">
            <v>ADV160</v>
          </cell>
          <cell r="G772">
            <v>2</v>
          </cell>
          <cell r="H772">
            <v>1</v>
          </cell>
          <cell r="I772">
            <v>1</v>
          </cell>
        </row>
        <row r="773">
          <cell r="B773" t="str">
            <v>XRM DUAL SPORTS FI(DS)</v>
          </cell>
          <cell r="G773">
            <v>3</v>
          </cell>
          <cell r="H773">
            <v>10</v>
          </cell>
          <cell r="I773">
            <v>4</v>
          </cell>
        </row>
        <row r="774">
          <cell r="B774" t="str">
            <v>CT125</v>
          </cell>
          <cell r="G774">
            <v>2</v>
          </cell>
          <cell r="H774">
            <v>2</v>
          </cell>
          <cell r="I774">
            <v>4</v>
          </cell>
        </row>
        <row r="775">
          <cell r="B775" t="str">
            <v>XR150</v>
          </cell>
          <cell r="I775">
            <v>1</v>
          </cell>
        </row>
        <row r="776">
          <cell r="B776" t="str">
            <v>CRF150</v>
          </cell>
          <cell r="H776">
            <v>1</v>
          </cell>
        </row>
        <row r="777">
          <cell r="B777" t="str">
            <v>CT125</v>
          </cell>
          <cell r="G777">
            <v>6</v>
          </cell>
          <cell r="H777">
            <v>12</v>
          </cell>
          <cell r="I777">
            <v>7</v>
          </cell>
        </row>
        <row r="778">
          <cell r="B778" t="str">
            <v>CLICK125 FI</v>
          </cell>
          <cell r="H778">
            <v>2</v>
          </cell>
          <cell r="I778">
            <v>8</v>
          </cell>
        </row>
        <row r="779">
          <cell r="B779" t="str">
            <v>BAJAJ RE 4S FI</v>
          </cell>
          <cell r="H779">
            <v>3</v>
          </cell>
          <cell r="I779">
            <v>1</v>
          </cell>
        </row>
        <row r="780">
          <cell r="B780" t="str">
            <v>WIZARD</v>
          </cell>
          <cell r="G780">
            <v>1</v>
          </cell>
        </row>
        <row r="781">
          <cell r="B781" t="str">
            <v>XRM DUAL SPORTS FI(DS)</v>
          </cell>
          <cell r="G781">
            <v>1</v>
          </cell>
          <cell r="H781">
            <v>1</v>
          </cell>
          <cell r="I781">
            <v>3</v>
          </cell>
        </row>
        <row r="782">
          <cell r="B782" t="str">
            <v>XRM DUAL SPORTS FI(DS)</v>
          </cell>
          <cell r="H782">
            <v>1</v>
          </cell>
        </row>
        <row r="783">
          <cell r="B783" t="str">
            <v>ADV160</v>
          </cell>
          <cell r="G783">
            <v>3</v>
          </cell>
        </row>
        <row r="784">
          <cell r="B784" t="str">
            <v>CT100</v>
          </cell>
          <cell r="I784">
            <v>1</v>
          </cell>
        </row>
        <row r="785">
          <cell r="B785" t="str">
            <v>CRF150</v>
          </cell>
          <cell r="I785">
            <v>1</v>
          </cell>
        </row>
        <row r="786">
          <cell r="B786" t="str">
            <v>BEAT FI PREM</v>
          </cell>
          <cell r="H786">
            <v>2</v>
          </cell>
          <cell r="I786">
            <v>1</v>
          </cell>
        </row>
        <row r="787">
          <cell r="B787" t="str">
            <v>XRM MOTARD FI</v>
          </cell>
          <cell r="G787">
            <v>5</v>
          </cell>
          <cell r="H787">
            <v>4</v>
          </cell>
          <cell r="I787">
            <v>5</v>
          </cell>
        </row>
        <row r="788">
          <cell r="B788" t="str">
            <v>ADV160</v>
          </cell>
          <cell r="G788">
            <v>2</v>
          </cell>
        </row>
        <row r="789">
          <cell r="B789" t="str">
            <v>ADV160</v>
          </cell>
          <cell r="H789">
            <v>1</v>
          </cell>
        </row>
        <row r="790">
          <cell r="B790" t="str">
            <v>RAIDER150 FI BLADE</v>
          </cell>
          <cell r="G790">
            <v>1</v>
          </cell>
        </row>
        <row r="791">
          <cell r="B791" t="str">
            <v>XRM DUAL SPORTS FI(DS)</v>
          </cell>
          <cell r="G791">
            <v>1</v>
          </cell>
          <cell r="I791">
            <v>1</v>
          </cell>
        </row>
        <row r="792">
          <cell r="B792" t="str">
            <v>MIO GRAVIS</v>
          </cell>
          <cell r="I792">
            <v>1</v>
          </cell>
        </row>
        <row r="793">
          <cell r="B793" t="str">
            <v>BAJAJ RE 4S FI</v>
          </cell>
          <cell r="G793">
            <v>2</v>
          </cell>
          <cell r="H793">
            <v>2</v>
          </cell>
          <cell r="I793">
            <v>1</v>
          </cell>
        </row>
        <row r="794">
          <cell r="B794" t="str">
            <v>NMAX155 FI ABS</v>
          </cell>
          <cell r="H794">
            <v>1</v>
          </cell>
        </row>
        <row r="795">
          <cell r="B795" t="str">
            <v>XRM OFFROAD FI(DSX)</v>
          </cell>
          <cell r="H795">
            <v>1</v>
          </cell>
          <cell r="I795">
            <v>5</v>
          </cell>
        </row>
        <row r="796">
          <cell r="B796" t="str">
            <v>MIO i125</v>
          </cell>
          <cell r="H796">
            <v>1</v>
          </cell>
        </row>
        <row r="797">
          <cell r="B797" t="str">
            <v>BURGMAN STREET</v>
          </cell>
          <cell r="I797">
            <v>1</v>
          </cell>
        </row>
        <row r="798">
          <cell r="B798" t="str">
            <v>MIO i125</v>
          </cell>
          <cell r="H798">
            <v>1</v>
          </cell>
        </row>
        <row r="799">
          <cell r="B799" t="str">
            <v>RAIDER150 FI BLADE</v>
          </cell>
          <cell r="G799">
            <v>1</v>
          </cell>
          <cell r="H799">
            <v>2</v>
          </cell>
        </row>
        <row r="800">
          <cell r="B800" t="str">
            <v>BAJAJ RE 4S FI</v>
          </cell>
          <cell r="G800">
            <v>1</v>
          </cell>
          <cell r="H800">
            <v>2</v>
          </cell>
          <cell r="I800">
            <v>1</v>
          </cell>
        </row>
        <row r="801">
          <cell r="B801" t="str">
            <v>XR150</v>
          </cell>
          <cell r="G801">
            <v>1</v>
          </cell>
        </row>
        <row r="802">
          <cell r="B802" t="str">
            <v>YTX125</v>
          </cell>
          <cell r="H802">
            <v>1</v>
          </cell>
        </row>
        <row r="803">
          <cell r="B803" t="str">
            <v>CLICK160 FI</v>
          </cell>
          <cell r="G803">
            <v>1</v>
          </cell>
        </row>
        <row r="804">
          <cell r="B804" t="str">
            <v>CLICK125 FI SE</v>
          </cell>
          <cell r="H804">
            <v>3</v>
          </cell>
        </row>
        <row r="805">
          <cell r="B805" t="str">
            <v>XRM MOTARD FI</v>
          </cell>
          <cell r="G805">
            <v>1</v>
          </cell>
          <cell r="H805">
            <v>1</v>
          </cell>
          <cell r="I805">
            <v>1</v>
          </cell>
        </row>
        <row r="806">
          <cell r="B806" t="str">
            <v>BRUSKY125</v>
          </cell>
          <cell r="H806">
            <v>1</v>
          </cell>
        </row>
        <row r="807">
          <cell r="B807" t="str">
            <v>CRF150</v>
          </cell>
          <cell r="I807">
            <v>2</v>
          </cell>
        </row>
        <row r="808">
          <cell r="B808" t="str">
            <v>WINNER X ABS</v>
          </cell>
          <cell r="G808">
            <v>1</v>
          </cell>
        </row>
        <row r="809">
          <cell r="B809" t="str">
            <v>BEAT FI PREM</v>
          </cell>
          <cell r="G809">
            <v>1</v>
          </cell>
        </row>
        <row r="810">
          <cell r="B810" t="str">
            <v>CLICK125 FI</v>
          </cell>
          <cell r="I810">
            <v>5</v>
          </cell>
        </row>
        <row r="811">
          <cell r="B811" t="str">
            <v>MIO AEROX 155</v>
          </cell>
          <cell r="G811">
            <v>1</v>
          </cell>
        </row>
        <row r="812">
          <cell r="B812" t="str">
            <v>BARAKO III FI(DUAL START)</v>
          </cell>
          <cell r="G812">
            <v>1</v>
          </cell>
          <cell r="I812">
            <v>1</v>
          </cell>
        </row>
        <row r="813">
          <cell r="B813" t="str">
            <v>XR150</v>
          </cell>
          <cell r="G813">
            <v>5</v>
          </cell>
          <cell r="H813">
            <v>2</v>
          </cell>
          <cell r="I813">
            <v>1</v>
          </cell>
        </row>
        <row r="814">
          <cell r="B814" t="str">
            <v>YTX125</v>
          </cell>
          <cell r="G814">
            <v>1</v>
          </cell>
          <cell r="I814">
            <v>1</v>
          </cell>
        </row>
        <row r="815">
          <cell r="B815" t="str">
            <v>CRF150</v>
          </cell>
          <cell r="H815">
            <v>1</v>
          </cell>
        </row>
        <row r="816">
          <cell r="B816" t="str">
            <v>XRM DUAL SPORTS FI(DS)</v>
          </cell>
          <cell r="H816">
            <v>1</v>
          </cell>
          <cell r="I816">
            <v>1</v>
          </cell>
        </row>
        <row r="817">
          <cell r="B817" t="str">
            <v>CLICK125 FI SE</v>
          </cell>
          <cell r="I817">
            <v>2</v>
          </cell>
        </row>
        <row r="818">
          <cell r="B818" t="str">
            <v>CLICK160 FI</v>
          </cell>
          <cell r="H818">
            <v>1</v>
          </cell>
          <cell r="I818">
            <v>1</v>
          </cell>
        </row>
        <row r="819">
          <cell r="B819" t="str">
            <v>CT125</v>
          </cell>
          <cell r="G819">
            <v>6</v>
          </cell>
          <cell r="H819">
            <v>5</v>
          </cell>
          <cell r="I819">
            <v>3</v>
          </cell>
        </row>
        <row r="820">
          <cell r="B820" t="str">
            <v>WINNER X STD</v>
          </cell>
          <cell r="H820">
            <v>1</v>
          </cell>
        </row>
        <row r="821">
          <cell r="B821" t="str">
            <v>BEAT FI PREM</v>
          </cell>
          <cell r="H821">
            <v>1</v>
          </cell>
        </row>
        <row r="822">
          <cell r="B822" t="str">
            <v>XRM RS</v>
          </cell>
          <cell r="H822">
            <v>1</v>
          </cell>
        </row>
        <row r="823">
          <cell r="B823" t="str">
            <v>TMX ALPHA FI</v>
          </cell>
          <cell r="I823">
            <v>3</v>
          </cell>
        </row>
        <row r="824">
          <cell r="B824" t="str">
            <v>SNIPER 155 FI</v>
          </cell>
          <cell r="G824">
            <v>2</v>
          </cell>
          <cell r="H824">
            <v>1</v>
          </cell>
        </row>
        <row r="825">
          <cell r="B825" t="str">
            <v>SMASH(MAGS)</v>
          </cell>
          <cell r="H825">
            <v>2</v>
          </cell>
        </row>
        <row r="826">
          <cell r="B826" t="str">
            <v>CLICK125 FI</v>
          </cell>
          <cell r="G826">
            <v>3</v>
          </cell>
          <cell r="H826">
            <v>3</v>
          </cell>
          <cell r="I826">
            <v>5</v>
          </cell>
        </row>
        <row r="827">
          <cell r="B827" t="str">
            <v>PCX160 ROADSYNC</v>
          </cell>
          <cell r="G827">
            <v>1</v>
          </cell>
          <cell r="H827">
            <v>2</v>
          </cell>
        </row>
        <row r="828">
          <cell r="B828" t="str">
            <v>KLX150</v>
          </cell>
          <cell r="H828">
            <v>3</v>
          </cell>
          <cell r="I828">
            <v>8</v>
          </cell>
        </row>
        <row r="829">
          <cell r="B829" t="str">
            <v>BARAKO III FI(DUAL START)</v>
          </cell>
          <cell r="I829">
            <v>1</v>
          </cell>
        </row>
        <row r="830">
          <cell r="B830" t="str">
            <v>PG-1</v>
          </cell>
          <cell r="H830">
            <v>1</v>
          </cell>
        </row>
        <row r="831">
          <cell r="B831" t="str">
            <v>NAVI</v>
          </cell>
          <cell r="G831">
            <v>1</v>
          </cell>
        </row>
        <row r="832">
          <cell r="B832" t="str">
            <v>WINNER X ABS</v>
          </cell>
          <cell r="I832">
            <v>1</v>
          </cell>
        </row>
        <row r="833">
          <cell r="B833" t="str">
            <v>ACCESS 125</v>
          </cell>
          <cell r="I833">
            <v>1</v>
          </cell>
        </row>
        <row r="834">
          <cell r="B834" t="str">
            <v>CLICK160 FI</v>
          </cell>
          <cell r="G834">
            <v>3</v>
          </cell>
          <cell r="H834">
            <v>3</v>
          </cell>
          <cell r="I834">
            <v>2</v>
          </cell>
        </row>
        <row r="835">
          <cell r="B835" t="str">
            <v>NMAX155 FI ABS</v>
          </cell>
          <cell r="G835">
            <v>2</v>
          </cell>
          <cell r="H835">
            <v>1</v>
          </cell>
          <cell r="I835">
            <v>1</v>
          </cell>
        </row>
        <row r="836">
          <cell r="B836" t="str">
            <v>XRM RS</v>
          </cell>
          <cell r="G836">
            <v>1</v>
          </cell>
          <cell r="I836">
            <v>2</v>
          </cell>
        </row>
        <row r="837">
          <cell r="B837" t="str">
            <v>CLICK160 FI</v>
          </cell>
          <cell r="H837">
            <v>1</v>
          </cell>
        </row>
        <row r="838">
          <cell r="B838" t="str">
            <v>CLICK160 FI</v>
          </cell>
          <cell r="G838">
            <v>1</v>
          </cell>
          <cell r="H838">
            <v>1</v>
          </cell>
        </row>
        <row r="839">
          <cell r="B839" t="str">
            <v>CLICK125 FI SE</v>
          </cell>
          <cell r="I839">
            <v>1</v>
          </cell>
        </row>
        <row r="840">
          <cell r="B840" t="str">
            <v>BEAT FI PREM</v>
          </cell>
          <cell r="H840">
            <v>3</v>
          </cell>
          <cell r="I840">
            <v>2</v>
          </cell>
        </row>
        <row r="841">
          <cell r="B841" t="str">
            <v>ADV160 ROADSYNC</v>
          </cell>
          <cell r="H841">
            <v>1</v>
          </cell>
        </row>
        <row r="842">
          <cell r="B842" t="str">
            <v>ADV160 ROADSYNC</v>
          </cell>
          <cell r="G842">
            <v>1</v>
          </cell>
        </row>
        <row r="843">
          <cell r="B843" t="str">
            <v>CLICK125 FI</v>
          </cell>
          <cell r="G843">
            <v>10</v>
          </cell>
          <cell r="H843">
            <v>1</v>
          </cell>
          <cell r="I843">
            <v>1</v>
          </cell>
        </row>
        <row r="844">
          <cell r="B844" t="str">
            <v>RAIDER150 FI BLADE</v>
          </cell>
          <cell r="G844">
            <v>1</v>
          </cell>
        </row>
        <row r="845">
          <cell r="B845" t="str">
            <v>RAIDER150 FI BLADE</v>
          </cell>
          <cell r="I845">
            <v>1</v>
          </cell>
        </row>
        <row r="846">
          <cell r="B846" t="str">
            <v>XR150</v>
          </cell>
          <cell r="G846">
            <v>1</v>
          </cell>
        </row>
        <row r="847">
          <cell r="B847" t="str">
            <v>BURGMAN15</v>
          </cell>
          <cell r="G847">
            <v>1</v>
          </cell>
        </row>
        <row r="848">
          <cell r="B848" t="str">
            <v>RAIDER150 FI BLADE</v>
          </cell>
          <cell r="G848">
            <v>1</v>
          </cell>
          <cell r="H848">
            <v>2</v>
          </cell>
        </row>
        <row r="849">
          <cell r="B849" t="str">
            <v>MIO AEROX 155</v>
          </cell>
          <cell r="G849">
            <v>1</v>
          </cell>
          <cell r="H849">
            <v>2</v>
          </cell>
          <cell r="I849">
            <v>1</v>
          </cell>
        </row>
        <row r="850">
          <cell r="B850" t="str">
            <v>XRM MOTARD FI</v>
          </cell>
          <cell r="I850">
            <v>3</v>
          </cell>
        </row>
        <row r="851">
          <cell r="B851" t="str">
            <v>CLICK125 FI</v>
          </cell>
          <cell r="G851">
            <v>2</v>
          </cell>
          <cell r="I851">
            <v>3</v>
          </cell>
        </row>
        <row r="852">
          <cell r="B852" t="str">
            <v>CLICK125 FI</v>
          </cell>
          <cell r="G852">
            <v>3</v>
          </cell>
          <cell r="H852">
            <v>3</v>
          </cell>
          <cell r="I852">
            <v>2</v>
          </cell>
        </row>
        <row r="853">
          <cell r="B853" t="str">
            <v>BEAT FI STD</v>
          </cell>
          <cell r="I853">
            <v>1</v>
          </cell>
        </row>
        <row r="854">
          <cell r="B854" t="str">
            <v>CLICK125 FI SE</v>
          </cell>
          <cell r="H854">
            <v>1</v>
          </cell>
          <cell r="I854">
            <v>1</v>
          </cell>
        </row>
        <row r="855">
          <cell r="B855" t="str">
            <v>CRF150</v>
          </cell>
          <cell r="G855">
            <v>1</v>
          </cell>
        </row>
        <row r="856">
          <cell r="B856" t="str">
            <v>CRF150</v>
          </cell>
          <cell r="H856">
            <v>2</v>
          </cell>
        </row>
        <row r="857">
          <cell r="B857" t="str">
            <v>SMASH(MAGS)</v>
          </cell>
          <cell r="I857">
            <v>1</v>
          </cell>
        </row>
        <row r="858">
          <cell r="B858" t="str">
            <v>CT125</v>
          </cell>
          <cell r="G858">
            <v>2</v>
          </cell>
          <cell r="H858">
            <v>2</v>
          </cell>
          <cell r="I858">
            <v>1</v>
          </cell>
        </row>
        <row r="859">
          <cell r="B859" t="str">
            <v>TMX ALPHA FI</v>
          </cell>
          <cell r="I859">
            <v>1</v>
          </cell>
        </row>
        <row r="860">
          <cell r="B860" t="str">
            <v>CLICK125 FI</v>
          </cell>
          <cell r="G860">
            <v>7</v>
          </cell>
          <cell r="H860">
            <v>1</v>
          </cell>
          <cell r="I860">
            <v>11</v>
          </cell>
        </row>
        <row r="861">
          <cell r="B861" t="str">
            <v>CLICK125 FI</v>
          </cell>
          <cell r="H861">
            <v>1</v>
          </cell>
        </row>
        <row r="862">
          <cell r="B862" t="str">
            <v>CLICK125 FI</v>
          </cell>
          <cell r="G862">
            <v>3</v>
          </cell>
          <cell r="H862">
            <v>3</v>
          </cell>
          <cell r="I862">
            <v>1</v>
          </cell>
        </row>
        <row r="863">
          <cell r="B863" t="str">
            <v>TMX150 SUPREMO</v>
          </cell>
          <cell r="G863">
            <v>1</v>
          </cell>
        </row>
        <row r="864">
          <cell r="B864" t="str">
            <v>XR150</v>
          </cell>
          <cell r="G864">
            <v>2</v>
          </cell>
          <cell r="H864">
            <v>8</v>
          </cell>
          <cell r="I864">
            <v>4</v>
          </cell>
        </row>
        <row r="865">
          <cell r="B865" t="str">
            <v>XRM OFFROAD FI(DSX)</v>
          </cell>
          <cell r="G865">
            <v>1</v>
          </cell>
          <cell r="H865">
            <v>1</v>
          </cell>
          <cell r="I865">
            <v>1</v>
          </cell>
        </row>
        <row r="866">
          <cell r="B866" t="str">
            <v>CT125</v>
          </cell>
          <cell r="G866">
            <v>3</v>
          </cell>
          <cell r="I866">
            <v>3</v>
          </cell>
        </row>
        <row r="867">
          <cell r="B867" t="str">
            <v>CLICK125 FI</v>
          </cell>
          <cell r="G867">
            <v>1</v>
          </cell>
          <cell r="H867">
            <v>8</v>
          </cell>
        </row>
        <row r="868">
          <cell r="B868" t="str">
            <v>CLICK125 FI SE</v>
          </cell>
          <cell r="G868">
            <v>1</v>
          </cell>
          <cell r="H868">
            <v>4</v>
          </cell>
          <cell r="I868">
            <v>4</v>
          </cell>
        </row>
        <row r="869">
          <cell r="B869" t="str">
            <v>SMASH(SPOKE)</v>
          </cell>
          <cell r="H869">
            <v>1</v>
          </cell>
        </row>
        <row r="870">
          <cell r="B870" t="str">
            <v>MIO AEROX 155</v>
          </cell>
          <cell r="H870">
            <v>2</v>
          </cell>
          <cell r="I870">
            <v>3</v>
          </cell>
        </row>
        <row r="871">
          <cell r="B871" t="str">
            <v>BAJAJ RE 4S FI</v>
          </cell>
          <cell r="G871">
            <v>1</v>
          </cell>
        </row>
        <row r="872">
          <cell r="B872" t="str">
            <v>NMAX155 FI ABS</v>
          </cell>
          <cell r="G872">
            <v>2</v>
          </cell>
          <cell r="H872">
            <v>2</v>
          </cell>
          <cell r="I872">
            <v>1</v>
          </cell>
        </row>
        <row r="873">
          <cell r="B873" t="str">
            <v>SNIPER 155 FI</v>
          </cell>
          <cell r="I873">
            <v>1</v>
          </cell>
        </row>
        <row r="874">
          <cell r="B874" t="str">
            <v>NAVI</v>
          </cell>
          <cell r="H874">
            <v>2</v>
          </cell>
        </row>
        <row r="875">
          <cell r="B875" t="str">
            <v>SMASH(MAGS)</v>
          </cell>
          <cell r="I875">
            <v>1</v>
          </cell>
        </row>
        <row r="876">
          <cell r="B876" t="str">
            <v>MIO AEROX S 155</v>
          </cell>
          <cell r="G876">
            <v>2</v>
          </cell>
          <cell r="H876">
            <v>3</v>
          </cell>
          <cell r="I876">
            <v>2</v>
          </cell>
        </row>
        <row r="877">
          <cell r="B877" t="str">
            <v>XRM DUAL SPORTS FI(DS)</v>
          </cell>
          <cell r="G877">
            <v>1</v>
          </cell>
          <cell r="I877">
            <v>1</v>
          </cell>
        </row>
        <row r="878">
          <cell r="B878" t="str">
            <v>CLICK160 FI</v>
          </cell>
          <cell r="H878">
            <v>1</v>
          </cell>
        </row>
        <row r="879">
          <cell r="B879" t="str">
            <v>BEAT FI PREM</v>
          </cell>
          <cell r="G879">
            <v>1</v>
          </cell>
        </row>
        <row r="880">
          <cell r="B880" t="str">
            <v>CRF150R</v>
          </cell>
          <cell r="G880">
            <v>1</v>
          </cell>
        </row>
        <row r="881">
          <cell r="B881" t="str">
            <v>ACCESS 125</v>
          </cell>
          <cell r="H881">
            <v>1</v>
          </cell>
        </row>
        <row r="882">
          <cell r="B882" t="str">
            <v>XRM DUAL SPORTS FI(DS)</v>
          </cell>
          <cell r="H882">
            <v>2</v>
          </cell>
        </row>
        <row r="883">
          <cell r="B883" t="str">
            <v>KLX150</v>
          </cell>
          <cell r="G883">
            <v>1</v>
          </cell>
        </row>
        <row r="884">
          <cell r="B884" t="str">
            <v>NMAX155 FI ABS</v>
          </cell>
          <cell r="H884">
            <v>1</v>
          </cell>
          <cell r="I884">
            <v>2</v>
          </cell>
        </row>
        <row r="885">
          <cell r="B885" t="str">
            <v>V-STROM 160</v>
          </cell>
          <cell r="I885">
            <v>1</v>
          </cell>
        </row>
        <row r="886">
          <cell r="B886" t="str">
            <v>SNIPER 155 FI</v>
          </cell>
          <cell r="I886">
            <v>1</v>
          </cell>
        </row>
        <row r="887">
          <cell r="B887" t="str">
            <v>XRM DUAL SPORTS FI(DS)</v>
          </cell>
          <cell r="I887">
            <v>1</v>
          </cell>
        </row>
        <row r="888">
          <cell r="B888" t="str">
            <v>MIO AEROX 155</v>
          </cell>
          <cell r="I888">
            <v>2</v>
          </cell>
        </row>
        <row r="889">
          <cell r="B889" t="str">
            <v>NMAX155 FI ABS</v>
          </cell>
          <cell r="H889">
            <v>1</v>
          </cell>
          <cell r="I889">
            <v>2</v>
          </cell>
        </row>
        <row r="890">
          <cell r="B890" t="str">
            <v>WIZARD</v>
          </cell>
          <cell r="G890">
            <v>1</v>
          </cell>
        </row>
        <row r="891">
          <cell r="B891" t="str">
            <v>BEAT FI PREM</v>
          </cell>
          <cell r="G891">
            <v>1</v>
          </cell>
          <cell r="I891">
            <v>1</v>
          </cell>
        </row>
        <row r="892">
          <cell r="B892" t="str">
            <v>CLICK125 FI</v>
          </cell>
          <cell r="H892">
            <v>2</v>
          </cell>
        </row>
        <row r="893">
          <cell r="B893" t="str">
            <v>MIO i125</v>
          </cell>
          <cell r="I893">
            <v>1</v>
          </cell>
        </row>
        <row r="894">
          <cell r="B894" t="str">
            <v>CLICK125 FI</v>
          </cell>
          <cell r="G894">
            <v>3</v>
          </cell>
          <cell r="I894">
            <v>9</v>
          </cell>
        </row>
        <row r="895">
          <cell r="B895" t="str">
            <v>XRM DUAL SPORTS FI(DS)</v>
          </cell>
          <cell r="H895">
            <v>1</v>
          </cell>
          <cell r="I895">
            <v>1</v>
          </cell>
        </row>
        <row r="896">
          <cell r="B896" t="str">
            <v>CRF150</v>
          </cell>
          <cell r="G896">
            <v>1</v>
          </cell>
          <cell r="H896">
            <v>1</v>
          </cell>
        </row>
        <row r="897">
          <cell r="B897" t="str">
            <v>RAIDER150 FI BLADE</v>
          </cell>
          <cell r="G897">
            <v>1</v>
          </cell>
          <cell r="H897">
            <v>1</v>
          </cell>
          <cell r="I897">
            <v>1</v>
          </cell>
        </row>
        <row r="898">
          <cell r="B898" t="str">
            <v>BAJAJ RE 4S FI</v>
          </cell>
          <cell r="H898">
            <v>1</v>
          </cell>
          <cell r="I898">
            <v>1</v>
          </cell>
        </row>
        <row r="899">
          <cell r="B899" t="str">
            <v>ADV160</v>
          </cell>
          <cell r="H899">
            <v>1</v>
          </cell>
          <cell r="I899">
            <v>1</v>
          </cell>
        </row>
        <row r="900">
          <cell r="B900" t="str">
            <v>WINNER X STD</v>
          </cell>
          <cell r="I900">
            <v>1</v>
          </cell>
        </row>
        <row r="901">
          <cell r="B901" t="str">
            <v>MIO GEAR</v>
          </cell>
          <cell r="G901">
            <v>1</v>
          </cell>
          <cell r="I901">
            <v>2</v>
          </cell>
        </row>
        <row r="902">
          <cell r="B902" t="str">
            <v>BEAT FI PREM</v>
          </cell>
          <cell r="H902">
            <v>2</v>
          </cell>
        </row>
        <row r="903">
          <cell r="B903" t="str">
            <v>ADV160</v>
          </cell>
          <cell r="H903">
            <v>2</v>
          </cell>
          <cell r="I903">
            <v>4</v>
          </cell>
        </row>
        <row r="904">
          <cell r="B904" t="str">
            <v>SMASH(SPOKE)</v>
          </cell>
          <cell r="G904">
            <v>1</v>
          </cell>
        </row>
        <row r="905">
          <cell r="B905" t="str">
            <v>KLX150</v>
          </cell>
          <cell r="G905">
            <v>3</v>
          </cell>
        </row>
        <row r="906">
          <cell r="B906" t="str">
            <v>RAIDER150 FI BLADE</v>
          </cell>
          <cell r="G906">
            <v>2</v>
          </cell>
          <cell r="H906">
            <v>1</v>
          </cell>
          <cell r="I906">
            <v>2</v>
          </cell>
        </row>
        <row r="907">
          <cell r="B907" t="str">
            <v>ADV160</v>
          </cell>
          <cell r="I907">
            <v>3</v>
          </cell>
        </row>
        <row r="908">
          <cell r="B908" t="str">
            <v>WAVE RSX(DISC)</v>
          </cell>
          <cell r="H908">
            <v>1</v>
          </cell>
        </row>
        <row r="909">
          <cell r="B909" t="str">
            <v>CRF150</v>
          </cell>
          <cell r="G909">
            <v>2</v>
          </cell>
        </row>
        <row r="910">
          <cell r="B910" t="str">
            <v>CLICK160 FI</v>
          </cell>
          <cell r="H910">
            <v>1</v>
          </cell>
        </row>
        <row r="911">
          <cell r="B911" t="str">
            <v>MIO AEROX 155</v>
          </cell>
          <cell r="H911">
            <v>2</v>
          </cell>
          <cell r="I911">
            <v>3</v>
          </cell>
        </row>
        <row r="912">
          <cell r="B912" t="str">
            <v>CLICK125 FI SE</v>
          </cell>
          <cell r="G912">
            <v>1</v>
          </cell>
          <cell r="H912">
            <v>2</v>
          </cell>
        </row>
        <row r="913">
          <cell r="B913" t="str">
            <v>CLICK125 FI</v>
          </cell>
          <cell r="G913">
            <v>9</v>
          </cell>
          <cell r="I913">
            <v>5</v>
          </cell>
        </row>
        <row r="914">
          <cell r="B914" t="str">
            <v>XRM RS</v>
          </cell>
          <cell r="G914">
            <v>1</v>
          </cell>
          <cell r="I914">
            <v>1</v>
          </cell>
        </row>
        <row r="915">
          <cell r="B915" t="str">
            <v>ADV160</v>
          </cell>
          <cell r="I915">
            <v>1</v>
          </cell>
        </row>
        <row r="916">
          <cell r="B916" t="str">
            <v>CRF150</v>
          </cell>
          <cell r="G916">
            <v>4</v>
          </cell>
          <cell r="H916">
            <v>1</v>
          </cell>
          <cell r="I916">
            <v>4</v>
          </cell>
        </row>
        <row r="917">
          <cell r="B917" t="str">
            <v>SMASH(MAGS)</v>
          </cell>
          <cell r="I917">
            <v>1</v>
          </cell>
        </row>
        <row r="918">
          <cell r="B918" t="str">
            <v>MIO AEROX 155</v>
          </cell>
          <cell r="G918">
            <v>1</v>
          </cell>
          <cell r="I918">
            <v>1</v>
          </cell>
        </row>
        <row r="919">
          <cell r="B919" t="str">
            <v>RAIDER150 FI BLADE</v>
          </cell>
          <cell r="H919">
            <v>2</v>
          </cell>
          <cell r="I919">
            <v>1</v>
          </cell>
        </row>
        <row r="920">
          <cell r="B920" t="str">
            <v>CLICK125 FI SE</v>
          </cell>
          <cell r="H920">
            <v>2</v>
          </cell>
        </row>
        <row r="921">
          <cell r="B921" t="str">
            <v>MIO i125</v>
          </cell>
          <cell r="H921">
            <v>1</v>
          </cell>
        </row>
        <row r="922">
          <cell r="B922" t="str">
            <v>CLICK160 FI</v>
          </cell>
          <cell r="G922">
            <v>3</v>
          </cell>
          <cell r="H922">
            <v>1</v>
          </cell>
          <cell r="I922">
            <v>1</v>
          </cell>
        </row>
        <row r="923">
          <cell r="B923" t="str">
            <v>BAJAJ RE 4S FI</v>
          </cell>
          <cell r="H923">
            <v>1</v>
          </cell>
        </row>
        <row r="924">
          <cell r="B924" t="str">
            <v>MIO GRAVIS</v>
          </cell>
          <cell r="H924">
            <v>1</v>
          </cell>
        </row>
        <row r="925">
          <cell r="B925" t="str">
            <v>MIO GEAR S</v>
          </cell>
          <cell r="H925">
            <v>1</v>
          </cell>
        </row>
        <row r="926">
          <cell r="B926" t="str">
            <v>XRM OFFROAD FI(DSX)</v>
          </cell>
          <cell r="G926">
            <v>1</v>
          </cell>
          <cell r="H926">
            <v>1</v>
          </cell>
          <cell r="I926">
            <v>1</v>
          </cell>
        </row>
        <row r="927">
          <cell r="B927" t="str">
            <v>XRM MOTARD FI</v>
          </cell>
          <cell r="G927">
            <v>1</v>
          </cell>
        </row>
        <row r="928">
          <cell r="B928" t="str">
            <v>MIO AEROX 155</v>
          </cell>
          <cell r="G928">
            <v>1</v>
          </cell>
          <cell r="H928">
            <v>1</v>
          </cell>
        </row>
        <row r="929">
          <cell r="B929" t="str">
            <v>KLX150</v>
          </cell>
          <cell r="I929">
            <v>1</v>
          </cell>
        </row>
        <row r="930">
          <cell r="B930" t="str">
            <v>KLX150</v>
          </cell>
          <cell r="G930">
            <v>7</v>
          </cell>
        </row>
        <row r="931">
          <cell r="B931" t="str">
            <v>MIO GEAR S</v>
          </cell>
          <cell r="G931">
            <v>1</v>
          </cell>
        </row>
        <row r="932">
          <cell r="B932" t="str">
            <v>XRM DUAL SPORTS FI(DS)</v>
          </cell>
          <cell r="H932">
            <v>1</v>
          </cell>
        </row>
        <row r="933">
          <cell r="B933" t="str">
            <v>RAIDER150 FI BLADE</v>
          </cell>
          <cell r="G933">
            <v>2</v>
          </cell>
        </row>
        <row r="934">
          <cell r="B934" t="str">
            <v>AVENIS125</v>
          </cell>
          <cell r="H934">
            <v>1</v>
          </cell>
        </row>
        <row r="935">
          <cell r="B935" t="str">
            <v>BEAT FI PREM</v>
          </cell>
          <cell r="G935">
            <v>1</v>
          </cell>
          <cell r="I935">
            <v>1</v>
          </cell>
        </row>
        <row r="936">
          <cell r="B936" t="str">
            <v>CLICK125 FI SE</v>
          </cell>
          <cell r="G936">
            <v>1</v>
          </cell>
        </row>
        <row r="937">
          <cell r="B937" t="str">
            <v>RAIDER150 FI BLADE</v>
          </cell>
          <cell r="G937">
            <v>1</v>
          </cell>
        </row>
        <row r="938">
          <cell r="B938" t="str">
            <v>CLICK160 FI</v>
          </cell>
          <cell r="H938">
            <v>2</v>
          </cell>
        </row>
        <row r="939">
          <cell r="B939" t="str">
            <v>XRM MOTARD FI</v>
          </cell>
          <cell r="I939">
            <v>3</v>
          </cell>
        </row>
        <row r="940">
          <cell r="B940" t="str">
            <v>CLICK125 FI</v>
          </cell>
          <cell r="G940">
            <v>2</v>
          </cell>
          <cell r="I940">
            <v>4</v>
          </cell>
        </row>
        <row r="941">
          <cell r="B941" t="str">
            <v>CRF300</v>
          </cell>
          <cell r="G941">
            <v>1</v>
          </cell>
          <cell r="H941">
            <v>1</v>
          </cell>
        </row>
        <row r="942">
          <cell r="B942" t="str">
            <v>CLICK160 FI</v>
          </cell>
          <cell r="G942">
            <v>7</v>
          </cell>
          <cell r="H942">
            <v>6</v>
          </cell>
        </row>
        <row r="943">
          <cell r="B943" t="str">
            <v>GIXXER 155</v>
          </cell>
          <cell r="I943">
            <v>1</v>
          </cell>
        </row>
        <row r="944">
          <cell r="B944" t="str">
            <v>YTX125</v>
          </cell>
          <cell r="G944">
            <v>1</v>
          </cell>
        </row>
        <row r="945">
          <cell r="B945" t="str">
            <v>CLICK160 FI</v>
          </cell>
          <cell r="G945">
            <v>2</v>
          </cell>
          <cell r="I945">
            <v>2</v>
          </cell>
        </row>
        <row r="946">
          <cell r="B946" t="str">
            <v>XRM DUAL SPORTS FI(DS)</v>
          </cell>
          <cell r="G946">
            <v>4</v>
          </cell>
          <cell r="I946">
            <v>4</v>
          </cell>
        </row>
        <row r="947">
          <cell r="B947" t="str">
            <v>ADV160</v>
          </cell>
          <cell r="H947">
            <v>1</v>
          </cell>
          <cell r="I947">
            <v>4</v>
          </cell>
        </row>
        <row r="948">
          <cell r="B948" t="str">
            <v>CLICK125 FI SE</v>
          </cell>
          <cell r="H948">
            <v>1</v>
          </cell>
        </row>
        <row r="949">
          <cell r="B949" t="str">
            <v>XTZ125</v>
          </cell>
          <cell r="H949">
            <v>1</v>
          </cell>
        </row>
        <row r="950">
          <cell r="B950" t="str">
            <v>TMX ALPHA FI</v>
          </cell>
          <cell r="G950">
            <v>2</v>
          </cell>
          <cell r="H950">
            <v>1</v>
          </cell>
        </row>
        <row r="951">
          <cell r="B951" t="str">
            <v>DR160</v>
          </cell>
          <cell r="G951">
            <v>1</v>
          </cell>
        </row>
        <row r="952">
          <cell r="B952" t="str">
            <v>CT125</v>
          </cell>
          <cell r="G952">
            <v>2</v>
          </cell>
          <cell r="H952">
            <v>1</v>
          </cell>
        </row>
        <row r="953">
          <cell r="B953" t="str">
            <v>NMAX155 TECHMAX</v>
          </cell>
          <cell r="H953">
            <v>1</v>
          </cell>
        </row>
        <row r="954">
          <cell r="B954" t="str">
            <v>WINNER X ABS</v>
          </cell>
          <cell r="I954">
            <v>1</v>
          </cell>
        </row>
        <row r="955">
          <cell r="B955" t="str">
            <v>SMASH FI(MAGS)</v>
          </cell>
          <cell r="I955">
            <v>1</v>
          </cell>
        </row>
        <row r="956">
          <cell r="B956" t="str">
            <v>CLICK125 FI</v>
          </cell>
          <cell r="I956">
            <v>4</v>
          </cell>
        </row>
        <row r="957">
          <cell r="B957" t="str">
            <v>CLICK160 FI</v>
          </cell>
          <cell r="G957">
            <v>5</v>
          </cell>
          <cell r="H957">
            <v>2</v>
          </cell>
        </row>
        <row r="958">
          <cell r="B958" t="str">
            <v>CLICK160 FI</v>
          </cell>
          <cell r="H958">
            <v>1</v>
          </cell>
          <cell r="I958">
            <v>1</v>
          </cell>
        </row>
        <row r="959">
          <cell r="B959" t="str">
            <v>NMAX155 TECHMAX</v>
          </cell>
          <cell r="I959">
            <v>1</v>
          </cell>
        </row>
        <row r="960">
          <cell r="B960" t="str">
            <v>CLICK125 FI</v>
          </cell>
          <cell r="G960">
            <v>1</v>
          </cell>
          <cell r="I960">
            <v>1</v>
          </cell>
        </row>
        <row r="961">
          <cell r="B961" t="str">
            <v>BEAT FI PREM</v>
          </cell>
          <cell r="H961">
            <v>1</v>
          </cell>
        </row>
        <row r="962">
          <cell r="B962" t="str">
            <v>CT125</v>
          </cell>
          <cell r="G962">
            <v>1</v>
          </cell>
        </row>
        <row r="963">
          <cell r="B963" t="str">
            <v>CRF150</v>
          </cell>
          <cell r="G963">
            <v>1</v>
          </cell>
          <cell r="H963">
            <v>1</v>
          </cell>
        </row>
        <row r="964">
          <cell r="B964" t="str">
            <v>BEAT FI PREM</v>
          </cell>
          <cell r="I964">
            <v>1</v>
          </cell>
        </row>
        <row r="965">
          <cell r="B965" t="str">
            <v>CLICK125 FI SE</v>
          </cell>
          <cell r="I965">
            <v>1</v>
          </cell>
        </row>
        <row r="966">
          <cell r="B966" t="str">
            <v>TMX150 SUPREMO</v>
          </cell>
          <cell r="G966">
            <v>2</v>
          </cell>
        </row>
        <row r="967">
          <cell r="B967" t="str">
            <v>RAIDER150 FI BLADE</v>
          </cell>
          <cell r="H967">
            <v>2</v>
          </cell>
        </row>
        <row r="968">
          <cell r="B968" t="str">
            <v>CT125</v>
          </cell>
          <cell r="G968">
            <v>9</v>
          </cell>
          <cell r="H968">
            <v>7</v>
          </cell>
          <cell r="I968">
            <v>11</v>
          </cell>
        </row>
        <row r="969">
          <cell r="B969" t="str">
            <v>ADV160</v>
          </cell>
          <cell r="I969">
            <v>1</v>
          </cell>
        </row>
        <row r="970">
          <cell r="B970" t="str">
            <v>CRF150</v>
          </cell>
          <cell r="I970">
            <v>1</v>
          </cell>
        </row>
        <row r="971">
          <cell r="B971" t="str">
            <v>RAIDER150 FI BLADE</v>
          </cell>
          <cell r="G971">
            <v>1</v>
          </cell>
          <cell r="I971">
            <v>1</v>
          </cell>
        </row>
        <row r="972">
          <cell r="B972" t="str">
            <v>SMASH(SPOKE)</v>
          </cell>
          <cell r="I972">
            <v>1</v>
          </cell>
        </row>
        <row r="973">
          <cell r="B973" t="str">
            <v>SMASH(SPOKE)</v>
          </cell>
          <cell r="G973">
            <v>1</v>
          </cell>
        </row>
        <row r="974">
          <cell r="B974" t="str">
            <v>CLICK160 FI</v>
          </cell>
          <cell r="G974">
            <v>1</v>
          </cell>
        </row>
        <row r="975">
          <cell r="B975" t="str">
            <v>ADV160</v>
          </cell>
          <cell r="H975">
            <v>2</v>
          </cell>
        </row>
        <row r="976">
          <cell r="B976" t="str">
            <v>CLICK160 FI</v>
          </cell>
          <cell r="G976">
            <v>2</v>
          </cell>
        </row>
        <row r="977">
          <cell r="B977" t="str">
            <v>BURGMAN STREET</v>
          </cell>
          <cell r="G977">
            <v>1</v>
          </cell>
        </row>
        <row r="978">
          <cell r="B978" t="str">
            <v>NMAX155 TECHMAX</v>
          </cell>
          <cell r="H978">
            <v>1</v>
          </cell>
        </row>
        <row r="979">
          <cell r="B979" t="str">
            <v>WINNER X STD</v>
          </cell>
          <cell r="G979">
            <v>1</v>
          </cell>
          <cell r="H979">
            <v>1</v>
          </cell>
        </row>
        <row r="980">
          <cell r="B980" t="str">
            <v>NMAX155 TECHMAX</v>
          </cell>
          <cell r="G980">
            <v>1</v>
          </cell>
        </row>
        <row r="981">
          <cell r="B981" t="str">
            <v>CLICK125 FI</v>
          </cell>
          <cell r="G981">
            <v>4</v>
          </cell>
          <cell r="I981">
            <v>8</v>
          </cell>
        </row>
        <row r="982">
          <cell r="B982" t="str">
            <v>NAVI</v>
          </cell>
          <cell r="G982">
            <v>1</v>
          </cell>
        </row>
        <row r="983">
          <cell r="B983" t="str">
            <v>SMASH FI(SPOKE)</v>
          </cell>
          <cell r="H983">
            <v>1</v>
          </cell>
        </row>
        <row r="984">
          <cell r="B984" t="str">
            <v>CT100</v>
          </cell>
          <cell r="G984">
            <v>1</v>
          </cell>
        </row>
        <row r="985">
          <cell r="B985" t="str">
            <v>RAIDER150 FI BLADE</v>
          </cell>
          <cell r="H985">
            <v>1</v>
          </cell>
        </row>
        <row r="986">
          <cell r="B986" t="str">
            <v>NMAX155 FI ABS</v>
          </cell>
          <cell r="G986">
            <v>1</v>
          </cell>
          <cell r="H986">
            <v>3</v>
          </cell>
          <cell r="I986">
            <v>2</v>
          </cell>
        </row>
        <row r="987">
          <cell r="B987" t="str">
            <v>CT125</v>
          </cell>
          <cell r="G987">
            <v>1</v>
          </cell>
          <cell r="H987">
            <v>3</v>
          </cell>
          <cell r="I987">
            <v>5</v>
          </cell>
        </row>
        <row r="988">
          <cell r="B988" t="str">
            <v>NAVI</v>
          </cell>
          <cell r="H988">
            <v>1</v>
          </cell>
        </row>
        <row r="989">
          <cell r="B989" t="str">
            <v>ADV160</v>
          </cell>
          <cell r="G989">
            <v>2</v>
          </cell>
          <cell r="H989">
            <v>1</v>
          </cell>
        </row>
        <row r="990">
          <cell r="B990" t="str">
            <v>MIO i125</v>
          </cell>
          <cell r="G990">
            <v>2</v>
          </cell>
        </row>
        <row r="991">
          <cell r="B991" t="str">
            <v>YTX125</v>
          </cell>
          <cell r="I991">
            <v>2</v>
          </cell>
        </row>
        <row r="992">
          <cell r="B992" t="str">
            <v>XRM RS</v>
          </cell>
          <cell r="H992">
            <v>2</v>
          </cell>
          <cell r="I992">
            <v>1</v>
          </cell>
        </row>
        <row r="993">
          <cell r="B993" t="str">
            <v>CLICK125 FI SE</v>
          </cell>
          <cell r="G993">
            <v>9</v>
          </cell>
          <cell r="H993">
            <v>3</v>
          </cell>
          <cell r="I993">
            <v>3</v>
          </cell>
        </row>
        <row r="994">
          <cell r="B994" t="str">
            <v>MIO i125</v>
          </cell>
          <cell r="H994">
            <v>1</v>
          </cell>
        </row>
        <row r="995">
          <cell r="B995" t="str">
            <v>BAJAJ RE 4S FI</v>
          </cell>
          <cell r="I995">
            <v>1</v>
          </cell>
        </row>
        <row r="996">
          <cell r="B996" t="str">
            <v>BEAT FI PREM</v>
          </cell>
          <cell r="G996">
            <v>1</v>
          </cell>
        </row>
        <row r="997">
          <cell r="B997" t="str">
            <v>SMASH(MAGS)</v>
          </cell>
          <cell r="H997">
            <v>1</v>
          </cell>
        </row>
        <row r="998">
          <cell r="B998" t="str">
            <v>NMAX155 TECHMAX</v>
          </cell>
          <cell r="I998">
            <v>1</v>
          </cell>
        </row>
        <row r="999">
          <cell r="B999" t="str">
            <v>RAIDER150 FI BLADE</v>
          </cell>
          <cell r="H999">
            <v>1</v>
          </cell>
        </row>
        <row r="1000">
          <cell r="B1000" t="str">
            <v>XRM MOTARD FI</v>
          </cell>
          <cell r="G1000">
            <v>1</v>
          </cell>
          <cell r="I1000">
            <v>3</v>
          </cell>
        </row>
        <row r="1001">
          <cell r="B1001" t="str">
            <v>BEAT FI PREM</v>
          </cell>
          <cell r="G1001">
            <v>1</v>
          </cell>
        </row>
        <row r="1002">
          <cell r="B1002" t="str">
            <v>KLX150</v>
          </cell>
          <cell r="G1002">
            <v>1</v>
          </cell>
          <cell r="H1002">
            <v>2</v>
          </cell>
          <cell r="I1002">
            <v>3</v>
          </cell>
        </row>
        <row r="1003">
          <cell r="B1003" t="str">
            <v>MIO GRAVIS</v>
          </cell>
          <cell r="H1003">
            <v>1</v>
          </cell>
          <cell r="I1003">
            <v>1</v>
          </cell>
        </row>
        <row r="1004">
          <cell r="B1004" t="str">
            <v>YTX125</v>
          </cell>
          <cell r="G1004">
            <v>2</v>
          </cell>
          <cell r="H1004">
            <v>3</v>
          </cell>
        </row>
        <row r="1005">
          <cell r="B1005" t="str">
            <v>GIORNO</v>
          </cell>
          <cell r="I1005">
            <v>2</v>
          </cell>
        </row>
        <row r="1006">
          <cell r="B1006" t="str">
            <v>RAIDER150 FI BLADE</v>
          </cell>
          <cell r="G1006">
            <v>1</v>
          </cell>
        </row>
        <row r="1007">
          <cell r="B1007" t="str">
            <v>CLICK125 FI</v>
          </cell>
          <cell r="G1007">
            <v>5</v>
          </cell>
          <cell r="H1007">
            <v>2</v>
          </cell>
          <cell r="I1007">
            <v>1</v>
          </cell>
        </row>
        <row r="1008">
          <cell r="B1008" t="str">
            <v>MIO GEAR S</v>
          </cell>
          <cell r="H1008">
            <v>1</v>
          </cell>
        </row>
        <row r="1009">
          <cell r="B1009" t="str">
            <v>XRM OFFROAD FI(DSX)</v>
          </cell>
          <cell r="H1009">
            <v>3</v>
          </cell>
        </row>
        <row r="1010">
          <cell r="B1010" t="str">
            <v>CLICK125 FI SE</v>
          </cell>
          <cell r="H1010">
            <v>2</v>
          </cell>
          <cell r="I1010">
            <v>1</v>
          </cell>
        </row>
        <row r="1011">
          <cell r="B1011" t="str">
            <v>XRM OFFROAD FI(DSX)</v>
          </cell>
          <cell r="G1011">
            <v>1</v>
          </cell>
          <cell r="H1011">
            <v>3</v>
          </cell>
        </row>
        <row r="1012">
          <cell r="B1012" t="str">
            <v>XRM DUAL SPORTS FI(DS)</v>
          </cell>
          <cell r="I1012">
            <v>4</v>
          </cell>
        </row>
        <row r="1013">
          <cell r="B1013" t="str">
            <v>WINNER X RC</v>
          </cell>
          <cell r="G1013">
            <v>2</v>
          </cell>
          <cell r="H1013">
            <v>1</v>
          </cell>
        </row>
        <row r="1014">
          <cell r="B1014" t="str">
            <v>NMAX155 TECHMAX</v>
          </cell>
          <cell r="H1014">
            <v>1</v>
          </cell>
        </row>
        <row r="1015">
          <cell r="B1015" t="str">
            <v>RAIDER150 FI BLADE</v>
          </cell>
          <cell r="G1015">
            <v>1</v>
          </cell>
          <cell r="H1015">
            <v>2</v>
          </cell>
          <cell r="I1015">
            <v>3</v>
          </cell>
        </row>
        <row r="1016">
          <cell r="B1016" t="str">
            <v>MIO i125</v>
          </cell>
          <cell r="I1016">
            <v>1</v>
          </cell>
        </row>
        <row r="1017">
          <cell r="B1017" t="str">
            <v>NMAX155 TECHMAX</v>
          </cell>
          <cell r="G1017">
            <v>1</v>
          </cell>
          <cell r="H1017">
            <v>1</v>
          </cell>
          <cell r="I1017">
            <v>1</v>
          </cell>
        </row>
        <row r="1018">
          <cell r="B1018" t="str">
            <v>ADV160</v>
          </cell>
          <cell r="I1018">
            <v>1</v>
          </cell>
        </row>
        <row r="1019">
          <cell r="B1019" t="str">
            <v>NMAX155 FI ABS</v>
          </cell>
          <cell r="G1019">
            <v>1</v>
          </cell>
        </row>
        <row r="1020">
          <cell r="B1020" t="str">
            <v>CLICK160 FI</v>
          </cell>
          <cell r="I1020">
            <v>2</v>
          </cell>
        </row>
        <row r="1021">
          <cell r="B1021" t="str">
            <v>CT125</v>
          </cell>
          <cell r="G1021">
            <v>6</v>
          </cell>
          <cell r="H1021">
            <v>5</v>
          </cell>
          <cell r="I1021">
            <v>4</v>
          </cell>
        </row>
        <row r="1022">
          <cell r="B1022" t="str">
            <v>CLICK125 FI</v>
          </cell>
          <cell r="G1022">
            <v>10</v>
          </cell>
          <cell r="H1022">
            <v>4</v>
          </cell>
          <cell r="I1022">
            <v>7</v>
          </cell>
        </row>
        <row r="1023">
          <cell r="B1023" t="str">
            <v>MIO i125</v>
          </cell>
          <cell r="H1023">
            <v>1</v>
          </cell>
        </row>
        <row r="1024">
          <cell r="B1024" t="str">
            <v>RAIDER150 FI BLADE</v>
          </cell>
          <cell r="G1024">
            <v>2</v>
          </cell>
          <cell r="H1024">
            <v>2</v>
          </cell>
        </row>
        <row r="1025">
          <cell r="B1025" t="str">
            <v>CLICK160 FI</v>
          </cell>
          <cell r="G1025">
            <v>1</v>
          </cell>
          <cell r="H1025">
            <v>1</v>
          </cell>
          <cell r="I1025">
            <v>2</v>
          </cell>
        </row>
        <row r="1026">
          <cell r="B1026" t="str">
            <v>MIO i125</v>
          </cell>
          <cell r="I1026">
            <v>1</v>
          </cell>
        </row>
        <row r="1027">
          <cell r="B1027" t="str">
            <v>FAZZIO</v>
          </cell>
          <cell r="I1027">
            <v>1</v>
          </cell>
        </row>
        <row r="1028">
          <cell r="B1028" t="str">
            <v>MIO AEROX S 155</v>
          </cell>
          <cell r="G1028">
            <v>3</v>
          </cell>
          <cell r="H1028">
            <v>1</v>
          </cell>
        </row>
        <row r="1029">
          <cell r="B1029" t="str">
            <v>XTZ125</v>
          </cell>
          <cell r="I1029">
            <v>1</v>
          </cell>
        </row>
        <row r="1030">
          <cell r="B1030" t="str">
            <v>CLICK125 FI SE</v>
          </cell>
          <cell r="G1030">
            <v>1</v>
          </cell>
          <cell r="I1030">
            <v>1</v>
          </cell>
        </row>
        <row r="1031">
          <cell r="B1031" t="str">
            <v>BAJAJ RE 4S FI</v>
          </cell>
          <cell r="I1031">
            <v>1</v>
          </cell>
        </row>
        <row r="1032">
          <cell r="B1032" t="str">
            <v>MIO AEROX 155</v>
          </cell>
          <cell r="H1032">
            <v>1</v>
          </cell>
          <cell r="I1032">
            <v>2</v>
          </cell>
        </row>
        <row r="1033">
          <cell r="B1033" t="str">
            <v>AIRBLADE 160</v>
          </cell>
          <cell r="I1033">
            <v>1</v>
          </cell>
        </row>
        <row r="1034">
          <cell r="B1034" t="str">
            <v>BAJAJ RE 4S FI</v>
          </cell>
          <cell r="H1034">
            <v>1</v>
          </cell>
        </row>
        <row r="1035">
          <cell r="B1035" t="str">
            <v>BARAKO II (DUAL START)</v>
          </cell>
          <cell r="H1035">
            <v>1</v>
          </cell>
          <cell r="I1035">
            <v>2</v>
          </cell>
        </row>
        <row r="1036">
          <cell r="B1036" t="str">
            <v>CLICK125 FI SE</v>
          </cell>
          <cell r="G1036">
            <v>5</v>
          </cell>
          <cell r="H1036">
            <v>3</v>
          </cell>
          <cell r="I1036">
            <v>1</v>
          </cell>
        </row>
        <row r="1037">
          <cell r="B1037" t="str">
            <v>XRM RS</v>
          </cell>
          <cell r="H1037">
            <v>1</v>
          </cell>
        </row>
        <row r="1038">
          <cell r="B1038" t="str">
            <v>CRF150</v>
          </cell>
          <cell r="G1038">
            <v>30</v>
          </cell>
          <cell r="I1038">
            <v>1</v>
          </cell>
        </row>
        <row r="1039">
          <cell r="B1039" t="str">
            <v>TMX150 SUPREMO</v>
          </cell>
          <cell r="H1039">
            <v>3</v>
          </cell>
          <cell r="I1039">
            <v>1</v>
          </cell>
        </row>
        <row r="1040">
          <cell r="B1040" t="str">
            <v>CT125</v>
          </cell>
          <cell r="H1040">
            <v>1</v>
          </cell>
          <cell r="I1040">
            <v>2</v>
          </cell>
        </row>
        <row r="1041">
          <cell r="B1041" t="str">
            <v>XRM MOTARD FI</v>
          </cell>
          <cell r="G1041">
            <v>4</v>
          </cell>
          <cell r="I1041">
            <v>2</v>
          </cell>
        </row>
        <row r="1042">
          <cell r="B1042" t="str">
            <v>ADV160</v>
          </cell>
          <cell r="G1042">
            <v>1</v>
          </cell>
        </row>
        <row r="1043">
          <cell r="B1043" t="str">
            <v>XRM RS</v>
          </cell>
          <cell r="I1043">
            <v>1</v>
          </cell>
        </row>
        <row r="1044">
          <cell r="B1044" t="str">
            <v>MIO i125</v>
          </cell>
          <cell r="G1044">
            <v>1</v>
          </cell>
        </row>
        <row r="1045">
          <cell r="B1045" t="str">
            <v>XRM DUAL SPORTS FI(DS)</v>
          </cell>
          <cell r="G1045">
            <v>1</v>
          </cell>
          <cell r="H1045">
            <v>1</v>
          </cell>
          <cell r="I1045">
            <v>1</v>
          </cell>
        </row>
        <row r="1046">
          <cell r="B1046" t="str">
            <v>TMX150 SUPREMO</v>
          </cell>
          <cell r="I1046">
            <v>1</v>
          </cell>
        </row>
        <row r="1047">
          <cell r="B1047" t="str">
            <v>XR150</v>
          </cell>
          <cell r="I1047">
            <v>1</v>
          </cell>
        </row>
        <row r="1048">
          <cell r="B1048" t="str">
            <v>NMAX155 FI ABS</v>
          </cell>
          <cell r="G1048">
            <v>3</v>
          </cell>
          <cell r="H1048">
            <v>3</v>
          </cell>
          <cell r="I1048">
            <v>3</v>
          </cell>
        </row>
        <row r="1049">
          <cell r="B1049" t="str">
            <v>NMAX155 FI ABS</v>
          </cell>
          <cell r="I1049">
            <v>1</v>
          </cell>
        </row>
        <row r="1050">
          <cell r="B1050" t="str">
            <v>ADV160</v>
          </cell>
          <cell r="G1050">
            <v>1</v>
          </cell>
          <cell r="H1050">
            <v>1</v>
          </cell>
        </row>
        <row r="1051">
          <cell r="B1051" t="str">
            <v>BARAKO II (DUAL START)</v>
          </cell>
          <cell r="I1051">
            <v>1</v>
          </cell>
        </row>
        <row r="1052">
          <cell r="B1052" t="str">
            <v>ADV160</v>
          </cell>
          <cell r="H1052">
            <v>1</v>
          </cell>
        </row>
        <row r="1053">
          <cell r="B1053" t="str">
            <v>MIO AEROX 155</v>
          </cell>
          <cell r="H1053">
            <v>2</v>
          </cell>
          <cell r="I1053">
            <v>1</v>
          </cell>
        </row>
        <row r="1054">
          <cell r="B1054" t="str">
            <v>MIO i125</v>
          </cell>
          <cell r="I1054">
            <v>1</v>
          </cell>
        </row>
        <row r="1055">
          <cell r="B1055" t="str">
            <v>CT100</v>
          </cell>
          <cell r="G1055">
            <v>2</v>
          </cell>
          <cell r="H1055">
            <v>3</v>
          </cell>
          <cell r="I1055">
            <v>1</v>
          </cell>
        </row>
        <row r="1056">
          <cell r="B1056" t="str">
            <v>XRM DUAL SPORTS FI(DS)</v>
          </cell>
          <cell r="G1056">
            <v>3</v>
          </cell>
          <cell r="I1056">
            <v>2</v>
          </cell>
        </row>
        <row r="1057">
          <cell r="B1057" t="str">
            <v>BEAT FI PREM</v>
          </cell>
          <cell r="G1057">
            <v>1</v>
          </cell>
          <cell r="H1057">
            <v>1</v>
          </cell>
        </row>
        <row r="1058">
          <cell r="B1058" t="str">
            <v>RAIDER150 FI BLADE</v>
          </cell>
          <cell r="G1058">
            <v>1</v>
          </cell>
          <cell r="I1058">
            <v>2</v>
          </cell>
        </row>
        <row r="1059">
          <cell r="B1059" t="str">
            <v>XRM OFFROAD FI(DSX)</v>
          </cell>
          <cell r="I1059">
            <v>1</v>
          </cell>
        </row>
        <row r="1060">
          <cell r="B1060" t="str">
            <v>NMAX155 FI ABS</v>
          </cell>
          <cell r="G1060">
            <v>1</v>
          </cell>
        </row>
        <row r="1061">
          <cell r="B1061" t="str">
            <v>CLICK125 FI</v>
          </cell>
          <cell r="H1061">
            <v>3</v>
          </cell>
          <cell r="I1061">
            <v>8</v>
          </cell>
        </row>
        <row r="1062">
          <cell r="B1062" t="str">
            <v>CLICK125 FI</v>
          </cell>
          <cell r="I1062">
            <v>3</v>
          </cell>
        </row>
        <row r="1063">
          <cell r="B1063" t="str">
            <v>BAJAJ RE 4S FI</v>
          </cell>
          <cell r="G1063">
            <v>1</v>
          </cell>
          <cell r="I1063">
            <v>3</v>
          </cell>
        </row>
        <row r="1064">
          <cell r="B1064" t="str">
            <v>NMAX155 FI ABS</v>
          </cell>
          <cell r="G1064">
            <v>1</v>
          </cell>
          <cell r="H1064">
            <v>3</v>
          </cell>
          <cell r="I1064">
            <v>2</v>
          </cell>
        </row>
        <row r="1065">
          <cell r="B1065" t="str">
            <v>WINNER X RC</v>
          </cell>
          <cell r="I1065">
            <v>1</v>
          </cell>
        </row>
        <row r="1066">
          <cell r="B1066" t="str">
            <v>ADV160</v>
          </cell>
          <cell r="I1066">
            <v>1</v>
          </cell>
        </row>
        <row r="1067">
          <cell r="B1067" t="str">
            <v>NMAX155 FI ABS</v>
          </cell>
          <cell r="G1067">
            <v>9</v>
          </cell>
          <cell r="H1067">
            <v>1</v>
          </cell>
          <cell r="I1067">
            <v>7</v>
          </cell>
        </row>
        <row r="1068">
          <cell r="B1068" t="str">
            <v>NMAX155 FI ABS</v>
          </cell>
          <cell r="G1068">
            <v>1</v>
          </cell>
          <cell r="I1068">
            <v>2</v>
          </cell>
        </row>
        <row r="1069">
          <cell r="B1069" t="str">
            <v>CLICK125 FI SE</v>
          </cell>
          <cell r="H1069">
            <v>3</v>
          </cell>
          <cell r="I1069">
            <v>1</v>
          </cell>
        </row>
        <row r="1070">
          <cell r="B1070" t="str">
            <v>ADV160</v>
          </cell>
          <cell r="I1070">
            <v>2</v>
          </cell>
        </row>
        <row r="1071">
          <cell r="B1071" t="str">
            <v>MIO GEAR S</v>
          </cell>
          <cell r="I1071">
            <v>1</v>
          </cell>
        </row>
        <row r="1072">
          <cell r="B1072" t="str">
            <v>BARAKO II (DUAL START)</v>
          </cell>
          <cell r="G1072">
            <v>1</v>
          </cell>
          <cell r="I1072">
            <v>1</v>
          </cell>
        </row>
        <row r="1073">
          <cell r="B1073" t="str">
            <v>MIO AEROX S 155</v>
          </cell>
          <cell r="G1073">
            <v>1</v>
          </cell>
          <cell r="H1073">
            <v>1</v>
          </cell>
        </row>
        <row r="1074">
          <cell r="B1074" t="str">
            <v>RAIDER150 FI BLADE</v>
          </cell>
          <cell r="H1074">
            <v>2</v>
          </cell>
          <cell r="I1074">
            <v>1</v>
          </cell>
        </row>
        <row r="1075">
          <cell r="B1075" t="str">
            <v>BAJAJ RE 4S FI</v>
          </cell>
          <cell r="H1075">
            <v>2</v>
          </cell>
          <cell r="I1075">
            <v>1</v>
          </cell>
        </row>
        <row r="1076">
          <cell r="B1076" t="str">
            <v>CLICK125 FI</v>
          </cell>
          <cell r="G1076">
            <v>1</v>
          </cell>
          <cell r="H1076">
            <v>1</v>
          </cell>
          <cell r="I1076">
            <v>12</v>
          </cell>
        </row>
        <row r="1077">
          <cell r="B1077" t="str">
            <v>CLICK160 FI</v>
          </cell>
          <cell r="G1077">
            <v>2</v>
          </cell>
          <cell r="H1077">
            <v>2</v>
          </cell>
          <cell r="I1077">
            <v>1</v>
          </cell>
        </row>
        <row r="1078">
          <cell r="B1078" t="str">
            <v>CLICK125 FI SE</v>
          </cell>
          <cell r="G1078">
            <v>8</v>
          </cell>
          <cell r="H1078">
            <v>3</v>
          </cell>
          <cell r="I1078">
            <v>7</v>
          </cell>
        </row>
        <row r="1079">
          <cell r="B1079" t="str">
            <v>MAXIMA Z</v>
          </cell>
          <cell r="G1079">
            <v>1</v>
          </cell>
        </row>
        <row r="1080">
          <cell r="B1080" t="str">
            <v>NMAX155 FI ABS</v>
          </cell>
          <cell r="I1080">
            <v>1</v>
          </cell>
        </row>
        <row r="1081">
          <cell r="B1081" t="str">
            <v>SMASH(MAGS)</v>
          </cell>
          <cell r="H1081">
            <v>1</v>
          </cell>
        </row>
        <row r="1082">
          <cell r="B1082" t="str">
            <v>XRM OFFROAD FI(DSX)</v>
          </cell>
          <cell r="G1082">
            <v>1</v>
          </cell>
        </row>
        <row r="1083">
          <cell r="B1083" t="str">
            <v>TMX ALPHA FI</v>
          </cell>
          <cell r="I1083">
            <v>1</v>
          </cell>
        </row>
        <row r="1084">
          <cell r="B1084" t="str">
            <v>NMAX155 FI ABS</v>
          </cell>
          <cell r="G1084">
            <v>3</v>
          </cell>
          <cell r="I1084">
            <v>1</v>
          </cell>
        </row>
        <row r="1085">
          <cell r="B1085" t="str">
            <v>BAJAJ RE 4S FI</v>
          </cell>
          <cell r="G1085">
            <v>1</v>
          </cell>
        </row>
        <row r="1086">
          <cell r="B1086" t="str">
            <v>MIO AEROX S 155</v>
          </cell>
          <cell r="H1086">
            <v>1</v>
          </cell>
        </row>
        <row r="1087">
          <cell r="B1087" t="str">
            <v>MIO GRAVIS</v>
          </cell>
          <cell r="I1087">
            <v>1</v>
          </cell>
        </row>
        <row r="1088">
          <cell r="B1088" t="str">
            <v>KLX150</v>
          </cell>
          <cell r="H1088">
            <v>2</v>
          </cell>
          <cell r="I1088">
            <v>3</v>
          </cell>
        </row>
        <row r="1089">
          <cell r="B1089" t="str">
            <v>RAIDER150 FI BLADE</v>
          </cell>
          <cell r="G1089">
            <v>1</v>
          </cell>
          <cell r="H1089">
            <v>1</v>
          </cell>
        </row>
        <row r="1090">
          <cell r="B1090" t="str">
            <v>GIORNO</v>
          </cell>
          <cell r="I1090">
            <v>1</v>
          </cell>
        </row>
        <row r="1091">
          <cell r="B1091" t="str">
            <v>CLICK160 FI</v>
          </cell>
          <cell r="H1091">
            <v>1</v>
          </cell>
        </row>
        <row r="1092">
          <cell r="B1092" t="str">
            <v>NAVI</v>
          </cell>
          <cell r="H1092">
            <v>1</v>
          </cell>
        </row>
        <row r="1093">
          <cell r="B1093" t="str">
            <v>CT125</v>
          </cell>
          <cell r="G1093">
            <v>4</v>
          </cell>
          <cell r="H1093">
            <v>3</v>
          </cell>
        </row>
        <row r="1094">
          <cell r="B1094" t="str">
            <v>BAJAJ RE 4S FI</v>
          </cell>
          <cell r="G1094">
            <v>1</v>
          </cell>
          <cell r="H1094">
            <v>1</v>
          </cell>
        </row>
        <row r="1095">
          <cell r="B1095" t="str">
            <v>ADV160</v>
          </cell>
          <cell r="G1095">
            <v>1</v>
          </cell>
          <cell r="H1095">
            <v>11</v>
          </cell>
          <cell r="I1095">
            <v>4</v>
          </cell>
        </row>
        <row r="1096">
          <cell r="B1096" t="str">
            <v>BAJAJ RE 4S FI</v>
          </cell>
          <cell r="G1096">
            <v>1</v>
          </cell>
        </row>
        <row r="1097">
          <cell r="B1097" t="str">
            <v>XR150</v>
          </cell>
          <cell r="G1097">
            <v>1</v>
          </cell>
        </row>
        <row r="1098">
          <cell r="B1098" t="str">
            <v>ADV160</v>
          </cell>
          <cell r="I1098">
            <v>2</v>
          </cell>
        </row>
        <row r="1099">
          <cell r="B1099" t="str">
            <v>CRF150</v>
          </cell>
          <cell r="I1099">
            <v>1</v>
          </cell>
        </row>
        <row r="1100">
          <cell r="B1100" t="str">
            <v>BAJAJ RE 4S FI</v>
          </cell>
          <cell r="G1100">
            <v>8</v>
          </cell>
          <cell r="H1100">
            <v>8</v>
          </cell>
          <cell r="I1100">
            <v>7</v>
          </cell>
        </row>
        <row r="1101">
          <cell r="B1101" t="str">
            <v>XRM RS</v>
          </cell>
          <cell r="I1101">
            <v>1</v>
          </cell>
        </row>
        <row r="1102">
          <cell r="B1102" t="str">
            <v>NMAX155 TECHMAX</v>
          </cell>
          <cell r="I1102">
            <v>1</v>
          </cell>
        </row>
        <row r="1103">
          <cell r="B1103" t="str">
            <v>KLX150</v>
          </cell>
          <cell r="H1103">
            <v>1</v>
          </cell>
          <cell r="I1103">
            <v>2</v>
          </cell>
        </row>
        <row r="1104">
          <cell r="B1104" t="str">
            <v>CLICK125 FI SE</v>
          </cell>
          <cell r="G1104">
            <v>1</v>
          </cell>
          <cell r="H1104">
            <v>8</v>
          </cell>
        </row>
        <row r="1105">
          <cell r="B1105" t="str">
            <v>MIO AEROX 155</v>
          </cell>
          <cell r="H1105">
            <v>1</v>
          </cell>
        </row>
        <row r="1106">
          <cell r="B1106" t="str">
            <v>TMX ALPHA FI</v>
          </cell>
          <cell r="G1106">
            <v>2</v>
          </cell>
          <cell r="I1106">
            <v>2</v>
          </cell>
        </row>
        <row r="1107">
          <cell r="B1107" t="str">
            <v>NAVI</v>
          </cell>
          <cell r="I1107">
            <v>1</v>
          </cell>
        </row>
        <row r="1108">
          <cell r="B1108" t="str">
            <v>XRM DUAL SPORTS FI(DS)</v>
          </cell>
          <cell r="H1108">
            <v>2</v>
          </cell>
        </row>
        <row r="1109">
          <cell r="B1109" t="str">
            <v>GIORNO</v>
          </cell>
          <cell r="G1109">
            <v>1</v>
          </cell>
          <cell r="I1109">
            <v>1</v>
          </cell>
        </row>
        <row r="1110">
          <cell r="B1110" t="str">
            <v>CT125</v>
          </cell>
          <cell r="G1110">
            <v>6</v>
          </cell>
          <cell r="H1110">
            <v>8</v>
          </cell>
          <cell r="I1110">
            <v>9</v>
          </cell>
        </row>
        <row r="1111">
          <cell r="B1111" t="str">
            <v>CLICK125 FI</v>
          </cell>
          <cell r="I1111">
            <v>7</v>
          </cell>
        </row>
        <row r="1112">
          <cell r="B1112" t="str">
            <v>CT125</v>
          </cell>
          <cell r="G1112">
            <v>2</v>
          </cell>
          <cell r="H1112">
            <v>4</v>
          </cell>
          <cell r="I1112">
            <v>3</v>
          </cell>
        </row>
        <row r="1113">
          <cell r="B1113" t="str">
            <v>ADV160</v>
          </cell>
          <cell r="G1113">
            <v>5</v>
          </cell>
        </row>
        <row r="1114">
          <cell r="B1114" t="str">
            <v>CT100B</v>
          </cell>
          <cell r="G1114">
            <v>1</v>
          </cell>
          <cell r="I1114">
            <v>1</v>
          </cell>
        </row>
        <row r="1115">
          <cell r="B1115" t="str">
            <v>BEAT FI PREM</v>
          </cell>
          <cell r="G1115">
            <v>1</v>
          </cell>
        </row>
        <row r="1116">
          <cell r="B1116" t="str">
            <v>ADV160</v>
          </cell>
          <cell r="G1116">
            <v>1</v>
          </cell>
        </row>
        <row r="1117">
          <cell r="B1117" t="str">
            <v>XR150</v>
          </cell>
          <cell r="G1117">
            <v>6</v>
          </cell>
          <cell r="H1117">
            <v>6</v>
          </cell>
          <cell r="I1117">
            <v>2</v>
          </cell>
        </row>
        <row r="1118">
          <cell r="B1118" t="str">
            <v>CLICK125 FI</v>
          </cell>
          <cell r="H1118">
            <v>3</v>
          </cell>
          <cell r="I1118">
            <v>7</v>
          </cell>
        </row>
        <row r="1119">
          <cell r="B1119" t="str">
            <v>XRM OFFROAD FI(DSX)</v>
          </cell>
          <cell r="G1119">
            <v>1</v>
          </cell>
          <cell r="H1119">
            <v>2</v>
          </cell>
        </row>
        <row r="1120">
          <cell r="B1120" t="str">
            <v>CRF150</v>
          </cell>
          <cell r="G1120">
            <v>2</v>
          </cell>
          <cell r="H1120">
            <v>2</v>
          </cell>
          <cell r="I1120">
            <v>1</v>
          </cell>
        </row>
        <row r="1121">
          <cell r="B1121" t="str">
            <v>MIO AEROX 155</v>
          </cell>
          <cell r="G1121">
            <v>1</v>
          </cell>
        </row>
        <row r="1122">
          <cell r="B1122" t="str">
            <v>XRM DUAL SPORTS FI(DS)</v>
          </cell>
          <cell r="G1122">
            <v>1</v>
          </cell>
        </row>
        <row r="1123">
          <cell r="B1123" t="str">
            <v>XRM RS</v>
          </cell>
          <cell r="H1123">
            <v>1</v>
          </cell>
        </row>
        <row r="1124">
          <cell r="B1124" t="str">
            <v>TMX ALPHA FI</v>
          </cell>
          <cell r="H1124">
            <v>1</v>
          </cell>
        </row>
        <row r="1125">
          <cell r="B1125" t="str">
            <v>BEAT FI PREM</v>
          </cell>
          <cell r="H1125">
            <v>1</v>
          </cell>
        </row>
        <row r="1126">
          <cell r="B1126" t="str">
            <v>BAJAJ RE 4S FI</v>
          </cell>
          <cell r="H1126">
            <v>1</v>
          </cell>
        </row>
        <row r="1127">
          <cell r="B1127" t="str">
            <v>ADV160</v>
          </cell>
          <cell r="I1127">
            <v>1</v>
          </cell>
        </row>
        <row r="1128">
          <cell r="B1128" t="str">
            <v>GIXXER 155</v>
          </cell>
          <cell r="G1128">
            <v>1</v>
          </cell>
        </row>
        <row r="1129">
          <cell r="B1129" t="str">
            <v>XRM OFFROAD FI(DSX)</v>
          </cell>
          <cell r="G1129">
            <v>1</v>
          </cell>
          <cell r="H1129">
            <v>3</v>
          </cell>
        </row>
        <row r="1130">
          <cell r="B1130" t="str">
            <v>BEAT FI STD</v>
          </cell>
          <cell r="H1130">
            <v>1</v>
          </cell>
        </row>
        <row r="1131">
          <cell r="B1131" t="str">
            <v>NMAX155 FI ABS</v>
          </cell>
          <cell r="G1131">
            <v>3</v>
          </cell>
          <cell r="H1131">
            <v>1</v>
          </cell>
          <cell r="I1131">
            <v>6</v>
          </cell>
        </row>
        <row r="1132">
          <cell r="B1132" t="str">
            <v>SMASH(SPOKE)</v>
          </cell>
          <cell r="G1132">
            <v>1</v>
          </cell>
        </row>
        <row r="1133">
          <cell r="B1133" t="str">
            <v>XR150</v>
          </cell>
          <cell r="G1133">
            <v>1</v>
          </cell>
        </row>
        <row r="1134">
          <cell r="B1134" t="str">
            <v>XRM DUAL SPORTS FI(DS)</v>
          </cell>
          <cell r="I1134">
            <v>3</v>
          </cell>
        </row>
        <row r="1135">
          <cell r="B1135" t="str">
            <v>CRF150</v>
          </cell>
          <cell r="H1135">
            <v>1</v>
          </cell>
        </row>
        <row r="1136">
          <cell r="B1136" t="str">
            <v>CLICK125 FI</v>
          </cell>
          <cell r="G1136">
            <v>1</v>
          </cell>
          <cell r="H1136">
            <v>2</v>
          </cell>
          <cell r="I1136">
            <v>6</v>
          </cell>
        </row>
        <row r="1137">
          <cell r="B1137" t="str">
            <v>WINNER X RC</v>
          </cell>
          <cell r="G1137">
            <v>1</v>
          </cell>
        </row>
        <row r="1138">
          <cell r="B1138" t="str">
            <v>ADV160</v>
          </cell>
          <cell r="H1138">
            <v>1</v>
          </cell>
          <cell r="I1138">
            <v>1</v>
          </cell>
        </row>
        <row r="1139">
          <cell r="B1139" t="str">
            <v>SMASH(SPOKE)</v>
          </cell>
          <cell r="H1139">
            <v>1</v>
          </cell>
        </row>
        <row r="1140">
          <cell r="B1140" t="str">
            <v>WINNER X STD</v>
          </cell>
          <cell r="I1140">
            <v>1</v>
          </cell>
        </row>
        <row r="1141">
          <cell r="B1141" t="str">
            <v>MIO i125s</v>
          </cell>
          <cell r="I1141">
            <v>1</v>
          </cell>
        </row>
        <row r="1142">
          <cell r="B1142" t="str">
            <v>ADV160 ROADSYNC</v>
          </cell>
          <cell r="H1142">
            <v>1</v>
          </cell>
        </row>
        <row r="1143">
          <cell r="B1143" t="str">
            <v>CLICK160 FI</v>
          </cell>
          <cell r="G1143">
            <v>1</v>
          </cell>
        </row>
        <row r="1144">
          <cell r="B1144" t="str">
            <v>CRF150</v>
          </cell>
          <cell r="G1144">
            <v>3</v>
          </cell>
          <cell r="H1144">
            <v>1</v>
          </cell>
          <cell r="I1144">
            <v>2</v>
          </cell>
        </row>
        <row r="1145">
          <cell r="B1145" t="str">
            <v>NAVI</v>
          </cell>
          <cell r="I1145">
            <v>2</v>
          </cell>
        </row>
        <row r="1146">
          <cell r="B1146" t="str">
            <v>WIZARD</v>
          </cell>
          <cell r="H1146">
            <v>1</v>
          </cell>
        </row>
        <row r="1147">
          <cell r="B1147" t="str">
            <v>BEAT FI PREM</v>
          </cell>
          <cell r="I1147">
            <v>1</v>
          </cell>
        </row>
        <row r="1148">
          <cell r="B1148" t="str">
            <v>XRM DUAL SPORTS FI(DS)</v>
          </cell>
          <cell r="G1148">
            <v>1</v>
          </cell>
          <cell r="H1148">
            <v>1</v>
          </cell>
        </row>
        <row r="1149">
          <cell r="B1149" t="str">
            <v>NMAX155 TECHMAX</v>
          </cell>
          <cell r="I1149">
            <v>2</v>
          </cell>
        </row>
        <row r="1150">
          <cell r="B1150" t="str">
            <v>CLICK125 FI SE</v>
          </cell>
          <cell r="I1150">
            <v>2</v>
          </cell>
        </row>
        <row r="1151">
          <cell r="B1151" t="str">
            <v>CLICK160 FI</v>
          </cell>
          <cell r="H1151">
            <v>3</v>
          </cell>
        </row>
        <row r="1152">
          <cell r="B1152" t="str">
            <v>XRM MOTARD FI</v>
          </cell>
          <cell r="H1152">
            <v>1</v>
          </cell>
        </row>
        <row r="1153">
          <cell r="B1153" t="str">
            <v>NMAX155 TECHMAX</v>
          </cell>
          <cell r="G1153">
            <v>1</v>
          </cell>
        </row>
        <row r="1154">
          <cell r="B1154" t="str">
            <v>CRF150</v>
          </cell>
          <cell r="H1154">
            <v>2</v>
          </cell>
          <cell r="I1154">
            <v>1</v>
          </cell>
        </row>
        <row r="1155">
          <cell r="B1155" t="str">
            <v>NMAX155 TECHMAX</v>
          </cell>
          <cell r="I1155">
            <v>1</v>
          </cell>
        </row>
        <row r="1156">
          <cell r="B1156" t="str">
            <v>XR150</v>
          </cell>
          <cell r="G1156">
            <v>1</v>
          </cell>
        </row>
        <row r="1157">
          <cell r="B1157" t="str">
            <v>MIO GEAR S</v>
          </cell>
          <cell r="G1157">
            <v>1</v>
          </cell>
        </row>
        <row r="1158">
          <cell r="B1158" t="str">
            <v>XRM RS</v>
          </cell>
          <cell r="G1158">
            <v>1</v>
          </cell>
        </row>
        <row r="1159">
          <cell r="B1159" t="str">
            <v>MIO i125</v>
          </cell>
          <cell r="H1159">
            <v>1</v>
          </cell>
          <cell r="I1159">
            <v>1</v>
          </cell>
        </row>
        <row r="1160">
          <cell r="B1160" t="str">
            <v>ADV160</v>
          </cell>
          <cell r="I1160">
            <v>2</v>
          </cell>
        </row>
        <row r="1161">
          <cell r="B1161" t="str">
            <v>NMAX155 TECHMAX</v>
          </cell>
          <cell r="I1161">
            <v>1</v>
          </cell>
        </row>
        <row r="1162">
          <cell r="B1162" t="str">
            <v>XRM RS</v>
          </cell>
          <cell r="G1162">
            <v>1</v>
          </cell>
          <cell r="H1162">
            <v>1</v>
          </cell>
          <cell r="I1162">
            <v>1</v>
          </cell>
        </row>
        <row r="1163">
          <cell r="B1163" t="str">
            <v>CLICK125 FI</v>
          </cell>
          <cell r="H1163">
            <v>1</v>
          </cell>
          <cell r="I1163">
            <v>2</v>
          </cell>
        </row>
        <row r="1164">
          <cell r="B1164" t="str">
            <v>XRM RS</v>
          </cell>
          <cell r="H1164">
            <v>1</v>
          </cell>
        </row>
        <row r="1165">
          <cell r="B1165" t="str">
            <v>XR150</v>
          </cell>
          <cell r="H1165">
            <v>1</v>
          </cell>
        </row>
        <row r="1166">
          <cell r="B1166" t="str">
            <v>CT125</v>
          </cell>
          <cell r="G1166">
            <v>27</v>
          </cell>
          <cell r="H1166">
            <v>95</v>
          </cell>
          <cell r="I1166">
            <v>54</v>
          </cell>
        </row>
        <row r="1167">
          <cell r="B1167" t="str">
            <v>BEAT FI STD</v>
          </cell>
          <cell r="G1167">
            <v>1</v>
          </cell>
        </row>
        <row r="1168">
          <cell r="B1168" t="str">
            <v>WAVE RSX(DISC)</v>
          </cell>
          <cell r="H1168">
            <v>1</v>
          </cell>
        </row>
        <row r="1169">
          <cell r="B1169" t="str">
            <v>MIO AEROX 155</v>
          </cell>
          <cell r="G1169">
            <v>1</v>
          </cell>
          <cell r="H1169">
            <v>2</v>
          </cell>
        </row>
        <row r="1170">
          <cell r="B1170" t="str">
            <v>XRM MOTARD FI</v>
          </cell>
          <cell r="G1170">
            <v>3</v>
          </cell>
          <cell r="H1170">
            <v>4</v>
          </cell>
          <cell r="I1170">
            <v>5</v>
          </cell>
        </row>
        <row r="1171">
          <cell r="B1171" t="str">
            <v>BAJAJ RE 4S FI</v>
          </cell>
          <cell r="H1171">
            <v>1</v>
          </cell>
        </row>
        <row r="1172">
          <cell r="B1172" t="str">
            <v>SNIPER 155 FI</v>
          </cell>
          <cell r="I1172">
            <v>1</v>
          </cell>
        </row>
        <row r="1173">
          <cell r="B1173" t="str">
            <v>XRM OFFROAD FI(DSX)</v>
          </cell>
          <cell r="H1173">
            <v>5</v>
          </cell>
        </row>
        <row r="1174">
          <cell r="B1174" t="str">
            <v>RAIDER150 FI BLADE</v>
          </cell>
          <cell r="H1174">
            <v>2</v>
          </cell>
        </row>
        <row r="1175">
          <cell r="B1175" t="str">
            <v>CLICK125 FI</v>
          </cell>
          <cell r="G1175">
            <v>3</v>
          </cell>
          <cell r="H1175">
            <v>5</v>
          </cell>
          <cell r="I1175">
            <v>3</v>
          </cell>
        </row>
        <row r="1176">
          <cell r="B1176" t="str">
            <v>XRM OFFROAD FI(DSX)</v>
          </cell>
          <cell r="H1176">
            <v>1</v>
          </cell>
        </row>
        <row r="1177">
          <cell r="B1177" t="str">
            <v>ADV160</v>
          </cell>
          <cell r="G1177">
            <v>1</v>
          </cell>
        </row>
        <row r="1178">
          <cell r="B1178" t="str">
            <v>SMASH(SPOKE)</v>
          </cell>
          <cell r="H1178">
            <v>1</v>
          </cell>
        </row>
        <row r="1179">
          <cell r="B1179" t="str">
            <v>GIORNO</v>
          </cell>
          <cell r="I1179">
            <v>1</v>
          </cell>
        </row>
        <row r="1180">
          <cell r="B1180" t="str">
            <v>ADV160</v>
          </cell>
          <cell r="I1180">
            <v>2</v>
          </cell>
        </row>
        <row r="1181">
          <cell r="B1181" t="str">
            <v>RAIDER150 FI BLADE</v>
          </cell>
          <cell r="G1181">
            <v>2</v>
          </cell>
          <cell r="I1181">
            <v>2</v>
          </cell>
        </row>
        <row r="1182">
          <cell r="B1182" t="str">
            <v>CLICK125 FI SE</v>
          </cell>
          <cell r="G1182">
            <v>3</v>
          </cell>
          <cell r="H1182">
            <v>1</v>
          </cell>
          <cell r="I1182">
            <v>2</v>
          </cell>
        </row>
        <row r="1183">
          <cell r="B1183" t="str">
            <v>CT125</v>
          </cell>
          <cell r="H1183">
            <v>2</v>
          </cell>
          <cell r="I1183">
            <v>5</v>
          </cell>
        </row>
        <row r="1184">
          <cell r="B1184" t="str">
            <v>CT125</v>
          </cell>
          <cell r="G1184">
            <v>3</v>
          </cell>
          <cell r="H1184">
            <v>5</v>
          </cell>
          <cell r="I1184">
            <v>3</v>
          </cell>
        </row>
        <row r="1185">
          <cell r="B1185" t="str">
            <v>ADV160</v>
          </cell>
          <cell r="H1185">
            <v>1</v>
          </cell>
          <cell r="I1185">
            <v>1</v>
          </cell>
        </row>
        <row r="1186">
          <cell r="B1186" t="str">
            <v>MIO AEROX 155</v>
          </cell>
          <cell r="G1186">
            <v>1</v>
          </cell>
        </row>
        <row r="1187">
          <cell r="B1187" t="str">
            <v>BEAT FI PREM</v>
          </cell>
          <cell r="G1187">
            <v>1</v>
          </cell>
        </row>
        <row r="1188">
          <cell r="B1188" t="str">
            <v>CT125</v>
          </cell>
          <cell r="G1188">
            <v>2</v>
          </cell>
          <cell r="H1188">
            <v>2</v>
          </cell>
        </row>
        <row r="1189">
          <cell r="B1189" t="str">
            <v>KLX150</v>
          </cell>
          <cell r="G1189">
            <v>1</v>
          </cell>
          <cell r="H1189">
            <v>1</v>
          </cell>
          <cell r="I1189">
            <v>1</v>
          </cell>
        </row>
        <row r="1190">
          <cell r="B1190" t="str">
            <v>MIO GRAVIS</v>
          </cell>
          <cell r="I1190">
            <v>1</v>
          </cell>
        </row>
        <row r="1191">
          <cell r="B1191" t="str">
            <v>GIORNO</v>
          </cell>
          <cell r="I1191">
            <v>1</v>
          </cell>
        </row>
        <row r="1192">
          <cell r="B1192" t="str">
            <v>SMASH(SPOKE)</v>
          </cell>
          <cell r="G1192">
            <v>1</v>
          </cell>
        </row>
        <row r="1193">
          <cell r="B1193" t="str">
            <v>YTX125</v>
          </cell>
          <cell r="G1193">
            <v>1</v>
          </cell>
        </row>
        <row r="1194">
          <cell r="B1194" t="str">
            <v>NMAX155 FI ABS</v>
          </cell>
          <cell r="G1194">
            <v>4</v>
          </cell>
          <cell r="H1194">
            <v>1</v>
          </cell>
          <cell r="I1194">
            <v>2</v>
          </cell>
        </row>
        <row r="1195">
          <cell r="B1195" t="str">
            <v>ADV160</v>
          </cell>
          <cell r="G1195">
            <v>1</v>
          </cell>
        </row>
        <row r="1196">
          <cell r="B1196" t="str">
            <v>CRF150</v>
          </cell>
          <cell r="G1196">
            <v>2</v>
          </cell>
          <cell r="I1196">
            <v>1</v>
          </cell>
        </row>
        <row r="1197">
          <cell r="B1197" t="str">
            <v>ADV160</v>
          </cell>
          <cell r="G1197">
            <v>1</v>
          </cell>
        </row>
        <row r="1198">
          <cell r="B1198" t="str">
            <v>CRF150</v>
          </cell>
          <cell r="G1198">
            <v>1</v>
          </cell>
        </row>
        <row r="1199">
          <cell r="B1199" t="str">
            <v>XR150</v>
          </cell>
          <cell r="G1199">
            <v>2</v>
          </cell>
        </row>
        <row r="1200">
          <cell r="B1200" t="str">
            <v>XMAX 300</v>
          </cell>
          <cell r="G1200">
            <v>1</v>
          </cell>
        </row>
        <row r="1201">
          <cell r="B1201" t="str">
            <v>CLICK125 FI SE</v>
          </cell>
          <cell r="H1201">
            <v>2</v>
          </cell>
        </row>
        <row r="1202">
          <cell r="B1202" t="str">
            <v>CLICK125 FI SE</v>
          </cell>
          <cell r="H1202">
            <v>2</v>
          </cell>
        </row>
        <row r="1203">
          <cell r="B1203" t="str">
            <v>RAIDER150 FI BLADE</v>
          </cell>
          <cell r="H1203">
            <v>1</v>
          </cell>
        </row>
        <row r="1204">
          <cell r="B1204" t="str">
            <v>CLICK160 FI</v>
          </cell>
          <cell r="H1204">
            <v>1</v>
          </cell>
          <cell r="I1204">
            <v>2</v>
          </cell>
        </row>
        <row r="1205">
          <cell r="B1205" t="str">
            <v>TMX150 SUPREMO</v>
          </cell>
          <cell r="G1205">
            <v>1</v>
          </cell>
        </row>
        <row r="1206">
          <cell r="B1206" t="str">
            <v>CT125</v>
          </cell>
          <cell r="H1206">
            <v>1</v>
          </cell>
          <cell r="I1206">
            <v>2</v>
          </cell>
        </row>
        <row r="1207">
          <cell r="B1207" t="str">
            <v>NMAX155 FI ABS</v>
          </cell>
          <cell r="G1207">
            <v>1</v>
          </cell>
          <cell r="H1207">
            <v>2</v>
          </cell>
          <cell r="I1207">
            <v>1</v>
          </cell>
        </row>
        <row r="1208">
          <cell r="B1208" t="str">
            <v>CLICK125 FI</v>
          </cell>
          <cell r="H1208">
            <v>2</v>
          </cell>
          <cell r="I1208">
            <v>1</v>
          </cell>
        </row>
        <row r="1209">
          <cell r="B1209" t="str">
            <v>XRM DUAL SPORTS FI(DS)</v>
          </cell>
          <cell r="H1209">
            <v>1</v>
          </cell>
        </row>
        <row r="1210">
          <cell r="B1210" t="str">
            <v>NAVI</v>
          </cell>
          <cell r="H1210">
            <v>1</v>
          </cell>
        </row>
        <row r="1211">
          <cell r="B1211" t="str">
            <v>BEAT FI PREM</v>
          </cell>
          <cell r="H1211">
            <v>1</v>
          </cell>
        </row>
        <row r="1212">
          <cell r="B1212" t="str">
            <v>WIZARD</v>
          </cell>
          <cell r="G1212">
            <v>1</v>
          </cell>
        </row>
        <row r="1213">
          <cell r="B1213" t="str">
            <v>MIO GRAVIS</v>
          </cell>
          <cell r="G1213">
            <v>1</v>
          </cell>
          <cell r="H1213">
            <v>1</v>
          </cell>
          <cell r="I1213">
            <v>1</v>
          </cell>
        </row>
        <row r="1214">
          <cell r="B1214" t="str">
            <v>ADV160</v>
          </cell>
          <cell r="G1214">
            <v>1</v>
          </cell>
          <cell r="H1214">
            <v>1</v>
          </cell>
          <cell r="I1214">
            <v>1</v>
          </cell>
        </row>
        <row r="1215">
          <cell r="B1215" t="str">
            <v>BEAT FI PREM</v>
          </cell>
          <cell r="G1215">
            <v>1</v>
          </cell>
        </row>
        <row r="1216">
          <cell r="B1216" t="str">
            <v>MIO AEROX 155</v>
          </cell>
          <cell r="H1216">
            <v>1</v>
          </cell>
          <cell r="I1216">
            <v>2</v>
          </cell>
        </row>
        <row r="1217">
          <cell r="B1217" t="str">
            <v>CLICK160 FI</v>
          </cell>
          <cell r="G1217">
            <v>1</v>
          </cell>
        </row>
        <row r="1218">
          <cell r="B1218" t="str">
            <v>XRM DUAL SPORTS FI(DS)</v>
          </cell>
          <cell r="G1218">
            <v>2</v>
          </cell>
          <cell r="H1218">
            <v>1</v>
          </cell>
          <cell r="I1218">
            <v>2</v>
          </cell>
        </row>
        <row r="1219">
          <cell r="B1219" t="str">
            <v>CLICK125 FI</v>
          </cell>
          <cell r="G1219">
            <v>1</v>
          </cell>
          <cell r="H1219">
            <v>3</v>
          </cell>
        </row>
        <row r="1220">
          <cell r="B1220" t="str">
            <v>XRM OFFROAD FI(DSX)</v>
          </cell>
          <cell r="G1220">
            <v>1</v>
          </cell>
          <cell r="H1220">
            <v>3</v>
          </cell>
          <cell r="I1220">
            <v>1</v>
          </cell>
        </row>
        <row r="1221">
          <cell r="B1221" t="str">
            <v>NMAX155 FI ABS</v>
          </cell>
          <cell r="H1221">
            <v>1</v>
          </cell>
        </row>
        <row r="1222">
          <cell r="B1222" t="str">
            <v>RAIDER150 FI BLADE</v>
          </cell>
          <cell r="G1222">
            <v>1</v>
          </cell>
          <cell r="I1222">
            <v>1</v>
          </cell>
        </row>
        <row r="1223">
          <cell r="B1223" t="str">
            <v>BOXER</v>
          </cell>
          <cell r="G1223">
            <v>1</v>
          </cell>
        </row>
        <row r="1224">
          <cell r="B1224" t="str">
            <v>XR150</v>
          </cell>
          <cell r="H1224">
            <v>1</v>
          </cell>
        </row>
        <row r="1225">
          <cell r="B1225" t="str">
            <v>CLICK125 FI</v>
          </cell>
          <cell r="G1225">
            <v>10</v>
          </cell>
          <cell r="I1225">
            <v>2</v>
          </cell>
        </row>
        <row r="1226">
          <cell r="B1226" t="str">
            <v>CT100</v>
          </cell>
          <cell r="G1226">
            <v>1</v>
          </cell>
        </row>
        <row r="1227">
          <cell r="B1227" t="str">
            <v>CLICK160 FI</v>
          </cell>
          <cell r="I1227">
            <v>1</v>
          </cell>
        </row>
        <row r="1228">
          <cell r="B1228" t="str">
            <v>ADV160</v>
          </cell>
          <cell r="H1228">
            <v>2</v>
          </cell>
        </row>
        <row r="1229">
          <cell r="B1229" t="str">
            <v>WIZARD</v>
          </cell>
          <cell r="G1229">
            <v>1</v>
          </cell>
          <cell r="I1229">
            <v>3</v>
          </cell>
        </row>
        <row r="1230">
          <cell r="B1230" t="str">
            <v>RAIDER150 FI BLADE</v>
          </cell>
          <cell r="G1230">
            <v>6</v>
          </cell>
          <cell r="H1230">
            <v>1</v>
          </cell>
          <cell r="I1230">
            <v>1</v>
          </cell>
        </row>
        <row r="1231">
          <cell r="B1231" t="str">
            <v>XRM MOTARD FI</v>
          </cell>
          <cell r="G1231">
            <v>1</v>
          </cell>
          <cell r="I1231">
            <v>4</v>
          </cell>
        </row>
        <row r="1232">
          <cell r="B1232" t="str">
            <v>SMASH(MAGS)</v>
          </cell>
          <cell r="G1232">
            <v>1</v>
          </cell>
        </row>
        <row r="1233">
          <cell r="B1233" t="str">
            <v>BAJAJ RE 4S FI</v>
          </cell>
          <cell r="G1233">
            <v>1</v>
          </cell>
          <cell r="H1233">
            <v>1</v>
          </cell>
          <cell r="I1233">
            <v>1</v>
          </cell>
        </row>
        <row r="1234">
          <cell r="B1234" t="str">
            <v>MIO i125</v>
          </cell>
          <cell r="G1234">
            <v>1</v>
          </cell>
          <cell r="H1234">
            <v>1</v>
          </cell>
        </row>
        <row r="1235">
          <cell r="B1235" t="str">
            <v>SMASH(SPOKE)</v>
          </cell>
          <cell r="G1235">
            <v>1</v>
          </cell>
        </row>
        <row r="1236">
          <cell r="B1236" t="str">
            <v>XR150</v>
          </cell>
          <cell r="H1236">
            <v>1</v>
          </cell>
        </row>
        <row r="1237">
          <cell r="B1237" t="str">
            <v>SNIPER 155 FI</v>
          </cell>
          <cell r="H1237">
            <v>1</v>
          </cell>
        </row>
        <row r="1238">
          <cell r="B1238" t="str">
            <v>NMAX155 FI ABS</v>
          </cell>
          <cell r="I1238">
            <v>2</v>
          </cell>
        </row>
        <row r="1239">
          <cell r="B1239" t="str">
            <v>CT125</v>
          </cell>
          <cell r="G1239">
            <v>3</v>
          </cell>
          <cell r="H1239">
            <v>5</v>
          </cell>
          <cell r="I1239">
            <v>4</v>
          </cell>
        </row>
        <row r="1240">
          <cell r="B1240" t="str">
            <v>RAIDER150 FI BLADE</v>
          </cell>
          <cell r="G1240">
            <v>1</v>
          </cell>
          <cell r="H1240">
            <v>1</v>
          </cell>
        </row>
        <row r="1241">
          <cell r="B1241" t="str">
            <v>PCX160 ABS</v>
          </cell>
          <cell r="I1241">
            <v>1</v>
          </cell>
        </row>
        <row r="1242">
          <cell r="B1242" t="str">
            <v>RAIDER150 FI BLADE</v>
          </cell>
          <cell r="H1242">
            <v>2</v>
          </cell>
        </row>
        <row r="1243">
          <cell r="B1243" t="str">
            <v>BAJAJ RE 4S FI</v>
          </cell>
          <cell r="G1243">
            <v>2</v>
          </cell>
          <cell r="I1243">
            <v>1</v>
          </cell>
        </row>
        <row r="1244">
          <cell r="B1244" t="str">
            <v>TMX ALPHA FI</v>
          </cell>
          <cell r="I1244">
            <v>1</v>
          </cell>
        </row>
        <row r="1245">
          <cell r="B1245" t="str">
            <v>NMAX155 TECHMAX</v>
          </cell>
          <cell r="I1245">
            <v>1</v>
          </cell>
        </row>
        <row r="1246">
          <cell r="B1246" t="str">
            <v>RAIDER150 FI BLADE</v>
          </cell>
          <cell r="H1246">
            <v>1</v>
          </cell>
          <cell r="I1246">
            <v>1</v>
          </cell>
        </row>
        <row r="1247">
          <cell r="B1247" t="str">
            <v>ADV160</v>
          </cell>
          <cell r="H1247">
            <v>1</v>
          </cell>
        </row>
        <row r="1248">
          <cell r="B1248" t="str">
            <v>BAJAJ RE 4S FI</v>
          </cell>
          <cell r="G1248">
            <v>2</v>
          </cell>
          <cell r="H1248">
            <v>3</v>
          </cell>
          <cell r="I1248">
            <v>2</v>
          </cell>
        </row>
        <row r="1249">
          <cell r="B1249" t="str">
            <v>ADV350</v>
          </cell>
          <cell r="I1249">
            <v>2</v>
          </cell>
        </row>
        <row r="1250">
          <cell r="B1250" t="str">
            <v>ADV160</v>
          </cell>
          <cell r="G1250">
            <v>2</v>
          </cell>
        </row>
        <row r="1251">
          <cell r="B1251" t="str">
            <v>MIO GRAVIS</v>
          </cell>
          <cell r="I1251">
            <v>1</v>
          </cell>
        </row>
        <row r="1252">
          <cell r="B1252" t="str">
            <v>TMX ALPHA FI</v>
          </cell>
          <cell r="G1252">
            <v>1</v>
          </cell>
          <cell r="H1252">
            <v>1</v>
          </cell>
          <cell r="I1252">
            <v>1</v>
          </cell>
        </row>
        <row r="1253">
          <cell r="B1253" t="str">
            <v>MIO GEAR S</v>
          </cell>
          <cell r="G1253">
            <v>1</v>
          </cell>
        </row>
        <row r="1254">
          <cell r="B1254" t="str">
            <v>CT125</v>
          </cell>
          <cell r="G1254">
            <v>1</v>
          </cell>
          <cell r="H1254">
            <v>4</v>
          </cell>
          <cell r="I1254">
            <v>5</v>
          </cell>
        </row>
        <row r="1255">
          <cell r="B1255" t="str">
            <v>CRF150</v>
          </cell>
          <cell r="I1255">
            <v>1</v>
          </cell>
        </row>
        <row r="1256">
          <cell r="B1256" t="str">
            <v>CRF150</v>
          </cell>
          <cell r="G1256">
            <v>1</v>
          </cell>
        </row>
        <row r="1257">
          <cell r="B1257" t="str">
            <v>KLX150</v>
          </cell>
          <cell r="G1257">
            <v>1</v>
          </cell>
          <cell r="H1257">
            <v>2</v>
          </cell>
          <cell r="I1257">
            <v>1</v>
          </cell>
        </row>
        <row r="1258">
          <cell r="B1258" t="str">
            <v>NAVI</v>
          </cell>
          <cell r="I1258">
            <v>1</v>
          </cell>
        </row>
        <row r="1259">
          <cell r="B1259" t="str">
            <v>FAZZIO</v>
          </cell>
          <cell r="I1259">
            <v>1</v>
          </cell>
        </row>
        <row r="1260">
          <cell r="B1260" t="str">
            <v>XRM RS</v>
          </cell>
          <cell r="H1260">
            <v>1</v>
          </cell>
          <cell r="I1260">
            <v>1</v>
          </cell>
        </row>
        <row r="1261">
          <cell r="B1261" t="str">
            <v>CLICK125 FI SE</v>
          </cell>
          <cell r="G1261">
            <v>1</v>
          </cell>
          <cell r="I1261">
            <v>1</v>
          </cell>
        </row>
        <row r="1262">
          <cell r="B1262" t="str">
            <v>CLICK125 FI</v>
          </cell>
          <cell r="G1262">
            <v>2</v>
          </cell>
          <cell r="H1262">
            <v>1</v>
          </cell>
          <cell r="I1262">
            <v>5</v>
          </cell>
        </row>
        <row r="1263">
          <cell r="B1263" t="str">
            <v>CLICK125 FI</v>
          </cell>
          <cell r="H1263">
            <v>1</v>
          </cell>
          <cell r="I1263">
            <v>1</v>
          </cell>
        </row>
        <row r="1264">
          <cell r="B1264" t="str">
            <v>CLICK160 FI</v>
          </cell>
          <cell r="H1264">
            <v>1</v>
          </cell>
          <cell r="I1264">
            <v>1</v>
          </cell>
        </row>
        <row r="1265">
          <cell r="B1265" t="str">
            <v>XRM DUAL SPORTS FI(DS)</v>
          </cell>
          <cell r="G1265">
            <v>2</v>
          </cell>
        </row>
        <row r="1266">
          <cell r="B1266" t="str">
            <v>MIO AEROX S 155</v>
          </cell>
          <cell r="G1266">
            <v>1</v>
          </cell>
        </row>
        <row r="1267">
          <cell r="B1267" t="str">
            <v>XRM DUAL SPORTS FI(DS)</v>
          </cell>
          <cell r="H1267">
            <v>1</v>
          </cell>
        </row>
        <row r="1268">
          <cell r="B1268" t="str">
            <v>MIO GRAVIS</v>
          </cell>
          <cell r="I1268">
            <v>1</v>
          </cell>
        </row>
        <row r="1269">
          <cell r="B1269" t="str">
            <v>YTX125</v>
          </cell>
          <cell r="I1269">
            <v>1</v>
          </cell>
        </row>
        <row r="1270">
          <cell r="B1270" t="str">
            <v>KING</v>
          </cell>
          <cell r="G1270">
            <v>1</v>
          </cell>
        </row>
        <row r="1271">
          <cell r="B1271" t="str">
            <v>XRM OFFROAD FI(DSX)</v>
          </cell>
          <cell r="G1271">
            <v>1</v>
          </cell>
        </row>
        <row r="1272">
          <cell r="B1272" t="str">
            <v>XRM OFFROAD FI(DSX)</v>
          </cell>
          <cell r="G1272">
            <v>1</v>
          </cell>
        </row>
        <row r="1273">
          <cell r="B1273" t="str">
            <v>TMX ALPHA FI</v>
          </cell>
          <cell r="G1273">
            <v>2</v>
          </cell>
          <cell r="H1273">
            <v>3</v>
          </cell>
          <cell r="I1273">
            <v>1</v>
          </cell>
        </row>
        <row r="1274">
          <cell r="B1274" t="str">
            <v>NMAX155 FI ABS</v>
          </cell>
          <cell r="H1274">
            <v>6</v>
          </cell>
          <cell r="I1274">
            <v>3</v>
          </cell>
        </row>
        <row r="1275">
          <cell r="B1275" t="str">
            <v>XR150</v>
          </cell>
          <cell r="G1275">
            <v>5</v>
          </cell>
          <cell r="H1275">
            <v>3</v>
          </cell>
          <cell r="I1275">
            <v>7</v>
          </cell>
        </row>
        <row r="1276">
          <cell r="B1276" t="str">
            <v>LEXI 155</v>
          </cell>
          <cell r="H1276">
            <v>1</v>
          </cell>
        </row>
        <row r="1277">
          <cell r="B1277" t="str">
            <v>CLICK125 FI</v>
          </cell>
          <cell r="H1277">
            <v>3</v>
          </cell>
          <cell r="I1277">
            <v>9</v>
          </cell>
        </row>
        <row r="1278">
          <cell r="B1278" t="str">
            <v>NAVI</v>
          </cell>
          <cell r="G1278">
            <v>2</v>
          </cell>
          <cell r="I1278">
            <v>1</v>
          </cell>
        </row>
        <row r="1279">
          <cell r="B1279" t="str">
            <v>CT100B</v>
          </cell>
          <cell r="G1279">
            <v>1</v>
          </cell>
        </row>
        <row r="1280">
          <cell r="B1280" t="str">
            <v>CT125</v>
          </cell>
          <cell r="G1280">
            <v>8</v>
          </cell>
          <cell r="H1280">
            <v>12</v>
          </cell>
          <cell r="I1280">
            <v>3</v>
          </cell>
        </row>
        <row r="1281">
          <cell r="B1281" t="str">
            <v>KLX150</v>
          </cell>
          <cell r="H1281">
            <v>1</v>
          </cell>
        </row>
        <row r="1282">
          <cell r="B1282" t="str">
            <v>SMASH(MAGS)</v>
          </cell>
          <cell r="H1282">
            <v>1</v>
          </cell>
        </row>
        <row r="1283">
          <cell r="B1283" t="str">
            <v>BEAT FI PREM</v>
          </cell>
          <cell r="I1283">
            <v>1</v>
          </cell>
        </row>
        <row r="1284">
          <cell r="B1284" t="str">
            <v>CLICK160 FI</v>
          </cell>
          <cell r="G1284">
            <v>1</v>
          </cell>
          <cell r="H1284">
            <v>2</v>
          </cell>
        </row>
        <row r="1285">
          <cell r="B1285" t="str">
            <v>CLICK125 FI</v>
          </cell>
          <cell r="H1285">
            <v>5</v>
          </cell>
          <cell r="I1285">
            <v>2</v>
          </cell>
        </row>
        <row r="1286">
          <cell r="B1286" t="str">
            <v>BEAT FI PREM</v>
          </cell>
          <cell r="H1286">
            <v>1</v>
          </cell>
          <cell r="I1286">
            <v>1</v>
          </cell>
        </row>
        <row r="1287">
          <cell r="B1287" t="str">
            <v>CT125</v>
          </cell>
          <cell r="G1287">
            <v>5</v>
          </cell>
          <cell r="H1287">
            <v>9</v>
          </cell>
          <cell r="I1287">
            <v>18</v>
          </cell>
        </row>
        <row r="1288">
          <cell r="B1288" t="str">
            <v>ACCESS 125 RIDE CONNECT</v>
          </cell>
          <cell r="I1288">
            <v>1</v>
          </cell>
        </row>
        <row r="1289">
          <cell r="B1289" t="str">
            <v>ADV160</v>
          </cell>
          <cell r="I1289">
            <v>1</v>
          </cell>
        </row>
        <row r="1290">
          <cell r="B1290" t="str">
            <v>ADV160</v>
          </cell>
          <cell r="H1290">
            <v>1</v>
          </cell>
        </row>
        <row r="1291">
          <cell r="B1291" t="str">
            <v>CLICK125 FI SE</v>
          </cell>
          <cell r="G1291">
            <v>2</v>
          </cell>
          <cell r="H1291">
            <v>4</v>
          </cell>
          <cell r="I1291">
            <v>2</v>
          </cell>
        </row>
        <row r="1292">
          <cell r="B1292" t="str">
            <v>XRM MOTARD FI</v>
          </cell>
          <cell r="G1292">
            <v>3</v>
          </cell>
          <cell r="I1292">
            <v>4</v>
          </cell>
        </row>
        <row r="1293">
          <cell r="B1293" t="str">
            <v>NMAX155 FI ABS</v>
          </cell>
          <cell r="I1293">
            <v>2</v>
          </cell>
        </row>
        <row r="1294">
          <cell r="B1294" t="str">
            <v>XRM DUAL SPORTS FI(DS)</v>
          </cell>
          <cell r="G1294">
            <v>4</v>
          </cell>
        </row>
        <row r="1295">
          <cell r="B1295" t="str">
            <v>NAVI</v>
          </cell>
          <cell r="G1295">
            <v>1</v>
          </cell>
          <cell r="I1295">
            <v>1</v>
          </cell>
        </row>
        <row r="1296">
          <cell r="B1296" t="str">
            <v>XRM DUAL SPORTS FI(DS)</v>
          </cell>
          <cell r="I1296">
            <v>2</v>
          </cell>
        </row>
        <row r="1297">
          <cell r="B1297" t="str">
            <v>XRM MOTARD FI</v>
          </cell>
          <cell r="G1297">
            <v>24</v>
          </cell>
          <cell r="H1297">
            <v>1</v>
          </cell>
          <cell r="I1297">
            <v>7</v>
          </cell>
        </row>
        <row r="1298">
          <cell r="B1298" t="str">
            <v>CT125</v>
          </cell>
          <cell r="G1298">
            <v>4</v>
          </cell>
          <cell r="H1298">
            <v>1</v>
          </cell>
          <cell r="I1298">
            <v>3</v>
          </cell>
        </row>
        <row r="1299">
          <cell r="B1299" t="str">
            <v>KLX150</v>
          </cell>
          <cell r="G1299">
            <v>1</v>
          </cell>
        </row>
        <row r="1300">
          <cell r="B1300" t="str">
            <v>MIO i125</v>
          </cell>
          <cell r="H1300">
            <v>1</v>
          </cell>
          <cell r="I1300">
            <v>1</v>
          </cell>
        </row>
        <row r="1301">
          <cell r="B1301" t="str">
            <v>NMAX155 TECHMAX</v>
          </cell>
          <cell r="I1301">
            <v>2</v>
          </cell>
        </row>
        <row r="1302">
          <cell r="B1302" t="str">
            <v>XR150</v>
          </cell>
          <cell r="G1302">
            <v>3</v>
          </cell>
          <cell r="H1302">
            <v>1</v>
          </cell>
          <cell r="I1302">
            <v>10</v>
          </cell>
        </row>
        <row r="1303">
          <cell r="B1303" t="str">
            <v>SMASH(MAGS)</v>
          </cell>
          <cell r="I1303">
            <v>1</v>
          </cell>
        </row>
        <row r="1304">
          <cell r="B1304" t="str">
            <v>RAIDER150 FI BLADE</v>
          </cell>
          <cell r="H1304">
            <v>1</v>
          </cell>
        </row>
        <row r="1305">
          <cell r="B1305" t="str">
            <v>CT125</v>
          </cell>
          <cell r="G1305">
            <v>27</v>
          </cell>
          <cell r="H1305">
            <v>15</v>
          </cell>
          <cell r="I1305">
            <v>18</v>
          </cell>
        </row>
        <row r="1306">
          <cell r="B1306" t="str">
            <v>CLICK160 FI</v>
          </cell>
          <cell r="G1306">
            <v>1</v>
          </cell>
          <cell r="H1306">
            <v>1</v>
          </cell>
        </row>
        <row r="1307">
          <cell r="B1307" t="str">
            <v>CLICK125 FI</v>
          </cell>
          <cell r="G1307">
            <v>5</v>
          </cell>
        </row>
        <row r="1308">
          <cell r="B1308" t="str">
            <v>MIO i125</v>
          </cell>
          <cell r="G1308">
            <v>1</v>
          </cell>
          <cell r="H1308">
            <v>1</v>
          </cell>
        </row>
        <row r="1309">
          <cell r="B1309" t="str">
            <v>BARAKO II (DUAL START)</v>
          </cell>
          <cell r="G1309">
            <v>13</v>
          </cell>
          <cell r="H1309">
            <v>9</v>
          </cell>
          <cell r="I1309">
            <v>11</v>
          </cell>
        </row>
        <row r="1310">
          <cell r="B1310" t="str">
            <v>SMASH(MAGS)</v>
          </cell>
          <cell r="G1310">
            <v>1</v>
          </cell>
        </row>
        <row r="1311">
          <cell r="B1311" t="str">
            <v>MIO i125</v>
          </cell>
          <cell r="H1311">
            <v>1</v>
          </cell>
        </row>
        <row r="1312">
          <cell r="B1312" t="str">
            <v>BAJAJ RE 4S FI</v>
          </cell>
          <cell r="I1312">
            <v>1</v>
          </cell>
        </row>
        <row r="1313">
          <cell r="B1313" t="str">
            <v>XRM MOTARD FI</v>
          </cell>
          <cell r="H1313">
            <v>5</v>
          </cell>
          <cell r="I1313">
            <v>2</v>
          </cell>
        </row>
        <row r="1314">
          <cell r="B1314" t="str">
            <v>CLICK125 FI</v>
          </cell>
          <cell r="H1314">
            <v>2</v>
          </cell>
          <cell r="I1314">
            <v>6</v>
          </cell>
        </row>
        <row r="1315">
          <cell r="B1315" t="str">
            <v>ADV160</v>
          </cell>
          <cell r="H1315">
            <v>1</v>
          </cell>
        </row>
        <row r="1316">
          <cell r="B1316" t="str">
            <v>NAVI</v>
          </cell>
          <cell r="H1316">
            <v>1</v>
          </cell>
        </row>
        <row r="1317">
          <cell r="B1317" t="str">
            <v>XRM DUAL SPORTS FI(DS)</v>
          </cell>
          <cell r="H1317">
            <v>2</v>
          </cell>
          <cell r="I1317">
            <v>3</v>
          </cell>
        </row>
        <row r="1318">
          <cell r="B1318" t="str">
            <v>BRUSKY125</v>
          </cell>
          <cell r="G1318">
            <v>1</v>
          </cell>
        </row>
        <row r="1319">
          <cell r="B1319" t="str">
            <v>MIO AEROX 155</v>
          </cell>
          <cell r="G1319">
            <v>3</v>
          </cell>
          <cell r="H1319">
            <v>1</v>
          </cell>
          <cell r="I1319">
            <v>1</v>
          </cell>
        </row>
        <row r="1320">
          <cell r="B1320" t="str">
            <v>CLICK125 FI</v>
          </cell>
          <cell r="H1320">
            <v>2</v>
          </cell>
          <cell r="I1320">
            <v>5</v>
          </cell>
        </row>
        <row r="1321">
          <cell r="B1321" t="str">
            <v>BAJAJ RE 4S FI</v>
          </cell>
          <cell r="H1321">
            <v>3</v>
          </cell>
        </row>
        <row r="1322">
          <cell r="B1322" t="str">
            <v>MIO AEROX 155</v>
          </cell>
          <cell r="G1322">
            <v>1</v>
          </cell>
          <cell r="H1322">
            <v>1</v>
          </cell>
          <cell r="I1322">
            <v>1</v>
          </cell>
        </row>
        <row r="1323">
          <cell r="B1323" t="str">
            <v>MAXIMA CARGO</v>
          </cell>
          <cell r="I1323">
            <v>1</v>
          </cell>
        </row>
        <row r="1324">
          <cell r="B1324" t="str">
            <v>NMAX155 FI ABS</v>
          </cell>
          <cell r="G1324">
            <v>4</v>
          </cell>
          <cell r="H1324">
            <v>5</v>
          </cell>
          <cell r="I1324">
            <v>2</v>
          </cell>
        </row>
        <row r="1325">
          <cell r="B1325" t="str">
            <v>ADV160</v>
          </cell>
          <cell r="G1325">
            <v>5</v>
          </cell>
        </row>
        <row r="1326">
          <cell r="B1326" t="str">
            <v>BOXER</v>
          </cell>
          <cell r="G1326">
            <v>1</v>
          </cell>
        </row>
        <row r="1327">
          <cell r="B1327" t="str">
            <v>KLX150</v>
          </cell>
          <cell r="G1327">
            <v>1</v>
          </cell>
          <cell r="H1327">
            <v>1</v>
          </cell>
          <cell r="I1327">
            <v>3</v>
          </cell>
        </row>
        <row r="1328">
          <cell r="B1328" t="str">
            <v>XRM RS</v>
          </cell>
          <cell r="G1328">
            <v>1</v>
          </cell>
        </row>
        <row r="1329">
          <cell r="B1329" t="str">
            <v>ADV160</v>
          </cell>
          <cell r="I1329">
            <v>1</v>
          </cell>
        </row>
        <row r="1330">
          <cell r="B1330" t="str">
            <v>CLICK160 FI</v>
          </cell>
          <cell r="H1330">
            <v>1</v>
          </cell>
          <cell r="I1330">
            <v>1</v>
          </cell>
        </row>
        <row r="1331">
          <cell r="B1331" t="str">
            <v>CLICK160 FI</v>
          </cell>
          <cell r="G1331">
            <v>3</v>
          </cell>
          <cell r="H1331">
            <v>1</v>
          </cell>
        </row>
        <row r="1332">
          <cell r="B1332" t="str">
            <v>CRF150</v>
          </cell>
          <cell r="I1332">
            <v>1</v>
          </cell>
        </row>
        <row r="1333">
          <cell r="B1333" t="str">
            <v>CLICK125 FI SE</v>
          </cell>
          <cell r="G1333">
            <v>3</v>
          </cell>
          <cell r="H1333">
            <v>2</v>
          </cell>
          <cell r="I1333">
            <v>1</v>
          </cell>
        </row>
        <row r="1334">
          <cell r="B1334" t="str">
            <v>NAVI</v>
          </cell>
          <cell r="G1334">
            <v>2</v>
          </cell>
        </row>
        <row r="1335">
          <cell r="B1335" t="str">
            <v>XTZ125</v>
          </cell>
          <cell r="G1335">
            <v>1</v>
          </cell>
        </row>
        <row r="1336">
          <cell r="B1336" t="str">
            <v>MAXIMA CARGO</v>
          </cell>
          <cell r="I1336">
            <v>1</v>
          </cell>
        </row>
        <row r="1337">
          <cell r="B1337" t="str">
            <v>XRM DUAL SPORTS FI(DS)</v>
          </cell>
          <cell r="G1337">
            <v>1</v>
          </cell>
        </row>
        <row r="1338">
          <cell r="B1338" t="str">
            <v>ADV160</v>
          </cell>
          <cell r="H1338">
            <v>1</v>
          </cell>
        </row>
        <row r="1339">
          <cell r="B1339" t="str">
            <v>CLICK125 FI SE</v>
          </cell>
          <cell r="H1339">
            <v>3</v>
          </cell>
          <cell r="I1339">
            <v>1</v>
          </cell>
        </row>
        <row r="1340">
          <cell r="B1340" t="str">
            <v>MIO GEAR</v>
          </cell>
          <cell r="I1340">
            <v>1</v>
          </cell>
        </row>
        <row r="1341">
          <cell r="B1341" t="str">
            <v>CRF150</v>
          </cell>
          <cell r="G1341">
            <v>1</v>
          </cell>
        </row>
        <row r="1342">
          <cell r="B1342" t="str">
            <v>XRM DUAL SPORTS FI(DS)</v>
          </cell>
          <cell r="G1342">
            <v>1</v>
          </cell>
        </row>
        <row r="1343">
          <cell r="B1343" t="str">
            <v>AVENIS125</v>
          </cell>
          <cell r="G1343">
            <v>3</v>
          </cell>
          <cell r="H1343">
            <v>1</v>
          </cell>
        </row>
        <row r="1344">
          <cell r="B1344" t="str">
            <v>CT125</v>
          </cell>
          <cell r="G1344">
            <v>4</v>
          </cell>
          <cell r="H1344">
            <v>3</v>
          </cell>
          <cell r="I1344">
            <v>2</v>
          </cell>
        </row>
        <row r="1345">
          <cell r="B1345" t="str">
            <v>ADV160</v>
          </cell>
          <cell r="H1345">
            <v>2</v>
          </cell>
          <cell r="I1345">
            <v>1</v>
          </cell>
        </row>
        <row r="1346">
          <cell r="B1346" t="str">
            <v>ADV160</v>
          </cell>
          <cell r="H1346">
            <v>2</v>
          </cell>
          <cell r="I1346">
            <v>2</v>
          </cell>
        </row>
        <row r="1347">
          <cell r="B1347" t="str">
            <v>RAIDER150 FI BLADE</v>
          </cell>
          <cell r="G1347">
            <v>3</v>
          </cell>
        </row>
        <row r="1348">
          <cell r="B1348" t="str">
            <v>RAIDER150 FI BLADE</v>
          </cell>
          <cell r="G1348">
            <v>1</v>
          </cell>
          <cell r="I1348">
            <v>1</v>
          </cell>
        </row>
        <row r="1349">
          <cell r="B1349" t="str">
            <v>CLICK125 FI</v>
          </cell>
          <cell r="G1349">
            <v>5</v>
          </cell>
          <cell r="H1349">
            <v>3</v>
          </cell>
          <cell r="I1349">
            <v>3</v>
          </cell>
        </row>
        <row r="1350">
          <cell r="B1350" t="str">
            <v>XRM OFFROAD FI(DSX)</v>
          </cell>
          <cell r="H1350">
            <v>2</v>
          </cell>
        </row>
        <row r="1351">
          <cell r="B1351" t="str">
            <v>CT100</v>
          </cell>
          <cell r="H1351">
            <v>1</v>
          </cell>
          <cell r="I1351">
            <v>1</v>
          </cell>
        </row>
        <row r="1352">
          <cell r="B1352" t="str">
            <v>WIZARD</v>
          </cell>
          <cell r="G1352">
            <v>2</v>
          </cell>
        </row>
        <row r="1353">
          <cell r="B1353" t="str">
            <v>CT125</v>
          </cell>
          <cell r="H1353">
            <v>1</v>
          </cell>
          <cell r="I1353">
            <v>2</v>
          </cell>
        </row>
        <row r="1354">
          <cell r="B1354" t="str">
            <v>CLICK160 FI</v>
          </cell>
          <cell r="H1354">
            <v>1</v>
          </cell>
          <cell r="I1354">
            <v>2</v>
          </cell>
        </row>
        <row r="1355">
          <cell r="B1355" t="str">
            <v>ADV160</v>
          </cell>
          <cell r="H1355">
            <v>1</v>
          </cell>
          <cell r="I1355">
            <v>3</v>
          </cell>
        </row>
        <row r="1356">
          <cell r="B1356" t="str">
            <v>MIO AEROX 155</v>
          </cell>
          <cell r="H1356">
            <v>1</v>
          </cell>
          <cell r="I1356">
            <v>1</v>
          </cell>
        </row>
        <row r="1357">
          <cell r="B1357" t="str">
            <v>CLICK125 FI</v>
          </cell>
          <cell r="G1357">
            <v>10</v>
          </cell>
          <cell r="H1357">
            <v>5</v>
          </cell>
          <cell r="I1357">
            <v>13</v>
          </cell>
        </row>
        <row r="1358">
          <cell r="B1358" t="str">
            <v>ADV350</v>
          </cell>
          <cell r="G1358">
            <v>1</v>
          </cell>
          <cell r="H1358">
            <v>2</v>
          </cell>
        </row>
        <row r="1359">
          <cell r="B1359" t="str">
            <v>CRF300</v>
          </cell>
          <cell r="G1359">
            <v>1</v>
          </cell>
          <cell r="H1359">
            <v>1</v>
          </cell>
          <cell r="I1359">
            <v>1</v>
          </cell>
        </row>
        <row r="1360">
          <cell r="B1360" t="str">
            <v>CT100</v>
          </cell>
          <cell r="H1360">
            <v>1</v>
          </cell>
        </row>
        <row r="1361">
          <cell r="B1361" t="str">
            <v>SMASH(MAGS)</v>
          </cell>
          <cell r="I1361">
            <v>1</v>
          </cell>
        </row>
        <row r="1362">
          <cell r="B1362" t="str">
            <v>CT125</v>
          </cell>
          <cell r="G1362">
            <v>3</v>
          </cell>
          <cell r="I1362">
            <v>5</v>
          </cell>
        </row>
        <row r="1363">
          <cell r="B1363" t="str">
            <v>CLICK125 FI SE</v>
          </cell>
          <cell r="G1363">
            <v>2</v>
          </cell>
          <cell r="H1363">
            <v>7</v>
          </cell>
          <cell r="I1363">
            <v>2</v>
          </cell>
        </row>
        <row r="1364">
          <cell r="B1364" t="str">
            <v>SMASH(MAGS)</v>
          </cell>
          <cell r="I1364">
            <v>1</v>
          </cell>
        </row>
        <row r="1365">
          <cell r="B1365" t="str">
            <v>BAJAJ RE 4S FI</v>
          </cell>
          <cell r="G1365">
            <v>2</v>
          </cell>
          <cell r="H1365">
            <v>2</v>
          </cell>
          <cell r="I1365">
            <v>2</v>
          </cell>
        </row>
        <row r="1366">
          <cell r="B1366" t="str">
            <v>BEAT FI PREM</v>
          </cell>
          <cell r="G1366">
            <v>1</v>
          </cell>
        </row>
        <row r="1367">
          <cell r="B1367" t="str">
            <v>MIO i125</v>
          </cell>
          <cell r="I1367">
            <v>1</v>
          </cell>
        </row>
        <row r="1368">
          <cell r="B1368" t="str">
            <v>ADV160</v>
          </cell>
          <cell r="I1368">
            <v>1</v>
          </cell>
        </row>
        <row r="1369">
          <cell r="B1369" t="str">
            <v>XRM DUAL SPORTS FI(DS)</v>
          </cell>
          <cell r="G1369">
            <v>1</v>
          </cell>
          <cell r="H1369">
            <v>1</v>
          </cell>
        </row>
        <row r="1370">
          <cell r="B1370" t="str">
            <v>KLX150</v>
          </cell>
          <cell r="G1370">
            <v>2</v>
          </cell>
          <cell r="H1370">
            <v>2</v>
          </cell>
          <cell r="I1370">
            <v>3</v>
          </cell>
        </row>
        <row r="1371">
          <cell r="B1371" t="str">
            <v>RAIDER150 FI BLADE</v>
          </cell>
          <cell r="H1371">
            <v>1</v>
          </cell>
        </row>
        <row r="1372">
          <cell r="B1372" t="str">
            <v>CLICK125 FI</v>
          </cell>
          <cell r="G1372">
            <v>5</v>
          </cell>
          <cell r="H1372">
            <v>4</v>
          </cell>
          <cell r="I1372">
            <v>4</v>
          </cell>
        </row>
        <row r="1373">
          <cell r="B1373" t="str">
            <v>BEAT FI PREM</v>
          </cell>
          <cell r="H1373">
            <v>2</v>
          </cell>
        </row>
        <row r="1374">
          <cell r="B1374" t="str">
            <v>RAIDER150 FI BLADE</v>
          </cell>
          <cell r="G1374">
            <v>1</v>
          </cell>
          <cell r="H1374">
            <v>1</v>
          </cell>
        </row>
        <row r="1375">
          <cell r="B1375" t="str">
            <v>LEXI 155</v>
          </cell>
          <cell r="G1375">
            <v>1</v>
          </cell>
        </row>
        <row r="1376">
          <cell r="B1376" t="str">
            <v>NMAX155 FI ABS</v>
          </cell>
          <cell r="G1376">
            <v>1</v>
          </cell>
          <cell r="H1376">
            <v>1</v>
          </cell>
        </row>
        <row r="1377">
          <cell r="B1377" t="str">
            <v>BURGMAN STREET EX</v>
          </cell>
          <cell r="G1377">
            <v>1</v>
          </cell>
        </row>
        <row r="1378">
          <cell r="B1378" t="str">
            <v>MIO AEROX S 155</v>
          </cell>
          <cell r="G1378">
            <v>2</v>
          </cell>
          <cell r="H1378">
            <v>1</v>
          </cell>
          <cell r="I1378">
            <v>3</v>
          </cell>
        </row>
        <row r="1379">
          <cell r="B1379" t="str">
            <v>CLICK125 FI SE</v>
          </cell>
          <cell r="H1379">
            <v>2</v>
          </cell>
        </row>
        <row r="1380">
          <cell r="B1380" t="str">
            <v>BEAT FI PREM</v>
          </cell>
          <cell r="G1380">
            <v>1</v>
          </cell>
          <cell r="H1380">
            <v>1</v>
          </cell>
        </row>
        <row r="1381">
          <cell r="B1381" t="str">
            <v>ADV160</v>
          </cell>
          <cell r="G1381">
            <v>5</v>
          </cell>
          <cell r="I1381">
            <v>1</v>
          </cell>
        </row>
        <row r="1382">
          <cell r="B1382" t="str">
            <v>CLICK160 FI</v>
          </cell>
          <cell r="G1382">
            <v>1</v>
          </cell>
        </row>
        <row r="1383">
          <cell r="B1383" t="str">
            <v>WINNER X STD</v>
          </cell>
          <cell r="G1383">
            <v>1</v>
          </cell>
        </row>
        <row r="1384">
          <cell r="B1384" t="str">
            <v>XR150</v>
          </cell>
          <cell r="G1384">
            <v>1</v>
          </cell>
          <cell r="I1384">
            <v>1</v>
          </cell>
        </row>
        <row r="1385">
          <cell r="B1385" t="str">
            <v>RAIDER150 FI BLADE</v>
          </cell>
          <cell r="I1385">
            <v>1</v>
          </cell>
        </row>
        <row r="1386">
          <cell r="B1386" t="str">
            <v>CLICK125 FI</v>
          </cell>
          <cell r="H1386">
            <v>1</v>
          </cell>
          <cell r="I1386">
            <v>1</v>
          </cell>
        </row>
        <row r="1387">
          <cell r="B1387" t="str">
            <v>ACCESS 125</v>
          </cell>
          <cell r="H1387">
            <v>1</v>
          </cell>
        </row>
        <row r="1388">
          <cell r="B1388" t="str">
            <v>ADV160</v>
          </cell>
          <cell r="H1388">
            <v>1</v>
          </cell>
          <cell r="I1388">
            <v>2</v>
          </cell>
        </row>
        <row r="1389">
          <cell r="B1389" t="str">
            <v>MIO AEROX S 155</v>
          </cell>
          <cell r="G1389">
            <v>2</v>
          </cell>
          <cell r="I1389">
            <v>1</v>
          </cell>
        </row>
        <row r="1390">
          <cell r="B1390" t="str">
            <v>RAIDER150 FI BLADE</v>
          </cell>
          <cell r="G1390">
            <v>1</v>
          </cell>
        </row>
        <row r="1391">
          <cell r="B1391" t="str">
            <v>CLICK125 FI</v>
          </cell>
          <cell r="G1391">
            <v>3</v>
          </cell>
          <cell r="H1391">
            <v>2</v>
          </cell>
          <cell r="I1391">
            <v>6</v>
          </cell>
        </row>
        <row r="1392">
          <cell r="B1392" t="str">
            <v>CLICK160 FI</v>
          </cell>
          <cell r="G1392">
            <v>1</v>
          </cell>
          <cell r="H1392">
            <v>1</v>
          </cell>
          <cell r="I1392">
            <v>1</v>
          </cell>
        </row>
        <row r="1393">
          <cell r="B1393" t="str">
            <v>CLICK125 FI SE</v>
          </cell>
          <cell r="G1393">
            <v>1</v>
          </cell>
          <cell r="H1393">
            <v>1</v>
          </cell>
        </row>
        <row r="1394">
          <cell r="B1394" t="str">
            <v>XRM RS</v>
          </cell>
          <cell r="G1394">
            <v>1</v>
          </cell>
        </row>
        <row r="1395">
          <cell r="B1395" t="str">
            <v>BEAT FI PREM</v>
          </cell>
          <cell r="I1395">
            <v>1</v>
          </cell>
        </row>
        <row r="1396">
          <cell r="B1396" t="str">
            <v>XRM OFFROAD FI(DSX)</v>
          </cell>
          <cell r="G1396">
            <v>16</v>
          </cell>
        </row>
        <row r="1397">
          <cell r="B1397" t="str">
            <v>TMX ALPHA FI</v>
          </cell>
          <cell r="H1397">
            <v>1</v>
          </cell>
        </row>
        <row r="1398">
          <cell r="B1398" t="str">
            <v>BAJAJ RE 4S FI</v>
          </cell>
          <cell r="G1398">
            <v>4</v>
          </cell>
          <cell r="H1398">
            <v>4</v>
          </cell>
          <cell r="I1398">
            <v>5</v>
          </cell>
        </row>
        <row r="1399">
          <cell r="B1399" t="str">
            <v>CRF150</v>
          </cell>
          <cell r="I1399">
            <v>2</v>
          </cell>
        </row>
        <row r="1400">
          <cell r="B1400" t="str">
            <v>CRF150</v>
          </cell>
          <cell r="G1400">
            <v>3</v>
          </cell>
          <cell r="H1400">
            <v>2</v>
          </cell>
          <cell r="I1400">
            <v>3</v>
          </cell>
        </row>
        <row r="1401">
          <cell r="B1401" t="str">
            <v>SMASH FI(SPOKE)</v>
          </cell>
          <cell r="G1401">
            <v>1</v>
          </cell>
        </row>
        <row r="1402">
          <cell r="B1402" t="str">
            <v>ACCESS 125 RIDE CONNECT</v>
          </cell>
          <cell r="I1402">
            <v>1</v>
          </cell>
        </row>
        <row r="1403">
          <cell r="B1403" t="str">
            <v>XRM DUAL SPORTS FI(DS)</v>
          </cell>
          <cell r="I1403">
            <v>1</v>
          </cell>
        </row>
        <row r="1404">
          <cell r="B1404" t="str">
            <v>XRM DUAL SPORTS FI(DS)</v>
          </cell>
          <cell r="G1404">
            <v>4</v>
          </cell>
          <cell r="H1404">
            <v>1</v>
          </cell>
          <cell r="I1404">
            <v>4</v>
          </cell>
        </row>
        <row r="1405">
          <cell r="B1405" t="str">
            <v>RAIDER150 CARB</v>
          </cell>
          <cell r="H1405">
            <v>1</v>
          </cell>
        </row>
        <row r="1406">
          <cell r="B1406" t="str">
            <v>CT125</v>
          </cell>
          <cell r="G1406">
            <v>4</v>
          </cell>
          <cell r="H1406">
            <v>2</v>
          </cell>
          <cell r="I1406">
            <v>2</v>
          </cell>
        </row>
        <row r="1407">
          <cell r="B1407" t="str">
            <v>BRUSKY125</v>
          </cell>
          <cell r="G1407">
            <v>1</v>
          </cell>
        </row>
        <row r="1408">
          <cell r="B1408" t="str">
            <v>MIO GEAR</v>
          </cell>
          <cell r="G1408">
            <v>1</v>
          </cell>
        </row>
        <row r="1409">
          <cell r="B1409" t="str">
            <v>MIO i125</v>
          </cell>
          <cell r="I1409">
            <v>1</v>
          </cell>
        </row>
        <row r="1410">
          <cell r="B1410" t="str">
            <v>NAVI</v>
          </cell>
          <cell r="G1410">
            <v>1</v>
          </cell>
          <cell r="I1410">
            <v>1</v>
          </cell>
        </row>
        <row r="1411">
          <cell r="B1411" t="str">
            <v>BEAT FI PREM</v>
          </cell>
          <cell r="G1411">
            <v>1</v>
          </cell>
          <cell r="H1411">
            <v>2</v>
          </cell>
        </row>
        <row r="1412">
          <cell r="B1412" t="str">
            <v>CLICK125 FI</v>
          </cell>
          <cell r="G1412">
            <v>3</v>
          </cell>
          <cell r="I1412">
            <v>1</v>
          </cell>
        </row>
        <row r="1413">
          <cell r="B1413" t="str">
            <v>ADV160</v>
          </cell>
          <cell r="H1413">
            <v>3</v>
          </cell>
        </row>
        <row r="1414">
          <cell r="B1414" t="str">
            <v>XRM MOTARD FI</v>
          </cell>
          <cell r="H1414">
            <v>1</v>
          </cell>
        </row>
        <row r="1415">
          <cell r="B1415" t="str">
            <v>BAJAJ RE 4S FI</v>
          </cell>
          <cell r="G1415">
            <v>7</v>
          </cell>
          <cell r="H1415">
            <v>4</v>
          </cell>
          <cell r="I1415">
            <v>3</v>
          </cell>
        </row>
        <row r="1416">
          <cell r="B1416" t="str">
            <v>MIO i125</v>
          </cell>
          <cell r="G1416">
            <v>1</v>
          </cell>
        </row>
        <row r="1417">
          <cell r="B1417" t="str">
            <v>MIO i125</v>
          </cell>
          <cell r="H1417">
            <v>1</v>
          </cell>
        </row>
        <row r="1418">
          <cell r="B1418" t="str">
            <v>NMAX155 TECHMAX</v>
          </cell>
          <cell r="I1418">
            <v>1</v>
          </cell>
        </row>
        <row r="1419">
          <cell r="B1419" t="str">
            <v>PCX160 ROADSYNC</v>
          </cell>
          <cell r="H1419">
            <v>1</v>
          </cell>
        </row>
        <row r="1420">
          <cell r="B1420" t="str">
            <v>RAIDER150 FI BLADE</v>
          </cell>
          <cell r="I1420">
            <v>1</v>
          </cell>
        </row>
        <row r="1421">
          <cell r="B1421" t="str">
            <v>XRM DUAL SPORTS FI(DS)</v>
          </cell>
          <cell r="G1421">
            <v>3</v>
          </cell>
          <cell r="H1421">
            <v>1</v>
          </cell>
          <cell r="I1421">
            <v>1</v>
          </cell>
        </row>
        <row r="1422">
          <cell r="B1422" t="str">
            <v>MIO AEROX 155</v>
          </cell>
          <cell r="H1422">
            <v>2</v>
          </cell>
          <cell r="I1422">
            <v>2</v>
          </cell>
        </row>
        <row r="1423">
          <cell r="B1423" t="str">
            <v>MIO AEROX 155</v>
          </cell>
          <cell r="H1423">
            <v>1</v>
          </cell>
          <cell r="I1423">
            <v>1</v>
          </cell>
        </row>
        <row r="1424">
          <cell r="B1424" t="str">
            <v>XRM MOTARD FI</v>
          </cell>
          <cell r="G1424">
            <v>1</v>
          </cell>
          <cell r="I1424">
            <v>2</v>
          </cell>
        </row>
        <row r="1425">
          <cell r="B1425" t="str">
            <v>SMASH(SPOKE)</v>
          </cell>
          <cell r="I1425">
            <v>1</v>
          </cell>
        </row>
        <row r="1426">
          <cell r="B1426" t="str">
            <v>CRF150</v>
          </cell>
          <cell r="I1426">
            <v>2</v>
          </cell>
        </row>
        <row r="1427">
          <cell r="B1427" t="str">
            <v>CT125</v>
          </cell>
          <cell r="G1427">
            <v>18</v>
          </cell>
          <cell r="H1427">
            <v>40</v>
          </cell>
          <cell r="I1427">
            <v>35</v>
          </cell>
        </row>
        <row r="1428">
          <cell r="B1428" t="str">
            <v>SMASH(SPOKE)</v>
          </cell>
          <cell r="I1428">
            <v>1</v>
          </cell>
        </row>
        <row r="1429">
          <cell r="B1429" t="str">
            <v>XRM MOTARD FI</v>
          </cell>
          <cell r="G1429">
            <v>2</v>
          </cell>
          <cell r="H1429">
            <v>4</v>
          </cell>
          <cell r="I1429">
            <v>1</v>
          </cell>
        </row>
        <row r="1430">
          <cell r="B1430" t="str">
            <v>MIO GRAVIS</v>
          </cell>
          <cell r="I1430">
            <v>1</v>
          </cell>
        </row>
        <row r="1431">
          <cell r="B1431" t="str">
            <v>BRUSKY125</v>
          </cell>
          <cell r="I1431">
            <v>1</v>
          </cell>
        </row>
        <row r="1432">
          <cell r="B1432" t="str">
            <v>DR160</v>
          </cell>
          <cell r="G1432">
            <v>1</v>
          </cell>
          <cell r="H1432">
            <v>1</v>
          </cell>
        </row>
        <row r="1433">
          <cell r="B1433" t="str">
            <v>NMAX155 TECHMAX</v>
          </cell>
          <cell r="G1433">
            <v>1</v>
          </cell>
        </row>
        <row r="1434">
          <cell r="B1434" t="str">
            <v>CLICK125 FI</v>
          </cell>
          <cell r="G1434">
            <v>9</v>
          </cell>
          <cell r="H1434">
            <v>7</v>
          </cell>
          <cell r="I1434">
            <v>12</v>
          </cell>
        </row>
        <row r="1435">
          <cell r="B1435" t="str">
            <v>KLX150</v>
          </cell>
          <cell r="H1435">
            <v>1</v>
          </cell>
        </row>
        <row r="1436">
          <cell r="B1436" t="str">
            <v>CRF150</v>
          </cell>
          <cell r="G1436">
            <v>2</v>
          </cell>
          <cell r="H1436">
            <v>1</v>
          </cell>
          <cell r="I1436">
            <v>1</v>
          </cell>
        </row>
        <row r="1437">
          <cell r="B1437" t="str">
            <v>RAIDER150 FI BLADE</v>
          </cell>
          <cell r="I1437">
            <v>1</v>
          </cell>
        </row>
        <row r="1438">
          <cell r="B1438" t="str">
            <v>YTX125</v>
          </cell>
          <cell r="G1438">
            <v>2</v>
          </cell>
        </row>
        <row r="1439">
          <cell r="B1439" t="str">
            <v>MIO i125</v>
          </cell>
          <cell r="I1439">
            <v>1</v>
          </cell>
        </row>
        <row r="1440">
          <cell r="B1440" t="str">
            <v>XRM MOTARD FI</v>
          </cell>
          <cell r="G1440">
            <v>1</v>
          </cell>
          <cell r="H1440">
            <v>1</v>
          </cell>
          <cell r="I1440">
            <v>1</v>
          </cell>
        </row>
        <row r="1441">
          <cell r="B1441" t="str">
            <v>SMASH(MAGS)</v>
          </cell>
          <cell r="H1441">
            <v>1</v>
          </cell>
        </row>
        <row r="1442">
          <cell r="B1442" t="str">
            <v>AVENIS125</v>
          </cell>
          <cell r="H1442">
            <v>1</v>
          </cell>
        </row>
        <row r="1443">
          <cell r="B1443" t="str">
            <v>SNIPER 155 FI</v>
          </cell>
          <cell r="I1443">
            <v>2</v>
          </cell>
        </row>
        <row r="1444">
          <cell r="B1444" t="str">
            <v>RAIDER150 FI BLADE</v>
          </cell>
          <cell r="I1444">
            <v>1</v>
          </cell>
        </row>
        <row r="1445">
          <cell r="B1445" t="str">
            <v>BAJAJ RE 4S FI</v>
          </cell>
          <cell r="G1445">
            <v>2</v>
          </cell>
          <cell r="I1445">
            <v>1</v>
          </cell>
        </row>
        <row r="1446">
          <cell r="B1446" t="str">
            <v>BAJAJ RE 4S FI</v>
          </cell>
          <cell r="G1446">
            <v>1</v>
          </cell>
          <cell r="H1446">
            <v>1</v>
          </cell>
        </row>
        <row r="1447">
          <cell r="B1447" t="str">
            <v>CRF150</v>
          </cell>
          <cell r="H1447">
            <v>1</v>
          </cell>
        </row>
        <row r="1448">
          <cell r="B1448" t="str">
            <v>MIO GEAR S</v>
          </cell>
          <cell r="G1448">
            <v>1</v>
          </cell>
          <cell r="H1448">
            <v>1</v>
          </cell>
        </row>
        <row r="1449">
          <cell r="B1449" t="str">
            <v>CRF150</v>
          </cell>
          <cell r="H1449">
            <v>2</v>
          </cell>
          <cell r="I1449">
            <v>2</v>
          </cell>
        </row>
        <row r="1450">
          <cell r="B1450" t="str">
            <v>ADV160</v>
          </cell>
          <cell r="G1450">
            <v>1</v>
          </cell>
        </row>
        <row r="1451">
          <cell r="B1451" t="str">
            <v>MIO i125</v>
          </cell>
          <cell r="H1451">
            <v>1</v>
          </cell>
          <cell r="I1451">
            <v>1</v>
          </cell>
        </row>
        <row r="1452">
          <cell r="B1452" t="str">
            <v>SMASH(SPOKE)</v>
          </cell>
          <cell r="G1452">
            <v>1</v>
          </cell>
        </row>
        <row r="1453">
          <cell r="B1453" t="str">
            <v>CT100</v>
          </cell>
          <cell r="H1453">
            <v>1</v>
          </cell>
        </row>
        <row r="1454">
          <cell r="B1454" t="str">
            <v>XRM RS</v>
          </cell>
          <cell r="G1454">
            <v>1</v>
          </cell>
        </row>
        <row r="1455">
          <cell r="B1455" t="str">
            <v>BAJAJ RE 4S FI</v>
          </cell>
          <cell r="G1455">
            <v>1</v>
          </cell>
          <cell r="H1455">
            <v>1</v>
          </cell>
        </row>
        <row r="1456">
          <cell r="B1456" t="str">
            <v>MIO AEROX S 155</v>
          </cell>
          <cell r="G1456">
            <v>10</v>
          </cell>
          <cell r="H1456">
            <v>1</v>
          </cell>
        </row>
        <row r="1457">
          <cell r="B1457" t="str">
            <v>BEAT FI PREM</v>
          </cell>
          <cell r="G1457">
            <v>1</v>
          </cell>
        </row>
        <row r="1458">
          <cell r="B1458" t="str">
            <v>BAJAJ RE 4S FI</v>
          </cell>
          <cell r="G1458">
            <v>2</v>
          </cell>
          <cell r="H1458">
            <v>1</v>
          </cell>
          <cell r="I1458">
            <v>1</v>
          </cell>
        </row>
        <row r="1459">
          <cell r="B1459" t="str">
            <v>MIO AEROX 155</v>
          </cell>
          <cell r="H1459">
            <v>2</v>
          </cell>
          <cell r="I1459">
            <v>1</v>
          </cell>
        </row>
        <row r="1460">
          <cell r="B1460" t="str">
            <v>BOLT150</v>
          </cell>
          <cell r="G1460">
            <v>1</v>
          </cell>
        </row>
        <row r="1461">
          <cell r="B1461" t="str">
            <v>CT100</v>
          </cell>
          <cell r="H1461">
            <v>1</v>
          </cell>
        </row>
        <row r="1462">
          <cell r="B1462" t="str">
            <v>NMAX155 TECHMAX</v>
          </cell>
          <cell r="G1462">
            <v>1</v>
          </cell>
        </row>
        <row r="1463">
          <cell r="B1463" t="str">
            <v>XRM DUAL SPORTS FI(DS)</v>
          </cell>
          <cell r="G1463">
            <v>3</v>
          </cell>
          <cell r="H1463">
            <v>3</v>
          </cell>
          <cell r="I1463">
            <v>3</v>
          </cell>
        </row>
        <row r="1464">
          <cell r="B1464" t="str">
            <v>MIO AEROX 155</v>
          </cell>
          <cell r="G1464">
            <v>1</v>
          </cell>
        </row>
        <row r="1465">
          <cell r="B1465" t="str">
            <v>NMAX155 TECHMAX</v>
          </cell>
          <cell r="G1465">
            <v>1</v>
          </cell>
        </row>
        <row r="1466">
          <cell r="B1466" t="str">
            <v>NMAX155 FI ABS</v>
          </cell>
          <cell r="G1466">
            <v>1</v>
          </cell>
        </row>
        <row r="1467">
          <cell r="B1467" t="str">
            <v>CLICK125 FI</v>
          </cell>
          <cell r="G1467">
            <v>5</v>
          </cell>
          <cell r="I1467">
            <v>2</v>
          </cell>
        </row>
        <row r="1468">
          <cell r="B1468" t="str">
            <v>CLICK125 FI</v>
          </cell>
          <cell r="G1468">
            <v>5</v>
          </cell>
          <cell r="H1468">
            <v>2</v>
          </cell>
          <cell r="I1468">
            <v>9</v>
          </cell>
        </row>
        <row r="1469">
          <cell r="B1469" t="str">
            <v>CLICK125 FI</v>
          </cell>
          <cell r="G1469">
            <v>9</v>
          </cell>
          <cell r="H1469">
            <v>1</v>
          </cell>
          <cell r="I1469">
            <v>1</v>
          </cell>
        </row>
        <row r="1470">
          <cell r="B1470" t="str">
            <v>TMX ALPHA FI</v>
          </cell>
          <cell r="H1470">
            <v>1</v>
          </cell>
        </row>
        <row r="1471">
          <cell r="B1471" t="str">
            <v>BEAT FI STD</v>
          </cell>
          <cell r="I1471">
            <v>1</v>
          </cell>
        </row>
        <row r="1472">
          <cell r="B1472" t="str">
            <v>XRM OFFROAD FI(DSX)</v>
          </cell>
          <cell r="H1472">
            <v>3</v>
          </cell>
          <cell r="I1472">
            <v>1</v>
          </cell>
        </row>
        <row r="1473">
          <cell r="B1473" t="str">
            <v>CRF150</v>
          </cell>
          <cell r="I1473">
            <v>1</v>
          </cell>
        </row>
        <row r="1474">
          <cell r="B1474" t="str">
            <v>BEAT FI PREM</v>
          </cell>
          <cell r="G1474">
            <v>3</v>
          </cell>
        </row>
        <row r="1475">
          <cell r="B1475" t="str">
            <v>CLICK125 FI</v>
          </cell>
          <cell r="G1475">
            <v>8</v>
          </cell>
          <cell r="H1475">
            <v>4</v>
          </cell>
          <cell r="I1475">
            <v>1</v>
          </cell>
        </row>
        <row r="1476">
          <cell r="B1476" t="str">
            <v>CT125</v>
          </cell>
          <cell r="G1476">
            <v>2</v>
          </cell>
          <cell r="H1476">
            <v>2</v>
          </cell>
          <cell r="I1476">
            <v>3</v>
          </cell>
        </row>
        <row r="1477">
          <cell r="B1477" t="str">
            <v>MIO AEROX 155</v>
          </cell>
          <cell r="I1477">
            <v>1</v>
          </cell>
        </row>
        <row r="1478">
          <cell r="B1478" t="str">
            <v>MIO AEROX 155</v>
          </cell>
          <cell r="H1478">
            <v>1</v>
          </cell>
          <cell r="I1478">
            <v>2</v>
          </cell>
        </row>
        <row r="1479">
          <cell r="B1479" t="str">
            <v>CT100</v>
          </cell>
          <cell r="H1479">
            <v>7</v>
          </cell>
          <cell r="I1479">
            <v>2</v>
          </cell>
        </row>
        <row r="1480">
          <cell r="B1480" t="str">
            <v>CLICK125 FI</v>
          </cell>
          <cell r="G1480">
            <v>10</v>
          </cell>
          <cell r="H1480">
            <v>7</v>
          </cell>
          <cell r="I1480">
            <v>4</v>
          </cell>
        </row>
        <row r="1481">
          <cell r="B1481" t="str">
            <v>BARAKO II (KICK START)</v>
          </cell>
          <cell r="I1481">
            <v>1</v>
          </cell>
        </row>
        <row r="1482">
          <cell r="B1482" t="str">
            <v>CLICK125 FI SE</v>
          </cell>
          <cell r="G1482">
            <v>1</v>
          </cell>
          <cell r="H1482">
            <v>1</v>
          </cell>
          <cell r="I1482">
            <v>1</v>
          </cell>
        </row>
        <row r="1483">
          <cell r="B1483" t="str">
            <v>RAIDER150 FI BLADE</v>
          </cell>
          <cell r="G1483">
            <v>1</v>
          </cell>
          <cell r="I1483">
            <v>2</v>
          </cell>
        </row>
        <row r="1484">
          <cell r="B1484" t="str">
            <v>CLICK125 FI SE</v>
          </cell>
          <cell r="H1484">
            <v>1</v>
          </cell>
        </row>
        <row r="1485">
          <cell r="B1485" t="str">
            <v>CT100</v>
          </cell>
          <cell r="G1485">
            <v>1</v>
          </cell>
          <cell r="H1485">
            <v>4</v>
          </cell>
          <cell r="I1485">
            <v>1</v>
          </cell>
        </row>
        <row r="1486">
          <cell r="B1486" t="str">
            <v>RAIDER150 FI BLADE</v>
          </cell>
          <cell r="G1486">
            <v>1</v>
          </cell>
          <cell r="H1486">
            <v>2</v>
          </cell>
        </row>
        <row r="1487">
          <cell r="B1487" t="str">
            <v>ADV160</v>
          </cell>
          <cell r="H1487">
            <v>1</v>
          </cell>
        </row>
        <row r="1488">
          <cell r="B1488" t="str">
            <v>SMASH(MAGS)</v>
          </cell>
          <cell r="I1488">
            <v>1</v>
          </cell>
        </row>
        <row r="1489">
          <cell r="B1489" t="str">
            <v>CLICK125 FI SE</v>
          </cell>
          <cell r="G1489">
            <v>2</v>
          </cell>
          <cell r="H1489">
            <v>2</v>
          </cell>
          <cell r="I1489">
            <v>1</v>
          </cell>
        </row>
        <row r="1490">
          <cell r="B1490" t="str">
            <v>ADV160</v>
          </cell>
          <cell r="I1490">
            <v>1</v>
          </cell>
        </row>
        <row r="1491">
          <cell r="B1491" t="str">
            <v>BURGMAN STREET</v>
          </cell>
          <cell r="H1491">
            <v>1</v>
          </cell>
        </row>
        <row r="1492">
          <cell r="B1492" t="str">
            <v>CLICK125 FI</v>
          </cell>
          <cell r="G1492">
            <v>1</v>
          </cell>
          <cell r="H1492">
            <v>3</v>
          </cell>
          <cell r="I1492">
            <v>2</v>
          </cell>
        </row>
        <row r="1493">
          <cell r="B1493" t="str">
            <v>TMX ALPHA FI</v>
          </cell>
          <cell r="I1493">
            <v>1</v>
          </cell>
        </row>
        <row r="1494">
          <cell r="B1494" t="str">
            <v>MIO AEROX S 155</v>
          </cell>
          <cell r="H1494">
            <v>1</v>
          </cell>
          <cell r="I1494">
            <v>1</v>
          </cell>
        </row>
        <row r="1495">
          <cell r="B1495" t="str">
            <v>MIO AEROX 155</v>
          </cell>
          <cell r="H1495">
            <v>2</v>
          </cell>
        </row>
        <row r="1496">
          <cell r="B1496" t="str">
            <v>KLX150</v>
          </cell>
          <cell r="G1496">
            <v>2</v>
          </cell>
          <cell r="I1496">
            <v>1</v>
          </cell>
        </row>
        <row r="1497">
          <cell r="B1497" t="str">
            <v>BAJAJ RE 4S FI</v>
          </cell>
          <cell r="G1497">
            <v>2</v>
          </cell>
          <cell r="H1497">
            <v>2</v>
          </cell>
          <cell r="I1497">
            <v>2</v>
          </cell>
        </row>
        <row r="1498">
          <cell r="B1498" t="str">
            <v>CT100</v>
          </cell>
          <cell r="I1498">
            <v>1</v>
          </cell>
        </row>
        <row r="1499">
          <cell r="B1499" t="str">
            <v>ADV350</v>
          </cell>
          <cell r="I1499">
            <v>1</v>
          </cell>
        </row>
        <row r="1500">
          <cell r="B1500" t="str">
            <v>BAJAJ RE 4S FI</v>
          </cell>
          <cell r="G1500">
            <v>2</v>
          </cell>
        </row>
        <row r="1501">
          <cell r="B1501" t="str">
            <v>ADV160</v>
          </cell>
          <cell r="G1501">
            <v>2</v>
          </cell>
          <cell r="H1501">
            <v>3</v>
          </cell>
        </row>
        <row r="1502">
          <cell r="B1502" t="str">
            <v>RAIDER150 FI BLADE</v>
          </cell>
          <cell r="I1502">
            <v>1</v>
          </cell>
        </row>
        <row r="1503">
          <cell r="B1503" t="str">
            <v>NMAX155 TECHMAX</v>
          </cell>
          <cell r="I1503">
            <v>1</v>
          </cell>
        </row>
        <row r="1504">
          <cell r="B1504" t="str">
            <v>GIORNO</v>
          </cell>
          <cell r="I1504">
            <v>1</v>
          </cell>
        </row>
        <row r="1505">
          <cell r="B1505" t="str">
            <v>MIO GEAR S</v>
          </cell>
          <cell r="G1505">
            <v>1</v>
          </cell>
        </row>
        <row r="1506">
          <cell r="B1506" t="str">
            <v>XRM DUAL SPORTS FI(DS)</v>
          </cell>
          <cell r="G1506">
            <v>1</v>
          </cell>
        </row>
        <row r="1507">
          <cell r="B1507" t="str">
            <v>CRF150</v>
          </cell>
          <cell r="G1507">
            <v>1</v>
          </cell>
        </row>
        <row r="1508">
          <cell r="B1508" t="str">
            <v>ADV160</v>
          </cell>
          <cell r="I1508">
            <v>1</v>
          </cell>
        </row>
        <row r="1509">
          <cell r="B1509" t="str">
            <v>MIO i125</v>
          </cell>
          <cell r="I1509">
            <v>1</v>
          </cell>
        </row>
        <row r="1510">
          <cell r="B1510" t="str">
            <v>PCX160 CBS</v>
          </cell>
          <cell r="H1510">
            <v>1</v>
          </cell>
        </row>
        <row r="1511">
          <cell r="B1511" t="str">
            <v>RAIDER150 FI BLADE</v>
          </cell>
          <cell r="G1511">
            <v>1</v>
          </cell>
        </row>
        <row r="1512">
          <cell r="B1512" t="str">
            <v>XRM RS</v>
          </cell>
          <cell r="H1512">
            <v>1</v>
          </cell>
        </row>
        <row r="1513">
          <cell r="B1513" t="str">
            <v>NMAX155 FI ABS</v>
          </cell>
          <cell r="G1513">
            <v>1</v>
          </cell>
          <cell r="I1513">
            <v>1</v>
          </cell>
        </row>
        <row r="1514">
          <cell r="B1514" t="str">
            <v>CLICK125 FI SE</v>
          </cell>
          <cell r="G1514">
            <v>10</v>
          </cell>
          <cell r="H1514">
            <v>9</v>
          </cell>
          <cell r="I1514">
            <v>7</v>
          </cell>
        </row>
        <row r="1515">
          <cell r="B1515" t="str">
            <v>BURGMAN15</v>
          </cell>
          <cell r="G1515">
            <v>1</v>
          </cell>
        </row>
        <row r="1516">
          <cell r="B1516" t="str">
            <v>BEAT FI PREM</v>
          </cell>
          <cell r="I1516">
            <v>1</v>
          </cell>
        </row>
        <row r="1517">
          <cell r="B1517" t="str">
            <v>RAIDER150 FI BLADE</v>
          </cell>
          <cell r="G1517">
            <v>1</v>
          </cell>
        </row>
        <row r="1518">
          <cell r="B1518" t="str">
            <v>AVENIS125</v>
          </cell>
          <cell r="G1518">
            <v>1</v>
          </cell>
          <cell r="H1518">
            <v>1</v>
          </cell>
        </row>
        <row r="1519">
          <cell r="B1519" t="str">
            <v>CT100B</v>
          </cell>
          <cell r="H1519">
            <v>2</v>
          </cell>
          <cell r="I1519">
            <v>1</v>
          </cell>
        </row>
        <row r="1520">
          <cell r="B1520" t="str">
            <v>BEAT FI PREM</v>
          </cell>
          <cell r="G1520">
            <v>1</v>
          </cell>
        </row>
        <row r="1521">
          <cell r="B1521" t="str">
            <v>NMAX155 FI ABS</v>
          </cell>
          <cell r="G1521">
            <v>1</v>
          </cell>
        </row>
        <row r="1522">
          <cell r="B1522" t="str">
            <v>CLICK125 FI</v>
          </cell>
          <cell r="G1522">
            <v>6</v>
          </cell>
          <cell r="H1522">
            <v>6</v>
          </cell>
          <cell r="I1522">
            <v>5</v>
          </cell>
        </row>
        <row r="1523">
          <cell r="B1523" t="str">
            <v>CLICK160 FI</v>
          </cell>
          <cell r="H1523">
            <v>1</v>
          </cell>
        </row>
        <row r="1524">
          <cell r="B1524" t="str">
            <v>MIO GRAVIS</v>
          </cell>
          <cell r="I1524">
            <v>1</v>
          </cell>
        </row>
        <row r="1525">
          <cell r="B1525" t="str">
            <v>WINNER X STD</v>
          </cell>
          <cell r="I1525">
            <v>1</v>
          </cell>
        </row>
        <row r="1526">
          <cell r="B1526" t="str">
            <v>MIO GRAVIS</v>
          </cell>
          <cell r="G1526">
            <v>1</v>
          </cell>
        </row>
        <row r="1527">
          <cell r="B1527" t="str">
            <v>XRM DUAL SPORTS FI(DS)</v>
          </cell>
          <cell r="G1527">
            <v>9</v>
          </cell>
          <cell r="H1527">
            <v>4</v>
          </cell>
          <cell r="I1527">
            <v>8</v>
          </cell>
        </row>
        <row r="1528">
          <cell r="B1528" t="str">
            <v>BEAT FI PREM</v>
          </cell>
          <cell r="H1528">
            <v>1</v>
          </cell>
        </row>
        <row r="1529">
          <cell r="B1529" t="str">
            <v>SNIPER 155 FI</v>
          </cell>
          <cell r="I1529">
            <v>1</v>
          </cell>
        </row>
        <row r="1530">
          <cell r="B1530" t="str">
            <v>TMX ALPHA FI</v>
          </cell>
          <cell r="G1530">
            <v>1</v>
          </cell>
        </row>
        <row r="1531">
          <cell r="B1531" t="str">
            <v>XRM OFFROAD FI(DSX)</v>
          </cell>
          <cell r="H1531">
            <v>3</v>
          </cell>
        </row>
        <row r="1532">
          <cell r="B1532" t="str">
            <v>LEXI 155</v>
          </cell>
          <cell r="H1532">
            <v>1</v>
          </cell>
        </row>
        <row r="1533">
          <cell r="B1533" t="str">
            <v>ADV160</v>
          </cell>
          <cell r="G1533">
            <v>1</v>
          </cell>
        </row>
        <row r="1534">
          <cell r="B1534" t="str">
            <v>GIORNO</v>
          </cell>
          <cell r="G1534">
            <v>2</v>
          </cell>
          <cell r="I1534">
            <v>1</v>
          </cell>
        </row>
        <row r="1535">
          <cell r="B1535" t="str">
            <v>CLICK125 FI SE</v>
          </cell>
          <cell r="G1535">
            <v>1</v>
          </cell>
          <cell r="H1535">
            <v>3</v>
          </cell>
          <cell r="I1535">
            <v>1</v>
          </cell>
        </row>
        <row r="1536">
          <cell r="B1536" t="str">
            <v>CLICK125 FI SE</v>
          </cell>
          <cell r="G1536">
            <v>1</v>
          </cell>
          <cell r="I1536">
            <v>1</v>
          </cell>
        </row>
        <row r="1537">
          <cell r="B1537" t="str">
            <v>CT100</v>
          </cell>
          <cell r="I1537">
            <v>1</v>
          </cell>
        </row>
        <row r="1538">
          <cell r="B1538" t="str">
            <v>XRM DUAL SPORTS FI(DS)</v>
          </cell>
          <cell r="I1538">
            <v>1</v>
          </cell>
        </row>
        <row r="1539">
          <cell r="B1539" t="str">
            <v>CLICK125 FI SE</v>
          </cell>
          <cell r="G1539">
            <v>3</v>
          </cell>
          <cell r="H1539">
            <v>1</v>
          </cell>
          <cell r="I1539">
            <v>5</v>
          </cell>
        </row>
        <row r="1540">
          <cell r="B1540" t="str">
            <v>BARAKO II (DUAL START)</v>
          </cell>
          <cell r="H1540">
            <v>1</v>
          </cell>
          <cell r="I1540">
            <v>4</v>
          </cell>
        </row>
        <row r="1541">
          <cell r="B1541" t="str">
            <v>CRF150</v>
          </cell>
          <cell r="H1541">
            <v>1</v>
          </cell>
        </row>
        <row r="1542">
          <cell r="B1542" t="str">
            <v>TMX ALPHA FI</v>
          </cell>
          <cell r="G1542">
            <v>1</v>
          </cell>
        </row>
        <row r="1543">
          <cell r="B1543" t="str">
            <v>KLX150</v>
          </cell>
          <cell r="I1543">
            <v>1</v>
          </cell>
        </row>
        <row r="1544">
          <cell r="B1544" t="str">
            <v>CRF150</v>
          </cell>
          <cell r="G1544">
            <v>1</v>
          </cell>
        </row>
        <row r="1545">
          <cell r="B1545" t="str">
            <v>XRM OFFROAD FI(DSX)</v>
          </cell>
          <cell r="G1545">
            <v>1</v>
          </cell>
          <cell r="H1545">
            <v>1</v>
          </cell>
        </row>
        <row r="1546">
          <cell r="B1546" t="str">
            <v>BAJAJ RE 4S FI</v>
          </cell>
          <cell r="H1546">
            <v>1</v>
          </cell>
        </row>
        <row r="1547">
          <cell r="B1547" t="str">
            <v>BEAT FI PREM</v>
          </cell>
          <cell r="I1547">
            <v>1</v>
          </cell>
        </row>
        <row r="1548">
          <cell r="B1548" t="str">
            <v>MIO AEROX 155</v>
          </cell>
          <cell r="H1548">
            <v>3</v>
          </cell>
        </row>
        <row r="1549">
          <cell r="B1549" t="str">
            <v>NMAX155 FI ABS</v>
          </cell>
          <cell r="G1549">
            <v>2</v>
          </cell>
        </row>
        <row r="1550">
          <cell r="B1550" t="str">
            <v>ADV160</v>
          </cell>
          <cell r="H1550">
            <v>1</v>
          </cell>
        </row>
        <row r="1551">
          <cell r="B1551" t="str">
            <v>XRM OFFROAD FI(DSX)</v>
          </cell>
          <cell r="H1551">
            <v>2</v>
          </cell>
          <cell r="I1551">
            <v>1</v>
          </cell>
        </row>
        <row r="1552">
          <cell r="B1552" t="str">
            <v>ADV350</v>
          </cell>
          <cell r="I1552">
            <v>1</v>
          </cell>
        </row>
        <row r="1553">
          <cell r="B1553" t="str">
            <v>CLICK125 FI SE</v>
          </cell>
          <cell r="G1553">
            <v>2</v>
          </cell>
          <cell r="H1553">
            <v>3</v>
          </cell>
          <cell r="I1553">
            <v>4</v>
          </cell>
        </row>
        <row r="1554">
          <cell r="B1554" t="str">
            <v>ADV160</v>
          </cell>
          <cell r="H1554">
            <v>2</v>
          </cell>
          <cell r="I1554">
            <v>2</v>
          </cell>
        </row>
        <row r="1555">
          <cell r="B1555" t="str">
            <v>NAVI</v>
          </cell>
          <cell r="G1555">
            <v>1</v>
          </cell>
        </row>
        <row r="1556">
          <cell r="B1556" t="str">
            <v>BEAT FI PREM</v>
          </cell>
          <cell r="G1556">
            <v>1</v>
          </cell>
        </row>
        <row r="1557">
          <cell r="B1557" t="str">
            <v>TMX150 SUPREMO</v>
          </cell>
          <cell r="G1557">
            <v>1</v>
          </cell>
          <cell r="I1557">
            <v>1</v>
          </cell>
        </row>
        <row r="1558">
          <cell r="B1558" t="str">
            <v>MIO i125</v>
          </cell>
          <cell r="H1558">
            <v>1</v>
          </cell>
        </row>
        <row r="1559">
          <cell r="B1559" t="str">
            <v>MIO GEAR</v>
          </cell>
          <cell r="I1559">
            <v>1</v>
          </cell>
        </row>
        <row r="1560">
          <cell r="B1560" t="str">
            <v>BEAT FI PREM</v>
          </cell>
          <cell r="H1560">
            <v>2</v>
          </cell>
          <cell r="I1560">
            <v>1</v>
          </cell>
        </row>
        <row r="1561">
          <cell r="B1561" t="str">
            <v>NMAX155 FI ABS</v>
          </cell>
          <cell r="G1561">
            <v>1</v>
          </cell>
          <cell r="H1561">
            <v>5</v>
          </cell>
        </row>
        <row r="1562">
          <cell r="B1562" t="str">
            <v>CLICK125 FI</v>
          </cell>
          <cell r="G1562">
            <v>19</v>
          </cell>
          <cell r="H1562">
            <v>6</v>
          </cell>
          <cell r="I1562">
            <v>18</v>
          </cell>
        </row>
        <row r="1563">
          <cell r="B1563" t="str">
            <v>MIO GRAVIS</v>
          </cell>
          <cell r="H1563">
            <v>1</v>
          </cell>
        </row>
        <row r="1564">
          <cell r="B1564" t="str">
            <v>CLICK125 FI</v>
          </cell>
          <cell r="G1564">
            <v>1</v>
          </cell>
          <cell r="H1564">
            <v>4</v>
          </cell>
          <cell r="I1564">
            <v>3</v>
          </cell>
        </row>
        <row r="1565">
          <cell r="B1565" t="str">
            <v>ADV160</v>
          </cell>
          <cell r="G1565">
            <v>1</v>
          </cell>
          <cell r="H1565">
            <v>1</v>
          </cell>
        </row>
        <row r="1566">
          <cell r="B1566" t="str">
            <v>MIO AEROX 155</v>
          </cell>
          <cell r="I1566">
            <v>6</v>
          </cell>
        </row>
        <row r="1567">
          <cell r="B1567" t="str">
            <v>BAJAJ RE 4S FI</v>
          </cell>
          <cell r="G1567">
            <v>4</v>
          </cell>
          <cell r="I1567">
            <v>2</v>
          </cell>
        </row>
        <row r="1568">
          <cell r="B1568" t="str">
            <v>MIO AEROX 155</v>
          </cell>
          <cell r="H1568">
            <v>1</v>
          </cell>
        </row>
        <row r="1569">
          <cell r="B1569" t="str">
            <v>PG-1</v>
          </cell>
          <cell r="G1569">
            <v>1</v>
          </cell>
        </row>
        <row r="1570">
          <cell r="B1570" t="str">
            <v>XRM DUAL SPORTS FI(DS)</v>
          </cell>
          <cell r="G1570">
            <v>3</v>
          </cell>
          <cell r="I1570">
            <v>4</v>
          </cell>
        </row>
        <row r="1571">
          <cell r="B1571" t="str">
            <v>XRM DUAL SPORTS FI(DS)</v>
          </cell>
          <cell r="I1571">
            <v>2</v>
          </cell>
        </row>
        <row r="1572">
          <cell r="B1572" t="str">
            <v>WIZARD</v>
          </cell>
          <cell r="G1572">
            <v>1</v>
          </cell>
          <cell r="I1572">
            <v>1</v>
          </cell>
        </row>
        <row r="1573">
          <cell r="B1573" t="str">
            <v>MIO AEROX S 155</v>
          </cell>
          <cell r="G1573">
            <v>1</v>
          </cell>
        </row>
        <row r="1574">
          <cell r="B1574" t="str">
            <v>PCX160 ROADSYNC</v>
          </cell>
          <cell r="H1574">
            <v>1</v>
          </cell>
        </row>
        <row r="1575">
          <cell r="B1575" t="str">
            <v>KLX150</v>
          </cell>
          <cell r="I1575">
            <v>1</v>
          </cell>
        </row>
        <row r="1576">
          <cell r="B1576" t="str">
            <v>NMAX155 FI ABS</v>
          </cell>
          <cell r="H1576">
            <v>1</v>
          </cell>
        </row>
        <row r="1577">
          <cell r="B1577" t="str">
            <v>CT125</v>
          </cell>
          <cell r="G1577">
            <v>6</v>
          </cell>
          <cell r="H1577">
            <v>6</v>
          </cell>
          <cell r="I1577">
            <v>5</v>
          </cell>
        </row>
        <row r="1578">
          <cell r="B1578" t="str">
            <v>NAVI</v>
          </cell>
          <cell r="H1578">
            <v>1</v>
          </cell>
        </row>
        <row r="1579">
          <cell r="B1579" t="str">
            <v>XR150</v>
          </cell>
          <cell r="G1579">
            <v>4</v>
          </cell>
          <cell r="H1579">
            <v>2</v>
          </cell>
          <cell r="I1579">
            <v>5</v>
          </cell>
        </row>
        <row r="1580">
          <cell r="B1580" t="str">
            <v>TMX150 SUPREMO</v>
          </cell>
          <cell r="H1580">
            <v>2</v>
          </cell>
        </row>
        <row r="1581">
          <cell r="B1581" t="str">
            <v>NAVI</v>
          </cell>
          <cell r="G1581">
            <v>2</v>
          </cell>
        </row>
        <row r="1582">
          <cell r="B1582" t="str">
            <v>CLICK160 FI</v>
          </cell>
          <cell r="G1582">
            <v>1</v>
          </cell>
        </row>
        <row r="1583">
          <cell r="B1583" t="str">
            <v>XRM OFFROAD FI(DSX)</v>
          </cell>
          <cell r="G1583">
            <v>1</v>
          </cell>
          <cell r="H1583">
            <v>2</v>
          </cell>
          <cell r="I1583">
            <v>2</v>
          </cell>
        </row>
        <row r="1584">
          <cell r="B1584" t="str">
            <v>MIO AEROX 155</v>
          </cell>
          <cell r="I1584">
            <v>2</v>
          </cell>
        </row>
        <row r="1585">
          <cell r="B1585" t="str">
            <v>ADV160</v>
          </cell>
          <cell r="I1585">
            <v>2</v>
          </cell>
        </row>
        <row r="1586">
          <cell r="B1586" t="str">
            <v>SMASH(MAGS)</v>
          </cell>
          <cell r="H1586">
            <v>1</v>
          </cell>
        </row>
        <row r="1587">
          <cell r="B1587" t="str">
            <v>WINNER X RC</v>
          </cell>
          <cell r="I1587">
            <v>1</v>
          </cell>
        </row>
        <row r="1588">
          <cell r="B1588" t="str">
            <v>MIO i125</v>
          </cell>
          <cell r="I1588">
            <v>1</v>
          </cell>
        </row>
        <row r="1589">
          <cell r="B1589" t="str">
            <v>NAVI</v>
          </cell>
          <cell r="H1589">
            <v>1</v>
          </cell>
        </row>
        <row r="1590">
          <cell r="B1590" t="str">
            <v>BEAT FI PREM</v>
          </cell>
          <cell r="G1590">
            <v>1</v>
          </cell>
        </row>
        <row r="1591">
          <cell r="B1591" t="str">
            <v>XRM OFFROAD FI(DSX)</v>
          </cell>
          <cell r="H1591">
            <v>1</v>
          </cell>
          <cell r="I1591">
            <v>1</v>
          </cell>
        </row>
        <row r="1592">
          <cell r="B1592" t="str">
            <v>CLICK125 FI</v>
          </cell>
          <cell r="G1592">
            <v>10</v>
          </cell>
          <cell r="H1592">
            <v>5</v>
          </cell>
          <cell r="I1592">
            <v>7</v>
          </cell>
        </row>
        <row r="1593">
          <cell r="B1593" t="str">
            <v>BAJAJ RE 4S FI</v>
          </cell>
          <cell r="G1593">
            <v>17</v>
          </cell>
          <cell r="H1593">
            <v>11</v>
          </cell>
          <cell r="I1593">
            <v>10</v>
          </cell>
        </row>
        <row r="1594">
          <cell r="B1594" t="str">
            <v>LEXI 155</v>
          </cell>
          <cell r="H1594">
            <v>1</v>
          </cell>
        </row>
        <row r="1595">
          <cell r="B1595" t="str">
            <v>KLX150</v>
          </cell>
          <cell r="I1595">
            <v>1</v>
          </cell>
        </row>
        <row r="1596">
          <cell r="B1596" t="str">
            <v>NAVI</v>
          </cell>
          <cell r="G1596">
            <v>1</v>
          </cell>
        </row>
        <row r="1597">
          <cell r="B1597" t="str">
            <v>XRM DUAL SPORTS FI(DS)</v>
          </cell>
          <cell r="I1597">
            <v>1</v>
          </cell>
        </row>
        <row r="1598">
          <cell r="B1598" t="str">
            <v>CLICK160 FI</v>
          </cell>
          <cell r="I1598">
            <v>1</v>
          </cell>
        </row>
        <row r="1599">
          <cell r="B1599" t="str">
            <v>CLICK125 FI SE</v>
          </cell>
          <cell r="G1599">
            <v>5</v>
          </cell>
          <cell r="H1599">
            <v>2</v>
          </cell>
          <cell r="I1599">
            <v>3</v>
          </cell>
        </row>
        <row r="1600">
          <cell r="B1600" t="str">
            <v>TMX ALPHA FI</v>
          </cell>
          <cell r="G1600">
            <v>1</v>
          </cell>
        </row>
        <row r="1601">
          <cell r="B1601" t="str">
            <v>ADV160</v>
          </cell>
          <cell r="G1601">
            <v>1</v>
          </cell>
          <cell r="I1601">
            <v>1</v>
          </cell>
        </row>
        <row r="1602">
          <cell r="B1602" t="str">
            <v>CT100</v>
          </cell>
          <cell r="H1602">
            <v>4</v>
          </cell>
          <cell r="I1602">
            <v>3</v>
          </cell>
        </row>
        <row r="1603">
          <cell r="B1603" t="str">
            <v>NMAX155 FI ABS</v>
          </cell>
          <cell r="H1603">
            <v>1</v>
          </cell>
          <cell r="I1603">
            <v>1</v>
          </cell>
        </row>
        <row r="1604">
          <cell r="B1604" t="str">
            <v>MIO GEAR S</v>
          </cell>
          <cell r="G1604">
            <v>1</v>
          </cell>
        </row>
        <row r="1605">
          <cell r="B1605" t="str">
            <v>CT125</v>
          </cell>
          <cell r="G1605">
            <v>1</v>
          </cell>
          <cell r="H1605">
            <v>3</v>
          </cell>
          <cell r="I1605">
            <v>2</v>
          </cell>
        </row>
        <row r="1606">
          <cell r="B1606" t="str">
            <v>XTZ125</v>
          </cell>
          <cell r="I1606">
            <v>1</v>
          </cell>
        </row>
        <row r="1607">
          <cell r="B1607" t="str">
            <v>XRM OFFROAD FI(DSX)</v>
          </cell>
          <cell r="G1607">
            <v>3</v>
          </cell>
          <cell r="H1607">
            <v>3</v>
          </cell>
          <cell r="I1607">
            <v>1</v>
          </cell>
        </row>
        <row r="1608">
          <cell r="B1608" t="str">
            <v>CLICK125 FI</v>
          </cell>
          <cell r="G1608">
            <v>8</v>
          </cell>
          <cell r="H1608">
            <v>2</v>
          </cell>
          <cell r="I1608">
            <v>5</v>
          </cell>
        </row>
        <row r="1609">
          <cell r="B1609" t="str">
            <v>ADV160</v>
          </cell>
          <cell r="G1609">
            <v>2</v>
          </cell>
        </row>
        <row r="1610">
          <cell r="B1610" t="str">
            <v>ADV160</v>
          </cell>
          <cell r="G1610">
            <v>1</v>
          </cell>
          <cell r="I1610">
            <v>1</v>
          </cell>
        </row>
        <row r="1611">
          <cell r="B1611" t="str">
            <v>BARAKO III FI(DUAL START)</v>
          </cell>
          <cell r="G1611">
            <v>1</v>
          </cell>
        </row>
        <row r="1612">
          <cell r="B1612" t="str">
            <v>CLICK125 FI</v>
          </cell>
          <cell r="H1612">
            <v>1</v>
          </cell>
          <cell r="I1612">
            <v>4</v>
          </cell>
        </row>
        <row r="1613">
          <cell r="B1613" t="str">
            <v>MIO AEROX 155</v>
          </cell>
          <cell r="G1613">
            <v>1</v>
          </cell>
          <cell r="I1613">
            <v>2</v>
          </cell>
        </row>
        <row r="1614">
          <cell r="B1614" t="str">
            <v>RAIDER150 FI BLADE</v>
          </cell>
          <cell r="G1614">
            <v>1</v>
          </cell>
        </row>
        <row r="1615">
          <cell r="B1615" t="str">
            <v>CLICK160 FI</v>
          </cell>
          <cell r="G1615">
            <v>1</v>
          </cell>
        </row>
        <row r="1616">
          <cell r="B1616" t="str">
            <v>CRF150</v>
          </cell>
          <cell r="H1616">
            <v>2</v>
          </cell>
        </row>
        <row r="1617">
          <cell r="B1617" t="str">
            <v>XMAX 300</v>
          </cell>
          <cell r="H1617">
            <v>1</v>
          </cell>
        </row>
        <row r="1618">
          <cell r="B1618" t="str">
            <v>ADV160</v>
          </cell>
          <cell r="I1618">
            <v>1</v>
          </cell>
        </row>
        <row r="1619">
          <cell r="B1619" t="str">
            <v>SMASH(SPOKE)</v>
          </cell>
          <cell r="I1619">
            <v>1</v>
          </cell>
        </row>
        <row r="1620">
          <cell r="B1620" t="str">
            <v>XRM RS</v>
          </cell>
          <cell r="G1620">
            <v>1</v>
          </cell>
          <cell r="H1620">
            <v>1</v>
          </cell>
        </row>
        <row r="1621">
          <cell r="B1621" t="str">
            <v>XTZ125</v>
          </cell>
          <cell r="G1621">
            <v>1</v>
          </cell>
          <cell r="H1621">
            <v>1</v>
          </cell>
          <cell r="I1621">
            <v>1</v>
          </cell>
        </row>
        <row r="1622">
          <cell r="B1622" t="str">
            <v>NMAX155 TECHMAX</v>
          </cell>
          <cell r="G1622">
            <v>1</v>
          </cell>
        </row>
        <row r="1623">
          <cell r="B1623" t="str">
            <v>CT125</v>
          </cell>
          <cell r="G1623">
            <v>2</v>
          </cell>
          <cell r="I1623">
            <v>5</v>
          </cell>
        </row>
        <row r="1624">
          <cell r="B1624" t="str">
            <v>NMAX155 FI ABS</v>
          </cell>
          <cell r="G1624">
            <v>1</v>
          </cell>
        </row>
        <row r="1625">
          <cell r="B1625" t="str">
            <v>NAVI</v>
          </cell>
          <cell r="G1625">
            <v>1</v>
          </cell>
        </row>
        <row r="1626">
          <cell r="B1626" t="str">
            <v>CLICK125 FI SE</v>
          </cell>
          <cell r="H1626">
            <v>1</v>
          </cell>
          <cell r="I1626">
            <v>1</v>
          </cell>
        </row>
        <row r="1627">
          <cell r="B1627" t="str">
            <v>ADV160</v>
          </cell>
          <cell r="G1627">
            <v>3</v>
          </cell>
        </row>
        <row r="1628">
          <cell r="B1628" t="str">
            <v>MIO i125</v>
          </cell>
          <cell r="I1628">
            <v>2</v>
          </cell>
        </row>
        <row r="1629">
          <cell r="B1629" t="str">
            <v>BEAT FI STD</v>
          </cell>
          <cell r="G1629">
            <v>1</v>
          </cell>
        </row>
        <row r="1630">
          <cell r="B1630" t="str">
            <v>CLICK125 FI</v>
          </cell>
          <cell r="G1630">
            <v>5</v>
          </cell>
          <cell r="H1630">
            <v>2</v>
          </cell>
          <cell r="I1630">
            <v>5</v>
          </cell>
        </row>
        <row r="1631">
          <cell r="B1631" t="str">
            <v>SMASH(MAGS)</v>
          </cell>
          <cell r="G1631">
            <v>1</v>
          </cell>
        </row>
        <row r="1632">
          <cell r="B1632" t="str">
            <v>CLICK125 FI</v>
          </cell>
          <cell r="G1632">
            <v>3</v>
          </cell>
          <cell r="H1632">
            <v>1</v>
          </cell>
          <cell r="I1632">
            <v>9</v>
          </cell>
        </row>
        <row r="1633">
          <cell r="B1633" t="str">
            <v>CT125</v>
          </cell>
          <cell r="G1633">
            <v>3</v>
          </cell>
          <cell r="H1633">
            <v>2</v>
          </cell>
        </row>
        <row r="1634">
          <cell r="B1634" t="str">
            <v>ADV160</v>
          </cell>
          <cell r="H1634">
            <v>1</v>
          </cell>
        </row>
        <row r="1635">
          <cell r="B1635" t="str">
            <v>MIO AEROX 155</v>
          </cell>
          <cell r="I1635">
            <v>1</v>
          </cell>
        </row>
        <row r="1636">
          <cell r="B1636" t="str">
            <v>XRM RS</v>
          </cell>
          <cell r="I1636">
            <v>1</v>
          </cell>
        </row>
        <row r="1637">
          <cell r="B1637" t="str">
            <v>XRM RS</v>
          </cell>
          <cell r="G1637">
            <v>1</v>
          </cell>
          <cell r="I1637">
            <v>1</v>
          </cell>
        </row>
        <row r="1638">
          <cell r="B1638" t="str">
            <v>MIO GEAR</v>
          </cell>
          <cell r="H1638">
            <v>1</v>
          </cell>
        </row>
        <row r="1639">
          <cell r="B1639" t="str">
            <v>MIO i125</v>
          </cell>
          <cell r="I1639">
            <v>1</v>
          </cell>
        </row>
        <row r="1640">
          <cell r="B1640" t="str">
            <v>TMX ALPHA FI</v>
          </cell>
          <cell r="G1640">
            <v>2</v>
          </cell>
        </row>
        <row r="1641">
          <cell r="B1641" t="str">
            <v>ADV160</v>
          </cell>
          <cell r="H1641">
            <v>1</v>
          </cell>
          <cell r="I1641">
            <v>3</v>
          </cell>
        </row>
        <row r="1642">
          <cell r="B1642" t="str">
            <v>NAVI</v>
          </cell>
          <cell r="H1642">
            <v>1</v>
          </cell>
        </row>
        <row r="1643">
          <cell r="B1643" t="str">
            <v>MIO GEAR S</v>
          </cell>
          <cell r="G1643">
            <v>2</v>
          </cell>
        </row>
        <row r="1644">
          <cell r="B1644" t="str">
            <v>BRUSKY125</v>
          </cell>
          <cell r="G1644">
            <v>1</v>
          </cell>
        </row>
        <row r="1645">
          <cell r="B1645" t="str">
            <v>CRF150</v>
          </cell>
          <cell r="G1645">
            <v>1</v>
          </cell>
          <cell r="H1645">
            <v>1</v>
          </cell>
          <cell r="I1645">
            <v>2</v>
          </cell>
        </row>
        <row r="1646">
          <cell r="B1646" t="str">
            <v>MIO AEROX 155</v>
          </cell>
          <cell r="I1646">
            <v>1</v>
          </cell>
        </row>
        <row r="1647">
          <cell r="B1647" t="str">
            <v>CLICK160 FI</v>
          </cell>
          <cell r="H1647">
            <v>3</v>
          </cell>
        </row>
        <row r="1648">
          <cell r="B1648" t="str">
            <v>KLX150</v>
          </cell>
          <cell r="H1648">
            <v>2</v>
          </cell>
          <cell r="I1648">
            <v>1</v>
          </cell>
        </row>
        <row r="1649">
          <cell r="B1649" t="str">
            <v>NMAX155 FI ABS</v>
          </cell>
          <cell r="I1649">
            <v>1</v>
          </cell>
        </row>
        <row r="1650">
          <cell r="B1650" t="str">
            <v>XRM DUAL SPORTS FI(DS)</v>
          </cell>
          <cell r="G1650">
            <v>1</v>
          </cell>
          <cell r="H1650">
            <v>1</v>
          </cell>
        </row>
        <row r="1651">
          <cell r="B1651" t="str">
            <v>WIZARD</v>
          </cell>
          <cell r="G1651">
            <v>1</v>
          </cell>
        </row>
        <row r="1652">
          <cell r="B1652" t="str">
            <v>CLICK125 FI</v>
          </cell>
          <cell r="G1652">
            <v>4</v>
          </cell>
          <cell r="H1652">
            <v>10</v>
          </cell>
          <cell r="I1652">
            <v>8</v>
          </cell>
        </row>
        <row r="1653">
          <cell r="B1653" t="str">
            <v>ADV160 ROADSYNC</v>
          </cell>
          <cell r="H1653">
            <v>2</v>
          </cell>
          <cell r="I1653">
            <v>1</v>
          </cell>
        </row>
        <row r="1654">
          <cell r="B1654" t="str">
            <v>SNIPER 155 FI</v>
          </cell>
          <cell r="H1654">
            <v>1</v>
          </cell>
          <cell r="I1654">
            <v>1</v>
          </cell>
        </row>
        <row r="1655">
          <cell r="B1655" t="str">
            <v>RAIDER150 FI BLADE</v>
          </cell>
          <cell r="H1655">
            <v>1</v>
          </cell>
        </row>
        <row r="1656">
          <cell r="B1656" t="str">
            <v>MIO i125</v>
          </cell>
          <cell r="H1656">
            <v>1</v>
          </cell>
          <cell r="I1656">
            <v>1</v>
          </cell>
        </row>
        <row r="1657">
          <cell r="B1657" t="str">
            <v>CT125</v>
          </cell>
          <cell r="G1657">
            <v>1</v>
          </cell>
          <cell r="H1657">
            <v>2</v>
          </cell>
        </row>
        <row r="1658">
          <cell r="B1658" t="str">
            <v>ADV160</v>
          </cell>
          <cell r="H1658">
            <v>1</v>
          </cell>
          <cell r="I1658">
            <v>1</v>
          </cell>
        </row>
        <row r="1659">
          <cell r="B1659" t="str">
            <v>TMX ALPHA FI</v>
          </cell>
          <cell r="I1659">
            <v>1</v>
          </cell>
        </row>
        <row r="1660">
          <cell r="B1660" t="str">
            <v>XRM DUAL SPORTS FI(DS)</v>
          </cell>
          <cell r="G1660">
            <v>1</v>
          </cell>
          <cell r="H1660">
            <v>2</v>
          </cell>
        </row>
        <row r="1661">
          <cell r="B1661" t="str">
            <v>MIO GEAR S</v>
          </cell>
          <cell r="H1661">
            <v>1</v>
          </cell>
        </row>
        <row r="1662">
          <cell r="B1662" t="str">
            <v>CLICK160 FI</v>
          </cell>
          <cell r="G1662">
            <v>2</v>
          </cell>
        </row>
        <row r="1663">
          <cell r="B1663" t="str">
            <v>CLICK160 FI</v>
          </cell>
          <cell r="G1663">
            <v>1</v>
          </cell>
        </row>
        <row r="1664">
          <cell r="B1664" t="str">
            <v>CLICK125 FI SE</v>
          </cell>
          <cell r="G1664">
            <v>1</v>
          </cell>
          <cell r="H1664">
            <v>2</v>
          </cell>
          <cell r="I1664">
            <v>4</v>
          </cell>
        </row>
        <row r="1665">
          <cell r="B1665" t="str">
            <v>XTZ125</v>
          </cell>
          <cell r="I1665">
            <v>1</v>
          </cell>
        </row>
        <row r="1666">
          <cell r="B1666" t="str">
            <v>XTZ125</v>
          </cell>
          <cell r="H1666">
            <v>1</v>
          </cell>
        </row>
        <row r="1667">
          <cell r="B1667" t="str">
            <v>CLICK125 FI</v>
          </cell>
          <cell r="H1667">
            <v>4</v>
          </cell>
          <cell r="I1667">
            <v>2</v>
          </cell>
        </row>
        <row r="1668">
          <cell r="B1668" t="str">
            <v>BURGMAN STREET</v>
          </cell>
          <cell r="H1668">
            <v>1</v>
          </cell>
        </row>
        <row r="1669">
          <cell r="B1669" t="str">
            <v>NMAX155 FI ABS</v>
          </cell>
          <cell r="G1669">
            <v>1</v>
          </cell>
        </row>
        <row r="1670">
          <cell r="B1670" t="str">
            <v>NAVI</v>
          </cell>
          <cell r="G1670">
            <v>1</v>
          </cell>
        </row>
        <row r="1671">
          <cell r="B1671" t="str">
            <v>CRF150</v>
          </cell>
          <cell r="I1671">
            <v>1</v>
          </cell>
        </row>
        <row r="1672">
          <cell r="B1672" t="str">
            <v>BAJAJ RE 4S FI</v>
          </cell>
          <cell r="G1672">
            <v>2</v>
          </cell>
          <cell r="H1672">
            <v>3</v>
          </cell>
        </row>
        <row r="1673">
          <cell r="B1673" t="str">
            <v>NMAX155 FI ABS</v>
          </cell>
          <cell r="G1673">
            <v>1</v>
          </cell>
          <cell r="I1673">
            <v>1</v>
          </cell>
        </row>
        <row r="1674">
          <cell r="B1674" t="str">
            <v>MIO AEROX S 155</v>
          </cell>
          <cell r="I1674">
            <v>1</v>
          </cell>
        </row>
        <row r="1675">
          <cell r="B1675" t="str">
            <v>MIO AEROX 155</v>
          </cell>
          <cell r="G1675">
            <v>1</v>
          </cell>
        </row>
        <row r="1676">
          <cell r="B1676" t="str">
            <v>BEAT FI PREM</v>
          </cell>
          <cell r="H1676">
            <v>2</v>
          </cell>
        </row>
        <row r="1677">
          <cell r="B1677" t="str">
            <v>ACCESS 125</v>
          </cell>
          <cell r="H1677">
            <v>1</v>
          </cell>
        </row>
        <row r="1678">
          <cell r="B1678" t="str">
            <v>CLICK160 FI</v>
          </cell>
          <cell r="H1678">
            <v>1</v>
          </cell>
          <cell r="I1678">
            <v>1</v>
          </cell>
        </row>
        <row r="1679">
          <cell r="B1679" t="str">
            <v>BAJAJ RE 4S FI</v>
          </cell>
          <cell r="H1679">
            <v>1</v>
          </cell>
          <cell r="I1679">
            <v>2</v>
          </cell>
        </row>
        <row r="1680">
          <cell r="B1680" t="str">
            <v>YTX125</v>
          </cell>
          <cell r="G1680">
            <v>1</v>
          </cell>
        </row>
        <row r="1681">
          <cell r="B1681" t="str">
            <v>MIO AEROX S 155</v>
          </cell>
          <cell r="H1681">
            <v>1</v>
          </cell>
        </row>
        <row r="1682">
          <cell r="B1682" t="str">
            <v>MIO i125</v>
          </cell>
          <cell r="G1682">
            <v>1</v>
          </cell>
          <cell r="I1682">
            <v>2</v>
          </cell>
        </row>
        <row r="1683">
          <cell r="B1683" t="str">
            <v>CLICK125 FI</v>
          </cell>
          <cell r="I1683">
            <v>3</v>
          </cell>
        </row>
        <row r="1684">
          <cell r="B1684" t="str">
            <v>MIO GRAVIS</v>
          </cell>
          <cell r="G1684">
            <v>1</v>
          </cell>
        </row>
        <row r="1685">
          <cell r="B1685" t="str">
            <v>MIO AEROX 155</v>
          </cell>
          <cell r="I1685">
            <v>2</v>
          </cell>
        </row>
        <row r="1686">
          <cell r="B1686" t="str">
            <v>CRF150</v>
          </cell>
          <cell r="H1686">
            <v>2</v>
          </cell>
          <cell r="I1686">
            <v>2</v>
          </cell>
        </row>
        <row r="1687">
          <cell r="B1687" t="str">
            <v>NMAX155 FI ABS</v>
          </cell>
          <cell r="G1687">
            <v>3</v>
          </cell>
          <cell r="I1687">
            <v>4</v>
          </cell>
        </row>
        <row r="1688">
          <cell r="B1688" t="str">
            <v>CT125</v>
          </cell>
          <cell r="G1688">
            <v>26</v>
          </cell>
          <cell r="H1688">
            <v>31</v>
          </cell>
          <cell r="I1688">
            <v>29</v>
          </cell>
        </row>
        <row r="1689">
          <cell r="B1689" t="str">
            <v>XRM RS</v>
          </cell>
          <cell r="G1689">
            <v>1</v>
          </cell>
          <cell r="H1689">
            <v>1</v>
          </cell>
          <cell r="I1689">
            <v>1</v>
          </cell>
        </row>
        <row r="1690">
          <cell r="B1690" t="str">
            <v>GIORNO</v>
          </cell>
          <cell r="I1690">
            <v>1</v>
          </cell>
        </row>
        <row r="1691">
          <cell r="B1691" t="str">
            <v>ADV160</v>
          </cell>
          <cell r="G1691">
            <v>2</v>
          </cell>
          <cell r="I1691">
            <v>2</v>
          </cell>
        </row>
        <row r="1692">
          <cell r="B1692" t="str">
            <v>RAIDER150 FI BLADE</v>
          </cell>
          <cell r="H1692">
            <v>1</v>
          </cell>
          <cell r="I1692">
            <v>2</v>
          </cell>
        </row>
        <row r="1693">
          <cell r="B1693" t="str">
            <v>CRF150</v>
          </cell>
          <cell r="G1693">
            <v>1</v>
          </cell>
          <cell r="I1693">
            <v>4</v>
          </cell>
        </row>
        <row r="1694">
          <cell r="B1694" t="str">
            <v>CRF150</v>
          </cell>
          <cell r="G1694">
            <v>4</v>
          </cell>
          <cell r="H1694">
            <v>2</v>
          </cell>
          <cell r="I1694">
            <v>5</v>
          </cell>
        </row>
        <row r="1695">
          <cell r="B1695" t="str">
            <v>BARAKO II (DUAL START)</v>
          </cell>
          <cell r="H1695">
            <v>1</v>
          </cell>
        </row>
        <row r="1696">
          <cell r="B1696" t="str">
            <v>MIO GRAVIS</v>
          </cell>
          <cell r="I1696">
            <v>1</v>
          </cell>
        </row>
        <row r="1697">
          <cell r="B1697" t="str">
            <v>RAIDER150 FI BLADE</v>
          </cell>
          <cell r="G1697">
            <v>1</v>
          </cell>
          <cell r="I1697">
            <v>1</v>
          </cell>
        </row>
        <row r="1698">
          <cell r="B1698" t="str">
            <v>MIO AEROX 155</v>
          </cell>
          <cell r="I1698">
            <v>1</v>
          </cell>
        </row>
        <row r="1699">
          <cell r="B1699" t="str">
            <v>BEAT FI PREM</v>
          </cell>
          <cell r="H1699">
            <v>1</v>
          </cell>
        </row>
        <row r="1700">
          <cell r="B1700" t="str">
            <v>BAJAJ RE 4S FI</v>
          </cell>
          <cell r="G1700">
            <v>1</v>
          </cell>
          <cell r="H1700">
            <v>1</v>
          </cell>
        </row>
        <row r="1701">
          <cell r="B1701" t="str">
            <v>CT125</v>
          </cell>
          <cell r="G1701">
            <v>1</v>
          </cell>
        </row>
        <row r="1702">
          <cell r="B1702" t="str">
            <v>XRM RS</v>
          </cell>
          <cell r="H1702">
            <v>1</v>
          </cell>
          <cell r="I1702">
            <v>2</v>
          </cell>
        </row>
        <row r="1703">
          <cell r="B1703" t="str">
            <v>TMX150 SUPREMO</v>
          </cell>
          <cell r="I1703">
            <v>1</v>
          </cell>
        </row>
        <row r="1704">
          <cell r="B1704" t="str">
            <v>RAIDER150 FI BLADE</v>
          </cell>
          <cell r="G1704">
            <v>1</v>
          </cell>
        </row>
        <row r="1705">
          <cell r="B1705" t="str">
            <v>BAJAJ RE 4S FI</v>
          </cell>
          <cell r="G1705">
            <v>2</v>
          </cell>
          <cell r="H1705">
            <v>2</v>
          </cell>
        </row>
        <row r="1706">
          <cell r="B1706" t="str">
            <v>MAXIMA Z</v>
          </cell>
          <cell r="I1706">
            <v>1</v>
          </cell>
        </row>
        <row r="1707">
          <cell r="B1707" t="str">
            <v>ADV160</v>
          </cell>
          <cell r="G1707">
            <v>1</v>
          </cell>
          <cell r="H1707">
            <v>1</v>
          </cell>
        </row>
        <row r="1708">
          <cell r="B1708" t="str">
            <v>ADV160</v>
          </cell>
          <cell r="I1708">
            <v>1</v>
          </cell>
        </row>
        <row r="1709">
          <cell r="B1709" t="str">
            <v>ADV160</v>
          </cell>
          <cell r="G1709">
            <v>3</v>
          </cell>
        </row>
        <row r="1710">
          <cell r="B1710" t="str">
            <v>CRF150</v>
          </cell>
          <cell r="I1710">
            <v>3</v>
          </cell>
        </row>
        <row r="1711">
          <cell r="B1711" t="str">
            <v>MIO i125</v>
          </cell>
          <cell r="H1711">
            <v>1</v>
          </cell>
        </row>
        <row r="1712">
          <cell r="B1712" t="str">
            <v>NMAX155 FI ABS</v>
          </cell>
          <cell r="G1712">
            <v>1</v>
          </cell>
          <cell r="H1712">
            <v>2</v>
          </cell>
          <cell r="I1712">
            <v>1</v>
          </cell>
        </row>
        <row r="1713">
          <cell r="B1713" t="str">
            <v>CRF150</v>
          </cell>
          <cell r="G1713">
            <v>4</v>
          </cell>
          <cell r="H1713">
            <v>3</v>
          </cell>
          <cell r="I1713">
            <v>2</v>
          </cell>
        </row>
        <row r="1714">
          <cell r="B1714" t="str">
            <v>WAVE RSX(DISC)</v>
          </cell>
          <cell r="I1714">
            <v>1</v>
          </cell>
        </row>
        <row r="1715">
          <cell r="B1715" t="str">
            <v>XR150</v>
          </cell>
          <cell r="H1715">
            <v>2</v>
          </cell>
        </row>
        <row r="1716">
          <cell r="B1716" t="str">
            <v>MIO AEROX 155</v>
          </cell>
          <cell r="G1716">
            <v>1</v>
          </cell>
          <cell r="H1716">
            <v>1</v>
          </cell>
          <cell r="I1716">
            <v>3</v>
          </cell>
        </row>
        <row r="1717">
          <cell r="B1717" t="str">
            <v>KLX150</v>
          </cell>
          <cell r="H1717">
            <v>1</v>
          </cell>
          <cell r="I1717">
            <v>2</v>
          </cell>
        </row>
        <row r="1718">
          <cell r="B1718" t="str">
            <v>CLICK125 FI</v>
          </cell>
          <cell r="G1718">
            <v>6</v>
          </cell>
          <cell r="H1718">
            <v>4</v>
          </cell>
          <cell r="I1718">
            <v>5</v>
          </cell>
        </row>
        <row r="1719">
          <cell r="B1719" t="str">
            <v>ACCESS 125</v>
          </cell>
          <cell r="H1719">
            <v>1</v>
          </cell>
        </row>
        <row r="1720">
          <cell r="B1720" t="str">
            <v>NMAX155 FI ABS</v>
          </cell>
          <cell r="I1720">
            <v>1</v>
          </cell>
        </row>
        <row r="1721">
          <cell r="B1721" t="str">
            <v>XRM RS</v>
          </cell>
          <cell r="G1721">
            <v>1</v>
          </cell>
          <cell r="H1721">
            <v>1</v>
          </cell>
        </row>
        <row r="1722">
          <cell r="B1722" t="str">
            <v>MIO i125</v>
          </cell>
          <cell r="I1722">
            <v>1</v>
          </cell>
        </row>
        <row r="1723">
          <cell r="B1723" t="str">
            <v>SMASH(SPOKE)</v>
          </cell>
          <cell r="H1723">
            <v>1</v>
          </cell>
        </row>
        <row r="1724">
          <cell r="B1724" t="str">
            <v>CLICK125 FI SE</v>
          </cell>
          <cell r="G1724">
            <v>1</v>
          </cell>
          <cell r="H1724">
            <v>1</v>
          </cell>
          <cell r="I1724">
            <v>1</v>
          </cell>
        </row>
        <row r="1725">
          <cell r="B1725" t="str">
            <v>MIO AEROX 155</v>
          </cell>
          <cell r="G1725">
            <v>1</v>
          </cell>
          <cell r="H1725">
            <v>1</v>
          </cell>
        </row>
        <row r="1726">
          <cell r="B1726" t="str">
            <v>CRF150</v>
          </cell>
          <cell r="I1726">
            <v>1</v>
          </cell>
        </row>
        <row r="1727">
          <cell r="B1727" t="str">
            <v>SMASH(SPOKE)</v>
          </cell>
          <cell r="H1727">
            <v>1</v>
          </cell>
        </row>
        <row r="1728">
          <cell r="B1728" t="str">
            <v>SMASH(MAGS)</v>
          </cell>
          <cell r="H1728">
            <v>1</v>
          </cell>
        </row>
        <row r="1729">
          <cell r="B1729" t="str">
            <v>CT125</v>
          </cell>
          <cell r="G1729">
            <v>1</v>
          </cell>
        </row>
        <row r="1730">
          <cell r="B1730" t="str">
            <v>CRF150</v>
          </cell>
          <cell r="H1730">
            <v>1</v>
          </cell>
        </row>
        <row r="1731">
          <cell r="B1731" t="str">
            <v>ADV160</v>
          </cell>
          <cell r="I1731">
            <v>1</v>
          </cell>
        </row>
        <row r="1732">
          <cell r="B1732" t="str">
            <v>CLICK125 FI</v>
          </cell>
          <cell r="G1732">
            <v>9</v>
          </cell>
          <cell r="H1732">
            <v>1</v>
          </cell>
          <cell r="I1732">
            <v>2</v>
          </cell>
        </row>
        <row r="1733">
          <cell r="B1733" t="str">
            <v>BAJAJ RE 4S FI</v>
          </cell>
          <cell r="I1733">
            <v>1</v>
          </cell>
        </row>
        <row r="1734">
          <cell r="B1734" t="str">
            <v>CT125</v>
          </cell>
          <cell r="G1734">
            <v>13</v>
          </cell>
          <cell r="H1734">
            <v>8</v>
          </cell>
          <cell r="I1734">
            <v>9</v>
          </cell>
        </row>
        <row r="1735">
          <cell r="B1735" t="str">
            <v>CT125</v>
          </cell>
          <cell r="G1735">
            <v>18</v>
          </cell>
          <cell r="H1735">
            <v>16</v>
          </cell>
          <cell r="I1735">
            <v>20</v>
          </cell>
        </row>
        <row r="1736">
          <cell r="B1736" t="str">
            <v>BAJAJ RE 4S FI</v>
          </cell>
          <cell r="H1736">
            <v>1</v>
          </cell>
        </row>
        <row r="1737">
          <cell r="B1737" t="str">
            <v>XRM DUAL SPORTS FI(DS)</v>
          </cell>
          <cell r="G1737">
            <v>3</v>
          </cell>
          <cell r="I1737">
            <v>4</v>
          </cell>
        </row>
        <row r="1738">
          <cell r="B1738" t="str">
            <v>BAJAJ RE 4S FI</v>
          </cell>
          <cell r="G1738">
            <v>5</v>
          </cell>
          <cell r="H1738">
            <v>1</v>
          </cell>
          <cell r="I1738">
            <v>8</v>
          </cell>
        </row>
        <row r="1739">
          <cell r="B1739" t="str">
            <v>MIO AEROX 155</v>
          </cell>
          <cell r="H1739">
            <v>1</v>
          </cell>
        </row>
        <row r="1740">
          <cell r="B1740" t="str">
            <v>ADV160</v>
          </cell>
          <cell r="G1740">
            <v>2</v>
          </cell>
        </row>
        <row r="1741">
          <cell r="B1741" t="str">
            <v>CLICK160 FI</v>
          </cell>
          <cell r="H1741">
            <v>1</v>
          </cell>
          <cell r="I1741">
            <v>1</v>
          </cell>
        </row>
        <row r="1742">
          <cell r="B1742" t="str">
            <v>CLICK125 FI SE</v>
          </cell>
          <cell r="H1742">
            <v>1</v>
          </cell>
        </row>
        <row r="1743">
          <cell r="B1743" t="str">
            <v>ADV160</v>
          </cell>
          <cell r="G1743">
            <v>1</v>
          </cell>
        </row>
        <row r="1744">
          <cell r="B1744" t="str">
            <v>CLICK125 FI</v>
          </cell>
          <cell r="G1744">
            <v>5</v>
          </cell>
          <cell r="H1744">
            <v>1</v>
          </cell>
          <cell r="I1744">
            <v>1</v>
          </cell>
        </row>
        <row r="1745">
          <cell r="B1745" t="str">
            <v>RAIDER150 FI BLADE</v>
          </cell>
          <cell r="H1745">
            <v>1</v>
          </cell>
        </row>
        <row r="1746">
          <cell r="B1746" t="str">
            <v>NAVI</v>
          </cell>
          <cell r="H1746">
            <v>1</v>
          </cell>
        </row>
        <row r="1747">
          <cell r="B1747" t="str">
            <v>TMX ALPHA FI</v>
          </cell>
          <cell r="G1747">
            <v>3</v>
          </cell>
          <cell r="I1747">
            <v>2</v>
          </cell>
        </row>
        <row r="1748">
          <cell r="B1748" t="str">
            <v>TMX ALPHA FI</v>
          </cell>
          <cell r="G1748">
            <v>1</v>
          </cell>
        </row>
        <row r="1749">
          <cell r="B1749" t="str">
            <v>BAJAJ RE 4S FI</v>
          </cell>
          <cell r="I1749">
            <v>1</v>
          </cell>
        </row>
        <row r="1750">
          <cell r="B1750" t="str">
            <v>MIO GRAVIS</v>
          </cell>
          <cell r="I1750">
            <v>1</v>
          </cell>
        </row>
        <row r="1751">
          <cell r="B1751" t="str">
            <v>CRF150</v>
          </cell>
          <cell r="H1751">
            <v>2</v>
          </cell>
          <cell r="I1751">
            <v>3</v>
          </cell>
        </row>
        <row r="1752">
          <cell r="B1752" t="str">
            <v>CLICK125 FI</v>
          </cell>
          <cell r="G1752">
            <v>13</v>
          </cell>
        </row>
        <row r="1753">
          <cell r="B1753" t="str">
            <v>CLICK125 FI</v>
          </cell>
          <cell r="G1753">
            <v>17</v>
          </cell>
          <cell r="H1753">
            <v>9</v>
          </cell>
        </row>
        <row r="1754">
          <cell r="B1754" t="str">
            <v>CRF150</v>
          </cell>
          <cell r="G1754">
            <v>2</v>
          </cell>
          <cell r="I1754">
            <v>1</v>
          </cell>
        </row>
        <row r="1755">
          <cell r="B1755" t="str">
            <v>MIO AEROX 155</v>
          </cell>
          <cell r="G1755">
            <v>1</v>
          </cell>
          <cell r="H1755">
            <v>5</v>
          </cell>
          <cell r="I1755">
            <v>1</v>
          </cell>
        </row>
        <row r="1756">
          <cell r="B1756" t="str">
            <v>MIO GRAVIS</v>
          </cell>
          <cell r="H1756">
            <v>1</v>
          </cell>
        </row>
        <row r="1757">
          <cell r="B1757" t="str">
            <v>XR150</v>
          </cell>
          <cell r="G1757">
            <v>1</v>
          </cell>
          <cell r="I1757">
            <v>1</v>
          </cell>
        </row>
        <row r="1758">
          <cell r="B1758" t="str">
            <v>BEAT FI PREM</v>
          </cell>
          <cell r="G1758">
            <v>1</v>
          </cell>
        </row>
        <row r="1759">
          <cell r="B1759" t="str">
            <v>XRM MOTARD FI</v>
          </cell>
          <cell r="G1759">
            <v>3</v>
          </cell>
          <cell r="H1759">
            <v>3</v>
          </cell>
          <cell r="I1759">
            <v>1</v>
          </cell>
        </row>
        <row r="1760">
          <cell r="B1760" t="str">
            <v>XRM OFFROAD FI(DSX)</v>
          </cell>
          <cell r="G1760">
            <v>3</v>
          </cell>
          <cell r="H1760">
            <v>1</v>
          </cell>
        </row>
        <row r="1761">
          <cell r="B1761" t="str">
            <v>CLICK125 FI SE</v>
          </cell>
          <cell r="G1761">
            <v>6</v>
          </cell>
          <cell r="H1761">
            <v>9</v>
          </cell>
          <cell r="I1761">
            <v>5</v>
          </cell>
        </row>
        <row r="1762">
          <cell r="B1762" t="str">
            <v>MIO AEROX 155</v>
          </cell>
          <cell r="G1762">
            <v>1</v>
          </cell>
          <cell r="H1762">
            <v>1</v>
          </cell>
          <cell r="I1762">
            <v>1</v>
          </cell>
        </row>
        <row r="1763">
          <cell r="B1763" t="str">
            <v>SMASH(SPOKE)</v>
          </cell>
          <cell r="I1763">
            <v>1</v>
          </cell>
        </row>
        <row r="1764">
          <cell r="B1764" t="str">
            <v>SMASH(SPOKE)</v>
          </cell>
          <cell r="H1764">
            <v>1</v>
          </cell>
        </row>
        <row r="1765">
          <cell r="B1765" t="str">
            <v>BAJAJ RE 4S FI</v>
          </cell>
          <cell r="G1765">
            <v>1</v>
          </cell>
        </row>
        <row r="1766">
          <cell r="B1766" t="str">
            <v>NMAX155 FI ABS</v>
          </cell>
          <cell r="G1766">
            <v>1</v>
          </cell>
          <cell r="H1766">
            <v>2</v>
          </cell>
          <cell r="I1766">
            <v>2</v>
          </cell>
        </row>
        <row r="1767">
          <cell r="B1767" t="str">
            <v>PCX160 STANDARD</v>
          </cell>
          <cell r="H1767">
            <v>2</v>
          </cell>
          <cell r="I1767">
            <v>1</v>
          </cell>
        </row>
        <row r="1768">
          <cell r="B1768" t="str">
            <v>MIO GEAR</v>
          </cell>
          <cell r="H1768">
            <v>1</v>
          </cell>
        </row>
        <row r="1769">
          <cell r="B1769" t="str">
            <v>CRF150</v>
          </cell>
          <cell r="I1769">
            <v>1</v>
          </cell>
        </row>
        <row r="1770">
          <cell r="B1770" t="str">
            <v>SMASH(SPOKE)</v>
          </cell>
          <cell r="G1770">
            <v>1</v>
          </cell>
          <cell r="H1770">
            <v>1</v>
          </cell>
        </row>
        <row r="1771">
          <cell r="B1771" t="str">
            <v>CLICK160 FI</v>
          </cell>
          <cell r="H1771">
            <v>1</v>
          </cell>
        </row>
        <row r="1772">
          <cell r="B1772" t="str">
            <v>XRM DUAL SPORTS FI(DS)</v>
          </cell>
          <cell r="G1772">
            <v>2</v>
          </cell>
        </row>
        <row r="1773">
          <cell r="B1773" t="str">
            <v>MIO i125s</v>
          </cell>
          <cell r="H1773">
            <v>1</v>
          </cell>
          <cell r="I1773">
            <v>1</v>
          </cell>
        </row>
        <row r="1774">
          <cell r="B1774" t="str">
            <v>RAIDER150 FI BLADE</v>
          </cell>
          <cell r="G1774">
            <v>1</v>
          </cell>
          <cell r="I1774">
            <v>1</v>
          </cell>
        </row>
        <row r="1775">
          <cell r="B1775" t="str">
            <v>TMX ALPHA FI</v>
          </cell>
          <cell r="H1775">
            <v>2</v>
          </cell>
        </row>
        <row r="1776">
          <cell r="B1776" t="str">
            <v>CLICK125 FI</v>
          </cell>
          <cell r="G1776">
            <v>12</v>
          </cell>
          <cell r="H1776">
            <v>6</v>
          </cell>
          <cell r="I1776">
            <v>1</v>
          </cell>
        </row>
        <row r="1777">
          <cell r="B1777" t="str">
            <v>BARAKO III FI(DUAL START)</v>
          </cell>
          <cell r="G1777">
            <v>1</v>
          </cell>
        </row>
        <row r="1778">
          <cell r="B1778" t="str">
            <v>KLX150</v>
          </cell>
          <cell r="G1778">
            <v>6</v>
          </cell>
        </row>
        <row r="1779">
          <cell r="B1779" t="str">
            <v>XR150</v>
          </cell>
          <cell r="G1779">
            <v>1</v>
          </cell>
          <cell r="H1779">
            <v>4</v>
          </cell>
        </row>
        <row r="1780">
          <cell r="B1780" t="str">
            <v>GIORNO</v>
          </cell>
          <cell r="I1780">
            <v>1</v>
          </cell>
        </row>
        <row r="1781">
          <cell r="B1781" t="str">
            <v>GIORNO</v>
          </cell>
          <cell r="G1781">
            <v>2</v>
          </cell>
        </row>
        <row r="1782">
          <cell r="B1782" t="str">
            <v>ADV160</v>
          </cell>
          <cell r="G1782">
            <v>1</v>
          </cell>
        </row>
        <row r="1783">
          <cell r="B1783" t="str">
            <v>SNIPER 155 FI</v>
          </cell>
          <cell r="H1783">
            <v>1</v>
          </cell>
        </row>
        <row r="1784">
          <cell r="B1784" t="str">
            <v>ADV160</v>
          </cell>
          <cell r="G1784">
            <v>4</v>
          </cell>
        </row>
        <row r="1785">
          <cell r="B1785" t="str">
            <v>CLICK160 FI</v>
          </cell>
          <cell r="I1785">
            <v>2</v>
          </cell>
        </row>
        <row r="1786">
          <cell r="B1786" t="str">
            <v>XRM DUAL SPORTS FI(DS)</v>
          </cell>
          <cell r="H1786">
            <v>1</v>
          </cell>
          <cell r="I1786">
            <v>2</v>
          </cell>
        </row>
        <row r="1787">
          <cell r="B1787" t="str">
            <v>RAIDER150 FI BLADE</v>
          </cell>
          <cell r="I1787">
            <v>1</v>
          </cell>
        </row>
        <row r="1788">
          <cell r="B1788" t="str">
            <v>MIO AEROX 155</v>
          </cell>
          <cell r="G1788">
            <v>1</v>
          </cell>
        </row>
        <row r="1789">
          <cell r="B1789" t="str">
            <v>RAIDER150 FI BLADE</v>
          </cell>
          <cell r="I1789">
            <v>1</v>
          </cell>
        </row>
        <row r="1790">
          <cell r="B1790" t="str">
            <v>KLX150</v>
          </cell>
          <cell r="G1790">
            <v>2</v>
          </cell>
        </row>
        <row r="1791">
          <cell r="B1791" t="str">
            <v>ADV160</v>
          </cell>
          <cell r="G1791">
            <v>3</v>
          </cell>
          <cell r="H1791">
            <v>1</v>
          </cell>
        </row>
        <row r="1792">
          <cell r="B1792" t="str">
            <v>NMAX155 FI ABS</v>
          </cell>
          <cell r="G1792">
            <v>2</v>
          </cell>
          <cell r="H1792">
            <v>3</v>
          </cell>
          <cell r="I1792">
            <v>3</v>
          </cell>
        </row>
        <row r="1793">
          <cell r="B1793" t="str">
            <v>NMAX155 FI ABS</v>
          </cell>
          <cell r="G1793">
            <v>1</v>
          </cell>
        </row>
        <row r="1794">
          <cell r="B1794" t="str">
            <v>RAIDER150 FI BLADE</v>
          </cell>
          <cell r="G1794">
            <v>1</v>
          </cell>
          <cell r="H1794">
            <v>1</v>
          </cell>
        </row>
        <row r="1795">
          <cell r="B1795" t="str">
            <v>ADV160</v>
          </cell>
          <cell r="G1795">
            <v>5</v>
          </cell>
          <cell r="H1795">
            <v>1</v>
          </cell>
        </row>
        <row r="1796">
          <cell r="B1796" t="str">
            <v>RAIDER150 FI BLADE</v>
          </cell>
          <cell r="G1796">
            <v>1</v>
          </cell>
          <cell r="H1796">
            <v>1</v>
          </cell>
          <cell r="I1796">
            <v>1</v>
          </cell>
        </row>
        <row r="1797">
          <cell r="B1797" t="str">
            <v>XR150</v>
          </cell>
          <cell r="I1797">
            <v>1</v>
          </cell>
        </row>
        <row r="1798">
          <cell r="B1798" t="str">
            <v>MIO GRAVIS</v>
          </cell>
          <cell r="I1798">
            <v>1</v>
          </cell>
        </row>
        <row r="1799">
          <cell r="B1799" t="str">
            <v>XRM DUAL SPORTS FI(DS)</v>
          </cell>
          <cell r="H1799">
            <v>1</v>
          </cell>
        </row>
        <row r="1800">
          <cell r="B1800" t="str">
            <v>SMASH(MAGS)</v>
          </cell>
          <cell r="I1800">
            <v>1</v>
          </cell>
        </row>
        <row r="1801">
          <cell r="B1801" t="str">
            <v>CLICK125 FI SE</v>
          </cell>
          <cell r="H1801">
            <v>8</v>
          </cell>
        </row>
        <row r="1802">
          <cell r="B1802" t="str">
            <v>ADV160</v>
          </cell>
          <cell r="I1802">
            <v>1</v>
          </cell>
        </row>
        <row r="1803">
          <cell r="B1803" t="str">
            <v>MIO i125</v>
          </cell>
          <cell r="G1803">
            <v>1</v>
          </cell>
          <cell r="I1803">
            <v>1</v>
          </cell>
        </row>
        <row r="1804">
          <cell r="B1804" t="str">
            <v>CRF300</v>
          </cell>
          <cell r="G1804">
            <v>1</v>
          </cell>
          <cell r="H1804">
            <v>2</v>
          </cell>
        </row>
        <row r="1805">
          <cell r="B1805" t="str">
            <v>AVENIS125</v>
          </cell>
          <cell r="H1805">
            <v>1</v>
          </cell>
        </row>
        <row r="1806">
          <cell r="B1806" t="str">
            <v>BAJAJ RE 4S FI</v>
          </cell>
          <cell r="H1806">
            <v>1</v>
          </cell>
        </row>
        <row r="1807">
          <cell r="B1807" t="str">
            <v>KLX150</v>
          </cell>
          <cell r="I1807">
            <v>1</v>
          </cell>
        </row>
        <row r="1808">
          <cell r="B1808" t="str">
            <v>CT125</v>
          </cell>
          <cell r="G1808">
            <v>4</v>
          </cell>
          <cell r="H1808">
            <v>4</v>
          </cell>
          <cell r="I1808">
            <v>2</v>
          </cell>
        </row>
        <row r="1809">
          <cell r="B1809" t="str">
            <v>NMAX155 FI ABS</v>
          </cell>
          <cell r="G1809">
            <v>1</v>
          </cell>
        </row>
        <row r="1810">
          <cell r="B1810" t="str">
            <v>CLICK125 FI SE</v>
          </cell>
          <cell r="G1810">
            <v>3</v>
          </cell>
          <cell r="H1810">
            <v>2</v>
          </cell>
          <cell r="I1810">
            <v>4</v>
          </cell>
        </row>
        <row r="1811">
          <cell r="B1811" t="str">
            <v>XTZ125</v>
          </cell>
          <cell r="I1811">
            <v>1</v>
          </cell>
        </row>
        <row r="1812">
          <cell r="B1812" t="str">
            <v>ADV160</v>
          </cell>
          <cell r="H1812">
            <v>2</v>
          </cell>
        </row>
        <row r="1813">
          <cell r="B1813" t="str">
            <v>BAJAJ RE 4S FI</v>
          </cell>
          <cell r="G1813">
            <v>1</v>
          </cell>
        </row>
        <row r="1814">
          <cell r="B1814" t="str">
            <v>TMX150 SUPREMO</v>
          </cell>
          <cell r="G1814">
            <v>1</v>
          </cell>
        </row>
        <row r="1815">
          <cell r="B1815" t="str">
            <v>BAJAJ RE 4S FI</v>
          </cell>
          <cell r="I1815">
            <v>1</v>
          </cell>
        </row>
        <row r="1816">
          <cell r="B1816" t="str">
            <v>CLICK125 FI</v>
          </cell>
          <cell r="H1816">
            <v>1</v>
          </cell>
          <cell r="I1816">
            <v>5</v>
          </cell>
        </row>
        <row r="1817">
          <cell r="B1817" t="str">
            <v>RAIDER150 FI BLADE</v>
          </cell>
          <cell r="I1817">
            <v>1</v>
          </cell>
        </row>
        <row r="1818">
          <cell r="B1818" t="str">
            <v>BEAT FI PREM</v>
          </cell>
          <cell r="I1818">
            <v>1</v>
          </cell>
        </row>
        <row r="1819">
          <cell r="B1819" t="str">
            <v>XRM MOTARD FI</v>
          </cell>
          <cell r="G1819">
            <v>1</v>
          </cell>
          <cell r="I1819">
            <v>1</v>
          </cell>
        </row>
        <row r="1820">
          <cell r="B1820" t="str">
            <v>XRM DUAL SPORTS FI(DS)</v>
          </cell>
          <cell r="G1820">
            <v>2</v>
          </cell>
          <cell r="H1820">
            <v>2</v>
          </cell>
          <cell r="I1820">
            <v>5</v>
          </cell>
        </row>
        <row r="1821">
          <cell r="B1821" t="str">
            <v>RAIDER150 FI BLADE</v>
          </cell>
          <cell r="G1821">
            <v>2</v>
          </cell>
          <cell r="I1821">
            <v>3</v>
          </cell>
        </row>
        <row r="1822">
          <cell r="B1822" t="str">
            <v>ADV160</v>
          </cell>
          <cell r="G1822">
            <v>5</v>
          </cell>
          <cell r="H1822">
            <v>1</v>
          </cell>
          <cell r="I1822">
            <v>2</v>
          </cell>
        </row>
        <row r="1823">
          <cell r="B1823" t="str">
            <v>MIO AEROX S 155</v>
          </cell>
          <cell r="G1823">
            <v>1</v>
          </cell>
        </row>
        <row r="1824">
          <cell r="B1824" t="str">
            <v>MIO AEROX 155</v>
          </cell>
          <cell r="G1824">
            <v>1</v>
          </cell>
          <cell r="H1824">
            <v>1</v>
          </cell>
        </row>
        <row r="1825">
          <cell r="B1825" t="str">
            <v>MIO GEAR S</v>
          </cell>
          <cell r="H1825">
            <v>1</v>
          </cell>
        </row>
        <row r="1826">
          <cell r="B1826" t="str">
            <v>CLICK160 FI</v>
          </cell>
          <cell r="G1826">
            <v>1</v>
          </cell>
        </row>
        <row r="1827">
          <cell r="B1827" t="str">
            <v>XTZ125</v>
          </cell>
          <cell r="I1827">
            <v>1</v>
          </cell>
        </row>
        <row r="1828">
          <cell r="B1828" t="str">
            <v>CT100</v>
          </cell>
          <cell r="I1828">
            <v>1</v>
          </cell>
        </row>
        <row r="1829">
          <cell r="B1829" t="str">
            <v>CLICK125 FI SE</v>
          </cell>
          <cell r="G1829">
            <v>1</v>
          </cell>
          <cell r="H1829">
            <v>1</v>
          </cell>
        </row>
        <row r="1830">
          <cell r="B1830" t="str">
            <v>MIO GEAR S</v>
          </cell>
          <cell r="H1830">
            <v>1</v>
          </cell>
        </row>
        <row r="1831">
          <cell r="B1831" t="str">
            <v>CLICK125 FI SE</v>
          </cell>
          <cell r="G1831">
            <v>2</v>
          </cell>
          <cell r="H1831">
            <v>5</v>
          </cell>
          <cell r="I1831">
            <v>5</v>
          </cell>
        </row>
        <row r="1832">
          <cell r="B1832" t="str">
            <v>ADV160</v>
          </cell>
          <cell r="G1832">
            <v>1</v>
          </cell>
        </row>
        <row r="1833">
          <cell r="B1833" t="str">
            <v>CLICK160 FI</v>
          </cell>
          <cell r="G1833">
            <v>1</v>
          </cell>
          <cell r="H1833">
            <v>1</v>
          </cell>
        </row>
        <row r="1834">
          <cell r="B1834" t="str">
            <v>NMAX155 FI ABS</v>
          </cell>
          <cell r="H1834">
            <v>3</v>
          </cell>
        </row>
        <row r="1835">
          <cell r="B1835" t="str">
            <v>CT125</v>
          </cell>
          <cell r="G1835">
            <v>1</v>
          </cell>
          <cell r="I1835">
            <v>1</v>
          </cell>
        </row>
        <row r="1836">
          <cell r="B1836" t="str">
            <v>CLICK125 FI</v>
          </cell>
          <cell r="I1836">
            <v>2</v>
          </cell>
        </row>
        <row r="1837">
          <cell r="B1837" t="str">
            <v>RAIDER150 FI BLADE</v>
          </cell>
          <cell r="G1837">
            <v>1</v>
          </cell>
        </row>
        <row r="1838">
          <cell r="B1838" t="str">
            <v>XR150</v>
          </cell>
          <cell r="G1838">
            <v>1</v>
          </cell>
          <cell r="H1838">
            <v>21</v>
          </cell>
        </row>
        <row r="1839">
          <cell r="B1839" t="str">
            <v>V-STROM 160</v>
          </cell>
          <cell r="G1839">
            <v>1</v>
          </cell>
        </row>
        <row r="1840">
          <cell r="B1840" t="str">
            <v>XRM DUAL SPORTS FI(DS)</v>
          </cell>
          <cell r="G1840">
            <v>1</v>
          </cell>
          <cell r="H1840">
            <v>2</v>
          </cell>
          <cell r="I1840">
            <v>1</v>
          </cell>
        </row>
        <row r="1841">
          <cell r="B1841" t="str">
            <v>BARAKO II (KICK START)</v>
          </cell>
          <cell r="G1841">
            <v>1</v>
          </cell>
        </row>
        <row r="1842">
          <cell r="B1842" t="str">
            <v>XRM DUAL SPORTS FI(DS)</v>
          </cell>
          <cell r="I1842">
            <v>1</v>
          </cell>
        </row>
        <row r="1843">
          <cell r="B1843" t="str">
            <v>NMAX155 FI ABS</v>
          </cell>
          <cell r="G1843">
            <v>2</v>
          </cell>
          <cell r="I1843">
            <v>2</v>
          </cell>
        </row>
        <row r="1844">
          <cell r="B1844" t="str">
            <v>NMAX155 FI ABS</v>
          </cell>
          <cell r="G1844">
            <v>6</v>
          </cell>
          <cell r="H1844">
            <v>1</v>
          </cell>
          <cell r="I1844">
            <v>3</v>
          </cell>
        </row>
        <row r="1845">
          <cell r="B1845" t="str">
            <v>RAIDER150 FI BLADE</v>
          </cell>
          <cell r="I1845">
            <v>1</v>
          </cell>
        </row>
        <row r="1846">
          <cell r="B1846" t="str">
            <v>MIO i125</v>
          </cell>
          <cell r="H1846">
            <v>2</v>
          </cell>
        </row>
        <row r="1847">
          <cell r="B1847" t="str">
            <v>SMASH(SPOKE)</v>
          </cell>
          <cell r="G1847">
            <v>4</v>
          </cell>
        </row>
        <row r="1848">
          <cell r="B1848" t="str">
            <v>WINNER X STD</v>
          </cell>
          <cell r="H1848">
            <v>1</v>
          </cell>
        </row>
        <row r="1849">
          <cell r="B1849" t="str">
            <v>BOXER</v>
          </cell>
          <cell r="I1849">
            <v>2</v>
          </cell>
        </row>
        <row r="1850">
          <cell r="B1850" t="str">
            <v>CRF150</v>
          </cell>
          <cell r="G1850">
            <v>1</v>
          </cell>
          <cell r="I1850">
            <v>1</v>
          </cell>
        </row>
        <row r="1851">
          <cell r="B1851" t="str">
            <v>NMAX155 TECHMAX</v>
          </cell>
          <cell r="G1851">
            <v>1</v>
          </cell>
        </row>
        <row r="1852">
          <cell r="B1852" t="str">
            <v>CLICK125 FI</v>
          </cell>
          <cell r="H1852">
            <v>2</v>
          </cell>
          <cell r="I1852">
            <v>1</v>
          </cell>
        </row>
        <row r="1853">
          <cell r="B1853" t="str">
            <v>KLX150</v>
          </cell>
          <cell r="G1853">
            <v>3</v>
          </cell>
        </row>
        <row r="1854">
          <cell r="B1854" t="str">
            <v>CLICK125 FI</v>
          </cell>
          <cell r="G1854">
            <v>6</v>
          </cell>
          <cell r="I1854">
            <v>1</v>
          </cell>
        </row>
        <row r="1855">
          <cell r="B1855" t="str">
            <v>CLICK160 FI</v>
          </cell>
          <cell r="G1855">
            <v>1</v>
          </cell>
          <cell r="I1855">
            <v>1</v>
          </cell>
        </row>
        <row r="1856">
          <cell r="B1856" t="str">
            <v>ADV160</v>
          </cell>
          <cell r="I1856">
            <v>1</v>
          </cell>
        </row>
        <row r="1857">
          <cell r="B1857" t="str">
            <v>MIO AEROX 155</v>
          </cell>
          <cell r="I1857">
            <v>2</v>
          </cell>
        </row>
        <row r="1858">
          <cell r="B1858" t="str">
            <v>XRM RS</v>
          </cell>
          <cell r="H1858">
            <v>1</v>
          </cell>
          <cell r="I1858">
            <v>1</v>
          </cell>
        </row>
        <row r="1859">
          <cell r="B1859" t="str">
            <v>BEAT FI PREM</v>
          </cell>
          <cell r="H1859">
            <v>2</v>
          </cell>
          <cell r="I1859">
            <v>2</v>
          </cell>
        </row>
        <row r="1860">
          <cell r="B1860" t="str">
            <v>NMAX155 FI ABS</v>
          </cell>
          <cell r="G1860">
            <v>2</v>
          </cell>
          <cell r="H1860">
            <v>3</v>
          </cell>
        </row>
        <row r="1861">
          <cell r="B1861" t="str">
            <v>XRM RS</v>
          </cell>
          <cell r="H1861">
            <v>1</v>
          </cell>
        </row>
        <row r="1862">
          <cell r="B1862" t="str">
            <v>KLX150</v>
          </cell>
          <cell r="G1862">
            <v>2</v>
          </cell>
        </row>
        <row r="1863">
          <cell r="B1863" t="str">
            <v>CLICK160 FI</v>
          </cell>
          <cell r="G1863">
            <v>1</v>
          </cell>
        </row>
        <row r="1864">
          <cell r="B1864" t="str">
            <v>RAIDER150 FI BLADE</v>
          </cell>
          <cell r="I1864">
            <v>2</v>
          </cell>
        </row>
        <row r="1865">
          <cell r="B1865" t="str">
            <v>TMX ALPHA FI</v>
          </cell>
          <cell r="G1865">
            <v>1</v>
          </cell>
        </row>
        <row r="1866">
          <cell r="B1866" t="str">
            <v>RAIDER150 FI BLADE</v>
          </cell>
          <cell r="H1866">
            <v>1</v>
          </cell>
        </row>
        <row r="1867">
          <cell r="B1867" t="str">
            <v>CLICK160 FI</v>
          </cell>
          <cell r="H1867">
            <v>1</v>
          </cell>
        </row>
        <row r="1868">
          <cell r="B1868" t="str">
            <v>XRM RS</v>
          </cell>
          <cell r="G1868">
            <v>2</v>
          </cell>
          <cell r="H1868">
            <v>1</v>
          </cell>
        </row>
        <row r="1869">
          <cell r="B1869" t="str">
            <v>MIO AEROX 155</v>
          </cell>
          <cell r="H1869">
            <v>3</v>
          </cell>
          <cell r="I1869">
            <v>2</v>
          </cell>
        </row>
        <row r="1870">
          <cell r="B1870" t="str">
            <v>BAJAJ RE 4S FI</v>
          </cell>
          <cell r="I1870">
            <v>2</v>
          </cell>
        </row>
        <row r="1871">
          <cell r="B1871" t="str">
            <v>SNIPER 155 FI</v>
          </cell>
          <cell r="H1871">
            <v>2</v>
          </cell>
          <cell r="I1871">
            <v>4</v>
          </cell>
        </row>
        <row r="1872">
          <cell r="B1872" t="str">
            <v>BAJAJ RE 4S FI</v>
          </cell>
          <cell r="G1872">
            <v>1</v>
          </cell>
        </row>
        <row r="1873">
          <cell r="B1873" t="str">
            <v>NMAX155 TECHMAX</v>
          </cell>
          <cell r="G1873">
            <v>1</v>
          </cell>
        </row>
        <row r="1874">
          <cell r="B1874" t="str">
            <v>CLICK125 FI</v>
          </cell>
          <cell r="G1874">
            <v>7</v>
          </cell>
        </row>
        <row r="1875">
          <cell r="B1875" t="str">
            <v>YTX125</v>
          </cell>
          <cell r="G1875">
            <v>1</v>
          </cell>
        </row>
        <row r="1876">
          <cell r="B1876" t="str">
            <v>CLICK125 FI SE</v>
          </cell>
          <cell r="G1876">
            <v>1</v>
          </cell>
          <cell r="H1876">
            <v>4</v>
          </cell>
        </row>
        <row r="1877">
          <cell r="B1877" t="str">
            <v>MIO AEROX 155</v>
          </cell>
          <cell r="G1877">
            <v>1</v>
          </cell>
        </row>
        <row r="1878">
          <cell r="B1878" t="str">
            <v>BAJAJ RE 4S FI</v>
          </cell>
          <cell r="G1878">
            <v>1</v>
          </cell>
        </row>
        <row r="1879">
          <cell r="B1879" t="str">
            <v>CLICK125 FI</v>
          </cell>
          <cell r="G1879">
            <v>11</v>
          </cell>
          <cell r="H1879">
            <v>1</v>
          </cell>
          <cell r="I1879">
            <v>1</v>
          </cell>
        </row>
        <row r="1880">
          <cell r="B1880" t="str">
            <v>SMASH(SPOKE)</v>
          </cell>
          <cell r="I1880">
            <v>1</v>
          </cell>
        </row>
        <row r="1881">
          <cell r="B1881" t="str">
            <v>ADV160</v>
          </cell>
          <cell r="G1881">
            <v>1</v>
          </cell>
        </row>
        <row r="1882">
          <cell r="B1882" t="str">
            <v>LEXI 155</v>
          </cell>
          <cell r="H1882">
            <v>1</v>
          </cell>
        </row>
        <row r="1883">
          <cell r="B1883" t="str">
            <v>CRF150</v>
          </cell>
          <cell r="G1883">
            <v>1</v>
          </cell>
        </row>
        <row r="1884">
          <cell r="B1884" t="str">
            <v>NAVI</v>
          </cell>
          <cell r="G1884">
            <v>1</v>
          </cell>
          <cell r="I1884">
            <v>1</v>
          </cell>
        </row>
        <row r="1885">
          <cell r="B1885" t="str">
            <v>TMX ALPHA FI</v>
          </cell>
          <cell r="I1885">
            <v>1</v>
          </cell>
        </row>
        <row r="1886">
          <cell r="B1886" t="str">
            <v>MIO AEROX S 155</v>
          </cell>
          <cell r="H1886">
            <v>1</v>
          </cell>
        </row>
        <row r="1887">
          <cell r="B1887" t="str">
            <v>RAIDER150 FI BLADE</v>
          </cell>
          <cell r="I1887">
            <v>1</v>
          </cell>
        </row>
        <row r="1888">
          <cell r="B1888" t="str">
            <v>CLICK125 FI</v>
          </cell>
          <cell r="G1888">
            <v>4</v>
          </cell>
          <cell r="H1888">
            <v>5</v>
          </cell>
        </row>
        <row r="1889">
          <cell r="B1889" t="str">
            <v>XRM DUAL SPORTS FI(DS)</v>
          </cell>
          <cell r="G1889">
            <v>1</v>
          </cell>
        </row>
        <row r="1890">
          <cell r="B1890" t="str">
            <v>KLX150</v>
          </cell>
          <cell r="G1890">
            <v>1</v>
          </cell>
          <cell r="H1890">
            <v>1</v>
          </cell>
          <cell r="I1890">
            <v>3</v>
          </cell>
        </row>
        <row r="1891">
          <cell r="B1891" t="str">
            <v>KLX150</v>
          </cell>
          <cell r="I1891">
            <v>1</v>
          </cell>
        </row>
        <row r="1892">
          <cell r="B1892" t="str">
            <v>XRM OFFROAD FI(DSX)</v>
          </cell>
          <cell r="G1892">
            <v>1</v>
          </cell>
        </row>
        <row r="1893">
          <cell r="B1893" t="str">
            <v>KLX150</v>
          </cell>
          <cell r="G1893">
            <v>1</v>
          </cell>
        </row>
        <row r="1894">
          <cell r="B1894" t="str">
            <v>XRM DUAL SPORTS FI(DS)</v>
          </cell>
          <cell r="I1894">
            <v>1</v>
          </cell>
        </row>
        <row r="1895">
          <cell r="B1895" t="str">
            <v>ADV160</v>
          </cell>
          <cell r="H1895">
            <v>1</v>
          </cell>
        </row>
        <row r="1896">
          <cell r="B1896" t="str">
            <v>SMASH(SPOKE)</v>
          </cell>
          <cell r="G1896">
            <v>1</v>
          </cell>
        </row>
        <row r="1897">
          <cell r="B1897" t="str">
            <v>BAJAJ RE 4S FI</v>
          </cell>
          <cell r="G1897">
            <v>1</v>
          </cell>
          <cell r="H1897">
            <v>1</v>
          </cell>
        </row>
        <row r="1898">
          <cell r="B1898" t="str">
            <v>BURGMAN STREET EX</v>
          </cell>
          <cell r="G1898">
            <v>1</v>
          </cell>
        </row>
        <row r="1899">
          <cell r="B1899" t="str">
            <v>NAVI</v>
          </cell>
          <cell r="G1899">
            <v>1</v>
          </cell>
          <cell r="H1899">
            <v>1</v>
          </cell>
        </row>
        <row r="1900">
          <cell r="B1900" t="str">
            <v>TMX150 SUPREMO</v>
          </cell>
          <cell r="G1900">
            <v>1</v>
          </cell>
        </row>
        <row r="1901">
          <cell r="B1901" t="str">
            <v>SMASH(SPOKE)</v>
          </cell>
          <cell r="H1901">
            <v>1</v>
          </cell>
        </row>
        <row r="1902">
          <cell r="B1902" t="str">
            <v>CLICK125 FI</v>
          </cell>
          <cell r="G1902">
            <v>1</v>
          </cell>
        </row>
        <row r="1903">
          <cell r="B1903" t="str">
            <v>RAIDER150 FI BLADE</v>
          </cell>
          <cell r="G1903">
            <v>1</v>
          </cell>
          <cell r="I1903">
            <v>2</v>
          </cell>
        </row>
        <row r="1904">
          <cell r="B1904" t="str">
            <v>CLICK125 FI SE</v>
          </cell>
          <cell r="H1904">
            <v>4</v>
          </cell>
        </row>
        <row r="1905">
          <cell r="B1905" t="str">
            <v>CRF150</v>
          </cell>
          <cell r="G1905">
            <v>1</v>
          </cell>
          <cell r="H1905">
            <v>1</v>
          </cell>
        </row>
        <row r="1906">
          <cell r="B1906" t="str">
            <v>MIO GEAR</v>
          </cell>
          <cell r="H1906">
            <v>1</v>
          </cell>
        </row>
        <row r="1907">
          <cell r="B1907" t="str">
            <v>BAJAJ RE 4S FI</v>
          </cell>
          <cell r="G1907">
            <v>1</v>
          </cell>
          <cell r="H1907">
            <v>1</v>
          </cell>
          <cell r="I1907">
            <v>1</v>
          </cell>
        </row>
        <row r="1908">
          <cell r="B1908" t="str">
            <v>CLICK125 FI</v>
          </cell>
          <cell r="G1908">
            <v>5</v>
          </cell>
          <cell r="I1908">
            <v>6</v>
          </cell>
        </row>
        <row r="1909">
          <cell r="B1909" t="str">
            <v>ADV160</v>
          </cell>
          <cell r="G1909">
            <v>2</v>
          </cell>
          <cell r="H1909">
            <v>1</v>
          </cell>
        </row>
        <row r="1910">
          <cell r="B1910" t="str">
            <v>WINNER X ABS</v>
          </cell>
          <cell r="G1910">
            <v>1</v>
          </cell>
        </row>
        <row r="1911">
          <cell r="B1911" t="str">
            <v>BAJAJ RE 4S FI</v>
          </cell>
          <cell r="G1911">
            <v>1</v>
          </cell>
          <cell r="H1911">
            <v>1</v>
          </cell>
        </row>
        <row r="1912">
          <cell r="B1912" t="str">
            <v>RAIDER150 FI BLADE</v>
          </cell>
          <cell r="G1912">
            <v>1</v>
          </cell>
        </row>
        <row r="1913">
          <cell r="B1913" t="str">
            <v>GIORNO</v>
          </cell>
          <cell r="G1913">
            <v>2</v>
          </cell>
          <cell r="I1913">
            <v>1</v>
          </cell>
        </row>
        <row r="1914">
          <cell r="B1914" t="str">
            <v>CLICK125 FI SE</v>
          </cell>
          <cell r="G1914">
            <v>1</v>
          </cell>
          <cell r="H1914">
            <v>2</v>
          </cell>
          <cell r="I1914">
            <v>2</v>
          </cell>
        </row>
        <row r="1915">
          <cell r="B1915" t="str">
            <v>CLICK125 FI</v>
          </cell>
          <cell r="G1915">
            <v>3</v>
          </cell>
          <cell r="H1915">
            <v>8</v>
          </cell>
          <cell r="I1915">
            <v>10</v>
          </cell>
        </row>
        <row r="1916">
          <cell r="B1916" t="str">
            <v>MIO i125</v>
          </cell>
          <cell r="H1916">
            <v>2</v>
          </cell>
        </row>
        <row r="1917">
          <cell r="B1917" t="str">
            <v>CLICK125 FI</v>
          </cell>
          <cell r="G1917">
            <v>67</v>
          </cell>
          <cell r="H1917">
            <v>50</v>
          </cell>
          <cell r="I1917">
            <v>20</v>
          </cell>
        </row>
        <row r="1918">
          <cell r="B1918" t="str">
            <v>CLICK125 FI</v>
          </cell>
          <cell r="G1918">
            <v>2</v>
          </cell>
          <cell r="H1918">
            <v>6</v>
          </cell>
          <cell r="I1918">
            <v>5</v>
          </cell>
        </row>
        <row r="1919">
          <cell r="B1919" t="str">
            <v>BAJAJ RE 4S FI</v>
          </cell>
          <cell r="H1919">
            <v>2</v>
          </cell>
          <cell r="I1919">
            <v>1</v>
          </cell>
        </row>
        <row r="1920">
          <cell r="B1920" t="str">
            <v>NMAX155 TECHMAX</v>
          </cell>
          <cell r="I1920">
            <v>1</v>
          </cell>
        </row>
        <row r="1921">
          <cell r="B1921" t="str">
            <v>XRM MOTARD FI</v>
          </cell>
          <cell r="I1921">
            <v>3</v>
          </cell>
        </row>
        <row r="1922">
          <cell r="B1922" t="str">
            <v>BAJAJ RE 4S FI</v>
          </cell>
          <cell r="G1922">
            <v>2</v>
          </cell>
          <cell r="H1922">
            <v>4</v>
          </cell>
          <cell r="I1922">
            <v>2</v>
          </cell>
        </row>
        <row r="1923">
          <cell r="B1923" t="str">
            <v>RAIDER150 FI BLADE</v>
          </cell>
          <cell r="I1923">
            <v>1</v>
          </cell>
        </row>
        <row r="1924">
          <cell r="B1924" t="str">
            <v>CRF150</v>
          </cell>
          <cell r="G1924">
            <v>5</v>
          </cell>
          <cell r="H1924">
            <v>1</v>
          </cell>
          <cell r="I1924">
            <v>3</v>
          </cell>
        </row>
        <row r="1925">
          <cell r="B1925" t="str">
            <v>XR150</v>
          </cell>
          <cell r="H1925">
            <v>1</v>
          </cell>
        </row>
        <row r="1926">
          <cell r="B1926" t="str">
            <v>CLICK125 FI SE</v>
          </cell>
          <cell r="G1926">
            <v>6</v>
          </cell>
          <cell r="H1926">
            <v>10</v>
          </cell>
          <cell r="I1926">
            <v>7</v>
          </cell>
        </row>
        <row r="1927">
          <cell r="B1927" t="str">
            <v>MIO GRAVIS</v>
          </cell>
          <cell r="H1927">
            <v>1</v>
          </cell>
        </row>
        <row r="1928">
          <cell r="B1928" t="str">
            <v>CLICK125 FI</v>
          </cell>
          <cell r="G1928">
            <v>5</v>
          </cell>
          <cell r="I1928">
            <v>3</v>
          </cell>
        </row>
        <row r="1929">
          <cell r="B1929" t="str">
            <v>XRM DUAL SPORTS FI(DS)</v>
          </cell>
          <cell r="G1929">
            <v>3</v>
          </cell>
        </row>
        <row r="1930">
          <cell r="B1930" t="str">
            <v>NMAX155 TECHMAX</v>
          </cell>
          <cell r="I1930">
            <v>1</v>
          </cell>
        </row>
        <row r="1931">
          <cell r="B1931" t="str">
            <v>CLICK125 FI</v>
          </cell>
          <cell r="G1931">
            <v>24</v>
          </cell>
          <cell r="H1931">
            <v>1</v>
          </cell>
          <cell r="I1931">
            <v>37</v>
          </cell>
        </row>
        <row r="1932">
          <cell r="B1932" t="str">
            <v>XRM MOTARD FI</v>
          </cell>
          <cell r="G1932">
            <v>1</v>
          </cell>
          <cell r="H1932">
            <v>1</v>
          </cell>
        </row>
        <row r="1933">
          <cell r="B1933" t="str">
            <v>CLICK125 FI</v>
          </cell>
          <cell r="G1933">
            <v>1</v>
          </cell>
          <cell r="H1933">
            <v>3</v>
          </cell>
          <cell r="I1933">
            <v>7</v>
          </cell>
        </row>
        <row r="1934">
          <cell r="B1934" t="str">
            <v>CLICK125 FI</v>
          </cell>
          <cell r="G1934">
            <v>8</v>
          </cell>
          <cell r="I1934">
            <v>3</v>
          </cell>
        </row>
        <row r="1935">
          <cell r="B1935" t="str">
            <v>CLICK160 FI</v>
          </cell>
          <cell r="G1935">
            <v>2</v>
          </cell>
          <cell r="H1935">
            <v>1</v>
          </cell>
        </row>
        <row r="1936">
          <cell r="B1936" t="str">
            <v>CLICK125 FI</v>
          </cell>
          <cell r="G1936">
            <v>3</v>
          </cell>
        </row>
        <row r="1937">
          <cell r="B1937" t="str">
            <v>BAJAJ RE 4S FI</v>
          </cell>
          <cell r="H1937">
            <v>1</v>
          </cell>
        </row>
        <row r="1938">
          <cell r="B1938" t="str">
            <v>XRM DUAL SPORTS FI(DS)</v>
          </cell>
          <cell r="H1938">
            <v>1</v>
          </cell>
        </row>
        <row r="1939">
          <cell r="B1939" t="str">
            <v>XRM DUAL SPORTS FI(DS)</v>
          </cell>
          <cell r="H1939">
            <v>1</v>
          </cell>
          <cell r="I1939">
            <v>1</v>
          </cell>
        </row>
        <row r="1940">
          <cell r="B1940" t="str">
            <v>SNIPER 155 FI</v>
          </cell>
          <cell r="I1940">
            <v>5</v>
          </cell>
        </row>
        <row r="1941">
          <cell r="B1941" t="str">
            <v>NAVI</v>
          </cell>
          <cell r="H1941">
            <v>1</v>
          </cell>
        </row>
        <row r="1942">
          <cell r="B1942" t="str">
            <v>CLICK125 FI</v>
          </cell>
          <cell r="G1942">
            <v>2</v>
          </cell>
          <cell r="H1942">
            <v>2</v>
          </cell>
        </row>
        <row r="1943">
          <cell r="B1943" t="str">
            <v>CRF150</v>
          </cell>
          <cell r="G1943">
            <v>3</v>
          </cell>
        </row>
        <row r="1944">
          <cell r="B1944" t="str">
            <v>CLICK125 FI SE</v>
          </cell>
          <cell r="G1944">
            <v>2</v>
          </cell>
          <cell r="H1944">
            <v>3</v>
          </cell>
        </row>
        <row r="1945">
          <cell r="B1945" t="str">
            <v>BAJAJ RE 4S FI</v>
          </cell>
          <cell r="I1945">
            <v>1</v>
          </cell>
        </row>
        <row r="1946">
          <cell r="B1946" t="str">
            <v>SNIPER 155 FI</v>
          </cell>
          <cell r="I1946">
            <v>3</v>
          </cell>
        </row>
        <row r="1947">
          <cell r="B1947" t="str">
            <v>CLICK160 FI</v>
          </cell>
          <cell r="H1947">
            <v>1</v>
          </cell>
        </row>
        <row r="1948">
          <cell r="B1948" t="str">
            <v>MIO GRAVIS</v>
          </cell>
          <cell r="I1948">
            <v>1</v>
          </cell>
        </row>
        <row r="1949">
          <cell r="B1949" t="str">
            <v>YTX125</v>
          </cell>
          <cell r="I1949">
            <v>1</v>
          </cell>
        </row>
        <row r="1950">
          <cell r="B1950" t="str">
            <v>NMAX155 FI ABS</v>
          </cell>
          <cell r="H1950">
            <v>2</v>
          </cell>
          <cell r="I1950">
            <v>1</v>
          </cell>
        </row>
        <row r="1951">
          <cell r="B1951" t="str">
            <v>XRM MOTARD FI</v>
          </cell>
          <cell r="G1951">
            <v>1</v>
          </cell>
          <cell r="I1951">
            <v>2</v>
          </cell>
        </row>
        <row r="1952">
          <cell r="B1952" t="str">
            <v>BEAT FI PREM</v>
          </cell>
          <cell r="G1952">
            <v>2</v>
          </cell>
          <cell r="H1952">
            <v>2</v>
          </cell>
        </row>
        <row r="1953">
          <cell r="B1953" t="str">
            <v>XR150</v>
          </cell>
          <cell r="G1953">
            <v>1</v>
          </cell>
        </row>
        <row r="1954">
          <cell r="B1954" t="str">
            <v>CRF150</v>
          </cell>
          <cell r="G1954">
            <v>2</v>
          </cell>
          <cell r="H1954">
            <v>1</v>
          </cell>
          <cell r="I1954">
            <v>6</v>
          </cell>
        </row>
        <row r="1955">
          <cell r="B1955" t="str">
            <v>XRM DUAL SPORTS FI(DS)</v>
          </cell>
          <cell r="H1955">
            <v>1</v>
          </cell>
        </row>
        <row r="1956">
          <cell r="B1956" t="str">
            <v>MAXIMA Z</v>
          </cell>
          <cell r="G1956">
            <v>1</v>
          </cell>
        </row>
        <row r="1957">
          <cell r="B1957" t="str">
            <v>CT100</v>
          </cell>
          <cell r="I1957">
            <v>5</v>
          </cell>
        </row>
        <row r="1958">
          <cell r="B1958" t="str">
            <v>GIORNO</v>
          </cell>
          <cell r="G1958">
            <v>1</v>
          </cell>
          <cell r="I1958">
            <v>1</v>
          </cell>
        </row>
        <row r="1959">
          <cell r="B1959" t="str">
            <v>NAVI</v>
          </cell>
          <cell r="G1959">
            <v>1</v>
          </cell>
          <cell r="H1959">
            <v>1</v>
          </cell>
        </row>
        <row r="1960">
          <cell r="B1960" t="str">
            <v>TMX ALPHA FI</v>
          </cell>
          <cell r="G1960">
            <v>2</v>
          </cell>
        </row>
        <row r="1961">
          <cell r="B1961" t="str">
            <v>BAJAJ RE 4S FI</v>
          </cell>
          <cell r="I1961">
            <v>1</v>
          </cell>
        </row>
        <row r="1962">
          <cell r="B1962" t="str">
            <v>WINNER X RC</v>
          </cell>
          <cell r="H1962">
            <v>1</v>
          </cell>
        </row>
        <row r="1963">
          <cell r="B1963" t="str">
            <v>TMX ALPHA FI</v>
          </cell>
          <cell r="H1963">
            <v>1</v>
          </cell>
        </row>
        <row r="1964">
          <cell r="B1964" t="str">
            <v>CLICK125 FI</v>
          </cell>
          <cell r="G1964">
            <v>2</v>
          </cell>
          <cell r="H1964">
            <v>2</v>
          </cell>
          <cell r="I1964">
            <v>1</v>
          </cell>
        </row>
        <row r="1965">
          <cell r="B1965" t="str">
            <v>BAJAJ RE 4S FI</v>
          </cell>
          <cell r="I1965">
            <v>1</v>
          </cell>
        </row>
        <row r="1966">
          <cell r="B1966" t="str">
            <v>CLICK125 FI</v>
          </cell>
          <cell r="I1966">
            <v>3</v>
          </cell>
        </row>
        <row r="1967">
          <cell r="B1967" t="str">
            <v>CLICK125 FI</v>
          </cell>
          <cell r="I1967">
            <v>1</v>
          </cell>
        </row>
        <row r="1968">
          <cell r="B1968" t="str">
            <v>NAVI</v>
          </cell>
          <cell r="G1968">
            <v>1</v>
          </cell>
        </row>
        <row r="1969">
          <cell r="B1969" t="str">
            <v>NAVI</v>
          </cell>
          <cell r="G1969">
            <v>2</v>
          </cell>
        </row>
        <row r="1970">
          <cell r="B1970" t="str">
            <v>BURGMAN STREET EX</v>
          </cell>
          <cell r="H1970">
            <v>1</v>
          </cell>
        </row>
        <row r="1971">
          <cell r="B1971" t="str">
            <v>XRM DUAL SPORTS FI(DS)</v>
          </cell>
          <cell r="G1971">
            <v>2</v>
          </cell>
          <cell r="I1971">
            <v>2</v>
          </cell>
        </row>
        <row r="1972">
          <cell r="B1972" t="str">
            <v>ADV160</v>
          </cell>
          <cell r="I1972">
            <v>1</v>
          </cell>
        </row>
        <row r="1973">
          <cell r="B1973" t="str">
            <v>MIO AEROX 155</v>
          </cell>
          <cell r="G1973">
            <v>1</v>
          </cell>
        </row>
        <row r="1974">
          <cell r="B1974" t="str">
            <v>NMAX155 FI ABS</v>
          </cell>
          <cell r="G1974">
            <v>1</v>
          </cell>
        </row>
        <row r="1975">
          <cell r="B1975" t="str">
            <v>SMASH(SPOKE)</v>
          </cell>
          <cell r="G1975">
            <v>1</v>
          </cell>
          <cell r="H1975">
            <v>1</v>
          </cell>
        </row>
        <row r="1976">
          <cell r="B1976" t="str">
            <v>RAIDER150 FI BLADE</v>
          </cell>
          <cell r="G1976">
            <v>1</v>
          </cell>
        </row>
        <row r="1977">
          <cell r="B1977" t="str">
            <v>CT125</v>
          </cell>
          <cell r="I1977">
            <v>1</v>
          </cell>
        </row>
        <row r="1978">
          <cell r="B1978" t="str">
            <v>CLICK125 FI</v>
          </cell>
          <cell r="G1978">
            <v>3</v>
          </cell>
          <cell r="H1978">
            <v>2</v>
          </cell>
          <cell r="I1978">
            <v>9</v>
          </cell>
        </row>
        <row r="1979">
          <cell r="B1979" t="str">
            <v>XRM OFFROAD FI(DSX)</v>
          </cell>
          <cell r="G1979">
            <v>2</v>
          </cell>
          <cell r="H1979">
            <v>1</v>
          </cell>
          <cell r="I1979">
            <v>1</v>
          </cell>
        </row>
        <row r="1980">
          <cell r="B1980" t="str">
            <v>BAJAJ RE 4S FI</v>
          </cell>
          <cell r="I1980">
            <v>2</v>
          </cell>
        </row>
        <row r="1981">
          <cell r="B1981" t="str">
            <v>BAJAJ RE 4S FI</v>
          </cell>
          <cell r="G1981">
            <v>1</v>
          </cell>
          <cell r="I1981">
            <v>2</v>
          </cell>
        </row>
        <row r="1982">
          <cell r="B1982" t="str">
            <v>RAIDER150 FI BLADE</v>
          </cell>
          <cell r="G1982">
            <v>1</v>
          </cell>
          <cell r="H1982">
            <v>3</v>
          </cell>
        </row>
        <row r="1983">
          <cell r="B1983" t="str">
            <v>MIO AEROX 155</v>
          </cell>
          <cell r="G1983">
            <v>1</v>
          </cell>
        </row>
        <row r="1984">
          <cell r="B1984" t="str">
            <v>KLX150</v>
          </cell>
          <cell r="G1984">
            <v>1</v>
          </cell>
        </row>
        <row r="1985">
          <cell r="B1985" t="str">
            <v>NMAX155 FI ABS</v>
          </cell>
          <cell r="G1985">
            <v>2</v>
          </cell>
          <cell r="H1985">
            <v>2</v>
          </cell>
          <cell r="I1985">
            <v>2</v>
          </cell>
        </row>
        <row r="1986">
          <cell r="B1986" t="str">
            <v>XRM MOTARD FI</v>
          </cell>
          <cell r="G1986">
            <v>7</v>
          </cell>
          <cell r="H1986">
            <v>8</v>
          </cell>
          <cell r="I1986">
            <v>4</v>
          </cell>
        </row>
        <row r="1987">
          <cell r="B1987" t="str">
            <v>TMX ALPHA FI</v>
          </cell>
          <cell r="G1987">
            <v>1</v>
          </cell>
        </row>
        <row r="1988">
          <cell r="B1988" t="str">
            <v>CRF150</v>
          </cell>
          <cell r="H1988">
            <v>2</v>
          </cell>
        </row>
        <row r="1989">
          <cell r="B1989" t="str">
            <v>ADV160</v>
          </cell>
          <cell r="G1989">
            <v>1</v>
          </cell>
          <cell r="H1989">
            <v>1</v>
          </cell>
        </row>
        <row r="1990">
          <cell r="B1990" t="str">
            <v>CRF150</v>
          </cell>
          <cell r="H1990">
            <v>1</v>
          </cell>
          <cell r="I1990">
            <v>1</v>
          </cell>
        </row>
        <row r="1991">
          <cell r="B1991" t="str">
            <v>CLICK125 FI SE</v>
          </cell>
          <cell r="G1991">
            <v>4</v>
          </cell>
          <cell r="H1991">
            <v>3</v>
          </cell>
          <cell r="I1991">
            <v>2</v>
          </cell>
        </row>
        <row r="1992">
          <cell r="B1992" t="str">
            <v>ADV160</v>
          </cell>
          <cell r="H1992">
            <v>1</v>
          </cell>
        </row>
        <row r="1993">
          <cell r="B1993" t="str">
            <v>RAIDER150 CARB</v>
          </cell>
          <cell r="H1993">
            <v>1</v>
          </cell>
        </row>
        <row r="1994">
          <cell r="B1994" t="str">
            <v>TMX150 SUPREMO</v>
          </cell>
          <cell r="G1994">
            <v>1</v>
          </cell>
          <cell r="H1994">
            <v>3</v>
          </cell>
          <cell r="I1994">
            <v>2</v>
          </cell>
        </row>
        <row r="1995">
          <cell r="B1995" t="str">
            <v>KLX150</v>
          </cell>
          <cell r="H1995">
            <v>1</v>
          </cell>
        </row>
        <row r="1996">
          <cell r="B1996" t="str">
            <v>MIO AEROX 155</v>
          </cell>
          <cell r="I1996">
            <v>2</v>
          </cell>
        </row>
        <row r="1997">
          <cell r="B1997" t="str">
            <v>CT125</v>
          </cell>
          <cell r="G1997">
            <v>12</v>
          </cell>
          <cell r="H1997">
            <v>12</v>
          </cell>
          <cell r="I1997">
            <v>17</v>
          </cell>
        </row>
        <row r="1998">
          <cell r="B1998" t="str">
            <v>MIO AEROX S 155</v>
          </cell>
          <cell r="G1998">
            <v>1</v>
          </cell>
        </row>
        <row r="1999">
          <cell r="B1999" t="str">
            <v>BEAT FI PREM</v>
          </cell>
          <cell r="I1999">
            <v>1</v>
          </cell>
        </row>
        <row r="2000">
          <cell r="B2000" t="str">
            <v>MIO GRAVIS</v>
          </cell>
          <cell r="G2000">
            <v>1</v>
          </cell>
        </row>
        <row r="2001">
          <cell r="B2001" t="str">
            <v>ADV160</v>
          </cell>
          <cell r="I2001">
            <v>1</v>
          </cell>
        </row>
        <row r="2002">
          <cell r="B2002" t="str">
            <v>NMAX155 FI ABS</v>
          </cell>
          <cell r="H2002">
            <v>1</v>
          </cell>
        </row>
        <row r="2003">
          <cell r="B2003" t="str">
            <v>CRF150</v>
          </cell>
          <cell r="G2003">
            <v>2</v>
          </cell>
          <cell r="H2003">
            <v>1</v>
          </cell>
          <cell r="I2003">
            <v>1</v>
          </cell>
        </row>
        <row r="2004">
          <cell r="B2004" t="str">
            <v>BEAT FI PREM</v>
          </cell>
          <cell r="G2004">
            <v>1</v>
          </cell>
        </row>
        <row r="2005">
          <cell r="B2005" t="str">
            <v>RAIDER150 FI BLADE</v>
          </cell>
          <cell r="I2005">
            <v>1</v>
          </cell>
        </row>
        <row r="2006">
          <cell r="B2006" t="str">
            <v>SMASH(SPOKE)</v>
          </cell>
          <cell r="H2006">
            <v>1</v>
          </cell>
        </row>
        <row r="2007">
          <cell r="B2007" t="str">
            <v>MIO i125</v>
          </cell>
          <cell r="H2007">
            <v>2</v>
          </cell>
        </row>
        <row r="2008">
          <cell r="B2008" t="str">
            <v>RAIDER150 FI BLADE</v>
          </cell>
          <cell r="G2008">
            <v>1</v>
          </cell>
        </row>
        <row r="2009">
          <cell r="B2009" t="str">
            <v>PCX160 ROADSYNC</v>
          </cell>
          <cell r="G2009">
            <v>1</v>
          </cell>
        </row>
        <row r="2010">
          <cell r="B2010" t="str">
            <v>TMX150 SUPREMO</v>
          </cell>
          <cell r="I2010">
            <v>1</v>
          </cell>
        </row>
        <row r="2011">
          <cell r="B2011" t="str">
            <v>XRM OFFROAD FI(DSX)</v>
          </cell>
          <cell r="H2011">
            <v>4</v>
          </cell>
        </row>
        <row r="2012">
          <cell r="B2012" t="str">
            <v>BEAT FI STD</v>
          </cell>
          <cell r="I2012">
            <v>1</v>
          </cell>
        </row>
        <row r="2013">
          <cell r="B2013" t="str">
            <v>MIO GEAR</v>
          </cell>
          <cell r="I2013">
            <v>1</v>
          </cell>
        </row>
        <row r="2014">
          <cell r="B2014" t="str">
            <v>MIO i125</v>
          </cell>
          <cell r="G2014">
            <v>1</v>
          </cell>
        </row>
        <row r="2015">
          <cell r="B2015" t="str">
            <v>BEAT FI PREM</v>
          </cell>
          <cell r="G2015">
            <v>2</v>
          </cell>
          <cell r="H2015">
            <v>2</v>
          </cell>
        </row>
        <row r="2016">
          <cell r="B2016" t="str">
            <v>TMX ALPHA FI</v>
          </cell>
          <cell r="I2016">
            <v>1</v>
          </cell>
        </row>
        <row r="2017">
          <cell r="B2017" t="str">
            <v>BARAKO II (DUAL START)</v>
          </cell>
          <cell r="H2017">
            <v>2</v>
          </cell>
        </row>
        <row r="2018">
          <cell r="B2018" t="str">
            <v>CLICK160 FI</v>
          </cell>
          <cell r="G2018">
            <v>1</v>
          </cell>
        </row>
        <row r="2019">
          <cell r="B2019" t="str">
            <v>RAIDER150 FI BLADE</v>
          </cell>
          <cell r="H2019">
            <v>1</v>
          </cell>
        </row>
        <row r="2020">
          <cell r="B2020" t="str">
            <v>ADV160</v>
          </cell>
          <cell r="G2020">
            <v>1</v>
          </cell>
        </row>
        <row r="2021">
          <cell r="B2021" t="str">
            <v>CT125</v>
          </cell>
          <cell r="G2021">
            <v>2</v>
          </cell>
          <cell r="H2021">
            <v>3</v>
          </cell>
        </row>
        <row r="2022">
          <cell r="B2022" t="str">
            <v>ADV160</v>
          </cell>
          <cell r="H2022">
            <v>1</v>
          </cell>
        </row>
        <row r="2023">
          <cell r="B2023" t="str">
            <v>V-STROM 160</v>
          </cell>
          <cell r="H2023">
            <v>1</v>
          </cell>
        </row>
        <row r="2024">
          <cell r="B2024" t="str">
            <v>CLICK125 FI</v>
          </cell>
          <cell r="G2024">
            <v>5</v>
          </cell>
          <cell r="I2024">
            <v>6</v>
          </cell>
        </row>
        <row r="2025">
          <cell r="B2025" t="str">
            <v>MIO AEROX 155</v>
          </cell>
          <cell r="H2025">
            <v>1</v>
          </cell>
          <cell r="I2025">
            <v>2</v>
          </cell>
        </row>
        <row r="2026">
          <cell r="B2026" t="str">
            <v>MIO i125</v>
          </cell>
          <cell r="H2026">
            <v>1</v>
          </cell>
        </row>
        <row r="2027">
          <cell r="B2027" t="str">
            <v>TMX150 SUPREMO</v>
          </cell>
          <cell r="H2027">
            <v>1</v>
          </cell>
        </row>
        <row r="2028">
          <cell r="B2028" t="str">
            <v>CLICK160 FI</v>
          </cell>
          <cell r="I2028">
            <v>1</v>
          </cell>
        </row>
        <row r="2029">
          <cell r="B2029" t="str">
            <v>SMASH(SPOKE)</v>
          </cell>
          <cell r="G2029">
            <v>1</v>
          </cell>
        </row>
        <row r="2030">
          <cell r="B2030" t="str">
            <v>CLICK125 FI</v>
          </cell>
          <cell r="G2030">
            <v>9</v>
          </cell>
        </row>
        <row r="2031">
          <cell r="B2031" t="str">
            <v>CRF150</v>
          </cell>
          <cell r="G2031">
            <v>2</v>
          </cell>
          <cell r="I2031">
            <v>3</v>
          </cell>
        </row>
        <row r="2032">
          <cell r="B2032" t="str">
            <v>NMAX155 FI ABS</v>
          </cell>
          <cell r="I2032">
            <v>1</v>
          </cell>
        </row>
        <row r="2033">
          <cell r="B2033" t="str">
            <v>CLICK125 FI</v>
          </cell>
          <cell r="G2033">
            <v>5</v>
          </cell>
          <cell r="I2033">
            <v>2</v>
          </cell>
        </row>
        <row r="2034">
          <cell r="B2034" t="str">
            <v>BURGMAN STREET EX</v>
          </cell>
          <cell r="G2034">
            <v>1</v>
          </cell>
        </row>
        <row r="2035">
          <cell r="B2035" t="str">
            <v>BEAT FI PREM</v>
          </cell>
          <cell r="H2035">
            <v>1</v>
          </cell>
        </row>
        <row r="2036">
          <cell r="B2036" t="str">
            <v>GIORNO</v>
          </cell>
          <cell r="I2036">
            <v>3</v>
          </cell>
        </row>
        <row r="2037">
          <cell r="B2037" t="str">
            <v>MIO GEAR S</v>
          </cell>
          <cell r="G2037">
            <v>1</v>
          </cell>
          <cell r="H2037">
            <v>1</v>
          </cell>
        </row>
        <row r="2038">
          <cell r="B2038" t="str">
            <v>NAVI</v>
          </cell>
          <cell r="G2038">
            <v>1</v>
          </cell>
        </row>
        <row r="2039">
          <cell r="B2039" t="str">
            <v>BARAKO II (DUAL START)</v>
          </cell>
          <cell r="G2039">
            <v>3</v>
          </cell>
          <cell r="H2039">
            <v>5</v>
          </cell>
          <cell r="I2039">
            <v>2</v>
          </cell>
        </row>
        <row r="2040">
          <cell r="B2040" t="str">
            <v>MIO i125</v>
          </cell>
          <cell r="I2040">
            <v>1</v>
          </cell>
        </row>
        <row r="2041">
          <cell r="B2041" t="str">
            <v>ADV160</v>
          </cell>
          <cell r="G2041">
            <v>1</v>
          </cell>
        </row>
        <row r="2042">
          <cell r="B2042" t="str">
            <v>MIO i125</v>
          </cell>
          <cell r="H2042">
            <v>1</v>
          </cell>
          <cell r="I2042">
            <v>2</v>
          </cell>
        </row>
        <row r="2043">
          <cell r="B2043" t="str">
            <v>PCX160 ROADSYNC</v>
          </cell>
          <cell r="G2043">
            <v>1</v>
          </cell>
        </row>
        <row r="2044">
          <cell r="B2044" t="str">
            <v>CLICK125 FI</v>
          </cell>
          <cell r="G2044">
            <v>2</v>
          </cell>
          <cell r="H2044">
            <v>5</v>
          </cell>
          <cell r="I2044">
            <v>1</v>
          </cell>
        </row>
        <row r="2045">
          <cell r="B2045" t="str">
            <v>MIO i125</v>
          </cell>
          <cell r="G2045">
            <v>1</v>
          </cell>
        </row>
      </sheetData>
      <sheetData sheetId="2">
        <row r="2">
          <cell r="B2" t="str">
            <v>Description</v>
          </cell>
          <cell r="D2" t="str">
            <v>Quantity</v>
          </cell>
        </row>
        <row r="3">
          <cell r="B3" t="str">
            <v>TMX150 SUPREMO</v>
          </cell>
          <cell r="D3">
            <v>1</v>
          </cell>
        </row>
        <row r="4">
          <cell r="B4" t="str">
            <v>XR150</v>
          </cell>
          <cell r="D4">
            <v>1</v>
          </cell>
        </row>
        <row r="5">
          <cell r="B5" t="str">
            <v>XR150</v>
          </cell>
          <cell r="D5">
            <v>1</v>
          </cell>
        </row>
        <row r="6">
          <cell r="B6" t="str">
            <v>XRM RS</v>
          </cell>
          <cell r="D6">
            <v>1</v>
          </cell>
        </row>
        <row r="7">
          <cell r="B7" t="str">
            <v>SUPRA GTR</v>
          </cell>
          <cell r="D7">
            <v>1</v>
          </cell>
        </row>
        <row r="8">
          <cell r="B8" t="str">
            <v>TMX ALPHA FI</v>
          </cell>
          <cell r="D8">
            <v>1</v>
          </cell>
        </row>
        <row r="9">
          <cell r="B9" t="str">
            <v>PCX160 CBS</v>
          </cell>
          <cell r="D9">
            <v>1</v>
          </cell>
        </row>
        <row r="10">
          <cell r="B10" t="str">
            <v>PCX160 ABS</v>
          </cell>
          <cell r="D10">
            <v>1</v>
          </cell>
        </row>
        <row r="11">
          <cell r="B11" t="str">
            <v>PCX160 ABS</v>
          </cell>
          <cell r="D11">
            <v>1</v>
          </cell>
        </row>
        <row r="12">
          <cell r="B12" t="str">
            <v>BEAT FI STD</v>
          </cell>
          <cell r="D12">
            <v>1</v>
          </cell>
        </row>
        <row r="13">
          <cell r="B13" t="str">
            <v>CRF150</v>
          </cell>
          <cell r="D13">
            <v>1</v>
          </cell>
        </row>
        <row r="14">
          <cell r="B14" t="str">
            <v>CRF150</v>
          </cell>
          <cell r="D14">
            <v>1</v>
          </cell>
        </row>
        <row r="15">
          <cell r="B15" t="str">
            <v>WAVE RSX (DRUM)</v>
          </cell>
          <cell r="D15">
            <v>1</v>
          </cell>
        </row>
        <row r="16">
          <cell r="B16" t="str">
            <v>WAVE RSX (DRUM)</v>
          </cell>
          <cell r="D16">
            <v>1</v>
          </cell>
        </row>
        <row r="17">
          <cell r="B17" t="str">
            <v>AIRBLADE 160</v>
          </cell>
          <cell r="D17">
            <v>1</v>
          </cell>
        </row>
        <row r="18">
          <cell r="B18" t="str">
            <v>AIRBLADE 160</v>
          </cell>
          <cell r="D18">
            <v>1</v>
          </cell>
        </row>
        <row r="19">
          <cell r="B19" t="str">
            <v>AIRBLADE 160</v>
          </cell>
          <cell r="D19">
            <v>1</v>
          </cell>
        </row>
        <row r="20">
          <cell r="B20" t="str">
            <v>AIRBLADE 160</v>
          </cell>
          <cell r="D20">
            <v>1</v>
          </cell>
        </row>
        <row r="21">
          <cell r="B21" t="str">
            <v>AIRBLADE 160</v>
          </cell>
          <cell r="D21">
            <v>1</v>
          </cell>
        </row>
        <row r="22">
          <cell r="B22" t="str">
            <v>AIRBLADE 160</v>
          </cell>
          <cell r="D22">
            <v>1</v>
          </cell>
        </row>
        <row r="23">
          <cell r="B23" t="str">
            <v>AIRBLADE 160</v>
          </cell>
          <cell r="D23">
            <v>1</v>
          </cell>
        </row>
        <row r="24">
          <cell r="B24" t="str">
            <v>AIRBLADE 160</v>
          </cell>
          <cell r="D24">
            <v>1</v>
          </cell>
        </row>
        <row r="25">
          <cell r="B25" t="str">
            <v>CB150X</v>
          </cell>
          <cell r="D25">
            <v>2</v>
          </cell>
        </row>
        <row r="26">
          <cell r="B26" t="str">
            <v>CB150X</v>
          </cell>
          <cell r="D26">
            <v>1</v>
          </cell>
        </row>
        <row r="27">
          <cell r="B27" t="str">
            <v>CB150X</v>
          </cell>
          <cell r="D27">
            <v>1</v>
          </cell>
        </row>
        <row r="28">
          <cell r="B28" t="str">
            <v>WAVE RSX(DISC)</v>
          </cell>
          <cell r="D28">
            <v>1</v>
          </cell>
        </row>
        <row r="29">
          <cell r="B29" t="str">
            <v>ADV160</v>
          </cell>
          <cell r="D29">
            <v>1</v>
          </cell>
        </row>
        <row r="30">
          <cell r="B30" t="str">
            <v>ADV160</v>
          </cell>
          <cell r="D30">
            <v>1</v>
          </cell>
        </row>
        <row r="31">
          <cell r="B31" t="str">
            <v>ADV160</v>
          </cell>
          <cell r="D31">
            <v>1</v>
          </cell>
        </row>
        <row r="32">
          <cell r="B32" t="str">
            <v>ADV160</v>
          </cell>
          <cell r="D32">
            <v>1</v>
          </cell>
        </row>
        <row r="33">
          <cell r="B33" t="str">
            <v>ADV160</v>
          </cell>
          <cell r="D33">
            <v>1</v>
          </cell>
        </row>
        <row r="34">
          <cell r="B34" t="str">
            <v>ADV160</v>
          </cell>
          <cell r="D34">
            <v>1</v>
          </cell>
        </row>
        <row r="35">
          <cell r="B35" t="str">
            <v>ADV160</v>
          </cell>
          <cell r="D35">
            <v>1</v>
          </cell>
        </row>
        <row r="36">
          <cell r="B36" t="str">
            <v>ADV160</v>
          </cell>
          <cell r="D36">
            <v>3</v>
          </cell>
        </row>
        <row r="37">
          <cell r="B37" t="str">
            <v>ADV160</v>
          </cell>
          <cell r="D37">
            <v>3</v>
          </cell>
        </row>
        <row r="38">
          <cell r="B38" t="str">
            <v>ADV160</v>
          </cell>
          <cell r="D38">
            <v>1</v>
          </cell>
        </row>
        <row r="39">
          <cell r="B39" t="str">
            <v>ADV160</v>
          </cell>
          <cell r="D39">
            <v>1</v>
          </cell>
        </row>
        <row r="40">
          <cell r="B40" t="str">
            <v>ADV160</v>
          </cell>
          <cell r="D40">
            <v>1</v>
          </cell>
        </row>
        <row r="41">
          <cell r="B41" t="str">
            <v>ADV160</v>
          </cell>
          <cell r="D41">
            <v>1</v>
          </cell>
        </row>
        <row r="42">
          <cell r="B42" t="str">
            <v>ADV160</v>
          </cell>
          <cell r="D42">
            <v>1</v>
          </cell>
        </row>
        <row r="43">
          <cell r="B43" t="str">
            <v>ADV160</v>
          </cell>
          <cell r="D43">
            <v>1</v>
          </cell>
        </row>
        <row r="44">
          <cell r="B44" t="str">
            <v>ADV160</v>
          </cell>
          <cell r="D44">
            <v>1</v>
          </cell>
        </row>
        <row r="45">
          <cell r="B45" t="str">
            <v>ADV160</v>
          </cell>
          <cell r="D45">
            <v>1</v>
          </cell>
        </row>
        <row r="46">
          <cell r="B46" t="str">
            <v>ADV160</v>
          </cell>
          <cell r="D46">
            <v>1</v>
          </cell>
        </row>
        <row r="47">
          <cell r="B47" t="str">
            <v>ADV160</v>
          </cell>
          <cell r="D47">
            <v>1</v>
          </cell>
        </row>
        <row r="48">
          <cell r="B48" t="str">
            <v>ADV160</v>
          </cell>
          <cell r="D48">
            <v>1</v>
          </cell>
        </row>
        <row r="49">
          <cell r="B49" t="str">
            <v>ADV160</v>
          </cell>
          <cell r="D49">
            <v>1</v>
          </cell>
        </row>
        <row r="50">
          <cell r="B50" t="str">
            <v>ADV160</v>
          </cell>
          <cell r="D50">
            <v>1</v>
          </cell>
        </row>
        <row r="51">
          <cell r="B51" t="str">
            <v>ADV160</v>
          </cell>
          <cell r="D51">
            <v>1</v>
          </cell>
        </row>
        <row r="52">
          <cell r="B52" t="str">
            <v>ADV160</v>
          </cell>
          <cell r="D52">
            <v>1</v>
          </cell>
        </row>
        <row r="53">
          <cell r="B53" t="str">
            <v>ADV160</v>
          </cell>
          <cell r="D53">
            <v>1</v>
          </cell>
        </row>
        <row r="54">
          <cell r="B54" t="str">
            <v>ADV160</v>
          </cell>
          <cell r="D54">
            <v>1</v>
          </cell>
        </row>
        <row r="55">
          <cell r="B55" t="str">
            <v>XR150</v>
          </cell>
          <cell r="D55">
            <v>1</v>
          </cell>
        </row>
        <row r="56">
          <cell r="B56" t="str">
            <v>XR150</v>
          </cell>
          <cell r="D56">
            <v>1</v>
          </cell>
        </row>
        <row r="57">
          <cell r="B57" t="str">
            <v>XR150</v>
          </cell>
          <cell r="D57">
            <v>1</v>
          </cell>
        </row>
        <row r="58">
          <cell r="B58" t="str">
            <v>XR150</v>
          </cell>
          <cell r="D58">
            <v>2</v>
          </cell>
        </row>
        <row r="59">
          <cell r="B59" t="str">
            <v>XR150</v>
          </cell>
          <cell r="D59">
            <v>1</v>
          </cell>
        </row>
        <row r="60">
          <cell r="B60" t="str">
            <v>CRF125</v>
          </cell>
          <cell r="D60">
            <v>1</v>
          </cell>
        </row>
        <row r="61">
          <cell r="B61" t="str">
            <v>CRF300 RALLY</v>
          </cell>
          <cell r="D61">
            <v>1</v>
          </cell>
        </row>
        <row r="62">
          <cell r="B62" t="str">
            <v>CRF300 RALLY</v>
          </cell>
          <cell r="D62">
            <v>1</v>
          </cell>
        </row>
        <row r="63">
          <cell r="B63" t="str">
            <v>CRF300 RALLY</v>
          </cell>
          <cell r="D63">
            <v>1</v>
          </cell>
        </row>
        <row r="64">
          <cell r="B64" t="str">
            <v>CRF300 RALLY</v>
          </cell>
          <cell r="D64">
            <v>1</v>
          </cell>
        </row>
        <row r="65">
          <cell r="B65" t="str">
            <v>CRF300 RALLY</v>
          </cell>
          <cell r="D65">
            <v>1</v>
          </cell>
        </row>
        <row r="66">
          <cell r="B66" t="str">
            <v>XRM OFFROAD FI(DSX)</v>
          </cell>
          <cell r="D66">
            <v>1</v>
          </cell>
        </row>
        <row r="67">
          <cell r="B67" t="str">
            <v>TMX150 SUPREMO</v>
          </cell>
          <cell r="D67">
            <v>1</v>
          </cell>
        </row>
        <row r="68">
          <cell r="B68" t="str">
            <v>TMX150 SUPREMO</v>
          </cell>
          <cell r="D68">
            <v>3</v>
          </cell>
        </row>
        <row r="69">
          <cell r="B69" t="str">
            <v>TMX150 SUPREMO</v>
          </cell>
          <cell r="D69">
            <v>1</v>
          </cell>
        </row>
        <row r="70">
          <cell r="B70" t="str">
            <v>TMX150 SUPREMO</v>
          </cell>
          <cell r="D70">
            <v>1</v>
          </cell>
        </row>
        <row r="71">
          <cell r="B71" t="str">
            <v>TMX150 SUPREMO</v>
          </cell>
          <cell r="D71">
            <v>1</v>
          </cell>
        </row>
        <row r="72">
          <cell r="B72" t="str">
            <v>TMX150 SUPREMO</v>
          </cell>
          <cell r="D72">
            <v>3</v>
          </cell>
        </row>
        <row r="73">
          <cell r="B73" t="str">
            <v>TMX150 SUPREMO</v>
          </cell>
          <cell r="D73">
            <v>1</v>
          </cell>
        </row>
        <row r="74">
          <cell r="B74" t="str">
            <v>TMX150 SUPREMO</v>
          </cell>
          <cell r="D74">
            <v>2</v>
          </cell>
        </row>
        <row r="75">
          <cell r="B75" t="str">
            <v>TMX150 SUPREMO</v>
          </cell>
          <cell r="D75">
            <v>1</v>
          </cell>
        </row>
        <row r="76">
          <cell r="B76" t="str">
            <v>TMX150 SUPREMO</v>
          </cell>
          <cell r="D76">
            <v>1</v>
          </cell>
        </row>
        <row r="77">
          <cell r="B77" t="str">
            <v>TMX150 SUPREMO</v>
          </cell>
          <cell r="D77">
            <v>1</v>
          </cell>
        </row>
        <row r="78">
          <cell r="B78" t="str">
            <v>TMX150 SUPREMO</v>
          </cell>
          <cell r="D78">
            <v>1</v>
          </cell>
        </row>
        <row r="79">
          <cell r="B79" t="str">
            <v>TMX150 SUPREMO</v>
          </cell>
          <cell r="D79">
            <v>3</v>
          </cell>
        </row>
        <row r="80">
          <cell r="B80" t="str">
            <v>TMX150 SUPREMO</v>
          </cell>
          <cell r="D80">
            <v>1</v>
          </cell>
        </row>
        <row r="81">
          <cell r="B81" t="str">
            <v>TMX150 SUPREMO</v>
          </cell>
          <cell r="D81">
            <v>2</v>
          </cell>
        </row>
        <row r="82">
          <cell r="B82" t="str">
            <v>TMX150 SUPREMO</v>
          </cell>
          <cell r="D82">
            <v>1</v>
          </cell>
        </row>
        <row r="83">
          <cell r="B83" t="str">
            <v>TMX150 SUPREMO</v>
          </cell>
          <cell r="D83">
            <v>3</v>
          </cell>
        </row>
        <row r="84">
          <cell r="B84" t="str">
            <v>TMX150 SUPREMO</v>
          </cell>
          <cell r="D84">
            <v>2</v>
          </cell>
        </row>
        <row r="85">
          <cell r="B85" t="str">
            <v>TMX150 SUPREMO</v>
          </cell>
          <cell r="D85">
            <v>1</v>
          </cell>
        </row>
        <row r="86">
          <cell r="B86" t="str">
            <v>TMX150 SUPREMO</v>
          </cell>
          <cell r="D86">
            <v>1</v>
          </cell>
        </row>
        <row r="87">
          <cell r="B87" t="str">
            <v>TMX150 SUPREMO</v>
          </cell>
          <cell r="D87">
            <v>2</v>
          </cell>
        </row>
        <row r="88">
          <cell r="B88" t="str">
            <v>TMX150 SUPREMO</v>
          </cell>
          <cell r="D88">
            <v>1</v>
          </cell>
        </row>
        <row r="89">
          <cell r="B89" t="str">
            <v>TMX150 SUPREMO</v>
          </cell>
          <cell r="D89">
            <v>1</v>
          </cell>
        </row>
        <row r="90">
          <cell r="B90" t="str">
            <v>TMX150 SUPREMO</v>
          </cell>
          <cell r="D90">
            <v>1</v>
          </cell>
        </row>
        <row r="91">
          <cell r="B91" t="str">
            <v>TMX150 SUPREMO</v>
          </cell>
          <cell r="D91">
            <v>1</v>
          </cell>
        </row>
        <row r="92">
          <cell r="B92" t="str">
            <v>TMX150 SUPREMO</v>
          </cell>
          <cell r="D92">
            <v>3</v>
          </cell>
        </row>
        <row r="93">
          <cell r="B93" t="str">
            <v>TMX150 SUPREMO</v>
          </cell>
          <cell r="D93">
            <v>1</v>
          </cell>
        </row>
        <row r="94">
          <cell r="B94" t="str">
            <v>TMX150 SUPREMO</v>
          </cell>
          <cell r="D94">
            <v>2</v>
          </cell>
        </row>
        <row r="95">
          <cell r="B95" t="str">
            <v>TMX150 SUPREMO</v>
          </cell>
          <cell r="D95">
            <v>1</v>
          </cell>
        </row>
        <row r="96">
          <cell r="B96" t="str">
            <v>TMX150 SUPREMO</v>
          </cell>
          <cell r="D96">
            <v>1</v>
          </cell>
        </row>
        <row r="97">
          <cell r="B97" t="str">
            <v>PCX160 ABS</v>
          </cell>
          <cell r="D97">
            <v>1</v>
          </cell>
        </row>
        <row r="98">
          <cell r="B98" t="str">
            <v>BEAT FI STD</v>
          </cell>
          <cell r="D98">
            <v>1</v>
          </cell>
        </row>
        <row r="99">
          <cell r="B99" t="str">
            <v>WAVE RSX (DRUM)</v>
          </cell>
          <cell r="D99">
            <v>1</v>
          </cell>
        </row>
        <row r="100">
          <cell r="B100" t="str">
            <v>WAVE RSX (DRUM)</v>
          </cell>
          <cell r="D100">
            <v>1</v>
          </cell>
        </row>
        <row r="101">
          <cell r="B101" t="str">
            <v>WAVE RSX (DRUM)</v>
          </cell>
          <cell r="D101">
            <v>1</v>
          </cell>
        </row>
        <row r="102">
          <cell r="B102" t="str">
            <v>WAVE RSX (DRUM)</v>
          </cell>
          <cell r="D102">
            <v>1</v>
          </cell>
        </row>
        <row r="103">
          <cell r="B103" t="str">
            <v>WAVE RSX (DRUM)</v>
          </cell>
          <cell r="D103">
            <v>1</v>
          </cell>
        </row>
        <row r="104">
          <cell r="B104" t="str">
            <v>WAVE RSX (DRUM)</v>
          </cell>
          <cell r="D104">
            <v>1</v>
          </cell>
        </row>
        <row r="105">
          <cell r="B105" t="str">
            <v>WAVE RSX (DRUM)</v>
          </cell>
          <cell r="D105">
            <v>1</v>
          </cell>
        </row>
        <row r="106">
          <cell r="B106" t="str">
            <v>WAVE RSX (DRUM)</v>
          </cell>
          <cell r="D106">
            <v>1</v>
          </cell>
        </row>
        <row r="107">
          <cell r="B107" t="str">
            <v>WAVE RSX(DISC)</v>
          </cell>
          <cell r="D107">
            <v>1</v>
          </cell>
        </row>
        <row r="108">
          <cell r="B108" t="str">
            <v>WAVE RSX(DISC)</v>
          </cell>
          <cell r="D108">
            <v>1</v>
          </cell>
        </row>
        <row r="109">
          <cell r="B109" t="str">
            <v>WAVE RSX(DISC)</v>
          </cell>
          <cell r="D109">
            <v>1</v>
          </cell>
        </row>
        <row r="110">
          <cell r="B110" t="str">
            <v>WAVE RSX(DISC)</v>
          </cell>
          <cell r="D110">
            <v>1</v>
          </cell>
        </row>
        <row r="111">
          <cell r="B111" t="str">
            <v>WAVE RSX(DISC)</v>
          </cell>
          <cell r="D111">
            <v>2</v>
          </cell>
        </row>
        <row r="112">
          <cell r="B112" t="str">
            <v>WAVE RSX(DISC)</v>
          </cell>
          <cell r="D112">
            <v>1</v>
          </cell>
        </row>
        <row r="113">
          <cell r="B113" t="str">
            <v>WAVE RSX(DISC)</v>
          </cell>
          <cell r="D113">
            <v>1</v>
          </cell>
        </row>
        <row r="114">
          <cell r="B114" t="str">
            <v>WAVE RSX(DISC)</v>
          </cell>
          <cell r="D114">
            <v>1</v>
          </cell>
        </row>
        <row r="115">
          <cell r="B115" t="str">
            <v>WAVE RSX(DISC)</v>
          </cell>
          <cell r="D115">
            <v>1</v>
          </cell>
        </row>
        <row r="116">
          <cell r="B116" t="str">
            <v>WINNER X STD</v>
          </cell>
          <cell r="D116">
            <v>3</v>
          </cell>
        </row>
        <row r="117">
          <cell r="B117" t="str">
            <v>WINNER X STD</v>
          </cell>
          <cell r="D117">
            <v>1</v>
          </cell>
        </row>
        <row r="118">
          <cell r="B118" t="str">
            <v>WINNER X STD</v>
          </cell>
          <cell r="D118">
            <v>1</v>
          </cell>
        </row>
        <row r="119">
          <cell r="B119" t="str">
            <v>WINNER X STD</v>
          </cell>
          <cell r="D119">
            <v>2</v>
          </cell>
        </row>
        <row r="120">
          <cell r="B120" t="str">
            <v>WINNER X STD</v>
          </cell>
          <cell r="D120">
            <v>1</v>
          </cell>
        </row>
        <row r="121">
          <cell r="B121" t="str">
            <v>WINNER X STD</v>
          </cell>
          <cell r="D121">
            <v>2</v>
          </cell>
        </row>
        <row r="122">
          <cell r="B122" t="str">
            <v>WINNER X ABS</v>
          </cell>
          <cell r="D122">
            <v>3</v>
          </cell>
        </row>
        <row r="123">
          <cell r="B123" t="str">
            <v>WINNER X ABS</v>
          </cell>
          <cell r="D123">
            <v>1</v>
          </cell>
        </row>
        <row r="124">
          <cell r="B124" t="str">
            <v>WINNER X ABS</v>
          </cell>
          <cell r="D124">
            <v>2</v>
          </cell>
        </row>
        <row r="125">
          <cell r="B125" t="str">
            <v>WINNER X ABS</v>
          </cell>
          <cell r="D125">
            <v>1</v>
          </cell>
        </row>
        <row r="126">
          <cell r="B126" t="str">
            <v>WINNER X ABS</v>
          </cell>
          <cell r="D126">
            <v>2</v>
          </cell>
        </row>
        <row r="127">
          <cell r="B127" t="str">
            <v>WINNER X ABS</v>
          </cell>
          <cell r="D127">
            <v>1</v>
          </cell>
        </row>
        <row r="128">
          <cell r="B128" t="str">
            <v>WINNER X ABS</v>
          </cell>
          <cell r="D128">
            <v>1</v>
          </cell>
        </row>
        <row r="129">
          <cell r="B129" t="str">
            <v>WINNER X ABS</v>
          </cell>
          <cell r="D129">
            <v>1</v>
          </cell>
        </row>
        <row r="130">
          <cell r="B130" t="str">
            <v>TMX ALPHA FI</v>
          </cell>
          <cell r="D130">
            <v>1</v>
          </cell>
        </row>
        <row r="131">
          <cell r="B131" t="str">
            <v>TMX ALPHA FI</v>
          </cell>
          <cell r="D131">
            <v>1</v>
          </cell>
        </row>
        <row r="132">
          <cell r="B132" t="str">
            <v>TMX ALPHA FI</v>
          </cell>
          <cell r="D132">
            <v>2</v>
          </cell>
        </row>
        <row r="133">
          <cell r="B133" t="str">
            <v>TMX ALPHA FI</v>
          </cell>
          <cell r="D133">
            <v>2</v>
          </cell>
        </row>
        <row r="134">
          <cell r="B134" t="str">
            <v>TMX ALPHA FI</v>
          </cell>
          <cell r="D134">
            <v>1</v>
          </cell>
        </row>
        <row r="135">
          <cell r="B135" t="str">
            <v>TMX ALPHA FI</v>
          </cell>
          <cell r="D135">
            <v>2</v>
          </cell>
        </row>
        <row r="136">
          <cell r="B136" t="str">
            <v>TMX ALPHA FI</v>
          </cell>
          <cell r="D136">
            <v>1</v>
          </cell>
        </row>
        <row r="137">
          <cell r="B137" t="str">
            <v>TMX ALPHA FI</v>
          </cell>
          <cell r="D137">
            <v>1</v>
          </cell>
        </row>
        <row r="138">
          <cell r="B138" t="str">
            <v>TMX ALPHA FI</v>
          </cell>
          <cell r="D138">
            <v>1</v>
          </cell>
        </row>
        <row r="139">
          <cell r="B139" t="str">
            <v>TMX ALPHA FI</v>
          </cell>
          <cell r="D139">
            <v>1</v>
          </cell>
        </row>
        <row r="140">
          <cell r="B140" t="str">
            <v>TMX ALPHA FI</v>
          </cell>
          <cell r="D140">
            <v>1</v>
          </cell>
        </row>
        <row r="141">
          <cell r="B141" t="str">
            <v>TMX ALPHA FI</v>
          </cell>
          <cell r="D141">
            <v>1</v>
          </cell>
        </row>
        <row r="142">
          <cell r="B142" t="str">
            <v>TMX ALPHA FI</v>
          </cell>
          <cell r="D142">
            <v>1</v>
          </cell>
        </row>
        <row r="143">
          <cell r="B143" t="str">
            <v>TMX ALPHA FI</v>
          </cell>
          <cell r="D143">
            <v>4</v>
          </cell>
        </row>
        <row r="144">
          <cell r="B144" t="str">
            <v>TMX ALPHA FI</v>
          </cell>
          <cell r="D144">
            <v>1</v>
          </cell>
        </row>
        <row r="145">
          <cell r="B145" t="str">
            <v>TMX ALPHA FI</v>
          </cell>
          <cell r="D145">
            <v>1</v>
          </cell>
        </row>
        <row r="146">
          <cell r="B146" t="str">
            <v>TMX ALPHA FI</v>
          </cell>
          <cell r="D146">
            <v>2</v>
          </cell>
        </row>
        <row r="147">
          <cell r="B147" t="str">
            <v>TMX ALPHA FI</v>
          </cell>
          <cell r="D147">
            <v>11</v>
          </cell>
        </row>
        <row r="148">
          <cell r="B148" t="str">
            <v>TMX ALPHA FI</v>
          </cell>
          <cell r="D148">
            <v>1</v>
          </cell>
        </row>
        <row r="149">
          <cell r="B149" t="str">
            <v>TMX ALPHA FI</v>
          </cell>
          <cell r="D149">
            <v>1</v>
          </cell>
        </row>
        <row r="150">
          <cell r="B150" t="str">
            <v>TMX ALPHA FI</v>
          </cell>
          <cell r="D150">
            <v>1</v>
          </cell>
        </row>
        <row r="151">
          <cell r="B151" t="str">
            <v>TMX ALPHA FI</v>
          </cell>
          <cell r="D151">
            <v>2</v>
          </cell>
        </row>
        <row r="152">
          <cell r="B152" t="str">
            <v>TMX ALPHA FI</v>
          </cell>
          <cell r="D152">
            <v>1</v>
          </cell>
        </row>
        <row r="153">
          <cell r="B153" t="str">
            <v>TMX ALPHA FI</v>
          </cell>
          <cell r="D153">
            <v>2</v>
          </cell>
        </row>
        <row r="154">
          <cell r="B154" t="str">
            <v>TMX ALPHA FI</v>
          </cell>
          <cell r="D154">
            <v>1</v>
          </cell>
        </row>
        <row r="155">
          <cell r="B155" t="str">
            <v>TMX ALPHA FI</v>
          </cell>
          <cell r="D155">
            <v>1</v>
          </cell>
        </row>
        <row r="156">
          <cell r="B156" t="str">
            <v>TMX ALPHA FI</v>
          </cell>
          <cell r="D156">
            <v>1</v>
          </cell>
        </row>
        <row r="157">
          <cell r="B157" t="str">
            <v>TMX ALPHA FI</v>
          </cell>
          <cell r="D157">
            <v>3</v>
          </cell>
        </row>
        <row r="158">
          <cell r="B158" t="str">
            <v>TMX ALPHA FI</v>
          </cell>
          <cell r="D158">
            <v>1</v>
          </cell>
        </row>
        <row r="159">
          <cell r="B159" t="str">
            <v>TMX ALPHA FI</v>
          </cell>
          <cell r="D159">
            <v>1</v>
          </cell>
        </row>
        <row r="160">
          <cell r="B160" t="str">
            <v>TMX ALPHA FI</v>
          </cell>
          <cell r="D160">
            <v>26</v>
          </cell>
        </row>
        <row r="161">
          <cell r="B161" t="str">
            <v>TMX ALPHA FI</v>
          </cell>
          <cell r="D161">
            <v>2</v>
          </cell>
        </row>
        <row r="162">
          <cell r="B162" t="str">
            <v>TMX ALPHA FI</v>
          </cell>
          <cell r="D162">
            <v>2</v>
          </cell>
        </row>
        <row r="163">
          <cell r="B163" t="str">
            <v>TMX ALPHA FI</v>
          </cell>
          <cell r="D163">
            <v>1</v>
          </cell>
        </row>
        <row r="164">
          <cell r="B164" t="str">
            <v>TMX ALPHA FI</v>
          </cell>
          <cell r="D164">
            <v>1</v>
          </cell>
        </row>
        <row r="165">
          <cell r="B165" t="str">
            <v>TMX ALPHA FI</v>
          </cell>
          <cell r="D165">
            <v>1</v>
          </cell>
        </row>
        <row r="166">
          <cell r="B166" t="str">
            <v>TMX ALPHA FI</v>
          </cell>
          <cell r="D166">
            <v>2</v>
          </cell>
        </row>
        <row r="167">
          <cell r="B167" t="str">
            <v>TMX ALPHA FI</v>
          </cell>
          <cell r="D167">
            <v>1</v>
          </cell>
        </row>
        <row r="168">
          <cell r="B168" t="str">
            <v>TMX ALPHA FI</v>
          </cell>
          <cell r="D168">
            <v>1</v>
          </cell>
        </row>
        <row r="169">
          <cell r="B169" t="str">
            <v>TMX ALPHA FI</v>
          </cell>
          <cell r="D169">
            <v>2</v>
          </cell>
        </row>
        <row r="170">
          <cell r="B170" t="str">
            <v>TMX ALPHA FI</v>
          </cell>
          <cell r="D170">
            <v>1</v>
          </cell>
        </row>
        <row r="171">
          <cell r="B171" t="str">
            <v>TMX ALPHA FI</v>
          </cell>
          <cell r="D171">
            <v>1</v>
          </cell>
        </row>
        <row r="172">
          <cell r="B172" t="str">
            <v>TMX ALPHA FI</v>
          </cell>
          <cell r="D172">
            <v>2</v>
          </cell>
        </row>
        <row r="173">
          <cell r="B173" t="str">
            <v>TMX ALPHA FI</v>
          </cell>
          <cell r="D173">
            <v>4</v>
          </cell>
        </row>
        <row r="174">
          <cell r="B174" t="str">
            <v>TMX ALPHA FI</v>
          </cell>
          <cell r="D174">
            <v>1</v>
          </cell>
        </row>
        <row r="175">
          <cell r="B175" t="str">
            <v>TMX ALPHA FI</v>
          </cell>
          <cell r="D175">
            <v>1</v>
          </cell>
        </row>
        <row r="176">
          <cell r="B176" t="str">
            <v>BEAT FI PREM</v>
          </cell>
          <cell r="D176">
            <v>1</v>
          </cell>
        </row>
        <row r="177">
          <cell r="B177" t="str">
            <v>XRM DUAL SPORTS FI(DS)</v>
          </cell>
          <cell r="D177">
            <v>49</v>
          </cell>
        </row>
        <row r="178">
          <cell r="B178" t="str">
            <v>XRM DUAL SPORTS FI(DS)</v>
          </cell>
          <cell r="D178">
            <v>1</v>
          </cell>
        </row>
        <row r="179">
          <cell r="B179" t="str">
            <v>XRM DUAL SPORTS FI(DS)</v>
          </cell>
          <cell r="D179">
            <v>3</v>
          </cell>
        </row>
        <row r="180">
          <cell r="B180" t="str">
            <v>XRM DUAL SPORTS FI(DS)</v>
          </cell>
          <cell r="D180">
            <v>2</v>
          </cell>
        </row>
        <row r="181">
          <cell r="B181" t="str">
            <v>XRM DUAL SPORTS FI(DS)</v>
          </cell>
          <cell r="D181">
            <v>3</v>
          </cell>
        </row>
        <row r="182">
          <cell r="B182" t="str">
            <v>XRM DUAL SPORTS FI(DS)</v>
          </cell>
          <cell r="D182">
            <v>4</v>
          </cell>
        </row>
        <row r="183">
          <cell r="B183" t="str">
            <v>XRM DUAL SPORTS FI(DS)</v>
          </cell>
          <cell r="D183">
            <v>5</v>
          </cell>
        </row>
        <row r="184">
          <cell r="B184" t="str">
            <v>XRM DUAL SPORTS FI(DS)</v>
          </cell>
          <cell r="D184">
            <v>4</v>
          </cell>
        </row>
        <row r="185">
          <cell r="B185" t="str">
            <v>XRM DUAL SPORTS FI(DS)</v>
          </cell>
          <cell r="D185">
            <v>4</v>
          </cell>
        </row>
        <row r="186">
          <cell r="B186" t="str">
            <v>XRM DUAL SPORTS FI(DS)</v>
          </cell>
          <cell r="D186">
            <v>3</v>
          </cell>
        </row>
        <row r="187">
          <cell r="B187" t="str">
            <v>XRM DUAL SPORTS FI(DS)</v>
          </cell>
          <cell r="D187">
            <v>2</v>
          </cell>
        </row>
        <row r="188">
          <cell r="B188" t="str">
            <v>XRM DUAL SPORTS FI(DS)</v>
          </cell>
          <cell r="D188">
            <v>1</v>
          </cell>
        </row>
        <row r="189">
          <cell r="B189" t="str">
            <v>XRM DUAL SPORTS FI(DS)</v>
          </cell>
          <cell r="D189">
            <v>1</v>
          </cell>
        </row>
        <row r="190">
          <cell r="B190" t="str">
            <v>XRM DUAL SPORTS FI(DS)</v>
          </cell>
          <cell r="D190">
            <v>1</v>
          </cell>
        </row>
        <row r="191">
          <cell r="B191" t="str">
            <v>XRM DUAL SPORTS FI(DS)</v>
          </cell>
          <cell r="D191">
            <v>3</v>
          </cell>
        </row>
        <row r="192">
          <cell r="B192" t="str">
            <v>XRM DUAL SPORTS FI(DS)</v>
          </cell>
          <cell r="D192">
            <v>3</v>
          </cell>
        </row>
        <row r="193">
          <cell r="B193" t="str">
            <v>XRM DUAL SPORTS FI(DS)</v>
          </cell>
          <cell r="D193">
            <v>2</v>
          </cell>
        </row>
        <row r="194">
          <cell r="B194" t="str">
            <v>XRM DUAL SPORTS FI(DS)</v>
          </cell>
          <cell r="D194">
            <v>2</v>
          </cell>
        </row>
        <row r="195">
          <cell r="B195" t="str">
            <v>XRM DUAL SPORTS FI(DS)</v>
          </cell>
          <cell r="D195">
            <v>2</v>
          </cell>
        </row>
        <row r="196">
          <cell r="B196" t="str">
            <v>XRM DUAL SPORTS FI(DS)</v>
          </cell>
          <cell r="D196">
            <v>2</v>
          </cell>
        </row>
        <row r="197">
          <cell r="B197" t="str">
            <v>XRM DUAL SPORTS FI(DS)</v>
          </cell>
          <cell r="D197">
            <v>2</v>
          </cell>
        </row>
        <row r="198">
          <cell r="B198" t="str">
            <v>XRM DUAL SPORTS FI(DS)</v>
          </cell>
          <cell r="D198">
            <v>4</v>
          </cell>
        </row>
        <row r="199">
          <cell r="B199" t="str">
            <v>XRM DUAL SPORTS FI(DS)</v>
          </cell>
          <cell r="D199">
            <v>3</v>
          </cell>
        </row>
        <row r="200">
          <cell r="B200" t="str">
            <v>XRM DUAL SPORTS FI(DS)</v>
          </cell>
          <cell r="D200">
            <v>6</v>
          </cell>
        </row>
        <row r="201">
          <cell r="B201" t="str">
            <v>XRM DUAL SPORTS FI(DS)</v>
          </cell>
          <cell r="D201">
            <v>4</v>
          </cell>
        </row>
        <row r="202">
          <cell r="B202" t="str">
            <v>XRM DUAL SPORTS FI(DS)</v>
          </cell>
          <cell r="D202">
            <v>1</v>
          </cell>
        </row>
        <row r="203">
          <cell r="B203" t="str">
            <v>XRM DUAL SPORTS FI(DS)</v>
          </cell>
          <cell r="D203">
            <v>6</v>
          </cell>
        </row>
        <row r="204">
          <cell r="B204" t="str">
            <v>XRM DUAL SPORTS FI(DS)</v>
          </cell>
          <cell r="D204">
            <v>2</v>
          </cell>
        </row>
        <row r="205">
          <cell r="B205" t="str">
            <v>XRM DUAL SPORTS FI(DS)</v>
          </cell>
          <cell r="D205">
            <v>2</v>
          </cell>
        </row>
        <row r="206">
          <cell r="B206" t="str">
            <v>XRM DUAL SPORTS FI(DS)</v>
          </cell>
          <cell r="D206">
            <v>2</v>
          </cell>
        </row>
        <row r="207">
          <cell r="B207" t="str">
            <v>XRM DUAL SPORTS FI(DS)</v>
          </cell>
          <cell r="D207">
            <v>4</v>
          </cell>
        </row>
        <row r="208">
          <cell r="B208" t="str">
            <v>XRM DUAL SPORTS FI(DS)</v>
          </cell>
          <cell r="D208">
            <v>8</v>
          </cell>
        </row>
        <row r="209">
          <cell r="B209" t="str">
            <v>XRM DUAL SPORTS FI(DS)</v>
          </cell>
          <cell r="D209">
            <v>3</v>
          </cell>
        </row>
        <row r="210">
          <cell r="B210" t="str">
            <v>XRM DUAL SPORTS FI(DS)</v>
          </cell>
          <cell r="D210">
            <v>9</v>
          </cell>
        </row>
        <row r="211">
          <cell r="B211" t="str">
            <v>XRM DUAL SPORTS FI(DS)</v>
          </cell>
          <cell r="D211">
            <v>15</v>
          </cell>
        </row>
        <row r="212">
          <cell r="B212" t="str">
            <v>XRM DUAL SPORTS FI(DS)</v>
          </cell>
          <cell r="D212">
            <v>1</v>
          </cell>
        </row>
        <row r="213">
          <cell r="B213" t="str">
            <v>XRM DUAL SPORTS FI(DS)</v>
          </cell>
          <cell r="D213">
            <v>4</v>
          </cell>
        </row>
        <row r="214">
          <cell r="B214" t="str">
            <v>XRM DUAL SPORTS FI(DS)</v>
          </cell>
          <cell r="D214">
            <v>2</v>
          </cell>
        </row>
        <row r="215">
          <cell r="B215" t="str">
            <v>XRM DUAL SPORTS FI(DS)</v>
          </cell>
          <cell r="D215">
            <v>1</v>
          </cell>
        </row>
        <row r="216">
          <cell r="B216" t="str">
            <v>XRM DUAL SPORTS FI(DS)</v>
          </cell>
          <cell r="D216">
            <v>2</v>
          </cell>
        </row>
        <row r="217">
          <cell r="B217" t="str">
            <v>XRM DUAL SPORTS FI(DS)</v>
          </cell>
          <cell r="D217">
            <v>1</v>
          </cell>
        </row>
        <row r="218">
          <cell r="B218" t="str">
            <v>XRM DUAL SPORTS FI(DS)</v>
          </cell>
          <cell r="D218">
            <v>2</v>
          </cell>
        </row>
        <row r="219">
          <cell r="B219" t="str">
            <v>XRM DUAL SPORTS FI(DS)</v>
          </cell>
          <cell r="D219">
            <v>1</v>
          </cell>
        </row>
        <row r="220">
          <cell r="B220" t="str">
            <v>XRM DUAL SPORTS FI(DS)</v>
          </cell>
          <cell r="D220">
            <v>1</v>
          </cell>
        </row>
        <row r="221">
          <cell r="B221" t="str">
            <v>XRM DUAL SPORTS FI(DS)</v>
          </cell>
          <cell r="D221">
            <v>5</v>
          </cell>
        </row>
        <row r="222">
          <cell r="B222" t="str">
            <v>XRM DUAL SPORTS FI(DS)</v>
          </cell>
          <cell r="D222">
            <v>1</v>
          </cell>
        </row>
        <row r="223">
          <cell r="B223" t="str">
            <v>XRM DUAL SPORTS FI(DS)</v>
          </cell>
          <cell r="D223">
            <v>4</v>
          </cell>
        </row>
        <row r="224">
          <cell r="B224" t="str">
            <v>XRM DUAL SPORTS FI(DS)</v>
          </cell>
          <cell r="D224">
            <v>2</v>
          </cell>
        </row>
        <row r="225">
          <cell r="B225" t="str">
            <v>XRM DUAL SPORTS FI(DS)</v>
          </cell>
          <cell r="D225">
            <v>1</v>
          </cell>
        </row>
        <row r="226">
          <cell r="B226" t="str">
            <v>XRM DUAL SPORTS FI(DS)</v>
          </cell>
          <cell r="D226">
            <v>6</v>
          </cell>
        </row>
        <row r="227">
          <cell r="B227" t="str">
            <v>XRM DUAL SPORTS FI(DS)</v>
          </cell>
          <cell r="D227">
            <v>2</v>
          </cell>
        </row>
        <row r="228">
          <cell r="B228" t="str">
            <v>XRM DUAL SPORTS FI(DS)</v>
          </cell>
          <cell r="D228">
            <v>2</v>
          </cell>
        </row>
        <row r="229">
          <cell r="B229" t="str">
            <v>XRM DUAL SPORTS FI(DS)</v>
          </cell>
          <cell r="D229">
            <v>2</v>
          </cell>
        </row>
        <row r="230">
          <cell r="B230" t="str">
            <v>XRM DUAL SPORTS FI(DS)</v>
          </cell>
          <cell r="D230">
            <v>5</v>
          </cell>
        </row>
        <row r="231">
          <cell r="B231" t="str">
            <v>XRM DUAL SPORTS FI(DS)</v>
          </cell>
          <cell r="D231">
            <v>2</v>
          </cell>
        </row>
        <row r="232">
          <cell r="B232" t="str">
            <v>XRM DUAL SPORTS FI(DS)</v>
          </cell>
          <cell r="D232">
            <v>4</v>
          </cell>
        </row>
        <row r="233">
          <cell r="B233" t="str">
            <v>XRM DUAL SPORTS FI(DS)</v>
          </cell>
          <cell r="D233">
            <v>3</v>
          </cell>
        </row>
        <row r="234">
          <cell r="B234" t="str">
            <v>XRM DUAL SPORTS FI(DS)</v>
          </cell>
          <cell r="D234">
            <v>1</v>
          </cell>
        </row>
        <row r="235">
          <cell r="B235" t="str">
            <v>XRM DUAL SPORTS FI(DS)</v>
          </cell>
          <cell r="D235">
            <v>3</v>
          </cell>
        </row>
        <row r="236">
          <cell r="B236" t="str">
            <v>XRM DUAL SPORTS FI(DS)</v>
          </cell>
          <cell r="D236">
            <v>2</v>
          </cell>
        </row>
        <row r="237">
          <cell r="B237" t="str">
            <v>XRM DUAL SPORTS FI(DS)</v>
          </cell>
          <cell r="D237">
            <v>4</v>
          </cell>
        </row>
        <row r="238">
          <cell r="B238" t="str">
            <v>XRM DUAL SPORTS FI(DS)</v>
          </cell>
          <cell r="D238">
            <v>2</v>
          </cell>
        </row>
        <row r="239">
          <cell r="B239" t="str">
            <v>XRM DUAL SPORTS FI(DS)</v>
          </cell>
          <cell r="D239">
            <v>2</v>
          </cell>
        </row>
        <row r="240">
          <cell r="B240" t="str">
            <v>XRM DUAL SPORTS FI(DS)</v>
          </cell>
          <cell r="D240">
            <v>2</v>
          </cell>
        </row>
        <row r="241">
          <cell r="B241" t="str">
            <v>XRM DUAL SPORTS FI(DS)</v>
          </cell>
          <cell r="D241">
            <v>1</v>
          </cell>
        </row>
        <row r="242">
          <cell r="B242" t="str">
            <v>XRM DUAL SPORTS FI(DS)</v>
          </cell>
          <cell r="D242">
            <v>1</v>
          </cell>
        </row>
        <row r="243">
          <cell r="B243" t="str">
            <v>XRM DUAL SPORTS FI(DS)</v>
          </cell>
          <cell r="D243">
            <v>1</v>
          </cell>
        </row>
        <row r="244">
          <cell r="B244" t="str">
            <v>XRM DUAL SPORTS FI(DS)</v>
          </cell>
          <cell r="D244">
            <v>29</v>
          </cell>
        </row>
        <row r="245">
          <cell r="B245" t="str">
            <v>XRM DUAL SPORTS FI(DS)</v>
          </cell>
          <cell r="D245">
            <v>2</v>
          </cell>
        </row>
        <row r="246">
          <cell r="B246" t="str">
            <v>XRM DUAL SPORTS FI(DS)</v>
          </cell>
          <cell r="D246">
            <v>1</v>
          </cell>
        </row>
        <row r="247">
          <cell r="B247" t="str">
            <v>XRM DUAL SPORTS FI(DS)</v>
          </cell>
          <cell r="D247">
            <v>1</v>
          </cell>
        </row>
        <row r="248">
          <cell r="B248" t="str">
            <v>XRM DUAL SPORTS FI(DS)</v>
          </cell>
          <cell r="D248">
            <v>1</v>
          </cell>
        </row>
        <row r="249">
          <cell r="B249" t="str">
            <v>XRM DUAL SPORTS FI(DS)</v>
          </cell>
          <cell r="D249">
            <v>1</v>
          </cell>
        </row>
        <row r="250">
          <cell r="B250" t="str">
            <v>XRM DUAL SPORTS FI(DS)</v>
          </cell>
          <cell r="D250">
            <v>1</v>
          </cell>
        </row>
        <row r="251">
          <cell r="B251" t="str">
            <v>XRM DUAL SPORTS FI(DS)</v>
          </cell>
          <cell r="D251">
            <v>1</v>
          </cell>
        </row>
        <row r="252">
          <cell r="B252" t="str">
            <v>XRM DUAL SPORTS FI(DS)</v>
          </cell>
          <cell r="D252">
            <v>1</v>
          </cell>
        </row>
        <row r="253">
          <cell r="B253" t="str">
            <v>XRM DUAL SPORTS FI(DS)</v>
          </cell>
          <cell r="D253">
            <v>1</v>
          </cell>
        </row>
        <row r="254">
          <cell r="B254" t="str">
            <v>XRM OFFROAD FI(DSX)</v>
          </cell>
          <cell r="D254">
            <v>15</v>
          </cell>
        </row>
        <row r="255">
          <cell r="B255" t="str">
            <v>XRM OFFROAD FI(DSX)</v>
          </cell>
          <cell r="D255">
            <v>1</v>
          </cell>
        </row>
        <row r="256">
          <cell r="B256" t="str">
            <v>XRM OFFROAD FI(DSX)</v>
          </cell>
          <cell r="D256">
            <v>1</v>
          </cell>
        </row>
        <row r="257">
          <cell r="B257" t="str">
            <v>XRM OFFROAD FI(DSX)</v>
          </cell>
          <cell r="D257">
            <v>3</v>
          </cell>
        </row>
        <row r="258">
          <cell r="B258" t="str">
            <v>XRM OFFROAD FI(DSX)</v>
          </cell>
          <cell r="D258">
            <v>5</v>
          </cell>
        </row>
        <row r="259">
          <cell r="B259" t="str">
            <v>XRM OFFROAD FI(DSX)</v>
          </cell>
          <cell r="D259">
            <v>1</v>
          </cell>
        </row>
        <row r="260">
          <cell r="B260" t="str">
            <v>XRM OFFROAD FI(DSX)</v>
          </cell>
          <cell r="D260">
            <v>2</v>
          </cell>
        </row>
        <row r="261">
          <cell r="B261" t="str">
            <v>XRM OFFROAD FI(DSX)</v>
          </cell>
          <cell r="D261">
            <v>2</v>
          </cell>
        </row>
        <row r="262">
          <cell r="B262" t="str">
            <v>XRM OFFROAD FI(DSX)</v>
          </cell>
          <cell r="D262">
            <v>3</v>
          </cell>
        </row>
        <row r="263">
          <cell r="B263" t="str">
            <v>XRM OFFROAD FI(DSX)</v>
          </cell>
          <cell r="D263">
            <v>2</v>
          </cell>
        </row>
        <row r="264">
          <cell r="B264" t="str">
            <v>XRM OFFROAD FI(DSX)</v>
          </cell>
          <cell r="D264">
            <v>1</v>
          </cell>
        </row>
        <row r="265">
          <cell r="B265" t="str">
            <v>XRM OFFROAD FI(DSX)</v>
          </cell>
          <cell r="D265">
            <v>2</v>
          </cell>
        </row>
        <row r="266">
          <cell r="B266" t="str">
            <v>XRM OFFROAD FI(DSX)</v>
          </cell>
          <cell r="D266">
            <v>2</v>
          </cell>
        </row>
        <row r="267">
          <cell r="B267" t="str">
            <v>XRM OFFROAD FI(DSX)</v>
          </cell>
          <cell r="D267">
            <v>3</v>
          </cell>
        </row>
        <row r="268">
          <cell r="B268" t="str">
            <v>XRM OFFROAD FI(DSX)</v>
          </cell>
          <cell r="D268">
            <v>5</v>
          </cell>
        </row>
        <row r="269">
          <cell r="B269" t="str">
            <v>XRM OFFROAD FI(DSX)</v>
          </cell>
          <cell r="D269">
            <v>2</v>
          </cell>
        </row>
        <row r="270">
          <cell r="B270" t="str">
            <v>XRM OFFROAD FI(DSX)</v>
          </cell>
          <cell r="D270">
            <v>2</v>
          </cell>
        </row>
        <row r="271">
          <cell r="B271" t="str">
            <v>XRM OFFROAD FI(DSX)</v>
          </cell>
          <cell r="D271">
            <v>1</v>
          </cell>
        </row>
        <row r="272">
          <cell r="B272" t="str">
            <v>XRM OFFROAD FI(DSX)</v>
          </cell>
          <cell r="D272">
            <v>1</v>
          </cell>
        </row>
        <row r="273">
          <cell r="B273" t="str">
            <v>XRM OFFROAD FI(DSX)</v>
          </cell>
          <cell r="D273">
            <v>1</v>
          </cell>
        </row>
        <row r="274">
          <cell r="B274" t="str">
            <v>XRM OFFROAD FI(DSX)</v>
          </cell>
          <cell r="D274">
            <v>8</v>
          </cell>
        </row>
        <row r="275">
          <cell r="B275" t="str">
            <v>XRM OFFROAD FI(DSX)</v>
          </cell>
          <cell r="D275">
            <v>2</v>
          </cell>
        </row>
        <row r="276">
          <cell r="B276" t="str">
            <v>XRM OFFROAD FI(DSX)</v>
          </cell>
          <cell r="D276">
            <v>3</v>
          </cell>
        </row>
        <row r="277">
          <cell r="B277" t="str">
            <v>XRM OFFROAD FI(DSX)</v>
          </cell>
          <cell r="D277">
            <v>1</v>
          </cell>
        </row>
        <row r="278">
          <cell r="B278" t="str">
            <v>XRM OFFROAD FI(DSX)</v>
          </cell>
          <cell r="D278">
            <v>4</v>
          </cell>
        </row>
        <row r="279">
          <cell r="B279" t="str">
            <v>XRM OFFROAD FI(DSX)</v>
          </cell>
          <cell r="D279">
            <v>6</v>
          </cell>
        </row>
        <row r="280">
          <cell r="B280" t="str">
            <v>XRM OFFROAD FI(DSX)</v>
          </cell>
          <cell r="D280">
            <v>1</v>
          </cell>
        </row>
        <row r="281">
          <cell r="B281" t="str">
            <v>XRM OFFROAD FI(DSX)</v>
          </cell>
          <cell r="D281">
            <v>4</v>
          </cell>
        </row>
        <row r="282">
          <cell r="B282" t="str">
            <v>XRM OFFROAD FI(DSX)</v>
          </cell>
          <cell r="D282">
            <v>3</v>
          </cell>
        </row>
        <row r="283">
          <cell r="B283" t="str">
            <v>XRM OFFROAD FI(DSX)</v>
          </cell>
          <cell r="D283">
            <v>3</v>
          </cell>
        </row>
        <row r="284">
          <cell r="B284" t="str">
            <v>XRM OFFROAD FI(DSX)</v>
          </cell>
          <cell r="D284">
            <v>2</v>
          </cell>
        </row>
        <row r="285">
          <cell r="B285" t="str">
            <v>XRM OFFROAD FI(DSX)</v>
          </cell>
          <cell r="D285">
            <v>2</v>
          </cell>
        </row>
        <row r="286">
          <cell r="B286" t="str">
            <v>XRM OFFROAD FI(DSX)</v>
          </cell>
          <cell r="D286">
            <v>3</v>
          </cell>
        </row>
        <row r="287">
          <cell r="B287" t="str">
            <v>XRM OFFROAD FI(DSX)</v>
          </cell>
          <cell r="D287">
            <v>4</v>
          </cell>
        </row>
        <row r="288">
          <cell r="B288" t="str">
            <v>XRM OFFROAD FI(DSX)</v>
          </cell>
          <cell r="D288">
            <v>4</v>
          </cell>
        </row>
        <row r="289">
          <cell r="B289" t="str">
            <v>XRM OFFROAD FI(DSX)</v>
          </cell>
          <cell r="D289">
            <v>3</v>
          </cell>
        </row>
        <row r="290">
          <cell r="B290" t="str">
            <v>XRM OFFROAD FI(DSX)</v>
          </cell>
          <cell r="D290">
            <v>2</v>
          </cell>
        </row>
        <row r="291">
          <cell r="B291" t="str">
            <v>XRM OFFROAD FI(DSX)</v>
          </cell>
          <cell r="D291">
            <v>1</v>
          </cell>
        </row>
        <row r="292">
          <cell r="B292" t="str">
            <v>XRM MOTARD FI</v>
          </cell>
          <cell r="D292">
            <v>28</v>
          </cell>
        </row>
        <row r="293">
          <cell r="B293" t="str">
            <v>XRM MOTARD FI</v>
          </cell>
          <cell r="D293">
            <v>2</v>
          </cell>
        </row>
        <row r="294">
          <cell r="B294" t="str">
            <v>XRM MOTARD FI</v>
          </cell>
          <cell r="D294">
            <v>4</v>
          </cell>
        </row>
        <row r="295">
          <cell r="B295" t="str">
            <v>XRM MOTARD FI</v>
          </cell>
          <cell r="D295">
            <v>5</v>
          </cell>
        </row>
        <row r="296">
          <cell r="B296" t="str">
            <v>XRM MOTARD FI</v>
          </cell>
          <cell r="D296">
            <v>1</v>
          </cell>
        </row>
        <row r="297">
          <cell r="B297" t="str">
            <v>XRM MOTARD FI</v>
          </cell>
          <cell r="D297">
            <v>1</v>
          </cell>
        </row>
        <row r="298">
          <cell r="B298" t="str">
            <v>XRM MOTARD FI</v>
          </cell>
          <cell r="D298">
            <v>1</v>
          </cell>
        </row>
        <row r="299">
          <cell r="B299" t="str">
            <v>XRM MOTARD FI</v>
          </cell>
          <cell r="D299">
            <v>1</v>
          </cell>
        </row>
        <row r="300">
          <cell r="B300" t="str">
            <v>XRM MOTARD FI</v>
          </cell>
          <cell r="D300">
            <v>1</v>
          </cell>
        </row>
        <row r="301">
          <cell r="B301" t="str">
            <v>XRM MOTARD FI</v>
          </cell>
          <cell r="D301">
            <v>2</v>
          </cell>
        </row>
        <row r="302">
          <cell r="B302" t="str">
            <v>XRM MOTARD FI</v>
          </cell>
          <cell r="D302">
            <v>1</v>
          </cell>
        </row>
        <row r="303">
          <cell r="B303" t="str">
            <v>XRM MOTARD FI</v>
          </cell>
          <cell r="D303">
            <v>2</v>
          </cell>
        </row>
        <row r="304">
          <cell r="B304" t="str">
            <v>XRM MOTARD FI</v>
          </cell>
          <cell r="D304">
            <v>1</v>
          </cell>
        </row>
        <row r="305">
          <cell r="B305" t="str">
            <v>XRM MOTARD FI</v>
          </cell>
          <cell r="D305">
            <v>4</v>
          </cell>
        </row>
        <row r="306">
          <cell r="B306" t="str">
            <v>XRM MOTARD FI</v>
          </cell>
          <cell r="D306">
            <v>1</v>
          </cell>
        </row>
        <row r="307">
          <cell r="B307" t="str">
            <v>XRM MOTARD FI</v>
          </cell>
          <cell r="D307">
            <v>3</v>
          </cell>
        </row>
        <row r="308">
          <cell r="B308" t="str">
            <v>XRM MOTARD FI</v>
          </cell>
          <cell r="D308">
            <v>1</v>
          </cell>
        </row>
        <row r="309">
          <cell r="B309" t="str">
            <v>XRM MOTARD FI</v>
          </cell>
          <cell r="D309">
            <v>2</v>
          </cell>
        </row>
        <row r="310">
          <cell r="B310" t="str">
            <v>XRM MOTARD FI</v>
          </cell>
          <cell r="D310">
            <v>1</v>
          </cell>
        </row>
        <row r="311">
          <cell r="B311" t="str">
            <v>XRM MOTARD FI</v>
          </cell>
          <cell r="D311">
            <v>3</v>
          </cell>
        </row>
        <row r="312">
          <cell r="B312" t="str">
            <v>XRM MOTARD FI</v>
          </cell>
          <cell r="D312">
            <v>3</v>
          </cell>
        </row>
        <row r="313">
          <cell r="B313" t="str">
            <v>XRM MOTARD FI</v>
          </cell>
          <cell r="D313">
            <v>3</v>
          </cell>
        </row>
        <row r="314">
          <cell r="B314" t="str">
            <v>XRM MOTARD FI</v>
          </cell>
          <cell r="D314">
            <v>4</v>
          </cell>
        </row>
        <row r="315">
          <cell r="B315" t="str">
            <v>XRM MOTARD FI</v>
          </cell>
          <cell r="D315">
            <v>1</v>
          </cell>
        </row>
        <row r="316">
          <cell r="B316" t="str">
            <v>XRM MOTARD FI</v>
          </cell>
          <cell r="D316">
            <v>1</v>
          </cell>
        </row>
        <row r="317">
          <cell r="B317" t="str">
            <v>XRM MOTARD FI</v>
          </cell>
          <cell r="D317">
            <v>2</v>
          </cell>
        </row>
        <row r="318">
          <cell r="B318" t="str">
            <v>XRM MOTARD FI</v>
          </cell>
          <cell r="D318">
            <v>1</v>
          </cell>
        </row>
        <row r="319">
          <cell r="B319" t="str">
            <v>XRM MOTARD FI</v>
          </cell>
          <cell r="D319">
            <v>1</v>
          </cell>
        </row>
        <row r="320">
          <cell r="B320" t="str">
            <v>XRM MOTARD FI</v>
          </cell>
          <cell r="D320">
            <v>1</v>
          </cell>
        </row>
        <row r="321">
          <cell r="B321" t="str">
            <v>XRM MOTARD FI</v>
          </cell>
          <cell r="D321">
            <v>1</v>
          </cell>
        </row>
        <row r="322">
          <cell r="B322" t="str">
            <v>XRM MOTARD FI</v>
          </cell>
          <cell r="D322">
            <v>1</v>
          </cell>
        </row>
        <row r="323">
          <cell r="B323" t="str">
            <v>XRM MOTARD FI</v>
          </cell>
          <cell r="D323">
            <v>2</v>
          </cell>
        </row>
        <row r="324">
          <cell r="B324" t="str">
            <v>XRM RS</v>
          </cell>
          <cell r="D324">
            <v>1</v>
          </cell>
        </row>
        <row r="325">
          <cell r="B325" t="str">
            <v>XRM RS</v>
          </cell>
          <cell r="D325">
            <v>2</v>
          </cell>
        </row>
        <row r="326">
          <cell r="B326" t="str">
            <v>XRM RS</v>
          </cell>
          <cell r="D326">
            <v>1</v>
          </cell>
        </row>
        <row r="327">
          <cell r="B327" t="str">
            <v>XRM RS</v>
          </cell>
          <cell r="D327">
            <v>1</v>
          </cell>
        </row>
        <row r="328">
          <cell r="B328" t="str">
            <v>XRM RS</v>
          </cell>
          <cell r="D328">
            <v>1</v>
          </cell>
        </row>
        <row r="329">
          <cell r="B329" t="str">
            <v>XRM RS</v>
          </cell>
          <cell r="D329">
            <v>1</v>
          </cell>
        </row>
        <row r="330">
          <cell r="B330" t="str">
            <v>XRM RS</v>
          </cell>
          <cell r="D330">
            <v>1</v>
          </cell>
        </row>
        <row r="331">
          <cell r="B331" t="str">
            <v>XRM RS</v>
          </cell>
          <cell r="D331">
            <v>2</v>
          </cell>
        </row>
        <row r="332">
          <cell r="B332" t="str">
            <v>XRM RS</v>
          </cell>
          <cell r="D332">
            <v>1</v>
          </cell>
        </row>
        <row r="333">
          <cell r="B333" t="str">
            <v>XRM RS</v>
          </cell>
          <cell r="D333">
            <v>1</v>
          </cell>
        </row>
        <row r="334">
          <cell r="B334" t="str">
            <v>XRM RS</v>
          </cell>
          <cell r="D334">
            <v>1</v>
          </cell>
        </row>
        <row r="335">
          <cell r="B335" t="str">
            <v>XRM RS</v>
          </cell>
          <cell r="D335">
            <v>2</v>
          </cell>
        </row>
        <row r="336">
          <cell r="B336" t="str">
            <v>XRM RS</v>
          </cell>
          <cell r="D336">
            <v>1</v>
          </cell>
        </row>
        <row r="337">
          <cell r="B337" t="str">
            <v>XRM RS</v>
          </cell>
          <cell r="D337">
            <v>1</v>
          </cell>
        </row>
        <row r="338">
          <cell r="B338" t="str">
            <v>XRM RS</v>
          </cell>
          <cell r="D338">
            <v>1</v>
          </cell>
        </row>
        <row r="339">
          <cell r="B339" t="str">
            <v>XRM RS</v>
          </cell>
          <cell r="D339">
            <v>1</v>
          </cell>
        </row>
        <row r="340">
          <cell r="B340" t="str">
            <v>XRM RS</v>
          </cell>
          <cell r="D340">
            <v>1</v>
          </cell>
        </row>
        <row r="341">
          <cell r="B341" t="str">
            <v>XRM RS</v>
          </cell>
          <cell r="D341">
            <v>1</v>
          </cell>
        </row>
        <row r="342">
          <cell r="B342" t="str">
            <v>XRM RS</v>
          </cell>
          <cell r="D342">
            <v>1</v>
          </cell>
        </row>
        <row r="343">
          <cell r="B343" t="str">
            <v>XRM RS</v>
          </cell>
          <cell r="D343">
            <v>1</v>
          </cell>
        </row>
        <row r="344">
          <cell r="B344" t="str">
            <v>XRM RS</v>
          </cell>
          <cell r="D344">
            <v>1</v>
          </cell>
        </row>
        <row r="345">
          <cell r="B345" t="str">
            <v>XRM RS</v>
          </cell>
          <cell r="D345">
            <v>2</v>
          </cell>
        </row>
        <row r="346">
          <cell r="B346" t="str">
            <v>XRM RS</v>
          </cell>
          <cell r="D346">
            <v>2</v>
          </cell>
        </row>
        <row r="347">
          <cell r="B347" t="str">
            <v>XRM RS</v>
          </cell>
          <cell r="D347">
            <v>1</v>
          </cell>
        </row>
        <row r="348">
          <cell r="B348" t="str">
            <v>XRM RS</v>
          </cell>
          <cell r="D348">
            <v>2</v>
          </cell>
        </row>
        <row r="349">
          <cell r="B349" t="str">
            <v>XRM RS</v>
          </cell>
          <cell r="D349">
            <v>1</v>
          </cell>
        </row>
        <row r="350">
          <cell r="B350" t="str">
            <v>XRM RS</v>
          </cell>
          <cell r="D350">
            <v>1</v>
          </cell>
        </row>
        <row r="351">
          <cell r="B351" t="str">
            <v>CLICK160 FI</v>
          </cell>
          <cell r="D351">
            <v>1</v>
          </cell>
        </row>
        <row r="352">
          <cell r="B352" t="str">
            <v>CLICK160 FI</v>
          </cell>
          <cell r="D352">
            <v>2</v>
          </cell>
        </row>
        <row r="353">
          <cell r="B353" t="str">
            <v>CLICK125 FI</v>
          </cell>
          <cell r="D353">
            <v>1</v>
          </cell>
        </row>
        <row r="354">
          <cell r="B354" t="str">
            <v>XR150</v>
          </cell>
          <cell r="D354">
            <v>43</v>
          </cell>
        </row>
        <row r="355">
          <cell r="B355" t="str">
            <v>XR150</v>
          </cell>
          <cell r="D355">
            <v>1</v>
          </cell>
        </row>
        <row r="356">
          <cell r="B356" t="str">
            <v>XR150</v>
          </cell>
          <cell r="D356">
            <v>1</v>
          </cell>
        </row>
        <row r="357">
          <cell r="B357" t="str">
            <v>XR150</v>
          </cell>
          <cell r="D357">
            <v>1</v>
          </cell>
        </row>
        <row r="358">
          <cell r="B358" t="str">
            <v>XR150</v>
          </cell>
          <cell r="D358">
            <v>3</v>
          </cell>
        </row>
        <row r="359">
          <cell r="B359" t="str">
            <v>XR150</v>
          </cell>
          <cell r="D359">
            <v>2</v>
          </cell>
        </row>
        <row r="360">
          <cell r="B360" t="str">
            <v>XR150</v>
          </cell>
          <cell r="D360">
            <v>2</v>
          </cell>
        </row>
        <row r="361">
          <cell r="B361" t="str">
            <v>XR150</v>
          </cell>
          <cell r="D361">
            <v>2</v>
          </cell>
        </row>
        <row r="362">
          <cell r="B362" t="str">
            <v>XR150</v>
          </cell>
          <cell r="D362">
            <v>1</v>
          </cell>
        </row>
        <row r="363">
          <cell r="B363" t="str">
            <v>XR150</v>
          </cell>
          <cell r="D363">
            <v>1</v>
          </cell>
        </row>
        <row r="364">
          <cell r="B364" t="str">
            <v>XR150</v>
          </cell>
          <cell r="D364">
            <v>2</v>
          </cell>
        </row>
        <row r="365">
          <cell r="B365" t="str">
            <v>XR150</v>
          </cell>
          <cell r="D365">
            <v>4</v>
          </cell>
        </row>
        <row r="366">
          <cell r="B366" t="str">
            <v>XR150</v>
          </cell>
          <cell r="D366">
            <v>2</v>
          </cell>
        </row>
        <row r="367">
          <cell r="B367" t="str">
            <v>XR150</v>
          </cell>
          <cell r="D367">
            <v>5</v>
          </cell>
        </row>
        <row r="368">
          <cell r="B368" t="str">
            <v>XR150</v>
          </cell>
          <cell r="D368">
            <v>1</v>
          </cell>
        </row>
        <row r="369">
          <cell r="B369" t="str">
            <v>XR150</v>
          </cell>
          <cell r="D369">
            <v>1</v>
          </cell>
        </row>
        <row r="370">
          <cell r="B370" t="str">
            <v>XR150</v>
          </cell>
          <cell r="D370">
            <v>1</v>
          </cell>
        </row>
        <row r="371">
          <cell r="B371" t="str">
            <v>XR150</v>
          </cell>
          <cell r="D371">
            <v>2</v>
          </cell>
        </row>
        <row r="372">
          <cell r="B372" t="str">
            <v>XR150</v>
          </cell>
          <cell r="D372">
            <v>3</v>
          </cell>
        </row>
        <row r="373">
          <cell r="B373" t="str">
            <v>XR150</v>
          </cell>
          <cell r="D373">
            <v>1</v>
          </cell>
        </row>
        <row r="374">
          <cell r="B374" t="str">
            <v>XR150</v>
          </cell>
          <cell r="D374">
            <v>1</v>
          </cell>
        </row>
        <row r="375">
          <cell r="B375" t="str">
            <v>XR150</v>
          </cell>
          <cell r="D375">
            <v>3</v>
          </cell>
        </row>
        <row r="376">
          <cell r="B376" t="str">
            <v>XR150</v>
          </cell>
          <cell r="D376">
            <v>5</v>
          </cell>
        </row>
        <row r="377">
          <cell r="B377" t="str">
            <v>XR150</v>
          </cell>
          <cell r="D377">
            <v>1</v>
          </cell>
        </row>
        <row r="378">
          <cell r="B378" t="str">
            <v>XR150</v>
          </cell>
          <cell r="D378">
            <v>19</v>
          </cell>
        </row>
        <row r="379">
          <cell r="B379" t="str">
            <v>XR150</v>
          </cell>
          <cell r="D379">
            <v>7</v>
          </cell>
        </row>
        <row r="380">
          <cell r="B380" t="str">
            <v>XR150</v>
          </cell>
          <cell r="D380">
            <v>5</v>
          </cell>
        </row>
        <row r="381">
          <cell r="B381" t="str">
            <v>XR150</v>
          </cell>
          <cell r="D381">
            <v>2</v>
          </cell>
        </row>
        <row r="382">
          <cell r="B382" t="str">
            <v>XR150</v>
          </cell>
          <cell r="D382">
            <v>3</v>
          </cell>
        </row>
        <row r="383">
          <cell r="B383" t="str">
            <v>XR150</v>
          </cell>
          <cell r="D383">
            <v>2</v>
          </cell>
        </row>
        <row r="384">
          <cell r="B384" t="str">
            <v>XR150</v>
          </cell>
          <cell r="D384">
            <v>3</v>
          </cell>
        </row>
        <row r="385">
          <cell r="B385" t="str">
            <v>XR150</v>
          </cell>
          <cell r="D385">
            <v>10</v>
          </cell>
        </row>
        <row r="386">
          <cell r="B386" t="str">
            <v>XR150</v>
          </cell>
          <cell r="D386">
            <v>1</v>
          </cell>
        </row>
        <row r="387">
          <cell r="B387" t="str">
            <v>XR150</v>
          </cell>
          <cell r="D387">
            <v>1</v>
          </cell>
        </row>
        <row r="388">
          <cell r="B388" t="str">
            <v>XR150</v>
          </cell>
          <cell r="D388">
            <v>2</v>
          </cell>
        </row>
        <row r="389">
          <cell r="B389" t="str">
            <v>XR150</v>
          </cell>
          <cell r="D389">
            <v>2</v>
          </cell>
        </row>
        <row r="390">
          <cell r="B390" t="str">
            <v>XR150</v>
          </cell>
          <cell r="D390">
            <v>2</v>
          </cell>
        </row>
        <row r="391">
          <cell r="B391" t="str">
            <v>XR150</v>
          </cell>
          <cell r="D391">
            <v>3</v>
          </cell>
        </row>
        <row r="392">
          <cell r="B392" t="str">
            <v>XR150</v>
          </cell>
          <cell r="D392">
            <v>2</v>
          </cell>
        </row>
        <row r="393">
          <cell r="B393" t="str">
            <v>XR150</v>
          </cell>
          <cell r="D393">
            <v>2</v>
          </cell>
        </row>
        <row r="394">
          <cell r="B394" t="str">
            <v>XR150</v>
          </cell>
          <cell r="D394">
            <v>3</v>
          </cell>
        </row>
        <row r="395">
          <cell r="B395" t="str">
            <v>XR150</v>
          </cell>
          <cell r="D395">
            <v>4</v>
          </cell>
        </row>
        <row r="396">
          <cell r="B396" t="str">
            <v>XR150</v>
          </cell>
          <cell r="D396">
            <v>2</v>
          </cell>
        </row>
        <row r="397">
          <cell r="B397" t="str">
            <v>XR150</v>
          </cell>
          <cell r="D397">
            <v>4</v>
          </cell>
        </row>
        <row r="398">
          <cell r="B398" t="str">
            <v>XR150</v>
          </cell>
          <cell r="D398">
            <v>1</v>
          </cell>
        </row>
        <row r="399">
          <cell r="B399" t="str">
            <v>XR150</v>
          </cell>
          <cell r="D399">
            <v>1</v>
          </cell>
        </row>
        <row r="400">
          <cell r="B400" t="str">
            <v>XR150</v>
          </cell>
          <cell r="D400">
            <v>2</v>
          </cell>
        </row>
        <row r="401">
          <cell r="B401" t="str">
            <v>XR150</v>
          </cell>
          <cell r="D401">
            <v>2</v>
          </cell>
        </row>
        <row r="402">
          <cell r="B402" t="str">
            <v>XR150</v>
          </cell>
          <cell r="D402">
            <v>1</v>
          </cell>
        </row>
        <row r="403">
          <cell r="B403" t="str">
            <v>XR150</v>
          </cell>
          <cell r="D403">
            <v>3</v>
          </cell>
        </row>
        <row r="404">
          <cell r="B404" t="str">
            <v>CRF300</v>
          </cell>
          <cell r="D404">
            <v>1</v>
          </cell>
        </row>
        <row r="405">
          <cell r="B405" t="str">
            <v>CRF300</v>
          </cell>
          <cell r="D405">
            <v>1</v>
          </cell>
        </row>
        <row r="406">
          <cell r="B406" t="str">
            <v>PCX160 ROADSYNC</v>
          </cell>
          <cell r="D406">
            <v>1</v>
          </cell>
        </row>
        <row r="407">
          <cell r="B407" t="str">
            <v>PCX160 ROADSYNC</v>
          </cell>
          <cell r="D407">
            <v>2</v>
          </cell>
        </row>
        <row r="408">
          <cell r="B408" t="str">
            <v>PCX160 STANDARD</v>
          </cell>
          <cell r="D408">
            <v>1</v>
          </cell>
        </row>
        <row r="409">
          <cell r="B409" t="str">
            <v>PCX160 STANDARD</v>
          </cell>
          <cell r="D409">
            <v>1</v>
          </cell>
        </row>
        <row r="410">
          <cell r="B410" t="str">
            <v>ADV350</v>
          </cell>
          <cell r="D410">
            <v>3</v>
          </cell>
        </row>
        <row r="411">
          <cell r="B411" t="str">
            <v>ADV350</v>
          </cell>
          <cell r="D411">
            <v>1</v>
          </cell>
        </row>
        <row r="412">
          <cell r="B412" t="str">
            <v>ADV350</v>
          </cell>
          <cell r="D412">
            <v>1</v>
          </cell>
        </row>
        <row r="413">
          <cell r="B413" t="str">
            <v>ADV350</v>
          </cell>
          <cell r="D413">
            <v>1</v>
          </cell>
        </row>
        <row r="414">
          <cell r="B414" t="str">
            <v>ADV350</v>
          </cell>
          <cell r="D414">
            <v>4</v>
          </cell>
        </row>
        <row r="415">
          <cell r="B415" t="str">
            <v>ADV350</v>
          </cell>
          <cell r="D415">
            <v>1</v>
          </cell>
        </row>
        <row r="416">
          <cell r="B416" t="str">
            <v>ADV350</v>
          </cell>
          <cell r="D416">
            <v>1</v>
          </cell>
        </row>
        <row r="417">
          <cell r="B417" t="str">
            <v>ADV350</v>
          </cell>
          <cell r="D417">
            <v>1</v>
          </cell>
        </row>
        <row r="418">
          <cell r="B418" t="str">
            <v>NAVI</v>
          </cell>
          <cell r="D418">
            <v>17</v>
          </cell>
        </row>
        <row r="419">
          <cell r="B419" t="str">
            <v>NAVI</v>
          </cell>
          <cell r="D419">
            <v>2</v>
          </cell>
        </row>
        <row r="420">
          <cell r="B420" t="str">
            <v>NAVI</v>
          </cell>
          <cell r="D420">
            <v>1</v>
          </cell>
        </row>
        <row r="421">
          <cell r="B421" t="str">
            <v>NAVI</v>
          </cell>
          <cell r="D421">
            <v>1</v>
          </cell>
        </row>
        <row r="422">
          <cell r="B422" t="str">
            <v>NAVI</v>
          </cell>
          <cell r="D422">
            <v>1</v>
          </cell>
        </row>
        <row r="423">
          <cell r="B423" t="str">
            <v>NAVI</v>
          </cell>
          <cell r="D423">
            <v>1</v>
          </cell>
        </row>
        <row r="424">
          <cell r="B424" t="str">
            <v>NAVI</v>
          </cell>
          <cell r="D424">
            <v>2</v>
          </cell>
        </row>
        <row r="425">
          <cell r="B425" t="str">
            <v>NAVI</v>
          </cell>
          <cell r="D425">
            <v>2</v>
          </cell>
        </row>
        <row r="426">
          <cell r="B426" t="str">
            <v>NAVI</v>
          </cell>
          <cell r="D426">
            <v>1</v>
          </cell>
        </row>
        <row r="427">
          <cell r="B427" t="str">
            <v>NAVI</v>
          </cell>
          <cell r="D427">
            <v>1</v>
          </cell>
        </row>
        <row r="428">
          <cell r="B428" t="str">
            <v>NAVI</v>
          </cell>
          <cell r="D428">
            <v>12</v>
          </cell>
        </row>
        <row r="429">
          <cell r="B429" t="str">
            <v>NAVI</v>
          </cell>
          <cell r="D429">
            <v>1</v>
          </cell>
        </row>
        <row r="430">
          <cell r="B430" t="str">
            <v>NAVI</v>
          </cell>
          <cell r="D430">
            <v>1</v>
          </cell>
        </row>
        <row r="431">
          <cell r="B431" t="str">
            <v>NAVI</v>
          </cell>
          <cell r="D431">
            <v>1</v>
          </cell>
        </row>
        <row r="432">
          <cell r="B432" t="str">
            <v>NAVI</v>
          </cell>
          <cell r="D432">
            <v>1</v>
          </cell>
        </row>
        <row r="433">
          <cell r="B433" t="str">
            <v>NAVI</v>
          </cell>
          <cell r="D433">
            <v>1</v>
          </cell>
        </row>
        <row r="434">
          <cell r="B434" t="str">
            <v>NAVI</v>
          </cell>
          <cell r="D434">
            <v>1</v>
          </cell>
        </row>
        <row r="435">
          <cell r="B435" t="str">
            <v>NAVI</v>
          </cell>
          <cell r="D435">
            <v>1</v>
          </cell>
        </row>
        <row r="436">
          <cell r="B436" t="str">
            <v>NAVI</v>
          </cell>
          <cell r="D436">
            <v>1</v>
          </cell>
        </row>
        <row r="437">
          <cell r="B437" t="str">
            <v>NAVI</v>
          </cell>
          <cell r="D437">
            <v>1</v>
          </cell>
        </row>
        <row r="438">
          <cell r="B438" t="str">
            <v>NAVI</v>
          </cell>
          <cell r="D438">
            <v>1</v>
          </cell>
        </row>
        <row r="439">
          <cell r="B439" t="str">
            <v>NAVI</v>
          </cell>
          <cell r="D439">
            <v>1</v>
          </cell>
        </row>
        <row r="440">
          <cell r="B440" t="str">
            <v>NAVI</v>
          </cell>
          <cell r="D440">
            <v>1</v>
          </cell>
        </row>
        <row r="441">
          <cell r="B441" t="str">
            <v>NAVI</v>
          </cell>
          <cell r="D441">
            <v>1</v>
          </cell>
        </row>
        <row r="442">
          <cell r="B442" t="str">
            <v>NAVI</v>
          </cell>
          <cell r="D442">
            <v>1</v>
          </cell>
        </row>
        <row r="443">
          <cell r="B443" t="str">
            <v>NAVI</v>
          </cell>
          <cell r="D443">
            <v>1</v>
          </cell>
        </row>
        <row r="444">
          <cell r="B444" t="str">
            <v>NAVI</v>
          </cell>
          <cell r="D444">
            <v>2</v>
          </cell>
        </row>
        <row r="445">
          <cell r="B445" t="str">
            <v>NAVI</v>
          </cell>
          <cell r="D445">
            <v>1</v>
          </cell>
        </row>
        <row r="446">
          <cell r="B446" t="str">
            <v>NAVI</v>
          </cell>
          <cell r="D446">
            <v>1</v>
          </cell>
        </row>
        <row r="447">
          <cell r="B447" t="str">
            <v>NAVI</v>
          </cell>
          <cell r="D447">
            <v>1</v>
          </cell>
        </row>
        <row r="448">
          <cell r="B448" t="str">
            <v>NAVI</v>
          </cell>
          <cell r="D448">
            <v>1</v>
          </cell>
        </row>
        <row r="449">
          <cell r="B449" t="str">
            <v>NAVI</v>
          </cell>
          <cell r="D449">
            <v>1</v>
          </cell>
        </row>
        <row r="450">
          <cell r="B450" t="str">
            <v>NAVI</v>
          </cell>
          <cell r="D450">
            <v>1</v>
          </cell>
        </row>
        <row r="451">
          <cell r="B451" t="str">
            <v>NAVI</v>
          </cell>
          <cell r="D451">
            <v>1</v>
          </cell>
        </row>
        <row r="452">
          <cell r="B452" t="str">
            <v>CUV e:</v>
          </cell>
          <cell r="D452">
            <v>1</v>
          </cell>
        </row>
        <row r="453">
          <cell r="B453" t="str">
            <v>EM1 e:</v>
          </cell>
          <cell r="D453">
            <v>1</v>
          </cell>
        </row>
        <row r="454">
          <cell r="B454" t="str">
            <v>CRF150R</v>
          </cell>
          <cell r="D454">
            <v>1</v>
          </cell>
        </row>
        <row r="455">
          <cell r="B455" t="str">
            <v>CRF150R</v>
          </cell>
          <cell r="D455">
            <v>1</v>
          </cell>
        </row>
        <row r="456">
          <cell r="B456" t="str">
            <v>CRF150R</v>
          </cell>
          <cell r="D456">
            <v>1</v>
          </cell>
        </row>
        <row r="457">
          <cell r="B457" t="str">
            <v>CRF150R</v>
          </cell>
          <cell r="D457">
            <v>1</v>
          </cell>
        </row>
        <row r="458">
          <cell r="B458" t="str">
            <v>CRF150R</v>
          </cell>
          <cell r="D458">
            <v>1</v>
          </cell>
        </row>
        <row r="459">
          <cell r="B459" t="str">
            <v>CRF150R</v>
          </cell>
          <cell r="D459">
            <v>1</v>
          </cell>
        </row>
        <row r="460">
          <cell r="B460" t="str">
            <v>CRF150R</v>
          </cell>
          <cell r="D460">
            <v>1</v>
          </cell>
        </row>
        <row r="461">
          <cell r="B461" t="str">
            <v>CRF150R</v>
          </cell>
          <cell r="D461">
            <v>1</v>
          </cell>
        </row>
        <row r="462">
          <cell r="B462" t="str">
            <v>BEAT FI PREM</v>
          </cell>
          <cell r="D462">
            <v>1</v>
          </cell>
        </row>
        <row r="463">
          <cell r="B463" t="str">
            <v>BEAT FI PREM</v>
          </cell>
          <cell r="D463">
            <v>1</v>
          </cell>
        </row>
        <row r="464">
          <cell r="B464" t="str">
            <v>BEAT FI PREM</v>
          </cell>
          <cell r="D464">
            <v>1</v>
          </cell>
        </row>
        <row r="465">
          <cell r="B465" t="str">
            <v>BEAT FI PREM</v>
          </cell>
          <cell r="D465">
            <v>1</v>
          </cell>
        </row>
        <row r="466">
          <cell r="B466" t="str">
            <v>BEAT FI PREM</v>
          </cell>
          <cell r="D466">
            <v>1</v>
          </cell>
        </row>
        <row r="467">
          <cell r="B467" t="str">
            <v>BEAT FI PREM</v>
          </cell>
          <cell r="D467">
            <v>1</v>
          </cell>
        </row>
        <row r="468">
          <cell r="B468" t="str">
            <v>BEAT FI PREM</v>
          </cell>
          <cell r="D468">
            <v>2</v>
          </cell>
        </row>
        <row r="469">
          <cell r="B469" t="str">
            <v>BEAT FI PREM</v>
          </cell>
          <cell r="D469">
            <v>1</v>
          </cell>
        </row>
        <row r="470">
          <cell r="B470" t="str">
            <v>BEAT FI PREM</v>
          </cell>
          <cell r="D470">
            <v>1</v>
          </cell>
        </row>
        <row r="471">
          <cell r="B471" t="str">
            <v>BEAT FI PREM</v>
          </cell>
          <cell r="D471">
            <v>8</v>
          </cell>
        </row>
        <row r="472">
          <cell r="B472" t="str">
            <v>BEAT FI PREM</v>
          </cell>
          <cell r="D472">
            <v>3</v>
          </cell>
        </row>
        <row r="473">
          <cell r="B473" t="str">
            <v>BEAT FI PREM</v>
          </cell>
          <cell r="D473">
            <v>1</v>
          </cell>
        </row>
        <row r="474">
          <cell r="B474" t="str">
            <v>BEAT FI PREM</v>
          </cell>
          <cell r="D474">
            <v>1</v>
          </cell>
        </row>
        <row r="475">
          <cell r="B475" t="str">
            <v>BEAT FI PREM</v>
          </cell>
          <cell r="D475">
            <v>1</v>
          </cell>
        </row>
        <row r="476">
          <cell r="B476" t="str">
            <v>BEAT FI PREM</v>
          </cell>
          <cell r="D476">
            <v>2</v>
          </cell>
        </row>
        <row r="477">
          <cell r="B477" t="str">
            <v>BEAT FI PREM</v>
          </cell>
          <cell r="D477">
            <v>1</v>
          </cell>
        </row>
        <row r="478">
          <cell r="B478" t="str">
            <v>BEAT FI PREM</v>
          </cell>
          <cell r="D478">
            <v>2</v>
          </cell>
        </row>
        <row r="479">
          <cell r="B479" t="str">
            <v>BEAT FI PREM</v>
          </cell>
          <cell r="D479">
            <v>1</v>
          </cell>
        </row>
        <row r="480">
          <cell r="B480" t="str">
            <v>BEAT FI PREM</v>
          </cell>
          <cell r="D480">
            <v>1</v>
          </cell>
        </row>
        <row r="481">
          <cell r="B481" t="str">
            <v>BEAT FI PREM</v>
          </cell>
          <cell r="D481">
            <v>1</v>
          </cell>
        </row>
        <row r="482">
          <cell r="B482" t="str">
            <v>BEAT FI PREM</v>
          </cell>
          <cell r="D482">
            <v>2</v>
          </cell>
        </row>
        <row r="483">
          <cell r="B483" t="str">
            <v>BEAT FI PREM</v>
          </cell>
          <cell r="D483">
            <v>3</v>
          </cell>
        </row>
        <row r="484">
          <cell r="B484" t="str">
            <v>BEAT FI PREM</v>
          </cell>
          <cell r="D484">
            <v>1</v>
          </cell>
        </row>
        <row r="485">
          <cell r="B485" t="str">
            <v>BEAT FI PREM</v>
          </cell>
          <cell r="D485">
            <v>1</v>
          </cell>
        </row>
        <row r="486">
          <cell r="B486" t="str">
            <v>BEAT FI PREM</v>
          </cell>
          <cell r="D486">
            <v>1</v>
          </cell>
        </row>
        <row r="487">
          <cell r="B487" t="str">
            <v>BEAT FI PREM</v>
          </cell>
          <cell r="D487">
            <v>1</v>
          </cell>
        </row>
        <row r="488">
          <cell r="B488" t="str">
            <v>BEAT FI PREM</v>
          </cell>
          <cell r="D488">
            <v>1</v>
          </cell>
        </row>
        <row r="489">
          <cell r="B489" t="str">
            <v>BEAT FI PREM</v>
          </cell>
          <cell r="D489">
            <v>1</v>
          </cell>
        </row>
        <row r="490">
          <cell r="B490" t="str">
            <v>BEAT FI PREM</v>
          </cell>
          <cell r="D490">
            <v>2</v>
          </cell>
        </row>
        <row r="491">
          <cell r="B491" t="str">
            <v>BEAT FI PREM</v>
          </cell>
          <cell r="D491">
            <v>1</v>
          </cell>
        </row>
        <row r="492">
          <cell r="B492" t="str">
            <v>BEAT FI PREM</v>
          </cell>
          <cell r="D492">
            <v>1</v>
          </cell>
        </row>
        <row r="493">
          <cell r="B493" t="str">
            <v>BEAT FI STD</v>
          </cell>
          <cell r="D493">
            <v>2</v>
          </cell>
        </row>
        <row r="494">
          <cell r="B494" t="str">
            <v>BEAT FI STD</v>
          </cell>
          <cell r="D494">
            <v>2</v>
          </cell>
        </row>
        <row r="495">
          <cell r="B495" t="str">
            <v>BEAT FI STD</v>
          </cell>
          <cell r="D495">
            <v>1</v>
          </cell>
        </row>
        <row r="496">
          <cell r="B496" t="str">
            <v>BEAT FI STD</v>
          </cell>
          <cell r="D496">
            <v>1</v>
          </cell>
        </row>
        <row r="497">
          <cell r="B497" t="str">
            <v>BEAT FI STD</v>
          </cell>
          <cell r="D497">
            <v>1</v>
          </cell>
        </row>
        <row r="498">
          <cell r="B498" t="str">
            <v>BEAT FI STD</v>
          </cell>
          <cell r="D498">
            <v>1</v>
          </cell>
        </row>
        <row r="499">
          <cell r="B499" t="str">
            <v>BEAT FI STD</v>
          </cell>
          <cell r="D499">
            <v>1</v>
          </cell>
        </row>
        <row r="500">
          <cell r="B500" t="str">
            <v>BEAT FI STD</v>
          </cell>
          <cell r="D500">
            <v>3</v>
          </cell>
        </row>
        <row r="501">
          <cell r="B501" t="str">
            <v>CRF150</v>
          </cell>
          <cell r="D501">
            <v>2</v>
          </cell>
        </row>
        <row r="502">
          <cell r="B502" t="str">
            <v>CRF150</v>
          </cell>
          <cell r="D502">
            <v>4</v>
          </cell>
        </row>
        <row r="503">
          <cell r="B503" t="str">
            <v>CRF150</v>
          </cell>
          <cell r="D503">
            <v>2</v>
          </cell>
        </row>
        <row r="504">
          <cell r="B504" t="str">
            <v>CRF150</v>
          </cell>
          <cell r="D504">
            <v>1</v>
          </cell>
        </row>
        <row r="505">
          <cell r="B505" t="str">
            <v>CRF150</v>
          </cell>
          <cell r="D505">
            <v>2</v>
          </cell>
        </row>
        <row r="506">
          <cell r="B506" t="str">
            <v>CRF150</v>
          </cell>
          <cell r="D506">
            <v>1</v>
          </cell>
        </row>
        <row r="507">
          <cell r="B507" t="str">
            <v>CRF150</v>
          </cell>
          <cell r="D507">
            <v>4</v>
          </cell>
        </row>
        <row r="508">
          <cell r="B508" t="str">
            <v>CRF150</v>
          </cell>
          <cell r="D508">
            <v>1</v>
          </cell>
        </row>
        <row r="509">
          <cell r="B509" t="str">
            <v>CRF150</v>
          </cell>
          <cell r="D509">
            <v>2</v>
          </cell>
        </row>
        <row r="510">
          <cell r="B510" t="str">
            <v>CRF150</v>
          </cell>
          <cell r="D510">
            <v>5</v>
          </cell>
        </row>
        <row r="511">
          <cell r="B511" t="str">
            <v>CRF150</v>
          </cell>
          <cell r="D511">
            <v>1</v>
          </cell>
        </row>
        <row r="512">
          <cell r="B512" t="str">
            <v>CRF150</v>
          </cell>
          <cell r="D512">
            <v>3</v>
          </cell>
        </row>
        <row r="513">
          <cell r="B513" t="str">
            <v>CRF150</v>
          </cell>
          <cell r="D513">
            <v>1</v>
          </cell>
        </row>
        <row r="514">
          <cell r="B514" t="str">
            <v>CRF150</v>
          </cell>
          <cell r="D514">
            <v>2</v>
          </cell>
        </row>
        <row r="515">
          <cell r="B515" t="str">
            <v>CRF150</v>
          </cell>
          <cell r="D515">
            <v>3</v>
          </cell>
        </row>
        <row r="516">
          <cell r="B516" t="str">
            <v>CRF150</v>
          </cell>
          <cell r="D516">
            <v>2</v>
          </cell>
        </row>
        <row r="517">
          <cell r="B517" t="str">
            <v>CRF150</v>
          </cell>
          <cell r="D517">
            <v>1</v>
          </cell>
        </row>
        <row r="518">
          <cell r="B518" t="str">
            <v>CRF150</v>
          </cell>
          <cell r="D518">
            <v>1</v>
          </cell>
        </row>
        <row r="519">
          <cell r="B519" t="str">
            <v>CRF150</v>
          </cell>
          <cell r="D519">
            <v>2</v>
          </cell>
        </row>
        <row r="520">
          <cell r="B520" t="str">
            <v>CRF150</v>
          </cell>
          <cell r="D520">
            <v>2</v>
          </cell>
        </row>
        <row r="521">
          <cell r="B521" t="str">
            <v>CRF150</v>
          </cell>
          <cell r="D521">
            <v>2</v>
          </cell>
        </row>
        <row r="522">
          <cell r="B522" t="str">
            <v>CRF150</v>
          </cell>
          <cell r="D522">
            <v>1</v>
          </cell>
        </row>
        <row r="523">
          <cell r="B523" t="str">
            <v>CRF150</v>
          </cell>
          <cell r="D523">
            <v>2</v>
          </cell>
        </row>
        <row r="524">
          <cell r="B524" t="str">
            <v>CRF150</v>
          </cell>
          <cell r="D524">
            <v>1</v>
          </cell>
        </row>
        <row r="525">
          <cell r="B525" t="str">
            <v>CRF150</v>
          </cell>
          <cell r="D525">
            <v>1</v>
          </cell>
        </row>
        <row r="526">
          <cell r="B526" t="str">
            <v>CRF150</v>
          </cell>
          <cell r="D526">
            <v>1</v>
          </cell>
        </row>
        <row r="527">
          <cell r="B527" t="str">
            <v>CRF150</v>
          </cell>
          <cell r="D527">
            <v>1</v>
          </cell>
        </row>
        <row r="528">
          <cell r="B528" t="str">
            <v>CRF150</v>
          </cell>
          <cell r="D528">
            <v>3</v>
          </cell>
        </row>
        <row r="529">
          <cell r="B529" t="str">
            <v>CRF150</v>
          </cell>
          <cell r="D529">
            <v>1</v>
          </cell>
        </row>
        <row r="530">
          <cell r="B530" t="str">
            <v>CRF150</v>
          </cell>
          <cell r="D530">
            <v>2</v>
          </cell>
        </row>
        <row r="531">
          <cell r="B531" t="str">
            <v>CRF150</v>
          </cell>
          <cell r="D531">
            <v>2</v>
          </cell>
        </row>
        <row r="532">
          <cell r="B532" t="str">
            <v>CRF150</v>
          </cell>
          <cell r="D532">
            <v>1</v>
          </cell>
        </row>
        <row r="533">
          <cell r="B533" t="str">
            <v>CRF150</v>
          </cell>
          <cell r="D533">
            <v>1</v>
          </cell>
        </row>
        <row r="534">
          <cell r="B534" t="str">
            <v>CRF150</v>
          </cell>
          <cell r="D534">
            <v>3</v>
          </cell>
        </row>
        <row r="535">
          <cell r="B535" t="str">
            <v>CRF150</v>
          </cell>
          <cell r="D535">
            <v>2</v>
          </cell>
        </row>
        <row r="536">
          <cell r="B536" t="str">
            <v>CRF150</v>
          </cell>
          <cell r="D536">
            <v>1</v>
          </cell>
        </row>
        <row r="537">
          <cell r="B537" t="str">
            <v>CRF150</v>
          </cell>
          <cell r="D537">
            <v>2</v>
          </cell>
        </row>
        <row r="538">
          <cell r="B538" t="str">
            <v>CRF150</v>
          </cell>
          <cell r="D538">
            <v>1</v>
          </cell>
        </row>
        <row r="539">
          <cell r="B539" t="str">
            <v>CRF150</v>
          </cell>
          <cell r="D539">
            <v>1</v>
          </cell>
        </row>
        <row r="540">
          <cell r="B540" t="str">
            <v>CRF150</v>
          </cell>
          <cell r="D540">
            <v>1</v>
          </cell>
        </row>
        <row r="541">
          <cell r="B541" t="str">
            <v>CRF150</v>
          </cell>
          <cell r="D541">
            <v>2</v>
          </cell>
        </row>
        <row r="542">
          <cell r="B542" t="str">
            <v>CRF150</v>
          </cell>
          <cell r="D542">
            <v>2</v>
          </cell>
        </row>
        <row r="543">
          <cell r="B543" t="str">
            <v>CRF150</v>
          </cell>
          <cell r="D543">
            <v>2</v>
          </cell>
        </row>
        <row r="544">
          <cell r="B544" t="str">
            <v>CRF150</v>
          </cell>
          <cell r="D544">
            <v>2</v>
          </cell>
        </row>
        <row r="545">
          <cell r="B545" t="str">
            <v>CRF150</v>
          </cell>
          <cell r="D545">
            <v>1</v>
          </cell>
        </row>
        <row r="546">
          <cell r="B546" t="str">
            <v>CRF150</v>
          </cell>
          <cell r="D546">
            <v>2</v>
          </cell>
        </row>
        <row r="547">
          <cell r="B547" t="str">
            <v>CRF150</v>
          </cell>
          <cell r="D547">
            <v>1</v>
          </cell>
        </row>
        <row r="548">
          <cell r="B548" t="str">
            <v>CRF150</v>
          </cell>
          <cell r="D548">
            <v>2</v>
          </cell>
        </row>
        <row r="549">
          <cell r="B549" t="str">
            <v>CRF150</v>
          </cell>
          <cell r="D549">
            <v>2</v>
          </cell>
        </row>
        <row r="550">
          <cell r="B550" t="str">
            <v>CRF150</v>
          </cell>
          <cell r="D550">
            <v>2</v>
          </cell>
        </row>
        <row r="551">
          <cell r="B551" t="str">
            <v>CRF150</v>
          </cell>
          <cell r="D551">
            <v>6</v>
          </cell>
        </row>
        <row r="552">
          <cell r="B552" t="str">
            <v>CRF150</v>
          </cell>
          <cell r="D552">
            <v>1</v>
          </cell>
        </row>
        <row r="553">
          <cell r="B553" t="str">
            <v>CRF150</v>
          </cell>
          <cell r="D553">
            <v>4</v>
          </cell>
        </row>
        <row r="554">
          <cell r="B554" t="str">
            <v>CRF150</v>
          </cell>
          <cell r="D554">
            <v>2</v>
          </cell>
        </row>
        <row r="555">
          <cell r="B555" t="str">
            <v>CRF150</v>
          </cell>
          <cell r="D555">
            <v>1</v>
          </cell>
        </row>
        <row r="556">
          <cell r="B556" t="str">
            <v>CRF150</v>
          </cell>
          <cell r="D556">
            <v>1</v>
          </cell>
        </row>
        <row r="557">
          <cell r="B557" t="str">
            <v>CRF150</v>
          </cell>
          <cell r="D557">
            <v>2</v>
          </cell>
        </row>
        <row r="558">
          <cell r="B558" t="str">
            <v>CRF150</v>
          </cell>
          <cell r="D558">
            <v>2</v>
          </cell>
        </row>
        <row r="559">
          <cell r="B559" t="str">
            <v>CRF150</v>
          </cell>
          <cell r="D559">
            <v>1</v>
          </cell>
        </row>
        <row r="560">
          <cell r="B560" t="str">
            <v>CRF150</v>
          </cell>
          <cell r="D560">
            <v>1</v>
          </cell>
        </row>
        <row r="561">
          <cell r="B561" t="str">
            <v>CRF150</v>
          </cell>
          <cell r="D561">
            <v>1</v>
          </cell>
        </row>
        <row r="562">
          <cell r="B562" t="str">
            <v>CRF150</v>
          </cell>
          <cell r="D562">
            <v>3</v>
          </cell>
        </row>
        <row r="563">
          <cell r="B563" t="str">
            <v>CRF150</v>
          </cell>
          <cell r="D563">
            <v>2</v>
          </cell>
        </row>
        <row r="564">
          <cell r="B564" t="str">
            <v>CRF150</v>
          </cell>
          <cell r="D564">
            <v>1</v>
          </cell>
        </row>
        <row r="565">
          <cell r="B565" t="str">
            <v>CRF150</v>
          </cell>
          <cell r="D565">
            <v>1</v>
          </cell>
        </row>
        <row r="566">
          <cell r="B566" t="str">
            <v>CRF150</v>
          </cell>
          <cell r="D566">
            <v>1</v>
          </cell>
        </row>
        <row r="567">
          <cell r="B567" t="str">
            <v>CRF150</v>
          </cell>
          <cell r="D567">
            <v>3</v>
          </cell>
        </row>
        <row r="568">
          <cell r="B568" t="str">
            <v>CRF150</v>
          </cell>
          <cell r="D568">
            <v>1</v>
          </cell>
        </row>
        <row r="569">
          <cell r="B569" t="str">
            <v>CRF150</v>
          </cell>
          <cell r="D569">
            <v>2</v>
          </cell>
        </row>
        <row r="570">
          <cell r="B570" t="str">
            <v>CRF150</v>
          </cell>
          <cell r="D570">
            <v>1</v>
          </cell>
        </row>
        <row r="571">
          <cell r="B571" t="str">
            <v>CRF150</v>
          </cell>
          <cell r="D571">
            <v>2</v>
          </cell>
        </row>
        <row r="572">
          <cell r="B572" t="str">
            <v>CRF150</v>
          </cell>
          <cell r="D572">
            <v>2</v>
          </cell>
        </row>
        <row r="573">
          <cell r="B573" t="str">
            <v>CRF150</v>
          </cell>
          <cell r="D573">
            <v>1</v>
          </cell>
        </row>
        <row r="574">
          <cell r="B574" t="str">
            <v>CRF150</v>
          </cell>
          <cell r="D574">
            <v>1</v>
          </cell>
        </row>
        <row r="575">
          <cell r="B575" t="str">
            <v>CRF150</v>
          </cell>
          <cell r="D575">
            <v>1</v>
          </cell>
        </row>
        <row r="576">
          <cell r="B576" t="str">
            <v>CRF150</v>
          </cell>
          <cell r="D576">
            <v>3</v>
          </cell>
        </row>
        <row r="577">
          <cell r="B577" t="str">
            <v>CRF150</v>
          </cell>
          <cell r="D577">
            <v>3</v>
          </cell>
        </row>
        <row r="578">
          <cell r="B578" t="str">
            <v>CRF150</v>
          </cell>
          <cell r="D578">
            <v>4</v>
          </cell>
        </row>
        <row r="579">
          <cell r="B579" t="str">
            <v>CRF150</v>
          </cell>
          <cell r="D579">
            <v>2</v>
          </cell>
        </row>
        <row r="580">
          <cell r="B580" t="str">
            <v>CLICK160 FI</v>
          </cell>
          <cell r="D580">
            <v>2</v>
          </cell>
        </row>
        <row r="581">
          <cell r="B581" t="str">
            <v>CLICK160 FI</v>
          </cell>
          <cell r="D581">
            <v>1</v>
          </cell>
        </row>
        <row r="582">
          <cell r="B582" t="str">
            <v>CLICK160 FI</v>
          </cell>
          <cell r="D582">
            <v>3</v>
          </cell>
        </row>
        <row r="583">
          <cell r="B583" t="str">
            <v>CLICK160 FI</v>
          </cell>
          <cell r="D583">
            <v>2</v>
          </cell>
        </row>
        <row r="584">
          <cell r="B584" t="str">
            <v>CLICK160 FI</v>
          </cell>
          <cell r="D584">
            <v>1</v>
          </cell>
        </row>
        <row r="585">
          <cell r="B585" t="str">
            <v>CLICK160 FI</v>
          </cell>
          <cell r="D585">
            <v>3</v>
          </cell>
        </row>
        <row r="586">
          <cell r="B586" t="str">
            <v>CLICK160 FI</v>
          </cell>
          <cell r="D586">
            <v>1</v>
          </cell>
        </row>
        <row r="587">
          <cell r="B587" t="str">
            <v>CLICK160 FI</v>
          </cell>
          <cell r="D587">
            <v>1</v>
          </cell>
        </row>
        <row r="588">
          <cell r="B588" t="str">
            <v>CLICK160 FI</v>
          </cell>
          <cell r="D588">
            <v>1</v>
          </cell>
        </row>
        <row r="589">
          <cell r="B589" t="str">
            <v>CLICK160 FI</v>
          </cell>
          <cell r="D589">
            <v>1</v>
          </cell>
        </row>
        <row r="590">
          <cell r="B590" t="str">
            <v>CLICK160 FI</v>
          </cell>
          <cell r="D590">
            <v>1</v>
          </cell>
        </row>
        <row r="591">
          <cell r="B591" t="str">
            <v>CLICK160 FI</v>
          </cell>
          <cell r="D591">
            <v>1</v>
          </cell>
        </row>
        <row r="592">
          <cell r="B592" t="str">
            <v>CLICK160 FI</v>
          </cell>
          <cell r="D592">
            <v>1</v>
          </cell>
        </row>
        <row r="593">
          <cell r="B593" t="str">
            <v>CLICK160 FI</v>
          </cell>
          <cell r="D593">
            <v>2</v>
          </cell>
        </row>
        <row r="594">
          <cell r="B594" t="str">
            <v>CLICK160 FI</v>
          </cell>
          <cell r="D594">
            <v>2</v>
          </cell>
        </row>
        <row r="595">
          <cell r="B595" t="str">
            <v>CLICK160 FI</v>
          </cell>
          <cell r="D595">
            <v>2</v>
          </cell>
        </row>
        <row r="596">
          <cell r="B596" t="str">
            <v>CLICK160 FI</v>
          </cell>
          <cell r="D596">
            <v>2</v>
          </cell>
        </row>
        <row r="597">
          <cell r="B597" t="str">
            <v>CLICK160 FI</v>
          </cell>
          <cell r="D597">
            <v>1</v>
          </cell>
        </row>
        <row r="598">
          <cell r="B598" t="str">
            <v>CLICK160 FI</v>
          </cell>
          <cell r="D598">
            <v>1</v>
          </cell>
        </row>
        <row r="599">
          <cell r="B599" t="str">
            <v>CLICK160 FI</v>
          </cell>
          <cell r="D599">
            <v>3</v>
          </cell>
        </row>
        <row r="600">
          <cell r="B600" t="str">
            <v>CLICK160 FI</v>
          </cell>
          <cell r="D600">
            <v>3</v>
          </cell>
        </row>
        <row r="601">
          <cell r="B601" t="str">
            <v>CLICK160 FI</v>
          </cell>
          <cell r="D601">
            <v>1</v>
          </cell>
        </row>
        <row r="602">
          <cell r="B602" t="str">
            <v>CLICK160 FI</v>
          </cell>
          <cell r="D602">
            <v>1</v>
          </cell>
        </row>
        <row r="603">
          <cell r="B603" t="str">
            <v>CLICK160 FI</v>
          </cell>
          <cell r="D603">
            <v>1</v>
          </cell>
        </row>
        <row r="604">
          <cell r="B604" t="str">
            <v>CLICK160 FI</v>
          </cell>
          <cell r="D604">
            <v>1</v>
          </cell>
        </row>
        <row r="605">
          <cell r="B605" t="str">
            <v>CLICK160 FI</v>
          </cell>
          <cell r="D605">
            <v>1</v>
          </cell>
        </row>
        <row r="606">
          <cell r="B606" t="str">
            <v>CLICK160 FI</v>
          </cell>
          <cell r="D606">
            <v>1</v>
          </cell>
        </row>
        <row r="607">
          <cell r="B607" t="str">
            <v>CLICK160 FI</v>
          </cell>
          <cell r="D607">
            <v>2</v>
          </cell>
        </row>
        <row r="608">
          <cell r="B608" t="str">
            <v>CLICK160 FI</v>
          </cell>
          <cell r="D608">
            <v>2</v>
          </cell>
        </row>
        <row r="609">
          <cell r="B609" t="str">
            <v>CLICK160 FI</v>
          </cell>
          <cell r="D609">
            <v>1</v>
          </cell>
        </row>
        <row r="610">
          <cell r="B610" t="str">
            <v>CLICK160 FI</v>
          </cell>
          <cell r="D610">
            <v>2</v>
          </cell>
        </row>
        <row r="611">
          <cell r="B611" t="str">
            <v>CLICK160 FI</v>
          </cell>
          <cell r="D611">
            <v>9</v>
          </cell>
        </row>
        <row r="612">
          <cell r="B612" t="str">
            <v>CLICK160 FI</v>
          </cell>
          <cell r="D612">
            <v>4</v>
          </cell>
        </row>
        <row r="613">
          <cell r="B613" t="str">
            <v>CLICK160 FI</v>
          </cell>
          <cell r="D613">
            <v>1</v>
          </cell>
        </row>
        <row r="614">
          <cell r="B614" t="str">
            <v>CLICK160 FI</v>
          </cell>
          <cell r="D614">
            <v>1</v>
          </cell>
        </row>
        <row r="615">
          <cell r="B615" t="str">
            <v>CLICK160 FI</v>
          </cell>
          <cell r="D615">
            <v>1</v>
          </cell>
        </row>
        <row r="616">
          <cell r="B616" t="str">
            <v>CLICK160 FI</v>
          </cell>
          <cell r="D616">
            <v>1</v>
          </cell>
        </row>
        <row r="617">
          <cell r="B617" t="str">
            <v>CLICK160 FI</v>
          </cell>
          <cell r="D617">
            <v>1</v>
          </cell>
        </row>
        <row r="618">
          <cell r="B618" t="str">
            <v>CLICK160 FI</v>
          </cell>
          <cell r="D618">
            <v>1</v>
          </cell>
        </row>
        <row r="619">
          <cell r="B619" t="str">
            <v>CLICK160 FI</v>
          </cell>
          <cell r="D619">
            <v>2</v>
          </cell>
        </row>
        <row r="620">
          <cell r="B620" t="str">
            <v>CLICK160 FI</v>
          </cell>
          <cell r="D620">
            <v>4</v>
          </cell>
        </row>
        <row r="621">
          <cell r="B621" t="str">
            <v>CLICK160 FI</v>
          </cell>
          <cell r="D621">
            <v>2</v>
          </cell>
        </row>
        <row r="622">
          <cell r="B622" t="str">
            <v>CLICK160 FI</v>
          </cell>
          <cell r="D622">
            <v>3</v>
          </cell>
        </row>
        <row r="623">
          <cell r="B623" t="str">
            <v>CLICK160 FI</v>
          </cell>
          <cell r="D623">
            <v>2</v>
          </cell>
        </row>
        <row r="624">
          <cell r="B624" t="str">
            <v>CLICK160 FI</v>
          </cell>
          <cell r="D624">
            <v>1</v>
          </cell>
        </row>
        <row r="625">
          <cell r="B625" t="str">
            <v>CLICK160 FI</v>
          </cell>
          <cell r="D625">
            <v>2</v>
          </cell>
        </row>
        <row r="626">
          <cell r="B626" t="str">
            <v>CLICK160 FI</v>
          </cell>
          <cell r="D626">
            <v>3</v>
          </cell>
        </row>
        <row r="627">
          <cell r="B627" t="str">
            <v>CLICK160 FI</v>
          </cell>
          <cell r="D627">
            <v>1</v>
          </cell>
        </row>
        <row r="628">
          <cell r="B628" t="str">
            <v>CLICK160 FI</v>
          </cell>
          <cell r="D628">
            <v>1</v>
          </cell>
        </row>
        <row r="629">
          <cell r="B629" t="str">
            <v>CLICK160 FI</v>
          </cell>
          <cell r="D629">
            <v>1</v>
          </cell>
        </row>
        <row r="630">
          <cell r="B630" t="str">
            <v>CLICK160 FI</v>
          </cell>
          <cell r="D630">
            <v>1</v>
          </cell>
        </row>
        <row r="631">
          <cell r="B631" t="str">
            <v>CLICK160 FI</v>
          </cell>
          <cell r="D631">
            <v>2</v>
          </cell>
        </row>
        <row r="632">
          <cell r="B632" t="str">
            <v>CLICK160 FI</v>
          </cell>
          <cell r="D632">
            <v>1</v>
          </cell>
        </row>
        <row r="633">
          <cell r="B633" t="str">
            <v>CLICK160 FI</v>
          </cell>
          <cell r="D633">
            <v>1</v>
          </cell>
        </row>
        <row r="634">
          <cell r="B634" t="str">
            <v>WAVE RSX(DISC)</v>
          </cell>
          <cell r="D634">
            <v>1</v>
          </cell>
        </row>
        <row r="635">
          <cell r="B635" t="str">
            <v>ADV160</v>
          </cell>
          <cell r="D635">
            <v>1</v>
          </cell>
        </row>
        <row r="636">
          <cell r="B636" t="str">
            <v>ADV160</v>
          </cell>
          <cell r="D636">
            <v>1</v>
          </cell>
        </row>
        <row r="637">
          <cell r="B637" t="str">
            <v>ADV160</v>
          </cell>
          <cell r="D637">
            <v>2</v>
          </cell>
        </row>
        <row r="638">
          <cell r="B638" t="str">
            <v>ADV160</v>
          </cell>
          <cell r="D638">
            <v>1</v>
          </cell>
        </row>
        <row r="639">
          <cell r="B639" t="str">
            <v>ADV160</v>
          </cell>
          <cell r="D639">
            <v>1</v>
          </cell>
        </row>
        <row r="640">
          <cell r="B640" t="str">
            <v>ADV160</v>
          </cell>
          <cell r="D640">
            <v>1</v>
          </cell>
        </row>
        <row r="641">
          <cell r="B641" t="str">
            <v>ADV160</v>
          </cell>
          <cell r="D641">
            <v>1</v>
          </cell>
        </row>
        <row r="642">
          <cell r="B642" t="str">
            <v>ADV160</v>
          </cell>
          <cell r="D642">
            <v>1</v>
          </cell>
        </row>
        <row r="643">
          <cell r="B643" t="str">
            <v>ADV160</v>
          </cell>
          <cell r="D643">
            <v>1</v>
          </cell>
        </row>
        <row r="644">
          <cell r="B644" t="str">
            <v>ADV160</v>
          </cell>
          <cell r="D644">
            <v>3</v>
          </cell>
        </row>
        <row r="645">
          <cell r="B645" t="str">
            <v>ADV160</v>
          </cell>
          <cell r="D645">
            <v>1</v>
          </cell>
        </row>
        <row r="646">
          <cell r="B646" t="str">
            <v>ADV160</v>
          </cell>
          <cell r="D646">
            <v>1</v>
          </cell>
        </row>
        <row r="647">
          <cell r="B647" t="str">
            <v>ADV160</v>
          </cell>
          <cell r="D647">
            <v>4</v>
          </cell>
        </row>
        <row r="648">
          <cell r="B648" t="str">
            <v>ADV160</v>
          </cell>
          <cell r="D648">
            <v>2</v>
          </cell>
        </row>
        <row r="649">
          <cell r="B649" t="str">
            <v>ADV160</v>
          </cell>
          <cell r="D649">
            <v>1</v>
          </cell>
        </row>
        <row r="650">
          <cell r="B650" t="str">
            <v>ADV160</v>
          </cell>
          <cell r="D650">
            <v>5</v>
          </cell>
        </row>
        <row r="651">
          <cell r="B651" t="str">
            <v>ADV160</v>
          </cell>
          <cell r="D651">
            <v>1</v>
          </cell>
        </row>
        <row r="652">
          <cell r="B652" t="str">
            <v>ADV160</v>
          </cell>
          <cell r="D652">
            <v>1</v>
          </cell>
        </row>
        <row r="653">
          <cell r="B653" t="str">
            <v>ADV160</v>
          </cell>
          <cell r="D653">
            <v>1</v>
          </cell>
        </row>
        <row r="654">
          <cell r="B654" t="str">
            <v>ADV160</v>
          </cell>
          <cell r="D654">
            <v>1</v>
          </cell>
        </row>
        <row r="655">
          <cell r="B655" t="str">
            <v>ADV160</v>
          </cell>
          <cell r="D655">
            <v>2</v>
          </cell>
        </row>
        <row r="656">
          <cell r="B656" t="str">
            <v>ADV160</v>
          </cell>
          <cell r="D656">
            <v>5</v>
          </cell>
        </row>
        <row r="657">
          <cell r="B657" t="str">
            <v>ADV160</v>
          </cell>
          <cell r="D657">
            <v>1</v>
          </cell>
        </row>
        <row r="658">
          <cell r="B658" t="str">
            <v>ADV160</v>
          </cell>
          <cell r="D658">
            <v>4</v>
          </cell>
        </row>
        <row r="659">
          <cell r="B659" t="str">
            <v>ADV160</v>
          </cell>
          <cell r="D659">
            <v>1</v>
          </cell>
        </row>
        <row r="660">
          <cell r="B660" t="str">
            <v>ADV160</v>
          </cell>
          <cell r="D660">
            <v>1</v>
          </cell>
        </row>
        <row r="661">
          <cell r="B661" t="str">
            <v>ADV160</v>
          </cell>
          <cell r="D661">
            <v>1</v>
          </cell>
        </row>
        <row r="662">
          <cell r="B662" t="str">
            <v>ADV160</v>
          </cell>
          <cell r="D662">
            <v>1</v>
          </cell>
        </row>
        <row r="663">
          <cell r="B663" t="str">
            <v>ADV160</v>
          </cell>
          <cell r="D663">
            <v>2</v>
          </cell>
        </row>
        <row r="664">
          <cell r="B664" t="str">
            <v>ADV160</v>
          </cell>
          <cell r="D664">
            <v>1</v>
          </cell>
        </row>
        <row r="665">
          <cell r="B665" t="str">
            <v>ADV160</v>
          </cell>
          <cell r="D665">
            <v>2</v>
          </cell>
        </row>
        <row r="666">
          <cell r="B666" t="str">
            <v>ADV160</v>
          </cell>
          <cell r="D666">
            <v>2</v>
          </cell>
        </row>
        <row r="667">
          <cell r="B667" t="str">
            <v>ADV160</v>
          </cell>
          <cell r="D667">
            <v>1</v>
          </cell>
        </row>
        <row r="668">
          <cell r="B668" t="str">
            <v>ADV160</v>
          </cell>
          <cell r="D668">
            <v>1</v>
          </cell>
        </row>
        <row r="669">
          <cell r="B669" t="str">
            <v>ADV160</v>
          </cell>
          <cell r="D669">
            <v>1</v>
          </cell>
        </row>
        <row r="670">
          <cell r="B670" t="str">
            <v>ADV160</v>
          </cell>
          <cell r="D670">
            <v>1</v>
          </cell>
        </row>
        <row r="671">
          <cell r="B671" t="str">
            <v>ADV160</v>
          </cell>
          <cell r="D671">
            <v>1</v>
          </cell>
        </row>
        <row r="672">
          <cell r="B672" t="str">
            <v>ADV160</v>
          </cell>
          <cell r="D672">
            <v>1</v>
          </cell>
        </row>
        <row r="673">
          <cell r="B673" t="str">
            <v>ADV160</v>
          </cell>
          <cell r="D673">
            <v>1</v>
          </cell>
        </row>
        <row r="674">
          <cell r="B674" t="str">
            <v>ADV160</v>
          </cell>
          <cell r="D674">
            <v>6</v>
          </cell>
        </row>
        <row r="675">
          <cell r="B675" t="str">
            <v>ADV160</v>
          </cell>
          <cell r="D675">
            <v>3</v>
          </cell>
        </row>
        <row r="676">
          <cell r="B676" t="str">
            <v>ADV160</v>
          </cell>
          <cell r="D676">
            <v>1</v>
          </cell>
        </row>
        <row r="677">
          <cell r="B677" t="str">
            <v>ADV160</v>
          </cell>
          <cell r="D677">
            <v>1</v>
          </cell>
        </row>
        <row r="678">
          <cell r="B678" t="str">
            <v>ADV160</v>
          </cell>
          <cell r="D678">
            <v>2</v>
          </cell>
        </row>
        <row r="679">
          <cell r="B679" t="str">
            <v>ADV160</v>
          </cell>
          <cell r="D679">
            <v>1</v>
          </cell>
        </row>
        <row r="680">
          <cell r="B680" t="str">
            <v>ADV160</v>
          </cell>
          <cell r="D680">
            <v>1</v>
          </cell>
        </row>
        <row r="681">
          <cell r="B681" t="str">
            <v>ADV160</v>
          </cell>
          <cell r="D681">
            <v>2</v>
          </cell>
        </row>
        <row r="682">
          <cell r="B682" t="str">
            <v>ADV160</v>
          </cell>
          <cell r="D682">
            <v>1</v>
          </cell>
        </row>
        <row r="683">
          <cell r="B683" t="str">
            <v>ADV160</v>
          </cell>
          <cell r="D683">
            <v>2</v>
          </cell>
        </row>
        <row r="684">
          <cell r="B684" t="str">
            <v>ADV160</v>
          </cell>
          <cell r="D684">
            <v>2</v>
          </cell>
        </row>
        <row r="685">
          <cell r="B685" t="str">
            <v>ADV160</v>
          </cell>
          <cell r="D685">
            <v>2</v>
          </cell>
        </row>
        <row r="686">
          <cell r="B686" t="str">
            <v>ADV160</v>
          </cell>
          <cell r="D686">
            <v>1</v>
          </cell>
        </row>
        <row r="687">
          <cell r="B687" t="str">
            <v>ADV160</v>
          </cell>
          <cell r="D687">
            <v>1</v>
          </cell>
        </row>
        <row r="688">
          <cell r="B688" t="str">
            <v>ADV160</v>
          </cell>
          <cell r="D688">
            <v>3</v>
          </cell>
        </row>
        <row r="689">
          <cell r="B689" t="str">
            <v>ADV160</v>
          </cell>
          <cell r="D689">
            <v>1</v>
          </cell>
        </row>
        <row r="690">
          <cell r="B690" t="str">
            <v>ADV160</v>
          </cell>
          <cell r="D690">
            <v>2</v>
          </cell>
        </row>
        <row r="691">
          <cell r="B691" t="str">
            <v>ADV160</v>
          </cell>
          <cell r="D691">
            <v>1</v>
          </cell>
        </row>
        <row r="692">
          <cell r="B692" t="str">
            <v>ADV160</v>
          </cell>
          <cell r="D692">
            <v>1</v>
          </cell>
        </row>
        <row r="693">
          <cell r="B693" t="str">
            <v>ADV160</v>
          </cell>
          <cell r="D693">
            <v>1</v>
          </cell>
        </row>
        <row r="694">
          <cell r="B694" t="str">
            <v>ADV160</v>
          </cell>
          <cell r="D694">
            <v>2</v>
          </cell>
        </row>
        <row r="695">
          <cell r="B695" t="str">
            <v>ADV160</v>
          </cell>
          <cell r="D695">
            <v>1</v>
          </cell>
        </row>
        <row r="696">
          <cell r="B696" t="str">
            <v>ADV160</v>
          </cell>
          <cell r="D696">
            <v>2</v>
          </cell>
        </row>
        <row r="697">
          <cell r="B697" t="str">
            <v>ADV160</v>
          </cell>
          <cell r="D697">
            <v>2</v>
          </cell>
        </row>
        <row r="698">
          <cell r="B698" t="str">
            <v>ADV160</v>
          </cell>
          <cell r="D698">
            <v>1</v>
          </cell>
        </row>
        <row r="699">
          <cell r="B699" t="str">
            <v>ADV160 ROADSYNC</v>
          </cell>
          <cell r="D699">
            <v>4</v>
          </cell>
        </row>
        <row r="700">
          <cell r="B700" t="str">
            <v>ADV160 ROADSYNC</v>
          </cell>
          <cell r="D700">
            <v>1</v>
          </cell>
        </row>
        <row r="701">
          <cell r="B701" t="str">
            <v>ADV160 ROADSYNC</v>
          </cell>
          <cell r="D701">
            <v>3</v>
          </cell>
        </row>
        <row r="702">
          <cell r="B702" t="str">
            <v>ADV160 ROADSYNC</v>
          </cell>
          <cell r="D702">
            <v>1</v>
          </cell>
        </row>
        <row r="703">
          <cell r="B703" t="str">
            <v>CLICK125 FI</v>
          </cell>
          <cell r="D703">
            <v>2</v>
          </cell>
        </row>
        <row r="704">
          <cell r="B704" t="str">
            <v>CLICK125 FI</v>
          </cell>
          <cell r="D704">
            <v>1</v>
          </cell>
        </row>
        <row r="705">
          <cell r="B705" t="str">
            <v>CLICK125 FI</v>
          </cell>
          <cell r="D705">
            <v>2</v>
          </cell>
        </row>
        <row r="706">
          <cell r="B706" t="str">
            <v>CLICK125 FI</v>
          </cell>
          <cell r="D706">
            <v>2</v>
          </cell>
        </row>
        <row r="707">
          <cell r="B707" t="str">
            <v>CLICK125 FI</v>
          </cell>
          <cell r="D707">
            <v>1</v>
          </cell>
        </row>
        <row r="708">
          <cell r="B708" t="str">
            <v>CLICK125 FI</v>
          </cell>
          <cell r="D708">
            <v>1</v>
          </cell>
        </row>
        <row r="709">
          <cell r="B709" t="str">
            <v>CLICK125 FI</v>
          </cell>
          <cell r="D709">
            <v>2</v>
          </cell>
        </row>
        <row r="710">
          <cell r="B710" t="str">
            <v>CLICK125 FI</v>
          </cell>
          <cell r="D710">
            <v>3</v>
          </cell>
        </row>
        <row r="711">
          <cell r="B711" t="str">
            <v>CLICK125 FI</v>
          </cell>
          <cell r="D711">
            <v>4</v>
          </cell>
        </row>
        <row r="712">
          <cell r="B712" t="str">
            <v>CLICK125 FI</v>
          </cell>
          <cell r="D712">
            <v>4</v>
          </cell>
        </row>
        <row r="713">
          <cell r="B713" t="str">
            <v>CLICK125 FI</v>
          </cell>
          <cell r="D713">
            <v>3</v>
          </cell>
        </row>
        <row r="714">
          <cell r="B714" t="str">
            <v>CLICK125 FI</v>
          </cell>
          <cell r="D714">
            <v>2</v>
          </cell>
        </row>
        <row r="715">
          <cell r="B715" t="str">
            <v>CLICK125 FI</v>
          </cell>
          <cell r="D715">
            <v>8</v>
          </cell>
        </row>
        <row r="716">
          <cell r="B716" t="str">
            <v>CLICK125 FI</v>
          </cell>
          <cell r="D716">
            <v>7</v>
          </cell>
        </row>
        <row r="717">
          <cell r="B717" t="str">
            <v>CLICK125 FI</v>
          </cell>
          <cell r="D717">
            <v>7</v>
          </cell>
        </row>
        <row r="718">
          <cell r="B718" t="str">
            <v>CLICK125 FI</v>
          </cell>
          <cell r="D718">
            <v>1</v>
          </cell>
        </row>
        <row r="719">
          <cell r="B719" t="str">
            <v>CLICK125 FI</v>
          </cell>
          <cell r="D719">
            <v>2</v>
          </cell>
        </row>
        <row r="720">
          <cell r="B720" t="str">
            <v>CLICK125 FI</v>
          </cell>
          <cell r="D720">
            <v>1</v>
          </cell>
        </row>
        <row r="721">
          <cell r="B721" t="str">
            <v>CLICK125 FI</v>
          </cell>
          <cell r="D721">
            <v>2</v>
          </cell>
        </row>
        <row r="722">
          <cell r="B722" t="str">
            <v>CLICK125 FI</v>
          </cell>
          <cell r="D722">
            <v>3</v>
          </cell>
        </row>
        <row r="723">
          <cell r="B723" t="str">
            <v>CLICK125 FI</v>
          </cell>
          <cell r="D723">
            <v>3</v>
          </cell>
        </row>
        <row r="724">
          <cell r="B724" t="str">
            <v>CLICK125 FI</v>
          </cell>
          <cell r="D724">
            <v>3</v>
          </cell>
        </row>
        <row r="725">
          <cell r="B725" t="str">
            <v>CLICK125 FI</v>
          </cell>
          <cell r="D725">
            <v>2</v>
          </cell>
        </row>
        <row r="726">
          <cell r="B726" t="str">
            <v>CLICK125 FI</v>
          </cell>
          <cell r="D726">
            <v>1</v>
          </cell>
        </row>
        <row r="727">
          <cell r="B727" t="str">
            <v>CLICK125 FI</v>
          </cell>
          <cell r="D727">
            <v>1</v>
          </cell>
        </row>
        <row r="728">
          <cell r="B728" t="str">
            <v>CLICK125 FI</v>
          </cell>
          <cell r="D728">
            <v>1</v>
          </cell>
        </row>
        <row r="729">
          <cell r="B729" t="str">
            <v>CLICK125 FI</v>
          </cell>
          <cell r="D729">
            <v>3</v>
          </cell>
        </row>
        <row r="730">
          <cell r="B730" t="str">
            <v>CLICK125 FI</v>
          </cell>
          <cell r="D730">
            <v>4</v>
          </cell>
        </row>
        <row r="731">
          <cell r="B731" t="str">
            <v>CLICK125 FI</v>
          </cell>
          <cell r="D731">
            <v>1</v>
          </cell>
        </row>
        <row r="732">
          <cell r="B732" t="str">
            <v>CLICK125 FI</v>
          </cell>
          <cell r="D732">
            <v>1</v>
          </cell>
        </row>
        <row r="733">
          <cell r="B733" t="str">
            <v>CLICK125 FI</v>
          </cell>
          <cell r="D733">
            <v>7</v>
          </cell>
        </row>
        <row r="734">
          <cell r="B734" t="str">
            <v>CLICK125 FI</v>
          </cell>
          <cell r="D734">
            <v>5</v>
          </cell>
        </row>
        <row r="735">
          <cell r="B735" t="str">
            <v>CLICK125 FI</v>
          </cell>
          <cell r="D735">
            <v>1</v>
          </cell>
        </row>
        <row r="736">
          <cell r="B736" t="str">
            <v>CLICK125 FI</v>
          </cell>
          <cell r="D736">
            <v>2</v>
          </cell>
        </row>
        <row r="737">
          <cell r="B737" t="str">
            <v>CLICK125 FI</v>
          </cell>
          <cell r="D737">
            <v>1</v>
          </cell>
        </row>
        <row r="738">
          <cell r="B738" t="str">
            <v>CLICK125 FI</v>
          </cell>
          <cell r="D738">
            <v>100</v>
          </cell>
        </row>
        <row r="739">
          <cell r="B739" t="str">
            <v>CLICK125 FI</v>
          </cell>
          <cell r="D739">
            <v>1</v>
          </cell>
        </row>
        <row r="740">
          <cell r="B740" t="str">
            <v>CLICK125 FI</v>
          </cell>
          <cell r="D740">
            <v>1</v>
          </cell>
        </row>
        <row r="741">
          <cell r="B741" t="str">
            <v>CLICK125 FI</v>
          </cell>
          <cell r="D741">
            <v>2</v>
          </cell>
        </row>
        <row r="742">
          <cell r="B742" t="str">
            <v>CLICK125 FI</v>
          </cell>
          <cell r="D742">
            <v>3</v>
          </cell>
        </row>
        <row r="743">
          <cell r="B743" t="str">
            <v>CLICK125 FI</v>
          </cell>
          <cell r="D743">
            <v>2</v>
          </cell>
        </row>
        <row r="744">
          <cell r="B744" t="str">
            <v>CLICK125 FI</v>
          </cell>
          <cell r="D744">
            <v>3</v>
          </cell>
        </row>
        <row r="745">
          <cell r="B745" t="str">
            <v>CLICK125 FI</v>
          </cell>
          <cell r="D745">
            <v>3</v>
          </cell>
        </row>
        <row r="746">
          <cell r="B746" t="str">
            <v>CLICK125 FI</v>
          </cell>
          <cell r="D746">
            <v>1</v>
          </cell>
        </row>
        <row r="747">
          <cell r="B747" t="str">
            <v>CLICK125 FI</v>
          </cell>
          <cell r="D747">
            <v>6</v>
          </cell>
        </row>
        <row r="748">
          <cell r="B748" t="str">
            <v>CLICK125 FI</v>
          </cell>
          <cell r="D748">
            <v>2</v>
          </cell>
        </row>
        <row r="749">
          <cell r="B749" t="str">
            <v>CLICK125 FI</v>
          </cell>
          <cell r="D749">
            <v>2</v>
          </cell>
        </row>
        <row r="750">
          <cell r="B750" t="str">
            <v>CLICK125 FI</v>
          </cell>
          <cell r="D750">
            <v>1</v>
          </cell>
        </row>
        <row r="751">
          <cell r="B751" t="str">
            <v>CLICK125 FI</v>
          </cell>
          <cell r="D751">
            <v>1</v>
          </cell>
        </row>
        <row r="752">
          <cell r="B752" t="str">
            <v>CLICK125 FI</v>
          </cell>
          <cell r="D752">
            <v>4</v>
          </cell>
        </row>
        <row r="753">
          <cell r="B753" t="str">
            <v>CLICK125 FI</v>
          </cell>
          <cell r="D753">
            <v>3</v>
          </cell>
        </row>
        <row r="754">
          <cell r="B754" t="str">
            <v>CLICK125 FI</v>
          </cell>
          <cell r="D754">
            <v>1</v>
          </cell>
        </row>
        <row r="755">
          <cell r="B755" t="str">
            <v>CLICK125 FI</v>
          </cell>
          <cell r="D755">
            <v>2</v>
          </cell>
        </row>
        <row r="756">
          <cell r="B756" t="str">
            <v>CLICK125 FI</v>
          </cell>
          <cell r="D756">
            <v>4</v>
          </cell>
        </row>
        <row r="757">
          <cell r="B757" t="str">
            <v>CLICK125 FI</v>
          </cell>
          <cell r="D757">
            <v>1</v>
          </cell>
        </row>
        <row r="758">
          <cell r="B758" t="str">
            <v>CLICK125 FI</v>
          </cell>
          <cell r="D758">
            <v>1</v>
          </cell>
        </row>
        <row r="759">
          <cell r="B759" t="str">
            <v>CLICK125 FI</v>
          </cell>
          <cell r="D759">
            <v>2</v>
          </cell>
        </row>
        <row r="760">
          <cell r="B760" t="str">
            <v>CLICK125 FI</v>
          </cell>
          <cell r="D760">
            <v>1</v>
          </cell>
        </row>
        <row r="761">
          <cell r="B761" t="str">
            <v>CLICK125 FI</v>
          </cell>
          <cell r="D761">
            <v>1</v>
          </cell>
        </row>
        <row r="762">
          <cell r="B762" t="str">
            <v>CLICK125 FI</v>
          </cell>
          <cell r="D762">
            <v>3</v>
          </cell>
        </row>
        <row r="763">
          <cell r="B763" t="str">
            <v>CLICK125 FI</v>
          </cell>
          <cell r="D763">
            <v>2</v>
          </cell>
        </row>
        <row r="764">
          <cell r="B764" t="str">
            <v>CLICK125 FI</v>
          </cell>
          <cell r="D764">
            <v>6</v>
          </cell>
        </row>
        <row r="765">
          <cell r="B765" t="str">
            <v>CLICK125 FI</v>
          </cell>
          <cell r="D765">
            <v>3</v>
          </cell>
        </row>
        <row r="766">
          <cell r="B766" t="str">
            <v>CLICK125 FI</v>
          </cell>
          <cell r="D766">
            <v>6</v>
          </cell>
        </row>
        <row r="767">
          <cell r="B767" t="str">
            <v>CLICK125 FI</v>
          </cell>
          <cell r="D767">
            <v>22</v>
          </cell>
        </row>
        <row r="768">
          <cell r="B768" t="str">
            <v>CLICK125 FI</v>
          </cell>
          <cell r="D768">
            <v>48</v>
          </cell>
        </row>
        <row r="769">
          <cell r="B769" t="str">
            <v>CLICK125 FI</v>
          </cell>
          <cell r="D769">
            <v>2</v>
          </cell>
        </row>
        <row r="770">
          <cell r="B770" t="str">
            <v>CLICK125 FI</v>
          </cell>
          <cell r="D770">
            <v>2</v>
          </cell>
        </row>
        <row r="771">
          <cell r="B771" t="str">
            <v>CLICK125 FI</v>
          </cell>
          <cell r="D771">
            <v>1</v>
          </cell>
        </row>
        <row r="772">
          <cell r="B772" t="str">
            <v>CLICK125 FI</v>
          </cell>
          <cell r="D772">
            <v>1</v>
          </cell>
        </row>
        <row r="773">
          <cell r="B773" t="str">
            <v>CLICK125 FI</v>
          </cell>
          <cell r="D773">
            <v>2</v>
          </cell>
        </row>
        <row r="774">
          <cell r="B774" t="str">
            <v>CLICK125 FI</v>
          </cell>
          <cell r="D774">
            <v>2</v>
          </cell>
        </row>
        <row r="775">
          <cell r="B775" t="str">
            <v>CLICK125 FI</v>
          </cell>
          <cell r="D775">
            <v>8</v>
          </cell>
        </row>
        <row r="776">
          <cell r="B776" t="str">
            <v>CLICK125 FI</v>
          </cell>
          <cell r="D776">
            <v>1</v>
          </cell>
        </row>
        <row r="777">
          <cell r="B777" t="str">
            <v>CLICK125 FI</v>
          </cell>
          <cell r="D777">
            <v>2</v>
          </cell>
        </row>
        <row r="778">
          <cell r="B778" t="str">
            <v>CLICK125 FI</v>
          </cell>
          <cell r="D778">
            <v>5</v>
          </cell>
        </row>
        <row r="779">
          <cell r="B779" t="str">
            <v>CLICK125 FI SE</v>
          </cell>
          <cell r="D779">
            <v>27</v>
          </cell>
        </row>
        <row r="780">
          <cell r="B780" t="str">
            <v>CLICK125 FI SE</v>
          </cell>
          <cell r="D780">
            <v>7</v>
          </cell>
        </row>
        <row r="781">
          <cell r="B781" t="str">
            <v>CLICK125 FI SE</v>
          </cell>
          <cell r="D781">
            <v>13</v>
          </cell>
        </row>
        <row r="782">
          <cell r="B782" t="str">
            <v>CLICK125 FI SE</v>
          </cell>
          <cell r="D782">
            <v>3</v>
          </cell>
        </row>
        <row r="783">
          <cell r="B783" t="str">
            <v>CLICK125 FI SE</v>
          </cell>
          <cell r="D783">
            <v>1</v>
          </cell>
        </row>
        <row r="784">
          <cell r="B784" t="str">
            <v>CLICK125 FI SE</v>
          </cell>
          <cell r="D784">
            <v>4</v>
          </cell>
        </row>
        <row r="785">
          <cell r="B785" t="str">
            <v>CLICK125 FI SE</v>
          </cell>
          <cell r="D785">
            <v>2</v>
          </cell>
        </row>
        <row r="786">
          <cell r="B786" t="str">
            <v>CLICK125 FI SE</v>
          </cell>
          <cell r="D786">
            <v>1</v>
          </cell>
        </row>
        <row r="787">
          <cell r="B787" t="str">
            <v>CLICK125 FI SE</v>
          </cell>
          <cell r="D787">
            <v>1</v>
          </cell>
        </row>
        <row r="788">
          <cell r="B788" t="str">
            <v>CLICK125 FI SE</v>
          </cell>
          <cell r="D788">
            <v>1</v>
          </cell>
        </row>
        <row r="789">
          <cell r="B789" t="str">
            <v>CLICK125 FI SE</v>
          </cell>
          <cell r="D789">
            <v>1</v>
          </cell>
        </row>
        <row r="790">
          <cell r="B790" t="str">
            <v>CLICK125 FI SE</v>
          </cell>
          <cell r="D790">
            <v>3</v>
          </cell>
        </row>
        <row r="791">
          <cell r="B791" t="str">
            <v>CLICK125 FI SE</v>
          </cell>
          <cell r="D791">
            <v>1</v>
          </cell>
        </row>
        <row r="792">
          <cell r="B792" t="str">
            <v>CLICK125 FI SE</v>
          </cell>
          <cell r="D792">
            <v>2</v>
          </cell>
        </row>
        <row r="793">
          <cell r="B793" t="str">
            <v>CLICK125 FI SE</v>
          </cell>
          <cell r="D793">
            <v>2</v>
          </cell>
        </row>
        <row r="794">
          <cell r="B794" t="str">
            <v>CLICK125 FI SE</v>
          </cell>
          <cell r="D794">
            <v>4</v>
          </cell>
        </row>
        <row r="795">
          <cell r="B795" t="str">
            <v>CLICK125 FI SE</v>
          </cell>
          <cell r="D795">
            <v>3</v>
          </cell>
        </row>
        <row r="796">
          <cell r="B796" t="str">
            <v>CLICK125 FI SE</v>
          </cell>
          <cell r="D796">
            <v>8</v>
          </cell>
        </row>
        <row r="797">
          <cell r="B797" t="str">
            <v>CLICK125 FI SE</v>
          </cell>
          <cell r="D797">
            <v>9</v>
          </cell>
        </row>
        <row r="798">
          <cell r="B798" t="str">
            <v>CLICK125 FI SE</v>
          </cell>
          <cell r="D798">
            <v>1</v>
          </cell>
        </row>
        <row r="799">
          <cell r="B799" t="str">
            <v>CLICK125 FI SE</v>
          </cell>
          <cell r="D799">
            <v>3</v>
          </cell>
        </row>
        <row r="800">
          <cell r="B800" t="str">
            <v>CLICK125 FI SE</v>
          </cell>
          <cell r="D800">
            <v>1</v>
          </cell>
        </row>
        <row r="801">
          <cell r="B801" t="str">
            <v>CLICK125 FI SE</v>
          </cell>
          <cell r="D801">
            <v>4</v>
          </cell>
        </row>
        <row r="802">
          <cell r="B802" t="str">
            <v>CLICK125 FI SE</v>
          </cell>
          <cell r="D802">
            <v>3</v>
          </cell>
        </row>
        <row r="803">
          <cell r="B803" t="str">
            <v>CLICK125 FI SE</v>
          </cell>
          <cell r="D803">
            <v>2</v>
          </cell>
        </row>
        <row r="804">
          <cell r="B804" t="str">
            <v>CLICK125 FI SE</v>
          </cell>
          <cell r="D804">
            <v>1</v>
          </cell>
        </row>
        <row r="805">
          <cell r="B805" t="str">
            <v>CLICK125 FI SE</v>
          </cell>
          <cell r="D805">
            <v>1</v>
          </cell>
        </row>
        <row r="806">
          <cell r="B806" t="str">
            <v>CLICK125 FI SE</v>
          </cell>
          <cell r="D806">
            <v>1</v>
          </cell>
        </row>
        <row r="807">
          <cell r="B807" t="str">
            <v>CLICK125 FI SE</v>
          </cell>
          <cell r="D807">
            <v>2</v>
          </cell>
        </row>
        <row r="808">
          <cell r="B808" t="str">
            <v>CLICK125 FI SE</v>
          </cell>
          <cell r="D808">
            <v>3</v>
          </cell>
        </row>
        <row r="809">
          <cell r="B809" t="str">
            <v>CLICK125 FI SE</v>
          </cell>
          <cell r="D809">
            <v>4</v>
          </cell>
        </row>
        <row r="810">
          <cell r="B810" t="str">
            <v>CLICK125 FI SE</v>
          </cell>
          <cell r="D810">
            <v>3</v>
          </cell>
        </row>
        <row r="811">
          <cell r="B811" t="str">
            <v>CLICK125 FI SE</v>
          </cell>
          <cell r="D811">
            <v>2</v>
          </cell>
        </row>
        <row r="812">
          <cell r="B812" t="str">
            <v>CLICK125 FI SE</v>
          </cell>
          <cell r="D812">
            <v>4</v>
          </cell>
        </row>
        <row r="813">
          <cell r="B813" t="str">
            <v>CLICK125 FI SE</v>
          </cell>
          <cell r="D813">
            <v>1</v>
          </cell>
        </row>
        <row r="814">
          <cell r="B814" t="str">
            <v>CLICK125 FI SE</v>
          </cell>
          <cell r="D814">
            <v>2</v>
          </cell>
        </row>
        <row r="815">
          <cell r="B815" t="str">
            <v>CLICK125 FI SE</v>
          </cell>
          <cell r="D815">
            <v>1</v>
          </cell>
        </row>
        <row r="816">
          <cell r="B816" t="str">
            <v>CLICK125 FI SE</v>
          </cell>
          <cell r="D816">
            <v>1</v>
          </cell>
        </row>
        <row r="817">
          <cell r="B817" t="str">
            <v>GIORNO</v>
          </cell>
          <cell r="D817">
            <v>1</v>
          </cell>
        </row>
        <row r="818">
          <cell r="B818" t="str">
            <v>GIORNO</v>
          </cell>
          <cell r="D818">
            <v>1</v>
          </cell>
        </row>
        <row r="819">
          <cell r="B819" t="str">
            <v>PCX160 STANDARD</v>
          </cell>
          <cell r="D819">
            <v>3</v>
          </cell>
        </row>
        <row r="820">
          <cell r="B820" t="str">
            <v>PCX160 STANDARD</v>
          </cell>
          <cell r="D820">
            <v>1</v>
          </cell>
        </row>
        <row r="821">
          <cell r="B821" t="str">
            <v>EM1 e:</v>
          </cell>
          <cell r="D821">
            <v>1</v>
          </cell>
        </row>
        <row r="822">
          <cell r="B822" t="str">
            <v>EM1 e:</v>
          </cell>
          <cell r="D822">
            <v>1</v>
          </cell>
        </row>
        <row r="823">
          <cell r="B823" t="str">
            <v>EM1 e:</v>
          </cell>
          <cell r="D823">
            <v>1</v>
          </cell>
        </row>
        <row r="824">
          <cell r="B824" t="str">
            <v>NAVI</v>
          </cell>
          <cell r="D824">
            <v>1</v>
          </cell>
        </row>
        <row r="825">
          <cell r="B825" t="str">
            <v>NAVI</v>
          </cell>
          <cell r="D825">
            <v>1</v>
          </cell>
        </row>
        <row r="826">
          <cell r="B826" t="str">
            <v>PCX160 ROADSYNC</v>
          </cell>
          <cell r="D826">
            <v>1</v>
          </cell>
        </row>
        <row r="827">
          <cell r="B827" t="str">
            <v>PCX160 ROADSYNC</v>
          </cell>
          <cell r="D827">
            <v>1</v>
          </cell>
        </row>
        <row r="828">
          <cell r="B828" t="str">
            <v>PCX160 ROADSYNC</v>
          </cell>
          <cell r="D828">
            <v>1</v>
          </cell>
        </row>
        <row r="829">
          <cell r="B829" t="str">
            <v>PCX160 ROADSYNC</v>
          </cell>
          <cell r="D829">
            <v>1</v>
          </cell>
        </row>
        <row r="830">
          <cell r="B830" t="str">
            <v>PCX160 ROADSYNC</v>
          </cell>
          <cell r="D830">
            <v>1</v>
          </cell>
        </row>
        <row r="831">
          <cell r="B831" t="str">
            <v>PCX160 ROADSYNC</v>
          </cell>
          <cell r="D831">
            <v>1</v>
          </cell>
        </row>
        <row r="832">
          <cell r="B832" t="str">
            <v>CLICK125 FI STREET</v>
          </cell>
          <cell r="D832">
            <v>20</v>
          </cell>
        </row>
        <row r="833">
          <cell r="B833" t="str">
            <v>CLICK125 FI SE</v>
          </cell>
          <cell r="D833">
            <v>4</v>
          </cell>
        </row>
        <row r="834">
          <cell r="B834" t="str">
            <v>CLICK125 FI SE</v>
          </cell>
          <cell r="D834">
            <v>1</v>
          </cell>
        </row>
        <row r="835">
          <cell r="B835" t="str">
            <v>CLICK125 FI SE</v>
          </cell>
          <cell r="D835">
            <v>3</v>
          </cell>
        </row>
        <row r="836">
          <cell r="B836" t="str">
            <v>CLICK125 FI SE</v>
          </cell>
          <cell r="D836">
            <v>4</v>
          </cell>
        </row>
        <row r="837">
          <cell r="B837" t="str">
            <v>CLICK125 FI SE</v>
          </cell>
          <cell r="D837">
            <v>2</v>
          </cell>
        </row>
        <row r="838">
          <cell r="B838" t="str">
            <v>CLICK125 FI SE</v>
          </cell>
          <cell r="D838">
            <v>3</v>
          </cell>
        </row>
        <row r="839">
          <cell r="B839" t="str">
            <v>CLICK125 FI SE</v>
          </cell>
          <cell r="D839">
            <v>2</v>
          </cell>
        </row>
        <row r="840">
          <cell r="B840" t="str">
            <v>ROUSER NS125</v>
          </cell>
          <cell r="D840">
            <v>1</v>
          </cell>
        </row>
        <row r="841">
          <cell r="B841" t="str">
            <v>BOXER</v>
          </cell>
          <cell r="D841">
            <v>1</v>
          </cell>
        </row>
        <row r="842">
          <cell r="B842" t="str">
            <v>BOXER</v>
          </cell>
          <cell r="D842">
            <v>1</v>
          </cell>
        </row>
        <row r="843">
          <cell r="B843" t="str">
            <v>BOXER</v>
          </cell>
          <cell r="D843">
            <v>1</v>
          </cell>
        </row>
        <row r="844">
          <cell r="B844" t="str">
            <v>BOXER</v>
          </cell>
          <cell r="D844">
            <v>1</v>
          </cell>
        </row>
        <row r="845">
          <cell r="B845" t="str">
            <v>BOXER</v>
          </cell>
          <cell r="D845">
            <v>1</v>
          </cell>
        </row>
        <row r="846">
          <cell r="B846" t="str">
            <v>BOXER</v>
          </cell>
          <cell r="D846">
            <v>2</v>
          </cell>
        </row>
        <row r="847">
          <cell r="B847" t="str">
            <v>CT125</v>
          </cell>
          <cell r="D847">
            <v>202</v>
          </cell>
        </row>
        <row r="848">
          <cell r="B848" t="str">
            <v>CT125</v>
          </cell>
          <cell r="D848">
            <v>3</v>
          </cell>
        </row>
        <row r="849">
          <cell r="B849" t="str">
            <v>CT125</v>
          </cell>
          <cell r="D849">
            <v>13</v>
          </cell>
        </row>
        <row r="850">
          <cell r="B850" t="str">
            <v>CT125</v>
          </cell>
          <cell r="D850">
            <v>10</v>
          </cell>
        </row>
        <row r="851">
          <cell r="B851" t="str">
            <v>CT125</v>
          </cell>
          <cell r="D851">
            <v>16</v>
          </cell>
        </row>
        <row r="852">
          <cell r="B852" t="str">
            <v>CT125</v>
          </cell>
          <cell r="D852">
            <v>9</v>
          </cell>
        </row>
        <row r="853">
          <cell r="B853" t="str">
            <v>CT125</v>
          </cell>
          <cell r="D853">
            <v>7</v>
          </cell>
        </row>
        <row r="854">
          <cell r="B854" t="str">
            <v>CT125</v>
          </cell>
          <cell r="D854">
            <v>16</v>
          </cell>
        </row>
        <row r="855">
          <cell r="B855" t="str">
            <v>CT125</v>
          </cell>
          <cell r="D855">
            <v>7</v>
          </cell>
        </row>
        <row r="856">
          <cell r="B856" t="str">
            <v>CT125</v>
          </cell>
          <cell r="D856">
            <v>7</v>
          </cell>
        </row>
        <row r="857">
          <cell r="B857" t="str">
            <v>CT125</v>
          </cell>
          <cell r="D857">
            <v>10</v>
          </cell>
        </row>
        <row r="858">
          <cell r="B858" t="str">
            <v>CT125</v>
          </cell>
          <cell r="D858">
            <v>8</v>
          </cell>
        </row>
        <row r="859">
          <cell r="B859" t="str">
            <v>CT125</v>
          </cell>
          <cell r="D859">
            <v>4</v>
          </cell>
        </row>
        <row r="860">
          <cell r="B860" t="str">
            <v>CT125</v>
          </cell>
          <cell r="D860">
            <v>7</v>
          </cell>
        </row>
        <row r="861">
          <cell r="B861" t="str">
            <v>CT125</v>
          </cell>
          <cell r="D861">
            <v>8</v>
          </cell>
        </row>
        <row r="862">
          <cell r="B862" t="str">
            <v>CT125</v>
          </cell>
          <cell r="D862">
            <v>24</v>
          </cell>
        </row>
        <row r="863">
          <cell r="B863" t="str">
            <v>CT125</v>
          </cell>
          <cell r="D863">
            <v>3</v>
          </cell>
        </row>
        <row r="864">
          <cell r="B864" t="str">
            <v>CT125</v>
          </cell>
          <cell r="D864">
            <v>13</v>
          </cell>
        </row>
        <row r="865">
          <cell r="B865" t="str">
            <v>CT125</v>
          </cell>
          <cell r="D865">
            <v>6</v>
          </cell>
        </row>
        <row r="866">
          <cell r="B866" t="str">
            <v>CT125</v>
          </cell>
          <cell r="D866">
            <v>1</v>
          </cell>
        </row>
        <row r="867">
          <cell r="B867" t="str">
            <v>CT125</v>
          </cell>
          <cell r="D867">
            <v>12</v>
          </cell>
        </row>
        <row r="868">
          <cell r="B868" t="str">
            <v>CT125</v>
          </cell>
          <cell r="D868">
            <v>11</v>
          </cell>
        </row>
        <row r="869">
          <cell r="B869" t="str">
            <v>CT125</v>
          </cell>
          <cell r="D869">
            <v>5</v>
          </cell>
        </row>
        <row r="870">
          <cell r="B870" t="str">
            <v>CT125</v>
          </cell>
          <cell r="D870">
            <v>5</v>
          </cell>
        </row>
        <row r="871">
          <cell r="B871" t="str">
            <v>CT125</v>
          </cell>
          <cell r="D871">
            <v>6</v>
          </cell>
        </row>
        <row r="872">
          <cell r="B872" t="str">
            <v>CT125</v>
          </cell>
          <cell r="D872">
            <v>1</v>
          </cell>
        </row>
        <row r="873">
          <cell r="B873" t="str">
            <v>CT125</v>
          </cell>
          <cell r="D873">
            <v>11</v>
          </cell>
        </row>
        <row r="874">
          <cell r="B874" t="str">
            <v>CT125</v>
          </cell>
          <cell r="D874">
            <v>7</v>
          </cell>
        </row>
        <row r="875">
          <cell r="B875" t="str">
            <v>CT125</v>
          </cell>
          <cell r="D875">
            <v>2</v>
          </cell>
        </row>
        <row r="876">
          <cell r="B876" t="str">
            <v>CT125</v>
          </cell>
          <cell r="D876">
            <v>1</v>
          </cell>
        </row>
        <row r="877">
          <cell r="B877" t="str">
            <v>CT125</v>
          </cell>
          <cell r="D877">
            <v>3</v>
          </cell>
        </row>
        <row r="878">
          <cell r="B878" t="str">
            <v>CT125</v>
          </cell>
          <cell r="D878">
            <v>14</v>
          </cell>
        </row>
        <row r="879">
          <cell r="B879" t="str">
            <v>CT125</v>
          </cell>
          <cell r="D879">
            <v>1</v>
          </cell>
        </row>
        <row r="880">
          <cell r="B880" t="str">
            <v>CT125</v>
          </cell>
          <cell r="D880">
            <v>44</v>
          </cell>
        </row>
        <row r="881">
          <cell r="B881" t="str">
            <v>CT125</v>
          </cell>
          <cell r="D881">
            <v>12</v>
          </cell>
        </row>
        <row r="882">
          <cell r="B882" t="str">
            <v>CT125</v>
          </cell>
          <cell r="D882">
            <v>3</v>
          </cell>
        </row>
        <row r="883">
          <cell r="B883" t="str">
            <v>CT125</v>
          </cell>
          <cell r="D883">
            <v>8</v>
          </cell>
        </row>
        <row r="884">
          <cell r="B884" t="str">
            <v>CT125</v>
          </cell>
          <cell r="D884">
            <v>4</v>
          </cell>
        </row>
        <row r="885">
          <cell r="B885" t="str">
            <v>CT125</v>
          </cell>
          <cell r="D885">
            <v>9</v>
          </cell>
        </row>
        <row r="886">
          <cell r="B886" t="str">
            <v>CT125</v>
          </cell>
          <cell r="D886">
            <v>4</v>
          </cell>
        </row>
        <row r="887">
          <cell r="B887" t="str">
            <v>CT125</v>
          </cell>
          <cell r="D887">
            <v>62</v>
          </cell>
        </row>
        <row r="888">
          <cell r="B888" t="str">
            <v>CT125</v>
          </cell>
          <cell r="D888">
            <v>5</v>
          </cell>
        </row>
        <row r="889">
          <cell r="B889" t="str">
            <v>CT125</v>
          </cell>
          <cell r="D889">
            <v>1</v>
          </cell>
        </row>
        <row r="890">
          <cell r="B890" t="str">
            <v>CT125</v>
          </cell>
          <cell r="D890">
            <v>7</v>
          </cell>
        </row>
        <row r="891">
          <cell r="B891" t="str">
            <v>CT125</v>
          </cell>
          <cell r="D891">
            <v>4</v>
          </cell>
        </row>
        <row r="892">
          <cell r="B892" t="str">
            <v>CT125</v>
          </cell>
          <cell r="D892">
            <v>3</v>
          </cell>
        </row>
        <row r="893">
          <cell r="B893" t="str">
            <v>CT125</v>
          </cell>
          <cell r="D893">
            <v>1</v>
          </cell>
        </row>
        <row r="894">
          <cell r="B894" t="str">
            <v>CT125</v>
          </cell>
          <cell r="D894">
            <v>14</v>
          </cell>
        </row>
        <row r="895">
          <cell r="B895" t="str">
            <v>CT125</v>
          </cell>
          <cell r="D895">
            <v>6</v>
          </cell>
        </row>
        <row r="896">
          <cell r="B896" t="str">
            <v>CT125</v>
          </cell>
          <cell r="D896">
            <v>1</v>
          </cell>
        </row>
        <row r="897">
          <cell r="B897" t="str">
            <v>CT125</v>
          </cell>
          <cell r="D897">
            <v>8</v>
          </cell>
        </row>
        <row r="898">
          <cell r="B898" t="str">
            <v>CT125</v>
          </cell>
          <cell r="D898">
            <v>1</v>
          </cell>
        </row>
        <row r="899">
          <cell r="B899" t="str">
            <v>CT125</v>
          </cell>
          <cell r="D899">
            <v>3</v>
          </cell>
        </row>
        <row r="900">
          <cell r="B900" t="str">
            <v>CT125</v>
          </cell>
          <cell r="D900">
            <v>9</v>
          </cell>
        </row>
        <row r="901">
          <cell r="B901" t="str">
            <v>CT125</v>
          </cell>
          <cell r="D901">
            <v>1</v>
          </cell>
        </row>
        <row r="902">
          <cell r="B902" t="str">
            <v>CT125</v>
          </cell>
          <cell r="D902">
            <v>17</v>
          </cell>
        </row>
        <row r="903">
          <cell r="B903" t="str">
            <v>CT125</v>
          </cell>
          <cell r="D903">
            <v>3</v>
          </cell>
        </row>
        <row r="904">
          <cell r="B904" t="str">
            <v>CT125</v>
          </cell>
          <cell r="D904">
            <v>5</v>
          </cell>
        </row>
        <row r="905">
          <cell r="B905" t="str">
            <v>CT125</v>
          </cell>
          <cell r="D905">
            <v>5</v>
          </cell>
        </row>
        <row r="906">
          <cell r="B906" t="str">
            <v>CT125</v>
          </cell>
          <cell r="D906">
            <v>4</v>
          </cell>
        </row>
        <row r="907">
          <cell r="B907" t="str">
            <v>CT125</v>
          </cell>
          <cell r="D907">
            <v>1</v>
          </cell>
        </row>
        <row r="908">
          <cell r="B908" t="str">
            <v>CT125</v>
          </cell>
          <cell r="D908">
            <v>7</v>
          </cell>
        </row>
        <row r="909">
          <cell r="B909" t="str">
            <v>CT125</v>
          </cell>
          <cell r="D909">
            <v>5</v>
          </cell>
        </row>
        <row r="910">
          <cell r="B910" t="str">
            <v>CT125</v>
          </cell>
          <cell r="D910">
            <v>3</v>
          </cell>
        </row>
        <row r="911">
          <cell r="B911" t="str">
            <v>CT125</v>
          </cell>
          <cell r="D911">
            <v>2</v>
          </cell>
        </row>
        <row r="912">
          <cell r="B912" t="str">
            <v>CT125</v>
          </cell>
          <cell r="D912">
            <v>5</v>
          </cell>
        </row>
        <row r="913">
          <cell r="B913" t="str">
            <v>CT125</v>
          </cell>
          <cell r="D913">
            <v>12</v>
          </cell>
        </row>
        <row r="914">
          <cell r="B914" t="str">
            <v>CT125</v>
          </cell>
          <cell r="D914">
            <v>2</v>
          </cell>
        </row>
        <row r="915">
          <cell r="B915" t="str">
            <v>CT125</v>
          </cell>
          <cell r="D915">
            <v>3</v>
          </cell>
        </row>
        <row r="916">
          <cell r="B916" t="str">
            <v>CT125</v>
          </cell>
          <cell r="D916">
            <v>3</v>
          </cell>
        </row>
        <row r="917">
          <cell r="B917" t="str">
            <v>CT125</v>
          </cell>
          <cell r="D917">
            <v>7</v>
          </cell>
        </row>
        <row r="918">
          <cell r="B918" t="str">
            <v>CT125</v>
          </cell>
          <cell r="D918">
            <v>5</v>
          </cell>
        </row>
        <row r="919">
          <cell r="B919" t="str">
            <v>CT125</v>
          </cell>
          <cell r="D919">
            <v>7</v>
          </cell>
        </row>
        <row r="920">
          <cell r="B920" t="str">
            <v>CT125</v>
          </cell>
          <cell r="D920">
            <v>1</v>
          </cell>
        </row>
        <row r="921">
          <cell r="B921" t="str">
            <v>CT125</v>
          </cell>
          <cell r="D921">
            <v>11</v>
          </cell>
        </row>
        <row r="922">
          <cell r="B922" t="str">
            <v>CT125</v>
          </cell>
          <cell r="D922">
            <v>4</v>
          </cell>
        </row>
        <row r="923">
          <cell r="B923" t="str">
            <v>CT125</v>
          </cell>
          <cell r="D923">
            <v>9</v>
          </cell>
        </row>
        <row r="924">
          <cell r="B924" t="str">
            <v>CT125</v>
          </cell>
          <cell r="D924">
            <v>9</v>
          </cell>
        </row>
        <row r="925">
          <cell r="B925" t="str">
            <v>CT125</v>
          </cell>
          <cell r="D925">
            <v>5</v>
          </cell>
        </row>
        <row r="926">
          <cell r="B926" t="str">
            <v>CT125</v>
          </cell>
          <cell r="D926">
            <v>3</v>
          </cell>
        </row>
        <row r="927">
          <cell r="B927" t="str">
            <v>CT100</v>
          </cell>
          <cell r="D927">
            <v>3</v>
          </cell>
        </row>
        <row r="928">
          <cell r="B928" t="str">
            <v>CT100</v>
          </cell>
          <cell r="D928">
            <v>1</v>
          </cell>
        </row>
        <row r="929">
          <cell r="B929" t="str">
            <v>CT100</v>
          </cell>
          <cell r="D929">
            <v>1</v>
          </cell>
        </row>
        <row r="930">
          <cell r="B930" t="str">
            <v>CT100</v>
          </cell>
          <cell r="D930">
            <v>1</v>
          </cell>
        </row>
        <row r="931">
          <cell r="B931" t="str">
            <v>CT100</v>
          </cell>
          <cell r="D931">
            <v>1</v>
          </cell>
        </row>
        <row r="932">
          <cell r="B932" t="str">
            <v>CT100B</v>
          </cell>
          <cell r="D932">
            <v>2</v>
          </cell>
        </row>
        <row r="933">
          <cell r="B933" t="str">
            <v>CT100B</v>
          </cell>
          <cell r="D933">
            <v>4</v>
          </cell>
        </row>
        <row r="934">
          <cell r="B934" t="str">
            <v>CT100B</v>
          </cell>
          <cell r="D934">
            <v>1</v>
          </cell>
        </row>
        <row r="935">
          <cell r="B935" t="str">
            <v>CT100B</v>
          </cell>
          <cell r="D935">
            <v>1</v>
          </cell>
        </row>
        <row r="936">
          <cell r="B936" t="str">
            <v>CT100B</v>
          </cell>
          <cell r="D936">
            <v>1</v>
          </cell>
        </row>
        <row r="937">
          <cell r="B937" t="str">
            <v>CT100B</v>
          </cell>
          <cell r="D937">
            <v>1</v>
          </cell>
        </row>
        <row r="938">
          <cell r="B938" t="str">
            <v>CT100B</v>
          </cell>
          <cell r="D938">
            <v>1</v>
          </cell>
        </row>
        <row r="939">
          <cell r="B939" t="str">
            <v>CT100B</v>
          </cell>
          <cell r="D939">
            <v>1</v>
          </cell>
        </row>
        <row r="940">
          <cell r="B940" t="str">
            <v>CT100B</v>
          </cell>
          <cell r="D940">
            <v>1</v>
          </cell>
        </row>
        <row r="941">
          <cell r="B941" t="str">
            <v>CT100B</v>
          </cell>
          <cell r="D941">
            <v>2</v>
          </cell>
        </row>
        <row r="942">
          <cell r="B942" t="str">
            <v>CT100B</v>
          </cell>
          <cell r="D942">
            <v>12</v>
          </cell>
        </row>
        <row r="943">
          <cell r="B943" t="str">
            <v>CT100B</v>
          </cell>
          <cell r="D943">
            <v>1</v>
          </cell>
        </row>
        <row r="944">
          <cell r="B944" t="str">
            <v>CT100B</v>
          </cell>
          <cell r="D944">
            <v>5</v>
          </cell>
        </row>
        <row r="945">
          <cell r="B945" t="str">
            <v>CT100B</v>
          </cell>
          <cell r="D945">
            <v>2</v>
          </cell>
        </row>
        <row r="946">
          <cell r="B946" t="str">
            <v>CT100B</v>
          </cell>
          <cell r="D946">
            <v>1</v>
          </cell>
        </row>
        <row r="947">
          <cell r="B947" t="str">
            <v>CT100B</v>
          </cell>
          <cell r="D947">
            <v>2</v>
          </cell>
        </row>
        <row r="948">
          <cell r="B948" t="str">
            <v>CT100B</v>
          </cell>
          <cell r="D948">
            <v>2</v>
          </cell>
        </row>
        <row r="949">
          <cell r="B949" t="str">
            <v>CT100B</v>
          </cell>
          <cell r="D949">
            <v>1</v>
          </cell>
        </row>
        <row r="950">
          <cell r="B950" t="str">
            <v>CT100B</v>
          </cell>
          <cell r="D950">
            <v>1</v>
          </cell>
        </row>
        <row r="951">
          <cell r="B951" t="str">
            <v>BARAKO II (DUAL START)</v>
          </cell>
          <cell r="D951">
            <v>1</v>
          </cell>
        </row>
        <row r="952">
          <cell r="B952" t="str">
            <v>BARAKO III FI(KICK START)</v>
          </cell>
          <cell r="D952">
            <v>1</v>
          </cell>
        </row>
        <row r="953">
          <cell r="B953" t="str">
            <v>BARAKO III FI(DUAL START)</v>
          </cell>
          <cell r="D953">
            <v>1</v>
          </cell>
        </row>
        <row r="954">
          <cell r="B954" t="str">
            <v>BARAKO III FI(DUAL START)</v>
          </cell>
          <cell r="D954">
            <v>1</v>
          </cell>
        </row>
        <row r="955">
          <cell r="B955" t="str">
            <v>BARAKO III FI(DUAL START)</v>
          </cell>
          <cell r="D955">
            <v>1</v>
          </cell>
        </row>
        <row r="956">
          <cell r="B956" t="str">
            <v>W175</v>
          </cell>
          <cell r="D956">
            <v>1</v>
          </cell>
        </row>
        <row r="957">
          <cell r="B957" t="str">
            <v>CT100</v>
          </cell>
          <cell r="D957">
            <v>55</v>
          </cell>
        </row>
        <row r="958">
          <cell r="B958" t="str">
            <v>CT100</v>
          </cell>
          <cell r="D958">
            <v>2</v>
          </cell>
        </row>
        <row r="959">
          <cell r="B959" t="str">
            <v>CT100</v>
          </cell>
          <cell r="D959">
            <v>1</v>
          </cell>
        </row>
        <row r="960">
          <cell r="B960" t="str">
            <v>CT100</v>
          </cell>
          <cell r="D960">
            <v>1</v>
          </cell>
        </row>
        <row r="961">
          <cell r="B961" t="str">
            <v>CT100</v>
          </cell>
          <cell r="D961">
            <v>2</v>
          </cell>
        </row>
        <row r="962">
          <cell r="B962" t="str">
            <v>CT100</v>
          </cell>
          <cell r="D962">
            <v>3</v>
          </cell>
        </row>
        <row r="963">
          <cell r="B963" t="str">
            <v>CT100</v>
          </cell>
          <cell r="D963">
            <v>2</v>
          </cell>
        </row>
        <row r="964">
          <cell r="B964" t="str">
            <v>CT100</v>
          </cell>
          <cell r="D964">
            <v>6</v>
          </cell>
        </row>
        <row r="965">
          <cell r="B965" t="str">
            <v>CT100</v>
          </cell>
          <cell r="D965">
            <v>7</v>
          </cell>
        </row>
        <row r="966">
          <cell r="B966" t="str">
            <v>CT100</v>
          </cell>
          <cell r="D966">
            <v>2</v>
          </cell>
        </row>
        <row r="967">
          <cell r="B967" t="str">
            <v>CT100</v>
          </cell>
          <cell r="D967">
            <v>6</v>
          </cell>
        </row>
        <row r="968">
          <cell r="B968" t="str">
            <v>CT100</v>
          </cell>
          <cell r="D968">
            <v>1</v>
          </cell>
        </row>
        <row r="969">
          <cell r="B969" t="str">
            <v>CT100</v>
          </cell>
          <cell r="D969">
            <v>1</v>
          </cell>
        </row>
        <row r="970">
          <cell r="B970" t="str">
            <v>CT100</v>
          </cell>
          <cell r="D970">
            <v>1</v>
          </cell>
        </row>
        <row r="971">
          <cell r="B971" t="str">
            <v>CT100</v>
          </cell>
          <cell r="D971">
            <v>4</v>
          </cell>
        </row>
        <row r="972">
          <cell r="B972" t="str">
            <v>CT100</v>
          </cell>
          <cell r="D972">
            <v>2</v>
          </cell>
        </row>
        <row r="973">
          <cell r="B973" t="str">
            <v>CT100</v>
          </cell>
          <cell r="D973">
            <v>9</v>
          </cell>
        </row>
        <row r="974">
          <cell r="B974" t="str">
            <v>CT100</v>
          </cell>
          <cell r="D974">
            <v>1</v>
          </cell>
        </row>
        <row r="975">
          <cell r="B975" t="str">
            <v>CT100</v>
          </cell>
          <cell r="D975">
            <v>1</v>
          </cell>
        </row>
        <row r="976">
          <cell r="B976" t="str">
            <v>CT100</v>
          </cell>
          <cell r="D976">
            <v>1</v>
          </cell>
        </row>
        <row r="977">
          <cell r="B977" t="str">
            <v>CT100</v>
          </cell>
          <cell r="D977">
            <v>3</v>
          </cell>
        </row>
        <row r="978">
          <cell r="B978" t="str">
            <v>CT100</v>
          </cell>
          <cell r="D978">
            <v>1</v>
          </cell>
        </row>
        <row r="979">
          <cell r="B979" t="str">
            <v>CT100</v>
          </cell>
          <cell r="D979">
            <v>1</v>
          </cell>
        </row>
        <row r="980">
          <cell r="B980" t="str">
            <v>CT100</v>
          </cell>
          <cell r="D980">
            <v>1</v>
          </cell>
        </row>
        <row r="981">
          <cell r="B981" t="str">
            <v>CT100</v>
          </cell>
          <cell r="D981">
            <v>1</v>
          </cell>
        </row>
        <row r="982">
          <cell r="B982" t="str">
            <v>CT100</v>
          </cell>
          <cell r="D982">
            <v>2</v>
          </cell>
        </row>
        <row r="983">
          <cell r="B983" t="str">
            <v>CT100</v>
          </cell>
          <cell r="D983">
            <v>1</v>
          </cell>
        </row>
        <row r="984">
          <cell r="B984" t="str">
            <v>CT100</v>
          </cell>
          <cell r="D984">
            <v>1</v>
          </cell>
        </row>
        <row r="985">
          <cell r="B985" t="str">
            <v>CT100</v>
          </cell>
          <cell r="D985">
            <v>1</v>
          </cell>
        </row>
        <row r="986">
          <cell r="B986" t="str">
            <v>CT100</v>
          </cell>
          <cell r="D986">
            <v>1</v>
          </cell>
        </row>
        <row r="987">
          <cell r="B987" t="str">
            <v>KLX150</v>
          </cell>
          <cell r="D987">
            <v>1</v>
          </cell>
        </row>
        <row r="988">
          <cell r="B988" t="str">
            <v>BRUSKY125</v>
          </cell>
          <cell r="D988">
            <v>1</v>
          </cell>
        </row>
        <row r="989">
          <cell r="B989" t="str">
            <v>BRUSKY125</v>
          </cell>
          <cell r="D989">
            <v>1</v>
          </cell>
        </row>
        <row r="990">
          <cell r="B990" t="str">
            <v>BRUSKY125</v>
          </cell>
          <cell r="D990">
            <v>2</v>
          </cell>
        </row>
        <row r="991">
          <cell r="B991" t="str">
            <v>BRUSKY125</v>
          </cell>
          <cell r="D991">
            <v>1</v>
          </cell>
        </row>
        <row r="992">
          <cell r="B992" t="str">
            <v>BRUSKY125</v>
          </cell>
          <cell r="D992">
            <v>1</v>
          </cell>
        </row>
        <row r="993">
          <cell r="B993" t="str">
            <v>BRUSKY125</v>
          </cell>
          <cell r="D993">
            <v>1</v>
          </cell>
        </row>
        <row r="994">
          <cell r="B994" t="str">
            <v>BARAKO II (KICK START)</v>
          </cell>
          <cell r="D994">
            <v>3</v>
          </cell>
        </row>
        <row r="995">
          <cell r="B995" t="str">
            <v>BARAKO II (KICK START)</v>
          </cell>
          <cell r="D995">
            <v>1</v>
          </cell>
        </row>
        <row r="996">
          <cell r="B996" t="str">
            <v>BARAKO II (KICK START)</v>
          </cell>
          <cell r="D996">
            <v>1</v>
          </cell>
        </row>
        <row r="997">
          <cell r="B997" t="str">
            <v>BARAKO II (KICK START)</v>
          </cell>
          <cell r="D997">
            <v>1</v>
          </cell>
        </row>
        <row r="998">
          <cell r="B998" t="str">
            <v>BARAKO II (KICK START)</v>
          </cell>
          <cell r="D998">
            <v>2</v>
          </cell>
        </row>
        <row r="999">
          <cell r="B999" t="str">
            <v>BARAKO II (KICK START)</v>
          </cell>
          <cell r="D999">
            <v>6</v>
          </cell>
        </row>
        <row r="1000">
          <cell r="B1000" t="str">
            <v>BARAKO II (KICK START)</v>
          </cell>
          <cell r="D1000">
            <v>1</v>
          </cell>
        </row>
        <row r="1001">
          <cell r="B1001" t="str">
            <v>BARAKO II (KICK START)</v>
          </cell>
          <cell r="D1001">
            <v>2</v>
          </cell>
        </row>
        <row r="1002">
          <cell r="B1002" t="str">
            <v>BARAKO II (KICK START)</v>
          </cell>
          <cell r="D1002">
            <v>5</v>
          </cell>
        </row>
        <row r="1003">
          <cell r="B1003" t="str">
            <v>BARAKO II (KICK START)</v>
          </cell>
          <cell r="D1003">
            <v>1</v>
          </cell>
        </row>
        <row r="1004">
          <cell r="B1004" t="str">
            <v>BARAKO II (KICK START)</v>
          </cell>
          <cell r="D1004">
            <v>5</v>
          </cell>
        </row>
        <row r="1005">
          <cell r="B1005" t="str">
            <v>BARAKO II (KICK START)</v>
          </cell>
          <cell r="D1005">
            <v>2</v>
          </cell>
        </row>
        <row r="1006">
          <cell r="B1006" t="str">
            <v>BARAKO II (KICK START)</v>
          </cell>
          <cell r="D1006">
            <v>3</v>
          </cell>
        </row>
        <row r="1007">
          <cell r="B1007" t="str">
            <v>BARAKO II (KICK START)</v>
          </cell>
          <cell r="D1007">
            <v>1</v>
          </cell>
        </row>
        <row r="1008">
          <cell r="B1008" t="str">
            <v>BARAKO II (DUAL START)</v>
          </cell>
          <cell r="D1008">
            <v>14</v>
          </cell>
        </row>
        <row r="1009">
          <cell r="B1009" t="str">
            <v>BARAKO II (DUAL START)</v>
          </cell>
          <cell r="D1009">
            <v>2</v>
          </cell>
        </row>
        <row r="1010">
          <cell r="B1010" t="str">
            <v>BARAKO II (DUAL START)</v>
          </cell>
          <cell r="D1010">
            <v>5</v>
          </cell>
        </row>
        <row r="1011">
          <cell r="B1011" t="str">
            <v>BARAKO II (DUAL START)</v>
          </cell>
          <cell r="D1011">
            <v>2</v>
          </cell>
        </row>
        <row r="1012">
          <cell r="B1012" t="str">
            <v>BARAKO II (DUAL START)</v>
          </cell>
          <cell r="D1012">
            <v>1</v>
          </cell>
        </row>
        <row r="1013">
          <cell r="B1013" t="str">
            <v>BARAKO II (DUAL START)</v>
          </cell>
          <cell r="D1013">
            <v>1</v>
          </cell>
        </row>
        <row r="1014">
          <cell r="B1014" t="str">
            <v>BARAKO II (DUAL START)</v>
          </cell>
          <cell r="D1014">
            <v>1</v>
          </cell>
        </row>
        <row r="1015">
          <cell r="B1015" t="str">
            <v>BARAKO II (DUAL START)</v>
          </cell>
          <cell r="D1015">
            <v>1</v>
          </cell>
        </row>
        <row r="1016">
          <cell r="B1016" t="str">
            <v>BARAKO II (DUAL START)</v>
          </cell>
          <cell r="D1016">
            <v>2</v>
          </cell>
        </row>
        <row r="1017">
          <cell r="B1017" t="str">
            <v>BARAKO II (DUAL START)</v>
          </cell>
          <cell r="D1017">
            <v>2</v>
          </cell>
        </row>
        <row r="1018">
          <cell r="B1018" t="str">
            <v>BARAKO II (DUAL START)</v>
          </cell>
          <cell r="D1018">
            <v>10</v>
          </cell>
        </row>
        <row r="1019">
          <cell r="B1019" t="str">
            <v>BARAKO II (DUAL START)</v>
          </cell>
          <cell r="D1019">
            <v>1</v>
          </cell>
        </row>
        <row r="1020">
          <cell r="B1020" t="str">
            <v>BARAKO II (DUAL START)</v>
          </cell>
          <cell r="D1020">
            <v>3</v>
          </cell>
        </row>
        <row r="1021">
          <cell r="B1021" t="str">
            <v>BARAKO II (DUAL START)</v>
          </cell>
          <cell r="D1021">
            <v>3</v>
          </cell>
        </row>
        <row r="1022">
          <cell r="B1022" t="str">
            <v>BARAKO III FI(DUAL START)</v>
          </cell>
          <cell r="D1022">
            <v>6</v>
          </cell>
        </row>
        <row r="1023">
          <cell r="B1023" t="str">
            <v>BARAKO III FI(DUAL START)</v>
          </cell>
          <cell r="D1023">
            <v>3</v>
          </cell>
        </row>
        <row r="1024">
          <cell r="B1024" t="str">
            <v>BARAKO III FI(DUAL START)</v>
          </cell>
          <cell r="D1024">
            <v>1</v>
          </cell>
        </row>
        <row r="1025">
          <cell r="B1025" t="str">
            <v>BARAKO III FI(DUAL START)</v>
          </cell>
          <cell r="D1025">
            <v>1</v>
          </cell>
        </row>
        <row r="1026">
          <cell r="B1026" t="str">
            <v>BARAKO III FI(DUAL START)</v>
          </cell>
          <cell r="D1026">
            <v>2</v>
          </cell>
        </row>
        <row r="1027">
          <cell r="B1027" t="str">
            <v>BARAKO III FI(DUAL START)</v>
          </cell>
          <cell r="D1027">
            <v>3</v>
          </cell>
        </row>
        <row r="1028">
          <cell r="B1028" t="str">
            <v>KLX300</v>
          </cell>
          <cell r="D1028">
            <v>1</v>
          </cell>
        </row>
        <row r="1029">
          <cell r="B1029" t="str">
            <v>KLX150</v>
          </cell>
          <cell r="D1029">
            <v>1</v>
          </cell>
        </row>
        <row r="1030">
          <cell r="B1030" t="str">
            <v>KLX150</v>
          </cell>
          <cell r="D1030">
            <v>1</v>
          </cell>
        </row>
        <row r="1031">
          <cell r="B1031" t="str">
            <v>KLX150</v>
          </cell>
          <cell r="D1031">
            <v>1</v>
          </cell>
        </row>
        <row r="1032">
          <cell r="B1032" t="str">
            <v>KLX150</v>
          </cell>
          <cell r="D1032">
            <v>1</v>
          </cell>
        </row>
        <row r="1033">
          <cell r="B1033" t="str">
            <v>KLX150</v>
          </cell>
          <cell r="D1033">
            <v>1</v>
          </cell>
        </row>
        <row r="1034">
          <cell r="B1034" t="str">
            <v>KLX150</v>
          </cell>
          <cell r="D1034">
            <v>1</v>
          </cell>
        </row>
        <row r="1035">
          <cell r="B1035" t="str">
            <v>BRUSKY125</v>
          </cell>
          <cell r="D1035">
            <v>1</v>
          </cell>
        </row>
        <row r="1036">
          <cell r="B1036" t="str">
            <v>BRUSKY125</v>
          </cell>
          <cell r="D1036">
            <v>1</v>
          </cell>
        </row>
        <row r="1037">
          <cell r="B1037" t="str">
            <v>BRUSKY125</v>
          </cell>
          <cell r="D1037">
            <v>1</v>
          </cell>
        </row>
        <row r="1038">
          <cell r="B1038" t="str">
            <v>KLX150</v>
          </cell>
          <cell r="D1038">
            <v>6</v>
          </cell>
        </row>
        <row r="1039">
          <cell r="B1039" t="str">
            <v>KLX150</v>
          </cell>
          <cell r="D1039">
            <v>1</v>
          </cell>
        </row>
        <row r="1040">
          <cell r="B1040" t="str">
            <v>KLX150</v>
          </cell>
          <cell r="D1040">
            <v>3</v>
          </cell>
        </row>
        <row r="1041">
          <cell r="B1041" t="str">
            <v>KLX150</v>
          </cell>
          <cell r="D1041">
            <v>1</v>
          </cell>
        </row>
        <row r="1042">
          <cell r="B1042" t="str">
            <v>KLX150</v>
          </cell>
          <cell r="D1042">
            <v>4</v>
          </cell>
        </row>
        <row r="1043">
          <cell r="B1043" t="str">
            <v>KLX150</v>
          </cell>
          <cell r="D1043">
            <v>2</v>
          </cell>
        </row>
        <row r="1044">
          <cell r="B1044" t="str">
            <v>KLX150</v>
          </cell>
          <cell r="D1044">
            <v>3</v>
          </cell>
        </row>
        <row r="1045">
          <cell r="B1045" t="str">
            <v>KLX150</v>
          </cell>
          <cell r="D1045">
            <v>5</v>
          </cell>
        </row>
        <row r="1046">
          <cell r="B1046" t="str">
            <v>KLX150</v>
          </cell>
          <cell r="D1046">
            <v>2</v>
          </cell>
        </row>
        <row r="1047">
          <cell r="B1047" t="str">
            <v>KLX150</v>
          </cell>
          <cell r="D1047">
            <v>1</v>
          </cell>
        </row>
        <row r="1048">
          <cell r="B1048" t="str">
            <v>KLX150</v>
          </cell>
          <cell r="D1048">
            <v>1</v>
          </cell>
        </row>
        <row r="1049">
          <cell r="B1049" t="str">
            <v>KLX150</v>
          </cell>
          <cell r="D1049">
            <v>1</v>
          </cell>
        </row>
        <row r="1050">
          <cell r="B1050" t="str">
            <v>KLX150</v>
          </cell>
          <cell r="D1050">
            <v>3</v>
          </cell>
        </row>
        <row r="1051">
          <cell r="B1051" t="str">
            <v>KLX150</v>
          </cell>
          <cell r="D1051">
            <v>3</v>
          </cell>
        </row>
        <row r="1052">
          <cell r="B1052" t="str">
            <v>KLX150</v>
          </cell>
          <cell r="D1052">
            <v>1</v>
          </cell>
        </row>
        <row r="1053">
          <cell r="B1053" t="str">
            <v>KLX150</v>
          </cell>
          <cell r="D1053">
            <v>1</v>
          </cell>
        </row>
        <row r="1054">
          <cell r="B1054" t="str">
            <v>KLX150</v>
          </cell>
          <cell r="D1054">
            <v>3</v>
          </cell>
        </row>
        <row r="1055">
          <cell r="B1055" t="str">
            <v>KLX150</v>
          </cell>
          <cell r="D1055">
            <v>2</v>
          </cell>
        </row>
        <row r="1056">
          <cell r="B1056" t="str">
            <v>KLX150</v>
          </cell>
          <cell r="D1056">
            <v>5</v>
          </cell>
        </row>
        <row r="1057">
          <cell r="B1057" t="str">
            <v>KLX150</v>
          </cell>
          <cell r="D1057">
            <v>2</v>
          </cell>
        </row>
        <row r="1058">
          <cell r="B1058" t="str">
            <v>KLX150</v>
          </cell>
          <cell r="D1058">
            <v>2</v>
          </cell>
        </row>
        <row r="1059">
          <cell r="B1059" t="str">
            <v>KLX150</v>
          </cell>
          <cell r="D1059">
            <v>1</v>
          </cell>
        </row>
        <row r="1060">
          <cell r="B1060" t="str">
            <v>KLX150</v>
          </cell>
          <cell r="D1060">
            <v>1</v>
          </cell>
        </row>
        <row r="1061">
          <cell r="B1061" t="str">
            <v>KLX150</v>
          </cell>
          <cell r="D1061">
            <v>1</v>
          </cell>
        </row>
        <row r="1062">
          <cell r="B1062" t="str">
            <v>KLX150</v>
          </cell>
          <cell r="D1062">
            <v>2</v>
          </cell>
        </row>
        <row r="1063">
          <cell r="B1063" t="str">
            <v>KLX150</v>
          </cell>
          <cell r="D1063">
            <v>2</v>
          </cell>
        </row>
        <row r="1064">
          <cell r="B1064" t="str">
            <v>KLX150</v>
          </cell>
          <cell r="D1064">
            <v>4</v>
          </cell>
        </row>
        <row r="1065">
          <cell r="B1065" t="str">
            <v>KLX150</v>
          </cell>
          <cell r="D1065">
            <v>2</v>
          </cell>
        </row>
        <row r="1066">
          <cell r="B1066" t="str">
            <v>KLX150</v>
          </cell>
          <cell r="D1066">
            <v>4</v>
          </cell>
        </row>
        <row r="1067">
          <cell r="B1067" t="str">
            <v>WIZARD</v>
          </cell>
          <cell r="D1067">
            <v>1</v>
          </cell>
        </row>
        <row r="1068">
          <cell r="B1068" t="str">
            <v>WIZARD</v>
          </cell>
          <cell r="D1068">
            <v>2</v>
          </cell>
        </row>
        <row r="1069">
          <cell r="B1069" t="str">
            <v>WIZARD</v>
          </cell>
          <cell r="D1069">
            <v>1</v>
          </cell>
        </row>
        <row r="1070">
          <cell r="B1070" t="str">
            <v>KING</v>
          </cell>
          <cell r="D1070">
            <v>1</v>
          </cell>
        </row>
        <row r="1071">
          <cell r="B1071" t="str">
            <v>KING</v>
          </cell>
          <cell r="D1071">
            <v>1</v>
          </cell>
        </row>
        <row r="1072">
          <cell r="B1072" t="str">
            <v>WIZARD</v>
          </cell>
          <cell r="D1072">
            <v>14</v>
          </cell>
        </row>
        <row r="1073">
          <cell r="B1073" t="str">
            <v>WIZARD</v>
          </cell>
          <cell r="D1073">
            <v>2</v>
          </cell>
        </row>
        <row r="1074">
          <cell r="B1074" t="str">
            <v>WIZARD</v>
          </cell>
          <cell r="D1074">
            <v>2</v>
          </cell>
        </row>
        <row r="1075">
          <cell r="B1075" t="str">
            <v>WIZARD</v>
          </cell>
          <cell r="D1075">
            <v>2</v>
          </cell>
        </row>
        <row r="1076">
          <cell r="B1076" t="str">
            <v>WIZARD</v>
          </cell>
          <cell r="D1076">
            <v>1</v>
          </cell>
        </row>
        <row r="1077">
          <cell r="B1077" t="str">
            <v>WIZARD</v>
          </cell>
          <cell r="D1077">
            <v>1</v>
          </cell>
        </row>
        <row r="1078">
          <cell r="B1078" t="str">
            <v>WIZARD</v>
          </cell>
          <cell r="D1078">
            <v>3</v>
          </cell>
        </row>
        <row r="1079">
          <cell r="B1079" t="str">
            <v>WIZARD</v>
          </cell>
          <cell r="D1079">
            <v>7</v>
          </cell>
        </row>
        <row r="1080">
          <cell r="B1080" t="str">
            <v>WIZARD</v>
          </cell>
          <cell r="D1080">
            <v>1</v>
          </cell>
        </row>
        <row r="1081">
          <cell r="B1081" t="str">
            <v>WIZARD</v>
          </cell>
          <cell r="D1081">
            <v>1</v>
          </cell>
        </row>
        <row r="1082">
          <cell r="B1082" t="str">
            <v>WIZARD</v>
          </cell>
          <cell r="D1082">
            <v>6</v>
          </cell>
        </row>
        <row r="1083">
          <cell r="B1083" t="str">
            <v>WIZARD</v>
          </cell>
          <cell r="D1083">
            <v>3</v>
          </cell>
        </row>
        <row r="1084">
          <cell r="B1084" t="str">
            <v>WIZARD</v>
          </cell>
          <cell r="D1084">
            <v>1</v>
          </cell>
        </row>
        <row r="1085">
          <cell r="B1085" t="str">
            <v>WIZARD</v>
          </cell>
          <cell r="D1085">
            <v>1</v>
          </cell>
        </row>
        <row r="1086">
          <cell r="B1086" t="str">
            <v>WIZARD</v>
          </cell>
          <cell r="D1086">
            <v>1</v>
          </cell>
        </row>
        <row r="1087">
          <cell r="B1087" t="str">
            <v>WIZARD</v>
          </cell>
          <cell r="D1087">
            <v>2</v>
          </cell>
        </row>
        <row r="1088">
          <cell r="B1088" t="str">
            <v>WIZARD</v>
          </cell>
          <cell r="D1088">
            <v>1</v>
          </cell>
        </row>
        <row r="1089">
          <cell r="B1089" t="str">
            <v>WIZARD</v>
          </cell>
          <cell r="D1089">
            <v>5</v>
          </cell>
        </row>
        <row r="1090">
          <cell r="B1090" t="str">
            <v>WIZARD</v>
          </cell>
          <cell r="D1090">
            <v>1</v>
          </cell>
        </row>
        <row r="1091">
          <cell r="B1091" t="str">
            <v>WIZARD</v>
          </cell>
          <cell r="D1091">
            <v>1</v>
          </cell>
        </row>
        <row r="1092">
          <cell r="B1092" t="str">
            <v>WIZARD</v>
          </cell>
          <cell r="D1092">
            <v>1</v>
          </cell>
        </row>
        <row r="1093">
          <cell r="B1093" t="str">
            <v>WIZARD</v>
          </cell>
          <cell r="D1093">
            <v>4</v>
          </cell>
        </row>
        <row r="1094">
          <cell r="B1094" t="str">
            <v>WIZARD</v>
          </cell>
          <cell r="D1094">
            <v>13</v>
          </cell>
        </row>
        <row r="1095">
          <cell r="B1095" t="str">
            <v>WIZARD</v>
          </cell>
          <cell r="D1095">
            <v>1</v>
          </cell>
        </row>
        <row r="1096">
          <cell r="B1096" t="str">
            <v>WIZARD</v>
          </cell>
          <cell r="D1096">
            <v>1</v>
          </cell>
        </row>
        <row r="1097">
          <cell r="B1097" t="str">
            <v>WIZARD</v>
          </cell>
          <cell r="D1097">
            <v>2</v>
          </cell>
        </row>
        <row r="1098">
          <cell r="B1098" t="str">
            <v>WIZARD</v>
          </cell>
          <cell r="D1098">
            <v>3</v>
          </cell>
        </row>
        <row r="1099">
          <cell r="B1099" t="str">
            <v>WIZARD</v>
          </cell>
          <cell r="D1099">
            <v>2</v>
          </cell>
        </row>
        <row r="1100">
          <cell r="B1100" t="str">
            <v>BOLT150</v>
          </cell>
          <cell r="D1100">
            <v>1</v>
          </cell>
        </row>
        <row r="1101">
          <cell r="B1101" t="str">
            <v>BOLT150</v>
          </cell>
          <cell r="D1101">
            <v>1</v>
          </cell>
        </row>
        <row r="1102">
          <cell r="B1102" t="str">
            <v>BOLT150</v>
          </cell>
          <cell r="D1102">
            <v>1</v>
          </cell>
        </row>
        <row r="1103">
          <cell r="B1103" t="str">
            <v>BOLT150</v>
          </cell>
          <cell r="D1103">
            <v>1</v>
          </cell>
        </row>
        <row r="1104">
          <cell r="B1104" t="str">
            <v>LANCE150</v>
          </cell>
          <cell r="D1104">
            <v>1</v>
          </cell>
        </row>
        <row r="1105">
          <cell r="B1105" t="str">
            <v>LANCE150</v>
          </cell>
          <cell r="D1105">
            <v>1</v>
          </cell>
        </row>
        <row r="1106">
          <cell r="B1106" t="str">
            <v>LANCE150</v>
          </cell>
          <cell r="D1106">
            <v>1</v>
          </cell>
        </row>
        <row r="1107">
          <cell r="B1107" t="str">
            <v>LANCE150</v>
          </cell>
          <cell r="D1107">
            <v>1</v>
          </cell>
        </row>
        <row r="1108">
          <cell r="B1108" t="str">
            <v>LANCE150</v>
          </cell>
          <cell r="D1108">
            <v>1</v>
          </cell>
        </row>
        <row r="1109">
          <cell r="B1109" t="str">
            <v>LANCE150</v>
          </cell>
          <cell r="D1109">
            <v>1</v>
          </cell>
        </row>
        <row r="1110">
          <cell r="B1110" t="str">
            <v>LANCE150</v>
          </cell>
          <cell r="D1110">
            <v>1</v>
          </cell>
        </row>
        <row r="1111">
          <cell r="B1111" t="str">
            <v>SMASH(SPOKE)</v>
          </cell>
          <cell r="D1111">
            <v>1</v>
          </cell>
        </row>
        <row r="1112">
          <cell r="B1112" t="str">
            <v>SKYDRIVE SPORT</v>
          </cell>
          <cell r="D1112">
            <v>1</v>
          </cell>
        </row>
        <row r="1113">
          <cell r="B1113" t="str">
            <v>RAIDER J CROSSOVER</v>
          </cell>
          <cell r="D1113">
            <v>1</v>
          </cell>
        </row>
        <row r="1114">
          <cell r="B1114" t="str">
            <v>RAIDER J CROSSOVER</v>
          </cell>
          <cell r="D1114">
            <v>2</v>
          </cell>
        </row>
        <row r="1115">
          <cell r="B1115" t="str">
            <v>SKYDRIVE SPORT</v>
          </cell>
          <cell r="D1115">
            <v>1</v>
          </cell>
        </row>
        <row r="1116">
          <cell r="B1116" t="str">
            <v>SKYDRIVE CROSSOVER</v>
          </cell>
          <cell r="D1116">
            <v>1</v>
          </cell>
        </row>
        <row r="1117">
          <cell r="B1117" t="str">
            <v>SKYDRIVE CROSSOVER</v>
          </cell>
          <cell r="D1117">
            <v>1</v>
          </cell>
        </row>
        <row r="1118">
          <cell r="B1118" t="str">
            <v>SKYDRIVE CROSSOVER</v>
          </cell>
          <cell r="D1118">
            <v>1</v>
          </cell>
        </row>
        <row r="1119">
          <cell r="B1119" t="str">
            <v>SKYDRIVE CROSSOVER</v>
          </cell>
          <cell r="D1119">
            <v>1</v>
          </cell>
        </row>
        <row r="1120">
          <cell r="B1120" t="str">
            <v>SKYDRIVE CROSSOVER</v>
          </cell>
          <cell r="D1120">
            <v>1</v>
          </cell>
        </row>
        <row r="1121">
          <cell r="B1121" t="str">
            <v>SKYDRIVE CROSSOVER</v>
          </cell>
          <cell r="D1121">
            <v>1</v>
          </cell>
        </row>
        <row r="1122">
          <cell r="B1122" t="str">
            <v>SMASH(MAGS)</v>
          </cell>
          <cell r="D1122">
            <v>1</v>
          </cell>
        </row>
        <row r="1123">
          <cell r="B1123" t="str">
            <v>SMASH(MAGS)</v>
          </cell>
          <cell r="D1123">
            <v>1</v>
          </cell>
        </row>
        <row r="1124">
          <cell r="B1124" t="str">
            <v>BURGMAN STREET</v>
          </cell>
          <cell r="D1124">
            <v>1</v>
          </cell>
        </row>
        <row r="1125">
          <cell r="B1125" t="str">
            <v>BURGMAN STREET</v>
          </cell>
          <cell r="D1125">
            <v>1</v>
          </cell>
        </row>
        <row r="1126">
          <cell r="B1126" t="str">
            <v>AVENIS125</v>
          </cell>
          <cell r="D1126">
            <v>4</v>
          </cell>
        </row>
        <row r="1127">
          <cell r="B1127" t="str">
            <v>AVENIS125</v>
          </cell>
          <cell r="D1127">
            <v>1</v>
          </cell>
        </row>
        <row r="1128">
          <cell r="B1128" t="str">
            <v>AVENIS125</v>
          </cell>
          <cell r="D1128">
            <v>1</v>
          </cell>
        </row>
        <row r="1129">
          <cell r="B1129" t="str">
            <v>AVENIS125</v>
          </cell>
          <cell r="D1129">
            <v>1</v>
          </cell>
        </row>
        <row r="1130">
          <cell r="B1130" t="str">
            <v>AVENIS125</v>
          </cell>
          <cell r="D1130">
            <v>1</v>
          </cell>
        </row>
        <row r="1131">
          <cell r="B1131" t="str">
            <v>AVENIS125</v>
          </cell>
          <cell r="D1131">
            <v>1</v>
          </cell>
        </row>
        <row r="1132">
          <cell r="B1132" t="str">
            <v>AVENIS125</v>
          </cell>
          <cell r="D1132">
            <v>2</v>
          </cell>
        </row>
        <row r="1133">
          <cell r="B1133" t="str">
            <v>AVENIS125</v>
          </cell>
          <cell r="D1133">
            <v>1</v>
          </cell>
        </row>
        <row r="1134">
          <cell r="B1134" t="str">
            <v>AVENIS125</v>
          </cell>
          <cell r="D1134">
            <v>1</v>
          </cell>
        </row>
        <row r="1135">
          <cell r="B1135" t="str">
            <v>AVENIS125</v>
          </cell>
          <cell r="D1135">
            <v>1</v>
          </cell>
        </row>
        <row r="1136">
          <cell r="B1136" t="str">
            <v>AVENIS125</v>
          </cell>
          <cell r="D1136">
            <v>1</v>
          </cell>
        </row>
        <row r="1137">
          <cell r="B1137" t="str">
            <v>AVENIS125</v>
          </cell>
          <cell r="D1137">
            <v>2</v>
          </cell>
        </row>
        <row r="1138">
          <cell r="B1138" t="str">
            <v>AVENIS125</v>
          </cell>
          <cell r="D1138">
            <v>1</v>
          </cell>
        </row>
        <row r="1139">
          <cell r="B1139" t="str">
            <v>AVENIS125</v>
          </cell>
          <cell r="D1139">
            <v>1</v>
          </cell>
        </row>
        <row r="1140">
          <cell r="B1140" t="str">
            <v>AVENIS125</v>
          </cell>
          <cell r="D1140">
            <v>1</v>
          </cell>
        </row>
        <row r="1141">
          <cell r="B1141" t="str">
            <v>AVENIS125</v>
          </cell>
          <cell r="D1141">
            <v>1</v>
          </cell>
        </row>
        <row r="1142">
          <cell r="B1142" t="str">
            <v>AVENIS125</v>
          </cell>
          <cell r="D1142">
            <v>2</v>
          </cell>
        </row>
        <row r="1143">
          <cell r="B1143" t="str">
            <v>AVENIS125</v>
          </cell>
          <cell r="D1143">
            <v>1</v>
          </cell>
        </row>
        <row r="1144">
          <cell r="B1144" t="str">
            <v>AVENIS125</v>
          </cell>
          <cell r="D1144">
            <v>1</v>
          </cell>
        </row>
        <row r="1145">
          <cell r="B1145" t="str">
            <v>AVENIS125</v>
          </cell>
          <cell r="D1145">
            <v>1</v>
          </cell>
        </row>
        <row r="1146">
          <cell r="B1146" t="str">
            <v>AVENIS125</v>
          </cell>
          <cell r="D1146">
            <v>1</v>
          </cell>
        </row>
        <row r="1147">
          <cell r="B1147" t="str">
            <v>AVENIS125</v>
          </cell>
          <cell r="D1147">
            <v>1</v>
          </cell>
        </row>
        <row r="1148">
          <cell r="B1148" t="str">
            <v>AVENIS125</v>
          </cell>
          <cell r="D1148">
            <v>1</v>
          </cell>
        </row>
        <row r="1149">
          <cell r="B1149" t="str">
            <v>AVENIS125</v>
          </cell>
          <cell r="D1149">
            <v>1</v>
          </cell>
        </row>
        <row r="1150">
          <cell r="B1150" t="str">
            <v>BURGMAN STREET EX</v>
          </cell>
          <cell r="D1150">
            <v>1</v>
          </cell>
        </row>
        <row r="1151">
          <cell r="B1151" t="str">
            <v>BURGMAN STREET EX</v>
          </cell>
          <cell r="D1151">
            <v>1</v>
          </cell>
        </row>
        <row r="1152">
          <cell r="B1152" t="str">
            <v>BURGMAN STREET EX</v>
          </cell>
          <cell r="D1152">
            <v>1</v>
          </cell>
        </row>
        <row r="1153">
          <cell r="B1153" t="str">
            <v>BURGMAN STREET EX</v>
          </cell>
          <cell r="D1153">
            <v>1</v>
          </cell>
        </row>
        <row r="1154">
          <cell r="B1154" t="str">
            <v>SMASH(SPOKE)</v>
          </cell>
          <cell r="D1154">
            <v>1</v>
          </cell>
        </row>
        <row r="1155">
          <cell r="B1155" t="str">
            <v>SMASH FI(SPOKE)</v>
          </cell>
          <cell r="D1155">
            <v>1</v>
          </cell>
        </row>
        <row r="1156">
          <cell r="B1156" t="str">
            <v>SMASH FI(SPOKE)</v>
          </cell>
          <cell r="D1156">
            <v>1</v>
          </cell>
        </row>
        <row r="1157">
          <cell r="B1157" t="str">
            <v>SMASH FI(SPOKE)</v>
          </cell>
          <cell r="D1157">
            <v>1</v>
          </cell>
        </row>
        <row r="1158">
          <cell r="B1158" t="str">
            <v>SMASH FI(SPOKE)</v>
          </cell>
          <cell r="D1158">
            <v>1</v>
          </cell>
        </row>
        <row r="1159">
          <cell r="B1159" t="str">
            <v>SMASH FI(SPOKE)</v>
          </cell>
          <cell r="D1159">
            <v>2</v>
          </cell>
        </row>
        <row r="1160">
          <cell r="B1160" t="str">
            <v>SMASH FI(SPOKE)</v>
          </cell>
          <cell r="D1160">
            <v>1</v>
          </cell>
        </row>
        <row r="1161">
          <cell r="B1161" t="str">
            <v>SMASH FI(SPOKE)</v>
          </cell>
          <cell r="D1161">
            <v>1</v>
          </cell>
        </row>
        <row r="1162">
          <cell r="B1162" t="str">
            <v>SMASH FI(MAGS)</v>
          </cell>
          <cell r="D1162">
            <v>1</v>
          </cell>
        </row>
        <row r="1163">
          <cell r="B1163" t="str">
            <v>SMASH FI(MAGS)</v>
          </cell>
          <cell r="D1163">
            <v>1</v>
          </cell>
        </row>
        <row r="1164">
          <cell r="B1164" t="str">
            <v>SMASH FI(MAGS)</v>
          </cell>
          <cell r="D1164">
            <v>2</v>
          </cell>
        </row>
        <row r="1165">
          <cell r="B1165" t="str">
            <v>SMASH FI(MAGS)</v>
          </cell>
          <cell r="D1165">
            <v>1</v>
          </cell>
        </row>
        <row r="1166">
          <cell r="B1166" t="str">
            <v>SMASH(SPOKE)</v>
          </cell>
          <cell r="D1166">
            <v>1</v>
          </cell>
        </row>
        <row r="1167">
          <cell r="B1167" t="str">
            <v>RAIDER150 CARB</v>
          </cell>
          <cell r="D1167">
            <v>1</v>
          </cell>
        </row>
        <row r="1168">
          <cell r="B1168" t="str">
            <v>BURGMAN STREET</v>
          </cell>
          <cell r="D1168">
            <v>1</v>
          </cell>
        </row>
        <row r="1169">
          <cell r="B1169" t="str">
            <v>BURGMAN STREET</v>
          </cell>
          <cell r="D1169">
            <v>1</v>
          </cell>
        </row>
        <row r="1170">
          <cell r="B1170" t="str">
            <v>SMASH(MAGS)</v>
          </cell>
          <cell r="D1170">
            <v>1</v>
          </cell>
        </row>
        <row r="1171">
          <cell r="B1171" t="str">
            <v>SMASH(MAGS)</v>
          </cell>
          <cell r="D1171">
            <v>1</v>
          </cell>
        </row>
        <row r="1172">
          <cell r="B1172" t="str">
            <v>V-STROM 250 SX</v>
          </cell>
          <cell r="D1172">
            <v>1</v>
          </cell>
        </row>
        <row r="1173">
          <cell r="B1173" t="str">
            <v>V-STROM 250 SX</v>
          </cell>
          <cell r="D1173">
            <v>1</v>
          </cell>
        </row>
        <row r="1174">
          <cell r="B1174" t="str">
            <v>V-STROM 250 SX</v>
          </cell>
          <cell r="D1174">
            <v>1</v>
          </cell>
        </row>
        <row r="1175">
          <cell r="B1175" t="str">
            <v>GIXXER 250</v>
          </cell>
          <cell r="D1175">
            <v>1</v>
          </cell>
        </row>
        <row r="1176">
          <cell r="B1176" t="str">
            <v>SMASH(SPOKE)</v>
          </cell>
          <cell r="D1176">
            <v>1</v>
          </cell>
        </row>
        <row r="1177">
          <cell r="B1177" t="str">
            <v>SMASH(SPOKE)</v>
          </cell>
          <cell r="D1177">
            <v>1</v>
          </cell>
        </row>
        <row r="1178">
          <cell r="B1178" t="str">
            <v>SMASH(SPOKE)</v>
          </cell>
          <cell r="D1178">
            <v>1</v>
          </cell>
        </row>
        <row r="1179">
          <cell r="B1179" t="str">
            <v>SMASH(SPOKE)</v>
          </cell>
          <cell r="D1179">
            <v>1</v>
          </cell>
        </row>
        <row r="1180">
          <cell r="B1180" t="str">
            <v>SMASH(SPOKE)</v>
          </cell>
          <cell r="D1180">
            <v>1</v>
          </cell>
        </row>
        <row r="1181">
          <cell r="B1181" t="str">
            <v>SMASH(SPOKE)</v>
          </cell>
          <cell r="D1181">
            <v>1</v>
          </cell>
        </row>
        <row r="1182">
          <cell r="B1182" t="str">
            <v>SMASH(SPOKE)</v>
          </cell>
          <cell r="D1182">
            <v>1</v>
          </cell>
        </row>
        <row r="1183">
          <cell r="B1183" t="str">
            <v>SMASH(SPOKE)</v>
          </cell>
          <cell r="D1183">
            <v>1</v>
          </cell>
        </row>
        <row r="1184">
          <cell r="B1184" t="str">
            <v>SMASH(SPOKE)</v>
          </cell>
          <cell r="D1184">
            <v>1</v>
          </cell>
        </row>
        <row r="1185">
          <cell r="B1185" t="str">
            <v>SMASH(SPOKE)</v>
          </cell>
          <cell r="D1185">
            <v>1</v>
          </cell>
        </row>
        <row r="1186">
          <cell r="B1186" t="str">
            <v>SMASH(SPOKE)</v>
          </cell>
          <cell r="D1186">
            <v>1</v>
          </cell>
        </row>
        <row r="1187">
          <cell r="B1187" t="str">
            <v>SMASH(SPOKE)</v>
          </cell>
          <cell r="D1187">
            <v>1</v>
          </cell>
        </row>
        <row r="1188">
          <cell r="B1188" t="str">
            <v>SMASH(SPOKE)</v>
          </cell>
          <cell r="D1188">
            <v>2</v>
          </cell>
        </row>
        <row r="1189">
          <cell r="B1189" t="str">
            <v>SMASH(SPOKE)</v>
          </cell>
          <cell r="D1189">
            <v>1</v>
          </cell>
        </row>
        <row r="1190">
          <cell r="B1190" t="str">
            <v>SMASH(SPOKE)</v>
          </cell>
          <cell r="D1190">
            <v>2</v>
          </cell>
        </row>
        <row r="1191">
          <cell r="B1191" t="str">
            <v>SMASH(SPOKE)</v>
          </cell>
          <cell r="D1191">
            <v>1</v>
          </cell>
        </row>
        <row r="1192">
          <cell r="B1192" t="str">
            <v>SMASH(SPOKE)</v>
          </cell>
          <cell r="D1192">
            <v>1</v>
          </cell>
        </row>
        <row r="1193">
          <cell r="B1193" t="str">
            <v>SMASH(SPOKE)</v>
          </cell>
          <cell r="D1193">
            <v>1</v>
          </cell>
        </row>
        <row r="1194">
          <cell r="B1194" t="str">
            <v>SMASH(SPOKE)</v>
          </cell>
          <cell r="D1194">
            <v>1</v>
          </cell>
        </row>
        <row r="1195">
          <cell r="B1195" t="str">
            <v>SMASH(SPOKE)</v>
          </cell>
          <cell r="D1195">
            <v>1</v>
          </cell>
        </row>
        <row r="1196">
          <cell r="B1196" t="str">
            <v>SMASH(SPOKE)</v>
          </cell>
          <cell r="D1196">
            <v>1</v>
          </cell>
        </row>
        <row r="1197">
          <cell r="B1197" t="str">
            <v>SMASH(SPOKE)</v>
          </cell>
          <cell r="D1197">
            <v>1</v>
          </cell>
        </row>
        <row r="1198">
          <cell r="B1198" t="str">
            <v>SMASH(SPOKE)</v>
          </cell>
          <cell r="D1198">
            <v>1</v>
          </cell>
        </row>
        <row r="1199">
          <cell r="B1199" t="str">
            <v>SMASH(SPOKE)</v>
          </cell>
          <cell r="D1199">
            <v>1</v>
          </cell>
        </row>
        <row r="1200">
          <cell r="B1200" t="str">
            <v>SMASH(SPOKE)</v>
          </cell>
          <cell r="D1200">
            <v>1</v>
          </cell>
        </row>
        <row r="1201">
          <cell r="B1201" t="str">
            <v>SMASH(SPOKE)</v>
          </cell>
          <cell r="D1201">
            <v>2</v>
          </cell>
        </row>
        <row r="1202">
          <cell r="B1202" t="str">
            <v>SMASH(SPOKE)</v>
          </cell>
          <cell r="D1202">
            <v>1</v>
          </cell>
        </row>
        <row r="1203">
          <cell r="B1203" t="str">
            <v>SMASH(SPOKE)</v>
          </cell>
          <cell r="D1203">
            <v>1</v>
          </cell>
        </row>
        <row r="1204">
          <cell r="B1204" t="str">
            <v>SMASH(SPOKE)</v>
          </cell>
          <cell r="D1204">
            <v>1</v>
          </cell>
        </row>
        <row r="1205">
          <cell r="B1205" t="str">
            <v>SMASH(SPOKE)</v>
          </cell>
          <cell r="D1205">
            <v>1</v>
          </cell>
        </row>
        <row r="1206">
          <cell r="B1206" t="str">
            <v>SMASH(SPOKE)</v>
          </cell>
          <cell r="D1206">
            <v>1</v>
          </cell>
        </row>
        <row r="1207">
          <cell r="B1207" t="str">
            <v>SMASH(SPOKE)</v>
          </cell>
          <cell r="D1207">
            <v>1</v>
          </cell>
        </row>
        <row r="1208">
          <cell r="B1208" t="str">
            <v>SMASH(SPOKE)</v>
          </cell>
          <cell r="D1208">
            <v>1</v>
          </cell>
        </row>
        <row r="1209">
          <cell r="B1209" t="str">
            <v>SMASH(SPOKE)</v>
          </cell>
          <cell r="D1209">
            <v>1</v>
          </cell>
        </row>
        <row r="1210">
          <cell r="B1210" t="str">
            <v>SMASH(SPOKE)</v>
          </cell>
          <cell r="D1210">
            <v>1</v>
          </cell>
        </row>
        <row r="1211">
          <cell r="B1211" t="str">
            <v>SMASH(SPOKE)</v>
          </cell>
          <cell r="D1211">
            <v>2</v>
          </cell>
        </row>
        <row r="1212">
          <cell r="B1212" t="str">
            <v>SMASH(SPOKE)</v>
          </cell>
          <cell r="D1212">
            <v>4</v>
          </cell>
        </row>
        <row r="1213">
          <cell r="B1213" t="str">
            <v>SMASH(SPOKE)</v>
          </cell>
          <cell r="D1213">
            <v>1</v>
          </cell>
        </row>
        <row r="1214">
          <cell r="B1214" t="str">
            <v>SMASH(SPOKE)</v>
          </cell>
          <cell r="D1214">
            <v>1</v>
          </cell>
        </row>
        <row r="1215">
          <cell r="B1215" t="str">
            <v>SMASH(SPOKE)</v>
          </cell>
          <cell r="D1215">
            <v>1</v>
          </cell>
        </row>
        <row r="1216">
          <cell r="B1216" t="str">
            <v>SMASH(SPOKE)</v>
          </cell>
          <cell r="D1216">
            <v>1</v>
          </cell>
        </row>
        <row r="1217">
          <cell r="B1217" t="str">
            <v>SMASH(SPOKE)</v>
          </cell>
          <cell r="D1217">
            <v>1</v>
          </cell>
        </row>
        <row r="1218">
          <cell r="B1218" t="str">
            <v>SMASH(MAGS)</v>
          </cell>
          <cell r="D1218">
            <v>1</v>
          </cell>
        </row>
        <row r="1219">
          <cell r="B1219" t="str">
            <v>SMASH(MAGS)</v>
          </cell>
          <cell r="D1219">
            <v>1</v>
          </cell>
        </row>
        <row r="1220">
          <cell r="B1220" t="str">
            <v>SMASH(MAGS)</v>
          </cell>
          <cell r="D1220">
            <v>1</v>
          </cell>
        </row>
        <row r="1221">
          <cell r="B1221" t="str">
            <v>SMASH(MAGS)</v>
          </cell>
          <cell r="D1221">
            <v>1</v>
          </cell>
        </row>
        <row r="1222">
          <cell r="B1222" t="str">
            <v>SMASH(MAGS)</v>
          </cell>
          <cell r="D1222">
            <v>1</v>
          </cell>
        </row>
        <row r="1223">
          <cell r="B1223" t="str">
            <v>SMASH(MAGS)</v>
          </cell>
          <cell r="D1223">
            <v>1</v>
          </cell>
        </row>
        <row r="1224">
          <cell r="B1224" t="str">
            <v>SMASH(MAGS)</v>
          </cell>
          <cell r="D1224">
            <v>1</v>
          </cell>
        </row>
        <row r="1225">
          <cell r="B1225" t="str">
            <v>SMASH(MAGS)</v>
          </cell>
          <cell r="D1225">
            <v>1</v>
          </cell>
        </row>
        <row r="1226">
          <cell r="B1226" t="str">
            <v>SMASH(MAGS)</v>
          </cell>
          <cell r="D1226">
            <v>1</v>
          </cell>
        </row>
        <row r="1227">
          <cell r="B1227" t="str">
            <v>SMASH(MAGS)</v>
          </cell>
          <cell r="D1227">
            <v>1</v>
          </cell>
        </row>
        <row r="1228">
          <cell r="B1228" t="str">
            <v>SMASH(MAGS)</v>
          </cell>
          <cell r="D1228">
            <v>1</v>
          </cell>
        </row>
        <row r="1229">
          <cell r="B1229" t="str">
            <v>SMASH(MAGS)</v>
          </cell>
          <cell r="D1229">
            <v>2</v>
          </cell>
        </row>
        <row r="1230">
          <cell r="B1230" t="str">
            <v>BURGMAN STREET EX</v>
          </cell>
          <cell r="D1230">
            <v>1</v>
          </cell>
        </row>
        <row r="1231">
          <cell r="B1231" t="str">
            <v>BURGMAN STREET EX</v>
          </cell>
          <cell r="D1231">
            <v>1</v>
          </cell>
        </row>
        <row r="1232">
          <cell r="B1232" t="str">
            <v>BURGMAN STREET EX</v>
          </cell>
          <cell r="D1232">
            <v>1</v>
          </cell>
        </row>
        <row r="1233">
          <cell r="B1233" t="str">
            <v>BURGMAN STREET EX</v>
          </cell>
          <cell r="D1233">
            <v>2</v>
          </cell>
        </row>
        <row r="1234">
          <cell r="B1234" t="str">
            <v>BURGMAN STREET EX</v>
          </cell>
          <cell r="D1234">
            <v>1</v>
          </cell>
        </row>
        <row r="1235">
          <cell r="B1235" t="str">
            <v>BURGMAN STREET EX</v>
          </cell>
          <cell r="D1235">
            <v>1</v>
          </cell>
        </row>
        <row r="1236">
          <cell r="B1236" t="str">
            <v>ACCESS 125</v>
          </cell>
          <cell r="D1236">
            <v>4</v>
          </cell>
        </row>
        <row r="1237">
          <cell r="B1237" t="str">
            <v>ACCESS 125</v>
          </cell>
          <cell r="D1237">
            <v>1</v>
          </cell>
        </row>
        <row r="1238">
          <cell r="B1238" t="str">
            <v>ACCESS 125</v>
          </cell>
          <cell r="D1238">
            <v>1</v>
          </cell>
        </row>
        <row r="1239">
          <cell r="B1239" t="str">
            <v>ACCESS 125</v>
          </cell>
          <cell r="D1239">
            <v>1</v>
          </cell>
        </row>
        <row r="1240">
          <cell r="B1240" t="str">
            <v>ACCESS 125</v>
          </cell>
          <cell r="D1240">
            <v>1</v>
          </cell>
        </row>
        <row r="1241">
          <cell r="B1241" t="str">
            <v>ACCESS 125</v>
          </cell>
          <cell r="D1241">
            <v>1</v>
          </cell>
        </row>
        <row r="1242">
          <cell r="B1242" t="str">
            <v>ACCESS 125</v>
          </cell>
          <cell r="D1242">
            <v>1</v>
          </cell>
        </row>
        <row r="1243">
          <cell r="B1243" t="str">
            <v>ACCESS 125</v>
          </cell>
          <cell r="D1243">
            <v>1</v>
          </cell>
        </row>
        <row r="1244">
          <cell r="B1244" t="str">
            <v>ACCESS 125</v>
          </cell>
          <cell r="D1244">
            <v>1</v>
          </cell>
        </row>
        <row r="1245">
          <cell r="B1245" t="str">
            <v>ACCESS 125</v>
          </cell>
          <cell r="D1245">
            <v>1</v>
          </cell>
        </row>
        <row r="1246">
          <cell r="B1246" t="str">
            <v>ACCESS 125</v>
          </cell>
          <cell r="D1246">
            <v>1</v>
          </cell>
        </row>
        <row r="1247">
          <cell r="B1247" t="str">
            <v>ACCESS 125</v>
          </cell>
          <cell r="D1247">
            <v>1</v>
          </cell>
        </row>
        <row r="1248">
          <cell r="B1248" t="str">
            <v>ACCESS 125</v>
          </cell>
          <cell r="D1248">
            <v>3</v>
          </cell>
        </row>
        <row r="1249">
          <cell r="B1249" t="str">
            <v>ACCESS 125</v>
          </cell>
          <cell r="D1249">
            <v>1</v>
          </cell>
        </row>
        <row r="1250">
          <cell r="B1250" t="str">
            <v>ACCESS 125</v>
          </cell>
          <cell r="D1250">
            <v>1</v>
          </cell>
        </row>
        <row r="1251">
          <cell r="B1251" t="str">
            <v>ACCESS 125</v>
          </cell>
          <cell r="D1251">
            <v>1</v>
          </cell>
        </row>
        <row r="1252">
          <cell r="B1252" t="str">
            <v>ACCESS 125</v>
          </cell>
          <cell r="D1252">
            <v>1</v>
          </cell>
        </row>
        <row r="1253">
          <cell r="B1253" t="str">
            <v>ACCESS 125</v>
          </cell>
          <cell r="D1253">
            <v>1</v>
          </cell>
        </row>
        <row r="1254">
          <cell r="B1254" t="str">
            <v>ACCESS 125</v>
          </cell>
          <cell r="D1254">
            <v>3</v>
          </cell>
        </row>
        <row r="1255">
          <cell r="B1255" t="str">
            <v>ACCESS 125</v>
          </cell>
          <cell r="D1255">
            <v>1</v>
          </cell>
        </row>
        <row r="1256">
          <cell r="B1256" t="str">
            <v>ACCESS 125</v>
          </cell>
          <cell r="D1256">
            <v>2</v>
          </cell>
        </row>
        <row r="1257">
          <cell r="B1257" t="str">
            <v>ACCESS 125 RIDE CONNECT</v>
          </cell>
          <cell r="D1257">
            <v>5</v>
          </cell>
        </row>
        <row r="1258">
          <cell r="B1258" t="str">
            <v>ACCESS 125 RIDE CONNECT</v>
          </cell>
          <cell r="D1258">
            <v>2</v>
          </cell>
        </row>
        <row r="1259">
          <cell r="B1259" t="str">
            <v>ACCESS 125 RIDE CONNECT</v>
          </cell>
          <cell r="D1259">
            <v>1</v>
          </cell>
        </row>
        <row r="1260">
          <cell r="B1260" t="str">
            <v>ACCESS 125 RIDE CONNECT</v>
          </cell>
          <cell r="D1260">
            <v>2</v>
          </cell>
        </row>
        <row r="1261">
          <cell r="B1261" t="str">
            <v>ACCESS 125 RIDE CONNECT</v>
          </cell>
          <cell r="D1261">
            <v>1</v>
          </cell>
        </row>
        <row r="1262">
          <cell r="B1262" t="str">
            <v>ACCESS 125 RIDE CONNECT</v>
          </cell>
          <cell r="D1262">
            <v>1</v>
          </cell>
        </row>
        <row r="1263">
          <cell r="B1263" t="str">
            <v>ACCESS 125 RIDE CONNECT</v>
          </cell>
          <cell r="D1263">
            <v>1</v>
          </cell>
        </row>
        <row r="1264">
          <cell r="B1264" t="str">
            <v>RAIDER150 FI BLADE</v>
          </cell>
          <cell r="D1264">
            <v>13</v>
          </cell>
        </row>
        <row r="1265">
          <cell r="B1265" t="str">
            <v>RAIDER150 FI BLADE</v>
          </cell>
          <cell r="D1265">
            <v>1</v>
          </cell>
        </row>
        <row r="1266">
          <cell r="B1266" t="str">
            <v>RAIDER150 FI BLADE</v>
          </cell>
          <cell r="D1266">
            <v>1</v>
          </cell>
        </row>
        <row r="1267">
          <cell r="B1267" t="str">
            <v>RAIDER150 FI BLADE</v>
          </cell>
          <cell r="D1267">
            <v>2</v>
          </cell>
        </row>
        <row r="1268">
          <cell r="B1268" t="str">
            <v>RAIDER150 FI BLADE</v>
          </cell>
          <cell r="D1268">
            <v>1</v>
          </cell>
        </row>
        <row r="1269">
          <cell r="B1269" t="str">
            <v>RAIDER150 FI BLADE</v>
          </cell>
          <cell r="D1269">
            <v>2</v>
          </cell>
        </row>
        <row r="1270">
          <cell r="B1270" t="str">
            <v>RAIDER150 FI BLADE</v>
          </cell>
          <cell r="D1270">
            <v>1</v>
          </cell>
        </row>
        <row r="1271">
          <cell r="B1271" t="str">
            <v>RAIDER150 FI BLADE</v>
          </cell>
          <cell r="D1271">
            <v>1</v>
          </cell>
        </row>
        <row r="1272">
          <cell r="B1272" t="str">
            <v>RAIDER150 FI BLADE</v>
          </cell>
          <cell r="D1272">
            <v>1</v>
          </cell>
        </row>
        <row r="1273">
          <cell r="B1273" t="str">
            <v>RAIDER150 FI BLADE</v>
          </cell>
          <cell r="D1273">
            <v>3</v>
          </cell>
        </row>
        <row r="1274">
          <cell r="B1274" t="str">
            <v>RAIDER150 FI BLADE</v>
          </cell>
          <cell r="D1274">
            <v>3</v>
          </cell>
        </row>
        <row r="1275">
          <cell r="B1275" t="str">
            <v>RAIDER150 FI BLADE</v>
          </cell>
          <cell r="D1275">
            <v>4</v>
          </cell>
        </row>
        <row r="1276">
          <cell r="B1276" t="str">
            <v>RAIDER150 FI BLADE</v>
          </cell>
          <cell r="D1276">
            <v>2</v>
          </cell>
        </row>
        <row r="1277">
          <cell r="B1277" t="str">
            <v>RAIDER150 FI BLADE</v>
          </cell>
          <cell r="D1277">
            <v>1</v>
          </cell>
        </row>
        <row r="1278">
          <cell r="B1278" t="str">
            <v>RAIDER150 FI BLADE</v>
          </cell>
          <cell r="D1278">
            <v>5</v>
          </cell>
        </row>
        <row r="1279">
          <cell r="B1279" t="str">
            <v>RAIDER150 FI BLADE</v>
          </cell>
          <cell r="D1279">
            <v>2</v>
          </cell>
        </row>
        <row r="1280">
          <cell r="B1280" t="str">
            <v>RAIDER150 FI BLADE</v>
          </cell>
          <cell r="D1280">
            <v>1</v>
          </cell>
        </row>
        <row r="1281">
          <cell r="B1281" t="str">
            <v>RAIDER150 FI BLADE</v>
          </cell>
          <cell r="D1281">
            <v>2</v>
          </cell>
        </row>
        <row r="1282">
          <cell r="B1282" t="str">
            <v>RAIDER150 FI BLADE</v>
          </cell>
          <cell r="D1282">
            <v>1</v>
          </cell>
        </row>
        <row r="1283">
          <cell r="B1283" t="str">
            <v>RAIDER150 FI BLADE</v>
          </cell>
          <cell r="D1283">
            <v>2</v>
          </cell>
        </row>
        <row r="1284">
          <cell r="B1284" t="str">
            <v>RAIDER150 FI BLADE</v>
          </cell>
          <cell r="D1284">
            <v>2</v>
          </cell>
        </row>
        <row r="1285">
          <cell r="B1285" t="str">
            <v>RAIDER150 FI BLADE</v>
          </cell>
          <cell r="D1285">
            <v>1</v>
          </cell>
        </row>
        <row r="1286">
          <cell r="B1286" t="str">
            <v>RAIDER150 FI BLADE</v>
          </cell>
          <cell r="D1286">
            <v>1</v>
          </cell>
        </row>
        <row r="1287">
          <cell r="B1287" t="str">
            <v>RAIDER150 FI BLADE</v>
          </cell>
          <cell r="D1287">
            <v>2</v>
          </cell>
        </row>
        <row r="1288">
          <cell r="B1288" t="str">
            <v>RAIDER150 FI BLADE</v>
          </cell>
          <cell r="D1288">
            <v>1</v>
          </cell>
        </row>
        <row r="1289">
          <cell r="B1289" t="str">
            <v>RAIDER150 FI BLADE</v>
          </cell>
          <cell r="D1289">
            <v>1</v>
          </cell>
        </row>
        <row r="1290">
          <cell r="B1290" t="str">
            <v>RAIDER150 FI BLADE</v>
          </cell>
          <cell r="D1290">
            <v>3</v>
          </cell>
        </row>
        <row r="1291">
          <cell r="B1291" t="str">
            <v>RAIDER150 FI BLADE</v>
          </cell>
          <cell r="D1291">
            <v>1</v>
          </cell>
        </row>
        <row r="1292">
          <cell r="B1292" t="str">
            <v>RAIDER150 FI BLADE</v>
          </cell>
          <cell r="D1292">
            <v>1</v>
          </cell>
        </row>
        <row r="1293">
          <cell r="B1293" t="str">
            <v>RAIDER150 FI BLADE</v>
          </cell>
          <cell r="D1293">
            <v>2</v>
          </cell>
        </row>
        <row r="1294">
          <cell r="B1294" t="str">
            <v>RAIDER150 FI BLADE</v>
          </cell>
          <cell r="D1294">
            <v>2</v>
          </cell>
        </row>
        <row r="1295">
          <cell r="B1295" t="str">
            <v>RAIDER150 FI BLADE</v>
          </cell>
          <cell r="D1295">
            <v>1</v>
          </cell>
        </row>
        <row r="1296">
          <cell r="B1296" t="str">
            <v>RAIDER150 FI BLADE</v>
          </cell>
          <cell r="D1296">
            <v>1</v>
          </cell>
        </row>
        <row r="1297">
          <cell r="B1297" t="str">
            <v>RAIDER150 FI BLADE</v>
          </cell>
          <cell r="D1297">
            <v>3</v>
          </cell>
        </row>
        <row r="1298">
          <cell r="B1298" t="str">
            <v>RAIDER150 FI BLADE</v>
          </cell>
          <cell r="D1298">
            <v>1</v>
          </cell>
        </row>
        <row r="1299">
          <cell r="B1299" t="str">
            <v>RAIDER150 FI BLADE</v>
          </cell>
          <cell r="D1299">
            <v>3</v>
          </cell>
        </row>
        <row r="1300">
          <cell r="B1300" t="str">
            <v>RAIDER150 FI BLADE</v>
          </cell>
          <cell r="D1300">
            <v>1</v>
          </cell>
        </row>
        <row r="1301">
          <cell r="B1301" t="str">
            <v>RAIDER150 FI BLADE</v>
          </cell>
          <cell r="D1301">
            <v>1</v>
          </cell>
        </row>
        <row r="1302">
          <cell r="B1302" t="str">
            <v>RAIDER150 FI BLADE</v>
          </cell>
          <cell r="D1302">
            <v>1</v>
          </cell>
        </row>
        <row r="1303">
          <cell r="B1303" t="str">
            <v>RAIDER150 FI BLADE</v>
          </cell>
          <cell r="D1303">
            <v>2</v>
          </cell>
        </row>
        <row r="1304">
          <cell r="B1304" t="str">
            <v>RAIDER150 FI BLADE</v>
          </cell>
          <cell r="D1304">
            <v>1</v>
          </cell>
        </row>
        <row r="1305">
          <cell r="B1305" t="str">
            <v>RAIDER150 FI BLADE</v>
          </cell>
          <cell r="D1305">
            <v>1</v>
          </cell>
        </row>
        <row r="1306">
          <cell r="B1306" t="str">
            <v>RAIDER150 FI BLADE</v>
          </cell>
          <cell r="D1306">
            <v>2</v>
          </cell>
        </row>
        <row r="1307">
          <cell r="B1307" t="str">
            <v>RAIDER150 FI BLADE</v>
          </cell>
          <cell r="D1307">
            <v>20</v>
          </cell>
        </row>
        <row r="1308">
          <cell r="B1308" t="str">
            <v>RAIDER150 FI BLADE</v>
          </cell>
          <cell r="D1308">
            <v>1</v>
          </cell>
        </row>
        <row r="1309">
          <cell r="B1309" t="str">
            <v>RAIDER150 FI BLADE</v>
          </cell>
          <cell r="D1309">
            <v>2</v>
          </cell>
        </row>
        <row r="1310">
          <cell r="B1310" t="str">
            <v>RAIDER150 FI BLADE</v>
          </cell>
          <cell r="D1310">
            <v>4</v>
          </cell>
        </row>
        <row r="1311">
          <cell r="B1311" t="str">
            <v>RAIDER150 FI BLADE</v>
          </cell>
          <cell r="D1311">
            <v>2</v>
          </cell>
        </row>
        <row r="1312">
          <cell r="B1312" t="str">
            <v>RAIDER150 FI BLADE</v>
          </cell>
          <cell r="D1312">
            <v>2</v>
          </cell>
        </row>
        <row r="1313">
          <cell r="B1313" t="str">
            <v>RAIDER150 FI BLADE</v>
          </cell>
          <cell r="D1313">
            <v>1</v>
          </cell>
        </row>
        <row r="1314">
          <cell r="B1314" t="str">
            <v>RAIDER150 FI BLADE</v>
          </cell>
          <cell r="D1314">
            <v>1</v>
          </cell>
        </row>
        <row r="1315">
          <cell r="B1315" t="str">
            <v>RAIDER150 FI BLADE</v>
          </cell>
          <cell r="D1315">
            <v>3</v>
          </cell>
        </row>
        <row r="1316">
          <cell r="B1316" t="str">
            <v>RAIDER150 FI BLADE</v>
          </cell>
          <cell r="D1316">
            <v>1</v>
          </cell>
        </row>
        <row r="1317">
          <cell r="B1317" t="str">
            <v>RAIDER150 FI BLADE</v>
          </cell>
          <cell r="D1317">
            <v>2</v>
          </cell>
        </row>
        <row r="1318">
          <cell r="B1318" t="str">
            <v>RAIDER150 FI BLADE</v>
          </cell>
          <cell r="D1318">
            <v>2</v>
          </cell>
        </row>
        <row r="1319">
          <cell r="B1319" t="str">
            <v>RAIDER150 FI BLADE</v>
          </cell>
          <cell r="D1319">
            <v>1</v>
          </cell>
        </row>
        <row r="1320">
          <cell r="B1320" t="str">
            <v>RAIDER150 FI BLADE</v>
          </cell>
          <cell r="D1320">
            <v>1</v>
          </cell>
        </row>
        <row r="1321">
          <cell r="B1321" t="str">
            <v>RAIDER150 FI BLADE</v>
          </cell>
          <cell r="D1321">
            <v>5</v>
          </cell>
        </row>
        <row r="1322">
          <cell r="B1322" t="str">
            <v>RAIDER150 FI BLADE</v>
          </cell>
          <cell r="D1322">
            <v>2</v>
          </cell>
        </row>
        <row r="1323">
          <cell r="B1323" t="str">
            <v>RAIDER150 FI BLADE</v>
          </cell>
          <cell r="D1323">
            <v>1</v>
          </cell>
        </row>
        <row r="1324">
          <cell r="B1324" t="str">
            <v>RAIDER150 FI BLADE</v>
          </cell>
          <cell r="D1324">
            <v>1</v>
          </cell>
        </row>
        <row r="1325">
          <cell r="B1325" t="str">
            <v>RAIDER150 FI BLADE</v>
          </cell>
          <cell r="D1325">
            <v>1</v>
          </cell>
        </row>
        <row r="1326">
          <cell r="B1326" t="str">
            <v>RAIDER150 FI BLADE</v>
          </cell>
          <cell r="D1326">
            <v>1</v>
          </cell>
        </row>
        <row r="1327">
          <cell r="B1327" t="str">
            <v>RAIDER150 FI BLADE</v>
          </cell>
          <cell r="D1327">
            <v>3</v>
          </cell>
        </row>
        <row r="1328">
          <cell r="B1328" t="str">
            <v>RAIDER150 FI BLADE</v>
          </cell>
          <cell r="D1328">
            <v>1</v>
          </cell>
        </row>
        <row r="1329">
          <cell r="B1329" t="str">
            <v>RAIDER150 FI BLADE</v>
          </cell>
          <cell r="D1329">
            <v>1</v>
          </cell>
        </row>
        <row r="1330">
          <cell r="B1330" t="str">
            <v>RAIDER150 FI BLADE</v>
          </cell>
          <cell r="D1330">
            <v>1</v>
          </cell>
        </row>
        <row r="1331">
          <cell r="B1331" t="str">
            <v>RAIDER150 FI BLADE</v>
          </cell>
          <cell r="D1331">
            <v>2</v>
          </cell>
        </row>
        <row r="1332">
          <cell r="B1332" t="str">
            <v>RAIDER150 FI BLADE</v>
          </cell>
          <cell r="D1332">
            <v>1</v>
          </cell>
        </row>
        <row r="1333">
          <cell r="B1333" t="str">
            <v>RAIDER150 FI BLADE</v>
          </cell>
          <cell r="D1333">
            <v>2</v>
          </cell>
        </row>
        <row r="1334">
          <cell r="B1334" t="str">
            <v>RAIDER150 FI BLADE</v>
          </cell>
          <cell r="D1334">
            <v>2</v>
          </cell>
        </row>
        <row r="1335">
          <cell r="B1335" t="str">
            <v>RAIDER150 FI BLADE</v>
          </cell>
          <cell r="D1335">
            <v>2</v>
          </cell>
        </row>
        <row r="1336">
          <cell r="B1336" t="str">
            <v>RAIDER150 FI BLADE</v>
          </cell>
          <cell r="D1336">
            <v>1</v>
          </cell>
        </row>
        <row r="1337">
          <cell r="B1337" t="str">
            <v>RAIDER150 FI BLADE</v>
          </cell>
          <cell r="D1337">
            <v>2</v>
          </cell>
        </row>
        <row r="1338">
          <cell r="B1338" t="str">
            <v>RAIDER150 FI BLADE</v>
          </cell>
          <cell r="D1338">
            <v>1</v>
          </cell>
        </row>
        <row r="1339">
          <cell r="B1339" t="str">
            <v>RAIDER150 FI BLADE</v>
          </cell>
          <cell r="D1339">
            <v>1</v>
          </cell>
        </row>
        <row r="1340">
          <cell r="B1340" t="str">
            <v>RAIDER150 FI BLADE</v>
          </cell>
          <cell r="D1340">
            <v>1</v>
          </cell>
        </row>
        <row r="1341">
          <cell r="B1341" t="str">
            <v>RAIDER150 FI BLADE</v>
          </cell>
          <cell r="D1341">
            <v>2</v>
          </cell>
        </row>
        <row r="1342">
          <cell r="B1342" t="str">
            <v>RAIDER150 FI BLADE</v>
          </cell>
          <cell r="D1342">
            <v>2</v>
          </cell>
        </row>
        <row r="1343">
          <cell r="B1343" t="str">
            <v>RAIDER150 FI PRO</v>
          </cell>
          <cell r="D1343">
            <v>1</v>
          </cell>
        </row>
        <row r="1344">
          <cell r="B1344" t="str">
            <v>RAIDER150 FI PRO</v>
          </cell>
          <cell r="D1344">
            <v>1</v>
          </cell>
        </row>
        <row r="1345">
          <cell r="B1345" t="str">
            <v>RAIDER150 FI PRO</v>
          </cell>
          <cell r="D1345">
            <v>1</v>
          </cell>
        </row>
        <row r="1346">
          <cell r="B1346" t="str">
            <v>RAIDER150 FI PRO</v>
          </cell>
          <cell r="D1346">
            <v>1</v>
          </cell>
        </row>
        <row r="1347">
          <cell r="B1347" t="str">
            <v>RAIDER150 FI PRO</v>
          </cell>
          <cell r="D1347">
            <v>8</v>
          </cell>
        </row>
        <row r="1348">
          <cell r="B1348" t="str">
            <v>RAIDER150 FI PRO</v>
          </cell>
          <cell r="D1348">
            <v>2</v>
          </cell>
        </row>
        <row r="1349">
          <cell r="B1349" t="str">
            <v>RAIDER150 FI PRO</v>
          </cell>
          <cell r="D1349">
            <v>1</v>
          </cell>
        </row>
        <row r="1350">
          <cell r="B1350" t="str">
            <v>RAIDER150 FI PRO</v>
          </cell>
          <cell r="D1350">
            <v>1</v>
          </cell>
        </row>
        <row r="1351">
          <cell r="B1351" t="str">
            <v>RAIDER150 FI PRO</v>
          </cell>
          <cell r="D1351">
            <v>1</v>
          </cell>
        </row>
        <row r="1352">
          <cell r="B1352" t="str">
            <v>RAIDER150 FI PRO</v>
          </cell>
          <cell r="D1352">
            <v>2</v>
          </cell>
        </row>
        <row r="1353">
          <cell r="B1353" t="str">
            <v>SMASH FI(SPOKE)</v>
          </cell>
          <cell r="D1353">
            <v>1</v>
          </cell>
        </row>
        <row r="1354">
          <cell r="B1354" t="str">
            <v>SMASH FI(SPOKE)</v>
          </cell>
          <cell r="D1354">
            <v>1</v>
          </cell>
        </row>
        <row r="1355">
          <cell r="B1355" t="str">
            <v>SMASH FI(SPOKE)</v>
          </cell>
          <cell r="D1355">
            <v>1</v>
          </cell>
        </row>
        <row r="1356">
          <cell r="B1356" t="str">
            <v>SMASH FI(SPOKE)</v>
          </cell>
          <cell r="D1356">
            <v>1</v>
          </cell>
        </row>
        <row r="1357">
          <cell r="B1357" t="str">
            <v>ACCESS 125 RIDE CONNECT</v>
          </cell>
          <cell r="D1357">
            <v>5</v>
          </cell>
        </row>
        <row r="1358">
          <cell r="B1358" t="str">
            <v>ACCESS 125 RIDE CONNECT</v>
          </cell>
          <cell r="D1358">
            <v>1</v>
          </cell>
        </row>
        <row r="1359">
          <cell r="B1359" t="str">
            <v>ACCESS 125 RIDE CONNECT</v>
          </cell>
          <cell r="D1359">
            <v>1</v>
          </cell>
        </row>
        <row r="1360">
          <cell r="B1360" t="str">
            <v>ACCESS 125 RIDE CONNECT</v>
          </cell>
          <cell r="D1360">
            <v>3</v>
          </cell>
        </row>
        <row r="1361">
          <cell r="B1361" t="str">
            <v>ACCESS 125 RIDE CONNECT</v>
          </cell>
          <cell r="D1361">
            <v>1</v>
          </cell>
        </row>
        <row r="1362">
          <cell r="B1362" t="str">
            <v>ACCESS 125 RIDE CONNECT</v>
          </cell>
          <cell r="D1362">
            <v>1</v>
          </cell>
        </row>
        <row r="1363">
          <cell r="B1363" t="str">
            <v>DR160</v>
          </cell>
          <cell r="D1363">
            <v>6</v>
          </cell>
        </row>
        <row r="1364">
          <cell r="B1364" t="str">
            <v>DR160</v>
          </cell>
          <cell r="D1364">
            <v>1</v>
          </cell>
        </row>
        <row r="1365">
          <cell r="B1365" t="str">
            <v>DR160</v>
          </cell>
          <cell r="D1365">
            <v>2</v>
          </cell>
        </row>
        <row r="1366">
          <cell r="B1366" t="str">
            <v>DR160</v>
          </cell>
          <cell r="D1366">
            <v>2</v>
          </cell>
        </row>
        <row r="1367">
          <cell r="B1367" t="str">
            <v>DR160</v>
          </cell>
          <cell r="D1367">
            <v>1</v>
          </cell>
        </row>
        <row r="1368">
          <cell r="B1368" t="str">
            <v>DR160</v>
          </cell>
          <cell r="D1368">
            <v>1</v>
          </cell>
        </row>
        <row r="1369">
          <cell r="B1369" t="str">
            <v>DR160</v>
          </cell>
          <cell r="D1369">
            <v>1</v>
          </cell>
        </row>
        <row r="1370">
          <cell r="B1370" t="str">
            <v>DR160</v>
          </cell>
          <cell r="D1370">
            <v>1</v>
          </cell>
        </row>
        <row r="1371">
          <cell r="B1371" t="str">
            <v>DR160</v>
          </cell>
          <cell r="D1371">
            <v>1</v>
          </cell>
        </row>
        <row r="1372">
          <cell r="B1372" t="str">
            <v>DR160</v>
          </cell>
          <cell r="D1372">
            <v>1</v>
          </cell>
        </row>
        <row r="1373">
          <cell r="B1373" t="str">
            <v>DR160</v>
          </cell>
          <cell r="D1373">
            <v>1</v>
          </cell>
        </row>
        <row r="1374">
          <cell r="B1374" t="str">
            <v>DR160</v>
          </cell>
          <cell r="D1374">
            <v>3</v>
          </cell>
        </row>
        <row r="1375">
          <cell r="B1375" t="str">
            <v>DR160</v>
          </cell>
          <cell r="D1375">
            <v>2</v>
          </cell>
        </row>
        <row r="1376">
          <cell r="B1376" t="str">
            <v>DR160</v>
          </cell>
          <cell r="D1376">
            <v>1</v>
          </cell>
        </row>
        <row r="1377">
          <cell r="B1377" t="str">
            <v>DR160</v>
          </cell>
          <cell r="D1377">
            <v>2</v>
          </cell>
        </row>
        <row r="1378">
          <cell r="B1378" t="str">
            <v>DR160</v>
          </cell>
          <cell r="D1378">
            <v>2</v>
          </cell>
        </row>
        <row r="1379">
          <cell r="B1379" t="str">
            <v>DR160</v>
          </cell>
          <cell r="D1379">
            <v>1</v>
          </cell>
        </row>
        <row r="1380">
          <cell r="B1380" t="str">
            <v>DR160</v>
          </cell>
          <cell r="D1380">
            <v>1</v>
          </cell>
        </row>
        <row r="1381">
          <cell r="B1381" t="str">
            <v>DR160</v>
          </cell>
          <cell r="D1381">
            <v>2</v>
          </cell>
        </row>
        <row r="1382">
          <cell r="B1382" t="str">
            <v>DR160</v>
          </cell>
          <cell r="D1382">
            <v>2</v>
          </cell>
        </row>
        <row r="1383">
          <cell r="B1383" t="str">
            <v>DR160</v>
          </cell>
          <cell r="D1383">
            <v>1</v>
          </cell>
        </row>
        <row r="1384">
          <cell r="B1384" t="str">
            <v>V-STROM 160</v>
          </cell>
          <cell r="D1384">
            <v>1</v>
          </cell>
        </row>
        <row r="1385">
          <cell r="B1385" t="str">
            <v>SMASH(MAGS)</v>
          </cell>
          <cell r="D1385">
            <v>1</v>
          </cell>
        </row>
        <row r="1386">
          <cell r="B1386" t="str">
            <v>BURGMAN15</v>
          </cell>
          <cell r="D1386">
            <v>6</v>
          </cell>
        </row>
        <row r="1387">
          <cell r="B1387" t="str">
            <v>BURGMAN15</v>
          </cell>
          <cell r="D1387">
            <v>3</v>
          </cell>
        </row>
        <row r="1388">
          <cell r="B1388" t="str">
            <v>BURGMAN15</v>
          </cell>
          <cell r="D1388">
            <v>1</v>
          </cell>
        </row>
        <row r="1389">
          <cell r="B1389" t="str">
            <v>BURGMAN15</v>
          </cell>
          <cell r="D1389">
            <v>1</v>
          </cell>
        </row>
        <row r="1390">
          <cell r="B1390" t="str">
            <v>BURGMAN15</v>
          </cell>
          <cell r="D1390">
            <v>1</v>
          </cell>
        </row>
        <row r="1391">
          <cell r="B1391" t="str">
            <v>BURGMAN15</v>
          </cell>
          <cell r="D1391">
            <v>3</v>
          </cell>
        </row>
        <row r="1392">
          <cell r="B1392" t="str">
            <v>BURGMAN15</v>
          </cell>
          <cell r="D1392">
            <v>1</v>
          </cell>
        </row>
        <row r="1393">
          <cell r="B1393" t="str">
            <v>BURGMAN15</v>
          </cell>
          <cell r="D1393">
            <v>7</v>
          </cell>
        </row>
        <row r="1394">
          <cell r="B1394" t="str">
            <v>BURGMAN15</v>
          </cell>
          <cell r="D1394">
            <v>2</v>
          </cell>
        </row>
        <row r="1395">
          <cell r="B1395" t="str">
            <v>BURGMAN15</v>
          </cell>
          <cell r="D1395">
            <v>1</v>
          </cell>
        </row>
        <row r="1396">
          <cell r="B1396" t="str">
            <v>BURGMAN15</v>
          </cell>
          <cell r="D1396">
            <v>1</v>
          </cell>
        </row>
        <row r="1397">
          <cell r="B1397" t="str">
            <v>BURGMAN15</v>
          </cell>
          <cell r="D1397">
            <v>3</v>
          </cell>
        </row>
        <row r="1398">
          <cell r="B1398" t="str">
            <v>BURGMAN15</v>
          </cell>
          <cell r="D1398">
            <v>1</v>
          </cell>
        </row>
        <row r="1399">
          <cell r="B1399" t="str">
            <v>BURGMAN15</v>
          </cell>
          <cell r="D1399">
            <v>2</v>
          </cell>
        </row>
        <row r="1400">
          <cell r="B1400" t="str">
            <v>BURGMAN15</v>
          </cell>
          <cell r="D1400">
            <v>1</v>
          </cell>
        </row>
        <row r="1401">
          <cell r="B1401" t="str">
            <v>MAXIMA Z</v>
          </cell>
          <cell r="D1401">
            <v>1</v>
          </cell>
        </row>
        <row r="1402">
          <cell r="B1402" t="str">
            <v>MAXIMA CARGO</v>
          </cell>
          <cell r="D1402">
            <v>1</v>
          </cell>
        </row>
        <row r="1403">
          <cell r="B1403" t="str">
            <v>BAJAJ RE SP. ED</v>
          </cell>
          <cell r="D1403">
            <v>1</v>
          </cell>
        </row>
        <row r="1404">
          <cell r="B1404" t="str">
            <v>BAJAJ RE 4S FI</v>
          </cell>
          <cell r="D1404">
            <v>2</v>
          </cell>
        </row>
        <row r="1405">
          <cell r="B1405" t="str">
            <v>BAJAJ RE 4S FI</v>
          </cell>
          <cell r="D1405">
            <v>1</v>
          </cell>
        </row>
        <row r="1406">
          <cell r="B1406" t="str">
            <v>BAJAJ RE 4S FI</v>
          </cell>
          <cell r="D1406">
            <v>1</v>
          </cell>
        </row>
        <row r="1407">
          <cell r="B1407" t="str">
            <v>BAJAJ RE 4S FI</v>
          </cell>
          <cell r="D1407">
            <v>1</v>
          </cell>
        </row>
        <row r="1408">
          <cell r="B1408" t="str">
            <v>BAJAJ RE 4S FI</v>
          </cell>
          <cell r="D1408">
            <v>1</v>
          </cell>
        </row>
        <row r="1409">
          <cell r="B1409" t="str">
            <v>BAJAJ RE 4S FI</v>
          </cell>
          <cell r="D1409">
            <v>1</v>
          </cell>
        </row>
        <row r="1410">
          <cell r="B1410" t="str">
            <v>BAJAJ RE 4S FI</v>
          </cell>
          <cell r="D1410">
            <v>5</v>
          </cell>
        </row>
        <row r="1411">
          <cell r="B1411" t="str">
            <v>BAJAJ RE 4S FI</v>
          </cell>
          <cell r="D1411">
            <v>1</v>
          </cell>
        </row>
        <row r="1412">
          <cell r="B1412" t="str">
            <v>BAJAJ RE 4S FI</v>
          </cell>
          <cell r="D1412">
            <v>1</v>
          </cell>
        </row>
        <row r="1413">
          <cell r="B1413" t="str">
            <v>BAJAJ RE 4S FI</v>
          </cell>
          <cell r="D1413">
            <v>2</v>
          </cell>
        </row>
        <row r="1414">
          <cell r="B1414" t="str">
            <v>BAJAJ RE 4S FI</v>
          </cell>
          <cell r="D1414">
            <v>1</v>
          </cell>
        </row>
        <row r="1415">
          <cell r="B1415" t="str">
            <v>BAJAJ RE 4S FI</v>
          </cell>
          <cell r="D1415">
            <v>1</v>
          </cell>
        </row>
        <row r="1416">
          <cell r="B1416" t="str">
            <v>BAJAJ RE 4S FI</v>
          </cell>
          <cell r="D1416">
            <v>3</v>
          </cell>
        </row>
        <row r="1417">
          <cell r="B1417" t="str">
            <v>BAJAJ RE 4S FI</v>
          </cell>
          <cell r="D1417">
            <v>1</v>
          </cell>
        </row>
        <row r="1418">
          <cell r="B1418" t="str">
            <v>BAJAJ RE 4S FI</v>
          </cell>
          <cell r="D1418">
            <v>1</v>
          </cell>
        </row>
        <row r="1419">
          <cell r="B1419" t="str">
            <v>BAJAJ RE 4S FI</v>
          </cell>
          <cell r="D1419">
            <v>2</v>
          </cell>
        </row>
        <row r="1420">
          <cell r="B1420" t="str">
            <v>BAJAJ RE 4S FI</v>
          </cell>
          <cell r="D1420">
            <v>2</v>
          </cell>
        </row>
        <row r="1421">
          <cell r="B1421" t="str">
            <v>BAJAJ RE 4S FI</v>
          </cell>
          <cell r="D1421">
            <v>1</v>
          </cell>
        </row>
        <row r="1422">
          <cell r="B1422" t="str">
            <v>BAJAJ RE 4S FI</v>
          </cell>
          <cell r="D1422">
            <v>1</v>
          </cell>
        </row>
        <row r="1423">
          <cell r="B1423" t="str">
            <v>BAJAJ RE 4S FI</v>
          </cell>
          <cell r="D1423">
            <v>1</v>
          </cell>
        </row>
        <row r="1424">
          <cell r="B1424" t="str">
            <v>BAJAJ RE 4S FI</v>
          </cell>
          <cell r="D1424">
            <v>3</v>
          </cell>
        </row>
        <row r="1425">
          <cell r="B1425" t="str">
            <v>BAJAJ RE 4S FI</v>
          </cell>
          <cell r="D1425">
            <v>3</v>
          </cell>
        </row>
        <row r="1426">
          <cell r="B1426" t="str">
            <v>BAJAJ RE 4S FI</v>
          </cell>
          <cell r="D1426">
            <v>1</v>
          </cell>
        </row>
        <row r="1427">
          <cell r="B1427" t="str">
            <v>BAJAJ RE 4S FI</v>
          </cell>
          <cell r="D1427">
            <v>1</v>
          </cell>
        </row>
        <row r="1428">
          <cell r="B1428" t="str">
            <v>BAJAJ RE 4S FI</v>
          </cell>
          <cell r="D1428">
            <v>1</v>
          </cell>
        </row>
        <row r="1429">
          <cell r="B1429" t="str">
            <v>BAJAJ RE 4S FI</v>
          </cell>
          <cell r="D1429">
            <v>3</v>
          </cell>
        </row>
        <row r="1430">
          <cell r="B1430" t="str">
            <v>BAJAJ RE 4S FI</v>
          </cell>
          <cell r="D1430">
            <v>6</v>
          </cell>
        </row>
        <row r="1431">
          <cell r="B1431" t="str">
            <v>BAJAJ RE 4S FI</v>
          </cell>
          <cell r="D1431">
            <v>1</v>
          </cell>
        </row>
        <row r="1432">
          <cell r="B1432" t="str">
            <v>BAJAJ RE 4S FI</v>
          </cell>
          <cell r="D1432">
            <v>2</v>
          </cell>
        </row>
        <row r="1433">
          <cell r="B1433" t="str">
            <v>BAJAJ RE 4S FI</v>
          </cell>
          <cell r="D1433">
            <v>1</v>
          </cell>
        </row>
        <row r="1434">
          <cell r="B1434" t="str">
            <v>BAJAJ RE 4S FI</v>
          </cell>
          <cell r="D1434">
            <v>5</v>
          </cell>
        </row>
        <row r="1435">
          <cell r="B1435" t="str">
            <v>BAJAJ RE 4S FI</v>
          </cell>
          <cell r="D1435">
            <v>1</v>
          </cell>
        </row>
        <row r="1436">
          <cell r="B1436" t="str">
            <v>BAJAJ RE 4S FI</v>
          </cell>
          <cell r="D1436">
            <v>1</v>
          </cell>
        </row>
        <row r="1437">
          <cell r="B1437" t="str">
            <v>BAJAJ RE 4S FI</v>
          </cell>
          <cell r="D1437">
            <v>2</v>
          </cell>
        </row>
        <row r="1438">
          <cell r="B1438" t="str">
            <v>BAJAJ RE 4S FI</v>
          </cell>
          <cell r="D1438">
            <v>3</v>
          </cell>
        </row>
        <row r="1439">
          <cell r="B1439" t="str">
            <v>BAJAJ RE 4S FI</v>
          </cell>
          <cell r="D1439">
            <v>1</v>
          </cell>
        </row>
        <row r="1440">
          <cell r="B1440" t="str">
            <v>BAJAJ RE 4S FI</v>
          </cell>
          <cell r="D1440">
            <v>1</v>
          </cell>
        </row>
        <row r="1441">
          <cell r="B1441" t="str">
            <v>BAJAJ RE 4S FI</v>
          </cell>
          <cell r="D1441">
            <v>1</v>
          </cell>
        </row>
        <row r="1442">
          <cell r="B1442" t="str">
            <v>BAJAJ RE 4S FI</v>
          </cell>
          <cell r="D1442">
            <v>1</v>
          </cell>
        </row>
        <row r="1443">
          <cell r="B1443" t="str">
            <v>BAJAJ RE 4S FI</v>
          </cell>
          <cell r="D1443">
            <v>1</v>
          </cell>
        </row>
        <row r="1444">
          <cell r="B1444" t="str">
            <v>BAJAJ RE 4S FI</v>
          </cell>
          <cell r="D1444">
            <v>8</v>
          </cell>
        </row>
        <row r="1445">
          <cell r="B1445" t="str">
            <v>BAJAJ RE 4S FI</v>
          </cell>
          <cell r="D1445">
            <v>1</v>
          </cell>
        </row>
        <row r="1446">
          <cell r="B1446" t="str">
            <v>BAJAJ RE 4S FI</v>
          </cell>
          <cell r="D1446">
            <v>1</v>
          </cell>
        </row>
        <row r="1447">
          <cell r="B1447" t="str">
            <v>BAJAJ RE 4S FI</v>
          </cell>
          <cell r="D1447">
            <v>1</v>
          </cell>
        </row>
        <row r="1448">
          <cell r="B1448" t="str">
            <v>BAJAJ RE 4S FI</v>
          </cell>
          <cell r="D1448">
            <v>1</v>
          </cell>
        </row>
        <row r="1449">
          <cell r="B1449" t="str">
            <v>BAJAJ RE 4S FI</v>
          </cell>
          <cell r="D1449">
            <v>4</v>
          </cell>
        </row>
        <row r="1450">
          <cell r="B1450" t="str">
            <v>BAJAJ RE 4S FI</v>
          </cell>
          <cell r="D1450">
            <v>1</v>
          </cell>
        </row>
        <row r="1451">
          <cell r="B1451" t="str">
            <v>MAXIMA CARGO</v>
          </cell>
          <cell r="D1451">
            <v>1</v>
          </cell>
        </row>
        <row r="1452">
          <cell r="B1452" t="str">
            <v>YTX125</v>
          </cell>
          <cell r="D1452">
            <v>1</v>
          </cell>
        </row>
        <row r="1453">
          <cell r="B1453" t="str">
            <v>YTX125</v>
          </cell>
          <cell r="D1453">
            <v>2</v>
          </cell>
        </row>
        <row r="1454">
          <cell r="B1454" t="str">
            <v>YTX125</v>
          </cell>
          <cell r="D1454">
            <v>1</v>
          </cell>
        </row>
        <row r="1455">
          <cell r="B1455" t="str">
            <v>YTX125</v>
          </cell>
          <cell r="D1455">
            <v>1</v>
          </cell>
        </row>
        <row r="1456">
          <cell r="B1456" t="str">
            <v>YTX125</v>
          </cell>
          <cell r="D1456">
            <v>1</v>
          </cell>
        </row>
        <row r="1457">
          <cell r="B1457" t="str">
            <v>YTX125</v>
          </cell>
          <cell r="D1457">
            <v>1</v>
          </cell>
        </row>
        <row r="1458">
          <cell r="B1458" t="str">
            <v>YTX125</v>
          </cell>
          <cell r="D1458">
            <v>1</v>
          </cell>
        </row>
        <row r="1459">
          <cell r="B1459" t="str">
            <v>YTX125</v>
          </cell>
          <cell r="D1459">
            <v>1</v>
          </cell>
        </row>
        <row r="1460">
          <cell r="B1460" t="str">
            <v>YTX125</v>
          </cell>
          <cell r="D1460">
            <v>1</v>
          </cell>
        </row>
        <row r="1461">
          <cell r="B1461" t="str">
            <v>YTX125</v>
          </cell>
          <cell r="D1461">
            <v>1</v>
          </cell>
        </row>
        <row r="1462">
          <cell r="B1462" t="str">
            <v>YTX125</v>
          </cell>
          <cell r="D1462">
            <v>1</v>
          </cell>
        </row>
        <row r="1463">
          <cell r="B1463" t="str">
            <v>YTX125</v>
          </cell>
          <cell r="D1463">
            <v>1</v>
          </cell>
        </row>
        <row r="1464">
          <cell r="B1464" t="str">
            <v>YTX125</v>
          </cell>
          <cell r="D1464">
            <v>1</v>
          </cell>
        </row>
        <row r="1465">
          <cell r="B1465" t="str">
            <v>YTX125</v>
          </cell>
          <cell r="D1465">
            <v>1</v>
          </cell>
        </row>
        <row r="1466">
          <cell r="B1466" t="str">
            <v>YTX125</v>
          </cell>
          <cell r="D1466">
            <v>1</v>
          </cell>
        </row>
        <row r="1467">
          <cell r="B1467" t="str">
            <v>YTX125</v>
          </cell>
          <cell r="D1467">
            <v>1</v>
          </cell>
        </row>
        <row r="1468">
          <cell r="B1468" t="str">
            <v>YTX125</v>
          </cell>
          <cell r="D1468">
            <v>1</v>
          </cell>
        </row>
        <row r="1469">
          <cell r="B1469" t="str">
            <v>YTX125</v>
          </cell>
          <cell r="D1469">
            <v>1</v>
          </cell>
        </row>
        <row r="1470">
          <cell r="B1470" t="str">
            <v>YTX125</v>
          </cell>
          <cell r="D1470">
            <v>2</v>
          </cell>
        </row>
        <row r="1471">
          <cell r="B1471" t="str">
            <v>YTX125</v>
          </cell>
          <cell r="D1471">
            <v>1</v>
          </cell>
        </row>
        <row r="1472">
          <cell r="B1472" t="str">
            <v>YTX125</v>
          </cell>
          <cell r="D1472">
            <v>1</v>
          </cell>
        </row>
        <row r="1473">
          <cell r="B1473" t="str">
            <v>YTX125</v>
          </cell>
          <cell r="D1473">
            <v>2</v>
          </cell>
        </row>
        <row r="1474">
          <cell r="B1474" t="str">
            <v>YTX125</v>
          </cell>
          <cell r="D1474">
            <v>1</v>
          </cell>
        </row>
        <row r="1475">
          <cell r="B1475" t="str">
            <v>YTX125</v>
          </cell>
          <cell r="D1475">
            <v>1</v>
          </cell>
        </row>
        <row r="1476">
          <cell r="B1476" t="str">
            <v>MIO SPORTY</v>
          </cell>
          <cell r="D1476">
            <v>1</v>
          </cell>
        </row>
        <row r="1477">
          <cell r="B1477" t="str">
            <v>MIO GRAVIS</v>
          </cell>
          <cell r="D1477">
            <v>1</v>
          </cell>
        </row>
        <row r="1478">
          <cell r="B1478" t="str">
            <v>MIO GRAVIS</v>
          </cell>
          <cell r="D1478">
            <v>1</v>
          </cell>
        </row>
        <row r="1479">
          <cell r="B1479" t="str">
            <v>MIO GRAVIS</v>
          </cell>
          <cell r="D1479">
            <v>1</v>
          </cell>
        </row>
        <row r="1480">
          <cell r="B1480" t="str">
            <v>MIO GRAVIS</v>
          </cell>
          <cell r="D1480">
            <v>1</v>
          </cell>
        </row>
        <row r="1481">
          <cell r="B1481" t="str">
            <v>MIO GRAVIS</v>
          </cell>
          <cell r="D1481">
            <v>1</v>
          </cell>
        </row>
        <row r="1482">
          <cell r="B1482" t="str">
            <v>MIO GRAVIS</v>
          </cell>
          <cell r="D1482">
            <v>1</v>
          </cell>
        </row>
        <row r="1483">
          <cell r="B1483" t="str">
            <v>MIO GRAVIS</v>
          </cell>
          <cell r="D1483">
            <v>1</v>
          </cell>
        </row>
        <row r="1484">
          <cell r="B1484" t="str">
            <v>MIO GRAVIS</v>
          </cell>
          <cell r="D1484">
            <v>1</v>
          </cell>
        </row>
        <row r="1485">
          <cell r="B1485" t="str">
            <v>MIO GRAVIS</v>
          </cell>
          <cell r="D1485">
            <v>2</v>
          </cell>
        </row>
        <row r="1486">
          <cell r="B1486" t="str">
            <v>MIO GRAVIS</v>
          </cell>
          <cell r="D1486">
            <v>1</v>
          </cell>
        </row>
        <row r="1487">
          <cell r="B1487" t="str">
            <v>MIO SPORTY</v>
          </cell>
          <cell r="D1487">
            <v>1</v>
          </cell>
        </row>
        <row r="1488">
          <cell r="B1488" t="str">
            <v>MIO GEAR S</v>
          </cell>
          <cell r="D1488">
            <v>1</v>
          </cell>
        </row>
        <row r="1489">
          <cell r="B1489" t="str">
            <v>FAZZIO</v>
          </cell>
          <cell r="D1489">
            <v>1</v>
          </cell>
        </row>
        <row r="1490">
          <cell r="B1490" t="str">
            <v>MIO i125</v>
          </cell>
          <cell r="D1490">
            <v>3</v>
          </cell>
        </row>
        <row r="1491">
          <cell r="B1491" t="str">
            <v>MIO i125</v>
          </cell>
          <cell r="D1491">
            <v>1</v>
          </cell>
        </row>
        <row r="1492">
          <cell r="B1492" t="str">
            <v>MIO i125</v>
          </cell>
          <cell r="D1492">
            <v>1</v>
          </cell>
        </row>
        <row r="1493">
          <cell r="B1493" t="str">
            <v>MIO i125</v>
          </cell>
          <cell r="D1493">
            <v>2</v>
          </cell>
        </row>
        <row r="1494">
          <cell r="B1494" t="str">
            <v>MIO i125</v>
          </cell>
          <cell r="D1494">
            <v>1</v>
          </cell>
        </row>
        <row r="1495">
          <cell r="B1495" t="str">
            <v>MIO i125</v>
          </cell>
          <cell r="D1495">
            <v>2</v>
          </cell>
        </row>
        <row r="1496">
          <cell r="B1496" t="str">
            <v>MIO i125</v>
          </cell>
          <cell r="D1496">
            <v>1</v>
          </cell>
        </row>
        <row r="1497">
          <cell r="B1497" t="str">
            <v>MIO i125</v>
          </cell>
          <cell r="D1497">
            <v>3</v>
          </cell>
        </row>
        <row r="1498">
          <cell r="B1498" t="str">
            <v>MIO i125</v>
          </cell>
          <cell r="D1498">
            <v>4</v>
          </cell>
        </row>
        <row r="1499">
          <cell r="B1499" t="str">
            <v>MIO i125</v>
          </cell>
          <cell r="D1499">
            <v>1</v>
          </cell>
        </row>
        <row r="1500">
          <cell r="B1500" t="str">
            <v>MIO i125</v>
          </cell>
          <cell r="D1500">
            <v>2</v>
          </cell>
        </row>
        <row r="1501">
          <cell r="B1501" t="str">
            <v>MIO i125</v>
          </cell>
          <cell r="D1501">
            <v>2</v>
          </cell>
        </row>
        <row r="1502">
          <cell r="B1502" t="str">
            <v>MIO i125</v>
          </cell>
          <cell r="D1502">
            <v>2</v>
          </cell>
        </row>
        <row r="1503">
          <cell r="B1503" t="str">
            <v>MIO i125</v>
          </cell>
          <cell r="D1503">
            <v>1</v>
          </cell>
        </row>
        <row r="1504">
          <cell r="B1504" t="str">
            <v>MIO i125</v>
          </cell>
          <cell r="D1504">
            <v>1</v>
          </cell>
        </row>
        <row r="1505">
          <cell r="B1505" t="str">
            <v>MIO i125</v>
          </cell>
          <cell r="D1505">
            <v>1</v>
          </cell>
        </row>
        <row r="1506">
          <cell r="B1506" t="str">
            <v>MIO i125</v>
          </cell>
          <cell r="D1506">
            <v>1</v>
          </cell>
        </row>
        <row r="1507">
          <cell r="B1507" t="str">
            <v>MIO i125</v>
          </cell>
          <cell r="D1507">
            <v>1</v>
          </cell>
        </row>
        <row r="1508">
          <cell r="B1508" t="str">
            <v>MIO i125s</v>
          </cell>
          <cell r="D1508">
            <v>1</v>
          </cell>
        </row>
        <row r="1509">
          <cell r="B1509" t="str">
            <v>MIO GEAR</v>
          </cell>
          <cell r="D1509">
            <v>1</v>
          </cell>
        </row>
        <row r="1510">
          <cell r="B1510" t="str">
            <v>MIO GEAR</v>
          </cell>
          <cell r="D1510">
            <v>1</v>
          </cell>
        </row>
        <row r="1511">
          <cell r="B1511" t="str">
            <v>MIO GEAR</v>
          </cell>
          <cell r="D1511">
            <v>1</v>
          </cell>
        </row>
        <row r="1512">
          <cell r="B1512" t="str">
            <v>MIO GEAR</v>
          </cell>
          <cell r="D1512">
            <v>1</v>
          </cell>
        </row>
        <row r="1513">
          <cell r="B1513" t="str">
            <v>MIO GEAR</v>
          </cell>
          <cell r="D1513">
            <v>3</v>
          </cell>
        </row>
        <row r="1514">
          <cell r="B1514" t="str">
            <v>MIO GEAR</v>
          </cell>
          <cell r="D1514">
            <v>1</v>
          </cell>
        </row>
        <row r="1515">
          <cell r="B1515" t="str">
            <v>MIO GEAR</v>
          </cell>
          <cell r="D1515">
            <v>1</v>
          </cell>
        </row>
        <row r="1516">
          <cell r="B1516" t="str">
            <v>MIO GEAR S</v>
          </cell>
          <cell r="D1516">
            <v>1</v>
          </cell>
        </row>
        <row r="1517">
          <cell r="B1517" t="str">
            <v>MIO GEAR S</v>
          </cell>
          <cell r="D1517">
            <v>2</v>
          </cell>
        </row>
        <row r="1518">
          <cell r="B1518" t="str">
            <v>MIO GEAR S</v>
          </cell>
          <cell r="D1518">
            <v>1</v>
          </cell>
        </row>
        <row r="1519">
          <cell r="B1519" t="str">
            <v>MIO GEAR S</v>
          </cell>
          <cell r="D1519">
            <v>1</v>
          </cell>
        </row>
        <row r="1520">
          <cell r="B1520" t="str">
            <v>MIO i125s</v>
          </cell>
          <cell r="D1520">
            <v>2</v>
          </cell>
        </row>
        <row r="1521">
          <cell r="B1521" t="str">
            <v>MIO i125s</v>
          </cell>
          <cell r="D1521">
            <v>1</v>
          </cell>
        </row>
        <row r="1522">
          <cell r="B1522" t="str">
            <v>FAZZIO</v>
          </cell>
          <cell r="D1522">
            <v>1</v>
          </cell>
        </row>
        <row r="1523">
          <cell r="B1523" t="str">
            <v>FAZZIO</v>
          </cell>
          <cell r="D1523">
            <v>1</v>
          </cell>
        </row>
        <row r="1524">
          <cell r="B1524" t="str">
            <v>MIO AEROX 155</v>
          </cell>
          <cell r="D1524">
            <v>1</v>
          </cell>
        </row>
        <row r="1525">
          <cell r="B1525" t="str">
            <v>SNIPER 155 FI</v>
          </cell>
          <cell r="D1525">
            <v>2</v>
          </cell>
        </row>
        <row r="1526">
          <cell r="B1526" t="str">
            <v>SNIPER 155 FI</v>
          </cell>
          <cell r="D1526">
            <v>3</v>
          </cell>
        </row>
        <row r="1527">
          <cell r="B1527" t="str">
            <v>SNIPER 155 FI</v>
          </cell>
          <cell r="D1527">
            <v>3</v>
          </cell>
        </row>
        <row r="1528">
          <cell r="B1528" t="str">
            <v>MT-03</v>
          </cell>
          <cell r="D1528">
            <v>1</v>
          </cell>
        </row>
        <row r="1529">
          <cell r="B1529" t="str">
            <v>NMAX155 FI ABS</v>
          </cell>
          <cell r="D1529">
            <v>3</v>
          </cell>
        </row>
        <row r="1530">
          <cell r="B1530" t="str">
            <v>NMAX155 FI ABS</v>
          </cell>
          <cell r="D1530">
            <v>1</v>
          </cell>
        </row>
        <row r="1531">
          <cell r="B1531" t="str">
            <v>NMAX155 FI ABS</v>
          </cell>
          <cell r="D1531">
            <v>1</v>
          </cell>
        </row>
        <row r="1532">
          <cell r="B1532" t="str">
            <v>NMAX155 TECHMAX</v>
          </cell>
          <cell r="D1532">
            <v>1</v>
          </cell>
        </row>
        <row r="1533">
          <cell r="B1533" t="str">
            <v>NMAX155 TECHMAX</v>
          </cell>
          <cell r="D1533">
            <v>1</v>
          </cell>
        </row>
        <row r="1534">
          <cell r="B1534" t="str">
            <v>NMAX155 TECHMAX</v>
          </cell>
          <cell r="D1534">
            <v>1</v>
          </cell>
        </row>
        <row r="1535">
          <cell r="B1535" t="str">
            <v>NMAX155 TECHMAX</v>
          </cell>
          <cell r="D1535">
            <v>2</v>
          </cell>
        </row>
        <row r="1536">
          <cell r="B1536" t="str">
            <v>XTZ125</v>
          </cell>
          <cell r="D1536">
            <v>2</v>
          </cell>
        </row>
        <row r="1537">
          <cell r="B1537" t="str">
            <v>XTZ125</v>
          </cell>
          <cell r="D1537">
            <v>1</v>
          </cell>
        </row>
        <row r="1538">
          <cell r="B1538" t="str">
            <v>XTZ125</v>
          </cell>
          <cell r="D1538">
            <v>2</v>
          </cell>
        </row>
        <row r="1539">
          <cell r="B1539" t="str">
            <v>XTZ125</v>
          </cell>
          <cell r="D1539">
            <v>1</v>
          </cell>
        </row>
        <row r="1540">
          <cell r="B1540" t="str">
            <v>XTZ125</v>
          </cell>
          <cell r="D1540">
            <v>2</v>
          </cell>
        </row>
        <row r="1541">
          <cell r="B1541" t="str">
            <v>XTZ125</v>
          </cell>
          <cell r="D1541">
            <v>1</v>
          </cell>
        </row>
        <row r="1542">
          <cell r="B1542" t="str">
            <v>XTZ125</v>
          </cell>
          <cell r="D1542">
            <v>2</v>
          </cell>
        </row>
        <row r="1543">
          <cell r="B1543" t="str">
            <v>XTZ125</v>
          </cell>
          <cell r="D1543">
            <v>1</v>
          </cell>
        </row>
        <row r="1544">
          <cell r="B1544" t="str">
            <v>XTZ125</v>
          </cell>
          <cell r="D1544">
            <v>1</v>
          </cell>
        </row>
        <row r="1545">
          <cell r="B1545" t="str">
            <v>XTZ125</v>
          </cell>
          <cell r="D1545">
            <v>1</v>
          </cell>
        </row>
        <row r="1546">
          <cell r="B1546" t="str">
            <v>XTZ125</v>
          </cell>
          <cell r="D1546">
            <v>1</v>
          </cell>
        </row>
        <row r="1547">
          <cell r="B1547" t="str">
            <v>XTZ125</v>
          </cell>
          <cell r="D1547">
            <v>1</v>
          </cell>
        </row>
        <row r="1548">
          <cell r="B1548" t="str">
            <v>XTZ125</v>
          </cell>
          <cell r="D1548">
            <v>1</v>
          </cell>
        </row>
        <row r="1549">
          <cell r="B1549" t="str">
            <v>XTZ125</v>
          </cell>
          <cell r="D1549">
            <v>1</v>
          </cell>
        </row>
        <row r="1550">
          <cell r="B1550" t="str">
            <v>XTZ125</v>
          </cell>
          <cell r="D1550">
            <v>1</v>
          </cell>
        </row>
        <row r="1551">
          <cell r="B1551" t="str">
            <v>XTZ125</v>
          </cell>
          <cell r="D1551">
            <v>1</v>
          </cell>
        </row>
        <row r="1552">
          <cell r="B1552" t="str">
            <v>XTZ125</v>
          </cell>
          <cell r="D1552">
            <v>1</v>
          </cell>
        </row>
        <row r="1553">
          <cell r="B1553" t="str">
            <v>XTZ125</v>
          </cell>
          <cell r="D1553">
            <v>2</v>
          </cell>
        </row>
        <row r="1554">
          <cell r="B1554" t="str">
            <v>XTZ125</v>
          </cell>
          <cell r="D1554">
            <v>1</v>
          </cell>
        </row>
        <row r="1555">
          <cell r="B1555" t="str">
            <v>XTZ125</v>
          </cell>
          <cell r="D1555">
            <v>1</v>
          </cell>
        </row>
        <row r="1556">
          <cell r="B1556" t="str">
            <v>XTZ125</v>
          </cell>
          <cell r="D1556">
            <v>1</v>
          </cell>
        </row>
        <row r="1557">
          <cell r="B1557" t="str">
            <v>XTZ125</v>
          </cell>
          <cell r="D1557">
            <v>4</v>
          </cell>
        </row>
        <row r="1558">
          <cell r="B1558" t="str">
            <v>XTZ125</v>
          </cell>
          <cell r="D1558">
            <v>1</v>
          </cell>
        </row>
        <row r="1559">
          <cell r="B1559" t="str">
            <v>XTZ125</v>
          </cell>
          <cell r="D1559">
            <v>1</v>
          </cell>
        </row>
        <row r="1560">
          <cell r="B1560" t="str">
            <v>XTZ125</v>
          </cell>
          <cell r="D1560">
            <v>1</v>
          </cell>
        </row>
        <row r="1561">
          <cell r="B1561" t="str">
            <v>XTZ125</v>
          </cell>
          <cell r="D1561">
            <v>1</v>
          </cell>
        </row>
        <row r="1562">
          <cell r="B1562" t="str">
            <v>XTZ125</v>
          </cell>
          <cell r="D1562">
            <v>1</v>
          </cell>
        </row>
        <row r="1563">
          <cell r="B1563" t="str">
            <v>MIO GRAVIS</v>
          </cell>
          <cell r="D1563">
            <v>7</v>
          </cell>
        </row>
        <row r="1564">
          <cell r="B1564" t="str">
            <v>MIO GRAVIS</v>
          </cell>
          <cell r="D1564">
            <v>1</v>
          </cell>
        </row>
        <row r="1565">
          <cell r="B1565" t="str">
            <v>MIO GRAVIS</v>
          </cell>
          <cell r="D1565">
            <v>1</v>
          </cell>
        </row>
        <row r="1566">
          <cell r="B1566" t="str">
            <v>MIO GRAVIS</v>
          </cell>
          <cell r="D1566">
            <v>4</v>
          </cell>
        </row>
        <row r="1567">
          <cell r="B1567" t="str">
            <v>MIO GRAVIS</v>
          </cell>
          <cell r="D1567">
            <v>10</v>
          </cell>
        </row>
        <row r="1568">
          <cell r="B1568" t="str">
            <v>MIO GRAVIS</v>
          </cell>
          <cell r="D1568">
            <v>1</v>
          </cell>
        </row>
        <row r="1569">
          <cell r="B1569" t="str">
            <v>MIO GRAVIS</v>
          </cell>
          <cell r="D1569">
            <v>3</v>
          </cell>
        </row>
        <row r="1570">
          <cell r="B1570" t="str">
            <v>MIO GRAVIS</v>
          </cell>
          <cell r="D1570">
            <v>1</v>
          </cell>
        </row>
        <row r="1571">
          <cell r="B1571" t="str">
            <v>MIO GRAVIS</v>
          </cell>
          <cell r="D1571">
            <v>1</v>
          </cell>
        </row>
        <row r="1572">
          <cell r="B1572" t="str">
            <v>MIO GRAVIS</v>
          </cell>
          <cell r="D1572">
            <v>2</v>
          </cell>
        </row>
        <row r="1573">
          <cell r="B1573" t="str">
            <v>MIO AEROX S 155</v>
          </cell>
          <cell r="D1573">
            <v>2</v>
          </cell>
        </row>
        <row r="1574">
          <cell r="B1574" t="str">
            <v>MIO AEROX S 155</v>
          </cell>
          <cell r="D1574">
            <v>4</v>
          </cell>
        </row>
        <row r="1575">
          <cell r="B1575" t="str">
            <v>MIO AEROX S 155</v>
          </cell>
          <cell r="D1575">
            <v>2</v>
          </cell>
        </row>
        <row r="1576">
          <cell r="B1576" t="str">
            <v>MIO AEROX S 155</v>
          </cell>
          <cell r="D1576">
            <v>3</v>
          </cell>
        </row>
        <row r="1577">
          <cell r="B1577" t="str">
            <v>MIO AEROX S 155</v>
          </cell>
          <cell r="D1577">
            <v>1</v>
          </cell>
        </row>
        <row r="1578">
          <cell r="B1578" t="str">
            <v>MIO AEROX S 155</v>
          </cell>
          <cell r="D1578">
            <v>3</v>
          </cell>
        </row>
        <row r="1579">
          <cell r="B1579" t="str">
            <v>MIO AEROX S 155</v>
          </cell>
          <cell r="D1579">
            <v>2</v>
          </cell>
        </row>
        <row r="1580">
          <cell r="B1580" t="str">
            <v>MIO AEROX S 155</v>
          </cell>
          <cell r="D1580">
            <v>3</v>
          </cell>
        </row>
        <row r="1581">
          <cell r="B1581" t="str">
            <v>MIO AEROX S 155</v>
          </cell>
          <cell r="D1581">
            <v>3</v>
          </cell>
        </row>
        <row r="1582">
          <cell r="B1582" t="str">
            <v>MIO AEROX S 155</v>
          </cell>
          <cell r="D1582">
            <v>1</v>
          </cell>
        </row>
        <row r="1583">
          <cell r="B1583" t="str">
            <v>MIO AEROX S 155</v>
          </cell>
          <cell r="D1583">
            <v>2</v>
          </cell>
        </row>
        <row r="1584">
          <cell r="B1584" t="str">
            <v>MIO AEROX S 155</v>
          </cell>
          <cell r="D1584">
            <v>2</v>
          </cell>
        </row>
        <row r="1585">
          <cell r="B1585" t="str">
            <v>MIO AEROX S 155</v>
          </cell>
          <cell r="D1585">
            <v>1</v>
          </cell>
        </row>
        <row r="1586">
          <cell r="B1586" t="str">
            <v>MIO AEROX S 155</v>
          </cell>
          <cell r="D1586">
            <v>1</v>
          </cell>
        </row>
        <row r="1587">
          <cell r="B1587" t="str">
            <v>MIO AEROX S 155</v>
          </cell>
          <cell r="D1587">
            <v>1</v>
          </cell>
        </row>
        <row r="1588">
          <cell r="B1588" t="str">
            <v>MIO AEROX S 155</v>
          </cell>
          <cell r="D1588">
            <v>3</v>
          </cell>
        </row>
        <row r="1589">
          <cell r="B1589" t="str">
            <v>MIO AEROX S 155</v>
          </cell>
          <cell r="D1589">
            <v>2</v>
          </cell>
        </row>
        <row r="1590">
          <cell r="B1590" t="str">
            <v>MIO AEROX S 155</v>
          </cell>
          <cell r="D1590">
            <v>2</v>
          </cell>
        </row>
        <row r="1591">
          <cell r="B1591" t="str">
            <v>MIO AEROX S 155</v>
          </cell>
          <cell r="D1591">
            <v>2</v>
          </cell>
        </row>
        <row r="1592">
          <cell r="B1592" t="str">
            <v>MIO AEROX S 155</v>
          </cell>
          <cell r="D1592">
            <v>2</v>
          </cell>
        </row>
        <row r="1593">
          <cell r="B1593" t="str">
            <v>MIO AEROX S 155</v>
          </cell>
          <cell r="D1593">
            <v>1</v>
          </cell>
        </row>
        <row r="1594">
          <cell r="B1594" t="str">
            <v>MIO AEROX S 155</v>
          </cell>
          <cell r="D1594">
            <v>1</v>
          </cell>
        </row>
        <row r="1595">
          <cell r="B1595" t="str">
            <v>MIO AEROX S 155</v>
          </cell>
          <cell r="D1595">
            <v>1</v>
          </cell>
        </row>
        <row r="1596">
          <cell r="B1596" t="str">
            <v>MIO AEROX S 155</v>
          </cell>
          <cell r="D1596">
            <v>1</v>
          </cell>
        </row>
        <row r="1597">
          <cell r="B1597" t="str">
            <v>MIO AEROX S 155</v>
          </cell>
          <cell r="D1597">
            <v>2</v>
          </cell>
        </row>
        <row r="1598">
          <cell r="B1598" t="str">
            <v>MIO AEROX S 155</v>
          </cell>
          <cell r="D1598">
            <v>2</v>
          </cell>
        </row>
        <row r="1599">
          <cell r="B1599" t="str">
            <v>MIO AEROX S 155</v>
          </cell>
          <cell r="D1599">
            <v>1</v>
          </cell>
        </row>
        <row r="1600">
          <cell r="B1600" t="str">
            <v>MIO AEROX S 155</v>
          </cell>
          <cell r="D1600">
            <v>6</v>
          </cell>
        </row>
        <row r="1601">
          <cell r="B1601" t="str">
            <v>MIO AEROX S 155</v>
          </cell>
          <cell r="D1601">
            <v>6</v>
          </cell>
        </row>
        <row r="1602">
          <cell r="B1602" t="str">
            <v>MIO AEROX S 155</v>
          </cell>
          <cell r="D1602">
            <v>1</v>
          </cell>
        </row>
        <row r="1603">
          <cell r="B1603" t="str">
            <v>MIO AEROX S 155</v>
          </cell>
          <cell r="D1603">
            <v>1</v>
          </cell>
        </row>
        <row r="1604">
          <cell r="B1604" t="str">
            <v>MIO AEROX S 155</v>
          </cell>
          <cell r="D1604">
            <v>2</v>
          </cell>
        </row>
        <row r="1605">
          <cell r="B1605" t="str">
            <v>MIO AEROX S 155</v>
          </cell>
          <cell r="D1605">
            <v>4</v>
          </cell>
        </row>
        <row r="1606">
          <cell r="B1606" t="str">
            <v>MIO AEROX S 155</v>
          </cell>
          <cell r="D1606">
            <v>5</v>
          </cell>
        </row>
        <row r="1607">
          <cell r="B1607" t="str">
            <v>MIO AEROX S 155</v>
          </cell>
          <cell r="D1607">
            <v>2</v>
          </cell>
        </row>
        <row r="1608">
          <cell r="B1608" t="str">
            <v>MIO AEROX S 155</v>
          </cell>
          <cell r="D1608">
            <v>1</v>
          </cell>
        </row>
        <row r="1609">
          <cell r="B1609" t="str">
            <v>MIO AEROX 155</v>
          </cell>
          <cell r="D1609">
            <v>1</v>
          </cell>
        </row>
        <row r="1610">
          <cell r="B1610" t="str">
            <v>MIO AEROX 155</v>
          </cell>
          <cell r="D1610">
            <v>1</v>
          </cell>
        </row>
        <row r="1611">
          <cell r="B1611" t="str">
            <v>MIO AEROX 155</v>
          </cell>
          <cell r="D1611">
            <v>1</v>
          </cell>
        </row>
        <row r="1612">
          <cell r="B1612" t="str">
            <v>MIO AEROX 155</v>
          </cell>
          <cell r="D1612">
            <v>1</v>
          </cell>
        </row>
        <row r="1613">
          <cell r="B1613" t="str">
            <v>MIO AEROX 155</v>
          </cell>
          <cell r="D1613">
            <v>1</v>
          </cell>
        </row>
        <row r="1614">
          <cell r="B1614" t="str">
            <v>MIO AEROX 155</v>
          </cell>
          <cell r="D1614">
            <v>1</v>
          </cell>
        </row>
        <row r="1615">
          <cell r="B1615" t="str">
            <v>MIO AEROX 155</v>
          </cell>
          <cell r="D1615">
            <v>1</v>
          </cell>
        </row>
        <row r="1616">
          <cell r="B1616" t="str">
            <v>MIO AEROX 155</v>
          </cell>
          <cell r="D1616">
            <v>1</v>
          </cell>
        </row>
        <row r="1617">
          <cell r="B1617" t="str">
            <v>MIO AEROX 155</v>
          </cell>
          <cell r="D1617">
            <v>3</v>
          </cell>
        </row>
        <row r="1618">
          <cell r="B1618" t="str">
            <v>MIO AEROX 155</v>
          </cell>
          <cell r="D1618">
            <v>1</v>
          </cell>
        </row>
        <row r="1619">
          <cell r="B1619" t="str">
            <v>XMAX 300</v>
          </cell>
          <cell r="D1619">
            <v>1</v>
          </cell>
        </row>
        <row r="1620">
          <cell r="B1620" t="str">
            <v>NMAX155 FI ABS</v>
          </cell>
          <cell r="D1620">
            <v>1</v>
          </cell>
        </row>
        <row r="1621">
          <cell r="B1621" t="str">
            <v>NMAX155 FI ABS</v>
          </cell>
          <cell r="D1621">
            <v>1</v>
          </cell>
        </row>
        <row r="1622">
          <cell r="B1622" t="str">
            <v>NMAX155 FI ABS</v>
          </cell>
          <cell r="D1622">
            <v>1</v>
          </cell>
        </row>
        <row r="1623">
          <cell r="B1623" t="str">
            <v>NMAX155 FI ABS</v>
          </cell>
          <cell r="D1623">
            <v>1</v>
          </cell>
        </row>
        <row r="1624">
          <cell r="B1624" t="str">
            <v>NMAX155 FI ABS</v>
          </cell>
          <cell r="D1624">
            <v>1</v>
          </cell>
        </row>
        <row r="1625">
          <cell r="B1625" t="str">
            <v>NMAX155 FI ABS</v>
          </cell>
          <cell r="D1625">
            <v>1</v>
          </cell>
        </row>
        <row r="1626">
          <cell r="B1626" t="str">
            <v>NMAX155 FI ABS</v>
          </cell>
          <cell r="D1626">
            <v>2</v>
          </cell>
        </row>
        <row r="1627">
          <cell r="B1627" t="str">
            <v>NMAX155 FI ABS</v>
          </cell>
          <cell r="D1627">
            <v>1</v>
          </cell>
        </row>
        <row r="1628">
          <cell r="B1628" t="str">
            <v>NMAX155 FI ABS</v>
          </cell>
          <cell r="D1628">
            <v>2</v>
          </cell>
        </row>
        <row r="1629">
          <cell r="B1629" t="str">
            <v>NMAX155 FI ABS</v>
          </cell>
          <cell r="D1629">
            <v>1</v>
          </cell>
        </row>
        <row r="1630">
          <cell r="B1630" t="str">
            <v>NMAX155 FI ABS</v>
          </cell>
          <cell r="D1630">
            <v>3</v>
          </cell>
        </row>
        <row r="1631">
          <cell r="B1631" t="str">
            <v>NMAX155 FI ABS</v>
          </cell>
          <cell r="D1631">
            <v>1</v>
          </cell>
        </row>
        <row r="1632">
          <cell r="B1632" t="str">
            <v>NMAX155 FI ABS</v>
          </cell>
          <cell r="D1632">
            <v>2</v>
          </cell>
        </row>
        <row r="1633">
          <cell r="B1633" t="str">
            <v>NMAX155 FI ABS</v>
          </cell>
          <cell r="D1633">
            <v>2</v>
          </cell>
        </row>
        <row r="1634">
          <cell r="B1634" t="str">
            <v>NMAX155 FI ABS</v>
          </cell>
          <cell r="D1634">
            <v>1</v>
          </cell>
        </row>
        <row r="1635">
          <cell r="B1635" t="str">
            <v>NMAX155 TECHMAX</v>
          </cell>
          <cell r="D1635">
            <v>1</v>
          </cell>
        </row>
        <row r="1636">
          <cell r="B1636" t="str">
            <v>PG-1</v>
          </cell>
          <cell r="D1636">
            <v>1</v>
          </cell>
        </row>
        <row r="1637">
          <cell r="B1637" t="str">
            <v>PG-1</v>
          </cell>
          <cell r="D1637">
            <v>2</v>
          </cell>
        </row>
        <row r="1638">
          <cell r="B1638" t="str">
            <v>PG-1</v>
          </cell>
          <cell r="D1638">
            <v>1</v>
          </cell>
        </row>
        <row r="1639">
          <cell r="B1639" t="str">
            <v>MIO i125</v>
          </cell>
          <cell r="D1639">
            <v>2</v>
          </cell>
        </row>
        <row r="1640">
          <cell r="B1640" t="str">
            <v>MIO i125</v>
          </cell>
          <cell r="D1640">
            <v>2</v>
          </cell>
        </row>
        <row r="1641">
          <cell r="B1641" t="str">
            <v>MIO i125</v>
          </cell>
          <cell r="D1641">
            <v>1</v>
          </cell>
        </row>
        <row r="1642">
          <cell r="B1642" t="str">
            <v>MIO i125</v>
          </cell>
          <cell r="D1642">
            <v>1</v>
          </cell>
        </row>
        <row r="1643">
          <cell r="B1643" t="str">
            <v>MIO i125</v>
          </cell>
          <cell r="D1643">
            <v>1</v>
          </cell>
        </row>
        <row r="1644">
          <cell r="B1644" t="str">
            <v>MIO i125</v>
          </cell>
          <cell r="D1644">
            <v>1</v>
          </cell>
        </row>
        <row r="1645">
          <cell r="B1645" t="str">
            <v>MIO i125</v>
          </cell>
          <cell r="D1645">
            <v>1</v>
          </cell>
        </row>
        <row r="1646">
          <cell r="B1646" t="str">
            <v>MIO i125</v>
          </cell>
          <cell r="D1646">
            <v>1</v>
          </cell>
        </row>
        <row r="1647">
          <cell r="B1647" t="str">
            <v>MIO i125</v>
          </cell>
          <cell r="D1647">
            <v>2</v>
          </cell>
        </row>
        <row r="1648">
          <cell r="B1648" t="str">
            <v>MIO i125</v>
          </cell>
          <cell r="D1648">
            <v>1</v>
          </cell>
        </row>
        <row r="1649">
          <cell r="B1649" t="str">
            <v>MIO i125</v>
          </cell>
          <cell r="D1649">
            <v>1</v>
          </cell>
        </row>
        <row r="1650">
          <cell r="B1650" t="str">
            <v>MIO i125</v>
          </cell>
          <cell r="D1650">
            <v>1</v>
          </cell>
        </row>
        <row r="1651">
          <cell r="B1651" t="str">
            <v>MIO i125</v>
          </cell>
          <cell r="D1651">
            <v>1</v>
          </cell>
        </row>
        <row r="1652">
          <cell r="B1652" t="str">
            <v>LEXI 155</v>
          </cell>
          <cell r="D1652">
            <v>1</v>
          </cell>
        </row>
        <row r="1653">
          <cell r="B1653" t="str">
            <v>LEXI 155</v>
          </cell>
          <cell r="D1653">
            <v>2</v>
          </cell>
        </row>
        <row r="1654">
          <cell r="B1654" t="str">
            <v>LEXI 155</v>
          </cell>
          <cell r="D1654">
            <v>2</v>
          </cell>
        </row>
        <row r="1655">
          <cell r="B1655" t="str">
            <v>LEXI 155</v>
          </cell>
          <cell r="D1655">
            <v>1</v>
          </cell>
        </row>
        <row r="1656">
          <cell r="B1656" t="str">
            <v>LEXI 155</v>
          </cell>
          <cell r="D1656">
            <v>1</v>
          </cell>
        </row>
        <row r="1657">
          <cell r="B1657" t="str">
            <v>LEXI 155</v>
          </cell>
          <cell r="D1657">
            <v>1</v>
          </cell>
        </row>
        <row r="1658">
          <cell r="B1658" t="str">
            <v>LEXI 155</v>
          </cell>
          <cell r="D1658">
            <v>1</v>
          </cell>
        </row>
        <row r="1659">
          <cell r="B1659" t="str">
            <v>LEXI 155</v>
          </cell>
          <cell r="D1659">
            <v>2</v>
          </cell>
        </row>
        <row r="1660">
          <cell r="B1660" t="str">
            <v>LEXI 155</v>
          </cell>
          <cell r="D1660">
            <v>2</v>
          </cell>
        </row>
        <row r="1661">
          <cell r="B1661" t="str">
            <v>LEXI 155</v>
          </cell>
          <cell r="D1661">
            <v>1</v>
          </cell>
        </row>
        <row r="1662">
          <cell r="B1662" t="str">
            <v>LEXI 155</v>
          </cell>
          <cell r="D1662">
            <v>1</v>
          </cell>
        </row>
        <row r="1663">
          <cell r="B1663" t="str">
            <v>LEXI 155</v>
          </cell>
          <cell r="D1663">
            <v>1</v>
          </cell>
        </row>
        <row r="1664">
          <cell r="B1664" t="str">
            <v>FAZZIO</v>
          </cell>
          <cell r="D1664">
            <v>1</v>
          </cell>
        </row>
        <row r="1665">
          <cell r="B1665" t="str">
            <v>FAZZIO</v>
          </cell>
          <cell r="D1665">
            <v>1</v>
          </cell>
        </row>
        <row r="1666">
          <cell r="B1666" t="str">
            <v>FAZZIO</v>
          </cell>
          <cell r="D1666">
            <v>2</v>
          </cell>
        </row>
        <row r="1667">
          <cell r="B1667" t="str">
            <v>FAZZIO</v>
          </cell>
          <cell r="D1667">
            <v>1</v>
          </cell>
        </row>
        <row r="1668">
          <cell r="B1668" t="str">
            <v>FAZZIO</v>
          </cell>
          <cell r="D1668">
            <v>1</v>
          </cell>
        </row>
        <row r="1669">
          <cell r="B1669" t="str">
            <v>MIO GEAR S</v>
          </cell>
          <cell r="D1669">
            <v>2</v>
          </cell>
        </row>
        <row r="1670">
          <cell r="B1670" t="str">
            <v>MIO GEAR S</v>
          </cell>
          <cell r="D1670">
            <v>1</v>
          </cell>
        </row>
        <row r="1671">
          <cell r="B1671" t="str">
            <v>MIO GEAR S</v>
          </cell>
          <cell r="D1671">
            <v>1</v>
          </cell>
        </row>
        <row r="1672">
          <cell r="B1672" t="str">
            <v>MIO GEAR S</v>
          </cell>
          <cell r="D1672">
            <v>1</v>
          </cell>
        </row>
        <row r="1673">
          <cell r="B1673" t="str">
            <v>MIO GEAR S</v>
          </cell>
          <cell r="D1673">
            <v>1</v>
          </cell>
        </row>
        <row r="1674">
          <cell r="B1674" t="str">
            <v>MIO GEAR S</v>
          </cell>
          <cell r="D1674">
            <v>1</v>
          </cell>
        </row>
        <row r="1675">
          <cell r="B1675" t="str">
            <v>MIO GEAR S</v>
          </cell>
          <cell r="D1675">
            <v>1</v>
          </cell>
        </row>
        <row r="1676">
          <cell r="B1676" t="str">
            <v>MIO GEAR S</v>
          </cell>
          <cell r="D1676">
            <v>1</v>
          </cell>
        </row>
        <row r="1677">
          <cell r="B1677" t="str">
            <v>MIO GEAR S</v>
          </cell>
          <cell r="D1677">
            <v>1</v>
          </cell>
        </row>
        <row r="1678">
          <cell r="B1678" t="str">
            <v>MIO GEAR S</v>
          </cell>
          <cell r="D1678">
            <v>3</v>
          </cell>
        </row>
        <row r="1679">
          <cell r="B1679" t="str">
            <v>MIO GEAR S</v>
          </cell>
          <cell r="D1679">
            <v>2</v>
          </cell>
        </row>
        <row r="1680">
          <cell r="B1680" t="str">
            <v>MIO GEAR S</v>
          </cell>
          <cell r="D1680">
            <v>1</v>
          </cell>
        </row>
        <row r="1681">
          <cell r="B1681" t="str">
            <v>MIO GEAR S</v>
          </cell>
          <cell r="D1681">
            <v>1</v>
          </cell>
        </row>
        <row r="1682">
          <cell r="B1682" t="str">
            <v>MIO GEAR S</v>
          </cell>
          <cell r="D1682">
            <v>1</v>
          </cell>
        </row>
        <row r="1683">
          <cell r="B1683" t="str">
            <v>MIO GEAR S</v>
          </cell>
          <cell r="D1683">
            <v>2</v>
          </cell>
        </row>
      </sheetData>
      <sheetData sheetId="3">
        <row r="2">
          <cell r="B2" t="str">
            <v>Description</v>
          </cell>
          <cell r="C2" t="str">
            <v>Remarks</v>
          </cell>
          <cell r="D2" t="str">
            <v>Brand</v>
          </cell>
          <cell r="E2" t="str">
            <v>Old Description</v>
          </cell>
          <cell r="F2" t="str">
            <v>Usage</v>
          </cell>
          <cell r="G2" t="str">
            <v>Cost</v>
          </cell>
          <cell r="H2" t="str">
            <v>LT(Supp)</v>
          </cell>
          <cell r="I2" t="str">
            <v>SS(WH)</v>
          </cell>
          <cell r="J2" t="str">
            <v>Max Stock(WH)</v>
          </cell>
          <cell r="K2" t="str">
            <v>LT(branch)</v>
          </cell>
          <cell r="L2" t="str">
            <v>SS(branch)</v>
          </cell>
          <cell r="M2" t="str">
            <v>Max Stock(branch)</v>
          </cell>
        </row>
        <row r="3">
          <cell r="B3" t="str">
            <v>ADV160</v>
          </cell>
          <cell r="C3" t="str">
            <v>OLD</v>
          </cell>
          <cell r="D3" t="str">
            <v>HONDA</v>
          </cell>
          <cell r="E3" t="str">
            <v>ADV160AP-GB (BLACK)</v>
          </cell>
          <cell r="F3" t="str">
            <v>SCOOTER</v>
          </cell>
          <cell r="G3">
            <v>158270</v>
          </cell>
          <cell r="H3">
            <v>45</v>
          </cell>
          <cell r="I3">
            <v>30</v>
          </cell>
          <cell r="J3">
            <v>90</v>
          </cell>
          <cell r="K3">
            <v>15</v>
          </cell>
          <cell r="L3">
            <v>15</v>
          </cell>
          <cell r="M3">
            <v>30</v>
          </cell>
        </row>
        <row r="4">
          <cell r="B4" t="str">
            <v>ADV160</v>
          </cell>
          <cell r="C4" t="str">
            <v>OLD</v>
          </cell>
          <cell r="D4" t="str">
            <v>HONDA</v>
          </cell>
          <cell r="E4" t="str">
            <v>ADV160AP-MSR (RED/BLACK)</v>
          </cell>
          <cell r="F4" t="str">
            <v>SCOOTER</v>
          </cell>
          <cell r="G4">
            <v>158270</v>
          </cell>
          <cell r="H4">
            <v>45</v>
          </cell>
          <cell r="I4">
            <v>30</v>
          </cell>
          <cell r="J4">
            <v>90</v>
          </cell>
          <cell r="K4">
            <v>15</v>
          </cell>
          <cell r="L4">
            <v>15</v>
          </cell>
          <cell r="M4">
            <v>30</v>
          </cell>
        </row>
        <row r="5">
          <cell r="B5" t="str">
            <v>ADV160</v>
          </cell>
          <cell r="C5" t="str">
            <v>OLD</v>
          </cell>
          <cell r="D5" t="str">
            <v>HONDA</v>
          </cell>
          <cell r="E5" t="str">
            <v>ADV160AP-WC (WHITE/BLACK)</v>
          </cell>
          <cell r="F5" t="str">
            <v>SCOOTER</v>
          </cell>
          <cell r="G5">
            <v>158270</v>
          </cell>
          <cell r="H5">
            <v>45</v>
          </cell>
          <cell r="I5">
            <v>30</v>
          </cell>
          <cell r="J5">
            <v>90</v>
          </cell>
          <cell r="K5">
            <v>15</v>
          </cell>
          <cell r="L5">
            <v>15</v>
          </cell>
          <cell r="M5">
            <v>30</v>
          </cell>
        </row>
        <row r="6">
          <cell r="B6" t="str">
            <v>AIRBLADE 160</v>
          </cell>
          <cell r="D6" t="str">
            <v>HONDA</v>
          </cell>
          <cell r="E6" t="str">
            <v>ACA160CAFPII AIRBLADE160 - GM</v>
          </cell>
          <cell r="F6" t="str">
            <v>SCOOTER</v>
          </cell>
          <cell r="G6">
            <v>118838</v>
          </cell>
          <cell r="H6">
            <v>45</v>
          </cell>
          <cell r="I6">
            <v>30</v>
          </cell>
          <cell r="J6">
            <v>90</v>
          </cell>
          <cell r="K6">
            <v>15</v>
          </cell>
          <cell r="L6">
            <v>15</v>
          </cell>
          <cell r="M6">
            <v>30</v>
          </cell>
        </row>
        <row r="7">
          <cell r="B7" t="str">
            <v>AIRBLADE 160</v>
          </cell>
          <cell r="D7" t="str">
            <v>HONDA</v>
          </cell>
          <cell r="E7" t="str">
            <v>ACA160CAFPII AIRBLADE160 - AB</v>
          </cell>
          <cell r="F7" t="str">
            <v>SCOOTER</v>
          </cell>
          <cell r="G7">
            <v>118838</v>
          </cell>
          <cell r="H7">
            <v>45</v>
          </cell>
          <cell r="I7">
            <v>30</v>
          </cell>
          <cell r="J7">
            <v>90</v>
          </cell>
          <cell r="K7">
            <v>15</v>
          </cell>
          <cell r="L7">
            <v>15</v>
          </cell>
          <cell r="M7">
            <v>30</v>
          </cell>
        </row>
        <row r="8">
          <cell r="B8" t="str">
            <v>AIRBLADE 160</v>
          </cell>
          <cell r="D8" t="str">
            <v>HONDA</v>
          </cell>
          <cell r="E8" t="str">
            <v>ACA160CAFPII AIRBLADE160 - CR</v>
          </cell>
          <cell r="F8" t="str">
            <v>SCOOTER</v>
          </cell>
          <cell r="G8">
            <v>118838</v>
          </cell>
          <cell r="H8">
            <v>45</v>
          </cell>
          <cell r="I8">
            <v>30</v>
          </cell>
          <cell r="J8">
            <v>90</v>
          </cell>
          <cell r="K8">
            <v>15</v>
          </cell>
          <cell r="L8">
            <v>15</v>
          </cell>
          <cell r="M8">
            <v>30</v>
          </cell>
        </row>
        <row r="9">
          <cell r="B9" t="str">
            <v>AVENIS125</v>
          </cell>
          <cell r="D9" t="str">
            <v>SUZUKI</v>
          </cell>
          <cell r="E9" t="str">
            <v>UN125NE AVENIS 125 - MBLACK</v>
          </cell>
          <cell r="F9" t="str">
            <v>SCOOTER</v>
          </cell>
          <cell r="G9">
            <v>77572</v>
          </cell>
          <cell r="H9">
            <v>45</v>
          </cell>
          <cell r="I9">
            <v>30</v>
          </cell>
          <cell r="J9">
            <v>90</v>
          </cell>
          <cell r="K9">
            <v>15</v>
          </cell>
          <cell r="L9">
            <v>15</v>
          </cell>
          <cell r="M9">
            <v>30</v>
          </cell>
        </row>
        <row r="10">
          <cell r="B10" t="str">
            <v>AVENIS125</v>
          </cell>
          <cell r="D10" t="str">
            <v>SUZUKI</v>
          </cell>
          <cell r="E10" t="str">
            <v>UN125NE AVENIS 125 - ORANGE</v>
          </cell>
          <cell r="F10" t="str">
            <v>SCOOTER</v>
          </cell>
          <cell r="G10">
            <v>77572</v>
          </cell>
          <cell r="H10">
            <v>45</v>
          </cell>
          <cell r="I10">
            <v>30</v>
          </cell>
          <cell r="J10">
            <v>90</v>
          </cell>
          <cell r="K10">
            <v>15</v>
          </cell>
          <cell r="L10">
            <v>15</v>
          </cell>
          <cell r="M10">
            <v>30</v>
          </cell>
        </row>
        <row r="11">
          <cell r="B11" t="str">
            <v>AVENIS125</v>
          </cell>
          <cell r="D11" t="str">
            <v>SUZUKI</v>
          </cell>
          <cell r="E11" t="str">
            <v>UN125NE AVENIS 125 - WHITE</v>
          </cell>
          <cell r="F11" t="str">
            <v>SCOOTER</v>
          </cell>
          <cell r="G11">
            <v>77572</v>
          </cell>
          <cell r="H11">
            <v>45</v>
          </cell>
          <cell r="I11">
            <v>30</v>
          </cell>
          <cell r="J11">
            <v>90</v>
          </cell>
          <cell r="K11">
            <v>15</v>
          </cell>
          <cell r="L11">
            <v>15</v>
          </cell>
          <cell r="M11">
            <v>30</v>
          </cell>
        </row>
        <row r="12">
          <cell r="B12" t="str">
            <v>BAJAJ RE 4S FI</v>
          </cell>
          <cell r="D12" t="str">
            <v>BAJAJ RE</v>
          </cell>
          <cell r="E12" t="str">
            <v>BAJAJ RE 4S FI (BLUE)</v>
          </cell>
          <cell r="F12" t="str">
            <v>TRI-WHEELED</v>
          </cell>
          <cell r="G12">
            <v>191000</v>
          </cell>
          <cell r="H12">
            <v>45</v>
          </cell>
          <cell r="I12">
            <v>30</v>
          </cell>
          <cell r="J12">
            <v>90</v>
          </cell>
          <cell r="K12">
            <v>15</v>
          </cell>
          <cell r="L12">
            <v>15</v>
          </cell>
          <cell r="M12">
            <v>30</v>
          </cell>
        </row>
        <row r="13">
          <cell r="B13" t="str">
            <v>BAJAJ RE 4S FI</v>
          </cell>
          <cell r="D13" t="str">
            <v>BAJAJ RE</v>
          </cell>
          <cell r="E13" t="str">
            <v>BAJAJ RE 4S FI (YELLOW)</v>
          </cell>
          <cell r="F13" t="str">
            <v>TRI-WHEELED</v>
          </cell>
          <cell r="G13">
            <v>191000</v>
          </cell>
          <cell r="H13">
            <v>45</v>
          </cell>
          <cell r="I13">
            <v>30</v>
          </cell>
          <cell r="J13">
            <v>90</v>
          </cell>
          <cell r="K13">
            <v>15</v>
          </cell>
          <cell r="L13">
            <v>15</v>
          </cell>
          <cell r="M13">
            <v>30</v>
          </cell>
        </row>
        <row r="14">
          <cell r="B14" t="str">
            <v>BAJAJ RE 4S FI</v>
          </cell>
          <cell r="D14" t="str">
            <v>BAJAJ RE</v>
          </cell>
          <cell r="E14" t="str">
            <v>BAJAJ RE 4S FI (WHITE)</v>
          </cell>
          <cell r="F14" t="str">
            <v>TRI-WHEELED</v>
          </cell>
          <cell r="G14">
            <v>191000</v>
          </cell>
          <cell r="H14">
            <v>45</v>
          </cell>
          <cell r="I14">
            <v>30</v>
          </cell>
          <cell r="J14">
            <v>90</v>
          </cell>
          <cell r="K14">
            <v>15</v>
          </cell>
          <cell r="L14">
            <v>15</v>
          </cell>
          <cell r="M14">
            <v>30</v>
          </cell>
        </row>
        <row r="15">
          <cell r="B15" t="str">
            <v>BAJAJ RE 4S FI</v>
          </cell>
          <cell r="D15" t="str">
            <v>BAJAJ RE</v>
          </cell>
          <cell r="E15" t="str">
            <v>BAJAJ RE 4S FI (RED)</v>
          </cell>
          <cell r="F15" t="str">
            <v>TRI-WHEELED</v>
          </cell>
          <cell r="G15">
            <v>191000</v>
          </cell>
          <cell r="H15">
            <v>45</v>
          </cell>
          <cell r="I15">
            <v>30</v>
          </cell>
          <cell r="J15">
            <v>90</v>
          </cell>
          <cell r="K15">
            <v>15</v>
          </cell>
          <cell r="L15">
            <v>15</v>
          </cell>
          <cell r="M15">
            <v>30</v>
          </cell>
        </row>
        <row r="16">
          <cell r="B16" t="str">
            <v>BAJAJ RE 4S FI</v>
          </cell>
          <cell r="D16" t="str">
            <v>BAJAJ RE</v>
          </cell>
          <cell r="E16" t="str">
            <v>BAJAJ RE 4S FI (GREEN)</v>
          </cell>
          <cell r="F16" t="str">
            <v>TRI-WHEELED</v>
          </cell>
          <cell r="G16">
            <v>191000</v>
          </cell>
          <cell r="H16">
            <v>45</v>
          </cell>
          <cell r="I16">
            <v>30</v>
          </cell>
          <cell r="J16">
            <v>90</v>
          </cell>
          <cell r="K16">
            <v>15</v>
          </cell>
          <cell r="L16">
            <v>15</v>
          </cell>
          <cell r="M16">
            <v>30</v>
          </cell>
        </row>
        <row r="17">
          <cell r="B17" t="str">
            <v>BAJAJ RE SP. ED</v>
          </cell>
          <cell r="D17" t="str">
            <v>BAJAJ RE</v>
          </cell>
          <cell r="E17" t="str">
            <v>BAJAJ RE SPECIAL EDITION (YELLOW)</v>
          </cell>
          <cell r="F17" t="str">
            <v>TRI-WHEELED</v>
          </cell>
          <cell r="G17">
            <v>233000</v>
          </cell>
          <cell r="H17">
            <v>45</v>
          </cell>
          <cell r="I17">
            <v>30</v>
          </cell>
          <cell r="J17">
            <v>90</v>
          </cell>
          <cell r="K17">
            <v>15</v>
          </cell>
          <cell r="L17">
            <v>15</v>
          </cell>
          <cell r="M17">
            <v>30</v>
          </cell>
        </row>
        <row r="18">
          <cell r="B18" t="str">
            <v>BAJAJ RE SP. ED</v>
          </cell>
          <cell r="D18" t="str">
            <v>BAJAJ RE</v>
          </cell>
          <cell r="E18" t="str">
            <v>BAJAJ RE SPECIAL EDITION (GREEN)</v>
          </cell>
          <cell r="F18" t="str">
            <v>TRI-WHEELED</v>
          </cell>
          <cell r="G18">
            <v>233000</v>
          </cell>
          <cell r="H18">
            <v>45</v>
          </cell>
          <cell r="I18">
            <v>30</v>
          </cell>
          <cell r="J18">
            <v>90</v>
          </cell>
          <cell r="K18">
            <v>15</v>
          </cell>
          <cell r="L18">
            <v>15</v>
          </cell>
          <cell r="M18">
            <v>30</v>
          </cell>
        </row>
        <row r="19">
          <cell r="B19" t="str">
            <v>BAJAJ RE SP. ED</v>
          </cell>
          <cell r="D19" t="str">
            <v>BAJAJ RE</v>
          </cell>
          <cell r="E19" t="str">
            <v>BAJAJ RE SPECIAL EDITION (BLUE)</v>
          </cell>
          <cell r="F19" t="str">
            <v>TRI-WHEELED</v>
          </cell>
          <cell r="G19">
            <v>233000</v>
          </cell>
          <cell r="H19">
            <v>45</v>
          </cell>
          <cell r="I19">
            <v>30</v>
          </cell>
          <cell r="J19">
            <v>90</v>
          </cell>
          <cell r="K19">
            <v>15</v>
          </cell>
          <cell r="L19">
            <v>15</v>
          </cell>
          <cell r="M19">
            <v>30</v>
          </cell>
        </row>
        <row r="20">
          <cell r="B20" t="str">
            <v>BAJAJ RE SP. ED</v>
          </cell>
          <cell r="D20" t="str">
            <v>BAJAJ RE</v>
          </cell>
          <cell r="E20" t="str">
            <v>BAJAJ RE SPECIAL EDITION (RED)</v>
          </cell>
          <cell r="F20" t="str">
            <v>TRI-WHEELED</v>
          </cell>
          <cell r="G20">
            <v>233000</v>
          </cell>
          <cell r="H20">
            <v>45</v>
          </cell>
          <cell r="I20">
            <v>30</v>
          </cell>
          <cell r="J20">
            <v>90</v>
          </cell>
          <cell r="K20">
            <v>15</v>
          </cell>
          <cell r="L20">
            <v>15</v>
          </cell>
          <cell r="M20">
            <v>30</v>
          </cell>
        </row>
        <row r="21">
          <cell r="B21" t="str">
            <v>BAJAJ RE SP. ED</v>
          </cell>
          <cell r="D21" t="str">
            <v>BAJAJ RE</v>
          </cell>
          <cell r="E21" t="str">
            <v>BAJAJ RE SPECIAL EDITION (YELLOW)</v>
          </cell>
          <cell r="F21" t="str">
            <v>TRI-WHEELED</v>
          </cell>
          <cell r="G21">
            <v>233000</v>
          </cell>
          <cell r="H21">
            <v>45</v>
          </cell>
          <cell r="I21">
            <v>30</v>
          </cell>
          <cell r="J21">
            <v>90</v>
          </cell>
          <cell r="K21">
            <v>15</v>
          </cell>
          <cell r="L21">
            <v>15</v>
          </cell>
          <cell r="M21">
            <v>30</v>
          </cell>
        </row>
        <row r="22">
          <cell r="B22" t="str">
            <v>BARAKO II (DUAL START)</v>
          </cell>
          <cell r="D22" t="str">
            <v>KAWASAKI</v>
          </cell>
          <cell r="E22" t="str">
            <v>BC175JHF ELEC. START NEW BARAKO(BLACK)</v>
          </cell>
          <cell r="F22" t="str">
            <v>BUSINESS</v>
          </cell>
          <cell r="G22">
            <v>95530</v>
          </cell>
          <cell r="H22">
            <v>45</v>
          </cell>
          <cell r="I22">
            <v>30</v>
          </cell>
          <cell r="J22">
            <v>90</v>
          </cell>
          <cell r="K22">
            <v>15</v>
          </cell>
          <cell r="L22">
            <v>15</v>
          </cell>
          <cell r="M22">
            <v>30</v>
          </cell>
        </row>
        <row r="23">
          <cell r="B23" t="str">
            <v>BARAKO II (DUAL START)</v>
          </cell>
          <cell r="D23" t="str">
            <v>KAWASAKI</v>
          </cell>
          <cell r="E23" t="str">
            <v>BC175JHF ELEC. START NEW BARAKO(BLUE)</v>
          </cell>
          <cell r="F23" t="str">
            <v>BUSINESS</v>
          </cell>
          <cell r="G23">
            <v>95530</v>
          </cell>
          <cell r="H23">
            <v>45</v>
          </cell>
          <cell r="I23">
            <v>30</v>
          </cell>
          <cell r="J23">
            <v>90</v>
          </cell>
          <cell r="K23">
            <v>15</v>
          </cell>
          <cell r="L23">
            <v>15</v>
          </cell>
          <cell r="M23">
            <v>30</v>
          </cell>
        </row>
        <row r="24">
          <cell r="B24" t="str">
            <v>BARAKO II (DUAL START)</v>
          </cell>
          <cell r="D24" t="str">
            <v>KAWASAKI</v>
          </cell>
          <cell r="E24" t="str">
            <v>BC175JLS ELEC. START NEW BARAKO(BLACK)</v>
          </cell>
          <cell r="F24" t="str">
            <v>BUSINESS</v>
          </cell>
          <cell r="G24">
            <v>95530</v>
          </cell>
          <cell r="H24">
            <v>45</v>
          </cell>
          <cell r="I24">
            <v>30</v>
          </cell>
          <cell r="J24">
            <v>90</v>
          </cell>
          <cell r="K24">
            <v>15</v>
          </cell>
          <cell r="L24">
            <v>15</v>
          </cell>
          <cell r="M24">
            <v>30</v>
          </cell>
        </row>
        <row r="25">
          <cell r="B25" t="str">
            <v>BARAKO II (DUAL START)</v>
          </cell>
          <cell r="D25" t="str">
            <v>KAWASAKI</v>
          </cell>
          <cell r="E25" t="str">
            <v>BC175JLF ELEC. START NEW BARAKO(BLUE)</v>
          </cell>
          <cell r="F25" t="str">
            <v>BUSINESS</v>
          </cell>
          <cell r="G25">
            <v>95530</v>
          </cell>
          <cell r="H25">
            <v>45</v>
          </cell>
          <cell r="I25">
            <v>30</v>
          </cell>
          <cell r="J25">
            <v>90</v>
          </cell>
          <cell r="K25">
            <v>15</v>
          </cell>
          <cell r="L25">
            <v>15</v>
          </cell>
          <cell r="M25">
            <v>30</v>
          </cell>
        </row>
        <row r="26">
          <cell r="B26" t="str">
            <v>BARAKO II (DUAL START)</v>
          </cell>
          <cell r="D26" t="str">
            <v>KAWASAKI</v>
          </cell>
          <cell r="E26" t="str">
            <v>BC175JLF ELEC. START NEW BARAKO(BLACK)</v>
          </cell>
          <cell r="F26" t="str">
            <v>BUSINESS</v>
          </cell>
          <cell r="G26">
            <v>95530</v>
          </cell>
          <cell r="H26">
            <v>45</v>
          </cell>
          <cell r="I26">
            <v>30</v>
          </cell>
          <cell r="J26">
            <v>90</v>
          </cell>
          <cell r="K26">
            <v>15</v>
          </cell>
          <cell r="L26">
            <v>15</v>
          </cell>
          <cell r="M26">
            <v>30</v>
          </cell>
        </row>
        <row r="27">
          <cell r="B27" t="str">
            <v>BARAKO II (DUAL START)</v>
          </cell>
          <cell r="D27" t="str">
            <v>KAWASAKI</v>
          </cell>
          <cell r="E27" t="str">
            <v>BC175JMFNN DUAL START BARAKO(BLACK)</v>
          </cell>
          <cell r="F27" t="str">
            <v>BUSINESS</v>
          </cell>
          <cell r="G27">
            <v>95530</v>
          </cell>
          <cell r="H27">
            <v>45</v>
          </cell>
          <cell r="I27">
            <v>30</v>
          </cell>
          <cell r="J27">
            <v>90</v>
          </cell>
          <cell r="K27">
            <v>15</v>
          </cell>
          <cell r="L27">
            <v>15</v>
          </cell>
          <cell r="M27">
            <v>30</v>
          </cell>
        </row>
        <row r="28">
          <cell r="B28" t="str">
            <v>BARAKO II (DUAL START)</v>
          </cell>
          <cell r="D28" t="str">
            <v>KAWASAKI</v>
          </cell>
          <cell r="E28" t="str">
            <v>BC175JMJNN DUAL START BARAKO(BLACK) (</v>
          </cell>
          <cell r="F28" t="str">
            <v>BUSINESS</v>
          </cell>
          <cell r="G28">
            <v>95530</v>
          </cell>
          <cell r="H28">
            <v>45</v>
          </cell>
          <cell r="I28">
            <v>30</v>
          </cell>
          <cell r="J28">
            <v>90</v>
          </cell>
          <cell r="K28">
            <v>15</v>
          </cell>
          <cell r="L28">
            <v>15</v>
          </cell>
          <cell r="M28">
            <v>30</v>
          </cell>
        </row>
        <row r="29">
          <cell r="B29" t="str">
            <v>BARAKO II (DUAL START)</v>
          </cell>
          <cell r="D29" t="str">
            <v>KAWASAKI</v>
          </cell>
          <cell r="E29" t="str">
            <v>BC175NNFNN DUAL START BARAKO(BLACK)</v>
          </cell>
          <cell r="F29" t="str">
            <v>BUSINESS</v>
          </cell>
          <cell r="G29">
            <v>95530</v>
          </cell>
          <cell r="H29">
            <v>45</v>
          </cell>
          <cell r="I29">
            <v>30</v>
          </cell>
          <cell r="J29">
            <v>90</v>
          </cell>
          <cell r="K29">
            <v>15</v>
          </cell>
          <cell r="L29">
            <v>15</v>
          </cell>
          <cell r="M29">
            <v>30</v>
          </cell>
        </row>
        <row r="30">
          <cell r="B30" t="str">
            <v>BARAKO II (DUAL START)</v>
          </cell>
          <cell r="D30" t="str">
            <v>KAWASAKI</v>
          </cell>
          <cell r="E30" t="str">
            <v>BC175NPFNN BARAKO II ELECTRIC (GREY)</v>
          </cell>
          <cell r="F30" t="str">
            <v>BUSINESS</v>
          </cell>
          <cell r="G30">
            <v>95530</v>
          </cell>
          <cell r="H30">
            <v>45</v>
          </cell>
          <cell r="I30">
            <v>30</v>
          </cell>
          <cell r="J30">
            <v>90</v>
          </cell>
          <cell r="K30">
            <v>15</v>
          </cell>
          <cell r="L30">
            <v>15</v>
          </cell>
          <cell r="M30">
            <v>30</v>
          </cell>
        </row>
        <row r="31">
          <cell r="B31" t="str">
            <v>BARAKO II (KICK START)</v>
          </cell>
          <cell r="D31" t="str">
            <v>KAWASAKI</v>
          </cell>
          <cell r="E31" t="str">
            <v>BC175HHF KICK START NEW BARAKO(BLACK)</v>
          </cell>
          <cell r="F31" t="str">
            <v>BUSINESS</v>
          </cell>
          <cell r="G31">
            <v>91770</v>
          </cell>
          <cell r="H31">
            <v>45</v>
          </cell>
          <cell r="I31">
            <v>30</v>
          </cell>
          <cell r="J31">
            <v>90</v>
          </cell>
          <cell r="K31">
            <v>15</v>
          </cell>
          <cell r="L31">
            <v>15</v>
          </cell>
          <cell r="M31">
            <v>30</v>
          </cell>
        </row>
        <row r="32">
          <cell r="B32" t="str">
            <v>BARAKO II (KICK START)</v>
          </cell>
          <cell r="D32" t="str">
            <v>KAWASAKI</v>
          </cell>
          <cell r="E32" t="str">
            <v>BC175HHF KICK START NEW BARAKO(GRAY)</v>
          </cell>
          <cell r="F32" t="str">
            <v>BUSINESS</v>
          </cell>
          <cell r="G32">
            <v>91770</v>
          </cell>
          <cell r="H32">
            <v>45</v>
          </cell>
          <cell r="I32">
            <v>30</v>
          </cell>
          <cell r="J32">
            <v>90</v>
          </cell>
          <cell r="K32">
            <v>15</v>
          </cell>
          <cell r="L32">
            <v>15</v>
          </cell>
          <cell r="M32">
            <v>30</v>
          </cell>
        </row>
        <row r="33">
          <cell r="B33" t="str">
            <v>BARAKO II (KICK START)</v>
          </cell>
          <cell r="D33" t="str">
            <v>KAWASAKI</v>
          </cell>
          <cell r="E33" t="str">
            <v>BC175HHF KICK START NEW BARAKO(RED)</v>
          </cell>
          <cell r="F33" t="str">
            <v>BUSINESS</v>
          </cell>
          <cell r="G33">
            <v>91770</v>
          </cell>
          <cell r="H33">
            <v>45</v>
          </cell>
          <cell r="I33">
            <v>30</v>
          </cell>
          <cell r="J33">
            <v>90</v>
          </cell>
          <cell r="K33">
            <v>15</v>
          </cell>
          <cell r="L33">
            <v>15</v>
          </cell>
          <cell r="M33">
            <v>30</v>
          </cell>
        </row>
        <row r="34">
          <cell r="B34" t="str">
            <v>BARAKO II (KICK START)</v>
          </cell>
          <cell r="C34" t="str">
            <v>OLD MODEL CODE</v>
          </cell>
          <cell r="D34" t="str">
            <v>KAWASAKI</v>
          </cell>
          <cell r="E34" t="str">
            <v>BC175JHF ELEC. START NEW BARAKO(RED)</v>
          </cell>
          <cell r="F34" t="str">
            <v>BUSINESS</v>
          </cell>
          <cell r="G34">
            <v>91770</v>
          </cell>
          <cell r="H34">
            <v>45</v>
          </cell>
          <cell r="I34">
            <v>30</v>
          </cell>
          <cell r="J34">
            <v>90</v>
          </cell>
          <cell r="K34">
            <v>15</v>
          </cell>
          <cell r="L34">
            <v>15</v>
          </cell>
          <cell r="M34">
            <v>30</v>
          </cell>
        </row>
        <row r="35">
          <cell r="B35" t="str">
            <v>BARAKO II (KICK START)</v>
          </cell>
          <cell r="D35" t="str">
            <v>KAWASAKI</v>
          </cell>
          <cell r="E35" t="str">
            <v>BC175HKS (GRAY)</v>
          </cell>
          <cell r="F35" t="str">
            <v>BUSINESS</v>
          </cell>
          <cell r="G35">
            <v>91770</v>
          </cell>
          <cell r="H35">
            <v>45</v>
          </cell>
          <cell r="I35">
            <v>30</v>
          </cell>
          <cell r="J35">
            <v>90</v>
          </cell>
          <cell r="K35">
            <v>15</v>
          </cell>
          <cell r="L35">
            <v>15</v>
          </cell>
          <cell r="M35">
            <v>30</v>
          </cell>
        </row>
        <row r="36">
          <cell r="B36" t="str">
            <v>BARAKO II (KICK START)</v>
          </cell>
          <cell r="D36" t="str">
            <v>KAWASAKI</v>
          </cell>
          <cell r="E36" t="str">
            <v>BC175HLF (RED)</v>
          </cell>
          <cell r="F36" t="str">
            <v>BUSINESS</v>
          </cell>
          <cell r="G36">
            <v>91770</v>
          </cell>
          <cell r="H36">
            <v>45</v>
          </cell>
          <cell r="I36">
            <v>30</v>
          </cell>
          <cell r="J36">
            <v>90</v>
          </cell>
          <cell r="K36">
            <v>15</v>
          </cell>
          <cell r="L36">
            <v>15</v>
          </cell>
          <cell r="M36">
            <v>30</v>
          </cell>
        </row>
        <row r="37">
          <cell r="B37" t="str">
            <v>BARAKO II (KICK START)</v>
          </cell>
          <cell r="D37" t="str">
            <v>KAWASAKI</v>
          </cell>
          <cell r="E37" t="str">
            <v>BC175HLF(GRAY)</v>
          </cell>
          <cell r="F37" t="str">
            <v>BUSINESS</v>
          </cell>
          <cell r="G37">
            <v>91770</v>
          </cell>
          <cell r="H37">
            <v>45</v>
          </cell>
          <cell r="I37">
            <v>30</v>
          </cell>
          <cell r="J37">
            <v>90</v>
          </cell>
          <cell r="K37">
            <v>15</v>
          </cell>
          <cell r="L37">
            <v>15</v>
          </cell>
          <cell r="M37">
            <v>30</v>
          </cell>
        </row>
        <row r="38">
          <cell r="B38" t="str">
            <v>BARAKO II (KICK START)</v>
          </cell>
          <cell r="D38" t="str">
            <v>KAWASAKI</v>
          </cell>
          <cell r="E38" t="str">
            <v>BC175JMFNN BARAKO (RED)</v>
          </cell>
          <cell r="F38" t="str">
            <v>BUSINESS</v>
          </cell>
          <cell r="G38">
            <v>91770</v>
          </cell>
          <cell r="H38">
            <v>45</v>
          </cell>
          <cell r="I38">
            <v>30</v>
          </cell>
          <cell r="J38">
            <v>90</v>
          </cell>
          <cell r="K38">
            <v>15</v>
          </cell>
          <cell r="L38">
            <v>15</v>
          </cell>
          <cell r="M38">
            <v>30</v>
          </cell>
        </row>
        <row r="39">
          <cell r="B39" t="str">
            <v>BARAKO II (KICK START)</v>
          </cell>
          <cell r="D39" t="str">
            <v>KAWASAKI</v>
          </cell>
          <cell r="E39" t="str">
            <v>BC175MNFNN BARAKO IIKICK START(RED)</v>
          </cell>
          <cell r="F39" t="str">
            <v>BUSINESS</v>
          </cell>
          <cell r="G39">
            <v>91770</v>
          </cell>
          <cell r="H39">
            <v>45</v>
          </cell>
          <cell r="I39">
            <v>30</v>
          </cell>
          <cell r="J39">
            <v>90</v>
          </cell>
          <cell r="K39">
            <v>15</v>
          </cell>
          <cell r="L39">
            <v>15</v>
          </cell>
          <cell r="M39">
            <v>30</v>
          </cell>
        </row>
        <row r="40">
          <cell r="B40" t="str">
            <v>BARAKO II (KICK START)</v>
          </cell>
          <cell r="D40" t="str">
            <v>KAWASAKI</v>
          </cell>
          <cell r="E40" t="str">
            <v>BC175MPFNN BARAKO II KICK (RED)</v>
          </cell>
          <cell r="F40" t="str">
            <v>BUSINESS</v>
          </cell>
          <cell r="G40">
            <v>91770</v>
          </cell>
          <cell r="H40">
            <v>45</v>
          </cell>
          <cell r="I40">
            <v>30</v>
          </cell>
          <cell r="J40">
            <v>90</v>
          </cell>
          <cell r="K40">
            <v>15</v>
          </cell>
          <cell r="L40">
            <v>15</v>
          </cell>
          <cell r="M40">
            <v>30</v>
          </cell>
        </row>
        <row r="41">
          <cell r="B41" t="str">
            <v>BARAKO III FI(DUAL START)</v>
          </cell>
          <cell r="D41" t="str">
            <v>KAWASAKI</v>
          </cell>
          <cell r="E41" t="str">
            <v>BC175LMFNN BARAKO III FI DUAL START (BLUE)</v>
          </cell>
          <cell r="F41" t="str">
            <v>BUSINESS</v>
          </cell>
          <cell r="G41">
            <v>100700</v>
          </cell>
          <cell r="H41">
            <v>45</v>
          </cell>
          <cell r="I41">
            <v>30</v>
          </cell>
          <cell r="J41">
            <v>90</v>
          </cell>
          <cell r="K41">
            <v>15</v>
          </cell>
          <cell r="L41">
            <v>15</v>
          </cell>
          <cell r="M41">
            <v>30</v>
          </cell>
        </row>
        <row r="42">
          <cell r="B42" t="str">
            <v>BARAKO III FI(DUAL START)</v>
          </cell>
          <cell r="D42" t="str">
            <v>KAWASAKI</v>
          </cell>
          <cell r="E42" t="str">
            <v>BC175LPFNN BARAKO III ELECTRIC (BLACK)</v>
          </cell>
          <cell r="F42" t="str">
            <v>BUSINESS</v>
          </cell>
          <cell r="G42">
            <v>100700</v>
          </cell>
          <cell r="H42">
            <v>45</v>
          </cell>
          <cell r="I42">
            <v>30</v>
          </cell>
          <cell r="J42">
            <v>90</v>
          </cell>
          <cell r="K42">
            <v>15</v>
          </cell>
          <cell r="L42">
            <v>15</v>
          </cell>
          <cell r="M42">
            <v>30</v>
          </cell>
        </row>
        <row r="43">
          <cell r="B43" t="str">
            <v>BARAKO III FI(KICK START)</v>
          </cell>
          <cell r="D43" t="str">
            <v>KAWASAKI</v>
          </cell>
          <cell r="E43" t="str">
            <v>BC175KMFNN BARAKO III FI KICK START(GRAY)</v>
          </cell>
          <cell r="F43" t="str">
            <v>BUSINESS</v>
          </cell>
          <cell r="G43">
            <v>92710</v>
          </cell>
          <cell r="H43">
            <v>45</v>
          </cell>
          <cell r="I43">
            <v>30</v>
          </cell>
          <cell r="J43">
            <v>90</v>
          </cell>
          <cell r="K43">
            <v>15</v>
          </cell>
          <cell r="L43">
            <v>15</v>
          </cell>
          <cell r="M43">
            <v>30</v>
          </cell>
        </row>
        <row r="44">
          <cell r="B44" t="str">
            <v>BARAKO III FI(KICK START)</v>
          </cell>
          <cell r="D44" t="str">
            <v>KAWASAKI</v>
          </cell>
          <cell r="E44" t="str">
            <v>BC175KPFNN BARAKO III KICK (BLUE)</v>
          </cell>
          <cell r="F44" t="str">
            <v>BUSINESS</v>
          </cell>
          <cell r="G44">
            <v>92710</v>
          </cell>
          <cell r="H44">
            <v>45</v>
          </cell>
          <cell r="I44">
            <v>30</v>
          </cell>
          <cell r="J44">
            <v>90</v>
          </cell>
          <cell r="K44">
            <v>15</v>
          </cell>
          <cell r="L44">
            <v>15</v>
          </cell>
          <cell r="M44">
            <v>30</v>
          </cell>
        </row>
        <row r="45">
          <cell r="B45" t="str">
            <v>BEAT FI STD</v>
          </cell>
          <cell r="C45" t="str">
            <v>OLD MODEL CODE</v>
          </cell>
          <cell r="D45" t="str">
            <v>HONDA</v>
          </cell>
          <cell r="E45" t="str">
            <v>ACH110CBTJII BEAT FI(RED/WHITE)</v>
          </cell>
          <cell r="F45" t="str">
            <v>SCOOTER</v>
          </cell>
          <cell r="G45">
            <v>70998</v>
          </cell>
          <cell r="H45">
            <v>45</v>
          </cell>
          <cell r="I45">
            <v>30</v>
          </cell>
          <cell r="J45">
            <v>90</v>
          </cell>
          <cell r="K45">
            <v>15</v>
          </cell>
          <cell r="L45">
            <v>15</v>
          </cell>
          <cell r="M45">
            <v>30</v>
          </cell>
        </row>
        <row r="46">
          <cell r="B46" t="str">
            <v>BEAT FI STD</v>
          </cell>
          <cell r="C46" t="str">
            <v>OLD MODEL CODE</v>
          </cell>
          <cell r="D46" t="str">
            <v>HONDA</v>
          </cell>
          <cell r="E46" t="str">
            <v>ACH110CSFK (ORANGE/BLACK)</v>
          </cell>
          <cell r="F46" t="str">
            <v>SCOOTER</v>
          </cell>
          <cell r="G46">
            <v>70998</v>
          </cell>
          <cell r="H46">
            <v>45</v>
          </cell>
          <cell r="I46">
            <v>30</v>
          </cell>
          <cell r="J46">
            <v>90</v>
          </cell>
          <cell r="K46">
            <v>15</v>
          </cell>
          <cell r="L46">
            <v>15</v>
          </cell>
          <cell r="M46">
            <v>30</v>
          </cell>
        </row>
        <row r="47">
          <cell r="B47" t="str">
            <v>BEAT FI STD</v>
          </cell>
          <cell r="C47" t="str">
            <v>OLD MODEL CODE</v>
          </cell>
          <cell r="D47" t="str">
            <v>HONDA</v>
          </cell>
          <cell r="E47" t="str">
            <v>ACH110CSFK (RED/WHITE)</v>
          </cell>
          <cell r="F47" t="str">
            <v>SCOOTER</v>
          </cell>
          <cell r="G47">
            <v>70998</v>
          </cell>
          <cell r="H47">
            <v>45</v>
          </cell>
          <cell r="I47">
            <v>30</v>
          </cell>
          <cell r="J47">
            <v>90</v>
          </cell>
          <cell r="K47">
            <v>15</v>
          </cell>
          <cell r="L47">
            <v>15</v>
          </cell>
          <cell r="M47">
            <v>30</v>
          </cell>
        </row>
        <row r="48">
          <cell r="B48" t="str">
            <v>BEAT FI STD</v>
          </cell>
          <cell r="C48" t="str">
            <v>OLD MODEL CODE</v>
          </cell>
          <cell r="D48" t="str">
            <v>HONDA</v>
          </cell>
          <cell r="E48" t="str">
            <v>ACH110CSFK (BLUE/WHITE)</v>
          </cell>
          <cell r="F48" t="str">
            <v>SCOOTER</v>
          </cell>
          <cell r="G48">
            <v>70998</v>
          </cell>
          <cell r="H48">
            <v>45</v>
          </cell>
          <cell r="I48">
            <v>30</v>
          </cell>
          <cell r="J48">
            <v>90</v>
          </cell>
          <cell r="K48">
            <v>15</v>
          </cell>
          <cell r="L48">
            <v>15</v>
          </cell>
          <cell r="M48">
            <v>30</v>
          </cell>
        </row>
        <row r="49">
          <cell r="B49" t="str">
            <v>BEAT FI STD</v>
          </cell>
          <cell r="C49" t="str">
            <v>OLD MODEL CODE</v>
          </cell>
          <cell r="D49" t="str">
            <v>HONDA</v>
          </cell>
          <cell r="E49" t="str">
            <v>ACH110CSFKII BEAT FI (WHITE/BLACK)</v>
          </cell>
          <cell r="F49" t="str">
            <v>SCOOTER</v>
          </cell>
          <cell r="G49">
            <v>70998</v>
          </cell>
          <cell r="H49">
            <v>45</v>
          </cell>
          <cell r="I49">
            <v>30</v>
          </cell>
          <cell r="J49">
            <v>90</v>
          </cell>
          <cell r="K49">
            <v>15</v>
          </cell>
          <cell r="L49">
            <v>15</v>
          </cell>
          <cell r="M49">
            <v>30</v>
          </cell>
        </row>
        <row r="50">
          <cell r="B50" t="str">
            <v>BEAT FI STD</v>
          </cell>
          <cell r="C50" t="str">
            <v>OLD MODEL CODE</v>
          </cell>
          <cell r="D50" t="str">
            <v>HONDA</v>
          </cell>
          <cell r="E50" t="str">
            <v>ACH110CSFKII BEAT FI (GRAY/BLACK)</v>
          </cell>
          <cell r="F50" t="str">
            <v>SCOOTER</v>
          </cell>
          <cell r="G50">
            <v>70998</v>
          </cell>
          <cell r="H50">
            <v>45</v>
          </cell>
          <cell r="I50">
            <v>30</v>
          </cell>
          <cell r="J50">
            <v>90</v>
          </cell>
          <cell r="K50">
            <v>15</v>
          </cell>
          <cell r="L50">
            <v>15</v>
          </cell>
          <cell r="M50">
            <v>30</v>
          </cell>
        </row>
        <row r="51">
          <cell r="B51" t="str">
            <v>BEAT FI STD</v>
          </cell>
          <cell r="C51" t="str">
            <v>OLD MODEL CODE</v>
          </cell>
          <cell r="D51" t="str">
            <v>HONDA</v>
          </cell>
          <cell r="E51" t="str">
            <v>ACH110CSFKII BEAT FI (BLACK)</v>
          </cell>
          <cell r="F51" t="str">
            <v>SCOOTER</v>
          </cell>
          <cell r="G51">
            <v>70998</v>
          </cell>
          <cell r="H51">
            <v>45</v>
          </cell>
          <cell r="I51">
            <v>30</v>
          </cell>
          <cell r="J51">
            <v>90</v>
          </cell>
          <cell r="K51">
            <v>15</v>
          </cell>
          <cell r="L51">
            <v>15</v>
          </cell>
          <cell r="M51">
            <v>30</v>
          </cell>
        </row>
        <row r="52">
          <cell r="B52" t="str">
            <v>BEAT FI STD</v>
          </cell>
          <cell r="C52" t="str">
            <v>OLD MODEL CODE</v>
          </cell>
          <cell r="D52" t="str">
            <v>HONDA</v>
          </cell>
          <cell r="E52" t="str">
            <v>ACH110CSFLII (GRAY/BLACK)</v>
          </cell>
          <cell r="F52" t="str">
            <v>SCOOTER</v>
          </cell>
          <cell r="G52">
            <v>70998</v>
          </cell>
          <cell r="H52">
            <v>45</v>
          </cell>
          <cell r="I52">
            <v>30</v>
          </cell>
          <cell r="J52">
            <v>90</v>
          </cell>
          <cell r="K52">
            <v>15</v>
          </cell>
          <cell r="L52">
            <v>15</v>
          </cell>
          <cell r="M52">
            <v>30</v>
          </cell>
        </row>
        <row r="53">
          <cell r="B53" t="str">
            <v>BEAT FI STD</v>
          </cell>
          <cell r="C53" t="str">
            <v>OLD MODEL CODE</v>
          </cell>
          <cell r="D53" t="str">
            <v>HONDA</v>
          </cell>
          <cell r="E53" t="str">
            <v>ACH110CSFLII (WHITE/BLACK)</v>
          </cell>
          <cell r="F53" t="str">
            <v>SCOOTER</v>
          </cell>
          <cell r="G53">
            <v>70998</v>
          </cell>
          <cell r="H53">
            <v>45</v>
          </cell>
          <cell r="I53">
            <v>30</v>
          </cell>
          <cell r="J53">
            <v>90</v>
          </cell>
          <cell r="K53">
            <v>15</v>
          </cell>
          <cell r="L53">
            <v>15</v>
          </cell>
          <cell r="M53">
            <v>30</v>
          </cell>
        </row>
        <row r="54">
          <cell r="B54" t="str">
            <v>BEAT FI STD</v>
          </cell>
          <cell r="C54" t="str">
            <v>OLD MODEL CODE</v>
          </cell>
          <cell r="D54" t="str">
            <v>HONDA</v>
          </cell>
          <cell r="E54" t="str">
            <v>ACH110CSFLII (GRAY)</v>
          </cell>
          <cell r="F54" t="str">
            <v>SCOOTER</v>
          </cell>
          <cell r="G54">
            <v>70998</v>
          </cell>
          <cell r="H54">
            <v>45</v>
          </cell>
          <cell r="I54">
            <v>30</v>
          </cell>
          <cell r="J54">
            <v>90</v>
          </cell>
          <cell r="K54">
            <v>15</v>
          </cell>
          <cell r="L54">
            <v>15</v>
          </cell>
          <cell r="M54">
            <v>30</v>
          </cell>
        </row>
        <row r="55">
          <cell r="B55" t="str">
            <v>BEAT FI STD</v>
          </cell>
          <cell r="C55" t="str">
            <v>OLD MODEL CODE</v>
          </cell>
          <cell r="D55" t="str">
            <v>HONDA</v>
          </cell>
          <cell r="E55" t="str">
            <v>ACH110CSFL(BLACK)</v>
          </cell>
          <cell r="F55" t="str">
            <v>SCOOTER</v>
          </cell>
          <cell r="G55">
            <v>70998</v>
          </cell>
          <cell r="H55">
            <v>45</v>
          </cell>
          <cell r="I55">
            <v>30</v>
          </cell>
          <cell r="J55">
            <v>90</v>
          </cell>
          <cell r="K55">
            <v>15</v>
          </cell>
          <cell r="L55">
            <v>15</v>
          </cell>
          <cell r="M55">
            <v>30</v>
          </cell>
        </row>
        <row r="56">
          <cell r="B56" t="str">
            <v>BEAT FI STD</v>
          </cell>
          <cell r="C56" t="str">
            <v>OLD MODEL CODE</v>
          </cell>
          <cell r="D56" t="str">
            <v>HONDA</v>
          </cell>
          <cell r="E56" t="str">
            <v>ACH110CSFL(RED/BLACK)</v>
          </cell>
          <cell r="F56" t="str">
            <v>SCOOTER</v>
          </cell>
          <cell r="G56">
            <v>70998</v>
          </cell>
          <cell r="H56">
            <v>45</v>
          </cell>
          <cell r="I56">
            <v>30</v>
          </cell>
          <cell r="J56">
            <v>90</v>
          </cell>
          <cell r="K56">
            <v>15</v>
          </cell>
          <cell r="L56">
            <v>15</v>
          </cell>
          <cell r="M56">
            <v>30</v>
          </cell>
        </row>
        <row r="57">
          <cell r="B57" t="str">
            <v>BEAT FI STD</v>
          </cell>
          <cell r="C57" t="str">
            <v>OLD MODEL CODE</v>
          </cell>
          <cell r="D57" t="str">
            <v>HONDA</v>
          </cell>
          <cell r="E57" t="str">
            <v>ACH110CSFL(ORANGE/BLACK)</v>
          </cell>
          <cell r="F57" t="str">
            <v>SCOOTER</v>
          </cell>
          <cell r="G57">
            <v>70998</v>
          </cell>
          <cell r="H57">
            <v>45</v>
          </cell>
          <cell r="I57">
            <v>30</v>
          </cell>
          <cell r="J57">
            <v>90</v>
          </cell>
          <cell r="K57">
            <v>15</v>
          </cell>
          <cell r="L57">
            <v>15</v>
          </cell>
          <cell r="M57">
            <v>30</v>
          </cell>
        </row>
        <row r="58">
          <cell r="B58" t="str">
            <v>BEAT FI STD</v>
          </cell>
          <cell r="C58" t="str">
            <v>OLD MODEL CODE</v>
          </cell>
          <cell r="D58" t="str">
            <v>HONDA</v>
          </cell>
          <cell r="E58" t="str">
            <v>ACH110CSFL(BLUE/BLACK)</v>
          </cell>
          <cell r="F58" t="str">
            <v>SCOOTER</v>
          </cell>
          <cell r="G58">
            <v>70998</v>
          </cell>
          <cell r="H58">
            <v>45</v>
          </cell>
          <cell r="I58">
            <v>30</v>
          </cell>
          <cell r="J58">
            <v>90</v>
          </cell>
          <cell r="K58">
            <v>15</v>
          </cell>
          <cell r="L58">
            <v>15</v>
          </cell>
          <cell r="M58">
            <v>30</v>
          </cell>
        </row>
        <row r="59">
          <cell r="B59" t="str">
            <v>BEAT FI STD</v>
          </cell>
          <cell r="C59" t="str">
            <v>OLD MODEL CODE</v>
          </cell>
          <cell r="D59" t="str">
            <v>HONDA</v>
          </cell>
          <cell r="E59" t="str">
            <v>ACH110CSFL(BLUE/BLACK)</v>
          </cell>
          <cell r="F59" t="str">
            <v>SCOOTER</v>
          </cell>
          <cell r="G59">
            <v>70998</v>
          </cell>
          <cell r="H59">
            <v>45</v>
          </cell>
          <cell r="I59">
            <v>30</v>
          </cell>
          <cell r="J59">
            <v>90</v>
          </cell>
          <cell r="K59">
            <v>15</v>
          </cell>
          <cell r="L59">
            <v>15</v>
          </cell>
          <cell r="M59">
            <v>30</v>
          </cell>
        </row>
        <row r="60">
          <cell r="B60" t="str">
            <v>BEAT FI STD</v>
          </cell>
          <cell r="D60" t="str">
            <v>HONDA</v>
          </cell>
          <cell r="E60" t="str">
            <v>ACH110CSFMII BEAT FI (GRAY/BLACK)</v>
          </cell>
          <cell r="F60" t="str">
            <v>SCOOTER</v>
          </cell>
          <cell r="G60">
            <v>70998</v>
          </cell>
          <cell r="H60">
            <v>45</v>
          </cell>
          <cell r="I60">
            <v>30</v>
          </cell>
          <cell r="J60">
            <v>90</v>
          </cell>
          <cell r="K60">
            <v>15</v>
          </cell>
          <cell r="L60">
            <v>15</v>
          </cell>
          <cell r="M60">
            <v>30</v>
          </cell>
        </row>
        <row r="61">
          <cell r="B61" t="str">
            <v>BEAT FI STD</v>
          </cell>
          <cell r="D61" t="str">
            <v>HONDA</v>
          </cell>
          <cell r="E61" t="str">
            <v>ACH110CSFMII BEAT FI (WHITE/BLACK)</v>
          </cell>
          <cell r="F61" t="str">
            <v>SCOOTER</v>
          </cell>
          <cell r="G61">
            <v>70998</v>
          </cell>
          <cell r="H61">
            <v>45</v>
          </cell>
          <cell r="I61">
            <v>30</v>
          </cell>
          <cell r="J61">
            <v>90</v>
          </cell>
          <cell r="K61">
            <v>15</v>
          </cell>
          <cell r="L61">
            <v>15</v>
          </cell>
          <cell r="M61">
            <v>30</v>
          </cell>
        </row>
        <row r="62">
          <cell r="B62" t="str">
            <v>BEAT FI STD</v>
          </cell>
          <cell r="D62" t="str">
            <v>HONDA</v>
          </cell>
          <cell r="E62" t="str">
            <v>ACH110CSFM BEAT FI (BLACK)</v>
          </cell>
          <cell r="F62" t="str">
            <v>SCOOTER</v>
          </cell>
          <cell r="G62">
            <v>70998</v>
          </cell>
          <cell r="H62">
            <v>45</v>
          </cell>
          <cell r="I62">
            <v>30</v>
          </cell>
          <cell r="J62">
            <v>90</v>
          </cell>
          <cell r="K62">
            <v>15</v>
          </cell>
          <cell r="L62">
            <v>15</v>
          </cell>
          <cell r="M62">
            <v>30</v>
          </cell>
        </row>
        <row r="63">
          <cell r="B63" t="str">
            <v>BEAT FI STD</v>
          </cell>
          <cell r="D63" t="str">
            <v>HONDA</v>
          </cell>
          <cell r="E63" t="str">
            <v>ACH110CSFMII BEAT FI (GRAY)</v>
          </cell>
          <cell r="F63" t="str">
            <v>SCOOTER</v>
          </cell>
          <cell r="G63">
            <v>70998</v>
          </cell>
          <cell r="H63">
            <v>45</v>
          </cell>
          <cell r="I63">
            <v>30</v>
          </cell>
          <cell r="J63">
            <v>90</v>
          </cell>
          <cell r="K63">
            <v>15</v>
          </cell>
          <cell r="L63">
            <v>15</v>
          </cell>
          <cell r="M63">
            <v>30</v>
          </cell>
        </row>
        <row r="64">
          <cell r="B64" t="str">
            <v>BEAT FI STD</v>
          </cell>
          <cell r="D64" t="str">
            <v>HONDA</v>
          </cell>
          <cell r="E64" t="str">
            <v>ACH110CSFM BEAT FI (RED/BLACK)</v>
          </cell>
          <cell r="F64" t="str">
            <v>SCOOTER</v>
          </cell>
          <cell r="G64">
            <v>70998</v>
          </cell>
          <cell r="H64">
            <v>45</v>
          </cell>
          <cell r="I64">
            <v>30</v>
          </cell>
          <cell r="J64">
            <v>90</v>
          </cell>
          <cell r="K64">
            <v>15</v>
          </cell>
          <cell r="L64">
            <v>15</v>
          </cell>
          <cell r="M64">
            <v>30</v>
          </cell>
        </row>
        <row r="65">
          <cell r="B65" t="str">
            <v>BEAT FI STD</v>
          </cell>
          <cell r="D65" t="str">
            <v>HONDA</v>
          </cell>
          <cell r="E65" t="str">
            <v>ACH110CSFM BEAT FI (ORANGE/BLACK)</v>
          </cell>
          <cell r="F65" t="str">
            <v>SCOOTER</v>
          </cell>
          <cell r="G65">
            <v>70998</v>
          </cell>
          <cell r="H65">
            <v>45</v>
          </cell>
          <cell r="I65">
            <v>30</v>
          </cell>
          <cell r="J65">
            <v>90</v>
          </cell>
          <cell r="K65">
            <v>15</v>
          </cell>
          <cell r="L65">
            <v>15</v>
          </cell>
          <cell r="M65">
            <v>30</v>
          </cell>
        </row>
        <row r="66">
          <cell r="B66" t="str">
            <v>BEAT FI STD</v>
          </cell>
          <cell r="D66" t="str">
            <v>HONDA</v>
          </cell>
          <cell r="E66" t="str">
            <v>ACH110CSFM BEAT FI (BLUE/BLACK)</v>
          </cell>
          <cell r="F66" t="str">
            <v>SCOOTER</v>
          </cell>
          <cell r="G66">
            <v>70998</v>
          </cell>
          <cell r="H66">
            <v>45</v>
          </cell>
          <cell r="I66">
            <v>30</v>
          </cell>
          <cell r="J66">
            <v>90</v>
          </cell>
          <cell r="K66">
            <v>15</v>
          </cell>
          <cell r="L66">
            <v>15</v>
          </cell>
          <cell r="M66">
            <v>30</v>
          </cell>
        </row>
        <row r="67">
          <cell r="B67" t="str">
            <v>BEAT FI PREM</v>
          </cell>
          <cell r="D67" t="str">
            <v>HONDA</v>
          </cell>
          <cell r="E67" t="str">
            <v>ACH110CBTM3 (GRAY/BLACK)</v>
          </cell>
          <cell r="F67" t="str">
            <v>SCOOTER</v>
          </cell>
          <cell r="G67">
            <v>72434</v>
          </cell>
          <cell r="H67">
            <v>45</v>
          </cell>
          <cell r="I67">
            <v>30</v>
          </cell>
          <cell r="J67">
            <v>90</v>
          </cell>
          <cell r="K67">
            <v>15</v>
          </cell>
          <cell r="L67">
            <v>15</v>
          </cell>
          <cell r="M67">
            <v>30</v>
          </cell>
        </row>
        <row r="68">
          <cell r="B68" t="str">
            <v>BEAT FI PREM</v>
          </cell>
          <cell r="D68" t="str">
            <v>HONDA</v>
          </cell>
          <cell r="E68" t="str">
            <v>ACH110CBTM3 (RED/BLACK)</v>
          </cell>
          <cell r="F68" t="str">
            <v>SCOOTER</v>
          </cell>
          <cell r="G68">
            <v>72434</v>
          </cell>
          <cell r="H68">
            <v>45</v>
          </cell>
          <cell r="I68">
            <v>30</v>
          </cell>
          <cell r="J68">
            <v>90</v>
          </cell>
          <cell r="K68">
            <v>15</v>
          </cell>
          <cell r="L68">
            <v>15</v>
          </cell>
          <cell r="M68">
            <v>30</v>
          </cell>
        </row>
        <row r="69">
          <cell r="B69" t="str">
            <v>BEAT FI STD</v>
          </cell>
          <cell r="D69" t="str">
            <v>HONDA</v>
          </cell>
          <cell r="E69" t="str">
            <v>ACH110CSFN (BLACK)</v>
          </cell>
          <cell r="F69" t="str">
            <v>SCOOTER</v>
          </cell>
          <cell r="G69">
            <v>70410</v>
          </cell>
          <cell r="H69">
            <v>45</v>
          </cell>
          <cell r="I69">
            <v>30</v>
          </cell>
          <cell r="J69">
            <v>90</v>
          </cell>
          <cell r="K69">
            <v>15</v>
          </cell>
          <cell r="L69">
            <v>15</v>
          </cell>
          <cell r="M69">
            <v>30</v>
          </cell>
        </row>
        <row r="70">
          <cell r="B70" t="str">
            <v>BEAT FI STD</v>
          </cell>
          <cell r="D70" t="str">
            <v>HONDA</v>
          </cell>
          <cell r="E70" t="str">
            <v>ACH110CSFN (RED/BLACK)</v>
          </cell>
          <cell r="F70" t="str">
            <v>SCOOTER</v>
          </cell>
          <cell r="G70">
            <v>70410</v>
          </cell>
          <cell r="H70">
            <v>45</v>
          </cell>
          <cell r="I70">
            <v>30</v>
          </cell>
          <cell r="J70">
            <v>90</v>
          </cell>
          <cell r="K70">
            <v>15</v>
          </cell>
          <cell r="L70">
            <v>15</v>
          </cell>
          <cell r="M70">
            <v>30</v>
          </cell>
        </row>
        <row r="71">
          <cell r="B71" t="str">
            <v>BEAT FI PREM</v>
          </cell>
          <cell r="D71" t="str">
            <v>HONDA</v>
          </cell>
          <cell r="E71" t="str">
            <v>ACH110CBTN3 (RED/BLACK)</v>
          </cell>
          <cell r="F71" t="str">
            <v>SCOOTER</v>
          </cell>
          <cell r="G71">
            <v>72434</v>
          </cell>
          <cell r="H71">
            <v>45</v>
          </cell>
          <cell r="I71">
            <v>30</v>
          </cell>
          <cell r="J71">
            <v>90</v>
          </cell>
          <cell r="K71">
            <v>15</v>
          </cell>
          <cell r="L71">
            <v>15</v>
          </cell>
          <cell r="M71">
            <v>30</v>
          </cell>
        </row>
        <row r="72">
          <cell r="B72" t="str">
            <v>BEAT FI STD</v>
          </cell>
          <cell r="D72" t="str">
            <v>HONDA</v>
          </cell>
          <cell r="E72" t="str">
            <v>ACH110CSFN (YELLOW/BLACK)</v>
          </cell>
          <cell r="F72" t="str">
            <v>SCOOTER</v>
          </cell>
          <cell r="G72">
            <v>70410</v>
          </cell>
          <cell r="H72">
            <v>45</v>
          </cell>
          <cell r="I72">
            <v>30</v>
          </cell>
          <cell r="J72">
            <v>90</v>
          </cell>
          <cell r="K72">
            <v>15</v>
          </cell>
          <cell r="L72">
            <v>15</v>
          </cell>
          <cell r="M72">
            <v>30</v>
          </cell>
        </row>
        <row r="73">
          <cell r="B73" t="str">
            <v>BEAT FI STD</v>
          </cell>
          <cell r="D73" t="str">
            <v>HONDA</v>
          </cell>
          <cell r="E73" t="str">
            <v>ACH110CSFNII (SILVER/BLACK)</v>
          </cell>
          <cell r="F73" t="str">
            <v>SCOOTER</v>
          </cell>
          <cell r="G73">
            <v>70410</v>
          </cell>
          <cell r="H73">
            <v>45</v>
          </cell>
          <cell r="I73">
            <v>30</v>
          </cell>
          <cell r="J73">
            <v>90</v>
          </cell>
          <cell r="K73">
            <v>15</v>
          </cell>
          <cell r="L73">
            <v>15</v>
          </cell>
          <cell r="M73">
            <v>30</v>
          </cell>
        </row>
        <row r="74">
          <cell r="B74" t="str">
            <v>BEAT FI STD</v>
          </cell>
          <cell r="D74" t="str">
            <v>HONDA</v>
          </cell>
          <cell r="E74" t="str">
            <v>ACH110CSFNII (GRAY/BLACK)</v>
          </cell>
          <cell r="F74" t="str">
            <v>SCOOTER</v>
          </cell>
          <cell r="G74">
            <v>70410</v>
          </cell>
          <cell r="H74">
            <v>45</v>
          </cell>
          <cell r="I74">
            <v>30</v>
          </cell>
          <cell r="J74">
            <v>90</v>
          </cell>
          <cell r="K74">
            <v>15</v>
          </cell>
          <cell r="L74">
            <v>15</v>
          </cell>
          <cell r="M74">
            <v>30</v>
          </cell>
        </row>
        <row r="75">
          <cell r="B75" t="str">
            <v>BEAT FI STD</v>
          </cell>
          <cell r="D75" t="str">
            <v>HONDA</v>
          </cell>
          <cell r="E75" t="str">
            <v>ACH110CBFR-PG (GRAY/BLACK)</v>
          </cell>
          <cell r="F75" t="str">
            <v>SCOOTER</v>
          </cell>
          <cell r="G75">
            <v>70410</v>
          </cell>
          <cell r="H75">
            <v>45</v>
          </cell>
          <cell r="I75">
            <v>30</v>
          </cell>
          <cell r="J75">
            <v>90</v>
          </cell>
          <cell r="K75">
            <v>15</v>
          </cell>
          <cell r="L75">
            <v>15</v>
          </cell>
          <cell r="M75">
            <v>30</v>
          </cell>
        </row>
        <row r="76">
          <cell r="B76" t="str">
            <v>BEAT FI STD</v>
          </cell>
          <cell r="D76" t="str">
            <v>HONDA</v>
          </cell>
          <cell r="E76" t="str">
            <v>ACH110CBFR-RD (RED/BLACK)</v>
          </cell>
          <cell r="F76" t="str">
            <v>SCOOTER</v>
          </cell>
          <cell r="G76">
            <v>70410</v>
          </cell>
          <cell r="H76">
            <v>45</v>
          </cell>
          <cell r="I76">
            <v>30</v>
          </cell>
          <cell r="J76">
            <v>90</v>
          </cell>
          <cell r="K76">
            <v>15</v>
          </cell>
          <cell r="L76">
            <v>15</v>
          </cell>
          <cell r="M76">
            <v>30</v>
          </cell>
        </row>
        <row r="77">
          <cell r="B77" t="str">
            <v>BEAT FI STD</v>
          </cell>
          <cell r="D77" t="str">
            <v>HONDA</v>
          </cell>
          <cell r="E77" t="str">
            <v>ACH110CBFR-PNB (BLUE/BLACK)</v>
          </cell>
          <cell r="F77" t="str">
            <v>SCOOTER</v>
          </cell>
          <cell r="G77">
            <v>70410</v>
          </cell>
          <cell r="H77">
            <v>45</v>
          </cell>
          <cell r="I77">
            <v>30</v>
          </cell>
          <cell r="J77">
            <v>90</v>
          </cell>
          <cell r="K77">
            <v>15</v>
          </cell>
          <cell r="L77">
            <v>15</v>
          </cell>
          <cell r="M77">
            <v>30</v>
          </cell>
        </row>
        <row r="78">
          <cell r="B78" t="str">
            <v>BEAT FI STD</v>
          </cell>
          <cell r="D78" t="str">
            <v>HONDA</v>
          </cell>
          <cell r="E78" t="str">
            <v>ACH110CBFR-YW (YELLOW/BLACK)</v>
          </cell>
          <cell r="F78" t="str">
            <v>SCOOTER</v>
          </cell>
          <cell r="G78">
            <v>70410</v>
          </cell>
          <cell r="H78">
            <v>45</v>
          </cell>
          <cell r="I78">
            <v>30</v>
          </cell>
          <cell r="J78">
            <v>90</v>
          </cell>
          <cell r="K78">
            <v>15</v>
          </cell>
          <cell r="L78">
            <v>15</v>
          </cell>
          <cell r="M78">
            <v>30</v>
          </cell>
        </row>
        <row r="79">
          <cell r="B79" t="str">
            <v>BEAT FI PREM</v>
          </cell>
          <cell r="D79" t="str">
            <v>HONDA</v>
          </cell>
          <cell r="E79" t="str">
            <v>ACH110CBFR3-MAG (GRAY)</v>
          </cell>
          <cell r="F79" t="str">
            <v>SCOOTER</v>
          </cell>
          <cell r="G79">
            <v>72434</v>
          </cell>
          <cell r="H79">
            <v>45</v>
          </cell>
          <cell r="I79">
            <v>30</v>
          </cell>
          <cell r="J79">
            <v>90</v>
          </cell>
          <cell r="K79">
            <v>15</v>
          </cell>
          <cell r="L79">
            <v>15</v>
          </cell>
          <cell r="M79">
            <v>30</v>
          </cell>
        </row>
        <row r="80">
          <cell r="B80" t="str">
            <v>BEAT FI PREM</v>
          </cell>
          <cell r="D80" t="str">
            <v>HONDA</v>
          </cell>
          <cell r="E80" t="str">
            <v>ACH110CBFR3-PW (WHITE)</v>
          </cell>
          <cell r="F80" t="str">
            <v>SCOOTER</v>
          </cell>
          <cell r="G80">
            <v>72434</v>
          </cell>
          <cell r="H80">
            <v>45</v>
          </cell>
          <cell r="I80">
            <v>30</v>
          </cell>
          <cell r="J80">
            <v>90</v>
          </cell>
          <cell r="K80">
            <v>15</v>
          </cell>
          <cell r="L80">
            <v>15</v>
          </cell>
          <cell r="M80">
            <v>30</v>
          </cell>
        </row>
        <row r="81">
          <cell r="B81" t="str">
            <v>BOXER</v>
          </cell>
          <cell r="D81" t="str">
            <v>KAWASAKI</v>
          </cell>
          <cell r="E81" t="str">
            <v>CT150B (RED)</v>
          </cell>
          <cell r="F81" t="str">
            <v>BUSINESS</v>
          </cell>
          <cell r="G81">
            <v>71560</v>
          </cell>
          <cell r="H81">
            <v>45</v>
          </cell>
          <cell r="I81">
            <v>30</v>
          </cell>
          <cell r="J81">
            <v>90</v>
          </cell>
          <cell r="K81">
            <v>15</v>
          </cell>
          <cell r="L81">
            <v>15</v>
          </cell>
          <cell r="M81">
            <v>30</v>
          </cell>
        </row>
        <row r="82">
          <cell r="B82" t="str">
            <v>BURGMAN STREET</v>
          </cell>
          <cell r="C82" t="str">
            <v>OLD MODEL CODE</v>
          </cell>
          <cell r="D82" t="str">
            <v>SUZUKI</v>
          </cell>
          <cell r="E82" t="str">
            <v>UB125NB BURGMAN STREET (GRAY)</v>
          </cell>
          <cell r="F82" t="str">
            <v>SCOOTER</v>
          </cell>
          <cell r="G82">
            <v>78872</v>
          </cell>
          <cell r="H82">
            <v>45</v>
          </cell>
          <cell r="I82">
            <v>30</v>
          </cell>
          <cell r="J82">
            <v>90</v>
          </cell>
          <cell r="K82">
            <v>15</v>
          </cell>
          <cell r="L82">
            <v>15</v>
          </cell>
          <cell r="M82">
            <v>30</v>
          </cell>
        </row>
        <row r="83">
          <cell r="B83" t="str">
            <v>BURGMAN STREET</v>
          </cell>
          <cell r="C83" t="str">
            <v>OLD MODEL CODE</v>
          </cell>
          <cell r="D83" t="str">
            <v>SUZUKI</v>
          </cell>
          <cell r="E83" t="str">
            <v>UB125NB BURGMAN STREET (BLACK)</v>
          </cell>
          <cell r="F83" t="str">
            <v>SCOOTER</v>
          </cell>
          <cell r="G83">
            <v>78872</v>
          </cell>
          <cell r="H83">
            <v>45</v>
          </cell>
          <cell r="I83">
            <v>30</v>
          </cell>
          <cell r="J83">
            <v>90</v>
          </cell>
          <cell r="K83">
            <v>15</v>
          </cell>
          <cell r="L83">
            <v>15</v>
          </cell>
          <cell r="M83">
            <v>30</v>
          </cell>
        </row>
        <row r="84">
          <cell r="B84" t="str">
            <v>BURGMAN STREET</v>
          </cell>
          <cell r="C84" t="str">
            <v>OLD MODEL CODE</v>
          </cell>
          <cell r="D84" t="str">
            <v>SUZUKI</v>
          </cell>
          <cell r="E84" t="str">
            <v>UB125NB BURGMAN STREET (WHITE)</v>
          </cell>
          <cell r="F84" t="str">
            <v>SCOOTER</v>
          </cell>
          <cell r="G84">
            <v>78872</v>
          </cell>
          <cell r="H84">
            <v>45</v>
          </cell>
          <cell r="I84">
            <v>30</v>
          </cell>
          <cell r="J84">
            <v>90</v>
          </cell>
          <cell r="K84">
            <v>15</v>
          </cell>
          <cell r="L84">
            <v>15</v>
          </cell>
          <cell r="M84">
            <v>30</v>
          </cell>
        </row>
        <row r="85">
          <cell r="B85" t="str">
            <v>BURGMAN STREET</v>
          </cell>
          <cell r="D85" t="str">
            <v>SUZUKI</v>
          </cell>
          <cell r="E85" t="str">
            <v>UB125NMX BURGMAN STREET-MRED</v>
          </cell>
          <cell r="F85" t="str">
            <v>SCOOTER</v>
          </cell>
          <cell r="G85">
            <v>78872</v>
          </cell>
          <cell r="H85">
            <v>45</v>
          </cell>
          <cell r="I85">
            <v>30</v>
          </cell>
          <cell r="J85">
            <v>90</v>
          </cell>
          <cell r="K85">
            <v>15</v>
          </cell>
          <cell r="L85">
            <v>15</v>
          </cell>
          <cell r="M85">
            <v>30</v>
          </cell>
        </row>
        <row r="86">
          <cell r="B86" t="str">
            <v>BURGMAN STREET</v>
          </cell>
          <cell r="D86" t="str">
            <v>SUZUKI</v>
          </cell>
          <cell r="E86" t="str">
            <v>UB125NMX BURGMAN STREET-BLUE</v>
          </cell>
          <cell r="F86" t="str">
            <v>SCOOTER</v>
          </cell>
          <cell r="G86">
            <v>78872</v>
          </cell>
          <cell r="H86">
            <v>45</v>
          </cell>
          <cell r="I86">
            <v>30</v>
          </cell>
          <cell r="J86">
            <v>90</v>
          </cell>
          <cell r="K86">
            <v>15</v>
          </cell>
          <cell r="L86">
            <v>15</v>
          </cell>
          <cell r="M86">
            <v>30</v>
          </cell>
        </row>
        <row r="87">
          <cell r="B87" t="str">
            <v>BURGMAN STREET</v>
          </cell>
          <cell r="D87" t="str">
            <v>SUZUKI</v>
          </cell>
          <cell r="E87" t="str">
            <v>UB125NMX BURGMAN STREET-MBLACK</v>
          </cell>
          <cell r="F87" t="str">
            <v>SCOOTER</v>
          </cell>
          <cell r="G87">
            <v>78872</v>
          </cell>
          <cell r="H87">
            <v>45</v>
          </cell>
          <cell r="I87">
            <v>30</v>
          </cell>
          <cell r="J87">
            <v>90</v>
          </cell>
          <cell r="K87">
            <v>15</v>
          </cell>
          <cell r="L87">
            <v>15</v>
          </cell>
          <cell r="M87">
            <v>30</v>
          </cell>
        </row>
        <row r="88">
          <cell r="B88" t="str">
            <v>BURGMAN STREET</v>
          </cell>
          <cell r="D88" t="str">
            <v>SUZUKI</v>
          </cell>
          <cell r="E88" t="str">
            <v>UB125NMX BURGMAN STREET-WHITE</v>
          </cell>
          <cell r="F88" t="str">
            <v>SCOOTER</v>
          </cell>
          <cell r="G88">
            <v>78872</v>
          </cell>
          <cell r="H88">
            <v>45</v>
          </cell>
          <cell r="I88">
            <v>30</v>
          </cell>
          <cell r="J88">
            <v>90</v>
          </cell>
          <cell r="K88">
            <v>15</v>
          </cell>
          <cell r="L88">
            <v>15</v>
          </cell>
          <cell r="M88">
            <v>30</v>
          </cell>
        </row>
        <row r="89">
          <cell r="B89" t="str">
            <v>BURGMAN STREET EX</v>
          </cell>
          <cell r="D89" t="str">
            <v>SUZUKI</v>
          </cell>
          <cell r="E89" t="str">
            <v>UB125LNM-1BRNZE BURGMAN STREET EX</v>
          </cell>
          <cell r="F89" t="str">
            <v>SCOOTER</v>
          </cell>
          <cell r="G89">
            <v>89662</v>
          </cell>
          <cell r="H89">
            <v>45</v>
          </cell>
          <cell r="I89">
            <v>30</v>
          </cell>
          <cell r="J89">
            <v>90</v>
          </cell>
          <cell r="K89">
            <v>15</v>
          </cell>
          <cell r="L89">
            <v>15</v>
          </cell>
          <cell r="M89">
            <v>30</v>
          </cell>
        </row>
        <row r="90">
          <cell r="B90" t="str">
            <v>BURGMAN STREET EX</v>
          </cell>
          <cell r="D90" t="str">
            <v>SUZUKI</v>
          </cell>
          <cell r="E90" t="str">
            <v>UB125LNM-1MBLCK BURGMAN STREET EX</v>
          </cell>
          <cell r="F90" t="str">
            <v>SCOOTER</v>
          </cell>
          <cell r="G90">
            <v>89662</v>
          </cell>
          <cell r="H90">
            <v>45</v>
          </cell>
          <cell r="I90">
            <v>30</v>
          </cell>
          <cell r="J90">
            <v>90</v>
          </cell>
          <cell r="K90">
            <v>15</v>
          </cell>
          <cell r="L90">
            <v>15</v>
          </cell>
          <cell r="M90">
            <v>30</v>
          </cell>
        </row>
        <row r="91">
          <cell r="B91" t="str">
            <v>CB150R</v>
          </cell>
          <cell r="D91" t="str">
            <v>HONDA</v>
          </cell>
          <cell r="E91" t="str">
            <v>CBR150RMIV-WR</v>
          </cell>
          <cell r="F91" t="str">
            <v>SPORTS TYPE</v>
          </cell>
          <cell r="G91">
            <v>173910</v>
          </cell>
          <cell r="H91">
            <v>45</v>
          </cell>
          <cell r="I91">
            <v>30</v>
          </cell>
          <cell r="J91">
            <v>90</v>
          </cell>
          <cell r="K91">
            <v>15</v>
          </cell>
          <cell r="L91">
            <v>15</v>
          </cell>
          <cell r="M91">
            <v>30</v>
          </cell>
        </row>
        <row r="92">
          <cell r="B92" t="str">
            <v>CB150R</v>
          </cell>
          <cell r="D92" t="str">
            <v>HONDA</v>
          </cell>
          <cell r="E92" t="str">
            <v>CBR150RAPIV-WR</v>
          </cell>
          <cell r="F92" t="str">
            <v>SPORTS TYPE</v>
          </cell>
          <cell r="G92">
            <v>173910</v>
          </cell>
          <cell r="H92">
            <v>45</v>
          </cell>
          <cell r="I92">
            <v>30</v>
          </cell>
          <cell r="J92">
            <v>90</v>
          </cell>
          <cell r="K92">
            <v>15</v>
          </cell>
          <cell r="L92">
            <v>15</v>
          </cell>
          <cell r="M92">
            <v>30</v>
          </cell>
        </row>
        <row r="93">
          <cell r="B93" t="str">
            <v>CB150X</v>
          </cell>
          <cell r="D93" t="str">
            <v>HONDA</v>
          </cell>
          <cell r="E93" t="str">
            <v>CB150XN ( RED / SILVER)</v>
          </cell>
          <cell r="F93" t="str">
            <v>SPORTS TYPE</v>
          </cell>
          <cell r="G93">
            <v>156098</v>
          </cell>
          <cell r="H93">
            <v>45</v>
          </cell>
          <cell r="I93">
            <v>30</v>
          </cell>
          <cell r="J93">
            <v>90</v>
          </cell>
          <cell r="K93">
            <v>15</v>
          </cell>
          <cell r="L93">
            <v>15</v>
          </cell>
          <cell r="M93">
            <v>30</v>
          </cell>
        </row>
        <row r="94">
          <cell r="B94" t="str">
            <v>CB150X</v>
          </cell>
          <cell r="D94" t="str">
            <v>HONDA</v>
          </cell>
          <cell r="E94" t="str">
            <v>CB150XNII (BLACK/SILVER)</v>
          </cell>
          <cell r="F94" t="str">
            <v>SPORTS TYPE</v>
          </cell>
          <cell r="G94">
            <v>156098</v>
          </cell>
          <cell r="H94">
            <v>45</v>
          </cell>
          <cell r="I94">
            <v>30</v>
          </cell>
          <cell r="J94">
            <v>90</v>
          </cell>
          <cell r="K94">
            <v>15</v>
          </cell>
          <cell r="L94">
            <v>15</v>
          </cell>
          <cell r="M94">
            <v>30</v>
          </cell>
        </row>
        <row r="95">
          <cell r="B95" t="str">
            <v>CLICK125 FI</v>
          </cell>
          <cell r="C95" t="str">
            <v>OLD MODEL CODE</v>
          </cell>
          <cell r="D95" t="str">
            <v>HONDA</v>
          </cell>
          <cell r="E95" t="str">
            <v>ACB125CBFL (RED/BLACK)</v>
          </cell>
          <cell r="F95" t="str">
            <v>SCOOTER</v>
          </cell>
          <cell r="G95">
            <v>80070</v>
          </cell>
          <cell r="H95">
            <v>45</v>
          </cell>
          <cell r="I95">
            <v>30</v>
          </cell>
          <cell r="J95">
            <v>90</v>
          </cell>
          <cell r="K95">
            <v>15</v>
          </cell>
          <cell r="L95">
            <v>15</v>
          </cell>
          <cell r="M95">
            <v>30</v>
          </cell>
        </row>
        <row r="96">
          <cell r="B96" t="str">
            <v>CLICK125 FI</v>
          </cell>
          <cell r="C96" t="str">
            <v>OLD MODEL CODE</v>
          </cell>
          <cell r="D96" t="str">
            <v>HONDA</v>
          </cell>
          <cell r="E96" t="str">
            <v>ACB125CBFL (BLUE/BLACK)</v>
          </cell>
          <cell r="F96" t="str">
            <v>SCOOTER</v>
          </cell>
          <cell r="G96">
            <v>80070</v>
          </cell>
          <cell r="H96">
            <v>45</v>
          </cell>
          <cell r="I96">
            <v>30</v>
          </cell>
          <cell r="J96">
            <v>90</v>
          </cell>
          <cell r="K96">
            <v>15</v>
          </cell>
          <cell r="L96">
            <v>15</v>
          </cell>
          <cell r="M96">
            <v>30</v>
          </cell>
        </row>
        <row r="97">
          <cell r="B97" t="str">
            <v>CLICK125 FI</v>
          </cell>
          <cell r="C97" t="str">
            <v>OLD MODEL CODE</v>
          </cell>
          <cell r="D97" t="str">
            <v>HONDA</v>
          </cell>
          <cell r="E97" t="str">
            <v>ACB125CBFL (BLACK)</v>
          </cell>
          <cell r="F97" t="str">
            <v>SCOOTER</v>
          </cell>
          <cell r="G97">
            <v>80070</v>
          </cell>
          <cell r="H97">
            <v>45</v>
          </cell>
          <cell r="I97">
            <v>30</v>
          </cell>
          <cell r="J97">
            <v>90</v>
          </cell>
          <cell r="K97">
            <v>15</v>
          </cell>
          <cell r="L97">
            <v>15</v>
          </cell>
          <cell r="M97">
            <v>30</v>
          </cell>
        </row>
        <row r="98">
          <cell r="B98" t="str">
            <v>CLICK125 FI</v>
          </cell>
          <cell r="C98" t="str">
            <v>OLD MODEL CODE</v>
          </cell>
          <cell r="D98" t="str">
            <v>HONDA</v>
          </cell>
          <cell r="E98" t="str">
            <v>ACB125CBFL (ORANGE/BLACK)</v>
          </cell>
          <cell r="F98" t="str">
            <v>SCOOTER</v>
          </cell>
          <cell r="G98">
            <v>80070</v>
          </cell>
          <cell r="H98">
            <v>45</v>
          </cell>
          <cell r="I98">
            <v>30</v>
          </cell>
          <cell r="J98">
            <v>90</v>
          </cell>
          <cell r="K98">
            <v>15</v>
          </cell>
          <cell r="L98">
            <v>15</v>
          </cell>
          <cell r="M98">
            <v>30</v>
          </cell>
        </row>
        <row r="99">
          <cell r="B99" t="str">
            <v>CLICK125 FI</v>
          </cell>
          <cell r="C99" t="str">
            <v>OLD MODEL CODE</v>
          </cell>
          <cell r="D99" t="str">
            <v>HONDA</v>
          </cell>
          <cell r="E99" t="str">
            <v>ACB125CBFM(BLUE/BLACK)</v>
          </cell>
          <cell r="F99" t="str">
            <v>SCOOTER</v>
          </cell>
          <cell r="G99">
            <v>80070</v>
          </cell>
          <cell r="H99">
            <v>45</v>
          </cell>
          <cell r="I99">
            <v>30</v>
          </cell>
          <cell r="J99">
            <v>90</v>
          </cell>
          <cell r="K99">
            <v>15</v>
          </cell>
          <cell r="L99">
            <v>15</v>
          </cell>
          <cell r="M99">
            <v>30</v>
          </cell>
        </row>
        <row r="100">
          <cell r="B100" t="str">
            <v>CLICK125 FI</v>
          </cell>
          <cell r="C100" t="str">
            <v>OLD MODEL CODE</v>
          </cell>
          <cell r="D100" t="str">
            <v>HONDA</v>
          </cell>
          <cell r="E100" t="str">
            <v>ACB125CBFM(RED/BLACK)</v>
          </cell>
          <cell r="F100" t="str">
            <v>SCOOTER</v>
          </cell>
          <cell r="G100">
            <v>80070</v>
          </cell>
          <cell r="H100">
            <v>45</v>
          </cell>
          <cell r="I100">
            <v>30</v>
          </cell>
          <cell r="J100">
            <v>90</v>
          </cell>
          <cell r="K100">
            <v>15</v>
          </cell>
          <cell r="L100">
            <v>15</v>
          </cell>
          <cell r="M100">
            <v>30</v>
          </cell>
        </row>
        <row r="101">
          <cell r="B101" t="str">
            <v>CLICK125 FI</v>
          </cell>
          <cell r="C101" t="str">
            <v>OLD MODEL CODE</v>
          </cell>
          <cell r="D101" t="str">
            <v>HONDA</v>
          </cell>
          <cell r="E101" t="str">
            <v>ACB125CBFM(BLACK)</v>
          </cell>
          <cell r="F101" t="str">
            <v>SCOOTER</v>
          </cell>
          <cell r="G101">
            <v>80070</v>
          </cell>
          <cell r="H101">
            <v>45</v>
          </cell>
          <cell r="I101">
            <v>30</v>
          </cell>
          <cell r="J101">
            <v>90</v>
          </cell>
          <cell r="K101">
            <v>15</v>
          </cell>
          <cell r="L101">
            <v>15</v>
          </cell>
          <cell r="M101">
            <v>30</v>
          </cell>
        </row>
        <row r="102">
          <cell r="B102" t="str">
            <v>CLICK125 FI</v>
          </cell>
          <cell r="C102" t="str">
            <v>OLD MODEL CODE</v>
          </cell>
          <cell r="D102" t="str">
            <v>HONDA</v>
          </cell>
          <cell r="E102" t="str">
            <v>ACB125CBFM(ORANGE/BLACK)</v>
          </cell>
          <cell r="F102" t="str">
            <v>SCOOTER</v>
          </cell>
          <cell r="G102">
            <v>80070</v>
          </cell>
          <cell r="H102">
            <v>45</v>
          </cell>
          <cell r="I102">
            <v>30</v>
          </cell>
          <cell r="J102">
            <v>90</v>
          </cell>
          <cell r="K102">
            <v>15</v>
          </cell>
          <cell r="L102">
            <v>15</v>
          </cell>
          <cell r="M102">
            <v>30</v>
          </cell>
        </row>
        <row r="103">
          <cell r="B103" t="str">
            <v>CLICK125 FI</v>
          </cell>
          <cell r="D103" t="str">
            <v>HONDA</v>
          </cell>
          <cell r="E103" t="str">
            <v>ACB125CBFN (WHITE/BLACK)</v>
          </cell>
          <cell r="F103" t="str">
            <v>SCOOTER</v>
          </cell>
          <cell r="G103">
            <v>80070</v>
          </cell>
          <cell r="H103">
            <v>45</v>
          </cell>
          <cell r="I103">
            <v>30</v>
          </cell>
          <cell r="J103">
            <v>90</v>
          </cell>
          <cell r="K103">
            <v>15</v>
          </cell>
          <cell r="L103">
            <v>15</v>
          </cell>
          <cell r="M103">
            <v>30</v>
          </cell>
        </row>
        <row r="104">
          <cell r="B104" t="str">
            <v>CLICK125 FI</v>
          </cell>
          <cell r="D104" t="str">
            <v>HONDA</v>
          </cell>
          <cell r="E104" t="str">
            <v>ACB125CBFN (BLUE/BLACK)</v>
          </cell>
          <cell r="F104" t="str">
            <v>SCOOTER</v>
          </cell>
          <cell r="G104">
            <v>80070</v>
          </cell>
          <cell r="H104">
            <v>45</v>
          </cell>
          <cell r="I104">
            <v>30</v>
          </cell>
          <cell r="J104">
            <v>90</v>
          </cell>
          <cell r="K104">
            <v>15</v>
          </cell>
          <cell r="L104">
            <v>15</v>
          </cell>
          <cell r="M104">
            <v>30</v>
          </cell>
        </row>
        <row r="105">
          <cell r="B105" t="str">
            <v>CLICK125 FI</v>
          </cell>
          <cell r="D105" t="str">
            <v>HONDA</v>
          </cell>
          <cell r="E105" t="str">
            <v>ACB125CBFN (RED/BLACK)</v>
          </cell>
          <cell r="F105" t="str">
            <v>SCOOTER</v>
          </cell>
          <cell r="G105">
            <v>80070</v>
          </cell>
          <cell r="H105">
            <v>45</v>
          </cell>
          <cell r="I105">
            <v>30</v>
          </cell>
          <cell r="J105">
            <v>90</v>
          </cell>
          <cell r="K105">
            <v>15</v>
          </cell>
          <cell r="L105">
            <v>15</v>
          </cell>
          <cell r="M105">
            <v>30</v>
          </cell>
        </row>
        <row r="106">
          <cell r="B106" t="str">
            <v>CLICK125 FI</v>
          </cell>
          <cell r="D106" t="str">
            <v>HONDA</v>
          </cell>
          <cell r="E106" t="str">
            <v>ACB125CBFN (ORANGE/BLACK)</v>
          </cell>
          <cell r="F106" t="str">
            <v>SCOOTER</v>
          </cell>
          <cell r="G106">
            <v>80070</v>
          </cell>
          <cell r="H106">
            <v>45</v>
          </cell>
          <cell r="I106">
            <v>30</v>
          </cell>
          <cell r="J106">
            <v>90</v>
          </cell>
          <cell r="K106">
            <v>15</v>
          </cell>
          <cell r="L106">
            <v>15</v>
          </cell>
          <cell r="M106">
            <v>30</v>
          </cell>
        </row>
        <row r="107">
          <cell r="B107" t="str">
            <v>CLICK125 FI</v>
          </cell>
          <cell r="D107" t="str">
            <v>HONDA</v>
          </cell>
          <cell r="E107" t="str">
            <v>ACB125CBFN (BLACK)</v>
          </cell>
          <cell r="F107" t="str">
            <v>SCOOTER</v>
          </cell>
          <cell r="G107">
            <v>80070</v>
          </cell>
          <cell r="H107">
            <v>45</v>
          </cell>
          <cell r="I107">
            <v>30</v>
          </cell>
          <cell r="J107">
            <v>90</v>
          </cell>
          <cell r="K107">
            <v>15</v>
          </cell>
          <cell r="L107">
            <v>15</v>
          </cell>
          <cell r="M107">
            <v>30</v>
          </cell>
        </row>
        <row r="108">
          <cell r="B108" t="str">
            <v>CLICK125 FI</v>
          </cell>
          <cell r="D108" t="str">
            <v>HONDA</v>
          </cell>
          <cell r="E108" t="str">
            <v>ACB125CBFPII-OB CLICK125 (BLACK)</v>
          </cell>
          <cell r="F108" t="str">
            <v>SCOOTER</v>
          </cell>
          <cell r="G108">
            <v>80070</v>
          </cell>
          <cell r="H108">
            <v>45</v>
          </cell>
          <cell r="I108">
            <v>30</v>
          </cell>
          <cell r="J108">
            <v>90</v>
          </cell>
          <cell r="K108">
            <v>15</v>
          </cell>
          <cell r="L108">
            <v>15</v>
          </cell>
          <cell r="M108">
            <v>30</v>
          </cell>
        </row>
        <row r="109">
          <cell r="B109" t="str">
            <v>CLICK125 FI</v>
          </cell>
          <cell r="D109" t="str">
            <v>HONDA</v>
          </cell>
          <cell r="E109" t="str">
            <v>ACB125CBFPII-CR CLICK125 (RED)</v>
          </cell>
          <cell r="F109" t="str">
            <v>SCOOTER</v>
          </cell>
          <cell r="G109">
            <v>80070</v>
          </cell>
          <cell r="H109">
            <v>45</v>
          </cell>
          <cell r="I109">
            <v>30</v>
          </cell>
          <cell r="J109">
            <v>90</v>
          </cell>
          <cell r="K109">
            <v>15</v>
          </cell>
          <cell r="L109">
            <v>15</v>
          </cell>
          <cell r="M109">
            <v>30</v>
          </cell>
        </row>
        <row r="110">
          <cell r="B110" t="str">
            <v>CLICK125 FI</v>
          </cell>
          <cell r="D110" t="str">
            <v>HONDA</v>
          </cell>
          <cell r="E110" t="str">
            <v>ACB125CBFPII-PG CLICK125 (GRAY)</v>
          </cell>
          <cell r="F110" t="str">
            <v>SCOOTER</v>
          </cell>
          <cell r="G110">
            <v>80070</v>
          </cell>
          <cell r="H110">
            <v>45</v>
          </cell>
          <cell r="I110">
            <v>30</v>
          </cell>
          <cell r="J110">
            <v>90</v>
          </cell>
          <cell r="K110">
            <v>15</v>
          </cell>
          <cell r="L110">
            <v>15</v>
          </cell>
          <cell r="M110">
            <v>30</v>
          </cell>
        </row>
        <row r="111">
          <cell r="B111" t="str">
            <v>CLICK125 FI</v>
          </cell>
          <cell r="D111" t="str">
            <v>HONDA</v>
          </cell>
          <cell r="E111" t="str">
            <v>ACB125CBFPII-SB CLICK125 (BLUE)</v>
          </cell>
          <cell r="F111" t="str">
            <v>SCOOTER</v>
          </cell>
          <cell r="G111">
            <v>80070</v>
          </cell>
          <cell r="H111">
            <v>45</v>
          </cell>
          <cell r="I111">
            <v>30</v>
          </cell>
          <cell r="J111">
            <v>90</v>
          </cell>
          <cell r="K111">
            <v>15</v>
          </cell>
          <cell r="L111">
            <v>15</v>
          </cell>
          <cell r="M111">
            <v>30</v>
          </cell>
        </row>
        <row r="112">
          <cell r="B112" t="str">
            <v>CLICK125 FI</v>
          </cell>
          <cell r="D112" t="str">
            <v>HONDA</v>
          </cell>
          <cell r="E112" t="str">
            <v>ACB125CBFPII-PW CLICK125 (WHITE)</v>
          </cell>
          <cell r="F112" t="str">
            <v>SCOOTER</v>
          </cell>
          <cell r="G112">
            <v>80070</v>
          </cell>
          <cell r="H112">
            <v>45</v>
          </cell>
          <cell r="I112">
            <v>30</v>
          </cell>
          <cell r="J112">
            <v>90</v>
          </cell>
          <cell r="K112">
            <v>15</v>
          </cell>
          <cell r="L112">
            <v>15</v>
          </cell>
          <cell r="M112">
            <v>30</v>
          </cell>
        </row>
        <row r="113">
          <cell r="B113" t="str">
            <v>CLICK125 FI</v>
          </cell>
          <cell r="D113" t="str">
            <v>HONDA</v>
          </cell>
          <cell r="E113" t="str">
            <v>ACB125CBFRII-OB CLICK125 (BLACK)</v>
          </cell>
          <cell r="F113" t="str">
            <v>SCOOTER</v>
          </cell>
          <cell r="G113">
            <v>80070</v>
          </cell>
          <cell r="H113">
            <v>45</v>
          </cell>
          <cell r="I113">
            <v>30</v>
          </cell>
          <cell r="J113">
            <v>90</v>
          </cell>
          <cell r="K113">
            <v>15</v>
          </cell>
          <cell r="L113">
            <v>15</v>
          </cell>
          <cell r="M113">
            <v>30</v>
          </cell>
        </row>
        <row r="114">
          <cell r="B114" t="str">
            <v>CLICK125 FI</v>
          </cell>
          <cell r="D114" t="str">
            <v>HONDA</v>
          </cell>
          <cell r="E114" t="str">
            <v>ACB125CBFRII-CR CLICK125 (RED)</v>
          </cell>
          <cell r="F114" t="str">
            <v>SCOOTER</v>
          </cell>
          <cell r="G114">
            <v>80070</v>
          </cell>
          <cell r="H114">
            <v>45</v>
          </cell>
          <cell r="I114">
            <v>30</v>
          </cell>
          <cell r="J114">
            <v>90</v>
          </cell>
          <cell r="K114">
            <v>15</v>
          </cell>
          <cell r="L114">
            <v>15</v>
          </cell>
          <cell r="M114">
            <v>30</v>
          </cell>
        </row>
        <row r="115">
          <cell r="B115" t="str">
            <v>CLICK125 FI</v>
          </cell>
          <cell r="D115" t="str">
            <v>HONDA</v>
          </cell>
          <cell r="E115" t="str">
            <v>ACB125CBFRII-PG CLICK125 (GRAY)</v>
          </cell>
          <cell r="F115" t="str">
            <v>SCOOTER</v>
          </cell>
          <cell r="G115">
            <v>80070</v>
          </cell>
          <cell r="H115">
            <v>45</v>
          </cell>
          <cell r="I115">
            <v>30</v>
          </cell>
          <cell r="J115">
            <v>90</v>
          </cell>
          <cell r="K115">
            <v>15</v>
          </cell>
          <cell r="L115">
            <v>15</v>
          </cell>
          <cell r="M115">
            <v>30</v>
          </cell>
        </row>
        <row r="116">
          <cell r="B116" t="str">
            <v>CLICK125 FI</v>
          </cell>
          <cell r="D116" t="str">
            <v>HONDA</v>
          </cell>
          <cell r="E116" t="str">
            <v>ACB125CBFRII-SB CLICK125 (BLUE)</v>
          </cell>
          <cell r="F116" t="str">
            <v>SCOOTER</v>
          </cell>
          <cell r="G116">
            <v>80070</v>
          </cell>
          <cell r="H116">
            <v>45</v>
          </cell>
          <cell r="I116">
            <v>30</v>
          </cell>
          <cell r="J116">
            <v>90</v>
          </cell>
          <cell r="K116">
            <v>15</v>
          </cell>
          <cell r="L116">
            <v>15</v>
          </cell>
          <cell r="M116">
            <v>30</v>
          </cell>
        </row>
        <row r="117">
          <cell r="B117" t="str">
            <v>CLICK125 FI</v>
          </cell>
          <cell r="D117" t="str">
            <v>HONDA</v>
          </cell>
          <cell r="E117" t="str">
            <v>ACB125CBFRII-PW CLICK125 (WHITE)</v>
          </cell>
          <cell r="F117" t="str">
            <v>SCOOTER</v>
          </cell>
          <cell r="G117">
            <v>80070</v>
          </cell>
          <cell r="H117">
            <v>45</v>
          </cell>
          <cell r="I117">
            <v>30</v>
          </cell>
          <cell r="J117">
            <v>90</v>
          </cell>
          <cell r="K117">
            <v>15</v>
          </cell>
          <cell r="L117">
            <v>15</v>
          </cell>
          <cell r="M117">
            <v>30</v>
          </cell>
        </row>
        <row r="118">
          <cell r="B118" t="str">
            <v>CLICK160 FI</v>
          </cell>
          <cell r="D118" t="str">
            <v>HONDA</v>
          </cell>
          <cell r="E118" t="str">
            <v>ACB160CBTN-MGB</v>
          </cell>
          <cell r="F118" t="str">
            <v>SCOOTER</v>
          </cell>
          <cell r="G118">
            <v>111258</v>
          </cell>
          <cell r="H118">
            <v>45</v>
          </cell>
          <cell r="I118">
            <v>30</v>
          </cell>
          <cell r="J118">
            <v>90</v>
          </cell>
          <cell r="K118">
            <v>15</v>
          </cell>
          <cell r="L118">
            <v>15</v>
          </cell>
          <cell r="M118">
            <v>30</v>
          </cell>
        </row>
        <row r="119">
          <cell r="B119" t="str">
            <v>CLICK160 FI</v>
          </cell>
          <cell r="D119" t="str">
            <v>HONDA</v>
          </cell>
          <cell r="E119" t="str">
            <v>ACB160CBTN-WC</v>
          </cell>
          <cell r="F119" t="str">
            <v>SCOOTER</v>
          </cell>
          <cell r="G119">
            <v>111258</v>
          </cell>
          <cell r="H119">
            <v>45</v>
          </cell>
          <cell r="I119">
            <v>30</v>
          </cell>
          <cell r="J119">
            <v>90</v>
          </cell>
          <cell r="K119">
            <v>15</v>
          </cell>
          <cell r="L119">
            <v>15</v>
          </cell>
          <cell r="M119">
            <v>30</v>
          </cell>
        </row>
        <row r="120">
          <cell r="B120" t="str">
            <v>CLICK160 FI</v>
          </cell>
          <cell r="D120" t="str">
            <v>HONDA</v>
          </cell>
          <cell r="E120" t="str">
            <v>ACB160CBTN-MSR</v>
          </cell>
          <cell r="F120" t="str">
            <v>SCOOTER</v>
          </cell>
          <cell r="G120">
            <v>111258</v>
          </cell>
          <cell r="H120">
            <v>45</v>
          </cell>
          <cell r="I120">
            <v>30</v>
          </cell>
          <cell r="J120">
            <v>90</v>
          </cell>
          <cell r="K120">
            <v>15</v>
          </cell>
          <cell r="L120">
            <v>15</v>
          </cell>
          <cell r="M120">
            <v>30</v>
          </cell>
        </row>
        <row r="121">
          <cell r="B121" t="str">
            <v>CRF150</v>
          </cell>
          <cell r="C121" t="str">
            <v>OLD MODEL CODE</v>
          </cell>
          <cell r="D121" t="str">
            <v>HONDA</v>
          </cell>
          <cell r="E121" t="str">
            <v>CRF150 LK (BLACK)</v>
          </cell>
          <cell r="F121" t="str">
            <v>SPORTS TYPE</v>
          </cell>
          <cell r="G121">
            <v>140790</v>
          </cell>
          <cell r="H121">
            <v>45</v>
          </cell>
          <cell r="I121">
            <v>30</v>
          </cell>
          <cell r="J121">
            <v>90</v>
          </cell>
          <cell r="K121">
            <v>15</v>
          </cell>
          <cell r="L121">
            <v>15</v>
          </cell>
          <cell r="M121">
            <v>30</v>
          </cell>
        </row>
        <row r="122">
          <cell r="B122" t="str">
            <v>CRF150</v>
          </cell>
          <cell r="C122" t="str">
            <v>OLD MODEL CODE</v>
          </cell>
          <cell r="D122" t="str">
            <v>HONDA</v>
          </cell>
          <cell r="E122" t="str">
            <v>CRF150LL (RED)</v>
          </cell>
          <cell r="F122" t="str">
            <v>SPORTS TYPE</v>
          </cell>
          <cell r="G122">
            <v>140790</v>
          </cell>
          <cell r="H122">
            <v>45</v>
          </cell>
          <cell r="I122">
            <v>30</v>
          </cell>
          <cell r="J122">
            <v>90</v>
          </cell>
          <cell r="K122">
            <v>15</v>
          </cell>
          <cell r="L122">
            <v>15</v>
          </cell>
          <cell r="M122">
            <v>30</v>
          </cell>
        </row>
        <row r="123">
          <cell r="B123" t="str">
            <v>CRF150</v>
          </cell>
          <cell r="C123" t="str">
            <v>OLD MODEL CODE</v>
          </cell>
          <cell r="D123" t="str">
            <v>HONDA</v>
          </cell>
          <cell r="E123" t="str">
            <v>CRF150LLIII</v>
          </cell>
          <cell r="F123" t="str">
            <v>SPORTS TYPE</v>
          </cell>
          <cell r="G123">
            <v>140790</v>
          </cell>
          <cell r="H123">
            <v>45</v>
          </cell>
          <cell r="I123">
            <v>30</v>
          </cell>
          <cell r="J123">
            <v>90</v>
          </cell>
          <cell r="K123">
            <v>15</v>
          </cell>
          <cell r="L123">
            <v>15</v>
          </cell>
          <cell r="M123">
            <v>30</v>
          </cell>
        </row>
        <row r="124">
          <cell r="B124" t="str">
            <v>CRF150</v>
          </cell>
          <cell r="C124" t="str">
            <v>OLD MODEL CODE</v>
          </cell>
          <cell r="D124" t="str">
            <v>HONDA</v>
          </cell>
          <cell r="E124" t="str">
            <v>CRF150LL(RED)</v>
          </cell>
          <cell r="F124" t="str">
            <v>SPORTS TYPE</v>
          </cell>
          <cell r="G124">
            <v>140790</v>
          </cell>
          <cell r="H124">
            <v>45</v>
          </cell>
          <cell r="I124">
            <v>30</v>
          </cell>
          <cell r="J124">
            <v>90</v>
          </cell>
          <cell r="K124">
            <v>15</v>
          </cell>
          <cell r="L124">
            <v>15</v>
          </cell>
          <cell r="M124">
            <v>30</v>
          </cell>
        </row>
        <row r="125">
          <cell r="B125" t="str">
            <v>CRF150</v>
          </cell>
          <cell r="D125" t="str">
            <v>HONDA</v>
          </cell>
          <cell r="E125" t="str">
            <v>CRF150 LNIV (WHITE/BLACK)</v>
          </cell>
          <cell r="F125" t="str">
            <v>SPORTS TYPE</v>
          </cell>
          <cell r="G125">
            <v>140790</v>
          </cell>
          <cell r="H125">
            <v>45</v>
          </cell>
          <cell r="I125">
            <v>30</v>
          </cell>
          <cell r="J125">
            <v>90</v>
          </cell>
          <cell r="K125">
            <v>15</v>
          </cell>
          <cell r="L125">
            <v>15</v>
          </cell>
          <cell r="M125">
            <v>30</v>
          </cell>
        </row>
        <row r="126">
          <cell r="B126" t="str">
            <v>CRF150</v>
          </cell>
          <cell r="D126" t="str">
            <v>HONDA</v>
          </cell>
          <cell r="E126" t="str">
            <v>CRF150LN (RED)</v>
          </cell>
          <cell r="F126" t="str">
            <v>SPORTS TYPE</v>
          </cell>
          <cell r="G126">
            <v>140790</v>
          </cell>
          <cell r="H126">
            <v>45</v>
          </cell>
          <cell r="I126">
            <v>30</v>
          </cell>
          <cell r="J126">
            <v>90</v>
          </cell>
          <cell r="K126">
            <v>15</v>
          </cell>
          <cell r="L126">
            <v>15</v>
          </cell>
          <cell r="M126">
            <v>30</v>
          </cell>
        </row>
        <row r="127">
          <cell r="B127" t="str">
            <v>CRF150</v>
          </cell>
          <cell r="D127" t="str">
            <v>HONDA</v>
          </cell>
          <cell r="E127" t="str">
            <v>CRF150LNIII (BLACK)</v>
          </cell>
          <cell r="F127" t="str">
            <v>SPORTS TYPE</v>
          </cell>
          <cell r="G127">
            <v>140790</v>
          </cell>
          <cell r="H127">
            <v>45</v>
          </cell>
          <cell r="I127">
            <v>30</v>
          </cell>
          <cell r="J127">
            <v>90</v>
          </cell>
          <cell r="K127">
            <v>15</v>
          </cell>
          <cell r="L127">
            <v>15</v>
          </cell>
          <cell r="M127">
            <v>30</v>
          </cell>
        </row>
        <row r="128">
          <cell r="B128" t="str">
            <v>CRF300</v>
          </cell>
          <cell r="D128" t="str">
            <v>HONDA</v>
          </cell>
          <cell r="E128" t="str">
            <v>CRF300LM CRF300 L(RED)</v>
          </cell>
          <cell r="F128" t="str">
            <v>SPORTS TYPE</v>
          </cell>
          <cell r="G128">
            <v>251318</v>
          </cell>
          <cell r="H128">
            <v>45</v>
          </cell>
          <cell r="I128">
            <v>30</v>
          </cell>
          <cell r="J128">
            <v>90</v>
          </cell>
          <cell r="K128">
            <v>15</v>
          </cell>
          <cell r="L128">
            <v>15</v>
          </cell>
          <cell r="M128">
            <v>30</v>
          </cell>
        </row>
        <row r="129">
          <cell r="B129" t="str">
            <v>CRF300</v>
          </cell>
          <cell r="D129" t="str">
            <v>HONDA</v>
          </cell>
          <cell r="E129" t="str">
            <v>CRF300LP</v>
          </cell>
          <cell r="F129" t="str">
            <v>SPORTS TYPE</v>
          </cell>
          <cell r="G129">
            <v>254870</v>
          </cell>
          <cell r="H129">
            <v>45</v>
          </cell>
          <cell r="I129">
            <v>30</v>
          </cell>
          <cell r="J129">
            <v>90</v>
          </cell>
          <cell r="K129">
            <v>15</v>
          </cell>
          <cell r="L129">
            <v>15</v>
          </cell>
          <cell r="M129">
            <v>30</v>
          </cell>
        </row>
        <row r="130">
          <cell r="B130" t="str">
            <v>CRF300 RALLY</v>
          </cell>
          <cell r="D130" t="str">
            <v>HONDA</v>
          </cell>
          <cell r="E130" t="str">
            <v>CRF300LRM CRF300 RALLY(RED)</v>
          </cell>
          <cell r="F130" t="str">
            <v>SPORTS TYPE</v>
          </cell>
          <cell r="G130">
            <v>288118</v>
          </cell>
          <cell r="H130">
            <v>45</v>
          </cell>
          <cell r="I130">
            <v>30</v>
          </cell>
          <cell r="J130">
            <v>90</v>
          </cell>
          <cell r="K130">
            <v>15</v>
          </cell>
          <cell r="L130">
            <v>15</v>
          </cell>
          <cell r="M130">
            <v>30</v>
          </cell>
        </row>
        <row r="131">
          <cell r="B131" t="str">
            <v>CRF300 RALLY</v>
          </cell>
          <cell r="D131" t="str">
            <v>HONDA</v>
          </cell>
          <cell r="E131" t="str">
            <v>CRF300LRP</v>
          </cell>
          <cell r="F131" t="str">
            <v>SPORTS TYPE</v>
          </cell>
          <cell r="G131">
            <v>288118</v>
          </cell>
          <cell r="H131">
            <v>45</v>
          </cell>
          <cell r="I131">
            <v>30</v>
          </cell>
          <cell r="J131">
            <v>90</v>
          </cell>
          <cell r="K131">
            <v>15</v>
          </cell>
          <cell r="L131">
            <v>15</v>
          </cell>
          <cell r="M131">
            <v>30</v>
          </cell>
        </row>
        <row r="132">
          <cell r="B132" t="str">
            <v>CT100</v>
          </cell>
          <cell r="D132" t="str">
            <v>KAWASAKI</v>
          </cell>
          <cell r="E132" t="str">
            <v>CT100 NEW(BLACK/RED)</v>
          </cell>
          <cell r="F132" t="str">
            <v>BUSINESS</v>
          </cell>
          <cell r="G132">
            <v>59528</v>
          </cell>
          <cell r="H132">
            <v>45</v>
          </cell>
          <cell r="I132">
            <v>30</v>
          </cell>
          <cell r="J132">
            <v>90</v>
          </cell>
          <cell r="K132">
            <v>15</v>
          </cell>
          <cell r="L132">
            <v>15</v>
          </cell>
          <cell r="M132">
            <v>30</v>
          </cell>
        </row>
        <row r="133">
          <cell r="B133" t="str">
            <v>CT100</v>
          </cell>
          <cell r="D133" t="str">
            <v>KAWASAKI</v>
          </cell>
          <cell r="E133" t="str">
            <v>CT100 NEW(BLACK/BLUE)</v>
          </cell>
          <cell r="F133" t="str">
            <v>BUSINESS</v>
          </cell>
          <cell r="G133">
            <v>59528</v>
          </cell>
          <cell r="H133">
            <v>45</v>
          </cell>
          <cell r="I133">
            <v>30</v>
          </cell>
          <cell r="J133">
            <v>90</v>
          </cell>
          <cell r="K133">
            <v>15</v>
          </cell>
          <cell r="L133">
            <v>15</v>
          </cell>
          <cell r="M133">
            <v>30</v>
          </cell>
        </row>
        <row r="134">
          <cell r="B134" t="str">
            <v>CT100</v>
          </cell>
          <cell r="D134" t="str">
            <v>KAWASAKI</v>
          </cell>
          <cell r="E134" t="str">
            <v>CT100AD NEW(BLACK/RED)</v>
          </cell>
          <cell r="F134" t="str">
            <v>BUSINESS</v>
          </cell>
          <cell r="G134">
            <v>59528</v>
          </cell>
          <cell r="H134">
            <v>45</v>
          </cell>
          <cell r="I134">
            <v>30</v>
          </cell>
          <cell r="J134">
            <v>90</v>
          </cell>
          <cell r="K134">
            <v>15</v>
          </cell>
          <cell r="L134">
            <v>15</v>
          </cell>
          <cell r="M134">
            <v>30</v>
          </cell>
        </row>
        <row r="135">
          <cell r="B135" t="str">
            <v>CT100</v>
          </cell>
          <cell r="D135" t="str">
            <v>KAWASAKI</v>
          </cell>
          <cell r="E135" t="str">
            <v>CT100AD NEW(BLACK/BLUE)</v>
          </cell>
          <cell r="F135" t="str">
            <v>BUSINESS</v>
          </cell>
          <cell r="G135">
            <v>59528</v>
          </cell>
          <cell r="H135">
            <v>45</v>
          </cell>
          <cell r="I135">
            <v>30</v>
          </cell>
          <cell r="J135">
            <v>90</v>
          </cell>
          <cell r="K135">
            <v>15</v>
          </cell>
          <cell r="L135">
            <v>15</v>
          </cell>
          <cell r="M135">
            <v>30</v>
          </cell>
        </row>
        <row r="136">
          <cell r="B136" t="str">
            <v>CT100</v>
          </cell>
          <cell r="D136" t="str">
            <v>KAWASAKI</v>
          </cell>
          <cell r="E136" t="str">
            <v>CT100CA (BLACK/BLUE)</v>
          </cell>
          <cell r="F136" t="str">
            <v>BUSINESS</v>
          </cell>
          <cell r="G136">
            <v>59528</v>
          </cell>
          <cell r="H136">
            <v>45</v>
          </cell>
          <cell r="I136">
            <v>30</v>
          </cell>
          <cell r="J136">
            <v>90</v>
          </cell>
          <cell r="K136">
            <v>15</v>
          </cell>
          <cell r="L136">
            <v>15</v>
          </cell>
          <cell r="M136">
            <v>30</v>
          </cell>
        </row>
        <row r="137">
          <cell r="B137" t="str">
            <v>CT100</v>
          </cell>
          <cell r="D137" t="str">
            <v>KAWASAKI</v>
          </cell>
          <cell r="E137" t="str">
            <v>CT100CA (BLACK/RED)</v>
          </cell>
          <cell r="F137" t="str">
            <v>BUSINESS</v>
          </cell>
          <cell r="G137">
            <v>59528</v>
          </cell>
          <cell r="H137">
            <v>45</v>
          </cell>
          <cell r="I137">
            <v>30</v>
          </cell>
          <cell r="J137">
            <v>90</v>
          </cell>
          <cell r="K137">
            <v>15</v>
          </cell>
          <cell r="L137">
            <v>15</v>
          </cell>
          <cell r="M137">
            <v>30</v>
          </cell>
        </row>
        <row r="138">
          <cell r="B138" t="str">
            <v>CT100</v>
          </cell>
          <cell r="D138" t="str">
            <v>KAWASAKI</v>
          </cell>
          <cell r="E138" t="str">
            <v>CT100CB (BLACK/RED)</v>
          </cell>
          <cell r="F138" t="str">
            <v>BUSINESS</v>
          </cell>
          <cell r="G138">
            <v>59528</v>
          </cell>
          <cell r="H138">
            <v>45</v>
          </cell>
          <cell r="I138">
            <v>30</v>
          </cell>
          <cell r="J138">
            <v>90</v>
          </cell>
          <cell r="K138">
            <v>15</v>
          </cell>
          <cell r="L138">
            <v>15</v>
          </cell>
          <cell r="M138">
            <v>30</v>
          </cell>
        </row>
        <row r="139">
          <cell r="B139" t="str">
            <v>CT100</v>
          </cell>
          <cell r="D139" t="str">
            <v>KAWASAKI</v>
          </cell>
          <cell r="E139" t="str">
            <v>CT100CB (BLACK/BLUE)</v>
          </cell>
          <cell r="F139" t="str">
            <v>BUSINESS</v>
          </cell>
          <cell r="G139">
            <v>59528</v>
          </cell>
          <cell r="H139">
            <v>45</v>
          </cell>
          <cell r="I139">
            <v>30</v>
          </cell>
          <cell r="J139">
            <v>90</v>
          </cell>
          <cell r="K139">
            <v>15</v>
          </cell>
          <cell r="L139">
            <v>15</v>
          </cell>
          <cell r="M139">
            <v>30</v>
          </cell>
        </row>
        <row r="140">
          <cell r="B140" t="str">
            <v>CT100B</v>
          </cell>
          <cell r="D140" t="str">
            <v>KAWASAKI</v>
          </cell>
          <cell r="E140" t="str">
            <v>CT100 B NEW(BLACK/RED)</v>
          </cell>
          <cell r="F140" t="str">
            <v>BUSINESS</v>
          </cell>
          <cell r="G140">
            <v>52948</v>
          </cell>
          <cell r="H140">
            <v>45</v>
          </cell>
          <cell r="I140">
            <v>30</v>
          </cell>
          <cell r="J140">
            <v>90</v>
          </cell>
          <cell r="K140">
            <v>15</v>
          </cell>
          <cell r="L140">
            <v>15</v>
          </cell>
          <cell r="M140">
            <v>30</v>
          </cell>
        </row>
        <row r="141">
          <cell r="B141" t="str">
            <v>CT100B</v>
          </cell>
          <cell r="D141" t="str">
            <v>KAWASAKI</v>
          </cell>
          <cell r="E141" t="str">
            <v>CT100B NEW(BLACK/BLUE)</v>
          </cell>
          <cell r="F141" t="str">
            <v>BUSINESS</v>
          </cell>
          <cell r="G141">
            <v>52948</v>
          </cell>
          <cell r="H141">
            <v>45</v>
          </cell>
          <cell r="I141">
            <v>30</v>
          </cell>
          <cell r="J141">
            <v>90</v>
          </cell>
          <cell r="K141">
            <v>15</v>
          </cell>
          <cell r="L141">
            <v>15</v>
          </cell>
          <cell r="M141">
            <v>30</v>
          </cell>
        </row>
        <row r="142">
          <cell r="B142" t="str">
            <v>CT100B</v>
          </cell>
          <cell r="D142" t="str">
            <v>KAWASAKI</v>
          </cell>
          <cell r="E142" t="str">
            <v>CT100B NEW (BLACK/RED)</v>
          </cell>
          <cell r="F142" t="str">
            <v>BUSINESS</v>
          </cell>
          <cell r="G142">
            <v>52948</v>
          </cell>
          <cell r="H142">
            <v>45</v>
          </cell>
          <cell r="I142">
            <v>30</v>
          </cell>
          <cell r="J142">
            <v>90</v>
          </cell>
          <cell r="K142">
            <v>15</v>
          </cell>
          <cell r="L142">
            <v>15</v>
          </cell>
          <cell r="M142">
            <v>30</v>
          </cell>
        </row>
        <row r="143">
          <cell r="B143" t="str">
            <v>CT100B</v>
          </cell>
          <cell r="D143" t="str">
            <v>KAWASAKI</v>
          </cell>
          <cell r="E143" t="str">
            <v>CT100BD NEW(BLACK/RED)</v>
          </cell>
          <cell r="F143" t="str">
            <v>BUSINESS</v>
          </cell>
          <cell r="G143">
            <v>52948</v>
          </cell>
          <cell r="H143">
            <v>45</v>
          </cell>
          <cell r="I143">
            <v>30</v>
          </cell>
          <cell r="J143">
            <v>90</v>
          </cell>
          <cell r="K143">
            <v>15</v>
          </cell>
          <cell r="L143">
            <v>15</v>
          </cell>
          <cell r="M143">
            <v>30</v>
          </cell>
        </row>
        <row r="144">
          <cell r="B144" t="str">
            <v>CT100B</v>
          </cell>
          <cell r="D144" t="str">
            <v>KAWASAKI</v>
          </cell>
          <cell r="E144" t="str">
            <v>CT100BD NEW(BLACK/BLUE)</v>
          </cell>
          <cell r="F144" t="str">
            <v>BUSINESS</v>
          </cell>
          <cell r="G144">
            <v>52948</v>
          </cell>
          <cell r="H144">
            <v>45</v>
          </cell>
          <cell r="I144">
            <v>30</v>
          </cell>
          <cell r="J144">
            <v>90</v>
          </cell>
          <cell r="K144">
            <v>15</v>
          </cell>
          <cell r="L144">
            <v>15</v>
          </cell>
          <cell r="M144">
            <v>30</v>
          </cell>
        </row>
        <row r="145">
          <cell r="B145" t="str">
            <v>CT100B</v>
          </cell>
          <cell r="D145" t="str">
            <v>KAWASAKI</v>
          </cell>
          <cell r="E145" t="str">
            <v>CT100BE NEW (BLACK/ RED)</v>
          </cell>
          <cell r="F145" t="str">
            <v>BUSINESS</v>
          </cell>
          <cell r="G145">
            <v>52948</v>
          </cell>
          <cell r="H145">
            <v>45</v>
          </cell>
          <cell r="I145">
            <v>30</v>
          </cell>
          <cell r="J145">
            <v>90</v>
          </cell>
          <cell r="K145">
            <v>15</v>
          </cell>
          <cell r="L145">
            <v>15</v>
          </cell>
          <cell r="M145">
            <v>30</v>
          </cell>
        </row>
        <row r="146">
          <cell r="B146" t="str">
            <v>CT100B</v>
          </cell>
          <cell r="D146" t="str">
            <v>KAWASAKI</v>
          </cell>
          <cell r="E146" t="str">
            <v>CT100BE NEW (BLACK/ BLUE)</v>
          </cell>
          <cell r="F146" t="str">
            <v>BUSINESS</v>
          </cell>
          <cell r="G146">
            <v>52948</v>
          </cell>
          <cell r="H146">
            <v>45</v>
          </cell>
          <cell r="I146">
            <v>30</v>
          </cell>
          <cell r="J146">
            <v>90</v>
          </cell>
          <cell r="K146">
            <v>15</v>
          </cell>
          <cell r="L146">
            <v>15</v>
          </cell>
          <cell r="M146">
            <v>30</v>
          </cell>
        </row>
        <row r="147">
          <cell r="B147" t="str">
            <v>CT125</v>
          </cell>
          <cell r="D147" t="str">
            <v>KAWASAKI</v>
          </cell>
          <cell r="E147" t="str">
            <v>CT125A CT125 NEW (RED)</v>
          </cell>
          <cell r="F147" t="str">
            <v>BUSINESS</v>
          </cell>
          <cell r="G147">
            <v>60656</v>
          </cell>
          <cell r="H147">
            <v>45</v>
          </cell>
          <cell r="I147">
            <v>30</v>
          </cell>
          <cell r="J147">
            <v>90</v>
          </cell>
          <cell r="K147">
            <v>15</v>
          </cell>
          <cell r="L147">
            <v>15</v>
          </cell>
          <cell r="M147">
            <v>30</v>
          </cell>
        </row>
        <row r="148">
          <cell r="B148" t="str">
            <v>CT125</v>
          </cell>
          <cell r="D148" t="str">
            <v>KAWASAKI</v>
          </cell>
          <cell r="E148" t="str">
            <v>CT125A CT125 NEW (BLACK/BLUE)</v>
          </cell>
          <cell r="F148" t="str">
            <v>BUSINESS</v>
          </cell>
          <cell r="G148">
            <v>60656</v>
          </cell>
          <cell r="H148">
            <v>45</v>
          </cell>
          <cell r="I148">
            <v>30</v>
          </cell>
          <cell r="J148">
            <v>90</v>
          </cell>
          <cell r="K148">
            <v>15</v>
          </cell>
          <cell r="L148">
            <v>15</v>
          </cell>
          <cell r="M148">
            <v>30</v>
          </cell>
        </row>
        <row r="149">
          <cell r="B149" t="str">
            <v>CT125</v>
          </cell>
          <cell r="C149" t="str">
            <v>OLD MODEL CODE</v>
          </cell>
          <cell r="D149" t="str">
            <v>KAWASAKI</v>
          </cell>
          <cell r="E149" t="str">
            <v>CT125A CT125 (BLACK/ BLUE)</v>
          </cell>
          <cell r="F149" t="str">
            <v>BUSINESS</v>
          </cell>
          <cell r="G149">
            <v>60656</v>
          </cell>
          <cell r="H149">
            <v>45</v>
          </cell>
          <cell r="I149">
            <v>30</v>
          </cell>
          <cell r="J149">
            <v>90</v>
          </cell>
          <cell r="K149">
            <v>15</v>
          </cell>
          <cell r="L149">
            <v>15</v>
          </cell>
          <cell r="M149">
            <v>30</v>
          </cell>
        </row>
        <row r="150">
          <cell r="B150" t="str">
            <v>CT125</v>
          </cell>
          <cell r="D150" t="str">
            <v>KAWASAKI</v>
          </cell>
          <cell r="E150" t="str">
            <v>CT125A CT125 NEW (BLACK/RED)</v>
          </cell>
          <cell r="F150" t="str">
            <v>BUSINESS</v>
          </cell>
          <cell r="G150">
            <v>60656</v>
          </cell>
          <cell r="H150">
            <v>45</v>
          </cell>
          <cell r="I150">
            <v>30</v>
          </cell>
          <cell r="J150">
            <v>90</v>
          </cell>
          <cell r="K150">
            <v>15</v>
          </cell>
          <cell r="L150">
            <v>15</v>
          </cell>
          <cell r="M150">
            <v>30</v>
          </cell>
        </row>
        <row r="151">
          <cell r="B151" t="str">
            <v>CT125</v>
          </cell>
          <cell r="D151" t="str">
            <v>KAWASAKI</v>
          </cell>
          <cell r="E151" t="str">
            <v>CT125AA(BLACK/BLUE)</v>
          </cell>
          <cell r="F151" t="str">
            <v>BUSINESS</v>
          </cell>
          <cell r="G151">
            <v>60656</v>
          </cell>
          <cell r="H151">
            <v>45</v>
          </cell>
          <cell r="I151">
            <v>30</v>
          </cell>
          <cell r="J151">
            <v>90</v>
          </cell>
          <cell r="K151">
            <v>15</v>
          </cell>
          <cell r="L151">
            <v>15</v>
          </cell>
          <cell r="M151">
            <v>30</v>
          </cell>
        </row>
        <row r="152">
          <cell r="B152" t="str">
            <v>CT125</v>
          </cell>
          <cell r="D152" t="str">
            <v>KAWASAKI</v>
          </cell>
          <cell r="E152" t="str">
            <v>CT125AA(BLACK/RED)</v>
          </cell>
          <cell r="F152" t="str">
            <v>BUSINESS</v>
          </cell>
          <cell r="G152">
            <v>60656</v>
          </cell>
          <cell r="H152">
            <v>45</v>
          </cell>
          <cell r="I152">
            <v>30</v>
          </cell>
          <cell r="J152">
            <v>90</v>
          </cell>
          <cell r="K152">
            <v>15</v>
          </cell>
          <cell r="L152">
            <v>15</v>
          </cell>
          <cell r="M152">
            <v>30</v>
          </cell>
        </row>
        <row r="153">
          <cell r="B153" t="str">
            <v>CT125</v>
          </cell>
          <cell r="D153" t="str">
            <v>KAWASAKI</v>
          </cell>
          <cell r="E153" t="str">
            <v>CT125AB(BLACK/RED)</v>
          </cell>
          <cell r="F153" t="str">
            <v>BUSINESS</v>
          </cell>
          <cell r="G153">
            <v>60656</v>
          </cell>
          <cell r="H153">
            <v>45</v>
          </cell>
          <cell r="I153">
            <v>30</v>
          </cell>
          <cell r="J153">
            <v>90</v>
          </cell>
          <cell r="K153">
            <v>15</v>
          </cell>
          <cell r="L153">
            <v>15</v>
          </cell>
          <cell r="M153">
            <v>30</v>
          </cell>
        </row>
        <row r="154">
          <cell r="B154" t="str">
            <v>CT125</v>
          </cell>
          <cell r="D154" t="str">
            <v>KAWASAKI</v>
          </cell>
          <cell r="E154" t="str">
            <v>CT125AB(BLACK/BLUE)</v>
          </cell>
          <cell r="F154" t="str">
            <v>BUSINESS</v>
          </cell>
          <cell r="G154">
            <v>60656</v>
          </cell>
          <cell r="H154">
            <v>45</v>
          </cell>
          <cell r="I154">
            <v>30</v>
          </cell>
          <cell r="J154">
            <v>90</v>
          </cell>
          <cell r="K154">
            <v>15</v>
          </cell>
          <cell r="L154">
            <v>15</v>
          </cell>
          <cell r="M154">
            <v>30</v>
          </cell>
        </row>
        <row r="155">
          <cell r="B155" t="str">
            <v>CT125</v>
          </cell>
          <cell r="D155" t="str">
            <v>KAWASAKI</v>
          </cell>
          <cell r="E155" t="str">
            <v>CT125AC (BLACK/BLUE)</v>
          </cell>
          <cell r="F155" t="str">
            <v>BUSINESS</v>
          </cell>
          <cell r="G155">
            <v>60656</v>
          </cell>
          <cell r="H155">
            <v>45</v>
          </cell>
          <cell r="I155">
            <v>30</v>
          </cell>
          <cell r="J155">
            <v>90</v>
          </cell>
          <cell r="K155">
            <v>15</v>
          </cell>
          <cell r="L155">
            <v>15</v>
          </cell>
          <cell r="M155">
            <v>30</v>
          </cell>
        </row>
        <row r="156">
          <cell r="B156" t="str">
            <v>CT125</v>
          </cell>
          <cell r="D156" t="str">
            <v>KAWASAKI</v>
          </cell>
          <cell r="E156" t="str">
            <v>CT125AC (BLACK/RED)</v>
          </cell>
          <cell r="F156" t="str">
            <v>BUSINESS</v>
          </cell>
          <cell r="G156">
            <v>60656</v>
          </cell>
          <cell r="H156">
            <v>45</v>
          </cell>
          <cell r="I156">
            <v>30</v>
          </cell>
          <cell r="J156">
            <v>90</v>
          </cell>
          <cell r="K156">
            <v>15</v>
          </cell>
          <cell r="L156">
            <v>15</v>
          </cell>
          <cell r="M156">
            <v>30</v>
          </cell>
        </row>
        <row r="157">
          <cell r="B157" t="str">
            <v>CT125</v>
          </cell>
          <cell r="D157" t="str">
            <v>KAWASAKI</v>
          </cell>
          <cell r="E157" t="str">
            <v>CT125AD(BLACK/RED)</v>
          </cell>
          <cell r="F157" t="str">
            <v>BUSINESS</v>
          </cell>
          <cell r="G157">
            <v>60656</v>
          </cell>
          <cell r="H157">
            <v>45</v>
          </cell>
          <cell r="I157">
            <v>30</v>
          </cell>
          <cell r="J157">
            <v>90</v>
          </cell>
          <cell r="K157">
            <v>15</v>
          </cell>
          <cell r="L157">
            <v>15</v>
          </cell>
          <cell r="M157">
            <v>30</v>
          </cell>
        </row>
        <row r="158">
          <cell r="B158" t="str">
            <v>CT125</v>
          </cell>
          <cell r="D158" t="str">
            <v>KAWASAKI</v>
          </cell>
          <cell r="E158" t="str">
            <v>CT125AD(BLACK/blue)</v>
          </cell>
          <cell r="F158" t="str">
            <v>BUSINESS</v>
          </cell>
          <cell r="G158">
            <v>60656</v>
          </cell>
          <cell r="H158">
            <v>45</v>
          </cell>
          <cell r="I158">
            <v>30</v>
          </cell>
          <cell r="J158">
            <v>90</v>
          </cell>
          <cell r="K158">
            <v>15</v>
          </cell>
          <cell r="L158">
            <v>15</v>
          </cell>
          <cell r="M158">
            <v>30</v>
          </cell>
        </row>
        <row r="159">
          <cell r="B159" t="str">
            <v>CT125</v>
          </cell>
          <cell r="D159" t="str">
            <v>KAWASAKI</v>
          </cell>
          <cell r="E159" t="str">
            <v>CT125AE(BLACK/RED)</v>
          </cell>
          <cell r="F159" t="str">
            <v>BUSINESS</v>
          </cell>
          <cell r="G159">
            <v>60656</v>
          </cell>
          <cell r="H159">
            <v>45</v>
          </cell>
          <cell r="I159">
            <v>30</v>
          </cell>
          <cell r="J159">
            <v>90</v>
          </cell>
          <cell r="K159">
            <v>15</v>
          </cell>
          <cell r="L159">
            <v>15</v>
          </cell>
          <cell r="M159">
            <v>30</v>
          </cell>
        </row>
        <row r="160">
          <cell r="B160" t="str">
            <v>CT125</v>
          </cell>
          <cell r="D160" t="str">
            <v>KAWASAKI</v>
          </cell>
          <cell r="E160" t="str">
            <v>CT125AE(BLACK/BLUE)</v>
          </cell>
          <cell r="F160" t="str">
            <v>BUSINESS</v>
          </cell>
          <cell r="G160">
            <v>60656</v>
          </cell>
          <cell r="H160">
            <v>45</v>
          </cell>
          <cell r="I160">
            <v>30</v>
          </cell>
          <cell r="J160">
            <v>90</v>
          </cell>
          <cell r="K160">
            <v>15</v>
          </cell>
          <cell r="L160">
            <v>15</v>
          </cell>
          <cell r="M160">
            <v>30</v>
          </cell>
        </row>
        <row r="161">
          <cell r="B161" t="str">
            <v>FAZZIO</v>
          </cell>
          <cell r="D161" t="str">
            <v>YAMAHA</v>
          </cell>
          <cell r="E161" t="str">
            <v>MIO FAZZIO BRV1 (RED)</v>
          </cell>
          <cell r="F161" t="str">
            <v>SCOOTER</v>
          </cell>
          <cell r="G161">
            <v>86397</v>
          </cell>
          <cell r="H161">
            <v>45</v>
          </cell>
          <cell r="I161">
            <v>30</v>
          </cell>
          <cell r="J161">
            <v>90</v>
          </cell>
          <cell r="K161">
            <v>15</v>
          </cell>
          <cell r="L161">
            <v>15</v>
          </cell>
          <cell r="M161">
            <v>30</v>
          </cell>
        </row>
        <row r="162">
          <cell r="B162" t="str">
            <v>FAZZIO</v>
          </cell>
          <cell r="D162" t="str">
            <v>YAMAHA</v>
          </cell>
          <cell r="E162" t="str">
            <v>MIO FAZZIO BRV1 (YELLOWISH WHITE)</v>
          </cell>
          <cell r="F162" t="str">
            <v>SCOOTER</v>
          </cell>
          <cell r="G162">
            <v>86397</v>
          </cell>
          <cell r="H162">
            <v>45</v>
          </cell>
          <cell r="I162">
            <v>30</v>
          </cell>
          <cell r="J162">
            <v>90</v>
          </cell>
          <cell r="K162">
            <v>15</v>
          </cell>
          <cell r="L162">
            <v>15</v>
          </cell>
          <cell r="M162">
            <v>30</v>
          </cell>
        </row>
        <row r="163">
          <cell r="B163" t="str">
            <v>FAZZIO</v>
          </cell>
          <cell r="D163" t="str">
            <v>YAMAHA</v>
          </cell>
          <cell r="E163" t="str">
            <v>MIO FAZZIO BRV1 (CYAN)</v>
          </cell>
          <cell r="F163" t="str">
            <v>SCOOTER</v>
          </cell>
          <cell r="G163">
            <v>86397</v>
          </cell>
          <cell r="H163">
            <v>45</v>
          </cell>
          <cell r="I163">
            <v>30</v>
          </cell>
          <cell r="J163">
            <v>90</v>
          </cell>
          <cell r="K163">
            <v>15</v>
          </cell>
          <cell r="L163">
            <v>15</v>
          </cell>
          <cell r="M163">
            <v>30</v>
          </cell>
        </row>
        <row r="164">
          <cell r="B164" t="str">
            <v>FAZZIO</v>
          </cell>
          <cell r="D164" t="str">
            <v>YAMAHA</v>
          </cell>
          <cell r="E164" t="str">
            <v>MIO FAZZIO BRV2 (LIGHT BLUE)</v>
          </cell>
          <cell r="F164" t="str">
            <v>SCOOTER</v>
          </cell>
          <cell r="G164">
            <v>86397</v>
          </cell>
          <cell r="H164">
            <v>45</v>
          </cell>
          <cell r="I164">
            <v>30</v>
          </cell>
          <cell r="J164">
            <v>90</v>
          </cell>
          <cell r="K164">
            <v>15</v>
          </cell>
          <cell r="L164">
            <v>15</v>
          </cell>
          <cell r="M164">
            <v>30</v>
          </cell>
        </row>
        <row r="165">
          <cell r="B165" t="str">
            <v>FAZZIO</v>
          </cell>
          <cell r="D165" t="str">
            <v>YAMAHA</v>
          </cell>
          <cell r="E165" t="str">
            <v>MIO FAZZIO BRV2 (YELLOWISH WHITE)</v>
          </cell>
          <cell r="F165" t="str">
            <v>SCOOTER</v>
          </cell>
          <cell r="G165">
            <v>86397</v>
          </cell>
          <cell r="H165">
            <v>45</v>
          </cell>
          <cell r="I165">
            <v>30</v>
          </cell>
          <cell r="J165">
            <v>90</v>
          </cell>
          <cell r="K165">
            <v>15</v>
          </cell>
          <cell r="L165">
            <v>15</v>
          </cell>
          <cell r="M165">
            <v>30</v>
          </cell>
        </row>
        <row r="166">
          <cell r="B166" t="str">
            <v>FAZZIO</v>
          </cell>
          <cell r="D166" t="str">
            <v>YAMAHA</v>
          </cell>
          <cell r="E166" t="str">
            <v>MIO FAZZIO BRV2 (ORANGE/BLACK)</v>
          </cell>
          <cell r="F166" t="str">
            <v>SCOOTER</v>
          </cell>
          <cell r="G166">
            <v>86397</v>
          </cell>
          <cell r="H166">
            <v>45</v>
          </cell>
          <cell r="I166">
            <v>30</v>
          </cell>
          <cell r="J166">
            <v>90</v>
          </cell>
          <cell r="K166">
            <v>15</v>
          </cell>
          <cell r="L166">
            <v>15</v>
          </cell>
          <cell r="M166">
            <v>30</v>
          </cell>
        </row>
        <row r="167">
          <cell r="B167" t="str">
            <v>GIXXER 155</v>
          </cell>
          <cell r="D167" t="str">
            <v>SUZUKI</v>
          </cell>
          <cell r="E167" t="str">
            <v>GSX150RF GIXXER(BLACK)</v>
          </cell>
          <cell r="F167" t="str">
            <v>BACKBONE</v>
          </cell>
          <cell r="G167">
            <v>101752</v>
          </cell>
          <cell r="H167">
            <v>45</v>
          </cell>
          <cell r="I167">
            <v>30</v>
          </cell>
          <cell r="J167">
            <v>90</v>
          </cell>
          <cell r="K167">
            <v>15</v>
          </cell>
          <cell r="L167">
            <v>15</v>
          </cell>
          <cell r="M167">
            <v>30</v>
          </cell>
        </row>
        <row r="168">
          <cell r="B168" t="str">
            <v>GIXXER 155</v>
          </cell>
          <cell r="D168" t="str">
            <v>SUZUKI</v>
          </cell>
          <cell r="E168" t="str">
            <v>GSX150RF GIXXER(BLUE)</v>
          </cell>
          <cell r="F168" t="str">
            <v>BACKBONE</v>
          </cell>
          <cell r="G168">
            <v>101752</v>
          </cell>
          <cell r="H168">
            <v>45</v>
          </cell>
          <cell r="I168">
            <v>30</v>
          </cell>
          <cell r="J168">
            <v>90</v>
          </cell>
          <cell r="K168">
            <v>15</v>
          </cell>
          <cell r="L168">
            <v>15</v>
          </cell>
          <cell r="M168">
            <v>30</v>
          </cell>
        </row>
        <row r="169">
          <cell r="B169" t="str">
            <v>GIXXER 155</v>
          </cell>
          <cell r="D169" t="str">
            <v>SUZUKI</v>
          </cell>
          <cell r="E169" t="str">
            <v>GSX150RF GIXXER(SILVER)</v>
          </cell>
          <cell r="F169" t="str">
            <v>BACKBONE</v>
          </cell>
          <cell r="G169">
            <v>101752</v>
          </cell>
          <cell r="H169">
            <v>45</v>
          </cell>
          <cell r="I169">
            <v>30</v>
          </cell>
          <cell r="J169">
            <v>90</v>
          </cell>
          <cell r="K169">
            <v>15</v>
          </cell>
          <cell r="L169">
            <v>15</v>
          </cell>
          <cell r="M169">
            <v>30</v>
          </cell>
        </row>
        <row r="170">
          <cell r="B170" t="str">
            <v>GIXXER 155</v>
          </cell>
          <cell r="D170" t="str">
            <v>SUZUKI</v>
          </cell>
          <cell r="E170" t="str">
            <v>GSX150RF-6ORNGE</v>
          </cell>
          <cell r="F170" t="str">
            <v>BACKBONE</v>
          </cell>
          <cell r="G170">
            <v>101752</v>
          </cell>
          <cell r="H170">
            <v>45</v>
          </cell>
          <cell r="I170">
            <v>30</v>
          </cell>
          <cell r="J170">
            <v>90</v>
          </cell>
          <cell r="K170">
            <v>15</v>
          </cell>
          <cell r="L170">
            <v>15</v>
          </cell>
          <cell r="M170">
            <v>30</v>
          </cell>
        </row>
        <row r="171">
          <cell r="B171" t="str">
            <v>GIXXER 155</v>
          </cell>
          <cell r="D171" t="str">
            <v>SUZUKI</v>
          </cell>
          <cell r="E171" t="str">
            <v>GSX150RF-6BLACK</v>
          </cell>
          <cell r="F171" t="str">
            <v>BACKBONE</v>
          </cell>
          <cell r="G171">
            <v>101752</v>
          </cell>
          <cell r="H171">
            <v>45</v>
          </cell>
          <cell r="I171">
            <v>30</v>
          </cell>
          <cell r="J171">
            <v>90</v>
          </cell>
          <cell r="K171">
            <v>15</v>
          </cell>
          <cell r="L171">
            <v>15</v>
          </cell>
          <cell r="M171">
            <v>30</v>
          </cell>
        </row>
        <row r="172">
          <cell r="B172" t="str">
            <v>GIXXER 155</v>
          </cell>
          <cell r="D172" t="str">
            <v>SUZUKI</v>
          </cell>
          <cell r="E172" t="str">
            <v>GSX150RF-6BLUE</v>
          </cell>
          <cell r="F172" t="str">
            <v>BACKBONE</v>
          </cell>
          <cell r="G172">
            <v>101752</v>
          </cell>
          <cell r="H172">
            <v>45</v>
          </cell>
          <cell r="I172">
            <v>30</v>
          </cell>
          <cell r="J172">
            <v>90</v>
          </cell>
          <cell r="K172">
            <v>15</v>
          </cell>
          <cell r="L172">
            <v>15</v>
          </cell>
          <cell r="M172">
            <v>30</v>
          </cell>
        </row>
        <row r="173">
          <cell r="B173" t="str">
            <v>GIXXER 155</v>
          </cell>
          <cell r="C173" t="str">
            <v>PHASE OUT</v>
          </cell>
          <cell r="D173" t="str">
            <v>SUZUKI</v>
          </cell>
          <cell r="E173" t="str">
            <v>GSX150RZA GIXXER 150 FI (BLACK)</v>
          </cell>
          <cell r="F173" t="str">
            <v>BACKBONE</v>
          </cell>
          <cell r="G173">
            <v>101752</v>
          </cell>
          <cell r="H173">
            <v>45</v>
          </cell>
          <cell r="I173">
            <v>30</v>
          </cell>
          <cell r="J173">
            <v>90</v>
          </cell>
          <cell r="K173">
            <v>15</v>
          </cell>
          <cell r="L173">
            <v>15</v>
          </cell>
          <cell r="M173">
            <v>30</v>
          </cell>
        </row>
        <row r="174">
          <cell r="B174" t="str">
            <v>GIXXER 155</v>
          </cell>
          <cell r="C174" t="str">
            <v>PHASE OUT</v>
          </cell>
          <cell r="D174" t="str">
            <v>SUZUKI</v>
          </cell>
          <cell r="E174" t="str">
            <v>GSX150RZA GIXXER 150 FI (RED)</v>
          </cell>
          <cell r="F174" t="str">
            <v>BACKBONE</v>
          </cell>
          <cell r="G174">
            <v>101752</v>
          </cell>
          <cell r="H174">
            <v>45</v>
          </cell>
          <cell r="I174">
            <v>30</v>
          </cell>
          <cell r="J174">
            <v>90</v>
          </cell>
          <cell r="K174">
            <v>15</v>
          </cell>
          <cell r="L174">
            <v>15</v>
          </cell>
          <cell r="M174">
            <v>30</v>
          </cell>
        </row>
        <row r="175">
          <cell r="B175" t="str">
            <v>KING</v>
          </cell>
          <cell r="D175" t="str">
            <v>SKYGO</v>
          </cell>
          <cell r="E175" t="str">
            <v>SG-150 KING 150cc</v>
          </cell>
          <cell r="F175" t="str">
            <v>BUSINESS</v>
          </cell>
          <cell r="G175">
            <v>36765</v>
          </cell>
          <cell r="H175">
            <v>45</v>
          </cell>
          <cell r="I175">
            <v>30</v>
          </cell>
          <cell r="J175">
            <v>90</v>
          </cell>
          <cell r="K175">
            <v>15</v>
          </cell>
          <cell r="L175">
            <v>15</v>
          </cell>
          <cell r="M175">
            <v>30</v>
          </cell>
        </row>
        <row r="176">
          <cell r="B176" t="str">
            <v>KING</v>
          </cell>
          <cell r="D176" t="str">
            <v>SKYGO</v>
          </cell>
          <cell r="E176" t="str">
            <v>SG-150 KING 150 cc (BLACK/RED)</v>
          </cell>
          <cell r="F176" t="str">
            <v>BUSINESS</v>
          </cell>
          <cell r="G176">
            <v>39159</v>
          </cell>
          <cell r="H176">
            <v>45</v>
          </cell>
          <cell r="I176">
            <v>30</v>
          </cell>
          <cell r="J176">
            <v>90</v>
          </cell>
          <cell r="K176">
            <v>15</v>
          </cell>
          <cell r="L176">
            <v>15</v>
          </cell>
          <cell r="M176">
            <v>30</v>
          </cell>
        </row>
        <row r="177">
          <cell r="B177" t="str">
            <v>KING</v>
          </cell>
          <cell r="D177" t="str">
            <v>SKYGO</v>
          </cell>
          <cell r="E177" t="str">
            <v>SG-150 KING 150 cc (BLACK/BLUE)</v>
          </cell>
          <cell r="F177" t="str">
            <v>BUSINESS</v>
          </cell>
          <cell r="G177">
            <v>39159</v>
          </cell>
          <cell r="H177">
            <v>45</v>
          </cell>
          <cell r="I177">
            <v>30</v>
          </cell>
          <cell r="J177">
            <v>90</v>
          </cell>
          <cell r="K177">
            <v>15</v>
          </cell>
          <cell r="L177">
            <v>15</v>
          </cell>
          <cell r="M177">
            <v>30</v>
          </cell>
        </row>
        <row r="178">
          <cell r="B178" t="str">
            <v>KLX140</v>
          </cell>
          <cell r="D178" t="str">
            <v>KAWASAKI</v>
          </cell>
          <cell r="E178" t="str">
            <v>KLX140CJF (GREEN)</v>
          </cell>
          <cell r="F178" t="str">
            <v>SPORTS TYPE</v>
          </cell>
          <cell r="G178">
            <v>154280</v>
          </cell>
          <cell r="H178">
            <v>45</v>
          </cell>
          <cell r="I178">
            <v>30</v>
          </cell>
          <cell r="J178">
            <v>90</v>
          </cell>
          <cell r="K178">
            <v>15</v>
          </cell>
          <cell r="L178">
            <v>15</v>
          </cell>
          <cell r="M178">
            <v>30</v>
          </cell>
        </row>
        <row r="179">
          <cell r="B179" t="str">
            <v>KLX140</v>
          </cell>
          <cell r="D179" t="str">
            <v>KAWASAKI</v>
          </cell>
          <cell r="E179" t="str">
            <v>KLX140CNFNN (GREEN)</v>
          </cell>
          <cell r="F179" t="str">
            <v>SPORTS TYPE</v>
          </cell>
          <cell r="G179">
            <v>154280</v>
          </cell>
          <cell r="H179">
            <v>45</v>
          </cell>
          <cell r="I179">
            <v>30</v>
          </cell>
          <cell r="J179">
            <v>90</v>
          </cell>
          <cell r="K179">
            <v>15</v>
          </cell>
          <cell r="L179">
            <v>15</v>
          </cell>
          <cell r="M179">
            <v>30</v>
          </cell>
        </row>
        <row r="180">
          <cell r="B180" t="str">
            <v>KLX150</v>
          </cell>
          <cell r="D180" t="str">
            <v>KAWASAKI</v>
          </cell>
          <cell r="E180" t="str">
            <v>KLX 150JFF KLX 150LW NEW(GREEN)</v>
          </cell>
          <cell r="F180" t="str">
            <v>SPORTS TYPE</v>
          </cell>
          <cell r="G180">
            <v>131626</v>
          </cell>
          <cell r="H180">
            <v>45</v>
          </cell>
          <cell r="I180">
            <v>30</v>
          </cell>
          <cell r="J180">
            <v>90</v>
          </cell>
          <cell r="K180">
            <v>15</v>
          </cell>
          <cell r="L180">
            <v>15</v>
          </cell>
          <cell r="M180">
            <v>30</v>
          </cell>
        </row>
        <row r="181">
          <cell r="B181" t="str">
            <v>KLX150</v>
          </cell>
          <cell r="D181" t="str">
            <v>KAWASAKI</v>
          </cell>
          <cell r="E181" t="str">
            <v>KLX 150JFF KLX150LW NEW (BLACK)</v>
          </cell>
          <cell r="F181" t="str">
            <v>SPORTS TYPE</v>
          </cell>
          <cell r="G181">
            <v>131626</v>
          </cell>
          <cell r="H181">
            <v>45</v>
          </cell>
          <cell r="I181">
            <v>30</v>
          </cell>
          <cell r="J181">
            <v>90</v>
          </cell>
          <cell r="K181">
            <v>15</v>
          </cell>
          <cell r="L181">
            <v>15</v>
          </cell>
          <cell r="M181">
            <v>30</v>
          </cell>
        </row>
        <row r="182">
          <cell r="B182" t="str">
            <v>KLX150</v>
          </cell>
          <cell r="D182" t="str">
            <v>KAWASAKI</v>
          </cell>
          <cell r="E182" t="str">
            <v>KLX 150JJF KLX 150LW NEW(GREEN)</v>
          </cell>
          <cell r="F182" t="str">
            <v>SPORTS TYPE</v>
          </cell>
          <cell r="G182">
            <v>131626</v>
          </cell>
          <cell r="H182">
            <v>45</v>
          </cell>
          <cell r="I182">
            <v>30</v>
          </cell>
          <cell r="J182">
            <v>90</v>
          </cell>
          <cell r="K182">
            <v>15</v>
          </cell>
          <cell r="L182">
            <v>15</v>
          </cell>
          <cell r="M182">
            <v>30</v>
          </cell>
        </row>
        <row r="183">
          <cell r="B183" t="str">
            <v>KLX150</v>
          </cell>
          <cell r="D183" t="str">
            <v>KAWASAKI</v>
          </cell>
          <cell r="E183" t="str">
            <v>KLX 150JJF KLX 150LW NEW(BLACK)</v>
          </cell>
          <cell r="F183" t="str">
            <v>SPORTS TYPE</v>
          </cell>
          <cell r="G183">
            <v>131626</v>
          </cell>
          <cell r="H183">
            <v>45</v>
          </cell>
          <cell r="I183">
            <v>30</v>
          </cell>
          <cell r="J183">
            <v>90</v>
          </cell>
          <cell r="K183">
            <v>15</v>
          </cell>
          <cell r="L183">
            <v>15</v>
          </cell>
          <cell r="M183">
            <v>30</v>
          </cell>
        </row>
        <row r="184">
          <cell r="B184" t="str">
            <v>KLX150</v>
          </cell>
          <cell r="D184" t="str">
            <v>KAWASAKI</v>
          </cell>
          <cell r="E184" t="str">
            <v>KLX150JKF NEW(BLACK)</v>
          </cell>
          <cell r="F184" t="str">
            <v>SPORTS TYPE</v>
          </cell>
          <cell r="G184">
            <v>131626</v>
          </cell>
          <cell r="H184">
            <v>45</v>
          </cell>
          <cell r="I184">
            <v>30</v>
          </cell>
          <cell r="J184">
            <v>90</v>
          </cell>
          <cell r="K184">
            <v>15</v>
          </cell>
          <cell r="L184">
            <v>15</v>
          </cell>
          <cell r="M184">
            <v>30</v>
          </cell>
        </row>
        <row r="185">
          <cell r="B185" t="str">
            <v>KLX150</v>
          </cell>
          <cell r="D185" t="str">
            <v>KAWASAKI</v>
          </cell>
          <cell r="E185" t="str">
            <v>KLX150JJF (GREEN)</v>
          </cell>
          <cell r="F185" t="str">
            <v>SPORTS TYPE</v>
          </cell>
          <cell r="G185">
            <v>131626</v>
          </cell>
          <cell r="H185">
            <v>45</v>
          </cell>
          <cell r="I185">
            <v>30</v>
          </cell>
          <cell r="J185">
            <v>90</v>
          </cell>
          <cell r="K185">
            <v>15</v>
          </cell>
          <cell r="L185">
            <v>15</v>
          </cell>
          <cell r="M185">
            <v>30</v>
          </cell>
        </row>
        <row r="186">
          <cell r="B186" t="str">
            <v>KLX150</v>
          </cell>
          <cell r="D186" t="str">
            <v>KAWASAKI</v>
          </cell>
          <cell r="E186" t="str">
            <v>KLX150BF (BLUE)</v>
          </cell>
          <cell r="F186" t="str">
            <v>SPORTS TYPE</v>
          </cell>
          <cell r="G186">
            <v>131626</v>
          </cell>
          <cell r="H186">
            <v>45</v>
          </cell>
          <cell r="I186">
            <v>30</v>
          </cell>
          <cell r="J186">
            <v>90</v>
          </cell>
          <cell r="K186">
            <v>15</v>
          </cell>
          <cell r="L186">
            <v>15</v>
          </cell>
          <cell r="M186">
            <v>30</v>
          </cell>
        </row>
        <row r="187">
          <cell r="B187" t="str">
            <v>KLX150</v>
          </cell>
          <cell r="D187" t="str">
            <v>KAWASAKI</v>
          </cell>
          <cell r="E187" t="str">
            <v>KLX150BF (GREEN)</v>
          </cell>
          <cell r="F187" t="str">
            <v>SPORTS TYPE</v>
          </cell>
          <cell r="G187">
            <v>131626</v>
          </cell>
          <cell r="H187">
            <v>45</v>
          </cell>
          <cell r="I187">
            <v>30</v>
          </cell>
          <cell r="J187">
            <v>90</v>
          </cell>
          <cell r="K187">
            <v>15</v>
          </cell>
          <cell r="L187">
            <v>15</v>
          </cell>
          <cell r="M187">
            <v>30</v>
          </cell>
        </row>
        <row r="188">
          <cell r="B188" t="str">
            <v>KLX150</v>
          </cell>
          <cell r="D188" t="str">
            <v>KAWASAKI</v>
          </cell>
          <cell r="E188" t="str">
            <v>KLX150FMBBN KLX150BF (BLACK)</v>
          </cell>
          <cell r="F188" t="str">
            <v>SPORTS TYPE</v>
          </cell>
          <cell r="G188">
            <v>131626</v>
          </cell>
          <cell r="H188">
            <v>45</v>
          </cell>
          <cell r="I188">
            <v>30</v>
          </cell>
          <cell r="J188">
            <v>90</v>
          </cell>
          <cell r="K188">
            <v>15</v>
          </cell>
          <cell r="L188">
            <v>15</v>
          </cell>
          <cell r="M188">
            <v>30</v>
          </cell>
        </row>
        <row r="189">
          <cell r="B189" t="str">
            <v>KLX150</v>
          </cell>
          <cell r="D189" t="str">
            <v>KAWASAKI</v>
          </cell>
          <cell r="E189" t="str">
            <v>KLX150KRAAN KLX150 (BLUE)</v>
          </cell>
          <cell r="F189" t="str">
            <v>SPORTS TYPE</v>
          </cell>
          <cell r="G189">
            <v>131626</v>
          </cell>
          <cell r="H189">
            <v>45</v>
          </cell>
          <cell r="I189">
            <v>30</v>
          </cell>
          <cell r="J189">
            <v>90</v>
          </cell>
          <cell r="K189">
            <v>15</v>
          </cell>
          <cell r="L189">
            <v>15</v>
          </cell>
          <cell r="M189">
            <v>30</v>
          </cell>
        </row>
        <row r="190">
          <cell r="B190" t="str">
            <v>MAXIMA CARGO</v>
          </cell>
          <cell r="D190" t="str">
            <v>BAJAJ RE</v>
          </cell>
          <cell r="E190" t="str">
            <v>MAXIMA CARGO (WHITE)</v>
          </cell>
          <cell r="F190" t="str">
            <v>TRI-WHEELED</v>
          </cell>
          <cell r="G190">
            <v>221800</v>
          </cell>
          <cell r="H190">
            <v>45</v>
          </cell>
          <cell r="I190">
            <v>30</v>
          </cell>
          <cell r="J190">
            <v>90</v>
          </cell>
          <cell r="K190">
            <v>15</v>
          </cell>
          <cell r="L190">
            <v>15</v>
          </cell>
          <cell r="M190">
            <v>30</v>
          </cell>
        </row>
        <row r="191">
          <cell r="B191" t="str">
            <v>MAXIMA Z</v>
          </cell>
          <cell r="D191" t="str">
            <v>BAJAJ RE</v>
          </cell>
          <cell r="E191" t="str">
            <v>BAJAJ MAXIMA Z (BLUE)</v>
          </cell>
          <cell r="F191" t="str">
            <v>TRI-WHEELED</v>
          </cell>
          <cell r="G191">
            <v>225800</v>
          </cell>
          <cell r="H191">
            <v>45</v>
          </cell>
          <cell r="I191">
            <v>30</v>
          </cell>
          <cell r="J191">
            <v>90</v>
          </cell>
          <cell r="K191">
            <v>15</v>
          </cell>
          <cell r="L191">
            <v>15</v>
          </cell>
          <cell r="M191">
            <v>30</v>
          </cell>
        </row>
        <row r="192">
          <cell r="B192" t="str">
            <v>MAXIMA Z</v>
          </cell>
          <cell r="D192" t="str">
            <v>BAJAJ RE</v>
          </cell>
          <cell r="E192" t="str">
            <v>MAXIMA Z (WHITE)</v>
          </cell>
          <cell r="F192" t="str">
            <v>TRI-WHEELED</v>
          </cell>
          <cell r="G192">
            <v>225800</v>
          </cell>
          <cell r="H192">
            <v>45</v>
          </cell>
          <cell r="I192">
            <v>30</v>
          </cell>
          <cell r="J192">
            <v>90</v>
          </cell>
          <cell r="K192">
            <v>15</v>
          </cell>
          <cell r="L192">
            <v>15</v>
          </cell>
          <cell r="M192">
            <v>30</v>
          </cell>
        </row>
        <row r="193">
          <cell r="B193" t="str">
            <v>MAXIMA Z</v>
          </cell>
          <cell r="D193" t="str">
            <v>BAJAJ RE</v>
          </cell>
          <cell r="E193" t="str">
            <v>MAXIMA Z (YELLOW)</v>
          </cell>
          <cell r="F193" t="str">
            <v>TRI-WHEELED</v>
          </cell>
          <cell r="G193">
            <v>225800</v>
          </cell>
          <cell r="H193">
            <v>45</v>
          </cell>
          <cell r="I193">
            <v>30</v>
          </cell>
          <cell r="J193">
            <v>90</v>
          </cell>
          <cell r="K193">
            <v>15</v>
          </cell>
          <cell r="L193">
            <v>15</v>
          </cell>
          <cell r="M193">
            <v>30</v>
          </cell>
        </row>
        <row r="194">
          <cell r="B194" t="str">
            <v>MIO AEROX 155</v>
          </cell>
          <cell r="D194" t="str">
            <v>YAMAHA</v>
          </cell>
          <cell r="E194" t="str">
            <v>B1W3 MIO AEROX S (BLACK)</v>
          </cell>
          <cell r="F194" t="str">
            <v>SCOOTER</v>
          </cell>
          <cell r="G194">
            <v>124527</v>
          </cell>
          <cell r="H194">
            <v>45</v>
          </cell>
          <cell r="I194">
            <v>30</v>
          </cell>
          <cell r="J194">
            <v>90</v>
          </cell>
          <cell r="K194">
            <v>15</v>
          </cell>
          <cell r="L194">
            <v>15</v>
          </cell>
          <cell r="M194">
            <v>30</v>
          </cell>
        </row>
        <row r="195">
          <cell r="B195" t="str">
            <v>MIO AEROX 155</v>
          </cell>
          <cell r="D195" t="str">
            <v>YAMAHA</v>
          </cell>
          <cell r="E195" t="str">
            <v>B1W3 MIO AEROX (ORANGE/BLACK)</v>
          </cell>
          <cell r="F195" t="str">
            <v>SCOOTER</v>
          </cell>
          <cell r="G195">
            <v>124527</v>
          </cell>
          <cell r="H195">
            <v>45</v>
          </cell>
          <cell r="I195">
            <v>30</v>
          </cell>
          <cell r="J195">
            <v>90</v>
          </cell>
          <cell r="K195">
            <v>15</v>
          </cell>
          <cell r="L195">
            <v>15</v>
          </cell>
          <cell r="M195">
            <v>30</v>
          </cell>
        </row>
        <row r="196">
          <cell r="B196" t="str">
            <v>MIO AEROX 155</v>
          </cell>
          <cell r="C196" t="str">
            <v>OLD MODEL CODE</v>
          </cell>
          <cell r="D196" t="str">
            <v>YAMAHA</v>
          </cell>
          <cell r="E196" t="str">
            <v>MIO AEROX B1WB (BLUE)</v>
          </cell>
          <cell r="F196" t="str">
            <v>SCOOTER</v>
          </cell>
          <cell r="G196">
            <v>124527</v>
          </cell>
          <cell r="H196">
            <v>45</v>
          </cell>
          <cell r="I196">
            <v>30</v>
          </cell>
          <cell r="J196">
            <v>90</v>
          </cell>
          <cell r="K196">
            <v>15</v>
          </cell>
          <cell r="L196">
            <v>15</v>
          </cell>
          <cell r="M196">
            <v>30</v>
          </cell>
        </row>
        <row r="197">
          <cell r="B197" t="str">
            <v>MIO AEROX 155</v>
          </cell>
          <cell r="D197" t="str">
            <v>YAMAHA</v>
          </cell>
          <cell r="E197" t="str">
            <v>MIO AEROX B1W3 (BLUE/BLACK</v>
          </cell>
          <cell r="F197" t="str">
            <v>SCOOTER</v>
          </cell>
          <cell r="G197">
            <v>124527</v>
          </cell>
          <cell r="H197">
            <v>45</v>
          </cell>
          <cell r="I197">
            <v>30</v>
          </cell>
          <cell r="J197">
            <v>90</v>
          </cell>
          <cell r="K197">
            <v>15</v>
          </cell>
          <cell r="L197">
            <v>15</v>
          </cell>
          <cell r="M197">
            <v>30</v>
          </cell>
        </row>
        <row r="198">
          <cell r="B198" t="str">
            <v>MIO AEROX 155</v>
          </cell>
          <cell r="D198" t="str">
            <v>YAMAHA</v>
          </cell>
          <cell r="E198" t="str">
            <v>MIO AEROX BDM1(MATTE BLACK/BLACK)</v>
          </cell>
          <cell r="F198" t="str">
            <v>SCOOTER</v>
          </cell>
          <cell r="G198">
            <v>124527</v>
          </cell>
          <cell r="H198">
            <v>45</v>
          </cell>
          <cell r="I198">
            <v>30</v>
          </cell>
          <cell r="J198">
            <v>90</v>
          </cell>
          <cell r="K198">
            <v>15</v>
          </cell>
          <cell r="L198">
            <v>15</v>
          </cell>
          <cell r="M198">
            <v>30</v>
          </cell>
        </row>
        <row r="199">
          <cell r="B199" t="str">
            <v>MIO AEROX 155</v>
          </cell>
          <cell r="D199" t="str">
            <v>YAMAHA</v>
          </cell>
          <cell r="E199" t="str">
            <v>MIO AEROX BDM1(RED/MATTE BLACK)</v>
          </cell>
          <cell r="F199" t="str">
            <v>SCOOTER</v>
          </cell>
          <cell r="G199">
            <v>124527</v>
          </cell>
          <cell r="H199">
            <v>45</v>
          </cell>
          <cell r="I199">
            <v>30</v>
          </cell>
          <cell r="J199">
            <v>90</v>
          </cell>
          <cell r="K199">
            <v>15</v>
          </cell>
          <cell r="L199">
            <v>15</v>
          </cell>
          <cell r="M199">
            <v>30</v>
          </cell>
        </row>
        <row r="200">
          <cell r="B200" t="str">
            <v>MIO AEROX 155</v>
          </cell>
          <cell r="D200" t="str">
            <v>YAMAHA</v>
          </cell>
          <cell r="E200" t="str">
            <v>MIO AEROX BDM1(GRAY/BLACK)</v>
          </cell>
          <cell r="F200" t="str">
            <v>SCOOTER</v>
          </cell>
          <cell r="G200">
            <v>124527</v>
          </cell>
          <cell r="H200">
            <v>45</v>
          </cell>
          <cell r="I200">
            <v>30</v>
          </cell>
          <cell r="J200">
            <v>90</v>
          </cell>
          <cell r="K200">
            <v>15</v>
          </cell>
          <cell r="L200">
            <v>15</v>
          </cell>
          <cell r="M200">
            <v>30</v>
          </cell>
        </row>
        <row r="201">
          <cell r="B201" t="str">
            <v>MIO AEROX 155</v>
          </cell>
          <cell r="D201" t="str">
            <v>YAMAHA</v>
          </cell>
          <cell r="E201" t="str">
            <v>MIO AEROX BDM1(BLUE/MATTE GRAY)</v>
          </cell>
          <cell r="F201" t="str">
            <v>SCOOTER</v>
          </cell>
          <cell r="G201">
            <v>124527</v>
          </cell>
          <cell r="H201">
            <v>45</v>
          </cell>
          <cell r="I201">
            <v>30</v>
          </cell>
          <cell r="J201">
            <v>90</v>
          </cell>
          <cell r="K201">
            <v>15</v>
          </cell>
          <cell r="L201">
            <v>15</v>
          </cell>
          <cell r="M201">
            <v>30</v>
          </cell>
        </row>
        <row r="202">
          <cell r="B202" t="str">
            <v>MIO AEROX 155</v>
          </cell>
          <cell r="D202" t="str">
            <v>YAMAHA</v>
          </cell>
          <cell r="E202" t="str">
            <v>MIO AEROX BKM1 (MATTE BLACK/BLACK)</v>
          </cell>
          <cell r="F202" t="str">
            <v>SCOOTER</v>
          </cell>
          <cell r="G202">
            <v>124527</v>
          </cell>
          <cell r="H202">
            <v>45</v>
          </cell>
          <cell r="I202">
            <v>30</v>
          </cell>
          <cell r="J202">
            <v>90</v>
          </cell>
          <cell r="K202">
            <v>15</v>
          </cell>
          <cell r="L202">
            <v>15</v>
          </cell>
          <cell r="M202">
            <v>30</v>
          </cell>
        </row>
        <row r="203">
          <cell r="B203" t="str">
            <v>MIO AEROX 155</v>
          </cell>
          <cell r="D203" t="str">
            <v>YAMAHA</v>
          </cell>
          <cell r="E203" t="str">
            <v>MIO AEROX BKM1 (RED/MATTE BLACK)</v>
          </cell>
          <cell r="F203" t="str">
            <v>SCOOTER</v>
          </cell>
          <cell r="G203">
            <v>124527</v>
          </cell>
          <cell r="H203">
            <v>45</v>
          </cell>
          <cell r="I203">
            <v>30</v>
          </cell>
          <cell r="J203">
            <v>90</v>
          </cell>
          <cell r="K203">
            <v>15</v>
          </cell>
          <cell r="L203">
            <v>15</v>
          </cell>
          <cell r="M203">
            <v>30</v>
          </cell>
        </row>
        <row r="204">
          <cell r="B204" t="str">
            <v>MIO AEROX 155</v>
          </cell>
          <cell r="D204" t="str">
            <v>YAMAHA</v>
          </cell>
          <cell r="E204" t="str">
            <v>MIO AEROX BKM1 (GRAY/BLACK)</v>
          </cell>
          <cell r="F204" t="str">
            <v>SCOOTER</v>
          </cell>
          <cell r="G204">
            <v>124527</v>
          </cell>
          <cell r="H204">
            <v>45</v>
          </cell>
          <cell r="I204">
            <v>30</v>
          </cell>
          <cell r="J204">
            <v>90</v>
          </cell>
          <cell r="K204">
            <v>15</v>
          </cell>
          <cell r="L204">
            <v>15</v>
          </cell>
          <cell r="M204">
            <v>30</v>
          </cell>
        </row>
        <row r="205">
          <cell r="B205" t="str">
            <v>MIO AEROX 155</v>
          </cell>
          <cell r="D205" t="str">
            <v>YAMAHA</v>
          </cell>
          <cell r="E205" t="str">
            <v>MIO AEROX BKM1 (BLUE/MATTE GRAY)</v>
          </cell>
          <cell r="F205" t="str">
            <v>SCOOTER</v>
          </cell>
          <cell r="G205">
            <v>124527</v>
          </cell>
          <cell r="H205">
            <v>45</v>
          </cell>
          <cell r="I205">
            <v>30</v>
          </cell>
          <cell r="J205">
            <v>90</v>
          </cell>
          <cell r="K205">
            <v>15</v>
          </cell>
          <cell r="L205">
            <v>15</v>
          </cell>
          <cell r="M205">
            <v>30</v>
          </cell>
        </row>
        <row r="206">
          <cell r="B206" t="str">
            <v>MIO AEROX 155</v>
          </cell>
          <cell r="C206" t="str">
            <v>LATEST MODEL CODE</v>
          </cell>
          <cell r="D206" t="str">
            <v>YAMAHA</v>
          </cell>
          <cell r="E206" t="str">
            <v>MIO AEROX BRW1 (MATTE BLACK/ BLACK)</v>
          </cell>
          <cell r="F206" t="str">
            <v>SCOOTER</v>
          </cell>
          <cell r="G206">
            <v>124527</v>
          </cell>
          <cell r="H206">
            <v>45</v>
          </cell>
          <cell r="I206">
            <v>30</v>
          </cell>
          <cell r="J206">
            <v>90</v>
          </cell>
          <cell r="K206">
            <v>15</v>
          </cell>
          <cell r="L206">
            <v>15</v>
          </cell>
          <cell r="M206">
            <v>30</v>
          </cell>
        </row>
        <row r="207">
          <cell r="B207" t="str">
            <v>MIO AEROX 155</v>
          </cell>
          <cell r="C207" t="str">
            <v>LATEST MODEL CODE</v>
          </cell>
          <cell r="D207" t="str">
            <v>YAMAHA</v>
          </cell>
          <cell r="E207" t="str">
            <v>MIO AEROX BRW1 (GRAY/ BLACK)</v>
          </cell>
          <cell r="F207" t="str">
            <v>SCOOTER</v>
          </cell>
          <cell r="G207">
            <v>124527</v>
          </cell>
          <cell r="H207">
            <v>45</v>
          </cell>
          <cell r="I207">
            <v>30</v>
          </cell>
          <cell r="J207">
            <v>90</v>
          </cell>
          <cell r="K207">
            <v>15</v>
          </cell>
          <cell r="L207">
            <v>15</v>
          </cell>
          <cell r="M207">
            <v>30</v>
          </cell>
        </row>
        <row r="208">
          <cell r="B208" t="str">
            <v>MIO AEROX 155</v>
          </cell>
          <cell r="C208" t="str">
            <v>LATEST MODEL CODE</v>
          </cell>
          <cell r="D208" t="str">
            <v>YAMAHA</v>
          </cell>
          <cell r="E208" t="str">
            <v>MIO AEROX BRW1 (BLUE/ MATTE GRAY)</v>
          </cell>
          <cell r="F208" t="str">
            <v>SCOOTER</v>
          </cell>
          <cell r="G208">
            <v>124527</v>
          </cell>
          <cell r="H208">
            <v>45</v>
          </cell>
          <cell r="I208">
            <v>30</v>
          </cell>
          <cell r="J208">
            <v>90</v>
          </cell>
          <cell r="K208">
            <v>15</v>
          </cell>
          <cell r="L208">
            <v>15</v>
          </cell>
          <cell r="M208">
            <v>30</v>
          </cell>
        </row>
        <row r="209">
          <cell r="B209" t="str">
            <v>MIO AEROX 155</v>
          </cell>
          <cell r="D209" t="str">
            <v>YAMAHA</v>
          </cell>
          <cell r="E209" t="str">
            <v>MIO AEROX BRW4 (BLACK/ MATTE BLACK)</v>
          </cell>
          <cell r="F209" t="str">
            <v>SCOOTER</v>
          </cell>
          <cell r="G209">
            <v>124527</v>
          </cell>
          <cell r="H209">
            <v>45</v>
          </cell>
          <cell r="I209">
            <v>30</v>
          </cell>
          <cell r="J209">
            <v>90</v>
          </cell>
          <cell r="K209">
            <v>15</v>
          </cell>
          <cell r="L209">
            <v>15</v>
          </cell>
          <cell r="M209">
            <v>30</v>
          </cell>
        </row>
        <row r="210">
          <cell r="B210" t="str">
            <v>MIO AEROX 155</v>
          </cell>
          <cell r="D210" t="str">
            <v>YAMAHA</v>
          </cell>
          <cell r="E210" t="str">
            <v>MIO AEROX BRW4 (GRAY/BLACK)</v>
          </cell>
          <cell r="F210" t="str">
            <v>SCOOTER</v>
          </cell>
          <cell r="G210">
            <v>124527</v>
          </cell>
          <cell r="H210">
            <v>45</v>
          </cell>
          <cell r="I210">
            <v>30</v>
          </cell>
          <cell r="J210">
            <v>90</v>
          </cell>
          <cell r="K210">
            <v>15</v>
          </cell>
          <cell r="L210">
            <v>15</v>
          </cell>
          <cell r="M210">
            <v>30</v>
          </cell>
        </row>
        <row r="211">
          <cell r="B211" t="str">
            <v>MIO AEROX 155</v>
          </cell>
          <cell r="D211" t="str">
            <v>YAMAHA</v>
          </cell>
          <cell r="E211" t="str">
            <v>MIO AEROX BRW4 (BLUE/ MATTE BLUE)</v>
          </cell>
          <cell r="F211" t="str">
            <v>SCOOTER</v>
          </cell>
          <cell r="G211">
            <v>124527</v>
          </cell>
          <cell r="H211">
            <v>45</v>
          </cell>
          <cell r="I211">
            <v>30</v>
          </cell>
          <cell r="J211">
            <v>90</v>
          </cell>
          <cell r="K211">
            <v>15</v>
          </cell>
          <cell r="L211">
            <v>15</v>
          </cell>
          <cell r="M211">
            <v>30</v>
          </cell>
        </row>
        <row r="212">
          <cell r="B212" t="str">
            <v>MIO AEROX 155</v>
          </cell>
          <cell r="D212" t="str">
            <v>YAMAHA</v>
          </cell>
          <cell r="E212" t="str">
            <v>MIO AEROX BRW4 (MATTE GRAY/ BLACK)</v>
          </cell>
          <cell r="F212" t="str">
            <v>SCOOTER</v>
          </cell>
          <cell r="G212">
            <v>124527</v>
          </cell>
          <cell r="H212">
            <v>45</v>
          </cell>
          <cell r="I212">
            <v>30</v>
          </cell>
          <cell r="J212">
            <v>90</v>
          </cell>
          <cell r="K212">
            <v>15</v>
          </cell>
          <cell r="L212">
            <v>15</v>
          </cell>
          <cell r="M212">
            <v>30</v>
          </cell>
        </row>
        <row r="213">
          <cell r="B213" t="str">
            <v>MIO AEROX S 155</v>
          </cell>
          <cell r="C213" t="str">
            <v>OLD MODEL CODE</v>
          </cell>
          <cell r="D213" t="str">
            <v>YAMAHA</v>
          </cell>
          <cell r="E213" t="str">
            <v>MIO AEROX S B1W1 (WHITE/GRAY)</v>
          </cell>
          <cell r="F213" t="str">
            <v>SCOOTER</v>
          </cell>
          <cell r="G213">
            <v>152892</v>
          </cell>
          <cell r="H213">
            <v>45</v>
          </cell>
          <cell r="I213">
            <v>30</v>
          </cell>
          <cell r="J213">
            <v>90</v>
          </cell>
          <cell r="K213">
            <v>15</v>
          </cell>
          <cell r="L213">
            <v>15</v>
          </cell>
          <cell r="M213">
            <v>30</v>
          </cell>
        </row>
        <row r="214">
          <cell r="B214" t="str">
            <v>MIO AEROX S 155</v>
          </cell>
          <cell r="C214" t="str">
            <v>OLD MODEL CODE</v>
          </cell>
          <cell r="D214" t="str">
            <v>YAMAHA</v>
          </cell>
          <cell r="E214" t="str">
            <v>MIO AEROX S B1W1 (MATTE BLUE/ORANGE)</v>
          </cell>
          <cell r="F214" t="str">
            <v>SCOOTER</v>
          </cell>
          <cell r="G214">
            <v>134850</v>
          </cell>
          <cell r="H214">
            <v>45</v>
          </cell>
          <cell r="I214">
            <v>30</v>
          </cell>
          <cell r="J214">
            <v>90</v>
          </cell>
          <cell r="K214">
            <v>15</v>
          </cell>
          <cell r="L214">
            <v>15</v>
          </cell>
          <cell r="M214">
            <v>30</v>
          </cell>
        </row>
        <row r="215">
          <cell r="B215" t="str">
            <v>MIO AEROX S 155</v>
          </cell>
          <cell r="C215" t="str">
            <v>OLD MODEL CODE</v>
          </cell>
          <cell r="D215" t="str">
            <v>YAMAHA</v>
          </cell>
          <cell r="E215" t="str">
            <v>MIO AEROX DOXOU B1W5</v>
          </cell>
          <cell r="F215" t="str">
            <v>SCOOTER</v>
          </cell>
          <cell r="G215">
            <v>134850</v>
          </cell>
          <cell r="H215">
            <v>45</v>
          </cell>
          <cell r="I215">
            <v>30</v>
          </cell>
          <cell r="J215">
            <v>90</v>
          </cell>
          <cell r="K215">
            <v>15</v>
          </cell>
          <cell r="L215">
            <v>15</v>
          </cell>
          <cell r="M215">
            <v>30</v>
          </cell>
        </row>
        <row r="216">
          <cell r="B216" t="str">
            <v>MIO AEROX S 155</v>
          </cell>
          <cell r="C216" t="str">
            <v>OLD MODEL CODE</v>
          </cell>
          <cell r="D216" t="str">
            <v>YAMAHA</v>
          </cell>
          <cell r="E216" t="str">
            <v>MIO AEROX B1WA (MONSTER ENERGY EDITION)</v>
          </cell>
          <cell r="F216" t="str">
            <v>SCOOTER</v>
          </cell>
          <cell r="G216">
            <v>134850</v>
          </cell>
          <cell r="H216">
            <v>45</v>
          </cell>
          <cell r="I216">
            <v>30</v>
          </cell>
          <cell r="J216">
            <v>90</v>
          </cell>
          <cell r="K216">
            <v>15</v>
          </cell>
          <cell r="L216">
            <v>15</v>
          </cell>
          <cell r="M216">
            <v>30</v>
          </cell>
        </row>
        <row r="217">
          <cell r="B217" t="str">
            <v>MIO AEROX S 155</v>
          </cell>
          <cell r="C217" t="str">
            <v>OLD MODEL CODE</v>
          </cell>
          <cell r="D217" t="str">
            <v>YAMAHA</v>
          </cell>
          <cell r="E217" t="str">
            <v>MIO AEROX B1W6 (MATTE ORANGE/BLACK)</v>
          </cell>
          <cell r="F217" t="str">
            <v>SCOOTER</v>
          </cell>
          <cell r="G217">
            <v>134850</v>
          </cell>
          <cell r="H217">
            <v>45</v>
          </cell>
          <cell r="I217">
            <v>30</v>
          </cell>
          <cell r="J217">
            <v>90</v>
          </cell>
          <cell r="K217">
            <v>15</v>
          </cell>
          <cell r="L217">
            <v>15</v>
          </cell>
          <cell r="M217">
            <v>30</v>
          </cell>
        </row>
        <row r="218">
          <cell r="B218" t="str">
            <v>MIO AEROX S 155</v>
          </cell>
          <cell r="C218" t="str">
            <v>OLD MODEL CODE</v>
          </cell>
          <cell r="D218" t="str">
            <v>YAMAHA</v>
          </cell>
          <cell r="E218" t="str">
            <v>MIO AEROX S B1W7 (WHITE/GRAY)</v>
          </cell>
          <cell r="F218" t="str">
            <v>SCOOTER</v>
          </cell>
          <cell r="G218">
            <v>134850</v>
          </cell>
          <cell r="H218">
            <v>45</v>
          </cell>
          <cell r="I218">
            <v>30</v>
          </cell>
          <cell r="J218">
            <v>90</v>
          </cell>
          <cell r="K218">
            <v>15</v>
          </cell>
          <cell r="L218">
            <v>15</v>
          </cell>
          <cell r="M218">
            <v>30</v>
          </cell>
        </row>
        <row r="219">
          <cell r="B219" t="str">
            <v>MIO AEROX S 155</v>
          </cell>
          <cell r="C219" t="str">
            <v>OLD MODEL CODE</v>
          </cell>
          <cell r="D219" t="str">
            <v>YAMAHA</v>
          </cell>
          <cell r="E219" t="str">
            <v>MIO AEROX S B1W7 (MATTE BLUE/ORANGE)</v>
          </cell>
          <cell r="F219" t="str">
            <v>SCOOTER</v>
          </cell>
          <cell r="G219">
            <v>134850</v>
          </cell>
          <cell r="H219">
            <v>45</v>
          </cell>
          <cell r="I219">
            <v>30</v>
          </cell>
          <cell r="J219">
            <v>90</v>
          </cell>
          <cell r="K219">
            <v>15</v>
          </cell>
          <cell r="L219">
            <v>15</v>
          </cell>
          <cell r="M219">
            <v>30</v>
          </cell>
        </row>
        <row r="220">
          <cell r="B220" t="str">
            <v>MIO AEROX S 155</v>
          </cell>
          <cell r="D220" t="str">
            <v>YAMAHA</v>
          </cell>
          <cell r="E220" t="str">
            <v>MIO AEROX S BDM2(MATTE BLACK/BLACK)</v>
          </cell>
          <cell r="F220" t="str">
            <v>SCOOTER</v>
          </cell>
          <cell r="G220">
            <v>134850</v>
          </cell>
          <cell r="H220">
            <v>45</v>
          </cell>
          <cell r="I220">
            <v>30</v>
          </cell>
          <cell r="J220">
            <v>90</v>
          </cell>
          <cell r="K220">
            <v>15</v>
          </cell>
          <cell r="L220">
            <v>15</v>
          </cell>
          <cell r="M220">
            <v>30</v>
          </cell>
        </row>
        <row r="221">
          <cell r="B221" t="str">
            <v>MIO AEROX S 155</v>
          </cell>
          <cell r="D221" t="str">
            <v>YAMAHA</v>
          </cell>
          <cell r="E221" t="str">
            <v>MIO AEROX MONSTER EDITION(BLACK)</v>
          </cell>
          <cell r="F221" t="str">
            <v>SCOOTER</v>
          </cell>
          <cell r="G221">
            <v>134850</v>
          </cell>
          <cell r="H221">
            <v>45</v>
          </cell>
          <cell r="I221">
            <v>30</v>
          </cell>
          <cell r="J221">
            <v>90</v>
          </cell>
          <cell r="K221">
            <v>15</v>
          </cell>
          <cell r="L221">
            <v>15</v>
          </cell>
          <cell r="M221">
            <v>30</v>
          </cell>
        </row>
        <row r="222">
          <cell r="B222" t="str">
            <v>MIO AEROX S 155</v>
          </cell>
          <cell r="D222" t="str">
            <v>YAMAHA</v>
          </cell>
          <cell r="E222" t="str">
            <v>MIO AEROX BDM4 (MATTE SILVER/ MATTE DARK GRAY)</v>
          </cell>
          <cell r="F222" t="str">
            <v>SCOOTER</v>
          </cell>
          <cell r="G222">
            <v>134850</v>
          </cell>
          <cell r="H222">
            <v>45</v>
          </cell>
          <cell r="I222">
            <v>30</v>
          </cell>
          <cell r="J222">
            <v>90</v>
          </cell>
          <cell r="K222">
            <v>15</v>
          </cell>
          <cell r="L222">
            <v>15</v>
          </cell>
          <cell r="M222">
            <v>30</v>
          </cell>
        </row>
        <row r="223">
          <cell r="B223" t="str">
            <v>MIO AEROX S 155</v>
          </cell>
          <cell r="D223" t="str">
            <v>YAMAHA</v>
          </cell>
          <cell r="E223" t="str">
            <v>MIO AEROX S BDM9 (WHITE/ RED)</v>
          </cell>
          <cell r="F223" t="str">
            <v>SCOOTER</v>
          </cell>
          <cell r="G223">
            <v>134850</v>
          </cell>
          <cell r="H223">
            <v>45</v>
          </cell>
          <cell r="I223">
            <v>30</v>
          </cell>
          <cell r="J223">
            <v>90</v>
          </cell>
          <cell r="K223">
            <v>15</v>
          </cell>
          <cell r="L223">
            <v>15</v>
          </cell>
          <cell r="M223">
            <v>30</v>
          </cell>
        </row>
        <row r="224">
          <cell r="B224" t="str">
            <v>MIO AEROX S 155</v>
          </cell>
          <cell r="D224" t="str">
            <v>YAMAHA</v>
          </cell>
          <cell r="E224" t="str">
            <v>MIO AEROX S BKM2</v>
          </cell>
          <cell r="F224" t="str">
            <v>SCOOTER</v>
          </cell>
          <cell r="G224">
            <v>134850</v>
          </cell>
          <cell r="H224">
            <v>45</v>
          </cell>
          <cell r="I224">
            <v>30</v>
          </cell>
          <cell r="J224">
            <v>90</v>
          </cell>
          <cell r="K224">
            <v>15</v>
          </cell>
          <cell r="L224">
            <v>15</v>
          </cell>
          <cell r="M224">
            <v>30</v>
          </cell>
        </row>
        <row r="225">
          <cell r="B225" t="str">
            <v>MIO AEROX S 155</v>
          </cell>
          <cell r="D225" t="str">
            <v>YAMAHA</v>
          </cell>
          <cell r="E225" t="str">
            <v>MIO AEROX BRW2 (MATTE BLACK/ BLACK)</v>
          </cell>
          <cell r="F225" t="str">
            <v>SCOOTER</v>
          </cell>
          <cell r="G225">
            <v>134850</v>
          </cell>
          <cell r="H225">
            <v>45</v>
          </cell>
          <cell r="I225">
            <v>30</v>
          </cell>
          <cell r="J225">
            <v>90</v>
          </cell>
          <cell r="K225">
            <v>15</v>
          </cell>
          <cell r="L225">
            <v>15</v>
          </cell>
          <cell r="M225">
            <v>30</v>
          </cell>
        </row>
        <row r="226">
          <cell r="B226" t="str">
            <v>MIO AEROX S 155</v>
          </cell>
          <cell r="D226" t="str">
            <v>YAMAHA</v>
          </cell>
          <cell r="E226" t="str">
            <v>MIO AEROX S B1W5/B1W8/B1WC DOXOU</v>
          </cell>
          <cell r="F226" t="str">
            <v>SCOOTER</v>
          </cell>
          <cell r="G226">
            <v>134850</v>
          </cell>
          <cell r="H226">
            <v>45</v>
          </cell>
          <cell r="I226">
            <v>30</v>
          </cell>
          <cell r="J226">
            <v>90</v>
          </cell>
          <cell r="K226">
            <v>15</v>
          </cell>
          <cell r="L226">
            <v>15</v>
          </cell>
          <cell r="M226">
            <v>30</v>
          </cell>
        </row>
        <row r="227">
          <cell r="B227" t="str">
            <v>MIO AEROX S 155</v>
          </cell>
          <cell r="D227" t="str">
            <v>YAMAHA</v>
          </cell>
          <cell r="E227" t="str">
            <v>MIO AEROX S BRW5 (MATTE DARK GRAY/BLACK)</v>
          </cell>
          <cell r="F227" t="str">
            <v>SCOOTER</v>
          </cell>
          <cell r="G227">
            <v>134850</v>
          </cell>
          <cell r="H227">
            <v>45</v>
          </cell>
          <cell r="I227">
            <v>30</v>
          </cell>
          <cell r="J227">
            <v>90</v>
          </cell>
          <cell r="K227">
            <v>15</v>
          </cell>
          <cell r="L227">
            <v>15</v>
          </cell>
          <cell r="M227">
            <v>30</v>
          </cell>
        </row>
        <row r="228">
          <cell r="B228" t="str">
            <v>MIO AEROX S 155</v>
          </cell>
          <cell r="D228" t="str">
            <v>YAMAHA</v>
          </cell>
          <cell r="E228" t="str">
            <v>MIO AEROX S BRW5 (MATTE WHITE/ MATTE GRAY)</v>
          </cell>
          <cell r="F228" t="str">
            <v>SCOOTER</v>
          </cell>
          <cell r="G228">
            <v>134850</v>
          </cell>
          <cell r="H228">
            <v>45</v>
          </cell>
          <cell r="I228">
            <v>30</v>
          </cell>
          <cell r="J228">
            <v>90</v>
          </cell>
          <cell r="K228">
            <v>15</v>
          </cell>
          <cell r="L228">
            <v>15</v>
          </cell>
          <cell r="M228">
            <v>30</v>
          </cell>
        </row>
        <row r="229">
          <cell r="B229" t="str">
            <v>MIO GEAR</v>
          </cell>
          <cell r="D229" t="str">
            <v>YAMAHA</v>
          </cell>
          <cell r="E229" t="str">
            <v>MIO GEAR BJN1 (MATTE WHITE)</v>
          </cell>
          <cell r="F229" t="str">
            <v>SCOOTER</v>
          </cell>
          <cell r="G229">
            <v>73842</v>
          </cell>
          <cell r="H229">
            <v>45</v>
          </cell>
          <cell r="I229">
            <v>30</v>
          </cell>
          <cell r="J229">
            <v>90</v>
          </cell>
          <cell r="K229">
            <v>15</v>
          </cell>
          <cell r="L229">
            <v>15</v>
          </cell>
          <cell r="M229">
            <v>30</v>
          </cell>
        </row>
        <row r="230">
          <cell r="B230" t="str">
            <v>MIO GEAR</v>
          </cell>
          <cell r="D230" t="str">
            <v>YAMAHA</v>
          </cell>
          <cell r="E230" t="str">
            <v>MIO GEAR BJN1 (MATTE GRAY)</v>
          </cell>
          <cell r="F230" t="str">
            <v>SCOOTER</v>
          </cell>
          <cell r="G230">
            <v>73842</v>
          </cell>
          <cell r="H230">
            <v>45</v>
          </cell>
          <cell r="I230">
            <v>30</v>
          </cell>
          <cell r="J230">
            <v>90</v>
          </cell>
          <cell r="K230">
            <v>15</v>
          </cell>
          <cell r="L230">
            <v>15</v>
          </cell>
          <cell r="M230">
            <v>30</v>
          </cell>
        </row>
        <row r="231">
          <cell r="B231" t="str">
            <v>MIO GEAR</v>
          </cell>
          <cell r="D231" t="str">
            <v>YAMAHA</v>
          </cell>
          <cell r="E231" t="str">
            <v>MIO GEAR BJN1 (MATTE DARK GRAY)</v>
          </cell>
          <cell r="F231" t="str">
            <v>SCOOTER</v>
          </cell>
          <cell r="G231">
            <v>73842</v>
          </cell>
          <cell r="H231">
            <v>45</v>
          </cell>
          <cell r="I231">
            <v>30</v>
          </cell>
          <cell r="J231">
            <v>90</v>
          </cell>
          <cell r="K231">
            <v>15</v>
          </cell>
          <cell r="L231">
            <v>15</v>
          </cell>
          <cell r="M231">
            <v>30</v>
          </cell>
        </row>
        <row r="232">
          <cell r="B232" t="str">
            <v>MIO GEAR</v>
          </cell>
          <cell r="D232" t="str">
            <v>YAMAHA</v>
          </cell>
          <cell r="E232" t="str">
            <v>MIO GEAR BJN4 (MATTE DARK GRAY)</v>
          </cell>
          <cell r="F232" t="str">
            <v>SCOOTER</v>
          </cell>
          <cell r="G232">
            <v>73842</v>
          </cell>
          <cell r="H232">
            <v>45</v>
          </cell>
          <cell r="I232">
            <v>30</v>
          </cell>
          <cell r="J232">
            <v>90</v>
          </cell>
          <cell r="K232">
            <v>15</v>
          </cell>
          <cell r="L232">
            <v>15</v>
          </cell>
          <cell r="M232">
            <v>30</v>
          </cell>
        </row>
        <row r="233">
          <cell r="B233" t="str">
            <v>MIO GEAR</v>
          </cell>
          <cell r="D233" t="str">
            <v>YAMAHA</v>
          </cell>
          <cell r="E233" t="str">
            <v>MIO GEAR BJN4 (MATTE GRAY)</v>
          </cell>
          <cell r="F233" t="str">
            <v>SCOOTER</v>
          </cell>
          <cell r="G233">
            <v>73842</v>
          </cell>
          <cell r="H233">
            <v>45</v>
          </cell>
          <cell r="I233">
            <v>30</v>
          </cell>
          <cell r="J233">
            <v>90</v>
          </cell>
          <cell r="K233">
            <v>15</v>
          </cell>
          <cell r="L233">
            <v>15</v>
          </cell>
          <cell r="M233">
            <v>30</v>
          </cell>
        </row>
        <row r="234">
          <cell r="B234" t="str">
            <v>MIO GEAR S</v>
          </cell>
          <cell r="D234" t="str">
            <v>YAMAHA</v>
          </cell>
          <cell r="E234" t="str">
            <v>MIO GEAR S BJN200 (MATTE BLACK)</v>
          </cell>
          <cell r="F234" t="str">
            <v>SCOOTER</v>
          </cell>
          <cell r="G234">
            <v>76167</v>
          </cell>
          <cell r="H234">
            <v>45</v>
          </cell>
          <cell r="I234">
            <v>30</v>
          </cell>
          <cell r="J234">
            <v>90</v>
          </cell>
          <cell r="K234">
            <v>15</v>
          </cell>
          <cell r="L234">
            <v>15</v>
          </cell>
          <cell r="M234">
            <v>30</v>
          </cell>
        </row>
        <row r="235">
          <cell r="B235" t="str">
            <v>MIO GEAR S</v>
          </cell>
          <cell r="D235" t="str">
            <v>YAMAHA</v>
          </cell>
          <cell r="E235" t="str">
            <v>MIO GEAR S BJN200 (MATTE BLUE)</v>
          </cell>
          <cell r="F235" t="str">
            <v>SCOOTER</v>
          </cell>
          <cell r="G235">
            <v>76167</v>
          </cell>
          <cell r="H235">
            <v>45</v>
          </cell>
          <cell r="I235">
            <v>30</v>
          </cell>
          <cell r="J235">
            <v>90</v>
          </cell>
          <cell r="K235">
            <v>15</v>
          </cell>
          <cell r="L235">
            <v>15</v>
          </cell>
          <cell r="M235">
            <v>30</v>
          </cell>
        </row>
        <row r="236">
          <cell r="B236" t="str">
            <v>MIO GEAR S</v>
          </cell>
          <cell r="D236" t="str">
            <v>YAMAHA</v>
          </cell>
          <cell r="E236" t="str">
            <v>MIO GEAR S BJN3 (FINDURTRIP)</v>
          </cell>
          <cell r="F236" t="str">
            <v>SCOOTER</v>
          </cell>
          <cell r="G236">
            <v>76167</v>
          </cell>
          <cell r="H236">
            <v>45</v>
          </cell>
          <cell r="I236">
            <v>30</v>
          </cell>
          <cell r="J236">
            <v>90</v>
          </cell>
          <cell r="K236">
            <v>15</v>
          </cell>
          <cell r="L236">
            <v>15</v>
          </cell>
          <cell r="M236">
            <v>30</v>
          </cell>
        </row>
        <row r="237">
          <cell r="B237" t="str">
            <v>MIO GEAR S</v>
          </cell>
          <cell r="D237" t="str">
            <v>YAMAHA</v>
          </cell>
          <cell r="E237" t="str">
            <v>MIO GEAR S BJN200 (MATTE BROWN)</v>
          </cell>
          <cell r="F237" t="str">
            <v>SCOOTER</v>
          </cell>
          <cell r="G237">
            <v>76167</v>
          </cell>
          <cell r="H237">
            <v>45</v>
          </cell>
          <cell r="I237">
            <v>30</v>
          </cell>
          <cell r="J237">
            <v>90</v>
          </cell>
          <cell r="K237">
            <v>15</v>
          </cell>
          <cell r="L237">
            <v>15</v>
          </cell>
          <cell r="M237">
            <v>30</v>
          </cell>
        </row>
        <row r="238">
          <cell r="B238" t="str">
            <v>MIO GEAR S</v>
          </cell>
          <cell r="D238" t="str">
            <v>YAMAHA</v>
          </cell>
          <cell r="E238" t="str">
            <v>MIO GEAR S BJN5 (MATTE BLACK)</v>
          </cell>
          <cell r="F238" t="str">
            <v>SCOOTER</v>
          </cell>
          <cell r="G238">
            <v>76167</v>
          </cell>
          <cell r="H238">
            <v>45</v>
          </cell>
          <cell r="I238">
            <v>30</v>
          </cell>
          <cell r="J238">
            <v>90</v>
          </cell>
          <cell r="K238">
            <v>15</v>
          </cell>
          <cell r="L238">
            <v>15</v>
          </cell>
          <cell r="M238">
            <v>30</v>
          </cell>
        </row>
        <row r="239">
          <cell r="B239" t="str">
            <v>MIO GEAR S</v>
          </cell>
          <cell r="D239" t="str">
            <v>YAMAHA</v>
          </cell>
          <cell r="E239" t="str">
            <v>MIO GEAR S BJN5 (MATTE BLACK)</v>
          </cell>
          <cell r="F239" t="str">
            <v>SCOOTER</v>
          </cell>
          <cell r="G239">
            <v>76167</v>
          </cell>
          <cell r="H239">
            <v>45</v>
          </cell>
          <cell r="I239">
            <v>30</v>
          </cell>
          <cell r="J239">
            <v>90</v>
          </cell>
          <cell r="K239">
            <v>15</v>
          </cell>
          <cell r="L239">
            <v>15</v>
          </cell>
          <cell r="M239">
            <v>30</v>
          </cell>
        </row>
        <row r="240">
          <cell r="B240" t="str">
            <v>MIO GRAVIS</v>
          </cell>
          <cell r="D240" t="str">
            <v>YAMAHA</v>
          </cell>
          <cell r="E240" t="str">
            <v>MIO GRAVIS</v>
          </cell>
          <cell r="F240" t="str">
            <v>SCOOTER</v>
          </cell>
          <cell r="G240">
            <v>78957</v>
          </cell>
          <cell r="H240">
            <v>45</v>
          </cell>
          <cell r="I240">
            <v>30</v>
          </cell>
          <cell r="J240">
            <v>90</v>
          </cell>
          <cell r="K240">
            <v>15</v>
          </cell>
          <cell r="L240">
            <v>15</v>
          </cell>
          <cell r="M240">
            <v>30</v>
          </cell>
        </row>
        <row r="241">
          <cell r="B241" t="str">
            <v>MIO GRAVIS</v>
          </cell>
          <cell r="D241" t="str">
            <v>YAMAHA</v>
          </cell>
          <cell r="E241" t="str">
            <v>MIO GRAVIS</v>
          </cell>
          <cell r="F241" t="str">
            <v>SCOOTER</v>
          </cell>
          <cell r="G241">
            <v>78957</v>
          </cell>
          <cell r="H241">
            <v>45</v>
          </cell>
          <cell r="I241">
            <v>30</v>
          </cell>
          <cell r="J241">
            <v>90</v>
          </cell>
          <cell r="K241">
            <v>15</v>
          </cell>
          <cell r="L241">
            <v>15</v>
          </cell>
          <cell r="M241">
            <v>30</v>
          </cell>
        </row>
        <row r="242">
          <cell r="B242" t="str">
            <v>MIO GRAVIS</v>
          </cell>
          <cell r="D242" t="str">
            <v>YAMAHA</v>
          </cell>
          <cell r="E242" t="str">
            <v>MIO GRAVIS</v>
          </cell>
          <cell r="F242" t="str">
            <v>SCOOTER</v>
          </cell>
          <cell r="G242">
            <v>78957</v>
          </cell>
          <cell r="H242">
            <v>45</v>
          </cell>
          <cell r="I242">
            <v>30</v>
          </cell>
          <cell r="J242">
            <v>90</v>
          </cell>
          <cell r="K242">
            <v>15</v>
          </cell>
          <cell r="L242">
            <v>15</v>
          </cell>
          <cell r="M242">
            <v>30</v>
          </cell>
        </row>
        <row r="243">
          <cell r="B243" t="str">
            <v>MIO GRAVIS</v>
          </cell>
          <cell r="C243" t="str">
            <v>OLD MODEL CODE</v>
          </cell>
          <cell r="D243" t="str">
            <v>YAMAHA</v>
          </cell>
          <cell r="E243" t="str">
            <v>MIO GRAVIS B3U2 (MATTED RED)</v>
          </cell>
          <cell r="F243" t="str">
            <v>SCOOTER</v>
          </cell>
          <cell r="G243">
            <v>78957</v>
          </cell>
          <cell r="H243">
            <v>45</v>
          </cell>
          <cell r="I243">
            <v>30</v>
          </cell>
          <cell r="J243">
            <v>90</v>
          </cell>
          <cell r="K243">
            <v>15</v>
          </cell>
          <cell r="L243">
            <v>15</v>
          </cell>
          <cell r="M243">
            <v>30</v>
          </cell>
        </row>
        <row r="244">
          <cell r="B244" t="str">
            <v>MIO GRAVIS</v>
          </cell>
          <cell r="C244" t="str">
            <v>OLD MODEL CODE</v>
          </cell>
          <cell r="D244" t="str">
            <v>YAMAHA</v>
          </cell>
          <cell r="E244" t="str">
            <v>MIO GRAVIS B3U2 (MATTED BLACK)</v>
          </cell>
          <cell r="F244" t="str">
            <v>SCOOTER</v>
          </cell>
          <cell r="G244">
            <v>78957</v>
          </cell>
          <cell r="H244">
            <v>45</v>
          </cell>
          <cell r="I244">
            <v>30</v>
          </cell>
          <cell r="J244">
            <v>90</v>
          </cell>
          <cell r="K244">
            <v>15</v>
          </cell>
          <cell r="L244">
            <v>15</v>
          </cell>
          <cell r="M244">
            <v>30</v>
          </cell>
        </row>
        <row r="245">
          <cell r="B245" t="str">
            <v>MIO GRAVIS</v>
          </cell>
          <cell r="C245" t="str">
            <v>OLD MODEL CODE</v>
          </cell>
          <cell r="D245" t="str">
            <v>YAMAHA</v>
          </cell>
          <cell r="E245" t="str">
            <v>MIO GRAVIS B3U2 (MATTED GREEN)</v>
          </cell>
          <cell r="F245" t="str">
            <v>SCOOTER</v>
          </cell>
          <cell r="G245">
            <v>78957</v>
          </cell>
          <cell r="H245">
            <v>45</v>
          </cell>
          <cell r="I245">
            <v>30</v>
          </cell>
          <cell r="J245">
            <v>90</v>
          </cell>
          <cell r="K245">
            <v>15</v>
          </cell>
          <cell r="L245">
            <v>15</v>
          </cell>
          <cell r="M245">
            <v>30</v>
          </cell>
        </row>
        <row r="246">
          <cell r="B246" t="str">
            <v>MIO GRAVIS</v>
          </cell>
          <cell r="D246" t="str">
            <v>YAMAHA</v>
          </cell>
          <cell r="E246" t="str">
            <v>MIO GRAVIS B3U3 (MATTED RED)</v>
          </cell>
          <cell r="F246" t="str">
            <v>SCOOTER</v>
          </cell>
          <cell r="G246">
            <v>78957</v>
          </cell>
          <cell r="H246">
            <v>45</v>
          </cell>
          <cell r="I246">
            <v>30</v>
          </cell>
          <cell r="J246">
            <v>90</v>
          </cell>
          <cell r="K246">
            <v>15</v>
          </cell>
          <cell r="L246">
            <v>15</v>
          </cell>
          <cell r="M246">
            <v>30</v>
          </cell>
        </row>
        <row r="247">
          <cell r="B247" t="str">
            <v>MIO GRAVIS</v>
          </cell>
          <cell r="D247" t="str">
            <v>YAMAHA</v>
          </cell>
          <cell r="E247" t="str">
            <v>MIO GRAVIS B3U3 (MATTED BLACK)</v>
          </cell>
          <cell r="F247" t="str">
            <v>SCOOTER</v>
          </cell>
          <cell r="G247">
            <v>78957</v>
          </cell>
          <cell r="H247">
            <v>45</v>
          </cell>
          <cell r="I247">
            <v>30</v>
          </cell>
          <cell r="J247">
            <v>90</v>
          </cell>
          <cell r="K247">
            <v>15</v>
          </cell>
          <cell r="L247">
            <v>15</v>
          </cell>
          <cell r="M247">
            <v>30</v>
          </cell>
        </row>
        <row r="248">
          <cell r="B248" t="str">
            <v>MIO GRAVIS</v>
          </cell>
          <cell r="D248" t="str">
            <v>YAMAHA</v>
          </cell>
          <cell r="E248" t="str">
            <v>MIO GRAVIS B3U3 (MATTED BLUE</v>
          </cell>
          <cell r="F248" t="str">
            <v>SCOOTER</v>
          </cell>
          <cell r="G248">
            <v>78957</v>
          </cell>
          <cell r="H248">
            <v>45</v>
          </cell>
          <cell r="I248">
            <v>30</v>
          </cell>
          <cell r="J248">
            <v>90</v>
          </cell>
          <cell r="K248">
            <v>15</v>
          </cell>
          <cell r="L248">
            <v>15</v>
          </cell>
          <cell r="M248">
            <v>30</v>
          </cell>
        </row>
        <row r="249">
          <cell r="B249" t="str">
            <v>MIO GRAVIS</v>
          </cell>
          <cell r="D249" t="str">
            <v>YAMAHA</v>
          </cell>
          <cell r="E249" t="str">
            <v>MIO GRAVIS B3U3 (SILVER/ MATTE DARK GRAY)</v>
          </cell>
          <cell r="F249" t="str">
            <v>SCOOTER</v>
          </cell>
          <cell r="G249">
            <v>78957</v>
          </cell>
          <cell r="H249">
            <v>45</v>
          </cell>
          <cell r="I249">
            <v>30</v>
          </cell>
          <cell r="J249">
            <v>90</v>
          </cell>
          <cell r="K249">
            <v>15</v>
          </cell>
          <cell r="L249">
            <v>15</v>
          </cell>
          <cell r="M249">
            <v>30</v>
          </cell>
        </row>
        <row r="250">
          <cell r="B250" t="str">
            <v>MIO GRAVIS</v>
          </cell>
          <cell r="D250" t="str">
            <v>YAMAHA</v>
          </cell>
          <cell r="E250" t="str">
            <v>MIO GRAVIS BKV1 (DARK/ GRAY)</v>
          </cell>
          <cell r="F250" t="str">
            <v>SCOOTER</v>
          </cell>
          <cell r="G250">
            <v>78957</v>
          </cell>
          <cell r="H250">
            <v>45</v>
          </cell>
          <cell r="I250">
            <v>30</v>
          </cell>
          <cell r="J250">
            <v>90</v>
          </cell>
          <cell r="K250">
            <v>15</v>
          </cell>
          <cell r="L250">
            <v>15</v>
          </cell>
          <cell r="M250">
            <v>30</v>
          </cell>
        </row>
        <row r="251">
          <cell r="B251" t="str">
            <v>MIO i125</v>
          </cell>
          <cell r="C251" t="str">
            <v>OLD MODEL CODE</v>
          </cell>
          <cell r="D251" t="str">
            <v>YAMAHA</v>
          </cell>
          <cell r="E251" t="str">
            <v>MIO I 125 BB36 (YELLOW/WHITE)</v>
          </cell>
          <cell r="F251" t="str">
            <v>SCOOTER</v>
          </cell>
          <cell r="G251">
            <v>70587</v>
          </cell>
          <cell r="H251">
            <v>45</v>
          </cell>
          <cell r="I251">
            <v>30</v>
          </cell>
          <cell r="J251">
            <v>90</v>
          </cell>
          <cell r="K251">
            <v>15</v>
          </cell>
          <cell r="L251">
            <v>15</v>
          </cell>
          <cell r="M251">
            <v>30</v>
          </cell>
        </row>
        <row r="252">
          <cell r="B252" t="str">
            <v>MIO i125</v>
          </cell>
          <cell r="C252" t="str">
            <v>OLD MODEL CODE</v>
          </cell>
          <cell r="D252" t="str">
            <v>YAMAHA</v>
          </cell>
          <cell r="E252" t="str">
            <v>MIO I 125 BB36 (MAGENTA/WHITE)</v>
          </cell>
          <cell r="F252" t="str">
            <v>SCOOTER</v>
          </cell>
          <cell r="G252">
            <v>70587</v>
          </cell>
          <cell r="H252">
            <v>45</v>
          </cell>
          <cell r="I252">
            <v>30</v>
          </cell>
          <cell r="J252">
            <v>90</v>
          </cell>
          <cell r="K252">
            <v>15</v>
          </cell>
          <cell r="L252">
            <v>15</v>
          </cell>
          <cell r="M252">
            <v>30</v>
          </cell>
        </row>
        <row r="253">
          <cell r="B253" t="str">
            <v>MIO i125</v>
          </cell>
          <cell r="C253" t="str">
            <v>OLD MODEL CODE</v>
          </cell>
          <cell r="D253" t="str">
            <v>YAMAHA</v>
          </cell>
          <cell r="E253" t="str">
            <v>MIO I 125 BB36 (MATTE BLUE/BLACK)</v>
          </cell>
          <cell r="F253" t="str">
            <v>SCOOTER</v>
          </cell>
          <cell r="G253">
            <v>70587</v>
          </cell>
          <cell r="H253">
            <v>45</v>
          </cell>
          <cell r="I253">
            <v>30</v>
          </cell>
          <cell r="J253">
            <v>90</v>
          </cell>
          <cell r="K253">
            <v>15</v>
          </cell>
          <cell r="L253">
            <v>15</v>
          </cell>
          <cell r="M253">
            <v>30</v>
          </cell>
        </row>
        <row r="254">
          <cell r="B254" t="str">
            <v>MIO i125</v>
          </cell>
          <cell r="C254" t="str">
            <v>OLD MODEL CODE</v>
          </cell>
          <cell r="D254" t="str">
            <v>YAMAHA</v>
          </cell>
          <cell r="E254" t="str">
            <v>MIO I 125 BB36 (MATTE ORANGE/BLACK)</v>
          </cell>
          <cell r="F254" t="str">
            <v>SCOOTER</v>
          </cell>
          <cell r="G254">
            <v>70587</v>
          </cell>
          <cell r="H254">
            <v>45</v>
          </cell>
          <cell r="I254">
            <v>30</v>
          </cell>
          <cell r="J254">
            <v>90</v>
          </cell>
          <cell r="K254">
            <v>15</v>
          </cell>
          <cell r="L254">
            <v>15</v>
          </cell>
          <cell r="M254">
            <v>30</v>
          </cell>
        </row>
        <row r="255">
          <cell r="B255" t="str">
            <v>MIO i125</v>
          </cell>
          <cell r="C255" t="str">
            <v>OLD MODEL CODE</v>
          </cell>
          <cell r="D255" t="str">
            <v>YAMAHA</v>
          </cell>
          <cell r="E255" t="str">
            <v>MIO I 125 BB37 (YELLOW/WHITE)</v>
          </cell>
          <cell r="F255" t="str">
            <v>SCOOTER</v>
          </cell>
          <cell r="G255">
            <v>70587</v>
          </cell>
          <cell r="H255">
            <v>45</v>
          </cell>
          <cell r="I255">
            <v>30</v>
          </cell>
          <cell r="J255">
            <v>90</v>
          </cell>
          <cell r="K255">
            <v>15</v>
          </cell>
          <cell r="L255">
            <v>15</v>
          </cell>
          <cell r="M255">
            <v>30</v>
          </cell>
        </row>
        <row r="256">
          <cell r="B256" t="str">
            <v>MIO i125</v>
          </cell>
          <cell r="C256" t="str">
            <v>OLD MODEL CODE</v>
          </cell>
          <cell r="D256" t="str">
            <v>YAMAHA</v>
          </cell>
          <cell r="E256" t="str">
            <v>MIO I 125 BB37 (MAGENTA/WHITE)</v>
          </cell>
          <cell r="F256" t="str">
            <v>SCOOTER</v>
          </cell>
          <cell r="G256">
            <v>70587</v>
          </cell>
          <cell r="H256">
            <v>45</v>
          </cell>
          <cell r="I256">
            <v>30</v>
          </cell>
          <cell r="J256">
            <v>90</v>
          </cell>
          <cell r="K256">
            <v>15</v>
          </cell>
          <cell r="L256">
            <v>15</v>
          </cell>
          <cell r="M256">
            <v>30</v>
          </cell>
        </row>
        <row r="257">
          <cell r="B257" t="str">
            <v>MIO i125</v>
          </cell>
          <cell r="C257" t="str">
            <v>OLD MODEL CODE</v>
          </cell>
          <cell r="D257" t="str">
            <v>YAMAHA</v>
          </cell>
          <cell r="E257" t="str">
            <v>MIO I 125 BB37 (MATTE BLUE/BLACK)</v>
          </cell>
          <cell r="F257" t="str">
            <v>SCOOTER</v>
          </cell>
          <cell r="G257">
            <v>70587</v>
          </cell>
          <cell r="H257">
            <v>45</v>
          </cell>
          <cell r="I257">
            <v>30</v>
          </cell>
          <cell r="J257">
            <v>90</v>
          </cell>
          <cell r="K257">
            <v>15</v>
          </cell>
          <cell r="L257">
            <v>15</v>
          </cell>
          <cell r="M257">
            <v>30</v>
          </cell>
        </row>
        <row r="258">
          <cell r="B258" t="str">
            <v>MIO i125</v>
          </cell>
          <cell r="C258" t="str">
            <v>OLD MODEL CODE</v>
          </cell>
          <cell r="D258" t="str">
            <v>YAMAHA</v>
          </cell>
          <cell r="E258" t="str">
            <v>MIO I 125 BB3 (MATTE ORANGE/BLACK)</v>
          </cell>
          <cell r="F258" t="str">
            <v>SCOOTER</v>
          </cell>
          <cell r="G258">
            <v>70587</v>
          </cell>
          <cell r="H258">
            <v>45</v>
          </cell>
          <cell r="I258">
            <v>30</v>
          </cell>
          <cell r="J258">
            <v>90</v>
          </cell>
          <cell r="K258">
            <v>15</v>
          </cell>
          <cell r="L258">
            <v>15</v>
          </cell>
          <cell r="M258">
            <v>30</v>
          </cell>
        </row>
        <row r="259">
          <cell r="B259" t="str">
            <v>MIO i125</v>
          </cell>
          <cell r="D259" t="str">
            <v>YAMAHA</v>
          </cell>
          <cell r="E259" t="str">
            <v>MIO I 125 BB38 (CYAN)</v>
          </cell>
          <cell r="F259" t="str">
            <v>SCOOTER</v>
          </cell>
          <cell r="G259">
            <v>70587</v>
          </cell>
          <cell r="H259">
            <v>45</v>
          </cell>
          <cell r="I259">
            <v>30</v>
          </cell>
          <cell r="J259">
            <v>90</v>
          </cell>
          <cell r="K259">
            <v>15</v>
          </cell>
          <cell r="L259">
            <v>15</v>
          </cell>
          <cell r="M259">
            <v>30</v>
          </cell>
        </row>
        <row r="260">
          <cell r="B260" t="str">
            <v>MIO i125</v>
          </cell>
          <cell r="D260" t="str">
            <v>YAMAHA</v>
          </cell>
          <cell r="E260" t="str">
            <v>MIO I 125 BB38 (MATTE BLUE)</v>
          </cell>
          <cell r="F260" t="str">
            <v>SCOOTER</v>
          </cell>
          <cell r="G260">
            <v>70587</v>
          </cell>
          <cell r="H260">
            <v>45</v>
          </cell>
          <cell r="I260">
            <v>30</v>
          </cell>
          <cell r="J260">
            <v>90</v>
          </cell>
          <cell r="K260">
            <v>15</v>
          </cell>
          <cell r="L260">
            <v>15</v>
          </cell>
          <cell r="M260">
            <v>30</v>
          </cell>
        </row>
        <row r="261">
          <cell r="B261" t="str">
            <v>MIO i125</v>
          </cell>
          <cell r="D261" t="str">
            <v>YAMAHA</v>
          </cell>
          <cell r="E261" t="str">
            <v>MIO I 125 BB38 (MAGENTA/BLACK)</v>
          </cell>
          <cell r="F261" t="str">
            <v>SCOOTER</v>
          </cell>
          <cell r="G261">
            <v>70587</v>
          </cell>
          <cell r="H261">
            <v>45</v>
          </cell>
          <cell r="I261">
            <v>30</v>
          </cell>
          <cell r="J261">
            <v>90</v>
          </cell>
          <cell r="K261">
            <v>15</v>
          </cell>
          <cell r="L261">
            <v>15</v>
          </cell>
          <cell r="M261">
            <v>30</v>
          </cell>
        </row>
        <row r="262">
          <cell r="B262" t="str">
            <v>MIO i125</v>
          </cell>
          <cell r="D262" t="str">
            <v>YAMAHA</v>
          </cell>
          <cell r="E262" t="str">
            <v>MIO I 125 BB38 (YELLOW/MATTE GARY)</v>
          </cell>
          <cell r="F262" t="str">
            <v>SCOOTER</v>
          </cell>
          <cell r="G262">
            <v>70587</v>
          </cell>
          <cell r="H262">
            <v>45</v>
          </cell>
          <cell r="I262">
            <v>30</v>
          </cell>
          <cell r="J262">
            <v>90</v>
          </cell>
          <cell r="K262">
            <v>15</v>
          </cell>
          <cell r="L262">
            <v>15</v>
          </cell>
          <cell r="M262">
            <v>30</v>
          </cell>
        </row>
        <row r="263">
          <cell r="B263" t="str">
            <v>MIO i125</v>
          </cell>
          <cell r="D263" t="str">
            <v>YAMAHA</v>
          </cell>
          <cell r="E263" t="str">
            <v>MIO I 125 BB39 (WHITE/ CYAN)</v>
          </cell>
          <cell r="F263" t="str">
            <v>SCOOTER</v>
          </cell>
          <cell r="G263">
            <v>70587</v>
          </cell>
          <cell r="H263">
            <v>45</v>
          </cell>
          <cell r="I263">
            <v>30</v>
          </cell>
          <cell r="J263">
            <v>90</v>
          </cell>
          <cell r="K263">
            <v>15</v>
          </cell>
          <cell r="L263">
            <v>15</v>
          </cell>
          <cell r="M263">
            <v>30</v>
          </cell>
        </row>
        <row r="264">
          <cell r="B264" t="str">
            <v>MIO i125</v>
          </cell>
          <cell r="D264" t="str">
            <v>YAMAHA</v>
          </cell>
          <cell r="E264" t="str">
            <v>MIO I 125 BB39 (BLACK/ MATTE GRAY)</v>
          </cell>
          <cell r="F264" t="str">
            <v>SCOOTER</v>
          </cell>
          <cell r="G264">
            <v>70587</v>
          </cell>
          <cell r="H264">
            <v>45</v>
          </cell>
          <cell r="I264">
            <v>30</v>
          </cell>
          <cell r="J264">
            <v>90</v>
          </cell>
          <cell r="K264">
            <v>15</v>
          </cell>
          <cell r="L264">
            <v>15</v>
          </cell>
          <cell r="M264">
            <v>30</v>
          </cell>
        </row>
        <row r="265">
          <cell r="B265" t="str">
            <v>MIO i125</v>
          </cell>
          <cell r="D265" t="str">
            <v>YAMAHA</v>
          </cell>
          <cell r="E265" t="str">
            <v>MIO I 125 BB39 (ORANGE/ WHITE)</v>
          </cell>
          <cell r="F265" t="str">
            <v>SCOOTER</v>
          </cell>
          <cell r="G265">
            <v>70587</v>
          </cell>
          <cell r="H265">
            <v>45</v>
          </cell>
          <cell r="I265">
            <v>30</v>
          </cell>
          <cell r="J265">
            <v>90</v>
          </cell>
          <cell r="K265">
            <v>15</v>
          </cell>
          <cell r="L265">
            <v>15</v>
          </cell>
          <cell r="M265">
            <v>30</v>
          </cell>
        </row>
        <row r="266">
          <cell r="B266" t="str">
            <v>MIO SPORTY</v>
          </cell>
          <cell r="C266" t="str">
            <v>OLD MODEL CODE</v>
          </cell>
          <cell r="D266" t="str">
            <v>YAMAHA</v>
          </cell>
          <cell r="E266" t="str">
            <v>MIO SPORTY 40C9 (V.ORANGE)</v>
          </cell>
          <cell r="F266" t="str">
            <v>SCOOTER</v>
          </cell>
          <cell r="G266">
            <v>68727</v>
          </cell>
          <cell r="H266">
            <v>45</v>
          </cell>
          <cell r="I266">
            <v>30</v>
          </cell>
          <cell r="J266">
            <v>90</v>
          </cell>
          <cell r="K266">
            <v>15</v>
          </cell>
          <cell r="L266">
            <v>15</v>
          </cell>
          <cell r="M266">
            <v>30</v>
          </cell>
        </row>
        <row r="267">
          <cell r="B267" t="str">
            <v>MIO SPORTY</v>
          </cell>
          <cell r="C267" t="str">
            <v>OLD MODEL CODE</v>
          </cell>
          <cell r="D267" t="str">
            <v>YAMAHA</v>
          </cell>
          <cell r="E267" t="str">
            <v>MIO SPORTY 40C9 (MATTE GRAY)</v>
          </cell>
          <cell r="F267" t="str">
            <v>SCOOTER</v>
          </cell>
          <cell r="G267">
            <v>68727</v>
          </cell>
          <cell r="H267">
            <v>45</v>
          </cell>
          <cell r="I267">
            <v>30</v>
          </cell>
          <cell r="J267">
            <v>90</v>
          </cell>
          <cell r="K267">
            <v>15</v>
          </cell>
          <cell r="L267">
            <v>15</v>
          </cell>
          <cell r="M267">
            <v>30</v>
          </cell>
        </row>
        <row r="268">
          <cell r="B268" t="str">
            <v>MIO SPORTY</v>
          </cell>
          <cell r="C268" t="str">
            <v>OLD MODEL CODE</v>
          </cell>
          <cell r="D268" t="str">
            <v>YAMAHA</v>
          </cell>
          <cell r="E268" t="str">
            <v>MIO SPORTY 40C9 (MAGENTA)</v>
          </cell>
          <cell r="F268" t="str">
            <v>SCOOTER</v>
          </cell>
          <cell r="G268">
            <v>68727</v>
          </cell>
          <cell r="H268">
            <v>45</v>
          </cell>
          <cell r="I268">
            <v>30</v>
          </cell>
          <cell r="J268">
            <v>90</v>
          </cell>
          <cell r="K268">
            <v>15</v>
          </cell>
          <cell r="L268">
            <v>15</v>
          </cell>
          <cell r="M268">
            <v>30</v>
          </cell>
        </row>
        <row r="269">
          <cell r="B269" t="str">
            <v>MIO SPORTY</v>
          </cell>
          <cell r="C269" t="str">
            <v>OLD MODEL CODE</v>
          </cell>
          <cell r="D269" t="str">
            <v>YAMAHA</v>
          </cell>
          <cell r="E269" t="str">
            <v>MIO SPORTY 40C9 (PURPLE)</v>
          </cell>
          <cell r="F269" t="str">
            <v>SCOOTER</v>
          </cell>
          <cell r="G269">
            <v>68727</v>
          </cell>
          <cell r="H269">
            <v>45</v>
          </cell>
          <cell r="I269">
            <v>30</v>
          </cell>
          <cell r="J269">
            <v>90</v>
          </cell>
          <cell r="K269">
            <v>15</v>
          </cell>
          <cell r="L269">
            <v>15</v>
          </cell>
          <cell r="M269">
            <v>30</v>
          </cell>
        </row>
        <row r="270">
          <cell r="B270" t="str">
            <v>MIO SPORTY</v>
          </cell>
          <cell r="C270" t="str">
            <v>OLD MODEL CODE</v>
          </cell>
          <cell r="D270" t="str">
            <v>YAMAHA</v>
          </cell>
          <cell r="E270" t="str">
            <v>MIO SPORTY 40C9 (YELLOW)</v>
          </cell>
          <cell r="F270" t="str">
            <v>SCOOTER</v>
          </cell>
          <cell r="G270">
            <v>68727</v>
          </cell>
          <cell r="H270">
            <v>45</v>
          </cell>
          <cell r="I270">
            <v>30</v>
          </cell>
          <cell r="J270">
            <v>90</v>
          </cell>
          <cell r="K270">
            <v>15</v>
          </cell>
          <cell r="L270">
            <v>15</v>
          </cell>
          <cell r="M270">
            <v>30</v>
          </cell>
        </row>
        <row r="271">
          <cell r="B271" t="str">
            <v>MIO SPORTY</v>
          </cell>
          <cell r="C271" t="str">
            <v>OLD MODEL CODE</v>
          </cell>
          <cell r="D271" t="str">
            <v>YAMAHA</v>
          </cell>
          <cell r="E271" t="str">
            <v>MIO SPORTY 40CA</v>
          </cell>
          <cell r="F271" t="str">
            <v>SCOOTER</v>
          </cell>
          <cell r="G271">
            <v>68727</v>
          </cell>
          <cell r="H271">
            <v>45</v>
          </cell>
          <cell r="I271">
            <v>30</v>
          </cell>
          <cell r="J271">
            <v>90</v>
          </cell>
          <cell r="K271">
            <v>15</v>
          </cell>
          <cell r="L271">
            <v>15</v>
          </cell>
          <cell r="M271">
            <v>30</v>
          </cell>
        </row>
        <row r="272">
          <cell r="B272" t="str">
            <v>MIO SPORTY</v>
          </cell>
          <cell r="C272" t="str">
            <v>OLD MODEL CODE</v>
          </cell>
          <cell r="D272" t="str">
            <v>YAMAHA</v>
          </cell>
          <cell r="E272" t="str">
            <v>MIO SPORTY 40CA</v>
          </cell>
          <cell r="F272" t="str">
            <v>SCOOTER</v>
          </cell>
          <cell r="G272">
            <v>68727</v>
          </cell>
          <cell r="H272">
            <v>45</v>
          </cell>
          <cell r="I272">
            <v>30</v>
          </cell>
          <cell r="J272">
            <v>90</v>
          </cell>
          <cell r="K272">
            <v>15</v>
          </cell>
          <cell r="L272">
            <v>15</v>
          </cell>
          <cell r="M272">
            <v>30</v>
          </cell>
        </row>
        <row r="273">
          <cell r="B273" t="str">
            <v>MIO SPORTY</v>
          </cell>
          <cell r="C273" t="str">
            <v>OLD MODEL CODE</v>
          </cell>
          <cell r="D273" t="str">
            <v>YAMAHA</v>
          </cell>
          <cell r="E273" t="str">
            <v>MIO SPORTY 40CA</v>
          </cell>
          <cell r="F273" t="str">
            <v>SCOOTER</v>
          </cell>
          <cell r="G273">
            <v>68727</v>
          </cell>
          <cell r="H273">
            <v>45</v>
          </cell>
          <cell r="I273">
            <v>30</v>
          </cell>
          <cell r="J273">
            <v>90</v>
          </cell>
          <cell r="K273">
            <v>15</v>
          </cell>
          <cell r="L273">
            <v>15</v>
          </cell>
          <cell r="M273">
            <v>30</v>
          </cell>
        </row>
        <row r="274">
          <cell r="B274" t="str">
            <v>MIO SPORTY</v>
          </cell>
          <cell r="C274" t="str">
            <v>OLD MODEL CODE</v>
          </cell>
          <cell r="D274" t="str">
            <v>YAMAHA</v>
          </cell>
          <cell r="E274" t="str">
            <v>MIO SPORTY 40CA</v>
          </cell>
          <cell r="F274" t="str">
            <v>SCOOTER</v>
          </cell>
          <cell r="G274">
            <v>68727</v>
          </cell>
          <cell r="H274">
            <v>45</v>
          </cell>
          <cell r="I274">
            <v>30</v>
          </cell>
          <cell r="J274">
            <v>90</v>
          </cell>
          <cell r="K274">
            <v>15</v>
          </cell>
          <cell r="L274">
            <v>15</v>
          </cell>
          <cell r="M274">
            <v>30</v>
          </cell>
        </row>
        <row r="275">
          <cell r="B275" t="str">
            <v>MIO SPORTY</v>
          </cell>
          <cell r="C275" t="str">
            <v>OLD MODEL CODE</v>
          </cell>
          <cell r="D275" t="str">
            <v>YAMAHA</v>
          </cell>
          <cell r="E275" t="str">
            <v>MIO SPORTY 40CA</v>
          </cell>
          <cell r="F275" t="str">
            <v>SCOOTER</v>
          </cell>
          <cell r="G275">
            <v>68727</v>
          </cell>
          <cell r="H275">
            <v>45</v>
          </cell>
          <cell r="I275">
            <v>30</v>
          </cell>
          <cell r="J275">
            <v>90</v>
          </cell>
          <cell r="K275">
            <v>15</v>
          </cell>
          <cell r="L275">
            <v>15</v>
          </cell>
          <cell r="M275">
            <v>30</v>
          </cell>
        </row>
        <row r="276">
          <cell r="B276" t="str">
            <v>MIO SPORTY</v>
          </cell>
          <cell r="C276" t="str">
            <v>OLD MODEL CODE</v>
          </cell>
          <cell r="D276" t="str">
            <v>YAMAHA</v>
          </cell>
          <cell r="E276" t="str">
            <v>MIO SPORTY 40CA</v>
          </cell>
          <cell r="F276" t="str">
            <v>SCOOTER</v>
          </cell>
          <cell r="G276">
            <v>68727</v>
          </cell>
          <cell r="H276">
            <v>45</v>
          </cell>
          <cell r="I276">
            <v>30</v>
          </cell>
          <cell r="J276">
            <v>90</v>
          </cell>
          <cell r="K276">
            <v>15</v>
          </cell>
          <cell r="L276">
            <v>15</v>
          </cell>
          <cell r="M276">
            <v>30</v>
          </cell>
        </row>
        <row r="277">
          <cell r="B277" t="str">
            <v>MIO SPORTY</v>
          </cell>
          <cell r="D277" t="str">
            <v>YAMAHA</v>
          </cell>
          <cell r="E277" t="str">
            <v>MIO SPORTY 40CB (MATTE BLACK)</v>
          </cell>
          <cell r="F277" t="str">
            <v>SCOOTER</v>
          </cell>
          <cell r="G277">
            <v>68727</v>
          </cell>
          <cell r="H277">
            <v>45</v>
          </cell>
          <cell r="I277">
            <v>30</v>
          </cell>
          <cell r="J277">
            <v>90</v>
          </cell>
          <cell r="K277">
            <v>15</v>
          </cell>
          <cell r="L277">
            <v>15</v>
          </cell>
          <cell r="M277">
            <v>30</v>
          </cell>
        </row>
        <row r="278">
          <cell r="B278" t="str">
            <v>MIO SPORTY</v>
          </cell>
          <cell r="D278" t="str">
            <v>YAMAHA</v>
          </cell>
          <cell r="E278" t="str">
            <v>MIO SPORTY 40CB (MATTE BLUE)</v>
          </cell>
          <cell r="F278" t="str">
            <v>SCOOTER</v>
          </cell>
          <cell r="G278">
            <v>68727</v>
          </cell>
          <cell r="H278">
            <v>45</v>
          </cell>
          <cell r="I278">
            <v>30</v>
          </cell>
          <cell r="J278">
            <v>90</v>
          </cell>
          <cell r="K278">
            <v>15</v>
          </cell>
          <cell r="L278">
            <v>15</v>
          </cell>
          <cell r="M278">
            <v>30</v>
          </cell>
        </row>
        <row r="279">
          <cell r="B279" t="str">
            <v>MIO SPORTY</v>
          </cell>
          <cell r="D279" t="str">
            <v>YAMAHA</v>
          </cell>
          <cell r="E279" t="str">
            <v>MIO SPORTY 40CB (MAGENTA)</v>
          </cell>
          <cell r="F279" t="str">
            <v>SCOOTER</v>
          </cell>
          <cell r="G279">
            <v>68727</v>
          </cell>
          <cell r="H279">
            <v>45</v>
          </cell>
          <cell r="I279">
            <v>30</v>
          </cell>
          <cell r="J279">
            <v>90</v>
          </cell>
          <cell r="K279">
            <v>15</v>
          </cell>
          <cell r="L279">
            <v>15</v>
          </cell>
          <cell r="M279">
            <v>30</v>
          </cell>
        </row>
        <row r="280">
          <cell r="B280" t="str">
            <v>MIO SPORTY</v>
          </cell>
          <cell r="D280" t="str">
            <v>YAMAHA</v>
          </cell>
          <cell r="E280" t="str">
            <v>MIO SPORTY 40CB (CYAN)</v>
          </cell>
          <cell r="F280" t="str">
            <v>SCOOTER</v>
          </cell>
          <cell r="G280">
            <v>68727</v>
          </cell>
          <cell r="H280">
            <v>45</v>
          </cell>
          <cell r="I280">
            <v>30</v>
          </cell>
          <cell r="J280">
            <v>90</v>
          </cell>
          <cell r="K280">
            <v>15</v>
          </cell>
          <cell r="L280">
            <v>15</v>
          </cell>
          <cell r="M280">
            <v>30</v>
          </cell>
        </row>
        <row r="281">
          <cell r="B281" t="str">
            <v>MIO SPORTY</v>
          </cell>
          <cell r="D281" t="str">
            <v>YAMAHA</v>
          </cell>
          <cell r="E281" t="str">
            <v>MIO SPORTY 40CC (MATTE SILVER/ DARK MATTE GRAY)</v>
          </cell>
          <cell r="F281" t="str">
            <v>SCOOTER</v>
          </cell>
          <cell r="G281">
            <v>68727</v>
          </cell>
          <cell r="H281">
            <v>45</v>
          </cell>
          <cell r="I281">
            <v>30</v>
          </cell>
          <cell r="J281">
            <v>90</v>
          </cell>
          <cell r="K281">
            <v>15</v>
          </cell>
          <cell r="L281">
            <v>15</v>
          </cell>
          <cell r="M281">
            <v>30</v>
          </cell>
        </row>
        <row r="282">
          <cell r="B282" t="str">
            <v>MT-03</v>
          </cell>
          <cell r="C282" t="str">
            <v>OLD MODEL CODE</v>
          </cell>
          <cell r="D282" t="str">
            <v>YAMAHA</v>
          </cell>
          <cell r="E282" t="str">
            <v>MT-03 B5W5 (MATTE GRAY/BLACK)</v>
          </cell>
          <cell r="F282" t="str">
            <v>SPORTS TYPE</v>
          </cell>
          <cell r="G282">
            <v>236220</v>
          </cell>
          <cell r="H282">
            <v>45</v>
          </cell>
          <cell r="I282">
            <v>30</v>
          </cell>
          <cell r="J282">
            <v>90</v>
          </cell>
          <cell r="K282">
            <v>15</v>
          </cell>
          <cell r="L282">
            <v>15</v>
          </cell>
          <cell r="M282">
            <v>30</v>
          </cell>
        </row>
        <row r="283">
          <cell r="B283" t="str">
            <v>MT-03</v>
          </cell>
          <cell r="C283" t="str">
            <v>OLD MODEL CODE</v>
          </cell>
          <cell r="D283" t="str">
            <v>YAMAHA</v>
          </cell>
          <cell r="E283" t="str">
            <v>MT-03 B5W5 (BLACK)</v>
          </cell>
          <cell r="F283" t="str">
            <v>SPORTS TYPE</v>
          </cell>
          <cell r="G283">
            <v>236220</v>
          </cell>
          <cell r="H283">
            <v>45</v>
          </cell>
          <cell r="I283">
            <v>30</v>
          </cell>
          <cell r="J283">
            <v>90</v>
          </cell>
          <cell r="K283">
            <v>15</v>
          </cell>
          <cell r="L283">
            <v>15</v>
          </cell>
          <cell r="M283">
            <v>30</v>
          </cell>
        </row>
        <row r="284">
          <cell r="B284" t="str">
            <v>MT-03</v>
          </cell>
          <cell r="C284" t="str">
            <v>OLD MODEL CODE</v>
          </cell>
          <cell r="D284" t="str">
            <v>YAMAHA</v>
          </cell>
          <cell r="E284" t="str">
            <v>MT-03 B5W5 (GRAY/MATTE DARK GRAY)</v>
          </cell>
          <cell r="F284" t="str">
            <v>SPORTS TYPE</v>
          </cell>
          <cell r="G284">
            <v>236220</v>
          </cell>
          <cell r="H284">
            <v>45</v>
          </cell>
          <cell r="I284">
            <v>30</v>
          </cell>
          <cell r="J284">
            <v>90</v>
          </cell>
          <cell r="K284">
            <v>15</v>
          </cell>
          <cell r="L284">
            <v>15</v>
          </cell>
          <cell r="M284">
            <v>30</v>
          </cell>
        </row>
        <row r="285">
          <cell r="B285" t="str">
            <v>NMAX155 FI ABS</v>
          </cell>
          <cell r="C285" t="str">
            <v>OLD MODEL CODE</v>
          </cell>
          <cell r="D285" t="str">
            <v>YAMAHA</v>
          </cell>
          <cell r="E285" t="str">
            <v>NMAX 2DPF (MATTE/BLACK)</v>
          </cell>
          <cell r="F285" t="str">
            <v>SCOOTER</v>
          </cell>
          <cell r="G285">
            <v>147312</v>
          </cell>
          <cell r="H285">
            <v>45</v>
          </cell>
          <cell r="I285">
            <v>30</v>
          </cell>
          <cell r="J285">
            <v>90</v>
          </cell>
          <cell r="K285">
            <v>15</v>
          </cell>
          <cell r="L285">
            <v>15</v>
          </cell>
          <cell r="M285">
            <v>30</v>
          </cell>
        </row>
        <row r="286">
          <cell r="B286" t="str">
            <v>NMAX155 FI ABS</v>
          </cell>
          <cell r="C286" t="str">
            <v>OLD MODEL CODE</v>
          </cell>
          <cell r="D286" t="str">
            <v>YAMAHA</v>
          </cell>
          <cell r="E286" t="str">
            <v>NMAX 2DPF (MATTE GRAY/SILVER)</v>
          </cell>
          <cell r="F286" t="str">
            <v>SCOOTER</v>
          </cell>
          <cell r="G286">
            <v>147312</v>
          </cell>
          <cell r="H286">
            <v>45</v>
          </cell>
          <cell r="I286">
            <v>30</v>
          </cell>
          <cell r="J286">
            <v>90</v>
          </cell>
          <cell r="K286">
            <v>15</v>
          </cell>
          <cell r="L286">
            <v>15</v>
          </cell>
          <cell r="M286">
            <v>30</v>
          </cell>
        </row>
        <row r="287">
          <cell r="B287" t="str">
            <v>NMAX155 FI ABS</v>
          </cell>
          <cell r="C287" t="str">
            <v>OLD MODEL CODE</v>
          </cell>
          <cell r="D287" t="str">
            <v>YAMAHA</v>
          </cell>
          <cell r="E287" t="str">
            <v>NMAX2DPF</v>
          </cell>
          <cell r="F287" t="str">
            <v>SCOOTER</v>
          </cell>
          <cell r="G287">
            <v>147312</v>
          </cell>
          <cell r="H287">
            <v>45</v>
          </cell>
          <cell r="I287">
            <v>30</v>
          </cell>
          <cell r="J287">
            <v>90</v>
          </cell>
          <cell r="K287">
            <v>15</v>
          </cell>
          <cell r="L287">
            <v>15</v>
          </cell>
          <cell r="M287">
            <v>30</v>
          </cell>
        </row>
        <row r="288">
          <cell r="B288" t="str">
            <v>NMAX155 FI ABS</v>
          </cell>
          <cell r="C288" t="str">
            <v>OLD MODEL CODE</v>
          </cell>
          <cell r="D288" t="str">
            <v>YAMAHA</v>
          </cell>
          <cell r="E288" t="str">
            <v>NMAX B6H4 ABS (MATTE BLACK)</v>
          </cell>
          <cell r="F288" t="str">
            <v>SCOOTER</v>
          </cell>
          <cell r="G288">
            <v>147312</v>
          </cell>
          <cell r="H288">
            <v>45</v>
          </cell>
          <cell r="I288">
            <v>30</v>
          </cell>
          <cell r="J288">
            <v>90</v>
          </cell>
          <cell r="K288">
            <v>15</v>
          </cell>
          <cell r="L288">
            <v>15</v>
          </cell>
          <cell r="M288">
            <v>30</v>
          </cell>
        </row>
        <row r="289">
          <cell r="B289" t="str">
            <v>NMAX155 FI ABS</v>
          </cell>
          <cell r="C289" t="str">
            <v>OLD MODEL CODE</v>
          </cell>
          <cell r="D289" t="str">
            <v>YAMAHA</v>
          </cell>
          <cell r="E289" t="str">
            <v>NMAX B6H4 ABS (MATTE RED)</v>
          </cell>
          <cell r="F289" t="str">
            <v>SCOOTER</v>
          </cell>
          <cell r="G289">
            <v>147312</v>
          </cell>
          <cell r="H289">
            <v>45</v>
          </cell>
          <cell r="I289">
            <v>30</v>
          </cell>
          <cell r="J289">
            <v>90</v>
          </cell>
          <cell r="K289">
            <v>15</v>
          </cell>
          <cell r="L289">
            <v>15</v>
          </cell>
          <cell r="M289">
            <v>30</v>
          </cell>
        </row>
        <row r="290">
          <cell r="B290" t="str">
            <v>NMAX155 FI ABS</v>
          </cell>
          <cell r="C290" t="str">
            <v>OLD MODEL CODE</v>
          </cell>
          <cell r="D290" t="str">
            <v>YAMAHA</v>
          </cell>
          <cell r="E290" t="str">
            <v>NMAX B6H4 ABS (MATTE GREEN)</v>
          </cell>
          <cell r="F290" t="str">
            <v>SCOOTER</v>
          </cell>
          <cell r="G290">
            <v>147312</v>
          </cell>
          <cell r="H290">
            <v>45</v>
          </cell>
          <cell r="I290">
            <v>30</v>
          </cell>
          <cell r="J290">
            <v>90</v>
          </cell>
          <cell r="K290">
            <v>15</v>
          </cell>
          <cell r="L290">
            <v>15</v>
          </cell>
          <cell r="M290">
            <v>30</v>
          </cell>
        </row>
        <row r="291">
          <cell r="B291" t="str">
            <v>NMAX155 FI ABS</v>
          </cell>
          <cell r="C291" t="str">
            <v>OLD MODEL CODE</v>
          </cell>
          <cell r="D291" t="str">
            <v>YAMAHA</v>
          </cell>
          <cell r="E291" t="str">
            <v>NMAX ABS BKT1 (MATTE GRAY/MATTE BLACK)</v>
          </cell>
          <cell r="F291" t="str">
            <v>SCOOTER</v>
          </cell>
          <cell r="G291">
            <v>147312</v>
          </cell>
          <cell r="H291">
            <v>45</v>
          </cell>
          <cell r="I291">
            <v>30</v>
          </cell>
          <cell r="J291">
            <v>90</v>
          </cell>
          <cell r="K291">
            <v>15</v>
          </cell>
          <cell r="L291">
            <v>15</v>
          </cell>
          <cell r="M291">
            <v>30</v>
          </cell>
        </row>
        <row r="292">
          <cell r="B292" t="str">
            <v>NMAX155 FI ABS</v>
          </cell>
          <cell r="C292" t="str">
            <v>OLD MODEL CODE</v>
          </cell>
          <cell r="D292" t="str">
            <v>YAMAHA</v>
          </cell>
          <cell r="E292" t="str">
            <v>NMAX ABS BKT1 (MATTE DARK GRAY/BLACK)</v>
          </cell>
          <cell r="F292" t="str">
            <v>SCOOTER</v>
          </cell>
          <cell r="G292">
            <v>147312</v>
          </cell>
          <cell r="H292">
            <v>45</v>
          </cell>
          <cell r="I292">
            <v>30</v>
          </cell>
          <cell r="J292">
            <v>90</v>
          </cell>
          <cell r="K292">
            <v>15</v>
          </cell>
          <cell r="L292">
            <v>15</v>
          </cell>
          <cell r="M292">
            <v>30</v>
          </cell>
        </row>
        <row r="293">
          <cell r="B293" t="str">
            <v>NMAX155 FI ABS</v>
          </cell>
          <cell r="C293" t="str">
            <v>OLD MODEL CODE</v>
          </cell>
          <cell r="D293" t="str">
            <v>YAMAHA</v>
          </cell>
          <cell r="E293" t="str">
            <v>NMAX ABS BKT1 (GRAY/BLACK)</v>
          </cell>
          <cell r="F293" t="str">
            <v>SCOOTER</v>
          </cell>
          <cell r="G293">
            <v>147312</v>
          </cell>
          <cell r="H293">
            <v>45</v>
          </cell>
          <cell r="I293">
            <v>30</v>
          </cell>
          <cell r="J293">
            <v>90</v>
          </cell>
          <cell r="K293">
            <v>15</v>
          </cell>
          <cell r="L293">
            <v>15</v>
          </cell>
          <cell r="M293">
            <v>30</v>
          </cell>
        </row>
        <row r="294">
          <cell r="B294" t="str">
            <v>NMAX155 FI ABS</v>
          </cell>
          <cell r="D294" t="str">
            <v>YAMAHA</v>
          </cell>
          <cell r="E294" t="str">
            <v>NMAX ABS BKT2 (MATTE DARK GRAY/ BLACK)</v>
          </cell>
          <cell r="F294" t="str">
            <v>SCOOTER</v>
          </cell>
          <cell r="G294">
            <v>147312</v>
          </cell>
          <cell r="H294">
            <v>45</v>
          </cell>
          <cell r="I294">
            <v>30</v>
          </cell>
          <cell r="J294">
            <v>90</v>
          </cell>
          <cell r="K294">
            <v>15</v>
          </cell>
          <cell r="L294">
            <v>15</v>
          </cell>
          <cell r="M294">
            <v>30</v>
          </cell>
        </row>
        <row r="295">
          <cell r="B295" t="str">
            <v>NMAX155 FI ABS</v>
          </cell>
          <cell r="D295" t="str">
            <v>YAMAHA</v>
          </cell>
          <cell r="E295" t="str">
            <v>NMAX ABS BKT2 (GRAY/ BLACK)</v>
          </cell>
          <cell r="F295" t="str">
            <v>SCOOTER</v>
          </cell>
          <cell r="G295">
            <v>147312</v>
          </cell>
          <cell r="H295">
            <v>45</v>
          </cell>
          <cell r="I295">
            <v>30</v>
          </cell>
          <cell r="J295">
            <v>90</v>
          </cell>
          <cell r="K295">
            <v>15</v>
          </cell>
          <cell r="L295">
            <v>15</v>
          </cell>
          <cell r="M295">
            <v>30</v>
          </cell>
        </row>
        <row r="296">
          <cell r="B296" t="str">
            <v>NMAX155 FI ABS</v>
          </cell>
          <cell r="D296" t="str">
            <v>YAMAHA</v>
          </cell>
          <cell r="E296" t="str">
            <v>NMAX ABS BKT2 (SILVER/ MATTE BLACK)</v>
          </cell>
          <cell r="F296" t="str">
            <v>SCOOTER</v>
          </cell>
          <cell r="G296">
            <v>147312</v>
          </cell>
          <cell r="H296">
            <v>45</v>
          </cell>
          <cell r="I296">
            <v>30</v>
          </cell>
          <cell r="J296">
            <v>90</v>
          </cell>
          <cell r="K296">
            <v>15</v>
          </cell>
          <cell r="L296">
            <v>15</v>
          </cell>
          <cell r="M296">
            <v>30</v>
          </cell>
        </row>
        <row r="297">
          <cell r="B297" t="str">
            <v>NMAX155 FI ABS</v>
          </cell>
          <cell r="D297" t="str">
            <v>YAMAHA</v>
          </cell>
          <cell r="E297" t="str">
            <v>NMAX ABS BKT2 (MATTE GREEN/ BLACK)</v>
          </cell>
          <cell r="F297" t="str">
            <v>SCOOTER</v>
          </cell>
          <cell r="G297">
            <v>147312</v>
          </cell>
          <cell r="H297">
            <v>45</v>
          </cell>
          <cell r="I297">
            <v>30</v>
          </cell>
          <cell r="J297">
            <v>90</v>
          </cell>
          <cell r="K297">
            <v>15</v>
          </cell>
          <cell r="L297">
            <v>15</v>
          </cell>
          <cell r="M297">
            <v>30</v>
          </cell>
        </row>
        <row r="298">
          <cell r="B298" t="str">
            <v>NMAX155 FI ABS</v>
          </cell>
          <cell r="D298" t="str">
            <v>YAMAHA</v>
          </cell>
          <cell r="E298" t="str">
            <v>NMAX ABS BKT4 (SILVER/MATTE BLACK)</v>
          </cell>
          <cell r="F298" t="str">
            <v>SCOOTER</v>
          </cell>
          <cell r="G298">
            <v>147312</v>
          </cell>
          <cell r="H298">
            <v>45</v>
          </cell>
          <cell r="I298">
            <v>30</v>
          </cell>
          <cell r="J298">
            <v>90</v>
          </cell>
          <cell r="K298">
            <v>15</v>
          </cell>
          <cell r="L298">
            <v>15</v>
          </cell>
          <cell r="M298">
            <v>30</v>
          </cell>
        </row>
        <row r="299">
          <cell r="B299" t="str">
            <v>NMAX155 FI ABS</v>
          </cell>
          <cell r="D299" t="str">
            <v>YAMAHA</v>
          </cell>
          <cell r="E299" t="str">
            <v>NMAX ABS BKT4 (MATTE DARK GRAY/BLACK)</v>
          </cell>
          <cell r="F299" t="str">
            <v>SCOOTER</v>
          </cell>
          <cell r="G299">
            <v>147312</v>
          </cell>
          <cell r="H299">
            <v>45</v>
          </cell>
          <cell r="I299">
            <v>30</v>
          </cell>
          <cell r="J299">
            <v>90</v>
          </cell>
          <cell r="K299">
            <v>15</v>
          </cell>
          <cell r="L299">
            <v>15</v>
          </cell>
          <cell r="M299">
            <v>30</v>
          </cell>
        </row>
        <row r="300">
          <cell r="B300" t="str">
            <v>NMAX155 FI ABS</v>
          </cell>
          <cell r="D300" t="str">
            <v>YAMAHA</v>
          </cell>
          <cell r="E300" t="str">
            <v>NMAX ABS BKT3 (MATTE GREEN/BLACK)</v>
          </cell>
          <cell r="F300" t="str">
            <v>SCOOTER</v>
          </cell>
          <cell r="G300">
            <v>147312</v>
          </cell>
          <cell r="H300">
            <v>45</v>
          </cell>
          <cell r="I300">
            <v>30</v>
          </cell>
          <cell r="J300">
            <v>90</v>
          </cell>
          <cell r="K300">
            <v>15</v>
          </cell>
          <cell r="L300">
            <v>15</v>
          </cell>
          <cell r="M300">
            <v>30</v>
          </cell>
        </row>
        <row r="301">
          <cell r="B301" t="str">
            <v>NMAX155 FI ABS</v>
          </cell>
          <cell r="D301" t="str">
            <v>YAMAHA</v>
          </cell>
          <cell r="E301" t="str">
            <v>NMAX ABS BKT3 (DARK BLUE/MATTE BLACK)</v>
          </cell>
          <cell r="F301" t="str">
            <v>SCOOTER</v>
          </cell>
          <cell r="G301">
            <v>147312</v>
          </cell>
          <cell r="H301">
            <v>45</v>
          </cell>
          <cell r="I301">
            <v>30</v>
          </cell>
          <cell r="J301">
            <v>90</v>
          </cell>
          <cell r="K301">
            <v>15</v>
          </cell>
          <cell r="L301">
            <v>15</v>
          </cell>
          <cell r="M301">
            <v>30</v>
          </cell>
        </row>
        <row r="302">
          <cell r="B302" t="str">
            <v>NMAX155 FI ABS</v>
          </cell>
          <cell r="D302" t="str">
            <v>YAMAHA</v>
          </cell>
          <cell r="E302" t="str">
            <v>NMAX ABS BKT3 (MATTE DARK GRAY/BLACK)</v>
          </cell>
          <cell r="F302" t="str">
            <v>SCOOTER</v>
          </cell>
          <cell r="G302">
            <v>147312</v>
          </cell>
          <cell r="H302">
            <v>45</v>
          </cell>
          <cell r="I302">
            <v>30</v>
          </cell>
          <cell r="J302">
            <v>90</v>
          </cell>
          <cell r="K302">
            <v>15</v>
          </cell>
          <cell r="L302">
            <v>15</v>
          </cell>
          <cell r="M302">
            <v>30</v>
          </cell>
        </row>
        <row r="303">
          <cell r="B303" t="str">
            <v>NMAX155 FI ABS</v>
          </cell>
          <cell r="D303" t="str">
            <v>YAMAHA</v>
          </cell>
          <cell r="E303" t="str">
            <v>NMAX ABS BKT3 (SILVER/MATTE BLACK)</v>
          </cell>
          <cell r="F303" t="str">
            <v>SCOOTER</v>
          </cell>
          <cell r="G303">
            <v>147312</v>
          </cell>
          <cell r="H303">
            <v>45</v>
          </cell>
          <cell r="I303">
            <v>30</v>
          </cell>
          <cell r="J303">
            <v>90</v>
          </cell>
          <cell r="K303">
            <v>15</v>
          </cell>
          <cell r="L303">
            <v>15</v>
          </cell>
          <cell r="M303">
            <v>30</v>
          </cell>
        </row>
        <row r="304">
          <cell r="B304" t="str">
            <v>NMAX155 FI ABS</v>
          </cell>
          <cell r="D304" t="str">
            <v>YAMAHA</v>
          </cell>
          <cell r="E304" t="str">
            <v>NMAX ABS BKT3 (MATTE GREEN/BLACK)</v>
          </cell>
          <cell r="F304" t="str">
            <v>SCOOTER</v>
          </cell>
          <cell r="G304">
            <v>147312</v>
          </cell>
          <cell r="H304">
            <v>45</v>
          </cell>
          <cell r="I304">
            <v>30</v>
          </cell>
          <cell r="J304">
            <v>90</v>
          </cell>
          <cell r="K304">
            <v>15</v>
          </cell>
          <cell r="L304">
            <v>15</v>
          </cell>
          <cell r="M304">
            <v>30</v>
          </cell>
        </row>
        <row r="305">
          <cell r="B305" t="str">
            <v>NMAX155 FI ABS</v>
          </cell>
          <cell r="D305" t="str">
            <v>YAMAHA</v>
          </cell>
          <cell r="E305" t="str">
            <v>NMAX ABS BKT3 (DARK BLUE/MATTE BLACK)</v>
          </cell>
          <cell r="F305" t="str">
            <v>SCOOTER</v>
          </cell>
          <cell r="G305">
            <v>147312</v>
          </cell>
          <cell r="H305">
            <v>45</v>
          </cell>
          <cell r="I305">
            <v>30</v>
          </cell>
          <cell r="J305">
            <v>90</v>
          </cell>
          <cell r="K305">
            <v>15</v>
          </cell>
          <cell r="L305">
            <v>15</v>
          </cell>
          <cell r="M305">
            <v>30</v>
          </cell>
        </row>
        <row r="306">
          <cell r="B306" t="str">
            <v>PCX160 ABS</v>
          </cell>
          <cell r="C306" t="str">
            <v>OLD MODEL CODE</v>
          </cell>
          <cell r="D306" t="str">
            <v>HONDA</v>
          </cell>
          <cell r="E306" t="str">
            <v>WW150AK PCX150 (RED)</v>
          </cell>
          <cell r="F306" t="str">
            <v>SCOOTER</v>
          </cell>
          <cell r="G306">
            <v>142758</v>
          </cell>
          <cell r="H306">
            <v>45</v>
          </cell>
          <cell r="I306">
            <v>30</v>
          </cell>
          <cell r="J306">
            <v>90</v>
          </cell>
          <cell r="K306">
            <v>15</v>
          </cell>
          <cell r="L306">
            <v>15</v>
          </cell>
          <cell r="M306">
            <v>30</v>
          </cell>
        </row>
        <row r="307">
          <cell r="B307" t="str">
            <v>PCX160 ABS</v>
          </cell>
          <cell r="C307" t="str">
            <v>OLD MODEL CODE</v>
          </cell>
          <cell r="D307" t="str">
            <v>HONDA</v>
          </cell>
          <cell r="E307" t="str">
            <v>WW150AL PCX150 (BLACK METTALIC)</v>
          </cell>
          <cell r="F307" t="str">
            <v>SCOOTER</v>
          </cell>
          <cell r="G307">
            <v>142758</v>
          </cell>
          <cell r="H307">
            <v>45</v>
          </cell>
          <cell r="I307">
            <v>30</v>
          </cell>
          <cell r="J307">
            <v>90</v>
          </cell>
          <cell r="K307">
            <v>15</v>
          </cell>
          <cell r="L307">
            <v>15</v>
          </cell>
          <cell r="M307">
            <v>30</v>
          </cell>
        </row>
        <row r="308">
          <cell r="B308" t="str">
            <v>PCX160 ABS</v>
          </cell>
          <cell r="C308" t="str">
            <v>OLD MODEL CODE</v>
          </cell>
          <cell r="D308" t="str">
            <v>HONDA</v>
          </cell>
          <cell r="E308" t="str">
            <v>WW150AL PCX150 (WHITE)</v>
          </cell>
          <cell r="F308" t="str">
            <v>SCOOTER</v>
          </cell>
          <cell r="G308">
            <v>142758</v>
          </cell>
          <cell r="H308">
            <v>45</v>
          </cell>
          <cell r="I308">
            <v>30</v>
          </cell>
          <cell r="J308">
            <v>90</v>
          </cell>
          <cell r="K308">
            <v>15</v>
          </cell>
          <cell r="L308">
            <v>15</v>
          </cell>
          <cell r="M308">
            <v>30</v>
          </cell>
        </row>
        <row r="309">
          <cell r="B309" t="str">
            <v>PCX160 ABS</v>
          </cell>
          <cell r="D309" t="str">
            <v>HONDA</v>
          </cell>
          <cell r="E309" t="str">
            <v>WW150AM PCX160 ABS VARIANT(BLACK)</v>
          </cell>
          <cell r="F309" t="str">
            <v>SCOOTER</v>
          </cell>
          <cell r="G309">
            <v>142758</v>
          </cell>
          <cell r="H309">
            <v>45</v>
          </cell>
          <cell r="I309">
            <v>30</v>
          </cell>
          <cell r="J309">
            <v>90</v>
          </cell>
          <cell r="K309">
            <v>15</v>
          </cell>
          <cell r="L309">
            <v>15</v>
          </cell>
          <cell r="M309">
            <v>30</v>
          </cell>
        </row>
        <row r="310">
          <cell r="B310" t="str">
            <v>PCX160 ABS</v>
          </cell>
          <cell r="D310" t="str">
            <v>HONDA</v>
          </cell>
          <cell r="E310" t="str">
            <v>WW150AM PCX160 ABS VARIANT(WHITE)</v>
          </cell>
          <cell r="F310" t="str">
            <v>SCOOTER</v>
          </cell>
          <cell r="G310">
            <v>142758</v>
          </cell>
          <cell r="H310">
            <v>45</v>
          </cell>
          <cell r="I310">
            <v>30</v>
          </cell>
          <cell r="J310">
            <v>90</v>
          </cell>
          <cell r="K310">
            <v>15</v>
          </cell>
          <cell r="L310">
            <v>15</v>
          </cell>
          <cell r="M310">
            <v>30</v>
          </cell>
        </row>
        <row r="311">
          <cell r="B311" t="str">
            <v>PCX160 ABS</v>
          </cell>
          <cell r="D311" t="str">
            <v>HONDA</v>
          </cell>
          <cell r="E311" t="str">
            <v>WW160AP PCX160 ABS BM</v>
          </cell>
          <cell r="F311" t="str">
            <v>SCOOTER</v>
          </cell>
          <cell r="G311">
            <v>142758</v>
          </cell>
          <cell r="H311">
            <v>45</v>
          </cell>
          <cell r="I311">
            <v>30</v>
          </cell>
          <cell r="J311">
            <v>90</v>
          </cell>
          <cell r="K311">
            <v>15</v>
          </cell>
          <cell r="L311">
            <v>15</v>
          </cell>
          <cell r="M311">
            <v>30</v>
          </cell>
        </row>
        <row r="312">
          <cell r="B312" t="str">
            <v>PCX160 ABS</v>
          </cell>
          <cell r="D312" t="str">
            <v>HONDA</v>
          </cell>
          <cell r="E312" t="str">
            <v>WW160AP PCX160 ABS FW</v>
          </cell>
          <cell r="F312" t="str">
            <v>SCOOTER</v>
          </cell>
          <cell r="G312">
            <v>142758</v>
          </cell>
          <cell r="H312">
            <v>45</v>
          </cell>
          <cell r="I312">
            <v>30</v>
          </cell>
          <cell r="J312">
            <v>90</v>
          </cell>
          <cell r="K312">
            <v>15</v>
          </cell>
          <cell r="L312">
            <v>15</v>
          </cell>
          <cell r="M312">
            <v>30</v>
          </cell>
        </row>
        <row r="313">
          <cell r="B313" t="str">
            <v>PCX160 ABS</v>
          </cell>
          <cell r="D313" t="str">
            <v>HONDA</v>
          </cell>
          <cell r="E313" t="str">
            <v>WW160AP PCX160 ABS MSR</v>
          </cell>
          <cell r="F313" t="str">
            <v>SCOOTER</v>
          </cell>
          <cell r="G313">
            <v>142758</v>
          </cell>
          <cell r="H313">
            <v>45</v>
          </cell>
          <cell r="I313">
            <v>30</v>
          </cell>
          <cell r="J313">
            <v>90</v>
          </cell>
          <cell r="K313">
            <v>15</v>
          </cell>
          <cell r="L313">
            <v>15</v>
          </cell>
          <cell r="M313">
            <v>30</v>
          </cell>
        </row>
        <row r="314">
          <cell r="B314" t="str">
            <v>PCX160 CBS</v>
          </cell>
          <cell r="D314" t="str">
            <v>HONDA</v>
          </cell>
          <cell r="E314" t="str">
            <v>WW150M PCX160 CBS VARIANT(WHITE)</v>
          </cell>
          <cell r="F314" t="str">
            <v>SCOOTER</v>
          </cell>
          <cell r="G314">
            <v>126198</v>
          </cell>
          <cell r="H314">
            <v>45</v>
          </cell>
          <cell r="I314">
            <v>30</v>
          </cell>
          <cell r="J314">
            <v>90</v>
          </cell>
          <cell r="K314">
            <v>15</v>
          </cell>
          <cell r="L314">
            <v>15</v>
          </cell>
          <cell r="M314">
            <v>30</v>
          </cell>
        </row>
        <row r="315">
          <cell r="B315" t="str">
            <v>PCX160 CBS</v>
          </cell>
          <cell r="D315" t="str">
            <v>HONDA</v>
          </cell>
          <cell r="E315" t="str">
            <v>WW150M PCX160 CBS VARIANT(GRAY)</v>
          </cell>
          <cell r="F315" t="str">
            <v>SCOOTER</v>
          </cell>
          <cell r="G315">
            <v>126198</v>
          </cell>
          <cell r="H315">
            <v>45</v>
          </cell>
          <cell r="I315">
            <v>30</v>
          </cell>
          <cell r="J315">
            <v>90</v>
          </cell>
          <cell r="K315">
            <v>15</v>
          </cell>
          <cell r="L315">
            <v>15</v>
          </cell>
          <cell r="M315">
            <v>30</v>
          </cell>
        </row>
        <row r="316">
          <cell r="B316" t="str">
            <v>PCX160 CBS</v>
          </cell>
          <cell r="D316" t="str">
            <v>HONDA</v>
          </cell>
          <cell r="E316" t="str">
            <v>WW160P PCX160 CBS ABM</v>
          </cell>
          <cell r="F316" t="str">
            <v>SCOOTER</v>
          </cell>
          <cell r="G316">
            <v>126198</v>
          </cell>
          <cell r="H316">
            <v>45</v>
          </cell>
          <cell r="I316">
            <v>30</v>
          </cell>
          <cell r="J316">
            <v>90</v>
          </cell>
          <cell r="K316">
            <v>15</v>
          </cell>
          <cell r="L316">
            <v>15</v>
          </cell>
          <cell r="M316">
            <v>30</v>
          </cell>
        </row>
        <row r="317">
          <cell r="B317" t="str">
            <v>PCX160 CBS</v>
          </cell>
          <cell r="D317" t="str">
            <v>HONDA</v>
          </cell>
          <cell r="E317" t="str">
            <v>WW160P PCX160 CBS FW</v>
          </cell>
          <cell r="F317" t="str">
            <v>SCOOTER</v>
          </cell>
          <cell r="G317">
            <v>126198</v>
          </cell>
          <cell r="H317">
            <v>45</v>
          </cell>
          <cell r="I317">
            <v>30</v>
          </cell>
          <cell r="J317">
            <v>90</v>
          </cell>
          <cell r="K317">
            <v>15</v>
          </cell>
          <cell r="L317">
            <v>15</v>
          </cell>
          <cell r="M317">
            <v>30</v>
          </cell>
        </row>
        <row r="318">
          <cell r="B318" t="str">
            <v>RAIDER J CROSSOVER</v>
          </cell>
          <cell r="D318" t="str">
            <v>SUZUKI</v>
          </cell>
          <cell r="E318" t="str">
            <v>FJ110LB2 ( BYELLOW)</v>
          </cell>
          <cell r="F318" t="str">
            <v>UNDERBONE</v>
          </cell>
          <cell r="G318">
            <v>69667</v>
          </cell>
          <cell r="H318">
            <v>45</v>
          </cell>
          <cell r="I318">
            <v>30</v>
          </cell>
          <cell r="J318">
            <v>90</v>
          </cell>
          <cell r="K318">
            <v>15</v>
          </cell>
          <cell r="L318">
            <v>15</v>
          </cell>
          <cell r="M318">
            <v>30</v>
          </cell>
        </row>
        <row r="319">
          <cell r="B319" t="str">
            <v>RAIDER J CROSSOVER</v>
          </cell>
          <cell r="D319" t="str">
            <v>SUZUKI</v>
          </cell>
          <cell r="E319" t="str">
            <v>FJ110LB2 ( BBLUE)</v>
          </cell>
          <cell r="F319" t="str">
            <v>UNDERBONE</v>
          </cell>
          <cell r="G319">
            <v>69667</v>
          </cell>
          <cell r="H319">
            <v>45</v>
          </cell>
          <cell r="I319">
            <v>30</v>
          </cell>
          <cell r="J319">
            <v>90</v>
          </cell>
          <cell r="K319">
            <v>15</v>
          </cell>
          <cell r="L319">
            <v>15</v>
          </cell>
          <cell r="M319">
            <v>30</v>
          </cell>
        </row>
        <row r="320">
          <cell r="B320" t="str">
            <v>RAIDER J CROSSOVER</v>
          </cell>
          <cell r="D320" t="str">
            <v>SUZUKI</v>
          </cell>
          <cell r="E320" t="str">
            <v>FJ110LB2 (BBLACK)</v>
          </cell>
          <cell r="F320" t="str">
            <v>UNDERBONE</v>
          </cell>
          <cell r="G320">
            <v>69667</v>
          </cell>
          <cell r="H320">
            <v>45</v>
          </cell>
          <cell r="I320">
            <v>30</v>
          </cell>
          <cell r="J320">
            <v>90</v>
          </cell>
          <cell r="K320">
            <v>15</v>
          </cell>
          <cell r="L320">
            <v>15</v>
          </cell>
          <cell r="M320">
            <v>30</v>
          </cell>
        </row>
        <row r="321">
          <cell r="B321" t="str">
            <v>RAIDER J CROSSOVER</v>
          </cell>
          <cell r="D321" t="str">
            <v>SUZUKI</v>
          </cell>
          <cell r="E321" t="str">
            <v>FJ110LB2 (BRED)</v>
          </cell>
          <cell r="F321" t="str">
            <v>UNDERBONE</v>
          </cell>
          <cell r="G321">
            <v>69667</v>
          </cell>
          <cell r="H321">
            <v>45</v>
          </cell>
          <cell r="I321">
            <v>30</v>
          </cell>
          <cell r="J321">
            <v>90</v>
          </cell>
          <cell r="K321">
            <v>15</v>
          </cell>
          <cell r="L321">
            <v>15</v>
          </cell>
          <cell r="M321">
            <v>30</v>
          </cell>
        </row>
        <row r="322">
          <cell r="B322" t="str">
            <v>RAIDER150 CARB</v>
          </cell>
          <cell r="C322" t="str">
            <v>OLD MODEL CODE</v>
          </cell>
          <cell r="D322" t="str">
            <v>SUZUKI</v>
          </cell>
          <cell r="E322" t="str">
            <v>FU150CD3 RAIDER R 150(BLACK/GOLD)</v>
          </cell>
          <cell r="F322" t="str">
            <v>UNDERBONE</v>
          </cell>
          <cell r="G322">
            <v>104077</v>
          </cell>
          <cell r="H322">
            <v>45</v>
          </cell>
          <cell r="I322">
            <v>30</v>
          </cell>
          <cell r="J322">
            <v>90</v>
          </cell>
          <cell r="K322">
            <v>15</v>
          </cell>
          <cell r="L322">
            <v>15</v>
          </cell>
          <cell r="M322">
            <v>30</v>
          </cell>
        </row>
        <row r="323">
          <cell r="B323" t="str">
            <v>RAIDER150 CARB</v>
          </cell>
          <cell r="C323" t="str">
            <v>OLD MODEL CODE</v>
          </cell>
          <cell r="D323" t="str">
            <v>SUZUKI</v>
          </cell>
          <cell r="E323" t="str">
            <v>FU150CD3 RAIDER R 150(BLACK/RED)</v>
          </cell>
          <cell r="F323" t="str">
            <v>UNDERBONE</v>
          </cell>
          <cell r="G323">
            <v>104077</v>
          </cell>
          <cell r="H323">
            <v>45</v>
          </cell>
          <cell r="I323">
            <v>30</v>
          </cell>
          <cell r="J323">
            <v>90</v>
          </cell>
          <cell r="K323">
            <v>15</v>
          </cell>
          <cell r="L323">
            <v>15</v>
          </cell>
          <cell r="M323">
            <v>30</v>
          </cell>
        </row>
        <row r="324">
          <cell r="B324" t="str">
            <v>RAIDER150 CARB</v>
          </cell>
          <cell r="C324" t="str">
            <v>OLD MODEL CODE</v>
          </cell>
          <cell r="D324" t="str">
            <v>SUZUKI</v>
          </cell>
          <cell r="E324" t="str">
            <v>FU150CD3 RAIDER R 150(S.D.C.YELLOW/N.T.BLACK)</v>
          </cell>
          <cell r="F324" t="str">
            <v>UNDERBONE</v>
          </cell>
          <cell r="G324">
            <v>104077</v>
          </cell>
          <cell r="H324">
            <v>45</v>
          </cell>
          <cell r="I324">
            <v>30</v>
          </cell>
          <cell r="J324">
            <v>90</v>
          </cell>
          <cell r="K324">
            <v>15</v>
          </cell>
          <cell r="L324">
            <v>15</v>
          </cell>
          <cell r="M324">
            <v>30</v>
          </cell>
        </row>
        <row r="325">
          <cell r="B325" t="str">
            <v>RAIDER150 CARB</v>
          </cell>
          <cell r="C325" t="str">
            <v>OLD MODEL CODE</v>
          </cell>
          <cell r="D325" t="str">
            <v>SUZUKI</v>
          </cell>
          <cell r="E325" t="str">
            <v>FU150DX3 RAIDER 150(MET. TRITON BLUE)</v>
          </cell>
          <cell r="F325" t="str">
            <v>UNDERBONE</v>
          </cell>
          <cell r="G325">
            <v>104077</v>
          </cell>
          <cell r="H325">
            <v>45</v>
          </cell>
          <cell r="I325">
            <v>30</v>
          </cell>
          <cell r="J325">
            <v>90</v>
          </cell>
          <cell r="K325">
            <v>15</v>
          </cell>
          <cell r="L325">
            <v>15</v>
          </cell>
          <cell r="M325">
            <v>30</v>
          </cell>
        </row>
        <row r="326">
          <cell r="B326" t="str">
            <v>RAIDER150 CARB</v>
          </cell>
          <cell r="D326" t="str">
            <v>SUZUKI</v>
          </cell>
          <cell r="E326" t="str">
            <v>FU150CD3 RAIDER R 150(MATTE BLACK)</v>
          </cell>
          <cell r="F326" t="str">
            <v>UNDERBONE</v>
          </cell>
          <cell r="G326">
            <v>104077</v>
          </cell>
          <cell r="H326">
            <v>45</v>
          </cell>
          <cell r="I326">
            <v>30</v>
          </cell>
          <cell r="J326">
            <v>90</v>
          </cell>
          <cell r="K326">
            <v>15</v>
          </cell>
          <cell r="L326">
            <v>15</v>
          </cell>
          <cell r="M326">
            <v>30</v>
          </cell>
        </row>
        <row r="327">
          <cell r="B327" t="str">
            <v>RAIDER150 CARB</v>
          </cell>
          <cell r="C327" t="str">
            <v>OLD MODEL CODE</v>
          </cell>
          <cell r="D327" t="str">
            <v>SUZUKI</v>
          </cell>
          <cell r="E327" t="str">
            <v>FU150DX3 CS (MATTE GRAY)</v>
          </cell>
          <cell r="F327" t="str">
            <v>UNDERBONE</v>
          </cell>
          <cell r="G327">
            <v>104077</v>
          </cell>
          <cell r="H327">
            <v>45</v>
          </cell>
          <cell r="I327">
            <v>30</v>
          </cell>
          <cell r="J327">
            <v>90</v>
          </cell>
          <cell r="K327">
            <v>15</v>
          </cell>
          <cell r="L327">
            <v>15</v>
          </cell>
          <cell r="M327">
            <v>30</v>
          </cell>
        </row>
        <row r="328">
          <cell r="B328" t="str">
            <v>RAIDER150 CARB</v>
          </cell>
          <cell r="C328" t="str">
            <v>OLD MODEL CODE</v>
          </cell>
          <cell r="D328" t="str">
            <v>SUZUKI</v>
          </cell>
          <cell r="E328" t="str">
            <v>FU150DX3 CS (MATTE BLACK)</v>
          </cell>
          <cell r="F328" t="str">
            <v>UNDERBONE</v>
          </cell>
          <cell r="G328">
            <v>104077</v>
          </cell>
          <cell r="H328">
            <v>45</v>
          </cell>
          <cell r="I328">
            <v>30</v>
          </cell>
          <cell r="J328">
            <v>90</v>
          </cell>
          <cell r="K328">
            <v>15</v>
          </cell>
          <cell r="L328">
            <v>15</v>
          </cell>
          <cell r="M328">
            <v>30</v>
          </cell>
        </row>
        <row r="329">
          <cell r="B329" t="str">
            <v>RAIDER150 CARB</v>
          </cell>
          <cell r="C329" t="str">
            <v>OLD MODEL CODE</v>
          </cell>
          <cell r="D329" t="str">
            <v>SUZUKI</v>
          </cell>
          <cell r="E329" t="str">
            <v>FU150DY3(BLUE)</v>
          </cell>
          <cell r="F329" t="str">
            <v>UNDERBONE</v>
          </cell>
          <cell r="G329">
            <v>104077</v>
          </cell>
          <cell r="H329">
            <v>45</v>
          </cell>
          <cell r="I329">
            <v>30</v>
          </cell>
          <cell r="J329">
            <v>90</v>
          </cell>
          <cell r="K329">
            <v>15</v>
          </cell>
          <cell r="L329">
            <v>15</v>
          </cell>
          <cell r="M329">
            <v>30</v>
          </cell>
        </row>
        <row r="330">
          <cell r="B330" t="str">
            <v>RAIDER150 CARB</v>
          </cell>
          <cell r="C330" t="str">
            <v>OLD MODEL CODE</v>
          </cell>
          <cell r="D330" t="str">
            <v>SUZUKI</v>
          </cell>
          <cell r="E330" t="str">
            <v>FU150CD3 RAIDER R 150(JACKAL GREEN)</v>
          </cell>
          <cell r="F330" t="str">
            <v>UNDERBONE</v>
          </cell>
          <cell r="G330">
            <v>104077</v>
          </cell>
          <cell r="H330">
            <v>45</v>
          </cell>
          <cell r="I330">
            <v>30</v>
          </cell>
          <cell r="J330">
            <v>90</v>
          </cell>
          <cell r="K330">
            <v>15</v>
          </cell>
          <cell r="L330">
            <v>15</v>
          </cell>
          <cell r="M330">
            <v>30</v>
          </cell>
        </row>
        <row r="331">
          <cell r="B331" t="str">
            <v>RAIDER150 CARB</v>
          </cell>
          <cell r="C331" t="str">
            <v>OLD MODEL CODE</v>
          </cell>
          <cell r="D331" t="str">
            <v>SUZUKI</v>
          </cell>
          <cell r="E331" t="str">
            <v>FU150CD3 RAIDER R 150(BLACK)</v>
          </cell>
          <cell r="F331" t="str">
            <v>UNDERBONE</v>
          </cell>
          <cell r="G331">
            <v>104077</v>
          </cell>
          <cell r="H331">
            <v>45</v>
          </cell>
          <cell r="I331">
            <v>30</v>
          </cell>
          <cell r="J331">
            <v>90</v>
          </cell>
          <cell r="K331">
            <v>15</v>
          </cell>
          <cell r="L331">
            <v>15</v>
          </cell>
          <cell r="M331">
            <v>30</v>
          </cell>
        </row>
        <row r="332">
          <cell r="B332" t="str">
            <v>RAIDER150 CARB</v>
          </cell>
          <cell r="C332" t="str">
            <v>OLD MODEL CODE</v>
          </cell>
          <cell r="D332" t="str">
            <v>SUZUKI</v>
          </cell>
          <cell r="E332" t="str">
            <v>FU150CD3 RAIDER R 150(BLACK)</v>
          </cell>
          <cell r="F332" t="str">
            <v>UNDERBONE</v>
          </cell>
          <cell r="G332">
            <v>104077</v>
          </cell>
          <cell r="H332">
            <v>45</v>
          </cell>
          <cell r="I332">
            <v>30</v>
          </cell>
          <cell r="J332">
            <v>90</v>
          </cell>
          <cell r="K332">
            <v>15</v>
          </cell>
          <cell r="L332">
            <v>15</v>
          </cell>
          <cell r="M332">
            <v>30</v>
          </cell>
        </row>
        <row r="333">
          <cell r="B333" t="str">
            <v>RAIDER150 CARB</v>
          </cell>
          <cell r="C333" t="str">
            <v>OLD MODEL CODE</v>
          </cell>
          <cell r="D333" t="str">
            <v>SUZUKI</v>
          </cell>
          <cell r="E333" t="str">
            <v>FU150CD3-BCBLACK RAIDER R 150(BLACK)</v>
          </cell>
          <cell r="F333" t="str">
            <v>UNDERBONE</v>
          </cell>
          <cell r="G333">
            <v>104077</v>
          </cell>
          <cell r="H333">
            <v>45</v>
          </cell>
          <cell r="I333">
            <v>30</v>
          </cell>
          <cell r="J333">
            <v>90</v>
          </cell>
          <cell r="K333">
            <v>15</v>
          </cell>
          <cell r="L333">
            <v>15</v>
          </cell>
          <cell r="M333">
            <v>30</v>
          </cell>
        </row>
        <row r="334">
          <cell r="B334" t="str">
            <v>RAIDER150 CARB</v>
          </cell>
          <cell r="D334" t="str">
            <v>SUZUKI</v>
          </cell>
          <cell r="E334" t="str">
            <v>FU150CD3-CBLKR RAIDER R 150(BLACK)</v>
          </cell>
          <cell r="F334" t="str">
            <v>UNDERBONE</v>
          </cell>
          <cell r="G334">
            <v>104077</v>
          </cell>
          <cell r="H334">
            <v>45</v>
          </cell>
          <cell r="I334">
            <v>30</v>
          </cell>
          <cell r="J334">
            <v>90</v>
          </cell>
          <cell r="K334">
            <v>15</v>
          </cell>
          <cell r="L334">
            <v>15</v>
          </cell>
          <cell r="M334">
            <v>30</v>
          </cell>
        </row>
        <row r="335">
          <cell r="B335" t="str">
            <v>RAIDER150 CARB</v>
          </cell>
          <cell r="D335" t="str">
            <v>SUZUKI</v>
          </cell>
          <cell r="E335" t="str">
            <v>FU150CD3-CBKGRN RAIDER R 150(BLACK)</v>
          </cell>
          <cell r="F335" t="str">
            <v>UNDERBONE</v>
          </cell>
          <cell r="G335">
            <v>104077</v>
          </cell>
          <cell r="H335">
            <v>45</v>
          </cell>
          <cell r="I335">
            <v>30</v>
          </cell>
          <cell r="J335">
            <v>90</v>
          </cell>
          <cell r="K335">
            <v>15</v>
          </cell>
          <cell r="L335">
            <v>15</v>
          </cell>
          <cell r="M335">
            <v>30</v>
          </cell>
        </row>
        <row r="336">
          <cell r="B336" t="str">
            <v>RAIDER150 CARB</v>
          </cell>
          <cell r="D336" t="str">
            <v>SUZUKI</v>
          </cell>
          <cell r="E336" t="str">
            <v>FU150 DY3 RAIDER R(BLUE)</v>
          </cell>
          <cell r="F336" t="str">
            <v>UNDERBONE</v>
          </cell>
          <cell r="G336">
            <v>104077</v>
          </cell>
          <cell r="H336">
            <v>45</v>
          </cell>
          <cell r="I336">
            <v>30</v>
          </cell>
          <cell r="J336">
            <v>90</v>
          </cell>
          <cell r="K336">
            <v>15</v>
          </cell>
          <cell r="L336">
            <v>15</v>
          </cell>
          <cell r="M336">
            <v>30</v>
          </cell>
        </row>
        <row r="337">
          <cell r="B337" t="str">
            <v>RAIDER150 CARB</v>
          </cell>
          <cell r="D337" t="str">
            <v>SUZUKI</v>
          </cell>
          <cell r="E337" t="str">
            <v>FU150CD3-7RED RAIDER R 150</v>
          </cell>
          <cell r="F337" t="str">
            <v>UNDERBONE</v>
          </cell>
          <cell r="G337">
            <v>104077</v>
          </cell>
          <cell r="H337">
            <v>45</v>
          </cell>
          <cell r="I337">
            <v>30</v>
          </cell>
          <cell r="J337">
            <v>90</v>
          </cell>
          <cell r="K337">
            <v>15</v>
          </cell>
          <cell r="L337">
            <v>15</v>
          </cell>
          <cell r="M337">
            <v>30</v>
          </cell>
        </row>
        <row r="338">
          <cell r="B338" t="str">
            <v>RAIDER150 CARB</v>
          </cell>
          <cell r="D338" t="str">
            <v>SUZUKI</v>
          </cell>
          <cell r="E338" t="str">
            <v>FU150CD3-7BLACK RAIDER R 150</v>
          </cell>
          <cell r="F338" t="str">
            <v>UNDERBONE</v>
          </cell>
          <cell r="G338">
            <v>104077</v>
          </cell>
          <cell r="H338">
            <v>45</v>
          </cell>
          <cell r="I338">
            <v>30</v>
          </cell>
          <cell r="J338">
            <v>90</v>
          </cell>
          <cell r="K338">
            <v>15</v>
          </cell>
          <cell r="L338">
            <v>15</v>
          </cell>
          <cell r="M338">
            <v>30</v>
          </cell>
        </row>
        <row r="339">
          <cell r="B339" t="str">
            <v>RAIDER150 CARB</v>
          </cell>
          <cell r="D339" t="str">
            <v>SUZUKI</v>
          </cell>
          <cell r="E339" t="str">
            <v>FU150CD3-7GREEN RAIDER R 150</v>
          </cell>
          <cell r="F339" t="str">
            <v>UNDERBONE</v>
          </cell>
          <cell r="G339">
            <v>104077</v>
          </cell>
          <cell r="H339">
            <v>45</v>
          </cell>
          <cell r="I339">
            <v>30</v>
          </cell>
          <cell r="J339">
            <v>90</v>
          </cell>
          <cell r="K339">
            <v>15</v>
          </cell>
          <cell r="L339">
            <v>15</v>
          </cell>
          <cell r="M339">
            <v>30</v>
          </cell>
        </row>
        <row r="340">
          <cell r="B340" t="str">
            <v>ROUSER NS125</v>
          </cell>
          <cell r="C340" t="str">
            <v>OLD MODEL CODE</v>
          </cell>
          <cell r="D340" t="str">
            <v>KAWASAKI</v>
          </cell>
          <cell r="E340" t="str">
            <v>ROUSER NS125 (BLACK)</v>
          </cell>
          <cell r="F340" t="str">
            <v>UNDERBONE</v>
          </cell>
          <cell r="G340">
            <v>73158</v>
          </cell>
          <cell r="H340">
            <v>45</v>
          </cell>
          <cell r="I340">
            <v>30</v>
          </cell>
          <cell r="J340">
            <v>90</v>
          </cell>
          <cell r="K340">
            <v>15</v>
          </cell>
          <cell r="L340">
            <v>15</v>
          </cell>
          <cell r="M340">
            <v>30</v>
          </cell>
        </row>
        <row r="341">
          <cell r="B341" t="str">
            <v>ROUSER NS125</v>
          </cell>
          <cell r="C341" t="str">
            <v>OLD MODEL CODE</v>
          </cell>
          <cell r="D341" t="str">
            <v>KAWASAKI</v>
          </cell>
          <cell r="E341" t="str">
            <v>ROUSER NS125 (YELLOW</v>
          </cell>
          <cell r="F341" t="str">
            <v>UNDERBONE</v>
          </cell>
          <cell r="G341">
            <v>73158</v>
          </cell>
          <cell r="H341">
            <v>45</v>
          </cell>
          <cell r="I341">
            <v>30</v>
          </cell>
          <cell r="J341">
            <v>90</v>
          </cell>
          <cell r="K341">
            <v>15</v>
          </cell>
          <cell r="L341">
            <v>15</v>
          </cell>
          <cell r="M341">
            <v>30</v>
          </cell>
        </row>
        <row r="342">
          <cell r="B342" t="str">
            <v>ROUSER NS125</v>
          </cell>
          <cell r="D342" t="str">
            <v>KAWASAKI</v>
          </cell>
          <cell r="E342" t="str">
            <v>ROUSER NS125AA (BLACK)</v>
          </cell>
          <cell r="F342" t="str">
            <v>UNDERBONE</v>
          </cell>
          <cell r="G342">
            <v>73158</v>
          </cell>
          <cell r="H342">
            <v>45</v>
          </cell>
          <cell r="I342">
            <v>30</v>
          </cell>
          <cell r="J342">
            <v>90</v>
          </cell>
          <cell r="K342">
            <v>15</v>
          </cell>
          <cell r="L342">
            <v>15</v>
          </cell>
          <cell r="M342">
            <v>30</v>
          </cell>
        </row>
        <row r="343">
          <cell r="B343" t="str">
            <v>ROUSER NS125</v>
          </cell>
          <cell r="D343" t="str">
            <v>KAWASAKI</v>
          </cell>
          <cell r="E343" t="str">
            <v>ROUSER NS125AA (YELLOW)</v>
          </cell>
          <cell r="F343" t="str">
            <v>UNDERBONE</v>
          </cell>
          <cell r="G343">
            <v>73158</v>
          </cell>
          <cell r="H343">
            <v>45</v>
          </cell>
          <cell r="I343">
            <v>30</v>
          </cell>
          <cell r="J343">
            <v>90</v>
          </cell>
          <cell r="K343">
            <v>15</v>
          </cell>
          <cell r="L343">
            <v>15</v>
          </cell>
          <cell r="M343">
            <v>30</v>
          </cell>
        </row>
        <row r="344">
          <cell r="B344" t="str">
            <v>SKYDRIVE CROSSOVER</v>
          </cell>
          <cell r="D344" t="str">
            <v>SUZUKI</v>
          </cell>
          <cell r="E344" t="str">
            <v>UX110NER SKYDRIVE CROSSOVER (BLACK)</v>
          </cell>
          <cell r="F344" t="str">
            <v>SCOOTER</v>
          </cell>
          <cell r="G344">
            <v>70037</v>
          </cell>
          <cell r="H344">
            <v>45</v>
          </cell>
          <cell r="I344">
            <v>30</v>
          </cell>
          <cell r="J344">
            <v>90</v>
          </cell>
          <cell r="K344">
            <v>15</v>
          </cell>
          <cell r="L344">
            <v>15</v>
          </cell>
          <cell r="M344">
            <v>30</v>
          </cell>
        </row>
        <row r="345">
          <cell r="B345" t="str">
            <v>SKYDRIVE CROSSOVER</v>
          </cell>
          <cell r="D345" t="str">
            <v>SUZUKI</v>
          </cell>
          <cell r="E345" t="str">
            <v>UX110NER SKYDRIVE CROSSOVER (RED)</v>
          </cell>
          <cell r="F345" t="str">
            <v>SCOOTER</v>
          </cell>
          <cell r="G345">
            <v>70037</v>
          </cell>
          <cell r="H345">
            <v>45</v>
          </cell>
          <cell r="I345">
            <v>30</v>
          </cell>
          <cell r="J345">
            <v>90</v>
          </cell>
          <cell r="K345">
            <v>15</v>
          </cell>
          <cell r="L345">
            <v>15</v>
          </cell>
          <cell r="M345">
            <v>30</v>
          </cell>
        </row>
        <row r="346">
          <cell r="B346" t="str">
            <v>SKYDRIVE CROSSOVER</v>
          </cell>
          <cell r="D346" t="str">
            <v>SUZUKI</v>
          </cell>
          <cell r="E346" t="str">
            <v>UX110NER SKYDRIVE CROSSOVER (YELLOW)</v>
          </cell>
          <cell r="F346" t="str">
            <v>SCOOTER</v>
          </cell>
          <cell r="G346">
            <v>70037</v>
          </cell>
          <cell r="H346">
            <v>45</v>
          </cell>
          <cell r="I346">
            <v>30</v>
          </cell>
          <cell r="J346">
            <v>90</v>
          </cell>
          <cell r="K346">
            <v>15</v>
          </cell>
          <cell r="L346">
            <v>15</v>
          </cell>
          <cell r="M346">
            <v>30</v>
          </cell>
        </row>
        <row r="347">
          <cell r="B347" t="str">
            <v>SKYDRIVE CROSSOVER</v>
          </cell>
          <cell r="D347" t="str">
            <v>SUZUKI</v>
          </cell>
          <cell r="E347" t="str">
            <v>UX110NER SKYDRIVE CROSSOVER (BLUE)</v>
          </cell>
          <cell r="F347" t="str">
            <v>SCOOTER</v>
          </cell>
          <cell r="G347">
            <v>70037</v>
          </cell>
          <cell r="H347">
            <v>45</v>
          </cell>
          <cell r="I347">
            <v>30</v>
          </cell>
          <cell r="J347">
            <v>90</v>
          </cell>
          <cell r="K347">
            <v>15</v>
          </cell>
          <cell r="L347">
            <v>15</v>
          </cell>
          <cell r="M347">
            <v>30</v>
          </cell>
        </row>
        <row r="348">
          <cell r="B348" t="str">
            <v>SKYDRIVE SPORT</v>
          </cell>
          <cell r="D348" t="str">
            <v>SUZUKI</v>
          </cell>
          <cell r="E348" t="str">
            <v>UX110NE (PINK)</v>
          </cell>
          <cell r="F348" t="str">
            <v>SCOOTER</v>
          </cell>
          <cell r="G348">
            <v>68177</v>
          </cell>
          <cell r="H348">
            <v>45</v>
          </cell>
          <cell r="I348">
            <v>30</v>
          </cell>
          <cell r="J348">
            <v>90</v>
          </cell>
          <cell r="K348">
            <v>15</v>
          </cell>
          <cell r="L348">
            <v>15</v>
          </cell>
          <cell r="M348">
            <v>30</v>
          </cell>
        </row>
        <row r="349">
          <cell r="B349" t="str">
            <v>SKYDRIVE SPORT</v>
          </cell>
          <cell r="D349" t="str">
            <v>SUZUKI</v>
          </cell>
          <cell r="E349" t="str">
            <v>UX110NE (BLACK)</v>
          </cell>
          <cell r="F349" t="str">
            <v>SCOOTER</v>
          </cell>
          <cell r="G349">
            <v>68177</v>
          </cell>
          <cell r="H349">
            <v>45</v>
          </cell>
          <cell r="I349">
            <v>30</v>
          </cell>
          <cell r="J349">
            <v>90</v>
          </cell>
          <cell r="K349">
            <v>15</v>
          </cell>
          <cell r="L349">
            <v>15</v>
          </cell>
          <cell r="M349">
            <v>30</v>
          </cell>
        </row>
        <row r="350">
          <cell r="B350" t="str">
            <v>SKYDRIVE SPORT</v>
          </cell>
          <cell r="D350" t="str">
            <v>SUZUKI</v>
          </cell>
          <cell r="E350" t="str">
            <v>UX110NE (MATTE SILVER)</v>
          </cell>
          <cell r="F350" t="str">
            <v>SCOOTER</v>
          </cell>
          <cell r="G350">
            <v>68177</v>
          </cell>
          <cell r="H350">
            <v>45</v>
          </cell>
          <cell r="I350">
            <v>30</v>
          </cell>
          <cell r="J350">
            <v>90</v>
          </cell>
          <cell r="K350">
            <v>15</v>
          </cell>
          <cell r="L350">
            <v>15</v>
          </cell>
          <cell r="M350">
            <v>30</v>
          </cell>
        </row>
        <row r="351">
          <cell r="B351" t="str">
            <v>SKYDRIVE SPORT</v>
          </cell>
          <cell r="D351" t="str">
            <v>SUZUKI</v>
          </cell>
          <cell r="E351" t="str">
            <v>UX110NE (BLUE)</v>
          </cell>
          <cell r="F351" t="str">
            <v>SCOOTER</v>
          </cell>
          <cell r="G351">
            <v>68177</v>
          </cell>
          <cell r="H351">
            <v>45</v>
          </cell>
          <cell r="I351">
            <v>30</v>
          </cell>
          <cell r="J351">
            <v>90</v>
          </cell>
          <cell r="K351">
            <v>15</v>
          </cell>
          <cell r="L351">
            <v>15</v>
          </cell>
          <cell r="M351">
            <v>30</v>
          </cell>
        </row>
        <row r="352">
          <cell r="B352" t="str">
            <v>SKYDRIVE SPORT</v>
          </cell>
          <cell r="D352" t="str">
            <v>SUZUKI</v>
          </cell>
          <cell r="E352" t="str">
            <v>UX110NE (MATTE BLACK)</v>
          </cell>
          <cell r="F352" t="str">
            <v>SCOOTER</v>
          </cell>
          <cell r="G352">
            <v>68177</v>
          </cell>
          <cell r="H352">
            <v>45</v>
          </cell>
          <cell r="I352">
            <v>30</v>
          </cell>
          <cell r="J352">
            <v>90</v>
          </cell>
          <cell r="K352">
            <v>15</v>
          </cell>
          <cell r="L352">
            <v>15</v>
          </cell>
          <cell r="M352">
            <v>30</v>
          </cell>
        </row>
        <row r="353">
          <cell r="B353" t="str">
            <v>SKYDRIVE SPORT</v>
          </cell>
          <cell r="D353" t="str">
            <v>SUZUKI</v>
          </cell>
          <cell r="E353" t="str">
            <v>UX110NE (GREEN)</v>
          </cell>
          <cell r="F353" t="str">
            <v>SCOOTER</v>
          </cell>
          <cell r="G353">
            <v>68177</v>
          </cell>
          <cell r="H353">
            <v>45</v>
          </cell>
          <cell r="I353">
            <v>30</v>
          </cell>
          <cell r="J353">
            <v>90</v>
          </cell>
          <cell r="K353">
            <v>15</v>
          </cell>
          <cell r="L353">
            <v>15</v>
          </cell>
          <cell r="M353">
            <v>30</v>
          </cell>
        </row>
        <row r="354">
          <cell r="B354" t="str">
            <v>SKYDRIVE SPORT</v>
          </cell>
          <cell r="C354" t="str">
            <v>PHASE OUT</v>
          </cell>
          <cell r="D354" t="str">
            <v>SUZUKI</v>
          </cell>
          <cell r="E354" t="str">
            <v>UX110NZ (MATTE BLACK)</v>
          </cell>
          <cell r="F354" t="str">
            <v>SCOOTER</v>
          </cell>
          <cell r="G354">
            <v>68177</v>
          </cell>
          <cell r="H354">
            <v>45</v>
          </cell>
          <cell r="I354">
            <v>30</v>
          </cell>
          <cell r="J354">
            <v>90</v>
          </cell>
          <cell r="K354">
            <v>15</v>
          </cell>
          <cell r="L354">
            <v>15</v>
          </cell>
          <cell r="M354">
            <v>30</v>
          </cell>
        </row>
        <row r="355">
          <cell r="B355" t="str">
            <v>SKYDRIVE SPORT</v>
          </cell>
          <cell r="D355" t="str">
            <v>SUZUKI</v>
          </cell>
          <cell r="E355" t="str">
            <v>UX110NE-3BLACK (TITAN BLACK)</v>
          </cell>
          <cell r="F355" t="str">
            <v>SCOOTER</v>
          </cell>
          <cell r="G355">
            <v>68177</v>
          </cell>
          <cell r="H355">
            <v>45</v>
          </cell>
          <cell r="I355">
            <v>30</v>
          </cell>
          <cell r="J355">
            <v>90</v>
          </cell>
          <cell r="K355">
            <v>15</v>
          </cell>
          <cell r="L355">
            <v>15</v>
          </cell>
          <cell r="M355">
            <v>30</v>
          </cell>
        </row>
        <row r="356">
          <cell r="B356" t="str">
            <v>SMASH(MAGS)</v>
          </cell>
          <cell r="C356" t="str">
            <v>OLD MODEL CODE</v>
          </cell>
          <cell r="D356" t="str">
            <v>SUZUKI</v>
          </cell>
          <cell r="E356" t="str">
            <v>FW110SD SMASH (MATTE GRAY)</v>
          </cell>
          <cell r="F356" t="str">
            <v>UNDERBONE</v>
          </cell>
          <cell r="G356">
            <v>67342</v>
          </cell>
          <cell r="H356">
            <v>45</v>
          </cell>
          <cell r="I356">
            <v>30</v>
          </cell>
          <cell r="J356">
            <v>90</v>
          </cell>
          <cell r="K356">
            <v>15</v>
          </cell>
          <cell r="L356">
            <v>15</v>
          </cell>
          <cell r="M356">
            <v>30</v>
          </cell>
        </row>
        <row r="357">
          <cell r="B357" t="str">
            <v>SMASH(MAGS)</v>
          </cell>
          <cell r="C357" t="str">
            <v>OLD MODEL CODE</v>
          </cell>
          <cell r="D357" t="str">
            <v>SUZUKI</v>
          </cell>
          <cell r="E357" t="str">
            <v>FW110SD SMASH (BLUE)</v>
          </cell>
          <cell r="F357" t="str">
            <v>UNDERBONE</v>
          </cell>
          <cell r="G357">
            <v>67342</v>
          </cell>
          <cell r="H357">
            <v>45</v>
          </cell>
          <cell r="I357">
            <v>30</v>
          </cell>
          <cell r="J357">
            <v>90</v>
          </cell>
          <cell r="K357">
            <v>15</v>
          </cell>
          <cell r="L357">
            <v>15</v>
          </cell>
          <cell r="M357">
            <v>30</v>
          </cell>
        </row>
        <row r="358">
          <cell r="B358" t="str">
            <v>SMASH(MAGS)</v>
          </cell>
          <cell r="D358" t="str">
            <v>SUZUKI</v>
          </cell>
          <cell r="E358" t="str">
            <v>FW110SC-ABLUE</v>
          </cell>
          <cell r="F358" t="str">
            <v>UNDERBONE</v>
          </cell>
          <cell r="G358">
            <v>67342</v>
          </cell>
          <cell r="H358">
            <v>45</v>
          </cell>
          <cell r="I358">
            <v>30</v>
          </cell>
          <cell r="J358">
            <v>90</v>
          </cell>
          <cell r="K358">
            <v>15</v>
          </cell>
          <cell r="L358">
            <v>15</v>
          </cell>
          <cell r="M358">
            <v>30</v>
          </cell>
        </row>
        <row r="359">
          <cell r="B359" t="str">
            <v>SMASH(MAGS)</v>
          </cell>
          <cell r="D359" t="str">
            <v>SUZUKI</v>
          </cell>
          <cell r="E359" t="str">
            <v>FW110SC-ABLACK</v>
          </cell>
          <cell r="F359" t="str">
            <v>UNDERBONE</v>
          </cell>
          <cell r="G359">
            <v>67342</v>
          </cell>
          <cell r="H359">
            <v>45</v>
          </cell>
          <cell r="I359">
            <v>30</v>
          </cell>
          <cell r="J359">
            <v>90</v>
          </cell>
          <cell r="K359">
            <v>15</v>
          </cell>
          <cell r="L359">
            <v>15</v>
          </cell>
          <cell r="M359">
            <v>30</v>
          </cell>
        </row>
        <row r="360">
          <cell r="B360" t="str">
            <v>SMASH(SPOKE)</v>
          </cell>
          <cell r="C360" t="str">
            <v>OLD MODEL CODE</v>
          </cell>
          <cell r="D360" t="str">
            <v>SUZUKI</v>
          </cell>
          <cell r="E360" t="str">
            <v>FW110TD SMASH(MATTE BLACK)</v>
          </cell>
          <cell r="F360" t="str">
            <v>UNDERBONE</v>
          </cell>
          <cell r="G360">
            <v>62692</v>
          </cell>
          <cell r="H360">
            <v>45</v>
          </cell>
          <cell r="I360">
            <v>30</v>
          </cell>
          <cell r="J360">
            <v>90</v>
          </cell>
          <cell r="K360">
            <v>15</v>
          </cell>
          <cell r="L360">
            <v>15</v>
          </cell>
          <cell r="M360">
            <v>30</v>
          </cell>
        </row>
        <row r="361">
          <cell r="B361" t="str">
            <v>SMASH(SPOKE)</v>
          </cell>
          <cell r="C361" t="str">
            <v>OLD MODEL CODE</v>
          </cell>
          <cell r="D361" t="str">
            <v>SUZUKI</v>
          </cell>
          <cell r="E361" t="str">
            <v>FW110TD SMASH(BLACK)</v>
          </cell>
          <cell r="F361" t="str">
            <v>UNDERBONE</v>
          </cell>
          <cell r="G361">
            <v>62692</v>
          </cell>
          <cell r="H361">
            <v>45</v>
          </cell>
          <cell r="I361">
            <v>30</v>
          </cell>
          <cell r="J361">
            <v>90</v>
          </cell>
          <cell r="K361">
            <v>15</v>
          </cell>
          <cell r="L361">
            <v>15</v>
          </cell>
          <cell r="M361">
            <v>30</v>
          </cell>
        </row>
        <row r="362">
          <cell r="B362" t="str">
            <v>SMASH(SPOKE)</v>
          </cell>
          <cell r="C362" t="str">
            <v>OLD MODEL CODE</v>
          </cell>
          <cell r="D362" t="str">
            <v>SUZUKI</v>
          </cell>
          <cell r="E362" t="str">
            <v>FW110TD SMASH(RED)</v>
          </cell>
          <cell r="F362" t="str">
            <v>UNDERBONE</v>
          </cell>
          <cell r="G362">
            <v>62692</v>
          </cell>
          <cell r="H362">
            <v>45</v>
          </cell>
          <cell r="I362">
            <v>30</v>
          </cell>
          <cell r="J362">
            <v>90</v>
          </cell>
          <cell r="K362">
            <v>15</v>
          </cell>
          <cell r="L362">
            <v>15</v>
          </cell>
          <cell r="M362">
            <v>30</v>
          </cell>
        </row>
        <row r="363">
          <cell r="B363" t="str">
            <v>SMASH(SPOKE)</v>
          </cell>
          <cell r="D363" t="str">
            <v>SUZUKI</v>
          </cell>
          <cell r="E363" t="str">
            <v>FW110D SMASH (BLACK)</v>
          </cell>
          <cell r="F363" t="str">
            <v>UNDERBONE</v>
          </cell>
          <cell r="G363">
            <v>62692</v>
          </cell>
          <cell r="H363">
            <v>45</v>
          </cell>
          <cell r="I363">
            <v>30</v>
          </cell>
          <cell r="J363">
            <v>90</v>
          </cell>
          <cell r="K363">
            <v>15</v>
          </cell>
          <cell r="L363">
            <v>15</v>
          </cell>
          <cell r="M363">
            <v>30</v>
          </cell>
        </row>
        <row r="364">
          <cell r="B364" t="str">
            <v>SMASH(SPOKE)</v>
          </cell>
          <cell r="D364" t="str">
            <v>SUZUKI</v>
          </cell>
          <cell r="E364" t="str">
            <v>FW110D SMASH (PINK)</v>
          </cell>
          <cell r="F364" t="str">
            <v>UNDERBONE</v>
          </cell>
          <cell r="G364">
            <v>62692</v>
          </cell>
          <cell r="H364">
            <v>45</v>
          </cell>
          <cell r="I364">
            <v>30</v>
          </cell>
          <cell r="J364">
            <v>90</v>
          </cell>
          <cell r="K364">
            <v>15</v>
          </cell>
          <cell r="L364">
            <v>15</v>
          </cell>
          <cell r="M364">
            <v>30</v>
          </cell>
        </row>
        <row r="365">
          <cell r="B365" t="str">
            <v>SMASH(SPOKE)</v>
          </cell>
          <cell r="D365" t="str">
            <v>SUZUKI</v>
          </cell>
          <cell r="E365" t="str">
            <v>FW110D SMASH (RED)</v>
          </cell>
          <cell r="F365" t="str">
            <v>UNDERBONE</v>
          </cell>
          <cell r="G365">
            <v>62692</v>
          </cell>
          <cell r="H365">
            <v>45</v>
          </cell>
          <cell r="I365">
            <v>30</v>
          </cell>
          <cell r="J365">
            <v>90</v>
          </cell>
          <cell r="K365">
            <v>15</v>
          </cell>
          <cell r="L365">
            <v>15</v>
          </cell>
          <cell r="M365">
            <v>30</v>
          </cell>
        </row>
        <row r="366">
          <cell r="B366" t="str">
            <v>SMASH(SPOKE)</v>
          </cell>
          <cell r="C366" t="str">
            <v>OLD MODEL CODE</v>
          </cell>
          <cell r="D366" t="str">
            <v>SUZUKI</v>
          </cell>
          <cell r="E366" t="str">
            <v>FW110 SMASH (VIOLET)</v>
          </cell>
          <cell r="F366" t="str">
            <v>UNDERBONE</v>
          </cell>
          <cell r="G366">
            <v>62692</v>
          </cell>
          <cell r="H366">
            <v>45</v>
          </cell>
          <cell r="I366">
            <v>30</v>
          </cell>
          <cell r="J366">
            <v>90</v>
          </cell>
          <cell r="K366">
            <v>15</v>
          </cell>
          <cell r="L366">
            <v>15</v>
          </cell>
          <cell r="M366">
            <v>30</v>
          </cell>
        </row>
        <row r="367">
          <cell r="B367" t="str">
            <v>SMASH(SPOKE)</v>
          </cell>
          <cell r="C367" t="str">
            <v>OLD MODEL CODE</v>
          </cell>
          <cell r="D367" t="str">
            <v>SUZUKI</v>
          </cell>
          <cell r="E367" t="str">
            <v>FW110 SMASH (MATTE BLACK)</v>
          </cell>
          <cell r="F367" t="str">
            <v>UNDERBONE</v>
          </cell>
          <cell r="G367">
            <v>62692</v>
          </cell>
          <cell r="H367">
            <v>45</v>
          </cell>
          <cell r="I367">
            <v>30</v>
          </cell>
          <cell r="J367">
            <v>90</v>
          </cell>
          <cell r="K367">
            <v>15</v>
          </cell>
          <cell r="L367">
            <v>15</v>
          </cell>
          <cell r="M367">
            <v>30</v>
          </cell>
        </row>
        <row r="368">
          <cell r="B368" t="str">
            <v>SMASH(SPOKE)</v>
          </cell>
          <cell r="D368" t="str">
            <v>SUZUKI</v>
          </cell>
          <cell r="E368" t="str">
            <v>FW110D (MATTE BLACK)</v>
          </cell>
          <cell r="F368" t="str">
            <v>UNDERBONE</v>
          </cell>
          <cell r="G368">
            <v>62692</v>
          </cell>
          <cell r="H368">
            <v>45</v>
          </cell>
          <cell r="I368">
            <v>30</v>
          </cell>
          <cell r="J368">
            <v>90</v>
          </cell>
          <cell r="K368">
            <v>15</v>
          </cell>
          <cell r="L368">
            <v>15</v>
          </cell>
          <cell r="M368">
            <v>30</v>
          </cell>
        </row>
        <row r="369">
          <cell r="B369" t="str">
            <v>SMASH(SPOKE)</v>
          </cell>
          <cell r="D369" t="str">
            <v>SUZUKI</v>
          </cell>
          <cell r="E369" t="str">
            <v>FW110D (FRENETIC VIOLET)</v>
          </cell>
          <cell r="F369" t="str">
            <v>UNDERBONE</v>
          </cell>
          <cell r="G369">
            <v>62692</v>
          </cell>
          <cell r="H369">
            <v>45</v>
          </cell>
          <cell r="I369">
            <v>30</v>
          </cell>
          <cell r="J369">
            <v>90</v>
          </cell>
          <cell r="K369">
            <v>15</v>
          </cell>
          <cell r="L369">
            <v>15</v>
          </cell>
          <cell r="M369">
            <v>30</v>
          </cell>
        </row>
        <row r="370">
          <cell r="B370" t="str">
            <v>SMASH(SPOKE)</v>
          </cell>
          <cell r="D370" t="str">
            <v>SUZUKI</v>
          </cell>
          <cell r="E370" t="str">
            <v>FW110D SMASH- HGREEN</v>
          </cell>
          <cell r="F370" t="str">
            <v>UNDERBONE</v>
          </cell>
          <cell r="G370">
            <v>62692</v>
          </cell>
          <cell r="H370">
            <v>45</v>
          </cell>
          <cell r="I370">
            <v>30</v>
          </cell>
          <cell r="J370">
            <v>90</v>
          </cell>
          <cell r="K370">
            <v>15</v>
          </cell>
          <cell r="L370">
            <v>15</v>
          </cell>
          <cell r="M370">
            <v>30</v>
          </cell>
        </row>
        <row r="371">
          <cell r="B371" t="str">
            <v>SMASH(SPOKE)</v>
          </cell>
          <cell r="D371" t="str">
            <v>SUZUKI</v>
          </cell>
          <cell r="E371" t="str">
            <v>FW110D-SMASH IVORY</v>
          </cell>
          <cell r="F371" t="str">
            <v>UNDERBONE</v>
          </cell>
          <cell r="G371">
            <v>62692</v>
          </cell>
          <cell r="H371">
            <v>45</v>
          </cell>
          <cell r="I371">
            <v>30</v>
          </cell>
          <cell r="J371">
            <v>90</v>
          </cell>
          <cell r="K371">
            <v>15</v>
          </cell>
          <cell r="L371">
            <v>15</v>
          </cell>
          <cell r="M371">
            <v>30</v>
          </cell>
        </row>
        <row r="372">
          <cell r="B372" t="str">
            <v>SMASH(SPOKE)</v>
          </cell>
          <cell r="D372" t="str">
            <v>SUZUKI</v>
          </cell>
          <cell r="E372" t="str">
            <v>FW110D-IBLACK SMASH110</v>
          </cell>
          <cell r="F372" t="str">
            <v>UNDERBONE</v>
          </cell>
          <cell r="G372">
            <v>62692</v>
          </cell>
          <cell r="H372">
            <v>45</v>
          </cell>
          <cell r="I372">
            <v>30</v>
          </cell>
          <cell r="J372">
            <v>90</v>
          </cell>
          <cell r="K372">
            <v>15</v>
          </cell>
          <cell r="L372">
            <v>15</v>
          </cell>
          <cell r="M372">
            <v>30</v>
          </cell>
        </row>
        <row r="373">
          <cell r="B373" t="str">
            <v>SMASH(SPOKE)</v>
          </cell>
          <cell r="D373" t="str">
            <v>SUZUKI</v>
          </cell>
          <cell r="E373" t="str">
            <v>FW110D-IPINK SMASH115</v>
          </cell>
          <cell r="F373" t="str">
            <v>UNDERBONE</v>
          </cell>
          <cell r="G373">
            <v>62692</v>
          </cell>
          <cell r="H373">
            <v>45</v>
          </cell>
          <cell r="I373">
            <v>30</v>
          </cell>
          <cell r="J373">
            <v>90</v>
          </cell>
          <cell r="K373">
            <v>15</v>
          </cell>
          <cell r="L373">
            <v>15</v>
          </cell>
          <cell r="M373">
            <v>30</v>
          </cell>
        </row>
        <row r="374">
          <cell r="B374" t="str">
            <v>SMASH(SPOKE)</v>
          </cell>
          <cell r="D374" t="str">
            <v>SUZUKI</v>
          </cell>
          <cell r="E374" t="str">
            <v>FW110D-IIVORY SMASH110</v>
          </cell>
          <cell r="F374" t="str">
            <v>UNDERBONE</v>
          </cell>
          <cell r="G374">
            <v>62692</v>
          </cell>
          <cell r="H374">
            <v>45</v>
          </cell>
          <cell r="I374">
            <v>30</v>
          </cell>
          <cell r="J374">
            <v>90</v>
          </cell>
          <cell r="K374">
            <v>15</v>
          </cell>
          <cell r="L374">
            <v>15</v>
          </cell>
          <cell r="M374">
            <v>30</v>
          </cell>
        </row>
        <row r="375">
          <cell r="B375" t="str">
            <v>SMASH(SPOKE)</v>
          </cell>
          <cell r="D375" t="str">
            <v>SUZUKI</v>
          </cell>
          <cell r="E375" t="str">
            <v>FW110D-IRED SMASH110</v>
          </cell>
          <cell r="F375" t="str">
            <v>UNDERBONE</v>
          </cell>
          <cell r="G375">
            <v>62692</v>
          </cell>
          <cell r="H375">
            <v>45</v>
          </cell>
          <cell r="I375">
            <v>30</v>
          </cell>
          <cell r="J375">
            <v>90</v>
          </cell>
          <cell r="K375">
            <v>15</v>
          </cell>
          <cell r="L375">
            <v>15</v>
          </cell>
          <cell r="M375">
            <v>30</v>
          </cell>
        </row>
        <row r="376">
          <cell r="B376" t="str">
            <v>SMASH(SPOKE)</v>
          </cell>
          <cell r="D376" t="str">
            <v>SUZUKI</v>
          </cell>
          <cell r="E376" t="str">
            <v>FW110D-SMASH GRAY</v>
          </cell>
          <cell r="F376" t="str">
            <v>UNDERBONE</v>
          </cell>
          <cell r="G376">
            <v>62692</v>
          </cell>
          <cell r="H376">
            <v>45</v>
          </cell>
          <cell r="I376">
            <v>30</v>
          </cell>
          <cell r="J376">
            <v>90</v>
          </cell>
          <cell r="K376">
            <v>15</v>
          </cell>
          <cell r="L376">
            <v>15</v>
          </cell>
          <cell r="M376">
            <v>30</v>
          </cell>
        </row>
        <row r="377">
          <cell r="B377" t="str">
            <v>SMASH(SPOKE)</v>
          </cell>
          <cell r="D377" t="str">
            <v>SUZUKI</v>
          </cell>
          <cell r="E377" t="str">
            <v>FW110D SMASH110 (GREEN)</v>
          </cell>
          <cell r="F377" t="str">
            <v>UNDERBONE</v>
          </cell>
          <cell r="G377">
            <v>62692</v>
          </cell>
          <cell r="H377">
            <v>45</v>
          </cell>
          <cell r="I377">
            <v>30</v>
          </cell>
          <cell r="J377">
            <v>90</v>
          </cell>
          <cell r="K377">
            <v>15</v>
          </cell>
          <cell r="L377">
            <v>15</v>
          </cell>
          <cell r="M377">
            <v>30</v>
          </cell>
        </row>
        <row r="378">
          <cell r="B378" t="str">
            <v>SMASH(SPOKE)</v>
          </cell>
          <cell r="D378" t="str">
            <v>SUZUKI</v>
          </cell>
          <cell r="E378" t="str">
            <v>FW110D SMASH (C1IVORY)</v>
          </cell>
          <cell r="F378" t="str">
            <v>UNDERBONE</v>
          </cell>
          <cell r="G378">
            <v>62692</v>
          </cell>
          <cell r="H378">
            <v>45</v>
          </cell>
          <cell r="I378">
            <v>30</v>
          </cell>
          <cell r="J378">
            <v>90</v>
          </cell>
          <cell r="K378">
            <v>15</v>
          </cell>
          <cell r="L378">
            <v>15</v>
          </cell>
          <cell r="M378">
            <v>30</v>
          </cell>
        </row>
        <row r="379">
          <cell r="B379" t="str">
            <v>SMASH(SPOKE)</v>
          </cell>
          <cell r="D379" t="str">
            <v>SUZUKI</v>
          </cell>
          <cell r="E379" t="str">
            <v>FW110D SMASH (C1GREEN)</v>
          </cell>
          <cell r="F379" t="str">
            <v>UNDERBONE</v>
          </cell>
          <cell r="G379">
            <v>62692</v>
          </cell>
          <cell r="H379">
            <v>45</v>
          </cell>
          <cell r="I379">
            <v>30</v>
          </cell>
          <cell r="J379">
            <v>90</v>
          </cell>
          <cell r="K379">
            <v>15</v>
          </cell>
          <cell r="L379">
            <v>15</v>
          </cell>
          <cell r="M379">
            <v>30</v>
          </cell>
        </row>
        <row r="380">
          <cell r="B380" t="str">
            <v>SMASH(SPOKE)</v>
          </cell>
          <cell r="D380" t="str">
            <v>SUZUKI</v>
          </cell>
          <cell r="E380" t="str">
            <v>FW110D SMASH (C1BLACK)</v>
          </cell>
          <cell r="F380" t="str">
            <v>UNDERBONE</v>
          </cell>
          <cell r="G380">
            <v>62692</v>
          </cell>
          <cell r="H380">
            <v>45</v>
          </cell>
          <cell r="I380">
            <v>30</v>
          </cell>
          <cell r="J380">
            <v>90</v>
          </cell>
          <cell r="K380">
            <v>15</v>
          </cell>
          <cell r="L380">
            <v>15</v>
          </cell>
          <cell r="M380">
            <v>30</v>
          </cell>
        </row>
        <row r="381">
          <cell r="B381" t="str">
            <v>SNIPER 155 FI</v>
          </cell>
          <cell r="C381" t="str">
            <v>OLD MODEL CODE</v>
          </cell>
          <cell r="D381" t="str">
            <v>YAMAHA</v>
          </cell>
          <cell r="E381" t="str">
            <v>SNIPER 150 MX B187(MATTE GREEN/M.GRAY)</v>
          </cell>
          <cell r="F381" t="str">
            <v>UNDERBONE</v>
          </cell>
          <cell r="G381">
            <v>117087</v>
          </cell>
          <cell r="H381">
            <v>45</v>
          </cell>
          <cell r="I381">
            <v>30</v>
          </cell>
          <cell r="J381">
            <v>90</v>
          </cell>
          <cell r="K381">
            <v>15</v>
          </cell>
          <cell r="L381">
            <v>15</v>
          </cell>
          <cell r="M381">
            <v>30</v>
          </cell>
        </row>
        <row r="382">
          <cell r="B382" t="str">
            <v>SNIPER 155 FI</v>
          </cell>
          <cell r="C382" t="str">
            <v>OLD MODEL CODE</v>
          </cell>
          <cell r="D382" t="str">
            <v>YAMAHA</v>
          </cell>
          <cell r="E382" t="str">
            <v>SNIPER 150 MX i B187 (BLUE/SILVER)</v>
          </cell>
          <cell r="F382" t="str">
            <v>UNDERBONE</v>
          </cell>
          <cell r="G382">
            <v>117087</v>
          </cell>
          <cell r="H382">
            <v>45</v>
          </cell>
          <cell r="I382">
            <v>30</v>
          </cell>
          <cell r="J382">
            <v>90</v>
          </cell>
          <cell r="K382">
            <v>15</v>
          </cell>
          <cell r="L382">
            <v>15</v>
          </cell>
          <cell r="M382">
            <v>30</v>
          </cell>
        </row>
        <row r="383">
          <cell r="B383" t="str">
            <v>SNIPER 155 FI</v>
          </cell>
          <cell r="C383" t="str">
            <v>OLD MODEL CODE</v>
          </cell>
          <cell r="D383" t="str">
            <v>YAMAHA</v>
          </cell>
          <cell r="E383" t="str">
            <v>SNIPER150 B186 (BLUE/BLACK)</v>
          </cell>
          <cell r="F383" t="str">
            <v>UNDERBONE</v>
          </cell>
          <cell r="G383">
            <v>117087</v>
          </cell>
          <cell r="H383">
            <v>45</v>
          </cell>
          <cell r="I383">
            <v>30</v>
          </cell>
          <cell r="J383">
            <v>90</v>
          </cell>
          <cell r="K383">
            <v>15</v>
          </cell>
          <cell r="L383">
            <v>15</v>
          </cell>
          <cell r="M383">
            <v>30</v>
          </cell>
        </row>
        <row r="384">
          <cell r="B384" t="str">
            <v>SNIPER 155 FI</v>
          </cell>
          <cell r="C384" t="str">
            <v>OLD MODEL CODE</v>
          </cell>
          <cell r="D384" t="str">
            <v>YAMAHA</v>
          </cell>
          <cell r="E384" t="str">
            <v>SNIPER150 B186 (MATTE/BLACK)</v>
          </cell>
          <cell r="F384" t="str">
            <v>UNDERBONE</v>
          </cell>
          <cell r="G384">
            <v>117087</v>
          </cell>
          <cell r="H384">
            <v>45</v>
          </cell>
          <cell r="I384">
            <v>30</v>
          </cell>
          <cell r="J384">
            <v>90</v>
          </cell>
          <cell r="K384">
            <v>15</v>
          </cell>
          <cell r="L384">
            <v>15</v>
          </cell>
          <cell r="M384">
            <v>30</v>
          </cell>
        </row>
        <row r="385">
          <cell r="B385" t="str">
            <v>SNIPER 155 FI</v>
          </cell>
          <cell r="C385" t="str">
            <v>OLD MODEL CODE</v>
          </cell>
          <cell r="D385" t="str">
            <v>YAMAHA</v>
          </cell>
          <cell r="E385" t="str">
            <v>SNIPER150 B186 (MATTE GRAY/YELLOW)</v>
          </cell>
          <cell r="F385" t="str">
            <v>UNDERBONE</v>
          </cell>
          <cell r="G385">
            <v>117087</v>
          </cell>
          <cell r="H385">
            <v>45</v>
          </cell>
          <cell r="I385">
            <v>30</v>
          </cell>
          <cell r="J385">
            <v>90</v>
          </cell>
          <cell r="K385">
            <v>15</v>
          </cell>
          <cell r="L385">
            <v>15</v>
          </cell>
          <cell r="M385">
            <v>30</v>
          </cell>
        </row>
        <row r="386">
          <cell r="B386" t="str">
            <v>SNIPER 155 FI</v>
          </cell>
          <cell r="C386" t="str">
            <v>OLD MODEL CODE</v>
          </cell>
          <cell r="D386" t="str">
            <v>YAMAHA</v>
          </cell>
          <cell r="E386" t="str">
            <v>SNIPER150 B186 (MATTE GREEN/BLACK)</v>
          </cell>
          <cell r="F386" t="str">
            <v>UNDERBONE</v>
          </cell>
          <cell r="G386">
            <v>117087</v>
          </cell>
          <cell r="H386">
            <v>45</v>
          </cell>
          <cell r="I386">
            <v>30</v>
          </cell>
          <cell r="J386">
            <v>90</v>
          </cell>
          <cell r="K386">
            <v>15</v>
          </cell>
          <cell r="L386">
            <v>15</v>
          </cell>
          <cell r="M386">
            <v>30</v>
          </cell>
        </row>
        <row r="387">
          <cell r="B387" t="str">
            <v>SNIPER 155 FI</v>
          </cell>
          <cell r="C387" t="str">
            <v>OLD MODEL CODE</v>
          </cell>
          <cell r="D387" t="str">
            <v>YAMAHA</v>
          </cell>
          <cell r="E387" t="str">
            <v>SNIPER150 B18A (MONSTER ENERGY EDITION)</v>
          </cell>
          <cell r="F387" t="str">
            <v>UNDERBONE</v>
          </cell>
          <cell r="G387">
            <v>117087</v>
          </cell>
          <cell r="H387">
            <v>45</v>
          </cell>
          <cell r="I387">
            <v>30</v>
          </cell>
          <cell r="J387">
            <v>90</v>
          </cell>
          <cell r="K387">
            <v>15</v>
          </cell>
          <cell r="L387">
            <v>15</v>
          </cell>
          <cell r="M387">
            <v>30</v>
          </cell>
        </row>
        <row r="388">
          <cell r="B388" t="str">
            <v>SNIPER 155 FI</v>
          </cell>
          <cell r="C388" t="str">
            <v>OLD MODEL CODE</v>
          </cell>
          <cell r="D388" t="str">
            <v>YAMAHA</v>
          </cell>
          <cell r="E388" t="str">
            <v>SNIPER150 B18B (BLUE)</v>
          </cell>
          <cell r="F388" t="str">
            <v>UNDERBONE</v>
          </cell>
          <cell r="G388">
            <v>117087</v>
          </cell>
          <cell r="H388">
            <v>45</v>
          </cell>
          <cell r="I388">
            <v>30</v>
          </cell>
          <cell r="J388">
            <v>90</v>
          </cell>
          <cell r="K388">
            <v>15</v>
          </cell>
          <cell r="L388">
            <v>15</v>
          </cell>
          <cell r="M388">
            <v>30</v>
          </cell>
        </row>
        <row r="389">
          <cell r="B389" t="str">
            <v>SNIPER 155 FI</v>
          </cell>
          <cell r="D389" t="str">
            <v>YAMAHA</v>
          </cell>
          <cell r="E389" t="str">
            <v>SNIPER155 BAY2 (MATTE GRAY)</v>
          </cell>
          <cell r="F389" t="str">
            <v>UNDERBONE</v>
          </cell>
          <cell r="G389">
            <v>117087</v>
          </cell>
          <cell r="H389">
            <v>45</v>
          </cell>
          <cell r="I389">
            <v>30</v>
          </cell>
          <cell r="J389">
            <v>90</v>
          </cell>
          <cell r="K389">
            <v>15</v>
          </cell>
          <cell r="L389">
            <v>15</v>
          </cell>
          <cell r="M389">
            <v>30</v>
          </cell>
        </row>
        <row r="390">
          <cell r="B390" t="str">
            <v>SNIPER 155 FI</v>
          </cell>
          <cell r="D390" t="str">
            <v>YAMAHA</v>
          </cell>
          <cell r="E390" t="str">
            <v>SNIPER155 BAY2 (MATTE BLACK)</v>
          </cell>
          <cell r="F390" t="str">
            <v>UNDERBONE</v>
          </cell>
          <cell r="G390">
            <v>117087</v>
          </cell>
          <cell r="H390">
            <v>45</v>
          </cell>
          <cell r="I390">
            <v>30</v>
          </cell>
          <cell r="J390">
            <v>90</v>
          </cell>
          <cell r="K390">
            <v>15</v>
          </cell>
          <cell r="L390">
            <v>15</v>
          </cell>
          <cell r="M390">
            <v>30</v>
          </cell>
        </row>
        <row r="391">
          <cell r="B391" t="str">
            <v>SNIPER 155 FI</v>
          </cell>
          <cell r="D391" t="str">
            <v>YAMAHA</v>
          </cell>
          <cell r="E391" t="str">
            <v>SNIPER155 BAY2 (BLUE)</v>
          </cell>
          <cell r="F391" t="str">
            <v>UNDERBONE</v>
          </cell>
          <cell r="G391">
            <v>117087</v>
          </cell>
          <cell r="H391">
            <v>45</v>
          </cell>
          <cell r="I391">
            <v>30</v>
          </cell>
          <cell r="J391">
            <v>90</v>
          </cell>
          <cell r="K391">
            <v>15</v>
          </cell>
          <cell r="L391">
            <v>15</v>
          </cell>
          <cell r="M391">
            <v>30</v>
          </cell>
        </row>
        <row r="392">
          <cell r="B392" t="str">
            <v>SNIPER 155 FI</v>
          </cell>
          <cell r="D392" t="str">
            <v>YAMAHA</v>
          </cell>
          <cell r="E392" t="str">
            <v>SNIPER155 BAY8 (BLUE/ MATTE BLUE)</v>
          </cell>
          <cell r="F392" t="str">
            <v>UNDERBONE</v>
          </cell>
          <cell r="G392">
            <v>117087</v>
          </cell>
          <cell r="H392">
            <v>45</v>
          </cell>
          <cell r="I392">
            <v>30</v>
          </cell>
          <cell r="J392">
            <v>90</v>
          </cell>
          <cell r="K392">
            <v>15</v>
          </cell>
          <cell r="L392">
            <v>15</v>
          </cell>
          <cell r="M392">
            <v>30</v>
          </cell>
        </row>
        <row r="393">
          <cell r="B393" t="str">
            <v>SNIPER 155 FI</v>
          </cell>
          <cell r="D393" t="str">
            <v>YAMAHA</v>
          </cell>
          <cell r="E393" t="str">
            <v>SNIPER155 BAY8 (DARK GRAY)</v>
          </cell>
          <cell r="F393" t="str">
            <v>UNDERBONE</v>
          </cell>
          <cell r="G393">
            <v>117087</v>
          </cell>
          <cell r="H393">
            <v>45</v>
          </cell>
          <cell r="I393">
            <v>30</v>
          </cell>
          <cell r="J393">
            <v>90</v>
          </cell>
          <cell r="K393">
            <v>15</v>
          </cell>
          <cell r="L393">
            <v>15</v>
          </cell>
          <cell r="M393">
            <v>30</v>
          </cell>
        </row>
        <row r="394">
          <cell r="B394" t="str">
            <v>SUPRA GTR</v>
          </cell>
          <cell r="D394" t="str">
            <v>HONDA</v>
          </cell>
          <cell r="E394" t="str">
            <v>FS150FL (BLACK)</v>
          </cell>
          <cell r="F394" t="str">
            <v>UNDERBONE</v>
          </cell>
          <cell r="G394">
            <v>101358</v>
          </cell>
          <cell r="H394">
            <v>45</v>
          </cell>
          <cell r="I394">
            <v>30</v>
          </cell>
          <cell r="J394">
            <v>90</v>
          </cell>
          <cell r="K394">
            <v>15</v>
          </cell>
          <cell r="L394">
            <v>15</v>
          </cell>
          <cell r="M394">
            <v>30</v>
          </cell>
        </row>
        <row r="395">
          <cell r="B395" t="str">
            <v>SUPRA GTR</v>
          </cell>
          <cell r="D395" t="str">
            <v>HONDA</v>
          </cell>
          <cell r="E395" t="str">
            <v>FS150FL (RED/BLACK)</v>
          </cell>
          <cell r="F395" t="str">
            <v>UNDERBONE</v>
          </cell>
          <cell r="G395">
            <v>101358</v>
          </cell>
          <cell r="H395">
            <v>45</v>
          </cell>
          <cell r="I395">
            <v>30</v>
          </cell>
          <cell r="J395">
            <v>90</v>
          </cell>
          <cell r="K395">
            <v>15</v>
          </cell>
          <cell r="L395">
            <v>15</v>
          </cell>
          <cell r="M395">
            <v>30</v>
          </cell>
        </row>
        <row r="396">
          <cell r="B396" t="str">
            <v>TMX ALPHA FI</v>
          </cell>
          <cell r="C396" t="str">
            <v>OLD MODEL CODE</v>
          </cell>
          <cell r="D396" t="str">
            <v>HONDA</v>
          </cell>
          <cell r="E396" t="str">
            <v>CCG125WHF TMX125 ALPHA(RED)</v>
          </cell>
          <cell r="F396" t="str">
            <v>BUSINESS</v>
          </cell>
          <cell r="G396">
            <v>56426</v>
          </cell>
          <cell r="H396">
            <v>45</v>
          </cell>
          <cell r="I396">
            <v>30</v>
          </cell>
          <cell r="J396">
            <v>90</v>
          </cell>
          <cell r="K396">
            <v>15</v>
          </cell>
          <cell r="L396">
            <v>15</v>
          </cell>
          <cell r="M396">
            <v>30</v>
          </cell>
        </row>
        <row r="397">
          <cell r="B397" t="str">
            <v>TMX ALPHA FI</v>
          </cell>
          <cell r="C397" t="str">
            <v>OLD MODEL CODE</v>
          </cell>
          <cell r="D397" t="str">
            <v>HONDA</v>
          </cell>
          <cell r="E397" t="str">
            <v>CCG125WHJ FI TMX125 ALPHA(BLACK)</v>
          </cell>
          <cell r="F397" t="str">
            <v>BUSINESS</v>
          </cell>
          <cell r="G397">
            <v>56426</v>
          </cell>
          <cell r="H397">
            <v>45</v>
          </cell>
          <cell r="I397">
            <v>30</v>
          </cell>
          <cell r="J397">
            <v>90</v>
          </cell>
          <cell r="K397">
            <v>15</v>
          </cell>
          <cell r="L397">
            <v>15</v>
          </cell>
          <cell r="M397">
            <v>30</v>
          </cell>
        </row>
        <row r="398">
          <cell r="B398" t="str">
            <v>TMX ALPHA FI</v>
          </cell>
          <cell r="C398" t="str">
            <v>OLD MODEL CODE</v>
          </cell>
          <cell r="D398" t="str">
            <v>HONDA</v>
          </cell>
          <cell r="E398" t="str">
            <v>CCG125WHJ FI TMX125 ALPHA(BLUE)</v>
          </cell>
          <cell r="F398" t="str">
            <v>BUSINESS</v>
          </cell>
          <cell r="G398">
            <v>56426</v>
          </cell>
          <cell r="H398">
            <v>45</v>
          </cell>
          <cell r="I398">
            <v>30</v>
          </cell>
          <cell r="J398">
            <v>90</v>
          </cell>
          <cell r="K398">
            <v>15</v>
          </cell>
          <cell r="L398">
            <v>15</v>
          </cell>
          <cell r="M398">
            <v>30</v>
          </cell>
        </row>
        <row r="399">
          <cell r="B399" t="str">
            <v>TMX ALPHA FI</v>
          </cell>
          <cell r="C399" t="str">
            <v>OLD MODEL CODE</v>
          </cell>
          <cell r="D399" t="str">
            <v>HONDA</v>
          </cell>
          <cell r="E399" t="str">
            <v>CCG125 WHJ TMX125 (RED)</v>
          </cell>
          <cell r="F399" t="str">
            <v>BUSINESS</v>
          </cell>
          <cell r="G399">
            <v>56426</v>
          </cell>
          <cell r="H399">
            <v>45</v>
          </cell>
          <cell r="I399">
            <v>30</v>
          </cell>
          <cell r="J399">
            <v>90</v>
          </cell>
          <cell r="K399">
            <v>15</v>
          </cell>
          <cell r="L399">
            <v>15</v>
          </cell>
          <cell r="M399">
            <v>30</v>
          </cell>
        </row>
        <row r="400">
          <cell r="B400" t="str">
            <v>TMX ALPHA FI</v>
          </cell>
          <cell r="C400" t="str">
            <v>OLD MODEL CODE</v>
          </cell>
          <cell r="D400" t="str">
            <v>HONDA</v>
          </cell>
          <cell r="E400" t="str">
            <v>CCG125WHJ (BLACK) TMX125 ALPHA NEW</v>
          </cell>
          <cell r="F400" t="str">
            <v>BUSINESS</v>
          </cell>
          <cell r="G400">
            <v>56426</v>
          </cell>
          <cell r="H400">
            <v>45</v>
          </cell>
          <cell r="I400">
            <v>30</v>
          </cell>
          <cell r="J400">
            <v>90</v>
          </cell>
          <cell r="K400">
            <v>15</v>
          </cell>
          <cell r="L400">
            <v>15</v>
          </cell>
          <cell r="M400">
            <v>30</v>
          </cell>
        </row>
        <row r="401">
          <cell r="B401" t="str">
            <v>TMX ALPHA FI</v>
          </cell>
          <cell r="C401" t="str">
            <v>OLD MODEL CODE</v>
          </cell>
          <cell r="D401" t="str">
            <v>HONDA</v>
          </cell>
          <cell r="E401" t="str">
            <v>CCG125WHJ (RED) TMX125 ALPHA NEW</v>
          </cell>
          <cell r="F401" t="str">
            <v>BUSINESS</v>
          </cell>
          <cell r="G401">
            <v>56426</v>
          </cell>
          <cell r="H401">
            <v>45</v>
          </cell>
          <cell r="I401">
            <v>30</v>
          </cell>
          <cell r="J401">
            <v>90</v>
          </cell>
          <cell r="K401">
            <v>15</v>
          </cell>
          <cell r="L401">
            <v>15</v>
          </cell>
          <cell r="M401">
            <v>30</v>
          </cell>
        </row>
        <row r="402">
          <cell r="B402" t="str">
            <v>TMX ALPHA FI</v>
          </cell>
          <cell r="C402" t="str">
            <v>OLD MODEL CODE</v>
          </cell>
          <cell r="D402" t="str">
            <v>HONDA</v>
          </cell>
          <cell r="E402" t="str">
            <v>CCG125WHJ(RED) TMX125 ALPHA</v>
          </cell>
          <cell r="F402" t="str">
            <v>BUSINESS</v>
          </cell>
          <cell r="G402">
            <v>56426</v>
          </cell>
          <cell r="H402">
            <v>45</v>
          </cell>
          <cell r="I402">
            <v>30</v>
          </cell>
          <cell r="J402">
            <v>90</v>
          </cell>
          <cell r="K402">
            <v>15</v>
          </cell>
          <cell r="L402">
            <v>15</v>
          </cell>
          <cell r="M402">
            <v>30</v>
          </cell>
        </row>
        <row r="403">
          <cell r="B403" t="str">
            <v>TMX ALPHA FI</v>
          </cell>
          <cell r="D403" t="str">
            <v>HONDA</v>
          </cell>
          <cell r="E403" t="str">
            <v>CCG125MII ( BLACK)</v>
          </cell>
          <cell r="F403" t="str">
            <v>BUSINESS</v>
          </cell>
          <cell r="G403">
            <v>56426</v>
          </cell>
          <cell r="H403">
            <v>45</v>
          </cell>
          <cell r="I403">
            <v>30</v>
          </cell>
          <cell r="J403">
            <v>90</v>
          </cell>
          <cell r="K403">
            <v>15</v>
          </cell>
          <cell r="L403">
            <v>15</v>
          </cell>
          <cell r="M403">
            <v>30</v>
          </cell>
        </row>
        <row r="404">
          <cell r="B404" t="str">
            <v>TMX ALPHA FI</v>
          </cell>
          <cell r="D404" t="str">
            <v>HONDA</v>
          </cell>
          <cell r="E404" t="str">
            <v>CCG125MII ( RED)</v>
          </cell>
          <cell r="F404" t="str">
            <v>BUSINESS</v>
          </cell>
          <cell r="G404">
            <v>56426</v>
          </cell>
          <cell r="H404">
            <v>45</v>
          </cell>
          <cell r="I404">
            <v>30</v>
          </cell>
          <cell r="J404">
            <v>90</v>
          </cell>
          <cell r="K404">
            <v>15</v>
          </cell>
          <cell r="L404">
            <v>15</v>
          </cell>
          <cell r="M404">
            <v>30</v>
          </cell>
        </row>
        <row r="405">
          <cell r="B405" t="str">
            <v>TMX ALPHA FI</v>
          </cell>
          <cell r="D405" t="str">
            <v>HONDA</v>
          </cell>
          <cell r="E405" t="str">
            <v>CCG125MII ( SILVER)</v>
          </cell>
          <cell r="F405" t="str">
            <v>BUSINESS</v>
          </cell>
          <cell r="G405">
            <v>56426</v>
          </cell>
          <cell r="H405">
            <v>45</v>
          </cell>
          <cell r="I405">
            <v>30</v>
          </cell>
          <cell r="J405">
            <v>90</v>
          </cell>
          <cell r="K405">
            <v>15</v>
          </cell>
          <cell r="L405">
            <v>15</v>
          </cell>
          <cell r="M405">
            <v>30</v>
          </cell>
        </row>
        <row r="406">
          <cell r="B406" t="str">
            <v>TMX150 SUPREMO</v>
          </cell>
          <cell r="D406" t="str">
            <v>HONDA</v>
          </cell>
          <cell r="E406" t="str">
            <v>TMXS2J FI TMX SUPREMO(RED)</v>
          </cell>
          <cell r="F406" t="str">
            <v>BUSINESS</v>
          </cell>
          <cell r="G406">
            <v>76850</v>
          </cell>
          <cell r="H406">
            <v>45</v>
          </cell>
          <cell r="I406">
            <v>30</v>
          </cell>
          <cell r="J406">
            <v>90</v>
          </cell>
          <cell r="K406">
            <v>15</v>
          </cell>
          <cell r="L406">
            <v>15</v>
          </cell>
          <cell r="M406">
            <v>30</v>
          </cell>
        </row>
        <row r="407">
          <cell r="B407" t="str">
            <v>TMX150 SUPREMO</v>
          </cell>
          <cell r="D407" t="str">
            <v>HONDA</v>
          </cell>
          <cell r="E407" t="str">
            <v>TMXS2J FI TMX SUPREMO(BLACK)</v>
          </cell>
          <cell r="F407" t="str">
            <v>BUSINESS</v>
          </cell>
          <cell r="G407">
            <v>76850</v>
          </cell>
          <cell r="H407">
            <v>45</v>
          </cell>
          <cell r="I407">
            <v>30</v>
          </cell>
          <cell r="J407">
            <v>90</v>
          </cell>
          <cell r="K407">
            <v>15</v>
          </cell>
          <cell r="L407">
            <v>15</v>
          </cell>
          <cell r="M407">
            <v>30</v>
          </cell>
        </row>
        <row r="408">
          <cell r="B408" t="str">
            <v>TMX150 SUPREMO</v>
          </cell>
          <cell r="D408" t="str">
            <v>HONDA</v>
          </cell>
          <cell r="E408" t="str">
            <v>GL150R TMX SUPREMO ( BLACK)</v>
          </cell>
          <cell r="F408" t="str">
            <v>BUSINESS</v>
          </cell>
          <cell r="G408">
            <v>76850</v>
          </cell>
          <cell r="H408">
            <v>45</v>
          </cell>
          <cell r="I408">
            <v>30</v>
          </cell>
          <cell r="J408">
            <v>90</v>
          </cell>
          <cell r="K408">
            <v>15</v>
          </cell>
          <cell r="L408">
            <v>15</v>
          </cell>
          <cell r="M408">
            <v>30</v>
          </cell>
        </row>
        <row r="409">
          <cell r="B409" t="str">
            <v>TMX150 SUPREMO</v>
          </cell>
          <cell r="D409" t="str">
            <v>HONDA</v>
          </cell>
          <cell r="E409" t="str">
            <v>GL150R TMX SUPREMO (RED)</v>
          </cell>
          <cell r="F409" t="str">
            <v>BUSINESS</v>
          </cell>
          <cell r="G409">
            <v>76850</v>
          </cell>
          <cell r="H409">
            <v>45</v>
          </cell>
          <cell r="I409">
            <v>30</v>
          </cell>
          <cell r="J409">
            <v>90</v>
          </cell>
          <cell r="K409">
            <v>15</v>
          </cell>
          <cell r="L409">
            <v>15</v>
          </cell>
          <cell r="M409">
            <v>30</v>
          </cell>
        </row>
        <row r="410">
          <cell r="B410" t="str">
            <v>V-STROM 250 SX</v>
          </cell>
          <cell r="D410" t="str">
            <v>SUZUKI</v>
          </cell>
          <cell r="E410" t="str">
            <v>DS250RL 250 V-STROM (BLACK)</v>
          </cell>
          <cell r="F410" t="str">
            <v>UNDERBONE</v>
          </cell>
          <cell r="G410">
            <v>215770</v>
          </cell>
          <cell r="H410">
            <v>45</v>
          </cell>
          <cell r="I410">
            <v>30</v>
          </cell>
          <cell r="J410">
            <v>90</v>
          </cell>
          <cell r="K410">
            <v>15</v>
          </cell>
          <cell r="L410">
            <v>15</v>
          </cell>
          <cell r="M410">
            <v>30</v>
          </cell>
        </row>
        <row r="411">
          <cell r="B411" t="str">
            <v>V-STROM 250 SX</v>
          </cell>
          <cell r="D411" t="str">
            <v>SUZUKI</v>
          </cell>
          <cell r="E411" t="str">
            <v>DS250RL 250 V-STROM (YELLOW)</v>
          </cell>
          <cell r="F411" t="str">
            <v>UNDERBONE</v>
          </cell>
          <cell r="G411">
            <v>215770</v>
          </cell>
          <cell r="H411">
            <v>45</v>
          </cell>
          <cell r="I411">
            <v>30</v>
          </cell>
          <cell r="J411">
            <v>90</v>
          </cell>
          <cell r="K411">
            <v>15</v>
          </cell>
          <cell r="L411">
            <v>15</v>
          </cell>
          <cell r="M411">
            <v>30</v>
          </cell>
        </row>
        <row r="412">
          <cell r="B412" t="str">
            <v>W175</v>
          </cell>
          <cell r="D412" t="str">
            <v>KAWASAKI</v>
          </cell>
          <cell r="E412" t="str">
            <v>BJ175APAAN W175 (GREEN)</v>
          </cell>
          <cell r="F412" t="str">
            <v>BIGBIKE</v>
          </cell>
          <cell r="G412">
            <v>127866</v>
          </cell>
          <cell r="H412">
            <v>45</v>
          </cell>
          <cell r="I412">
            <v>30</v>
          </cell>
          <cell r="J412">
            <v>90</v>
          </cell>
          <cell r="K412">
            <v>15</v>
          </cell>
          <cell r="L412">
            <v>15</v>
          </cell>
          <cell r="M412">
            <v>30</v>
          </cell>
        </row>
        <row r="413">
          <cell r="B413" t="str">
            <v>WAVE RSX (DRUM)</v>
          </cell>
          <cell r="D413" t="str">
            <v>HONDA</v>
          </cell>
          <cell r="E413" t="str">
            <v>AFP110DFP WAVE110 (DRUM) BLUE/BLACK</v>
          </cell>
          <cell r="F413" t="str">
            <v>UNDERBONE</v>
          </cell>
          <cell r="G413">
            <v>61670</v>
          </cell>
          <cell r="H413">
            <v>45</v>
          </cell>
          <cell r="I413">
            <v>30</v>
          </cell>
          <cell r="J413">
            <v>90</v>
          </cell>
          <cell r="K413">
            <v>15</v>
          </cell>
          <cell r="L413">
            <v>15</v>
          </cell>
          <cell r="M413">
            <v>30</v>
          </cell>
        </row>
        <row r="414">
          <cell r="B414" t="str">
            <v>WAVE RSX (DRUM)</v>
          </cell>
          <cell r="D414" t="str">
            <v>HONDA</v>
          </cell>
          <cell r="E414" t="str">
            <v>AFP110DFP WAVE110 (DRUM) SILVER/BLACK</v>
          </cell>
          <cell r="F414" t="str">
            <v>UNDERBONE</v>
          </cell>
          <cell r="G414">
            <v>61670</v>
          </cell>
          <cell r="H414">
            <v>45</v>
          </cell>
          <cell r="I414">
            <v>30</v>
          </cell>
          <cell r="J414">
            <v>90</v>
          </cell>
          <cell r="K414">
            <v>15</v>
          </cell>
          <cell r="L414">
            <v>15</v>
          </cell>
          <cell r="M414">
            <v>30</v>
          </cell>
        </row>
        <row r="415">
          <cell r="B415" t="str">
            <v>WAVE RSX(DISC)</v>
          </cell>
          <cell r="D415" t="str">
            <v>HONDA</v>
          </cell>
          <cell r="E415" t="str">
            <v>AFP110SFP WAVE110(DISK) RED/BLACK</v>
          </cell>
          <cell r="F415" t="str">
            <v>UNDERBONE</v>
          </cell>
          <cell r="G415">
            <v>63510</v>
          </cell>
          <cell r="H415">
            <v>45</v>
          </cell>
          <cell r="I415">
            <v>30</v>
          </cell>
          <cell r="J415">
            <v>90</v>
          </cell>
          <cell r="K415">
            <v>15</v>
          </cell>
          <cell r="L415">
            <v>15</v>
          </cell>
          <cell r="M415">
            <v>30</v>
          </cell>
        </row>
        <row r="416">
          <cell r="B416" t="str">
            <v>WIZARD</v>
          </cell>
          <cell r="D416" t="str">
            <v>SKYGO</v>
          </cell>
          <cell r="E416" t="str">
            <v>SG125-8A WIZARD</v>
          </cell>
          <cell r="F416" t="str">
            <v>BUSINESS</v>
          </cell>
          <cell r="G416">
            <v>35055</v>
          </cell>
          <cell r="H416">
            <v>45</v>
          </cell>
          <cell r="I416">
            <v>30</v>
          </cell>
          <cell r="J416">
            <v>90</v>
          </cell>
          <cell r="K416">
            <v>15</v>
          </cell>
          <cell r="L416">
            <v>15</v>
          </cell>
          <cell r="M416">
            <v>30</v>
          </cell>
        </row>
        <row r="417">
          <cell r="B417" t="str">
            <v>WIZARD</v>
          </cell>
          <cell r="D417" t="str">
            <v>SKYGO</v>
          </cell>
          <cell r="E417" t="str">
            <v>SG125-8A WIZARD</v>
          </cell>
          <cell r="F417" t="str">
            <v>BUSINESS</v>
          </cell>
          <cell r="G417">
            <v>35055</v>
          </cell>
          <cell r="H417">
            <v>45</v>
          </cell>
          <cell r="I417">
            <v>30</v>
          </cell>
          <cell r="J417">
            <v>90</v>
          </cell>
          <cell r="K417">
            <v>15</v>
          </cell>
          <cell r="L417">
            <v>15</v>
          </cell>
          <cell r="M417">
            <v>30</v>
          </cell>
        </row>
        <row r="418">
          <cell r="B418" t="str">
            <v>WIZARD</v>
          </cell>
          <cell r="D418" t="str">
            <v>SKYGO</v>
          </cell>
          <cell r="E418" t="str">
            <v>SG125-8A WIZARD</v>
          </cell>
          <cell r="F418" t="str">
            <v>BUSINESS</v>
          </cell>
          <cell r="G418">
            <v>35055</v>
          </cell>
          <cell r="H418">
            <v>45</v>
          </cell>
          <cell r="I418">
            <v>30</v>
          </cell>
          <cell r="J418">
            <v>90</v>
          </cell>
          <cell r="K418">
            <v>15</v>
          </cell>
          <cell r="L418">
            <v>15</v>
          </cell>
          <cell r="M418">
            <v>30</v>
          </cell>
        </row>
        <row r="419">
          <cell r="B419" t="str">
            <v>WIZARD</v>
          </cell>
          <cell r="D419" t="str">
            <v>SKYGO</v>
          </cell>
          <cell r="E419" t="str">
            <v>SG125-8A WIZARD</v>
          </cell>
          <cell r="F419" t="str">
            <v>BUSINESS</v>
          </cell>
          <cell r="G419">
            <v>35055</v>
          </cell>
          <cell r="H419">
            <v>45</v>
          </cell>
          <cell r="I419">
            <v>30</v>
          </cell>
          <cell r="J419">
            <v>90</v>
          </cell>
          <cell r="K419">
            <v>15</v>
          </cell>
          <cell r="L419">
            <v>15</v>
          </cell>
          <cell r="M419">
            <v>30</v>
          </cell>
        </row>
        <row r="420">
          <cell r="B420" t="str">
            <v>WIZARD</v>
          </cell>
          <cell r="D420" t="str">
            <v>SKYGO</v>
          </cell>
          <cell r="E420" t="str">
            <v>SG125-8A WIZARD</v>
          </cell>
          <cell r="F420" t="str">
            <v>BUSINESS</v>
          </cell>
          <cell r="G420">
            <v>35055</v>
          </cell>
          <cell r="H420">
            <v>45</v>
          </cell>
          <cell r="I420">
            <v>30</v>
          </cell>
          <cell r="J420">
            <v>90</v>
          </cell>
          <cell r="K420">
            <v>15</v>
          </cell>
          <cell r="L420">
            <v>15</v>
          </cell>
          <cell r="M420">
            <v>30</v>
          </cell>
        </row>
        <row r="421">
          <cell r="B421" t="str">
            <v>XMAX 300</v>
          </cell>
          <cell r="C421" t="str">
            <v>OLD MODEL CODE</v>
          </cell>
          <cell r="D421" t="str">
            <v>YAMAHA</v>
          </cell>
          <cell r="E421" t="str">
            <v>XMAX 300-B746 (BRONZE/M-BLACK)</v>
          </cell>
          <cell r="F421" t="str">
            <v>SCOOTER</v>
          </cell>
          <cell r="G421">
            <v>278535</v>
          </cell>
          <cell r="H421">
            <v>45</v>
          </cell>
          <cell r="I421">
            <v>30</v>
          </cell>
          <cell r="J421">
            <v>90</v>
          </cell>
          <cell r="K421">
            <v>15</v>
          </cell>
          <cell r="L421">
            <v>15</v>
          </cell>
          <cell r="M421">
            <v>30</v>
          </cell>
        </row>
        <row r="422">
          <cell r="B422" t="str">
            <v>XMAX 300</v>
          </cell>
          <cell r="D422" t="str">
            <v>YAMAHA</v>
          </cell>
          <cell r="E422" t="str">
            <v>XMAX 300 B5XE (MATTE GREEN/ BLACK)</v>
          </cell>
          <cell r="F422" t="str">
            <v>SCOOTER</v>
          </cell>
          <cell r="G422">
            <v>278535</v>
          </cell>
          <cell r="H422">
            <v>45</v>
          </cell>
          <cell r="I422">
            <v>30</v>
          </cell>
          <cell r="J422">
            <v>90</v>
          </cell>
          <cell r="K422">
            <v>15</v>
          </cell>
          <cell r="L422">
            <v>15</v>
          </cell>
          <cell r="M422">
            <v>30</v>
          </cell>
        </row>
        <row r="423">
          <cell r="B423" t="str">
            <v>XMAX 300</v>
          </cell>
          <cell r="D423" t="str">
            <v>YAMAHA</v>
          </cell>
          <cell r="E423" t="str">
            <v>XMAX BKA5</v>
          </cell>
          <cell r="F423" t="str">
            <v>SCOOTER</v>
          </cell>
          <cell r="G423">
            <v>278535</v>
          </cell>
          <cell r="H423">
            <v>45</v>
          </cell>
          <cell r="I423">
            <v>30</v>
          </cell>
          <cell r="J423">
            <v>90</v>
          </cell>
          <cell r="K423">
            <v>15</v>
          </cell>
          <cell r="L423">
            <v>15</v>
          </cell>
          <cell r="M423">
            <v>30</v>
          </cell>
        </row>
        <row r="424">
          <cell r="B424" t="str">
            <v>XR150</v>
          </cell>
          <cell r="D424" t="str">
            <v>HONDA</v>
          </cell>
          <cell r="E424" t="str">
            <v>XR150 LEKJ XR150L EURO 3 (BLACK)</v>
          </cell>
          <cell r="F424" t="str">
            <v>SPORTS TYPE</v>
          </cell>
          <cell r="G424">
            <v>94330</v>
          </cell>
          <cell r="H424">
            <v>45</v>
          </cell>
          <cell r="I424">
            <v>30</v>
          </cell>
          <cell r="J424">
            <v>90</v>
          </cell>
          <cell r="K424">
            <v>15</v>
          </cell>
          <cell r="L424">
            <v>15</v>
          </cell>
          <cell r="M424">
            <v>30</v>
          </cell>
        </row>
        <row r="425">
          <cell r="B425" t="str">
            <v>XR150</v>
          </cell>
          <cell r="D425" t="str">
            <v>HONDA</v>
          </cell>
          <cell r="E425" t="str">
            <v>XR150 LEKJ XR150L EURO 3 (RED)</v>
          </cell>
          <cell r="F425" t="str">
            <v>SPORTS TYPE</v>
          </cell>
          <cell r="G425">
            <v>94330</v>
          </cell>
          <cell r="H425">
            <v>45</v>
          </cell>
          <cell r="I425">
            <v>30</v>
          </cell>
          <cell r="J425">
            <v>90</v>
          </cell>
          <cell r="K425">
            <v>15</v>
          </cell>
          <cell r="L425">
            <v>15</v>
          </cell>
          <cell r="M425">
            <v>30</v>
          </cell>
        </row>
        <row r="426">
          <cell r="B426" t="str">
            <v>XR150</v>
          </cell>
          <cell r="D426" t="str">
            <v>HONDA</v>
          </cell>
          <cell r="E426" t="str">
            <v>XR150LEKP (BLACK)</v>
          </cell>
          <cell r="F426" t="str">
            <v>SPORTS TYPE</v>
          </cell>
          <cell r="G426">
            <v>94330</v>
          </cell>
          <cell r="H426">
            <v>45</v>
          </cell>
          <cell r="I426">
            <v>30</v>
          </cell>
          <cell r="J426">
            <v>90</v>
          </cell>
          <cell r="K426">
            <v>15</v>
          </cell>
          <cell r="L426">
            <v>15</v>
          </cell>
          <cell r="M426">
            <v>30</v>
          </cell>
        </row>
        <row r="427">
          <cell r="B427" t="str">
            <v>XR150</v>
          </cell>
          <cell r="D427" t="str">
            <v>HONDA</v>
          </cell>
          <cell r="E427" t="str">
            <v>XR150LEKP (RED)</v>
          </cell>
          <cell r="F427" t="str">
            <v>SPORTS TYPE</v>
          </cell>
          <cell r="G427">
            <v>94330</v>
          </cell>
          <cell r="H427">
            <v>45</v>
          </cell>
          <cell r="I427">
            <v>30</v>
          </cell>
          <cell r="J427">
            <v>90</v>
          </cell>
          <cell r="K427">
            <v>15</v>
          </cell>
          <cell r="L427">
            <v>15</v>
          </cell>
          <cell r="M427">
            <v>30</v>
          </cell>
        </row>
        <row r="428">
          <cell r="B428" t="str">
            <v>XR150</v>
          </cell>
          <cell r="D428" t="str">
            <v>HONDA</v>
          </cell>
          <cell r="E428" t="str">
            <v>XR150LEKP (WHITE)</v>
          </cell>
          <cell r="F428" t="str">
            <v>SPORTS TYPE</v>
          </cell>
          <cell r="G428">
            <v>94330</v>
          </cell>
          <cell r="H428">
            <v>45</v>
          </cell>
          <cell r="I428">
            <v>30</v>
          </cell>
          <cell r="J428">
            <v>90</v>
          </cell>
          <cell r="K428">
            <v>15</v>
          </cell>
          <cell r="L428">
            <v>15</v>
          </cell>
          <cell r="M428">
            <v>30</v>
          </cell>
        </row>
        <row r="429">
          <cell r="B429" t="str">
            <v>XRM DUAL SPORTS FI(DS)</v>
          </cell>
          <cell r="C429" t="str">
            <v>OLD MODEL CODE</v>
          </cell>
          <cell r="D429" t="str">
            <v>HONDA</v>
          </cell>
          <cell r="E429" t="str">
            <v>CFT125MSL</v>
          </cell>
          <cell r="F429" t="str">
            <v>UNDERBONE</v>
          </cell>
          <cell r="G429">
            <v>69950</v>
          </cell>
          <cell r="H429">
            <v>45</v>
          </cell>
          <cell r="I429">
            <v>30</v>
          </cell>
          <cell r="J429">
            <v>90</v>
          </cell>
          <cell r="K429">
            <v>15</v>
          </cell>
          <cell r="L429">
            <v>15</v>
          </cell>
          <cell r="M429">
            <v>30</v>
          </cell>
        </row>
        <row r="430">
          <cell r="B430" t="str">
            <v>XRM DUAL SPORTS FI(DS)</v>
          </cell>
          <cell r="C430" t="str">
            <v>OLD MODEL CODE</v>
          </cell>
          <cell r="D430" t="str">
            <v>HONDA</v>
          </cell>
          <cell r="E430" t="str">
            <v>CFT125MSL</v>
          </cell>
          <cell r="F430" t="str">
            <v>UNDERBONE</v>
          </cell>
          <cell r="G430">
            <v>69950</v>
          </cell>
          <cell r="H430">
            <v>45</v>
          </cell>
          <cell r="I430">
            <v>30</v>
          </cell>
          <cell r="J430">
            <v>90</v>
          </cell>
          <cell r="K430">
            <v>15</v>
          </cell>
          <cell r="L430">
            <v>15</v>
          </cell>
          <cell r="M430">
            <v>30</v>
          </cell>
        </row>
        <row r="431">
          <cell r="B431" t="str">
            <v>XRM DUAL SPORTS FI(DS)</v>
          </cell>
          <cell r="C431" t="str">
            <v>OLD MODEL CODE</v>
          </cell>
          <cell r="D431" t="str">
            <v>HONDA</v>
          </cell>
          <cell r="E431" t="str">
            <v>CFT125MSL</v>
          </cell>
          <cell r="F431" t="str">
            <v>UNDERBONE</v>
          </cell>
          <cell r="G431">
            <v>69950</v>
          </cell>
          <cell r="H431">
            <v>45</v>
          </cell>
          <cell r="I431">
            <v>30</v>
          </cell>
          <cell r="J431">
            <v>90</v>
          </cell>
          <cell r="K431">
            <v>15</v>
          </cell>
          <cell r="L431">
            <v>15</v>
          </cell>
          <cell r="M431">
            <v>30</v>
          </cell>
        </row>
        <row r="432">
          <cell r="B432" t="str">
            <v>XRM DUAL SPORTS FI(DS)</v>
          </cell>
          <cell r="D432" t="str">
            <v>HONDA</v>
          </cell>
          <cell r="E432" t="str">
            <v>CFT125MSM XRM 125 DS (Green/Black)</v>
          </cell>
          <cell r="F432" t="str">
            <v>UNDERBONE</v>
          </cell>
          <cell r="G432">
            <v>69950</v>
          </cell>
          <cell r="H432">
            <v>45</v>
          </cell>
          <cell r="I432">
            <v>30</v>
          </cell>
          <cell r="J432">
            <v>90</v>
          </cell>
          <cell r="K432">
            <v>15</v>
          </cell>
          <cell r="L432">
            <v>15</v>
          </cell>
          <cell r="M432">
            <v>30</v>
          </cell>
        </row>
        <row r="433">
          <cell r="B433" t="str">
            <v>XRM DUAL SPORTS FI(DS)</v>
          </cell>
          <cell r="D433" t="str">
            <v>HONDA</v>
          </cell>
          <cell r="E433" t="str">
            <v>CFT125MSM XRM 125 DS (Red/BLACK)</v>
          </cell>
          <cell r="F433" t="str">
            <v>UNDERBONE</v>
          </cell>
          <cell r="G433">
            <v>69950</v>
          </cell>
          <cell r="H433">
            <v>45</v>
          </cell>
          <cell r="I433">
            <v>30</v>
          </cell>
          <cell r="J433">
            <v>90</v>
          </cell>
          <cell r="K433">
            <v>15</v>
          </cell>
          <cell r="L433">
            <v>15</v>
          </cell>
          <cell r="M433">
            <v>30</v>
          </cell>
        </row>
        <row r="434">
          <cell r="B434" t="str">
            <v>XRM DUAL SPORTS FI(DS)</v>
          </cell>
          <cell r="D434" t="str">
            <v>HONDA</v>
          </cell>
          <cell r="E434" t="str">
            <v>CFT125MSM XRM 125 DS (GRAY/BLACK)</v>
          </cell>
          <cell r="F434" t="str">
            <v>UNDERBONE</v>
          </cell>
          <cell r="G434">
            <v>69950</v>
          </cell>
          <cell r="H434">
            <v>45</v>
          </cell>
          <cell r="I434">
            <v>30</v>
          </cell>
          <cell r="J434">
            <v>90</v>
          </cell>
          <cell r="K434">
            <v>15</v>
          </cell>
          <cell r="L434">
            <v>15</v>
          </cell>
          <cell r="M434">
            <v>30</v>
          </cell>
        </row>
        <row r="435">
          <cell r="B435" t="str">
            <v>XRM DUAL SPORTS FI(DS)</v>
          </cell>
          <cell r="D435" t="str">
            <v>HONDA</v>
          </cell>
          <cell r="E435" t="str">
            <v>CFT125MSM XRM 125 DS (BLUE/BLACK)</v>
          </cell>
          <cell r="F435" t="str">
            <v>UNDERBONE</v>
          </cell>
          <cell r="G435">
            <v>69950</v>
          </cell>
          <cell r="H435">
            <v>45</v>
          </cell>
          <cell r="I435">
            <v>30</v>
          </cell>
          <cell r="J435">
            <v>90</v>
          </cell>
          <cell r="K435">
            <v>15</v>
          </cell>
          <cell r="L435">
            <v>15</v>
          </cell>
          <cell r="M435">
            <v>30</v>
          </cell>
        </row>
        <row r="436">
          <cell r="B436" t="str">
            <v>XRM DUAL SPORTS FI(DS)</v>
          </cell>
          <cell r="D436" t="str">
            <v>HONDA</v>
          </cell>
          <cell r="E436" t="str">
            <v>CFT125MSP XRM125 DS (RED/BLACK)</v>
          </cell>
          <cell r="F436" t="str">
            <v>UNDERBONE</v>
          </cell>
          <cell r="G436">
            <v>69950</v>
          </cell>
          <cell r="H436">
            <v>45</v>
          </cell>
          <cell r="I436">
            <v>30</v>
          </cell>
          <cell r="J436">
            <v>90</v>
          </cell>
          <cell r="K436">
            <v>15</v>
          </cell>
          <cell r="L436">
            <v>15</v>
          </cell>
          <cell r="M436">
            <v>30</v>
          </cell>
        </row>
        <row r="437">
          <cell r="B437" t="str">
            <v>XRM DUAL SPORTS FI(DS)</v>
          </cell>
          <cell r="D437" t="str">
            <v>HONDA</v>
          </cell>
          <cell r="E437" t="str">
            <v>CFT125MSP XRM125 DS (GRAY/BLACK)</v>
          </cell>
          <cell r="F437" t="str">
            <v>UNDERBONE</v>
          </cell>
          <cell r="G437">
            <v>69950</v>
          </cell>
          <cell r="H437">
            <v>45</v>
          </cell>
          <cell r="I437">
            <v>30</v>
          </cell>
          <cell r="J437">
            <v>90</v>
          </cell>
          <cell r="K437">
            <v>15</v>
          </cell>
          <cell r="L437">
            <v>15</v>
          </cell>
          <cell r="M437">
            <v>30</v>
          </cell>
        </row>
        <row r="438">
          <cell r="B438" t="str">
            <v>XRM DUAL SPORTS FI(DS)</v>
          </cell>
          <cell r="D438" t="str">
            <v>HONDA</v>
          </cell>
          <cell r="E438" t="str">
            <v>CFT125MSP XRM125 DS (GREEN/BLACK)</v>
          </cell>
          <cell r="F438" t="str">
            <v>UNDERBONE</v>
          </cell>
          <cell r="G438">
            <v>69950</v>
          </cell>
          <cell r="H438">
            <v>45</v>
          </cell>
          <cell r="I438">
            <v>30</v>
          </cell>
          <cell r="J438">
            <v>90</v>
          </cell>
          <cell r="K438">
            <v>15</v>
          </cell>
          <cell r="L438">
            <v>15</v>
          </cell>
          <cell r="M438">
            <v>30</v>
          </cell>
        </row>
        <row r="439">
          <cell r="B439" t="str">
            <v>XRM DUAL SPORTS FI(DS)</v>
          </cell>
          <cell r="D439" t="str">
            <v>HONDA</v>
          </cell>
          <cell r="E439" t="str">
            <v>CFT125MSP XRM125 DS (BLUE/BLACK)</v>
          </cell>
          <cell r="F439" t="str">
            <v>UNDERBONE</v>
          </cell>
          <cell r="G439">
            <v>69950</v>
          </cell>
          <cell r="H439">
            <v>45</v>
          </cell>
          <cell r="I439">
            <v>30</v>
          </cell>
          <cell r="J439">
            <v>90</v>
          </cell>
          <cell r="K439">
            <v>15</v>
          </cell>
          <cell r="L439">
            <v>15</v>
          </cell>
          <cell r="M439">
            <v>30</v>
          </cell>
        </row>
        <row r="440">
          <cell r="B440" t="str">
            <v>XRM DUAL SPORTS FI(DS)</v>
          </cell>
          <cell r="C440" t="str">
            <v>OLD MODEL CODE</v>
          </cell>
          <cell r="D440" t="str">
            <v>HONDA</v>
          </cell>
          <cell r="E440" t="str">
            <v>CFT125MSJ FI XRM125 DUAL (RED/WHITE)</v>
          </cell>
          <cell r="F440" t="str">
            <v>UNDERBONE</v>
          </cell>
          <cell r="G440">
            <v>69950</v>
          </cell>
          <cell r="H440">
            <v>45</v>
          </cell>
          <cell r="I440">
            <v>30</v>
          </cell>
          <cell r="J440">
            <v>90</v>
          </cell>
          <cell r="K440">
            <v>15</v>
          </cell>
          <cell r="L440">
            <v>15</v>
          </cell>
          <cell r="M440">
            <v>30</v>
          </cell>
        </row>
        <row r="441">
          <cell r="B441" t="str">
            <v>XRM MOTARD FI</v>
          </cell>
          <cell r="C441" t="str">
            <v>OLD MODEL CODE</v>
          </cell>
          <cell r="D441" t="str">
            <v>HONDA</v>
          </cell>
          <cell r="E441" t="str">
            <v>CFT125MRCJ FI XRM125 MOTARD(ORANGE/BLACK)</v>
          </cell>
          <cell r="F441" t="str">
            <v>UNDERBONE</v>
          </cell>
          <cell r="G441">
            <v>74550</v>
          </cell>
          <cell r="H441">
            <v>45</v>
          </cell>
          <cell r="I441">
            <v>30</v>
          </cell>
          <cell r="J441">
            <v>90</v>
          </cell>
          <cell r="K441">
            <v>15</v>
          </cell>
          <cell r="L441">
            <v>15</v>
          </cell>
          <cell r="M441">
            <v>30</v>
          </cell>
        </row>
        <row r="442">
          <cell r="B442" t="str">
            <v>XRM MOTARD FI</v>
          </cell>
          <cell r="C442" t="str">
            <v>OLD MODEL CODE</v>
          </cell>
          <cell r="D442" t="str">
            <v>HONDA</v>
          </cell>
          <cell r="E442" t="str">
            <v>CFT125 MRCK (ORANGE/BLACK)</v>
          </cell>
          <cell r="F442" t="str">
            <v>UNDERBONE</v>
          </cell>
          <cell r="G442">
            <v>74550</v>
          </cell>
          <cell r="H442">
            <v>45</v>
          </cell>
          <cell r="I442">
            <v>30</v>
          </cell>
          <cell r="J442">
            <v>90</v>
          </cell>
          <cell r="K442">
            <v>15</v>
          </cell>
          <cell r="L442">
            <v>15</v>
          </cell>
          <cell r="M442">
            <v>30</v>
          </cell>
        </row>
        <row r="443">
          <cell r="B443" t="str">
            <v>XRM MOTARD FI</v>
          </cell>
          <cell r="C443" t="str">
            <v>OLD MODEL CODE</v>
          </cell>
          <cell r="D443" t="str">
            <v>HONDA</v>
          </cell>
          <cell r="E443" t="str">
            <v>CFT125 MRCK (RED/BLACK)</v>
          </cell>
          <cell r="F443" t="str">
            <v>UNDERBONE</v>
          </cell>
          <cell r="G443">
            <v>74550</v>
          </cell>
          <cell r="H443">
            <v>45</v>
          </cell>
          <cell r="I443">
            <v>30</v>
          </cell>
          <cell r="J443">
            <v>90</v>
          </cell>
          <cell r="K443">
            <v>15</v>
          </cell>
          <cell r="L443">
            <v>15</v>
          </cell>
          <cell r="M443">
            <v>30</v>
          </cell>
        </row>
        <row r="444">
          <cell r="B444" t="str">
            <v>XRM MOTARD FI</v>
          </cell>
          <cell r="C444" t="str">
            <v>OLD MODEL CODE</v>
          </cell>
          <cell r="D444" t="str">
            <v>HONDA</v>
          </cell>
          <cell r="E444" t="str">
            <v>CFT125MRCL</v>
          </cell>
          <cell r="F444" t="str">
            <v>UNDERBONE</v>
          </cell>
          <cell r="G444">
            <v>74550</v>
          </cell>
          <cell r="H444">
            <v>45</v>
          </cell>
          <cell r="I444">
            <v>30</v>
          </cell>
          <cell r="J444">
            <v>90</v>
          </cell>
          <cell r="K444">
            <v>15</v>
          </cell>
          <cell r="L444">
            <v>15</v>
          </cell>
          <cell r="M444">
            <v>30</v>
          </cell>
        </row>
        <row r="445">
          <cell r="B445" t="str">
            <v>XRM MOTARD FI</v>
          </cell>
          <cell r="C445" t="str">
            <v>OLD MODEL CODE</v>
          </cell>
          <cell r="D445" t="str">
            <v>HONDA</v>
          </cell>
          <cell r="E445" t="str">
            <v>CFT125MRCL</v>
          </cell>
          <cell r="F445" t="str">
            <v>UNDERBONE</v>
          </cell>
          <cell r="G445">
            <v>74550</v>
          </cell>
          <cell r="H445">
            <v>45</v>
          </cell>
          <cell r="I445">
            <v>30</v>
          </cell>
          <cell r="J445">
            <v>90</v>
          </cell>
          <cell r="K445">
            <v>15</v>
          </cell>
          <cell r="L445">
            <v>15</v>
          </cell>
          <cell r="M445">
            <v>30</v>
          </cell>
        </row>
        <row r="446">
          <cell r="B446" t="str">
            <v>XRM MOTARD FI</v>
          </cell>
          <cell r="D446" t="str">
            <v>HONDA</v>
          </cell>
          <cell r="E446" t="str">
            <v>CFT125MRCM XRM 125 (RED/GRAY)</v>
          </cell>
          <cell r="F446" t="str">
            <v>UNDERBONE</v>
          </cell>
          <cell r="G446">
            <v>74550</v>
          </cell>
          <cell r="H446">
            <v>45</v>
          </cell>
          <cell r="I446">
            <v>30</v>
          </cell>
          <cell r="J446">
            <v>90</v>
          </cell>
          <cell r="K446">
            <v>15</v>
          </cell>
          <cell r="L446">
            <v>15</v>
          </cell>
          <cell r="M446">
            <v>30</v>
          </cell>
        </row>
        <row r="447">
          <cell r="B447" t="str">
            <v>XRM MOTARD FI</v>
          </cell>
          <cell r="D447" t="str">
            <v>HONDA</v>
          </cell>
          <cell r="E447" t="str">
            <v>CFT125MRCP (BLACK/GRAY)</v>
          </cell>
          <cell r="F447" t="str">
            <v>UNDERBONE</v>
          </cell>
          <cell r="G447">
            <v>74550</v>
          </cell>
          <cell r="H447">
            <v>45</v>
          </cell>
          <cell r="I447">
            <v>30</v>
          </cell>
          <cell r="J447">
            <v>90</v>
          </cell>
          <cell r="K447">
            <v>15</v>
          </cell>
          <cell r="L447">
            <v>15</v>
          </cell>
          <cell r="M447">
            <v>30</v>
          </cell>
        </row>
        <row r="448">
          <cell r="B448" t="str">
            <v>XRM OFFROAD FI(DSX)</v>
          </cell>
          <cell r="C448" t="str">
            <v>OLD MODEL CODE</v>
          </cell>
          <cell r="D448" t="str">
            <v>HONDA</v>
          </cell>
          <cell r="E448" t="str">
            <v>CFT125MRK (BLACK)</v>
          </cell>
          <cell r="F448" t="str">
            <v>UNDERBONE</v>
          </cell>
          <cell r="G448">
            <v>73170</v>
          </cell>
          <cell r="H448">
            <v>45</v>
          </cell>
          <cell r="I448">
            <v>30</v>
          </cell>
          <cell r="J448">
            <v>90</v>
          </cell>
          <cell r="K448">
            <v>15</v>
          </cell>
          <cell r="L448">
            <v>15</v>
          </cell>
          <cell r="M448">
            <v>30</v>
          </cell>
        </row>
        <row r="449">
          <cell r="B449" t="str">
            <v>XRM OFFROAD FI(DSX)</v>
          </cell>
          <cell r="C449" t="str">
            <v>OLD MODEL CODE</v>
          </cell>
          <cell r="D449" t="str">
            <v>HONDA</v>
          </cell>
          <cell r="E449" t="str">
            <v>CFT125MRL</v>
          </cell>
          <cell r="F449" t="str">
            <v>UNDERBONE</v>
          </cell>
          <cell r="G449">
            <v>73170</v>
          </cell>
          <cell r="H449">
            <v>45</v>
          </cell>
          <cell r="I449">
            <v>30</v>
          </cell>
          <cell r="J449">
            <v>90</v>
          </cell>
          <cell r="K449">
            <v>15</v>
          </cell>
          <cell r="L449">
            <v>15</v>
          </cell>
          <cell r="M449">
            <v>30</v>
          </cell>
        </row>
        <row r="450">
          <cell r="B450" t="str">
            <v>XRM OFFROAD FI(DSX)</v>
          </cell>
          <cell r="D450" t="str">
            <v>HONDA</v>
          </cell>
          <cell r="E450" t="str">
            <v>CFT125MRM XRM 125 (BLACK)</v>
          </cell>
          <cell r="F450" t="str">
            <v>UNDERBONE</v>
          </cell>
          <cell r="G450">
            <v>73170</v>
          </cell>
          <cell r="H450">
            <v>45</v>
          </cell>
          <cell r="I450">
            <v>30</v>
          </cell>
          <cell r="J450">
            <v>90</v>
          </cell>
          <cell r="K450">
            <v>15</v>
          </cell>
          <cell r="L450">
            <v>15</v>
          </cell>
          <cell r="M450">
            <v>30</v>
          </cell>
        </row>
        <row r="451">
          <cell r="B451" t="str">
            <v>XRM OFFROAD FI(DSX)</v>
          </cell>
          <cell r="D451" t="str">
            <v>HONDA</v>
          </cell>
          <cell r="E451" t="str">
            <v>CFT125MRNII-RED/WHITE</v>
          </cell>
          <cell r="F451" t="str">
            <v>UNDERBONE</v>
          </cell>
          <cell r="G451">
            <v>73170</v>
          </cell>
          <cell r="H451">
            <v>45</v>
          </cell>
          <cell r="I451">
            <v>30</v>
          </cell>
          <cell r="J451">
            <v>90</v>
          </cell>
          <cell r="K451">
            <v>15</v>
          </cell>
          <cell r="L451">
            <v>15</v>
          </cell>
          <cell r="M451">
            <v>30</v>
          </cell>
        </row>
        <row r="452">
          <cell r="B452" t="str">
            <v>XRM OFFROAD FI(DSX)</v>
          </cell>
          <cell r="D452" t="str">
            <v>HONDA</v>
          </cell>
          <cell r="E452" t="str">
            <v>CFT125MRP XRM125 DSX (BLACK)</v>
          </cell>
          <cell r="F452" t="str">
            <v>UNDERBONE</v>
          </cell>
          <cell r="G452">
            <v>73170</v>
          </cell>
          <cell r="H452">
            <v>45</v>
          </cell>
          <cell r="I452">
            <v>30</v>
          </cell>
          <cell r="J452">
            <v>90</v>
          </cell>
          <cell r="K452">
            <v>15</v>
          </cell>
          <cell r="L452">
            <v>15</v>
          </cell>
          <cell r="M452">
            <v>30</v>
          </cell>
        </row>
        <row r="453">
          <cell r="B453" t="str">
            <v>XRM OFFROAD FI(DSX)</v>
          </cell>
          <cell r="D453" t="str">
            <v>HONDA</v>
          </cell>
          <cell r="E453" t="str">
            <v>CFT125MRP XRM125 DSX (WHITE)</v>
          </cell>
          <cell r="F453" t="str">
            <v>UNDERBONE</v>
          </cell>
          <cell r="G453">
            <v>73170</v>
          </cell>
          <cell r="H453">
            <v>45</v>
          </cell>
          <cell r="I453">
            <v>30</v>
          </cell>
          <cell r="J453">
            <v>90</v>
          </cell>
          <cell r="K453">
            <v>15</v>
          </cell>
          <cell r="L453">
            <v>15</v>
          </cell>
          <cell r="M453">
            <v>30</v>
          </cell>
        </row>
        <row r="454">
          <cell r="B454" t="str">
            <v>XRM RS</v>
          </cell>
          <cell r="D454" t="str">
            <v>HONDA</v>
          </cell>
          <cell r="E454" t="str">
            <v>ZN125MK(ORANGE/BLACK)</v>
          </cell>
          <cell r="F454" t="str">
            <v>UNDERBONE</v>
          </cell>
          <cell r="G454">
            <v>73630</v>
          </cell>
          <cell r="H454">
            <v>45</v>
          </cell>
          <cell r="I454">
            <v>30</v>
          </cell>
          <cell r="J454">
            <v>90</v>
          </cell>
          <cell r="K454">
            <v>15</v>
          </cell>
          <cell r="L454">
            <v>15</v>
          </cell>
          <cell r="M454">
            <v>30</v>
          </cell>
        </row>
        <row r="455">
          <cell r="B455" t="str">
            <v>XRM RS</v>
          </cell>
          <cell r="D455" t="str">
            <v>HONDA</v>
          </cell>
          <cell r="E455" t="str">
            <v>ZN125MK(BLUE/BLACK)</v>
          </cell>
          <cell r="F455" t="str">
            <v>UNDERBONE</v>
          </cell>
          <cell r="G455">
            <v>73630</v>
          </cell>
          <cell r="H455">
            <v>45</v>
          </cell>
          <cell r="I455">
            <v>30</v>
          </cell>
          <cell r="J455">
            <v>90</v>
          </cell>
          <cell r="K455">
            <v>15</v>
          </cell>
          <cell r="L455">
            <v>15</v>
          </cell>
          <cell r="M455">
            <v>30</v>
          </cell>
        </row>
        <row r="456">
          <cell r="B456" t="str">
            <v>XRM RS</v>
          </cell>
          <cell r="D456" t="str">
            <v>HONDA</v>
          </cell>
          <cell r="E456" t="str">
            <v>ZN125MK(RED/BLACK)</v>
          </cell>
          <cell r="F456" t="str">
            <v>UNDERBONE</v>
          </cell>
          <cell r="G456">
            <v>73630</v>
          </cell>
          <cell r="H456">
            <v>45</v>
          </cell>
          <cell r="I456">
            <v>30</v>
          </cell>
          <cell r="J456">
            <v>90</v>
          </cell>
          <cell r="K456">
            <v>15</v>
          </cell>
          <cell r="L456">
            <v>15</v>
          </cell>
          <cell r="M456">
            <v>30</v>
          </cell>
        </row>
        <row r="457">
          <cell r="B457" t="str">
            <v>XRM RS</v>
          </cell>
          <cell r="D457" t="str">
            <v>HONDA</v>
          </cell>
          <cell r="E457" t="str">
            <v>ZN125MK(GRAY)</v>
          </cell>
          <cell r="F457" t="str">
            <v>UNDERBONE</v>
          </cell>
          <cell r="G457">
            <v>73630</v>
          </cell>
          <cell r="H457">
            <v>45</v>
          </cell>
          <cell r="I457">
            <v>30</v>
          </cell>
          <cell r="J457">
            <v>90</v>
          </cell>
          <cell r="K457">
            <v>15</v>
          </cell>
          <cell r="L457">
            <v>15</v>
          </cell>
          <cell r="M457">
            <v>30</v>
          </cell>
        </row>
        <row r="458">
          <cell r="B458" t="str">
            <v>XRM RS</v>
          </cell>
          <cell r="D458" t="str">
            <v>HONDA</v>
          </cell>
          <cell r="E458" t="str">
            <v>ZN125MM (GRAY)</v>
          </cell>
          <cell r="F458" t="str">
            <v>UNDERBONE</v>
          </cell>
          <cell r="G458">
            <v>73630</v>
          </cell>
          <cell r="H458">
            <v>45</v>
          </cell>
          <cell r="I458">
            <v>30</v>
          </cell>
          <cell r="J458">
            <v>90</v>
          </cell>
          <cell r="K458">
            <v>15</v>
          </cell>
          <cell r="L458">
            <v>15</v>
          </cell>
          <cell r="M458">
            <v>30</v>
          </cell>
        </row>
        <row r="459">
          <cell r="B459" t="str">
            <v>XRM RS</v>
          </cell>
          <cell r="D459" t="str">
            <v>HONDA</v>
          </cell>
          <cell r="E459" t="str">
            <v>ZN125MM (RED/BLACK)</v>
          </cell>
          <cell r="F459" t="str">
            <v>UNDERBONE</v>
          </cell>
          <cell r="G459">
            <v>73630</v>
          </cell>
          <cell r="H459">
            <v>45</v>
          </cell>
          <cell r="I459">
            <v>30</v>
          </cell>
          <cell r="J459">
            <v>90</v>
          </cell>
          <cell r="K459">
            <v>15</v>
          </cell>
          <cell r="L459">
            <v>15</v>
          </cell>
          <cell r="M459">
            <v>30</v>
          </cell>
        </row>
        <row r="460">
          <cell r="B460" t="str">
            <v>XRM RS</v>
          </cell>
          <cell r="D460" t="str">
            <v>HONDA</v>
          </cell>
          <cell r="E460" t="str">
            <v>ZN125MM (BLUE/BLACK)</v>
          </cell>
          <cell r="F460" t="str">
            <v>UNDERBONE</v>
          </cell>
          <cell r="G460">
            <v>73630</v>
          </cell>
          <cell r="H460">
            <v>45</v>
          </cell>
          <cell r="I460">
            <v>30</v>
          </cell>
          <cell r="J460">
            <v>90</v>
          </cell>
          <cell r="K460">
            <v>15</v>
          </cell>
          <cell r="L460">
            <v>15</v>
          </cell>
          <cell r="M460">
            <v>30</v>
          </cell>
        </row>
        <row r="461">
          <cell r="B461" t="str">
            <v>XTZ125</v>
          </cell>
          <cell r="C461" t="str">
            <v>OLD MODEL CODE</v>
          </cell>
          <cell r="D461" t="str">
            <v>YAMAHA</v>
          </cell>
          <cell r="E461" t="str">
            <v>XTZ 125 2MC3 (WHITE)</v>
          </cell>
          <cell r="F461" t="str">
            <v>SPORTS TYPE</v>
          </cell>
          <cell r="G461">
            <v>85446</v>
          </cell>
          <cell r="H461">
            <v>45</v>
          </cell>
          <cell r="I461">
            <v>30</v>
          </cell>
          <cell r="J461">
            <v>90</v>
          </cell>
          <cell r="K461">
            <v>15</v>
          </cell>
          <cell r="L461">
            <v>15</v>
          </cell>
          <cell r="M461">
            <v>30</v>
          </cell>
        </row>
        <row r="462">
          <cell r="B462" t="str">
            <v>XTZ125</v>
          </cell>
          <cell r="C462" t="str">
            <v>OLD MODEL CODE</v>
          </cell>
          <cell r="D462" t="str">
            <v>YAMAHA</v>
          </cell>
          <cell r="E462" t="str">
            <v>XTZ 125 2MC3 (BLUE)</v>
          </cell>
          <cell r="F462" t="str">
            <v>SPORTS TYPE</v>
          </cell>
          <cell r="G462">
            <v>85446</v>
          </cell>
          <cell r="H462">
            <v>45</v>
          </cell>
          <cell r="I462">
            <v>30</v>
          </cell>
          <cell r="J462">
            <v>90</v>
          </cell>
          <cell r="K462">
            <v>15</v>
          </cell>
          <cell r="L462">
            <v>15</v>
          </cell>
          <cell r="M462">
            <v>30</v>
          </cell>
        </row>
        <row r="463">
          <cell r="B463" t="str">
            <v>XTZ125</v>
          </cell>
          <cell r="D463" t="str">
            <v>YAMAHA</v>
          </cell>
          <cell r="E463" t="str">
            <v>XTZ 125 2MC5 (BLACK)</v>
          </cell>
          <cell r="F463" t="str">
            <v>SPORTS TYPE</v>
          </cell>
          <cell r="G463">
            <v>85446</v>
          </cell>
          <cell r="H463">
            <v>45</v>
          </cell>
          <cell r="I463">
            <v>30</v>
          </cell>
          <cell r="J463">
            <v>90</v>
          </cell>
          <cell r="K463">
            <v>15</v>
          </cell>
          <cell r="L463">
            <v>15</v>
          </cell>
          <cell r="M463">
            <v>30</v>
          </cell>
        </row>
        <row r="464">
          <cell r="B464" t="str">
            <v>XTZ125</v>
          </cell>
          <cell r="D464" t="str">
            <v>YAMAHA</v>
          </cell>
          <cell r="E464" t="str">
            <v>XTZ 125 2MC5 (BLUE)</v>
          </cell>
          <cell r="F464" t="str">
            <v>SPORTS TYPE</v>
          </cell>
          <cell r="G464">
            <v>85446</v>
          </cell>
          <cell r="H464">
            <v>45</v>
          </cell>
          <cell r="I464">
            <v>30</v>
          </cell>
          <cell r="J464">
            <v>90</v>
          </cell>
          <cell r="K464">
            <v>15</v>
          </cell>
          <cell r="L464">
            <v>15</v>
          </cell>
          <cell r="M464">
            <v>30</v>
          </cell>
        </row>
        <row r="465">
          <cell r="B465" t="str">
            <v>XTZ125</v>
          </cell>
          <cell r="D465" t="str">
            <v>YAMAHA</v>
          </cell>
          <cell r="E465" t="str">
            <v>XTZ125 2MC6 (BLUE)</v>
          </cell>
          <cell r="F465" t="str">
            <v>SPORTS TYPE</v>
          </cell>
          <cell r="G465">
            <v>85446</v>
          </cell>
          <cell r="H465">
            <v>45</v>
          </cell>
          <cell r="I465">
            <v>30</v>
          </cell>
          <cell r="J465">
            <v>90</v>
          </cell>
          <cell r="K465">
            <v>15</v>
          </cell>
          <cell r="L465">
            <v>15</v>
          </cell>
          <cell r="M465">
            <v>30</v>
          </cell>
        </row>
        <row r="466">
          <cell r="B466" t="str">
            <v>XTZ125</v>
          </cell>
          <cell r="D466" t="str">
            <v>YAMAHA</v>
          </cell>
          <cell r="E466" t="str">
            <v>XTZ125 2MC6 (BLACK)</v>
          </cell>
          <cell r="F466" t="str">
            <v>SPORTS TYPE</v>
          </cell>
          <cell r="G466">
            <v>85446</v>
          </cell>
          <cell r="H466">
            <v>45</v>
          </cell>
          <cell r="I466">
            <v>30</v>
          </cell>
          <cell r="J466">
            <v>90</v>
          </cell>
          <cell r="K466">
            <v>15</v>
          </cell>
          <cell r="L466">
            <v>15</v>
          </cell>
          <cell r="M466">
            <v>30</v>
          </cell>
        </row>
        <row r="467">
          <cell r="B467" t="str">
            <v>YTX125</v>
          </cell>
          <cell r="D467" t="str">
            <v>YAMAHA</v>
          </cell>
          <cell r="E467" t="str">
            <v>YTX125 BR21 (BLACK)</v>
          </cell>
          <cell r="F467" t="str">
            <v>BUSINESS</v>
          </cell>
          <cell r="G467">
            <v>54426</v>
          </cell>
          <cell r="H467">
            <v>45</v>
          </cell>
          <cell r="I467">
            <v>30</v>
          </cell>
          <cell r="J467">
            <v>90</v>
          </cell>
          <cell r="K467">
            <v>15</v>
          </cell>
          <cell r="L467">
            <v>15</v>
          </cell>
          <cell r="M467">
            <v>30</v>
          </cell>
        </row>
        <row r="468">
          <cell r="B468" t="str">
            <v>YTX125</v>
          </cell>
          <cell r="D468" t="str">
            <v>YAMAHA</v>
          </cell>
          <cell r="E468" t="str">
            <v>YTX125 BR21 (RED)</v>
          </cell>
          <cell r="F468" t="str">
            <v>BUSINESS</v>
          </cell>
          <cell r="G468">
            <v>54426</v>
          </cell>
          <cell r="H468">
            <v>45</v>
          </cell>
          <cell r="I468">
            <v>30</v>
          </cell>
          <cell r="J468">
            <v>90</v>
          </cell>
          <cell r="K468">
            <v>15</v>
          </cell>
          <cell r="L468">
            <v>15</v>
          </cell>
          <cell r="M468">
            <v>30</v>
          </cell>
        </row>
        <row r="469">
          <cell r="B469" t="str">
            <v>YTX125</v>
          </cell>
          <cell r="D469" t="str">
            <v>YAMAHA</v>
          </cell>
          <cell r="E469" t="str">
            <v>YTX125 BR21 (BLUE/MATTE BLACK)</v>
          </cell>
          <cell r="F469" t="str">
            <v>BUSINESS</v>
          </cell>
          <cell r="G469">
            <v>54426</v>
          </cell>
          <cell r="H469">
            <v>45</v>
          </cell>
          <cell r="I469">
            <v>30</v>
          </cell>
          <cell r="J469">
            <v>90</v>
          </cell>
          <cell r="K469">
            <v>15</v>
          </cell>
          <cell r="L469">
            <v>15</v>
          </cell>
          <cell r="M469">
            <v>30</v>
          </cell>
        </row>
        <row r="470">
          <cell r="B470" t="str">
            <v>SKYDRIVE SPORT</v>
          </cell>
          <cell r="D470" t="str">
            <v>SUZUKI</v>
          </cell>
          <cell r="E470" t="str">
            <v>UX110NE-3GREEN (CANDY JACKAL GREEN)</v>
          </cell>
          <cell r="F470" t="str">
            <v>SCOOTER</v>
          </cell>
          <cell r="G470">
            <v>68177</v>
          </cell>
          <cell r="H470">
            <v>45</v>
          </cell>
          <cell r="I470">
            <v>30</v>
          </cell>
          <cell r="J470">
            <v>90</v>
          </cell>
          <cell r="K470">
            <v>15</v>
          </cell>
          <cell r="L470">
            <v>15</v>
          </cell>
          <cell r="M470">
            <v>30</v>
          </cell>
        </row>
        <row r="471">
          <cell r="B471" t="str">
            <v>SKYDRIVE SPORT</v>
          </cell>
          <cell r="D471" t="str">
            <v>SUZUKI</v>
          </cell>
          <cell r="E471" t="str">
            <v>UX110NE-3BLUE (METALIC MATTE STELLAR BLUE)</v>
          </cell>
          <cell r="F471" t="str">
            <v>SCOOTER</v>
          </cell>
          <cell r="G471">
            <v>68177</v>
          </cell>
          <cell r="H471">
            <v>45</v>
          </cell>
          <cell r="I471">
            <v>30</v>
          </cell>
          <cell r="J471">
            <v>90</v>
          </cell>
          <cell r="K471">
            <v>15</v>
          </cell>
          <cell r="L471">
            <v>15</v>
          </cell>
          <cell r="M471">
            <v>30</v>
          </cell>
        </row>
        <row r="472">
          <cell r="B472" t="str">
            <v>CLICK125 FI</v>
          </cell>
          <cell r="D472" t="str">
            <v>HONDA</v>
          </cell>
          <cell r="E472" t="str">
            <v>ACB125CBFR3-PW (WHITE/BLUE)</v>
          </cell>
          <cell r="F472" t="str">
            <v>SCOOTER</v>
          </cell>
          <cell r="G472">
            <v>80070</v>
          </cell>
          <cell r="H472">
            <v>45</v>
          </cell>
          <cell r="I472">
            <v>30</v>
          </cell>
          <cell r="J472">
            <v>90</v>
          </cell>
          <cell r="K472">
            <v>15</v>
          </cell>
          <cell r="L472">
            <v>15</v>
          </cell>
          <cell r="M472">
            <v>30</v>
          </cell>
        </row>
        <row r="473">
          <cell r="B473" t="str">
            <v>GIXXER SF 250</v>
          </cell>
          <cell r="D473" t="str">
            <v>SUZUKI</v>
          </cell>
          <cell r="E473" t="str">
            <v>GSX250FRLX (BLUE)</v>
          </cell>
          <cell r="F473" t="str">
            <v>BIGBIKE</v>
          </cell>
          <cell r="G473">
            <v>182197</v>
          </cell>
          <cell r="H473">
            <v>45</v>
          </cell>
          <cell r="I473">
            <v>30</v>
          </cell>
          <cell r="J473">
            <v>90</v>
          </cell>
          <cell r="K473">
            <v>15</v>
          </cell>
          <cell r="L473">
            <v>15</v>
          </cell>
          <cell r="M473">
            <v>30</v>
          </cell>
        </row>
        <row r="474">
          <cell r="B474" t="str">
            <v>BEAT FI PREM</v>
          </cell>
          <cell r="D474" t="str">
            <v>HONDA</v>
          </cell>
          <cell r="E474" t="str">
            <v>ACH110CBFR4-PW (WHITE/BLUE)-LIMITED ED</v>
          </cell>
          <cell r="F474" t="str">
            <v>SCOOTER</v>
          </cell>
          <cell r="G474">
            <v>72434</v>
          </cell>
          <cell r="H474">
            <v>45</v>
          </cell>
          <cell r="I474">
            <v>30</v>
          </cell>
          <cell r="J474">
            <v>90</v>
          </cell>
          <cell r="K474">
            <v>15</v>
          </cell>
          <cell r="L474">
            <v>15</v>
          </cell>
          <cell r="M474">
            <v>30</v>
          </cell>
        </row>
        <row r="475">
          <cell r="B475" t="str">
            <v>XMAX 300</v>
          </cell>
          <cell r="D475" t="str">
            <v>YAMAHA</v>
          </cell>
          <cell r="E475" t="str">
            <v>XMAX BKA5 DARK GRAY/BLACK</v>
          </cell>
          <cell r="F475" t="str">
            <v>SCOOTER</v>
          </cell>
          <cell r="G475">
            <v>278535</v>
          </cell>
          <cell r="H475">
            <v>45</v>
          </cell>
          <cell r="I475">
            <v>30</v>
          </cell>
          <cell r="J475">
            <v>90</v>
          </cell>
          <cell r="K475">
            <v>15</v>
          </cell>
          <cell r="L475">
            <v>15</v>
          </cell>
          <cell r="M475">
            <v>30</v>
          </cell>
        </row>
        <row r="476">
          <cell r="B476" t="str">
            <v>SMASH(MAGS)</v>
          </cell>
          <cell r="D476" t="str">
            <v>SUZUKI</v>
          </cell>
          <cell r="E476" t="str">
            <v>FW110SC-1BLACK</v>
          </cell>
          <cell r="F476" t="str">
            <v>UNDERBONE</v>
          </cell>
          <cell r="G476">
            <v>67342</v>
          </cell>
          <cell r="H476">
            <v>45</v>
          </cell>
          <cell r="I476">
            <v>30</v>
          </cell>
          <cell r="J476">
            <v>90</v>
          </cell>
          <cell r="K476">
            <v>15</v>
          </cell>
          <cell r="L476">
            <v>15</v>
          </cell>
          <cell r="M476">
            <v>30</v>
          </cell>
        </row>
        <row r="477">
          <cell r="B477" t="str">
            <v>SMASH(MAGS)</v>
          </cell>
          <cell r="D477" t="str">
            <v>SUZUKI</v>
          </cell>
          <cell r="E477" t="str">
            <v>FW110SC-1BLUE</v>
          </cell>
          <cell r="F477" t="str">
            <v>UNDERBONE</v>
          </cell>
          <cell r="G477">
            <v>67342</v>
          </cell>
          <cell r="H477">
            <v>45</v>
          </cell>
          <cell r="I477">
            <v>30</v>
          </cell>
          <cell r="J477">
            <v>90</v>
          </cell>
          <cell r="K477">
            <v>15</v>
          </cell>
          <cell r="L477">
            <v>15</v>
          </cell>
          <cell r="M477">
            <v>30</v>
          </cell>
        </row>
        <row r="478">
          <cell r="B478" t="str">
            <v>MIO AEROX 155</v>
          </cell>
          <cell r="D478" t="str">
            <v>YAMAHA</v>
          </cell>
          <cell r="E478" t="str">
            <v>MIO AEROX BRW6 (BLACK/ MATTE BLACK)</v>
          </cell>
          <cell r="F478" t="str">
            <v>SCOOTER</v>
          </cell>
          <cell r="G478">
            <v>124527</v>
          </cell>
          <cell r="H478">
            <v>45</v>
          </cell>
          <cell r="I478">
            <v>30</v>
          </cell>
          <cell r="J478">
            <v>90</v>
          </cell>
          <cell r="K478">
            <v>15</v>
          </cell>
          <cell r="L478">
            <v>15</v>
          </cell>
          <cell r="M478">
            <v>30</v>
          </cell>
        </row>
        <row r="479">
          <cell r="B479" t="str">
            <v>MIO AEROX 155</v>
          </cell>
          <cell r="D479" t="str">
            <v>YAMAHA</v>
          </cell>
          <cell r="E479" t="str">
            <v>MIO AEROX BRW6 (GRAY/BLACK)</v>
          </cell>
          <cell r="F479" t="str">
            <v>SCOOTER</v>
          </cell>
          <cell r="G479">
            <v>124527</v>
          </cell>
          <cell r="H479">
            <v>45</v>
          </cell>
          <cell r="I479">
            <v>30</v>
          </cell>
          <cell r="J479">
            <v>90</v>
          </cell>
          <cell r="K479">
            <v>15</v>
          </cell>
          <cell r="L479">
            <v>15</v>
          </cell>
          <cell r="M479">
            <v>30</v>
          </cell>
        </row>
        <row r="480">
          <cell r="B480" t="str">
            <v>MIO AEROX 155</v>
          </cell>
          <cell r="D480" t="str">
            <v>YAMAHA</v>
          </cell>
          <cell r="E480" t="str">
            <v>MIO AEROX BRW6 (BLUE/ MATTE BLUE)</v>
          </cell>
          <cell r="F480" t="str">
            <v>SCOOTER</v>
          </cell>
          <cell r="G480">
            <v>124527</v>
          </cell>
          <cell r="H480">
            <v>45</v>
          </cell>
          <cell r="I480">
            <v>30</v>
          </cell>
          <cell r="J480">
            <v>90</v>
          </cell>
          <cell r="K480">
            <v>15</v>
          </cell>
          <cell r="L480">
            <v>15</v>
          </cell>
          <cell r="M480">
            <v>30</v>
          </cell>
        </row>
        <row r="481">
          <cell r="B481" t="str">
            <v>MIO AEROX 155</v>
          </cell>
          <cell r="D481" t="str">
            <v>YAMAHA</v>
          </cell>
          <cell r="E481" t="str">
            <v>MIO AEROX BRW6 (MATTE  GRAY/ BLACK)</v>
          </cell>
          <cell r="F481" t="str">
            <v>SCOOTER</v>
          </cell>
          <cell r="G481">
            <v>124527</v>
          </cell>
          <cell r="H481">
            <v>45</v>
          </cell>
          <cell r="I481">
            <v>30</v>
          </cell>
          <cell r="J481">
            <v>90</v>
          </cell>
          <cell r="K481">
            <v>15</v>
          </cell>
          <cell r="L481">
            <v>15</v>
          </cell>
          <cell r="M481">
            <v>30</v>
          </cell>
        </row>
        <row r="482">
          <cell r="B482" t="str">
            <v>SMASH FI(SPOKE)</v>
          </cell>
          <cell r="D482" t="str">
            <v>SUZUKI</v>
          </cell>
          <cell r="E482" t="str">
            <v>FV110LA-B1RED</v>
          </cell>
          <cell r="F482" t="str">
            <v>UNDERBONE</v>
          </cell>
          <cell r="G482">
            <v>66412</v>
          </cell>
          <cell r="H482">
            <v>45</v>
          </cell>
          <cell r="I482">
            <v>30</v>
          </cell>
          <cell r="J482">
            <v>90</v>
          </cell>
          <cell r="K482">
            <v>15</v>
          </cell>
          <cell r="L482">
            <v>15</v>
          </cell>
          <cell r="M482">
            <v>30</v>
          </cell>
        </row>
        <row r="483">
          <cell r="B483" t="str">
            <v>SMASH FI(SPOKE)</v>
          </cell>
          <cell r="D483" t="str">
            <v>SUZUKI</v>
          </cell>
          <cell r="E483" t="str">
            <v>FV110LA-B1BLACK</v>
          </cell>
          <cell r="F483" t="str">
            <v>UNDERBONE</v>
          </cell>
          <cell r="G483">
            <v>66412</v>
          </cell>
          <cell r="H483">
            <v>45</v>
          </cell>
          <cell r="I483">
            <v>30</v>
          </cell>
          <cell r="J483">
            <v>90</v>
          </cell>
          <cell r="K483">
            <v>15</v>
          </cell>
          <cell r="L483">
            <v>15</v>
          </cell>
          <cell r="M483">
            <v>30</v>
          </cell>
        </row>
        <row r="484">
          <cell r="B484" t="str">
            <v>SMASH FI(MAGS)</v>
          </cell>
          <cell r="D484" t="str">
            <v>SUZUKI</v>
          </cell>
          <cell r="E484" t="str">
            <v>FV110LE-B1BLUE</v>
          </cell>
          <cell r="F484" t="str">
            <v>UNDERBONE</v>
          </cell>
          <cell r="G484">
            <v>71062</v>
          </cell>
          <cell r="H484">
            <v>45</v>
          </cell>
          <cell r="I484">
            <v>30</v>
          </cell>
          <cell r="J484">
            <v>90</v>
          </cell>
          <cell r="K484">
            <v>15</v>
          </cell>
          <cell r="L484">
            <v>15</v>
          </cell>
          <cell r="M484">
            <v>30</v>
          </cell>
        </row>
        <row r="485">
          <cell r="B485" t="str">
            <v>SMASH FI(MAGS)</v>
          </cell>
          <cell r="D485" t="str">
            <v>SUZUKI</v>
          </cell>
          <cell r="E485" t="str">
            <v>FV110LE-B1BLACK</v>
          </cell>
          <cell r="F485" t="str">
            <v>UNDERBONE</v>
          </cell>
          <cell r="G485">
            <v>71062</v>
          </cell>
          <cell r="H485">
            <v>45</v>
          </cell>
          <cell r="I485">
            <v>30</v>
          </cell>
          <cell r="J485">
            <v>90</v>
          </cell>
          <cell r="K485">
            <v>15</v>
          </cell>
          <cell r="L485">
            <v>15</v>
          </cell>
          <cell r="M485">
            <v>30</v>
          </cell>
        </row>
        <row r="486">
          <cell r="B486" t="str">
            <v>BAJAJ RE 4S FI</v>
          </cell>
          <cell r="D486" t="str">
            <v>BAJAJ RE</v>
          </cell>
          <cell r="E486" t="str">
            <v>BAJAJ RE 4S FI (BLACK)</v>
          </cell>
          <cell r="F486" t="str">
            <v>TRI-WHEELED</v>
          </cell>
          <cell r="G486">
            <v>191000</v>
          </cell>
          <cell r="H486">
            <v>45</v>
          </cell>
          <cell r="I486">
            <v>30</v>
          </cell>
          <cell r="J486">
            <v>90</v>
          </cell>
          <cell r="K486">
            <v>15</v>
          </cell>
          <cell r="L486">
            <v>15</v>
          </cell>
          <cell r="M486">
            <v>30</v>
          </cell>
        </row>
        <row r="487">
          <cell r="B487" t="str">
            <v>CLICK160 FI</v>
          </cell>
          <cell r="D487" t="str">
            <v>HONDA</v>
          </cell>
          <cell r="E487" t="str">
            <v>ACB160CBTR-MGB</v>
          </cell>
          <cell r="F487" t="str">
            <v>SCOOTER</v>
          </cell>
          <cell r="G487">
            <v>111258</v>
          </cell>
          <cell r="H487">
            <v>45</v>
          </cell>
          <cell r="I487">
            <v>30</v>
          </cell>
          <cell r="J487">
            <v>90</v>
          </cell>
          <cell r="K487">
            <v>15</v>
          </cell>
          <cell r="L487">
            <v>15</v>
          </cell>
          <cell r="M487">
            <v>30</v>
          </cell>
        </row>
        <row r="488">
          <cell r="B488" t="str">
            <v>CLICK160 FI</v>
          </cell>
          <cell r="D488" t="str">
            <v>HONDA</v>
          </cell>
          <cell r="E488" t="str">
            <v>ACB160CBTR-WC</v>
          </cell>
          <cell r="F488" t="str">
            <v>SCOOTER</v>
          </cell>
          <cell r="G488">
            <v>111258</v>
          </cell>
          <cell r="H488">
            <v>45</v>
          </cell>
          <cell r="I488">
            <v>30</v>
          </cell>
          <cell r="J488">
            <v>90</v>
          </cell>
          <cell r="K488">
            <v>15</v>
          </cell>
          <cell r="L488">
            <v>15</v>
          </cell>
          <cell r="M488">
            <v>30</v>
          </cell>
        </row>
        <row r="489">
          <cell r="B489" t="str">
            <v>CLICK160 FI</v>
          </cell>
          <cell r="D489" t="str">
            <v>HONDA</v>
          </cell>
          <cell r="E489" t="str">
            <v>ACB160CBTR-MSR</v>
          </cell>
          <cell r="F489" t="str">
            <v>SCOOTER</v>
          </cell>
          <cell r="G489">
            <v>111258</v>
          </cell>
          <cell r="H489">
            <v>45</v>
          </cell>
          <cell r="I489">
            <v>30</v>
          </cell>
          <cell r="J489">
            <v>90</v>
          </cell>
          <cell r="K489">
            <v>15</v>
          </cell>
          <cell r="L489">
            <v>15</v>
          </cell>
          <cell r="M489">
            <v>30</v>
          </cell>
        </row>
        <row r="490">
          <cell r="B490" t="str">
            <v>NMAX155 FI ABS</v>
          </cell>
          <cell r="D490" t="str">
            <v>YAMAHA</v>
          </cell>
          <cell r="E490" t="str">
            <v>NMAX ABS BKT4 (MATTE GREEN/BLACK)</v>
          </cell>
          <cell r="F490" t="str">
            <v>SCOOTER</v>
          </cell>
          <cell r="G490">
            <v>147312</v>
          </cell>
          <cell r="H490">
            <v>45</v>
          </cell>
          <cell r="I490">
            <v>30</v>
          </cell>
          <cell r="J490">
            <v>90</v>
          </cell>
          <cell r="K490">
            <v>15</v>
          </cell>
          <cell r="L490">
            <v>15</v>
          </cell>
          <cell r="M490">
            <v>30</v>
          </cell>
        </row>
        <row r="491">
          <cell r="B491" t="str">
            <v>NMAX155 FI ABS</v>
          </cell>
          <cell r="D491" t="str">
            <v>YAMAHA</v>
          </cell>
          <cell r="E491" t="str">
            <v>NMAX ABS BKT4 (DARK BLUE/MATTE BLACK)</v>
          </cell>
          <cell r="F491" t="str">
            <v>SCOOTER</v>
          </cell>
          <cell r="G491">
            <v>147312</v>
          </cell>
          <cell r="H491">
            <v>45</v>
          </cell>
          <cell r="I491">
            <v>30</v>
          </cell>
          <cell r="J491">
            <v>90</v>
          </cell>
          <cell r="K491">
            <v>15</v>
          </cell>
          <cell r="L491">
            <v>15</v>
          </cell>
          <cell r="M491">
            <v>30</v>
          </cell>
        </row>
        <row r="492">
          <cell r="B492" t="str">
            <v>WINNER X STD</v>
          </cell>
          <cell r="D492" t="str">
            <v>HONDA</v>
          </cell>
          <cell r="E492" t="str">
            <v>FS150FR-IR WINNER X (STANDARD) (RED/BLACK)</v>
          </cell>
          <cell r="F492" t="str">
            <v>UNDERBONE</v>
          </cell>
          <cell r="G492">
            <v>117790</v>
          </cell>
          <cell r="H492">
            <v>45</v>
          </cell>
          <cell r="I492">
            <v>30</v>
          </cell>
          <cell r="J492">
            <v>90</v>
          </cell>
          <cell r="K492">
            <v>15</v>
          </cell>
          <cell r="L492">
            <v>15</v>
          </cell>
          <cell r="M492">
            <v>30</v>
          </cell>
        </row>
        <row r="493">
          <cell r="B493" t="str">
            <v>WINNER X STD</v>
          </cell>
          <cell r="D493" t="str">
            <v>HONDA</v>
          </cell>
          <cell r="E493" t="str">
            <v>FS150FR-IW WINNER X (STANDARD) (WHITE/BLACK)</v>
          </cell>
          <cell r="F493" t="str">
            <v>UNDERBONE</v>
          </cell>
          <cell r="G493">
            <v>117790</v>
          </cell>
          <cell r="H493">
            <v>45</v>
          </cell>
          <cell r="I493">
            <v>30</v>
          </cell>
          <cell r="J493">
            <v>90</v>
          </cell>
          <cell r="K493">
            <v>15</v>
          </cell>
          <cell r="L493">
            <v>15</v>
          </cell>
          <cell r="M493">
            <v>30</v>
          </cell>
        </row>
        <row r="494">
          <cell r="B494" t="str">
            <v>WINNER X ABS</v>
          </cell>
          <cell r="D494" t="str">
            <v>HONDA</v>
          </cell>
          <cell r="E494" t="str">
            <v>FS150FAR-MR WINNER X (ABS PREMIUM) (RED)</v>
          </cell>
          <cell r="F494" t="str">
            <v>UNDERBONE</v>
          </cell>
          <cell r="G494">
            <v>123310</v>
          </cell>
          <cell r="H494">
            <v>45</v>
          </cell>
          <cell r="I494">
            <v>30</v>
          </cell>
          <cell r="J494">
            <v>90</v>
          </cell>
          <cell r="K494">
            <v>15</v>
          </cell>
          <cell r="L494">
            <v>15</v>
          </cell>
          <cell r="M494">
            <v>30</v>
          </cell>
        </row>
        <row r="495">
          <cell r="B495" t="str">
            <v>WINNER X ABS</v>
          </cell>
          <cell r="D495" t="str">
            <v>HONDA</v>
          </cell>
          <cell r="E495" t="str">
            <v>FS150FAR-MB WINNER X (ABS PREMIUM (BLACK)</v>
          </cell>
          <cell r="F495" t="str">
            <v>UNDERBONE</v>
          </cell>
          <cell r="G495">
            <v>123310</v>
          </cell>
          <cell r="H495">
            <v>45</v>
          </cell>
          <cell r="I495">
            <v>30</v>
          </cell>
          <cell r="J495">
            <v>90</v>
          </cell>
          <cell r="K495">
            <v>15</v>
          </cell>
          <cell r="L495">
            <v>15</v>
          </cell>
          <cell r="M495">
            <v>30</v>
          </cell>
        </row>
        <row r="496">
          <cell r="B496" t="str">
            <v>SMASH(SPOKE)</v>
          </cell>
          <cell r="D496" t="str">
            <v>SUZUKI</v>
          </cell>
          <cell r="E496" t="str">
            <v>FW110D SMASH (D1IVORY)</v>
          </cell>
          <cell r="F496" t="str">
            <v>UNDERBONE</v>
          </cell>
          <cell r="G496">
            <v>62692</v>
          </cell>
          <cell r="H496">
            <v>45</v>
          </cell>
          <cell r="I496">
            <v>30</v>
          </cell>
          <cell r="J496">
            <v>90</v>
          </cell>
          <cell r="K496">
            <v>15</v>
          </cell>
          <cell r="L496">
            <v>15</v>
          </cell>
          <cell r="M496">
            <v>30</v>
          </cell>
        </row>
        <row r="497">
          <cell r="B497" t="str">
            <v>SMASH(SPOKE)</v>
          </cell>
          <cell r="D497" t="str">
            <v>SUZUKI</v>
          </cell>
          <cell r="E497" t="str">
            <v>FW110D SMASH (D1GREEN)</v>
          </cell>
          <cell r="F497" t="str">
            <v>UNDERBONE</v>
          </cell>
          <cell r="G497">
            <v>62692</v>
          </cell>
          <cell r="H497">
            <v>45</v>
          </cell>
          <cell r="I497">
            <v>30</v>
          </cell>
          <cell r="J497">
            <v>90</v>
          </cell>
          <cell r="K497">
            <v>15</v>
          </cell>
          <cell r="L497">
            <v>15</v>
          </cell>
          <cell r="M497">
            <v>30</v>
          </cell>
        </row>
        <row r="498">
          <cell r="B498" t="str">
            <v>SMASH(SPOKE)</v>
          </cell>
          <cell r="D498" t="str">
            <v>SUZUKI</v>
          </cell>
          <cell r="E498" t="str">
            <v>FW110D SMASH (D1GRAY)</v>
          </cell>
          <cell r="F498" t="str">
            <v>UNDERBONE</v>
          </cell>
          <cell r="G498">
            <v>62692</v>
          </cell>
          <cell r="H498">
            <v>45</v>
          </cell>
          <cell r="I498">
            <v>30</v>
          </cell>
          <cell r="J498">
            <v>90</v>
          </cell>
          <cell r="K498">
            <v>15</v>
          </cell>
          <cell r="L498">
            <v>15</v>
          </cell>
          <cell r="M498">
            <v>30</v>
          </cell>
        </row>
        <row r="499">
          <cell r="B499" t="str">
            <v>SMASH(SPOKE)</v>
          </cell>
          <cell r="D499" t="str">
            <v>SUZUKI</v>
          </cell>
          <cell r="E499" t="str">
            <v>FW110D SMASH (D1RED)</v>
          </cell>
          <cell r="F499" t="str">
            <v>UNDERBONE</v>
          </cell>
          <cell r="G499">
            <v>62692</v>
          </cell>
          <cell r="H499">
            <v>45</v>
          </cell>
          <cell r="I499">
            <v>30</v>
          </cell>
          <cell r="J499">
            <v>90</v>
          </cell>
          <cell r="K499">
            <v>15</v>
          </cell>
          <cell r="L499">
            <v>15</v>
          </cell>
          <cell r="M499">
            <v>30</v>
          </cell>
        </row>
        <row r="500">
          <cell r="B500" t="str">
            <v>SKYDRIVE SPORT</v>
          </cell>
          <cell r="D500" t="str">
            <v>SUZUKI</v>
          </cell>
          <cell r="E500" t="str">
            <v>UX110NE-5BLACK (TITAN BLACK)</v>
          </cell>
          <cell r="F500" t="str">
            <v>SCOOTER</v>
          </cell>
          <cell r="G500">
            <v>68177</v>
          </cell>
          <cell r="H500">
            <v>45</v>
          </cell>
          <cell r="I500">
            <v>30</v>
          </cell>
          <cell r="J500">
            <v>90</v>
          </cell>
          <cell r="K500">
            <v>15</v>
          </cell>
          <cell r="L500">
            <v>15</v>
          </cell>
          <cell r="M500">
            <v>30</v>
          </cell>
        </row>
        <row r="501">
          <cell r="B501" t="str">
            <v>RAIDER150 CARB</v>
          </cell>
          <cell r="D501" t="str">
            <v>SUZUKI</v>
          </cell>
          <cell r="E501" t="str">
            <v>FU150CD3-7BKBL RAIDER R 150</v>
          </cell>
          <cell r="F501" t="str">
            <v>UNDERBONE</v>
          </cell>
          <cell r="G501">
            <v>104077</v>
          </cell>
          <cell r="H501">
            <v>45</v>
          </cell>
          <cell r="I501">
            <v>30</v>
          </cell>
          <cell r="J501">
            <v>90</v>
          </cell>
          <cell r="K501">
            <v>15</v>
          </cell>
          <cell r="L501">
            <v>15</v>
          </cell>
          <cell r="M501">
            <v>30</v>
          </cell>
        </row>
        <row r="502">
          <cell r="B502" t="str">
            <v>MIO GRAVIS</v>
          </cell>
          <cell r="D502" t="str">
            <v>YAMAHA</v>
          </cell>
          <cell r="E502" t="str">
            <v>MIO GRAVIS BKV2 (MATTE BROWN)</v>
          </cell>
          <cell r="F502" t="str">
            <v>SCOOTER</v>
          </cell>
          <cell r="G502">
            <v>78957</v>
          </cell>
          <cell r="H502">
            <v>45</v>
          </cell>
          <cell r="I502">
            <v>30</v>
          </cell>
          <cell r="J502">
            <v>90</v>
          </cell>
          <cell r="K502">
            <v>15</v>
          </cell>
          <cell r="L502">
            <v>15</v>
          </cell>
          <cell r="M502">
            <v>30</v>
          </cell>
        </row>
        <row r="503">
          <cell r="B503" t="str">
            <v>FAZZIO</v>
          </cell>
          <cell r="D503" t="str">
            <v>YAMAHA</v>
          </cell>
          <cell r="E503" t="str">
            <v>MIO FAZZIO BRV5 (LIGHT BLUE)</v>
          </cell>
          <cell r="F503" t="str">
            <v>SCOOTER</v>
          </cell>
          <cell r="G503">
            <v>86397</v>
          </cell>
          <cell r="H503">
            <v>45</v>
          </cell>
          <cell r="I503">
            <v>30</v>
          </cell>
          <cell r="J503">
            <v>90</v>
          </cell>
          <cell r="K503">
            <v>15</v>
          </cell>
          <cell r="L503">
            <v>15</v>
          </cell>
          <cell r="M503">
            <v>30</v>
          </cell>
        </row>
        <row r="504">
          <cell r="B504" t="str">
            <v>FAZZIO</v>
          </cell>
          <cell r="D504" t="str">
            <v>YAMAHA</v>
          </cell>
          <cell r="E504" t="str">
            <v>MIO FAZZIO BRV5 (YELLOWISH WHITE)</v>
          </cell>
          <cell r="F504" t="str">
            <v>SCOOTER</v>
          </cell>
          <cell r="G504">
            <v>86397</v>
          </cell>
          <cell r="H504">
            <v>45</v>
          </cell>
          <cell r="I504">
            <v>30</v>
          </cell>
          <cell r="J504">
            <v>90</v>
          </cell>
          <cell r="K504">
            <v>15</v>
          </cell>
          <cell r="L504">
            <v>15</v>
          </cell>
          <cell r="M504">
            <v>30</v>
          </cell>
        </row>
        <row r="505">
          <cell r="B505" t="str">
            <v>CLICK125 FI</v>
          </cell>
          <cell r="D505" t="str">
            <v>HONDA</v>
          </cell>
          <cell r="E505" t="str">
            <v>ACB125CBFSII-OB CLICK125 (BLACK)</v>
          </cell>
          <cell r="F505" t="str">
            <v>SCOOTER</v>
          </cell>
          <cell r="G505">
            <v>80070</v>
          </cell>
          <cell r="H505">
            <v>45</v>
          </cell>
          <cell r="I505">
            <v>30</v>
          </cell>
          <cell r="J505">
            <v>90</v>
          </cell>
          <cell r="K505">
            <v>15</v>
          </cell>
          <cell r="L505">
            <v>15</v>
          </cell>
          <cell r="M505">
            <v>30</v>
          </cell>
        </row>
        <row r="506">
          <cell r="B506" t="str">
            <v>WAVE RSX (DRUM)</v>
          </cell>
          <cell r="D506" t="str">
            <v>HONDA</v>
          </cell>
          <cell r="E506" t="str">
            <v>AFP110DFR-IR WAVE110 (DRUM)</v>
          </cell>
          <cell r="F506" t="str">
            <v>UNDERBONE</v>
          </cell>
          <cell r="G506">
            <v>61670</v>
          </cell>
          <cell r="H506">
            <v>45</v>
          </cell>
          <cell r="I506">
            <v>30</v>
          </cell>
          <cell r="J506">
            <v>90</v>
          </cell>
          <cell r="K506">
            <v>15</v>
          </cell>
          <cell r="L506">
            <v>15</v>
          </cell>
          <cell r="M506">
            <v>30</v>
          </cell>
        </row>
        <row r="507">
          <cell r="B507" t="str">
            <v>WAVE RSX (DRUM)</v>
          </cell>
          <cell r="D507" t="str">
            <v>HONDA</v>
          </cell>
          <cell r="E507" t="str">
            <v>AFP110DFR-BM WAVE110 (DRUM)</v>
          </cell>
          <cell r="F507" t="str">
            <v>UNDERBONE</v>
          </cell>
          <cell r="G507">
            <v>61670</v>
          </cell>
          <cell r="H507">
            <v>45</v>
          </cell>
          <cell r="I507">
            <v>30</v>
          </cell>
          <cell r="J507">
            <v>90</v>
          </cell>
          <cell r="K507">
            <v>15</v>
          </cell>
          <cell r="L507">
            <v>15</v>
          </cell>
          <cell r="M507">
            <v>30</v>
          </cell>
        </row>
        <row r="508">
          <cell r="B508" t="str">
            <v>WAVE RSX(DISC)</v>
          </cell>
          <cell r="D508" t="str">
            <v>HONDA</v>
          </cell>
          <cell r="E508" t="str">
            <v>AFP110SFR-MB WAVE110 (DISK)</v>
          </cell>
          <cell r="F508" t="str">
            <v>UNDERBONE</v>
          </cell>
          <cell r="G508">
            <v>63510</v>
          </cell>
          <cell r="H508">
            <v>45</v>
          </cell>
          <cell r="I508">
            <v>30</v>
          </cell>
          <cell r="J508">
            <v>90</v>
          </cell>
          <cell r="K508">
            <v>15</v>
          </cell>
          <cell r="L508">
            <v>15</v>
          </cell>
          <cell r="M508">
            <v>30</v>
          </cell>
        </row>
        <row r="509">
          <cell r="B509" t="str">
            <v>WAVE RSX(DISC)</v>
          </cell>
          <cell r="D509" t="str">
            <v>HONDA</v>
          </cell>
          <cell r="E509" t="str">
            <v>AFP110SFR-IW WAVE110 (DISK)</v>
          </cell>
          <cell r="F509" t="str">
            <v>UNDERBONE</v>
          </cell>
          <cell r="G509">
            <v>63510</v>
          </cell>
          <cell r="H509">
            <v>45</v>
          </cell>
          <cell r="I509">
            <v>30</v>
          </cell>
          <cell r="J509">
            <v>90</v>
          </cell>
          <cell r="K509">
            <v>15</v>
          </cell>
          <cell r="L509">
            <v>15</v>
          </cell>
          <cell r="M509">
            <v>30</v>
          </cell>
        </row>
        <row r="510">
          <cell r="B510" t="str">
            <v>CLICK125 FI</v>
          </cell>
          <cell r="D510" t="str">
            <v>HONDA</v>
          </cell>
          <cell r="E510" t="str">
            <v>ACB125CBFSII-CR CLICK125 (RED)</v>
          </cell>
          <cell r="F510" t="str">
            <v>SCOOTER</v>
          </cell>
          <cell r="G510">
            <v>80070</v>
          </cell>
          <cell r="H510">
            <v>45</v>
          </cell>
          <cell r="I510">
            <v>30</v>
          </cell>
          <cell r="J510">
            <v>90</v>
          </cell>
          <cell r="K510">
            <v>15</v>
          </cell>
          <cell r="L510">
            <v>15</v>
          </cell>
          <cell r="M510">
            <v>30</v>
          </cell>
        </row>
        <row r="511">
          <cell r="B511" t="str">
            <v>CLICK125 FI</v>
          </cell>
          <cell r="D511" t="str">
            <v>HONDA</v>
          </cell>
          <cell r="E511" t="str">
            <v>ACB125CBFSII-PW CLICK125 (WHITE)</v>
          </cell>
          <cell r="F511" t="str">
            <v>SCOOTER</v>
          </cell>
          <cell r="G511">
            <v>80070</v>
          </cell>
          <cell r="H511">
            <v>45</v>
          </cell>
          <cell r="I511">
            <v>30</v>
          </cell>
          <cell r="J511">
            <v>90</v>
          </cell>
          <cell r="K511">
            <v>15</v>
          </cell>
          <cell r="L511">
            <v>15</v>
          </cell>
          <cell r="M511">
            <v>30</v>
          </cell>
        </row>
        <row r="512">
          <cell r="B512" t="str">
            <v>CLICK125 FI SE</v>
          </cell>
          <cell r="D512" t="str">
            <v>HONDA</v>
          </cell>
          <cell r="E512" t="str">
            <v>ACB125CBFS4-SB CLICK125 (BLUE/WHITE)</v>
          </cell>
          <cell r="F512" t="str">
            <v>SCOOTER</v>
          </cell>
          <cell r="G512">
            <v>84394</v>
          </cell>
          <cell r="H512">
            <v>45</v>
          </cell>
          <cell r="I512">
            <v>30</v>
          </cell>
          <cell r="J512">
            <v>90</v>
          </cell>
          <cell r="K512">
            <v>15</v>
          </cell>
          <cell r="L512">
            <v>15</v>
          </cell>
          <cell r="M512">
            <v>30</v>
          </cell>
        </row>
        <row r="513">
          <cell r="B513" t="str">
            <v>SMASH(SPOKE)</v>
          </cell>
          <cell r="D513" t="str">
            <v>SUZUKI</v>
          </cell>
          <cell r="E513" t="str">
            <v>FW110D SMASH (D1BLACK)</v>
          </cell>
          <cell r="F513" t="str">
            <v>UNDERBONE</v>
          </cell>
          <cell r="G513">
            <v>62692</v>
          </cell>
          <cell r="H513">
            <v>45</v>
          </cell>
          <cell r="I513">
            <v>30</v>
          </cell>
          <cell r="J513">
            <v>90</v>
          </cell>
          <cell r="K513">
            <v>15</v>
          </cell>
          <cell r="L513">
            <v>15</v>
          </cell>
          <cell r="M513">
            <v>30</v>
          </cell>
        </row>
        <row r="514">
          <cell r="B514" t="str">
            <v>CT100</v>
          </cell>
          <cell r="D514" t="str">
            <v>KAWASAKI</v>
          </cell>
          <cell r="E514" t="str">
            <v>CA100AA CT100 (BLACK BLUE)</v>
          </cell>
          <cell r="F514" t="str">
            <v>BUSINESS</v>
          </cell>
          <cell r="G514">
            <v>59528</v>
          </cell>
          <cell r="H514">
            <v>45</v>
          </cell>
          <cell r="I514">
            <v>30</v>
          </cell>
          <cell r="J514">
            <v>90</v>
          </cell>
          <cell r="K514">
            <v>15</v>
          </cell>
          <cell r="L514">
            <v>15</v>
          </cell>
          <cell r="M514">
            <v>30</v>
          </cell>
        </row>
        <row r="515">
          <cell r="B515" t="str">
            <v>PG-1</v>
          </cell>
          <cell r="D515" t="str">
            <v>YAMAHA</v>
          </cell>
          <cell r="E515" t="str">
            <v>PG-1 BNR1 ( MATT BROWN )</v>
          </cell>
          <cell r="F515" t="str">
            <v>UNDERBONE</v>
          </cell>
          <cell r="G515">
            <v>86397</v>
          </cell>
          <cell r="H515">
            <v>45</v>
          </cell>
          <cell r="I515">
            <v>30</v>
          </cell>
          <cell r="J515">
            <v>90</v>
          </cell>
          <cell r="K515">
            <v>15</v>
          </cell>
          <cell r="L515">
            <v>15</v>
          </cell>
          <cell r="M515">
            <v>30</v>
          </cell>
        </row>
        <row r="516">
          <cell r="B516" t="str">
            <v>CLICK125 FI SE</v>
          </cell>
          <cell r="D516" t="str">
            <v>HONDA</v>
          </cell>
          <cell r="E516" t="str">
            <v>ACB125CBFS4-PG CLICK125 (GRAY/BLACK)</v>
          </cell>
          <cell r="F516" t="str">
            <v>SCOOTER</v>
          </cell>
          <cell r="G516">
            <v>84394</v>
          </cell>
          <cell r="H516">
            <v>45</v>
          </cell>
          <cell r="I516">
            <v>30</v>
          </cell>
          <cell r="J516">
            <v>90</v>
          </cell>
          <cell r="K516">
            <v>15</v>
          </cell>
          <cell r="L516">
            <v>15</v>
          </cell>
          <cell r="M516">
            <v>30</v>
          </cell>
        </row>
        <row r="517">
          <cell r="B517" t="str">
            <v>CLICK125 FI</v>
          </cell>
          <cell r="D517" t="str">
            <v>HONDA</v>
          </cell>
          <cell r="E517" t="str">
            <v>ACB125CBFSII-PG CLICK125 (GRAY)</v>
          </cell>
          <cell r="F517" t="str">
            <v>SCOOTER</v>
          </cell>
          <cell r="G517">
            <v>80070</v>
          </cell>
          <cell r="H517">
            <v>45</v>
          </cell>
          <cell r="I517">
            <v>30</v>
          </cell>
          <cell r="J517">
            <v>90</v>
          </cell>
          <cell r="K517">
            <v>15</v>
          </cell>
          <cell r="L517">
            <v>15</v>
          </cell>
          <cell r="M517">
            <v>30</v>
          </cell>
        </row>
        <row r="518">
          <cell r="B518" t="str">
            <v>MAXIMA Z</v>
          </cell>
          <cell r="D518" t="str">
            <v>BAJAJ RE</v>
          </cell>
          <cell r="E518" t="str">
            <v>MAXIMA Z (GREEN)</v>
          </cell>
          <cell r="F518" t="str">
            <v>TRI-WHEELED</v>
          </cell>
          <cell r="G518">
            <v>225800</v>
          </cell>
          <cell r="H518">
            <v>45</v>
          </cell>
          <cell r="I518">
            <v>30</v>
          </cell>
          <cell r="J518">
            <v>90</v>
          </cell>
          <cell r="K518">
            <v>15</v>
          </cell>
          <cell r="L518">
            <v>15</v>
          </cell>
          <cell r="M518">
            <v>30</v>
          </cell>
        </row>
        <row r="519">
          <cell r="B519" t="str">
            <v>SNIPER 155 FI</v>
          </cell>
          <cell r="D519" t="str">
            <v>YAMAHA</v>
          </cell>
          <cell r="E519" t="str">
            <v>SNIPER155 BAY6 (CYAN)</v>
          </cell>
          <cell r="F519" t="str">
            <v>UNDERBONE</v>
          </cell>
          <cell r="G519">
            <v>117087</v>
          </cell>
          <cell r="H519">
            <v>45</v>
          </cell>
          <cell r="I519">
            <v>30</v>
          </cell>
          <cell r="J519">
            <v>90</v>
          </cell>
          <cell r="K519">
            <v>15</v>
          </cell>
          <cell r="L519">
            <v>15</v>
          </cell>
          <cell r="M519">
            <v>30</v>
          </cell>
        </row>
        <row r="520">
          <cell r="B520" t="str">
            <v>SNIPER 155 FI</v>
          </cell>
          <cell r="D520" t="str">
            <v>YAMAHA</v>
          </cell>
          <cell r="E520" t="str">
            <v>SNIPER155 BAY6 (BLUE/ MATTE BLUE)</v>
          </cell>
          <cell r="F520" t="str">
            <v>UNDERBONE</v>
          </cell>
          <cell r="G520">
            <v>117087</v>
          </cell>
          <cell r="H520">
            <v>45</v>
          </cell>
          <cell r="I520">
            <v>30</v>
          </cell>
          <cell r="J520">
            <v>90</v>
          </cell>
          <cell r="K520">
            <v>15</v>
          </cell>
          <cell r="L520">
            <v>15</v>
          </cell>
          <cell r="M520">
            <v>30</v>
          </cell>
        </row>
        <row r="521">
          <cell r="B521" t="str">
            <v>MT-03</v>
          </cell>
          <cell r="D521" t="str">
            <v>YAMAHA</v>
          </cell>
          <cell r="E521" t="str">
            <v>MT-03 B5WF (GRAY/MATTE DARK GRAY)</v>
          </cell>
          <cell r="F521" t="str">
            <v>SPORTS TYPE</v>
          </cell>
          <cell r="G521">
            <v>265050</v>
          </cell>
          <cell r="H521">
            <v>45</v>
          </cell>
          <cell r="I521">
            <v>30</v>
          </cell>
          <cell r="J521">
            <v>90</v>
          </cell>
          <cell r="K521">
            <v>15</v>
          </cell>
          <cell r="L521">
            <v>15</v>
          </cell>
          <cell r="M521">
            <v>30</v>
          </cell>
        </row>
        <row r="522">
          <cell r="B522" t="str">
            <v>CLICK125 FI SE</v>
          </cell>
          <cell r="D522" t="str">
            <v>HONDA</v>
          </cell>
          <cell r="E522" t="str">
            <v>ACB125CBFS4-SB CLICK125 (BLUE/WHITE)</v>
          </cell>
          <cell r="F522" t="str">
            <v>SCOOTER</v>
          </cell>
          <cell r="G522">
            <v>84394</v>
          </cell>
          <cell r="H522">
            <v>45</v>
          </cell>
          <cell r="I522">
            <v>30</v>
          </cell>
          <cell r="J522">
            <v>90</v>
          </cell>
          <cell r="K522">
            <v>15</v>
          </cell>
          <cell r="L522">
            <v>15</v>
          </cell>
          <cell r="M522">
            <v>30</v>
          </cell>
        </row>
        <row r="523">
          <cell r="B523" t="str">
            <v>TMX ALPHA FI</v>
          </cell>
          <cell r="D523" t="str">
            <v>HONDA</v>
          </cell>
          <cell r="E523" t="str">
            <v>CCG125SII-RED TMX125 ALPHA (RED)</v>
          </cell>
          <cell r="F523" t="str">
            <v>BUSINESS</v>
          </cell>
          <cell r="G523">
            <v>56426</v>
          </cell>
          <cell r="H523">
            <v>45</v>
          </cell>
          <cell r="I523">
            <v>30</v>
          </cell>
          <cell r="J523">
            <v>90</v>
          </cell>
          <cell r="K523">
            <v>15</v>
          </cell>
          <cell r="L523">
            <v>15</v>
          </cell>
          <cell r="M523">
            <v>30</v>
          </cell>
        </row>
        <row r="524">
          <cell r="B524" t="str">
            <v>TMX ALPHA FI</v>
          </cell>
          <cell r="D524" t="str">
            <v>HONDA</v>
          </cell>
          <cell r="E524" t="str">
            <v>CCG125SII-BK TMX125 ALPHA (BLACK)</v>
          </cell>
          <cell r="F524" t="str">
            <v>BUSINESS</v>
          </cell>
          <cell r="G524">
            <v>56426</v>
          </cell>
          <cell r="H524">
            <v>45</v>
          </cell>
          <cell r="I524">
            <v>30</v>
          </cell>
          <cell r="J524">
            <v>90</v>
          </cell>
          <cell r="K524">
            <v>15</v>
          </cell>
          <cell r="L524">
            <v>15</v>
          </cell>
          <cell r="M524">
            <v>30</v>
          </cell>
        </row>
        <row r="525">
          <cell r="B525" t="str">
            <v>TMX ALPHA FI</v>
          </cell>
          <cell r="D525" t="str">
            <v>HONDA</v>
          </cell>
          <cell r="E525" t="str">
            <v>CCG125SII-MAS TMX125 ALPHA (SILVER)</v>
          </cell>
          <cell r="F525" t="str">
            <v>BUSINESS</v>
          </cell>
          <cell r="G525">
            <v>56426</v>
          </cell>
          <cell r="H525">
            <v>45</v>
          </cell>
          <cell r="I525">
            <v>30</v>
          </cell>
          <cell r="J525">
            <v>90</v>
          </cell>
          <cell r="K525">
            <v>15</v>
          </cell>
          <cell r="L525">
            <v>15</v>
          </cell>
          <cell r="M525">
            <v>30</v>
          </cell>
        </row>
        <row r="526">
          <cell r="B526" t="str">
            <v>XMAX 300</v>
          </cell>
          <cell r="C526" t="str">
            <v>MATTE LIGHT GRAY</v>
          </cell>
          <cell r="D526" t="str">
            <v>YAMAHA</v>
          </cell>
          <cell r="E526" t="str">
            <v>XMAX BKA5 ( MATTE LIGHT GRAY )</v>
          </cell>
          <cell r="F526" t="str">
            <v>SCOOTER</v>
          </cell>
          <cell r="G526">
            <v>278535</v>
          </cell>
          <cell r="H526">
            <v>45</v>
          </cell>
          <cell r="I526">
            <v>30</v>
          </cell>
          <cell r="J526">
            <v>90</v>
          </cell>
          <cell r="K526">
            <v>15</v>
          </cell>
          <cell r="L526">
            <v>15</v>
          </cell>
          <cell r="M526">
            <v>30</v>
          </cell>
        </row>
        <row r="527">
          <cell r="B527" t="str">
            <v>SMASH(MAGS)</v>
          </cell>
          <cell r="D527" t="str">
            <v>SUZUKI</v>
          </cell>
          <cell r="E527" t="str">
            <v>FW110SC-DBLACK</v>
          </cell>
          <cell r="F527" t="str">
            <v>UNDERBONE</v>
          </cell>
          <cell r="G527">
            <v>67342</v>
          </cell>
          <cell r="H527">
            <v>45</v>
          </cell>
          <cell r="I527">
            <v>30</v>
          </cell>
          <cell r="J527">
            <v>90</v>
          </cell>
          <cell r="K527">
            <v>15</v>
          </cell>
          <cell r="L527">
            <v>15</v>
          </cell>
          <cell r="M527">
            <v>30</v>
          </cell>
        </row>
        <row r="528">
          <cell r="B528" t="str">
            <v>SMASH(MAGS)</v>
          </cell>
          <cell r="D528" t="str">
            <v>SUZUKI</v>
          </cell>
          <cell r="E528" t="str">
            <v>FW110SC-DBLUE</v>
          </cell>
          <cell r="F528" t="str">
            <v>UNDERBONE</v>
          </cell>
          <cell r="G528">
            <v>67342</v>
          </cell>
          <cell r="H528">
            <v>45</v>
          </cell>
          <cell r="I528">
            <v>30</v>
          </cell>
          <cell r="J528">
            <v>90</v>
          </cell>
          <cell r="K528">
            <v>15</v>
          </cell>
          <cell r="L528">
            <v>15</v>
          </cell>
          <cell r="M528">
            <v>30</v>
          </cell>
        </row>
        <row r="529">
          <cell r="B529" t="str">
            <v>BEAT FI STD</v>
          </cell>
          <cell r="D529" t="str">
            <v>HONDA</v>
          </cell>
          <cell r="E529" t="str">
            <v>ACH110CBFS-PG BEAT (GRAY/BLACK)</v>
          </cell>
          <cell r="F529" t="str">
            <v>SCOOTER</v>
          </cell>
          <cell r="G529">
            <v>70410</v>
          </cell>
          <cell r="H529">
            <v>45</v>
          </cell>
          <cell r="I529">
            <v>30</v>
          </cell>
          <cell r="J529">
            <v>90</v>
          </cell>
          <cell r="K529">
            <v>15</v>
          </cell>
          <cell r="L529">
            <v>15</v>
          </cell>
          <cell r="M529">
            <v>30</v>
          </cell>
        </row>
        <row r="530">
          <cell r="B530" t="str">
            <v>BEAT FI STD</v>
          </cell>
          <cell r="D530" t="str">
            <v>HONDA</v>
          </cell>
          <cell r="E530" t="str">
            <v>ACH110CBFS-RD BEAT (RED/BLACK)</v>
          </cell>
          <cell r="F530" t="str">
            <v>SCOOTER</v>
          </cell>
          <cell r="G530">
            <v>70410</v>
          </cell>
          <cell r="H530">
            <v>45</v>
          </cell>
          <cell r="I530">
            <v>30</v>
          </cell>
          <cell r="J530">
            <v>90</v>
          </cell>
          <cell r="K530">
            <v>15</v>
          </cell>
          <cell r="L530">
            <v>15</v>
          </cell>
          <cell r="M530">
            <v>30</v>
          </cell>
        </row>
        <row r="531">
          <cell r="B531" t="str">
            <v>BEAT FI STD</v>
          </cell>
          <cell r="D531" t="str">
            <v>HONDA</v>
          </cell>
          <cell r="E531" t="str">
            <v>ACH110CBFS-PND BEAT (BLUE/BLACK)</v>
          </cell>
          <cell r="F531" t="str">
            <v>SCOOTER</v>
          </cell>
          <cell r="G531">
            <v>70410</v>
          </cell>
          <cell r="H531">
            <v>45</v>
          </cell>
          <cell r="I531">
            <v>30</v>
          </cell>
          <cell r="J531">
            <v>90</v>
          </cell>
          <cell r="K531">
            <v>15</v>
          </cell>
          <cell r="L531">
            <v>15</v>
          </cell>
          <cell r="M531">
            <v>30</v>
          </cell>
        </row>
        <row r="532">
          <cell r="B532" t="str">
            <v>BEAT FI STD</v>
          </cell>
          <cell r="D532" t="str">
            <v>HONDA</v>
          </cell>
          <cell r="E532" t="str">
            <v>ACH110CBFS-YW BEAT (YELLOW/BLACK)</v>
          </cell>
          <cell r="F532" t="str">
            <v>SCOOTER</v>
          </cell>
          <cell r="G532">
            <v>70410</v>
          </cell>
          <cell r="H532">
            <v>45</v>
          </cell>
          <cell r="I532">
            <v>30</v>
          </cell>
          <cell r="J532">
            <v>90</v>
          </cell>
          <cell r="K532">
            <v>15</v>
          </cell>
          <cell r="L532">
            <v>15</v>
          </cell>
          <cell r="M532">
            <v>30</v>
          </cell>
        </row>
        <row r="533">
          <cell r="B533" t="str">
            <v>BEAT FI PREM</v>
          </cell>
          <cell r="D533" t="str">
            <v>HONDA</v>
          </cell>
          <cell r="E533" t="str">
            <v>ACH110CBFS3-MG BEAT (GRAY)</v>
          </cell>
          <cell r="F533" t="str">
            <v>SCOOTER</v>
          </cell>
          <cell r="G533">
            <v>72434</v>
          </cell>
          <cell r="H533">
            <v>45</v>
          </cell>
          <cell r="I533">
            <v>30</v>
          </cell>
          <cell r="J533">
            <v>90</v>
          </cell>
          <cell r="K533">
            <v>15</v>
          </cell>
          <cell r="L533">
            <v>15</v>
          </cell>
          <cell r="M533">
            <v>30</v>
          </cell>
        </row>
        <row r="534">
          <cell r="B534" t="str">
            <v>BEAT FI PREM</v>
          </cell>
          <cell r="D534" t="str">
            <v>HONDA</v>
          </cell>
          <cell r="E534" t="str">
            <v>ACH110CBFS3-PW BEAT (WHITE)</v>
          </cell>
          <cell r="F534" t="str">
            <v>SCOOTER</v>
          </cell>
          <cell r="G534">
            <v>72434</v>
          </cell>
          <cell r="H534">
            <v>45</v>
          </cell>
          <cell r="I534">
            <v>30</v>
          </cell>
          <cell r="J534">
            <v>90</v>
          </cell>
          <cell r="K534">
            <v>15</v>
          </cell>
          <cell r="L534">
            <v>15</v>
          </cell>
          <cell r="M534">
            <v>30</v>
          </cell>
        </row>
        <row r="535">
          <cell r="B535" t="str">
            <v>MIO i125s</v>
          </cell>
          <cell r="D535" t="str">
            <v>YAMAHA</v>
          </cell>
          <cell r="E535" t="str">
            <v>MIO i 125 S B6B5 (MATTE BLACK/ BLACK)</v>
          </cell>
          <cell r="F535" t="str">
            <v>SCOOTER</v>
          </cell>
          <cell r="G535">
            <v>74772</v>
          </cell>
          <cell r="H535">
            <v>45</v>
          </cell>
          <cell r="I535">
            <v>30</v>
          </cell>
          <cell r="J535">
            <v>90</v>
          </cell>
          <cell r="K535">
            <v>15</v>
          </cell>
          <cell r="L535">
            <v>15</v>
          </cell>
          <cell r="M535">
            <v>30</v>
          </cell>
        </row>
        <row r="536">
          <cell r="B536" t="str">
            <v>WIZARD</v>
          </cell>
          <cell r="D536" t="str">
            <v>SKYGO</v>
          </cell>
          <cell r="E536" t="str">
            <v>SG125-8A-1 WIZARD (RED)</v>
          </cell>
          <cell r="F536" t="str">
            <v>BUSINESS</v>
          </cell>
          <cell r="G536">
            <v>35055</v>
          </cell>
          <cell r="H536">
            <v>45</v>
          </cell>
          <cell r="I536">
            <v>30</v>
          </cell>
          <cell r="J536">
            <v>90</v>
          </cell>
          <cell r="K536">
            <v>15</v>
          </cell>
          <cell r="L536">
            <v>15</v>
          </cell>
          <cell r="M536">
            <v>30</v>
          </cell>
        </row>
        <row r="537">
          <cell r="B537" t="str">
            <v>WIZARD</v>
          </cell>
          <cell r="D537" t="str">
            <v>SKYGO</v>
          </cell>
          <cell r="E537" t="str">
            <v>SG125-8A-1 WIZARD (BLUE)</v>
          </cell>
          <cell r="F537" t="str">
            <v>BUSINESS</v>
          </cell>
          <cell r="G537">
            <v>35055</v>
          </cell>
          <cell r="H537">
            <v>45</v>
          </cell>
          <cell r="I537">
            <v>30</v>
          </cell>
          <cell r="J537">
            <v>90</v>
          </cell>
          <cell r="K537">
            <v>15</v>
          </cell>
          <cell r="L537">
            <v>15</v>
          </cell>
          <cell r="M537">
            <v>30</v>
          </cell>
        </row>
        <row r="538">
          <cell r="B538" t="str">
            <v>V-STROM 250 SX</v>
          </cell>
          <cell r="D538" t="str">
            <v>SUZUKI</v>
          </cell>
          <cell r="E538" t="str">
            <v>DS250RL-1YELLOW</v>
          </cell>
          <cell r="F538" t="str">
            <v>UNDERBONE</v>
          </cell>
          <cell r="G538">
            <v>215770</v>
          </cell>
          <cell r="H538">
            <v>45</v>
          </cell>
          <cell r="I538">
            <v>30</v>
          </cell>
          <cell r="J538">
            <v>90</v>
          </cell>
          <cell r="K538">
            <v>15</v>
          </cell>
          <cell r="L538">
            <v>15</v>
          </cell>
          <cell r="M538">
            <v>30</v>
          </cell>
        </row>
        <row r="539">
          <cell r="B539" t="str">
            <v>V-STROM 250 SX</v>
          </cell>
          <cell r="D539" t="str">
            <v>SUZUKI</v>
          </cell>
          <cell r="E539" t="str">
            <v>DS250RL-1BLACK</v>
          </cell>
          <cell r="F539" t="str">
            <v>UNDERBONE</v>
          </cell>
          <cell r="G539">
            <v>215770</v>
          </cell>
          <cell r="H539">
            <v>45</v>
          </cell>
          <cell r="I539">
            <v>30</v>
          </cell>
          <cell r="J539">
            <v>90</v>
          </cell>
          <cell r="K539">
            <v>15</v>
          </cell>
          <cell r="L539">
            <v>15</v>
          </cell>
          <cell r="M539">
            <v>30</v>
          </cell>
        </row>
        <row r="540">
          <cell r="B540" t="str">
            <v>XMAX 300</v>
          </cell>
          <cell r="C540" t="str">
            <v>MATTE DARK LIGHT GRAY</v>
          </cell>
          <cell r="D540" t="str">
            <v>YAMAHA</v>
          </cell>
          <cell r="E540" t="str">
            <v>XMAX BKA5 ( MATTE DARK LIGHT GRAY/BLACK )</v>
          </cell>
          <cell r="F540" t="str">
            <v>SCOOTER</v>
          </cell>
          <cell r="G540">
            <v>278535</v>
          </cell>
          <cell r="H540">
            <v>45</v>
          </cell>
          <cell r="I540">
            <v>30</v>
          </cell>
          <cell r="J540">
            <v>90</v>
          </cell>
          <cell r="K540">
            <v>15</v>
          </cell>
          <cell r="L540">
            <v>15</v>
          </cell>
          <cell r="M540">
            <v>30</v>
          </cell>
        </row>
        <row r="541">
          <cell r="B541" t="str">
            <v>KLX150</v>
          </cell>
          <cell r="D541" t="str">
            <v>KAWASAKI</v>
          </cell>
          <cell r="E541" t="str">
            <v>KLX150KSAAN KLX150 (GRAY)</v>
          </cell>
          <cell r="F541" t="str">
            <v>SPORTS TYPE</v>
          </cell>
          <cell r="G541">
            <v>131626</v>
          </cell>
          <cell r="H541">
            <v>45</v>
          </cell>
          <cell r="I541">
            <v>30</v>
          </cell>
          <cell r="J541">
            <v>90</v>
          </cell>
          <cell r="K541">
            <v>15</v>
          </cell>
          <cell r="L541">
            <v>15</v>
          </cell>
          <cell r="M541">
            <v>30</v>
          </cell>
        </row>
        <row r="542">
          <cell r="B542" t="str">
            <v>XRM DUAL SPORTS FI(DS)</v>
          </cell>
          <cell r="D542" t="str">
            <v>HONDA</v>
          </cell>
          <cell r="E542" t="str">
            <v>CFT125MSS-RD XRM125 DS (RED/BLACK)</v>
          </cell>
          <cell r="F542" t="str">
            <v>UNDERBONE</v>
          </cell>
          <cell r="G542">
            <v>69950</v>
          </cell>
          <cell r="H542">
            <v>45</v>
          </cell>
          <cell r="I542">
            <v>30</v>
          </cell>
          <cell r="J542">
            <v>90</v>
          </cell>
          <cell r="K542">
            <v>15</v>
          </cell>
          <cell r="L542">
            <v>15</v>
          </cell>
          <cell r="M542">
            <v>30</v>
          </cell>
        </row>
        <row r="543">
          <cell r="B543" t="str">
            <v>XRM DUAL SPORTS FI(DS)</v>
          </cell>
          <cell r="D543" t="str">
            <v>HONDA</v>
          </cell>
          <cell r="E543" t="str">
            <v>CFT125MSS-BK XRM125 DS (BLACK)</v>
          </cell>
          <cell r="F543" t="str">
            <v>UNDERBONE</v>
          </cell>
          <cell r="G543">
            <v>69950</v>
          </cell>
          <cell r="H543">
            <v>45</v>
          </cell>
          <cell r="I543">
            <v>30</v>
          </cell>
          <cell r="J543">
            <v>90</v>
          </cell>
          <cell r="K543">
            <v>15</v>
          </cell>
          <cell r="L543">
            <v>15</v>
          </cell>
          <cell r="M543">
            <v>30</v>
          </cell>
        </row>
        <row r="544">
          <cell r="B544" t="str">
            <v>XRM DUAL SPORTS FI(DS)</v>
          </cell>
          <cell r="D544" t="str">
            <v>HONDA</v>
          </cell>
          <cell r="E544" t="str">
            <v>CFT125MSS-BA XRM125 DS (BLUE/BLACK)</v>
          </cell>
          <cell r="F544" t="str">
            <v>UNDERBONE</v>
          </cell>
          <cell r="G544">
            <v>69950</v>
          </cell>
          <cell r="H544">
            <v>45</v>
          </cell>
          <cell r="I544">
            <v>30</v>
          </cell>
          <cell r="J544">
            <v>90</v>
          </cell>
          <cell r="K544">
            <v>15</v>
          </cell>
          <cell r="L544">
            <v>15</v>
          </cell>
          <cell r="M544">
            <v>30</v>
          </cell>
        </row>
        <row r="545">
          <cell r="B545" t="str">
            <v>XRM OFFROAD FI(DSX)</v>
          </cell>
          <cell r="D545" t="str">
            <v>HONDA</v>
          </cell>
          <cell r="E545" t="str">
            <v>CFT125MRS-RWH XRM125 DSX (WHITE/BLUE)</v>
          </cell>
          <cell r="F545" t="str">
            <v>UNDERBONE</v>
          </cell>
          <cell r="G545">
            <v>73170</v>
          </cell>
          <cell r="H545">
            <v>45</v>
          </cell>
          <cell r="I545">
            <v>30</v>
          </cell>
          <cell r="J545">
            <v>90</v>
          </cell>
          <cell r="K545">
            <v>15</v>
          </cell>
          <cell r="L545">
            <v>15</v>
          </cell>
          <cell r="M545">
            <v>30</v>
          </cell>
        </row>
        <row r="546">
          <cell r="B546" t="str">
            <v>XRM MOTARD FI</v>
          </cell>
          <cell r="D546" t="str">
            <v>HONDA</v>
          </cell>
          <cell r="E546" t="str">
            <v>CFT125MRCS-BK XRM125 MOTARD (BLACK)</v>
          </cell>
          <cell r="F546" t="str">
            <v>UNDERBONE</v>
          </cell>
          <cell r="G546">
            <v>74550</v>
          </cell>
          <cell r="H546">
            <v>45</v>
          </cell>
          <cell r="I546">
            <v>30</v>
          </cell>
          <cell r="J546">
            <v>90</v>
          </cell>
          <cell r="K546">
            <v>15</v>
          </cell>
          <cell r="L546">
            <v>15</v>
          </cell>
          <cell r="M546">
            <v>30</v>
          </cell>
        </row>
        <row r="547">
          <cell r="B547" t="str">
            <v>BURGMAN STREET EX</v>
          </cell>
          <cell r="D547" t="str">
            <v>SUZUKI</v>
          </cell>
          <cell r="E547" t="str">
            <v>UB125LNM-1MSLVR BURGMAN STREET  EX</v>
          </cell>
          <cell r="F547" t="str">
            <v>SCOOTER</v>
          </cell>
          <cell r="G547">
            <v>89662</v>
          </cell>
          <cell r="H547">
            <v>45</v>
          </cell>
          <cell r="I547">
            <v>30</v>
          </cell>
          <cell r="J547">
            <v>90</v>
          </cell>
          <cell r="K547">
            <v>15</v>
          </cell>
          <cell r="L547">
            <v>15</v>
          </cell>
          <cell r="M547">
            <v>30</v>
          </cell>
        </row>
        <row r="548">
          <cell r="B548" t="str">
            <v>BURGMAN STREET</v>
          </cell>
          <cell r="D548" t="str">
            <v>SUZUKI</v>
          </cell>
          <cell r="E548" t="str">
            <v>UB125NM-A1BLACK BURGMAN STREET</v>
          </cell>
          <cell r="F548" t="str">
            <v>SCOOTER</v>
          </cell>
          <cell r="G548">
            <v>79802</v>
          </cell>
          <cell r="H548">
            <v>45</v>
          </cell>
          <cell r="I548">
            <v>30</v>
          </cell>
          <cell r="J548">
            <v>90</v>
          </cell>
          <cell r="K548">
            <v>15</v>
          </cell>
          <cell r="L548">
            <v>15</v>
          </cell>
          <cell r="M548">
            <v>30</v>
          </cell>
        </row>
        <row r="549">
          <cell r="B549" t="str">
            <v>BURGMAN STREET</v>
          </cell>
          <cell r="D549" t="str">
            <v>SUZUKI</v>
          </cell>
          <cell r="E549" t="str">
            <v>UB125NM-A1WHITE BURGMAN STREET</v>
          </cell>
          <cell r="F549" t="str">
            <v>SCOOTER</v>
          </cell>
          <cell r="G549">
            <v>79802</v>
          </cell>
          <cell r="H549">
            <v>45</v>
          </cell>
          <cell r="I549">
            <v>30</v>
          </cell>
          <cell r="J549">
            <v>90</v>
          </cell>
          <cell r="K549">
            <v>15</v>
          </cell>
          <cell r="L549">
            <v>15</v>
          </cell>
          <cell r="M549">
            <v>30</v>
          </cell>
        </row>
        <row r="550">
          <cell r="B550" t="str">
            <v>BURGMAN STREET</v>
          </cell>
          <cell r="D550" t="str">
            <v>SUZUKI</v>
          </cell>
          <cell r="E550" t="str">
            <v>UB125NM-A1GRAY BURGMAN STREET</v>
          </cell>
          <cell r="F550" t="str">
            <v>SCOOTER</v>
          </cell>
          <cell r="G550">
            <v>79802</v>
          </cell>
          <cell r="H550">
            <v>45</v>
          </cell>
          <cell r="I550">
            <v>30</v>
          </cell>
          <cell r="J550">
            <v>90</v>
          </cell>
          <cell r="K550">
            <v>15</v>
          </cell>
          <cell r="L550">
            <v>15</v>
          </cell>
          <cell r="M550">
            <v>30</v>
          </cell>
        </row>
        <row r="551">
          <cell r="B551" t="str">
            <v>MAXIMA Z</v>
          </cell>
          <cell r="D551" t="str">
            <v>BAJAJ RE</v>
          </cell>
          <cell r="E551" t="str">
            <v>C1AY1SP MAXIMA Z (BLUE)</v>
          </cell>
          <cell r="F551" t="str">
            <v>TRI-WHEELED</v>
          </cell>
          <cell r="G551">
            <v>225800</v>
          </cell>
          <cell r="H551">
            <v>45</v>
          </cell>
          <cell r="I551">
            <v>30</v>
          </cell>
          <cell r="J551">
            <v>90</v>
          </cell>
          <cell r="K551">
            <v>15</v>
          </cell>
          <cell r="L551">
            <v>15</v>
          </cell>
          <cell r="M551">
            <v>30</v>
          </cell>
        </row>
        <row r="552">
          <cell r="B552" t="str">
            <v>MAXIMA Z</v>
          </cell>
          <cell r="D552" t="str">
            <v>BAJAJ RE</v>
          </cell>
          <cell r="E552" t="str">
            <v>C1AY1SP MAXIMA Z (WHITE)</v>
          </cell>
          <cell r="F552" t="str">
            <v>TRI-WHEELED</v>
          </cell>
          <cell r="G552">
            <v>225800</v>
          </cell>
          <cell r="H552">
            <v>45</v>
          </cell>
          <cell r="I552">
            <v>30</v>
          </cell>
          <cell r="J552">
            <v>90</v>
          </cell>
          <cell r="K552">
            <v>15</v>
          </cell>
          <cell r="L552">
            <v>15</v>
          </cell>
          <cell r="M552">
            <v>30</v>
          </cell>
        </row>
        <row r="553">
          <cell r="B553" t="str">
            <v>MAXIMA Z</v>
          </cell>
          <cell r="D553" t="str">
            <v>BAJAJ RE</v>
          </cell>
          <cell r="E553" t="str">
            <v>C1AY1SP MAXIMA Z (GREEN)</v>
          </cell>
          <cell r="F553" t="str">
            <v>TRI-WHEELED</v>
          </cell>
          <cell r="G553">
            <v>225800</v>
          </cell>
          <cell r="H553">
            <v>45</v>
          </cell>
          <cell r="I553">
            <v>30</v>
          </cell>
          <cell r="J553">
            <v>90</v>
          </cell>
          <cell r="K553">
            <v>15</v>
          </cell>
          <cell r="L553">
            <v>15</v>
          </cell>
          <cell r="M553">
            <v>30</v>
          </cell>
        </row>
        <row r="554">
          <cell r="B554" t="str">
            <v>MAXIMA Z</v>
          </cell>
          <cell r="D554" t="str">
            <v>BAJAJ RE</v>
          </cell>
          <cell r="E554" t="str">
            <v>C1AY1SP MAXIMA Z (RED)</v>
          </cell>
          <cell r="F554" t="str">
            <v>TRI-WHEELED</v>
          </cell>
          <cell r="G554">
            <v>225800</v>
          </cell>
          <cell r="H554">
            <v>45</v>
          </cell>
          <cell r="I554">
            <v>30</v>
          </cell>
          <cell r="J554">
            <v>90</v>
          </cell>
          <cell r="K554">
            <v>15</v>
          </cell>
          <cell r="L554">
            <v>15</v>
          </cell>
          <cell r="M554">
            <v>30</v>
          </cell>
        </row>
        <row r="555">
          <cell r="B555" t="str">
            <v>XRM RS</v>
          </cell>
          <cell r="D555" t="str">
            <v>HONDA</v>
          </cell>
          <cell r="E555" t="str">
            <v>ZN125MS-VR RS125 (RED/BLACK)</v>
          </cell>
          <cell r="F555" t="str">
            <v>UNDERBONE</v>
          </cell>
          <cell r="G555">
            <v>73630</v>
          </cell>
          <cell r="H555">
            <v>45</v>
          </cell>
          <cell r="I555">
            <v>30</v>
          </cell>
          <cell r="J555">
            <v>90</v>
          </cell>
          <cell r="K555">
            <v>15</v>
          </cell>
          <cell r="L555">
            <v>15</v>
          </cell>
          <cell r="M555">
            <v>30</v>
          </cell>
        </row>
        <row r="556">
          <cell r="B556" t="str">
            <v>XRM RS</v>
          </cell>
          <cell r="D556" t="str">
            <v>HONDA</v>
          </cell>
          <cell r="E556" t="str">
            <v>ZN125MS-MG RS125 (GARY)</v>
          </cell>
          <cell r="F556" t="str">
            <v>UNDERBONE</v>
          </cell>
          <cell r="G556">
            <v>73630</v>
          </cell>
          <cell r="H556">
            <v>45</v>
          </cell>
          <cell r="I556">
            <v>30</v>
          </cell>
          <cell r="J556">
            <v>90</v>
          </cell>
          <cell r="K556">
            <v>15</v>
          </cell>
          <cell r="L556">
            <v>15</v>
          </cell>
          <cell r="M556">
            <v>30</v>
          </cell>
        </row>
        <row r="557">
          <cell r="B557" t="str">
            <v>BURGMAN STREET</v>
          </cell>
          <cell r="D557" t="str">
            <v>SUZUKI</v>
          </cell>
          <cell r="E557" t="str">
            <v>UB125NM-A1RED BURGMAN STREET</v>
          </cell>
          <cell r="F557" t="str">
            <v>SCOOTER</v>
          </cell>
          <cell r="G557">
            <v>79802</v>
          </cell>
          <cell r="H557">
            <v>45</v>
          </cell>
          <cell r="I557">
            <v>30</v>
          </cell>
          <cell r="J557">
            <v>90</v>
          </cell>
          <cell r="K557">
            <v>15</v>
          </cell>
          <cell r="L557">
            <v>15</v>
          </cell>
          <cell r="M557">
            <v>30</v>
          </cell>
        </row>
        <row r="558">
          <cell r="B558" t="str">
            <v>CLICK160 FI</v>
          </cell>
          <cell r="D558" t="str">
            <v>HONDA</v>
          </cell>
          <cell r="E558" t="str">
            <v>ACB160CBTS-CS CLICK160 (SILVER/BLACK)</v>
          </cell>
          <cell r="F558" t="str">
            <v>SCOOTER</v>
          </cell>
          <cell r="G558">
            <v>111258</v>
          </cell>
          <cell r="H558">
            <v>45</v>
          </cell>
          <cell r="I558">
            <v>30</v>
          </cell>
          <cell r="J558">
            <v>90</v>
          </cell>
          <cell r="K558">
            <v>15</v>
          </cell>
          <cell r="L558">
            <v>15</v>
          </cell>
          <cell r="M558">
            <v>30</v>
          </cell>
        </row>
        <row r="559">
          <cell r="B559" t="str">
            <v>CLICK160 FI</v>
          </cell>
          <cell r="D559" t="str">
            <v>HONDA</v>
          </cell>
          <cell r="E559" t="str">
            <v>ACB160CBTS-MGB CLICK160 (BLACK)</v>
          </cell>
          <cell r="F559" t="str">
            <v>SCOOTER</v>
          </cell>
          <cell r="G559">
            <v>111258</v>
          </cell>
          <cell r="H559">
            <v>45</v>
          </cell>
          <cell r="I559">
            <v>30</v>
          </cell>
          <cell r="J559">
            <v>90</v>
          </cell>
          <cell r="K559">
            <v>15</v>
          </cell>
          <cell r="L559">
            <v>15</v>
          </cell>
          <cell r="M559">
            <v>30</v>
          </cell>
        </row>
        <row r="560">
          <cell r="B560" t="str">
            <v>CLICK160 FI</v>
          </cell>
          <cell r="D560" t="str">
            <v>HONDA</v>
          </cell>
          <cell r="E560" t="str">
            <v>ACB160CBTS-MSR CLICK160 (RED/BLACK)</v>
          </cell>
          <cell r="F560" t="str">
            <v>SCOOTER</v>
          </cell>
          <cell r="G560">
            <v>111258</v>
          </cell>
          <cell r="H560">
            <v>45</v>
          </cell>
          <cell r="I560">
            <v>30</v>
          </cell>
          <cell r="J560">
            <v>90</v>
          </cell>
          <cell r="K560">
            <v>15</v>
          </cell>
          <cell r="L560">
            <v>15</v>
          </cell>
          <cell r="M560">
            <v>30</v>
          </cell>
        </row>
        <row r="561">
          <cell r="B561" t="str">
            <v>WIZARD</v>
          </cell>
          <cell r="D561" t="str">
            <v>SKYGO</v>
          </cell>
          <cell r="E561" t="str">
            <v>SG125-8A-1 WIZARD (BLACK)</v>
          </cell>
          <cell r="F561" t="str">
            <v>BUSINESS</v>
          </cell>
          <cell r="G561">
            <v>35055</v>
          </cell>
          <cell r="H561">
            <v>45</v>
          </cell>
          <cell r="I561">
            <v>30</v>
          </cell>
          <cell r="J561">
            <v>90</v>
          </cell>
          <cell r="K561">
            <v>15</v>
          </cell>
          <cell r="L561">
            <v>15</v>
          </cell>
          <cell r="M561">
            <v>30</v>
          </cell>
        </row>
        <row r="562">
          <cell r="B562" t="str">
            <v>MAXIMA Z</v>
          </cell>
          <cell r="D562" t="str">
            <v>BAJAJ RE</v>
          </cell>
          <cell r="E562" t="str">
            <v>C1AY1SP MAXIMA Z (YELLOW)</v>
          </cell>
          <cell r="F562" t="str">
            <v>TRI-WHEELED</v>
          </cell>
          <cell r="G562">
            <v>225800</v>
          </cell>
          <cell r="H562">
            <v>45</v>
          </cell>
          <cell r="I562">
            <v>30</v>
          </cell>
          <cell r="J562">
            <v>90</v>
          </cell>
          <cell r="K562">
            <v>15</v>
          </cell>
          <cell r="L562">
            <v>15</v>
          </cell>
          <cell r="M562">
            <v>30</v>
          </cell>
        </row>
        <row r="563">
          <cell r="B563" t="str">
            <v>BRUSKY125</v>
          </cell>
          <cell r="D563" t="str">
            <v>KAWASAKI</v>
          </cell>
          <cell r="E563" t="str">
            <v>SN125ZRFNN BRUSKY125 (BLU)</v>
          </cell>
          <cell r="F563" t="str">
            <v>SCOOTER</v>
          </cell>
          <cell r="G563">
            <v>72500</v>
          </cell>
          <cell r="H563">
            <v>45</v>
          </cell>
          <cell r="I563">
            <v>30</v>
          </cell>
          <cell r="J563">
            <v>90</v>
          </cell>
          <cell r="K563">
            <v>15</v>
          </cell>
          <cell r="L563">
            <v>15</v>
          </cell>
          <cell r="M563">
            <v>30</v>
          </cell>
        </row>
        <row r="564">
          <cell r="B564" t="str">
            <v>BRUSKY125</v>
          </cell>
          <cell r="D564" t="str">
            <v>KAWASAKI</v>
          </cell>
          <cell r="E564" t="str">
            <v>SN125ZRFNN BRUSKY125 (RED)</v>
          </cell>
          <cell r="F564" t="str">
            <v>SCOOTER</v>
          </cell>
          <cell r="G564">
            <v>72500</v>
          </cell>
          <cell r="H564">
            <v>45</v>
          </cell>
          <cell r="I564">
            <v>30</v>
          </cell>
          <cell r="J564">
            <v>90</v>
          </cell>
          <cell r="K564">
            <v>15</v>
          </cell>
          <cell r="L564">
            <v>15</v>
          </cell>
          <cell r="M564">
            <v>30</v>
          </cell>
        </row>
        <row r="565">
          <cell r="B565" t="str">
            <v>BRUSKY125</v>
          </cell>
          <cell r="D565" t="str">
            <v>KAWASAKI</v>
          </cell>
          <cell r="E565" t="str">
            <v>SN125ZRFNN BRUSKY125 (GLD)</v>
          </cell>
          <cell r="F565" t="str">
            <v>SCOOTER</v>
          </cell>
          <cell r="G565">
            <v>72500</v>
          </cell>
          <cell r="H565">
            <v>45</v>
          </cell>
          <cell r="I565">
            <v>30</v>
          </cell>
          <cell r="J565">
            <v>90</v>
          </cell>
          <cell r="K565">
            <v>15</v>
          </cell>
          <cell r="L565">
            <v>15</v>
          </cell>
          <cell r="M565">
            <v>30</v>
          </cell>
        </row>
        <row r="566">
          <cell r="B566" t="str">
            <v>BAJAJ RE 4S FI</v>
          </cell>
          <cell r="D566" t="str">
            <v>BAJAJ RE</v>
          </cell>
          <cell r="E566" t="str">
            <v>C1AU021S BAJAJ RE FL236 (WHITE)</v>
          </cell>
          <cell r="F566" t="str">
            <v>TRI-WHEELED</v>
          </cell>
          <cell r="G566">
            <v>191000</v>
          </cell>
          <cell r="H566">
            <v>45</v>
          </cell>
          <cell r="I566">
            <v>30</v>
          </cell>
          <cell r="J566">
            <v>90</v>
          </cell>
          <cell r="K566">
            <v>15</v>
          </cell>
          <cell r="L566">
            <v>15</v>
          </cell>
          <cell r="M566">
            <v>30</v>
          </cell>
        </row>
        <row r="567">
          <cell r="B567" t="str">
            <v>BAJAJ RE 4S FI</v>
          </cell>
          <cell r="D567" t="str">
            <v>BAJAJ RE</v>
          </cell>
          <cell r="E567" t="str">
            <v>C1AU021S BAJAJ RE FL236 (GREEN)</v>
          </cell>
          <cell r="F567" t="str">
            <v>TRI-WHEELED</v>
          </cell>
          <cell r="G567">
            <v>191000</v>
          </cell>
          <cell r="H567">
            <v>45</v>
          </cell>
          <cell r="I567">
            <v>30</v>
          </cell>
          <cell r="J567">
            <v>90</v>
          </cell>
          <cell r="K567">
            <v>15</v>
          </cell>
          <cell r="L567">
            <v>15</v>
          </cell>
          <cell r="M567">
            <v>30</v>
          </cell>
        </row>
        <row r="568">
          <cell r="B568" t="str">
            <v>BAJAJ RE 4S FI</v>
          </cell>
          <cell r="D568" t="str">
            <v>BAJAJ RE</v>
          </cell>
          <cell r="E568" t="str">
            <v>C1AU021S BAJAJ RE FL236 (YELLOW)</v>
          </cell>
          <cell r="F568" t="str">
            <v>TRI-WHEELED</v>
          </cell>
          <cell r="G568">
            <v>191000</v>
          </cell>
          <cell r="H568">
            <v>45</v>
          </cell>
          <cell r="I568">
            <v>30</v>
          </cell>
          <cell r="J568">
            <v>90</v>
          </cell>
          <cell r="K568">
            <v>15</v>
          </cell>
          <cell r="L568">
            <v>15</v>
          </cell>
          <cell r="M568">
            <v>30</v>
          </cell>
        </row>
        <row r="569">
          <cell r="B569" t="str">
            <v>BAJAJ RE 4S FI</v>
          </cell>
          <cell r="D569" t="str">
            <v>BAJAJ RE</v>
          </cell>
          <cell r="E569" t="str">
            <v>C1AU021S BAJAJ RE FL236 (BLUE)</v>
          </cell>
          <cell r="F569" t="str">
            <v>TRI-WHEELED</v>
          </cell>
          <cell r="G569">
            <v>191000</v>
          </cell>
          <cell r="H569">
            <v>45</v>
          </cell>
          <cell r="I569">
            <v>30</v>
          </cell>
          <cell r="J569">
            <v>90</v>
          </cell>
          <cell r="K569">
            <v>15</v>
          </cell>
          <cell r="L569">
            <v>15</v>
          </cell>
          <cell r="M569">
            <v>30</v>
          </cell>
        </row>
        <row r="570">
          <cell r="B570" t="str">
            <v>BAJAJ RE 4S FI</v>
          </cell>
          <cell r="D570" t="str">
            <v>BAJAJ RE</v>
          </cell>
          <cell r="E570" t="str">
            <v>C1AU021S BAJAJ RE FL236 (RED</v>
          </cell>
          <cell r="F570" t="str">
            <v>TRI-WHEELED</v>
          </cell>
          <cell r="G570">
            <v>191000</v>
          </cell>
          <cell r="H570">
            <v>45</v>
          </cell>
          <cell r="I570">
            <v>30</v>
          </cell>
          <cell r="J570">
            <v>90</v>
          </cell>
          <cell r="K570">
            <v>15</v>
          </cell>
          <cell r="L570">
            <v>15</v>
          </cell>
          <cell r="M570">
            <v>30</v>
          </cell>
        </row>
        <row r="571">
          <cell r="B571" t="str">
            <v>BARAKO II (KICK START)</v>
          </cell>
          <cell r="D571" t="str">
            <v>KAWASAKI</v>
          </cell>
          <cell r="E571" t="str">
            <v>BC175MSFNN BARAKO II KICK (GREY)</v>
          </cell>
          <cell r="F571" t="str">
            <v>BUSINESS</v>
          </cell>
          <cell r="G571">
            <v>91770</v>
          </cell>
          <cell r="H571">
            <v>45</v>
          </cell>
          <cell r="I571">
            <v>30</v>
          </cell>
          <cell r="J571">
            <v>90</v>
          </cell>
          <cell r="K571">
            <v>15</v>
          </cell>
          <cell r="L571">
            <v>15</v>
          </cell>
          <cell r="M571">
            <v>30</v>
          </cell>
        </row>
        <row r="572">
          <cell r="B572" t="str">
            <v>BARAKO II (DUAL START)</v>
          </cell>
          <cell r="D572" t="str">
            <v>KAWASAKI</v>
          </cell>
          <cell r="E572" t="str">
            <v>BC175NSFNN BARAKO II ELECTRIC (BLACK)</v>
          </cell>
          <cell r="F572" t="str">
            <v>BUSINESS</v>
          </cell>
          <cell r="G572">
            <v>95530</v>
          </cell>
          <cell r="H572">
            <v>45</v>
          </cell>
          <cell r="I572">
            <v>30</v>
          </cell>
          <cell r="J572">
            <v>90</v>
          </cell>
          <cell r="K572">
            <v>15</v>
          </cell>
          <cell r="L572">
            <v>15</v>
          </cell>
          <cell r="M572">
            <v>30</v>
          </cell>
        </row>
        <row r="573">
          <cell r="B573" t="str">
            <v>GIORNO</v>
          </cell>
          <cell r="D573" t="str">
            <v>HONDA</v>
          </cell>
          <cell r="E573" t="str">
            <v>ACF125CBS-JW GIORNO (WHITE)</v>
          </cell>
          <cell r="F573" t="str">
            <v>SCOOTER</v>
          </cell>
          <cell r="G573">
            <v>101230</v>
          </cell>
          <cell r="H573">
            <v>45</v>
          </cell>
          <cell r="I573">
            <v>30</v>
          </cell>
          <cell r="J573">
            <v>90</v>
          </cell>
          <cell r="K573">
            <v>15</v>
          </cell>
          <cell r="L573">
            <v>15</v>
          </cell>
          <cell r="M573">
            <v>30</v>
          </cell>
        </row>
        <row r="574">
          <cell r="B574" t="str">
            <v>GIORNO</v>
          </cell>
          <cell r="D574" t="str">
            <v>HONDA</v>
          </cell>
          <cell r="E574" t="str">
            <v>ACF125CBS-VB GIORNO (BEIGE)</v>
          </cell>
          <cell r="F574" t="str">
            <v>SCOOTER</v>
          </cell>
          <cell r="G574">
            <v>101230</v>
          </cell>
          <cell r="H574">
            <v>45</v>
          </cell>
          <cell r="I574">
            <v>30</v>
          </cell>
          <cell r="J574">
            <v>90</v>
          </cell>
          <cell r="K574">
            <v>15</v>
          </cell>
          <cell r="L574">
            <v>15</v>
          </cell>
          <cell r="M574">
            <v>30</v>
          </cell>
        </row>
        <row r="575">
          <cell r="B575" t="str">
            <v>GIORNO</v>
          </cell>
          <cell r="D575" t="str">
            <v>HONDA</v>
          </cell>
          <cell r="E575" t="str">
            <v>ACF125CBS-PO GIORNO (ORANGE)</v>
          </cell>
          <cell r="F575" t="str">
            <v>SCOOTER</v>
          </cell>
          <cell r="G575">
            <v>101230</v>
          </cell>
          <cell r="H575">
            <v>45</v>
          </cell>
          <cell r="I575">
            <v>30</v>
          </cell>
          <cell r="J575">
            <v>90</v>
          </cell>
          <cell r="K575">
            <v>15</v>
          </cell>
          <cell r="L575">
            <v>15</v>
          </cell>
          <cell r="M575">
            <v>30</v>
          </cell>
        </row>
        <row r="576">
          <cell r="B576" t="str">
            <v>GIORNO</v>
          </cell>
          <cell r="D576" t="str">
            <v>HONDA</v>
          </cell>
          <cell r="E576" t="str">
            <v>ACF125CBS-BM GIORNO (BLACK)</v>
          </cell>
          <cell r="F576" t="str">
            <v>SCOOTER</v>
          </cell>
          <cell r="G576">
            <v>101230</v>
          </cell>
          <cell r="H576">
            <v>45</v>
          </cell>
          <cell r="I576">
            <v>30</v>
          </cell>
          <cell r="J576">
            <v>90</v>
          </cell>
          <cell r="K576">
            <v>15</v>
          </cell>
          <cell r="L576">
            <v>15</v>
          </cell>
          <cell r="M576">
            <v>30</v>
          </cell>
        </row>
        <row r="577">
          <cell r="B577" t="str">
            <v>NMAX155 FI ABS</v>
          </cell>
          <cell r="D577" t="str">
            <v>YAMAHA</v>
          </cell>
          <cell r="E577" t="str">
            <v>NMAX  BUA1 (BLACK)</v>
          </cell>
          <cell r="F577" t="str">
            <v>SCOOTER</v>
          </cell>
          <cell r="G577">
            <v>147312</v>
          </cell>
          <cell r="H577">
            <v>45</v>
          </cell>
          <cell r="I577">
            <v>30</v>
          </cell>
          <cell r="J577">
            <v>90</v>
          </cell>
          <cell r="K577">
            <v>15</v>
          </cell>
          <cell r="L577">
            <v>15</v>
          </cell>
          <cell r="M577">
            <v>30</v>
          </cell>
        </row>
        <row r="578">
          <cell r="B578" t="str">
            <v>NMAX155 FI ABS</v>
          </cell>
          <cell r="D578" t="str">
            <v>YAMAHA</v>
          </cell>
          <cell r="E578" t="str">
            <v>NMAX  BUA1 (LIGHT GRAY)</v>
          </cell>
          <cell r="F578" t="str">
            <v>SCOOTER</v>
          </cell>
          <cell r="G578">
            <v>147312</v>
          </cell>
          <cell r="H578">
            <v>45</v>
          </cell>
          <cell r="I578">
            <v>30</v>
          </cell>
          <cell r="J578">
            <v>90</v>
          </cell>
          <cell r="K578">
            <v>15</v>
          </cell>
          <cell r="L578">
            <v>15</v>
          </cell>
          <cell r="M578">
            <v>30</v>
          </cell>
        </row>
        <row r="579">
          <cell r="B579" t="str">
            <v>NMAX155 TECHMAX</v>
          </cell>
          <cell r="D579" t="str">
            <v>YAMAHA</v>
          </cell>
          <cell r="E579" t="str">
            <v>NMAX TECH MAX BTU1 (BLACK)</v>
          </cell>
          <cell r="F579" t="str">
            <v>SCOOTER</v>
          </cell>
          <cell r="G579">
            <v>165912</v>
          </cell>
          <cell r="H579">
            <v>45</v>
          </cell>
          <cell r="I579">
            <v>30</v>
          </cell>
          <cell r="J579">
            <v>90</v>
          </cell>
          <cell r="K579">
            <v>15</v>
          </cell>
          <cell r="L579">
            <v>15</v>
          </cell>
          <cell r="M579">
            <v>30</v>
          </cell>
        </row>
        <row r="580">
          <cell r="B580" t="str">
            <v>NMAX155 TECHMAX</v>
          </cell>
          <cell r="D580" t="str">
            <v>YAMAHA</v>
          </cell>
          <cell r="E580" t="str">
            <v>NMAX TECH MAX BTU1 (MATTE DARK RED/BLACK)</v>
          </cell>
          <cell r="F580" t="str">
            <v>SCOOTER</v>
          </cell>
          <cell r="G580">
            <v>165912</v>
          </cell>
          <cell r="H580">
            <v>45</v>
          </cell>
          <cell r="I580">
            <v>30</v>
          </cell>
          <cell r="J580">
            <v>90</v>
          </cell>
          <cell r="K580">
            <v>15</v>
          </cell>
          <cell r="L580">
            <v>15</v>
          </cell>
          <cell r="M580">
            <v>30</v>
          </cell>
        </row>
        <row r="581">
          <cell r="B581" t="str">
            <v>XTZ125</v>
          </cell>
          <cell r="D581" t="str">
            <v>YAMAHA</v>
          </cell>
          <cell r="E581" t="str">
            <v>XTZ125 2MC7 (BLUE)</v>
          </cell>
          <cell r="F581" t="str">
            <v>SPORTS TYPE</v>
          </cell>
          <cell r="G581">
            <v>85446</v>
          </cell>
          <cell r="H581">
            <v>45</v>
          </cell>
          <cell r="I581">
            <v>30</v>
          </cell>
          <cell r="J581">
            <v>90</v>
          </cell>
          <cell r="K581">
            <v>15</v>
          </cell>
          <cell r="L581">
            <v>15</v>
          </cell>
          <cell r="M581">
            <v>30</v>
          </cell>
        </row>
        <row r="582">
          <cell r="B582" t="str">
            <v>XTZ125</v>
          </cell>
          <cell r="D582" t="str">
            <v>YAMAHA</v>
          </cell>
          <cell r="E582" t="str">
            <v>XTZ125 2MC7 (BLACK)</v>
          </cell>
          <cell r="F582" t="str">
            <v>SPORTS TYPE</v>
          </cell>
          <cell r="G582">
            <v>85446</v>
          </cell>
          <cell r="H582">
            <v>45</v>
          </cell>
          <cell r="I582">
            <v>30</v>
          </cell>
          <cell r="J582">
            <v>90</v>
          </cell>
          <cell r="K582">
            <v>15</v>
          </cell>
          <cell r="L582">
            <v>15</v>
          </cell>
          <cell r="M582">
            <v>30</v>
          </cell>
        </row>
        <row r="583">
          <cell r="B583" t="str">
            <v>KLX150</v>
          </cell>
          <cell r="D583" t="str">
            <v>KAWASAKI</v>
          </cell>
          <cell r="E583" t="str">
            <v>KLX150KSBAN KLX150 (GRAY)</v>
          </cell>
          <cell r="F583" t="str">
            <v>SPORTS TYPE</v>
          </cell>
          <cell r="G583">
            <v>131626</v>
          </cell>
          <cell r="H583">
            <v>45</v>
          </cell>
          <cell r="I583">
            <v>30</v>
          </cell>
          <cell r="J583">
            <v>90</v>
          </cell>
          <cell r="K583">
            <v>15</v>
          </cell>
          <cell r="L583">
            <v>15</v>
          </cell>
          <cell r="M583">
            <v>30</v>
          </cell>
        </row>
        <row r="584">
          <cell r="B584" t="str">
            <v>MIO GRAVIS</v>
          </cell>
          <cell r="D584" t="str">
            <v>YAMAHA</v>
          </cell>
          <cell r="E584" t="str">
            <v>MIO GRAVIS BKV2 (MATTE GREEN)</v>
          </cell>
          <cell r="F584" t="str">
            <v>SCOOTER</v>
          </cell>
          <cell r="G584">
            <v>78957</v>
          </cell>
          <cell r="H584">
            <v>45</v>
          </cell>
          <cell r="I584">
            <v>30</v>
          </cell>
          <cell r="J584">
            <v>90</v>
          </cell>
          <cell r="K584">
            <v>15</v>
          </cell>
          <cell r="L584">
            <v>15</v>
          </cell>
          <cell r="M584">
            <v>30</v>
          </cell>
        </row>
        <row r="585">
          <cell r="B585" t="str">
            <v>SMASH(SPOKE)</v>
          </cell>
          <cell r="D585" t="str">
            <v>SUZUKI</v>
          </cell>
          <cell r="E585" t="str">
            <v>FW110D SMASH (E1RED)</v>
          </cell>
          <cell r="F585" t="str">
            <v>UNDERBONE</v>
          </cell>
          <cell r="G585">
            <v>62692</v>
          </cell>
          <cell r="H585">
            <v>45</v>
          </cell>
          <cell r="I585">
            <v>30</v>
          </cell>
          <cell r="J585">
            <v>90</v>
          </cell>
          <cell r="K585">
            <v>15</v>
          </cell>
          <cell r="L585">
            <v>15</v>
          </cell>
          <cell r="M585">
            <v>30</v>
          </cell>
        </row>
        <row r="586">
          <cell r="B586" t="str">
            <v>MIO GRAVIS</v>
          </cell>
          <cell r="D586" t="str">
            <v>YAMAHA</v>
          </cell>
          <cell r="E586" t="str">
            <v>MIO GRAVIS BKV3 (MATTE BROWN)</v>
          </cell>
          <cell r="F586" t="str">
            <v>SCOOTER</v>
          </cell>
          <cell r="G586">
            <v>78957</v>
          </cell>
          <cell r="H586">
            <v>45</v>
          </cell>
          <cell r="I586">
            <v>30</v>
          </cell>
          <cell r="J586">
            <v>90</v>
          </cell>
          <cell r="K586">
            <v>15</v>
          </cell>
          <cell r="L586">
            <v>15</v>
          </cell>
          <cell r="M586">
            <v>30</v>
          </cell>
        </row>
        <row r="587">
          <cell r="B587" t="str">
            <v>MIO GRAVIS</v>
          </cell>
          <cell r="D587" t="str">
            <v>YAMAHA</v>
          </cell>
          <cell r="E587" t="str">
            <v>MIO GRAVIS BKV3 (DARK GRAY)</v>
          </cell>
          <cell r="F587" t="str">
            <v>SCOOTER</v>
          </cell>
          <cell r="G587">
            <v>78957</v>
          </cell>
          <cell r="H587">
            <v>45</v>
          </cell>
          <cell r="I587">
            <v>30</v>
          </cell>
          <cell r="J587">
            <v>90</v>
          </cell>
          <cell r="K587">
            <v>15</v>
          </cell>
          <cell r="L587">
            <v>15</v>
          </cell>
          <cell r="M587">
            <v>30</v>
          </cell>
        </row>
        <row r="588">
          <cell r="B588" t="str">
            <v>XMAX 300</v>
          </cell>
          <cell r="D588" t="str">
            <v>YAMAHA</v>
          </cell>
          <cell r="E588" t="str">
            <v>XMAX BSS6 (MATTE DARK GRAY/BLACK)</v>
          </cell>
          <cell r="F588" t="str">
            <v>SCOOTER</v>
          </cell>
          <cell r="G588">
            <v>289230</v>
          </cell>
          <cell r="H588">
            <v>45</v>
          </cell>
          <cell r="I588">
            <v>30</v>
          </cell>
          <cell r="J588">
            <v>90</v>
          </cell>
          <cell r="K588">
            <v>15</v>
          </cell>
          <cell r="L588">
            <v>15</v>
          </cell>
          <cell r="M588">
            <v>30</v>
          </cell>
        </row>
        <row r="589">
          <cell r="B589" t="str">
            <v>XMAX 300</v>
          </cell>
          <cell r="D589" t="str">
            <v>YAMAHA</v>
          </cell>
          <cell r="E589" t="str">
            <v>XMAX BSS6 (GRAY/BLACK)</v>
          </cell>
          <cell r="F589" t="str">
            <v>SCOOTER</v>
          </cell>
          <cell r="G589">
            <v>289230</v>
          </cell>
          <cell r="H589">
            <v>45</v>
          </cell>
          <cell r="I589">
            <v>30</v>
          </cell>
          <cell r="J589">
            <v>90</v>
          </cell>
          <cell r="K589">
            <v>15</v>
          </cell>
          <cell r="L589">
            <v>15</v>
          </cell>
          <cell r="M589">
            <v>30</v>
          </cell>
        </row>
        <row r="590">
          <cell r="B590" t="str">
            <v>SMASH(SPOKE)</v>
          </cell>
          <cell r="D590" t="str">
            <v>SUZUKI</v>
          </cell>
          <cell r="E590" t="str">
            <v>FW110D SMASH (E1GRAY)</v>
          </cell>
          <cell r="F590" t="str">
            <v>UNDERBONE</v>
          </cell>
          <cell r="G590">
            <v>62692</v>
          </cell>
          <cell r="H590">
            <v>45</v>
          </cell>
          <cell r="I590">
            <v>30</v>
          </cell>
          <cell r="J590">
            <v>90</v>
          </cell>
          <cell r="K590">
            <v>15</v>
          </cell>
          <cell r="L590">
            <v>15</v>
          </cell>
          <cell r="M590">
            <v>30</v>
          </cell>
        </row>
        <row r="591">
          <cell r="B591" t="str">
            <v>SMASH(SPOKE)</v>
          </cell>
          <cell r="D591" t="str">
            <v>SUZUKI</v>
          </cell>
          <cell r="E591" t="str">
            <v>FW110D SMASH (E1BLACK)</v>
          </cell>
          <cell r="F591" t="str">
            <v>UNDERBONE</v>
          </cell>
          <cell r="G591">
            <v>62692</v>
          </cell>
          <cell r="H591">
            <v>45</v>
          </cell>
          <cell r="I591">
            <v>30</v>
          </cell>
          <cell r="J591">
            <v>90</v>
          </cell>
          <cell r="K591">
            <v>15</v>
          </cell>
          <cell r="L591">
            <v>15</v>
          </cell>
          <cell r="M591">
            <v>30</v>
          </cell>
        </row>
        <row r="592">
          <cell r="B592" t="str">
            <v>SMASH(SPOKE)</v>
          </cell>
          <cell r="D592" t="str">
            <v>SUZUKI</v>
          </cell>
          <cell r="E592" t="str">
            <v>FW110D SMASH (E1GRYGRN)</v>
          </cell>
          <cell r="F592" t="str">
            <v>UNDERBONE</v>
          </cell>
          <cell r="G592">
            <v>62692</v>
          </cell>
          <cell r="H592">
            <v>45</v>
          </cell>
          <cell r="I592">
            <v>30</v>
          </cell>
          <cell r="J592">
            <v>90</v>
          </cell>
          <cell r="K592">
            <v>15</v>
          </cell>
          <cell r="L592">
            <v>15</v>
          </cell>
          <cell r="M592">
            <v>30</v>
          </cell>
        </row>
        <row r="593">
          <cell r="B593" t="str">
            <v>GIXXER 155</v>
          </cell>
          <cell r="D593" t="str">
            <v>SUZUKI</v>
          </cell>
          <cell r="E593" t="str">
            <v>GSX150RF-8BLACK</v>
          </cell>
          <cell r="F593" t="str">
            <v>BACKBONE</v>
          </cell>
          <cell r="G593">
            <v>101752</v>
          </cell>
          <cell r="H593">
            <v>45</v>
          </cell>
          <cell r="I593">
            <v>30</v>
          </cell>
          <cell r="J593">
            <v>90</v>
          </cell>
          <cell r="K593">
            <v>15</v>
          </cell>
          <cell r="L593">
            <v>15</v>
          </cell>
          <cell r="M593">
            <v>30</v>
          </cell>
        </row>
        <row r="594">
          <cell r="B594" t="str">
            <v>GIXXER 155</v>
          </cell>
          <cell r="D594" t="str">
            <v>SUZUKI</v>
          </cell>
          <cell r="E594" t="str">
            <v>GSX150RF-8GRAY</v>
          </cell>
          <cell r="F594" t="str">
            <v>BACKBONE</v>
          </cell>
          <cell r="G594">
            <v>101752</v>
          </cell>
          <cell r="H594">
            <v>45</v>
          </cell>
          <cell r="I594">
            <v>30</v>
          </cell>
          <cell r="J594">
            <v>90</v>
          </cell>
          <cell r="K594">
            <v>15</v>
          </cell>
          <cell r="L594">
            <v>15</v>
          </cell>
          <cell r="M594">
            <v>30</v>
          </cell>
        </row>
        <row r="595">
          <cell r="B595" t="str">
            <v>CLICK125 FI</v>
          </cell>
          <cell r="D595" t="str">
            <v>HONDA</v>
          </cell>
          <cell r="E595" t="str">
            <v>ACB125CBFTII-OB CLICK125 (BLACK/GRAY)</v>
          </cell>
          <cell r="F595" t="str">
            <v>SCOOTER</v>
          </cell>
          <cell r="G595">
            <v>80070</v>
          </cell>
          <cell r="H595">
            <v>45</v>
          </cell>
          <cell r="I595">
            <v>30</v>
          </cell>
          <cell r="J595">
            <v>90</v>
          </cell>
          <cell r="K595">
            <v>15</v>
          </cell>
          <cell r="L595">
            <v>15</v>
          </cell>
          <cell r="M595">
            <v>30</v>
          </cell>
        </row>
        <row r="596">
          <cell r="B596" t="str">
            <v>CLICK125 FI</v>
          </cell>
          <cell r="D596" t="str">
            <v>HONDA</v>
          </cell>
          <cell r="E596" t="str">
            <v>ACB125CBFTII-PW CLICK125 (WHITE/BLACK)</v>
          </cell>
          <cell r="F596" t="str">
            <v>SCOOTER</v>
          </cell>
          <cell r="G596">
            <v>80070</v>
          </cell>
          <cell r="H596">
            <v>45</v>
          </cell>
          <cell r="I596">
            <v>30</v>
          </cell>
          <cell r="J596">
            <v>90</v>
          </cell>
          <cell r="K596">
            <v>15</v>
          </cell>
          <cell r="L596">
            <v>15</v>
          </cell>
          <cell r="M596">
            <v>30</v>
          </cell>
        </row>
        <row r="597">
          <cell r="B597" t="str">
            <v>CLICK125 FI</v>
          </cell>
          <cell r="D597" t="str">
            <v>HONDA</v>
          </cell>
          <cell r="E597" t="str">
            <v>ACB125CBFTII-PG CLICK125 (GRAY/BLACK)</v>
          </cell>
          <cell r="F597" t="str">
            <v>SCOOTER</v>
          </cell>
          <cell r="G597">
            <v>80070</v>
          </cell>
          <cell r="H597">
            <v>45</v>
          </cell>
          <cell r="I597">
            <v>30</v>
          </cell>
          <cell r="J597">
            <v>90</v>
          </cell>
          <cell r="K597">
            <v>15</v>
          </cell>
          <cell r="L597">
            <v>15</v>
          </cell>
          <cell r="M597">
            <v>30</v>
          </cell>
        </row>
        <row r="598">
          <cell r="B598" t="str">
            <v>CLICK125 FI</v>
          </cell>
          <cell r="D598" t="str">
            <v>HONDA</v>
          </cell>
          <cell r="E598" t="str">
            <v>ACB125CBFTII-SB CLICK125 (BLUE/GRAY)</v>
          </cell>
          <cell r="F598" t="str">
            <v>SCOOTER</v>
          </cell>
          <cell r="G598">
            <v>80070</v>
          </cell>
          <cell r="H598">
            <v>45</v>
          </cell>
          <cell r="I598">
            <v>30</v>
          </cell>
          <cell r="J598">
            <v>90</v>
          </cell>
          <cell r="K598">
            <v>15</v>
          </cell>
          <cell r="L598">
            <v>15</v>
          </cell>
          <cell r="M598">
            <v>30</v>
          </cell>
        </row>
        <row r="599">
          <cell r="B599" t="str">
            <v>CLICK125 FI SE</v>
          </cell>
          <cell r="D599" t="str">
            <v>HONDA</v>
          </cell>
          <cell r="E599" t="str">
            <v>ACB125CBFTIV-OB CLICK125 ES (BLACK)</v>
          </cell>
          <cell r="F599" t="str">
            <v>SCOOTER</v>
          </cell>
          <cell r="G599">
            <v>84394</v>
          </cell>
          <cell r="H599">
            <v>45</v>
          </cell>
          <cell r="I599">
            <v>30</v>
          </cell>
          <cell r="J599">
            <v>90</v>
          </cell>
          <cell r="K599">
            <v>15</v>
          </cell>
          <cell r="L599">
            <v>15</v>
          </cell>
          <cell r="M599">
            <v>30</v>
          </cell>
        </row>
        <row r="600">
          <cell r="B600" t="str">
            <v>CLICK125 FI SE</v>
          </cell>
          <cell r="D600" t="str">
            <v>HONDA</v>
          </cell>
          <cell r="E600" t="str">
            <v>ACB125CBFTIV-PW CLICK125 ES (WHITE)</v>
          </cell>
          <cell r="F600" t="str">
            <v>SCOOTER</v>
          </cell>
          <cell r="G600">
            <v>84394</v>
          </cell>
          <cell r="H600">
            <v>45</v>
          </cell>
          <cell r="I600">
            <v>30</v>
          </cell>
          <cell r="J600">
            <v>90</v>
          </cell>
          <cell r="K600">
            <v>15</v>
          </cell>
          <cell r="L600">
            <v>15</v>
          </cell>
          <cell r="M600">
            <v>30</v>
          </cell>
        </row>
        <row r="601">
          <cell r="B601" t="str">
            <v>CLICK125 FI SE</v>
          </cell>
          <cell r="D601" t="str">
            <v>HONDA</v>
          </cell>
          <cell r="E601" t="str">
            <v>ACB125CBFTIV-CR CLICK125 ES (RED)</v>
          </cell>
          <cell r="F601" t="str">
            <v>SCOOTER</v>
          </cell>
          <cell r="G601">
            <v>84394</v>
          </cell>
          <cell r="H601">
            <v>45</v>
          </cell>
          <cell r="I601">
            <v>30</v>
          </cell>
          <cell r="J601">
            <v>90</v>
          </cell>
          <cell r="K601">
            <v>15</v>
          </cell>
          <cell r="L601">
            <v>15</v>
          </cell>
          <cell r="M601">
            <v>30</v>
          </cell>
        </row>
        <row r="602">
          <cell r="B602" t="str">
            <v>SMASH(SPOKE)</v>
          </cell>
          <cell r="D602" t="str">
            <v>SUZUKI</v>
          </cell>
          <cell r="E602" t="str">
            <v>FW110D SMASH (E1BLUEIV)</v>
          </cell>
          <cell r="F602" t="str">
            <v>UNDERBONE</v>
          </cell>
          <cell r="G602">
            <v>62692</v>
          </cell>
          <cell r="H602">
            <v>45</v>
          </cell>
          <cell r="I602">
            <v>30</v>
          </cell>
          <cell r="J602">
            <v>90</v>
          </cell>
          <cell r="K602">
            <v>15</v>
          </cell>
          <cell r="L602">
            <v>15</v>
          </cell>
          <cell r="M602">
            <v>30</v>
          </cell>
        </row>
        <row r="603">
          <cell r="B603" t="str">
            <v>SMASH(MAGS)</v>
          </cell>
          <cell r="D603" t="str">
            <v>SUZUKI</v>
          </cell>
          <cell r="E603" t="str">
            <v>FW110SC-EBLACK</v>
          </cell>
          <cell r="F603" t="str">
            <v>UNDERBONE</v>
          </cell>
          <cell r="G603">
            <v>67342</v>
          </cell>
          <cell r="H603">
            <v>45</v>
          </cell>
          <cell r="I603">
            <v>30</v>
          </cell>
          <cell r="J603">
            <v>90</v>
          </cell>
          <cell r="K603">
            <v>15</v>
          </cell>
          <cell r="L603">
            <v>15</v>
          </cell>
          <cell r="M603">
            <v>30</v>
          </cell>
        </row>
        <row r="604">
          <cell r="B604" t="str">
            <v>CRF300</v>
          </cell>
          <cell r="D604" t="str">
            <v>HONDA</v>
          </cell>
          <cell r="E604" t="str">
            <v>CRF300LS CRF300L (RED)</v>
          </cell>
          <cell r="F604" t="str">
            <v>SPORTS TYPE</v>
          </cell>
          <cell r="G604">
            <v>254870</v>
          </cell>
          <cell r="H604">
            <v>45</v>
          </cell>
          <cell r="I604">
            <v>30</v>
          </cell>
          <cell r="J604">
            <v>90</v>
          </cell>
          <cell r="K604">
            <v>15</v>
          </cell>
          <cell r="L604">
            <v>15</v>
          </cell>
          <cell r="M604">
            <v>30</v>
          </cell>
        </row>
        <row r="605">
          <cell r="B605" t="str">
            <v>CRF300 RALLY</v>
          </cell>
          <cell r="D605" t="str">
            <v>HONDA</v>
          </cell>
          <cell r="E605" t="str">
            <v>CRF300LRS CRF300 RALLY (RED/BLUE)</v>
          </cell>
          <cell r="F605" t="str">
            <v>SPORTS TYPE</v>
          </cell>
          <cell r="G605">
            <v>288118</v>
          </cell>
          <cell r="H605">
            <v>45</v>
          </cell>
          <cell r="I605">
            <v>30</v>
          </cell>
          <cell r="J605">
            <v>90</v>
          </cell>
          <cell r="K605">
            <v>15</v>
          </cell>
          <cell r="L605">
            <v>15</v>
          </cell>
          <cell r="M605">
            <v>30</v>
          </cell>
        </row>
        <row r="606">
          <cell r="B606" t="str">
            <v>XR150</v>
          </cell>
          <cell r="D606" t="str">
            <v>HONDA</v>
          </cell>
          <cell r="E606" t="str">
            <v>XR150LEKS-BK (BLACK)</v>
          </cell>
          <cell r="F606" t="str">
            <v>SPORTS TYPE</v>
          </cell>
          <cell r="G606">
            <v>94330</v>
          </cell>
          <cell r="H606">
            <v>45</v>
          </cell>
          <cell r="I606">
            <v>30</v>
          </cell>
          <cell r="J606">
            <v>90</v>
          </cell>
          <cell r="K606">
            <v>15</v>
          </cell>
          <cell r="L606">
            <v>15</v>
          </cell>
          <cell r="M606">
            <v>30</v>
          </cell>
        </row>
        <row r="607">
          <cell r="B607" t="str">
            <v>XR150</v>
          </cell>
          <cell r="D607" t="str">
            <v>HONDA</v>
          </cell>
          <cell r="E607" t="str">
            <v>XR150LEKS-RHW (WHITE)</v>
          </cell>
          <cell r="F607" t="str">
            <v>SPORTS TYPE</v>
          </cell>
          <cell r="G607">
            <v>94330</v>
          </cell>
          <cell r="H607">
            <v>45</v>
          </cell>
          <cell r="I607">
            <v>30</v>
          </cell>
          <cell r="J607">
            <v>90</v>
          </cell>
          <cell r="K607">
            <v>15</v>
          </cell>
          <cell r="L607">
            <v>15</v>
          </cell>
          <cell r="M607">
            <v>30</v>
          </cell>
        </row>
        <row r="608">
          <cell r="B608" t="str">
            <v>PCX160 ROADSYNC</v>
          </cell>
          <cell r="D608" t="str">
            <v>HONDA</v>
          </cell>
          <cell r="E608" t="str">
            <v>WW160SS-BM PCX160 ROADSYNC (BLACK)</v>
          </cell>
          <cell r="F608" t="str">
            <v>SCOOTER</v>
          </cell>
          <cell r="G608">
            <v>147230</v>
          </cell>
          <cell r="H608">
            <v>45</v>
          </cell>
          <cell r="I608">
            <v>30</v>
          </cell>
          <cell r="J608">
            <v>90</v>
          </cell>
          <cell r="K608">
            <v>15</v>
          </cell>
          <cell r="L608">
            <v>15</v>
          </cell>
          <cell r="M608">
            <v>30</v>
          </cell>
        </row>
        <row r="609">
          <cell r="B609" t="str">
            <v>PCX160 ROADSYNC</v>
          </cell>
          <cell r="D609" t="str">
            <v>HONDA</v>
          </cell>
          <cell r="E609" t="str">
            <v>WW160SS-FW PCX160 ROADSYNC (WHITE)</v>
          </cell>
          <cell r="F609" t="str">
            <v>SCOOTER</v>
          </cell>
          <cell r="G609">
            <v>147230</v>
          </cell>
          <cell r="H609">
            <v>45</v>
          </cell>
          <cell r="I609">
            <v>30</v>
          </cell>
          <cell r="J609">
            <v>90</v>
          </cell>
          <cell r="K609">
            <v>15</v>
          </cell>
          <cell r="L609">
            <v>15</v>
          </cell>
          <cell r="M609">
            <v>30</v>
          </cell>
        </row>
        <row r="610">
          <cell r="B610" t="str">
            <v>PCX160 STANDARD</v>
          </cell>
          <cell r="D610" t="str">
            <v>HONDA</v>
          </cell>
          <cell r="E610" t="str">
            <v>WW160S-VM PCX160 STANDARD (RED)</v>
          </cell>
          <cell r="F610" t="str">
            <v>SCOOTER</v>
          </cell>
          <cell r="G610">
            <v>126990</v>
          </cell>
          <cell r="H610">
            <v>45</v>
          </cell>
          <cell r="I610">
            <v>30</v>
          </cell>
          <cell r="J610">
            <v>90</v>
          </cell>
          <cell r="K610">
            <v>15</v>
          </cell>
          <cell r="L610">
            <v>15</v>
          </cell>
          <cell r="M610">
            <v>30</v>
          </cell>
        </row>
        <row r="611">
          <cell r="B611" t="str">
            <v>PCX160 STANDARD</v>
          </cell>
          <cell r="D611" t="str">
            <v>HONDA</v>
          </cell>
          <cell r="E611" t="str">
            <v>WW160S-MBS PCX160 STANDARD (SILVER)</v>
          </cell>
          <cell r="F611" t="str">
            <v>SCOOTER</v>
          </cell>
          <cell r="G611">
            <v>126990</v>
          </cell>
          <cell r="H611">
            <v>45</v>
          </cell>
          <cell r="I611">
            <v>30</v>
          </cell>
          <cell r="J611">
            <v>90</v>
          </cell>
          <cell r="K611">
            <v>15</v>
          </cell>
          <cell r="L611">
            <v>15</v>
          </cell>
          <cell r="M611">
            <v>30</v>
          </cell>
        </row>
        <row r="612">
          <cell r="B612" t="str">
            <v>PCX160 STANDARD</v>
          </cell>
          <cell r="D612" t="str">
            <v>HONDA</v>
          </cell>
          <cell r="E612" t="str">
            <v>WW160S-FW PCX160 STANDARD (WHITE)</v>
          </cell>
          <cell r="F612" t="str">
            <v>SCOOTER</v>
          </cell>
          <cell r="G612">
            <v>126990</v>
          </cell>
          <cell r="H612">
            <v>45</v>
          </cell>
          <cell r="I612">
            <v>30</v>
          </cell>
          <cell r="J612">
            <v>90</v>
          </cell>
          <cell r="K612">
            <v>15</v>
          </cell>
          <cell r="L612">
            <v>15</v>
          </cell>
          <cell r="M612">
            <v>30</v>
          </cell>
        </row>
        <row r="613">
          <cell r="B613" t="str">
            <v>FAZZIO</v>
          </cell>
          <cell r="D613" t="str">
            <v>YAMAHA</v>
          </cell>
          <cell r="E613" t="str">
            <v>MIO FAZZIO BRV4 (YELLOWISH WHITE)</v>
          </cell>
          <cell r="F613" t="str">
            <v>SCOOTER</v>
          </cell>
          <cell r="G613">
            <v>86397</v>
          </cell>
          <cell r="H613">
            <v>45</v>
          </cell>
          <cell r="I613">
            <v>30</v>
          </cell>
          <cell r="J613">
            <v>90</v>
          </cell>
          <cell r="K613">
            <v>15</v>
          </cell>
          <cell r="L613">
            <v>15</v>
          </cell>
          <cell r="M613">
            <v>30</v>
          </cell>
        </row>
        <row r="614">
          <cell r="B614" t="str">
            <v>NAVI</v>
          </cell>
          <cell r="D614" t="str">
            <v>HONDA</v>
          </cell>
          <cell r="E614" t="str">
            <v>NVA110BTII-BK</v>
          </cell>
          <cell r="F614" t="str">
            <v>SCOOTER</v>
          </cell>
          <cell r="G614">
            <v>57990</v>
          </cell>
          <cell r="H614">
            <v>45</v>
          </cell>
          <cell r="I614">
            <v>30</v>
          </cell>
          <cell r="J614">
            <v>90</v>
          </cell>
          <cell r="K614">
            <v>15</v>
          </cell>
          <cell r="L614">
            <v>15</v>
          </cell>
          <cell r="M614">
            <v>30</v>
          </cell>
        </row>
        <row r="615">
          <cell r="B615" t="str">
            <v>NAVI</v>
          </cell>
          <cell r="D615" t="str">
            <v>HONDA</v>
          </cell>
          <cell r="E615" t="str">
            <v>NVA110BTII-PR</v>
          </cell>
          <cell r="F615" t="str">
            <v>SCOOTER</v>
          </cell>
          <cell r="G615">
            <v>57990</v>
          </cell>
          <cell r="H615">
            <v>45</v>
          </cell>
          <cell r="I615">
            <v>30</v>
          </cell>
          <cell r="J615">
            <v>90</v>
          </cell>
          <cell r="K615">
            <v>15</v>
          </cell>
          <cell r="L615">
            <v>15</v>
          </cell>
          <cell r="M615">
            <v>30</v>
          </cell>
        </row>
        <row r="616">
          <cell r="B616" t="str">
            <v>NAVI</v>
          </cell>
          <cell r="D616" t="str">
            <v>HONDA</v>
          </cell>
          <cell r="E616" t="str">
            <v>NVA110BTII-RG</v>
          </cell>
          <cell r="F616" t="str">
            <v>SCOOTER</v>
          </cell>
          <cell r="G616">
            <v>57990</v>
          </cell>
          <cell r="H616">
            <v>45</v>
          </cell>
          <cell r="I616">
            <v>30</v>
          </cell>
          <cell r="J616">
            <v>90</v>
          </cell>
          <cell r="K616">
            <v>15</v>
          </cell>
          <cell r="L616">
            <v>15</v>
          </cell>
          <cell r="M616">
            <v>30</v>
          </cell>
        </row>
        <row r="617">
          <cell r="B617" t="str">
            <v>NAVI</v>
          </cell>
          <cell r="D617" t="str">
            <v>HONDA</v>
          </cell>
          <cell r="E617" t="str">
            <v>NVA110BTII-SW</v>
          </cell>
          <cell r="F617" t="str">
            <v>SCOOTER</v>
          </cell>
          <cell r="G617">
            <v>57990</v>
          </cell>
          <cell r="H617">
            <v>45</v>
          </cell>
          <cell r="I617">
            <v>30</v>
          </cell>
          <cell r="J617">
            <v>90</v>
          </cell>
          <cell r="K617">
            <v>15</v>
          </cell>
          <cell r="L617">
            <v>15</v>
          </cell>
          <cell r="M617">
            <v>30</v>
          </cell>
        </row>
        <row r="618">
          <cell r="B618" t="str">
            <v>KLX150</v>
          </cell>
          <cell r="D618" t="str">
            <v>KAWASAKI</v>
          </cell>
          <cell r="E618" t="str">
            <v>KLX150KTAAN(BLACK)</v>
          </cell>
          <cell r="F618" t="str">
            <v>SPORTS TYPE</v>
          </cell>
          <cell r="G618">
            <v>131626</v>
          </cell>
          <cell r="H618">
            <v>45</v>
          </cell>
          <cell r="I618">
            <v>30</v>
          </cell>
          <cell r="J618">
            <v>90</v>
          </cell>
          <cell r="K618">
            <v>15</v>
          </cell>
          <cell r="L618">
            <v>15</v>
          </cell>
          <cell r="M618">
            <v>30</v>
          </cell>
        </row>
        <row r="619">
          <cell r="B619" t="str">
            <v>CB150R</v>
          </cell>
          <cell r="D619" t="str">
            <v>HONDA</v>
          </cell>
          <cell r="E619" t="str">
            <v>CBR150RASVII-WR CBR150R (RED)</v>
          </cell>
          <cell r="F619" t="str">
            <v>SPORTS TYPE</v>
          </cell>
          <cell r="G619">
            <v>173910</v>
          </cell>
          <cell r="H619">
            <v>45</v>
          </cell>
          <cell r="I619">
            <v>30</v>
          </cell>
          <cell r="J619">
            <v>90</v>
          </cell>
          <cell r="K619">
            <v>15</v>
          </cell>
          <cell r="L619">
            <v>15</v>
          </cell>
          <cell r="M619">
            <v>30</v>
          </cell>
        </row>
        <row r="620">
          <cell r="B620" t="str">
            <v>BOLT150</v>
          </cell>
          <cell r="D620" t="str">
            <v>SKYGO</v>
          </cell>
          <cell r="E620" t="str">
            <v>SG150T-8G BOLT150 (GOLDEN BROWN)</v>
          </cell>
          <cell r="F620" t="str">
            <v>BUSINESS</v>
          </cell>
          <cell r="G620">
            <v>98325</v>
          </cell>
          <cell r="H620">
            <v>45</v>
          </cell>
          <cell r="I620">
            <v>30</v>
          </cell>
          <cell r="J620">
            <v>90</v>
          </cell>
          <cell r="K620">
            <v>15</v>
          </cell>
          <cell r="L620">
            <v>15</v>
          </cell>
          <cell r="M620">
            <v>30</v>
          </cell>
        </row>
        <row r="621">
          <cell r="B621" t="str">
            <v>LANCE150</v>
          </cell>
          <cell r="D621" t="str">
            <v>SKYGO</v>
          </cell>
          <cell r="E621" t="str">
            <v>SG150T-8U LANCE150 (WHITE)</v>
          </cell>
          <cell r="F621" t="str">
            <v>BUSINESS</v>
          </cell>
          <cell r="G621">
            <v>98325</v>
          </cell>
          <cell r="H621">
            <v>45</v>
          </cell>
          <cell r="I621">
            <v>30</v>
          </cell>
          <cell r="J621">
            <v>90</v>
          </cell>
          <cell r="K621">
            <v>15</v>
          </cell>
          <cell r="L621">
            <v>15</v>
          </cell>
          <cell r="M621">
            <v>30</v>
          </cell>
        </row>
        <row r="622">
          <cell r="B622" t="str">
            <v>SMASH(MAGS)</v>
          </cell>
          <cell r="D622" t="str">
            <v>SUZUKI</v>
          </cell>
          <cell r="E622" t="str">
            <v>FW110SC-EBLUE</v>
          </cell>
          <cell r="F622" t="str">
            <v>UNDERBONE</v>
          </cell>
          <cell r="G622">
            <v>67342</v>
          </cell>
          <cell r="H622">
            <v>45</v>
          </cell>
          <cell r="I622">
            <v>30</v>
          </cell>
          <cell r="J622">
            <v>90</v>
          </cell>
          <cell r="K622">
            <v>15</v>
          </cell>
          <cell r="L622">
            <v>15</v>
          </cell>
          <cell r="M622">
            <v>30</v>
          </cell>
        </row>
        <row r="623">
          <cell r="B623" t="str">
            <v>LANCE150</v>
          </cell>
          <cell r="D623" t="str">
            <v>SKYGO</v>
          </cell>
          <cell r="E623" t="str">
            <v>SG150T-8U LANCE150 (BLACK)</v>
          </cell>
          <cell r="F623" t="str">
            <v>BUSINESS</v>
          </cell>
          <cell r="G623">
            <v>98325</v>
          </cell>
          <cell r="H623">
            <v>45</v>
          </cell>
          <cell r="I623">
            <v>30</v>
          </cell>
          <cell r="J623">
            <v>90</v>
          </cell>
          <cell r="K623">
            <v>15</v>
          </cell>
          <cell r="L623">
            <v>15</v>
          </cell>
          <cell r="M623">
            <v>30</v>
          </cell>
        </row>
        <row r="624">
          <cell r="B624" t="str">
            <v>BURGMAN STREET EX</v>
          </cell>
          <cell r="D624" t="str">
            <v>SUZUKI</v>
          </cell>
          <cell r="E624" t="str">
            <v>UB125LNM-1WHITE BURGMAN STREET  EX</v>
          </cell>
          <cell r="F624" t="str">
            <v>SCOOTER</v>
          </cell>
          <cell r="G624">
            <v>89662</v>
          </cell>
          <cell r="H624">
            <v>45</v>
          </cell>
          <cell r="I624">
            <v>30</v>
          </cell>
          <cell r="J624">
            <v>90</v>
          </cell>
          <cell r="K624">
            <v>15</v>
          </cell>
          <cell r="L624">
            <v>15</v>
          </cell>
          <cell r="M624">
            <v>30</v>
          </cell>
        </row>
        <row r="625">
          <cell r="B625" t="str">
            <v>KLX300</v>
          </cell>
          <cell r="D625" t="str">
            <v>KAWASAKI</v>
          </cell>
          <cell r="E625" t="str">
            <v>LX300C KLX300R (GREEN)</v>
          </cell>
          <cell r="F625" t="str">
            <v>SPORTS TYPE</v>
          </cell>
          <cell r="G625">
            <v>134000</v>
          </cell>
          <cell r="H625">
            <v>45</v>
          </cell>
          <cell r="I625">
            <v>30</v>
          </cell>
          <cell r="J625">
            <v>90</v>
          </cell>
          <cell r="K625">
            <v>15</v>
          </cell>
          <cell r="L625">
            <v>15</v>
          </cell>
          <cell r="M625">
            <v>30</v>
          </cell>
        </row>
        <row r="626">
          <cell r="B626" t="str">
            <v>ADV350</v>
          </cell>
          <cell r="D626" t="str">
            <v>HONDA</v>
          </cell>
          <cell r="E626" t="str">
            <v>ADV350ASIII-BM-(BLACK)</v>
          </cell>
          <cell r="F626" t="str">
            <v>SCOOTER</v>
          </cell>
          <cell r="G626">
            <v>288910</v>
          </cell>
          <cell r="H626">
            <v>45</v>
          </cell>
          <cell r="I626">
            <v>30</v>
          </cell>
          <cell r="J626">
            <v>90</v>
          </cell>
          <cell r="K626">
            <v>15</v>
          </cell>
          <cell r="L626">
            <v>15</v>
          </cell>
          <cell r="M626">
            <v>30</v>
          </cell>
        </row>
        <row r="627">
          <cell r="B627" t="str">
            <v>ADV350</v>
          </cell>
          <cell r="D627" t="str">
            <v>HONDA</v>
          </cell>
          <cell r="E627" t="str">
            <v>ADV350ASIII-RM-(RED)</v>
          </cell>
          <cell r="F627" t="str">
            <v>SCOOTER</v>
          </cell>
          <cell r="G627">
            <v>288910</v>
          </cell>
          <cell r="H627">
            <v>45</v>
          </cell>
          <cell r="I627">
            <v>30</v>
          </cell>
          <cell r="J627">
            <v>90</v>
          </cell>
          <cell r="K627">
            <v>15</v>
          </cell>
          <cell r="L627">
            <v>15</v>
          </cell>
          <cell r="M627">
            <v>30</v>
          </cell>
        </row>
        <row r="628">
          <cell r="B628" t="str">
            <v>FAZZIO</v>
          </cell>
          <cell r="D628" t="str">
            <v>YAMAHA</v>
          </cell>
          <cell r="E628" t="str">
            <v>MIO FAZZIO BRV4 (LIGHT GREEN)</v>
          </cell>
          <cell r="F628" t="str">
            <v>SCOOTER</v>
          </cell>
          <cell r="G628">
            <v>86397</v>
          </cell>
          <cell r="H628">
            <v>45</v>
          </cell>
          <cell r="I628">
            <v>30</v>
          </cell>
          <cell r="J628">
            <v>90</v>
          </cell>
          <cell r="K628">
            <v>15</v>
          </cell>
          <cell r="L628">
            <v>15</v>
          </cell>
          <cell r="M628">
            <v>30</v>
          </cell>
        </row>
        <row r="629">
          <cell r="B629" t="str">
            <v>BARAKO III FI(DUAL START)</v>
          </cell>
          <cell r="D629" t="str">
            <v>KAWASAKI</v>
          </cell>
          <cell r="E629" t="str">
            <v>BC175LSFNN BARAKO III ELECTRIC START</v>
          </cell>
          <cell r="F629" t="str">
            <v>BUSINESS</v>
          </cell>
          <cell r="G629">
            <v>100700</v>
          </cell>
          <cell r="H629">
            <v>45</v>
          </cell>
          <cell r="I629">
            <v>30</v>
          </cell>
          <cell r="J629">
            <v>90</v>
          </cell>
          <cell r="K629">
            <v>15</v>
          </cell>
          <cell r="L629">
            <v>15</v>
          </cell>
          <cell r="M629">
            <v>30</v>
          </cell>
        </row>
        <row r="630">
          <cell r="B630" t="str">
            <v>FAZZIO</v>
          </cell>
          <cell r="D630" t="str">
            <v>YAMAHA</v>
          </cell>
          <cell r="E630" t="str">
            <v>MIO FAZZIO BRV4 (BLACK)</v>
          </cell>
          <cell r="F630" t="str">
            <v>SCOOTER</v>
          </cell>
          <cell r="G630">
            <v>86397</v>
          </cell>
          <cell r="H630">
            <v>45</v>
          </cell>
          <cell r="I630">
            <v>30</v>
          </cell>
          <cell r="J630">
            <v>90</v>
          </cell>
          <cell r="K630">
            <v>15</v>
          </cell>
          <cell r="L630">
            <v>15</v>
          </cell>
          <cell r="M630">
            <v>30</v>
          </cell>
        </row>
        <row r="631">
          <cell r="B631" t="str">
            <v>MIO AEROX 155</v>
          </cell>
          <cell r="D631" t="str">
            <v>YAMAHA</v>
          </cell>
          <cell r="E631" t="str">
            <v>MIO AEROX D541(BLACK)</v>
          </cell>
          <cell r="F631" t="str">
            <v>SCOOTER</v>
          </cell>
          <cell r="G631">
            <v>124527</v>
          </cell>
          <cell r="H631">
            <v>45</v>
          </cell>
          <cell r="I631">
            <v>30</v>
          </cell>
          <cell r="J631">
            <v>90</v>
          </cell>
          <cell r="K631">
            <v>15</v>
          </cell>
          <cell r="L631">
            <v>15</v>
          </cell>
          <cell r="M631">
            <v>30</v>
          </cell>
        </row>
        <row r="632">
          <cell r="B632" t="str">
            <v>MIO AEROX 155</v>
          </cell>
          <cell r="D632" t="str">
            <v>YAMAHA</v>
          </cell>
          <cell r="E632" t="str">
            <v>MIO AEROX D541(LIGHT BLUE)</v>
          </cell>
          <cell r="F632" t="str">
            <v>SCOOTER</v>
          </cell>
          <cell r="G632">
            <v>124527</v>
          </cell>
          <cell r="H632">
            <v>45</v>
          </cell>
          <cell r="I632">
            <v>30</v>
          </cell>
          <cell r="J632">
            <v>90</v>
          </cell>
          <cell r="K632">
            <v>15</v>
          </cell>
          <cell r="L632">
            <v>15</v>
          </cell>
          <cell r="M632">
            <v>30</v>
          </cell>
        </row>
        <row r="633">
          <cell r="B633" t="str">
            <v>MIO AEROX S 155</v>
          </cell>
          <cell r="D633" t="str">
            <v>YAMAHA</v>
          </cell>
          <cell r="E633" t="str">
            <v>MIO AEROX SP D551(MATTE BLUE)</v>
          </cell>
          <cell r="F633" t="str">
            <v>SCOOTER</v>
          </cell>
          <cell r="G633">
            <v>152892</v>
          </cell>
          <cell r="H633">
            <v>45</v>
          </cell>
          <cell r="I633">
            <v>30</v>
          </cell>
          <cell r="J633">
            <v>90</v>
          </cell>
          <cell r="K633">
            <v>15</v>
          </cell>
          <cell r="L633">
            <v>15</v>
          </cell>
          <cell r="M633">
            <v>30</v>
          </cell>
        </row>
        <row r="634">
          <cell r="B634" t="str">
            <v>MIO AEROX 155</v>
          </cell>
          <cell r="D634" t="str">
            <v>YAMAHA</v>
          </cell>
          <cell r="E634" t="str">
            <v>MIO AEROX D541(BLUE/BLACK)</v>
          </cell>
          <cell r="F634" t="str">
            <v>SCOOTER</v>
          </cell>
          <cell r="G634">
            <v>124527</v>
          </cell>
          <cell r="H634">
            <v>45</v>
          </cell>
          <cell r="I634">
            <v>30</v>
          </cell>
          <cell r="J634">
            <v>90</v>
          </cell>
          <cell r="K634">
            <v>15</v>
          </cell>
          <cell r="L634">
            <v>15</v>
          </cell>
          <cell r="M634">
            <v>30</v>
          </cell>
        </row>
        <row r="635">
          <cell r="B635" t="str">
            <v>CUV e:</v>
          </cell>
          <cell r="D635" t="str">
            <v>HONDA</v>
          </cell>
          <cell r="E635" t="str">
            <v>EVP4S CUV e</v>
          </cell>
          <cell r="F635" t="str">
            <v>ELECTRIC SCOOTER</v>
          </cell>
          <cell r="G635">
            <v>254520</v>
          </cell>
          <cell r="H635">
            <v>45</v>
          </cell>
          <cell r="I635">
            <v>30</v>
          </cell>
          <cell r="J635">
            <v>90</v>
          </cell>
          <cell r="K635">
            <v>15</v>
          </cell>
          <cell r="L635">
            <v>15</v>
          </cell>
          <cell r="M635">
            <v>30</v>
          </cell>
        </row>
        <row r="636">
          <cell r="B636" t="str">
            <v>EM1 e:</v>
          </cell>
          <cell r="D636" t="str">
            <v>HONDA</v>
          </cell>
          <cell r="E636" t="str">
            <v>EVP1P EM 1 e</v>
          </cell>
          <cell r="F636" t="str">
            <v>ELECTRIC SCOOTER</v>
          </cell>
          <cell r="G636">
            <v>146328</v>
          </cell>
          <cell r="H636">
            <v>45</v>
          </cell>
          <cell r="I636">
            <v>30</v>
          </cell>
          <cell r="J636">
            <v>90</v>
          </cell>
          <cell r="K636">
            <v>15</v>
          </cell>
          <cell r="L636">
            <v>15</v>
          </cell>
          <cell r="M636">
            <v>30</v>
          </cell>
        </row>
        <row r="637">
          <cell r="B637" t="str">
            <v>BEAT FI PREM</v>
          </cell>
          <cell r="D637" t="str">
            <v>HONDA</v>
          </cell>
          <cell r="E637" t="str">
            <v>ACH110CBFT3 - MG</v>
          </cell>
          <cell r="F637" t="str">
            <v>SCOOTER</v>
          </cell>
          <cell r="G637">
            <v>72434</v>
          </cell>
          <cell r="H637">
            <v>45</v>
          </cell>
          <cell r="I637">
            <v>30</v>
          </cell>
          <cell r="J637">
            <v>90</v>
          </cell>
          <cell r="K637">
            <v>15</v>
          </cell>
          <cell r="L637">
            <v>15</v>
          </cell>
          <cell r="M637">
            <v>30</v>
          </cell>
        </row>
        <row r="638">
          <cell r="B638" t="str">
            <v>BEAT FI PREM</v>
          </cell>
          <cell r="D638" t="str">
            <v>HONDA</v>
          </cell>
          <cell r="E638" t="str">
            <v>ACH110CBFT3-PW</v>
          </cell>
          <cell r="F638" t="str">
            <v>SCOOTER</v>
          </cell>
          <cell r="G638">
            <v>72434</v>
          </cell>
          <cell r="H638">
            <v>45</v>
          </cell>
          <cell r="I638">
            <v>30</v>
          </cell>
          <cell r="J638">
            <v>90</v>
          </cell>
          <cell r="K638">
            <v>15</v>
          </cell>
          <cell r="L638">
            <v>15</v>
          </cell>
          <cell r="M638">
            <v>30</v>
          </cell>
        </row>
        <row r="639">
          <cell r="B639" t="str">
            <v>BEAT FI PREM</v>
          </cell>
          <cell r="D639" t="str">
            <v>HONDA</v>
          </cell>
          <cell r="E639" t="str">
            <v>ACH110CBFT3-MSS</v>
          </cell>
          <cell r="F639" t="str">
            <v>SCOOTER</v>
          </cell>
          <cell r="G639">
            <v>72434</v>
          </cell>
          <cell r="H639">
            <v>45</v>
          </cell>
          <cell r="I639">
            <v>30</v>
          </cell>
          <cell r="J639">
            <v>90</v>
          </cell>
          <cell r="K639">
            <v>15</v>
          </cell>
          <cell r="L639">
            <v>15</v>
          </cell>
          <cell r="M639">
            <v>30</v>
          </cell>
        </row>
        <row r="640">
          <cell r="B640" t="str">
            <v>CRF150R</v>
          </cell>
          <cell r="D640" t="str">
            <v>HONDA</v>
          </cell>
          <cell r="E640" t="str">
            <v>CRF150RBN(RED)</v>
          </cell>
          <cell r="F640" t="str">
            <v>SPORTS TYPE</v>
          </cell>
          <cell r="G640">
            <v>284880</v>
          </cell>
          <cell r="H640">
            <v>45</v>
          </cell>
          <cell r="I640">
            <v>30</v>
          </cell>
          <cell r="J640">
            <v>90</v>
          </cell>
          <cell r="K640">
            <v>15</v>
          </cell>
          <cell r="L640">
            <v>15</v>
          </cell>
          <cell r="M640">
            <v>30</v>
          </cell>
        </row>
        <row r="641">
          <cell r="B641" t="str">
            <v>CRF125</v>
          </cell>
          <cell r="D641" t="str">
            <v>HONDA</v>
          </cell>
          <cell r="E641" t="str">
            <v>CRF125FBP</v>
          </cell>
          <cell r="F641" t="str">
            <v>SPORTS TYPE</v>
          </cell>
          <cell r="G641">
            <v>178068</v>
          </cell>
          <cell r="H641">
            <v>45</v>
          </cell>
          <cell r="I641">
            <v>30</v>
          </cell>
          <cell r="J641">
            <v>90</v>
          </cell>
          <cell r="K641">
            <v>15</v>
          </cell>
          <cell r="L641">
            <v>15</v>
          </cell>
          <cell r="M641">
            <v>30</v>
          </cell>
        </row>
        <row r="642">
          <cell r="B642" t="str">
            <v>BEAT FI STD</v>
          </cell>
          <cell r="D642" t="str">
            <v>HONDA</v>
          </cell>
          <cell r="E642" t="str">
            <v>ACH110CBFT-PG</v>
          </cell>
          <cell r="F642" t="str">
            <v>SCOOTER</v>
          </cell>
          <cell r="G642">
            <v>70410</v>
          </cell>
          <cell r="H642">
            <v>45</v>
          </cell>
          <cell r="I642">
            <v>30</v>
          </cell>
          <cell r="J642">
            <v>90</v>
          </cell>
          <cell r="K642">
            <v>15</v>
          </cell>
          <cell r="L642">
            <v>15</v>
          </cell>
          <cell r="M642">
            <v>30</v>
          </cell>
        </row>
        <row r="643">
          <cell r="B643" t="str">
            <v>BEAT FI STD</v>
          </cell>
          <cell r="D643" t="str">
            <v>HONDA</v>
          </cell>
          <cell r="E643" t="str">
            <v>ACH110CBFT-PTP</v>
          </cell>
          <cell r="F643" t="str">
            <v>SCOOTER</v>
          </cell>
          <cell r="G643">
            <v>70410</v>
          </cell>
          <cell r="H643">
            <v>45</v>
          </cell>
          <cell r="I643">
            <v>30</v>
          </cell>
          <cell r="J643">
            <v>90</v>
          </cell>
          <cell r="K643">
            <v>15</v>
          </cell>
          <cell r="L643">
            <v>15</v>
          </cell>
          <cell r="M643">
            <v>30</v>
          </cell>
        </row>
        <row r="644">
          <cell r="B644" t="str">
            <v>BEAT FI STD</v>
          </cell>
          <cell r="D644" t="str">
            <v>HONDA</v>
          </cell>
          <cell r="E644" t="str">
            <v>ACH110CBFT-RD</v>
          </cell>
          <cell r="F644" t="str">
            <v>SCOOTER</v>
          </cell>
          <cell r="G644">
            <v>70410</v>
          </cell>
          <cell r="H644">
            <v>45</v>
          </cell>
          <cell r="I644">
            <v>30</v>
          </cell>
          <cell r="J644">
            <v>90</v>
          </cell>
          <cell r="K644">
            <v>15</v>
          </cell>
          <cell r="L644">
            <v>15</v>
          </cell>
          <cell r="M644">
            <v>30</v>
          </cell>
        </row>
        <row r="645">
          <cell r="B645" t="str">
            <v>ACCESS 125</v>
          </cell>
          <cell r="D645" t="str">
            <v>SUZUKI</v>
          </cell>
          <cell r="E645" t="str">
            <v>UZ125NEY-1BLACK</v>
          </cell>
          <cell r="F645" t="str">
            <v>SCOOTER</v>
          </cell>
          <cell r="G645">
            <v>82687</v>
          </cell>
          <cell r="H645">
            <v>45</v>
          </cell>
          <cell r="I645">
            <v>30</v>
          </cell>
          <cell r="J645">
            <v>90</v>
          </cell>
          <cell r="K645">
            <v>15</v>
          </cell>
          <cell r="L645">
            <v>15</v>
          </cell>
          <cell r="M645">
            <v>30</v>
          </cell>
        </row>
        <row r="646">
          <cell r="B646" t="str">
            <v>ACCESS 125</v>
          </cell>
          <cell r="D646" t="str">
            <v>SUZUKI</v>
          </cell>
          <cell r="E646" t="str">
            <v>UZ125NEY-1GREEN</v>
          </cell>
          <cell r="F646" t="str">
            <v>SCOOTER</v>
          </cell>
          <cell r="G646">
            <v>82687</v>
          </cell>
          <cell r="H646">
            <v>45</v>
          </cell>
          <cell r="I646">
            <v>30</v>
          </cell>
          <cell r="J646">
            <v>90</v>
          </cell>
          <cell r="K646">
            <v>15</v>
          </cell>
          <cell r="L646">
            <v>15</v>
          </cell>
          <cell r="M646">
            <v>30</v>
          </cell>
        </row>
        <row r="647">
          <cell r="B647" t="str">
            <v>ACCESS 125</v>
          </cell>
          <cell r="D647" t="str">
            <v>SUZUKI</v>
          </cell>
          <cell r="E647" t="str">
            <v>UZ125NEY-1WHITE</v>
          </cell>
          <cell r="F647" t="str">
            <v>SCOOTER</v>
          </cell>
          <cell r="G647">
            <v>82687</v>
          </cell>
          <cell r="H647">
            <v>45</v>
          </cell>
          <cell r="I647">
            <v>30</v>
          </cell>
          <cell r="J647">
            <v>90</v>
          </cell>
          <cell r="K647">
            <v>15</v>
          </cell>
          <cell r="L647">
            <v>15</v>
          </cell>
          <cell r="M647">
            <v>30</v>
          </cell>
        </row>
        <row r="648">
          <cell r="B648" t="str">
            <v>ACCESS 125 RIDE CONNECT</v>
          </cell>
          <cell r="D648" t="str">
            <v>SUZUKI</v>
          </cell>
          <cell r="E648" t="str">
            <v>UZ125NES-1BLUE(BLUE)</v>
          </cell>
          <cell r="F648" t="str">
            <v>SCOOTER</v>
          </cell>
          <cell r="G648">
            <v>91057</v>
          </cell>
          <cell r="H648">
            <v>45</v>
          </cell>
          <cell r="I648">
            <v>30</v>
          </cell>
          <cell r="J648">
            <v>90</v>
          </cell>
          <cell r="K648">
            <v>15</v>
          </cell>
          <cell r="L648">
            <v>15</v>
          </cell>
          <cell r="M648">
            <v>30</v>
          </cell>
        </row>
        <row r="649">
          <cell r="B649" t="str">
            <v>CRF150</v>
          </cell>
          <cell r="D649" t="str">
            <v>HONDA</v>
          </cell>
          <cell r="E649" t="str">
            <v>CRF150LT (RED)</v>
          </cell>
          <cell r="F649" t="str">
            <v>SPORTS TYPE</v>
          </cell>
          <cell r="G649">
            <v>140790</v>
          </cell>
          <cell r="H649">
            <v>45</v>
          </cell>
          <cell r="I649">
            <v>30</v>
          </cell>
          <cell r="J649">
            <v>90</v>
          </cell>
          <cell r="K649">
            <v>15</v>
          </cell>
          <cell r="L649">
            <v>15</v>
          </cell>
          <cell r="M649">
            <v>30</v>
          </cell>
        </row>
        <row r="650">
          <cell r="B650" t="str">
            <v>CRF150</v>
          </cell>
          <cell r="D650" t="str">
            <v>HONDA</v>
          </cell>
          <cell r="E650" t="str">
            <v>CRF150LTIII (WHITE/BLACK)</v>
          </cell>
          <cell r="F650" t="str">
            <v>SPORTS TYPE</v>
          </cell>
          <cell r="G650">
            <v>140790</v>
          </cell>
          <cell r="H650">
            <v>45</v>
          </cell>
          <cell r="I650">
            <v>30</v>
          </cell>
          <cell r="J650">
            <v>90</v>
          </cell>
          <cell r="K650">
            <v>15</v>
          </cell>
          <cell r="L650">
            <v>15</v>
          </cell>
          <cell r="M650">
            <v>30</v>
          </cell>
        </row>
        <row r="651">
          <cell r="B651" t="str">
            <v>CRF150</v>
          </cell>
          <cell r="D651" t="str">
            <v>HONDA</v>
          </cell>
          <cell r="E651" t="str">
            <v>CRF150LTIV (BLACK)</v>
          </cell>
          <cell r="F651" t="str">
            <v>SPORTS TYPE</v>
          </cell>
          <cell r="G651">
            <v>140790</v>
          </cell>
          <cell r="H651">
            <v>45</v>
          </cell>
          <cell r="I651">
            <v>30</v>
          </cell>
          <cell r="J651">
            <v>90</v>
          </cell>
          <cell r="K651">
            <v>15</v>
          </cell>
          <cell r="L651">
            <v>15</v>
          </cell>
          <cell r="M651">
            <v>30</v>
          </cell>
        </row>
        <row r="652">
          <cell r="B652" t="str">
            <v>RAIDER150 FI BLADE</v>
          </cell>
          <cell r="D652" t="str">
            <v>SUZUKI</v>
          </cell>
          <cell r="E652" t="str">
            <v>FU150RF-9IVORY/GRAY (IVORY/GRAY)</v>
          </cell>
          <cell r="F652" t="str">
            <v>UNDERBONE</v>
          </cell>
          <cell r="G652">
            <v>123700</v>
          </cell>
          <cell r="H652">
            <v>45</v>
          </cell>
          <cell r="I652">
            <v>30</v>
          </cell>
          <cell r="J652">
            <v>90</v>
          </cell>
          <cell r="K652">
            <v>15</v>
          </cell>
          <cell r="L652">
            <v>15</v>
          </cell>
          <cell r="M652">
            <v>30</v>
          </cell>
        </row>
        <row r="653">
          <cell r="B653" t="str">
            <v>XMAX 300</v>
          </cell>
          <cell r="D653" t="str">
            <v>YAMAHA</v>
          </cell>
          <cell r="E653" t="str">
            <v>XMAX BSSH-010E (MATTE BLACK)</v>
          </cell>
          <cell r="F653" t="str">
            <v>SCOOTER</v>
          </cell>
          <cell r="G653">
            <v>289230</v>
          </cell>
          <cell r="H653">
            <v>45</v>
          </cell>
          <cell r="I653">
            <v>30</v>
          </cell>
          <cell r="J653">
            <v>90</v>
          </cell>
          <cell r="K653">
            <v>15</v>
          </cell>
          <cell r="L653">
            <v>15</v>
          </cell>
          <cell r="M653">
            <v>30</v>
          </cell>
        </row>
        <row r="654">
          <cell r="B654" t="str">
            <v>XMAX 300</v>
          </cell>
          <cell r="D654" t="str">
            <v>YAMAHA</v>
          </cell>
          <cell r="E654" t="str">
            <v>XMAX BSSH-010B (GRAY/MATTE BLACK)</v>
          </cell>
          <cell r="F654" t="str">
            <v>SCOOTER</v>
          </cell>
          <cell r="G654">
            <v>289230</v>
          </cell>
          <cell r="H654">
            <v>45</v>
          </cell>
          <cell r="I654">
            <v>30</v>
          </cell>
          <cell r="J654">
            <v>90</v>
          </cell>
          <cell r="K654">
            <v>15</v>
          </cell>
          <cell r="L654">
            <v>15</v>
          </cell>
          <cell r="M654">
            <v>30</v>
          </cell>
        </row>
        <row r="655">
          <cell r="B655" t="str">
            <v>BRUSKY125</v>
          </cell>
          <cell r="D655" t="str">
            <v>KAWASAKI</v>
          </cell>
          <cell r="E655" t="str">
            <v>BRUSKY125-SN125ZSFNN (BLACK)</v>
          </cell>
          <cell r="F655" t="str">
            <v>SCOOTER</v>
          </cell>
          <cell r="G655">
            <v>72500</v>
          </cell>
          <cell r="H655">
            <v>45</v>
          </cell>
          <cell r="I655">
            <v>30</v>
          </cell>
          <cell r="J655">
            <v>90</v>
          </cell>
          <cell r="K655">
            <v>15</v>
          </cell>
          <cell r="L655">
            <v>15</v>
          </cell>
          <cell r="M655">
            <v>30</v>
          </cell>
        </row>
        <row r="656">
          <cell r="B656" t="str">
            <v>BRUSKY125</v>
          </cell>
          <cell r="D656" t="str">
            <v>KAWASAKI</v>
          </cell>
          <cell r="E656" t="str">
            <v>BRUSKY125-SN125ZSFNN (BLUE)</v>
          </cell>
          <cell r="F656" t="str">
            <v>SCOOTER</v>
          </cell>
          <cell r="G656">
            <v>72500</v>
          </cell>
          <cell r="H656">
            <v>45</v>
          </cell>
          <cell r="I656">
            <v>30</v>
          </cell>
          <cell r="J656">
            <v>90</v>
          </cell>
          <cell r="K656">
            <v>15</v>
          </cell>
          <cell r="L656">
            <v>15</v>
          </cell>
          <cell r="M656">
            <v>30</v>
          </cell>
        </row>
        <row r="657">
          <cell r="B657" t="str">
            <v>BRUSKY125</v>
          </cell>
          <cell r="D657" t="str">
            <v>KAWASAKI</v>
          </cell>
          <cell r="E657" t="str">
            <v>BRUSKY125-SN125ZSFNN (WHITE)</v>
          </cell>
          <cell r="F657" t="str">
            <v>SCOOTER</v>
          </cell>
          <cell r="G657">
            <v>72500</v>
          </cell>
          <cell r="H657">
            <v>45</v>
          </cell>
          <cell r="I657">
            <v>30</v>
          </cell>
          <cell r="J657">
            <v>90</v>
          </cell>
          <cell r="K657">
            <v>15</v>
          </cell>
          <cell r="L657">
            <v>15</v>
          </cell>
          <cell r="M657">
            <v>30</v>
          </cell>
        </row>
        <row r="658">
          <cell r="B658" t="str">
            <v>RAIDER150 FI BLADE</v>
          </cell>
          <cell r="D658" t="str">
            <v>SUZUKI</v>
          </cell>
          <cell r="E658" t="str">
            <v>FU150RF-9BLUE/GRAY (BLUE/GRAY)</v>
          </cell>
          <cell r="F658" t="str">
            <v>UNDERBONE</v>
          </cell>
          <cell r="G658">
            <v>123700</v>
          </cell>
          <cell r="H658">
            <v>45</v>
          </cell>
          <cell r="I658">
            <v>30</v>
          </cell>
          <cell r="J658">
            <v>90</v>
          </cell>
          <cell r="K658">
            <v>15</v>
          </cell>
          <cell r="L658">
            <v>15</v>
          </cell>
          <cell r="M658">
            <v>30</v>
          </cell>
        </row>
        <row r="659">
          <cell r="B659" t="str">
            <v>RAIDER150 FI BLADE</v>
          </cell>
          <cell r="D659" t="str">
            <v>SUZUKI</v>
          </cell>
          <cell r="E659" t="str">
            <v>FU150RF-9RED/BLACK(RED/BLACK)</v>
          </cell>
          <cell r="F659" t="str">
            <v>UNDERBONE</v>
          </cell>
          <cell r="G659">
            <v>123700</v>
          </cell>
          <cell r="H659">
            <v>45</v>
          </cell>
          <cell r="I659">
            <v>30</v>
          </cell>
          <cell r="J659">
            <v>90</v>
          </cell>
          <cell r="K659">
            <v>15</v>
          </cell>
          <cell r="L659">
            <v>15</v>
          </cell>
          <cell r="M659">
            <v>30</v>
          </cell>
        </row>
        <row r="660">
          <cell r="B660" t="str">
            <v>RAIDER150 FI BLADE</v>
          </cell>
          <cell r="D660" t="str">
            <v>SUZUKI</v>
          </cell>
          <cell r="E660" t="str">
            <v>FU150RF-9GRAY/BLACK (GRAY/BLACK)</v>
          </cell>
          <cell r="F660" t="str">
            <v>UNDERBONE</v>
          </cell>
          <cell r="G660">
            <v>123700</v>
          </cell>
          <cell r="H660">
            <v>45</v>
          </cell>
          <cell r="I660">
            <v>30</v>
          </cell>
          <cell r="J660">
            <v>90</v>
          </cell>
          <cell r="K660">
            <v>15</v>
          </cell>
          <cell r="L660">
            <v>15</v>
          </cell>
          <cell r="M660">
            <v>30</v>
          </cell>
        </row>
        <row r="661">
          <cell r="B661" t="str">
            <v>RAIDER150 FI PRO</v>
          </cell>
          <cell r="D661" t="str">
            <v>SUZUKI</v>
          </cell>
          <cell r="E661" t="str">
            <v>FU150RL-9SILVER/YELLOW (SILVER/YELLOW)</v>
          </cell>
          <cell r="F661" t="str">
            <v>UNDERBONE</v>
          </cell>
          <cell r="G661">
            <v>138952</v>
          </cell>
          <cell r="H661">
            <v>45</v>
          </cell>
          <cell r="I661">
            <v>30</v>
          </cell>
          <cell r="J661">
            <v>90</v>
          </cell>
          <cell r="K661">
            <v>15</v>
          </cell>
          <cell r="L661">
            <v>15</v>
          </cell>
          <cell r="M661">
            <v>30</v>
          </cell>
        </row>
        <row r="662">
          <cell r="B662" t="str">
            <v>RAIDER150 FI PRO</v>
          </cell>
          <cell r="D662" t="str">
            <v>SUZUKI</v>
          </cell>
          <cell r="E662" t="str">
            <v>FU150RL-9RED/BLACK (RED/BLACK)</v>
          </cell>
          <cell r="F662" t="str">
            <v>UNDERBONE</v>
          </cell>
          <cell r="G662">
            <v>138952</v>
          </cell>
          <cell r="H662">
            <v>45</v>
          </cell>
          <cell r="I662">
            <v>30</v>
          </cell>
          <cell r="J662">
            <v>90</v>
          </cell>
          <cell r="K662">
            <v>15</v>
          </cell>
          <cell r="L662">
            <v>15</v>
          </cell>
          <cell r="M662">
            <v>30</v>
          </cell>
        </row>
        <row r="663">
          <cell r="B663" t="str">
            <v>SMASH FI(SPOKE)</v>
          </cell>
          <cell r="D663" t="str">
            <v>SUZUKI</v>
          </cell>
          <cell r="E663" t="str">
            <v>SMASH FI (SPOKE/DRUM) FV110LA - CRED (RED/BLACK)</v>
          </cell>
          <cell r="F663" t="str">
            <v>UNDERBONE</v>
          </cell>
          <cell r="G663">
            <v>66412</v>
          </cell>
          <cell r="H663">
            <v>45</v>
          </cell>
          <cell r="I663">
            <v>30</v>
          </cell>
          <cell r="J663">
            <v>90</v>
          </cell>
          <cell r="K663">
            <v>15</v>
          </cell>
          <cell r="L663">
            <v>15</v>
          </cell>
          <cell r="M663">
            <v>30</v>
          </cell>
        </row>
        <row r="664">
          <cell r="B664" t="str">
            <v>SMASH FI(SPOKE)</v>
          </cell>
          <cell r="D664" t="str">
            <v>SUZUKI</v>
          </cell>
          <cell r="E664" t="str">
            <v>SMASH FI (SPOKE/DRUM) FV110LA - CBLUE (BLUE/BLACK)</v>
          </cell>
          <cell r="F664" t="str">
            <v>UNDERBONE</v>
          </cell>
          <cell r="G664">
            <v>66412</v>
          </cell>
          <cell r="H664">
            <v>45</v>
          </cell>
          <cell r="I664">
            <v>30</v>
          </cell>
          <cell r="J664">
            <v>90</v>
          </cell>
          <cell r="K664">
            <v>15</v>
          </cell>
          <cell r="L664">
            <v>15</v>
          </cell>
          <cell r="M664">
            <v>30</v>
          </cell>
        </row>
        <row r="665">
          <cell r="B665" t="str">
            <v>SMASH FI(SPOKE)</v>
          </cell>
          <cell r="D665" t="str">
            <v>SUZUKI</v>
          </cell>
          <cell r="E665" t="str">
            <v>SMASH FI (SPOKE/DRUM) FV110LA - CBLACK (BLACK)</v>
          </cell>
          <cell r="F665" t="str">
            <v>UNDERBONE</v>
          </cell>
          <cell r="G665">
            <v>66412</v>
          </cell>
          <cell r="H665">
            <v>45</v>
          </cell>
          <cell r="I665">
            <v>30</v>
          </cell>
          <cell r="J665">
            <v>90</v>
          </cell>
          <cell r="K665">
            <v>15</v>
          </cell>
          <cell r="L665">
            <v>15</v>
          </cell>
          <cell r="M665">
            <v>30</v>
          </cell>
        </row>
        <row r="666">
          <cell r="B666" t="str">
            <v>CLICK160 FI</v>
          </cell>
          <cell r="D666" t="str">
            <v>HONDA</v>
          </cell>
          <cell r="E666" t="str">
            <v>ACB160CBTT-BLACK CLICK160</v>
          </cell>
          <cell r="F666" t="str">
            <v>SCOOTER</v>
          </cell>
          <cell r="G666">
            <v>111258</v>
          </cell>
          <cell r="H666">
            <v>45</v>
          </cell>
          <cell r="I666">
            <v>30</v>
          </cell>
          <cell r="J666">
            <v>90</v>
          </cell>
          <cell r="K666">
            <v>15</v>
          </cell>
          <cell r="L666">
            <v>15</v>
          </cell>
          <cell r="M666">
            <v>30</v>
          </cell>
        </row>
        <row r="667">
          <cell r="B667" t="str">
            <v>CLICK160 FI</v>
          </cell>
          <cell r="D667" t="str">
            <v>HONDA</v>
          </cell>
          <cell r="E667" t="str">
            <v>ACB160CBTT-WHITE CLICK160</v>
          </cell>
          <cell r="F667" t="str">
            <v>SCOOTER</v>
          </cell>
          <cell r="G667">
            <v>111258</v>
          </cell>
          <cell r="H667">
            <v>45</v>
          </cell>
          <cell r="I667">
            <v>30</v>
          </cell>
          <cell r="J667">
            <v>90</v>
          </cell>
          <cell r="K667">
            <v>15</v>
          </cell>
          <cell r="L667">
            <v>15</v>
          </cell>
          <cell r="M667">
            <v>30</v>
          </cell>
        </row>
        <row r="668">
          <cell r="B668" t="str">
            <v>CLICK160 FI</v>
          </cell>
          <cell r="D668" t="str">
            <v>HONDA</v>
          </cell>
          <cell r="E668" t="str">
            <v>ACB160CBTT-SILVER CLICK160</v>
          </cell>
          <cell r="F668" t="str">
            <v>SCOOTER</v>
          </cell>
          <cell r="G668">
            <v>111258</v>
          </cell>
          <cell r="H668">
            <v>45</v>
          </cell>
          <cell r="I668">
            <v>30</v>
          </cell>
          <cell r="J668">
            <v>90</v>
          </cell>
          <cell r="K668">
            <v>15</v>
          </cell>
          <cell r="L668">
            <v>15</v>
          </cell>
          <cell r="M668">
            <v>30</v>
          </cell>
        </row>
        <row r="669">
          <cell r="B669" t="str">
            <v>WAVE RSX(DISC)</v>
          </cell>
          <cell r="D669" t="str">
            <v>HONDA</v>
          </cell>
          <cell r="E669" t="str">
            <v>AFP110SFT-MB WAVE110 (DISC)</v>
          </cell>
          <cell r="F669" t="str">
            <v>UNDERBONE</v>
          </cell>
          <cell r="G669">
            <v>63510</v>
          </cell>
          <cell r="H669">
            <v>45</v>
          </cell>
          <cell r="I669">
            <v>30</v>
          </cell>
          <cell r="J669">
            <v>90</v>
          </cell>
          <cell r="K669">
            <v>15</v>
          </cell>
          <cell r="L669">
            <v>15</v>
          </cell>
          <cell r="M669">
            <v>30</v>
          </cell>
        </row>
        <row r="670">
          <cell r="B670" t="str">
            <v>BOLT150</v>
          </cell>
          <cell r="D670" t="str">
            <v>SKYGO</v>
          </cell>
          <cell r="E670" t="str">
            <v>SG150T-8G BOLT150 (BLACK/ SILVER)</v>
          </cell>
          <cell r="F670" t="str">
            <v>BUSINESS</v>
          </cell>
          <cell r="G670">
            <v>98325</v>
          </cell>
          <cell r="H670">
            <v>45</v>
          </cell>
          <cell r="I670">
            <v>30</v>
          </cell>
          <cell r="J670">
            <v>90</v>
          </cell>
          <cell r="K670">
            <v>15</v>
          </cell>
          <cell r="L670">
            <v>15</v>
          </cell>
          <cell r="M670">
            <v>30</v>
          </cell>
        </row>
        <row r="671">
          <cell r="B671" t="str">
            <v>CLICK125 FI SE</v>
          </cell>
          <cell r="D671" t="str">
            <v>HONDA</v>
          </cell>
          <cell r="E671" t="str">
            <v>CLICK125 FI (SMART EDITION) ACB125CBTT-MG (GRAY)</v>
          </cell>
          <cell r="F671" t="str">
            <v>SCOOTER</v>
          </cell>
          <cell r="G671">
            <v>84394</v>
          </cell>
          <cell r="H671">
            <v>45</v>
          </cell>
          <cell r="I671">
            <v>30</v>
          </cell>
          <cell r="J671">
            <v>90</v>
          </cell>
          <cell r="K671">
            <v>15</v>
          </cell>
          <cell r="L671">
            <v>15</v>
          </cell>
          <cell r="M671">
            <v>30</v>
          </cell>
        </row>
        <row r="672">
          <cell r="B672" t="str">
            <v>CLICK125 FI SE</v>
          </cell>
          <cell r="D672" t="str">
            <v>HONDA</v>
          </cell>
          <cell r="E672" t="str">
            <v>CLICK125 (SMART EDITION) ACB125CBTT-BP (BROWN)</v>
          </cell>
          <cell r="F672" t="str">
            <v>SCOOTER</v>
          </cell>
          <cell r="G672">
            <v>84394</v>
          </cell>
          <cell r="H672">
            <v>45</v>
          </cell>
          <cell r="I672">
            <v>30</v>
          </cell>
          <cell r="J672">
            <v>90</v>
          </cell>
          <cell r="K672">
            <v>15</v>
          </cell>
          <cell r="L672">
            <v>15</v>
          </cell>
          <cell r="M672">
            <v>30</v>
          </cell>
        </row>
        <row r="673">
          <cell r="B673" t="str">
            <v>CLICK125 FI</v>
          </cell>
          <cell r="D673" t="str">
            <v>HONDA</v>
          </cell>
          <cell r="E673" t="str">
            <v>CLICK 125 FI (STD) ACB125CBFT-PG (GRAY/BLACK)</v>
          </cell>
          <cell r="F673" t="str">
            <v>SCOOTER</v>
          </cell>
          <cell r="G673">
            <v>80070</v>
          </cell>
          <cell r="H673">
            <v>45</v>
          </cell>
          <cell r="I673">
            <v>30</v>
          </cell>
          <cell r="J673">
            <v>90</v>
          </cell>
          <cell r="K673">
            <v>15</v>
          </cell>
          <cell r="L673">
            <v>15</v>
          </cell>
          <cell r="M673">
            <v>30</v>
          </cell>
        </row>
        <row r="674">
          <cell r="B674" t="str">
            <v>CLICK125 FI</v>
          </cell>
          <cell r="D674" t="str">
            <v>HONDA</v>
          </cell>
          <cell r="E674" t="str">
            <v>CLICK 125 (STD) ACB125CBFT-PW (WHITE/BLACK)</v>
          </cell>
          <cell r="F674" t="str">
            <v>SCOOTER</v>
          </cell>
          <cell r="G674">
            <v>80070</v>
          </cell>
          <cell r="H674">
            <v>45</v>
          </cell>
          <cell r="I674">
            <v>30</v>
          </cell>
          <cell r="J674">
            <v>90</v>
          </cell>
          <cell r="K674">
            <v>15</v>
          </cell>
          <cell r="L674">
            <v>15</v>
          </cell>
          <cell r="M674">
            <v>30</v>
          </cell>
        </row>
        <row r="675">
          <cell r="B675" t="str">
            <v>ADV160 ROADSYNC</v>
          </cell>
          <cell r="C675" t="str">
            <v>LATEST MODEL CODE</v>
          </cell>
          <cell r="D675" t="str">
            <v>HONDA</v>
          </cell>
          <cell r="E675" t="str">
            <v>ADV160ATIII-QB (BROWN)</v>
          </cell>
          <cell r="F675" t="str">
            <v>SCOOTER</v>
          </cell>
          <cell r="G675">
            <v>165630</v>
          </cell>
          <cell r="H675">
            <v>45</v>
          </cell>
          <cell r="I675">
            <v>30</v>
          </cell>
          <cell r="J675">
            <v>90</v>
          </cell>
          <cell r="K675">
            <v>15</v>
          </cell>
          <cell r="L675">
            <v>15</v>
          </cell>
          <cell r="M675">
            <v>30</v>
          </cell>
        </row>
        <row r="676">
          <cell r="B676" t="str">
            <v>NMAX155 FI ABS</v>
          </cell>
          <cell r="D676" t="str">
            <v>YAMAHA</v>
          </cell>
          <cell r="E676" t="str">
            <v>NMAX155 ABS BUA2 (MATTE DARK GRAY)</v>
          </cell>
          <cell r="F676" t="str">
            <v>SCOOTER</v>
          </cell>
          <cell r="G676">
            <v>147312</v>
          </cell>
          <cell r="H676">
            <v>45</v>
          </cell>
          <cell r="I676">
            <v>30</v>
          </cell>
          <cell r="J676">
            <v>90</v>
          </cell>
          <cell r="K676">
            <v>15</v>
          </cell>
          <cell r="L676">
            <v>15</v>
          </cell>
          <cell r="M676">
            <v>30</v>
          </cell>
        </row>
        <row r="677">
          <cell r="B677" t="str">
            <v>NMAX155 TECHMAX</v>
          </cell>
          <cell r="D677" t="str">
            <v>YAMAHA</v>
          </cell>
          <cell r="E677" t="str">
            <v>NMAX155 TECHMAX BTU2 (BLACK)</v>
          </cell>
          <cell r="F677" t="str">
            <v>SCOOTER</v>
          </cell>
          <cell r="G677">
            <v>165912</v>
          </cell>
          <cell r="H677">
            <v>45</v>
          </cell>
          <cell r="I677">
            <v>30</v>
          </cell>
          <cell r="J677">
            <v>90</v>
          </cell>
          <cell r="K677">
            <v>15</v>
          </cell>
          <cell r="L677">
            <v>15</v>
          </cell>
          <cell r="M677">
            <v>30</v>
          </cell>
        </row>
        <row r="678">
          <cell r="B678" t="str">
            <v>NMAX155 TECHMAX</v>
          </cell>
          <cell r="D678" t="str">
            <v>YAMAHA</v>
          </cell>
          <cell r="E678" t="str">
            <v>NMAX155 TECHMAX BTU2 (GRAY)</v>
          </cell>
          <cell r="F678" t="str">
            <v>SCOOTER</v>
          </cell>
          <cell r="G678">
            <v>165912</v>
          </cell>
          <cell r="H678">
            <v>45</v>
          </cell>
          <cell r="I678">
            <v>30</v>
          </cell>
          <cell r="J678">
            <v>90</v>
          </cell>
          <cell r="K678">
            <v>15</v>
          </cell>
          <cell r="L678">
            <v>15</v>
          </cell>
          <cell r="M678">
            <v>30</v>
          </cell>
        </row>
        <row r="679">
          <cell r="B679" t="str">
            <v>CLICK125 FI</v>
          </cell>
          <cell r="D679" t="str">
            <v>HONDA</v>
          </cell>
          <cell r="E679" t="str">
            <v>CLICK 125 (STD) ACB125CBFT-OB (BLACK)</v>
          </cell>
          <cell r="F679" t="str">
            <v>SCOOTER</v>
          </cell>
          <cell r="G679">
            <v>80070</v>
          </cell>
          <cell r="H679">
            <v>45</v>
          </cell>
          <cell r="I679">
            <v>30</v>
          </cell>
          <cell r="J679">
            <v>90</v>
          </cell>
          <cell r="K679">
            <v>15</v>
          </cell>
          <cell r="L679">
            <v>15</v>
          </cell>
          <cell r="M679">
            <v>30</v>
          </cell>
        </row>
        <row r="680">
          <cell r="B680" t="str">
            <v>PG-1</v>
          </cell>
          <cell r="D680" t="str">
            <v>YAMAHA</v>
          </cell>
          <cell r="E680" t="str">
            <v>PG-1 BNR2 (LIGHT BLUE)</v>
          </cell>
          <cell r="F680" t="str">
            <v>UNDERBONE</v>
          </cell>
          <cell r="G680">
            <v>86397</v>
          </cell>
          <cell r="H680">
            <v>45</v>
          </cell>
          <cell r="I680">
            <v>30</v>
          </cell>
          <cell r="J680">
            <v>90</v>
          </cell>
          <cell r="K680">
            <v>15</v>
          </cell>
          <cell r="L680">
            <v>15</v>
          </cell>
          <cell r="M680">
            <v>30</v>
          </cell>
        </row>
        <row r="681">
          <cell r="B681" t="str">
            <v>ADV160</v>
          </cell>
          <cell r="C681" t="str">
            <v>LATEST MODEL CODE</v>
          </cell>
          <cell r="D681" t="str">
            <v>HONDA</v>
          </cell>
          <cell r="E681" t="str">
            <v>ADV160AT-GB (BLACK)</v>
          </cell>
          <cell r="F681" t="str">
            <v>SCOOTER</v>
          </cell>
          <cell r="G681">
            <v>158270</v>
          </cell>
          <cell r="H681">
            <v>45</v>
          </cell>
          <cell r="I681">
            <v>30</v>
          </cell>
          <cell r="J681">
            <v>90</v>
          </cell>
          <cell r="K681">
            <v>15</v>
          </cell>
          <cell r="L681">
            <v>15</v>
          </cell>
          <cell r="M681">
            <v>30</v>
          </cell>
        </row>
        <row r="682">
          <cell r="B682" t="str">
            <v>ADV160</v>
          </cell>
          <cell r="C682" t="str">
            <v>LATEST MODEL CODE</v>
          </cell>
          <cell r="D682" t="str">
            <v>HONDA</v>
          </cell>
          <cell r="E682" t="str">
            <v>ADV160AT-PFW (WHITE)</v>
          </cell>
          <cell r="F682" t="str">
            <v>SCOOTER</v>
          </cell>
          <cell r="G682">
            <v>158270</v>
          </cell>
          <cell r="H682">
            <v>45</v>
          </cell>
          <cell r="I682">
            <v>30</v>
          </cell>
          <cell r="J682">
            <v>90</v>
          </cell>
          <cell r="K682">
            <v>15</v>
          </cell>
          <cell r="L682">
            <v>15</v>
          </cell>
          <cell r="M682">
            <v>30</v>
          </cell>
        </row>
        <row r="683">
          <cell r="B683" t="str">
            <v>ADV160 ROADSYNC</v>
          </cell>
          <cell r="C683" t="str">
            <v>LATEST MODEL CODE</v>
          </cell>
          <cell r="D683" t="str">
            <v>HONDA</v>
          </cell>
          <cell r="E683" t="str">
            <v>ADV160ATIII-WC (WHITE)</v>
          </cell>
          <cell r="F683" t="str">
            <v>SCOOTER</v>
          </cell>
          <cell r="G683">
            <v>165630</v>
          </cell>
          <cell r="H683">
            <v>45</v>
          </cell>
          <cell r="I683">
            <v>30</v>
          </cell>
          <cell r="J683">
            <v>90</v>
          </cell>
          <cell r="K683">
            <v>15</v>
          </cell>
          <cell r="L683">
            <v>15</v>
          </cell>
          <cell r="M683">
            <v>30</v>
          </cell>
        </row>
        <row r="684">
          <cell r="B684" t="str">
            <v>MIO i125</v>
          </cell>
          <cell r="D684" t="str">
            <v>YAMAHA</v>
          </cell>
          <cell r="E684" t="str">
            <v>MIO I125 BB3A (MATTE BLUE)</v>
          </cell>
          <cell r="F684" t="str">
            <v>SCOOTER</v>
          </cell>
          <cell r="G684">
            <v>70587</v>
          </cell>
          <cell r="H684">
            <v>45</v>
          </cell>
          <cell r="I684">
            <v>30</v>
          </cell>
          <cell r="J684">
            <v>90</v>
          </cell>
          <cell r="K684">
            <v>15</v>
          </cell>
          <cell r="L684">
            <v>15</v>
          </cell>
          <cell r="M684">
            <v>30</v>
          </cell>
        </row>
        <row r="685">
          <cell r="B685" t="str">
            <v>MIO i125</v>
          </cell>
          <cell r="D685" t="str">
            <v>YAMAHA</v>
          </cell>
          <cell r="E685" t="str">
            <v>MIO I125 BB3A (MATTE WHITE/MATTE BLACK)</v>
          </cell>
          <cell r="F685" t="str">
            <v>SCOOTER</v>
          </cell>
          <cell r="G685">
            <v>70587</v>
          </cell>
          <cell r="H685">
            <v>45</v>
          </cell>
          <cell r="I685">
            <v>30</v>
          </cell>
          <cell r="J685">
            <v>90</v>
          </cell>
          <cell r="K685">
            <v>15</v>
          </cell>
          <cell r="L685">
            <v>15</v>
          </cell>
          <cell r="M685">
            <v>30</v>
          </cell>
        </row>
        <row r="686">
          <cell r="B686" t="str">
            <v>MIO i125</v>
          </cell>
          <cell r="D686" t="str">
            <v>YAMAHA</v>
          </cell>
          <cell r="E686" t="str">
            <v>MIO I125 BB3A (MATTE GREEN/MATTE BROWN)</v>
          </cell>
          <cell r="F686" t="str">
            <v>SCOOTER</v>
          </cell>
          <cell r="G686">
            <v>70587</v>
          </cell>
          <cell r="H686">
            <v>45</v>
          </cell>
          <cell r="I686">
            <v>30</v>
          </cell>
          <cell r="J686">
            <v>90</v>
          </cell>
          <cell r="K686">
            <v>15</v>
          </cell>
          <cell r="L686">
            <v>15</v>
          </cell>
          <cell r="M686">
            <v>30</v>
          </cell>
        </row>
        <row r="687">
          <cell r="B687" t="str">
            <v>ADV160</v>
          </cell>
          <cell r="C687" t="str">
            <v>LATEST MODEL CODE</v>
          </cell>
          <cell r="D687" t="str">
            <v>HONDA</v>
          </cell>
          <cell r="E687" t="str">
            <v>ADV160AT-MG (GREEN)</v>
          </cell>
          <cell r="F687" t="str">
            <v>SCOOTER</v>
          </cell>
          <cell r="G687">
            <v>158270</v>
          </cell>
          <cell r="H687">
            <v>45</v>
          </cell>
          <cell r="I687">
            <v>30</v>
          </cell>
          <cell r="J687">
            <v>90</v>
          </cell>
          <cell r="K687">
            <v>15</v>
          </cell>
          <cell r="L687">
            <v>15</v>
          </cell>
          <cell r="M687">
            <v>30</v>
          </cell>
        </row>
        <row r="688">
          <cell r="B688" t="str">
            <v>LEXI 155</v>
          </cell>
          <cell r="D688" t="str">
            <v>YAMAHA</v>
          </cell>
          <cell r="E688" t="str">
            <v>LEXI 155 D7H1 (BLACK/MATTE BLACK)</v>
          </cell>
          <cell r="F688" t="str">
            <v>SCOOTER</v>
          </cell>
          <cell r="G688">
            <v>92907</v>
          </cell>
          <cell r="H688">
            <v>45</v>
          </cell>
          <cell r="I688">
            <v>30</v>
          </cell>
          <cell r="J688">
            <v>90</v>
          </cell>
          <cell r="K688">
            <v>15</v>
          </cell>
          <cell r="L688">
            <v>15</v>
          </cell>
          <cell r="M688">
            <v>30</v>
          </cell>
        </row>
        <row r="689">
          <cell r="B689" t="str">
            <v>LEXI 155</v>
          </cell>
          <cell r="D689" t="str">
            <v>YAMAHA</v>
          </cell>
          <cell r="E689" t="str">
            <v>LEXI 155 D7H1 (MATTE DARK GREEN/MATTE BLACK)</v>
          </cell>
          <cell r="F689" t="str">
            <v>SCOOTER</v>
          </cell>
          <cell r="G689">
            <v>92907</v>
          </cell>
          <cell r="H689">
            <v>45</v>
          </cell>
          <cell r="I689">
            <v>30</v>
          </cell>
          <cell r="J689">
            <v>90</v>
          </cell>
          <cell r="K689">
            <v>15</v>
          </cell>
          <cell r="L689">
            <v>15</v>
          </cell>
          <cell r="M689">
            <v>30</v>
          </cell>
        </row>
        <row r="690">
          <cell r="B690" t="str">
            <v>NMAX155 FI ABS</v>
          </cell>
          <cell r="D690" t="str">
            <v>YAMAHA</v>
          </cell>
          <cell r="E690" t="str">
            <v>NMAX155 ABS BUA2 (BLACK)</v>
          </cell>
          <cell r="F690" t="str">
            <v>SCOOTER</v>
          </cell>
          <cell r="G690">
            <v>147312</v>
          </cell>
          <cell r="H690">
            <v>45</v>
          </cell>
          <cell r="I690">
            <v>30</v>
          </cell>
          <cell r="J690">
            <v>90</v>
          </cell>
          <cell r="K690">
            <v>15</v>
          </cell>
          <cell r="L690">
            <v>15</v>
          </cell>
          <cell r="M690">
            <v>30</v>
          </cell>
        </row>
        <row r="691">
          <cell r="B691" t="str">
            <v>GIORNO</v>
          </cell>
          <cell r="D691" t="str">
            <v>HONDA</v>
          </cell>
          <cell r="E691" t="str">
            <v>GIORNO+ ACF125CBT-JW (WHITE)</v>
          </cell>
          <cell r="F691" t="str">
            <v>SCOOTER</v>
          </cell>
          <cell r="G691">
            <v>101230</v>
          </cell>
          <cell r="H691">
            <v>45</v>
          </cell>
          <cell r="I691">
            <v>30</v>
          </cell>
          <cell r="J691">
            <v>90</v>
          </cell>
          <cell r="K691">
            <v>15</v>
          </cell>
          <cell r="L691">
            <v>15</v>
          </cell>
          <cell r="M691">
            <v>30</v>
          </cell>
        </row>
        <row r="692">
          <cell r="B692" t="str">
            <v>GIORNO</v>
          </cell>
          <cell r="D692" t="str">
            <v>HONDA</v>
          </cell>
          <cell r="E692" t="str">
            <v>GIORNO+ ACF125CBT-OG (GREEN)</v>
          </cell>
          <cell r="F692" t="str">
            <v>SCOOTER</v>
          </cell>
          <cell r="G692">
            <v>101230</v>
          </cell>
          <cell r="H692">
            <v>45</v>
          </cell>
          <cell r="I692">
            <v>30</v>
          </cell>
          <cell r="J692">
            <v>90</v>
          </cell>
          <cell r="K692">
            <v>15</v>
          </cell>
          <cell r="L692">
            <v>15</v>
          </cell>
          <cell r="M692">
            <v>30</v>
          </cell>
        </row>
        <row r="693">
          <cell r="B693" t="str">
            <v>FAZZIO</v>
          </cell>
          <cell r="D693" t="str">
            <v>YAMAHA</v>
          </cell>
          <cell r="E693" t="str">
            <v>MIO FAZZIO BRV6 (BLACK)</v>
          </cell>
          <cell r="F693" t="str">
            <v>SCOOTER</v>
          </cell>
          <cell r="G693">
            <v>86397</v>
          </cell>
          <cell r="H693">
            <v>45</v>
          </cell>
          <cell r="I693">
            <v>30</v>
          </cell>
          <cell r="J693">
            <v>90</v>
          </cell>
          <cell r="K693">
            <v>15</v>
          </cell>
          <cell r="L693">
            <v>15</v>
          </cell>
          <cell r="M693">
            <v>30</v>
          </cell>
        </row>
        <row r="694">
          <cell r="B694" t="str">
            <v>FAZZIO</v>
          </cell>
          <cell r="D694" t="str">
            <v>YAMAHA</v>
          </cell>
          <cell r="E694" t="str">
            <v>MIO FAZZIO BRV6 (MATTE LIGHT GREEN)</v>
          </cell>
          <cell r="F694" t="str">
            <v>SCOOTER</v>
          </cell>
          <cell r="G694">
            <v>86397</v>
          </cell>
          <cell r="H694">
            <v>45</v>
          </cell>
          <cell r="I694">
            <v>30</v>
          </cell>
          <cell r="J694">
            <v>90</v>
          </cell>
          <cell r="K694">
            <v>15</v>
          </cell>
          <cell r="L694">
            <v>15</v>
          </cell>
          <cell r="M694">
            <v>30</v>
          </cell>
        </row>
        <row r="695">
          <cell r="B695" t="str">
            <v>PCX160 STANDARD</v>
          </cell>
          <cell r="D695" t="str">
            <v>HONDA</v>
          </cell>
          <cell r="E695" t="str">
            <v>WW160T-AM PCX160 STANDARD (WHITE)</v>
          </cell>
          <cell r="F695" t="str">
            <v>SCOOTER</v>
          </cell>
          <cell r="G695">
            <v>126990</v>
          </cell>
          <cell r="H695">
            <v>45</v>
          </cell>
          <cell r="I695">
            <v>30</v>
          </cell>
          <cell r="J695">
            <v>90</v>
          </cell>
          <cell r="K695">
            <v>15</v>
          </cell>
          <cell r="L695">
            <v>15</v>
          </cell>
          <cell r="M695">
            <v>30</v>
          </cell>
        </row>
        <row r="696">
          <cell r="B696" t="str">
            <v>MAXIMA CARGO</v>
          </cell>
          <cell r="D696" t="str">
            <v>BAJAJ RE</v>
          </cell>
          <cell r="E696" t="str">
            <v>MAXIMA CARGO C1ANSEZZ MAXIMA CARGO (WHITE)</v>
          </cell>
          <cell r="F696" t="str">
            <v>TRI-WHEELED</v>
          </cell>
          <cell r="G696">
            <v>221800</v>
          </cell>
          <cell r="H696">
            <v>45</v>
          </cell>
          <cell r="I696">
            <v>30</v>
          </cell>
          <cell r="J696">
            <v>90</v>
          </cell>
          <cell r="K696">
            <v>15</v>
          </cell>
          <cell r="L696">
            <v>15</v>
          </cell>
          <cell r="M696">
            <v>30</v>
          </cell>
        </row>
        <row r="697">
          <cell r="B697" t="str">
            <v>FAZZIO</v>
          </cell>
          <cell r="D697" t="str">
            <v>YAMAHA</v>
          </cell>
          <cell r="E697" t="str">
            <v>MIO FAZZIO BRV6 (YELLOWISH WHITE)</v>
          </cell>
          <cell r="F697" t="str">
            <v>SCOOTER</v>
          </cell>
          <cell r="G697">
            <v>86397</v>
          </cell>
          <cell r="H697">
            <v>45</v>
          </cell>
          <cell r="I697">
            <v>30</v>
          </cell>
          <cell r="J697">
            <v>90</v>
          </cell>
          <cell r="K697">
            <v>15</v>
          </cell>
          <cell r="L697">
            <v>15</v>
          </cell>
          <cell r="M697">
            <v>30</v>
          </cell>
        </row>
        <row r="698">
          <cell r="B698" t="str">
            <v>GIORNO</v>
          </cell>
          <cell r="D698" t="str">
            <v>HONDA</v>
          </cell>
          <cell r="E698" t="str">
            <v>GIORNO+ ACF125CBT-TY (YELLOW)</v>
          </cell>
          <cell r="F698" t="str">
            <v>SCOOTER</v>
          </cell>
          <cell r="G698">
            <v>101230</v>
          </cell>
          <cell r="H698">
            <v>45</v>
          </cell>
          <cell r="I698">
            <v>30</v>
          </cell>
          <cell r="J698">
            <v>90</v>
          </cell>
          <cell r="K698">
            <v>15</v>
          </cell>
          <cell r="L698">
            <v>15</v>
          </cell>
          <cell r="M698">
            <v>30</v>
          </cell>
        </row>
        <row r="699">
          <cell r="B699" t="str">
            <v>PCX160 STANDARD</v>
          </cell>
          <cell r="D699" t="str">
            <v>HONDA</v>
          </cell>
          <cell r="E699" t="str">
            <v>WW160T-BK PCX160 STANDARD (BLACK)</v>
          </cell>
          <cell r="F699" t="str">
            <v>SCOOTER</v>
          </cell>
          <cell r="G699">
            <v>126990</v>
          </cell>
          <cell r="H699">
            <v>45</v>
          </cell>
          <cell r="I699">
            <v>30</v>
          </cell>
          <cell r="J699">
            <v>90</v>
          </cell>
          <cell r="K699">
            <v>15</v>
          </cell>
          <cell r="L699">
            <v>15</v>
          </cell>
          <cell r="M699">
            <v>30</v>
          </cell>
        </row>
        <row r="700">
          <cell r="B700" t="str">
            <v>EM1 e:</v>
          </cell>
          <cell r="D700" t="str">
            <v>HONDA</v>
          </cell>
          <cell r="E700" t="str">
            <v>EM1 e: EVP1P - DS (SILVER)</v>
          </cell>
          <cell r="F700" t="str">
            <v>ELECTRIC SCOOTER</v>
          </cell>
          <cell r="G700">
            <v>95710</v>
          </cell>
          <cell r="H700">
            <v>45</v>
          </cell>
          <cell r="I700">
            <v>30</v>
          </cell>
          <cell r="J700">
            <v>90</v>
          </cell>
          <cell r="K700">
            <v>15</v>
          </cell>
          <cell r="L700">
            <v>15</v>
          </cell>
          <cell r="M700">
            <v>30</v>
          </cell>
        </row>
        <row r="701">
          <cell r="B701" t="str">
            <v>V-STROM 160</v>
          </cell>
          <cell r="D701" t="str">
            <v>SUZUKI</v>
          </cell>
          <cell r="E701" t="str">
            <v>V-STROM 160 DS160RL-BLACK</v>
          </cell>
          <cell r="F701" t="str">
            <v>UNDERBONE</v>
          </cell>
          <cell r="G701">
            <v>138580</v>
          </cell>
          <cell r="H701">
            <v>45</v>
          </cell>
          <cell r="I701">
            <v>30</v>
          </cell>
          <cell r="J701">
            <v>90</v>
          </cell>
          <cell r="K701">
            <v>15</v>
          </cell>
          <cell r="L701">
            <v>15</v>
          </cell>
          <cell r="M701">
            <v>30</v>
          </cell>
        </row>
        <row r="702">
          <cell r="B702" t="str">
            <v>DR160</v>
          </cell>
          <cell r="D702" t="str">
            <v>SUZUKI</v>
          </cell>
          <cell r="E702" t="str">
            <v>DR-160 DR160RL-WHITE</v>
          </cell>
          <cell r="F702" t="str">
            <v>UNDERBONE</v>
          </cell>
          <cell r="G702">
            <v>122770</v>
          </cell>
          <cell r="H702">
            <v>45</v>
          </cell>
          <cell r="I702">
            <v>30</v>
          </cell>
          <cell r="J702">
            <v>90</v>
          </cell>
          <cell r="K702">
            <v>15</v>
          </cell>
          <cell r="L702">
            <v>15</v>
          </cell>
          <cell r="M702">
            <v>30</v>
          </cell>
        </row>
        <row r="703">
          <cell r="B703" t="str">
            <v>V-STROM 160</v>
          </cell>
          <cell r="D703" t="str">
            <v>SUZUKI</v>
          </cell>
          <cell r="E703" t="str">
            <v>V-STROM 160 DS160RL-YELLOW</v>
          </cell>
          <cell r="F703" t="str">
            <v>UNDERBONE</v>
          </cell>
          <cell r="G703">
            <v>138580</v>
          </cell>
          <cell r="H703">
            <v>45</v>
          </cell>
          <cell r="I703">
            <v>30</v>
          </cell>
          <cell r="J703">
            <v>90</v>
          </cell>
          <cell r="K703">
            <v>15</v>
          </cell>
          <cell r="L703">
            <v>15</v>
          </cell>
          <cell r="M703">
            <v>30</v>
          </cell>
        </row>
        <row r="704">
          <cell r="B704" t="str">
            <v>DR160</v>
          </cell>
          <cell r="D704" t="str">
            <v>SUZUKI</v>
          </cell>
          <cell r="E704" t="str">
            <v>DR-160 DR160RL-BLACK</v>
          </cell>
          <cell r="F704" t="str">
            <v>UNDERBONE</v>
          </cell>
          <cell r="G704">
            <v>122770</v>
          </cell>
          <cell r="H704">
            <v>45</v>
          </cell>
          <cell r="I704">
            <v>30</v>
          </cell>
          <cell r="J704">
            <v>90</v>
          </cell>
          <cell r="K704">
            <v>15</v>
          </cell>
          <cell r="L704">
            <v>15</v>
          </cell>
          <cell r="M704">
            <v>30</v>
          </cell>
        </row>
        <row r="705">
          <cell r="B705" t="str">
            <v>GIORNO</v>
          </cell>
          <cell r="D705" t="str">
            <v>HONDA</v>
          </cell>
          <cell r="E705" t="str">
            <v>GIORNO+ ACF125CBT-RB (BLUE)</v>
          </cell>
          <cell r="F705" t="str">
            <v>SCOOTER</v>
          </cell>
          <cell r="G705">
            <v>101230</v>
          </cell>
          <cell r="H705">
            <v>45</v>
          </cell>
          <cell r="I705">
            <v>30</v>
          </cell>
          <cell r="J705">
            <v>90</v>
          </cell>
          <cell r="K705">
            <v>15</v>
          </cell>
          <cell r="L705">
            <v>15</v>
          </cell>
          <cell r="M705">
            <v>30</v>
          </cell>
        </row>
        <row r="706">
          <cell r="B706" t="str">
            <v>NAVI</v>
          </cell>
          <cell r="D706" t="str">
            <v>HONDA</v>
          </cell>
          <cell r="E706" t="str">
            <v>NVA110BTII-NP NAVI (NEON PINK R)</v>
          </cell>
          <cell r="F706" t="str">
            <v>SCOOTER</v>
          </cell>
          <cell r="G706">
            <v>57990</v>
          </cell>
          <cell r="H706">
            <v>45</v>
          </cell>
          <cell r="I706">
            <v>30</v>
          </cell>
          <cell r="J706">
            <v>90</v>
          </cell>
          <cell r="K706">
            <v>15</v>
          </cell>
          <cell r="L706">
            <v>15</v>
          </cell>
          <cell r="M706">
            <v>30</v>
          </cell>
        </row>
        <row r="707">
          <cell r="B707" t="str">
            <v>SMASH(MAGS)</v>
          </cell>
          <cell r="D707" t="str">
            <v>SUZUKI</v>
          </cell>
          <cell r="E707" t="str">
            <v>SMASH(MAGS) FW110SC-FREDBLK (RED/BLACK)</v>
          </cell>
          <cell r="F707" t="str">
            <v>UNDERBONE</v>
          </cell>
          <cell r="G707">
            <v>67342</v>
          </cell>
          <cell r="H707">
            <v>45</v>
          </cell>
          <cell r="I707">
            <v>30</v>
          </cell>
          <cell r="J707">
            <v>90</v>
          </cell>
          <cell r="K707">
            <v>15</v>
          </cell>
          <cell r="L707">
            <v>15</v>
          </cell>
          <cell r="M707">
            <v>30</v>
          </cell>
        </row>
        <row r="708">
          <cell r="B708" t="str">
            <v>MIO GEAR S</v>
          </cell>
          <cell r="D708" t="str">
            <v>YAMAHA</v>
          </cell>
          <cell r="E708" t="str">
            <v>MIO GEAR S BYA2 (GRAY)</v>
          </cell>
          <cell r="F708" t="str">
            <v>SCOOTER</v>
          </cell>
          <cell r="G708">
            <v>76167</v>
          </cell>
          <cell r="H708">
            <v>45</v>
          </cell>
          <cell r="I708">
            <v>30</v>
          </cell>
          <cell r="J708">
            <v>90</v>
          </cell>
          <cell r="K708">
            <v>15</v>
          </cell>
          <cell r="L708">
            <v>15</v>
          </cell>
          <cell r="M708">
            <v>30</v>
          </cell>
        </row>
        <row r="709">
          <cell r="B709" t="str">
            <v>BURGMAN15</v>
          </cell>
          <cell r="D709" t="str">
            <v>SUZUKI</v>
          </cell>
          <cell r="E709" t="str">
            <v>BURGMAN 15 - UFR150 (WHITE/GOLD)</v>
          </cell>
          <cell r="F709" t="str">
            <v>SCOOTER</v>
          </cell>
          <cell r="G709">
            <v>156250</v>
          </cell>
          <cell r="H709">
            <v>45</v>
          </cell>
          <cell r="I709">
            <v>30</v>
          </cell>
          <cell r="J709">
            <v>90</v>
          </cell>
          <cell r="K709">
            <v>15</v>
          </cell>
          <cell r="L709">
            <v>15</v>
          </cell>
          <cell r="M709">
            <v>30</v>
          </cell>
        </row>
        <row r="710">
          <cell r="B710" t="str">
            <v>BURGMAN15</v>
          </cell>
          <cell r="D710" t="str">
            <v>SUZUKI</v>
          </cell>
          <cell r="E710" t="str">
            <v>BURGMAN 15 - UFR150 (BLACK/GRAY)</v>
          </cell>
          <cell r="F710" t="str">
            <v>SCOOTER</v>
          </cell>
          <cell r="G710">
            <v>156250</v>
          </cell>
          <cell r="H710">
            <v>45</v>
          </cell>
          <cell r="I710">
            <v>30</v>
          </cell>
          <cell r="J710">
            <v>90</v>
          </cell>
          <cell r="K710">
            <v>15</v>
          </cell>
          <cell r="L710">
            <v>15</v>
          </cell>
          <cell r="M710">
            <v>30</v>
          </cell>
        </row>
        <row r="711">
          <cell r="B711" t="str">
            <v>MIO GEAR S</v>
          </cell>
          <cell r="D711" t="str">
            <v>YAMAHA</v>
          </cell>
          <cell r="E711" t="str">
            <v>MIO GEAR S BYA2 (MATTE BROWN)</v>
          </cell>
          <cell r="F711" t="str">
            <v>SCOOTER</v>
          </cell>
          <cell r="G711">
            <v>76167</v>
          </cell>
          <cell r="H711">
            <v>45</v>
          </cell>
          <cell r="I711">
            <v>30</v>
          </cell>
          <cell r="J711">
            <v>90</v>
          </cell>
          <cell r="K711">
            <v>15</v>
          </cell>
          <cell r="L711">
            <v>15</v>
          </cell>
          <cell r="M711">
            <v>30</v>
          </cell>
        </row>
        <row r="712">
          <cell r="B712" t="str">
            <v>MIO GEAR S</v>
          </cell>
          <cell r="D712" t="str">
            <v>YAMAHA</v>
          </cell>
          <cell r="E712" t="str">
            <v>MIO GEAR S BYA2 (MATTE GRAY)</v>
          </cell>
          <cell r="F712" t="str">
            <v>SCOOTER</v>
          </cell>
          <cell r="G712">
            <v>76167</v>
          </cell>
          <cell r="H712">
            <v>45</v>
          </cell>
          <cell r="I712">
            <v>30</v>
          </cell>
          <cell r="J712">
            <v>90</v>
          </cell>
          <cell r="K712">
            <v>15</v>
          </cell>
          <cell r="L712">
            <v>15</v>
          </cell>
          <cell r="M712">
            <v>30</v>
          </cell>
        </row>
        <row r="713">
          <cell r="B713" t="str">
            <v>ACCESS 125 RIDE CONNECT</v>
          </cell>
          <cell r="D713" t="str">
            <v>SUZUKI</v>
          </cell>
          <cell r="E713" t="str">
            <v>UZ125NES-1WHITE (WHITE)</v>
          </cell>
          <cell r="F713" t="str">
            <v>SCOOTER</v>
          </cell>
          <cell r="G713">
            <v>91057</v>
          </cell>
          <cell r="H713">
            <v>45</v>
          </cell>
          <cell r="I713">
            <v>30</v>
          </cell>
          <cell r="J713">
            <v>90</v>
          </cell>
          <cell r="K713">
            <v>15</v>
          </cell>
          <cell r="L713">
            <v>15</v>
          </cell>
          <cell r="M713">
            <v>30</v>
          </cell>
        </row>
        <row r="714">
          <cell r="B714" t="str">
            <v>KLX150</v>
          </cell>
          <cell r="D714" t="str">
            <v>KAWASAKI</v>
          </cell>
          <cell r="E714" t="str">
            <v>KLX150KVAAN-GN2 (GREEN)</v>
          </cell>
          <cell r="F714" t="str">
            <v>SPORTS TYPE</v>
          </cell>
          <cell r="G714">
            <v>131626</v>
          </cell>
          <cell r="H714">
            <v>45</v>
          </cell>
          <cell r="I714">
            <v>30</v>
          </cell>
          <cell r="J714">
            <v>90</v>
          </cell>
          <cell r="K714">
            <v>15</v>
          </cell>
          <cell r="L714">
            <v>15</v>
          </cell>
          <cell r="M714">
            <v>30</v>
          </cell>
        </row>
        <row r="715">
          <cell r="B715" t="str">
            <v>WINNER X RC</v>
          </cell>
          <cell r="C715" t="str">
            <v>OLD</v>
          </cell>
          <cell r="D715" t="str">
            <v>HONDA</v>
          </cell>
          <cell r="E715" t="str">
            <v>FS150FARII-IR WINNER  X (ABS RACING) (RED)</v>
          </cell>
          <cell r="F715" t="str">
            <v>UNDERBONE</v>
          </cell>
          <cell r="G715">
            <v>125150</v>
          </cell>
          <cell r="H715">
            <v>45</v>
          </cell>
          <cell r="I715">
            <v>30</v>
          </cell>
          <cell r="J715">
            <v>90</v>
          </cell>
          <cell r="K715">
            <v>15</v>
          </cell>
          <cell r="L715">
            <v>15</v>
          </cell>
          <cell r="M715">
            <v>30</v>
          </cell>
        </row>
        <row r="716">
          <cell r="B716" t="str">
            <v>MIO i125s</v>
          </cell>
          <cell r="C716" t="str">
            <v>OLD</v>
          </cell>
          <cell r="D716" t="str">
            <v>YAMAHA</v>
          </cell>
          <cell r="E716" t="str">
            <v>MIO I 125 S B6B7 (MATTE DARK GRAY)</v>
          </cell>
          <cell r="F716" t="str">
            <v>SCOOTER</v>
          </cell>
          <cell r="G716">
            <v>74772</v>
          </cell>
          <cell r="H716">
            <v>45</v>
          </cell>
          <cell r="I716">
            <v>30</v>
          </cell>
          <cell r="J716">
            <v>90</v>
          </cell>
          <cell r="K716">
            <v>15</v>
          </cell>
          <cell r="L716">
            <v>15</v>
          </cell>
          <cell r="M716">
            <v>30</v>
          </cell>
        </row>
        <row r="717">
          <cell r="B717" t="str">
            <v>MIO i125s</v>
          </cell>
          <cell r="C717" t="str">
            <v>OLD</v>
          </cell>
          <cell r="D717" t="str">
            <v>YAMAHA</v>
          </cell>
          <cell r="E717" t="str">
            <v>MIO I 125 S B6B7 (MATTE BLUE)</v>
          </cell>
          <cell r="F717" t="str">
            <v>SCOOTER</v>
          </cell>
          <cell r="G717">
            <v>74772</v>
          </cell>
          <cell r="H717">
            <v>45</v>
          </cell>
          <cell r="I717">
            <v>30</v>
          </cell>
          <cell r="J717">
            <v>90</v>
          </cell>
          <cell r="K717">
            <v>15</v>
          </cell>
          <cell r="L717">
            <v>15</v>
          </cell>
          <cell r="M717">
            <v>30</v>
          </cell>
        </row>
        <row r="718">
          <cell r="B718" t="str">
            <v>PCX160 ROADSYNC</v>
          </cell>
          <cell r="D718" t="str">
            <v>HONDA</v>
          </cell>
          <cell r="E718" t="str">
            <v>PCX160 ROADSYNC WW160ST-QB (BROWN)</v>
          </cell>
          <cell r="F718" t="str">
            <v>SCOOTER</v>
          </cell>
          <cell r="G718">
            <v>147230</v>
          </cell>
          <cell r="H718">
            <v>45</v>
          </cell>
          <cell r="I718">
            <v>30</v>
          </cell>
          <cell r="J718">
            <v>90</v>
          </cell>
          <cell r="K718">
            <v>15</v>
          </cell>
          <cell r="L718">
            <v>15</v>
          </cell>
          <cell r="M718">
            <v>30</v>
          </cell>
        </row>
        <row r="719">
          <cell r="B719" t="str">
            <v>PCX160 ROADSYNC</v>
          </cell>
          <cell r="D719" t="str">
            <v>HONDA</v>
          </cell>
          <cell r="E719" t="str">
            <v>PCX160 ROADSYNC WW160ST-PM (RED)</v>
          </cell>
          <cell r="F719" t="str">
            <v>SCOOTER</v>
          </cell>
          <cell r="G719">
            <v>147230</v>
          </cell>
          <cell r="H719">
            <v>45</v>
          </cell>
          <cell r="I719">
            <v>30</v>
          </cell>
          <cell r="J719">
            <v>90</v>
          </cell>
          <cell r="K719">
            <v>15</v>
          </cell>
          <cell r="L719">
            <v>15</v>
          </cell>
          <cell r="M719">
            <v>30</v>
          </cell>
        </row>
        <row r="720">
          <cell r="B720" t="str">
            <v>GIXXER 250</v>
          </cell>
          <cell r="D720" t="str">
            <v>SUZUKI</v>
          </cell>
          <cell r="E720" t="str">
            <v>GSX250RL- 6BLUE</v>
          </cell>
          <cell r="F720" t="str">
            <v>BIGBIKE</v>
          </cell>
          <cell r="G720">
            <v>172897</v>
          </cell>
          <cell r="H720">
            <v>45</v>
          </cell>
          <cell r="I720">
            <v>30</v>
          </cell>
          <cell r="J720">
            <v>90</v>
          </cell>
          <cell r="K720">
            <v>15</v>
          </cell>
          <cell r="L720">
            <v>15</v>
          </cell>
          <cell r="M720">
            <v>30</v>
          </cell>
        </row>
        <row r="721">
          <cell r="B721" t="str">
            <v>ACCESS 125 RIDE CONNECT</v>
          </cell>
          <cell r="D721" t="str">
            <v>SUZUKI</v>
          </cell>
          <cell r="E721" t="str">
            <v>UZ125NES-1GREEN (GREEN)</v>
          </cell>
          <cell r="F721" t="str">
            <v>SCOOTER</v>
          </cell>
          <cell r="G721">
            <v>91057</v>
          </cell>
          <cell r="H721">
            <v>45</v>
          </cell>
          <cell r="I721">
            <v>30</v>
          </cell>
          <cell r="J721">
            <v>90</v>
          </cell>
          <cell r="K721">
            <v>15</v>
          </cell>
          <cell r="L721">
            <v>15</v>
          </cell>
          <cell r="M721">
            <v>30</v>
          </cell>
        </row>
        <row r="722">
          <cell r="B722" t="str">
            <v>CLICK125 FI SE</v>
          </cell>
          <cell r="D722" t="str">
            <v>HONDA</v>
          </cell>
          <cell r="E722" t="str">
            <v>CLICK125 FI (SMART EDITION) ACB125CBTT-PW</v>
          </cell>
          <cell r="F722" t="str">
            <v>SCOOTER</v>
          </cell>
          <cell r="G722">
            <v>84394</v>
          </cell>
          <cell r="H722">
            <v>45</v>
          </cell>
          <cell r="I722">
            <v>30</v>
          </cell>
          <cell r="J722">
            <v>90</v>
          </cell>
          <cell r="K722">
            <v>15</v>
          </cell>
          <cell r="L722">
            <v>15</v>
          </cell>
          <cell r="M722">
            <v>30</v>
          </cell>
        </row>
        <row r="723">
          <cell r="B723" t="str">
            <v>CLICK125 FI STREET</v>
          </cell>
          <cell r="D723" t="str">
            <v>HONDA</v>
          </cell>
          <cell r="E723" t="str">
            <v>CLICK125 STREET ACB125CBTV3 - GP (GRAPE/GRAY)</v>
          </cell>
          <cell r="F723" t="str">
            <v>SCOOTER</v>
          </cell>
          <cell r="G723">
            <v>86510</v>
          </cell>
          <cell r="H723">
            <v>45</v>
          </cell>
          <cell r="I723">
            <v>30</v>
          </cell>
          <cell r="J723">
            <v>90</v>
          </cell>
          <cell r="K723">
            <v>15</v>
          </cell>
          <cell r="L723">
            <v>15</v>
          </cell>
          <cell r="M723">
            <v>30</v>
          </cell>
        </row>
        <row r="724">
          <cell r="B724" t="str">
            <v>CLICK125 FI STREET</v>
          </cell>
          <cell r="D724" t="str">
            <v>HONDA</v>
          </cell>
          <cell r="E724" t="str">
            <v>LICK125 STREET ACB125CBTV3 - PW (WHITE/GRAY)</v>
          </cell>
          <cell r="F724" t="str">
            <v>SCOOTER</v>
          </cell>
          <cell r="G724">
            <v>86510</v>
          </cell>
          <cell r="H724">
            <v>45</v>
          </cell>
          <cell r="I724">
            <v>30</v>
          </cell>
          <cell r="J724">
            <v>90</v>
          </cell>
          <cell r="K724">
            <v>15</v>
          </cell>
          <cell r="L724">
            <v>15</v>
          </cell>
          <cell r="M724">
            <v>30</v>
          </cell>
        </row>
        <row r="725">
          <cell r="B725" t="str">
            <v>LANCE150</v>
          </cell>
          <cell r="D725" t="str">
            <v>SKYGO</v>
          </cell>
          <cell r="E725" t="str">
            <v>SG150T-8U LANCE150 (GRAY/BLACK)</v>
          </cell>
          <cell r="F725" t="str">
            <v>BUSINESS</v>
          </cell>
          <cell r="G725">
            <v>98325</v>
          </cell>
          <cell r="H725">
            <v>45</v>
          </cell>
          <cell r="I725">
            <v>30</v>
          </cell>
          <cell r="J725">
            <v>90</v>
          </cell>
          <cell r="K725">
            <v>15</v>
          </cell>
          <cell r="L725">
            <v>15</v>
          </cell>
          <cell r="M725">
            <v>30</v>
          </cell>
        </row>
      </sheetData>
      <sheetData sheetId="4"/>
      <sheetData sheetId="5">
        <row r="1">
          <cell r="A1" t="str">
            <v>Class ABC as of 2026-09-11</v>
          </cell>
        </row>
        <row r="2">
          <cell r="A2" t="str">
            <v>Standard Description</v>
          </cell>
          <cell r="B2" t="str">
            <v>Cost</v>
          </cell>
          <cell r="C2" t="str">
            <v>3-Mo Qty</v>
          </cell>
          <cell r="D2" t="str">
            <v>3-Mo Sale (PHP)</v>
          </cell>
          <cell r="E2" t="str">
            <v>Percentage</v>
          </cell>
          <cell r="F2" t="str">
            <v>Rank</v>
          </cell>
          <cell r="G2" t="str">
            <v>Cumulative</v>
          </cell>
          <cell r="H2" t="str">
            <v>Classification</v>
          </cell>
          <cell r="I2" t="str">
            <v>ABC</v>
          </cell>
        </row>
        <row r="3">
          <cell r="A3" t="str">
            <v>CLICK125 FI</v>
          </cell>
          <cell r="B3">
            <v>80070</v>
          </cell>
          <cell r="C3">
            <v>1681</v>
          </cell>
          <cell r="D3">
            <v>134597670</v>
          </cell>
          <cell r="E3">
            <v>0.1787427332168687</v>
          </cell>
          <cell r="F3">
            <v>1</v>
          </cell>
          <cell r="G3">
            <v>0.1787427332168687</v>
          </cell>
          <cell r="H3" t="str">
            <v>A</v>
          </cell>
          <cell r="I3" t="str">
            <v>A1</v>
          </cell>
        </row>
        <row r="4">
          <cell r="A4" t="str">
            <v>CT125</v>
          </cell>
          <cell r="B4">
            <v>60656</v>
          </cell>
          <cell r="C4">
            <v>1398</v>
          </cell>
          <cell r="D4">
            <v>84797088</v>
          </cell>
          <cell r="E4">
            <v>0.11260866014955041</v>
          </cell>
          <cell r="F4">
            <v>2</v>
          </cell>
          <cell r="G4">
            <v>0.29135139336641913</v>
          </cell>
          <cell r="H4" t="str">
            <v>A</v>
          </cell>
          <cell r="I4" t="str">
            <v>A2</v>
          </cell>
        </row>
        <row r="5">
          <cell r="A5" t="str">
            <v>BAJAJ RE 4S FI</v>
          </cell>
          <cell r="B5">
            <v>191000</v>
          </cell>
          <cell r="C5">
            <v>391</v>
          </cell>
          <cell r="D5">
            <v>74681000</v>
          </cell>
          <cell r="E5">
            <v>9.9174718695865763E-2</v>
          </cell>
          <cell r="F5">
            <v>3</v>
          </cell>
          <cell r="G5">
            <v>0.39052611206228488</v>
          </cell>
          <cell r="H5" t="str">
            <v>A</v>
          </cell>
          <cell r="I5" t="str">
            <v>A3</v>
          </cell>
        </row>
        <row r="6">
          <cell r="A6" t="str">
            <v>ADV160</v>
          </cell>
          <cell r="B6">
            <v>158270</v>
          </cell>
          <cell r="C6">
            <v>307</v>
          </cell>
          <cell r="D6">
            <v>48588890</v>
          </cell>
          <cell r="E6">
            <v>6.4524972851118287E-2</v>
          </cell>
          <cell r="F6">
            <v>4</v>
          </cell>
          <cell r="G6">
            <v>0.45505108491340318</v>
          </cell>
          <cell r="H6" t="str">
            <v>A</v>
          </cell>
          <cell r="I6" t="str">
            <v>A4</v>
          </cell>
        </row>
        <row r="7">
          <cell r="A7" t="str">
            <v>CRF150</v>
          </cell>
          <cell r="B7">
            <v>140790</v>
          </cell>
          <cell r="C7">
            <v>301</v>
          </cell>
          <cell r="D7">
            <v>42377790</v>
          </cell>
          <cell r="E7">
            <v>5.627676922112014E-2</v>
          </cell>
          <cell r="F7">
            <v>5</v>
          </cell>
          <cell r="G7">
            <v>0.51132785413452331</v>
          </cell>
          <cell r="H7" t="str">
            <v>A</v>
          </cell>
          <cell r="I7" t="str">
            <v>A5</v>
          </cell>
        </row>
        <row r="8">
          <cell r="A8" t="str">
            <v>CLICK125 FI SE</v>
          </cell>
          <cell r="B8">
            <v>84394</v>
          </cell>
          <cell r="C8">
            <v>493</v>
          </cell>
          <cell r="D8">
            <v>41606242</v>
          </cell>
          <cell r="E8">
            <v>5.5252170516491686E-2</v>
          </cell>
          <cell r="F8">
            <v>6</v>
          </cell>
          <cell r="G8">
            <v>0.56658002465101498</v>
          </cell>
          <cell r="H8" t="str">
            <v>A</v>
          </cell>
          <cell r="I8" t="str">
            <v>A6</v>
          </cell>
        </row>
        <row r="9">
          <cell r="A9" t="str">
            <v>NMAX155 FI ABS</v>
          </cell>
          <cell r="B9">
            <v>147312</v>
          </cell>
          <cell r="C9">
            <v>277</v>
          </cell>
          <cell r="D9">
            <v>40805424</v>
          </cell>
          <cell r="E9">
            <v>5.4188701898281087E-2</v>
          </cell>
          <cell r="F9">
            <v>7</v>
          </cell>
          <cell r="G9">
            <v>0.62076872654929605</v>
          </cell>
          <cell r="H9" t="str">
            <v>A</v>
          </cell>
          <cell r="I9" t="str">
            <v>A7</v>
          </cell>
        </row>
        <row r="10">
          <cell r="A10" t="str">
            <v>RAIDER150 FI BLADE</v>
          </cell>
          <cell r="B10">
            <v>123700</v>
          </cell>
          <cell r="C10">
            <v>206</v>
          </cell>
          <cell r="D10">
            <v>25482200</v>
          </cell>
          <cell r="E10">
            <v>3.3839798834399519E-2</v>
          </cell>
          <cell r="F10">
            <v>8</v>
          </cell>
          <cell r="G10">
            <v>0.65460852538369552</v>
          </cell>
          <cell r="H10" t="str">
            <v>A</v>
          </cell>
          <cell r="I10" t="str">
            <v>A8</v>
          </cell>
        </row>
        <row r="11">
          <cell r="A11" t="str">
            <v>MIO AEROX 155</v>
          </cell>
          <cell r="B11">
            <v>124527</v>
          </cell>
          <cell r="C11">
            <v>201</v>
          </cell>
          <cell r="D11">
            <v>25029927</v>
          </cell>
          <cell r="E11">
            <v>3.3239190278692779E-2</v>
          </cell>
          <cell r="F11">
            <v>9</v>
          </cell>
          <cell r="G11">
            <v>0.68784771566238834</v>
          </cell>
          <cell r="H11" t="str">
            <v>A</v>
          </cell>
          <cell r="I11" t="str">
            <v>A9</v>
          </cell>
        </row>
        <row r="12">
          <cell r="A12" t="str">
            <v>XRM DUAL SPORTS FI(DS)</v>
          </cell>
          <cell r="B12">
            <v>69950</v>
          </cell>
          <cell r="C12">
            <v>347</v>
          </cell>
          <cell r="D12">
            <v>24272650</v>
          </cell>
          <cell r="E12">
            <v>3.2233543146894209E-2</v>
          </cell>
          <cell r="F12">
            <v>10</v>
          </cell>
          <cell r="G12">
            <v>0.72008125880928253</v>
          </cell>
          <cell r="H12" t="str">
            <v>B</v>
          </cell>
          <cell r="I12" t="str">
            <v>B1</v>
          </cell>
        </row>
        <row r="13">
          <cell r="A13" t="str">
            <v>KLX150</v>
          </cell>
          <cell r="B13">
            <v>131626</v>
          </cell>
          <cell r="C13">
            <v>178</v>
          </cell>
          <cell r="D13">
            <v>23429428</v>
          </cell>
          <cell r="E13">
            <v>3.1113762953161324E-2</v>
          </cell>
          <cell r="F13">
            <v>11</v>
          </cell>
          <cell r="G13">
            <v>0.7511950217624439</v>
          </cell>
          <cell r="H13" t="str">
            <v>B</v>
          </cell>
          <cell r="I13" t="str">
            <v>B2</v>
          </cell>
        </row>
        <row r="14">
          <cell r="A14" t="str">
            <v>CLICK160 FI</v>
          </cell>
          <cell r="B14">
            <v>111258</v>
          </cell>
          <cell r="C14">
            <v>208</v>
          </cell>
          <cell r="D14">
            <v>23141664</v>
          </cell>
          <cell r="E14">
            <v>3.0731618716330043E-2</v>
          </cell>
          <cell r="F14">
            <v>12</v>
          </cell>
          <cell r="G14">
            <v>0.78192664047877392</v>
          </cell>
          <cell r="H14" t="str">
            <v>B</v>
          </cell>
          <cell r="I14" t="str">
            <v>B3</v>
          </cell>
        </row>
        <row r="15">
          <cell r="A15" t="str">
            <v>XRM MOTARD FI</v>
          </cell>
          <cell r="B15">
            <v>74550</v>
          </cell>
          <cell r="C15">
            <v>233</v>
          </cell>
          <cell r="D15">
            <v>17370150</v>
          </cell>
          <cell r="E15">
            <v>2.3067175586226653E-2</v>
          </cell>
          <cell r="F15">
            <v>13</v>
          </cell>
          <cell r="G15">
            <v>0.80499381606500053</v>
          </cell>
          <cell r="H15" t="str">
            <v>B</v>
          </cell>
          <cell r="I15" t="str">
            <v>B4</v>
          </cell>
        </row>
        <row r="16">
          <cell r="A16" t="str">
            <v>XR150</v>
          </cell>
          <cell r="B16">
            <v>94330</v>
          </cell>
          <cell r="C16">
            <v>168</v>
          </cell>
          <cell r="D16">
            <v>15847440</v>
          </cell>
          <cell r="E16">
            <v>2.1045050334751958E-2</v>
          </cell>
          <cell r="F16">
            <v>14</v>
          </cell>
          <cell r="G16">
            <v>0.82603886639975244</v>
          </cell>
          <cell r="H16" t="str">
            <v>B</v>
          </cell>
          <cell r="I16" t="str">
            <v>B5</v>
          </cell>
        </row>
        <row r="17">
          <cell r="A17" t="str">
            <v>MIO AEROX S 155</v>
          </cell>
          <cell r="B17">
            <v>152892</v>
          </cell>
          <cell r="C17">
            <v>70</v>
          </cell>
          <cell r="D17">
            <v>10702440</v>
          </cell>
          <cell r="E17">
            <v>1.4212603960302911E-2</v>
          </cell>
          <cell r="F17">
            <v>15</v>
          </cell>
          <cell r="G17">
            <v>0.84025147036005532</v>
          </cell>
          <cell r="H17" t="str">
            <v>B</v>
          </cell>
          <cell r="I17" t="str">
            <v>B6</v>
          </cell>
        </row>
        <row r="18">
          <cell r="A18" t="str">
            <v>XRM OFFROAD FI(DSX)</v>
          </cell>
          <cell r="B18">
            <v>73170</v>
          </cell>
          <cell r="C18">
            <v>128</v>
          </cell>
          <cell r="D18">
            <v>9365760</v>
          </cell>
          <cell r="E18">
            <v>1.2437522440419809E-2</v>
          </cell>
          <cell r="F18">
            <v>16</v>
          </cell>
          <cell r="G18">
            <v>0.85268899280047517</v>
          </cell>
          <cell r="H18" t="str">
            <v>B</v>
          </cell>
          <cell r="I18" t="str">
            <v>B7</v>
          </cell>
        </row>
        <row r="19">
          <cell r="A19" t="str">
            <v>NMAX155 TECHMAX</v>
          </cell>
          <cell r="B19">
            <v>165912</v>
          </cell>
          <cell r="C19">
            <v>51</v>
          </cell>
          <cell r="D19">
            <v>8461512</v>
          </cell>
          <cell r="E19">
            <v>1.1236701066425096E-2</v>
          </cell>
          <cell r="F19">
            <v>17</v>
          </cell>
          <cell r="G19">
            <v>0.86392569386690021</v>
          </cell>
          <cell r="H19" t="str">
            <v>B</v>
          </cell>
          <cell r="I19" t="str">
            <v>B8</v>
          </cell>
        </row>
        <row r="20">
          <cell r="A20" t="str">
            <v>BEAT FI PREM</v>
          </cell>
          <cell r="B20">
            <v>72434</v>
          </cell>
          <cell r="C20">
            <v>114</v>
          </cell>
          <cell r="D20">
            <v>8257476</v>
          </cell>
          <cell r="E20">
            <v>1.0965745764489802E-2</v>
          </cell>
          <cell r="F20">
            <v>18</v>
          </cell>
          <cell r="G20">
            <v>0.87489143963139004</v>
          </cell>
          <cell r="H20" t="str">
            <v>B</v>
          </cell>
          <cell r="I20" t="str">
            <v>B9</v>
          </cell>
        </row>
        <row r="21">
          <cell r="A21" t="str">
            <v>CT100</v>
          </cell>
          <cell r="B21">
            <v>59528</v>
          </cell>
          <cell r="C21">
            <v>137</v>
          </cell>
          <cell r="D21">
            <v>8155336</v>
          </cell>
          <cell r="E21">
            <v>1.0830106100216483E-2</v>
          </cell>
          <cell r="F21">
            <v>19</v>
          </cell>
          <cell r="G21">
            <v>0.88572154573160655</v>
          </cell>
          <cell r="H21" t="str">
            <v>B</v>
          </cell>
          <cell r="I21" t="str">
            <v>B10</v>
          </cell>
        </row>
        <row r="22">
          <cell r="A22" t="str">
            <v>BARAKO II (DUAL START)</v>
          </cell>
          <cell r="B22">
            <v>95530</v>
          </cell>
          <cell r="C22">
            <v>79</v>
          </cell>
          <cell r="D22">
            <v>7546870</v>
          </cell>
          <cell r="E22">
            <v>1.0022076689978288E-2</v>
          </cell>
          <cell r="F22">
            <v>20</v>
          </cell>
          <cell r="G22">
            <v>0.8957436224215849</v>
          </cell>
          <cell r="H22" t="str">
            <v>B</v>
          </cell>
          <cell r="I22" t="str">
            <v>B11</v>
          </cell>
        </row>
        <row r="23">
          <cell r="A23" t="str">
            <v>MIO i125</v>
          </cell>
          <cell r="B23">
            <v>70587</v>
          </cell>
          <cell r="C23">
            <v>95</v>
          </cell>
          <cell r="D23">
            <v>6705765</v>
          </cell>
          <cell r="E23">
            <v>8.9051078254921909E-3</v>
          </cell>
          <cell r="F23">
            <v>21</v>
          </cell>
          <cell r="G23">
            <v>0.90464873024707704</v>
          </cell>
          <cell r="H23" t="str">
            <v>B</v>
          </cell>
          <cell r="I23" t="str">
            <v>B12</v>
          </cell>
        </row>
        <row r="24">
          <cell r="A24" t="str">
            <v>NAVI</v>
          </cell>
          <cell r="B24">
            <v>57990</v>
          </cell>
          <cell r="C24">
            <v>87</v>
          </cell>
          <cell r="D24">
            <v>5045130</v>
          </cell>
          <cell r="E24">
            <v>6.6998212200435623E-3</v>
          </cell>
          <cell r="F24">
            <v>22</v>
          </cell>
          <cell r="G24">
            <v>0.91134855146712057</v>
          </cell>
          <cell r="H24" t="str">
            <v>B</v>
          </cell>
          <cell r="I24" t="str">
            <v>B13</v>
          </cell>
        </row>
        <row r="25">
          <cell r="A25" t="str">
            <v>XRM RS</v>
          </cell>
          <cell r="B25">
            <v>73630</v>
          </cell>
          <cell r="C25">
            <v>61</v>
          </cell>
          <cell r="D25">
            <v>4491430</v>
          </cell>
          <cell r="E25">
            <v>5.9645198483171411E-3</v>
          </cell>
          <cell r="F25">
            <v>23</v>
          </cell>
          <cell r="G25">
            <v>0.91731307131543771</v>
          </cell>
          <cell r="H25" t="str">
            <v>B</v>
          </cell>
          <cell r="I25" t="str">
            <v>B14</v>
          </cell>
        </row>
        <row r="26">
          <cell r="A26" t="str">
            <v>SNIPER 155 FI</v>
          </cell>
          <cell r="B26">
            <v>117087</v>
          </cell>
          <cell r="C26">
            <v>38</v>
          </cell>
          <cell r="D26">
            <v>4449306</v>
          </cell>
          <cell r="E26">
            <v>5.9085801066111557E-3</v>
          </cell>
          <cell r="F26">
            <v>24</v>
          </cell>
          <cell r="G26">
            <v>0.92322165142204882</v>
          </cell>
          <cell r="H26" t="str">
            <v>B</v>
          </cell>
          <cell r="I26" t="str">
            <v>B15</v>
          </cell>
        </row>
        <row r="27">
          <cell r="A27" t="str">
            <v>CRF300</v>
          </cell>
          <cell r="B27">
            <v>251318</v>
          </cell>
          <cell r="C27">
            <v>17</v>
          </cell>
          <cell r="D27">
            <v>4332790</v>
          </cell>
          <cell r="E27">
            <v>5.75384943182684E-3</v>
          </cell>
          <cell r="F27">
            <v>25</v>
          </cell>
          <cell r="G27">
            <v>0.9289755008538757</v>
          </cell>
          <cell r="H27" t="str">
            <v>B</v>
          </cell>
          <cell r="I27" t="str">
            <v>B16</v>
          </cell>
        </row>
        <row r="28">
          <cell r="A28" t="str">
            <v>TMX ALPHA FI</v>
          </cell>
          <cell r="B28">
            <v>56426</v>
          </cell>
          <cell r="C28">
            <v>72</v>
          </cell>
          <cell r="D28">
            <v>4062672</v>
          </cell>
          <cell r="E28">
            <v>5.395138693289731E-3</v>
          </cell>
          <cell r="F28">
            <v>26</v>
          </cell>
          <cell r="G28">
            <v>0.93437063954716548</v>
          </cell>
          <cell r="H28" t="str">
            <v>B</v>
          </cell>
          <cell r="I28" t="str">
            <v>B17</v>
          </cell>
        </row>
        <row r="29">
          <cell r="A29" t="str">
            <v>ADV350</v>
          </cell>
          <cell r="B29">
            <v>288910</v>
          </cell>
          <cell r="C29">
            <v>12</v>
          </cell>
          <cell r="D29">
            <v>3466920</v>
          </cell>
          <cell r="E29">
            <v>4.6039931942672297E-3</v>
          </cell>
          <cell r="F29">
            <v>27</v>
          </cell>
          <cell r="G29">
            <v>0.93897463274143267</v>
          </cell>
          <cell r="H29" t="str">
            <v>B</v>
          </cell>
          <cell r="I29" t="str">
            <v>B18</v>
          </cell>
        </row>
        <row r="30">
          <cell r="A30" t="str">
            <v>GIORNO</v>
          </cell>
          <cell r="B30">
            <v>101230</v>
          </cell>
          <cell r="C30">
            <v>33</v>
          </cell>
          <cell r="D30">
            <v>3340590</v>
          </cell>
          <cell r="E30">
            <v>4.4362297442217197E-3</v>
          </cell>
          <cell r="F30">
            <v>28</v>
          </cell>
          <cell r="G30">
            <v>0.94341086248565442</v>
          </cell>
          <cell r="H30" t="str">
            <v>B</v>
          </cell>
          <cell r="I30" t="str">
            <v>B19</v>
          </cell>
        </row>
        <row r="31">
          <cell r="A31" t="str">
            <v>TMX150 SUPREMO</v>
          </cell>
          <cell r="B31">
            <v>76850</v>
          </cell>
          <cell r="C31">
            <v>40</v>
          </cell>
          <cell r="D31">
            <v>3074000</v>
          </cell>
          <cell r="E31">
            <v>4.0822041117699465E-3</v>
          </cell>
          <cell r="F31">
            <v>29</v>
          </cell>
          <cell r="G31">
            <v>0.94749306659742438</v>
          </cell>
          <cell r="H31" t="str">
            <v>B</v>
          </cell>
          <cell r="I31" t="str">
            <v>B20</v>
          </cell>
        </row>
        <row r="32">
          <cell r="A32" t="str">
            <v>XTZ125</v>
          </cell>
          <cell r="B32">
            <v>85446</v>
          </cell>
          <cell r="C32">
            <v>35</v>
          </cell>
          <cell r="D32">
            <v>2990610</v>
          </cell>
          <cell r="E32">
            <v>3.9714640334093431E-3</v>
          </cell>
          <cell r="F32">
            <v>30</v>
          </cell>
          <cell r="G32">
            <v>0.95146453063083369</v>
          </cell>
          <cell r="H32" t="str">
            <v>C</v>
          </cell>
          <cell r="I32" t="str">
            <v>C1</v>
          </cell>
        </row>
        <row r="33">
          <cell r="A33" t="str">
            <v>SMASH(SPOKE)</v>
          </cell>
          <cell r="B33">
            <v>62692</v>
          </cell>
          <cell r="C33">
            <v>45</v>
          </cell>
          <cell r="D33">
            <v>2821140</v>
          </cell>
          <cell r="E33">
            <v>3.7464116160958578E-3</v>
          </cell>
          <cell r="F33">
            <v>31</v>
          </cell>
          <cell r="G33">
            <v>0.9552109422469296</v>
          </cell>
          <cell r="H33" t="str">
            <v>C</v>
          </cell>
          <cell r="I33" t="str">
            <v>C2</v>
          </cell>
        </row>
        <row r="34">
          <cell r="A34" t="str">
            <v>MIO GRAVIS</v>
          </cell>
          <cell r="B34">
            <v>78957</v>
          </cell>
          <cell r="C34">
            <v>31</v>
          </cell>
          <cell r="D34">
            <v>2447667</v>
          </cell>
          <cell r="E34">
            <v>3.2504477201182854E-3</v>
          </cell>
          <cell r="F34">
            <v>32</v>
          </cell>
          <cell r="G34">
            <v>0.95846138996704788</v>
          </cell>
          <cell r="H34" t="str">
            <v>C</v>
          </cell>
          <cell r="I34" t="str">
            <v>C3</v>
          </cell>
        </row>
        <row r="35">
          <cell r="A35" t="str">
            <v>YTX125</v>
          </cell>
          <cell r="B35">
            <v>54426</v>
          </cell>
          <cell r="C35">
            <v>39</v>
          </cell>
          <cell r="D35">
            <v>2122614</v>
          </cell>
          <cell r="E35">
            <v>2.818784514801709E-3</v>
          </cell>
          <cell r="F35">
            <v>33</v>
          </cell>
          <cell r="G35">
            <v>0.96128017448184955</v>
          </cell>
          <cell r="H35" t="str">
            <v>C</v>
          </cell>
          <cell r="I35" t="str">
            <v>C4</v>
          </cell>
        </row>
        <row r="36">
          <cell r="A36" t="str">
            <v>ADV160 ROADSYNC</v>
          </cell>
          <cell r="B36">
            <v>165630</v>
          </cell>
          <cell r="C36">
            <v>12</v>
          </cell>
          <cell r="D36">
            <v>1987560</v>
          </cell>
          <cell r="E36">
            <v>2.6394357854227311E-3</v>
          </cell>
          <cell r="F36">
            <v>34</v>
          </cell>
          <cell r="G36">
            <v>0.96391961026727224</v>
          </cell>
          <cell r="H36" t="str">
            <v>C</v>
          </cell>
          <cell r="I36" t="str">
            <v>C5</v>
          </cell>
        </row>
        <row r="37">
          <cell r="A37" t="str">
            <v>MIO GEAR S</v>
          </cell>
          <cell r="B37">
            <v>76167</v>
          </cell>
          <cell r="C37">
            <v>25</v>
          </cell>
          <cell r="D37">
            <v>1904175</v>
          </cell>
          <cell r="E37">
            <v>2.5287023469517038E-3</v>
          </cell>
          <cell r="F37">
            <v>35</v>
          </cell>
          <cell r="G37">
            <v>0.96644831261422393</v>
          </cell>
          <cell r="H37" t="str">
            <v>C</v>
          </cell>
          <cell r="I37" t="str">
            <v>C6</v>
          </cell>
        </row>
        <row r="38">
          <cell r="A38" t="str">
            <v>SMASH(MAGS)</v>
          </cell>
          <cell r="B38">
            <v>67342</v>
          </cell>
          <cell r="C38">
            <v>24</v>
          </cell>
          <cell r="D38">
            <v>1616208</v>
          </cell>
          <cell r="E38">
            <v>2.146288530603605E-3</v>
          </cell>
          <cell r="F38">
            <v>36</v>
          </cell>
          <cell r="G38">
            <v>0.96859460114482754</v>
          </cell>
          <cell r="H38" t="str">
            <v>C</v>
          </cell>
          <cell r="I38" t="str">
            <v>C7</v>
          </cell>
        </row>
        <row r="39">
          <cell r="A39" t="str">
            <v>WINNER X STD</v>
          </cell>
          <cell r="B39">
            <v>117790</v>
          </cell>
          <cell r="C39">
            <v>11</v>
          </cell>
          <cell r="D39">
            <v>1295690</v>
          </cell>
          <cell r="E39">
            <v>1.7206477051331171E-3</v>
          </cell>
          <cell r="F39">
            <v>37</v>
          </cell>
          <cell r="G39">
            <v>0.97031524884996068</v>
          </cell>
          <cell r="H39" t="str">
            <v>C</v>
          </cell>
          <cell r="I39" t="str">
            <v>C8</v>
          </cell>
        </row>
        <row r="40">
          <cell r="A40" t="str">
            <v>WINNER X RC</v>
          </cell>
          <cell r="B40">
            <v>125150</v>
          </cell>
          <cell r="C40">
            <v>10</v>
          </cell>
          <cell r="D40">
            <v>1251500</v>
          </cell>
          <cell r="E40">
            <v>1.6619643610540299E-3</v>
          </cell>
          <cell r="F40">
            <v>38</v>
          </cell>
          <cell r="G40">
            <v>0.97197721321101471</v>
          </cell>
          <cell r="H40" t="str">
            <v>C</v>
          </cell>
          <cell r="I40" t="str">
            <v>C9</v>
          </cell>
        </row>
        <row r="41">
          <cell r="A41" t="str">
            <v>AVENIS125</v>
          </cell>
          <cell r="B41">
            <v>77572</v>
          </cell>
          <cell r="C41">
            <v>16</v>
          </cell>
          <cell r="D41">
            <v>1241152</v>
          </cell>
          <cell r="E41">
            <v>1.6482224455860418E-3</v>
          </cell>
          <cell r="F41">
            <v>39</v>
          </cell>
          <cell r="G41">
            <v>0.97362543565660076</v>
          </cell>
          <cell r="H41" t="str">
            <v>C</v>
          </cell>
          <cell r="I41" t="str">
            <v>C10</v>
          </cell>
        </row>
        <row r="42">
          <cell r="A42" t="str">
            <v>PCX160 ROADSYNC</v>
          </cell>
          <cell r="B42">
            <v>147230</v>
          </cell>
          <cell r="C42">
            <v>8</v>
          </cell>
          <cell r="D42">
            <v>1177840</v>
          </cell>
          <cell r="E42">
            <v>1.5641455078097312E-3</v>
          </cell>
          <cell r="F42">
            <v>40</v>
          </cell>
          <cell r="G42">
            <v>0.97518958116441046</v>
          </cell>
          <cell r="H42" t="str">
            <v>C</v>
          </cell>
          <cell r="I42" t="str">
            <v>C11</v>
          </cell>
        </row>
        <row r="43">
          <cell r="A43" t="str">
            <v>MAXIMA Z</v>
          </cell>
          <cell r="B43">
            <v>225800</v>
          </cell>
          <cell r="C43">
            <v>5</v>
          </cell>
          <cell r="D43">
            <v>1129000</v>
          </cell>
          <cell r="E43">
            <v>1.4992870664242907E-3</v>
          </cell>
          <cell r="F43">
            <v>41</v>
          </cell>
          <cell r="G43">
            <v>0.97668886823083478</v>
          </cell>
          <cell r="H43" t="str">
            <v>C</v>
          </cell>
          <cell r="I43" t="str">
            <v>C12</v>
          </cell>
        </row>
        <row r="44">
          <cell r="A44" t="str">
            <v>BARAKO II (KICK START)</v>
          </cell>
          <cell r="B44">
            <v>91770</v>
          </cell>
          <cell r="C44">
            <v>11</v>
          </cell>
          <cell r="D44">
            <v>1009470</v>
          </cell>
          <cell r="E44">
            <v>1.3405538662031255E-3</v>
          </cell>
          <cell r="F44">
            <v>42</v>
          </cell>
          <cell r="G44">
            <v>0.97802942209703791</v>
          </cell>
          <cell r="H44" t="str">
            <v>C</v>
          </cell>
          <cell r="I44" t="str">
            <v>C13</v>
          </cell>
        </row>
        <row r="45">
          <cell r="A45" t="str">
            <v>MIO GEAR</v>
          </cell>
          <cell r="B45">
            <v>73842</v>
          </cell>
          <cell r="C45">
            <v>13</v>
          </cell>
          <cell r="D45">
            <v>959946</v>
          </cell>
          <cell r="E45">
            <v>1.2747870879235891E-3</v>
          </cell>
          <cell r="F45">
            <v>43</v>
          </cell>
          <cell r="G45">
            <v>0.97930420918496153</v>
          </cell>
          <cell r="H45" t="str">
            <v>C</v>
          </cell>
          <cell r="I45" t="str">
            <v>C14</v>
          </cell>
        </row>
        <row r="46">
          <cell r="A46" t="str">
            <v>FAZZIO</v>
          </cell>
          <cell r="B46">
            <v>86397</v>
          </cell>
          <cell r="C46">
            <v>11</v>
          </cell>
          <cell r="D46">
            <v>950367</v>
          </cell>
          <cell r="E46">
            <v>1.2620663874725012E-3</v>
          </cell>
          <cell r="F46">
            <v>44</v>
          </cell>
          <cell r="G46">
            <v>0.98056627557243403</v>
          </cell>
          <cell r="H46" t="str">
            <v>C</v>
          </cell>
          <cell r="I46" t="str">
            <v>C15</v>
          </cell>
        </row>
        <row r="47">
          <cell r="A47" t="str">
            <v>WIZARD</v>
          </cell>
          <cell r="B47">
            <v>35055</v>
          </cell>
          <cell r="C47">
            <v>24</v>
          </cell>
          <cell r="D47">
            <v>841320</v>
          </cell>
          <cell r="E47">
            <v>1.1172543797378957E-3</v>
          </cell>
          <cell r="F47">
            <v>45</v>
          </cell>
          <cell r="G47">
            <v>0.9816835299521719</v>
          </cell>
          <cell r="H47" t="str">
            <v>C</v>
          </cell>
          <cell r="I47" t="str">
            <v>C16</v>
          </cell>
        </row>
        <row r="48">
          <cell r="A48" t="str">
            <v>BARAKO III FI(DUAL START)</v>
          </cell>
          <cell r="B48">
            <v>100700</v>
          </cell>
          <cell r="C48">
            <v>8</v>
          </cell>
          <cell r="D48">
            <v>805600</v>
          </cell>
          <cell r="E48">
            <v>1.0698190086017791E-3</v>
          </cell>
          <cell r="F48">
            <v>46</v>
          </cell>
          <cell r="G48">
            <v>0.98275334896077371</v>
          </cell>
          <cell r="H48" t="str">
            <v>C</v>
          </cell>
          <cell r="I48" t="str">
            <v>C17</v>
          </cell>
        </row>
        <row r="49">
          <cell r="A49" t="str">
            <v>BURGMAN15</v>
          </cell>
          <cell r="B49">
            <v>156250</v>
          </cell>
          <cell r="C49">
            <v>5</v>
          </cell>
          <cell r="D49">
            <v>781250</v>
          </cell>
          <cell r="E49">
            <v>1.0374827463631329E-3</v>
          </cell>
          <cell r="F49">
            <v>47</v>
          </cell>
          <cell r="G49">
            <v>0.98379083170713688</v>
          </cell>
          <cell r="H49" t="str">
            <v>C</v>
          </cell>
          <cell r="I49" t="str">
            <v>C18</v>
          </cell>
        </row>
        <row r="50">
          <cell r="A50" t="str">
            <v>BEAT FI STD</v>
          </cell>
          <cell r="B50">
            <v>70998</v>
          </cell>
          <cell r="C50">
            <v>11</v>
          </cell>
          <cell r="D50">
            <v>774510</v>
          </cell>
          <cell r="E50">
            <v>1.028532175213709E-3</v>
          </cell>
          <cell r="F50">
            <v>48</v>
          </cell>
          <cell r="G50">
            <v>0.98481936388235058</v>
          </cell>
          <cell r="H50" t="str">
            <v>C</v>
          </cell>
          <cell r="I50" t="str">
            <v>C19</v>
          </cell>
        </row>
        <row r="51">
          <cell r="A51" t="str">
            <v>WINNER X ABS</v>
          </cell>
          <cell r="B51">
            <v>123310</v>
          </cell>
          <cell r="C51">
            <v>6</v>
          </cell>
          <cell r="D51">
            <v>739860</v>
          </cell>
          <cell r="E51">
            <v>9.8251774044701124E-4</v>
          </cell>
          <cell r="F51">
            <v>49</v>
          </cell>
          <cell r="G51">
            <v>0.98580188162279758</v>
          </cell>
          <cell r="H51" t="str">
            <v>C</v>
          </cell>
          <cell r="I51" t="str">
            <v>C20</v>
          </cell>
        </row>
        <row r="52">
          <cell r="A52" t="str">
            <v>BURGMAN STREET EX</v>
          </cell>
          <cell r="B52">
            <v>89662</v>
          </cell>
          <cell r="C52">
            <v>8</v>
          </cell>
          <cell r="D52">
            <v>717296</v>
          </cell>
          <cell r="E52">
            <v>9.5255324676517099E-4</v>
          </cell>
          <cell r="F52">
            <v>50</v>
          </cell>
          <cell r="G52">
            <v>0.98675443486956271</v>
          </cell>
          <cell r="H52" t="str">
            <v>C</v>
          </cell>
          <cell r="I52" t="str">
            <v>C21</v>
          </cell>
        </row>
        <row r="53">
          <cell r="A53" t="str">
            <v>V-STROM 160</v>
          </cell>
          <cell r="B53">
            <v>138580</v>
          </cell>
          <cell r="C53">
            <v>5</v>
          </cell>
          <cell r="D53">
            <v>692900</v>
          </cell>
          <cell r="E53">
            <v>9.2015589754241894E-4</v>
          </cell>
          <cell r="F53">
            <v>51</v>
          </cell>
          <cell r="G53">
            <v>0.98767459076710518</v>
          </cell>
          <cell r="H53" t="str">
            <v>C</v>
          </cell>
          <cell r="I53" t="str">
            <v>C22</v>
          </cell>
        </row>
        <row r="54">
          <cell r="A54" t="str">
            <v>ACCESS 125</v>
          </cell>
          <cell r="B54">
            <v>82687</v>
          </cell>
          <cell r="C54">
            <v>8</v>
          </cell>
          <cell r="D54">
            <v>661496</v>
          </cell>
          <cell r="E54">
            <v>8.7845207908893055E-4</v>
          </cell>
          <cell r="F54">
            <v>52</v>
          </cell>
          <cell r="G54">
            <v>0.98855304284619405</v>
          </cell>
          <cell r="H54" t="str">
            <v>C</v>
          </cell>
          <cell r="I54" t="str">
            <v>C23</v>
          </cell>
        </row>
        <row r="55">
          <cell r="A55" t="str">
            <v>LEXI 155</v>
          </cell>
          <cell r="B55">
            <v>92907</v>
          </cell>
          <cell r="C55">
            <v>7</v>
          </cell>
          <cell r="D55">
            <v>650349</v>
          </cell>
          <cell r="E55">
            <v>8.6364910926658197E-4</v>
          </cell>
          <cell r="F55">
            <v>53</v>
          </cell>
          <cell r="G55">
            <v>0.98941669195546067</v>
          </cell>
          <cell r="H55" t="str">
            <v>C</v>
          </cell>
          <cell r="I55" t="str">
            <v>C24</v>
          </cell>
        </row>
        <row r="56">
          <cell r="A56" t="str">
            <v>CT100B</v>
          </cell>
          <cell r="B56">
            <v>52948</v>
          </cell>
          <cell r="C56">
            <v>11</v>
          </cell>
          <cell r="D56">
            <v>582428</v>
          </cell>
          <cell r="E56">
            <v>7.7345152127844714E-4</v>
          </cell>
          <cell r="F56">
            <v>54</v>
          </cell>
          <cell r="G56">
            <v>0.99019014347673917</v>
          </cell>
          <cell r="H56" t="str">
            <v>C</v>
          </cell>
          <cell r="I56" t="str">
            <v>C25</v>
          </cell>
        </row>
        <row r="57">
          <cell r="A57" t="str">
            <v>XMAX 300</v>
          </cell>
          <cell r="B57">
            <v>278535</v>
          </cell>
          <cell r="C57">
            <v>2</v>
          </cell>
          <cell r="D57">
            <v>578460</v>
          </cell>
          <cell r="E57">
            <v>7.681821049103589E-4</v>
          </cell>
          <cell r="F57">
            <v>55</v>
          </cell>
          <cell r="G57">
            <v>0.99095832558164954</v>
          </cell>
          <cell r="H57" t="str">
            <v>C</v>
          </cell>
          <cell r="I57" t="str">
            <v>C26</v>
          </cell>
        </row>
        <row r="58">
          <cell r="A58" t="str">
            <v>WAVE RSX(DISC)</v>
          </cell>
          <cell r="B58">
            <v>63510</v>
          </cell>
          <cell r="C58">
            <v>9</v>
          </cell>
          <cell r="D58">
            <v>571590</v>
          </cell>
          <cell r="E58">
            <v>7.5905889663194009E-4</v>
          </cell>
          <cell r="F58">
            <v>56</v>
          </cell>
          <cell r="G58">
            <v>0.99171738447828151</v>
          </cell>
          <cell r="H58" t="str">
            <v>C</v>
          </cell>
          <cell r="I58" t="str">
            <v>C27</v>
          </cell>
        </row>
        <row r="59">
          <cell r="A59" t="str">
            <v>PCX160 STANDARD</v>
          </cell>
          <cell r="B59">
            <v>126990</v>
          </cell>
          <cell r="C59">
            <v>4</v>
          </cell>
          <cell r="D59">
            <v>507960</v>
          </cell>
          <cell r="E59">
            <v>6.7455966187854983E-4</v>
          </cell>
          <cell r="F59">
            <v>57</v>
          </cell>
          <cell r="G59">
            <v>0.99239194414016008</v>
          </cell>
          <cell r="H59" t="str">
            <v>C</v>
          </cell>
          <cell r="I59" t="str">
            <v>C28</v>
          </cell>
        </row>
        <row r="60">
          <cell r="A60" t="str">
            <v>BRUSKY125</v>
          </cell>
          <cell r="B60">
            <v>72500</v>
          </cell>
          <cell r="C60">
            <v>7</v>
          </cell>
          <cell r="D60">
            <v>507500</v>
          </cell>
          <cell r="E60">
            <v>6.7394879203749121E-4</v>
          </cell>
          <cell r="F60">
            <v>58</v>
          </cell>
          <cell r="G60">
            <v>0.9930658929321976</v>
          </cell>
          <cell r="H60" t="str">
            <v>C</v>
          </cell>
          <cell r="I60" t="str">
            <v>C29</v>
          </cell>
        </row>
        <row r="61">
          <cell r="A61" t="str">
            <v>PCX160 CBS</v>
          </cell>
          <cell r="B61">
            <v>126198</v>
          </cell>
          <cell r="C61">
            <v>4</v>
          </cell>
          <cell r="D61">
            <v>504792</v>
          </cell>
          <cell r="E61">
            <v>6.7035262784273747E-4</v>
          </cell>
          <cell r="F61">
            <v>59</v>
          </cell>
          <cell r="G61">
            <v>0.99373624556004037</v>
          </cell>
          <cell r="H61" t="str">
            <v>C</v>
          </cell>
          <cell r="I61" t="str">
            <v>C30</v>
          </cell>
        </row>
        <row r="62">
          <cell r="A62" t="str">
            <v>DR160</v>
          </cell>
          <cell r="B62">
            <v>122770</v>
          </cell>
          <cell r="C62">
            <v>4</v>
          </cell>
          <cell r="D62">
            <v>491080</v>
          </cell>
          <cell r="E62">
            <v>6.5214339466752934E-4</v>
          </cell>
          <cell r="F62">
            <v>60</v>
          </cell>
          <cell r="G62">
            <v>0.99438838895470794</v>
          </cell>
          <cell r="H62" t="str">
            <v>C</v>
          </cell>
          <cell r="I62" t="str">
            <v>C31</v>
          </cell>
        </row>
        <row r="63">
          <cell r="A63" t="str">
            <v>MAXIMA CARGO</v>
          </cell>
          <cell r="B63">
            <v>221800</v>
          </cell>
          <cell r="C63">
            <v>2</v>
          </cell>
          <cell r="D63">
            <v>443600</v>
          </cell>
          <cell r="E63">
            <v>5.8909100324695774E-4</v>
          </cell>
          <cell r="F63">
            <v>61</v>
          </cell>
          <cell r="G63">
            <v>0.99497747995795494</v>
          </cell>
          <cell r="H63" t="str">
            <v>C</v>
          </cell>
          <cell r="I63" t="str">
            <v>C32</v>
          </cell>
        </row>
        <row r="64">
          <cell r="A64" t="str">
            <v>PG-1</v>
          </cell>
          <cell r="B64">
            <v>86397</v>
          </cell>
          <cell r="C64">
            <v>5</v>
          </cell>
          <cell r="D64">
            <v>431985</v>
          </cell>
          <cell r="E64">
            <v>5.7366653976022785E-4</v>
          </cell>
          <cell r="F64">
            <v>62</v>
          </cell>
          <cell r="G64">
            <v>0.99555114649771514</v>
          </cell>
          <cell r="H64" t="str">
            <v>C</v>
          </cell>
          <cell r="I64" t="str">
            <v>C33</v>
          </cell>
        </row>
        <row r="65">
          <cell r="A65" t="str">
            <v>BURGMAN STREET</v>
          </cell>
          <cell r="B65">
            <v>78872</v>
          </cell>
          <cell r="C65">
            <v>5</v>
          </cell>
          <cell r="D65">
            <v>395290</v>
          </cell>
          <cell r="E65">
            <v>5.2493639015664998E-4</v>
          </cell>
          <cell r="F65">
            <v>63</v>
          </cell>
          <cell r="G65">
            <v>0.99607608288787175</v>
          </cell>
          <cell r="H65" t="str">
            <v>C</v>
          </cell>
          <cell r="I65" t="str">
            <v>C34</v>
          </cell>
        </row>
        <row r="66">
          <cell r="A66" t="str">
            <v>MIO i125s</v>
          </cell>
          <cell r="B66">
            <v>74772</v>
          </cell>
          <cell r="C66">
            <v>5</v>
          </cell>
          <cell r="D66">
            <v>373860</v>
          </cell>
          <cell r="E66">
            <v>4.9647782343081078E-4</v>
          </cell>
          <cell r="F66">
            <v>64</v>
          </cell>
          <cell r="G66">
            <v>0.99657256071130251</v>
          </cell>
          <cell r="H66" t="str">
            <v>C</v>
          </cell>
          <cell r="I66" t="str">
            <v>C35</v>
          </cell>
        </row>
        <row r="67">
          <cell r="A67" t="str">
            <v>BOXER</v>
          </cell>
          <cell r="B67">
            <v>71560</v>
          </cell>
          <cell r="C67">
            <v>4</v>
          </cell>
          <cell r="D67">
            <v>286240</v>
          </cell>
          <cell r="E67">
            <v>3.8012039848829847E-4</v>
          </cell>
          <cell r="F67">
            <v>65</v>
          </cell>
          <cell r="G67">
            <v>0.99695268110979085</v>
          </cell>
          <cell r="H67" t="str">
            <v>C</v>
          </cell>
          <cell r="I67" t="str">
            <v>C36</v>
          </cell>
        </row>
        <row r="68">
          <cell r="A68" t="str">
            <v>PCX160 ABS</v>
          </cell>
          <cell r="B68">
            <v>142758</v>
          </cell>
          <cell r="C68">
            <v>2</v>
          </cell>
          <cell r="D68">
            <v>285516</v>
          </cell>
          <cell r="E68">
            <v>3.791589424775888E-4</v>
          </cell>
          <cell r="F68">
            <v>66</v>
          </cell>
          <cell r="G68">
            <v>0.99733184005226849</v>
          </cell>
          <cell r="H68" t="str">
            <v>C</v>
          </cell>
          <cell r="I68" t="str">
            <v>C37</v>
          </cell>
        </row>
        <row r="69">
          <cell r="A69" t="str">
            <v>CRF150R</v>
          </cell>
          <cell r="B69">
            <v>284880</v>
          </cell>
          <cell r="C69">
            <v>1</v>
          </cell>
          <cell r="D69">
            <v>284880</v>
          </cell>
          <cell r="E69">
            <v>3.783143485234295E-4</v>
          </cell>
          <cell r="F69">
            <v>67</v>
          </cell>
          <cell r="G69">
            <v>0.99771015440079192</v>
          </cell>
          <cell r="H69" t="str">
            <v>C</v>
          </cell>
          <cell r="I69" t="str">
            <v>C38</v>
          </cell>
        </row>
        <row r="70">
          <cell r="A70" t="str">
            <v>RAIDER150 FI PRO</v>
          </cell>
          <cell r="B70">
            <v>138952</v>
          </cell>
          <cell r="C70">
            <v>2</v>
          </cell>
          <cell r="D70">
            <v>277904</v>
          </cell>
          <cell r="E70">
            <v>3.6905037458598414E-4</v>
          </cell>
          <cell r="F70">
            <v>68</v>
          </cell>
          <cell r="G70">
            <v>0.99807920477537793</v>
          </cell>
          <cell r="H70" t="str">
            <v>C</v>
          </cell>
          <cell r="I70" t="str">
            <v>C39</v>
          </cell>
        </row>
        <row r="71">
          <cell r="A71" t="str">
            <v>RAIDER150 CARB</v>
          </cell>
          <cell r="B71">
            <v>104077</v>
          </cell>
          <cell r="C71">
            <v>2</v>
          </cell>
          <cell r="D71">
            <v>208154</v>
          </cell>
          <cell r="E71">
            <v>2.7642391499068362E-4</v>
          </cell>
          <cell r="F71">
            <v>69</v>
          </cell>
          <cell r="G71">
            <v>0.99835562869036865</v>
          </cell>
          <cell r="H71" t="str">
            <v>C</v>
          </cell>
          <cell r="I71" t="str">
            <v>C40</v>
          </cell>
        </row>
        <row r="72">
          <cell r="A72" t="str">
            <v>GIXXER 155</v>
          </cell>
          <cell r="B72">
            <v>101752</v>
          </cell>
          <cell r="C72">
            <v>2</v>
          </cell>
          <cell r="D72">
            <v>203504</v>
          </cell>
          <cell r="E72">
            <v>2.7024881768433024E-4</v>
          </cell>
          <cell r="F72">
            <v>70</v>
          </cell>
          <cell r="G72">
            <v>0.99862587750805298</v>
          </cell>
          <cell r="H72" t="str">
            <v>C</v>
          </cell>
          <cell r="I72" t="str">
            <v>C41</v>
          </cell>
        </row>
        <row r="73">
          <cell r="A73" t="str">
            <v>WAVE RSX (DRUM)</v>
          </cell>
          <cell r="B73">
            <v>61670</v>
          </cell>
          <cell r="C73">
            <v>3</v>
          </cell>
          <cell r="D73">
            <v>185010</v>
          </cell>
          <cell r="E73">
            <v>2.4568919411794334E-4</v>
          </cell>
          <cell r="F73">
            <v>71</v>
          </cell>
          <cell r="G73">
            <v>0.99887156670217092</v>
          </cell>
          <cell r="H73" t="str">
            <v>C</v>
          </cell>
          <cell r="I73" t="str">
            <v>C42</v>
          </cell>
        </row>
        <row r="74">
          <cell r="A74" t="str">
            <v>ACCESS 125 RIDE CONNECT</v>
          </cell>
          <cell r="B74">
            <v>91057</v>
          </cell>
          <cell r="C74">
            <v>2</v>
          </cell>
          <cell r="D74">
            <v>182114</v>
          </cell>
          <cell r="E74">
            <v>2.4184337007510475E-4</v>
          </cell>
          <cell r="F74">
            <v>72</v>
          </cell>
          <cell r="G74">
            <v>0.99911341007224608</v>
          </cell>
          <cell r="H74" t="str">
            <v>C</v>
          </cell>
          <cell r="I74" t="str">
            <v>C43</v>
          </cell>
        </row>
        <row r="75">
          <cell r="A75" t="str">
            <v>SMASH FI(MAGS)</v>
          </cell>
          <cell r="B75">
            <v>71062</v>
          </cell>
          <cell r="C75">
            <v>2</v>
          </cell>
          <cell r="D75">
            <v>142124</v>
          </cell>
          <cell r="E75">
            <v>1.887375332404658E-4</v>
          </cell>
          <cell r="F75">
            <v>73</v>
          </cell>
          <cell r="G75">
            <v>0.99930214760548652</v>
          </cell>
          <cell r="H75" t="str">
            <v>C</v>
          </cell>
          <cell r="I75" t="str">
            <v>C44</v>
          </cell>
        </row>
        <row r="76">
          <cell r="A76" t="str">
            <v>SKYDRIVE SPORT</v>
          </cell>
          <cell r="B76">
            <v>68177</v>
          </cell>
          <cell r="C76">
            <v>2</v>
          </cell>
          <cell r="D76">
            <v>136354</v>
          </cell>
          <cell r="E76">
            <v>1.8107510066892624E-4</v>
          </cell>
          <cell r="F76">
            <v>74</v>
          </cell>
          <cell r="G76">
            <v>0.99948322270615542</v>
          </cell>
          <cell r="H76" t="str">
            <v>C</v>
          </cell>
          <cell r="I76" t="str">
            <v>C45</v>
          </cell>
        </row>
        <row r="77">
          <cell r="A77" t="str">
            <v>SMASH FI(SPOKE)</v>
          </cell>
          <cell r="B77">
            <v>66412</v>
          </cell>
          <cell r="C77">
            <v>2</v>
          </cell>
          <cell r="D77">
            <v>132824</v>
          </cell>
          <cell r="E77">
            <v>1.7638733862775907E-4</v>
          </cell>
          <cell r="F77">
            <v>75</v>
          </cell>
          <cell r="G77">
            <v>0.99965961004478321</v>
          </cell>
          <cell r="H77" t="str">
            <v>C</v>
          </cell>
          <cell r="I77" t="str">
            <v>C46</v>
          </cell>
        </row>
        <row r="78">
          <cell r="A78" t="str">
            <v>AIRBLADE 160</v>
          </cell>
          <cell r="B78">
            <v>118838</v>
          </cell>
          <cell r="C78">
            <v>1</v>
          </cell>
          <cell r="D78">
            <v>118838</v>
          </cell>
          <cell r="E78">
            <v>1.5781423950374655E-4</v>
          </cell>
          <cell r="F78">
            <v>76</v>
          </cell>
          <cell r="G78">
            <v>0.99981742428428699</v>
          </cell>
          <cell r="H78" t="str">
            <v>C</v>
          </cell>
          <cell r="I78" t="str">
            <v>C47</v>
          </cell>
        </row>
        <row r="79">
          <cell r="A79" t="str">
            <v>BOLT150</v>
          </cell>
          <cell r="B79">
            <v>98325</v>
          </cell>
          <cell r="C79">
            <v>1</v>
          </cell>
          <cell r="D79">
            <v>98325</v>
          </cell>
          <cell r="E79">
            <v>1.3057342852627847E-4</v>
          </cell>
          <cell r="F79">
            <v>77</v>
          </cell>
          <cell r="G79">
            <v>0.99994799771281329</v>
          </cell>
          <cell r="H79" t="str">
            <v>C</v>
          </cell>
          <cell r="I79" t="str">
            <v>C48</v>
          </cell>
        </row>
        <row r="80">
          <cell r="A80" t="str">
            <v>KING</v>
          </cell>
          <cell r="B80">
            <v>36765</v>
          </cell>
          <cell r="C80">
            <v>1</v>
          </cell>
          <cell r="D80">
            <v>39159</v>
          </cell>
          <cell r="E80">
            <v>5.2002287186987422E-5</v>
          </cell>
          <cell r="F80">
            <v>78</v>
          </cell>
          <cell r="G80">
            <v>1.0000000000000002</v>
          </cell>
          <cell r="H80" t="str">
            <v>C</v>
          </cell>
          <cell r="I80" t="str">
            <v>C49</v>
          </cell>
        </row>
        <row r="81">
          <cell r="C81" t="str">
            <v>Total:</v>
          </cell>
          <cell r="D81">
            <v>753024571</v>
          </cell>
        </row>
      </sheetData>
      <sheetData sheetId="6"/>
      <sheetData sheetId="7"/>
      <sheetData sheetId="8"/>
      <sheetData sheetId="9">
        <row r="1">
          <cell r="A1" t="str">
            <v>PO Balance 2026-09-07</v>
          </cell>
        </row>
        <row r="2">
          <cell r="A2" t="str">
            <v>Standard Description</v>
          </cell>
          <cell r="B2" t="str">
            <v>Brand</v>
          </cell>
          <cell r="C2" t="str">
            <v>PO Balance</v>
          </cell>
        </row>
        <row r="3">
          <cell r="A3" t="str">
            <v>AIRBLADE 150</v>
          </cell>
          <cell r="B3" t="str">
            <v>HONDA</v>
          </cell>
          <cell r="C3">
            <v>0</v>
          </cell>
        </row>
        <row r="4">
          <cell r="A4" t="str">
            <v>AIRBLADE 160</v>
          </cell>
          <cell r="B4" t="str">
            <v>HONDA</v>
          </cell>
          <cell r="C4">
            <v>0</v>
          </cell>
        </row>
        <row r="5">
          <cell r="A5" t="str">
            <v>CLICK125 FI</v>
          </cell>
          <cell r="B5" t="str">
            <v>HONDA</v>
          </cell>
          <cell r="C5">
            <v>1247</v>
          </cell>
        </row>
        <row r="6">
          <cell r="A6" t="str">
            <v>CLICK125 FI SE</v>
          </cell>
          <cell r="B6" t="str">
            <v>HONDA</v>
          </cell>
          <cell r="C6">
            <v>794</v>
          </cell>
        </row>
        <row r="7">
          <cell r="A7" t="str">
            <v>CLICK125 FI STREET</v>
          </cell>
          <cell r="B7" t="str">
            <v>HONDA</v>
          </cell>
          <cell r="C7">
            <v>59</v>
          </cell>
        </row>
        <row r="8">
          <cell r="A8" t="str">
            <v>CLICK150 FI</v>
          </cell>
          <cell r="B8" t="str">
            <v>HONDA</v>
          </cell>
          <cell r="C8">
            <v>0</v>
          </cell>
        </row>
        <row r="9">
          <cell r="A9" t="str">
            <v>CLICK160 FI</v>
          </cell>
          <cell r="B9" t="str">
            <v>HONDA</v>
          </cell>
          <cell r="C9">
            <v>110</v>
          </cell>
        </row>
        <row r="10">
          <cell r="A10" t="str">
            <v>BEAT FI STD</v>
          </cell>
          <cell r="B10" t="str">
            <v>HONDA</v>
          </cell>
          <cell r="C10">
            <v>87</v>
          </cell>
        </row>
        <row r="11">
          <cell r="A11" t="str">
            <v>BEAT FI PREM</v>
          </cell>
          <cell r="B11" t="str">
            <v>HONDA</v>
          </cell>
          <cell r="C11">
            <v>123</v>
          </cell>
        </row>
        <row r="12">
          <cell r="A12" t="str">
            <v>GENIO</v>
          </cell>
          <cell r="B12" t="str">
            <v>HONDA</v>
          </cell>
          <cell r="C12">
            <v>0</v>
          </cell>
        </row>
        <row r="13">
          <cell r="A13" t="str">
            <v>GIORNO</v>
          </cell>
          <cell r="B13" t="str">
            <v>HONDA</v>
          </cell>
          <cell r="C13">
            <v>47</v>
          </cell>
        </row>
        <row r="14">
          <cell r="A14" t="str">
            <v>ADV150</v>
          </cell>
          <cell r="B14" t="str">
            <v>HONDA</v>
          </cell>
          <cell r="C14">
            <v>0</v>
          </cell>
        </row>
        <row r="15">
          <cell r="A15" t="str">
            <v>ADV160</v>
          </cell>
          <cell r="B15" t="str">
            <v>HONDA</v>
          </cell>
          <cell r="C15">
            <v>402</v>
          </cell>
        </row>
        <row r="16">
          <cell r="A16" t="str">
            <v>ADV160 ROADSYNC</v>
          </cell>
          <cell r="B16" t="str">
            <v>HONDA</v>
          </cell>
          <cell r="C16">
            <v>23</v>
          </cell>
        </row>
        <row r="17">
          <cell r="A17" t="str">
            <v>ADV350</v>
          </cell>
          <cell r="B17" t="str">
            <v>HONDA</v>
          </cell>
          <cell r="C17">
            <v>8</v>
          </cell>
        </row>
        <row r="18">
          <cell r="A18" t="str">
            <v>X-ADV 750</v>
          </cell>
          <cell r="B18" t="str">
            <v>HONDA</v>
          </cell>
          <cell r="C18">
            <v>0</v>
          </cell>
        </row>
        <row r="19">
          <cell r="A19" t="str">
            <v>TMX ALPHA FI</v>
          </cell>
          <cell r="B19" t="str">
            <v>HONDA</v>
          </cell>
          <cell r="C19">
            <v>51</v>
          </cell>
        </row>
        <row r="20">
          <cell r="A20" t="str">
            <v>TMX150 SUPREMO</v>
          </cell>
          <cell r="B20" t="str">
            <v>HONDA</v>
          </cell>
          <cell r="C20">
            <v>107</v>
          </cell>
        </row>
        <row r="21">
          <cell r="A21" t="str">
            <v>CRF125</v>
          </cell>
          <cell r="B21" t="str">
            <v>HONDA</v>
          </cell>
          <cell r="C21">
            <v>0</v>
          </cell>
        </row>
        <row r="22">
          <cell r="A22" t="str">
            <v>CRF150R</v>
          </cell>
          <cell r="B22" t="str">
            <v>HONDA</v>
          </cell>
          <cell r="C22">
            <v>0</v>
          </cell>
        </row>
        <row r="23">
          <cell r="A23" t="str">
            <v>CRF250R</v>
          </cell>
          <cell r="B23" t="str">
            <v>HONDA</v>
          </cell>
          <cell r="C23">
            <v>0</v>
          </cell>
        </row>
        <row r="24">
          <cell r="A24" t="str">
            <v>CRF150</v>
          </cell>
          <cell r="B24" t="str">
            <v>HONDA</v>
          </cell>
          <cell r="C24">
            <v>287</v>
          </cell>
        </row>
        <row r="25">
          <cell r="A25" t="str">
            <v>CRF250</v>
          </cell>
          <cell r="B25" t="str">
            <v>HONDA</v>
          </cell>
          <cell r="C25">
            <v>0</v>
          </cell>
        </row>
        <row r="26">
          <cell r="A26" t="str">
            <v>CRF300</v>
          </cell>
          <cell r="B26" t="str">
            <v>HONDA</v>
          </cell>
          <cell r="C26">
            <v>16</v>
          </cell>
        </row>
        <row r="27">
          <cell r="A27" t="str">
            <v>CRF300 RALLY</v>
          </cell>
          <cell r="B27" t="str">
            <v>HONDA</v>
          </cell>
          <cell r="C27">
            <v>0</v>
          </cell>
        </row>
        <row r="28">
          <cell r="A28" t="str">
            <v>CB150X</v>
          </cell>
          <cell r="B28" t="str">
            <v>HONDA</v>
          </cell>
          <cell r="C28">
            <v>0</v>
          </cell>
        </row>
        <row r="29">
          <cell r="A29" t="str">
            <v>CBR150R</v>
          </cell>
          <cell r="B29" t="str">
            <v>HONDA</v>
          </cell>
          <cell r="C29">
            <v>0</v>
          </cell>
        </row>
        <row r="30">
          <cell r="A30" t="str">
            <v>DIO</v>
          </cell>
          <cell r="B30" t="str">
            <v>HONDA</v>
          </cell>
          <cell r="C30">
            <v>0</v>
          </cell>
        </row>
        <row r="31">
          <cell r="A31" t="str">
            <v>SUPRA GTR</v>
          </cell>
          <cell r="B31" t="str">
            <v>HONDA</v>
          </cell>
          <cell r="C31">
            <v>0</v>
          </cell>
        </row>
        <row r="32">
          <cell r="A32" t="str">
            <v>PCX160 ABS</v>
          </cell>
          <cell r="B32" t="str">
            <v>HONDA</v>
          </cell>
          <cell r="C32">
            <v>0</v>
          </cell>
        </row>
        <row r="33">
          <cell r="A33" t="str">
            <v>PCX160 CBS</v>
          </cell>
          <cell r="B33" t="str">
            <v>HONDA</v>
          </cell>
          <cell r="C33">
            <v>0</v>
          </cell>
        </row>
        <row r="34">
          <cell r="A34" t="str">
            <v>PCX160 ROADSYNC</v>
          </cell>
          <cell r="B34" t="str">
            <v>HONDA</v>
          </cell>
          <cell r="C34">
            <v>13</v>
          </cell>
        </row>
        <row r="35">
          <cell r="A35" t="str">
            <v>PCX160 STANDARD</v>
          </cell>
          <cell r="B35" t="str">
            <v>HONDA</v>
          </cell>
          <cell r="C35">
            <v>3</v>
          </cell>
        </row>
        <row r="36">
          <cell r="A36" t="str">
            <v>CB150R</v>
          </cell>
          <cell r="B36" t="str">
            <v>HONDA</v>
          </cell>
          <cell r="C36">
            <v>0</v>
          </cell>
        </row>
        <row r="37">
          <cell r="A37" t="str">
            <v>WINNER X STD</v>
          </cell>
          <cell r="B37" t="str">
            <v>HONDA</v>
          </cell>
          <cell r="C37">
            <v>22</v>
          </cell>
        </row>
        <row r="38">
          <cell r="A38" t="str">
            <v>WINNER X ABS</v>
          </cell>
          <cell r="B38" t="str">
            <v>HONDA</v>
          </cell>
          <cell r="C38">
            <v>62</v>
          </cell>
        </row>
        <row r="39">
          <cell r="A39" t="str">
            <v>WINNER X RC</v>
          </cell>
          <cell r="B39" t="str">
            <v>HONDA</v>
          </cell>
          <cell r="C39">
            <v>0</v>
          </cell>
        </row>
        <row r="40">
          <cell r="A40" t="str">
            <v>WAVE RSX (DRUM)</v>
          </cell>
          <cell r="B40" t="str">
            <v>HONDA</v>
          </cell>
          <cell r="C40">
            <v>0</v>
          </cell>
        </row>
        <row r="41">
          <cell r="A41" t="str">
            <v>WAVE RSX(DISC)</v>
          </cell>
          <cell r="B41" t="str">
            <v>HONDA</v>
          </cell>
          <cell r="C41">
            <v>0</v>
          </cell>
        </row>
        <row r="42">
          <cell r="A42" t="str">
            <v>NAVI</v>
          </cell>
          <cell r="B42" t="str">
            <v>HONDA</v>
          </cell>
          <cell r="C42">
            <v>65</v>
          </cell>
        </row>
        <row r="43">
          <cell r="A43" t="str">
            <v>GOLDWING</v>
          </cell>
          <cell r="B43" t="str">
            <v>HONDA</v>
          </cell>
          <cell r="C43">
            <v>0</v>
          </cell>
        </row>
        <row r="44">
          <cell r="A44" t="str">
            <v>CUV e:</v>
          </cell>
          <cell r="B44" t="str">
            <v>HONDA</v>
          </cell>
          <cell r="C44">
            <v>0</v>
          </cell>
        </row>
        <row r="45">
          <cell r="A45" t="str">
            <v>EM1 e:</v>
          </cell>
          <cell r="B45" t="str">
            <v>HONDA</v>
          </cell>
          <cell r="C45">
            <v>0</v>
          </cell>
        </row>
        <row r="46">
          <cell r="A46" t="str">
            <v>XR150</v>
          </cell>
          <cell r="B46" t="str">
            <v>HONDA</v>
          </cell>
          <cell r="C46">
            <v>190</v>
          </cell>
        </row>
        <row r="47">
          <cell r="A47" t="str">
            <v>XRM MOTARD FI</v>
          </cell>
          <cell r="B47" t="str">
            <v>HONDA</v>
          </cell>
          <cell r="C47">
            <v>239</v>
          </cell>
        </row>
        <row r="48">
          <cell r="A48" t="str">
            <v>XRM DUAL SPORTS FI(DS)</v>
          </cell>
          <cell r="B48" t="str">
            <v>HONDA</v>
          </cell>
          <cell r="C48">
            <v>263</v>
          </cell>
        </row>
        <row r="49">
          <cell r="A49" t="str">
            <v>XRM OFFROAD FI(DSX)</v>
          </cell>
          <cell r="B49" t="str">
            <v>HONDA</v>
          </cell>
          <cell r="C49">
            <v>90</v>
          </cell>
        </row>
        <row r="50">
          <cell r="A50" t="str">
            <v>XRM RS</v>
          </cell>
          <cell r="B50" t="str">
            <v>HONDA</v>
          </cell>
          <cell r="C50">
            <v>115</v>
          </cell>
        </row>
        <row r="51">
          <cell r="A51" t="str">
            <v>RAIDER J CROSSOVER</v>
          </cell>
          <cell r="B51" t="str">
            <v>SUZUKI</v>
          </cell>
          <cell r="C51">
            <v>0</v>
          </cell>
        </row>
        <row r="52">
          <cell r="A52" t="str">
            <v>RAIDER150 CARB</v>
          </cell>
          <cell r="B52" t="str">
            <v>SUZUKI</v>
          </cell>
          <cell r="C52">
            <v>0</v>
          </cell>
        </row>
        <row r="53">
          <cell r="A53" t="str">
            <v>RAIDER150 FI</v>
          </cell>
          <cell r="B53" t="str">
            <v>SUZUKI</v>
          </cell>
          <cell r="C53">
            <v>0</v>
          </cell>
        </row>
        <row r="54">
          <cell r="A54" t="str">
            <v>RAIDER150 FI PRO</v>
          </cell>
          <cell r="B54" t="str">
            <v>SUZUKI</v>
          </cell>
          <cell r="C54">
            <v>38</v>
          </cell>
        </row>
        <row r="55">
          <cell r="A55" t="str">
            <v>RAIDER150 FI BLADE</v>
          </cell>
          <cell r="B55" t="str">
            <v>SUZUKI</v>
          </cell>
          <cell r="C55">
            <v>112</v>
          </cell>
        </row>
        <row r="56">
          <cell r="A56" t="str">
            <v>SMASH(SPOKE)</v>
          </cell>
          <cell r="B56" t="str">
            <v>SUZUKI</v>
          </cell>
          <cell r="C56">
            <v>0</v>
          </cell>
        </row>
        <row r="57">
          <cell r="A57" t="str">
            <v>SMASH(MAGS)</v>
          </cell>
          <cell r="B57" t="str">
            <v>SUZUKI</v>
          </cell>
          <cell r="C57">
            <v>20</v>
          </cell>
        </row>
        <row r="58">
          <cell r="A58" t="str">
            <v>SMASH FI(SPOKE)</v>
          </cell>
          <cell r="B58" t="str">
            <v>SUZUKI</v>
          </cell>
          <cell r="C58">
            <v>0</v>
          </cell>
        </row>
        <row r="59">
          <cell r="A59" t="str">
            <v>SMASH FI(MAGS)</v>
          </cell>
          <cell r="B59" t="str">
            <v>SUZUKI</v>
          </cell>
          <cell r="C59">
            <v>0</v>
          </cell>
        </row>
        <row r="60">
          <cell r="A60" t="str">
            <v>ACCESS 125</v>
          </cell>
          <cell r="B60" t="str">
            <v>SUZUKI</v>
          </cell>
          <cell r="C60">
            <v>10</v>
          </cell>
        </row>
        <row r="61">
          <cell r="A61" t="str">
            <v>ACCESS 125 RIDE CONNECT</v>
          </cell>
          <cell r="B61" t="str">
            <v>SUZUKI</v>
          </cell>
          <cell r="C61">
            <v>12</v>
          </cell>
        </row>
        <row r="62">
          <cell r="A62" t="str">
            <v>V-STROM 250 SX</v>
          </cell>
          <cell r="B62" t="str">
            <v>SUZUKI</v>
          </cell>
          <cell r="C62">
            <v>0</v>
          </cell>
        </row>
        <row r="63">
          <cell r="A63" t="str">
            <v>GD110</v>
          </cell>
          <cell r="B63" t="str">
            <v>SUZUKI</v>
          </cell>
          <cell r="C63">
            <v>0</v>
          </cell>
        </row>
        <row r="64">
          <cell r="A64" t="str">
            <v>GIXXER SF 155</v>
          </cell>
          <cell r="B64" t="str">
            <v>SUZUKI</v>
          </cell>
          <cell r="C64">
            <v>0</v>
          </cell>
        </row>
        <row r="65">
          <cell r="A65" t="str">
            <v>GIXXER150FI</v>
          </cell>
          <cell r="B65" t="str">
            <v>SUZUKI</v>
          </cell>
          <cell r="C65">
            <v>0</v>
          </cell>
        </row>
        <row r="66">
          <cell r="A66" t="str">
            <v>GIXXER 155</v>
          </cell>
          <cell r="B66" t="str">
            <v>SUZUKI</v>
          </cell>
          <cell r="C66">
            <v>1</v>
          </cell>
        </row>
        <row r="67">
          <cell r="A67" t="str">
            <v>GSX150-S</v>
          </cell>
          <cell r="B67" t="str">
            <v>SUZUKI</v>
          </cell>
          <cell r="C67">
            <v>0</v>
          </cell>
        </row>
        <row r="68">
          <cell r="A68" t="str">
            <v>GIXXER 250</v>
          </cell>
          <cell r="B68" t="str">
            <v>SUZUKI</v>
          </cell>
          <cell r="C68">
            <v>0</v>
          </cell>
        </row>
        <row r="69">
          <cell r="A69" t="str">
            <v>GIXXER SF 250</v>
          </cell>
          <cell r="B69" t="str">
            <v>SUZUKI</v>
          </cell>
          <cell r="C69">
            <v>0</v>
          </cell>
        </row>
        <row r="70">
          <cell r="A70" t="str">
            <v>SKYDRIVE SPORT</v>
          </cell>
          <cell r="B70" t="str">
            <v>SUZUKI</v>
          </cell>
          <cell r="C70">
            <v>0</v>
          </cell>
        </row>
        <row r="71">
          <cell r="A71" t="str">
            <v>SKYDRIVE CROSSOVER</v>
          </cell>
          <cell r="B71" t="str">
            <v>SUZUKI</v>
          </cell>
          <cell r="C71">
            <v>0</v>
          </cell>
        </row>
        <row r="72">
          <cell r="A72" t="str">
            <v>AVENIS125</v>
          </cell>
          <cell r="B72" t="str">
            <v>SUZUKI</v>
          </cell>
          <cell r="C72">
            <v>0</v>
          </cell>
        </row>
        <row r="73">
          <cell r="A73" t="str">
            <v>BURGMAN STREET</v>
          </cell>
          <cell r="B73" t="str">
            <v>SUZUKI</v>
          </cell>
          <cell r="C73">
            <v>3</v>
          </cell>
        </row>
        <row r="74">
          <cell r="A74" t="str">
            <v>BURGMAN STREET EX</v>
          </cell>
          <cell r="B74" t="str">
            <v>SUZUKI</v>
          </cell>
          <cell r="C74">
            <v>2</v>
          </cell>
        </row>
        <row r="75">
          <cell r="A75" t="str">
            <v>BURGMAN15</v>
          </cell>
          <cell r="B75" t="str">
            <v>SUZUKI</v>
          </cell>
          <cell r="C75">
            <v>20</v>
          </cell>
        </row>
        <row r="76">
          <cell r="A76" t="str">
            <v>V-STROM 160</v>
          </cell>
          <cell r="B76" t="str">
            <v>SUZUKI</v>
          </cell>
          <cell r="C76">
            <v>11</v>
          </cell>
        </row>
        <row r="77">
          <cell r="A77" t="str">
            <v>DR160</v>
          </cell>
          <cell r="B77" t="str">
            <v>SUZUKI</v>
          </cell>
          <cell r="C77">
            <v>11</v>
          </cell>
        </row>
        <row r="78">
          <cell r="A78" t="str">
            <v>BARAKO II (KICK START)</v>
          </cell>
          <cell r="B78" t="str">
            <v>KAWASAKI</v>
          </cell>
          <cell r="C78">
            <v>7</v>
          </cell>
        </row>
        <row r="79">
          <cell r="A79" t="str">
            <v>BARAKO II (DUAL START)</v>
          </cell>
          <cell r="B79" t="str">
            <v>KAWASAKI</v>
          </cell>
          <cell r="C79">
            <v>66</v>
          </cell>
        </row>
        <row r="80">
          <cell r="A80" t="str">
            <v>BARAKO III FI(KICK START)</v>
          </cell>
          <cell r="B80" t="str">
            <v>KAWASAKI</v>
          </cell>
          <cell r="C80">
            <v>0</v>
          </cell>
        </row>
        <row r="81">
          <cell r="A81" t="str">
            <v>BARAKO III FI(DUAL START)</v>
          </cell>
          <cell r="B81" t="str">
            <v>KAWASAKI</v>
          </cell>
          <cell r="C81">
            <v>21</v>
          </cell>
        </row>
        <row r="82">
          <cell r="A82" t="str">
            <v>BARAKO II (ELECTRIC START)</v>
          </cell>
          <cell r="B82" t="str">
            <v>KAWASAKI</v>
          </cell>
          <cell r="C82">
            <v>0</v>
          </cell>
        </row>
        <row r="83">
          <cell r="A83" t="str">
            <v>BOXER</v>
          </cell>
          <cell r="B83" t="str">
            <v>KAWASAKI</v>
          </cell>
          <cell r="C83">
            <v>0</v>
          </cell>
        </row>
        <row r="84">
          <cell r="A84" t="str">
            <v>BRUSKY125</v>
          </cell>
          <cell r="B84" t="str">
            <v>KAWASAKI</v>
          </cell>
          <cell r="C84">
            <v>0</v>
          </cell>
        </row>
        <row r="85">
          <cell r="A85" t="str">
            <v>ROUSER200N</v>
          </cell>
          <cell r="B85" t="str">
            <v>KAWASAKI</v>
          </cell>
          <cell r="C85">
            <v>0</v>
          </cell>
        </row>
        <row r="86">
          <cell r="A86" t="str">
            <v>CT100</v>
          </cell>
          <cell r="B86" t="str">
            <v>KAWASAKI</v>
          </cell>
          <cell r="C86">
            <v>50</v>
          </cell>
        </row>
        <row r="87">
          <cell r="A87" t="str">
            <v>CT100B</v>
          </cell>
          <cell r="B87" t="str">
            <v>KAWASAKI</v>
          </cell>
          <cell r="C87">
            <v>0</v>
          </cell>
        </row>
        <row r="88">
          <cell r="A88" t="str">
            <v>CT125</v>
          </cell>
          <cell r="B88" t="str">
            <v>KAWASAKI</v>
          </cell>
          <cell r="C88">
            <v>567</v>
          </cell>
        </row>
        <row r="89">
          <cell r="A89" t="str">
            <v>DOMINAR 400</v>
          </cell>
          <cell r="B89" t="str">
            <v>KAWASAKI</v>
          </cell>
          <cell r="C89">
            <v>0</v>
          </cell>
        </row>
        <row r="90">
          <cell r="A90" t="str">
            <v>KLX140</v>
          </cell>
          <cell r="B90" t="str">
            <v>KAWASAKI</v>
          </cell>
          <cell r="C90">
            <v>2</v>
          </cell>
        </row>
        <row r="91">
          <cell r="A91" t="str">
            <v>KLX150</v>
          </cell>
          <cell r="B91" t="str">
            <v>KAWASAKI</v>
          </cell>
          <cell r="C91">
            <v>174</v>
          </cell>
        </row>
        <row r="92">
          <cell r="A92" t="str">
            <v>KLX150S</v>
          </cell>
          <cell r="B92" t="str">
            <v>KAWASAKI</v>
          </cell>
          <cell r="C92">
            <v>0</v>
          </cell>
        </row>
        <row r="93">
          <cell r="A93" t="str">
            <v>KLX230</v>
          </cell>
          <cell r="B93" t="str">
            <v>KAWASAKI</v>
          </cell>
          <cell r="C93">
            <v>0</v>
          </cell>
        </row>
        <row r="94">
          <cell r="A94" t="str">
            <v>KLX300</v>
          </cell>
          <cell r="B94" t="str">
            <v>KAWASAKI</v>
          </cell>
          <cell r="C94">
            <v>0</v>
          </cell>
        </row>
        <row r="95">
          <cell r="A95" t="str">
            <v>NINJA 400</v>
          </cell>
          <cell r="B95" t="str">
            <v>KAWASAKI</v>
          </cell>
          <cell r="C95">
            <v>0</v>
          </cell>
        </row>
        <row r="96">
          <cell r="A96" t="str">
            <v>ROUSER135</v>
          </cell>
          <cell r="B96" t="str">
            <v>KAWASAKI</v>
          </cell>
          <cell r="C96">
            <v>0</v>
          </cell>
        </row>
        <row r="97">
          <cell r="A97" t="str">
            <v>ROUSER 180</v>
          </cell>
          <cell r="B97" t="str">
            <v>KAWASAKI</v>
          </cell>
          <cell r="C97">
            <v>0</v>
          </cell>
        </row>
        <row r="98">
          <cell r="A98" t="str">
            <v>ROUSER NS125</v>
          </cell>
          <cell r="B98" t="str">
            <v>KAWASAKI</v>
          </cell>
          <cell r="C98">
            <v>0</v>
          </cell>
        </row>
        <row r="99">
          <cell r="A99" t="str">
            <v>ROUSER NS150</v>
          </cell>
          <cell r="B99" t="str">
            <v>KAWASAKI</v>
          </cell>
          <cell r="C99">
            <v>0</v>
          </cell>
        </row>
        <row r="100">
          <cell r="A100" t="str">
            <v>ROUSER NS160</v>
          </cell>
          <cell r="B100" t="str">
            <v>KAWASAKI</v>
          </cell>
          <cell r="C100">
            <v>0</v>
          </cell>
        </row>
        <row r="101">
          <cell r="A101" t="str">
            <v>ROUSER NS200</v>
          </cell>
          <cell r="B101" t="str">
            <v>KAWASAKI</v>
          </cell>
          <cell r="C101">
            <v>0</v>
          </cell>
        </row>
        <row r="102">
          <cell r="A102" t="str">
            <v>ROUSER RS200</v>
          </cell>
          <cell r="B102" t="str">
            <v>KAWASAKI</v>
          </cell>
          <cell r="C102">
            <v>0</v>
          </cell>
        </row>
        <row r="103">
          <cell r="A103" t="str">
            <v>W175</v>
          </cell>
          <cell r="B103" t="str">
            <v>KAWASAKI</v>
          </cell>
          <cell r="C103">
            <v>0</v>
          </cell>
        </row>
        <row r="104">
          <cell r="A104" t="str">
            <v>WIZARD</v>
          </cell>
          <cell r="B104" t="str">
            <v>SKYGO</v>
          </cell>
          <cell r="C104">
            <v>12</v>
          </cell>
        </row>
        <row r="105">
          <cell r="A105" t="str">
            <v>KING</v>
          </cell>
          <cell r="B105" t="str">
            <v>SKYGO</v>
          </cell>
          <cell r="C105">
            <v>0</v>
          </cell>
        </row>
        <row r="106">
          <cell r="A106" t="str">
            <v>HERO</v>
          </cell>
          <cell r="B106" t="str">
            <v>SKYGO</v>
          </cell>
          <cell r="C106">
            <v>0</v>
          </cell>
        </row>
        <row r="107">
          <cell r="A107" t="str">
            <v>ARROW 150</v>
          </cell>
          <cell r="B107" t="str">
            <v>SKYGO</v>
          </cell>
          <cell r="C107">
            <v>0</v>
          </cell>
        </row>
        <row r="108">
          <cell r="A108" t="str">
            <v>LANCE150</v>
          </cell>
          <cell r="B108" t="str">
            <v>SKYGO</v>
          </cell>
          <cell r="C108">
            <v>0</v>
          </cell>
        </row>
        <row r="109">
          <cell r="A109" t="str">
            <v>KPV150</v>
          </cell>
          <cell r="B109" t="str">
            <v>SKYGO</v>
          </cell>
          <cell r="C109">
            <v>0</v>
          </cell>
        </row>
        <row r="110">
          <cell r="A110" t="str">
            <v>BOLT150</v>
          </cell>
          <cell r="B110" t="str">
            <v>SKYGO</v>
          </cell>
          <cell r="C110">
            <v>0</v>
          </cell>
        </row>
        <row r="111">
          <cell r="A111" t="str">
            <v>KING CAB</v>
          </cell>
          <cell r="B111" t="str">
            <v>SKYGO</v>
          </cell>
          <cell r="C111">
            <v>0</v>
          </cell>
        </row>
        <row r="112">
          <cell r="A112" t="str">
            <v>PONY</v>
          </cell>
          <cell r="B112" t="str">
            <v>SKYGO</v>
          </cell>
          <cell r="C112">
            <v>0</v>
          </cell>
        </row>
        <row r="113">
          <cell r="A113" t="str">
            <v>BAJAJ RE 4S FI</v>
          </cell>
          <cell r="B113" t="str">
            <v>BAJAJ RE</v>
          </cell>
          <cell r="C113">
            <v>62</v>
          </cell>
        </row>
        <row r="114">
          <cell r="A114" t="str">
            <v>MAXIMA Z</v>
          </cell>
          <cell r="B114" t="str">
            <v>BAJAJ RE</v>
          </cell>
          <cell r="C114">
            <v>0</v>
          </cell>
        </row>
        <row r="115">
          <cell r="A115" t="str">
            <v>BAJAJ RE SP. ED</v>
          </cell>
          <cell r="B115" t="str">
            <v>BAJAJ RE</v>
          </cell>
          <cell r="C115">
            <v>0</v>
          </cell>
        </row>
        <row r="116">
          <cell r="A116" t="str">
            <v>MAXIMA CARGO</v>
          </cell>
          <cell r="B116" t="str">
            <v>BAJAJ RE</v>
          </cell>
          <cell r="C116">
            <v>0</v>
          </cell>
        </row>
        <row r="117">
          <cell r="A117" t="str">
            <v>MAXIMA CARGO SOL.</v>
          </cell>
          <cell r="B117" t="str">
            <v>BAJAJ RE</v>
          </cell>
          <cell r="C117">
            <v>0</v>
          </cell>
        </row>
        <row r="118">
          <cell r="A118" t="str">
            <v>MIO AEROX 155</v>
          </cell>
          <cell r="B118" t="str">
            <v>YAMAHA</v>
          </cell>
          <cell r="C118">
            <v>161</v>
          </cell>
        </row>
        <row r="119">
          <cell r="A119" t="str">
            <v>MIO AEROX S 155</v>
          </cell>
          <cell r="B119" t="str">
            <v>YAMAHA</v>
          </cell>
          <cell r="C119">
            <v>2</v>
          </cell>
        </row>
        <row r="120">
          <cell r="A120" t="str">
            <v>MIO GRAVIS</v>
          </cell>
          <cell r="B120" t="str">
            <v>YAMAHA</v>
          </cell>
          <cell r="C120">
            <v>38</v>
          </cell>
        </row>
        <row r="121">
          <cell r="A121" t="str">
            <v>MIO i125</v>
          </cell>
          <cell r="B121" t="str">
            <v>YAMAHA</v>
          </cell>
          <cell r="C121">
            <v>91</v>
          </cell>
        </row>
        <row r="122">
          <cell r="A122" t="str">
            <v>MIO i125s</v>
          </cell>
          <cell r="B122" t="str">
            <v>YAMAHA</v>
          </cell>
          <cell r="C122">
            <v>0</v>
          </cell>
        </row>
        <row r="123">
          <cell r="A123" t="str">
            <v>MIO SOUL i 125</v>
          </cell>
          <cell r="B123" t="str">
            <v>YAMAHA</v>
          </cell>
          <cell r="C123">
            <v>0</v>
          </cell>
        </row>
        <row r="124">
          <cell r="A124" t="str">
            <v>MIO SOUL i 125s</v>
          </cell>
          <cell r="B124" t="str">
            <v>YAMAHA</v>
          </cell>
          <cell r="C124">
            <v>0</v>
          </cell>
        </row>
        <row r="125">
          <cell r="A125" t="str">
            <v>MIO SPORTY</v>
          </cell>
          <cell r="B125" t="str">
            <v>YAMAHA</v>
          </cell>
          <cell r="C125">
            <v>0</v>
          </cell>
        </row>
        <row r="126">
          <cell r="A126" t="str">
            <v>MIO GEAR</v>
          </cell>
          <cell r="B126" t="str">
            <v>YAMAHA</v>
          </cell>
          <cell r="C126">
            <v>0</v>
          </cell>
        </row>
        <row r="127">
          <cell r="A127" t="str">
            <v>MIO GEAR S</v>
          </cell>
          <cell r="B127" t="str">
            <v>YAMAHA</v>
          </cell>
          <cell r="C127">
            <v>17</v>
          </cell>
        </row>
        <row r="128">
          <cell r="A128" t="str">
            <v>FAZZIO</v>
          </cell>
          <cell r="B128" t="str">
            <v>YAMAHA</v>
          </cell>
          <cell r="C128">
            <v>5</v>
          </cell>
        </row>
        <row r="129">
          <cell r="A129" t="str">
            <v>MT-15</v>
          </cell>
          <cell r="B129" t="str">
            <v>YAMAHA</v>
          </cell>
          <cell r="C129">
            <v>0</v>
          </cell>
        </row>
        <row r="130">
          <cell r="A130" t="str">
            <v>MT-03</v>
          </cell>
          <cell r="B130" t="str">
            <v>YAMAHA</v>
          </cell>
          <cell r="C130">
            <v>0</v>
          </cell>
        </row>
        <row r="131">
          <cell r="A131" t="str">
            <v>PG-1</v>
          </cell>
          <cell r="B131" t="str">
            <v>YAMAHA</v>
          </cell>
          <cell r="C131">
            <v>2</v>
          </cell>
        </row>
        <row r="132">
          <cell r="A132" t="str">
            <v>NMAX155 FI ABS</v>
          </cell>
          <cell r="B132" t="str">
            <v>YAMAHA</v>
          </cell>
          <cell r="C132">
            <v>130</v>
          </cell>
        </row>
        <row r="133">
          <cell r="A133" t="str">
            <v>NMAX155 FI STD</v>
          </cell>
          <cell r="B133" t="str">
            <v>YAMAHA</v>
          </cell>
          <cell r="C133">
            <v>0</v>
          </cell>
        </row>
        <row r="134">
          <cell r="A134" t="str">
            <v>NMAX155 TECHMAX</v>
          </cell>
          <cell r="B134" t="str">
            <v>YAMAHA</v>
          </cell>
          <cell r="C134">
            <v>5</v>
          </cell>
        </row>
        <row r="135">
          <cell r="A135" t="str">
            <v>SIGHT(SPOKE)</v>
          </cell>
          <cell r="B135" t="str">
            <v>YAMAHA</v>
          </cell>
          <cell r="C135">
            <v>0</v>
          </cell>
        </row>
        <row r="136">
          <cell r="A136" t="str">
            <v>SIGHT(CAST)</v>
          </cell>
          <cell r="B136" t="str">
            <v>YAMAHA</v>
          </cell>
          <cell r="C136">
            <v>0</v>
          </cell>
        </row>
        <row r="137">
          <cell r="A137" t="str">
            <v>SNIPER 155R FI ABS</v>
          </cell>
          <cell r="B137" t="str">
            <v>YAMAHA</v>
          </cell>
          <cell r="C137">
            <v>0</v>
          </cell>
        </row>
        <row r="138">
          <cell r="A138" t="str">
            <v>SNIPER 155 FI</v>
          </cell>
          <cell r="B138" t="str">
            <v>YAMAHA</v>
          </cell>
          <cell r="C138">
            <v>59</v>
          </cell>
        </row>
        <row r="139">
          <cell r="A139" t="str">
            <v>SZ150</v>
          </cell>
          <cell r="B139" t="str">
            <v>YAMAHA</v>
          </cell>
          <cell r="C139">
            <v>0</v>
          </cell>
        </row>
        <row r="140">
          <cell r="A140" t="str">
            <v>TFX-150</v>
          </cell>
          <cell r="B140" t="str">
            <v>YAMAHA</v>
          </cell>
          <cell r="C140">
            <v>0</v>
          </cell>
        </row>
        <row r="141">
          <cell r="A141" t="str">
            <v>VEGA FORCE</v>
          </cell>
          <cell r="B141" t="str">
            <v>YAMAHA</v>
          </cell>
          <cell r="C141">
            <v>0</v>
          </cell>
        </row>
        <row r="142">
          <cell r="A142" t="str">
            <v>XSR155</v>
          </cell>
          <cell r="B142" t="str">
            <v>YAMAHA</v>
          </cell>
          <cell r="C142">
            <v>0</v>
          </cell>
        </row>
        <row r="143">
          <cell r="A143" t="str">
            <v>XMAX 300</v>
          </cell>
          <cell r="B143" t="str">
            <v>YAMAHA</v>
          </cell>
          <cell r="C143">
            <v>2</v>
          </cell>
        </row>
        <row r="144">
          <cell r="A144" t="str">
            <v>XTZ125</v>
          </cell>
          <cell r="B144" t="str">
            <v>YAMAHA</v>
          </cell>
          <cell r="C144">
            <v>1</v>
          </cell>
        </row>
        <row r="145">
          <cell r="A145" t="str">
            <v>YTX125</v>
          </cell>
          <cell r="B145" t="str">
            <v>YAMAHA</v>
          </cell>
          <cell r="C145">
            <v>18</v>
          </cell>
        </row>
        <row r="146">
          <cell r="A146" t="str">
            <v>YZF-R15M</v>
          </cell>
          <cell r="B146" t="str">
            <v>YAMAHA</v>
          </cell>
          <cell r="C146">
            <v>0</v>
          </cell>
        </row>
        <row r="147">
          <cell r="A147" t="str">
            <v>YZF-R3</v>
          </cell>
          <cell r="B147" t="str">
            <v>YAMAHA</v>
          </cell>
          <cell r="C147">
            <v>0</v>
          </cell>
        </row>
        <row r="148">
          <cell r="A148" t="str">
            <v>WR155</v>
          </cell>
          <cell r="B148" t="str">
            <v>YAMAHA</v>
          </cell>
          <cell r="C148">
            <v>0</v>
          </cell>
        </row>
        <row r="149">
          <cell r="A149" t="str">
            <v>LEXI155</v>
          </cell>
          <cell r="B149" t="str">
            <v>YAMAHA</v>
          </cell>
          <cell r="C149">
            <v>30</v>
          </cell>
        </row>
      </sheetData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3457-6C46-446E-8A36-DF4CD0593F05}">
  <dimension ref="A1:AT1653"/>
  <sheetViews>
    <sheetView topLeftCell="AB1" workbookViewId="0">
      <selection activeCell="AR11" sqref="AB10:AR11"/>
    </sheetView>
  </sheetViews>
  <sheetFormatPr defaultRowHeight="14"/>
  <cols>
    <col min="8" max="8" width="13.83203125" customWidth="1"/>
    <col min="14" max="14" width="11.08203125" bestFit="1" customWidth="1"/>
  </cols>
  <sheetData>
    <row r="1" spans="1:46" ht="18">
      <c r="A1" s="41" t="s">
        <v>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 ht="52">
      <c r="A2" s="42" t="s">
        <v>179</v>
      </c>
      <c r="B2" s="42" t="s">
        <v>9</v>
      </c>
      <c r="C2" s="42" t="s">
        <v>4</v>
      </c>
      <c r="D2" s="42" t="s">
        <v>180</v>
      </c>
      <c r="E2" s="42" t="s">
        <v>181</v>
      </c>
      <c r="F2" s="42" t="s">
        <v>182</v>
      </c>
      <c r="G2" s="42" t="s">
        <v>183</v>
      </c>
      <c r="H2" s="42" t="s">
        <v>184</v>
      </c>
      <c r="I2" s="42" t="s">
        <v>185</v>
      </c>
      <c r="J2" s="42" t="s">
        <v>186</v>
      </c>
      <c r="K2" s="42" t="s">
        <v>187</v>
      </c>
      <c r="L2" s="42" t="s">
        <v>188</v>
      </c>
      <c r="M2" s="42" t="s">
        <v>189</v>
      </c>
      <c r="N2" s="42" t="s">
        <v>190</v>
      </c>
      <c r="O2" s="42" t="s">
        <v>191</v>
      </c>
      <c r="P2" s="42" t="s">
        <v>192</v>
      </c>
      <c r="Q2" s="42" t="s">
        <v>193</v>
      </c>
      <c r="R2" s="42" t="s">
        <v>194</v>
      </c>
      <c r="S2" s="42" t="s">
        <v>195</v>
      </c>
      <c r="T2" s="42" t="s">
        <v>196</v>
      </c>
      <c r="U2" s="42" t="s">
        <v>197</v>
      </c>
      <c r="V2" s="42" t="s">
        <v>198</v>
      </c>
      <c r="W2" s="42" t="s">
        <v>199</v>
      </c>
      <c r="X2" s="42" t="s">
        <v>200</v>
      </c>
      <c r="Y2" s="42" t="s">
        <v>201</v>
      </c>
      <c r="Z2" s="42" t="s">
        <v>202</v>
      </c>
      <c r="AA2" s="42" t="s">
        <v>203</v>
      </c>
      <c r="AB2" s="42" t="s">
        <v>204</v>
      </c>
      <c r="AC2" s="42" t="s">
        <v>205</v>
      </c>
      <c r="AD2" s="42" t="s">
        <v>206</v>
      </c>
      <c r="AE2" s="42" t="s">
        <v>207</v>
      </c>
      <c r="AF2" s="42" t="s">
        <v>10</v>
      </c>
      <c r="AG2" s="42" t="s">
        <v>208</v>
      </c>
      <c r="AH2" s="42" t="s">
        <v>209</v>
      </c>
      <c r="AI2" s="42" t="s">
        <v>210</v>
      </c>
      <c r="AJ2" s="42" t="s">
        <v>211</v>
      </c>
      <c r="AK2" s="42" t="s">
        <v>212</v>
      </c>
      <c r="AL2" s="42" t="s">
        <v>213</v>
      </c>
      <c r="AM2" s="42" t="s">
        <v>214</v>
      </c>
      <c r="AN2" s="42" t="s">
        <v>4</v>
      </c>
      <c r="AO2" s="42" t="s">
        <v>215</v>
      </c>
      <c r="AP2" s="42" t="s">
        <v>216</v>
      </c>
      <c r="AQ2" s="42" t="s">
        <v>217</v>
      </c>
      <c r="AR2" s="42" t="s">
        <v>218</v>
      </c>
      <c r="AS2" s="42" t="s">
        <v>219</v>
      </c>
      <c r="AT2" s="42" t="s">
        <v>220</v>
      </c>
    </row>
    <row r="3" spans="1:46">
      <c r="A3" s="43" t="s">
        <v>39</v>
      </c>
      <c r="B3" s="43" t="s">
        <v>153</v>
      </c>
      <c r="C3" s="43" t="s">
        <v>152</v>
      </c>
      <c r="D3" s="44" t="s">
        <v>221</v>
      </c>
      <c r="E3" s="44">
        <v>15</v>
      </c>
      <c r="F3" s="44" t="s">
        <v>3</v>
      </c>
      <c r="G3" s="43" t="str">
        <f>IFERROR(VLOOKUP(A3,'[1]MC Masterlist 2026-09-12'!$B:$M, 3, 0),"")</f>
        <v>HONDA</v>
      </c>
      <c r="H3" s="45">
        <f>IFERROR(VLOOKUP(A3,'[1]MC Masterlist 2026-09-12'!$B:$M, 6, 0),"")</f>
        <v>72434</v>
      </c>
      <c r="I3" s="46">
        <v>1</v>
      </c>
      <c r="J3" s="46">
        <v>0</v>
      </c>
      <c r="K3" s="46">
        <v>0</v>
      </c>
      <c r="L3" s="46">
        <f t="shared" ref="L3:L66" si="0">I3+J3+K3</f>
        <v>1</v>
      </c>
      <c r="M3" s="46">
        <f t="shared" ref="M3:M66" si="1">AVERAGE(I3,J3,K3)</f>
        <v>0.33333333333333331</v>
      </c>
      <c r="N3" s="45">
        <f t="shared" ref="N3:N66" si="2">L3*H3</f>
        <v>72434</v>
      </c>
      <c r="O3" s="45">
        <f t="shared" ref="O3:O66" si="3">M3*H3</f>
        <v>24144.666666666664</v>
      </c>
      <c r="P3" s="46">
        <f t="shared" ref="P3:P66" si="4">M3/30</f>
        <v>1.111111111111111E-2</v>
      </c>
      <c r="Q3" s="46"/>
      <c r="R3" s="45">
        <f t="shared" ref="R3:R66" si="5">IFERROR(Q3*H3, 0)</f>
        <v>0</v>
      </c>
      <c r="S3" s="46">
        <f t="shared" ref="S3:S66" si="6">IFERROR(R3/(O3)*30, 0)</f>
        <v>0</v>
      </c>
      <c r="T3" s="46">
        <f>IFERROR(VLOOKUP(A3,'[1]Re-order'!$A:$Q,17,0),"")</f>
        <v>40.982142857142854</v>
      </c>
      <c r="U3" s="46">
        <f>IFERROR(VLOOKUP(A3,'[1]MC Masterlist 2026-09-12'!$B:$M, 10, 0),0)</f>
        <v>15</v>
      </c>
      <c r="V3" s="46">
        <f>IFERROR(VLOOKUP(A3,'[1]MC Masterlist 2026-09-12'!$B:$M, 11, 0),0)</f>
        <v>15</v>
      </c>
      <c r="W3" s="46">
        <f t="shared" ref="W3:W66" si="7">U3+V3</f>
        <v>30</v>
      </c>
      <c r="X3" s="46">
        <f t="shared" ref="X3:X66" si="8">Y3-Z3</f>
        <v>29.833333333333332</v>
      </c>
      <c r="Y3" s="46">
        <f>IFERROR(IF(OR(C3="AREA I",C3="AREA V"),7,VLOOKUP(A3,'[1]MC Masterlist 2026-09-12'!$B:$M, 12, 0)),0)</f>
        <v>30</v>
      </c>
      <c r="Z3" s="46">
        <f t="shared" ref="Z3:Z66" si="9">V3*P3</f>
        <v>0.16666666666666666</v>
      </c>
      <c r="AA3" s="46">
        <f t="shared" ref="AA3:AA66" si="10">W3*P3</f>
        <v>0.33333333333333331</v>
      </c>
      <c r="AB3" s="46">
        <f t="shared" ref="AB3:AB66" si="11">X3*P3</f>
        <v>0.33148148148148143</v>
      </c>
      <c r="AC3" s="46">
        <f t="shared" ref="AC3:AC66" si="12">Y3*P3</f>
        <v>0.33333333333333331</v>
      </c>
      <c r="AD3" s="44" t="str">
        <f t="shared" ref="AD3:AD66" si="13">IFERROR(IF(Q3&gt;AC3, "Over", IF(Q3&lt;=Z3, "Stockout", IF(Q3&lt;=AA3, "Re-order",""))), "")</f>
        <v>Stockout</v>
      </c>
      <c r="AE3" s="44" t="str">
        <f>IFERROR(VLOOKUP(A3,'[1]Re-order'!$A:$AA,27,0),"")</f>
        <v>Re-order</v>
      </c>
      <c r="AF3" s="46">
        <f t="shared" ref="AF3:AF66" si="14">AC3-Q3</f>
        <v>0.33333333333333331</v>
      </c>
      <c r="AG3" s="46">
        <f>SUMIFS('[1]Raw Inventory'!D:D,'[1]Raw Inventory'!C:C,"GREATWALL",'[1]Raw Inventory'!B:B,A3)</f>
        <v>16</v>
      </c>
      <c r="AH3" s="46">
        <f>SUMIFS('[1]Raw Inventory'!D:D,'[1]Raw Inventory'!C:C,"DUARTE",'[1]Raw Inventory'!B:B,A3)</f>
        <v>0</v>
      </c>
      <c r="AI3" s="46"/>
      <c r="AJ3" s="46"/>
      <c r="AK3" s="43"/>
      <c r="AL3" s="43"/>
      <c r="AM3" s="43"/>
      <c r="AN3" s="43"/>
      <c r="AO3" s="43"/>
      <c r="AP3" s="43"/>
      <c r="AQ3" s="43"/>
      <c r="AR3" s="43"/>
      <c r="AS3" s="43"/>
      <c r="AT3" s="43"/>
    </row>
    <row r="4" spans="1:46">
      <c r="A4" s="43" t="s">
        <v>39</v>
      </c>
      <c r="B4" s="43" t="s">
        <v>30</v>
      </c>
      <c r="C4" s="43" t="s">
        <v>1</v>
      </c>
      <c r="D4" s="44" t="s">
        <v>222</v>
      </c>
      <c r="E4" s="44">
        <v>24</v>
      </c>
      <c r="F4" s="44" t="s">
        <v>2</v>
      </c>
      <c r="G4" s="43" t="str">
        <f>IFERROR(VLOOKUP(A4,'[1]MC Masterlist 2026-09-12'!$B:$M, 3, 0),"")</f>
        <v>HONDA</v>
      </c>
      <c r="H4" s="45">
        <f>IFERROR(VLOOKUP(A4,'[1]MC Masterlist 2026-09-12'!$B:$M, 6, 0),"")</f>
        <v>72434</v>
      </c>
      <c r="I4" s="46">
        <v>0</v>
      </c>
      <c r="J4" s="46">
        <v>2</v>
      </c>
      <c r="K4" s="46">
        <v>0</v>
      </c>
      <c r="L4" s="46">
        <f t="shared" si="0"/>
        <v>2</v>
      </c>
      <c r="M4" s="46">
        <f t="shared" si="1"/>
        <v>0.66666666666666663</v>
      </c>
      <c r="N4" s="45">
        <f t="shared" si="2"/>
        <v>144868</v>
      </c>
      <c r="O4" s="45">
        <f t="shared" si="3"/>
        <v>48289.333333333328</v>
      </c>
      <c r="P4" s="46">
        <f t="shared" si="4"/>
        <v>2.222222222222222E-2</v>
      </c>
      <c r="Q4" s="46">
        <v>1</v>
      </c>
      <c r="R4" s="45">
        <f t="shared" si="5"/>
        <v>72434</v>
      </c>
      <c r="S4" s="46">
        <f t="shared" si="6"/>
        <v>45.000000000000007</v>
      </c>
      <c r="T4" s="46">
        <f>IFERROR(VLOOKUP(A4,'[1]Re-order'!$A:$Q,17,0),"")</f>
        <v>40.982142857142854</v>
      </c>
      <c r="U4" s="46">
        <f>IFERROR(VLOOKUP(A4,'[1]MC Masterlist 2026-09-12'!$B:$M, 10, 0),0)</f>
        <v>15</v>
      </c>
      <c r="V4" s="46">
        <f>IFERROR(VLOOKUP(A4,'[1]MC Masterlist 2026-09-12'!$B:$M, 11, 0),0)</f>
        <v>15</v>
      </c>
      <c r="W4" s="46">
        <f t="shared" si="7"/>
        <v>30</v>
      </c>
      <c r="X4" s="46">
        <f t="shared" si="8"/>
        <v>6.666666666666667</v>
      </c>
      <c r="Y4" s="46">
        <f>IFERROR(IF(OR(C4="AREA I",C4="AREA V"),7,VLOOKUP(A4,'[1]MC Masterlist 2026-09-12'!$B:$M, 12, 0)),0)</f>
        <v>7</v>
      </c>
      <c r="Z4" s="46">
        <f t="shared" si="9"/>
        <v>0.33333333333333331</v>
      </c>
      <c r="AA4" s="46">
        <f t="shared" si="10"/>
        <v>0.66666666666666663</v>
      </c>
      <c r="AB4" s="46">
        <f t="shared" si="11"/>
        <v>0.14814814814814814</v>
      </c>
      <c r="AC4" s="46">
        <f t="shared" si="12"/>
        <v>0.15555555555555553</v>
      </c>
      <c r="AD4" s="44" t="str">
        <f t="shared" si="13"/>
        <v>Over</v>
      </c>
      <c r="AE4" s="44" t="str">
        <f>IFERROR(VLOOKUP(A4,'[1]Re-order'!$A:$AA,27,0),"")</f>
        <v>Re-order</v>
      </c>
      <c r="AF4" s="46">
        <f t="shared" si="14"/>
        <v>-0.84444444444444444</v>
      </c>
      <c r="AG4" s="46">
        <f>SUMIFS('[1]Raw Inventory'!D:D,'[1]Raw Inventory'!C:C,"GREATWALL",'[1]Raw Inventory'!B:B,A4)</f>
        <v>16</v>
      </c>
      <c r="AH4" s="46">
        <f>SUMIFS('[1]Raw Inventory'!D:D,'[1]Raw Inventory'!C:C,"DUARTE",'[1]Raw Inventory'!B:B,A4)</f>
        <v>0</v>
      </c>
      <c r="AI4" s="46"/>
      <c r="AJ4" s="46"/>
      <c r="AK4" s="43"/>
      <c r="AL4" s="43"/>
      <c r="AM4" s="43"/>
      <c r="AN4" s="43"/>
      <c r="AO4" s="43"/>
      <c r="AP4" s="43"/>
      <c r="AQ4" s="43"/>
      <c r="AR4" s="43"/>
      <c r="AS4" s="43"/>
      <c r="AT4" s="43"/>
    </row>
    <row r="5" spans="1:46">
      <c r="A5" s="43" t="s">
        <v>101</v>
      </c>
      <c r="B5" s="43" t="s">
        <v>157</v>
      </c>
      <c r="C5" s="43" t="s">
        <v>152</v>
      </c>
      <c r="D5" s="44" t="s">
        <v>223</v>
      </c>
      <c r="E5" s="44">
        <v>16</v>
      </c>
      <c r="F5" s="44" t="s">
        <v>3</v>
      </c>
      <c r="G5" s="43" t="str">
        <f>IFERROR(VLOOKUP(A5,'[1]MC Masterlist 2026-09-12'!$B:$M, 3, 0),"")</f>
        <v>BAJAJ RE</v>
      </c>
      <c r="H5" s="45">
        <f>IFERROR(VLOOKUP(A5,'[1]MC Masterlist 2026-09-12'!$B:$M, 6, 0),"")</f>
        <v>221800</v>
      </c>
      <c r="I5" s="46">
        <v>1</v>
      </c>
      <c r="J5" s="46">
        <v>0</v>
      </c>
      <c r="K5" s="46">
        <v>0</v>
      </c>
      <c r="L5" s="46">
        <f t="shared" si="0"/>
        <v>1</v>
      </c>
      <c r="M5" s="46">
        <f t="shared" si="1"/>
        <v>0.33333333333333331</v>
      </c>
      <c r="N5" s="45">
        <f t="shared" si="2"/>
        <v>221800</v>
      </c>
      <c r="O5" s="45">
        <f t="shared" si="3"/>
        <v>73933.333333333328</v>
      </c>
      <c r="P5" s="46">
        <f t="shared" si="4"/>
        <v>1.111111111111111E-2</v>
      </c>
      <c r="Q5" s="46"/>
      <c r="R5" s="45">
        <f t="shared" si="5"/>
        <v>0</v>
      </c>
      <c r="S5" s="46">
        <f t="shared" si="6"/>
        <v>0</v>
      </c>
      <c r="T5" s="46">
        <f>IFERROR(VLOOKUP(A5,'[1]Re-order'!$A:$Q,17,0),"")</f>
        <v>90</v>
      </c>
      <c r="U5" s="46">
        <f>IFERROR(VLOOKUP(A5,'[1]MC Masterlist 2026-09-12'!$B:$M, 10, 0),0)</f>
        <v>15</v>
      </c>
      <c r="V5" s="46">
        <f>IFERROR(VLOOKUP(A5,'[1]MC Masterlist 2026-09-12'!$B:$M, 11, 0),0)</f>
        <v>15</v>
      </c>
      <c r="W5" s="46">
        <f t="shared" si="7"/>
        <v>30</v>
      </c>
      <c r="X5" s="46">
        <f t="shared" si="8"/>
        <v>29.833333333333332</v>
      </c>
      <c r="Y5" s="46">
        <f>IFERROR(IF(OR(C5="AREA I",C5="AREA V"),7,VLOOKUP(A5,'[1]MC Masterlist 2026-09-12'!$B:$M, 12, 0)),0)</f>
        <v>30</v>
      </c>
      <c r="Z5" s="46">
        <f t="shared" si="9"/>
        <v>0.16666666666666666</v>
      </c>
      <c r="AA5" s="46">
        <f t="shared" si="10"/>
        <v>0.33333333333333331</v>
      </c>
      <c r="AB5" s="46">
        <f t="shared" si="11"/>
        <v>0.33148148148148143</v>
      </c>
      <c r="AC5" s="46">
        <f t="shared" si="12"/>
        <v>0.33333333333333331</v>
      </c>
      <c r="AD5" s="44" t="str">
        <f t="shared" si="13"/>
        <v>Stockout</v>
      </c>
      <c r="AE5" s="44" t="str">
        <f>IFERROR(VLOOKUP(A5,'[1]Re-order'!$A:$AA,27,0),"")</f>
        <v/>
      </c>
      <c r="AF5" s="46">
        <f t="shared" si="14"/>
        <v>0.33333333333333331</v>
      </c>
      <c r="AG5" s="46">
        <f>SUMIFS('[1]Raw Inventory'!D:D,'[1]Raw Inventory'!C:C,"GREATWALL",'[1]Raw Inventory'!B:B,A5)</f>
        <v>0</v>
      </c>
      <c r="AH5" s="46">
        <f>SUMIFS('[1]Raw Inventory'!D:D,'[1]Raw Inventory'!C:C,"DUARTE",'[1]Raw Inventory'!B:B,A5)</f>
        <v>0</v>
      </c>
      <c r="AI5" s="46"/>
      <c r="AJ5" s="46"/>
      <c r="AK5" s="43"/>
      <c r="AL5" s="43"/>
      <c r="AM5" s="43"/>
      <c r="AN5" s="43"/>
      <c r="AO5" s="43"/>
      <c r="AP5" s="43"/>
      <c r="AQ5" s="43"/>
      <c r="AR5" s="43"/>
      <c r="AS5" s="43"/>
      <c r="AT5" s="43"/>
    </row>
    <row r="6" spans="1:46">
      <c r="A6" s="43" t="s">
        <v>22</v>
      </c>
      <c r="B6" s="43" t="s">
        <v>95</v>
      </c>
      <c r="C6" s="43" t="s">
        <v>90</v>
      </c>
      <c r="D6" s="44" t="s">
        <v>224</v>
      </c>
      <c r="E6" s="44">
        <v>10</v>
      </c>
      <c r="F6" s="44" t="s">
        <v>2</v>
      </c>
      <c r="G6" s="43" t="str">
        <f>IFERROR(VLOOKUP(A6,'[1]MC Masterlist 2026-09-12'!$B:$M, 3, 0),"")</f>
        <v>HONDA</v>
      </c>
      <c r="H6" s="45">
        <f>IFERROR(VLOOKUP(A6,'[1]MC Masterlist 2026-09-12'!$B:$M, 6, 0),"")</f>
        <v>111258</v>
      </c>
      <c r="I6" s="46">
        <v>1</v>
      </c>
      <c r="J6" s="46">
        <v>0</v>
      </c>
      <c r="K6" s="46">
        <v>1</v>
      </c>
      <c r="L6" s="46">
        <f t="shared" si="0"/>
        <v>2</v>
      </c>
      <c r="M6" s="46">
        <f t="shared" si="1"/>
        <v>0.66666666666666663</v>
      </c>
      <c r="N6" s="45">
        <f t="shared" si="2"/>
        <v>222516</v>
      </c>
      <c r="O6" s="45">
        <f t="shared" si="3"/>
        <v>74172</v>
      </c>
      <c r="P6" s="46">
        <f t="shared" si="4"/>
        <v>2.222222222222222E-2</v>
      </c>
      <c r="Q6" s="46">
        <v>3</v>
      </c>
      <c r="R6" s="45">
        <f t="shared" si="5"/>
        <v>333774</v>
      </c>
      <c r="S6" s="46">
        <f t="shared" si="6"/>
        <v>135</v>
      </c>
      <c r="T6" s="46">
        <f>IFERROR(VLOOKUP(A6,'[1]Re-order'!$A:$Q,17,0),"")</f>
        <v>41.339712918660283</v>
      </c>
      <c r="U6" s="46">
        <f>IFERROR(VLOOKUP(A6,'[1]MC Masterlist 2026-09-12'!$B:$M, 10, 0),0)</f>
        <v>15</v>
      </c>
      <c r="V6" s="46">
        <f>IFERROR(VLOOKUP(A6,'[1]MC Masterlist 2026-09-12'!$B:$M, 11, 0),0)</f>
        <v>15</v>
      </c>
      <c r="W6" s="46">
        <f t="shared" si="7"/>
        <v>30</v>
      </c>
      <c r="X6" s="46">
        <f t="shared" si="8"/>
        <v>29.666666666666668</v>
      </c>
      <c r="Y6" s="46">
        <f>IFERROR(IF(OR(C6="AREA I",C6="AREA V"),7,VLOOKUP(A6,'[1]MC Masterlist 2026-09-12'!$B:$M, 12, 0)),0)</f>
        <v>30</v>
      </c>
      <c r="Z6" s="46">
        <f t="shared" si="9"/>
        <v>0.33333333333333331</v>
      </c>
      <c r="AA6" s="46">
        <f t="shared" si="10"/>
        <v>0.66666666666666663</v>
      </c>
      <c r="AB6" s="46">
        <f t="shared" si="11"/>
        <v>0.65925925925925921</v>
      </c>
      <c r="AC6" s="46">
        <f t="shared" si="12"/>
        <v>0.66666666666666663</v>
      </c>
      <c r="AD6" s="44" t="str">
        <f t="shared" si="13"/>
        <v>Over</v>
      </c>
      <c r="AE6" s="44" t="str">
        <f>IFERROR(VLOOKUP(A6,'[1]Re-order'!$A:$AA,27,0),"")</f>
        <v>Re-order</v>
      </c>
      <c r="AF6" s="46">
        <f t="shared" si="14"/>
        <v>-2.3333333333333335</v>
      </c>
      <c r="AG6" s="46">
        <f>SUMIFS('[1]Raw Inventory'!D:D,'[1]Raw Inventory'!C:C,"GREATWALL",'[1]Raw Inventory'!B:B,A6)</f>
        <v>4</v>
      </c>
      <c r="AH6" s="46">
        <f>SUMIFS('[1]Raw Inventory'!D:D,'[1]Raw Inventory'!C:C,"DUARTE",'[1]Raw Inventory'!B:B,A6)</f>
        <v>0</v>
      </c>
      <c r="AI6" s="46"/>
      <c r="AJ6" s="46"/>
      <c r="AK6" s="43"/>
      <c r="AL6" s="43"/>
      <c r="AM6" s="43"/>
      <c r="AN6" s="43"/>
      <c r="AO6" s="43"/>
      <c r="AP6" s="43"/>
      <c r="AQ6" s="43"/>
      <c r="AR6" s="43"/>
      <c r="AS6" s="43"/>
      <c r="AT6" s="43"/>
    </row>
    <row r="7" spans="1:46">
      <c r="A7" s="43" t="s">
        <v>17</v>
      </c>
      <c r="B7" s="43" t="s">
        <v>138</v>
      </c>
      <c r="C7" s="43" t="s">
        <v>137</v>
      </c>
      <c r="D7" s="44" t="s">
        <v>225</v>
      </c>
      <c r="E7" s="44">
        <v>3</v>
      </c>
      <c r="F7" s="44" t="s">
        <v>0</v>
      </c>
      <c r="G7" s="43" t="str">
        <f>IFERROR(VLOOKUP(A7,'[1]MC Masterlist 2026-09-12'!$B:$M, 3, 0),"")</f>
        <v>HONDA</v>
      </c>
      <c r="H7" s="45">
        <f>IFERROR(VLOOKUP(A7,'[1]MC Masterlist 2026-09-12'!$B:$M, 6, 0),"")</f>
        <v>140790</v>
      </c>
      <c r="I7" s="46">
        <v>0</v>
      </c>
      <c r="J7" s="46">
        <v>1</v>
      </c>
      <c r="K7" s="46">
        <v>0</v>
      </c>
      <c r="L7" s="46">
        <f t="shared" si="0"/>
        <v>1</v>
      </c>
      <c r="M7" s="46">
        <f t="shared" si="1"/>
        <v>0.33333333333333331</v>
      </c>
      <c r="N7" s="45">
        <f t="shared" si="2"/>
        <v>140790</v>
      </c>
      <c r="O7" s="45">
        <f t="shared" si="3"/>
        <v>46930</v>
      </c>
      <c r="P7" s="46">
        <f t="shared" si="4"/>
        <v>1.111111111111111E-2</v>
      </c>
      <c r="Q7" s="46">
        <v>12</v>
      </c>
      <c r="R7" s="45">
        <f t="shared" si="5"/>
        <v>1689480</v>
      </c>
      <c r="S7" s="46">
        <f t="shared" si="6"/>
        <v>1080</v>
      </c>
      <c r="T7" s="46">
        <f>IFERROR(VLOOKUP(A7,'[1]Re-order'!$A:$Q,17,0),"")</f>
        <v>43.663366336633665</v>
      </c>
      <c r="U7" s="46">
        <f>IFERROR(VLOOKUP(A7,'[1]MC Masterlist 2026-09-12'!$B:$M, 10, 0),0)</f>
        <v>15</v>
      </c>
      <c r="V7" s="46">
        <f>IFERROR(VLOOKUP(A7,'[1]MC Masterlist 2026-09-12'!$B:$M, 11, 0),0)</f>
        <v>15</v>
      </c>
      <c r="W7" s="46">
        <f t="shared" si="7"/>
        <v>30</v>
      </c>
      <c r="X7" s="46">
        <f t="shared" si="8"/>
        <v>6.833333333333333</v>
      </c>
      <c r="Y7" s="46">
        <f>IFERROR(IF(OR(C7="AREA I",C7="AREA V"),7,VLOOKUP(A7,'[1]MC Masterlist 2026-09-12'!$B:$M, 12, 0)),0)</f>
        <v>7</v>
      </c>
      <c r="Z7" s="46">
        <f t="shared" si="9"/>
        <v>0.16666666666666666</v>
      </c>
      <c r="AA7" s="46">
        <f t="shared" si="10"/>
        <v>0.33333333333333331</v>
      </c>
      <c r="AB7" s="46">
        <f t="shared" si="11"/>
        <v>7.5925925925925911E-2</v>
      </c>
      <c r="AC7" s="46">
        <f t="shared" si="12"/>
        <v>7.7777777777777765E-2</v>
      </c>
      <c r="AD7" s="44" t="str">
        <f t="shared" si="13"/>
        <v>Over</v>
      </c>
      <c r="AE7" s="44" t="str">
        <f>IFERROR(VLOOKUP(A7,'[1]Re-order'!$A:$AA,27,0),"")</f>
        <v>Re-order</v>
      </c>
      <c r="AF7" s="46">
        <f t="shared" si="14"/>
        <v>-11.922222222222222</v>
      </c>
      <c r="AG7" s="46">
        <f>SUMIFS('[1]Raw Inventory'!D:D,'[1]Raw Inventory'!C:C,"GREATWALL",'[1]Raw Inventory'!B:B,A7)</f>
        <v>12</v>
      </c>
      <c r="AH7" s="46">
        <f>SUMIFS('[1]Raw Inventory'!D:D,'[1]Raw Inventory'!C:C,"DUARTE",'[1]Raw Inventory'!B:B,A7)</f>
        <v>0</v>
      </c>
      <c r="AI7" s="46"/>
      <c r="AJ7" s="46"/>
      <c r="AK7" s="43"/>
      <c r="AL7" s="43"/>
      <c r="AM7" s="43"/>
      <c r="AN7" s="43"/>
      <c r="AO7" s="43"/>
      <c r="AP7" s="43"/>
      <c r="AQ7" s="43"/>
      <c r="AR7" s="43"/>
      <c r="AS7" s="43"/>
      <c r="AT7" s="43"/>
    </row>
    <row r="8" spans="1:46">
      <c r="A8" s="43" t="s">
        <v>134</v>
      </c>
      <c r="B8" s="43" t="s">
        <v>129</v>
      </c>
      <c r="C8" s="43" t="s">
        <v>128</v>
      </c>
      <c r="D8" s="44" t="s">
        <v>226</v>
      </c>
      <c r="E8" s="44">
        <v>24</v>
      </c>
      <c r="F8" s="44" t="s">
        <v>3</v>
      </c>
      <c r="G8" s="43" t="str">
        <f>IFERROR(VLOOKUP(A8,'[1]MC Masterlist 2026-09-12'!$B:$M, 3, 0),"")</f>
        <v>HONDA</v>
      </c>
      <c r="H8" s="45">
        <f>IFERROR(VLOOKUP(A8,'[1]MC Masterlist 2026-09-12'!$B:$M, 6, 0),"")</f>
        <v>101358</v>
      </c>
      <c r="I8" s="46">
        <v>0</v>
      </c>
      <c r="J8" s="46">
        <v>0</v>
      </c>
      <c r="K8" s="46">
        <v>0</v>
      </c>
      <c r="L8" s="46">
        <f t="shared" si="0"/>
        <v>0</v>
      </c>
      <c r="M8" s="46">
        <f t="shared" si="1"/>
        <v>0</v>
      </c>
      <c r="N8" s="45">
        <f t="shared" si="2"/>
        <v>0</v>
      </c>
      <c r="O8" s="45">
        <f t="shared" si="3"/>
        <v>0</v>
      </c>
      <c r="P8" s="46">
        <f t="shared" si="4"/>
        <v>0</v>
      </c>
      <c r="Q8" s="46">
        <v>1</v>
      </c>
      <c r="R8" s="45">
        <f t="shared" si="5"/>
        <v>101358</v>
      </c>
      <c r="S8" s="46">
        <f t="shared" si="6"/>
        <v>0</v>
      </c>
      <c r="T8" s="46" t="str">
        <f>IFERROR(VLOOKUP(A8,'[1]Re-order'!$A:$Q,17,0),"")</f>
        <v/>
      </c>
      <c r="U8" s="46">
        <f>IFERROR(VLOOKUP(A8,'[1]MC Masterlist 2026-09-12'!$B:$M, 10, 0),0)</f>
        <v>15</v>
      </c>
      <c r="V8" s="46">
        <f>IFERROR(VLOOKUP(A8,'[1]MC Masterlist 2026-09-12'!$B:$M, 11, 0),0)</f>
        <v>15</v>
      </c>
      <c r="W8" s="46">
        <f t="shared" si="7"/>
        <v>30</v>
      </c>
      <c r="X8" s="46">
        <f t="shared" si="8"/>
        <v>30</v>
      </c>
      <c r="Y8" s="46">
        <f>IFERROR(IF(OR(C8="AREA I",C8="AREA V"),7,VLOOKUP(A8,'[1]MC Masterlist 2026-09-12'!$B:$M, 12, 0)),0)</f>
        <v>30</v>
      </c>
      <c r="Z8" s="46">
        <f t="shared" si="9"/>
        <v>0</v>
      </c>
      <c r="AA8" s="46">
        <f t="shared" si="10"/>
        <v>0</v>
      </c>
      <c r="AB8" s="46">
        <f t="shared" si="11"/>
        <v>0</v>
      </c>
      <c r="AC8" s="46">
        <f t="shared" si="12"/>
        <v>0</v>
      </c>
      <c r="AD8" s="44" t="str">
        <f t="shared" si="13"/>
        <v>Over</v>
      </c>
      <c r="AE8" s="44" t="str">
        <f>IFERROR(VLOOKUP(A8,'[1]Re-order'!$A:$AA,27,0),"")</f>
        <v>Over</v>
      </c>
      <c r="AF8" s="46">
        <f t="shared" si="14"/>
        <v>-1</v>
      </c>
      <c r="AG8" s="46">
        <f>SUMIFS('[1]Raw Inventory'!D:D,'[1]Raw Inventory'!C:C,"GREATWALL",'[1]Raw Inventory'!B:B,A8)</f>
        <v>0</v>
      </c>
      <c r="AH8" s="46">
        <f>SUMIFS('[1]Raw Inventory'!D:D,'[1]Raw Inventory'!C:C,"DUARTE",'[1]Raw Inventory'!B:B,A8)</f>
        <v>0</v>
      </c>
      <c r="AI8" s="46"/>
      <c r="AJ8" s="46"/>
      <c r="AK8" s="43"/>
      <c r="AL8" s="43"/>
      <c r="AM8" s="43"/>
      <c r="AN8" s="43"/>
      <c r="AO8" s="43"/>
      <c r="AP8" s="43"/>
      <c r="AQ8" s="43"/>
      <c r="AR8" s="43"/>
      <c r="AS8" s="43"/>
      <c r="AT8" s="43"/>
    </row>
    <row r="9" spans="1:46">
      <c r="A9" s="43" t="s">
        <v>14</v>
      </c>
      <c r="B9" s="43" t="s">
        <v>158</v>
      </c>
      <c r="C9" s="43" t="s">
        <v>152</v>
      </c>
      <c r="D9" s="44" t="s">
        <v>227</v>
      </c>
      <c r="E9" s="44">
        <v>1</v>
      </c>
      <c r="F9" s="44" t="s">
        <v>0</v>
      </c>
      <c r="G9" s="43" t="str">
        <f>IFERROR(VLOOKUP(A9,'[1]MC Masterlist 2026-09-12'!$B:$M, 3, 0),"")</f>
        <v>HONDA</v>
      </c>
      <c r="H9" s="45">
        <f>IFERROR(VLOOKUP(A9,'[1]MC Masterlist 2026-09-12'!$B:$M, 6, 0),"")</f>
        <v>80070</v>
      </c>
      <c r="I9" s="46">
        <v>11</v>
      </c>
      <c r="J9" s="46">
        <v>8</v>
      </c>
      <c r="K9" s="46">
        <v>14</v>
      </c>
      <c r="L9" s="46">
        <f t="shared" si="0"/>
        <v>33</v>
      </c>
      <c r="M9" s="46">
        <f t="shared" si="1"/>
        <v>11</v>
      </c>
      <c r="N9" s="45">
        <f t="shared" si="2"/>
        <v>2642310</v>
      </c>
      <c r="O9" s="45">
        <f t="shared" si="3"/>
        <v>880770</v>
      </c>
      <c r="P9" s="46">
        <f t="shared" si="4"/>
        <v>0.36666666666666664</v>
      </c>
      <c r="Q9" s="46">
        <v>1</v>
      </c>
      <c r="R9" s="45">
        <f t="shared" si="5"/>
        <v>80070</v>
      </c>
      <c r="S9" s="46">
        <f t="shared" si="6"/>
        <v>2.7272727272727275</v>
      </c>
      <c r="T9" s="46">
        <f>IFERROR(VLOOKUP(A9,'[1]Re-order'!$A:$Q,17,0),"")</f>
        <v>20.105787181082761</v>
      </c>
      <c r="U9" s="46">
        <f>IFERROR(VLOOKUP(A9,'[1]MC Masterlist 2026-09-12'!$B:$M, 10, 0),0)</f>
        <v>15</v>
      </c>
      <c r="V9" s="46">
        <f>IFERROR(VLOOKUP(A9,'[1]MC Masterlist 2026-09-12'!$B:$M, 11, 0),0)</f>
        <v>15</v>
      </c>
      <c r="W9" s="46">
        <f t="shared" si="7"/>
        <v>30</v>
      </c>
      <c r="X9" s="46">
        <f t="shared" si="8"/>
        <v>24.5</v>
      </c>
      <c r="Y9" s="46">
        <f>IFERROR(IF(OR(C9="AREA I",C9="AREA V"),7,VLOOKUP(A9,'[1]MC Masterlist 2026-09-12'!$B:$M, 12, 0)),0)</f>
        <v>30</v>
      </c>
      <c r="Z9" s="46">
        <f t="shared" si="9"/>
        <v>5.5</v>
      </c>
      <c r="AA9" s="46">
        <f t="shared" si="10"/>
        <v>11</v>
      </c>
      <c r="AB9" s="46">
        <f t="shared" si="11"/>
        <v>8.9833333333333325</v>
      </c>
      <c r="AC9" s="46">
        <f t="shared" si="12"/>
        <v>11</v>
      </c>
      <c r="AD9" s="44" t="str">
        <f t="shared" si="13"/>
        <v>Stockout</v>
      </c>
      <c r="AE9" s="44" t="str">
        <f>IFERROR(VLOOKUP(A9,'[1]Re-order'!$A:$AA,27,0),"")</f>
        <v>Stockout</v>
      </c>
      <c r="AF9" s="46">
        <f t="shared" si="14"/>
        <v>10</v>
      </c>
      <c r="AG9" s="46">
        <f>SUMIFS('[1]Raw Inventory'!D:D,'[1]Raw Inventory'!C:C,"GREATWALL",'[1]Raw Inventory'!B:B,A9)</f>
        <v>176</v>
      </c>
      <c r="AH9" s="46">
        <f>SUMIFS('[1]Raw Inventory'!D:D,'[1]Raw Inventory'!C:C,"DUARTE",'[1]Raw Inventory'!B:B,A9)</f>
        <v>0</v>
      </c>
      <c r="AI9" s="46"/>
      <c r="AJ9" s="46"/>
      <c r="AK9" s="43"/>
      <c r="AL9" s="43"/>
      <c r="AM9" s="43"/>
      <c r="AN9" s="43"/>
      <c r="AO9" s="43"/>
      <c r="AP9" s="43"/>
      <c r="AQ9" s="43"/>
      <c r="AR9" s="43"/>
      <c r="AS9" s="43"/>
      <c r="AT9" s="43"/>
    </row>
    <row r="10" spans="1:46">
      <c r="A10" s="43" t="s">
        <v>14</v>
      </c>
      <c r="B10" s="43" t="s">
        <v>162</v>
      </c>
      <c r="C10" s="43" t="s">
        <v>159</v>
      </c>
      <c r="D10" s="44" t="s">
        <v>227</v>
      </c>
      <c r="E10" s="44">
        <v>1</v>
      </c>
      <c r="F10" s="44" t="s">
        <v>0</v>
      </c>
      <c r="G10" s="43" t="str">
        <f>IFERROR(VLOOKUP(A10,'[1]MC Masterlist 2026-09-12'!$B:$M, 3, 0),"")</f>
        <v>HONDA</v>
      </c>
      <c r="H10" s="45">
        <f>IFERROR(VLOOKUP(A10,'[1]MC Masterlist 2026-09-12'!$B:$M, 6, 0),"")</f>
        <v>80070</v>
      </c>
      <c r="I10" s="46">
        <v>16</v>
      </c>
      <c r="J10" s="46">
        <v>15</v>
      </c>
      <c r="K10" s="46">
        <v>14</v>
      </c>
      <c r="L10" s="46">
        <f t="shared" si="0"/>
        <v>45</v>
      </c>
      <c r="M10" s="46">
        <f t="shared" si="1"/>
        <v>15</v>
      </c>
      <c r="N10" s="45">
        <f t="shared" si="2"/>
        <v>3603150</v>
      </c>
      <c r="O10" s="45">
        <f t="shared" si="3"/>
        <v>1201050</v>
      </c>
      <c r="P10" s="46">
        <f t="shared" si="4"/>
        <v>0.5</v>
      </c>
      <c r="Q10" s="46">
        <v>11</v>
      </c>
      <c r="R10" s="45">
        <f t="shared" si="5"/>
        <v>880770</v>
      </c>
      <c r="S10" s="46">
        <f t="shared" si="6"/>
        <v>22</v>
      </c>
      <c r="T10" s="46">
        <f>IFERROR(VLOOKUP(A10,'[1]Re-order'!$A:$Q,17,0),"")</f>
        <v>20.105787181082761</v>
      </c>
      <c r="U10" s="46">
        <f>IFERROR(VLOOKUP(A10,'[1]MC Masterlist 2026-09-12'!$B:$M, 10, 0),0)</f>
        <v>15</v>
      </c>
      <c r="V10" s="46">
        <f>IFERROR(VLOOKUP(A10,'[1]MC Masterlist 2026-09-12'!$B:$M, 11, 0),0)</f>
        <v>15</v>
      </c>
      <c r="W10" s="46">
        <f t="shared" si="7"/>
        <v>30</v>
      </c>
      <c r="X10" s="46">
        <f t="shared" si="8"/>
        <v>22.5</v>
      </c>
      <c r="Y10" s="46">
        <f>IFERROR(IF(OR(C10="AREA I",C10="AREA V"),7,VLOOKUP(A10,'[1]MC Masterlist 2026-09-12'!$B:$M, 12, 0)),0)</f>
        <v>30</v>
      </c>
      <c r="Z10" s="46">
        <f t="shared" si="9"/>
        <v>7.5</v>
      </c>
      <c r="AA10" s="46">
        <f t="shared" si="10"/>
        <v>15</v>
      </c>
      <c r="AB10" s="46">
        <f t="shared" si="11"/>
        <v>11.25</v>
      </c>
      <c r="AC10" s="46">
        <f t="shared" si="12"/>
        <v>15</v>
      </c>
      <c r="AD10" s="44" t="str">
        <f t="shared" si="13"/>
        <v>Re-order</v>
      </c>
      <c r="AE10" s="44" t="str">
        <f>IFERROR(VLOOKUP(A10,'[1]Re-order'!$A:$AA,27,0),"")</f>
        <v>Stockout</v>
      </c>
      <c r="AF10" s="46">
        <f t="shared" si="14"/>
        <v>4</v>
      </c>
      <c r="AG10" s="46">
        <f>SUMIFS('[1]Raw Inventory'!D:D,'[1]Raw Inventory'!C:C,"GREATWALL",'[1]Raw Inventory'!B:B,A10)</f>
        <v>176</v>
      </c>
      <c r="AH10" s="46">
        <f>SUMIFS('[1]Raw Inventory'!D:D,'[1]Raw Inventory'!C:C,"DUARTE",'[1]Raw Inventory'!B:B,A10)</f>
        <v>0</v>
      </c>
      <c r="AI10" s="46"/>
      <c r="AJ10" s="46"/>
      <c r="AK10" s="43"/>
      <c r="AL10" s="43"/>
      <c r="AM10" s="43"/>
      <c r="AN10" s="43"/>
      <c r="AO10" s="43"/>
      <c r="AP10" s="43"/>
      <c r="AQ10" s="43"/>
      <c r="AR10" s="43"/>
      <c r="AS10" s="43"/>
      <c r="AT10" s="43"/>
    </row>
    <row r="11" spans="1:46">
      <c r="A11" s="43" t="s">
        <v>23</v>
      </c>
      <c r="B11" s="43" t="s">
        <v>145</v>
      </c>
      <c r="C11" s="43" t="s">
        <v>137</v>
      </c>
      <c r="D11" s="44" t="s">
        <v>227</v>
      </c>
      <c r="E11" s="44">
        <v>1</v>
      </c>
      <c r="F11" s="44" t="s">
        <v>0</v>
      </c>
      <c r="G11" s="43" t="str">
        <f>IFERROR(VLOOKUP(A11,'[1]MC Masterlist 2026-09-12'!$B:$M, 3, 0),"")</f>
        <v>KAWASAKI</v>
      </c>
      <c r="H11" s="45">
        <f>IFERROR(VLOOKUP(A11,'[1]MC Masterlist 2026-09-12'!$B:$M, 6, 0),"")</f>
        <v>60656</v>
      </c>
      <c r="I11" s="46">
        <v>20</v>
      </c>
      <c r="J11" s="46">
        <v>28</v>
      </c>
      <c r="K11" s="46">
        <v>14</v>
      </c>
      <c r="L11" s="46">
        <f t="shared" si="0"/>
        <v>62</v>
      </c>
      <c r="M11" s="46">
        <f t="shared" si="1"/>
        <v>20.666666666666668</v>
      </c>
      <c r="N11" s="45">
        <f t="shared" si="2"/>
        <v>3760672</v>
      </c>
      <c r="O11" s="45">
        <f t="shared" si="3"/>
        <v>1253557.3333333335</v>
      </c>
      <c r="P11" s="46">
        <f t="shared" si="4"/>
        <v>0.68888888888888888</v>
      </c>
      <c r="Q11" s="46">
        <v>16</v>
      </c>
      <c r="R11" s="45">
        <f t="shared" si="5"/>
        <v>970496</v>
      </c>
      <c r="S11" s="46">
        <f t="shared" si="6"/>
        <v>23.2258064516129</v>
      </c>
      <c r="T11" s="46">
        <f>IFERROR(VLOOKUP(A11,'[1]Re-order'!$A:$Q,17,0),"")</f>
        <v>53.973412112259979</v>
      </c>
      <c r="U11" s="46">
        <f>IFERROR(VLOOKUP(A11,'[1]MC Masterlist 2026-09-12'!$B:$M, 10, 0),0)</f>
        <v>15</v>
      </c>
      <c r="V11" s="46">
        <f>IFERROR(VLOOKUP(A11,'[1]MC Masterlist 2026-09-12'!$B:$M, 11, 0),0)</f>
        <v>15</v>
      </c>
      <c r="W11" s="46">
        <f t="shared" si="7"/>
        <v>30</v>
      </c>
      <c r="X11" s="46">
        <f t="shared" si="8"/>
        <v>-3.3333333333333339</v>
      </c>
      <c r="Y11" s="46">
        <f>IFERROR(IF(OR(C11="AREA I",C11="AREA V"),7,VLOOKUP(A11,'[1]MC Masterlist 2026-09-12'!$B:$M, 12, 0)),0)</f>
        <v>7</v>
      </c>
      <c r="Z11" s="46">
        <f t="shared" si="9"/>
        <v>10.333333333333334</v>
      </c>
      <c r="AA11" s="46">
        <f t="shared" si="10"/>
        <v>20.666666666666668</v>
      </c>
      <c r="AB11" s="46">
        <f t="shared" si="11"/>
        <v>-2.2962962962962967</v>
      </c>
      <c r="AC11" s="46">
        <f t="shared" si="12"/>
        <v>4.822222222222222</v>
      </c>
      <c r="AD11" s="44" t="str">
        <f t="shared" si="13"/>
        <v>Over</v>
      </c>
      <c r="AE11" s="44" t="str">
        <f>IFERROR(VLOOKUP(A11,'[1]Re-order'!$A:$AA,27,0),"")</f>
        <v>Re-order</v>
      </c>
      <c r="AF11" s="46">
        <f t="shared" si="14"/>
        <v>-11.177777777777777</v>
      </c>
      <c r="AG11" s="46">
        <f>SUMIFS('[1]Raw Inventory'!D:D,'[1]Raw Inventory'!C:C,"GREATWALL",'[1]Raw Inventory'!B:B,A11)</f>
        <v>282</v>
      </c>
      <c r="AH11" s="46">
        <f>SUMIFS('[1]Raw Inventory'!D:D,'[1]Raw Inventory'!C:C,"DUARTE",'[1]Raw Inventory'!B:B,A11)</f>
        <v>0</v>
      </c>
      <c r="AI11" s="46"/>
      <c r="AJ11" s="46"/>
      <c r="AK11" s="43"/>
      <c r="AL11" s="43"/>
      <c r="AM11" s="43"/>
      <c r="AN11" s="43"/>
      <c r="AO11" s="43"/>
      <c r="AP11" s="43"/>
      <c r="AQ11" s="43"/>
      <c r="AR11" s="43"/>
      <c r="AS11" s="43"/>
      <c r="AT11" s="43"/>
    </row>
    <row r="12" spans="1:46">
      <c r="A12" s="43" t="s">
        <v>39</v>
      </c>
      <c r="B12" s="43" t="s">
        <v>113</v>
      </c>
      <c r="C12" s="43" t="s">
        <v>109</v>
      </c>
      <c r="D12" s="44" t="s">
        <v>228</v>
      </c>
      <c r="E12" s="44">
        <v>20</v>
      </c>
      <c r="F12" s="44" t="s">
        <v>2</v>
      </c>
      <c r="G12" s="43" t="str">
        <f>IFERROR(VLOOKUP(A12,'[1]MC Masterlist 2026-09-12'!$B:$M, 3, 0),"")</f>
        <v>HONDA</v>
      </c>
      <c r="H12" s="45">
        <f>IFERROR(VLOOKUP(A12,'[1]MC Masterlist 2026-09-12'!$B:$M, 6, 0),"")</f>
        <v>72434</v>
      </c>
      <c r="I12" s="46">
        <v>0</v>
      </c>
      <c r="J12" s="46">
        <v>2</v>
      </c>
      <c r="K12" s="46">
        <v>1</v>
      </c>
      <c r="L12" s="46">
        <f t="shared" si="0"/>
        <v>3</v>
      </c>
      <c r="M12" s="46">
        <f t="shared" si="1"/>
        <v>1</v>
      </c>
      <c r="N12" s="45">
        <f t="shared" si="2"/>
        <v>217302</v>
      </c>
      <c r="O12" s="45">
        <f t="shared" si="3"/>
        <v>72434</v>
      </c>
      <c r="P12" s="46">
        <f t="shared" si="4"/>
        <v>3.3333333333333333E-2</v>
      </c>
      <c r="Q12" s="46"/>
      <c r="R12" s="45">
        <f t="shared" si="5"/>
        <v>0</v>
      </c>
      <c r="S12" s="46">
        <f t="shared" si="6"/>
        <v>0</v>
      </c>
      <c r="T12" s="46">
        <f>IFERROR(VLOOKUP(A12,'[1]Re-order'!$A:$Q,17,0),"")</f>
        <v>40.982142857142854</v>
      </c>
      <c r="U12" s="46">
        <f>IFERROR(VLOOKUP(A12,'[1]MC Masterlist 2026-09-12'!$B:$M, 10, 0),0)</f>
        <v>15</v>
      </c>
      <c r="V12" s="46">
        <f>IFERROR(VLOOKUP(A12,'[1]MC Masterlist 2026-09-12'!$B:$M, 11, 0),0)</f>
        <v>15</v>
      </c>
      <c r="W12" s="46">
        <f t="shared" si="7"/>
        <v>30</v>
      </c>
      <c r="X12" s="46">
        <f t="shared" si="8"/>
        <v>29.5</v>
      </c>
      <c r="Y12" s="46">
        <f>IFERROR(IF(OR(C12="AREA I",C12="AREA V"),7,VLOOKUP(A12,'[1]MC Masterlist 2026-09-12'!$B:$M, 12, 0)),0)</f>
        <v>30</v>
      </c>
      <c r="Z12" s="46">
        <f t="shared" si="9"/>
        <v>0.5</v>
      </c>
      <c r="AA12" s="46">
        <f t="shared" si="10"/>
        <v>1</v>
      </c>
      <c r="AB12" s="46">
        <f t="shared" si="11"/>
        <v>0.98333333333333328</v>
      </c>
      <c r="AC12" s="46">
        <f t="shared" si="12"/>
        <v>1</v>
      </c>
      <c r="AD12" s="44" t="str">
        <f t="shared" si="13"/>
        <v>Stockout</v>
      </c>
      <c r="AE12" s="44" t="str">
        <f>IFERROR(VLOOKUP(A12,'[1]Re-order'!$A:$AA,27,0),"")</f>
        <v>Re-order</v>
      </c>
      <c r="AF12" s="46">
        <f t="shared" si="14"/>
        <v>1</v>
      </c>
      <c r="AG12" s="46">
        <f>SUMIFS('[1]Raw Inventory'!D:D,'[1]Raw Inventory'!C:C,"GREATWALL",'[1]Raw Inventory'!B:B,A12)</f>
        <v>16</v>
      </c>
      <c r="AH12" s="46">
        <f>SUMIFS('[1]Raw Inventory'!D:D,'[1]Raw Inventory'!C:C,"DUARTE",'[1]Raw Inventory'!B:B,A12)</f>
        <v>0</v>
      </c>
      <c r="AI12" s="46"/>
      <c r="AJ12" s="46"/>
      <c r="AK12" s="43"/>
      <c r="AL12" s="43"/>
      <c r="AM12" s="43"/>
      <c r="AN12" s="43"/>
      <c r="AO12" s="43"/>
      <c r="AP12" s="43"/>
      <c r="AQ12" s="43"/>
      <c r="AR12" s="43"/>
      <c r="AS12" s="43"/>
      <c r="AT12" s="43"/>
    </row>
    <row r="13" spans="1:46">
      <c r="A13" s="43" t="s">
        <v>78</v>
      </c>
      <c r="B13" s="43" t="s">
        <v>30</v>
      </c>
      <c r="C13" s="43" t="s">
        <v>1</v>
      </c>
      <c r="D13" s="44" t="s">
        <v>229</v>
      </c>
      <c r="E13" s="44">
        <v>31</v>
      </c>
      <c r="F13" s="44" t="s">
        <v>3</v>
      </c>
      <c r="G13" s="43" t="str">
        <f>IFERROR(VLOOKUP(A13,'[1]MC Masterlist 2026-09-12'!$B:$M, 3, 0),"")</f>
        <v>KAWASAKI</v>
      </c>
      <c r="H13" s="45">
        <f>IFERROR(VLOOKUP(A13,'[1]MC Masterlist 2026-09-12'!$B:$M, 6, 0),"")</f>
        <v>100700</v>
      </c>
      <c r="I13" s="46">
        <v>0</v>
      </c>
      <c r="J13" s="46">
        <v>0</v>
      </c>
      <c r="K13" s="46">
        <v>1</v>
      </c>
      <c r="L13" s="46">
        <f t="shared" si="0"/>
        <v>1</v>
      </c>
      <c r="M13" s="46">
        <f t="shared" si="1"/>
        <v>0.33333333333333331</v>
      </c>
      <c r="N13" s="45">
        <f t="shared" si="2"/>
        <v>100700</v>
      </c>
      <c r="O13" s="45">
        <f t="shared" si="3"/>
        <v>33566.666666666664</v>
      </c>
      <c r="P13" s="46">
        <f t="shared" si="4"/>
        <v>1.111111111111111E-2</v>
      </c>
      <c r="Q13" s="46"/>
      <c r="R13" s="45">
        <f t="shared" si="5"/>
        <v>0</v>
      </c>
      <c r="S13" s="46">
        <f t="shared" si="6"/>
        <v>0</v>
      </c>
      <c r="T13" s="46">
        <f>IFERROR(VLOOKUP(A13,'[1]Re-order'!$A:$Q,17,0),"")</f>
        <v>438.75000000000006</v>
      </c>
      <c r="U13" s="46">
        <f>IFERROR(VLOOKUP(A13,'[1]MC Masterlist 2026-09-12'!$B:$M, 10, 0),0)</f>
        <v>15</v>
      </c>
      <c r="V13" s="46">
        <f>IFERROR(VLOOKUP(A13,'[1]MC Masterlist 2026-09-12'!$B:$M, 11, 0),0)</f>
        <v>15</v>
      </c>
      <c r="W13" s="46">
        <f t="shared" si="7"/>
        <v>30</v>
      </c>
      <c r="X13" s="46">
        <f t="shared" si="8"/>
        <v>6.833333333333333</v>
      </c>
      <c r="Y13" s="46">
        <f>IFERROR(IF(OR(C13="AREA I",C13="AREA V"),7,VLOOKUP(A13,'[1]MC Masterlist 2026-09-12'!$B:$M, 12, 0)),0)</f>
        <v>7</v>
      </c>
      <c r="Z13" s="46">
        <f t="shared" si="9"/>
        <v>0.16666666666666666</v>
      </c>
      <c r="AA13" s="46">
        <f t="shared" si="10"/>
        <v>0.33333333333333331</v>
      </c>
      <c r="AB13" s="46">
        <f t="shared" si="11"/>
        <v>7.5925925925925911E-2</v>
      </c>
      <c r="AC13" s="46">
        <f t="shared" si="12"/>
        <v>7.7777777777777765E-2</v>
      </c>
      <c r="AD13" s="44" t="str">
        <f t="shared" si="13"/>
        <v>Stockout</v>
      </c>
      <c r="AE13" s="44" t="str">
        <f>IFERROR(VLOOKUP(A13,'[1]Re-order'!$A:$AA,27,0),"")</f>
        <v>Over</v>
      </c>
      <c r="AF13" s="46">
        <f t="shared" si="14"/>
        <v>7.7777777777777765E-2</v>
      </c>
      <c r="AG13" s="46">
        <f>SUMIFS('[1]Raw Inventory'!D:D,'[1]Raw Inventory'!C:C,"GREATWALL",'[1]Raw Inventory'!B:B,A13)</f>
        <v>26</v>
      </c>
      <c r="AH13" s="46">
        <f>SUMIFS('[1]Raw Inventory'!D:D,'[1]Raw Inventory'!C:C,"DUARTE",'[1]Raw Inventory'!B:B,A13)</f>
        <v>0</v>
      </c>
      <c r="AI13" s="46"/>
      <c r="AJ13" s="46"/>
      <c r="AK13" s="43"/>
      <c r="AL13" s="43"/>
      <c r="AM13" s="43"/>
      <c r="AN13" s="43"/>
      <c r="AO13" s="43"/>
      <c r="AP13" s="43"/>
      <c r="AQ13" s="43"/>
      <c r="AR13" s="43"/>
      <c r="AS13" s="43"/>
      <c r="AT13" s="43"/>
    </row>
    <row r="14" spans="1:46">
      <c r="A14" s="43" t="s">
        <v>22</v>
      </c>
      <c r="B14" s="43" t="s">
        <v>30</v>
      </c>
      <c r="C14" s="43" t="s">
        <v>1</v>
      </c>
      <c r="D14" s="44" t="s">
        <v>230</v>
      </c>
      <c r="E14" s="44">
        <v>6</v>
      </c>
      <c r="F14" s="44" t="s">
        <v>0</v>
      </c>
      <c r="G14" s="43" t="str">
        <f>IFERROR(VLOOKUP(A14,'[1]MC Masterlist 2026-09-12'!$B:$M, 3, 0),"")</f>
        <v>HONDA</v>
      </c>
      <c r="H14" s="45">
        <f>IFERROR(VLOOKUP(A14,'[1]MC Masterlist 2026-09-12'!$B:$M, 6, 0),"")</f>
        <v>111258</v>
      </c>
      <c r="I14" s="46">
        <v>3</v>
      </c>
      <c r="J14" s="46">
        <v>2</v>
      </c>
      <c r="K14" s="46">
        <v>4</v>
      </c>
      <c r="L14" s="46">
        <f t="shared" si="0"/>
        <v>9</v>
      </c>
      <c r="M14" s="46">
        <f t="shared" si="1"/>
        <v>3</v>
      </c>
      <c r="N14" s="45">
        <f t="shared" si="2"/>
        <v>1001322</v>
      </c>
      <c r="O14" s="45">
        <f t="shared" si="3"/>
        <v>333774</v>
      </c>
      <c r="P14" s="46">
        <f t="shared" si="4"/>
        <v>0.1</v>
      </c>
      <c r="Q14" s="46">
        <v>4</v>
      </c>
      <c r="R14" s="45">
        <f t="shared" si="5"/>
        <v>445032</v>
      </c>
      <c r="S14" s="46">
        <f t="shared" si="6"/>
        <v>40</v>
      </c>
      <c r="T14" s="46">
        <f>IFERROR(VLOOKUP(A14,'[1]Re-order'!$A:$Q,17,0),"")</f>
        <v>41.339712918660283</v>
      </c>
      <c r="U14" s="46">
        <f>IFERROR(VLOOKUP(A14,'[1]MC Masterlist 2026-09-12'!$B:$M, 10, 0),0)</f>
        <v>15</v>
      </c>
      <c r="V14" s="46">
        <f>IFERROR(VLOOKUP(A14,'[1]MC Masterlist 2026-09-12'!$B:$M, 11, 0),0)</f>
        <v>15</v>
      </c>
      <c r="W14" s="46">
        <f t="shared" si="7"/>
        <v>30</v>
      </c>
      <c r="X14" s="46">
        <f t="shared" si="8"/>
        <v>5.5</v>
      </c>
      <c r="Y14" s="46">
        <f>IFERROR(IF(OR(C14="AREA I",C14="AREA V"),7,VLOOKUP(A14,'[1]MC Masterlist 2026-09-12'!$B:$M, 12, 0)),0)</f>
        <v>7</v>
      </c>
      <c r="Z14" s="46">
        <f t="shared" si="9"/>
        <v>1.5</v>
      </c>
      <c r="AA14" s="46">
        <f t="shared" si="10"/>
        <v>3</v>
      </c>
      <c r="AB14" s="46">
        <f t="shared" si="11"/>
        <v>0.55000000000000004</v>
      </c>
      <c r="AC14" s="46">
        <f t="shared" si="12"/>
        <v>0.70000000000000007</v>
      </c>
      <c r="AD14" s="44" t="str">
        <f t="shared" si="13"/>
        <v>Over</v>
      </c>
      <c r="AE14" s="44" t="str">
        <f>IFERROR(VLOOKUP(A14,'[1]Re-order'!$A:$AA,27,0),"")</f>
        <v>Re-order</v>
      </c>
      <c r="AF14" s="46">
        <f t="shared" si="14"/>
        <v>-3.3</v>
      </c>
      <c r="AG14" s="46">
        <f>SUMIFS('[1]Raw Inventory'!D:D,'[1]Raw Inventory'!C:C,"GREATWALL",'[1]Raw Inventory'!B:B,A14)</f>
        <v>4</v>
      </c>
      <c r="AH14" s="46">
        <f>SUMIFS('[1]Raw Inventory'!D:D,'[1]Raw Inventory'!C:C,"DUARTE",'[1]Raw Inventory'!B:B,A14)</f>
        <v>0</v>
      </c>
      <c r="AI14" s="46"/>
      <c r="AJ14" s="46"/>
      <c r="AK14" s="43"/>
      <c r="AL14" s="43"/>
      <c r="AM14" s="43"/>
      <c r="AN14" s="43"/>
      <c r="AO14" s="43"/>
      <c r="AP14" s="43"/>
      <c r="AQ14" s="43"/>
      <c r="AR14" s="43"/>
      <c r="AS14" s="43"/>
      <c r="AT14" s="43"/>
    </row>
    <row r="15" spans="1:46">
      <c r="A15" s="43" t="s">
        <v>31</v>
      </c>
      <c r="B15" s="43" t="s">
        <v>115</v>
      </c>
      <c r="C15" s="43" t="s">
        <v>109</v>
      </c>
      <c r="D15" s="44" t="s">
        <v>226</v>
      </c>
      <c r="E15" s="44">
        <v>28</v>
      </c>
      <c r="F15" s="44" t="s">
        <v>3</v>
      </c>
      <c r="G15" s="43" t="str">
        <f>IFERROR(VLOOKUP(A15,'[1]MC Masterlist 2026-09-12'!$B:$M, 3, 0),"")</f>
        <v>KAWASAKI</v>
      </c>
      <c r="H15" s="45">
        <f>IFERROR(VLOOKUP(A15,'[1]MC Masterlist 2026-09-12'!$B:$M, 6, 0),"")</f>
        <v>59528</v>
      </c>
      <c r="I15" s="46">
        <v>0</v>
      </c>
      <c r="J15" s="46">
        <v>0</v>
      </c>
      <c r="K15" s="46">
        <v>0</v>
      </c>
      <c r="L15" s="46">
        <f t="shared" si="0"/>
        <v>0</v>
      </c>
      <c r="M15" s="46">
        <f t="shared" si="1"/>
        <v>0</v>
      </c>
      <c r="N15" s="45">
        <f t="shared" si="2"/>
        <v>0</v>
      </c>
      <c r="O15" s="45">
        <f t="shared" si="3"/>
        <v>0</v>
      </c>
      <c r="P15" s="46">
        <f t="shared" si="4"/>
        <v>0</v>
      </c>
      <c r="Q15" s="46">
        <v>1</v>
      </c>
      <c r="R15" s="45">
        <f t="shared" si="5"/>
        <v>59528</v>
      </c>
      <c r="S15" s="46">
        <f t="shared" si="6"/>
        <v>0</v>
      </c>
      <c r="T15" s="46">
        <f>IFERROR(VLOOKUP(A15,'[1]Re-order'!$A:$Q,17,0),"")</f>
        <v>95.869565217391298</v>
      </c>
      <c r="U15" s="46">
        <f>IFERROR(VLOOKUP(A15,'[1]MC Masterlist 2026-09-12'!$B:$M, 10, 0),0)</f>
        <v>15</v>
      </c>
      <c r="V15" s="46">
        <f>IFERROR(VLOOKUP(A15,'[1]MC Masterlist 2026-09-12'!$B:$M, 11, 0),0)</f>
        <v>15</v>
      </c>
      <c r="W15" s="46">
        <f t="shared" si="7"/>
        <v>30</v>
      </c>
      <c r="X15" s="46">
        <f t="shared" si="8"/>
        <v>30</v>
      </c>
      <c r="Y15" s="46">
        <f>IFERROR(IF(OR(C15="AREA I",C15="AREA V"),7,VLOOKUP(A15,'[1]MC Masterlist 2026-09-12'!$B:$M, 12, 0)),0)</f>
        <v>30</v>
      </c>
      <c r="Z15" s="46">
        <f t="shared" si="9"/>
        <v>0</v>
      </c>
      <c r="AA15" s="46">
        <f t="shared" si="10"/>
        <v>0</v>
      </c>
      <c r="AB15" s="46">
        <f t="shared" si="11"/>
        <v>0</v>
      </c>
      <c r="AC15" s="46">
        <f t="shared" si="12"/>
        <v>0</v>
      </c>
      <c r="AD15" s="44" t="str">
        <f t="shared" si="13"/>
        <v>Over</v>
      </c>
      <c r="AE15" s="44" t="str">
        <f>IFERROR(VLOOKUP(A15,'[1]Re-order'!$A:$AA,27,0),"")</f>
        <v>Over</v>
      </c>
      <c r="AF15" s="46">
        <f t="shared" si="14"/>
        <v>-1</v>
      </c>
      <c r="AG15" s="46">
        <f>SUMIFS('[1]Raw Inventory'!D:D,'[1]Raw Inventory'!C:C,"GREATWALL",'[1]Raw Inventory'!B:B,A15)</f>
        <v>79</v>
      </c>
      <c r="AH15" s="46">
        <f>SUMIFS('[1]Raw Inventory'!D:D,'[1]Raw Inventory'!C:C,"DUARTE",'[1]Raw Inventory'!B:B,A15)</f>
        <v>0</v>
      </c>
      <c r="AI15" s="46"/>
      <c r="AJ15" s="46"/>
      <c r="AK15" s="43"/>
      <c r="AL15" s="43"/>
      <c r="AM15" s="43"/>
      <c r="AN15" s="43"/>
      <c r="AO15" s="43"/>
      <c r="AP15" s="43"/>
      <c r="AQ15" s="43"/>
      <c r="AR15" s="43"/>
      <c r="AS15" s="43"/>
      <c r="AT15" s="43"/>
    </row>
    <row r="16" spans="1:46">
      <c r="A16" s="43" t="s">
        <v>39</v>
      </c>
      <c r="B16" s="43" t="s">
        <v>142</v>
      </c>
      <c r="C16" s="43" t="s">
        <v>137</v>
      </c>
      <c r="D16" s="44" t="s">
        <v>231</v>
      </c>
      <c r="E16" s="44">
        <v>26</v>
      </c>
      <c r="F16" s="44" t="s">
        <v>3</v>
      </c>
      <c r="G16" s="43" t="str">
        <f>IFERROR(VLOOKUP(A16,'[1]MC Masterlist 2026-09-12'!$B:$M, 3, 0),"")</f>
        <v>HONDA</v>
      </c>
      <c r="H16" s="45">
        <f>IFERROR(VLOOKUP(A16,'[1]MC Masterlist 2026-09-12'!$B:$M, 6, 0),"")</f>
        <v>72434</v>
      </c>
      <c r="I16" s="46">
        <v>0</v>
      </c>
      <c r="J16" s="46">
        <v>0</v>
      </c>
      <c r="K16" s="46">
        <v>0</v>
      </c>
      <c r="L16" s="46">
        <f t="shared" si="0"/>
        <v>0</v>
      </c>
      <c r="M16" s="46">
        <f t="shared" si="1"/>
        <v>0</v>
      </c>
      <c r="N16" s="45">
        <f t="shared" si="2"/>
        <v>0</v>
      </c>
      <c r="O16" s="45">
        <f t="shared" si="3"/>
        <v>0</v>
      </c>
      <c r="P16" s="46">
        <f t="shared" si="4"/>
        <v>0</v>
      </c>
      <c r="Q16" s="46">
        <v>1</v>
      </c>
      <c r="R16" s="45">
        <f t="shared" si="5"/>
        <v>72434</v>
      </c>
      <c r="S16" s="46">
        <f t="shared" si="6"/>
        <v>0</v>
      </c>
      <c r="T16" s="46">
        <f>IFERROR(VLOOKUP(A16,'[1]Re-order'!$A:$Q,17,0),"")</f>
        <v>40.982142857142854</v>
      </c>
      <c r="U16" s="46">
        <f>IFERROR(VLOOKUP(A16,'[1]MC Masterlist 2026-09-12'!$B:$M, 10, 0),0)</f>
        <v>15</v>
      </c>
      <c r="V16" s="46">
        <f>IFERROR(VLOOKUP(A16,'[1]MC Masterlist 2026-09-12'!$B:$M, 11, 0),0)</f>
        <v>15</v>
      </c>
      <c r="W16" s="46">
        <f t="shared" si="7"/>
        <v>30</v>
      </c>
      <c r="X16" s="46">
        <f t="shared" si="8"/>
        <v>7</v>
      </c>
      <c r="Y16" s="46">
        <f>IFERROR(IF(OR(C16="AREA I",C16="AREA V"),7,VLOOKUP(A16,'[1]MC Masterlist 2026-09-12'!$B:$M, 12, 0)),0)</f>
        <v>7</v>
      </c>
      <c r="Z16" s="46">
        <f t="shared" si="9"/>
        <v>0</v>
      </c>
      <c r="AA16" s="46">
        <f t="shared" si="10"/>
        <v>0</v>
      </c>
      <c r="AB16" s="46">
        <f t="shared" si="11"/>
        <v>0</v>
      </c>
      <c r="AC16" s="46">
        <f t="shared" si="12"/>
        <v>0</v>
      </c>
      <c r="AD16" s="44" t="str">
        <f t="shared" si="13"/>
        <v>Over</v>
      </c>
      <c r="AE16" s="44" t="str">
        <f>IFERROR(VLOOKUP(A16,'[1]Re-order'!$A:$AA,27,0),"")</f>
        <v>Re-order</v>
      </c>
      <c r="AF16" s="46">
        <f t="shared" si="14"/>
        <v>-1</v>
      </c>
      <c r="AG16" s="46">
        <f>SUMIFS('[1]Raw Inventory'!D:D,'[1]Raw Inventory'!C:C,"GREATWALL",'[1]Raw Inventory'!B:B,A16)</f>
        <v>16</v>
      </c>
      <c r="AH16" s="46">
        <f>SUMIFS('[1]Raw Inventory'!D:D,'[1]Raw Inventory'!C:C,"DUARTE",'[1]Raw Inventory'!B:B,A16)</f>
        <v>0</v>
      </c>
      <c r="AI16" s="46"/>
      <c r="AJ16" s="46"/>
      <c r="AK16" s="43"/>
      <c r="AL16" s="43"/>
      <c r="AM16" s="43"/>
      <c r="AN16" s="43"/>
      <c r="AO16" s="43"/>
      <c r="AP16" s="43"/>
      <c r="AQ16" s="43"/>
      <c r="AR16" s="43"/>
      <c r="AS16" s="43"/>
      <c r="AT16" s="43"/>
    </row>
    <row r="17" spans="1:46">
      <c r="A17" s="43" t="s">
        <v>100</v>
      </c>
      <c r="B17" s="43" t="s">
        <v>143</v>
      </c>
      <c r="C17" s="43" t="s">
        <v>137</v>
      </c>
      <c r="D17" s="44" t="s">
        <v>232</v>
      </c>
      <c r="E17" s="44">
        <v>26</v>
      </c>
      <c r="F17" s="44" t="s">
        <v>3</v>
      </c>
      <c r="G17" s="43" t="str">
        <f>IFERROR(VLOOKUP(A17,'[1]MC Masterlist 2026-09-12'!$B:$M, 3, 0),"")</f>
        <v>BAJAJ RE</v>
      </c>
      <c r="H17" s="45">
        <f>IFERROR(VLOOKUP(A17,'[1]MC Masterlist 2026-09-12'!$B:$M, 6, 0),"")</f>
        <v>225800</v>
      </c>
      <c r="I17" s="46">
        <v>0</v>
      </c>
      <c r="J17" s="46">
        <v>0</v>
      </c>
      <c r="K17" s="46">
        <v>0</v>
      </c>
      <c r="L17" s="46">
        <f t="shared" si="0"/>
        <v>0</v>
      </c>
      <c r="M17" s="46">
        <f t="shared" si="1"/>
        <v>0</v>
      </c>
      <c r="N17" s="45">
        <f t="shared" si="2"/>
        <v>0</v>
      </c>
      <c r="O17" s="45">
        <f t="shared" si="3"/>
        <v>0</v>
      </c>
      <c r="P17" s="46">
        <f t="shared" si="4"/>
        <v>0</v>
      </c>
      <c r="Q17" s="46">
        <v>1</v>
      </c>
      <c r="R17" s="45">
        <f t="shared" si="5"/>
        <v>225800</v>
      </c>
      <c r="S17" s="46">
        <f t="shared" si="6"/>
        <v>0</v>
      </c>
      <c r="T17" s="46">
        <f>IFERROR(VLOOKUP(A17,'[1]Re-order'!$A:$Q,17,0),"")</f>
        <v>18</v>
      </c>
      <c r="U17" s="46">
        <f>IFERROR(VLOOKUP(A17,'[1]MC Masterlist 2026-09-12'!$B:$M, 10, 0),0)</f>
        <v>15</v>
      </c>
      <c r="V17" s="46">
        <f>IFERROR(VLOOKUP(A17,'[1]MC Masterlist 2026-09-12'!$B:$M, 11, 0),0)</f>
        <v>15</v>
      </c>
      <c r="W17" s="46">
        <f t="shared" si="7"/>
        <v>30</v>
      </c>
      <c r="X17" s="46">
        <f t="shared" si="8"/>
        <v>7</v>
      </c>
      <c r="Y17" s="46">
        <f>IFERROR(IF(OR(C17="AREA I",C17="AREA V"),7,VLOOKUP(A17,'[1]MC Masterlist 2026-09-12'!$B:$M, 12, 0)),0)</f>
        <v>7</v>
      </c>
      <c r="Z17" s="46">
        <f t="shared" si="9"/>
        <v>0</v>
      </c>
      <c r="AA17" s="46">
        <f t="shared" si="10"/>
        <v>0</v>
      </c>
      <c r="AB17" s="46">
        <f t="shared" si="11"/>
        <v>0</v>
      </c>
      <c r="AC17" s="46">
        <f t="shared" si="12"/>
        <v>0</v>
      </c>
      <c r="AD17" s="44" t="str">
        <f t="shared" si="13"/>
        <v>Over</v>
      </c>
      <c r="AE17" s="44" t="str">
        <f>IFERROR(VLOOKUP(A17,'[1]Re-order'!$A:$AA,27,0),"")</f>
        <v>Stockout</v>
      </c>
      <c r="AF17" s="46">
        <f t="shared" si="14"/>
        <v>-1</v>
      </c>
      <c r="AG17" s="46">
        <f>SUMIFS('[1]Raw Inventory'!D:D,'[1]Raw Inventory'!C:C,"GREATWALL",'[1]Raw Inventory'!B:B,A17)</f>
        <v>0</v>
      </c>
      <c r="AH17" s="46">
        <f>SUMIFS('[1]Raw Inventory'!D:D,'[1]Raw Inventory'!C:C,"DUARTE",'[1]Raw Inventory'!B:B,A17)</f>
        <v>0</v>
      </c>
      <c r="AI17" s="46"/>
      <c r="AJ17" s="46"/>
      <c r="AK17" s="43"/>
      <c r="AL17" s="43"/>
      <c r="AM17" s="43"/>
      <c r="AN17" s="43"/>
      <c r="AO17" s="43"/>
      <c r="AP17" s="43"/>
      <c r="AQ17" s="43"/>
      <c r="AR17" s="43"/>
      <c r="AS17" s="43"/>
      <c r="AT17" s="43"/>
    </row>
    <row r="18" spans="1:46">
      <c r="A18" s="43" t="s">
        <v>39</v>
      </c>
      <c r="B18" s="43" t="s">
        <v>115</v>
      </c>
      <c r="C18" s="43" t="s">
        <v>109</v>
      </c>
      <c r="D18" s="44" t="s">
        <v>223</v>
      </c>
      <c r="E18" s="44">
        <v>20</v>
      </c>
      <c r="F18" s="44" t="s">
        <v>3</v>
      </c>
      <c r="G18" s="43" t="str">
        <f>IFERROR(VLOOKUP(A18,'[1]MC Masterlist 2026-09-12'!$B:$M, 3, 0),"")</f>
        <v>HONDA</v>
      </c>
      <c r="H18" s="45">
        <f>IFERROR(VLOOKUP(A18,'[1]MC Masterlist 2026-09-12'!$B:$M, 6, 0),"")</f>
        <v>72434</v>
      </c>
      <c r="I18" s="46">
        <v>1</v>
      </c>
      <c r="J18" s="46">
        <v>0</v>
      </c>
      <c r="K18" s="46">
        <v>1</v>
      </c>
      <c r="L18" s="46">
        <f t="shared" si="0"/>
        <v>2</v>
      </c>
      <c r="M18" s="46">
        <f t="shared" si="1"/>
        <v>0.66666666666666663</v>
      </c>
      <c r="N18" s="45">
        <f t="shared" si="2"/>
        <v>144868</v>
      </c>
      <c r="O18" s="45">
        <f t="shared" si="3"/>
        <v>48289.333333333328</v>
      </c>
      <c r="P18" s="46">
        <f t="shared" si="4"/>
        <v>2.222222222222222E-2</v>
      </c>
      <c r="Q18" s="46"/>
      <c r="R18" s="45">
        <f t="shared" si="5"/>
        <v>0</v>
      </c>
      <c r="S18" s="46">
        <f t="shared" si="6"/>
        <v>0</v>
      </c>
      <c r="T18" s="46">
        <f>IFERROR(VLOOKUP(A18,'[1]Re-order'!$A:$Q,17,0),"")</f>
        <v>40.982142857142854</v>
      </c>
      <c r="U18" s="46">
        <f>IFERROR(VLOOKUP(A18,'[1]MC Masterlist 2026-09-12'!$B:$M, 10, 0),0)</f>
        <v>15</v>
      </c>
      <c r="V18" s="46">
        <f>IFERROR(VLOOKUP(A18,'[1]MC Masterlist 2026-09-12'!$B:$M, 11, 0),0)</f>
        <v>15</v>
      </c>
      <c r="W18" s="46">
        <f t="shared" si="7"/>
        <v>30</v>
      </c>
      <c r="X18" s="46">
        <f t="shared" si="8"/>
        <v>29.666666666666668</v>
      </c>
      <c r="Y18" s="46">
        <f>IFERROR(IF(OR(C18="AREA I",C18="AREA V"),7,VLOOKUP(A18,'[1]MC Masterlist 2026-09-12'!$B:$M, 12, 0)),0)</f>
        <v>30</v>
      </c>
      <c r="Z18" s="46">
        <f t="shared" si="9"/>
        <v>0.33333333333333331</v>
      </c>
      <c r="AA18" s="46">
        <f t="shared" si="10"/>
        <v>0.66666666666666663</v>
      </c>
      <c r="AB18" s="46">
        <f t="shared" si="11"/>
        <v>0.65925925925925921</v>
      </c>
      <c r="AC18" s="46">
        <f t="shared" si="12"/>
        <v>0.66666666666666663</v>
      </c>
      <c r="AD18" s="44" t="str">
        <f t="shared" si="13"/>
        <v>Stockout</v>
      </c>
      <c r="AE18" s="44" t="str">
        <f>IFERROR(VLOOKUP(A18,'[1]Re-order'!$A:$AA,27,0),"")</f>
        <v>Re-order</v>
      </c>
      <c r="AF18" s="46">
        <f t="shared" si="14"/>
        <v>0.66666666666666663</v>
      </c>
      <c r="AG18" s="46">
        <f>SUMIFS('[1]Raw Inventory'!D:D,'[1]Raw Inventory'!C:C,"GREATWALL",'[1]Raw Inventory'!B:B,A18)</f>
        <v>16</v>
      </c>
      <c r="AH18" s="46">
        <f>SUMIFS('[1]Raw Inventory'!D:D,'[1]Raw Inventory'!C:C,"DUARTE",'[1]Raw Inventory'!B:B,A18)</f>
        <v>0</v>
      </c>
      <c r="AI18" s="46"/>
      <c r="AJ18" s="46"/>
      <c r="AK18" s="43"/>
      <c r="AL18" s="43"/>
      <c r="AM18" s="43"/>
      <c r="AN18" s="43"/>
      <c r="AO18" s="43"/>
      <c r="AP18" s="43"/>
      <c r="AQ18" s="43"/>
      <c r="AR18" s="43"/>
      <c r="AS18" s="43"/>
      <c r="AT18" s="43"/>
    </row>
    <row r="19" spans="1:46">
      <c r="A19" s="43" t="s">
        <v>20</v>
      </c>
      <c r="B19" s="43" t="s">
        <v>11</v>
      </c>
      <c r="C19" s="43" t="s">
        <v>1</v>
      </c>
      <c r="D19" s="44" t="s">
        <v>233</v>
      </c>
      <c r="E19" s="44">
        <v>8</v>
      </c>
      <c r="F19" s="44" t="s">
        <v>2</v>
      </c>
      <c r="G19" s="43" t="str">
        <f>IFERROR(VLOOKUP(A19,'[1]MC Masterlist 2026-09-12'!$B:$M, 3, 0),"")</f>
        <v>HONDA</v>
      </c>
      <c r="H19" s="45">
        <f>IFERROR(VLOOKUP(A19,'[1]MC Masterlist 2026-09-12'!$B:$M, 6, 0),"")</f>
        <v>69950</v>
      </c>
      <c r="I19" s="46">
        <v>4</v>
      </c>
      <c r="J19" s="46">
        <v>5</v>
      </c>
      <c r="K19" s="46">
        <v>6</v>
      </c>
      <c r="L19" s="46">
        <f t="shared" si="0"/>
        <v>15</v>
      </c>
      <c r="M19" s="46">
        <f t="shared" si="1"/>
        <v>5</v>
      </c>
      <c r="N19" s="45">
        <f t="shared" si="2"/>
        <v>1049250</v>
      </c>
      <c r="O19" s="45">
        <f t="shared" si="3"/>
        <v>349750</v>
      </c>
      <c r="P19" s="46">
        <f t="shared" si="4"/>
        <v>0.16666666666666666</v>
      </c>
      <c r="Q19" s="46"/>
      <c r="R19" s="45">
        <f t="shared" si="5"/>
        <v>0</v>
      </c>
      <c r="S19" s="46">
        <f t="shared" si="6"/>
        <v>0</v>
      </c>
      <c r="T19" s="46">
        <f>IFERROR(VLOOKUP(A19,'[1]Re-order'!$A:$Q,17,0),"")</f>
        <v>75.775862068965523</v>
      </c>
      <c r="U19" s="46">
        <f>IFERROR(VLOOKUP(A19,'[1]MC Masterlist 2026-09-12'!$B:$M, 10, 0),0)</f>
        <v>15</v>
      </c>
      <c r="V19" s="46">
        <f>IFERROR(VLOOKUP(A19,'[1]MC Masterlist 2026-09-12'!$B:$M, 11, 0),0)</f>
        <v>15</v>
      </c>
      <c r="W19" s="46">
        <f t="shared" si="7"/>
        <v>30</v>
      </c>
      <c r="X19" s="46">
        <f t="shared" si="8"/>
        <v>4.5</v>
      </c>
      <c r="Y19" s="46">
        <f>IFERROR(IF(OR(C19="AREA I",C19="AREA V"),7,VLOOKUP(A19,'[1]MC Masterlist 2026-09-12'!$B:$M, 12, 0)),0)</f>
        <v>7</v>
      </c>
      <c r="Z19" s="46">
        <f t="shared" si="9"/>
        <v>2.5</v>
      </c>
      <c r="AA19" s="46">
        <f t="shared" si="10"/>
        <v>5</v>
      </c>
      <c r="AB19" s="46">
        <f t="shared" si="11"/>
        <v>0.75</v>
      </c>
      <c r="AC19" s="46">
        <f t="shared" si="12"/>
        <v>1.1666666666666665</v>
      </c>
      <c r="AD19" s="44" t="str">
        <f t="shared" si="13"/>
        <v>Stockout</v>
      </c>
      <c r="AE19" s="44" t="str">
        <f>IFERROR(VLOOKUP(A19,'[1]Re-order'!$A:$AA,27,0),"")</f>
        <v/>
      </c>
      <c r="AF19" s="46">
        <f t="shared" si="14"/>
        <v>1.1666666666666665</v>
      </c>
      <c r="AG19" s="46">
        <f>SUMIFS('[1]Raw Inventory'!D:D,'[1]Raw Inventory'!C:C,"GREATWALL",'[1]Raw Inventory'!B:B,A19)</f>
        <v>110</v>
      </c>
      <c r="AH19" s="46">
        <f>SUMIFS('[1]Raw Inventory'!D:D,'[1]Raw Inventory'!C:C,"DUARTE",'[1]Raw Inventory'!B:B,A19)</f>
        <v>0</v>
      </c>
      <c r="AI19" s="46"/>
      <c r="AJ19" s="46"/>
      <c r="AK19" s="43"/>
      <c r="AL19" s="43"/>
      <c r="AM19" s="43"/>
      <c r="AN19" s="43"/>
      <c r="AO19" s="43"/>
      <c r="AP19" s="43"/>
      <c r="AQ19" s="43"/>
      <c r="AR19" s="43"/>
      <c r="AS19" s="43"/>
      <c r="AT19" s="43"/>
    </row>
    <row r="20" spans="1:46">
      <c r="A20" s="43" t="s">
        <v>23</v>
      </c>
      <c r="B20" s="43" t="s">
        <v>95</v>
      </c>
      <c r="C20" s="43" t="s">
        <v>90</v>
      </c>
      <c r="D20" s="44" t="s">
        <v>234</v>
      </c>
      <c r="E20" s="44">
        <v>4</v>
      </c>
      <c r="F20" s="44" t="s">
        <v>0</v>
      </c>
      <c r="G20" s="43" t="str">
        <f>IFERROR(VLOOKUP(A20,'[1]MC Masterlist 2026-09-12'!$B:$M, 3, 0),"")</f>
        <v>KAWASAKI</v>
      </c>
      <c r="H20" s="45">
        <f>IFERROR(VLOOKUP(A20,'[1]MC Masterlist 2026-09-12'!$B:$M, 6, 0),"")</f>
        <v>60656</v>
      </c>
      <c r="I20" s="46">
        <v>1</v>
      </c>
      <c r="J20" s="46">
        <v>3</v>
      </c>
      <c r="K20" s="46">
        <v>6</v>
      </c>
      <c r="L20" s="46">
        <f t="shared" si="0"/>
        <v>10</v>
      </c>
      <c r="M20" s="46">
        <f t="shared" si="1"/>
        <v>3.3333333333333335</v>
      </c>
      <c r="N20" s="45">
        <f t="shared" si="2"/>
        <v>606560</v>
      </c>
      <c r="O20" s="45">
        <f t="shared" si="3"/>
        <v>202186.66666666669</v>
      </c>
      <c r="P20" s="46">
        <f t="shared" si="4"/>
        <v>0.11111111111111112</v>
      </c>
      <c r="Q20" s="46">
        <v>7</v>
      </c>
      <c r="R20" s="45">
        <f t="shared" si="5"/>
        <v>424592</v>
      </c>
      <c r="S20" s="46">
        <f t="shared" si="6"/>
        <v>62.999999999999986</v>
      </c>
      <c r="T20" s="46">
        <f>IFERROR(VLOOKUP(A20,'[1]Re-order'!$A:$Q,17,0),"")</f>
        <v>53.973412112259979</v>
      </c>
      <c r="U20" s="46">
        <f>IFERROR(VLOOKUP(A20,'[1]MC Masterlist 2026-09-12'!$B:$M, 10, 0),0)</f>
        <v>15</v>
      </c>
      <c r="V20" s="46">
        <f>IFERROR(VLOOKUP(A20,'[1]MC Masterlist 2026-09-12'!$B:$M, 11, 0),0)</f>
        <v>15</v>
      </c>
      <c r="W20" s="46">
        <f t="shared" si="7"/>
        <v>30</v>
      </c>
      <c r="X20" s="46">
        <f t="shared" si="8"/>
        <v>28.333333333333332</v>
      </c>
      <c r="Y20" s="46">
        <f>IFERROR(IF(OR(C20="AREA I",C20="AREA V"),7,VLOOKUP(A20,'[1]MC Masterlist 2026-09-12'!$B:$M, 12, 0)),0)</f>
        <v>30</v>
      </c>
      <c r="Z20" s="46">
        <f t="shared" si="9"/>
        <v>1.6666666666666667</v>
      </c>
      <c r="AA20" s="46">
        <f t="shared" si="10"/>
        <v>3.3333333333333335</v>
      </c>
      <c r="AB20" s="46">
        <f t="shared" si="11"/>
        <v>3.1481481481481484</v>
      </c>
      <c r="AC20" s="46">
        <f t="shared" si="12"/>
        <v>3.3333333333333335</v>
      </c>
      <c r="AD20" s="44" t="str">
        <f t="shared" si="13"/>
        <v>Over</v>
      </c>
      <c r="AE20" s="44" t="str">
        <f>IFERROR(VLOOKUP(A20,'[1]Re-order'!$A:$AA,27,0),"")</f>
        <v>Re-order</v>
      </c>
      <c r="AF20" s="46">
        <f t="shared" si="14"/>
        <v>-3.6666666666666665</v>
      </c>
      <c r="AG20" s="46">
        <f>SUMIFS('[1]Raw Inventory'!D:D,'[1]Raw Inventory'!C:C,"GREATWALL",'[1]Raw Inventory'!B:B,A20)</f>
        <v>282</v>
      </c>
      <c r="AH20" s="46">
        <f>SUMIFS('[1]Raw Inventory'!D:D,'[1]Raw Inventory'!C:C,"DUARTE",'[1]Raw Inventory'!B:B,A20)</f>
        <v>0</v>
      </c>
      <c r="AI20" s="46"/>
      <c r="AJ20" s="46"/>
      <c r="AK20" s="43"/>
      <c r="AL20" s="43"/>
      <c r="AM20" s="43"/>
      <c r="AN20" s="43"/>
      <c r="AO20" s="43"/>
      <c r="AP20" s="43"/>
      <c r="AQ20" s="43"/>
      <c r="AR20" s="43"/>
      <c r="AS20" s="43"/>
      <c r="AT20" s="43"/>
    </row>
    <row r="21" spans="1:46">
      <c r="A21" s="43" t="s">
        <v>125</v>
      </c>
      <c r="B21" s="43" t="s">
        <v>141</v>
      </c>
      <c r="C21" s="43" t="s">
        <v>137</v>
      </c>
      <c r="D21" s="44" t="s">
        <v>235</v>
      </c>
      <c r="E21" s="44">
        <v>27</v>
      </c>
      <c r="F21" s="44" t="s">
        <v>3</v>
      </c>
      <c r="G21" s="43" t="str">
        <f>IFERROR(VLOOKUP(A21,'[1]MC Masterlist 2026-09-12'!$B:$M, 3, 0),"")</f>
        <v>SUZUKI</v>
      </c>
      <c r="H21" s="45">
        <f>IFERROR(VLOOKUP(A21,'[1]MC Masterlist 2026-09-12'!$B:$M, 6, 0),"")</f>
        <v>68177</v>
      </c>
      <c r="I21" s="46">
        <v>0</v>
      </c>
      <c r="J21" s="46">
        <v>0</v>
      </c>
      <c r="K21" s="46">
        <v>1</v>
      </c>
      <c r="L21" s="46">
        <f t="shared" si="0"/>
        <v>1</v>
      </c>
      <c r="M21" s="46">
        <f t="shared" si="1"/>
        <v>0.33333333333333331</v>
      </c>
      <c r="N21" s="45">
        <f t="shared" si="2"/>
        <v>68177</v>
      </c>
      <c r="O21" s="45">
        <f t="shared" si="3"/>
        <v>22725.666666666664</v>
      </c>
      <c r="P21" s="46">
        <f t="shared" si="4"/>
        <v>1.111111111111111E-2</v>
      </c>
      <c r="Q21" s="46">
        <v>0</v>
      </c>
      <c r="R21" s="45">
        <f t="shared" si="5"/>
        <v>0</v>
      </c>
      <c r="S21" s="46">
        <f t="shared" si="6"/>
        <v>0</v>
      </c>
      <c r="T21" s="46">
        <f>IFERROR(VLOOKUP(A21,'[1]Re-order'!$A:$Q,17,0),"")</f>
        <v>90.000000000000014</v>
      </c>
      <c r="U21" s="46">
        <f>IFERROR(VLOOKUP(A21,'[1]MC Masterlist 2026-09-12'!$B:$M, 10, 0),0)</f>
        <v>15</v>
      </c>
      <c r="V21" s="46">
        <f>IFERROR(VLOOKUP(A21,'[1]MC Masterlist 2026-09-12'!$B:$M, 11, 0),0)</f>
        <v>15</v>
      </c>
      <c r="W21" s="46">
        <f t="shared" si="7"/>
        <v>30</v>
      </c>
      <c r="X21" s="46">
        <f t="shared" si="8"/>
        <v>6.833333333333333</v>
      </c>
      <c r="Y21" s="46">
        <f>IFERROR(IF(OR(C21="AREA I",C21="AREA V"),7,VLOOKUP(A21,'[1]MC Masterlist 2026-09-12'!$B:$M, 12, 0)),0)</f>
        <v>7</v>
      </c>
      <c r="Z21" s="46">
        <f t="shared" si="9"/>
        <v>0.16666666666666666</v>
      </c>
      <c r="AA21" s="46">
        <f t="shared" si="10"/>
        <v>0.33333333333333331</v>
      </c>
      <c r="AB21" s="46">
        <f t="shared" si="11"/>
        <v>7.5925925925925911E-2</v>
      </c>
      <c r="AC21" s="46">
        <f t="shared" si="12"/>
        <v>7.7777777777777765E-2</v>
      </c>
      <c r="AD21" s="44" t="str">
        <f t="shared" si="13"/>
        <v>Stockout</v>
      </c>
      <c r="AE21" s="44" t="str">
        <f>IFERROR(VLOOKUP(A21,'[1]Re-order'!$A:$AA,27,0),"")</f>
        <v/>
      </c>
      <c r="AF21" s="46">
        <f t="shared" si="14"/>
        <v>7.7777777777777765E-2</v>
      </c>
      <c r="AG21" s="46">
        <f>SUMIFS('[1]Raw Inventory'!D:D,'[1]Raw Inventory'!C:C,"GREATWALL",'[1]Raw Inventory'!B:B,A21)</f>
        <v>0</v>
      </c>
      <c r="AH21" s="46">
        <f>SUMIFS('[1]Raw Inventory'!D:D,'[1]Raw Inventory'!C:C,"DUARTE",'[1]Raw Inventory'!B:B,A21)</f>
        <v>0</v>
      </c>
      <c r="AI21" s="46"/>
      <c r="AJ21" s="46"/>
      <c r="AK21" s="43"/>
      <c r="AL21" s="43"/>
      <c r="AM21" s="43"/>
      <c r="AN21" s="43"/>
      <c r="AO21" s="43"/>
      <c r="AP21" s="43"/>
      <c r="AQ21" s="43"/>
      <c r="AR21" s="43"/>
      <c r="AS21" s="43"/>
      <c r="AT21" s="43"/>
    </row>
    <row r="22" spans="1:46">
      <c r="A22" s="43" t="s">
        <v>44</v>
      </c>
      <c r="B22" s="43" t="s">
        <v>142</v>
      </c>
      <c r="C22" s="43" t="s">
        <v>137</v>
      </c>
      <c r="D22" s="44" t="s">
        <v>236</v>
      </c>
      <c r="E22" s="44">
        <v>9</v>
      </c>
      <c r="F22" s="44" t="s">
        <v>2</v>
      </c>
      <c r="G22" s="43" t="str">
        <f>IFERROR(VLOOKUP(A22,'[1]MC Masterlist 2026-09-12'!$B:$M, 3, 0),"")</f>
        <v>YAMAHA</v>
      </c>
      <c r="H22" s="45">
        <f>IFERROR(VLOOKUP(A22,'[1]MC Masterlist 2026-09-12'!$B:$M, 6, 0),"")</f>
        <v>165912</v>
      </c>
      <c r="I22" s="46">
        <v>1</v>
      </c>
      <c r="J22" s="46">
        <v>0</v>
      </c>
      <c r="K22" s="46">
        <v>1</v>
      </c>
      <c r="L22" s="46">
        <f t="shared" si="0"/>
        <v>2</v>
      </c>
      <c r="M22" s="46">
        <f t="shared" si="1"/>
        <v>0.66666666666666663</v>
      </c>
      <c r="N22" s="45">
        <f t="shared" si="2"/>
        <v>331824</v>
      </c>
      <c r="O22" s="45">
        <f t="shared" si="3"/>
        <v>110608</v>
      </c>
      <c r="P22" s="46">
        <f t="shared" si="4"/>
        <v>2.222222222222222E-2</v>
      </c>
      <c r="Q22" s="46"/>
      <c r="R22" s="45">
        <f t="shared" si="5"/>
        <v>0</v>
      </c>
      <c r="S22" s="46">
        <f t="shared" si="6"/>
        <v>0</v>
      </c>
      <c r="T22" s="46">
        <f>IFERROR(VLOOKUP(A22,'[1]Re-order'!$A:$Q,17,0),"")</f>
        <v>10.588235294117649</v>
      </c>
      <c r="U22" s="46">
        <f>IFERROR(VLOOKUP(A22,'[1]MC Masterlist 2026-09-12'!$B:$M, 10, 0),0)</f>
        <v>15</v>
      </c>
      <c r="V22" s="46">
        <f>IFERROR(VLOOKUP(A22,'[1]MC Masterlist 2026-09-12'!$B:$M, 11, 0),0)</f>
        <v>15</v>
      </c>
      <c r="W22" s="46">
        <f t="shared" si="7"/>
        <v>30</v>
      </c>
      <c r="X22" s="46">
        <f t="shared" si="8"/>
        <v>6.666666666666667</v>
      </c>
      <c r="Y22" s="46">
        <f>IFERROR(IF(OR(C22="AREA I",C22="AREA V"),7,VLOOKUP(A22,'[1]MC Masterlist 2026-09-12'!$B:$M, 12, 0)),0)</f>
        <v>7</v>
      </c>
      <c r="Z22" s="46">
        <f t="shared" si="9"/>
        <v>0.33333333333333331</v>
      </c>
      <c r="AA22" s="46">
        <f t="shared" si="10"/>
        <v>0.66666666666666663</v>
      </c>
      <c r="AB22" s="46">
        <f t="shared" si="11"/>
        <v>0.14814814814814814</v>
      </c>
      <c r="AC22" s="46">
        <f t="shared" si="12"/>
        <v>0.15555555555555553</v>
      </c>
      <c r="AD22" s="44" t="str">
        <f t="shared" si="13"/>
        <v>Stockout</v>
      </c>
      <c r="AE22" s="44" t="str">
        <f>IFERROR(VLOOKUP(A22,'[1]Re-order'!$A:$AA,27,0),"")</f>
        <v>Stockout</v>
      </c>
      <c r="AF22" s="46">
        <f t="shared" si="14"/>
        <v>0.15555555555555553</v>
      </c>
      <c r="AG22" s="46">
        <f>SUMIFS('[1]Raw Inventory'!D:D,'[1]Raw Inventory'!C:C,"GREATWALL",'[1]Raw Inventory'!B:B,A22)</f>
        <v>0</v>
      </c>
      <c r="AH22" s="46">
        <f>SUMIFS('[1]Raw Inventory'!D:D,'[1]Raw Inventory'!C:C,"DUARTE",'[1]Raw Inventory'!B:B,A22)</f>
        <v>0</v>
      </c>
      <c r="AI22" s="46"/>
      <c r="AJ22" s="46"/>
      <c r="AK22" s="43"/>
      <c r="AL22" s="43"/>
      <c r="AM22" s="43"/>
      <c r="AN22" s="43"/>
      <c r="AO22" s="43"/>
      <c r="AP22" s="43"/>
      <c r="AQ22" s="43"/>
      <c r="AR22" s="43"/>
      <c r="AS22" s="43"/>
      <c r="AT22" s="43"/>
    </row>
    <row r="23" spans="1:46">
      <c r="A23" s="43" t="s">
        <v>38</v>
      </c>
      <c r="B23" s="43" t="s">
        <v>11</v>
      </c>
      <c r="C23" s="43" t="s">
        <v>1</v>
      </c>
      <c r="D23" s="44" t="s">
        <v>223</v>
      </c>
      <c r="E23" s="44">
        <v>15</v>
      </c>
      <c r="F23" s="44" t="s">
        <v>3</v>
      </c>
      <c r="G23" s="43" t="str">
        <f>IFERROR(VLOOKUP(A23,'[1]MC Masterlist 2026-09-12'!$B:$M, 3, 0),"")</f>
        <v>HONDA</v>
      </c>
      <c r="H23" s="45">
        <f>IFERROR(VLOOKUP(A23,'[1]MC Masterlist 2026-09-12'!$B:$M, 6, 0),"")</f>
        <v>165630</v>
      </c>
      <c r="I23" s="46">
        <v>0</v>
      </c>
      <c r="J23" s="46">
        <v>1</v>
      </c>
      <c r="K23" s="46">
        <v>1</v>
      </c>
      <c r="L23" s="46">
        <f t="shared" si="0"/>
        <v>2</v>
      </c>
      <c r="M23" s="46">
        <f t="shared" si="1"/>
        <v>0.66666666666666663</v>
      </c>
      <c r="N23" s="45">
        <f t="shared" si="2"/>
        <v>331260</v>
      </c>
      <c r="O23" s="45">
        <f t="shared" si="3"/>
        <v>110420</v>
      </c>
      <c r="P23" s="46">
        <f t="shared" si="4"/>
        <v>2.222222222222222E-2</v>
      </c>
      <c r="Q23" s="46"/>
      <c r="R23" s="45">
        <f t="shared" si="5"/>
        <v>0</v>
      </c>
      <c r="S23" s="46">
        <f t="shared" si="6"/>
        <v>0</v>
      </c>
      <c r="T23" s="46">
        <f>IFERROR(VLOOKUP(A23,'[1]Re-order'!$A:$Q,17,0),"")</f>
        <v>60</v>
      </c>
      <c r="U23" s="46">
        <f>IFERROR(VLOOKUP(A23,'[1]MC Masterlist 2026-09-12'!$B:$M, 10, 0),0)</f>
        <v>15</v>
      </c>
      <c r="V23" s="46">
        <f>IFERROR(VLOOKUP(A23,'[1]MC Masterlist 2026-09-12'!$B:$M, 11, 0),0)</f>
        <v>15</v>
      </c>
      <c r="W23" s="46">
        <f t="shared" si="7"/>
        <v>30</v>
      </c>
      <c r="X23" s="46">
        <f t="shared" si="8"/>
        <v>6.666666666666667</v>
      </c>
      <c r="Y23" s="46">
        <f>IFERROR(IF(OR(C23="AREA I",C23="AREA V"),7,VLOOKUP(A23,'[1]MC Masterlist 2026-09-12'!$B:$M, 12, 0)),0)</f>
        <v>7</v>
      </c>
      <c r="Z23" s="46">
        <f t="shared" si="9"/>
        <v>0.33333333333333331</v>
      </c>
      <c r="AA23" s="46">
        <f t="shared" si="10"/>
        <v>0.66666666666666663</v>
      </c>
      <c r="AB23" s="46">
        <f t="shared" si="11"/>
        <v>0.14814814814814814</v>
      </c>
      <c r="AC23" s="46">
        <f t="shared" si="12"/>
        <v>0.15555555555555553</v>
      </c>
      <c r="AD23" s="44" t="str">
        <f t="shared" si="13"/>
        <v>Stockout</v>
      </c>
      <c r="AE23" s="44" t="str">
        <f>IFERROR(VLOOKUP(A23,'[1]Re-order'!$A:$AA,27,0),"")</f>
        <v>Re-order</v>
      </c>
      <c r="AF23" s="46">
        <f t="shared" si="14"/>
        <v>0.15555555555555553</v>
      </c>
      <c r="AG23" s="46">
        <f>SUMIFS('[1]Raw Inventory'!D:D,'[1]Raw Inventory'!C:C,"GREATWALL",'[1]Raw Inventory'!B:B,A23)</f>
        <v>6</v>
      </c>
      <c r="AH23" s="46">
        <f>SUMIFS('[1]Raw Inventory'!D:D,'[1]Raw Inventory'!C:C,"DUARTE",'[1]Raw Inventory'!B:B,A23)</f>
        <v>0</v>
      </c>
      <c r="AI23" s="46"/>
      <c r="AJ23" s="46"/>
      <c r="AK23" s="43"/>
      <c r="AL23" s="43"/>
      <c r="AM23" s="43"/>
      <c r="AN23" s="43"/>
      <c r="AO23" s="43"/>
      <c r="AP23" s="43"/>
      <c r="AQ23" s="43"/>
      <c r="AR23" s="43"/>
      <c r="AS23" s="43"/>
      <c r="AT23" s="43"/>
    </row>
    <row r="24" spans="1:46">
      <c r="A24" s="43" t="s">
        <v>72</v>
      </c>
      <c r="B24" s="43" t="s">
        <v>132</v>
      </c>
      <c r="C24" s="43" t="s">
        <v>128</v>
      </c>
      <c r="D24" s="44" t="s">
        <v>226</v>
      </c>
      <c r="E24" s="44">
        <v>30</v>
      </c>
      <c r="F24" s="44" t="s">
        <v>3</v>
      </c>
      <c r="G24" s="43" t="str">
        <f>IFERROR(VLOOKUP(A24,'[1]MC Masterlist 2026-09-12'!$B:$M, 3, 0),"")</f>
        <v>KAWASAKI</v>
      </c>
      <c r="H24" s="45">
        <f>IFERROR(VLOOKUP(A24,'[1]MC Masterlist 2026-09-12'!$B:$M, 6, 0),"")</f>
        <v>52948</v>
      </c>
      <c r="I24" s="46">
        <v>0</v>
      </c>
      <c r="J24" s="46">
        <v>0</v>
      </c>
      <c r="K24" s="46">
        <v>0</v>
      </c>
      <c r="L24" s="46">
        <f t="shared" si="0"/>
        <v>0</v>
      </c>
      <c r="M24" s="46">
        <f t="shared" si="1"/>
        <v>0</v>
      </c>
      <c r="N24" s="45">
        <f t="shared" si="2"/>
        <v>0</v>
      </c>
      <c r="O24" s="45">
        <f t="shared" si="3"/>
        <v>0</v>
      </c>
      <c r="P24" s="46">
        <f t="shared" si="4"/>
        <v>0</v>
      </c>
      <c r="Q24" s="46">
        <v>1</v>
      </c>
      <c r="R24" s="45">
        <f t="shared" si="5"/>
        <v>52948</v>
      </c>
      <c r="S24" s="46">
        <f t="shared" si="6"/>
        <v>0</v>
      </c>
      <c r="T24" s="46">
        <f>IFERROR(VLOOKUP(A24,'[1]Re-order'!$A:$Q,17,0),"")</f>
        <v>378</v>
      </c>
      <c r="U24" s="46">
        <f>IFERROR(VLOOKUP(A24,'[1]MC Masterlist 2026-09-12'!$B:$M, 10, 0),0)</f>
        <v>15</v>
      </c>
      <c r="V24" s="46">
        <f>IFERROR(VLOOKUP(A24,'[1]MC Masterlist 2026-09-12'!$B:$M, 11, 0),0)</f>
        <v>15</v>
      </c>
      <c r="W24" s="46">
        <f t="shared" si="7"/>
        <v>30</v>
      </c>
      <c r="X24" s="46">
        <f t="shared" si="8"/>
        <v>30</v>
      </c>
      <c r="Y24" s="46">
        <f>IFERROR(IF(OR(C24="AREA I",C24="AREA V"),7,VLOOKUP(A24,'[1]MC Masterlist 2026-09-12'!$B:$M, 12, 0)),0)</f>
        <v>30</v>
      </c>
      <c r="Z24" s="46">
        <f t="shared" si="9"/>
        <v>0</v>
      </c>
      <c r="AA24" s="46">
        <f t="shared" si="10"/>
        <v>0</v>
      </c>
      <c r="AB24" s="46">
        <f t="shared" si="11"/>
        <v>0</v>
      </c>
      <c r="AC24" s="46">
        <f t="shared" si="12"/>
        <v>0</v>
      </c>
      <c r="AD24" s="44" t="str">
        <f t="shared" si="13"/>
        <v>Over</v>
      </c>
      <c r="AE24" s="44" t="str">
        <f>IFERROR(VLOOKUP(A24,'[1]Re-order'!$A:$AA,27,0),"")</f>
        <v>Over</v>
      </c>
      <c r="AF24" s="46">
        <f t="shared" si="14"/>
        <v>-1</v>
      </c>
      <c r="AG24" s="46">
        <f>SUMIFS('[1]Raw Inventory'!D:D,'[1]Raw Inventory'!C:C,"GREATWALL",'[1]Raw Inventory'!B:B,A24)</f>
        <v>15</v>
      </c>
      <c r="AH24" s="46">
        <f>SUMIFS('[1]Raw Inventory'!D:D,'[1]Raw Inventory'!C:C,"DUARTE",'[1]Raw Inventory'!B:B,A24)</f>
        <v>0</v>
      </c>
      <c r="AI24" s="46"/>
      <c r="AJ24" s="46"/>
      <c r="AK24" s="43"/>
      <c r="AL24" s="43"/>
      <c r="AM24" s="43"/>
      <c r="AN24" s="43"/>
      <c r="AO24" s="43"/>
      <c r="AP24" s="43"/>
      <c r="AQ24" s="43"/>
      <c r="AR24" s="43"/>
      <c r="AS24" s="43"/>
      <c r="AT24" s="43"/>
    </row>
    <row r="25" spans="1:46">
      <c r="A25" s="43" t="s">
        <v>55</v>
      </c>
      <c r="B25" s="43" t="s">
        <v>123</v>
      </c>
      <c r="C25" s="43" t="s">
        <v>118</v>
      </c>
      <c r="D25" s="44" t="s">
        <v>232</v>
      </c>
      <c r="E25" s="44">
        <v>25</v>
      </c>
      <c r="F25" s="44" t="s">
        <v>3</v>
      </c>
      <c r="G25" s="43" t="str">
        <f>IFERROR(VLOOKUP(A25,'[1]MC Masterlist 2026-09-12'!$B:$M, 3, 0),"")</f>
        <v>HONDA</v>
      </c>
      <c r="H25" s="45">
        <f>IFERROR(VLOOKUP(A25,'[1]MC Masterlist 2026-09-12'!$B:$M, 6, 0),"")</f>
        <v>284880</v>
      </c>
      <c r="I25" s="46">
        <v>0</v>
      </c>
      <c r="J25" s="46">
        <v>0</v>
      </c>
      <c r="K25" s="46">
        <v>0</v>
      </c>
      <c r="L25" s="46">
        <f t="shared" si="0"/>
        <v>0</v>
      </c>
      <c r="M25" s="46">
        <f t="shared" si="1"/>
        <v>0</v>
      </c>
      <c r="N25" s="45">
        <f t="shared" si="2"/>
        <v>0</v>
      </c>
      <c r="O25" s="45">
        <f t="shared" si="3"/>
        <v>0</v>
      </c>
      <c r="P25" s="46">
        <f t="shared" si="4"/>
        <v>0</v>
      </c>
      <c r="Q25" s="46">
        <v>1</v>
      </c>
      <c r="R25" s="45">
        <f t="shared" si="5"/>
        <v>284880</v>
      </c>
      <c r="S25" s="46">
        <f t="shared" si="6"/>
        <v>0</v>
      </c>
      <c r="T25" s="46">
        <f>IFERROR(VLOOKUP(A25,'[1]Re-order'!$A:$Q,17,0),"")</f>
        <v>720</v>
      </c>
      <c r="U25" s="46">
        <f>IFERROR(VLOOKUP(A25,'[1]MC Masterlist 2026-09-12'!$B:$M, 10, 0),0)</f>
        <v>15</v>
      </c>
      <c r="V25" s="46">
        <f>IFERROR(VLOOKUP(A25,'[1]MC Masterlist 2026-09-12'!$B:$M, 11, 0),0)</f>
        <v>15</v>
      </c>
      <c r="W25" s="46">
        <f t="shared" si="7"/>
        <v>30</v>
      </c>
      <c r="X25" s="46">
        <f t="shared" si="8"/>
        <v>30</v>
      </c>
      <c r="Y25" s="46">
        <f>IFERROR(IF(OR(C25="AREA I",C25="AREA V"),7,VLOOKUP(A25,'[1]MC Masterlist 2026-09-12'!$B:$M, 12, 0)),0)</f>
        <v>30</v>
      </c>
      <c r="Z25" s="46">
        <f t="shared" si="9"/>
        <v>0</v>
      </c>
      <c r="AA25" s="46">
        <f t="shared" si="10"/>
        <v>0</v>
      </c>
      <c r="AB25" s="46">
        <f t="shared" si="11"/>
        <v>0</v>
      </c>
      <c r="AC25" s="46">
        <f t="shared" si="12"/>
        <v>0</v>
      </c>
      <c r="AD25" s="44" t="str">
        <f t="shared" si="13"/>
        <v>Over</v>
      </c>
      <c r="AE25" s="44" t="str">
        <f>IFERROR(VLOOKUP(A25,'[1]Re-order'!$A:$AA,27,0),"")</f>
        <v>Over</v>
      </c>
      <c r="AF25" s="46">
        <f t="shared" si="14"/>
        <v>-1</v>
      </c>
      <c r="AG25" s="46">
        <f>SUMIFS('[1]Raw Inventory'!D:D,'[1]Raw Inventory'!C:C,"GREATWALL",'[1]Raw Inventory'!B:B,A25)</f>
        <v>0</v>
      </c>
      <c r="AH25" s="46">
        <f>SUMIFS('[1]Raw Inventory'!D:D,'[1]Raw Inventory'!C:C,"DUARTE",'[1]Raw Inventory'!B:B,A25)</f>
        <v>0</v>
      </c>
      <c r="AI25" s="46"/>
      <c r="AJ25" s="46"/>
      <c r="AK25" s="43"/>
      <c r="AL25" s="43"/>
      <c r="AM25" s="43"/>
      <c r="AN25" s="43"/>
      <c r="AO25" s="43"/>
      <c r="AP25" s="43"/>
      <c r="AQ25" s="43"/>
      <c r="AR25" s="43"/>
      <c r="AS25" s="43"/>
      <c r="AT25" s="43"/>
    </row>
    <row r="26" spans="1:46">
      <c r="A26" s="43" t="s">
        <v>74</v>
      </c>
      <c r="B26" s="43" t="s">
        <v>154</v>
      </c>
      <c r="C26" s="43" t="s">
        <v>152</v>
      </c>
      <c r="D26" s="44" t="s">
        <v>237</v>
      </c>
      <c r="E26" s="44">
        <v>28</v>
      </c>
      <c r="F26" s="44" t="s">
        <v>3</v>
      </c>
      <c r="G26" s="43" t="str">
        <f>IFERROR(VLOOKUP(A26,'[1]MC Masterlist 2026-09-12'!$B:$M, 3, 0),"")</f>
        <v>SKYGO</v>
      </c>
      <c r="H26" s="45">
        <f>IFERROR(VLOOKUP(A26,'[1]MC Masterlist 2026-09-12'!$B:$M, 6, 0),"")</f>
        <v>98325</v>
      </c>
      <c r="I26" s="46">
        <v>0</v>
      </c>
      <c r="J26" s="46">
        <v>0</v>
      </c>
      <c r="K26" s="46">
        <v>0</v>
      </c>
      <c r="L26" s="46">
        <f t="shared" si="0"/>
        <v>0</v>
      </c>
      <c r="M26" s="46">
        <f t="shared" si="1"/>
        <v>0</v>
      </c>
      <c r="N26" s="45">
        <f t="shared" si="2"/>
        <v>0</v>
      </c>
      <c r="O26" s="45">
        <f t="shared" si="3"/>
        <v>0</v>
      </c>
      <c r="P26" s="46">
        <f t="shared" si="4"/>
        <v>0</v>
      </c>
      <c r="Q26" s="46">
        <v>2</v>
      </c>
      <c r="R26" s="45">
        <f t="shared" si="5"/>
        <v>196650</v>
      </c>
      <c r="S26" s="46">
        <f t="shared" si="6"/>
        <v>0</v>
      </c>
      <c r="T26" s="46" t="str">
        <f>IFERROR(VLOOKUP(A26,'[1]Re-order'!$A:$Q,17,0),"")</f>
        <v/>
      </c>
      <c r="U26" s="46">
        <f>IFERROR(VLOOKUP(A26,'[1]MC Masterlist 2026-09-12'!$B:$M, 10, 0),0)</f>
        <v>15</v>
      </c>
      <c r="V26" s="46">
        <f>IFERROR(VLOOKUP(A26,'[1]MC Masterlist 2026-09-12'!$B:$M, 11, 0),0)</f>
        <v>15</v>
      </c>
      <c r="W26" s="46">
        <f t="shared" si="7"/>
        <v>30</v>
      </c>
      <c r="X26" s="46">
        <f t="shared" si="8"/>
        <v>30</v>
      </c>
      <c r="Y26" s="46">
        <f>IFERROR(IF(OR(C26="AREA I",C26="AREA V"),7,VLOOKUP(A26,'[1]MC Masterlist 2026-09-12'!$B:$M, 12, 0)),0)</f>
        <v>30</v>
      </c>
      <c r="Z26" s="46">
        <f t="shared" si="9"/>
        <v>0</v>
      </c>
      <c r="AA26" s="46">
        <f t="shared" si="10"/>
        <v>0</v>
      </c>
      <c r="AB26" s="46">
        <f t="shared" si="11"/>
        <v>0</v>
      </c>
      <c r="AC26" s="46">
        <f t="shared" si="12"/>
        <v>0</v>
      </c>
      <c r="AD26" s="44" t="str">
        <f t="shared" si="13"/>
        <v>Over</v>
      </c>
      <c r="AE26" s="44" t="str">
        <f>IFERROR(VLOOKUP(A26,'[1]Re-order'!$A:$AA,27,0),"")</f>
        <v>Over</v>
      </c>
      <c r="AF26" s="46">
        <f t="shared" si="14"/>
        <v>-2</v>
      </c>
      <c r="AG26" s="46">
        <f>SUMIFS('[1]Raw Inventory'!D:D,'[1]Raw Inventory'!C:C,"GREATWALL",'[1]Raw Inventory'!B:B,A26)</f>
        <v>0</v>
      </c>
      <c r="AH26" s="46">
        <f>SUMIFS('[1]Raw Inventory'!D:D,'[1]Raw Inventory'!C:C,"DUARTE",'[1]Raw Inventory'!B:B,A26)</f>
        <v>0</v>
      </c>
      <c r="AI26" s="46"/>
      <c r="AJ26" s="46"/>
      <c r="AK26" s="43"/>
      <c r="AL26" s="43"/>
      <c r="AM26" s="43"/>
      <c r="AN26" s="43"/>
      <c r="AO26" s="43"/>
      <c r="AP26" s="43"/>
      <c r="AQ26" s="43"/>
      <c r="AR26" s="43"/>
      <c r="AS26" s="43"/>
      <c r="AT26" s="43"/>
    </row>
    <row r="27" spans="1:46">
      <c r="A27" s="43" t="s">
        <v>26</v>
      </c>
      <c r="B27" s="43" t="s">
        <v>95</v>
      </c>
      <c r="C27" s="43" t="s">
        <v>90</v>
      </c>
      <c r="D27" s="44" t="s">
        <v>238</v>
      </c>
      <c r="E27" s="44">
        <v>2</v>
      </c>
      <c r="F27" s="44" t="s">
        <v>0</v>
      </c>
      <c r="G27" s="43" t="str">
        <f>IFERROR(VLOOKUP(A27,'[1]MC Masterlist 2026-09-12'!$B:$M, 3, 0),"")</f>
        <v>SUZUKI</v>
      </c>
      <c r="H27" s="45">
        <f>IFERROR(VLOOKUP(A27,'[1]MC Masterlist 2026-09-12'!$B:$M, 6, 0),"")</f>
        <v>123700</v>
      </c>
      <c r="I27" s="46">
        <v>3</v>
      </c>
      <c r="J27" s="46">
        <v>1</v>
      </c>
      <c r="K27" s="46">
        <v>4</v>
      </c>
      <c r="L27" s="46">
        <f t="shared" si="0"/>
        <v>8</v>
      </c>
      <c r="M27" s="46">
        <f t="shared" si="1"/>
        <v>2.6666666666666665</v>
      </c>
      <c r="N27" s="45">
        <f t="shared" si="2"/>
        <v>989600</v>
      </c>
      <c r="O27" s="45">
        <f t="shared" si="3"/>
        <v>329866.66666666663</v>
      </c>
      <c r="P27" s="46">
        <f t="shared" si="4"/>
        <v>8.8888888888888878E-2</v>
      </c>
      <c r="Q27" s="46">
        <v>2</v>
      </c>
      <c r="R27" s="45">
        <f t="shared" si="5"/>
        <v>247400</v>
      </c>
      <c r="S27" s="46">
        <f t="shared" si="6"/>
        <v>22.500000000000004</v>
      </c>
      <c r="T27" s="46">
        <f>IFERROR(VLOOKUP(A27,'[1]Re-order'!$A:$Q,17,0),"")</f>
        <v>71.470588235294116</v>
      </c>
      <c r="U27" s="46">
        <f>IFERROR(VLOOKUP(A27,'[1]MC Masterlist 2026-09-12'!$B:$M, 10, 0),0)</f>
        <v>15</v>
      </c>
      <c r="V27" s="46">
        <f>IFERROR(VLOOKUP(A27,'[1]MC Masterlist 2026-09-12'!$B:$M, 11, 0),0)</f>
        <v>15</v>
      </c>
      <c r="W27" s="46">
        <f t="shared" si="7"/>
        <v>30</v>
      </c>
      <c r="X27" s="46">
        <f t="shared" si="8"/>
        <v>28.666666666666668</v>
      </c>
      <c r="Y27" s="46">
        <f>IFERROR(IF(OR(C27="AREA I",C27="AREA V"),7,VLOOKUP(A27,'[1]MC Masterlist 2026-09-12'!$B:$M, 12, 0)),0)</f>
        <v>30</v>
      </c>
      <c r="Z27" s="46">
        <f t="shared" si="9"/>
        <v>1.3333333333333333</v>
      </c>
      <c r="AA27" s="46">
        <f t="shared" si="10"/>
        <v>2.6666666666666665</v>
      </c>
      <c r="AB27" s="46">
        <f t="shared" si="11"/>
        <v>2.5481481481481478</v>
      </c>
      <c r="AC27" s="46">
        <f t="shared" si="12"/>
        <v>2.6666666666666665</v>
      </c>
      <c r="AD27" s="44" t="str">
        <f t="shared" si="13"/>
        <v>Re-order</v>
      </c>
      <c r="AE27" s="44" t="str">
        <f>IFERROR(VLOOKUP(A27,'[1]Re-order'!$A:$AA,27,0),"")</f>
        <v>Re-order</v>
      </c>
      <c r="AF27" s="46">
        <f t="shared" si="14"/>
        <v>0.66666666666666652</v>
      </c>
      <c r="AG27" s="46">
        <f>SUMIFS('[1]Raw Inventory'!D:D,'[1]Raw Inventory'!C:C,"GREATWALL",'[1]Raw Inventory'!B:B,A27)</f>
        <v>30</v>
      </c>
      <c r="AH27" s="46">
        <f>SUMIFS('[1]Raw Inventory'!D:D,'[1]Raw Inventory'!C:C,"DUARTE",'[1]Raw Inventory'!B:B,A27)</f>
        <v>0</v>
      </c>
      <c r="AI27" s="46"/>
      <c r="AJ27" s="46"/>
      <c r="AK27" s="43"/>
      <c r="AL27" s="43"/>
      <c r="AM27" s="43"/>
      <c r="AN27" s="43"/>
      <c r="AO27" s="43"/>
      <c r="AP27" s="43"/>
      <c r="AQ27" s="43"/>
      <c r="AR27" s="43"/>
      <c r="AS27" s="43"/>
      <c r="AT27" s="43"/>
    </row>
    <row r="28" spans="1:46">
      <c r="A28" s="43" t="s">
        <v>36</v>
      </c>
      <c r="B28" s="43" t="s">
        <v>121</v>
      </c>
      <c r="C28" s="43" t="s">
        <v>118</v>
      </c>
      <c r="D28" s="44" t="s">
        <v>239</v>
      </c>
      <c r="E28" s="44">
        <v>28</v>
      </c>
      <c r="F28" s="44" t="s">
        <v>3</v>
      </c>
      <c r="G28" s="43" t="str">
        <f>IFERROR(VLOOKUP(A28,'[1]MC Masterlist 2026-09-12'!$B:$M, 3, 0),"")</f>
        <v>HONDA</v>
      </c>
      <c r="H28" s="45">
        <f>IFERROR(VLOOKUP(A28,'[1]MC Masterlist 2026-09-12'!$B:$M, 6, 0),"")</f>
        <v>76850</v>
      </c>
      <c r="I28" s="46">
        <v>0</v>
      </c>
      <c r="J28" s="46">
        <v>0</v>
      </c>
      <c r="K28" s="46">
        <v>0</v>
      </c>
      <c r="L28" s="46">
        <f t="shared" si="0"/>
        <v>0</v>
      </c>
      <c r="M28" s="46">
        <f t="shared" si="1"/>
        <v>0</v>
      </c>
      <c r="N28" s="45">
        <f t="shared" si="2"/>
        <v>0</v>
      </c>
      <c r="O28" s="45">
        <f t="shared" si="3"/>
        <v>0</v>
      </c>
      <c r="P28" s="46">
        <f t="shared" si="4"/>
        <v>0</v>
      </c>
      <c r="Q28" s="46">
        <v>2</v>
      </c>
      <c r="R28" s="45">
        <f t="shared" si="5"/>
        <v>153700</v>
      </c>
      <c r="S28" s="46">
        <f t="shared" si="6"/>
        <v>0</v>
      </c>
      <c r="T28" s="46">
        <f>IFERROR(VLOOKUP(A28,'[1]Re-order'!$A:$Q,17,0),"")</f>
        <v>137.24999999999997</v>
      </c>
      <c r="U28" s="46">
        <f>IFERROR(VLOOKUP(A28,'[1]MC Masterlist 2026-09-12'!$B:$M, 10, 0),0)</f>
        <v>15</v>
      </c>
      <c r="V28" s="46">
        <f>IFERROR(VLOOKUP(A28,'[1]MC Masterlist 2026-09-12'!$B:$M, 11, 0),0)</f>
        <v>15</v>
      </c>
      <c r="W28" s="46">
        <f t="shared" si="7"/>
        <v>30</v>
      </c>
      <c r="X28" s="46">
        <f t="shared" si="8"/>
        <v>30</v>
      </c>
      <c r="Y28" s="46">
        <f>IFERROR(IF(OR(C28="AREA I",C28="AREA V"),7,VLOOKUP(A28,'[1]MC Masterlist 2026-09-12'!$B:$M, 12, 0)),0)</f>
        <v>30</v>
      </c>
      <c r="Z28" s="46">
        <f t="shared" si="9"/>
        <v>0</v>
      </c>
      <c r="AA28" s="46">
        <f t="shared" si="10"/>
        <v>0</v>
      </c>
      <c r="AB28" s="46">
        <f t="shared" si="11"/>
        <v>0</v>
      </c>
      <c r="AC28" s="46">
        <f t="shared" si="12"/>
        <v>0</v>
      </c>
      <c r="AD28" s="44" t="str">
        <f t="shared" si="13"/>
        <v>Over</v>
      </c>
      <c r="AE28" s="44" t="str">
        <f>IFERROR(VLOOKUP(A28,'[1]Re-order'!$A:$AA,27,0),"")</f>
        <v>Over</v>
      </c>
      <c r="AF28" s="46">
        <f t="shared" si="14"/>
        <v>-2</v>
      </c>
      <c r="AG28" s="46">
        <f>SUMIFS('[1]Raw Inventory'!D:D,'[1]Raw Inventory'!C:C,"GREATWALL",'[1]Raw Inventory'!B:B,A28)</f>
        <v>18</v>
      </c>
      <c r="AH28" s="46">
        <f>SUMIFS('[1]Raw Inventory'!D:D,'[1]Raw Inventory'!C:C,"DUARTE",'[1]Raw Inventory'!B:B,A28)</f>
        <v>0</v>
      </c>
      <c r="AI28" s="46"/>
      <c r="AJ28" s="46"/>
      <c r="AK28" s="43"/>
      <c r="AL28" s="43"/>
      <c r="AM28" s="43"/>
      <c r="AN28" s="43"/>
      <c r="AO28" s="43"/>
      <c r="AP28" s="43"/>
      <c r="AQ28" s="43"/>
      <c r="AR28" s="43"/>
      <c r="AS28" s="43"/>
      <c r="AT28" s="43"/>
    </row>
    <row r="29" spans="1:46">
      <c r="A29" s="43" t="s">
        <v>25</v>
      </c>
      <c r="B29" s="43" t="s">
        <v>153</v>
      </c>
      <c r="C29" s="43" t="s">
        <v>152</v>
      </c>
      <c r="D29" s="44" t="s">
        <v>240</v>
      </c>
      <c r="E29" s="44">
        <v>8</v>
      </c>
      <c r="F29" s="44" t="s">
        <v>2</v>
      </c>
      <c r="G29" s="43" t="str">
        <f>IFERROR(VLOOKUP(A29,'[1]MC Masterlist 2026-09-12'!$B:$M, 3, 0),"")</f>
        <v>YAMAHA</v>
      </c>
      <c r="H29" s="45">
        <f>IFERROR(VLOOKUP(A29,'[1]MC Masterlist 2026-09-12'!$B:$M, 6, 0),"")</f>
        <v>124527</v>
      </c>
      <c r="I29" s="46">
        <v>1</v>
      </c>
      <c r="J29" s="46">
        <v>1</v>
      </c>
      <c r="K29" s="46">
        <v>0</v>
      </c>
      <c r="L29" s="46">
        <f t="shared" si="0"/>
        <v>2</v>
      </c>
      <c r="M29" s="46">
        <f t="shared" si="1"/>
        <v>0.66666666666666663</v>
      </c>
      <c r="N29" s="45">
        <f t="shared" si="2"/>
        <v>249054</v>
      </c>
      <c r="O29" s="45">
        <f t="shared" si="3"/>
        <v>83018</v>
      </c>
      <c r="P29" s="46">
        <f t="shared" si="4"/>
        <v>2.222222222222222E-2</v>
      </c>
      <c r="Q29" s="46"/>
      <c r="R29" s="45">
        <f t="shared" si="5"/>
        <v>0</v>
      </c>
      <c r="S29" s="46">
        <f t="shared" si="6"/>
        <v>0</v>
      </c>
      <c r="T29" s="46">
        <f>IFERROR(VLOOKUP(A29,'[1]Re-order'!$A:$Q,17,0),"")</f>
        <v>5.1030927835051543</v>
      </c>
      <c r="U29" s="46">
        <f>IFERROR(VLOOKUP(A29,'[1]MC Masterlist 2026-09-12'!$B:$M, 10, 0),0)</f>
        <v>15</v>
      </c>
      <c r="V29" s="46">
        <f>IFERROR(VLOOKUP(A29,'[1]MC Masterlist 2026-09-12'!$B:$M, 11, 0),0)</f>
        <v>15</v>
      </c>
      <c r="W29" s="46">
        <f t="shared" si="7"/>
        <v>30</v>
      </c>
      <c r="X29" s="46">
        <f t="shared" si="8"/>
        <v>29.666666666666668</v>
      </c>
      <c r="Y29" s="46">
        <f>IFERROR(IF(OR(C29="AREA I",C29="AREA V"),7,VLOOKUP(A29,'[1]MC Masterlist 2026-09-12'!$B:$M, 12, 0)),0)</f>
        <v>30</v>
      </c>
      <c r="Z29" s="46">
        <f t="shared" si="9"/>
        <v>0.33333333333333331</v>
      </c>
      <c r="AA29" s="46">
        <f t="shared" si="10"/>
        <v>0.66666666666666663</v>
      </c>
      <c r="AB29" s="46">
        <f t="shared" si="11"/>
        <v>0.65925925925925921</v>
      </c>
      <c r="AC29" s="46">
        <f t="shared" si="12"/>
        <v>0.66666666666666663</v>
      </c>
      <c r="AD29" s="44" t="str">
        <f t="shared" si="13"/>
        <v>Stockout</v>
      </c>
      <c r="AE29" s="44" t="str">
        <f>IFERROR(VLOOKUP(A29,'[1]Re-order'!$A:$AA,27,0),"")</f>
        <v>Stockout</v>
      </c>
      <c r="AF29" s="46">
        <f t="shared" si="14"/>
        <v>0.66666666666666663</v>
      </c>
      <c r="AG29" s="46">
        <f>SUMIFS('[1]Raw Inventory'!D:D,'[1]Raw Inventory'!C:C,"GREATWALL",'[1]Raw Inventory'!B:B,A29)</f>
        <v>1</v>
      </c>
      <c r="AH29" s="46">
        <f>SUMIFS('[1]Raw Inventory'!D:D,'[1]Raw Inventory'!C:C,"DUARTE",'[1]Raw Inventory'!B:B,A29)</f>
        <v>0</v>
      </c>
      <c r="AI29" s="46"/>
      <c r="AJ29" s="46"/>
      <c r="AK29" s="43"/>
      <c r="AL29" s="43"/>
      <c r="AM29" s="43"/>
      <c r="AN29" s="43"/>
      <c r="AO29" s="43"/>
      <c r="AP29" s="43"/>
      <c r="AQ29" s="43"/>
      <c r="AR29" s="43"/>
      <c r="AS29" s="43"/>
      <c r="AT29" s="43"/>
    </row>
    <row r="30" spans="1:46">
      <c r="A30" s="43" t="s">
        <v>46</v>
      </c>
      <c r="B30" s="43" t="s">
        <v>11</v>
      </c>
      <c r="C30" s="43" t="s">
        <v>1</v>
      </c>
      <c r="D30" s="44" t="s">
        <v>221</v>
      </c>
      <c r="E30" s="44">
        <v>16</v>
      </c>
      <c r="F30" s="44" t="s">
        <v>3</v>
      </c>
      <c r="G30" s="43" t="str">
        <f>IFERROR(VLOOKUP(A30,'[1]MC Masterlist 2026-09-12'!$B:$M, 3, 0),"")</f>
        <v>HONDA</v>
      </c>
      <c r="H30" s="45">
        <f>IFERROR(VLOOKUP(A30,'[1]MC Masterlist 2026-09-12'!$B:$M, 6, 0),"")</f>
        <v>73630</v>
      </c>
      <c r="I30" s="46">
        <v>1</v>
      </c>
      <c r="J30" s="46">
        <v>1</v>
      </c>
      <c r="K30" s="46">
        <v>1</v>
      </c>
      <c r="L30" s="46">
        <f t="shared" si="0"/>
        <v>3</v>
      </c>
      <c r="M30" s="46">
        <f t="shared" si="1"/>
        <v>1</v>
      </c>
      <c r="N30" s="45">
        <f t="shared" si="2"/>
        <v>220890</v>
      </c>
      <c r="O30" s="45">
        <f t="shared" si="3"/>
        <v>73630</v>
      </c>
      <c r="P30" s="46">
        <f t="shared" si="4"/>
        <v>3.3333333333333333E-2</v>
      </c>
      <c r="Q30" s="46">
        <v>2</v>
      </c>
      <c r="R30" s="45">
        <f t="shared" si="5"/>
        <v>147260</v>
      </c>
      <c r="S30" s="46">
        <f t="shared" si="6"/>
        <v>60</v>
      </c>
      <c r="T30" s="46">
        <f>IFERROR(VLOOKUP(A30,'[1]Re-order'!$A:$Q,17,0),"")</f>
        <v>51</v>
      </c>
      <c r="U30" s="46">
        <f>IFERROR(VLOOKUP(A30,'[1]MC Masterlist 2026-09-12'!$B:$M, 10, 0),0)</f>
        <v>15</v>
      </c>
      <c r="V30" s="46">
        <f>IFERROR(VLOOKUP(A30,'[1]MC Masterlist 2026-09-12'!$B:$M, 11, 0),0)</f>
        <v>15</v>
      </c>
      <c r="W30" s="46">
        <f t="shared" si="7"/>
        <v>30</v>
      </c>
      <c r="X30" s="46">
        <f t="shared" si="8"/>
        <v>6.5</v>
      </c>
      <c r="Y30" s="46">
        <f>IFERROR(IF(OR(C30="AREA I",C30="AREA V"),7,VLOOKUP(A30,'[1]MC Masterlist 2026-09-12'!$B:$M, 12, 0)),0)</f>
        <v>7</v>
      </c>
      <c r="Z30" s="46">
        <f t="shared" si="9"/>
        <v>0.5</v>
      </c>
      <c r="AA30" s="46">
        <f t="shared" si="10"/>
        <v>1</v>
      </c>
      <c r="AB30" s="46">
        <f t="shared" si="11"/>
        <v>0.21666666666666667</v>
      </c>
      <c r="AC30" s="46">
        <f t="shared" si="12"/>
        <v>0.23333333333333334</v>
      </c>
      <c r="AD30" s="44" t="str">
        <f t="shared" si="13"/>
        <v>Over</v>
      </c>
      <c r="AE30" s="44" t="str">
        <f>IFERROR(VLOOKUP(A30,'[1]Re-order'!$A:$AA,27,0),"")</f>
        <v>Re-order</v>
      </c>
      <c r="AF30" s="46">
        <f t="shared" si="14"/>
        <v>-1.7666666666666666</v>
      </c>
      <c r="AG30" s="46">
        <f>SUMIFS('[1]Raw Inventory'!D:D,'[1]Raw Inventory'!C:C,"GREATWALL",'[1]Raw Inventory'!B:B,A30)</f>
        <v>0</v>
      </c>
      <c r="AH30" s="46">
        <f>SUMIFS('[1]Raw Inventory'!D:D,'[1]Raw Inventory'!C:C,"DUARTE",'[1]Raw Inventory'!B:B,A30)</f>
        <v>0</v>
      </c>
      <c r="AI30" s="46"/>
      <c r="AJ30" s="46"/>
      <c r="AK30" s="43"/>
      <c r="AL30" s="43"/>
      <c r="AM30" s="43"/>
      <c r="AN30" s="43"/>
      <c r="AO30" s="43"/>
      <c r="AP30" s="43"/>
      <c r="AQ30" s="43"/>
      <c r="AR30" s="43"/>
      <c r="AS30" s="43"/>
      <c r="AT30" s="43"/>
    </row>
    <row r="31" spans="1:46">
      <c r="A31" s="43" t="s">
        <v>35</v>
      </c>
      <c r="B31" s="43" t="s">
        <v>140</v>
      </c>
      <c r="C31" s="43" t="s">
        <v>137</v>
      </c>
      <c r="D31" s="44" t="s">
        <v>224</v>
      </c>
      <c r="E31" s="44">
        <v>9</v>
      </c>
      <c r="F31" s="44" t="s">
        <v>2</v>
      </c>
      <c r="G31" s="43" t="str">
        <f>IFERROR(VLOOKUP(A31,'[1]MC Masterlist 2026-09-12'!$B:$M, 3, 0),"")</f>
        <v>HONDA</v>
      </c>
      <c r="H31" s="45">
        <f>IFERROR(VLOOKUP(A31,'[1]MC Masterlist 2026-09-12'!$B:$M, 6, 0),"")</f>
        <v>57990</v>
      </c>
      <c r="I31" s="46">
        <v>2</v>
      </c>
      <c r="J31" s="46">
        <v>0</v>
      </c>
      <c r="K31" s="46">
        <v>2</v>
      </c>
      <c r="L31" s="46">
        <f t="shared" si="0"/>
        <v>4</v>
      </c>
      <c r="M31" s="46">
        <f t="shared" si="1"/>
        <v>1.3333333333333333</v>
      </c>
      <c r="N31" s="45">
        <f t="shared" si="2"/>
        <v>231960</v>
      </c>
      <c r="O31" s="45">
        <f t="shared" si="3"/>
        <v>77320</v>
      </c>
      <c r="P31" s="46">
        <f t="shared" si="4"/>
        <v>4.4444444444444439E-2</v>
      </c>
      <c r="Q31" s="46">
        <v>2</v>
      </c>
      <c r="R31" s="45">
        <f t="shared" si="5"/>
        <v>115980</v>
      </c>
      <c r="S31" s="46">
        <f t="shared" si="6"/>
        <v>45</v>
      </c>
      <c r="T31" s="46">
        <f>IFERROR(VLOOKUP(A31,'[1]Re-order'!$A:$Q,17,0),"")</f>
        <v>68.275862068965523</v>
      </c>
      <c r="U31" s="46">
        <f>IFERROR(VLOOKUP(A31,'[1]MC Masterlist 2026-09-12'!$B:$M, 10, 0),0)</f>
        <v>15</v>
      </c>
      <c r="V31" s="46">
        <f>IFERROR(VLOOKUP(A31,'[1]MC Masterlist 2026-09-12'!$B:$M, 11, 0),0)</f>
        <v>15</v>
      </c>
      <c r="W31" s="46">
        <f t="shared" si="7"/>
        <v>30</v>
      </c>
      <c r="X31" s="46">
        <f t="shared" si="8"/>
        <v>6.333333333333333</v>
      </c>
      <c r="Y31" s="46">
        <f>IFERROR(IF(OR(C31="AREA I",C31="AREA V"),7,VLOOKUP(A31,'[1]MC Masterlist 2026-09-12'!$B:$M, 12, 0)),0)</f>
        <v>7</v>
      </c>
      <c r="Z31" s="46">
        <f t="shared" si="9"/>
        <v>0.66666666666666663</v>
      </c>
      <c r="AA31" s="46">
        <f t="shared" si="10"/>
        <v>1.3333333333333333</v>
      </c>
      <c r="AB31" s="46">
        <f t="shared" si="11"/>
        <v>0.28148148148148144</v>
      </c>
      <c r="AC31" s="46">
        <f t="shared" si="12"/>
        <v>0.31111111111111106</v>
      </c>
      <c r="AD31" s="44" t="str">
        <f t="shared" si="13"/>
        <v>Over</v>
      </c>
      <c r="AE31" s="44" t="str">
        <f>IFERROR(VLOOKUP(A31,'[1]Re-order'!$A:$AA,27,0),"")</f>
        <v>Re-order</v>
      </c>
      <c r="AF31" s="46">
        <f t="shared" si="14"/>
        <v>-1.6888888888888889</v>
      </c>
      <c r="AG31" s="46">
        <f>SUMIFS('[1]Raw Inventory'!D:D,'[1]Raw Inventory'!C:C,"GREATWALL",'[1]Raw Inventory'!B:B,A31)</f>
        <v>29</v>
      </c>
      <c r="AH31" s="46">
        <f>SUMIFS('[1]Raw Inventory'!D:D,'[1]Raw Inventory'!C:C,"DUARTE",'[1]Raw Inventory'!B:B,A31)</f>
        <v>0</v>
      </c>
      <c r="AI31" s="46"/>
      <c r="AJ31" s="46"/>
      <c r="AK31" s="43"/>
      <c r="AL31" s="43"/>
      <c r="AM31" s="43"/>
      <c r="AN31" s="43"/>
      <c r="AO31" s="43"/>
      <c r="AP31" s="43"/>
      <c r="AQ31" s="43"/>
      <c r="AR31" s="43"/>
      <c r="AS31" s="43"/>
      <c r="AT31" s="43"/>
    </row>
    <row r="32" spans="1:46">
      <c r="A32" s="43" t="s">
        <v>40</v>
      </c>
      <c r="B32" s="43" t="s">
        <v>29</v>
      </c>
      <c r="C32" s="43" t="s">
        <v>1</v>
      </c>
      <c r="D32" s="44" t="s">
        <v>241</v>
      </c>
      <c r="E32" s="44">
        <v>28</v>
      </c>
      <c r="F32" s="44" t="s">
        <v>3</v>
      </c>
      <c r="G32" s="43" t="str">
        <f>IFERROR(VLOOKUP(A32,'[1]MC Masterlist 2026-09-12'!$B:$M, 3, 0),"")</f>
        <v>HONDA</v>
      </c>
      <c r="H32" s="45">
        <f>IFERROR(VLOOKUP(A32,'[1]MC Masterlist 2026-09-12'!$B:$M, 6, 0),"")</f>
        <v>56426</v>
      </c>
      <c r="I32" s="46">
        <v>1</v>
      </c>
      <c r="J32" s="46">
        <v>1</v>
      </c>
      <c r="K32" s="46">
        <v>0</v>
      </c>
      <c r="L32" s="46">
        <f t="shared" si="0"/>
        <v>2</v>
      </c>
      <c r="M32" s="46">
        <f t="shared" si="1"/>
        <v>0.66666666666666663</v>
      </c>
      <c r="N32" s="45">
        <f t="shared" si="2"/>
        <v>112852</v>
      </c>
      <c r="O32" s="45">
        <f t="shared" si="3"/>
        <v>37617.333333333328</v>
      </c>
      <c r="P32" s="46">
        <f t="shared" si="4"/>
        <v>2.222222222222222E-2</v>
      </c>
      <c r="Q32" s="46">
        <v>2</v>
      </c>
      <c r="R32" s="45">
        <f t="shared" si="5"/>
        <v>112852</v>
      </c>
      <c r="S32" s="46">
        <f t="shared" si="6"/>
        <v>90.000000000000014</v>
      </c>
      <c r="T32" s="46">
        <f>IFERROR(VLOOKUP(A32,'[1]Re-order'!$A:$Q,17,0),"")</f>
        <v>139.56521739130434</v>
      </c>
      <c r="U32" s="46">
        <f>IFERROR(VLOOKUP(A32,'[1]MC Masterlist 2026-09-12'!$B:$M, 10, 0),0)</f>
        <v>15</v>
      </c>
      <c r="V32" s="46">
        <f>IFERROR(VLOOKUP(A32,'[1]MC Masterlist 2026-09-12'!$B:$M, 11, 0),0)</f>
        <v>15</v>
      </c>
      <c r="W32" s="46">
        <f t="shared" si="7"/>
        <v>30</v>
      </c>
      <c r="X32" s="46">
        <f t="shared" si="8"/>
        <v>6.666666666666667</v>
      </c>
      <c r="Y32" s="46">
        <f>IFERROR(IF(OR(C32="AREA I",C32="AREA V"),7,VLOOKUP(A32,'[1]MC Masterlist 2026-09-12'!$B:$M, 12, 0)),0)</f>
        <v>7</v>
      </c>
      <c r="Z32" s="46">
        <f t="shared" si="9"/>
        <v>0.33333333333333331</v>
      </c>
      <c r="AA32" s="46">
        <f t="shared" si="10"/>
        <v>0.66666666666666663</v>
      </c>
      <c r="AB32" s="46">
        <f t="shared" si="11"/>
        <v>0.14814814814814814</v>
      </c>
      <c r="AC32" s="46">
        <f t="shared" si="12"/>
        <v>0.15555555555555553</v>
      </c>
      <c r="AD32" s="44" t="str">
        <f t="shared" si="13"/>
        <v>Over</v>
      </c>
      <c r="AE32" s="44" t="str">
        <f>IFERROR(VLOOKUP(A32,'[1]Re-order'!$A:$AA,27,0),"")</f>
        <v>Over</v>
      </c>
      <c r="AF32" s="46">
        <f t="shared" si="14"/>
        <v>-1.8444444444444446</v>
      </c>
      <c r="AG32" s="46">
        <f>SUMIFS('[1]Raw Inventory'!D:D,'[1]Raw Inventory'!C:C,"GREATWALL",'[1]Raw Inventory'!B:B,A32)</f>
        <v>45</v>
      </c>
      <c r="AH32" s="46">
        <f>SUMIFS('[1]Raw Inventory'!D:D,'[1]Raw Inventory'!C:C,"DUARTE",'[1]Raw Inventory'!B:B,A32)</f>
        <v>0</v>
      </c>
      <c r="AI32" s="46"/>
      <c r="AJ32" s="46"/>
      <c r="AK32" s="43"/>
      <c r="AL32" s="43"/>
      <c r="AM32" s="43"/>
      <c r="AN32" s="43"/>
      <c r="AO32" s="43"/>
      <c r="AP32" s="43"/>
      <c r="AQ32" s="43"/>
      <c r="AR32" s="43"/>
      <c r="AS32" s="43"/>
      <c r="AT32" s="43"/>
    </row>
    <row r="33" spans="1:46">
      <c r="A33" s="43" t="s">
        <v>36</v>
      </c>
      <c r="B33" s="43" t="s">
        <v>142</v>
      </c>
      <c r="C33" s="43" t="s">
        <v>137</v>
      </c>
      <c r="D33" s="44" t="s">
        <v>223</v>
      </c>
      <c r="E33" s="44">
        <v>21</v>
      </c>
      <c r="F33" s="44" t="s">
        <v>3</v>
      </c>
      <c r="G33" s="43" t="str">
        <f>IFERROR(VLOOKUP(A33,'[1]MC Masterlist 2026-09-12'!$B:$M, 3, 0),"")</f>
        <v>HONDA</v>
      </c>
      <c r="H33" s="45">
        <f>IFERROR(VLOOKUP(A33,'[1]MC Masterlist 2026-09-12'!$B:$M, 6, 0),"")</f>
        <v>76850</v>
      </c>
      <c r="I33" s="46">
        <v>0</v>
      </c>
      <c r="J33" s="46">
        <v>0</v>
      </c>
      <c r="K33" s="46">
        <v>1</v>
      </c>
      <c r="L33" s="46">
        <f t="shared" si="0"/>
        <v>1</v>
      </c>
      <c r="M33" s="46">
        <f t="shared" si="1"/>
        <v>0.33333333333333331</v>
      </c>
      <c r="N33" s="45">
        <f t="shared" si="2"/>
        <v>76850</v>
      </c>
      <c r="O33" s="45">
        <f t="shared" si="3"/>
        <v>25616.666666666664</v>
      </c>
      <c r="P33" s="46">
        <f t="shared" si="4"/>
        <v>1.111111111111111E-2</v>
      </c>
      <c r="Q33" s="46">
        <v>1</v>
      </c>
      <c r="R33" s="45">
        <f t="shared" si="5"/>
        <v>76850</v>
      </c>
      <c r="S33" s="46">
        <f t="shared" si="6"/>
        <v>90.000000000000014</v>
      </c>
      <c r="T33" s="46">
        <f>IFERROR(VLOOKUP(A33,'[1]Re-order'!$A:$Q,17,0),"")</f>
        <v>137.24999999999997</v>
      </c>
      <c r="U33" s="46">
        <f>IFERROR(VLOOKUP(A33,'[1]MC Masterlist 2026-09-12'!$B:$M, 10, 0),0)</f>
        <v>15</v>
      </c>
      <c r="V33" s="46">
        <f>IFERROR(VLOOKUP(A33,'[1]MC Masterlist 2026-09-12'!$B:$M, 11, 0),0)</f>
        <v>15</v>
      </c>
      <c r="W33" s="46">
        <f t="shared" si="7"/>
        <v>30</v>
      </c>
      <c r="X33" s="46">
        <f t="shared" si="8"/>
        <v>6.833333333333333</v>
      </c>
      <c r="Y33" s="46">
        <f>IFERROR(IF(OR(C33="AREA I",C33="AREA V"),7,VLOOKUP(A33,'[1]MC Masterlist 2026-09-12'!$B:$M, 12, 0)),0)</f>
        <v>7</v>
      </c>
      <c r="Z33" s="46">
        <f t="shared" si="9"/>
        <v>0.16666666666666666</v>
      </c>
      <c r="AA33" s="46">
        <f t="shared" si="10"/>
        <v>0.33333333333333331</v>
      </c>
      <c r="AB33" s="46">
        <f t="shared" si="11"/>
        <v>7.5925925925925911E-2</v>
      </c>
      <c r="AC33" s="46">
        <f t="shared" si="12"/>
        <v>7.7777777777777765E-2</v>
      </c>
      <c r="AD33" s="44" t="str">
        <f t="shared" si="13"/>
        <v>Over</v>
      </c>
      <c r="AE33" s="44" t="str">
        <f>IFERROR(VLOOKUP(A33,'[1]Re-order'!$A:$AA,27,0),"")</f>
        <v>Over</v>
      </c>
      <c r="AF33" s="46">
        <f t="shared" si="14"/>
        <v>-0.92222222222222228</v>
      </c>
      <c r="AG33" s="46">
        <f>SUMIFS('[1]Raw Inventory'!D:D,'[1]Raw Inventory'!C:C,"GREATWALL",'[1]Raw Inventory'!B:B,A33)</f>
        <v>18</v>
      </c>
      <c r="AH33" s="46">
        <f>SUMIFS('[1]Raw Inventory'!D:D,'[1]Raw Inventory'!C:C,"DUARTE",'[1]Raw Inventory'!B:B,A33)</f>
        <v>0</v>
      </c>
      <c r="AI33" s="46"/>
      <c r="AJ33" s="46"/>
      <c r="AK33" s="43"/>
      <c r="AL33" s="43"/>
      <c r="AM33" s="43"/>
      <c r="AN33" s="43"/>
      <c r="AO33" s="43"/>
      <c r="AP33" s="43"/>
      <c r="AQ33" s="43"/>
      <c r="AR33" s="43"/>
      <c r="AS33" s="43"/>
      <c r="AT33" s="43"/>
    </row>
    <row r="34" spans="1:46">
      <c r="A34" s="43" t="s">
        <v>25</v>
      </c>
      <c r="B34" s="43" t="s">
        <v>119</v>
      </c>
      <c r="C34" s="43" t="s">
        <v>118</v>
      </c>
      <c r="D34" s="44" t="s">
        <v>238</v>
      </c>
      <c r="E34" s="44">
        <v>2</v>
      </c>
      <c r="F34" s="44" t="s">
        <v>0</v>
      </c>
      <c r="G34" s="43" t="str">
        <f>IFERROR(VLOOKUP(A34,'[1]MC Masterlist 2026-09-12'!$B:$M, 3, 0),"")</f>
        <v>YAMAHA</v>
      </c>
      <c r="H34" s="45">
        <f>IFERROR(VLOOKUP(A34,'[1]MC Masterlist 2026-09-12'!$B:$M, 6, 0),"")</f>
        <v>124527</v>
      </c>
      <c r="I34" s="46">
        <v>1</v>
      </c>
      <c r="J34" s="46">
        <v>8</v>
      </c>
      <c r="K34" s="46">
        <v>1</v>
      </c>
      <c r="L34" s="46">
        <f t="shared" si="0"/>
        <v>10</v>
      </c>
      <c r="M34" s="46">
        <f t="shared" si="1"/>
        <v>3.3333333333333335</v>
      </c>
      <c r="N34" s="45">
        <f t="shared" si="2"/>
        <v>1245270</v>
      </c>
      <c r="O34" s="45">
        <f t="shared" si="3"/>
        <v>415090</v>
      </c>
      <c r="P34" s="46">
        <f t="shared" si="4"/>
        <v>0.11111111111111112</v>
      </c>
      <c r="Q34" s="46"/>
      <c r="R34" s="45">
        <f t="shared" si="5"/>
        <v>0</v>
      </c>
      <c r="S34" s="46">
        <f t="shared" si="6"/>
        <v>0</v>
      </c>
      <c r="T34" s="46">
        <f>IFERROR(VLOOKUP(A34,'[1]Re-order'!$A:$Q,17,0),"")</f>
        <v>5.1030927835051543</v>
      </c>
      <c r="U34" s="46">
        <f>IFERROR(VLOOKUP(A34,'[1]MC Masterlist 2026-09-12'!$B:$M, 10, 0),0)</f>
        <v>15</v>
      </c>
      <c r="V34" s="46">
        <f>IFERROR(VLOOKUP(A34,'[1]MC Masterlist 2026-09-12'!$B:$M, 11, 0),0)</f>
        <v>15</v>
      </c>
      <c r="W34" s="46">
        <f t="shared" si="7"/>
        <v>30</v>
      </c>
      <c r="X34" s="46">
        <f t="shared" si="8"/>
        <v>28.333333333333332</v>
      </c>
      <c r="Y34" s="46">
        <f>IFERROR(IF(OR(C34="AREA I",C34="AREA V"),7,VLOOKUP(A34,'[1]MC Masterlist 2026-09-12'!$B:$M, 12, 0)),0)</f>
        <v>30</v>
      </c>
      <c r="Z34" s="46">
        <f t="shared" si="9"/>
        <v>1.6666666666666667</v>
      </c>
      <c r="AA34" s="46">
        <f t="shared" si="10"/>
        <v>3.3333333333333335</v>
      </c>
      <c r="AB34" s="46">
        <f t="shared" si="11"/>
        <v>3.1481481481481484</v>
      </c>
      <c r="AC34" s="46">
        <f t="shared" si="12"/>
        <v>3.3333333333333335</v>
      </c>
      <c r="AD34" s="44" t="str">
        <f t="shared" si="13"/>
        <v>Stockout</v>
      </c>
      <c r="AE34" s="44" t="str">
        <f>IFERROR(VLOOKUP(A34,'[1]Re-order'!$A:$AA,27,0),"")</f>
        <v>Stockout</v>
      </c>
      <c r="AF34" s="46">
        <f t="shared" si="14"/>
        <v>3.3333333333333335</v>
      </c>
      <c r="AG34" s="46">
        <f>SUMIFS('[1]Raw Inventory'!D:D,'[1]Raw Inventory'!C:C,"GREATWALL",'[1]Raw Inventory'!B:B,A34)</f>
        <v>1</v>
      </c>
      <c r="AH34" s="46">
        <f>SUMIFS('[1]Raw Inventory'!D:D,'[1]Raw Inventory'!C:C,"DUARTE",'[1]Raw Inventory'!B:B,A34)</f>
        <v>0</v>
      </c>
      <c r="AI34" s="46"/>
      <c r="AJ34" s="46"/>
      <c r="AK34" s="43"/>
      <c r="AL34" s="43"/>
      <c r="AM34" s="43"/>
      <c r="AN34" s="43"/>
      <c r="AO34" s="43"/>
      <c r="AP34" s="43"/>
      <c r="AQ34" s="43"/>
      <c r="AR34" s="43"/>
      <c r="AS34" s="43"/>
      <c r="AT34" s="43"/>
    </row>
    <row r="35" spans="1:46">
      <c r="A35" s="43" t="s">
        <v>31</v>
      </c>
      <c r="B35" s="43" t="s">
        <v>121</v>
      </c>
      <c r="C35" s="43" t="s">
        <v>118</v>
      </c>
      <c r="D35" s="44" t="s">
        <v>242</v>
      </c>
      <c r="E35" s="44">
        <v>28</v>
      </c>
      <c r="F35" s="44" t="s">
        <v>3</v>
      </c>
      <c r="G35" s="43" t="str">
        <f>IFERROR(VLOOKUP(A35,'[1]MC Masterlist 2026-09-12'!$B:$M, 3, 0),"")</f>
        <v>KAWASAKI</v>
      </c>
      <c r="H35" s="45">
        <f>IFERROR(VLOOKUP(A35,'[1]MC Masterlist 2026-09-12'!$B:$M, 6, 0),"")</f>
        <v>59528</v>
      </c>
      <c r="I35" s="46">
        <v>0</v>
      </c>
      <c r="J35" s="46">
        <v>0</v>
      </c>
      <c r="K35" s="46">
        <v>0</v>
      </c>
      <c r="L35" s="46">
        <f t="shared" si="0"/>
        <v>0</v>
      </c>
      <c r="M35" s="46">
        <f t="shared" si="1"/>
        <v>0</v>
      </c>
      <c r="N35" s="45">
        <f t="shared" si="2"/>
        <v>0</v>
      </c>
      <c r="O35" s="45">
        <f t="shared" si="3"/>
        <v>0</v>
      </c>
      <c r="P35" s="46">
        <f t="shared" si="4"/>
        <v>0</v>
      </c>
      <c r="Q35" s="46">
        <v>2</v>
      </c>
      <c r="R35" s="45">
        <f t="shared" si="5"/>
        <v>119056</v>
      </c>
      <c r="S35" s="46">
        <f t="shared" si="6"/>
        <v>0</v>
      </c>
      <c r="T35" s="46">
        <f>IFERROR(VLOOKUP(A35,'[1]Re-order'!$A:$Q,17,0),"")</f>
        <v>95.869565217391298</v>
      </c>
      <c r="U35" s="46">
        <f>IFERROR(VLOOKUP(A35,'[1]MC Masterlist 2026-09-12'!$B:$M, 10, 0),0)</f>
        <v>15</v>
      </c>
      <c r="V35" s="46">
        <f>IFERROR(VLOOKUP(A35,'[1]MC Masterlist 2026-09-12'!$B:$M, 11, 0),0)</f>
        <v>15</v>
      </c>
      <c r="W35" s="46">
        <f t="shared" si="7"/>
        <v>30</v>
      </c>
      <c r="X35" s="46">
        <f t="shared" si="8"/>
        <v>30</v>
      </c>
      <c r="Y35" s="46">
        <f>IFERROR(IF(OR(C35="AREA I",C35="AREA V"),7,VLOOKUP(A35,'[1]MC Masterlist 2026-09-12'!$B:$M, 12, 0)),0)</f>
        <v>30</v>
      </c>
      <c r="Z35" s="46">
        <f t="shared" si="9"/>
        <v>0</v>
      </c>
      <c r="AA35" s="46">
        <f t="shared" si="10"/>
        <v>0</v>
      </c>
      <c r="AB35" s="46">
        <f t="shared" si="11"/>
        <v>0</v>
      </c>
      <c r="AC35" s="46">
        <f t="shared" si="12"/>
        <v>0</v>
      </c>
      <c r="AD35" s="44" t="str">
        <f t="shared" si="13"/>
        <v>Over</v>
      </c>
      <c r="AE35" s="44" t="str">
        <f>IFERROR(VLOOKUP(A35,'[1]Re-order'!$A:$AA,27,0),"")</f>
        <v>Over</v>
      </c>
      <c r="AF35" s="46">
        <f t="shared" si="14"/>
        <v>-2</v>
      </c>
      <c r="AG35" s="46">
        <f>SUMIFS('[1]Raw Inventory'!D:D,'[1]Raw Inventory'!C:C,"GREATWALL",'[1]Raw Inventory'!B:B,A35)</f>
        <v>79</v>
      </c>
      <c r="AH35" s="46">
        <f>SUMIFS('[1]Raw Inventory'!D:D,'[1]Raw Inventory'!C:C,"DUARTE",'[1]Raw Inventory'!B:B,A35)</f>
        <v>0</v>
      </c>
      <c r="AI35" s="46"/>
      <c r="AJ35" s="46"/>
      <c r="AK35" s="43"/>
      <c r="AL35" s="43"/>
      <c r="AM35" s="43"/>
      <c r="AN35" s="43"/>
      <c r="AO35" s="43"/>
      <c r="AP35" s="43"/>
      <c r="AQ35" s="43"/>
      <c r="AR35" s="43"/>
      <c r="AS35" s="43"/>
      <c r="AT35" s="43"/>
    </row>
    <row r="36" spans="1:46">
      <c r="A36" s="43" t="s">
        <v>24</v>
      </c>
      <c r="B36" s="43" t="s">
        <v>156</v>
      </c>
      <c r="C36" s="43" t="s">
        <v>152</v>
      </c>
      <c r="D36" s="44" t="s">
        <v>228</v>
      </c>
      <c r="E36" s="44">
        <v>16</v>
      </c>
      <c r="F36" s="44" t="s">
        <v>2</v>
      </c>
      <c r="G36" s="43" t="str">
        <f>IFERROR(VLOOKUP(A36,'[1]MC Masterlist 2026-09-12'!$B:$M, 3, 0),"")</f>
        <v>KAWASAKI</v>
      </c>
      <c r="H36" s="45">
        <f>IFERROR(VLOOKUP(A36,'[1]MC Masterlist 2026-09-12'!$B:$M, 6, 0),"")</f>
        <v>131626</v>
      </c>
      <c r="I36" s="46">
        <v>0</v>
      </c>
      <c r="J36" s="46">
        <v>1</v>
      </c>
      <c r="K36" s="46">
        <v>0</v>
      </c>
      <c r="L36" s="46">
        <f t="shared" si="0"/>
        <v>1</v>
      </c>
      <c r="M36" s="46">
        <f t="shared" si="1"/>
        <v>0.33333333333333331</v>
      </c>
      <c r="N36" s="45">
        <f t="shared" si="2"/>
        <v>131626</v>
      </c>
      <c r="O36" s="45">
        <f t="shared" si="3"/>
        <v>43875.333333333328</v>
      </c>
      <c r="P36" s="46">
        <f t="shared" si="4"/>
        <v>1.111111111111111E-2</v>
      </c>
      <c r="Q36" s="46">
        <v>2</v>
      </c>
      <c r="R36" s="45">
        <f t="shared" si="5"/>
        <v>263252</v>
      </c>
      <c r="S36" s="46">
        <f t="shared" si="6"/>
        <v>180.00000000000003</v>
      </c>
      <c r="T36" s="46">
        <f>IFERROR(VLOOKUP(A36,'[1]Re-order'!$A:$Q,17,0),"")</f>
        <v>40.677966101694913</v>
      </c>
      <c r="U36" s="46">
        <f>IFERROR(VLOOKUP(A36,'[1]MC Masterlist 2026-09-12'!$B:$M, 10, 0),0)</f>
        <v>15</v>
      </c>
      <c r="V36" s="46">
        <f>IFERROR(VLOOKUP(A36,'[1]MC Masterlist 2026-09-12'!$B:$M, 11, 0),0)</f>
        <v>15</v>
      </c>
      <c r="W36" s="46">
        <f t="shared" si="7"/>
        <v>30</v>
      </c>
      <c r="X36" s="46">
        <f t="shared" si="8"/>
        <v>29.833333333333332</v>
      </c>
      <c r="Y36" s="46">
        <f>IFERROR(IF(OR(C36="AREA I",C36="AREA V"),7,VLOOKUP(A36,'[1]MC Masterlist 2026-09-12'!$B:$M, 12, 0)),0)</f>
        <v>30</v>
      </c>
      <c r="Z36" s="46">
        <f t="shared" si="9"/>
        <v>0.16666666666666666</v>
      </c>
      <c r="AA36" s="46">
        <f t="shared" si="10"/>
        <v>0.33333333333333331</v>
      </c>
      <c r="AB36" s="46">
        <f t="shared" si="11"/>
        <v>0.33148148148148143</v>
      </c>
      <c r="AC36" s="46">
        <f t="shared" si="12"/>
        <v>0.33333333333333331</v>
      </c>
      <c r="AD36" s="44" t="str">
        <f t="shared" si="13"/>
        <v>Over</v>
      </c>
      <c r="AE36" s="44" t="str">
        <f>IFERROR(VLOOKUP(A36,'[1]Re-order'!$A:$AA,27,0),"")</f>
        <v>Re-order</v>
      </c>
      <c r="AF36" s="46">
        <f t="shared" si="14"/>
        <v>-1.6666666666666667</v>
      </c>
      <c r="AG36" s="46">
        <f>SUMIFS('[1]Raw Inventory'!D:D,'[1]Raw Inventory'!C:C,"GREATWALL",'[1]Raw Inventory'!B:B,A36)</f>
        <v>12</v>
      </c>
      <c r="AH36" s="46">
        <f>SUMIFS('[1]Raw Inventory'!D:D,'[1]Raw Inventory'!C:C,"DUARTE",'[1]Raw Inventory'!B:B,A36)</f>
        <v>0</v>
      </c>
      <c r="AI36" s="46"/>
      <c r="AJ36" s="46"/>
      <c r="AK36" s="43"/>
      <c r="AL36" s="43"/>
      <c r="AM36" s="43"/>
      <c r="AN36" s="43"/>
      <c r="AO36" s="43"/>
      <c r="AP36" s="43"/>
      <c r="AQ36" s="43"/>
      <c r="AR36" s="43"/>
      <c r="AS36" s="43"/>
      <c r="AT36" s="43"/>
    </row>
    <row r="37" spans="1:46">
      <c r="A37" s="43" t="s">
        <v>33</v>
      </c>
      <c r="B37" s="43" t="s">
        <v>132</v>
      </c>
      <c r="C37" s="43" t="s">
        <v>128</v>
      </c>
      <c r="D37" s="44" t="s">
        <v>243</v>
      </c>
      <c r="E37" s="44">
        <v>17</v>
      </c>
      <c r="F37" s="44" t="s">
        <v>2</v>
      </c>
      <c r="G37" s="43" t="str">
        <f>IFERROR(VLOOKUP(A37,'[1]MC Masterlist 2026-09-12'!$B:$M, 3, 0),"")</f>
        <v>HONDA</v>
      </c>
      <c r="H37" s="45">
        <f>IFERROR(VLOOKUP(A37,'[1]MC Masterlist 2026-09-12'!$B:$M, 6, 0),"")</f>
        <v>251318</v>
      </c>
      <c r="I37" s="46">
        <v>0</v>
      </c>
      <c r="J37" s="46">
        <v>1</v>
      </c>
      <c r="K37" s="46">
        <v>0</v>
      </c>
      <c r="L37" s="46">
        <f t="shared" si="0"/>
        <v>1</v>
      </c>
      <c r="M37" s="46">
        <f t="shared" si="1"/>
        <v>0.33333333333333331</v>
      </c>
      <c r="N37" s="45">
        <f t="shared" si="2"/>
        <v>251318</v>
      </c>
      <c r="O37" s="45">
        <f t="shared" si="3"/>
        <v>83772.666666666657</v>
      </c>
      <c r="P37" s="46">
        <f t="shared" si="4"/>
        <v>1.111111111111111E-2</v>
      </c>
      <c r="Q37" s="46"/>
      <c r="R37" s="45">
        <f t="shared" si="5"/>
        <v>0</v>
      </c>
      <c r="S37" s="46">
        <f t="shared" si="6"/>
        <v>0</v>
      </c>
      <c r="T37" s="46">
        <f>IFERROR(VLOOKUP(A37,'[1]Re-order'!$A:$Q,17,0),"")</f>
        <v>10.588235294117647</v>
      </c>
      <c r="U37" s="46">
        <f>IFERROR(VLOOKUP(A37,'[1]MC Masterlist 2026-09-12'!$B:$M, 10, 0),0)</f>
        <v>15</v>
      </c>
      <c r="V37" s="46">
        <f>IFERROR(VLOOKUP(A37,'[1]MC Masterlist 2026-09-12'!$B:$M, 11, 0),0)</f>
        <v>15</v>
      </c>
      <c r="W37" s="46">
        <f t="shared" si="7"/>
        <v>30</v>
      </c>
      <c r="X37" s="46">
        <f t="shared" si="8"/>
        <v>29.833333333333332</v>
      </c>
      <c r="Y37" s="46">
        <f>IFERROR(IF(OR(C37="AREA I",C37="AREA V"),7,VLOOKUP(A37,'[1]MC Masterlist 2026-09-12'!$B:$M, 12, 0)),0)</f>
        <v>30</v>
      </c>
      <c r="Z37" s="46">
        <f t="shared" si="9"/>
        <v>0.16666666666666666</v>
      </c>
      <c r="AA37" s="46">
        <f t="shared" si="10"/>
        <v>0.33333333333333331</v>
      </c>
      <c r="AB37" s="46">
        <f t="shared" si="11"/>
        <v>0.33148148148148143</v>
      </c>
      <c r="AC37" s="46">
        <f t="shared" si="12"/>
        <v>0.33333333333333331</v>
      </c>
      <c r="AD37" s="44" t="str">
        <f t="shared" si="13"/>
        <v>Stockout</v>
      </c>
      <c r="AE37" s="44" t="str">
        <f>IFERROR(VLOOKUP(A37,'[1]Re-order'!$A:$AA,27,0),"")</f>
        <v>Stockout</v>
      </c>
      <c r="AF37" s="46">
        <f t="shared" si="14"/>
        <v>0.33333333333333331</v>
      </c>
      <c r="AG37" s="46">
        <f>SUMIFS('[1]Raw Inventory'!D:D,'[1]Raw Inventory'!C:C,"GREATWALL",'[1]Raw Inventory'!B:B,A37)</f>
        <v>0</v>
      </c>
      <c r="AH37" s="46">
        <f>SUMIFS('[1]Raw Inventory'!D:D,'[1]Raw Inventory'!C:C,"DUARTE",'[1]Raw Inventory'!B:B,A37)</f>
        <v>0</v>
      </c>
      <c r="AI37" s="46"/>
      <c r="AJ37" s="46"/>
      <c r="AK37" s="43"/>
      <c r="AL37" s="43"/>
      <c r="AM37" s="43"/>
      <c r="AN37" s="43"/>
      <c r="AO37" s="43"/>
      <c r="AP37" s="43"/>
      <c r="AQ37" s="43"/>
      <c r="AR37" s="43"/>
      <c r="AS37" s="43"/>
      <c r="AT37" s="43"/>
    </row>
    <row r="38" spans="1:46">
      <c r="A38" s="43" t="s">
        <v>23</v>
      </c>
      <c r="B38" s="43" t="s">
        <v>155</v>
      </c>
      <c r="C38" s="43" t="s">
        <v>152</v>
      </c>
      <c r="D38" s="44" t="s">
        <v>230</v>
      </c>
      <c r="E38" s="44">
        <v>6</v>
      </c>
      <c r="F38" s="44" t="s">
        <v>0</v>
      </c>
      <c r="G38" s="43" t="str">
        <f>IFERROR(VLOOKUP(A38,'[1]MC Masterlist 2026-09-12'!$B:$M, 3, 0),"")</f>
        <v>KAWASAKI</v>
      </c>
      <c r="H38" s="45">
        <f>IFERROR(VLOOKUP(A38,'[1]MC Masterlist 2026-09-12'!$B:$M, 6, 0),"")</f>
        <v>60656</v>
      </c>
      <c r="I38" s="46">
        <v>5</v>
      </c>
      <c r="J38" s="46">
        <v>3</v>
      </c>
      <c r="K38" s="46">
        <v>2</v>
      </c>
      <c r="L38" s="46">
        <f t="shared" si="0"/>
        <v>10</v>
      </c>
      <c r="M38" s="46">
        <f t="shared" si="1"/>
        <v>3.3333333333333335</v>
      </c>
      <c r="N38" s="45">
        <f t="shared" si="2"/>
        <v>606560</v>
      </c>
      <c r="O38" s="45">
        <f t="shared" si="3"/>
        <v>202186.66666666669</v>
      </c>
      <c r="P38" s="46">
        <f t="shared" si="4"/>
        <v>0.11111111111111112</v>
      </c>
      <c r="Q38" s="46">
        <v>5</v>
      </c>
      <c r="R38" s="45">
        <f t="shared" si="5"/>
        <v>303280</v>
      </c>
      <c r="S38" s="46">
        <f t="shared" si="6"/>
        <v>44.999999999999993</v>
      </c>
      <c r="T38" s="46">
        <f>IFERROR(VLOOKUP(A38,'[1]Re-order'!$A:$Q,17,0),"")</f>
        <v>53.973412112259979</v>
      </c>
      <c r="U38" s="46">
        <f>IFERROR(VLOOKUP(A38,'[1]MC Masterlist 2026-09-12'!$B:$M, 10, 0),0)</f>
        <v>15</v>
      </c>
      <c r="V38" s="46">
        <f>IFERROR(VLOOKUP(A38,'[1]MC Masterlist 2026-09-12'!$B:$M, 11, 0),0)</f>
        <v>15</v>
      </c>
      <c r="W38" s="46">
        <f t="shared" si="7"/>
        <v>30</v>
      </c>
      <c r="X38" s="46">
        <f t="shared" si="8"/>
        <v>28.333333333333332</v>
      </c>
      <c r="Y38" s="46">
        <f>IFERROR(IF(OR(C38="AREA I",C38="AREA V"),7,VLOOKUP(A38,'[1]MC Masterlist 2026-09-12'!$B:$M, 12, 0)),0)</f>
        <v>30</v>
      </c>
      <c r="Z38" s="46">
        <f t="shared" si="9"/>
        <v>1.6666666666666667</v>
      </c>
      <c r="AA38" s="46">
        <f t="shared" si="10"/>
        <v>3.3333333333333335</v>
      </c>
      <c r="AB38" s="46">
        <f t="shared" si="11"/>
        <v>3.1481481481481484</v>
      </c>
      <c r="AC38" s="46">
        <f t="shared" si="12"/>
        <v>3.3333333333333335</v>
      </c>
      <c r="AD38" s="44" t="str">
        <f t="shared" si="13"/>
        <v>Over</v>
      </c>
      <c r="AE38" s="44" t="str">
        <f>IFERROR(VLOOKUP(A38,'[1]Re-order'!$A:$AA,27,0),"")</f>
        <v>Re-order</v>
      </c>
      <c r="AF38" s="46">
        <f t="shared" si="14"/>
        <v>-1.6666666666666665</v>
      </c>
      <c r="AG38" s="46">
        <f>SUMIFS('[1]Raw Inventory'!D:D,'[1]Raw Inventory'!C:C,"GREATWALL",'[1]Raw Inventory'!B:B,A38)</f>
        <v>282</v>
      </c>
      <c r="AH38" s="46">
        <f>SUMIFS('[1]Raw Inventory'!D:D,'[1]Raw Inventory'!C:C,"DUARTE",'[1]Raw Inventory'!B:B,A38)</f>
        <v>0</v>
      </c>
      <c r="AI38" s="46"/>
      <c r="AJ38" s="46"/>
      <c r="AK38" s="43"/>
      <c r="AL38" s="43"/>
      <c r="AM38" s="43"/>
      <c r="AN38" s="43"/>
      <c r="AO38" s="43"/>
      <c r="AP38" s="43"/>
      <c r="AQ38" s="43"/>
      <c r="AR38" s="43"/>
      <c r="AS38" s="43"/>
      <c r="AT38" s="43"/>
    </row>
    <row r="39" spans="1:46">
      <c r="A39" s="43" t="s">
        <v>40</v>
      </c>
      <c r="B39" s="43" t="s">
        <v>131</v>
      </c>
      <c r="C39" s="43" t="s">
        <v>128</v>
      </c>
      <c r="D39" s="44" t="s">
        <v>237</v>
      </c>
      <c r="E39" s="44">
        <v>22</v>
      </c>
      <c r="F39" s="44" t="s">
        <v>3</v>
      </c>
      <c r="G39" s="43" t="str">
        <f>IFERROR(VLOOKUP(A39,'[1]MC Masterlist 2026-09-12'!$B:$M, 3, 0),"")</f>
        <v>HONDA</v>
      </c>
      <c r="H39" s="45">
        <f>IFERROR(VLOOKUP(A39,'[1]MC Masterlist 2026-09-12'!$B:$M, 6, 0),"")</f>
        <v>56426</v>
      </c>
      <c r="I39" s="46">
        <v>1</v>
      </c>
      <c r="J39" s="46">
        <v>0</v>
      </c>
      <c r="K39" s="46">
        <v>0</v>
      </c>
      <c r="L39" s="46">
        <f t="shared" si="0"/>
        <v>1</v>
      </c>
      <c r="M39" s="46">
        <f t="shared" si="1"/>
        <v>0.33333333333333331</v>
      </c>
      <c r="N39" s="45">
        <f t="shared" si="2"/>
        <v>56426</v>
      </c>
      <c r="O39" s="45">
        <f t="shared" si="3"/>
        <v>18808.666666666664</v>
      </c>
      <c r="P39" s="46">
        <f t="shared" si="4"/>
        <v>1.111111111111111E-2</v>
      </c>
      <c r="Q39" s="46"/>
      <c r="R39" s="45">
        <f t="shared" si="5"/>
        <v>0</v>
      </c>
      <c r="S39" s="46">
        <f t="shared" si="6"/>
        <v>0</v>
      </c>
      <c r="T39" s="46">
        <f>IFERROR(VLOOKUP(A39,'[1]Re-order'!$A:$Q,17,0),"")</f>
        <v>139.56521739130434</v>
      </c>
      <c r="U39" s="46">
        <f>IFERROR(VLOOKUP(A39,'[1]MC Masterlist 2026-09-12'!$B:$M, 10, 0),0)</f>
        <v>15</v>
      </c>
      <c r="V39" s="46">
        <f>IFERROR(VLOOKUP(A39,'[1]MC Masterlist 2026-09-12'!$B:$M, 11, 0),0)</f>
        <v>15</v>
      </c>
      <c r="W39" s="46">
        <f t="shared" si="7"/>
        <v>30</v>
      </c>
      <c r="X39" s="46">
        <f t="shared" si="8"/>
        <v>29.833333333333332</v>
      </c>
      <c r="Y39" s="46">
        <f>IFERROR(IF(OR(C39="AREA I",C39="AREA V"),7,VLOOKUP(A39,'[1]MC Masterlist 2026-09-12'!$B:$M, 12, 0)),0)</f>
        <v>30</v>
      </c>
      <c r="Z39" s="46">
        <f t="shared" si="9"/>
        <v>0.16666666666666666</v>
      </c>
      <c r="AA39" s="46">
        <f t="shared" si="10"/>
        <v>0.33333333333333331</v>
      </c>
      <c r="AB39" s="46">
        <f t="shared" si="11"/>
        <v>0.33148148148148143</v>
      </c>
      <c r="AC39" s="46">
        <f t="shared" si="12"/>
        <v>0.33333333333333331</v>
      </c>
      <c r="AD39" s="44" t="str">
        <f t="shared" si="13"/>
        <v>Stockout</v>
      </c>
      <c r="AE39" s="44" t="str">
        <f>IFERROR(VLOOKUP(A39,'[1]Re-order'!$A:$AA,27,0),"")</f>
        <v>Over</v>
      </c>
      <c r="AF39" s="46">
        <f t="shared" si="14"/>
        <v>0.33333333333333331</v>
      </c>
      <c r="AG39" s="46">
        <f>SUMIFS('[1]Raw Inventory'!D:D,'[1]Raw Inventory'!C:C,"GREATWALL",'[1]Raw Inventory'!B:B,A39)</f>
        <v>45</v>
      </c>
      <c r="AH39" s="46">
        <f>SUMIFS('[1]Raw Inventory'!D:D,'[1]Raw Inventory'!C:C,"DUARTE",'[1]Raw Inventory'!B:B,A39)</f>
        <v>0</v>
      </c>
      <c r="AI39" s="46"/>
      <c r="AJ39" s="46"/>
      <c r="AK39" s="43"/>
      <c r="AL39" s="43"/>
      <c r="AM39" s="43"/>
      <c r="AN39" s="43"/>
      <c r="AO39" s="43"/>
      <c r="AP39" s="43"/>
      <c r="AQ39" s="43"/>
      <c r="AR39" s="43"/>
      <c r="AS39" s="43"/>
      <c r="AT39" s="43"/>
    </row>
    <row r="40" spans="1:46">
      <c r="A40" s="43" t="s">
        <v>14</v>
      </c>
      <c r="B40" s="43" t="s">
        <v>110</v>
      </c>
      <c r="C40" s="43" t="s">
        <v>109</v>
      </c>
      <c r="D40" s="44" t="s">
        <v>238</v>
      </c>
      <c r="E40" s="44">
        <v>2</v>
      </c>
      <c r="F40" s="44" t="s">
        <v>0</v>
      </c>
      <c r="G40" s="43" t="str">
        <f>IFERROR(VLOOKUP(A40,'[1]MC Masterlist 2026-09-12'!$B:$M, 3, 0),"")</f>
        <v>HONDA</v>
      </c>
      <c r="H40" s="45">
        <f>IFERROR(VLOOKUP(A40,'[1]MC Masterlist 2026-09-12'!$B:$M, 6, 0),"")</f>
        <v>80070</v>
      </c>
      <c r="I40" s="46">
        <v>12</v>
      </c>
      <c r="J40" s="46">
        <v>8</v>
      </c>
      <c r="K40" s="46">
        <v>8</v>
      </c>
      <c r="L40" s="46">
        <f t="shared" si="0"/>
        <v>28</v>
      </c>
      <c r="M40" s="46">
        <f t="shared" si="1"/>
        <v>9.3333333333333339</v>
      </c>
      <c r="N40" s="45">
        <f t="shared" si="2"/>
        <v>2241960</v>
      </c>
      <c r="O40" s="45">
        <f t="shared" si="3"/>
        <v>747320</v>
      </c>
      <c r="P40" s="46">
        <f t="shared" si="4"/>
        <v>0.31111111111111112</v>
      </c>
      <c r="Q40" s="46">
        <v>3</v>
      </c>
      <c r="R40" s="45">
        <f t="shared" si="5"/>
        <v>240210</v>
      </c>
      <c r="S40" s="46">
        <f t="shared" si="6"/>
        <v>9.6428571428571441</v>
      </c>
      <c r="T40" s="46">
        <f>IFERROR(VLOOKUP(A40,'[1]Re-order'!$A:$Q,17,0),"")</f>
        <v>20.105787181082761</v>
      </c>
      <c r="U40" s="46">
        <f>IFERROR(VLOOKUP(A40,'[1]MC Masterlist 2026-09-12'!$B:$M, 10, 0),0)</f>
        <v>15</v>
      </c>
      <c r="V40" s="46">
        <f>IFERROR(VLOOKUP(A40,'[1]MC Masterlist 2026-09-12'!$B:$M, 11, 0),0)</f>
        <v>15</v>
      </c>
      <c r="W40" s="46">
        <f t="shared" si="7"/>
        <v>30</v>
      </c>
      <c r="X40" s="46">
        <f t="shared" si="8"/>
        <v>25.333333333333332</v>
      </c>
      <c r="Y40" s="46">
        <f>IFERROR(IF(OR(C40="AREA I",C40="AREA V"),7,VLOOKUP(A40,'[1]MC Masterlist 2026-09-12'!$B:$M, 12, 0)),0)</f>
        <v>30</v>
      </c>
      <c r="Z40" s="46">
        <f t="shared" si="9"/>
        <v>4.666666666666667</v>
      </c>
      <c r="AA40" s="46">
        <f t="shared" si="10"/>
        <v>9.3333333333333339</v>
      </c>
      <c r="AB40" s="46">
        <f t="shared" si="11"/>
        <v>7.8814814814814813</v>
      </c>
      <c r="AC40" s="46">
        <f t="shared" si="12"/>
        <v>9.3333333333333339</v>
      </c>
      <c r="AD40" s="44" t="str">
        <f t="shared" si="13"/>
        <v>Stockout</v>
      </c>
      <c r="AE40" s="44" t="str">
        <f>IFERROR(VLOOKUP(A40,'[1]Re-order'!$A:$AA,27,0),"")</f>
        <v>Stockout</v>
      </c>
      <c r="AF40" s="46">
        <f t="shared" si="14"/>
        <v>6.3333333333333339</v>
      </c>
      <c r="AG40" s="46">
        <f>SUMIFS('[1]Raw Inventory'!D:D,'[1]Raw Inventory'!C:C,"GREATWALL",'[1]Raw Inventory'!B:B,A40)</f>
        <v>176</v>
      </c>
      <c r="AH40" s="46">
        <f>SUMIFS('[1]Raw Inventory'!D:D,'[1]Raw Inventory'!C:C,"DUARTE",'[1]Raw Inventory'!B:B,A40)</f>
        <v>0</v>
      </c>
      <c r="AI40" s="46"/>
      <c r="AJ40" s="46"/>
      <c r="AK40" s="43"/>
      <c r="AL40" s="43"/>
      <c r="AM40" s="43"/>
      <c r="AN40" s="43"/>
      <c r="AO40" s="43"/>
      <c r="AP40" s="43"/>
      <c r="AQ40" s="43"/>
      <c r="AR40" s="43"/>
      <c r="AS40" s="43"/>
      <c r="AT40" s="43"/>
    </row>
    <row r="41" spans="1:46">
      <c r="A41" s="43" t="s">
        <v>12</v>
      </c>
      <c r="B41" s="43" t="s">
        <v>93</v>
      </c>
      <c r="C41" s="43" t="s">
        <v>90</v>
      </c>
      <c r="D41" s="44" t="s">
        <v>230</v>
      </c>
      <c r="E41" s="44">
        <v>6</v>
      </c>
      <c r="F41" s="44" t="s">
        <v>0</v>
      </c>
      <c r="G41" s="43" t="str">
        <f>IFERROR(VLOOKUP(A41,'[1]MC Masterlist 2026-09-12'!$B:$M, 3, 0),"")</f>
        <v>HONDA</v>
      </c>
      <c r="H41" s="45">
        <f>IFERROR(VLOOKUP(A41,'[1]MC Masterlist 2026-09-12'!$B:$M, 6, 0),"")</f>
        <v>158270</v>
      </c>
      <c r="I41" s="46">
        <v>1</v>
      </c>
      <c r="J41" s="46">
        <v>0</v>
      </c>
      <c r="K41" s="46">
        <v>2</v>
      </c>
      <c r="L41" s="46">
        <f t="shared" si="0"/>
        <v>3</v>
      </c>
      <c r="M41" s="46">
        <f t="shared" si="1"/>
        <v>1</v>
      </c>
      <c r="N41" s="45">
        <f t="shared" si="2"/>
        <v>474810</v>
      </c>
      <c r="O41" s="45">
        <f t="shared" si="3"/>
        <v>158270</v>
      </c>
      <c r="P41" s="46">
        <f t="shared" si="4"/>
        <v>3.3333333333333333E-2</v>
      </c>
      <c r="Q41" s="46">
        <v>2</v>
      </c>
      <c r="R41" s="45">
        <f t="shared" si="5"/>
        <v>316540</v>
      </c>
      <c r="S41" s="46">
        <f t="shared" si="6"/>
        <v>60</v>
      </c>
      <c r="T41" s="46">
        <f>IFERROR(VLOOKUP(A41,'[1]Re-order'!$A:$Q,17,0),"")</f>
        <v>46.461038961038959</v>
      </c>
      <c r="U41" s="46">
        <f>IFERROR(VLOOKUP(A41,'[1]MC Masterlist 2026-09-12'!$B:$M, 10, 0),0)</f>
        <v>15</v>
      </c>
      <c r="V41" s="46">
        <f>IFERROR(VLOOKUP(A41,'[1]MC Masterlist 2026-09-12'!$B:$M, 11, 0),0)</f>
        <v>15</v>
      </c>
      <c r="W41" s="46">
        <f t="shared" si="7"/>
        <v>30</v>
      </c>
      <c r="X41" s="46">
        <f t="shared" si="8"/>
        <v>29.5</v>
      </c>
      <c r="Y41" s="46">
        <f>IFERROR(IF(OR(C41="AREA I",C41="AREA V"),7,VLOOKUP(A41,'[1]MC Masterlist 2026-09-12'!$B:$M, 12, 0)),0)</f>
        <v>30</v>
      </c>
      <c r="Z41" s="46">
        <f t="shared" si="9"/>
        <v>0.5</v>
      </c>
      <c r="AA41" s="46">
        <f t="shared" si="10"/>
        <v>1</v>
      </c>
      <c r="AB41" s="46">
        <f t="shared" si="11"/>
        <v>0.98333333333333328</v>
      </c>
      <c r="AC41" s="46">
        <f t="shared" si="12"/>
        <v>1</v>
      </c>
      <c r="AD41" s="44" t="str">
        <f t="shared" si="13"/>
        <v>Over</v>
      </c>
      <c r="AE41" s="44" t="str">
        <f>IFERROR(VLOOKUP(A41,'[1]Re-order'!$A:$AA,27,0),"")</f>
        <v>Re-order</v>
      </c>
      <c r="AF41" s="46">
        <f t="shared" si="14"/>
        <v>-1</v>
      </c>
      <c r="AG41" s="46">
        <f>SUMIFS('[1]Raw Inventory'!D:D,'[1]Raw Inventory'!C:C,"GREATWALL",'[1]Raw Inventory'!B:B,A41)</f>
        <v>35</v>
      </c>
      <c r="AH41" s="46">
        <f>SUMIFS('[1]Raw Inventory'!D:D,'[1]Raw Inventory'!C:C,"DUARTE",'[1]Raw Inventory'!B:B,A41)</f>
        <v>0</v>
      </c>
      <c r="AI41" s="46"/>
      <c r="AJ41" s="46"/>
      <c r="AK41" s="43"/>
      <c r="AL41" s="43"/>
      <c r="AM41" s="43"/>
      <c r="AN41" s="43"/>
      <c r="AO41" s="43"/>
      <c r="AP41" s="43"/>
      <c r="AQ41" s="43"/>
      <c r="AR41" s="43"/>
      <c r="AS41" s="43"/>
      <c r="AT41" s="43"/>
    </row>
    <row r="42" spans="1:46">
      <c r="A42" s="43" t="s">
        <v>37</v>
      </c>
      <c r="B42" s="43" t="s">
        <v>142</v>
      </c>
      <c r="C42" s="43" t="s">
        <v>137</v>
      </c>
      <c r="D42" s="44" t="s">
        <v>221</v>
      </c>
      <c r="E42" s="44">
        <v>22</v>
      </c>
      <c r="F42" s="44" t="s">
        <v>3</v>
      </c>
      <c r="G42" s="43" t="str">
        <f>IFERROR(VLOOKUP(A42,'[1]MC Masterlist 2026-09-12'!$B:$M, 3, 0),"")</f>
        <v>HONDA</v>
      </c>
      <c r="H42" s="45">
        <f>IFERROR(VLOOKUP(A42,'[1]MC Masterlist 2026-09-12'!$B:$M, 6, 0),"")</f>
        <v>74550</v>
      </c>
      <c r="I42" s="46">
        <v>0</v>
      </c>
      <c r="J42" s="46">
        <v>0</v>
      </c>
      <c r="K42" s="46">
        <v>1</v>
      </c>
      <c r="L42" s="46">
        <f t="shared" si="0"/>
        <v>1</v>
      </c>
      <c r="M42" s="46">
        <f t="shared" si="1"/>
        <v>0.33333333333333331</v>
      </c>
      <c r="N42" s="45">
        <f t="shared" si="2"/>
        <v>74550</v>
      </c>
      <c r="O42" s="45">
        <f t="shared" si="3"/>
        <v>24850</v>
      </c>
      <c r="P42" s="46">
        <f t="shared" si="4"/>
        <v>1.111111111111111E-2</v>
      </c>
      <c r="Q42" s="46">
        <v>1</v>
      </c>
      <c r="R42" s="45">
        <f t="shared" si="5"/>
        <v>74550</v>
      </c>
      <c r="S42" s="46">
        <f t="shared" si="6"/>
        <v>90</v>
      </c>
      <c r="T42" s="46">
        <f>IFERROR(VLOOKUP(A42,'[1]Re-order'!$A:$Q,17,0),"")</f>
        <v>33.652173913043477</v>
      </c>
      <c r="U42" s="46">
        <f>IFERROR(VLOOKUP(A42,'[1]MC Masterlist 2026-09-12'!$B:$M, 10, 0),0)</f>
        <v>15</v>
      </c>
      <c r="V42" s="46">
        <f>IFERROR(VLOOKUP(A42,'[1]MC Masterlist 2026-09-12'!$B:$M, 11, 0),0)</f>
        <v>15</v>
      </c>
      <c r="W42" s="46">
        <f t="shared" si="7"/>
        <v>30</v>
      </c>
      <c r="X42" s="46">
        <f t="shared" si="8"/>
        <v>6.833333333333333</v>
      </c>
      <c r="Y42" s="46">
        <f>IFERROR(IF(OR(C42="AREA I",C42="AREA V"),7,VLOOKUP(A42,'[1]MC Masterlist 2026-09-12'!$B:$M, 12, 0)),0)</f>
        <v>7</v>
      </c>
      <c r="Z42" s="46">
        <f t="shared" si="9"/>
        <v>0.16666666666666666</v>
      </c>
      <c r="AA42" s="46">
        <f t="shared" si="10"/>
        <v>0.33333333333333331</v>
      </c>
      <c r="AB42" s="46">
        <f t="shared" si="11"/>
        <v>7.5925925925925911E-2</v>
      </c>
      <c r="AC42" s="46">
        <f t="shared" si="12"/>
        <v>7.7777777777777765E-2</v>
      </c>
      <c r="AD42" s="44" t="str">
        <f t="shared" si="13"/>
        <v>Over</v>
      </c>
      <c r="AE42" s="44" t="str">
        <f>IFERROR(VLOOKUP(A42,'[1]Re-order'!$A:$AA,27,0),"")</f>
        <v>Re-order</v>
      </c>
      <c r="AF42" s="46">
        <f t="shared" si="14"/>
        <v>-0.92222222222222228</v>
      </c>
      <c r="AG42" s="46">
        <f>SUMIFS('[1]Raw Inventory'!D:D,'[1]Raw Inventory'!C:C,"GREATWALL",'[1]Raw Inventory'!B:B,A42)</f>
        <v>28</v>
      </c>
      <c r="AH42" s="46">
        <f>SUMIFS('[1]Raw Inventory'!D:D,'[1]Raw Inventory'!C:C,"DUARTE",'[1]Raw Inventory'!B:B,A42)</f>
        <v>0</v>
      </c>
      <c r="AI42" s="46"/>
      <c r="AJ42" s="46"/>
      <c r="AK42" s="43"/>
      <c r="AL42" s="43"/>
      <c r="AM42" s="43"/>
      <c r="AN42" s="43"/>
      <c r="AO42" s="43"/>
      <c r="AP42" s="43"/>
      <c r="AQ42" s="43"/>
      <c r="AR42" s="43"/>
      <c r="AS42" s="43"/>
      <c r="AT42" s="43"/>
    </row>
    <row r="43" spans="1:46">
      <c r="A43" s="43" t="s">
        <v>82</v>
      </c>
      <c r="B43" s="43" t="s">
        <v>120</v>
      </c>
      <c r="C43" s="43" t="s">
        <v>118</v>
      </c>
      <c r="D43" s="44" t="s">
        <v>240</v>
      </c>
      <c r="E43" s="44">
        <v>10</v>
      </c>
      <c r="F43" s="44" t="s">
        <v>2</v>
      </c>
      <c r="G43" s="43" t="str">
        <f>IFERROR(VLOOKUP(A43,'[1]MC Masterlist 2026-09-12'!$B:$M, 3, 0),"")</f>
        <v>SUZUKI</v>
      </c>
      <c r="H43" s="45">
        <f>IFERROR(VLOOKUP(A43,'[1]MC Masterlist 2026-09-12'!$B:$M, 6, 0),"")</f>
        <v>67342</v>
      </c>
      <c r="I43" s="46">
        <v>2</v>
      </c>
      <c r="J43" s="46">
        <v>1</v>
      </c>
      <c r="K43" s="46">
        <v>0</v>
      </c>
      <c r="L43" s="46">
        <f t="shared" si="0"/>
        <v>3</v>
      </c>
      <c r="M43" s="46">
        <f t="shared" si="1"/>
        <v>1</v>
      </c>
      <c r="N43" s="45">
        <f t="shared" si="2"/>
        <v>202026</v>
      </c>
      <c r="O43" s="45">
        <f t="shared" si="3"/>
        <v>67342</v>
      </c>
      <c r="P43" s="46">
        <f t="shared" si="4"/>
        <v>3.3333333333333333E-2</v>
      </c>
      <c r="Q43" s="46"/>
      <c r="R43" s="45">
        <f t="shared" si="5"/>
        <v>0</v>
      </c>
      <c r="S43" s="46">
        <f t="shared" si="6"/>
        <v>0</v>
      </c>
      <c r="T43" s="46">
        <f>IFERROR(VLOOKUP(A43,'[1]Re-order'!$A:$Q,17,0),"")</f>
        <v>64.8</v>
      </c>
      <c r="U43" s="46">
        <f>IFERROR(VLOOKUP(A43,'[1]MC Masterlist 2026-09-12'!$B:$M, 10, 0),0)</f>
        <v>15</v>
      </c>
      <c r="V43" s="46">
        <f>IFERROR(VLOOKUP(A43,'[1]MC Masterlist 2026-09-12'!$B:$M, 11, 0),0)</f>
        <v>15</v>
      </c>
      <c r="W43" s="46">
        <f t="shared" si="7"/>
        <v>30</v>
      </c>
      <c r="X43" s="46">
        <f t="shared" si="8"/>
        <v>29.5</v>
      </c>
      <c r="Y43" s="46">
        <f>IFERROR(IF(OR(C43="AREA I",C43="AREA V"),7,VLOOKUP(A43,'[1]MC Masterlist 2026-09-12'!$B:$M, 12, 0)),0)</f>
        <v>30</v>
      </c>
      <c r="Z43" s="46">
        <f t="shared" si="9"/>
        <v>0.5</v>
      </c>
      <c r="AA43" s="46">
        <f t="shared" si="10"/>
        <v>1</v>
      </c>
      <c r="AB43" s="46">
        <f t="shared" si="11"/>
        <v>0.98333333333333328</v>
      </c>
      <c r="AC43" s="46">
        <f t="shared" si="12"/>
        <v>1</v>
      </c>
      <c r="AD43" s="44" t="str">
        <f t="shared" si="13"/>
        <v>Stockout</v>
      </c>
      <c r="AE43" s="44" t="str">
        <f>IFERROR(VLOOKUP(A43,'[1]Re-order'!$A:$AA,27,0),"")</f>
        <v>Re-order</v>
      </c>
      <c r="AF43" s="46">
        <f t="shared" si="14"/>
        <v>1</v>
      </c>
      <c r="AG43" s="46">
        <f>SUMIFS('[1]Raw Inventory'!D:D,'[1]Raw Inventory'!C:C,"GREATWALL",'[1]Raw Inventory'!B:B,A43)</f>
        <v>1</v>
      </c>
      <c r="AH43" s="46">
        <f>SUMIFS('[1]Raw Inventory'!D:D,'[1]Raw Inventory'!C:C,"DUARTE",'[1]Raw Inventory'!B:B,A43)</f>
        <v>0</v>
      </c>
      <c r="AI43" s="46"/>
      <c r="AJ43" s="46"/>
      <c r="AK43" s="43"/>
      <c r="AL43" s="43"/>
      <c r="AM43" s="43"/>
      <c r="AN43" s="43"/>
      <c r="AO43" s="43"/>
      <c r="AP43" s="43"/>
      <c r="AQ43" s="43"/>
      <c r="AR43" s="43"/>
      <c r="AS43" s="43"/>
      <c r="AT43" s="43"/>
    </row>
    <row r="44" spans="1:46">
      <c r="A44" s="43" t="s">
        <v>12</v>
      </c>
      <c r="B44" s="43" t="s">
        <v>115</v>
      </c>
      <c r="C44" s="43" t="s">
        <v>109</v>
      </c>
      <c r="D44" s="44" t="s">
        <v>236</v>
      </c>
      <c r="E44" s="44">
        <v>5</v>
      </c>
      <c r="F44" s="44" t="s">
        <v>2</v>
      </c>
      <c r="G44" s="43" t="str">
        <f>IFERROR(VLOOKUP(A44,'[1]MC Masterlist 2026-09-12'!$B:$M, 3, 0),"")</f>
        <v>HONDA</v>
      </c>
      <c r="H44" s="45">
        <f>IFERROR(VLOOKUP(A44,'[1]MC Masterlist 2026-09-12'!$B:$M, 6, 0),"")</f>
        <v>158270</v>
      </c>
      <c r="I44" s="46">
        <v>2</v>
      </c>
      <c r="J44" s="46">
        <v>1</v>
      </c>
      <c r="K44" s="46">
        <v>0</v>
      </c>
      <c r="L44" s="46">
        <f t="shared" si="0"/>
        <v>3</v>
      </c>
      <c r="M44" s="46">
        <f t="shared" si="1"/>
        <v>1</v>
      </c>
      <c r="N44" s="45">
        <f t="shared" si="2"/>
        <v>474810</v>
      </c>
      <c r="O44" s="45">
        <f t="shared" si="3"/>
        <v>158270</v>
      </c>
      <c r="P44" s="46">
        <f t="shared" si="4"/>
        <v>3.3333333333333333E-2</v>
      </c>
      <c r="Q44" s="46">
        <v>3</v>
      </c>
      <c r="R44" s="45">
        <f t="shared" si="5"/>
        <v>474810</v>
      </c>
      <c r="S44" s="46">
        <f t="shared" si="6"/>
        <v>90</v>
      </c>
      <c r="T44" s="46">
        <f>IFERROR(VLOOKUP(A44,'[1]Re-order'!$A:$Q,17,0),"")</f>
        <v>46.461038961038959</v>
      </c>
      <c r="U44" s="46">
        <f>IFERROR(VLOOKUP(A44,'[1]MC Masterlist 2026-09-12'!$B:$M, 10, 0),0)</f>
        <v>15</v>
      </c>
      <c r="V44" s="46">
        <f>IFERROR(VLOOKUP(A44,'[1]MC Masterlist 2026-09-12'!$B:$M, 11, 0),0)</f>
        <v>15</v>
      </c>
      <c r="W44" s="46">
        <f t="shared" si="7"/>
        <v>30</v>
      </c>
      <c r="X44" s="46">
        <f t="shared" si="8"/>
        <v>29.5</v>
      </c>
      <c r="Y44" s="46">
        <f>IFERROR(IF(OR(C44="AREA I",C44="AREA V"),7,VLOOKUP(A44,'[1]MC Masterlist 2026-09-12'!$B:$M, 12, 0)),0)</f>
        <v>30</v>
      </c>
      <c r="Z44" s="46">
        <f t="shared" si="9"/>
        <v>0.5</v>
      </c>
      <c r="AA44" s="46">
        <f t="shared" si="10"/>
        <v>1</v>
      </c>
      <c r="AB44" s="46">
        <f t="shared" si="11"/>
        <v>0.98333333333333328</v>
      </c>
      <c r="AC44" s="46">
        <f t="shared" si="12"/>
        <v>1</v>
      </c>
      <c r="AD44" s="44" t="str">
        <f t="shared" si="13"/>
        <v>Over</v>
      </c>
      <c r="AE44" s="44" t="str">
        <f>IFERROR(VLOOKUP(A44,'[1]Re-order'!$A:$AA,27,0),"")</f>
        <v>Re-order</v>
      </c>
      <c r="AF44" s="46">
        <f t="shared" si="14"/>
        <v>-2</v>
      </c>
      <c r="AG44" s="46">
        <f>SUMIFS('[1]Raw Inventory'!D:D,'[1]Raw Inventory'!C:C,"GREATWALL",'[1]Raw Inventory'!B:B,A44)</f>
        <v>35</v>
      </c>
      <c r="AH44" s="46">
        <f>SUMIFS('[1]Raw Inventory'!D:D,'[1]Raw Inventory'!C:C,"DUARTE",'[1]Raw Inventory'!B:B,A44)</f>
        <v>0</v>
      </c>
      <c r="AI44" s="46"/>
      <c r="AJ44" s="46"/>
      <c r="AK44" s="43"/>
      <c r="AL44" s="43"/>
      <c r="AM44" s="43"/>
      <c r="AN44" s="43"/>
      <c r="AO44" s="43"/>
      <c r="AP44" s="43"/>
      <c r="AQ44" s="43"/>
      <c r="AR44" s="43"/>
      <c r="AS44" s="43"/>
      <c r="AT44" s="43"/>
    </row>
    <row r="45" spans="1:46">
      <c r="A45" s="43" t="s">
        <v>147</v>
      </c>
      <c r="B45" s="43" t="s">
        <v>138</v>
      </c>
      <c r="C45" s="43" t="s">
        <v>137</v>
      </c>
      <c r="D45" s="44" t="s">
        <v>244</v>
      </c>
      <c r="E45" s="44">
        <v>39</v>
      </c>
      <c r="F45" s="44" t="s">
        <v>3</v>
      </c>
      <c r="G45" s="43" t="str">
        <f>IFERROR(VLOOKUP(A45,'[1]MC Masterlist 2026-09-12'!$B:$M, 3, 0),"")</f>
        <v>YAMAHA</v>
      </c>
      <c r="H45" s="45">
        <f>IFERROR(VLOOKUP(A45,'[1]MC Masterlist 2026-09-12'!$B:$M, 6, 0),"")</f>
        <v>278535</v>
      </c>
      <c r="I45" s="46">
        <v>0</v>
      </c>
      <c r="J45" s="46">
        <v>0</v>
      </c>
      <c r="K45" s="46">
        <v>0</v>
      </c>
      <c r="L45" s="46">
        <f t="shared" si="0"/>
        <v>0</v>
      </c>
      <c r="M45" s="46">
        <f t="shared" si="1"/>
        <v>0</v>
      </c>
      <c r="N45" s="45">
        <f t="shared" si="2"/>
        <v>0</v>
      </c>
      <c r="O45" s="45">
        <f t="shared" si="3"/>
        <v>0</v>
      </c>
      <c r="P45" s="46">
        <f t="shared" si="4"/>
        <v>0</v>
      </c>
      <c r="Q45" s="46">
        <v>1</v>
      </c>
      <c r="R45" s="45">
        <f t="shared" si="5"/>
        <v>278535</v>
      </c>
      <c r="S45" s="46">
        <f t="shared" si="6"/>
        <v>0</v>
      </c>
      <c r="T45" s="46">
        <f>IFERROR(VLOOKUP(A45,'[1]Re-order'!$A:$Q,17,0),"")</f>
        <v>45</v>
      </c>
      <c r="U45" s="46">
        <f>IFERROR(VLOOKUP(A45,'[1]MC Masterlist 2026-09-12'!$B:$M, 10, 0),0)</f>
        <v>15</v>
      </c>
      <c r="V45" s="46">
        <f>IFERROR(VLOOKUP(A45,'[1]MC Masterlist 2026-09-12'!$B:$M, 11, 0),0)</f>
        <v>15</v>
      </c>
      <c r="W45" s="46">
        <f t="shared" si="7"/>
        <v>30</v>
      </c>
      <c r="X45" s="46">
        <f t="shared" si="8"/>
        <v>7</v>
      </c>
      <c r="Y45" s="46">
        <f>IFERROR(IF(OR(C45="AREA I",C45="AREA V"),7,VLOOKUP(A45,'[1]MC Masterlist 2026-09-12'!$B:$M, 12, 0)),0)</f>
        <v>7</v>
      </c>
      <c r="Z45" s="46">
        <f t="shared" si="9"/>
        <v>0</v>
      </c>
      <c r="AA45" s="46">
        <f t="shared" si="10"/>
        <v>0</v>
      </c>
      <c r="AB45" s="46">
        <f t="shared" si="11"/>
        <v>0</v>
      </c>
      <c r="AC45" s="46">
        <f t="shared" si="12"/>
        <v>0</v>
      </c>
      <c r="AD45" s="44" t="str">
        <f t="shared" si="13"/>
        <v>Over</v>
      </c>
      <c r="AE45" s="44" t="str">
        <f>IFERROR(VLOOKUP(A45,'[1]Re-order'!$A:$AA,27,0),"")</f>
        <v>Re-order</v>
      </c>
      <c r="AF45" s="46">
        <f t="shared" si="14"/>
        <v>-1</v>
      </c>
      <c r="AG45" s="46">
        <f>SUMIFS('[1]Raw Inventory'!D:D,'[1]Raw Inventory'!C:C,"GREATWALL",'[1]Raw Inventory'!B:B,A45)</f>
        <v>1</v>
      </c>
      <c r="AH45" s="46">
        <f>SUMIFS('[1]Raw Inventory'!D:D,'[1]Raw Inventory'!C:C,"DUARTE",'[1]Raw Inventory'!B:B,A45)</f>
        <v>0</v>
      </c>
      <c r="AI45" s="46"/>
      <c r="AJ45" s="46"/>
      <c r="AK45" s="43"/>
      <c r="AL45" s="43"/>
      <c r="AM45" s="43"/>
      <c r="AN45" s="43"/>
      <c r="AO45" s="43"/>
      <c r="AP45" s="43"/>
      <c r="AQ45" s="43"/>
      <c r="AR45" s="43"/>
      <c r="AS45" s="43"/>
      <c r="AT45" s="43"/>
    </row>
    <row r="46" spans="1:46">
      <c r="A46" s="43" t="s">
        <v>20</v>
      </c>
      <c r="B46" s="43" t="s">
        <v>162</v>
      </c>
      <c r="C46" s="43" t="s">
        <v>159</v>
      </c>
      <c r="D46" s="44" t="s">
        <v>245</v>
      </c>
      <c r="E46" s="44">
        <v>26</v>
      </c>
      <c r="F46" s="44" t="s">
        <v>3</v>
      </c>
      <c r="G46" s="43" t="str">
        <f>IFERROR(VLOOKUP(A46,'[1]MC Masterlist 2026-09-12'!$B:$M, 3, 0),"")</f>
        <v>HONDA</v>
      </c>
      <c r="H46" s="45">
        <f>IFERROR(VLOOKUP(A46,'[1]MC Masterlist 2026-09-12'!$B:$M, 6, 0),"")</f>
        <v>69950</v>
      </c>
      <c r="I46" s="46">
        <v>0</v>
      </c>
      <c r="J46" s="46">
        <v>0</v>
      </c>
      <c r="K46" s="46">
        <v>0</v>
      </c>
      <c r="L46" s="46">
        <f t="shared" si="0"/>
        <v>0</v>
      </c>
      <c r="M46" s="46">
        <f t="shared" si="1"/>
        <v>0</v>
      </c>
      <c r="N46" s="45">
        <f t="shared" si="2"/>
        <v>0</v>
      </c>
      <c r="O46" s="45">
        <f t="shared" si="3"/>
        <v>0</v>
      </c>
      <c r="P46" s="46">
        <f t="shared" si="4"/>
        <v>0</v>
      </c>
      <c r="Q46" s="46">
        <v>4</v>
      </c>
      <c r="R46" s="45">
        <f t="shared" si="5"/>
        <v>279800</v>
      </c>
      <c r="S46" s="46">
        <f t="shared" si="6"/>
        <v>0</v>
      </c>
      <c r="T46" s="46">
        <f>IFERROR(VLOOKUP(A46,'[1]Re-order'!$A:$Q,17,0),"")</f>
        <v>75.775862068965523</v>
      </c>
      <c r="U46" s="46">
        <f>IFERROR(VLOOKUP(A46,'[1]MC Masterlist 2026-09-12'!$B:$M, 10, 0),0)</f>
        <v>15</v>
      </c>
      <c r="V46" s="46">
        <f>IFERROR(VLOOKUP(A46,'[1]MC Masterlist 2026-09-12'!$B:$M, 11, 0),0)</f>
        <v>15</v>
      </c>
      <c r="W46" s="46">
        <f t="shared" si="7"/>
        <v>30</v>
      </c>
      <c r="X46" s="46">
        <f t="shared" si="8"/>
        <v>30</v>
      </c>
      <c r="Y46" s="46">
        <f>IFERROR(IF(OR(C46="AREA I",C46="AREA V"),7,VLOOKUP(A46,'[1]MC Masterlist 2026-09-12'!$B:$M, 12, 0)),0)</f>
        <v>30</v>
      </c>
      <c r="Z46" s="46">
        <f t="shared" si="9"/>
        <v>0</v>
      </c>
      <c r="AA46" s="46">
        <f t="shared" si="10"/>
        <v>0</v>
      </c>
      <c r="AB46" s="46">
        <f t="shared" si="11"/>
        <v>0</v>
      </c>
      <c r="AC46" s="46">
        <f t="shared" si="12"/>
        <v>0</v>
      </c>
      <c r="AD46" s="44" t="str">
        <f t="shared" si="13"/>
        <v>Over</v>
      </c>
      <c r="AE46" s="44" t="str">
        <f>IFERROR(VLOOKUP(A46,'[1]Re-order'!$A:$AA,27,0),"")</f>
        <v/>
      </c>
      <c r="AF46" s="46">
        <f t="shared" si="14"/>
        <v>-4</v>
      </c>
      <c r="AG46" s="46">
        <f>SUMIFS('[1]Raw Inventory'!D:D,'[1]Raw Inventory'!C:C,"GREATWALL",'[1]Raw Inventory'!B:B,A46)</f>
        <v>110</v>
      </c>
      <c r="AH46" s="46">
        <f>SUMIFS('[1]Raw Inventory'!D:D,'[1]Raw Inventory'!C:C,"DUARTE",'[1]Raw Inventory'!B:B,A46)</f>
        <v>0</v>
      </c>
      <c r="AI46" s="46"/>
      <c r="AJ46" s="46"/>
      <c r="AK46" s="43"/>
      <c r="AL46" s="43"/>
      <c r="AM46" s="43"/>
      <c r="AN46" s="43"/>
      <c r="AO46" s="43"/>
      <c r="AP46" s="43"/>
      <c r="AQ46" s="43"/>
      <c r="AR46" s="43"/>
      <c r="AS46" s="43"/>
      <c r="AT46" s="43"/>
    </row>
    <row r="47" spans="1:46">
      <c r="A47" s="43" t="s">
        <v>47</v>
      </c>
      <c r="B47" s="43" t="s">
        <v>92</v>
      </c>
      <c r="C47" s="43" t="s">
        <v>90</v>
      </c>
      <c r="D47" s="44" t="s">
        <v>237</v>
      </c>
      <c r="E47" s="44">
        <v>29</v>
      </c>
      <c r="F47" s="44" t="s">
        <v>3</v>
      </c>
      <c r="G47" s="43" t="str">
        <f>IFERROR(VLOOKUP(A47,'[1]MC Masterlist 2026-09-12'!$B:$M, 3, 0),"")</f>
        <v>YAMAHA</v>
      </c>
      <c r="H47" s="45">
        <f>IFERROR(VLOOKUP(A47,'[1]MC Masterlist 2026-09-12'!$B:$M, 6, 0),"")</f>
        <v>76167</v>
      </c>
      <c r="I47" s="46">
        <v>0</v>
      </c>
      <c r="J47" s="46">
        <v>0</v>
      </c>
      <c r="K47" s="46">
        <v>0</v>
      </c>
      <c r="L47" s="46">
        <f t="shared" si="0"/>
        <v>0</v>
      </c>
      <c r="M47" s="46">
        <f t="shared" si="1"/>
        <v>0</v>
      </c>
      <c r="N47" s="45">
        <f t="shared" si="2"/>
        <v>0</v>
      </c>
      <c r="O47" s="45">
        <f t="shared" si="3"/>
        <v>0</v>
      </c>
      <c r="P47" s="46">
        <f t="shared" si="4"/>
        <v>0</v>
      </c>
      <c r="Q47" s="46">
        <v>2</v>
      </c>
      <c r="R47" s="45">
        <f t="shared" si="5"/>
        <v>152334</v>
      </c>
      <c r="S47" s="46">
        <f t="shared" si="6"/>
        <v>0</v>
      </c>
      <c r="T47" s="46">
        <f>IFERROR(VLOOKUP(A47,'[1]Re-order'!$A:$Q,17,0),"")</f>
        <v>86.666666666666671</v>
      </c>
      <c r="U47" s="46">
        <f>IFERROR(VLOOKUP(A47,'[1]MC Masterlist 2026-09-12'!$B:$M, 10, 0),0)</f>
        <v>15</v>
      </c>
      <c r="V47" s="46">
        <f>IFERROR(VLOOKUP(A47,'[1]MC Masterlist 2026-09-12'!$B:$M, 11, 0),0)</f>
        <v>15</v>
      </c>
      <c r="W47" s="46">
        <f t="shared" si="7"/>
        <v>30</v>
      </c>
      <c r="X47" s="46">
        <f t="shared" si="8"/>
        <v>30</v>
      </c>
      <c r="Y47" s="46">
        <f>IFERROR(IF(OR(C47="AREA I",C47="AREA V"),7,VLOOKUP(A47,'[1]MC Masterlist 2026-09-12'!$B:$M, 12, 0)),0)</f>
        <v>30</v>
      </c>
      <c r="Z47" s="46">
        <f t="shared" si="9"/>
        <v>0</v>
      </c>
      <c r="AA47" s="46">
        <f t="shared" si="10"/>
        <v>0</v>
      </c>
      <c r="AB47" s="46">
        <f t="shared" si="11"/>
        <v>0</v>
      </c>
      <c r="AC47" s="46">
        <f t="shared" si="12"/>
        <v>0</v>
      </c>
      <c r="AD47" s="44" t="str">
        <f t="shared" si="13"/>
        <v>Over</v>
      </c>
      <c r="AE47" s="44" t="str">
        <f>IFERROR(VLOOKUP(A47,'[1]Re-order'!$A:$AA,27,0),"")</f>
        <v/>
      </c>
      <c r="AF47" s="46">
        <f t="shared" si="14"/>
        <v>-2</v>
      </c>
      <c r="AG47" s="46">
        <f>SUMIFS('[1]Raw Inventory'!D:D,'[1]Raw Inventory'!C:C,"GREATWALL",'[1]Raw Inventory'!B:B,A47)</f>
        <v>1</v>
      </c>
      <c r="AH47" s="46">
        <f>SUMIFS('[1]Raw Inventory'!D:D,'[1]Raw Inventory'!C:C,"DUARTE",'[1]Raw Inventory'!B:B,A47)</f>
        <v>0</v>
      </c>
      <c r="AI47" s="46"/>
      <c r="AJ47" s="46"/>
      <c r="AK47" s="43"/>
      <c r="AL47" s="43"/>
      <c r="AM47" s="43"/>
      <c r="AN47" s="43"/>
      <c r="AO47" s="43"/>
      <c r="AP47" s="43"/>
      <c r="AQ47" s="43"/>
      <c r="AR47" s="43"/>
      <c r="AS47" s="43"/>
      <c r="AT47" s="43"/>
    </row>
    <row r="48" spans="1:46">
      <c r="A48" s="43" t="s">
        <v>22</v>
      </c>
      <c r="B48" s="43" t="s">
        <v>110</v>
      </c>
      <c r="C48" s="43" t="s">
        <v>109</v>
      </c>
      <c r="D48" s="44" t="s">
        <v>246</v>
      </c>
      <c r="E48" s="44">
        <v>12</v>
      </c>
      <c r="F48" s="44" t="s">
        <v>2</v>
      </c>
      <c r="G48" s="43" t="str">
        <f>IFERROR(VLOOKUP(A48,'[1]MC Masterlist 2026-09-12'!$B:$M, 3, 0),"")</f>
        <v>HONDA</v>
      </c>
      <c r="H48" s="45">
        <f>IFERROR(VLOOKUP(A48,'[1]MC Masterlist 2026-09-12'!$B:$M, 6, 0),"")</f>
        <v>111258</v>
      </c>
      <c r="I48" s="46">
        <v>0</v>
      </c>
      <c r="J48" s="46">
        <v>2</v>
      </c>
      <c r="K48" s="46">
        <v>0</v>
      </c>
      <c r="L48" s="46">
        <f t="shared" si="0"/>
        <v>2</v>
      </c>
      <c r="M48" s="46">
        <f t="shared" si="1"/>
        <v>0.66666666666666663</v>
      </c>
      <c r="N48" s="45">
        <f t="shared" si="2"/>
        <v>222516</v>
      </c>
      <c r="O48" s="45">
        <f t="shared" si="3"/>
        <v>74172</v>
      </c>
      <c r="P48" s="46">
        <f t="shared" si="4"/>
        <v>2.222222222222222E-2</v>
      </c>
      <c r="Q48" s="46">
        <v>4</v>
      </c>
      <c r="R48" s="45">
        <f t="shared" si="5"/>
        <v>445032</v>
      </c>
      <c r="S48" s="46">
        <f t="shared" si="6"/>
        <v>180</v>
      </c>
      <c r="T48" s="46">
        <f>IFERROR(VLOOKUP(A48,'[1]Re-order'!$A:$Q,17,0),"")</f>
        <v>41.339712918660283</v>
      </c>
      <c r="U48" s="46">
        <f>IFERROR(VLOOKUP(A48,'[1]MC Masterlist 2026-09-12'!$B:$M, 10, 0),0)</f>
        <v>15</v>
      </c>
      <c r="V48" s="46">
        <f>IFERROR(VLOOKUP(A48,'[1]MC Masterlist 2026-09-12'!$B:$M, 11, 0),0)</f>
        <v>15</v>
      </c>
      <c r="W48" s="46">
        <f t="shared" si="7"/>
        <v>30</v>
      </c>
      <c r="X48" s="46">
        <f t="shared" si="8"/>
        <v>29.666666666666668</v>
      </c>
      <c r="Y48" s="46">
        <f>IFERROR(IF(OR(C48="AREA I",C48="AREA V"),7,VLOOKUP(A48,'[1]MC Masterlist 2026-09-12'!$B:$M, 12, 0)),0)</f>
        <v>30</v>
      </c>
      <c r="Z48" s="46">
        <f t="shared" si="9"/>
        <v>0.33333333333333331</v>
      </c>
      <c r="AA48" s="46">
        <f t="shared" si="10"/>
        <v>0.66666666666666663</v>
      </c>
      <c r="AB48" s="46">
        <f t="shared" si="11"/>
        <v>0.65925925925925921</v>
      </c>
      <c r="AC48" s="46">
        <f t="shared" si="12"/>
        <v>0.66666666666666663</v>
      </c>
      <c r="AD48" s="44" t="str">
        <f t="shared" si="13"/>
        <v>Over</v>
      </c>
      <c r="AE48" s="44" t="str">
        <f>IFERROR(VLOOKUP(A48,'[1]Re-order'!$A:$AA,27,0),"")</f>
        <v>Re-order</v>
      </c>
      <c r="AF48" s="46">
        <f t="shared" si="14"/>
        <v>-3.3333333333333335</v>
      </c>
      <c r="AG48" s="46">
        <f>SUMIFS('[1]Raw Inventory'!D:D,'[1]Raw Inventory'!C:C,"GREATWALL",'[1]Raw Inventory'!B:B,A48)</f>
        <v>4</v>
      </c>
      <c r="AH48" s="46">
        <f>SUMIFS('[1]Raw Inventory'!D:D,'[1]Raw Inventory'!C:C,"DUARTE",'[1]Raw Inventory'!B:B,A48)</f>
        <v>0</v>
      </c>
      <c r="AI48" s="46"/>
      <c r="AJ48" s="46"/>
      <c r="AK48" s="43"/>
      <c r="AL48" s="43"/>
      <c r="AM48" s="43"/>
      <c r="AN48" s="43"/>
      <c r="AO48" s="43"/>
      <c r="AP48" s="43"/>
      <c r="AQ48" s="43"/>
      <c r="AR48" s="43"/>
      <c r="AS48" s="43"/>
      <c r="AT48" s="43"/>
    </row>
    <row r="49" spans="1:46">
      <c r="A49" s="43" t="s">
        <v>17</v>
      </c>
      <c r="B49" s="43" t="s">
        <v>153</v>
      </c>
      <c r="C49" s="43" t="s">
        <v>152</v>
      </c>
      <c r="D49" s="44" t="s">
        <v>236</v>
      </c>
      <c r="E49" s="44">
        <v>5</v>
      </c>
      <c r="F49" s="44" t="s">
        <v>2</v>
      </c>
      <c r="G49" s="43" t="str">
        <f>IFERROR(VLOOKUP(A49,'[1]MC Masterlist 2026-09-12'!$B:$M, 3, 0),"")</f>
        <v>HONDA</v>
      </c>
      <c r="H49" s="45">
        <f>IFERROR(VLOOKUP(A49,'[1]MC Masterlist 2026-09-12'!$B:$M, 6, 0),"")</f>
        <v>140790</v>
      </c>
      <c r="I49" s="46">
        <v>1</v>
      </c>
      <c r="J49" s="46">
        <v>0</v>
      </c>
      <c r="K49" s="46">
        <v>2</v>
      </c>
      <c r="L49" s="46">
        <f t="shared" si="0"/>
        <v>3</v>
      </c>
      <c r="M49" s="46">
        <f t="shared" si="1"/>
        <v>1</v>
      </c>
      <c r="N49" s="45">
        <f t="shared" si="2"/>
        <v>422370</v>
      </c>
      <c r="O49" s="45">
        <f t="shared" si="3"/>
        <v>140790</v>
      </c>
      <c r="P49" s="46">
        <f t="shared" si="4"/>
        <v>3.3333333333333333E-2</v>
      </c>
      <c r="Q49" s="46">
        <v>1</v>
      </c>
      <c r="R49" s="45">
        <f t="shared" si="5"/>
        <v>140790</v>
      </c>
      <c r="S49" s="46">
        <f t="shared" si="6"/>
        <v>30</v>
      </c>
      <c r="T49" s="46">
        <f>IFERROR(VLOOKUP(A49,'[1]Re-order'!$A:$Q,17,0),"")</f>
        <v>43.663366336633665</v>
      </c>
      <c r="U49" s="46">
        <f>IFERROR(VLOOKUP(A49,'[1]MC Masterlist 2026-09-12'!$B:$M, 10, 0),0)</f>
        <v>15</v>
      </c>
      <c r="V49" s="46">
        <f>IFERROR(VLOOKUP(A49,'[1]MC Masterlist 2026-09-12'!$B:$M, 11, 0),0)</f>
        <v>15</v>
      </c>
      <c r="W49" s="46">
        <f t="shared" si="7"/>
        <v>30</v>
      </c>
      <c r="X49" s="46">
        <f t="shared" si="8"/>
        <v>29.5</v>
      </c>
      <c r="Y49" s="46">
        <f>IFERROR(IF(OR(C49="AREA I",C49="AREA V"),7,VLOOKUP(A49,'[1]MC Masterlist 2026-09-12'!$B:$M, 12, 0)),0)</f>
        <v>30</v>
      </c>
      <c r="Z49" s="46">
        <f t="shared" si="9"/>
        <v>0.5</v>
      </c>
      <c r="AA49" s="46">
        <f t="shared" si="10"/>
        <v>1</v>
      </c>
      <c r="AB49" s="46">
        <f t="shared" si="11"/>
        <v>0.98333333333333328</v>
      </c>
      <c r="AC49" s="46">
        <f t="shared" si="12"/>
        <v>1</v>
      </c>
      <c r="AD49" s="44" t="str">
        <f t="shared" si="13"/>
        <v>Re-order</v>
      </c>
      <c r="AE49" s="44" t="str">
        <f>IFERROR(VLOOKUP(A49,'[1]Re-order'!$A:$AA,27,0),"")</f>
        <v>Re-order</v>
      </c>
      <c r="AF49" s="46">
        <f t="shared" si="14"/>
        <v>0</v>
      </c>
      <c r="AG49" s="46">
        <f>SUMIFS('[1]Raw Inventory'!D:D,'[1]Raw Inventory'!C:C,"GREATWALL",'[1]Raw Inventory'!B:B,A49)</f>
        <v>12</v>
      </c>
      <c r="AH49" s="46">
        <f>SUMIFS('[1]Raw Inventory'!D:D,'[1]Raw Inventory'!C:C,"DUARTE",'[1]Raw Inventory'!B:B,A49)</f>
        <v>0</v>
      </c>
      <c r="AI49" s="46"/>
      <c r="AJ49" s="46"/>
      <c r="AK49" s="43"/>
      <c r="AL49" s="43"/>
      <c r="AM49" s="43"/>
      <c r="AN49" s="43"/>
      <c r="AO49" s="43"/>
      <c r="AP49" s="43"/>
      <c r="AQ49" s="43"/>
      <c r="AR49" s="43"/>
      <c r="AS49" s="43"/>
      <c r="AT49" s="43"/>
    </row>
    <row r="50" spans="1:46">
      <c r="A50" s="43" t="s">
        <v>34</v>
      </c>
      <c r="B50" s="43" t="s">
        <v>29</v>
      </c>
      <c r="C50" s="43" t="s">
        <v>1</v>
      </c>
      <c r="D50" s="44" t="s">
        <v>247</v>
      </c>
      <c r="E50" s="44">
        <v>30</v>
      </c>
      <c r="F50" s="44" t="s">
        <v>3</v>
      </c>
      <c r="G50" s="43" t="str">
        <f>IFERROR(VLOOKUP(A50,'[1]MC Masterlist 2026-09-12'!$B:$M, 3, 0),"")</f>
        <v>HONDA</v>
      </c>
      <c r="H50" s="45">
        <f>IFERROR(VLOOKUP(A50,'[1]MC Masterlist 2026-09-12'!$B:$M, 6, 0),"")</f>
        <v>101230</v>
      </c>
      <c r="I50" s="46">
        <v>1</v>
      </c>
      <c r="J50" s="46">
        <v>0</v>
      </c>
      <c r="K50" s="46">
        <v>0</v>
      </c>
      <c r="L50" s="46">
        <f t="shared" si="0"/>
        <v>1</v>
      </c>
      <c r="M50" s="46">
        <f t="shared" si="1"/>
        <v>0.33333333333333331</v>
      </c>
      <c r="N50" s="45">
        <f t="shared" si="2"/>
        <v>101230</v>
      </c>
      <c r="O50" s="45">
        <f t="shared" si="3"/>
        <v>33743.333333333328</v>
      </c>
      <c r="P50" s="46">
        <f t="shared" si="4"/>
        <v>1.111111111111111E-2</v>
      </c>
      <c r="Q50" s="46"/>
      <c r="R50" s="45">
        <f t="shared" si="5"/>
        <v>0</v>
      </c>
      <c r="S50" s="46">
        <f t="shared" si="6"/>
        <v>0</v>
      </c>
      <c r="T50" s="46">
        <f>IFERROR(VLOOKUP(A50,'[1]Re-order'!$A:$Q,17,0),"")</f>
        <v>8.4375000000000018</v>
      </c>
      <c r="U50" s="46">
        <f>IFERROR(VLOOKUP(A50,'[1]MC Masterlist 2026-09-12'!$B:$M, 10, 0),0)</f>
        <v>15</v>
      </c>
      <c r="V50" s="46">
        <f>IFERROR(VLOOKUP(A50,'[1]MC Masterlist 2026-09-12'!$B:$M, 11, 0),0)</f>
        <v>15</v>
      </c>
      <c r="W50" s="46">
        <f t="shared" si="7"/>
        <v>30</v>
      </c>
      <c r="X50" s="46">
        <f t="shared" si="8"/>
        <v>6.833333333333333</v>
      </c>
      <c r="Y50" s="46">
        <f>IFERROR(IF(OR(C50="AREA I",C50="AREA V"),7,VLOOKUP(A50,'[1]MC Masterlist 2026-09-12'!$B:$M, 12, 0)),0)</f>
        <v>7</v>
      </c>
      <c r="Z50" s="46">
        <f t="shared" si="9"/>
        <v>0.16666666666666666</v>
      </c>
      <c r="AA50" s="46">
        <f t="shared" si="10"/>
        <v>0.33333333333333331</v>
      </c>
      <c r="AB50" s="46">
        <f t="shared" si="11"/>
        <v>7.5925925925925911E-2</v>
      </c>
      <c r="AC50" s="46">
        <f t="shared" si="12"/>
        <v>7.7777777777777765E-2</v>
      </c>
      <c r="AD50" s="44" t="str">
        <f t="shared" si="13"/>
        <v>Stockout</v>
      </c>
      <c r="AE50" s="44" t="str">
        <f>IFERROR(VLOOKUP(A50,'[1]Re-order'!$A:$AA,27,0),"")</f>
        <v>Stockout</v>
      </c>
      <c r="AF50" s="46">
        <f t="shared" si="14"/>
        <v>7.7777777777777765E-2</v>
      </c>
      <c r="AG50" s="46">
        <f>SUMIFS('[1]Raw Inventory'!D:D,'[1]Raw Inventory'!C:C,"GREATWALL",'[1]Raw Inventory'!B:B,A50)</f>
        <v>1</v>
      </c>
      <c r="AH50" s="46">
        <f>SUMIFS('[1]Raw Inventory'!D:D,'[1]Raw Inventory'!C:C,"DUARTE",'[1]Raw Inventory'!B:B,A50)</f>
        <v>0</v>
      </c>
      <c r="AI50" s="46"/>
      <c r="AJ50" s="46"/>
      <c r="AK50" s="43"/>
      <c r="AL50" s="43"/>
      <c r="AM50" s="43"/>
      <c r="AN50" s="43"/>
      <c r="AO50" s="43"/>
      <c r="AP50" s="43"/>
      <c r="AQ50" s="43"/>
      <c r="AR50" s="43"/>
      <c r="AS50" s="43"/>
      <c r="AT50" s="43"/>
    </row>
    <row r="51" spans="1:46">
      <c r="A51" s="43" t="s">
        <v>73</v>
      </c>
      <c r="B51" s="43" t="s">
        <v>248</v>
      </c>
      <c r="C51" s="43"/>
      <c r="D51" s="44" t="s">
        <v>234</v>
      </c>
      <c r="E51" s="44">
        <v>1</v>
      </c>
      <c r="F51" s="44" t="s">
        <v>0</v>
      </c>
      <c r="G51" s="43" t="str">
        <f>IFERROR(VLOOKUP(A51,'[1]MC Masterlist 2026-09-12'!$B:$M, 3, 0),"")</f>
        <v>SUZUKI</v>
      </c>
      <c r="H51" s="45">
        <f>IFERROR(VLOOKUP(A51,'[1]MC Masterlist 2026-09-12'!$B:$M, 6, 0),"")</f>
        <v>122770</v>
      </c>
      <c r="I51" s="46">
        <v>0</v>
      </c>
      <c r="J51" s="46">
        <v>0</v>
      </c>
      <c r="K51" s="46">
        <v>0</v>
      </c>
      <c r="L51" s="46">
        <f t="shared" si="0"/>
        <v>0</v>
      </c>
      <c r="M51" s="46">
        <f t="shared" si="1"/>
        <v>0</v>
      </c>
      <c r="N51" s="45">
        <f t="shared" si="2"/>
        <v>0</v>
      </c>
      <c r="O51" s="45">
        <f t="shared" si="3"/>
        <v>0</v>
      </c>
      <c r="P51" s="46">
        <f t="shared" si="4"/>
        <v>0</v>
      </c>
      <c r="Q51" s="46">
        <v>1</v>
      </c>
      <c r="R51" s="45">
        <f t="shared" si="5"/>
        <v>122770</v>
      </c>
      <c r="S51" s="46">
        <f t="shared" si="6"/>
        <v>0</v>
      </c>
      <c r="T51" s="46">
        <f>IFERROR(VLOOKUP(A51,'[1]Re-order'!$A:$Q,17,0),"")</f>
        <v>787.50000000000011</v>
      </c>
      <c r="U51" s="46">
        <f>IFERROR(VLOOKUP(A51,'[1]MC Masterlist 2026-09-12'!$B:$M, 10, 0),0)</f>
        <v>15</v>
      </c>
      <c r="V51" s="46">
        <f>IFERROR(VLOOKUP(A51,'[1]MC Masterlist 2026-09-12'!$B:$M, 11, 0),0)</f>
        <v>15</v>
      </c>
      <c r="W51" s="46">
        <f t="shared" si="7"/>
        <v>30</v>
      </c>
      <c r="X51" s="46">
        <f t="shared" si="8"/>
        <v>30</v>
      </c>
      <c r="Y51" s="46">
        <f>IFERROR(IF(OR(C51="AREA I",C51="AREA V"),7,VLOOKUP(A51,'[1]MC Masterlist 2026-09-12'!$B:$M, 12, 0)),0)</f>
        <v>30</v>
      </c>
      <c r="Z51" s="46">
        <f t="shared" si="9"/>
        <v>0</v>
      </c>
      <c r="AA51" s="46">
        <f t="shared" si="10"/>
        <v>0</v>
      </c>
      <c r="AB51" s="46">
        <f t="shared" si="11"/>
        <v>0</v>
      </c>
      <c r="AC51" s="46">
        <f t="shared" si="12"/>
        <v>0</v>
      </c>
      <c r="AD51" s="44" t="str">
        <f t="shared" si="13"/>
        <v>Over</v>
      </c>
      <c r="AE51" s="44" t="str">
        <f>IFERROR(VLOOKUP(A51,'[1]Re-order'!$A:$AA,27,0),"")</f>
        <v>Over</v>
      </c>
      <c r="AF51" s="46">
        <f t="shared" si="14"/>
        <v>-1</v>
      </c>
      <c r="AG51" s="46">
        <f>SUMIFS('[1]Raw Inventory'!D:D,'[1]Raw Inventory'!C:C,"GREATWALL",'[1]Raw Inventory'!B:B,A51)</f>
        <v>9</v>
      </c>
      <c r="AH51" s="46">
        <f>SUMIFS('[1]Raw Inventory'!D:D,'[1]Raw Inventory'!C:C,"DUARTE",'[1]Raw Inventory'!B:B,A51)</f>
        <v>0</v>
      </c>
      <c r="AI51" s="46"/>
      <c r="AJ51" s="46"/>
      <c r="AK51" s="43"/>
      <c r="AL51" s="43"/>
      <c r="AM51" s="43"/>
      <c r="AN51" s="43"/>
      <c r="AO51" s="43"/>
      <c r="AP51" s="43"/>
      <c r="AQ51" s="43"/>
      <c r="AR51" s="43"/>
      <c r="AS51" s="43"/>
      <c r="AT51" s="43"/>
    </row>
    <row r="52" spans="1:46">
      <c r="A52" s="43" t="s">
        <v>38</v>
      </c>
      <c r="B52" s="43" t="s">
        <v>138</v>
      </c>
      <c r="C52" s="43" t="s">
        <v>137</v>
      </c>
      <c r="D52" s="44" t="s">
        <v>249</v>
      </c>
      <c r="E52" s="44">
        <v>39</v>
      </c>
      <c r="F52" s="44" t="s">
        <v>3</v>
      </c>
      <c r="G52" s="43" t="str">
        <f>IFERROR(VLOOKUP(A52,'[1]MC Masterlist 2026-09-12'!$B:$M, 3, 0),"")</f>
        <v>HONDA</v>
      </c>
      <c r="H52" s="45">
        <f>IFERROR(VLOOKUP(A52,'[1]MC Masterlist 2026-09-12'!$B:$M, 6, 0),"")</f>
        <v>165630</v>
      </c>
      <c r="I52" s="46">
        <v>0</v>
      </c>
      <c r="J52" s="46">
        <v>0</v>
      </c>
      <c r="K52" s="46">
        <v>0</v>
      </c>
      <c r="L52" s="46">
        <f t="shared" si="0"/>
        <v>0</v>
      </c>
      <c r="M52" s="46">
        <f t="shared" si="1"/>
        <v>0</v>
      </c>
      <c r="N52" s="45">
        <f t="shared" si="2"/>
        <v>0</v>
      </c>
      <c r="O52" s="45">
        <f t="shared" si="3"/>
        <v>0</v>
      </c>
      <c r="P52" s="46">
        <f t="shared" si="4"/>
        <v>0</v>
      </c>
      <c r="Q52" s="46">
        <v>6</v>
      </c>
      <c r="R52" s="45">
        <f t="shared" si="5"/>
        <v>993780</v>
      </c>
      <c r="S52" s="46">
        <f t="shared" si="6"/>
        <v>0</v>
      </c>
      <c r="T52" s="46">
        <f>IFERROR(VLOOKUP(A52,'[1]Re-order'!$A:$Q,17,0),"")</f>
        <v>60</v>
      </c>
      <c r="U52" s="46">
        <f>IFERROR(VLOOKUP(A52,'[1]MC Masterlist 2026-09-12'!$B:$M, 10, 0),0)</f>
        <v>15</v>
      </c>
      <c r="V52" s="46">
        <f>IFERROR(VLOOKUP(A52,'[1]MC Masterlist 2026-09-12'!$B:$M, 11, 0),0)</f>
        <v>15</v>
      </c>
      <c r="W52" s="46">
        <f t="shared" si="7"/>
        <v>30</v>
      </c>
      <c r="X52" s="46">
        <f t="shared" si="8"/>
        <v>7</v>
      </c>
      <c r="Y52" s="46">
        <f>IFERROR(IF(OR(C52="AREA I",C52="AREA V"),7,VLOOKUP(A52,'[1]MC Masterlist 2026-09-12'!$B:$M, 12, 0)),0)</f>
        <v>7</v>
      </c>
      <c r="Z52" s="46">
        <f t="shared" si="9"/>
        <v>0</v>
      </c>
      <c r="AA52" s="46">
        <f t="shared" si="10"/>
        <v>0</v>
      </c>
      <c r="AB52" s="46">
        <f t="shared" si="11"/>
        <v>0</v>
      </c>
      <c r="AC52" s="46">
        <f t="shared" si="12"/>
        <v>0</v>
      </c>
      <c r="AD52" s="44" t="str">
        <f t="shared" si="13"/>
        <v>Over</v>
      </c>
      <c r="AE52" s="44" t="str">
        <f>IFERROR(VLOOKUP(A52,'[1]Re-order'!$A:$AA,27,0),"")</f>
        <v>Re-order</v>
      </c>
      <c r="AF52" s="46">
        <f t="shared" si="14"/>
        <v>-6</v>
      </c>
      <c r="AG52" s="46">
        <f>SUMIFS('[1]Raw Inventory'!D:D,'[1]Raw Inventory'!C:C,"GREATWALL",'[1]Raw Inventory'!B:B,A52)</f>
        <v>6</v>
      </c>
      <c r="AH52" s="46">
        <f>SUMIFS('[1]Raw Inventory'!D:D,'[1]Raw Inventory'!C:C,"DUARTE",'[1]Raw Inventory'!B:B,A52)</f>
        <v>0</v>
      </c>
      <c r="AI52" s="46"/>
      <c r="AJ52" s="46"/>
      <c r="AK52" s="43"/>
      <c r="AL52" s="43"/>
      <c r="AM52" s="43"/>
      <c r="AN52" s="43"/>
      <c r="AO52" s="43"/>
      <c r="AP52" s="43"/>
      <c r="AQ52" s="43"/>
      <c r="AR52" s="43"/>
      <c r="AS52" s="43"/>
      <c r="AT52" s="43"/>
    </row>
    <row r="53" spans="1:46">
      <c r="A53" s="43" t="s">
        <v>66</v>
      </c>
      <c r="B53" s="43" t="s">
        <v>143</v>
      </c>
      <c r="C53" s="43" t="s">
        <v>137</v>
      </c>
      <c r="D53" s="44" t="s">
        <v>241</v>
      </c>
      <c r="E53" s="44">
        <v>21</v>
      </c>
      <c r="F53" s="44" t="s">
        <v>3</v>
      </c>
      <c r="G53" s="43" t="str">
        <f>IFERROR(VLOOKUP(A53,'[1]MC Masterlist 2026-09-12'!$B:$M, 3, 0),"")</f>
        <v>KAWASAKI</v>
      </c>
      <c r="H53" s="45">
        <f>IFERROR(VLOOKUP(A53,'[1]MC Masterlist 2026-09-12'!$B:$M, 6, 0),"")</f>
        <v>95530</v>
      </c>
      <c r="I53" s="46">
        <v>0</v>
      </c>
      <c r="J53" s="46">
        <v>1</v>
      </c>
      <c r="K53" s="46">
        <v>0</v>
      </c>
      <c r="L53" s="46">
        <f t="shared" si="0"/>
        <v>1</v>
      </c>
      <c r="M53" s="46">
        <f t="shared" si="1"/>
        <v>0.33333333333333331</v>
      </c>
      <c r="N53" s="45">
        <f t="shared" si="2"/>
        <v>95530</v>
      </c>
      <c r="O53" s="45">
        <f t="shared" si="3"/>
        <v>31843.333333333332</v>
      </c>
      <c r="P53" s="46">
        <f t="shared" si="4"/>
        <v>1.111111111111111E-2</v>
      </c>
      <c r="Q53" s="46"/>
      <c r="R53" s="45">
        <f t="shared" si="5"/>
        <v>0</v>
      </c>
      <c r="S53" s="46">
        <f t="shared" si="6"/>
        <v>0</v>
      </c>
      <c r="T53" s="46">
        <f>IFERROR(VLOOKUP(A53,'[1]Re-order'!$A:$Q,17,0),"")</f>
        <v>112.7848101265823</v>
      </c>
      <c r="U53" s="46">
        <f>IFERROR(VLOOKUP(A53,'[1]MC Masterlist 2026-09-12'!$B:$M, 10, 0),0)</f>
        <v>15</v>
      </c>
      <c r="V53" s="46">
        <f>IFERROR(VLOOKUP(A53,'[1]MC Masterlist 2026-09-12'!$B:$M, 11, 0),0)</f>
        <v>15</v>
      </c>
      <c r="W53" s="46">
        <f t="shared" si="7"/>
        <v>30</v>
      </c>
      <c r="X53" s="46">
        <f t="shared" si="8"/>
        <v>6.833333333333333</v>
      </c>
      <c r="Y53" s="46">
        <f>IFERROR(IF(OR(C53="AREA I",C53="AREA V"),7,VLOOKUP(A53,'[1]MC Masterlist 2026-09-12'!$B:$M, 12, 0)),0)</f>
        <v>7</v>
      </c>
      <c r="Z53" s="46">
        <f t="shared" si="9"/>
        <v>0.16666666666666666</v>
      </c>
      <c r="AA53" s="46">
        <f t="shared" si="10"/>
        <v>0.33333333333333331</v>
      </c>
      <c r="AB53" s="46">
        <f t="shared" si="11"/>
        <v>7.5925925925925911E-2</v>
      </c>
      <c r="AC53" s="46">
        <f t="shared" si="12"/>
        <v>7.7777777777777765E-2</v>
      </c>
      <c r="AD53" s="44" t="str">
        <f t="shared" si="13"/>
        <v>Stockout</v>
      </c>
      <c r="AE53" s="44" t="str">
        <f>IFERROR(VLOOKUP(A53,'[1]Re-order'!$A:$AA,27,0),"")</f>
        <v>Over</v>
      </c>
      <c r="AF53" s="46">
        <f t="shared" si="14"/>
        <v>7.7777777777777765E-2</v>
      </c>
      <c r="AG53" s="46">
        <f>SUMIFS('[1]Raw Inventory'!D:D,'[1]Raw Inventory'!C:C,"GREATWALL",'[1]Raw Inventory'!B:B,A53)</f>
        <v>64</v>
      </c>
      <c r="AH53" s="46">
        <f>SUMIFS('[1]Raw Inventory'!D:D,'[1]Raw Inventory'!C:C,"DUARTE",'[1]Raw Inventory'!B:B,A53)</f>
        <v>0</v>
      </c>
      <c r="AI53" s="46"/>
      <c r="AJ53" s="46"/>
      <c r="AK53" s="43"/>
      <c r="AL53" s="43"/>
      <c r="AM53" s="43"/>
      <c r="AN53" s="43"/>
      <c r="AO53" s="43"/>
      <c r="AP53" s="43"/>
      <c r="AQ53" s="43"/>
      <c r="AR53" s="43"/>
      <c r="AS53" s="43"/>
      <c r="AT53" s="43"/>
    </row>
    <row r="54" spans="1:46">
      <c r="A54" s="43" t="s">
        <v>64</v>
      </c>
      <c r="B54" s="43" t="s">
        <v>248</v>
      </c>
      <c r="C54" s="43"/>
      <c r="D54" s="44" t="s">
        <v>250</v>
      </c>
      <c r="E54" s="44">
        <v>1</v>
      </c>
      <c r="F54" s="44" t="s">
        <v>0</v>
      </c>
      <c r="G54" s="43" t="str">
        <f>IFERROR(VLOOKUP(A54,'[1]MC Masterlist 2026-09-12'!$B:$M, 3, 0),"")</f>
        <v>HONDA</v>
      </c>
      <c r="H54" s="45">
        <f>IFERROR(VLOOKUP(A54,'[1]MC Masterlist 2026-09-12'!$B:$M, 6, 0),"")</f>
        <v>73170</v>
      </c>
      <c r="I54" s="46">
        <v>0</v>
      </c>
      <c r="J54" s="46">
        <v>0</v>
      </c>
      <c r="K54" s="46">
        <v>0</v>
      </c>
      <c r="L54" s="46">
        <f t="shared" si="0"/>
        <v>0</v>
      </c>
      <c r="M54" s="46">
        <f t="shared" si="1"/>
        <v>0</v>
      </c>
      <c r="N54" s="45">
        <f t="shared" si="2"/>
        <v>0</v>
      </c>
      <c r="O54" s="45">
        <f t="shared" si="3"/>
        <v>0</v>
      </c>
      <c r="P54" s="46">
        <f t="shared" si="4"/>
        <v>0</v>
      </c>
      <c r="Q54" s="46">
        <v>2</v>
      </c>
      <c r="R54" s="45">
        <f t="shared" si="5"/>
        <v>146340</v>
      </c>
      <c r="S54" s="46">
        <f t="shared" si="6"/>
        <v>0</v>
      </c>
      <c r="T54" s="46">
        <f>IFERROR(VLOOKUP(A54,'[1]Re-order'!$A:$Q,17,0),"")</f>
        <v>76.153846153846146</v>
      </c>
      <c r="U54" s="46">
        <f>IFERROR(VLOOKUP(A54,'[1]MC Masterlist 2026-09-12'!$B:$M, 10, 0),0)</f>
        <v>15</v>
      </c>
      <c r="V54" s="46">
        <f>IFERROR(VLOOKUP(A54,'[1]MC Masterlist 2026-09-12'!$B:$M, 11, 0),0)</f>
        <v>15</v>
      </c>
      <c r="W54" s="46">
        <f t="shared" si="7"/>
        <v>30</v>
      </c>
      <c r="X54" s="46">
        <f t="shared" si="8"/>
        <v>30</v>
      </c>
      <c r="Y54" s="46">
        <f>IFERROR(IF(OR(C54="AREA I",C54="AREA V"),7,VLOOKUP(A54,'[1]MC Masterlist 2026-09-12'!$B:$M, 12, 0)),0)</f>
        <v>30</v>
      </c>
      <c r="Z54" s="46">
        <f t="shared" si="9"/>
        <v>0</v>
      </c>
      <c r="AA54" s="46">
        <f t="shared" si="10"/>
        <v>0</v>
      </c>
      <c r="AB54" s="46">
        <f t="shared" si="11"/>
        <v>0</v>
      </c>
      <c r="AC54" s="46">
        <f t="shared" si="12"/>
        <v>0</v>
      </c>
      <c r="AD54" s="44" t="str">
        <f t="shared" si="13"/>
        <v>Over</v>
      </c>
      <c r="AE54" s="44" t="str">
        <f>IFERROR(VLOOKUP(A54,'[1]Re-order'!$A:$AA,27,0),"")</f>
        <v/>
      </c>
      <c r="AF54" s="46">
        <f t="shared" si="14"/>
        <v>-2</v>
      </c>
      <c r="AG54" s="46">
        <f>SUMIFS('[1]Raw Inventory'!D:D,'[1]Raw Inventory'!C:C,"GREATWALL",'[1]Raw Inventory'!B:B,A54)</f>
        <v>13</v>
      </c>
      <c r="AH54" s="46">
        <f>SUMIFS('[1]Raw Inventory'!D:D,'[1]Raw Inventory'!C:C,"DUARTE",'[1]Raw Inventory'!B:B,A54)</f>
        <v>0</v>
      </c>
      <c r="AI54" s="46"/>
      <c r="AJ54" s="46"/>
      <c r="AK54" s="43"/>
      <c r="AL54" s="43"/>
      <c r="AM54" s="43"/>
      <c r="AN54" s="43"/>
      <c r="AO54" s="43"/>
      <c r="AP54" s="43"/>
      <c r="AQ54" s="43"/>
      <c r="AR54" s="43"/>
      <c r="AS54" s="43"/>
      <c r="AT54" s="43"/>
    </row>
    <row r="55" spans="1:46">
      <c r="A55" s="43" t="s">
        <v>26</v>
      </c>
      <c r="B55" s="43" t="s">
        <v>160</v>
      </c>
      <c r="C55" s="43" t="s">
        <v>159</v>
      </c>
      <c r="D55" s="44" t="s">
        <v>237</v>
      </c>
      <c r="E55" s="44">
        <v>24</v>
      </c>
      <c r="F55" s="44" t="s">
        <v>3</v>
      </c>
      <c r="G55" s="43" t="str">
        <f>IFERROR(VLOOKUP(A55,'[1]MC Masterlist 2026-09-12'!$B:$M, 3, 0),"")</f>
        <v>SUZUKI</v>
      </c>
      <c r="H55" s="45">
        <f>IFERROR(VLOOKUP(A55,'[1]MC Masterlist 2026-09-12'!$B:$M, 6, 0),"")</f>
        <v>123700</v>
      </c>
      <c r="I55" s="46">
        <v>0</v>
      </c>
      <c r="J55" s="46">
        <v>0</v>
      </c>
      <c r="K55" s="46">
        <v>0</v>
      </c>
      <c r="L55" s="46">
        <f t="shared" si="0"/>
        <v>0</v>
      </c>
      <c r="M55" s="46">
        <f t="shared" si="1"/>
        <v>0</v>
      </c>
      <c r="N55" s="45">
        <f t="shared" si="2"/>
        <v>0</v>
      </c>
      <c r="O55" s="45">
        <f t="shared" si="3"/>
        <v>0</v>
      </c>
      <c r="P55" s="46">
        <f t="shared" si="4"/>
        <v>0</v>
      </c>
      <c r="Q55" s="46">
        <v>2</v>
      </c>
      <c r="R55" s="45">
        <f t="shared" si="5"/>
        <v>247400</v>
      </c>
      <c r="S55" s="46">
        <f t="shared" si="6"/>
        <v>0</v>
      </c>
      <c r="T55" s="46">
        <f>IFERROR(VLOOKUP(A55,'[1]Re-order'!$A:$Q,17,0),"")</f>
        <v>71.470588235294116</v>
      </c>
      <c r="U55" s="46">
        <f>IFERROR(VLOOKUP(A55,'[1]MC Masterlist 2026-09-12'!$B:$M, 10, 0),0)</f>
        <v>15</v>
      </c>
      <c r="V55" s="46">
        <f>IFERROR(VLOOKUP(A55,'[1]MC Masterlist 2026-09-12'!$B:$M, 11, 0),0)</f>
        <v>15</v>
      </c>
      <c r="W55" s="46">
        <f t="shared" si="7"/>
        <v>30</v>
      </c>
      <c r="X55" s="46">
        <f t="shared" si="8"/>
        <v>30</v>
      </c>
      <c r="Y55" s="46">
        <f>IFERROR(IF(OR(C55="AREA I",C55="AREA V"),7,VLOOKUP(A55,'[1]MC Masterlist 2026-09-12'!$B:$M, 12, 0)),0)</f>
        <v>30</v>
      </c>
      <c r="Z55" s="46">
        <f t="shared" si="9"/>
        <v>0</v>
      </c>
      <c r="AA55" s="46">
        <f t="shared" si="10"/>
        <v>0</v>
      </c>
      <c r="AB55" s="46">
        <f t="shared" si="11"/>
        <v>0</v>
      </c>
      <c r="AC55" s="46">
        <f t="shared" si="12"/>
        <v>0</v>
      </c>
      <c r="AD55" s="44" t="str">
        <f t="shared" si="13"/>
        <v>Over</v>
      </c>
      <c r="AE55" s="44" t="str">
        <f>IFERROR(VLOOKUP(A55,'[1]Re-order'!$A:$AA,27,0),"")</f>
        <v>Re-order</v>
      </c>
      <c r="AF55" s="46">
        <f t="shared" si="14"/>
        <v>-2</v>
      </c>
      <c r="AG55" s="46">
        <f>SUMIFS('[1]Raw Inventory'!D:D,'[1]Raw Inventory'!C:C,"GREATWALL",'[1]Raw Inventory'!B:B,A55)</f>
        <v>30</v>
      </c>
      <c r="AH55" s="46">
        <f>SUMIFS('[1]Raw Inventory'!D:D,'[1]Raw Inventory'!C:C,"DUARTE",'[1]Raw Inventory'!B:B,A55)</f>
        <v>0</v>
      </c>
      <c r="AI55" s="46"/>
      <c r="AJ55" s="46"/>
      <c r="AK55" s="43"/>
      <c r="AL55" s="43"/>
      <c r="AM55" s="43"/>
      <c r="AN55" s="43"/>
      <c r="AO55" s="43"/>
      <c r="AP55" s="43"/>
      <c r="AQ55" s="43"/>
      <c r="AR55" s="43"/>
      <c r="AS55" s="43"/>
      <c r="AT55" s="43"/>
    </row>
    <row r="56" spans="1:46">
      <c r="A56" s="43" t="s">
        <v>61</v>
      </c>
      <c r="B56" s="43" t="s">
        <v>29</v>
      </c>
      <c r="C56" s="43" t="s">
        <v>1</v>
      </c>
      <c r="D56" s="44" t="s">
        <v>223</v>
      </c>
      <c r="E56" s="44">
        <v>26</v>
      </c>
      <c r="F56" s="44" t="s">
        <v>3</v>
      </c>
      <c r="G56" s="43" t="str">
        <f>IFERROR(VLOOKUP(A56,'[1]MC Masterlist 2026-09-12'!$B:$M, 3, 0),"")</f>
        <v>HONDA</v>
      </c>
      <c r="H56" s="45">
        <f>IFERROR(VLOOKUP(A56,'[1]MC Masterlist 2026-09-12'!$B:$M, 6, 0),"")</f>
        <v>63510</v>
      </c>
      <c r="I56" s="46">
        <v>0</v>
      </c>
      <c r="J56" s="46">
        <v>2</v>
      </c>
      <c r="K56" s="46">
        <v>0</v>
      </c>
      <c r="L56" s="46">
        <f t="shared" si="0"/>
        <v>2</v>
      </c>
      <c r="M56" s="46">
        <f t="shared" si="1"/>
        <v>0.66666666666666663</v>
      </c>
      <c r="N56" s="45">
        <f t="shared" si="2"/>
        <v>127020</v>
      </c>
      <c r="O56" s="45">
        <f t="shared" si="3"/>
        <v>42340</v>
      </c>
      <c r="P56" s="46">
        <f t="shared" si="4"/>
        <v>2.222222222222222E-2</v>
      </c>
      <c r="Q56" s="46"/>
      <c r="R56" s="45">
        <f t="shared" si="5"/>
        <v>0</v>
      </c>
      <c r="S56" s="46">
        <f t="shared" si="6"/>
        <v>0</v>
      </c>
      <c r="T56" s="46">
        <f>IFERROR(VLOOKUP(A56,'[1]Re-order'!$A:$Q,17,0),"")</f>
        <v>135</v>
      </c>
      <c r="U56" s="46">
        <f>IFERROR(VLOOKUP(A56,'[1]MC Masterlist 2026-09-12'!$B:$M, 10, 0),0)</f>
        <v>15</v>
      </c>
      <c r="V56" s="46">
        <f>IFERROR(VLOOKUP(A56,'[1]MC Masterlist 2026-09-12'!$B:$M, 11, 0),0)</f>
        <v>15</v>
      </c>
      <c r="W56" s="46">
        <f t="shared" si="7"/>
        <v>30</v>
      </c>
      <c r="X56" s="46">
        <f t="shared" si="8"/>
        <v>6.666666666666667</v>
      </c>
      <c r="Y56" s="46">
        <f>IFERROR(IF(OR(C56="AREA I",C56="AREA V"),7,VLOOKUP(A56,'[1]MC Masterlist 2026-09-12'!$B:$M, 12, 0)),0)</f>
        <v>7</v>
      </c>
      <c r="Z56" s="46">
        <f t="shared" si="9"/>
        <v>0.33333333333333331</v>
      </c>
      <c r="AA56" s="46">
        <f t="shared" si="10"/>
        <v>0.66666666666666663</v>
      </c>
      <c r="AB56" s="46">
        <f t="shared" si="11"/>
        <v>0.14814814814814814</v>
      </c>
      <c r="AC56" s="46">
        <f t="shared" si="12"/>
        <v>0.15555555555555553</v>
      </c>
      <c r="AD56" s="44" t="str">
        <f t="shared" si="13"/>
        <v>Stockout</v>
      </c>
      <c r="AE56" s="44" t="str">
        <f>IFERROR(VLOOKUP(A56,'[1]Re-order'!$A:$AA,27,0),"")</f>
        <v>Over</v>
      </c>
      <c r="AF56" s="46">
        <f t="shared" si="14"/>
        <v>0.15555555555555553</v>
      </c>
      <c r="AG56" s="46">
        <f>SUMIFS('[1]Raw Inventory'!D:D,'[1]Raw Inventory'!C:C,"GREATWALL",'[1]Raw Inventory'!B:B,A56)</f>
        <v>1</v>
      </c>
      <c r="AH56" s="46">
        <f>SUMIFS('[1]Raw Inventory'!D:D,'[1]Raw Inventory'!C:C,"DUARTE",'[1]Raw Inventory'!B:B,A56)</f>
        <v>0</v>
      </c>
      <c r="AI56" s="46"/>
      <c r="AJ56" s="46"/>
      <c r="AK56" s="43"/>
      <c r="AL56" s="43"/>
      <c r="AM56" s="43"/>
      <c r="AN56" s="43"/>
      <c r="AO56" s="43"/>
      <c r="AP56" s="43"/>
      <c r="AQ56" s="43"/>
      <c r="AR56" s="43"/>
      <c r="AS56" s="43"/>
      <c r="AT56" s="43"/>
    </row>
    <row r="57" spans="1:46">
      <c r="A57" s="43" t="s">
        <v>26</v>
      </c>
      <c r="B57" s="43" t="s">
        <v>27</v>
      </c>
      <c r="C57" s="43" t="s">
        <v>1</v>
      </c>
      <c r="D57" s="44" t="s">
        <v>233</v>
      </c>
      <c r="E57" s="44">
        <v>10</v>
      </c>
      <c r="F57" s="44" t="s">
        <v>2</v>
      </c>
      <c r="G57" s="43" t="str">
        <f>IFERROR(VLOOKUP(A57,'[1]MC Masterlist 2026-09-12'!$B:$M, 3, 0),"")</f>
        <v>SUZUKI</v>
      </c>
      <c r="H57" s="45">
        <f>IFERROR(VLOOKUP(A57,'[1]MC Masterlist 2026-09-12'!$B:$M, 6, 0),"")</f>
        <v>123700</v>
      </c>
      <c r="I57" s="46">
        <v>5</v>
      </c>
      <c r="J57" s="46">
        <v>2</v>
      </c>
      <c r="K57" s="46">
        <v>1</v>
      </c>
      <c r="L57" s="46">
        <f t="shared" si="0"/>
        <v>8</v>
      </c>
      <c r="M57" s="46">
        <f t="shared" si="1"/>
        <v>2.6666666666666665</v>
      </c>
      <c r="N57" s="45">
        <f t="shared" si="2"/>
        <v>989600</v>
      </c>
      <c r="O57" s="45">
        <f t="shared" si="3"/>
        <v>329866.66666666663</v>
      </c>
      <c r="P57" s="46">
        <f t="shared" si="4"/>
        <v>8.8888888888888878E-2</v>
      </c>
      <c r="Q57" s="46">
        <v>5</v>
      </c>
      <c r="R57" s="45">
        <f t="shared" si="5"/>
        <v>618500</v>
      </c>
      <c r="S57" s="46">
        <f t="shared" si="6"/>
        <v>56.250000000000007</v>
      </c>
      <c r="T57" s="46">
        <f>IFERROR(VLOOKUP(A57,'[1]Re-order'!$A:$Q,17,0),"")</f>
        <v>71.470588235294116</v>
      </c>
      <c r="U57" s="46">
        <f>IFERROR(VLOOKUP(A57,'[1]MC Masterlist 2026-09-12'!$B:$M, 10, 0),0)</f>
        <v>15</v>
      </c>
      <c r="V57" s="46">
        <f>IFERROR(VLOOKUP(A57,'[1]MC Masterlist 2026-09-12'!$B:$M, 11, 0),0)</f>
        <v>15</v>
      </c>
      <c r="W57" s="46">
        <f t="shared" si="7"/>
        <v>30</v>
      </c>
      <c r="X57" s="46">
        <f t="shared" si="8"/>
        <v>5.666666666666667</v>
      </c>
      <c r="Y57" s="46">
        <f>IFERROR(IF(OR(C57="AREA I",C57="AREA V"),7,VLOOKUP(A57,'[1]MC Masterlist 2026-09-12'!$B:$M, 12, 0)),0)</f>
        <v>7</v>
      </c>
      <c r="Z57" s="46">
        <f t="shared" si="9"/>
        <v>1.3333333333333333</v>
      </c>
      <c r="AA57" s="46">
        <f t="shared" si="10"/>
        <v>2.6666666666666665</v>
      </c>
      <c r="AB57" s="46">
        <f t="shared" si="11"/>
        <v>0.50370370370370365</v>
      </c>
      <c r="AC57" s="46">
        <f t="shared" si="12"/>
        <v>0.62222222222222212</v>
      </c>
      <c r="AD57" s="44" t="str">
        <f t="shared" si="13"/>
        <v>Over</v>
      </c>
      <c r="AE57" s="44" t="str">
        <f>IFERROR(VLOOKUP(A57,'[1]Re-order'!$A:$AA,27,0),"")</f>
        <v>Re-order</v>
      </c>
      <c r="AF57" s="46">
        <f t="shared" si="14"/>
        <v>-4.3777777777777782</v>
      </c>
      <c r="AG57" s="46">
        <f>SUMIFS('[1]Raw Inventory'!D:D,'[1]Raw Inventory'!C:C,"GREATWALL",'[1]Raw Inventory'!B:B,A57)</f>
        <v>30</v>
      </c>
      <c r="AH57" s="46">
        <f>SUMIFS('[1]Raw Inventory'!D:D,'[1]Raw Inventory'!C:C,"DUARTE",'[1]Raw Inventory'!B:B,A57)</f>
        <v>0</v>
      </c>
      <c r="AI57" s="46"/>
      <c r="AJ57" s="46"/>
      <c r="AK57" s="43"/>
      <c r="AL57" s="43"/>
      <c r="AM57" s="43"/>
      <c r="AN57" s="43"/>
      <c r="AO57" s="43"/>
      <c r="AP57" s="43"/>
      <c r="AQ57" s="43"/>
      <c r="AR57" s="43"/>
      <c r="AS57" s="43"/>
      <c r="AT57" s="43"/>
    </row>
    <row r="58" spans="1:46">
      <c r="A58" s="43" t="s">
        <v>62</v>
      </c>
      <c r="B58" s="43" t="s">
        <v>11</v>
      </c>
      <c r="C58" s="43" t="s">
        <v>1</v>
      </c>
      <c r="D58" s="44" t="s">
        <v>247</v>
      </c>
      <c r="E58" s="44">
        <v>19</v>
      </c>
      <c r="F58" s="44" t="s">
        <v>3</v>
      </c>
      <c r="G58" s="43" t="str">
        <f>IFERROR(VLOOKUP(A58,'[1]MC Masterlist 2026-09-12'!$B:$M, 3, 0),"")</f>
        <v>HONDA</v>
      </c>
      <c r="H58" s="45">
        <f>IFERROR(VLOOKUP(A58,'[1]MC Masterlist 2026-09-12'!$B:$M, 6, 0),"")</f>
        <v>123310</v>
      </c>
      <c r="I58" s="46">
        <v>0</v>
      </c>
      <c r="J58" s="46">
        <v>0</v>
      </c>
      <c r="K58" s="46">
        <v>1</v>
      </c>
      <c r="L58" s="46">
        <f t="shared" si="0"/>
        <v>1</v>
      </c>
      <c r="M58" s="46">
        <f t="shared" si="1"/>
        <v>0.33333333333333331</v>
      </c>
      <c r="N58" s="45">
        <f t="shared" si="2"/>
        <v>123310</v>
      </c>
      <c r="O58" s="45">
        <f t="shared" si="3"/>
        <v>41103.333333333328</v>
      </c>
      <c r="P58" s="46">
        <f t="shared" si="4"/>
        <v>1.111111111111111E-2</v>
      </c>
      <c r="Q58" s="46"/>
      <c r="R58" s="45">
        <f t="shared" si="5"/>
        <v>0</v>
      </c>
      <c r="S58" s="46">
        <f t="shared" si="6"/>
        <v>0</v>
      </c>
      <c r="T58" s="46">
        <f>IFERROR(VLOOKUP(A58,'[1]Re-order'!$A:$Q,17,0),"")</f>
        <v>165</v>
      </c>
      <c r="U58" s="46">
        <f>IFERROR(VLOOKUP(A58,'[1]MC Masterlist 2026-09-12'!$B:$M, 10, 0),0)</f>
        <v>15</v>
      </c>
      <c r="V58" s="46">
        <f>IFERROR(VLOOKUP(A58,'[1]MC Masterlist 2026-09-12'!$B:$M, 11, 0),0)</f>
        <v>15</v>
      </c>
      <c r="W58" s="46">
        <f t="shared" si="7"/>
        <v>30</v>
      </c>
      <c r="X58" s="46">
        <f t="shared" si="8"/>
        <v>6.833333333333333</v>
      </c>
      <c r="Y58" s="46">
        <f>IFERROR(IF(OR(C58="AREA I",C58="AREA V"),7,VLOOKUP(A58,'[1]MC Masterlist 2026-09-12'!$B:$M, 12, 0)),0)</f>
        <v>7</v>
      </c>
      <c r="Z58" s="46">
        <f t="shared" si="9"/>
        <v>0.16666666666666666</v>
      </c>
      <c r="AA58" s="46">
        <f t="shared" si="10"/>
        <v>0.33333333333333331</v>
      </c>
      <c r="AB58" s="46">
        <f t="shared" si="11"/>
        <v>7.5925925925925911E-2</v>
      </c>
      <c r="AC58" s="46">
        <f t="shared" si="12"/>
        <v>7.7777777777777765E-2</v>
      </c>
      <c r="AD58" s="44" t="str">
        <f t="shared" si="13"/>
        <v>Stockout</v>
      </c>
      <c r="AE58" s="44" t="str">
        <f>IFERROR(VLOOKUP(A58,'[1]Re-order'!$A:$AA,27,0),"")</f>
        <v>Over</v>
      </c>
      <c r="AF58" s="46">
        <f t="shared" si="14"/>
        <v>7.7777777777777765E-2</v>
      </c>
      <c r="AG58" s="46">
        <f>SUMIFS('[1]Raw Inventory'!D:D,'[1]Raw Inventory'!C:C,"GREATWALL",'[1]Raw Inventory'!B:B,A58)</f>
        <v>4</v>
      </c>
      <c r="AH58" s="46">
        <f>SUMIFS('[1]Raw Inventory'!D:D,'[1]Raw Inventory'!C:C,"DUARTE",'[1]Raw Inventory'!B:B,A58)</f>
        <v>0</v>
      </c>
      <c r="AI58" s="46"/>
      <c r="AJ58" s="46"/>
      <c r="AK58" s="43"/>
      <c r="AL58" s="43"/>
      <c r="AM58" s="43"/>
      <c r="AN58" s="43"/>
      <c r="AO58" s="43"/>
      <c r="AP58" s="43"/>
      <c r="AQ58" s="43"/>
      <c r="AR58" s="43"/>
      <c r="AS58" s="43"/>
      <c r="AT58" s="43"/>
    </row>
    <row r="59" spans="1:46">
      <c r="A59" s="43" t="s">
        <v>24</v>
      </c>
      <c r="B59" s="43" t="s">
        <v>30</v>
      </c>
      <c r="C59" s="43" t="s">
        <v>1</v>
      </c>
      <c r="D59" s="44" t="s">
        <v>251</v>
      </c>
      <c r="E59" s="44">
        <v>8</v>
      </c>
      <c r="F59" s="44" t="s">
        <v>0</v>
      </c>
      <c r="G59" s="43" t="str">
        <f>IFERROR(VLOOKUP(A59,'[1]MC Masterlist 2026-09-12'!$B:$M, 3, 0),"")</f>
        <v>KAWASAKI</v>
      </c>
      <c r="H59" s="45">
        <f>IFERROR(VLOOKUP(A59,'[1]MC Masterlist 2026-09-12'!$B:$M, 6, 0),"")</f>
        <v>131626</v>
      </c>
      <c r="I59" s="46">
        <v>3</v>
      </c>
      <c r="J59" s="46">
        <v>1</v>
      </c>
      <c r="K59" s="46">
        <v>2</v>
      </c>
      <c r="L59" s="46">
        <f t="shared" si="0"/>
        <v>6</v>
      </c>
      <c r="M59" s="46">
        <f t="shared" si="1"/>
        <v>2</v>
      </c>
      <c r="N59" s="45">
        <f t="shared" si="2"/>
        <v>789756</v>
      </c>
      <c r="O59" s="45">
        <f t="shared" si="3"/>
        <v>263252</v>
      </c>
      <c r="P59" s="46">
        <f t="shared" si="4"/>
        <v>6.6666666666666666E-2</v>
      </c>
      <c r="Q59" s="46">
        <v>5</v>
      </c>
      <c r="R59" s="45">
        <f t="shared" si="5"/>
        <v>658130</v>
      </c>
      <c r="S59" s="46">
        <f t="shared" si="6"/>
        <v>75</v>
      </c>
      <c r="T59" s="46">
        <f>IFERROR(VLOOKUP(A59,'[1]Re-order'!$A:$Q,17,0),"")</f>
        <v>40.677966101694913</v>
      </c>
      <c r="U59" s="46">
        <f>IFERROR(VLOOKUP(A59,'[1]MC Masterlist 2026-09-12'!$B:$M, 10, 0),0)</f>
        <v>15</v>
      </c>
      <c r="V59" s="46">
        <f>IFERROR(VLOOKUP(A59,'[1]MC Masterlist 2026-09-12'!$B:$M, 11, 0),0)</f>
        <v>15</v>
      </c>
      <c r="W59" s="46">
        <f t="shared" si="7"/>
        <v>30</v>
      </c>
      <c r="X59" s="46">
        <f t="shared" si="8"/>
        <v>6</v>
      </c>
      <c r="Y59" s="46">
        <f>IFERROR(IF(OR(C59="AREA I",C59="AREA V"),7,VLOOKUP(A59,'[1]MC Masterlist 2026-09-12'!$B:$M, 12, 0)),0)</f>
        <v>7</v>
      </c>
      <c r="Z59" s="46">
        <f t="shared" si="9"/>
        <v>1</v>
      </c>
      <c r="AA59" s="46">
        <f t="shared" si="10"/>
        <v>2</v>
      </c>
      <c r="AB59" s="46">
        <f t="shared" si="11"/>
        <v>0.4</v>
      </c>
      <c r="AC59" s="46">
        <f t="shared" si="12"/>
        <v>0.46666666666666667</v>
      </c>
      <c r="AD59" s="44" t="str">
        <f t="shared" si="13"/>
        <v>Over</v>
      </c>
      <c r="AE59" s="44" t="str">
        <f>IFERROR(VLOOKUP(A59,'[1]Re-order'!$A:$AA,27,0),"")</f>
        <v>Re-order</v>
      </c>
      <c r="AF59" s="46">
        <f t="shared" si="14"/>
        <v>-4.5333333333333332</v>
      </c>
      <c r="AG59" s="46">
        <f>SUMIFS('[1]Raw Inventory'!D:D,'[1]Raw Inventory'!C:C,"GREATWALL",'[1]Raw Inventory'!B:B,A59)</f>
        <v>12</v>
      </c>
      <c r="AH59" s="46">
        <f>SUMIFS('[1]Raw Inventory'!D:D,'[1]Raw Inventory'!C:C,"DUARTE",'[1]Raw Inventory'!B:B,A59)</f>
        <v>0</v>
      </c>
      <c r="AI59" s="46"/>
      <c r="AJ59" s="46"/>
      <c r="AK59" s="43"/>
      <c r="AL59" s="43"/>
      <c r="AM59" s="43"/>
      <c r="AN59" s="43"/>
      <c r="AO59" s="43"/>
      <c r="AP59" s="43"/>
      <c r="AQ59" s="43"/>
      <c r="AR59" s="43"/>
      <c r="AS59" s="43"/>
      <c r="AT59" s="43"/>
    </row>
    <row r="60" spans="1:46">
      <c r="A60" s="43" t="s">
        <v>39</v>
      </c>
      <c r="B60" s="43" t="s">
        <v>27</v>
      </c>
      <c r="C60" s="43" t="s">
        <v>1</v>
      </c>
      <c r="D60" s="44" t="s">
        <v>221</v>
      </c>
      <c r="E60" s="44">
        <v>20</v>
      </c>
      <c r="F60" s="44" t="s">
        <v>3</v>
      </c>
      <c r="G60" s="43" t="str">
        <f>IFERROR(VLOOKUP(A60,'[1]MC Masterlist 2026-09-12'!$B:$M, 3, 0),"")</f>
        <v>HONDA</v>
      </c>
      <c r="H60" s="45">
        <f>IFERROR(VLOOKUP(A60,'[1]MC Masterlist 2026-09-12'!$B:$M, 6, 0),"")</f>
        <v>72434</v>
      </c>
      <c r="I60" s="46">
        <v>1</v>
      </c>
      <c r="J60" s="46">
        <v>0</v>
      </c>
      <c r="K60" s="46">
        <v>2</v>
      </c>
      <c r="L60" s="46">
        <f t="shared" si="0"/>
        <v>3</v>
      </c>
      <c r="M60" s="46">
        <f t="shared" si="1"/>
        <v>1</v>
      </c>
      <c r="N60" s="45">
        <f t="shared" si="2"/>
        <v>217302</v>
      </c>
      <c r="O60" s="45">
        <f t="shared" si="3"/>
        <v>72434</v>
      </c>
      <c r="P60" s="46">
        <f t="shared" si="4"/>
        <v>3.3333333333333333E-2</v>
      </c>
      <c r="Q60" s="46">
        <v>1</v>
      </c>
      <c r="R60" s="45">
        <f t="shared" si="5"/>
        <v>72434</v>
      </c>
      <c r="S60" s="46">
        <f t="shared" si="6"/>
        <v>30</v>
      </c>
      <c r="T60" s="46">
        <f>IFERROR(VLOOKUP(A60,'[1]Re-order'!$A:$Q,17,0),"")</f>
        <v>40.982142857142854</v>
      </c>
      <c r="U60" s="46">
        <f>IFERROR(VLOOKUP(A60,'[1]MC Masterlist 2026-09-12'!$B:$M, 10, 0),0)</f>
        <v>15</v>
      </c>
      <c r="V60" s="46">
        <f>IFERROR(VLOOKUP(A60,'[1]MC Masterlist 2026-09-12'!$B:$M, 11, 0),0)</f>
        <v>15</v>
      </c>
      <c r="W60" s="46">
        <f t="shared" si="7"/>
        <v>30</v>
      </c>
      <c r="X60" s="46">
        <f t="shared" si="8"/>
        <v>6.5</v>
      </c>
      <c r="Y60" s="46">
        <f>IFERROR(IF(OR(C60="AREA I",C60="AREA V"),7,VLOOKUP(A60,'[1]MC Masterlist 2026-09-12'!$B:$M, 12, 0)),0)</f>
        <v>7</v>
      </c>
      <c r="Z60" s="46">
        <f t="shared" si="9"/>
        <v>0.5</v>
      </c>
      <c r="AA60" s="46">
        <f t="shared" si="10"/>
        <v>1</v>
      </c>
      <c r="AB60" s="46">
        <f t="shared" si="11"/>
        <v>0.21666666666666667</v>
      </c>
      <c r="AC60" s="46">
        <f t="shared" si="12"/>
        <v>0.23333333333333334</v>
      </c>
      <c r="AD60" s="44" t="str">
        <f t="shared" si="13"/>
        <v>Over</v>
      </c>
      <c r="AE60" s="44" t="str">
        <f>IFERROR(VLOOKUP(A60,'[1]Re-order'!$A:$AA,27,0),"")</f>
        <v>Re-order</v>
      </c>
      <c r="AF60" s="46">
        <f t="shared" si="14"/>
        <v>-0.76666666666666661</v>
      </c>
      <c r="AG60" s="46">
        <f>SUMIFS('[1]Raw Inventory'!D:D,'[1]Raw Inventory'!C:C,"GREATWALL",'[1]Raw Inventory'!B:B,A60)</f>
        <v>16</v>
      </c>
      <c r="AH60" s="46">
        <f>SUMIFS('[1]Raw Inventory'!D:D,'[1]Raw Inventory'!C:C,"DUARTE",'[1]Raw Inventory'!B:B,A60)</f>
        <v>0</v>
      </c>
      <c r="AI60" s="46"/>
      <c r="AJ60" s="46"/>
      <c r="AK60" s="43"/>
      <c r="AL60" s="43"/>
      <c r="AM60" s="43"/>
      <c r="AN60" s="43"/>
      <c r="AO60" s="43"/>
      <c r="AP60" s="43"/>
      <c r="AQ60" s="43"/>
      <c r="AR60" s="43"/>
      <c r="AS60" s="43"/>
      <c r="AT60" s="43"/>
    </row>
    <row r="61" spans="1:46">
      <c r="A61" s="43" t="s">
        <v>52</v>
      </c>
      <c r="B61" s="43" t="s">
        <v>131</v>
      </c>
      <c r="C61" s="43" t="s">
        <v>128</v>
      </c>
      <c r="D61" s="44" t="s">
        <v>231</v>
      </c>
      <c r="E61" s="44">
        <v>23</v>
      </c>
      <c r="F61" s="44" t="s">
        <v>3</v>
      </c>
      <c r="G61" s="43" t="str">
        <f>IFERROR(VLOOKUP(A61,'[1]MC Masterlist 2026-09-12'!$B:$M, 3, 0),"")</f>
        <v>YAMAHA</v>
      </c>
      <c r="H61" s="45">
        <f>IFERROR(VLOOKUP(A61,'[1]MC Masterlist 2026-09-12'!$B:$M, 6, 0),"")</f>
        <v>85446</v>
      </c>
      <c r="I61" s="46">
        <v>0</v>
      </c>
      <c r="J61" s="46">
        <v>0</v>
      </c>
      <c r="K61" s="46">
        <v>0</v>
      </c>
      <c r="L61" s="46">
        <f t="shared" si="0"/>
        <v>0</v>
      </c>
      <c r="M61" s="46">
        <f t="shared" si="1"/>
        <v>0</v>
      </c>
      <c r="N61" s="45">
        <f t="shared" si="2"/>
        <v>0</v>
      </c>
      <c r="O61" s="45">
        <f t="shared" si="3"/>
        <v>0</v>
      </c>
      <c r="P61" s="46">
        <f t="shared" si="4"/>
        <v>0</v>
      </c>
      <c r="Q61" s="46">
        <v>1</v>
      </c>
      <c r="R61" s="45">
        <f t="shared" si="5"/>
        <v>85446</v>
      </c>
      <c r="S61" s="46">
        <f t="shared" si="6"/>
        <v>0</v>
      </c>
      <c r="T61" s="46">
        <f>IFERROR(VLOOKUP(A61,'[1]Re-order'!$A:$Q,17,0),"")</f>
        <v>95.454545454545453</v>
      </c>
      <c r="U61" s="46">
        <f>IFERROR(VLOOKUP(A61,'[1]MC Masterlist 2026-09-12'!$B:$M, 10, 0),0)</f>
        <v>15</v>
      </c>
      <c r="V61" s="46">
        <f>IFERROR(VLOOKUP(A61,'[1]MC Masterlist 2026-09-12'!$B:$M, 11, 0),0)</f>
        <v>15</v>
      </c>
      <c r="W61" s="46">
        <f t="shared" si="7"/>
        <v>30</v>
      </c>
      <c r="X61" s="46">
        <f t="shared" si="8"/>
        <v>30</v>
      </c>
      <c r="Y61" s="46">
        <f>IFERROR(IF(OR(C61="AREA I",C61="AREA V"),7,VLOOKUP(A61,'[1]MC Masterlist 2026-09-12'!$B:$M, 12, 0)),0)</f>
        <v>30</v>
      </c>
      <c r="Z61" s="46">
        <f t="shared" si="9"/>
        <v>0</v>
      </c>
      <c r="AA61" s="46">
        <f t="shared" si="10"/>
        <v>0</v>
      </c>
      <c r="AB61" s="46">
        <f t="shared" si="11"/>
        <v>0</v>
      </c>
      <c r="AC61" s="46">
        <f t="shared" si="12"/>
        <v>0</v>
      </c>
      <c r="AD61" s="44" t="str">
        <f t="shared" si="13"/>
        <v>Over</v>
      </c>
      <c r="AE61" s="44" t="str">
        <f>IFERROR(VLOOKUP(A61,'[1]Re-order'!$A:$AA,27,0),"")</f>
        <v>Over</v>
      </c>
      <c r="AF61" s="46">
        <f t="shared" si="14"/>
        <v>-1</v>
      </c>
      <c r="AG61" s="46">
        <f>SUMIFS('[1]Raw Inventory'!D:D,'[1]Raw Inventory'!C:C,"GREATWALL",'[1]Raw Inventory'!B:B,A61)</f>
        <v>0</v>
      </c>
      <c r="AH61" s="46">
        <f>SUMIFS('[1]Raw Inventory'!D:D,'[1]Raw Inventory'!C:C,"DUARTE",'[1]Raw Inventory'!B:B,A61)</f>
        <v>0</v>
      </c>
      <c r="AI61" s="46"/>
      <c r="AJ61" s="46"/>
      <c r="AK61" s="43"/>
      <c r="AL61" s="43"/>
      <c r="AM61" s="43"/>
      <c r="AN61" s="43"/>
      <c r="AO61" s="43"/>
      <c r="AP61" s="43"/>
      <c r="AQ61" s="43"/>
      <c r="AR61" s="43"/>
      <c r="AS61" s="43"/>
      <c r="AT61" s="43"/>
    </row>
    <row r="62" spans="1:46">
      <c r="A62" s="43" t="s">
        <v>47</v>
      </c>
      <c r="B62" s="43" t="s">
        <v>96</v>
      </c>
      <c r="C62" s="43" t="s">
        <v>90</v>
      </c>
      <c r="D62" s="44" t="s">
        <v>247</v>
      </c>
      <c r="E62" s="44">
        <v>7</v>
      </c>
      <c r="F62" s="44" t="s">
        <v>3</v>
      </c>
      <c r="G62" s="43" t="str">
        <f>IFERROR(VLOOKUP(A62,'[1]MC Masterlist 2026-09-12'!$B:$M, 3, 0),"")</f>
        <v>YAMAHA</v>
      </c>
      <c r="H62" s="45">
        <f>IFERROR(VLOOKUP(A62,'[1]MC Masterlist 2026-09-12'!$B:$M, 6, 0),"")</f>
        <v>76167</v>
      </c>
      <c r="I62" s="46">
        <v>0</v>
      </c>
      <c r="J62" s="46">
        <v>0</v>
      </c>
      <c r="K62" s="46">
        <v>0</v>
      </c>
      <c r="L62" s="46">
        <f t="shared" si="0"/>
        <v>0</v>
      </c>
      <c r="M62" s="46">
        <f t="shared" si="1"/>
        <v>0</v>
      </c>
      <c r="N62" s="45">
        <f t="shared" si="2"/>
        <v>0</v>
      </c>
      <c r="O62" s="45">
        <f t="shared" si="3"/>
        <v>0</v>
      </c>
      <c r="P62" s="46">
        <f t="shared" si="4"/>
        <v>0</v>
      </c>
      <c r="Q62" s="46">
        <v>1</v>
      </c>
      <c r="R62" s="45">
        <f t="shared" si="5"/>
        <v>76167</v>
      </c>
      <c r="S62" s="46">
        <f t="shared" si="6"/>
        <v>0</v>
      </c>
      <c r="T62" s="46">
        <f>IFERROR(VLOOKUP(A62,'[1]Re-order'!$A:$Q,17,0),"")</f>
        <v>86.666666666666671</v>
      </c>
      <c r="U62" s="46">
        <f>IFERROR(VLOOKUP(A62,'[1]MC Masterlist 2026-09-12'!$B:$M, 10, 0),0)</f>
        <v>15</v>
      </c>
      <c r="V62" s="46">
        <f>IFERROR(VLOOKUP(A62,'[1]MC Masterlist 2026-09-12'!$B:$M, 11, 0),0)</f>
        <v>15</v>
      </c>
      <c r="W62" s="46">
        <f t="shared" si="7"/>
        <v>30</v>
      </c>
      <c r="X62" s="46">
        <f t="shared" si="8"/>
        <v>30</v>
      </c>
      <c r="Y62" s="46">
        <f>IFERROR(IF(OR(C62="AREA I",C62="AREA V"),7,VLOOKUP(A62,'[1]MC Masterlist 2026-09-12'!$B:$M, 12, 0)),0)</f>
        <v>30</v>
      </c>
      <c r="Z62" s="46">
        <f t="shared" si="9"/>
        <v>0</v>
      </c>
      <c r="AA62" s="46">
        <f t="shared" si="10"/>
        <v>0</v>
      </c>
      <c r="AB62" s="46">
        <f t="shared" si="11"/>
        <v>0</v>
      </c>
      <c r="AC62" s="46">
        <f t="shared" si="12"/>
        <v>0</v>
      </c>
      <c r="AD62" s="44" t="str">
        <f t="shared" si="13"/>
        <v>Over</v>
      </c>
      <c r="AE62" s="44" t="str">
        <f>IFERROR(VLOOKUP(A62,'[1]Re-order'!$A:$AA,27,0),"")</f>
        <v/>
      </c>
      <c r="AF62" s="46">
        <f t="shared" si="14"/>
        <v>-1</v>
      </c>
      <c r="AG62" s="46">
        <f>SUMIFS('[1]Raw Inventory'!D:D,'[1]Raw Inventory'!C:C,"GREATWALL",'[1]Raw Inventory'!B:B,A62)</f>
        <v>1</v>
      </c>
      <c r="AH62" s="46">
        <f>SUMIFS('[1]Raw Inventory'!D:D,'[1]Raw Inventory'!C:C,"DUARTE",'[1]Raw Inventory'!B:B,A62)</f>
        <v>0</v>
      </c>
      <c r="AI62" s="46"/>
      <c r="AJ62" s="46"/>
      <c r="AK62" s="43"/>
      <c r="AL62" s="43"/>
      <c r="AM62" s="43"/>
      <c r="AN62" s="43"/>
      <c r="AO62" s="43"/>
      <c r="AP62" s="43"/>
      <c r="AQ62" s="43"/>
      <c r="AR62" s="43"/>
      <c r="AS62" s="43"/>
      <c r="AT62" s="43"/>
    </row>
    <row r="63" spans="1:46">
      <c r="A63" s="43" t="s">
        <v>35</v>
      </c>
      <c r="B63" s="43" t="s">
        <v>111</v>
      </c>
      <c r="C63" s="43" t="s">
        <v>109</v>
      </c>
      <c r="D63" s="44" t="s">
        <v>237</v>
      </c>
      <c r="E63" s="44">
        <v>27</v>
      </c>
      <c r="F63" s="44" t="s">
        <v>3</v>
      </c>
      <c r="G63" s="43" t="str">
        <f>IFERROR(VLOOKUP(A63,'[1]MC Masterlist 2026-09-12'!$B:$M, 3, 0),"")</f>
        <v>HONDA</v>
      </c>
      <c r="H63" s="45">
        <f>IFERROR(VLOOKUP(A63,'[1]MC Masterlist 2026-09-12'!$B:$M, 6, 0),"")</f>
        <v>57990</v>
      </c>
      <c r="I63" s="46">
        <v>0</v>
      </c>
      <c r="J63" s="46">
        <v>0</v>
      </c>
      <c r="K63" s="46">
        <v>1</v>
      </c>
      <c r="L63" s="46">
        <f t="shared" si="0"/>
        <v>1</v>
      </c>
      <c r="M63" s="46">
        <f t="shared" si="1"/>
        <v>0.33333333333333331</v>
      </c>
      <c r="N63" s="45">
        <f t="shared" si="2"/>
        <v>57990</v>
      </c>
      <c r="O63" s="45">
        <f t="shared" si="3"/>
        <v>19330</v>
      </c>
      <c r="P63" s="46">
        <f t="shared" si="4"/>
        <v>1.111111111111111E-2</v>
      </c>
      <c r="Q63" s="46"/>
      <c r="R63" s="45">
        <f t="shared" si="5"/>
        <v>0</v>
      </c>
      <c r="S63" s="46">
        <f t="shared" si="6"/>
        <v>0</v>
      </c>
      <c r="T63" s="46">
        <f>IFERROR(VLOOKUP(A63,'[1]Re-order'!$A:$Q,17,0),"")</f>
        <v>68.275862068965523</v>
      </c>
      <c r="U63" s="46">
        <f>IFERROR(VLOOKUP(A63,'[1]MC Masterlist 2026-09-12'!$B:$M, 10, 0),0)</f>
        <v>15</v>
      </c>
      <c r="V63" s="46">
        <f>IFERROR(VLOOKUP(A63,'[1]MC Masterlist 2026-09-12'!$B:$M, 11, 0),0)</f>
        <v>15</v>
      </c>
      <c r="W63" s="46">
        <f t="shared" si="7"/>
        <v>30</v>
      </c>
      <c r="X63" s="46">
        <f t="shared" si="8"/>
        <v>29.833333333333332</v>
      </c>
      <c r="Y63" s="46">
        <f>IFERROR(IF(OR(C63="AREA I",C63="AREA V"),7,VLOOKUP(A63,'[1]MC Masterlist 2026-09-12'!$B:$M, 12, 0)),0)</f>
        <v>30</v>
      </c>
      <c r="Z63" s="46">
        <f t="shared" si="9"/>
        <v>0.16666666666666666</v>
      </c>
      <c r="AA63" s="46">
        <f t="shared" si="10"/>
        <v>0.33333333333333331</v>
      </c>
      <c r="AB63" s="46">
        <f t="shared" si="11"/>
        <v>0.33148148148148143</v>
      </c>
      <c r="AC63" s="46">
        <f t="shared" si="12"/>
        <v>0.33333333333333331</v>
      </c>
      <c r="AD63" s="44" t="str">
        <f t="shared" si="13"/>
        <v>Stockout</v>
      </c>
      <c r="AE63" s="44" t="str">
        <f>IFERROR(VLOOKUP(A63,'[1]Re-order'!$A:$AA,27,0),"")</f>
        <v>Re-order</v>
      </c>
      <c r="AF63" s="46">
        <f t="shared" si="14"/>
        <v>0.33333333333333331</v>
      </c>
      <c r="AG63" s="46">
        <f>SUMIFS('[1]Raw Inventory'!D:D,'[1]Raw Inventory'!C:C,"GREATWALL",'[1]Raw Inventory'!B:B,A63)</f>
        <v>29</v>
      </c>
      <c r="AH63" s="46">
        <f>SUMIFS('[1]Raw Inventory'!D:D,'[1]Raw Inventory'!C:C,"DUARTE",'[1]Raw Inventory'!B:B,A63)</f>
        <v>0</v>
      </c>
      <c r="AI63" s="46"/>
      <c r="AJ63" s="46"/>
      <c r="AK63" s="43"/>
      <c r="AL63" s="43"/>
      <c r="AM63" s="43"/>
      <c r="AN63" s="43"/>
      <c r="AO63" s="43"/>
      <c r="AP63" s="43"/>
      <c r="AQ63" s="43"/>
      <c r="AR63" s="43"/>
      <c r="AS63" s="43"/>
      <c r="AT63" s="43"/>
    </row>
    <row r="64" spans="1:46">
      <c r="A64" s="43" t="s">
        <v>20</v>
      </c>
      <c r="B64" s="43" t="s">
        <v>114</v>
      </c>
      <c r="C64" s="43" t="s">
        <v>109</v>
      </c>
      <c r="D64" s="44" t="s">
        <v>236</v>
      </c>
      <c r="E64" s="44">
        <v>7</v>
      </c>
      <c r="F64" s="44" t="s">
        <v>2</v>
      </c>
      <c r="G64" s="43" t="str">
        <f>IFERROR(VLOOKUP(A64,'[1]MC Masterlist 2026-09-12'!$B:$M, 3, 0),"")</f>
        <v>HONDA</v>
      </c>
      <c r="H64" s="45">
        <f>IFERROR(VLOOKUP(A64,'[1]MC Masterlist 2026-09-12'!$B:$M, 6, 0),"")</f>
        <v>69950</v>
      </c>
      <c r="I64" s="46">
        <v>3</v>
      </c>
      <c r="J64" s="46">
        <v>4</v>
      </c>
      <c r="K64" s="46">
        <v>3</v>
      </c>
      <c r="L64" s="46">
        <f t="shared" si="0"/>
        <v>10</v>
      </c>
      <c r="M64" s="46">
        <f t="shared" si="1"/>
        <v>3.3333333333333335</v>
      </c>
      <c r="N64" s="45">
        <f t="shared" si="2"/>
        <v>699500</v>
      </c>
      <c r="O64" s="45">
        <f t="shared" si="3"/>
        <v>233166.66666666669</v>
      </c>
      <c r="P64" s="46">
        <f t="shared" si="4"/>
        <v>0.11111111111111112</v>
      </c>
      <c r="Q64" s="46">
        <v>9</v>
      </c>
      <c r="R64" s="45">
        <f t="shared" si="5"/>
        <v>629550</v>
      </c>
      <c r="S64" s="46">
        <f t="shared" si="6"/>
        <v>80.999999999999986</v>
      </c>
      <c r="T64" s="46">
        <f>IFERROR(VLOOKUP(A64,'[1]Re-order'!$A:$Q,17,0),"")</f>
        <v>75.775862068965523</v>
      </c>
      <c r="U64" s="46">
        <f>IFERROR(VLOOKUP(A64,'[1]MC Masterlist 2026-09-12'!$B:$M, 10, 0),0)</f>
        <v>15</v>
      </c>
      <c r="V64" s="46">
        <f>IFERROR(VLOOKUP(A64,'[1]MC Masterlist 2026-09-12'!$B:$M, 11, 0),0)</f>
        <v>15</v>
      </c>
      <c r="W64" s="46">
        <f t="shared" si="7"/>
        <v>30</v>
      </c>
      <c r="X64" s="46">
        <f t="shared" si="8"/>
        <v>28.333333333333332</v>
      </c>
      <c r="Y64" s="46">
        <f>IFERROR(IF(OR(C64="AREA I",C64="AREA V"),7,VLOOKUP(A64,'[1]MC Masterlist 2026-09-12'!$B:$M, 12, 0)),0)</f>
        <v>30</v>
      </c>
      <c r="Z64" s="46">
        <f t="shared" si="9"/>
        <v>1.6666666666666667</v>
      </c>
      <c r="AA64" s="46">
        <f t="shared" si="10"/>
        <v>3.3333333333333335</v>
      </c>
      <c r="AB64" s="46">
        <f t="shared" si="11"/>
        <v>3.1481481481481484</v>
      </c>
      <c r="AC64" s="46">
        <f t="shared" si="12"/>
        <v>3.3333333333333335</v>
      </c>
      <c r="AD64" s="44" t="str">
        <f t="shared" si="13"/>
        <v>Over</v>
      </c>
      <c r="AE64" s="44" t="str">
        <f>IFERROR(VLOOKUP(A64,'[1]Re-order'!$A:$AA,27,0),"")</f>
        <v/>
      </c>
      <c r="AF64" s="46">
        <f t="shared" si="14"/>
        <v>-5.6666666666666661</v>
      </c>
      <c r="AG64" s="46">
        <f>SUMIFS('[1]Raw Inventory'!D:D,'[1]Raw Inventory'!C:C,"GREATWALL",'[1]Raw Inventory'!B:B,A64)</f>
        <v>110</v>
      </c>
      <c r="AH64" s="46">
        <f>SUMIFS('[1]Raw Inventory'!D:D,'[1]Raw Inventory'!C:C,"DUARTE",'[1]Raw Inventory'!B:B,A64)</f>
        <v>0</v>
      </c>
      <c r="AI64" s="46"/>
      <c r="AJ64" s="46"/>
      <c r="AK64" s="43"/>
      <c r="AL64" s="43"/>
      <c r="AM64" s="43"/>
      <c r="AN64" s="43"/>
      <c r="AO64" s="43"/>
      <c r="AP64" s="43"/>
      <c r="AQ64" s="43"/>
      <c r="AR64" s="43"/>
      <c r="AS64" s="43"/>
      <c r="AT64" s="43"/>
    </row>
    <row r="65" spans="1:46">
      <c r="A65" s="43" t="s">
        <v>55</v>
      </c>
      <c r="B65" s="43" t="s">
        <v>30</v>
      </c>
      <c r="C65" s="43" t="s">
        <v>1</v>
      </c>
      <c r="D65" s="44" t="s">
        <v>239</v>
      </c>
      <c r="E65" s="44">
        <v>37</v>
      </c>
      <c r="F65" s="44" t="s">
        <v>3</v>
      </c>
      <c r="G65" s="43" t="str">
        <f>IFERROR(VLOOKUP(A65,'[1]MC Masterlist 2026-09-12'!$B:$M, 3, 0),"")</f>
        <v>HONDA</v>
      </c>
      <c r="H65" s="45">
        <f>IFERROR(VLOOKUP(A65,'[1]MC Masterlist 2026-09-12'!$B:$M, 6, 0),"")</f>
        <v>284880</v>
      </c>
      <c r="I65" s="46">
        <v>0</v>
      </c>
      <c r="J65" s="46">
        <v>0</v>
      </c>
      <c r="K65" s="46">
        <v>0</v>
      </c>
      <c r="L65" s="46">
        <f t="shared" si="0"/>
        <v>0</v>
      </c>
      <c r="M65" s="46">
        <f t="shared" si="1"/>
        <v>0</v>
      </c>
      <c r="N65" s="45">
        <f t="shared" si="2"/>
        <v>0</v>
      </c>
      <c r="O65" s="45">
        <f t="shared" si="3"/>
        <v>0</v>
      </c>
      <c r="P65" s="46">
        <f t="shared" si="4"/>
        <v>0</v>
      </c>
      <c r="Q65" s="46">
        <v>1</v>
      </c>
      <c r="R65" s="45">
        <f t="shared" si="5"/>
        <v>284880</v>
      </c>
      <c r="S65" s="46">
        <f t="shared" si="6"/>
        <v>0</v>
      </c>
      <c r="T65" s="46">
        <f>IFERROR(VLOOKUP(A65,'[1]Re-order'!$A:$Q,17,0),"")</f>
        <v>720</v>
      </c>
      <c r="U65" s="46">
        <f>IFERROR(VLOOKUP(A65,'[1]MC Masterlist 2026-09-12'!$B:$M, 10, 0),0)</f>
        <v>15</v>
      </c>
      <c r="V65" s="46">
        <f>IFERROR(VLOOKUP(A65,'[1]MC Masterlist 2026-09-12'!$B:$M, 11, 0),0)</f>
        <v>15</v>
      </c>
      <c r="W65" s="46">
        <f t="shared" si="7"/>
        <v>30</v>
      </c>
      <c r="X65" s="46">
        <f t="shared" si="8"/>
        <v>7</v>
      </c>
      <c r="Y65" s="46">
        <f>IFERROR(IF(OR(C65="AREA I",C65="AREA V"),7,VLOOKUP(A65,'[1]MC Masterlist 2026-09-12'!$B:$M, 12, 0)),0)</f>
        <v>7</v>
      </c>
      <c r="Z65" s="46">
        <f t="shared" si="9"/>
        <v>0</v>
      </c>
      <c r="AA65" s="46">
        <f t="shared" si="10"/>
        <v>0</v>
      </c>
      <c r="AB65" s="46">
        <f t="shared" si="11"/>
        <v>0</v>
      </c>
      <c r="AC65" s="46">
        <f t="shared" si="12"/>
        <v>0</v>
      </c>
      <c r="AD65" s="44" t="str">
        <f t="shared" si="13"/>
        <v>Over</v>
      </c>
      <c r="AE65" s="44" t="str">
        <f>IFERROR(VLOOKUP(A65,'[1]Re-order'!$A:$AA,27,0),"")</f>
        <v>Over</v>
      </c>
      <c r="AF65" s="46">
        <f t="shared" si="14"/>
        <v>-1</v>
      </c>
      <c r="AG65" s="46">
        <f>SUMIFS('[1]Raw Inventory'!D:D,'[1]Raw Inventory'!C:C,"GREATWALL",'[1]Raw Inventory'!B:B,A65)</f>
        <v>0</v>
      </c>
      <c r="AH65" s="46">
        <f>SUMIFS('[1]Raw Inventory'!D:D,'[1]Raw Inventory'!C:C,"DUARTE",'[1]Raw Inventory'!B:B,A65)</f>
        <v>0</v>
      </c>
      <c r="AI65" s="46"/>
      <c r="AJ65" s="46"/>
      <c r="AK65" s="43"/>
      <c r="AL65" s="43"/>
      <c r="AM65" s="43"/>
      <c r="AN65" s="43"/>
      <c r="AO65" s="43"/>
      <c r="AP65" s="43"/>
      <c r="AQ65" s="43"/>
      <c r="AR65" s="43"/>
      <c r="AS65" s="43"/>
      <c r="AT65" s="43"/>
    </row>
    <row r="66" spans="1:46">
      <c r="A66" s="43" t="s">
        <v>99</v>
      </c>
      <c r="B66" s="43" t="s">
        <v>92</v>
      </c>
      <c r="C66" s="43" t="s">
        <v>90</v>
      </c>
      <c r="D66" s="44" t="s">
        <v>252</v>
      </c>
      <c r="E66" s="44">
        <v>19</v>
      </c>
      <c r="F66" s="44" t="s">
        <v>2</v>
      </c>
      <c r="G66" s="43" t="str">
        <f>IFERROR(VLOOKUP(A66,'[1]MC Masterlist 2026-09-12'!$B:$M, 3, 0),"")</f>
        <v>YAMAHA</v>
      </c>
      <c r="H66" s="45">
        <f>IFERROR(VLOOKUP(A66,'[1]MC Masterlist 2026-09-12'!$B:$M, 6, 0),"")</f>
        <v>86397</v>
      </c>
      <c r="I66" s="46">
        <v>0</v>
      </c>
      <c r="J66" s="46">
        <v>0</v>
      </c>
      <c r="K66" s="46">
        <v>1</v>
      </c>
      <c r="L66" s="46">
        <f t="shared" si="0"/>
        <v>1</v>
      </c>
      <c r="M66" s="46">
        <f t="shared" si="1"/>
        <v>0.33333333333333331</v>
      </c>
      <c r="N66" s="45">
        <f t="shared" si="2"/>
        <v>86397</v>
      </c>
      <c r="O66" s="45">
        <f t="shared" si="3"/>
        <v>28799</v>
      </c>
      <c r="P66" s="46">
        <f t="shared" si="4"/>
        <v>1.111111111111111E-2</v>
      </c>
      <c r="Q66" s="46"/>
      <c r="R66" s="45">
        <f t="shared" si="5"/>
        <v>0</v>
      </c>
      <c r="S66" s="46">
        <f t="shared" si="6"/>
        <v>0</v>
      </c>
      <c r="T66" s="46">
        <f>IFERROR(VLOOKUP(A66,'[1]Re-order'!$A:$Q,17,0),"")</f>
        <v>72</v>
      </c>
      <c r="U66" s="46">
        <f>IFERROR(VLOOKUP(A66,'[1]MC Masterlist 2026-09-12'!$B:$M, 10, 0),0)</f>
        <v>15</v>
      </c>
      <c r="V66" s="46">
        <f>IFERROR(VLOOKUP(A66,'[1]MC Masterlist 2026-09-12'!$B:$M, 11, 0),0)</f>
        <v>15</v>
      </c>
      <c r="W66" s="46">
        <f t="shared" si="7"/>
        <v>30</v>
      </c>
      <c r="X66" s="46">
        <f t="shared" si="8"/>
        <v>29.833333333333332</v>
      </c>
      <c r="Y66" s="46">
        <f>IFERROR(IF(OR(C66="AREA I",C66="AREA V"),7,VLOOKUP(A66,'[1]MC Masterlist 2026-09-12'!$B:$M, 12, 0)),0)</f>
        <v>30</v>
      </c>
      <c r="Z66" s="46">
        <f t="shared" si="9"/>
        <v>0.16666666666666666</v>
      </c>
      <c r="AA66" s="46">
        <f t="shared" si="10"/>
        <v>0.33333333333333331</v>
      </c>
      <c r="AB66" s="46">
        <f t="shared" si="11"/>
        <v>0.33148148148148143</v>
      </c>
      <c r="AC66" s="46">
        <f t="shared" si="12"/>
        <v>0.33333333333333331</v>
      </c>
      <c r="AD66" s="44" t="str">
        <f t="shared" si="13"/>
        <v>Stockout</v>
      </c>
      <c r="AE66" s="44" t="str">
        <f>IFERROR(VLOOKUP(A66,'[1]Re-order'!$A:$AA,27,0),"")</f>
        <v>Re-order</v>
      </c>
      <c r="AF66" s="46">
        <f t="shared" si="14"/>
        <v>0.33333333333333331</v>
      </c>
      <c r="AG66" s="46">
        <f>SUMIFS('[1]Raw Inventory'!D:D,'[1]Raw Inventory'!C:C,"GREATWALL",'[1]Raw Inventory'!B:B,A66)</f>
        <v>1</v>
      </c>
      <c r="AH66" s="46">
        <f>SUMIFS('[1]Raw Inventory'!D:D,'[1]Raw Inventory'!C:C,"DUARTE",'[1]Raw Inventory'!B:B,A66)</f>
        <v>0</v>
      </c>
      <c r="AI66" s="46"/>
      <c r="AJ66" s="46"/>
      <c r="AK66" s="43"/>
      <c r="AL66" s="43"/>
      <c r="AM66" s="43"/>
      <c r="AN66" s="43"/>
      <c r="AO66" s="43"/>
      <c r="AP66" s="43"/>
      <c r="AQ66" s="43"/>
      <c r="AR66" s="43"/>
      <c r="AS66" s="43"/>
      <c r="AT66" s="43"/>
    </row>
    <row r="67" spans="1:46">
      <c r="A67" s="43" t="s">
        <v>46</v>
      </c>
      <c r="B67" s="43" t="s">
        <v>123</v>
      </c>
      <c r="C67" s="43" t="s">
        <v>118</v>
      </c>
      <c r="D67" s="44" t="s">
        <v>239</v>
      </c>
      <c r="E67" s="44">
        <v>25</v>
      </c>
      <c r="F67" s="44" t="s">
        <v>3</v>
      </c>
      <c r="G67" s="43" t="str">
        <f>IFERROR(VLOOKUP(A67,'[1]MC Masterlist 2026-09-12'!$B:$M, 3, 0),"")</f>
        <v>HONDA</v>
      </c>
      <c r="H67" s="45">
        <f>IFERROR(VLOOKUP(A67,'[1]MC Masterlist 2026-09-12'!$B:$M, 6, 0),"")</f>
        <v>73630</v>
      </c>
      <c r="I67" s="46">
        <v>0</v>
      </c>
      <c r="J67" s="46">
        <v>0</v>
      </c>
      <c r="K67" s="46">
        <v>0</v>
      </c>
      <c r="L67" s="46">
        <f t="shared" ref="L67:L130" si="15">I67+J67+K67</f>
        <v>0</v>
      </c>
      <c r="M67" s="46">
        <f t="shared" ref="M67:M130" si="16">AVERAGE(I67,J67,K67)</f>
        <v>0</v>
      </c>
      <c r="N67" s="45">
        <f t="shared" ref="N67:N130" si="17">L67*H67</f>
        <v>0</v>
      </c>
      <c r="O67" s="45">
        <f t="shared" ref="O67:O130" si="18">M67*H67</f>
        <v>0</v>
      </c>
      <c r="P67" s="46">
        <f t="shared" ref="P67:P130" si="19">M67/30</f>
        <v>0</v>
      </c>
      <c r="Q67" s="46">
        <v>1</v>
      </c>
      <c r="R67" s="45">
        <f t="shared" ref="R67:R130" si="20">IFERROR(Q67*H67, 0)</f>
        <v>73630</v>
      </c>
      <c r="S67" s="46">
        <f t="shared" ref="S67:S130" si="21">IFERROR(R67/(O67)*30, 0)</f>
        <v>0</v>
      </c>
      <c r="T67" s="46">
        <f>IFERROR(VLOOKUP(A67,'[1]Re-order'!$A:$Q,17,0),"")</f>
        <v>51</v>
      </c>
      <c r="U67" s="46">
        <f>IFERROR(VLOOKUP(A67,'[1]MC Masterlist 2026-09-12'!$B:$M, 10, 0),0)</f>
        <v>15</v>
      </c>
      <c r="V67" s="46">
        <f>IFERROR(VLOOKUP(A67,'[1]MC Masterlist 2026-09-12'!$B:$M, 11, 0),0)</f>
        <v>15</v>
      </c>
      <c r="W67" s="46">
        <f t="shared" ref="W67:W130" si="22">U67+V67</f>
        <v>30</v>
      </c>
      <c r="X67" s="46">
        <f t="shared" ref="X67:X130" si="23">Y67-Z67</f>
        <v>30</v>
      </c>
      <c r="Y67" s="46">
        <f>IFERROR(IF(OR(C67="AREA I",C67="AREA V"),7,VLOOKUP(A67,'[1]MC Masterlist 2026-09-12'!$B:$M, 12, 0)),0)</f>
        <v>30</v>
      </c>
      <c r="Z67" s="46">
        <f t="shared" ref="Z67:Z130" si="24">V67*P67</f>
        <v>0</v>
      </c>
      <c r="AA67" s="46">
        <f t="shared" ref="AA67:AA130" si="25">W67*P67</f>
        <v>0</v>
      </c>
      <c r="AB67" s="46">
        <f t="shared" ref="AB67:AB130" si="26">X67*P67</f>
        <v>0</v>
      </c>
      <c r="AC67" s="46">
        <f t="shared" ref="AC67:AC130" si="27">Y67*P67</f>
        <v>0</v>
      </c>
      <c r="AD67" s="44" t="str">
        <f t="shared" ref="AD67:AD130" si="28">IFERROR(IF(Q67&gt;AC67, "Over", IF(Q67&lt;=Z67, "Stockout", IF(Q67&lt;=AA67, "Re-order",""))), "")</f>
        <v>Over</v>
      </c>
      <c r="AE67" s="44" t="str">
        <f>IFERROR(VLOOKUP(A67,'[1]Re-order'!$A:$AA,27,0),"")</f>
        <v>Re-order</v>
      </c>
      <c r="AF67" s="46">
        <f t="shared" ref="AF67:AF130" si="29">AC67-Q67</f>
        <v>-1</v>
      </c>
      <c r="AG67" s="46">
        <f>SUMIFS('[1]Raw Inventory'!D:D,'[1]Raw Inventory'!C:C,"GREATWALL",'[1]Raw Inventory'!B:B,A67)</f>
        <v>0</v>
      </c>
      <c r="AH67" s="46">
        <f>SUMIFS('[1]Raw Inventory'!D:D,'[1]Raw Inventory'!C:C,"DUARTE",'[1]Raw Inventory'!B:B,A67)</f>
        <v>0</v>
      </c>
      <c r="AI67" s="46"/>
      <c r="AJ67" s="46"/>
      <c r="AK67" s="43"/>
      <c r="AL67" s="43"/>
      <c r="AM67" s="43"/>
      <c r="AN67" s="43"/>
      <c r="AO67" s="43"/>
      <c r="AP67" s="43"/>
      <c r="AQ67" s="43"/>
      <c r="AR67" s="43"/>
      <c r="AS67" s="43"/>
      <c r="AT67" s="43"/>
    </row>
    <row r="68" spans="1:46">
      <c r="A68" s="43" t="s">
        <v>14</v>
      </c>
      <c r="B68" s="43" t="s">
        <v>122</v>
      </c>
      <c r="C68" s="43" t="s">
        <v>118</v>
      </c>
      <c r="D68" s="44" t="s">
        <v>227</v>
      </c>
      <c r="E68" s="44">
        <v>1</v>
      </c>
      <c r="F68" s="44" t="s">
        <v>0</v>
      </c>
      <c r="G68" s="43" t="str">
        <f>IFERROR(VLOOKUP(A68,'[1]MC Masterlist 2026-09-12'!$B:$M, 3, 0),"")</f>
        <v>HONDA</v>
      </c>
      <c r="H68" s="45">
        <f>IFERROR(VLOOKUP(A68,'[1]MC Masterlist 2026-09-12'!$B:$M, 6, 0),"")</f>
        <v>80070</v>
      </c>
      <c r="I68" s="46">
        <v>20</v>
      </c>
      <c r="J68" s="46">
        <v>9</v>
      </c>
      <c r="K68" s="46">
        <v>14</v>
      </c>
      <c r="L68" s="46">
        <f t="shared" si="15"/>
        <v>43</v>
      </c>
      <c r="M68" s="46">
        <f t="shared" si="16"/>
        <v>14.333333333333334</v>
      </c>
      <c r="N68" s="45">
        <f t="shared" si="17"/>
        <v>3443010</v>
      </c>
      <c r="O68" s="45">
        <f t="shared" si="18"/>
        <v>1147670</v>
      </c>
      <c r="P68" s="46">
        <f t="shared" si="19"/>
        <v>0.4777777777777778</v>
      </c>
      <c r="Q68" s="46">
        <v>7</v>
      </c>
      <c r="R68" s="45">
        <f t="shared" si="20"/>
        <v>560490</v>
      </c>
      <c r="S68" s="46">
        <f t="shared" si="21"/>
        <v>14.651162790697674</v>
      </c>
      <c r="T68" s="46">
        <f>IFERROR(VLOOKUP(A68,'[1]Re-order'!$A:$Q,17,0),"")</f>
        <v>20.105787181082761</v>
      </c>
      <c r="U68" s="46">
        <f>IFERROR(VLOOKUP(A68,'[1]MC Masterlist 2026-09-12'!$B:$M, 10, 0),0)</f>
        <v>15</v>
      </c>
      <c r="V68" s="46">
        <f>IFERROR(VLOOKUP(A68,'[1]MC Masterlist 2026-09-12'!$B:$M, 11, 0),0)</f>
        <v>15</v>
      </c>
      <c r="W68" s="46">
        <f t="shared" si="22"/>
        <v>30</v>
      </c>
      <c r="X68" s="46">
        <f t="shared" si="23"/>
        <v>22.833333333333332</v>
      </c>
      <c r="Y68" s="46">
        <f>IFERROR(IF(OR(C68="AREA I",C68="AREA V"),7,VLOOKUP(A68,'[1]MC Masterlist 2026-09-12'!$B:$M, 12, 0)),0)</f>
        <v>30</v>
      </c>
      <c r="Z68" s="46">
        <f t="shared" si="24"/>
        <v>7.166666666666667</v>
      </c>
      <c r="AA68" s="46">
        <f t="shared" si="25"/>
        <v>14.333333333333334</v>
      </c>
      <c r="AB68" s="46">
        <f t="shared" si="26"/>
        <v>10.90925925925926</v>
      </c>
      <c r="AC68" s="46">
        <f t="shared" si="27"/>
        <v>14.333333333333334</v>
      </c>
      <c r="AD68" s="44" t="str">
        <f t="shared" si="28"/>
        <v>Stockout</v>
      </c>
      <c r="AE68" s="44" t="str">
        <f>IFERROR(VLOOKUP(A68,'[1]Re-order'!$A:$AA,27,0),"")</f>
        <v>Stockout</v>
      </c>
      <c r="AF68" s="46">
        <f t="shared" si="29"/>
        <v>7.3333333333333339</v>
      </c>
      <c r="AG68" s="46">
        <f>SUMIFS('[1]Raw Inventory'!D:D,'[1]Raw Inventory'!C:C,"GREATWALL",'[1]Raw Inventory'!B:B,A68)</f>
        <v>176</v>
      </c>
      <c r="AH68" s="46">
        <f>SUMIFS('[1]Raw Inventory'!D:D,'[1]Raw Inventory'!C:C,"DUARTE",'[1]Raw Inventory'!B:B,A68)</f>
        <v>0</v>
      </c>
      <c r="AI68" s="46"/>
      <c r="AJ68" s="46"/>
      <c r="AK68" s="43"/>
      <c r="AL68" s="43"/>
      <c r="AM68" s="43"/>
      <c r="AN68" s="43"/>
      <c r="AO68" s="43"/>
      <c r="AP68" s="43"/>
      <c r="AQ68" s="43"/>
      <c r="AR68" s="43"/>
      <c r="AS68" s="43"/>
      <c r="AT68" s="43"/>
    </row>
    <row r="69" spans="1:46">
      <c r="A69" s="43" t="s">
        <v>42</v>
      </c>
      <c r="B69" s="43" t="s">
        <v>155</v>
      </c>
      <c r="C69" s="43" t="s">
        <v>152</v>
      </c>
      <c r="D69" s="44" t="s">
        <v>224</v>
      </c>
      <c r="E69" s="44">
        <v>12</v>
      </c>
      <c r="F69" s="44" t="s">
        <v>2</v>
      </c>
      <c r="G69" s="43" t="str">
        <f>IFERROR(VLOOKUP(A69,'[1]MC Masterlist 2026-09-12'!$B:$M, 3, 0),"")</f>
        <v>YAMAHA</v>
      </c>
      <c r="H69" s="45">
        <f>IFERROR(VLOOKUP(A69,'[1]MC Masterlist 2026-09-12'!$B:$M, 6, 0),"")</f>
        <v>152892</v>
      </c>
      <c r="I69" s="46">
        <v>0</v>
      </c>
      <c r="J69" s="46">
        <v>0</v>
      </c>
      <c r="K69" s="46">
        <v>2</v>
      </c>
      <c r="L69" s="46">
        <f t="shared" si="15"/>
        <v>2</v>
      </c>
      <c r="M69" s="46">
        <f t="shared" si="16"/>
        <v>0.66666666666666663</v>
      </c>
      <c r="N69" s="45">
        <f t="shared" si="17"/>
        <v>305784</v>
      </c>
      <c r="O69" s="45">
        <f t="shared" si="18"/>
        <v>101928</v>
      </c>
      <c r="P69" s="46">
        <f t="shared" si="19"/>
        <v>2.222222222222222E-2</v>
      </c>
      <c r="Q69" s="46">
        <v>6</v>
      </c>
      <c r="R69" s="45">
        <f t="shared" si="20"/>
        <v>917352</v>
      </c>
      <c r="S69" s="46">
        <f t="shared" si="21"/>
        <v>270</v>
      </c>
      <c r="T69" s="46">
        <f>IFERROR(VLOOKUP(A69,'[1]Re-order'!$A:$Q,17,0),"")</f>
        <v>104.55882352941177</v>
      </c>
      <c r="U69" s="46">
        <f>IFERROR(VLOOKUP(A69,'[1]MC Masterlist 2026-09-12'!$B:$M, 10, 0),0)</f>
        <v>15</v>
      </c>
      <c r="V69" s="46">
        <f>IFERROR(VLOOKUP(A69,'[1]MC Masterlist 2026-09-12'!$B:$M, 11, 0),0)</f>
        <v>15</v>
      </c>
      <c r="W69" s="46">
        <f t="shared" si="22"/>
        <v>30</v>
      </c>
      <c r="X69" s="46">
        <f t="shared" si="23"/>
        <v>29.666666666666668</v>
      </c>
      <c r="Y69" s="46">
        <f>IFERROR(IF(OR(C69="AREA I",C69="AREA V"),7,VLOOKUP(A69,'[1]MC Masterlist 2026-09-12'!$B:$M, 12, 0)),0)</f>
        <v>30</v>
      </c>
      <c r="Z69" s="46">
        <f t="shared" si="24"/>
        <v>0.33333333333333331</v>
      </c>
      <c r="AA69" s="46">
        <f t="shared" si="25"/>
        <v>0.66666666666666663</v>
      </c>
      <c r="AB69" s="46">
        <f t="shared" si="26"/>
        <v>0.65925925925925921</v>
      </c>
      <c r="AC69" s="46">
        <f t="shared" si="27"/>
        <v>0.66666666666666663</v>
      </c>
      <c r="AD69" s="44" t="str">
        <f t="shared" si="28"/>
        <v>Over</v>
      </c>
      <c r="AE69" s="44" t="str">
        <f>IFERROR(VLOOKUP(A69,'[1]Re-order'!$A:$AA,27,0),"")</f>
        <v>Over</v>
      </c>
      <c r="AF69" s="46">
        <f t="shared" si="29"/>
        <v>-5.333333333333333</v>
      </c>
      <c r="AG69" s="46">
        <f>SUMIFS('[1]Raw Inventory'!D:D,'[1]Raw Inventory'!C:C,"GREATWALL",'[1]Raw Inventory'!B:B,A69)</f>
        <v>3</v>
      </c>
      <c r="AH69" s="46">
        <f>SUMIFS('[1]Raw Inventory'!D:D,'[1]Raw Inventory'!C:C,"DUARTE",'[1]Raw Inventory'!B:B,A69)</f>
        <v>0</v>
      </c>
      <c r="AI69" s="46"/>
      <c r="AJ69" s="46"/>
      <c r="AK69" s="43"/>
      <c r="AL69" s="43"/>
      <c r="AM69" s="43"/>
      <c r="AN69" s="43"/>
      <c r="AO69" s="43"/>
      <c r="AP69" s="43"/>
      <c r="AQ69" s="43"/>
      <c r="AR69" s="43"/>
      <c r="AS69" s="43"/>
      <c r="AT69" s="43"/>
    </row>
    <row r="70" spans="1:46">
      <c r="A70" s="43" t="s">
        <v>18</v>
      </c>
      <c r="B70" s="43" t="s">
        <v>143</v>
      </c>
      <c r="C70" s="43" t="s">
        <v>137</v>
      </c>
      <c r="D70" s="44" t="s">
        <v>236</v>
      </c>
      <c r="E70" s="44">
        <v>9</v>
      </c>
      <c r="F70" s="44" t="s">
        <v>2</v>
      </c>
      <c r="G70" s="43" t="str">
        <f>IFERROR(VLOOKUP(A70,'[1]MC Masterlist 2026-09-12'!$B:$M, 3, 0),"")</f>
        <v>HONDA</v>
      </c>
      <c r="H70" s="45">
        <f>IFERROR(VLOOKUP(A70,'[1]MC Masterlist 2026-09-12'!$B:$M, 6, 0),"")</f>
        <v>94330</v>
      </c>
      <c r="I70" s="46">
        <v>0</v>
      </c>
      <c r="J70" s="46">
        <v>2</v>
      </c>
      <c r="K70" s="46">
        <v>4</v>
      </c>
      <c r="L70" s="46">
        <f t="shared" si="15"/>
        <v>6</v>
      </c>
      <c r="M70" s="46">
        <f t="shared" si="16"/>
        <v>2</v>
      </c>
      <c r="N70" s="45">
        <f t="shared" si="17"/>
        <v>565980</v>
      </c>
      <c r="O70" s="45">
        <f t="shared" si="18"/>
        <v>188660</v>
      </c>
      <c r="P70" s="46">
        <f t="shared" si="19"/>
        <v>6.6666666666666666E-2</v>
      </c>
      <c r="Q70" s="46">
        <v>1</v>
      </c>
      <c r="R70" s="45">
        <f t="shared" si="20"/>
        <v>94330</v>
      </c>
      <c r="S70" s="46">
        <f t="shared" si="21"/>
        <v>15</v>
      </c>
      <c r="T70" s="46">
        <f>IFERROR(VLOOKUP(A70,'[1]Re-order'!$A:$Q,17,0),"")</f>
        <v>113.9644970414201</v>
      </c>
      <c r="U70" s="46">
        <f>IFERROR(VLOOKUP(A70,'[1]MC Masterlist 2026-09-12'!$B:$M, 10, 0),0)</f>
        <v>15</v>
      </c>
      <c r="V70" s="46">
        <f>IFERROR(VLOOKUP(A70,'[1]MC Masterlist 2026-09-12'!$B:$M, 11, 0),0)</f>
        <v>15</v>
      </c>
      <c r="W70" s="46">
        <f t="shared" si="22"/>
        <v>30</v>
      </c>
      <c r="X70" s="46">
        <f t="shared" si="23"/>
        <v>6</v>
      </c>
      <c r="Y70" s="46">
        <f>IFERROR(IF(OR(C70="AREA I",C70="AREA V"),7,VLOOKUP(A70,'[1]MC Masterlist 2026-09-12'!$B:$M, 12, 0)),0)</f>
        <v>7</v>
      </c>
      <c r="Z70" s="46">
        <f t="shared" si="24"/>
        <v>1</v>
      </c>
      <c r="AA70" s="46">
        <f t="shared" si="25"/>
        <v>2</v>
      </c>
      <c r="AB70" s="46">
        <f t="shared" si="26"/>
        <v>0.4</v>
      </c>
      <c r="AC70" s="46">
        <f t="shared" si="27"/>
        <v>0.46666666666666667</v>
      </c>
      <c r="AD70" s="44" t="str">
        <f t="shared" si="28"/>
        <v>Over</v>
      </c>
      <c r="AE70" s="44" t="str">
        <f>IFERROR(VLOOKUP(A70,'[1]Re-order'!$A:$AA,27,0),"")</f>
        <v>Over</v>
      </c>
      <c r="AF70" s="46">
        <f t="shared" si="29"/>
        <v>-0.53333333333333333</v>
      </c>
      <c r="AG70" s="46">
        <f>SUMIFS('[1]Raw Inventory'!D:D,'[1]Raw Inventory'!C:C,"GREATWALL",'[1]Raw Inventory'!B:B,A70)</f>
        <v>88</v>
      </c>
      <c r="AH70" s="46">
        <f>SUMIFS('[1]Raw Inventory'!D:D,'[1]Raw Inventory'!C:C,"DUARTE",'[1]Raw Inventory'!B:B,A70)</f>
        <v>0</v>
      </c>
      <c r="AI70" s="46"/>
      <c r="AJ70" s="46"/>
      <c r="AK70" s="43"/>
      <c r="AL70" s="43"/>
      <c r="AM70" s="43"/>
      <c r="AN70" s="43"/>
      <c r="AO70" s="43"/>
      <c r="AP70" s="43"/>
      <c r="AQ70" s="43"/>
      <c r="AR70" s="43"/>
      <c r="AS70" s="43"/>
      <c r="AT70" s="43"/>
    </row>
    <row r="71" spans="1:46">
      <c r="A71" s="43" t="s">
        <v>107</v>
      </c>
      <c r="B71" s="43" t="s">
        <v>154</v>
      </c>
      <c r="C71" s="43" t="s">
        <v>152</v>
      </c>
      <c r="D71" s="44" t="s">
        <v>241</v>
      </c>
      <c r="E71" s="44">
        <v>23</v>
      </c>
      <c r="F71" s="44" t="s">
        <v>3</v>
      </c>
      <c r="G71" s="43" t="str">
        <f>IFERROR(VLOOKUP(A71,'[1]MC Masterlist 2026-09-12'!$B:$M, 3, 0),"")</f>
        <v>SUZUKI</v>
      </c>
      <c r="H71" s="45">
        <f>IFERROR(VLOOKUP(A71,'[1]MC Masterlist 2026-09-12'!$B:$M, 6, 0),"")</f>
        <v>89662</v>
      </c>
      <c r="I71" s="46">
        <v>0</v>
      </c>
      <c r="J71" s="46">
        <v>1</v>
      </c>
      <c r="K71" s="46">
        <v>0</v>
      </c>
      <c r="L71" s="46">
        <f t="shared" si="15"/>
        <v>1</v>
      </c>
      <c r="M71" s="46">
        <f t="shared" si="16"/>
        <v>0.33333333333333331</v>
      </c>
      <c r="N71" s="45">
        <f t="shared" si="17"/>
        <v>89662</v>
      </c>
      <c r="O71" s="45">
        <f t="shared" si="18"/>
        <v>29887.333333333332</v>
      </c>
      <c r="P71" s="46">
        <f t="shared" si="19"/>
        <v>1.111111111111111E-2</v>
      </c>
      <c r="Q71" s="46">
        <v>1</v>
      </c>
      <c r="R71" s="45">
        <f t="shared" si="20"/>
        <v>89662</v>
      </c>
      <c r="S71" s="46">
        <f t="shared" si="21"/>
        <v>90</v>
      </c>
      <c r="T71" s="46">
        <f>IFERROR(VLOOKUP(A71,'[1]Re-order'!$A:$Q,17,0),"")</f>
        <v>112.5</v>
      </c>
      <c r="U71" s="46">
        <f>IFERROR(VLOOKUP(A71,'[1]MC Masterlist 2026-09-12'!$B:$M, 10, 0),0)</f>
        <v>15</v>
      </c>
      <c r="V71" s="46">
        <f>IFERROR(VLOOKUP(A71,'[1]MC Masterlist 2026-09-12'!$B:$M, 11, 0),0)</f>
        <v>15</v>
      </c>
      <c r="W71" s="46">
        <f t="shared" si="22"/>
        <v>30</v>
      </c>
      <c r="X71" s="46">
        <f t="shared" si="23"/>
        <v>29.833333333333332</v>
      </c>
      <c r="Y71" s="46">
        <f>IFERROR(IF(OR(C71="AREA I",C71="AREA V"),7,VLOOKUP(A71,'[1]MC Masterlist 2026-09-12'!$B:$M, 12, 0)),0)</f>
        <v>30</v>
      </c>
      <c r="Z71" s="46">
        <f t="shared" si="24"/>
        <v>0.16666666666666666</v>
      </c>
      <c r="AA71" s="46">
        <f t="shared" si="25"/>
        <v>0.33333333333333331</v>
      </c>
      <c r="AB71" s="46">
        <f t="shared" si="26"/>
        <v>0.33148148148148143</v>
      </c>
      <c r="AC71" s="46">
        <f t="shared" si="27"/>
        <v>0.33333333333333331</v>
      </c>
      <c r="AD71" s="44" t="str">
        <f t="shared" si="28"/>
        <v>Over</v>
      </c>
      <c r="AE71" s="44" t="str">
        <f>IFERROR(VLOOKUP(A71,'[1]Re-order'!$A:$AA,27,0),"")</f>
        <v>Over</v>
      </c>
      <c r="AF71" s="46">
        <f t="shared" si="29"/>
        <v>-0.66666666666666674</v>
      </c>
      <c r="AG71" s="46">
        <f>SUMIFS('[1]Raw Inventory'!D:D,'[1]Raw Inventory'!C:C,"GREATWALL",'[1]Raw Inventory'!B:B,A71)</f>
        <v>0</v>
      </c>
      <c r="AH71" s="46">
        <f>SUMIFS('[1]Raw Inventory'!D:D,'[1]Raw Inventory'!C:C,"DUARTE",'[1]Raw Inventory'!B:B,A71)</f>
        <v>0</v>
      </c>
      <c r="AI71" s="46"/>
      <c r="AJ71" s="46"/>
      <c r="AK71" s="43"/>
      <c r="AL71" s="43"/>
      <c r="AM71" s="43"/>
      <c r="AN71" s="43"/>
      <c r="AO71" s="43"/>
      <c r="AP71" s="43"/>
      <c r="AQ71" s="43"/>
      <c r="AR71" s="43"/>
      <c r="AS71" s="43"/>
      <c r="AT71" s="43"/>
    </row>
    <row r="72" spans="1:46">
      <c r="A72" s="43" t="s">
        <v>42</v>
      </c>
      <c r="B72" s="43" t="s">
        <v>111</v>
      </c>
      <c r="C72" s="43" t="s">
        <v>109</v>
      </c>
      <c r="D72" s="44" t="s">
        <v>240</v>
      </c>
      <c r="E72" s="44">
        <v>9</v>
      </c>
      <c r="F72" s="44" t="s">
        <v>2</v>
      </c>
      <c r="G72" s="43" t="str">
        <f>IFERROR(VLOOKUP(A72,'[1]MC Masterlist 2026-09-12'!$B:$M, 3, 0),"")</f>
        <v>YAMAHA</v>
      </c>
      <c r="H72" s="45">
        <f>IFERROR(VLOOKUP(A72,'[1]MC Masterlist 2026-09-12'!$B:$M, 6, 0),"")</f>
        <v>152892</v>
      </c>
      <c r="I72" s="46">
        <v>0</v>
      </c>
      <c r="J72" s="46">
        <v>1</v>
      </c>
      <c r="K72" s="46">
        <v>1</v>
      </c>
      <c r="L72" s="46">
        <f t="shared" si="15"/>
        <v>2</v>
      </c>
      <c r="M72" s="46">
        <f t="shared" si="16"/>
        <v>0.66666666666666663</v>
      </c>
      <c r="N72" s="45">
        <f t="shared" si="17"/>
        <v>305784</v>
      </c>
      <c r="O72" s="45">
        <f t="shared" si="18"/>
        <v>101928</v>
      </c>
      <c r="P72" s="46">
        <f t="shared" si="19"/>
        <v>2.222222222222222E-2</v>
      </c>
      <c r="Q72" s="46">
        <v>2</v>
      </c>
      <c r="R72" s="45">
        <f t="shared" si="20"/>
        <v>305784</v>
      </c>
      <c r="S72" s="46">
        <f t="shared" si="21"/>
        <v>90</v>
      </c>
      <c r="T72" s="46">
        <f>IFERROR(VLOOKUP(A72,'[1]Re-order'!$A:$Q,17,0),"")</f>
        <v>104.55882352941177</v>
      </c>
      <c r="U72" s="46">
        <f>IFERROR(VLOOKUP(A72,'[1]MC Masterlist 2026-09-12'!$B:$M, 10, 0),0)</f>
        <v>15</v>
      </c>
      <c r="V72" s="46">
        <f>IFERROR(VLOOKUP(A72,'[1]MC Masterlist 2026-09-12'!$B:$M, 11, 0),0)</f>
        <v>15</v>
      </c>
      <c r="W72" s="46">
        <f t="shared" si="22"/>
        <v>30</v>
      </c>
      <c r="X72" s="46">
        <f t="shared" si="23"/>
        <v>29.666666666666668</v>
      </c>
      <c r="Y72" s="46">
        <f>IFERROR(IF(OR(C72="AREA I",C72="AREA V"),7,VLOOKUP(A72,'[1]MC Masterlist 2026-09-12'!$B:$M, 12, 0)),0)</f>
        <v>30</v>
      </c>
      <c r="Z72" s="46">
        <f t="shared" si="24"/>
        <v>0.33333333333333331</v>
      </c>
      <c r="AA72" s="46">
        <f t="shared" si="25"/>
        <v>0.66666666666666663</v>
      </c>
      <c r="AB72" s="46">
        <f t="shared" si="26"/>
        <v>0.65925925925925921</v>
      </c>
      <c r="AC72" s="46">
        <f t="shared" si="27"/>
        <v>0.66666666666666663</v>
      </c>
      <c r="AD72" s="44" t="str">
        <f t="shared" si="28"/>
        <v>Over</v>
      </c>
      <c r="AE72" s="44" t="str">
        <f>IFERROR(VLOOKUP(A72,'[1]Re-order'!$A:$AA,27,0),"")</f>
        <v>Over</v>
      </c>
      <c r="AF72" s="46">
        <f t="shared" si="29"/>
        <v>-1.3333333333333335</v>
      </c>
      <c r="AG72" s="46">
        <f>SUMIFS('[1]Raw Inventory'!D:D,'[1]Raw Inventory'!C:C,"GREATWALL",'[1]Raw Inventory'!B:B,A72)</f>
        <v>3</v>
      </c>
      <c r="AH72" s="46">
        <f>SUMIFS('[1]Raw Inventory'!D:D,'[1]Raw Inventory'!C:C,"DUARTE",'[1]Raw Inventory'!B:B,A72)</f>
        <v>0</v>
      </c>
      <c r="AI72" s="46"/>
      <c r="AJ72" s="46"/>
      <c r="AK72" s="43"/>
      <c r="AL72" s="43"/>
      <c r="AM72" s="43"/>
      <c r="AN72" s="43"/>
      <c r="AO72" s="43"/>
      <c r="AP72" s="43"/>
      <c r="AQ72" s="43"/>
      <c r="AR72" s="43"/>
      <c r="AS72" s="43"/>
      <c r="AT72" s="43"/>
    </row>
    <row r="73" spans="1:46">
      <c r="A73" s="43" t="s">
        <v>102</v>
      </c>
      <c r="B73" s="43" t="s">
        <v>91</v>
      </c>
      <c r="C73" s="43" t="s">
        <v>90</v>
      </c>
      <c r="D73" s="44" t="s">
        <v>253</v>
      </c>
      <c r="E73" s="44">
        <v>14</v>
      </c>
      <c r="F73" s="44" t="s">
        <v>3</v>
      </c>
      <c r="G73" s="43" t="str">
        <f>IFERROR(VLOOKUP(A73,'[1]MC Masterlist 2026-09-12'!$B:$M, 3, 0),"")</f>
        <v>HONDA</v>
      </c>
      <c r="H73" s="45">
        <f>IFERROR(VLOOKUP(A73,'[1]MC Masterlist 2026-09-12'!$B:$M, 6, 0),"")</f>
        <v>178068</v>
      </c>
      <c r="I73" s="46">
        <v>0</v>
      </c>
      <c r="J73" s="46">
        <v>0</v>
      </c>
      <c r="K73" s="46">
        <v>0</v>
      </c>
      <c r="L73" s="46">
        <f t="shared" si="15"/>
        <v>0</v>
      </c>
      <c r="M73" s="46">
        <f t="shared" si="16"/>
        <v>0</v>
      </c>
      <c r="N73" s="45">
        <f t="shared" si="17"/>
        <v>0</v>
      </c>
      <c r="O73" s="45">
        <f t="shared" si="18"/>
        <v>0</v>
      </c>
      <c r="P73" s="46">
        <f t="shared" si="19"/>
        <v>0</v>
      </c>
      <c r="Q73" s="46">
        <v>1</v>
      </c>
      <c r="R73" s="45">
        <f t="shared" si="20"/>
        <v>178068</v>
      </c>
      <c r="S73" s="46">
        <f t="shared" si="21"/>
        <v>0</v>
      </c>
      <c r="T73" s="46" t="str">
        <f>IFERROR(VLOOKUP(A73,'[1]Re-order'!$A:$Q,17,0),"")</f>
        <v/>
      </c>
      <c r="U73" s="46">
        <f>IFERROR(VLOOKUP(A73,'[1]MC Masterlist 2026-09-12'!$B:$M, 10, 0),0)</f>
        <v>15</v>
      </c>
      <c r="V73" s="46">
        <f>IFERROR(VLOOKUP(A73,'[1]MC Masterlist 2026-09-12'!$B:$M, 11, 0),0)</f>
        <v>15</v>
      </c>
      <c r="W73" s="46">
        <f t="shared" si="22"/>
        <v>30</v>
      </c>
      <c r="X73" s="46">
        <f t="shared" si="23"/>
        <v>30</v>
      </c>
      <c r="Y73" s="46">
        <f>IFERROR(IF(OR(C73="AREA I",C73="AREA V"),7,VLOOKUP(A73,'[1]MC Masterlist 2026-09-12'!$B:$M, 12, 0)),0)</f>
        <v>30</v>
      </c>
      <c r="Z73" s="46">
        <f t="shared" si="24"/>
        <v>0</v>
      </c>
      <c r="AA73" s="46">
        <f t="shared" si="25"/>
        <v>0</v>
      </c>
      <c r="AB73" s="46">
        <f t="shared" si="26"/>
        <v>0</v>
      </c>
      <c r="AC73" s="46">
        <f t="shared" si="27"/>
        <v>0</v>
      </c>
      <c r="AD73" s="44" t="str">
        <f t="shared" si="28"/>
        <v>Over</v>
      </c>
      <c r="AE73" s="44" t="str">
        <f>IFERROR(VLOOKUP(A73,'[1]Re-order'!$A:$AA,27,0),"")</f>
        <v>Over</v>
      </c>
      <c r="AF73" s="46">
        <f t="shared" si="29"/>
        <v>-1</v>
      </c>
      <c r="AG73" s="46">
        <f>SUMIFS('[1]Raw Inventory'!D:D,'[1]Raw Inventory'!C:C,"GREATWALL",'[1]Raw Inventory'!B:B,A73)</f>
        <v>0</v>
      </c>
      <c r="AH73" s="46">
        <f>SUMIFS('[1]Raw Inventory'!D:D,'[1]Raw Inventory'!C:C,"DUARTE",'[1]Raw Inventory'!B:B,A73)</f>
        <v>0</v>
      </c>
      <c r="AI73" s="46"/>
      <c r="AJ73" s="46"/>
      <c r="AK73" s="43"/>
      <c r="AL73" s="43"/>
      <c r="AM73" s="43"/>
      <c r="AN73" s="43"/>
      <c r="AO73" s="43"/>
      <c r="AP73" s="43"/>
      <c r="AQ73" s="43"/>
      <c r="AR73" s="43"/>
      <c r="AS73" s="43"/>
      <c r="AT73" s="43"/>
    </row>
    <row r="74" spans="1:46">
      <c r="A74" s="43" t="s">
        <v>52</v>
      </c>
      <c r="B74" s="43" t="s">
        <v>119</v>
      </c>
      <c r="C74" s="43" t="s">
        <v>118</v>
      </c>
      <c r="D74" s="44" t="s">
        <v>221</v>
      </c>
      <c r="E74" s="44">
        <v>26</v>
      </c>
      <c r="F74" s="44" t="s">
        <v>3</v>
      </c>
      <c r="G74" s="43" t="str">
        <f>IFERROR(VLOOKUP(A74,'[1]MC Masterlist 2026-09-12'!$B:$M, 3, 0),"")</f>
        <v>YAMAHA</v>
      </c>
      <c r="H74" s="45">
        <f>IFERROR(VLOOKUP(A74,'[1]MC Masterlist 2026-09-12'!$B:$M, 6, 0),"")</f>
        <v>85446</v>
      </c>
      <c r="I74" s="46">
        <v>0</v>
      </c>
      <c r="J74" s="46">
        <v>0</v>
      </c>
      <c r="K74" s="46">
        <v>1</v>
      </c>
      <c r="L74" s="46">
        <f t="shared" si="15"/>
        <v>1</v>
      </c>
      <c r="M74" s="46">
        <f t="shared" si="16"/>
        <v>0.33333333333333331</v>
      </c>
      <c r="N74" s="45">
        <f t="shared" si="17"/>
        <v>85446</v>
      </c>
      <c r="O74" s="45">
        <f t="shared" si="18"/>
        <v>28482</v>
      </c>
      <c r="P74" s="46">
        <f t="shared" si="19"/>
        <v>1.111111111111111E-2</v>
      </c>
      <c r="Q74" s="46">
        <v>1</v>
      </c>
      <c r="R74" s="45">
        <f t="shared" si="20"/>
        <v>85446</v>
      </c>
      <c r="S74" s="46">
        <f t="shared" si="21"/>
        <v>90</v>
      </c>
      <c r="T74" s="46">
        <f>IFERROR(VLOOKUP(A74,'[1]Re-order'!$A:$Q,17,0),"")</f>
        <v>95.454545454545453</v>
      </c>
      <c r="U74" s="46">
        <f>IFERROR(VLOOKUP(A74,'[1]MC Masterlist 2026-09-12'!$B:$M, 10, 0),0)</f>
        <v>15</v>
      </c>
      <c r="V74" s="46">
        <f>IFERROR(VLOOKUP(A74,'[1]MC Masterlist 2026-09-12'!$B:$M, 11, 0),0)</f>
        <v>15</v>
      </c>
      <c r="W74" s="46">
        <f t="shared" si="22"/>
        <v>30</v>
      </c>
      <c r="X74" s="46">
        <f t="shared" si="23"/>
        <v>29.833333333333332</v>
      </c>
      <c r="Y74" s="46">
        <f>IFERROR(IF(OR(C74="AREA I",C74="AREA V"),7,VLOOKUP(A74,'[1]MC Masterlist 2026-09-12'!$B:$M, 12, 0)),0)</f>
        <v>30</v>
      </c>
      <c r="Z74" s="46">
        <f t="shared" si="24"/>
        <v>0.16666666666666666</v>
      </c>
      <c r="AA74" s="46">
        <f t="shared" si="25"/>
        <v>0.33333333333333331</v>
      </c>
      <c r="AB74" s="46">
        <f t="shared" si="26"/>
        <v>0.33148148148148143</v>
      </c>
      <c r="AC74" s="46">
        <f t="shared" si="27"/>
        <v>0.33333333333333331</v>
      </c>
      <c r="AD74" s="44" t="str">
        <f t="shared" si="28"/>
        <v>Over</v>
      </c>
      <c r="AE74" s="44" t="str">
        <f>IFERROR(VLOOKUP(A74,'[1]Re-order'!$A:$AA,27,0),"")</f>
        <v>Over</v>
      </c>
      <c r="AF74" s="46">
        <f t="shared" si="29"/>
        <v>-0.66666666666666674</v>
      </c>
      <c r="AG74" s="46">
        <f>SUMIFS('[1]Raw Inventory'!D:D,'[1]Raw Inventory'!C:C,"GREATWALL",'[1]Raw Inventory'!B:B,A74)</f>
        <v>0</v>
      </c>
      <c r="AH74" s="46">
        <f>SUMIFS('[1]Raw Inventory'!D:D,'[1]Raw Inventory'!C:C,"DUARTE",'[1]Raw Inventory'!B:B,A74)</f>
        <v>0</v>
      </c>
      <c r="AI74" s="46"/>
      <c r="AJ74" s="46"/>
      <c r="AK74" s="43"/>
      <c r="AL74" s="43"/>
      <c r="AM74" s="43"/>
      <c r="AN74" s="43"/>
      <c r="AO74" s="43"/>
      <c r="AP74" s="43"/>
      <c r="AQ74" s="43"/>
      <c r="AR74" s="43"/>
      <c r="AS74" s="43"/>
      <c r="AT74" s="43"/>
    </row>
    <row r="75" spans="1:46">
      <c r="A75" s="43" t="s">
        <v>72</v>
      </c>
      <c r="B75" s="43" t="s">
        <v>5</v>
      </c>
      <c r="C75" s="43" t="s">
        <v>118</v>
      </c>
      <c r="D75" s="44" t="s">
        <v>231</v>
      </c>
      <c r="E75" s="44">
        <v>23</v>
      </c>
      <c r="F75" s="44" t="s">
        <v>3</v>
      </c>
      <c r="G75" s="43" t="str">
        <f>IFERROR(VLOOKUP(A75,'[1]MC Masterlist 2026-09-12'!$B:$M, 3, 0),"")</f>
        <v>KAWASAKI</v>
      </c>
      <c r="H75" s="45">
        <f>IFERROR(VLOOKUP(A75,'[1]MC Masterlist 2026-09-12'!$B:$M, 6, 0),"")</f>
        <v>52948</v>
      </c>
      <c r="I75" s="46">
        <v>0</v>
      </c>
      <c r="J75" s="46">
        <v>0</v>
      </c>
      <c r="K75" s="46">
        <v>0</v>
      </c>
      <c r="L75" s="46">
        <f t="shared" si="15"/>
        <v>0</v>
      </c>
      <c r="M75" s="46">
        <f t="shared" si="16"/>
        <v>0</v>
      </c>
      <c r="N75" s="45">
        <f t="shared" si="17"/>
        <v>0</v>
      </c>
      <c r="O75" s="45">
        <f t="shared" si="18"/>
        <v>0</v>
      </c>
      <c r="P75" s="46">
        <f t="shared" si="19"/>
        <v>0</v>
      </c>
      <c r="Q75" s="46">
        <v>1</v>
      </c>
      <c r="R75" s="45">
        <f t="shared" si="20"/>
        <v>52948</v>
      </c>
      <c r="S75" s="46">
        <f t="shared" si="21"/>
        <v>0</v>
      </c>
      <c r="T75" s="46">
        <f>IFERROR(VLOOKUP(A75,'[1]Re-order'!$A:$Q,17,0),"")</f>
        <v>378</v>
      </c>
      <c r="U75" s="46">
        <f>IFERROR(VLOOKUP(A75,'[1]MC Masterlist 2026-09-12'!$B:$M, 10, 0),0)</f>
        <v>15</v>
      </c>
      <c r="V75" s="46">
        <f>IFERROR(VLOOKUP(A75,'[1]MC Masterlist 2026-09-12'!$B:$M, 11, 0),0)</f>
        <v>15</v>
      </c>
      <c r="W75" s="46">
        <f t="shared" si="22"/>
        <v>30</v>
      </c>
      <c r="X75" s="46">
        <f t="shared" si="23"/>
        <v>30</v>
      </c>
      <c r="Y75" s="46">
        <f>IFERROR(IF(OR(C75="AREA I",C75="AREA V"),7,VLOOKUP(A75,'[1]MC Masterlist 2026-09-12'!$B:$M, 12, 0)),0)</f>
        <v>30</v>
      </c>
      <c r="Z75" s="46">
        <f t="shared" si="24"/>
        <v>0</v>
      </c>
      <c r="AA75" s="46">
        <f t="shared" si="25"/>
        <v>0</v>
      </c>
      <c r="AB75" s="46">
        <f t="shared" si="26"/>
        <v>0</v>
      </c>
      <c r="AC75" s="46">
        <f t="shared" si="27"/>
        <v>0</v>
      </c>
      <c r="AD75" s="44" t="str">
        <f t="shared" si="28"/>
        <v>Over</v>
      </c>
      <c r="AE75" s="44" t="str">
        <f>IFERROR(VLOOKUP(A75,'[1]Re-order'!$A:$AA,27,0),"")</f>
        <v>Over</v>
      </c>
      <c r="AF75" s="46">
        <f t="shared" si="29"/>
        <v>-1</v>
      </c>
      <c r="AG75" s="46">
        <f>SUMIFS('[1]Raw Inventory'!D:D,'[1]Raw Inventory'!C:C,"GREATWALL",'[1]Raw Inventory'!B:B,A75)</f>
        <v>15</v>
      </c>
      <c r="AH75" s="46">
        <f>SUMIFS('[1]Raw Inventory'!D:D,'[1]Raw Inventory'!C:C,"DUARTE",'[1]Raw Inventory'!B:B,A75)</f>
        <v>0</v>
      </c>
      <c r="AI75" s="46"/>
      <c r="AJ75" s="46"/>
      <c r="AK75" s="43"/>
      <c r="AL75" s="43"/>
      <c r="AM75" s="43"/>
      <c r="AN75" s="43"/>
      <c r="AO75" s="43"/>
      <c r="AP75" s="43"/>
      <c r="AQ75" s="43"/>
      <c r="AR75" s="43"/>
      <c r="AS75" s="43"/>
      <c r="AT75" s="43"/>
    </row>
    <row r="76" spans="1:46">
      <c r="A76" s="43" t="s">
        <v>76</v>
      </c>
      <c r="B76" s="43" t="s">
        <v>29</v>
      </c>
      <c r="C76" s="43" t="s">
        <v>1</v>
      </c>
      <c r="D76" s="44" t="s">
        <v>221</v>
      </c>
      <c r="E76" s="44">
        <v>27</v>
      </c>
      <c r="F76" s="44" t="s">
        <v>3</v>
      </c>
      <c r="G76" s="43" t="str">
        <f>IFERROR(VLOOKUP(A76,'[1]MC Masterlist 2026-09-12'!$B:$M, 3, 0),"")</f>
        <v>SUZUKI</v>
      </c>
      <c r="H76" s="45">
        <f>IFERROR(VLOOKUP(A76,'[1]MC Masterlist 2026-09-12'!$B:$M, 6, 0),"")</f>
        <v>62692</v>
      </c>
      <c r="I76" s="46">
        <v>2</v>
      </c>
      <c r="J76" s="46">
        <v>0</v>
      </c>
      <c r="K76" s="46">
        <v>0</v>
      </c>
      <c r="L76" s="46">
        <f t="shared" si="15"/>
        <v>2</v>
      </c>
      <c r="M76" s="46">
        <f t="shared" si="16"/>
        <v>0.66666666666666663</v>
      </c>
      <c r="N76" s="45">
        <f t="shared" si="17"/>
        <v>125384</v>
      </c>
      <c r="O76" s="45">
        <f t="shared" si="18"/>
        <v>41794.666666666664</v>
      </c>
      <c r="P76" s="46">
        <f t="shared" si="19"/>
        <v>2.222222222222222E-2</v>
      </c>
      <c r="Q76" s="46">
        <v>1</v>
      </c>
      <c r="R76" s="45">
        <f t="shared" si="20"/>
        <v>62692</v>
      </c>
      <c r="S76" s="46">
        <f t="shared" si="21"/>
        <v>45</v>
      </c>
      <c r="T76" s="46">
        <f>IFERROR(VLOOKUP(A76,'[1]Re-order'!$A:$Q,17,0),"")</f>
        <v>106.36363636363636</v>
      </c>
      <c r="U76" s="46">
        <f>IFERROR(VLOOKUP(A76,'[1]MC Masterlist 2026-09-12'!$B:$M, 10, 0),0)</f>
        <v>15</v>
      </c>
      <c r="V76" s="46">
        <f>IFERROR(VLOOKUP(A76,'[1]MC Masterlist 2026-09-12'!$B:$M, 11, 0),0)</f>
        <v>15</v>
      </c>
      <c r="W76" s="46">
        <f t="shared" si="22"/>
        <v>30</v>
      </c>
      <c r="X76" s="46">
        <f t="shared" si="23"/>
        <v>6.666666666666667</v>
      </c>
      <c r="Y76" s="46">
        <f>IFERROR(IF(OR(C76="AREA I",C76="AREA V"),7,VLOOKUP(A76,'[1]MC Masterlist 2026-09-12'!$B:$M, 12, 0)),0)</f>
        <v>7</v>
      </c>
      <c r="Z76" s="46">
        <f t="shared" si="24"/>
        <v>0.33333333333333331</v>
      </c>
      <c r="AA76" s="46">
        <f t="shared" si="25"/>
        <v>0.66666666666666663</v>
      </c>
      <c r="AB76" s="46">
        <f t="shared" si="26"/>
        <v>0.14814814814814814</v>
      </c>
      <c r="AC76" s="46">
        <f t="shared" si="27"/>
        <v>0.15555555555555553</v>
      </c>
      <c r="AD76" s="44" t="str">
        <f t="shared" si="28"/>
        <v>Over</v>
      </c>
      <c r="AE76" s="44" t="str">
        <f>IFERROR(VLOOKUP(A76,'[1]Re-order'!$A:$AA,27,0),"")</f>
        <v>Over</v>
      </c>
      <c r="AF76" s="46">
        <f t="shared" si="29"/>
        <v>-0.84444444444444444</v>
      </c>
      <c r="AG76" s="46">
        <f>SUMIFS('[1]Raw Inventory'!D:D,'[1]Raw Inventory'!C:C,"GREATWALL",'[1]Raw Inventory'!B:B,A76)</f>
        <v>1</v>
      </c>
      <c r="AH76" s="46">
        <f>SUMIFS('[1]Raw Inventory'!D:D,'[1]Raw Inventory'!C:C,"DUARTE",'[1]Raw Inventory'!B:B,A76)</f>
        <v>0</v>
      </c>
      <c r="AI76" s="46"/>
      <c r="AJ76" s="46"/>
      <c r="AK76" s="43"/>
      <c r="AL76" s="43"/>
      <c r="AM76" s="43"/>
      <c r="AN76" s="43"/>
      <c r="AO76" s="43"/>
      <c r="AP76" s="43"/>
      <c r="AQ76" s="43"/>
      <c r="AR76" s="43"/>
      <c r="AS76" s="43"/>
      <c r="AT76" s="43"/>
    </row>
    <row r="77" spans="1:46">
      <c r="A77" s="43" t="s">
        <v>61</v>
      </c>
      <c r="B77" s="43" t="s">
        <v>98</v>
      </c>
      <c r="C77" s="43" t="s">
        <v>90</v>
      </c>
      <c r="D77" s="44" t="s">
        <v>253</v>
      </c>
      <c r="E77" s="44">
        <v>22</v>
      </c>
      <c r="F77" s="44" t="s">
        <v>3</v>
      </c>
      <c r="G77" s="43" t="str">
        <f>IFERROR(VLOOKUP(A77,'[1]MC Masterlist 2026-09-12'!$B:$M, 3, 0),"")</f>
        <v>HONDA</v>
      </c>
      <c r="H77" s="45">
        <f>IFERROR(VLOOKUP(A77,'[1]MC Masterlist 2026-09-12'!$B:$M, 6, 0),"")</f>
        <v>63510</v>
      </c>
      <c r="I77" s="46">
        <v>0</v>
      </c>
      <c r="J77" s="46">
        <v>0</v>
      </c>
      <c r="K77" s="46">
        <v>0</v>
      </c>
      <c r="L77" s="46">
        <f t="shared" si="15"/>
        <v>0</v>
      </c>
      <c r="M77" s="46">
        <f t="shared" si="16"/>
        <v>0</v>
      </c>
      <c r="N77" s="45">
        <f t="shared" si="17"/>
        <v>0</v>
      </c>
      <c r="O77" s="45">
        <f t="shared" si="18"/>
        <v>0</v>
      </c>
      <c r="P77" s="46">
        <f t="shared" si="19"/>
        <v>0</v>
      </c>
      <c r="Q77" s="46">
        <v>1</v>
      </c>
      <c r="R77" s="45">
        <f t="shared" si="20"/>
        <v>63510</v>
      </c>
      <c r="S77" s="46">
        <f t="shared" si="21"/>
        <v>0</v>
      </c>
      <c r="T77" s="46">
        <f>IFERROR(VLOOKUP(A77,'[1]Re-order'!$A:$Q,17,0),"")</f>
        <v>135</v>
      </c>
      <c r="U77" s="46">
        <f>IFERROR(VLOOKUP(A77,'[1]MC Masterlist 2026-09-12'!$B:$M, 10, 0),0)</f>
        <v>15</v>
      </c>
      <c r="V77" s="46">
        <f>IFERROR(VLOOKUP(A77,'[1]MC Masterlist 2026-09-12'!$B:$M, 11, 0),0)</f>
        <v>15</v>
      </c>
      <c r="W77" s="46">
        <f t="shared" si="22"/>
        <v>30</v>
      </c>
      <c r="X77" s="46">
        <f t="shared" si="23"/>
        <v>30</v>
      </c>
      <c r="Y77" s="46">
        <f>IFERROR(IF(OR(C77="AREA I",C77="AREA V"),7,VLOOKUP(A77,'[1]MC Masterlist 2026-09-12'!$B:$M, 12, 0)),0)</f>
        <v>30</v>
      </c>
      <c r="Z77" s="46">
        <f t="shared" si="24"/>
        <v>0</v>
      </c>
      <c r="AA77" s="46">
        <f t="shared" si="25"/>
        <v>0</v>
      </c>
      <c r="AB77" s="46">
        <f t="shared" si="26"/>
        <v>0</v>
      </c>
      <c r="AC77" s="46">
        <f t="shared" si="27"/>
        <v>0</v>
      </c>
      <c r="AD77" s="44" t="str">
        <f t="shared" si="28"/>
        <v>Over</v>
      </c>
      <c r="AE77" s="44" t="str">
        <f>IFERROR(VLOOKUP(A77,'[1]Re-order'!$A:$AA,27,0),"")</f>
        <v>Over</v>
      </c>
      <c r="AF77" s="46">
        <f t="shared" si="29"/>
        <v>-1</v>
      </c>
      <c r="AG77" s="46">
        <f>SUMIFS('[1]Raw Inventory'!D:D,'[1]Raw Inventory'!C:C,"GREATWALL",'[1]Raw Inventory'!B:B,A77)</f>
        <v>1</v>
      </c>
      <c r="AH77" s="46">
        <f>SUMIFS('[1]Raw Inventory'!D:D,'[1]Raw Inventory'!C:C,"DUARTE",'[1]Raw Inventory'!B:B,A77)</f>
        <v>0</v>
      </c>
      <c r="AI77" s="46"/>
      <c r="AJ77" s="46"/>
      <c r="AK77" s="43"/>
      <c r="AL77" s="43"/>
      <c r="AM77" s="43"/>
      <c r="AN77" s="43"/>
      <c r="AO77" s="43"/>
      <c r="AP77" s="43"/>
      <c r="AQ77" s="43"/>
      <c r="AR77" s="43"/>
      <c r="AS77" s="43"/>
      <c r="AT77" s="43"/>
    </row>
    <row r="78" spans="1:46">
      <c r="A78" s="43" t="s">
        <v>37</v>
      </c>
      <c r="B78" s="43" t="s">
        <v>93</v>
      </c>
      <c r="C78" s="43" t="s">
        <v>90</v>
      </c>
      <c r="D78" s="44" t="s">
        <v>241</v>
      </c>
      <c r="E78" s="44">
        <v>18</v>
      </c>
      <c r="F78" s="44" t="s">
        <v>3</v>
      </c>
      <c r="G78" s="43" t="str">
        <f>IFERROR(VLOOKUP(A78,'[1]MC Masterlist 2026-09-12'!$B:$M, 3, 0),"")</f>
        <v>HONDA</v>
      </c>
      <c r="H78" s="45">
        <f>IFERROR(VLOOKUP(A78,'[1]MC Masterlist 2026-09-12'!$B:$M, 6, 0),"")</f>
        <v>74550</v>
      </c>
      <c r="I78" s="46">
        <v>0</v>
      </c>
      <c r="J78" s="46">
        <v>1</v>
      </c>
      <c r="K78" s="46">
        <v>0</v>
      </c>
      <c r="L78" s="46">
        <f t="shared" si="15"/>
        <v>1</v>
      </c>
      <c r="M78" s="46">
        <f t="shared" si="16"/>
        <v>0.33333333333333331</v>
      </c>
      <c r="N78" s="45">
        <f t="shared" si="17"/>
        <v>74550</v>
      </c>
      <c r="O78" s="45">
        <f t="shared" si="18"/>
        <v>24850</v>
      </c>
      <c r="P78" s="46">
        <f t="shared" si="19"/>
        <v>1.111111111111111E-2</v>
      </c>
      <c r="Q78" s="46"/>
      <c r="R78" s="45">
        <f t="shared" si="20"/>
        <v>0</v>
      </c>
      <c r="S78" s="46">
        <f t="shared" si="21"/>
        <v>0</v>
      </c>
      <c r="T78" s="46">
        <f>IFERROR(VLOOKUP(A78,'[1]Re-order'!$A:$Q,17,0),"")</f>
        <v>33.652173913043477</v>
      </c>
      <c r="U78" s="46">
        <f>IFERROR(VLOOKUP(A78,'[1]MC Masterlist 2026-09-12'!$B:$M, 10, 0),0)</f>
        <v>15</v>
      </c>
      <c r="V78" s="46">
        <f>IFERROR(VLOOKUP(A78,'[1]MC Masterlist 2026-09-12'!$B:$M, 11, 0),0)</f>
        <v>15</v>
      </c>
      <c r="W78" s="46">
        <f t="shared" si="22"/>
        <v>30</v>
      </c>
      <c r="X78" s="46">
        <f t="shared" si="23"/>
        <v>29.833333333333332</v>
      </c>
      <c r="Y78" s="46">
        <f>IFERROR(IF(OR(C78="AREA I",C78="AREA V"),7,VLOOKUP(A78,'[1]MC Masterlist 2026-09-12'!$B:$M, 12, 0)),0)</f>
        <v>30</v>
      </c>
      <c r="Z78" s="46">
        <f t="shared" si="24"/>
        <v>0.16666666666666666</v>
      </c>
      <c r="AA78" s="46">
        <f t="shared" si="25"/>
        <v>0.33333333333333331</v>
      </c>
      <c r="AB78" s="46">
        <f t="shared" si="26"/>
        <v>0.33148148148148143</v>
      </c>
      <c r="AC78" s="46">
        <f t="shared" si="27"/>
        <v>0.33333333333333331</v>
      </c>
      <c r="AD78" s="44" t="str">
        <f t="shared" si="28"/>
        <v>Stockout</v>
      </c>
      <c r="AE78" s="44" t="str">
        <f>IFERROR(VLOOKUP(A78,'[1]Re-order'!$A:$AA,27,0),"")</f>
        <v>Re-order</v>
      </c>
      <c r="AF78" s="46">
        <f t="shared" si="29"/>
        <v>0.33333333333333331</v>
      </c>
      <c r="AG78" s="46">
        <f>SUMIFS('[1]Raw Inventory'!D:D,'[1]Raw Inventory'!C:C,"GREATWALL",'[1]Raw Inventory'!B:B,A78)</f>
        <v>28</v>
      </c>
      <c r="AH78" s="46">
        <f>SUMIFS('[1]Raw Inventory'!D:D,'[1]Raw Inventory'!C:C,"DUARTE",'[1]Raw Inventory'!B:B,A78)</f>
        <v>0</v>
      </c>
      <c r="AI78" s="46"/>
      <c r="AJ78" s="46"/>
      <c r="AK78" s="43"/>
      <c r="AL78" s="43"/>
      <c r="AM78" s="43"/>
      <c r="AN78" s="43"/>
      <c r="AO78" s="43"/>
      <c r="AP78" s="43"/>
      <c r="AQ78" s="43"/>
      <c r="AR78" s="43"/>
      <c r="AS78" s="43"/>
      <c r="AT78" s="43"/>
    </row>
    <row r="79" spans="1:46">
      <c r="A79" s="43" t="s">
        <v>22</v>
      </c>
      <c r="B79" s="43" t="s">
        <v>141</v>
      </c>
      <c r="C79" s="43" t="s">
        <v>137</v>
      </c>
      <c r="D79" s="44" t="s">
        <v>240</v>
      </c>
      <c r="E79" s="44">
        <v>13</v>
      </c>
      <c r="F79" s="44" t="s">
        <v>2</v>
      </c>
      <c r="G79" s="43" t="str">
        <f>IFERROR(VLOOKUP(A79,'[1]MC Masterlist 2026-09-12'!$B:$M, 3, 0),"")</f>
        <v>HONDA</v>
      </c>
      <c r="H79" s="45">
        <f>IFERROR(VLOOKUP(A79,'[1]MC Masterlist 2026-09-12'!$B:$M, 6, 0),"")</f>
        <v>111258</v>
      </c>
      <c r="I79" s="46">
        <v>0</v>
      </c>
      <c r="J79" s="46">
        <v>2</v>
      </c>
      <c r="K79" s="46">
        <v>1</v>
      </c>
      <c r="L79" s="46">
        <f t="shared" si="15"/>
        <v>3</v>
      </c>
      <c r="M79" s="46">
        <f t="shared" si="16"/>
        <v>1</v>
      </c>
      <c r="N79" s="45">
        <f t="shared" si="17"/>
        <v>333774</v>
      </c>
      <c r="O79" s="45">
        <f t="shared" si="18"/>
        <v>111258</v>
      </c>
      <c r="P79" s="46">
        <f t="shared" si="19"/>
        <v>3.3333333333333333E-2</v>
      </c>
      <c r="Q79" s="46">
        <v>1</v>
      </c>
      <c r="R79" s="45">
        <f t="shared" si="20"/>
        <v>111258</v>
      </c>
      <c r="S79" s="46">
        <f t="shared" si="21"/>
        <v>30</v>
      </c>
      <c r="T79" s="46">
        <f>IFERROR(VLOOKUP(A79,'[1]Re-order'!$A:$Q,17,0),"")</f>
        <v>41.339712918660283</v>
      </c>
      <c r="U79" s="46">
        <f>IFERROR(VLOOKUP(A79,'[1]MC Masterlist 2026-09-12'!$B:$M, 10, 0),0)</f>
        <v>15</v>
      </c>
      <c r="V79" s="46">
        <f>IFERROR(VLOOKUP(A79,'[1]MC Masterlist 2026-09-12'!$B:$M, 11, 0),0)</f>
        <v>15</v>
      </c>
      <c r="W79" s="46">
        <f t="shared" si="22"/>
        <v>30</v>
      </c>
      <c r="X79" s="46">
        <f t="shared" si="23"/>
        <v>6.5</v>
      </c>
      <c r="Y79" s="46">
        <f>IFERROR(IF(OR(C79="AREA I",C79="AREA V"),7,VLOOKUP(A79,'[1]MC Masterlist 2026-09-12'!$B:$M, 12, 0)),0)</f>
        <v>7</v>
      </c>
      <c r="Z79" s="46">
        <f t="shared" si="24"/>
        <v>0.5</v>
      </c>
      <c r="AA79" s="46">
        <f t="shared" si="25"/>
        <v>1</v>
      </c>
      <c r="AB79" s="46">
        <f t="shared" si="26"/>
        <v>0.21666666666666667</v>
      </c>
      <c r="AC79" s="46">
        <f t="shared" si="27"/>
        <v>0.23333333333333334</v>
      </c>
      <c r="AD79" s="44" t="str">
        <f t="shared" si="28"/>
        <v>Over</v>
      </c>
      <c r="AE79" s="44" t="str">
        <f>IFERROR(VLOOKUP(A79,'[1]Re-order'!$A:$AA,27,0),"")</f>
        <v>Re-order</v>
      </c>
      <c r="AF79" s="46">
        <f t="shared" si="29"/>
        <v>-0.76666666666666661</v>
      </c>
      <c r="AG79" s="46">
        <f>SUMIFS('[1]Raw Inventory'!D:D,'[1]Raw Inventory'!C:C,"GREATWALL",'[1]Raw Inventory'!B:B,A79)</f>
        <v>4</v>
      </c>
      <c r="AH79" s="46">
        <f>SUMIFS('[1]Raw Inventory'!D:D,'[1]Raw Inventory'!C:C,"DUARTE",'[1]Raw Inventory'!B:B,A79)</f>
        <v>0</v>
      </c>
      <c r="AI79" s="46"/>
      <c r="AJ79" s="46"/>
      <c r="AK79" s="43"/>
      <c r="AL79" s="43"/>
      <c r="AM79" s="43"/>
      <c r="AN79" s="43"/>
      <c r="AO79" s="43"/>
      <c r="AP79" s="43"/>
      <c r="AQ79" s="43"/>
      <c r="AR79" s="43"/>
      <c r="AS79" s="43"/>
      <c r="AT79" s="43"/>
    </row>
    <row r="80" spans="1:46">
      <c r="A80" s="43" t="s">
        <v>12</v>
      </c>
      <c r="B80" s="43" t="s">
        <v>98</v>
      </c>
      <c r="C80" s="43" t="s">
        <v>90</v>
      </c>
      <c r="D80" s="44" t="s">
        <v>254</v>
      </c>
      <c r="E80" s="44">
        <v>7</v>
      </c>
      <c r="F80" s="44" t="s">
        <v>2</v>
      </c>
      <c r="G80" s="43" t="str">
        <f>IFERROR(VLOOKUP(A80,'[1]MC Masterlist 2026-09-12'!$B:$M, 3, 0),"")</f>
        <v>HONDA</v>
      </c>
      <c r="H80" s="45">
        <f>IFERROR(VLOOKUP(A80,'[1]MC Masterlist 2026-09-12'!$B:$M, 6, 0),"")</f>
        <v>158270</v>
      </c>
      <c r="I80" s="46">
        <v>2</v>
      </c>
      <c r="J80" s="46">
        <v>0</v>
      </c>
      <c r="K80" s="46">
        <v>1</v>
      </c>
      <c r="L80" s="46">
        <f t="shared" si="15"/>
        <v>3</v>
      </c>
      <c r="M80" s="46">
        <f t="shared" si="16"/>
        <v>1</v>
      </c>
      <c r="N80" s="45">
        <f t="shared" si="17"/>
        <v>474810</v>
      </c>
      <c r="O80" s="45">
        <f t="shared" si="18"/>
        <v>158270</v>
      </c>
      <c r="P80" s="46">
        <f t="shared" si="19"/>
        <v>3.3333333333333333E-2</v>
      </c>
      <c r="Q80" s="46">
        <v>1</v>
      </c>
      <c r="R80" s="45">
        <f t="shared" si="20"/>
        <v>158270</v>
      </c>
      <c r="S80" s="46">
        <f t="shared" si="21"/>
        <v>30</v>
      </c>
      <c r="T80" s="46">
        <f>IFERROR(VLOOKUP(A80,'[1]Re-order'!$A:$Q,17,0),"")</f>
        <v>46.461038961038959</v>
      </c>
      <c r="U80" s="46">
        <f>IFERROR(VLOOKUP(A80,'[1]MC Masterlist 2026-09-12'!$B:$M, 10, 0),0)</f>
        <v>15</v>
      </c>
      <c r="V80" s="46">
        <f>IFERROR(VLOOKUP(A80,'[1]MC Masterlist 2026-09-12'!$B:$M, 11, 0),0)</f>
        <v>15</v>
      </c>
      <c r="W80" s="46">
        <f t="shared" si="22"/>
        <v>30</v>
      </c>
      <c r="X80" s="46">
        <f t="shared" si="23"/>
        <v>29.5</v>
      </c>
      <c r="Y80" s="46">
        <f>IFERROR(IF(OR(C80="AREA I",C80="AREA V"),7,VLOOKUP(A80,'[1]MC Masterlist 2026-09-12'!$B:$M, 12, 0)),0)</f>
        <v>30</v>
      </c>
      <c r="Z80" s="46">
        <f t="shared" si="24"/>
        <v>0.5</v>
      </c>
      <c r="AA80" s="46">
        <f t="shared" si="25"/>
        <v>1</v>
      </c>
      <c r="AB80" s="46">
        <f t="shared" si="26"/>
        <v>0.98333333333333328</v>
      </c>
      <c r="AC80" s="46">
        <f t="shared" si="27"/>
        <v>1</v>
      </c>
      <c r="AD80" s="44" t="str">
        <f t="shared" si="28"/>
        <v>Re-order</v>
      </c>
      <c r="AE80" s="44" t="str">
        <f>IFERROR(VLOOKUP(A80,'[1]Re-order'!$A:$AA,27,0),"")</f>
        <v>Re-order</v>
      </c>
      <c r="AF80" s="46">
        <f t="shared" si="29"/>
        <v>0</v>
      </c>
      <c r="AG80" s="46">
        <f>SUMIFS('[1]Raw Inventory'!D:D,'[1]Raw Inventory'!C:C,"GREATWALL",'[1]Raw Inventory'!B:B,A80)</f>
        <v>35</v>
      </c>
      <c r="AH80" s="46">
        <f>SUMIFS('[1]Raw Inventory'!D:D,'[1]Raw Inventory'!C:C,"DUARTE",'[1]Raw Inventory'!B:B,A80)</f>
        <v>0</v>
      </c>
      <c r="AI80" s="46"/>
      <c r="AJ80" s="46"/>
      <c r="AK80" s="43"/>
      <c r="AL80" s="43"/>
      <c r="AM80" s="43"/>
      <c r="AN80" s="43"/>
      <c r="AO80" s="43"/>
      <c r="AP80" s="43"/>
      <c r="AQ80" s="43"/>
      <c r="AR80" s="43"/>
      <c r="AS80" s="43"/>
      <c r="AT80" s="43"/>
    </row>
    <row r="81" spans="1:46">
      <c r="A81" s="43" t="s">
        <v>79</v>
      </c>
      <c r="B81" s="43" t="s">
        <v>29</v>
      </c>
      <c r="C81" s="43" t="s">
        <v>1</v>
      </c>
      <c r="D81" s="44" t="s">
        <v>235</v>
      </c>
      <c r="E81" s="44">
        <v>32</v>
      </c>
      <c r="F81" s="44" t="s">
        <v>3</v>
      </c>
      <c r="G81" s="43" t="str">
        <f>IFERROR(VLOOKUP(A81,'[1]MC Masterlist 2026-09-12'!$B:$M, 3, 0),"")</f>
        <v>SUZUKI</v>
      </c>
      <c r="H81" s="45">
        <f>IFERROR(VLOOKUP(A81,'[1]MC Masterlist 2026-09-12'!$B:$M, 6, 0),"")</f>
        <v>78872</v>
      </c>
      <c r="I81" s="46">
        <v>0</v>
      </c>
      <c r="J81" s="46">
        <v>1</v>
      </c>
      <c r="K81" s="46">
        <v>0</v>
      </c>
      <c r="L81" s="46">
        <f t="shared" si="15"/>
        <v>1</v>
      </c>
      <c r="M81" s="46">
        <f t="shared" si="16"/>
        <v>0.33333333333333331</v>
      </c>
      <c r="N81" s="45">
        <f t="shared" si="17"/>
        <v>78872</v>
      </c>
      <c r="O81" s="45">
        <f t="shared" si="18"/>
        <v>26290.666666666664</v>
      </c>
      <c r="P81" s="46">
        <f t="shared" si="19"/>
        <v>1.111111111111111E-2</v>
      </c>
      <c r="Q81" s="46"/>
      <c r="R81" s="45">
        <f t="shared" si="20"/>
        <v>0</v>
      </c>
      <c r="S81" s="46">
        <f t="shared" si="21"/>
        <v>0</v>
      </c>
      <c r="T81" s="46">
        <f>IFERROR(VLOOKUP(A81,'[1]Re-order'!$A:$Q,17,0),"")</f>
        <v>72</v>
      </c>
      <c r="U81" s="46">
        <f>IFERROR(VLOOKUP(A81,'[1]MC Masterlist 2026-09-12'!$B:$M, 10, 0),0)</f>
        <v>15</v>
      </c>
      <c r="V81" s="46">
        <f>IFERROR(VLOOKUP(A81,'[1]MC Masterlist 2026-09-12'!$B:$M, 11, 0),0)</f>
        <v>15</v>
      </c>
      <c r="W81" s="46">
        <f t="shared" si="22"/>
        <v>30</v>
      </c>
      <c r="X81" s="46">
        <f t="shared" si="23"/>
        <v>6.833333333333333</v>
      </c>
      <c r="Y81" s="46">
        <f>IFERROR(IF(OR(C81="AREA I",C81="AREA V"),7,VLOOKUP(A81,'[1]MC Masterlist 2026-09-12'!$B:$M, 12, 0)),0)</f>
        <v>7</v>
      </c>
      <c r="Z81" s="46">
        <f t="shared" si="24"/>
        <v>0.16666666666666666</v>
      </c>
      <c r="AA81" s="46">
        <f t="shared" si="25"/>
        <v>0.33333333333333331</v>
      </c>
      <c r="AB81" s="46">
        <f t="shared" si="26"/>
        <v>7.5925925925925911E-2</v>
      </c>
      <c r="AC81" s="46">
        <f t="shared" si="27"/>
        <v>7.7777777777777765E-2</v>
      </c>
      <c r="AD81" s="44" t="str">
        <f t="shared" si="28"/>
        <v>Stockout</v>
      </c>
      <c r="AE81" s="44" t="str">
        <f>IFERROR(VLOOKUP(A81,'[1]Re-order'!$A:$AA,27,0),"")</f>
        <v>Re-order</v>
      </c>
      <c r="AF81" s="46">
        <f t="shared" si="29"/>
        <v>7.7777777777777765E-2</v>
      </c>
      <c r="AG81" s="46">
        <f>SUMIFS('[1]Raw Inventory'!D:D,'[1]Raw Inventory'!C:C,"GREATWALL",'[1]Raw Inventory'!B:B,A81)</f>
        <v>0</v>
      </c>
      <c r="AH81" s="46">
        <f>SUMIFS('[1]Raw Inventory'!D:D,'[1]Raw Inventory'!C:C,"DUARTE",'[1]Raw Inventory'!B:B,A81)</f>
        <v>0</v>
      </c>
      <c r="AI81" s="46"/>
      <c r="AJ81" s="46"/>
      <c r="AK81" s="43"/>
      <c r="AL81" s="43"/>
      <c r="AM81" s="43"/>
      <c r="AN81" s="43"/>
      <c r="AO81" s="43"/>
      <c r="AP81" s="43"/>
      <c r="AQ81" s="43"/>
      <c r="AR81" s="43"/>
      <c r="AS81" s="43"/>
      <c r="AT81" s="43"/>
    </row>
    <row r="82" spans="1:46">
      <c r="A82" s="43" t="s">
        <v>42</v>
      </c>
      <c r="B82" s="43" t="s">
        <v>30</v>
      </c>
      <c r="C82" s="43" t="s">
        <v>1</v>
      </c>
      <c r="D82" s="44" t="s">
        <v>255</v>
      </c>
      <c r="E82" s="44">
        <v>15</v>
      </c>
      <c r="F82" s="44" t="s">
        <v>2</v>
      </c>
      <c r="G82" s="43" t="str">
        <f>IFERROR(VLOOKUP(A82,'[1]MC Masterlist 2026-09-12'!$B:$M, 3, 0),"")</f>
        <v>YAMAHA</v>
      </c>
      <c r="H82" s="45">
        <f>IFERROR(VLOOKUP(A82,'[1]MC Masterlist 2026-09-12'!$B:$M, 6, 0),"")</f>
        <v>152892</v>
      </c>
      <c r="I82" s="46">
        <v>1</v>
      </c>
      <c r="J82" s="46">
        <v>0</v>
      </c>
      <c r="K82" s="46">
        <v>2</v>
      </c>
      <c r="L82" s="46">
        <f t="shared" si="15"/>
        <v>3</v>
      </c>
      <c r="M82" s="46">
        <f t="shared" si="16"/>
        <v>1</v>
      </c>
      <c r="N82" s="45">
        <f t="shared" si="17"/>
        <v>458676</v>
      </c>
      <c r="O82" s="45">
        <f t="shared" si="18"/>
        <v>152892</v>
      </c>
      <c r="P82" s="46">
        <f t="shared" si="19"/>
        <v>3.3333333333333333E-2</v>
      </c>
      <c r="Q82" s="46">
        <v>1</v>
      </c>
      <c r="R82" s="45">
        <f t="shared" si="20"/>
        <v>152892</v>
      </c>
      <c r="S82" s="46">
        <f t="shared" si="21"/>
        <v>30</v>
      </c>
      <c r="T82" s="46">
        <f>IFERROR(VLOOKUP(A82,'[1]Re-order'!$A:$Q,17,0),"")</f>
        <v>104.55882352941177</v>
      </c>
      <c r="U82" s="46">
        <f>IFERROR(VLOOKUP(A82,'[1]MC Masterlist 2026-09-12'!$B:$M, 10, 0),0)</f>
        <v>15</v>
      </c>
      <c r="V82" s="46">
        <f>IFERROR(VLOOKUP(A82,'[1]MC Masterlist 2026-09-12'!$B:$M, 11, 0),0)</f>
        <v>15</v>
      </c>
      <c r="W82" s="46">
        <f t="shared" si="22"/>
        <v>30</v>
      </c>
      <c r="X82" s="46">
        <f t="shared" si="23"/>
        <v>6.5</v>
      </c>
      <c r="Y82" s="46">
        <f>IFERROR(IF(OR(C82="AREA I",C82="AREA V"),7,VLOOKUP(A82,'[1]MC Masterlist 2026-09-12'!$B:$M, 12, 0)),0)</f>
        <v>7</v>
      </c>
      <c r="Z82" s="46">
        <f t="shared" si="24"/>
        <v>0.5</v>
      </c>
      <c r="AA82" s="46">
        <f t="shared" si="25"/>
        <v>1</v>
      </c>
      <c r="AB82" s="46">
        <f t="shared" si="26"/>
        <v>0.21666666666666667</v>
      </c>
      <c r="AC82" s="46">
        <f t="shared" si="27"/>
        <v>0.23333333333333334</v>
      </c>
      <c r="AD82" s="44" t="str">
        <f t="shared" si="28"/>
        <v>Over</v>
      </c>
      <c r="AE82" s="44" t="str">
        <f>IFERROR(VLOOKUP(A82,'[1]Re-order'!$A:$AA,27,0),"")</f>
        <v>Over</v>
      </c>
      <c r="AF82" s="46">
        <f t="shared" si="29"/>
        <v>-0.76666666666666661</v>
      </c>
      <c r="AG82" s="46">
        <f>SUMIFS('[1]Raw Inventory'!D:D,'[1]Raw Inventory'!C:C,"GREATWALL",'[1]Raw Inventory'!B:B,A82)</f>
        <v>3</v>
      </c>
      <c r="AH82" s="46">
        <f>SUMIFS('[1]Raw Inventory'!D:D,'[1]Raw Inventory'!C:C,"DUARTE",'[1]Raw Inventory'!B:B,A82)</f>
        <v>0</v>
      </c>
      <c r="AI82" s="46"/>
      <c r="AJ82" s="46"/>
      <c r="AK82" s="43"/>
      <c r="AL82" s="43"/>
      <c r="AM82" s="43"/>
      <c r="AN82" s="43"/>
      <c r="AO82" s="43"/>
      <c r="AP82" s="43"/>
      <c r="AQ82" s="43"/>
      <c r="AR82" s="43"/>
      <c r="AS82" s="43"/>
      <c r="AT82" s="43"/>
    </row>
    <row r="83" spans="1:46">
      <c r="A83" s="43" t="s">
        <v>52</v>
      </c>
      <c r="B83" s="43" t="s">
        <v>98</v>
      </c>
      <c r="C83" s="43" t="s">
        <v>90</v>
      </c>
      <c r="D83" s="44" t="s">
        <v>221</v>
      </c>
      <c r="E83" s="44">
        <v>19</v>
      </c>
      <c r="F83" s="44" t="s">
        <v>3</v>
      </c>
      <c r="G83" s="43" t="str">
        <f>IFERROR(VLOOKUP(A83,'[1]MC Masterlist 2026-09-12'!$B:$M, 3, 0),"")</f>
        <v>YAMAHA</v>
      </c>
      <c r="H83" s="45">
        <f>IFERROR(VLOOKUP(A83,'[1]MC Masterlist 2026-09-12'!$B:$M, 6, 0),"")</f>
        <v>85446</v>
      </c>
      <c r="I83" s="46">
        <v>0</v>
      </c>
      <c r="J83" s="46">
        <v>0</v>
      </c>
      <c r="K83" s="46">
        <v>1</v>
      </c>
      <c r="L83" s="46">
        <f t="shared" si="15"/>
        <v>1</v>
      </c>
      <c r="M83" s="46">
        <f t="shared" si="16"/>
        <v>0.33333333333333331</v>
      </c>
      <c r="N83" s="45">
        <f t="shared" si="17"/>
        <v>85446</v>
      </c>
      <c r="O83" s="45">
        <f t="shared" si="18"/>
        <v>28482</v>
      </c>
      <c r="P83" s="46">
        <f t="shared" si="19"/>
        <v>1.111111111111111E-2</v>
      </c>
      <c r="Q83" s="46">
        <v>1</v>
      </c>
      <c r="R83" s="45">
        <f t="shared" si="20"/>
        <v>85446</v>
      </c>
      <c r="S83" s="46">
        <f t="shared" si="21"/>
        <v>90</v>
      </c>
      <c r="T83" s="46">
        <f>IFERROR(VLOOKUP(A83,'[1]Re-order'!$A:$Q,17,0),"")</f>
        <v>95.454545454545453</v>
      </c>
      <c r="U83" s="46">
        <f>IFERROR(VLOOKUP(A83,'[1]MC Masterlist 2026-09-12'!$B:$M, 10, 0),0)</f>
        <v>15</v>
      </c>
      <c r="V83" s="46">
        <f>IFERROR(VLOOKUP(A83,'[1]MC Masterlist 2026-09-12'!$B:$M, 11, 0),0)</f>
        <v>15</v>
      </c>
      <c r="W83" s="46">
        <f t="shared" si="22"/>
        <v>30</v>
      </c>
      <c r="X83" s="46">
        <f t="shared" si="23"/>
        <v>29.833333333333332</v>
      </c>
      <c r="Y83" s="46">
        <f>IFERROR(IF(OR(C83="AREA I",C83="AREA V"),7,VLOOKUP(A83,'[1]MC Masterlist 2026-09-12'!$B:$M, 12, 0)),0)</f>
        <v>30</v>
      </c>
      <c r="Z83" s="46">
        <f t="shared" si="24"/>
        <v>0.16666666666666666</v>
      </c>
      <c r="AA83" s="46">
        <f t="shared" si="25"/>
        <v>0.33333333333333331</v>
      </c>
      <c r="AB83" s="46">
        <f t="shared" si="26"/>
        <v>0.33148148148148143</v>
      </c>
      <c r="AC83" s="46">
        <f t="shared" si="27"/>
        <v>0.33333333333333331</v>
      </c>
      <c r="AD83" s="44" t="str">
        <f t="shared" si="28"/>
        <v>Over</v>
      </c>
      <c r="AE83" s="44" t="str">
        <f>IFERROR(VLOOKUP(A83,'[1]Re-order'!$A:$AA,27,0),"")</f>
        <v>Over</v>
      </c>
      <c r="AF83" s="46">
        <f t="shared" si="29"/>
        <v>-0.66666666666666674</v>
      </c>
      <c r="AG83" s="46">
        <f>SUMIFS('[1]Raw Inventory'!D:D,'[1]Raw Inventory'!C:C,"GREATWALL",'[1]Raw Inventory'!B:B,A83)</f>
        <v>0</v>
      </c>
      <c r="AH83" s="46">
        <f>SUMIFS('[1]Raw Inventory'!D:D,'[1]Raw Inventory'!C:C,"DUARTE",'[1]Raw Inventory'!B:B,A83)</f>
        <v>0</v>
      </c>
      <c r="AI83" s="46"/>
      <c r="AJ83" s="46"/>
      <c r="AK83" s="43"/>
      <c r="AL83" s="43"/>
      <c r="AM83" s="43"/>
      <c r="AN83" s="43"/>
      <c r="AO83" s="43"/>
      <c r="AP83" s="43"/>
      <c r="AQ83" s="43"/>
      <c r="AR83" s="43"/>
      <c r="AS83" s="43"/>
      <c r="AT83" s="43"/>
    </row>
    <row r="84" spans="1:46">
      <c r="A84" s="43" t="s">
        <v>18</v>
      </c>
      <c r="B84" s="43" t="s">
        <v>153</v>
      </c>
      <c r="C84" s="43" t="s">
        <v>152</v>
      </c>
      <c r="D84" s="44" t="s">
        <v>231</v>
      </c>
      <c r="E84" s="44">
        <v>20</v>
      </c>
      <c r="F84" s="44" t="s">
        <v>3</v>
      </c>
      <c r="G84" s="43" t="str">
        <f>IFERROR(VLOOKUP(A84,'[1]MC Masterlist 2026-09-12'!$B:$M, 3, 0),"")</f>
        <v>HONDA</v>
      </c>
      <c r="H84" s="45">
        <f>IFERROR(VLOOKUP(A84,'[1]MC Masterlist 2026-09-12'!$B:$M, 6, 0),"")</f>
        <v>94330</v>
      </c>
      <c r="I84" s="46">
        <v>0</v>
      </c>
      <c r="J84" s="46">
        <v>0</v>
      </c>
      <c r="K84" s="46">
        <v>0</v>
      </c>
      <c r="L84" s="46">
        <f t="shared" si="15"/>
        <v>0</v>
      </c>
      <c r="M84" s="46">
        <f t="shared" si="16"/>
        <v>0</v>
      </c>
      <c r="N84" s="45">
        <f t="shared" si="17"/>
        <v>0</v>
      </c>
      <c r="O84" s="45">
        <f t="shared" si="18"/>
        <v>0</v>
      </c>
      <c r="P84" s="46">
        <f t="shared" si="19"/>
        <v>0</v>
      </c>
      <c r="Q84" s="46">
        <v>3</v>
      </c>
      <c r="R84" s="45">
        <f t="shared" si="20"/>
        <v>282990</v>
      </c>
      <c r="S84" s="46">
        <f t="shared" si="21"/>
        <v>0</v>
      </c>
      <c r="T84" s="46">
        <f>IFERROR(VLOOKUP(A84,'[1]Re-order'!$A:$Q,17,0),"")</f>
        <v>113.9644970414201</v>
      </c>
      <c r="U84" s="46">
        <f>IFERROR(VLOOKUP(A84,'[1]MC Masterlist 2026-09-12'!$B:$M, 10, 0),0)</f>
        <v>15</v>
      </c>
      <c r="V84" s="46">
        <f>IFERROR(VLOOKUP(A84,'[1]MC Masterlist 2026-09-12'!$B:$M, 11, 0),0)</f>
        <v>15</v>
      </c>
      <c r="W84" s="46">
        <f t="shared" si="22"/>
        <v>30</v>
      </c>
      <c r="X84" s="46">
        <f t="shared" si="23"/>
        <v>30</v>
      </c>
      <c r="Y84" s="46">
        <f>IFERROR(IF(OR(C84="AREA I",C84="AREA V"),7,VLOOKUP(A84,'[1]MC Masterlist 2026-09-12'!$B:$M, 12, 0)),0)</f>
        <v>30</v>
      </c>
      <c r="Z84" s="46">
        <f t="shared" si="24"/>
        <v>0</v>
      </c>
      <c r="AA84" s="46">
        <f t="shared" si="25"/>
        <v>0</v>
      </c>
      <c r="AB84" s="46">
        <f t="shared" si="26"/>
        <v>0</v>
      </c>
      <c r="AC84" s="46">
        <f t="shared" si="27"/>
        <v>0</v>
      </c>
      <c r="AD84" s="44" t="str">
        <f t="shared" si="28"/>
        <v>Over</v>
      </c>
      <c r="AE84" s="44" t="str">
        <f>IFERROR(VLOOKUP(A84,'[1]Re-order'!$A:$AA,27,0),"")</f>
        <v>Over</v>
      </c>
      <c r="AF84" s="46">
        <f t="shared" si="29"/>
        <v>-3</v>
      </c>
      <c r="AG84" s="46">
        <f>SUMIFS('[1]Raw Inventory'!D:D,'[1]Raw Inventory'!C:C,"GREATWALL",'[1]Raw Inventory'!B:B,A84)</f>
        <v>88</v>
      </c>
      <c r="AH84" s="46">
        <f>SUMIFS('[1]Raw Inventory'!D:D,'[1]Raw Inventory'!C:C,"DUARTE",'[1]Raw Inventory'!B:B,A84)</f>
        <v>0</v>
      </c>
      <c r="AI84" s="46"/>
      <c r="AJ84" s="46"/>
      <c r="AK84" s="43"/>
      <c r="AL84" s="43"/>
      <c r="AM84" s="43"/>
      <c r="AN84" s="43"/>
      <c r="AO84" s="43"/>
      <c r="AP84" s="43"/>
      <c r="AQ84" s="43"/>
      <c r="AR84" s="43"/>
      <c r="AS84" s="43"/>
      <c r="AT84" s="43"/>
    </row>
    <row r="85" spans="1:46">
      <c r="A85" s="43" t="s">
        <v>66</v>
      </c>
      <c r="B85" s="43" t="s">
        <v>145</v>
      </c>
      <c r="C85" s="43" t="s">
        <v>137</v>
      </c>
      <c r="D85" s="44" t="s">
        <v>256</v>
      </c>
      <c r="E85" s="44">
        <v>15</v>
      </c>
      <c r="F85" s="44" t="s">
        <v>2</v>
      </c>
      <c r="G85" s="43" t="str">
        <f>IFERROR(VLOOKUP(A85,'[1]MC Masterlist 2026-09-12'!$B:$M, 3, 0),"")</f>
        <v>KAWASAKI</v>
      </c>
      <c r="H85" s="45">
        <f>IFERROR(VLOOKUP(A85,'[1]MC Masterlist 2026-09-12'!$B:$M, 6, 0),"")</f>
        <v>95530</v>
      </c>
      <c r="I85" s="46">
        <v>1</v>
      </c>
      <c r="J85" s="46">
        <v>0</v>
      </c>
      <c r="K85" s="46">
        <v>1</v>
      </c>
      <c r="L85" s="46">
        <f t="shared" si="15"/>
        <v>2</v>
      </c>
      <c r="M85" s="46">
        <f t="shared" si="16"/>
        <v>0.66666666666666663</v>
      </c>
      <c r="N85" s="45">
        <f t="shared" si="17"/>
        <v>191060</v>
      </c>
      <c r="O85" s="45">
        <f t="shared" si="18"/>
        <v>63686.666666666664</v>
      </c>
      <c r="P85" s="46">
        <f t="shared" si="19"/>
        <v>2.222222222222222E-2</v>
      </c>
      <c r="Q85" s="46"/>
      <c r="R85" s="45">
        <f t="shared" si="20"/>
        <v>0</v>
      </c>
      <c r="S85" s="46">
        <f t="shared" si="21"/>
        <v>0</v>
      </c>
      <c r="T85" s="46">
        <f>IFERROR(VLOOKUP(A85,'[1]Re-order'!$A:$Q,17,0),"")</f>
        <v>112.7848101265823</v>
      </c>
      <c r="U85" s="46">
        <f>IFERROR(VLOOKUP(A85,'[1]MC Masterlist 2026-09-12'!$B:$M, 10, 0),0)</f>
        <v>15</v>
      </c>
      <c r="V85" s="46">
        <f>IFERROR(VLOOKUP(A85,'[1]MC Masterlist 2026-09-12'!$B:$M, 11, 0),0)</f>
        <v>15</v>
      </c>
      <c r="W85" s="46">
        <f t="shared" si="22"/>
        <v>30</v>
      </c>
      <c r="X85" s="46">
        <f t="shared" si="23"/>
        <v>6.666666666666667</v>
      </c>
      <c r="Y85" s="46">
        <f>IFERROR(IF(OR(C85="AREA I",C85="AREA V"),7,VLOOKUP(A85,'[1]MC Masterlist 2026-09-12'!$B:$M, 12, 0)),0)</f>
        <v>7</v>
      </c>
      <c r="Z85" s="46">
        <f t="shared" si="24"/>
        <v>0.33333333333333331</v>
      </c>
      <c r="AA85" s="46">
        <f t="shared" si="25"/>
        <v>0.66666666666666663</v>
      </c>
      <c r="AB85" s="46">
        <f t="shared" si="26"/>
        <v>0.14814814814814814</v>
      </c>
      <c r="AC85" s="46">
        <f t="shared" si="27"/>
        <v>0.15555555555555553</v>
      </c>
      <c r="AD85" s="44" t="str">
        <f t="shared" si="28"/>
        <v>Stockout</v>
      </c>
      <c r="AE85" s="44" t="str">
        <f>IFERROR(VLOOKUP(A85,'[1]Re-order'!$A:$AA,27,0),"")</f>
        <v>Over</v>
      </c>
      <c r="AF85" s="46">
        <f t="shared" si="29"/>
        <v>0.15555555555555553</v>
      </c>
      <c r="AG85" s="46">
        <f>SUMIFS('[1]Raw Inventory'!D:D,'[1]Raw Inventory'!C:C,"GREATWALL",'[1]Raw Inventory'!B:B,A85)</f>
        <v>64</v>
      </c>
      <c r="AH85" s="46">
        <f>SUMIFS('[1]Raw Inventory'!D:D,'[1]Raw Inventory'!C:C,"DUARTE",'[1]Raw Inventory'!B:B,A85)</f>
        <v>0</v>
      </c>
      <c r="AI85" s="46"/>
      <c r="AJ85" s="46"/>
      <c r="AK85" s="43"/>
      <c r="AL85" s="43"/>
      <c r="AM85" s="43"/>
      <c r="AN85" s="43"/>
      <c r="AO85" s="43"/>
      <c r="AP85" s="43"/>
      <c r="AQ85" s="43"/>
      <c r="AR85" s="43"/>
      <c r="AS85" s="43"/>
      <c r="AT85" s="43"/>
    </row>
    <row r="86" spans="1:46">
      <c r="A86" s="43" t="s">
        <v>26</v>
      </c>
      <c r="B86" s="43" t="s">
        <v>94</v>
      </c>
      <c r="C86" s="43" t="s">
        <v>90</v>
      </c>
      <c r="D86" s="44" t="s">
        <v>225</v>
      </c>
      <c r="E86" s="44">
        <v>3</v>
      </c>
      <c r="F86" s="44" t="s">
        <v>0</v>
      </c>
      <c r="G86" s="43" t="str">
        <f>IFERROR(VLOOKUP(A86,'[1]MC Masterlist 2026-09-12'!$B:$M, 3, 0),"")</f>
        <v>SUZUKI</v>
      </c>
      <c r="H86" s="45">
        <f>IFERROR(VLOOKUP(A86,'[1]MC Masterlist 2026-09-12'!$B:$M, 6, 0),"")</f>
        <v>123700</v>
      </c>
      <c r="I86" s="46">
        <v>4</v>
      </c>
      <c r="J86" s="46">
        <v>1</v>
      </c>
      <c r="K86" s="46">
        <v>1</v>
      </c>
      <c r="L86" s="46">
        <f t="shared" si="15"/>
        <v>6</v>
      </c>
      <c r="M86" s="46">
        <f t="shared" si="16"/>
        <v>2</v>
      </c>
      <c r="N86" s="45">
        <f t="shared" si="17"/>
        <v>742200</v>
      </c>
      <c r="O86" s="45">
        <f t="shared" si="18"/>
        <v>247400</v>
      </c>
      <c r="P86" s="46">
        <f t="shared" si="19"/>
        <v>6.6666666666666666E-2</v>
      </c>
      <c r="Q86" s="46">
        <v>4</v>
      </c>
      <c r="R86" s="45">
        <f t="shared" si="20"/>
        <v>494800</v>
      </c>
      <c r="S86" s="46">
        <f t="shared" si="21"/>
        <v>60</v>
      </c>
      <c r="T86" s="46">
        <f>IFERROR(VLOOKUP(A86,'[1]Re-order'!$A:$Q,17,0),"")</f>
        <v>71.470588235294116</v>
      </c>
      <c r="U86" s="46">
        <f>IFERROR(VLOOKUP(A86,'[1]MC Masterlist 2026-09-12'!$B:$M, 10, 0),0)</f>
        <v>15</v>
      </c>
      <c r="V86" s="46">
        <f>IFERROR(VLOOKUP(A86,'[1]MC Masterlist 2026-09-12'!$B:$M, 11, 0),0)</f>
        <v>15</v>
      </c>
      <c r="W86" s="46">
        <f t="shared" si="22"/>
        <v>30</v>
      </c>
      <c r="X86" s="46">
        <f t="shared" si="23"/>
        <v>29</v>
      </c>
      <c r="Y86" s="46">
        <f>IFERROR(IF(OR(C86="AREA I",C86="AREA V"),7,VLOOKUP(A86,'[1]MC Masterlist 2026-09-12'!$B:$M, 12, 0)),0)</f>
        <v>30</v>
      </c>
      <c r="Z86" s="46">
        <f t="shared" si="24"/>
        <v>1</v>
      </c>
      <c r="AA86" s="46">
        <f t="shared" si="25"/>
        <v>2</v>
      </c>
      <c r="AB86" s="46">
        <f t="shared" si="26"/>
        <v>1.9333333333333333</v>
      </c>
      <c r="AC86" s="46">
        <f t="shared" si="27"/>
        <v>2</v>
      </c>
      <c r="AD86" s="44" t="str">
        <f t="shared" si="28"/>
        <v>Over</v>
      </c>
      <c r="AE86" s="44" t="str">
        <f>IFERROR(VLOOKUP(A86,'[1]Re-order'!$A:$AA,27,0),"")</f>
        <v>Re-order</v>
      </c>
      <c r="AF86" s="46">
        <f t="shared" si="29"/>
        <v>-2</v>
      </c>
      <c r="AG86" s="46">
        <f>SUMIFS('[1]Raw Inventory'!D:D,'[1]Raw Inventory'!C:C,"GREATWALL",'[1]Raw Inventory'!B:B,A86)</f>
        <v>30</v>
      </c>
      <c r="AH86" s="46">
        <f>SUMIFS('[1]Raw Inventory'!D:D,'[1]Raw Inventory'!C:C,"DUARTE",'[1]Raw Inventory'!B:B,A86)</f>
        <v>0</v>
      </c>
      <c r="AI86" s="46"/>
      <c r="AJ86" s="46"/>
      <c r="AK86" s="43"/>
      <c r="AL86" s="43"/>
      <c r="AM86" s="43"/>
      <c r="AN86" s="43"/>
      <c r="AO86" s="43"/>
      <c r="AP86" s="43"/>
      <c r="AQ86" s="43"/>
      <c r="AR86" s="43"/>
      <c r="AS86" s="43"/>
      <c r="AT86" s="43"/>
    </row>
    <row r="87" spans="1:46">
      <c r="A87" s="43" t="s">
        <v>83</v>
      </c>
      <c r="B87" s="43" t="s">
        <v>119</v>
      </c>
      <c r="C87" s="43" t="s">
        <v>118</v>
      </c>
      <c r="D87" s="44" t="s">
        <v>224</v>
      </c>
      <c r="E87" s="44">
        <v>13</v>
      </c>
      <c r="F87" s="44" t="s">
        <v>2</v>
      </c>
      <c r="G87" s="43" t="str">
        <f>IFERROR(VLOOKUP(A87,'[1]MC Masterlist 2026-09-12'!$B:$M, 3, 0),"")</f>
        <v>SKYGO</v>
      </c>
      <c r="H87" s="45">
        <f>IFERROR(VLOOKUP(A87,'[1]MC Masterlist 2026-09-12'!$B:$M, 6, 0),"")</f>
        <v>35055</v>
      </c>
      <c r="I87" s="46">
        <v>4</v>
      </c>
      <c r="J87" s="46">
        <v>2</v>
      </c>
      <c r="K87" s="46">
        <v>5</v>
      </c>
      <c r="L87" s="46">
        <f t="shared" si="15"/>
        <v>11</v>
      </c>
      <c r="M87" s="46">
        <f t="shared" si="16"/>
        <v>3.6666666666666665</v>
      </c>
      <c r="N87" s="45">
        <f t="shared" si="17"/>
        <v>385605</v>
      </c>
      <c r="O87" s="45">
        <f t="shared" si="18"/>
        <v>128535</v>
      </c>
      <c r="P87" s="46">
        <f t="shared" si="19"/>
        <v>0.12222222222222222</v>
      </c>
      <c r="Q87" s="46">
        <v>5</v>
      </c>
      <c r="R87" s="45">
        <f t="shared" si="20"/>
        <v>175275</v>
      </c>
      <c r="S87" s="46">
        <f t="shared" si="21"/>
        <v>40.909090909090907</v>
      </c>
      <c r="T87" s="46">
        <f>IFERROR(VLOOKUP(A87,'[1]Re-order'!$A:$Q,17,0),"")</f>
        <v>313.2</v>
      </c>
      <c r="U87" s="46">
        <f>IFERROR(VLOOKUP(A87,'[1]MC Masterlist 2026-09-12'!$B:$M, 10, 0),0)</f>
        <v>15</v>
      </c>
      <c r="V87" s="46">
        <f>IFERROR(VLOOKUP(A87,'[1]MC Masterlist 2026-09-12'!$B:$M, 11, 0),0)</f>
        <v>15</v>
      </c>
      <c r="W87" s="46">
        <f t="shared" si="22"/>
        <v>30</v>
      </c>
      <c r="X87" s="46">
        <f t="shared" si="23"/>
        <v>28.166666666666668</v>
      </c>
      <c r="Y87" s="46">
        <f>IFERROR(IF(OR(C87="AREA I",C87="AREA V"),7,VLOOKUP(A87,'[1]MC Masterlist 2026-09-12'!$B:$M, 12, 0)),0)</f>
        <v>30</v>
      </c>
      <c r="Z87" s="46">
        <f t="shared" si="24"/>
        <v>1.8333333333333333</v>
      </c>
      <c r="AA87" s="46">
        <f t="shared" si="25"/>
        <v>3.6666666666666665</v>
      </c>
      <c r="AB87" s="46">
        <f t="shared" si="26"/>
        <v>3.4425925925925926</v>
      </c>
      <c r="AC87" s="46">
        <f t="shared" si="27"/>
        <v>3.6666666666666665</v>
      </c>
      <c r="AD87" s="44" t="str">
        <f t="shared" si="28"/>
        <v>Over</v>
      </c>
      <c r="AE87" s="44" t="str">
        <f>IFERROR(VLOOKUP(A87,'[1]Re-order'!$A:$AA,27,0),"")</f>
        <v>Over</v>
      </c>
      <c r="AF87" s="46">
        <f t="shared" si="29"/>
        <v>-1.3333333333333335</v>
      </c>
      <c r="AG87" s="46">
        <f>SUMIFS('[1]Raw Inventory'!D:D,'[1]Raw Inventory'!C:C,"GREATWALL",'[1]Raw Inventory'!B:B,A87)</f>
        <v>33</v>
      </c>
      <c r="AH87" s="46">
        <f>SUMIFS('[1]Raw Inventory'!D:D,'[1]Raw Inventory'!C:C,"DUARTE",'[1]Raw Inventory'!B:B,A87)</f>
        <v>0</v>
      </c>
      <c r="AI87" s="46"/>
      <c r="AJ87" s="46"/>
      <c r="AK87" s="43"/>
      <c r="AL87" s="43"/>
      <c r="AM87" s="43"/>
      <c r="AN87" s="43"/>
      <c r="AO87" s="43"/>
      <c r="AP87" s="43"/>
      <c r="AQ87" s="43"/>
      <c r="AR87" s="43"/>
      <c r="AS87" s="43"/>
      <c r="AT87" s="43"/>
    </row>
    <row r="88" spans="1:46">
      <c r="A88" s="43" t="s">
        <v>36</v>
      </c>
      <c r="B88" s="43" t="s">
        <v>160</v>
      </c>
      <c r="C88" s="43" t="s">
        <v>159</v>
      </c>
      <c r="D88" s="44" t="s">
        <v>241</v>
      </c>
      <c r="E88" s="44">
        <v>20</v>
      </c>
      <c r="F88" s="44" t="s">
        <v>3</v>
      </c>
      <c r="G88" s="43" t="str">
        <f>IFERROR(VLOOKUP(A88,'[1]MC Masterlist 2026-09-12'!$B:$M, 3, 0),"")</f>
        <v>HONDA</v>
      </c>
      <c r="H88" s="45">
        <f>IFERROR(VLOOKUP(A88,'[1]MC Masterlist 2026-09-12'!$B:$M, 6, 0),"")</f>
        <v>76850</v>
      </c>
      <c r="I88" s="46">
        <v>0</v>
      </c>
      <c r="J88" s="46">
        <v>0</v>
      </c>
      <c r="K88" s="46">
        <v>1</v>
      </c>
      <c r="L88" s="46">
        <f t="shared" si="15"/>
        <v>1</v>
      </c>
      <c r="M88" s="46">
        <f t="shared" si="16"/>
        <v>0.33333333333333331</v>
      </c>
      <c r="N88" s="45">
        <f t="shared" si="17"/>
        <v>76850</v>
      </c>
      <c r="O88" s="45">
        <f t="shared" si="18"/>
        <v>25616.666666666664</v>
      </c>
      <c r="P88" s="46">
        <f t="shared" si="19"/>
        <v>1.111111111111111E-2</v>
      </c>
      <c r="Q88" s="46">
        <v>3</v>
      </c>
      <c r="R88" s="45">
        <f t="shared" si="20"/>
        <v>230550</v>
      </c>
      <c r="S88" s="46">
        <f t="shared" si="21"/>
        <v>270</v>
      </c>
      <c r="T88" s="46">
        <f>IFERROR(VLOOKUP(A88,'[1]Re-order'!$A:$Q,17,0),"")</f>
        <v>137.24999999999997</v>
      </c>
      <c r="U88" s="46">
        <f>IFERROR(VLOOKUP(A88,'[1]MC Masterlist 2026-09-12'!$B:$M, 10, 0),0)</f>
        <v>15</v>
      </c>
      <c r="V88" s="46">
        <f>IFERROR(VLOOKUP(A88,'[1]MC Masterlist 2026-09-12'!$B:$M, 11, 0),0)</f>
        <v>15</v>
      </c>
      <c r="W88" s="46">
        <f t="shared" si="22"/>
        <v>30</v>
      </c>
      <c r="X88" s="46">
        <f t="shared" si="23"/>
        <v>29.833333333333332</v>
      </c>
      <c r="Y88" s="46">
        <f>IFERROR(IF(OR(C88="AREA I",C88="AREA V"),7,VLOOKUP(A88,'[1]MC Masterlist 2026-09-12'!$B:$M, 12, 0)),0)</f>
        <v>30</v>
      </c>
      <c r="Z88" s="46">
        <f t="shared" si="24"/>
        <v>0.16666666666666666</v>
      </c>
      <c r="AA88" s="46">
        <f t="shared" si="25"/>
        <v>0.33333333333333331</v>
      </c>
      <c r="AB88" s="46">
        <f t="shared" si="26"/>
        <v>0.33148148148148143</v>
      </c>
      <c r="AC88" s="46">
        <f t="shared" si="27"/>
        <v>0.33333333333333331</v>
      </c>
      <c r="AD88" s="44" t="str">
        <f t="shared" si="28"/>
        <v>Over</v>
      </c>
      <c r="AE88" s="44" t="str">
        <f>IFERROR(VLOOKUP(A88,'[1]Re-order'!$A:$AA,27,0),"")</f>
        <v>Over</v>
      </c>
      <c r="AF88" s="46">
        <f t="shared" si="29"/>
        <v>-2.6666666666666665</v>
      </c>
      <c r="AG88" s="46">
        <f>SUMIFS('[1]Raw Inventory'!D:D,'[1]Raw Inventory'!C:C,"GREATWALL",'[1]Raw Inventory'!B:B,A88)</f>
        <v>18</v>
      </c>
      <c r="AH88" s="46">
        <f>SUMIFS('[1]Raw Inventory'!D:D,'[1]Raw Inventory'!C:C,"DUARTE",'[1]Raw Inventory'!B:B,A88)</f>
        <v>0</v>
      </c>
      <c r="AI88" s="46"/>
      <c r="AJ88" s="46"/>
      <c r="AK88" s="43"/>
      <c r="AL88" s="43"/>
      <c r="AM88" s="43"/>
      <c r="AN88" s="43"/>
      <c r="AO88" s="43"/>
      <c r="AP88" s="43"/>
      <c r="AQ88" s="43"/>
      <c r="AR88" s="43"/>
      <c r="AS88" s="43"/>
      <c r="AT88" s="43"/>
    </row>
    <row r="89" spans="1:46">
      <c r="A89" s="43" t="s">
        <v>52</v>
      </c>
      <c r="B89" s="43" t="s">
        <v>112</v>
      </c>
      <c r="C89" s="43" t="s">
        <v>109</v>
      </c>
      <c r="D89" s="44" t="s">
        <v>243</v>
      </c>
      <c r="E89" s="44">
        <v>15</v>
      </c>
      <c r="F89" s="44" t="s">
        <v>2</v>
      </c>
      <c r="G89" s="43" t="str">
        <f>IFERROR(VLOOKUP(A89,'[1]MC Masterlist 2026-09-12'!$B:$M, 3, 0),"")</f>
        <v>YAMAHA</v>
      </c>
      <c r="H89" s="45">
        <f>IFERROR(VLOOKUP(A89,'[1]MC Masterlist 2026-09-12'!$B:$M, 6, 0),"")</f>
        <v>85446</v>
      </c>
      <c r="I89" s="46">
        <v>0</v>
      </c>
      <c r="J89" s="46">
        <v>1</v>
      </c>
      <c r="K89" s="46">
        <v>0</v>
      </c>
      <c r="L89" s="46">
        <f t="shared" si="15"/>
        <v>1</v>
      </c>
      <c r="M89" s="46">
        <f t="shared" si="16"/>
        <v>0.33333333333333331</v>
      </c>
      <c r="N89" s="45">
        <f t="shared" si="17"/>
        <v>85446</v>
      </c>
      <c r="O89" s="45">
        <f t="shared" si="18"/>
        <v>28482</v>
      </c>
      <c r="P89" s="46">
        <f t="shared" si="19"/>
        <v>1.111111111111111E-2</v>
      </c>
      <c r="Q89" s="46">
        <v>2</v>
      </c>
      <c r="R89" s="45">
        <f t="shared" si="20"/>
        <v>170892</v>
      </c>
      <c r="S89" s="46">
        <f t="shared" si="21"/>
        <v>180</v>
      </c>
      <c r="T89" s="46">
        <f>IFERROR(VLOOKUP(A89,'[1]Re-order'!$A:$Q,17,0),"")</f>
        <v>95.454545454545453</v>
      </c>
      <c r="U89" s="46">
        <f>IFERROR(VLOOKUP(A89,'[1]MC Masterlist 2026-09-12'!$B:$M, 10, 0),0)</f>
        <v>15</v>
      </c>
      <c r="V89" s="46">
        <f>IFERROR(VLOOKUP(A89,'[1]MC Masterlist 2026-09-12'!$B:$M, 11, 0),0)</f>
        <v>15</v>
      </c>
      <c r="W89" s="46">
        <f t="shared" si="22"/>
        <v>30</v>
      </c>
      <c r="X89" s="46">
        <f t="shared" si="23"/>
        <v>29.833333333333332</v>
      </c>
      <c r="Y89" s="46">
        <f>IFERROR(IF(OR(C89="AREA I",C89="AREA V"),7,VLOOKUP(A89,'[1]MC Masterlist 2026-09-12'!$B:$M, 12, 0)),0)</f>
        <v>30</v>
      </c>
      <c r="Z89" s="46">
        <f t="shared" si="24"/>
        <v>0.16666666666666666</v>
      </c>
      <c r="AA89" s="46">
        <f t="shared" si="25"/>
        <v>0.33333333333333331</v>
      </c>
      <c r="AB89" s="46">
        <f t="shared" si="26"/>
        <v>0.33148148148148143</v>
      </c>
      <c r="AC89" s="46">
        <f t="shared" si="27"/>
        <v>0.33333333333333331</v>
      </c>
      <c r="AD89" s="44" t="str">
        <f t="shared" si="28"/>
        <v>Over</v>
      </c>
      <c r="AE89" s="44" t="str">
        <f>IFERROR(VLOOKUP(A89,'[1]Re-order'!$A:$AA,27,0),"")</f>
        <v>Over</v>
      </c>
      <c r="AF89" s="46">
        <f t="shared" si="29"/>
        <v>-1.6666666666666667</v>
      </c>
      <c r="AG89" s="46">
        <f>SUMIFS('[1]Raw Inventory'!D:D,'[1]Raw Inventory'!C:C,"GREATWALL",'[1]Raw Inventory'!B:B,A89)</f>
        <v>0</v>
      </c>
      <c r="AH89" s="46">
        <f>SUMIFS('[1]Raw Inventory'!D:D,'[1]Raw Inventory'!C:C,"DUARTE",'[1]Raw Inventory'!B:B,A89)</f>
        <v>0</v>
      </c>
      <c r="AI89" s="46"/>
      <c r="AJ89" s="46"/>
      <c r="AK89" s="43"/>
      <c r="AL89" s="43"/>
      <c r="AM89" s="43"/>
      <c r="AN89" s="43"/>
      <c r="AO89" s="43"/>
      <c r="AP89" s="43"/>
      <c r="AQ89" s="43"/>
      <c r="AR89" s="43"/>
      <c r="AS89" s="43"/>
      <c r="AT89" s="43"/>
    </row>
    <row r="90" spans="1:46">
      <c r="A90" s="43" t="s">
        <v>48</v>
      </c>
      <c r="B90" s="43" t="s">
        <v>162</v>
      </c>
      <c r="C90" s="43" t="s">
        <v>159</v>
      </c>
      <c r="D90" s="44" t="s">
        <v>223</v>
      </c>
      <c r="E90" s="44">
        <v>18</v>
      </c>
      <c r="F90" s="44" t="s">
        <v>3</v>
      </c>
      <c r="G90" s="43" t="str">
        <f>IFERROR(VLOOKUP(A90,'[1]MC Masterlist 2026-09-12'!$B:$M, 3, 0),"")</f>
        <v>SUZUKI</v>
      </c>
      <c r="H90" s="45">
        <f>IFERROR(VLOOKUP(A90,'[1]MC Masterlist 2026-09-12'!$B:$M, 6, 0),"")</f>
        <v>82687</v>
      </c>
      <c r="I90" s="46">
        <v>0</v>
      </c>
      <c r="J90" s="46">
        <v>1</v>
      </c>
      <c r="K90" s="46">
        <v>0</v>
      </c>
      <c r="L90" s="46">
        <f t="shared" si="15"/>
        <v>1</v>
      </c>
      <c r="M90" s="46">
        <f t="shared" si="16"/>
        <v>0.33333333333333331</v>
      </c>
      <c r="N90" s="45">
        <f t="shared" si="17"/>
        <v>82687</v>
      </c>
      <c r="O90" s="45">
        <f t="shared" si="18"/>
        <v>27562.333333333332</v>
      </c>
      <c r="P90" s="46">
        <f t="shared" si="19"/>
        <v>1.111111111111111E-2</v>
      </c>
      <c r="Q90" s="46">
        <v>3</v>
      </c>
      <c r="R90" s="45">
        <f t="shared" si="20"/>
        <v>248061</v>
      </c>
      <c r="S90" s="46">
        <f t="shared" si="21"/>
        <v>270</v>
      </c>
      <c r="T90" s="46">
        <f>IFERROR(VLOOKUP(A90,'[1]Re-order'!$A:$Q,17,0),"")</f>
        <v>303.75</v>
      </c>
      <c r="U90" s="46">
        <f>IFERROR(VLOOKUP(A90,'[1]MC Masterlist 2026-09-12'!$B:$M, 10, 0),0)</f>
        <v>15</v>
      </c>
      <c r="V90" s="46">
        <f>IFERROR(VLOOKUP(A90,'[1]MC Masterlist 2026-09-12'!$B:$M, 11, 0),0)</f>
        <v>15</v>
      </c>
      <c r="W90" s="46">
        <f t="shared" si="22"/>
        <v>30</v>
      </c>
      <c r="X90" s="46">
        <f t="shared" si="23"/>
        <v>29.833333333333332</v>
      </c>
      <c r="Y90" s="46">
        <f>IFERROR(IF(OR(C90="AREA I",C90="AREA V"),7,VLOOKUP(A90,'[1]MC Masterlist 2026-09-12'!$B:$M, 12, 0)),0)</f>
        <v>30</v>
      </c>
      <c r="Z90" s="46">
        <f t="shared" si="24"/>
        <v>0.16666666666666666</v>
      </c>
      <c r="AA90" s="46">
        <f t="shared" si="25"/>
        <v>0.33333333333333331</v>
      </c>
      <c r="AB90" s="46">
        <f t="shared" si="26"/>
        <v>0.33148148148148143</v>
      </c>
      <c r="AC90" s="46">
        <f t="shared" si="27"/>
        <v>0.33333333333333331</v>
      </c>
      <c r="AD90" s="44" t="str">
        <f t="shared" si="28"/>
        <v>Over</v>
      </c>
      <c r="AE90" s="44" t="str">
        <f>IFERROR(VLOOKUP(A90,'[1]Re-order'!$A:$AA,27,0),"")</f>
        <v>Over</v>
      </c>
      <c r="AF90" s="46">
        <f t="shared" si="29"/>
        <v>-2.6666666666666665</v>
      </c>
      <c r="AG90" s="46">
        <f>SUMIFS('[1]Raw Inventory'!D:D,'[1]Raw Inventory'!C:C,"GREATWALL",'[1]Raw Inventory'!B:B,A90)</f>
        <v>10</v>
      </c>
      <c r="AH90" s="46">
        <f>SUMIFS('[1]Raw Inventory'!D:D,'[1]Raw Inventory'!C:C,"DUARTE",'[1]Raw Inventory'!B:B,A90)</f>
        <v>0</v>
      </c>
      <c r="AI90" s="46"/>
      <c r="AJ90" s="46"/>
      <c r="AK90" s="43"/>
      <c r="AL90" s="43"/>
      <c r="AM90" s="43"/>
      <c r="AN90" s="43"/>
      <c r="AO90" s="43"/>
      <c r="AP90" s="43"/>
      <c r="AQ90" s="43"/>
      <c r="AR90" s="43"/>
      <c r="AS90" s="43"/>
      <c r="AT90" s="43"/>
    </row>
    <row r="91" spans="1:46">
      <c r="A91" s="43" t="s">
        <v>78</v>
      </c>
      <c r="B91" s="43" t="s">
        <v>132</v>
      </c>
      <c r="C91" s="43" t="s">
        <v>128</v>
      </c>
      <c r="D91" s="44" t="s">
        <v>257</v>
      </c>
      <c r="E91" s="44">
        <v>24</v>
      </c>
      <c r="F91" s="44" t="s">
        <v>3</v>
      </c>
      <c r="G91" s="43" t="str">
        <f>IFERROR(VLOOKUP(A91,'[1]MC Masterlist 2026-09-12'!$B:$M, 3, 0),"")</f>
        <v>KAWASAKI</v>
      </c>
      <c r="H91" s="45">
        <f>IFERROR(VLOOKUP(A91,'[1]MC Masterlist 2026-09-12'!$B:$M, 6, 0),"")</f>
        <v>100700</v>
      </c>
      <c r="I91" s="46">
        <v>0</v>
      </c>
      <c r="J91" s="46">
        <v>0</v>
      </c>
      <c r="K91" s="46">
        <v>1</v>
      </c>
      <c r="L91" s="46">
        <f t="shared" si="15"/>
        <v>1</v>
      </c>
      <c r="M91" s="46">
        <f t="shared" si="16"/>
        <v>0.33333333333333331</v>
      </c>
      <c r="N91" s="45">
        <f t="shared" si="17"/>
        <v>100700</v>
      </c>
      <c r="O91" s="45">
        <f t="shared" si="18"/>
        <v>33566.666666666664</v>
      </c>
      <c r="P91" s="46">
        <f t="shared" si="19"/>
        <v>1.111111111111111E-2</v>
      </c>
      <c r="Q91" s="46"/>
      <c r="R91" s="45">
        <f t="shared" si="20"/>
        <v>0</v>
      </c>
      <c r="S91" s="46">
        <f t="shared" si="21"/>
        <v>0</v>
      </c>
      <c r="T91" s="46">
        <f>IFERROR(VLOOKUP(A91,'[1]Re-order'!$A:$Q,17,0),"")</f>
        <v>438.75000000000006</v>
      </c>
      <c r="U91" s="46">
        <f>IFERROR(VLOOKUP(A91,'[1]MC Masterlist 2026-09-12'!$B:$M, 10, 0),0)</f>
        <v>15</v>
      </c>
      <c r="V91" s="46">
        <f>IFERROR(VLOOKUP(A91,'[1]MC Masterlist 2026-09-12'!$B:$M, 11, 0),0)</f>
        <v>15</v>
      </c>
      <c r="W91" s="46">
        <f t="shared" si="22"/>
        <v>30</v>
      </c>
      <c r="X91" s="46">
        <f t="shared" si="23"/>
        <v>29.833333333333332</v>
      </c>
      <c r="Y91" s="46">
        <f>IFERROR(IF(OR(C91="AREA I",C91="AREA V"),7,VLOOKUP(A91,'[1]MC Masterlist 2026-09-12'!$B:$M, 12, 0)),0)</f>
        <v>30</v>
      </c>
      <c r="Z91" s="46">
        <f t="shared" si="24"/>
        <v>0.16666666666666666</v>
      </c>
      <c r="AA91" s="46">
        <f t="shared" si="25"/>
        <v>0.33333333333333331</v>
      </c>
      <c r="AB91" s="46">
        <f t="shared" si="26"/>
        <v>0.33148148148148143</v>
      </c>
      <c r="AC91" s="46">
        <f t="shared" si="27"/>
        <v>0.33333333333333331</v>
      </c>
      <c r="AD91" s="44" t="str">
        <f t="shared" si="28"/>
        <v>Stockout</v>
      </c>
      <c r="AE91" s="44" t="str">
        <f>IFERROR(VLOOKUP(A91,'[1]Re-order'!$A:$AA,27,0),"")</f>
        <v>Over</v>
      </c>
      <c r="AF91" s="46">
        <f t="shared" si="29"/>
        <v>0.33333333333333331</v>
      </c>
      <c r="AG91" s="46">
        <f>SUMIFS('[1]Raw Inventory'!D:D,'[1]Raw Inventory'!C:C,"GREATWALL",'[1]Raw Inventory'!B:B,A91)</f>
        <v>26</v>
      </c>
      <c r="AH91" s="46">
        <f>SUMIFS('[1]Raw Inventory'!D:D,'[1]Raw Inventory'!C:C,"DUARTE",'[1]Raw Inventory'!B:B,A91)</f>
        <v>0</v>
      </c>
      <c r="AI91" s="46"/>
      <c r="AJ91" s="46"/>
      <c r="AK91" s="43"/>
      <c r="AL91" s="43"/>
      <c r="AM91" s="43"/>
      <c r="AN91" s="43"/>
      <c r="AO91" s="43"/>
      <c r="AP91" s="43"/>
      <c r="AQ91" s="43"/>
      <c r="AR91" s="43"/>
      <c r="AS91" s="43"/>
      <c r="AT91" s="43"/>
    </row>
    <row r="92" spans="1:46">
      <c r="A92" s="43" t="s">
        <v>65</v>
      </c>
      <c r="B92" s="43" t="s">
        <v>146</v>
      </c>
      <c r="C92" s="43" t="s">
        <v>137</v>
      </c>
      <c r="D92" s="44" t="s">
        <v>237</v>
      </c>
      <c r="E92" s="44">
        <v>28</v>
      </c>
      <c r="F92" s="44" t="s">
        <v>3</v>
      </c>
      <c r="G92" s="43" t="str">
        <f>IFERROR(VLOOKUP(A92,'[1]MC Masterlist 2026-09-12'!$B:$M, 3, 0),"")</f>
        <v>SUZUKI</v>
      </c>
      <c r="H92" s="45">
        <f>IFERROR(VLOOKUP(A92,'[1]MC Masterlist 2026-09-12'!$B:$M, 6, 0),"")</f>
        <v>77572</v>
      </c>
      <c r="I92" s="46">
        <v>0</v>
      </c>
      <c r="J92" s="46">
        <v>0</v>
      </c>
      <c r="K92" s="46">
        <v>0</v>
      </c>
      <c r="L92" s="46">
        <f t="shared" si="15"/>
        <v>0</v>
      </c>
      <c r="M92" s="46">
        <f t="shared" si="16"/>
        <v>0</v>
      </c>
      <c r="N92" s="45">
        <f t="shared" si="17"/>
        <v>0</v>
      </c>
      <c r="O92" s="45">
        <f t="shared" si="18"/>
        <v>0</v>
      </c>
      <c r="P92" s="46">
        <f t="shared" si="19"/>
        <v>0</v>
      </c>
      <c r="Q92" s="46">
        <v>1</v>
      </c>
      <c r="R92" s="45">
        <f t="shared" si="20"/>
        <v>77572</v>
      </c>
      <c r="S92" s="46">
        <f t="shared" si="21"/>
        <v>0</v>
      </c>
      <c r="T92" s="46">
        <f>IFERROR(VLOOKUP(A92,'[1]Re-order'!$A:$Q,17,0),"")</f>
        <v>158.8235294117647</v>
      </c>
      <c r="U92" s="46">
        <f>IFERROR(VLOOKUP(A92,'[1]MC Masterlist 2026-09-12'!$B:$M, 10, 0),0)</f>
        <v>15</v>
      </c>
      <c r="V92" s="46">
        <f>IFERROR(VLOOKUP(A92,'[1]MC Masterlist 2026-09-12'!$B:$M, 11, 0),0)</f>
        <v>15</v>
      </c>
      <c r="W92" s="46">
        <f t="shared" si="22"/>
        <v>30</v>
      </c>
      <c r="X92" s="46">
        <f t="shared" si="23"/>
        <v>7</v>
      </c>
      <c r="Y92" s="46">
        <f>IFERROR(IF(OR(C92="AREA I",C92="AREA V"),7,VLOOKUP(A92,'[1]MC Masterlist 2026-09-12'!$B:$M, 12, 0)),0)</f>
        <v>7</v>
      </c>
      <c r="Z92" s="46">
        <f t="shared" si="24"/>
        <v>0</v>
      </c>
      <c r="AA92" s="46">
        <f t="shared" si="25"/>
        <v>0</v>
      </c>
      <c r="AB92" s="46">
        <f t="shared" si="26"/>
        <v>0</v>
      </c>
      <c r="AC92" s="46">
        <f t="shared" si="27"/>
        <v>0</v>
      </c>
      <c r="AD92" s="44" t="str">
        <f t="shared" si="28"/>
        <v>Over</v>
      </c>
      <c r="AE92" s="44" t="str">
        <f>IFERROR(VLOOKUP(A92,'[1]Re-order'!$A:$AA,27,0),"")</f>
        <v>Over</v>
      </c>
      <c r="AF92" s="46">
        <f t="shared" si="29"/>
        <v>-1</v>
      </c>
      <c r="AG92" s="46">
        <f>SUMIFS('[1]Raw Inventory'!D:D,'[1]Raw Inventory'!C:C,"GREATWALL",'[1]Raw Inventory'!B:B,A92)</f>
        <v>4</v>
      </c>
      <c r="AH92" s="46">
        <f>SUMIFS('[1]Raw Inventory'!D:D,'[1]Raw Inventory'!C:C,"DUARTE",'[1]Raw Inventory'!B:B,A92)</f>
        <v>0</v>
      </c>
      <c r="AI92" s="46"/>
      <c r="AJ92" s="46"/>
      <c r="AK92" s="43"/>
      <c r="AL92" s="43"/>
      <c r="AM92" s="43"/>
      <c r="AN92" s="43"/>
      <c r="AO92" s="43"/>
      <c r="AP92" s="43"/>
      <c r="AQ92" s="43"/>
      <c r="AR92" s="43"/>
      <c r="AS92" s="43"/>
      <c r="AT92" s="43"/>
    </row>
    <row r="93" spans="1:46">
      <c r="A93" s="43" t="s">
        <v>47</v>
      </c>
      <c r="B93" s="43" t="s">
        <v>129</v>
      </c>
      <c r="C93" s="43" t="s">
        <v>128</v>
      </c>
      <c r="D93" s="44" t="s">
        <v>258</v>
      </c>
      <c r="E93" s="44">
        <v>24</v>
      </c>
      <c r="F93" s="44" t="s">
        <v>3</v>
      </c>
      <c r="G93" s="43" t="str">
        <f>IFERROR(VLOOKUP(A93,'[1]MC Masterlist 2026-09-12'!$B:$M, 3, 0),"")</f>
        <v>YAMAHA</v>
      </c>
      <c r="H93" s="45">
        <f>IFERROR(VLOOKUP(A93,'[1]MC Masterlist 2026-09-12'!$B:$M, 6, 0),"")</f>
        <v>76167</v>
      </c>
      <c r="I93" s="46">
        <v>0</v>
      </c>
      <c r="J93" s="46">
        <v>0</v>
      </c>
      <c r="K93" s="46">
        <v>0</v>
      </c>
      <c r="L93" s="46">
        <f t="shared" si="15"/>
        <v>0</v>
      </c>
      <c r="M93" s="46">
        <f t="shared" si="16"/>
        <v>0</v>
      </c>
      <c r="N93" s="45">
        <f t="shared" si="17"/>
        <v>0</v>
      </c>
      <c r="O93" s="45">
        <f t="shared" si="18"/>
        <v>0</v>
      </c>
      <c r="P93" s="46">
        <f t="shared" si="19"/>
        <v>0</v>
      </c>
      <c r="Q93" s="46">
        <v>1</v>
      </c>
      <c r="R93" s="45">
        <f t="shared" si="20"/>
        <v>76167</v>
      </c>
      <c r="S93" s="46">
        <f t="shared" si="21"/>
        <v>0</v>
      </c>
      <c r="T93" s="46">
        <f>IFERROR(VLOOKUP(A93,'[1]Re-order'!$A:$Q,17,0),"")</f>
        <v>86.666666666666671</v>
      </c>
      <c r="U93" s="46">
        <f>IFERROR(VLOOKUP(A93,'[1]MC Masterlist 2026-09-12'!$B:$M, 10, 0),0)</f>
        <v>15</v>
      </c>
      <c r="V93" s="46">
        <f>IFERROR(VLOOKUP(A93,'[1]MC Masterlist 2026-09-12'!$B:$M, 11, 0),0)</f>
        <v>15</v>
      </c>
      <c r="W93" s="46">
        <f t="shared" si="22"/>
        <v>30</v>
      </c>
      <c r="X93" s="46">
        <f t="shared" si="23"/>
        <v>30</v>
      </c>
      <c r="Y93" s="46">
        <f>IFERROR(IF(OR(C93="AREA I",C93="AREA V"),7,VLOOKUP(A93,'[1]MC Masterlist 2026-09-12'!$B:$M, 12, 0)),0)</f>
        <v>30</v>
      </c>
      <c r="Z93" s="46">
        <f t="shared" si="24"/>
        <v>0</v>
      </c>
      <c r="AA93" s="46">
        <f t="shared" si="25"/>
        <v>0</v>
      </c>
      <c r="AB93" s="46">
        <f t="shared" si="26"/>
        <v>0</v>
      </c>
      <c r="AC93" s="46">
        <f t="shared" si="27"/>
        <v>0</v>
      </c>
      <c r="AD93" s="44" t="str">
        <f t="shared" si="28"/>
        <v>Over</v>
      </c>
      <c r="AE93" s="44" t="str">
        <f>IFERROR(VLOOKUP(A93,'[1]Re-order'!$A:$AA,27,0),"")</f>
        <v/>
      </c>
      <c r="AF93" s="46">
        <f t="shared" si="29"/>
        <v>-1</v>
      </c>
      <c r="AG93" s="46">
        <f>SUMIFS('[1]Raw Inventory'!D:D,'[1]Raw Inventory'!C:C,"GREATWALL",'[1]Raw Inventory'!B:B,A93)</f>
        <v>1</v>
      </c>
      <c r="AH93" s="46">
        <f>SUMIFS('[1]Raw Inventory'!D:D,'[1]Raw Inventory'!C:C,"DUARTE",'[1]Raw Inventory'!B:B,A93)</f>
        <v>0</v>
      </c>
      <c r="AI93" s="46"/>
      <c r="AJ93" s="46"/>
      <c r="AK93" s="43"/>
      <c r="AL93" s="43"/>
      <c r="AM93" s="43"/>
      <c r="AN93" s="43"/>
      <c r="AO93" s="43"/>
      <c r="AP93" s="43"/>
      <c r="AQ93" s="43"/>
      <c r="AR93" s="43"/>
      <c r="AS93" s="43"/>
      <c r="AT93" s="43"/>
    </row>
    <row r="94" spans="1:46">
      <c r="A94" s="43" t="s">
        <v>100</v>
      </c>
      <c r="B94" s="43" t="s">
        <v>158</v>
      </c>
      <c r="C94" s="43" t="s">
        <v>152</v>
      </c>
      <c r="D94" s="44" t="s">
        <v>240</v>
      </c>
      <c r="E94" s="44">
        <v>12</v>
      </c>
      <c r="F94" s="44" t="s">
        <v>2</v>
      </c>
      <c r="G94" s="43" t="str">
        <f>IFERROR(VLOOKUP(A94,'[1]MC Masterlist 2026-09-12'!$B:$M, 3, 0),"")</f>
        <v>BAJAJ RE</v>
      </c>
      <c r="H94" s="45">
        <f>IFERROR(VLOOKUP(A94,'[1]MC Masterlist 2026-09-12'!$B:$M, 6, 0),"")</f>
        <v>225800</v>
      </c>
      <c r="I94" s="46">
        <v>0</v>
      </c>
      <c r="J94" s="46">
        <v>0</v>
      </c>
      <c r="K94" s="46">
        <v>1</v>
      </c>
      <c r="L94" s="46">
        <f t="shared" si="15"/>
        <v>1</v>
      </c>
      <c r="M94" s="46">
        <f t="shared" si="16"/>
        <v>0.33333333333333331</v>
      </c>
      <c r="N94" s="45">
        <f t="shared" si="17"/>
        <v>225800</v>
      </c>
      <c r="O94" s="45">
        <f t="shared" si="18"/>
        <v>75266.666666666657</v>
      </c>
      <c r="P94" s="46">
        <f t="shared" si="19"/>
        <v>1.111111111111111E-2</v>
      </c>
      <c r="Q94" s="46"/>
      <c r="R94" s="45">
        <f t="shared" si="20"/>
        <v>0</v>
      </c>
      <c r="S94" s="46">
        <f t="shared" si="21"/>
        <v>0</v>
      </c>
      <c r="T94" s="46">
        <f>IFERROR(VLOOKUP(A94,'[1]Re-order'!$A:$Q,17,0),"")</f>
        <v>18</v>
      </c>
      <c r="U94" s="46">
        <f>IFERROR(VLOOKUP(A94,'[1]MC Masterlist 2026-09-12'!$B:$M, 10, 0),0)</f>
        <v>15</v>
      </c>
      <c r="V94" s="46">
        <f>IFERROR(VLOOKUP(A94,'[1]MC Masterlist 2026-09-12'!$B:$M, 11, 0),0)</f>
        <v>15</v>
      </c>
      <c r="W94" s="46">
        <f t="shared" si="22"/>
        <v>30</v>
      </c>
      <c r="X94" s="46">
        <f t="shared" si="23"/>
        <v>29.833333333333332</v>
      </c>
      <c r="Y94" s="46">
        <f>IFERROR(IF(OR(C94="AREA I",C94="AREA V"),7,VLOOKUP(A94,'[1]MC Masterlist 2026-09-12'!$B:$M, 12, 0)),0)</f>
        <v>30</v>
      </c>
      <c r="Z94" s="46">
        <f t="shared" si="24"/>
        <v>0.16666666666666666</v>
      </c>
      <c r="AA94" s="46">
        <f t="shared" si="25"/>
        <v>0.33333333333333331</v>
      </c>
      <c r="AB94" s="46">
        <f t="shared" si="26"/>
        <v>0.33148148148148143</v>
      </c>
      <c r="AC94" s="46">
        <f t="shared" si="27"/>
        <v>0.33333333333333331</v>
      </c>
      <c r="AD94" s="44" t="str">
        <f t="shared" si="28"/>
        <v>Stockout</v>
      </c>
      <c r="AE94" s="44" t="str">
        <f>IFERROR(VLOOKUP(A94,'[1]Re-order'!$A:$AA,27,0),"")</f>
        <v>Stockout</v>
      </c>
      <c r="AF94" s="46">
        <f t="shared" si="29"/>
        <v>0.33333333333333331</v>
      </c>
      <c r="AG94" s="46">
        <f>SUMIFS('[1]Raw Inventory'!D:D,'[1]Raw Inventory'!C:C,"GREATWALL",'[1]Raw Inventory'!B:B,A94)</f>
        <v>0</v>
      </c>
      <c r="AH94" s="46">
        <f>SUMIFS('[1]Raw Inventory'!D:D,'[1]Raw Inventory'!C:C,"DUARTE",'[1]Raw Inventory'!B:B,A94)</f>
        <v>0</v>
      </c>
      <c r="AI94" s="46"/>
      <c r="AJ94" s="46"/>
      <c r="AK94" s="43"/>
      <c r="AL94" s="43"/>
      <c r="AM94" s="43"/>
      <c r="AN94" s="43"/>
      <c r="AO94" s="43"/>
      <c r="AP94" s="43"/>
      <c r="AQ94" s="43"/>
      <c r="AR94" s="43"/>
      <c r="AS94" s="43"/>
      <c r="AT94" s="43"/>
    </row>
    <row r="95" spans="1:46">
      <c r="A95" s="43" t="s">
        <v>12</v>
      </c>
      <c r="B95" s="43" t="s">
        <v>141</v>
      </c>
      <c r="C95" s="43" t="s">
        <v>137</v>
      </c>
      <c r="D95" s="44" t="s">
        <v>259</v>
      </c>
      <c r="E95" s="44">
        <v>5</v>
      </c>
      <c r="F95" s="44" t="s">
        <v>0</v>
      </c>
      <c r="G95" s="43" t="str">
        <f>IFERROR(VLOOKUP(A95,'[1]MC Masterlist 2026-09-12'!$B:$M, 3, 0),"")</f>
        <v>HONDA</v>
      </c>
      <c r="H95" s="45">
        <f>IFERROR(VLOOKUP(A95,'[1]MC Masterlist 2026-09-12'!$B:$M, 6, 0),"")</f>
        <v>158270</v>
      </c>
      <c r="I95" s="46">
        <v>2</v>
      </c>
      <c r="J95" s="46">
        <v>2</v>
      </c>
      <c r="K95" s="46">
        <v>1</v>
      </c>
      <c r="L95" s="46">
        <f t="shared" si="15"/>
        <v>5</v>
      </c>
      <c r="M95" s="46">
        <f t="shared" si="16"/>
        <v>1.6666666666666667</v>
      </c>
      <c r="N95" s="45">
        <f t="shared" si="17"/>
        <v>791350</v>
      </c>
      <c r="O95" s="45">
        <f t="shared" si="18"/>
        <v>263783.33333333337</v>
      </c>
      <c r="P95" s="46">
        <f t="shared" si="19"/>
        <v>5.5555555555555559E-2</v>
      </c>
      <c r="Q95" s="46">
        <v>1</v>
      </c>
      <c r="R95" s="45">
        <f t="shared" si="20"/>
        <v>158270</v>
      </c>
      <c r="S95" s="46">
        <f t="shared" si="21"/>
        <v>17.999999999999996</v>
      </c>
      <c r="T95" s="46">
        <f>IFERROR(VLOOKUP(A95,'[1]Re-order'!$A:$Q,17,0),"")</f>
        <v>46.461038961038959</v>
      </c>
      <c r="U95" s="46">
        <f>IFERROR(VLOOKUP(A95,'[1]MC Masterlist 2026-09-12'!$B:$M, 10, 0),0)</f>
        <v>15</v>
      </c>
      <c r="V95" s="46">
        <f>IFERROR(VLOOKUP(A95,'[1]MC Masterlist 2026-09-12'!$B:$M, 11, 0),0)</f>
        <v>15</v>
      </c>
      <c r="W95" s="46">
        <f t="shared" si="22"/>
        <v>30</v>
      </c>
      <c r="X95" s="46">
        <f t="shared" si="23"/>
        <v>6.166666666666667</v>
      </c>
      <c r="Y95" s="46">
        <f>IFERROR(IF(OR(C95="AREA I",C95="AREA V"),7,VLOOKUP(A95,'[1]MC Masterlist 2026-09-12'!$B:$M, 12, 0)),0)</f>
        <v>7</v>
      </c>
      <c r="Z95" s="46">
        <f t="shared" si="24"/>
        <v>0.83333333333333337</v>
      </c>
      <c r="AA95" s="46">
        <f t="shared" si="25"/>
        <v>1.6666666666666667</v>
      </c>
      <c r="AB95" s="46">
        <f t="shared" si="26"/>
        <v>0.34259259259259262</v>
      </c>
      <c r="AC95" s="46">
        <f t="shared" si="27"/>
        <v>0.3888888888888889</v>
      </c>
      <c r="AD95" s="44" t="str">
        <f t="shared" si="28"/>
        <v>Over</v>
      </c>
      <c r="AE95" s="44" t="str">
        <f>IFERROR(VLOOKUP(A95,'[1]Re-order'!$A:$AA,27,0),"")</f>
        <v>Re-order</v>
      </c>
      <c r="AF95" s="46">
        <f t="shared" si="29"/>
        <v>-0.61111111111111116</v>
      </c>
      <c r="AG95" s="46">
        <f>SUMIFS('[1]Raw Inventory'!D:D,'[1]Raw Inventory'!C:C,"GREATWALL",'[1]Raw Inventory'!B:B,A95)</f>
        <v>35</v>
      </c>
      <c r="AH95" s="46">
        <f>SUMIFS('[1]Raw Inventory'!D:D,'[1]Raw Inventory'!C:C,"DUARTE",'[1]Raw Inventory'!B:B,A95)</f>
        <v>0</v>
      </c>
      <c r="AI95" s="46"/>
      <c r="AJ95" s="46"/>
      <c r="AK95" s="43"/>
      <c r="AL95" s="43"/>
      <c r="AM95" s="43"/>
      <c r="AN95" s="43"/>
      <c r="AO95" s="43"/>
      <c r="AP95" s="43"/>
      <c r="AQ95" s="43"/>
      <c r="AR95" s="43"/>
      <c r="AS95" s="43"/>
      <c r="AT95" s="43"/>
    </row>
    <row r="96" spans="1:46">
      <c r="A96" s="43" t="s">
        <v>25</v>
      </c>
      <c r="B96" s="43" t="s">
        <v>122</v>
      </c>
      <c r="C96" s="43" t="s">
        <v>118</v>
      </c>
      <c r="D96" s="44" t="s">
        <v>236</v>
      </c>
      <c r="E96" s="44">
        <v>10</v>
      </c>
      <c r="F96" s="44" t="s">
        <v>2</v>
      </c>
      <c r="G96" s="43" t="str">
        <f>IFERROR(VLOOKUP(A96,'[1]MC Masterlist 2026-09-12'!$B:$M, 3, 0),"")</f>
        <v>YAMAHA</v>
      </c>
      <c r="H96" s="45">
        <f>IFERROR(VLOOKUP(A96,'[1]MC Masterlist 2026-09-12'!$B:$M, 6, 0),"")</f>
        <v>124527</v>
      </c>
      <c r="I96" s="46">
        <v>1</v>
      </c>
      <c r="J96" s="46">
        <v>3</v>
      </c>
      <c r="K96" s="46">
        <v>2</v>
      </c>
      <c r="L96" s="46">
        <f t="shared" si="15"/>
        <v>6</v>
      </c>
      <c r="M96" s="46">
        <f t="shared" si="16"/>
        <v>2</v>
      </c>
      <c r="N96" s="45">
        <f t="shared" si="17"/>
        <v>747162</v>
      </c>
      <c r="O96" s="45">
        <f t="shared" si="18"/>
        <v>249054</v>
      </c>
      <c r="P96" s="46">
        <f t="shared" si="19"/>
        <v>6.6666666666666666E-2</v>
      </c>
      <c r="Q96" s="46">
        <v>1</v>
      </c>
      <c r="R96" s="45">
        <f t="shared" si="20"/>
        <v>124527</v>
      </c>
      <c r="S96" s="46">
        <f t="shared" si="21"/>
        <v>15</v>
      </c>
      <c r="T96" s="46">
        <f>IFERROR(VLOOKUP(A96,'[1]Re-order'!$A:$Q,17,0),"")</f>
        <v>5.1030927835051543</v>
      </c>
      <c r="U96" s="46">
        <f>IFERROR(VLOOKUP(A96,'[1]MC Masterlist 2026-09-12'!$B:$M, 10, 0),0)</f>
        <v>15</v>
      </c>
      <c r="V96" s="46">
        <f>IFERROR(VLOOKUP(A96,'[1]MC Masterlist 2026-09-12'!$B:$M, 11, 0),0)</f>
        <v>15</v>
      </c>
      <c r="W96" s="46">
        <f t="shared" si="22"/>
        <v>30</v>
      </c>
      <c r="X96" s="46">
        <f t="shared" si="23"/>
        <v>29</v>
      </c>
      <c r="Y96" s="46">
        <f>IFERROR(IF(OR(C96="AREA I",C96="AREA V"),7,VLOOKUP(A96,'[1]MC Masterlist 2026-09-12'!$B:$M, 12, 0)),0)</f>
        <v>30</v>
      </c>
      <c r="Z96" s="46">
        <f t="shared" si="24"/>
        <v>1</v>
      </c>
      <c r="AA96" s="46">
        <f t="shared" si="25"/>
        <v>2</v>
      </c>
      <c r="AB96" s="46">
        <f t="shared" si="26"/>
        <v>1.9333333333333333</v>
      </c>
      <c r="AC96" s="46">
        <f t="shared" si="27"/>
        <v>2</v>
      </c>
      <c r="AD96" s="44" t="str">
        <f t="shared" si="28"/>
        <v>Stockout</v>
      </c>
      <c r="AE96" s="44" t="str">
        <f>IFERROR(VLOOKUP(A96,'[1]Re-order'!$A:$AA,27,0),"")</f>
        <v>Stockout</v>
      </c>
      <c r="AF96" s="46">
        <f t="shared" si="29"/>
        <v>1</v>
      </c>
      <c r="AG96" s="46">
        <f>SUMIFS('[1]Raw Inventory'!D:D,'[1]Raw Inventory'!C:C,"GREATWALL",'[1]Raw Inventory'!B:B,A96)</f>
        <v>1</v>
      </c>
      <c r="AH96" s="46">
        <f>SUMIFS('[1]Raw Inventory'!D:D,'[1]Raw Inventory'!C:C,"DUARTE",'[1]Raw Inventory'!B:B,A96)</f>
        <v>0</v>
      </c>
      <c r="AI96" s="46"/>
      <c r="AJ96" s="46"/>
      <c r="AK96" s="43"/>
      <c r="AL96" s="43"/>
      <c r="AM96" s="43"/>
      <c r="AN96" s="43"/>
      <c r="AO96" s="43"/>
      <c r="AP96" s="43"/>
      <c r="AQ96" s="43"/>
      <c r="AR96" s="43"/>
      <c r="AS96" s="43"/>
      <c r="AT96" s="43"/>
    </row>
    <row r="97" spans="1:46">
      <c r="A97" s="43" t="s">
        <v>73</v>
      </c>
      <c r="B97" s="43" t="s">
        <v>29</v>
      </c>
      <c r="C97" s="43" t="s">
        <v>1</v>
      </c>
      <c r="D97" s="44" t="s">
        <v>260</v>
      </c>
      <c r="E97" s="44">
        <v>38</v>
      </c>
      <c r="F97" s="44" t="s">
        <v>3</v>
      </c>
      <c r="G97" s="43" t="str">
        <f>IFERROR(VLOOKUP(A97,'[1]MC Masterlist 2026-09-12'!$B:$M, 3, 0),"")</f>
        <v>SUZUKI</v>
      </c>
      <c r="H97" s="45">
        <f>IFERROR(VLOOKUP(A97,'[1]MC Masterlist 2026-09-12'!$B:$M, 6, 0),"")</f>
        <v>122770</v>
      </c>
      <c r="I97" s="46">
        <v>0</v>
      </c>
      <c r="J97" s="46">
        <v>0</v>
      </c>
      <c r="K97" s="46">
        <v>0</v>
      </c>
      <c r="L97" s="46">
        <f t="shared" si="15"/>
        <v>0</v>
      </c>
      <c r="M97" s="46">
        <f t="shared" si="16"/>
        <v>0</v>
      </c>
      <c r="N97" s="45">
        <f t="shared" si="17"/>
        <v>0</v>
      </c>
      <c r="O97" s="45">
        <f t="shared" si="18"/>
        <v>0</v>
      </c>
      <c r="P97" s="46">
        <f t="shared" si="19"/>
        <v>0</v>
      </c>
      <c r="Q97" s="46">
        <v>1</v>
      </c>
      <c r="R97" s="45">
        <f t="shared" si="20"/>
        <v>122770</v>
      </c>
      <c r="S97" s="46">
        <f t="shared" si="21"/>
        <v>0</v>
      </c>
      <c r="T97" s="46">
        <f>IFERROR(VLOOKUP(A97,'[1]Re-order'!$A:$Q,17,0),"")</f>
        <v>787.50000000000011</v>
      </c>
      <c r="U97" s="46">
        <f>IFERROR(VLOOKUP(A97,'[1]MC Masterlist 2026-09-12'!$B:$M, 10, 0),0)</f>
        <v>15</v>
      </c>
      <c r="V97" s="46">
        <f>IFERROR(VLOOKUP(A97,'[1]MC Masterlist 2026-09-12'!$B:$M, 11, 0),0)</f>
        <v>15</v>
      </c>
      <c r="W97" s="46">
        <f t="shared" si="22"/>
        <v>30</v>
      </c>
      <c r="X97" s="46">
        <f t="shared" si="23"/>
        <v>7</v>
      </c>
      <c r="Y97" s="46">
        <f>IFERROR(IF(OR(C97="AREA I",C97="AREA V"),7,VLOOKUP(A97,'[1]MC Masterlist 2026-09-12'!$B:$M, 12, 0)),0)</f>
        <v>7</v>
      </c>
      <c r="Z97" s="46">
        <f t="shared" si="24"/>
        <v>0</v>
      </c>
      <c r="AA97" s="46">
        <f t="shared" si="25"/>
        <v>0</v>
      </c>
      <c r="AB97" s="46">
        <f t="shared" si="26"/>
        <v>0</v>
      </c>
      <c r="AC97" s="46">
        <f t="shared" si="27"/>
        <v>0</v>
      </c>
      <c r="AD97" s="44" t="str">
        <f t="shared" si="28"/>
        <v>Over</v>
      </c>
      <c r="AE97" s="44" t="str">
        <f>IFERROR(VLOOKUP(A97,'[1]Re-order'!$A:$AA,27,0),"")</f>
        <v>Over</v>
      </c>
      <c r="AF97" s="46">
        <f t="shared" si="29"/>
        <v>-1</v>
      </c>
      <c r="AG97" s="46">
        <f>SUMIFS('[1]Raw Inventory'!D:D,'[1]Raw Inventory'!C:C,"GREATWALL",'[1]Raw Inventory'!B:B,A97)</f>
        <v>9</v>
      </c>
      <c r="AH97" s="46">
        <f>SUMIFS('[1]Raw Inventory'!D:D,'[1]Raw Inventory'!C:C,"DUARTE",'[1]Raw Inventory'!B:B,A97)</f>
        <v>0</v>
      </c>
      <c r="AI97" s="46"/>
      <c r="AJ97" s="46"/>
      <c r="AK97" s="43"/>
      <c r="AL97" s="43"/>
      <c r="AM97" s="43"/>
      <c r="AN97" s="43"/>
      <c r="AO97" s="43"/>
      <c r="AP97" s="43"/>
      <c r="AQ97" s="43"/>
      <c r="AR97" s="43"/>
      <c r="AS97" s="43"/>
      <c r="AT97" s="43"/>
    </row>
    <row r="98" spans="1:46">
      <c r="A98" s="43" t="s">
        <v>53</v>
      </c>
      <c r="B98" s="43" t="s">
        <v>143</v>
      </c>
      <c r="C98" s="43" t="s">
        <v>137</v>
      </c>
      <c r="D98" s="44" t="s">
        <v>245</v>
      </c>
      <c r="E98" s="44">
        <v>26</v>
      </c>
      <c r="F98" s="44" t="s">
        <v>3</v>
      </c>
      <c r="G98" s="43" t="str">
        <f>IFERROR(VLOOKUP(A98,'[1]MC Masterlist 2026-09-12'!$B:$M, 3, 0),"")</f>
        <v>HONDA</v>
      </c>
      <c r="H98" s="45">
        <f>IFERROR(VLOOKUP(A98,'[1]MC Masterlist 2026-09-12'!$B:$M, 6, 0),"")</f>
        <v>118838</v>
      </c>
      <c r="I98" s="46">
        <v>0</v>
      </c>
      <c r="J98" s="46">
        <v>0</v>
      </c>
      <c r="K98" s="46">
        <v>0</v>
      </c>
      <c r="L98" s="46">
        <f t="shared" si="15"/>
        <v>0</v>
      </c>
      <c r="M98" s="46">
        <f t="shared" si="16"/>
        <v>0</v>
      </c>
      <c r="N98" s="45">
        <f t="shared" si="17"/>
        <v>0</v>
      </c>
      <c r="O98" s="45">
        <f t="shared" si="18"/>
        <v>0</v>
      </c>
      <c r="P98" s="46">
        <f t="shared" si="19"/>
        <v>0</v>
      </c>
      <c r="Q98" s="46">
        <v>1</v>
      </c>
      <c r="R98" s="45">
        <f t="shared" si="20"/>
        <v>118838</v>
      </c>
      <c r="S98" s="46">
        <f t="shared" si="21"/>
        <v>0</v>
      </c>
      <c r="T98" s="46">
        <f>IFERROR(VLOOKUP(A98,'[1]Re-order'!$A:$Q,17,0),"")</f>
        <v>360</v>
      </c>
      <c r="U98" s="46">
        <f>IFERROR(VLOOKUP(A98,'[1]MC Masterlist 2026-09-12'!$B:$M, 10, 0),0)</f>
        <v>15</v>
      </c>
      <c r="V98" s="46">
        <f>IFERROR(VLOOKUP(A98,'[1]MC Masterlist 2026-09-12'!$B:$M, 11, 0),0)</f>
        <v>15</v>
      </c>
      <c r="W98" s="46">
        <f t="shared" si="22"/>
        <v>30</v>
      </c>
      <c r="X98" s="46">
        <f t="shared" si="23"/>
        <v>7</v>
      </c>
      <c r="Y98" s="46">
        <f>IFERROR(IF(OR(C98="AREA I",C98="AREA V"),7,VLOOKUP(A98,'[1]MC Masterlist 2026-09-12'!$B:$M, 12, 0)),0)</f>
        <v>7</v>
      </c>
      <c r="Z98" s="46">
        <f t="shared" si="24"/>
        <v>0</v>
      </c>
      <c r="AA98" s="46">
        <f t="shared" si="25"/>
        <v>0</v>
      </c>
      <c r="AB98" s="46">
        <f t="shared" si="26"/>
        <v>0</v>
      </c>
      <c r="AC98" s="46">
        <f t="shared" si="27"/>
        <v>0</v>
      </c>
      <c r="AD98" s="44" t="str">
        <f t="shared" si="28"/>
        <v>Over</v>
      </c>
      <c r="AE98" s="44" t="str">
        <f>IFERROR(VLOOKUP(A98,'[1]Re-order'!$A:$AA,27,0),"")</f>
        <v>Over</v>
      </c>
      <c r="AF98" s="46">
        <f t="shared" si="29"/>
        <v>-1</v>
      </c>
      <c r="AG98" s="46">
        <f>SUMIFS('[1]Raw Inventory'!D:D,'[1]Raw Inventory'!C:C,"GREATWALL",'[1]Raw Inventory'!B:B,A98)</f>
        <v>0</v>
      </c>
      <c r="AH98" s="46">
        <f>SUMIFS('[1]Raw Inventory'!D:D,'[1]Raw Inventory'!C:C,"DUARTE",'[1]Raw Inventory'!B:B,A98)</f>
        <v>0</v>
      </c>
      <c r="AI98" s="46"/>
      <c r="AJ98" s="46"/>
      <c r="AK98" s="43"/>
      <c r="AL98" s="43"/>
      <c r="AM98" s="43"/>
      <c r="AN98" s="43"/>
      <c r="AO98" s="43"/>
      <c r="AP98" s="43"/>
      <c r="AQ98" s="43"/>
      <c r="AR98" s="43"/>
      <c r="AS98" s="43"/>
      <c r="AT98" s="43"/>
    </row>
    <row r="99" spans="1:46">
      <c r="A99" s="43" t="s">
        <v>41</v>
      </c>
      <c r="B99" s="43" t="s">
        <v>142</v>
      </c>
      <c r="C99" s="43" t="s">
        <v>137</v>
      </c>
      <c r="D99" s="44" t="s">
        <v>261</v>
      </c>
      <c r="E99" s="44">
        <v>18</v>
      </c>
      <c r="F99" s="44" t="s">
        <v>2</v>
      </c>
      <c r="G99" s="43" t="str">
        <f>IFERROR(VLOOKUP(A99,'[1]MC Masterlist 2026-09-12'!$B:$M, 3, 0),"")</f>
        <v>YAMAHA</v>
      </c>
      <c r="H99" s="45">
        <f>IFERROR(VLOOKUP(A99,'[1]MC Masterlist 2026-09-12'!$B:$M, 6, 0),"")</f>
        <v>92907</v>
      </c>
      <c r="I99" s="46">
        <v>0</v>
      </c>
      <c r="J99" s="46">
        <v>0</v>
      </c>
      <c r="K99" s="46">
        <v>1</v>
      </c>
      <c r="L99" s="46">
        <f t="shared" si="15"/>
        <v>1</v>
      </c>
      <c r="M99" s="46">
        <f t="shared" si="16"/>
        <v>0.33333333333333331</v>
      </c>
      <c r="N99" s="45">
        <f t="shared" si="17"/>
        <v>92907</v>
      </c>
      <c r="O99" s="45">
        <f t="shared" si="18"/>
        <v>30969</v>
      </c>
      <c r="P99" s="46">
        <f t="shared" si="19"/>
        <v>1.111111111111111E-2</v>
      </c>
      <c r="Q99" s="46"/>
      <c r="R99" s="45">
        <f t="shared" si="20"/>
        <v>0</v>
      </c>
      <c r="S99" s="46">
        <f t="shared" si="21"/>
        <v>0</v>
      </c>
      <c r="T99" s="46">
        <f>IFERROR(VLOOKUP(A99,'[1]Re-order'!$A:$Q,17,0),"")</f>
        <v>240</v>
      </c>
      <c r="U99" s="46">
        <f>IFERROR(VLOOKUP(A99,'[1]MC Masterlist 2026-09-12'!$B:$M, 10, 0),0)</f>
        <v>15</v>
      </c>
      <c r="V99" s="46">
        <f>IFERROR(VLOOKUP(A99,'[1]MC Masterlist 2026-09-12'!$B:$M, 11, 0),0)</f>
        <v>15</v>
      </c>
      <c r="W99" s="46">
        <f t="shared" si="22"/>
        <v>30</v>
      </c>
      <c r="X99" s="46">
        <f t="shared" si="23"/>
        <v>6.833333333333333</v>
      </c>
      <c r="Y99" s="46">
        <f>IFERROR(IF(OR(C99="AREA I",C99="AREA V"),7,VLOOKUP(A99,'[1]MC Masterlist 2026-09-12'!$B:$M, 12, 0)),0)</f>
        <v>7</v>
      </c>
      <c r="Z99" s="46">
        <f t="shared" si="24"/>
        <v>0.16666666666666666</v>
      </c>
      <c r="AA99" s="46">
        <f t="shared" si="25"/>
        <v>0.33333333333333331</v>
      </c>
      <c r="AB99" s="46">
        <f t="shared" si="26"/>
        <v>7.5925925925925911E-2</v>
      </c>
      <c r="AC99" s="46">
        <f t="shared" si="27"/>
        <v>7.7777777777777765E-2</v>
      </c>
      <c r="AD99" s="44" t="str">
        <f t="shared" si="28"/>
        <v>Stockout</v>
      </c>
      <c r="AE99" s="44" t="str">
        <f>IFERROR(VLOOKUP(A99,'[1]Re-order'!$A:$AA,27,0),"")</f>
        <v>Over</v>
      </c>
      <c r="AF99" s="46">
        <f t="shared" si="29"/>
        <v>7.7777777777777765E-2</v>
      </c>
      <c r="AG99" s="46">
        <f>SUMIFS('[1]Raw Inventory'!D:D,'[1]Raw Inventory'!C:C,"GREATWALL",'[1]Raw Inventory'!B:B,A99)</f>
        <v>2</v>
      </c>
      <c r="AH99" s="46">
        <f>SUMIFS('[1]Raw Inventory'!D:D,'[1]Raw Inventory'!C:C,"DUARTE",'[1]Raw Inventory'!B:B,A99)</f>
        <v>0</v>
      </c>
      <c r="AI99" s="46"/>
      <c r="AJ99" s="46"/>
      <c r="AK99" s="43"/>
      <c r="AL99" s="43"/>
      <c r="AM99" s="43"/>
      <c r="AN99" s="43"/>
      <c r="AO99" s="43"/>
      <c r="AP99" s="43"/>
      <c r="AQ99" s="43"/>
      <c r="AR99" s="43"/>
      <c r="AS99" s="43"/>
      <c r="AT99" s="43"/>
    </row>
    <row r="100" spans="1:46">
      <c r="A100" s="43" t="s">
        <v>79</v>
      </c>
      <c r="B100" s="43" t="s">
        <v>141</v>
      </c>
      <c r="C100" s="43" t="s">
        <v>137</v>
      </c>
      <c r="D100" s="44" t="s">
        <v>247</v>
      </c>
      <c r="E100" s="44">
        <v>25</v>
      </c>
      <c r="F100" s="44" t="s">
        <v>3</v>
      </c>
      <c r="G100" s="43" t="str">
        <f>IFERROR(VLOOKUP(A100,'[1]MC Masterlist 2026-09-12'!$B:$M, 3, 0),"")</f>
        <v>SUZUKI</v>
      </c>
      <c r="H100" s="45">
        <f>IFERROR(VLOOKUP(A100,'[1]MC Masterlist 2026-09-12'!$B:$M, 6, 0),"")</f>
        <v>78872</v>
      </c>
      <c r="I100" s="46">
        <v>0</v>
      </c>
      <c r="J100" s="46">
        <v>1</v>
      </c>
      <c r="K100" s="46">
        <v>0</v>
      </c>
      <c r="L100" s="46">
        <f t="shared" si="15"/>
        <v>1</v>
      </c>
      <c r="M100" s="46">
        <f t="shared" si="16"/>
        <v>0.33333333333333331</v>
      </c>
      <c r="N100" s="45">
        <f t="shared" si="17"/>
        <v>78872</v>
      </c>
      <c r="O100" s="45">
        <f t="shared" si="18"/>
        <v>26290.666666666664</v>
      </c>
      <c r="P100" s="46">
        <f t="shared" si="19"/>
        <v>1.111111111111111E-2</v>
      </c>
      <c r="Q100" s="46">
        <v>1</v>
      </c>
      <c r="R100" s="45">
        <f t="shared" si="20"/>
        <v>78872</v>
      </c>
      <c r="S100" s="46">
        <f t="shared" si="21"/>
        <v>90.000000000000014</v>
      </c>
      <c r="T100" s="46">
        <f>IFERROR(VLOOKUP(A100,'[1]Re-order'!$A:$Q,17,0),"")</f>
        <v>72</v>
      </c>
      <c r="U100" s="46">
        <f>IFERROR(VLOOKUP(A100,'[1]MC Masterlist 2026-09-12'!$B:$M, 10, 0),0)</f>
        <v>15</v>
      </c>
      <c r="V100" s="46">
        <f>IFERROR(VLOOKUP(A100,'[1]MC Masterlist 2026-09-12'!$B:$M, 11, 0),0)</f>
        <v>15</v>
      </c>
      <c r="W100" s="46">
        <f t="shared" si="22"/>
        <v>30</v>
      </c>
      <c r="X100" s="46">
        <f t="shared" si="23"/>
        <v>6.833333333333333</v>
      </c>
      <c r="Y100" s="46">
        <f>IFERROR(IF(OR(C100="AREA I",C100="AREA V"),7,VLOOKUP(A100,'[1]MC Masterlist 2026-09-12'!$B:$M, 12, 0)),0)</f>
        <v>7</v>
      </c>
      <c r="Z100" s="46">
        <f t="shared" si="24"/>
        <v>0.16666666666666666</v>
      </c>
      <c r="AA100" s="46">
        <f t="shared" si="25"/>
        <v>0.33333333333333331</v>
      </c>
      <c r="AB100" s="46">
        <f t="shared" si="26"/>
        <v>7.5925925925925911E-2</v>
      </c>
      <c r="AC100" s="46">
        <f t="shared" si="27"/>
        <v>7.7777777777777765E-2</v>
      </c>
      <c r="AD100" s="44" t="str">
        <f t="shared" si="28"/>
        <v>Over</v>
      </c>
      <c r="AE100" s="44" t="str">
        <f>IFERROR(VLOOKUP(A100,'[1]Re-order'!$A:$AA,27,0),"")</f>
        <v>Re-order</v>
      </c>
      <c r="AF100" s="46">
        <f t="shared" si="29"/>
        <v>-0.92222222222222228</v>
      </c>
      <c r="AG100" s="46">
        <f>SUMIFS('[1]Raw Inventory'!D:D,'[1]Raw Inventory'!C:C,"GREATWALL",'[1]Raw Inventory'!B:B,A100)</f>
        <v>0</v>
      </c>
      <c r="AH100" s="46">
        <f>SUMIFS('[1]Raw Inventory'!D:D,'[1]Raw Inventory'!C:C,"DUARTE",'[1]Raw Inventory'!B:B,A100)</f>
        <v>0</v>
      </c>
      <c r="AI100" s="46"/>
      <c r="AJ100" s="46"/>
      <c r="AK100" s="43"/>
      <c r="AL100" s="43"/>
      <c r="AM100" s="43"/>
      <c r="AN100" s="43"/>
      <c r="AO100" s="43"/>
      <c r="AP100" s="43"/>
      <c r="AQ100" s="43"/>
      <c r="AR100" s="43"/>
      <c r="AS100" s="43"/>
      <c r="AT100" s="43"/>
    </row>
    <row r="101" spans="1:46">
      <c r="A101" s="43" t="s">
        <v>23</v>
      </c>
      <c r="B101" s="43" t="s">
        <v>110</v>
      </c>
      <c r="C101" s="43" t="s">
        <v>109</v>
      </c>
      <c r="D101" s="44" t="s">
        <v>229</v>
      </c>
      <c r="E101" s="44">
        <v>27</v>
      </c>
      <c r="F101" s="44" t="s">
        <v>3</v>
      </c>
      <c r="G101" s="43" t="str">
        <f>IFERROR(VLOOKUP(A101,'[1]MC Masterlist 2026-09-12'!$B:$M, 3, 0),"")</f>
        <v>KAWASAKI</v>
      </c>
      <c r="H101" s="45">
        <f>IFERROR(VLOOKUP(A101,'[1]MC Masterlist 2026-09-12'!$B:$M, 6, 0),"")</f>
        <v>60656</v>
      </c>
      <c r="I101" s="46">
        <v>0</v>
      </c>
      <c r="J101" s="46">
        <v>0</v>
      </c>
      <c r="K101" s="46">
        <v>1</v>
      </c>
      <c r="L101" s="46">
        <f t="shared" si="15"/>
        <v>1</v>
      </c>
      <c r="M101" s="46">
        <f t="shared" si="16"/>
        <v>0.33333333333333331</v>
      </c>
      <c r="N101" s="45">
        <f t="shared" si="17"/>
        <v>60656</v>
      </c>
      <c r="O101" s="45">
        <f t="shared" si="18"/>
        <v>20218.666666666664</v>
      </c>
      <c r="P101" s="46">
        <f t="shared" si="19"/>
        <v>1.111111111111111E-2</v>
      </c>
      <c r="Q101" s="46">
        <v>6</v>
      </c>
      <c r="R101" s="45">
        <f t="shared" si="20"/>
        <v>363936</v>
      </c>
      <c r="S101" s="46">
        <f t="shared" si="21"/>
        <v>540.00000000000011</v>
      </c>
      <c r="T101" s="46">
        <f>IFERROR(VLOOKUP(A101,'[1]Re-order'!$A:$Q,17,0),"")</f>
        <v>53.973412112259979</v>
      </c>
      <c r="U101" s="46">
        <f>IFERROR(VLOOKUP(A101,'[1]MC Masterlist 2026-09-12'!$B:$M, 10, 0),0)</f>
        <v>15</v>
      </c>
      <c r="V101" s="46">
        <f>IFERROR(VLOOKUP(A101,'[1]MC Masterlist 2026-09-12'!$B:$M, 11, 0),0)</f>
        <v>15</v>
      </c>
      <c r="W101" s="46">
        <f t="shared" si="22"/>
        <v>30</v>
      </c>
      <c r="X101" s="46">
        <f t="shared" si="23"/>
        <v>29.833333333333332</v>
      </c>
      <c r="Y101" s="46">
        <f>IFERROR(IF(OR(C101="AREA I",C101="AREA V"),7,VLOOKUP(A101,'[1]MC Masterlist 2026-09-12'!$B:$M, 12, 0)),0)</f>
        <v>30</v>
      </c>
      <c r="Z101" s="46">
        <f t="shared" si="24"/>
        <v>0.16666666666666666</v>
      </c>
      <c r="AA101" s="46">
        <f t="shared" si="25"/>
        <v>0.33333333333333331</v>
      </c>
      <c r="AB101" s="46">
        <f t="shared" si="26"/>
        <v>0.33148148148148143</v>
      </c>
      <c r="AC101" s="46">
        <f t="shared" si="27"/>
        <v>0.33333333333333331</v>
      </c>
      <c r="AD101" s="44" t="str">
        <f t="shared" si="28"/>
        <v>Over</v>
      </c>
      <c r="AE101" s="44" t="str">
        <f>IFERROR(VLOOKUP(A101,'[1]Re-order'!$A:$AA,27,0),"")</f>
        <v>Re-order</v>
      </c>
      <c r="AF101" s="46">
        <f t="shared" si="29"/>
        <v>-5.666666666666667</v>
      </c>
      <c r="AG101" s="46">
        <f>SUMIFS('[1]Raw Inventory'!D:D,'[1]Raw Inventory'!C:C,"GREATWALL",'[1]Raw Inventory'!B:B,A101)</f>
        <v>282</v>
      </c>
      <c r="AH101" s="46">
        <f>SUMIFS('[1]Raw Inventory'!D:D,'[1]Raw Inventory'!C:C,"DUARTE",'[1]Raw Inventory'!B:B,A101)</f>
        <v>0</v>
      </c>
      <c r="AI101" s="46"/>
      <c r="AJ101" s="46"/>
      <c r="AK101" s="43"/>
      <c r="AL101" s="43"/>
      <c r="AM101" s="43"/>
      <c r="AN101" s="43"/>
      <c r="AO101" s="43"/>
      <c r="AP101" s="43"/>
      <c r="AQ101" s="43"/>
      <c r="AR101" s="43"/>
      <c r="AS101" s="43"/>
      <c r="AT101" s="43"/>
    </row>
    <row r="102" spans="1:46">
      <c r="A102" s="43" t="s">
        <v>17</v>
      </c>
      <c r="B102" s="43" t="s">
        <v>139</v>
      </c>
      <c r="C102" s="43" t="s">
        <v>137</v>
      </c>
      <c r="D102" s="44" t="s">
        <v>234</v>
      </c>
      <c r="E102" s="44">
        <v>4</v>
      </c>
      <c r="F102" s="44" t="s">
        <v>0</v>
      </c>
      <c r="G102" s="43" t="str">
        <f>IFERROR(VLOOKUP(A102,'[1]MC Masterlist 2026-09-12'!$B:$M, 3, 0),"")</f>
        <v>HONDA</v>
      </c>
      <c r="H102" s="45">
        <f>IFERROR(VLOOKUP(A102,'[1]MC Masterlist 2026-09-12'!$B:$M, 6, 0),"")</f>
        <v>140790</v>
      </c>
      <c r="I102" s="46">
        <v>7</v>
      </c>
      <c r="J102" s="46">
        <v>4</v>
      </c>
      <c r="K102" s="46">
        <v>6</v>
      </c>
      <c r="L102" s="46">
        <f t="shared" si="15"/>
        <v>17</v>
      </c>
      <c r="M102" s="46">
        <f t="shared" si="16"/>
        <v>5.666666666666667</v>
      </c>
      <c r="N102" s="45">
        <f t="shared" si="17"/>
        <v>2393430</v>
      </c>
      <c r="O102" s="45">
        <f t="shared" si="18"/>
        <v>797810</v>
      </c>
      <c r="P102" s="46">
        <f t="shared" si="19"/>
        <v>0.18888888888888891</v>
      </c>
      <c r="Q102" s="46">
        <v>3</v>
      </c>
      <c r="R102" s="45">
        <f t="shared" si="20"/>
        <v>422370</v>
      </c>
      <c r="S102" s="46">
        <f t="shared" si="21"/>
        <v>15.882352941176471</v>
      </c>
      <c r="T102" s="46">
        <f>IFERROR(VLOOKUP(A102,'[1]Re-order'!$A:$Q,17,0),"")</f>
        <v>43.663366336633665</v>
      </c>
      <c r="U102" s="46">
        <f>IFERROR(VLOOKUP(A102,'[1]MC Masterlist 2026-09-12'!$B:$M, 10, 0),0)</f>
        <v>15</v>
      </c>
      <c r="V102" s="46">
        <f>IFERROR(VLOOKUP(A102,'[1]MC Masterlist 2026-09-12'!$B:$M, 11, 0),0)</f>
        <v>15</v>
      </c>
      <c r="W102" s="46">
        <f t="shared" si="22"/>
        <v>30</v>
      </c>
      <c r="X102" s="46">
        <f t="shared" si="23"/>
        <v>4.1666666666666661</v>
      </c>
      <c r="Y102" s="46">
        <f>IFERROR(IF(OR(C102="AREA I",C102="AREA V"),7,VLOOKUP(A102,'[1]MC Masterlist 2026-09-12'!$B:$M, 12, 0)),0)</f>
        <v>7</v>
      </c>
      <c r="Z102" s="46">
        <f t="shared" si="24"/>
        <v>2.8333333333333335</v>
      </c>
      <c r="AA102" s="46">
        <f t="shared" si="25"/>
        <v>5.666666666666667</v>
      </c>
      <c r="AB102" s="46">
        <f t="shared" si="26"/>
        <v>0.78703703703703698</v>
      </c>
      <c r="AC102" s="46">
        <f t="shared" si="27"/>
        <v>1.3222222222222224</v>
      </c>
      <c r="AD102" s="44" t="str">
        <f t="shared" si="28"/>
        <v>Over</v>
      </c>
      <c r="AE102" s="44" t="str">
        <f>IFERROR(VLOOKUP(A102,'[1]Re-order'!$A:$AA,27,0),"")</f>
        <v>Re-order</v>
      </c>
      <c r="AF102" s="46">
        <f t="shared" si="29"/>
        <v>-1.6777777777777776</v>
      </c>
      <c r="AG102" s="46">
        <f>SUMIFS('[1]Raw Inventory'!D:D,'[1]Raw Inventory'!C:C,"GREATWALL",'[1]Raw Inventory'!B:B,A102)</f>
        <v>12</v>
      </c>
      <c r="AH102" s="46">
        <f>SUMIFS('[1]Raw Inventory'!D:D,'[1]Raw Inventory'!C:C,"DUARTE",'[1]Raw Inventory'!B:B,A102)</f>
        <v>0</v>
      </c>
      <c r="AI102" s="46"/>
      <c r="AJ102" s="46"/>
      <c r="AK102" s="43"/>
      <c r="AL102" s="43"/>
      <c r="AM102" s="43"/>
      <c r="AN102" s="43"/>
      <c r="AO102" s="43"/>
      <c r="AP102" s="43"/>
      <c r="AQ102" s="43"/>
      <c r="AR102" s="43"/>
      <c r="AS102" s="43"/>
      <c r="AT102" s="43"/>
    </row>
    <row r="103" spans="1:46">
      <c r="A103" s="43" t="s">
        <v>89</v>
      </c>
      <c r="B103" s="43" t="s">
        <v>94</v>
      </c>
      <c r="C103" s="43" t="s">
        <v>90</v>
      </c>
      <c r="D103" s="44" t="s">
        <v>262</v>
      </c>
      <c r="E103" s="44">
        <v>15</v>
      </c>
      <c r="F103" s="44" t="s">
        <v>2</v>
      </c>
      <c r="G103" s="43" t="str">
        <f>IFERROR(VLOOKUP(A103,'[1]MC Masterlist 2026-09-12'!$B:$M, 3, 0),"")</f>
        <v>HONDA</v>
      </c>
      <c r="H103" s="45">
        <f>IFERROR(VLOOKUP(A103,'[1]MC Masterlist 2026-09-12'!$B:$M, 6, 0),"")</f>
        <v>117790</v>
      </c>
      <c r="I103" s="46">
        <v>1</v>
      </c>
      <c r="J103" s="46">
        <v>0</v>
      </c>
      <c r="K103" s="46">
        <v>0</v>
      </c>
      <c r="L103" s="46">
        <f t="shared" si="15"/>
        <v>1</v>
      </c>
      <c r="M103" s="46">
        <f t="shared" si="16"/>
        <v>0.33333333333333331</v>
      </c>
      <c r="N103" s="45">
        <f t="shared" si="17"/>
        <v>117790</v>
      </c>
      <c r="O103" s="45">
        <f t="shared" si="18"/>
        <v>39263.333333333328</v>
      </c>
      <c r="P103" s="46">
        <f t="shared" si="19"/>
        <v>1.111111111111111E-2</v>
      </c>
      <c r="Q103" s="46"/>
      <c r="R103" s="45">
        <f t="shared" si="20"/>
        <v>0</v>
      </c>
      <c r="S103" s="46">
        <f t="shared" si="21"/>
        <v>0</v>
      </c>
      <c r="T103" s="46">
        <f>IFERROR(VLOOKUP(A103,'[1]Re-order'!$A:$Q,17,0),"")</f>
        <v>81.818181818181827</v>
      </c>
      <c r="U103" s="46">
        <f>IFERROR(VLOOKUP(A103,'[1]MC Masterlist 2026-09-12'!$B:$M, 10, 0),0)</f>
        <v>15</v>
      </c>
      <c r="V103" s="46">
        <f>IFERROR(VLOOKUP(A103,'[1]MC Masterlist 2026-09-12'!$B:$M, 11, 0),0)</f>
        <v>15</v>
      </c>
      <c r="W103" s="46">
        <f t="shared" si="22"/>
        <v>30</v>
      </c>
      <c r="X103" s="46">
        <f t="shared" si="23"/>
        <v>29.833333333333332</v>
      </c>
      <c r="Y103" s="46">
        <f>IFERROR(IF(OR(C103="AREA I",C103="AREA V"),7,VLOOKUP(A103,'[1]MC Masterlist 2026-09-12'!$B:$M, 12, 0)),0)</f>
        <v>30</v>
      </c>
      <c r="Z103" s="46">
        <f t="shared" si="24"/>
        <v>0.16666666666666666</v>
      </c>
      <c r="AA103" s="46">
        <f t="shared" si="25"/>
        <v>0.33333333333333331</v>
      </c>
      <c r="AB103" s="46">
        <f t="shared" si="26"/>
        <v>0.33148148148148143</v>
      </c>
      <c r="AC103" s="46">
        <f t="shared" si="27"/>
        <v>0.33333333333333331</v>
      </c>
      <c r="AD103" s="44" t="str">
        <f t="shared" si="28"/>
        <v>Stockout</v>
      </c>
      <c r="AE103" s="44" t="str">
        <f>IFERROR(VLOOKUP(A103,'[1]Re-order'!$A:$AA,27,0),"")</f>
        <v/>
      </c>
      <c r="AF103" s="46">
        <f t="shared" si="29"/>
        <v>0.33333333333333331</v>
      </c>
      <c r="AG103" s="46">
        <f>SUMIFS('[1]Raw Inventory'!D:D,'[1]Raw Inventory'!C:C,"GREATWALL",'[1]Raw Inventory'!B:B,A103)</f>
        <v>5</v>
      </c>
      <c r="AH103" s="46">
        <f>SUMIFS('[1]Raw Inventory'!D:D,'[1]Raw Inventory'!C:C,"DUARTE",'[1]Raw Inventory'!B:B,A103)</f>
        <v>0</v>
      </c>
      <c r="AI103" s="46"/>
      <c r="AJ103" s="46"/>
      <c r="AK103" s="43"/>
      <c r="AL103" s="43"/>
      <c r="AM103" s="43"/>
      <c r="AN103" s="43"/>
      <c r="AO103" s="43"/>
      <c r="AP103" s="43"/>
      <c r="AQ103" s="43"/>
      <c r="AR103" s="43"/>
      <c r="AS103" s="43"/>
      <c r="AT103" s="43"/>
    </row>
    <row r="104" spans="1:46">
      <c r="A104" s="43" t="s">
        <v>32</v>
      </c>
      <c r="B104" s="43" t="s">
        <v>11</v>
      </c>
      <c r="C104" s="43" t="s">
        <v>1</v>
      </c>
      <c r="D104" s="44" t="s">
        <v>236</v>
      </c>
      <c r="E104" s="44">
        <v>7</v>
      </c>
      <c r="F104" s="44" t="s">
        <v>2</v>
      </c>
      <c r="G104" s="43" t="str">
        <f>IFERROR(VLOOKUP(A104,'[1]MC Masterlist 2026-09-12'!$B:$M, 3, 0),"")</f>
        <v>HONDA</v>
      </c>
      <c r="H104" s="45">
        <f>IFERROR(VLOOKUP(A104,'[1]MC Masterlist 2026-09-12'!$B:$M, 6, 0),"")</f>
        <v>288910</v>
      </c>
      <c r="I104" s="46">
        <v>2</v>
      </c>
      <c r="J104" s="46">
        <v>1</v>
      </c>
      <c r="K104" s="46">
        <v>1</v>
      </c>
      <c r="L104" s="46">
        <f t="shared" si="15"/>
        <v>4</v>
      </c>
      <c r="M104" s="46">
        <f t="shared" si="16"/>
        <v>1.3333333333333333</v>
      </c>
      <c r="N104" s="45">
        <f t="shared" si="17"/>
        <v>1155640</v>
      </c>
      <c r="O104" s="45">
        <f t="shared" si="18"/>
        <v>385213.33333333331</v>
      </c>
      <c r="P104" s="46">
        <f t="shared" si="19"/>
        <v>4.4444444444444439E-2</v>
      </c>
      <c r="Q104" s="46">
        <v>1</v>
      </c>
      <c r="R104" s="45">
        <f t="shared" si="20"/>
        <v>288910</v>
      </c>
      <c r="S104" s="46">
        <f t="shared" si="21"/>
        <v>22.5</v>
      </c>
      <c r="T104" s="46">
        <f>IFERROR(VLOOKUP(A104,'[1]Re-order'!$A:$Q,17,0),"")</f>
        <v>97.5</v>
      </c>
      <c r="U104" s="46">
        <f>IFERROR(VLOOKUP(A104,'[1]MC Masterlist 2026-09-12'!$B:$M, 10, 0),0)</f>
        <v>15</v>
      </c>
      <c r="V104" s="46">
        <f>IFERROR(VLOOKUP(A104,'[1]MC Masterlist 2026-09-12'!$B:$M, 11, 0),0)</f>
        <v>15</v>
      </c>
      <c r="W104" s="46">
        <f t="shared" si="22"/>
        <v>30</v>
      </c>
      <c r="X104" s="46">
        <f t="shared" si="23"/>
        <v>6.333333333333333</v>
      </c>
      <c r="Y104" s="46">
        <f>IFERROR(IF(OR(C104="AREA I",C104="AREA V"),7,VLOOKUP(A104,'[1]MC Masterlist 2026-09-12'!$B:$M, 12, 0)),0)</f>
        <v>7</v>
      </c>
      <c r="Z104" s="46">
        <f t="shared" si="24"/>
        <v>0.66666666666666663</v>
      </c>
      <c r="AA104" s="46">
        <f t="shared" si="25"/>
        <v>1.3333333333333333</v>
      </c>
      <c r="AB104" s="46">
        <f t="shared" si="26"/>
        <v>0.28148148148148144</v>
      </c>
      <c r="AC104" s="46">
        <f t="shared" si="27"/>
        <v>0.31111111111111106</v>
      </c>
      <c r="AD104" s="44" t="str">
        <f t="shared" si="28"/>
        <v>Over</v>
      </c>
      <c r="AE104" s="44" t="str">
        <f>IFERROR(VLOOKUP(A104,'[1]Re-order'!$A:$AA,27,0),"")</f>
        <v>Over</v>
      </c>
      <c r="AF104" s="46">
        <f t="shared" si="29"/>
        <v>-0.68888888888888888</v>
      </c>
      <c r="AG104" s="46">
        <f>SUMIFS('[1]Raw Inventory'!D:D,'[1]Raw Inventory'!C:C,"GREATWALL",'[1]Raw Inventory'!B:B,A104)</f>
        <v>7</v>
      </c>
      <c r="AH104" s="46">
        <f>SUMIFS('[1]Raw Inventory'!D:D,'[1]Raw Inventory'!C:C,"DUARTE",'[1]Raw Inventory'!B:B,A104)</f>
        <v>0</v>
      </c>
      <c r="AI104" s="46"/>
      <c r="AJ104" s="46"/>
      <c r="AK104" s="43"/>
      <c r="AL104" s="43"/>
      <c r="AM104" s="43"/>
      <c r="AN104" s="43"/>
      <c r="AO104" s="43"/>
      <c r="AP104" s="43"/>
      <c r="AQ104" s="43"/>
      <c r="AR104" s="43"/>
      <c r="AS104" s="43"/>
      <c r="AT104" s="43"/>
    </row>
    <row r="105" spans="1:46">
      <c r="A105" s="43" t="s">
        <v>28</v>
      </c>
      <c r="B105" s="43" t="s">
        <v>156</v>
      </c>
      <c r="C105" s="43" t="s">
        <v>152</v>
      </c>
      <c r="D105" s="44" t="s">
        <v>261</v>
      </c>
      <c r="E105" s="44">
        <v>13</v>
      </c>
      <c r="F105" s="44" t="s">
        <v>2</v>
      </c>
      <c r="G105" s="43" t="str">
        <f>IFERROR(VLOOKUP(A105,'[1]MC Masterlist 2026-09-12'!$B:$M, 3, 0),"")</f>
        <v>YAMAHA</v>
      </c>
      <c r="H105" s="45">
        <f>IFERROR(VLOOKUP(A105,'[1]MC Masterlist 2026-09-12'!$B:$M, 6, 0),"")</f>
        <v>147312</v>
      </c>
      <c r="I105" s="46">
        <v>0</v>
      </c>
      <c r="J105" s="46">
        <v>0</v>
      </c>
      <c r="K105" s="46">
        <v>1</v>
      </c>
      <c r="L105" s="46">
        <f t="shared" si="15"/>
        <v>1</v>
      </c>
      <c r="M105" s="46">
        <f t="shared" si="16"/>
        <v>0.33333333333333331</v>
      </c>
      <c r="N105" s="45">
        <f t="shared" si="17"/>
        <v>147312</v>
      </c>
      <c r="O105" s="45">
        <f t="shared" si="18"/>
        <v>49104</v>
      </c>
      <c r="P105" s="46">
        <f t="shared" si="19"/>
        <v>1.111111111111111E-2</v>
      </c>
      <c r="Q105" s="46">
        <v>1</v>
      </c>
      <c r="R105" s="45">
        <f t="shared" si="20"/>
        <v>147312</v>
      </c>
      <c r="S105" s="46">
        <f t="shared" si="21"/>
        <v>90</v>
      </c>
      <c r="T105" s="46">
        <f>IFERROR(VLOOKUP(A105,'[1]Re-order'!$A:$Q,17,0),"")</f>
        <v>8.2417582417582427</v>
      </c>
      <c r="U105" s="46">
        <f>IFERROR(VLOOKUP(A105,'[1]MC Masterlist 2026-09-12'!$B:$M, 10, 0),0)</f>
        <v>15</v>
      </c>
      <c r="V105" s="46">
        <f>IFERROR(VLOOKUP(A105,'[1]MC Masterlist 2026-09-12'!$B:$M, 11, 0),0)</f>
        <v>15</v>
      </c>
      <c r="W105" s="46">
        <f t="shared" si="22"/>
        <v>30</v>
      </c>
      <c r="X105" s="46">
        <f t="shared" si="23"/>
        <v>29.833333333333332</v>
      </c>
      <c r="Y105" s="46">
        <f>IFERROR(IF(OR(C105="AREA I",C105="AREA V"),7,VLOOKUP(A105,'[1]MC Masterlist 2026-09-12'!$B:$M, 12, 0)),0)</f>
        <v>30</v>
      </c>
      <c r="Z105" s="46">
        <f t="shared" si="24"/>
        <v>0.16666666666666666</v>
      </c>
      <c r="AA105" s="46">
        <f t="shared" si="25"/>
        <v>0.33333333333333331</v>
      </c>
      <c r="AB105" s="46">
        <f t="shared" si="26"/>
        <v>0.33148148148148143</v>
      </c>
      <c r="AC105" s="46">
        <f t="shared" si="27"/>
        <v>0.33333333333333331</v>
      </c>
      <c r="AD105" s="44" t="str">
        <f t="shared" si="28"/>
        <v>Over</v>
      </c>
      <c r="AE105" s="44" t="str">
        <f>IFERROR(VLOOKUP(A105,'[1]Re-order'!$A:$AA,27,0),"")</f>
        <v>Stockout</v>
      </c>
      <c r="AF105" s="46">
        <f t="shared" si="29"/>
        <v>-0.66666666666666674</v>
      </c>
      <c r="AG105" s="46">
        <f>SUMIFS('[1]Raw Inventory'!D:D,'[1]Raw Inventory'!C:C,"GREATWALL",'[1]Raw Inventory'!B:B,A105)</f>
        <v>0</v>
      </c>
      <c r="AH105" s="46">
        <f>SUMIFS('[1]Raw Inventory'!D:D,'[1]Raw Inventory'!C:C,"DUARTE",'[1]Raw Inventory'!B:B,A105)</f>
        <v>0</v>
      </c>
      <c r="AI105" s="46"/>
      <c r="AJ105" s="46"/>
      <c r="AK105" s="43"/>
      <c r="AL105" s="43"/>
      <c r="AM105" s="43"/>
      <c r="AN105" s="43"/>
      <c r="AO105" s="43"/>
      <c r="AP105" s="43"/>
      <c r="AQ105" s="43"/>
      <c r="AR105" s="43"/>
      <c r="AS105" s="43"/>
      <c r="AT105" s="43"/>
    </row>
    <row r="106" spans="1:46">
      <c r="A106" s="43" t="s">
        <v>64</v>
      </c>
      <c r="B106" s="43" t="s">
        <v>119</v>
      </c>
      <c r="C106" s="43" t="s">
        <v>118</v>
      </c>
      <c r="D106" s="44" t="s">
        <v>255</v>
      </c>
      <c r="E106" s="44">
        <v>16</v>
      </c>
      <c r="F106" s="44" t="s">
        <v>2</v>
      </c>
      <c r="G106" s="43" t="str">
        <f>IFERROR(VLOOKUP(A106,'[1]MC Masterlist 2026-09-12'!$B:$M, 3, 0),"")</f>
        <v>HONDA</v>
      </c>
      <c r="H106" s="45">
        <f>IFERROR(VLOOKUP(A106,'[1]MC Masterlist 2026-09-12'!$B:$M, 6, 0),"")</f>
        <v>73170</v>
      </c>
      <c r="I106" s="46">
        <v>0</v>
      </c>
      <c r="J106" s="46">
        <v>3</v>
      </c>
      <c r="K106" s="46">
        <v>1</v>
      </c>
      <c r="L106" s="46">
        <f t="shared" si="15"/>
        <v>4</v>
      </c>
      <c r="M106" s="46">
        <f t="shared" si="16"/>
        <v>1.3333333333333333</v>
      </c>
      <c r="N106" s="45">
        <f t="shared" si="17"/>
        <v>292680</v>
      </c>
      <c r="O106" s="45">
        <f t="shared" si="18"/>
        <v>97560</v>
      </c>
      <c r="P106" s="46">
        <f t="shared" si="19"/>
        <v>4.4444444444444439E-2</v>
      </c>
      <c r="Q106" s="46">
        <v>2</v>
      </c>
      <c r="R106" s="45">
        <f t="shared" si="20"/>
        <v>146340</v>
      </c>
      <c r="S106" s="46">
        <f t="shared" si="21"/>
        <v>45</v>
      </c>
      <c r="T106" s="46">
        <f>IFERROR(VLOOKUP(A106,'[1]Re-order'!$A:$Q,17,0),"")</f>
        <v>76.153846153846146</v>
      </c>
      <c r="U106" s="46">
        <f>IFERROR(VLOOKUP(A106,'[1]MC Masterlist 2026-09-12'!$B:$M, 10, 0),0)</f>
        <v>15</v>
      </c>
      <c r="V106" s="46">
        <f>IFERROR(VLOOKUP(A106,'[1]MC Masterlist 2026-09-12'!$B:$M, 11, 0),0)</f>
        <v>15</v>
      </c>
      <c r="W106" s="46">
        <f t="shared" si="22"/>
        <v>30</v>
      </c>
      <c r="X106" s="46">
        <f t="shared" si="23"/>
        <v>29.333333333333332</v>
      </c>
      <c r="Y106" s="46">
        <f>IFERROR(IF(OR(C106="AREA I",C106="AREA V"),7,VLOOKUP(A106,'[1]MC Masterlist 2026-09-12'!$B:$M, 12, 0)),0)</f>
        <v>30</v>
      </c>
      <c r="Z106" s="46">
        <f t="shared" si="24"/>
        <v>0.66666666666666663</v>
      </c>
      <c r="AA106" s="46">
        <f t="shared" si="25"/>
        <v>1.3333333333333333</v>
      </c>
      <c r="AB106" s="46">
        <f t="shared" si="26"/>
        <v>1.3037037037037036</v>
      </c>
      <c r="AC106" s="46">
        <f t="shared" si="27"/>
        <v>1.3333333333333333</v>
      </c>
      <c r="AD106" s="44" t="str">
        <f t="shared" si="28"/>
        <v>Over</v>
      </c>
      <c r="AE106" s="44" t="str">
        <f>IFERROR(VLOOKUP(A106,'[1]Re-order'!$A:$AA,27,0),"")</f>
        <v/>
      </c>
      <c r="AF106" s="46">
        <f t="shared" si="29"/>
        <v>-0.66666666666666674</v>
      </c>
      <c r="AG106" s="46">
        <f>SUMIFS('[1]Raw Inventory'!D:D,'[1]Raw Inventory'!C:C,"GREATWALL",'[1]Raw Inventory'!B:B,A106)</f>
        <v>13</v>
      </c>
      <c r="AH106" s="46">
        <f>SUMIFS('[1]Raw Inventory'!D:D,'[1]Raw Inventory'!C:C,"DUARTE",'[1]Raw Inventory'!B:B,A106)</f>
        <v>0</v>
      </c>
      <c r="AI106" s="46"/>
      <c r="AJ106" s="46"/>
      <c r="AK106" s="43"/>
      <c r="AL106" s="43"/>
      <c r="AM106" s="43"/>
      <c r="AN106" s="43"/>
      <c r="AO106" s="43"/>
      <c r="AP106" s="43"/>
      <c r="AQ106" s="43"/>
      <c r="AR106" s="43"/>
      <c r="AS106" s="43"/>
      <c r="AT106" s="43"/>
    </row>
    <row r="107" spans="1:46">
      <c r="A107" s="43" t="s">
        <v>16</v>
      </c>
      <c r="B107" s="43" t="s">
        <v>113</v>
      </c>
      <c r="C107" s="43" t="s">
        <v>109</v>
      </c>
      <c r="D107" s="44" t="s">
        <v>255</v>
      </c>
      <c r="E107" s="44">
        <v>13</v>
      </c>
      <c r="F107" s="44" t="s">
        <v>2</v>
      </c>
      <c r="G107" s="43" t="str">
        <f>IFERROR(VLOOKUP(A107,'[1]MC Masterlist 2026-09-12'!$B:$M, 3, 0),"")</f>
        <v>HONDA</v>
      </c>
      <c r="H107" s="45">
        <f>IFERROR(VLOOKUP(A107,'[1]MC Masterlist 2026-09-12'!$B:$M, 6, 0),"")</f>
        <v>84394</v>
      </c>
      <c r="I107" s="46">
        <v>1</v>
      </c>
      <c r="J107" s="46">
        <v>4</v>
      </c>
      <c r="K107" s="46">
        <v>0</v>
      </c>
      <c r="L107" s="46">
        <f t="shared" si="15"/>
        <v>5</v>
      </c>
      <c r="M107" s="46">
        <f t="shared" si="16"/>
        <v>1.6666666666666667</v>
      </c>
      <c r="N107" s="45">
        <f t="shared" si="17"/>
        <v>421970</v>
      </c>
      <c r="O107" s="45">
        <f t="shared" si="18"/>
        <v>140656.66666666669</v>
      </c>
      <c r="P107" s="46">
        <f t="shared" si="19"/>
        <v>5.5555555555555559E-2</v>
      </c>
      <c r="Q107" s="46">
        <v>3</v>
      </c>
      <c r="R107" s="45">
        <f t="shared" si="20"/>
        <v>253182</v>
      </c>
      <c r="S107" s="46">
        <f t="shared" si="21"/>
        <v>53.999999999999993</v>
      </c>
      <c r="T107" s="46">
        <f>IFERROR(VLOOKUP(A107,'[1]Re-order'!$A:$Q,17,0),"")</f>
        <v>26.332665330661321</v>
      </c>
      <c r="U107" s="46">
        <f>IFERROR(VLOOKUP(A107,'[1]MC Masterlist 2026-09-12'!$B:$M, 10, 0),0)</f>
        <v>15</v>
      </c>
      <c r="V107" s="46">
        <f>IFERROR(VLOOKUP(A107,'[1]MC Masterlist 2026-09-12'!$B:$M, 11, 0),0)</f>
        <v>15</v>
      </c>
      <c r="W107" s="46">
        <f t="shared" si="22"/>
        <v>30</v>
      </c>
      <c r="X107" s="46">
        <f t="shared" si="23"/>
        <v>29.166666666666668</v>
      </c>
      <c r="Y107" s="46">
        <f>IFERROR(IF(OR(C107="AREA I",C107="AREA V"),7,VLOOKUP(A107,'[1]MC Masterlist 2026-09-12'!$B:$M, 12, 0)),0)</f>
        <v>30</v>
      </c>
      <c r="Z107" s="46">
        <f t="shared" si="24"/>
        <v>0.83333333333333337</v>
      </c>
      <c r="AA107" s="46">
        <f t="shared" si="25"/>
        <v>1.6666666666666667</v>
      </c>
      <c r="AB107" s="46">
        <f t="shared" si="26"/>
        <v>1.6203703703703705</v>
      </c>
      <c r="AC107" s="46">
        <f t="shared" si="27"/>
        <v>1.6666666666666667</v>
      </c>
      <c r="AD107" s="44" t="str">
        <f t="shared" si="28"/>
        <v>Over</v>
      </c>
      <c r="AE107" s="44" t="str">
        <f>IFERROR(VLOOKUP(A107,'[1]Re-order'!$A:$AA,27,0),"")</f>
        <v>Stockout</v>
      </c>
      <c r="AF107" s="46">
        <f t="shared" si="29"/>
        <v>-1.3333333333333333</v>
      </c>
      <c r="AG107" s="46">
        <f>SUMIFS('[1]Raw Inventory'!D:D,'[1]Raw Inventory'!C:C,"GREATWALL",'[1]Raw Inventory'!B:B,A107)</f>
        <v>58</v>
      </c>
      <c r="AH107" s="46">
        <f>SUMIFS('[1]Raw Inventory'!D:D,'[1]Raw Inventory'!C:C,"DUARTE",'[1]Raw Inventory'!B:B,A107)</f>
        <v>0</v>
      </c>
      <c r="AI107" s="46"/>
      <c r="AJ107" s="46"/>
      <c r="AK107" s="43"/>
      <c r="AL107" s="43"/>
      <c r="AM107" s="43"/>
      <c r="AN107" s="43"/>
      <c r="AO107" s="43"/>
      <c r="AP107" s="43"/>
      <c r="AQ107" s="43"/>
      <c r="AR107" s="43"/>
      <c r="AS107" s="43"/>
      <c r="AT107" s="43"/>
    </row>
    <row r="108" spans="1:46">
      <c r="A108" s="43" t="s">
        <v>31</v>
      </c>
      <c r="B108" s="43" t="s">
        <v>122</v>
      </c>
      <c r="C108" s="43" t="s">
        <v>118</v>
      </c>
      <c r="D108" s="44" t="s">
        <v>253</v>
      </c>
      <c r="E108" s="44">
        <v>30</v>
      </c>
      <c r="F108" s="44" t="s">
        <v>3</v>
      </c>
      <c r="G108" s="43" t="str">
        <f>IFERROR(VLOOKUP(A108,'[1]MC Masterlist 2026-09-12'!$B:$M, 3, 0),"")</f>
        <v>KAWASAKI</v>
      </c>
      <c r="H108" s="45">
        <f>IFERROR(VLOOKUP(A108,'[1]MC Masterlist 2026-09-12'!$B:$M, 6, 0),"")</f>
        <v>59528</v>
      </c>
      <c r="I108" s="46">
        <v>1</v>
      </c>
      <c r="J108" s="46">
        <v>0</v>
      </c>
      <c r="K108" s="46">
        <v>0</v>
      </c>
      <c r="L108" s="46">
        <f t="shared" si="15"/>
        <v>1</v>
      </c>
      <c r="M108" s="46">
        <f t="shared" si="16"/>
        <v>0.33333333333333331</v>
      </c>
      <c r="N108" s="45">
        <f t="shared" si="17"/>
        <v>59528</v>
      </c>
      <c r="O108" s="45">
        <f t="shared" si="18"/>
        <v>19842.666666666664</v>
      </c>
      <c r="P108" s="46">
        <f t="shared" si="19"/>
        <v>1.111111111111111E-2</v>
      </c>
      <c r="Q108" s="46">
        <v>2</v>
      </c>
      <c r="R108" s="45">
        <f t="shared" si="20"/>
        <v>119056</v>
      </c>
      <c r="S108" s="46">
        <f t="shared" si="21"/>
        <v>180.00000000000003</v>
      </c>
      <c r="T108" s="46">
        <f>IFERROR(VLOOKUP(A108,'[1]Re-order'!$A:$Q,17,0),"")</f>
        <v>95.869565217391298</v>
      </c>
      <c r="U108" s="46">
        <f>IFERROR(VLOOKUP(A108,'[1]MC Masterlist 2026-09-12'!$B:$M, 10, 0),0)</f>
        <v>15</v>
      </c>
      <c r="V108" s="46">
        <f>IFERROR(VLOOKUP(A108,'[1]MC Masterlist 2026-09-12'!$B:$M, 11, 0),0)</f>
        <v>15</v>
      </c>
      <c r="W108" s="46">
        <f t="shared" si="22"/>
        <v>30</v>
      </c>
      <c r="X108" s="46">
        <f t="shared" si="23"/>
        <v>29.833333333333332</v>
      </c>
      <c r="Y108" s="46">
        <f>IFERROR(IF(OR(C108="AREA I",C108="AREA V"),7,VLOOKUP(A108,'[1]MC Masterlist 2026-09-12'!$B:$M, 12, 0)),0)</f>
        <v>30</v>
      </c>
      <c r="Z108" s="46">
        <f t="shared" si="24"/>
        <v>0.16666666666666666</v>
      </c>
      <c r="AA108" s="46">
        <f t="shared" si="25"/>
        <v>0.33333333333333331</v>
      </c>
      <c r="AB108" s="46">
        <f t="shared" si="26"/>
        <v>0.33148148148148143</v>
      </c>
      <c r="AC108" s="46">
        <f t="shared" si="27"/>
        <v>0.33333333333333331</v>
      </c>
      <c r="AD108" s="44" t="str">
        <f t="shared" si="28"/>
        <v>Over</v>
      </c>
      <c r="AE108" s="44" t="str">
        <f>IFERROR(VLOOKUP(A108,'[1]Re-order'!$A:$AA,27,0),"")</f>
        <v>Over</v>
      </c>
      <c r="AF108" s="46">
        <f t="shared" si="29"/>
        <v>-1.6666666666666667</v>
      </c>
      <c r="AG108" s="46">
        <f>SUMIFS('[1]Raw Inventory'!D:D,'[1]Raw Inventory'!C:C,"GREATWALL",'[1]Raw Inventory'!B:B,A108)</f>
        <v>79</v>
      </c>
      <c r="AH108" s="46">
        <f>SUMIFS('[1]Raw Inventory'!D:D,'[1]Raw Inventory'!C:C,"DUARTE",'[1]Raw Inventory'!B:B,A108)</f>
        <v>0</v>
      </c>
      <c r="AI108" s="46"/>
      <c r="AJ108" s="46"/>
      <c r="AK108" s="43"/>
      <c r="AL108" s="43"/>
      <c r="AM108" s="43"/>
      <c r="AN108" s="43"/>
      <c r="AO108" s="43"/>
      <c r="AP108" s="43"/>
      <c r="AQ108" s="43"/>
      <c r="AR108" s="43"/>
      <c r="AS108" s="43"/>
      <c r="AT108" s="43"/>
    </row>
    <row r="109" spans="1:46">
      <c r="A109" s="43" t="s">
        <v>43</v>
      </c>
      <c r="B109" s="43" t="s">
        <v>162</v>
      </c>
      <c r="C109" s="43" t="s">
        <v>159</v>
      </c>
      <c r="D109" s="44" t="s">
        <v>226</v>
      </c>
      <c r="E109" s="44">
        <v>26</v>
      </c>
      <c r="F109" s="44" t="s">
        <v>3</v>
      </c>
      <c r="G109" s="43" t="str">
        <f>IFERROR(VLOOKUP(A109,'[1]MC Masterlist 2026-09-12'!$B:$M, 3, 0),"")</f>
        <v>YAMAHA</v>
      </c>
      <c r="H109" s="45">
        <f>IFERROR(VLOOKUP(A109,'[1]MC Masterlist 2026-09-12'!$B:$M, 6, 0),"")</f>
        <v>70587</v>
      </c>
      <c r="I109" s="46">
        <v>0</v>
      </c>
      <c r="J109" s="46">
        <v>0</v>
      </c>
      <c r="K109" s="46">
        <v>0</v>
      </c>
      <c r="L109" s="46">
        <f t="shared" si="15"/>
        <v>0</v>
      </c>
      <c r="M109" s="46">
        <f t="shared" si="16"/>
        <v>0</v>
      </c>
      <c r="N109" s="45">
        <f t="shared" si="17"/>
        <v>0</v>
      </c>
      <c r="O109" s="45">
        <f t="shared" si="18"/>
        <v>0</v>
      </c>
      <c r="P109" s="46">
        <f t="shared" si="19"/>
        <v>0</v>
      </c>
      <c r="Q109" s="46">
        <v>1</v>
      </c>
      <c r="R109" s="45">
        <f t="shared" si="20"/>
        <v>70587</v>
      </c>
      <c r="S109" s="46">
        <f t="shared" si="21"/>
        <v>0</v>
      </c>
      <c r="T109" s="46">
        <f>IFERROR(VLOOKUP(A109,'[1]Re-order'!$A:$Q,17,0),"")</f>
        <v>43.578947368421055</v>
      </c>
      <c r="U109" s="46">
        <f>IFERROR(VLOOKUP(A109,'[1]MC Masterlist 2026-09-12'!$B:$M, 10, 0),0)</f>
        <v>15</v>
      </c>
      <c r="V109" s="46">
        <f>IFERROR(VLOOKUP(A109,'[1]MC Masterlist 2026-09-12'!$B:$M, 11, 0),0)</f>
        <v>15</v>
      </c>
      <c r="W109" s="46">
        <f t="shared" si="22"/>
        <v>30</v>
      </c>
      <c r="X109" s="46">
        <f t="shared" si="23"/>
        <v>30</v>
      </c>
      <c r="Y109" s="46">
        <f>IFERROR(IF(OR(C109="AREA I",C109="AREA V"),7,VLOOKUP(A109,'[1]MC Masterlist 2026-09-12'!$B:$M, 12, 0)),0)</f>
        <v>30</v>
      </c>
      <c r="Z109" s="46">
        <f t="shared" si="24"/>
        <v>0</v>
      </c>
      <c r="AA109" s="46">
        <f t="shared" si="25"/>
        <v>0</v>
      </c>
      <c r="AB109" s="46">
        <f t="shared" si="26"/>
        <v>0</v>
      </c>
      <c r="AC109" s="46">
        <f t="shared" si="27"/>
        <v>0</v>
      </c>
      <c r="AD109" s="44" t="str">
        <f t="shared" si="28"/>
        <v>Over</v>
      </c>
      <c r="AE109" s="44" t="str">
        <f>IFERROR(VLOOKUP(A109,'[1]Re-order'!$A:$AA,27,0),"")</f>
        <v>Re-order</v>
      </c>
      <c r="AF109" s="46">
        <f t="shared" si="29"/>
        <v>-1</v>
      </c>
      <c r="AG109" s="46">
        <f>SUMIFS('[1]Raw Inventory'!D:D,'[1]Raw Inventory'!C:C,"GREATWALL",'[1]Raw Inventory'!B:B,A109)</f>
        <v>0</v>
      </c>
      <c r="AH109" s="46">
        <f>SUMIFS('[1]Raw Inventory'!D:D,'[1]Raw Inventory'!C:C,"DUARTE",'[1]Raw Inventory'!B:B,A109)</f>
        <v>0</v>
      </c>
      <c r="AI109" s="46"/>
      <c r="AJ109" s="46"/>
      <c r="AK109" s="43"/>
      <c r="AL109" s="43"/>
      <c r="AM109" s="43"/>
      <c r="AN109" s="43"/>
      <c r="AO109" s="43"/>
      <c r="AP109" s="43"/>
      <c r="AQ109" s="43"/>
      <c r="AR109" s="43"/>
      <c r="AS109" s="43"/>
      <c r="AT109" s="43"/>
    </row>
    <row r="110" spans="1:46">
      <c r="A110" s="43" t="s">
        <v>47</v>
      </c>
      <c r="B110" s="43" t="s">
        <v>21</v>
      </c>
      <c r="C110" s="43" t="s">
        <v>1</v>
      </c>
      <c r="D110" s="44" t="s">
        <v>229</v>
      </c>
      <c r="E110" s="44">
        <v>26</v>
      </c>
      <c r="F110" s="44" t="s">
        <v>3</v>
      </c>
      <c r="G110" s="43" t="str">
        <f>IFERROR(VLOOKUP(A110,'[1]MC Masterlist 2026-09-12'!$B:$M, 3, 0),"")</f>
        <v>YAMAHA</v>
      </c>
      <c r="H110" s="45">
        <f>IFERROR(VLOOKUP(A110,'[1]MC Masterlist 2026-09-12'!$B:$M, 6, 0),"")</f>
        <v>76167</v>
      </c>
      <c r="I110" s="46">
        <v>0</v>
      </c>
      <c r="J110" s="46">
        <v>0</v>
      </c>
      <c r="K110" s="46">
        <v>1</v>
      </c>
      <c r="L110" s="46">
        <f t="shared" si="15"/>
        <v>1</v>
      </c>
      <c r="M110" s="46">
        <f t="shared" si="16"/>
        <v>0.33333333333333331</v>
      </c>
      <c r="N110" s="45">
        <f t="shared" si="17"/>
        <v>76167</v>
      </c>
      <c r="O110" s="45">
        <f t="shared" si="18"/>
        <v>25389</v>
      </c>
      <c r="P110" s="46">
        <f t="shared" si="19"/>
        <v>1.111111111111111E-2</v>
      </c>
      <c r="Q110" s="46">
        <v>4</v>
      </c>
      <c r="R110" s="45">
        <f t="shared" si="20"/>
        <v>304668</v>
      </c>
      <c r="S110" s="46">
        <f t="shared" si="21"/>
        <v>360</v>
      </c>
      <c r="T110" s="46">
        <f>IFERROR(VLOOKUP(A110,'[1]Re-order'!$A:$Q,17,0),"")</f>
        <v>86.666666666666671</v>
      </c>
      <c r="U110" s="46">
        <f>IFERROR(VLOOKUP(A110,'[1]MC Masterlist 2026-09-12'!$B:$M, 10, 0),0)</f>
        <v>15</v>
      </c>
      <c r="V110" s="46">
        <f>IFERROR(VLOOKUP(A110,'[1]MC Masterlist 2026-09-12'!$B:$M, 11, 0),0)</f>
        <v>15</v>
      </c>
      <c r="W110" s="46">
        <f t="shared" si="22"/>
        <v>30</v>
      </c>
      <c r="X110" s="46">
        <f t="shared" si="23"/>
        <v>6.833333333333333</v>
      </c>
      <c r="Y110" s="46">
        <f>IFERROR(IF(OR(C110="AREA I",C110="AREA V"),7,VLOOKUP(A110,'[1]MC Masterlist 2026-09-12'!$B:$M, 12, 0)),0)</f>
        <v>7</v>
      </c>
      <c r="Z110" s="46">
        <f t="shared" si="24"/>
        <v>0.16666666666666666</v>
      </c>
      <c r="AA110" s="46">
        <f t="shared" si="25"/>
        <v>0.33333333333333331</v>
      </c>
      <c r="AB110" s="46">
        <f t="shared" si="26"/>
        <v>7.5925925925925911E-2</v>
      </c>
      <c r="AC110" s="46">
        <f t="shared" si="27"/>
        <v>7.7777777777777765E-2</v>
      </c>
      <c r="AD110" s="44" t="str">
        <f t="shared" si="28"/>
        <v>Over</v>
      </c>
      <c r="AE110" s="44" t="str">
        <f>IFERROR(VLOOKUP(A110,'[1]Re-order'!$A:$AA,27,0),"")</f>
        <v/>
      </c>
      <c r="AF110" s="46">
        <f t="shared" si="29"/>
        <v>-3.9222222222222221</v>
      </c>
      <c r="AG110" s="46">
        <f>SUMIFS('[1]Raw Inventory'!D:D,'[1]Raw Inventory'!C:C,"GREATWALL",'[1]Raw Inventory'!B:B,A110)</f>
        <v>1</v>
      </c>
      <c r="AH110" s="46">
        <f>SUMIFS('[1]Raw Inventory'!D:D,'[1]Raw Inventory'!C:C,"DUARTE",'[1]Raw Inventory'!B:B,A110)</f>
        <v>0</v>
      </c>
      <c r="AI110" s="46"/>
      <c r="AJ110" s="46"/>
      <c r="AK110" s="43"/>
      <c r="AL110" s="43"/>
      <c r="AM110" s="43"/>
      <c r="AN110" s="43"/>
      <c r="AO110" s="43"/>
      <c r="AP110" s="43"/>
      <c r="AQ110" s="43"/>
      <c r="AR110" s="43"/>
      <c r="AS110" s="43"/>
      <c r="AT110" s="43"/>
    </row>
    <row r="111" spans="1:46">
      <c r="A111" s="43" t="s">
        <v>14</v>
      </c>
      <c r="B111" s="43" t="s">
        <v>119</v>
      </c>
      <c r="C111" s="43" t="s">
        <v>118</v>
      </c>
      <c r="D111" s="44" t="s">
        <v>227</v>
      </c>
      <c r="E111" s="44">
        <v>1</v>
      </c>
      <c r="F111" s="44" t="s">
        <v>0</v>
      </c>
      <c r="G111" s="43" t="str">
        <f>IFERROR(VLOOKUP(A111,'[1]MC Masterlist 2026-09-12'!$B:$M, 3, 0),"")</f>
        <v>HONDA</v>
      </c>
      <c r="H111" s="45">
        <f>IFERROR(VLOOKUP(A111,'[1]MC Masterlist 2026-09-12'!$B:$M, 6, 0),"")</f>
        <v>80070</v>
      </c>
      <c r="I111" s="46">
        <v>17</v>
      </c>
      <c r="J111" s="46">
        <v>3</v>
      </c>
      <c r="K111" s="46">
        <v>15</v>
      </c>
      <c r="L111" s="46">
        <f t="shared" si="15"/>
        <v>35</v>
      </c>
      <c r="M111" s="46">
        <f t="shared" si="16"/>
        <v>11.666666666666666</v>
      </c>
      <c r="N111" s="45">
        <f t="shared" si="17"/>
        <v>2802450</v>
      </c>
      <c r="O111" s="45">
        <f t="shared" si="18"/>
        <v>934150</v>
      </c>
      <c r="P111" s="46">
        <f t="shared" si="19"/>
        <v>0.3888888888888889</v>
      </c>
      <c r="Q111" s="46">
        <v>2</v>
      </c>
      <c r="R111" s="45">
        <f t="shared" si="20"/>
        <v>160140</v>
      </c>
      <c r="S111" s="46">
        <f t="shared" si="21"/>
        <v>5.1428571428571432</v>
      </c>
      <c r="T111" s="46">
        <f>IFERROR(VLOOKUP(A111,'[1]Re-order'!$A:$Q,17,0),"")</f>
        <v>20.105787181082761</v>
      </c>
      <c r="U111" s="46">
        <f>IFERROR(VLOOKUP(A111,'[1]MC Masterlist 2026-09-12'!$B:$M, 10, 0),0)</f>
        <v>15</v>
      </c>
      <c r="V111" s="46">
        <f>IFERROR(VLOOKUP(A111,'[1]MC Masterlist 2026-09-12'!$B:$M, 11, 0),0)</f>
        <v>15</v>
      </c>
      <c r="W111" s="46">
        <f t="shared" si="22"/>
        <v>30</v>
      </c>
      <c r="X111" s="46">
        <f t="shared" si="23"/>
        <v>24.166666666666668</v>
      </c>
      <c r="Y111" s="46">
        <f>IFERROR(IF(OR(C111="AREA I",C111="AREA V"),7,VLOOKUP(A111,'[1]MC Masterlist 2026-09-12'!$B:$M, 12, 0)),0)</f>
        <v>30</v>
      </c>
      <c r="Z111" s="46">
        <f t="shared" si="24"/>
        <v>5.833333333333333</v>
      </c>
      <c r="AA111" s="46">
        <f t="shared" si="25"/>
        <v>11.666666666666666</v>
      </c>
      <c r="AB111" s="46">
        <f t="shared" si="26"/>
        <v>9.3981481481481488</v>
      </c>
      <c r="AC111" s="46">
        <f t="shared" si="27"/>
        <v>11.666666666666666</v>
      </c>
      <c r="AD111" s="44" t="str">
        <f t="shared" si="28"/>
        <v>Stockout</v>
      </c>
      <c r="AE111" s="44" t="str">
        <f>IFERROR(VLOOKUP(A111,'[1]Re-order'!$A:$AA,27,0),"")</f>
        <v>Stockout</v>
      </c>
      <c r="AF111" s="46">
        <f t="shared" si="29"/>
        <v>9.6666666666666661</v>
      </c>
      <c r="AG111" s="46">
        <f>SUMIFS('[1]Raw Inventory'!D:D,'[1]Raw Inventory'!C:C,"GREATWALL",'[1]Raw Inventory'!B:B,A111)</f>
        <v>176</v>
      </c>
      <c r="AH111" s="46">
        <f>SUMIFS('[1]Raw Inventory'!D:D,'[1]Raw Inventory'!C:C,"DUARTE",'[1]Raw Inventory'!B:B,A111)</f>
        <v>0</v>
      </c>
      <c r="AI111" s="46"/>
      <c r="AJ111" s="46"/>
      <c r="AK111" s="43"/>
      <c r="AL111" s="43"/>
      <c r="AM111" s="43"/>
      <c r="AN111" s="43"/>
      <c r="AO111" s="43"/>
      <c r="AP111" s="43"/>
      <c r="AQ111" s="43"/>
      <c r="AR111" s="43"/>
      <c r="AS111" s="43"/>
      <c r="AT111" s="43"/>
    </row>
    <row r="112" spans="1:46">
      <c r="A112" s="43" t="s">
        <v>31</v>
      </c>
      <c r="B112" s="43" t="s">
        <v>129</v>
      </c>
      <c r="C112" s="43" t="s">
        <v>128</v>
      </c>
      <c r="D112" s="44" t="s">
        <v>224</v>
      </c>
      <c r="E112" s="44">
        <v>9</v>
      </c>
      <c r="F112" s="44" t="s">
        <v>2</v>
      </c>
      <c r="G112" s="43" t="str">
        <f>IFERROR(VLOOKUP(A112,'[1]MC Masterlist 2026-09-12'!$B:$M, 3, 0),"")</f>
        <v>KAWASAKI</v>
      </c>
      <c r="H112" s="45">
        <f>IFERROR(VLOOKUP(A112,'[1]MC Masterlist 2026-09-12'!$B:$M, 6, 0),"")</f>
        <v>59528</v>
      </c>
      <c r="I112" s="46">
        <v>2</v>
      </c>
      <c r="J112" s="46">
        <v>7</v>
      </c>
      <c r="K112" s="46">
        <v>0</v>
      </c>
      <c r="L112" s="46">
        <f t="shared" si="15"/>
        <v>9</v>
      </c>
      <c r="M112" s="46">
        <f t="shared" si="16"/>
        <v>3</v>
      </c>
      <c r="N112" s="45">
        <f t="shared" si="17"/>
        <v>535752</v>
      </c>
      <c r="O112" s="45">
        <f t="shared" si="18"/>
        <v>178584</v>
      </c>
      <c r="P112" s="46">
        <f t="shared" si="19"/>
        <v>0.1</v>
      </c>
      <c r="Q112" s="46">
        <v>7</v>
      </c>
      <c r="R112" s="45">
        <f t="shared" si="20"/>
        <v>416696</v>
      </c>
      <c r="S112" s="46">
        <f t="shared" si="21"/>
        <v>70</v>
      </c>
      <c r="T112" s="46">
        <f>IFERROR(VLOOKUP(A112,'[1]Re-order'!$A:$Q,17,0),"")</f>
        <v>95.869565217391298</v>
      </c>
      <c r="U112" s="46">
        <f>IFERROR(VLOOKUP(A112,'[1]MC Masterlist 2026-09-12'!$B:$M, 10, 0),0)</f>
        <v>15</v>
      </c>
      <c r="V112" s="46">
        <f>IFERROR(VLOOKUP(A112,'[1]MC Masterlist 2026-09-12'!$B:$M, 11, 0),0)</f>
        <v>15</v>
      </c>
      <c r="W112" s="46">
        <f t="shared" si="22"/>
        <v>30</v>
      </c>
      <c r="X112" s="46">
        <f t="shared" si="23"/>
        <v>28.5</v>
      </c>
      <c r="Y112" s="46">
        <f>IFERROR(IF(OR(C112="AREA I",C112="AREA V"),7,VLOOKUP(A112,'[1]MC Masterlist 2026-09-12'!$B:$M, 12, 0)),0)</f>
        <v>30</v>
      </c>
      <c r="Z112" s="46">
        <f t="shared" si="24"/>
        <v>1.5</v>
      </c>
      <c r="AA112" s="46">
        <f t="shared" si="25"/>
        <v>3</v>
      </c>
      <c r="AB112" s="46">
        <f t="shared" si="26"/>
        <v>2.85</v>
      </c>
      <c r="AC112" s="46">
        <f t="shared" si="27"/>
        <v>3</v>
      </c>
      <c r="AD112" s="44" t="str">
        <f t="shared" si="28"/>
        <v>Over</v>
      </c>
      <c r="AE112" s="44" t="str">
        <f>IFERROR(VLOOKUP(A112,'[1]Re-order'!$A:$AA,27,0),"")</f>
        <v>Over</v>
      </c>
      <c r="AF112" s="46">
        <f t="shared" si="29"/>
        <v>-4</v>
      </c>
      <c r="AG112" s="46">
        <f>SUMIFS('[1]Raw Inventory'!D:D,'[1]Raw Inventory'!C:C,"GREATWALL",'[1]Raw Inventory'!B:B,A112)</f>
        <v>79</v>
      </c>
      <c r="AH112" s="46">
        <f>SUMIFS('[1]Raw Inventory'!D:D,'[1]Raw Inventory'!C:C,"DUARTE",'[1]Raw Inventory'!B:B,A112)</f>
        <v>0</v>
      </c>
      <c r="AI112" s="46"/>
      <c r="AJ112" s="46"/>
      <c r="AK112" s="43"/>
      <c r="AL112" s="43"/>
      <c r="AM112" s="43"/>
      <c r="AN112" s="43"/>
      <c r="AO112" s="43"/>
      <c r="AP112" s="43"/>
      <c r="AQ112" s="43"/>
      <c r="AR112" s="43"/>
      <c r="AS112" s="43"/>
      <c r="AT112" s="43"/>
    </row>
    <row r="113" spans="1:46">
      <c r="A113" s="43" t="s">
        <v>43</v>
      </c>
      <c r="B113" s="43" t="s">
        <v>112</v>
      </c>
      <c r="C113" s="43" t="s">
        <v>109</v>
      </c>
      <c r="D113" s="44" t="s">
        <v>221</v>
      </c>
      <c r="E113" s="44">
        <v>19</v>
      </c>
      <c r="F113" s="44" t="s">
        <v>3</v>
      </c>
      <c r="G113" s="43" t="str">
        <f>IFERROR(VLOOKUP(A113,'[1]MC Masterlist 2026-09-12'!$B:$M, 3, 0),"")</f>
        <v>YAMAHA</v>
      </c>
      <c r="H113" s="45">
        <f>IFERROR(VLOOKUP(A113,'[1]MC Masterlist 2026-09-12'!$B:$M, 6, 0),"")</f>
        <v>70587</v>
      </c>
      <c r="I113" s="46">
        <v>0</v>
      </c>
      <c r="J113" s="46">
        <v>1</v>
      </c>
      <c r="K113" s="46">
        <v>0</v>
      </c>
      <c r="L113" s="46">
        <f t="shared" si="15"/>
        <v>1</v>
      </c>
      <c r="M113" s="46">
        <f t="shared" si="16"/>
        <v>0.33333333333333331</v>
      </c>
      <c r="N113" s="45">
        <f t="shared" si="17"/>
        <v>70587</v>
      </c>
      <c r="O113" s="45">
        <f t="shared" si="18"/>
        <v>23529</v>
      </c>
      <c r="P113" s="46">
        <f t="shared" si="19"/>
        <v>1.111111111111111E-2</v>
      </c>
      <c r="Q113" s="46">
        <v>3</v>
      </c>
      <c r="R113" s="45">
        <f t="shared" si="20"/>
        <v>211761</v>
      </c>
      <c r="S113" s="46">
        <f t="shared" si="21"/>
        <v>270</v>
      </c>
      <c r="T113" s="46">
        <f>IFERROR(VLOOKUP(A113,'[1]Re-order'!$A:$Q,17,0),"")</f>
        <v>43.578947368421055</v>
      </c>
      <c r="U113" s="46">
        <f>IFERROR(VLOOKUP(A113,'[1]MC Masterlist 2026-09-12'!$B:$M, 10, 0),0)</f>
        <v>15</v>
      </c>
      <c r="V113" s="46">
        <f>IFERROR(VLOOKUP(A113,'[1]MC Masterlist 2026-09-12'!$B:$M, 11, 0),0)</f>
        <v>15</v>
      </c>
      <c r="W113" s="46">
        <f t="shared" si="22"/>
        <v>30</v>
      </c>
      <c r="X113" s="46">
        <f t="shared" si="23"/>
        <v>29.833333333333332</v>
      </c>
      <c r="Y113" s="46">
        <f>IFERROR(IF(OR(C113="AREA I",C113="AREA V"),7,VLOOKUP(A113,'[1]MC Masterlist 2026-09-12'!$B:$M, 12, 0)),0)</f>
        <v>30</v>
      </c>
      <c r="Z113" s="46">
        <f t="shared" si="24"/>
        <v>0.16666666666666666</v>
      </c>
      <c r="AA113" s="46">
        <f t="shared" si="25"/>
        <v>0.33333333333333331</v>
      </c>
      <c r="AB113" s="46">
        <f t="shared" si="26"/>
        <v>0.33148148148148143</v>
      </c>
      <c r="AC113" s="46">
        <f t="shared" si="27"/>
        <v>0.33333333333333331</v>
      </c>
      <c r="AD113" s="44" t="str">
        <f t="shared" si="28"/>
        <v>Over</v>
      </c>
      <c r="AE113" s="44" t="str">
        <f>IFERROR(VLOOKUP(A113,'[1]Re-order'!$A:$AA,27,0),"")</f>
        <v>Re-order</v>
      </c>
      <c r="AF113" s="46">
        <f t="shared" si="29"/>
        <v>-2.6666666666666665</v>
      </c>
      <c r="AG113" s="46">
        <f>SUMIFS('[1]Raw Inventory'!D:D,'[1]Raw Inventory'!C:C,"GREATWALL",'[1]Raw Inventory'!B:B,A113)</f>
        <v>0</v>
      </c>
      <c r="AH113" s="46">
        <f>SUMIFS('[1]Raw Inventory'!D:D,'[1]Raw Inventory'!C:C,"DUARTE",'[1]Raw Inventory'!B:B,A113)</f>
        <v>0</v>
      </c>
      <c r="AI113" s="46"/>
      <c r="AJ113" s="46"/>
      <c r="AK113" s="43"/>
      <c r="AL113" s="43"/>
      <c r="AM113" s="43"/>
      <c r="AN113" s="43"/>
      <c r="AO113" s="43"/>
      <c r="AP113" s="43"/>
      <c r="AQ113" s="43"/>
      <c r="AR113" s="43"/>
      <c r="AS113" s="43"/>
      <c r="AT113" s="43"/>
    </row>
    <row r="114" spans="1:46">
      <c r="A114" s="43" t="s">
        <v>17</v>
      </c>
      <c r="B114" s="43" t="s">
        <v>113</v>
      </c>
      <c r="C114" s="43" t="s">
        <v>109</v>
      </c>
      <c r="D114" s="44" t="s">
        <v>236</v>
      </c>
      <c r="E114" s="44">
        <v>8</v>
      </c>
      <c r="F114" s="44" t="s">
        <v>2</v>
      </c>
      <c r="G114" s="43" t="str">
        <f>IFERROR(VLOOKUP(A114,'[1]MC Masterlist 2026-09-12'!$B:$M, 3, 0),"")</f>
        <v>HONDA</v>
      </c>
      <c r="H114" s="45">
        <f>IFERROR(VLOOKUP(A114,'[1]MC Masterlist 2026-09-12'!$B:$M, 6, 0),"")</f>
        <v>140790</v>
      </c>
      <c r="I114" s="46">
        <v>3</v>
      </c>
      <c r="J114" s="46">
        <v>0</v>
      </c>
      <c r="K114" s="46">
        <v>2</v>
      </c>
      <c r="L114" s="46">
        <f t="shared" si="15"/>
        <v>5</v>
      </c>
      <c r="M114" s="46">
        <f t="shared" si="16"/>
        <v>1.6666666666666667</v>
      </c>
      <c r="N114" s="45">
        <f t="shared" si="17"/>
        <v>703950</v>
      </c>
      <c r="O114" s="45">
        <f t="shared" si="18"/>
        <v>234650</v>
      </c>
      <c r="P114" s="46">
        <f t="shared" si="19"/>
        <v>5.5555555555555559E-2</v>
      </c>
      <c r="Q114" s="46">
        <v>4</v>
      </c>
      <c r="R114" s="45">
        <f t="shared" si="20"/>
        <v>563160</v>
      </c>
      <c r="S114" s="46">
        <f t="shared" si="21"/>
        <v>72</v>
      </c>
      <c r="T114" s="46">
        <f>IFERROR(VLOOKUP(A114,'[1]Re-order'!$A:$Q,17,0),"")</f>
        <v>43.663366336633665</v>
      </c>
      <c r="U114" s="46">
        <f>IFERROR(VLOOKUP(A114,'[1]MC Masterlist 2026-09-12'!$B:$M, 10, 0),0)</f>
        <v>15</v>
      </c>
      <c r="V114" s="46">
        <f>IFERROR(VLOOKUP(A114,'[1]MC Masterlist 2026-09-12'!$B:$M, 11, 0),0)</f>
        <v>15</v>
      </c>
      <c r="W114" s="46">
        <f t="shared" si="22"/>
        <v>30</v>
      </c>
      <c r="X114" s="46">
        <f t="shared" si="23"/>
        <v>29.166666666666668</v>
      </c>
      <c r="Y114" s="46">
        <f>IFERROR(IF(OR(C114="AREA I",C114="AREA V"),7,VLOOKUP(A114,'[1]MC Masterlist 2026-09-12'!$B:$M, 12, 0)),0)</f>
        <v>30</v>
      </c>
      <c r="Z114" s="46">
        <f t="shared" si="24"/>
        <v>0.83333333333333337</v>
      </c>
      <c r="AA114" s="46">
        <f t="shared" si="25"/>
        <v>1.6666666666666667</v>
      </c>
      <c r="AB114" s="46">
        <f t="shared" si="26"/>
        <v>1.6203703703703705</v>
      </c>
      <c r="AC114" s="46">
        <f t="shared" si="27"/>
        <v>1.6666666666666667</v>
      </c>
      <c r="AD114" s="44" t="str">
        <f t="shared" si="28"/>
        <v>Over</v>
      </c>
      <c r="AE114" s="44" t="str">
        <f>IFERROR(VLOOKUP(A114,'[1]Re-order'!$A:$AA,27,0),"")</f>
        <v>Re-order</v>
      </c>
      <c r="AF114" s="46">
        <f t="shared" si="29"/>
        <v>-2.333333333333333</v>
      </c>
      <c r="AG114" s="46">
        <f>SUMIFS('[1]Raw Inventory'!D:D,'[1]Raw Inventory'!C:C,"GREATWALL",'[1]Raw Inventory'!B:B,A114)</f>
        <v>12</v>
      </c>
      <c r="AH114" s="46">
        <f>SUMIFS('[1]Raw Inventory'!D:D,'[1]Raw Inventory'!C:C,"DUARTE",'[1]Raw Inventory'!B:B,A114)</f>
        <v>0</v>
      </c>
      <c r="AI114" s="46"/>
      <c r="AJ114" s="46"/>
      <c r="AK114" s="43"/>
      <c r="AL114" s="43"/>
      <c r="AM114" s="43"/>
      <c r="AN114" s="43"/>
      <c r="AO114" s="43"/>
      <c r="AP114" s="43"/>
      <c r="AQ114" s="43"/>
      <c r="AR114" s="43"/>
      <c r="AS114" s="43"/>
      <c r="AT114" s="43"/>
    </row>
    <row r="115" spans="1:46">
      <c r="A115" s="43" t="s">
        <v>14</v>
      </c>
      <c r="B115" s="43" t="s">
        <v>114</v>
      </c>
      <c r="C115" s="43" t="s">
        <v>109</v>
      </c>
      <c r="D115" s="44" t="s">
        <v>238</v>
      </c>
      <c r="E115" s="44">
        <v>2</v>
      </c>
      <c r="F115" s="44" t="s">
        <v>0</v>
      </c>
      <c r="G115" s="43" t="str">
        <f>IFERROR(VLOOKUP(A115,'[1]MC Masterlist 2026-09-12'!$B:$M, 3, 0),"")</f>
        <v>HONDA</v>
      </c>
      <c r="H115" s="45">
        <f>IFERROR(VLOOKUP(A115,'[1]MC Masterlist 2026-09-12'!$B:$M, 6, 0),"")</f>
        <v>80070</v>
      </c>
      <c r="I115" s="46">
        <v>15</v>
      </c>
      <c r="J115" s="46">
        <v>3</v>
      </c>
      <c r="K115" s="46">
        <v>10</v>
      </c>
      <c r="L115" s="46">
        <f t="shared" si="15"/>
        <v>28</v>
      </c>
      <c r="M115" s="46">
        <f t="shared" si="16"/>
        <v>9.3333333333333339</v>
      </c>
      <c r="N115" s="45">
        <f t="shared" si="17"/>
        <v>2241960</v>
      </c>
      <c r="O115" s="45">
        <f t="shared" si="18"/>
        <v>747320</v>
      </c>
      <c r="P115" s="46">
        <f t="shared" si="19"/>
        <v>0.31111111111111112</v>
      </c>
      <c r="Q115" s="46">
        <v>7</v>
      </c>
      <c r="R115" s="45">
        <f t="shared" si="20"/>
        <v>560490</v>
      </c>
      <c r="S115" s="46">
        <f t="shared" si="21"/>
        <v>22.5</v>
      </c>
      <c r="T115" s="46">
        <f>IFERROR(VLOOKUP(A115,'[1]Re-order'!$A:$Q,17,0),"")</f>
        <v>20.105787181082761</v>
      </c>
      <c r="U115" s="46">
        <f>IFERROR(VLOOKUP(A115,'[1]MC Masterlist 2026-09-12'!$B:$M, 10, 0),0)</f>
        <v>15</v>
      </c>
      <c r="V115" s="46">
        <f>IFERROR(VLOOKUP(A115,'[1]MC Masterlist 2026-09-12'!$B:$M, 11, 0),0)</f>
        <v>15</v>
      </c>
      <c r="W115" s="46">
        <f t="shared" si="22"/>
        <v>30</v>
      </c>
      <c r="X115" s="46">
        <f t="shared" si="23"/>
        <v>25.333333333333332</v>
      </c>
      <c r="Y115" s="46">
        <f>IFERROR(IF(OR(C115="AREA I",C115="AREA V"),7,VLOOKUP(A115,'[1]MC Masterlist 2026-09-12'!$B:$M, 12, 0)),0)</f>
        <v>30</v>
      </c>
      <c r="Z115" s="46">
        <f t="shared" si="24"/>
        <v>4.666666666666667</v>
      </c>
      <c r="AA115" s="46">
        <f t="shared" si="25"/>
        <v>9.3333333333333339</v>
      </c>
      <c r="AB115" s="46">
        <f t="shared" si="26"/>
        <v>7.8814814814814813</v>
      </c>
      <c r="AC115" s="46">
        <f t="shared" si="27"/>
        <v>9.3333333333333339</v>
      </c>
      <c r="AD115" s="44" t="str">
        <f t="shared" si="28"/>
        <v>Re-order</v>
      </c>
      <c r="AE115" s="44" t="str">
        <f>IFERROR(VLOOKUP(A115,'[1]Re-order'!$A:$AA,27,0),"")</f>
        <v>Stockout</v>
      </c>
      <c r="AF115" s="46">
        <f t="shared" si="29"/>
        <v>2.3333333333333339</v>
      </c>
      <c r="AG115" s="46">
        <f>SUMIFS('[1]Raw Inventory'!D:D,'[1]Raw Inventory'!C:C,"GREATWALL",'[1]Raw Inventory'!B:B,A115)</f>
        <v>176</v>
      </c>
      <c r="AH115" s="46">
        <f>SUMIFS('[1]Raw Inventory'!D:D,'[1]Raw Inventory'!C:C,"DUARTE",'[1]Raw Inventory'!B:B,A115)</f>
        <v>0</v>
      </c>
      <c r="AI115" s="46"/>
      <c r="AJ115" s="46"/>
      <c r="AK115" s="43"/>
      <c r="AL115" s="43"/>
      <c r="AM115" s="43"/>
      <c r="AN115" s="43"/>
      <c r="AO115" s="43"/>
      <c r="AP115" s="43"/>
      <c r="AQ115" s="43"/>
      <c r="AR115" s="43"/>
      <c r="AS115" s="43"/>
      <c r="AT115" s="43"/>
    </row>
    <row r="116" spans="1:46">
      <c r="A116" s="43" t="s">
        <v>99</v>
      </c>
      <c r="B116" s="43" t="s">
        <v>138</v>
      </c>
      <c r="C116" s="43" t="s">
        <v>137</v>
      </c>
      <c r="D116" s="44" t="s">
        <v>263</v>
      </c>
      <c r="E116" s="44">
        <v>39</v>
      </c>
      <c r="F116" s="44" t="s">
        <v>3</v>
      </c>
      <c r="G116" s="43" t="str">
        <f>IFERROR(VLOOKUP(A116,'[1]MC Masterlist 2026-09-12'!$B:$M, 3, 0),"")</f>
        <v>YAMAHA</v>
      </c>
      <c r="H116" s="45">
        <f>IFERROR(VLOOKUP(A116,'[1]MC Masterlist 2026-09-12'!$B:$M, 6, 0),"")</f>
        <v>86397</v>
      </c>
      <c r="I116" s="46">
        <v>0</v>
      </c>
      <c r="J116" s="46">
        <v>0</v>
      </c>
      <c r="K116" s="46">
        <v>0</v>
      </c>
      <c r="L116" s="46">
        <f t="shared" si="15"/>
        <v>0</v>
      </c>
      <c r="M116" s="46">
        <f t="shared" si="16"/>
        <v>0</v>
      </c>
      <c r="N116" s="45">
        <f t="shared" si="17"/>
        <v>0</v>
      </c>
      <c r="O116" s="45">
        <f t="shared" si="18"/>
        <v>0</v>
      </c>
      <c r="P116" s="46">
        <f t="shared" si="19"/>
        <v>0</v>
      </c>
      <c r="Q116" s="46">
        <v>1</v>
      </c>
      <c r="R116" s="45">
        <f t="shared" si="20"/>
        <v>86397</v>
      </c>
      <c r="S116" s="46">
        <f t="shared" si="21"/>
        <v>0</v>
      </c>
      <c r="T116" s="46">
        <f>IFERROR(VLOOKUP(A116,'[1]Re-order'!$A:$Q,17,0),"")</f>
        <v>72</v>
      </c>
      <c r="U116" s="46">
        <f>IFERROR(VLOOKUP(A116,'[1]MC Masterlist 2026-09-12'!$B:$M, 10, 0),0)</f>
        <v>15</v>
      </c>
      <c r="V116" s="46">
        <f>IFERROR(VLOOKUP(A116,'[1]MC Masterlist 2026-09-12'!$B:$M, 11, 0),0)</f>
        <v>15</v>
      </c>
      <c r="W116" s="46">
        <f t="shared" si="22"/>
        <v>30</v>
      </c>
      <c r="X116" s="46">
        <f t="shared" si="23"/>
        <v>7</v>
      </c>
      <c r="Y116" s="46">
        <f>IFERROR(IF(OR(C116="AREA I",C116="AREA V"),7,VLOOKUP(A116,'[1]MC Masterlist 2026-09-12'!$B:$M, 12, 0)),0)</f>
        <v>7</v>
      </c>
      <c r="Z116" s="46">
        <f t="shared" si="24"/>
        <v>0</v>
      </c>
      <c r="AA116" s="46">
        <f t="shared" si="25"/>
        <v>0</v>
      </c>
      <c r="AB116" s="46">
        <f t="shared" si="26"/>
        <v>0</v>
      </c>
      <c r="AC116" s="46">
        <f t="shared" si="27"/>
        <v>0</v>
      </c>
      <c r="AD116" s="44" t="str">
        <f t="shared" si="28"/>
        <v>Over</v>
      </c>
      <c r="AE116" s="44" t="str">
        <f>IFERROR(VLOOKUP(A116,'[1]Re-order'!$A:$AA,27,0),"")</f>
        <v>Re-order</v>
      </c>
      <c r="AF116" s="46">
        <f t="shared" si="29"/>
        <v>-1</v>
      </c>
      <c r="AG116" s="46">
        <f>SUMIFS('[1]Raw Inventory'!D:D,'[1]Raw Inventory'!C:C,"GREATWALL",'[1]Raw Inventory'!B:B,A116)</f>
        <v>1</v>
      </c>
      <c r="AH116" s="46">
        <f>SUMIFS('[1]Raw Inventory'!D:D,'[1]Raw Inventory'!C:C,"DUARTE",'[1]Raw Inventory'!B:B,A116)</f>
        <v>0</v>
      </c>
      <c r="AI116" s="46"/>
      <c r="AJ116" s="46"/>
      <c r="AK116" s="43"/>
      <c r="AL116" s="43"/>
      <c r="AM116" s="43"/>
      <c r="AN116" s="43"/>
      <c r="AO116" s="43"/>
      <c r="AP116" s="43"/>
      <c r="AQ116" s="43"/>
      <c r="AR116" s="43"/>
      <c r="AS116" s="43"/>
      <c r="AT116" s="43"/>
    </row>
    <row r="117" spans="1:46">
      <c r="A117" s="43" t="s">
        <v>25</v>
      </c>
      <c r="B117" s="43" t="s">
        <v>248</v>
      </c>
      <c r="C117" s="43"/>
      <c r="D117" s="44" t="s">
        <v>264</v>
      </c>
      <c r="E117" s="44">
        <v>1</v>
      </c>
      <c r="F117" s="44" t="s">
        <v>0</v>
      </c>
      <c r="G117" s="43" t="str">
        <f>IFERROR(VLOOKUP(A117,'[1]MC Masterlist 2026-09-12'!$B:$M, 3, 0),"")</f>
        <v>YAMAHA</v>
      </c>
      <c r="H117" s="45">
        <f>IFERROR(VLOOKUP(A117,'[1]MC Masterlist 2026-09-12'!$B:$M, 6, 0),"")</f>
        <v>124527</v>
      </c>
      <c r="I117" s="46">
        <v>0</v>
      </c>
      <c r="J117" s="46">
        <v>0</v>
      </c>
      <c r="K117" s="46">
        <v>0</v>
      </c>
      <c r="L117" s="46">
        <f t="shared" si="15"/>
        <v>0</v>
      </c>
      <c r="M117" s="46">
        <f t="shared" si="16"/>
        <v>0</v>
      </c>
      <c r="N117" s="45">
        <f t="shared" si="17"/>
        <v>0</v>
      </c>
      <c r="O117" s="45">
        <f t="shared" si="18"/>
        <v>0</v>
      </c>
      <c r="P117" s="46">
        <f t="shared" si="19"/>
        <v>0</v>
      </c>
      <c r="Q117" s="46">
        <v>1</v>
      </c>
      <c r="R117" s="45">
        <f t="shared" si="20"/>
        <v>124527</v>
      </c>
      <c r="S117" s="46">
        <f t="shared" si="21"/>
        <v>0</v>
      </c>
      <c r="T117" s="46">
        <f>IFERROR(VLOOKUP(A117,'[1]Re-order'!$A:$Q,17,0),"")</f>
        <v>5.1030927835051543</v>
      </c>
      <c r="U117" s="46">
        <f>IFERROR(VLOOKUP(A117,'[1]MC Masterlist 2026-09-12'!$B:$M, 10, 0),0)</f>
        <v>15</v>
      </c>
      <c r="V117" s="46">
        <f>IFERROR(VLOOKUP(A117,'[1]MC Masterlist 2026-09-12'!$B:$M, 11, 0),0)</f>
        <v>15</v>
      </c>
      <c r="W117" s="46">
        <f t="shared" si="22"/>
        <v>30</v>
      </c>
      <c r="X117" s="46">
        <f t="shared" si="23"/>
        <v>30</v>
      </c>
      <c r="Y117" s="46">
        <f>IFERROR(IF(OR(C117="AREA I",C117="AREA V"),7,VLOOKUP(A117,'[1]MC Masterlist 2026-09-12'!$B:$M, 12, 0)),0)</f>
        <v>30</v>
      </c>
      <c r="Z117" s="46">
        <f t="shared" si="24"/>
        <v>0</v>
      </c>
      <c r="AA117" s="46">
        <f t="shared" si="25"/>
        <v>0</v>
      </c>
      <c r="AB117" s="46">
        <f t="shared" si="26"/>
        <v>0</v>
      </c>
      <c r="AC117" s="46">
        <f t="shared" si="27"/>
        <v>0</v>
      </c>
      <c r="AD117" s="44" t="str">
        <f t="shared" si="28"/>
        <v>Over</v>
      </c>
      <c r="AE117" s="44" t="str">
        <f>IFERROR(VLOOKUP(A117,'[1]Re-order'!$A:$AA,27,0),"")</f>
        <v>Stockout</v>
      </c>
      <c r="AF117" s="46">
        <f t="shared" si="29"/>
        <v>-1</v>
      </c>
      <c r="AG117" s="46">
        <f>SUMIFS('[1]Raw Inventory'!D:D,'[1]Raw Inventory'!C:C,"GREATWALL",'[1]Raw Inventory'!B:B,A117)</f>
        <v>1</v>
      </c>
      <c r="AH117" s="46">
        <f>SUMIFS('[1]Raw Inventory'!D:D,'[1]Raw Inventory'!C:C,"DUARTE",'[1]Raw Inventory'!B:B,A117)</f>
        <v>0</v>
      </c>
      <c r="AI117" s="46"/>
      <c r="AJ117" s="46"/>
      <c r="AK117" s="43"/>
      <c r="AL117" s="43"/>
      <c r="AM117" s="43"/>
      <c r="AN117" s="43"/>
      <c r="AO117" s="43"/>
      <c r="AP117" s="43"/>
      <c r="AQ117" s="43"/>
      <c r="AR117" s="43"/>
      <c r="AS117" s="43"/>
      <c r="AT117" s="43"/>
    </row>
    <row r="118" spans="1:46">
      <c r="A118" s="43" t="s">
        <v>47</v>
      </c>
      <c r="B118" s="43" t="s">
        <v>138</v>
      </c>
      <c r="C118" s="43" t="s">
        <v>137</v>
      </c>
      <c r="D118" s="44" t="s">
        <v>258</v>
      </c>
      <c r="E118" s="44">
        <v>32</v>
      </c>
      <c r="F118" s="44" t="s">
        <v>3</v>
      </c>
      <c r="G118" s="43" t="str">
        <f>IFERROR(VLOOKUP(A118,'[1]MC Masterlist 2026-09-12'!$B:$M, 3, 0),"")</f>
        <v>YAMAHA</v>
      </c>
      <c r="H118" s="45">
        <f>IFERROR(VLOOKUP(A118,'[1]MC Masterlist 2026-09-12'!$B:$M, 6, 0),"")</f>
        <v>76167</v>
      </c>
      <c r="I118" s="46">
        <v>0</v>
      </c>
      <c r="J118" s="46">
        <v>0</v>
      </c>
      <c r="K118" s="46">
        <v>0</v>
      </c>
      <c r="L118" s="46">
        <f t="shared" si="15"/>
        <v>0</v>
      </c>
      <c r="M118" s="46">
        <f t="shared" si="16"/>
        <v>0</v>
      </c>
      <c r="N118" s="45">
        <f t="shared" si="17"/>
        <v>0</v>
      </c>
      <c r="O118" s="45">
        <f t="shared" si="18"/>
        <v>0</v>
      </c>
      <c r="P118" s="46">
        <f t="shared" si="19"/>
        <v>0</v>
      </c>
      <c r="Q118" s="46">
        <v>1</v>
      </c>
      <c r="R118" s="45">
        <f t="shared" si="20"/>
        <v>76167</v>
      </c>
      <c r="S118" s="46">
        <f t="shared" si="21"/>
        <v>0</v>
      </c>
      <c r="T118" s="46">
        <f>IFERROR(VLOOKUP(A118,'[1]Re-order'!$A:$Q,17,0),"")</f>
        <v>86.666666666666671</v>
      </c>
      <c r="U118" s="46">
        <f>IFERROR(VLOOKUP(A118,'[1]MC Masterlist 2026-09-12'!$B:$M, 10, 0),0)</f>
        <v>15</v>
      </c>
      <c r="V118" s="46">
        <f>IFERROR(VLOOKUP(A118,'[1]MC Masterlist 2026-09-12'!$B:$M, 11, 0),0)</f>
        <v>15</v>
      </c>
      <c r="W118" s="46">
        <f t="shared" si="22"/>
        <v>30</v>
      </c>
      <c r="X118" s="46">
        <f t="shared" si="23"/>
        <v>7</v>
      </c>
      <c r="Y118" s="46">
        <f>IFERROR(IF(OR(C118="AREA I",C118="AREA V"),7,VLOOKUP(A118,'[1]MC Masterlist 2026-09-12'!$B:$M, 12, 0)),0)</f>
        <v>7</v>
      </c>
      <c r="Z118" s="46">
        <f t="shared" si="24"/>
        <v>0</v>
      </c>
      <c r="AA118" s="46">
        <f t="shared" si="25"/>
        <v>0</v>
      </c>
      <c r="AB118" s="46">
        <f t="shared" si="26"/>
        <v>0</v>
      </c>
      <c r="AC118" s="46">
        <f t="shared" si="27"/>
        <v>0</v>
      </c>
      <c r="AD118" s="44" t="str">
        <f t="shared" si="28"/>
        <v>Over</v>
      </c>
      <c r="AE118" s="44" t="str">
        <f>IFERROR(VLOOKUP(A118,'[1]Re-order'!$A:$AA,27,0),"")</f>
        <v/>
      </c>
      <c r="AF118" s="46">
        <f t="shared" si="29"/>
        <v>-1</v>
      </c>
      <c r="AG118" s="46">
        <f>SUMIFS('[1]Raw Inventory'!D:D,'[1]Raw Inventory'!C:C,"GREATWALL",'[1]Raw Inventory'!B:B,A118)</f>
        <v>1</v>
      </c>
      <c r="AH118" s="46">
        <f>SUMIFS('[1]Raw Inventory'!D:D,'[1]Raw Inventory'!C:C,"DUARTE",'[1]Raw Inventory'!B:B,A118)</f>
        <v>0</v>
      </c>
      <c r="AI118" s="46"/>
      <c r="AJ118" s="46"/>
      <c r="AK118" s="43"/>
      <c r="AL118" s="43"/>
      <c r="AM118" s="43"/>
      <c r="AN118" s="43"/>
      <c r="AO118" s="43"/>
      <c r="AP118" s="43"/>
      <c r="AQ118" s="43"/>
      <c r="AR118" s="43"/>
      <c r="AS118" s="43"/>
      <c r="AT118" s="43"/>
    </row>
    <row r="119" spans="1:46">
      <c r="A119" s="43" t="s">
        <v>80</v>
      </c>
      <c r="B119" s="43" t="s">
        <v>119</v>
      </c>
      <c r="C119" s="43" t="s">
        <v>118</v>
      </c>
      <c r="D119" s="44" t="s">
        <v>257</v>
      </c>
      <c r="E119" s="44">
        <v>28</v>
      </c>
      <c r="F119" s="44" t="s">
        <v>3</v>
      </c>
      <c r="G119" s="43" t="str">
        <f>IFERROR(VLOOKUP(A119,'[1]MC Masterlist 2026-09-12'!$B:$M, 3, 0),"")</f>
        <v>YAMAHA</v>
      </c>
      <c r="H119" s="45">
        <f>IFERROR(VLOOKUP(A119,'[1]MC Masterlist 2026-09-12'!$B:$M, 6, 0),"")</f>
        <v>73842</v>
      </c>
      <c r="I119" s="46">
        <v>0</v>
      </c>
      <c r="J119" s="46">
        <v>0</v>
      </c>
      <c r="K119" s="46">
        <v>1</v>
      </c>
      <c r="L119" s="46">
        <f t="shared" si="15"/>
        <v>1</v>
      </c>
      <c r="M119" s="46">
        <f t="shared" si="16"/>
        <v>0.33333333333333331</v>
      </c>
      <c r="N119" s="45">
        <f t="shared" si="17"/>
        <v>73842</v>
      </c>
      <c r="O119" s="45">
        <f t="shared" si="18"/>
        <v>24614</v>
      </c>
      <c r="P119" s="46">
        <f t="shared" si="19"/>
        <v>1.111111111111111E-2</v>
      </c>
      <c r="Q119" s="46">
        <v>1</v>
      </c>
      <c r="R119" s="45">
        <f t="shared" si="20"/>
        <v>73842</v>
      </c>
      <c r="S119" s="46">
        <f t="shared" si="21"/>
        <v>90</v>
      </c>
      <c r="T119" s="46">
        <f>IFERROR(VLOOKUP(A119,'[1]Re-order'!$A:$Q,17,0),"")</f>
        <v>67.5</v>
      </c>
      <c r="U119" s="46">
        <f>IFERROR(VLOOKUP(A119,'[1]MC Masterlist 2026-09-12'!$B:$M, 10, 0),0)</f>
        <v>15</v>
      </c>
      <c r="V119" s="46">
        <f>IFERROR(VLOOKUP(A119,'[1]MC Masterlist 2026-09-12'!$B:$M, 11, 0),0)</f>
        <v>15</v>
      </c>
      <c r="W119" s="46">
        <f t="shared" si="22"/>
        <v>30</v>
      </c>
      <c r="X119" s="46">
        <f t="shared" si="23"/>
        <v>29.833333333333332</v>
      </c>
      <c r="Y119" s="46">
        <f>IFERROR(IF(OR(C119="AREA I",C119="AREA V"),7,VLOOKUP(A119,'[1]MC Masterlist 2026-09-12'!$B:$M, 12, 0)),0)</f>
        <v>30</v>
      </c>
      <c r="Z119" s="46">
        <f t="shared" si="24"/>
        <v>0.16666666666666666</v>
      </c>
      <c r="AA119" s="46">
        <f t="shared" si="25"/>
        <v>0.33333333333333331</v>
      </c>
      <c r="AB119" s="46">
        <f t="shared" si="26"/>
        <v>0.33148148148148143</v>
      </c>
      <c r="AC119" s="46">
        <f t="shared" si="27"/>
        <v>0.33333333333333331</v>
      </c>
      <c r="AD119" s="44" t="str">
        <f t="shared" si="28"/>
        <v>Over</v>
      </c>
      <c r="AE119" s="44" t="str">
        <f>IFERROR(VLOOKUP(A119,'[1]Re-order'!$A:$AA,27,0),"")</f>
        <v>Re-order</v>
      </c>
      <c r="AF119" s="46">
        <f t="shared" si="29"/>
        <v>-0.66666666666666674</v>
      </c>
      <c r="AG119" s="46">
        <f>SUMIFS('[1]Raw Inventory'!D:D,'[1]Raw Inventory'!C:C,"GREATWALL",'[1]Raw Inventory'!B:B,A119)</f>
        <v>0</v>
      </c>
      <c r="AH119" s="46">
        <f>SUMIFS('[1]Raw Inventory'!D:D,'[1]Raw Inventory'!C:C,"DUARTE",'[1]Raw Inventory'!B:B,A119)</f>
        <v>0</v>
      </c>
      <c r="AI119" s="46"/>
      <c r="AJ119" s="46"/>
      <c r="AK119" s="43"/>
      <c r="AL119" s="43"/>
      <c r="AM119" s="43"/>
      <c r="AN119" s="43"/>
      <c r="AO119" s="43"/>
      <c r="AP119" s="43"/>
      <c r="AQ119" s="43"/>
      <c r="AR119" s="43"/>
      <c r="AS119" s="43"/>
      <c r="AT119" s="43"/>
    </row>
    <row r="120" spans="1:46">
      <c r="A120" s="43" t="s">
        <v>17</v>
      </c>
      <c r="B120" s="43" t="s">
        <v>162</v>
      </c>
      <c r="C120" s="43" t="s">
        <v>159</v>
      </c>
      <c r="D120" s="44" t="s">
        <v>258</v>
      </c>
      <c r="E120" s="44">
        <v>26</v>
      </c>
      <c r="F120" s="44" t="s">
        <v>3</v>
      </c>
      <c r="G120" s="43" t="str">
        <f>IFERROR(VLOOKUP(A120,'[1]MC Masterlist 2026-09-12'!$B:$M, 3, 0),"")</f>
        <v>HONDA</v>
      </c>
      <c r="H120" s="45">
        <f>IFERROR(VLOOKUP(A120,'[1]MC Masterlist 2026-09-12'!$B:$M, 6, 0),"")</f>
        <v>140790</v>
      </c>
      <c r="I120" s="46">
        <v>0</v>
      </c>
      <c r="J120" s="46">
        <v>0</v>
      </c>
      <c r="K120" s="46">
        <v>0</v>
      </c>
      <c r="L120" s="46">
        <f t="shared" si="15"/>
        <v>0</v>
      </c>
      <c r="M120" s="46">
        <f t="shared" si="16"/>
        <v>0</v>
      </c>
      <c r="N120" s="45">
        <f t="shared" si="17"/>
        <v>0</v>
      </c>
      <c r="O120" s="45">
        <f t="shared" si="18"/>
        <v>0</v>
      </c>
      <c r="P120" s="46">
        <f t="shared" si="19"/>
        <v>0</v>
      </c>
      <c r="Q120" s="46">
        <v>1</v>
      </c>
      <c r="R120" s="45">
        <f t="shared" si="20"/>
        <v>140790</v>
      </c>
      <c r="S120" s="46">
        <f t="shared" si="21"/>
        <v>0</v>
      </c>
      <c r="T120" s="46">
        <f>IFERROR(VLOOKUP(A120,'[1]Re-order'!$A:$Q,17,0),"")</f>
        <v>43.663366336633665</v>
      </c>
      <c r="U120" s="46">
        <f>IFERROR(VLOOKUP(A120,'[1]MC Masterlist 2026-09-12'!$B:$M, 10, 0),0)</f>
        <v>15</v>
      </c>
      <c r="V120" s="46">
        <f>IFERROR(VLOOKUP(A120,'[1]MC Masterlist 2026-09-12'!$B:$M, 11, 0),0)</f>
        <v>15</v>
      </c>
      <c r="W120" s="46">
        <f t="shared" si="22"/>
        <v>30</v>
      </c>
      <c r="X120" s="46">
        <f t="shared" si="23"/>
        <v>30</v>
      </c>
      <c r="Y120" s="46">
        <f>IFERROR(IF(OR(C120="AREA I",C120="AREA V"),7,VLOOKUP(A120,'[1]MC Masterlist 2026-09-12'!$B:$M, 12, 0)),0)</f>
        <v>30</v>
      </c>
      <c r="Z120" s="46">
        <f t="shared" si="24"/>
        <v>0</v>
      </c>
      <c r="AA120" s="46">
        <f t="shared" si="25"/>
        <v>0</v>
      </c>
      <c r="AB120" s="46">
        <f t="shared" si="26"/>
        <v>0</v>
      </c>
      <c r="AC120" s="46">
        <f t="shared" si="27"/>
        <v>0</v>
      </c>
      <c r="AD120" s="44" t="str">
        <f t="shared" si="28"/>
        <v>Over</v>
      </c>
      <c r="AE120" s="44" t="str">
        <f>IFERROR(VLOOKUP(A120,'[1]Re-order'!$A:$AA,27,0),"")</f>
        <v>Re-order</v>
      </c>
      <c r="AF120" s="46">
        <f t="shared" si="29"/>
        <v>-1</v>
      </c>
      <c r="AG120" s="46">
        <f>SUMIFS('[1]Raw Inventory'!D:D,'[1]Raw Inventory'!C:C,"GREATWALL",'[1]Raw Inventory'!B:B,A120)</f>
        <v>12</v>
      </c>
      <c r="AH120" s="46">
        <f>SUMIFS('[1]Raw Inventory'!D:D,'[1]Raw Inventory'!C:C,"DUARTE",'[1]Raw Inventory'!B:B,A120)</f>
        <v>0</v>
      </c>
      <c r="AI120" s="46"/>
      <c r="AJ120" s="46"/>
      <c r="AK120" s="43"/>
      <c r="AL120" s="43"/>
      <c r="AM120" s="43"/>
      <c r="AN120" s="43"/>
      <c r="AO120" s="43"/>
      <c r="AP120" s="43"/>
      <c r="AQ120" s="43"/>
      <c r="AR120" s="43"/>
      <c r="AS120" s="43"/>
      <c r="AT120" s="43"/>
    </row>
    <row r="121" spans="1:46">
      <c r="A121" s="43" t="s">
        <v>52</v>
      </c>
      <c r="B121" s="43" t="s">
        <v>92</v>
      </c>
      <c r="C121" s="43" t="s">
        <v>90</v>
      </c>
      <c r="D121" s="44" t="s">
        <v>228</v>
      </c>
      <c r="E121" s="44">
        <v>21</v>
      </c>
      <c r="F121" s="44" t="s">
        <v>2</v>
      </c>
      <c r="G121" s="43" t="str">
        <f>IFERROR(VLOOKUP(A121,'[1]MC Masterlist 2026-09-12'!$B:$M, 3, 0),"")</f>
        <v>YAMAHA</v>
      </c>
      <c r="H121" s="45">
        <f>IFERROR(VLOOKUP(A121,'[1]MC Masterlist 2026-09-12'!$B:$M, 6, 0),"")</f>
        <v>85446</v>
      </c>
      <c r="I121" s="46">
        <v>0</v>
      </c>
      <c r="J121" s="46">
        <v>1</v>
      </c>
      <c r="K121" s="46">
        <v>0</v>
      </c>
      <c r="L121" s="46">
        <f t="shared" si="15"/>
        <v>1</v>
      </c>
      <c r="M121" s="46">
        <f t="shared" si="16"/>
        <v>0.33333333333333331</v>
      </c>
      <c r="N121" s="45">
        <f t="shared" si="17"/>
        <v>85446</v>
      </c>
      <c r="O121" s="45">
        <f t="shared" si="18"/>
        <v>28482</v>
      </c>
      <c r="P121" s="46">
        <f t="shared" si="19"/>
        <v>1.111111111111111E-2</v>
      </c>
      <c r="Q121" s="46">
        <v>1</v>
      </c>
      <c r="R121" s="45">
        <f t="shared" si="20"/>
        <v>85446</v>
      </c>
      <c r="S121" s="46">
        <f t="shared" si="21"/>
        <v>90</v>
      </c>
      <c r="T121" s="46">
        <f>IFERROR(VLOOKUP(A121,'[1]Re-order'!$A:$Q,17,0),"")</f>
        <v>95.454545454545453</v>
      </c>
      <c r="U121" s="46">
        <f>IFERROR(VLOOKUP(A121,'[1]MC Masterlist 2026-09-12'!$B:$M, 10, 0),0)</f>
        <v>15</v>
      </c>
      <c r="V121" s="46">
        <f>IFERROR(VLOOKUP(A121,'[1]MC Masterlist 2026-09-12'!$B:$M, 11, 0),0)</f>
        <v>15</v>
      </c>
      <c r="W121" s="46">
        <f t="shared" si="22"/>
        <v>30</v>
      </c>
      <c r="X121" s="46">
        <f t="shared" si="23"/>
        <v>29.833333333333332</v>
      </c>
      <c r="Y121" s="46">
        <f>IFERROR(IF(OR(C121="AREA I",C121="AREA V"),7,VLOOKUP(A121,'[1]MC Masterlist 2026-09-12'!$B:$M, 12, 0)),0)</f>
        <v>30</v>
      </c>
      <c r="Z121" s="46">
        <f t="shared" si="24"/>
        <v>0.16666666666666666</v>
      </c>
      <c r="AA121" s="46">
        <f t="shared" si="25"/>
        <v>0.33333333333333331</v>
      </c>
      <c r="AB121" s="46">
        <f t="shared" si="26"/>
        <v>0.33148148148148143</v>
      </c>
      <c r="AC121" s="46">
        <f t="shared" si="27"/>
        <v>0.33333333333333331</v>
      </c>
      <c r="AD121" s="44" t="str">
        <f t="shared" si="28"/>
        <v>Over</v>
      </c>
      <c r="AE121" s="44" t="str">
        <f>IFERROR(VLOOKUP(A121,'[1]Re-order'!$A:$AA,27,0),"")</f>
        <v>Over</v>
      </c>
      <c r="AF121" s="46">
        <f t="shared" si="29"/>
        <v>-0.66666666666666674</v>
      </c>
      <c r="AG121" s="46">
        <f>SUMIFS('[1]Raw Inventory'!D:D,'[1]Raw Inventory'!C:C,"GREATWALL",'[1]Raw Inventory'!B:B,A121)</f>
        <v>0</v>
      </c>
      <c r="AH121" s="46">
        <f>SUMIFS('[1]Raw Inventory'!D:D,'[1]Raw Inventory'!C:C,"DUARTE",'[1]Raw Inventory'!B:B,A121)</f>
        <v>0</v>
      </c>
      <c r="AI121" s="46"/>
      <c r="AJ121" s="46"/>
      <c r="AK121" s="43"/>
      <c r="AL121" s="43"/>
      <c r="AM121" s="43"/>
      <c r="AN121" s="43"/>
      <c r="AO121" s="43"/>
      <c r="AP121" s="43"/>
      <c r="AQ121" s="43"/>
      <c r="AR121" s="43"/>
      <c r="AS121" s="43"/>
      <c r="AT121" s="43"/>
    </row>
    <row r="122" spans="1:46">
      <c r="A122" s="43" t="s">
        <v>36</v>
      </c>
      <c r="B122" s="43" t="s">
        <v>143</v>
      </c>
      <c r="C122" s="43" t="s">
        <v>137</v>
      </c>
      <c r="D122" s="44" t="s">
        <v>257</v>
      </c>
      <c r="E122" s="44">
        <v>22</v>
      </c>
      <c r="F122" s="44" t="s">
        <v>3</v>
      </c>
      <c r="G122" s="43" t="str">
        <f>IFERROR(VLOOKUP(A122,'[1]MC Masterlist 2026-09-12'!$B:$M, 3, 0),"")</f>
        <v>HONDA</v>
      </c>
      <c r="H122" s="45">
        <f>IFERROR(VLOOKUP(A122,'[1]MC Masterlist 2026-09-12'!$B:$M, 6, 0),"")</f>
        <v>76850</v>
      </c>
      <c r="I122" s="46">
        <v>1</v>
      </c>
      <c r="J122" s="46">
        <v>0</v>
      </c>
      <c r="K122" s="46">
        <v>0</v>
      </c>
      <c r="L122" s="46">
        <f t="shared" si="15"/>
        <v>1</v>
      </c>
      <c r="M122" s="46">
        <f t="shared" si="16"/>
        <v>0.33333333333333331</v>
      </c>
      <c r="N122" s="45">
        <f t="shared" si="17"/>
        <v>76850</v>
      </c>
      <c r="O122" s="45">
        <f t="shared" si="18"/>
        <v>25616.666666666664</v>
      </c>
      <c r="P122" s="46">
        <f t="shared" si="19"/>
        <v>1.111111111111111E-2</v>
      </c>
      <c r="Q122" s="46">
        <v>1</v>
      </c>
      <c r="R122" s="45">
        <f t="shared" si="20"/>
        <v>76850</v>
      </c>
      <c r="S122" s="46">
        <f t="shared" si="21"/>
        <v>90.000000000000014</v>
      </c>
      <c r="T122" s="46">
        <f>IFERROR(VLOOKUP(A122,'[1]Re-order'!$A:$Q,17,0),"")</f>
        <v>137.24999999999997</v>
      </c>
      <c r="U122" s="46">
        <f>IFERROR(VLOOKUP(A122,'[1]MC Masterlist 2026-09-12'!$B:$M, 10, 0),0)</f>
        <v>15</v>
      </c>
      <c r="V122" s="46">
        <f>IFERROR(VLOOKUP(A122,'[1]MC Masterlist 2026-09-12'!$B:$M, 11, 0),0)</f>
        <v>15</v>
      </c>
      <c r="W122" s="46">
        <f t="shared" si="22"/>
        <v>30</v>
      </c>
      <c r="X122" s="46">
        <f t="shared" si="23"/>
        <v>6.833333333333333</v>
      </c>
      <c r="Y122" s="46">
        <f>IFERROR(IF(OR(C122="AREA I",C122="AREA V"),7,VLOOKUP(A122,'[1]MC Masterlist 2026-09-12'!$B:$M, 12, 0)),0)</f>
        <v>7</v>
      </c>
      <c r="Z122" s="46">
        <f t="shared" si="24"/>
        <v>0.16666666666666666</v>
      </c>
      <c r="AA122" s="46">
        <f t="shared" si="25"/>
        <v>0.33333333333333331</v>
      </c>
      <c r="AB122" s="46">
        <f t="shared" si="26"/>
        <v>7.5925925925925911E-2</v>
      </c>
      <c r="AC122" s="46">
        <f t="shared" si="27"/>
        <v>7.7777777777777765E-2</v>
      </c>
      <c r="AD122" s="44" t="str">
        <f t="shared" si="28"/>
        <v>Over</v>
      </c>
      <c r="AE122" s="44" t="str">
        <f>IFERROR(VLOOKUP(A122,'[1]Re-order'!$A:$AA,27,0),"")</f>
        <v>Over</v>
      </c>
      <c r="AF122" s="46">
        <f t="shared" si="29"/>
        <v>-0.92222222222222228</v>
      </c>
      <c r="AG122" s="46">
        <f>SUMIFS('[1]Raw Inventory'!D:D,'[1]Raw Inventory'!C:C,"GREATWALL",'[1]Raw Inventory'!B:B,A122)</f>
        <v>18</v>
      </c>
      <c r="AH122" s="46">
        <f>SUMIFS('[1]Raw Inventory'!D:D,'[1]Raw Inventory'!C:C,"DUARTE",'[1]Raw Inventory'!B:B,A122)</f>
        <v>0</v>
      </c>
      <c r="AI122" s="46"/>
      <c r="AJ122" s="46"/>
      <c r="AK122" s="43"/>
      <c r="AL122" s="43"/>
      <c r="AM122" s="43"/>
      <c r="AN122" s="43"/>
      <c r="AO122" s="43"/>
      <c r="AP122" s="43"/>
      <c r="AQ122" s="43"/>
      <c r="AR122" s="43"/>
      <c r="AS122" s="43"/>
      <c r="AT122" s="43"/>
    </row>
    <row r="123" spans="1:46">
      <c r="A123" s="43" t="s">
        <v>23</v>
      </c>
      <c r="B123" s="43" t="s">
        <v>156</v>
      </c>
      <c r="C123" s="43" t="s">
        <v>152</v>
      </c>
      <c r="D123" s="44" t="s">
        <v>254</v>
      </c>
      <c r="E123" s="44">
        <v>3</v>
      </c>
      <c r="F123" s="44" t="s">
        <v>2</v>
      </c>
      <c r="G123" s="43" t="str">
        <f>IFERROR(VLOOKUP(A123,'[1]MC Masterlist 2026-09-12'!$B:$M, 3, 0),"")</f>
        <v>KAWASAKI</v>
      </c>
      <c r="H123" s="45">
        <f>IFERROR(VLOOKUP(A123,'[1]MC Masterlist 2026-09-12'!$B:$M, 6, 0),"")</f>
        <v>60656</v>
      </c>
      <c r="I123" s="46">
        <v>7</v>
      </c>
      <c r="J123" s="46">
        <v>6</v>
      </c>
      <c r="K123" s="46">
        <v>7</v>
      </c>
      <c r="L123" s="46">
        <f t="shared" si="15"/>
        <v>20</v>
      </c>
      <c r="M123" s="46">
        <f t="shared" si="16"/>
        <v>6.666666666666667</v>
      </c>
      <c r="N123" s="45">
        <f t="shared" si="17"/>
        <v>1213120</v>
      </c>
      <c r="O123" s="45">
        <f t="shared" si="18"/>
        <v>404373.33333333337</v>
      </c>
      <c r="P123" s="46">
        <f t="shared" si="19"/>
        <v>0.22222222222222224</v>
      </c>
      <c r="Q123" s="46">
        <v>16</v>
      </c>
      <c r="R123" s="45">
        <f t="shared" si="20"/>
        <v>970496</v>
      </c>
      <c r="S123" s="46">
        <f t="shared" si="21"/>
        <v>72</v>
      </c>
      <c r="T123" s="46">
        <f>IFERROR(VLOOKUP(A123,'[1]Re-order'!$A:$Q,17,0),"")</f>
        <v>53.973412112259979</v>
      </c>
      <c r="U123" s="46">
        <f>IFERROR(VLOOKUP(A123,'[1]MC Masterlist 2026-09-12'!$B:$M, 10, 0),0)</f>
        <v>15</v>
      </c>
      <c r="V123" s="46">
        <f>IFERROR(VLOOKUP(A123,'[1]MC Masterlist 2026-09-12'!$B:$M, 11, 0),0)</f>
        <v>15</v>
      </c>
      <c r="W123" s="46">
        <f t="shared" si="22"/>
        <v>30</v>
      </c>
      <c r="X123" s="46">
        <f t="shared" si="23"/>
        <v>26.666666666666668</v>
      </c>
      <c r="Y123" s="46">
        <f>IFERROR(IF(OR(C123="AREA I",C123="AREA V"),7,VLOOKUP(A123,'[1]MC Masterlist 2026-09-12'!$B:$M, 12, 0)),0)</f>
        <v>30</v>
      </c>
      <c r="Z123" s="46">
        <f t="shared" si="24"/>
        <v>3.3333333333333335</v>
      </c>
      <c r="AA123" s="46">
        <f t="shared" si="25"/>
        <v>6.666666666666667</v>
      </c>
      <c r="AB123" s="46">
        <f t="shared" si="26"/>
        <v>5.9259259259259265</v>
      </c>
      <c r="AC123" s="46">
        <f t="shared" si="27"/>
        <v>6.666666666666667</v>
      </c>
      <c r="AD123" s="44" t="str">
        <f t="shared" si="28"/>
        <v>Over</v>
      </c>
      <c r="AE123" s="44" t="str">
        <f>IFERROR(VLOOKUP(A123,'[1]Re-order'!$A:$AA,27,0),"")</f>
        <v>Re-order</v>
      </c>
      <c r="AF123" s="46">
        <f t="shared" si="29"/>
        <v>-9.3333333333333321</v>
      </c>
      <c r="AG123" s="46">
        <f>SUMIFS('[1]Raw Inventory'!D:D,'[1]Raw Inventory'!C:C,"GREATWALL",'[1]Raw Inventory'!B:B,A123)</f>
        <v>282</v>
      </c>
      <c r="AH123" s="46">
        <f>SUMIFS('[1]Raw Inventory'!D:D,'[1]Raw Inventory'!C:C,"DUARTE",'[1]Raw Inventory'!B:B,A123)</f>
        <v>0</v>
      </c>
      <c r="AI123" s="46"/>
      <c r="AJ123" s="46"/>
      <c r="AK123" s="43"/>
      <c r="AL123" s="43"/>
      <c r="AM123" s="43"/>
      <c r="AN123" s="43"/>
      <c r="AO123" s="43"/>
      <c r="AP123" s="43"/>
      <c r="AQ123" s="43"/>
      <c r="AR123" s="43"/>
      <c r="AS123" s="43"/>
      <c r="AT123" s="43"/>
    </row>
    <row r="124" spans="1:46">
      <c r="A124" s="43" t="s">
        <v>78</v>
      </c>
      <c r="B124" s="43" t="s">
        <v>130</v>
      </c>
      <c r="C124" s="43" t="s">
        <v>128</v>
      </c>
      <c r="D124" s="44" t="s">
        <v>241</v>
      </c>
      <c r="E124" s="44">
        <v>24</v>
      </c>
      <c r="F124" s="44" t="s">
        <v>3</v>
      </c>
      <c r="G124" s="43" t="str">
        <f>IFERROR(VLOOKUP(A124,'[1]MC Masterlist 2026-09-12'!$B:$M, 3, 0),"")</f>
        <v>KAWASAKI</v>
      </c>
      <c r="H124" s="45">
        <f>IFERROR(VLOOKUP(A124,'[1]MC Masterlist 2026-09-12'!$B:$M, 6, 0),"")</f>
        <v>100700</v>
      </c>
      <c r="I124" s="46">
        <v>1</v>
      </c>
      <c r="J124" s="46">
        <v>0</v>
      </c>
      <c r="K124" s="46">
        <v>0</v>
      </c>
      <c r="L124" s="46">
        <f t="shared" si="15"/>
        <v>1</v>
      </c>
      <c r="M124" s="46">
        <f t="shared" si="16"/>
        <v>0.33333333333333331</v>
      </c>
      <c r="N124" s="45">
        <f t="shared" si="17"/>
        <v>100700</v>
      </c>
      <c r="O124" s="45">
        <f t="shared" si="18"/>
        <v>33566.666666666664</v>
      </c>
      <c r="P124" s="46">
        <f t="shared" si="19"/>
        <v>1.111111111111111E-2</v>
      </c>
      <c r="Q124" s="46"/>
      <c r="R124" s="45">
        <f t="shared" si="20"/>
        <v>0</v>
      </c>
      <c r="S124" s="46">
        <f t="shared" si="21"/>
        <v>0</v>
      </c>
      <c r="T124" s="46">
        <f>IFERROR(VLOOKUP(A124,'[1]Re-order'!$A:$Q,17,0),"")</f>
        <v>438.75000000000006</v>
      </c>
      <c r="U124" s="46">
        <f>IFERROR(VLOOKUP(A124,'[1]MC Masterlist 2026-09-12'!$B:$M, 10, 0),0)</f>
        <v>15</v>
      </c>
      <c r="V124" s="46">
        <f>IFERROR(VLOOKUP(A124,'[1]MC Masterlist 2026-09-12'!$B:$M, 11, 0),0)</f>
        <v>15</v>
      </c>
      <c r="W124" s="46">
        <f t="shared" si="22"/>
        <v>30</v>
      </c>
      <c r="X124" s="46">
        <f t="shared" si="23"/>
        <v>29.833333333333332</v>
      </c>
      <c r="Y124" s="46">
        <f>IFERROR(IF(OR(C124="AREA I",C124="AREA V"),7,VLOOKUP(A124,'[1]MC Masterlist 2026-09-12'!$B:$M, 12, 0)),0)</f>
        <v>30</v>
      </c>
      <c r="Z124" s="46">
        <f t="shared" si="24"/>
        <v>0.16666666666666666</v>
      </c>
      <c r="AA124" s="46">
        <f t="shared" si="25"/>
        <v>0.33333333333333331</v>
      </c>
      <c r="AB124" s="46">
        <f t="shared" si="26"/>
        <v>0.33148148148148143</v>
      </c>
      <c r="AC124" s="46">
        <f t="shared" si="27"/>
        <v>0.33333333333333331</v>
      </c>
      <c r="AD124" s="44" t="str">
        <f t="shared" si="28"/>
        <v>Stockout</v>
      </c>
      <c r="AE124" s="44" t="str">
        <f>IFERROR(VLOOKUP(A124,'[1]Re-order'!$A:$AA,27,0),"")</f>
        <v>Over</v>
      </c>
      <c r="AF124" s="46">
        <f t="shared" si="29"/>
        <v>0.33333333333333331</v>
      </c>
      <c r="AG124" s="46">
        <f>SUMIFS('[1]Raw Inventory'!D:D,'[1]Raw Inventory'!C:C,"GREATWALL",'[1]Raw Inventory'!B:B,A124)</f>
        <v>26</v>
      </c>
      <c r="AH124" s="46">
        <f>SUMIFS('[1]Raw Inventory'!D:D,'[1]Raw Inventory'!C:C,"DUARTE",'[1]Raw Inventory'!B:B,A124)</f>
        <v>0</v>
      </c>
      <c r="AI124" s="46"/>
      <c r="AJ124" s="46"/>
      <c r="AK124" s="43"/>
      <c r="AL124" s="43"/>
      <c r="AM124" s="43"/>
      <c r="AN124" s="43"/>
      <c r="AO124" s="43"/>
      <c r="AP124" s="43"/>
      <c r="AQ124" s="43"/>
      <c r="AR124" s="43"/>
      <c r="AS124" s="43"/>
      <c r="AT124" s="43"/>
    </row>
    <row r="125" spans="1:46">
      <c r="A125" s="43" t="s">
        <v>82</v>
      </c>
      <c r="B125" s="43" t="s">
        <v>154</v>
      </c>
      <c r="C125" s="43" t="s">
        <v>152</v>
      </c>
      <c r="D125" s="44" t="s">
        <v>228</v>
      </c>
      <c r="E125" s="44">
        <v>19</v>
      </c>
      <c r="F125" s="44" t="s">
        <v>2</v>
      </c>
      <c r="G125" s="43" t="str">
        <f>IFERROR(VLOOKUP(A125,'[1]MC Masterlist 2026-09-12'!$B:$M, 3, 0),"")</f>
        <v>SUZUKI</v>
      </c>
      <c r="H125" s="45">
        <f>IFERROR(VLOOKUP(A125,'[1]MC Masterlist 2026-09-12'!$B:$M, 6, 0),"")</f>
        <v>67342</v>
      </c>
      <c r="I125" s="46">
        <v>0</v>
      </c>
      <c r="J125" s="46">
        <v>0</v>
      </c>
      <c r="K125" s="46">
        <v>2</v>
      </c>
      <c r="L125" s="46">
        <f t="shared" si="15"/>
        <v>2</v>
      </c>
      <c r="M125" s="46">
        <f t="shared" si="16"/>
        <v>0.66666666666666663</v>
      </c>
      <c r="N125" s="45">
        <f t="shared" si="17"/>
        <v>134684</v>
      </c>
      <c r="O125" s="45">
        <f t="shared" si="18"/>
        <v>44894.666666666664</v>
      </c>
      <c r="P125" s="46">
        <f t="shared" si="19"/>
        <v>2.222222222222222E-2</v>
      </c>
      <c r="Q125" s="46"/>
      <c r="R125" s="45">
        <f t="shared" si="20"/>
        <v>0</v>
      </c>
      <c r="S125" s="46">
        <f t="shared" si="21"/>
        <v>0</v>
      </c>
      <c r="T125" s="46">
        <f>IFERROR(VLOOKUP(A125,'[1]Re-order'!$A:$Q,17,0),"")</f>
        <v>64.8</v>
      </c>
      <c r="U125" s="46">
        <f>IFERROR(VLOOKUP(A125,'[1]MC Masterlist 2026-09-12'!$B:$M, 10, 0),0)</f>
        <v>15</v>
      </c>
      <c r="V125" s="46">
        <f>IFERROR(VLOOKUP(A125,'[1]MC Masterlist 2026-09-12'!$B:$M, 11, 0),0)</f>
        <v>15</v>
      </c>
      <c r="W125" s="46">
        <f t="shared" si="22"/>
        <v>30</v>
      </c>
      <c r="X125" s="46">
        <f t="shared" si="23"/>
        <v>29.666666666666668</v>
      </c>
      <c r="Y125" s="46">
        <f>IFERROR(IF(OR(C125="AREA I",C125="AREA V"),7,VLOOKUP(A125,'[1]MC Masterlist 2026-09-12'!$B:$M, 12, 0)),0)</f>
        <v>30</v>
      </c>
      <c r="Z125" s="46">
        <f t="shared" si="24"/>
        <v>0.33333333333333331</v>
      </c>
      <c r="AA125" s="46">
        <f t="shared" si="25"/>
        <v>0.66666666666666663</v>
      </c>
      <c r="AB125" s="46">
        <f t="shared" si="26"/>
        <v>0.65925925925925921</v>
      </c>
      <c r="AC125" s="46">
        <f t="shared" si="27"/>
        <v>0.66666666666666663</v>
      </c>
      <c r="AD125" s="44" t="str">
        <f t="shared" si="28"/>
        <v>Stockout</v>
      </c>
      <c r="AE125" s="44" t="str">
        <f>IFERROR(VLOOKUP(A125,'[1]Re-order'!$A:$AA,27,0),"")</f>
        <v>Re-order</v>
      </c>
      <c r="AF125" s="46">
        <f t="shared" si="29"/>
        <v>0.66666666666666663</v>
      </c>
      <c r="AG125" s="46">
        <f>SUMIFS('[1]Raw Inventory'!D:D,'[1]Raw Inventory'!C:C,"GREATWALL",'[1]Raw Inventory'!B:B,A125)</f>
        <v>1</v>
      </c>
      <c r="AH125" s="46">
        <f>SUMIFS('[1]Raw Inventory'!D:D,'[1]Raw Inventory'!C:C,"DUARTE",'[1]Raw Inventory'!B:B,A125)</f>
        <v>0</v>
      </c>
      <c r="AI125" s="46"/>
      <c r="AJ125" s="46"/>
      <c r="AK125" s="43"/>
      <c r="AL125" s="43"/>
      <c r="AM125" s="43"/>
      <c r="AN125" s="43"/>
      <c r="AO125" s="43"/>
      <c r="AP125" s="43"/>
      <c r="AQ125" s="43"/>
      <c r="AR125" s="43"/>
      <c r="AS125" s="43"/>
      <c r="AT125" s="43"/>
    </row>
    <row r="126" spans="1:46">
      <c r="A126" s="43" t="s">
        <v>20</v>
      </c>
      <c r="B126" s="43" t="s">
        <v>21</v>
      </c>
      <c r="C126" s="43" t="s">
        <v>1</v>
      </c>
      <c r="D126" s="44" t="s">
        <v>240</v>
      </c>
      <c r="E126" s="44">
        <v>13</v>
      </c>
      <c r="F126" s="44" t="s">
        <v>2</v>
      </c>
      <c r="G126" s="43" t="str">
        <f>IFERROR(VLOOKUP(A126,'[1]MC Masterlist 2026-09-12'!$B:$M, 3, 0),"")</f>
        <v>HONDA</v>
      </c>
      <c r="H126" s="45">
        <f>IFERROR(VLOOKUP(A126,'[1]MC Masterlist 2026-09-12'!$B:$M, 6, 0),"")</f>
        <v>69950</v>
      </c>
      <c r="I126" s="46">
        <v>3</v>
      </c>
      <c r="J126" s="46">
        <v>2</v>
      </c>
      <c r="K126" s="46">
        <v>1</v>
      </c>
      <c r="L126" s="46">
        <f t="shared" si="15"/>
        <v>6</v>
      </c>
      <c r="M126" s="46">
        <f t="shared" si="16"/>
        <v>2</v>
      </c>
      <c r="N126" s="45">
        <f t="shared" si="17"/>
        <v>419700</v>
      </c>
      <c r="O126" s="45">
        <f t="shared" si="18"/>
        <v>139900</v>
      </c>
      <c r="P126" s="46">
        <f t="shared" si="19"/>
        <v>6.6666666666666666E-2</v>
      </c>
      <c r="Q126" s="46">
        <v>2</v>
      </c>
      <c r="R126" s="45">
        <f t="shared" si="20"/>
        <v>139900</v>
      </c>
      <c r="S126" s="46">
        <f t="shared" si="21"/>
        <v>30</v>
      </c>
      <c r="T126" s="46">
        <f>IFERROR(VLOOKUP(A126,'[1]Re-order'!$A:$Q,17,0),"")</f>
        <v>75.775862068965523</v>
      </c>
      <c r="U126" s="46">
        <f>IFERROR(VLOOKUP(A126,'[1]MC Masterlist 2026-09-12'!$B:$M, 10, 0),0)</f>
        <v>15</v>
      </c>
      <c r="V126" s="46">
        <f>IFERROR(VLOOKUP(A126,'[1]MC Masterlist 2026-09-12'!$B:$M, 11, 0),0)</f>
        <v>15</v>
      </c>
      <c r="W126" s="46">
        <f t="shared" si="22"/>
        <v>30</v>
      </c>
      <c r="X126" s="46">
        <f t="shared" si="23"/>
        <v>6</v>
      </c>
      <c r="Y126" s="46">
        <f>IFERROR(IF(OR(C126="AREA I",C126="AREA V"),7,VLOOKUP(A126,'[1]MC Masterlist 2026-09-12'!$B:$M, 12, 0)),0)</f>
        <v>7</v>
      </c>
      <c r="Z126" s="46">
        <f t="shared" si="24"/>
        <v>1</v>
      </c>
      <c r="AA126" s="46">
        <f t="shared" si="25"/>
        <v>2</v>
      </c>
      <c r="AB126" s="46">
        <f t="shared" si="26"/>
        <v>0.4</v>
      </c>
      <c r="AC126" s="46">
        <f t="shared" si="27"/>
        <v>0.46666666666666667</v>
      </c>
      <c r="AD126" s="44" t="str">
        <f t="shared" si="28"/>
        <v>Over</v>
      </c>
      <c r="AE126" s="44" t="str">
        <f>IFERROR(VLOOKUP(A126,'[1]Re-order'!$A:$AA,27,0),"")</f>
        <v/>
      </c>
      <c r="AF126" s="46">
        <f t="shared" si="29"/>
        <v>-1.5333333333333332</v>
      </c>
      <c r="AG126" s="46">
        <f>SUMIFS('[1]Raw Inventory'!D:D,'[1]Raw Inventory'!C:C,"GREATWALL",'[1]Raw Inventory'!B:B,A126)</f>
        <v>110</v>
      </c>
      <c r="AH126" s="46">
        <f>SUMIFS('[1]Raw Inventory'!D:D,'[1]Raw Inventory'!C:C,"DUARTE",'[1]Raw Inventory'!B:B,A126)</f>
        <v>0</v>
      </c>
      <c r="AI126" s="46"/>
      <c r="AJ126" s="46"/>
      <c r="AK126" s="43"/>
      <c r="AL126" s="43"/>
      <c r="AM126" s="43"/>
      <c r="AN126" s="43"/>
      <c r="AO126" s="43"/>
      <c r="AP126" s="43"/>
      <c r="AQ126" s="43"/>
      <c r="AR126" s="43"/>
      <c r="AS126" s="43"/>
      <c r="AT126" s="43"/>
    </row>
    <row r="127" spans="1:46">
      <c r="A127" s="43" t="s">
        <v>71</v>
      </c>
      <c r="B127" s="43" t="s">
        <v>162</v>
      </c>
      <c r="C127" s="43" t="s">
        <v>159</v>
      </c>
      <c r="D127" s="44" t="s">
        <v>239</v>
      </c>
      <c r="E127" s="44">
        <v>26</v>
      </c>
      <c r="F127" s="44" t="s">
        <v>3</v>
      </c>
      <c r="G127" s="43" t="str">
        <f>IFERROR(VLOOKUP(A127,'[1]MC Masterlist 2026-09-12'!$B:$M, 3, 0),"")</f>
        <v>SUZUKI</v>
      </c>
      <c r="H127" s="45">
        <f>IFERROR(VLOOKUP(A127,'[1]MC Masterlist 2026-09-12'!$B:$M, 6, 0),"")</f>
        <v>156250</v>
      </c>
      <c r="I127" s="46">
        <v>0</v>
      </c>
      <c r="J127" s="46">
        <v>0</v>
      </c>
      <c r="K127" s="46">
        <v>0</v>
      </c>
      <c r="L127" s="46">
        <f t="shared" si="15"/>
        <v>0</v>
      </c>
      <c r="M127" s="46">
        <f t="shared" si="16"/>
        <v>0</v>
      </c>
      <c r="N127" s="45">
        <f t="shared" si="17"/>
        <v>0</v>
      </c>
      <c r="O127" s="45">
        <f t="shared" si="18"/>
        <v>0</v>
      </c>
      <c r="P127" s="46">
        <f t="shared" si="19"/>
        <v>0</v>
      </c>
      <c r="Q127" s="46">
        <v>6</v>
      </c>
      <c r="R127" s="45">
        <f t="shared" si="20"/>
        <v>937500</v>
      </c>
      <c r="S127" s="46">
        <f t="shared" si="21"/>
        <v>0</v>
      </c>
      <c r="T127" s="46">
        <f>IFERROR(VLOOKUP(A127,'[1]Re-order'!$A:$Q,17,0),"")</f>
        <v>612</v>
      </c>
      <c r="U127" s="46">
        <f>IFERROR(VLOOKUP(A127,'[1]MC Masterlist 2026-09-12'!$B:$M, 10, 0),0)</f>
        <v>15</v>
      </c>
      <c r="V127" s="46">
        <f>IFERROR(VLOOKUP(A127,'[1]MC Masterlist 2026-09-12'!$B:$M, 11, 0),0)</f>
        <v>15</v>
      </c>
      <c r="W127" s="46">
        <f t="shared" si="22"/>
        <v>30</v>
      </c>
      <c r="X127" s="46">
        <f t="shared" si="23"/>
        <v>30</v>
      </c>
      <c r="Y127" s="46">
        <f>IFERROR(IF(OR(C127="AREA I",C127="AREA V"),7,VLOOKUP(A127,'[1]MC Masterlist 2026-09-12'!$B:$M, 12, 0)),0)</f>
        <v>30</v>
      </c>
      <c r="Z127" s="46">
        <f t="shared" si="24"/>
        <v>0</v>
      </c>
      <c r="AA127" s="46">
        <f t="shared" si="25"/>
        <v>0</v>
      </c>
      <c r="AB127" s="46">
        <f t="shared" si="26"/>
        <v>0</v>
      </c>
      <c r="AC127" s="46">
        <f t="shared" si="27"/>
        <v>0</v>
      </c>
      <c r="AD127" s="44" t="str">
        <f t="shared" si="28"/>
        <v>Over</v>
      </c>
      <c r="AE127" s="44" t="str">
        <f>IFERROR(VLOOKUP(A127,'[1]Re-order'!$A:$AA,27,0),"")</f>
        <v>Over</v>
      </c>
      <c r="AF127" s="46">
        <f t="shared" si="29"/>
        <v>-6</v>
      </c>
      <c r="AG127" s="46">
        <f>SUMIFS('[1]Raw Inventory'!D:D,'[1]Raw Inventory'!C:C,"GREATWALL",'[1]Raw Inventory'!B:B,A127)</f>
        <v>13</v>
      </c>
      <c r="AH127" s="46">
        <f>SUMIFS('[1]Raw Inventory'!D:D,'[1]Raw Inventory'!C:C,"DUARTE",'[1]Raw Inventory'!B:B,A127)</f>
        <v>0</v>
      </c>
      <c r="AI127" s="46"/>
      <c r="AJ127" s="46"/>
      <c r="AK127" s="43"/>
      <c r="AL127" s="43"/>
      <c r="AM127" s="43"/>
      <c r="AN127" s="43"/>
      <c r="AO127" s="43"/>
      <c r="AP127" s="43"/>
      <c r="AQ127" s="43"/>
      <c r="AR127" s="43"/>
      <c r="AS127" s="43"/>
      <c r="AT127" s="43"/>
    </row>
    <row r="128" spans="1:46">
      <c r="A128" s="43" t="s">
        <v>18</v>
      </c>
      <c r="B128" s="43" t="s">
        <v>129</v>
      </c>
      <c r="C128" s="43" t="s">
        <v>128</v>
      </c>
      <c r="D128" s="44" t="s">
        <v>223</v>
      </c>
      <c r="E128" s="44">
        <v>16</v>
      </c>
      <c r="F128" s="44" t="s">
        <v>3</v>
      </c>
      <c r="G128" s="43" t="str">
        <f>IFERROR(VLOOKUP(A128,'[1]MC Masterlist 2026-09-12'!$B:$M, 3, 0),"")</f>
        <v>HONDA</v>
      </c>
      <c r="H128" s="45">
        <f>IFERROR(VLOOKUP(A128,'[1]MC Masterlist 2026-09-12'!$B:$M, 6, 0),"")</f>
        <v>94330</v>
      </c>
      <c r="I128" s="46">
        <v>1</v>
      </c>
      <c r="J128" s="46">
        <v>1</v>
      </c>
      <c r="K128" s="46">
        <v>0</v>
      </c>
      <c r="L128" s="46">
        <f t="shared" si="15"/>
        <v>2</v>
      </c>
      <c r="M128" s="46">
        <f t="shared" si="16"/>
        <v>0.66666666666666663</v>
      </c>
      <c r="N128" s="45">
        <f t="shared" si="17"/>
        <v>188660</v>
      </c>
      <c r="O128" s="45">
        <f t="shared" si="18"/>
        <v>62886.666666666664</v>
      </c>
      <c r="P128" s="46">
        <f t="shared" si="19"/>
        <v>2.222222222222222E-2</v>
      </c>
      <c r="Q128" s="46">
        <v>3</v>
      </c>
      <c r="R128" s="45">
        <f t="shared" si="20"/>
        <v>282990</v>
      </c>
      <c r="S128" s="46">
        <f t="shared" si="21"/>
        <v>135</v>
      </c>
      <c r="T128" s="46">
        <f>IFERROR(VLOOKUP(A128,'[1]Re-order'!$A:$Q,17,0),"")</f>
        <v>113.9644970414201</v>
      </c>
      <c r="U128" s="46">
        <f>IFERROR(VLOOKUP(A128,'[1]MC Masterlist 2026-09-12'!$B:$M, 10, 0),0)</f>
        <v>15</v>
      </c>
      <c r="V128" s="46">
        <f>IFERROR(VLOOKUP(A128,'[1]MC Masterlist 2026-09-12'!$B:$M, 11, 0),0)</f>
        <v>15</v>
      </c>
      <c r="W128" s="46">
        <f t="shared" si="22"/>
        <v>30</v>
      </c>
      <c r="X128" s="46">
        <f t="shared" si="23"/>
        <v>29.666666666666668</v>
      </c>
      <c r="Y128" s="46">
        <f>IFERROR(IF(OR(C128="AREA I",C128="AREA V"),7,VLOOKUP(A128,'[1]MC Masterlist 2026-09-12'!$B:$M, 12, 0)),0)</f>
        <v>30</v>
      </c>
      <c r="Z128" s="46">
        <f t="shared" si="24"/>
        <v>0.33333333333333331</v>
      </c>
      <c r="AA128" s="46">
        <f t="shared" si="25"/>
        <v>0.66666666666666663</v>
      </c>
      <c r="AB128" s="46">
        <f t="shared" si="26"/>
        <v>0.65925925925925921</v>
      </c>
      <c r="AC128" s="46">
        <f t="shared" si="27"/>
        <v>0.66666666666666663</v>
      </c>
      <c r="AD128" s="44" t="str">
        <f t="shared" si="28"/>
        <v>Over</v>
      </c>
      <c r="AE128" s="44" t="str">
        <f>IFERROR(VLOOKUP(A128,'[1]Re-order'!$A:$AA,27,0),"")</f>
        <v>Over</v>
      </c>
      <c r="AF128" s="46">
        <f t="shared" si="29"/>
        <v>-2.3333333333333335</v>
      </c>
      <c r="AG128" s="46">
        <f>SUMIFS('[1]Raw Inventory'!D:D,'[1]Raw Inventory'!C:C,"GREATWALL",'[1]Raw Inventory'!B:B,A128)</f>
        <v>88</v>
      </c>
      <c r="AH128" s="46">
        <f>SUMIFS('[1]Raw Inventory'!D:D,'[1]Raw Inventory'!C:C,"DUARTE",'[1]Raw Inventory'!B:B,A128)</f>
        <v>0</v>
      </c>
      <c r="AI128" s="46"/>
      <c r="AJ128" s="46"/>
      <c r="AK128" s="43"/>
      <c r="AL128" s="43"/>
      <c r="AM128" s="43"/>
      <c r="AN128" s="43"/>
      <c r="AO128" s="43"/>
      <c r="AP128" s="43"/>
      <c r="AQ128" s="43"/>
      <c r="AR128" s="43"/>
      <c r="AS128" s="43"/>
      <c r="AT128" s="43"/>
    </row>
    <row r="129" spans="1:46">
      <c r="A129" s="43" t="s">
        <v>107</v>
      </c>
      <c r="B129" s="43" t="s">
        <v>97</v>
      </c>
      <c r="C129" s="43" t="s">
        <v>90</v>
      </c>
      <c r="D129" s="44" t="s">
        <v>265</v>
      </c>
      <c r="E129" s="44">
        <v>17</v>
      </c>
      <c r="F129" s="44" t="s">
        <v>3</v>
      </c>
      <c r="G129" s="43" t="str">
        <f>IFERROR(VLOOKUP(A129,'[1]MC Masterlist 2026-09-12'!$B:$M, 3, 0),"")</f>
        <v>SUZUKI</v>
      </c>
      <c r="H129" s="45">
        <f>IFERROR(VLOOKUP(A129,'[1]MC Masterlist 2026-09-12'!$B:$M, 6, 0),"")</f>
        <v>89662</v>
      </c>
      <c r="I129" s="46">
        <v>0</v>
      </c>
      <c r="J129" s="46">
        <v>0</v>
      </c>
      <c r="K129" s="46">
        <v>0</v>
      </c>
      <c r="L129" s="46">
        <f t="shared" si="15"/>
        <v>0</v>
      </c>
      <c r="M129" s="46">
        <f t="shared" si="16"/>
        <v>0</v>
      </c>
      <c r="N129" s="45">
        <f t="shared" si="17"/>
        <v>0</v>
      </c>
      <c r="O129" s="45">
        <f t="shared" si="18"/>
        <v>0</v>
      </c>
      <c r="P129" s="46">
        <f t="shared" si="19"/>
        <v>0</v>
      </c>
      <c r="Q129" s="46">
        <v>1</v>
      </c>
      <c r="R129" s="45">
        <f t="shared" si="20"/>
        <v>89662</v>
      </c>
      <c r="S129" s="46">
        <f t="shared" si="21"/>
        <v>0</v>
      </c>
      <c r="T129" s="46">
        <f>IFERROR(VLOOKUP(A129,'[1]Re-order'!$A:$Q,17,0),"")</f>
        <v>112.5</v>
      </c>
      <c r="U129" s="46">
        <f>IFERROR(VLOOKUP(A129,'[1]MC Masterlist 2026-09-12'!$B:$M, 10, 0),0)</f>
        <v>15</v>
      </c>
      <c r="V129" s="46">
        <f>IFERROR(VLOOKUP(A129,'[1]MC Masterlist 2026-09-12'!$B:$M, 11, 0),0)</f>
        <v>15</v>
      </c>
      <c r="W129" s="46">
        <f t="shared" si="22"/>
        <v>30</v>
      </c>
      <c r="X129" s="46">
        <f t="shared" si="23"/>
        <v>30</v>
      </c>
      <c r="Y129" s="46">
        <f>IFERROR(IF(OR(C129="AREA I",C129="AREA V"),7,VLOOKUP(A129,'[1]MC Masterlist 2026-09-12'!$B:$M, 12, 0)),0)</f>
        <v>30</v>
      </c>
      <c r="Z129" s="46">
        <f t="shared" si="24"/>
        <v>0</v>
      </c>
      <c r="AA129" s="46">
        <f t="shared" si="25"/>
        <v>0</v>
      </c>
      <c r="AB129" s="46">
        <f t="shared" si="26"/>
        <v>0</v>
      </c>
      <c r="AC129" s="46">
        <f t="shared" si="27"/>
        <v>0</v>
      </c>
      <c r="AD129" s="44" t="str">
        <f t="shared" si="28"/>
        <v>Over</v>
      </c>
      <c r="AE129" s="44" t="str">
        <f>IFERROR(VLOOKUP(A129,'[1]Re-order'!$A:$AA,27,0),"")</f>
        <v>Over</v>
      </c>
      <c r="AF129" s="46">
        <f t="shared" si="29"/>
        <v>-1</v>
      </c>
      <c r="AG129" s="46">
        <f>SUMIFS('[1]Raw Inventory'!D:D,'[1]Raw Inventory'!C:C,"GREATWALL",'[1]Raw Inventory'!B:B,A129)</f>
        <v>0</v>
      </c>
      <c r="AH129" s="46">
        <f>SUMIFS('[1]Raw Inventory'!D:D,'[1]Raw Inventory'!C:C,"DUARTE",'[1]Raw Inventory'!B:B,A129)</f>
        <v>0</v>
      </c>
      <c r="AI129" s="46"/>
      <c r="AJ129" s="46"/>
      <c r="AK129" s="43"/>
      <c r="AL129" s="43"/>
      <c r="AM129" s="43"/>
      <c r="AN129" s="43"/>
      <c r="AO129" s="43"/>
      <c r="AP129" s="43"/>
      <c r="AQ129" s="43"/>
      <c r="AR129" s="43"/>
      <c r="AS129" s="43"/>
      <c r="AT129" s="43"/>
    </row>
    <row r="130" spans="1:46">
      <c r="A130" s="43" t="s">
        <v>37</v>
      </c>
      <c r="B130" s="43" t="s">
        <v>21</v>
      </c>
      <c r="C130" s="43" t="s">
        <v>1</v>
      </c>
      <c r="D130" s="44" t="s">
        <v>224</v>
      </c>
      <c r="E130" s="44">
        <v>12</v>
      </c>
      <c r="F130" s="44" t="s">
        <v>2</v>
      </c>
      <c r="G130" s="43" t="str">
        <f>IFERROR(VLOOKUP(A130,'[1]MC Masterlist 2026-09-12'!$B:$M, 3, 0),"")</f>
        <v>HONDA</v>
      </c>
      <c r="H130" s="45">
        <f>IFERROR(VLOOKUP(A130,'[1]MC Masterlist 2026-09-12'!$B:$M, 6, 0),"")</f>
        <v>74550</v>
      </c>
      <c r="I130" s="46">
        <v>1</v>
      </c>
      <c r="J130" s="46">
        <v>2</v>
      </c>
      <c r="K130" s="46">
        <v>3</v>
      </c>
      <c r="L130" s="46">
        <f t="shared" si="15"/>
        <v>6</v>
      </c>
      <c r="M130" s="46">
        <f t="shared" si="16"/>
        <v>2</v>
      </c>
      <c r="N130" s="45">
        <f t="shared" si="17"/>
        <v>447300</v>
      </c>
      <c r="O130" s="45">
        <f t="shared" si="18"/>
        <v>149100</v>
      </c>
      <c r="P130" s="46">
        <f t="shared" si="19"/>
        <v>6.6666666666666666E-2</v>
      </c>
      <c r="Q130" s="46"/>
      <c r="R130" s="45">
        <f t="shared" si="20"/>
        <v>0</v>
      </c>
      <c r="S130" s="46">
        <f t="shared" si="21"/>
        <v>0</v>
      </c>
      <c r="T130" s="46">
        <f>IFERROR(VLOOKUP(A130,'[1]Re-order'!$A:$Q,17,0),"")</f>
        <v>33.652173913043477</v>
      </c>
      <c r="U130" s="46">
        <f>IFERROR(VLOOKUP(A130,'[1]MC Masterlist 2026-09-12'!$B:$M, 10, 0),0)</f>
        <v>15</v>
      </c>
      <c r="V130" s="46">
        <f>IFERROR(VLOOKUP(A130,'[1]MC Masterlist 2026-09-12'!$B:$M, 11, 0),0)</f>
        <v>15</v>
      </c>
      <c r="W130" s="46">
        <f t="shared" si="22"/>
        <v>30</v>
      </c>
      <c r="X130" s="46">
        <f t="shared" si="23"/>
        <v>6</v>
      </c>
      <c r="Y130" s="46">
        <f>IFERROR(IF(OR(C130="AREA I",C130="AREA V"),7,VLOOKUP(A130,'[1]MC Masterlist 2026-09-12'!$B:$M, 12, 0)),0)</f>
        <v>7</v>
      </c>
      <c r="Z130" s="46">
        <f t="shared" si="24"/>
        <v>1</v>
      </c>
      <c r="AA130" s="46">
        <f t="shared" si="25"/>
        <v>2</v>
      </c>
      <c r="AB130" s="46">
        <f t="shared" si="26"/>
        <v>0.4</v>
      </c>
      <c r="AC130" s="46">
        <f t="shared" si="27"/>
        <v>0.46666666666666667</v>
      </c>
      <c r="AD130" s="44" t="str">
        <f t="shared" si="28"/>
        <v>Stockout</v>
      </c>
      <c r="AE130" s="44" t="str">
        <f>IFERROR(VLOOKUP(A130,'[1]Re-order'!$A:$AA,27,0),"")</f>
        <v>Re-order</v>
      </c>
      <c r="AF130" s="46">
        <f t="shared" si="29"/>
        <v>0.46666666666666667</v>
      </c>
      <c r="AG130" s="46">
        <f>SUMIFS('[1]Raw Inventory'!D:D,'[1]Raw Inventory'!C:C,"GREATWALL",'[1]Raw Inventory'!B:B,A130)</f>
        <v>28</v>
      </c>
      <c r="AH130" s="46">
        <f>SUMIFS('[1]Raw Inventory'!D:D,'[1]Raw Inventory'!C:C,"DUARTE",'[1]Raw Inventory'!B:B,A130)</f>
        <v>0</v>
      </c>
      <c r="AI130" s="46"/>
      <c r="AJ130" s="46"/>
      <c r="AK130" s="43"/>
      <c r="AL130" s="43"/>
      <c r="AM130" s="43"/>
      <c r="AN130" s="43"/>
      <c r="AO130" s="43"/>
      <c r="AP130" s="43"/>
      <c r="AQ130" s="43"/>
      <c r="AR130" s="43"/>
      <c r="AS130" s="43"/>
      <c r="AT130" s="43"/>
    </row>
    <row r="131" spans="1:46">
      <c r="A131" s="43" t="s">
        <v>48</v>
      </c>
      <c r="B131" s="43" t="s">
        <v>5</v>
      </c>
      <c r="C131" s="43" t="s">
        <v>118</v>
      </c>
      <c r="D131" s="44" t="s">
        <v>265</v>
      </c>
      <c r="E131" s="44">
        <v>23</v>
      </c>
      <c r="F131" s="44" t="s">
        <v>3</v>
      </c>
      <c r="G131" s="43" t="str">
        <f>IFERROR(VLOOKUP(A131,'[1]MC Masterlist 2026-09-12'!$B:$M, 3, 0),"")</f>
        <v>SUZUKI</v>
      </c>
      <c r="H131" s="45">
        <f>IFERROR(VLOOKUP(A131,'[1]MC Masterlist 2026-09-12'!$B:$M, 6, 0),"")</f>
        <v>82687</v>
      </c>
      <c r="I131" s="46">
        <v>0</v>
      </c>
      <c r="J131" s="46">
        <v>0</v>
      </c>
      <c r="K131" s="46">
        <v>0</v>
      </c>
      <c r="L131" s="46">
        <f t="shared" ref="L131:L194" si="30">I131+J131+K131</f>
        <v>0</v>
      </c>
      <c r="M131" s="46">
        <f t="shared" ref="M131:M194" si="31">AVERAGE(I131,J131,K131)</f>
        <v>0</v>
      </c>
      <c r="N131" s="45">
        <f t="shared" ref="N131:N194" si="32">L131*H131</f>
        <v>0</v>
      </c>
      <c r="O131" s="45">
        <f t="shared" ref="O131:O194" si="33">M131*H131</f>
        <v>0</v>
      </c>
      <c r="P131" s="46">
        <f t="shared" ref="P131:P194" si="34">M131/30</f>
        <v>0</v>
      </c>
      <c r="Q131" s="46">
        <v>1</v>
      </c>
      <c r="R131" s="45">
        <f t="shared" ref="R131:R194" si="35">IFERROR(Q131*H131, 0)</f>
        <v>82687</v>
      </c>
      <c r="S131" s="46">
        <f t="shared" ref="S131:S194" si="36">IFERROR(R131/(O131)*30, 0)</f>
        <v>0</v>
      </c>
      <c r="T131" s="46">
        <f>IFERROR(VLOOKUP(A131,'[1]Re-order'!$A:$Q,17,0),"")</f>
        <v>303.75</v>
      </c>
      <c r="U131" s="46">
        <f>IFERROR(VLOOKUP(A131,'[1]MC Masterlist 2026-09-12'!$B:$M, 10, 0),0)</f>
        <v>15</v>
      </c>
      <c r="V131" s="46">
        <f>IFERROR(VLOOKUP(A131,'[1]MC Masterlist 2026-09-12'!$B:$M, 11, 0),0)</f>
        <v>15</v>
      </c>
      <c r="W131" s="46">
        <f t="shared" ref="W131:W194" si="37">U131+V131</f>
        <v>30</v>
      </c>
      <c r="X131" s="46">
        <f t="shared" ref="X131:X194" si="38">Y131-Z131</f>
        <v>30</v>
      </c>
      <c r="Y131" s="46">
        <f>IFERROR(IF(OR(C131="AREA I",C131="AREA V"),7,VLOOKUP(A131,'[1]MC Masterlist 2026-09-12'!$B:$M, 12, 0)),0)</f>
        <v>30</v>
      </c>
      <c r="Z131" s="46">
        <f t="shared" ref="Z131:Z194" si="39">V131*P131</f>
        <v>0</v>
      </c>
      <c r="AA131" s="46">
        <f t="shared" ref="AA131:AA194" si="40">W131*P131</f>
        <v>0</v>
      </c>
      <c r="AB131" s="46">
        <f t="shared" ref="AB131:AB194" si="41">X131*P131</f>
        <v>0</v>
      </c>
      <c r="AC131" s="46">
        <f t="shared" ref="AC131:AC194" si="42">Y131*P131</f>
        <v>0</v>
      </c>
      <c r="AD131" s="44" t="str">
        <f t="shared" ref="AD131:AD194" si="43">IFERROR(IF(Q131&gt;AC131, "Over", IF(Q131&lt;=Z131, "Stockout", IF(Q131&lt;=AA131, "Re-order",""))), "")</f>
        <v>Over</v>
      </c>
      <c r="AE131" s="44" t="str">
        <f>IFERROR(VLOOKUP(A131,'[1]Re-order'!$A:$AA,27,0),"")</f>
        <v>Over</v>
      </c>
      <c r="AF131" s="46">
        <f t="shared" ref="AF131:AF194" si="44">AC131-Q131</f>
        <v>-1</v>
      </c>
      <c r="AG131" s="46">
        <f>SUMIFS('[1]Raw Inventory'!D:D,'[1]Raw Inventory'!C:C,"GREATWALL",'[1]Raw Inventory'!B:B,A131)</f>
        <v>10</v>
      </c>
      <c r="AH131" s="46">
        <f>SUMIFS('[1]Raw Inventory'!D:D,'[1]Raw Inventory'!C:C,"DUARTE",'[1]Raw Inventory'!B:B,A131)</f>
        <v>0</v>
      </c>
      <c r="AI131" s="46"/>
      <c r="AJ131" s="46"/>
      <c r="AK131" s="43"/>
      <c r="AL131" s="43"/>
      <c r="AM131" s="43"/>
      <c r="AN131" s="43"/>
      <c r="AO131" s="43"/>
      <c r="AP131" s="43"/>
      <c r="AQ131" s="43"/>
      <c r="AR131" s="43"/>
      <c r="AS131" s="43"/>
      <c r="AT131" s="43"/>
    </row>
    <row r="132" spans="1:46">
      <c r="A132" s="43" t="s">
        <v>50</v>
      </c>
      <c r="B132" s="43" t="s">
        <v>111</v>
      </c>
      <c r="C132" s="43" t="s">
        <v>109</v>
      </c>
      <c r="D132" s="44" t="s">
        <v>257</v>
      </c>
      <c r="E132" s="44">
        <v>23</v>
      </c>
      <c r="F132" s="44" t="s">
        <v>3</v>
      </c>
      <c r="G132" s="43" t="str">
        <f>IFERROR(VLOOKUP(A132,'[1]MC Masterlist 2026-09-12'!$B:$M, 3, 0),"")</f>
        <v>YAMAHA</v>
      </c>
      <c r="H132" s="45">
        <f>IFERROR(VLOOKUP(A132,'[1]MC Masterlist 2026-09-12'!$B:$M, 6, 0),"")</f>
        <v>78957</v>
      </c>
      <c r="I132" s="46">
        <v>0</v>
      </c>
      <c r="J132" s="46">
        <v>1</v>
      </c>
      <c r="K132" s="46">
        <v>0</v>
      </c>
      <c r="L132" s="46">
        <f t="shared" si="30"/>
        <v>1</v>
      </c>
      <c r="M132" s="46">
        <f t="shared" si="31"/>
        <v>0.33333333333333331</v>
      </c>
      <c r="N132" s="45">
        <f t="shared" si="32"/>
        <v>78957</v>
      </c>
      <c r="O132" s="45">
        <f t="shared" si="33"/>
        <v>26319</v>
      </c>
      <c r="P132" s="46">
        <f t="shared" si="34"/>
        <v>1.111111111111111E-2</v>
      </c>
      <c r="Q132" s="46"/>
      <c r="R132" s="45">
        <f t="shared" si="35"/>
        <v>0</v>
      </c>
      <c r="S132" s="46">
        <f t="shared" si="36"/>
        <v>0</v>
      </c>
      <c r="T132" s="46">
        <f>IFERROR(VLOOKUP(A132,'[1]Re-order'!$A:$Q,17,0),"")</f>
        <v>118.125</v>
      </c>
      <c r="U132" s="46">
        <f>IFERROR(VLOOKUP(A132,'[1]MC Masterlist 2026-09-12'!$B:$M, 10, 0),0)</f>
        <v>15</v>
      </c>
      <c r="V132" s="46">
        <f>IFERROR(VLOOKUP(A132,'[1]MC Masterlist 2026-09-12'!$B:$M, 11, 0),0)</f>
        <v>15</v>
      </c>
      <c r="W132" s="46">
        <f t="shared" si="37"/>
        <v>30</v>
      </c>
      <c r="X132" s="46">
        <f t="shared" si="38"/>
        <v>29.833333333333332</v>
      </c>
      <c r="Y132" s="46">
        <f>IFERROR(IF(OR(C132="AREA I",C132="AREA V"),7,VLOOKUP(A132,'[1]MC Masterlist 2026-09-12'!$B:$M, 12, 0)),0)</f>
        <v>30</v>
      </c>
      <c r="Z132" s="46">
        <f t="shared" si="39"/>
        <v>0.16666666666666666</v>
      </c>
      <c r="AA132" s="46">
        <f t="shared" si="40"/>
        <v>0.33333333333333331</v>
      </c>
      <c r="AB132" s="46">
        <f t="shared" si="41"/>
        <v>0.33148148148148143</v>
      </c>
      <c r="AC132" s="46">
        <f t="shared" si="42"/>
        <v>0.33333333333333331</v>
      </c>
      <c r="AD132" s="44" t="str">
        <f t="shared" si="43"/>
        <v>Stockout</v>
      </c>
      <c r="AE132" s="44" t="str">
        <f>IFERROR(VLOOKUP(A132,'[1]Re-order'!$A:$AA,27,0),"")</f>
        <v>Over</v>
      </c>
      <c r="AF132" s="46">
        <f t="shared" si="44"/>
        <v>0.33333333333333331</v>
      </c>
      <c r="AG132" s="46">
        <f>SUMIFS('[1]Raw Inventory'!D:D,'[1]Raw Inventory'!C:C,"GREATWALL",'[1]Raw Inventory'!B:B,A132)</f>
        <v>23</v>
      </c>
      <c r="AH132" s="46">
        <f>SUMIFS('[1]Raw Inventory'!D:D,'[1]Raw Inventory'!C:C,"DUARTE",'[1]Raw Inventory'!B:B,A132)</f>
        <v>0</v>
      </c>
      <c r="AI132" s="46"/>
      <c r="AJ132" s="46"/>
      <c r="AK132" s="43"/>
      <c r="AL132" s="43"/>
      <c r="AM132" s="43"/>
      <c r="AN132" s="43"/>
      <c r="AO132" s="43"/>
      <c r="AP132" s="43"/>
      <c r="AQ132" s="43"/>
      <c r="AR132" s="43"/>
      <c r="AS132" s="43"/>
      <c r="AT132" s="43"/>
    </row>
    <row r="133" spans="1:46">
      <c r="A133" s="43" t="s">
        <v>36</v>
      </c>
      <c r="B133" s="43" t="s">
        <v>123</v>
      </c>
      <c r="C133" s="43" t="s">
        <v>118</v>
      </c>
      <c r="D133" s="44" t="s">
        <v>265</v>
      </c>
      <c r="E133" s="44">
        <v>25</v>
      </c>
      <c r="F133" s="44" t="s">
        <v>3</v>
      </c>
      <c r="G133" s="43" t="str">
        <f>IFERROR(VLOOKUP(A133,'[1]MC Masterlist 2026-09-12'!$B:$M, 3, 0),"")</f>
        <v>HONDA</v>
      </c>
      <c r="H133" s="45">
        <f>IFERROR(VLOOKUP(A133,'[1]MC Masterlist 2026-09-12'!$B:$M, 6, 0),"")</f>
        <v>76850</v>
      </c>
      <c r="I133" s="46">
        <v>0</v>
      </c>
      <c r="J133" s="46">
        <v>0</v>
      </c>
      <c r="K133" s="46">
        <v>0</v>
      </c>
      <c r="L133" s="46">
        <f t="shared" si="30"/>
        <v>0</v>
      </c>
      <c r="M133" s="46">
        <f t="shared" si="31"/>
        <v>0</v>
      </c>
      <c r="N133" s="45">
        <f t="shared" si="32"/>
        <v>0</v>
      </c>
      <c r="O133" s="45">
        <f t="shared" si="33"/>
        <v>0</v>
      </c>
      <c r="P133" s="46">
        <f t="shared" si="34"/>
        <v>0</v>
      </c>
      <c r="Q133" s="46">
        <v>1</v>
      </c>
      <c r="R133" s="45">
        <f t="shared" si="35"/>
        <v>76850</v>
      </c>
      <c r="S133" s="46">
        <f t="shared" si="36"/>
        <v>0</v>
      </c>
      <c r="T133" s="46">
        <f>IFERROR(VLOOKUP(A133,'[1]Re-order'!$A:$Q,17,0),"")</f>
        <v>137.24999999999997</v>
      </c>
      <c r="U133" s="46">
        <f>IFERROR(VLOOKUP(A133,'[1]MC Masterlist 2026-09-12'!$B:$M, 10, 0),0)</f>
        <v>15</v>
      </c>
      <c r="V133" s="46">
        <f>IFERROR(VLOOKUP(A133,'[1]MC Masterlist 2026-09-12'!$B:$M, 11, 0),0)</f>
        <v>15</v>
      </c>
      <c r="W133" s="46">
        <f t="shared" si="37"/>
        <v>30</v>
      </c>
      <c r="X133" s="46">
        <f t="shared" si="38"/>
        <v>30</v>
      </c>
      <c r="Y133" s="46">
        <f>IFERROR(IF(OR(C133="AREA I",C133="AREA V"),7,VLOOKUP(A133,'[1]MC Masterlist 2026-09-12'!$B:$M, 12, 0)),0)</f>
        <v>30</v>
      </c>
      <c r="Z133" s="46">
        <f t="shared" si="39"/>
        <v>0</v>
      </c>
      <c r="AA133" s="46">
        <f t="shared" si="40"/>
        <v>0</v>
      </c>
      <c r="AB133" s="46">
        <f t="shared" si="41"/>
        <v>0</v>
      </c>
      <c r="AC133" s="46">
        <f t="shared" si="42"/>
        <v>0</v>
      </c>
      <c r="AD133" s="44" t="str">
        <f t="shared" si="43"/>
        <v>Over</v>
      </c>
      <c r="AE133" s="44" t="str">
        <f>IFERROR(VLOOKUP(A133,'[1]Re-order'!$A:$AA,27,0),"")</f>
        <v>Over</v>
      </c>
      <c r="AF133" s="46">
        <f t="shared" si="44"/>
        <v>-1</v>
      </c>
      <c r="AG133" s="46">
        <f>SUMIFS('[1]Raw Inventory'!D:D,'[1]Raw Inventory'!C:C,"GREATWALL",'[1]Raw Inventory'!B:B,A133)</f>
        <v>18</v>
      </c>
      <c r="AH133" s="46">
        <f>SUMIFS('[1]Raw Inventory'!D:D,'[1]Raw Inventory'!C:C,"DUARTE",'[1]Raw Inventory'!B:B,A133)</f>
        <v>0</v>
      </c>
      <c r="AI133" s="46"/>
      <c r="AJ133" s="46"/>
      <c r="AK133" s="43"/>
      <c r="AL133" s="43"/>
      <c r="AM133" s="43"/>
      <c r="AN133" s="43"/>
      <c r="AO133" s="43"/>
      <c r="AP133" s="43"/>
      <c r="AQ133" s="43"/>
      <c r="AR133" s="43"/>
      <c r="AS133" s="43"/>
      <c r="AT133" s="43"/>
    </row>
    <row r="134" spans="1:46">
      <c r="A134" s="43" t="s">
        <v>63</v>
      </c>
      <c r="B134" s="43" t="s">
        <v>114</v>
      </c>
      <c r="C134" s="43" t="s">
        <v>109</v>
      </c>
      <c r="D134" s="44" t="s">
        <v>221</v>
      </c>
      <c r="E134" s="44">
        <v>21</v>
      </c>
      <c r="F134" s="44" t="s">
        <v>3</v>
      </c>
      <c r="G134" s="43" t="str">
        <f>IFERROR(VLOOKUP(A134,'[1]MC Masterlist 2026-09-12'!$B:$M, 3, 0),"")</f>
        <v>HONDA</v>
      </c>
      <c r="H134" s="45">
        <f>IFERROR(VLOOKUP(A134,'[1]MC Masterlist 2026-09-12'!$B:$M, 6, 0),"")</f>
        <v>125150</v>
      </c>
      <c r="I134" s="46">
        <v>1</v>
      </c>
      <c r="J134" s="46">
        <v>0</v>
      </c>
      <c r="K134" s="46">
        <v>0</v>
      </c>
      <c r="L134" s="46">
        <f t="shared" si="30"/>
        <v>1</v>
      </c>
      <c r="M134" s="46">
        <f t="shared" si="31"/>
        <v>0.33333333333333331</v>
      </c>
      <c r="N134" s="45">
        <f t="shared" si="32"/>
        <v>125150</v>
      </c>
      <c r="O134" s="45">
        <f t="shared" si="33"/>
        <v>41716.666666666664</v>
      </c>
      <c r="P134" s="46">
        <f t="shared" si="34"/>
        <v>1.111111111111111E-2</v>
      </c>
      <c r="Q134" s="46"/>
      <c r="R134" s="45">
        <f t="shared" si="35"/>
        <v>0</v>
      </c>
      <c r="S134" s="46">
        <f t="shared" si="36"/>
        <v>0</v>
      </c>
      <c r="T134" s="46">
        <f>IFERROR(VLOOKUP(A134,'[1]Re-order'!$A:$Q,17,0),"")</f>
        <v>0</v>
      </c>
      <c r="U134" s="46">
        <f>IFERROR(VLOOKUP(A134,'[1]MC Masterlist 2026-09-12'!$B:$M, 10, 0),0)</f>
        <v>15</v>
      </c>
      <c r="V134" s="46">
        <f>IFERROR(VLOOKUP(A134,'[1]MC Masterlist 2026-09-12'!$B:$M, 11, 0),0)</f>
        <v>15</v>
      </c>
      <c r="W134" s="46">
        <f t="shared" si="37"/>
        <v>30</v>
      </c>
      <c r="X134" s="46">
        <f t="shared" si="38"/>
        <v>29.833333333333332</v>
      </c>
      <c r="Y134" s="46">
        <f>IFERROR(IF(OR(C134="AREA I",C134="AREA V"),7,VLOOKUP(A134,'[1]MC Masterlist 2026-09-12'!$B:$M, 12, 0)),0)</f>
        <v>30</v>
      </c>
      <c r="Z134" s="46">
        <f t="shared" si="39"/>
        <v>0.16666666666666666</v>
      </c>
      <c r="AA134" s="46">
        <f t="shared" si="40"/>
        <v>0.33333333333333331</v>
      </c>
      <c r="AB134" s="46">
        <f t="shared" si="41"/>
        <v>0.33148148148148143</v>
      </c>
      <c r="AC134" s="46">
        <f t="shared" si="42"/>
        <v>0.33333333333333331</v>
      </c>
      <c r="AD134" s="44" t="str">
        <f t="shared" si="43"/>
        <v>Stockout</v>
      </c>
      <c r="AE134" s="44" t="str">
        <f>IFERROR(VLOOKUP(A134,'[1]Re-order'!$A:$AA,27,0),"")</f>
        <v>Stockout</v>
      </c>
      <c r="AF134" s="46">
        <f t="shared" si="44"/>
        <v>0.33333333333333331</v>
      </c>
      <c r="AG134" s="46">
        <f>SUMIFS('[1]Raw Inventory'!D:D,'[1]Raw Inventory'!C:C,"GREATWALL",'[1]Raw Inventory'!B:B,A134)</f>
        <v>0</v>
      </c>
      <c r="AH134" s="46">
        <f>SUMIFS('[1]Raw Inventory'!D:D,'[1]Raw Inventory'!C:C,"DUARTE",'[1]Raw Inventory'!B:B,A134)</f>
        <v>0</v>
      </c>
      <c r="AI134" s="46"/>
      <c r="AJ134" s="46"/>
      <c r="AK134" s="43"/>
      <c r="AL134" s="43"/>
      <c r="AM134" s="43"/>
      <c r="AN134" s="43"/>
      <c r="AO134" s="43"/>
      <c r="AP134" s="43"/>
      <c r="AQ134" s="43"/>
      <c r="AR134" s="43"/>
      <c r="AS134" s="43"/>
      <c r="AT134" s="43"/>
    </row>
    <row r="135" spans="1:46">
      <c r="A135" s="43" t="s">
        <v>36</v>
      </c>
      <c r="B135" s="43" t="s">
        <v>155</v>
      </c>
      <c r="C135" s="43" t="s">
        <v>152</v>
      </c>
      <c r="D135" s="44" t="s">
        <v>221</v>
      </c>
      <c r="E135" s="44">
        <v>21</v>
      </c>
      <c r="F135" s="44" t="s">
        <v>3</v>
      </c>
      <c r="G135" s="43" t="str">
        <f>IFERROR(VLOOKUP(A135,'[1]MC Masterlist 2026-09-12'!$B:$M, 3, 0),"")</f>
        <v>HONDA</v>
      </c>
      <c r="H135" s="45">
        <f>IFERROR(VLOOKUP(A135,'[1]MC Masterlist 2026-09-12'!$B:$M, 6, 0),"")</f>
        <v>76850</v>
      </c>
      <c r="I135" s="46">
        <v>1</v>
      </c>
      <c r="J135" s="46">
        <v>0</v>
      </c>
      <c r="K135" s="46">
        <v>0</v>
      </c>
      <c r="L135" s="46">
        <f t="shared" si="30"/>
        <v>1</v>
      </c>
      <c r="M135" s="46">
        <f t="shared" si="31"/>
        <v>0.33333333333333331</v>
      </c>
      <c r="N135" s="45">
        <f t="shared" si="32"/>
        <v>76850</v>
      </c>
      <c r="O135" s="45">
        <f t="shared" si="33"/>
        <v>25616.666666666664</v>
      </c>
      <c r="P135" s="46">
        <f t="shared" si="34"/>
        <v>1.111111111111111E-2</v>
      </c>
      <c r="Q135" s="46">
        <v>2</v>
      </c>
      <c r="R135" s="45">
        <f t="shared" si="35"/>
        <v>153700</v>
      </c>
      <c r="S135" s="46">
        <f t="shared" si="36"/>
        <v>180.00000000000003</v>
      </c>
      <c r="T135" s="46">
        <f>IFERROR(VLOOKUP(A135,'[1]Re-order'!$A:$Q,17,0),"")</f>
        <v>137.24999999999997</v>
      </c>
      <c r="U135" s="46">
        <f>IFERROR(VLOOKUP(A135,'[1]MC Masterlist 2026-09-12'!$B:$M, 10, 0),0)</f>
        <v>15</v>
      </c>
      <c r="V135" s="46">
        <f>IFERROR(VLOOKUP(A135,'[1]MC Masterlist 2026-09-12'!$B:$M, 11, 0),0)</f>
        <v>15</v>
      </c>
      <c r="W135" s="46">
        <f t="shared" si="37"/>
        <v>30</v>
      </c>
      <c r="X135" s="46">
        <f t="shared" si="38"/>
        <v>29.833333333333332</v>
      </c>
      <c r="Y135" s="46">
        <f>IFERROR(IF(OR(C135="AREA I",C135="AREA V"),7,VLOOKUP(A135,'[1]MC Masterlist 2026-09-12'!$B:$M, 12, 0)),0)</f>
        <v>30</v>
      </c>
      <c r="Z135" s="46">
        <f t="shared" si="39"/>
        <v>0.16666666666666666</v>
      </c>
      <c r="AA135" s="46">
        <f t="shared" si="40"/>
        <v>0.33333333333333331</v>
      </c>
      <c r="AB135" s="46">
        <f t="shared" si="41"/>
        <v>0.33148148148148143</v>
      </c>
      <c r="AC135" s="46">
        <f t="shared" si="42"/>
        <v>0.33333333333333331</v>
      </c>
      <c r="AD135" s="44" t="str">
        <f t="shared" si="43"/>
        <v>Over</v>
      </c>
      <c r="AE135" s="44" t="str">
        <f>IFERROR(VLOOKUP(A135,'[1]Re-order'!$A:$AA,27,0),"")</f>
        <v>Over</v>
      </c>
      <c r="AF135" s="46">
        <f t="shared" si="44"/>
        <v>-1.6666666666666667</v>
      </c>
      <c r="AG135" s="46">
        <f>SUMIFS('[1]Raw Inventory'!D:D,'[1]Raw Inventory'!C:C,"GREATWALL",'[1]Raw Inventory'!B:B,A135)</f>
        <v>18</v>
      </c>
      <c r="AH135" s="46">
        <f>SUMIFS('[1]Raw Inventory'!D:D,'[1]Raw Inventory'!C:C,"DUARTE",'[1]Raw Inventory'!B:B,A135)</f>
        <v>0</v>
      </c>
      <c r="AI135" s="46"/>
      <c r="AJ135" s="46"/>
      <c r="AK135" s="43"/>
      <c r="AL135" s="43"/>
      <c r="AM135" s="43"/>
      <c r="AN135" s="43"/>
      <c r="AO135" s="43"/>
      <c r="AP135" s="43"/>
      <c r="AQ135" s="43"/>
      <c r="AR135" s="43"/>
      <c r="AS135" s="43"/>
      <c r="AT135" s="43"/>
    </row>
    <row r="136" spans="1:46">
      <c r="A136" s="43" t="s">
        <v>26</v>
      </c>
      <c r="B136" s="43" t="s">
        <v>156</v>
      </c>
      <c r="C136" s="43" t="s">
        <v>152</v>
      </c>
      <c r="D136" s="44" t="s">
        <v>255</v>
      </c>
      <c r="E136" s="44">
        <v>9</v>
      </c>
      <c r="F136" s="44" t="s">
        <v>2</v>
      </c>
      <c r="G136" s="43" t="str">
        <f>IFERROR(VLOOKUP(A136,'[1]MC Masterlist 2026-09-12'!$B:$M, 3, 0),"")</f>
        <v>SUZUKI</v>
      </c>
      <c r="H136" s="45">
        <f>IFERROR(VLOOKUP(A136,'[1]MC Masterlist 2026-09-12'!$B:$M, 6, 0),"")</f>
        <v>123700</v>
      </c>
      <c r="I136" s="46">
        <v>1</v>
      </c>
      <c r="J136" s="46">
        <v>0</v>
      </c>
      <c r="K136" s="46">
        <v>1</v>
      </c>
      <c r="L136" s="46">
        <f t="shared" si="30"/>
        <v>2</v>
      </c>
      <c r="M136" s="46">
        <f t="shared" si="31"/>
        <v>0.66666666666666663</v>
      </c>
      <c r="N136" s="45">
        <f t="shared" si="32"/>
        <v>247400</v>
      </c>
      <c r="O136" s="45">
        <f t="shared" si="33"/>
        <v>82466.666666666657</v>
      </c>
      <c r="P136" s="46">
        <f t="shared" si="34"/>
        <v>2.222222222222222E-2</v>
      </c>
      <c r="Q136" s="46">
        <v>1</v>
      </c>
      <c r="R136" s="45">
        <f t="shared" si="35"/>
        <v>123700</v>
      </c>
      <c r="S136" s="46">
        <f t="shared" si="36"/>
        <v>45.000000000000007</v>
      </c>
      <c r="T136" s="46">
        <f>IFERROR(VLOOKUP(A136,'[1]Re-order'!$A:$Q,17,0),"")</f>
        <v>71.470588235294116</v>
      </c>
      <c r="U136" s="46">
        <f>IFERROR(VLOOKUP(A136,'[1]MC Masterlist 2026-09-12'!$B:$M, 10, 0),0)</f>
        <v>15</v>
      </c>
      <c r="V136" s="46">
        <f>IFERROR(VLOOKUP(A136,'[1]MC Masterlist 2026-09-12'!$B:$M, 11, 0),0)</f>
        <v>15</v>
      </c>
      <c r="W136" s="46">
        <f t="shared" si="37"/>
        <v>30</v>
      </c>
      <c r="X136" s="46">
        <f t="shared" si="38"/>
        <v>29.666666666666668</v>
      </c>
      <c r="Y136" s="46">
        <f>IFERROR(IF(OR(C136="AREA I",C136="AREA V"),7,VLOOKUP(A136,'[1]MC Masterlist 2026-09-12'!$B:$M, 12, 0)),0)</f>
        <v>30</v>
      </c>
      <c r="Z136" s="46">
        <f t="shared" si="39"/>
        <v>0.33333333333333331</v>
      </c>
      <c r="AA136" s="46">
        <f t="shared" si="40"/>
        <v>0.66666666666666663</v>
      </c>
      <c r="AB136" s="46">
        <f t="shared" si="41"/>
        <v>0.65925925925925921</v>
      </c>
      <c r="AC136" s="46">
        <f t="shared" si="42"/>
        <v>0.66666666666666663</v>
      </c>
      <c r="AD136" s="44" t="str">
        <f t="shared" si="43"/>
        <v>Over</v>
      </c>
      <c r="AE136" s="44" t="str">
        <f>IFERROR(VLOOKUP(A136,'[1]Re-order'!$A:$AA,27,0),"")</f>
        <v>Re-order</v>
      </c>
      <c r="AF136" s="46">
        <f t="shared" si="44"/>
        <v>-0.33333333333333337</v>
      </c>
      <c r="AG136" s="46">
        <f>SUMIFS('[1]Raw Inventory'!D:D,'[1]Raw Inventory'!C:C,"GREATWALL",'[1]Raw Inventory'!B:B,A136)</f>
        <v>30</v>
      </c>
      <c r="AH136" s="46">
        <f>SUMIFS('[1]Raw Inventory'!D:D,'[1]Raw Inventory'!C:C,"DUARTE",'[1]Raw Inventory'!B:B,A136)</f>
        <v>0</v>
      </c>
      <c r="AI136" s="46"/>
      <c r="AJ136" s="46"/>
      <c r="AK136" s="43"/>
      <c r="AL136" s="43"/>
      <c r="AM136" s="43"/>
      <c r="AN136" s="43"/>
      <c r="AO136" s="43"/>
      <c r="AP136" s="43"/>
      <c r="AQ136" s="43"/>
      <c r="AR136" s="43"/>
      <c r="AS136" s="43"/>
      <c r="AT136" s="43"/>
    </row>
    <row r="137" spans="1:46">
      <c r="A137" s="43" t="s">
        <v>49</v>
      </c>
      <c r="B137" s="43" t="s">
        <v>114</v>
      </c>
      <c r="C137" s="43" t="s">
        <v>109</v>
      </c>
      <c r="D137" s="44" t="s">
        <v>227</v>
      </c>
      <c r="E137" s="44">
        <v>1</v>
      </c>
      <c r="F137" s="44" t="s">
        <v>0</v>
      </c>
      <c r="G137" s="43" t="str">
        <f>IFERROR(VLOOKUP(A137,'[1]MC Masterlist 2026-09-12'!$B:$M, 3, 0),"")</f>
        <v>BAJAJ RE</v>
      </c>
      <c r="H137" s="45">
        <f>IFERROR(VLOOKUP(A137,'[1]MC Masterlist 2026-09-12'!$B:$M, 6, 0),"")</f>
        <v>191000</v>
      </c>
      <c r="I137" s="46">
        <v>8</v>
      </c>
      <c r="J137" s="46">
        <v>16</v>
      </c>
      <c r="K137" s="46">
        <v>16</v>
      </c>
      <c r="L137" s="46">
        <f t="shared" si="30"/>
        <v>40</v>
      </c>
      <c r="M137" s="46">
        <f t="shared" si="31"/>
        <v>13.333333333333334</v>
      </c>
      <c r="N137" s="45">
        <f t="shared" si="32"/>
        <v>7640000</v>
      </c>
      <c r="O137" s="45">
        <f t="shared" si="33"/>
        <v>2546666.666666667</v>
      </c>
      <c r="P137" s="46">
        <f t="shared" si="34"/>
        <v>0.44444444444444448</v>
      </c>
      <c r="Q137" s="46">
        <v>4</v>
      </c>
      <c r="R137" s="45">
        <f t="shared" si="35"/>
        <v>764000</v>
      </c>
      <c r="S137" s="46">
        <f t="shared" si="36"/>
        <v>9</v>
      </c>
      <c r="T137" s="46">
        <f>IFERROR(VLOOKUP(A137,'[1]Re-order'!$A:$Q,17,0),"")</f>
        <v>21.516709511568124</v>
      </c>
      <c r="U137" s="46">
        <f>IFERROR(VLOOKUP(A137,'[1]MC Masterlist 2026-09-12'!$B:$M, 10, 0),0)</f>
        <v>15</v>
      </c>
      <c r="V137" s="46">
        <f>IFERROR(VLOOKUP(A137,'[1]MC Masterlist 2026-09-12'!$B:$M, 11, 0),0)</f>
        <v>15</v>
      </c>
      <c r="W137" s="46">
        <f t="shared" si="37"/>
        <v>30</v>
      </c>
      <c r="X137" s="46">
        <f t="shared" si="38"/>
        <v>23.333333333333332</v>
      </c>
      <c r="Y137" s="46">
        <f>IFERROR(IF(OR(C137="AREA I",C137="AREA V"),7,VLOOKUP(A137,'[1]MC Masterlist 2026-09-12'!$B:$M, 12, 0)),0)</f>
        <v>30</v>
      </c>
      <c r="Z137" s="46">
        <f t="shared" si="39"/>
        <v>6.666666666666667</v>
      </c>
      <c r="AA137" s="46">
        <f t="shared" si="40"/>
        <v>13.333333333333334</v>
      </c>
      <c r="AB137" s="46">
        <f t="shared" si="41"/>
        <v>10.37037037037037</v>
      </c>
      <c r="AC137" s="46">
        <f t="shared" si="42"/>
        <v>13.333333333333334</v>
      </c>
      <c r="AD137" s="44" t="str">
        <f t="shared" si="43"/>
        <v>Stockout</v>
      </c>
      <c r="AE137" s="44" t="str">
        <f>IFERROR(VLOOKUP(A137,'[1]Re-order'!$A:$AA,27,0),"")</f>
        <v>Stockout</v>
      </c>
      <c r="AF137" s="46">
        <f t="shared" si="44"/>
        <v>9.3333333333333339</v>
      </c>
      <c r="AG137" s="46">
        <f>SUMIFS('[1]Raw Inventory'!D:D,'[1]Raw Inventory'!C:C,"GREATWALL",'[1]Raw Inventory'!B:B,A137)</f>
        <v>0</v>
      </c>
      <c r="AH137" s="46">
        <f>SUMIFS('[1]Raw Inventory'!D:D,'[1]Raw Inventory'!C:C,"DUARTE",'[1]Raw Inventory'!B:B,A137)</f>
        <v>0</v>
      </c>
      <c r="AI137" s="46"/>
      <c r="AJ137" s="46"/>
      <c r="AK137" s="43"/>
      <c r="AL137" s="43"/>
      <c r="AM137" s="43"/>
      <c r="AN137" s="43"/>
      <c r="AO137" s="43"/>
      <c r="AP137" s="43"/>
      <c r="AQ137" s="43"/>
      <c r="AR137" s="43"/>
      <c r="AS137" s="43"/>
      <c r="AT137" s="43"/>
    </row>
    <row r="138" spans="1:46">
      <c r="A138" s="43" t="s">
        <v>22</v>
      </c>
      <c r="B138" s="43" t="s">
        <v>145</v>
      </c>
      <c r="C138" s="43" t="s">
        <v>137</v>
      </c>
      <c r="D138" s="44" t="s">
        <v>234</v>
      </c>
      <c r="E138" s="44">
        <v>4</v>
      </c>
      <c r="F138" s="44" t="s">
        <v>0</v>
      </c>
      <c r="G138" s="43" t="str">
        <f>IFERROR(VLOOKUP(A138,'[1]MC Masterlist 2026-09-12'!$B:$M, 3, 0),"")</f>
        <v>HONDA</v>
      </c>
      <c r="H138" s="45">
        <f>IFERROR(VLOOKUP(A138,'[1]MC Masterlist 2026-09-12'!$B:$M, 6, 0),"")</f>
        <v>111258</v>
      </c>
      <c r="I138" s="46">
        <v>1</v>
      </c>
      <c r="J138" s="46">
        <v>2</v>
      </c>
      <c r="K138" s="46">
        <v>1</v>
      </c>
      <c r="L138" s="46">
        <f t="shared" si="30"/>
        <v>4</v>
      </c>
      <c r="M138" s="46">
        <f t="shared" si="31"/>
        <v>1.3333333333333333</v>
      </c>
      <c r="N138" s="45">
        <f t="shared" si="32"/>
        <v>445032</v>
      </c>
      <c r="O138" s="45">
        <f t="shared" si="33"/>
        <v>148344</v>
      </c>
      <c r="P138" s="46">
        <f t="shared" si="34"/>
        <v>4.4444444444444439E-2</v>
      </c>
      <c r="Q138" s="46">
        <v>2</v>
      </c>
      <c r="R138" s="45">
        <f t="shared" si="35"/>
        <v>222516</v>
      </c>
      <c r="S138" s="46">
        <f t="shared" si="36"/>
        <v>45</v>
      </c>
      <c r="T138" s="46">
        <f>IFERROR(VLOOKUP(A138,'[1]Re-order'!$A:$Q,17,0),"")</f>
        <v>41.339712918660283</v>
      </c>
      <c r="U138" s="46">
        <f>IFERROR(VLOOKUP(A138,'[1]MC Masterlist 2026-09-12'!$B:$M, 10, 0),0)</f>
        <v>15</v>
      </c>
      <c r="V138" s="46">
        <f>IFERROR(VLOOKUP(A138,'[1]MC Masterlist 2026-09-12'!$B:$M, 11, 0),0)</f>
        <v>15</v>
      </c>
      <c r="W138" s="46">
        <f t="shared" si="37"/>
        <v>30</v>
      </c>
      <c r="X138" s="46">
        <f t="shared" si="38"/>
        <v>6.333333333333333</v>
      </c>
      <c r="Y138" s="46">
        <f>IFERROR(IF(OR(C138="AREA I",C138="AREA V"),7,VLOOKUP(A138,'[1]MC Masterlist 2026-09-12'!$B:$M, 12, 0)),0)</f>
        <v>7</v>
      </c>
      <c r="Z138" s="46">
        <f t="shared" si="39"/>
        <v>0.66666666666666663</v>
      </c>
      <c r="AA138" s="46">
        <f t="shared" si="40"/>
        <v>1.3333333333333333</v>
      </c>
      <c r="AB138" s="46">
        <f t="shared" si="41"/>
        <v>0.28148148148148144</v>
      </c>
      <c r="AC138" s="46">
        <f t="shared" si="42"/>
        <v>0.31111111111111106</v>
      </c>
      <c r="AD138" s="44" t="str">
        <f t="shared" si="43"/>
        <v>Over</v>
      </c>
      <c r="AE138" s="44" t="str">
        <f>IFERROR(VLOOKUP(A138,'[1]Re-order'!$A:$AA,27,0),"")</f>
        <v>Re-order</v>
      </c>
      <c r="AF138" s="46">
        <f t="shared" si="44"/>
        <v>-1.6888888888888889</v>
      </c>
      <c r="AG138" s="46">
        <f>SUMIFS('[1]Raw Inventory'!D:D,'[1]Raw Inventory'!C:C,"GREATWALL",'[1]Raw Inventory'!B:B,A138)</f>
        <v>4</v>
      </c>
      <c r="AH138" s="46">
        <f>SUMIFS('[1]Raw Inventory'!D:D,'[1]Raw Inventory'!C:C,"DUARTE",'[1]Raw Inventory'!B:B,A138)</f>
        <v>0</v>
      </c>
      <c r="AI138" s="46"/>
      <c r="AJ138" s="46"/>
      <c r="AK138" s="43"/>
      <c r="AL138" s="43"/>
      <c r="AM138" s="43"/>
      <c r="AN138" s="43"/>
      <c r="AO138" s="43"/>
      <c r="AP138" s="43"/>
      <c r="AQ138" s="43"/>
      <c r="AR138" s="43"/>
      <c r="AS138" s="43"/>
      <c r="AT138" s="43"/>
    </row>
    <row r="139" spans="1:46">
      <c r="A139" s="43" t="s">
        <v>83</v>
      </c>
      <c r="B139" s="43" t="s">
        <v>29</v>
      </c>
      <c r="C139" s="43" t="s">
        <v>1</v>
      </c>
      <c r="D139" s="44" t="s">
        <v>232</v>
      </c>
      <c r="E139" s="44">
        <v>37</v>
      </c>
      <c r="F139" s="44" t="s">
        <v>3</v>
      </c>
      <c r="G139" s="43" t="str">
        <f>IFERROR(VLOOKUP(A139,'[1]MC Masterlist 2026-09-12'!$B:$M, 3, 0),"")</f>
        <v>SKYGO</v>
      </c>
      <c r="H139" s="45">
        <f>IFERROR(VLOOKUP(A139,'[1]MC Masterlist 2026-09-12'!$B:$M, 6, 0),"")</f>
        <v>35055</v>
      </c>
      <c r="I139" s="46">
        <v>0</v>
      </c>
      <c r="J139" s="46">
        <v>0</v>
      </c>
      <c r="K139" s="46">
        <v>1</v>
      </c>
      <c r="L139" s="46">
        <f t="shared" si="30"/>
        <v>1</v>
      </c>
      <c r="M139" s="46">
        <f t="shared" si="31"/>
        <v>0.33333333333333331</v>
      </c>
      <c r="N139" s="45">
        <f t="shared" si="32"/>
        <v>35055</v>
      </c>
      <c r="O139" s="45">
        <f t="shared" si="33"/>
        <v>11685</v>
      </c>
      <c r="P139" s="46">
        <f t="shared" si="34"/>
        <v>1.111111111111111E-2</v>
      </c>
      <c r="Q139" s="46">
        <v>3</v>
      </c>
      <c r="R139" s="45">
        <f t="shared" si="35"/>
        <v>105165</v>
      </c>
      <c r="S139" s="46">
        <f t="shared" si="36"/>
        <v>270</v>
      </c>
      <c r="T139" s="46">
        <f>IFERROR(VLOOKUP(A139,'[1]Re-order'!$A:$Q,17,0),"")</f>
        <v>313.2</v>
      </c>
      <c r="U139" s="46">
        <f>IFERROR(VLOOKUP(A139,'[1]MC Masterlist 2026-09-12'!$B:$M, 10, 0),0)</f>
        <v>15</v>
      </c>
      <c r="V139" s="46">
        <f>IFERROR(VLOOKUP(A139,'[1]MC Masterlist 2026-09-12'!$B:$M, 11, 0),0)</f>
        <v>15</v>
      </c>
      <c r="W139" s="46">
        <f t="shared" si="37"/>
        <v>30</v>
      </c>
      <c r="X139" s="46">
        <f t="shared" si="38"/>
        <v>6.833333333333333</v>
      </c>
      <c r="Y139" s="46">
        <f>IFERROR(IF(OR(C139="AREA I",C139="AREA V"),7,VLOOKUP(A139,'[1]MC Masterlist 2026-09-12'!$B:$M, 12, 0)),0)</f>
        <v>7</v>
      </c>
      <c r="Z139" s="46">
        <f t="shared" si="39"/>
        <v>0.16666666666666666</v>
      </c>
      <c r="AA139" s="46">
        <f t="shared" si="40"/>
        <v>0.33333333333333331</v>
      </c>
      <c r="AB139" s="46">
        <f t="shared" si="41"/>
        <v>7.5925925925925911E-2</v>
      </c>
      <c r="AC139" s="46">
        <f t="shared" si="42"/>
        <v>7.7777777777777765E-2</v>
      </c>
      <c r="AD139" s="44" t="str">
        <f t="shared" si="43"/>
        <v>Over</v>
      </c>
      <c r="AE139" s="44" t="str">
        <f>IFERROR(VLOOKUP(A139,'[1]Re-order'!$A:$AA,27,0),"")</f>
        <v>Over</v>
      </c>
      <c r="AF139" s="46">
        <f t="shared" si="44"/>
        <v>-2.9222222222222221</v>
      </c>
      <c r="AG139" s="46">
        <f>SUMIFS('[1]Raw Inventory'!D:D,'[1]Raw Inventory'!C:C,"GREATWALL",'[1]Raw Inventory'!B:B,A139)</f>
        <v>33</v>
      </c>
      <c r="AH139" s="46">
        <f>SUMIFS('[1]Raw Inventory'!D:D,'[1]Raw Inventory'!C:C,"DUARTE",'[1]Raw Inventory'!B:B,A139)</f>
        <v>0</v>
      </c>
      <c r="AI139" s="46"/>
      <c r="AJ139" s="46"/>
      <c r="AK139" s="43"/>
      <c r="AL139" s="43"/>
      <c r="AM139" s="43"/>
      <c r="AN139" s="43"/>
      <c r="AO139" s="43"/>
      <c r="AP139" s="43"/>
      <c r="AQ139" s="43"/>
      <c r="AR139" s="43"/>
      <c r="AS139" s="43"/>
      <c r="AT139" s="43"/>
    </row>
    <row r="140" spans="1:46">
      <c r="A140" s="43" t="s">
        <v>42</v>
      </c>
      <c r="B140" s="43" t="s">
        <v>96</v>
      </c>
      <c r="C140" s="43" t="s">
        <v>90</v>
      </c>
      <c r="D140" s="44" t="s">
        <v>221</v>
      </c>
      <c r="E140" s="44">
        <v>7</v>
      </c>
      <c r="F140" s="44" t="s">
        <v>3</v>
      </c>
      <c r="G140" s="43" t="str">
        <f>IFERROR(VLOOKUP(A140,'[1]MC Masterlist 2026-09-12'!$B:$M, 3, 0),"")</f>
        <v>YAMAHA</v>
      </c>
      <c r="H140" s="45">
        <f>IFERROR(VLOOKUP(A140,'[1]MC Masterlist 2026-09-12'!$B:$M, 6, 0),"")</f>
        <v>152892</v>
      </c>
      <c r="I140" s="46">
        <v>0</v>
      </c>
      <c r="J140" s="46">
        <v>0</v>
      </c>
      <c r="K140" s="46">
        <v>0</v>
      </c>
      <c r="L140" s="46">
        <f t="shared" si="30"/>
        <v>0</v>
      </c>
      <c r="M140" s="46">
        <f t="shared" si="31"/>
        <v>0</v>
      </c>
      <c r="N140" s="45">
        <f t="shared" si="32"/>
        <v>0</v>
      </c>
      <c r="O140" s="45">
        <f t="shared" si="33"/>
        <v>0</v>
      </c>
      <c r="P140" s="46">
        <f t="shared" si="34"/>
        <v>0</v>
      </c>
      <c r="Q140" s="46">
        <v>1</v>
      </c>
      <c r="R140" s="45">
        <f t="shared" si="35"/>
        <v>152892</v>
      </c>
      <c r="S140" s="46">
        <f t="shared" si="36"/>
        <v>0</v>
      </c>
      <c r="T140" s="46">
        <f>IFERROR(VLOOKUP(A140,'[1]Re-order'!$A:$Q,17,0),"")</f>
        <v>104.55882352941177</v>
      </c>
      <c r="U140" s="46">
        <f>IFERROR(VLOOKUP(A140,'[1]MC Masterlist 2026-09-12'!$B:$M, 10, 0),0)</f>
        <v>15</v>
      </c>
      <c r="V140" s="46">
        <f>IFERROR(VLOOKUP(A140,'[1]MC Masterlist 2026-09-12'!$B:$M, 11, 0),0)</f>
        <v>15</v>
      </c>
      <c r="W140" s="46">
        <f t="shared" si="37"/>
        <v>30</v>
      </c>
      <c r="X140" s="46">
        <f t="shared" si="38"/>
        <v>30</v>
      </c>
      <c r="Y140" s="46">
        <f>IFERROR(IF(OR(C140="AREA I",C140="AREA V"),7,VLOOKUP(A140,'[1]MC Masterlist 2026-09-12'!$B:$M, 12, 0)),0)</f>
        <v>30</v>
      </c>
      <c r="Z140" s="46">
        <f t="shared" si="39"/>
        <v>0</v>
      </c>
      <c r="AA140" s="46">
        <f t="shared" si="40"/>
        <v>0</v>
      </c>
      <c r="AB140" s="46">
        <f t="shared" si="41"/>
        <v>0</v>
      </c>
      <c r="AC140" s="46">
        <f t="shared" si="42"/>
        <v>0</v>
      </c>
      <c r="AD140" s="44" t="str">
        <f t="shared" si="43"/>
        <v>Over</v>
      </c>
      <c r="AE140" s="44" t="str">
        <f>IFERROR(VLOOKUP(A140,'[1]Re-order'!$A:$AA,27,0),"")</f>
        <v>Over</v>
      </c>
      <c r="AF140" s="46">
        <f t="shared" si="44"/>
        <v>-1</v>
      </c>
      <c r="AG140" s="46">
        <f>SUMIFS('[1]Raw Inventory'!D:D,'[1]Raw Inventory'!C:C,"GREATWALL",'[1]Raw Inventory'!B:B,A140)</f>
        <v>3</v>
      </c>
      <c r="AH140" s="46">
        <f>SUMIFS('[1]Raw Inventory'!D:D,'[1]Raw Inventory'!C:C,"DUARTE",'[1]Raw Inventory'!B:B,A140)</f>
        <v>0</v>
      </c>
      <c r="AI140" s="46"/>
      <c r="AJ140" s="46"/>
      <c r="AK140" s="43"/>
      <c r="AL140" s="43"/>
      <c r="AM140" s="43"/>
      <c r="AN140" s="43"/>
      <c r="AO140" s="43"/>
      <c r="AP140" s="43"/>
      <c r="AQ140" s="43"/>
      <c r="AR140" s="43"/>
      <c r="AS140" s="43"/>
      <c r="AT140" s="43"/>
    </row>
    <row r="141" spans="1:46">
      <c r="A141" s="43" t="s">
        <v>86</v>
      </c>
      <c r="B141" s="43" t="s">
        <v>162</v>
      </c>
      <c r="C141" s="43" t="s">
        <v>159</v>
      </c>
      <c r="D141" s="44" t="s">
        <v>241</v>
      </c>
      <c r="E141" s="44">
        <v>20</v>
      </c>
      <c r="F141" s="44" t="s">
        <v>3</v>
      </c>
      <c r="G141" s="43" t="str">
        <f>IFERROR(VLOOKUP(A141,'[1]MC Masterlist 2026-09-12'!$B:$M, 3, 0),"")</f>
        <v>KAWASAKI</v>
      </c>
      <c r="H141" s="45">
        <f>IFERROR(VLOOKUP(A141,'[1]MC Masterlist 2026-09-12'!$B:$M, 6, 0),"")</f>
        <v>72500</v>
      </c>
      <c r="I141" s="46">
        <v>0</v>
      </c>
      <c r="J141" s="46">
        <v>0</v>
      </c>
      <c r="K141" s="46">
        <v>1</v>
      </c>
      <c r="L141" s="46">
        <f t="shared" si="30"/>
        <v>1</v>
      </c>
      <c r="M141" s="46">
        <f t="shared" si="31"/>
        <v>0.33333333333333331</v>
      </c>
      <c r="N141" s="45">
        <f t="shared" si="32"/>
        <v>72500</v>
      </c>
      <c r="O141" s="45">
        <f t="shared" si="33"/>
        <v>24166.666666666664</v>
      </c>
      <c r="P141" s="46">
        <f t="shared" si="34"/>
        <v>1.111111111111111E-2</v>
      </c>
      <c r="Q141" s="46">
        <v>3</v>
      </c>
      <c r="R141" s="45">
        <f t="shared" si="35"/>
        <v>217500</v>
      </c>
      <c r="S141" s="46">
        <f t="shared" si="36"/>
        <v>270.00000000000006</v>
      </c>
      <c r="T141" s="46">
        <f>IFERROR(VLOOKUP(A141,'[1]Re-order'!$A:$Q,17,0),"")</f>
        <v>150</v>
      </c>
      <c r="U141" s="46">
        <f>IFERROR(VLOOKUP(A141,'[1]MC Masterlist 2026-09-12'!$B:$M, 10, 0),0)</f>
        <v>15</v>
      </c>
      <c r="V141" s="46">
        <f>IFERROR(VLOOKUP(A141,'[1]MC Masterlist 2026-09-12'!$B:$M, 11, 0),0)</f>
        <v>15</v>
      </c>
      <c r="W141" s="46">
        <f t="shared" si="37"/>
        <v>30</v>
      </c>
      <c r="X141" s="46">
        <f t="shared" si="38"/>
        <v>29.833333333333332</v>
      </c>
      <c r="Y141" s="46">
        <f>IFERROR(IF(OR(C141="AREA I",C141="AREA V"),7,VLOOKUP(A141,'[1]MC Masterlist 2026-09-12'!$B:$M, 12, 0)),0)</f>
        <v>30</v>
      </c>
      <c r="Z141" s="46">
        <f t="shared" si="39"/>
        <v>0.16666666666666666</v>
      </c>
      <c r="AA141" s="46">
        <f t="shared" si="40"/>
        <v>0.33333333333333331</v>
      </c>
      <c r="AB141" s="46">
        <f t="shared" si="41"/>
        <v>0.33148148148148143</v>
      </c>
      <c r="AC141" s="46">
        <f t="shared" si="42"/>
        <v>0.33333333333333331</v>
      </c>
      <c r="AD141" s="44" t="str">
        <f t="shared" si="43"/>
        <v>Over</v>
      </c>
      <c r="AE141" s="44" t="str">
        <f>IFERROR(VLOOKUP(A141,'[1]Re-order'!$A:$AA,27,0),"")</f>
        <v>Over</v>
      </c>
      <c r="AF141" s="46">
        <f t="shared" si="44"/>
        <v>-2.6666666666666665</v>
      </c>
      <c r="AG141" s="46">
        <f>SUMIFS('[1]Raw Inventory'!D:D,'[1]Raw Inventory'!C:C,"GREATWALL",'[1]Raw Inventory'!B:B,A141)</f>
        <v>0</v>
      </c>
      <c r="AH141" s="46">
        <f>SUMIFS('[1]Raw Inventory'!D:D,'[1]Raw Inventory'!C:C,"DUARTE",'[1]Raw Inventory'!B:B,A141)</f>
        <v>0</v>
      </c>
      <c r="AI141" s="46"/>
      <c r="AJ141" s="46"/>
      <c r="AK141" s="43"/>
      <c r="AL141" s="43"/>
      <c r="AM141" s="43"/>
      <c r="AN141" s="43"/>
      <c r="AO141" s="43"/>
      <c r="AP141" s="43"/>
      <c r="AQ141" s="43"/>
      <c r="AR141" s="43"/>
      <c r="AS141" s="43"/>
      <c r="AT141" s="43"/>
    </row>
    <row r="142" spans="1:46">
      <c r="A142" s="43" t="s">
        <v>36</v>
      </c>
      <c r="B142" s="43" t="s">
        <v>5</v>
      </c>
      <c r="C142" s="43" t="s">
        <v>118</v>
      </c>
      <c r="D142" s="44" t="s">
        <v>233</v>
      </c>
      <c r="E142" s="44">
        <v>9</v>
      </c>
      <c r="F142" s="44" t="s">
        <v>2</v>
      </c>
      <c r="G142" s="43" t="str">
        <f>IFERROR(VLOOKUP(A142,'[1]MC Masterlist 2026-09-12'!$B:$M, 3, 0),"")</f>
        <v>HONDA</v>
      </c>
      <c r="H142" s="45">
        <f>IFERROR(VLOOKUP(A142,'[1]MC Masterlist 2026-09-12'!$B:$M, 6, 0),"")</f>
        <v>76850</v>
      </c>
      <c r="I142" s="46">
        <v>0</v>
      </c>
      <c r="J142" s="46">
        <v>2</v>
      </c>
      <c r="K142" s="46">
        <v>2</v>
      </c>
      <c r="L142" s="46">
        <f t="shared" si="30"/>
        <v>4</v>
      </c>
      <c r="M142" s="46">
        <f t="shared" si="31"/>
        <v>1.3333333333333333</v>
      </c>
      <c r="N142" s="45">
        <f t="shared" si="32"/>
        <v>307400</v>
      </c>
      <c r="O142" s="45">
        <f t="shared" si="33"/>
        <v>102466.66666666666</v>
      </c>
      <c r="P142" s="46">
        <f t="shared" si="34"/>
        <v>4.4444444444444439E-2</v>
      </c>
      <c r="Q142" s="46">
        <v>3</v>
      </c>
      <c r="R142" s="45">
        <f t="shared" si="35"/>
        <v>230550</v>
      </c>
      <c r="S142" s="46">
        <f t="shared" si="36"/>
        <v>67.5</v>
      </c>
      <c r="T142" s="46">
        <f>IFERROR(VLOOKUP(A142,'[1]Re-order'!$A:$Q,17,0),"")</f>
        <v>137.24999999999997</v>
      </c>
      <c r="U142" s="46">
        <f>IFERROR(VLOOKUP(A142,'[1]MC Masterlist 2026-09-12'!$B:$M, 10, 0),0)</f>
        <v>15</v>
      </c>
      <c r="V142" s="46">
        <f>IFERROR(VLOOKUP(A142,'[1]MC Masterlist 2026-09-12'!$B:$M, 11, 0),0)</f>
        <v>15</v>
      </c>
      <c r="W142" s="46">
        <f t="shared" si="37"/>
        <v>30</v>
      </c>
      <c r="X142" s="46">
        <f t="shared" si="38"/>
        <v>29.333333333333332</v>
      </c>
      <c r="Y142" s="46">
        <f>IFERROR(IF(OR(C142="AREA I",C142="AREA V"),7,VLOOKUP(A142,'[1]MC Masterlist 2026-09-12'!$B:$M, 12, 0)),0)</f>
        <v>30</v>
      </c>
      <c r="Z142" s="46">
        <f t="shared" si="39"/>
        <v>0.66666666666666663</v>
      </c>
      <c r="AA142" s="46">
        <f t="shared" si="40"/>
        <v>1.3333333333333333</v>
      </c>
      <c r="AB142" s="46">
        <f t="shared" si="41"/>
        <v>1.3037037037037036</v>
      </c>
      <c r="AC142" s="46">
        <f t="shared" si="42"/>
        <v>1.3333333333333333</v>
      </c>
      <c r="AD142" s="44" t="str">
        <f t="shared" si="43"/>
        <v>Over</v>
      </c>
      <c r="AE142" s="44" t="str">
        <f>IFERROR(VLOOKUP(A142,'[1]Re-order'!$A:$AA,27,0),"")</f>
        <v>Over</v>
      </c>
      <c r="AF142" s="46">
        <f t="shared" si="44"/>
        <v>-1.6666666666666667</v>
      </c>
      <c r="AG142" s="46">
        <f>SUMIFS('[1]Raw Inventory'!D:D,'[1]Raw Inventory'!C:C,"GREATWALL",'[1]Raw Inventory'!B:B,A142)</f>
        <v>18</v>
      </c>
      <c r="AH142" s="46">
        <f>SUMIFS('[1]Raw Inventory'!D:D,'[1]Raw Inventory'!C:C,"DUARTE",'[1]Raw Inventory'!B:B,A142)</f>
        <v>0</v>
      </c>
      <c r="AI142" s="46"/>
      <c r="AJ142" s="46"/>
      <c r="AK142" s="43"/>
      <c r="AL142" s="43"/>
      <c r="AM142" s="43"/>
      <c r="AN142" s="43"/>
      <c r="AO142" s="43"/>
      <c r="AP142" s="43"/>
      <c r="AQ142" s="43"/>
      <c r="AR142" s="43"/>
      <c r="AS142" s="43"/>
      <c r="AT142" s="43"/>
    </row>
    <row r="143" spans="1:46">
      <c r="A143" s="43" t="s">
        <v>22</v>
      </c>
      <c r="B143" s="43" t="s">
        <v>146</v>
      </c>
      <c r="C143" s="43" t="s">
        <v>137</v>
      </c>
      <c r="D143" s="44" t="s">
        <v>266</v>
      </c>
      <c r="E143" s="44">
        <v>19</v>
      </c>
      <c r="F143" s="44" t="s">
        <v>2</v>
      </c>
      <c r="G143" s="43" t="str">
        <f>IFERROR(VLOOKUP(A143,'[1]MC Masterlist 2026-09-12'!$B:$M, 3, 0),"")</f>
        <v>HONDA</v>
      </c>
      <c r="H143" s="45">
        <f>IFERROR(VLOOKUP(A143,'[1]MC Masterlist 2026-09-12'!$B:$M, 6, 0),"")</f>
        <v>111258</v>
      </c>
      <c r="I143" s="46">
        <v>0</v>
      </c>
      <c r="J143" s="46">
        <v>0</v>
      </c>
      <c r="K143" s="46">
        <v>1</v>
      </c>
      <c r="L143" s="46">
        <f t="shared" si="30"/>
        <v>1</v>
      </c>
      <c r="M143" s="46">
        <f t="shared" si="31"/>
        <v>0.33333333333333331</v>
      </c>
      <c r="N143" s="45">
        <f t="shared" si="32"/>
        <v>111258</v>
      </c>
      <c r="O143" s="45">
        <f t="shared" si="33"/>
        <v>37086</v>
      </c>
      <c r="P143" s="46">
        <f t="shared" si="34"/>
        <v>1.111111111111111E-2</v>
      </c>
      <c r="Q143" s="46">
        <v>1</v>
      </c>
      <c r="R143" s="45">
        <f t="shared" si="35"/>
        <v>111258</v>
      </c>
      <c r="S143" s="46">
        <f t="shared" si="36"/>
        <v>90</v>
      </c>
      <c r="T143" s="46">
        <f>IFERROR(VLOOKUP(A143,'[1]Re-order'!$A:$Q,17,0),"")</f>
        <v>41.339712918660283</v>
      </c>
      <c r="U143" s="46">
        <f>IFERROR(VLOOKUP(A143,'[1]MC Masterlist 2026-09-12'!$B:$M, 10, 0),0)</f>
        <v>15</v>
      </c>
      <c r="V143" s="46">
        <f>IFERROR(VLOOKUP(A143,'[1]MC Masterlist 2026-09-12'!$B:$M, 11, 0),0)</f>
        <v>15</v>
      </c>
      <c r="W143" s="46">
        <f t="shared" si="37"/>
        <v>30</v>
      </c>
      <c r="X143" s="46">
        <f t="shared" si="38"/>
        <v>6.833333333333333</v>
      </c>
      <c r="Y143" s="46">
        <f>IFERROR(IF(OR(C143="AREA I",C143="AREA V"),7,VLOOKUP(A143,'[1]MC Masterlist 2026-09-12'!$B:$M, 12, 0)),0)</f>
        <v>7</v>
      </c>
      <c r="Z143" s="46">
        <f t="shared" si="39"/>
        <v>0.16666666666666666</v>
      </c>
      <c r="AA143" s="46">
        <f t="shared" si="40"/>
        <v>0.33333333333333331</v>
      </c>
      <c r="AB143" s="46">
        <f t="shared" si="41"/>
        <v>7.5925925925925911E-2</v>
      </c>
      <c r="AC143" s="46">
        <f t="shared" si="42"/>
        <v>7.7777777777777765E-2</v>
      </c>
      <c r="AD143" s="44" t="str">
        <f t="shared" si="43"/>
        <v>Over</v>
      </c>
      <c r="AE143" s="44" t="str">
        <f>IFERROR(VLOOKUP(A143,'[1]Re-order'!$A:$AA,27,0),"")</f>
        <v>Re-order</v>
      </c>
      <c r="AF143" s="46">
        <f t="shared" si="44"/>
        <v>-0.92222222222222228</v>
      </c>
      <c r="AG143" s="46">
        <f>SUMIFS('[1]Raw Inventory'!D:D,'[1]Raw Inventory'!C:C,"GREATWALL",'[1]Raw Inventory'!B:B,A143)</f>
        <v>4</v>
      </c>
      <c r="AH143" s="46">
        <f>SUMIFS('[1]Raw Inventory'!D:D,'[1]Raw Inventory'!C:C,"DUARTE",'[1]Raw Inventory'!B:B,A143)</f>
        <v>0</v>
      </c>
      <c r="AI143" s="46"/>
      <c r="AJ143" s="46"/>
      <c r="AK143" s="43"/>
      <c r="AL143" s="43"/>
      <c r="AM143" s="43"/>
      <c r="AN143" s="43"/>
      <c r="AO143" s="43"/>
      <c r="AP143" s="43"/>
      <c r="AQ143" s="43"/>
      <c r="AR143" s="43"/>
      <c r="AS143" s="43"/>
      <c r="AT143" s="43"/>
    </row>
    <row r="144" spans="1:46">
      <c r="A144" s="43" t="s">
        <v>20</v>
      </c>
      <c r="B144" s="43" t="s">
        <v>145</v>
      </c>
      <c r="C144" s="43" t="s">
        <v>137</v>
      </c>
      <c r="D144" s="44" t="s">
        <v>240</v>
      </c>
      <c r="E144" s="44">
        <v>12</v>
      </c>
      <c r="F144" s="44" t="s">
        <v>2</v>
      </c>
      <c r="G144" s="43" t="str">
        <f>IFERROR(VLOOKUP(A144,'[1]MC Masterlist 2026-09-12'!$B:$M, 3, 0),"")</f>
        <v>HONDA</v>
      </c>
      <c r="H144" s="45">
        <f>IFERROR(VLOOKUP(A144,'[1]MC Masterlist 2026-09-12'!$B:$M, 6, 0),"")</f>
        <v>69950</v>
      </c>
      <c r="I144" s="46">
        <v>1</v>
      </c>
      <c r="J144" s="46">
        <v>0</v>
      </c>
      <c r="K144" s="46">
        <v>3</v>
      </c>
      <c r="L144" s="46">
        <f t="shared" si="30"/>
        <v>4</v>
      </c>
      <c r="M144" s="46">
        <f t="shared" si="31"/>
        <v>1.3333333333333333</v>
      </c>
      <c r="N144" s="45">
        <f t="shared" si="32"/>
        <v>279800</v>
      </c>
      <c r="O144" s="45">
        <f t="shared" si="33"/>
        <v>93266.666666666657</v>
      </c>
      <c r="P144" s="46">
        <f t="shared" si="34"/>
        <v>4.4444444444444439E-2</v>
      </c>
      <c r="Q144" s="46">
        <v>5</v>
      </c>
      <c r="R144" s="45">
        <f t="shared" si="35"/>
        <v>349750</v>
      </c>
      <c r="S144" s="46">
        <f t="shared" si="36"/>
        <v>112.50000000000001</v>
      </c>
      <c r="T144" s="46">
        <f>IFERROR(VLOOKUP(A144,'[1]Re-order'!$A:$Q,17,0),"")</f>
        <v>75.775862068965523</v>
      </c>
      <c r="U144" s="46">
        <f>IFERROR(VLOOKUP(A144,'[1]MC Masterlist 2026-09-12'!$B:$M, 10, 0),0)</f>
        <v>15</v>
      </c>
      <c r="V144" s="46">
        <f>IFERROR(VLOOKUP(A144,'[1]MC Masterlist 2026-09-12'!$B:$M, 11, 0),0)</f>
        <v>15</v>
      </c>
      <c r="W144" s="46">
        <f t="shared" si="37"/>
        <v>30</v>
      </c>
      <c r="X144" s="46">
        <f t="shared" si="38"/>
        <v>6.333333333333333</v>
      </c>
      <c r="Y144" s="46">
        <f>IFERROR(IF(OR(C144="AREA I",C144="AREA V"),7,VLOOKUP(A144,'[1]MC Masterlist 2026-09-12'!$B:$M, 12, 0)),0)</f>
        <v>7</v>
      </c>
      <c r="Z144" s="46">
        <f t="shared" si="39"/>
        <v>0.66666666666666663</v>
      </c>
      <c r="AA144" s="46">
        <f t="shared" si="40"/>
        <v>1.3333333333333333</v>
      </c>
      <c r="AB144" s="46">
        <f t="shared" si="41"/>
        <v>0.28148148148148144</v>
      </c>
      <c r="AC144" s="46">
        <f t="shared" si="42"/>
        <v>0.31111111111111106</v>
      </c>
      <c r="AD144" s="44" t="str">
        <f t="shared" si="43"/>
        <v>Over</v>
      </c>
      <c r="AE144" s="44" t="str">
        <f>IFERROR(VLOOKUP(A144,'[1]Re-order'!$A:$AA,27,0),"")</f>
        <v/>
      </c>
      <c r="AF144" s="46">
        <f t="shared" si="44"/>
        <v>-4.6888888888888891</v>
      </c>
      <c r="AG144" s="46">
        <f>SUMIFS('[1]Raw Inventory'!D:D,'[1]Raw Inventory'!C:C,"GREATWALL",'[1]Raw Inventory'!B:B,A144)</f>
        <v>110</v>
      </c>
      <c r="AH144" s="46">
        <f>SUMIFS('[1]Raw Inventory'!D:D,'[1]Raw Inventory'!C:C,"DUARTE",'[1]Raw Inventory'!B:B,A144)</f>
        <v>0</v>
      </c>
      <c r="AI144" s="46"/>
      <c r="AJ144" s="46"/>
      <c r="AK144" s="43"/>
      <c r="AL144" s="43"/>
      <c r="AM144" s="43"/>
      <c r="AN144" s="43"/>
      <c r="AO144" s="43"/>
      <c r="AP144" s="43"/>
      <c r="AQ144" s="43"/>
      <c r="AR144" s="43"/>
      <c r="AS144" s="43"/>
      <c r="AT144" s="43"/>
    </row>
    <row r="145" spans="1:46">
      <c r="A145" s="43" t="s">
        <v>43</v>
      </c>
      <c r="B145" s="43" t="s">
        <v>119</v>
      </c>
      <c r="C145" s="43" t="s">
        <v>118</v>
      </c>
      <c r="D145" s="44" t="s">
        <v>228</v>
      </c>
      <c r="E145" s="44">
        <v>23</v>
      </c>
      <c r="F145" s="44" t="s">
        <v>2</v>
      </c>
      <c r="G145" s="43" t="str">
        <f>IFERROR(VLOOKUP(A145,'[1]MC Masterlist 2026-09-12'!$B:$M, 3, 0),"")</f>
        <v>YAMAHA</v>
      </c>
      <c r="H145" s="45">
        <f>IFERROR(VLOOKUP(A145,'[1]MC Masterlist 2026-09-12'!$B:$M, 6, 0),"")</f>
        <v>70587</v>
      </c>
      <c r="I145" s="46">
        <v>1</v>
      </c>
      <c r="J145" s="46">
        <v>1</v>
      </c>
      <c r="K145" s="46">
        <v>0</v>
      </c>
      <c r="L145" s="46">
        <f t="shared" si="30"/>
        <v>2</v>
      </c>
      <c r="M145" s="46">
        <f t="shared" si="31"/>
        <v>0.66666666666666663</v>
      </c>
      <c r="N145" s="45">
        <f t="shared" si="32"/>
        <v>141174</v>
      </c>
      <c r="O145" s="45">
        <f t="shared" si="33"/>
        <v>47058</v>
      </c>
      <c r="P145" s="46">
        <f t="shared" si="34"/>
        <v>2.222222222222222E-2</v>
      </c>
      <c r="Q145" s="46">
        <v>2</v>
      </c>
      <c r="R145" s="45">
        <f t="shared" si="35"/>
        <v>141174</v>
      </c>
      <c r="S145" s="46">
        <f t="shared" si="36"/>
        <v>90</v>
      </c>
      <c r="T145" s="46">
        <f>IFERROR(VLOOKUP(A145,'[1]Re-order'!$A:$Q,17,0),"")</f>
        <v>43.578947368421055</v>
      </c>
      <c r="U145" s="46">
        <f>IFERROR(VLOOKUP(A145,'[1]MC Masterlist 2026-09-12'!$B:$M, 10, 0),0)</f>
        <v>15</v>
      </c>
      <c r="V145" s="46">
        <f>IFERROR(VLOOKUP(A145,'[1]MC Masterlist 2026-09-12'!$B:$M, 11, 0),0)</f>
        <v>15</v>
      </c>
      <c r="W145" s="46">
        <f t="shared" si="37"/>
        <v>30</v>
      </c>
      <c r="X145" s="46">
        <f t="shared" si="38"/>
        <v>29.666666666666668</v>
      </c>
      <c r="Y145" s="46">
        <f>IFERROR(IF(OR(C145="AREA I",C145="AREA V"),7,VLOOKUP(A145,'[1]MC Masterlist 2026-09-12'!$B:$M, 12, 0)),0)</f>
        <v>30</v>
      </c>
      <c r="Z145" s="46">
        <f t="shared" si="39"/>
        <v>0.33333333333333331</v>
      </c>
      <c r="AA145" s="46">
        <f t="shared" si="40"/>
        <v>0.66666666666666663</v>
      </c>
      <c r="AB145" s="46">
        <f t="shared" si="41"/>
        <v>0.65925925925925921</v>
      </c>
      <c r="AC145" s="46">
        <f t="shared" si="42"/>
        <v>0.66666666666666663</v>
      </c>
      <c r="AD145" s="44" t="str">
        <f t="shared" si="43"/>
        <v>Over</v>
      </c>
      <c r="AE145" s="44" t="str">
        <f>IFERROR(VLOOKUP(A145,'[1]Re-order'!$A:$AA,27,0),"")</f>
        <v>Re-order</v>
      </c>
      <c r="AF145" s="46">
        <f t="shared" si="44"/>
        <v>-1.3333333333333335</v>
      </c>
      <c r="AG145" s="46">
        <f>SUMIFS('[1]Raw Inventory'!D:D,'[1]Raw Inventory'!C:C,"GREATWALL",'[1]Raw Inventory'!B:B,A145)</f>
        <v>0</v>
      </c>
      <c r="AH145" s="46">
        <f>SUMIFS('[1]Raw Inventory'!D:D,'[1]Raw Inventory'!C:C,"DUARTE",'[1]Raw Inventory'!B:B,A145)</f>
        <v>0</v>
      </c>
      <c r="AI145" s="46"/>
      <c r="AJ145" s="46"/>
      <c r="AK145" s="43"/>
      <c r="AL145" s="43"/>
      <c r="AM145" s="43"/>
      <c r="AN145" s="43"/>
      <c r="AO145" s="43"/>
      <c r="AP145" s="43"/>
      <c r="AQ145" s="43"/>
      <c r="AR145" s="43"/>
      <c r="AS145" s="43"/>
      <c r="AT145" s="43"/>
    </row>
    <row r="146" spans="1:46">
      <c r="A146" s="43" t="s">
        <v>20</v>
      </c>
      <c r="B146" s="43" t="s">
        <v>154</v>
      </c>
      <c r="C146" s="43" t="s">
        <v>152</v>
      </c>
      <c r="D146" s="44" t="s">
        <v>247</v>
      </c>
      <c r="E146" s="44">
        <v>25</v>
      </c>
      <c r="F146" s="44" t="s">
        <v>3</v>
      </c>
      <c r="G146" s="43" t="str">
        <f>IFERROR(VLOOKUP(A146,'[1]MC Masterlist 2026-09-12'!$B:$M, 3, 0),"")</f>
        <v>HONDA</v>
      </c>
      <c r="H146" s="45">
        <f>IFERROR(VLOOKUP(A146,'[1]MC Masterlist 2026-09-12'!$B:$M, 6, 0),"")</f>
        <v>69950</v>
      </c>
      <c r="I146" s="46">
        <v>1</v>
      </c>
      <c r="J146" s="46">
        <v>0</v>
      </c>
      <c r="K146" s="46">
        <v>0</v>
      </c>
      <c r="L146" s="46">
        <f t="shared" si="30"/>
        <v>1</v>
      </c>
      <c r="M146" s="46">
        <f t="shared" si="31"/>
        <v>0.33333333333333331</v>
      </c>
      <c r="N146" s="45">
        <f t="shared" si="32"/>
        <v>69950</v>
      </c>
      <c r="O146" s="45">
        <f t="shared" si="33"/>
        <v>23316.666666666664</v>
      </c>
      <c r="P146" s="46">
        <f t="shared" si="34"/>
        <v>1.111111111111111E-2</v>
      </c>
      <c r="Q146" s="46">
        <v>4</v>
      </c>
      <c r="R146" s="45">
        <f t="shared" si="35"/>
        <v>279800</v>
      </c>
      <c r="S146" s="46">
        <f t="shared" si="36"/>
        <v>360.00000000000006</v>
      </c>
      <c r="T146" s="46">
        <f>IFERROR(VLOOKUP(A146,'[1]Re-order'!$A:$Q,17,0),"")</f>
        <v>75.775862068965523</v>
      </c>
      <c r="U146" s="46">
        <f>IFERROR(VLOOKUP(A146,'[1]MC Masterlist 2026-09-12'!$B:$M, 10, 0),0)</f>
        <v>15</v>
      </c>
      <c r="V146" s="46">
        <f>IFERROR(VLOOKUP(A146,'[1]MC Masterlist 2026-09-12'!$B:$M, 11, 0),0)</f>
        <v>15</v>
      </c>
      <c r="W146" s="46">
        <f t="shared" si="37"/>
        <v>30</v>
      </c>
      <c r="X146" s="46">
        <f t="shared" si="38"/>
        <v>29.833333333333332</v>
      </c>
      <c r="Y146" s="46">
        <f>IFERROR(IF(OR(C146="AREA I",C146="AREA V"),7,VLOOKUP(A146,'[1]MC Masterlist 2026-09-12'!$B:$M, 12, 0)),0)</f>
        <v>30</v>
      </c>
      <c r="Z146" s="46">
        <f t="shared" si="39"/>
        <v>0.16666666666666666</v>
      </c>
      <c r="AA146" s="46">
        <f t="shared" si="40"/>
        <v>0.33333333333333331</v>
      </c>
      <c r="AB146" s="46">
        <f t="shared" si="41"/>
        <v>0.33148148148148143</v>
      </c>
      <c r="AC146" s="46">
        <f t="shared" si="42"/>
        <v>0.33333333333333331</v>
      </c>
      <c r="AD146" s="44" t="str">
        <f t="shared" si="43"/>
        <v>Over</v>
      </c>
      <c r="AE146" s="44" t="str">
        <f>IFERROR(VLOOKUP(A146,'[1]Re-order'!$A:$AA,27,0),"")</f>
        <v/>
      </c>
      <c r="AF146" s="46">
        <f t="shared" si="44"/>
        <v>-3.6666666666666665</v>
      </c>
      <c r="AG146" s="46">
        <f>SUMIFS('[1]Raw Inventory'!D:D,'[1]Raw Inventory'!C:C,"GREATWALL",'[1]Raw Inventory'!B:B,A146)</f>
        <v>110</v>
      </c>
      <c r="AH146" s="46">
        <f>SUMIFS('[1]Raw Inventory'!D:D,'[1]Raw Inventory'!C:C,"DUARTE",'[1]Raw Inventory'!B:B,A146)</f>
        <v>0</v>
      </c>
      <c r="AI146" s="46"/>
      <c r="AJ146" s="46"/>
      <c r="AK146" s="43"/>
      <c r="AL146" s="43"/>
      <c r="AM146" s="43"/>
      <c r="AN146" s="43"/>
      <c r="AO146" s="43"/>
      <c r="AP146" s="43"/>
      <c r="AQ146" s="43"/>
      <c r="AR146" s="43"/>
      <c r="AS146" s="43"/>
      <c r="AT146" s="43"/>
    </row>
    <row r="147" spans="1:46">
      <c r="A147" s="43" t="s">
        <v>33</v>
      </c>
      <c r="B147" s="43" t="s">
        <v>139</v>
      </c>
      <c r="C147" s="43" t="s">
        <v>137</v>
      </c>
      <c r="D147" s="44" t="s">
        <v>224</v>
      </c>
      <c r="E147" s="44">
        <v>11</v>
      </c>
      <c r="F147" s="44" t="s">
        <v>2</v>
      </c>
      <c r="G147" s="43" t="str">
        <f>IFERROR(VLOOKUP(A147,'[1]MC Masterlist 2026-09-12'!$B:$M, 3, 0),"")</f>
        <v>HONDA</v>
      </c>
      <c r="H147" s="45">
        <f>IFERROR(VLOOKUP(A147,'[1]MC Masterlist 2026-09-12'!$B:$M, 6, 0),"")</f>
        <v>251318</v>
      </c>
      <c r="I147" s="46">
        <v>1</v>
      </c>
      <c r="J147" s="46">
        <v>1</v>
      </c>
      <c r="K147" s="46">
        <v>1</v>
      </c>
      <c r="L147" s="46">
        <f t="shared" si="30"/>
        <v>3</v>
      </c>
      <c r="M147" s="46">
        <f t="shared" si="31"/>
        <v>1</v>
      </c>
      <c r="N147" s="45">
        <f t="shared" si="32"/>
        <v>753954</v>
      </c>
      <c r="O147" s="45">
        <f t="shared" si="33"/>
        <v>251318</v>
      </c>
      <c r="P147" s="46">
        <f t="shared" si="34"/>
        <v>3.3333333333333333E-2</v>
      </c>
      <c r="Q147" s="46">
        <v>0</v>
      </c>
      <c r="R147" s="45">
        <f t="shared" si="35"/>
        <v>0</v>
      </c>
      <c r="S147" s="46">
        <f t="shared" si="36"/>
        <v>0</v>
      </c>
      <c r="T147" s="46">
        <f>IFERROR(VLOOKUP(A147,'[1]Re-order'!$A:$Q,17,0),"")</f>
        <v>10.588235294117647</v>
      </c>
      <c r="U147" s="46">
        <f>IFERROR(VLOOKUP(A147,'[1]MC Masterlist 2026-09-12'!$B:$M, 10, 0),0)</f>
        <v>15</v>
      </c>
      <c r="V147" s="46">
        <f>IFERROR(VLOOKUP(A147,'[1]MC Masterlist 2026-09-12'!$B:$M, 11, 0),0)</f>
        <v>15</v>
      </c>
      <c r="W147" s="46">
        <f t="shared" si="37"/>
        <v>30</v>
      </c>
      <c r="X147" s="46">
        <f t="shared" si="38"/>
        <v>6.5</v>
      </c>
      <c r="Y147" s="46">
        <f>IFERROR(IF(OR(C147="AREA I",C147="AREA V"),7,VLOOKUP(A147,'[1]MC Masterlist 2026-09-12'!$B:$M, 12, 0)),0)</f>
        <v>7</v>
      </c>
      <c r="Z147" s="46">
        <f t="shared" si="39"/>
        <v>0.5</v>
      </c>
      <c r="AA147" s="46">
        <f t="shared" si="40"/>
        <v>1</v>
      </c>
      <c r="AB147" s="46">
        <f t="shared" si="41"/>
        <v>0.21666666666666667</v>
      </c>
      <c r="AC147" s="46">
        <f t="shared" si="42"/>
        <v>0.23333333333333334</v>
      </c>
      <c r="AD147" s="44" t="str">
        <f t="shared" si="43"/>
        <v>Stockout</v>
      </c>
      <c r="AE147" s="44" t="str">
        <f>IFERROR(VLOOKUP(A147,'[1]Re-order'!$A:$AA,27,0),"")</f>
        <v>Stockout</v>
      </c>
      <c r="AF147" s="46">
        <f t="shared" si="44"/>
        <v>0.23333333333333334</v>
      </c>
      <c r="AG147" s="46">
        <f>SUMIFS('[1]Raw Inventory'!D:D,'[1]Raw Inventory'!C:C,"GREATWALL",'[1]Raw Inventory'!B:B,A147)</f>
        <v>0</v>
      </c>
      <c r="AH147" s="46">
        <f>SUMIFS('[1]Raw Inventory'!D:D,'[1]Raw Inventory'!C:C,"DUARTE",'[1]Raw Inventory'!B:B,A147)</f>
        <v>0</v>
      </c>
      <c r="AI147" s="46"/>
      <c r="AJ147" s="46"/>
      <c r="AK147" s="43"/>
      <c r="AL147" s="43"/>
      <c r="AM147" s="43"/>
      <c r="AN147" s="43"/>
      <c r="AO147" s="43"/>
      <c r="AP147" s="43"/>
      <c r="AQ147" s="43"/>
      <c r="AR147" s="43"/>
      <c r="AS147" s="43"/>
      <c r="AT147" s="43"/>
    </row>
    <row r="148" spans="1:46">
      <c r="A148" s="43" t="s">
        <v>43</v>
      </c>
      <c r="B148" s="43" t="s">
        <v>131</v>
      </c>
      <c r="C148" s="43" t="s">
        <v>128</v>
      </c>
      <c r="D148" s="44" t="s">
        <v>235</v>
      </c>
      <c r="E148" s="44">
        <v>21</v>
      </c>
      <c r="F148" s="44" t="s">
        <v>3</v>
      </c>
      <c r="G148" s="43" t="str">
        <f>IFERROR(VLOOKUP(A148,'[1]MC Masterlist 2026-09-12'!$B:$M, 3, 0),"")</f>
        <v>YAMAHA</v>
      </c>
      <c r="H148" s="45">
        <f>IFERROR(VLOOKUP(A148,'[1]MC Masterlist 2026-09-12'!$B:$M, 6, 0),"")</f>
        <v>70587</v>
      </c>
      <c r="I148" s="46">
        <v>0</v>
      </c>
      <c r="J148" s="46">
        <v>1</v>
      </c>
      <c r="K148" s="46">
        <v>0</v>
      </c>
      <c r="L148" s="46">
        <f t="shared" si="30"/>
        <v>1</v>
      </c>
      <c r="M148" s="46">
        <f t="shared" si="31"/>
        <v>0.33333333333333331</v>
      </c>
      <c r="N148" s="45">
        <f t="shared" si="32"/>
        <v>70587</v>
      </c>
      <c r="O148" s="45">
        <f t="shared" si="33"/>
        <v>23529</v>
      </c>
      <c r="P148" s="46">
        <f t="shared" si="34"/>
        <v>1.111111111111111E-2</v>
      </c>
      <c r="Q148" s="46"/>
      <c r="R148" s="45">
        <f t="shared" si="35"/>
        <v>0</v>
      </c>
      <c r="S148" s="46">
        <f t="shared" si="36"/>
        <v>0</v>
      </c>
      <c r="T148" s="46">
        <f>IFERROR(VLOOKUP(A148,'[1]Re-order'!$A:$Q,17,0),"")</f>
        <v>43.578947368421055</v>
      </c>
      <c r="U148" s="46">
        <f>IFERROR(VLOOKUP(A148,'[1]MC Masterlist 2026-09-12'!$B:$M, 10, 0),0)</f>
        <v>15</v>
      </c>
      <c r="V148" s="46">
        <f>IFERROR(VLOOKUP(A148,'[1]MC Masterlist 2026-09-12'!$B:$M, 11, 0),0)</f>
        <v>15</v>
      </c>
      <c r="W148" s="46">
        <f t="shared" si="37"/>
        <v>30</v>
      </c>
      <c r="X148" s="46">
        <f t="shared" si="38"/>
        <v>29.833333333333332</v>
      </c>
      <c r="Y148" s="46">
        <f>IFERROR(IF(OR(C148="AREA I",C148="AREA V"),7,VLOOKUP(A148,'[1]MC Masterlist 2026-09-12'!$B:$M, 12, 0)),0)</f>
        <v>30</v>
      </c>
      <c r="Z148" s="46">
        <f t="shared" si="39"/>
        <v>0.16666666666666666</v>
      </c>
      <c r="AA148" s="46">
        <f t="shared" si="40"/>
        <v>0.33333333333333331</v>
      </c>
      <c r="AB148" s="46">
        <f t="shared" si="41"/>
        <v>0.33148148148148143</v>
      </c>
      <c r="AC148" s="46">
        <f t="shared" si="42"/>
        <v>0.33333333333333331</v>
      </c>
      <c r="AD148" s="44" t="str">
        <f t="shared" si="43"/>
        <v>Stockout</v>
      </c>
      <c r="AE148" s="44" t="str">
        <f>IFERROR(VLOOKUP(A148,'[1]Re-order'!$A:$AA,27,0),"")</f>
        <v>Re-order</v>
      </c>
      <c r="AF148" s="46">
        <f t="shared" si="44"/>
        <v>0.33333333333333331</v>
      </c>
      <c r="AG148" s="46">
        <f>SUMIFS('[1]Raw Inventory'!D:D,'[1]Raw Inventory'!C:C,"GREATWALL",'[1]Raw Inventory'!B:B,A148)</f>
        <v>0</v>
      </c>
      <c r="AH148" s="46">
        <f>SUMIFS('[1]Raw Inventory'!D:D,'[1]Raw Inventory'!C:C,"DUARTE",'[1]Raw Inventory'!B:B,A148)</f>
        <v>0</v>
      </c>
      <c r="AI148" s="46"/>
      <c r="AJ148" s="46"/>
      <c r="AK148" s="43"/>
      <c r="AL148" s="43"/>
      <c r="AM148" s="43"/>
      <c r="AN148" s="43"/>
      <c r="AO148" s="43"/>
      <c r="AP148" s="43"/>
      <c r="AQ148" s="43"/>
      <c r="AR148" s="43"/>
      <c r="AS148" s="43"/>
      <c r="AT148" s="43"/>
    </row>
    <row r="149" spans="1:46">
      <c r="A149" s="43" t="s">
        <v>23</v>
      </c>
      <c r="B149" s="43" t="s">
        <v>154</v>
      </c>
      <c r="C149" s="43" t="s">
        <v>152</v>
      </c>
      <c r="D149" s="44" t="s">
        <v>225</v>
      </c>
      <c r="E149" s="44">
        <v>3</v>
      </c>
      <c r="F149" s="44" t="s">
        <v>0</v>
      </c>
      <c r="G149" s="43" t="str">
        <f>IFERROR(VLOOKUP(A149,'[1]MC Masterlist 2026-09-12'!$B:$M, 3, 0),"")</f>
        <v>KAWASAKI</v>
      </c>
      <c r="H149" s="45">
        <f>IFERROR(VLOOKUP(A149,'[1]MC Masterlist 2026-09-12'!$B:$M, 6, 0),"")</f>
        <v>60656</v>
      </c>
      <c r="I149" s="46">
        <v>4</v>
      </c>
      <c r="J149" s="46">
        <v>7</v>
      </c>
      <c r="K149" s="46">
        <v>7</v>
      </c>
      <c r="L149" s="46">
        <f t="shared" si="30"/>
        <v>18</v>
      </c>
      <c r="M149" s="46">
        <f t="shared" si="31"/>
        <v>6</v>
      </c>
      <c r="N149" s="45">
        <f t="shared" si="32"/>
        <v>1091808</v>
      </c>
      <c r="O149" s="45">
        <f t="shared" si="33"/>
        <v>363936</v>
      </c>
      <c r="P149" s="46">
        <f t="shared" si="34"/>
        <v>0.2</v>
      </c>
      <c r="Q149" s="46">
        <v>20</v>
      </c>
      <c r="R149" s="45">
        <f t="shared" si="35"/>
        <v>1213120</v>
      </c>
      <c r="S149" s="46">
        <f t="shared" si="36"/>
        <v>100</v>
      </c>
      <c r="T149" s="46">
        <f>IFERROR(VLOOKUP(A149,'[1]Re-order'!$A:$Q,17,0),"")</f>
        <v>53.973412112259979</v>
      </c>
      <c r="U149" s="46">
        <f>IFERROR(VLOOKUP(A149,'[1]MC Masterlist 2026-09-12'!$B:$M, 10, 0),0)</f>
        <v>15</v>
      </c>
      <c r="V149" s="46">
        <f>IFERROR(VLOOKUP(A149,'[1]MC Masterlist 2026-09-12'!$B:$M, 11, 0),0)</f>
        <v>15</v>
      </c>
      <c r="W149" s="46">
        <f t="shared" si="37"/>
        <v>30</v>
      </c>
      <c r="X149" s="46">
        <f t="shared" si="38"/>
        <v>27</v>
      </c>
      <c r="Y149" s="46">
        <f>IFERROR(IF(OR(C149="AREA I",C149="AREA V"),7,VLOOKUP(A149,'[1]MC Masterlist 2026-09-12'!$B:$M, 12, 0)),0)</f>
        <v>30</v>
      </c>
      <c r="Z149" s="46">
        <f t="shared" si="39"/>
        <v>3</v>
      </c>
      <c r="AA149" s="46">
        <f t="shared" si="40"/>
        <v>6</v>
      </c>
      <c r="AB149" s="46">
        <f t="shared" si="41"/>
        <v>5.4</v>
      </c>
      <c r="AC149" s="46">
        <f t="shared" si="42"/>
        <v>6</v>
      </c>
      <c r="AD149" s="44" t="str">
        <f t="shared" si="43"/>
        <v>Over</v>
      </c>
      <c r="AE149" s="44" t="str">
        <f>IFERROR(VLOOKUP(A149,'[1]Re-order'!$A:$AA,27,0),"")</f>
        <v>Re-order</v>
      </c>
      <c r="AF149" s="46">
        <f t="shared" si="44"/>
        <v>-14</v>
      </c>
      <c r="AG149" s="46">
        <f>SUMIFS('[1]Raw Inventory'!D:D,'[1]Raw Inventory'!C:C,"GREATWALL",'[1]Raw Inventory'!B:B,A149)</f>
        <v>282</v>
      </c>
      <c r="AH149" s="46">
        <f>SUMIFS('[1]Raw Inventory'!D:D,'[1]Raw Inventory'!C:C,"DUARTE",'[1]Raw Inventory'!B:B,A149)</f>
        <v>0</v>
      </c>
      <c r="AI149" s="46"/>
      <c r="AJ149" s="46"/>
      <c r="AK149" s="43"/>
      <c r="AL149" s="43"/>
      <c r="AM149" s="43"/>
      <c r="AN149" s="43"/>
      <c r="AO149" s="43"/>
      <c r="AP149" s="43"/>
      <c r="AQ149" s="43"/>
      <c r="AR149" s="43"/>
      <c r="AS149" s="43"/>
      <c r="AT149" s="43"/>
    </row>
    <row r="150" spans="1:46">
      <c r="A150" s="43" t="s">
        <v>40</v>
      </c>
      <c r="B150" s="43" t="s">
        <v>5</v>
      </c>
      <c r="C150" s="43" t="s">
        <v>118</v>
      </c>
      <c r="D150" s="44" t="s">
        <v>257</v>
      </c>
      <c r="E150" s="44">
        <v>21</v>
      </c>
      <c r="F150" s="44" t="s">
        <v>3</v>
      </c>
      <c r="G150" s="43" t="str">
        <f>IFERROR(VLOOKUP(A150,'[1]MC Masterlist 2026-09-12'!$B:$M, 3, 0),"")</f>
        <v>HONDA</v>
      </c>
      <c r="H150" s="45">
        <f>IFERROR(VLOOKUP(A150,'[1]MC Masterlist 2026-09-12'!$B:$M, 6, 0),"")</f>
        <v>56426</v>
      </c>
      <c r="I150" s="46">
        <v>0</v>
      </c>
      <c r="J150" s="46">
        <v>0</v>
      </c>
      <c r="K150" s="46">
        <v>1</v>
      </c>
      <c r="L150" s="46">
        <f t="shared" si="30"/>
        <v>1</v>
      </c>
      <c r="M150" s="46">
        <f t="shared" si="31"/>
        <v>0.33333333333333331</v>
      </c>
      <c r="N150" s="45">
        <f t="shared" si="32"/>
        <v>56426</v>
      </c>
      <c r="O150" s="45">
        <f t="shared" si="33"/>
        <v>18808.666666666664</v>
      </c>
      <c r="P150" s="46">
        <f t="shared" si="34"/>
        <v>1.111111111111111E-2</v>
      </c>
      <c r="Q150" s="46">
        <v>1</v>
      </c>
      <c r="R150" s="45">
        <f t="shared" si="35"/>
        <v>56426</v>
      </c>
      <c r="S150" s="46">
        <f t="shared" si="36"/>
        <v>90.000000000000014</v>
      </c>
      <c r="T150" s="46">
        <f>IFERROR(VLOOKUP(A150,'[1]Re-order'!$A:$Q,17,0),"")</f>
        <v>139.56521739130434</v>
      </c>
      <c r="U150" s="46">
        <f>IFERROR(VLOOKUP(A150,'[1]MC Masterlist 2026-09-12'!$B:$M, 10, 0),0)</f>
        <v>15</v>
      </c>
      <c r="V150" s="46">
        <f>IFERROR(VLOOKUP(A150,'[1]MC Masterlist 2026-09-12'!$B:$M, 11, 0),0)</f>
        <v>15</v>
      </c>
      <c r="W150" s="46">
        <f t="shared" si="37"/>
        <v>30</v>
      </c>
      <c r="X150" s="46">
        <f t="shared" si="38"/>
        <v>29.833333333333332</v>
      </c>
      <c r="Y150" s="46">
        <f>IFERROR(IF(OR(C150="AREA I",C150="AREA V"),7,VLOOKUP(A150,'[1]MC Masterlist 2026-09-12'!$B:$M, 12, 0)),0)</f>
        <v>30</v>
      </c>
      <c r="Z150" s="46">
        <f t="shared" si="39"/>
        <v>0.16666666666666666</v>
      </c>
      <c r="AA150" s="46">
        <f t="shared" si="40"/>
        <v>0.33333333333333331</v>
      </c>
      <c r="AB150" s="46">
        <f t="shared" si="41"/>
        <v>0.33148148148148143</v>
      </c>
      <c r="AC150" s="46">
        <f t="shared" si="42"/>
        <v>0.33333333333333331</v>
      </c>
      <c r="AD150" s="44" t="str">
        <f t="shared" si="43"/>
        <v>Over</v>
      </c>
      <c r="AE150" s="44" t="str">
        <f>IFERROR(VLOOKUP(A150,'[1]Re-order'!$A:$AA,27,0),"")</f>
        <v>Over</v>
      </c>
      <c r="AF150" s="46">
        <f t="shared" si="44"/>
        <v>-0.66666666666666674</v>
      </c>
      <c r="AG150" s="46">
        <f>SUMIFS('[1]Raw Inventory'!D:D,'[1]Raw Inventory'!C:C,"GREATWALL",'[1]Raw Inventory'!B:B,A150)</f>
        <v>45</v>
      </c>
      <c r="AH150" s="46">
        <f>SUMIFS('[1]Raw Inventory'!D:D,'[1]Raw Inventory'!C:C,"DUARTE",'[1]Raw Inventory'!B:B,A150)</f>
        <v>0</v>
      </c>
      <c r="AI150" s="46"/>
      <c r="AJ150" s="46"/>
      <c r="AK150" s="43"/>
      <c r="AL150" s="43"/>
      <c r="AM150" s="43"/>
      <c r="AN150" s="43"/>
      <c r="AO150" s="43"/>
      <c r="AP150" s="43"/>
      <c r="AQ150" s="43"/>
      <c r="AR150" s="43"/>
      <c r="AS150" s="43"/>
      <c r="AT150" s="43"/>
    </row>
    <row r="151" spans="1:46">
      <c r="A151" s="43" t="s">
        <v>25</v>
      </c>
      <c r="B151" s="43" t="s">
        <v>145</v>
      </c>
      <c r="C151" s="43" t="s">
        <v>137</v>
      </c>
      <c r="D151" s="44" t="s">
        <v>223</v>
      </c>
      <c r="E151" s="44">
        <v>21</v>
      </c>
      <c r="F151" s="44" t="s">
        <v>3</v>
      </c>
      <c r="G151" s="43" t="str">
        <f>IFERROR(VLOOKUP(A151,'[1]MC Masterlist 2026-09-12'!$B:$M, 3, 0),"")</f>
        <v>YAMAHA</v>
      </c>
      <c r="H151" s="45">
        <f>IFERROR(VLOOKUP(A151,'[1]MC Masterlist 2026-09-12'!$B:$M, 6, 0),"")</f>
        <v>124527</v>
      </c>
      <c r="I151" s="46">
        <v>0</v>
      </c>
      <c r="J151" s="46">
        <v>0</v>
      </c>
      <c r="K151" s="46">
        <v>1</v>
      </c>
      <c r="L151" s="46">
        <f t="shared" si="30"/>
        <v>1</v>
      </c>
      <c r="M151" s="46">
        <f t="shared" si="31"/>
        <v>0.33333333333333331</v>
      </c>
      <c r="N151" s="45">
        <f t="shared" si="32"/>
        <v>124527</v>
      </c>
      <c r="O151" s="45">
        <f t="shared" si="33"/>
        <v>41509</v>
      </c>
      <c r="P151" s="46">
        <f t="shared" si="34"/>
        <v>1.111111111111111E-2</v>
      </c>
      <c r="Q151" s="46"/>
      <c r="R151" s="45">
        <f t="shared" si="35"/>
        <v>0</v>
      </c>
      <c r="S151" s="46">
        <f t="shared" si="36"/>
        <v>0</v>
      </c>
      <c r="T151" s="46">
        <f>IFERROR(VLOOKUP(A151,'[1]Re-order'!$A:$Q,17,0),"")</f>
        <v>5.1030927835051543</v>
      </c>
      <c r="U151" s="46">
        <f>IFERROR(VLOOKUP(A151,'[1]MC Masterlist 2026-09-12'!$B:$M, 10, 0),0)</f>
        <v>15</v>
      </c>
      <c r="V151" s="46">
        <f>IFERROR(VLOOKUP(A151,'[1]MC Masterlist 2026-09-12'!$B:$M, 11, 0),0)</f>
        <v>15</v>
      </c>
      <c r="W151" s="46">
        <f t="shared" si="37"/>
        <v>30</v>
      </c>
      <c r="X151" s="46">
        <f t="shared" si="38"/>
        <v>6.833333333333333</v>
      </c>
      <c r="Y151" s="46">
        <f>IFERROR(IF(OR(C151="AREA I",C151="AREA V"),7,VLOOKUP(A151,'[1]MC Masterlist 2026-09-12'!$B:$M, 12, 0)),0)</f>
        <v>7</v>
      </c>
      <c r="Z151" s="46">
        <f t="shared" si="39"/>
        <v>0.16666666666666666</v>
      </c>
      <c r="AA151" s="46">
        <f t="shared" si="40"/>
        <v>0.33333333333333331</v>
      </c>
      <c r="AB151" s="46">
        <f t="shared" si="41"/>
        <v>7.5925925925925911E-2</v>
      </c>
      <c r="AC151" s="46">
        <f t="shared" si="42"/>
        <v>7.7777777777777765E-2</v>
      </c>
      <c r="AD151" s="44" t="str">
        <f t="shared" si="43"/>
        <v>Stockout</v>
      </c>
      <c r="AE151" s="44" t="str">
        <f>IFERROR(VLOOKUP(A151,'[1]Re-order'!$A:$AA,27,0),"")</f>
        <v>Stockout</v>
      </c>
      <c r="AF151" s="46">
        <f t="shared" si="44"/>
        <v>7.7777777777777765E-2</v>
      </c>
      <c r="AG151" s="46">
        <f>SUMIFS('[1]Raw Inventory'!D:D,'[1]Raw Inventory'!C:C,"GREATWALL",'[1]Raw Inventory'!B:B,A151)</f>
        <v>1</v>
      </c>
      <c r="AH151" s="46">
        <f>SUMIFS('[1]Raw Inventory'!D:D,'[1]Raw Inventory'!C:C,"DUARTE",'[1]Raw Inventory'!B:B,A151)</f>
        <v>0</v>
      </c>
      <c r="AI151" s="46"/>
      <c r="AJ151" s="46"/>
      <c r="AK151" s="43"/>
      <c r="AL151" s="43"/>
      <c r="AM151" s="43"/>
      <c r="AN151" s="43"/>
      <c r="AO151" s="43"/>
      <c r="AP151" s="43"/>
      <c r="AQ151" s="43"/>
      <c r="AR151" s="43"/>
      <c r="AS151" s="43"/>
      <c r="AT151" s="43"/>
    </row>
    <row r="152" spans="1:46">
      <c r="A152" s="43" t="s">
        <v>43</v>
      </c>
      <c r="B152" s="43" t="s">
        <v>132</v>
      </c>
      <c r="C152" s="43" t="s">
        <v>128</v>
      </c>
      <c r="D152" s="44" t="s">
        <v>266</v>
      </c>
      <c r="E152" s="44">
        <v>19</v>
      </c>
      <c r="F152" s="44" t="s">
        <v>2</v>
      </c>
      <c r="G152" s="43" t="str">
        <f>IFERROR(VLOOKUP(A152,'[1]MC Masterlist 2026-09-12'!$B:$M, 3, 0),"")</f>
        <v>YAMAHA</v>
      </c>
      <c r="H152" s="45">
        <f>IFERROR(VLOOKUP(A152,'[1]MC Masterlist 2026-09-12'!$B:$M, 6, 0),"")</f>
        <v>70587</v>
      </c>
      <c r="I152" s="46">
        <v>0</v>
      </c>
      <c r="J152" s="46">
        <v>3</v>
      </c>
      <c r="K152" s="46">
        <v>0</v>
      </c>
      <c r="L152" s="46">
        <f t="shared" si="30"/>
        <v>3</v>
      </c>
      <c r="M152" s="46">
        <f t="shared" si="31"/>
        <v>1</v>
      </c>
      <c r="N152" s="45">
        <f t="shared" si="32"/>
        <v>211761</v>
      </c>
      <c r="O152" s="45">
        <f t="shared" si="33"/>
        <v>70587</v>
      </c>
      <c r="P152" s="46">
        <f t="shared" si="34"/>
        <v>3.3333333333333333E-2</v>
      </c>
      <c r="Q152" s="46"/>
      <c r="R152" s="45">
        <f t="shared" si="35"/>
        <v>0</v>
      </c>
      <c r="S152" s="46">
        <f t="shared" si="36"/>
        <v>0</v>
      </c>
      <c r="T152" s="46">
        <f>IFERROR(VLOOKUP(A152,'[1]Re-order'!$A:$Q,17,0),"")</f>
        <v>43.578947368421055</v>
      </c>
      <c r="U152" s="46">
        <f>IFERROR(VLOOKUP(A152,'[1]MC Masterlist 2026-09-12'!$B:$M, 10, 0),0)</f>
        <v>15</v>
      </c>
      <c r="V152" s="46">
        <f>IFERROR(VLOOKUP(A152,'[1]MC Masterlist 2026-09-12'!$B:$M, 11, 0),0)</f>
        <v>15</v>
      </c>
      <c r="W152" s="46">
        <f t="shared" si="37"/>
        <v>30</v>
      </c>
      <c r="X152" s="46">
        <f t="shared" si="38"/>
        <v>29.5</v>
      </c>
      <c r="Y152" s="46">
        <f>IFERROR(IF(OR(C152="AREA I",C152="AREA V"),7,VLOOKUP(A152,'[1]MC Masterlist 2026-09-12'!$B:$M, 12, 0)),0)</f>
        <v>30</v>
      </c>
      <c r="Z152" s="46">
        <f t="shared" si="39"/>
        <v>0.5</v>
      </c>
      <c r="AA152" s="46">
        <f t="shared" si="40"/>
        <v>1</v>
      </c>
      <c r="AB152" s="46">
        <f t="shared" si="41"/>
        <v>0.98333333333333328</v>
      </c>
      <c r="AC152" s="46">
        <f t="shared" si="42"/>
        <v>1</v>
      </c>
      <c r="AD152" s="44" t="str">
        <f t="shared" si="43"/>
        <v>Stockout</v>
      </c>
      <c r="AE152" s="44" t="str">
        <f>IFERROR(VLOOKUP(A152,'[1]Re-order'!$A:$AA,27,0),"")</f>
        <v>Re-order</v>
      </c>
      <c r="AF152" s="46">
        <f t="shared" si="44"/>
        <v>1</v>
      </c>
      <c r="AG152" s="46">
        <f>SUMIFS('[1]Raw Inventory'!D:D,'[1]Raw Inventory'!C:C,"GREATWALL",'[1]Raw Inventory'!B:B,A152)</f>
        <v>0</v>
      </c>
      <c r="AH152" s="46">
        <f>SUMIFS('[1]Raw Inventory'!D:D,'[1]Raw Inventory'!C:C,"DUARTE",'[1]Raw Inventory'!B:B,A152)</f>
        <v>0</v>
      </c>
      <c r="AI152" s="46"/>
      <c r="AJ152" s="46"/>
      <c r="AK152" s="43"/>
      <c r="AL152" s="43"/>
      <c r="AM152" s="43"/>
      <c r="AN152" s="43"/>
      <c r="AO152" s="43"/>
      <c r="AP152" s="43"/>
      <c r="AQ152" s="43"/>
      <c r="AR152" s="43"/>
      <c r="AS152" s="43"/>
      <c r="AT152" s="43"/>
    </row>
    <row r="153" spans="1:46">
      <c r="A153" s="43" t="s">
        <v>62</v>
      </c>
      <c r="B153" s="43" t="s">
        <v>5</v>
      </c>
      <c r="C153" s="43" t="s">
        <v>118</v>
      </c>
      <c r="D153" s="44" t="s">
        <v>267</v>
      </c>
      <c r="E153" s="44">
        <v>23</v>
      </c>
      <c r="F153" s="44" t="s">
        <v>3</v>
      </c>
      <c r="G153" s="43" t="str">
        <f>IFERROR(VLOOKUP(A153,'[1]MC Masterlist 2026-09-12'!$B:$M, 3, 0),"")</f>
        <v>HONDA</v>
      </c>
      <c r="H153" s="45">
        <f>IFERROR(VLOOKUP(A153,'[1]MC Masterlist 2026-09-12'!$B:$M, 6, 0),"")</f>
        <v>123310</v>
      </c>
      <c r="I153" s="46">
        <v>0</v>
      </c>
      <c r="J153" s="46">
        <v>0</v>
      </c>
      <c r="K153" s="46">
        <v>0</v>
      </c>
      <c r="L153" s="46">
        <f t="shared" si="30"/>
        <v>0</v>
      </c>
      <c r="M153" s="46">
        <f t="shared" si="31"/>
        <v>0</v>
      </c>
      <c r="N153" s="45">
        <f t="shared" si="32"/>
        <v>0</v>
      </c>
      <c r="O153" s="45">
        <f t="shared" si="33"/>
        <v>0</v>
      </c>
      <c r="P153" s="46">
        <f t="shared" si="34"/>
        <v>0</v>
      </c>
      <c r="Q153" s="46">
        <v>1</v>
      </c>
      <c r="R153" s="45">
        <f t="shared" si="35"/>
        <v>123310</v>
      </c>
      <c r="S153" s="46">
        <f t="shared" si="36"/>
        <v>0</v>
      </c>
      <c r="T153" s="46">
        <f>IFERROR(VLOOKUP(A153,'[1]Re-order'!$A:$Q,17,0),"")</f>
        <v>165</v>
      </c>
      <c r="U153" s="46">
        <f>IFERROR(VLOOKUP(A153,'[1]MC Masterlist 2026-09-12'!$B:$M, 10, 0),0)</f>
        <v>15</v>
      </c>
      <c r="V153" s="46">
        <f>IFERROR(VLOOKUP(A153,'[1]MC Masterlist 2026-09-12'!$B:$M, 11, 0),0)</f>
        <v>15</v>
      </c>
      <c r="W153" s="46">
        <f t="shared" si="37"/>
        <v>30</v>
      </c>
      <c r="X153" s="46">
        <f t="shared" si="38"/>
        <v>30</v>
      </c>
      <c r="Y153" s="46">
        <f>IFERROR(IF(OR(C153="AREA I",C153="AREA V"),7,VLOOKUP(A153,'[1]MC Masterlist 2026-09-12'!$B:$M, 12, 0)),0)</f>
        <v>30</v>
      </c>
      <c r="Z153" s="46">
        <f t="shared" si="39"/>
        <v>0</v>
      </c>
      <c r="AA153" s="46">
        <f t="shared" si="40"/>
        <v>0</v>
      </c>
      <c r="AB153" s="46">
        <f t="shared" si="41"/>
        <v>0</v>
      </c>
      <c r="AC153" s="46">
        <f t="shared" si="42"/>
        <v>0</v>
      </c>
      <c r="AD153" s="44" t="str">
        <f t="shared" si="43"/>
        <v>Over</v>
      </c>
      <c r="AE153" s="44" t="str">
        <f>IFERROR(VLOOKUP(A153,'[1]Re-order'!$A:$AA,27,0),"")</f>
        <v>Over</v>
      </c>
      <c r="AF153" s="46">
        <f t="shared" si="44"/>
        <v>-1</v>
      </c>
      <c r="AG153" s="46">
        <f>SUMIFS('[1]Raw Inventory'!D:D,'[1]Raw Inventory'!C:C,"GREATWALL",'[1]Raw Inventory'!B:B,A153)</f>
        <v>4</v>
      </c>
      <c r="AH153" s="46">
        <f>SUMIFS('[1]Raw Inventory'!D:D,'[1]Raw Inventory'!C:C,"DUARTE",'[1]Raw Inventory'!B:B,A153)</f>
        <v>0</v>
      </c>
      <c r="AI153" s="46"/>
      <c r="AJ153" s="46"/>
      <c r="AK153" s="43"/>
      <c r="AL153" s="43"/>
      <c r="AM153" s="43"/>
      <c r="AN153" s="43"/>
      <c r="AO153" s="43"/>
      <c r="AP153" s="43"/>
      <c r="AQ153" s="43"/>
      <c r="AR153" s="43"/>
      <c r="AS153" s="43"/>
      <c r="AT153" s="43"/>
    </row>
    <row r="154" spans="1:46">
      <c r="A154" s="43" t="s">
        <v>26</v>
      </c>
      <c r="B154" s="43" t="s">
        <v>21</v>
      </c>
      <c r="C154" s="43" t="s">
        <v>1</v>
      </c>
      <c r="D154" s="44" t="s">
        <v>238</v>
      </c>
      <c r="E154" s="44">
        <v>2</v>
      </c>
      <c r="F154" s="44" t="s">
        <v>0</v>
      </c>
      <c r="G154" s="43" t="str">
        <f>IFERROR(VLOOKUP(A154,'[1]MC Masterlist 2026-09-12'!$B:$M, 3, 0),"")</f>
        <v>SUZUKI</v>
      </c>
      <c r="H154" s="45">
        <f>IFERROR(VLOOKUP(A154,'[1]MC Masterlist 2026-09-12'!$B:$M, 6, 0),"")</f>
        <v>123700</v>
      </c>
      <c r="I154" s="46">
        <v>5</v>
      </c>
      <c r="J154" s="46">
        <v>4</v>
      </c>
      <c r="K154" s="46">
        <v>3</v>
      </c>
      <c r="L154" s="46">
        <f t="shared" si="30"/>
        <v>12</v>
      </c>
      <c r="M154" s="46">
        <f t="shared" si="31"/>
        <v>4</v>
      </c>
      <c r="N154" s="45">
        <f t="shared" si="32"/>
        <v>1484400</v>
      </c>
      <c r="O154" s="45">
        <f t="shared" si="33"/>
        <v>494800</v>
      </c>
      <c r="P154" s="46">
        <f t="shared" si="34"/>
        <v>0.13333333333333333</v>
      </c>
      <c r="Q154" s="46">
        <v>1</v>
      </c>
      <c r="R154" s="45">
        <f t="shared" si="35"/>
        <v>123700</v>
      </c>
      <c r="S154" s="46">
        <f t="shared" si="36"/>
        <v>7.5</v>
      </c>
      <c r="T154" s="46">
        <f>IFERROR(VLOOKUP(A154,'[1]Re-order'!$A:$Q,17,0),"")</f>
        <v>71.470588235294116</v>
      </c>
      <c r="U154" s="46">
        <f>IFERROR(VLOOKUP(A154,'[1]MC Masterlist 2026-09-12'!$B:$M, 10, 0),0)</f>
        <v>15</v>
      </c>
      <c r="V154" s="46">
        <f>IFERROR(VLOOKUP(A154,'[1]MC Masterlist 2026-09-12'!$B:$M, 11, 0),0)</f>
        <v>15</v>
      </c>
      <c r="W154" s="46">
        <f t="shared" si="37"/>
        <v>30</v>
      </c>
      <c r="X154" s="46">
        <f t="shared" si="38"/>
        <v>5</v>
      </c>
      <c r="Y154" s="46">
        <f>IFERROR(IF(OR(C154="AREA I",C154="AREA V"),7,VLOOKUP(A154,'[1]MC Masterlist 2026-09-12'!$B:$M, 12, 0)),0)</f>
        <v>7</v>
      </c>
      <c r="Z154" s="46">
        <f t="shared" si="39"/>
        <v>2</v>
      </c>
      <c r="AA154" s="46">
        <f t="shared" si="40"/>
        <v>4</v>
      </c>
      <c r="AB154" s="46">
        <f t="shared" si="41"/>
        <v>0.66666666666666663</v>
      </c>
      <c r="AC154" s="46">
        <f t="shared" si="42"/>
        <v>0.93333333333333335</v>
      </c>
      <c r="AD154" s="44" t="str">
        <f t="shared" si="43"/>
        <v>Over</v>
      </c>
      <c r="AE154" s="44" t="str">
        <f>IFERROR(VLOOKUP(A154,'[1]Re-order'!$A:$AA,27,0),"")</f>
        <v>Re-order</v>
      </c>
      <c r="AF154" s="46">
        <f t="shared" si="44"/>
        <v>-6.6666666666666652E-2</v>
      </c>
      <c r="AG154" s="46">
        <f>SUMIFS('[1]Raw Inventory'!D:D,'[1]Raw Inventory'!C:C,"GREATWALL",'[1]Raw Inventory'!B:B,A154)</f>
        <v>30</v>
      </c>
      <c r="AH154" s="46">
        <f>SUMIFS('[1]Raw Inventory'!D:D,'[1]Raw Inventory'!C:C,"DUARTE",'[1]Raw Inventory'!B:B,A154)</f>
        <v>0</v>
      </c>
      <c r="AI154" s="46"/>
      <c r="AJ154" s="46"/>
      <c r="AK154" s="43"/>
      <c r="AL154" s="43"/>
      <c r="AM154" s="43"/>
      <c r="AN154" s="43"/>
      <c r="AO154" s="43"/>
      <c r="AP154" s="43"/>
      <c r="AQ154" s="43"/>
      <c r="AR154" s="43"/>
      <c r="AS154" s="43"/>
      <c r="AT154" s="43"/>
    </row>
    <row r="155" spans="1:46">
      <c r="A155" s="43" t="s">
        <v>12</v>
      </c>
      <c r="B155" s="43" t="s">
        <v>91</v>
      </c>
      <c r="C155" s="43" t="s">
        <v>90</v>
      </c>
      <c r="D155" s="44" t="s">
        <v>238</v>
      </c>
      <c r="E155" s="44">
        <v>2</v>
      </c>
      <c r="F155" s="44" t="s">
        <v>0</v>
      </c>
      <c r="G155" s="43" t="str">
        <f>IFERROR(VLOOKUP(A155,'[1]MC Masterlist 2026-09-12'!$B:$M, 3, 0),"")</f>
        <v>HONDA</v>
      </c>
      <c r="H155" s="45">
        <f>IFERROR(VLOOKUP(A155,'[1]MC Masterlist 2026-09-12'!$B:$M, 6, 0),"")</f>
        <v>158270</v>
      </c>
      <c r="I155" s="46">
        <v>0</v>
      </c>
      <c r="J155" s="46">
        <v>4</v>
      </c>
      <c r="K155" s="46">
        <v>1</v>
      </c>
      <c r="L155" s="46">
        <f t="shared" si="30"/>
        <v>5</v>
      </c>
      <c r="M155" s="46">
        <f t="shared" si="31"/>
        <v>1.6666666666666667</v>
      </c>
      <c r="N155" s="45">
        <f t="shared" si="32"/>
        <v>791350</v>
      </c>
      <c r="O155" s="45">
        <f t="shared" si="33"/>
        <v>263783.33333333337</v>
      </c>
      <c r="P155" s="46">
        <f t="shared" si="34"/>
        <v>5.5555555555555559E-2</v>
      </c>
      <c r="Q155" s="46">
        <v>2</v>
      </c>
      <c r="R155" s="45">
        <f t="shared" si="35"/>
        <v>316540</v>
      </c>
      <c r="S155" s="46">
        <f t="shared" si="36"/>
        <v>35.999999999999993</v>
      </c>
      <c r="T155" s="46">
        <f>IFERROR(VLOOKUP(A155,'[1]Re-order'!$A:$Q,17,0),"")</f>
        <v>46.461038961038959</v>
      </c>
      <c r="U155" s="46">
        <f>IFERROR(VLOOKUP(A155,'[1]MC Masterlist 2026-09-12'!$B:$M, 10, 0),0)</f>
        <v>15</v>
      </c>
      <c r="V155" s="46">
        <f>IFERROR(VLOOKUP(A155,'[1]MC Masterlist 2026-09-12'!$B:$M, 11, 0),0)</f>
        <v>15</v>
      </c>
      <c r="W155" s="46">
        <f t="shared" si="37"/>
        <v>30</v>
      </c>
      <c r="X155" s="46">
        <f t="shared" si="38"/>
        <v>29.166666666666668</v>
      </c>
      <c r="Y155" s="46">
        <f>IFERROR(IF(OR(C155="AREA I",C155="AREA V"),7,VLOOKUP(A155,'[1]MC Masterlist 2026-09-12'!$B:$M, 12, 0)),0)</f>
        <v>30</v>
      </c>
      <c r="Z155" s="46">
        <f t="shared" si="39"/>
        <v>0.83333333333333337</v>
      </c>
      <c r="AA155" s="46">
        <f t="shared" si="40"/>
        <v>1.6666666666666667</v>
      </c>
      <c r="AB155" s="46">
        <f t="shared" si="41"/>
        <v>1.6203703703703705</v>
      </c>
      <c r="AC155" s="46">
        <f t="shared" si="42"/>
        <v>1.6666666666666667</v>
      </c>
      <c r="AD155" s="44" t="str">
        <f t="shared" si="43"/>
        <v>Over</v>
      </c>
      <c r="AE155" s="44" t="str">
        <f>IFERROR(VLOOKUP(A155,'[1]Re-order'!$A:$AA,27,0),"")</f>
        <v>Re-order</v>
      </c>
      <c r="AF155" s="46">
        <f t="shared" si="44"/>
        <v>-0.33333333333333326</v>
      </c>
      <c r="AG155" s="46">
        <f>SUMIFS('[1]Raw Inventory'!D:D,'[1]Raw Inventory'!C:C,"GREATWALL",'[1]Raw Inventory'!B:B,A155)</f>
        <v>35</v>
      </c>
      <c r="AH155" s="46">
        <f>SUMIFS('[1]Raw Inventory'!D:D,'[1]Raw Inventory'!C:C,"DUARTE",'[1]Raw Inventory'!B:B,A155)</f>
        <v>0</v>
      </c>
      <c r="AI155" s="46"/>
      <c r="AJ155" s="46"/>
      <c r="AK155" s="43"/>
      <c r="AL155" s="43"/>
      <c r="AM155" s="43"/>
      <c r="AN155" s="43"/>
      <c r="AO155" s="43"/>
      <c r="AP155" s="43"/>
      <c r="AQ155" s="43"/>
      <c r="AR155" s="43"/>
      <c r="AS155" s="43"/>
      <c r="AT155" s="43"/>
    </row>
    <row r="156" spans="1:46">
      <c r="A156" s="43" t="s">
        <v>28</v>
      </c>
      <c r="B156" s="43" t="s">
        <v>153</v>
      </c>
      <c r="C156" s="43" t="s">
        <v>152</v>
      </c>
      <c r="D156" s="44" t="s">
        <v>256</v>
      </c>
      <c r="E156" s="44">
        <v>11</v>
      </c>
      <c r="F156" s="44" t="s">
        <v>2</v>
      </c>
      <c r="G156" s="43" t="str">
        <f>IFERROR(VLOOKUP(A156,'[1]MC Masterlist 2026-09-12'!$B:$M, 3, 0),"")</f>
        <v>YAMAHA</v>
      </c>
      <c r="H156" s="45">
        <f>IFERROR(VLOOKUP(A156,'[1]MC Masterlist 2026-09-12'!$B:$M, 6, 0),"")</f>
        <v>147312</v>
      </c>
      <c r="I156" s="46">
        <v>0</v>
      </c>
      <c r="J156" s="46">
        <v>0</v>
      </c>
      <c r="K156" s="46">
        <v>1</v>
      </c>
      <c r="L156" s="46">
        <f t="shared" si="30"/>
        <v>1</v>
      </c>
      <c r="M156" s="46">
        <f t="shared" si="31"/>
        <v>0.33333333333333331</v>
      </c>
      <c r="N156" s="45">
        <f t="shared" si="32"/>
        <v>147312</v>
      </c>
      <c r="O156" s="45">
        <f t="shared" si="33"/>
        <v>49104</v>
      </c>
      <c r="P156" s="46">
        <f t="shared" si="34"/>
        <v>1.111111111111111E-2</v>
      </c>
      <c r="Q156" s="46">
        <v>2</v>
      </c>
      <c r="R156" s="45">
        <f t="shared" si="35"/>
        <v>294624</v>
      </c>
      <c r="S156" s="46">
        <f t="shared" si="36"/>
        <v>180</v>
      </c>
      <c r="T156" s="46">
        <f>IFERROR(VLOOKUP(A156,'[1]Re-order'!$A:$Q,17,0),"")</f>
        <v>8.2417582417582427</v>
      </c>
      <c r="U156" s="46">
        <f>IFERROR(VLOOKUP(A156,'[1]MC Masterlist 2026-09-12'!$B:$M, 10, 0),0)</f>
        <v>15</v>
      </c>
      <c r="V156" s="46">
        <f>IFERROR(VLOOKUP(A156,'[1]MC Masterlist 2026-09-12'!$B:$M, 11, 0),0)</f>
        <v>15</v>
      </c>
      <c r="W156" s="46">
        <f t="shared" si="37"/>
        <v>30</v>
      </c>
      <c r="X156" s="46">
        <f t="shared" si="38"/>
        <v>29.833333333333332</v>
      </c>
      <c r="Y156" s="46">
        <f>IFERROR(IF(OR(C156="AREA I",C156="AREA V"),7,VLOOKUP(A156,'[1]MC Masterlist 2026-09-12'!$B:$M, 12, 0)),0)</f>
        <v>30</v>
      </c>
      <c r="Z156" s="46">
        <f t="shared" si="39"/>
        <v>0.16666666666666666</v>
      </c>
      <c r="AA156" s="46">
        <f t="shared" si="40"/>
        <v>0.33333333333333331</v>
      </c>
      <c r="AB156" s="46">
        <f t="shared" si="41"/>
        <v>0.33148148148148143</v>
      </c>
      <c r="AC156" s="46">
        <f t="shared" si="42"/>
        <v>0.33333333333333331</v>
      </c>
      <c r="AD156" s="44" t="str">
        <f t="shared" si="43"/>
        <v>Over</v>
      </c>
      <c r="AE156" s="44" t="str">
        <f>IFERROR(VLOOKUP(A156,'[1]Re-order'!$A:$AA,27,0),"")</f>
        <v>Stockout</v>
      </c>
      <c r="AF156" s="46">
        <f t="shared" si="44"/>
        <v>-1.6666666666666667</v>
      </c>
      <c r="AG156" s="46">
        <f>SUMIFS('[1]Raw Inventory'!D:D,'[1]Raw Inventory'!C:C,"GREATWALL",'[1]Raw Inventory'!B:B,A156)</f>
        <v>0</v>
      </c>
      <c r="AH156" s="46">
        <f>SUMIFS('[1]Raw Inventory'!D:D,'[1]Raw Inventory'!C:C,"DUARTE",'[1]Raw Inventory'!B:B,A156)</f>
        <v>0</v>
      </c>
      <c r="AI156" s="46"/>
      <c r="AJ156" s="46"/>
      <c r="AK156" s="43"/>
      <c r="AL156" s="43"/>
      <c r="AM156" s="43"/>
      <c r="AN156" s="43"/>
      <c r="AO156" s="43"/>
      <c r="AP156" s="43"/>
      <c r="AQ156" s="43"/>
      <c r="AR156" s="43"/>
      <c r="AS156" s="43"/>
      <c r="AT156" s="43"/>
    </row>
    <row r="157" spans="1:46">
      <c r="A157" s="43" t="s">
        <v>37</v>
      </c>
      <c r="B157" s="43" t="s">
        <v>160</v>
      </c>
      <c r="C157" s="43" t="s">
        <v>159</v>
      </c>
      <c r="D157" s="44" t="s">
        <v>257</v>
      </c>
      <c r="E157" s="44">
        <v>21</v>
      </c>
      <c r="F157" s="44" t="s">
        <v>3</v>
      </c>
      <c r="G157" s="43" t="str">
        <f>IFERROR(VLOOKUP(A157,'[1]MC Masterlist 2026-09-12'!$B:$M, 3, 0),"")</f>
        <v>HONDA</v>
      </c>
      <c r="H157" s="45">
        <f>IFERROR(VLOOKUP(A157,'[1]MC Masterlist 2026-09-12'!$B:$M, 6, 0),"")</f>
        <v>74550</v>
      </c>
      <c r="I157" s="46">
        <v>0</v>
      </c>
      <c r="J157" s="46">
        <v>0</v>
      </c>
      <c r="K157" s="46">
        <v>1</v>
      </c>
      <c r="L157" s="46">
        <f t="shared" si="30"/>
        <v>1</v>
      </c>
      <c r="M157" s="46">
        <f t="shared" si="31"/>
        <v>0.33333333333333331</v>
      </c>
      <c r="N157" s="45">
        <f t="shared" si="32"/>
        <v>74550</v>
      </c>
      <c r="O157" s="45">
        <f t="shared" si="33"/>
        <v>24850</v>
      </c>
      <c r="P157" s="46">
        <f t="shared" si="34"/>
        <v>1.111111111111111E-2</v>
      </c>
      <c r="Q157" s="46">
        <v>1</v>
      </c>
      <c r="R157" s="45">
        <f t="shared" si="35"/>
        <v>74550</v>
      </c>
      <c r="S157" s="46">
        <f t="shared" si="36"/>
        <v>90</v>
      </c>
      <c r="T157" s="46">
        <f>IFERROR(VLOOKUP(A157,'[1]Re-order'!$A:$Q,17,0),"")</f>
        <v>33.652173913043477</v>
      </c>
      <c r="U157" s="46">
        <f>IFERROR(VLOOKUP(A157,'[1]MC Masterlist 2026-09-12'!$B:$M, 10, 0),0)</f>
        <v>15</v>
      </c>
      <c r="V157" s="46">
        <f>IFERROR(VLOOKUP(A157,'[1]MC Masterlist 2026-09-12'!$B:$M, 11, 0),0)</f>
        <v>15</v>
      </c>
      <c r="W157" s="46">
        <f t="shared" si="37"/>
        <v>30</v>
      </c>
      <c r="X157" s="46">
        <f t="shared" si="38"/>
        <v>29.833333333333332</v>
      </c>
      <c r="Y157" s="46">
        <f>IFERROR(IF(OR(C157="AREA I",C157="AREA V"),7,VLOOKUP(A157,'[1]MC Masterlist 2026-09-12'!$B:$M, 12, 0)),0)</f>
        <v>30</v>
      </c>
      <c r="Z157" s="46">
        <f t="shared" si="39"/>
        <v>0.16666666666666666</v>
      </c>
      <c r="AA157" s="46">
        <f t="shared" si="40"/>
        <v>0.33333333333333331</v>
      </c>
      <c r="AB157" s="46">
        <f t="shared" si="41"/>
        <v>0.33148148148148143</v>
      </c>
      <c r="AC157" s="46">
        <f t="shared" si="42"/>
        <v>0.33333333333333331</v>
      </c>
      <c r="AD157" s="44" t="str">
        <f t="shared" si="43"/>
        <v>Over</v>
      </c>
      <c r="AE157" s="44" t="str">
        <f>IFERROR(VLOOKUP(A157,'[1]Re-order'!$A:$AA,27,0),"")</f>
        <v>Re-order</v>
      </c>
      <c r="AF157" s="46">
        <f t="shared" si="44"/>
        <v>-0.66666666666666674</v>
      </c>
      <c r="AG157" s="46">
        <f>SUMIFS('[1]Raw Inventory'!D:D,'[1]Raw Inventory'!C:C,"GREATWALL",'[1]Raw Inventory'!B:B,A157)</f>
        <v>28</v>
      </c>
      <c r="AH157" s="46">
        <f>SUMIFS('[1]Raw Inventory'!D:D,'[1]Raw Inventory'!C:C,"DUARTE",'[1]Raw Inventory'!B:B,A157)</f>
        <v>0</v>
      </c>
      <c r="AI157" s="46"/>
      <c r="AJ157" s="46"/>
      <c r="AK157" s="43"/>
      <c r="AL157" s="43"/>
      <c r="AM157" s="43"/>
      <c r="AN157" s="43"/>
      <c r="AO157" s="43"/>
      <c r="AP157" s="43"/>
      <c r="AQ157" s="43"/>
      <c r="AR157" s="43"/>
      <c r="AS157" s="43"/>
      <c r="AT157" s="43"/>
    </row>
    <row r="158" spans="1:46">
      <c r="A158" s="43" t="s">
        <v>79</v>
      </c>
      <c r="B158" s="43" t="s">
        <v>120</v>
      </c>
      <c r="C158" s="43" t="s">
        <v>118</v>
      </c>
      <c r="D158" s="44" t="s">
        <v>237</v>
      </c>
      <c r="E158" s="44">
        <v>23</v>
      </c>
      <c r="F158" s="44" t="s">
        <v>3</v>
      </c>
      <c r="G158" s="43" t="str">
        <f>IFERROR(VLOOKUP(A158,'[1]MC Masterlist 2026-09-12'!$B:$M, 3, 0),"")</f>
        <v>SUZUKI</v>
      </c>
      <c r="H158" s="45">
        <f>IFERROR(VLOOKUP(A158,'[1]MC Masterlist 2026-09-12'!$B:$M, 6, 0),"")</f>
        <v>78872</v>
      </c>
      <c r="I158" s="46">
        <v>0</v>
      </c>
      <c r="J158" s="46">
        <v>0</v>
      </c>
      <c r="K158" s="46">
        <v>0</v>
      </c>
      <c r="L158" s="46">
        <f t="shared" si="30"/>
        <v>0</v>
      </c>
      <c r="M158" s="46">
        <f t="shared" si="31"/>
        <v>0</v>
      </c>
      <c r="N158" s="45">
        <f t="shared" si="32"/>
        <v>0</v>
      </c>
      <c r="O158" s="45">
        <f t="shared" si="33"/>
        <v>0</v>
      </c>
      <c r="P158" s="46">
        <f t="shared" si="34"/>
        <v>0</v>
      </c>
      <c r="Q158" s="46">
        <v>1</v>
      </c>
      <c r="R158" s="45">
        <f t="shared" si="35"/>
        <v>78872</v>
      </c>
      <c r="S158" s="46">
        <f t="shared" si="36"/>
        <v>0</v>
      </c>
      <c r="T158" s="46">
        <f>IFERROR(VLOOKUP(A158,'[1]Re-order'!$A:$Q,17,0),"")</f>
        <v>72</v>
      </c>
      <c r="U158" s="46">
        <f>IFERROR(VLOOKUP(A158,'[1]MC Masterlist 2026-09-12'!$B:$M, 10, 0),0)</f>
        <v>15</v>
      </c>
      <c r="V158" s="46">
        <f>IFERROR(VLOOKUP(A158,'[1]MC Masterlist 2026-09-12'!$B:$M, 11, 0),0)</f>
        <v>15</v>
      </c>
      <c r="W158" s="46">
        <f t="shared" si="37"/>
        <v>30</v>
      </c>
      <c r="X158" s="46">
        <f t="shared" si="38"/>
        <v>30</v>
      </c>
      <c r="Y158" s="46">
        <f>IFERROR(IF(OR(C158="AREA I",C158="AREA V"),7,VLOOKUP(A158,'[1]MC Masterlist 2026-09-12'!$B:$M, 12, 0)),0)</f>
        <v>30</v>
      </c>
      <c r="Z158" s="46">
        <f t="shared" si="39"/>
        <v>0</v>
      </c>
      <c r="AA158" s="46">
        <f t="shared" si="40"/>
        <v>0</v>
      </c>
      <c r="AB158" s="46">
        <f t="shared" si="41"/>
        <v>0</v>
      </c>
      <c r="AC158" s="46">
        <f t="shared" si="42"/>
        <v>0</v>
      </c>
      <c r="AD158" s="44" t="str">
        <f t="shared" si="43"/>
        <v>Over</v>
      </c>
      <c r="AE158" s="44" t="str">
        <f>IFERROR(VLOOKUP(A158,'[1]Re-order'!$A:$AA,27,0),"")</f>
        <v>Re-order</v>
      </c>
      <c r="AF158" s="46">
        <f t="shared" si="44"/>
        <v>-1</v>
      </c>
      <c r="AG158" s="46">
        <f>SUMIFS('[1]Raw Inventory'!D:D,'[1]Raw Inventory'!C:C,"GREATWALL",'[1]Raw Inventory'!B:B,A158)</f>
        <v>0</v>
      </c>
      <c r="AH158" s="46">
        <f>SUMIFS('[1]Raw Inventory'!D:D,'[1]Raw Inventory'!C:C,"DUARTE",'[1]Raw Inventory'!B:B,A158)</f>
        <v>0</v>
      </c>
      <c r="AI158" s="46"/>
      <c r="AJ158" s="46"/>
      <c r="AK158" s="43"/>
      <c r="AL158" s="43"/>
      <c r="AM158" s="43"/>
      <c r="AN158" s="43"/>
      <c r="AO158" s="43"/>
      <c r="AP158" s="43"/>
      <c r="AQ158" s="43"/>
      <c r="AR158" s="43"/>
      <c r="AS158" s="43"/>
      <c r="AT158" s="43"/>
    </row>
    <row r="159" spans="1:46">
      <c r="A159" s="43" t="s">
        <v>64</v>
      </c>
      <c r="B159" s="43" t="s">
        <v>97</v>
      </c>
      <c r="C159" s="43" t="s">
        <v>90</v>
      </c>
      <c r="D159" s="44" t="s">
        <v>224</v>
      </c>
      <c r="E159" s="44">
        <v>7</v>
      </c>
      <c r="F159" s="44" t="s">
        <v>2</v>
      </c>
      <c r="G159" s="43" t="str">
        <f>IFERROR(VLOOKUP(A159,'[1]MC Masterlist 2026-09-12'!$B:$M, 3, 0),"")</f>
        <v>HONDA</v>
      </c>
      <c r="H159" s="45">
        <f>IFERROR(VLOOKUP(A159,'[1]MC Masterlist 2026-09-12'!$B:$M, 6, 0),"")</f>
        <v>73170</v>
      </c>
      <c r="I159" s="46">
        <v>0</v>
      </c>
      <c r="J159" s="46">
        <v>3</v>
      </c>
      <c r="K159" s="46">
        <v>0</v>
      </c>
      <c r="L159" s="46">
        <f t="shared" si="30"/>
        <v>3</v>
      </c>
      <c r="M159" s="46">
        <f t="shared" si="31"/>
        <v>1</v>
      </c>
      <c r="N159" s="45">
        <f t="shared" si="32"/>
        <v>219510</v>
      </c>
      <c r="O159" s="45">
        <f t="shared" si="33"/>
        <v>73170</v>
      </c>
      <c r="P159" s="46">
        <f t="shared" si="34"/>
        <v>3.3333333333333333E-2</v>
      </c>
      <c r="Q159" s="46"/>
      <c r="R159" s="45">
        <f t="shared" si="35"/>
        <v>0</v>
      </c>
      <c r="S159" s="46">
        <f t="shared" si="36"/>
        <v>0</v>
      </c>
      <c r="T159" s="46">
        <f>IFERROR(VLOOKUP(A159,'[1]Re-order'!$A:$Q,17,0),"")</f>
        <v>76.153846153846146</v>
      </c>
      <c r="U159" s="46">
        <f>IFERROR(VLOOKUP(A159,'[1]MC Masterlist 2026-09-12'!$B:$M, 10, 0),0)</f>
        <v>15</v>
      </c>
      <c r="V159" s="46">
        <f>IFERROR(VLOOKUP(A159,'[1]MC Masterlist 2026-09-12'!$B:$M, 11, 0),0)</f>
        <v>15</v>
      </c>
      <c r="W159" s="46">
        <f t="shared" si="37"/>
        <v>30</v>
      </c>
      <c r="X159" s="46">
        <f t="shared" si="38"/>
        <v>29.5</v>
      </c>
      <c r="Y159" s="46">
        <f>IFERROR(IF(OR(C159="AREA I",C159="AREA V"),7,VLOOKUP(A159,'[1]MC Masterlist 2026-09-12'!$B:$M, 12, 0)),0)</f>
        <v>30</v>
      </c>
      <c r="Z159" s="46">
        <f t="shared" si="39"/>
        <v>0.5</v>
      </c>
      <c r="AA159" s="46">
        <f t="shared" si="40"/>
        <v>1</v>
      </c>
      <c r="AB159" s="46">
        <f t="shared" si="41"/>
        <v>0.98333333333333328</v>
      </c>
      <c r="AC159" s="46">
        <f t="shared" si="42"/>
        <v>1</v>
      </c>
      <c r="AD159" s="44" t="str">
        <f t="shared" si="43"/>
        <v>Stockout</v>
      </c>
      <c r="AE159" s="44" t="str">
        <f>IFERROR(VLOOKUP(A159,'[1]Re-order'!$A:$AA,27,0),"")</f>
        <v/>
      </c>
      <c r="AF159" s="46">
        <f t="shared" si="44"/>
        <v>1</v>
      </c>
      <c r="AG159" s="46">
        <f>SUMIFS('[1]Raw Inventory'!D:D,'[1]Raw Inventory'!C:C,"GREATWALL",'[1]Raw Inventory'!B:B,A159)</f>
        <v>13</v>
      </c>
      <c r="AH159" s="46">
        <f>SUMIFS('[1]Raw Inventory'!D:D,'[1]Raw Inventory'!C:C,"DUARTE",'[1]Raw Inventory'!B:B,A159)</f>
        <v>0</v>
      </c>
      <c r="AI159" s="46"/>
      <c r="AJ159" s="46"/>
      <c r="AK159" s="43"/>
      <c r="AL159" s="43"/>
      <c r="AM159" s="43"/>
      <c r="AN159" s="43"/>
      <c r="AO159" s="43"/>
      <c r="AP159" s="43"/>
      <c r="AQ159" s="43"/>
      <c r="AR159" s="43"/>
      <c r="AS159" s="43"/>
      <c r="AT159" s="43"/>
    </row>
    <row r="160" spans="1:46">
      <c r="A160" s="43" t="s">
        <v>82</v>
      </c>
      <c r="B160" s="43" t="s">
        <v>129</v>
      </c>
      <c r="C160" s="43" t="s">
        <v>128</v>
      </c>
      <c r="D160" s="44" t="s">
        <v>267</v>
      </c>
      <c r="E160" s="44">
        <v>24</v>
      </c>
      <c r="F160" s="44" t="s">
        <v>3</v>
      </c>
      <c r="G160" s="43" t="str">
        <f>IFERROR(VLOOKUP(A160,'[1]MC Masterlist 2026-09-12'!$B:$M, 3, 0),"")</f>
        <v>SUZUKI</v>
      </c>
      <c r="H160" s="45">
        <f>IFERROR(VLOOKUP(A160,'[1]MC Masterlist 2026-09-12'!$B:$M, 6, 0),"")</f>
        <v>67342</v>
      </c>
      <c r="I160" s="46">
        <v>0</v>
      </c>
      <c r="J160" s="46">
        <v>0</v>
      </c>
      <c r="K160" s="46">
        <v>0</v>
      </c>
      <c r="L160" s="46">
        <f t="shared" si="30"/>
        <v>0</v>
      </c>
      <c r="M160" s="46">
        <f t="shared" si="31"/>
        <v>0</v>
      </c>
      <c r="N160" s="45">
        <f t="shared" si="32"/>
        <v>0</v>
      </c>
      <c r="O160" s="45">
        <f t="shared" si="33"/>
        <v>0</v>
      </c>
      <c r="P160" s="46">
        <f t="shared" si="34"/>
        <v>0</v>
      </c>
      <c r="Q160" s="46">
        <v>1</v>
      </c>
      <c r="R160" s="45">
        <f t="shared" si="35"/>
        <v>67342</v>
      </c>
      <c r="S160" s="46">
        <f t="shared" si="36"/>
        <v>0</v>
      </c>
      <c r="T160" s="46">
        <f>IFERROR(VLOOKUP(A160,'[1]Re-order'!$A:$Q,17,0),"")</f>
        <v>64.8</v>
      </c>
      <c r="U160" s="46">
        <f>IFERROR(VLOOKUP(A160,'[1]MC Masterlist 2026-09-12'!$B:$M, 10, 0),0)</f>
        <v>15</v>
      </c>
      <c r="V160" s="46">
        <f>IFERROR(VLOOKUP(A160,'[1]MC Masterlist 2026-09-12'!$B:$M, 11, 0),0)</f>
        <v>15</v>
      </c>
      <c r="W160" s="46">
        <f t="shared" si="37"/>
        <v>30</v>
      </c>
      <c r="X160" s="46">
        <f t="shared" si="38"/>
        <v>30</v>
      </c>
      <c r="Y160" s="46">
        <f>IFERROR(IF(OR(C160="AREA I",C160="AREA V"),7,VLOOKUP(A160,'[1]MC Masterlist 2026-09-12'!$B:$M, 12, 0)),0)</f>
        <v>30</v>
      </c>
      <c r="Z160" s="46">
        <f t="shared" si="39"/>
        <v>0</v>
      </c>
      <c r="AA160" s="46">
        <f t="shared" si="40"/>
        <v>0</v>
      </c>
      <c r="AB160" s="46">
        <f t="shared" si="41"/>
        <v>0</v>
      </c>
      <c r="AC160" s="46">
        <f t="shared" si="42"/>
        <v>0</v>
      </c>
      <c r="AD160" s="44" t="str">
        <f t="shared" si="43"/>
        <v>Over</v>
      </c>
      <c r="AE160" s="44" t="str">
        <f>IFERROR(VLOOKUP(A160,'[1]Re-order'!$A:$AA,27,0),"")</f>
        <v>Re-order</v>
      </c>
      <c r="AF160" s="46">
        <f t="shared" si="44"/>
        <v>-1</v>
      </c>
      <c r="AG160" s="46">
        <f>SUMIFS('[1]Raw Inventory'!D:D,'[1]Raw Inventory'!C:C,"GREATWALL",'[1]Raw Inventory'!B:B,A160)</f>
        <v>1</v>
      </c>
      <c r="AH160" s="46">
        <f>SUMIFS('[1]Raw Inventory'!D:D,'[1]Raw Inventory'!C:C,"DUARTE",'[1]Raw Inventory'!B:B,A160)</f>
        <v>0</v>
      </c>
      <c r="AI160" s="46"/>
      <c r="AJ160" s="46"/>
      <c r="AK160" s="43"/>
      <c r="AL160" s="43"/>
      <c r="AM160" s="43"/>
      <c r="AN160" s="43"/>
      <c r="AO160" s="43"/>
      <c r="AP160" s="43"/>
      <c r="AQ160" s="43"/>
      <c r="AR160" s="43"/>
      <c r="AS160" s="43"/>
      <c r="AT160" s="43"/>
    </row>
    <row r="161" spans="1:46">
      <c r="A161" s="43" t="s">
        <v>63</v>
      </c>
      <c r="B161" s="43" t="s">
        <v>111</v>
      </c>
      <c r="C161" s="43" t="s">
        <v>109</v>
      </c>
      <c r="D161" s="44" t="s">
        <v>252</v>
      </c>
      <c r="E161" s="44">
        <v>17</v>
      </c>
      <c r="F161" s="44" t="s">
        <v>2</v>
      </c>
      <c r="G161" s="43" t="str">
        <f>IFERROR(VLOOKUP(A161,'[1]MC Masterlist 2026-09-12'!$B:$M, 3, 0),"")</f>
        <v>HONDA</v>
      </c>
      <c r="H161" s="45">
        <f>IFERROR(VLOOKUP(A161,'[1]MC Masterlist 2026-09-12'!$B:$M, 6, 0),"")</f>
        <v>125150</v>
      </c>
      <c r="I161" s="46">
        <v>1</v>
      </c>
      <c r="J161" s="46">
        <v>0</v>
      </c>
      <c r="K161" s="46">
        <v>0</v>
      </c>
      <c r="L161" s="46">
        <f t="shared" si="30"/>
        <v>1</v>
      </c>
      <c r="M161" s="46">
        <f t="shared" si="31"/>
        <v>0.33333333333333331</v>
      </c>
      <c r="N161" s="45">
        <f t="shared" si="32"/>
        <v>125150</v>
      </c>
      <c r="O161" s="45">
        <f t="shared" si="33"/>
        <v>41716.666666666664</v>
      </c>
      <c r="P161" s="46">
        <f t="shared" si="34"/>
        <v>1.111111111111111E-2</v>
      </c>
      <c r="Q161" s="46"/>
      <c r="R161" s="45">
        <f t="shared" si="35"/>
        <v>0</v>
      </c>
      <c r="S161" s="46">
        <f t="shared" si="36"/>
        <v>0</v>
      </c>
      <c r="T161" s="46">
        <f>IFERROR(VLOOKUP(A161,'[1]Re-order'!$A:$Q,17,0),"")</f>
        <v>0</v>
      </c>
      <c r="U161" s="46">
        <f>IFERROR(VLOOKUP(A161,'[1]MC Masterlist 2026-09-12'!$B:$M, 10, 0),0)</f>
        <v>15</v>
      </c>
      <c r="V161" s="46">
        <f>IFERROR(VLOOKUP(A161,'[1]MC Masterlist 2026-09-12'!$B:$M, 11, 0),0)</f>
        <v>15</v>
      </c>
      <c r="W161" s="46">
        <f t="shared" si="37"/>
        <v>30</v>
      </c>
      <c r="X161" s="46">
        <f t="shared" si="38"/>
        <v>29.833333333333332</v>
      </c>
      <c r="Y161" s="46">
        <f>IFERROR(IF(OR(C161="AREA I",C161="AREA V"),7,VLOOKUP(A161,'[1]MC Masterlist 2026-09-12'!$B:$M, 12, 0)),0)</f>
        <v>30</v>
      </c>
      <c r="Z161" s="46">
        <f t="shared" si="39"/>
        <v>0.16666666666666666</v>
      </c>
      <c r="AA161" s="46">
        <f t="shared" si="40"/>
        <v>0.33333333333333331</v>
      </c>
      <c r="AB161" s="46">
        <f t="shared" si="41"/>
        <v>0.33148148148148143</v>
      </c>
      <c r="AC161" s="46">
        <f t="shared" si="42"/>
        <v>0.33333333333333331</v>
      </c>
      <c r="AD161" s="44" t="str">
        <f t="shared" si="43"/>
        <v>Stockout</v>
      </c>
      <c r="AE161" s="44" t="str">
        <f>IFERROR(VLOOKUP(A161,'[1]Re-order'!$A:$AA,27,0),"")</f>
        <v>Stockout</v>
      </c>
      <c r="AF161" s="46">
        <f t="shared" si="44"/>
        <v>0.33333333333333331</v>
      </c>
      <c r="AG161" s="46">
        <f>SUMIFS('[1]Raw Inventory'!D:D,'[1]Raw Inventory'!C:C,"GREATWALL",'[1]Raw Inventory'!B:B,A161)</f>
        <v>0</v>
      </c>
      <c r="AH161" s="46">
        <f>SUMIFS('[1]Raw Inventory'!D:D,'[1]Raw Inventory'!C:C,"DUARTE",'[1]Raw Inventory'!B:B,A161)</f>
        <v>0</v>
      </c>
      <c r="AI161" s="46"/>
      <c r="AJ161" s="46"/>
      <c r="AK161" s="43"/>
      <c r="AL161" s="43"/>
      <c r="AM161" s="43"/>
      <c r="AN161" s="43"/>
      <c r="AO161" s="43"/>
      <c r="AP161" s="43"/>
      <c r="AQ161" s="43"/>
      <c r="AR161" s="43"/>
      <c r="AS161" s="43"/>
      <c r="AT161" s="43"/>
    </row>
    <row r="162" spans="1:46">
      <c r="A162" s="43" t="s">
        <v>50</v>
      </c>
      <c r="B162" s="43" t="s">
        <v>155</v>
      </c>
      <c r="C162" s="43" t="s">
        <v>152</v>
      </c>
      <c r="D162" s="44" t="s">
        <v>240</v>
      </c>
      <c r="E162" s="44">
        <v>13</v>
      </c>
      <c r="F162" s="44" t="s">
        <v>2</v>
      </c>
      <c r="G162" s="43" t="str">
        <f>IFERROR(VLOOKUP(A162,'[1]MC Masterlist 2026-09-12'!$B:$M, 3, 0),"")</f>
        <v>YAMAHA</v>
      </c>
      <c r="H162" s="45">
        <f>IFERROR(VLOOKUP(A162,'[1]MC Masterlist 2026-09-12'!$B:$M, 6, 0),"")</f>
        <v>78957</v>
      </c>
      <c r="I162" s="46">
        <v>2</v>
      </c>
      <c r="J162" s="46">
        <v>1</v>
      </c>
      <c r="K162" s="46">
        <v>0</v>
      </c>
      <c r="L162" s="46">
        <f t="shared" si="30"/>
        <v>3</v>
      </c>
      <c r="M162" s="46">
        <f t="shared" si="31"/>
        <v>1</v>
      </c>
      <c r="N162" s="45">
        <f t="shared" si="32"/>
        <v>236871</v>
      </c>
      <c r="O162" s="45">
        <f t="shared" si="33"/>
        <v>78957</v>
      </c>
      <c r="P162" s="46">
        <f t="shared" si="34"/>
        <v>3.3333333333333333E-2</v>
      </c>
      <c r="Q162" s="46"/>
      <c r="R162" s="45">
        <f t="shared" si="35"/>
        <v>0</v>
      </c>
      <c r="S162" s="46">
        <f t="shared" si="36"/>
        <v>0</v>
      </c>
      <c r="T162" s="46">
        <f>IFERROR(VLOOKUP(A162,'[1]Re-order'!$A:$Q,17,0),"")</f>
        <v>118.125</v>
      </c>
      <c r="U162" s="46">
        <f>IFERROR(VLOOKUP(A162,'[1]MC Masterlist 2026-09-12'!$B:$M, 10, 0),0)</f>
        <v>15</v>
      </c>
      <c r="V162" s="46">
        <f>IFERROR(VLOOKUP(A162,'[1]MC Masterlist 2026-09-12'!$B:$M, 11, 0),0)</f>
        <v>15</v>
      </c>
      <c r="W162" s="46">
        <f t="shared" si="37"/>
        <v>30</v>
      </c>
      <c r="X162" s="46">
        <f t="shared" si="38"/>
        <v>29.5</v>
      </c>
      <c r="Y162" s="46">
        <f>IFERROR(IF(OR(C162="AREA I",C162="AREA V"),7,VLOOKUP(A162,'[1]MC Masterlist 2026-09-12'!$B:$M, 12, 0)),0)</f>
        <v>30</v>
      </c>
      <c r="Z162" s="46">
        <f t="shared" si="39"/>
        <v>0.5</v>
      </c>
      <c r="AA162" s="46">
        <f t="shared" si="40"/>
        <v>1</v>
      </c>
      <c r="AB162" s="46">
        <f t="shared" si="41"/>
        <v>0.98333333333333328</v>
      </c>
      <c r="AC162" s="46">
        <f t="shared" si="42"/>
        <v>1</v>
      </c>
      <c r="AD162" s="44" t="str">
        <f t="shared" si="43"/>
        <v>Stockout</v>
      </c>
      <c r="AE162" s="44" t="str">
        <f>IFERROR(VLOOKUP(A162,'[1]Re-order'!$A:$AA,27,0),"")</f>
        <v>Over</v>
      </c>
      <c r="AF162" s="46">
        <f t="shared" si="44"/>
        <v>1</v>
      </c>
      <c r="AG162" s="46">
        <f>SUMIFS('[1]Raw Inventory'!D:D,'[1]Raw Inventory'!C:C,"GREATWALL",'[1]Raw Inventory'!B:B,A162)</f>
        <v>23</v>
      </c>
      <c r="AH162" s="46">
        <f>SUMIFS('[1]Raw Inventory'!D:D,'[1]Raw Inventory'!C:C,"DUARTE",'[1]Raw Inventory'!B:B,A162)</f>
        <v>0</v>
      </c>
      <c r="AI162" s="46"/>
      <c r="AJ162" s="46"/>
      <c r="AK162" s="43"/>
      <c r="AL162" s="43"/>
      <c r="AM162" s="43"/>
      <c r="AN162" s="43"/>
      <c r="AO162" s="43"/>
      <c r="AP162" s="43"/>
      <c r="AQ162" s="43"/>
      <c r="AR162" s="43"/>
      <c r="AS162" s="43"/>
      <c r="AT162" s="43"/>
    </row>
    <row r="163" spans="1:46">
      <c r="A163" s="43" t="s">
        <v>46</v>
      </c>
      <c r="B163" s="43" t="s">
        <v>155</v>
      </c>
      <c r="C163" s="43" t="s">
        <v>152</v>
      </c>
      <c r="D163" s="44" t="s">
        <v>241</v>
      </c>
      <c r="E163" s="44">
        <v>22</v>
      </c>
      <c r="F163" s="44" t="s">
        <v>3</v>
      </c>
      <c r="G163" s="43" t="str">
        <f>IFERROR(VLOOKUP(A163,'[1]MC Masterlist 2026-09-12'!$B:$M, 3, 0),"")</f>
        <v>HONDA</v>
      </c>
      <c r="H163" s="45">
        <f>IFERROR(VLOOKUP(A163,'[1]MC Masterlist 2026-09-12'!$B:$M, 6, 0),"")</f>
        <v>73630</v>
      </c>
      <c r="I163" s="46">
        <v>0</v>
      </c>
      <c r="J163" s="46">
        <v>1</v>
      </c>
      <c r="K163" s="46">
        <v>0</v>
      </c>
      <c r="L163" s="46">
        <f t="shared" si="30"/>
        <v>1</v>
      </c>
      <c r="M163" s="46">
        <f t="shared" si="31"/>
        <v>0.33333333333333331</v>
      </c>
      <c r="N163" s="45">
        <f t="shared" si="32"/>
        <v>73630</v>
      </c>
      <c r="O163" s="45">
        <f t="shared" si="33"/>
        <v>24543.333333333332</v>
      </c>
      <c r="P163" s="46">
        <f t="shared" si="34"/>
        <v>1.111111111111111E-2</v>
      </c>
      <c r="Q163" s="46"/>
      <c r="R163" s="45">
        <f t="shared" si="35"/>
        <v>0</v>
      </c>
      <c r="S163" s="46">
        <f t="shared" si="36"/>
        <v>0</v>
      </c>
      <c r="T163" s="46">
        <f>IFERROR(VLOOKUP(A163,'[1]Re-order'!$A:$Q,17,0),"")</f>
        <v>51</v>
      </c>
      <c r="U163" s="46">
        <f>IFERROR(VLOOKUP(A163,'[1]MC Masterlist 2026-09-12'!$B:$M, 10, 0),0)</f>
        <v>15</v>
      </c>
      <c r="V163" s="46">
        <f>IFERROR(VLOOKUP(A163,'[1]MC Masterlist 2026-09-12'!$B:$M, 11, 0),0)</f>
        <v>15</v>
      </c>
      <c r="W163" s="46">
        <f t="shared" si="37"/>
        <v>30</v>
      </c>
      <c r="X163" s="46">
        <f t="shared" si="38"/>
        <v>29.833333333333332</v>
      </c>
      <c r="Y163" s="46">
        <f>IFERROR(IF(OR(C163="AREA I",C163="AREA V"),7,VLOOKUP(A163,'[1]MC Masterlist 2026-09-12'!$B:$M, 12, 0)),0)</f>
        <v>30</v>
      </c>
      <c r="Z163" s="46">
        <f t="shared" si="39"/>
        <v>0.16666666666666666</v>
      </c>
      <c r="AA163" s="46">
        <f t="shared" si="40"/>
        <v>0.33333333333333331</v>
      </c>
      <c r="AB163" s="46">
        <f t="shared" si="41"/>
        <v>0.33148148148148143</v>
      </c>
      <c r="AC163" s="46">
        <f t="shared" si="42"/>
        <v>0.33333333333333331</v>
      </c>
      <c r="AD163" s="44" t="str">
        <f t="shared" si="43"/>
        <v>Stockout</v>
      </c>
      <c r="AE163" s="44" t="str">
        <f>IFERROR(VLOOKUP(A163,'[1]Re-order'!$A:$AA,27,0),"")</f>
        <v>Re-order</v>
      </c>
      <c r="AF163" s="46">
        <f t="shared" si="44"/>
        <v>0.33333333333333331</v>
      </c>
      <c r="AG163" s="46">
        <f>SUMIFS('[1]Raw Inventory'!D:D,'[1]Raw Inventory'!C:C,"GREATWALL",'[1]Raw Inventory'!B:B,A163)</f>
        <v>0</v>
      </c>
      <c r="AH163" s="46">
        <f>SUMIFS('[1]Raw Inventory'!D:D,'[1]Raw Inventory'!C:C,"DUARTE",'[1]Raw Inventory'!B:B,A163)</f>
        <v>0</v>
      </c>
      <c r="AI163" s="46"/>
      <c r="AJ163" s="46"/>
      <c r="AK163" s="43"/>
      <c r="AL163" s="43"/>
      <c r="AM163" s="43"/>
      <c r="AN163" s="43"/>
      <c r="AO163" s="43"/>
      <c r="AP163" s="43"/>
      <c r="AQ163" s="43"/>
      <c r="AR163" s="43"/>
      <c r="AS163" s="43"/>
      <c r="AT163" s="43"/>
    </row>
    <row r="164" spans="1:46">
      <c r="A164" s="43" t="s">
        <v>22</v>
      </c>
      <c r="B164" s="43" t="s">
        <v>29</v>
      </c>
      <c r="C164" s="43" t="s">
        <v>1</v>
      </c>
      <c r="D164" s="44" t="s">
        <v>257</v>
      </c>
      <c r="E164" s="44">
        <v>29</v>
      </c>
      <c r="F164" s="44" t="s">
        <v>3</v>
      </c>
      <c r="G164" s="43" t="str">
        <f>IFERROR(VLOOKUP(A164,'[1]MC Masterlist 2026-09-12'!$B:$M, 3, 0),"")</f>
        <v>HONDA</v>
      </c>
      <c r="H164" s="45">
        <f>IFERROR(VLOOKUP(A164,'[1]MC Masterlist 2026-09-12'!$B:$M, 6, 0),"")</f>
        <v>111258</v>
      </c>
      <c r="I164" s="46">
        <v>0</v>
      </c>
      <c r="J164" s="46">
        <v>0</v>
      </c>
      <c r="K164" s="46">
        <v>1</v>
      </c>
      <c r="L164" s="46">
        <f t="shared" si="30"/>
        <v>1</v>
      </c>
      <c r="M164" s="46">
        <f t="shared" si="31"/>
        <v>0.33333333333333331</v>
      </c>
      <c r="N164" s="45">
        <f t="shared" si="32"/>
        <v>111258</v>
      </c>
      <c r="O164" s="45">
        <f t="shared" si="33"/>
        <v>37086</v>
      </c>
      <c r="P164" s="46">
        <f t="shared" si="34"/>
        <v>1.111111111111111E-2</v>
      </c>
      <c r="Q164" s="46">
        <v>3</v>
      </c>
      <c r="R164" s="45">
        <f t="shared" si="35"/>
        <v>333774</v>
      </c>
      <c r="S164" s="46">
        <f t="shared" si="36"/>
        <v>270</v>
      </c>
      <c r="T164" s="46">
        <f>IFERROR(VLOOKUP(A164,'[1]Re-order'!$A:$Q,17,0),"")</f>
        <v>41.339712918660283</v>
      </c>
      <c r="U164" s="46">
        <f>IFERROR(VLOOKUP(A164,'[1]MC Masterlist 2026-09-12'!$B:$M, 10, 0),0)</f>
        <v>15</v>
      </c>
      <c r="V164" s="46">
        <f>IFERROR(VLOOKUP(A164,'[1]MC Masterlist 2026-09-12'!$B:$M, 11, 0),0)</f>
        <v>15</v>
      </c>
      <c r="W164" s="46">
        <f t="shared" si="37"/>
        <v>30</v>
      </c>
      <c r="X164" s="46">
        <f t="shared" si="38"/>
        <v>6.833333333333333</v>
      </c>
      <c r="Y164" s="46">
        <f>IFERROR(IF(OR(C164="AREA I",C164="AREA V"),7,VLOOKUP(A164,'[1]MC Masterlist 2026-09-12'!$B:$M, 12, 0)),0)</f>
        <v>7</v>
      </c>
      <c r="Z164" s="46">
        <f t="shared" si="39"/>
        <v>0.16666666666666666</v>
      </c>
      <c r="AA164" s="46">
        <f t="shared" si="40"/>
        <v>0.33333333333333331</v>
      </c>
      <c r="AB164" s="46">
        <f t="shared" si="41"/>
        <v>7.5925925925925911E-2</v>
      </c>
      <c r="AC164" s="46">
        <f t="shared" si="42"/>
        <v>7.7777777777777765E-2</v>
      </c>
      <c r="AD164" s="44" t="str">
        <f t="shared" si="43"/>
        <v>Over</v>
      </c>
      <c r="AE164" s="44" t="str">
        <f>IFERROR(VLOOKUP(A164,'[1]Re-order'!$A:$AA,27,0),"")</f>
        <v>Re-order</v>
      </c>
      <c r="AF164" s="46">
        <f t="shared" si="44"/>
        <v>-2.9222222222222221</v>
      </c>
      <c r="AG164" s="46">
        <f>SUMIFS('[1]Raw Inventory'!D:D,'[1]Raw Inventory'!C:C,"GREATWALL",'[1]Raw Inventory'!B:B,A164)</f>
        <v>4</v>
      </c>
      <c r="AH164" s="46">
        <f>SUMIFS('[1]Raw Inventory'!D:D,'[1]Raw Inventory'!C:C,"DUARTE",'[1]Raw Inventory'!B:B,A164)</f>
        <v>0</v>
      </c>
      <c r="AI164" s="46"/>
      <c r="AJ164" s="46"/>
      <c r="AK164" s="43"/>
      <c r="AL164" s="43"/>
      <c r="AM164" s="43"/>
      <c r="AN164" s="43"/>
      <c r="AO164" s="43"/>
      <c r="AP164" s="43"/>
      <c r="AQ164" s="43"/>
      <c r="AR164" s="43"/>
      <c r="AS164" s="43"/>
      <c r="AT164" s="43"/>
    </row>
    <row r="165" spans="1:46">
      <c r="A165" s="43" t="s">
        <v>76</v>
      </c>
      <c r="B165" s="43" t="s">
        <v>97</v>
      </c>
      <c r="C165" s="43" t="s">
        <v>90</v>
      </c>
      <c r="D165" s="44" t="s">
        <v>231</v>
      </c>
      <c r="E165" s="44">
        <v>17</v>
      </c>
      <c r="F165" s="44" t="s">
        <v>3</v>
      </c>
      <c r="G165" s="43" t="str">
        <f>IFERROR(VLOOKUP(A165,'[1]MC Masterlist 2026-09-12'!$B:$M, 3, 0),"")</f>
        <v>SUZUKI</v>
      </c>
      <c r="H165" s="45">
        <f>IFERROR(VLOOKUP(A165,'[1]MC Masterlist 2026-09-12'!$B:$M, 6, 0),"")</f>
        <v>62692</v>
      </c>
      <c r="I165" s="46">
        <v>0</v>
      </c>
      <c r="J165" s="46">
        <v>0</v>
      </c>
      <c r="K165" s="46">
        <v>0</v>
      </c>
      <c r="L165" s="46">
        <f t="shared" si="30"/>
        <v>0</v>
      </c>
      <c r="M165" s="46">
        <f t="shared" si="31"/>
        <v>0</v>
      </c>
      <c r="N165" s="45">
        <f t="shared" si="32"/>
        <v>0</v>
      </c>
      <c r="O165" s="45">
        <f t="shared" si="33"/>
        <v>0</v>
      </c>
      <c r="P165" s="46">
        <f t="shared" si="34"/>
        <v>0</v>
      </c>
      <c r="Q165" s="46">
        <v>2</v>
      </c>
      <c r="R165" s="45">
        <f t="shared" si="35"/>
        <v>125384</v>
      </c>
      <c r="S165" s="46">
        <f t="shared" si="36"/>
        <v>0</v>
      </c>
      <c r="T165" s="46">
        <f>IFERROR(VLOOKUP(A165,'[1]Re-order'!$A:$Q,17,0),"")</f>
        <v>106.36363636363636</v>
      </c>
      <c r="U165" s="46">
        <f>IFERROR(VLOOKUP(A165,'[1]MC Masterlist 2026-09-12'!$B:$M, 10, 0),0)</f>
        <v>15</v>
      </c>
      <c r="V165" s="46">
        <f>IFERROR(VLOOKUP(A165,'[1]MC Masterlist 2026-09-12'!$B:$M, 11, 0),0)</f>
        <v>15</v>
      </c>
      <c r="W165" s="46">
        <f t="shared" si="37"/>
        <v>30</v>
      </c>
      <c r="X165" s="46">
        <f t="shared" si="38"/>
        <v>30</v>
      </c>
      <c r="Y165" s="46">
        <f>IFERROR(IF(OR(C165="AREA I",C165="AREA V"),7,VLOOKUP(A165,'[1]MC Masterlist 2026-09-12'!$B:$M, 12, 0)),0)</f>
        <v>30</v>
      </c>
      <c r="Z165" s="46">
        <f t="shared" si="39"/>
        <v>0</v>
      </c>
      <c r="AA165" s="46">
        <f t="shared" si="40"/>
        <v>0</v>
      </c>
      <c r="AB165" s="46">
        <f t="shared" si="41"/>
        <v>0</v>
      </c>
      <c r="AC165" s="46">
        <f t="shared" si="42"/>
        <v>0</v>
      </c>
      <c r="AD165" s="44" t="str">
        <f t="shared" si="43"/>
        <v>Over</v>
      </c>
      <c r="AE165" s="44" t="str">
        <f>IFERROR(VLOOKUP(A165,'[1]Re-order'!$A:$AA,27,0),"")</f>
        <v>Over</v>
      </c>
      <c r="AF165" s="46">
        <f t="shared" si="44"/>
        <v>-2</v>
      </c>
      <c r="AG165" s="46">
        <f>SUMIFS('[1]Raw Inventory'!D:D,'[1]Raw Inventory'!C:C,"GREATWALL",'[1]Raw Inventory'!B:B,A165)</f>
        <v>1</v>
      </c>
      <c r="AH165" s="46">
        <f>SUMIFS('[1]Raw Inventory'!D:D,'[1]Raw Inventory'!C:C,"DUARTE",'[1]Raw Inventory'!B:B,A165)</f>
        <v>0</v>
      </c>
      <c r="AI165" s="46"/>
      <c r="AJ165" s="46"/>
      <c r="AK165" s="43"/>
      <c r="AL165" s="43"/>
      <c r="AM165" s="43"/>
      <c r="AN165" s="43"/>
      <c r="AO165" s="43"/>
      <c r="AP165" s="43"/>
      <c r="AQ165" s="43"/>
      <c r="AR165" s="43"/>
      <c r="AS165" s="43"/>
      <c r="AT165" s="43"/>
    </row>
    <row r="166" spans="1:46">
      <c r="A166" s="43" t="s">
        <v>48</v>
      </c>
      <c r="B166" s="43" t="s">
        <v>248</v>
      </c>
      <c r="C166" s="43"/>
      <c r="D166" s="44" t="s">
        <v>225</v>
      </c>
      <c r="E166" s="44">
        <v>1</v>
      </c>
      <c r="F166" s="44" t="s">
        <v>0</v>
      </c>
      <c r="G166" s="43" t="str">
        <f>IFERROR(VLOOKUP(A166,'[1]MC Masterlist 2026-09-12'!$B:$M, 3, 0),"")</f>
        <v>SUZUKI</v>
      </c>
      <c r="H166" s="45">
        <f>IFERROR(VLOOKUP(A166,'[1]MC Masterlist 2026-09-12'!$B:$M, 6, 0),"")</f>
        <v>82687</v>
      </c>
      <c r="I166" s="46">
        <v>0</v>
      </c>
      <c r="J166" s="46">
        <v>0</v>
      </c>
      <c r="K166" s="46">
        <v>0</v>
      </c>
      <c r="L166" s="46">
        <f t="shared" si="30"/>
        <v>0</v>
      </c>
      <c r="M166" s="46">
        <f t="shared" si="31"/>
        <v>0</v>
      </c>
      <c r="N166" s="45">
        <f t="shared" si="32"/>
        <v>0</v>
      </c>
      <c r="O166" s="45">
        <f t="shared" si="33"/>
        <v>0</v>
      </c>
      <c r="P166" s="46">
        <f t="shared" si="34"/>
        <v>0</v>
      </c>
      <c r="Q166" s="46">
        <v>1</v>
      </c>
      <c r="R166" s="45">
        <f t="shared" si="35"/>
        <v>82687</v>
      </c>
      <c r="S166" s="46">
        <f t="shared" si="36"/>
        <v>0</v>
      </c>
      <c r="T166" s="46">
        <f>IFERROR(VLOOKUP(A166,'[1]Re-order'!$A:$Q,17,0),"")</f>
        <v>303.75</v>
      </c>
      <c r="U166" s="46">
        <f>IFERROR(VLOOKUP(A166,'[1]MC Masterlist 2026-09-12'!$B:$M, 10, 0),0)</f>
        <v>15</v>
      </c>
      <c r="V166" s="46">
        <f>IFERROR(VLOOKUP(A166,'[1]MC Masterlist 2026-09-12'!$B:$M, 11, 0),0)</f>
        <v>15</v>
      </c>
      <c r="W166" s="46">
        <f t="shared" si="37"/>
        <v>30</v>
      </c>
      <c r="X166" s="46">
        <f t="shared" si="38"/>
        <v>30</v>
      </c>
      <c r="Y166" s="46">
        <f>IFERROR(IF(OR(C166="AREA I",C166="AREA V"),7,VLOOKUP(A166,'[1]MC Masterlist 2026-09-12'!$B:$M, 12, 0)),0)</f>
        <v>30</v>
      </c>
      <c r="Z166" s="46">
        <f t="shared" si="39"/>
        <v>0</v>
      </c>
      <c r="AA166" s="46">
        <f t="shared" si="40"/>
        <v>0</v>
      </c>
      <c r="AB166" s="46">
        <f t="shared" si="41"/>
        <v>0</v>
      </c>
      <c r="AC166" s="46">
        <f t="shared" si="42"/>
        <v>0</v>
      </c>
      <c r="AD166" s="44" t="str">
        <f t="shared" si="43"/>
        <v>Over</v>
      </c>
      <c r="AE166" s="44" t="str">
        <f>IFERROR(VLOOKUP(A166,'[1]Re-order'!$A:$AA,27,0),"")</f>
        <v>Over</v>
      </c>
      <c r="AF166" s="46">
        <f t="shared" si="44"/>
        <v>-1</v>
      </c>
      <c r="AG166" s="46">
        <f>SUMIFS('[1]Raw Inventory'!D:D,'[1]Raw Inventory'!C:C,"GREATWALL",'[1]Raw Inventory'!B:B,A166)</f>
        <v>10</v>
      </c>
      <c r="AH166" s="46">
        <f>SUMIFS('[1]Raw Inventory'!D:D,'[1]Raw Inventory'!C:C,"DUARTE",'[1]Raw Inventory'!B:B,A166)</f>
        <v>0</v>
      </c>
      <c r="AI166" s="46"/>
      <c r="AJ166" s="46"/>
      <c r="AK166" s="43"/>
      <c r="AL166" s="43"/>
      <c r="AM166" s="43"/>
      <c r="AN166" s="43"/>
      <c r="AO166" s="43"/>
      <c r="AP166" s="43"/>
      <c r="AQ166" s="43"/>
      <c r="AR166" s="43"/>
      <c r="AS166" s="43"/>
      <c r="AT166" s="43"/>
    </row>
    <row r="167" spans="1:46">
      <c r="A167" s="43" t="s">
        <v>43</v>
      </c>
      <c r="B167" s="43" t="s">
        <v>114</v>
      </c>
      <c r="C167" s="43" t="s">
        <v>109</v>
      </c>
      <c r="D167" s="44" t="s">
        <v>255</v>
      </c>
      <c r="E167" s="44">
        <v>12</v>
      </c>
      <c r="F167" s="44" t="s">
        <v>2</v>
      </c>
      <c r="G167" s="43" t="str">
        <f>IFERROR(VLOOKUP(A167,'[1]MC Masterlist 2026-09-12'!$B:$M, 3, 0),"")</f>
        <v>YAMAHA</v>
      </c>
      <c r="H167" s="45">
        <f>IFERROR(VLOOKUP(A167,'[1]MC Masterlist 2026-09-12'!$B:$M, 6, 0),"")</f>
        <v>70587</v>
      </c>
      <c r="I167" s="46">
        <v>2</v>
      </c>
      <c r="J167" s="46">
        <v>1</v>
      </c>
      <c r="K167" s="46">
        <v>3</v>
      </c>
      <c r="L167" s="46">
        <f t="shared" si="30"/>
        <v>6</v>
      </c>
      <c r="M167" s="46">
        <f t="shared" si="31"/>
        <v>2</v>
      </c>
      <c r="N167" s="45">
        <f t="shared" si="32"/>
        <v>423522</v>
      </c>
      <c r="O167" s="45">
        <f t="shared" si="33"/>
        <v>141174</v>
      </c>
      <c r="P167" s="46">
        <f t="shared" si="34"/>
        <v>6.6666666666666666E-2</v>
      </c>
      <c r="Q167" s="46"/>
      <c r="R167" s="45">
        <f t="shared" si="35"/>
        <v>0</v>
      </c>
      <c r="S167" s="46">
        <f t="shared" si="36"/>
        <v>0</v>
      </c>
      <c r="T167" s="46">
        <f>IFERROR(VLOOKUP(A167,'[1]Re-order'!$A:$Q,17,0),"")</f>
        <v>43.578947368421055</v>
      </c>
      <c r="U167" s="46">
        <f>IFERROR(VLOOKUP(A167,'[1]MC Masterlist 2026-09-12'!$B:$M, 10, 0),0)</f>
        <v>15</v>
      </c>
      <c r="V167" s="46">
        <f>IFERROR(VLOOKUP(A167,'[1]MC Masterlist 2026-09-12'!$B:$M, 11, 0),0)</f>
        <v>15</v>
      </c>
      <c r="W167" s="46">
        <f t="shared" si="37"/>
        <v>30</v>
      </c>
      <c r="X167" s="46">
        <f t="shared" si="38"/>
        <v>29</v>
      </c>
      <c r="Y167" s="46">
        <f>IFERROR(IF(OR(C167="AREA I",C167="AREA V"),7,VLOOKUP(A167,'[1]MC Masterlist 2026-09-12'!$B:$M, 12, 0)),0)</f>
        <v>30</v>
      </c>
      <c r="Z167" s="46">
        <f t="shared" si="39"/>
        <v>1</v>
      </c>
      <c r="AA167" s="46">
        <f t="shared" si="40"/>
        <v>2</v>
      </c>
      <c r="AB167" s="46">
        <f t="shared" si="41"/>
        <v>1.9333333333333333</v>
      </c>
      <c r="AC167" s="46">
        <f t="shared" si="42"/>
        <v>2</v>
      </c>
      <c r="AD167" s="44" t="str">
        <f t="shared" si="43"/>
        <v>Stockout</v>
      </c>
      <c r="AE167" s="44" t="str">
        <f>IFERROR(VLOOKUP(A167,'[1]Re-order'!$A:$AA,27,0),"")</f>
        <v>Re-order</v>
      </c>
      <c r="AF167" s="46">
        <f t="shared" si="44"/>
        <v>2</v>
      </c>
      <c r="AG167" s="46">
        <f>SUMIFS('[1]Raw Inventory'!D:D,'[1]Raw Inventory'!C:C,"GREATWALL",'[1]Raw Inventory'!B:B,A167)</f>
        <v>0</v>
      </c>
      <c r="AH167" s="46">
        <f>SUMIFS('[1]Raw Inventory'!D:D,'[1]Raw Inventory'!C:C,"DUARTE",'[1]Raw Inventory'!B:B,A167)</f>
        <v>0</v>
      </c>
      <c r="AI167" s="46"/>
      <c r="AJ167" s="46"/>
      <c r="AK167" s="43"/>
      <c r="AL167" s="43"/>
      <c r="AM167" s="43"/>
      <c r="AN167" s="43"/>
      <c r="AO167" s="43"/>
      <c r="AP167" s="43"/>
      <c r="AQ167" s="43"/>
      <c r="AR167" s="43"/>
      <c r="AS167" s="43"/>
      <c r="AT167" s="43"/>
    </row>
    <row r="168" spans="1:46">
      <c r="A168" s="43" t="s">
        <v>75</v>
      </c>
      <c r="B168" s="43" t="s">
        <v>162</v>
      </c>
      <c r="C168" s="43" t="s">
        <v>159</v>
      </c>
      <c r="D168" s="44" t="s">
        <v>231</v>
      </c>
      <c r="E168" s="44">
        <v>26</v>
      </c>
      <c r="F168" s="44" t="s">
        <v>3</v>
      </c>
      <c r="G168" s="43" t="str">
        <f>IFERROR(VLOOKUP(A168,'[1]MC Masterlist 2026-09-12'!$B:$M, 3, 0),"")</f>
        <v>SUZUKI</v>
      </c>
      <c r="H168" s="45">
        <f>IFERROR(VLOOKUP(A168,'[1]MC Masterlist 2026-09-12'!$B:$M, 6, 0),"")</f>
        <v>138952</v>
      </c>
      <c r="I168" s="46">
        <v>0</v>
      </c>
      <c r="J168" s="46">
        <v>0</v>
      </c>
      <c r="K168" s="46">
        <v>0</v>
      </c>
      <c r="L168" s="46">
        <f t="shared" si="30"/>
        <v>0</v>
      </c>
      <c r="M168" s="46">
        <f t="shared" si="31"/>
        <v>0</v>
      </c>
      <c r="N168" s="45">
        <f t="shared" si="32"/>
        <v>0</v>
      </c>
      <c r="O168" s="45">
        <f t="shared" si="33"/>
        <v>0</v>
      </c>
      <c r="P168" s="46">
        <f t="shared" si="34"/>
        <v>0</v>
      </c>
      <c r="Q168" s="46">
        <v>1</v>
      </c>
      <c r="R168" s="45">
        <f t="shared" si="35"/>
        <v>138952</v>
      </c>
      <c r="S168" s="46">
        <f t="shared" si="36"/>
        <v>0</v>
      </c>
      <c r="T168" s="46">
        <f>IFERROR(VLOOKUP(A168,'[1]Re-order'!$A:$Q,17,0),"")</f>
        <v>855.00000000000011</v>
      </c>
      <c r="U168" s="46">
        <f>IFERROR(VLOOKUP(A168,'[1]MC Masterlist 2026-09-12'!$B:$M, 10, 0),0)</f>
        <v>15</v>
      </c>
      <c r="V168" s="46">
        <f>IFERROR(VLOOKUP(A168,'[1]MC Masterlist 2026-09-12'!$B:$M, 11, 0),0)</f>
        <v>15</v>
      </c>
      <c r="W168" s="46">
        <f t="shared" si="37"/>
        <v>30</v>
      </c>
      <c r="X168" s="46">
        <f t="shared" si="38"/>
        <v>30</v>
      </c>
      <c r="Y168" s="46">
        <f>IFERROR(IF(OR(C168="AREA I",C168="AREA V"),7,VLOOKUP(A168,'[1]MC Masterlist 2026-09-12'!$B:$M, 12, 0)),0)</f>
        <v>30</v>
      </c>
      <c r="Z168" s="46">
        <f t="shared" si="39"/>
        <v>0</v>
      </c>
      <c r="AA168" s="46">
        <f t="shared" si="40"/>
        <v>0</v>
      </c>
      <c r="AB168" s="46">
        <f t="shared" si="41"/>
        <v>0</v>
      </c>
      <c r="AC168" s="46">
        <f t="shared" si="42"/>
        <v>0</v>
      </c>
      <c r="AD168" s="44" t="str">
        <f t="shared" si="43"/>
        <v>Over</v>
      </c>
      <c r="AE168" s="44" t="str">
        <f>IFERROR(VLOOKUP(A168,'[1]Re-order'!$A:$AA,27,0),"")</f>
        <v>Over</v>
      </c>
      <c r="AF168" s="46">
        <f t="shared" si="44"/>
        <v>-1</v>
      </c>
      <c r="AG168" s="46">
        <f>SUMIFS('[1]Raw Inventory'!D:D,'[1]Raw Inventory'!C:C,"GREATWALL",'[1]Raw Inventory'!B:B,A168)</f>
        <v>8</v>
      </c>
      <c r="AH168" s="46">
        <f>SUMIFS('[1]Raw Inventory'!D:D,'[1]Raw Inventory'!C:C,"DUARTE",'[1]Raw Inventory'!B:B,A168)</f>
        <v>0</v>
      </c>
      <c r="AI168" s="46"/>
      <c r="AJ168" s="46"/>
      <c r="AK168" s="43"/>
      <c r="AL168" s="43"/>
      <c r="AM168" s="43"/>
      <c r="AN168" s="43"/>
      <c r="AO168" s="43"/>
      <c r="AP168" s="43"/>
      <c r="AQ168" s="43"/>
      <c r="AR168" s="43"/>
      <c r="AS168" s="43"/>
      <c r="AT168" s="43"/>
    </row>
    <row r="169" spans="1:46">
      <c r="A169" s="43" t="s">
        <v>20</v>
      </c>
      <c r="B169" s="43" t="s">
        <v>153</v>
      </c>
      <c r="C169" s="43" t="s">
        <v>152</v>
      </c>
      <c r="D169" s="44" t="s">
        <v>239</v>
      </c>
      <c r="E169" s="44">
        <v>20</v>
      </c>
      <c r="F169" s="44" t="s">
        <v>3</v>
      </c>
      <c r="G169" s="43" t="str">
        <f>IFERROR(VLOOKUP(A169,'[1]MC Masterlist 2026-09-12'!$B:$M, 3, 0),"")</f>
        <v>HONDA</v>
      </c>
      <c r="H169" s="45">
        <f>IFERROR(VLOOKUP(A169,'[1]MC Masterlist 2026-09-12'!$B:$M, 6, 0),"")</f>
        <v>69950</v>
      </c>
      <c r="I169" s="46">
        <v>0</v>
      </c>
      <c r="J169" s="46">
        <v>0</v>
      </c>
      <c r="K169" s="46">
        <v>0</v>
      </c>
      <c r="L169" s="46">
        <f t="shared" si="30"/>
        <v>0</v>
      </c>
      <c r="M169" s="46">
        <f t="shared" si="31"/>
        <v>0</v>
      </c>
      <c r="N169" s="45">
        <f t="shared" si="32"/>
        <v>0</v>
      </c>
      <c r="O169" s="45">
        <f t="shared" si="33"/>
        <v>0</v>
      </c>
      <c r="P169" s="46">
        <f t="shared" si="34"/>
        <v>0</v>
      </c>
      <c r="Q169" s="46">
        <v>7</v>
      </c>
      <c r="R169" s="45">
        <f t="shared" si="35"/>
        <v>489650</v>
      </c>
      <c r="S169" s="46">
        <f t="shared" si="36"/>
        <v>0</v>
      </c>
      <c r="T169" s="46">
        <f>IFERROR(VLOOKUP(A169,'[1]Re-order'!$A:$Q,17,0),"")</f>
        <v>75.775862068965523</v>
      </c>
      <c r="U169" s="46">
        <f>IFERROR(VLOOKUP(A169,'[1]MC Masterlist 2026-09-12'!$B:$M, 10, 0),0)</f>
        <v>15</v>
      </c>
      <c r="V169" s="46">
        <f>IFERROR(VLOOKUP(A169,'[1]MC Masterlist 2026-09-12'!$B:$M, 11, 0),0)</f>
        <v>15</v>
      </c>
      <c r="W169" s="46">
        <f t="shared" si="37"/>
        <v>30</v>
      </c>
      <c r="X169" s="46">
        <f t="shared" si="38"/>
        <v>30</v>
      </c>
      <c r="Y169" s="46">
        <f>IFERROR(IF(OR(C169="AREA I",C169="AREA V"),7,VLOOKUP(A169,'[1]MC Masterlist 2026-09-12'!$B:$M, 12, 0)),0)</f>
        <v>30</v>
      </c>
      <c r="Z169" s="46">
        <f t="shared" si="39"/>
        <v>0</v>
      </c>
      <c r="AA169" s="46">
        <f t="shared" si="40"/>
        <v>0</v>
      </c>
      <c r="AB169" s="46">
        <f t="shared" si="41"/>
        <v>0</v>
      </c>
      <c r="AC169" s="46">
        <f t="shared" si="42"/>
        <v>0</v>
      </c>
      <c r="AD169" s="44" t="str">
        <f t="shared" si="43"/>
        <v>Over</v>
      </c>
      <c r="AE169" s="44" t="str">
        <f>IFERROR(VLOOKUP(A169,'[1]Re-order'!$A:$AA,27,0),"")</f>
        <v/>
      </c>
      <c r="AF169" s="46">
        <f t="shared" si="44"/>
        <v>-7</v>
      </c>
      <c r="AG169" s="46">
        <f>SUMIFS('[1]Raw Inventory'!D:D,'[1]Raw Inventory'!C:C,"GREATWALL",'[1]Raw Inventory'!B:B,A169)</f>
        <v>110</v>
      </c>
      <c r="AH169" s="46">
        <f>SUMIFS('[1]Raw Inventory'!D:D,'[1]Raw Inventory'!C:C,"DUARTE",'[1]Raw Inventory'!B:B,A169)</f>
        <v>0</v>
      </c>
      <c r="AI169" s="46"/>
      <c r="AJ169" s="46"/>
      <c r="AK169" s="43"/>
      <c r="AL169" s="43"/>
      <c r="AM169" s="43"/>
      <c r="AN169" s="43"/>
      <c r="AO169" s="43"/>
      <c r="AP169" s="43"/>
      <c r="AQ169" s="43"/>
      <c r="AR169" s="43"/>
      <c r="AS169" s="43"/>
      <c r="AT169" s="43"/>
    </row>
    <row r="170" spans="1:46">
      <c r="A170" s="43" t="s">
        <v>37</v>
      </c>
      <c r="B170" s="43" t="s">
        <v>95</v>
      </c>
      <c r="C170" s="43" t="s">
        <v>90</v>
      </c>
      <c r="D170" s="44" t="s">
        <v>254</v>
      </c>
      <c r="E170" s="44">
        <v>7</v>
      </c>
      <c r="F170" s="44" t="s">
        <v>2</v>
      </c>
      <c r="G170" s="43" t="str">
        <f>IFERROR(VLOOKUP(A170,'[1]MC Masterlist 2026-09-12'!$B:$M, 3, 0),"")</f>
        <v>HONDA</v>
      </c>
      <c r="H170" s="45">
        <f>IFERROR(VLOOKUP(A170,'[1]MC Masterlist 2026-09-12'!$B:$M, 6, 0),"")</f>
        <v>74550</v>
      </c>
      <c r="I170" s="46">
        <v>1</v>
      </c>
      <c r="J170" s="46">
        <v>1</v>
      </c>
      <c r="K170" s="46">
        <v>2</v>
      </c>
      <c r="L170" s="46">
        <f t="shared" si="30"/>
        <v>4</v>
      </c>
      <c r="M170" s="46">
        <f t="shared" si="31"/>
        <v>1.3333333333333333</v>
      </c>
      <c r="N170" s="45">
        <f t="shared" si="32"/>
        <v>298200</v>
      </c>
      <c r="O170" s="45">
        <f t="shared" si="33"/>
        <v>99400</v>
      </c>
      <c r="P170" s="46">
        <f t="shared" si="34"/>
        <v>4.4444444444444439E-2</v>
      </c>
      <c r="Q170" s="46"/>
      <c r="R170" s="45">
        <f t="shared" si="35"/>
        <v>0</v>
      </c>
      <c r="S170" s="46">
        <f t="shared" si="36"/>
        <v>0</v>
      </c>
      <c r="T170" s="46">
        <f>IFERROR(VLOOKUP(A170,'[1]Re-order'!$A:$Q,17,0),"")</f>
        <v>33.652173913043477</v>
      </c>
      <c r="U170" s="46">
        <f>IFERROR(VLOOKUP(A170,'[1]MC Masterlist 2026-09-12'!$B:$M, 10, 0),0)</f>
        <v>15</v>
      </c>
      <c r="V170" s="46">
        <f>IFERROR(VLOOKUP(A170,'[1]MC Masterlist 2026-09-12'!$B:$M, 11, 0),0)</f>
        <v>15</v>
      </c>
      <c r="W170" s="46">
        <f t="shared" si="37"/>
        <v>30</v>
      </c>
      <c r="X170" s="46">
        <f t="shared" si="38"/>
        <v>29.333333333333332</v>
      </c>
      <c r="Y170" s="46">
        <f>IFERROR(IF(OR(C170="AREA I",C170="AREA V"),7,VLOOKUP(A170,'[1]MC Masterlist 2026-09-12'!$B:$M, 12, 0)),0)</f>
        <v>30</v>
      </c>
      <c r="Z170" s="46">
        <f t="shared" si="39"/>
        <v>0.66666666666666663</v>
      </c>
      <c r="AA170" s="46">
        <f t="shared" si="40"/>
        <v>1.3333333333333333</v>
      </c>
      <c r="AB170" s="46">
        <f t="shared" si="41"/>
        <v>1.3037037037037036</v>
      </c>
      <c r="AC170" s="46">
        <f t="shared" si="42"/>
        <v>1.3333333333333333</v>
      </c>
      <c r="AD170" s="44" t="str">
        <f t="shared" si="43"/>
        <v>Stockout</v>
      </c>
      <c r="AE170" s="44" t="str">
        <f>IFERROR(VLOOKUP(A170,'[1]Re-order'!$A:$AA,27,0),"")</f>
        <v>Re-order</v>
      </c>
      <c r="AF170" s="46">
        <f t="shared" si="44"/>
        <v>1.3333333333333333</v>
      </c>
      <c r="AG170" s="46">
        <f>SUMIFS('[1]Raw Inventory'!D:D,'[1]Raw Inventory'!C:C,"GREATWALL",'[1]Raw Inventory'!B:B,A170)</f>
        <v>28</v>
      </c>
      <c r="AH170" s="46">
        <f>SUMIFS('[1]Raw Inventory'!D:D,'[1]Raw Inventory'!C:C,"DUARTE",'[1]Raw Inventory'!B:B,A170)</f>
        <v>0</v>
      </c>
      <c r="AI170" s="46"/>
      <c r="AJ170" s="46"/>
      <c r="AK170" s="43"/>
      <c r="AL170" s="43"/>
      <c r="AM170" s="43"/>
      <c r="AN170" s="43"/>
      <c r="AO170" s="43"/>
      <c r="AP170" s="43"/>
      <c r="AQ170" s="43"/>
      <c r="AR170" s="43"/>
      <c r="AS170" s="43"/>
      <c r="AT170" s="43"/>
    </row>
    <row r="171" spans="1:46">
      <c r="A171" s="43" t="s">
        <v>14</v>
      </c>
      <c r="B171" s="43" t="s">
        <v>30</v>
      </c>
      <c r="C171" s="43" t="s">
        <v>1</v>
      </c>
      <c r="D171" s="44" t="s">
        <v>225</v>
      </c>
      <c r="E171" s="44">
        <v>3</v>
      </c>
      <c r="F171" s="44" t="s">
        <v>0</v>
      </c>
      <c r="G171" s="43" t="str">
        <f>IFERROR(VLOOKUP(A171,'[1]MC Masterlist 2026-09-12'!$B:$M, 3, 0),"")</f>
        <v>HONDA</v>
      </c>
      <c r="H171" s="45">
        <f>IFERROR(VLOOKUP(A171,'[1]MC Masterlist 2026-09-12'!$B:$M, 6, 0),"")</f>
        <v>80070</v>
      </c>
      <c r="I171" s="46">
        <v>13</v>
      </c>
      <c r="J171" s="46">
        <v>7</v>
      </c>
      <c r="K171" s="46">
        <v>13</v>
      </c>
      <c r="L171" s="46">
        <f t="shared" si="30"/>
        <v>33</v>
      </c>
      <c r="M171" s="46">
        <f t="shared" si="31"/>
        <v>11</v>
      </c>
      <c r="N171" s="45">
        <f t="shared" si="32"/>
        <v>2642310</v>
      </c>
      <c r="O171" s="45">
        <f t="shared" si="33"/>
        <v>880770</v>
      </c>
      <c r="P171" s="46">
        <f t="shared" si="34"/>
        <v>0.36666666666666664</v>
      </c>
      <c r="Q171" s="46">
        <v>1</v>
      </c>
      <c r="R171" s="45">
        <f t="shared" si="35"/>
        <v>80070</v>
      </c>
      <c r="S171" s="46">
        <f t="shared" si="36"/>
        <v>2.7272727272727275</v>
      </c>
      <c r="T171" s="46">
        <f>IFERROR(VLOOKUP(A171,'[1]Re-order'!$A:$Q,17,0),"")</f>
        <v>20.105787181082761</v>
      </c>
      <c r="U171" s="46">
        <f>IFERROR(VLOOKUP(A171,'[1]MC Masterlist 2026-09-12'!$B:$M, 10, 0),0)</f>
        <v>15</v>
      </c>
      <c r="V171" s="46">
        <f>IFERROR(VLOOKUP(A171,'[1]MC Masterlist 2026-09-12'!$B:$M, 11, 0),0)</f>
        <v>15</v>
      </c>
      <c r="W171" s="46">
        <f t="shared" si="37"/>
        <v>30</v>
      </c>
      <c r="X171" s="46">
        <f t="shared" si="38"/>
        <v>1.5</v>
      </c>
      <c r="Y171" s="46">
        <f>IFERROR(IF(OR(C171="AREA I",C171="AREA V"),7,VLOOKUP(A171,'[1]MC Masterlist 2026-09-12'!$B:$M, 12, 0)),0)</f>
        <v>7</v>
      </c>
      <c r="Z171" s="46">
        <f t="shared" si="39"/>
        <v>5.5</v>
      </c>
      <c r="AA171" s="46">
        <f t="shared" si="40"/>
        <v>11</v>
      </c>
      <c r="AB171" s="46">
        <f t="shared" si="41"/>
        <v>0.54999999999999993</v>
      </c>
      <c r="AC171" s="46">
        <f t="shared" si="42"/>
        <v>2.5666666666666664</v>
      </c>
      <c r="AD171" s="44" t="str">
        <f t="shared" si="43"/>
        <v>Stockout</v>
      </c>
      <c r="AE171" s="44" t="str">
        <f>IFERROR(VLOOKUP(A171,'[1]Re-order'!$A:$AA,27,0),"")</f>
        <v>Stockout</v>
      </c>
      <c r="AF171" s="46">
        <f t="shared" si="44"/>
        <v>1.5666666666666664</v>
      </c>
      <c r="AG171" s="46">
        <f>SUMIFS('[1]Raw Inventory'!D:D,'[1]Raw Inventory'!C:C,"GREATWALL",'[1]Raw Inventory'!B:B,A171)</f>
        <v>176</v>
      </c>
      <c r="AH171" s="46">
        <f>SUMIFS('[1]Raw Inventory'!D:D,'[1]Raw Inventory'!C:C,"DUARTE",'[1]Raw Inventory'!B:B,A171)</f>
        <v>0</v>
      </c>
      <c r="AI171" s="46"/>
      <c r="AJ171" s="46"/>
      <c r="AK171" s="43"/>
      <c r="AL171" s="43"/>
      <c r="AM171" s="43"/>
      <c r="AN171" s="43"/>
      <c r="AO171" s="43"/>
      <c r="AP171" s="43"/>
      <c r="AQ171" s="43"/>
      <c r="AR171" s="43"/>
      <c r="AS171" s="43"/>
      <c r="AT171" s="43"/>
    </row>
    <row r="172" spans="1:46">
      <c r="A172" s="43" t="s">
        <v>36</v>
      </c>
      <c r="B172" s="43" t="s">
        <v>131</v>
      </c>
      <c r="C172" s="43" t="s">
        <v>128</v>
      </c>
      <c r="D172" s="44" t="s">
        <v>247</v>
      </c>
      <c r="E172" s="44">
        <v>19</v>
      </c>
      <c r="F172" s="44" t="s">
        <v>3</v>
      </c>
      <c r="G172" s="43" t="str">
        <f>IFERROR(VLOOKUP(A172,'[1]MC Masterlist 2026-09-12'!$B:$M, 3, 0),"")</f>
        <v>HONDA</v>
      </c>
      <c r="H172" s="45">
        <f>IFERROR(VLOOKUP(A172,'[1]MC Masterlist 2026-09-12'!$B:$M, 6, 0),"")</f>
        <v>76850</v>
      </c>
      <c r="I172" s="46">
        <v>0</v>
      </c>
      <c r="J172" s="46">
        <v>0</v>
      </c>
      <c r="K172" s="46">
        <v>1</v>
      </c>
      <c r="L172" s="46">
        <f t="shared" si="30"/>
        <v>1</v>
      </c>
      <c r="M172" s="46">
        <f t="shared" si="31"/>
        <v>0.33333333333333331</v>
      </c>
      <c r="N172" s="45">
        <f t="shared" si="32"/>
        <v>76850</v>
      </c>
      <c r="O172" s="45">
        <f t="shared" si="33"/>
        <v>25616.666666666664</v>
      </c>
      <c r="P172" s="46">
        <f t="shared" si="34"/>
        <v>1.111111111111111E-2</v>
      </c>
      <c r="Q172" s="46"/>
      <c r="R172" s="45">
        <f t="shared" si="35"/>
        <v>0</v>
      </c>
      <c r="S172" s="46">
        <f t="shared" si="36"/>
        <v>0</v>
      </c>
      <c r="T172" s="46">
        <f>IFERROR(VLOOKUP(A172,'[1]Re-order'!$A:$Q,17,0),"")</f>
        <v>137.24999999999997</v>
      </c>
      <c r="U172" s="46">
        <f>IFERROR(VLOOKUP(A172,'[1]MC Masterlist 2026-09-12'!$B:$M, 10, 0),0)</f>
        <v>15</v>
      </c>
      <c r="V172" s="46">
        <f>IFERROR(VLOOKUP(A172,'[1]MC Masterlist 2026-09-12'!$B:$M, 11, 0),0)</f>
        <v>15</v>
      </c>
      <c r="W172" s="46">
        <f t="shared" si="37"/>
        <v>30</v>
      </c>
      <c r="X172" s="46">
        <f t="shared" si="38"/>
        <v>29.833333333333332</v>
      </c>
      <c r="Y172" s="46">
        <f>IFERROR(IF(OR(C172="AREA I",C172="AREA V"),7,VLOOKUP(A172,'[1]MC Masterlist 2026-09-12'!$B:$M, 12, 0)),0)</f>
        <v>30</v>
      </c>
      <c r="Z172" s="46">
        <f t="shared" si="39"/>
        <v>0.16666666666666666</v>
      </c>
      <c r="AA172" s="46">
        <f t="shared" si="40"/>
        <v>0.33333333333333331</v>
      </c>
      <c r="AB172" s="46">
        <f t="shared" si="41"/>
        <v>0.33148148148148143</v>
      </c>
      <c r="AC172" s="46">
        <f t="shared" si="42"/>
        <v>0.33333333333333331</v>
      </c>
      <c r="AD172" s="44" t="str">
        <f t="shared" si="43"/>
        <v>Stockout</v>
      </c>
      <c r="AE172" s="44" t="str">
        <f>IFERROR(VLOOKUP(A172,'[1]Re-order'!$A:$AA,27,0),"")</f>
        <v>Over</v>
      </c>
      <c r="AF172" s="46">
        <f t="shared" si="44"/>
        <v>0.33333333333333331</v>
      </c>
      <c r="AG172" s="46">
        <f>SUMIFS('[1]Raw Inventory'!D:D,'[1]Raw Inventory'!C:C,"GREATWALL",'[1]Raw Inventory'!B:B,A172)</f>
        <v>18</v>
      </c>
      <c r="AH172" s="46">
        <f>SUMIFS('[1]Raw Inventory'!D:D,'[1]Raw Inventory'!C:C,"DUARTE",'[1]Raw Inventory'!B:B,A172)</f>
        <v>0</v>
      </c>
      <c r="AI172" s="46"/>
      <c r="AJ172" s="46"/>
      <c r="AK172" s="43"/>
      <c r="AL172" s="43"/>
      <c r="AM172" s="43"/>
      <c r="AN172" s="43"/>
      <c r="AO172" s="43"/>
      <c r="AP172" s="43"/>
      <c r="AQ172" s="43"/>
      <c r="AR172" s="43"/>
      <c r="AS172" s="43"/>
      <c r="AT172" s="43"/>
    </row>
    <row r="173" spans="1:46">
      <c r="A173" s="43" t="s">
        <v>52</v>
      </c>
      <c r="B173" s="43" t="s">
        <v>29</v>
      </c>
      <c r="C173" s="43" t="s">
        <v>1</v>
      </c>
      <c r="D173" s="44" t="s">
        <v>252</v>
      </c>
      <c r="E173" s="44">
        <v>20</v>
      </c>
      <c r="F173" s="44" t="s">
        <v>2</v>
      </c>
      <c r="G173" s="43" t="str">
        <f>IFERROR(VLOOKUP(A173,'[1]MC Masterlist 2026-09-12'!$B:$M, 3, 0),"")</f>
        <v>YAMAHA</v>
      </c>
      <c r="H173" s="45">
        <f>IFERROR(VLOOKUP(A173,'[1]MC Masterlist 2026-09-12'!$B:$M, 6, 0),"")</f>
        <v>85446</v>
      </c>
      <c r="I173" s="46">
        <v>1</v>
      </c>
      <c r="J173" s="46">
        <v>2</v>
      </c>
      <c r="K173" s="46">
        <v>0</v>
      </c>
      <c r="L173" s="46">
        <f t="shared" si="30"/>
        <v>3</v>
      </c>
      <c r="M173" s="46">
        <f t="shared" si="31"/>
        <v>1</v>
      </c>
      <c r="N173" s="45">
        <f t="shared" si="32"/>
        <v>256338</v>
      </c>
      <c r="O173" s="45">
        <f t="shared" si="33"/>
        <v>85446</v>
      </c>
      <c r="P173" s="46">
        <f t="shared" si="34"/>
        <v>3.3333333333333333E-2</v>
      </c>
      <c r="Q173" s="46"/>
      <c r="R173" s="45">
        <f t="shared" si="35"/>
        <v>0</v>
      </c>
      <c r="S173" s="46">
        <f t="shared" si="36"/>
        <v>0</v>
      </c>
      <c r="T173" s="46">
        <f>IFERROR(VLOOKUP(A173,'[1]Re-order'!$A:$Q,17,0),"")</f>
        <v>95.454545454545453</v>
      </c>
      <c r="U173" s="46">
        <f>IFERROR(VLOOKUP(A173,'[1]MC Masterlist 2026-09-12'!$B:$M, 10, 0),0)</f>
        <v>15</v>
      </c>
      <c r="V173" s="46">
        <f>IFERROR(VLOOKUP(A173,'[1]MC Masterlist 2026-09-12'!$B:$M, 11, 0),0)</f>
        <v>15</v>
      </c>
      <c r="W173" s="46">
        <f t="shared" si="37"/>
        <v>30</v>
      </c>
      <c r="X173" s="46">
        <f t="shared" si="38"/>
        <v>6.5</v>
      </c>
      <c r="Y173" s="46">
        <f>IFERROR(IF(OR(C173="AREA I",C173="AREA V"),7,VLOOKUP(A173,'[1]MC Masterlist 2026-09-12'!$B:$M, 12, 0)),0)</f>
        <v>7</v>
      </c>
      <c r="Z173" s="46">
        <f t="shared" si="39"/>
        <v>0.5</v>
      </c>
      <c r="AA173" s="46">
        <f t="shared" si="40"/>
        <v>1</v>
      </c>
      <c r="AB173" s="46">
        <f t="shared" si="41"/>
        <v>0.21666666666666667</v>
      </c>
      <c r="AC173" s="46">
        <f t="shared" si="42"/>
        <v>0.23333333333333334</v>
      </c>
      <c r="AD173" s="44" t="str">
        <f t="shared" si="43"/>
        <v>Stockout</v>
      </c>
      <c r="AE173" s="44" t="str">
        <f>IFERROR(VLOOKUP(A173,'[1]Re-order'!$A:$AA,27,0),"")</f>
        <v>Over</v>
      </c>
      <c r="AF173" s="46">
        <f t="shared" si="44"/>
        <v>0.23333333333333334</v>
      </c>
      <c r="AG173" s="46">
        <f>SUMIFS('[1]Raw Inventory'!D:D,'[1]Raw Inventory'!C:C,"GREATWALL",'[1]Raw Inventory'!B:B,A173)</f>
        <v>0</v>
      </c>
      <c r="AH173" s="46">
        <f>SUMIFS('[1]Raw Inventory'!D:D,'[1]Raw Inventory'!C:C,"DUARTE",'[1]Raw Inventory'!B:B,A173)</f>
        <v>0</v>
      </c>
      <c r="AI173" s="46"/>
      <c r="AJ173" s="46"/>
      <c r="AK173" s="43"/>
      <c r="AL173" s="43"/>
      <c r="AM173" s="43"/>
      <c r="AN173" s="43"/>
      <c r="AO173" s="43"/>
      <c r="AP173" s="43"/>
      <c r="AQ173" s="43"/>
      <c r="AR173" s="43"/>
      <c r="AS173" s="43"/>
      <c r="AT173" s="43"/>
    </row>
    <row r="174" spans="1:46">
      <c r="A174" s="43" t="s">
        <v>89</v>
      </c>
      <c r="B174" s="43" t="s">
        <v>143</v>
      </c>
      <c r="C174" s="43" t="s">
        <v>137</v>
      </c>
      <c r="D174" s="44" t="s">
        <v>268</v>
      </c>
      <c r="E174" s="44">
        <v>18</v>
      </c>
      <c r="F174" s="44" t="s">
        <v>3</v>
      </c>
      <c r="G174" s="43" t="str">
        <f>IFERROR(VLOOKUP(A174,'[1]MC Masterlist 2026-09-12'!$B:$M, 3, 0),"")</f>
        <v>HONDA</v>
      </c>
      <c r="H174" s="45">
        <f>IFERROR(VLOOKUP(A174,'[1]MC Masterlist 2026-09-12'!$B:$M, 6, 0),"")</f>
        <v>117790</v>
      </c>
      <c r="I174" s="46">
        <v>0</v>
      </c>
      <c r="J174" s="46">
        <v>0</v>
      </c>
      <c r="K174" s="46">
        <v>1</v>
      </c>
      <c r="L174" s="46">
        <f t="shared" si="30"/>
        <v>1</v>
      </c>
      <c r="M174" s="46">
        <f t="shared" si="31"/>
        <v>0.33333333333333331</v>
      </c>
      <c r="N174" s="45">
        <f t="shared" si="32"/>
        <v>117790</v>
      </c>
      <c r="O174" s="45">
        <f t="shared" si="33"/>
        <v>39263.333333333328</v>
      </c>
      <c r="P174" s="46">
        <f t="shared" si="34"/>
        <v>1.111111111111111E-2</v>
      </c>
      <c r="Q174" s="46"/>
      <c r="R174" s="45">
        <f t="shared" si="35"/>
        <v>0</v>
      </c>
      <c r="S174" s="46">
        <f t="shared" si="36"/>
        <v>0</v>
      </c>
      <c r="T174" s="46">
        <f>IFERROR(VLOOKUP(A174,'[1]Re-order'!$A:$Q,17,0),"")</f>
        <v>81.818181818181827</v>
      </c>
      <c r="U174" s="46">
        <f>IFERROR(VLOOKUP(A174,'[1]MC Masterlist 2026-09-12'!$B:$M, 10, 0),0)</f>
        <v>15</v>
      </c>
      <c r="V174" s="46">
        <f>IFERROR(VLOOKUP(A174,'[1]MC Masterlist 2026-09-12'!$B:$M, 11, 0),0)</f>
        <v>15</v>
      </c>
      <c r="W174" s="46">
        <f t="shared" si="37"/>
        <v>30</v>
      </c>
      <c r="X174" s="46">
        <f t="shared" si="38"/>
        <v>6.833333333333333</v>
      </c>
      <c r="Y174" s="46">
        <f>IFERROR(IF(OR(C174="AREA I",C174="AREA V"),7,VLOOKUP(A174,'[1]MC Masterlist 2026-09-12'!$B:$M, 12, 0)),0)</f>
        <v>7</v>
      </c>
      <c r="Z174" s="46">
        <f t="shared" si="39"/>
        <v>0.16666666666666666</v>
      </c>
      <c r="AA174" s="46">
        <f t="shared" si="40"/>
        <v>0.33333333333333331</v>
      </c>
      <c r="AB174" s="46">
        <f t="shared" si="41"/>
        <v>7.5925925925925911E-2</v>
      </c>
      <c r="AC174" s="46">
        <f t="shared" si="42"/>
        <v>7.7777777777777765E-2</v>
      </c>
      <c r="AD174" s="44" t="str">
        <f t="shared" si="43"/>
        <v>Stockout</v>
      </c>
      <c r="AE174" s="44" t="str">
        <f>IFERROR(VLOOKUP(A174,'[1]Re-order'!$A:$AA,27,0),"")</f>
        <v/>
      </c>
      <c r="AF174" s="46">
        <f t="shared" si="44"/>
        <v>7.7777777777777765E-2</v>
      </c>
      <c r="AG174" s="46">
        <f>SUMIFS('[1]Raw Inventory'!D:D,'[1]Raw Inventory'!C:C,"GREATWALL",'[1]Raw Inventory'!B:B,A174)</f>
        <v>5</v>
      </c>
      <c r="AH174" s="46">
        <f>SUMIFS('[1]Raw Inventory'!D:D,'[1]Raw Inventory'!C:C,"DUARTE",'[1]Raw Inventory'!B:B,A174)</f>
        <v>0</v>
      </c>
      <c r="AI174" s="46"/>
      <c r="AJ174" s="46"/>
      <c r="AK174" s="43"/>
      <c r="AL174" s="43"/>
      <c r="AM174" s="43"/>
      <c r="AN174" s="43"/>
      <c r="AO174" s="43"/>
      <c r="AP174" s="43"/>
      <c r="AQ174" s="43"/>
      <c r="AR174" s="43"/>
      <c r="AS174" s="43"/>
      <c r="AT174" s="43"/>
    </row>
    <row r="175" spans="1:46">
      <c r="A175" s="43" t="s">
        <v>70</v>
      </c>
      <c r="B175" s="43" t="s">
        <v>160</v>
      </c>
      <c r="C175" s="43" t="s">
        <v>159</v>
      </c>
      <c r="D175" s="44" t="s">
        <v>226</v>
      </c>
      <c r="E175" s="44">
        <v>24</v>
      </c>
      <c r="F175" s="44" t="s">
        <v>3</v>
      </c>
      <c r="G175" s="43" t="str">
        <f>IFERROR(VLOOKUP(A175,'[1]MC Masterlist 2026-09-12'!$B:$M, 3, 0),"")</f>
        <v>KAWASAKI</v>
      </c>
      <c r="H175" s="45">
        <f>IFERROR(VLOOKUP(A175,'[1]MC Masterlist 2026-09-12'!$B:$M, 6, 0),"")</f>
        <v>91770</v>
      </c>
      <c r="I175" s="46">
        <v>0</v>
      </c>
      <c r="J175" s="46">
        <v>0</v>
      </c>
      <c r="K175" s="46">
        <v>0</v>
      </c>
      <c r="L175" s="46">
        <f t="shared" si="30"/>
        <v>0</v>
      </c>
      <c r="M175" s="46">
        <f t="shared" si="31"/>
        <v>0</v>
      </c>
      <c r="N175" s="45">
        <f t="shared" si="32"/>
        <v>0</v>
      </c>
      <c r="O175" s="45">
        <f t="shared" si="33"/>
        <v>0</v>
      </c>
      <c r="P175" s="46">
        <f t="shared" si="34"/>
        <v>0</v>
      </c>
      <c r="Q175" s="46">
        <v>1</v>
      </c>
      <c r="R175" s="45">
        <f t="shared" si="35"/>
        <v>91770</v>
      </c>
      <c r="S175" s="46">
        <f t="shared" si="36"/>
        <v>0</v>
      </c>
      <c r="T175" s="46">
        <f>IFERROR(VLOOKUP(A175,'[1]Re-order'!$A:$Q,17,0),"")</f>
        <v>255</v>
      </c>
      <c r="U175" s="46">
        <f>IFERROR(VLOOKUP(A175,'[1]MC Masterlist 2026-09-12'!$B:$M, 10, 0),0)</f>
        <v>15</v>
      </c>
      <c r="V175" s="46">
        <f>IFERROR(VLOOKUP(A175,'[1]MC Masterlist 2026-09-12'!$B:$M, 11, 0),0)</f>
        <v>15</v>
      </c>
      <c r="W175" s="46">
        <f t="shared" si="37"/>
        <v>30</v>
      </c>
      <c r="X175" s="46">
        <f t="shared" si="38"/>
        <v>30</v>
      </c>
      <c r="Y175" s="46">
        <f>IFERROR(IF(OR(C175="AREA I",C175="AREA V"),7,VLOOKUP(A175,'[1]MC Masterlist 2026-09-12'!$B:$M, 12, 0)),0)</f>
        <v>30</v>
      </c>
      <c r="Z175" s="46">
        <f t="shared" si="39"/>
        <v>0</v>
      </c>
      <c r="AA175" s="46">
        <f t="shared" si="40"/>
        <v>0</v>
      </c>
      <c r="AB175" s="46">
        <f t="shared" si="41"/>
        <v>0</v>
      </c>
      <c r="AC175" s="46">
        <f t="shared" si="42"/>
        <v>0</v>
      </c>
      <c r="AD175" s="44" t="str">
        <f t="shared" si="43"/>
        <v>Over</v>
      </c>
      <c r="AE175" s="44" t="str">
        <f>IFERROR(VLOOKUP(A175,'[1]Re-order'!$A:$AA,27,0),"")</f>
        <v>Over</v>
      </c>
      <c r="AF175" s="46">
        <f t="shared" si="44"/>
        <v>-1</v>
      </c>
      <c r="AG175" s="46">
        <f>SUMIFS('[1]Raw Inventory'!D:D,'[1]Raw Inventory'!C:C,"GREATWALL",'[1]Raw Inventory'!B:B,A175)</f>
        <v>4</v>
      </c>
      <c r="AH175" s="46">
        <f>SUMIFS('[1]Raw Inventory'!D:D,'[1]Raw Inventory'!C:C,"DUARTE",'[1]Raw Inventory'!B:B,A175)</f>
        <v>0</v>
      </c>
      <c r="AI175" s="46"/>
      <c r="AJ175" s="46"/>
      <c r="AK175" s="43"/>
      <c r="AL175" s="43"/>
      <c r="AM175" s="43"/>
      <c r="AN175" s="43"/>
      <c r="AO175" s="43"/>
      <c r="AP175" s="43"/>
      <c r="AQ175" s="43"/>
      <c r="AR175" s="43"/>
      <c r="AS175" s="43"/>
      <c r="AT175" s="43"/>
    </row>
    <row r="176" spans="1:46">
      <c r="A176" s="43" t="s">
        <v>39</v>
      </c>
      <c r="B176" s="43" t="s">
        <v>143</v>
      </c>
      <c r="C176" s="43" t="s">
        <v>137</v>
      </c>
      <c r="D176" s="44" t="s">
        <v>267</v>
      </c>
      <c r="E176" s="44">
        <v>26</v>
      </c>
      <c r="F176" s="44" t="s">
        <v>3</v>
      </c>
      <c r="G176" s="43" t="str">
        <f>IFERROR(VLOOKUP(A176,'[1]MC Masterlist 2026-09-12'!$B:$M, 3, 0),"")</f>
        <v>HONDA</v>
      </c>
      <c r="H176" s="45">
        <f>IFERROR(VLOOKUP(A176,'[1]MC Masterlist 2026-09-12'!$B:$M, 6, 0),"")</f>
        <v>72434</v>
      </c>
      <c r="I176" s="46">
        <v>0</v>
      </c>
      <c r="J176" s="46">
        <v>0</v>
      </c>
      <c r="K176" s="46">
        <v>0</v>
      </c>
      <c r="L176" s="46">
        <f t="shared" si="30"/>
        <v>0</v>
      </c>
      <c r="M176" s="46">
        <f t="shared" si="31"/>
        <v>0</v>
      </c>
      <c r="N176" s="45">
        <f t="shared" si="32"/>
        <v>0</v>
      </c>
      <c r="O176" s="45">
        <f t="shared" si="33"/>
        <v>0</v>
      </c>
      <c r="P176" s="46">
        <f t="shared" si="34"/>
        <v>0</v>
      </c>
      <c r="Q176" s="46">
        <v>2</v>
      </c>
      <c r="R176" s="45">
        <f t="shared" si="35"/>
        <v>144868</v>
      </c>
      <c r="S176" s="46">
        <f t="shared" si="36"/>
        <v>0</v>
      </c>
      <c r="T176" s="46">
        <f>IFERROR(VLOOKUP(A176,'[1]Re-order'!$A:$Q,17,0),"")</f>
        <v>40.982142857142854</v>
      </c>
      <c r="U176" s="46">
        <f>IFERROR(VLOOKUP(A176,'[1]MC Masterlist 2026-09-12'!$B:$M, 10, 0),0)</f>
        <v>15</v>
      </c>
      <c r="V176" s="46">
        <f>IFERROR(VLOOKUP(A176,'[1]MC Masterlist 2026-09-12'!$B:$M, 11, 0),0)</f>
        <v>15</v>
      </c>
      <c r="W176" s="46">
        <f t="shared" si="37"/>
        <v>30</v>
      </c>
      <c r="X176" s="46">
        <f t="shared" si="38"/>
        <v>7</v>
      </c>
      <c r="Y176" s="46">
        <f>IFERROR(IF(OR(C176="AREA I",C176="AREA V"),7,VLOOKUP(A176,'[1]MC Masterlist 2026-09-12'!$B:$M, 12, 0)),0)</f>
        <v>7</v>
      </c>
      <c r="Z176" s="46">
        <f t="shared" si="39"/>
        <v>0</v>
      </c>
      <c r="AA176" s="46">
        <f t="shared" si="40"/>
        <v>0</v>
      </c>
      <c r="AB176" s="46">
        <f t="shared" si="41"/>
        <v>0</v>
      </c>
      <c r="AC176" s="46">
        <f t="shared" si="42"/>
        <v>0</v>
      </c>
      <c r="AD176" s="44" t="str">
        <f t="shared" si="43"/>
        <v>Over</v>
      </c>
      <c r="AE176" s="44" t="str">
        <f>IFERROR(VLOOKUP(A176,'[1]Re-order'!$A:$AA,27,0),"")</f>
        <v>Re-order</v>
      </c>
      <c r="AF176" s="46">
        <f t="shared" si="44"/>
        <v>-2</v>
      </c>
      <c r="AG176" s="46">
        <f>SUMIFS('[1]Raw Inventory'!D:D,'[1]Raw Inventory'!C:C,"GREATWALL",'[1]Raw Inventory'!B:B,A176)</f>
        <v>16</v>
      </c>
      <c r="AH176" s="46">
        <f>SUMIFS('[1]Raw Inventory'!D:D,'[1]Raw Inventory'!C:C,"DUARTE",'[1]Raw Inventory'!B:B,A176)</f>
        <v>0</v>
      </c>
      <c r="AI176" s="46"/>
      <c r="AJ176" s="46"/>
      <c r="AK176" s="43"/>
      <c r="AL176" s="43"/>
      <c r="AM176" s="43"/>
      <c r="AN176" s="43"/>
      <c r="AO176" s="43"/>
      <c r="AP176" s="43"/>
      <c r="AQ176" s="43"/>
      <c r="AR176" s="43"/>
      <c r="AS176" s="43"/>
      <c r="AT176" s="43"/>
    </row>
    <row r="177" spans="1:46">
      <c r="A177" s="43" t="s">
        <v>45</v>
      </c>
      <c r="B177" s="43" t="s">
        <v>162</v>
      </c>
      <c r="C177" s="43" t="s">
        <v>159</v>
      </c>
      <c r="D177" s="44" t="s">
        <v>234</v>
      </c>
      <c r="E177" s="44">
        <v>4</v>
      </c>
      <c r="F177" s="44" t="s">
        <v>0</v>
      </c>
      <c r="G177" s="43" t="str">
        <f>IFERROR(VLOOKUP(A177,'[1]MC Masterlist 2026-09-12'!$B:$M, 3, 0),"")</f>
        <v>YAMAHA</v>
      </c>
      <c r="H177" s="45">
        <f>IFERROR(VLOOKUP(A177,'[1]MC Masterlist 2026-09-12'!$B:$M, 6, 0),"")</f>
        <v>117087</v>
      </c>
      <c r="I177" s="46">
        <v>6</v>
      </c>
      <c r="J177" s="46">
        <v>2</v>
      </c>
      <c r="K177" s="46">
        <v>1</v>
      </c>
      <c r="L177" s="46">
        <f t="shared" si="30"/>
        <v>9</v>
      </c>
      <c r="M177" s="46">
        <f t="shared" si="31"/>
        <v>3</v>
      </c>
      <c r="N177" s="45">
        <f t="shared" si="32"/>
        <v>1053783</v>
      </c>
      <c r="O177" s="45">
        <f t="shared" si="33"/>
        <v>351261</v>
      </c>
      <c r="P177" s="46">
        <f t="shared" si="34"/>
        <v>0.1</v>
      </c>
      <c r="Q177" s="46"/>
      <c r="R177" s="45">
        <f t="shared" si="35"/>
        <v>0</v>
      </c>
      <c r="S177" s="46">
        <f t="shared" si="36"/>
        <v>0</v>
      </c>
      <c r="T177" s="46">
        <f>IFERROR(VLOOKUP(A177,'[1]Re-order'!$A:$Q,17,0),"")</f>
        <v>18.94736842105263</v>
      </c>
      <c r="U177" s="46">
        <f>IFERROR(VLOOKUP(A177,'[1]MC Masterlist 2026-09-12'!$B:$M, 10, 0),0)</f>
        <v>15</v>
      </c>
      <c r="V177" s="46">
        <f>IFERROR(VLOOKUP(A177,'[1]MC Masterlist 2026-09-12'!$B:$M, 11, 0),0)</f>
        <v>15</v>
      </c>
      <c r="W177" s="46">
        <f t="shared" si="37"/>
        <v>30</v>
      </c>
      <c r="X177" s="46">
        <f t="shared" si="38"/>
        <v>28.5</v>
      </c>
      <c r="Y177" s="46">
        <f>IFERROR(IF(OR(C177="AREA I",C177="AREA V"),7,VLOOKUP(A177,'[1]MC Masterlist 2026-09-12'!$B:$M, 12, 0)),0)</f>
        <v>30</v>
      </c>
      <c r="Z177" s="46">
        <f t="shared" si="39"/>
        <v>1.5</v>
      </c>
      <c r="AA177" s="46">
        <f t="shared" si="40"/>
        <v>3</v>
      </c>
      <c r="AB177" s="46">
        <f t="shared" si="41"/>
        <v>2.85</v>
      </c>
      <c r="AC177" s="46">
        <f t="shared" si="42"/>
        <v>3</v>
      </c>
      <c r="AD177" s="44" t="str">
        <f t="shared" si="43"/>
        <v>Stockout</v>
      </c>
      <c r="AE177" s="44" t="str">
        <f>IFERROR(VLOOKUP(A177,'[1]Re-order'!$A:$AA,27,0),"")</f>
        <v>Stockout</v>
      </c>
      <c r="AF177" s="46">
        <f t="shared" si="44"/>
        <v>3</v>
      </c>
      <c r="AG177" s="46">
        <f>SUMIFS('[1]Raw Inventory'!D:D,'[1]Raw Inventory'!C:C,"GREATWALL",'[1]Raw Inventory'!B:B,A177)</f>
        <v>5</v>
      </c>
      <c r="AH177" s="46">
        <f>SUMIFS('[1]Raw Inventory'!D:D,'[1]Raw Inventory'!C:C,"DUARTE",'[1]Raw Inventory'!B:B,A177)</f>
        <v>0</v>
      </c>
      <c r="AI177" s="46"/>
      <c r="AJ177" s="46"/>
      <c r="AK177" s="43"/>
      <c r="AL177" s="43"/>
      <c r="AM177" s="43"/>
      <c r="AN177" s="43"/>
      <c r="AO177" s="43"/>
      <c r="AP177" s="43"/>
      <c r="AQ177" s="43"/>
      <c r="AR177" s="43"/>
      <c r="AS177" s="43"/>
      <c r="AT177" s="43"/>
    </row>
    <row r="178" spans="1:46">
      <c r="A178" s="43" t="s">
        <v>20</v>
      </c>
      <c r="B178" s="43" t="s">
        <v>93</v>
      </c>
      <c r="C178" s="43" t="s">
        <v>90</v>
      </c>
      <c r="D178" s="44" t="s">
        <v>225</v>
      </c>
      <c r="E178" s="44">
        <v>3</v>
      </c>
      <c r="F178" s="44" t="s">
        <v>0</v>
      </c>
      <c r="G178" s="43" t="str">
        <f>IFERROR(VLOOKUP(A178,'[1]MC Masterlist 2026-09-12'!$B:$M, 3, 0),"")</f>
        <v>HONDA</v>
      </c>
      <c r="H178" s="45">
        <f>IFERROR(VLOOKUP(A178,'[1]MC Masterlist 2026-09-12'!$B:$M, 6, 0),"")</f>
        <v>69950</v>
      </c>
      <c r="I178" s="46">
        <v>4</v>
      </c>
      <c r="J178" s="46">
        <v>6</v>
      </c>
      <c r="K178" s="46">
        <v>4</v>
      </c>
      <c r="L178" s="46">
        <f t="shared" si="30"/>
        <v>14</v>
      </c>
      <c r="M178" s="46">
        <f t="shared" si="31"/>
        <v>4.666666666666667</v>
      </c>
      <c r="N178" s="45">
        <f t="shared" si="32"/>
        <v>979300</v>
      </c>
      <c r="O178" s="45">
        <f t="shared" si="33"/>
        <v>326433.33333333337</v>
      </c>
      <c r="P178" s="46">
        <f t="shared" si="34"/>
        <v>0.15555555555555556</v>
      </c>
      <c r="Q178" s="46">
        <v>10</v>
      </c>
      <c r="R178" s="45">
        <f t="shared" si="35"/>
        <v>699500</v>
      </c>
      <c r="S178" s="46">
        <f t="shared" si="36"/>
        <v>64.285714285714278</v>
      </c>
      <c r="T178" s="46">
        <f>IFERROR(VLOOKUP(A178,'[1]Re-order'!$A:$Q,17,0),"")</f>
        <v>75.775862068965523</v>
      </c>
      <c r="U178" s="46">
        <f>IFERROR(VLOOKUP(A178,'[1]MC Masterlist 2026-09-12'!$B:$M, 10, 0),0)</f>
        <v>15</v>
      </c>
      <c r="V178" s="46">
        <f>IFERROR(VLOOKUP(A178,'[1]MC Masterlist 2026-09-12'!$B:$M, 11, 0),0)</f>
        <v>15</v>
      </c>
      <c r="W178" s="46">
        <f t="shared" si="37"/>
        <v>30</v>
      </c>
      <c r="X178" s="46">
        <f t="shared" si="38"/>
        <v>27.666666666666668</v>
      </c>
      <c r="Y178" s="46">
        <f>IFERROR(IF(OR(C178="AREA I",C178="AREA V"),7,VLOOKUP(A178,'[1]MC Masterlist 2026-09-12'!$B:$M, 12, 0)),0)</f>
        <v>30</v>
      </c>
      <c r="Z178" s="46">
        <f t="shared" si="39"/>
        <v>2.3333333333333335</v>
      </c>
      <c r="AA178" s="46">
        <f t="shared" si="40"/>
        <v>4.666666666666667</v>
      </c>
      <c r="AB178" s="46">
        <f t="shared" si="41"/>
        <v>4.3037037037037038</v>
      </c>
      <c r="AC178" s="46">
        <f t="shared" si="42"/>
        <v>4.666666666666667</v>
      </c>
      <c r="AD178" s="44" t="str">
        <f t="shared" si="43"/>
        <v>Over</v>
      </c>
      <c r="AE178" s="44" t="str">
        <f>IFERROR(VLOOKUP(A178,'[1]Re-order'!$A:$AA,27,0),"")</f>
        <v/>
      </c>
      <c r="AF178" s="46">
        <f t="shared" si="44"/>
        <v>-5.333333333333333</v>
      </c>
      <c r="AG178" s="46">
        <f>SUMIFS('[1]Raw Inventory'!D:D,'[1]Raw Inventory'!C:C,"GREATWALL",'[1]Raw Inventory'!B:B,A178)</f>
        <v>110</v>
      </c>
      <c r="AH178" s="46">
        <f>SUMIFS('[1]Raw Inventory'!D:D,'[1]Raw Inventory'!C:C,"DUARTE",'[1]Raw Inventory'!B:B,A178)</f>
        <v>0</v>
      </c>
      <c r="AI178" s="46"/>
      <c r="AJ178" s="46"/>
      <c r="AK178" s="43"/>
      <c r="AL178" s="43"/>
      <c r="AM178" s="43"/>
      <c r="AN178" s="43"/>
      <c r="AO178" s="43"/>
      <c r="AP178" s="43"/>
      <c r="AQ178" s="43"/>
      <c r="AR178" s="43"/>
      <c r="AS178" s="43"/>
      <c r="AT178" s="43"/>
    </row>
    <row r="179" spans="1:46">
      <c r="A179" s="43" t="s">
        <v>28</v>
      </c>
      <c r="B179" s="43" t="s">
        <v>131</v>
      </c>
      <c r="C179" s="43" t="s">
        <v>128</v>
      </c>
      <c r="D179" s="44" t="s">
        <v>254</v>
      </c>
      <c r="E179" s="44">
        <v>5</v>
      </c>
      <c r="F179" s="44" t="s">
        <v>2</v>
      </c>
      <c r="G179" s="43" t="str">
        <f>IFERROR(VLOOKUP(A179,'[1]MC Masterlist 2026-09-12'!$B:$M, 3, 0),"")</f>
        <v>YAMAHA</v>
      </c>
      <c r="H179" s="45">
        <f>IFERROR(VLOOKUP(A179,'[1]MC Masterlist 2026-09-12'!$B:$M, 6, 0),"")</f>
        <v>147312</v>
      </c>
      <c r="I179" s="46">
        <v>4</v>
      </c>
      <c r="J179" s="46">
        <v>4</v>
      </c>
      <c r="K179" s="46">
        <v>3</v>
      </c>
      <c r="L179" s="46">
        <f t="shared" si="30"/>
        <v>11</v>
      </c>
      <c r="M179" s="46">
        <f t="shared" si="31"/>
        <v>3.6666666666666665</v>
      </c>
      <c r="N179" s="45">
        <f t="shared" si="32"/>
        <v>1620432</v>
      </c>
      <c r="O179" s="45">
        <f t="shared" si="33"/>
        <v>540144</v>
      </c>
      <c r="P179" s="46">
        <f t="shared" si="34"/>
        <v>0.12222222222222222</v>
      </c>
      <c r="Q179" s="46">
        <v>2</v>
      </c>
      <c r="R179" s="45">
        <f t="shared" si="35"/>
        <v>294624</v>
      </c>
      <c r="S179" s="46">
        <f t="shared" si="36"/>
        <v>16.363636363636363</v>
      </c>
      <c r="T179" s="46">
        <f>IFERROR(VLOOKUP(A179,'[1]Re-order'!$A:$Q,17,0),"")</f>
        <v>8.2417582417582427</v>
      </c>
      <c r="U179" s="46">
        <f>IFERROR(VLOOKUP(A179,'[1]MC Masterlist 2026-09-12'!$B:$M, 10, 0),0)</f>
        <v>15</v>
      </c>
      <c r="V179" s="46">
        <f>IFERROR(VLOOKUP(A179,'[1]MC Masterlist 2026-09-12'!$B:$M, 11, 0),0)</f>
        <v>15</v>
      </c>
      <c r="W179" s="46">
        <f t="shared" si="37"/>
        <v>30</v>
      </c>
      <c r="X179" s="46">
        <f t="shared" si="38"/>
        <v>28.166666666666668</v>
      </c>
      <c r="Y179" s="46">
        <f>IFERROR(IF(OR(C179="AREA I",C179="AREA V"),7,VLOOKUP(A179,'[1]MC Masterlist 2026-09-12'!$B:$M, 12, 0)),0)</f>
        <v>30</v>
      </c>
      <c r="Z179" s="46">
        <f t="shared" si="39"/>
        <v>1.8333333333333333</v>
      </c>
      <c r="AA179" s="46">
        <f t="shared" si="40"/>
        <v>3.6666666666666665</v>
      </c>
      <c r="AB179" s="46">
        <f t="shared" si="41"/>
        <v>3.4425925925925926</v>
      </c>
      <c r="AC179" s="46">
        <f t="shared" si="42"/>
        <v>3.6666666666666665</v>
      </c>
      <c r="AD179" s="44" t="str">
        <f t="shared" si="43"/>
        <v>Re-order</v>
      </c>
      <c r="AE179" s="44" t="str">
        <f>IFERROR(VLOOKUP(A179,'[1]Re-order'!$A:$AA,27,0),"")</f>
        <v>Stockout</v>
      </c>
      <c r="AF179" s="46">
        <f t="shared" si="44"/>
        <v>1.6666666666666665</v>
      </c>
      <c r="AG179" s="46">
        <f>SUMIFS('[1]Raw Inventory'!D:D,'[1]Raw Inventory'!C:C,"GREATWALL",'[1]Raw Inventory'!B:B,A179)</f>
        <v>0</v>
      </c>
      <c r="AH179" s="46">
        <f>SUMIFS('[1]Raw Inventory'!D:D,'[1]Raw Inventory'!C:C,"DUARTE",'[1]Raw Inventory'!B:B,A179)</f>
        <v>0</v>
      </c>
      <c r="AI179" s="46"/>
      <c r="AJ179" s="46"/>
      <c r="AK179" s="43"/>
      <c r="AL179" s="43"/>
      <c r="AM179" s="43"/>
      <c r="AN179" s="43"/>
      <c r="AO179" s="43"/>
      <c r="AP179" s="43"/>
      <c r="AQ179" s="43"/>
      <c r="AR179" s="43"/>
      <c r="AS179" s="43"/>
      <c r="AT179" s="43"/>
    </row>
    <row r="180" spans="1:46">
      <c r="A180" s="43" t="s">
        <v>16</v>
      </c>
      <c r="B180" s="43" t="s">
        <v>110</v>
      </c>
      <c r="C180" s="43" t="s">
        <v>109</v>
      </c>
      <c r="D180" s="44" t="s">
        <v>239</v>
      </c>
      <c r="E180" s="44">
        <v>30</v>
      </c>
      <c r="F180" s="44" t="s">
        <v>3</v>
      </c>
      <c r="G180" s="43" t="str">
        <f>IFERROR(VLOOKUP(A180,'[1]MC Masterlist 2026-09-12'!$B:$M, 3, 0),"")</f>
        <v>HONDA</v>
      </c>
      <c r="H180" s="45">
        <f>IFERROR(VLOOKUP(A180,'[1]MC Masterlist 2026-09-12'!$B:$M, 6, 0),"")</f>
        <v>84394</v>
      </c>
      <c r="I180" s="46">
        <v>0</v>
      </c>
      <c r="J180" s="46">
        <v>0</v>
      </c>
      <c r="K180" s="46">
        <v>0</v>
      </c>
      <c r="L180" s="46">
        <f t="shared" si="30"/>
        <v>0</v>
      </c>
      <c r="M180" s="46">
        <f t="shared" si="31"/>
        <v>0</v>
      </c>
      <c r="N180" s="45">
        <f t="shared" si="32"/>
        <v>0</v>
      </c>
      <c r="O180" s="45">
        <f t="shared" si="33"/>
        <v>0</v>
      </c>
      <c r="P180" s="46">
        <f t="shared" si="34"/>
        <v>0</v>
      </c>
      <c r="Q180" s="46">
        <v>2</v>
      </c>
      <c r="R180" s="45">
        <f t="shared" si="35"/>
        <v>168788</v>
      </c>
      <c r="S180" s="46">
        <f t="shared" si="36"/>
        <v>0</v>
      </c>
      <c r="T180" s="46">
        <f>IFERROR(VLOOKUP(A180,'[1]Re-order'!$A:$Q,17,0),"")</f>
        <v>26.332665330661321</v>
      </c>
      <c r="U180" s="46">
        <f>IFERROR(VLOOKUP(A180,'[1]MC Masterlist 2026-09-12'!$B:$M, 10, 0),0)</f>
        <v>15</v>
      </c>
      <c r="V180" s="46">
        <f>IFERROR(VLOOKUP(A180,'[1]MC Masterlist 2026-09-12'!$B:$M, 11, 0),0)</f>
        <v>15</v>
      </c>
      <c r="W180" s="46">
        <f t="shared" si="37"/>
        <v>30</v>
      </c>
      <c r="X180" s="46">
        <f t="shared" si="38"/>
        <v>30</v>
      </c>
      <c r="Y180" s="46">
        <f>IFERROR(IF(OR(C180="AREA I",C180="AREA V"),7,VLOOKUP(A180,'[1]MC Masterlist 2026-09-12'!$B:$M, 12, 0)),0)</f>
        <v>30</v>
      </c>
      <c r="Z180" s="46">
        <f t="shared" si="39"/>
        <v>0</v>
      </c>
      <c r="AA180" s="46">
        <f t="shared" si="40"/>
        <v>0</v>
      </c>
      <c r="AB180" s="46">
        <f t="shared" si="41"/>
        <v>0</v>
      </c>
      <c r="AC180" s="46">
        <f t="shared" si="42"/>
        <v>0</v>
      </c>
      <c r="AD180" s="44" t="str">
        <f t="shared" si="43"/>
        <v>Over</v>
      </c>
      <c r="AE180" s="44" t="str">
        <f>IFERROR(VLOOKUP(A180,'[1]Re-order'!$A:$AA,27,0),"")</f>
        <v>Stockout</v>
      </c>
      <c r="AF180" s="46">
        <f t="shared" si="44"/>
        <v>-2</v>
      </c>
      <c r="AG180" s="46">
        <f>SUMIFS('[1]Raw Inventory'!D:D,'[1]Raw Inventory'!C:C,"GREATWALL",'[1]Raw Inventory'!B:B,A180)</f>
        <v>58</v>
      </c>
      <c r="AH180" s="46">
        <f>SUMIFS('[1]Raw Inventory'!D:D,'[1]Raw Inventory'!C:C,"DUARTE",'[1]Raw Inventory'!B:B,A180)</f>
        <v>0</v>
      </c>
      <c r="AI180" s="46"/>
      <c r="AJ180" s="46"/>
      <c r="AK180" s="43"/>
      <c r="AL180" s="43"/>
      <c r="AM180" s="43"/>
      <c r="AN180" s="43"/>
      <c r="AO180" s="43"/>
      <c r="AP180" s="43"/>
      <c r="AQ180" s="43"/>
      <c r="AR180" s="43"/>
      <c r="AS180" s="43"/>
      <c r="AT180" s="43"/>
    </row>
    <row r="181" spans="1:46">
      <c r="A181" s="43" t="s">
        <v>49</v>
      </c>
      <c r="B181" s="43" t="s">
        <v>119</v>
      </c>
      <c r="C181" s="43" t="s">
        <v>118</v>
      </c>
      <c r="D181" s="44" t="s">
        <v>261</v>
      </c>
      <c r="E181" s="44">
        <v>20</v>
      </c>
      <c r="F181" s="44" t="s">
        <v>2</v>
      </c>
      <c r="G181" s="43" t="str">
        <f>IFERROR(VLOOKUP(A181,'[1]MC Masterlist 2026-09-12'!$B:$M, 3, 0),"")</f>
        <v>BAJAJ RE</v>
      </c>
      <c r="H181" s="45">
        <f>IFERROR(VLOOKUP(A181,'[1]MC Masterlist 2026-09-12'!$B:$M, 6, 0),"")</f>
        <v>191000</v>
      </c>
      <c r="I181" s="46">
        <v>1</v>
      </c>
      <c r="J181" s="46">
        <v>0</v>
      </c>
      <c r="K181" s="46">
        <v>0</v>
      </c>
      <c r="L181" s="46">
        <f t="shared" si="30"/>
        <v>1</v>
      </c>
      <c r="M181" s="46">
        <f t="shared" si="31"/>
        <v>0.33333333333333331</v>
      </c>
      <c r="N181" s="45">
        <f t="shared" si="32"/>
        <v>191000</v>
      </c>
      <c r="O181" s="45">
        <f t="shared" si="33"/>
        <v>63666.666666666664</v>
      </c>
      <c r="P181" s="46">
        <f t="shared" si="34"/>
        <v>1.111111111111111E-2</v>
      </c>
      <c r="Q181" s="46">
        <v>3</v>
      </c>
      <c r="R181" s="45">
        <f t="shared" si="35"/>
        <v>573000</v>
      </c>
      <c r="S181" s="46">
        <f t="shared" si="36"/>
        <v>270</v>
      </c>
      <c r="T181" s="46">
        <f>IFERROR(VLOOKUP(A181,'[1]Re-order'!$A:$Q,17,0),"")</f>
        <v>21.516709511568124</v>
      </c>
      <c r="U181" s="46">
        <f>IFERROR(VLOOKUP(A181,'[1]MC Masterlist 2026-09-12'!$B:$M, 10, 0),0)</f>
        <v>15</v>
      </c>
      <c r="V181" s="46">
        <f>IFERROR(VLOOKUP(A181,'[1]MC Masterlist 2026-09-12'!$B:$M, 11, 0),0)</f>
        <v>15</v>
      </c>
      <c r="W181" s="46">
        <f t="shared" si="37"/>
        <v>30</v>
      </c>
      <c r="X181" s="46">
        <f t="shared" si="38"/>
        <v>29.833333333333332</v>
      </c>
      <c r="Y181" s="46">
        <f>IFERROR(IF(OR(C181="AREA I",C181="AREA V"),7,VLOOKUP(A181,'[1]MC Masterlist 2026-09-12'!$B:$M, 12, 0)),0)</f>
        <v>30</v>
      </c>
      <c r="Z181" s="46">
        <f t="shared" si="39"/>
        <v>0.16666666666666666</v>
      </c>
      <c r="AA181" s="46">
        <f t="shared" si="40"/>
        <v>0.33333333333333331</v>
      </c>
      <c r="AB181" s="46">
        <f t="shared" si="41"/>
        <v>0.33148148148148143</v>
      </c>
      <c r="AC181" s="46">
        <f t="shared" si="42"/>
        <v>0.33333333333333331</v>
      </c>
      <c r="AD181" s="44" t="str">
        <f t="shared" si="43"/>
        <v>Over</v>
      </c>
      <c r="AE181" s="44" t="str">
        <f>IFERROR(VLOOKUP(A181,'[1]Re-order'!$A:$AA,27,0),"")</f>
        <v>Stockout</v>
      </c>
      <c r="AF181" s="46">
        <f t="shared" si="44"/>
        <v>-2.6666666666666665</v>
      </c>
      <c r="AG181" s="46">
        <f>SUMIFS('[1]Raw Inventory'!D:D,'[1]Raw Inventory'!C:C,"GREATWALL",'[1]Raw Inventory'!B:B,A181)</f>
        <v>0</v>
      </c>
      <c r="AH181" s="46">
        <f>SUMIFS('[1]Raw Inventory'!D:D,'[1]Raw Inventory'!C:C,"DUARTE",'[1]Raw Inventory'!B:B,A181)</f>
        <v>0</v>
      </c>
      <c r="AI181" s="46"/>
      <c r="AJ181" s="46"/>
      <c r="AK181" s="43"/>
      <c r="AL181" s="43"/>
      <c r="AM181" s="43"/>
      <c r="AN181" s="43"/>
      <c r="AO181" s="43"/>
      <c r="AP181" s="43"/>
      <c r="AQ181" s="43"/>
      <c r="AR181" s="43"/>
      <c r="AS181" s="43"/>
      <c r="AT181" s="43"/>
    </row>
    <row r="182" spans="1:46">
      <c r="A182" s="43" t="s">
        <v>37</v>
      </c>
      <c r="B182" s="43" t="s">
        <v>144</v>
      </c>
      <c r="C182" s="43" t="s">
        <v>137</v>
      </c>
      <c r="D182" s="44" t="s">
        <v>262</v>
      </c>
      <c r="E182" s="44">
        <v>16</v>
      </c>
      <c r="F182" s="44" t="s">
        <v>2</v>
      </c>
      <c r="G182" s="43" t="str">
        <f>IFERROR(VLOOKUP(A182,'[1]MC Masterlist 2026-09-12'!$B:$M, 3, 0),"")</f>
        <v>HONDA</v>
      </c>
      <c r="H182" s="45">
        <f>IFERROR(VLOOKUP(A182,'[1]MC Masterlist 2026-09-12'!$B:$M, 6, 0),"")</f>
        <v>74550</v>
      </c>
      <c r="I182" s="46">
        <v>1</v>
      </c>
      <c r="J182" s="46">
        <v>1</v>
      </c>
      <c r="K182" s="46">
        <v>2</v>
      </c>
      <c r="L182" s="46">
        <f t="shared" si="30"/>
        <v>4</v>
      </c>
      <c r="M182" s="46">
        <f t="shared" si="31"/>
        <v>1.3333333333333333</v>
      </c>
      <c r="N182" s="45">
        <f t="shared" si="32"/>
        <v>298200</v>
      </c>
      <c r="O182" s="45">
        <f t="shared" si="33"/>
        <v>99400</v>
      </c>
      <c r="P182" s="46">
        <f t="shared" si="34"/>
        <v>4.4444444444444439E-2</v>
      </c>
      <c r="Q182" s="46">
        <v>1</v>
      </c>
      <c r="R182" s="45">
        <f t="shared" si="35"/>
        <v>74550</v>
      </c>
      <c r="S182" s="46">
        <f t="shared" si="36"/>
        <v>22.5</v>
      </c>
      <c r="T182" s="46">
        <f>IFERROR(VLOOKUP(A182,'[1]Re-order'!$A:$Q,17,0),"")</f>
        <v>33.652173913043477</v>
      </c>
      <c r="U182" s="46">
        <f>IFERROR(VLOOKUP(A182,'[1]MC Masterlist 2026-09-12'!$B:$M, 10, 0),0)</f>
        <v>15</v>
      </c>
      <c r="V182" s="46">
        <f>IFERROR(VLOOKUP(A182,'[1]MC Masterlist 2026-09-12'!$B:$M, 11, 0),0)</f>
        <v>15</v>
      </c>
      <c r="W182" s="46">
        <f t="shared" si="37"/>
        <v>30</v>
      </c>
      <c r="X182" s="46">
        <f t="shared" si="38"/>
        <v>6.333333333333333</v>
      </c>
      <c r="Y182" s="46">
        <f>IFERROR(IF(OR(C182="AREA I",C182="AREA V"),7,VLOOKUP(A182,'[1]MC Masterlist 2026-09-12'!$B:$M, 12, 0)),0)</f>
        <v>7</v>
      </c>
      <c r="Z182" s="46">
        <f t="shared" si="39"/>
        <v>0.66666666666666663</v>
      </c>
      <c r="AA182" s="46">
        <f t="shared" si="40"/>
        <v>1.3333333333333333</v>
      </c>
      <c r="AB182" s="46">
        <f t="shared" si="41"/>
        <v>0.28148148148148144</v>
      </c>
      <c r="AC182" s="46">
        <f t="shared" si="42"/>
        <v>0.31111111111111106</v>
      </c>
      <c r="AD182" s="44" t="str">
        <f t="shared" si="43"/>
        <v>Over</v>
      </c>
      <c r="AE182" s="44" t="str">
        <f>IFERROR(VLOOKUP(A182,'[1]Re-order'!$A:$AA,27,0),"")</f>
        <v>Re-order</v>
      </c>
      <c r="AF182" s="46">
        <f t="shared" si="44"/>
        <v>-0.68888888888888888</v>
      </c>
      <c r="AG182" s="46">
        <f>SUMIFS('[1]Raw Inventory'!D:D,'[1]Raw Inventory'!C:C,"GREATWALL",'[1]Raw Inventory'!B:B,A182)</f>
        <v>28</v>
      </c>
      <c r="AH182" s="46">
        <f>SUMIFS('[1]Raw Inventory'!D:D,'[1]Raw Inventory'!C:C,"DUARTE",'[1]Raw Inventory'!B:B,A182)</f>
        <v>0</v>
      </c>
      <c r="AI182" s="46"/>
      <c r="AJ182" s="46"/>
      <c r="AK182" s="43"/>
      <c r="AL182" s="43"/>
      <c r="AM182" s="43"/>
      <c r="AN182" s="43"/>
      <c r="AO182" s="43"/>
      <c r="AP182" s="43"/>
      <c r="AQ182" s="43"/>
      <c r="AR182" s="43"/>
      <c r="AS182" s="43"/>
      <c r="AT182" s="43"/>
    </row>
    <row r="183" spans="1:46">
      <c r="A183" s="43" t="s">
        <v>40</v>
      </c>
      <c r="B183" s="43" t="s">
        <v>140</v>
      </c>
      <c r="C183" s="43" t="s">
        <v>137</v>
      </c>
      <c r="D183" s="44" t="s">
        <v>229</v>
      </c>
      <c r="E183" s="44">
        <v>15</v>
      </c>
      <c r="F183" s="44" t="s">
        <v>3</v>
      </c>
      <c r="G183" s="43" t="str">
        <f>IFERROR(VLOOKUP(A183,'[1]MC Masterlist 2026-09-12'!$B:$M, 3, 0),"")</f>
        <v>HONDA</v>
      </c>
      <c r="H183" s="45">
        <f>IFERROR(VLOOKUP(A183,'[1]MC Masterlist 2026-09-12'!$B:$M, 6, 0),"")</f>
        <v>56426</v>
      </c>
      <c r="I183" s="46">
        <v>0</v>
      </c>
      <c r="J183" s="46">
        <v>0</v>
      </c>
      <c r="K183" s="46">
        <v>0</v>
      </c>
      <c r="L183" s="46">
        <f t="shared" si="30"/>
        <v>0</v>
      </c>
      <c r="M183" s="46">
        <f t="shared" si="31"/>
        <v>0</v>
      </c>
      <c r="N183" s="45">
        <f t="shared" si="32"/>
        <v>0</v>
      </c>
      <c r="O183" s="45">
        <f t="shared" si="33"/>
        <v>0</v>
      </c>
      <c r="P183" s="46">
        <f t="shared" si="34"/>
        <v>0</v>
      </c>
      <c r="Q183" s="46">
        <v>1</v>
      </c>
      <c r="R183" s="45">
        <f t="shared" si="35"/>
        <v>56426</v>
      </c>
      <c r="S183" s="46">
        <f t="shared" si="36"/>
        <v>0</v>
      </c>
      <c r="T183" s="46">
        <f>IFERROR(VLOOKUP(A183,'[1]Re-order'!$A:$Q,17,0),"")</f>
        <v>139.56521739130434</v>
      </c>
      <c r="U183" s="46">
        <f>IFERROR(VLOOKUP(A183,'[1]MC Masterlist 2026-09-12'!$B:$M, 10, 0),0)</f>
        <v>15</v>
      </c>
      <c r="V183" s="46">
        <f>IFERROR(VLOOKUP(A183,'[1]MC Masterlist 2026-09-12'!$B:$M, 11, 0),0)</f>
        <v>15</v>
      </c>
      <c r="W183" s="46">
        <f t="shared" si="37"/>
        <v>30</v>
      </c>
      <c r="X183" s="46">
        <f t="shared" si="38"/>
        <v>7</v>
      </c>
      <c r="Y183" s="46">
        <f>IFERROR(IF(OR(C183="AREA I",C183="AREA V"),7,VLOOKUP(A183,'[1]MC Masterlist 2026-09-12'!$B:$M, 12, 0)),0)</f>
        <v>7</v>
      </c>
      <c r="Z183" s="46">
        <f t="shared" si="39"/>
        <v>0</v>
      </c>
      <c r="AA183" s="46">
        <f t="shared" si="40"/>
        <v>0</v>
      </c>
      <c r="AB183" s="46">
        <f t="shared" si="41"/>
        <v>0</v>
      </c>
      <c r="AC183" s="46">
        <f t="shared" si="42"/>
        <v>0</v>
      </c>
      <c r="AD183" s="44" t="str">
        <f t="shared" si="43"/>
        <v>Over</v>
      </c>
      <c r="AE183" s="44" t="str">
        <f>IFERROR(VLOOKUP(A183,'[1]Re-order'!$A:$AA,27,0),"")</f>
        <v>Over</v>
      </c>
      <c r="AF183" s="46">
        <f t="shared" si="44"/>
        <v>-1</v>
      </c>
      <c r="AG183" s="46">
        <f>SUMIFS('[1]Raw Inventory'!D:D,'[1]Raw Inventory'!C:C,"GREATWALL",'[1]Raw Inventory'!B:B,A183)</f>
        <v>45</v>
      </c>
      <c r="AH183" s="46">
        <f>SUMIFS('[1]Raw Inventory'!D:D,'[1]Raw Inventory'!C:C,"DUARTE",'[1]Raw Inventory'!B:B,A183)</f>
        <v>0</v>
      </c>
      <c r="AI183" s="46"/>
      <c r="AJ183" s="46"/>
      <c r="AK183" s="43"/>
      <c r="AL183" s="43"/>
      <c r="AM183" s="43"/>
      <c r="AN183" s="43"/>
      <c r="AO183" s="43"/>
      <c r="AP183" s="43"/>
      <c r="AQ183" s="43"/>
      <c r="AR183" s="43"/>
      <c r="AS183" s="43"/>
      <c r="AT183" s="43"/>
    </row>
    <row r="184" spans="1:46">
      <c r="A184" s="43" t="s">
        <v>64</v>
      </c>
      <c r="B184" s="43" t="s">
        <v>156</v>
      </c>
      <c r="C184" s="43" t="s">
        <v>152</v>
      </c>
      <c r="D184" s="44" t="s">
        <v>229</v>
      </c>
      <c r="E184" s="44">
        <v>23</v>
      </c>
      <c r="F184" s="44" t="s">
        <v>3</v>
      </c>
      <c r="G184" s="43" t="str">
        <f>IFERROR(VLOOKUP(A184,'[1]MC Masterlist 2026-09-12'!$B:$M, 3, 0),"")</f>
        <v>HONDA</v>
      </c>
      <c r="H184" s="45">
        <f>IFERROR(VLOOKUP(A184,'[1]MC Masterlist 2026-09-12'!$B:$M, 6, 0),"")</f>
        <v>73170</v>
      </c>
      <c r="I184" s="46">
        <v>1</v>
      </c>
      <c r="J184" s="46">
        <v>0</v>
      </c>
      <c r="K184" s="46">
        <v>0</v>
      </c>
      <c r="L184" s="46">
        <f t="shared" si="30"/>
        <v>1</v>
      </c>
      <c r="M184" s="46">
        <f t="shared" si="31"/>
        <v>0.33333333333333331</v>
      </c>
      <c r="N184" s="45">
        <f t="shared" si="32"/>
        <v>73170</v>
      </c>
      <c r="O184" s="45">
        <f t="shared" si="33"/>
        <v>24390</v>
      </c>
      <c r="P184" s="46">
        <f t="shared" si="34"/>
        <v>1.111111111111111E-2</v>
      </c>
      <c r="Q184" s="46">
        <v>4</v>
      </c>
      <c r="R184" s="45">
        <f t="shared" si="35"/>
        <v>292680</v>
      </c>
      <c r="S184" s="46">
        <f t="shared" si="36"/>
        <v>360</v>
      </c>
      <c r="T184" s="46">
        <f>IFERROR(VLOOKUP(A184,'[1]Re-order'!$A:$Q,17,0),"")</f>
        <v>76.153846153846146</v>
      </c>
      <c r="U184" s="46">
        <f>IFERROR(VLOOKUP(A184,'[1]MC Masterlist 2026-09-12'!$B:$M, 10, 0),0)</f>
        <v>15</v>
      </c>
      <c r="V184" s="46">
        <f>IFERROR(VLOOKUP(A184,'[1]MC Masterlist 2026-09-12'!$B:$M, 11, 0),0)</f>
        <v>15</v>
      </c>
      <c r="W184" s="46">
        <f t="shared" si="37"/>
        <v>30</v>
      </c>
      <c r="X184" s="46">
        <f t="shared" si="38"/>
        <v>29.833333333333332</v>
      </c>
      <c r="Y184" s="46">
        <f>IFERROR(IF(OR(C184="AREA I",C184="AREA V"),7,VLOOKUP(A184,'[1]MC Masterlist 2026-09-12'!$B:$M, 12, 0)),0)</f>
        <v>30</v>
      </c>
      <c r="Z184" s="46">
        <f t="shared" si="39"/>
        <v>0.16666666666666666</v>
      </c>
      <c r="AA184" s="46">
        <f t="shared" si="40"/>
        <v>0.33333333333333331</v>
      </c>
      <c r="AB184" s="46">
        <f t="shared" si="41"/>
        <v>0.33148148148148143</v>
      </c>
      <c r="AC184" s="46">
        <f t="shared" si="42"/>
        <v>0.33333333333333331</v>
      </c>
      <c r="AD184" s="44" t="str">
        <f t="shared" si="43"/>
        <v>Over</v>
      </c>
      <c r="AE184" s="44" t="str">
        <f>IFERROR(VLOOKUP(A184,'[1]Re-order'!$A:$AA,27,0),"")</f>
        <v/>
      </c>
      <c r="AF184" s="46">
        <f t="shared" si="44"/>
        <v>-3.6666666666666665</v>
      </c>
      <c r="AG184" s="46">
        <f>SUMIFS('[1]Raw Inventory'!D:D,'[1]Raw Inventory'!C:C,"GREATWALL",'[1]Raw Inventory'!B:B,A184)</f>
        <v>13</v>
      </c>
      <c r="AH184" s="46">
        <f>SUMIFS('[1]Raw Inventory'!D:D,'[1]Raw Inventory'!C:C,"DUARTE",'[1]Raw Inventory'!B:B,A184)</f>
        <v>0</v>
      </c>
      <c r="AI184" s="46"/>
      <c r="AJ184" s="46"/>
      <c r="AK184" s="43"/>
      <c r="AL184" s="43"/>
      <c r="AM184" s="43"/>
      <c r="AN184" s="43"/>
      <c r="AO184" s="43"/>
      <c r="AP184" s="43"/>
      <c r="AQ184" s="43"/>
      <c r="AR184" s="43"/>
      <c r="AS184" s="43"/>
      <c r="AT184" s="43"/>
    </row>
    <row r="185" spans="1:46">
      <c r="A185" s="43" t="s">
        <v>35</v>
      </c>
      <c r="B185" s="43" t="s">
        <v>138</v>
      </c>
      <c r="C185" s="43" t="s">
        <v>137</v>
      </c>
      <c r="D185" s="44" t="s">
        <v>268</v>
      </c>
      <c r="E185" s="44">
        <v>17</v>
      </c>
      <c r="F185" s="44" t="s">
        <v>3</v>
      </c>
      <c r="G185" s="43" t="str">
        <f>IFERROR(VLOOKUP(A185,'[1]MC Masterlist 2026-09-12'!$B:$M, 3, 0),"")</f>
        <v>HONDA</v>
      </c>
      <c r="H185" s="45">
        <f>IFERROR(VLOOKUP(A185,'[1]MC Masterlist 2026-09-12'!$B:$M, 6, 0),"")</f>
        <v>57990</v>
      </c>
      <c r="I185" s="46">
        <v>0</v>
      </c>
      <c r="J185" s="46">
        <v>0</v>
      </c>
      <c r="K185" s="46">
        <v>0</v>
      </c>
      <c r="L185" s="46">
        <f t="shared" si="30"/>
        <v>0</v>
      </c>
      <c r="M185" s="46">
        <f t="shared" si="31"/>
        <v>0</v>
      </c>
      <c r="N185" s="45">
        <f t="shared" si="32"/>
        <v>0</v>
      </c>
      <c r="O185" s="45">
        <f t="shared" si="33"/>
        <v>0</v>
      </c>
      <c r="P185" s="46">
        <f t="shared" si="34"/>
        <v>0</v>
      </c>
      <c r="Q185" s="46">
        <v>29</v>
      </c>
      <c r="R185" s="45">
        <f t="shared" si="35"/>
        <v>1681710</v>
      </c>
      <c r="S185" s="46">
        <f t="shared" si="36"/>
        <v>0</v>
      </c>
      <c r="T185" s="46">
        <f>IFERROR(VLOOKUP(A185,'[1]Re-order'!$A:$Q,17,0),"")</f>
        <v>68.275862068965523</v>
      </c>
      <c r="U185" s="46">
        <f>IFERROR(VLOOKUP(A185,'[1]MC Masterlist 2026-09-12'!$B:$M, 10, 0),0)</f>
        <v>15</v>
      </c>
      <c r="V185" s="46">
        <f>IFERROR(VLOOKUP(A185,'[1]MC Masterlist 2026-09-12'!$B:$M, 11, 0),0)</f>
        <v>15</v>
      </c>
      <c r="W185" s="46">
        <f t="shared" si="37"/>
        <v>30</v>
      </c>
      <c r="X185" s="46">
        <f t="shared" si="38"/>
        <v>7</v>
      </c>
      <c r="Y185" s="46">
        <f>IFERROR(IF(OR(C185="AREA I",C185="AREA V"),7,VLOOKUP(A185,'[1]MC Masterlist 2026-09-12'!$B:$M, 12, 0)),0)</f>
        <v>7</v>
      </c>
      <c r="Z185" s="46">
        <f t="shared" si="39"/>
        <v>0</v>
      </c>
      <c r="AA185" s="46">
        <f t="shared" si="40"/>
        <v>0</v>
      </c>
      <c r="AB185" s="46">
        <f t="shared" si="41"/>
        <v>0</v>
      </c>
      <c r="AC185" s="46">
        <f t="shared" si="42"/>
        <v>0</v>
      </c>
      <c r="AD185" s="44" t="str">
        <f t="shared" si="43"/>
        <v>Over</v>
      </c>
      <c r="AE185" s="44" t="str">
        <f>IFERROR(VLOOKUP(A185,'[1]Re-order'!$A:$AA,27,0),"")</f>
        <v>Re-order</v>
      </c>
      <c r="AF185" s="46">
        <f t="shared" si="44"/>
        <v>-29</v>
      </c>
      <c r="AG185" s="46">
        <f>SUMIFS('[1]Raw Inventory'!D:D,'[1]Raw Inventory'!C:C,"GREATWALL",'[1]Raw Inventory'!B:B,A185)</f>
        <v>29</v>
      </c>
      <c r="AH185" s="46">
        <f>SUMIFS('[1]Raw Inventory'!D:D,'[1]Raw Inventory'!C:C,"DUARTE",'[1]Raw Inventory'!B:B,A185)</f>
        <v>0</v>
      </c>
      <c r="AI185" s="46"/>
      <c r="AJ185" s="46"/>
      <c r="AK185" s="43"/>
      <c r="AL185" s="43"/>
      <c r="AM185" s="43"/>
      <c r="AN185" s="43"/>
      <c r="AO185" s="43"/>
      <c r="AP185" s="43"/>
      <c r="AQ185" s="43"/>
      <c r="AR185" s="43"/>
      <c r="AS185" s="43"/>
      <c r="AT185" s="43"/>
    </row>
    <row r="186" spans="1:46">
      <c r="A186" s="43" t="s">
        <v>43</v>
      </c>
      <c r="B186" s="43" t="s">
        <v>121</v>
      </c>
      <c r="C186" s="43" t="s">
        <v>118</v>
      </c>
      <c r="D186" s="44" t="s">
        <v>268</v>
      </c>
      <c r="E186" s="44">
        <v>19</v>
      </c>
      <c r="F186" s="44" t="s">
        <v>3</v>
      </c>
      <c r="G186" s="43" t="str">
        <f>IFERROR(VLOOKUP(A186,'[1]MC Masterlist 2026-09-12'!$B:$M, 3, 0),"")</f>
        <v>YAMAHA</v>
      </c>
      <c r="H186" s="45">
        <f>IFERROR(VLOOKUP(A186,'[1]MC Masterlist 2026-09-12'!$B:$M, 6, 0),"")</f>
        <v>70587</v>
      </c>
      <c r="I186" s="46">
        <v>1</v>
      </c>
      <c r="J186" s="46">
        <v>1</v>
      </c>
      <c r="K186" s="46">
        <v>0</v>
      </c>
      <c r="L186" s="46">
        <f t="shared" si="30"/>
        <v>2</v>
      </c>
      <c r="M186" s="46">
        <f t="shared" si="31"/>
        <v>0.66666666666666663</v>
      </c>
      <c r="N186" s="45">
        <f t="shared" si="32"/>
        <v>141174</v>
      </c>
      <c r="O186" s="45">
        <f t="shared" si="33"/>
        <v>47058</v>
      </c>
      <c r="P186" s="46">
        <f t="shared" si="34"/>
        <v>2.222222222222222E-2</v>
      </c>
      <c r="Q186" s="46"/>
      <c r="R186" s="45">
        <f t="shared" si="35"/>
        <v>0</v>
      </c>
      <c r="S186" s="46">
        <f t="shared" si="36"/>
        <v>0</v>
      </c>
      <c r="T186" s="46">
        <f>IFERROR(VLOOKUP(A186,'[1]Re-order'!$A:$Q,17,0),"")</f>
        <v>43.578947368421055</v>
      </c>
      <c r="U186" s="46">
        <f>IFERROR(VLOOKUP(A186,'[1]MC Masterlist 2026-09-12'!$B:$M, 10, 0),0)</f>
        <v>15</v>
      </c>
      <c r="V186" s="46">
        <f>IFERROR(VLOOKUP(A186,'[1]MC Masterlist 2026-09-12'!$B:$M, 11, 0),0)</f>
        <v>15</v>
      </c>
      <c r="W186" s="46">
        <f t="shared" si="37"/>
        <v>30</v>
      </c>
      <c r="X186" s="46">
        <f t="shared" si="38"/>
        <v>29.666666666666668</v>
      </c>
      <c r="Y186" s="46">
        <f>IFERROR(IF(OR(C186="AREA I",C186="AREA V"),7,VLOOKUP(A186,'[1]MC Masterlist 2026-09-12'!$B:$M, 12, 0)),0)</f>
        <v>30</v>
      </c>
      <c r="Z186" s="46">
        <f t="shared" si="39"/>
        <v>0.33333333333333331</v>
      </c>
      <c r="AA186" s="46">
        <f t="shared" si="40"/>
        <v>0.66666666666666663</v>
      </c>
      <c r="AB186" s="46">
        <f t="shared" si="41"/>
        <v>0.65925925925925921</v>
      </c>
      <c r="AC186" s="46">
        <f t="shared" si="42"/>
        <v>0.66666666666666663</v>
      </c>
      <c r="AD186" s="44" t="str">
        <f t="shared" si="43"/>
        <v>Stockout</v>
      </c>
      <c r="AE186" s="44" t="str">
        <f>IFERROR(VLOOKUP(A186,'[1]Re-order'!$A:$AA,27,0),"")</f>
        <v>Re-order</v>
      </c>
      <c r="AF186" s="46">
        <f t="shared" si="44"/>
        <v>0.66666666666666663</v>
      </c>
      <c r="AG186" s="46">
        <f>SUMIFS('[1]Raw Inventory'!D:D,'[1]Raw Inventory'!C:C,"GREATWALL",'[1]Raw Inventory'!B:B,A186)</f>
        <v>0</v>
      </c>
      <c r="AH186" s="46">
        <f>SUMIFS('[1]Raw Inventory'!D:D,'[1]Raw Inventory'!C:C,"DUARTE",'[1]Raw Inventory'!B:B,A186)</f>
        <v>0</v>
      </c>
      <c r="AI186" s="46"/>
      <c r="AJ186" s="46"/>
      <c r="AK186" s="43"/>
      <c r="AL186" s="43"/>
      <c r="AM186" s="43"/>
      <c r="AN186" s="43"/>
      <c r="AO186" s="43"/>
      <c r="AP186" s="43"/>
      <c r="AQ186" s="43"/>
      <c r="AR186" s="43"/>
      <c r="AS186" s="43"/>
      <c r="AT186" s="43"/>
    </row>
    <row r="187" spans="1:46">
      <c r="A187" s="43" t="s">
        <v>23</v>
      </c>
      <c r="B187" s="43" t="s">
        <v>142</v>
      </c>
      <c r="C187" s="43" t="s">
        <v>137</v>
      </c>
      <c r="D187" s="44" t="s">
        <v>227</v>
      </c>
      <c r="E187" s="44">
        <v>1</v>
      </c>
      <c r="F187" s="44" t="s">
        <v>0</v>
      </c>
      <c r="G187" s="43" t="str">
        <f>IFERROR(VLOOKUP(A187,'[1]MC Masterlist 2026-09-12'!$B:$M, 3, 0),"")</f>
        <v>KAWASAKI</v>
      </c>
      <c r="H187" s="45">
        <f>IFERROR(VLOOKUP(A187,'[1]MC Masterlist 2026-09-12'!$B:$M, 6, 0),"")</f>
        <v>60656</v>
      </c>
      <c r="I187" s="46">
        <v>5</v>
      </c>
      <c r="J187" s="46">
        <v>10</v>
      </c>
      <c r="K187" s="46">
        <v>8</v>
      </c>
      <c r="L187" s="46">
        <f t="shared" si="30"/>
        <v>23</v>
      </c>
      <c r="M187" s="46">
        <f t="shared" si="31"/>
        <v>7.666666666666667</v>
      </c>
      <c r="N187" s="45">
        <f t="shared" si="32"/>
        <v>1395088</v>
      </c>
      <c r="O187" s="45">
        <f t="shared" si="33"/>
        <v>465029.33333333337</v>
      </c>
      <c r="P187" s="46">
        <f t="shared" si="34"/>
        <v>0.25555555555555559</v>
      </c>
      <c r="Q187" s="46">
        <v>3</v>
      </c>
      <c r="R187" s="45">
        <f t="shared" si="35"/>
        <v>181968</v>
      </c>
      <c r="S187" s="46">
        <f t="shared" si="36"/>
        <v>11.739130434782608</v>
      </c>
      <c r="T187" s="46">
        <f>IFERROR(VLOOKUP(A187,'[1]Re-order'!$A:$Q,17,0),"")</f>
        <v>53.973412112259979</v>
      </c>
      <c r="U187" s="46">
        <f>IFERROR(VLOOKUP(A187,'[1]MC Masterlist 2026-09-12'!$B:$M, 10, 0),0)</f>
        <v>15</v>
      </c>
      <c r="V187" s="46">
        <f>IFERROR(VLOOKUP(A187,'[1]MC Masterlist 2026-09-12'!$B:$M, 11, 0),0)</f>
        <v>15</v>
      </c>
      <c r="W187" s="46">
        <f t="shared" si="37"/>
        <v>30</v>
      </c>
      <c r="X187" s="46">
        <f t="shared" si="38"/>
        <v>3.1666666666666661</v>
      </c>
      <c r="Y187" s="46">
        <f>IFERROR(IF(OR(C187="AREA I",C187="AREA V"),7,VLOOKUP(A187,'[1]MC Masterlist 2026-09-12'!$B:$M, 12, 0)),0)</f>
        <v>7</v>
      </c>
      <c r="Z187" s="46">
        <f t="shared" si="39"/>
        <v>3.8333333333333339</v>
      </c>
      <c r="AA187" s="46">
        <f t="shared" si="40"/>
        <v>7.6666666666666679</v>
      </c>
      <c r="AB187" s="46">
        <f t="shared" si="41"/>
        <v>0.80925925925925923</v>
      </c>
      <c r="AC187" s="46">
        <f t="shared" si="42"/>
        <v>1.7888888888888892</v>
      </c>
      <c r="AD187" s="44" t="str">
        <f t="shared" si="43"/>
        <v>Over</v>
      </c>
      <c r="AE187" s="44" t="str">
        <f>IFERROR(VLOOKUP(A187,'[1]Re-order'!$A:$AA,27,0),"")</f>
        <v>Re-order</v>
      </c>
      <c r="AF187" s="46">
        <f t="shared" si="44"/>
        <v>-1.2111111111111108</v>
      </c>
      <c r="AG187" s="46">
        <f>SUMIFS('[1]Raw Inventory'!D:D,'[1]Raw Inventory'!C:C,"GREATWALL",'[1]Raw Inventory'!B:B,A187)</f>
        <v>282</v>
      </c>
      <c r="AH187" s="46">
        <f>SUMIFS('[1]Raw Inventory'!D:D,'[1]Raw Inventory'!C:C,"DUARTE",'[1]Raw Inventory'!B:B,A187)</f>
        <v>0</v>
      </c>
      <c r="AI187" s="46"/>
      <c r="AJ187" s="46"/>
      <c r="AK187" s="43"/>
      <c r="AL187" s="43"/>
      <c r="AM187" s="43"/>
      <c r="AN187" s="43"/>
      <c r="AO187" s="43"/>
      <c r="AP187" s="43"/>
      <c r="AQ187" s="43"/>
      <c r="AR187" s="43"/>
      <c r="AS187" s="43"/>
      <c r="AT187" s="43"/>
    </row>
    <row r="188" spans="1:46">
      <c r="A188" s="43" t="s">
        <v>16</v>
      </c>
      <c r="B188" s="43" t="s">
        <v>155</v>
      </c>
      <c r="C188" s="43" t="s">
        <v>152</v>
      </c>
      <c r="D188" s="44" t="s">
        <v>238</v>
      </c>
      <c r="E188" s="44">
        <v>2</v>
      </c>
      <c r="F188" s="44" t="s">
        <v>0</v>
      </c>
      <c r="G188" s="43" t="str">
        <f>IFERROR(VLOOKUP(A188,'[1]MC Masterlist 2026-09-12'!$B:$M, 3, 0),"")</f>
        <v>HONDA</v>
      </c>
      <c r="H188" s="45">
        <f>IFERROR(VLOOKUP(A188,'[1]MC Masterlist 2026-09-12'!$B:$M, 6, 0),"")</f>
        <v>84394</v>
      </c>
      <c r="I188" s="46">
        <v>0</v>
      </c>
      <c r="J188" s="46">
        <v>5</v>
      </c>
      <c r="K188" s="46">
        <v>5</v>
      </c>
      <c r="L188" s="46">
        <f t="shared" si="30"/>
        <v>10</v>
      </c>
      <c r="M188" s="46">
        <f t="shared" si="31"/>
        <v>3.3333333333333335</v>
      </c>
      <c r="N188" s="45">
        <f t="shared" si="32"/>
        <v>843940</v>
      </c>
      <c r="O188" s="45">
        <f t="shared" si="33"/>
        <v>281313.33333333337</v>
      </c>
      <c r="P188" s="46">
        <f t="shared" si="34"/>
        <v>0.11111111111111112</v>
      </c>
      <c r="Q188" s="46"/>
      <c r="R188" s="45">
        <f t="shared" si="35"/>
        <v>0</v>
      </c>
      <c r="S188" s="46">
        <f t="shared" si="36"/>
        <v>0</v>
      </c>
      <c r="T188" s="46">
        <f>IFERROR(VLOOKUP(A188,'[1]Re-order'!$A:$Q,17,0),"")</f>
        <v>26.332665330661321</v>
      </c>
      <c r="U188" s="46">
        <f>IFERROR(VLOOKUP(A188,'[1]MC Masterlist 2026-09-12'!$B:$M, 10, 0),0)</f>
        <v>15</v>
      </c>
      <c r="V188" s="46">
        <f>IFERROR(VLOOKUP(A188,'[1]MC Masterlist 2026-09-12'!$B:$M, 11, 0),0)</f>
        <v>15</v>
      </c>
      <c r="W188" s="46">
        <f t="shared" si="37"/>
        <v>30</v>
      </c>
      <c r="X188" s="46">
        <f t="shared" si="38"/>
        <v>28.333333333333332</v>
      </c>
      <c r="Y188" s="46">
        <f>IFERROR(IF(OR(C188="AREA I",C188="AREA V"),7,VLOOKUP(A188,'[1]MC Masterlist 2026-09-12'!$B:$M, 12, 0)),0)</f>
        <v>30</v>
      </c>
      <c r="Z188" s="46">
        <f t="shared" si="39"/>
        <v>1.6666666666666667</v>
      </c>
      <c r="AA188" s="46">
        <f t="shared" si="40"/>
        <v>3.3333333333333335</v>
      </c>
      <c r="AB188" s="46">
        <f t="shared" si="41"/>
        <v>3.1481481481481484</v>
      </c>
      <c r="AC188" s="46">
        <f t="shared" si="42"/>
        <v>3.3333333333333335</v>
      </c>
      <c r="AD188" s="44" t="str">
        <f t="shared" si="43"/>
        <v>Stockout</v>
      </c>
      <c r="AE188" s="44" t="str">
        <f>IFERROR(VLOOKUP(A188,'[1]Re-order'!$A:$AA,27,0),"")</f>
        <v>Stockout</v>
      </c>
      <c r="AF188" s="46">
        <f t="shared" si="44"/>
        <v>3.3333333333333335</v>
      </c>
      <c r="AG188" s="46">
        <f>SUMIFS('[1]Raw Inventory'!D:D,'[1]Raw Inventory'!C:C,"GREATWALL",'[1]Raw Inventory'!B:B,A188)</f>
        <v>58</v>
      </c>
      <c r="AH188" s="46">
        <f>SUMIFS('[1]Raw Inventory'!D:D,'[1]Raw Inventory'!C:C,"DUARTE",'[1]Raw Inventory'!B:B,A188)</f>
        <v>0</v>
      </c>
      <c r="AI188" s="46"/>
      <c r="AJ188" s="46"/>
      <c r="AK188" s="43"/>
      <c r="AL188" s="43"/>
      <c r="AM188" s="43"/>
      <c r="AN188" s="43"/>
      <c r="AO188" s="43"/>
      <c r="AP188" s="43"/>
      <c r="AQ188" s="43"/>
      <c r="AR188" s="43"/>
      <c r="AS188" s="43"/>
      <c r="AT188" s="43"/>
    </row>
    <row r="189" spans="1:46">
      <c r="A189" s="43" t="s">
        <v>23</v>
      </c>
      <c r="B189" s="43" t="s">
        <v>93</v>
      </c>
      <c r="C189" s="43" t="s">
        <v>90</v>
      </c>
      <c r="D189" s="44" t="s">
        <v>234</v>
      </c>
      <c r="E189" s="44">
        <v>4</v>
      </c>
      <c r="F189" s="44" t="s">
        <v>0</v>
      </c>
      <c r="G189" s="43" t="str">
        <f>IFERROR(VLOOKUP(A189,'[1]MC Masterlist 2026-09-12'!$B:$M, 3, 0),"")</f>
        <v>KAWASAKI</v>
      </c>
      <c r="H189" s="45">
        <f>IFERROR(VLOOKUP(A189,'[1]MC Masterlist 2026-09-12'!$B:$M, 6, 0),"")</f>
        <v>60656</v>
      </c>
      <c r="I189" s="46">
        <v>5</v>
      </c>
      <c r="J189" s="46">
        <v>4</v>
      </c>
      <c r="K189" s="46">
        <v>4</v>
      </c>
      <c r="L189" s="46">
        <f t="shared" si="30"/>
        <v>13</v>
      </c>
      <c r="M189" s="46">
        <f t="shared" si="31"/>
        <v>4.333333333333333</v>
      </c>
      <c r="N189" s="45">
        <f t="shared" si="32"/>
        <v>788528</v>
      </c>
      <c r="O189" s="45">
        <f t="shared" si="33"/>
        <v>262842.66666666663</v>
      </c>
      <c r="P189" s="46">
        <f t="shared" si="34"/>
        <v>0.14444444444444443</v>
      </c>
      <c r="Q189" s="46">
        <v>10</v>
      </c>
      <c r="R189" s="45">
        <f t="shared" si="35"/>
        <v>606560</v>
      </c>
      <c r="S189" s="46">
        <f t="shared" si="36"/>
        <v>69.230769230769241</v>
      </c>
      <c r="T189" s="46">
        <f>IFERROR(VLOOKUP(A189,'[1]Re-order'!$A:$Q,17,0),"")</f>
        <v>53.973412112259979</v>
      </c>
      <c r="U189" s="46">
        <f>IFERROR(VLOOKUP(A189,'[1]MC Masterlist 2026-09-12'!$B:$M, 10, 0),0)</f>
        <v>15</v>
      </c>
      <c r="V189" s="46">
        <f>IFERROR(VLOOKUP(A189,'[1]MC Masterlist 2026-09-12'!$B:$M, 11, 0),0)</f>
        <v>15</v>
      </c>
      <c r="W189" s="46">
        <f t="shared" si="37"/>
        <v>30</v>
      </c>
      <c r="X189" s="46">
        <f t="shared" si="38"/>
        <v>27.833333333333332</v>
      </c>
      <c r="Y189" s="46">
        <f>IFERROR(IF(OR(C189="AREA I",C189="AREA V"),7,VLOOKUP(A189,'[1]MC Masterlist 2026-09-12'!$B:$M, 12, 0)),0)</f>
        <v>30</v>
      </c>
      <c r="Z189" s="46">
        <f t="shared" si="39"/>
        <v>2.1666666666666665</v>
      </c>
      <c r="AA189" s="46">
        <f t="shared" si="40"/>
        <v>4.333333333333333</v>
      </c>
      <c r="AB189" s="46">
        <f t="shared" si="41"/>
        <v>4.0203703703703697</v>
      </c>
      <c r="AC189" s="46">
        <f t="shared" si="42"/>
        <v>4.333333333333333</v>
      </c>
      <c r="AD189" s="44" t="str">
        <f t="shared" si="43"/>
        <v>Over</v>
      </c>
      <c r="AE189" s="44" t="str">
        <f>IFERROR(VLOOKUP(A189,'[1]Re-order'!$A:$AA,27,0),"")</f>
        <v>Re-order</v>
      </c>
      <c r="AF189" s="46">
        <f t="shared" si="44"/>
        <v>-5.666666666666667</v>
      </c>
      <c r="AG189" s="46">
        <f>SUMIFS('[1]Raw Inventory'!D:D,'[1]Raw Inventory'!C:C,"GREATWALL",'[1]Raw Inventory'!B:B,A189)</f>
        <v>282</v>
      </c>
      <c r="AH189" s="46">
        <f>SUMIFS('[1]Raw Inventory'!D:D,'[1]Raw Inventory'!C:C,"DUARTE",'[1]Raw Inventory'!B:B,A189)</f>
        <v>0</v>
      </c>
      <c r="AI189" s="46"/>
      <c r="AJ189" s="46"/>
      <c r="AK189" s="43"/>
      <c r="AL189" s="43"/>
      <c r="AM189" s="43"/>
      <c r="AN189" s="43"/>
      <c r="AO189" s="43"/>
      <c r="AP189" s="43"/>
      <c r="AQ189" s="43"/>
      <c r="AR189" s="43"/>
      <c r="AS189" s="43"/>
      <c r="AT189" s="43"/>
    </row>
    <row r="190" spans="1:46">
      <c r="A190" s="43" t="s">
        <v>49</v>
      </c>
      <c r="B190" s="43" t="s">
        <v>110</v>
      </c>
      <c r="C190" s="43" t="s">
        <v>109</v>
      </c>
      <c r="D190" s="44" t="s">
        <v>227</v>
      </c>
      <c r="E190" s="44">
        <v>1</v>
      </c>
      <c r="F190" s="44" t="s">
        <v>0</v>
      </c>
      <c r="G190" s="43" t="str">
        <f>IFERROR(VLOOKUP(A190,'[1]MC Masterlist 2026-09-12'!$B:$M, 3, 0),"")</f>
        <v>BAJAJ RE</v>
      </c>
      <c r="H190" s="45">
        <f>IFERROR(VLOOKUP(A190,'[1]MC Masterlist 2026-09-12'!$B:$M, 6, 0),"")</f>
        <v>191000</v>
      </c>
      <c r="I190" s="46">
        <v>4</v>
      </c>
      <c r="J190" s="46">
        <v>3</v>
      </c>
      <c r="K190" s="46">
        <v>6</v>
      </c>
      <c r="L190" s="46">
        <f t="shared" si="30"/>
        <v>13</v>
      </c>
      <c r="M190" s="46">
        <f t="shared" si="31"/>
        <v>4.333333333333333</v>
      </c>
      <c r="N190" s="45">
        <f t="shared" si="32"/>
        <v>2483000</v>
      </c>
      <c r="O190" s="45">
        <f t="shared" si="33"/>
        <v>827666.66666666663</v>
      </c>
      <c r="P190" s="46">
        <f t="shared" si="34"/>
        <v>0.14444444444444443</v>
      </c>
      <c r="Q190" s="46">
        <v>20</v>
      </c>
      <c r="R190" s="45">
        <f t="shared" si="35"/>
        <v>3820000</v>
      </c>
      <c r="S190" s="46">
        <f t="shared" si="36"/>
        <v>138.46153846153848</v>
      </c>
      <c r="T190" s="46">
        <f>IFERROR(VLOOKUP(A190,'[1]Re-order'!$A:$Q,17,0),"")</f>
        <v>21.516709511568124</v>
      </c>
      <c r="U190" s="46">
        <f>IFERROR(VLOOKUP(A190,'[1]MC Masterlist 2026-09-12'!$B:$M, 10, 0),0)</f>
        <v>15</v>
      </c>
      <c r="V190" s="46">
        <f>IFERROR(VLOOKUP(A190,'[1]MC Masterlist 2026-09-12'!$B:$M, 11, 0),0)</f>
        <v>15</v>
      </c>
      <c r="W190" s="46">
        <f t="shared" si="37"/>
        <v>30</v>
      </c>
      <c r="X190" s="46">
        <f t="shared" si="38"/>
        <v>27.833333333333332</v>
      </c>
      <c r="Y190" s="46">
        <f>IFERROR(IF(OR(C190="AREA I",C190="AREA V"),7,VLOOKUP(A190,'[1]MC Masterlist 2026-09-12'!$B:$M, 12, 0)),0)</f>
        <v>30</v>
      </c>
      <c r="Z190" s="46">
        <f t="shared" si="39"/>
        <v>2.1666666666666665</v>
      </c>
      <c r="AA190" s="46">
        <f t="shared" si="40"/>
        <v>4.333333333333333</v>
      </c>
      <c r="AB190" s="46">
        <f t="shared" si="41"/>
        <v>4.0203703703703697</v>
      </c>
      <c r="AC190" s="46">
        <f t="shared" si="42"/>
        <v>4.333333333333333</v>
      </c>
      <c r="AD190" s="44" t="str">
        <f t="shared" si="43"/>
        <v>Over</v>
      </c>
      <c r="AE190" s="44" t="str">
        <f>IFERROR(VLOOKUP(A190,'[1]Re-order'!$A:$AA,27,0),"")</f>
        <v>Stockout</v>
      </c>
      <c r="AF190" s="46">
        <f t="shared" si="44"/>
        <v>-15.666666666666668</v>
      </c>
      <c r="AG190" s="46">
        <f>SUMIFS('[1]Raw Inventory'!D:D,'[1]Raw Inventory'!C:C,"GREATWALL",'[1]Raw Inventory'!B:B,A190)</f>
        <v>0</v>
      </c>
      <c r="AH190" s="46">
        <f>SUMIFS('[1]Raw Inventory'!D:D,'[1]Raw Inventory'!C:C,"DUARTE",'[1]Raw Inventory'!B:B,A190)</f>
        <v>0</v>
      </c>
      <c r="AI190" s="46"/>
      <c r="AJ190" s="46"/>
      <c r="AK190" s="43"/>
      <c r="AL190" s="43"/>
      <c r="AM190" s="43"/>
      <c r="AN190" s="43"/>
      <c r="AO190" s="43"/>
      <c r="AP190" s="43"/>
      <c r="AQ190" s="43"/>
      <c r="AR190" s="43"/>
      <c r="AS190" s="43"/>
      <c r="AT190" s="43"/>
    </row>
    <row r="191" spans="1:46">
      <c r="A191" s="43" t="s">
        <v>35</v>
      </c>
      <c r="B191" s="43" t="s">
        <v>113</v>
      </c>
      <c r="C191" s="43" t="s">
        <v>109</v>
      </c>
      <c r="D191" s="44" t="s">
        <v>247</v>
      </c>
      <c r="E191" s="44">
        <v>26</v>
      </c>
      <c r="F191" s="44" t="s">
        <v>3</v>
      </c>
      <c r="G191" s="43" t="str">
        <f>IFERROR(VLOOKUP(A191,'[1]MC Masterlist 2026-09-12'!$B:$M, 3, 0),"")</f>
        <v>HONDA</v>
      </c>
      <c r="H191" s="45">
        <f>IFERROR(VLOOKUP(A191,'[1]MC Masterlist 2026-09-12'!$B:$M, 6, 0),"")</f>
        <v>57990</v>
      </c>
      <c r="I191" s="46">
        <v>0</v>
      </c>
      <c r="J191" s="46">
        <v>0</v>
      </c>
      <c r="K191" s="46">
        <v>2</v>
      </c>
      <c r="L191" s="46">
        <f t="shared" si="30"/>
        <v>2</v>
      </c>
      <c r="M191" s="46">
        <f t="shared" si="31"/>
        <v>0.66666666666666663</v>
      </c>
      <c r="N191" s="45">
        <f t="shared" si="32"/>
        <v>115980</v>
      </c>
      <c r="O191" s="45">
        <f t="shared" si="33"/>
        <v>38660</v>
      </c>
      <c r="P191" s="46">
        <f t="shared" si="34"/>
        <v>2.222222222222222E-2</v>
      </c>
      <c r="Q191" s="46"/>
      <c r="R191" s="45">
        <f t="shared" si="35"/>
        <v>0</v>
      </c>
      <c r="S191" s="46">
        <f t="shared" si="36"/>
        <v>0</v>
      </c>
      <c r="T191" s="46">
        <f>IFERROR(VLOOKUP(A191,'[1]Re-order'!$A:$Q,17,0),"")</f>
        <v>68.275862068965523</v>
      </c>
      <c r="U191" s="46">
        <f>IFERROR(VLOOKUP(A191,'[1]MC Masterlist 2026-09-12'!$B:$M, 10, 0),0)</f>
        <v>15</v>
      </c>
      <c r="V191" s="46">
        <f>IFERROR(VLOOKUP(A191,'[1]MC Masterlist 2026-09-12'!$B:$M, 11, 0),0)</f>
        <v>15</v>
      </c>
      <c r="W191" s="46">
        <f t="shared" si="37"/>
        <v>30</v>
      </c>
      <c r="X191" s="46">
        <f t="shared" si="38"/>
        <v>29.666666666666668</v>
      </c>
      <c r="Y191" s="46">
        <f>IFERROR(IF(OR(C191="AREA I",C191="AREA V"),7,VLOOKUP(A191,'[1]MC Masterlist 2026-09-12'!$B:$M, 12, 0)),0)</f>
        <v>30</v>
      </c>
      <c r="Z191" s="46">
        <f t="shared" si="39"/>
        <v>0.33333333333333331</v>
      </c>
      <c r="AA191" s="46">
        <f t="shared" si="40"/>
        <v>0.66666666666666663</v>
      </c>
      <c r="AB191" s="46">
        <f t="shared" si="41"/>
        <v>0.65925925925925921</v>
      </c>
      <c r="AC191" s="46">
        <f t="shared" si="42"/>
        <v>0.66666666666666663</v>
      </c>
      <c r="AD191" s="44" t="str">
        <f t="shared" si="43"/>
        <v>Stockout</v>
      </c>
      <c r="AE191" s="44" t="str">
        <f>IFERROR(VLOOKUP(A191,'[1]Re-order'!$A:$AA,27,0),"")</f>
        <v>Re-order</v>
      </c>
      <c r="AF191" s="46">
        <f t="shared" si="44"/>
        <v>0.66666666666666663</v>
      </c>
      <c r="AG191" s="46">
        <f>SUMIFS('[1]Raw Inventory'!D:D,'[1]Raw Inventory'!C:C,"GREATWALL",'[1]Raw Inventory'!B:B,A191)</f>
        <v>29</v>
      </c>
      <c r="AH191" s="46">
        <f>SUMIFS('[1]Raw Inventory'!D:D,'[1]Raw Inventory'!C:C,"DUARTE",'[1]Raw Inventory'!B:B,A191)</f>
        <v>0</v>
      </c>
      <c r="AI191" s="46"/>
      <c r="AJ191" s="46"/>
      <c r="AK191" s="43"/>
      <c r="AL191" s="43"/>
      <c r="AM191" s="43"/>
      <c r="AN191" s="43"/>
      <c r="AO191" s="43"/>
      <c r="AP191" s="43"/>
      <c r="AQ191" s="43"/>
      <c r="AR191" s="43"/>
      <c r="AS191" s="43"/>
      <c r="AT191" s="43"/>
    </row>
    <row r="192" spans="1:46">
      <c r="A192" s="43" t="s">
        <v>18</v>
      </c>
      <c r="B192" s="43" t="s">
        <v>130</v>
      </c>
      <c r="C192" s="43" t="s">
        <v>128</v>
      </c>
      <c r="D192" s="44" t="s">
        <v>253</v>
      </c>
      <c r="E192" s="44">
        <v>30</v>
      </c>
      <c r="F192" s="44" t="s">
        <v>3</v>
      </c>
      <c r="G192" s="43" t="str">
        <f>IFERROR(VLOOKUP(A192,'[1]MC Masterlist 2026-09-12'!$B:$M, 3, 0),"")</f>
        <v>HONDA</v>
      </c>
      <c r="H192" s="45">
        <f>IFERROR(VLOOKUP(A192,'[1]MC Masterlist 2026-09-12'!$B:$M, 6, 0),"")</f>
        <v>94330</v>
      </c>
      <c r="I192" s="46">
        <v>0</v>
      </c>
      <c r="J192" s="46">
        <v>0</v>
      </c>
      <c r="K192" s="46">
        <v>0</v>
      </c>
      <c r="L192" s="46">
        <f t="shared" si="30"/>
        <v>0</v>
      </c>
      <c r="M192" s="46">
        <f t="shared" si="31"/>
        <v>0</v>
      </c>
      <c r="N192" s="45">
        <f t="shared" si="32"/>
        <v>0</v>
      </c>
      <c r="O192" s="45">
        <f t="shared" si="33"/>
        <v>0</v>
      </c>
      <c r="P192" s="46">
        <f t="shared" si="34"/>
        <v>0</v>
      </c>
      <c r="Q192" s="46">
        <v>2</v>
      </c>
      <c r="R192" s="45">
        <f t="shared" si="35"/>
        <v>188660</v>
      </c>
      <c r="S192" s="46">
        <f t="shared" si="36"/>
        <v>0</v>
      </c>
      <c r="T192" s="46">
        <f>IFERROR(VLOOKUP(A192,'[1]Re-order'!$A:$Q,17,0),"")</f>
        <v>113.9644970414201</v>
      </c>
      <c r="U192" s="46">
        <f>IFERROR(VLOOKUP(A192,'[1]MC Masterlist 2026-09-12'!$B:$M, 10, 0),0)</f>
        <v>15</v>
      </c>
      <c r="V192" s="46">
        <f>IFERROR(VLOOKUP(A192,'[1]MC Masterlist 2026-09-12'!$B:$M, 11, 0),0)</f>
        <v>15</v>
      </c>
      <c r="W192" s="46">
        <f t="shared" si="37"/>
        <v>30</v>
      </c>
      <c r="X192" s="46">
        <f t="shared" si="38"/>
        <v>30</v>
      </c>
      <c r="Y192" s="46">
        <f>IFERROR(IF(OR(C192="AREA I",C192="AREA V"),7,VLOOKUP(A192,'[1]MC Masterlist 2026-09-12'!$B:$M, 12, 0)),0)</f>
        <v>30</v>
      </c>
      <c r="Z192" s="46">
        <f t="shared" si="39"/>
        <v>0</v>
      </c>
      <c r="AA192" s="46">
        <f t="shared" si="40"/>
        <v>0</v>
      </c>
      <c r="AB192" s="46">
        <f t="shared" si="41"/>
        <v>0</v>
      </c>
      <c r="AC192" s="46">
        <f t="shared" si="42"/>
        <v>0</v>
      </c>
      <c r="AD192" s="44" t="str">
        <f t="shared" si="43"/>
        <v>Over</v>
      </c>
      <c r="AE192" s="44" t="str">
        <f>IFERROR(VLOOKUP(A192,'[1]Re-order'!$A:$AA,27,0),"")</f>
        <v>Over</v>
      </c>
      <c r="AF192" s="46">
        <f t="shared" si="44"/>
        <v>-2</v>
      </c>
      <c r="AG192" s="46">
        <f>SUMIFS('[1]Raw Inventory'!D:D,'[1]Raw Inventory'!C:C,"GREATWALL",'[1]Raw Inventory'!B:B,A192)</f>
        <v>88</v>
      </c>
      <c r="AH192" s="46">
        <f>SUMIFS('[1]Raw Inventory'!D:D,'[1]Raw Inventory'!C:C,"DUARTE",'[1]Raw Inventory'!B:B,A192)</f>
        <v>0</v>
      </c>
      <c r="AI192" s="46"/>
      <c r="AJ192" s="46"/>
      <c r="AK192" s="43"/>
      <c r="AL192" s="43"/>
      <c r="AM192" s="43"/>
      <c r="AN192" s="43"/>
      <c r="AO192" s="43"/>
      <c r="AP192" s="43"/>
      <c r="AQ192" s="43"/>
      <c r="AR192" s="43"/>
      <c r="AS192" s="43"/>
      <c r="AT192" s="43"/>
    </row>
    <row r="193" spans="1:46">
      <c r="A193" s="43" t="s">
        <v>35</v>
      </c>
      <c r="B193" s="43" t="s">
        <v>248</v>
      </c>
      <c r="C193" s="43"/>
      <c r="D193" s="44" t="s">
        <v>269</v>
      </c>
      <c r="E193" s="44">
        <v>1</v>
      </c>
      <c r="F193" s="44" t="s">
        <v>0</v>
      </c>
      <c r="G193" s="43" t="str">
        <f>IFERROR(VLOOKUP(A193,'[1]MC Masterlist 2026-09-12'!$B:$M, 3, 0),"")</f>
        <v>HONDA</v>
      </c>
      <c r="H193" s="45">
        <f>IFERROR(VLOOKUP(A193,'[1]MC Masterlist 2026-09-12'!$B:$M, 6, 0),"")</f>
        <v>57990</v>
      </c>
      <c r="I193" s="46">
        <v>0</v>
      </c>
      <c r="J193" s="46">
        <v>0</v>
      </c>
      <c r="K193" s="46">
        <v>0</v>
      </c>
      <c r="L193" s="46">
        <f t="shared" si="30"/>
        <v>0</v>
      </c>
      <c r="M193" s="46">
        <f t="shared" si="31"/>
        <v>0</v>
      </c>
      <c r="N193" s="45">
        <f t="shared" si="32"/>
        <v>0</v>
      </c>
      <c r="O193" s="45">
        <f t="shared" si="33"/>
        <v>0</v>
      </c>
      <c r="P193" s="46">
        <f t="shared" si="34"/>
        <v>0</v>
      </c>
      <c r="Q193" s="46">
        <v>1</v>
      </c>
      <c r="R193" s="45">
        <f t="shared" si="35"/>
        <v>57990</v>
      </c>
      <c r="S193" s="46">
        <f t="shared" si="36"/>
        <v>0</v>
      </c>
      <c r="T193" s="46">
        <f>IFERROR(VLOOKUP(A193,'[1]Re-order'!$A:$Q,17,0),"")</f>
        <v>68.275862068965523</v>
      </c>
      <c r="U193" s="46">
        <f>IFERROR(VLOOKUP(A193,'[1]MC Masterlist 2026-09-12'!$B:$M, 10, 0),0)</f>
        <v>15</v>
      </c>
      <c r="V193" s="46">
        <f>IFERROR(VLOOKUP(A193,'[1]MC Masterlist 2026-09-12'!$B:$M, 11, 0),0)</f>
        <v>15</v>
      </c>
      <c r="W193" s="46">
        <f t="shared" si="37"/>
        <v>30</v>
      </c>
      <c r="X193" s="46">
        <f t="shared" si="38"/>
        <v>30</v>
      </c>
      <c r="Y193" s="46">
        <f>IFERROR(IF(OR(C193="AREA I",C193="AREA V"),7,VLOOKUP(A193,'[1]MC Masterlist 2026-09-12'!$B:$M, 12, 0)),0)</f>
        <v>30</v>
      </c>
      <c r="Z193" s="46">
        <f t="shared" si="39"/>
        <v>0</v>
      </c>
      <c r="AA193" s="46">
        <f t="shared" si="40"/>
        <v>0</v>
      </c>
      <c r="AB193" s="46">
        <f t="shared" si="41"/>
        <v>0</v>
      </c>
      <c r="AC193" s="46">
        <f t="shared" si="42"/>
        <v>0</v>
      </c>
      <c r="AD193" s="44" t="str">
        <f t="shared" si="43"/>
        <v>Over</v>
      </c>
      <c r="AE193" s="44" t="str">
        <f>IFERROR(VLOOKUP(A193,'[1]Re-order'!$A:$AA,27,0),"")</f>
        <v>Re-order</v>
      </c>
      <c r="AF193" s="46">
        <f t="shared" si="44"/>
        <v>-1</v>
      </c>
      <c r="AG193" s="46">
        <f>SUMIFS('[1]Raw Inventory'!D:D,'[1]Raw Inventory'!C:C,"GREATWALL",'[1]Raw Inventory'!B:B,A193)</f>
        <v>29</v>
      </c>
      <c r="AH193" s="46">
        <f>SUMIFS('[1]Raw Inventory'!D:D,'[1]Raw Inventory'!C:C,"DUARTE",'[1]Raw Inventory'!B:B,A193)</f>
        <v>0</v>
      </c>
      <c r="AI193" s="46"/>
      <c r="AJ193" s="46"/>
      <c r="AK193" s="43"/>
      <c r="AL193" s="43"/>
      <c r="AM193" s="43"/>
      <c r="AN193" s="43"/>
      <c r="AO193" s="43"/>
      <c r="AP193" s="43"/>
      <c r="AQ193" s="43"/>
      <c r="AR193" s="43"/>
      <c r="AS193" s="43"/>
      <c r="AT193" s="43"/>
    </row>
    <row r="194" spans="1:46">
      <c r="A194" s="43" t="s">
        <v>67</v>
      </c>
      <c r="B194" s="43" t="s">
        <v>145</v>
      </c>
      <c r="C194" s="43" t="s">
        <v>137</v>
      </c>
      <c r="D194" s="44" t="s">
        <v>245</v>
      </c>
      <c r="E194" s="44">
        <v>28</v>
      </c>
      <c r="F194" s="44" t="s">
        <v>3</v>
      </c>
      <c r="G194" s="43" t="str">
        <f>IFERROR(VLOOKUP(A194,'[1]MC Masterlist 2026-09-12'!$B:$M, 3, 0),"")</f>
        <v>YAMAHA</v>
      </c>
      <c r="H194" s="45">
        <f>IFERROR(VLOOKUP(A194,'[1]MC Masterlist 2026-09-12'!$B:$M, 6, 0),"")</f>
        <v>86397</v>
      </c>
      <c r="I194" s="46">
        <v>0</v>
      </c>
      <c r="J194" s="46">
        <v>0</v>
      </c>
      <c r="K194" s="46">
        <v>0</v>
      </c>
      <c r="L194" s="46">
        <f t="shared" si="30"/>
        <v>0</v>
      </c>
      <c r="M194" s="46">
        <f t="shared" si="31"/>
        <v>0</v>
      </c>
      <c r="N194" s="45">
        <f t="shared" si="32"/>
        <v>0</v>
      </c>
      <c r="O194" s="45">
        <f t="shared" si="33"/>
        <v>0</v>
      </c>
      <c r="P194" s="46">
        <f t="shared" si="34"/>
        <v>0</v>
      </c>
      <c r="Q194" s="46">
        <v>1</v>
      </c>
      <c r="R194" s="45">
        <f t="shared" si="35"/>
        <v>86397</v>
      </c>
      <c r="S194" s="46">
        <f t="shared" si="36"/>
        <v>0</v>
      </c>
      <c r="T194" s="46">
        <f>IFERROR(VLOOKUP(A194,'[1]Re-order'!$A:$Q,17,0),"")</f>
        <v>73.63636363636364</v>
      </c>
      <c r="U194" s="46">
        <f>IFERROR(VLOOKUP(A194,'[1]MC Masterlist 2026-09-12'!$B:$M, 10, 0),0)</f>
        <v>15</v>
      </c>
      <c r="V194" s="46">
        <f>IFERROR(VLOOKUP(A194,'[1]MC Masterlist 2026-09-12'!$B:$M, 11, 0),0)</f>
        <v>15</v>
      </c>
      <c r="W194" s="46">
        <f t="shared" si="37"/>
        <v>30</v>
      </c>
      <c r="X194" s="46">
        <f t="shared" si="38"/>
        <v>7</v>
      </c>
      <c r="Y194" s="46">
        <f>IFERROR(IF(OR(C194="AREA I",C194="AREA V"),7,VLOOKUP(A194,'[1]MC Masterlist 2026-09-12'!$B:$M, 12, 0)),0)</f>
        <v>7</v>
      </c>
      <c r="Z194" s="46">
        <f t="shared" si="39"/>
        <v>0</v>
      </c>
      <c r="AA194" s="46">
        <f t="shared" si="40"/>
        <v>0</v>
      </c>
      <c r="AB194" s="46">
        <f t="shared" si="41"/>
        <v>0</v>
      </c>
      <c r="AC194" s="46">
        <f t="shared" si="42"/>
        <v>0</v>
      </c>
      <c r="AD194" s="44" t="str">
        <f t="shared" si="43"/>
        <v>Over</v>
      </c>
      <c r="AE194" s="44" t="str">
        <f>IFERROR(VLOOKUP(A194,'[1]Re-order'!$A:$AA,27,0),"")</f>
        <v>Re-order</v>
      </c>
      <c r="AF194" s="46">
        <f t="shared" si="44"/>
        <v>-1</v>
      </c>
      <c r="AG194" s="46">
        <f>SUMIFS('[1]Raw Inventory'!D:D,'[1]Raw Inventory'!C:C,"GREATWALL",'[1]Raw Inventory'!B:B,A194)</f>
        <v>1</v>
      </c>
      <c r="AH194" s="46">
        <f>SUMIFS('[1]Raw Inventory'!D:D,'[1]Raw Inventory'!C:C,"DUARTE",'[1]Raw Inventory'!B:B,A194)</f>
        <v>0</v>
      </c>
      <c r="AI194" s="46"/>
      <c r="AJ194" s="46"/>
      <c r="AK194" s="43"/>
      <c r="AL194" s="43"/>
      <c r="AM194" s="43"/>
      <c r="AN194" s="43"/>
      <c r="AO194" s="43"/>
      <c r="AP194" s="43"/>
      <c r="AQ194" s="43"/>
      <c r="AR194" s="43"/>
      <c r="AS194" s="43"/>
      <c r="AT194" s="43"/>
    </row>
    <row r="195" spans="1:46">
      <c r="A195" s="43" t="s">
        <v>22</v>
      </c>
      <c r="B195" s="43" t="s">
        <v>111</v>
      </c>
      <c r="C195" s="43" t="s">
        <v>109</v>
      </c>
      <c r="D195" s="44" t="s">
        <v>268</v>
      </c>
      <c r="E195" s="44">
        <v>19</v>
      </c>
      <c r="F195" s="44" t="s">
        <v>3</v>
      </c>
      <c r="G195" s="43" t="str">
        <f>IFERROR(VLOOKUP(A195,'[1]MC Masterlist 2026-09-12'!$B:$M, 3, 0),"")</f>
        <v>HONDA</v>
      </c>
      <c r="H195" s="45">
        <f>IFERROR(VLOOKUP(A195,'[1]MC Masterlist 2026-09-12'!$B:$M, 6, 0),"")</f>
        <v>111258</v>
      </c>
      <c r="I195" s="46">
        <v>0</v>
      </c>
      <c r="J195" s="46">
        <v>1</v>
      </c>
      <c r="K195" s="46">
        <v>0</v>
      </c>
      <c r="L195" s="46">
        <f t="shared" ref="L195:L258" si="45">I195+J195+K195</f>
        <v>1</v>
      </c>
      <c r="M195" s="46">
        <f t="shared" ref="M195:M258" si="46">AVERAGE(I195,J195,K195)</f>
        <v>0.33333333333333331</v>
      </c>
      <c r="N195" s="45">
        <f t="shared" ref="N195:N258" si="47">L195*H195</f>
        <v>111258</v>
      </c>
      <c r="O195" s="45">
        <f t="shared" ref="O195:O258" si="48">M195*H195</f>
        <v>37086</v>
      </c>
      <c r="P195" s="46">
        <f t="shared" ref="P195:P258" si="49">M195/30</f>
        <v>1.111111111111111E-2</v>
      </c>
      <c r="Q195" s="46"/>
      <c r="R195" s="45">
        <f t="shared" ref="R195:R258" si="50">IFERROR(Q195*H195, 0)</f>
        <v>0</v>
      </c>
      <c r="S195" s="46">
        <f t="shared" ref="S195:S258" si="51">IFERROR(R195/(O195)*30, 0)</f>
        <v>0</v>
      </c>
      <c r="T195" s="46">
        <f>IFERROR(VLOOKUP(A195,'[1]Re-order'!$A:$Q,17,0),"")</f>
        <v>41.339712918660283</v>
      </c>
      <c r="U195" s="46">
        <f>IFERROR(VLOOKUP(A195,'[1]MC Masterlist 2026-09-12'!$B:$M, 10, 0),0)</f>
        <v>15</v>
      </c>
      <c r="V195" s="46">
        <f>IFERROR(VLOOKUP(A195,'[1]MC Masterlist 2026-09-12'!$B:$M, 11, 0),0)</f>
        <v>15</v>
      </c>
      <c r="W195" s="46">
        <f t="shared" ref="W195:W258" si="52">U195+V195</f>
        <v>30</v>
      </c>
      <c r="X195" s="46">
        <f t="shared" ref="X195:X258" si="53">Y195-Z195</f>
        <v>29.833333333333332</v>
      </c>
      <c r="Y195" s="46">
        <f>IFERROR(IF(OR(C195="AREA I",C195="AREA V"),7,VLOOKUP(A195,'[1]MC Masterlist 2026-09-12'!$B:$M, 12, 0)),0)</f>
        <v>30</v>
      </c>
      <c r="Z195" s="46">
        <f t="shared" ref="Z195:Z258" si="54">V195*P195</f>
        <v>0.16666666666666666</v>
      </c>
      <c r="AA195" s="46">
        <f t="shared" ref="AA195:AA258" si="55">W195*P195</f>
        <v>0.33333333333333331</v>
      </c>
      <c r="AB195" s="46">
        <f t="shared" ref="AB195:AB258" si="56">X195*P195</f>
        <v>0.33148148148148143</v>
      </c>
      <c r="AC195" s="46">
        <f t="shared" ref="AC195:AC258" si="57">Y195*P195</f>
        <v>0.33333333333333331</v>
      </c>
      <c r="AD195" s="44" t="str">
        <f t="shared" ref="AD195:AD258" si="58">IFERROR(IF(Q195&gt;AC195, "Over", IF(Q195&lt;=Z195, "Stockout", IF(Q195&lt;=AA195, "Re-order",""))), "")</f>
        <v>Stockout</v>
      </c>
      <c r="AE195" s="44" t="str">
        <f>IFERROR(VLOOKUP(A195,'[1]Re-order'!$A:$AA,27,0),"")</f>
        <v>Re-order</v>
      </c>
      <c r="AF195" s="46">
        <f t="shared" ref="AF195:AF258" si="59">AC195-Q195</f>
        <v>0.33333333333333331</v>
      </c>
      <c r="AG195" s="46">
        <f>SUMIFS('[1]Raw Inventory'!D:D,'[1]Raw Inventory'!C:C,"GREATWALL",'[1]Raw Inventory'!B:B,A195)</f>
        <v>4</v>
      </c>
      <c r="AH195" s="46">
        <f>SUMIFS('[1]Raw Inventory'!D:D,'[1]Raw Inventory'!C:C,"DUARTE",'[1]Raw Inventory'!B:B,A195)</f>
        <v>0</v>
      </c>
      <c r="AI195" s="46"/>
      <c r="AJ195" s="46"/>
      <c r="AK195" s="43"/>
      <c r="AL195" s="43"/>
      <c r="AM195" s="43"/>
      <c r="AN195" s="43"/>
      <c r="AO195" s="43"/>
      <c r="AP195" s="43"/>
      <c r="AQ195" s="43"/>
      <c r="AR195" s="43"/>
      <c r="AS195" s="43"/>
      <c r="AT195" s="43"/>
    </row>
    <row r="196" spans="1:46">
      <c r="A196" s="43" t="s">
        <v>22</v>
      </c>
      <c r="B196" s="43" t="s">
        <v>115</v>
      </c>
      <c r="C196" s="43" t="s">
        <v>109</v>
      </c>
      <c r="D196" s="44" t="s">
        <v>252</v>
      </c>
      <c r="E196" s="44">
        <v>16</v>
      </c>
      <c r="F196" s="44" t="s">
        <v>2</v>
      </c>
      <c r="G196" s="43" t="str">
        <f>IFERROR(VLOOKUP(A196,'[1]MC Masterlist 2026-09-12'!$B:$M, 3, 0),"")</f>
        <v>HONDA</v>
      </c>
      <c r="H196" s="45">
        <f>IFERROR(VLOOKUP(A196,'[1]MC Masterlist 2026-09-12'!$B:$M, 6, 0),"")</f>
        <v>111258</v>
      </c>
      <c r="I196" s="46">
        <v>0</v>
      </c>
      <c r="J196" s="46">
        <v>1</v>
      </c>
      <c r="K196" s="46">
        <v>1</v>
      </c>
      <c r="L196" s="46">
        <f t="shared" si="45"/>
        <v>2</v>
      </c>
      <c r="M196" s="46">
        <f t="shared" si="46"/>
        <v>0.66666666666666663</v>
      </c>
      <c r="N196" s="45">
        <f t="shared" si="47"/>
        <v>222516</v>
      </c>
      <c r="O196" s="45">
        <f t="shared" si="48"/>
        <v>74172</v>
      </c>
      <c r="P196" s="46">
        <f t="shared" si="49"/>
        <v>2.222222222222222E-2</v>
      </c>
      <c r="Q196" s="46">
        <v>3</v>
      </c>
      <c r="R196" s="45">
        <f t="shared" si="50"/>
        <v>333774</v>
      </c>
      <c r="S196" s="46">
        <f t="shared" si="51"/>
        <v>135</v>
      </c>
      <c r="T196" s="46">
        <f>IFERROR(VLOOKUP(A196,'[1]Re-order'!$A:$Q,17,0),"")</f>
        <v>41.339712918660283</v>
      </c>
      <c r="U196" s="46">
        <f>IFERROR(VLOOKUP(A196,'[1]MC Masterlist 2026-09-12'!$B:$M, 10, 0),0)</f>
        <v>15</v>
      </c>
      <c r="V196" s="46">
        <f>IFERROR(VLOOKUP(A196,'[1]MC Masterlist 2026-09-12'!$B:$M, 11, 0),0)</f>
        <v>15</v>
      </c>
      <c r="W196" s="46">
        <f t="shared" si="52"/>
        <v>30</v>
      </c>
      <c r="X196" s="46">
        <f t="shared" si="53"/>
        <v>29.666666666666668</v>
      </c>
      <c r="Y196" s="46">
        <f>IFERROR(IF(OR(C196="AREA I",C196="AREA V"),7,VLOOKUP(A196,'[1]MC Masterlist 2026-09-12'!$B:$M, 12, 0)),0)</f>
        <v>30</v>
      </c>
      <c r="Z196" s="46">
        <f t="shared" si="54"/>
        <v>0.33333333333333331</v>
      </c>
      <c r="AA196" s="46">
        <f t="shared" si="55"/>
        <v>0.66666666666666663</v>
      </c>
      <c r="AB196" s="46">
        <f t="shared" si="56"/>
        <v>0.65925925925925921</v>
      </c>
      <c r="AC196" s="46">
        <f t="shared" si="57"/>
        <v>0.66666666666666663</v>
      </c>
      <c r="AD196" s="44" t="str">
        <f t="shared" si="58"/>
        <v>Over</v>
      </c>
      <c r="AE196" s="44" t="str">
        <f>IFERROR(VLOOKUP(A196,'[1]Re-order'!$A:$AA,27,0),"")</f>
        <v>Re-order</v>
      </c>
      <c r="AF196" s="46">
        <f t="shared" si="59"/>
        <v>-2.3333333333333335</v>
      </c>
      <c r="AG196" s="46">
        <f>SUMIFS('[1]Raw Inventory'!D:D,'[1]Raw Inventory'!C:C,"GREATWALL",'[1]Raw Inventory'!B:B,A196)</f>
        <v>4</v>
      </c>
      <c r="AH196" s="46">
        <f>SUMIFS('[1]Raw Inventory'!D:D,'[1]Raw Inventory'!C:C,"DUARTE",'[1]Raw Inventory'!B:B,A196)</f>
        <v>0</v>
      </c>
      <c r="AI196" s="46"/>
      <c r="AJ196" s="46"/>
      <c r="AK196" s="43"/>
      <c r="AL196" s="43"/>
      <c r="AM196" s="43"/>
      <c r="AN196" s="43"/>
      <c r="AO196" s="43"/>
      <c r="AP196" s="43"/>
      <c r="AQ196" s="43"/>
      <c r="AR196" s="43"/>
      <c r="AS196" s="43"/>
      <c r="AT196" s="43"/>
    </row>
    <row r="197" spans="1:46">
      <c r="A197" s="43" t="s">
        <v>35</v>
      </c>
      <c r="B197" s="43" t="s">
        <v>123</v>
      </c>
      <c r="C197" s="43" t="s">
        <v>118</v>
      </c>
      <c r="D197" s="44" t="s">
        <v>257</v>
      </c>
      <c r="E197" s="44">
        <v>23</v>
      </c>
      <c r="F197" s="44" t="s">
        <v>3</v>
      </c>
      <c r="G197" s="43" t="str">
        <f>IFERROR(VLOOKUP(A197,'[1]MC Masterlist 2026-09-12'!$B:$M, 3, 0),"")</f>
        <v>HONDA</v>
      </c>
      <c r="H197" s="45">
        <f>IFERROR(VLOOKUP(A197,'[1]MC Masterlist 2026-09-12'!$B:$M, 6, 0),"")</f>
        <v>57990</v>
      </c>
      <c r="I197" s="46">
        <v>0</v>
      </c>
      <c r="J197" s="46">
        <v>1</v>
      </c>
      <c r="K197" s="46">
        <v>0</v>
      </c>
      <c r="L197" s="46">
        <f t="shared" si="45"/>
        <v>1</v>
      </c>
      <c r="M197" s="46">
        <f t="shared" si="46"/>
        <v>0.33333333333333331</v>
      </c>
      <c r="N197" s="45">
        <f t="shared" si="47"/>
        <v>57990</v>
      </c>
      <c r="O197" s="45">
        <f t="shared" si="48"/>
        <v>19330</v>
      </c>
      <c r="P197" s="46">
        <f t="shared" si="49"/>
        <v>1.111111111111111E-2</v>
      </c>
      <c r="Q197" s="46">
        <v>1</v>
      </c>
      <c r="R197" s="45">
        <f t="shared" si="50"/>
        <v>57990</v>
      </c>
      <c r="S197" s="46">
        <f t="shared" si="51"/>
        <v>90</v>
      </c>
      <c r="T197" s="46">
        <f>IFERROR(VLOOKUP(A197,'[1]Re-order'!$A:$Q,17,0),"")</f>
        <v>68.275862068965523</v>
      </c>
      <c r="U197" s="46">
        <f>IFERROR(VLOOKUP(A197,'[1]MC Masterlist 2026-09-12'!$B:$M, 10, 0),0)</f>
        <v>15</v>
      </c>
      <c r="V197" s="46">
        <f>IFERROR(VLOOKUP(A197,'[1]MC Masterlist 2026-09-12'!$B:$M, 11, 0),0)</f>
        <v>15</v>
      </c>
      <c r="W197" s="46">
        <f t="shared" si="52"/>
        <v>30</v>
      </c>
      <c r="X197" s="46">
        <f t="shared" si="53"/>
        <v>29.833333333333332</v>
      </c>
      <c r="Y197" s="46">
        <f>IFERROR(IF(OR(C197="AREA I",C197="AREA V"),7,VLOOKUP(A197,'[1]MC Masterlist 2026-09-12'!$B:$M, 12, 0)),0)</f>
        <v>30</v>
      </c>
      <c r="Z197" s="46">
        <f t="shared" si="54"/>
        <v>0.16666666666666666</v>
      </c>
      <c r="AA197" s="46">
        <f t="shared" si="55"/>
        <v>0.33333333333333331</v>
      </c>
      <c r="AB197" s="46">
        <f t="shared" si="56"/>
        <v>0.33148148148148143</v>
      </c>
      <c r="AC197" s="46">
        <f t="shared" si="57"/>
        <v>0.33333333333333331</v>
      </c>
      <c r="AD197" s="44" t="str">
        <f t="shared" si="58"/>
        <v>Over</v>
      </c>
      <c r="AE197" s="44" t="str">
        <f>IFERROR(VLOOKUP(A197,'[1]Re-order'!$A:$AA,27,0),"")</f>
        <v>Re-order</v>
      </c>
      <c r="AF197" s="46">
        <f t="shared" si="59"/>
        <v>-0.66666666666666674</v>
      </c>
      <c r="AG197" s="46">
        <f>SUMIFS('[1]Raw Inventory'!D:D,'[1]Raw Inventory'!C:C,"GREATWALL",'[1]Raw Inventory'!B:B,A197)</f>
        <v>29</v>
      </c>
      <c r="AH197" s="46">
        <f>SUMIFS('[1]Raw Inventory'!D:D,'[1]Raw Inventory'!C:C,"DUARTE",'[1]Raw Inventory'!B:B,A197)</f>
        <v>0</v>
      </c>
      <c r="AI197" s="46"/>
      <c r="AJ197" s="46"/>
      <c r="AK197" s="43"/>
      <c r="AL197" s="43"/>
      <c r="AM197" s="43"/>
      <c r="AN197" s="43"/>
      <c r="AO197" s="43"/>
      <c r="AP197" s="43"/>
      <c r="AQ197" s="43"/>
      <c r="AR197" s="43"/>
      <c r="AS197" s="43"/>
      <c r="AT197" s="43"/>
    </row>
    <row r="198" spans="1:46">
      <c r="A198" s="43" t="s">
        <v>24</v>
      </c>
      <c r="B198" s="43" t="s">
        <v>154</v>
      </c>
      <c r="C198" s="43" t="s">
        <v>152</v>
      </c>
      <c r="D198" s="44" t="s">
        <v>268</v>
      </c>
      <c r="E198" s="44">
        <v>20</v>
      </c>
      <c r="F198" s="44" t="s">
        <v>3</v>
      </c>
      <c r="G198" s="43" t="str">
        <f>IFERROR(VLOOKUP(A198,'[1]MC Masterlist 2026-09-12'!$B:$M, 3, 0),"")</f>
        <v>KAWASAKI</v>
      </c>
      <c r="H198" s="45">
        <f>IFERROR(VLOOKUP(A198,'[1]MC Masterlist 2026-09-12'!$B:$M, 6, 0),"")</f>
        <v>131626</v>
      </c>
      <c r="I198" s="46">
        <v>1</v>
      </c>
      <c r="J198" s="46">
        <v>0</v>
      </c>
      <c r="K198" s="46">
        <v>0</v>
      </c>
      <c r="L198" s="46">
        <f t="shared" si="45"/>
        <v>1</v>
      </c>
      <c r="M198" s="46">
        <f t="shared" si="46"/>
        <v>0.33333333333333331</v>
      </c>
      <c r="N198" s="45">
        <f t="shared" si="47"/>
        <v>131626</v>
      </c>
      <c r="O198" s="45">
        <f t="shared" si="48"/>
        <v>43875.333333333328</v>
      </c>
      <c r="P198" s="46">
        <f t="shared" si="49"/>
        <v>1.111111111111111E-2</v>
      </c>
      <c r="Q198" s="46">
        <v>2</v>
      </c>
      <c r="R198" s="45">
        <f t="shared" si="50"/>
        <v>263252</v>
      </c>
      <c r="S198" s="46">
        <f t="shared" si="51"/>
        <v>180.00000000000003</v>
      </c>
      <c r="T198" s="46">
        <f>IFERROR(VLOOKUP(A198,'[1]Re-order'!$A:$Q,17,0),"")</f>
        <v>40.677966101694913</v>
      </c>
      <c r="U198" s="46">
        <f>IFERROR(VLOOKUP(A198,'[1]MC Masterlist 2026-09-12'!$B:$M, 10, 0),0)</f>
        <v>15</v>
      </c>
      <c r="V198" s="46">
        <f>IFERROR(VLOOKUP(A198,'[1]MC Masterlist 2026-09-12'!$B:$M, 11, 0),0)</f>
        <v>15</v>
      </c>
      <c r="W198" s="46">
        <f t="shared" si="52"/>
        <v>30</v>
      </c>
      <c r="X198" s="46">
        <f t="shared" si="53"/>
        <v>29.833333333333332</v>
      </c>
      <c r="Y198" s="46">
        <f>IFERROR(IF(OR(C198="AREA I",C198="AREA V"),7,VLOOKUP(A198,'[1]MC Masterlist 2026-09-12'!$B:$M, 12, 0)),0)</f>
        <v>30</v>
      </c>
      <c r="Z198" s="46">
        <f t="shared" si="54"/>
        <v>0.16666666666666666</v>
      </c>
      <c r="AA198" s="46">
        <f t="shared" si="55"/>
        <v>0.33333333333333331</v>
      </c>
      <c r="AB198" s="46">
        <f t="shared" si="56"/>
        <v>0.33148148148148143</v>
      </c>
      <c r="AC198" s="46">
        <f t="shared" si="57"/>
        <v>0.33333333333333331</v>
      </c>
      <c r="AD198" s="44" t="str">
        <f t="shared" si="58"/>
        <v>Over</v>
      </c>
      <c r="AE198" s="44" t="str">
        <f>IFERROR(VLOOKUP(A198,'[1]Re-order'!$A:$AA,27,0),"")</f>
        <v>Re-order</v>
      </c>
      <c r="AF198" s="46">
        <f t="shared" si="59"/>
        <v>-1.6666666666666667</v>
      </c>
      <c r="AG198" s="46">
        <f>SUMIFS('[1]Raw Inventory'!D:D,'[1]Raw Inventory'!C:C,"GREATWALL",'[1]Raw Inventory'!B:B,A198)</f>
        <v>12</v>
      </c>
      <c r="AH198" s="46">
        <f>SUMIFS('[1]Raw Inventory'!D:D,'[1]Raw Inventory'!C:C,"DUARTE",'[1]Raw Inventory'!B:B,A198)</f>
        <v>0</v>
      </c>
      <c r="AI198" s="46"/>
      <c r="AJ198" s="46"/>
      <c r="AK198" s="43"/>
      <c r="AL198" s="43"/>
      <c r="AM198" s="43"/>
      <c r="AN198" s="43"/>
      <c r="AO198" s="43"/>
      <c r="AP198" s="43"/>
      <c r="AQ198" s="43"/>
      <c r="AR198" s="43"/>
      <c r="AS198" s="43"/>
      <c r="AT198" s="43"/>
    </row>
    <row r="199" spans="1:46">
      <c r="A199" s="43" t="s">
        <v>76</v>
      </c>
      <c r="B199" s="43" t="s">
        <v>157</v>
      </c>
      <c r="C199" s="43" t="s">
        <v>152</v>
      </c>
      <c r="D199" s="44" t="s">
        <v>258</v>
      </c>
      <c r="E199" s="44">
        <v>24</v>
      </c>
      <c r="F199" s="44" t="s">
        <v>3</v>
      </c>
      <c r="G199" s="43" t="str">
        <f>IFERROR(VLOOKUP(A199,'[1]MC Masterlist 2026-09-12'!$B:$M, 3, 0),"")</f>
        <v>SUZUKI</v>
      </c>
      <c r="H199" s="45">
        <f>IFERROR(VLOOKUP(A199,'[1]MC Masterlist 2026-09-12'!$B:$M, 6, 0),"")</f>
        <v>62692</v>
      </c>
      <c r="I199" s="46">
        <v>0</v>
      </c>
      <c r="J199" s="46">
        <v>0</v>
      </c>
      <c r="K199" s="46">
        <v>0</v>
      </c>
      <c r="L199" s="46">
        <f t="shared" si="45"/>
        <v>0</v>
      </c>
      <c r="M199" s="46">
        <f t="shared" si="46"/>
        <v>0</v>
      </c>
      <c r="N199" s="45">
        <f t="shared" si="47"/>
        <v>0</v>
      </c>
      <c r="O199" s="45">
        <f t="shared" si="48"/>
        <v>0</v>
      </c>
      <c r="P199" s="46">
        <f t="shared" si="49"/>
        <v>0</v>
      </c>
      <c r="Q199" s="46">
        <v>1</v>
      </c>
      <c r="R199" s="45">
        <f t="shared" si="50"/>
        <v>62692</v>
      </c>
      <c r="S199" s="46">
        <f t="shared" si="51"/>
        <v>0</v>
      </c>
      <c r="T199" s="46">
        <f>IFERROR(VLOOKUP(A199,'[1]Re-order'!$A:$Q,17,0),"")</f>
        <v>106.36363636363636</v>
      </c>
      <c r="U199" s="46">
        <f>IFERROR(VLOOKUP(A199,'[1]MC Masterlist 2026-09-12'!$B:$M, 10, 0),0)</f>
        <v>15</v>
      </c>
      <c r="V199" s="46">
        <f>IFERROR(VLOOKUP(A199,'[1]MC Masterlist 2026-09-12'!$B:$M, 11, 0),0)</f>
        <v>15</v>
      </c>
      <c r="W199" s="46">
        <f t="shared" si="52"/>
        <v>30</v>
      </c>
      <c r="X199" s="46">
        <f t="shared" si="53"/>
        <v>30</v>
      </c>
      <c r="Y199" s="46">
        <f>IFERROR(IF(OR(C199="AREA I",C199="AREA V"),7,VLOOKUP(A199,'[1]MC Masterlist 2026-09-12'!$B:$M, 12, 0)),0)</f>
        <v>30</v>
      </c>
      <c r="Z199" s="46">
        <f t="shared" si="54"/>
        <v>0</v>
      </c>
      <c r="AA199" s="46">
        <f t="shared" si="55"/>
        <v>0</v>
      </c>
      <c r="AB199" s="46">
        <f t="shared" si="56"/>
        <v>0</v>
      </c>
      <c r="AC199" s="46">
        <f t="shared" si="57"/>
        <v>0</v>
      </c>
      <c r="AD199" s="44" t="str">
        <f t="shared" si="58"/>
        <v>Over</v>
      </c>
      <c r="AE199" s="44" t="str">
        <f>IFERROR(VLOOKUP(A199,'[1]Re-order'!$A:$AA,27,0),"")</f>
        <v>Over</v>
      </c>
      <c r="AF199" s="46">
        <f t="shared" si="59"/>
        <v>-1</v>
      </c>
      <c r="AG199" s="46">
        <f>SUMIFS('[1]Raw Inventory'!D:D,'[1]Raw Inventory'!C:C,"GREATWALL",'[1]Raw Inventory'!B:B,A199)</f>
        <v>1</v>
      </c>
      <c r="AH199" s="46">
        <f>SUMIFS('[1]Raw Inventory'!D:D,'[1]Raw Inventory'!C:C,"DUARTE",'[1]Raw Inventory'!B:B,A199)</f>
        <v>0</v>
      </c>
      <c r="AI199" s="46"/>
      <c r="AJ199" s="46"/>
      <c r="AK199" s="43"/>
      <c r="AL199" s="43"/>
      <c r="AM199" s="43"/>
      <c r="AN199" s="43"/>
      <c r="AO199" s="43"/>
      <c r="AP199" s="43"/>
      <c r="AQ199" s="43"/>
      <c r="AR199" s="43"/>
      <c r="AS199" s="43"/>
      <c r="AT199" s="43"/>
    </row>
    <row r="200" spans="1:46">
      <c r="A200" s="43" t="s">
        <v>76</v>
      </c>
      <c r="B200" s="43" t="s">
        <v>162</v>
      </c>
      <c r="C200" s="43" t="s">
        <v>159</v>
      </c>
      <c r="D200" s="44" t="s">
        <v>229</v>
      </c>
      <c r="E200" s="44">
        <v>23</v>
      </c>
      <c r="F200" s="44" t="s">
        <v>3</v>
      </c>
      <c r="G200" s="43" t="str">
        <f>IFERROR(VLOOKUP(A200,'[1]MC Masterlist 2026-09-12'!$B:$M, 3, 0),"")</f>
        <v>SUZUKI</v>
      </c>
      <c r="H200" s="45">
        <f>IFERROR(VLOOKUP(A200,'[1]MC Masterlist 2026-09-12'!$B:$M, 6, 0),"")</f>
        <v>62692</v>
      </c>
      <c r="I200" s="46">
        <v>1</v>
      </c>
      <c r="J200" s="46">
        <v>0</v>
      </c>
      <c r="K200" s="46">
        <v>0</v>
      </c>
      <c r="L200" s="46">
        <f t="shared" si="45"/>
        <v>1</v>
      </c>
      <c r="M200" s="46">
        <f t="shared" si="46"/>
        <v>0.33333333333333331</v>
      </c>
      <c r="N200" s="45">
        <f t="shared" si="47"/>
        <v>62692</v>
      </c>
      <c r="O200" s="45">
        <f t="shared" si="48"/>
        <v>20897.333333333332</v>
      </c>
      <c r="P200" s="46">
        <f t="shared" si="49"/>
        <v>1.111111111111111E-2</v>
      </c>
      <c r="Q200" s="46">
        <v>1</v>
      </c>
      <c r="R200" s="45">
        <f t="shared" si="50"/>
        <v>62692</v>
      </c>
      <c r="S200" s="46">
        <f t="shared" si="51"/>
        <v>90</v>
      </c>
      <c r="T200" s="46">
        <f>IFERROR(VLOOKUP(A200,'[1]Re-order'!$A:$Q,17,0),"")</f>
        <v>106.36363636363636</v>
      </c>
      <c r="U200" s="46">
        <f>IFERROR(VLOOKUP(A200,'[1]MC Masterlist 2026-09-12'!$B:$M, 10, 0),0)</f>
        <v>15</v>
      </c>
      <c r="V200" s="46">
        <f>IFERROR(VLOOKUP(A200,'[1]MC Masterlist 2026-09-12'!$B:$M, 11, 0),0)</f>
        <v>15</v>
      </c>
      <c r="W200" s="46">
        <f t="shared" si="52"/>
        <v>30</v>
      </c>
      <c r="X200" s="46">
        <f t="shared" si="53"/>
        <v>29.833333333333332</v>
      </c>
      <c r="Y200" s="46">
        <f>IFERROR(IF(OR(C200="AREA I",C200="AREA V"),7,VLOOKUP(A200,'[1]MC Masterlist 2026-09-12'!$B:$M, 12, 0)),0)</f>
        <v>30</v>
      </c>
      <c r="Z200" s="46">
        <f t="shared" si="54"/>
        <v>0.16666666666666666</v>
      </c>
      <c r="AA200" s="46">
        <f t="shared" si="55"/>
        <v>0.33333333333333331</v>
      </c>
      <c r="AB200" s="46">
        <f t="shared" si="56"/>
        <v>0.33148148148148143</v>
      </c>
      <c r="AC200" s="46">
        <f t="shared" si="57"/>
        <v>0.33333333333333331</v>
      </c>
      <c r="AD200" s="44" t="str">
        <f t="shared" si="58"/>
        <v>Over</v>
      </c>
      <c r="AE200" s="44" t="str">
        <f>IFERROR(VLOOKUP(A200,'[1]Re-order'!$A:$AA,27,0),"")</f>
        <v>Over</v>
      </c>
      <c r="AF200" s="46">
        <f t="shared" si="59"/>
        <v>-0.66666666666666674</v>
      </c>
      <c r="AG200" s="46">
        <f>SUMIFS('[1]Raw Inventory'!D:D,'[1]Raw Inventory'!C:C,"GREATWALL",'[1]Raw Inventory'!B:B,A200)</f>
        <v>1</v>
      </c>
      <c r="AH200" s="46">
        <f>SUMIFS('[1]Raw Inventory'!D:D,'[1]Raw Inventory'!C:C,"DUARTE",'[1]Raw Inventory'!B:B,A200)</f>
        <v>0</v>
      </c>
      <c r="AI200" s="46"/>
      <c r="AJ200" s="46"/>
      <c r="AK200" s="43"/>
      <c r="AL200" s="43"/>
      <c r="AM200" s="43"/>
      <c r="AN200" s="43"/>
      <c r="AO200" s="43"/>
      <c r="AP200" s="43"/>
      <c r="AQ200" s="43"/>
      <c r="AR200" s="43"/>
      <c r="AS200" s="43"/>
      <c r="AT200" s="43"/>
    </row>
    <row r="201" spans="1:46">
      <c r="A201" s="43" t="s">
        <v>40</v>
      </c>
      <c r="B201" s="43" t="s">
        <v>162</v>
      </c>
      <c r="C201" s="43" t="s">
        <v>159</v>
      </c>
      <c r="D201" s="44" t="s">
        <v>235</v>
      </c>
      <c r="E201" s="44">
        <v>24</v>
      </c>
      <c r="F201" s="44" t="s">
        <v>3</v>
      </c>
      <c r="G201" s="43" t="str">
        <f>IFERROR(VLOOKUP(A201,'[1]MC Masterlist 2026-09-12'!$B:$M, 3, 0),"")</f>
        <v>HONDA</v>
      </c>
      <c r="H201" s="45">
        <f>IFERROR(VLOOKUP(A201,'[1]MC Masterlist 2026-09-12'!$B:$M, 6, 0),"")</f>
        <v>56426</v>
      </c>
      <c r="I201" s="46">
        <v>0</v>
      </c>
      <c r="J201" s="46">
        <v>0</v>
      </c>
      <c r="K201" s="46">
        <v>1</v>
      </c>
      <c r="L201" s="46">
        <f t="shared" si="45"/>
        <v>1</v>
      </c>
      <c r="M201" s="46">
        <f t="shared" si="46"/>
        <v>0.33333333333333331</v>
      </c>
      <c r="N201" s="45">
        <f t="shared" si="47"/>
        <v>56426</v>
      </c>
      <c r="O201" s="45">
        <f t="shared" si="48"/>
        <v>18808.666666666664</v>
      </c>
      <c r="P201" s="46">
        <f t="shared" si="49"/>
        <v>1.111111111111111E-2</v>
      </c>
      <c r="Q201" s="46"/>
      <c r="R201" s="45">
        <f t="shared" si="50"/>
        <v>0</v>
      </c>
      <c r="S201" s="46">
        <f t="shared" si="51"/>
        <v>0</v>
      </c>
      <c r="T201" s="46">
        <f>IFERROR(VLOOKUP(A201,'[1]Re-order'!$A:$Q,17,0),"")</f>
        <v>139.56521739130434</v>
      </c>
      <c r="U201" s="46">
        <f>IFERROR(VLOOKUP(A201,'[1]MC Masterlist 2026-09-12'!$B:$M, 10, 0),0)</f>
        <v>15</v>
      </c>
      <c r="V201" s="46">
        <f>IFERROR(VLOOKUP(A201,'[1]MC Masterlist 2026-09-12'!$B:$M, 11, 0),0)</f>
        <v>15</v>
      </c>
      <c r="W201" s="46">
        <f t="shared" si="52"/>
        <v>30</v>
      </c>
      <c r="X201" s="46">
        <f t="shared" si="53"/>
        <v>29.833333333333332</v>
      </c>
      <c r="Y201" s="46">
        <f>IFERROR(IF(OR(C201="AREA I",C201="AREA V"),7,VLOOKUP(A201,'[1]MC Masterlist 2026-09-12'!$B:$M, 12, 0)),0)</f>
        <v>30</v>
      </c>
      <c r="Z201" s="46">
        <f t="shared" si="54"/>
        <v>0.16666666666666666</v>
      </c>
      <c r="AA201" s="46">
        <f t="shared" si="55"/>
        <v>0.33333333333333331</v>
      </c>
      <c r="AB201" s="46">
        <f t="shared" si="56"/>
        <v>0.33148148148148143</v>
      </c>
      <c r="AC201" s="46">
        <f t="shared" si="57"/>
        <v>0.33333333333333331</v>
      </c>
      <c r="AD201" s="44" t="str">
        <f t="shared" si="58"/>
        <v>Stockout</v>
      </c>
      <c r="AE201" s="44" t="str">
        <f>IFERROR(VLOOKUP(A201,'[1]Re-order'!$A:$AA,27,0),"")</f>
        <v>Over</v>
      </c>
      <c r="AF201" s="46">
        <f t="shared" si="59"/>
        <v>0.33333333333333331</v>
      </c>
      <c r="AG201" s="46">
        <f>SUMIFS('[1]Raw Inventory'!D:D,'[1]Raw Inventory'!C:C,"GREATWALL",'[1]Raw Inventory'!B:B,A201)</f>
        <v>45</v>
      </c>
      <c r="AH201" s="46">
        <f>SUMIFS('[1]Raw Inventory'!D:D,'[1]Raw Inventory'!C:C,"DUARTE",'[1]Raw Inventory'!B:B,A201)</f>
        <v>0</v>
      </c>
      <c r="AI201" s="46"/>
      <c r="AJ201" s="46"/>
      <c r="AK201" s="43"/>
      <c r="AL201" s="43"/>
      <c r="AM201" s="43"/>
      <c r="AN201" s="43"/>
      <c r="AO201" s="43"/>
      <c r="AP201" s="43"/>
      <c r="AQ201" s="43"/>
      <c r="AR201" s="43"/>
      <c r="AS201" s="43"/>
      <c r="AT201" s="43"/>
    </row>
    <row r="202" spans="1:46">
      <c r="A202" s="43" t="s">
        <v>52</v>
      </c>
      <c r="B202" s="43" t="s">
        <v>130</v>
      </c>
      <c r="C202" s="43" t="s">
        <v>128</v>
      </c>
      <c r="D202" s="44" t="s">
        <v>257</v>
      </c>
      <c r="E202" s="44">
        <v>25</v>
      </c>
      <c r="F202" s="44" t="s">
        <v>3</v>
      </c>
      <c r="G202" s="43" t="str">
        <f>IFERROR(VLOOKUP(A202,'[1]MC Masterlist 2026-09-12'!$B:$M, 3, 0),"")</f>
        <v>YAMAHA</v>
      </c>
      <c r="H202" s="45">
        <f>IFERROR(VLOOKUP(A202,'[1]MC Masterlist 2026-09-12'!$B:$M, 6, 0),"")</f>
        <v>85446</v>
      </c>
      <c r="I202" s="46">
        <v>1</v>
      </c>
      <c r="J202" s="46">
        <v>0</v>
      </c>
      <c r="K202" s="46">
        <v>0</v>
      </c>
      <c r="L202" s="46">
        <f t="shared" si="45"/>
        <v>1</v>
      </c>
      <c r="M202" s="46">
        <f t="shared" si="46"/>
        <v>0.33333333333333331</v>
      </c>
      <c r="N202" s="45">
        <f t="shared" si="47"/>
        <v>85446</v>
      </c>
      <c r="O202" s="45">
        <f t="shared" si="48"/>
        <v>28482</v>
      </c>
      <c r="P202" s="46">
        <f t="shared" si="49"/>
        <v>1.111111111111111E-2</v>
      </c>
      <c r="Q202" s="46">
        <v>1</v>
      </c>
      <c r="R202" s="45">
        <f t="shared" si="50"/>
        <v>85446</v>
      </c>
      <c r="S202" s="46">
        <f t="shared" si="51"/>
        <v>90</v>
      </c>
      <c r="T202" s="46">
        <f>IFERROR(VLOOKUP(A202,'[1]Re-order'!$A:$Q,17,0),"")</f>
        <v>95.454545454545453</v>
      </c>
      <c r="U202" s="46">
        <f>IFERROR(VLOOKUP(A202,'[1]MC Masterlist 2026-09-12'!$B:$M, 10, 0),0)</f>
        <v>15</v>
      </c>
      <c r="V202" s="46">
        <f>IFERROR(VLOOKUP(A202,'[1]MC Masterlist 2026-09-12'!$B:$M, 11, 0),0)</f>
        <v>15</v>
      </c>
      <c r="W202" s="46">
        <f t="shared" si="52"/>
        <v>30</v>
      </c>
      <c r="X202" s="46">
        <f t="shared" si="53"/>
        <v>29.833333333333332</v>
      </c>
      <c r="Y202" s="46">
        <f>IFERROR(IF(OR(C202="AREA I",C202="AREA V"),7,VLOOKUP(A202,'[1]MC Masterlist 2026-09-12'!$B:$M, 12, 0)),0)</f>
        <v>30</v>
      </c>
      <c r="Z202" s="46">
        <f t="shared" si="54"/>
        <v>0.16666666666666666</v>
      </c>
      <c r="AA202" s="46">
        <f t="shared" si="55"/>
        <v>0.33333333333333331</v>
      </c>
      <c r="AB202" s="46">
        <f t="shared" si="56"/>
        <v>0.33148148148148143</v>
      </c>
      <c r="AC202" s="46">
        <f t="shared" si="57"/>
        <v>0.33333333333333331</v>
      </c>
      <c r="AD202" s="44" t="str">
        <f t="shared" si="58"/>
        <v>Over</v>
      </c>
      <c r="AE202" s="44" t="str">
        <f>IFERROR(VLOOKUP(A202,'[1]Re-order'!$A:$AA,27,0),"")</f>
        <v>Over</v>
      </c>
      <c r="AF202" s="46">
        <f t="shared" si="59"/>
        <v>-0.66666666666666674</v>
      </c>
      <c r="AG202" s="46">
        <f>SUMIFS('[1]Raw Inventory'!D:D,'[1]Raw Inventory'!C:C,"GREATWALL",'[1]Raw Inventory'!B:B,A202)</f>
        <v>0</v>
      </c>
      <c r="AH202" s="46">
        <f>SUMIFS('[1]Raw Inventory'!D:D,'[1]Raw Inventory'!C:C,"DUARTE",'[1]Raw Inventory'!B:B,A202)</f>
        <v>0</v>
      </c>
      <c r="AI202" s="46"/>
      <c r="AJ202" s="46"/>
      <c r="AK202" s="43"/>
      <c r="AL202" s="43"/>
      <c r="AM202" s="43"/>
      <c r="AN202" s="43"/>
      <c r="AO202" s="43"/>
      <c r="AP202" s="43"/>
      <c r="AQ202" s="43"/>
      <c r="AR202" s="43"/>
      <c r="AS202" s="43"/>
      <c r="AT202" s="43"/>
    </row>
    <row r="203" spans="1:46">
      <c r="A203" s="43" t="s">
        <v>67</v>
      </c>
      <c r="B203" s="43" t="s">
        <v>144</v>
      </c>
      <c r="C203" s="43" t="s">
        <v>137</v>
      </c>
      <c r="D203" s="44" t="s">
        <v>237</v>
      </c>
      <c r="E203" s="44">
        <v>29</v>
      </c>
      <c r="F203" s="44" t="s">
        <v>3</v>
      </c>
      <c r="G203" s="43" t="str">
        <f>IFERROR(VLOOKUP(A203,'[1]MC Masterlist 2026-09-12'!$B:$M, 3, 0),"")</f>
        <v>YAMAHA</v>
      </c>
      <c r="H203" s="45">
        <f>IFERROR(VLOOKUP(A203,'[1]MC Masterlist 2026-09-12'!$B:$M, 6, 0),"")</f>
        <v>86397</v>
      </c>
      <c r="I203" s="46">
        <v>0</v>
      </c>
      <c r="J203" s="46">
        <v>0</v>
      </c>
      <c r="K203" s="46">
        <v>1</v>
      </c>
      <c r="L203" s="46">
        <f t="shared" si="45"/>
        <v>1</v>
      </c>
      <c r="M203" s="46">
        <f t="shared" si="46"/>
        <v>0.33333333333333331</v>
      </c>
      <c r="N203" s="45">
        <f t="shared" si="47"/>
        <v>86397</v>
      </c>
      <c r="O203" s="45">
        <f t="shared" si="48"/>
        <v>28799</v>
      </c>
      <c r="P203" s="46">
        <f t="shared" si="49"/>
        <v>1.111111111111111E-2</v>
      </c>
      <c r="Q203" s="46">
        <v>1</v>
      </c>
      <c r="R203" s="45">
        <f t="shared" si="50"/>
        <v>86397</v>
      </c>
      <c r="S203" s="46">
        <f t="shared" si="51"/>
        <v>90</v>
      </c>
      <c r="T203" s="46">
        <f>IFERROR(VLOOKUP(A203,'[1]Re-order'!$A:$Q,17,0),"")</f>
        <v>73.63636363636364</v>
      </c>
      <c r="U203" s="46">
        <f>IFERROR(VLOOKUP(A203,'[1]MC Masterlist 2026-09-12'!$B:$M, 10, 0),0)</f>
        <v>15</v>
      </c>
      <c r="V203" s="46">
        <f>IFERROR(VLOOKUP(A203,'[1]MC Masterlist 2026-09-12'!$B:$M, 11, 0),0)</f>
        <v>15</v>
      </c>
      <c r="W203" s="46">
        <f t="shared" si="52"/>
        <v>30</v>
      </c>
      <c r="X203" s="46">
        <f t="shared" si="53"/>
        <v>6.833333333333333</v>
      </c>
      <c r="Y203" s="46">
        <f>IFERROR(IF(OR(C203="AREA I",C203="AREA V"),7,VLOOKUP(A203,'[1]MC Masterlist 2026-09-12'!$B:$M, 12, 0)),0)</f>
        <v>7</v>
      </c>
      <c r="Z203" s="46">
        <f t="shared" si="54"/>
        <v>0.16666666666666666</v>
      </c>
      <c r="AA203" s="46">
        <f t="shared" si="55"/>
        <v>0.33333333333333331</v>
      </c>
      <c r="AB203" s="46">
        <f t="shared" si="56"/>
        <v>7.5925925925925911E-2</v>
      </c>
      <c r="AC203" s="46">
        <f t="shared" si="57"/>
        <v>7.7777777777777765E-2</v>
      </c>
      <c r="AD203" s="44" t="str">
        <f t="shared" si="58"/>
        <v>Over</v>
      </c>
      <c r="AE203" s="44" t="str">
        <f>IFERROR(VLOOKUP(A203,'[1]Re-order'!$A:$AA,27,0),"")</f>
        <v>Re-order</v>
      </c>
      <c r="AF203" s="46">
        <f t="shared" si="59"/>
        <v>-0.92222222222222228</v>
      </c>
      <c r="AG203" s="46">
        <f>SUMIFS('[1]Raw Inventory'!D:D,'[1]Raw Inventory'!C:C,"GREATWALL",'[1]Raw Inventory'!B:B,A203)</f>
        <v>1</v>
      </c>
      <c r="AH203" s="46">
        <f>SUMIFS('[1]Raw Inventory'!D:D,'[1]Raw Inventory'!C:C,"DUARTE",'[1]Raw Inventory'!B:B,A203)</f>
        <v>0</v>
      </c>
      <c r="AI203" s="46"/>
      <c r="AJ203" s="46"/>
      <c r="AK203" s="43"/>
      <c r="AL203" s="43"/>
      <c r="AM203" s="43"/>
      <c r="AN203" s="43"/>
      <c r="AO203" s="43"/>
      <c r="AP203" s="43"/>
      <c r="AQ203" s="43"/>
      <c r="AR203" s="43"/>
      <c r="AS203" s="43"/>
      <c r="AT203" s="43"/>
    </row>
    <row r="204" spans="1:46">
      <c r="A204" s="43" t="s">
        <v>82</v>
      </c>
      <c r="B204" s="43" t="s">
        <v>122</v>
      </c>
      <c r="C204" s="43" t="s">
        <v>118</v>
      </c>
      <c r="D204" s="44" t="s">
        <v>235</v>
      </c>
      <c r="E204" s="44">
        <v>28</v>
      </c>
      <c r="F204" s="44" t="s">
        <v>3</v>
      </c>
      <c r="G204" s="43" t="str">
        <f>IFERROR(VLOOKUP(A204,'[1]MC Masterlist 2026-09-12'!$B:$M, 3, 0),"")</f>
        <v>SUZUKI</v>
      </c>
      <c r="H204" s="45">
        <f>IFERROR(VLOOKUP(A204,'[1]MC Masterlist 2026-09-12'!$B:$M, 6, 0),"")</f>
        <v>67342</v>
      </c>
      <c r="I204" s="46">
        <v>0</v>
      </c>
      <c r="J204" s="46">
        <v>1</v>
      </c>
      <c r="K204" s="46">
        <v>0</v>
      </c>
      <c r="L204" s="46">
        <f t="shared" si="45"/>
        <v>1</v>
      </c>
      <c r="M204" s="46">
        <f t="shared" si="46"/>
        <v>0.33333333333333331</v>
      </c>
      <c r="N204" s="45">
        <f t="shared" si="47"/>
        <v>67342</v>
      </c>
      <c r="O204" s="45">
        <f t="shared" si="48"/>
        <v>22447.333333333332</v>
      </c>
      <c r="P204" s="46">
        <f t="shared" si="49"/>
        <v>1.111111111111111E-2</v>
      </c>
      <c r="Q204" s="46"/>
      <c r="R204" s="45">
        <f t="shared" si="50"/>
        <v>0</v>
      </c>
      <c r="S204" s="46">
        <f t="shared" si="51"/>
        <v>0</v>
      </c>
      <c r="T204" s="46">
        <f>IFERROR(VLOOKUP(A204,'[1]Re-order'!$A:$Q,17,0),"")</f>
        <v>64.8</v>
      </c>
      <c r="U204" s="46">
        <f>IFERROR(VLOOKUP(A204,'[1]MC Masterlist 2026-09-12'!$B:$M, 10, 0),0)</f>
        <v>15</v>
      </c>
      <c r="V204" s="46">
        <f>IFERROR(VLOOKUP(A204,'[1]MC Masterlist 2026-09-12'!$B:$M, 11, 0),0)</f>
        <v>15</v>
      </c>
      <c r="W204" s="46">
        <f t="shared" si="52"/>
        <v>30</v>
      </c>
      <c r="X204" s="46">
        <f t="shared" si="53"/>
        <v>29.833333333333332</v>
      </c>
      <c r="Y204" s="46">
        <f>IFERROR(IF(OR(C204="AREA I",C204="AREA V"),7,VLOOKUP(A204,'[1]MC Masterlist 2026-09-12'!$B:$M, 12, 0)),0)</f>
        <v>30</v>
      </c>
      <c r="Z204" s="46">
        <f t="shared" si="54"/>
        <v>0.16666666666666666</v>
      </c>
      <c r="AA204" s="46">
        <f t="shared" si="55"/>
        <v>0.33333333333333331</v>
      </c>
      <c r="AB204" s="46">
        <f t="shared" si="56"/>
        <v>0.33148148148148143</v>
      </c>
      <c r="AC204" s="46">
        <f t="shared" si="57"/>
        <v>0.33333333333333331</v>
      </c>
      <c r="AD204" s="44" t="str">
        <f t="shared" si="58"/>
        <v>Stockout</v>
      </c>
      <c r="AE204" s="44" t="str">
        <f>IFERROR(VLOOKUP(A204,'[1]Re-order'!$A:$AA,27,0),"")</f>
        <v>Re-order</v>
      </c>
      <c r="AF204" s="46">
        <f t="shared" si="59"/>
        <v>0.33333333333333331</v>
      </c>
      <c r="AG204" s="46">
        <f>SUMIFS('[1]Raw Inventory'!D:D,'[1]Raw Inventory'!C:C,"GREATWALL",'[1]Raw Inventory'!B:B,A204)</f>
        <v>1</v>
      </c>
      <c r="AH204" s="46">
        <f>SUMIFS('[1]Raw Inventory'!D:D,'[1]Raw Inventory'!C:C,"DUARTE",'[1]Raw Inventory'!B:B,A204)</f>
        <v>0</v>
      </c>
      <c r="AI204" s="46"/>
      <c r="AJ204" s="46"/>
      <c r="AK204" s="43"/>
      <c r="AL204" s="43"/>
      <c r="AM204" s="43"/>
      <c r="AN204" s="43"/>
      <c r="AO204" s="43"/>
      <c r="AP204" s="43"/>
      <c r="AQ204" s="43"/>
      <c r="AR204" s="43"/>
      <c r="AS204" s="43"/>
      <c r="AT204" s="43"/>
    </row>
    <row r="205" spans="1:46">
      <c r="A205" s="43" t="s">
        <v>42</v>
      </c>
      <c r="B205" s="43" t="s">
        <v>119</v>
      </c>
      <c r="C205" s="43" t="s">
        <v>118</v>
      </c>
      <c r="D205" s="44" t="s">
        <v>236</v>
      </c>
      <c r="E205" s="44">
        <v>11</v>
      </c>
      <c r="F205" s="44" t="s">
        <v>2</v>
      </c>
      <c r="G205" s="43" t="str">
        <f>IFERROR(VLOOKUP(A205,'[1]MC Masterlist 2026-09-12'!$B:$M, 3, 0),"")</f>
        <v>YAMAHA</v>
      </c>
      <c r="H205" s="45">
        <f>IFERROR(VLOOKUP(A205,'[1]MC Masterlist 2026-09-12'!$B:$M, 6, 0),"")</f>
        <v>152892</v>
      </c>
      <c r="I205" s="46">
        <v>0</v>
      </c>
      <c r="J205" s="46">
        <v>2</v>
      </c>
      <c r="K205" s="46">
        <v>1</v>
      </c>
      <c r="L205" s="46">
        <f t="shared" si="45"/>
        <v>3</v>
      </c>
      <c r="M205" s="46">
        <f t="shared" si="46"/>
        <v>1</v>
      </c>
      <c r="N205" s="45">
        <f t="shared" si="47"/>
        <v>458676</v>
      </c>
      <c r="O205" s="45">
        <f t="shared" si="48"/>
        <v>152892</v>
      </c>
      <c r="P205" s="46">
        <f t="shared" si="49"/>
        <v>3.3333333333333333E-2</v>
      </c>
      <c r="Q205" s="46">
        <v>2</v>
      </c>
      <c r="R205" s="45">
        <f t="shared" si="50"/>
        <v>305784</v>
      </c>
      <c r="S205" s="46">
        <f t="shared" si="51"/>
        <v>60</v>
      </c>
      <c r="T205" s="46">
        <f>IFERROR(VLOOKUP(A205,'[1]Re-order'!$A:$Q,17,0),"")</f>
        <v>104.55882352941177</v>
      </c>
      <c r="U205" s="46">
        <f>IFERROR(VLOOKUP(A205,'[1]MC Masterlist 2026-09-12'!$B:$M, 10, 0),0)</f>
        <v>15</v>
      </c>
      <c r="V205" s="46">
        <f>IFERROR(VLOOKUP(A205,'[1]MC Masterlist 2026-09-12'!$B:$M, 11, 0),0)</f>
        <v>15</v>
      </c>
      <c r="W205" s="46">
        <f t="shared" si="52"/>
        <v>30</v>
      </c>
      <c r="X205" s="46">
        <f t="shared" si="53"/>
        <v>29.5</v>
      </c>
      <c r="Y205" s="46">
        <f>IFERROR(IF(OR(C205="AREA I",C205="AREA V"),7,VLOOKUP(A205,'[1]MC Masterlist 2026-09-12'!$B:$M, 12, 0)),0)</f>
        <v>30</v>
      </c>
      <c r="Z205" s="46">
        <f t="shared" si="54"/>
        <v>0.5</v>
      </c>
      <c r="AA205" s="46">
        <f t="shared" si="55"/>
        <v>1</v>
      </c>
      <c r="AB205" s="46">
        <f t="shared" si="56"/>
        <v>0.98333333333333328</v>
      </c>
      <c r="AC205" s="46">
        <f t="shared" si="57"/>
        <v>1</v>
      </c>
      <c r="AD205" s="44" t="str">
        <f t="shared" si="58"/>
        <v>Over</v>
      </c>
      <c r="AE205" s="44" t="str">
        <f>IFERROR(VLOOKUP(A205,'[1]Re-order'!$A:$AA,27,0),"")</f>
        <v>Over</v>
      </c>
      <c r="AF205" s="46">
        <f t="shared" si="59"/>
        <v>-1</v>
      </c>
      <c r="AG205" s="46">
        <f>SUMIFS('[1]Raw Inventory'!D:D,'[1]Raw Inventory'!C:C,"GREATWALL",'[1]Raw Inventory'!B:B,A205)</f>
        <v>3</v>
      </c>
      <c r="AH205" s="46">
        <f>SUMIFS('[1]Raw Inventory'!D:D,'[1]Raw Inventory'!C:C,"DUARTE",'[1]Raw Inventory'!B:B,A205)</f>
        <v>0</v>
      </c>
      <c r="AI205" s="46"/>
      <c r="AJ205" s="46"/>
      <c r="AK205" s="43"/>
      <c r="AL205" s="43"/>
      <c r="AM205" s="43"/>
      <c r="AN205" s="43"/>
      <c r="AO205" s="43"/>
      <c r="AP205" s="43"/>
      <c r="AQ205" s="43"/>
      <c r="AR205" s="43"/>
      <c r="AS205" s="43"/>
      <c r="AT205" s="43"/>
    </row>
    <row r="206" spans="1:46">
      <c r="A206" s="43" t="s">
        <v>44</v>
      </c>
      <c r="B206" s="43" t="s">
        <v>27</v>
      </c>
      <c r="C206" s="43" t="s">
        <v>1</v>
      </c>
      <c r="D206" s="44" t="s">
        <v>243</v>
      </c>
      <c r="E206" s="44">
        <v>17</v>
      </c>
      <c r="F206" s="44" t="s">
        <v>2</v>
      </c>
      <c r="G206" s="43" t="str">
        <f>IFERROR(VLOOKUP(A206,'[1]MC Masterlist 2026-09-12'!$B:$M, 3, 0),"")</f>
        <v>YAMAHA</v>
      </c>
      <c r="H206" s="45">
        <f>IFERROR(VLOOKUP(A206,'[1]MC Masterlist 2026-09-12'!$B:$M, 6, 0),"")</f>
        <v>165912</v>
      </c>
      <c r="I206" s="46">
        <v>2</v>
      </c>
      <c r="J206" s="46">
        <v>0</v>
      </c>
      <c r="K206" s="46">
        <v>0</v>
      </c>
      <c r="L206" s="46">
        <f t="shared" si="45"/>
        <v>2</v>
      </c>
      <c r="M206" s="46">
        <f t="shared" si="46"/>
        <v>0.66666666666666663</v>
      </c>
      <c r="N206" s="45">
        <f t="shared" si="47"/>
        <v>331824</v>
      </c>
      <c r="O206" s="45">
        <f t="shared" si="48"/>
        <v>110608</v>
      </c>
      <c r="P206" s="46">
        <f t="shared" si="49"/>
        <v>2.222222222222222E-2</v>
      </c>
      <c r="Q206" s="46"/>
      <c r="R206" s="45">
        <f t="shared" si="50"/>
        <v>0</v>
      </c>
      <c r="S206" s="46">
        <f t="shared" si="51"/>
        <v>0</v>
      </c>
      <c r="T206" s="46">
        <f>IFERROR(VLOOKUP(A206,'[1]Re-order'!$A:$Q,17,0),"")</f>
        <v>10.588235294117649</v>
      </c>
      <c r="U206" s="46">
        <f>IFERROR(VLOOKUP(A206,'[1]MC Masterlist 2026-09-12'!$B:$M, 10, 0),0)</f>
        <v>15</v>
      </c>
      <c r="V206" s="46">
        <f>IFERROR(VLOOKUP(A206,'[1]MC Masterlist 2026-09-12'!$B:$M, 11, 0),0)</f>
        <v>15</v>
      </c>
      <c r="W206" s="46">
        <f t="shared" si="52"/>
        <v>30</v>
      </c>
      <c r="X206" s="46">
        <f t="shared" si="53"/>
        <v>6.666666666666667</v>
      </c>
      <c r="Y206" s="46">
        <f>IFERROR(IF(OR(C206="AREA I",C206="AREA V"),7,VLOOKUP(A206,'[1]MC Masterlist 2026-09-12'!$B:$M, 12, 0)),0)</f>
        <v>7</v>
      </c>
      <c r="Z206" s="46">
        <f t="shared" si="54"/>
        <v>0.33333333333333331</v>
      </c>
      <c r="AA206" s="46">
        <f t="shared" si="55"/>
        <v>0.66666666666666663</v>
      </c>
      <c r="AB206" s="46">
        <f t="shared" si="56"/>
        <v>0.14814814814814814</v>
      </c>
      <c r="AC206" s="46">
        <f t="shared" si="57"/>
        <v>0.15555555555555553</v>
      </c>
      <c r="AD206" s="44" t="str">
        <f t="shared" si="58"/>
        <v>Stockout</v>
      </c>
      <c r="AE206" s="44" t="str">
        <f>IFERROR(VLOOKUP(A206,'[1]Re-order'!$A:$AA,27,0),"")</f>
        <v>Stockout</v>
      </c>
      <c r="AF206" s="46">
        <f t="shared" si="59"/>
        <v>0.15555555555555553</v>
      </c>
      <c r="AG206" s="46">
        <f>SUMIFS('[1]Raw Inventory'!D:D,'[1]Raw Inventory'!C:C,"GREATWALL",'[1]Raw Inventory'!B:B,A206)</f>
        <v>0</v>
      </c>
      <c r="AH206" s="46">
        <f>SUMIFS('[1]Raw Inventory'!D:D,'[1]Raw Inventory'!C:C,"DUARTE",'[1]Raw Inventory'!B:B,A206)</f>
        <v>0</v>
      </c>
      <c r="AI206" s="46"/>
      <c r="AJ206" s="46"/>
      <c r="AK206" s="43"/>
      <c r="AL206" s="43"/>
      <c r="AM206" s="43"/>
      <c r="AN206" s="43"/>
      <c r="AO206" s="43"/>
      <c r="AP206" s="43"/>
      <c r="AQ206" s="43"/>
      <c r="AR206" s="43"/>
      <c r="AS206" s="43"/>
      <c r="AT206" s="43"/>
    </row>
    <row r="207" spans="1:46">
      <c r="A207" s="43" t="s">
        <v>39</v>
      </c>
      <c r="B207" s="43" t="s">
        <v>156</v>
      </c>
      <c r="C207" s="43" t="s">
        <v>152</v>
      </c>
      <c r="D207" s="44" t="s">
        <v>240</v>
      </c>
      <c r="E207" s="44">
        <v>7</v>
      </c>
      <c r="F207" s="44" t="s">
        <v>2</v>
      </c>
      <c r="G207" s="43" t="str">
        <f>IFERROR(VLOOKUP(A207,'[1]MC Masterlist 2026-09-12'!$B:$M, 3, 0),"")</f>
        <v>HONDA</v>
      </c>
      <c r="H207" s="45">
        <f>IFERROR(VLOOKUP(A207,'[1]MC Masterlist 2026-09-12'!$B:$M, 6, 0),"")</f>
        <v>72434</v>
      </c>
      <c r="I207" s="46">
        <v>1</v>
      </c>
      <c r="J207" s="46">
        <v>2</v>
      </c>
      <c r="K207" s="46">
        <v>1</v>
      </c>
      <c r="L207" s="46">
        <f t="shared" si="45"/>
        <v>4</v>
      </c>
      <c r="M207" s="46">
        <f t="shared" si="46"/>
        <v>1.3333333333333333</v>
      </c>
      <c r="N207" s="45">
        <f t="shared" si="47"/>
        <v>289736</v>
      </c>
      <c r="O207" s="45">
        <f t="shared" si="48"/>
        <v>96578.666666666657</v>
      </c>
      <c r="P207" s="46">
        <f t="shared" si="49"/>
        <v>4.4444444444444439E-2</v>
      </c>
      <c r="Q207" s="46"/>
      <c r="R207" s="45">
        <f t="shared" si="50"/>
        <v>0</v>
      </c>
      <c r="S207" s="46">
        <f t="shared" si="51"/>
        <v>0</v>
      </c>
      <c r="T207" s="46">
        <f>IFERROR(VLOOKUP(A207,'[1]Re-order'!$A:$Q,17,0),"")</f>
        <v>40.982142857142854</v>
      </c>
      <c r="U207" s="46">
        <f>IFERROR(VLOOKUP(A207,'[1]MC Masterlist 2026-09-12'!$B:$M, 10, 0),0)</f>
        <v>15</v>
      </c>
      <c r="V207" s="46">
        <f>IFERROR(VLOOKUP(A207,'[1]MC Masterlist 2026-09-12'!$B:$M, 11, 0),0)</f>
        <v>15</v>
      </c>
      <c r="W207" s="46">
        <f t="shared" si="52"/>
        <v>30</v>
      </c>
      <c r="X207" s="46">
        <f t="shared" si="53"/>
        <v>29.333333333333332</v>
      </c>
      <c r="Y207" s="46">
        <f>IFERROR(IF(OR(C207="AREA I",C207="AREA V"),7,VLOOKUP(A207,'[1]MC Masterlist 2026-09-12'!$B:$M, 12, 0)),0)</f>
        <v>30</v>
      </c>
      <c r="Z207" s="46">
        <f t="shared" si="54"/>
        <v>0.66666666666666663</v>
      </c>
      <c r="AA207" s="46">
        <f t="shared" si="55"/>
        <v>1.3333333333333333</v>
      </c>
      <c r="AB207" s="46">
        <f t="shared" si="56"/>
        <v>1.3037037037037036</v>
      </c>
      <c r="AC207" s="46">
        <f t="shared" si="57"/>
        <v>1.3333333333333333</v>
      </c>
      <c r="AD207" s="44" t="str">
        <f t="shared" si="58"/>
        <v>Stockout</v>
      </c>
      <c r="AE207" s="44" t="str">
        <f>IFERROR(VLOOKUP(A207,'[1]Re-order'!$A:$AA,27,0),"")</f>
        <v>Re-order</v>
      </c>
      <c r="AF207" s="46">
        <f t="shared" si="59"/>
        <v>1.3333333333333333</v>
      </c>
      <c r="AG207" s="46">
        <f>SUMIFS('[1]Raw Inventory'!D:D,'[1]Raw Inventory'!C:C,"GREATWALL",'[1]Raw Inventory'!B:B,A207)</f>
        <v>16</v>
      </c>
      <c r="AH207" s="46">
        <f>SUMIFS('[1]Raw Inventory'!D:D,'[1]Raw Inventory'!C:C,"DUARTE",'[1]Raw Inventory'!B:B,A207)</f>
        <v>0</v>
      </c>
      <c r="AI207" s="46"/>
      <c r="AJ207" s="46"/>
      <c r="AK207" s="43"/>
      <c r="AL207" s="43"/>
      <c r="AM207" s="43"/>
      <c r="AN207" s="43"/>
      <c r="AO207" s="43"/>
      <c r="AP207" s="43"/>
      <c r="AQ207" s="43"/>
      <c r="AR207" s="43"/>
      <c r="AS207" s="43"/>
      <c r="AT207" s="43"/>
    </row>
    <row r="208" spans="1:46">
      <c r="A208" s="43" t="s">
        <v>69</v>
      </c>
      <c r="B208" s="43" t="s">
        <v>94</v>
      </c>
      <c r="C208" s="43" t="s">
        <v>90</v>
      </c>
      <c r="D208" s="44" t="s">
        <v>233</v>
      </c>
      <c r="E208" s="44">
        <v>9</v>
      </c>
      <c r="F208" s="44" t="s">
        <v>2</v>
      </c>
      <c r="G208" s="43" t="str">
        <f>IFERROR(VLOOKUP(A208,'[1]MC Masterlist 2026-09-12'!$B:$M, 3, 0),"")</f>
        <v>YAMAHA</v>
      </c>
      <c r="H208" s="45">
        <f>IFERROR(VLOOKUP(A208,'[1]MC Masterlist 2026-09-12'!$B:$M, 6, 0),"")</f>
        <v>54426</v>
      </c>
      <c r="I208" s="46">
        <v>3</v>
      </c>
      <c r="J208" s="46">
        <v>0</v>
      </c>
      <c r="K208" s="46">
        <v>0</v>
      </c>
      <c r="L208" s="46">
        <f t="shared" si="45"/>
        <v>3</v>
      </c>
      <c r="M208" s="46">
        <f t="shared" si="46"/>
        <v>1</v>
      </c>
      <c r="N208" s="45">
        <f t="shared" si="47"/>
        <v>163278</v>
      </c>
      <c r="O208" s="45">
        <f t="shared" si="48"/>
        <v>54426</v>
      </c>
      <c r="P208" s="46">
        <f t="shared" si="49"/>
        <v>3.3333333333333333E-2</v>
      </c>
      <c r="Q208" s="46"/>
      <c r="R208" s="45">
        <f t="shared" si="50"/>
        <v>0</v>
      </c>
      <c r="S208" s="46">
        <f t="shared" si="51"/>
        <v>0</v>
      </c>
      <c r="T208" s="46">
        <f>IFERROR(VLOOKUP(A208,'[1]Re-order'!$A:$Q,17,0),"")</f>
        <v>62.307692307692314</v>
      </c>
      <c r="U208" s="46">
        <f>IFERROR(VLOOKUP(A208,'[1]MC Masterlist 2026-09-12'!$B:$M, 10, 0),0)</f>
        <v>15</v>
      </c>
      <c r="V208" s="46">
        <f>IFERROR(VLOOKUP(A208,'[1]MC Masterlist 2026-09-12'!$B:$M, 11, 0),0)</f>
        <v>15</v>
      </c>
      <c r="W208" s="46">
        <f t="shared" si="52"/>
        <v>30</v>
      </c>
      <c r="X208" s="46">
        <f t="shared" si="53"/>
        <v>29.5</v>
      </c>
      <c r="Y208" s="46">
        <f>IFERROR(IF(OR(C208="AREA I",C208="AREA V"),7,VLOOKUP(A208,'[1]MC Masterlist 2026-09-12'!$B:$M, 12, 0)),0)</f>
        <v>30</v>
      </c>
      <c r="Z208" s="46">
        <f t="shared" si="54"/>
        <v>0.5</v>
      </c>
      <c r="AA208" s="46">
        <f t="shared" si="55"/>
        <v>1</v>
      </c>
      <c r="AB208" s="46">
        <f t="shared" si="56"/>
        <v>0.98333333333333328</v>
      </c>
      <c r="AC208" s="46">
        <f t="shared" si="57"/>
        <v>1</v>
      </c>
      <c r="AD208" s="44" t="str">
        <f t="shared" si="58"/>
        <v>Stockout</v>
      </c>
      <c r="AE208" s="44" t="str">
        <f>IFERROR(VLOOKUP(A208,'[1]Re-order'!$A:$AA,27,0),"")</f>
        <v>Re-order</v>
      </c>
      <c r="AF208" s="46">
        <f t="shared" si="59"/>
        <v>1</v>
      </c>
      <c r="AG208" s="46">
        <f>SUMIFS('[1]Raw Inventory'!D:D,'[1]Raw Inventory'!C:C,"GREATWALL",'[1]Raw Inventory'!B:B,A208)</f>
        <v>1</v>
      </c>
      <c r="AH208" s="46">
        <f>SUMIFS('[1]Raw Inventory'!D:D,'[1]Raw Inventory'!C:C,"DUARTE",'[1]Raw Inventory'!B:B,A208)</f>
        <v>0</v>
      </c>
      <c r="AI208" s="46"/>
      <c r="AJ208" s="46"/>
      <c r="AK208" s="43"/>
      <c r="AL208" s="43"/>
      <c r="AM208" s="43"/>
      <c r="AN208" s="43"/>
      <c r="AO208" s="43"/>
      <c r="AP208" s="43"/>
      <c r="AQ208" s="43"/>
      <c r="AR208" s="43"/>
      <c r="AS208" s="43"/>
      <c r="AT208" s="43"/>
    </row>
    <row r="209" spans="1:46">
      <c r="A209" s="43" t="s">
        <v>28</v>
      </c>
      <c r="B209" s="43" t="s">
        <v>112</v>
      </c>
      <c r="C209" s="43" t="s">
        <v>109</v>
      </c>
      <c r="D209" s="44" t="s">
        <v>240</v>
      </c>
      <c r="E209" s="44">
        <v>10</v>
      </c>
      <c r="F209" s="44" t="s">
        <v>2</v>
      </c>
      <c r="G209" s="43" t="str">
        <f>IFERROR(VLOOKUP(A209,'[1]MC Masterlist 2026-09-12'!$B:$M, 3, 0),"")</f>
        <v>YAMAHA</v>
      </c>
      <c r="H209" s="45">
        <f>IFERROR(VLOOKUP(A209,'[1]MC Masterlist 2026-09-12'!$B:$M, 6, 0),"")</f>
        <v>147312</v>
      </c>
      <c r="I209" s="46">
        <v>0</v>
      </c>
      <c r="J209" s="46">
        <v>1</v>
      </c>
      <c r="K209" s="46">
        <v>0</v>
      </c>
      <c r="L209" s="46">
        <f t="shared" si="45"/>
        <v>1</v>
      </c>
      <c r="M209" s="46">
        <f t="shared" si="46"/>
        <v>0.33333333333333331</v>
      </c>
      <c r="N209" s="45">
        <f t="shared" si="47"/>
        <v>147312</v>
      </c>
      <c r="O209" s="45">
        <f t="shared" si="48"/>
        <v>49104</v>
      </c>
      <c r="P209" s="46">
        <f t="shared" si="49"/>
        <v>1.111111111111111E-2</v>
      </c>
      <c r="Q209" s="46">
        <v>2</v>
      </c>
      <c r="R209" s="45">
        <f t="shared" si="50"/>
        <v>294624</v>
      </c>
      <c r="S209" s="46">
        <f t="shared" si="51"/>
        <v>180</v>
      </c>
      <c r="T209" s="46">
        <f>IFERROR(VLOOKUP(A209,'[1]Re-order'!$A:$Q,17,0),"")</f>
        <v>8.2417582417582427</v>
      </c>
      <c r="U209" s="46">
        <f>IFERROR(VLOOKUP(A209,'[1]MC Masterlist 2026-09-12'!$B:$M, 10, 0),0)</f>
        <v>15</v>
      </c>
      <c r="V209" s="46">
        <f>IFERROR(VLOOKUP(A209,'[1]MC Masterlist 2026-09-12'!$B:$M, 11, 0),0)</f>
        <v>15</v>
      </c>
      <c r="W209" s="46">
        <f t="shared" si="52"/>
        <v>30</v>
      </c>
      <c r="X209" s="46">
        <f t="shared" si="53"/>
        <v>29.833333333333332</v>
      </c>
      <c r="Y209" s="46">
        <f>IFERROR(IF(OR(C209="AREA I",C209="AREA V"),7,VLOOKUP(A209,'[1]MC Masterlist 2026-09-12'!$B:$M, 12, 0)),0)</f>
        <v>30</v>
      </c>
      <c r="Z209" s="46">
        <f t="shared" si="54"/>
        <v>0.16666666666666666</v>
      </c>
      <c r="AA209" s="46">
        <f t="shared" si="55"/>
        <v>0.33333333333333331</v>
      </c>
      <c r="AB209" s="46">
        <f t="shared" si="56"/>
        <v>0.33148148148148143</v>
      </c>
      <c r="AC209" s="46">
        <f t="shared" si="57"/>
        <v>0.33333333333333331</v>
      </c>
      <c r="AD209" s="44" t="str">
        <f t="shared" si="58"/>
        <v>Over</v>
      </c>
      <c r="AE209" s="44" t="str">
        <f>IFERROR(VLOOKUP(A209,'[1]Re-order'!$A:$AA,27,0),"")</f>
        <v>Stockout</v>
      </c>
      <c r="AF209" s="46">
        <f t="shared" si="59"/>
        <v>-1.6666666666666667</v>
      </c>
      <c r="AG209" s="46">
        <f>SUMIFS('[1]Raw Inventory'!D:D,'[1]Raw Inventory'!C:C,"GREATWALL",'[1]Raw Inventory'!B:B,A209)</f>
        <v>0</v>
      </c>
      <c r="AH209" s="46">
        <f>SUMIFS('[1]Raw Inventory'!D:D,'[1]Raw Inventory'!C:C,"DUARTE",'[1]Raw Inventory'!B:B,A209)</f>
        <v>0</v>
      </c>
      <c r="AI209" s="46"/>
      <c r="AJ209" s="46"/>
      <c r="AK209" s="43"/>
      <c r="AL209" s="43"/>
      <c r="AM209" s="43"/>
      <c r="AN209" s="43"/>
      <c r="AO209" s="43"/>
      <c r="AP209" s="43"/>
      <c r="AQ209" s="43"/>
      <c r="AR209" s="43"/>
      <c r="AS209" s="43"/>
      <c r="AT209" s="43"/>
    </row>
    <row r="210" spans="1:46">
      <c r="A210" s="43" t="s">
        <v>12</v>
      </c>
      <c r="B210" s="43" t="s">
        <v>143</v>
      </c>
      <c r="C210" s="43" t="s">
        <v>137</v>
      </c>
      <c r="D210" s="44" t="s">
        <v>239</v>
      </c>
      <c r="E210" s="44">
        <v>26</v>
      </c>
      <c r="F210" s="44" t="s">
        <v>3</v>
      </c>
      <c r="G210" s="43" t="str">
        <f>IFERROR(VLOOKUP(A210,'[1]MC Masterlist 2026-09-12'!$B:$M, 3, 0),"")</f>
        <v>HONDA</v>
      </c>
      <c r="H210" s="45">
        <f>IFERROR(VLOOKUP(A210,'[1]MC Masterlist 2026-09-12'!$B:$M, 6, 0),"")</f>
        <v>158270</v>
      </c>
      <c r="I210" s="46">
        <v>0</v>
      </c>
      <c r="J210" s="46">
        <v>0</v>
      </c>
      <c r="K210" s="46">
        <v>0</v>
      </c>
      <c r="L210" s="46">
        <f t="shared" si="45"/>
        <v>0</v>
      </c>
      <c r="M210" s="46">
        <f t="shared" si="46"/>
        <v>0</v>
      </c>
      <c r="N210" s="45">
        <f t="shared" si="47"/>
        <v>0</v>
      </c>
      <c r="O210" s="45">
        <f t="shared" si="48"/>
        <v>0</v>
      </c>
      <c r="P210" s="46">
        <f t="shared" si="49"/>
        <v>0</v>
      </c>
      <c r="Q210" s="46">
        <v>4</v>
      </c>
      <c r="R210" s="45">
        <f t="shared" si="50"/>
        <v>633080</v>
      </c>
      <c r="S210" s="46">
        <f t="shared" si="51"/>
        <v>0</v>
      </c>
      <c r="T210" s="46">
        <f>IFERROR(VLOOKUP(A210,'[1]Re-order'!$A:$Q,17,0),"")</f>
        <v>46.461038961038959</v>
      </c>
      <c r="U210" s="46">
        <f>IFERROR(VLOOKUP(A210,'[1]MC Masterlist 2026-09-12'!$B:$M, 10, 0),0)</f>
        <v>15</v>
      </c>
      <c r="V210" s="46">
        <f>IFERROR(VLOOKUP(A210,'[1]MC Masterlist 2026-09-12'!$B:$M, 11, 0),0)</f>
        <v>15</v>
      </c>
      <c r="W210" s="46">
        <f t="shared" si="52"/>
        <v>30</v>
      </c>
      <c r="X210" s="46">
        <f t="shared" si="53"/>
        <v>7</v>
      </c>
      <c r="Y210" s="46">
        <f>IFERROR(IF(OR(C210="AREA I",C210="AREA V"),7,VLOOKUP(A210,'[1]MC Masterlist 2026-09-12'!$B:$M, 12, 0)),0)</f>
        <v>7</v>
      </c>
      <c r="Z210" s="46">
        <f t="shared" si="54"/>
        <v>0</v>
      </c>
      <c r="AA210" s="46">
        <f t="shared" si="55"/>
        <v>0</v>
      </c>
      <c r="AB210" s="46">
        <f t="shared" si="56"/>
        <v>0</v>
      </c>
      <c r="AC210" s="46">
        <f t="shared" si="57"/>
        <v>0</v>
      </c>
      <c r="AD210" s="44" t="str">
        <f t="shared" si="58"/>
        <v>Over</v>
      </c>
      <c r="AE210" s="44" t="str">
        <f>IFERROR(VLOOKUP(A210,'[1]Re-order'!$A:$AA,27,0),"")</f>
        <v>Re-order</v>
      </c>
      <c r="AF210" s="46">
        <f t="shared" si="59"/>
        <v>-4</v>
      </c>
      <c r="AG210" s="46">
        <f>SUMIFS('[1]Raw Inventory'!D:D,'[1]Raw Inventory'!C:C,"GREATWALL",'[1]Raw Inventory'!B:B,A210)</f>
        <v>35</v>
      </c>
      <c r="AH210" s="46">
        <f>SUMIFS('[1]Raw Inventory'!D:D,'[1]Raw Inventory'!C:C,"DUARTE",'[1]Raw Inventory'!B:B,A210)</f>
        <v>0</v>
      </c>
      <c r="AI210" s="46"/>
      <c r="AJ210" s="46"/>
      <c r="AK210" s="43"/>
      <c r="AL210" s="43"/>
      <c r="AM210" s="43"/>
      <c r="AN210" s="43"/>
      <c r="AO210" s="43"/>
      <c r="AP210" s="43"/>
      <c r="AQ210" s="43"/>
      <c r="AR210" s="43"/>
      <c r="AS210" s="43"/>
      <c r="AT210" s="43"/>
    </row>
    <row r="211" spans="1:46">
      <c r="A211" s="43" t="s">
        <v>81</v>
      </c>
      <c r="B211" s="43" t="s">
        <v>93</v>
      </c>
      <c r="C211" s="43" t="s">
        <v>90</v>
      </c>
      <c r="D211" s="44" t="s">
        <v>231</v>
      </c>
      <c r="E211" s="44">
        <v>21</v>
      </c>
      <c r="F211" s="44" t="s">
        <v>3</v>
      </c>
      <c r="G211" s="43" t="str">
        <f>IFERROR(VLOOKUP(A211,'[1]MC Masterlist 2026-09-12'!$B:$M, 3, 0),"")</f>
        <v>HONDA</v>
      </c>
      <c r="H211" s="45">
        <f>IFERROR(VLOOKUP(A211,'[1]MC Masterlist 2026-09-12'!$B:$M, 6, 0),"")</f>
        <v>126198</v>
      </c>
      <c r="I211" s="46">
        <v>0</v>
      </c>
      <c r="J211" s="46">
        <v>0</v>
      </c>
      <c r="K211" s="46">
        <v>0</v>
      </c>
      <c r="L211" s="46">
        <f t="shared" si="45"/>
        <v>0</v>
      </c>
      <c r="M211" s="46">
        <f t="shared" si="46"/>
        <v>0</v>
      </c>
      <c r="N211" s="45">
        <f t="shared" si="47"/>
        <v>0</v>
      </c>
      <c r="O211" s="45">
        <f t="shared" si="48"/>
        <v>0</v>
      </c>
      <c r="P211" s="46">
        <f t="shared" si="49"/>
        <v>0</v>
      </c>
      <c r="Q211" s="46">
        <v>1</v>
      </c>
      <c r="R211" s="45">
        <f t="shared" si="50"/>
        <v>126198</v>
      </c>
      <c r="S211" s="46">
        <f t="shared" si="51"/>
        <v>0</v>
      </c>
      <c r="T211" s="46">
        <f>IFERROR(VLOOKUP(A211,'[1]Re-order'!$A:$Q,17,0),"")</f>
        <v>22.5</v>
      </c>
      <c r="U211" s="46">
        <f>IFERROR(VLOOKUP(A211,'[1]MC Masterlist 2026-09-12'!$B:$M, 10, 0),0)</f>
        <v>15</v>
      </c>
      <c r="V211" s="46">
        <f>IFERROR(VLOOKUP(A211,'[1]MC Masterlist 2026-09-12'!$B:$M, 11, 0),0)</f>
        <v>15</v>
      </c>
      <c r="W211" s="46">
        <f t="shared" si="52"/>
        <v>30</v>
      </c>
      <c r="X211" s="46">
        <f t="shared" si="53"/>
        <v>30</v>
      </c>
      <c r="Y211" s="46">
        <f>IFERROR(IF(OR(C211="AREA I",C211="AREA V"),7,VLOOKUP(A211,'[1]MC Masterlist 2026-09-12'!$B:$M, 12, 0)),0)</f>
        <v>30</v>
      </c>
      <c r="Z211" s="46">
        <f t="shared" si="54"/>
        <v>0</v>
      </c>
      <c r="AA211" s="46">
        <f t="shared" si="55"/>
        <v>0</v>
      </c>
      <c r="AB211" s="46">
        <f t="shared" si="56"/>
        <v>0</v>
      </c>
      <c r="AC211" s="46">
        <f t="shared" si="57"/>
        <v>0</v>
      </c>
      <c r="AD211" s="44" t="str">
        <f t="shared" si="58"/>
        <v>Over</v>
      </c>
      <c r="AE211" s="44" t="str">
        <f>IFERROR(VLOOKUP(A211,'[1]Re-order'!$A:$AA,27,0),"")</f>
        <v>Stockout</v>
      </c>
      <c r="AF211" s="46">
        <f t="shared" si="59"/>
        <v>-1</v>
      </c>
      <c r="AG211" s="46">
        <f>SUMIFS('[1]Raw Inventory'!D:D,'[1]Raw Inventory'!C:C,"GREATWALL",'[1]Raw Inventory'!B:B,A211)</f>
        <v>0</v>
      </c>
      <c r="AH211" s="46">
        <f>SUMIFS('[1]Raw Inventory'!D:D,'[1]Raw Inventory'!C:C,"DUARTE",'[1]Raw Inventory'!B:B,A211)</f>
        <v>0</v>
      </c>
      <c r="AI211" s="46"/>
      <c r="AJ211" s="46"/>
      <c r="AK211" s="43"/>
      <c r="AL211" s="43"/>
      <c r="AM211" s="43"/>
      <c r="AN211" s="43"/>
      <c r="AO211" s="43"/>
      <c r="AP211" s="43"/>
      <c r="AQ211" s="43"/>
      <c r="AR211" s="43"/>
      <c r="AS211" s="43"/>
      <c r="AT211" s="43"/>
    </row>
    <row r="212" spans="1:46">
      <c r="A212" s="43" t="s">
        <v>22</v>
      </c>
      <c r="B212" s="43" t="s">
        <v>143</v>
      </c>
      <c r="C212" s="43" t="s">
        <v>137</v>
      </c>
      <c r="D212" s="44" t="s">
        <v>221</v>
      </c>
      <c r="E212" s="44">
        <v>20</v>
      </c>
      <c r="F212" s="44" t="s">
        <v>3</v>
      </c>
      <c r="G212" s="43" t="str">
        <f>IFERROR(VLOOKUP(A212,'[1]MC Masterlist 2026-09-12'!$B:$M, 3, 0),"")</f>
        <v>HONDA</v>
      </c>
      <c r="H212" s="45">
        <f>IFERROR(VLOOKUP(A212,'[1]MC Masterlist 2026-09-12'!$B:$M, 6, 0),"")</f>
        <v>111258</v>
      </c>
      <c r="I212" s="46">
        <v>0</v>
      </c>
      <c r="J212" s="46">
        <v>0</v>
      </c>
      <c r="K212" s="46">
        <v>1</v>
      </c>
      <c r="L212" s="46">
        <f t="shared" si="45"/>
        <v>1</v>
      </c>
      <c r="M212" s="46">
        <f t="shared" si="46"/>
        <v>0.33333333333333331</v>
      </c>
      <c r="N212" s="45">
        <f t="shared" si="47"/>
        <v>111258</v>
      </c>
      <c r="O212" s="45">
        <f t="shared" si="48"/>
        <v>37086</v>
      </c>
      <c r="P212" s="46">
        <f t="shared" si="49"/>
        <v>1.111111111111111E-2</v>
      </c>
      <c r="Q212" s="46">
        <v>1</v>
      </c>
      <c r="R212" s="45">
        <f t="shared" si="50"/>
        <v>111258</v>
      </c>
      <c r="S212" s="46">
        <f t="shared" si="51"/>
        <v>90</v>
      </c>
      <c r="T212" s="46">
        <f>IFERROR(VLOOKUP(A212,'[1]Re-order'!$A:$Q,17,0),"")</f>
        <v>41.339712918660283</v>
      </c>
      <c r="U212" s="46">
        <f>IFERROR(VLOOKUP(A212,'[1]MC Masterlist 2026-09-12'!$B:$M, 10, 0),0)</f>
        <v>15</v>
      </c>
      <c r="V212" s="46">
        <f>IFERROR(VLOOKUP(A212,'[1]MC Masterlist 2026-09-12'!$B:$M, 11, 0),0)</f>
        <v>15</v>
      </c>
      <c r="W212" s="46">
        <f t="shared" si="52"/>
        <v>30</v>
      </c>
      <c r="X212" s="46">
        <f t="shared" si="53"/>
        <v>6.833333333333333</v>
      </c>
      <c r="Y212" s="46">
        <f>IFERROR(IF(OR(C212="AREA I",C212="AREA V"),7,VLOOKUP(A212,'[1]MC Masterlist 2026-09-12'!$B:$M, 12, 0)),0)</f>
        <v>7</v>
      </c>
      <c r="Z212" s="46">
        <f t="shared" si="54"/>
        <v>0.16666666666666666</v>
      </c>
      <c r="AA212" s="46">
        <f t="shared" si="55"/>
        <v>0.33333333333333331</v>
      </c>
      <c r="AB212" s="46">
        <f t="shared" si="56"/>
        <v>7.5925925925925911E-2</v>
      </c>
      <c r="AC212" s="46">
        <f t="shared" si="57"/>
        <v>7.7777777777777765E-2</v>
      </c>
      <c r="AD212" s="44" t="str">
        <f t="shared" si="58"/>
        <v>Over</v>
      </c>
      <c r="AE212" s="44" t="str">
        <f>IFERROR(VLOOKUP(A212,'[1]Re-order'!$A:$AA,27,0),"")</f>
        <v>Re-order</v>
      </c>
      <c r="AF212" s="46">
        <f t="shared" si="59"/>
        <v>-0.92222222222222228</v>
      </c>
      <c r="AG212" s="46">
        <f>SUMIFS('[1]Raw Inventory'!D:D,'[1]Raw Inventory'!C:C,"GREATWALL",'[1]Raw Inventory'!B:B,A212)</f>
        <v>4</v>
      </c>
      <c r="AH212" s="46">
        <f>SUMIFS('[1]Raw Inventory'!D:D,'[1]Raw Inventory'!C:C,"DUARTE",'[1]Raw Inventory'!B:B,A212)</f>
        <v>0</v>
      </c>
      <c r="AI212" s="46"/>
      <c r="AJ212" s="46"/>
      <c r="AK212" s="43"/>
      <c r="AL212" s="43"/>
      <c r="AM212" s="43"/>
      <c r="AN212" s="43"/>
      <c r="AO212" s="43"/>
      <c r="AP212" s="43"/>
      <c r="AQ212" s="43"/>
      <c r="AR212" s="43"/>
      <c r="AS212" s="43"/>
      <c r="AT212" s="43"/>
    </row>
    <row r="213" spans="1:46">
      <c r="A213" s="43" t="s">
        <v>26</v>
      </c>
      <c r="B213" s="43" t="s">
        <v>248</v>
      </c>
      <c r="C213" s="43"/>
      <c r="D213" s="44" t="s">
        <v>270</v>
      </c>
      <c r="E213" s="44">
        <v>1</v>
      </c>
      <c r="F213" s="44" t="s">
        <v>0</v>
      </c>
      <c r="G213" s="43" t="str">
        <f>IFERROR(VLOOKUP(A213,'[1]MC Masterlist 2026-09-12'!$B:$M, 3, 0),"")</f>
        <v>SUZUKI</v>
      </c>
      <c r="H213" s="45">
        <f>IFERROR(VLOOKUP(A213,'[1]MC Masterlist 2026-09-12'!$B:$M, 6, 0),"")</f>
        <v>123700</v>
      </c>
      <c r="I213" s="46">
        <v>0</v>
      </c>
      <c r="J213" s="46">
        <v>0</v>
      </c>
      <c r="K213" s="46">
        <v>0</v>
      </c>
      <c r="L213" s="46">
        <f t="shared" si="45"/>
        <v>0</v>
      </c>
      <c r="M213" s="46">
        <f t="shared" si="46"/>
        <v>0</v>
      </c>
      <c r="N213" s="45">
        <f t="shared" si="47"/>
        <v>0</v>
      </c>
      <c r="O213" s="45">
        <f t="shared" si="48"/>
        <v>0</v>
      </c>
      <c r="P213" s="46">
        <f t="shared" si="49"/>
        <v>0</v>
      </c>
      <c r="Q213" s="46">
        <v>2</v>
      </c>
      <c r="R213" s="45">
        <f t="shared" si="50"/>
        <v>247400</v>
      </c>
      <c r="S213" s="46">
        <f t="shared" si="51"/>
        <v>0</v>
      </c>
      <c r="T213" s="46">
        <f>IFERROR(VLOOKUP(A213,'[1]Re-order'!$A:$Q,17,0),"")</f>
        <v>71.470588235294116</v>
      </c>
      <c r="U213" s="46">
        <f>IFERROR(VLOOKUP(A213,'[1]MC Masterlist 2026-09-12'!$B:$M, 10, 0),0)</f>
        <v>15</v>
      </c>
      <c r="V213" s="46">
        <f>IFERROR(VLOOKUP(A213,'[1]MC Masterlist 2026-09-12'!$B:$M, 11, 0),0)</f>
        <v>15</v>
      </c>
      <c r="W213" s="46">
        <f t="shared" si="52"/>
        <v>30</v>
      </c>
      <c r="X213" s="46">
        <f t="shared" si="53"/>
        <v>30</v>
      </c>
      <c r="Y213" s="46">
        <f>IFERROR(IF(OR(C213="AREA I",C213="AREA V"),7,VLOOKUP(A213,'[1]MC Masterlist 2026-09-12'!$B:$M, 12, 0)),0)</f>
        <v>30</v>
      </c>
      <c r="Z213" s="46">
        <f t="shared" si="54"/>
        <v>0</v>
      </c>
      <c r="AA213" s="46">
        <f t="shared" si="55"/>
        <v>0</v>
      </c>
      <c r="AB213" s="46">
        <f t="shared" si="56"/>
        <v>0</v>
      </c>
      <c r="AC213" s="46">
        <f t="shared" si="57"/>
        <v>0</v>
      </c>
      <c r="AD213" s="44" t="str">
        <f t="shared" si="58"/>
        <v>Over</v>
      </c>
      <c r="AE213" s="44" t="str">
        <f>IFERROR(VLOOKUP(A213,'[1]Re-order'!$A:$AA,27,0),"")</f>
        <v>Re-order</v>
      </c>
      <c r="AF213" s="46">
        <f t="shared" si="59"/>
        <v>-2</v>
      </c>
      <c r="AG213" s="46">
        <f>SUMIFS('[1]Raw Inventory'!D:D,'[1]Raw Inventory'!C:C,"GREATWALL",'[1]Raw Inventory'!B:B,A213)</f>
        <v>30</v>
      </c>
      <c r="AH213" s="46">
        <f>SUMIFS('[1]Raw Inventory'!D:D,'[1]Raw Inventory'!C:C,"DUARTE",'[1]Raw Inventory'!B:B,A213)</f>
        <v>0</v>
      </c>
      <c r="AI213" s="46"/>
      <c r="AJ213" s="46"/>
      <c r="AK213" s="43"/>
      <c r="AL213" s="43"/>
      <c r="AM213" s="43"/>
      <c r="AN213" s="43"/>
      <c r="AO213" s="43"/>
      <c r="AP213" s="43"/>
      <c r="AQ213" s="43"/>
      <c r="AR213" s="43"/>
      <c r="AS213" s="43"/>
      <c r="AT213" s="43"/>
    </row>
    <row r="214" spans="1:46">
      <c r="A214" s="43" t="s">
        <v>49</v>
      </c>
      <c r="B214" s="43" t="s">
        <v>113</v>
      </c>
      <c r="C214" s="43" t="s">
        <v>109</v>
      </c>
      <c r="D214" s="44" t="s">
        <v>227</v>
      </c>
      <c r="E214" s="44">
        <v>1</v>
      </c>
      <c r="F214" s="44" t="s">
        <v>0</v>
      </c>
      <c r="G214" s="43" t="str">
        <f>IFERROR(VLOOKUP(A214,'[1]MC Masterlist 2026-09-12'!$B:$M, 3, 0),"")</f>
        <v>BAJAJ RE</v>
      </c>
      <c r="H214" s="45">
        <f>IFERROR(VLOOKUP(A214,'[1]MC Masterlist 2026-09-12'!$B:$M, 6, 0),"")</f>
        <v>191000</v>
      </c>
      <c r="I214" s="46">
        <v>15</v>
      </c>
      <c r="J214" s="46">
        <v>19</v>
      </c>
      <c r="K214" s="46">
        <v>15</v>
      </c>
      <c r="L214" s="46">
        <f t="shared" si="45"/>
        <v>49</v>
      </c>
      <c r="M214" s="46">
        <f t="shared" si="46"/>
        <v>16.333333333333332</v>
      </c>
      <c r="N214" s="45">
        <f t="shared" si="47"/>
        <v>9359000</v>
      </c>
      <c r="O214" s="45">
        <f t="shared" si="48"/>
        <v>3119666.6666666665</v>
      </c>
      <c r="P214" s="46">
        <f t="shared" si="49"/>
        <v>0.5444444444444444</v>
      </c>
      <c r="Q214" s="46">
        <v>18</v>
      </c>
      <c r="R214" s="45">
        <f t="shared" si="50"/>
        <v>3438000</v>
      </c>
      <c r="S214" s="46">
        <f t="shared" si="51"/>
        <v>33.061224489795919</v>
      </c>
      <c r="T214" s="46">
        <f>IFERROR(VLOOKUP(A214,'[1]Re-order'!$A:$Q,17,0),"")</f>
        <v>21.516709511568124</v>
      </c>
      <c r="U214" s="46">
        <f>IFERROR(VLOOKUP(A214,'[1]MC Masterlist 2026-09-12'!$B:$M, 10, 0),0)</f>
        <v>15</v>
      </c>
      <c r="V214" s="46">
        <f>IFERROR(VLOOKUP(A214,'[1]MC Masterlist 2026-09-12'!$B:$M, 11, 0),0)</f>
        <v>15</v>
      </c>
      <c r="W214" s="46">
        <f t="shared" si="52"/>
        <v>30</v>
      </c>
      <c r="X214" s="46">
        <f t="shared" si="53"/>
        <v>21.833333333333336</v>
      </c>
      <c r="Y214" s="46">
        <f>IFERROR(IF(OR(C214="AREA I",C214="AREA V"),7,VLOOKUP(A214,'[1]MC Masterlist 2026-09-12'!$B:$M, 12, 0)),0)</f>
        <v>30</v>
      </c>
      <c r="Z214" s="46">
        <f t="shared" si="54"/>
        <v>8.1666666666666661</v>
      </c>
      <c r="AA214" s="46">
        <f t="shared" si="55"/>
        <v>16.333333333333332</v>
      </c>
      <c r="AB214" s="46">
        <f t="shared" si="56"/>
        <v>11.887037037037038</v>
      </c>
      <c r="AC214" s="46">
        <f t="shared" si="57"/>
        <v>16.333333333333332</v>
      </c>
      <c r="AD214" s="44" t="str">
        <f t="shared" si="58"/>
        <v>Over</v>
      </c>
      <c r="AE214" s="44" t="str">
        <f>IFERROR(VLOOKUP(A214,'[1]Re-order'!$A:$AA,27,0),"")</f>
        <v>Stockout</v>
      </c>
      <c r="AF214" s="46">
        <f t="shared" si="59"/>
        <v>-1.6666666666666679</v>
      </c>
      <c r="AG214" s="46">
        <f>SUMIFS('[1]Raw Inventory'!D:D,'[1]Raw Inventory'!C:C,"GREATWALL",'[1]Raw Inventory'!B:B,A214)</f>
        <v>0</v>
      </c>
      <c r="AH214" s="46">
        <f>SUMIFS('[1]Raw Inventory'!D:D,'[1]Raw Inventory'!C:C,"DUARTE",'[1]Raw Inventory'!B:B,A214)</f>
        <v>0</v>
      </c>
      <c r="AI214" s="46"/>
      <c r="AJ214" s="46"/>
      <c r="AK214" s="43"/>
      <c r="AL214" s="43"/>
      <c r="AM214" s="43"/>
      <c r="AN214" s="43"/>
      <c r="AO214" s="43"/>
      <c r="AP214" s="43"/>
      <c r="AQ214" s="43"/>
      <c r="AR214" s="43"/>
      <c r="AS214" s="43"/>
      <c r="AT214" s="43"/>
    </row>
    <row r="215" spans="1:46">
      <c r="A215" s="43" t="s">
        <v>64</v>
      </c>
      <c r="B215" s="43" t="s">
        <v>154</v>
      </c>
      <c r="C215" s="43" t="s">
        <v>152</v>
      </c>
      <c r="D215" s="44" t="s">
        <v>266</v>
      </c>
      <c r="E215" s="44">
        <v>17</v>
      </c>
      <c r="F215" s="44" t="s">
        <v>2</v>
      </c>
      <c r="G215" s="43" t="str">
        <f>IFERROR(VLOOKUP(A215,'[1]MC Masterlist 2026-09-12'!$B:$M, 3, 0),"")</f>
        <v>HONDA</v>
      </c>
      <c r="H215" s="45">
        <f>IFERROR(VLOOKUP(A215,'[1]MC Masterlist 2026-09-12'!$B:$M, 6, 0),"")</f>
        <v>73170</v>
      </c>
      <c r="I215" s="46">
        <v>0</v>
      </c>
      <c r="J215" s="46">
        <v>2</v>
      </c>
      <c r="K215" s="46">
        <v>0</v>
      </c>
      <c r="L215" s="46">
        <f t="shared" si="45"/>
        <v>2</v>
      </c>
      <c r="M215" s="46">
        <f t="shared" si="46"/>
        <v>0.66666666666666663</v>
      </c>
      <c r="N215" s="45">
        <f t="shared" si="47"/>
        <v>146340</v>
      </c>
      <c r="O215" s="45">
        <f t="shared" si="48"/>
        <v>48780</v>
      </c>
      <c r="P215" s="46">
        <f t="shared" si="49"/>
        <v>2.222222222222222E-2</v>
      </c>
      <c r="Q215" s="46"/>
      <c r="R215" s="45">
        <f t="shared" si="50"/>
        <v>0</v>
      </c>
      <c r="S215" s="46">
        <f t="shared" si="51"/>
        <v>0</v>
      </c>
      <c r="T215" s="46">
        <f>IFERROR(VLOOKUP(A215,'[1]Re-order'!$A:$Q,17,0),"")</f>
        <v>76.153846153846146</v>
      </c>
      <c r="U215" s="46">
        <f>IFERROR(VLOOKUP(A215,'[1]MC Masterlist 2026-09-12'!$B:$M, 10, 0),0)</f>
        <v>15</v>
      </c>
      <c r="V215" s="46">
        <f>IFERROR(VLOOKUP(A215,'[1]MC Masterlist 2026-09-12'!$B:$M, 11, 0),0)</f>
        <v>15</v>
      </c>
      <c r="W215" s="46">
        <f t="shared" si="52"/>
        <v>30</v>
      </c>
      <c r="X215" s="46">
        <f t="shared" si="53"/>
        <v>29.666666666666668</v>
      </c>
      <c r="Y215" s="46">
        <f>IFERROR(IF(OR(C215="AREA I",C215="AREA V"),7,VLOOKUP(A215,'[1]MC Masterlist 2026-09-12'!$B:$M, 12, 0)),0)</f>
        <v>30</v>
      </c>
      <c r="Z215" s="46">
        <f t="shared" si="54"/>
        <v>0.33333333333333331</v>
      </c>
      <c r="AA215" s="46">
        <f t="shared" si="55"/>
        <v>0.66666666666666663</v>
      </c>
      <c r="AB215" s="46">
        <f t="shared" si="56"/>
        <v>0.65925925925925921</v>
      </c>
      <c r="AC215" s="46">
        <f t="shared" si="57"/>
        <v>0.66666666666666663</v>
      </c>
      <c r="AD215" s="44" t="str">
        <f t="shared" si="58"/>
        <v>Stockout</v>
      </c>
      <c r="AE215" s="44" t="str">
        <f>IFERROR(VLOOKUP(A215,'[1]Re-order'!$A:$AA,27,0),"")</f>
        <v/>
      </c>
      <c r="AF215" s="46">
        <f t="shared" si="59"/>
        <v>0.66666666666666663</v>
      </c>
      <c r="AG215" s="46">
        <f>SUMIFS('[1]Raw Inventory'!D:D,'[1]Raw Inventory'!C:C,"GREATWALL",'[1]Raw Inventory'!B:B,A215)</f>
        <v>13</v>
      </c>
      <c r="AH215" s="46">
        <f>SUMIFS('[1]Raw Inventory'!D:D,'[1]Raw Inventory'!C:C,"DUARTE",'[1]Raw Inventory'!B:B,A215)</f>
        <v>0</v>
      </c>
      <c r="AI215" s="46"/>
      <c r="AJ215" s="46"/>
      <c r="AK215" s="43"/>
      <c r="AL215" s="43"/>
      <c r="AM215" s="43"/>
      <c r="AN215" s="43"/>
      <c r="AO215" s="43"/>
      <c r="AP215" s="43"/>
      <c r="AQ215" s="43"/>
      <c r="AR215" s="43"/>
      <c r="AS215" s="43"/>
      <c r="AT215" s="43"/>
    </row>
    <row r="216" spans="1:46">
      <c r="A216" s="43" t="s">
        <v>25</v>
      </c>
      <c r="B216" s="43" t="s">
        <v>143</v>
      </c>
      <c r="C216" s="43" t="s">
        <v>137</v>
      </c>
      <c r="D216" s="44" t="s">
        <v>230</v>
      </c>
      <c r="E216" s="44">
        <v>6</v>
      </c>
      <c r="F216" s="44" t="s">
        <v>0</v>
      </c>
      <c r="G216" s="43" t="str">
        <f>IFERROR(VLOOKUP(A216,'[1]MC Masterlist 2026-09-12'!$B:$M, 3, 0),"")</f>
        <v>YAMAHA</v>
      </c>
      <c r="H216" s="45">
        <f>IFERROR(VLOOKUP(A216,'[1]MC Masterlist 2026-09-12'!$B:$M, 6, 0),"")</f>
        <v>124527</v>
      </c>
      <c r="I216" s="46">
        <v>3</v>
      </c>
      <c r="J216" s="46">
        <v>2</v>
      </c>
      <c r="K216" s="46">
        <v>2</v>
      </c>
      <c r="L216" s="46">
        <f t="shared" si="45"/>
        <v>7</v>
      </c>
      <c r="M216" s="46">
        <f t="shared" si="46"/>
        <v>2.3333333333333335</v>
      </c>
      <c r="N216" s="45">
        <f t="shared" si="47"/>
        <v>871689</v>
      </c>
      <c r="O216" s="45">
        <f t="shared" si="48"/>
        <v>290563</v>
      </c>
      <c r="P216" s="46">
        <f t="shared" si="49"/>
        <v>7.7777777777777779E-2</v>
      </c>
      <c r="Q216" s="46">
        <v>1</v>
      </c>
      <c r="R216" s="45">
        <f t="shared" si="50"/>
        <v>124527</v>
      </c>
      <c r="S216" s="46">
        <f t="shared" si="51"/>
        <v>12.857142857142856</v>
      </c>
      <c r="T216" s="46">
        <f>IFERROR(VLOOKUP(A216,'[1]Re-order'!$A:$Q,17,0),"")</f>
        <v>5.1030927835051543</v>
      </c>
      <c r="U216" s="46">
        <f>IFERROR(VLOOKUP(A216,'[1]MC Masterlist 2026-09-12'!$B:$M, 10, 0),0)</f>
        <v>15</v>
      </c>
      <c r="V216" s="46">
        <f>IFERROR(VLOOKUP(A216,'[1]MC Masterlist 2026-09-12'!$B:$M, 11, 0),0)</f>
        <v>15</v>
      </c>
      <c r="W216" s="46">
        <f t="shared" si="52"/>
        <v>30</v>
      </c>
      <c r="X216" s="46">
        <f t="shared" si="53"/>
        <v>5.833333333333333</v>
      </c>
      <c r="Y216" s="46">
        <f>IFERROR(IF(OR(C216="AREA I",C216="AREA V"),7,VLOOKUP(A216,'[1]MC Masterlist 2026-09-12'!$B:$M, 12, 0)),0)</f>
        <v>7</v>
      </c>
      <c r="Z216" s="46">
        <f t="shared" si="54"/>
        <v>1.1666666666666667</v>
      </c>
      <c r="AA216" s="46">
        <f t="shared" si="55"/>
        <v>2.3333333333333335</v>
      </c>
      <c r="AB216" s="46">
        <f t="shared" si="56"/>
        <v>0.45370370370370366</v>
      </c>
      <c r="AC216" s="46">
        <f t="shared" si="57"/>
        <v>0.54444444444444451</v>
      </c>
      <c r="AD216" s="44" t="str">
        <f t="shared" si="58"/>
        <v>Over</v>
      </c>
      <c r="AE216" s="44" t="str">
        <f>IFERROR(VLOOKUP(A216,'[1]Re-order'!$A:$AA,27,0),"")</f>
        <v>Stockout</v>
      </c>
      <c r="AF216" s="46">
        <f t="shared" si="59"/>
        <v>-0.45555555555555549</v>
      </c>
      <c r="AG216" s="46">
        <f>SUMIFS('[1]Raw Inventory'!D:D,'[1]Raw Inventory'!C:C,"GREATWALL",'[1]Raw Inventory'!B:B,A216)</f>
        <v>1</v>
      </c>
      <c r="AH216" s="46">
        <f>SUMIFS('[1]Raw Inventory'!D:D,'[1]Raw Inventory'!C:C,"DUARTE",'[1]Raw Inventory'!B:B,A216)</f>
        <v>0</v>
      </c>
      <c r="AI216" s="46"/>
      <c r="AJ216" s="46"/>
      <c r="AK216" s="43"/>
      <c r="AL216" s="43"/>
      <c r="AM216" s="43"/>
      <c r="AN216" s="43"/>
      <c r="AO216" s="43"/>
      <c r="AP216" s="43"/>
      <c r="AQ216" s="43"/>
      <c r="AR216" s="43"/>
      <c r="AS216" s="43"/>
      <c r="AT216" s="43"/>
    </row>
    <row r="217" spans="1:46">
      <c r="A217" s="43" t="s">
        <v>36</v>
      </c>
      <c r="B217" s="43" t="s">
        <v>27</v>
      </c>
      <c r="C217" s="43" t="s">
        <v>1</v>
      </c>
      <c r="D217" s="44" t="s">
        <v>245</v>
      </c>
      <c r="E217" s="44">
        <v>30</v>
      </c>
      <c r="F217" s="44" t="s">
        <v>3</v>
      </c>
      <c r="G217" s="43" t="str">
        <f>IFERROR(VLOOKUP(A217,'[1]MC Masterlist 2026-09-12'!$B:$M, 3, 0),"")</f>
        <v>HONDA</v>
      </c>
      <c r="H217" s="45">
        <f>IFERROR(VLOOKUP(A217,'[1]MC Masterlist 2026-09-12'!$B:$M, 6, 0),"")</f>
        <v>76850</v>
      </c>
      <c r="I217" s="46">
        <v>0</v>
      </c>
      <c r="J217" s="46">
        <v>0</v>
      </c>
      <c r="K217" s="46">
        <v>0</v>
      </c>
      <c r="L217" s="46">
        <f t="shared" si="45"/>
        <v>0</v>
      </c>
      <c r="M217" s="46">
        <f t="shared" si="46"/>
        <v>0</v>
      </c>
      <c r="N217" s="45">
        <f t="shared" si="47"/>
        <v>0</v>
      </c>
      <c r="O217" s="45">
        <f t="shared" si="48"/>
        <v>0</v>
      </c>
      <c r="P217" s="46">
        <f t="shared" si="49"/>
        <v>0</v>
      </c>
      <c r="Q217" s="46">
        <v>2</v>
      </c>
      <c r="R217" s="45">
        <f t="shared" si="50"/>
        <v>153700</v>
      </c>
      <c r="S217" s="46">
        <f t="shared" si="51"/>
        <v>0</v>
      </c>
      <c r="T217" s="46">
        <f>IFERROR(VLOOKUP(A217,'[1]Re-order'!$A:$Q,17,0),"")</f>
        <v>137.24999999999997</v>
      </c>
      <c r="U217" s="46">
        <f>IFERROR(VLOOKUP(A217,'[1]MC Masterlist 2026-09-12'!$B:$M, 10, 0),0)</f>
        <v>15</v>
      </c>
      <c r="V217" s="46">
        <f>IFERROR(VLOOKUP(A217,'[1]MC Masterlist 2026-09-12'!$B:$M, 11, 0),0)</f>
        <v>15</v>
      </c>
      <c r="W217" s="46">
        <f t="shared" si="52"/>
        <v>30</v>
      </c>
      <c r="X217" s="46">
        <f t="shared" si="53"/>
        <v>7</v>
      </c>
      <c r="Y217" s="46">
        <f>IFERROR(IF(OR(C217="AREA I",C217="AREA V"),7,VLOOKUP(A217,'[1]MC Masterlist 2026-09-12'!$B:$M, 12, 0)),0)</f>
        <v>7</v>
      </c>
      <c r="Z217" s="46">
        <f t="shared" si="54"/>
        <v>0</v>
      </c>
      <c r="AA217" s="46">
        <f t="shared" si="55"/>
        <v>0</v>
      </c>
      <c r="AB217" s="46">
        <f t="shared" si="56"/>
        <v>0</v>
      </c>
      <c r="AC217" s="46">
        <f t="shared" si="57"/>
        <v>0</v>
      </c>
      <c r="AD217" s="44" t="str">
        <f t="shared" si="58"/>
        <v>Over</v>
      </c>
      <c r="AE217" s="44" t="str">
        <f>IFERROR(VLOOKUP(A217,'[1]Re-order'!$A:$AA,27,0),"")</f>
        <v>Over</v>
      </c>
      <c r="AF217" s="46">
        <f t="shared" si="59"/>
        <v>-2</v>
      </c>
      <c r="AG217" s="46">
        <f>SUMIFS('[1]Raw Inventory'!D:D,'[1]Raw Inventory'!C:C,"GREATWALL",'[1]Raw Inventory'!B:B,A217)</f>
        <v>18</v>
      </c>
      <c r="AH217" s="46">
        <f>SUMIFS('[1]Raw Inventory'!D:D,'[1]Raw Inventory'!C:C,"DUARTE",'[1]Raw Inventory'!B:B,A217)</f>
        <v>0</v>
      </c>
      <c r="AI217" s="46"/>
      <c r="AJ217" s="46"/>
      <c r="AK217" s="43"/>
      <c r="AL217" s="43"/>
      <c r="AM217" s="43"/>
      <c r="AN217" s="43"/>
      <c r="AO217" s="43"/>
      <c r="AP217" s="43"/>
      <c r="AQ217" s="43"/>
      <c r="AR217" s="43"/>
      <c r="AS217" s="43"/>
      <c r="AT217" s="43"/>
    </row>
    <row r="218" spans="1:46">
      <c r="A218" s="43" t="s">
        <v>31</v>
      </c>
      <c r="B218" s="43" t="s">
        <v>142</v>
      </c>
      <c r="C218" s="43" t="s">
        <v>137</v>
      </c>
      <c r="D218" s="44" t="s">
        <v>226</v>
      </c>
      <c r="E218" s="44">
        <v>26</v>
      </c>
      <c r="F218" s="44" t="s">
        <v>3</v>
      </c>
      <c r="G218" s="43" t="str">
        <f>IFERROR(VLOOKUP(A218,'[1]MC Masterlist 2026-09-12'!$B:$M, 3, 0),"")</f>
        <v>KAWASAKI</v>
      </c>
      <c r="H218" s="45">
        <f>IFERROR(VLOOKUP(A218,'[1]MC Masterlist 2026-09-12'!$B:$M, 6, 0),"")</f>
        <v>59528</v>
      </c>
      <c r="I218" s="46">
        <v>0</v>
      </c>
      <c r="J218" s="46">
        <v>0</v>
      </c>
      <c r="K218" s="46">
        <v>0</v>
      </c>
      <c r="L218" s="46">
        <f t="shared" si="45"/>
        <v>0</v>
      </c>
      <c r="M218" s="46">
        <f t="shared" si="46"/>
        <v>0</v>
      </c>
      <c r="N218" s="45">
        <f t="shared" si="47"/>
        <v>0</v>
      </c>
      <c r="O218" s="45">
        <f t="shared" si="48"/>
        <v>0</v>
      </c>
      <c r="P218" s="46">
        <f t="shared" si="49"/>
        <v>0</v>
      </c>
      <c r="Q218" s="46">
        <v>2</v>
      </c>
      <c r="R218" s="45">
        <f t="shared" si="50"/>
        <v>119056</v>
      </c>
      <c r="S218" s="46">
        <f t="shared" si="51"/>
        <v>0</v>
      </c>
      <c r="T218" s="46">
        <f>IFERROR(VLOOKUP(A218,'[1]Re-order'!$A:$Q,17,0),"")</f>
        <v>95.869565217391298</v>
      </c>
      <c r="U218" s="46">
        <f>IFERROR(VLOOKUP(A218,'[1]MC Masterlist 2026-09-12'!$B:$M, 10, 0),0)</f>
        <v>15</v>
      </c>
      <c r="V218" s="46">
        <f>IFERROR(VLOOKUP(A218,'[1]MC Masterlist 2026-09-12'!$B:$M, 11, 0),0)</f>
        <v>15</v>
      </c>
      <c r="W218" s="46">
        <f t="shared" si="52"/>
        <v>30</v>
      </c>
      <c r="X218" s="46">
        <f t="shared" si="53"/>
        <v>7</v>
      </c>
      <c r="Y218" s="46">
        <f>IFERROR(IF(OR(C218="AREA I",C218="AREA V"),7,VLOOKUP(A218,'[1]MC Masterlist 2026-09-12'!$B:$M, 12, 0)),0)</f>
        <v>7</v>
      </c>
      <c r="Z218" s="46">
        <f t="shared" si="54"/>
        <v>0</v>
      </c>
      <c r="AA218" s="46">
        <f t="shared" si="55"/>
        <v>0</v>
      </c>
      <c r="AB218" s="46">
        <f t="shared" si="56"/>
        <v>0</v>
      </c>
      <c r="AC218" s="46">
        <f t="shared" si="57"/>
        <v>0</v>
      </c>
      <c r="AD218" s="44" t="str">
        <f t="shared" si="58"/>
        <v>Over</v>
      </c>
      <c r="AE218" s="44" t="str">
        <f>IFERROR(VLOOKUP(A218,'[1]Re-order'!$A:$AA,27,0),"")</f>
        <v>Over</v>
      </c>
      <c r="AF218" s="46">
        <f t="shared" si="59"/>
        <v>-2</v>
      </c>
      <c r="AG218" s="46">
        <f>SUMIFS('[1]Raw Inventory'!D:D,'[1]Raw Inventory'!C:C,"GREATWALL",'[1]Raw Inventory'!B:B,A218)</f>
        <v>79</v>
      </c>
      <c r="AH218" s="46">
        <f>SUMIFS('[1]Raw Inventory'!D:D,'[1]Raw Inventory'!C:C,"DUARTE",'[1]Raw Inventory'!B:B,A218)</f>
        <v>0</v>
      </c>
      <c r="AI218" s="46"/>
      <c r="AJ218" s="46"/>
      <c r="AK218" s="43"/>
      <c r="AL218" s="43"/>
      <c r="AM218" s="43"/>
      <c r="AN218" s="43"/>
      <c r="AO218" s="43"/>
      <c r="AP218" s="43"/>
      <c r="AQ218" s="43"/>
      <c r="AR218" s="43"/>
      <c r="AS218" s="43"/>
      <c r="AT218" s="43"/>
    </row>
    <row r="219" spans="1:46">
      <c r="A219" s="43" t="s">
        <v>14</v>
      </c>
      <c r="B219" s="43" t="s">
        <v>115</v>
      </c>
      <c r="C219" s="43" t="s">
        <v>109</v>
      </c>
      <c r="D219" s="44" t="s">
        <v>238</v>
      </c>
      <c r="E219" s="44">
        <v>2</v>
      </c>
      <c r="F219" s="44" t="s">
        <v>0</v>
      </c>
      <c r="G219" s="43" t="str">
        <f>IFERROR(VLOOKUP(A219,'[1]MC Masterlist 2026-09-12'!$B:$M, 3, 0),"")</f>
        <v>HONDA</v>
      </c>
      <c r="H219" s="45">
        <f>IFERROR(VLOOKUP(A219,'[1]MC Masterlist 2026-09-12'!$B:$M, 6, 0),"")</f>
        <v>80070</v>
      </c>
      <c r="I219" s="46">
        <v>17</v>
      </c>
      <c r="J219" s="46">
        <v>2</v>
      </c>
      <c r="K219" s="46">
        <v>15</v>
      </c>
      <c r="L219" s="46">
        <f t="shared" si="45"/>
        <v>34</v>
      </c>
      <c r="M219" s="46">
        <f t="shared" si="46"/>
        <v>11.333333333333334</v>
      </c>
      <c r="N219" s="45">
        <f t="shared" si="47"/>
        <v>2722380</v>
      </c>
      <c r="O219" s="45">
        <f t="shared" si="48"/>
        <v>907460</v>
      </c>
      <c r="P219" s="46">
        <f t="shared" si="49"/>
        <v>0.37777777777777782</v>
      </c>
      <c r="Q219" s="46">
        <v>2</v>
      </c>
      <c r="R219" s="45">
        <f t="shared" si="50"/>
        <v>160140</v>
      </c>
      <c r="S219" s="46">
        <f t="shared" si="51"/>
        <v>5.2941176470588243</v>
      </c>
      <c r="T219" s="46">
        <f>IFERROR(VLOOKUP(A219,'[1]Re-order'!$A:$Q,17,0),"")</f>
        <v>20.105787181082761</v>
      </c>
      <c r="U219" s="46">
        <f>IFERROR(VLOOKUP(A219,'[1]MC Masterlist 2026-09-12'!$B:$M, 10, 0),0)</f>
        <v>15</v>
      </c>
      <c r="V219" s="46">
        <f>IFERROR(VLOOKUP(A219,'[1]MC Masterlist 2026-09-12'!$B:$M, 11, 0),0)</f>
        <v>15</v>
      </c>
      <c r="W219" s="46">
        <f t="shared" si="52"/>
        <v>30</v>
      </c>
      <c r="X219" s="46">
        <f t="shared" si="53"/>
        <v>24.333333333333332</v>
      </c>
      <c r="Y219" s="46">
        <f>IFERROR(IF(OR(C219="AREA I",C219="AREA V"),7,VLOOKUP(A219,'[1]MC Masterlist 2026-09-12'!$B:$M, 12, 0)),0)</f>
        <v>30</v>
      </c>
      <c r="Z219" s="46">
        <f t="shared" si="54"/>
        <v>5.666666666666667</v>
      </c>
      <c r="AA219" s="46">
        <f t="shared" si="55"/>
        <v>11.333333333333334</v>
      </c>
      <c r="AB219" s="46">
        <f t="shared" si="56"/>
        <v>9.1925925925925931</v>
      </c>
      <c r="AC219" s="46">
        <f t="shared" si="57"/>
        <v>11.333333333333334</v>
      </c>
      <c r="AD219" s="44" t="str">
        <f t="shared" si="58"/>
        <v>Stockout</v>
      </c>
      <c r="AE219" s="44" t="str">
        <f>IFERROR(VLOOKUP(A219,'[1]Re-order'!$A:$AA,27,0),"")</f>
        <v>Stockout</v>
      </c>
      <c r="AF219" s="46">
        <f t="shared" si="59"/>
        <v>9.3333333333333339</v>
      </c>
      <c r="AG219" s="46">
        <f>SUMIFS('[1]Raw Inventory'!D:D,'[1]Raw Inventory'!C:C,"GREATWALL",'[1]Raw Inventory'!B:B,A219)</f>
        <v>176</v>
      </c>
      <c r="AH219" s="46">
        <f>SUMIFS('[1]Raw Inventory'!D:D,'[1]Raw Inventory'!C:C,"DUARTE",'[1]Raw Inventory'!B:B,A219)</f>
        <v>0</v>
      </c>
      <c r="AI219" s="46"/>
      <c r="AJ219" s="46"/>
      <c r="AK219" s="43"/>
      <c r="AL219" s="43"/>
      <c r="AM219" s="43"/>
      <c r="AN219" s="43"/>
      <c r="AO219" s="43"/>
      <c r="AP219" s="43"/>
      <c r="AQ219" s="43"/>
      <c r="AR219" s="43"/>
      <c r="AS219" s="43"/>
      <c r="AT219" s="43"/>
    </row>
    <row r="220" spans="1:46">
      <c r="A220" s="43" t="s">
        <v>49</v>
      </c>
      <c r="B220" s="43" t="s">
        <v>120</v>
      </c>
      <c r="C220" s="43" t="s">
        <v>118</v>
      </c>
      <c r="D220" s="44" t="s">
        <v>225</v>
      </c>
      <c r="E220" s="44">
        <v>3</v>
      </c>
      <c r="F220" s="44" t="s">
        <v>0</v>
      </c>
      <c r="G220" s="43" t="str">
        <f>IFERROR(VLOOKUP(A220,'[1]MC Masterlist 2026-09-12'!$B:$M, 3, 0),"")</f>
        <v>BAJAJ RE</v>
      </c>
      <c r="H220" s="45">
        <f>IFERROR(VLOOKUP(A220,'[1]MC Masterlist 2026-09-12'!$B:$M, 6, 0),"")</f>
        <v>191000</v>
      </c>
      <c r="I220" s="46">
        <v>1</v>
      </c>
      <c r="J220" s="46">
        <v>2</v>
      </c>
      <c r="K220" s="46">
        <v>4</v>
      </c>
      <c r="L220" s="46">
        <f t="shared" si="45"/>
        <v>7</v>
      </c>
      <c r="M220" s="46">
        <f t="shared" si="46"/>
        <v>2.3333333333333335</v>
      </c>
      <c r="N220" s="45">
        <f t="shared" si="47"/>
        <v>1337000</v>
      </c>
      <c r="O220" s="45">
        <f t="shared" si="48"/>
        <v>445666.66666666669</v>
      </c>
      <c r="P220" s="46">
        <f t="shared" si="49"/>
        <v>7.7777777777777779E-2</v>
      </c>
      <c r="Q220" s="46">
        <v>6</v>
      </c>
      <c r="R220" s="45">
        <f t="shared" si="50"/>
        <v>1146000</v>
      </c>
      <c r="S220" s="46">
        <f t="shared" si="51"/>
        <v>77.142857142857139</v>
      </c>
      <c r="T220" s="46">
        <f>IFERROR(VLOOKUP(A220,'[1]Re-order'!$A:$Q,17,0),"")</f>
        <v>21.516709511568124</v>
      </c>
      <c r="U220" s="46">
        <f>IFERROR(VLOOKUP(A220,'[1]MC Masterlist 2026-09-12'!$B:$M, 10, 0),0)</f>
        <v>15</v>
      </c>
      <c r="V220" s="46">
        <f>IFERROR(VLOOKUP(A220,'[1]MC Masterlist 2026-09-12'!$B:$M, 11, 0),0)</f>
        <v>15</v>
      </c>
      <c r="W220" s="46">
        <f t="shared" si="52"/>
        <v>30</v>
      </c>
      <c r="X220" s="46">
        <f t="shared" si="53"/>
        <v>28.833333333333332</v>
      </c>
      <c r="Y220" s="46">
        <f>IFERROR(IF(OR(C220="AREA I",C220="AREA V"),7,VLOOKUP(A220,'[1]MC Masterlist 2026-09-12'!$B:$M, 12, 0)),0)</f>
        <v>30</v>
      </c>
      <c r="Z220" s="46">
        <f t="shared" si="54"/>
        <v>1.1666666666666667</v>
      </c>
      <c r="AA220" s="46">
        <f t="shared" si="55"/>
        <v>2.3333333333333335</v>
      </c>
      <c r="AB220" s="46">
        <f t="shared" si="56"/>
        <v>2.2425925925925925</v>
      </c>
      <c r="AC220" s="46">
        <f t="shared" si="57"/>
        <v>2.3333333333333335</v>
      </c>
      <c r="AD220" s="44" t="str">
        <f t="shared" si="58"/>
        <v>Over</v>
      </c>
      <c r="AE220" s="44" t="str">
        <f>IFERROR(VLOOKUP(A220,'[1]Re-order'!$A:$AA,27,0),"")</f>
        <v>Stockout</v>
      </c>
      <c r="AF220" s="46">
        <f t="shared" si="59"/>
        <v>-3.6666666666666665</v>
      </c>
      <c r="AG220" s="46">
        <f>SUMIFS('[1]Raw Inventory'!D:D,'[1]Raw Inventory'!C:C,"GREATWALL",'[1]Raw Inventory'!B:B,A220)</f>
        <v>0</v>
      </c>
      <c r="AH220" s="46">
        <f>SUMIFS('[1]Raw Inventory'!D:D,'[1]Raw Inventory'!C:C,"DUARTE",'[1]Raw Inventory'!B:B,A220)</f>
        <v>0</v>
      </c>
      <c r="AI220" s="46"/>
      <c r="AJ220" s="46"/>
      <c r="AK220" s="43"/>
      <c r="AL220" s="43"/>
      <c r="AM220" s="43"/>
      <c r="AN220" s="43"/>
      <c r="AO220" s="43"/>
      <c r="AP220" s="43"/>
      <c r="AQ220" s="43"/>
      <c r="AR220" s="43"/>
      <c r="AS220" s="43"/>
      <c r="AT220" s="43"/>
    </row>
    <row r="221" spans="1:46">
      <c r="A221" s="43" t="s">
        <v>42</v>
      </c>
      <c r="B221" s="43" t="s">
        <v>113</v>
      </c>
      <c r="C221" s="43" t="s">
        <v>109</v>
      </c>
      <c r="D221" s="44" t="s">
        <v>240</v>
      </c>
      <c r="E221" s="44">
        <v>11</v>
      </c>
      <c r="F221" s="44" t="s">
        <v>2</v>
      </c>
      <c r="G221" s="43" t="str">
        <f>IFERROR(VLOOKUP(A221,'[1]MC Masterlist 2026-09-12'!$B:$M, 3, 0),"")</f>
        <v>YAMAHA</v>
      </c>
      <c r="H221" s="45">
        <f>IFERROR(VLOOKUP(A221,'[1]MC Masterlist 2026-09-12'!$B:$M, 6, 0),"")</f>
        <v>152892</v>
      </c>
      <c r="I221" s="46">
        <v>1</v>
      </c>
      <c r="J221" s="46">
        <v>0</v>
      </c>
      <c r="K221" s="46">
        <v>2</v>
      </c>
      <c r="L221" s="46">
        <f t="shared" si="45"/>
        <v>3</v>
      </c>
      <c r="M221" s="46">
        <f t="shared" si="46"/>
        <v>1</v>
      </c>
      <c r="N221" s="45">
        <f t="shared" si="47"/>
        <v>458676</v>
      </c>
      <c r="O221" s="45">
        <f t="shared" si="48"/>
        <v>152892</v>
      </c>
      <c r="P221" s="46">
        <f t="shared" si="49"/>
        <v>3.3333333333333333E-2</v>
      </c>
      <c r="Q221" s="46">
        <v>2</v>
      </c>
      <c r="R221" s="45">
        <f t="shared" si="50"/>
        <v>305784</v>
      </c>
      <c r="S221" s="46">
        <f t="shared" si="51"/>
        <v>60</v>
      </c>
      <c r="T221" s="46">
        <f>IFERROR(VLOOKUP(A221,'[1]Re-order'!$A:$Q,17,0),"")</f>
        <v>104.55882352941177</v>
      </c>
      <c r="U221" s="46">
        <f>IFERROR(VLOOKUP(A221,'[1]MC Masterlist 2026-09-12'!$B:$M, 10, 0),0)</f>
        <v>15</v>
      </c>
      <c r="V221" s="46">
        <f>IFERROR(VLOOKUP(A221,'[1]MC Masterlist 2026-09-12'!$B:$M, 11, 0),0)</f>
        <v>15</v>
      </c>
      <c r="W221" s="46">
        <f t="shared" si="52"/>
        <v>30</v>
      </c>
      <c r="X221" s="46">
        <f t="shared" si="53"/>
        <v>29.5</v>
      </c>
      <c r="Y221" s="46">
        <f>IFERROR(IF(OR(C221="AREA I",C221="AREA V"),7,VLOOKUP(A221,'[1]MC Masterlist 2026-09-12'!$B:$M, 12, 0)),0)</f>
        <v>30</v>
      </c>
      <c r="Z221" s="46">
        <f t="shared" si="54"/>
        <v>0.5</v>
      </c>
      <c r="AA221" s="46">
        <f t="shared" si="55"/>
        <v>1</v>
      </c>
      <c r="AB221" s="46">
        <f t="shared" si="56"/>
        <v>0.98333333333333328</v>
      </c>
      <c r="AC221" s="46">
        <f t="shared" si="57"/>
        <v>1</v>
      </c>
      <c r="AD221" s="44" t="str">
        <f t="shared" si="58"/>
        <v>Over</v>
      </c>
      <c r="AE221" s="44" t="str">
        <f>IFERROR(VLOOKUP(A221,'[1]Re-order'!$A:$AA,27,0),"")</f>
        <v>Over</v>
      </c>
      <c r="AF221" s="46">
        <f t="shared" si="59"/>
        <v>-1</v>
      </c>
      <c r="AG221" s="46">
        <f>SUMIFS('[1]Raw Inventory'!D:D,'[1]Raw Inventory'!C:C,"GREATWALL",'[1]Raw Inventory'!B:B,A221)</f>
        <v>3</v>
      </c>
      <c r="AH221" s="46">
        <f>SUMIFS('[1]Raw Inventory'!D:D,'[1]Raw Inventory'!C:C,"DUARTE",'[1]Raw Inventory'!B:B,A221)</f>
        <v>0</v>
      </c>
      <c r="AI221" s="46"/>
      <c r="AJ221" s="46"/>
      <c r="AK221" s="43"/>
      <c r="AL221" s="43"/>
      <c r="AM221" s="43"/>
      <c r="AN221" s="43"/>
      <c r="AO221" s="43"/>
      <c r="AP221" s="43"/>
      <c r="AQ221" s="43"/>
      <c r="AR221" s="43"/>
      <c r="AS221" s="43"/>
      <c r="AT221" s="43"/>
    </row>
    <row r="222" spans="1:46">
      <c r="A222" s="43" t="s">
        <v>14</v>
      </c>
      <c r="B222" s="43" t="s">
        <v>155</v>
      </c>
      <c r="C222" s="43" t="s">
        <v>152</v>
      </c>
      <c r="D222" s="44" t="s">
        <v>227</v>
      </c>
      <c r="E222" s="44">
        <v>1</v>
      </c>
      <c r="F222" s="44" t="s">
        <v>0</v>
      </c>
      <c r="G222" s="43" t="str">
        <f>IFERROR(VLOOKUP(A222,'[1]MC Masterlist 2026-09-12'!$B:$M, 3, 0),"")</f>
        <v>HONDA</v>
      </c>
      <c r="H222" s="45">
        <f>IFERROR(VLOOKUP(A222,'[1]MC Masterlist 2026-09-12'!$B:$M, 6, 0),"")</f>
        <v>80070</v>
      </c>
      <c r="I222" s="46">
        <v>13</v>
      </c>
      <c r="J222" s="46">
        <v>6</v>
      </c>
      <c r="K222" s="46">
        <v>16</v>
      </c>
      <c r="L222" s="46">
        <f t="shared" si="45"/>
        <v>35</v>
      </c>
      <c r="M222" s="46">
        <f t="shared" si="46"/>
        <v>11.666666666666666</v>
      </c>
      <c r="N222" s="45">
        <f t="shared" si="47"/>
        <v>2802450</v>
      </c>
      <c r="O222" s="45">
        <f t="shared" si="48"/>
        <v>934150</v>
      </c>
      <c r="P222" s="46">
        <f t="shared" si="49"/>
        <v>0.3888888888888889</v>
      </c>
      <c r="Q222" s="46">
        <v>1</v>
      </c>
      <c r="R222" s="45">
        <f t="shared" si="50"/>
        <v>80070</v>
      </c>
      <c r="S222" s="46">
        <f t="shared" si="51"/>
        <v>2.5714285714285716</v>
      </c>
      <c r="T222" s="46">
        <f>IFERROR(VLOOKUP(A222,'[1]Re-order'!$A:$Q,17,0),"")</f>
        <v>20.105787181082761</v>
      </c>
      <c r="U222" s="46">
        <f>IFERROR(VLOOKUP(A222,'[1]MC Masterlist 2026-09-12'!$B:$M, 10, 0),0)</f>
        <v>15</v>
      </c>
      <c r="V222" s="46">
        <f>IFERROR(VLOOKUP(A222,'[1]MC Masterlist 2026-09-12'!$B:$M, 11, 0),0)</f>
        <v>15</v>
      </c>
      <c r="W222" s="46">
        <f t="shared" si="52"/>
        <v>30</v>
      </c>
      <c r="X222" s="46">
        <f t="shared" si="53"/>
        <v>24.166666666666668</v>
      </c>
      <c r="Y222" s="46">
        <f>IFERROR(IF(OR(C222="AREA I",C222="AREA V"),7,VLOOKUP(A222,'[1]MC Masterlist 2026-09-12'!$B:$M, 12, 0)),0)</f>
        <v>30</v>
      </c>
      <c r="Z222" s="46">
        <f t="shared" si="54"/>
        <v>5.833333333333333</v>
      </c>
      <c r="AA222" s="46">
        <f t="shared" si="55"/>
        <v>11.666666666666666</v>
      </c>
      <c r="AB222" s="46">
        <f t="shared" si="56"/>
        <v>9.3981481481481488</v>
      </c>
      <c r="AC222" s="46">
        <f t="shared" si="57"/>
        <v>11.666666666666666</v>
      </c>
      <c r="AD222" s="44" t="str">
        <f t="shared" si="58"/>
        <v>Stockout</v>
      </c>
      <c r="AE222" s="44" t="str">
        <f>IFERROR(VLOOKUP(A222,'[1]Re-order'!$A:$AA,27,0),"")</f>
        <v>Stockout</v>
      </c>
      <c r="AF222" s="46">
        <f t="shared" si="59"/>
        <v>10.666666666666666</v>
      </c>
      <c r="AG222" s="46">
        <f>SUMIFS('[1]Raw Inventory'!D:D,'[1]Raw Inventory'!C:C,"GREATWALL",'[1]Raw Inventory'!B:B,A222)</f>
        <v>176</v>
      </c>
      <c r="AH222" s="46">
        <f>SUMIFS('[1]Raw Inventory'!D:D,'[1]Raw Inventory'!C:C,"DUARTE",'[1]Raw Inventory'!B:B,A222)</f>
        <v>0</v>
      </c>
      <c r="AI222" s="46"/>
      <c r="AJ222" s="46"/>
      <c r="AK222" s="43"/>
      <c r="AL222" s="43"/>
      <c r="AM222" s="43"/>
      <c r="AN222" s="43"/>
      <c r="AO222" s="43"/>
      <c r="AP222" s="43"/>
      <c r="AQ222" s="43"/>
      <c r="AR222" s="43"/>
      <c r="AS222" s="43"/>
      <c r="AT222" s="43"/>
    </row>
    <row r="223" spans="1:46">
      <c r="A223" s="43" t="s">
        <v>17</v>
      </c>
      <c r="B223" s="43" t="s">
        <v>92</v>
      </c>
      <c r="C223" s="43" t="s">
        <v>90</v>
      </c>
      <c r="D223" s="44" t="s">
        <v>232</v>
      </c>
      <c r="E223" s="44">
        <v>29</v>
      </c>
      <c r="F223" s="44" t="s">
        <v>3</v>
      </c>
      <c r="G223" s="43" t="str">
        <f>IFERROR(VLOOKUP(A223,'[1]MC Masterlist 2026-09-12'!$B:$M, 3, 0),"")</f>
        <v>HONDA</v>
      </c>
      <c r="H223" s="45">
        <f>IFERROR(VLOOKUP(A223,'[1]MC Masterlist 2026-09-12'!$B:$M, 6, 0),"")</f>
        <v>140790</v>
      </c>
      <c r="I223" s="46">
        <v>0</v>
      </c>
      <c r="J223" s="46">
        <v>0</v>
      </c>
      <c r="K223" s="46">
        <v>0</v>
      </c>
      <c r="L223" s="46">
        <f t="shared" si="45"/>
        <v>0</v>
      </c>
      <c r="M223" s="46">
        <f t="shared" si="46"/>
        <v>0</v>
      </c>
      <c r="N223" s="45">
        <f t="shared" si="47"/>
        <v>0</v>
      </c>
      <c r="O223" s="45">
        <f t="shared" si="48"/>
        <v>0</v>
      </c>
      <c r="P223" s="46">
        <f t="shared" si="49"/>
        <v>0</v>
      </c>
      <c r="Q223" s="46">
        <v>3</v>
      </c>
      <c r="R223" s="45">
        <f t="shared" si="50"/>
        <v>422370</v>
      </c>
      <c r="S223" s="46">
        <f t="shared" si="51"/>
        <v>0</v>
      </c>
      <c r="T223" s="46">
        <f>IFERROR(VLOOKUP(A223,'[1]Re-order'!$A:$Q,17,0),"")</f>
        <v>43.663366336633665</v>
      </c>
      <c r="U223" s="46">
        <f>IFERROR(VLOOKUP(A223,'[1]MC Masterlist 2026-09-12'!$B:$M, 10, 0),0)</f>
        <v>15</v>
      </c>
      <c r="V223" s="46">
        <f>IFERROR(VLOOKUP(A223,'[1]MC Masterlist 2026-09-12'!$B:$M, 11, 0),0)</f>
        <v>15</v>
      </c>
      <c r="W223" s="46">
        <f t="shared" si="52"/>
        <v>30</v>
      </c>
      <c r="X223" s="46">
        <f t="shared" si="53"/>
        <v>30</v>
      </c>
      <c r="Y223" s="46">
        <f>IFERROR(IF(OR(C223="AREA I",C223="AREA V"),7,VLOOKUP(A223,'[1]MC Masterlist 2026-09-12'!$B:$M, 12, 0)),0)</f>
        <v>30</v>
      </c>
      <c r="Z223" s="46">
        <f t="shared" si="54"/>
        <v>0</v>
      </c>
      <c r="AA223" s="46">
        <f t="shared" si="55"/>
        <v>0</v>
      </c>
      <c r="AB223" s="46">
        <f t="shared" si="56"/>
        <v>0</v>
      </c>
      <c r="AC223" s="46">
        <f t="shared" si="57"/>
        <v>0</v>
      </c>
      <c r="AD223" s="44" t="str">
        <f t="shared" si="58"/>
        <v>Over</v>
      </c>
      <c r="AE223" s="44" t="str">
        <f>IFERROR(VLOOKUP(A223,'[1]Re-order'!$A:$AA,27,0),"")</f>
        <v>Re-order</v>
      </c>
      <c r="AF223" s="46">
        <f t="shared" si="59"/>
        <v>-3</v>
      </c>
      <c r="AG223" s="46">
        <f>SUMIFS('[1]Raw Inventory'!D:D,'[1]Raw Inventory'!C:C,"GREATWALL",'[1]Raw Inventory'!B:B,A223)</f>
        <v>12</v>
      </c>
      <c r="AH223" s="46">
        <f>SUMIFS('[1]Raw Inventory'!D:D,'[1]Raw Inventory'!C:C,"DUARTE",'[1]Raw Inventory'!B:B,A223)</f>
        <v>0</v>
      </c>
      <c r="AI223" s="46"/>
      <c r="AJ223" s="46"/>
      <c r="AK223" s="43"/>
      <c r="AL223" s="43"/>
      <c r="AM223" s="43"/>
      <c r="AN223" s="43"/>
      <c r="AO223" s="43"/>
      <c r="AP223" s="43"/>
      <c r="AQ223" s="43"/>
      <c r="AR223" s="43"/>
      <c r="AS223" s="43"/>
      <c r="AT223" s="43"/>
    </row>
    <row r="224" spans="1:46">
      <c r="A224" s="43" t="s">
        <v>36</v>
      </c>
      <c r="B224" s="43" t="s">
        <v>139</v>
      </c>
      <c r="C224" s="43" t="s">
        <v>137</v>
      </c>
      <c r="D224" s="44" t="s">
        <v>233</v>
      </c>
      <c r="E224" s="44">
        <v>10</v>
      </c>
      <c r="F224" s="44" t="s">
        <v>2</v>
      </c>
      <c r="G224" s="43" t="str">
        <f>IFERROR(VLOOKUP(A224,'[1]MC Masterlist 2026-09-12'!$B:$M, 3, 0),"")</f>
        <v>HONDA</v>
      </c>
      <c r="H224" s="45">
        <f>IFERROR(VLOOKUP(A224,'[1]MC Masterlist 2026-09-12'!$B:$M, 6, 0),"")</f>
        <v>76850</v>
      </c>
      <c r="I224" s="46">
        <v>3</v>
      </c>
      <c r="J224" s="46">
        <v>6</v>
      </c>
      <c r="K224" s="46">
        <v>1</v>
      </c>
      <c r="L224" s="46">
        <f t="shared" si="45"/>
        <v>10</v>
      </c>
      <c r="M224" s="46">
        <f t="shared" si="46"/>
        <v>3.3333333333333335</v>
      </c>
      <c r="N224" s="45">
        <f t="shared" si="47"/>
        <v>768500</v>
      </c>
      <c r="O224" s="45">
        <f t="shared" si="48"/>
        <v>256166.66666666669</v>
      </c>
      <c r="P224" s="46">
        <f t="shared" si="49"/>
        <v>0.11111111111111112</v>
      </c>
      <c r="Q224" s="46">
        <v>3</v>
      </c>
      <c r="R224" s="45">
        <f t="shared" si="50"/>
        <v>230550</v>
      </c>
      <c r="S224" s="46">
        <f t="shared" si="51"/>
        <v>26.999999999999996</v>
      </c>
      <c r="T224" s="46">
        <f>IFERROR(VLOOKUP(A224,'[1]Re-order'!$A:$Q,17,0),"")</f>
        <v>137.24999999999997</v>
      </c>
      <c r="U224" s="46">
        <f>IFERROR(VLOOKUP(A224,'[1]MC Masterlist 2026-09-12'!$B:$M, 10, 0),0)</f>
        <v>15</v>
      </c>
      <c r="V224" s="46">
        <f>IFERROR(VLOOKUP(A224,'[1]MC Masterlist 2026-09-12'!$B:$M, 11, 0),0)</f>
        <v>15</v>
      </c>
      <c r="W224" s="46">
        <f t="shared" si="52"/>
        <v>30</v>
      </c>
      <c r="X224" s="46">
        <f t="shared" si="53"/>
        <v>5.333333333333333</v>
      </c>
      <c r="Y224" s="46">
        <f>IFERROR(IF(OR(C224="AREA I",C224="AREA V"),7,VLOOKUP(A224,'[1]MC Masterlist 2026-09-12'!$B:$M, 12, 0)),0)</f>
        <v>7</v>
      </c>
      <c r="Z224" s="46">
        <f t="shared" si="54"/>
        <v>1.6666666666666667</v>
      </c>
      <c r="AA224" s="46">
        <f t="shared" si="55"/>
        <v>3.3333333333333335</v>
      </c>
      <c r="AB224" s="46">
        <f t="shared" si="56"/>
        <v>0.59259259259259256</v>
      </c>
      <c r="AC224" s="46">
        <f t="shared" si="57"/>
        <v>0.77777777777777779</v>
      </c>
      <c r="AD224" s="44" t="str">
        <f t="shared" si="58"/>
        <v>Over</v>
      </c>
      <c r="AE224" s="44" t="str">
        <f>IFERROR(VLOOKUP(A224,'[1]Re-order'!$A:$AA,27,0),"")</f>
        <v>Over</v>
      </c>
      <c r="AF224" s="46">
        <f t="shared" si="59"/>
        <v>-2.2222222222222223</v>
      </c>
      <c r="AG224" s="46">
        <f>SUMIFS('[1]Raw Inventory'!D:D,'[1]Raw Inventory'!C:C,"GREATWALL",'[1]Raw Inventory'!B:B,A224)</f>
        <v>18</v>
      </c>
      <c r="AH224" s="46">
        <f>SUMIFS('[1]Raw Inventory'!D:D,'[1]Raw Inventory'!C:C,"DUARTE",'[1]Raw Inventory'!B:B,A224)</f>
        <v>0</v>
      </c>
      <c r="AI224" s="46"/>
      <c r="AJ224" s="46"/>
      <c r="AK224" s="43"/>
      <c r="AL224" s="43"/>
      <c r="AM224" s="43"/>
      <c r="AN224" s="43"/>
      <c r="AO224" s="43"/>
      <c r="AP224" s="43"/>
      <c r="AQ224" s="43"/>
      <c r="AR224" s="43"/>
      <c r="AS224" s="43"/>
      <c r="AT224" s="43"/>
    </row>
    <row r="225" spans="1:46">
      <c r="A225" s="43" t="s">
        <v>46</v>
      </c>
      <c r="B225" s="43" t="s">
        <v>143</v>
      </c>
      <c r="C225" s="43" t="s">
        <v>137</v>
      </c>
      <c r="D225" s="44" t="s">
        <v>247</v>
      </c>
      <c r="E225" s="44">
        <v>23</v>
      </c>
      <c r="F225" s="44" t="s">
        <v>3</v>
      </c>
      <c r="G225" s="43" t="str">
        <f>IFERROR(VLOOKUP(A225,'[1]MC Masterlist 2026-09-12'!$B:$M, 3, 0),"")</f>
        <v>HONDA</v>
      </c>
      <c r="H225" s="45">
        <f>IFERROR(VLOOKUP(A225,'[1]MC Masterlist 2026-09-12'!$B:$M, 6, 0),"")</f>
        <v>73630</v>
      </c>
      <c r="I225" s="46">
        <v>0</v>
      </c>
      <c r="J225" s="46">
        <v>0</v>
      </c>
      <c r="K225" s="46">
        <v>1</v>
      </c>
      <c r="L225" s="46">
        <f t="shared" si="45"/>
        <v>1</v>
      </c>
      <c r="M225" s="46">
        <f t="shared" si="46"/>
        <v>0.33333333333333331</v>
      </c>
      <c r="N225" s="45">
        <f t="shared" si="47"/>
        <v>73630</v>
      </c>
      <c r="O225" s="45">
        <f t="shared" si="48"/>
        <v>24543.333333333332</v>
      </c>
      <c r="P225" s="46">
        <f t="shared" si="49"/>
        <v>1.111111111111111E-2</v>
      </c>
      <c r="Q225" s="46">
        <v>1</v>
      </c>
      <c r="R225" s="45">
        <f t="shared" si="50"/>
        <v>73630</v>
      </c>
      <c r="S225" s="46">
        <f t="shared" si="51"/>
        <v>90</v>
      </c>
      <c r="T225" s="46">
        <f>IFERROR(VLOOKUP(A225,'[1]Re-order'!$A:$Q,17,0),"")</f>
        <v>51</v>
      </c>
      <c r="U225" s="46">
        <f>IFERROR(VLOOKUP(A225,'[1]MC Masterlist 2026-09-12'!$B:$M, 10, 0),0)</f>
        <v>15</v>
      </c>
      <c r="V225" s="46">
        <f>IFERROR(VLOOKUP(A225,'[1]MC Masterlist 2026-09-12'!$B:$M, 11, 0),0)</f>
        <v>15</v>
      </c>
      <c r="W225" s="46">
        <f t="shared" si="52"/>
        <v>30</v>
      </c>
      <c r="X225" s="46">
        <f t="shared" si="53"/>
        <v>6.833333333333333</v>
      </c>
      <c r="Y225" s="46">
        <f>IFERROR(IF(OR(C225="AREA I",C225="AREA V"),7,VLOOKUP(A225,'[1]MC Masterlist 2026-09-12'!$B:$M, 12, 0)),0)</f>
        <v>7</v>
      </c>
      <c r="Z225" s="46">
        <f t="shared" si="54"/>
        <v>0.16666666666666666</v>
      </c>
      <c r="AA225" s="46">
        <f t="shared" si="55"/>
        <v>0.33333333333333331</v>
      </c>
      <c r="AB225" s="46">
        <f t="shared" si="56"/>
        <v>7.5925925925925911E-2</v>
      </c>
      <c r="AC225" s="46">
        <f t="shared" si="57"/>
        <v>7.7777777777777765E-2</v>
      </c>
      <c r="AD225" s="44" t="str">
        <f t="shared" si="58"/>
        <v>Over</v>
      </c>
      <c r="AE225" s="44" t="str">
        <f>IFERROR(VLOOKUP(A225,'[1]Re-order'!$A:$AA,27,0),"")</f>
        <v>Re-order</v>
      </c>
      <c r="AF225" s="46">
        <f t="shared" si="59"/>
        <v>-0.92222222222222228</v>
      </c>
      <c r="AG225" s="46">
        <f>SUMIFS('[1]Raw Inventory'!D:D,'[1]Raw Inventory'!C:C,"GREATWALL",'[1]Raw Inventory'!B:B,A225)</f>
        <v>0</v>
      </c>
      <c r="AH225" s="46">
        <f>SUMIFS('[1]Raw Inventory'!D:D,'[1]Raw Inventory'!C:C,"DUARTE",'[1]Raw Inventory'!B:B,A225)</f>
        <v>0</v>
      </c>
      <c r="AI225" s="46"/>
      <c r="AJ225" s="46"/>
      <c r="AK225" s="43"/>
      <c r="AL225" s="43"/>
      <c r="AM225" s="43"/>
      <c r="AN225" s="43"/>
      <c r="AO225" s="43"/>
      <c r="AP225" s="43"/>
      <c r="AQ225" s="43"/>
      <c r="AR225" s="43"/>
      <c r="AS225" s="43"/>
      <c r="AT225" s="43"/>
    </row>
    <row r="226" spans="1:46">
      <c r="A226" s="43" t="s">
        <v>76</v>
      </c>
      <c r="B226" s="43" t="s">
        <v>5</v>
      </c>
      <c r="C226" s="43" t="s">
        <v>118</v>
      </c>
      <c r="D226" s="44" t="s">
        <v>243</v>
      </c>
      <c r="E226" s="44">
        <v>16</v>
      </c>
      <c r="F226" s="44" t="s">
        <v>2</v>
      </c>
      <c r="G226" s="43" t="str">
        <f>IFERROR(VLOOKUP(A226,'[1]MC Masterlist 2026-09-12'!$B:$M, 3, 0),"")</f>
        <v>SUZUKI</v>
      </c>
      <c r="H226" s="45">
        <f>IFERROR(VLOOKUP(A226,'[1]MC Masterlist 2026-09-12'!$B:$M, 6, 0),"")</f>
        <v>62692</v>
      </c>
      <c r="I226" s="46">
        <v>0</v>
      </c>
      <c r="J226" s="46">
        <v>1</v>
      </c>
      <c r="K226" s="46">
        <v>1</v>
      </c>
      <c r="L226" s="46">
        <f t="shared" si="45"/>
        <v>2</v>
      </c>
      <c r="M226" s="46">
        <f t="shared" si="46"/>
        <v>0.66666666666666663</v>
      </c>
      <c r="N226" s="45">
        <f t="shared" si="47"/>
        <v>125384</v>
      </c>
      <c r="O226" s="45">
        <f t="shared" si="48"/>
        <v>41794.666666666664</v>
      </c>
      <c r="P226" s="46">
        <f t="shared" si="49"/>
        <v>2.222222222222222E-2</v>
      </c>
      <c r="Q226" s="46">
        <v>1</v>
      </c>
      <c r="R226" s="45">
        <f t="shared" si="50"/>
        <v>62692</v>
      </c>
      <c r="S226" s="46">
        <f t="shared" si="51"/>
        <v>45</v>
      </c>
      <c r="T226" s="46">
        <f>IFERROR(VLOOKUP(A226,'[1]Re-order'!$A:$Q,17,0),"")</f>
        <v>106.36363636363636</v>
      </c>
      <c r="U226" s="46">
        <f>IFERROR(VLOOKUP(A226,'[1]MC Masterlist 2026-09-12'!$B:$M, 10, 0),0)</f>
        <v>15</v>
      </c>
      <c r="V226" s="46">
        <f>IFERROR(VLOOKUP(A226,'[1]MC Masterlist 2026-09-12'!$B:$M, 11, 0),0)</f>
        <v>15</v>
      </c>
      <c r="W226" s="46">
        <f t="shared" si="52"/>
        <v>30</v>
      </c>
      <c r="X226" s="46">
        <f t="shared" si="53"/>
        <v>29.666666666666668</v>
      </c>
      <c r="Y226" s="46">
        <f>IFERROR(IF(OR(C226="AREA I",C226="AREA V"),7,VLOOKUP(A226,'[1]MC Masterlist 2026-09-12'!$B:$M, 12, 0)),0)</f>
        <v>30</v>
      </c>
      <c r="Z226" s="46">
        <f t="shared" si="54"/>
        <v>0.33333333333333331</v>
      </c>
      <c r="AA226" s="46">
        <f t="shared" si="55"/>
        <v>0.66666666666666663</v>
      </c>
      <c r="AB226" s="46">
        <f t="shared" si="56"/>
        <v>0.65925925925925921</v>
      </c>
      <c r="AC226" s="46">
        <f t="shared" si="57"/>
        <v>0.66666666666666663</v>
      </c>
      <c r="AD226" s="44" t="str">
        <f t="shared" si="58"/>
        <v>Over</v>
      </c>
      <c r="AE226" s="44" t="str">
        <f>IFERROR(VLOOKUP(A226,'[1]Re-order'!$A:$AA,27,0),"")</f>
        <v>Over</v>
      </c>
      <c r="AF226" s="46">
        <f t="shared" si="59"/>
        <v>-0.33333333333333337</v>
      </c>
      <c r="AG226" s="46">
        <f>SUMIFS('[1]Raw Inventory'!D:D,'[1]Raw Inventory'!C:C,"GREATWALL",'[1]Raw Inventory'!B:B,A226)</f>
        <v>1</v>
      </c>
      <c r="AH226" s="46">
        <f>SUMIFS('[1]Raw Inventory'!D:D,'[1]Raw Inventory'!C:C,"DUARTE",'[1]Raw Inventory'!B:B,A226)</f>
        <v>0</v>
      </c>
      <c r="AI226" s="46"/>
      <c r="AJ226" s="46"/>
      <c r="AK226" s="43"/>
      <c r="AL226" s="43"/>
      <c r="AM226" s="43"/>
      <c r="AN226" s="43"/>
      <c r="AO226" s="43"/>
      <c r="AP226" s="43"/>
      <c r="AQ226" s="43"/>
      <c r="AR226" s="43"/>
      <c r="AS226" s="43"/>
      <c r="AT226" s="43"/>
    </row>
    <row r="227" spans="1:46">
      <c r="A227" s="43" t="s">
        <v>66</v>
      </c>
      <c r="B227" s="43" t="s">
        <v>146</v>
      </c>
      <c r="C227" s="43" t="s">
        <v>137</v>
      </c>
      <c r="D227" s="44" t="s">
        <v>240</v>
      </c>
      <c r="E227" s="44">
        <v>12</v>
      </c>
      <c r="F227" s="44" t="s">
        <v>2</v>
      </c>
      <c r="G227" s="43" t="str">
        <f>IFERROR(VLOOKUP(A227,'[1]MC Masterlist 2026-09-12'!$B:$M, 3, 0),"")</f>
        <v>KAWASAKI</v>
      </c>
      <c r="H227" s="45">
        <f>IFERROR(VLOOKUP(A227,'[1]MC Masterlist 2026-09-12'!$B:$M, 6, 0),"")</f>
        <v>95530</v>
      </c>
      <c r="I227" s="46">
        <v>2</v>
      </c>
      <c r="J227" s="46">
        <v>1</v>
      </c>
      <c r="K227" s="46">
        <v>0</v>
      </c>
      <c r="L227" s="46">
        <f t="shared" si="45"/>
        <v>3</v>
      </c>
      <c r="M227" s="46">
        <f t="shared" si="46"/>
        <v>1</v>
      </c>
      <c r="N227" s="45">
        <f t="shared" si="47"/>
        <v>286590</v>
      </c>
      <c r="O227" s="45">
        <f t="shared" si="48"/>
        <v>95530</v>
      </c>
      <c r="P227" s="46">
        <f t="shared" si="49"/>
        <v>3.3333333333333333E-2</v>
      </c>
      <c r="Q227" s="46"/>
      <c r="R227" s="45">
        <f t="shared" si="50"/>
        <v>0</v>
      </c>
      <c r="S227" s="46">
        <f t="shared" si="51"/>
        <v>0</v>
      </c>
      <c r="T227" s="46">
        <f>IFERROR(VLOOKUP(A227,'[1]Re-order'!$A:$Q,17,0),"")</f>
        <v>112.7848101265823</v>
      </c>
      <c r="U227" s="46">
        <f>IFERROR(VLOOKUP(A227,'[1]MC Masterlist 2026-09-12'!$B:$M, 10, 0),0)</f>
        <v>15</v>
      </c>
      <c r="V227" s="46">
        <f>IFERROR(VLOOKUP(A227,'[1]MC Masterlist 2026-09-12'!$B:$M, 11, 0),0)</f>
        <v>15</v>
      </c>
      <c r="W227" s="46">
        <f t="shared" si="52"/>
        <v>30</v>
      </c>
      <c r="X227" s="46">
        <f t="shared" si="53"/>
        <v>6.5</v>
      </c>
      <c r="Y227" s="46">
        <f>IFERROR(IF(OR(C227="AREA I",C227="AREA V"),7,VLOOKUP(A227,'[1]MC Masterlist 2026-09-12'!$B:$M, 12, 0)),0)</f>
        <v>7</v>
      </c>
      <c r="Z227" s="46">
        <f t="shared" si="54"/>
        <v>0.5</v>
      </c>
      <c r="AA227" s="46">
        <f t="shared" si="55"/>
        <v>1</v>
      </c>
      <c r="AB227" s="46">
        <f t="shared" si="56"/>
        <v>0.21666666666666667</v>
      </c>
      <c r="AC227" s="46">
        <f t="shared" si="57"/>
        <v>0.23333333333333334</v>
      </c>
      <c r="AD227" s="44" t="str">
        <f t="shared" si="58"/>
        <v>Stockout</v>
      </c>
      <c r="AE227" s="44" t="str">
        <f>IFERROR(VLOOKUP(A227,'[1]Re-order'!$A:$AA,27,0),"")</f>
        <v>Over</v>
      </c>
      <c r="AF227" s="46">
        <f t="shared" si="59"/>
        <v>0.23333333333333334</v>
      </c>
      <c r="AG227" s="46">
        <f>SUMIFS('[1]Raw Inventory'!D:D,'[1]Raw Inventory'!C:C,"GREATWALL",'[1]Raw Inventory'!B:B,A227)</f>
        <v>64</v>
      </c>
      <c r="AH227" s="46">
        <f>SUMIFS('[1]Raw Inventory'!D:D,'[1]Raw Inventory'!C:C,"DUARTE",'[1]Raw Inventory'!B:B,A227)</f>
        <v>0</v>
      </c>
      <c r="AI227" s="46"/>
      <c r="AJ227" s="46"/>
      <c r="AK227" s="43"/>
      <c r="AL227" s="43"/>
      <c r="AM227" s="43"/>
      <c r="AN227" s="43"/>
      <c r="AO227" s="43"/>
      <c r="AP227" s="43"/>
      <c r="AQ227" s="43"/>
      <c r="AR227" s="43"/>
      <c r="AS227" s="43"/>
      <c r="AT227" s="43"/>
    </row>
    <row r="228" spans="1:46">
      <c r="A228" s="43" t="s">
        <v>53</v>
      </c>
      <c r="B228" s="43" t="s">
        <v>19</v>
      </c>
      <c r="C228" s="43" t="s">
        <v>1</v>
      </c>
      <c r="D228" s="44" t="s">
        <v>247</v>
      </c>
      <c r="E228" s="44">
        <v>19</v>
      </c>
      <c r="F228" s="44" t="s">
        <v>3</v>
      </c>
      <c r="G228" s="43" t="str">
        <f>IFERROR(VLOOKUP(A228,'[1]MC Masterlist 2026-09-12'!$B:$M, 3, 0),"")</f>
        <v>HONDA</v>
      </c>
      <c r="H228" s="45">
        <f>IFERROR(VLOOKUP(A228,'[1]MC Masterlist 2026-09-12'!$B:$M, 6, 0),"")</f>
        <v>118838</v>
      </c>
      <c r="I228" s="46">
        <v>1</v>
      </c>
      <c r="J228" s="46">
        <v>0</v>
      </c>
      <c r="K228" s="46">
        <v>0</v>
      </c>
      <c r="L228" s="46">
        <f t="shared" si="45"/>
        <v>1</v>
      </c>
      <c r="M228" s="46">
        <f t="shared" si="46"/>
        <v>0.33333333333333331</v>
      </c>
      <c r="N228" s="45">
        <f t="shared" si="47"/>
        <v>118838</v>
      </c>
      <c r="O228" s="45">
        <f t="shared" si="48"/>
        <v>39612.666666666664</v>
      </c>
      <c r="P228" s="46">
        <f t="shared" si="49"/>
        <v>1.111111111111111E-2</v>
      </c>
      <c r="Q228" s="46">
        <v>1</v>
      </c>
      <c r="R228" s="45">
        <f t="shared" si="50"/>
        <v>118838</v>
      </c>
      <c r="S228" s="46">
        <f t="shared" si="51"/>
        <v>90</v>
      </c>
      <c r="T228" s="46">
        <f>IFERROR(VLOOKUP(A228,'[1]Re-order'!$A:$Q,17,0),"")</f>
        <v>360</v>
      </c>
      <c r="U228" s="46">
        <f>IFERROR(VLOOKUP(A228,'[1]MC Masterlist 2026-09-12'!$B:$M, 10, 0),0)</f>
        <v>15</v>
      </c>
      <c r="V228" s="46">
        <f>IFERROR(VLOOKUP(A228,'[1]MC Masterlist 2026-09-12'!$B:$M, 11, 0),0)</f>
        <v>15</v>
      </c>
      <c r="W228" s="46">
        <f t="shared" si="52"/>
        <v>30</v>
      </c>
      <c r="X228" s="46">
        <f t="shared" si="53"/>
        <v>6.833333333333333</v>
      </c>
      <c r="Y228" s="46">
        <f>IFERROR(IF(OR(C228="AREA I",C228="AREA V"),7,VLOOKUP(A228,'[1]MC Masterlist 2026-09-12'!$B:$M, 12, 0)),0)</f>
        <v>7</v>
      </c>
      <c r="Z228" s="46">
        <f t="shared" si="54"/>
        <v>0.16666666666666666</v>
      </c>
      <c r="AA228" s="46">
        <f t="shared" si="55"/>
        <v>0.33333333333333331</v>
      </c>
      <c r="AB228" s="46">
        <f t="shared" si="56"/>
        <v>7.5925925925925911E-2</v>
      </c>
      <c r="AC228" s="46">
        <f t="shared" si="57"/>
        <v>7.7777777777777765E-2</v>
      </c>
      <c r="AD228" s="44" t="str">
        <f t="shared" si="58"/>
        <v>Over</v>
      </c>
      <c r="AE228" s="44" t="str">
        <f>IFERROR(VLOOKUP(A228,'[1]Re-order'!$A:$AA,27,0),"")</f>
        <v>Over</v>
      </c>
      <c r="AF228" s="46">
        <f t="shared" si="59"/>
        <v>-0.92222222222222228</v>
      </c>
      <c r="AG228" s="46">
        <f>SUMIFS('[1]Raw Inventory'!D:D,'[1]Raw Inventory'!C:C,"GREATWALL",'[1]Raw Inventory'!B:B,A228)</f>
        <v>0</v>
      </c>
      <c r="AH228" s="46">
        <f>SUMIFS('[1]Raw Inventory'!D:D,'[1]Raw Inventory'!C:C,"DUARTE",'[1]Raw Inventory'!B:B,A228)</f>
        <v>0</v>
      </c>
      <c r="AI228" s="46"/>
      <c r="AJ228" s="46"/>
      <c r="AK228" s="43"/>
      <c r="AL228" s="43"/>
      <c r="AM228" s="43"/>
      <c r="AN228" s="43"/>
      <c r="AO228" s="43"/>
      <c r="AP228" s="43"/>
      <c r="AQ228" s="43"/>
      <c r="AR228" s="43"/>
      <c r="AS228" s="43"/>
      <c r="AT228" s="43"/>
    </row>
    <row r="229" spans="1:46">
      <c r="A229" s="43" t="s">
        <v>42</v>
      </c>
      <c r="B229" s="43" t="s">
        <v>29</v>
      </c>
      <c r="C229" s="43" t="s">
        <v>1</v>
      </c>
      <c r="D229" s="44" t="s">
        <v>243</v>
      </c>
      <c r="E229" s="44">
        <v>17</v>
      </c>
      <c r="F229" s="44" t="s">
        <v>2</v>
      </c>
      <c r="G229" s="43" t="str">
        <f>IFERROR(VLOOKUP(A229,'[1]MC Masterlist 2026-09-12'!$B:$M, 3, 0),"")</f>
        <v>YAMAHA</v>
      </c>
      <c r="H229" s="45">
        <f>IFERROR(VLOOKUP(A229,'[1]MC Masterlist 2026-09-12'!$B:$M, 6, 0),"")</f>
        <v>152892</v>
      </c>
      <c r="I229" s="46">
        <v>1</v>
      </c>
      <c r="J229" s="46">
        <v>1</v>
      </c>
      <c r="K229" s="46">
        <v>0</v>
      </c>
      <c r="L229" s="46">
        <f t="shared" si="45"/>
        <v>2</v>
      </c>
      <c r="M229" s="46">
        <f t="shared" si="46"/>
        <v>0.66666666666666663</v>
      </c>
      <c r="N229" s="45">
        <f t="shared" si="47"/>
        <v>305784</v>
      </c>
      <c r="O229" s="45">
        <f t="shared" si="48"/>
        <v>101928</v>
      </c>
      <c r="P229" s="46">
        <f t="shared" si="49"/>
        <v>2.222222222222222E-2</v>
      </c>
      <c r="Q229" s="46"/>
      <c r="R229" s="45">
        <f t="shared" si="50"/>
        <v>0</v>
      </c>
      <c r="S229" s="46">
        <f t="shared" si="51"/>
        <v>0</v>
      </c>
      <c r="T229" s="46">
        <f>IFERROR(VLOOKUP(A229,'[1]Re-order'!$A:$Q,17,0),"")</f>
        <v>104.55882352941177</v>
      </c>
      <c r="U229" s="46">
        <f>IFERROR(VLOOKUP(A229,'[1]MC Masterlist 2026-09-12'!$B:$M, 10, 0),0)</f>
        <v>15</v>
      </c>
      <c r="V229" s="46">
        <f>IFERROR(VLOOKUP(A229,'[1]MC Masterlist 2026-09-12'!$B:$M, 11, 0),0)</f>
        <v>15</v>
      </c>
      <c r="W229" s="46">
        <f t="shared" si="52"/>
        <v>30</v>
      </c>
      <c r="X229" s="46">
        <f t="shared" si="53"/>
        <v>6.666666666666667</v>
      </c>
      <c r="Y229" s="46">
        <f>IFERROR(IF(OR(C229="AREA I",C229="AREA V"),7,VLOOKUP(A229,'[1]MC Masterlist 2026-09-12'!$B:$M, 12, 0)),0)</f>
        <v>7</v>
      </c>
      <c r="Z229" s="46">
        <f t="shared" si="54"/>
        <v>0.33333333333333331</v>
      </c>
      <c r="AA229" s="46">
        <f t="shared" si="55"/>
        <v>0.66666666666666663</v>
      </c>
      <c r="AB229" s="46">
        <f t="shared" si="56"/>
        <v>0.14814814814814814</v>
      </c>
      <c r="AC229" s="46">
        <f t="shared" si="57"/>
        <v>0.15555555555555553</v>
      </c>
      <c r="AD229" s="44" t="str">
        <f t="shared" si="58"/>
        <v>Stockout</v>
      </c>
      <c r="AE229" s="44" t="str">
        <f>IFERROR(VLOOKUP(A229,'[1]Re-order'!$A:$AA,27,0),"")</f>
        <v>Over</v>
      </c>
      <c r="AF229" s="46">
        <f t="shared" si="59"/>
        <v>0.15555555555555553</v>
      </c>
      <c r="AG229" s="46">
        <f>SUMIFS('[1]Raw Inventory'!D:D,'[1]Raw Inventory'!C:C,"GREATWALL",'[1]Raw Inventory'!B:B,A229)</f>
        <v>3</v>
      </c>
      <c r="AH229" s="46">
        <f>SUMIFS('[1]Raw Inventory'!D:D,'[1]Raw Inventory'!C:C,"DUARTE",'[1]Raw Inventory'!B:B,A229)</f>
        <v>0</v>
      </c>
      <c r="AI229" s="46"/>
      <c r="AJ229" s="46"/>
      <c r="AK229" s="43"/>
      <c r="AL229" s="43"/>
      <c r="AM229" s="43"/>
      <c r="AN229" s="43"/>
      <c r="AO229" s="43"/>
      <c r="AP229" s="43"/>
      <c r="AQ229" s="43"/>
      <c r="AR229" s="43"/>
      <c r="AS229" s="43"/>
      <c r="AT229" s="43"/>
    </row>
    <row r="230" spans="1:46">
      <c r="A230" s="43" t="s">
        <v>65</v>
      </c>
      <c r="B230" s="43" t="s">
        <v>156</v>
      </c>
      <c r="C230" s="43" t="s">
        <v>152</v>
      </c>
      <c r="D230" s="44" t="s">
        <v>257</v>
      </c>
      <c r="E230" s="44">
        <v>21</v>
      </c>
      <c r="F230" s="44" t="s">
        <v>3</v>
      </c>
      <c r="G230" s="43" t="str">
        <f>IFERROR(VLOOKUP(A230,'[1]MC Masterlist 2026-09-12'!$B:$M, 3, 0),"")</f>
        <v>SUZUKI</v>
      </c>
      <c r="H230" s="45">
        <f>IFERROR(VLOOKUP(A230,'[1]MC Masterlist 2026-09-12'!$B:$M, 6, 0),"")</f>
        <v>77572</v>
      </c>
      <c r="I230" s="46">
        <v>0</v>
      </c>
      <c r="J230" s="46">
        <v>0</v>
      </c>
      <c r="K230" s="46">
        <v>1</v>
      </c>
      <c r="L230" s="46">
        <f t="shared" si="45"/>
        <v>1</v>
      </c>
      <c r="M230" s="46">
        <f t="shared" si="46"/>
        <v>0.33333333333333331</v>
      </c>
      <c r="N230" s="45">
        <f t="shared" si="47"/>
        <v>77572</v>
      </c>
      <c r="O230" s="45">
        <f t="shared" si="48"/>
        <v>25857.333333333332</v>
      </c>
      <c r="P230" s="46">
        <f t="shared" si="49"/>
        <v>1.111111111111111E-2</v>
      </c>
      <c r="Q230" s="46"/>
      <c r="R230" s="45">
        <f t="shared" si="50"/>
        <v>0</v>
      </c>
      <c r="S230" s="46">
        <f t="shared" si="51"/>
        <v>0</v>
      </c>
      <c r="T230" s="46">
        <f>IFERROR(VLOOKUP(A230,'[1]Re-order'!$A:$Q,17,0),"")</f>
        <v>158.8235294117647</v>
      </c>
      <c r="U230" s="46">
        <f>IFERROR(VLOOKUP(A230,'[1]MC Masterlist 2026-09-12'!$B:$M, 10, 0),0)</f>
        <v>15</v>
      </c>
      <c r="V230" s="46">
        <f>IFERROR(VLOOKUP(A230,'[1]MC Masterlist 2026-09-12'!$B:$M, 11, 0),0)</f>
        <v>15</v>
      </c>
      <c r="W230" s="46">
        <f t="shared" si="52"/>
        <v>30</v>
      </c>
      <c r="X230" s="46">
        <f t="shared" si="53"/>
        <v>29.833333333333332</v>
      </c>
      <c r="Y230" s="46">
        <f>IFERROR(IF(OR(C230="AREA I",C230="AREA V"),7,VLOOKUP(A230,'[1]MC Masterlist 2026-09-12'!$B:$M, 12, 0)),0)</f>
        <v>30</v>
      </c>
      <c r="Z230" s="46">
        <f t="shared" si="54"/>
        <v>0.16666666666666666</v>
      </c>
      <c r="AA230" s="46">
        <f t="shared" si="55"/>
        <v>0.33333333333333331</v>
      </c>
      <c r="AB230" s="46">
        <f t="shared" si="56"/>
        <v>0.33148148148148143</v>
      </c>
      <c r="AC230" s="46">
        <f t="shared" si="57"/>
        <v>0.33333333333333331</v>
      </c>
      <c r="AD230" s="44" t="str">
        <f t="shared" si="58"/>
        <v>Stockout</v>
      </c>
      <c r="AE230" s="44" t="str">
        <f>IFERROR(VLOOKUP(A230,'[1]Re-order'!$A:$AA,27,0),"")</f>
        <v>Over</v>
      </c>
      <c r="AF230" s="46">
        <f t="shared" si="59"/>
        <v>0.33333333333333331</v>
      </c>
      <c r="AG230" s="46">
        <f>SUMIFS('[1]Raw Inventory'!D:D,'[1]Raw Inventory'!C:C,"GREATWALL",'[1]Raw Inventory'!B:B,A230)</f>
        <v>4</v>
      </c>
      <c r="AH230" s="46">
        <f>SUMIFS('[1]Raw Inventory'!D:D,'[1]Raw Inventory'!C:C,"DUARTE",'[1]Raw Inventory'!B:B,A230)</f>
        <v>0</v>
      </c>
      <c r="AI230" s="46"/>
      <c r="AJ230" s="46"/>
      <c r="AK230" s="43"/>
      <c r="AL230" s="43"/>
      <c r="AM230" s="43"/>
      <c r="AN230" s="43"/>
      <c r="AO230" s="43"/>
      <c r="AP230" s="43"/>
      <c r="AQ230" s="43"/>
      <c r="AR230" s="43"/>
      <c r="AS230" s="43"/>
      <c r="AT230" s="43"/>
    </row>
    <row r="231" spans="1:46">
      <c r="A231" s="43" t="s">
        <v>80</v>
      </c>
      <c r="B231" s="43" t="s">
        <v>110</v>
      </c>
      <c r="C231" s="43" t="s">
        <v>109</v>
      </c>
      <c r="D231" s="44" t="s">
        <v>257</v>
      </c>
      <c r="E231" s="44">
        <v>25</v>
      </c>
      <c r="F231" s="44" t="s">
        <v>3</v>
      </c>
      <c r="G231" s="43" t="str">
        <f>IFERROR(VLOOKUP(A231,'[1]MC Masterlist 2026-09-12'!$B:$M, 3, 0),"")</f>
        <v>YAMAHA</v>
      </c>
      <c r="H231" s="45">
        <f>IFERROR(VLOOKUP(A231,'[1]MC Masterlist 2026-09-12'!$B:$M, 6, 0),"")</f>
        <v>73842</v>
      </c>
      <c r="I231" s="46">
        <v>1</v>
      </c>
      <c r="J231" s="46">
        <v>0</v>
      </c>
      <c r="K231" s="46">
        <v>0</v>
      </c>
      <c r="L231" s="46">
        <f t="shared" si="45"/>
        <v>1</v>
      </c>
      <c r="M231" s="46">
        <f t="shared" si="46"/>
        <v>0.33333333333333331</v>
      </c>
      <c r="N231" s="45">
        <f t="shared" si="47"/>
        <v>73842</v>
      </c>
      <c r="O231" s="45">
        <f t="shared" si="48"/>
        <v>24614</v>
      </c>
      <c r="P231" s="46">
        <f t="shared" si="49"/>
        <v>1.111111111111111E-2</v>
      </c>
      <c r="Q231" s="46"/>
      <c r="R231" s="45">
        <f t="shared" si="50"/>
        <v>0</v>
      </c>
      <c r="S231" s="46">
        <f t="shared" si="51"/>
        <v>0</v>
      </c>
      <c r="T231" s="46">
        <f>IFERROR(VLOOKUP(A231,'[1]Re-order'!$A:$Q,17,0),"")</f>
        <v>67.5</v>
      </c>
      <c r="U231" s="46">
        <f>IFERROR(VLOOKUP(A231,'[1]MC Masterlist 2026-09-12'!$B:$M, 10, 0),0)</f>
        <v>15</v>
      </c>
      <c r="V231" s="46">
        <f>IFERROR(VLOOKUP(A231,'[1]MC Masterlist 2026-09-12'!$B:$M, 11, 0),0)</f>
        <v>15</v>
      </c>
      <c r="W231" s="46">
        <f t="shared" si="52"/>
        <v>30</v>
      </c>
      <c r="X231" s="46">
        <f t="shared" si="53"/>
        <v>29.833333333333332</v>
      </c>
      <c r="Y231" s="46">
        <f>IFERROR(IF(OR(C231="AREA I",C231="AREA V"),7,VLOOKUP(A231,'[1]MC Masterlist 2026-09-12'!$B:$M, 12, 0)),0)</f>
        <v>30</v>
      </c>
      <c r="Z231" s="46">
        <f t="shared" si="54"/>
        <v>0.16666666666666666</v>
      </c>
      <c r="AA231" s="46">
        <f t="shared" si="55"/>
        <v>0.33333333333333331</v>
      </c>
      <c r="AB231" s="46">
        <f t="shared" si="56"/>
        <v>0.33148148148148143</v>
      </c>
      <c r="AC231" s="46">
        <f t="shared" si="57"/>
        <v>0.33333333333333331</v>
      </c>
      <c r="AD231" s="44" t="str">
        <f t="shared" si="58"/>
        <v>Stockout</v>
      </c>
      <c r="AE231" s="44" t="str">
        <f>IFERROR(VLOOKUP(A231,'[1]Re-order'!$A:$AA,27,0),"")</f>
        <v>Re-order</v>
      </c>
      <c r="AF231" s="46">
        <f t="shared" si="59"/>
        <v>0.33333333333333331</v>
      </c>
      <c r="AG231" s="46">
        <f>SUMIFS('[1]Raw Inventory'!D:D,'[1]Raw Inventory'!C:C,"GREATWALL",'[1]Raw Inventory'!B:B,A231)</f>
        <v>0</v>
      </c>
      <c r="AH231" s="46">
        <f>SUMIFS('[1]Raw Inventory'!D:D,'[1]Raw Inventory'!C:C,"DUARTE",'[1]Raw Inventory'!B:B,A231)</f>
        <v>0</v>
      </c>
      <c r="AI231" s="46"/>
      <c r="AJ231" s="46"/>
      <c r="AK231" s="43"/>
      <c r="AL231" s="43"/>
      <c r="AM231" s="43"/>
      <c r="AN231" s="43"/>
      <c r="AO231" s="43"/>
      <c r="AP231" s="43"/>
      <c r="AQ231" s="43"/>
      <c r="AR231" s="43"/>
      <c r="AS231" s="43"/>
      <c r="AT231" s="43"/>
    </row>
    <row r="232" spans="1:46">
      <c r="A232" s="43" t="s">
        <v>20</v>
      </c>
      <c r="B232" s="43" t="s">
        <v>142</v>
      </c>
      <c r="C232" s="43" t="s">
        <v>137</v>
      </c>
      <c r="D232" s="44" t="s">
        <v>225</v>
      </c>
      <c r="E232" s="44">
        <v>3</v>
      </c>
      <c r="F232" s="44" t="s">
        <v>0</v>
      </c>
      <c r="G232" s="43" t="str">
        <f>IFERROR(VLOOKUP(A232,'[1]MC Masterlist 2026-09-12'!$B:$M, 3, 0),"")</f>
        <v>HONDA</v>
      </c>
      <c r="H232" s="45">
        <f>IFERROR(VLOOKUP(A232,'[1]MC Masterlist 2026-09-12'!$B:$M, 6, 0),"")</f>
        <v>69950</v>
      </c>
      <c r="I232" s="46">
        <v>4</v>
      </c>
      <c r="J232" s="46">
        <v>3</v>
      </c>
      <c r="K232" s="46">
        <v>5</v>
      </c>
      <c r="L232" s="46">
        <f t="shared" si="45"/>
        <v>12</v>
      </c>
      <c r="M232" s="46">
        <f t="shared" si="46"/>
        <v>4</v>
      </c>
      <c r="N232" s="45">
        <f t="shared" si="47"/>
        <v>839400</v>
      </c>
      <c r="O232" s="45">
        <f t="shared" si="48"/>
        <v>279800</v>
      </c>
      <c r="P232" s="46">
        <f t="shared" si="49"/>
        <v>0.13333333333333333</v>
      </c>
      <c r="Q232" s="46">
        <v>2</v>
      </c>
      <c r="R232" s="45">
        <f t="shared" si="50"/>
        <v>139900</v>
      </c>
      <c r="S232" s="46">
        <f t="shared" si="51"/>
        <v>15</v>
      </c>
      <c r="T232" s="46">
        <f>IFERROR(VLOOKUP(A232,'[1]Re-order'!$A:$Q,17,0),"")</f>
        <v>75.775862068965523</v>
      </c>
      <c r="U232" s="46">
        <f>IFERROR(VLOOKUP(A232,'[1]MC Masterlist 2026-09-12'!$B:$M, 10, 0),0)</f>
        <v>15</v>
      </c>
      <c r="V232" s="46">
        <f>IFERROR(VLOOKUP(A232,'[1]MC Masterlist 2026-09-12'!$B:$M, 11, 0),0)</f>
        <v>15</v>
      </c>
      <c r="W232" s="46">
        <f t="shared" si="52"/>
        <v>30</v>
      </c>
      <c r="X232" s="46">
        <f t="shared" si="53"/>
        <v>5</v>
      </c>
      <c r="Y232" s="46">
        <f>IFERROR(IF(OR(C232="AREA I",C232="AREA V"),7,VLOOKUP(A232,'[1]MC Masterlist 2026-09-12'!$B:$M, 12, 0)),0)</f>
        <v>7</v>
      </c>
      <c r="Z232" s="46">
        <f t="shared" si="54"/>
        <v>2</v>
      </c>
      <c r="AA232" s="46">
        <f t="shared" si="55"/>
        <v>4</v>
      </c>
      <c r="AB232" s="46">
        <f t="shared" si="56"/>
        <v>0.66666666666666663</v>
      </c>
      <c r="AC232" s="46">
        <f t="shared" si="57"/>
        <v>0.93333333333333335</v>
      </c>
      <c r="AD232" s="44" t="str">
        <f t="shared" si="58"/>
        <v>Over</v>
      </c>
      <c r="AE232" s="44" t="str">
        <f>IFERROR(VLOOKUP(A232,'[1]Re-order'!$A:$AA,27,0),"")</f>
        <v/>
      </c>
      <c r="AF232" s="46">
        <f t="shared" si="59"/>
        <v>-1.0666666666666667</v>
      </c>
      <c r="AG232" s="46">
        <f>SUMIFS('[1]Raw Inventory'!D:D,'[1]Raw Inventory'!C:C,"GREATWALL",'[1]Raw Inventory'!B:B,A232)</f>
        <v>110</v>
      </c>
      <c r="AH232" s="46">
        <f>SUMIFS('[1]Raw Inventory'!D:D,'[1]Raw Inventory'!C:C,"DUARTE",'[1]Raw Inventory'!B:B,A232)</f>
        <v>0</v>
      </c>
      <c r="AI232" s="46"/>
      <c r="AJ232" s="46"/>
      <c r="AK232" s="43"/>
      <c r="AL232" s="43"/>
      <c r="AM232" s="43"/>
      <c r="AN232" s="43"/>
      <c r="AO232" s="43"/>
      <c r="AP232" s="43"/>
      <c r="AQ232" s="43"/>
      <c r="AR232" s="43"/>
      <c r="AS232" s="43"/>
      <c r="AT232" s="43"/>
    </row>
    <row r="233" spans="1:46">
      <c r="A233" s="43" t="s">
        <v>17</v>
      </c>
      <c r="B233" s="43" t="s">
        <v>142</v>
      </c>
      <c r="C233" s="43" t="s">
        <v>137</v>
      </c>
      <c r="D233" s="44" t="s">
        <v>230</v>
      </c>
      <c r="E233" s="44">
        <v>6</v>
      </c>
      <c r="F233" s="44" t="s">
        <v>0</v>
      </c>
      <c r="G233" s="43" t="str">
        <f>IFERROR(VLOOKUP(A233,'[1]MC Masterlist 2026-09-12'!$B:$M, 3, 0),"")</f>
        <v>HONDA</v>
      </c>
      <c r="H233" s="45">
        <f>IFERROR(VLOOKUP(A233,'[1]MC Masterlist 2026-09-12'!$B:$M, 6, 0),"")</f>
        <v>140790</v>
      </c>
      <c r="I233" s="46">
        <v>0</v>
      </c>
      <c r="J233" s="46">
        <v>0</v>
      </c>
      <c r="K233" s="46">
        <v>3</v>
      </c>
      <c r="L233" s="46">
        <f t="shared" si="45"/>
        <v>3</v>
      </c>
      <c r="M233" s="46">
        <f t="shared" si="46"/>
        <v>1</v>
      </c>
      <c r="N233" s="45">
        <f t="shared" si="47"/>
        <v>422370</v>
      </c>
      <c r="O233" s="45">
        <f t="shared" si="48"/>
        <v>140790</v>
      </c>
      <c r="P233" s="46">
        <f t="shared" si="49"/>
        <v>3.3333333333333333E-2</v>
      </c>
      <c r="Q233" s="46">
        <v>1</v>
      </c>
      <c r="R233" s="45">
        <f t="shared" si="50"/>
        <v>140790</v>
      </c>
      <c r="S233" s="46">
        <f t="shared" si="51"/>
        <v>30</v>
      </c>
      <c r="T233" s="46">
        <f>IFERROR(VLOOKUP(A233,'[1]Re-order'!$A:$Q,17,0),"")</f>
        <v>43.663366336633665</v>
      </c>
      <c r="U233" s="46">
        <f>IFERROR(VLOOKUP(A233,'[1]MC Masterlist 2026-09-12'!$B:$M, 10, 0),0)</f>
        <v>15</v>
      </c>
      <c r="V233" s="46">
        <f>IFERROR(VLOOKUP(A233,'[1]MC Masterlist 2026-09-12'!$B:$M, 11, 0),0)</f>
        <v>15</v>
      </c>
      <c r="W233" s="46">
        <f t="shared" si="52"/>
        <v>30</v>
      </c>
      <c r="X233" s="46">
        <f t="shared" si="53"/>
        <v>6.5</v>
      </c>
      <c r="Y233" s="46">
        <f>IFERROR(IF(OR(C233="AREA I",C233="AREA V"),7,VLOOKUP(A233,'[1]MC Masterlist 2026-09-12'!$B:$M, 12, 0)),0)</f>
        <v>7</v>
      </c>
      <c r="Z233" s="46">
        <f t="shared" si="54"/>
        <v>0.5</v>
      </c>
      <c r="AA233" s="46">
        <f t="shared" si="55"/>
        <v>1</v>
      </c>
      <c r="AB233" s="46">
        <f t="shared" si="56"/>
        <v>0.21666666666666667</v>
      </c>
      <c r="AC233" s="46">
        <f t="shared" si="57"/>
        <v>0.23333333333333334</v>
      </c>
      <c r="AD233" s="44" t="str">
        <f t="shared" si="58"/>
        <v>Over</v>
      </c>
      <c r="AE233" s="44" t="str">
        <f>IFERROR(VLOOKUP(A233,'[1]Re-order'!$A:$AA,27,0),"")</f>
        <v>Re-order</v>
      </c>
      <c r="AF233" s="46">
        <f t="shared" si="59"/>
        <v>-0.76666666666666661</v>
      </c>
      <c r="AG233" s="46">
        <f>SUMIFS('[1]Raw Inventory'!D:D,'[1]Raw Inventory'!C:C,"GREATWALL",'[1]Raw Inventory'!B:B,A233)</f>
        <v>12</v>
      </c>
      <c r="AH233" s="46">
        <f>SUMIFS('[1]Raw Inventory'!D:D,'[1]Raw Inventory'!C:C,"DUARTE",'[1]Raw Inventory'!B:B,A233)</f>
        <v>0</v>
      </c>
      <c r="AI233" s="46"/>
      <c r="AJ233" s="46"/>
      <c r="AK233" s="43"/>
      <c r="AL233" s="43"/>
      <c r="AM233" s="43"/>
      <c r="AN233" s="43"/>
      <c r="AO233" s="43"/>
      <c r="AP233" s="43"/>
      <c r="AQ233" s="43"/>
      <c r="AR233" s="43"/>
      <c r="AS233" s="43"/>
      <c r="AT233" s="43"/>
    </row>
    <row r="234" spans="1:46">
      <c r="A234" s="43" t="s">
        <v>83</v>
      </c>
      <c r="B234" s="43" t="s">
        <v>138</v>
      </c>
      <c r="C234" s="43" t="s">
        <v>137</v>
      </c>
      <c r="D234" s="44" t="s">
        <v>271</v>
      </c>
      <c r="E234" s="44">
        <v>39</v>
      </c>
      <c r="F234" s="44" t="s">
        <v>3</v>
      </c>
      <c r="G234" s="43" t="str">
        <f>IFERROR(VLOOKUP(A234,'[1]MC Masterlist 2026-09-12'!$B:$M, 3, 0),"")</f>
        <v>SKYGO</v>
      </c>
      <c r="H234" s="45">
        <f>IFERROR(VLOOKUP(A234,'[1]MC Masterlist 2026-09-12'!$B:$M, 6, 0),"")</f>
        <v>35055</v>
      </c>
      <c r="I234" s="46">
        <v>0</v>
      </c>
      <c r="J234" s="46">
        <v>0</v>
      </c>
      <c r="K234" s="46">
        <v>0</v>
      </c>
      <c r="L234" s="46">
        <f t="shared" si="45"/>
        <v>0</v>
      </c>
      <c r="M234" s="46">
        <f t="shared" si="46"/>
        <v>0</v>
      </c>
      <c r="N234" s="45">
        <f t="shared" si="47"/>
        <v>0</v>
      </c>
      <c r="O234" s="45">
        <f t="shared" si="48"/>
        <v>0</v>
      </c>
      <c r="P234" s="46">
        <f t="shared" si="49"/>
        <v>0</v>
      </c>
      <c r="Q234" s="46">
        <v>33</v>
      </c>
      <c r="R234" s="45">
        <f t="shared" si="50"/>
        <v>1156815</v>
      </c>
      <c r="S234" s="46">
        <f t="shared" si="51"/>
        <v>0</v>
      </c>
      <c r="T234" s="46">
        <f>IFERROR(VLOOKUP(A234,'[1]Re-order'!$A:$Q,17,0),"")</f>
        <v>313.2</v>
      </c>
      <c r="U234" s="46">
        <f>IFERROR(VLOOKUP(A234,'[1]MC Masterlist 2026-09-12'!$B:$M, 10, 0),0)</f>
        <v>15</v>
      </c>
      <c r="V234" s="46">
        <f>IFERROR(VLOOKUP(A234,'[1]MC Masterlist 2026-09-12'!$B:$M, 11, 0),0)</f>
        <v>15</v>
      </c>
      <c r="W234" s="46">
        <f t="shared" si="52"/>
        <v>30</v>
      </c>
      <c r="X234" s="46">
        <f t="shared" si="53"/>
        <v>7</v>
      </c>
      <c r="Y234" s="46">
        <f>IFERROR(IF(OR(C234="AREA I",C234="AREA V"),7,VLOOKUP(A234,'[1]MC Masterlist 2026-09-12'!$B:$M, 12, 0)),0)</f>
        <v>7</v>
      </c>
      <c r="Z234" s="46">
        <f t="shared" si="54"/>
        <v>0</v>
      </c>
      <c r="AA234" s="46">
        <f t="shared" si="55"/>
        <v>0</v>
      </c>
      <c r="AB234" s="46">
        <f t="shared" si="56"/>
        <v>0</v>
      </c>
      <c r="AC234" s="46">
        <f t="shared" si="57"/>
        <v>0</v>
      </c>
      <c r="AD234" s="44" t="str">
        <f t="shared" si="58"/>
        <v>Over</v>
      </c>
      <c r="AE234" s="44" t="str">
        <f>IFERROR(VLOOKUP(A234,'[1]Re-order'!$A:$AA,27,0),"")</f>
        <v>Over</v>
      </c>
      <c r="AF234" s="46">
        <f t="shared" si="59"/>
        <v>-33</v>
      </c>
      <c r="AG234" s="46">
        <f>SUMIFS('[1]Raw Inventory'!D:D,'[1]Raw Inventory'!C:C,"GREATWALL",'[1]Raw Inventory'!B:B,A234)</f>
        <v>33</v>
      </c>
      <c r="AH234" s="46">
        <f>SUMIFS('[1]Raw Inventory'!D:D,'[1]Raw Inventory'!C:C,"DUARTE",'[1]Raw Inventory'!B:B,A234)</f>
        <v>0</v>
      </c>
      <c r="AI234" s="46"/>
      <c r="AJ234" s="46"/>
      <c r="AK234" s="43"/>
      <c r="AL234" s="43"/>
      <c r="AM234" s="43"/>
      <c r="AN234" s="43"/>
      <c r="AO234" s="43"/>
      <c r="AP234" s="43"/>
      <c r="AQ234" s="43"/>
      <c r="AR234" s="43"/>
      <c r="AS234" s="43"/>
      <c r="AT234" s="43"/>
    </row>
    <row r="235" spans="1:46">
      <c r="A235" s="43" t="s">
        <v>22</v>
      </c>
      <c r="B235" s="43" t="s">
        <v>154</v>
      </c>
      <c r="C235" s="43" t="s">
        <v>152</v>
      </c>
      <c r="D235" s="44" t="s">
        <v>255</v>
      </c>
      <c r="E235" s="44">
        <v>12</v>
      </c>
      <c r="F235" s="44" t="s">
        <v>2</v>
      </c>
      <c r="G235" s="43" t="str">
        <f>IFERROR(VLOOKUP(A235,'[1]MC Masterlist 2026-09-12'!$B:$M, 3, 0),"")</f>
        <v>HONDA</v>
      </c>
      <c r="H235" s="45">
        <f>IFERROR(VLOOKUP(A235,'[1]MC Masterlist 2026-09-12'!$B:$M, 6, 0),"")</f>
        <v>111258</v>
      </c>
      <c r="I235" s="46">
        <v>0</v>
      </c>
      <c r="J235" s="46">
        <v>0</v>
      </c>
      <c r="K235" s="46">
        <v>2</v>
      </c>
      <c r="L235" s="46">
        <f t="shared" si="45"/>
        <v>2</v>
      </c>
      <c r="M235" s="46">
        <f t="shared" si="46"/>
        <v>0.66666666666666663</v>
      </c>
      <c r="N235" s="45">
        <f t="shared" si="47"/>
        <v>222516</v>
      </c>
      <c r="O235" s="45">
        <f t="shared" si="48"/>
        <v>74172</v>
      </c>
      <c r="P235" s="46">
        <f t="shared" si="49"/>
        <v>2.222222222222222E-2</v>
      </c>
      <c r="Q235" s="46">
        <v>3</v>
      </c>
      <c r="R235" s="45">
        <f t="shared" si="50"/>
        <v>333774</v>
      </c>
      <c r="S235" s="46">
        <f t="shared" si="51"/>
        <v>135</v>
      </c>
      <c r="T235" s="46">
        <f>IFERROR(VLOOKUP(A235,'[1]Re-order'!$A:$Q,17,0),"")</f>
        <v>41.339712918660283</v>
      </c>
      <c r="U235" s="46">
        <f>IFERROR(VLOOKUP(A235,'[1]MC Masterlist 2026-09-12'!$B:$M, 10, 0),0)</f>
        <v>15</v>
      </c>
      <c r="V235" s="46">
        <f>IFERROR(VLOOKUP(A235,'[1]MC Masterlist 2026-09-12'!$B:$M, 11, 0),0)</f>
        <v>15</v>
      </c>
      <c r="W235" s="46">
        <f t="shared" si="52"/>
        <v>30</v>
      </c>
      <c r="X235" s="46">
        <f t="shared" si="53"/>
        <v>29.666666666666668</v>
      </c>
      <c r="Y235" s="46">
        <f>IFERROR(IF(OR(C235="AREA I",C235="AREA V"),7,VLOOKUP(A235,'[1]MC Masterlist 2026-09-12'!$B:$M, 12, 0)),0)</f>
        <v>30</v>
      </c>
      <c r="Z235" s="46">
        <f t="shared" si="54"/>
        <v>0.33333333333333331</v>
      </c>
      <c r="AA235" s="46">
        <f t="shared" si="55"/>
        <v>0.66666666666666663</v>
      </c>
      <c r="AB235" s="46">
        <f t="shared" si="56"/>
        <v>0.65925925925925921</v>
      </c>
      <c r="AC235" s="46">
        <f t="shared" si="57"/>
        <v>0.66666666666666663</v>
      </c>
      <c r="AD235" s="44" t="str">
        <f t="shared" si="58"/>
        <v>Over</v>
      </c>
      <c r="AE235" s="44" t="str">
        <f>IFERROR(VLOOKUP(A235,'[1]Re-order'!$A:$AA,27,0),"")</f>
        <v>Re-order</v>
      </c>
      <c r="AF235" s="46">
        <f t="shared" si="59"/>
        <v>-2.3333333333333335</v>
      </c>
      <c r="AG235" s="46">
        <f>SUMIFS('[1]Raw Inventory'!D:D,'[1]Raw Inventory'!C:C,"GREATWALL",'[1]Raw Inventory'!B:B,A235)</f>
        <v>4</v>
      </c>
      <c r="AH235" s="46">
        <f>SUMIFS('[1]Raw Inventory'!D:D,'[1]Raw Inventory'!C:C,"DUARTE",'[1]Raw Inventory'!B:B,A235)</f>
        <v>0</v>
      </c>
      <c r="AI235" s="46"/>
      <c r="AJ235" s="46"/>
      <c r="AK235" s="43"/>
      <c r="AL235" s="43"/>
      <c r="AM235" s="43"/>
      <c r="AN235" s="43"/>
      <c r="AO235" s="43"/>
      <c r="AP235" s="43"/>
      <c r="AQ235" s="43"/>
      <c r="AR235" s="43"/>
      <c r="AS235" s="43"/>
      <c r="AT235" s="43"/>
    </row>
    <row r="236" spans="1:46">
      <c r="A236" s="43" t="s">
        <v>23</v>
      </c>
      <c r="B236" s="43" t="s">
        <v>130</v>
      </c>
      <c r="C236" s="43" t="s">
        <v>128</v>
      </c>
      <c r="D236" s="44" t="s">
        <v>230</v>
      </c>
      <c r="E236" s="44">
        <v>6</v>
      </c>
      <c r="F236" s="44" t="s">
        <v>0</v>
      </c>
      <c r="G236" s="43" t="str">
        <f>IFERROR(VLOOKUP(A236,'[1]MC Masterlist 2026-09-12'!$B:$M, 3, 0),"")</f>
        <v>KAWASAKI</v>
      </c>
      <c r="H236" s="45">
        <f>IFERROR(VLOOKUP(A236,'[1]MC Masterlist 2026-09-12'!$B:$M, 6, 0),"")</f>
        <v>60656</v>
      </c>
      <c r="I236" s="46">
        <v>2</v>
      </c>
      <c r="J236" s="46">
        <v>5</v>
      </c>
      <c r="K236" s="46">
        <v>5</v>
      </c>
      <c r="L236" s="46">
        <f t="shared" si="45"/>
        <v>12</v>
      </c>
      <c r="M236" s="46">
        <f t="shared" si="46"/>
        <v>4</v>
      </c>
      <c r="N236" s="45">
        <f t="shared" si="47"/>
        <v>727872</v>
      </c>
      <c r="O236" s="45">
        <f t="shared" si="48"/>
        <v>242624</v>
      </c>
      <c r="P236" s="46">
        <f t="shared" si="49"/>
        <v>0.13333333333333333</v>
      </c>
      <c r="Q236" s="46">
        <v>11</v>
      </c>
      <c r="R236" s="45">
        <f t="shared" si="50"/>
        <v>667216</v>
      </c>
      <c r="S236" s="46">
        <f t="shared" si="51"/>
        <v>82.5</v>
      </c>
      <c r="T236" s="46">
        <f>IFERROR(VLOOKUP(A236,'[1]Re-order'!$A:$Q,17,0),"")</f>
        <v>53.973412112259979</v>
      </c>
      <c r="U236" s="46">
        <f>IFERROR(VLOOKUP(A236,'[1]MC Masterlist 2026-09-12'!$B:$M, 10, 0),0)</f>
        <v>15</v>
      </c>
      <c r="V236" s="46">
        <f>IFERROR(VLOOKUP(A236,'[1]MC Masterlist 2026-09-12'!$B:$M, 11, 0),0)</f>
        <v>15</v>
      </c>
      <c r="W236" s="46">
        <f t="shared" si="52"/>
        <v>30</v>
      </c>
      <c r="X236" s="46">
        <f t="shared" si="53"/>
        <v>28</v>
      </c>
      <c r="Y236" s="46">
        <f>IFERROR(IF(OR(C236="AREA I",C236="AREA V"),7,VLOOKUP(A236,'[1]MC Masterlist 2026-09-12'!$B:$M, 12, 0)),0)</f>
        <v>30</v>
      </c>
      <c r="Z236" s="46">
        <f t="shared" si="54"/>
        <v>2</v>
      </c>
      <c r="AA236" s="46">
        <f t="shared" si="55"/>
        <v>4</v>
      </c>
      <c r="AB236" s="46">
        <f t="shared" si="56"/>
        <v>3.7333333333333334</v>
      </c>
      <c r="AC236" s="46">
        <f t="shared" si="57"/>
        <v>4</v>
      </c>
      <c r="AD236" s="44" t="str">
        <f t="shared" si="58"/>
        <v>Over</v>
      </c>
      <c r="AE236" s="44" t="str">
        <f>IFERROR(VLOOKUP(A236,'[1]Re-order'!$A:$AA,27,0),"")</f>
        <v>Re-order</v>
      </c>
      <c r="AF236" s="46">
        <f t="shared" si="59"/>
        <v>-7</v>
      </c>
      <c r="AG236" s="46">
        <f>SUMIFS('[1]Raw Inventory'!D:D,'[1]Raw Inventory'!C:C,"GREATWALL",'[1]Raw Inventory'!B:B,A236)</f>
        <v>282</v>
      </c>
      <c r="AH236" s="46">
        <f>SUMIFS('[1]Raw Inventory'!D:D,'[1]Raw Inventory'!C:C,"DUARTE",'[1]Raw Inventory'!B:B,A236)</f>
        <v>0</v>
      </c>
      <c r="AI236" s="46"/>
      <c r="AJ236" s="46"/>
      <c r="AK236" s="43"/>
      <c r="AL236" s="43"/>
      <c r="AM236" s="43"/>
      <c r="AN236" s="43"/>
      <c r="AO236" s="43"/>
      <c r="AP236" s="43"/>
      <c r="AQ236" s="43"/>
      <c r="AR236" s="43"/>
      <c r="AS236" s="43"/>
      <c r="AT236" s="43"/>
    </row>
    <row r="237" spans="1:46">
      <c r="A237" s="43" t="s">
        <v>83</v>
      </c>
      <c r="B237" s="43" t="s">
        <v>142</v>
      </c>
      <c r="C237" s="43" t="s">
        <v>137</v>
      </c>
      <c r="D237" s="44" t="s">
        <v>247</v>
      </c>
      <c r="E237" s="44">
        <v>25</v>
      </c>
      <c r="F237" s="44" t="s">
        <v>3</v>
      </c>
      <c r="G237" s="43" t="str">
        <f>IFERROR(VLOOKUP(A237,'[1]MC Masterlist 2026-09-12'!$B:$M, 3, 0),"")</f>
        <v>SKYGO</v>
      </c>
      <c r="H237" s="45">
        <f>IFERROR(VLOOKUP(A237,'[1]MC Masterlist 2026-09-12'!$B:$M, 6, 0),"")</f>
        <v>35055</v>
      </c>
      <c r="I237" s="46">
        <v>0</v>
      </c>
      <c r="J237" s="46">
        <v>1</v>
      </c>
      <c r="K237" s="46">
        <v>0</v>
      </c>
      <c r="L237" s="46">
        <f t="shared" si="45"/>
        <v>1</v>
      </c>
      <c r="M237" s="46">
        <f t="shared" si="46"/>
        <v>0.33333333333333331</v>
      </c>
      <c r="N237" s="45">
        <f t="shared" si="47"/>
        <v>35055</v>
      </c>
      <c r="O237" s="45">
        <f t="shared" si="48"/>
        <v>11685</v>
      </c>
      <c r="P237" s="46">
        <f t="shared" si="49"/>
        <v>1.111111111111111E-2</v>
      </c>
      <c r="Q237" s="46">
        <v>5</v>
      </c>
      <c r="R237" s="45">
        <f t="shared" si="50"/>
        <v>175275</v>
      </c>
      <c r="S237" s="46">
        <f t="shared" si="51"/>
        <v>450</v>
      </c>
      <c r="T237" s="46">
        <f>IFERROR(VLOOKUP(A237,'[1]Re-order'!$A:$Q,17,0),"")</f>
        <v>313.2</v>
      </c>
      <c r="U237" s="46">
        <f>IFERROR(VLOOKUP(A237,'[1]MC Masterlist 2026-09-12'!$B:$M, 10, 0),0)</f>
        <v>15</v>
      </c>
      <c r="V237" s="46">
        <f>IFERROR(VLOOKUP(A237,'[1]MC Masterlist 2026-09-12'!$B:$M, 11, 0),0)</f>
        <v>15</v>
      </c>
      <c r="W237" s="46">
        <f t="shared" si="52"/>
        <v>30</v>
      </c>
      <c r="X237" s="46">
        <f t="shared" si="53"/>
        <v>6.833333333333333</v>
      </c>
      <c r="Y237" s="46">
        <f>IFERROR(IF(OR(C237="AREA I",C237="AREA V"),7,VLOOKUP(A237,'[1]MC Masterlist 2026-09-12'!$B:$M, 12, 0)),0)</f>
        <v>7</v>
      </c>
      <c r="Z237" s="46">
        <f t="shared" si="54"/>
        <v>0.16666666666666666</v>
      </c>
      <c r="AA237" s="46">
        <f t="shared" si="55"/>
        <v>0.33333333333333331</v>
      </c>
      <c r="AB237" s="46">
        <f t="shared" si="56"/>
        <v>7.5925925925925911E-2</v>
      </c>
      <c r="AC237" s="46">
        <f t="shared" si="57"/>
        <v>7.7777777777777765E-2</v>
      </c>
      <c r="AD237" s="44" t="str">
        <f t="shared" si="58"/>
        <v>Over</v>
      </c>
      <c r="AE237" s="44" t="str">
        <f>IFERROR(VLOOKUP(A237,'[1]Re-order'!$A:$AA,27,0),"")</f>
        <v>Over</v>
      </c>
      <c r="AF237" s="46">
        <f t="shared" si="59"/>
        <v>-4.9222222222222225</v>
      </c>
      <c r="AG237" s="46">
        <f>SUMIFS('[1]Raw Inventory'!D:D,'[1]Raw Inventory'!C:C,"GREATWALL",'[1]Raw Inventory'!B:B,A237)</f>
        <v>33</v>
      </c>
      <c r="AH237" s="46">
        <f>SUMIFS('[1]Raw Inventory'!D:D,'[1]Raw Inventory'!C:C,"DUARTE",'[1]Raw Inventory'!B:B,A237)</f>
        <v>0</v>
      </c>
      <c r="AI237" s="46"/>
      <c r="AJ237" s="46"/>
      <c r="AK237" s="43"/>
      <c r="AL237" s="43"/>
      <c r="AM237" s="43"/>
      <c r="AN237" s="43"/>
      <c r="AO237" s="43"/>
      <c r="AP237" s="43"/>
      <c r="AQ237" s="43"/>
      <c r="AR237" s="43"/>
      <c r="AS237" s="43"/>
      <c r="AT237" s="43"/>
    </row>
    <row r="238" spans="1:46">
      <c r="A238" s="43" t="s">
        <v>56</v>
      </c>
      <c r="B238" s="43" t="s">
        <v>98</v>
      </c>
      <c r="C238" s="43" t="s">
        <v>90</v>
      </c>
      <c r="D238" s="44" t="s">
        <v>235</v>
      </c>
      <c r="E238" s="44">
        <v>22</v>
      </c>
      <c r="F238" s="44" t="s">
        <v>3</v>
      </c>
      <c r="G238" s="43" t="str">
        <f>IFERROR(VLOOKUP(A238,'[1]MC Masterlist 2026-09-12'!$B:$M, 3, 0),"")</f>
        <v>HONDA</v>
      </c>
      <c r="H238" s="45">
        <f>IFERROR(VLOOKUP(A238,'[1]MC Masterlist 2026-09-12'!$B:$M, 6, 0),"")</f>
        <v>288118</v>
      </c>
      <c r="I238" s="46">
        <v>0</v>
      </c>
      <c r="J238" s="46">
        <v>0</v>
      </c>
      <c r="K238" s="46">
        <v>0</v>
      </c>
      <c r="L238" s="46">
        <f t="shared" si="45"/>
        <v>0</v>
      </c>
      <c r="M238" s="46">
        <f t="shared" si="46"/>
        <v>0</v>
      </c>
      <c r="N238" s="45">
        <f t="shared" si="47"/>
        <v>0</v>
      </c>
      <c r="O238" s="45">
        <f t="shared" si="48"/>
        <v>0</v>
      </c>
      <c r="P238" s="46">
        <f t="shared" si="49"/>
        <v>0</v>
      </c>
      <c r="Q238" s="46">
        <v>1</v>
      </c>
      <c r="R238" s="45">
        <f t="shared" si="50"/>
        <v>288118</v>
      </c>
      <c r="S238" s="46">
        <f t="shared" si="51"/>
        <v>0</v>
      </c>
      <c r="T238" s="46" t="str">
        <f>IFERROR(VLOOKUP(A238,'[1]Re-order'!$A:$Q,17,0),"")</f>
        <v/>
      </c>
      <c r="U238" s="46">
        <f>IFERROR(VLOOKUP(A238,'[1]MC Masterlist 2026-09-12'!$B:$M, 10, 0),0)</f>
        <v>15</v>
      </c>
      <c r="V238" s="46">
        <f>IFERROR(VLOOKUP(A238,'[1]MC Masterlist 2026-09-12'!$B:$M, 11, 0),0)</f>
        <v>15</v>
      </c>
      <c r="W238" s="46">
        <f t="shared" si="52"/>
        <v>30</v>
      </c>
      <c r="X238" s="46">
        <f t="shared" si="53"/>
        <v>30</v>
      </c>
      <c r="Y238" s="46">
        <f>IFERROR(IF(OR(C238="AREA I",C238="AREA V"),7,VLOOKUP(A238,'[1]MC Masterlist 2026-09-12'!$B:$M, 12, 0)),0)</f>
        <v>30</v>
      </c>
      <c r="Z238" s="46">
        <f t="shared" si="54"/>
        <v>0</v>
      </c>
      <c r="AA238" s="46">
        <f t="shared" si="55"/>
        <v>0</v>
      </c>
      <c r="AB238" s="46">
        <f t="shared" si="56"/>
        <v>0</v>
      </c>
      <c r="AC238" s="46">
        <f t="shared" si="57"/>
        <v>0</v>
      </c>
      <c r="AD238" s="44" t="str">
        <f t="shared" si="58"/>
        <v>Over</v>
      </c>
      <c r="AE238" s="44" t="str">
        <f>IFERROR(VLOOKUP(A238,'[1]Re-order'!$A:$AA,27,0),"")</f>
        <v>Over</v>
      </c>
      <c r="AF238" s="46">
        <f t="shared" si="59"/>
        <v>-1</v>
      </c>
      <c r="AG238" s="46">
        <f>SUMIFS('[1]Raw Inventory'!D:D,'[1]Raw Inventory'!C:C,"GREATWALL",'[1]Raw Inventory'!B:B,A238)</f>
        <v>0</v>
      </c>
      <c r="AH238" s="46">
        <f>SUMIFS('[1]Raw Inventory'!D:D,'[1]Raw Inventory'!C:C,"DUARTE",'[1]Raw Inventory'!B:B,A238)</f>
        <v>0</v>
      </c>
      <c r="AI238" s="46"/>
      <c r="AJ238" s="46"/>
      <c r="AK238" s="43"/>
      <c r="AL238" s="43"/>
      <c r="AM238" s="43"/>
      <c r="AN238" s="43"/>
      <c r="AO238" s="43"/>
      <c r="AP238" s="43"/>
      <c r="AQ238" s="43"/>
      <c r="AR238" s="43"/>
      <c r="AS238" s="43"/>
      <c r="AT238" s="43"/>
    </row>
    <row r="239" spans="1:46">
      <c r="A239" s="43" t="s">
        <v>49</v>
      </c>
      <c r="B239" s="43" t="s">
        <v>29</v>
      </c>
      <c r="C239" s="43" t="s">
        <v>1</v>
      </c>
      <c r="D239" s="44" t="s">
        <v>224</v>
      </c>
      <c r="E239" s="44">
        <v>11</v>
      </c>
      <c r="F239" s="44" t="s">
        <v>2</v>
      </c>
      <c r="G239" s="43" t="str">
        <f>IFERROR(VLOOKUP(A239,'[1]MC Masterlist 2026-09-12'!$B:$M, 3, 0),"")</f>
        <v>BAJAJ RE</v>
      </c>
      <c r="H239" s="45">
        <f>IFERROR(VLOOKUP(A239,'[1]MC Masterlist 2026-09-12'!$B:$M, 6, 0),"")</f>
        <v>191000</v>
      </c>
      <c r="I239" s="46">
        <v>1</v>
      </c>
      <c r="J239" s="46">
        <v>0</v>
      </c>
      <c r="K239" s="46">
        <v>2</v>
      </c>
      <c r="L239" s="46">
        <f t="shared" si="45"/>
        <v>3</v>
      </c>
      <c r="M239" s="46">
        <f t="shared" si="46"/>
        <v>1</v>
      </c>
      <c r="N239" s="45">
        <f t="shared" si="47"/>
        <v>573000</v>
      </c>
      <c r="O239" s="45">
        <f t="shared" si="48"/>
        <v>191000</v>
      </c>
      <c r="P239" s="46">
        <f t="shared" si="49"/>
        <v>3.3333333333333333E-2</v>
      </c>
      <c r="Q239" s="46"/>
      <c r="R239" s="45">
        <f t="shared" si="50"/>
        <v>0</v>
      </c>
      <c r="S239" s="46">
        <f t="shared" si="51"/>
        <v>0</v>
      </c>
      <c r="T239" s="46">
        <f>IFERROR(VLOOKUP(A239,'[1]Re-order'!$A:$Q,17,0),"")</f>
        <v>21.516709511568124</v>
      </c>
      <c r="U239" s="46">
        <f>IFERROR(VLOOKUP(A239,'[1]MC Masterlist 2026-09-12'!$B:$M, 10, 0),0)</f>
        <v>15</v>
      </c>
      <c r="V239" s="46">
        <f>IFERROR(VLOOKUP(A239,'[1]MC Masterlist 2026-09-12'!$B:$M, 11, 0),0)</f>
        <v>15</v>
      </c>
      <c r="W239" s="46">
        <f t="shared" si="52"/>
        <v>30</v>
      </c>
      <c r="X239" s="46">
        <f t="shared" si="53"/>
        <v>6.5</v>
      </c>
      <c r="Y239" s="46">
        <f>IFERROR(IF(OR(C239="AREA I",C239="AREA V"),7,VLOOKUP(A239,'[1]MC Masterlist 2026-09-12'!$B:$M, 12, 0)),0)</f>
        <v>7</v>
      </c>
      <c r="Z239" s="46">
        <f t="shared" si="54"/>
        <v>0.5</v>
      </c>
      <c r="AA239" s="46">
        <f t="shared" si="55"/>
        <v>1</v>
      </c>
      <c r="AB239" s="46">
        <f t="shared" si="56"/>
        <v>0.21666666666666667</v>
      </c>
      <c r="AC239" s="46">
        <f t="shared" si="57"/>
        <v>0.23333333333333334</v>
      </c>
      <c r="AD239" s="44" t="str">
        <f t="shared" si="58"/>
        <v>Stockout</v>
      </c>
      <c r="AE239" s="44" t="str">
        <f>IFERROR(VLOOKUP(A239,'[1]Re-order'!$A:$AA,27,0),"")</f>
        <v>Stockout</v>
      </c>
      <c r="AF239" s="46">
        <f t="shared" si="59"/>
        <v>0.23333333333333334</v>
      </c>
      <c r="AG239" s="46">
        <f>SUMIFS('[1]Raw Inventory'!D:D,'[1]Raw Inventory'!C:C,"GREATWALL",'[1]Raw Inventory'!B:B,A239)</f>
        <v>0</v>
      </c>
      <c r="AH239" s="46">
        <f>SUMIFS('[1]Raw Inventory'!D:D,'[1]Raw Inventory'!C:C,"DUARTE",'[1]Raw Inventory'!B:B,A239)</f>
        <v>0</v>
      </c>
      <c r="AI239" s="46"/>
      <c r="AJ239" s="46"/>
      <c r="AK239" s="43"/>
      <c r="AL239" s="43"/>
      <c r="AM239" s="43"/>
      <c r="AN239" s="43"/>
      <c r="AO239" s="43"/>
      <c r="AP239" s="43"/>
      <c r="AQ239" s="43"/>
      <c r="AR239" s="43"/>
      <c r="AS239" s="43"/>
      <c r="AT239" s="43"/>
    </row>
    <row r="240" spans="1:46">
      <c r="A240" s="43" t="s">
        <v>125</v>
      </c>
      <c r="B240" s="43" t="s">
        <v>5</v>
      </c>
      <c r="C240" s="43" t="s">
        <v>118</v>
      </c>
      <c r="D240" s="44" t="s">
        <v>239</v>
      </c>
      <c r="E240" s="44">
        <v>23</v>
      </c>
      <c r="F240" s="44" t="s">
        <v>3</v>
      </c>
      <c r="G240" s="43" t="str">
        <f>IFERROR(VLOOKUP(A240,'[1]MC Masterlist 2026-09-12'!$B:$M, 3, 0),"")</f>
        <v>SUZUKI</v>
      </c>
      <c r="H240" s="45">
        <f>IFERROR(VLOOKUP(A240,'[1]MC Masterlist 2026-09-12'!$B:$M, 6, 0),"")</f>
        <v>68177</v>
      </c>
      <c r="I240" s="46">
        <v>0</v>
      </c>
      <c r="J240" s="46">
        <v>0</v>
      </c>
      <c r="K240" s="46">
        <v>0</v>
      </c>
      <c r="L240" s="46">
        <f t="shared" si="45"/>
        <v>0</v>
      </c>
      <c r="M240" s="46">
        <f t="shared" si="46"/>
        <v>0</v>
      </c>
      <c r="N240" s="45">
        <f t="shared" si="47"/>
        <v>0</v>
      </c>
      <c r="O240" s="45">
        <f t="shared" si="48"/>
        <v>0</v>
      </c>
      <c r="P240" s="46">
        <f t="shared" si="49"/>
        <v>0</v>
      </c>
      <c r="Q240" s="46">
        <v>1</v>
      </c>
      <c r="R240" s="45">
        <f t="shared" si="50"/>
        <v>68177</v>
      </c>
      <c r="S240" s="46">
        <f t="shared" si="51"/>
        <v>0</v>
      </c>
      <c r="T240" s="46">
        <f>IFERROR(VLOOKUP(A240,'[1]Re-order'!$A:$Q,17,0),"")</f>
        <v>90.000000000000014</v>
      </c>
      <c r="U240" s="46">
        <f>IFERROR(VLOOKUP(A240,'[1]MC Masterlist 2026-09-12'!$B:$M, 10, 0),0)</f>
        <v>15</v>
      </c>
      <c r="V240" s="46">
        <f>IFERROR(VLOOKUP(A240,'[1]MC Masterlist 2026-09-12'!$B:$M, 11, 0),0)</f>
        <v>15</v>
      </c>
      <c r="W240" s="46">
        <f t="shared" si="52"/>
        <v>30</v>
      </c>
      <c r="X240" s="46">
        <f t="shared" si="53"/>
        <v>30</v>
      </c>
      <c r="Y240" s="46">
        <f>IFERROR(IF(OR(C240="AREA I",C240="AREA V"),7,VLOOKUP(A240,'[1]MC Masterlist 2026-09-12'!$B:$M, 12, 0)),0)</f>
        <v>30</v>
      </c>
      <c r="Z240" s="46">
        <f t="shared" si="54"/>
        <v>0</v>
      </c>
      <c r="AA240" s="46">
        <f t="shared" si="55"/>
        <v>0</v>
      </c>
      <c r="AB240" s="46">
        <f t="shared" si="56"/>
        <v>0</v>
      </c>
      <c r="AC240" s="46">
        <f t="shared" si="57"/>
        <v>0</v>
      </c>
      <c r="AD240" s="44" t="str">
        <f t="shared" si="58"/>
        <v>Over</v>
      </c>
      <c r="AE240" s="44" t="str">
        <f>IFERROR(VLOOKUP(A240,'[1]Re-order'!$A:$AA,27,0),"")</f>
        <v/>
      </c>
      <c r="AF240" s="46">
        <f t="shared" si="59"/>
        <v>-1</v>
      </c>
      <c r="AG240" s="46">
        <f>SUMIFS('[1]Raw Inventory'!D:D,'[1]Raw Inventory'!C:C,"GREATWALL",'[1]Raw Inventory'!B:B,A240)</f>
        <v>0</v>
      </c>
      <c r="AH240" s="46">
        <f>SUMIFS('[1]Raw Inventory'!D:D,'[1]Raw Inventory'!C:C,"DUARTE",'[1]Raw Inventory'!B:B,A240)</f>
        <v>0</v>
      </c>
      <c r="AI240" s="46"/>
      <c r="AJ240" s="46"/>
      <c r="AK240" s="43"/>
      <c r="AL240" s="43"/>
      <c r="AM240" s="43"/>
      <c r="AN240" s="43"/>
      <c r="AO240" s="43"/>
      <c r="AP240" s="43"/>
      <c r="AQ240" s="43"/>
      <c r="AR240" s="43"/>
      <c r="AS240" s="43"/>
      <c r="AT240" s="43"/>
    </row>
    <row r="241" spans="1:46">
      <c r="A241" s="43" t="s">
        <v>37</v>
      </c>
      <c r="B241" s="43" t="s">
        <v>98</v>
      </c>
      <c r="C241" s="43" t="s">
        <v>90</v>
      </c>
      <c r="D241" s="44" t="s">
        <v>259</v>
      </c>
      <c r="E241" s="44">
        <v>5</v>
      </c>
      <c r="F241" s="44" t="s">
        <v>0</v>
      </c>
      <c r="G241" s="43" t="str">
        <f>IFERROR(VLOOKUP(A241,'[1]MC Masterlist 2026-09-12'!$B:$M, 3, 0),"")</f>
        <v>HONDA</v>
      </c>
      <c r="H241" s="45">
        <f>IFERROR(VLOOKUP(A241,'[1]MC Masterlist 2026-09-12'!$B:$M, 6, 0),"")</f>
        <v>74550</v>
      </c>
      <c r="I241" s="46">
        <v>1</v>
      </c>
      <c r="J241" s="46">
        <v>3</v>
      </c>
      <c r="K241" s="46">
        <v>3</v>
      </c>
      <c r="L241" s="46">
        <f t="shared" si="45"/>
        <v>7</v>
      </c>
      <c r="M241" s="46">
        <f t="shared" si="46"/>
        <v>2.3333333333333335</v>
      </c>
      <c r="N241" s="45">
        <f t="shared" si="47"/>
        <v>521850</v>
      </c>
      <c r="O241" s="45">
        <f t="shared" si="48"/>
        <v>173950</v>
      </c>
      <c r="P241" s="46">
        <f t="shared" si="49"/>
        <v>7.7777777777777779E-2</v>
      </c>
      <c r="Q241" s="46">
        <v>3</v>
      </c>
      <c r="R241" s="45">
        <f t="shared" si="50"/>
        <v>223650</v>
      </c>
      <c r="S241" s="46">
        <f t="shared" si="51"/>
        <v>38.571428571428577</v>
      </c>
      <c r="T241" s="46">
        <f>IFERROR(VLOOKUP(A241,'[1]Re-order'!$A:$Q,17,0),"")</f>
        <v>33.652173913043477</v>
      </c>
      <c r="U241" s="46">
        <f>IFERROR(VLOOKUP(A241,'[1]MC Masterlist 2026-09-12'!$B:$M, 10, 0),0)</f>
        <v>15</v>
      </c>
      <c r="V241" s="46">
        <f>IFERROR(VLOOKUP(A241,'[1]MC Masterlist 2026-09-12'!$B:$M, 11, 0),0)</f>
        <v>15</v>
      </c>
      <c r="W241" s="46">
        <f t="shared" si="52"/>
        <v>30</v>
      </c>
      <c r="X241" s="46">
        <f t="shared" si="53"/>
        <v>28.833333333333332</v>
      </c>
      <c r="Y241" s="46">
        <f>IFERROR(IF(OR(C241="AREA I",C241="AREA V"),7,VLOOKUP(A241,'[1]MC Masterlist 2026-09-12'!$B:$M, 12, 0)),0)</f>
        <v>30</v>
      </c>
      <c r="Z241" s="46">
        <f t="shared" si="54"/>
        <v>1.1666666666666667</v>
      </c>
      <c r="AA241" s="46">
        <f t="shared" si="55"/>
        <v>2.3333333333333335</v>
      </c>
      <c r="AB241" s="46">
        <f t="shared" si="56"/>
        <v>2.2425925925925925</v>
      </c>
      <c r="AC241" s="46">
        <f t="shared" si="57"/>
        <v>2.3333333333333335</v>
      </c>
      <c r="AD241" s="44" t="str">
        <f t="shared" si="58"/>
        <v>Over</v>
      </c>
      <c r="AE241" s="44" t="str">
        <f>IFERROR(VLOOKUP(A241,'[1]Re-order'!$A:$AA,27,0),"")</f>
        <v>Re-order</v>
      </c>
      <c r="AF241" s="46">
        <f t="shared" si="59"/>
        <v>-0.66666666666666652</v>
      </c>
      <c r="AG241" s="46">
        <f>SUMIFS('[1]Raw Inventory'!D:D,'[1]Raw Inventory'!C:C,"GREATWALL",'[1]Raw Inventory'!B:B,A241)</f>
        <v>28</v>
      </c>
      <c r="AH241" s="46">
        <f>SUMIFS('[1]Raw Inventory'!D:D,'[1]Raw Inventory'!C:C,"DUARTE",'[1]Raw Inventory'!B:B,A241)</f>
        <v>0</v>
      </c>
      <c r="AI241" s="46"/>
      <c r="AJ241" s="46"/>
      <c r="AK241" s="43"/>
      <c r="AL241" s="43"/>
      <c r="AM241" s="43"/>
      <c r="AN241" s="43"/>
      <c r="AO241" s="43"/>
      <c r="AP241" s="43"/>
      <c r="AQ241" s="43"/>
      <c r="AR241" s="43"/>
      <c r="AS241" s="43"/>
      <c r="AT241" s="43"/>
    </row>
    <row r="242" spans="1:46">
      <c r="A242" s="43" t="s">
        <v>80</v>
      </c>
      <c r="B242" s="43" t="s">
        <v>143</v>
      </c>
      <c r="C242" s="43" t="s">
        <v>137</v>
      </c>
      <c r="D242" s="44" t="s">
        <v>272</v>
      </c>
      <c r="E242" s="44">
        <v>26</v>
      </c>
      <c r="F242" s="44" t="s">
        <v>3</v>
      </c>
      <c r="G242" s="43" t="str">
        <f>IFERROR(VLOOKUP(A242,'[1]MC Masterlist 2026-09-12'!$B:$M, 3, 0),"")</f>
        <v>YAMAHA</v>
      </c>
      <c r="H242" s="45">
        <f>IFERROR(VLOOKUP(A242,'[1]MC Masterlist 2026-09-12'!$B:$M, 6, 0),"")</f>
        <v>73842</v>
      </c>
      <c r="I242" s="46">
        <v>0</v>
      </c>
      <c r="J242" s="46">
        <v>0</v>
      </c>
      <c r="K242" s="46">
        <v>0</v>
      </c>
      <c r="L242" s="46">
        <f t="shared" si="45"/>
        <v>0</v>
      </c>
      <c r="M242" s="46">
        <f t="shared" si="46"/>
        <v>0</v>
      </c>
      <c r="N242" s="45">
        <f t="shared" si="47"/>
        <v>0</v>
      </c>
      <c r="O242" s="45">
        <f t="shared" si="48"/>
        <v>0</v>
      </c>
      <c r="P242" s="46">
        <f t="shared" si="49"/>
        <v>0</v>
      </c>
      <c r="Q242" s="46">
        <v>3</v>
      </c>
      <c r="R242" s="45">
        <f t="shared" si="50"/>
        <v>221526</v>
      </c>
      <c r="S242" s="46">
        <f t="shared" si="51"/>
        <v>0</v>
      </c>
      <c r="T242" s="46">
        <f>IFERROR(VLOOKUP(A242,'[1]Re-order'!$A:$Q,17,0),"")</f>
        <v>67.5</v>
      </c>
      <c r="U242" s="46">
        <f>IFERROR(VLOOKUP(A242,'[1]MC Masterlist 2026-09-12'!$B:$M, 10, 0),0)</f>
        <v>15</v>
      </c>
      <c r="V242" s="46">
        <f>IFERROR(VLOOKUP(A242,'[1]MC Masterlist 2026-09-12'!$B:$M, 11, 0),0)</f>
        <v>15</v>
      </c>
      <c r="W242" s="46">
        <f t="shared" si="52"/>
        <v>30</v>
      </c>
      <c r="X242" s="46">
        <f t="shared" si="53"/>
        <v>7</v>
      </c>
      <c r="Y242" s="46">
        <f>IFERROR(IF(OR(C242="AREA I",C242="AREA V"),7,VLOOKUP(A242,'[1]MC Masterlist 2026-09-12'!$B:$M, 12, 0)),0)</f>
        <v>7</v>
      </c>
      <c r="Z242" s="46">
        <f t="shared" si="54"/>
        <v>0</v>
      </c>
      <c r="AA242" s="46">
        <f t="shared" si="55"/>
        <v>0</v>
      </c>
      <c r="AB242" s="46">
        <f t="shared" si="56"/>
        <v>0</v>
      </c>
      <c r="AC242" s="46">
        <f t="shared" si="57"/>
        <v>0</v>
      </c>
      <c r="AD242" s="44" t="str">
        <f t="shared" si="58"/>
        <v>Over</v>
      </c>
      <c r="AE242" s="44" t="str">
        <f>IFERROR(VLOOKUP(A242,'[1]Re-order'!$A:$AA,27,0),"")</f>
        <v>Re-order</v>
      </c>
      <c r="AF242" s="46">
        <f t="shared" si="59"/>
        <v>-3</v>
      </c>
      <c r="AG242" s="46">
        <f>SUMIFS('[1]Raw Inventory'!D:D,'[1]Raw Inventory'!C:C,"GREATWALL",'[1]Raw Inventory'!B:B,A242)</f>
        <v>0</v>
      </c>
      <c r="AH242" s="46">
        <f>SUMIFS('[1]Raw Inventory'!D:D,'[1]Raw Inventory'!C:C,"DUARTE",'[1]Raw Inventory'!B:B,A242)</f>
        <v>0</v>
      </c>
      <c r="AI242" s="46"/>
      <c r="AJ242" s="46"/>
      <c r="AK242" s="43"/>
      <c r="AL242" s="43"/>
      <c r="AM242" s="43"/>
      <c r="AN242" s="43"/>
      <c r="AO242" s="43"/>
      <c r="AP242" s="43"/>
      <c r="AQ242" s="43"/>
      <c r="AR242" s="43"/>
      <c r="AS242" s="43"/>
      <c r="AT242" s="43"/>
    </row>
    <row r="243" spans="1:46">
      <c r="A243" s="43" t="s">
        <v>44</v>
      </c>
      <c r="B243" s="43" t="s">
        <v>92</v>
      </c>
      <c r="C243" s="43" t="s">
        <v>90</v>
      </c>
      <c r="D243" s="44" t="s">
        <v>240</v>
      </c>
      <c r="E243" s="44">
        <v>12</v>
      </c>
      <c r="F243" s="44" t="s">
        <v>2</v>
      </c>
      <c r="G243" s="43" t="str">
        <f>IFERROR(VLOOKUP(A243,'[1]MC Masterlist 2026-09-12'!$B:$M, 3, 0),"")</f>
        <v>YAMAHA</v>
      </c>
      <c r="H243" s="45">
        <f>IFERROR(VLOOKUP(A243,'[1]MC Masterlist 2026-09-12'!$B:$M, 6, 0),"")</f>
        <v>165912</v>
      </c>
      <c r="I243" s="46">
        <v>0</v>
      </c>
      <c r="J243" s="46">
        <v>0</v>
      </c>
      <c r="K243" s="46">
        <v>1</v>
      </c>
      <c r="L243" s="46">
        <f t="shared" si="45"/>
        <v>1</v>
      </c>
      <c r="M243" s="46">
        <f t="shared" si="46"/>
        <v>0.33333333333333331</v>
      </c>
      <c r="N243" s="45">
        <f t="shared" si="47"/>
        <v>165912</v>
      </c>
      <c r="O243" s="45">
        <f t="shared" si="48"/>
        <v>55304</v>
      </c>
      <c r="P243" s="46">
        <f t="shared" si="49"/>
        <v>1.111111111111111E-2</v>
      </c>
      <c r="Q243" s="46"/>
      <c r="R243" s="45">
        <f t="shared" si="50"/>
        <v>0</v>
      </c>
      <c r="S243" s="46">
        <f t="shared" si="51"/>
        <v>0</v>
      </c>
      <c r="T243" s="46">
        <f>IFERROR(VLOOKUP(A243,'[1]Re-order'!$A:$Q,17,0),"")</f>
        <v>10.588235294117649</v>
      </c>
      <c r="U243" s="46">
        <f>IFERROR(VLOOKUP(A243,'[1]MC Masterlist 2026-09-12'!$B:$M, 10, 0),0)</f>
        <v>15</v>
      </c>
      <c r="V243" s="46">
        <f>IFERROR(VLOOKUP(A243,'[1]MC Masterlist 2026-09-12'!$B:$M, 11, 0),0)</f>
        <v>15</v>
      </c>
      <c r="W243" s="46">
        <f t="shared" si="52"/>
        <v>30</v>
      </c>
      <c r="X243" s="46">
        <f t="shared" si="53"/>
        <v>29.833333333333332</v>
      </c>
      <c r="Y243" s="46">
        <f>IFERROR(IF(OR(C243="AREA I",C243="AREA V"),7,VLOOKUP(A243,'[1]MC Masterlist 2026-09-12'!$B:$M, 12, 0)),0)</f>
        <v>30</v>
      </c>
      <c r="Z243" s="46">
        <f t="shared" si="54"/>
        <v>0.16666666666666666</v>
      </c>
      <c r="AA243" s="46">
        <f t="shared" si="55"/>
        <v>0.33333333333333331</v>
      </c>
      <c r="AB243" s="46">
        <f t="shared" si="56"/>
        <v>0.33148148148148143</v>
      </c>
      <c r="AC243" s="46">
        <f t="shared" si="57"/>
        <v>0.33333333333333331</v>
      </c>
      <c r="AD243" s="44" t="str">
        <f t="shared" si="58"/>
        <v>Stockout</v>
      </c>
      <c r="AE243" s="44" t="str">
        <f>IFERROR(VLOOKUP(A243,'[1]Re-order'!$A:$AA,27,0),"")</f>
        <v>Stockout</v>
      </c>
      <c r="AF243" s="46">
        <f t="shared" si="59"/>
        <v>0.33333333333333331</v>
      </c>
      <c r="AG243" s="46">
        <f>SUMIFS('[1]Raw Inventory'!D:D,'[1]Raw Inventory'!C:C,"GREATWALL",'[1]Raw Inventory'!B:B,A243)</f>
        <v>0</v>
      </c>
      <c r="AH243" s="46">
        <f>SUMIFS('[1]Raw Inventory'!D:D,'[1]Raw Inventory'!C:C,"DUARTE",'[1]Raw Inventory'!B:B,A243)</f>
        <v>0</v>
      </c>
      <c r="AI243" s="46"/>
      <c r="AJ243" s="46"/>
      <c r="AK243" s="43"/>
      <c r="AL243" s="43"/>
      <c r="AM243" s="43"/>
      <c r="AN243" s="43"/>
      <c r="AO243" s="43"/>
      <c r="AP243" s="43"/>
      <c r="AQ243" s="43"/>
      <c r="AR243" s="43"/>
      <c r="AS243" s="43"/>
      <c r="AT243" s="43"/>
    </row>
    <row r="244" spans="1:46">
      <c r="A244" s="43" t="s">
        <v>16</v>
      </c>
      <c r="B244" s="43" t="s">
        <v>98</v>
      </c>
      <c r="C244" s="43" t="s">
        <v>90</v>
      </c>
      <c r="D244" s="44" t="s">
        <v>241</v>
      </c>
      <c r="E244" s="44">
        <v>20</v>
      </c>
      <c r="F244" s="44" t="s">
        <v>3</v>
      </c>
      <c r="G244" s="43" t="str">
        <f>IFERROR(VLOOKUP(A244,'[1]MC Masterlist 2026-09-12'!$B:$M, 3, 0),"")</f>
        <v>HONDA</v>
      </c>
      <c r="H244" s="45">
        <f>IFERROR(VLOOKUP(A244,'[1]MC Masterlist 2026-09-12'!$B:$M, 6, 0),"")</f>
        <v>84394</v>
      </c>
      <c r="I244" s="46">
        <v>1</v>
      </c>
      <c r="J244" s="46">
        <v>0</v>
      </c>
      <c r="K244" s="46">
        <v>0</v>
      </c>
      <c r="L244" s="46">
        <f t="shared" si="45"/>
        <v>1</v>
      </c>
      <c r="M244" s="46">
        <f t="shared" si="46"/>
        <v>0.33333333333333331</v>
      </c>
      <c r="N244" s="45">
        <f t="shared" si="47"/>
        <v>84394</v>
      </c>
      <c r="O244" s="45">
        <f t="shared" si="48"/>
        <v>28131.333333333332</v>
      </c>
      <c r="P244" s="46">
        <f t="shared" si="49"/>
        <v>1.111111111111111E-2</v>
      </c>
      <c r="Q244" s="46">
        <v>2</v>
      </c>
      <c r="R244" s="45">
        <f t="shared" si="50"/>
        <v>168788</v>
      </c>
      <c r="S244" s="46">
        <f t="shared" si="51"/>
        <v>180</v>
      </c>
      <c r="T244" s="46">
        <f>IFERROR(VLOOKUP(A244,'[1]Re-order'!$A:$Q,17,0),"")</f>
        <v>26.332665330661321</v>
      </c>
      <c r="U244" s="46">
        <f>IFERROR(VLOOKUP(A244,'[1]MC Masterlist 2026-09-12'!$B:$M, 10, 0),0)</f>
        <v>15</v>
      </c>
      <c r="V244" s="46">
        <f>IFERROR(VLOOKUP(A244,'[1]MC Masterlist 2026-09-12'!$B:$M, 11, 0),0)</f>
        <v>15</v>
      </c>
      <c r="W244" s="46">
        <f t="shared" si="52"/>
        <v>30</v>
      </c>
      <c r="X244" s="46">
        <f t="shared" si="53"/>
        <v>29.833333333333332</v>
      </c>
      <c r="Y244" s="46">
        <f>IFERROR(IF(OR(C244="AREA I",C244="AREA V"),7,VLOOKUP(A244,'[1]MC Masterlist 2026-09-12'!$B:$M, 12, 0)),0)</f>
        <v>30</v>
      </c>
      <c r="Z244" s="46">
        <f t="shared" si="54"/>
        <v>0.16666666666666666</v>
      </c>
      <c r="AA244" s="46">
        <f t="shared" si="55"/>
        <v>0.33333333333333331</v>
      </c>
      <c r="AB244" s="46">
        <f t="shared" si="56"/>
        <v>0.33148148148148143</v>
      </c>
      <c r="AC244" s="46">
        <f t="shared" si="57"/>
        <v>0.33333333333333331</v>
      </c>
      <c r="AD244" s="44" t="str">
        <f t="shared" si="58"/>
        <v>Over</v>
      </c>
      <c r="AE244" s="44" t="str">
        <f>IFERROR(VLOOKUP(A244,'[1]Re-order'!$A:$AA,27,0),"")</f>
        <v>Stockout</v>
      </c>
      <c r="AF244" s="46">
        <f t="shared" si="59"/>
        <v>-1.6666666666666667</v>
      </c>
      <c r="AG244" s="46">
        <f>SUMIFS('[1]Raw Inventory'!D:D,'[1]Raw Inventory'!C:C,"GREATWALL",'[1]Raw Inventory'!B:B,A244)</f>
        <v>58</v>
      </c>
      <c r="AH244" s="46">
        <f>SUMIFS('[1]Raw Inventory'!D:D,'[1]Raw Inventory'!C:C,"DUARTE",'[1]Raw Inventory'!B:B,A244)</f>
        <v>0</v>
      </c>
      <c r="AI244" s="46"/>
      <c r="AJ244" s="46"/>
      <c r="AK244" s="43"/>
      <c r="AL244" s="43"/>
      <c r="AM244" s="43"/>
      <c r="AN244" s="43"/>
      <c r="AO244" s="43"/>
      <c r="AP244" s="43"/>
      <c r="AQ244" s="43"/>
      <c r="AR244" s="43"/>
      <c r="AS244" s="43"/>
      <c r="AT244" s="43"/>
    </row>
    <row r="245" spans="1:46">
      <c r="A245" s="43" t="s">
        <v>42</v>
      </c>
      <c r="B245" s="43" t="s">
        <v>5</v>
      </c>
      <c r="C245" s="43" t="s">
        <v>118</v>
      </c>
      <c r="D245" s="44" t="s">
        <v>242</v>
      </c>
      <c r="E245" s="44">
        <v>23</v>
      </c>
      <c r="F245" s="44" t="s">
        <v>3</v>
      </c>
      <c r="G245" s="43" t="str">
        <f>IFERROR(VLOOKUP(A245,'[1]MC Masterlist 2026-09-12'!$B:$M, 3, 0),"")</f>
        <v>YAMAHA</v>
      </c>
      <c r="H245" s="45">
        <f>IFERROR(VLOOKUP(A245,'[1]MC Masterlist 2026-09-12'!$B:$M, 6, 0),"")</f>
        <v>152892</v>
      </c>
      <c r="I245" s="46">
        <v>0</v>
      </c>
      <c r="J245" s="46">
        <v>0</v>
      </c>
      <c r="K245" s="46">
        <v>0</v>
      </c>
      <c r="L245" s="46">
        <f t="shared" si="45"/>
        <v>0</v>
      </c>
      <c r="M245" s="46">
        <f t="shared" si="46"/>
        <v>0</v>
      </c>
      <c r="N245" s="45">
        <f t="shared" si="47"/>
        <v>0</v>
      </c>
      <c r="O245" s="45">
        <f t="shared" si="48"/>
        <v>0</v>
      </c>
      <c r="P245" s="46">
        <f t="shared" si="49"/>
        <v>0</v>
      </c>
      <c r="Q245" s="46">
        <v>1</v>
      </c>
      <c r="R245" s="45">
        <f t="shared" si="50"/>
        <v>152892</v>
      </c>
      <c r="S245" s="46">
        <f t="shared" si="51"/>
        <v>0</v>
      </c>
      <c r="T245" s="46">
        <f>IFERROR(VLOOKUP(A245,'[1]Re-order'!$A:$Q,17,0),"")</f>
        <v>104.55882352941177</v>
      </c>
      <c r="U245" s="46">
        <f>IFERROR(VLOOKUP(A245,'[1]MC Masterlist 2026-09-12'!$B:$M, 10, 0),0)</f>
        <v>15</v>
      </c>
      <c r="V245" s="46">
        <f>IFERROR(VLOOKUP(A245,'[1]MC Masterlist 2026-09-12'!$B:$M, 11, 0),0)</f>
        <v>15</v>
      </c>
      <c r="W245" s="46">
        <f t="shared" si="52"/>
        <v>30</v>
      </c>
      <c r="X245" s="46">
        <f t="shared" si="53"/>
        <v>30</v>
      </c>
      <c r="Y245" s="46">
        <f>IFERROR(IF(OR(C245="AREA I",C245="AREA V"),7,VLOOKUP(A245,'[1]MC Masterlist 2026-09-12'!$B:$M, 12, 0)),0)</f>
        <v>30</v>
      </c>
      <c r="Z245" s="46">
        <f t="shared" si="54"/>
        <v>0</v>
      </c>
      <c r="AA245" s="46">
        <f t="shared" si="55"/>
        <v>0</v>
      </c>
      <c r="AB245" s="46">
        <f t="shared" si="56"/>
        <v>0</v>
      </c>
      <c r="AC245" s="46">
        <f t="shared" si="57"/>
        <v>0</v>
      </c>
      <c r="AD245" s="44" t="str">
        <f t="shared" si="58"/>
        <v>Over</v>
      </c>
      <c r="AE245" s="44" t="str">
        <f>IFERROR(VLOOKUP(A245,'[1]Re-order'!$A:$AA,27,0),"")</f>
        <v>Over</v>
      </c>
      <c r="AF245" s="46">
        <f t="shared" si="59"/>
        <v>-1</v>
      </c>
      <c r="AG245" s="46">
        <f>SUMIFS('[1]Raw Inventory'!D:D,'[1]Raw Inventory'!C:C,"GREATWALL",'[1]Raw Inventory'!B:B,A245)</f>
        <v>3</v>
      </c>
      <c r="AH245" s="46">
        <f>SUMIFS('[1]Raw Inventory'!D:D,'[1]Raw Inventory'!C:C,"DUARTE",'[1]Raw Inventory'!B:B,A245)</f>
        <v>0</v>
      </c>
      <c r="AI245" s="46"/>
      <c r="AJ245" s="46"/>
      <c r="AK245" s="43"/>
      <c r="AL245" s="43"/>
      <c r="AM245" s="43"/>
      <c r="AN245" s="43"/>
      <c r="AO245" s="43"/>
      <c r="AP245" s="43"/>
      <c r="AQ245" s="43"/>
      <c r="AR245" s="43"/>
      <c r="AS245" s="43"/>
      <c r="AT245" s="43"/>
    </row>
    <row r="246" spans="1:46">
      <c r="A246" s="43" t="s">
        <v>54</v>
      </c>
      <c r="B246" s="43" t="s">
        <v>94</v>
      </c>
      <c r="C246" s="43" t="s">
        <v>90</v>
      </c>
      <c r="D246" s="44" t="s">
        <v>221</v>
      </c>
      <c r="E246" s="44">
        <v>25</v>
      </c>
      <c r="F246" s="44" t="s">
        <v>3</v>
      </c>
      <c r="G246" s="43" t="str">
        <f>IFERROR(VLOOKUP(A246,'[1]MC Masterlist 2026-09-12'!$B:$M, 3, 0),"")</f>
        <v>HONDA</v>
      </c>
      <c r="H246" s="45">
        <f>IFERROR(VLOOKUP(A246,'[1]MC Masterlist 2026-09-12'!$B:$M, 6, 0),"")</f>
        <v>70998</v>
      </c>
      <c r="I246" s="46">
        <v>1</v>
      </c>
      <c r="J246" s="46">
        <v>0</v>
      </c>
      <c r="K246" s="46">
        <v>0</v>
      </c>
      <c r="L246" s="46">
        <f t="shared" si="45"/>
        <v>1</v>
      </c>
      <c r="M246" s="46">
        <f t="shared" si="46"/>
        <v>0.33333333333333331</v>
      </c>
      <c r="N246" s="45">
        <f t="shared" si="47"/>
        <v>70998</v>
      </c>
      <c r="O246" s="45">
        <f t="shared" si="48"/>
        <v>23666</v>
      </c>
      <c r="P246" s="46">
        <f t="shared" si="49"/>
        <v>1.111111111111111E-2</v>
      </c>
      <c r="Q246" s="46"/>
      <c r="R246" s="45">
        <f t="shared" si="50"/>
        <v>0</v>
      </c>
      <c r="S246" s="46">
        <f t="shared" si="51"/>
        <v>0</v>
      </c>
      <c r="T246" s="46">
        <f>IFERROR(VLOOKUP(A246,'[1]Re-order'!$A:$Q,17,0),"")</f>
        <v>114.54545454545455</v>
      </c>
      <c r="U246" s="46">
        <f>IFERROR(VLOOKUP(A246,'[1]MC Masterlist 2026-09-12'!$B:$M, 10, 0),0)</f>
        <v>15</v>
      </c>
      <c r="V246" s="46">
        <f>IFERROR(VLOOKUP(A246,'[1]MC Masterlist 2026-09-12'!$B:$M, 11, 0),0)</f>
        <v>15</v>
      </c>
      <c r="W246" s="46">
        <f t="shared" si="52"/>
        <v>30</v>
      </c>
      <c r="X246" s="46">
        <f t="shared" si="53"/>
        <v>29.833333333333332</v>
      </c>
      <c r="Y246" s="46">
        <f>IFERROR(IF(OR(C246="AREA I",C246="AREA V"),7,VLOOKUP(A246,'[1]MC Masterlist 2026-09-12'!$B:$M, 12, 0)),0)</f>
        <v>30</v>
      </c>
      <c r="Z246" s="46">
        <f t="shared" si="54"/>
        <v>0.16666666666666666</v>
      </c>
      <c r="AA246" s="46">
        <f t="shared" si="55"/>
        <v>0.33333333333333331</v>
      </c>
      <c r="AB246" s="46">
        <f t="shared" si="56"/>
        <v>0.33148148148148143</v>
      </c>
      <c r="AC246" s="46">
        <f t="shared" si="57"/>
        <v>0.33333333333333331</v>
      </c>
      <c r="AD246" s="44" t="str">
        <f t="shared" si="58"/>
        <v>Stockout</v>
      </c>
      <c r="AE246" s="44" t="str">
        <f>IFERROR(VLOOKUP(A246,'[1]Re-order'!$A:$AA,27,0),"")</f>
        <v>Over</v>
      </c>
      <c r="AF246" s="46">
        <f t="shared" si="59"/>
        <v>0.33333333333333331</v>
      </c>
      <c r="AG246" s="46">
        <f>SUMIFS('[1]Raw Inventory'!D:D,'[1]Raw Inventory'!C:C,"GREATWALL",'[1]Raw Inventory'!B:B,A246)</f>
        <v>0</v>
      </c>
      <c r="AH246" s="46">
        <f>SUMIFS('[1]Raw Inventory'!D:D,'[1]Raw Inventory'!C:C,"DUARTE",'[1]Raw Inventory'!B:B,A246)</f>
        <v>0</v>
      </c>
      <c r="AI246" s="46"/>
      <c r="AJ246" s="46"/>
      <c r="AK246" s="43"/>
      <c r="AL246" s="43"/>
      <c r="AM246" s="43"/>
      <c r="AN246" s="43"/>
      <c r="AO246" s="43"/>
      <c r="AP246" s="43"/>
      <c r="AQ246" s="43"/>
      <c r="AR246" s="43"/>
      <c r="AS246" s="43"/>
      <c r="AT246" s="43"/>
    </row>
    <row r="247" spans="1:46">
      <c r="A247" s="43" t="s">
        <v>24</v>
      </c>
      <c r="B247" s="43" t="s">
        <v>94</v>
      </c>
      <c r="C247" s="43" t="s">
        <v>90</v>
      </c>
      <c r="D247" s="44" t="s">
        <v>255</v>
      </c>
      <c r="E247" s="44">
        <v>13</v>
      </c>
      <c r="F247" s="44" t="s">
        <v>2</v>
      </c>
      <c r="G247" s="43" t="str">
        <f>IFERROR(VLOOKUP(A247,'[1]MC Masterlist 2026-09-12'!$B:$M, 3, 0),"")</f>
        <v>KAWASAKI</v>
      </c>
      <c r="H247" s="45">
        <f>IFERROR(VLOOKUP(A247,'[1]MC Masterlist 2026-09-12'!$B:$M, 6, 0),"")</f>
        <v>131626</v>
      </c>
      <c r="I247" s="46">
        <v>1</v>
      </c>
      <c r="J247" s="46">
        <v>0</v>
      </c>
      <c r="K247" s="46">
        <v>0</v>
      </c>
      <c r="L247" s="46">
        <f t="shared" si="45"/>
        <v>1</v>
      </c>
      <c r="M247" s="46">
        <f t="shared" si="46"/>
        <v>0.33333333333333331</v>
      </c>
      <c r="N247" s="45">
        <f t="shared" si="47"/>
        <v>131626</v>
      </c>
      <c r="O247" s="45">
        <f t="shared" si="48"/>
        <v>43875.333333333328</v>
      </c>
      <c r="P247" s="46">
        <f t="shared" si="49"/>
        <v>1.111111111111111E-2</v>
      </c>
      <c r="Q247" s="46"/>
      <c r="R247" s="45">
        <f t="shared" si="50"/>
        <v>0</v>
      </c>
      <c r="S247" s="46">
        <f t="shared" si="51"/>
        <v>0</v>
      </c>
      <c r="T247" s="46">
        <f>IFERROR(VLOOKUP(A247,'[1]Re-order'!$A:$Q,17,0),"")</f>
        <v>40.677966101694913</v>
      </c>
      <c r="U247" s="46">
        <f>IFERROR(VLOOKUP(A247,'[1]MC Masterlist 2026-09-12'!$B:$M, 10, 0),0)</f>
        <v>15</v>
      </c>
      <c r="V247" s="46">
        <f>IFERROR(VLOOKUP(A247,'[1]MC Masterlist 2026-09-12'!$B:$M, 11, 0),0)</f>
        <v>15</v>
      </c>
      <c r="W247" s="46">
        <f t="shared" si="52"/>
        <v>30</v>
      </c>
      <c r="X247" s="46">
        <f t="shared" si="53"/>
        <v>29.833333333333332</v>
      </c>
      <c r="Y247" s="46">
        <f>IFERROR(IF(OR(C247="AREA I",C247="AREA V"),7,VLOOKUP(A247,'[1]MC Masterlist 2026-09-12'!$B:$M, 12, 0)),0)</f>
        <v>30</v>
      </c>
      <c r="Z247" s="46">
        <f t="shared" si="54"/>
        <v>0.16666666666666666</v>
      </c>
      <c r="AA247" s="46">
        <f t="shared" si="55"/>
        <v>0.33333333333333331</v>
      </c>
      <c r="AB247" s="46">
        <f t="shared" si="56"/>
        <v>0.33148148148148143</v>
      </c>
      <c r="AC247" s="46">
        <f t="shared" si="57"/>
        <v>0.33333333333333331</v>
      </c>
      <c r="AD247" s="44" t="str">
        <f t="shared" si="58"/>
        <v>Stockout</v>
      </c>
      <c r="AE247" s="44" t="str">
        <f>IFERROR(VLOOKUP(A247,'[1]Re-order'!$A:$AA,27,0),"")</f>
        <v>Re-order</v>
      </c>
      <c r="AF247" s="46">
        <f t="shared" si="59"/>
        <v>0.33333333333333331</v>
      </c>
      <c r="AG247" s="46">
        <f>SUMIFS('[1]Raw Inventory'!D:D,'[1]Raw Inventory'!C:C,"GREATWALL",'[1]Raw Inventory'!B:B,A247)</f>
        <v>12</v>
      </c>
      <c r="AH247" s="46">
        <f>SUMIFS('[1]Raw Inventory'!D:D,'[1]Raw Inventory'!C:C,"DUARTE",'[1]Raw Inventory'!B:B,A247)</f>
        <v>0</v>
      </c>
      <c r="AI247" s="46"/>
      <c r="AJ247" s="46"/>
      <c r="AK247" s="43"/>
      <c r="AL247" s="43"/>
      <c r="AM247" s="43"/>
      <c r="AN247" s="43"/>
      <c r="AO247" s="43"/>
      <c r="AP247" s="43"/>
      <c r="AQ247" s="43"/>
      <c r="AR247" s="43"/>
      <c r="AS247" s="43"/>
      <c r="AT247" s="43"/>
    </row>
    <row r="248" spans="1:46">
      <c r="A248" s="43" t="s">
        <v>70</v>
      </c>
      <c r="B248" s="43" t="s">
        <v>138</v>
      </c>
      <c r="C248" s="43" t="s">
        <v>137</v>
      </c>
      <c r="D248" s="44" t="s">
        <v>235</v>
      </c>
      <c r="E248" s="44">
        <v>24</v>
      </c>
      <c r="F248" s="44" t="s">
        <v>3</v>
      </c>
      <c r="G248" s="43" t="str">
        <f>IFERROR(VLOOKUP(A248,'[1]MC Masterlist 2026-09-12'!$B:$M, 3, 0),"")</f>
        <v>KAWASAKI</v>
      </c>
      <c r="H248" s="45">
        <f>IFERROR(VLOOKUP(A248,'[1]MC Masterlist 2026-09-12'!$B:$M, 6, 0),"")</f>
        <v>91770</v>
      </c>
      <c r="I248" s="46">
        <v>0</v>
      </c>
      <c r="J248" s="46">
        <v>0</v>
      </c>
      <c r="K248" s="46">
        <v>0</v>
      </c>
      <c r="L248" s="46">
        <f t="shared" si="45"/>
        <v>0</v>
      </c>
      <c r="M248" s="46">
        <f t="shared" si="46"/>
        <v>0</v>
      </c>
      <c r="N248" s="45">
        <f t="shared" si="47"/>
        <v>0</v>
      </c>
      <c r="O248" s="45">
        <f t="shared" si="48"/>
        <v>0</v>
      </c>
      <c r="P248" s="46">
        <f t="shared" si="49"/>
        <v>0</v>
      </c>
      <c r="Q248" s="46">
        <v>4</v>
      </c>
      <c r="R248" s="45">
        <f t="shared" si="50"/>
        <v>367080</v>
      </c>
      <c r="S248" s="46">
        <f t="shared" si="51"/>
        <v>0</v>
      </c>
      <c r="T248" s="46">
        <f>IFERROR(VLOOKUP(A248,'[1]Re-order'!$A:$Q,17,0),"")</f>
        <v>255</v>
      </c>
      <c r="U248" s="46">
        <f>IFERROR(VLOOKUP(A248,'[1]MC Masterlist 2026-09-12'!$B:$M, 10, 0),0)</f>
        <v>15</v>
      </c>
      <c r="V248" s="46">
        <f>IFERROR(VLOOKUP(A248,'[1]MC Masterlist 2026-09-12'!$B:$M, 11, 0),0)</f>
        <v>15</v>
      </c>
      <c r="W248" s="46">
        <f t="shared" si="52"/>
        <v>30</v>
      </c>
      <c r="X248" s="46">
        <f t="shared" si="53"/>
        <v>7</v>
      </c>
      <c r="Y248" s="46">
        <f>IFERROR(IF(OR(C248="AREA I",C248="AREA V"),7,VLOOKUP(A248,'[1]MC Masterlist 2026-09-12'!$B:$M, 12, 0)),0)</f>
        <v>7</v>
      </c>
      <c r="Z248" s="46">
        <f t="shared" si="54"/>
        <v>0</v>
      </c>
      <c r="AA248" s="46">
        <f t="shared" si="55"/>
        <v>0</v>
      </c>
      <c r="AB248" s="46">
        <f t="shared" si="56"/>
        <v>0</v>
      </c>
      <c r="AC248" s="46">
        <f t="shared" si="57"/>
        <v>0</v>
      </c>
      <c r="AD248" s="44" t="str">
        <f t="shared" si="58"/>
        <v>Over</v>
      </c>
      <c r="AE248" s="44" t="str">
        <f>IFERROR(VLOOKUP(A248,'[1]Re-order'!$A:$AA,27,0),"")</f>
        <v>Over</v>
      </c>
      <c r="AF248" s="46">
        <f t="shared" si="59"/>
        <v>-4</v>
      </c>
      <c r="AG248" s="46">
        <f>SUMIFS('[1]Raw Inventory'!D:D,'[1]Raw Inventory'!C:C,"GREATWALL",'[1]Raw Inventory'!B:B,A248)</f>
        <v>4</v>
      </c>
      <c r="AH248" s="46">
        <f>SUMIFS('[1]Raw Inventory'!D:D,'[1]Raw Inventory'!C:C,"DUARTE",'[1]Raw Inventory'!B:B,A248)</f>
        <v>0</v>
      </c>
      <c r="AI248" s="46"/>
      <c r="AJ248" s="46"/>
      <c r="AK248" s="43"/>
      <c r="AL248" s="43"/>
      <c r="AM248" s="43"/>
      <c r="AN248" s="43"/>
      <c r="AO248" s="43"/>
      <c r="AP248" s="43"/>
      <c r="AQ248" s="43"/>
      <c r="AR248" s="43"/>
      <c r="AS248" s="43"/>
      <c r="AT248" s="43"/>
    </row>
    <row r="249" spans="1:46">
      <c r="A249" s="43" t="s">
        <v>43</v>
      </c>
      <c r="B249" s="43" t="s">
        <v>111</v>
      </c>
      <c r="C249" s="43" t="s">
        <v>109</v>
      </c>
      <c r="D249" s="44" t="s">
        <v>224</v>
      </c>
      <c r="E249" s="44">
        <v>8</v>
      </c>
      <c r="F249" s="44" t="s">
        <v>2</v>
      </c>
      <c r="G249" s="43" t="str">
        <f>IFERROR(VLOOKUP(A249,'[1]MC Masterlist 2026-09-12'!$B:$M, 3, 0),"")</f>
        <v>YAMAHA</v>
      </c>
      <c r="H249" s="45">
        <f>IFERROR(VLOOKUP(A249,'[1]MC Masterlist 2026-09-12'!$B:$M, 6, 0),"")</f>
        <v>70587</v>
      </c>
      <c r="I249" s="46">
        <v>1</v>
      </c>
      <c r="J249" s="46">
        <v>4</v>
      </c>
      <c r="K249" s="46">
        <v>0</v>
      </c>
      <c r="L249" s="46">
        <f t="shared" si="45"/>
        <v>5</v>
      </c>
      <c r="M249" s="46">
        <f t="shared" si="46"/>
        <v>1.6666666666666667</v>
      </c>
      <c r="N249" s="45">
        <f t="shared" si="47"/>
        <v>352935</v>
      </c>
      <c r="O249" s="45">
        <f t="shared" si="48"/>
        <v>117645</v>
      </c>
      <c r="P249" s="46">
        <f t="shared" si="49"/>
        <v>5.5555555555555559E-2</v>
      </c>
      <c r="Q249" s="46"/>
      <c r="R249" s="45">
        <f t="shared" si="50"/>
        <v>0</v>
      </c>
      <c r="S249" s="46">
        <f t="shared" si="51"/>
        <v>0</v>
      </c>
      <c r="T249" s="46">
        <f>IFERROR(VLOOKUP(A249,'[1]Re-order'!$A:$Q,17,0),"")</f>
        <v>43.578947368421055</v>
      </c>
      <c r="U249" s="46">
        <f>IFERROR(VLOOKUP(A249,'[1]MC Masterlist 2026-09-12'!$B:$M, 10, 0),0)</f>
        <v>15</v>
      </c>
      <c r="V249" s="46">
        <f>IFERROR(VLOOKUP(A249,'[1]MC Masterlist 2026-09-12'!$B:$M, 11, 0),0)</f>
        <v>15</v>
      </c>
      <c r="W249" s="46">
        <f t="shared" si="52"/>
        <v>30</v>
      </c>
      <c r="X249" s="46">
        <f t="shared" si="53"/>
        <v>29.166666666666668</v>
      </c>
      <c r="Y249" s="46">
        <f>IFERROR(IF(OR(C249="AREA I",C249="AREA V"),7,VLOOKUP(A249,'[1]MC Masterlist 2026-09-12'!$B:$M, 12, 0)),0)</f>
        <v>30</v>
      </c>
      <c r="Z249" s="46">
        <f t="shared" si="54"/>
        <v>0.83333333333333337</v>
      </c>
      <c r="AA249" s="46">
        <f t="shared" si="55"/>
        <v>1.6666666666666667</v>
      </c>
      <c r="AB249" s="46">
        <f t="shared" si="56"/>
        <v>1.6203703703703705</v>
      </c>
      <c r="AC249" s="46">
        <f t="shared" si="57"/>
        <v>1.6666666666666667</v>
      </c>
      <c r="AD249" s="44" t="str">
        <f t="shared" si="58"/>
        <v>Stockout</v>
      </c>
      <c r="AE249" s="44" t="str">
        <f>IFERROR(VLOOKUP(A249,'[1]Re-order'!$A:$AA,27,0),"")</f>
        <v>Re-order</v>
      </c>
      <c r="AF249" s="46">
        <f t="shared" si="59"/>
        <v>1.6666666666666667</v>
      </c>
      <c r="AG249" s="46">
        <f>SUMIFS('[1]Raw Inventory'!D:D,'[1]Raw Inventory'!C:C,"GREATWALL",'[1]Raw Inventory'!B:B,A249)</f>
        <v>0</v>
      </c>
      <c r="AH249" s="46">
        <f>SUMIFS('[1]Raw Inventory'!D:D,'[1]Raw Inventory'!C:C,"DUARTE",'[1]Raw Inventory'!B:B,A249)</f>
        <v>0</v>
      </c>
      <c r="AI249" s="46"/>
      <c r="AJ249" s="46"/>
      <c r="AK249" s="43"/>
      <c r="AL249" s="43"/>
      <c r="AM249" s="43"/>
      <c r="AN249" s="43"/>
      <c r="AO249" s="43"/>
      <c r="AP249" s="43"/>
      <c r="AQ249" s="43"/>
      <c r="AR249" s="43"/>
      <c r="AS249" s="43"/>
      <c r="AT249" s="43"/>
    </row>
    <row r="250" spans="1:46">
      <c r="A250" s="43" t="s">
        <v>24</v>
      </c>
      <c r="B250" s="43" t="s">
        <v>113</v>
      </c>
      <c r="C250" s="43" t="s">
        <v>109</v>
      </c>
      <c r="D250" s="44" t="s">
        <v>230</v>
      </c>
      <c r="E250" s="44">
        <v>6</v>
      </c>
      <c r="F250" s="44" t="s">
        <v>0</v>
      </c>
      <c r="G250" s="43" t="str">
        <f>IFERROR(VLOOKUP(A250,'[1]MC Masterlist 2026-09-12'!$B:$M, 3, 0),"")</f>
        <v>KAWASAKI</v>
      </c>
      <c r="H250" s="45">
        <f>IFERROR(VLOOKUP(A250,'[1]MC Masterlist 2026-09-12'!$B:$M, 6, 0),"")</f>
        <v>131626</v>
      </c>
      <c r="I250" s="46">
        <v>3</v>
      </c>
      <c r="J250" s="46">
        <v>1</v>
      </c>
      <c r="K250" s="46">
        <v>2</v>
      </c>
      <c r="L250" s="46">
        <f t="shared" si="45"/>
        <v>6</v>
      </c>
      <c r="M250" s="46">
        <f t="shared" si="46"/>
        <v>2</v>
      </c>
      <c r="N250" s="45">
        <f t="shared" si="47"/>
        <v>789756</v>
      </c>
      <c r="O250" s="45">
        <f t="shared" si="48"/>
        <v>263252</v>
      </c>
      <c r="P250" s="46">
        <f t="shared" si="49"/>
        <v>6.6666666666666666E-2</v>
      </c>
      <c r="Q250" s="46">
        <v>4</v>
      </c>
      <c r="R250" s="45">
        <f t="shared" si="50"/>
        <v>526504</v>
      </c>
      <c r="S250" s="46">
        <f t="shared" si="51"/>
        <v>60</v>
      </c>
      <c r="T250" s="46">
        <f>IFERROR(VLOOKUP(A250,'[1]Re-order'!$A:$Q,17,0),"")</f>
        <v>40.677966101694913</v>
      </c>
      <c r="U250" s="46">
        <f>IFERROR(VLOOKUP(A250,'[1]MC Masterlist 2026-09-12'!$B:$M, 10, 0),0)</f>
        <v>15</v>
      </c>
      <c r="V250" s="46">
        <f>IFERROR(VLOOKUP(A250,'[1]MC Masterlist 2026-09-12'!$B:$M, 11, 0),0)</f>
        <v>15</v>
      </c>
      <c r="W250" s="46">
        <f t="shared" si="52"/>
        <v>30</v>
      </c>
      <c r="X250" s="46">
        <f t="shared" si="53"/>
        <v>29</v>
      </c>
      <c r="Y250" s="46">
        <f>IFERROR(IF(OR(C250="AREA I",C250="AREA V"),7,VLOOKUP(A250,'[1]MC Masterlist 2026-09-12'!$B:$M, 12, 0)),0)</f>
        <v>30</v>
      </c>
      <c r="Z250" s="46">
        <f t="shared" si="54"/>
        <v>1</v>
      </c>
      <c r="AA250" s="46">
        <f t="shared" si="55"/>
        <v>2</v>
      </c>
      <c r="AB250" s="46">
        <f t="shared" si="56"/>
        <v>1.9333333333333333</v>
      </c>
      <c r="AC250" s="46">
        <f t="shared" si="57"/>
        <v>2</v>
      </c>
      <c r="AD250" s="44" t="str">
        <f t="shared" si="58"/>
        <v>Over</v>
      </c>
      <c r="AE250" s="44" t="str">
        <f>IFERROR(VLOOKUP(A250,'[1]Re-order'!$A:$AA,27,0),"")</f>
        <v>Re-order</v>
      </c>
      <c r="AF250" s="46">
        <f t="shared" si="59"/>
        <v>-2</v>
      </c>
      <c r="AG250" s="46">
        <f>SUMIFS('[1]Raw Inventory'!D:D,'[1]Raw Inventory'!C:C,"GREATWALL",'[1]Raw Inventory'!B:B,A250)</f>
        <v>12</v>
      </c>
      <c r="AH250" s="46">
        <f>SUMIFS('[1]Raw Inventory'!D:D,'[1]Raw Inventory'!C:C,"DUARTE",'[1]Raw Inventory'!B:B,A250)</f>
        <v>0</v>
      </c>
      <c r="AI250" s="46"/>
      <c r="AJ250" s="46"/>
      <c r="AK250" s="43"/>
      <c r="AL250" s="43"/>
      <c r="AM250" s="43"/>
      <c r="AN250" s="43"/>
      <c r="AO250" s="43"/>
      <c r="AP250" s="43"/>
      <c r="AQ250" s="43"/>
      <c r="AR250" s="43"/>
      <c r="AS250" s="43"/>
      <c r="AT250" s="43"/>
    </row>
    <row r="251" spans="1:46">
      <c r="A251" s="43" t="s">
        <v>150</v>
      </c>
      <c r="B251" s="43" t="s">
        <v>144</v>
      </c>
      <c r="C251" s="43" t="s">
        <v>137</v>
      </c>
      <c r="D251" s="44" t="s">
        <v>267</v>
      </c>
      <c r="E251" s="44">
        <v>33</v>
      </c>
      <c r="F251" s="44" t="s">
        <v>3</v>
      </c>
      <c r="G251" s="43" t="str">
        <f>IFERROR(VLOOKUP(A251,'[1]MC Masterlist 2026-09-12'!$B:$M, 3, 0),"")</f>
        <v>BAJAJ RE</v>
      </c>
      <c r="H251" s="45">
        <f>IFERROR(VLOOKUP(A251,'[1]MC Masterlist 2026-09-12'!$B:$M, 6, 0),"")</f>
        <v>233000</v>
      </c>
      <c r="I251" s="46">
        <v>0</v>
      </c>
      <c r="J251" s="46">
        <v>0</v>
      </c>
      <c r="K251" s="46">
        <v>0</v>
      </c>
      <c r="L251" s="46">
        <f t="shared" si="45"/>
        <v>0</v>
      </c>
      <c r="M251" s="46">
        <f t="shared" si="46"/>
        <v>0</v>
      </c>
      <c r="N251" s="45">
        <f t="shared" si="47"/>
        <v>0</v>
      </c>
      <c r="O251" s="45">
        <f t="shared" si="48"/>
        <v>0</v>
      </c>
      <c r="P251" s="46">
        <f t="shared" si="49"/>
        <v>0</v>
      </c>
      <c r="Q251" s="46">
        <v>1</v>
      </c>
      <c r="R251" s="45">
        <f t="shared" si="50"/>
        <v>233000</v>
      </c>
      <c r="S251" s="46">
        <f t="shared" si="51"/>
        <v>0</v>
      </c>
      <c r="T251" s="46" t="str">
        <f>IFERROR(VLOOKUP(A251,'[1]Re-order'!$A:$Q,17,0),"")</f>
        <v/>
      </c>
      <c r="U251" s="46">
        <f>IFERROR(VLOOKUP(A251,'[1]MC Masterlist 2026-09-12'!$B:$M, 10, 0),0)</f>
        <v>15</v>
      </c>
      <c r="V251" s="46">
        <f>IFERROR(VLOOKUP(A251,'[1]MC Masterlist 2026-09-12'!$B:$M, 11, 0),0)</f>
        <v>15</v>
      </c>
      <c r="W251" s="46">
        <f t="shared" si="52"/>
        <v>30</v>
      </c>
      <c r="X251" s="46">
        <f t="shared" si="53"/>
        <v>7</v>
      </c>
      <c r="Y251" s="46">
        <f>IFERROR(IF(OR(C251="AREA I",C251="AREA V"),7,VLOOKUP(A251,'[1]MC Masterlist 2026-09-12'!$B:$M, 12, 0)),0)</f>
        <v>7</v>
      </c>
      <c r="Z251" s="46">
        <f t="shared" si="54"/>
        <v>0</v>
      </c>
      <c r="AA251" s="46">
        <f t="shared" si="55"/>
        <v>0</v>
      </c>
      <c r="AB251" s="46">
        <f t="shared" si="56"/>
        <v>0</v>
      </c>
      <c r="AC251" s="46">
        <f t="shared" si="57"/>
        <v>0</v>
      </c>
      <c r="AD251" s="44" t="str">
        <f t="shared" si="58"/>
        <v>Over</v>
      </c>
      <c r="AE251" s="44" t="str">
        <f>IFERROR(VLOOKUP(A251,'[1]Re-order'!$A:$AA,27,0),"")</f>
        <v>Over</v>
      </c>
      <c r="AF251" s="46">
        <f t="shared" si="59"/>
        <v>-1</v>
      </c>
      <c r="AG251" s="46">
        <f>SUMIFS('[1]Raw Inventory'!D:D,'[1]Raw Inventory'!C:C,"GREATWALL",'[1]Raw Inventory'!B:B,A251)</f>
        <v>0</v>
      </c>
      <c r="AH251" s="46">
        <f>SUMIFS('[1]Raw Inventory'!D:D,'[1]Raw Inventory'!C:C,"DUARTE",'[1]Raw Inventory'!B:B,A251)</f>
        <v>0</v>
      </c>
      <c r="AI251" s="46"/>
      <c r="AJ251" s="46"/>
      <c r="AK251" s="43"/>
      <c r="AL251" s="43"/>
      <c r="AM251" s="43"/>
      <c r="AN251" s="43"/>
      <c r="AO251" s="43"/>
      <c r="AP251" s="43"/>
      <c r="AQ251" s="43"/>
      <c r="AR251" s="43"/>
      <c r="AS251" s="43"/>
      <c r="AT251" s="43"/>
    </row>
    <row r="252" spans="1:46">
      <c r="A252" s="43" t="s">
        <v>40</v>
      </c>
      <c r="B252" s="43" t="s">
        <v>98</v>
      </c>
      <c r="C252" s="43" t="s">
        <v>90</v>
      </c>
      <c r="D252" s="44" t="s">
        <v>247</v>
      </c>
      <c r="E252" s="44">
        <v>22</v>
      </c>
      <c r="F252" s="44" t="s">
        <v>3</v>
      </c>
      <c r="G252" s="43" t="str">
        <f>IFERROR(VLOOKUP(A252,'[1]MC Masterlist 2026-09-12'!$B:$M, 3, 0),"")</f>
        <v>HONDA</v>
      </c>
      <c r="H252" s="45">
        <f>IFERROR(VLOOKUP(A252,'[1]MC Masterlist 2026-09-12'!$B:$M, 6, 0),"")</f>
        <v>56426</v>
      </c>
      <c r="I252" s="46">
        <v>0</v>
      </c>
      <c r="J252" s="46">
        <v>0</v>
      </c>
      <c r="K252" s="46">
        <v>0</v>
      </c>
      <c r="L252" s="46">
        <f t="shared" si="45"/>
        <v>0</v>
      </c>
      <c r="M252" s="46">
        <f t="shared" si="46"/>
        <v>0</v>
      </c>
      <c r="N252" s="45">
        <f t="shared" si="47"/>
        <v>0</v>
      </c>
      <c r="O252" s="45">
        <f t="shared" si="48"/>
        <v>0</v>
      </c>
      <c r="P252" s="46">
        <f t="shared" si="49"/>
        <v>0</v>
      </c>
      <c r="Q252" s="46">
        <v>1</v>
      </c>
      <c r="R252" s="45">
        <f t="shared" si="50"/>
        <v>56426</v>
      </c>
      <c r="S252" s="46">
        <f t="shared" si="51"/>
        <v>0</v>
      </c>
      <c r="T252" s="46">
        <f>IFERROR(VLOOKUP(A252,'[1]Re-order'!$A:$Q,17,0),"")</f>
        <v>139.56521739130434</v>
      </c>
      <c r="U252" s="46">
        <f>IFERROR(VLOOKUP(A252,'[1]MC Masterlist 2026-09-12'!$B:$M, 10, 0),0)</f>
        <v>15</v>
      </c>
      <c r="V252" s="46">
        <f>IFERROR(VLOOKUP(A252,'[1]MC Masterlist 2026-09-12'!$B:$M, 11, 0),0)</f>
        <v>15</v>
      </c>
      <c r="W252" s="46">
        <f t="shared" si="52"/>
        <v>30</v>
      </c>
      <c r="X252" s="46">
        <f t="shared" si="53"/>
        <v>30</v>
      </c>
      <c r="Y252" s="46">
        <f>IFERROR(IF(OR(C252="AREA I",C252="AREA V"),7,VLOOKUP(A252,'[1]MC Masterlist 2026-09-12'!$B:$M, 12, 0)),0)</f>
        <v>30</v>
      </c>
      <c r="Z252" s="46">
        <f t="shared" si="54"/>
        <v>0</v>
      </c>
      <c r="AA252" s="46">
        <f t="shared" si="55"/>
        <v>0</v>
      </c>
      <c r="AB252" s="46">
        <f t="shared" si="56"/>
        <v>0</v>
      </c>
      <c r="AC252" s="46">
        <f t="shared" si="57"/>
        <v>0</v>
      </c>
      <c r="AD252" s="44" t="str">
        <f t="shared" si="58"/>
        <v>Over</v>
      </c>
      <c r="AE252" s="44" t="str">
        <f>IFERROR(VLOOKUP(A252,'[1]Re-order'!$A:$AA,27,0),"")</f>
        <v>Over</v>
      </c>
      <c r="AF252" s="46">
        <f t="shared" si="59"/>
        <v>-1</v>
      </c>
      <c r="AG252" s="46">
        <f>SUMIFS('[1]Raw Inventory'!D:D,'[1]Raw Inventory'!C:C,"GREATWALL",'[1]Raw Inventory'!B:B,A252)</f>
        <v>45</v>
      </c>
      <c r="AH252" s="46">
        <f>SUMIFS('[1]Raw Inventory'!D:D,'[1]Raw Inventory'!C:C,"DUARTE",'[1]Raw Inventory'!B:B,A252)</f>
        <v>0</v>
      </c>
      <c r="AI252" s="46"/>
      <c r="AJ252" s="46"/>
      <c r="AK252" s="43"/>
      <c r="AL252" s="43"/>
      <c r="AM252" s="43"/>
      <c r="AN252" s="43"/>
      <c r="AO252" s="43"/>
      <c r="AP252" s="43"/>
      <c r="AQ252" s="43"/>
      <c r="AR252" s="43"/>
      <c r="AS252" s="43"/>
      <c r="AT252" s="43"/>
    </row>
    <row r="253" spans="1:46">
      <c r="A253" s="43" t="s">
        <v>52</v>
      </c>
      <c r="B253" s="43" t="s">
        <v>154</v>
      </c>
      <c r="C253" s="43" t="s">
        <v>152</v>
      </c>
      <c r="D253" s="44" t="s">
        <v>257</v>
      </c>
      <c r="E253" s="44">
        <v>24</v>
      </c>
      <c r="F253" s="44" t="s">
        <v>3</v>
      </c>
      <c r="G253" s="43" t="str">
        <f>IFERROR(VLOOKUP(A253,'[1]MC Masterlist 2026-09-12'!$B:$M, 3, 0),"")</f>
        <v>YAMAHA</v>
      </c>
      <c r="H253" s="45">
        <f>IFERROR(VLOOKUP(A253,'[1]MC Masterlist 2026-09-12'!$B:$M, 6, 0),"")</f>
        <v>85446</v>
      </c>
      <c r="I253" s="46">
        <v>0</v>
      </c>
      <c r="J253" s="46">
        <v>1</v>
      </c>
      <c r="K253" s="46">
        <v>0</v>
      </c>
      <c r="L253" s="46">
        <f t="shared" si="45"/>
        <v>1</v>
      </c>
      <c r="M253" s="46">
        <f t="shared" si="46"/>
        <v>0.33333333333333331</v>
      </c>
      <c r="N253" s="45">
        <f t="shared" si="47"/>
        <v>85446</v>
      </c>
      <c r="O253" s="45">
        <f t="shared" si="48"/>
        <v>28482</v>
      </c>
      <c r="P253" s="46">
        <f t="shared" si="49"/>
        <v>1.111111111111111E-2</v>
      </c>
      <c r="Q253" s="46">
        <v>1</v>
      </c>
      <c r="R253" s="45">
        <f t="shared" si="50"/>
        <v>85446</v>
      </c>
      <c r="S253" s="46">
        <f t="shared" si="51"/>
        <v>90</v>
      </c>
      <c r="T253" s="46">
        <f>IFERROR(VLOOKUP(A253,'[1]Re-order'!$A:$Q,17,0),"")</f>
        <v>95.454545454545453</v>
      </c>
      <c r="U253" s="46">
        <f>IFERROR(VLOOKUP(A253,'[1]MC Masterlist 2026-09-12'!$B:$M, 10, 0),0)</f>
        <v>15</v>
      </c>
      <c r="V253" s="46">
        <f>IFERROR(VLOOKUP(A253,'[1]MC Masterlist 2026-09-12'!$B:$M, 11, 0),0)</f>
        <v>15</v>
      </c>
      <c r="W253" s="46">
        <f t="shared" si="52"/>
        <v>30</v>
      </c>
      <c r="X253" s="46">
        <f t="shared" si="53"/>
        <v>29.833333333333332</v>
      </c>
      <c r="Y253" s="46">
        <f>IFERROR(IF(OR(C253="AREA I",C253="AREA V"),7,VLOOKUP(A253,'[1]MC Masterlist 2026-09-12'!$B:$M, 12, 0)),0)</f>
        <v>30</v>
      </c>
      <c r="Z253" s="46">
        <f t="shared" si="54"/>
        <v>0.16666666666666666</v>
      </c>
      <c r="AA253" s="46">
        <f t="shared" si="55"/>
        <v>0.33333333333333331</v>
      </c>
      <c r="AB253" s="46">
        <f t="shared" si="56"/>
        <v>0.33148148148148143</v>
      </c>
      <c r="AC253" s="46">
        <f t="shared" si="57"/>
        <v>0.33333333333333331</v>
      </c>
      <c r="AD253" s="44" t="str">
        <f t="shared" si="58"/>
        <v>Over</v>
      </c>
      <c r="AE253" s="44" t="str">
        <f>IFERROR(VLOOKUP(A253,'[1]Re-order'!$A:$AA,27,0),"")</f>
        <v>Over</v>
      </c>
      <c r="AF253" s="46">
        <f t="shared" si="59"/>
        <v>-0.66666666666666674</v>
      </c>
      <c r="AG253" s="46">
        <f>SUMIFS('[1]Raw Inventory'!D:D,'[1]Raw Inventory'!C:C,"GREATWALL",'[1]Raw Inventory'!B:B,A253)</f>
        <v>0</v>
      </c>
      <c r="AH253" s="46">
        <f>SUMIFS('[1]Raw Inventory'!D:D,'[1]Raw Inventory'!C:C,"DUARTE",'[1]Raw Inventory'!B:B,A253)</f>
        <v>0</v>
      </c>
      <c r="AI253" s="46"/>
      <c r="AJ253" s="46"/>
      <c r="AK253" s="43"/>
      <c r="AL253" s="43"/>
      <c r="AM253" s="43"/>
      <c r="AN253" s="43"/>
      <c r="AO253" s="43"/>
      <c r="AP253" s="43"/>
      <c r="AQ253" s="43"/>
      <c r="AR253" s="43"/>
      <c r="AS253" s="43"/>
      <c r="AT253" s="43"/>
    </row>
    <row r="254" spans="1:46">
      <c r="A254" s="43" t="s">
        <v>35</v>
      </c>
      <c r="B254" s="43" t="s">
        <v>19</v>
      </c>
      <c r="C254" s="43" t="s">
        <v>1</v>
      </c>
      <c r="D254" s="44" t="s">
        <v>268</v>
      </c>
      <c r="E254" s="44">
        <v>14</v>
      </c>
      <c r="F254" s="44" t="s">
        <v>3</v>
      </c>
      <c r="G254" s="43" t="str">
        <f>IFERROR(VLOOKUP(A254,'[1]MC Masterlist 2026-09-12'!$B:$M, 3, 0),"")</f>
        <v>HONDA</v>
      </c>
      <c r="H254" s="45">
        <f>IFERROR(VLOOKUP(A254,'[1]MC Masterlist 2026-09-12'!$B:$M, 6, 0),"")</f>
        <v>57990</v>
      </c>
      <c r="I254" s="46">
        <v>3</v>
      </c>
      <c r="J254" s="46">
        <v>3</v>
      </c>
      <c r="K254" s="46">
        <v>2</v>
      </c>
      <c r="L254" s="46">
        <f t="shared" si="45"/>
        <v>8</v>
      </c>
      <c r="M254" s="46">
        <f t="shared" si="46"/>
        <v>2.6666666666666665</v>
      </c>
      <c r="N254" s="45">
        <f t="shared" si="47"/>
        <v>463920</v>
      </c>
      <c r="O254" s="45">
        <f t="shared" si="48"/>
        <v>154640</v>
      </c>
      <c r="P254" s="46">
        <f t="shared" si="49"/>
        <v>8.8888888888888878E-2</v>
      </c>
      <c r="Q254" s="46">
        <v>2</v>
      </c>
      <c r="R254" s="45">
        <f t="shared" si="50"/>
        <v>115980</v>
      </c>
      <c r="S254" s="46">
        <f t="shared" si="51"/>
        <v>22.5</v>
      </c>
      <c r="T254" s="46">
        <f>IFERROR(VLOOKUP(A254,'[1]Re-order'!$A:$Q,17,0),"")</f>
        <v>68.275862068965523</v>
      </c>
      <c r="U254" s="46">
        <f>IFERROR(VLOOKUP(A254,'[1]MC Masterlist 2026-09-12'!$B:$M, 10, 0),0)</f>
        <v>15</v>
      </c>
      <c r="V254" s="46">
        <f>IFERROR(VLOOKUP(A254,'[1]MC Masterlist 2026-09-12'!$B:$M, 11, 0),0)</f>
        <v>15</v>
      </c>
      <c r="W254" s="46">
        <f t="shared" si="52"/>
        <v>30</v>
      </c>
      <c r="X254" s="46">
        <f t="shared" si="53"/>
        <v>5.666666666666667</v>
      </c>
      <c r="Y254" s="46">
        <f>IFERROR(IF(OR(C254="AREA I",C254="AREA V"),7,VLOOKUP(A254,'[1]MC Masterlist 2026-09-12'!$B:$M, 12, 0)),0)</f>
        <v>7</v>
      </c>
      <c r="Z254" s="46">
        <f t="shared" si="54"/>
        <v>1.3333333333333333</v>
      </c>
      <c r="AA254" s="46">
        <f t="shared" si="55"/>
        <v>2.6666666666666665</v>
      </c>
      <c r="AB254" s="46">
        <f t="shared" si="56"/>
        <v>0.50370370370370365</v>
      </c>
      <c r="AC254" s="46">
        <f t="shared" si="57"/>
        <v>0.62222222222222212</v>
      </c>
      <c r="AD254" s="44" t="str">
        <f t="shared" si="58"/>
        <v>Over</v>
      </c>
      <c r="AE254" s="44" t="str">
        <f>IFERROR(VLOOKUP(A254,'[1]Re-order'!$A:$AA,27,0),"")</f>
        <v>Re-order</v>
      </c>
      <c r="AF254" s="46">
        <f t="shared" si="59"/>
        <v>-1.3777777777777778</v>
      </c>
      <c r="AG254" s="46">
        <f>SUMIFS('[1]Raw Inventory'!D:D,'[1]Raw Inventory'!C:C,"GREATWALL",'[1]Raw Inventory'!B:B,A254)</f>
        <v>29</v>
      </c>
      <c r="AH254" s="46">
        <f>SUMIFS('[1]Raw Inventory'!D:D,'[1]Raw Inventory'!C:C,"DUARTE",'[1]Raw Inventory'!B:B,A254)</f>
        <v>0</v>
      </c>
      <c r="AI254" s="46"/>
      <c r="AJ254" s="46"/>
      <c r="AK254" s="43"/>
      <c r="AL254" s="43"/>
      <c r="AM254" s="43"/>
      <c r="AN254" s="43"/>
      <c r="AO254" s="43"/>
      <c r="AP254" s="43"/>
      <c r="AQ254" s="43"/>
      <c r="AR254" s="43"/>
      <c r="AS254" s="43"/>
      <c r="AT254" s="43"/>
    </row>
    <row r="255" spans="1:46">
      <c r="A255" s="43" t="s">
        <v>63</v>
      </c>
      <c r="B255" s="43" t="s">
        <v>27</v>
      </c>
      <c r="C255" s="43" t="s">
        <v>1</v>
      </c>
      <c r="D255" s="44" t="s">
        <v>229</v>
      </c>
      <c r="E255" s="44">
        <v>24</v>
      </c>
      <c r="F255" s="44" t="s">
        <v>3</v>
      </c>
      <c r="G255" s="43" t="str">
        <f>IFERROR(VLOOKUP(A255,'[1]MC Masterlist 2026-09-12'!$B:$M, 3, 0),"")</f>
        <v>HONDA</v>
      </c>
      <c r="H255" s="45">
        <f>IFERROR(VLOOKUP(A255,'[1]MC Masterlist 2026-09-12'!$B:$M, 6, 0),"")</f>
        <v>125150</v>
      </c>
      <c r="I255" s="46">
        <v>1</v>
      </c>
      <c r="J255" s="46">
        <v>0</v>
      </c>
      <c r="K255" s="46">
        <v>0</v>
      </c>
      <c r="L255" s="46">
        <f t="shared" si="45"/>
        <v>1</v>
      </c>
      <c r="M255" s="46">
        <f t="shared" si="46"/>
        <v>0.33333333333333331</v>
      </c>
      <c r="N255" s="45">
        <f t="shared" si="47"/>
        <v>125150</v>
      </c>
      <c r="O255" s="45">
        <f t="shared" si="48"/>
        <v>41716.666666666664</v>
      </c>
      <c r="P255" s="46">
        <f t="shared" si="49"/>
        <v>1.111111111111111E-2</v>
      </c>
      <c r="Q255" s="46"/>
      <c r="R255" s="45">
        <f t="shared" si="50"/>
        <v>0</v>
      </c>
      <c r="S255" s="46">
        <f t="shared" si="51"/>
        <v>0</v>
      </c>
      <c r="T255" s="46">
        <f>IFERROR(VLOOKUP(A255,'[1]Re-order'!$A:$Q,17,0),"")</f>
        <v>0</v>
      </c>
      <c r="U255" s="46">
        <f>IFERROR(VLOOKUP(A255,'[1]MC Masterlist 2026-09-12'!$B:$M, 10, 0),0)</f>
        <v>15</v>
      </c>
      <c r="V255" s="46">
        <f>IFERROR(VLOOKUP(A255,'[1]MC Masterlist 2026-09-12'!$B:$M, 11, 0),0)</f>
        <v>15</v>
      </c>
      <c r="W255" s="46">
        <f t="shared" si="52"/>
        <v>30</v>
      </c>
      <c r="X255" s="46">
        <f t="shared" si="53"/>
        <v>6.833333333333333</v>
      </c>
      <c r="Y255" s="46">
        <f>IFERROR(IF(OR(C255="AREA I",C255="AREA V"),7,VLOOKUP(A255,'[1]MC Masterlist 2026-09-12'!$B:$M, 12, 0)),0)</f>
        <v>7</v>
      </c>
      <c r="Z255" s="46">
        <f t="shared" si="54"/>
        <v>0.16666666666666666</v>
      </c>
      <c r="AA255" s="46">
        <f t="shared" si="55"/>
        <v>0.33333333333333331</v>
      </c>
      <c r="AB255" s="46">
        <f t="shared" si="56"/>
        <v>7.5925925925925911E-2</v>
      </c>
      <c r="AC255" s="46">
        <f t="shared" si="57"/>
        <v>7.7777777777777765E-2</v>
      </c>
      <c r="AD255" s="44" t="str">
        <f t="shared" si="58"/>
        <v>Stockout</v>
      </c>
      <c r="AE255" s="44" t="str">
        <f>IFERROR(VLOOKUP(A255,'[1]Re-order'!$A:$AA,27,0),"")</f>
        <v>Stockout</v>
      </c>
      <c r="AF255" s="46">
        <f t="shared" si="59"/>
        <v>7.7777777777777765E-2</v>
      </c>
      <c r="AG255" s="46">
        <f>SUMIFS('[1]Raw Inventory'!D:D,'[1]Raw Inventory'!C:C,"GREATWALL",'[1]Raw Inventory'!B:B,A255)</f>
        <v>0</v>
      </c>
      <c r="AH255" s="46">
        <f>SUMIFS('[1]Raw Inventory'!D:D,'[1]Raw Inventory'!C:C,"DUARTE",'[1]Raw Inventory'!B:B,A255)</f>
        <v>0</v>
      </c>
      <c r="AI255" s="46"/>
      <c r="AJ255" s="46"/>
      <c r="AK255" s="43"/>
      <c r="AL255" s="43"/>
      <c r="AM255" s="43"/>
      <c r="AN255" s="43"/>
      <c r="AO255" s="43"/>
      <c r="AP255" s="43"/>
      <c r="AQ255" s="43"/>
      <c r="AR255" s="43"/>
      <c r="AS255" s="43"/>
      <c r="AT255" s="43"/>
    </row>
    <row r="256" spans="1:46">
      <c r="A256" s="43" t="s">
        <v>28</v>
      </c>
      <c r="B256" s="43" t="s">
        <v>132</v>
      </c>
      <c r="C256" s="43" t="s">
        <v>128</v>
      </c>
      <c r="D256" s="44" t="s">
        <v>230</v>
      </c>
      <c r="E256" s="44">
        <v>6</v>
      </c>
      <c r="F256" s="44" t="s">
        <v>0</v>
      </c>
      <c r="G256" s="43" t="str">
        <f>IFERROR(VLOOKUP(A256,'[1]MC Masterlist 2026-09-12'!$B:$M, 3, 0),"")</f>
        <v>YAMAHA</v>
      </c>
      <c r="H256" s="45">
        <f>IFERROR(VLOOKUP(A256,'[1]MC Masterlist 2026-09-12'!$B:$M, 6, 0),"")</f>
        <v>147312</v>
      </c>
      <c r="I256" s="46">
        <v>3</v>
      </c>
      <c r="J256" s="46">
        <v>0</v>
      </c>
      <c r="K256" s="46">
        <v>3</v>
      </c>
      <c r="L256" s="46">
        <f t="shared" si="45"/>
        <v>6</v>
      </c>
      <c r="M256" s="46">
        <f t="shared" si="46"/>
        <v>2</v>
      </c>
      <c r="N256" s="45">
        <f t="shared" si="47"/>
        <v>883872</v>
      </c>
      <c r="O256" s="45">
        <f t="shared" si="48"/>
        <v>294624</v>
      </c>
      <c r="P256" s="46">
        <f t="shared" si="49"/>
        <v>6.6666666666666666E-2</v>
      </c>
      <c r="Q256" s="46"/>
      <c r="R256" s="45">
        <f t="shared" si="50"/>
        <v>0</v>
      </c>
      <c r="S256" s="46">
        <f t="shared" si="51"/>
        <v>0</v>
      </c>
      <c r="T256" s="46">
        <f>IFERROR(VLOOKUP(A256,'[1]Re-order'!$A:$Q,17,0),"")</f>
        <v>8.2417582417582427</v>
      </c>
      <c r="U256" s="46">
        <f>IFERROR(VLOOKUP(A256,'[1]MC Masterlist 2026-09-12'!$B:$M, 10, 0),0)</f>
        <v>15</v>
      </c>
      <c r="V256" s="46">
        <f>IFERROR(VLOOKUP(A256,'[1]MC Masterlist 2026-09-12'!$B:$M, 11, 0),0)</f>
        <v>15</v>
      </c>
      <c r="W256" s="46">
        <f t="shared" si="52"/>
        <v>30</v>
      </c>
      <c r="X256" s="46">
        <f t="shared" si="53"/>
        <v>29</v>
      </c>
      <c r="Y256" s="46">
        <f>IFERROR(IF(OR(C256="AREA I",C256="AREA V"),7,VLOOKUP(A256,'[1]MC Masterlist 2026-09-12'!$B:$M, 12, 0)),0)</f>
        <v>30</v>
      </c>
      <c r="Z256" s="46">
        <f t="shared" si="54"/>
        <v>1</v>
      </c>
      <c r="AA256" s="46">
        <f t="shared" si="55"/>
        <v>2</v>
      </c>
      <c r="AB256" s="46">
        <f t="shared" si="56"/>
        <v>1.9333333333333333</v>
      </c>
      <c r="AC256" s="46">
        <f t="shared" si="57"/>
        <v>2</v>
      </c>
      <c r="AD256" s="44" t="str">
        <f t="shared" si="58"/>
        <v>Stockout</v>
      </c>
      <c r="AE256" s="44" t="str">
        <f>IFERROR(VLOOKUP(A256,'[1]Re-order'!$A:$AA,27,0),"")</f>
        <v>Stockout</v>
      </c>
      <c r="AF256" s="46">
        <f t="shared" si="59"/>
        <v>2</v>
      </c>
      <c r="AG256" s="46">
        <f>SUMIFS('[1]Raw Inventory'!D:D,'[1]Raw Inventory'!C:C,"GREATWALL",'[1]Raw Inventory'!B:B,A256)</f>
        <v>0</v>
      </c>
      <c r="AH256" s="46">
        <f>SUMIFS('[1]Raw Inventory'!D:D,'[1]Raw Inventory'!C:C,"DUARTE",'[1]Raw Inventory'!B:B,A256)</f>
        <v>0</v>
      </c>
      <c r="AI256" s="46"/>
      <c r="AJ256" s="46"/>
      <c r="AK256" s="43"/>
      <c r="AL256" s="43"/>
      <c r="AM256" s="43"/>
      <c r="AN256" s="43"/>
      <c r="AO256" s="43"/>
      <c r="AP256" s="43"/>
      <c r="AQ256" s="43"/>
      <c r="AR256" s="43"/>
      <c r="AS256" s="43"/>
      <c r="AT256" s="43"/>
    </row>
    <row r="257" spans="1:46">
      <c r="A257" s="43" t="s">
        <v>82</v>
      </c>
      <c r="B257" s="43" t="s">
        <v>157</v>
      </c>
      <c r="C257" s="43" t="s">
        <v>152</v>
      </c>
      <c r="D257" s="44" t="s">
        <v>235</v>
      </c>
      <c r="E257" s="44">
        <v>22</v>
      </c>
      <c r="F257" s="44" t="s">
        <v>3</v>
      </c>
      <c r="G257" s="43" t="str">
        <f>IFERROR(VLOOKUP(A257,'[1]MC Masterlist 2026-09-12'!$B:$M, 3, 0),"")</f>
        <v>SUZUKI</v>
      </c>
      <c r="H257" s="45">
        <f>IFERROR(VLOOKUP(A257,'[1]MC Masterlist 2026-09-12'!$B:$M, 6, 0),"")</f>
        <v>67342</v>
      </c>
      <c r="I257" s="46">
        <v>1</v>
      </c>
      <c r="J257" s="46">
        <v>0</v>
      </c>
      <c r="K257" s="46">
        <v>0</v>
      </c>
      <c r="L257" s="46">
        <f t="shared" si="45"/>
        <v>1</v>
      </c>
      <c r="M257" s="46">
        <f t="shared" si="46"/>
        <v>0.33333333333333331</v>
      </c>
      <c r="N257" s="45">
        <f t="shared" si="47"/>
        <v>67342</v>
      </c>
      <c r="O257" s="45">
        <f t="shared" si="48"/>
        <v>22447.333333333332</v>
      </c>
      <c r="P257" s="46">
        <f t="shared" si="49"/>
        <v>1.111111111111111E-2</v>
      </c>
      <c r="Q257" s="46">
        <v>2</v>
      </c>
      <c r="R257" s="45">
        <f t="shared" si="50"/>
        <v>134684</v>
      </c>
      <c r="S257" s="46">
        <f t="shared" si="51"/>
        <v>180</v>
      </c>
      <c r="T257" s="46">
        <f>IFERROR(VLOOKUP(A257,'[1]Re-order'!$A:$Q,17,0),"")</f>
        <v>64.8</v>
      </c>
      <c r="U257" s="46">
        <f>IFERROR(VLOOKUP(A257,'[1]MC Masterlist 2026-09-12'!$B:$M, 10, 0),0)</f>
        <v>15</v>
      </c>
      <c r="V257" s="46">
        <f>IFERROR(VLOOKUP(A257,'[1]MC Masterlist 2026-09-12'!$B:$M, 11, 0),0)</f>
        <v>15</v>
      </c>
      <c r="W257" s="46">
        <f t="shared" si="52"/>
        <v>30</v>
      </c>
      <c r="X257" s="46">
        <f t="shared" si="53"/>
        <v>29.833333333333332</v>
      </c>
      <c r="Y257" s="46">
        <f>IFERROR(IF(OR(C257="AREA I",C257="AREA V"),7,VLOOKUP(A257,'[1]MC Masterlist 2026-09-12'!$B:$M, 12, 0)),0)</f>
        <v>30</v>
      </c>
      <c r="Z257" s="46">
        <f t="shared" si="54"/>
        <v>0.16666666666666666</v>
      </c>
      <c r="AA257" s="46">
        <f t="shared" si="55"/>
        <v>0.33333333333333331</v>
      </c>
      <c r="AB257" s="46">
        <f t="shared" si="56"/>
        <v>0.33148148148148143</v>
      </c>
      <c r="AC257" s="46">
        <f t="shared" si="57"/>
        <v>0.33333333333333331</v>
      </c>
      <c r="AD257" s="44" t="str">
        <f t="shared" si="58"/>
        <v>Over</v>
      </c>
      <c r="AE257" s="44" t="str">
        <f>IFERROR(VLOOKUP(A257,'[1]Re-order'!$A:$AA,27,0),"")</f>
        <v>Re-order</v>
      </c>
      <c r="AF257" s="46">
        <f t="shared" si="59"/>
        <v>-1.6666666666666667</v>
      </c>
      <c r="AG257" s="46">
        <f>SUMIFS('[1]Raw Inventory'!D:D,'[1]Raw Inventory'!C:C,"GREATWALL",'[1]Raw Inventory'!B:B,A257)</f>
        <v>1</v>
      </c>
      <c r="AH257" s="46">
        <f>SUMIFS('[1]Raw Inventory'!D:D,'[1]Raw Inventory'!C:C,"DUARTE",'[1]Raw Inventory'!B:B,A257)</f>
        <v>0</v>
      </c>
      <c r="AI257" s="46"/>
      <c r="AJ257" s="46"/>
      <c r="AK257" s="43"/>
      <c r="AL257" s="43"/>
      <c r="AM257" s="43"/>
      <c r="AN257" s="43"/>
      <c r="AO257" s="43"/>
      <c r="AP257" s="43"/>
      <c r="AQ257" s="43"/>
      <c r="AR257" s="43"/>
      <c r="AS257" s="43"/>
      <c r="AT257" s="43"/>
    </row>
    <row r="258" spans="1:46">
      <c r="A258" s="43" t="s">
        <v>72</v>
      </c>
      <c r="B258" s="43" t="s">
        <v>121</v>
      </c>
      <c r="C258" s="43" t="s">
        <v>118</v>
      </c>
      <c r="D258" s="44" t="s">
        <v>265</v>
      </c>
      <c r="E258" s="44">
        <v>28</v>
      </c>
      <c r="F258" s="44" t="s">
        <v>3</v>
      </c>
      <c r="G258" s="43" t="str">
        <f>IFERROR(VLOOKUP(A258,'[1]MC Masterlist 2026-09-12'!$B:$M, 3, 0),"")</f>
        <v>KAWASAKI</v>
      </c>
      <c r="H258" s="45">
        <f>IFERROR(VLOOKUP(A258,'[1]MC Masterlist 2026-09-12'!$B:$M, 6, 0),"")</f>
        <v>52948</v>
      </c>
      <c r="I258" s="46">
        <v>0</v>
      </c>
      <c r="J258" s="46">
        <v>0</v>
      </c>
      <c r="K258" s="46">
        <v>0</v>
      </c>
      <c r="L258" s="46">
        <f t="shared" si="45"/>
        <v>0</v>
      </c>
      <c r="M258" s="46">
        <f t="shared" si="46"/>
        <v>0</v>
      </c>
      <c r="N258" s="45">
        <f t="shared" si="47"/>
        <v>0</v>
      </c>
      <c r="O258" s="45">
        <f t="shared" si="48"/>
        <v>0</v>
      </c>
      <c r="P258" s="46">
        <f t="shared" si="49"/>
        <v>0</v>
      </c>
      <c r="Q258" s="46">
        <v>1</v>
      </c>
      <c r="R258" s="45">
        <f t="shared" si="50"/>
        <v>52948</v>
      </c>
      <c r="S258" s="46">
        <f t="shared" si="51"/>
        <v>0</v>
      </c>
      <c r="T258" s="46">
        <f>IFERROR(VLOOKUP(A258,'[1]Re-order'!$A:$Q,17,0),"")</f>
        <v>378</v>
      </c>
      <c r="U258" s="46">
        <f>IFERROR(VLOOKUP(A258,'[1]MC Masterlist 2026-09-12'!$B:$M, 10, 0),0)</f>
        <v>15</v>
      </c>
      <c r="V258" s="46">
        <f>IFERROR(VLOOKUP(A258,'[1]MC Masterlist 2026-09-12'!$B:$M, 11, 0),0)</f>
        <v>15</v>
      </c>
      <c r="W258" s="46">
        <f t="shared" si="52"/>
        <v>30</v>
      </c>
      <c r="X258" s="46">
        <f t="shared" si="53"/>
        <v>30</v>
      </c>
      <c r="Y258" s="46">
        <f>IFERROR(IF(OR(C258="AREA I",C258="AREA V"),7,VLOOKUP(A258,'[1]MC Masterlist 2026-09-12'!$B:$M, 12, 0)),0)</f>
        <v>30</v>
      </c>
      <c r="Z258" s="46">
        <f t="shared" si="54"/>
        <v>0</v>
      </c>
      <c r="AA258" s="46">
        <f t="shared" si="55"/>
        <v>0</v>
      </c>
      <c r="AB258" s="46">
        <f t="shared" si="56"/>
        <v>0</v>
      </c>
      <c r="AC258" s="46">
        <f t="shared" si="57"/>
        <v>0</v>
      </c>
      <c r="AD258" s="44" t="str">
        <f t="shared" si="58"/>
        <v>Over</v>
      </c>
      <c r="AE258" s="44" t="str">
        <f>IFERROR(VLOOKUP(A258,'[1]Re-order'!$A:$AA,27,0),"")</f>
        <v>Over</v>
      </c>
      <c r="AF258" s="46">
        <f t="shared" si="59"/>
        <v>-1</v>
      </c>
      <c r="AG258" s="46">
        <f>SUMIFS('[1]Raw Inventory'!D:D,'[1]Raw Inventory'!C:C,"GREATWALL",'[1]Raw Inventory'!B:B,A258)</f>
        <v>15</v>
      </c>
      <c r="AH258" s="46">
        <f>SUMIFS('[1]Raw Inventory'!D:D,'[1]Raw Inventory'!C:C,"DUARTE",'[1]Raw Inventory'!B:B,A258)</f>
        <v>0</v>
      </c>
      <c r="AI258" s="46"/>
      <c r="AJ258" s="46"/>
      <c r="AK258" s="43"/>
      <c r="AL258" s="43"/>
      <c r="AM258" s="43"/>
      <c r="AN258" s="43"/>
      <c r="AO258" s="43"/>
      <c r="AP258" s="43"/>
      <c r="AQ258" s="43"/>
      <c r="AR258" s="43"/>
      <c r="AS258" s="43"/>
      <c r="AT258" s="43"/>
    </row>
    <row r="259" spans="1:46">
      <c r="A259" s="43" t="s">
        <v>35</v>
      </c>
      <c r="B259" s="43" t="s">
        <v>129</v>
      </c>
      <c r="C259" s="43" t="s">
        <v>128</v>
      </c>
      <c r="D259" s="44" t="s">
        <v>235</v>
      </c>
      <c r="E259" s="44">
        <v>22</v>
      </c>
      <c r="F259" s="44" t="s">
        <v>3</v>
      </c>
      <c r="G259" s="43" t="str">
        <f>IFERROR(VLOOKUP(A259,'[1]MC Masterlist 2026-09-12'!$B:$M, 3, 0),"")</f>
        <v>HONDA</v>
      </c>
      <c r="H259" s="45">
        <f>IFERROR(VLOOKUP(A259,'[1]MC Masterlist 2026-09-12'!$B:$M, 6, 0),"")</f>
        <v>57990</v>
      </c>
      <c r="I259" s="46">
        <v>0</v>
      </c>
      <c r="J259" s="46">
        <v>1</v>
      </c>
      <c r="K259" s="46">
        <v>0</v>
      </c>
      <c r="L259" s="46">
        <f t="shared" ref="L259:L322" si="60">I259+J259+K259</f>
        <v>1</v>
      </c>
      <c r="M259" s="46">
        <f t="shared" ref="M259:M322" si="61">AVERAGE(I259,J259,K259)</f>
        <v>0.33333333333333331</v>
      </c>
      <c r="N259" s="45">
        <f t="shared" ref="N259:N322" si="62">L259*H259</f>
        <v>57990</v>
      </c>
      <c r="O259" s="45">
        <f t="shared" ref="O259:O322" si="63">M259*H259</f>
        <v>19330</v>
      </c>
      <c r="P259" s="46">
        <f t="shared" ref="P259:P322" si="64">M259/30</f>
        <v>1.111111111111111E-2</v>
      </c>
      <c r="Q259" s="46">
        <v>2</v>
      </c>
      <c r="R259" s="45">
        <f t="shared" ref="R259:R322" si="65">IFERROR(Q259*H259, 0)</f>
        <v>115980</v>
      </c>
      <c r="S259" s="46">
        <f t="shared" ref="S259:S322" si="66">IFERROR(R259/(O259)*30, 0)</f>
        <v>180</v>
      </c>
      <c r="T259" s="46">
        <f>IFERROR(VLOOKUP(A259,'[1]Re-order'!$A:$Q,17,0),"")</f>
        <v>68.275862068965523</v>
      </c>
      <c r="U259" s="46">
        <f>IFERROR(VLOOKUP(A259,'[1]MC Masterlist 2026-09-12'!$B:$M, 10, 0),0)</f>
        <v>15</v>
      </c>
      <c r="V259" s="46">
        <f>IFERROR(VLOOKUP(A259,'[1]MC Masterlist 2026-09-12'!$B:$M, 11, 0),0)</f>
        <v>15</v>
      </c>
      <c r="W259" s="46">
        <f t="shared" ref="W259:W322" si="67">U259+V259</f>
        <v>30</v>
      </c>
      <c r="X259" s="46">
        <f t="shared" ref="X259:X322" si="68">Y259-Z259</f>
        <v>29.833333333333332</v>
      </c>
      <c r="Y259" s="46">
        <f>IFERROR(IF(OR(C259="AREA I",C259="AREA V"),7,VLOOKUP(A259,'[1]MC Masterlist 2026-09-12'!$B:$M, 12, 0)),0)</f>
        <v>30</v>
      </c>
      <c r="Z259" s="46">
        <f t="shared" ref="Z259:Z322" si="69">V259*P259</f>
        <v>0.16666666666666666</v>
      </c>
      <c r="AA259" s="46">
        <f t="shared" ref="AA259:AA322" si="70">W259*P259</f>
        <v>0.33333333333333331</v>
      </c>
      <c r="AB259" s="46">
        <f t="shared" ref="AB259:AB322" si="71">X259*P259</f>
        <v>0.33148148148148143</v>
      </c>
      <c r="AC259" s="46">
        <f t="shared" ref="AC259:AC322" si="72">Y259*P259</f>
        <v>0.33333333333333331</v>
      </c>
      <c r="AD259" s="44" t="str">
        <f t="shared" ref="AD259:AD322" si="73">IFERROR(IF(Q259&gt;AC259, "Over", IF(Q259&lt;=Z259, "Stockout", IF(Q259&lt;=AA259, "Re-order",""))), "")</f>
        <v>Over</v>
      </c>
      <c r="AE259" s="44" t="str">
        <f>IFERROR(VLOOKUP(A259,'[1]Re-order'!$A:$AA,27,0),"")</f>
        <v>Re-order</v>
      </c>
      <c r="AF259" s="46">
        <f t="shared" ref="AF259:AF322" si="74">AC259-Q259</f>
        <v>-1.6666666666666667</v>
      </c>
      <c r="AG259" s="46">
        <f>SUMIFS('[1]Raw Inventory'!D:D,'[1]Raw Inventory'!C:C,"GREATWALL",'[1]Raw Inventory'!B:B,A259)</f>
        <v>29</v>
      </c>
      <c r="AH259" s="46">
        <f>SUMIFS('[1]Raw Inventory'!D:D,'[1]Raw Inventory'!C:C,"DUARTE",'[1]Raw Inventory'!B:B,A259)</f>
        <v>0</v>
      </c>
      <c r="AI259" s="46"/>
      <c r="AJ259" s="46"/>
      <c r="AK259" s="43"/>
      <c r="AL259" s="43"/>
      <c r="AM259" s="43"/>
      <c r="AN259" s="43"/>
      <c r="AO259" s="43"/>
      <c r="AP259" s="43"/>
      <c r="AQ259" s="43"/>
      <c r="AR259" s="43"/>
      <c r="AS259" s="43"/>
      <c r="AT259" s="43"/>
    </row>
    <row r="260" spans="1:46">
      <c r="A260" s="43" t="s">
        <v>39</v>
      </c>
      <c r="B260" s="43" t="s">
        <v>92</v>
      </c>
      <c r="C260" s="43" t="s">
        <v>90</v>
      </c>
      <c r="D260" s="44" t="s">
        <v>268</v>
      </c>
      <c r="E260" s="44">
        <v>22</v>
      </c>
      <c r="F260" s="44" t="s">
        <v>3</v>
      </c>
      <c r="G260" s="43" t="str">
        <f>IFERROR(VLOOKUP(A260,'[1]MC Masterlist 2026-09-12'!$B:$M, 3, 0),"")</f>
        <v>HONDA</v>
      </c>
      <c r="H260" s="45">
        <f>IFERROR(VLOOKUP(A260,'[1]MC Masterlist 2026-09-12'!$B:$M, 6, 0),"")</f>
        <v>72434</v>
      </c>
      <c r="I260" s="46">
        <v>0</v>
      </c>
      <c r="J260" s="46">
        <v>0</v>
      </c>
      <c r="K260" s="46">
        <v>1</v>
      </c>
      <c r="L260" s="46">
        <f t="shared" si="60"/>
        <v>1</v>
      </c>
      <c r="M260" s="46">
        <f t="shared" si="61"/>
        <v>0.33333333333333331</v>
      </c>
      <c r="N260" s="45">
        <f t="shared" si="62"/>
        <v>72434</v>
      </c>
      <c r="O260" s="45">
        <f t="shared" si="63"/>
        <v>24144.666666666664</v>
      </c>
      <c r="P260" s="46">
        <f t="shared" si="64"/>
        <v>1.111111111111111E-2</v>
      </c>
      <c r="Q260" s="46">
        <v>1</v>
      </c>
      <c r="R260" s="45">
        <f t="shared" si="65"/>
        <v>72434</v>
      </c>
      <c r="S260" s="46">
        <f t="shared" si="66"/>
        <v>90.000000000000014</v>
      </c>
      <c r="T260" s="46">
        <f>IFERROR(VLOOKUP(A260,'[1]Re-order'!$A:$Q,17,0),"")</f>
        <v>40.982142857142854</v>
      </c>
      <c r="U260" s="46">
        <f>IFERROR(VLOOKUP(A260,'[1]MC Masterlist 2026-09-12'!$B:$M, 10, 0),0)</f>
        <v>15</v>
      </c>
      <c r="V260" s="46">
        <f>IFERROR(VLOOKUP(A260,'[1]MC Masterlist 2026-09-12'!$B:$M, 11, 0),0)</f>
        <v>15</v>
      </c>
      <c r="W260" s="46">
        <f t="shared" si="67"/>
        <v>30</v>
      </c>
      <c r="X260" s="46">
        <f t="shared" si="68"/>
        <v>29.833333333333332</v>
      </c>
      <c r="Y260" s="46">
        <f>IFERROR(IF(OR(C260="AREA I",C260="AREA V"),7,VLOOKUP(A260,'[1]MC Masterlist 2026-09-12'!$B:$M, 12, 0)),0)</f>
        <v>30</v>
      </c>
      <c r="Z260" s="46">
        <f t="shared" si="69"/>
        <v>0.16666666666666666</v>
      </c>
      <c r="AA260" s="46">
        <f t="shared" si="70"/>
        <v>0.33333333333333331</v>
      </c>
      <c r="AB260" s="46">
        <f t="shared" si="71"/>
        <v>0.33148148148148143</v>
      </c>
      <c r="AC260" s="46">
        <f t="shared" si="72"/>
        <v>0.33333333333333331</v>
      </c>
      <c r="AD260" s="44" t="str">
        <f t="shared" si="73"/>
        <v>Over</v>
      </c>
      <c r="AE260" s="44" t="str">
        <f>IFERROR(VLOOKUP(A260,'[1]Re-order'!$A:$AA,27,0),"")</f>
        <v>Re-order</v>
      </c>
      <c r="AF260" s="46">
        <f t="shared" si="74"/>
        <v>-0.66666666666666674</v>
      </c>
      <c r="AG260" s="46">
        <f>SUMIFS('[1]Raw Inventory'!D:D,'[1]Raw Inventory'!C:C,"GREATWALL",'[1]Raw Inventory'!B:B,A260)</f>
        <v>16</v>
      </c>
      <c r="AH260" s="46">
        <f>SUMIFS('[1]Raw Inventory'!D:D,'[1]Raw Inventory'!C:C,"DUARTE",'[1]Raw Inventory'!B:B,A260)</f>
        <v>0</v>
      </c>
      <c r="AI260" s="46"/>
      <c r="AJ260" s="46"/>
      <c r="AK260" s="43"/>
      <c r="AL260" s="43"/>
      <c r="AM260" s="43"/>
      <c r="AN260" s="43"/>
      <c r="AO260" s="43"/>
      <c r="AP260" s="43"/>
      <c r="AQ260" s="43"/>
      <c r="AR260" s="43"/>
      <c r="AS260" s="43"/>
      <c r="AT260" s="43"/>
    </row>
    <row r="261" spans="1:46">
      <c r="A261" s="43" t="s">
        <v>48</v>
      </c>
      <c r="B261" s="43" t="s">
        <v>154</v>
      </c>
      <c r="C261" s="43" t="s">
        <v>152</v>
      </c>
      <c r="D261" s="44" t="s">
        <v>272</v>
      </c>
      <c r="E261" s="44">
        <v>28</v>
      </c>
      <c r="F261" s="44" t="s">
        <v>3</v>
      </c>
      <c r="G261" s="43" t="str">
        <f>IFERROR(VLOOKUP(A261,'[1]MC Masterlist 2026-09-12'!$B:$M, 3, 0),"")</f>
        <v>SUZUKI</v>
      </c>
      <c r="H261" s="45">
        <f>IFERROR(VLOOKUP(A261,'[1]MC Masterlist 2026-09-12'!$B:$M, 6, 0),"")</f>
        <v>82687</v>
      </c>
      <c r="I261" s="46">
        <v>0</v>
      </c>
      <c r="J261" s="46">
        <v>0</v>
      </c>
      <c r="K261" s="46">
        <v>0</v>
      </c>
      <c r="L261" s="46">
        <f t="shared" si="60"/>
        <v>0</v>
      </c>
      <c r="M261" s="46">
        <f t="shared" si="61"/>
        <v>0</v>
      </c>
      <c r="N261" s="45">
        <f t="shared" si="62"/>
        <v>0</v>
      </c>
      <c r="O261" s="45">
        <f t="shared" si="63"/>
        <v>0</v>
      </c>
      <c r="P261" s="46">
        <f t="shared" si="64"/>
        <v>0</v>
      </c>
      <c r="Q261" s="46">
        <v>1</v>
      </c>
      <c r="R261" s="45">
        <f t="shared" si="65"/>
        <v>82687</v>
      </c>
      <c r="S261" s="46">
        <f t="shared" si="66"/>
        <v>0</v>
      </c>
      <c r="T261" s="46">
        <f>IFERROR(VLOOKUP(A261,'[1]Re-order'!$A:$Q,17,0),"")</f>
        <v>303.75</v>
      </c>
      <c r="U261" s="46">
        <f>IFERROR(VLOOKUP(A261,'[1]MC Masterlist 2026-09-12'!$B:$M, 10, 0),0)</f>
        <v>15</v>
      </c>
      <c r="V261" s="46">
        <f>IFERROR(VLOOKUP(A261,'[1]MC Masterlist 2026-09-12'!$B:$M, 11, 0),0)</f>
        <v>15</v>
      </c>
      <c r="W261" s="46">
        <f t="shared" si="67"/>
        <v>30</v>
      </c>
      <c r="X261" s="46">
        <f t="shared" si="68"/>
        <v>30</v>
      </c>
      <c r="Y261" s="46">
        <f>IFERROR(IF(OR(C261="AREA I",C261="AREA V"),7,VLOOKUP(A261,'[1]MC Masterlist 2026-09-12'!$B:$M, 12, 0)),0)</f>
        <v>30</v>
      </c>
      <c r="Z261" s="46">
        <f t="shared" si="69"/>
        <v>0</v>
      </c>
      <c r="AA261" s="46">
        <f t="shared" si="70"/>
        <v>0</v>
      </c>
      <c r="AB261" s="46">
        <f t="shared" si="71"/>
        <v>0</v>
      </c>
      <c r="AC261" s="46">
        <f t="shared" si="72"/>
        <v>0</v>
      </c>
      <c r="AD261" s="44" t="str">
        <f t="shared" si="73"/>
        <v>Over</v>
      </c>
      <c r="AE261" s="44" t="str">
        <f>IFERROR(VLOOKUP(A261,'[1]Re-order'!$A:$AA,27,0),"")</f>
        <v>Over</v>
      </c>
      <c r="AF261" s="46">
        <f t="shared" si="74"/>
        <v>-1</v>
      </c>
      <c r="AG261" s="46">
        <f>SUMIFS('[1]Raw Inventory'!D:D,'[1]Raw Inventory'!C:C,"GREATWALL",'[1]Raw Inventory'!B:B,A261)</f>
        <v>10</v>
      </c>
      <c r="AH261" s="46">
        <f>SUMIFS('[1]Raw Inventory'!D:D,'[1]Raw Inventory'!C:C,"DUARTE",'[1]Raw Inventory'!B:B,A261)</f>
        <v>0</v>
      </c>
      <c r="AI261" s="46"/>
      <c r="AJ261" s="46"/>
      <c r="AK261" s="43"/>
      <c r="AL261" s="43"/>
      <c r="AM261" s="43"/>
      <c r="AN261" s="43"/>
      <c r="AO261" s="43"/>
      <c r="AP261" s="43"/>
      <c r="AQ261" s="43"/>
      <c r="AR261" s="43"/>
      <c r="AS261" s="43"/>
      <c r="AT261" s="43"/>
    </row>
    <row r="262" spans="1:46">
      <c r="A262" s="43" t="s">
        <v>14</v>
      </c>
      <c r="B262" s="43" t="s">
        <v>111</v>
      </c>
      <c r="C262" s="43" t="s">
        <v>109</v>
      </c>
      <c r="D262" s="44" t="s">
        <v>238</v>
      </c>
      <c r="E262" s="44">
        <v>2</v>
      </c>
      <c r="F262" s="44" t="s">
        <v>0</v>
      </c>
      <c r="G262" s="43" t="str">
        <f>IFERROR(VLOOKUP(A262,'[1]MC Masterlist 2026-09-12'!$B:$M, 3, 0),"")</f>
        <v>HONDA</v>
      </c>
      <c r="H262" s="45">
        <f>IFERROR(VLOOKUP(A262,'[1]MC Masterlist 2026-09-12'!$B:$M, 6, 0),"")</f>
        <v>80070</v>
      </c>
      <c r="I262" s="46">
        <v>15</v>
      </c>
      <c r="J262" s="46">
        <v>2</v>
      </c>
      <c r="K262" s="46">
        <v>13</v>
      </c>
      <c r="L262" s="46">
        <f t="shared" si="60"/>
        <v>30</v>
      </c>
      <c r="M262" s="46">
        <f t="shared" si="61"/>
        <v>10</v>
      </c>
      <c r="N262" s="45">
        <f t="shared" si="62"/>
        <v>2402100</v>
      </c>
      <c r="O262" s="45">
        <f t="shared" si="63"/>
        <v>800700</v>
      </c>
      <c r="P262" s="46">
        <f t="shared" si="64"/>
        <v>0.33333333333333331</v>
      </c>
      <c r="Q262" s="46">
        <v>2</v>
      </c>
      <c r="R262" s="45">
        <f t="shared" si="65"/>
        <v>160140</v>
      </c>
      <c r="S262" s="46">
        <f t="shared" si="66"/>
        <v>6</v>
      </c>
      <c r="T262" s="46">
        <f>IFERROR(VLOOKUP(A262,'[1]Re-order'!$A:$Q,17,0),"")</f>
        <v>20.105787181082761</v>
      </c>
      <c r="U262" s="46">
        <f>IFERROR(VLOOKUP(A262,'[1]MC Masterlist 2026-09-12'!$B:$M, 10, 0),0)</f>
        <v>15</v>
      </c>
      <c r="V262" s="46">
        <f>IFERROR(VLOOKUP(A262,'[1]MC Masterlist 2026-09-12'!$B:$M, 11, 0),0)</f>
        <v>15</v>
      </c>
      <c r="W262" s="46">
        <f t="shared" si="67"/>
        <v>30</v>
      </c>
      <c r="X262" s="46">
        <f t="shared" si="68"/>
        <v>25</v>
      </c>
      <c r="Y262" s="46">
        <f>IFERROR(IF(OR(C262="AREA I",C262="AREA V"),7,VLOOKUP(A262,'[1]MC Masterlist 2026-09-12'!$B:$M, 12, 0)),0)</f>
        <v>30</v>
      </c>
      <c r="Z262" s="46">
        <f t="shared" si="69"/>
        <v>5</v>
      </c>
      <c r="AA262" s="46">
        <f t="shared" si="70"/>
        <v>10</v>
      </c>
      <c r="AB262" s="46">
        <f t="shared" si="71"/>
        <v>8.3333333333333321</v>
      </c>
      <c r="AC262" s="46">
        <f t="shared" si="72"/>
        <v>10</v>
      </c>
      <c r="AD262" s="44" t="str">
        <f t="shared" si="73"/>
        <v>Stockout</v>
      </c>
      <c r="AE262" s="44" t="str">
        <f>IFERROR(VLOOKUP(A262,'[1]Re-order'!$A:$AA,27,0),"")</f>
        <v>Stockout</v>
      </c>
      <c r="AF262" s="46">
        <f t="shared" si="74"/>
        <v>8</v>
      </c>
      <c r="AG262" s="46">
        <f>SUMIFS('[1]Raw Inventory'!D:D,'[1]Raw Inventory'!C:C,"GREATWALL",'[1]Raw Inventory'!B:B,A262)</f>
        <v>176</v>
      </c>
      <c r="AH262" s="46">
        <f>SUMIFS('[1]Raw Inventory'!D:D,'[1]Raw Inventory'!C:C,"DUARTE",'[1]Raw Inventory'!B:B,A262)</f>
        <v>0</v>
      </c>
      <c r="AI262" s="46"/>
      <c r="AJ262" s="46"/>
      <c r="AK262" s="43"/>
      <c r="AL262" s="43"/>
      <c r="AM262" s="43"/>
      <c r="AN262" s="43"/>
      <c r="AO262" s="43"/>
      <c r="AP262" s="43"/>
      <c r="AQ262" s="43"/>
      <c r="AR262" s="43"/>
      <c r="AS262" s="43"/>
      <c r="AT262" s="43"/>
    </row>
    <row r="263" spans="1:46">
      <c r="A263" s="43" t="s">
        <v>18</v>
      </c>
      <c r="B263" s="43" t="s">
        <v>155</v>
      </c>
      <c r="C263" s="43" t="s">
        <v>152</v>
      </c>
      <c r="D263" s="44" t="s">
        <v>253</v>
      </c>
      <c r="E263" s="44">
        <v>27</v>
      </c>
      <c r="F263" s="44" t="s">
        <v>3</v>
      </c>
      <c r="G263" s="43" t="str">
        <f>IFERROR(VLOOKUP(A263,'[1]MC Masterlist 2026-09-12'!$B:$M, 3, 0),"")</f>
        <v>HONDA</v>
      </c>
      <c r="H263" s="45">
        <f>IFERROR(VLOOKUP(A263,'[1]MC Masterlist 2026-09-12'!$B:$M, 6, 0),"")</f>
        <v>94330</v>
      </c>
      <c r="I263" s="46">
        <v>0</v>
      </c>
      <c r="J263" s="46">
        <v>0</v>
      </c>
      <c r="K263" s="46">
        <v>0</v>
      </c>
      <c r="L263" s="46">
        <f t="shared" si="60"/>
        <v>0</v>
      </c>
      <c r="M263" s="46">
        <f t="shared" si="61"/>
        <v>0</v>
      </c>
      <c r="N263" s="45">
        <f t="shared" si="62"/>
        <v>0</v>
      </c>
      <c r="O263" s="45">
        <f t="shared" si="63"/>
        <v>0</v>
      </c>
      <c r="P263" s="46">
        <f t="shared" si="64"/>
        <v>0</v>
      </c>
      <c r="Q263" s="46">
        <v>1</v>
      </c>
      <c r="R263" s="45">
        <f t="shared" si="65"/>
        <v>94330</v>
      </c>
      <c r="S263" s="46">
        <f t="shared" si="66"/>
        <v>0</v>
      </c>
      <c r="T263" s="46">
        <f>IFERROR(VLOOKUP(A263,'[1]Re-order'!$A:$Q,17,0),"")</f>
        <v>113.9644970414201</v>
      </c>
      <c r="U263" s="46">
        <f>IFERROR(VLOOKUP(A263,'[1]MC Masterlist 2026-09-12'!$B:$M, 10, 0),0)</f>
        <v>15</v>
      </c>
      <c r="V263" s="46">
        <f>IFERROR(VLOOKUP(A263,'[1]MC Masterlist 2026-09-12'!$B:$M, 11, 0),0)</f>
        <v>15</v>
      </c>
      <c r="W263" s="46">
        <f t="shared" si="67"/>
        <v>30</v>
      </c>
      <c r="X263" s="46">
        <f t="shared" si="68"/>
        <v>30</v>
      </c>
      <c r="Y263" s="46">
        <f>IFERROR(IF(OR(C263="AREA I",C263="AREA V"),7,VLOOKUP(A263,'[1]MC Masterlist 2026-09-12'!$B:$M, 12, 0)),0)</f>
        <v>30</v>
      </c>
      <c r="Z263" s="46">
        <f t="shared" si="69"/>
        <v>0</v>
      </c>
      <c r="AA263" s="46">
        <f t="shared" si="70"/>
        <v>0</v>
      </c>
      <c r="AB263" s="46">
        <f t="shared" si="71"/>
        <v>0</v>
      </c>
      <c r="AC263" s="46">
        <f t="shared" si="72"/>
        <v>0</v>
      </c>
      <c r="AD263" s="44" t="str">
        <f t="shared" si="73"/>
        <v>Over</v>
      </c>
      <c r="AE263" s="44" t="str">
        <f>IFERROR(VLOOKUP(A263,'[1]Re-order'!$A:$AA,27,0),"")</f>
        <v>Over</v>
      </c>
      <c r="AF263" s="46">
        <f t="shared" si="74"/>
        <v>-1</v>
      </c>
      <c r="AG263" s="46">
        <f>SUMIFS('[1]Raw Inventory'!D:D,'[1]Raw Inventory'!C:C,"GREATWALL",'[1]Raw Inventory'!B:B,A263)</f>
        <v>88</v>
      </c>
      <c r="AH263" s="46">
        <f>SUMIFS('[1]Raw Inventory'!D:D,'[1]Raw Inventory'!C:C,"DUARTE",'[1]Raw Inventory'!B:B,A263)</f>
        <v>0</v>
      </c>
      <c r="AI263" s="46"/>
      <c r="AJ263" s="46"/>
      <c r="AK263" s="43"/>
      <c r="AL263" s="43"/>
      <c r="AM263" s="43"/>
      <c r="AN263" s="43"/>
      <c r="AO263" s="43"/>
      <c r="AP263" s="43"/>
      <c r="AQ263" s="43"/>
      <c r="AR263" s="43"/>
      <c r="AS263" s="43"/>
      <c r="AT263" s="43"/>
    </row>
    <row r="264" spans="1:46">
      <c r="A264" s="43" t="s">
        <v>22</v>
      </c>
      <c r="B264" s="43" t="s">
        <v>122</v>
      </c>
      <c r="C264" s="43" t="s">
        <v>118</v>
      </c>
      <c r="D264" s="44" t="s">
        <v>224</v>
      </c>
      <c r="E264" s="44">
        <v>12</v>
      </c>
      <c r="F264" s="44" t="s">
        <v>2</v>
      </c>
      <c r="G264" s="43" t="str">
        <f>IFERROR(VLOOKUP(A264,'[1]MC Masterlist 2026-09-12'!$B:$M, 3, 0),"")</f>
        <v>HONDA</v>
      </c>
      <c r="H264" s="45">
        <f>IFERROR(VLOOKUP(A264,'[1]MC Masterlist 2026-09-12'!$B:$M, 6, 0),"")</f>
        <v>111258</v>
      </c>
      <c r="I264" s="46">
        <v>0</v>
      </c>
      <c r="J264" s="46">
        <v>4</v>
      </c>
      <c r="K264" s="46">
        <v>1</v>
      </c>
      <c r="L264" s="46">
        <f t="shared" si="60"/>
        <v>5</v>
      </c>
      <c r="M264" s="46">
        <f t="shared" si="61"/>
        <v>1.6666666666666667</v>
      </c>
      <c r="N264" s="45">
        <f t="shared" si="62"/>
        <v>556290</v>
      </c>
      <c r="O264" s="45">
        <f t="shared" si="63"/>
        <v>185430</v>
      </c>
      <c r="P264" s="46">
        <f t="shared" si="64"/>
        <v>5.5555555555555559E-2</v>
      </c>
      <c r="Q264" s="46">
        <v>2</v>
      </c>
      <c r="R264" s="45">
        <f t="shared" si="65"/>
        <v>222516</v>
      </c>
      <c r="S264" s="46">
        <f t="shared" si="66"/>
        <v>36</v>
      </c>
      <c r="T264" s="46">
        <f>IFERROR(VLOOKUP(A264,'[1]Re-order'!$A:$Q,17,0),"")</f>
        <v>41.339712918660283</v>
      </c>
      <c r="U264" s="46">
        <f>IFERROR(VLOOKUP(A264,'[1]MC Masterlist 2026-09-12'!$B:$M, 10, 0),0)</f>
        <v>15</v>
      </c>
      <c r="V264" s="46">
        <f>IFERROR(VLOOKUP(A264,'[1]MC Masterlist 2026-09-12'!$B:$M, 11, 0),0)</f>
        <v>15</v>
      </c>
      <c r="W264" s="46">
        <f t="shared" si="67"/>
        <v>30</v>
      </c>
      <c r="X264" s="46">
        <f t="shared" si="68"/>
        <v>29.166666666666668</v>
      </c>
      <c r="Y264" s="46">
        <f>IFERROR(IF(OR(C264="AREA I",C264="AREA V"),7,VLOOKUP(A264,'[1]MC Masterlist 2026-09-12'!$B:$M, 12, 0)),0)</f>
        <v>30</v>
      </c>
      <c r="Z264" s="46">
        <f t="shared" si="69"/>
        <v>0.83333333333333337</v>
      </c>
      <c r="AA264" s="46">
        <f t="shared" si="70"/>
        <v>1.6666666666666667</v>
      </c>
      <c r="AB264" s="46">
        <f t="shared" si="71"/>
        <v>1.6203703703703705</v>
      </c>
      <c r="AC264" s="46">
        <f t="shared" si="72"/>
        <v>1.6666666666666667</v>
      </c>
      <c r="AD264" s="44" t="str">
        <f t="shared" si="73"/>
        <v>Over</v>
      </c>
      <c r="AE264" s="44" t="str">
        <f>IFERROR(VLOOKUP(A264,'[1]Re-order'!$A:$AA,27,0),"")</f>
        <v>Re-order</v>
      </c>
      <c r="AF264" s="46">
        <f t="shared" si="74"/>
        <v>-0.33333333333333326</v>
      </c>
      <c r="AG264" s="46">
        <f>SUMIFS('[1]Raw Inventory'!D:D,'[1]Raw Inventory'!C:C,"GREATWALL",'[1]Raw Inventory'!B:B,A264)</f>
        <v>4</v>
      </c>
      <c r="AH264" s="46">
        <f>SUMIFS('[1]Raw Inventory'!D:D,'[1]Raw Inventory'!C:C,"DUARTE",'[1]Raw Inventory'!B:B,A264)</f>
        <v>0</v>
      </c>
      <c r="AI264" s="46"/>
      <c r="AJ264" s="46"/>
      <c r="AK264" s="43"/>
      <c r="AL264" s="43"/>
      <c r="AM264" s="43"/>
      <c r="AN264" s="43"/>
      <c r="AO264" s="43"/>
      <c r="AP264" s="43"/>
      <c r="AQ264" s="43"/>
      <c r="AR264" s="43"/>
      <c r="AS264" s="43"/>
      <c r="AT264" s="43"/>
    </row>
    <row r="265" spans="1:46">
      <c r="A265" s="43" t="s">
        <v>37</v>
      </c>
      <c r="B265" s="43" t="s">
        <v>115</v>
      </c>
      <c r="C265" s="43" t="s">
        <v>109</v>
      </c>
      <c r="D265" s="44" t="s">
        <v>266</v>
      </c>
      <c r="E265" s="44">
        <v>15</v>
      </c>
      <c r="F265" s="44" t="s">
        <v>2</v>
      </c>
      <c r="G265" s="43" t="str">
        <f>IFERROR(VLOOKUP(A265,'[1]MC Masterlist 2026-09-12'!$B:$M, 3, 0),"")</f>
        <v>HONDA</v>
      </c>
      <c r="H265" s="45">
        <f>IFERROR(VLOOKUP(A265,'[1]MC Masterlist 2026-09-12'!$B:$M, 6, 0),"")</f>
        <v>74550</v>
      </c>
      <c r="I265" s="46">
        <v>0</v>
      </c>
      <c r="J265" s="46">
        <v>2</v>
      </c>
      <c r="K265" s="46">
        <v>1</v>
      </c>
      <c r="L265" s="46">
        <f t="shared" si="60"/>
        <v>3</v>
      </c>
      <c r="M265" s="46">
        <f t="shared" si="61"/>
        <v>1</v>
      </c>
      <c r="N265" s="45">
        <f t="shared" si="62"/>
        <v>223650</v>
      </c>
      <c r="O265" s="45">
        <f t="shared" si="63"/>
        <v>74550</v>
      </c>
      <c r="P265" s="46">
        <f t="shared" si="64"/>
        <v>3.3333333333333333E-2</v>
      </c>
      <c r="Q265" s="46">
        <v>1</v>
      </c>
      <c r="R265" s="45">
        <f t="shared" si="65"/>
        <v>74550</v>
      </c>
      <c r="S265" s="46">
        <f t="shared" si="66"/>
        <v>30</v>
      </c>
      <c r="T265" s="46">
        <f>IFERROR(VLOOKUP(A265,'[1]Re-order'!$A:$Q,17,0),"")</f>
        <v>33.652173913043477</v>
      </c>
      <c r="U265" s="46">
        <f>IFERROR(VLOOKUP(A265,'[1]MC Masterlist 2026-09-12'!$B:$M, 10, 0),0)</f>
        <v>15</v>
      </c>
      <c r="V265" s="46">
        <f>IFERROR(VLOOKUP(A265,'[1]MC Masterlist 2026-09-12'!$B:$M, 11, 0),0)</f>
        <v>15</v>
      </c>
      <c r="W265" s="46">
        <f t="shared" si="67"/>
        <v>30</v>
      </c>
      <c r="X265" s="46">
        <f t="shared" si="68"/>
        <v>29.5</v>
      </c>
      <c r="Y265" s="46">
        <f>IFERROR(IF(OR(C265="AREA I",C265="AREA V"),7,VLOOKUP(A265,'[1]MC Masterlist 2026-09-12'!$B:$M, 12, 0)),0)</f>
        <v>30</v>
      </c>
      <c r="Z265" s="46">
        <f t="shared" si="69"/>
        <v>0.5</v>
      </c>
      <c r="AA265" s="46">
        <f t="shared" si="70"/>
        <v>1</v>
      </c>
      <c r="AB265" s="46">
        <f t="shared" si="71"/>
        <v>0.98333333333333328</v>
      </c>
      <c r="AC265" s="46">
        <f t="shared" si="72"/>
        <v>1</v>
      </c>
      <c r="AD265" s="44" t="str">
        <f t="shared" si="73"/>
        <v>Re-order</v>
      </c>
      <c r="AE265" s="44" t="str">
        <f>IFERROR(VLOOKUP(A265,'[1]Re-order'!$A:$AA,27,0),"")</f>
        <v>Re-order</v>
      </c>
      <c r="AF265" s="46">
        <f t="shared" si="74"/>
        <v>0</v>
      </c>
      <c r="AG265" s="46">
        <f>SUMIFS('[1]Raw Inventory'!D:D,'[1]Raw Inventory'!C:C,"GREATWALL",'[1]Raw Inventory'!B:B,A265)</f>
        <v>28</v>
      </c>
      <c r="AH265" s="46">
        <f>SUMIFS('[1]Raw Inventory'!D:D,'[1]Raw Inventory'!C:C,"DUARTE",'[1]Raw Inventory'!B:B,A265)</f>
        <v>0</v>
      </c>
      <c r="AI265" s="46"/>
      <c r="AJ265" s="46"/>
      <c r="AK265" s="43"/>
      <c r="AL265" s="43"/>
      <c r="AM265" s="43"/>
      <c r="AN265" s="43"/>
      <c r="AO265" s="43"/>
      <c r="AP265" s="43"/>
      <c r="AQ265" s="43"/>
      <c r="AR265" s="43"/>
      <c r="AS265" s="43"/>
      <c r="AT265" s="43"/>
    </row>
    <row r="266" spans="1:46">
      <c r="A266" s="43" t="s">
        <v>84</v>
      </c>
      <c r="B266" s="43" t="s">
        <v>130</v>
      </c>
      <c r="C266" s="43" t="s">
        <v>128</v>
      </c>
      <c r="D266" s="44" t="s">
        <v>231</v>
      </c>
      <c r="E266" s="44">
        <v>30</v>
      </c>
      <c r="F266" s="44" t="s">
        <v>3</v>
      </c>
      <c r="G266" s="43" t="str">
        <f>IFERROR(VLOOKUP(A266,'[1]MC Masterlist 2026-09-12'!$B:$M, 3, 0),"")</f>
        <v>SKYGO</v>
      </c>
      <c r="H266" s="45">
        <f>IFERROR(VLOOKUP(A266,'[1]MC Masterlist 2026-09-12'!$B:$M, 6, 0),"")</f>
        <v>98325</v>
      </c>
      <c r="I266" s="46">
        <v>0</v>
      </c>
      <c r="J266" s="46">
        <v>0</v>
      </c>
      <c r="K266" s="46">
        <v>0</v>
      </c>
      <c r="L266" s="46">
        <f t="shared" si="60"/>
        <v>0</v>
      </c>
      <c r="M266" s="46">
        <f t="shared" si="61"/>
        <v>0</v>
      </c>
      <c r="N266" s="45">
        <f t="shared" si="62"/>
        <v>0</v>
      </c>
      <c r="O266" s="45">
        <f t="shared" si="63"/>
        <v>0</v>
      </c>
      <c r="P266" s="46">
        <f t="shared" si="64"/>
        <v>0</v>
      </c>
      <c r="Q266" s="46">
        <v>1</v>
      </c>
      <c r="R266" s="45">
        <f t="shared" si="65"/>
        <v>98325</v>
      </c>
      <c r="S266" s="46">
        <f t="shared" si="66"/>
        <v>0</v>
      </c>
      <c r="T266" s="46">
        <f>IFERROR(VLOOKUP(A266,'[1]Re-order'!$A:$Q,17,0),"")</f>
        <v>360</v>
      </c>
      <c r="U266" s="46">
        <f>IFERROR(VLOOKUP(A266,'[1]MC Masterlist 2026-09-12'!$B:$M, 10, 0),0)</f>
        <v>15</v>
      </c>
      <c r="V266" s="46">
        <f>IFERROR(VLOOKUP(A266,'[1]MC Masterlist 2026-09-12'!$B:$M, 11, 0),0)</f>
        <v>15</v>
      </c>
      <c r="W266" s="46">
        <f t="shared" si="67"/>
        <v>30</v>
      </c>
      <c r="X266" s="46">
        <f t="shared" si="68"/>
        <v>30</v>
      </c>
      <c r="Y266" s="46">
        <f>IFERROR(IF(OR(C266="AREA I",C266="AREA V"),7,VLOOKUP(A266,'[1]MC Masterlist 2026-09-12'!$B:$M, 12, 0)),0)</f>
        <v>30</v>
      </c>
      <c r="Z266" s="46">
        <f t="shared" si="69"/>
        <v>0</v>
      </c>
      <c r="AA266" s="46">
        <f t="shared" si="70"/>
        <v>0</v>
      </c>
      <c r="AB266" s="46">
        <f t="shared" si="71"/>
        <v>0</v>
      </c>
      <c r="AC266" s="46">
        <f t="shared" si="72"/>
        <v>0</v>
      </c>
      <c r="AD266" s="44" t="str">
        <f t="shared" si="73"/>
        <v>Over</v>
      </c>
      <c r="AE266" s="44" t="str">
        <f>IFERROR(VLOOKUP(A266,'[1]Re-order'!$A:$AA,27,0),"")</f>
        <v>Over</v>
      </c>
      <c r="AF266" s="46">
        <f t="shared" si="74"/>
        <v>-1</v>
      </c>
      <c r="AG266" s="46">
        <f>SUMIFS('[1]Raw Inventory'!D:D,'[1]Raw Inventory'!C:C,"GREATWALL",'[1]Raw Inventory'!B:B,A266)</f>
        <v>0</v>
      </c>
      <c r="AH266" s="46">
        <f>SUMIFS('[1]Raw Inventory'!D:D,'[1]Raw Inventory'!C:C,"DUARTE",'[1]Raw Inventory'!B:B,A266)</f>
        <v>0</v>
      </c>
      <c r="AI266" s="46"/>
      <c r="AJ266" s="46"/>
      <c r="AK266" s="43"/>
      <c r="AL266" s="43"/>
      <c r="AM266" s="43"/>
      <c r="AN266" s="43"/>
      <c r="AO266" s="43"/>
      <c r="AP266" s="43"/>
      <c r="AQ266" s="43"/>
      <c r="AR266" s="43"/>
      <c r="AS266" s="43"/>
      <c r="AT266" s="43"/>
    </row>
    <row r="267" spans="1:46">
      <c r="A267" s="43" t="s">
        <v>83</v>
      </c>
      <c r="B267" s="43" t="s">
        <v>123</v>
      </c>
      <c r="C267" s="43" t="s">
        <v>118</v>
      </c>
      <c r="D267" s="44" t="s">
        <v>226</v>
      </c>
      <c r="E267" s="44">
        <v>25</v>
      </c>
      <c r="F267" s="44" t="s">
        <v>3</v>
      </c>
      <c r="G267" s="43" t="str">
        <f>IFERROR(VLOOKUP(A267,'[1]MC Masterlist 2026-09-12'!$B:$M, 3, 0),"")</f>
        <v>SKYGO</v>
      </c>
      <c r="H267" s="45">
        <f>IFERROR(VLOOKUP(A267,'[1]MC Masterlist 2026-09-12'!$B:$M, 6, 0),"")</f>
        <v>35055</v>
      </c>
      <c r="I267" s="46">
        <v>0</v>
      </c>
      <c r="J267" s="46">
        <v>0</v>
      </c>
      <c r="K267" s="46">
        <v>0</v>
      </c>
      <c r="L267" s="46">
        <f t="shared" si="60"/>
        <v>0</v>
      </c>
      <c r="M267" s="46">
        <f t="shared" si="61"/>
        <v>0</v>
      </c>
      <c r="N267" s="45">
        <f t="shared" si="62"/>
        <v>0</v>
      </c>
      <c r="O267" s="45">
        <f t="shared" si="63"/>
        <v>0</v>
      </c>
      <c r="P267" s="46">
        <f t="shared" si="64"/>
        <v>0</v>
      </c>
      <c r="Q267" s="46">
        <v>2</v>
      </c>
      <c r="R267" s="45">
        <f t="shared" si="65"/>
        <v>70110</v>
      </c>
      <c r="S267" s="46">
        <f t="shared" si="66"/>
        <v>0</v>
      </c>
      <c r="T267" s="46">
        <f>IFERROR(VLOOKUP(A267,'[1]Re-order'!$A:$Q,17,0),"")</f>
        <v>313.2</v>
      </c>
      <c r="U267" s="46">
        <f>IFERROR(VLOOKUP(A267,'[1]MC Masterlist 2026-09-12'!$B:$M, 10, 0),0)</f>
        <v>15</v>
      </c>
      <c r="V267" s="46">
        <f>IFERROR(VLOOKUP(A267,'[1]MC Masterlist 2026-09-12'!$B:$M, 11, 0),0)</f>
        <v>15</v>
      </c>
      <c r="W267" s="46">
        <f t="shared" si="67"/>
        <v>30</v>
      </c>
      <c r="X267" s="46">
        <f t="shared" si="68"/>
        <v>30</v>
      </c>
      <c r="Y267" s="46">
        <f>IFERROR(IF(OR(C267="AREA I",C267="AREA V"),7,VLOOKUP(A267,'[1]MC Masterlist 2026-09-12'!$B:$M, 12, 0)),0)</f>
        <v>30</v>
      </c>
      <c r="Z267" s="46">
        <f t="shared" si="69"/>
        <v>0</v>
      </c>
      <c r="AA267" s="46">
        <f t="shared" si="70"/>
        <v>0</v>
      </c>
      <c r="AB267" s="46">
        <f t="shared" si="71"/>
        <v>0</v>
      </c>
      <c r="AC267" s="46">
        <f t="shared" si="72"/>
        <v>0</v>
      </c>
      <c r="AD267" s="44" t="str">
        <f t="shared" si="73"/>
        <v>Over</v>
      </c>
      <c r="AE267" s="44" t="str">
        <f>IFERROR(VLOOKUP(A267,'[1]Re-order'!$A:$AA,27,0),"")</f>
        <v>Over</v>
      </c>
      <c r="AF267" s="46">
        <f t="shared" si="74"/>
        <v>-2</v>
      </c>
      <c r="AG267" s="46">
        <f>SUMIFS('[1]Raw Inventory'!D:D,'[1]Raw Inventory'!C:C,"GREATWALL",'[1]Raw Inventory'!B:B,A267)</f>
        <v>33</v>
      </c>
      <c r="AH267" s="46">
        <f>SUMIFS('[1]Raw Inventory'!D:D,'[1]Raw Inventory'!C:C,"DUARTE",'[1]Raw Inventory'!B:B,A267)</f>
        <v>0</v>
      </c>
      <c r="AI267" s="46"/>
      <c r="AJ267" s="46"/>
      <c r="AK267" s="43"/>
      <c r="AL267" s="43"/>
      <c r="AM267" s="43"/>
      <c r="AN267" s="43"/>
      <c r="AO267" s="43"/>
      <c r="AP267" s="43"/>
      <c r="AQ267" s="43"/>
      <c r="AR267" s="43"/>
      <c r="AS267" s="43"/>
      <c r="AT267" s="43"/>
    </row>
    <row r="268" spans="1:46">
      <c r="A268" s="43" t="s">
        <v>24</v>
      </c>
      <c r="B268" s="43" t="s">
        <v>98</v>
      </c>
      <c r="C268" s="43" t="s">
        <v>90</v>
      </c>
      <c r="D268" s="44" t="s">
        <v>234</v>
      </c>
      <c r="E268" s="44">
        <v>4</v>
      </c>
      <c r="F268" s="44" t="s">
        <v>0</v>
      </c>
      <c r="G268" s="43" t="str">
        <f>IFERROR(VLOOKUP(A268,'[1]MC Masterlist 2026-09-12'!$B:$M, 3, 0),"")</f>
        <v>KAWASAKI</v>
      </c>
      <c r="H268" s="45">
        <f>IFERROR(VLOOKUP(A268,'[1]MC Masterlist 2026-09-12'!$B:$M, 6, 0),"")</f>
        <v>131626</v>
      </c>
      <c r="I268" s="46">
        <v>1</v>
      </c>
      <c r="J268" s="46">
        <v>2</v>
      </c>
      <c r="K268" s="46">
        <v>1</v>
      </c>
      <c r="L268" s="46">
        <f t="shared" si="60"/>
        <v>4</v>
      </c>
      <c r="M268" s="46">
        <f t="shared" si="61"/>
        <v>1.3333333333333333</v>
      </c>
      <c r="N268" s="45">
        <f t="shared" si="62"/>
        <v>526504</v>
      </c>
      <c r="O268" s="45">
        <f t="shared" si="63"/>
        <v>175501.33333333331</v>
      </c>
      <c r="P268" s="46">
        <f t="shared" si="64"/>
        <v>4.4444444444444439E-2</v>
      </c>
      <c r="Q268" s="46">
        <v>2</v>
      </c>
      <c r="R268" s="45">
        <f t="shared" si="65"/>
        <v>263252</v>
      </c>
      <c r="S268" s="46">
        <f t="shared" si="66"/>
        <v>45.000000000000007</v>
      </c>
      <c r="T268" s="46">
        <f>IFERROR(VLOOKUP(A268,'[1]Re-order'!$A:$Q,17,0),"")</f>
        <v>40.677966101694913</v>
      </c>
      <c r="U268" s="46">
        <f>IFERROR(VLOOKUP(A268,'[1]MC Masterlist 2026-09-12'!$B:$M, 10, 0),0)</f>
        <v>15</v>
      </c>
      <c r="V268" s="46">
        <f>IFERROR(VLOOKUP(A268,'[1]MC Masterlist 2026-09-12'!$B:$M, 11, 0),0)</f>
        <v>15</v>
      </c>
      <c r="W268" s="46">
        <f t="shared" si="67"/>
        <v>30</v>
      </c>
      <c r="X268" s="46">
        <f t="shared" si="68"/>
        <v>29.333333333333332</v>
      </c>
      <c r="Y268" s="46">
        <f>IFERROR(IF(OR(C268="AREA I",C268="AREA V"),7,VLOOKUP(A268,'[1]MC Masterlist 2026-09-12'!$B:$M, 12, 0)),0)</f>
        <v>30</v>
      </c>
      <c r="Z268" s="46">
        <f t="shared" si="69"/>
        <v>0.66666666666666663</v>
      </c>
      <c r="AA268" s="46">
        <f t="shared" si="70"/>
        <v>1.3333333333333333</v>
      </c>
      <c r="AB268" s="46">
        <f t="shared" si="71"/>
        <v>1.3037037037037036</v>
      </c>
      <c r="AC268" s="46">
        <f t="shared" si="72"/>
        <v>1.3333333333333333</v>
      </c>
      <c r="AD268" s="44" t="str">
        <f t="shared" si="73"/>
        <v>Over</v>
      </c>
      <c r="AE268" s="44" t="str">
        <f>IFERROR(VLOOKUP(A268,'[1]Re-order'!$A:$AA,27,0),"")</f>
        <v>Re-order</v>
      </c>
      <c r="AF268" s="46">
        <f t="shared" si="74"/>
        <v>-0.66666666666666674</v>
      </c>
      <c r="AG268" s="46">
        <f>SUMIFS('[1]Raw Inventory'!D:D,'[1]Raw Inventory'!C:C,"GREATWALL",'[1]Raw Inventory'!B:B,A268)</f>
        <v>12</v>
      </c>
      <c r="AH268" s="46">
        <f>SUMIFS('[1]Raw Inventory'!D:D,'[1]Raw Inventory'!C:C,"DUARTE",'[1]Raw Inventory'!B:B,A268)</f>
        <v>0</v>
      </c>
      <c r="AI268" s="46"/>
      <c r="AJ268" s="46"/>
      <c r="AK268" s="43"/>
      <c r="AL268" s="43"/>
      <c r="AM268" s="43"/>
      <c r="AN268" s="43"/>
      <c r="AO268" s="43"/>
      <c r="AP268" s="43"/>
      <c r="AQ268" s="43"/>
      <c r="AR268" s="43"/>
      <c r="AS268" s="43"/>
      <c r="AT268" s="43"/>
    </row>
    <row r="269" spans="1:46">
      <c r="A269" s="43" t="s">
        <v>36</v>
      </c>
      <c r="B269" s="43" t="s">
        <v>11</v>
      </c>
      <c r="C269" s="43" t="s">
        <v>1</v>
      </c>
      <c r="D269" s="44" t="s">
        <v>255</v>
      </c>
      <c r="E269" s="44">
        <v>12</v>
      </c>
      <c r="F269" s="44" t="s">
        <v>2</v>
      </c>
      <c r="G269" s="43" t="str">
        <f>IFERROR(VLOOKUP(A269,'[1]MC Masterlist 2026-09-12'!$B:$M, 3, 0),"")</f>
        <v>HONDA</v>
      </c>
      <c r="H269" s="45">
        <f>IFERROR(VLOOKUP(A269,'[1]MC Masterlist 2026-09-12'!$B:$M, 6, 0),"")</f>
        <v>76850</v>
      </c>
      <c r="I269" s="46">
        <v>2</v>
      </c>
      <c r="J269" s="46">
        <v>1</v>
      </c>
      <c r="K269" s="46">
        <v>2</v>
      </c>
      <c r="L269" s="46">
        <f t="shared" si="60"/>
        <v>5</v>
      </c>
      <c r="M269" s="46">
        <f t="shared" si="61"/>
        <v>1.6666666666666667</v>
      </c>
      <c r="N269" s="45">
        <f t="shared" si="62"/>
        <v>384250</v>
      </c>
      <c r="O269" s="45">
        <f t="shared" si="63"/>
        <v>128083.33333333334</v>
      </c>
      <c r="P269" s="46">
        <f t="shared" si="64"/>
        <v>5.5555555555555559E-2</v>
      </c>
      <c r="Q269" s="46">
        <v>4</v>
      </c>
      <c r="R269" s="45">
        <f t="shared" si="65"/>
        <v>307400</v>
      </c>
      <c r="S269" s="46">
        <f t="shared" si="66"/>
        <v>72</v>
      </c>
      <c r="T269" s="46">
        <f>IFERROR(VLOOKUP(A269,'[1]Re-order'!$A:$Q,17,0),"")</f>
        <v>137.24999999999997</v>
      </c>
      <c r="U269" s="46">
        <f>IFERROR(VLOOKUP(A269,'[1]MC Masterlist 2026-09-12'!$B:$M, 10, 0),0)</f>
        <v>15</v>
      </c>
      <c r="V269" s="46">
        <f>IFERROR(VLOOKUP(A269,'[1]MC Masterlist 2026-09-12'!$B:$M, 11, 0),0)</f>
        <v>15</v>
      </c>
      <c r="W269" s="46">
        <f t="shared" si="67"/>
        <v>30</v>
      </c>
      <c r="X269" s="46">
        <f t="shared" si="68"/>
        <v>6.166666666666667</v>
      </c>
      <c r="Y269" s="46">
        <f>IFERROR(IF(OR(C269="AREA I",C269="AREA V"),7,VLOOKUP(A269,'[1]MC Masterlist 2026-09-12'!$B:$M, 12, 0)),0)</f>
        <v>7</v>
      </c>
      <c r="Z269" s="46">
        <f t="shared" si="69"/>
        <v>0.83333333333333337</v>
      </c>
      <c r="AA269" s="46">
        <f t="shared" si="70"/>
        <v>1.6666666666666667</v>
      </c>
      <c r="AB269" s="46">
        <f t="shared" si="71"/>
        <v>0.34259259259259262</v>
      </c>
      <c r="AC269" s="46">
        <f t="shared" si="72"/>
        <v>0.3888888888888889</v>
      </c>
      <c r="AD269" s="44" t="str">
        <f t="shared" si="73"/>
        <v>Over</v>
      </c>
      <c r="AE269" s="44" t="str">
        <f>IFERROR(VLOOKUP(A269,'[1]Re-order'!$A:$AA,27,0),"")</f>
        <v>Over</v>
      </c>
      <c r="AF269" s="46">
        <f t="shared" si="74"/>
        <v>-3.6111111111111112</v>
      </c>
      <c r="AG269" s="46">
        <f>SUMIFS('[1]Raw Inventory'!D:D,'[1]Raw Inventory'!C:C,"GREATWALL",'[1]Raw Inventory'!B:B,A269)</f>
        <v>18</v>
      </c>
      <c r="AH269" s="46">
        <f>SUMIFS('[1]Raw Inventory'!D:D,'[1]Raw Inventory'!C:C,"DUARTE",'[1]Raw Inventory'!B:B,A269)</f>
        <v>0</v>
      </c>
      <c r="AI269" s="46"/>
      <c r="AJ269" s="46"/>
      <c r="AK269" s="43"/>
      <c r="AL269" s="43"/>
      <c r="AM269" s="43"/>
      <c r="AN269" s="43"/>
      <c r="AO269" s="43"/>
      <c r="AP269" s="43"/>
      <c r="AQ269" s="43"/>
      <c r="AR269" s="43"/>
      <c r="AS269" s="43"/>
      <c r="AT269" s="43"/>
    </row>
    <row r="270" spans="1:46">
      <c r="A270" s="43" t="s">
        <v>65</v>
      </c>
      <c r="B270" s="43" t="s">
        <v>162</v>
      </c>
      <c r="C270" s="43" t="s">
        <v>159</v>
      </c>
      <c r="D270" s="44" t="s">
        <v>273</v>
      </c>
      <c r="E270" s="44">
        <v>26</v>
      </c>
      <c r="F270" s="44" t="s">
        <v>3</v>
      </c>
      <c r="G270" s="43" t="str">
        <f>IFERROR(VLOOKUP(A270,'[1]MC Masterlist 2026-09-12'!$B:$M, 3, 0),"")</f>
        <v>SUZUKI</v>
      </c>
      <c r="H270" s="45">
        <f>IFERROR(VLOOKUP(A270,'[1]MC Masterlist 2026-09-12'!$B:$M, 6, 0),"")</f>
        <v>77572</v>
      </c>
      <c r="I270" s="46">
        <v>0</v>
      </c>
      <c r="J270" s="46">
        <v>0</v>
      </c>
      <c r="K270" s="46">
        <v>0</v>
      </c>
      <c r="L270" s="46">
        <f t="shared" si="60"/>
        <v>0</v>
      </c>
      <c r="M270" s="46">
        <f t="shared" si="61"/>
        <v>0</v>
      </c>
      <c r="N270" s="45">
        <f t="shared" si="62"/>
        <v>0</v>
      </c>
      <c r="O270" s="45">
        <f t="shared" si="63"/>
        <v>0</v>
      </c>
      <c r="P270" s="46">
        <f t="shared" si="64"/>
        <v>0</v>
      </c>
      <c r="Q270" s="46">
        <v>1</v>
      </c>
      <c r="R270" s="45">
        <f t="shared" si="65"/>
        <v>77572</v>
      </c>
      <c r="S270" s="46">
        <f t="shared" si="66"/>
        <v>0</v>
      </c>
      <c r="T270" s="46">
        <f>IFERROR(VLOOKUP(A270,'[1]Re-order'!$A:$Q,17,0),"")</f>
        <v>158.8235294117647</v>
      </c>
      <c r="U270" s="46">
        <f>IFERROR(VLOOKUP(A270,'[1]MC Masterlist 2026-09-12'!$B:$M, 10, 0),0)</f>
        <v>15</v>
      </c>
      <c r="V270" s="46">
        <f>IFERROR(VLOOKUP(A270,'[1]MC Masterlist 2026-09-12'!$B:$M, 11, 0),0)</f>
        <v>15</v>
      </c>
      <c r="W270" s="46">
        <f t="shared" si="67"/>
        <v>30</v>
      </c>
      <c r="X270" s="46">
        <f t="shared" si="68"/>
        <v>30</v>
      </c>
      <c r="Y270" s="46">
        <f>IFERROR(IF(OR(C270="AREA I",C270="AREA V"),7,VLOOKUP(A270,'[1]MC Masterlist 2026-09-12'!$B:$M, 12, 0)),0)</f>
        <v>30</v>
      </c>
      <c r="Z270" s="46">
        <f t="shared" si="69"/>
        <v>0</v>
      </c>
      <c r="AA270" s="46">
        <f t="shared" si="70"/>
        <v>0</v>
      </c>
      <c r="AB270" s="46">
        <f t="shared" si="71"/>
        <v>0</v>
      </c>
      <c r="AC270" s="46">
        <f t="shared" si="72"/>
        <v>0</v>
      </c>
      <c r="AD270" s="44" t="str">
        <f t="shared" si="73"/>
        <v>Over</v>
      </c>
      <c r="AE270" s="44" t="str">
        <f>IFERROR(VLOOKUP(A270,'[1]Re-order'!$A:$AA,27,0),"")</f>
        <v>Over</v>
      </c>
      <c r="AF270" s="46">
        <f t="shared" si="74"/>
        <v>-1</v>
      </c>
      <c r="AG270" s="46">
        <f>SUMIFS('[1]Raw Inventory'!D:D,'[1]Raw Inventory'!C:C,"GREATWALL",'[1]Raw Inventory'!B:B,A270)</f>
        <v>4</v>
      </c>
      <c r="AH270" s="46">
        <f>SUMIFS('[1]Raw Inventory'!D:D,'[1]Raw Inventory'!C:C,"DUARTE",'[1]Raw Inventory'!B:B,A270)</f>
        <v>0</v>
      </c>
      <c r="AI270" s="46"/>
      <c r="AJ270" s="46"/>
      <c r="AK270" s="43"/>
      <c r="AL270" s="43"/>
      <c r="AM270" s="43"/>
      <c r="AN270" s="43"/>
      <c r="AO270" s="43"/>
      <c r="AP270" s="43"/>
      <c r="AQ270" s="43"/>
      <c r="AR270" s="43"/>
      <c r="AS270" s="43"/>
      <c r="AT270" s="43"/>
    </row>
    <row r="271" spans="1:46">
      <c r="A271" s="43" t="s">
        <v>69</v>
      </c>
      <c r="B271" s="43" t="s">
        <v>110</v>
      </c>
      <c r="C271" s="43" t="s">
        <v>109</v>
      </c>
      <c r="D271" s="44" t="s">
        <v>268</v>
      </c>
      <c r="E271" s="44">
        <v>21</v>
      </c>
      <c r="F271" s="44" t="s">
        <v>3</v>
      </c>
      <c r="G271" s="43" t="str">
        <f>IFERROR(VLOOKUP(A271,'[1]MC Masterlist 2026-09-12'!$B:$M, 3, 0),"")</f>
        <v>YAMAHA</v>
      </c>
      <c r="H271" s="45">
        <f>IFERROR(VLOOKUP(A271,'[1]MC Masterlist 2026-09-12'!$B:$M, 6, 0),"")</f>
        <v>54426</v>
      </c>
      <c r="I271" s="46">
        <v>0</v>
      </c>
      <c r="J271" s="46">
        <v>0</v>
      </c>
      <c r="K271" s="46">
        <v>2</v>
      </c>
      <c r="L271" s="46">
        <f t="shared" si="60"/>
        <v>2</v>
      </c>
      <c r="M271" s="46">
        <f t="shared" si="61"/>
        <v>0.66666666666666663</v>
      </c>
      <c r="N271" s="45">
        <f t="shared" si="62"/>
        <v>108852</v>
      </c>
      <c r="O271" s="45">
        <f t="shared" si="63"/>
        <v>36284</v>
      </c>
      <c r="P271" s="46">
        <f t="shared" si="64"/>
        <v>2.222222222222222E-2</v>
      </c>
      <c r="Q271" s="46">
        <v>2</v>
      </c>
      <c r="R271" s="45">
        <f t="shared" si="65"/>
        <v>108852</v>
      </c>
      <c r="S271" s="46">
        <f t="shared" si="66"/>
        <v>90</v>
      </c>
      <c r="T271" s="46">
        <f>IFERROR(VLOOKUP(A271,'[1]Re-order'!$A:$Q,17,0),"")</f>
        <v>62.307692307692314</v>
      </c>
      <c r="U271" s="46">
        <f>IFERROR(VLOOKUP(A271,'[1]MC Masterlist 2026-09-12'!$B:$M, 10, 0),0)</f>
        <v>15</v>
      </c>
      <c r="V271" s="46">
        <f>IFERROR(VLOOKUP(A271,'[1]MC Masterlist 2026-09-12'!$B:$M, 11, 0),0)</f>
        <v>15</v>
      </c>
      <c r="W271" s="46">
        <f t="shared" si="67"/>
        <v>30</v>
      </c>
      <c r="X271" s="46">
        <f t="shared" si="68"/>
        <v>29.666666666666668</v>
      </c>
      <c r="Y271" s="46">
        <f>IFERROR(IF(OR(C271="AREA I",C271="AREA V"),7,VLOOKUP(A271,'[1]MC Masterlist 2026-09-12'!$B:$M, 12, 0)),0)</f>
        <v>30</v>
      </c>
      <c r="Z271" s="46">
        <f t="shared" si="69"/>
        <v>0.33333333333333331</v>
      </c>
      <c r="AA271" s="46">
        <f t="shared" si="70"/>
        <v>0.66666666666666663</v>
      </c>
      <c r="AB271" s="46">
        <f t="shared" si="71"/>
        <v>0.65925925925925921</v>
      </c>
      <c r="AC271" s="46">
        <f t="shared" si="72"/>
        <v>0.66666666666666663</v>
      </c>
      <c r="AD271" s="44" t="str">
        <f t="shared" si="73"/>
        <v>Over</v>
      </c>
      <c r="AE271" s="44" t="str">
        <f>IFERROR(VLOOKUP(A271,'[1]Re-order'!$A:$AA,27,0),"")</f>
        <v>Re-order</v>
      </c>
      <c r="AF271" s="46">
        <f t="shared" si="74"/>
        <v>-1.3333333333333335</v>
      </c>
      <c r="AG271" s="46">
        <f>SUMIFS('[1]Raw Inventory'!D:D,'[1]Raw Inventory'!C:C,"GREATWALL",'[1]Raw Inventory'!B:B,A271)</f>
        <v>1</v>
      </c>
      <c r="AH271" s="46">
        <f>SUMIFS('[1]Raw Inventory'!D:D,'[1]Raw Inventory'!C:C,"DUARTE",'[1]Raw Inventory'!B:B,A271)</f>
        <v>0</v>
      </c>
      <c r="AI271" s="46"/>
      <c r="AJ271" s="46"/>
      <c r="AK271" s="43"/>
      <c r="AL271" s="43"/>
      <c r="AM271" s="43"/>
      <c r="AN271" s="43"/>
      <c r="AO271" s="43"/>
      <c r="AP271" s="43"/>
      <c r="AQ271" s="43"/>
      <c r="AR271" s="43"/>
      <c r="AS271" s="43"/>
      <c r="AT271" s="43"/>
    </row>
    <row r="272" spans="1:46">
      <c r="A272" s="43" t="s">
        <v>49</v>
      </c>
      <c r="B272" s="43" t="s">
        <v>248</v>
      </c>
      <c r="C272" s="43"/>
      <c r="D272" s="44" t="s">
        <v>274</v>
      </c>
      <c r="E272" s="44">
        <v>1</v>
      </c>
      <c r="F272" s="44" t="s">
        <v>0</v>
      </c>
      <c r="G272" s="43" t="str">
        <f>IFERROR(VLOOKUP(A272,'[1]MC Masterlist 2026-09-12'!$B:$M, 3, 0),"")</f>
        <v>BAJAJ RE</v>
      </c>
      <c r="H272" s="45">
        <f>IFERROR(VLOOKUP(A272,'[1]MC Masterlist 2026-09-12'!$B:$M, 6, 0),"")</f>
        <v>191000</v>
      </c>
      <c r="I272" s="46">
        <v>0</v>
      </c>
      <c r="J272" s="46">
        <v>0</v>
      </c>
      <c r="K272" s="46">
        <v>0</v>
      </c>
      <c r="L272" s="46">
        <f t="shared" si="60"/>
        <v>0</v>
      </c>
      <c r="M272" s="46">
        <f t="shared" si="61"/>
        <v>0</v>
      </c>
      <c r="N272" s="45">
        <f t="shared" si="62"/>
        <v>0</v>
      </c>
      <c r="O272" s="45">
        <f t="shared" si="63"/>
        <v>0</v>
      </c>
      <c r="P272" s="46">
        <f t="shared" si="64"/>
        <v>0</v>
      </c>
      <c r="Q272" s="46">
        <v>1</v>
      </c>
      <c r="R272" s="45">
        <f t="shared" si="65"/>
        <v>191000</v>
      </c>
      <c r="S272" s="46">
        <f t="shared" si="66"/>
        <v>0</v>
      </c>
      <c r="T272" s="46">
        <f>IFERROR(VLOOKUP(A272,'[1]Re-order'!$A:$Q,17,0),"")</f>
        <v>21.516709511568124</v>
      </c>
      <c r="U272" s="46">
        <f>IFERROR(VLOOKUP(A272,'[1]MC Masterlist 2026-09-12'!$B:$M, 10, 0),0)</f>
        <v>15</v>
      </c>
      <c r="V272" s="46">
        <f>IFERROR(VLOOKUP(A272,'[1]MC Masterlist 2026-09-12'!$B:$M, 11, 0),0)</f>
        <v>15</v>
      </c>
      <c r="W272" s="46">
        <f t="shared" si="67"/>
        <v>30</v>
      </c>
      <c r="X272" s="46">
        <f t="shared" si="68"/>
        <v>30</v>
      </c>
      <c r="Y272" s="46">
        <f>IFERROR(IF(OR(C272="AREA I",C272="AREA V"),7,VLOOKUP(A272,'[1]MC Masterlist 2026-09-12'!$B:$M, 12, 0)),0)</f>
        <v>30</v>
      </c>
      <c r="Z272" s="46">
        <f t="shared" si="69"/>
        <v>0</v>
      </c>
      <c r="AA272" s="46">
        <f t="shared" si="70"/>
        <v>0</v>
      </c>
      <c r="AB272" s="46">
        <f t="shared" si="71"/>
        <v>0</v>
      </c>
      <c r="AC272" s="46">
        <f t="shared" si="72"/>
        <v>0</v>
      </c>
      <c r="AD272" s="44" t="str">
        <f t="shared" si="73"/>
        <v>Over</v>
      </c>
      <c r="AE272" s="44" t="str">
        <f>IFERROR(VLOOKUP(A272,'[1]Re-order'!$A:$AA,27,0),"")</f>
        <v>Stockout</v>
      </c>
      <c r="AF272" s="46">
        <f t="shared" si="74"/>
        <v>-1</v>
      </c>
      <c r="AG272" s="46">
        <f>SUMIFS('[1]Raw Inventory'!D:D,'[1]Raw Inventory'!C:C,"GREATWALL",'[1]Raw Inventory'!B:B,A272)</f>
        <v>0</v>
      </c>
      <c r="AH272" s="46">
        <f>SUMIFS('[1]Raw Inventory'!D:D,'[1]Raw Inventory'!C:C,"DUARTE",'[1]Raw Inventory'!B:B,A272)</f>
        <v>0</v>
      </c>
      <c r="AI272" s="46"/>
      <c r="AJ272" s="46"/>
      <c r="AK272" s="43"/>
      <c r="AL272" s="43"/>
      <c r="AM272" s="43"/>
      <c r="AN272" s="43"/>
      <c r="AO272" s="43"/>
      <c r="AP272" s="43"/>
      <c r="AQ272" s="43"/>
      <c r="AR272" s="43"/>
      <c r="AS272" s="43"/>
      <c r="AT272" s="43"/>
    </row>
    <row r="273" spans="1:46">
      <c r="A273" s="43" t="s">
        <v>45</v>
      </c>
      <c r="B273" s="43" t="s">
        <v>142</v>
      </c>
      <c r="C273" s="43" t="s">
        <v>137</v>
      </c>
      <c r="D273" s="44" t="s">
        <v>234</v>
      </c>
      <c r="E273" s="44">
        <v>4</v>
      </c>
      <c r="F273" s="44" t="s">
        <v>0</v>
      </c>
      <c r="G273" s="43" t="str">
        <f>IFERROR(VLOOKUP(A273,'[1]MC Masterlist 2026-09-12'!$B:$M, 3, 0),"")</f>
        <v>YAMAHA</v>
      </c>
      <c r="H273" s="45">
        <f>IFERROR(VLOOKUP(A273,'[1]MC Masterlist 2026-09-12'!$B:$M, 6, 0),"")</f>
        <v>117087</v>
      </c>
      <c r="I273" s="46">
        <v>5</v>
      </c>
      <c r="J273" s="46">
        <v>2</v>
      </c>
      <c r="K273" s="46">
        <v>0</v>
      </c>
      <c r="L273" s="46">
        <f t="shared" si="60"/>
        <v>7</v>
      </c>
      <c r="M273" s="46">
        <f t="shared" si="61"/>
        <v>2.3333333333333335</v>
      </c>
      <c r="N273" s="45">
        <f t="shared" si="62"/>
        <v>819609</v>
      </c>
      <c r="O273" s="45">
        <f t="shared" si="63"/>
        <v>273203</v>
      </c>
      <c r="P273" s="46">
        <f t="shared" si="64"/>
        <v>7.7777777777777779E-2</v>
      </c>
      <c r="Q273" s="46">
        <v>3</v>
      </c>
      <c r="R273" s="45">
        <f t="shared" si="65"/>
        <v>351261</v>
      </c>
      <c r="S273" s="46">
        <f t="shared" si="66"/>
        <v>38.571428571428577</v>
      </c>
      <c r="T273" s="46">
        <f>IFERROR(VLOOKUP(A273,'[1]Re-order'!$A:$Q,17,0),"")</f>
        <v>18.94736842105263</v>
      </c>
      <c r="U273" s="46">
        <f>IFERROR(VLOOKUP(A273,'[1]MC Masterlist 2026-09-12'!$B:$M, 10, 0),0)</f>
        <v>15</v>
      </c>
      <c r="V273" s="46">
        <f>IFERROR(VLOOKUP(A273,'[1]MC Masterlist 2026-09-12'!$B:$M, 11, 0),0)</f>
        <v>15</v>
      </c>
      <c r="W273" s="46">
        <f t="shared" si="67"/>
        <v>30</v>
      </c>
      <c r="X273" s="46">
        <f t="shared" si="68"/>
        <v>5.833333333333333</v>
      </c>
      <c r="Y273" s="46">
        <f>IFERROR(IF(OR(C273="AREA I",C273="AREA V"),7,VLOOKUP(A273,'[1]MC Masterlist 2026-09-12'!$B:$M, 12, 0)),0)</f>
        <v>7</v>
      </c>
      <c r="Z273" s="46">
        <f t="shared" si="69"/>
        <v>1.1666666666666667</v>
      </c>
      <c r="AA273" s="46">
        <f t="shared" si="70"/>
        <v>2.3333333333333335</v>
      </c>
      <c r="AB273" s="46">
        <f t="shared" si="71"/>
        <v>0.45370370370370366</v>
      </c>
      <c r="AC273" s="46">
        <f t="shared" si="72"/>
        <v>0.54444444444444451</v>
      </c>
      <c r="AD273" s="44" t="str">
        <f t="shared" si="73"/>
        <v>Over</v>
      </c>
      <c r="AE273" s="44" t="str">
        <f>IFERROR(VLOOKUP(A273,'[1]Re-order'!$A:$AA,27,0),"")</f>
        <v>Stockout</v>
      </c>
      <c r="AF273" s="46">
        <f t="shared" si="74"/>
        <v>-2.4555555555555557</v>
      </c>
      <c r="AG273" s="46">
        <f>SUMIFS('[1]Raw Inventory'!D:D,'[1]Raw Inventory'!C:C,"GREATWALL",'[1]Raw Inventory'!B:B,A273)</f>
        <v>5</v>
      </c>
      <c r="AH273" s="46">
        <f>SUMIFS('[1]Raw Inventory'!D:D,'[1]Raw Inventory'!C:C,"DUARTE",'[1]Raw Inventory'!B:B,A273)</f>
        <v>0</v>
      </c>
      <c r="AI273" s="46"/>
      <c r="AJ273" s="46"/>
      <c r="AK273" s="43"/>
      <c r="AL273" s="43"/>
      <c r="AM273" s="43"/>
      <c r="AN273" s="43"/>
      <c r="AO273" s="43"/>
      <c r="AP273" s="43"/>
      <c r="AQ273" s="43"/>
      <c r="AR273" s="43"/>
      <c r="AS273" s="43"/>
      <c r="AT273" s="43"/>
    </row>
    <row r="274" spans="1:46">
      <c r="A274" s="43" t="s">
        <v>26</v>
      </c>
      <c r="B274" s="43" t="s">
        <v>110</v>
      </c>
      <c r="C274" s="43" t="s">
        <v>109</v>
      </c>
      <c r="D274" s="44" t="s">
        <v>226</v>
      </c>
      <c r="E274" s="44">
        <v>30</v>
      </c>
      <c r="F274" s="44" t="s">
        <v>3</v>
      </c>
      <c r="G274" s="43" t="str">
        <f>IFERROR(VLOOKUP(A274,'[1]MC Masterlist 2026-09-12'!$B:$M, 3, 0),"")</f>
        <v>SUZUKI</v>
      </c>
      <c r="H274" s="45">
        <f>IFERROR(VLOOKUP(A274,'[1]MC Masterlist 2026-09-12'!$B:$M, 6, 0),"")</f>
        <v>123700</v>
      </c>
      <c r="I274" s="46">
        <v>0</v>
      </c>
      <c r="J274" s="46">
        <v>0</v>
      </c>
      <c r="K274" s="46">
        <v>0</v>
      </c>
      <c r="L274" s="46">
        <f t="shared" si="60"/>
        <v>0</v>
      </c>
      <c r="M274" s="46">
        <f t="shared" si="61"/>
        <v>0</v>
      </c>
      <c r="N274" s="45">
        <f t="shared" si="62"/>
        <v>0</v>
      </c>
      <c r="O274" s="45">
        <f t="shared" si="63"/>
        <v>0</v>
      </c>
      <c r="P274" s="46">
        <f t="shared" si="64"/>
        <v>0</v>
      </c>
      <c r="Q274" s="46">
        <v>3</v>
      </c>
      <c r="R274" s="45">
        <f t="shared" si="65"/>
        <v>371100</v>
      </c>
      <c r="S274" s="46">
        <f t="shared" si="66"/>
        <v>0</v>
      </c>
      <c r="T274" s="46">
        <f>IFERROR(VLOOKUP(A274,'[1]Re-order'!$A:$Q,17,0),"")</f>
        <v>71.470588235294116</v>
      </c>
      <c r="U274" s="46">
        <f>IFERROR(VLOOKUP(A274,'[1]MC Masterlist 2026-09-12'!$B:$M, 10, 0),0)</f>
        <v>15</v>
      </c>
      <c r="V274" s="46">
        <f>IFERROR(VLOOKUP(A274,'[1]MC Masterlist 2026-09-12'!$B:$M, 11, 0),0)</f>
        <v>15</v>
      </c>
      <c r="W274" s="46">
        <f t="shared" si="67"/>
        <v>30</v>
      </c>
      <c r="X274" s="46">
        <f t="shared" si="68"/>
        <v>30</v>
      </c>
      <c r="Y274" s="46">
        <f>IFERROR(IF(OR(C274="AREA I",C274="AREA V"),7,VLOOKUP(A274,'[1]MC Masterlist 2026-09-12'!$B:$M, 12, 0)),0)</f>
        <v>30</v>
      </c>
      <c r="Z274" s="46">
        <f t="shared" si="69"/>
        <v>0</v>
      </c>
      <c r="AA274" s="46">
        <f t="shared" si="70"/>
        <v>0</v>
      </c>
      <c r="AB274" s="46">
        <f t="shared" si="71"/>
        <v>0</v>
      </c>
      <c r="AC274" s="46">
        <f t="shared" si="72"/>
        <v>0</v>
      </c>
      <c r="AD274" s="44" t="str">
        <f t="shared" si="73"/>
        <v>Over</v>
      </c>
      <c r="AE274" s="44" t="str">
        <f>IFERROR(VLOOKUP(A274,'[1]Re-order'!$A:$AA,27,0),"")</f>
        <v>Re-order</v>
      </c>
      <c r="AF274" s="46">
        <f t="shared" si="74"/>
        <v>-3</v>
      </c>
      <c r="AG274" s="46">
        <f>SUMIFS('[1]Raw Inventory'!D:D,'[1]Raw Inventory'!C:C,"GREATWALL",'[1]Raw Inventory'!B:B,A274)</f>
        <v>30</v>
      </c>
      <c r="AH274" s="46">
        <f>SUMIFS('[1]Raw Inventory'!D:D,'[1]Raw Inventory'!C:C,"DUARTE",'[1]Raw Inventory'!B:B,A274)</f>
        <v>0</v>
      </c>
      <c r="AI274" s="46"/>
      <c r="AJ274" s="46"/>
      <c r="AK274" s="43"/>
      <c r="AL274" s="43"/>
      <c r="AM274" s="43"/>
      <c r="AN274" s="43"/>
      <c r="AO274" s="43"/>
      <c r="AP274" s="43"/>
      <c r="AQ274" s="43"/>
      <c r="AR274" s="43"/>
      <c r="AS274" s="43"/>
      <c r="AT274" s="43"/>
    </row>
    <row r="275" spans="1:46">
      <c r="A275" s="43" t="s">
        <v>16</v>
      </c>
      <c r="B275" s="43" t="s">
        <v>142</v>
      </c>
      <c r="C275" s="43" t="s">
        <v>137</v>
      </c>
      <c r="D275" s="44" t="s">
        <v>254</v>
      </c>
      <c r="E275" s="44">
        <v>8</v>
      </c>
      <c r="F275" s="44" t="s">
        <v>2</v>
      </c>
      <c r="G275" s="43" t="str">
        <f>IFERROR(VLOOKUP(A275,'[1]MC Masterlist 2026-09-12'!$B:$M, 3, 0),"")</f>
        <v>HONDA</v>
      </c>
      <c r="H275" s="45">
        <f>IFERROR(VLOOKUP(A275,'[1]MC Masterlist 2026-09-12'!$B:$M, 6, 0),"")</f>
        <v>84394</v>
      </c>
      <c r="I275" s="46">
        <v>0</v>
      </c>
      <c r="J275" s="46">
        <v>2</v>
      </c>
      <c r="K275" s="46">
        <v>2</v>
      </c>
      <c r="L275" s="46">
        <f t="shared" si="60"/>
        <v>4</v>
      </c>
      <c r="M275" s="46">
        <f t="shared" si="61"/>
        <v>1.3333333333333333</v>
      </c>
      <c r="N275" s="45">
        <f t="shared" si="62"/>
        <v>337576</v>
      </c>
      <c r="O275" s="45">
        <f t="shared" si="63"/>
        <v>112525.33333333333</v>
      </c>
      <c r="P275" s="46">
        <f t="shared" si="64"/>
        <v>4.4444444444444439E-2</v>
      </c>
      <c r="Q275" s="46">
        <v>2</v>
      </c>
      <c r="R275" s="45">
        <f t="shared" si="65"/>
        <v>168788</v>
      </c>
      <c r="S275" s="46">
        <f t="shared" si="66"/>
        <v>45</v>
      </c>
      <c r="T275" s="46">
        <f>IFERROR(VLOOKUP(A275,'[1]Re-order'!$A:$Q,17,0),"")</f>
        <v>26.332665330661321</v>
      </c>
      <c r="U275" s="46">
        <f>IFERROR(VLOOKUP(A275,'[1]MC Masterlist 2026-09-12'!$B:$M, 10, 0),0)</f>
        <v>15</v>
      </c>
      <c r="V275" s="46">
        <f>IFERROR(VLOOKUP(A275,'[1]MC Masterlist 2026-09-12'!$B:$M, 11, 0),0)</f>
        <v>15</v>
      </c>
      <c r="W275" s="46">
        <f t="shared" si="67"/>
        <v>30</v>
      </c>
      <c r="X275" s="46">
        <f t="shared" si="68"/>
        <v>6.333333333333333</v>
      </c>
      <c r="Y275" s="46">
        <f>IFERROR(IF(OR(C275="AREA I",C275="AREA V"),7,VLOOKUP(A275,'[1]MC Masterlist 2026-09-12'!$B:$M, 12, 0)),0)</f>
        <v>7</v>
      </c>
      <c r="Z275" s="46">
        <f t="shared" si="69"/>
        <v>0.66666666666666663</v>
      </c>
      <c r="AA275" s="46">
        <f t="shared" si="70"/>
        <v>1.3333333333333333</v>
      </c>
      <c r="AB275" s="46">
        <f t="shared" si="71"/>
        <v>0.28148148148148144</v>
      </c>
      <c r="AC275" s="46">
        <f t="shared" si="72"/>
        <v>0.31111111111111106</v>
      </c>
      <c r="AD275" s="44" t="str">
        <f t="shared" si="73"/>
        <v>Over</v>
      </c>
      <c r="AE275" s="44" t="str">
        <f>IFERROR(VLOOKUP(A275,'[1]Re-order'!$A:$AA,27,0),"")</f>
        <v>Stockout</v>
      </c>
      <c r="AF275" s="46">
        <f t="shared" si="74"/>
        <v>-1.6888888888888889</v>
      </c>
      <c r="AG275" s="46">
        <f>SUMIFS('[1]Raw Inventory'!D:D,'[1]Raw Inventory'!C:C,"GREATWALL",'[1]Raw Inventory'!B:B,A275)</f>
        <v>58</v>
      </c>
      <c r="AH275" s="46">
        <f>SUMIFS('[1]Raw Inventory'!D:D,'[1]Raw Inventory'!C:C,"DUARTE",'[1]Raw Inventory'!B:B,A275)</f>
        <v>0</v>
      </c>
      <c r="AI275" s="46"/>
      <c r="AJ275" s="46"/>
      <c r="AK275" s="43"/>
      <c r="AL275" s="43"/>
      <c r="AM275" s="43"/>
      <c r="AN275" s="43"/>
      <c r="AO275" s="43"/>
      <c r="AP275" s="43"/>
      <c r="AQ275" s="43"/>
      <c r="AR275" s="43"/>
      <c r="AS275" s="43"/>
      <c r="AT275" s="43"/>
    </row>
    <row r="276" spans="1:46">
      <c r="A276" s="43" t="s">
        <v>24</v>
      </c>
      <c r="B276" s="43" t="s">
        <v>121</v>
      </c>
      <c r="C276" s="43" t="s">
        <v>118</v>
      </c>
      <c r="D276" s="44" t="s">
        <v>259</v>
      </c>
      <c r="E276" s="44">
        <v>5</v>
      </c>
      <c r="F276" s="44" t="s">
        <v>0</v>
      </c>
      <c r="G276" s="43" t="str">
        <f>IFERROR(VLOOKUP(A276,'[1]MC Masterlist 2026-09-12'!$B:$M, 3, 0),"")</f>
        <v>KAWASAKI</v>
      </c>
      <c r="H276" s="45">
        <f>IFERROR(VLOOKUP(A276,'[1]MC Masterlist 2026-09-12'!$B:$M, 6, 0),"")</f>
        <v>131626</v>
      </c>
      <c r="I276" s="46">
        <v>3</v>
      </c>
      <c r="J276" s="46">
        <v>2</v>
      </c>
      <c r="K276" s="46">
        <v>2</v>
      </c>
      <c r="L276" s="46">
        <f t="shared" si="60"/>
        <v>7</v>
      </c>
      <c r="M276" s="46">
        <f t="shared" si="61"/>
        <v>2.3333333333333335</v>
      </c>
      <c r="N276" s="45">
        <f t="shared" si="62"/>
        <v>921382</v>
      </c>
      <c r="O276" s="45">
        <f t="shared" si="63"/>
        <v>307127.33333333337</v>
      </c>
      <c r="P276" s="46">
        <f t="shared" si="64"/>
        <v>7.7777777777777779E-2</v>
      </c>
      <c r="Q276" s="46"/>
      <c r="R276" s="45">
        <f t="shared" si="65"/>
        <v>0</v>
      </c>
      <c r="S276" s="46">
        <f t="shared" si="66"/>
        <v>0</v>
      </c>
      <c r="T276" s="46">
        <f>IFERROR(VLOOKUP(A276,'[1]Re-order'!$A:$Q,17,0),"")</f>
        <v>40.677966101694913</v>
      </c>
      <c r="U276" s="46">
        <f>IFERROR(VLOOKUP(A276,'[1]MC Masterlist 2026-09-12'!$B:$M, 10, 0),0)</f>
        <v>15</v>
      </c>
      <c r="V276" s="46">
        <f>IFERROR(VLOOKUP(A276,'[1]MC Masterlist 2026-09-12'!$B:$M, 11, 0),0)</f>
        <v>15</v>
      </c>
      <c r="W276" s="46">
        <f t="shared" si="67"/>
        <v>30</v>
      </c>
      <c r="X276" s="46">
        <f t="shared" si="68"/>
        <v>28.833333333333332</v>
      </c>
      <c r="Y276" s="46">
        <f>IFERROR(IF(OR(C276="AREA I",C276="AREA V"),7,VLOOKUP(A276,'[1]MC Masterlist 2026-09-12'!$B:$M, 12, 0)),0)</f>
        <v>30</v>
      </c>
      <c r="Z276" s="46">
        <f t="shared" si="69"/>
        <v>1.1666666666666667</v>
      </c>
      <c r="AA276" s="46">
        <f t="shared" si="70"/>
        <v>2.3333333333333335</v>
      </c>
      <c r="AB276" s="46">
        <f t="shared" si="71"/>
        <v>2.2425925925925925</v>
      </c>
      <c r="AC276" s="46">
        <f t="shared" si="72"/>
        <v>2.3333333333333335</v>
      </c>
      <c r="AD276" s="44" t="str">
        <f t="shared" si="73"/>
        <v>Stockout</v>
      </c>
      <c r="AE276" s="44" t="str">
        <f>IFERROR(VLOOKUP(A276,'[1]Re-order'!$A:$AA,27,0),"")</f>
        <v>Re-order</v>
      </c>
      <c r="AF276" s="46">
        <f t="shared" si="74"/>
        <v>2.3333333333333335</v>
      </c>
      <c r="AG276" s="46">
        <f>SUMIFS('[1]Raw Inventory'!D:D,'[1]Raw Inventory'!C:C,"GREATWALL",'[1]Raw Inventory'!B:B,A276)</f>
        <v>12</v>
      </c>
      <c r="AH276" s="46">
        <f>SUMIFS('[1]Raw Inventory'!D:D,'[1]Raw Inventory'!C:C,"DUARTE",'[1]Raw Inventory'!B:B,A276)</f>
        <v>0</v>
      </c>
      <c r="AI276" s="46"/>
      <c r="AJ276" s="46"/>
      <c r="AK276" s="43"/>
      <c r="AL276" s="43"/>
      <c r="AM276" s="43"/>
      <c r="AN276" s="43"/>
      <c r="AO276" s="43"/>
      <c r="AP276" s="43"/>
      <c r="AQ276" s="43"/>
      <c r="AR276" s="43"/>
      <c r="AS276" s="43"/>
      <c r="AT276" s="43"/>
    </row>
    <row r="277" spans="1:46">
      <c r="A277" s="43" t="s">
        <v>81</v>
      </c>
      <c r="B277" s="43" t="s">
        <v>143</v>
      </c>
      <c r="C277" s="43" t="s">
        <v>137</v>
      </c>
      <c r="D277" s="44" t="s">
        <v>262</v>
      </c>
      <c r="E277" s="44">
        <v>16</v>
      </c>
      <c r="F277" s="44" t="s">
        <v>2</v>
      </c>
      <c r="G277" s="43" t="str">
        <f>IFERROR(VLOOKUP(A277,'[1]MC Masterlist 2026-09-12'!$B:$M, 3, 0),"")</f>
        <v>HONDA</v>
      </c>
      <c r="H277" s="45">
        <f>IFERROR(VLOOKUP(A277,'[1]MC Masterlist 2026-09-12'!$B:$M, 6, 0),"")</f>
        <v>126198</v>
      </c>
      <c r="I277" s="46">
        <v>0</v>
      </c>
      <c r="J277" s="46">
        <v>1</v>
      </c>
      <c r="K277" s="46">
        <v>0</v>
      </c>
      <c r="L277" s="46">
        <f t="shared" si="60"/>
        <v>1</v>
      </c>
      <c r="M277" s="46">
        <f t="shared" si="61"/>
        <v>0.33333333333333331</v>
      </c>
      <c r="N277" s="45">
        <f t="shared" si="62"/>
        <v>126198</v>
      </c>
      <c r="O277" s="45">
        <f t="shared" si="63"/>
        <v>42066</v>
      </c>
      <c r="P277" s="46">
        <f t="shared" si="64"/>
        <v>1.111111111111111E-2</v>
      </c>
      <c r="Q277" s="46"/>
      <c r="R277" s="45">
        <f t="shared" si="65"/>
        <v>0</v>
      </c>
      <c r="S277" s="46">
        <f t="shared" si="66"/>
        <v>0</v>
      </c>
      <c r="T277" s="46">
        <f>IFERROR(VLOOKUP(A277,'[1]Re-order'!$A:$Q,17,0),"")</f>
        <v>22.5</v>
      </c>
      <c r="U277" s="46">
        <f>IFERROR(VLOOKUP(A277,'[1]MC Masterlist 2026-09-12'!$B:$M, 10, 0),0)</f>
        <v>15</v>
      </c>
      <c r="V277" s="46">
        <f>IFERROR(VLOOKUP(A277,'[1]MC Masterlist 2026-09-12'!$B:$M, 11, 0),0)</f>
        <v>15</v>
      </c>
      <c r="W277" s="46">
        <f t="shared" si="67"/>
        <v>30</v>
      </c>
      <c r="X277" s="46">
        <f t="shared" si="68"/>
        <v>6.833333333333333</v>
      </c>
      <c r="Y277" s="46">
        <f>IFERROR(IF(OR(C277="AREA I",C277="AREA V"),7,VLOOKUP(A277,'[1]MC Masterlist 2026-09-12'!$B:$M, 12, 0)),0)</f>
        <v>7</v>
      </c>
      <c r="Z277" s="46">
        <f t="shared" si="69"/>
        <v>0.16666666666666666</v>
      </c>
      <c r="AA277" s="46">
        <f t="shared" si="70"/>
        <v>0.33333333333333331</v>
      </c>
      <c r="AB277" s="46">
        <f t="shared" si="71"/>
        <v>7.5925925925925911E-2</v>
      </c>
      <c r="AC277" s="46">
        <f t="shared" si="72"/>
        <v>7.7777777777777765E-2</v>
      </c>
      <c r="AD277" s="44" t="str">
        <f t="shared" si="73"/>
        <v>Stockout</v>
      </c>
      <c r="AE277" s="44" t="str">
        <f>IFERROR(VLOOKUP(A277,'[1]Re-order'!$A:$AA,27,0),"")</f>
        <v>Stockout</v>
      </c>
      <c r="AF277" s="46">
        <f t="shared" si="74"/>
        <v>7.7777777777777765E-2</v>
      </c>
      <c r="AG277" s="46">
        <f>SUMIFS('[1]Raw Inventory'!D:D,'[1]Raw Inventory'!C:C,"GREATWALL",'[1]Raw Inventory'!B:B,A277)</f>
        <v>0</v>
      </c>
      <c r="AH277" s="46">
        <f>SUMIFS('[1]Raw Inventory'!D:D,'[1]Raw Inventory'!C:C,"DUARTE",'[1]Raw Inventory'!B:B,A277)</f>
        <v>0</v>
      </c>
      <c r="AI277" s="46"/>
      <c r="AJ277" s="46"/>
      <c r="AK277" s="43"/>
      <c r="AL277" s="43"/>
      <c r="AM277" s="43"/>
      <c r="AN277" s="43"/>
      <c r="AO277" s="43"/>
      <c r="AP277" s="43"/>
      <c r="AQ277" s="43"/>
      <c r="AR277" s="43"/>
      <c r="AS277" s="43"/>
      <c r="AT277" s="43"/>
    </row>
    <row r="278" spans="1:46">
      <c r="A278" s="43" t="s">
        <v>12</v>
      </c>
      <c r="B278" s="43" t="s">
        <v>5</v>
      </c>
      <c r="C278" s="43" t="s">
        <v>118</v>
      </c>
      <c r="D278" s="44" t="s">
        <v>230</v>
      </c>
      <c r="E278" s="44">
        <v>6</v>
      </c>
      <c r="F278" s="44" t="s">
        <v>0</v>
      </c>
      <c r="G278" s="43" t="str">
        <f>IFERROR(VLOOKUP(A278,'[1]MC Masterlist 2026-09-12'!$B:$M, 3, 0),"")</f>
        <v>HONDA</v>
      </c>
      <c r="H278" s="45">
        <f>IFERROR(VLOOKUP(A278,'[1]MC Masterlist 2026-09-12'!$B:$M, 6, 0),"")</f>
        <v>158270</v>
      </c>
      <c r="I278" s="46">
        <v>2</v>
      </c>
      <c r="J278" s="46">
        <v>0</v>
      </c>
      <c r="K278" s="46">
        <v>1</v>
      </c>
      <c r="L278" s="46">
        <f t="shared" si="60"/>
        <v>3</v>
      </c>
      <c r="M278" s="46">
        <f t="shared" si="61"/>
        <v>1</v>
      </c>
      <c r="N278" s="45">
        <f t="shared" si="62"/>
        <v>474810</v>
      </c>
      <c r="O278" s="45">
        <f t="shared" si="63"/>
        <v>158270</v>
      </c>
      <c r="P278" s="46">
        <f t="shared" si="64"/>
        <v>3.3333333333333333E-2</v>
      </c>
      <c r="Q278" s="46">
        <v>2</v>
      </c>
      <c r="R278" s="45">
        <f t="shared" si="65"/>
        <v>316540</v>
      </c>
      <c r="S278" s="46">
        <f t="shared" si="66"/>
        <v>60</v>
      </c>
      <c r="T278" s="46">
        <f>IFERROR(VLOOKUP(A278,'[1]Re-order'!$A:$Q,17,0),"")</f>
        <v>46.461038961038959</v>
      </c>
      <c r="U278" s="46">
        <f>IFERROR(VLOOKUP(A278,'[1]MC Masterlist 2026-09-12'!$B:$M, 10, 0),0)</f>
        <v>15</v>
      </c>
      <c r="V278" s="46">
        <f>IFERROR(VLOOKUP(A278,'[1]MC Masterlist 2026-09-12'!$B:$M, 11, 0),0)</f>
        <v>15</v>
      </c>
      <c r="W278" s="46">
        <f t="shared" si="67"/>
        <v>30</v>
      </c>
      <c r="X278" s="46">
        <f t="shared" si="68"/>
        <v>29.5</v>
      </c>
      <c r="Y278" s="46">
        <f>IFERROR(IF(OR(C278="AREA I",C278="AREA V"),7,VLOOKUP(A278,'[1]MC Masterlist 2026-09-12'!$B:$M, 12, 0)),0)</f>
        <v>30</v>
      </c>
      <c r="Z278" s="46">
        <f t="shared" si="69"/>
        <v>0.5</v>
      </c>
      <c r="AA278" s="46">
        <f t="shared" si="70"/>
        <v>1</v>
      </c>
      <c r="AB278" s="46">
        <f t="shared" si="71"/>
        <v>0.98333333333333328</v>
      </c>
      <c r="AC278" s="46">
        <f t="shared" si="72"/>
        <v>1</v>
      </c>
      <c r="AD278" s="44" t="str">
        <f t="shared" si="73"/>
        <v>Over</v>
      </c>
      <c r="AE278" s="44" t="str">
        <f>IFERROR(VLOOKUP(A278,'[1]Re-order'!$A:$AA,27,0),"")</f>
        <v>Re-order</v>
      </c>
      <c r="AF278" s="46">
        <f t="shared" si="74"/>
        <v>-1</v>
      </c>
      <c r="AG278" s="46">
        <f>SUMIFS('[1]Raw Inventory'!D:D,'[1]Raw Inventory'!C:C,"GREATWALL",'[1]Raw Inventory'!B:B,A278)</f>
        <v>35</v>
      </c>
      <c r="AH278" s="46">
        <f>SUMIFS('[1]Raw Inventory'!D:D,'[1]Raw Inventory'!C:C,"DUARTE",'[1]Raw Inventory'!B:B,A278)</f>
        <v>0</v>
      </c>
      <c r="AI278" s="46"/>
      <c r="AJ278" s="46"/>
      <c r="AK278" s="43"/>
      <c r="AL278" s="43"/>
      <c r="AM278" s="43"/>
      <c r="AN278" s="43"/>
      <c r="AO278" s="43"/>
      <c r="AP278" s="43"/>
      <c r="AQ278" s="43"/>
      <c r="AR278" s="43"/>
      <c r="AS278" s="43"/>
      <c r="AT278" s="43"/>
    </row>
    <row r="279" spans="1:46">
      <c r="A279" s="43" t="s">
        <v>66</v>
      </c>
      <c r="B279" s="43" t="s">
        <v>122</v>
      </c>
      <c r="C279" s="43" t="s">
        <v>118</v>
      </c>
      <c r="D279" s="44" t="s">
        <v>254</v>
      </c>
      <c r="E279" s="44">
        <v>9</v>
      </c>
      <c r="F279" s="44" t="s">
        <v>2</v>
      </c>
      <c r="G279" s="43" t="str">
        <f>IFERROR(VLOOKUP(A279,'[1]MC Masterlist 2026-09-12'!$B:$M, 3, 0),"")</f>
        <v>KAWASAKI</v>
      </c>
      <c r="H279" s="45">
        <f>IFERROR(VLOOKUP(A279,'[1]MC Masterlist 2026-09-12'!$B:$M, 6, 0),"")</f>
        <v>95530</v>
      </c>
      <c r="I279" s="46">
        <v>2</v>
      </c>
      <c r="J279" s="46">
        <v>5</v>
      </c>
      <c r="K279" s="46">
        <v>3</v>
      </c>
      <c r="L279" s="46">
        <f t="shared" si="60"/>
        <v>10</v>
      </c>
      <c r="M279" s="46">
        <f t="shared" si="61"/>
        <v>3.3333333333333335</v>
      </c>
      <c r="N279" s="45">
        <f t="shared" si="62"/>
        <v>955300</v>
      </c>
      <c r="O279" s="45">
        <f t="shared" si="63"/>
        <v>318433.33333333337</v>
      </c>
      <c r="P279" s="46">
        <f t="shared" si="64"/>
        <v>0.11111111111111112</v>
      </c>
      <c r="Q279" s="46">
        <v>3</v>
      </c>
      <c r="R279" s="45">
        <f t="shared" si="65"/>
        <v>286590</v>
      </c>
      <c r="S279" s="46">
        <f t="shared" si="66"/>
        <v>26.999999999999996</v>
      </c>
      <c r="T279" s="46">
        <f>IFERROR(VLOOKUP(A279,'[1]Re-order'!$A:$Q,17,0),"")</f>
        <v>112.7848101265823</v>
      </c>
      <c r="U279" s="46">
        <f>IFERROR(VLOOKUP(A279,'[1]MC Masterlist 2026-09-12'!$B:$M, 10, 0),0)</f>
        <v>15</v>
      </c>
      <c r="V279" s="46">
        <f>IFERROR(VLOOKUP(A279,'[1]MC Masterlist 2026-09-12'!$B:$M, 11, 0),0)</f>
        <v>15</v>
      </c>
      <c r="W279" s="46">
        <f t="shared" si="67"/>
        <v>30</v>
      </c>
      <c r="X279" s="46">
        <f t="shared" si="68"/>
        <v>28.333333333333332</v>
      </c>
      <c r="Y279" s="46">
        <f>IFERROR(IF(OR(C279="AREA I",C279="AREA V"),7,VLOOKUP(A279,'[1]MC Masterlist 2026-09-12'!$B:$M, 12, 0)),0)</f>
        <v>30</v>
      </c>
      <c r="Z279" s="46">
        <f t="shared" si="69"/>
        <v>1.6666666666666667</v>
      </c>
      <c r="AA279" s="46">
        <f t="shared" si="70"/>
        <v>3.3333333333333335</v>
      </c>
      <c r="AB279" s="46">
        <f t="shared" si="71"/>
        <v>3.1481481481481484</v>
      </c>
      <c r="AC279" s="46">
        <f t="shared" si="72"/>
        <v>3.3333333333333335</v>
      </c>
      <c r="AD279" s="44" t="str">
        <f t="shared" si="73"/>
        <v>Re-order</v>
      </c>
      <c r="AE279" s="44" t="str">
        <f>IFERROR(VLOOKUP(A279,'[1]Re-order'!$A:$AA,27,0),"")</f>
        <v>Over</v>
      </c>
      <c r="AF279" s="46">
        <f t="shared" si="74"/>
        <v>0.33333333333333348</v>
      </c>
      <c r="AG279" s="46">
        <f>SUMIFS('[1]Raw Inventory'!D:D,'[1]Raw Inventory'!C:C,"GREATWALL",'[1]Raw Inventory'!B:B,A279)</f>
        <v>64</v>
      </c>
      <c r="AH279" s="46">
        <f>SUMIFS('[1]Raw Inventory'!D:D,'[1]Raw Inventory'!C:C,"DUARTE",'[1]Raw Inventory'!B:B,A279)</f>
        <v>0</v>
      </c>
      <c r="AI279" s="46"/>
      <c r="AJ279" s="46"/>
      <c r="AK279" s="43"/>
      <c r="AL279" s="43"/>
      <c r="AM279" s="43"/>
      <c r="AN279" s="43"/>
      <c r="AO279" s="43"/>
      <c r="AP279" s="43"/>
      <c r="AQ279" s="43"/>
      <c r="AR279" s="43"/>
      <c r="AS279" s="43"/>
      <c r="AT279" s="43"/>
    </row>
    <row r="280" spans="1:46">
      <c r="A280" s="43" t="s">
        <v>17</v>
      </c>
      <c r="B280" s="43" t="s">
        <v>122</v>
      </c>
      <c r="C280" s="43" t="s">
        <v>118</v>
      </c>
      <c r="D280" s="44" t="s">
        <v>233</v>
      </c>
      <c r="E280" s="44">
        <v>11</v>
      </c>
      <c r="F280" s="44" t="s">
        <v>2</v>
      </c>
      <c r="G280" s="43" t="str">
        <f>IFERROR(VLOOKUP(A280,'[1]MC Masterlist 2026-09-12'!$B:$M, 3, 0),"")</f>
        <v>HONDA</v>
      </c>
      <c r="H280" s="45">
        <f>IFERROR(VLOOKUP(A280,'[1]MC Masterlist 2026-09-12'!$B:$M, 6, 0),"")</f>
        <v>140790</v>
      </c>
      <c r="I280" s="46">
        <v>1</v>
      </c>
      <c r="J280" s="46">
        <v>1</v>
      </c>
      <c r="K280" s="46">
        <v>2</v>
      </c>
      <c r="L280" s="46">
        <f t="shared" si="60"/>
        <v>4</v>
      </c>
      <c r="M280" s="46">
        <f t="shared" si="61"/>
        <v>1.3333333333333333</v>
      </c>
      <c r="N280" s="45">
        <f t="shared" si="62"/>
        <v>563160</v>
      </c>
      <c r="O280" s="45">
        <f t="shared" si="63"/>
        <v>187720</v>
      </c>
      <c r="P280" s="46">
        <f t="shared" si="64"/>
        <v>4.4444444444444439E-2</v>
      </c>
      <c r="Q280" s="46">
        <v>4</v>
      </c>
      <c r="R280" s="45">
        <f t="shared" si="65"/>
        <v>563160</v>
      </c>
      <c r="S280" s="46">
        <f t="shared" si="66"/>
        <v>90</v>
      </c>
      <c r="T280" s="46">
        <f>IFERROR(VLOOKUP(A280,'[1]Re-order'!$A:$Q,17,0),"")</f>
        <v>43.663366336633665</v>
      </c>
      <c r="U280" s="46">
        <f>IFERROR(VLOOKUP(A280,'[1]MC Masterlist 2026-09-12'!$B:$M, 10, 0),0)</f>
        <v>15</v>
      </c>
      <c r="V280" s="46">
        <f>IFERROR(VLOOKUP(A280,'[1]MC Masterlist 2026-09-12'!$B:$M, 11, 0),0)</f>
        <v>15</v>
      </c>
      <c r="W280" s="46">
        <f t="shared" si="67"/>
        <v>30</v>
      </c>
      <c r="X280" s="46">
        <f t="shared" si="68"/>
        <v>29.333333333333332</v>
      </c>
      <c r="Y280" s="46">
        <f>IFERROR(IF(OR(C280="AREA I",C280="AREA V"),7,VLOOKUP(A280,'[1]MC Masterlist 2026-09-12'!$B:$M, 12, 0)),0)</f>
        <v>30</v>
      </c>
      <c r="Z280" s="46">
        <f t="shared" si="69"/>
        <v>0.66666666666666663</v>
      </c>
      <c r="AA280" s="46">
        <f t="shared" si="70"/>
        <v>1.3333333333333333</v>
      </c>
      <c r="AB280" s="46">
        <f t="shared" si="71"/>
        <v>1.3037037037037036</v>
      </c>
      <c r="AC280" s="46">
        <f t="shared" si="72"/>
        <v>1.3333333333333333</v>
      </c>
      <c r="AD280" s="44" t="str">
        <f t="shared" si="73"/>
        <v>Over</v>
      </c>
      <c r="AE280" s="44" t="str">
        <f>IFERROR(VLOOKUP(A280,'[1]Re-order'!$A:$AA,27,0),"")</f>
        <v>Re-order</v>
      </c>
      <c r="AF280" s="46">
        <f t="shared" si="74"/>
        <v>-2.666666666666667</v>
      </c>
      <c r="AG280" s="46">
        <f>SUMIFS('[1]Raw Inventory'!D:D,'[1]Raw Inventory'!C:C,"GREATWALL",'[1]Raw Inventory'!B:B,A280)</f>
        <v>12</v>
      </c>
      <c r="AH280" s="46">
        <f>SUMIFS('[1]Raw Inventory'!D:D,'[1]Raw Inventory'!C:C,"DUARTE",'[1]Raw Inventory'!B:B,A280)</f>
        <v>0</v>
      </c>
      <c r="AI280" s="46"/>
      <c r="AJ280" s="46"/>
      <c r="AK280" s="43"/>
      <c r="AL280" s="43"/>
      <c r="AM280" s="43"/>
      <c r="AN280" s="43"/>
      <c r="AO280" s="43"/>
      <c r="AP280" s="43"/>
      <c r="AQ280" s="43"/>
      <c r="AR280" s="43"/>
      <c r="AS280" s="43"/>
      <c r="AT280" s="43"/>
    </row>
    <row r="281" spans="1:46">
      <c r="A281" s="43" t="s">
        <v>101</v>
      </c>
      <c r="B281" s="43" t="s">
        <v>115</v>
      </c>
      <c r="C281" s="43" t="s">
        <v>109</v>
      </c>
      <c r="D281" s="44" t="s">
        <v>258</v>
      </c>
      <c r="E281" s="44">
        <v>28</v>
      </c>
      <c r="F281" s="44" t="s">
        <v>3</v>
      </c>
      <c r="G281" s="43" t="str">
        <f>IFERROR(VLOOKUP(A281,'[1]MC Masterlist 2026-09-12'!$B:$M, 3, 0),"")</f>
        <v>BAJAJ RE</v>
      </c>
      <c r="H281" s="45">
        <f>IFERROR(VLOOKUP(A281,'[1]MC Masterlist 2026-09-12'!$B:$M, 6, 0),"")</f>
        <v>221800</v>
      </c>
      <c r="I281" s="46">
        <v>0</v>
      </c>
      <c r="J281" s="46">
        <v>0</v>
      </c>
      <c r="K281" s="46">
        <v>0</v>
      </c>
      <c r="L281" s="46">
        <f t="shared" si="60"/>
        <v>0</v>
      </c>
      <c r="M281" s="46">
        <f t="shared" si="61"/>
        <v>0</v>
      </c>
      <c r="N281" s="45">
        <f t="shared" si="62"/>
        <v>0</v>
      </c>
      <c r="O281" s="45">
        <f t="shared" si="63"/>
        <v>0</v>
      </c>
      <c r="P281" s="46">
        <f t="shared" si="64"/>
        <v>0</v>
      </c>
      <c r="Q281" s="46">
        <v>1</v>
      </c>
      <c r="R281" s="45">
        <f t="shared" si="65"/>
        <v>221800</v>
      </c>
      <c r="S281" s="46">
        <f t="shared" si="66"/>
        <v>0</v>
      </c>
      <c r="T281" s="46">
        <f>IFERROR(VLOOKUP(A281,'[1]Re-order'!$A:$Q,17,0),"")</f>
        <v>90</v>
      </c>
      <c r="U281" s="46">
        <f>IFERROR(VLOOKUP(A281,'[1]MC Masterlist 2026-09-12'!$B:$M, 10, 0),0)</f>
        <v>15</v>
      </c>
      <c r="V281" s="46">
        <f>IFERROR(VLOOKUP(A281,'[1]MC Masterlist 2026-09-12'!$B:$M, 11, 0),0)</f>
        <v>15</v>
      </c>
      <c r="W281" s="46">
        <f t="shared" si="67"/>
        <v>30</v>
      </c>
      <c r="X281" s="46">
        <f t="shared" si="68"/>
        <v>30</v>
      </c>
      <c r="Y281" s="46">
        <f>IFERROR(IF(OR(C281="AREA I",C281="AREA V"),7,VLOOKUP(A281,'[1]MC Masterlist 2026-09-12'!$B:$M, 12, 0)),0)</f>
        <v>30</v>
      </c>
      <c r="Z281" s="46">
        <f t="shared" si="69"/>
        <v>0</v>
      </c>
      <c r="AA281" s="46">
        <f t="shared" si="70"/>
        <v>0</v>
      </c>
      <c r="AB281" s="46">
        <f t="shared" si="71"/>
        <v>0</v>
      </c>
      <c r="AC281" s="46">
        <f t="shared" si="72"/>
        <v>0</v>
      </c>
      <c r="AD281" s="44" t="str">
        <f t="shared" si="73"/>
        <v>Over</v>
      </c>
      <c r="AE281" s="44" t="str">
        <f>IFERROR(VLOOKUP(A281,'[1]Re-order'!$A:$AA,27,0),"")</f>
        <v/>
      </c>
      <c r="AF281" s="46">
        <f t="shared" si="74"/>
        <v>-1</v>
      </c>
      <c r="AG281" s="46">
        <f>SUMIFS('[1]Raw Inventory'!D:D,'[1]Raw Inventory'!C:C,"GREATWALL",'[1]Raw Inventory'!B:B,A281)</f>
        <v>0</v>
      </c>
      <c r="AH281" s="46">
        <f>SUMIFS('[1]Raw Inventory'!D:D,'[1]Raw Inventory'!C:C,"DUARTE",'[1]Raw Inventory'!B:B,A281)</f>
        <v>0</v>
      </c>
      <c r="AI281" s="46"/>
      <c r="AJ281" s="46"/>
      <c r="AK281" s="43"/>
      <c r="AL281" s="43"/>
      <c r="AM281" s="43"/>
      <c r="AN281" s="43"/>
      <c r="AO281" s="43"/>
      <c r="AP281" s="43"/>
      <c r="AQ281" s="43"/>
      <c r="AR281" s="43"/>
      <c r="AS281" s="43"/>
      <c r="AT281" s="43"/>
    </row>
    <row r="282" spans="1:46">
      <c r="A282" s="43" t="s">
        <v>87</v>
      </c>
      <c r="B282" s="43" t="s">
        <v>91</v>
      </c>
      <c r="C282" s="43" t="s">
        <v>90</v>
      </c>
      <c r="D282" s="44" t="s">
        <v>232</v>
      </c>
      <c r="E282" s="44">
        <v>14</v>
      </c>
      <c r="F282" s="44" t="s">
        <v>3</v>
      </c>
      <c r="G282" s="43" t="str">
        <f>IFERROR(VLOOKUP(A282,'[1]MC Masterlist 2026-09-12'!$B:$M, 3, 0),"")</f>
        <v>HONDA</v>
      </c>
      <c r="H282" s="45">
        <f>IFERROR(VLOOKUP(A282,'[1]MC Masterlist 2026-09-12'!$B:$M, 6, 0),"")</f>
        <v>156098</v>
      </c>
      <c r="I282" s="46">
        <v>0</v>
      </c>
      <c r="J282" s="46">
        <v>0</v>
      </c>
      <c r="K282" s="46">
        <v>0</v>
      </c>
      <c r="L282" s="46">
        <f t="shared" si="60"/>
        <v>0</v>
      </c>
      <c r="M282" s="46">
        <f t="shared" si="61"/>
        <v>0</v>
      </c>
      <c r="N282" s="45">
        <f t="shared" si="62"/>
        <v>0</v>
      </c>
      <c r="O282" s="45">
        <f t="shared" si="63"/>
        <v>0</v>
      </c>
      <c r="P282" s="46">
        <f t="shared" si="64"/>
        <v>0</v>
      </c>
      <c r="Q282" s="46">
        <v>1</v>
      </c>
      <c r="R282" s="45">
        <f t="shared" si="65"/>
        <v>156098</v>
      </c>
      <c r="S282" s="46">
        <f t="shared" si="66"/>
        <v>0</v>
      </c>
      <c r="T282" s="46" t="str">
        <f>IFERROR(VLOOKUP(A282,'[1]Re-order'!$A:$Q,17,0),"")</f>
        <v/>
      </c>
      <c r="U282" s="46">
        <f>IFERROR(VLOOKUP(A282,'[1]MC Masterlist 2026-09-12'!$B:$M, 10, 0),0)</f>
        <v>15</v>
      </c>
      <c r="V282" s="46">
        <f>IFERROR(VLOOKUP(A282,'[1]MC Masterlist 2026-09-12'!$B:$M, 11, 0),0)</f>
        <v>15</v>
      </c>
      <c r="W282" s="46">
        <f t="shared" si="67"/>
        <v>30</v>
      </c>
      <c r="X282" s="46">
        <f t="shared" si="68"/>
        <v>30</v>
      </c>
      <c r="Y282" s="46">
        <f>IFERROR(IF(OR(C282="AREA I",C282="AREA V"),7,VLOOKUP(A282,'[1]MC Masterlist 2026-09-12'!$B:$M, 12, 0)),0)</f>
        <v>30</v>
      </c>
      <c r="Z282" s="46">
        <f t="shared" si="69"/>
        <v>0</v>
      </c>
      <c r="AA282" s="46">
        <f t="shared" si="70"/>
        <v>0</v>
      </c>
      <c r="AB282" s="46">
        <f t="shared" si="71"/>
        <v>0</v>
      </c>
      <c r="AC282" s="46">
        <f t="shared" si="72"/>
        <v>0</v>
      </c>
      <c r="AD282" s="44" t="str">
        <f t="shared" si="73"/>
        <v>Over</v>
      </c>
      <c r="AE282" s="44" t="str">
        <f>IFERROR(VLOOKUP(A282,'[1]Re-order'!$A:$AA,27,0),"")</f>
        <v>Over</v>
      </c>
      <c r="AF282" s="46">
        <f t="shared" si="74"/>
        <v>-1</v>
      </c>
      <c r="AG282" s="46">
        <f>SUMIFS('[1]Raw Inventory'!D:D,'[1]Raw Inventory'!C:C,"GREATWALL",'[1]Raw Inventory'!B:B,A282)</f>
        <v>0</v>
      </c>
      <c r="AH282" s="46">
        <f>SUMIFS('[1]Raw Inventory'!D:D,'[1]Raw Inventory'!C:C,"DUARTE",'[1]Raw Inventory'!B:B,A282)</f>
        <v>0</v>
      </c>
      <c r="AI282" s="46"/>
      <c r="AJ282" s="46"/>
      <c r="AK282" s="43"/>
      <c r="AL282" s="43"/>
      <c r="AM282" s="43"/>
      <c r="AN282" s="43"/>
      <c r="AO282" s="43"/>
      <c r="AP282" s="43"/>
      <c r="AQ282" s="43"/>
      <c r="AR282" s="43"/>
      <c r="AS282" s="43"/>
      <c r="AT282" s="43"/>
    </row>
    <row r="283" spans="1:46">
      <c r="A283" s="43" t="s">
        <v>46</v>
      </c>
      <c r="B283" s="43" t="s">
        <v>110</v>
      </c>
      <c r="C283" s="43" t="s">
        <v>109</v>
      </c>
      <c r="D283" s="44" t="s">
        <v>252</v>
      </c>
      <c r="E283" s="44">
        <v>19</v>
      </c>
      <c r="F283" s="44" t="s">
        <v>2</v>
      </c>
      <c r="G283" s="43" t="str">
        <f>IFERROR(VLOOKUP(A283,'[1]MC Masterlist 2026-09-12'!$B:$M, 3, 0),"")</f>
        <v>HONDA</v>
      </c>
      <c r="H283" s="45">
        <f>IFERROR(VLOOKUP(A283,'[1]MC Masterlist 2026-09-12'!$B:$M, 6, 0),"")</f>
        <v>73630</v>
      </c>
      <c r="I283" s="46">
        <v>1</v>
      </c>
      <c r="J283" s="46">
        <v>1</v>
      </c>
      <c r="K283" s="46">
        <v>0</v>
      </c>
      <c r="L283" s="46">
        <f t="shared" si="60"/>
        <v>2</v>
      </c>
      <c r="M283" s="46">
        <f t="shared" si="61"/>
        <v>0.66666666666666663</v>
      </c>
      <c r="N283" s="45">
        <f t="shared" si="62"/>
        <v>147260</v>
      </c>
      <c r="O283" s="45">
        <f t="shared" si="63"/>
        <v>49086.666666666664</v>
      </c>
      <c r="P283" s="46">
        <f t="shared" si="64"/>
        <v>2.222222222222222E-2</v>
      </c>
      <c r="Q283" s="46"/>
      <c r="R283" s="45">
        <f t="shared" si="65"/>
        <v>0</v>
      </c>
      <c r="S283" s="46">
        <f t="shared" si="66"/>
        <v>0</v>
      </c>
      <c r="T283" s="46">
        <f>IFERROR(VLOOKUP(A283,'[1]Re-order'!$A:$Q,17,0),"")</f>
        <v>51</v>
      </c>
      <c r="U283" s="46">
        <f>IFERROR(VLOOKUP(A283,'[1]MC Masterlist 2026-09-12'!$B:$M, 10, 0),0)</f>
        <v>15</v>
      </c>
      <c r="V283" s="46">
        <f>IFERROR(VLOOKUP(A283,'[1]MC Masterlist 2026-09-12'!$B:$M, 11, 0),0)</f>
        <v>15</v>
      </c>
      <c r="W283" s="46">
        <f t="shared" si="67"/>
        <v>30</v>
      </c>
      <c r="X283" s="46">
        <f t="shared" si="68"/>
        <v>29.666666666666668</v>
      </c>
      <c r="Y283" s="46">
        <f>IFERROR(IF(OR(C283="AREA I",C283="AREA V"),7,VLOOKUP(A283,'[1]MC Masterlist 2026-09-12'!$B:$M, 12, 0)),0)</f>
        <v>30</v>
      </c>
      <c r="Z283" s="46">
        <f t="shared" si="69"/>
        <v>0.33333333333333331</v>
      </c>
      <c r="AA283" s="46">
        <f t="shared" si="70"/>
        <v>0.66666666666666663</v>
      </c>
      <c r="AB283" s="46">
        <f t="shared" si="71"/>
        <v>0.65925925925925921</v>
      </c>
      <c r="AC283" s="46">
        <f t="shared" si="72"/>
        <v>0.66666666666666663</v>
      </c>
      <c r="AD283" s="44" t="str">
        <f t="shared" si="73"/>
        <v>Stockout</v>
      </c>
      <c r="AE283" s="44" t="str">
        <f>IFERROR(VLOOKUP(A283,'[1]Re-order'!$A:$AA,27,0),"")</f>
        <v>Re-order</v>
      </c>
      <c r="AF283" s="46">
        <f t="shared" si="74"/>
        <v>0.66666666666666663</v>
      </c>
      <c r="AG283" s="46">
        <f>SUMIFS('[1]Raw Inventory'!D:D,'[1]Raw Inventory'!C:C,"GREATWALL",'[1]Raw Inventory'!B:B,A283)</f>
        <v>0</v>
      </c>
      <c r="AH283" s="46">
        <f>SUMIFS('[1]Raw Inventory'!D:D,'[1]Raw Inventory'!C:C,"DUARTE",'[1]Raw Inventory'!B:B,A283)</f>
        <v>0</v>
      </c>
      <c r="AI283" s="46"/>
      <c r="AJ283" s="46"/>
      <c r="AK283" s="43"/>
      <c r="AL283" s="43"/>
      <c r="AM283" s="43"/>
      <c r="AN283" s="43"/>
      <c r="AO283" s="43"/>
      <c r="AP283" s="43"/>
      <c r="AQ283" s="43"/>
      <c r="AR283" s="43"/>
      <c r="AS283" s="43"/>
      <c r="AT283" s="43"/>
    </row>
    <row r="284" spans="1:46">
      <c r="A284" s="43" t="s">
        <v>65</v>
      </c>
      <c r="B284" s="43" t="s">
        <v>155</v>
      </c>
      <c r="C284" s="43" t="s">
        <v>152</v>
      </c>
      <c r="D284" s="44" t="s">
        <v>232</v>
      </c>
      <c r="E284" s="44">
        <v>27</v>
      </c>
      <c r="F284" s="44" t="s">
        <v>3</v>
      </c>
      <c r="G284" s="43" t="str">
        <f>IFERROR(VLOOKUP(A284,'[1]MC Masterlist 2026-09-12'!$B:$M, 3, 0),"")</f>
        <v>SUZUKI</v>
      </c>
      <c r="H284" s="45">
        <f>IFERROR(VLOOKUP(A284,'[1]MC Masterlist 2026-09-12'!$B:$M, 6, 0),"")</f>
        <v>77572</v>
      </c>
      <c r="I284" s="46">
        <v>0</v>
      </c>
      <c r="J284" s="46">
        <v>0</v>
      </c>
      <c r="K284" s="46">
        <v>0</v>
      </c>
      <c r="L284" s="46">
        <f t="shared" si="60"/>
        <v>0</v>
      </c>
      <c r="M284" s="46">
        <f t="shared" si="61"/>
        <v>0</v>
      </c>
      <c r="N284" s="45">
        <f t="shared" si="62"/>
        <v>0</v>
      </c>
      <c r="O284" s="45">
        <f t="shared" si="63"/>
        <v>0</v>
      </c>
      <c r="P284" s="46">
        <f t="shared" si="64"/>
        <v>0</v>
      </c>
      <c r="Q284" s="46">
        <v>2</v>
      </c>
      <c r="R284" s="45">
        <f t="shared" si="65"/>
        <v>155144</v>
      </c>
      <c r="S284" s="46">
        <f t="shared" si="66"/>
        <v>0</v>
      </c>
      <c r="T284" s="46">
        <f>IFERROR(VLOOKUP(A284,'[1]Re-order'!$A:$Q,17,0),"")</f>
        <v>158.8235294117647</v>
      </c>
      <c r="U284" s="46">
        <f>IFERROR(VLOOKUP(A284,'[1]MC Masterlist 2026-09-12'!$B:$M, 10, 0),0)</f>
        <v>15</v>
      </c>
      <c r="V284" s="46">
        <f>IFERROR(VLOOKUP(A284,'[1]MC Masterlist 2026-09-12'!$B:$M, 11, 0),0)</f>
        <v>15</v>
      </c>
      <c r="W284" s="46">
        <f t="shared" si="67"/>
        <v>30</v>
      </c>
      <c r="X284" s="46">
        <f t="shared" si="68"/>
        <v>30</v>
      </c>
      <c r="Y284" s="46">
        <f>IFERROR(IF(OR(C284="AREA I",C284="AREA V"),7,VLOOKUP(A284,'[1]MC Masterlist 2026-09-12'!$B:$M, 12, 0)),0)</f>
        <v>30</v>
      </c>
      <c r="Z284" s="46">
        <f t="shared" si="69"/>
        <v>0</v>
      </c>
      <c r="AA284" s="46">
        <f t="shared" si="70"/>
        <v>0</v>
      </c>
      <c r="AB284" s="46">
        <f t="shared" si="71"/>
        <v>0</v>
      </c>
      <c r="AC284" s="46">
        <f t="shared" si="72"/>
        <v>0</v>
      </c>
      <c r="AD284" s="44" t="str">
        <f t="shared" si="73"/>
        <v>Over</v>
      </c>
      <c r="AE284" s="44" t="str">
        <f>IFERROR(VLOOKUP(A284,'[1]Re-order'!$A:$AA,27,0),"")</f>
        <v>Over</v>
      </c>
      <c r="AF284" s="46">
        <f t="shared" si="74"/>
        <v>-2</v>
      </c>
      <c r="AG284" s="46">
        <f>SUMIFS('[1]Raw Inventory'!D:D,'[1]Raw Inventory'!C:C,"GREATWALL",'[1]Raw Inventory'!B:B,A284)</f>
        <v>4</v>
      </c>
      <c r="AH284" s="46">
        <f>SUMIFS('[1]Raw Inventory'!D:D,'[1]Raw Inventory'!C:C,"DUARTE",'[1]Raw Inventory'!B:B,A284)</f>
        <v>0</v>
      </c>
      <c r="AI284" s="46"/>
      <c r="AJ284" s="46"/>
      <c r="AK284" s="43"/>
      <c r="AL284" s="43"/>
      <c r="AM284" s="43"/>
      <c r="AN284" s="43"/>
      <c r="AO284" s="43"/>
      <c r="AP284" s="43"/>
      <c r="AQ284" s="43"/>
      <c r="AR284" s="43"/>
      <c r="AS284" s="43"/>
      <c r="AT284" s="43"/>
    </row>
    <row r="285" spans="1:46">
      <c r="A285" s="43" t="s">
        <v>50</v>
      </c>
      <c r="B285" s="43" t="s">
        <v>158</v>
      </c>
      <c r="C285" s="43" t="s">
        <v>152</v>
      </c>
      <c r="D285" s="44" t="s">
        <v>241</v>
      </c>
      <c r="E285" s="44">
        <v>22</v>
      </c>
      <c r="F285" s="44" t="s">
        <v>3</v>
      </c>
      <c r="G285" s="43" t="str">
        <f>IFERROR(VLOOKUP(A285,'[1]MC Masterlist 2026-09-12'!$B:$M, 3, 0),"")</f>
        <v>YAMAHA</v>
      </c>
      <c r="H285" s="45">
        <f>IFERROR(VLOOKUP(A285,'[1]MC Masterlist 2026-09-12'!$B:$M, 6, 0),"")</f>
        <v>78957</v>
      </c>
      <c r="I285" s="46">
        <v>1</v>
      </c>
      <c r="J285" s="46">
        <v>0</v>
      </c>
      <c r="K285" s="46">
        <v>0</v>
      </c>
      <c r="L285" s="46">
        <f t="shared" si="60"/>
        <v>1</v>
      </c>
      <c r="M285" s="46">
        <f t="shared" si="61"/>
        <v>0.33333333333333331</v>
      </c>
      <c r="N285" s="45">
        <f t="shared" si="62"/>
        <v>78957</v>
      </c>
      <c r="O285" s="45">
        <f t="shared" si="63"/>
        <v>26319</v>
      </c>
      <c r="P285" s="46">
        <f t="shared" si="64"/>
        <v>1.111111111111111E-2</v>
      </c>
      <c r="Q285" s="46"/>
      <c r="R285" s="45">
        <f t="shared" si="65"/>
        <v>0</v>
      </c>
      <c r="S285" s="46">
        <f t="shared" si="66"/>
        <v>0</v>
      </c>
      <c r="T285" s="46">
        <f>IFERROR(VLOOKUP(A285,'[1]Re-order'!$A:$Q,17,0),"")</f>
        <v>118.125</v>
      </c>
      <c r="U285" s="46">
        <f>IFERROR(VLOOKUP(A285,'[1]MC Masterlist 2026-09-12'!$B:$M, 10, 0),0)</f>
        <v>15</v>
      </c>
      <c r="V285" s="46">
        <f>IFERROR(VLOOKUP(A285,'[1]MC Masterlist 2026-09-12'!$B:$M, 11, 0),0)</f>
        <v>15</v>
      </c>
      <c r="W285" s="46">
        <f t="shared" si="67"/>
        <v>30</v>
      </c>
      <c r="X285" s="46">
        <f t="shared" si="68"/>
        <v>29.833333333333332</v>
      </c>
      <c r="Y285" s="46">
        <f>IFERROR(IF(OR(C285="AREA I",C285="AREA V"),7,VLOOKUP(A285,'[1]MC Masterlist 2026-09-12'!$B:$M, 12, 0)),0)</f>
        <v>30</v>
      </c>
      <c r="Z285" s="46">
        <f t="shared" si="69"/>
        <v>0.16666666666666666</v>
      </c>
      <c r="AA285" s="46">
        <f t="shared" si="70"/>
        <v>0.33333333333333331</v>
      </c>
      <c r="AB285" s="46">
        <f t="shared" si="71"/>
        <v>0.33148148148148143</v>
      </c>
      <c r="AC285" s="46">
        <f t="shared" si="72"/>
        <v>0.33333333333333331</v>
      </c>
      <c r="AD285" s="44" t="str">
        <f t="shared" si="73"/>
        <v>Stockout</v>
      </c>
      <c r="AE285" s="44" t="str">
        <f>IFERROR(VLOOKUP(A285,'[1]Re-order'!$A:$AA,27,0),"")</f>
        <v>Over</v>
      </c>
      <c r="AF285" s="46">
        <f t="shared" si="74"/>
        <v>0.33333333333333331</v>
      </c>
      <c r="AG285" s="46">
        <f>SUMIFS('[1]Raw Inventory'!D:D,'[1]Raw Inventory'!C:C,"GREATWALL",'[1]Raw Inventory'!B:B,A285)</f>
        <v>23</v>
      </c>
      <c r="AH285" s="46">
        <f>SUMIFS('[1]Raw Inventory'!D:D,'[1]Raw Inventory'!C:C,"DUARTE",'[1]Raw Inventory'!B:B,A285)</f>
        <v>0</v>
      </c>
      <c r="AI285" s="46"/>
      <c r="AJ285" s="46"/>
      <c r="AK285" s="43"/>
      <c r="AL285" s="43"/>
      <c r="AM285" s="43"/>
      <c r="AN285" s="43"/>
      <c r="AO285" s="43"/>
      <c r="AP285" s="43"/>
      <c r="AQ285" s="43"/>
      <c r="AR285" s="43"/>
      <c r="AS285" s="43"/>
      <c r="AT285" s="43"/>
    </row>
    <row r="286" spans="1:46">
      <c r="A286" s="43" t="s">
        <v>65</v>
      </c>
      <c r="B286" s="43" t="s">
        <v>5</v>
      </c>
      <c r="C286" s="43" t="s">
        <v>118</v>
      </c>
      <c r="D286" s="44" t="s">
        <v>258</v>
      </c>
      <c r="E286" s="44">
        <v>23</v>
      </c>
      <c r="F286" s="44" t="s">
        <v>3</v>
      </c>
      <c r="G286" s="43" t="str">
        <f>IFERROR(VLOOKUP(A286,'[1]MC Masterlist 2026-09-12'!$B:$M, 3, 0),"")</f>
        <v>SUZUKI</v>
      </c>
      <c r="H286" s="45">
        <f>IFERROR(VLOOKUP(A286,'[1]MC Masterlist 2026-09-12'!$B:$M, 6, 0),"")</f>
        <v>77572</v>
      </c>
      <c r="I286" s="46">
        <v>0</v>
      </c>
      <c r="J286" s="46">
        <v>0</v>
      </c>
      <c r="K286" s="46">
        <v>0</v>
      </c>
      <c r="L286" s="46">
        <f t="shared" si="60"/>
        <v>0</v>
      </c>
      <c r="M286" s="46">
        <f t="shared" si="61"/>
        <v>0</v>
      </c>
      <c r="N286" s="45">
        <f t="shared" si="62"/>
        <v>0</v>
      </c>
      <c r="O286" s="45">
        <f t="shared" si="63"/>
        <v>0</v>
      </c>
      <c r="P286" s="46">
        <f t="shared" si="64"/>
        <v>0</v>
      </c>
      <c r="Q286" s="46">
        <v>1</v>
      </c>
      <c r="R286" s="45">
        <f t="shared" si="65"/>
        <v>77572</v>
      </c>
      <c r="S286" s="46">
        <f t="shared" si="66"/>
        <v>0</v>
      </c>
      <c r="T286" s="46">
        <f>IFERROR(VLOOKUP(A286,'[1]Re-order'!$A:$Q,17,0),"")</f>
        <v>158.8235294117647</v>
      </c>
      <c r="U286" s="46">
        <f>IFERROR(VLOOKUP(A286,'[1]MC Masterlist 2026-09-12'!$B:$M, 10, 0),0)</f>
        <v>15</v>
      </c>
      <c r="V286" s="46">
        <f>IFERROR(VLOOKUP(A286,'[1]MC Masterlist 2026-09-12'!$B:$M, 11, 0),0)</f>
        <v>15</v>
      </c>
      <c r="W286" s="46">
        <f t="shared" si="67"/>
        <v>30</v>
      </c>
      <c r="X286" s="46">
        <f t="shared" si="68"/>
        <v>30</v>
      </c>
      <c r="Y286" s="46">
        <f>IFERROR(IF(OR(C286="AREA I",C286="AREA V"),7,VLOOKUP(A286,'[1]MC Masterlist 2026-09-12'!$B:$M, 12, 0)),0)</f>
        <v>30</v>
      </c>
      <c r="Z286" s="46">
        <f t="shared" si="69"/>
        <v>0</v>
      </c>
      <c r="AA286" s="46">
        <f t="shared" si="70"/>
        <v>0</v>
      </c>
      <c r="AB286" s="46">
        <f t="shared" si="71"/>
        <v>0</v>
      </c>
      <c r="AC286" s="46">
        <f t="shared" si="72"/>
        <v>0</v>
      </c>
      <c r="AD286" s="44" t="str">
        <f t="shared" si="73"/>
        <v>Over</v>
      </c>
      <c r="AE286" s="44" t="str">
        <f>IFERROR(VLOOKUP(A286,'[1]Re-order'!$A:$AA,27,0),"")</f>
        <v>Over</v>
      </c>
      <c r="AF286" s="46">
        <f t="shared" si="74"/>
        <v>-1</v>
      </c>
      <c r="AG286" s="46">
        <f>SUMIFS('[1]Raw Inventory'!D:D,'[1]Raw Inventory'!C:C,"GREATWALL",'[1]Raw Inventory'!B:B,A286)</f>
        <v>4</v>
      </c>
      <c r="AH286" s="46">
        <f>SUMIFS('[1]Raw Inventory'!D:D,'[1]Raw Inventory'!C:C,"DUARTE",'[1]Raw Inventory'!B:B,A286)</f>
        <v>0</v>
      </c>
      <c r="AI286" s="46"/>
      <c r="AJ286" s="46"/>
      <c r="AK286" s="43"/>
      <c r="AL286" s="43"/>
      <c r="AM286" s="43"/>
      <c r="AN286" s="43"/>
      <c r="AO286" s="43"/>
      <c r="AP286" s="43"/>
      <c r="AQ286" s="43"/>
      <c r="AR286" s="43"/>
      <c r="AS286" s="43"/>
      <c r="AT286" s="43"/>
    </row>
    <row r="287" spans="1:46">
      <c r="A287" s="43" t="s">
        <v>69</v>
      </c>
      <c r="B287" s="43" t="s">
        <v>111</v>
      </c>
      <c r="C287" s="43" t="s">
        <v>109</v>
      </c>
      <c r="D287" s="44" t="s">
        <v>232</v>
      </c>
      <c r="E287" s="44">
        <v>29</v>
      </c>
      <c r="F287" s="44" t="s">
        <v>3</v>
      </c>
      <c r="G287" s="43" t="str">
        <f>IFERROR(VLOOKUP(A287,'[1]MC Masterlist 2026-09-12'!$B:$M, 3, 0),"")</f>
        <v>YAMAHA</v>
      </c>
      <c r="H287" s="45">
        <f>IFERROR(VLOOKUP(A287,'[1]MC Masterlist 2026-09-12'!$B:$M, 6, 0),"")</f>
        <v>54426</v>
      </c>
      <c r="I287" s="46">
        <v>0</v>
      </c>
      <c r="J287" s="46">
        <v>0</v>
      </c>
      <c r="K287" s="46">
        <v>0</v>
      </c>
      <c r="L287" s="46">
        <f t="shared" si="60"/>
        <v>0</v>
      </c>
      <c r="M287" s="46">
        <f t="shared" si="61"/>
        <v>0</v>
      </c>
      <c r="N287" s="45">
        <f t="shared" si="62"/>
        <v>0</v>
      </c>
      <c r="O287" s="45">
        <f t="shared" si="63"/>
        <v>0</v>
      </c>
      <c r="P287" s="46">
        <f t="shared" si="64"/>
        <v>0</v>
      </c>
      <c r="Q287" s="46">
        <v>1</v>
      </c>
      <c r="R287" s="45">
        <f t="shared" si="65"/>
        <v>54426</v>
      </c>
      <c r="S287" s="46">
        <f t="shared" si="66"/>
        <v>0</v>
      </c>
      <c r="T287" s="46">
        <f>IFERROR(VLOOKUP(A287,'[1]Re-order'!$A:$Q,17,0),"")</f>
        <v>62.307692307692314</v>
      </c>
      <c r="U287" s="46">
        <f>IFERROR(VLOOKUP(A287,'[1]MC Masterlist 2026-09-12'!$B:$M, 10, 0),0)</f>
        <v>15</v>
      </c>
      <c r="V287" s="46">
        <f>IFERROR(VLOOKUP(A287,'[1]MC Masterlist 2026-09-12'!$B:$M, 11, 0),0)</f>
        <v>15</v>
      </c>
      <c r="W287" s="46">
        <f t="shared" si="67"/>
        <v>30</v>
      </c>
      <c r="X287" s="46">
        <f t="shared" si="68"/>
        <v>30</v>
      </c>
      <c r="Y287" s="46">
        <f>IFERROR(IF(OR(C287="AREA I",C287="AREA V"),7,VLOOKUP(A287,'[1]MC Masterlist 2026-09-12'!$B:$M, 12, 0)),0)</f>
        <v>30</v>
      </c>
      <c r="Z287" s="46">
        <f t="shared" si="69"/>
        <v>0</v>
      </c>
      <c r="AA287" s="46">
        <f t="shared" si="70"/>
        <v>0</v>
      </c>
      <c r="AB287" s="46">
        <f t="shared" si="71"/>
        <v>0</v>
      </c>
      <c r="AC287" s="46">
        <f t="shared" si="72"/>
        <v>0</v>
      </c>
      <c r="AD287" s="44" t="str">
        <f t="shared" si="73"/>
        <v>Over</v>
      </c>
      <c r="AE287" s="44" t="str">
        <f>IFERROR(VLOOKUP(A287,'[1]Re-order'!$A:$AA,27,0),"")</f>
        <v>Re-order</v>
      </c>
      <c r="AF287" s="46">
        <f t="shared" si="74"/>
        <v>-1</v>
      </c>
      <c r="AG287" s="46">
        <f>SUMIFS('[1]Raw Inventory'!D:D,'[1]Raw Inventory'!C:C,"GREATWALL",'[1]Raw Inventory'!B:B,A287)</f>
        <v>1</v>
      </c>
      <c r="AH287" s="46">
        <f>SUMIFS('[1]Raw Inventory'!D:D,'[1]Raw Inventory'!C:C,"DUARTE",'[1]Raw Inventory'!B:B,A287)</f>
        <v>0</v>
      </c>
      <c r="AI287" s="46"/>
      <c r="AJ287" s="46"/>
      <c r="AK287" s="43"/>
      <c r="AL287" s="43"/>
      <c r="AM287" s="43"/>
      <c r="AN287" s="43"/>
      <c r="AO287" s="43"/>
      <c r="AP287" s="43"/>
      <c r="AQ287" s="43"/>
      <c r="AR287" s="43"/>
      <c r="AS287" s="43"/>
      <c r="AT287" s="43"/>
    </row>
    <row r="288" spans="1:46">
      <c r="A288" s="43" t="s">
        <v>64</v>
      </c>
      <c r="B288" s="43" t="s">
        <v>145</v>
      </c>
      <c r="C288" s="43" t="s">
        <v>137</v>
      </c>
      <c r="D288" s="44" t="s">
        <v>230</v>
      </c>
      <c r="E288" s="44">
        <v>6</v>
      </c>
      <c r="F288" s="44" t="s">
        <v>0</v>
      </c>
      <c r="G288" s="43" t="str">
        <f>IFERROR(VLOOKUP(A288,'[1]MC Masterlist 2026-09-12'!$B:$M, 3, 0),"")</f>
        <v>HONDA</v>
      </c>
      <c r="H288" s="45">
        <f>IFERROR(VLOOKUP(A288,'[1]MC Masterlist 2026-09-12'!$B:$M, 6, 0),"")</f>
        <v>73170</v>
      </c>
      <c r="I288" s="46">
        <v>5</v>
      </c>
      <c r="J288" s="46">
        <v>1</v>
      </c>
      <c r="K288" s="46">
        <v>0</v>
      </c>
      <c r="L288" s="46">
        <f t="shared" si="60"/>
        <v>6</v>
      </c>
      <c r="M288" s="46">
        <f t="shared" si="61"/>
        <v>2</v>
      </c>
      <c r="N288" s="45">
        <f t="shared" si="62"/>
        <v>439020</v>
      </c>
      <c r="O288" s="45">
        <f t="shared" si="63"/>
        <v>146340</v>
      </c>
      <c r="P288" s="46">
        <f t="shared" si="64"/>
        <v>6.6666666666666666E-2</v>
      </c>
      <c r="Q288" s="46">
        <v>1</v>
      </c>
      <c r="R288" s="45">
        <f t="shared" si="65"/>
        <v>73170</v>
      </c>
      <c r="S288" s="46">
        <f t="shared" si="66"/>
        <v>15</v>
      </c>
      <c r="T288" s="46">
        <f>IFERROR(VLOOKUP(A288,'[1]Re-order'!$A:$Q,17,0),"")</f>
        <v>76.153846153846146</v>
      </c>
      <c r="U288" s="46">
        <f>IFERROR(VLOOKUP(A288,'[1]MC Masterlist 2026-09-12'!$B:$M, 10, 0),0)</f>
        <v>15</v>
      </c>
      <c r="V288" s="46">
        <f>IFERROR(VLOOKUP(A288,'[1]MC Masterlist 2026-09-12'!$B:$M, 11, 0),0)</f>
        <v>15</v>
      </c>
      <c r="W288" s="46">
        <f t="shared" si="67"/>
        <v>30</v>
      </c>
      <c r="X288" s="46">
        <f t="shared" si="68"/>
        <v>6</v>
      </c>
      <c r="Y288" s="46">
        <f>IFERROR(IF(OR(C288="AREA I",C288="AREA V"),7,VLOOKUP(A288,'[1]MC Masterlist 2026-09-12'!$B:$M, 12, 0)),0)</f>
        <v>7</v>
      </c>
      <c r="Z288" s="46">
        <f t="shared" si="69"/>
        <v>1</v>
      </c>
      <c r="AA288" s="46">
        <f t="shared" si="70"/>
        <v>2</v>
      </c>
      <c r="AB288" s="46">
        <f t="shared" si="71"/>
        <v>0.4</v>
      </c>
      <c r="AC288" s="46">
        <f t="shared" si="72"/>
        <v>0.46666666666666667</v>
      </c>
      <c r="AD288" s="44" t="str">
        <f t="shared" si="73"/>
        <v>Over</v>
      </c>
      <c r="AE288" s="44" t="str">
        <f>IFERROR(VLOOKUP(A288,'[1]Re-order'!$A:$AA,27,0),"")</f>
        <v/>
      </c>
      <c r="AF288" s="46">
        <f t="shared" si="74"/>
        <v>-0.53333333333333333</v>
      </c>
      <c r="AG288" s="46">
        <f>SUMIFS('[1]Raw Inventory'!D:D,'[1]Raw Inventory'!C:C,"GREATWALL",'[1]Raw Inventory'!B:B,A288)</f>
        <v>13</v>
      </c>
      <c r="AH288" s="46">
        <f>SUMIFS('[1]Raw Inventory'!D:D,'[1]Raw Inventory'!C:C,"DUARTE",'[1]Raw Inventory'!B:B,A288)</f>
        <v>0</v>
      </c>
      <c r="AI288" s="46"/>
      <c r="AJ288" s="46"/>
      <c r="AK288" s="43"/>
      <c r="AL288" s="43"/>
      <c r="AM288" s="43"/>
      <c r="AN288" s="43"/>
      <c r="AO288" s="43"/>
      <c r="AP288" s="43"/>
      <c r="AQ288" s="43"/>
      <c r="AR288" s="43"/>
      <c r="AS288" s="43"/>
      <c r="AT288" s="43"/>
    </row>
    <row r="289" spans="1:46">
      <c r="A289" s="43" t="s">
        <v>23</v>
      </c>
      <c r="B289" s="43" t="s">
        <v>123</v>
      </c>
      <c r="C289" s="43" t="s">
        <v>118</v>
      </c>
      <c r="D289" s="44" t="s">
        <v>230</v>
      </c>
      <c r="E289" s="44">
        <v>6</v>
      </c>
      <c r="F289" s="44" t="s">
        <v>0</v>
      </c>
      <c r="G289" s="43" t="str">
        <f>IFERROR(VLOOKUP(A289,'[1]MC Masterlist 2026-09-12'!$B:$M, 3, 0),"")</f>
        <v>KAWASAKI</v>
      </c>
      <c r="H289" s="45">
        <f>IFERROR(VLOOKUP(A289,'[1]MC Masterlist 2026-09-12'!$B:$M, 6, 0),"")</f>
        <v>60656</v>
      </c>
      <c r="I289" s="46">
        <v>3</v>
      </c>
      <c r="J289" s="46">
        <v>2</v>
      </c>
      <c r="K289" s="46">
        <v>1</v>
      </c>
      <c r="L289" s="46">
        <f t="shared" si="60"/>
        <v>6</v>
      </c>
      <c r="M289" s="46">
        <f t="shared" si="61"/>
        <v>2</v>
      </c>
      <c r="N289" s="45">
        <f t="shared" si="62"/>
        <v>363936</v>
      </c>
      <c r="O289" s="45">
        <f t="shared" si="63"/>
        <v>121312</v>
      </c>
      <c r="P289" s="46">
        <f t="shared" si="64"/>
        <v>6.6666666666666666E-2</v>
      </c>
      <c r="Q289" s="46">
        <v>17</v>
      </c>
      <c r="R289" s="45">
        <f t="shared" si="65"/>
        <v>1031152</v>
      </c>
      <c r="S289" s="46">
        <f t="shared" si="66"/>
        <v>255</v>
      </c>
      <c r="T289" s="46">
        <f>IFERROR(VLOOKUP(A289,'[1]Re-order'!$A:$Q,17,0),"")</f>
        <v>53.973412112259979</v>
      </c>
      <c r="U289" s="46">
        <f>IFERROR(VLOOKUP(A289,'[1]MC Masterlist 2026-09-12'!$B:$M, 10, 0),0)</f>
        <v>15</v>
      </c>
      <c r="V289" s="46">
        <f>IFERROR(VLOOKUP(A289,'[1]MC Masterlist 2026-09-12'!$B:$M, 11, 0),0)</f>
        <v>15</v>
      </c>
      <c r="W289" s="46">
        <f t="shared" si="67"/>
        <v>30</v>
      </c>
      <c r="X289" s="46">
        <f t="shared" si="68"/>
        <v>29</v>
      </c>
      <c r="Y289" s="46">
        <f>IFERROR(IF(OR(C289="AREA I",C289="AREA V"),7,VLOOKUP(A289,'[1]MC Masterlist 2026-09-12'!$B:$M, 12, 0)),0)</f>
        <v>30</v>
      </c>
      <c r="Z289" s="46">
        <f t="shared" si="69"/>
        <v>1</v>
      </c>
      <c r="AA289" s="46">
        <f t="shared" si="70"/>
        <v>2</v>
      </c>
      <c r="AB289" s="46">
        <f t="shared" si="71"/>
        <v>1.9333333333333333</v>
      </c>
      <c r="AC289" s="46">
        <f t="shared" si="72"/>
        <v>2</v>
      </c>
      <c r="AD289" s="44" t="str">
        <f t="shared" si="73"/>
        <v>Over</v>
      </c>
      <c r="AE289" s="44" t="str">
        <f>IFERROR(VLOOKUP(A289,'[1]Re-order'!$A:$AA,27,0),"")</f>
        <v>Re-order</v>
      </c>
      <c r="AF289" s="46">
        <f t="shared" si="74"/>
        <v>-15</v>
      </c>
      <c r="AG289" s="46">
        <f>SUMIFS('[1]Raw Inventory'!D:D,'[1]Raw Inventory'!C:C,"GREATWALL",'[1]Raw Inventory'!B:B,A289)</f>
        <v>282</v>
      </c>
      <c r="AH289" s="46">
        <f>SUMIFS('[1]Raw Inventory'!D:D,'[1]Raw Inventory'!C:C,"DUARTE",'[1]Raw Inventory'!B:B,A289)</f>
        <v>0</v>
      </c>
      <c r="AI289" s="46"/>
      <c r="AJ289" s="46"/>
      <c r="AK289" s="43"/>
      <c r="AL289" s="43"/>
      <c r="AM289" s="43"/>
      <c r="AN289" s="43"/>
      <c r="AO289" s="43"/>
      <c r="AP289" s="43"/>
      <c r="AQ289" s="43"/>
      <c r="AR289" s="43"/>
      <c r="AS289" s="43"/>
      <c r="AT289" s="43"/>
    </row>
    <row r="290" spans="1:46">
      <c r="A290" s="43" t="s">
        <v>14</v>
      </c>
      <c r="B290" s="43" t="s">
        <v>142</v>
      </c>
      <c r="C290" s="43" t="s">
        <v>137</v>
      </c>
      <c r="D290" s="44" t="s">
        <v>259</v>
      </c>
      <c r="E290" s="44">
        <v>5</v>
      </c>
      <c r="F290" s="44" t="s">
        <v>0</v>
      </c>
      <c r="G290" s="43" t="str">
        <f>IFERROR(VLOOKUP(A290,'[1]MC Masterlist 2026-09-12'!$B:$M, 3, 0),"")</f>
        <v>HONDA</v>
      </c>
      <c r="H290" s="45">
        <f>IFERROR(VLOOKUP(A290,'[1]MC Masterlist 2026-09-12'!$B:$M, 6, 0),"")</f>
        <v>80070</v>
      </c>
      <c r="I290" s="46">
        <v>3</v>
      </c>
      <c r="J290" s="46">
        <v>3</v>
      </c>
      <c r="K290" s="46">
        <v>4</v>
      </c>
      <c r="L290" s="46">
        <f t="shared" si="60"/>
        <v>10</v>
      </c>
      <c r="M290" s="46">
        <f t="shared" si="61"/>
        <v>3.3333333333333335</v>
      </c>
      <c r="N290" s="45">
        <f t="shared" si="62"/>
        <v>800700</v>
      </c>
      <c r="O290" s="45">
        <f t="shared" si="63"/>
        <v>266900</v>
      </c>
      <c r="P290" s="46">
        <f t="shared" si="64"/>
        <v>0.11111111111111112</v>
      </c>
      <c r="Q290" s="46">
        <v>1</v>
      </c>
      <c r="R290" s="45">
        <f t="shared" si="65"/>
        <v>80070</v>
      </c>
      <c r="S290" s="46">
        <f t="shared" si="66"/>
        <v>9</v>
      </c>
      <c r="T290" s="46">
        <f>IFERROR(VLOOKUP(A290,'[1]Re-order'!$A:$Q,17,0),"")</f>
        <v>20.105787181082761</v>
      </c>
      <c r="U290" s="46">
        <f>IFERROR(VLOOKUP(A290,'[1]MC Masterlist 2026-09-12'!$B:$M, 10, 0),0)</f>
        <v>15</v>
      </c>
      <c r="V290" s="46">
        <f>IFERROR(VLOOKUP(A290,'[1]MC Masterlist 2026-09-12'!$B:$M, 11, 0),0)</f>
        <v>15</v>
      </c>
      <c r="W290" s="46">
        <f t="shared" si="67"/>
        <v>30</v>
      </c>
      <c r="X290" s="46">
        <f t="shared" si="68"/>
        <v>5.333333333333333</v>
      </c>
      <c r="Y290" s="46">
        <f>IFERROR(IF(OR(C290="AREA I",C290="AREA V"),7,VLOOKUP(A290,'[1]MC Masterlist 2026-09-12'!$B:$M, 12, 0)),0)</f>
        <v>7</v>
      </c>
      <c r="Z290" s="46">
        <f t="shared" si="69"/>
        <v>1.6666666666666667</v>
      </c>
      <c r="AA290" s="46">
        <f t="shared" si="70"/>
        <v>3.3333333333333335</v>
      </c>
      <c r="AB290" s="46">
        <f t="shared" si="71"/>
        <v>0.59259259259259256</v>
      </c>
      <c r="AC290" s="46">
        <f t="shared" si="72"/>
        <v>0.77777777777777779</v>
      </c>
      <c r="AD290" s="44" t="str">
        <f t="shared" si="73"/>
        <v>Over</v>
      </c>
      <c r="AE290" s="44" t="str">
        <f>IFERROR(VLOOKUP(A290,'[1]Re-order'!$A:$AA,27,0),"")</f>
        <v>Stockout</v>
      </c>
      <c r="AF290" s="46">
        <f t="shared" si="74"/>
        <v>-0.22222222222222221</v>
      </c>
      <c r="AG290" s="46">
        <f>SUMIFS('[1]Raw Inventory'!D:D,'[1]Raw Inventory'!C:C,"GREATWALL",'[1]Raw Inventory'!B:B,A290)</f>
        <v>176</v>
      </c>
      <c r="AH290" s="46">
        <f>SUMIFS('[1]Raw Inventory'!D:D,'[1]Raw Inventory'!C:C,"DUARTE",'[1]Raw Inventory'!B:B,A290)</f>
        <v>0</v>
      </c>
      <c r="AI290" s="46"/>
      <c r="AJ290" s="46"/>
      <c r="AK290" s="43"/>
      <c r="AL290" s="43"/>
      <c r="AM290" s="43"/>
      <c r="AN290" s="43"/>
      <c r="AO290" s="43"/>
      <c r="AP290" s="43"/>
      <c r="AQ290" s="43"/>
      <c r="AR290" s="43"/>
      <c r="AS290" s="43"/>
      <c r="AT290" s="43"/>
    </row>
    <row r="291" spans="1:46">
      <c r="A291" s="43" t="s">
        <v>43</v>
      </c>
      <c r="B291" s="43" t="s">
        <v>129</v>
      </c>
      <c r="C291" s="43" t="s">
        <v>128</v>
      </c>
      <c r="D291" s="44" t="s">
        <v>247</v>
      </c>
      <c r="E291" s="44">
        <v>20</v>
      </c>
      <c r="F291" s="44" t="s">
        <v>3</v>
      </c>
      <c r="G291" s="43" t="str">
        <f>IFERROR(VLOOKUP(A291,'[1]MC Masterlist 2026-09-12'!$B:$M, 3, 0),"")</f>
        <v>YAMAHA</v>
      </c>
      <c r="H291" s="45">
        <f>IFERROR(VLOOKUP(A291,'[1]MC Masterlist 2026-09-12'!$B:$M, 6, 0),"")</f>
        <v>70587</v>
      </c>
      <c r="I291" s="46">
        <v>1</v>
      </c>
      <c r="J291" s="46">
        <v>0</v>
      </c>
      <c r="K291" s="46">
        <v>0</v>
      </c>
      <c r="L291" s="46">
        <f t="shared" si="60"/>
        <v>1</v>
      </c>
      <c r="M291" s="46">
        <f t="shared" si="61"/>
        <v>0.33333333333333331</v>
      </c>
      <c r="N291" s="45">
        <f t="shared" si="62"/>
        <v>70587</v>
      </c>
      <c r="O291" s="45">
        <f t="shared" si="63"/>
        <v>23529</v>
      </c>
      <c r="P291" s="46">
        <f t="shared" si="64"/>
        <v>1.111111111111111E-2</v>
      </c>
      <c r="Q291" s="46"/>
      <c r="R291" s="45">
        <f t="shared" si="65"/>
        <v>0</v>
      </c>
      <c r="S291" s="46">
        <f t="shared" si="66"/>
        <v>0</v>
      </c>
      <c r="T291" s="46">
        <f>IFERROR(VLOOKUP(A291,'[1]Re-order'!$A:$Q,17,0),"")</f>
        <v>43.578947368421055</v>
      </c>
      <c r="U291" s="46">
        <f>IFERROR(VLOOKUP(A291,'[1]MC Masterlist 2026-09-12'!$B:$M, 10, 0),0)</f>
        <v>15</v>
      </c>
      <c r="V291" s="46">
        <f>IFERROR(VLOOKUP(A291,'[1]MC Masterlist 2026-09-12'!$B:$M, 11, 0),0)</f>
        <v>15</v>
      </c>
      <c r="W291" s="46">
        <f t="shared" si="67"/>
        <v>30</v>
      </c>
      <c r="X291" s="46">
        <f t="shared" si="68"/>
        <v>29.833333333333332</v>
      </c>
      <c r="Y291" s="46">
        <f>IFERROR(IF(OR(C291="AREA I",C291="AREA V"),7,VLOOKUP(A291,'[1]MC Masterlist 2026-09-12'!$B:$M, 12, 0)),0)</f>
        <v>30</v>
      </c>
      <c r="Z291" s="46">
        <f t="shared" si="69"/>
        <v>0.16666666666666666</v>
      </c>
      <c r="AA291" s="46">
        <f t="shared" si="70"/>
        <v>0.33333333333333331</v>
      </c>
      <c r="AB291" s="46">
        <f t="shared" si="71"/>
        <v>0.33148148148148143</v>
      </c>
      <c r="AC291" s="46">
        <f t="shared" si="72"/>
        <v>0.33333333333333331</v>
      </c>
      <c r="AD291" s="44" t="str">
        <f t="shared" si="73"/>
        <v>Stockout</v>
      </c>
      <c r="AE291" s="44" t="str">
        <f>IFERROR(VLOOKUP(A291,'[1]Re-order'!$A:$AA,27,0),"")</f>
        <v>Re-order</v>
      </c>
      <c r="AF291" s="46">
        <f t="shared" si="74"/>
        <v>0.33333333333333331</v>
      </c>
      <c r="AG291" s="46">
        <f>SUMIFS('[1]Raw Inventory'!D:D,'[1]Raw Inventory'!C:C,"GREATWALL",'[1]Raw Inventory'!B:B,A291)</f>
        <v>0</v>
      </c>
      <c r="AH291" s="46">
        <f>SUMIFS('[1]Raw Inventory'!D:D,'[1]Raw Inventory'!C:C,"DUARTE",'[1]Raw Inventory'!B:B,A291)</f>
        <v>0</v>
      </c>
      <c r="AI291" s="46"/>
      <c r="AJ291" s="46"/>
      <c r="AK291" s="43"/>
      <c r="AL291" s="43"/>
      <c r="AM291" s="43"/>
      <c r="AN291" s="43"/>
      <c r="AO291" s="43"/>
      <c r="AP291" s="43"/>
      <c r="AQ291" s="43"/>
      <c r="AR291" s="43"/>
      <c r="AS291" s="43"/>
      <c r="AT291" s="43"/>
    </row>
    <row r="292" spans="1:46">
      <c r="A292" s="43" t="s">
        <v>18</v>
      </c>
      <c r="B292" s="43" t="s">
        <v>140</v>
      </c>
      <c r="C292" s="43" t="s">
        <v>137</v>
      </c>
      <c r="D292" s="44" t="s">
        <v>221</v>
      </c>
      <c r="E292" s="44">
        <v>13</v>
      </c>
      <c r="F292" s="44" t="s">
        <v>3</v>
      </c>
      <c r="G292" s="43" t="str">
        <f>IFERROR(VLOOKUP(A292,'[1]MC Masterlist 2026-09-12'!$B:$M, 3, 0),"")</f>
        <v>HONDA</v>
      </c>
      <c r="H292" s="45">
        <f>IFERROR(VLOOKUP(A292,'[1]MC Masterlist 2026-09-12'!$B:$M, 6, 0),"")</f>
        <v>94330</v>
      </c>
      <c r="I292" s="46">
        <v>0</v>
      </c>
      <c r="J292" s="46">
        <v>1</v>
      </c>
      <c r="K292" s="46">
        <v>0</v>
      </c>
      <c r="L292" s="46">
        <f t="shared" si="60"/>
        <v>1</v>
      </c>
      <c r="M292" s="46">
        <f t="shared" si="61"/>
        <v>0.33333333333333331</v>
      </c>
      <c r="N292" s="45">
        <f t="shared" si="62"/>
        <v>94330</v>
      </c>
      <c r="O292" s="45">
        <f t="shared" si="63"/>
        <v>31443.333333333332</v>
      </c>
      <c r="P292" s="46">
        <f t="shared" si="64"/>
        <v>1.111111111111111E-2</v>
      </c>
      <c r="Q292" s="46">
        <v>5</v>
      </c>
      <c r="R292" s="45">
        <f t="shared" si="65"/>
        <v>471650</v>
      </c>
      <c r="S292" s="46">
        <f t="shared" si="66"/>
        <v>450</v>
      </c>
      <c r="T292" s="46">
        <f>IFERROR(VLOOKUP(A292,'[1]Re-order'!$A:$Q,17,0),"")</f>
        <v>113.9644970414201</v>
      </c>
      <c r="U292" s="46">
        <f>IFERROR(VLOOKUP(A292,'[1]MC Masterlist 2026-09-12'!$B:$M, 10, 0),0)</f>
        <v>15</v>
      </c>
      <c r="V292" s="46">
        <f>IFERROR(VLOOKUP(A292,'[1]MC Masterlist 2026-09-12'!$B:$M, 11, 0),0)</f>
        <v>15</v>
      </c>
      <c r="W292" s="46">
        <f t="shared" si="67"/>
        <v>30</v>
      </c>
      <c r="X292" s="46">
        <f t="shared" si="68"/>
        <v>6.833333333333333</v>
      </c>
      <c r="Y292" s="46">
        <f>IFERROR(IF(OR(C292="AREA I",C292="AREA V"),7,VLOOKUP(A292,'[1]MC Masterlist 2026-09-12'!$B:$M, 12, 0)),0)</f>
        <v>7</v>
      </c>
      <c r="Z292" s="46">
        <f t="shared" si="69"/>
        <v>0.16666666666666666</v>
      </c>
      <c r="AA292" s="46">
        <f t="shared" si="70"/>
        <v>0.33333333333333331</v>
      </c>
      <c r="AB292" s="46">
        <f t="shared" si="71"/>
        <v>7.5925925925925911E-2</v>
      </c>
      <c r="AC292" s="46">
        <f t="shared" si="72"/>
        <v>7.7777777777777765E-2</v>
      </c>
      <c r="AD292" s="44" t="str">
        <f t="shared" si="73"/>
        <v>Over</v>
      </c>
      <c r="AE292" s="44" t="str">
        <f>IFERROR(VLOOKUP(A292,'[1]Re-order'!$A:$AA,27,0),"")</f>
        <v>Over</v>
      </c>
      <c r="AF292" s="46">
        <f t="shared" si="74"/>
        <v>-4.9222222222222225</v>
      </c>
      <c r="AG292" s="46">
        <f>SUMIFS('[1]Raw Inventory'!D:D,'[1]Raw Inventory'!C:C,"GREATWALL",'[1]Raw Inventory'!B:B,A292)</f>
        <v>88</v>
      </c>
      <c r="AH292" s="46">
        <f>SUMIFS('[1]Raw Inventory'!D:D,'[1]Raw Inventory'!C:C,"DUARTE",'[1]Raw Inventory'!B:B,A292)</f>
        <v>0</v>
      </c>
      <c r="AI292" s="46"/>
      <c r="AJ292" s="46"/>
      <c r="AK292" s="43"/>
      <c r="AL292" s="43"/>
      <c r="AM292" s="43"/>
      <c r="AN292" s="43"/>
      <c r="AO292" s="43"/>
      <c r="AP292" s="43"/>
      <c r="AQ292" s="43"/>
      <c r="AR292" s="43"/>
      <c r="AS292" s="43"/>
      <c r="AT292" s="43"/>
    </row>
    <row r="293" spans="1:46">
      <c r="A293" s="43" t="s">
        <v>66</v>
      </c>
      <c r="B293" s="43" t="s">
        <v>131</v>
      </c>
      <c r="C293" s="43" t="s">
        <v>128</v>
      </c>
      <c r="D293" s="44" t="s">
        <v>253</v>
      </c>
      <c r="E293" s="44">
        <v>23</v>
      </c>
      <c r="F293" s="44" t="s">
        <v>3</v>
      </c>
      <c r="G293" s="43" t="str">
        <f>IFERROR(VLOOKUP(A293,'[1]MC Masterlist 2026-09-12'!$B:$M, 3, 0),"")</f>
        <v>KAWASAKI</v>
      </c>
      <c r="H293" s="45">
        <f>IFERROR(VLOOKUP(A293,'[1]MC Masterlist 2026-09-12'!$B:$M, 6, 0),"")</f>
        <v>95530</v>
      </c>
      <c r="I293" s="46">
        <v>0</v>
      </c>
      <c r="J293" s="46">
        <v>0</v>
      </c>
      <c r="K293" s="46">
        <v>0</v>
      </c>
      <c r="L293" s="46">
        <f t="shared" si="60"/>
        <v>0</v>
      </c>
      <c r="M293" s="46">
        <f t="shared" si="61"/>
        <v>0</v>
      </c>
      <c r="N293" s="45">
        <f t="shared" si="62"/>
        <v>0</v>
      </c>
      <c r="O293" s="45">
        <f t="shared" si="63"/>
        <v>0</v>
      </c>
      <c r="P293" s="46">
        <f t="shared" si="64"/>
        <v>0</v>
      </c>
      <c r="Q293" s="46">
        <v>2</v>
      </c>
      <c r="R293" s="45">
        <f t="shared" si="65"/>
        <v>191060</v>
      </c>
      <c r="S293" s="46">
        <f t="shared" si="66"/>
        <v>0</v>
      </c>
      <c r="T293" s="46">
        <f>IFERROR(VLOOKUP(A293,'[1]Re-order'!$A:$Q,17,0),"")</f>
        <v>112.7848101265823</v>
      </c>
      <c r="U293" s="46">
        <f>IFERROR(VLOOKUP(A293,'[1]MC Masterlist 2026-09-12'!$B:$M, 10, 0),0)</f>
        <v>15</v>
      </c>
      <c r="V293" s="46">
        <f>IFERROR(VLOOKUP(A293,'[1]MC Masterlist 2026-09-12'!$B:$M, 11, 0),0)</f>
        <v>15</v>
      </c>
      <c r="W293" s="46">
        <f t="shared" si="67"/>
        <v>30</v>
      </c>
      <c r="X293" s="46">
        <f t="shared" si="68"/>
        <v>30</v>
      </c>
      <c r="Y293" s="46">
        <f>IFERROR(IF(OR(C293="AREA I",C293="AREA V"),7,VLOOKUP(A293,'[1]MC Masterlist 2026-09-12'!$B:$M, 12, 0)),0)</f>
        <v>30</v>
      </c>
      <c r="Z293" s="46">
        <f t="shared" si="69"/>
        <v>0</v>
      </c>
      <c r="AA293" s="46">
        <f t="shared" si="70"/>
        <v>0</v>
      </c>
      <c r="AB293" s="46">
        <f t="shared" si="71"/>
        <v>0</v>
      </c>
      <c r="AC293" s="46">
        <f t="shared" si="72"/>
        <v>0</v>
      </c>
      <c r="AD293" s="44" t="str">
        <f t="shared" si="73"/>
        <v>Over</v>
      </c>
      <c r="AE293" s="44" t="str">
        <f>IFERROR(VLOOKUP(A293,'[1]Re-order'!$A:$AA,27,0),"")</f>
        <v>Over</v>
      </c>
      <c r="AF293" s="46">
        <f t="shared" si="74"/>
        <v>-2</v>
      </c>
      <c r="AG293" s="46">
        <f>SUMIFS('[1]Raw Inventory'!D:D,'[1]Raw Inventory'!C:C,"GREATWALL",'[1]Raw Inventory'!B:B,A293)</f>
        <v>64</v>
      </c>
      <c r="AH293" s="46">
        <f>SUMIFS('[1]Raw Inventory'!D:D,'[1]Raw Inventory'!C:C,"DUARTE",'[1]Raw Inventory'!B:B,A293)</f>
        <v>0</v>
      </c>
      <c r="AI293" s="46"/>
      <c r="AJ293" s="46"/>
      <c r="AK293" s="43"/>
      <c r="AL293" s="43"/>
      <c r="AM293" s="43"/>
      <c r="AN293" s="43"/>
      <c r="AO293" s="43"/>
      <c r="AP293" s="43"/>
      <c r="AQ293" s="43"/>
      <c r="AR293" s="43"/>
      <c r="AS293" s="43"/>
      <c r="AT293" s="43"/>
    </row>
    <row r="294" spans="1:46">
      <c r="A294" s="43" t="s">
        <v>20</v>
      </c>
      <c r="B294" s="43" t="s">
        <v>129</v>
      </c>
      <c r="C294" s="43" t="s">
        <v>128</v>
      </c>
      <c r="D294" s="44" t="s">
        <v>255</v>
      </c>
      <c r="E294" s="44">
        <v>12</v>
      </c>
      <c r="F294" s="44" t="s">
        <v>2</v>
      </c>
      <c r="G294" s="43" t="str">
        <f>IFERROR(VLOOKUP(A294,'[1]MC Masterlist 2026-09-12'!$B:$M, 3, 0),"")</f>
        <v>HONDA</v>
      </c>
      <c r="H294" s="45">
        <f>IFERROR(VLOOKUP(A294,'[1]MC Masterlist 2026-09-12'!$B:$M, 6, 0),"")</f>
        <v>69950</v>
      </c>
      <c r="I294" s="46">
        <v>1</v>
      </c>
      <c r="J294" s="46">
        <v>3</v>
      </c>
      <c r="K294" s="46">
        <v>0</v>
      </c>
      <c r="L294" s="46">
        <f t="shared" si="60"/>
        <v>4</v>
      </c>
      <c r="M294" s="46">
        <f t="shared" si="61"/>
        <v>1.3333333333333333</v>
      </c>
      <c r="N294" s="45">
        <f t="shared" si="62"/>
        <v>279800</v>
      </c>
      <c r="O294" s="45">
        <f t="shared" si="63"/>
        <v>93266.666666666657</v>
      </c>
      <c r="P294" s="46">
        <f t="shared" si="64"/>
        <v>4.4444444444444439E-2</v>
      </c>
      <c r="Q294" s="46">
        <v>6</v>
      </c>
      <c r="R294" s="45">
        <f t="shared" si="65"/>
        <v>419700</v>
      </c>
      <c r="S294" s="46">
        <f t="shared" si="66"/>
        <v>135.00000000000003</v>
      </c>
      <c r="T294" s="46">
        <f>IFERROR(VLOOKUP(A294,'[1]Re-order'!$A:$Q,17,0),"")</f>
        <v>75.775862068965523</v>
      </c>
      <c r="U294" s="46">
        <f>IFERROR(VLOOKUP(A294,'[1]MC Masterlist 2026-09-12'!$B:$M, 10, 0),0)</f>
        <v>15</v>
      </c>
      <c r="V294" s="46">
        <f>IFERROR(VLOOKUP(A294,'[1]MC Masterlist 2026-09-12'!$B:$M, 11, 0),0)</f>
        <v>15</v>
      </c>
      <c r="W294" s="46">
        <f t="shared" si="67"/>
        <v>30</v>
      </c>
      <c r="X294" s="46">
        <f t="shared" si="68"/>
        <v>29.333333333333332</v>
      </c>
      <c r="Y294" s="46">
        <f>IFERROR(IF(OR(C294="AREA I",C294="AREA V"),7,VLOOKUP(A294,'[1]MC Masterlist 2026-09-12'!$B:$M, 12, 0)),0)</f>
        <v>30</v>
      </c>
      <c r="Z294" s="46">
        <f t="shared" si="69"/>
        <v>0.66666666666666663</v>
      </c>
      <c r="AA294" s="46">
        <f t="shared" si="70"/>
        <v>1.3333333333333333</v>
      </c>
      <c r="AB294" s="46">
        <f t="shared" si="71"/>
        <v>1.3037037037037036</v>
      </c>
      <c r="AC294" s="46">
        <f t="shared" si="72"/>
        <v>1.3333333333333333</v>
      </c>
      <c r="AD294" s="44" t="str">
        <f t="shared" si="73"/>
        <v>Over</v>
      </c>
      <c r="AE294" s="44" t="str">
        <f>IFERROR(VLOOKUP(A294,'[1]Re-order'!$A:$AA,27,0),"")</f>
        <v/>
      </c>
      <c r="AF294" s="46">
        <f t="shared" si="74"/>
        <v>-4.666666666666667</v>
      </c>
      <c r="AG294" s="46">
        <f>SUMIFS('[1]Raw Inventory'!D:D,'[1]Raw Inventory'!C:C,"GREATWALL",'[1]Raw Inventory'!B:B,A294)</f>
        <v>110</v>
      </c>
      <c r="AH294" s="46">
        <f>SUMIFS('[1]Raw Inventory'!D:D,'[1]Raw Inventory'!C:C,"DUARTE",'[1]Raw Inventory'!B:B,A294)</f>
        <v>0</v>
      </c>
      <c r="AI294" s="46"/>
      <c r="AJ294" s="46"/>
      <c r="AK294" s="43"/>
      <c r="AL294" s="43"/>
      <c r="AM294" s="43"/>
      <c r="AN294" s="43"/>
      <c r="AO294" s="43"/>
      <c r="AP294" s="43"/>
      <c r="AQ294" s="43"/>
      <c r="AR294" s="43"/>
      <c r="AS294" s="43"/>
      <c r="AT294" s="43"/>
    </row>
    <row r="295" spans="1:46">
      <c r="A295" s="43" t="s">
        <v>52</v>
      </c>
      <c r="B295" s="43" t="s">
        <v>153</v>
      </c>
      <c r="C295" s="43" t="s">
        <v>152</v>
      </c>
      <c r="D295" s="44" t="s">
        <v>258</v>
      </c>
      <c r="E295" s="44">
        <v>20</v>
      </c>
      <c r="F295" s="44" t="s">
        <v>3</v>
      </c>
      <c r="G295" s="43" t="str">
        <f>IFERROR(VLOOKUP(A295,'[1]MC Masterlist 2026-09-12'!$B:$M, 3, 0),"")</f>
        <v>YAMAHA</v>
      </c>
      <c r="H295" s="45">
        <f>IFERROR(VLOOKUP(A295,'[1]MC Masterlist 2026-09-12'!$B:$M, 6, 0),"")</f>
        <v>85446</v>
      </c>
      <c r="I295" s="46">
        <v>0</v>
      </c>
      <c r="J295" s="46">
        <v>0</v>
      </c>
      <c r="K295" s="46">
        <v>0</v>
      </c>
      <c r="L295" s="46">
        <f t="shared" si="60"/>
        <v>0</v>
      </c>
      <c r="M295" s="46">
        <f t="shared" si="61"/>
        <v>0</v>
      </c>
      <c r="N295" s="45">
        <f t="shared" si="62"/>
        <v>0</v>
      </c>
      <c r="O295" s="45">
        <f t="shared" si="63"/>
        <v>0</v>
      </c>
      <c r="P295" s="46">
        <f t="shared" si="64"/>
        <v>0</v>
      </c>
      <c r="Q295" s="46">
        <v>5</v>
      </c>
      <c r="R295" s="45">
        <f t="shared" si="65"/>
        <v>427230</v>
      </c>
      <c r="S295" s="46">
        <f t="shared" si="66"/>
        <v>0</v>
      </c>
      <c r="T295" s="46">
        <f>IFERROR(VLOOKUP(A295,'[1]Re-order'!$A:$Q,17,0),"")</f>
        <v>95.454545454545453</v>
      </c>
      <c r="U295" s="46">
        <f>IFERROR(VLOOKUP(A295,'[1]MC Masterlist 2026-09-12'!$B:$M, 10, 0),0)</f>
        <v>15</v>
      </c>
      <c r="V295" s="46">
        <f>IFERROR(VLOOKUP(A295,'[1]MC Masterlist 2026-09-12'!$B:$M, 11, 0),0)</f>
        <v>15</v>
      </c>
      <c r="W295" s="46">
        <f t="shared" si="67"/>
        <v>30</v>
      </c>
      <c r="X295" s="46">
        <f t="shared" si="68"/>
        <v>30</v>
      </c>
      <c r="Y295" s="46">
        <f>IFERROR(IF(OR(C295="AREA I",C295="AREA V"),7,VLOOKUP(A295,'[1]MC Masterlist 2026-09-12'!$B:$M, 12, 0)),0)</f>
        <v>30</v>
      </c>
      <c r="Z295" s="46">
        <f t="shared" si="69"/>
        <v>0</v>
      </c>
      <c r="AA295" s="46">
        <f t="shared" si="70"/>
        <v>0</v>
      </c>
      <c r="AB295" s="46">
        <f t="shared" si="71"/>
        <v>0</v>
      </c>
      <c r="AC295" s="46">
        <f t="shared" si="72"/>
        <v>0</v>
      </c>
      <c r="AD295" s="44" t="str">
        <f t="shared" si="73"/>
        <v>Over</v>
      </c>
      <c r="AE295" s="44" t="str">
        <f>IFERROR(VLOOKUP(A295,'[1]Re-order'!$A:$AA,27,0),"")</f>
        <v>Over</v>
      </c>
      <c r="AF295" s="46">
        <f t="shared" si="74"/>
        <v>-5</v>
      </c>
      <c r="AG295" s="46">
        <f>SUMIFS('[1]Raw Inventory'!D:D,'[1]Raw Inventory'!C:C,"GREATWALL",'[1]Raw Inventory'!B:B,A295)</f>
        <v>0</v>
      </c>
      <c r="AH295" s="46">
        <f>SUMIFS('[1]Raw Inventory'!D:D,'[1]Raw Inventory'!C:C,"DUARTE",'[1]Raw Inventory'!B:B,A295)</f>
        <v>0</v>
      </c>
      <c r="AI295" s="46"/>
      <c r="AJ295" s="46"/>
      <c r="AK295" s="43"/>
      <c r="AL295" s="43"/>
      <c r="AM295" s="43"/>
      <c r="AN295" s="43"/>
      <c r="AO295" s="43"/>
      <c r="AP295" s="43"/>
      <c r="AQ295" s="43"/>
      <c r="AR295" s="43"/>
      <c r="AS295" s="43"/>
      <c r="AT295" s="43"/>
    </row>
    <row r="296" spans="1:46">
      <c r="A296" s="43" t="s">
        <v>64</v>
      </c>
      <c r="B296" s="43" t="s">
        <v>138</v>
      </c>
      <c r="C296" s="43" t="s">
        <v>137</v>
      </c>
      <c r="D296" s="44" t="s">
        <v>243</v>
      </c>
      <c r="E296" s="44">
        <v>15</v>
      </c>
      <c r="F296" s="44" t="s">
        <v>2</v>
      </c>
      <c r="G296" s="43" t="str">
        <f>IFERROR(VLOOKUP(A296,'[1]MC Masterlist 2026-09-12'!$B:$M, 3, 0),"")</f>
        <v>HONDA</v>
      </c>
      <c r="H296" s="45">
        <f>IFERROR(VLOOKUP(A296,'[1]MC Masterlist 2026-09-12'!$B:$M, 6, 0),"")</f>
        <v>73170</v>
      </c>
      <c r="I296" s="46">
        <v>0</v>
      </c>
      <c r="J296" s="46">
        <v>0</v>
      </c>
      <c r="K296" s="46">
        <v>0</v>
      </c>
      <c r="L296" s="46">
        <f t="shared" si="60"/>
        <v>0</v>
      </c>
      <c r="M296" s="46">
        <f t="shared" si="61"/>
        <v>0</v>
      </c>
      <c r="N296" s="45">
        <f t="shared" si="62"/>
        <v>0</v>
      </c>
      <c r="O296" s="45">
        <f t="shared" si="63"/>
        <v>0</v>
      </c>
      <c r="P296" s="46">
        <f t="shared" si="64"/>
        <v>0</v>
      </c>
      <c r="Q296" s="46">
        <v>13</v>
      </c>
      <c r="R296" s="45">
        <f t="shared" si="65"/>
        <v>951210</v>
      </c>
      <c r="S296" s="46">
        <f t="shared" si="66"/>
        <v>0</v>
      </c>
      <c r="T296" s="46">
        <f>IFERROR(VLOOKUP(A296,'[1]Re-order'!$A:$Q,17,0),"")</f>
        <v>76.153846153846146</v>
      </c>
      <c r="U296" s="46">
        <f>IFERROR(VLOOKUP(A296,'[1]MC Masterlist 2026-09-12'!$B:$M, 10, 0),0)</f>
        <v>15</v>
      </c>
      <c r="V296" s="46">
        <f>IFERROR(VLOOKUP(A296,'[1]MC Masterlist 2026-09-12'!$B:$M, 11, 0),0)</f>
        <v>15</v>
      </c>
      <c r="W296" s="46">
        <f t="shared" si="67"/>
        <v>30</v>
      </c>
      <c r="X296" s="46">
        <f t="shared" si="68"/>
        <v>7</v>
      </c>
      <c r="Y296" s="46">
        <f>IFERROR(IF(OR(C296="AREA I",C296="AREA V"),7,VLOOKUP(A296,'[1]MC Masterlist 2026-09-12'!$B:$M, 12, 0)),0)</f>
        <v>7</v>
      </c>
      <c r="Z296" s="46">
        <f t="shared" si="69"/>
        <v>0</v>
      </c>
      <c r="AA296" s="46">
        <f t="shared" si="70"/>
        <v>0</v>
      </c>
      <c r="AB296" s="46">
        <f t="shared" si="71"/>
        <v>0</v>
      </c>
      <c r="AC296" s="46">
        <f t="shared" si="72"/>
        <v>0</v>
      </c>
      <c r="AD296" s="44" t="str">
        <f t="shared" si="73"/>
        <v>Over</v>
      </c>
      <c r="AE296" s="44" t="str">
        <f>IFERROR(VLOOKUP(A296,'[1]Re-order'!$A:$AA,27,0),"")</f>
        <v/>
      </c>
      <c r="AF296" s="46">
        <f t="shared" si="74"/>
        <v>-13</v>
      </c>
      <c r="AG296" s="46">
        <f>SUMIFS('[1]Raw Inventory'!D:D,'[1]Raw Inventory'!C:C,"GREATWALL",'[1]Raw Inventory'!B:B,A296)</f>
        <v>13</v>
      </c>
      <c r="AH296" s="46">
        <f>SUMIFS('[1]Raw Inventory'!D:D,'[1]Raw Inventory'!C:C,"DUARTE",'[1]Raw Inventory'!B:B,A296)</f>
        <v>0</v>
      </c>
      <c r="AI296" s="46"/>
      <c r="AJ296" s="46"/>
      <c r="AK296" s="43"/>
      <c r="AL296" s="43"/>
      <c r="AM296" s="43"/>
      <c r="AN296" s="43"/>
      <c r="AO296" s="43"/>
      <c r="AP296" s="43"/>
      <c r="AQ296" s="43"/>
      <c r="AR296" s="43"/>
      <c r="AS296" s="43"/>
      <c r="AT296" s="43"/>
    </row>
    <row r="297" spans="1:46">
      <c r="A297" s="43" t="s">
        <v>35</v>
      </c>
      <c r="B297" s="43" t="s">
        <v>122</v>
      </c>
      <c r="C297" s="43" t="s">
        <v>118</v>
      </c>
      <c r="D297" s="44" t="s">
        <v>245</v>
      </c>
      <c r="E297" s="44">
        <v>32</v>
      </c>
      <c r="F297" s="44" t="s">
        <v>3</v>
      </c>
      <c r="G297" s="43" t="str">
        <f>IFERROR(VLOOKUP(A297,'[1]MC Masterlist 2026-09-12'!$B:$M, 3, 0),"")</f>
        <v>HONDA</v>
      </c>
      <c r="H297" s="45">
        <f>IFERROR(VLOOKUP(A297,'[1]MC Masterlist 2026-09-12'!$B:$M, 6, 0),"")</f>
        <v>57990</v>
      </c>
      <c r="I297" s="46">
        <v>0</v>
      </c>
      <c r="J297" s="46">
        <v>0</v>
      </c>
      <c r="K297" s="46">
        <v>0</v>
      </c>
      <c r="L297" s="46">
        <f t="shared" si="60"/>
        <v>0</v>
      </c>
      <c r="M297" s="46">
        <f t="shared" si="61"/>
        <v>0</v>
      </c>
      <c r="N297" s="45">
        <f t="shared" si="62"/>
        <v>0</v>
      </c>
      <c r="O297" s="45">
        <f t="shared" si="63"/>
        <v>0</v>
      </c>
      <c r="P297" s="46">
        <f t="shared" si="64"/>
        <v>0</v>
      </c>
      <c r="Q297" s="46">
        <v>1</v>
      </c>
      <c r="R297" s="45">
        <f t="shared" si="65"/>
        <v>57990</v>
      </c>
      <c r="S297" s="46">
        <f t="shared" si="66"/>
        <v>0</v>
      </c>
      <c r="T297" s="46">
        <f>IFERROR(VLOOKUP(A297,'[1]Re-order'!$A:$Q,17,0),"")</f>
        <v>68.275862068965523</v>
      </c>
      <c r="U297" s="46">
        <f>IFERROR(VLOOKUP(A297,'[1]MC Masterlist 2026-09-12'!$B:$M, 10, 0),0)</f>
        <v>15</v>
      </c>
      <c r="V297" s="46">
        <f>IFERROR(VLOOKUP(A297,'[1]MC Masterlist 2026-09-12'!$B:$M, 11, 0),0)</f>
        <v>15</v>
      </c>
      <c r="W297" s="46">
        <f t="shared" si="67"/>
        <v>30</v>
      </c>
      <c r="X297" s="46">
        <f t="shared" si="68"/>
        <v>30</v>
      </c>
      <c r="Y297" s="46">
        <f>IFERROR(IF(OR(C297="AREA I",C297="AREA V"),7,VLOOKUP(A297,'[1]MC Masterlist 2026-09-12'!$B:$M, 12, 0)),0)</f>
        <v>30</v>
      </c>
      <c r="Z297" s="46">
        <f t="shared" si="69"/>
        <v>0</v>
      </c>
      <c r="AA297" s="46">
        <f t="shared" si="70"/>
        <v>0</v>
      </c>
      <c r="AB297" s="46">
        <f t="shared" si="71"/>
        <v>0</v>
      </c>
      <c r="AC297" s="46">
        <f t="shared" si="72"/>
        <v>0</v>
      </c>
      <c r="AD297" s="44" t="str">
        <f t="shared" si="73"/>
        <v>Over</v>
      </c>
      <c r="AE297" s="44" t="str">
        <f>IFERROR(VLOOKUP(A297,'[1]Re-order'!$A:$AA,27,0),"")</f>
        <v>Re-order</v>
      </c>
      <c r="AF297" s="46">
        <f t="shared" si="74"/>
        <v>-1</v>
      </c>
      <c r="AG297" s="46">
        <f>SUMIFS('[1]Raw Inventory'!D:D,'[1]Raw Inventory'!C:C,"GREATWALL",'[1]Raw Inventory'!B:B,A297)</f>
        <v>29</v>
      </c>
      <c r="AH297" s="46">
        <f>SUMIFS('[1]Raw Inventory'!D:D,'[1]Raw Inventory'!C:C,"DUARTE",'[1]Raw Inventory'!B:B,A297)</f>
        <v>0</v>
      </c>
      <c r="AI297" s="46"/>
      <c r="AJ297" s="46"/>
      <c r="AK297" s="43"/>
      <c r="AL297" s="43"/>
      <c r="AM297" s="43"/>
      <c r="AN297" s="43"/>
      <c r="AO297" s="43"/>
      <c r="AP297" s="43"/>
      <c r="AQ297" s="43"/>
      <c r="AR297" s="43"/>
      <c r="AS297" s="43"/>
      <c r="AT297" s="43"/>
    </row>
    <row r="298" spans="1:46">
      <c r="A298" s="43" t="s">
        <v>18</v>
      </c>
      <c r="B298" s="43" t="s">
        <v>27</v>
      </c>
      <c r="C298" s="43" t="s">
        <v>1</v>
      </c>
      <c r="D298" s="44" t="s">
        <v>230</v>
      </c>
      <c r="E298" s="44">
        <v>6</v>
      </c>
      <c r="F298" s="44" t="s">
        <v>0</v>
      </c>
      <c r="G298" s="43" t="str">
        <f>IFERROR(VLOOKUP(A298,'[1]MC Masterlist 2026-09-12'!$B:$M, 3, 0),"")</f>
        <v>HONDA</v>
      </c>
      <c r="H298" s="45">
        <f>IFERROR(VLOOKUP(A298,'[1]MC Masterlist 2026-09-12'!$B:$M, 6, 0),"")</f>
        <v>94330</v>
      </c>
      <c r="I298" s="46">
        <v>4</v>
      </c>
      <c r="J298" s="46">
        <v>5</v>
      </c>
      <c r="K298" s="46">
        <v>7</v>
      </c>
      <c r="L298" s="46">
        <f t="shared" si="60"/>
        <v>16</v>
      </c>
      <c r="M298" s="46">
        <f t="shared" si="61"/>
        <v>5.333333333333333</v>
      </c>
      <c r="N298" s="45">
        <f t="shared" si="62"/>
        <v>1509280</v>
      </c>
      <c r="O298" s="45">
        <f t="shared" si="63"/>
        <v>503093.33333333331</v>
      </c>
      <c r="P298" s="46">
        <f t="shared" si="64"/>
        <v>0.17777777777777776</v>
      </c>
      <c r="Q298" s="46">
        <v>12</v>
      </c>
      <c r="R298" s="45">
        <f t="shared" si="65"/>
        <v>1131960</v>
      </c>
      <c r="S298" s="46">
        <f t="shared" si="66"/>
        <v>67.5</v>
      </c>
      <c r="T298" s="46">
        <f>IFERROR(VLOOKUP(A298,'[1]Re-order'!$A:$Q,17,0),"")</f>
        <v>113.9644970414201</v>
      </c>
      <c r="U298" s="46">
        <f>IFERROR(VLOOKUP(A298,'[1]MC Masterlist 2026-09-12'!$B:$M, 10, 0),0)</f>
        <v>15</v>
      </c>
      <c r="V298" s="46">
        <f>IFERROR(VLOOKUP(A298,'[1]MC Masterlist 2026-09-12'!$B:$M, 11, 0),0)</f>
        <v>15</v>
      </c>
      <c r="W298" s="46">
        <f t="shared" si="67"/>
        <v>30</v>
      </c>
      <c r="X298" s="46">
        <f t="shared" si="68"/>
        <v>4.3333333333333339</v>
      </c>
      <c r="Y298" s="46">
        <f>IFERROR(IF(OR(C298="AREA I",C298="AREA V"),7,VLOOKUP(A298,'[1]MC Masterlist 2026-09-12'!$B:$M, 12, 0)),0)</f>
        <v>7</v>
      </c>
      <c r="Z298" s="46">
        <f t="shared" si="69"/>
        <v>2.6666666666666665</v>
      </c>
      <c r="AA298" s="46">
        <f t="shared" si="70"/>
        <v>5.333333333333333</v>
      </c>
      <c r="AB298" s="46">
        <f t="shared" si="71"/>
        <v>0.77037037037037037</v>
      </c>
      <c r="AC298" s="46">
        <f t="shared" si="72"/>
        <v>1.2444444444444442</v>
      </c>
      <c r="AD298" s="44" t="str">
        <f t="shared" si="73"/>
        <v>Over</v>
      </c>
      <c r="AE298" s="44" t="str">
        <f>IFERROR(VLOOKUP(A298,'[1]Re-order'!$A:$AA,27,0),"")</f>
        <v>Over</v>
      </c>
      <c r="AF298" s="46">
        <f t="shared" si="74"/>
        <v>-10.755555555555556</v>
      </c>
      <c r="AG298" s="46">
        <f>SUMIFS('[1]Raw Inventory'!D:D,'[1]Raw Inventory'!C:C,"GREATWALL",'[1]Raw Inventory'!B:B,A298)</f>
        <v>88</v>
      </c>
      <c r="AH298" s="46">
        <f>SUMIFS('[1]Raw Inventory'!D:D,'[1]Raw Inventory'!C:C,"DUARTE",'[1]Raw Inventory'!B:B,A298)</f>
        <v>0</v>
      </c>
      <c r="AI298" s="46"/>
      <c r="AJ298" s="46"/>
      <c r="AK298" s="43"/>
      <c r="AL298" s="43"/>
      <c r="AM298" s="43"/>
      <c r="AN298" s="43"/>
      <c r="AO298" s="43"/>
      <c r="AP298" s="43"/>
      <c r="AQ298" s="43"/>
      <c r="AR298" s="43"/>
      <c r="AS298" s="43"/>
      <c r="AT298" s="43"/>
    </row>
    <row r="299" spans="1:46">
      <c r="A299" s="43" t="s">
        <v>40</v>
      </c>
      <c r="B299" s="43" t="s">
        <v>144</v>
      </c>
      <c r="C299" s="43" t="s">
        <v>137</v>
      </c>
      <c r="D299" s="44" t="s">
        <v>252</v>
      </c>
      <c r="E299" s="44">
        <v>20</v>
      </c>
      <c r="F299" s="44" t="s">
        <v>2</v>
      </c>
      <c r="G299" s="43" t="str">
        <f>IFERROR(VLOOKUP(A299,'[1]MC Masterlist 2026-09-12'!$B:$M, 3, 0),"")</f>
        <v>HONDA</v>
      </c>
      <c r="H299" s="45">
        <f>IFERROR(VLOOKUP(A299,'[1]MC Masterlist 2026-09-12'!$B:$M, 6, 0),"")</f>
        <v>56426</v>
      </c>
      <c r="I299" s="46">
        <v>3</v>
      </c>
      <c r="J299" s="46">
        <v>0</v>
      </c>
      <c r="K299" s="46">
        <v>2</v>
      </c>
      <c r="L299" s="46">
        <f t="shared" si="60"/>
        <v>5</v>
      </c>
      <c r="M299" s="46">
        <f t="shared" si="61"/>
        <v>1.6666666666666667</v>
      </c>
      <c r="N299" s="45">
        <f t="shared" si="62"/>
        <v>282130</v>
      </c>
      <c r="O299" s="45">
        <f t="shared" si="63"/>
        <v>94043.333333333343</v>
      </c>
      <c r="P299" s="46">
        <f t="shared" si="64"/>
        <v>5.5555555555555559E-2</v>
      </c>
      <c r="Q299" s="46">
        <v>2</v>
      </c>
      <c r="R299" s="45">
        <f t="shared" si="65"/>
        <v>112852</v>
      </c>
      <c r="S299" s="46">
        <f t="shared" si="66"/>
        <v>36</v>
      </c>
      <c r="T299" s="46">
        <f>IFERROR(VLOOKUP(A299,'[1]Re-order'!$A:$Q,17,0),"")</f>
        <v>139.56521739130434</v>
      </c>
      <c r="U299" s="46">
        <f>IFERROR(VLOOKUP(A299,'[1]MC Masterlist 2026-09-12'!$B:$M, 10, 0),0)</f>
        <v>15</v>
      </c>
      <c r="V299" s="46">
        <f>IFERROR(VLOOKUP(A299,'[1]MC Masterlist 2026-09-12'!$B:$M, 11, 0),0)</f>
        <v>15</v>
      </c>
      <c r="W299" s="46">
        <f t="shared" si="67"/>
        <v>30</v>
      </c>
      <c r="X299" s="46">
        <f t="shared" si="68"/>
        <v>6.166666666666667</v>
      </c>
      <c r="Y299" s="46">
        <f>IFERROR(IF(OR(C299="AREA I",C299="AREA V"),7,VLOOKUP(A299,'[1]MC Masterlist 2026-09-12'!$B:$M, 12, 0)),0)</f>
        <v>7</v>
      </c>
      <c r="Z299" s="46">
        <f t="shared" si="69"/>
        <v>0.83333333333333337</v>
      </c>
      <c r="AA299" s="46">
        <f t="shared" si="70"/>
        <v>1.6666666666666667</v>
      </c>
      <c r="AB299" s="46">
        <f t="shared" si="71"/>
        <v>0.34259259259259262</v>
      </c>
      <c r="AC299" s="46">
        <f t="shared" si="72"/>
        <v>0.3888888888888889</v>
      </c>
      <c r="AD299" s="44" t="str">
        <f t="shared" si="73"/>
        <v>Over</v>
      </c>
      <c r="AE299" s="44" t="str">
        <f>IFERROR(VLOOKUP(A299,'[1]Re-order'!$A:$AA,27,0),"")</f>
        <v>Over</v>
      </c>
      <c r="AF299" s="46">
        <f t="shared" si="74"/>
        <v>-1.6111111111111112</v>
      </c>
      <c r="AG299" s="46">
        <f>SUMIFS('[1]Raw Inventory'!D:D,'[1]Raw Inventory'!C:C,"GREATWALL",'[1]Raw Inventory'!B:B,A299)</f>
        <v>45</v>
      </c>
      <c r="AH299" s="46">
        <f>SUMIFS('[1]Raw Inventory'!D:D,'[1]Raw Inventory'!C:C,"DUARTE",'[1]Raw Inventory'!B:B,A299)</f>
        <v>0</v>
      </c>
      <c r="AI299" s="46"/>
      <c r="AJ299" s="46"/>
      <c r="AK299" s="43"/>
      <c r="AL299" s="43"/>
      <c r="AM299" s="43"/>
      <c r="AN299" s="43"/>
      <c r="AO299" s="43"/>
      <c r="AP299" s="43"/>
      <c r="AQ299" s="43"/>
      <c r="AR299" s="43"/>
      <c r="AS299" s="43"/>
      <c r="AT299" s="43"/>
    </row>
    <row r="300" spans="1:46">
      <c r="A300" s="43" t="s">
        <v>18</v>
      </c>
      <c r="B300" s="43" t="s">
        <v>120</v>
      </c>
      <c r="C300" s="43" t="s">
        <v>118</v>
      </c>
      <c r="D300" s="44" t="s">
        <v>235</v>
      </c>
      <c r="E300" s="44">
        <v>23</v>
      </c>
      <c r="F300" s="44" t="s">
        <v>3</v>
      </c>
      <c r="G300" s="43" t="str">
        <f>IFERROR(VLOOKUP(A300,'[1]MC Masterlist 2026-09-12'!$B:$M, 3, 0),"")</f>
        <v>HONDA</v>
      </c>
      <c r="H300" s="45">
        <f>IFERROR(VLOOKUP(A300,'[1]MC Masterlist 2026-09-12'!$B:$M, 6, 0),"")</f>
        <v>94330</v>
      </c>
      <c r="I300" s="46">
        <v>0</v>
      </c>
      <c r="J300" s="46">
        <v>0</v>
      </c>
      <c r="K300" s="46">
        <v>0</v>
      </c>
      <c r="L300" s="46">
        <f t="shared" si="60"/>
        <v>0</v>
      </c>
      <c r="M300" s="46">
        <f t="shared" si="61"/>
        <v>0</v>
      </c>
      <c r="N300" s="45">
        <f t="shared" si="62"/>
        <v>0</v>
      </c>
      <c r="O300" s="45">
        <f t="shared" si="63"/>
        <v>0</v>
      </c>
      <c r="P300" s="46">
        <f t="shared" si="64"/>
        <v>0</v>
      </c>
      <c r="Q300" s="46">
        <v>4</v>
      </c>
      <c r="R300" s="45">
        <f t="shared" si="65"/>
        <v>377320</v>
      </c>
      <c r="S300" s="46">
        <f t="shared" si="66"/>
        <v>0</v>
      </c>
      <c r="T300" s="46">
        <f>IFERROR(VLOOKUP(A300,'[1]Re-order'!$A:$Q,17,0),"")</f>
        <v>113.9644970414201</v>
      </c>
      <c r="U300" s="46">
        <f>IFERROR(VLOOKUP(A300,'[1]MC Masterlist 2026-09-12'!$B:$M, 10, 0),0)</f>
        <v>15</v>
      </c>
      <c r="V300" s="46">
        <f>IFERROR(VLOOKUP(A300,'[1]MC Masterlist 2026-09-12'!$B:$M, 11, 0),0)</f>
        <v>15</v>
      </c>
      <c r="W300" s="46">
        <f t="shared" si="67"/>
        <v>30</v>
      </c>
      <c r="X300" s="46">
        <f t="shared" si="68"/>
        <v>30</v>
      </c>
      <c r="Y300" s="46">
        <f>IFERROR(IF(OR(C300="AREA I",C300="AREA V"),7,VLOOKUP(A300,'[1]MC Masterlist 2026-09-12'!$B:$M, 12, 0)),0)</f>
        <v>30</v>
      </c>
      <c r="Z300" s="46">
        <f t="shared" si="69"/>
        <v>0</v>
      </c>
      <c r="AA300" s="46">
        <f t="shared" si="70"/>
        <v>0</v>
      </c>
      <c r="AB300" s="46">
        <f t="shared" si="71"/>
        <v>0</v>
      </c>
      <c r="AC300" s="46">
        <f t="shared" si="72"/>
        <v>0</v>
      </c>
      <c r="AD300" s="44" t="str">
        <f t="shared" si="73"/>
        <v>Over</v>
      </c>
      <c r="AE300" s="44" t="str">
        <f>IFERROR(VLOOKUP(A300,'[1]Re-order'!$A:$AA,27,0),"")</f>
        <v>Over</v>
      </c>
      <c r="AF300" s="46">
        <f t="shared" si="74"/>
        <v>-4</v>
      </c>
      <c r="AG300" s="46">
        <f>SUMIFS('[1]Raw Inventory'!D:D,'[1]Raw Inventory'!C:C,"GREATWALL",'[1]Raw Inventory'!B:B,A300)</f>
        <v>88</v>
      </c>
      <c r="AH300" s="46">
        <f>SUMIFS('[1]Raw Inventory'!D:D,'[1]Raw Inventory'!C:C,"DUARTE",'[1]Raw Inventory'!B:B,A300)</f>
        <v>0</v>
      </c>
      <c r="AI300" s="46"/>
      <c r="AJ300" s="46"/>
      <c r="AK300" s="43"/>
      <c r="AL300" s="43"/>
      <c r="AM300" s="43"/>
      <c r="AN300" s="43"/>
      <c r="AO300" s="43"/>
      <c r="AP300" s="43"/>
      <c r="AQ300" s="43"/>
      <c r="AR300" s="43"/>
      <c r="AS300" s="43"/>
      <c r="AT300" s="43"/>
    </row>
    <row r="301" spans="1:46">
      <c r="A301" s="43" t="s">
        <v>26</v>
      </c>
      <c r="B301" s="43" t="s">
        <v>122</v>
      </c>
      <c r="C301" s="43" t="s">
        <v>118</v>
      </c>
      <c r="D301" s="44" t="s">
        <v>264</v>
      </c>
      <c r="E301" s="44">
        <v>7</v>
      </c>
      <c r="F301" s="44" t="s">
        <v>0</v>
      </c>
      <c r="G301" s="43" t="str">
        <f>IFERROR(VLOOKUP(A301,'[1]MC Masterlist 2026-09-12'!$B:$M, 3, 0),"")</f>
        <v>SUZUKI</v>
      </c>
      <c r="H301" s="45">
        <f>IFERROR(VLOOKUP(A301,'[1]MC Masterlist 2026-09-12'!$B:$M, 6, 0),"")</f>
        <v>123700</v>
      </c>
      <c r="I301" s="46">
        <v>3</v>
      </c>
      <c r="J301" s="46">
        <v>3</v>
      </c>
      <c r="K301" s="46">
        <v>3</v>
      </c>
      <c r="L301" s="46">
        <f t="shared" si="60"/>
        <v>9</v>
      </c>
      <c r="M301" s="46">
        <f t="shared" si="61"/>
        <v>3</v>
      </c>
      <c r="N301" s="45">
        <f t="shared" si="62"/>
        <v>1113300</v>
      </c>
      <c r="O301" s="45">
        <f t="shared" si="63"/>
        <v>371100</v>
      </c>
      <c r="P301" s="46">
        <f t="shared" si="64"/>
        <v>0.1</v>
      </c>
      <c r="Q301" s="46">
        <v>7</v>
      </c>
      <c r="R301" s="45">
        <f t="shared" si="65"/>
        <v>865900</v>
      </c>
      <c r="S301" s="46">
        <f t="shared" si="66"/>
        <v>70</v>
      </c>
      <c r="T301" s="46">
        <f>IFERROR(VLOOKUP(A301,'[1]Re-order'!$A:$Q,17,0),"")</f>
        <v>71.470588235294116</v>
      </c>
      <c r="U301" s="46">
        <f>IFERROR(VLOOKUP(A301,'[1]MC Masterlist 2026-09-12'!$B:$M, 10, 0),0)</f>
        <v>15</v>
      </c>
      <c r="V301" s="46">
        <f>IFERROR(VLOOKUP(A301,'[1]MC Masterlist 2026-09-12'!$B:$M, 11, 0),0)</f>
        <v>15</v>
      </c>
      <c r="W301" s="46">
        <f t="shared" si="67"/>
        <v>30</v>
      </c>
      <c r="X301" s="46">
        <f t="shared" si="68"/>
        <v>28.5</v>
      </c>
      <c r="Y301" s="46">
        <f>IFERROR(IF(OR(C301="AREA I",C301="AREA V"),7,VLOOKUP(A301,'[1]MC Masterlist 2026-09-12'!$B:$M, 12, 0)),0)</f>
        <v>30</v>
      </c>
      <c r="Z301" s="46">
        <f t="shared" si="69"/>
        <v>1.5</v>
      </c>
      <c r="AA301" s="46">
        <f t="shared" si="70"/>
        <v>3</v>
      </c>
      <c r="AB301" s="46">
        <f t="shared" si="71"/>
        <v>2.85</v>
      </c>
      <c r="AC301" s="46">
        <f t="shared" si="72"/>
        <v>3</v>
      </c>
      <c r="AD301" s="44" t="str">
        <f t="shared" si="73"/>
        <v>Over</v>
      </c>
      <c r="AE301" s="44" t="str">
        <f>IFERROR(VLOOKUP(A301,'[1]Re-order'!$A:$AA,27,0),"")</f>
        <v>Re-order</v>
      </c>
      <c r="AF301" s="46">
        <f t="shared" si="74"/>
        <v>-4</v>
      </c>
      <c r="AG301" s="46">
        <f>SUMIFS('[1]Raw Inventory'!D:D,'[1]Raw Inventory'!C:C,"GREATWALL",'[1]Raw Inventory'!B:B,A301)</f>
        <v>30</v>
      </c>
      <c r="AH301" s="46">
        <f>SUMIFS('[1]Raw Inventory'!D:D,'[1]Raw Inventory'!C:C,"DUARTE",'[1]Raw Inventory'!B:B,A301)</f>
        <v>0</v>
      </c>
      <c r="AI301" s="46"/>
      <c r="AJ301" s="46"/>
      <c r="AK301" s="43"/>
      <c r="AL301" s="43"/>
      <c r="AM301" s="43"/>
      <c r="AN301" s="43"/>
      <c r="AO301" s="43"/>
      <c r="AP301" s="43"/>
      <c r="AQ301" s="43"/>
      <c r="AR301" s="43"/>
      <c r="AS301" s="43"/>
      <c r="AT301" s="43"/>
    </row>
    <row r="302" spans="1:46">
      <c r="A302" s="43" t="s">
        <v>23</v>
      </c>
      <c r="B302" s="43" t="s">
        <v>92</v>
      </c>
      <c r="C302" s="43" t="s">
        <v>90</v>
      </c>
      <c r="D302" s="44" t="s">
        <v>259</v>
      </c>
      <c r="E302" s="44">
        <v>5</v>
      </c>
      <c r="F302" s="44" t="s">
        <v>0</v>
      </c>
      <c r="G302" s="43" t="str">
        <f>IFERROR(VLOOKUP(A302,'[1]MC Masterlist 2026-09-12'!$B:$M, 3, 0),"")</f>
        <v>KAWASAKI</v>
      </c>
      <c r="H302" s="45">
        <f>IFERROR(VLOOKUP(A302,'[1]MC Masterlist 2026-09-12'!$B:$M, 6, 0),"")</f>
        <v>60656</v>
      </c>
      <c r="I302" s="46">
        <v>4</v>
      </c>
      <c r="J302" s="46">
        <v>4</v>
      </c>
      <c r="K302" s="46">
        <v>1</v>
      </c>
      <c r="L302" s="46">
        <f t="shared" si="60"/>
        <v>9</v>
      </c>
      <c r="M302" s="46">
        <f t="shared" si="61"/>
        <v>3</v>
      </c>
      <c r="N302" s="45">
        <f t="shared" si="62"/>
        <v>545904</v>
      </c>
      <c r="O302" s="45">
        <f t="shared" si="63"/>
        <v>181968</v>
      </c>
      <c r="P302" s="46">
        <f t="shared" si="64"/>
        <v>0.1</v>
      </c>
      <c r="Q302" s="46">
        <v>7</v>
      </c>
      <c r="R302" s="45">
        <f t="shared" si="65"/>
        <v>424592</v>
      </c>
      <c r="S302" s="46">
        <f t="shared" si="66"/>
        <v>70</v>
      </c>
      <c r="T302" s="46">
        <f>IFERROR(VLOOKUP(A302,'[1]Re-order'!$A:$Q,17,0),"")</f>
        <v>53.973412112259979</v>
      </c>
      <c r="U302" s="46">
        <f>IFERROR(VLOOKUP(A302,'[1]MC Masterlist 2026-09-12'!$B:$M, 10, 0),0)</f>
        <v>15</v>
      </c>
      <c r="V302" s="46">
        <f>IFERROR(VLOOKUP(A302,'[1]MC Masterlist 2026-09-12'!$B:$M, 11, 0),0)</f>
        <v>15</v>
      </c>
      <c r="W302" s="46">
        <f t="shared" si="67"/>
        <v>30</v>
      </c>
      <c r="X302" s="46">
        <f t="shared" si="68"/>
        <v>28.5</v>
      </c>
      <c r="Y302" s="46">
        <f>IFERROR(IF(OR(C302="AREA I",C302="AREA V"),7,VLOOKUP(A302,'[1]MC Masterlist 2026-09-12'!$B:$M, 12, 0)),0)</f>
        <v>30</v>
      </c>
      <c r="Z302" s="46">
        <f t="shared" si="69"/>
        <v>1.5</v>
      </c>
      <c r="AA302" s="46">
        <f t="shared" si="70"/>
        <v>3</v>
      </c>
      <c r="AB302" s="46">
        <f t="shared" si="71"/>
        <v>2.85</v>
      </c>
      <c r="AC302" s="46">
        <f t="shared" si="72"/>
        <v>3</v>
      </c>
      <c r="AD302" s="44" t="str">
        <f t="shared" si="73"/>
        <v>Over</v>
      </c>
      <c r="AE302" s="44" t="str">
        <f>IFERROR(VLOOKUP(A302,'[1]Re-order'!$A:$AA,27,0),"")</f>
        <v>Re-order</v>
      </c>
      <c r="AF302" s="46">
        <f t="shared" si="74"/>
        <v>-4</v>
      </c>
      <c r="AG302" s="46">
        <f>SUMIFS('[1]Raw Inventory'!D:D,'[1]Raw Inventory'!C:C,"GREATWALL",'[1]Raw Inventory'!B:B,A302)</f>
        <v>282</v>
      </c>
      <c r="AH302" s="46">
        <f>SUMIFS('[1]Raw Inventory'!D:D,'[1]Raw Inventory'!C:C,"DUARTE",'[1]Raw Inventory'!B:B,A302)</f>
        <v>0</v>
      </c>
      <c r="AI302" s="46"/>
      <c r="AJ302" s="46"/>
      <c r="AK302" s="43"/>
      <c r="AL302" s="43"/>
      <c r="AM302" s="43"/>
      <c r="AN302" s="43"/>
      <c r="AO302" s="43"/>
      <c r="AP302" s="43"/>
      <c r="AQ302" s="43"/>
      <c r="AR302" s="43"/>
      <c r="AS302" s="43"/>
      <c r="AT302" s="43"/>
    </row>
    <row r="303" spans="1:46">
      <c r="A303" s="43" t="s">
        <v>37</v>
      </c>
      <c r="B303" s="43" t="s">
        <v>131</v>
      </c>
      <c r="C303" s="43" t="s">
        <v>128</v>
      </c>
      <c r="D303" s="44" t="s">
        <v>255</v>
      </c>
      <c r="E303" s="44">
        <v>11</v>
      </c>
      <c r="F303" s="44" t="s">
        <v>2</v>
      </c>
      <c r="G303" s="43" t="str">
        <f>IFERROR(VLOOKUP(A303,'[1]MC Masterlist 2026-09-12'!$B:$M, 3, 0),"")</f>
        <v>HONDA</v>
      </c>
      <c r="H303" s="45">
        <f>IFERROR(VLOOKUP(A303,'[1]MC Masterlist 2026-09-12'!$B:$M, 6, 0),"")</f>
        <v>74550</v>
      </c>
      <c r="I303" s="46">
        <v>3</v>
      </c>
      <c r="J303" s="46">
        <v>0</v>
      </c>
      <c r="K303" s="46">
        <v>1</v>
      </c>
      <c r="L303" s="46">
        <f t="shared" si="60"/>
        <v>4</v>
      </c>
      <c r="M303" s="46">
        <f t="shared" si="61"/>
        <v>1.3333333333333333</v>
      </c>
      <c r="N303" s="45">
        <f t="shared" si="62"/>
        <v>298200</v>
      </c>
      <c r="O303" s="45">
        <f t="shared" si="63"/>
        <v>99400</v>
      </c>
      <c r="P303" s="46">
        <f t="shared" si="64"/>
        <v>4.4444444444444439E-2</v>
      </c>
      <c r="Q303" s="46">
        <v>4</v>
      </c>
      <c r="R303" s="45">
        <f t="shared" si="65"/>
        <v>298200</v>
      </c>
      <c r="S303" s="46">
        <f t="shared" si="66"/>
        <v>90</v>
      </c>
      <c r="T303" s="46">
        <f>IFERROR(VLOOKUP(A303,'[1]Re-order'!$A:$Q,17,0),"")</f>
        <v>33.652173913043477</v>
      </c>
      <c r="U303" s="46">
        <f>IFERROR(VLOOKUP(A303,'[1]MC Masterlist 2026-09-12'!$B:$M, 10, 0),0)</f>
        <v>15</v>
      </c>
      <c r="V303" s="46">
        <f>IFERROR(VLOOKUP(A303,'[1]MC Masterlist 2026-09-12'!$B:$M, 11, 0),0)</f>
        <v>15</v>
      </c>
      <c r="W303" s="46">
        <f t="shared" si="67"/>
        <v>30</v>
      </c>
      <c r="X303" s="46">
        <f t="shared" si="68"/>
        <v>29.333333333333332</v>
      </c>
      <c r="Y303" s="46">
        <f>IFERROR(IF(OR(C303="AREA I",C303="AREA V"),7,VLOOKUP(A303,'[1]MC Masterlist 2026-09-12'!$B:$M, 12, 0)),0)</f>
        <v>30</v>
      </c>
      <c r="Z303" s="46">
        <f t="shared" si="69"/>
        <v>0.66666666666666663</v>
      </c>
      <c r="AA303" s="46">
        <f t="shared" si="70"/>
        <v>1.3333333333333333</v>
      </c>
      <c r="AB303" s="46">
        <f t="shared" si="71"/>
        <v>1.3037037037037036</v>
      </c>
      <c r="AC303" s="46">
        <f t="shared" si="72"/>
        <v>1.3333333333333333</v>
      </c>
      <c r="AD303" s="44" t="str">
        <f t="shared" si="73"/>
        <v>Over</v>
      </c>
      <c r="AE303" s="44" t="str">
        <f>IFERROR(VLOOKUP(A303,'[1]Re-order'!$A:$AA,27,0),"")</f>
        <v>Re-order</v>
      </c>
      <c r="AF303" s="46">
        <f t="shared" si="74"/>
        <v>-2.666666666666667</v>
      </c>
      <c r="AG303" s="46">
        <f>SUMIFS('[1]Raw Inventory'!D:D,'[1]Raw Inventory'!C:C,"GREATWALL",'[1]Raw Inventory'!B:B,A303)</f>
        <v>28</v>
      </c>
      <c r="AH303" s="46">
        <f>SUMIFS('[1]Raw Inventory'!D:D,'[1]Raw Inventory'!C:C,"DUARTE",'[1]Raw Inventory'!B:B,A303)</f>
        <v>0</v>
      </c>
      <c r="AI303" s="46"/>
      <c r="AJ303" s="46"/>
      <c r="AK303" s="43"/>
      <c r="AL303" s="43"/>
      <c r="AM303" s="43"/>
      <c r="AN303" s="43"/>
      <c r="AO303" s="43"/>
      <c r="AP303" s="43"/>
      <c r="AQ303" s="43"/>
      <c r="AR303" s="43"/>
      <c r="AS303" s="43"/>
      <c r="AT303" s="43"/>
    </row>
    <row r="304" spans="1:46">
      <c r="A304" s="43" t="s">
        <v>42</v>
      </c>
      <c r="B304" s="43" t="s">
        <v>110</v>
      </c>
      <c r="C304" s="43" t="s">
        <v>109</v>
      </c>
      <c r="D304" s="44" t="s">
        <v>261</v>
      </c>
      <c r="E304" s="44">
        <v>17</v>
      </c>
      <c r="F304" s="44" t="s">
        <v>2</v>
      </c>
      <c r="G304" s="43" t="str">
        <f>IFERROR(VLOOKUP(A304,'[1]MC Masterlist 2026-09-12'!$B:$M, 3, 0),"")</f>
        <v>YAMAHA</v>
      </c>
      <c r="H304" s="45">
        <f>IFERROR(VLOOKUP(A304,'[1]MC Masterlist 2026-09-12'!$B:$M, 6, 0),"")</f>
        <v>152892</v>
      </c>
      <c r="I304" s="46">
        <v>0</v>
      </c>
      <c r="J304" s="46">
        <v>0</v>
      </c>
      <c r="K304" s="46">
        <v>1</v>
      </c>
      <c r="L304" s="46">
        <f t="shared" si="60"/>
        <v>1</v>
      </c>
      <c r="M304" s="46">
        <f t="shared" si="61"/>
        <v>0.33333333333333331</v>
      </c>
      <c r="N304" s="45">
        <f t="shared" si="62"/>
        <v>152892</v>
      </c>
      <c r="O304" s="45">
        <f t="shared" si="63"/>
        <v>50964</v>
      </c>
      <c r="P304" s="46">
        <f t="shared" si="64"/>
        <v>1.111111111111111E-2</v>
      </c>
      <c r="Q304" s="46">
        <v>2</v>
      </c>
      <c r="R304" s="45">
        <f t="shared" si="65"/>
        <v>305784</v>
      </c>
      <c r="S304" s="46">
        <f t="shared" si="66"/>
        <v>180</v>
      </c>
      <c r="T304" s="46">
        <f>IFERROR(VLOOKUP(A304,'[1]Re-order'!$A:$Q,17,0),"")</f>
        <v>104.55882352941177</v>
      </c>
      <c r="U304" s="46">
        <f>IFERROR(VLOOKUP(A304,'[1]MC Masterlist 2026-09-12'!$B:$M, 10, 0),0)</f>
        <v>15</v>
      </c>
      <c r="V304" s="46">
        <f>IFERROR(VLOOKUP(A304,'[1]MC Masterlist 2026-09-12'!$B:$M, 11, 0),0)</f>
        <v>15</v>
      </c>
      <c r="W304" s="46">
        <f t="shared" si="67"/>
        <v>30</v>
      </c>
      <c r="X304" s="46">
        <f t="shared" si="68"/>
        <v>29.833333333333332</v>
      </c>
      <c r="Y304" s="46">
        <f>IFERROR(IF(OR(C304="AREA I",C304="AREA V"),7,VLOOKUP(A304,'[1]MC Masterlist 2026-09-12'!$B:$M, 12, 0)),0)</f>
        <v>30</v>
      </c>
      <c r="Z304" s="46">
        <f t="shared" si="69"/>
        <v>0.16666666666666666</v>
      </c>
      <c r="AA304" s="46">
        <f t="shared" si="70"/>
        <v>0.33333333333333331</v>
      </c>
      <c r="AB304" s="46">
        <f t="shared" si="71"/>
        <v>0.33148148148148143</v>
      </c>
      <c r="AC304" s="46">
        <f t="shared" si="72"/>
        <v>0.33333333333333331</v>
      </c>
      <c r="AD304" s="44" t="str">
        <f t="shared" si="73"/>
        <v>Over</v>
      </c>
      <c r="AE304" s="44" t="str">
        <f>IFERROR(VLOOKUP(A304,'[1]Re-order'!$A:$AA,27,0),"")</f>
        <v>Over</v>
      </c>
      <c r="AF304" s="46">
        <f t="shared" si="74"/>
        <v>-1.6666666666666667</v>
      </c>
      <c r="AG304" s="46">
        <f>SUMIFS('[1]Raw Inventory'!D:D,'[1]Raw Inventory'!C:C,"GREATWALL",'[1]Raw Inventory'!B:B,A304)</f>
        <v>3</v>
      </c>
      <c r="AH304" s="46">
        <f>SUMIFS('[1]Raw Inventory'!D:D,'[1]Raw Inventory'!C:C,"DUARTE",'[1]Raw Inventory'!B:B,A304)</f>
        <v>0</v>
      </c>
      <c r="AI304" s="46"/>
      <c r="AJ304" s="46"/>
      <c r="AK304" s="43"/>
      <c r="AL304" s="43"/>
      <c r="AM304" s="43"/>
      <c r="AN304" s="43"/>
      <c r="AO304" s="43"/>
      <c r="AP304" s="43"/>
      <c r="AQ304" s="43"/>
      <c r="AR304" s="43"/>
      <c r="AS304" s="43"/>
      <c r="AT304" s="43"/>
    </row>
    <row r="305" spans="1:46">
      <c r="A305" s="43" t="s">
        <v>37</v>
      </c>
      <c r="B305" s="43" t="s">
        <v>122</v>
      </c>
      <c r="C305" s="43" t="s">
        <v>118</v>
      </c>
      <c r="D305" s="44" t="s">
        <v>240</v>
      </c>
      <c r="E305" s="44">
        <v>13</v>
      </c>
      <c r="F305" s="44" t="s">
        <v>2</v>
      </c>
      <c r="G305" s="43" t="str">
        <f>IFERROR(VLOOKUP(A305,'[1]MC Masterlist 2026-09-12'!$B:$M, 3, 0),"")</f>
        <v>HONDA</v>
      </c>
      <c r="H305" s="45">
        <f>IFERROR(VLOOKUP(A305,'[1]MC Masterlist 2026-09-12'!$B:$M, 6, 0),"")</f>
        <v>74550</v>
      </c>
      <c r="I305" s="46">
        <v>2</v>
      </c>
      <c r="J305" s="46">
        <v>0</v>
      </c>
      <c r="K305" s="46">
        <v>4</v>
      </c>
      <c r="L305" s="46">
        <f t="shared" si="60"/>
        <v>6</v>
      </c>
      <c r="M305" s="46">
        <f t="shared" si="61"/>
        <v>2</v>
      </c>
      <c r="N305" s="45">
        <f t="shared" si="62"/>
        <v>447300</v>
      </c>
      <c r="O305" s="45">
        <f t="shared" si="63"/>
        <v>149100</v>
      </c>
      <c r="P305" s="46">
        <f t="shared" si="64"/>
        <v>6.6666666666666666E-2</v>
      </c>
      <c r="Q305" s="46">
        <v>3</v>
      </c>
      <c r="R305" s="45">
        <f t="shared" si="65"/>
        <v>223650</v>
      </c>
      <c r="S305" s="46">
        <f t="shared" si="66"/>
        <v>45</v>
      </c>
      <c r="T305" s="46">
        <f>IFERROR(VLOOKUP(A305,'[1]Re-order'!$A:$Q,17,0),"")</f>
        <v>33.652173913043477</v>
      </c>
      <c r="U305" s="46">
        <f>IFERROR(VLOOKUP(A305,'[1]MC Masterlist 2026-09-12'!$B:$M, 10, 0),0)</f>
        <v>15</v>
      </c>
      <c r="V305" s="46">
        <f>IFERROR(VLOOKUP(A305,'[1]MC Masterlist 2026-09-12'!$B:$M, 11, 0),0)</f>
        <v>15</v>
      </c>
      <c r="W305" s="46">
        <f t="shared" si="67"/>
        <v>30</v>
      </c>
      <c r="X305" s="46">
        <f t="shared" si="68"/>
        <v>29</v>
      </c>
      <c r="Y305" s="46">
        <f>IFERROR(IF(OR(C305="AREA I",C305="AREA V"),7,VLOOKUP(A305,'[1]MC Masterlist 2026-09-12'!$B:$M, 12, 0)),0)</f>
        <v>30</v>
      </c>
      <c r="Z305" s="46">
        <f t="shared" si="69"/>
        <v>1</v>
      </c>
      <c r="AA305" s="46">
        <f t="shared" si="70"/>
        <v>2</v>
      </c>
      <c r="AB305" s="46">
        <f t="shared" si="71"/>
        <v>1.9333333333333333</v>
      </c>
      <c r="AC305" s="46">
        <f t="shared" si="72"/>
        <v>2</v>
      </c>
      <c r="AD305" s="44" t="str">
        <f t="shared" si="73"/>
        <v>Over</v>
      </c>
      <c r="AE305" s="44" t="str">
        <f>IFERROR(VLOOKUP(A305,'[1]Re-order'!$A:$AA,27,0),"")</f>
        <v>Re-order</v>
      </c>
      <c r="AF305" s="46">
        <f t="shared" si="74"/>
        <v>-1</v>
      </c>
      <c r="AG305" s="46">
        <f>SUMIFS('[1]Raw Inventory'!D:D,'[1]Raw Inventory'!C:C,"GREATWALL",'[1]Raw Inventory'!B:B,A305)</f>
        <v>28</v>
      </c>
      <c r="AH305" s="46">
        <f>SUMIFS('[1]Raw Inventory'!D:D,'[1]Raw Inventory'!C:C,"DUARTE",'[1]Raw Inventory'!B:B,A305)</f>
        <v>0</v>
      </c>
      <c r="AI305" s="46"/>
      <c r="AJ305" s="46"/>
      <c r="AK305" s="43"/>
      <c r="AL305" s="43"/>
      <c r="AM305" s="43"/>
      <c r="AN305" s="43"/>
      <c r="AO305" s="43"/>
      <c r="AP305" s="43"/>
      <c r="AQ305" s="43"/>
      <c r="AR305" s="43"/>
      <c r="AS305" s="43"/>
      <c r="AT305" s="43"/>
    </row>
    <row r="306" spans="1:46">
      <c r="A306" s="43" t="s">
        <v>24</v>
      </c>
      <c r="B306" s="43" t="s">
        <v>131</v>
      </c>
      <c r="C306" s="43" t="s">
        <v>128</v>
      </c>
      <c r="D306" s="44" t="s">
        <v>246</v>
      </c>
      <c r="E306" s="44">
        <v>10</v>
      </c>
      <c r="F306" s="44" t="s">
        <v>2</v>
      </c>
      <c r="G306" s="43" t="str">
        <f>IFERROR(VLOOKUP(A306,'[1]MC Masterlist 2026-09-12'!$B:$M, 3, 0),"")</f>
        <v>KAWASAKI</v>
      </c>
      <c r="H306" s="45">
        <f>IFERROR(VLOOKUP(A306,'[1]MC Masterlist 2026-09-12'!$B:$M, 6, 0),"")</f>
        <v>131626</v>
      </c>
      <c r="I306" s="46">
        <v>1</v>
      </c>
      <c r="J306" s="46">
        <v>2</v>
      </c>
      <c r="K306" s="46">
        <v>0</v>
      </c>
      <c r="L306" s="46">
        <f t="shared" si="60"/>
        <v>3</v>
      </c>
      <c r="M306" s="46">
        <f t="shared" si="61"/>
        <v>1</v>
      </c>
      <c r="N306" s="45">
        <f t="shared" si="62"/>
        <v>394878</v>
      </c>
      <c r="O306" s="45">
        <f t="shared" si="63"/>
        <v>131626</v>
      </c>
      <c r="P306" s="46">
        <f t="shared" si="64"/>
        <v>3.3333333333333333E-2</v>
      </c>
      <c r="Q306" s="46">
        <v>1</v>
      </c>
      <c r="R306" s="45">
        <f t="shared" si="65"/>
        <v>131626</v>
      </c>
      <c r="S306" s="46">
        <f t="shared" si="66"/>
        <v>30</v>
      </c>
      <c r="T306" s="46">
        <f>IFERROR(VLOOKUP(A306,'[1]Re-order'!$A:$Q,17,0),"")</f>
        <v>40.677966101694913</v>
      </c>
      <c r="U306" s="46">
        <f>IFERROR(VLOOKUP(A306,'[1]MC Masterlist 2026-09-12'!$B:$M, 10, 0),0)</f>
        <v>15</v>
      </c>
      <c r="V306" s="46">
        <f>IFERROR(VLOOKUP(A306,'[1]MC Masterlist 2026-09-12'!$B:$M, 11, 0),0)</f>
        <v>15</v>
      </c>
      <c r="W306" s="46">
        <f t="shared" si="67"/>
        <v>30</v>
      </c>
      <c r="X306" s="46">
        <f t="shared" si="68"/>
        <v>29.5</v>
      </c>
      <c r="Y306" s="46">
        <f>IFERROR(IF(OR(C306="AREA I",C306="AREA V"),7,VLOOKUP(A306,'[1]MC Masterlist 2026-09-12'!$B:$M, 12, 0)),0)</f>
        <v>30</v>
      </c>
      <c r="Z306" s="46">
        <f t="shared" si="69"/>
        <v>0.5</v>
      </c>
      <c r="AA306" s="46">
        <f t="shared" si="70"/>
        <v>1</v>
      </c>
      <c r="AB306" s="46">
        <f t="shared" si="71"/>
        <v>0.98333333333333328</v>
      </c>
      <c r="AC306" s="46">
        <f t="shared" si="72"/>
        <v>1</v>
      </c>
      <c r="AD306" s="44" t="str">
        <f t="shared" si="73"/>
        <v>Re-order</v>
      </c>
      <c r="AE306" s="44" t="str">
        <f>IFERROR(VLOOKUP(A306,'[1]Re-order'!$A:$AA,27,0),"")</f>
        <v>Re-order</v>
      </c>
      <c r="AF306" s="46">
        <f t="shared" si="74"/>
        <v>0</v>
      </c>
      <c r="AG306" s="46">
        <f>SUMIFS('[1]Raw Inventory'!D:D,'[1]Raw Inventory'!C:C,"GREATWALL",'[1]Raw Inventory'!B:B,A306)</f>
        <v>12</v>
      </c>
      <c r="AH306" s="46">
        <f>SUMIFS('[1]Raw Inventory'!D:D,'[1]Raw Inventory'!C:C,"DUARTE",'[1]Raw Inventory'!B:B,A306)</f>
        <v>0</v>
      </c>
      <c r="AI306" s="46"/>
      <c r="AJ306" s="46"/>
      <c r="AK306" s="43"/>
      <c r="AL306" s="43"/>
      <c r="AM306" s="43"/>
      <c r="AN306" s="43"/>
      <c r="AO306" s="43"/>
      <c r="AP306" s="43"/>
      <c r="AQ306" s="43"/>
      <c r="AR306" s="43"/>
      <c r="AS306" s="43"/>
      <c r="AT306" s="43"/>
    </row>
    <row r="307" spans="1:46">
      <c r="A307" s="43" t="s">
        <v>66</v>
      </c>
      <c r="B307" s="43" t="s">
        <v>27</v>
      </c>
      <c r="C307" s="43" t="s">
        <v>1</v>
      </c>
      <c r="D307" s="44" t="s">
        <v>237</v>
      </c>
      <c r="E307" s="44">
        <v>26</v>
      </c>
      <c r="F307" s="44" t="s">
        <v>3</v>
      </c>
      <c r="G307" s="43" t="str">
        <f>IFERROR(VLOOKUP(A307,'[1]MC Masterlist 2026-09-12'!$B:$M, 3, 0),"")</f>
        <v>KAWASAKI</v>
      </c>
      <c r="H307" s="45">
        <f>IFERROR(VLOOKUP(A307,'[1]MC Masterlist 2026-09-12'!$B:$M, 6, 0),"")</f>
        <v>95530</v>
      </c>
      <c r="I307" s="46">
        <v>1</v>
      </c>
      <c r="J307" s="46">
        <v>0</v>
      </c>
      <c r="K307" s="46">
        <v>0</v>
      </c>
      <c r="L307" s="46">
        <f t="shared" si="60"/>
        <v>1</v>
      </c>
      <c r="M307" s="46">
        <f t="shared" si="61"/>
        <v>0.33333333333333331</v>
      </c>
      <c r="N307" s="45">
        <f t="shared" si="62"/>
        <v>95530</v>
      </c>
      <c r="O307" s="45">
        <f t="shared" si="63"/>
        <v>31843.333333333332</v>
      </c>
      <c r="P307" s="46">
        <f t="shared" si="64"/>
        <v>1.111111111111111E-2</v>
      </c>
      <c r="Q307" s="46"/>
      <c r="R307" s="45">
        <f t="shared" si="65"/>
        <v>0</v>
      </c>
      <c r="S307" s="46">
        <f t="shared" si="66"/>
        <v>0</v>
      </c>
      <c r="T307" s="46">
        <f>IFERROR(VLOOKUP(A307,'[1]Re-order'!$A:$Q,17,0),"")</f>
        <v>112.7848101265823</v>
      </c>
      <c r="U307" s="46">
        <f>IFERROR(VLOOKUP(A307,'[1]MC Masterlist 2026-09-12'!$B:$M, 10, 0),0)</f>
        <v>15</v>
      </c>
      <c r="V307" s="46">
        <f>IFERROR(VLOOKUP(A307,'[1]MC Masterlist 2026-09-12'!$B:$M, 11, 0),0)</f>
        <v>15</v>
      </c>
      <c r="W307" s="46">
        <f t="shared" si="67"/>
        <v>30</v>
      </c>
      <c r="X307" s="46">
        <f t="shared" si="68"/>
        <v>6.833333333333333</v>
      </c>
      <c r="Y307" s="46">
        <f>IFERROR(IF(OR(C307="AREA I",C307="AREA V"),7,VLOOKUP(A307,'[1]MC Masterlist 2026-09-12'!$B:$M, 12, 0)),0)</f>
        <v>7</v>
      </c>
      <c r="Z307" s="46">
        <f t="shared" si="69"/>
        <v>0.16666666666666666</v>
      </c>
      <c r="AA307" s="46">
        <f t="shared" si="70"/>
        <v>0.33333333333333331</v>
      </c>
      <c r="AB307" s="46">
        <f t="shared" si="71"/>
        <v>7.5925925925925911E-2</v>
      </c>
      <c r="AC307" s="46">
        <f t="shared" si="72"/>
        <v>7.7777777777777765E-2</v>
      </c>
      <c r="AD307" s="44" t="str">
        <f t="shared" si="73"/>
        <v>Stockout</v>
      </c>
      <c r="AE307" s="44" t="str">
        <f>IFERROR(VLOOKUP(A307,'[1]Re-order'!$A:$AA,27,0),"")</f>
        <v>Over</v>
      </c>
      <c r="AF307" s="46">
        <f t="shared" si="74"/>
        <v>7.7777777777777765E-2</v>
      </c>
      <c r="AG307" s="46">
        <f>SUMIFS('[1]Raw Inventory'!D:D,'[1]Raw Inventory'!C:C,"GREATWALL",'[1]Raw Inventory'!B:B,A307)</f>
        <v>64</v>
      </c>
      <c r="AH307" s="46">
        <f>SUMIFS('[1]Raw Inventory'!D:D,'[1]Raw Inventory'!C:C,"DUARTE",'[1]Raw Inventory'!B:B,A307)</f>
        <v>0</v>
      </c>
      <c r="AI307" s="46"/>
      <c r="AJ307" s="46"/>
      <c r="AK307" s="43"/>
      <c r="AL307" s="43"/>
      <c r="AM307" s="43"/>
      <c r="AN307" s="43"/>
      <c r="AO307" s="43"/>
      <c r="AP307" s="43"/>
      <c r="AQ307" s="43"/>
      <c r="AR307" s="43"/>
      <c r="AS307" s="43"/>
      <c r="AT307" s="43"/>
    </row>
    <row r="308" spans="1:46">
      <c r="A308" s="43" t="s">
        <v>51</v>
      </c>
      <c r="B308" s="43" t="s">
        <v>154</v>
      </c>
      <c r="C308" s="43" t="s">
        <v>152</v>
      </c>
      <c r="D308" s="44" t="s">
        <v>252</v>
      </c>
      <c r="E308" s="44">
        <v>18</v>
      </c>
      <c r="F308" s="44" t="s">
        <v>2</v>
      </c>
      <c r="G308" s="43" t="str">
        <f>IFERROR(VLOOKUP(A308,'[1]MC Masterlist 2026-09-12'!$B:$M, 3, 0),"")</f>
        <v>SUZUKI</v>
      </c>
      <c r="H308" s="45">
        <f>IFERROR(VLOOKUP(A308,'[1]MC Masterlist 2026-09-12'!$B:$M, 6, 0),"")</f>
        <v>138580</v>
      </c>
      <c r="I308" s="46">
        <v>0</v>
      </c>
      <c r="J308" s="46">
        <v>1</v>
      </c>
      <c r="K308" s="46">
        <v>0</v>
      </c>
      <c r="L308" s="46">
        <f t="shared" si="60"/>
        <v>1</v>
      </c>
      <c r="M308" s="46">
        <f t="shared" si="61"/>
        <v>0.33333333333333331</v>
      </c>
      <c r="N308" s="45">
        <f t="shared" si="62"/>
        <v>138580</v>
      </c>
      <c r="O308" s="45">
        <f t="shared" si="63"/>
        <v>46193.333333333328</v>
      </c>
      <c r="P308" s="46">
        <f t="shared" si="64"/>
        <v>1.111111111111111E-2</v>
      </c>
      <c r="Q308" s="46"/>
      <c r="R308" s="45">
        <f t="shared" si="65"/>
        <v>0</v>
      </c>
      <c r="S308" s="46">
        <f t="shared" si="66"/>
        <v>0</v>
      </c>
      <c r="T308" s="46">
        <f>IFERROR(VLOOKUP(A308,'[1]Re-order'!$A:$Q,17,0),"")</f>
        <v>18</v>
      </c>
      <c r="U308" s="46">
        <f>IFERROR(VLOOKUP(A308,'[1]MC Masterlist 2026-09-12'!$B:$M, 10, 0),0)</f>
        <v>15</v>
      </c>
      <c r="V308" s="46">
        <f>IFERROR(VLOOKUP(A308,'[1]MC Masterlist 2026-09-12'!$B:$M, 11, 0),0)</f>
        <v>15</v>
      </c>
      <c r="W308" s="46">
        <f t="shared" si="67"/>
        <v>30</v>
      </c>
      <c r="X308" s="46">
        <f t="shared" si="68"/>
        <v>29.833333333333332</v>
      </c>
      <c r="Y308" s="46">
        <f>IFERROR(IF(OR(C308="AREA I",C308="AREA V"),7,VLOOKUP(A308,'[1]MC Masterlist 2026-09-12'!$B:$M, 12, 0)),0)</f>
        <v>30</v>
      </c>
      <c r="Z308" s="46">
        <f t="shared" si="69"/>
        <v>0.16666666666666666</v>
      </c>
      <c r="AA308" s="46">
        <f t="shared" si="70"/>
        <v>0.33333333333333331</v>
      </c>
      <c r="AB308" s="46">
        <f t="shared" si="71"/>
        <v>0.33148148148148143</v>
      </c>
      <c r="AC308" s="46">
        <f t="shared" si="72"/>
        <v>0.33333333333333331</v>
      </c>
      <c r="AD308" s="44" t="str">
        <f t="shared" si="73"/>
        <v>Stockout</v>
      </c>
      <c r="AE308" s="44" t="str">
        <f>IFERROR(VLOOKUP(A308,'[1]Re-order'!$A:$AA,27,0),"")</f>
        <v>Stockout</v>
      </c>
      <c r="AF308" s="46">
        <f t="shared" si="74"/>
        <v>0.33333333333333331</v>
      </c>
      <c r="AG308" s="46">
        <f>SUMIFS('[1]Raw Inventory'!D:D,'[1]Raw Inventory'!C:C,"GREATWALL",'[1]Raw Inventory'!B:B,A308)</f>
        <v>0</v>
      </c>
      <c r="AH308" s="46">
        <f>SUMIFS('[1]Raw Inventory'!D:D,'[1]Raw Inventory'!C:C,"DUARTE",'[1]Raw Inventory'!B:B,A308)</f>
        <v>0</v>
      </c>
      <c r="AI308" s="46"/>
      <c r="AJ308" s="46"/>
      <c r="AK308" s="43"/>
      <c r="AL308" s="43"/>
      <c r="AM308" s="43"/>
      <c r="AN308" s="43"/>
      <c r="AO308" s="43"/>
      <c r="AP308" s="43"/>
      <c r="AQ308" s="43"/>
      <c r="AR308" s="43"/>
      <c r="AS308" s="43"/>
      <c r="AT308" s="43"/>
    </row>
    <row r="309" spans="1:46">
      <c r="A309" s="43" t="s">
        <v>62</v>
      </c>
      <c r="B309" s="43" t="s">
        <v>138</v>
      </c>
      <c r="C309" s="43" t="s">
        <v>137</v>
      </c>
      <c r="D309" s="44" t="s">
        <v>275</v>
      </c>
      <c r="E309" s="44">
        <v>39</v>
      </c>
      <c r="F309" s="44" t="s">
        <v>3</v>
      </c>
      <c r="G309" s="43" t="str">
        <f>IFERROR(VLOOKUP(A309,'[1]MC Masterlist 2026-09-12'!$B:$M, 3, 0),"")</f>
        <v>HONDA</v>
      </c>
      <c r="H309" s="45">
        <f>IFERROR(VLOOKUP(A309,'[1]MC Masterlist 2026-09-12'!$B:$M, 6, 0),"")</f>
        <v>123310</v>
      </c>
      <c r="I309" s="46">
        <v>0</v>
      </c>
      <c r="J309" s="46">
        <v>0</v>
      </c>
      <c r="K309" s="46">
        <v>0</v>
      </c>
      <c r="L309" s="46">
        <f t="shared" si="60"/>
        <v>0</v>
      </c>
      <c r="M309" s="46">
        <f t="shared" si="61"/>
        <v>0</v>
      </c>
      <c r="N309" s="45">
        <f t="shared" si="62"/>
        <v>0</v>
      </c>
      <c r="O309" s="45">
        <f t="shared" si="63"/>
        <v>0</v>
      </c>
      <c r="P309" s="46">
        <f t="shared" si="64"/>
        <v>0</v>
      </c>
      <c r="Q309" s="46">
        <v>4</v>
      </c>
      <c r="R309" s="45">
        <f t="shared" si="65"/>
        <v>493240</v>
      </c>
      <c r="S309" s="46">
        <f t="shared" si="66"/>
        <v>0</v>
      </c>
      <c r="T309" s="46">
        <f>IFERROR(VLOOKUP(A309,'[1]Re-order'!$A:$Q,17,0),"")</f>
        <v>165</v>
      </c>
      <c r="U309" s="46">
        <f>IFERROR(VLOOKUP(A309,'[1]MC Masterlist 2026-09-12'!$B:$M, 10, 0),0)</f>
        <v>15</v>
      </c>
      <c r="V309" s="46">
        <f>IFERROR(VLOOKUP(A309,'[1]MC Masterlist 2026-09-12'!$B:$M, 11, 0),0)</f>
        <v>15</v>
      </c>
      <c r="W309" s="46">
        <f t="shared" si="67"/>
        <v>30</v>
      </c>
      <c r="X309" s="46">
        <f t="shared" si="68"/>
        <v>7</v>
      </c>
      <c r="Y309" s="46">
        <f>IFERROR(IF(OR(C309="AREA I",C309="AREA V"),7,VLOOKUP(A309,'[1]MC Masterlist 2026-09-12'!$B:$M, 12, 0)),0)</f>
        <v>7</v>
      </c>
      <c r="Z309" s="46">
        <f t="shared" si="69"/>
        <v>0</v>
      </c>
      <c r="AA309" s="46">
        <f t="shared" si="70"/>
        <v>0</v>
      </c>
      <c r="AB309" s="46">
        <f t="shared" si="71"/>
        <v>0</v>
      </c>
      <c r="AC309" s="46">
        <f t="shared" si="72"/>
        <v>0</v>
      </c>
      <c r="AD309" s="44" t="str">
        <f t="shared" si="73"/>
        <v>Over</v>
      </c>
      <c r="AE309" s="44" t="str">
        <f>IFERROR(VLOOKUP(A309,'[1]Re-order'!$A:$AA,27,0),"")</f>
        <v>Over</v>
      </c>
      <c r="AF309" s="46">
        <f t="shared" si="74"/>
        <v>-4</v>
      </c>
      <c r="AG309" s="46">
        <f>SUMIFS('[1]Raw Inventory'!D:D,'[1]Raw Inventory'!C:C,"GREATWALL",'[1]Raw Inventory'!B:B,A309)</f>
        <v>4</v>
      </c>
      <c r="AH309" s="46">
        <f>SUMIFS('[1]Raw Inventory'!D:D,'[1]Raw Inventory'!C:C,"DUARTE",'[1]Raw Inventory'!B:B,A309)</f>
        <v>0</v>
      </c>
      <c r="AI309" s="46"/>
      <c r="AJ309" s="46"/>
      <c r="AK309" s="43"/>
      <c r="AL309" s="43"/>
      <c r="AM309" s="43"/>
      <c r="AN309" s="43"/>
      <c r="AO309" s="43"/>
      <c r="AP309" s="43"/>
      <c r="AQ309" s="43"/>
      <c r="AR309" s="43"/>
      <c r="AS309" s="43"/>
      <c r="AT309" s="43"/>
    </row>
    <row r="310" spans="1:46">
      <c r="A310" s="43" t="s">
        <v>61</v>
      </c>
      <c r="B310" s="43" t="s">
        <v>11</v>
      </c>
      <c r="C310" s="43" t="s">
        <v>1</v>
      </c>
      <c r="D310" s="44" t="s">
        <v>237</v>
      </c>
      <c r="E310" s="44">
        <v>22</v>
      </c>
      <c r="F310" s="44" t="s">
        <v>3</v>
      </c>
      <c r="G310" s="43" t="str">
        <f>IFERROR(VLOOKUP(A310,'[1]MC Masterlist 2026-09-12'!$B:$M, 3, 0),"")</f>
        <v>HONDA</v>
      </c>
      <c r="H310" s="45">
        <f>IFERROR(VLOOKUP(A310,'[1]MC Masterlist 2026-09-12'!$B:$M, 6, 0),"")</f>
        <v>63510</v>
      </c>
      <c r="I310" s="46">
        <v>0</v>
      </c>
      <c r="J310" s="46">
        <v>1</v>
      </c>
      <c r="K310" s="46">
        <v>0</v>
      </c>
      <c r="L310" s="46">
        <f t="shared" si="60"/>
        <v>1</v>
      </c>
      <c r="M310" s="46">
        <f t="shared" si="61"/>
        <v>0.33333333333333331</v>
      </c>
      <c r="N310" s="45">
        <f t="shared" si="62"/>
        <v>63510</v>
      </c>
      <c r="O310" s="45">
        <f t="shared" si="63"/>
        <v>21170</v>
      </c>
      <c r="P310" s="46">
        <f t="shared" si="64"/>
        <v>1.111111111111111E-2</v>
      </c>
      <c r="Q310" s="46">
        <v>2</v>
      </c>
      <c r="R310" s="45">
        <f t="shared" si="65"/>
        <v>127020</v>
      </c>
      <c r="S310" s="46">
        <f t="shared" si="66"/>
        <v>180</v>
      </c>
      <c r="T310" s="46">
        <f>IFERROR(VLOOKUP(A310,'[1]Re-order'!$A:$Q,17,0),"")</f>
        <v>135</v>
      </c>
      <c r="U310" s="46">
        <f>IFERROR(VLOOKUP(A310,'[1]MC Masterlist 2026-09-12'!$B:$M, 10, 0),0)</f>
        <v>15</v>
      </c>
      <c r="V310" s="46">
        <f>IFERROR(VLOOKUP(A310,'[1]MC Masterlist 2026-09-12'!$B:$M, 11, 0),0)</f>
        <v>15</v>
      </c>
      <c r="W310" s="46">
        <f t="shared" si="67"/>
        <v>30</v>
      </c>
      <c r="X310" s="46">
        <f t="shared" si="68"/>
        <v>6.833333333333333</v>
      </c>
      <c r="Y310" s="46">
        <f>IFERROR(IF(OR(C310="AREA I",C310="AREA V"),7,VLOOKUP(A310,'[1]MC Masterlist 2026-09-12'!$B:$M, 12, 0)),0)</f>
        <v>7</v>
      </c>
      <c r="Z310" s="46">
        <f t="shared" si="69"/>
        <v>0.16666666666666666</v>
      </c>
      <c r="AA310" s="46">
        <f t="shared" si="70"/>
        <v>0.33333333333333331</v>
      </c>
      <c r="AB310" s="46">
        <f t="shared" si="71"/>
        <v>7.5925925925925911E-2</v>
      </c>
      <c r="AC310" s="46">
        <f t="shared" si="72"/>
        <v>7.7777777777777765E-2</v>
      </c>
      <c r="AD310" s="44" t="str">
        <f t="shared" si="73"/>
        <v>Over</v>
      </c>
      <c r="AE310" s="44" t="str">
        <f>IFERROR(VLOOKUP(A310,'[1]Re-order'!$A:$AA,27,0),"")</f>
        <v>Over</v>
      </c>
      <c r="AF310" s="46">
        <f t="shared" si="74"/>
        <v>-1.9222222222222223</v>
      </c>
      <c r="AG310" s="46">
        <f>SUMIFS('[1]Raw Inventory'!D:D,'[1]Raw Inventory'!C:C,"GREATWALL",'[1]Raw Inventory'!B:B,A310)</f>
        <v>1</v>
      </c>
      <c r="AH310" s="46">
        <f>SUMIFS('[1]Raw Inventory'!D:D,'[1]Raw Inventory'!C:C,"DUARTE",'[1]Raw Inventory'!B:B,A310)</f>
        <v>0</v>
      </c>
      <c r="AI310" s="46"/>
      <c r="AJ310" s="46"/>
      <c r="AK310" s="43"/>
      <c r="AL310" s="43"/>
      <c r="AM310" s="43"/>
      <c r="AN310" s="43"/>
      <c r="AO310" s="43"/>
      <c r="AP310" s="43"/>
      <c r="AQ310" s="43"/>
      <c r="AR310" s="43"/>
      <c r="AS310" s="43"/>
      <c r="AT310" s="43"/>
    </row>
    <row r="311" spans="1:46">
      <c r="A311" s="43" t="s">
        <v>69</v>
      </c>
      <c r="B311" s="43" t="s">
        <v>154</v>
      </c>
      <c r="C311" s="43" t="s">
        <v>152</v>
      </c>
      <c r="D311" s="44" t="s">
        <v>235</v>
      </c>
      <c r="E311" s="44">
        <v>27</v>
      </c>
      <c r="F311" s="44" t="s">
        <v>3</v>
      </c>
      <c r="G311" s="43" t="str">
        <f>IFERROR(VLOOKUP(A311,'[1]MC Masterlist 2026-09-12'!$B:$M, 3, 0),"")</f>
        <v>YAMAHA</v>
      </c>
      <c r="H311" s="45">
        <f>IFERROR(VLOOKUP(A311,'[1]MC Masterlist 2026-09-12'!$B:$M, 6, 0),"")</f>
        <v>54426</v>
      </c>
      <c r="I311" s="46">
        <v>0</v>
      </c>
      <c r="J311" s="46">
        <v>0</v>
      </c>
      <c r="K311" s="46">
        <v>1</v>
      </c>
      <c r="L311" s="46">
        <f t="shared" si="60"/>
        <v>1</v>
      </c>
      <c r="M311" s="46">
        <f t="shared" si="61"/>
        <v>0.33333333333333331</v>
      </c>
      <c r="N311" s="45">
        <f t="shared" si="62"/>
        <v>54426</v>
      </c>
      <c r="O311" s="45">
        <f t="shared" si="63"/>
        <v>18142</v>
      </c>
      <c r="P311" s="46">
        <f t="shared" si="64"/>
        <v>1.111111111111111E-2</v>
      </c>
      <c r="Q311" s="46"/>
      <c r="R311" s="45">
        <f t="shared" si="65"/>
        <v>0</v>
      </c>
      <c r="S311" s="46">
        <f t="shared" si="66"/>
        <v>0</v>
      </c>
      <c r="T311" s="46">
        <f>IFERROR(VLOOKUP(A311,'[1]Re-order'!$A:$Q,17,0),"")</f>
        <v>62.307692307692314</v>
      </c>
      <c r="U311" s="46">
        <f>IFERROR(VLOOKUP(A311,'[1]MC Masterlist 2026-09-12'!$B:$M, 10, 0),0)</f>
        <v>15</v>
      </c>
      <c r="V311" s="46">
        <f>IFERROR(VLOOKUP(A311,'[1]MC Masterlist 2026-09-12'!$B:$M, 11, 0),0)</f>
        <v>15</v>
      </c>
      <c r="W311" s="46">
        <f t="shared" si="67"/>
        <v>30</v>
      </c>
      <c r="X311" s="46">
        <f t="shared" si="68"/>
        <v>29.833333333333332</v>
      </c>
      <c r="Y311" s="46">
        <f>IFERROR(IF(OR(C311="AREA I",C311="AREA V"),7,VLOOKUP(A311,'[1]MC Masterlist 2026-09-12'!$B:$M, 12, 0)),0)</f>
        <v>30</v>
      </c>
      <c r="Z311" s="46">
        <f t="shared" si="69"/>
        <v>0.16666666666666666</v>
      </c>
      <c r="AA311" s="46">
        <f t="shared" si="70"/>
        <v>0.33333333333333331</v>
      </c>
      <c r="AB311" s="46">
        <f t="shared" si="71"/>
        <v>0.33148148148148143</v>
      </c>
      <c r="AC311" s="46">
        <f t="shared" si="72"/>
        <v>0.33333333333333331</v>
      </c>
      <c r="AD311" s="44" t="str">
        <f t="shared" si="73"/>
        <v>Stockout</v>
      </c>
      <c r="AE311" s="44" t="str">
        <f>IFERROR(VLOOKUP(A311,'[1]Re-order'!$A:$AA,27,0),"")</f>
        <v>Re-order</v>
      </c>
      <c r="AF311" s="46">
        <f t="shared" si="74"/>
        <v>0.33333333333333331</v>
      </c>
      <c r="AG311" s="46">
        <f>SUMIFS('[1]Raw Inventory'!D:D,'[1]Raw Inventory'!C:C,"GREATWALL",'[1]Raw Inventory'!B:B,A311)</f>
        <v>1</v>
      </c>
      <c r="AH311" s="46">
        <f>SUMIFS('[1]Raw Inventory'!D:D,'[1]Raw Inventory'!C:C,"DUARTE",'[1]Raw Inventory'!B:B,A311)</f>
        <v>0</v>
      </c>
      <c r="AI311" s="46"/>
      <c r="AJ311" s="46"/>
      <c r="AK311" s="43"/>
      <c r="AL311" s="43"/>
      <c r="AM311" s="43"/>
      <c r="AN311" s="43"/>
      <c r="AO311" s="43"/>
      <c r="AP311" s="43"/>
      <c r="AQ311" s="43"/>
      <c r="AR311" s="43"/>
      <c r="AS311" s="43"/>
      <c r="AT311" s="43"/>
    </row>
    <row r="312" spans="1:46">
      <c r="A312" s="43" t="s">
        <v>35</v>
      </c>
      <c r="B312" s="43" t="s">
        <v>97</v>
      </c>
      <c r="C312" s="43" t="s">
        <v>90</v>
      </c>
      <c r="D312" s="44" t="s">
        <v>268</v>
      </c>
      <c r="E312" s="44">
        <v>12</v>
      </c>
      <c r="F312" s="44" t="s">
        <v>3</v>
      </c>
      <c r="G312" s="43" t="str">
        <f>IFERROR(VLOOKUP(A312,'[1]MC Masterlist 2026-09-12'!$B:$M, 3, 0),"")</f>
        <v>HONDA</v>
      </c>
      <c r="H312" s="45">
        <f>IFERROR(VLOOKUP(A312,'[1]MC Masterlist 2026-09-12'!$B:$M, 6, 0),"")</f>
        <v>57990</v>
      </c>
      <c r="I312" s="46">
        <v>0</v>
      </c>
      <c r="J312" s="46">
        <v>2</v>
      </c>
      <c r="K312" s="46">
        <v>0</v>
      </c>
      <c r="L312" s="46">
        <f t="shared" si="60"/>
        <v>2</v>
      </c>
      <c r="M312" s="46">
        <f t="shared" si="61"/>
        <v>0.66666666666666663</v>
      </c>
      <c r="N312" s="45">
        <f t="shared" si="62"/>
        <v>115980</v>
      </c>
      <c r="O312" s="45">
        <f t="shared" si="63"/>
        <v>38660</v>
      </c>
      <c r="P312" s="46">
        <f t="shared" si="64"/>
        <v>2.222222222222222E-2</v>
      </c>
      <c r="Q312" s="46">
        <v>1</v>
      </c>
      <c r="R312" s="45">
        <f t="shared" si="65"/>
        <v>57990</v>
      </c>
      <c r="S312" s="46">
        <f t="shared" si="66"/>
        <v>45</v>
      </c>
      <c r="T312" s="46">
        <f>IFERROR(VLOOKUP(A312,'[1]Re-order'!$A:$Q,17,0),"")</f>
        <v>68.275862068965523</v>
      </c>
      <c r="U312" s="46">
        <f>IFERROR(VLOOKUP(A312,'[1]MC Masterlist 2026-09-12'!$B:$M, 10, 0),0)</f>
        <v>15</v>
      </c>
      <c r="V312" s="46">
        <f>IFERROR(VLOOKUP(A312,'[1]MC Masterlist 2026-09-12'!$B:$M, 11, 0),0)</f>
        <v>15</v>
      </c>
      <c r="W312" s="46">
        <f t="shared" si="67"/>
        <v>30</v>
      </c>
      <c r="X312" s="46">
        <f t="shared" si="68"/>
        <v>29.666666666666668</v>
      </c>
      <c r="Y312" s="46">
        <f>IFERROR(IF(OR(C312="AREA I",C312="AREA V"),7,VLOOKUP(A312,'[1]MC Masterlist 2026-09-12'!$B:$M, 12, 0)),0)</f>
        <v>30</v>
      </c>
      <c r="Z312" s="46">
        <f t="shared" si="69"/>
        <v>0.33333333333333331</v>
      </c>
      <c r="AA312" s="46">
        <f t="shared" si="70"/>
        <v>0.66666666666666663</v>
      </c>
      <c r="AB312" s="46">
        <f t="shared" si="71"/>
        <v>0.65925925925925921</v>
      </c>
      <c r="AC312" s="46">
        <f t="shared" si="72"/>
        <v>0.66666666666666663</v>
      </c>
      <c r="AD312" s="44" t="str">
        <f t="shared" si="73"/>
        <v>Over</v>
      </c>
      <c r="AE312" s="44" t="str">
        <f>IFERROR(VLOOKUP(A312,'[1]Re-order'!$A:$AA,27,0),"")</f>
        <v>Re-order</v>
      </c>
      <c r="AF312" s="46">
        <f t="shared" si="74"/>
        <v>-0.33333333333333337</v>
      </c>
      <c r="AG312" s="46">
        <f>SUMIFS('[1]Raw Inventory'!D:D,'[1]Raw Inventory'!C:C,"GREATWALL",'[1]Raw Inventory'!B:B,A312)</f>
        <v>29</v>
      </c>
      <c r="AH312" s="46">
        <f>SUMIFS('[1]Raw Inventory'!D:D,'[1]Raw Inventory'!C:C,"DUARTE",'[1]Raw Inventory'!B:B,A312)</f>
        <v>0</v>
      </c>
      <c r="AI312" s="46"/>
      <c r="AJ312" s="46"/>
      <c r="AK312" s="43"/>
      <c r="AL312" s="43"/>
      <c r="AM312" s="43"/>
      <c r="AN312" s="43"/>
      <c r="AO312" s="43"/>
      <c r="AP312" s="43"/>
      <c r="AQ312" s="43"/>
      <c r="AR312" s="43"/>
      <c r="AS312" s="43"/>
      <c r="AT312" s="43"/>
    </row>
    <row r="313" spans="1:46">
      <c r="A313" s="43" t="s">
        <v>72</v>
      </c>
      <c r="B313" s="43" t="s">
        <v>27</v>
      </c>
      <c r="C313" s="43" t="s">
        <v>1</v>
      </c>
      <c r="D313" s="44" t="s">
        <v>276</v>
      </c>
      <c r="E313" s="44">
        <v>30</v>
      </c>
      <c r="F313" s="44" t="s">
        <v>3</v>
      </c>
      <c r="G313" s="43" t="str">
        <f>IFERROR(VLOOKUP(A313,'[1]MC Masterlist 2026-09-12'!$B:$M, 3, 0),"")</f>
        <v>KAWASAKI</v>
      </c>
      <c r="H313" s="45">
        <f>IFERROR(VLOOKUP(A313,'[1]MC Masterlist 2026-09-12'!$B:$M, 6, 0),"")</f>
        <v>52948</v>
      </c>
      <c r="I313" s="46">
        <v>0</v>
      </c>
      <c r="J313" s="46">
        <v>0</v>
      </c>
      <c r="K313" s="46">
        <v>0</v>
      </c>
      <c r="L313" s="46">
        <f t="shared" si="60"/>
        <v>0</v>
      </c>
      <c r="M313" s="46">
        <f t="shared" si="61"/>
        <v>0</v>
      </c>
      <c r="N313" s="45">
        <f t="shared" si="62"/>
        <v>0</v>
      </c>
      <c r="O313" s="45">
        <f t="shared" si="63"/>
        <v>0</v>
      </c>
      <c r="P313" s="46">
        <f t="shared" si="64"/>
        <v>0</v>
      </c>
      <c r="Q313" s="46">
        <v>9</v>
      </c>
      <c r="R313" s="45">
        <f t="shared" si="65"/>
        <v>476532</v>
      </c>
      <c r="S313" s="46">
        <f t="shared" si="66"/>
        <v>0</v>
      </c>
      <c r="T313" s="46">
        <f>IFERROR(VLOOKUP(A313,'[1]Re-order'!$A:$Q,17,0),"")</f>
        <v>378</v>
      </c>
      <c r="U313" s="46">
        <f>IFERROR(VLOOKUP(A313,'[1]MC Masterlist 2026-09-12'!$B:$M, 10, 0),0)</f>
        <v>15</v>
      </c>
      <c r="V313" s="46">
        <f>IFERROR(VLOOKUP(A313,'[1]MC Masterlist 2026-09-12'!$B:$M, 11, 0),0)</f>
        <v>15</v>
      </c>
      <c r="W313" s="46">
        <f t="shared" si="67"/>
        <v>30</v>
      </c>
      <c r="X313" s="46">
        <f t="shared" si="68"/>
        <v>7</v>
      </c>
      <c r="Y313" s="46">
        <f>IFERROR(IF(OR(C313="AREA I",C313="AREA V"),7,VLOOKUP(A313,'[1]MC Masterlist 2026-09-12'!$B:$M, 12, 0)),0)</f>
        <v>7</v>
      </c>
      <c r="Z313" s="46">
        <f t="shared" si="69"/>
        <v>0</v>
      </c>
      <c r="AA313" s="46">
        <f t="shared" si="70"/>
        <v>0</v>
      </c>
      <c r="AB313" s="46">
        <f t="shared" si="71"/>
        <v>0</v>
      </c>
      <c r="AC313" s="46">
        <f t="shared" si="72"/>
        <v>0</v>
      </c>
      <c r="AD313" s="44" t="str">
        <f t="shared" si="73"/>
        <v>Over</v>
      </c>
      <c r="AE313" s="44" t="str">
        <f>IFERROR(VLOOKUP(A313,'[1]Re-order'!$A:$AA,27,0),"")</f>
        <v>Over</v>
      </c>
      <c r="AF313" s="46">
        <f t="shared" si="74"/>
        <v>-9</v>
      </c>
      <c r="AG313" s="46">
        <f>SUMIFS('[1]Raw Inventory'!D:D,'[1]Raw Inventory'!C:C,"GREATWALL",'[1]Raw Inventory'!B:B,A313)</f>
        <v>15</v>
      </c>
      <c r="AH313" s="46">
        <f>SUMIFS('[1]Raw Inventory'!D:D,'[1]Raw Inventory'!C:C,"DUARTE",'[1]Raw Inventory'!B:B,A313)</f>
        <v>0</v>
      </c>
      <c r="AI313" s="46"/>
      <c r="AJ313" s="46"/>
      <c r="AK313" s="43"/>
      <c r="AL313" s="43"/>
      <c r="AM313" s="43"/>
      <c r="AN313" s="43"/>
      <c r="AO313" s="43"/>
      <c r="AP313" s="43"/>
      <c r="AQ313" s="43"/>
      <c r="AR313" s="43"/>
      <c r="AS313" s="43"/>
      <c r="AT313" s="43"/>
    </row>
    <row r="314" spans="1:46">
      <c r="A314" s="43" t="s">
        <v>37</v>
      </c>
      <c r="B314" s="43" t="s">
        <v>123</v>
      </c>
      <c r="C314" s="43" t="s">
        <v>118</v>
      </c>
      <c r="D314" s="44" t="s">
        <v>255</v>
      </c>
      <c r="E314" s="44">
        <v>13</v>
      </c>
      <c r="F314" s="44" t="s">
        <v>2</v>
      </c>
      <c r="G314" s="43" t="str">
        <f>IFERROR(VLOOKUP(A314,'[1]MC Masterlist 2026-09-12'!$B:$M, 3, 0),"")</f>
        <v>HONDA</v>
      </c>
      <c r="H314" s="45">
        <f>IFERROR(VLOOKUP(A314,'[1]MC Masterlist 2026-09-12'!$B:$M, 6, 0),"")</f>
        <v>74550</v>
      </c>
      <c r="I314" s="46">
        <v>0</v>
      </c>
      <c r="J314" s="46">
        <v>1</v>
      </c>
      <c r="K314" s="46">
        <v>1</v>
      </c>
      <c r="L314" s="46">
        <f t="shared" si="60"/>
        <v>2</v>
      </c>
      <c r="M314" s="46">
        <f t="shared" si="61"/>
        <v>0.66666666666666663</v>
      </c>
      <c r="N314" s="45">
        <f t="shared" si="62"/>
        <v>149100</v>
      </c>
      <c r="O314" s="45">
        <f t="shared" si="63"/>
        <v>49700</v>
      </c>
      <c r="P314" s="46">
        <f t="shared" si="64"/>
        <v>2.222222222222222E-2</v>
      </c>
      <c r="Q314" s="46">
        <v>2</v>
      </c>
      <c r="R314" s="45">
        <f t="shared" si="65"/>
        <v>149100</v>
      </c>
      <c r="S314" s="46">
        <f t="shared" si="66"/>
        <v>90</v>
      </c>
      <c r="T314" s="46">
        <f>IFERROR(VLOOKUP(A314,'[1]Re-order'!$A:$Q,17,0),"")</f>
        <v>33.652173913043477</v>
      </c>
      <c r="U314" s="46">
        <f>IFERROR(VLOOKUP(A314,'[1]MC Masterlist 2026-09-12'!$B:$M, 10, 0),0)</f>
        <v>15</v>
      </c>
      <c r="V314" s="46">
        <f>IFERROR(VLOOKUP(A314,'[1]MC Masterlist 2026-09-12'!$B:$M, 11, 0),0)</f>
        <v>15</v>
      </c>
      <c r="W314" s="46">
        <f t="shared" si="67"/>
        <v>30</v>
      </c>
      <c r="X314" s="46">
        <f t="shared" si="68"/>
        <v>29.666666666666668</v>
      </c>
      <c r="Y314" s="46">
        <f>IFERROR(IF(OR(C314="AREA I",C314="AREA V"),7,VLOOKUP(A314,'[1]MC Masterlist 2026-09-12'!$B:$M, 12, 0)),0)</f>
        <v>30</v>
      </c>
      <c r="Z314" s="46">
        <f t="shared" si="69"/>
        <v>0.33333333333333331</v>
      </c>
      <c r="AA314" s="46">
        <f t="shared" si="70"/>
        <v>0.66666666666666663</v>
      </c>
      <c r="AB314" s="46">
        <f t="shared" si="71"/>
        <v>0.65925925925925921</v>
      </c>
      <c r="AC314" s="46">
        <f t="shared" si="72"/>
        <v>0.66666666666666663</v>
      </c>
      <c r="AD314" s="44" t="str">
        <f t="shared" si="73"/>
        <v>Over</v>
      </c>
      <c r="AE314" s="44" t="str">
        <f>IFERROR(VLOOKUP(A314,'[1]Re-order'!$A:$AA,27,0),"")</f>
        <v>Re-order</v>
      </c>
      <c r="AF314" s="46">
        <f t="shared" si="74"/>
        <v>-1.3333333333333335</v>
      </c>
      <c r="AG314" s="46">
        <f>SUMIFS('[1]Raw Inventory'!D:D,'[1]Raw Inventory'!C:C,"GREATWALL",'[1]Raw Inventory'!B:B,A314)</f>
        <v>28</v>
      </c>
      <c r="AH314" s="46">
        <f>SUMIFS('[1]Raw Inventory'!D:D,'[1]Raw Inventory'!C:C,"DUARTE",'[1]Raw Inventory'!B:B,A314)</f>
        <v>0</v>
      </c>
      <c r="AI314" s="46"/>
      <c r="AJ314" s="46"/>
      <c r="AK314" s="43"/>
      <c r="AL314" s="43"/>
      <c r="AM314" s="43"/>
      <c r="AN314" s="43"/>
      <c r="AO314" s="43"/>
      <c r="AP314" s="43"/>
      <c r="AQ314" s="43"/>
      <c r="AR314" s="43"/>
      <c r="AS314" s="43"/>
      <c r="AT314" s="43"/>
    </row>
    <row r="315" spans="1:46">
      <c r="A315" s="43" t="s">
        <v>49</v>
      </c>
      <c r="B315" s="43" t="s">
        <v>130</v>
      </c>
      <c r="C315" s="43" t="s">
        <v>128</v>
      </c>
      <c r="D315" s="44" t="s">
        <v>251</v>
      </c>
      <c r="E315" s="44">
        <v>8</v>
      </c>
      <c r="F315" s="44" t="s">
        <v>0</v>
      </c>
      <c r="G315" s="43" t="str">
        <f>IFERROR(VLOOKUP(A315,'[1]MC Masterlist 2026-09-12'!$B:$M, 3, 0),"")</f>
        <v>BAJAJ RE</v>
      </c>
      <c r="H315" s="45">
        <f>IFERROR(VLOOKUP(A315,'[1]MC Masterlist 2026-09-12'!$B:$M, 6, 0),"")</f>
        <v>191000</v>
      </c>
      <c r="I315" s="46">
        <v>2</v>
      </c>
      <c r="J315" s="46">
        <v>1</v>
      </c>
      <c r="K315" s="46">
        <v>0</v>
      </c>
      <c r="L315" s="46">
        <f t="shared" si="60"/>
        <v>3</v>
      </c>
      <c r="M315" s="46">
        <f t="shared" si="61"/>
        <v>1</v>
      </c>
      <c r="N315" s="45">
        <f t="shared" si="62"/>
        <v>573000</v>
      </c>
      <c r="O315" s="45">
        <f t="shared" si="63"/>
        <v>191000</v>
      </c>
      <c r="P315" s="46">
        <f t="shared" si="64"/>
        <v>3.3333333333333333E-2</v>
      </c>
      <c r="Q315" s="46">
        <v>1</v>
      </c>
      <c r="R315" s="45">
        <f t="shared" si="65"/>
        <v>191000</v>
      </c>
      <c r="S315" s="46">
        <f t="shared" si="66"/>
        <v>30</v>
      </c>
      <c r="T315" s="46">
        <f>IFERROR(VLOOKUP(A315,'[1]Re-order'!$A:$Q,17,0),"")</f>
        <v>21.516709511568124</v>
      </c>
      <c r="U315" s="46">
        <f>IFERROR(VLOOKUP(A315,'[1]MC Masterlist 2026-09-12'!$B:$M, 10, 0),0)</f>
        <v>15</v>
      </c>
      <c r="V315" s="46">
        <f>IFERROR(VLOOKUP(A315,'[1]MC Masterlist 2026-09-12'!$B:$M, 11, 0),0)</f>
        <v>15</v>
      </c>
      <c r="W315" s="46">
        <f t="shared" si="67"/>
        <v>30</v>
      </c>
      <c r="X315" s="46">
        <f t="shared" si="68"/>
        <v>29.5</v>
      </c>
      <c r="Y315" s="46">
        <f>IFERROR(IF(OR(C315="AREA I",C315="AREA V"),7,VLOOKUP(A315,'[1]MC Masterlist 2026-09-12'!$B:$M, 12, 0)),0)</f>
        <v>30</v>
      </c>
      <c r="Z315" s="46">
        <f t="shared" si="69"/>
        <v>0.5</v>
      </c>
      <c r="AA315" s="46">
        <f t="shared" si="70"/>
        <v>1</v>
      </c>
      <c r="AB315" s="46">
        <f t="shared" si="71"/>
        <v>0.98333333333333328</v>
      </c>
      <c r="AC315" s="46">
        <f t="shared" si="72"/>
        <v>1</v>
      </c>
      <c r="AD315" s="44" t="str">
        <f t="shared" si="73"/>
        <v>Re-order</v>
      </c>
      <c r="AE315" s="44" t="str">
        <f>IFERROR(VLOOKUP(A315,'[1]Re-order'!$A:$AA,27,0),"")</f>
        <v>Stockout</v>
      </c>
      <c r="AF315" s="46">
        <f t="shared" si="74"/>
        <v>0</v>
      </c>
      <c r="AG315" s="46">
        <f>SUMIFS('[1]Raw Inventory'!D:D,'[1]Raw Inventory'!C:C,"GREATWALL",'[1]Raw Inventory'!B:B,A315)</f>
        <v>0</v>
      </c>
      <c r="AH315" s="46">
        <f>SUMIFS('[1]Raw Inventory'!D:D,'[1]Raw Inventory'!C:C,"DUARTE",'[1]Raw Inventory'!B:B,A315)</f>
        <v>0</v>
      </c>
      <c r="AI315" s="46"/>
      <c r="AJ315" s="46"/>
      <c r="AK315" s="43"/>
      <c r="AL315" s="43"/>
      <c r="AM315" s="43"/>
      <c r="AN315" s="43"/>
      <c r="AO315" s="43"/>
      <c r="AP315" s="43"/>
      <c r="AQ315" s="43"/>
      <c r="AR315" s="43"/>
      <c r="AS315" s="43"/>
      <c r="AT315" s="43"/>
    </row>
    <row r="316" spans="1:46">
      <c r="A316" s="43" t="s">
        <v>24</v>
      </c>
      <c r="B316" s="43" t="s">
        <v>158</v>
      </c>
      <c r="C316" s="43" t="s">
        <v>152</v>
      </c>
      <c r="D316" s="44" t="s">
        <v>235</v>
      </c>
      <c r="E316" s="44">
        <v>25</v>
      </c>
      <c r="F316" s="44" t="s">
        <v>3</v>
      </c>
      <c r="G316" s="43" t="str">
        <f>IFERROR(VLOOKUP(A316,'[1]MC Masterlist 2026-09-12'!$B:$M, 3, 0),"")</f>
        <v>KAWASAKI</v>
      </c>
      <c r="H316" s="45">
        <f>IFERROR(VLOOKUP(A316,'[1]MC Masterlist 2026-09-12'!$B:$M, 6, 0),"")</f>
        <v>131626</v>
      </c>
      <c r="I316" s="46">
        <v>0</v>
      </c>
      <c r="J316" s="46">
        <v>0</v>
      </c>
      <c r="K316" s="46">
        <v>0</v>
      </c>
      <c r="L316" s="46">
        <f t="shared" si="60"/>
        <v>0</v>
      </c>
      <c r="M316" s="46">
        <f t="shared" si="61"/>
        <v>0</v>
      </c>
      <c r="N316" s="45">
        <f t="shared" si="62"/>
        <v>0</v>
      </c>
      <c r="O316" s="45">
        <f t="shared" si="63"/>
        <v>0</v>
      </c>
      <c r="P316" s="46">
        <f t="shared" si="64"/>
        <v>0</v>
      </c>
      <c r="Q316" s="46">
        <v>1</v>
      </c>
      <c r="R316" s="45">
        <f t="shared" si="65"/>
        <v>131626</v>
      </c>
      <c r="S316" s="46">
        <f t="shared" si="66"/>
        <v>0</v>
      </c>
      <c r="T316" s="46">
        <f>IFERROR(VLOOKUP(A316,'[1]Re-order'!$A:$Q,17,0),"")</f>
        <v>40.677966101694913</v>
      </c>
      <c r="U316" s="46">
        <f>IFERROR(VLOOKUP(A316,'[1]MC Masterlist 2026-09-12'!$B:$M, 10, 0),0)</f>
        <v>15</v>
      </c>
      <c r="V316" s="46">
        <f>IFERROR(VLOOKUP(A316,'[1]MC Masterlist 2026-09-12'!$B:$M, 11, 0),0)</f>
        <v>15</v>
      </c>
      <c r="W316" s="46">
        <f t="shared" si="67"/>
        <v>30</v>
      </c>
      <c r="X316" s="46">
        <f t="shared" si="68"/>
        <v>30</v>
      </c>
      <c r="Y316" s="46">
        <f>IFERROR(IF(OR(C316="AREA I",C316="AREA V"),7,VLOOKUP(A316,'[1]MC Masterlist 2026-09-12'!$B:$M, 12, 0)),0)</f>
        <v>30</v>
      </c>
      <c r="Z316" s="46">
        <f t="shared" si="69"/>
        <v>0</v>
      </c>
      <c r="AA316" s="46">
        <f t="shared" si="70"/>
        <v>0</v>
      </c>
      <c r="AB316" s="46">
        <f t="shared" si="71"/>
        <v>0</v>
      </c>
      <c r="AC316" s="46">
        <f t="shared" si="72"/>
        <v>0</v>
      </c>
      <c r="AD316" s="44" t="str">
        <f t="shared" si="73"/>
        <v>Over</v>
      </c>
      <c r="AE316" s="44" t="str">
        <f>IFERROR(VLOOKUP(A316,'[1]Re-order'!$A:$AA,27,0),"")</f>
        <v>Re-order</v>
      </c>
      <c r="AF316" s="46">
        <f t="shared" si="74"/>
        <v>-1</v>
      </c>
      <c r="AG316" s="46">
        <f>SUMIFS('[1]Raw Inventory'!D:D,'[1]Raw Inventory'!C:C,"GREATWALL",'[1]Raw Inventory'!B:B,A316)</f>
        <v>12</v>
      </c>
      <c r="AH316" s="46">
        <f>SUMIFS('[1]Raw Inventory'!D:D,'[1]Raw Inventory'!C:C,"DUARTE",'[1]Raw Inventory'!B:B,A316)</f>
        <v>0</v>
      </c>
      <c r="AI316" s="46"/>
      <c r="AJ316" s="46"/>
      <c r="AK316" s="43"/>
      <c r="AL316" s="43"/>
      <c r="AM316" s="43"/>
      <c r="AN316" s="43"/>
      <c r="AO316" s="43"/>
      <c r="AP316" s="43"/>
      <c r="AQ316" s="43"/>
      <c r="AR316" s="43"/>
      <c r="AS316" s="43"/>
      <c r="AT316" s="43"/>
    </row>
    <row r="317" spans="1:46">
      <c r="A317" s="43" t="s">
        <v>50</v>
      </c>
      <c r="B317" s="43" t="s">
        <v>153</v>
      </c>
      <c r="C317" s="43" t="s">
        <v>152</v>
      </c>
      <c r="D317" s="44" t="s">
        <v>268</v>
      </c>
      <c r="E317" s="44">
        <v>13</v>
      </c>
      <c r="F317" s="44" t="s">
        <v>3</v>
      </c>
      <c r="G317" s="43" t="str">
        <f>IFERROR(VLOOKUP(A317,'[1]MC Masterlist 2026-09-12'!$B:$M, 3, 0),"")</f>
        <v>YAMAHA</v>
      </c>
      <c r="H317" s="45">
        <f>IFERROR(VLOOKUP(A317,'[1]MC Masterlist 2026-09-12'!$B:$M, 6, 0),"")</f>
        <v>78957</v>
      </c>
      <c r="I317" s="46">
        <v>1</v>
      </c>
      <c r="J317" s="46">
        <v>0</v>
      </c>
      <c r="K317" s="46">
        <v>0</v>
      </c>
      <c r="L317" s="46">
        <f t="shared" si="60"/>
        <v>1</v>
      </c>
      <c r="M317" s="46">
        <f t="shared" si="61"/>
        <v>0.33333333333333331</v>
      </c>
      <c r="N317" s="45">
        <f t="shared" si="62"/>
        <v>78957</v>
      </c>
      <c r="O317" s="45">
        <f t="shared" si="63"/>
        <v>26319</v>
      </c>
      <c r="P317" s="46">
        <f t="shared" si="64"/>
        <v>1.111111111111111E-2</v>
      </c>
      <c r="Q317" s="46"/>
      <c r="R317" s="45">
        <f t="shared" si="65"/>
        <v>0</v>
      </c>
      <c r="S317" s="46">
        <f t="shared" si="66"/>
        <v>0</v>
      </c>
      <c r="T317" s="46">
        <f>IFERROR(VLOOKUP(A317,'[1]Re-order'!$A:$Q,17,0),"")</f>
        <v>118.125</v>
      </c>
      <c r="U317" s="46">
        <f>IFERROR(VLOOKUP(A317,'[1]MC Masterlist 2026-09-12'!$B:$M, 10, 0),0)</f>
        <v>15</v>
      </c>
      <c r="V317" s="46">
        <f>IFERROR(VLOOKUP(A317,'[1]MC Masterlist 2026-09-12'!$B:$M, 11, 0),0)</f>
        <v>15</v>
      </c>
      <c r="W317" s="46">
        <f t="shared" si="67"/>
        <v>30</v>
      </c>
      <c r="X317" s="46">
        <f t="shared" si="68"/>
        <v>29.833333333333332</v>
      </c>
      <c r="Y317" s="46">
        <f>IFERROR(IF(OR(C317="AREA I",C317="AREA V"),7,VLOOKUP(A317,'[1]MC Masterlist 2026-09-12'!$B:$M, 12, 0)),0)</f>
        <v>30</v>
      </c>
      <c r="Z317" s="46">
        <f t="shared" si="69"/>
        <v>0.16666666666666666</v>
      </c>
      <c r="AA317" s="46">
        <f t="shared" si="70"/>
        <v>0.33333333333333331</v>
      </c>
      <c r="AB317" s="46">
        <f t="shared" si="71"/>
        <v>0.33148148148148143</v>
      </c>
      <c r="AC317" s="46">
        <f t="shared" si="72"/>
        <v>0.33333333333333331</v>
      </c>
      <c r="AD317" s="44" t="str">
        <f t="shared" si="73"/>
        <v>Stockout</v>
      </c>
      <c r="AE317" s="44" t="str">
        <f>IFERROR(VLOOKUP(A317,'[1]Re-order'!$A:$AA,27,0),"")</f>
        <v>Over</v>
      </c>
      <c r="AF317" s="46">
        <f t="shared" si="74"/>
        <v>0.33333333333333331</v>
      </c>
      <c r="AG317" s="46">
        <f>SUMIFS('[1]Raw Inventory'!D:D,'[1]Raw Inventory'!C:C,"GREATWALL",'[1]Raw Inventory'!B:B,A317)</f>
        <v>23</v>
      </c>
      <c r="AH317" s="46">
        <f>SUMIFS('[1]Raw Inventory'!D:D,'[1]Raw Inventory'!C:C,"DUARTE",'[1]Raw Inventory'!B:B,A317)</f>
        <v>0</v>
      </c>
      <c r="AI317" s="46"/>
      <c r="AJ317" s="46"/>
      <c r="AK317" s="43"/>
      <c r="AL317" s="43"/>
      <c r="AM317" s="43"/>
      <c r="AN317" s="43"/>
      <c r="AO317" s="43"/>
      <c r="AP317" s="43"/>
      <c r="AQ317" s="43"/>
      <c r="AR317" s="43"/>
      <c r="AS317" s="43"/>
      <c r="AT317" s="43"/>
    </row>
    <row r="318" spans="1:46">
      <c r="A318" s="43" t="s">
        <v>24</v>
      </c>
      <c r="B318" s="43" t="s">
        <v>132</v>
      </c>
      <c r="C318" s="43" t="s">
        <v>128</v>
      </c>
      <c r="D318" s="44" t="s">
        <v>255</v>
      </c>
      <c r="E318" s="44">
        <v>14</v>
      </c>
      <c r="F318" s="44" t="s">
        <v>2</v>
      </c>
      <c r="G318" s="43" t="str">
        <f>IFERROR(VLOOKUP(A318,'[1]MC Masterlist 2026-09-12'!$B:$M, 3, 0),"")</f>
        <v>KAWASAKI</v>
      </c>
      <c r="H318" s="45">
        <f>IFERROR(VLOOKUP(A318,'[1]MC Masterlist 2026-09-12'!$B:$M, 6, 0),"")</f>
        <v>131626</v>
      </c>
      <c r="I318" s="46">
        <v>2</v>
      </c>
      <c r="J318" s="46">
        <v>1</v>
      </c>
      <c r="K318" s="46">
        <v>0</v>
      </c>
      <c r="L318" s="46">
        <f t="shared" si="60"/>
        <v>3</v>
      </c>
      <c r="M318" s="46">
        <f t="shared" si="61"/>
        <v>1</v>
      </c>
      <c r="N318" s="45">
        <f t="shared" si="62"/>
        <v>394878</v>
      </c>
      <c r="O318" s="45">
        <f t="shared" si="63"/>
        <v>131626</v>
      </c>
      <c r="P318" s="46">
        <f t="shared" si="64"/>
        <v>3.3333333333333333E-2</v>
      </c>
      <c r="Q318" s="46">
        <v>3</v>
      </c>
      <c r="R318" s="45">
        <f t="shared" si="65"/>
        <v>394878</v>
      </c>
      <c r="S318" s="46">
        <f t="shared" si="66"/>
        <v>90</v>
      </c>
      <c r="T318" s="46">
        <f>IFERROR(VLOOKUP(A318,'[1]Re-order'!$A:$Q,17,0),"")</f>
        <v>40.677966101694913</v>
      </c>
      <c r="U318" s="46">
        <f>IFERROR(VLOOKUP(A318,'[1]MC Masterlist 2026-09-12'!$B:$M, 10, 0),0)</f>
        <v>15</v>
      </c>
      <c r="V318" s="46">
        <f>IFERROR(VLOOKUP(A318,'[1]MC Masterlist 2026-09-12'!$B:$M, 11, 0),0)</f>
        <v>15</v>
      </c>
      <c r="W318" s="46">
        <f t="shared" si="67"/>
        <v>30</v>
      </c>
      <c r="X318" s="46">
        <f t="shared" si="68"/>
        <v>29.5</v>
      </c>
      <c r="Y318" s="46">
        <f>IFERROR(IF(OR(C318="AREA I",C318="AREA V"),7,VLOOKUP(A318,'[1]MC Masterlist 2026-09-12'!$B:$M, 12, 0)),0)</f>
        <v>30</v>
      </c>
      <c r="Z318" s="46">
        <f t="shared" si="69"/>
        <v>0.5</v>
      </c>
      <c r="AA318" s="46">
        <f t="shared" si="70"/>
        <v>1</v>
      </c>
      <c r="AB318" s="46">
        <f t="shared" si="71"/>
        <v>0.98333333333333328</v>
      </c>
      <c r="AC318" s="46">
        <f t="shared" si="72"/>
        <v>1</v>
      </c>
      <c r="AD318" s="44" t="str">
        <f t="shared" si="73"/>
        <v>Over</v>
      </c>
      <c r="AE318" s="44" t="str">
        <f>IFERROR(VLOOKUP(A318,'[1]Re-order'!$A:$AA,27,0),"")</f>
        <v>Re-order</v>
      </c>
      <c r="AF318" s="46">
        <f t="shared" si="74"/>
        <v>-2</v>
      </c>
      <c r="AG318" s="46">
        <f>SUMIFS('[1]Raw Inventory'!D:D,'[1]Raw Inventory'!C:C,"GREATWALL",'[1]Raw Inventory'!B:B,A318)</f>
        <v>12</v>
      </c>
      <c r="AH318" s="46">
        <f>SUMIFS('[1]Raw Inventory'!D:D,'[1]Raw Inventory'!C:C,"DUARTE",'[1]Raw Inventory'!B:B,A318)</f>
        <v>0</v>
      </c>
      <c r="AI318" s="46"/>
      <c r="AJ318" s="46"/>
      <c r="AK318" s="43"/>
      <c r="AL318" s="43"/>
      <c r="AM318" s="43"/>
      <c r="AN318" s="43"/>
      <c r="AO318" s="43"/>
      <c r="AP318" s="43"/>
      <c r="AQ318" s="43"/>
      <c r="AR318" s="43"/>
      <c r="AS318" s="43"/>
      <c r="AT318" s="43"/>
    </row>
    <row r="319" spans="1:46">
      <c r="A319" s="43" t="s">
        <v>82</v>
      </c>
      <c r="B319" s="43" t="s">
        <v>123</v>
      </c>
      <c r="C319" s="43" t="s">
        <v>118</v>
      </c>
      <c r="D319" s="44" t="s">
        <v>243</v>
      </c>
      <c r="E319" s="44">
        <v>16</v>
      </c>
      <c r="F319" s="44" t="s">
        <v>2</v>
      </c>
      <c r="G319" s="43" t="str">
        <f>IFERROR(VLOOKUP(A319,'[1]MC Masterlist 2026-09-12'!$B:$M, 3, 0),"")</f>
        <v>SUZUKI</v>
      </c>
      <c r="H319" s="45">
        <f>IFERROR(VLOOKUP(A319,'[1]MC Masterlist 2026-09-12'!$B:$M, 6, 0),"")</f>
        <v>67342</v>
      </c>
      <c r="I319" s="46">
        <v>0</v>
      </c>
      <c r="J319" s="46">
        <v>2</v>
      </c>
      <c r="K319" s="46">
        <v>0</v>
      </c>
      <c r="L319" s="46">
        <f t="shared" si="60"/>
        <v>2</v>
      </c>
      <c r="M319" s="46">
        <f t="shared" si="61"/>
        <v>0.66666666666666663</v>
      </c>
      <c r="N319" s="45">
        <f t="shared" si="62"/>
        <v>134684</v>
      </c>
      <c r="O319" s="45">
        <f t="shared" si="63"/>
        <v>44894.666666666664</v>
      </c>
      <c r="P319" s="46">
        <f t="shared" si="64"/>
        <v>2.222222222222222E-2</v>
      </c>
      <c r="Q319" s="46">
        <v>1</v>
      </c>
      <c r="R319" s="45">
        <f t="shared" si="65"/>
        <v>67342</v>
      </c>
      <c r="S319" s="46">
        <f t="shared" si="66"/>
        <v>45</v>
      </c>
      <c r="T319" s="46">
        <f>IFERROR(VLOOKUP(A319,'[1]Re-order'!$A:$Q,17,0),"")</f>
        <v>64.8</v>
      </c>
      <c r="U319" s="46">
        <f>IFERROR(VLOOKUP(A319,'[1]MC Masterlist 2026-09-12'!$B:$M, 10, 0),0)</f>
        <v>15</v>
      </c>
      <c r="V319" s="46">
        <f>IFERROR(VLOOKUP(A319,'[1]MC Masterlist 2026-09-12'!$B:$M, 11, 0),0)</f>
        <v>15</v>
      </c>
      <c r="W319" s="46">
        <f t="shared" si="67"/>
        <v>30</v>
      </c>
      <c r="X319" s="46">
        <f t="shared" si="68"/>
        <v>29.666666666666668</v>
      </c>
      <c r="Y319" s="46">
        <f>IFERROR(IF(OR(C319="AREA I",C319="AREA V"),7,VLOOKUP(A319,'[1]MC Masterlist 2026-09-12'!$B:$M, 12, 0)),0)</f>
        <v>30</v>
      </c>
      <c r="Z319" s="46">
        <f t="shared" si="69"/>
        <v>0.33333333333333331</v>
      </c>
      <c r="AA319" s="46">
        <f t="shared" si="70"/>
        <v>0.66666666666666663</v>
      </c>
      <c r="AB319" s="46">
        <f t="shared" si="71"/>
        <v>0.65925925925925921</v>
      </c>
      <c r="AC319" s="46">
        <f t="shared" si="72"/>
        <v>0.66666666666666663</v>
      </c>
      <c r="AD319" s="44" t="str">
        <f t="shared" si="73"/>
        <v>Over</v>
      </c>
      <c r="AE319" s="44" t="str">
        <f>IFERROR(VLOOKUP(A319,'[1]Re-order'!$A:$AA,27,0),"")</f>
        <v>Re-order</v>
      </c>
      <c r="AF319" s="46">
        <f t="shared" si="74"/>
        <v>-0.33333333333333337</v>
      </c>
      <c r="AG319" s="46">
        <f>SUMIFS('[1]Raw Inventory'!D:D,'[1]Raw Inventory'!C:C,"GREATWALL",'[1]Raw Inventory'!B:B,A319)</f>
        <v>1</v>
      </c>
      <c r="AH319" s="46">
        <f>SUMIFS('[1]Raw Inventory'!D:D,'[1]Raw Inventory'!C:C,"DUARTE",'[1]Raw Inventory'!B:B,A319)</f>
        <v>0</v>
      </c>
      <c r="AI319" s="46"/>
      <c r="AJ319" s="46"/>
      <c r="AK319" s="43"/>
      <c r="AL319" s="43"/>
      <c r="AM319" s="43"/>
      <c r="AN319" s="43"/>
      <c r="AO319" s="43"/>
      <c r="AP319" s="43"/>
      <c r="AQ319" s="43"/>
      <c r="AR319" s="43"/>
      <c r="AS319" s="43"/>
      <c r="AT319" s="43"/>
    </row>
    <row r="320" spans="1:46">
      <c r="A320" s="43" t="s">
        <v>104</v>
      </c>
      <c r="B320" s="43" t="s">
        <v>141</v>
      </c>
      <c r="C320" s="43" t="s">
        <v>137</v>
      </c>
      <c r="D320" s="44" t="s">
        <v>226</v>
      </c>
      <c r="E320" s="44">
        <v>28</v>
      </c>
      <c r="F320" s="44" t="s">
        <v>3</v>
      </c>
      <c r="G320" s="43" t="str">
        <f>IFERROR(VLOOKUP(A320,'[1]MC Masterlist 2026-09-12'!$B:$M, 3, 0),"")</f>
        <v>SUZUKI</v>
      </c>
      <c r="H320" s="45">
        <f>IFERROR(VLOOKUP(A320,'[1]MC Masterlist 2026-09-12'!$B:$M, 6, 0),"")</f>
        <v>71062</v>
      </c>
      <c r="I320" s="46">
        <v>0</v>
      </c>
      <c r="J320" s="46">
        <v>0</v>
      </c>
      <c r="K320" s="46">
        <v>0</v>
      </c>
      <c r="L320" s="46">
        <f t="shared" si="60"/>
        <v>0</v>
      </c>
      <c r="M320" s="46">
        <f t="shared" si="61"/>
        <v>0</v>
      </c>
      <c r="N320" s="45">
        <f t="shared" si="62"/>
        <v>0</v>
      </c>
      <c r="O320" s="45">
        <f t="shared" si="63"/>
        <v>0</v>
      </c>
      <c r="P320" s="46">
        <f t="shared" si="64"/>
        <v>0</v>
      </c>
      <c r="Q320" s="46">
        <v>3</v>
      </c>
      <c r="R320" s="45">
        <f t="shared" si="65"/>
        <v>213186</v>
      </c>
      <c r="S320" s="46">
        <f t="shared" si="66"/>
        <v>0</v>
      </c>
      <c r="T320" s="46">
        <f>IFERROR(VLOOKUP(A320,'[1]Re-order'!$A:$Q,17,0),"")</f>
        <v>225</v>
      </c>
      <c r="U320" s="46">
        <f>IFERROR(VLOOKUP(A320,'[1]MC Masterlist 2026-09-12'!$B:$M, 10, 0),0)</f>
        <v>15</v>
      </c>
      <c r="V320" s="46">
        <f>IFERROR(VLOOKUP(A320,'[1]MC Masterlist 2026-09-12'!$B:$M, 11, 0),0)</f>
        <v>15</v>
      </c>
      <c r="W320" s="46">
        <f t="shared" si="67"/>
        <v>30</v>
      </c>
      <c r="X320" s="46">
        <f t="shared" si="68"/>
        <v>7</v>
      </c>
      <c r="Y320" s="46">
        <f>IFERROR(IF(OR(C320="AREA I",C320="AREA V"),7,VLOOKUP(A320,'[1]MC Masterlist 2026-09-12'!$B:$M, 12, 0)),0)</f>
        <v>7</v>
      </c>
      <c r="Z320" s="46">
        <f t="shared" si="69"/>
        <v>0</v>
      </c>
      <c r="AA320" s="46">
        <f t="shared" si="70"/>
        <v>0</v>
      </c>
      <c r="AB320" s="46">
        <f t="shared" si="71"/>
        <v>0</v>
      </c>
      <c r="AC320" s="46">
        <f t="shared" si="72"/>
        <v>0</v>
      </c>
      <c r="AD320" s="44" t="str">
        <f t="shared" si="73"/>
        <v>Over</v>
      </c>
      <c r="AE320" s="44" t="str">
        <f>IFERROR(VLOOKUP(A320,'[1]Re-order'!$A:$AA,27,0),"")</f>
        <v>Over</v>
      </c>
      <c r="AF320" s="46">
        <f t="shared" si="74"/>
        <v>-3</v>
      </c>
      <c r="AG320" s="46">
        <f>SUMIFS('[1]Raw Inventory'!D:D,'[1]Raw Inventory'!C:C,"GREATWALL",'[1]Raw Inventory'!B:B,A320)</f>
        <v>0</v>
      </c>
      <c r="AH320" s="46">
        <f>SUMIFS('[1]Raw Inventory'!D:D,'[1]Raw Inventory'!C:C,"DUARTE",'[1]Raw Inventory'!B:B,A320)</f>
        <v>0</v>
      </c>
      <c r="AI320" s="46"/>
      <c r="AJ320" s="46"/>
      <c r="AK320" s="43"/>
      <c r="AL320" s="43"/>
      <c r="AM320" s="43"/>
      <c r="AN320" s="43"/>
      <c r="AO320" s="43"/>
      <c r="AP320" s="43"/>
      <c r="AQ320" s="43"/>
      <c r="AR320" s="43"/>
      <c r="AS320" s="43"/>
      <c r="AT320" s="43"/>
    </row>
    <row r="321" spans="1:46">
      <c r="A321" s="43" t="s">
        <v>23</v>
      </c>
      <c r="B321" s="43" t="s">
        <v>121</v>
      </c>
      <c r="C321" s="43" t="s">
        <v>118</v>
      </c>
      <c r="D321" s="44" t="s">
        <v>234</v>
      </c>
      <c r="E321" s="44">
        <v>4</v>
      </c>
      <c r="F321" s="44" t="s">
        <v>0</v>
      </c>
      <c r="G321" s="43" t="str">
        <f>IFERROR(VLOOKUP(A321,'[1]MC Masterlist 2026-09-12'!$B:$M, 3, 0),"")</f>
        <v>KAWASAKI</v>
      </c>
      <c r="H321" s="45">
        <f>IFERROR(VLOOKUP(A321,'[1]MC Masterlist 2026-09-12'!$B:$M, 6, 0),"")</f>
        <v>60656</v>
      </c>
      <c r="I321" s="46">
        <v>7</v>
      </c>
      <c r="J321" s="46">
        <v>6</v>
      </c>
      <c r="K321" s="46">
        <v>5</v>
      </c>
      <c r="L321" s="46">
        <f t="shared" si="60"/>
        <v>18</v>
      </c>
      <c r="M321" s="46">
        <f t="shared" si="61"/>
        <v>6</v>
      </c>
      <c r="N321" s="45">
        <f t="shared" si="62"/>
        <v>1091808</v>
      </c>
      <c r="O321" s="45">
        <f t="shared" si="63"/>
        <v>363936</v>
      </c>
      <c r="P321" s="46">
        <f t="shared" si="64"/>
        <v>0.2</v>
      </c>
      <c r="Q321" s="46">
        <v>8</v>
      </c>
      <c r="R321" s="45">
        <f t="shared" si="65"/>
        <v>485248</v>
      </c>
      <c r="S321" s="46">
        <f t="shared" si="66"/>
        <v>40</v>
      </c>
      <c r="T321" s="46">
        <f>IFERROR(VLOOKUP(A321,'[1]Re-order'!$A:$Q,17,0),"")</f>
        <v>53.973412112259979</v>
      </c>
      <c r="U321" s="46">
        <f>IFERROR(VLOOKUP(A321,'[1]MC Masterlist 2026-09-12'!$B:$M, 10, 0),0)</f>
        <v>15</v>
      </c>
      <c r="V321" s="46">
        <f>IFERROR(VLOOKUP(A321,'[1]MC Masterlist 2026-09-12'!$B:$M, 11, 0),0)</f>
        <v>15</v>
      </c>
      <c r="W321" s="46">
        <f t="shared" si="67"/>
        <v>30</v>
      </c>
      <c r="X321" s="46">
        <f t="shared" si="68"/>
        <v>27</v>
      </c>
      <c r="Y321" s="46">
        <f>IFERROR(IF(OR(C321="AREA I",C321="AREA V"),7,VLOOKUP(A321,'[1]MC Masterlist 2026-09-12'!$B:$M, 12, 0)),0)</f>
        <v>30</v>
      </c>
      <c r="Z321" s="46">
        <f t="shared" si="69"/>
        <v>3</v>
      </c>
      <c r="AA321" s="46">
        <f t="shared" si="70"/>
        <v>6</v>
      </c>
      <c r="AB321" s="46">
        <f t="shared" si="71"/>
        <v>5.4</v>
      </c>
      <c r="AC321" s="46">
        <f t="shared" si="72"/>
        <v>6</v>
      </c>
      <c r="AD321" s="44" t="str">
        <f t="shared" si="73"/>
        <v>Over</v>
      </c>
      <c r="AE321" s="44" t="str">
        <f>IFERROR(VLOOKUP(A321,'[1]Re-order'!$A:$AA,27,0),"")</f>
        <v>Re-order</v>
      </c>
      <c r="AF321" s="46">
        <f t="shared" si="74"/>
        <v>-2</v>
      </c>
      <c r="AG321" s="46">
        <f>SUMIFS('[1]Raw Inventory'!D:D,'[1]Raw Inventory'!C:C,"GREATWALL",'[1]Raw Inventory'!B:B,A321)</f>
        <v>282</v>
      </c>
      <c r="AH321" s="46">
        <f>SUMIFS('[1]Raw Inventory'!D:D,'[1]Raw Inventory'!C:C,"DUARTE",'[1]Raw Inventory'!B:B,A321)</f>
        <v>0</v>
      </c>
      <c r="AI321" s="46"/>
      <c r="AJ321" s="46"/>
      <c r="AK321" s="43"/>
      <c r="AL321" s="43"/>
      <c r="AM321" s="43"/>
      <c r="AN321" s="43"/>
      <c r="AO321" s="43"/>
      <c r="AP321" s="43"/>
      <c r="AQ321" s="43"/>
      <c r="AR321" s="43"/>
      <c r="AS321" s="43"/>
      <c r="AT321" s="43"/>
    </row>
    <row r="322" spans="1:46">
      <c r="A322" s="43" t="s">
        <v>53</v>
      </c>
      <c r="B322" s="43" t="s">
        <v>113</v>
      </c>
      <c r="C322" s="43" t="s">
        <v>109</v>
      </c>
      <c r="D322" s="44" t="s">
        <v>241</v>
      </c>
      <c r="E322" s="44">
        <v>24</v>
      </c>
      <c r="F322" s="44" t="s">
        <v>3</v>
      </c>
      <c r="G322" s="43" t="str">
        <f>IFERROR(VLOOKUP(A322,'[1]MC Masterlist 2026-09-12'!$B:$M, 3, 0),"")</f>
        <v>HONDA</v>
      </c>
      <c r="H322" s="45">
        <f>IFERROR(VLOOKUP(A322,'[1]MC Masterlist 2026-09-12'!$B:$M, 6, 0),"")</f>
        <v>118838</v>
      </c>
      <c r="I322" s="46">
        <v>0</v>
      </c>
      <c r="J322" s="46">
        <v>0</v>
      </c>
      <c r="K322" s="46">
        <v>1</v>
      </c>
      <c r="L322" s="46">
        <f t="shared" si="60"/>
        <v>1</v>
      </c>
      <c r="M322" s="46">
        <f t="shared" si="61"/>
        <v>0.33333333333333331</v>
      </c>
      <c r="N322" s="45">
        <f t="shared" si="62"/>
        <v>118838</v>
      </c>
      <c r="O322" s="45">
        <f t="shared" si="63"/>
        <v>39612.666666666664</v>
      </c>
      <c r="P322" s="46">
        <f t="shared" si="64"/>
        <v>1.111111111111111E-2</v>
      </c>
      <c r="Q322" s="46"/>
      <c r="R322" s="45">
        <f t="shared" si="65"/>
        <v>0</v>
      </c>
      <c r="S322" s="46">
        <f t="shared" si="66"/>
        <v>0</v>
      </c>
      <c r="T322" s="46">
        <f>IFERROR(VLOOKUP(A322,'[1]Re-order'!$A:$Q,17,0),"")</f>
        <v>360</v>
      </c>
      <c r="U322" s="46">
        <f>IFERROR(VLOOKUP(A322,'[1]MC Masterlist 2026-09-12'!$B:$M, 10, 0),0)</f>
        <v>15</v>
      </c>
      <c r="V322" s="46">
        <f>IFERROR(VLOOKUP(A322,'[1]MC Masterlist 2026-09-12'!$B:$M, 11, 0),0)</f>
        <v>15</v>
      </c>
      <c r="W322" s="46">
        <f t="shared" si="67"/>
        <v>30</v>
      </c>
      <c r="X322" s="46">
        <f t="shared" si="68"/>
        <v>29.833333333333332</v>
      </c>
      <c r="Y322" s="46">
        <f>IFERROR(IF(OR(C322="AREA I",C322="AREA V"),7,VLOOKUP(A322,'[1]MC Masterlist 2026-09-12'!$B:$M, 12, 0)),0)</f>
        <v>30</v>
      </c>
      <c r="Z322" s="46">
        <f t="shared" si="69"/>
        <v>0.16666666666666666</v>
      </c>
      <c r="AA322" s="46">
        <f t="shared" si="70"/>
        <v>0.33333333333333331</v>
      </c>
      <c r="AB322" s="46">
        <f t="shared" si="71"/>
        <v>0.33148148148148143</v>
      </c>
      <c r="AC322" s="46">
        <f t="shared" si="72"/>
        <v>0.33333333333333331</v>
      </c>
      <c r="AD322" s="44" t="str">
        <f t="shared" si="73"/>
        <v>Stockout</v>
      </c>
      <c r="AE322" s="44" t="str">
        <f>IFERROR(VLOOKUP(A322,'[1]Re-order'!$A:$AA,27,0),"")</f>
        <v>Over</v>
      </c>
      <c r="AF322" s="46">
        <f t="shared" si="74"/>
        <v>0.33333333333333331</v>
      </c>
      <c r="AG322" s="46">
        <f>SUMIFS('[1]Raw Inventory'!D:D,'[1]Raw Inventory'!C:C,"GREATWALL",'[1]Raw Inventory'!B:B,A322)</f>
        <v>0</v>
      </c>
      <c r="AH322" s="46">
        <f>SUMIFS('[1]Raw Inventory'!D:D,'[1]Raw Inventory'!C:C,"DUARTE",'[1]Raw Inventory'!B:B,A322)</f>
        <v>0</v>
      </c>
      <c r="AI322" s="46"/>
      <c r="AJ322" s="46"/>
      <c r="AK322" s="43"/>
      <c r="AL322" s="43"/>
      <c r="AM322" s="43"/>
      <c r="AN322" s="43"/>
      <c r="AO322" s="43"/>
      <c r="AP322" s="43"/>
      <c r="AQ322" s="43"/>
      <c r="AR322" s="43"/>
      <c r="AS322" s="43"/>
      <c r="AT322" s="43"/>
    </row>
    <row r="323" spans="1:46">
      <c r="A323" s="43" t="s">
        <v>17</v>
      </c>
      <c r="B323" s="43" t="s">
        <v>5</v>
      </c>
      <c r="C323" s="43" t="s">
        <v>118</v>
      </c>
      <c r="D323" s="44" t="s">
        <v>226</v>
      </c>
      <c r="E323" s="44">
        <v>23</v>
      </c>
      <c r="F323" s="44" t="s">
        <v>3</v>
      </c>
      <c r="G323" s="43" t="str">
        <f>IFERROR(VLOOKUP(A323,'[1]MC Masterlist 2026-09-12'!$B:$M, 3, 0),"")</f>
        <v>HONDA</v>
      </c>
      <c r="H323" s="45">
        <f>IFERROR(VLOOKUP(A323,'[1]MC Masterlist 2026-09-12'!$B:$M, 6, 0),"")</f>
        <v>140790</v>
      </c>
      <c r="I323" s="46">
        <v>0</v>
      </c>
      <c r="J323" s="46">
        <v>0</v>
      </c>
      <c r="K323" s="46">
        <v>0</v>
      </c>
      <c r="L323" s="46">
        <f t="shared" ref="L323:L386" si="75">I323+J323+K323</f>
        <v>0</v>
      </c>
      <c r="M323" s="46">
        <f t="shared" ref="M323:M386" si="76">AVERAGE(I323,J323,K323)</f>
        <v>0</v>
      </c>
      <c r="N323" s="45">
        <f t="shared" ref="N323:N386" si="77">L323*H323</f>
        <v>0</v>
      </c>
      <c r="O323" s="45">
        <f t="shared" ref="O323:O386" si="78">M323*H323</f>
        <v>0</v>
      </c>
      <c r="P323" s="46">
        <f t="shared" ref="P323:P386" si="79">M323/30</f>
        <v>0</v>
      </c>
      <c r="Q323" s="46">
        <v>2</v>
      </c>
      <c r="R323" s="45">
        <f t="shared" ref="R323:R386" si="80">IFERROR(Q323*H323, 0)</f>
        <v>281580</v>
      </c>
      <c r="S323" s="46">
        <f t="shared" ref="S323:S386" si="81">IFERROR(R323/(O323)*30, 0)</f>
        <v>0</v>
      </c>
      <c r="T323" s="46">
        <f>IFERROR(VLOOKUP(A323,'[1]Re-order'!$A:$Q,17,0),"")</f>
        <v>43.663366336633665</v>
      </c>
      <c r="U323" s="46">
        <f>IFERROR(VLOOKUP(A323,'[1]MC Masterlist 2026-09-12'!$B:$M, 10, 0),0)</f>
        <v>15</v>
      </c>
      <c r="V323" s="46">
        <f>IFERROR(VLOOKUP(A323,'[1]MC Masterlist 2026-09-12'!$B:$M, 11, 0),0)</f>
        <v>15</v>
      </c>
      <c r="W323" s="46">
        <f t="shared" ref="W323:W386" si="82">U323+V323</f>
        <v>30</v>
      </c>
      <c r="X323" s="46">
        <f t="shared" ref="X323:X386" si="83">Y323-Z323</f>
        <v>30</v>
      </c>
      <c r="Y323" s="46">
        <f>IFERROR(IF(OR(C323="AREA I",C323="AREA V"),7,VLOOKUP(A323,'[1]MC Masterlist 2026-09-12'!$B:$M, 12, 0)),0)</f>
        <v>30</v>
      </c>
      <c r="Z323" s="46">
        <f t="shared" ref="Z323:Z386" si="84">V323*P323</f>
        <v>0</v>
      </c>
      <c r="AA323" s="46">
        <f t="shared" ref="AA323:AA386" si="85">W323*P323</f>
        <v>0</v>
      </c>
      <c r="AB323" s="46">
        <f t="shared" ref="AB323:AB386" si="86">X323*P323</f>
        <v>0</v>
      </c>
      <c r="AC323" s="46">
        <f t="shared" ref="AC323:AC386" si="87">Y323*P323</f>
        <v>0</v>
      </c>
      <c r="AD323" s="44" t="str">
        <f t="shared" ref="AD323:AD386" si="88">IFERROR(IF(Q323&gt;AC323, "Over", IF(Q323&lt;=Z323, "Stockout", IF(Q323&lt;=AA323, "Re-order",""))), "")</f>
        <v>Over</v>
      </c>
      <c r="AE323" s="44" t="str">
        <f>IFERROR(VLOOKUP(A323,'[1]Re-order'!$A:$AA,27,0),"")</f>
        <v>Re-order</v>
      </c>
      <c r="AF323" s="46">
        <f t="shared" ref="AF323:AF386" si="89">AC323-Q323</f>
        <v>-2</v>
      </c>
      <c r="AG323" s="46">
        <f>SUMIFS('[1]Raw Inventory'!D:D,'[1]Raw Inventory'!C:C,"GREATWALL",'[1]Raw Inventory'!B:B,A323)</f>
        <v>12</v>
      </c>
      <c r="AH323" s="46">
        <f>SUMIFS('[1]Raw Inventory'!D:D,'[1]Raw Inventory'!C:C,"DUARTE",'[1]Raw Inventory'!B:B,A323)</f>
        <v>0</v>
      </c>
      <c r="AI323" s="46"/>
      <c r="AJ323" s="46"/>
      <c r="AK323" s="43"/>
      <c r="AL323" s="43"/>
      <c r="AM323" s="43"/>
      <c r="AN323" s="43"/>
      <c r="AO323" s="43"/>
      <c r="AP323" s="43"/>
      <c r="AQ323" s="43"/>
      <c r="AR323" s="43"/>
      <c r="AS323" s="43"/>
      <c r="AT323" s="43"/>
    </row>
    <row r="324" spans="1:46">
      <c r="A324" s="43" t="s">
        <v>28</v>
      </c>
      <c r="B324" s="43" t="s">
        <v>110</v>
      </c>
      <c r="C324" s="43" t="s">
        <v>109</v>
      </c>
      <c r="D324" s="44" t="s">
        <v>234</v>
      </c>
      <c r="E324" s="44">
        <v>4</v>
      </c>
      <c r="F324" s="44" t="s">
        <v>0</v>
      </c>
      <c r="G324" s="43" t="str">
        <f>IFERROR(VLOOKUP(A324,'[1]MC Masterlist 2026-09-12'!$B:$M, 3, 0),"")</f>
        <v>YAMAHA</v>
      </c>
      <c r="H324" s="45">
        <f>IFERROR(VLOOKUP(A324,'[1]MC Masterlist 2026-09-12'!$B:$M, 6, 0),"")</f>
        <v>147312</v>
      </c>
      <c r="I324" s="46">
        <v>3</v>
      </c>
      <c r="J324" s="46">
        <v>2</v>
      </c>
      <c r="K324" s="46">
        <v>2</v>
      </c>
      <c r="L324" s="46">
        <f t="shared" si="75"/>
        <v>7</v>
      </c>
      <c r="M324" s="46">
        <f t="shared" si="76"/>
        <v>2.3333333333333335</v>
      </c>
      <c r="N324" s="45">
        <f t="shared" si="77"/>
        <v>1031184</v>
      </c>
      <c r="O324" s="45">
        <f t="shared" si="78"/>
        <v>343728</v>
      </c>
      <c r="P324" s="46">
        <f t="shared" si="79"/>
        <v>7.7777777777777779E-2</v>
      </c>
      <c r="Q324" s="46"/>
      <c r="R324" s="45">
        <f t="shared" si="80"/>
        <v>0</v>
      </c>
      <c r="S324" s="46">
        <f t="shared" si="81"/>
        <v>0</v>
      </c>
      <c r="T324" s="46">
        <f>IFERROR(VLOOKUP(A324,'[1]Re-order'!$A:$Q,17,0),"")</f>
        <v>8.2417582417582427</v>
      </c>
      <c r="U324" s="46">
        <f>IFERROR(VLOOKUP(A324,'[1]MC Masterlist 2026-09-12'!$B:$M, 10, 0),0)</f>
        <v>15</v>
      </c>
      <c r="V324" s="46">
        <f>IFERROR(VLOOKUP(A324,'[1]MC Masterlist 2026-09-12'!$B:$M, 11, 0),0)</f>
        <v>15</v>
      </c>
      <c r="W324" s="46">
        <f t="shared" si="82"/>
        <v>30</v>
      </c>
      <c r="X324" s="46">
        <f t="shared" si="83"/>
        <v>28.833333333333332</v>
      </c>
      <c r="Y324" s="46">
        <f>IFERROR(IF(OR(C324="AREA I",C324="AREA V"),7,VLOOKUP(A324,'[1]MC Masterlist 2026-09-12'!$B:$M, 12, 0)),0)</f>
        <v>30</v>
      </c>
      <c r="Z324" s="46">
        <f t="shared" si="84"/>
        <v>1.1666666666666667</v>
      </c>
      <c r="AA324" s="46">
        <f t="shared" si="85"/>
        <v>2.3333333333333335</v>
      </c>
      <c r="AB324" s="46">
        <f t="shared" si="86"/>
        <v>2.2425925925925925</v>
      </c>
      <c r="AC324" s="46">
        <f t="shared" si="87"/>
        <v>2.3333333333333335</v>
      </c>
      <c r="AD324" s="44" t="str">
        <f t="shared" si="88"/>
        <v>Stockout</v>
      </c>
      <c r="AE324" s="44" t="str">
        <f>IFERROR(VLOOKUP(A324,'[1]Re-order'!$A:$AA,27,0),"")</f>
        <v>Stockout</v>
      </c>
      <c r="AF324" s="46">
        <f t="shared" si="89"/>
        <v>2.3333333333333335</v>
      </c>
      <c r="AG324" s="46">
        <f>SUMIFS('[1]Raw Inventory'!D:D,'[1]Raw Inventory'!C:C,"GREATWALL",'[1]Raw Inventory'!B:B,A324)</f>
        <v>0</v>
      </c>
      <c r="AH324" s="46">
        <f>SUMIFS('[1]Raw Inventory'!D:D,'[1]Raw Inventory'!C:C,"DUARTE",'[1]Raw Inventory'!B:B,A324)</f>
        <v>0</v>
      </c>
      <c r="AI324" s="46"/>
      <c r="AJ324" s="46"/>
      <c r="AK324" s="43"/>
      <c r="AL324" s="43"/>
      <c r="AM324" s="43"/>
      <c r="AN324" s="43"/>
      <c r="AO324" s="43"/>
      <c r="AP324" s="43"/>
      <c r="AQ324" s="43"/>
      <c r="AR324" s="43"/>
      <c r="AS324" s="43"/>
      <c r="AT324" s="43"/>
    </row>
    <row r="325" spans="1:46">
      <c r="A325" s="43" t="s">
        <v>79</v>
      </c>
      <c r="B325" s="43" t="s">
        <v>94</v>
      </c>
      <c r="C325" s="43" t="s">
        <v>90</v>
      </c>
      <c r="D325" s="44" t="s">
        <v>228</v>
      </c>
      <c r="E325" s="44">
        <v>20</v>
      </c>
      <c r="F325" s="44" t="s">
        <v>2</v>
      </c>
      <c r="G325" s="43" t="str">
        <f>IFERROR(VLOOKUP(A325,'[1]MC Masterlist 2026-09-12'!$B:$M, 3, 0),"")</f>
        <v>SUZUKI</v>
      </c>
      <c r="H325" s="45">
        <f>IFERROR(VLOOKUP(A325,'[1]MC Masterlist 2026-09-12'!$B:$M, 6, 0),"")</f>
        <v>78872</v>
      </c>
      <c r="I325" s="46">
        <v>0</v>
      </c>
      <c r="J325" s="46">
        <v>0</v>
      </c>
      <c r="K325" s="46">
        <v>1</v>
      </c>
      <c r="L325" s="46">
        <f t="shared" si="75"/>
        <v>1</v>
      </c>
      <c r="M325" s="46">
        <f t="shared" si="76"/>
        <v>0.33333333333333331</v>
      </c>
      <c r="N325" s="45">
        <f t="shared" si="77"/>
        <v>78872</v>
      </c>
      <c r="O325" s="45">
        <f t="shared" si="78"/>
        <v>26290.666666666664</v>
      </c>
      <c r="P325" s="46">
        <f t="shared" si="79"/>
        <v>1.111111111111111E-2</v>
      </c>
      <c r="Q325" s="46"/>
      <c r="R325" s="45">
        <f t="shared" si="80"/>
        <v>0</v>
      </c>
      <c r="S325" s="46">
        <f t="shared" si="81"/>
        <v>0</v>
      </c>
      <c r="T325" s="46">
        <f>IFERROR(VLOOKUP(A325,'[1]Re-order'!$A:$Q,17,0),"")</f>
        <v>72</v>
      </c>
      <c r="U325" s="46">
        <f>IFERROR(VLOOKUP(A325,'[1]MC Masterlist 2026-09-12'!$B:$M, 10, 0),0)</f>
        <v>15</v>
      </c>
      <c r="V325" s="46">
        <f>IFERROR(VLOOKUP(A325,'[1]MC Masterlist 2026-09-12'!$B:$M, 11, 0),0)</f>
        <v>15</v>
      </c>
      <c r="W325" s="46">
        <f t="shared" si="82"/>
        <v>30</v>
      </c>
      <c r="X325" s="46">
        <f t="shared" si="83"/>
        <v>29.833333333333332</v>
      </c>
      <c r="Y325" s="46">
        <f>IFERROR(IF(OR(C325="AREA I",C325="AREA V"),7,VLOOKUP(A325,'[1]MC Masterlist 2026-09-12'!$B:$M, 12, 0)),0)</f>
        <v>30</v>
      </c>
      <c r="Z325" s="46">
        <f t="shared" si="84"/>
        <v>0.16666666666666666</v>
      </c>
      <c r="AA325" s="46">
        <f t="shared" si="85"/>
        <v>0.33333333333333331</v>
      </c>
      <c r="AB325" s="46">
        <f t="shared" si="86"/>
        <v>0.33148148148148143</v>
      </c>
      <c r="AC325" s="46">
        <f t="shared" si="87"/>
        <v>0.33333333333333331</v>
      </c>
      <c r="AD325" s="44" t="str">
        <f t="shared" si="88"/>
        <v>Stockout</v>
      </c>
      <c r="AE325" s="44" t="str">
        <f>IFERROR(VLOOKUP(A325,'[1]Re-order'!$A:$AA,27,0),"")</f>
        <v>Re-order</v>
      </c>
      <c r="AF325" s="46">
        <f t="shared" si="89"/>
        <v>0.33333333333333331</v>
      </c>
      <c r="AG325" s="46">
        <f>SUMIFS('[1]Raw Inventory'!D:D,'[1]Raw Inventory'!C:C,"GREATWALL",'[1]Raw Inventory'!B:B,A325)</f>
        <v>0</v>
      </c>
      <c r="AH325" s="46">
        <f>SUMIFS('[1]Raw Inventory'!D:D,'[1]Raw Inventory'!C:C,"DUARTE",'[1]Raw Inventory'!B:B,A325)</f>
        <v>0</v>
      </c>
      <c r="AI325" s="46"/>
      <c r="AJ325" s="46"/>
      <c r="AK325" s="43"/>
      <c r="AL325" s="43"/>
      <c r="AM325" s="43"/>
      <c r="AN325" s="43"/>
      <c r="AO325" s="43"/>
      <c r="AP325" s="43"/>
      <c r="AQ325" s="43"/>
      <c r="AR325" s="43"/>
      <c r="AS325" s="43"/>
      <c r="AT325" s="43"/>
    </row>
    <row r="326" spans="1:46">
      <c r="A326" s="43" t="s">
        <v>39</v>
      </c>
      <c r="B326" s="43" t="s">
        <v>160</v>
      </c>
      <c r="C326" s="43" t="s">
        <v>159</v>
      </c>
      <c r="D326" s="44" t="s">
        <v>246</v>
      </c>
      <c r="E326" s="44">
        <v>12</v>
      </c>
      <c r="F326" s="44" t="s">
        <v>2</v>
      </c>
      <c r="G326" s="43" t="str">
        <f>IFERROR(VLOOKUP(A326,'[1]MC Masterlist 2026-09-12'!$B:$M, 3, 0),"")</f>
        <v>HONDA</v>
      </c>
      <c r="H326" s="45">
        <f>IFERROR(VLOOKUP(A326,'[1]MC Masterlist 2026-09-12'!$B:$M, 6, 0),"")</f>
        <v>72434</v>
      </c>
      <c r="I326" s="46">
        <v>1</v>
      </c>
      <c r="J326" s="46">
        <v>1</v>
      </c>
      <c r="K326" s="46">
        <v>1</v>
      </c>
      <c r="L326" s="46">
        <f t="shared" si="75"/>
        <v>3</v>
      </c>
      <c r="M326" s="46">
        <f t="shared" si="76"/>
        <v>1</v>
      </c>
      <c r="N326" s="45">
        <f t="shared" si="77"/>
        <v>217302</v>
      </c>
      <c r="O326" s="45">
        <f t="shared" si="78"/>
        <v>72434</v>
      </c>
      <c r="P326" s="46">
        <f t="shared" si="79"/>
        <v>3.3333333333333333E-2</v>
      </c>
      <c r="Q326" s="46"/>
      <c r="R326" s="45">
        <f t="shared" si="80"/>
        <v>0</v>
      </c>
      <c r="S326" s="46">
        <f t="shared" si="81"/>
        <v>0</v>
      </c>
      <c r="T326" s="46">
        <f>IFERROR(VLOOKUP(A326,'[1]Re-order'!$A:$Q,17,0),"")</f>
        <v>40.982142857142854</v>
      </c>
      <c r="U326" s="46">
        <f>IFERROR(VLOOKUP(A326,'[1]MC Masterlist 2026-09-12'!$B:$M, 10, 0),0)</f>
        <v>15</v>
      </c>
      <c r="V326" s="46">
        <f>IFERROR(VLOOKUP(A326,'[1]MC Masterlist 2026-09-12'!$B:$M, 11, 0),0)</f>
        <v>15</v>
      </c>
      <c r="W326" s="46">
        <f t="shared" si="82"/>
        <v>30</v>
      </c>
      <c r="X326" s="46">
        <f t="shared" si="83"/>
        <v>29.5</v>
      </c>
      <c r="Y326" s="46">
        <f>IFERROR(IF(OR(C326="AREA I",C326="AREA V"),7,VLOOKUP(A326,'[1]MC Masterlist 2026-09-12'!$B:$M, 12, 0)),0)</f>
        <v>30</v>
      </c>
      <c r="Z326" s="46">
        <f t="shared" si="84"/>
        <v>0.5</v>
      </c>
      <c r="AA326" s="46">
        <f t="shared" si="85"/>
        <v>1</v>
      </c>
      <c r="AB326" s="46">
        <f t="shared" si="86"/>
        <v>0.98333333333333328</v>
      </c>
      <c r="AC326" s="46">
        <f t="shared" si="87"/>
        <v>1</v>
      </c>
      <c r="AD326" s="44" t="str">
        <f t="shared" si="88"/>
        <v>Stockout</v>
      </c>
      <c r="AE326" s="44" t="str">
        <f>IFERROR(VLOOKUP(A326,'[1]Re-order'!$A:$AA,27,0),"")</f>
        <v>Re-order</v>
      </c>
      <c r="AF326" s="46">
        <f t="shared" si="89"/>
        <v>1</v>
      </c>
      <c r="AG326" s="46">
        <f>SUMIFS('[1]Raw Inventory'!D:D,'[1]Raw Inventory'!C:C,"GREATWALL",'[1]Raw Inventory'!B:B,A326)</f>
        <v>16</v>
      </c>
      <c r="AH326" s="46">
        <f>SUMIFS('[1]Raw Inventory'!D:D,'[1]Raw Inventory'!C:C,"DUARTE",'[1]Raw Inventory'!B:B,A326)</f>
        <v>0</v>
      </c>
      <c r="AI326" s="46"/>
      <c r="AJ326" s="46"/>
      <c r="AK326" s="43"/>
      <c r="AL326" s="43"/>
      <c r="AM326" s="43"/>
      <c r="AN326" s="43"/>
      <c r="AO326" s="43"/>
      <c r="AP326" s="43"/>
      <c r="AQ326" s="43"/>
      <c r="AR326" s="43"/>
      <c r="AS326" s="43"/>
      <c r="AT326" s="43"/>
    </row>
    <row r="327" spans="1:46">
      <c r="A327" s="43" t="s">
        <v>66</v>
      </c>
      <c r="B327" s="43" t="s">
        <v>93</v>
      </c>
      <c r="C327" s="43" t="s">
        <v>90</v>
      </c>
      <c r="D327" s="44" t="s">
        <v>246</v>
      </c>
      <c r="E327" s="44">
        <v>12</v>
      </c>
      <c r="F327" s="44" t="s">
        <v>2</v>
      </c>
      <c r="G327" s="43" t="str">
        <f>IFERROR(VLOOKUP(A327,'[1]MC Masterlist 2026-09-12'!$B:$M, 3, 0),"")</f>
        <v>KAWASAKI</v>
      </c>
      <c r="H327" s="45">
        <f>IFERROR(VLOOKUP(A327,'[1]MC Masterlist 2026-09-12'!$B:$M, 6, 0),"")</f>
        <v>95530</v>
      </c>
      <c r="I327" s="46">
        <v>0</v>
      </c>
      <c r="J327" s="46">
        <v>2</v>
      </c>
      <c r="K327" s="46">
        <v>0</v>
      </c>
      <c r="L327" s="46">
        <f t="shared" si="75"/>
        <v>2</v>
      </c>
      <c r="M327" s="46">
        <f t="shared" si="76"/>
        <v>0.66666666666666663</v>
      </c>
      <c r="N327" s="45">
        <f t="shared" si="77"/>
        <v>191060</v>
      </c>
      <c r="O327" s="45">
        <f t="shared" si="78"/>
        <v>63686.666666666664</v>
      </c>
      <c r="P327" s="46">
        <f t="shared" si="79"/>
        <v>2.222222222222222E-2</v>
      </c>
      <c r="Q327" s="46"/>
      <c r="R327" s="45">
        <f t="shared" si="80"/>
        <v>0</v>
      </c>
      <c r="S327" s="46">
        <f t="shared" si="81"/>
        <v>0</v>
      </c>
      <c r="T327" s="46">
        <f>IFERROR(VLOOKUP(A327,'[1]Re-order'!$A:$Q,17,0),"")</f>
        <v>112.7848101265823</v>
      </c>
      <c r="U327" s="46">
        <f>IFERROR(VLOOKUP(A327,'[1]MC Masterlist 2026-09-12'!$B:$M, 10, 0),0)</f>
        <v>15</v>
      </c>
      <c r="V327" s="46">
        <f>IFERROR(VLOOKUP(A327,'[1]MC Masterlist 2026-09-12'!$B:$M, 11, 0),0)</f>
        <v>15</v>
      </c>
      <c r="W327" s="46">
        <f t="shared" si="82"/>
        <v>30</v>
      </c>
      <c r="X327" s="46">
        <f t="shared" si="83"/>
        <v>29.666666666666668</v>
      </c>
      <c r="Y327" s="46">
        <f>IFERROR(IF(OR(C327="AREA I",C327="AREA V"),7,VLOOKUP(A327,'[1]MC Masterlist 2026-09-12'!$B:$M, 12, 0)),0)</f>
        <v>30</v>
      </c>
      <c r="Z327" s="46">
        <f t="shared" si="84"/>
        <v>0.33333333333333331</v>
      </c>
      <c r="AA327" s="46">
        <f t="shared" si="85"/>
        <v>0.66666666666666663</v>
      </c>
      <c r="AB327" s="46">
        <f t="shared" si="86"/>
        <v>0.65925925925925921</v>
      </c>
      <c r="AC327" s="46">
        <f t="shared" si="87"/>
        <v>0.66666666666666663</v>
      </c>
      <c r="AD327" s="44" t="str">
        <f t="shared" si="88"/>
        <v>Stockout</v>
      </c>
      <c r="AE327" s="44" t="str">
        <f>IFERROR(VLOOKUP(A327,'[1]Re-order'!$A:$AA,27,0),"")</f>
        <v>Over</v>
      </c>
      <c r="AF327" s="46">
        <f t="shared" si="89"/>
        <v>0.66666666666666663</v>
      </c>
      <c r="AG327" s="46">
        <f>SUMIFS('[1]Raw Inventory'!D:D,'[1]Raw Inventory'!C:C,"GREATWALL",'[1]Raw Inventory'!B:B,A327)</f>
        <v>64</v>
      </c>
      <c r="AH327" s="46">
        <f>SUMIFS('[1]Raw Inventory'!D:D,'[1]Raw Inventory'!C:C,"DUARTE",'[1]Raw Inventory'!B:B,A327)</f>
        <v>0</v>
      </c>
      <c r="AI327" s="46"/>
      <c r="AJ327" s="46"/>
      <c r="AK327" s="43"/>
      <c r="AL327" s="43"/>
      <c r="AM327" s="43"/>
      <c r="AN327" s="43"/>
      <c r="AO327" s="43"/>
      <c r="AP327" s="43"/>
      <c r="AQ327" s="43"/>
      <c r="AR327" s="43"/>
      <c r="AS327" s="43"/>
      <c r="AT327" s="43"/>
    </row>
    <row r="328" spans="1:46">
      <c r="A328" s="43" t="s">
        <v>26</v>
      </c>
      <c r="B328" s="43" t="s">
        <v>146</v>
      </c>
      <c r="C328" s="43" t="s">
        <v>137</v>
      </c>
      <c r="D328" s="44" t="s">
        <v>233</v>
      </c>
      <c r="E328" s="44">
        <v>10</v>
      </c>
      <c r="F328" s="44" t="s">
        <v>2</v>
      </c>
      <c r="G328" s="43" t="str">
        <f>IFERROR(VLOOKUP(A328,'[1]MC Masterlist 2026-09-12'!$B:$M, 3, 0),"")</f>
        <v>SUZUKI</v>
      </c>
      <c r="H328" s="45">
        <f>IFERROR(VLOOKUP(A328,'[1]MC Masterlist 2026-09-12'!$B:$M, 6, 0),"")</f>
        <v>123700</v>
      </c>
      <c r="I328" s="46">
        <v>0</v>
      </c>
      <c r="J328" s="46">
        <v>2</v>
      </c>
      <c r="K328" s="46">
        <v>1</v>
      </c>
      <c r="L328" s="46">
        <f t="shared" si="75"/>
        <v>3</v>
      </c>
      <c r="M328" s="46">
        <f t="shared" si="76"/>
        <v>1</v>
      </c>
      <c r="N328" s="45">
        <f t="shared" si="77"/>
        <v>371100</v>
      </c>
      <c r="O328" s="45">
        <f t="shared" si="78"/>
        <v>123700</v>
      </c>
      <c r="P328" s="46">
        <f t="shared" si="79"/>
        <v>3.3333333333333333E-2</v>
      </c>
      <c r="Q328" s="46">
        <v>1</v>
      </c>
      <c r="R328" s="45">
        <f t="shared" si="80"/>
        <v>123700</v>
      </c>
      <c r="S328" s="46">
        <f t="shared" si="81"/>
        <v>30</v>
      </c>
      <c r="T328" s="46">
        <f>IFERROR(VLOOKUP(A328,'[1]Re-order'!$A:$Q,17,0),"")</f>
        <v>71.470588235294116</v>
      </c>
      <c r="U328" s="46">
        <f>IFERROR(VLOOKUP(A328,'[1]MC Masterlist 2026-09-12'!$B:$M, 10, 0),0)</f>
        <v>15</v>
      </c>
      <c r="V328" s="46">
        <f>IFERROR(VLOOKUP(A328,'[1]MC Masterlist 2026-09-12'!$B:$M, 11, 0),0)</f>
        <v>15</v>
      </c>
      <c r="W328" s="46">
        <f t="shared" si="82"/>
        <v>30</v>
      </c>
      <c r="X328" s="46">
        <f t="shared" si="83"/>
        <v>6.5</v>
      </c>
      <c r="Y328" s="46">
        <f>IFERROR(IF(OR(C328="AREA I",C328="AREA V"),7,VLOOKUP(A328,'[1]MC Masterlist 2026-09-12'!$B:$M, 12, 0)),0)</f>
        <v>7</v>
      </c>
      <c r="Z328" s="46">
        <f t="shared" si="84"/>
        <v>0.5</v>
      </c>
      <c r="AA328" s="46">
        <f t="shared" si="85"/>
        <v>1</v>
      </c>
      <c r="AB328" s="46">
        <f t="shared" si="86"/>
        <v>0.21666666666666667</v>
      </c>
      <c r="AC328" s="46">
        <f t="shared" si="87"/>
        <v>0.23333333333333334</v>
      </c>
      <c r="AD328" s="44" t="str">
        <f t="shared" si="88"/>
        <v>Over</v>
      </c>
      <c r="AE328" s="44" t="str">
        <f>IFERROR(VLOOKUP(A328,'[1]Re-order'!$A:$AA,27,0),"")</f>
        <v>Re-order</v>
      </c>
      <c r="AF328" s="46">
        <f t="shared" si="89"/>
        <v>-0.76666666666666661</v>
      </c>
      <c r="AG328" s="46">
        <f>SUMIFS('[1]Raw Inventory'!D:D,'[1]Raw Inventory'!C:C,"GREATWALL",'[1]Raw Inventory'!B:B,A328)</f>
        <v>30</v>
      </c>
      <c r="AH328" s="46">
        <f>SUMIFS('[1]Raw Inventory'!D:D,'[1]Raw Inventory'!C:C,"DUARTE",'[1]Raw Inventory'!B:B,A328)</f>
        <v>0</v>
      </c>
      <c r="AI328" s="46"/>
      <c r="AJ328" s="46"/>
      <c r="AK328" s="43"/>
      <c r="AL328" s="43"/>
      <c r="AM328" s="43"/>
      <c r="AN328" s="43"/>
      <c r="AO328" s="43"/>
      <c r="AP328" s="43"/>
      <c r="AQ328" s="43"/>
      <c r="AR328" s="43"/>
      <c r="AS328" s="43"/>
      <c r="AT328" s="43"/>
    </row>
    <row r="329" spans="1:46">
      <c r="A329" s="43" t="s">
        <v>117</v>
      </c>
      <c r="B329" s="43" t="s">
        <v>111</v>
      </c>
      <c r="C329" s="43" t="s">
        <v>109</v>
      </c>
      <c r="D329" s="44" t="s">
        <v>266</v>
      </c>
      <c r="E329" s="44">
        <v>16</v>
      </c>
      <c r="F329" s="44" t="s">
        <v>2</v>
      </c>
      <c r="G329" s="43" t="str">
        <f>IFERROR(VLOOKUP(A329,'[1]MC Masterlist 2026-09-12'!$B:$M, 3, 0),"")</f>
        <v>HONDA</v>
      </c>
      <c r="H329" s="45">
        <f>IFERROR(VLOOKUP(A329,'[1]MC Masterlist 2026-09-12'!$B:$M, 6, 0),"")</f>
        <v>126990</v>
      </c>
      <c r="I329" s="46">
        <v>0</v>
      </c>
      <c r="J329" s="46">
        <v>1</v>
      </c>
      <c r="K329" s="46">
        <v>0</v>
      </c>
      <c r="L329" s="46">
        <f t="shared" si="75"/>
        <v>1</v>
      </c>
      <c r="M329" s="46">
        <f t="shared" si="76"/>
        <v>0.33333333333333331</v>
      </c>
      <c r="N329" s="45">
        <f t="shared" si="77"/>
        <v>126990</v>
      </c>
      <c r="O329" s="45">
        <f t="shared" si="78"/>
        <v>42330</v>
      </c>
      <c r="P329" s="46">
        <f t="shared" si="79"/>
        <v>1.111111111111111E-2</v>
      </c>
      <c r="Q329" s="46"/>
      <c r="R329" s="45">
        <f t="shared" si="80"/>
        <v>0</v>
      </c>
      <c r="S329" s="46">
        <f t="shared" si="81"/>
        <v>0</v>
      </c>
      <c r="T329" s="46">
        <f>IFERROR(VLOOKUP(A329,'[1]Re-order'!$A:$Q,17,0),"")</f>
        <v>135</v>
      </c>
      <c r="U329" s="46">
        <f>IFERROR(VLOOKUP(A329,'[1]MC Masterlist 2026-09-12'!$B:$M, 10, 0),0)</f>
        <v>15</v>
      </c>
      <c r="V329" s="46">
        <f>IFERROR(VLOOKUP(A329,'[1]MC Masterlist 2026-09-12'!$B:$M, 11, 0),0)</f>
        <v>15</v>
      </c>
      <c r="W329" s="46">
        <f t="shared" si="82"/>
        <v>30</v>
      </c>
      <c r="X329" s="46">
        <f t="shared" si="83"/>
        <v>29.833333333333332</v>
      </c>
      <c r="Y329" s="46">
        <f>IFERROR(IF(OR(C329="AREA I",C329="AREA V"),7,VLOOKUP(A329,'[1]MC Masterlist 2026-09-12'!$B:$M, 12, 0)),0)</f>
        <v>30</v>
      </c>
      <c r="Z329" s="46">
        <f t="shared" si="84"/>
        <v>0.16666666666666666</v>
      </c>
      <c r="AA329" s="46">
        <f t="shared" si="85"/>
        <v>0.33333333333333331</v>
      </c>
      <c r="AB329" s="46">
        <f t="shared" si="86"/>
        <v>0.33148148148148143</v>
      </c>
      <c r="AC329" s="46">
        <f t="shared" si="87"/>
        <v>0.33333333333333331</v>
      </c>
      <c r="AD329" s="44" t="str">
        <f t="shared" si="88"/>
        <v>Stockout</v>
      </c>
      <c r="AE329" s="44" t="str">
        <f>IFERROR(VLOOKUP(A329,'[1]Re-order'!$A:$AA,27,0),"")</f>
        <v>Over</v>
      </c>
      <c r="AF329" s="46">
        <f t="shared" si="89"/>
        <v>0.33333333333333331</v>
      </c>
      <c r="AG329" s="46">
        <f>SUMIFS('[1]Raw Inventory'!D:D,'[1]Raw Inventory'!C:C,"GREATWALL",'[1]Raw Inventory'!B:B,A329)</f>
        <v>2</v>
      </c>
      <c r="AH329" s="46">
        <f>SUMIFS('[1]Raw Inventory'!D:D,'[1]Raw Inventory'!C:C,"DUARTE",'[1]Raw Inventory'!B:B,A329)</f>
        <v>0</v>
      </c>
      <c r="AI329" s="46"/>
      <c r="AJ329" s="46"/>
      <c r="AK329" s="43"/>
      <c r="AL329" s="43"/>
      <c r="AM329" s="43"/>
      <c r="AN329" s="43"/>
      <c r="AO329" s="43"/>
      <c r="AP329" s="43"/>
      <c r="AQ329" s="43"/>
      <c r="AR329" s="43"/>
      <c r="AS329" s="43"/>
      <c r="AT329" s="43"/>
    </row>
    <row r="330" spans="1:46">
      <c r="A330" s="43" t="s">
        <v>84</v>
      </c>
      <c r="B330" s="43" t="s">
        <v>146</v>
      </c>
      <c r="C330" s="43" t="s">
        <v>137</v>
      </c>
      <c r="D330" s="44" t="s">
        <v>239</v>
      </c>
      <c r="E330" s="44">
        <v>28</v>
      </c>
      <c r="F330" s="44" t="s">
        <v>3</v>
      </c>
      <c r="G330" s="43" t="str">
        <f>IFERROR(VLOOKUP(A330,'[1]MC Masterlist 2026-09-12'!$B:$M, 3, 0),"")</f>
        <v>SKYGO</v>
      </c>
      <c r="H330" s="45">
        <f>IFERROR(VLOOKUP(A330,'[1]MC Masterlist 2026-09-12'!$B:$M, 6, 0),"")</f>
        <v>98325</v>
      </c>
      <c r="I330" s="46">
        <v>0</v>
      </c>
      <c r="J330" s="46">
        <v>0</v>
      </c>
      <c r="K330" s="46">
        <v>0</v>
      </c>
      <c r="L330" s="46">
        <f t="shared" si="75"/>
        <v>0</v>
      </c>
      <c r="M330" s="46">
        <f t="shared" si="76"/>
        <v>0</v>
      </c>
      <c r="N330" s="45">
        <f t="shared" si="77"/>
        <v>0</v>
      </c>
      <c r="O330" s="45">
        <f t="shared" si="78"/>
        <v>0</v>
      </c>
      <c r="P330" s="46">
        <f t="shared" si="79"/>
        <v>0</v>
      </c>
      <c r="Q330" s="46">
        <v>1</v>
      </c>
      <c r="R330" s="45">
        <f t="shared" si="80"/>
        <v>98325</v>
      </c>
      <c r="S330" s="46">
        <f t="shared" si="81"/>
        <v>0</v>
      </c>
      <c r="T330" s="46">
        <f>IFERROR(VLOOKUP(A330,'[1]Re-order'!$A:$Q,17,0),"")</f>
        <v>360</v>
      </c>
      <c r="U330" s="46">
        <f>IFERROR(VLOOKUP(A330,'[1]MC Masterlist 2026-09-12'!$B:$M, 10, 0),0)</f>
        <v>15</v>
      </c>
      <c r="V330" s="46">
        <f>IFERROR(VLOOKUP(A330,'[1]MC Masterlist 2026-09-12'!$B:$M, 11, 0),0)</f>
        <v>15</v>
      </c>
      <c r="W330" s="46">
        <f t="shared" si="82"/>
        <v>30</v>
      </c>
      <c r="X330" s="46">
        <f t="shared" si="83"/>
        <v>7</v>
      </c>
      <c r="Y330" s="46">
        <f>IFERROR(IF(OR(C330="AREA I",C330="AREA V"),7,VLOOKUP(A330,'[1]MC Masterlist 2026-09-12'!$B:$M, 12, 0)),0)</f>
        <v>7</v>
      </c>
      <c r="Z330" s="46">
        <f t="shared" si="84"/>
        <v>0</v>
      </c>
      <c r="AA330" s="46">
        <f t="shared" si="85"/>
        <v>0</v>
      </c>
      <c r="AB330" s="46">
        <f t="shared" si="86"/>
        <v>0</v>
      </c>
      <c r="AC330" s="46">
        <f t="shared" si="87"/>
        <v>0</v>
      </c>
      <c r="AD330" s="44" t="str">
        <f t="shared" si="88"/>
        <v>Over</v>
      </c>
      <c r="AE330" s="44" t="str">
        <f>IFERROR(VLOOKUP(A330,'[1]Re-order'!$A:$AA,27,0),"")</f>
        <v>Over</v>
      </c>
      <c r="AF330" s="46">
        <f t="shared" si="89"/>
        <v>-1</v>
      </c>
      <c r="AG330" s="46">
        <f>SUMIFS('[1]Raw Inventory'!D:D,'[1]Raw Inventory'!C:C,"GREATWALL",'[1]Raw Inventory'!B:B,A330)</f>
        <v>0</v>
      </c>
      <c r="AH330" s="46">
        <f>SUMIFS('[1]Raw Inventory'!D:D,'[1]Raw Inventory'!C:C,"DUARTE",'[1]Raw Inventory'!B:B,A330)</f>
        <v>0</v>
      </c>
      <c r="AI330" s="46"/>
      <c r="AJ330" s="46"/>
      <c r="AK330" s="43"/>
      <c r="AL330" s="43"/>
      <c r="AM330" s="43"/>
      <c r="AN330" s="43"/>
      <c r="AO330" s="43"/>
      <c r="AP330" s="43"/>
      <c r="AQ330" s="43"/>
      <c r="AR330" s="43"/>
      <c r="AS330" s="43"/>
      <c r="AT330" s="43"/>
    </row>
    <row r="331" spans="1:46">
      <c r="A331" s="43" t="s">
        <v>45</v>
      </c>
      <c r="B331" s="43" t="s">
        <v>120</v>
      </c>
      <c r="C331" s="43" t="s">
        <v>118</v>
      </c>
      <c r="D331" s="44" t="s">
        <v>256</v>
      </c>
      <c r="E331" s="44">
        <v>13</v>
      </c>
      <c r="F331" s="44" t="s">
        <v>2</v>
      </c>
      <c r="G331" s="43" t="str">
        <f>IFERROR(VLOOKUP(A331,'[1]MC Masterlist 2026-09-12'!$B:$M, 3, 0),"")</f>
        <v>YAMAHA</v>
      </c>
      <c r="H331" s="45">
        <f>IFERROR(VLOOKUP(A331,'[1]MC Masterlist 2026-09-12'!$B:$M, 6, 0),"")</f>
        <v>117087</v>
      </c>
      <c r="I331" s="46">
        <v>1</v>
      </c>
      <c r="J331" s="46">
        <v>0</v>
      </c>
      <c r="K331" s="46">
        <v>0</v>
      </c>
      <c r="L331" s="46">
        <f t="shared" si="75"/>
        <v>1</v>
      </c>
      <c r="M331" s="46">
        <f t="shared" si="76"/>
        <v>0.33333333333333331</v>
      </c>
      <c r="N331" s="45">
        <f t="shared" si="77"/>
        <v>117087</v>
      </c>
      <c r="O331" s="45">
        <f t="shared" si="78"/>
        <v>39029</v>
      </c>
      <c r="P331" s="46">
        <f t="shared" si="79"/>
        <v>1.111111111111111E-2</v>
      </c>
      <c r="Q331" s="46"/>
      <c r="R331" s="45">
        <f t="shared" si="80"/>
        <v>0</v>
      </c>
      <c r="S331" s="46">
        <f t="shared" si="81"/>
        <v>0</v>
      </c>
      <c r="T331" s="46">
        <f>IFERROR(VLOOKUP(A331,'[1]Re-order'!$A:$Q,17,0),"")</f>
        <v>18.94736842105263</v>
      </c>
      <c r="U331" s="46">
        <f>IFERROR(VLOOKUP(A331,'[1]MC Masterlist 2026-09-12'!$B:$M, 10, 0),0)</f>
        <v>15</v>
      </c>
      <c r="V331" s="46">
        <f>IFERROR(VLOOKUP(A331,'[1]MC Masterlist 2026-09-12'!$B:$M, 11, 0),0)</f>
        <v>15</v>
      </c>
      <c r="W331" s="46">
        <f t="shared" si="82"/>
        <v>30</v>
      </c>
      <c r="X331" s="46">
        <f t="shared" si="83"/>
        <v>29.833333333333332</v>
      </c>
      <c r="Y331" s="46">
        <f>IFERROR(IF(OR(C331="AREA I",C331="AREA V"),7,VLOOKUP(A331,'[1]MC Masterlist 2026-09-12'!$B:$M, 12, 0)),0)</f>
        <v>30</v>
      </c>
      <c r="Z331" s="46">
        <f t="shared" si="84"/>
        <v>0.16666666666666666</v>
      </c>
      <c r="AA331" s="46">
        <f t="shared" si="85"/>
        <v>0.33333333333333331</v>
      </c>
      <c r="AB331" s="46">
        <f t="shared" si="86"/>
        <v>0.33148148148148143</v>
      </c>
      <c r="AC331" s="46">
        <f t="shared" si="87"/>
        <v>0.33333333333333331</v>
      </c>
      <c r="AD331" s="44" t="str">
        <f t="shared" si="88"/>
        <v>Stockout</v>
      </c>
      <c r="AE331" s="44" t="str">
        <f>IFERROR(VLOOKUP(A331,'[1]Re-order'!$A:$AA,27,0),"")</f>
        <v>Stockout</v>
      </c>
      <c r="AF331" s="46">
        <f t="shared" si="89"/>
        <v>0.33333333333333331</v>
      </c>
      <c r="AG331" s="46">
        <f>SUMIFS('[1]Raw Inventory'!D:D,'[1]Raw Inventory'!C:C,"GREATWALL",'[1]Raw Inventory'!B:B,A331)</f>
        <v>5</v>
      </c>
      <c r="AH331" s="46">
        <f>SUMIFS('[1]Raw Inventory'!D:D,'[1]Raw Inventory'!C:C,"DUARTE",'[1]Raw Inventory'!B:B,A331)</f>
        <v>0</v>
      </c>
      <c r="AI331" s="46"/>
      <c r="AJ331" s="46"/>
      <c r="AK331" s="43"/>
      <c r="AL331" s="43"/>
      <c r="AM331" s="43"/>
      <c r="AN331" s="43"/>
      <c r="AO331" s="43"/>
      <c r="AP331" s="43"/>
      <c r="AQ331" s="43"/>
      <c r="AR331" s="43"/>
      <c r="AS331" s="43"/>
      <c r="AT331" s="43"/>
    </row>
    <row r="332" spans="1:46">
      <c r="A332" s="43" t="s">
        <v>40</v>
      </c>
      <c r="B332" s="43" t="s">
        <v>158</v>
      </c>
      <c r="C332" s="43" t="s">
        <v>152</v>
      </c>
      <c r="D332" s="44" t="s">
        <v>253</v>
      </c>
      <c r="E332" s="44">
        <v>25</v>
      </c>
      <c r="F332" s="44" t="s">
        <v>3</v>
      </c>
      <c r="G332" s="43" t="str">
        <f>IFERROR(VLOOKUP(A332,'[1]MC Masterlist 2026-09-12'!$B:$M, 3, 0),"")</f>
        <v>HONDA</v>
      </c>
      <c r="H332" s="45">
        <f>IFERROR(VLOOKUP(A332,'[1]MC Masterlist 2026-09-12'!$B:$M, 6, 0),"")</f>
        <v>56426</v>
      </c>
      <c r="I332" s="46">
        <v>0</v>
      </c>
      <c r="J332" s="46">
        <v>0</v>
      </c>
      <c r="K332" s="46">
        <v>0</v>
      </c>
      <c r="L332" s="46">
        <f t="shared" si="75"/>
        <v>0</v>
      </c>
      <c r="M332" s="46">
        <f t="shared" si="76"/>
        <v>0</v>
      </c>
      <c r="N332" s="45">
        <f t="shared" si="77"/>
        <v>0</v>
      </c>
      <c r="O332" s="45">
        <f t="shared" si="78"/>
        <v>0</v>
      </c>
      <c r="P332" s="46">
        <f t="shared" si="79"/>
        <v>0</v>
      </c>
      <c r="Q332" s="46">
        <v>1</v>
      </c>
      <c r="R332" s="45">
        <f t="shared" si="80"/>
        <v>56426</v>
      </c>
      <c r="S332" s="46">
        <f t="shared" si="81"/>
        <v>0</v>
      </c>
      <c r="T332" s="46">
        <f>IFERROR(VLOOKUP(A332,'[1]Re-order'!$A:$Q,17,0),"")</f>
        <v>139.56521739130434</v>
      </c>
      <c r="U332" s="46">
        <f>IFERROR(VLOOKUP(A332,'[1]MC Masterlist 2026-09-12'!$B:$M, 10, 0),0)</f>
        <v>15</v>
      </c>
      <c r="V332" s="46">
        <f>IFERROR(VLOOKUP(A332,'[1]MC Masterlist 2026-09-12'!$B:$M, 11, 0),0)</f>
        <v>15</v>
      </c>
      <c r="W332" s="46">
        <f t="shared" si="82"/>
        <v>30</v>
      </c>
      <c r="X332" s="46">
        <f t="shared" si="83"/>
        <v>30</v>
      </c>
      <c r="Y332" s="46">
        <f>IFERROR(IF(OR(C332="AREA I",C332="AREA V"),7,VLOOKUP(A332,'[1]MC Masterlist 2026-09-12'!$B:$M, 12, 0)),0)</f>
        <v>30</v>
      </c>
      <c r="Z332" s="46">
        <f t="shared" si="84"/>
        <v>0</v>
      </c>
      <c r="AA332" s="46">
        <f t="shared" si="85"/>
        <v>0</v>
      </c>
      <c r="AB332" s="46">
        <f t="shared" si="86"/>
        <v>0</v>
      </c>
      <c r="AC332" s="46">
        <f t="shared" si="87"/>
        <v>0</v>
      </c>
      <c r="AD332" s="44" t="str">
        <f t="shared" si="88"/>
        <v>Over</v>
      </c>
      <c r="AE332" s="44" t="str">
        <f>IFERROR(VLOOKUP(A332,'[1]Re-order'!$A:$AA,27,0),"")</f>
        <v>Over</v>
      </c>
      <c r="AF332" s="46">
        <f t="shared" si="89"/>
        <v>-1</v>
      </c>
      <c r="AG332" s="46">
        <f>SUMIFS('[1]Raw Inventory'!D:D,'[1]Raw Inventory'!C:C,"GREATWALL",'[1]Raw Inventory'!B:B,A332)</f>
        <v>45</v>
      </c>
      <c r="AH332" s="46">
        <f>SUMIFS('[1]Raw Inventory'!D:D,'[1]Raw Inventory'!C:C,"DUARTE",'[1]Raw Inventory'!B:B,A332)</f>
        <v>0</v>
      </c>
      <c r="AI332" s="46"/>
      <c r="AJ332" s="46"/>
      <c r="AK332" s="43"/>
      <c r="AL332" s="43"/>
      <c r="AM332" s="43"/>
      <c r="AN332" s="43"/>
      <c r="AO332" s="43"/>
      <c r="AP332" s="43"/>
      <c r="AQ332" s="43"/>
      <c r="AR332" s="43"/>
      <c r="AS332" s="43"/>
      <c r="AT332" s="43"/>
    </row>
    <row r="333" spans="1:46">
      <c r="A333" s="43" t="s">
        <v>46</v>
      </c>
      <c r="B333" s="43" t="s">
        <v>97</v>
      </c>
      <c r="C333" s="43" t="s">
        <v>90</v>
      </c>
      <c r="D333" s="44" t="s">
        <v>232</v>
      </c>
      <c r="E333" s="44">
        <v>17</v>
      </c>
      <c r="F333" s="44" t="s">
        <v>3</v>
      </c>
      <c r="G333" s="43" t="str">
        <f>IFERROR(VLOOKUP(A333,'[1]MC Masterlist 2026-09-12'!$B:$M, 3, 0),"")</f>
        <v>HONDA</v>
      </c>
      <c r="H333" s="45">
        <f>IFERROR(VLOOKUP(A333,'[1]MC Masterlist 2026-09-12'!$B:$M, 6, 0),"")</f>
        <v>73630</v>
      </c>
      <c r="I333" s="46">
        <v>0</v>
      </c>
      <c r="J333" s="46">
        <v>0</v>
      </c>
      <c r="K333" s="46">
        <v>0</v>
      </c>
      <c r="L333" s="46">
        <f t="shared" si="75"/>
        <v>0</v>
      </c>
      <c r="M333" s="46">
        <f t="shared" si="76"/>
        <v>0</v>
      </c>
      <c r="N333" s="45">
        <f t="shared" si="77"/>
        <v>0</v>
      </c>
      <c r="O333" s="45">
        <f t="shared" si="78"/>
        <v>0</v>
      </c>
      <c r="P333" s="46">
        <f t="shared" si="79"/>
        <v>0</v>
      </c>
      <c r="Q333" s="46">
        <v>2</v>
      </c>
      <c r="R333" s="45">
        <f t="shared" si="80"/>
        <v>147260</v>
      </c>
      <c r="S333" s="46">
        <f t="shared" si="81"/>
        <v>0</v>
      </c>
      <c r="T333" s="46">
        <f>IFERROR(VLOOKUP(A333,'[1]Re-order'!$A:$Q,17,0),"")</f>
        <v>51</v>
      </c>
      <c r="U333" s="46">
        <f>IFERROR(VLOOKUP(A333,'[1]MC Masterlist 2026-09-12'!$B:$M, 10, 0),0)</f>
        <v>15</v>
      </c>
      <c r="V333" s="46">
        <f>IFERROR(VLOOKUP(A333,'[1]MC Masterlist 2026-09-12'!$B:$M, 11, 0),0)</f>
        <v>15</v>
      </c>
      <c r="W333" s="46">
        <f t="shared" si="82"/>
        <v>30</v>
      </c>
      <c r="X333" s="46">
        <f t="shared" si="83"/>
        <v>30</v>
      </c>
      <c r="Y333" s="46">
        <f>IFERROR(IF(OR(C333="AREA I",C333="AREA V"),7,VLOOKUP(A333,'[1]MC Masterlist 2026-09-12'!$B:$M, 12, 0)),0)</f>
        <v>30</v>
      </c>
      <c r="Z333" s="46">
        <f t="shared" si="84"/>
        <v>0</v>
      </c>
      <c r="AA333" s="46">
        <f t="shared" si="85"/>
        <v>0</v>
      </c>
      <c r="AB333" s="46">
        <f t="shared" si="86"/>
        <v>0</v>
      </c>
      <c r="AC333" s="46">
        <f t="shared" si="87"/>
        <v>0</v>
      </c>
      <c r="AD333" s="44" t="str">
        <f t="shared" si="88"/>
        <v>Over</v>
      </c>
      <c r="AE333" s="44" t="str">
        <f>IFERROR(VLOOKUP(A333,'[1]Re-order'!$A:$AA,27,0),"")</f>
        <v>Re-order</v>
      </c>
      <c r="AF333" s="46">
        <f t="shared" si="89"/>
        <v>-2</v>
      </c>
      <c r="AG333" s="46">
        <f>SUMIFS('[1]Raw Inventory'!D:D,'[1]Raw Inventory'!C:C,"GREATWALL",'[1]Raw Inventory'!B:B,A333)</f>
        <v>0</v>
      </c>
      <c r="AH333" s="46">
        <f>SUMIFS('[1]Raw Inventory'!D:D,'[1]Raw Inventory'!C:C,"DUARTE",'[1]Raw Inventory'!B:B,A333)</f>
        <v>0</v>
      </c>
      <c r="AI333" s="46"/>
      <c r="AJ333" s="46"/>
      <c r="AK333" s="43"/>
      <c r="AL333" s="43"/>
      <c r="AM333" s="43"/>
      <c r="AN333" s="43"/>
      <c r="AO333" s="43"/>
      <c r="AP333" s="43"/>
      <c r="AQ333" s="43"/>
      <c r="AR333" s="43"/>
      <c r="AS333" s="43"/>
      <c r="AT333" s="43"/>
    </row>
    <row r="334" spans="1:46">
      <c r="A334" s="43" t="s">
        <v>70</v>
      </c>
      <c r="B334" s="43" t="s">
        <v>143</v>
      </c>
      <c r="C334" s="43" t="s">
        <v>137</v>
      </c>
      <c r="D334" s="44" t="s">
        <v>231</v>
      </c>
      <c r="E334" s="44">
        <v>26</v>
      </c>
      <c r="F334" s="44" t="s">
        <v>3</v>
      </c>
      <c r="G334" s="43" t="str">
        <f>IFERROR(VLOOKUP(A334,'[1]MC Masterlist 2026-09-12'!$B:$M, 3, 0),"")</f>
        <v>KAWASAKI</v>
      </c>
      <c r="H334" s="45">
        <f>IFERROR(VLOOKUP(A334,'[1]MC Masterlist 2026-09-12'!$B:$M, 6, 0),"")</f>
        <v>91770</v>
      </c>
      <c r="I334" s="46">
        <v>0</v>
      </c>
      <c r="J334" s="46">
        <v>0</v>
      </c>
      <c r="K334" s="46">
        <v>0</v>
      </c>
      <c r="L334" s="46">
        <f t="shared" si="75"/>
        <v>0</v>
      </c>
      <c r="M334" s="46">
        <f t="shared" si="76"/>
        <v>0</v>
      </c>
      <c r="N334" s="45">
        <f t="shared" si="77"/>
        <v>0</v>
      </c>
      <c r="O334" s="45">
        <f t="shared" si="78"/>
        <v>0</v>
      </c>
      <c r="P334" s="46">
        <f t="shared" si="79"/>
        <v>0</v>
      </c>
      <c r="Q334" s="46">
        <v>1</v>
      </c>
      <c r="R334" s="45">
        <f t="shared" si="80"/>
        <v>91770</v>
      </c>
      <c r="S334" s="46">
        <f t="shared" si="81"/>
        <v>0</v>
      </c>
      <c r="T334" s="46">
        <f>IFERROR(VLOOKUP(A334,'[1]Re-order'!$A:$Q,17,0),"")</f>
        <v>255</v>
      </c>
      <c r="U334" s="46">
        <f>IFERROR(VLOOKUP(A334,'[1]MC Masterlist 2026-09-12'!$B:$M, 10, 0),0)</f>
        <v>15</v>
      </c>
      <c r="V334" s="46">
        <f>IFERROR(VLOOKUP(A334,'[1]MC Masterlist 2026-09-12'!$B:$M, 11, 0),0)</f>
        <v>15</v>
      </c>
      <c r="W334" s="46">
        <f t="shared" si="82"/>
        <v>30</v>
      </c>
      <c r="X334" s="46">
        <f t="shared" si="83"/>
        <v>7</v>
      </c>
      <c r="Y334" s="46">
        <f>IFERROR(IF(OR(C334="AREA I",C334="AREA V"),7,VLOOKUP(A334,'[1]MC Masterlist 2026-09-12'!$B:$M, 12, 0)),0)</f>
        <v>7</v>
      </c>
      <c r="Z334" s="46">
        <f t="shared" si="84"/>
        <v>0</v>
      </c>
      <c r="AA334" s="46">
        <f t="shared" si="85"/>
        <v>0</v>
      </c>
      <c r="AB334" s="46">
        <f t="shared" si="86"/>
        <v>0</v>
      </c>
      <c r="AC334" s="46">
        <f t="shared" si="87"/>
        <v>0</v>
      </c>
      <c r="AD334" s="44" t="str">
        <f t="shared" si="88"/>
        <v>Over</v>
      </c>
      <c r="AE334" s="44" t="str">
        <f>IFERROR(VLOOKUP(A334,'[1]Re-order'!$A:$AA,27,0),"")</f>
        <v>Over</v>
      </c>
      <c r="AF334" s="46">
        <f t="shared" si="89"/>
        <v>-1</v>
      </c>
      <c r="AG334" s="46">
        <f>SUMIFS('[1]Raw Inventory'!D:D,'[1]Raw Inventory'!C:C,"GREATWALL",'[1]Raw Inventory'!B:B,A334)</f>
        <v>4</v>
      </c>
      <c r="AH334" s="46">
        <f>SUMIFS('[1]Raw Inventory'!D:D,'[1]Raw Inventory'!C:C,"DUARTE",'[1]Raw Inventory'!B:B,A334)</f>
        <v>0</v>
      </c>
      <c r="AI334" s="46"/>
      <c r="AJ334" s="46"/>
      <c r="AK334" s="43"/>
      <c r="AL334" s="43"/>
      <c r="AM334" s="43"/>
      <c r="AN334" s="43"/>
      <c r="AO334" s="43"/>
      <c r="AP334" s="43"/>
      <c r="AQ334" s="43"/>
      <c r="AR334" s="43"/>
      <c r="AS334" s="43"/>
      <c r="AT334" s="43"/>
    </row>
    <row r="335" spans="1:46">
      <c r="A335" s="43" t="s">
        <v>63</v>
      </c>
      <c r="B335" s="43" t="s">
        <v>30</v>
      </c>
      <c r="C335" s="43" t="s">
        <v>1</v>
      </c>
      <c r="D335" s="44" t="s">
        <v>241</v>
      </c>
      <c r="E335" s="44">
        <v>28</v>
      </c>
      <c r="F335" s="44" t="s">
        <v>3</v>
      </c>
      <c r="G335" s="43" t="str">
        <f>IFERROR(VLOOKUP(A335,'[1]MC Masterlist 2026-09-12'!$B:$M, 3, 0),"")</f>
        <v>HONDA</v>
      </c>
      <c r="H335" s="45">
        <f>IFERROR(VLOOKUP(A335,'[1]MC Masterlist 2026-09-12'!$B:$M, 6, 0),"")</f>
        <v>125150</v>
      </c>
      <c r="I335" s="46">
        <v>1</v>
      </c>
      <c r="J335" s="46">
        <v>0</v>
      </c>
      <c r="K335" s="46">
        <v>0</v>
      </c>
      <c r="L335" s="46">
        <f t="shared" si="75"/>
        <v>1</v>
      </c>
      <c r="M335" s="46">
        <f t="shared" si="76"/>
        <v>0.33333333333333331</v>
      </c>
      <c r="N335" s="45">
        <f t="shared" si="77"/>
        <v>125150</v>
      </c>
      <c r="O335" s="45">
        <f t="shared" si="78"/>
        <v>41716.666666666664</v>
      </c>
      <c r="P335" s="46">
        <f t="shared" si="79"/>
        <v>1.111111111111111E-2</v>
      </c>
      <c r="Q335" s="46"/>
      <c r="R335" s="45">
        <f t="shared" si="80"/>
        <v>0</v>
      </c>
      <c r="S335" s="46">
        <f t="shared" si="81"/>
        <v>0</v>
      </c>
      <c r="T335" s="46">
        <f>IFERROR(VLOOKUP(A335,'[1]Re-order'!$A:$Q,17,0),"")</f>
        <v>0</v>
      </c>
      <c r="U335" s="46">
        <f>IFERROR(VLOOKUP(A335,'[1]MC Masterlist 2026-09-12'!$B:$M, 10, 0),0)</f>
        <v>15</v>
      </c>
      <c r="V335" s="46">
        <f>IFERROR(VLOOKUP(A335,'[1]MC Masterlist 2026-09-12'!$B:$M, 11, 0),0)</f>
        <v>15</v>
      </c>
      <c r="W335" s="46">
        <f t="shared" si="82"/>
        <v>30</v>
      </c>
      <c r="X335" s="46">
        <f t="shared" si="83"/>
        <v>6.833333333333333</v>
      </c>
      <c r="Y335" s="46">
        <f>IFERROR(IF(OR(C335="AREA I",C335="AREA V"),7,VLOOKUP(A335,'[1]MC Masterlist 2026-09-12'!$B:$M, 12, 0)),0)</f>
        <v>7</v>
      </c>
      <c r="Z335" s="46">
        <f t="shared" si="84"/>
        <v>0.16666666666666666</v>
      </c>
      <c r="AA335" s="46">
        <f t="shared" si="85"/>
        <v>0.33333333333333331</v>
      </c>
      <c r="AB335" s="46">
        <f t="shared" si="86"/>
        <v>7.5925925925925911E-2</v>
      </c>
      <c r="AC335" s="46">
        <f t="shared" si="87"/>
        <v>7.7777777777777765E-2</v>
      </c>
      <c r="AD335" s="44" t="str">
        <f t="shared" si="88"/>
        <v>Stockout</v>
      </c>
      <c r="AE335" s="44" t="str">
        <f>IFERROR(VLOOKUP(A335,'[1]Re-order'!$A:$AA,27,0),"")</f>
        <v>Stockout</v>
      </c>
      <c r="AF335" s="46">
        <f t="shared" si="89"/>
        <v>7.7777777777777765E-2</v>
      </c>
      <c r="AG335" s="46">
        <f>SUMIFS('[1]Raw Inventory'!D:D,'[1]Raw Inventory'!C:C,"GREATWALL",'[1]Raw Inventory'!B:B,A335)</f>
        <v>0</v>
      </c>
      <c r="AH335" s="46">
        <f>SUMIFS('[1]Raw Inventory'!D:D,'[1]Raw Inventory'!C:C,"DUARTE",'[1]Raw Inventory'!B:B,A335)</f>
        <v>0</v>
      </c>
      <c r="AI335" s="46"/>
      <c r="AJ335" s="46"/>
      <c r="AK335" s="43"/>
      <c r="AL335" s="43"/>
      <c r="AM335" s="43"/>
      <c r="AN335" s="43"/>
      <c r="AO335" s="43"/>
      <c r="AP335" s="43"/>
      <c r="AQ335" s="43"/>
      <c r="AR335" s="43"/>
      <c r="AS335" s="43"/>
      <c r="AT335" s="43"/>
    </row>
    <row r="336" spans="1:46">
      <c r="A336" s="43" t="s">
        <v>60</v>
      </c>
      <c r="B336" s="43" t="s">
        <v>156</v>
      </c>
      <c r="C336" s="43" t="s">
        <v>152</v>
      </c>
      <c r="D336" s="44" t="s">
        <v>235</v>
      </c>
      <c r="E336" s="44">
        <v>24</v>
      </c>
      <c r="F336" s="44" t="s">
        <v>3</v>
      </c>
      <c r="G336" s="43" t="str">
        <f>IFERROR(VLOOKUP(A336,'[1]MC Masterlist 2026-09-12'!$B:$M, 3, 0),"")</f>
        <v>HONDA</v>
      </c>
      <c r="H336" s="45">
        <f>IFERROR(VLOOKUP(A336,'[1]MC Masterlist 2026-09-12'!$B:$M, 6, 0),"")</f>
        <v>61670</v>
      </c>
      <c r="I336" s="46">
        <v>1</v>
      </c>
      <c r="J336" s="46">
        <v>0</v>
      </c>
      <c r="K336" s="46">
        <v>0</v>
      </c>
      <c r="L336" s="46">
        <f t="shared" si="75"/>
        <v>1</v>
      </c>
      <c r="M336" s="46">
        <f t="shared" si="76"/>
        <v>0.33333333333333331</v>
      </c>
      <c r="N336" s="45">
        <f t="shared" si="77"/>
        <v>61670</v>
      </c>
      <c r="O336" s="45">
        <f t="shared" si="78"/>
        <v>20556.666666666664</v>
      </c>
      <c r="P336" s="46">
        <f t="shared" si="79"/>
        <v>1.111111111111111E-2</v>
      </c>
      <c r="Q336" s="46">
        <v>1</v>
      </c>
      <c r="R336" s="45">
        <f t="shared" si="80"/>
        <v>61670</v>
      </c>
      <c r="S336" s="46">
        <f t="shared" si="81"/>
        <v>90.000000000000014</v>
      </c>
      <c r="T336" s="46">
        <f>IFERROR(VLOOKUP(A336,'[1]Re-order'!$A:$Q,17,0),"")</f>
        <v>300</v>
      </c>
      <c r="U336" s="46">
        <f>IFERROR(VLOOKUP(A336,'[1]MC Masterlist 2026-09-12'!$B:$M, 10, 0),0)</f>
        <v>15</v>
      </c>
      <c r="V336" s="46">
        <f>IFERROR(VLOOKUP(A336,'[1]MC Masterlist 2026-09-12'!$B:$M, 11, 0),0)</f>
        <v>15</v>
      </c>
      <c r="W336" s="46">
        <f t="shared" si="82"/>
        <v>30</v>
      </c>
      <c r="X336" s="46">
        <f t="shared" si="83"/>
        <v>29.833333333333332</v>
      </c>
      <c r="Y336" s="46">
        <f>IFERROR(IF(OR(C336="AREA I",C336="AREA V"),7,VLOOKUP(A336,'[1]MC Masterlist 2026-09-12'!$B:$M, 12, 0)),0)</f>
        <v>30</v>
      </c>
      <c r="Z336" s="46">
        <f t="shared" si="84"/>
        <v>0.16666666666666666</v>
      </c>
      <c r="AA336" s="46">
        <f t="shared" si="85"/>
        <v>0.33333333333333331</v>
      </c>
      <c r="AB336" s="46">
        <f t="shared" si="86"/>
        <v>0.33148148148148143</v>
      </c>
      <c r="AC336" s="46">
        <f t="shared" si="87"/>
        <v>0.33333333333333331</v>
      </c>
      <c r="AD336" s="44" t="str">
        <f t="shared" si="88"/>
        <v>Over</v>
      </c>
      <c r="AE336" s="44" t="str">
        <f>IFERROR(VLOOKUP(A336,'[1]Re-order'!$A:$AA,27,0),"")</f>
        <v>Over</v>
      </c>
      <c r="AF336" s="46">
        <f t="shared" si="89"/>
        <v>-0.66666666666666674</v>
      </c>
      <c r="AG336" s="46">
        <f>SUMIFS('[1]Raw Inventory'!D:D,'[1]Raw Inventory'!C:C,"GREATWALL",'[1]Raw Inventory'!B:B,A336)</f>
        <v>0</v>
      </c>
      <c r="AH336" s="46">
        <f>SUMIFS('[1]Raw Inventory'!D:D,'[1]Raw Inventory'!C:C,"DUARTE",'[1]Raw Inventory'!B:B,A336)</f>
        <v>0</v>
      </c>
      <c r="AI336" s="46"/>
      <c r="AJ336" s="46"/>
      <c r="AK336" s="43"/>
      <c r="AL336" s="43"/>
      <c r="AM336" s="43"/>
      <c r="AN336" s="43"/>
      <c r="AO336" s="43"/>
      <c r="AP336" s="43"/>
      <c r="AQ336" s="43"/>
      <c r="AR336" s="43"/>
      <c r="AS336" s="43"/>
      <c r="AT336" s="43"/>
    </row>
    <row r="337" spans="1:46">
      <c r="A337" s="43" t="s">
        <v>46</v>
      </c>
      <c r="B337" s="43" t="s">
        <v>92</v>
      </c>
      <c r="C337" s="43" t="s">
        <v>90</v>
      </c>
      <c r="D337" s="44" t="s">
        <v>255</v>
      </c>
      <c r="E337" s="44">
        <v>14</v>
      </c>
      <c r="F337" s="44" t="s">
        <v>2</v>
      </c>
      <c r="G337" s="43" t="str">
        <f>IFERROR(VLOOKUP(A337,'[1]MC Masterlist 2026-09-12'!$B:$M, 3, 0),"")</f>
        <v>HONDA</v>
      </c>
      <c r="H337" s="45">
        <f>IFERROR(VLOOKUP(A337,'[1]MC Masterlist 2026-09-12'!$B:$M, 6, 0),"")</f>
        <v>73630</v>
      </c>
      <c r="I337" s="46">
        <v>1</v>
      </c>
      <c r="J337" s="46">
        <v>1</v>
      </c>
      <c r="K337" s="46">
        <v>0</v>
      </c>
      <c r="L337" s="46">
        <f t="shared" si="75"/>
        <v>2</v>
      </c>
      <c r="M337" s="46">
        <f t="shared" si="76"/>
        <v>0.66666666666666663</v>
      </c>
      <c r="N337" s="45">
        <f t="shared" si="77"/>
        <v>147260</v>
      </c>
      <c r="O337" s="45">
        <f t="shared" si="78"/>
        <v>49086.666666666664</v>
      </c>
      <c r="P337" s="46">
        <f t="shared" si="79"/>
        <v>2.222222222222222E-2</v>
      </c>
      <c r="Q337" s="46">
        <v>1</v>
      </c>
      <c r="R337" s="45">
        <f t="shared" si="80"/>
        <v>73630</v>
      </c>
      <c r="S337" s="46">
        <f t="shared" si="81"/>
        <v>45</v>
      </c>
      <c r="T337" s="46">
        <f>IFERROR(VLOOKUP(A337,'[1]Re-order'!$A:$Q,17,0),"")</f>
        <v>51</v>
      </c>
      <c r="U337" s="46">
        <f>IFERROR(VLOOKUP(A337,'[1]MC Masterlist 2026-09-12'!$B:$M, 10, 0),0)</f>
        <v>15</v>
      </c>
      <c r="V337" s="46">
        <f>IFERROR(VLOOKUP(A337,'[1]MC Masterlist 2026-09-12'!$B:$M, 11, 0),0)</f>
        <v>15</v>
      </c>
      <c r="W337" s="46">
        <f t="shared" si="82"/>
        <v>30</v>
      </c>
      <c r="X337" s="46">
        <f t="shared" si="83"/>
        <v>29.666666666666668</v>
      </c>
      <c r="Y337" s="46">
        <f>IFERROR(IF(OR(C337="AREA I",C337="AREA V"),7,VLOOKUP(A337,'[1]MC Masterlist 2026-09-12'!$B:$M, 12, 0)),0)</f>
        <v>30</v>
      </c>
      <c r="Z337" s="46">
        <f t="shared" si="84"/>
        <v>0.33333333333333331</v>
      </c>
      <c r="AA337" s="46">
        <f t="shared" si="85"/>
        <v>0.66666666666666663</v>
      </c>
      <c r="AB337" s="46">
        <f t="shared" si="86"/>
        <v>0.65925925925925921</v>
      </c>
      <c r="AC337" s="46">
        <f t="shared" si="87"/>
        <v>0.66666666666666663</v>
      </c>
      <c r="AD337" s="44" t="str">
        <f t="shared" si="88"/>
        <v>Over</v>
      </c>
      <c r="AE337" s="44" t="str">
        <f>IFERROR(VLOOKUP(A337,'[1]Re-order'!$A:$AA,27,0),"")</f>
        <v>Re-order</v>
      </c>
      <c r="AF337" s="46">
        <f t="shared" si="89"/>
        <v>-0.33333333333333337</v>
      </c>
      <c r="AG337" s="46">
        <f>SUMIFS('[1]Raw Inventory'!D:D,'[1]Raw Inventory'!C:C,"GREATWALL",'[1]Raw Inventory'!B:B,A337)</f>
        <v>0</v>
      </c>
      <c r="AH337" s="46">
        <f>SUMIFS('[1]Raw Inventory'!D:D,'[1]Raw Inventory'!C:C,"DUARTE",'[1]Raw Inventory'!B:B,A337)</f>
        <v>0</v>
      </c>
      <c r="AI337" s="46"/>
      <c r="AJ337" s="46"/>
      <c r="AK337" s="43"/>
      <c r="AL337" s="43"/>
      <c r="AM337" s="43"/>
      <c r="AN337" s="43"/>
      <c r="AO337" s="43"/>
      <c r="AP337" s="43"/>
      <c r="AQ337" s="43"/>
      <c r="AR337" s="43"/>
      <c r="AS337" s="43"/>
      <c r="AT337" s="43"/>
    </row>
    <row r="338" spans="1:46">
      <c r="A338" s="43" t="s">
        <v>35</v>
      </c>
      <c r="B338" s="43" t="s">
        <v>30</v>
      </c>
      <c r="C338" s="43" t="s">
        <v>1</v>
      </c>
      <c r="D338" s="44" t="s">
        <v>256</v>
      </c>
      <c r="E338" s="44">
        <v>16</v>
      </c>
      <c r="F338" s="44" t="s">
        <v>2</v>
      </c>
      <c r="G338" s="43" t="str">
        <f>IFERROR(VLOOKUP(A338,'[1]MC Masterlist 2026-09-12'!$B:$M, 3, 0),"")</f>
        <v>HONDA</v>
      </c>
      <c r="H338" s="45">
        <f>IFERROR(VLOOKUP(A338,'[1]MC Masterlist 2026-09-12'!$B:$M, 6, 0),"")</f>
        <v>57990</v>
      </c>
      <c r="I338" s="46">
        <v>1</v>
      </c>
      <c r="J338" s="46">
        <v>4</v>
      </c>
      <c r="K338" s="46">
        <v>1</v>
      </c>
      <c r="L338" s="46">
        <f t="shared" si="75"/>
        <v>6</v>
      </c>
      <c r="M338" s="46">
        <f t="shared" si="76"/>
        <v>2</v>
      </c>
      <c r="N338" s="45">
        <f t="shared" si="77"/>
        <v>347940</v>
      </c>
      <c r="O338" s="45">
        <f t="shared" si="78"/>
        <v>115980</v>
      </c>
      <c r="P338" s="46">
        <f t="shared" si="79"/>
        <v>6.6666666666666666E-2</v>
      </c>
      <c r="Q338" s="46">
        <v>1</v>
      </c>
      <c r="R338" s="45">
        <f t="shared" si="80"/>
        <v>57990</v>
      </c>
      <c r="S338" s="46">
        <f t="shared" si="81"/>
        <v>15</v>
      </c>
      <c r="T338" s="46">
        <f>IFERROR(VLOOKUP(A338,'[1]Re-order'!$A:$Q,17,0),"")</f>
        <v>68.275862068965523</v>
      </c>
      <c r="U338" s="46">
        <f>IFERROR(VLOOKUP(A338,'[1]MC Masterlist 2026-09-12'!$B:$M, 10, 0),0)</f>
        <v>15</v>
      </c>
      <c r="V338" s="46">
        <f>IFERROR(VLOOKUP(A338,'[1]MC Masterlist 2026-09-12'!$B:$M, 11, 0),0)</f>
        <v>15</v>
      </c>
      <c r="W338" s="46">
        <f t="shared" si="82"/>
        <v>30</v>
      </c>
      <c r="X338" s="46">
        <f t="shared" si="83"/>
        <v>6</v>
      </c>
      <c r="Y338" s="46">
        <f>IFERROR(IF(OR(C338="AREA I",C338="AREA V"),7,VLOOKUP(A338,'[1]MC Masterlist 2026-09-12'!$B:$M, 12, 0)),0)</f>
        <v>7</v>
      </c>
      <c r="Z338" s="46">
        <f t="shared" si="84"/>
        <v>1</v>
      </c>
      <c r="AA338" s="46">
        <f t="shared" si="85"/>
        <v>2</v>
      </c>
      <c r="AB338" s="46">
        <f t="shared" si="86"/>
        <v>0.4</v>
      </c>
      <c r="AC338" s="46">
        <f t="shared" si="87"/>
        <v>0.46666666666666667</v>
      </c>
      <c r="AD338" s="44" t="str">
        <f t="shared" si="88"/>
        <v>Over</v>
      </c>
      <c r="AE338" s="44" t="str">
        <f>IFERROR(VLOOKUP(A338,'[1]Re-order'!$A:$AA,27,0),"")</f>
        <v>Re-order</v>
      </c>
      <c r="AF338" s="46">
        <f t="shared" si="89"/>
        <v>-0.53333333333333333</v>
      </c>
      <c r="AG338" s="46">
        <f>SUMIFS('[1]Raw Inventory'!D:D,'[1]Raw Inventory'!C:C,"GREATWALL",'[1]Raw Inventory'!B:B,A338)</f>
        <v>29</v>
      </c>
      <c r="AH338" s="46">
        <f>SUMIFS('[1]Raw Inventory'!D:D,'[1]Raw Inventory'!C:C,"DUARTE",'[1]Raw Inventory'!B:B,A338)</f>
        <v>0</v>
      </c>
      <c r="AI338" s="46"/>
      <c r="AJ338" s="46"/>
      <c r="AK338" s="43"/>
      <c r="AL338" s="43"/>
      <c r="AM338" s="43"/>
      <c r="AN338" s="43"/>
      <c r="AO338" s="43"/>
      <c r="AP338" s="43"/>
      <c r="AQ338" s="43"/>
      <c r="AR338" s="43"/>
      <c r="AS338" s="43"/>
      <c r="AT338" s="43"/>
    </row>
    <row r="339" spans="1:46">
      <c r="A339" s="43" t="s">
        <v>64</v>
      </c>
      <c r="B339" s="43" t="s">
        <v>139</v>
      </c>
      <c r="C339" s="43" t="s">
        <v>137</v>
      </c>
      <c r="D339" s="44" t="s">
        <v>223</v>
      </c>
      <c r="E339" s="44">
        <v>18</v>
      </c>
      <c r="F339" s="44" t="s">
        <v>3</v>
      </c>
      <c r="G339" s="43" t="str">
        <f>IFERROR(VLOOKUP(A339,'[1]MC Masterlist 2026-09-12'!$B:$M, 3, 0),"")</f>
        <v>HONDA</v>
      </c>
      <c r="H339" s="45">
        <f>IFERROR(VLOOKUP(A339,'[1]MC Masterlist 2026-09-12'!$B:$M, 6, 0),"")</f>
        <v>73170</v>
      </c>
      <c r="I339" s="46">
        <v>1</v>
      </c>
      <c r="J339" s="46">
        <v>1</v>
      </c>
      <c r="K339" s="46">
        <v>2</v>
      </c>
      <c r="L339" s="46">
        <f t="shared" si="75"/>
        <v>4</v>
      </c>
      <c r="M339" s="46">
        <f t="shared" si="76"/>
        <v>1.3333333333333333</v>
      </c>
      <c r="N339" s="45">
        <f t="shared" si="77"/>
        <v>292680</v>
      </c>
      <c r="O339" s="45">
        <f t="shared" si="78"/>
        <v>97560</v>
      </c>
      <c r="P339" s="46">
        <f t="shared" si="79"/>
        <v>4.4444444444444439E-2</v>
      </c>
      <c r="Q339" s="46">
        <v>6</v>
      </c>
      <c r="R339" s="45">
        <f t="shared" si="80"/>
        <v>439020</v>
      </c>
      <c r="S339" s="46">
        <f t="shared" si="81"/>
        <v>135</v>
      </c>
      <c r="T339" s="46">
        <f>IFERROR(VLOOKUP(A339,'[1]Re-order'!$A:$Q,17,0),"")</f>
        <v>76.153846153846146</v>
      </c>
      <c r="U339" s="46">
        <f>IFERROR(VLOOKUP(A339,'[1]MC Masterlist 2026-09-12'!$B:$M, 10, 0),0)</f>
        <v>15</v>
      </c>
      <c r="V339" s="46">
        <f>IFERROR(VLOOKUP(A339,'[1]MC Masterlist 2026-09-12'!$B:$M, 11, 0),0)</f>
        <v>15</v>
      </c>
      <c r="W339" s="46">
        <f t="shared" si="82"/>
        <v>30</v>
      </c>
      <c r="X339" s="46">
        <f t="shared" si="83"/>
        <v>6.333333333333333</v>
      </c>
      <c r="Y339" s="46">
        <f>IFERROR(IF(OR(C339="AREA I",C339="AREA V"),7,VLOOKUP(A339,'[1]MC Masterlist 2026-09-12'!$B:$M, 12, 0)),0)</f>
        <v>7</v>
      </c>
      <c r="Z339" s="46">
        <f t="shared" si="84"/>
        <v>0.66666666666666663</v>
      </c>
      <c r="AA339" s="46">
        <f t="shared" si="85"/>
        <v>1.3333333333333333</v>
      </c>
      <c r="AB339" s="46">
        <f t="shared" si="86"/>
        <v>0.28148148148148144</v>
      </c>
      <c r="AC339" s="46">
        <f t="shared" si="87"/>
        <v>0.31111111111111106</v>
      </c>
      <c r="AD339" s="44" t="str">
        <f t="shared" si="88"/>
        <v>Over</v>
      </c>
      <c r="AE339" s="44" t="str">
        <f>IFERROR(VLOOKUP(A339,'[1]Re-order'!$A:$AA,27,0),"")</f>
        <v/>
      </c>
      <c r="AF339" s="46">
        <f t="shared" si="89"/>
        <v>-5.6888888888888891</v>
      </c>
      <c r="AG339" s="46">
        <f>SUMIFS('[1]Raw Inventory'!D:D,'[1]Raw Inventory'!C:C,"GREATWALL",'[1]Raw Inventory'!B:B,A339)</f>
        <v>13</v>
      </c>
      <c r="AH339" s="46">
        <f>SUMIFS('[1]Raw Inventory'!D:D,'[1]Raw Inventory'!C:C,"DUARTE",'[1]Raw Inventory'!B:B,A339)</f>
        <v>0</v>
      </c>
      <c r="AI339" s="46"/>
      <c r="AJ339" s="46"/>
      <c r="AK339" s="43"/>
      <c r="AL339" s="43"/>
      <c r="AM339" s="43"/>
      <c r="AN339" s="43"/>
      <c r="AO339" s="43"/>
      <c r="AP339" s="43"/>
      <c r="AQ339" s="43"/>
      <c r="AR339" s="43"/>
      <c r="AS339" s="43"/>
      <c r="AT339" s="43"/>
    </row>
    <row r="340" spans="1:46">
      <c r="A340" s="43" t="s">
        <v>37</v>
      </c>
      <c r="B340" s="43" t="s">
        <v>30</v>
      </c>
      <c r="C340" s="43" t="s">
        <v>1</v>
      </c>
      <c r="D340" s="44" t="s">
        <v>261</v>
      </c>
      <c r="E340" s="44">
        <v>19</v>
      </c>
      <c r="F340" s="44" t="s">
        <v>2</v>
      </c>
      <c r="G340" s="43" t="str">
        <f>IFERROR(VLOOKUP(A340,'[1]MC Masterlist 2026-09-12'!$B:$M, 3, 0),"")</f>
        <v>HONDA</v>
      </c>
      <c r="H340" s="45">
        <f>IFERROR(VLOOKUP(A340,'[1]MC Masterlist 2026-09-12'!$B:$M, 6, 0),"")</f>
        <v>74550</v>
      </c>
      <c r="I340" s="46">
        <v>2</v>
      </c>
      <c r="J340" s="46">
        <v>0</v>
      </c>
      <c r="K340" s="46">
        <v>1</v>
      </c>
      <c r="L340" s="46">
        <f t="shared" si="75"/>
        <v>3</v>
      </c>
      <c r="M340" s="46">
        <f t="shared" si="76"/>
        <v>1</v>
      </c>
      <c r="N340" s="45">
        <f t="shared" si="77"/>
        <v>223650</v>
      </c>
      <c r="O340" s="45">
        <f t="shared" si="78"/>
        <v>74550</v>
      </c>
      <c r="P340" s="46">
        <f t="shared" si="79"/>
        <v>3.3333333333333333E-2</v>
      </c>
      <c r="Q340" s="46">
        <v>3</v>
      </c>
      <c r="R340" s="45">
        <f t="shared" si="80"/>
        <v>223650</v>
      </c>
      <c r="S340" s="46">
        <f t="shared" si="81"/>
        <v>90</v>
      </c>
      <c r="T340" s="46">
        <f>IFERROR(VLOOKUP(A340,'[1]Re-order'!$A:$Q,17,0),"")</f>
        <v>33.652173913043477</v>
      </c>
      <c r="U340" s="46">
        <f>IFERROR(VLOOKUP(A340,'[1]MC Masterlist 2026-09-12'!$B:$M, 10, 0),0)</f>
        <v>15</v>
      </c>
      <c r="V340" s="46">
        <f>IFERROR(VLOOKUP(A340,'[1]MC Masterlist 2026-09-12'!$B:$M, 11, 0),0)</f>
        <v>15</v>
      </c>
      <c r="W340" s="46">
        <f t="shared" si="82"/>
        <v>30</v>
      </c>
      <c r="X340" s="46">
        <f t="shared" si="83"/>
        <v>6.5</v>
      </c>
      <c r="Y340" s="46">
        <f>IFERROR(IF(OR(C340="AREA I",C340="AREA V"),7,VLOOKUP(A340,'[1]MC Masterlist 2026-09-12'!$B:$M, 12, 0)),0)</f>
        <v>7</v>
      </c>
      <c r="Z340" s="46">
        <f t="shared" si="84"/>
        <v>0.5</v>
      </c>
      <c r="AA340" s="46">
        <f t="shared" si="85"/>
        <v>1</v>
      </c>
      <c r="AB340" s="46">
        <f t="shared" si="86"/>
        <v>0.21666666666666667</v>
      </c>
      <c r="AC340" s="46">
        <f t="shared" si="87"/>
        <v>0.23333333333333334</v>
      </c>
      <c r="AD340" s="44" t="str">
        <f t="shared" si="88"/>
        <v>Over</v>
      </c>
      <c r="AE340" s="44" t="str">
        <f>IFERROR(VLOOKUP(A340,'[1]Re-order'!$A:$AA,27,0),"")</f>
        <v>Re-order</v>
      </c>
      <c r="AF340" s="46">
        <f t="shared" si="89"/>
        <v>-2.7666666666666666</v>
      </c>
      <c r="AG340" s="46">
        <f>SUMIFS('[1]Raw Inventory'!D:D,'[1]Raw Inventory'!C:C,"GREATWALL",'[1]Raw Inventory'!B:B,A340)</f>
        <v>28</v>
      </c>
      <c r="AH340" s="46">
        <f>SUMIFS('[1]Raw Inventory'!D:D,'[1]Raw Inventory'!C:C,"DUARTE",'[1]Raw Inventory'!B:B,A340)</f>
        <v>0</v>
      </c>
      <c r="AI340" s="46"/>
      <c r="AJ340" s="46"/>
      <c r="AK340" s="43"/>
      <c r="AL340" s="43"/>
      <c r="AM340" s="43"/>
      <c r="AN340" s="43"/>
      <c r="AO340" s="43"/>
      <c r="AP340" s="43"/>
      <c r="AQ340" s="43"/>
      <c r="AR340" s="43"/>
      <c r="AS340" s="43"/>
      <c r="AT340" s="43"/>
    </row>
    <row r="341" spans="1:46">
      <c r="A341" s="43" t="s">
        <v>107</v>
      </c>
      <c r="B341" s="43" t="s">
        <v>161</v>
      </c>
      <c r="C341" s="43" t="s">
        <v>159</v>
      </c>
      <c r="D341" s="44" t="s">
        <v>277</v>
      </c>
      <c r="E341" s="44">
        <v>1</v>
      </c>
      <c r="F341" s="44" t="s">
        <v>0</v>
      </c>
      <c r="G341" s="43" t="str">
        <f>IFERROR(VLOOKUP(A341,'[1]MC Masterlist 2026-09-12'!$B:$M, 3, 0),"")</f>
        <v>SUZUKI</v>
      </c>
      <c r="H341" s="45">
        <f>IFERROR(VLOOKUP(A341,'[1]MC Masterlist 2026-09-12'!$B:$M, 6, 0),"")</f>
        <v>89662</v>
      </c>
      <c r="I341" s="46">
        <v>0</v>
      </c>
      <c r="J341" s="46">
        <v>0</v>
      </c>
      <c r="K341" s="46">
        <v>0</v>
      </c>
      <c r="L341" s="46">
        <f t="shared" si="75"/>
        <v>0</v>
      </c>
      <c r="M341" s="46">
        <f t="shared" si="76"/>
        <v>0</v>
      </c>
      <c r="N341" s="45">
        <f t="shared" si="77"/>
        <v>0</v>
      </c>
      <c r="O341" s="45">
        <f t="shared" si="78"/>
        <v>0</v>
      </c>
      <c r="P341" s="46">
        <f t="shared" si="79"/>
        <v>0</v>
      </c>
      <c r="Q341" s="46">
        <v>1</v>
      </c>
      <c r="R341" s="45">
        <f t="shared" si="80"/>
        <v>89662</v>
      </c>
      <c r="S341" s="46">
        <f t="shared" si="81"/>
        <v>0</v>
      </c>
      <c r="T341" s="46">
        <f>IFERROR(VLOOKUP(A341,'[1]Re-order'!$A:$Q,17,0),"")</f>
        <v>112.5</v>
      </c>
      <c r="U341" s="46">
        <f>IFERROR(VLOOKUP(A341,'[1]MC Masterlist 2026-09-12'!$B:$M, 10, 0),0)</f>
        <v>15</v>
      </c>
      <c r="V341" s="46">
        <f>IFERROR(VLOOKUP(A341,'[1]MC Masterlist 2026-09-12'!$B:$M, 11, 0),0)</f>
        <v>15</v>
      </c>
      <c r="W341" s="46">
        <f t="shared" si="82"/>
        <v>30</v>
      </c>
      <c r="X341" s="46">
        <f t="shared" si="83"/>
        <v>30</v>
      </c>
      <c r="Y341" s="46">
        <f>IFERROR(IF(OR(C341="AREA I",C341="AREA V"),7,VLOOKUP(A341,'[1]MC Masterlist 2026-09-12'!$B:$M, 12, 0)),0)</f>
        <v>30</v>
      </c>
      <c r="Z341" s="46">
        <f t="shared" si="84"/>
        <v>0</v>
      </c>
      <c r="AA341" s="46">
        <f t="shared" si="85"/>
        <v>0</v>
      </c>
      <c r="AB341" s="46">
        <f t="shared" si="86"/>
        <v>0</v>
      </c>
      <c r="AC341" s="46">
        <f t="shared" si="87"/>
        <v>0</v>
      </c>
      <c r="AD341" s="44" t="str">
        <f t="shared" si="88"/>
        <v>Over</v>
      </c>
      <c r="AE341" s="44" t="str">
        <f>IFERROR(VLOOKUP(A341,'[1]Re-order'!$A:$AA,27,0),"")</f>
        <v>Over</v>
      </c>
      <c r="AF341" s="46">
        <f t="shared" si="89"/>
        <v>-1</v>
      </c>
      <c r="AG341" s="46">
        <f>SUMIFS('[1]Raw Inventory'!D:D,'[1]Raw Inventory'!C:C,"GREATWALL",'[1]Raw Inventory'!B:B,A341)</f>
        <v>0</v>
      </c>
      <c r="AH341" s="46">
        <f>SUMIFS('[1]Raw Inventory'!D:D,'[1]Raw Inventory'!C:C,"DUARTE",'[1]Raw Inventory'!B:B,A341)</f>
        <v>0</v>
      </c>
      <c r="AI341" s="46"/>
      <c r="AJ341" s="46"/>
      <c r="AK341" s="43"/>
      <c r="AL341" s="43"/>
      <c r="AM341" s="43"/>
      <c r="AN341" s="43"/>
      <c r="AO341" s="43"/>
      <c r="AP341" s="43"/>
      <c r="AQ341" s="43"/>
      <c r="AR341" s="43"/>
      <c r="AS341" s="43"/>
      <c r="AT341" s="43"/>
    </row>
    <row r="342" spans="1:46">
      <c r="A342" s="43" t="s">
        <v>43</v>
      </c>
      <c r="B342" s="43" t="s">
        <v>27</v>
      </c>
      <c r="C342" s="43" t="s">
        <v>1</v>
      </c>
      <c r="D342" s="44" t="s">
        <v>232</v>
      </c>
      <c r="E342" s="44">
        <v>30</v>
      </c>
      <c r="F342" s="44" t="s">
        <v>3</v>
      </c>
      <c r="G342" s="43" t="str">
        <f>IFERROR(VLOOKUP(A342,'[1]MC Masterlist 2026-09-12'!$B:$M, 3, 0),"")</f>
        <v>YAMAHA</v>
      </c>
      <c r="H342" s="45">
        <f>IFERROR(VLOOKUP(A342,'[1]MC Masterlist 2026-09-12'!$B:$M, 6, 0),"")</f>
        <v>70587</v>
      </c>
      <c r="I342" s="46">
        <v>0</v>
      </c>
      <c r="J342" s="46">
        <v>0</v>
      </c>
      <c r="K342" s="46">
        <v>0</v>
      </c>
      <c r="L342" s="46">
        <f t="shared" si="75"/>
        <v>0</v>
      </c>
      <c r="M342" s="46">
        <f t="shared" si="76"/>
        <v>0</v>
      </c>
      <c r="N342" s="45">
        <f t="shared" si="77"/>
        <v>0</v>
      </c>
      <c r="O342" s="45">
        <f t="shared" si="78"/>
        <v>0</v>
      </c>
      <c r="P342" s="46">
        <f t="shared" si="79"/>
        <v>0</v>
      </c>
      <c r="Q342" s="46">
        <v>1</v>
      </c>
      <c r="R342" s="45">
        <f t="shared" si="80"/>
        <v>70587</v>
      </c>
      <c r="S342" s="46">
        <f t="shared" si="81"/>
        <v>0</v>
      </c>
      <c r="T342" s="46">
        <f>IFERROR(VLOOKUP(A342,'[1]Re-order'!$A:$Q,17,0),"")</f>
        <v>43.578947368421055</v>
      </c>
      <c r="U342" s="46">
        <f>IFERROR(VLOOKUP(A342,'[1]MC Masterlist 2026-09-12'!$B:$M, 10, 0),0)</f>
        <v>15</v>
      </c>
      <c r="V342" s="46">
        <f>IFERROR(VLOOKUP(A342,'[1]MC Masterlist 2026-09-12'!$B:$M, 11, 0),0)</f>
        <v>15</v>
      </c>
      <c r="W342" s="46">
        <f t="shared" si="82"/>
        <v>30</v>
      </c>
      <c r="X342" s="46">
        <f t="shared" si="83"/>
        <v>7</v>
      </c>
      <c r="Y342" s="46">
        <f>IFERROR(IF(OR(C342="AREA I",C342="AREA V"),7,VLOOKUP(A342,'[1]MC Masterlist 2026-09-12'!$B:$M, 12, 0)),0)</f>
        <v>7</v>
      </c>
      <c r="Z342" s="46">
        <f t="shared" si="84"/>
        <v>0</v>
      </c>
      <c r="AA342" s="46">
        <f t="shared" si="85"/>
        <v>0</v>
      </c>
      <c r="AB342" s="46">
        <f t="shared" si="86"/>
        <v>0</v>
      </c>
      <c r="AC342" s="46">
        <f t="shared" si="87"/>
        <v>0</v>
      </c>
      <c r="AD342" s="44" t="str">
        <f t="shared" si="88"/>
        <v>Over</v>
      </c>
      <c r="AE342" s="44" t="str">
        <f>IFERROR(VLOOKUP(A342,'[1]Re-order'!$A:$AA,27,0),"")</f>
        <v>Re-order</v>
      </c>
      <c r="AF342" s="46">
        <f t="shared" si="89"/>
        <v>-1</v>
      </c>
      <c r="AG342" s="46">
        <f>SUMIFS('[1]Raw Inventory'!D:D,'[1]Raw Inventory'!C:C,"GREATWALL",'[1]Raw Inventory'!B:B,A342)</f>
        <v>0</v>
      </c>
      <c r="AH342" s="46">
        <f>SUMIFS('[1]Raw Inventory'!D:D,'[1]Raw Inventory'!C:C,"DUARTE",'[1]Raw Inventory'!B:B,A342)</f>
        <v>0</v>
      </c>
      <c r="AI342" s="46"/>
      <c r="AJ342" s="46"/>
      <c r="AK342" s="43"/>
      <c r="AL342" s="43"/>
      <c r="AM342" s="43"/>
      <c r="AN342" s="43"/>
      <c r="AO342" s="43"/>
      <c r="AP342" s="43"/>
      <c r="AQ342" s="43"/>
      <c r="AR342" s="43"/>
      <c r="AS342" s="43"/>
      <c r="AT342" s="43"/>
    </row>
    <row r="343" spans="1:46">
      <c r="A343" s="43" t="s">
        <v>65</v>
      </c>
      <c r="B343" s="43" t="s">
        <v>141</v>
      </c>
      <c r="C343" s="43" t="s">
        <v>137</v>
      </c>
      <c r="D343" s="44" t="s">
        <v>260</v>
      </c>
      <c r="E343" s="44">
        <v>28</v>
      </c>
      <c r="F343" s="44" t="s">
        <v>3</v>
      </c>
      <c r="G343" s="43" t="str">
        <f>IFERROR(VLOOKUP(A343,'[1]MC Masterlist 2026-09-12'!$B:$M, 3, 0),"")</f>
        <v>SUZUKI</v>
      </c>
      <c r="H343" s="45">
        <f>IFERROR(VLOOKUP(A343,'[1]MC Masterlist 2026-09-12'!$B:$M, 6, 0),"")</f>
        <v>77572</v>
      </c>
      <c r="I343" s="46">
        <v>0</v>
      </c>
      <c r="J343" s="46">
        <v>0</v>
      </c>
      <c r="K343" s="46">
        <v>0</v>
      </c>
      <c r="L343" s="46">
        <f t="shared" si="75"/>
        <v>0</v>
      </c>
      <c r="M343" s="46">
        <f t="shared" si="76"/>
        <v>0</v>
      </c>
      <c r="N343" s="45">
        <f t="shared" si="77"/>
        <v>0</v>
      </c>
      <c r="O343" s="45">
        <f t="shared" si="78"/>
        <v>0</v>
      </c>
      <c r="P343" s="46">
        <f t="shared" si="79"/>
        <v>0</v>
      </c>
      <c r="Q343" s="46">
        <v>2</v>
      </c>
      <c r="R343" s="45">
        <f t="shared" si="80"/>
        <v>155144</v>
      </c>
      <c r="S343" s="46">
        <f t="shared" si="81"/>
        <v>0</v>
      </c>
      <c r="T343" s="46">
        <f>IFERROR(VLOOKUP(A343,'[1]Re-order'!$A:$Q,17,0),"")</f>
        <v>158.8235294117647</v>
      </c>
      <c r="U343" s="46">
        <f>IFERROR(VLOOKUP(A343,'[1]MC Masterlist 2026-09-12'!$B:$M, 10, 0),0)</f>
        <v>15</v>
      </c>
      <c r="V343" s="46">
        <f>IFERROR(VLOOKUP(A343,'[1]MC Masterlist 2026-09-12'!$B:$M, 11, 0),0)</f>
        <v>15</v>
      </c>
      <c r="W343" s="46">
        <f t="shared" si="82"/>
        <v>30</v>
      </c>
      <c r="X343" s="46">
        <f t="shared" si="83"/>
        <v>7</v>
      </c>
      <c r="Y343" s="46">
        <f>IFERROR(IF(OR(C343="AREA I",C343="AREA V"),7,VLOOKUP(A343,'[1]MC Masterlist 2026-09-12'!$B:$M, 12, 0)),0)</f>
        <v>7</v>
      </c>
      <c r="Z343" s="46">
        <f t="shared" si="84"/>
        <v>0</v>
      </c>
      <c r="AA343" s="46">
        <f t="shared" si="85"/>
        <v>0</v>
      </c>
      <c r="AB343" s="46">
        <f t="shared" si="86"/>
        <v>0</v>
      </c>
      <c r="AC343" s="46">
        <f t="shared" si="87"/>
        <v>0</v>
      </c>
      <c r="AD343" s="44" t="str">
        <f t="shared" si="88"/>
        <v>Over</v>
      </c>
      <c r="AE343" s="44" t="str">
        <f>IFERROR(VLOOKUP(A343,'[1]Re-order'!$A:$AA,27,0),"")</f>
        <v>Over</v>
      </c>
      <c r="AF343" s="46">
        <f t="shared" si="89"/>
        <v>-2</v>
      </c>
      <c r="AG343" s="46">
        <f>SUMIFS('[1]Raw Inventory'!D:D,'[1]Raw Inventory'!C:C,"GREATWALL",'[1]Raw Inventory'!B:B,A343)</f>
        <v>4</v>
      </c>
      <c r="AH343" s="46">
        <f>SUMIFS('[1]Raw Inventory'!D:D,'[1]Raw Inventory'!C:C,"DUARTE",'[1]Raw Inventory'!B:B,A343)</f>
        <v>0</v>
      </c>
      <c r="AI343" s="46"/>
      <c r="AJ343" s="46"/>
      <c r="AK343" s="43"/>
      <c r="AL343" s="43"/>
      <c r="AM343" s="43"/>
      <c r="AN343" s="43"/>
      <c r="AO343" s="43"/>
      <c r="AP343" s="43"/>
      <c r="AQ343" s="43"/>
      <c r="AR343" s="43"/>
      <c r="AS343" s="43"/>
      <c r="AT343" s="43"/>
    </row>
    <row r="344" spans="1:46">
      <c r="A344" s="43" t="s">
        <v>40</v>
      </c>
      <c r="B344" s="43" t="s">
        <v>92</v>
      </c>
      <c r="C344" s="43" t="s">
        <v>90</v>
      </c>
      <c r="D344" s="44" t="s">
        <v>247</v>
      </c>
      <c r="E344" s="44">
        <v>27</v>
      </c>
      <c r="F344" s="44" t="s">
        <v>3</v>
      </c>
      <c r="G344" s="43" t="str">
        <f>IFERROR(VLOOKUP(A344,'[1]MC Masterlist 2026-09-12'!$B:$M, 3, 0),"")</f>
        <v>HONDA</v>
      </c>
      <c r="H344" s="45">
        <f>IFERROR(VLOOKUP(A344,'[1]MC Masterlist 2026-09-12'!$B:$M, 6, 0),"")</f>
        <v>56426</v>
      </c>
      <c r="I344" s="46">
        <v>0</v>
      </c>
      <c r="J344" s="46">
        <v>1</v>
      </c>
      <c r="K344" s="46">
        <v>0</v>
      </c>
      <c r="L344" s="46">
        <f t="shared" si="75"/>
        <v>1</v>
      </c>
      <c r="M344" s="46">
        <f t="shared" si="76"/>
        <v>0.33333333333333331</v>
      </c>
      <c r="N344" s="45">
        <f t="shared" si="77"/>
        <v>56426</v>
      </c>
      <c r="O344" s="45">
        <f t="shared" si="78"/>
        <v>18808.666666666664</v>
      </c>
      <c r="P344" s="46">
        <f t="shared" si="79"/>
        <v>1.111111111111111E-2</v>
      </c>
      <c r="Q344" s="46"/>
      <c r="R344" s="45">
        <f t="shared" si="80"/>
        <v>0</v>
      </c>
      <c r="S344" s="46">
        <f t="shared" si="81"/>
        <v>0</v>
      </c>
      <c r="T344" s="46">
        <f>IFERROR(VLOOKUP(A344,'[1]Re-order'!$A:$Q,17,0),"")</f>
        <v>139.56521739130434</v>
      </c>
      <c r="U344" s="46">
        <f>IFERROR(VLOOKUP(A344,'[1]MC Masterlist 2026-09-12'!$B:$M, 10, 0),0)</f>
        <v>15</v>
      </c>
      <c r="V344" s="46">
        <f>IFERROR(VLOOKUP(A344,'[1]MC Masterlist 2026-09-12'!$B:$M, 11, 0),0)</f>
        <v>15</v>
      </c>
      <c r="W344" s="46">
        <f t="shared" si="82"/>
        <v>30</v>
      </c>
      <c r="X344" s="46">
        <f t="shared" si="83"/>
        <v>29.833333333333332</v>
      </c>
      <c r="Y344" s="46">
        <f>IFERROR(IF(OR(C344="AREA I",C344="AREA V"),7,VLOOKUP(A344,'[1]MC Masterlist 2026-09-12'!$B:$M, 12, 0)),0)</f>
        <v>30</v>
      </c>
      <c r="Z344" s="46">
        <f t="shared" si="84"/>
        <v>0.16666666666666666</v>
      </c>
      <c r="AA344" s="46">
        <f t="shared" si="85"/>
        <v>0.33333333333333331</v>
      </c>
      <c r="AB344" s="46">
        <f t="shared" si="86"/>
        <v>0.33148148148148143</v>
      </c>
      <c r="AC344" s="46">
        <f t="shared" si="87"/>
        <v>0.33333333333333331</v>
      </c>
      <c r="AD344" s="44" t="str">
        <f t="shared" si="88"/>
        <v>Stockout</v>
      </c>
      <c r="AE344" s="44" t="str">
        <f>IFERROR(VLOOKUP(A344,'[1]Re-order'!$A:$AA,27,0),"")</f>
        <v>Over</v>
      </c>
      <c r="AF344" s="46">
        <f t="shared" si="89"/>
        <v>0.33333333333333331</v>
      </c>
      <c r="AG344" s="46">
        <f>SUMIFS('[1]Raw Inventory'!D:D,'[1]Raw Inventory'!C:C,"GREATWALL",'[1]Raw Inventory'!B:B,A344)</f>
        <v>45</v>
      </c>
      <c r="AH344" s="46">
        <f>SUMIFS('[1]Raw Inventory'!D:D,'[1]Raw Inventory'!C:C,"DUARTE",'[1]Raw Inventory'!B:B,A344)</f>
        <v>0</v>
      </c>
      <c r="AI344" s="46"/>
      <c r="AJ344" s="46"/>
      <c r="AK344" s="43"/>
      <c r="AL344" s="43"/>
      <c r="AM344" s="43"/>
      <c r="AN344" s="43"/>
      <c r="AO344" s="43"/>
      <c r="AP344" s="43"/>
      <c r="AQ344" s="43"/>
      <c r="AR344" s="43"/>
      <c r="AS344" s="43"/>
      <c r="AT344" s="43"/>
    </row>
    <row r="345" spans="1:46">
      <c r="A345" s="43" t="s">
        <v>20</v>
      </c>
      <c r="B345" s="43" t="s">
        <v>248</v>
      </c>
      <c r="C345" s="43"/>
      <c r="D345" s="44" t="s">
        <v>230</v>
      </c>
      <c r="E345" s="44">
        <v>1</v>
      </c>
      <c r="F345" s="44" t="s">
        <v>0</v>
      </c>
      <c r="G345" s="43" t="str">
        <f>IFERROR(VLOOKUP(A345,'[1]MC Masterlist 2026-09-12'!$B:$M, 3, 0),"")</f>
        <v>HONDA</v>
      </c>
      <c r="H345" s="45">
        <f>IFERROR(VLOOKUP(A345,'[1]MC Masterlist 2026-09-12'!$B:$M, 6, 0),"")</f>
        <v>69950</v>
      </c>
      <c r="I345" s="46">
        <v>0</v>
      </c>
      <c r="J345" s="46">
        <v>0</v>
      </c>
      <c r="K345" s="46">
        <v>0</v>
      </c>
      <c r="L345" s="46">
        <f t="shared" si="75"/>
        <v>0</v>
      </c>
      <c r="M345" s="46">
        <f t="shared" si="76"/>
        <v>0</v>
      </c>
      <c r="N345" s="45">
        <f t="shared" si="77"/>
        <v>0</v>
      </c>
      <c r="O345" s="45">
        <f t="shared" si="78"/>
        <v>0</v>
      </c>
      <c r="P345" s="46">
        <f t="shared" si="79"/>
        <v>0</v>
      </c>
      <c r="Q345" s="46">
        <v>2</v>
      </c>
      <c r="R345" s="45">
        <f t="shared" si="80"/>
        <v>139900</v>
      </c>
      <c r="S345" s="46">
        <f t="shared" si="81"/>
        <v>0</v>
      </c>
      <c r="T345" s="46">
        <f>IFERROR(VLOOKUP(A345,'[1]Re-order'!$A:$Q,17,0),"")</f>
        <v>75.775862068965523</v>
      </c>
      <c r="U345" s="46">
        <f>IFERROR(VLOOKUP(A345,'[1]MC Masterlist 2026-09-12'!$B:$M, 10, 0),0)</f>
        <v>15</v>
      </c>
      <c r="V345" s="46">
        <f>IFERROR(VLOOKUP(A345,'[1]MC Masterlist 2026-09-12'!$B:$M, 11, 0),0)</f>
        <v>15</v>
      </c>
      <c r="W345" s="46">
        <f t="shared" si="82"/>
        <v>30</v>
      </c>
      <c r="X345" s="46">
        <f t="shared" si="83"/>
        <v>30</v>
      </c>
      <c r="Y345" s="46">
        <f>IFERROR(IF(OR(C345="AREA I",C345="AREA V"),7,VLOOKUP(A345,'[1]MC Masterlist 2026-09-12'!$B:$M, 12, 0)),0)</f>
        <v>30</v>
      </c>
      <c r="Z345" s="46">
        <f t="shared" si="84"/>
        <v>0</v>
      </c>
      <c r="AA345" s="46">
        <f t="shared" si="85"/>
        <v>0</v>
      </c>
      <c r="AB345" s="46">
        <f t="shared" si="86"/>
        <v>0</v>
      </c>
      <c r="AC345" s="46">
        <f t="shared" si="87"/>
        <v>0</v>
      </c>
      <c r="AD345" s="44" t="str">
        <f t="shared" si="88"/>
        <v>Over</v>
      </c>
      <c r="AE345" s="44" t="str">
        <f>IFERROR(VLOOKUP(A345,'[1]Re-order'!$A:$AA,27,0),"")</f>
        <v/>
      </c>
      <c r="AF345" s="46">
        <f t="shared" si="89"/>
        <v>-2</v>
      </c>
      <c r="AG345" s="46">
        <f>SUMIFS('[1]Raw Inventory'!D:D,'[1]Raw Inventory'!C:C,"GREATWALL",'[1]Raw Inventory'!B:B,A345)</f>
        <v>110</v>
      </c>
      <c r="AH345" s="46">
        <f>SUMIFS('[1]Raw Inventory'!D:D,'[1]Raw Inventory'!C:C,"DUARTE",'[1]Raw Inventory'!B:B,A345)</f>
        <v>0</v>
      </c>
      <c r="AI345" s="46"/>
      <c r="AJ345" s="46"/>
      <c r="AK345" s="43"/>
      <c r="AL345" s="43"/>
      <c r="AM345" s="43"/>
      <c r="AN345" s="43"/>
      <c r="AO345" s="43"/>
      <c r="AP345" s="43"/>
      <c r="AQ345" s="43"/>
      <c r="AR345" s="43"/>
      <c r="AS345" s="43"/>
      <c r="AT345" s="43"/>
    </row>
    <row r="346" spans="1:46">
      <c r="A346" s="43" t="s">
        <v>40</v>
      </c>
      <c r="B346" s="43" t="s">
        <v>95</v>
      </c>
      <c r="C346" s="43" t="s">
        <v>90</v>
      </c>
      <c r="D346" s="44" t="s">
        <v>247</v>
      </c>
      <c r="E346" s="44">
        <v>21</v>
      </c>
      <c r="F346" s="44" t="s">
        <v>3</v>
      </c>
      <c r="G346" s="43" t="str">
        <f>IFERROR(VLOOKUP(A346,'[1]MC Masterlist 2026-09-12'!$B:$M, 3, 0),"")</f>
        <v>HONDA</v>
      </c>
      <c r="H346" s="45">
        <f>IFERROR(VLOOKUP(A346,'[1]MC Masterlist 2026-09-12'!$B:$M, 6, 0),"")</f>
        <v>56426</v>
      </c>
      <c r="I346" s="46">
        <v>0</v>
      </c>
      <c r="J346" s="46">
        <v>1</v>
      </c>
      <c r="K346" s="46">
        <v>0</v>
      </c>
      <c r="L346" s="46">
        <f t="shared" si="75"/>
        <v>1</v>
      </c>
      <c r="M346" s="46">
        <f t="shared" si="76"/>
        <v>0.33333333333333331</v>
      </c>
      <c r="N346" s="45">
        <f t="shared" si="77"/>
        <v>56426</v>
      </c>
      <c r="O346" s="45">
        <f t="shared" si="78"/>
        <v>18808.666666666664</v>
      </c>
      <c r="P346" s="46">
        <f t="shared" si="79"/>
        <v>1.111111111111111E-2</v>
      </c>
      <c r="Q346" s="46"/>
      <c r="R346" s="45">
        <f t="shared" si="80"/>
        <v>0</v>
      </c>
      <c r="S346" s="46">
        <f t="shared" si="81"/>
        <v>0</v>
      </c>
      <c r="T346" s="46">
        <f>IFERROR(VLOOKUP(A346,'[1]Re-order'!$A:$Q,17,0),"")</f>
        <v>139.56521739130434</v>
      </c>
      <c r="U346" s="46">
        <f>IFERROR(VLOOKUP(A346,'[1]MC Masterlist 2026-09-12'!$B:$M, 10, 0),0)</f>
        <v>15</v>
      </c>
      <c r="V346" s="46">
        <f>IFERROR(VLOOKUP(A346,'[1]MC Masterlist 2026-09-12'!$B:$M, 11, 0),0)</f>
        <v>15</v>
      </c>
      <c r="W346" s="46">
        <f t="shared" si="82"/>
        <v>30</v>
      </c>
      <c r="X346" s="46">
        <f t="shared" si="83"/>
        <v>29.833333333333332</v>
      </c>
      <c r="Y346" s="46">
        <f>IFERROR(IF(OR(C346="AREA I",C346="AREA V"),7,VLOOKUP(A346,'[1]MC Masterlist 2026-09-12'!$B:$M, 12, 0)),0)</f>
        <v>30</v>
      </c>
      <c r="Z346" s="46">
        <f t="shared" si="84"/>
        <v>0.16666666666666666</v>
      </c>
      <c r="AA346" s="46">
        <f t="shared" si="85"/>
        <v>0.33333333333333331</v>
      </c>
      <c r="AB346" s="46">
        <f t="shared" si="86"/>
        <v>0.33148148148148143</v>
      </c>
      <c r="AC346" s="46">
        <f t="shared" si="87"/>
        <v>0.33333333333333331</v>
      </c>
      <c r="AD346" s="44" t="str">
        <f t="shared" si="88"/>
        <v>Stockout</v>
      </c>
      <c r="AE346" s="44" t="str">
        <f>IFERROR(VLOOKUP(A346,'[1]Re-order'!$A:$AA,27,0),"")</f>
        <v>Over</v>
      </c>
      <c r="AF346" s="46">
        <f t="shared" si="89"/>
        <v>0.33333333333333331</v>
      </c>
      <c r="AG346" s="46">
        <f>SUMIFS('[1]Raw Inventory'!D:D,'[1]Raw Inventory'!C:C,"GREATWALL",'[1]Raw Inventory'!B:B,A346)</f>
        <v>45</v>
      </c>
      <c r="AH346" s="46">
        <f>SUMIFS('[1]Raw Inventory'!D:D,'[1]Raw Inventory'!C:C,"DUARTE",'[1]Raw Inventory'!B:B,A346)</f>
        <v>0</v>
      </c>
      <c r="AI346" s="46"/>
      <c r="AJ346" s="46"/>
      <c r="AK346" s="43"/>
      <c r="AL346" s="43"/>
      <c r="AM346" s="43"/>
      <c r="AN346" s="43"/>
      <c r="AO346" s="43"/>
      <c r="AP346" s="43"/>
      <c r="AQ346" s="43"/>
      <c r="AR346" s="43"/>
      <c r="AS346" s="43"/>
      <c r="AT346" s="43"/>
    </row>
    <row r="347" spans="1:46">
      <c r="A347" s="43" t="s">
        <v>39</v>
      </c>
      <c r="B347" s="43" t="s">
        <v>154</v>
      </c>
      <c r="C347" s="43" t="s">
        <v>152</v>
      </c>
      <c r="D347" s="44" t="s">
        <v>242</v>
      </c>
      <c r="E347" s="44">
        <v>28</v>
      </c>
      <c r="F347" s="44" t="s">
        <v>3</v>
      </c>
      <c r="G347" s="43" t="str">
        <f>IFERROR(VLOOKUP(A347,'[1]MC Masterlist 2026-09-12'!$B:$M, 3, 0),"")</f>
        <v>HONDA</v>
      </c>
      <c r="H347" s="45">
        <f>IFERROR(VLOOKUP(A347,'[1]MC Masterlist 2026-09-12'!$B:$M, 6, 0),"")</f>
        <v>72434</v>
      </c>
      <c r="I347" s="46">
        <v>0</v>
      </c>
      <c r="J347" s="46">
        <v>0</v>
      </c>
      <c r="K347" s="46">
        <v>0</v>
      </c>
      <c r="L347" s="46">
        <f t="shared" si="75"/>
        <v>0</v>
      </c>
      <c r="M347" s="46">
        <f t="shared" si="76"/>
        <v>0</v>
      </c>
      <c r="N347" s="45">
        <f t="shared" si="77"/>
        <v>0</v>
      </c>
      <c r="O347" s="45">
        <f t="shared" si="78"/>
        <v>0</v>
      </c>
      <c r="P347" s="46">
        <f t="shared" si="79"/>
        <v>0</v>
      </c>
      <c r="Q347" s="46">
        <v>1</v>
      </c>
      <c r="R347" s="45">
        <f t="shared" si="80"/>
        <v>72434</v>
      </c>
      <c r="S347" s="46">
        <f t="shared" si="81"/>
        <v>0</v>
      </c>
      <c r="T347" s="46">
        <f>IFERROR(VLOOKUP(A347,'[1]Re-order'!$A:$Q,17,0),"")</f>
        <v>40.982142857142854</v>
      </c>
      <c r="U347" s="46">
        <f>IFERROR(VLOOKUP(A347,'[1]MC Masterlist 2026-09-12'!$B:$M, 10, 0),0)</f>
        <v>15</v>
      </c>
      <c r="V347" s="46">
        <f>IFERROR(VLOOKUP(A347,'[1]MC Masterlist 2026-09-12'!$B:$M, 11, 0),0)</f>
        <v>15</v>
      </c>
      <c r="W347" s="46">
        <f t="shared" si="82"/>
        <v>30</v>
      </c>
      <c r="X347" s="46">
        <f t="shared" si="83"/>
        <v>30</v>
      </c>
      <c r="Y347" s="46">
        <f>IFERROR(IF(OR(C347="AREA I",C347="AREA V"),7,VLOOKUP(A347,'[1]MC Masterlist 2026-09-12'!$B:$M, 12, 0)),0)</f>
        <v>30</v>
      </c>
      <c r="Z347" s="46">
        <f t="shared" si="84"/>
        <v>0</v>
      </c>
      <c r="AA347" s="46">
        <f t="shared" si="85"/>
        <v>0</v>
      </c>
      <c r="AB347" s="46">
        <f t="shared" si="86"/>
        <v>0</v>
      </c>
      <c r="AC347" s="46">
        <f t="shared" si="87"/>
        <v>0</v>
      </c>
      <c r="AD347" s="44" t="str">
        <f t="shared" si="88"/>
        <v>Over</v>
      </c>
      <c r="AE347" s="44" t="str">
        <f>IFERROR(VLOOKUP(A347,'[1]Re-order'!$A:$AA,27,0),"")</f>
        <v>Re-order</v>
      </c>
      <c r="AF347" s="46">
        <f t="shared" si="89"/>
        <v>-1</v>
      </c>
      <c r="AG347" s="46">
        <f>SUMIFS('[1]Raw Inventory'!D:D,'[1]Raw Inventory'!C:C,"GREATWALL",'[1]Raw Inventory'!B:B,A347)</f>
        <v>16</v>
      </c>
      <c r="AH347" s="46">
        <f>SUMIFS('[1]Raw Inventory'!D:D,'[1]Raw Inventory'!C:C,"DUARTE",'[1]Raw Inventory'!B:B,A347)</f>
        <v>0</v>
      </c>
      <c r="AI347" s="46"/>
      <c r="AJ347" s="46"/>
      <c r="AK347" s="43"/>
      <c r="AL347" s="43"/>
      <c r="AM347" s="43"/>
      <c r="AN347" s="43"/>
      <c r="AO347" s="43"/>
      <c r="AP347" s="43"/>
      <c r="AQ347" s="43"/>
      <c r="AR347" s="43"/>
      <c r="AS347" s="43"/>
      <c r="AT347" s="43"/>
    </row>
    <row r="348" spans="1:46">
      <c r="A348" s="43" t="s">
        <v>16</v>
      </c>
      <c r="B348" s="43" t="s">
        <v>92</v>
      </c>
      <c r="C348" s="43" t="s">
        <v>90</v>
      </c>
      <c r="D348" s="44" t="s">
        <v>230</v>
      </c>
      <c r="E348" s="44">
        <v>6</v>
      </c>
      <c r="F348" s="44" t="s">
        <v>0</v>
      </c>
      <c r="G348" s="43" t="str">
        <f>IFERROR(VLOOKUP(A348,'[1]MC Masterlist 2026-09-12'!$B:$M, 3, 0),"")</f>
        <v>HONDA</v>
      </c>
      <c r="H348" s="45">
        <f>IFERROR(VLOOKUP(A348,'[1]MC Masterlist 2026-09-12'!$B:$M, 6, 0),"")</f>
        <v>84394</v>
      </c>
      <c r="I348" s="46">
        <v>0</v>
      </c>
      <c r="J348" s="46">
        <v>4</v>
      </c>
      <c r="K348" s="46">
        <v>1</v>
      </c>
      <c r="L348" s="46">
        <f t="shared" si="75"/>
        <v>5</v>
      </c>
      <c r="M348" s="46">
        <f t="shared" si="76"/>
        <v>1.6666666666666667</v>
      </c>
      <c r="N348" s="45">
        <f t="shared" si="77"/>
        <v>421970</v>
      </c>
      <c r="O348" s="45">
        <f t="shared" si="78"/>
        <v>140656.66666666669</v>
      </c>
      <c r="P348" s="46">
        <f t="shared" si="79"/>
        <v>5.5555555555555559E-2</v>
      </c>
      <c r="Q348" s="46">
        <v>1</v>
      </c>
      <c r="R348" s="45">
        <f t="shared" si="80"/>
        <v>84394</v>
      </c>
      <c r="S348" s="46">
        <f t="shared" si="81"/>
        <v>17.999999999999996</v>
      </c>
      <c r="T348" s="46">
        <f>IFERROR(VLOOKUP(A348,'[1]Re-order'!$A:$Q,17,0),"")</f>
        <v>26.332665330661321</v>
      </c>
      <c r="U348" s="46">
        <f>IFERROR(VLOOKUP(A348,'[1]MC Masterlist 2026-09-12'!$B:$M, 10, 0),0)</f>
        <v>15</v>
      </c>
      <c r="V348" s="46">
        <f>IFERROR(VLOOKUP(A348,'[1]MC Masterlist 2026-09-12'!$B:$M, 11, 0),0)</f>
        <v>15</v>
      </c>
      <c r="W348" s="46">
        <f t="shared" si="82"/>
        <v>30</v>
      </c>
      <c r="X348" s="46">
        <f t="shared" si="83"/>
        <v>29.166666666666668</v>
      </c>
      <c r="Y348" s="46">
        <f>IFERROR(IF(OR(C348="AREA I",C348="AREA V"),7,VLOOKUP(A348,'[1]MC Masterlist 2026-09-12'!$B:$M, 12, 0)),0)</f>
        <v>30</v>
      </c>
      <c r="Z348" s="46">
        <f t="shared" si="84"/>
        <v>0.83333333333333337</v>
      </c>
      <c r="AA348" s="46">
        <f t="shared" si="85"/>
        <v>1.6666666666666667</v>
      </c>
      <c r="AB348" s="46">
        <f t="shared" si="86"/>
        <v>1.6203703703703705</v>
      </c>
      <c r="AC348" s="46">
        <f t="shared" si="87"/>
        <v>1.6666666666666667</v>
      </c>
      <c r="AD348" s="44" t="str">
        <f t="shared" si="88"/>
        <v>Re-order</v>
      </c>
      <c r="AE348" s="44" t="str">
        <f>IFERROR(VLOOKUP(A348,'[1]Re-order'!$A:$AA,27,0),"")</f>
        <v>Stockout</v>
      </c>
      <c r="AF348" s="46">
        <f t="shared" si="89"/>
        <v>0.66666666666666674</v>
      </c>
      <c r="AG348" s="46">
        <f>SUMIFS('[1]Raw Inventory'!D:D,'[1]Raw Inventory'!C:C,"GREATWALL",'[1]Raw Inventory'!B:B,A348)</f>
        <v>58</v>
      </c>
      <c r="AH348" s="46">
        <f>SUMIFS('[1]Raw Inventory'!D:D,'[1]Raw Inventory'!C:C,"DUARTE",'[1]Raw Inventory'!B:B,A348)</f>
        <v>0</v>
      </c>
      <c r="AI348" s="46"/>
      <c r="AJ348" s="46"/>
      <c r="AK348" s="43"/>
      <c r="AL348" s="43"/>
      <c r="AM348" s="43"/>
      <c r="AN348" s="43"/>
      <c r="AO348" s="43"/>
      <c r="AP348" s="43"/>
      <c r="AQ348" s="43"/>
      <c r="AR348" s="43"/>
      <c r="AS348" s="43"/>
      <c r="AT348" s="43"/>
    </row>
    <row r="349" spans="1:46">
      <c r="A349" s="43" t="s">
        <v>117</v>
      </c>
      <c r="B349" s="43" t="s">
        <v>160</v>
      </c>
      <c r="C349" s="43" t="s">
        <v>159</v>
      </c>
      <c r="D349" s="44" t="s">
        <v>272</v>
      </c>
      <c r="E349" s="44">
        <v>24</v>
      </c>
      <c r="F349" s="44" t="s">
        <v>3</v>
      </c>
      <c r="G349" s="43" t="str">
        <f>IFERROR(VLOOKUP(A349,'[1]MC Masterlist 2026-09-12'!$B:$M, 3, 0),"")</f>
        <v>HONDA</v>
      </c>
      <c r="H349" s="45">
        <f>IFERROR(VLOOKUP(A349,'[1]MC Masterlist 2026-09-12'!$B:$M, 6, 0),"")</f>
        <v>126990</v>
      </c>
      <c r="I349" s="46">
        <v>0</v>
      </c>
      <c r="J349" s="46">
        <v>0</v>
      </c>
      <c r="K349" s="46">
        <v>0</v>
      </c>
      <c r="L349" s="46">
        <f t="shared" si="75"/>
        <v>0</v>
      </c>
      <c r="M349" s="46">
        <f t="shared" si="76"/>
        <v>0</v>
      </c>
      <c r="N349" s="45">
        <f t="shared" si="77"/>
        <v>0</v>
      </c>
      <c r="O349" s="45">
        <f t="shared" si="78"/>
        <v>0</v>
      </c>
      <c r="P349" s="46">
        <f t="shared" si="79"/>
        <v>0</v>
      </c>
      <c r="Q349" s="46">
        <v>3</v>
      </c>
      <c r="R349" s="45">
        <f t="shared" si="80"/>
        <v>380970</v>
      </c>
      <c r="S349" s="46">
        <f t="shared" si="81"/>
        <v>0</v>
      </c>
      <c r="T349" s="46">
        <f>IFERROR(VLOOKUP(A349,'[1]Re-order'!$A:$Q,17,0),"")</f>
        <v>135</v>
      </c>
      <c r="U349" s="46">
        <f>IFERROR(VLOOKUP(A349,'[1]MC Masterlist 2026-09-12'!$B:$M, 10, 0),0)</f>
        <v>15</v>
      </c>
      <c r="V349" s="46">
        <f>IFERROR(VLOOKUP(A349,'[1]MC Masterlist 2026-09-12'!$B:$M, 11, 0),0)</f>
        <v>15</v>
      </c>
      <c r="W349" s="46">
        <f t="shared" si="82"/>
        <v>30</v>
      </c>
      <c r="X349" s="46">
        <f t="shared" si="83"/>
        <v>30</v>
      </c>
      <c r="Y349" s="46">
        <f>IFERROR(IF(OR(C349="AREA I",C349="AREA V"),7,VLOOKUP(A349,'[1]MC Masterlist 2026-09-12'!$B:$M, 12, 0)),0)</f>
        <v>30</v>
      </c>
      <c r="Z349" s="46">
        <f t="shared" si="84"/>
        <v>0</v>
      </c>
      <c r="AA349" s="46">
        <f t="shared" si="85"/>
        <v>0</v>
      </c>
      <c r="AB349" s="46">
        <f t="shared" si="86"/>
        <v>0</v>
      </c>
      <c r="AC349" s="46">
        <f t="shared" si="87"/>
        <v>0</v>
      </c>
      <c r="AD349" s="44" t="str">
        <f t="shared" si="88"/>
        <v>Over</v>
      </c>
      <c r="AE349" s="44" t="str">
        <f>IFERROR(VLOOKUP(A349,'[1]Re-order'!$A:$AA,27,0),"")</f>
        <v>Over</v>
      </c>
      <c r="AF349" s="46">
        <f t="shared" si="89"/>
        <v>-3</v>
      </c>
      <c r="AG349" s="46">
        <f>SUMIFS('[1]Raw Inventory'!D:D,'[1]Raw Inventory'!C:C,"GREATWALL",'[1]Raw Inventory'!B:B,A349)</f>
        <v>2</v>
      </c>
      <c r="AH349" s="46">
        <f>SUMIFS('[1]Raw Inventory'!D:D,'[1]Raw Inventory'!C:C,"DUARTE",'[1]Raw Inventory'!B:B,A349)</f>
        <v>0</v>
      </c>
      <c r="AI349" s="46"/>
      <c r="AJ349" s="46"/>
      <c r="AK349" s="43"/>
      <c r="AL349" s="43"/>
      <c r="AM349" s="43"/>
      <c r="AN349" s="43"/>
      <c r="AO349" s="43"/>
      <c r="AP349" s="43"/>
      <c r="AQ349" s="43"/>
      <c r="AR349" s="43"/>
      <c r="AS349" s="43"/>
      <c r="AT349" s="43"/>
    </row>
    <row r="350" spans="1:46">
      <c r="A350" s="43" t="s">
        <v>73</v>
      </c>
      <c r="B350" s="43" t="s">
        <v>131</v>
      </c>
      <c r="C350" s="43" t="s">
        <v>128</v>
      </c>
      <c r="D350" s="44" t="s">
        <v>232</v>
      </c>
      <c r="E350" s="44">
        <v>23</v>
      </c>
      <c r="F350" s="44" t="s">
        <v>3</v>
      </c>
      <c r="G350" s="43" t="str">
        <f>IFERROR(VLOOKUP(A350,'[1]MC Masterlist 2026-09-12'!$B:$M, 3, 0),"")</f>
        <v>SUZUKI</v>
      </c>
      <c r="H350" s="45">
        <f>IFERROR(VLOOKUP(A350,'[1]MC Masterlist 2026-09-12'!$B:$M, 6, 0),"")</f>
        <v>122770</v>
      </c>
      <c r="I350" s="46">
        <v>0</v>
      </c>
      <c r="J350" s="46">
        <v>0</v>
      </c>
      <c r="K350" s="46">
        <v>0</v>
      </c>
      <c r="L350" s="46">
        <f t="shared" si="75"/>
        <v>0</v>
      </c>
      <c r="M350" s="46">
        <f t="shared" si="76"/>
        <v>0</v>
      </c>
      <c r="N350" s="45">
        <f t="shared" si="77"/>
        <v>0</v>
      </c>
      <c r="O350" s="45">
        <f t="shared" si="78"/>
        <v>0</v>
      </c>
      <c r="P350" s="46">
        <f t="shared" si="79"/>
        <v>0</v>
      </c>
      <c r="Q350" s="46">
        <v>1</v>
      </c>
      <c r="R350" s="45">
        <f t="shared" si="80"/>
        <v>122770</v>
      </c>
      <c r="S350" s="46">
        <f t="shared" si="81"/>
        <v>0</v>
      </c>
      <c r="T350" s="46">
        <f>IFERROR(VLOOKUP(A350,'[1]Re-order'!$A:$Q,17,0),"")</f>
        <v>787.50000000000011</v>
      </c>
      <c r="U350" s="46">
        <f>IFERROR(VLOOKUP(A350,'[1]MC Masterlist 2026-09-12'!$B:$M, 10, 0),0)</f>
        <v>15</v>
      </c>
      <c r="V350" s="46">
        <f>IFERROR(VLOOKUP(A350,'[1]MC Masterlist 2026-09-12'!$B:$M, 11, 0),0)</f>
        <v>15</v>
      </c>
      <c r="W350" s="46">
        <f t="shared" si="82"/>
        <v>30</v>
      </c>
      <c r="X350" s="46">
        <f t="shared" si="83"/>
        <v>30</v>
      </c>
      <c r="Y350" s="46">
        <f>IFERROR(IF(OR(C350="AREA I",C350="AREA V"),7,VLOOKUP(A350,'[1]MC Masterlist 2026-09-12'!$B:$M, 12, 0)),0)</f>
        <v>30</v>
      </c>
      <c r="Z350" s="46">
        <f t="shared" si="84"/>
        <v>0</v>
      </c>
      <c r="AA350" s="46">
        <f t="shared" si="85"/>
        <v>0</v>
      </c>
      <c r="AB350" s="46">
        <f t="shared" si="86"/>
        <v>0</v>
      </c>
      <c r="AC350" s="46">
        <f t="shared" si="87"/>
        <v>0</v>
      </c>
      <c r="AD350" s="44" t="str">
        <f t="shared" si="88"/>
        <v>Over</v>
      </c>
      <c r="AE350" s="44" t="str">
        <f>IFERROR(VLOOKUP(A350,'[1]Re-order'!$A:$AA,27,0),"")</f>
        <v>Over</v>
      </c>
      <c r="AF350" s="46">
        <f t="shared" si="89"/>
        <v>-1</v>
      </c>
      <c r="AG350" s="46">
        <f>SUMIFS('[1]Raw Inventory'!D:D,'[1]Raw Inventory'!C:C,"GREATWALL",'[1]Raw Inventory'!B:B,A350)</f>
        <v>9</v>
      </c>
      <c r="AH350" s="46">
        <f>SUMIFS('[1]Raw Inventory'!D:D,'[1]Raw Inventory'!C:C,"DUARTE",'[1]Raw Inventory'!B:B,A350)</f>
        <v>0</v>
      </c>
      <c r="AI350" s="46"/>
      <c r="AJ350" s="46"/>
      <c r="AK350" s="43"/>
      <c r="AL350" s="43"/>
      <c r="AM350" s="43"/>
      <c r="AN350" s="43"/>
      <c r="AO350" s="43"/>
      <c r="AP350" s="43"/>
      <c r="AQ350" s="43"/>
      <c r="AR350" s="43"/>
      <c r="AS350" s="43"/>
      <c r="AT350" s="43"/>
    </row>
    <row r="351" spans="1:46">
      <c r="A351" s="43" t="s">
        <v>28</v>
      </c>
      <c r="B351" s="43" t="s">
        <v>161</v>
      </c>
      <c r="C351" s="43" t="s">
        <v>159</v>
      </c>
      <c r="D351" s="44" t="s">
        <v>250</v>
      </c>
      <c r="E351" s="44">
        <v>1</v>
      </c>
      <c r="F351" s="44" t="s">
        <v>0</v>
      </c>
      <c r="G351" s="43" t="str">
        <f>IFERROR(VLOOKUP(A351,'[1]MC Masterlist 2026-09-12'!$B:$M, 3, 0),"")</f>
        <v>YAMAHA</v>
      </c>
      <c r="H351" s="45">
        <f>IFERROR(VLOOKUP(A351,'[1]MC Masterlist 2026-09-12'!$B:$M, 6, 0),"")</f>
        <v>147312</v>
      </c>
      <c r="I351" s="46">
        <v>0</v>
      </c>
      <c r="J351" s="46">
        <v>0</v>
      </c>
      <c r="K351" s="46">
        <v>0</v>
      </c>
      <c r="L351" s="46">
        <f t="shared" si="75"/>
        <v>0</v>
      </c>
      <c r="M351" s="46">
        <f t="shared" si="76"/>
        <v>0</v>
      </c>
      <c r="N351" s="45">
        <f t="shared" si="77"/>
        <v>0</v>
      </c>
      <c r="O351" s="45">
        <f t="shared" si="78"/>
        <v>0</v>
      </c>
      <c r="P351" s="46">
        <f t="shared" si="79"/>
        <v>0</v>
      </c>
      <c r="Q351" s="46">
        <v>1</v>
      </c>
      <c r="R351" s="45">
        <f t="shared" si="80"/>
        <v>147312</v>
      </c>
      <c r="S351" s="46">
        <f t="shared" si="81"/>
        <v>0</v>
      </c>
      <c r="T351" s="46">
        <f>IFERROR(VLOOKUP(A351,'[1]Re-order'!$A:$Q,17,0),"")</f>
        <v>8.2417582417582427</v>
      </c>
      <c r="U351" s="46">
        <f>IFERROR(VLOOKUP(A351,'[1]MC Masterlist 2026-09-12'!$B:$M, 10, 0),0)</f>
        <v>15</v>
      </c>
      <c r="V351" s="46">
        <f>IFERROR(VLOOKUP(A351,'[1]MC Masterlist 2026-09-12'!$B:$M, 11, 0),0)</f>
        <v>15</v>
      </c>
      <c r="W351" s="46">
        <f t="shared" si="82"/>
        <v>30</v>
      </c>
      <c r="X351" s="46">
        <f t="shared" si="83"/>
        <v>30</v>
      </c>
      <c r="Y351" s="46">
        <f>IFERROR(IF(OR(C351="AREA I",C351="AREA V"),7,VLOOKUP(A351,'[1]MC Masterlist 2026-09-12'!$B:$M, 12, 0)),0)</f>
        <v>30</v>
      </c>
      <c r="Z351" s="46">
        <f t="shared" si="84"/>
        <v>0</v>
      </c>
      <c r="AA351" s="46">
        <f t="shared" si="85"/>
        <v>0</v>
      </c>
      <c r="AB351" s="46">
        <f t="shared" si="86"/>
        <v>0</v>
      </c>
      <c r="AC351" s="46">
        <f t="shared" si="87"/>
        <v>0</v>
      </c>
      <c r="AD351" s="44" t="str">
        <f t="shared" si="88"/>
        <v>Over</v>
      </c>
      <c r="AE351" s="44" t="str">
        <f>IFERROR(VLOOKUP(A351,'[1]Re-order'!$A:$AA,27,0),"")</f>
        <v>Stockout</v>
      </c>
      <c r="AF351" s="46">
        <f t="shared" si="89"/>
        <v>-1</v>
      </c>
      <c r="AG351" s="46">
        <f>SUMIFS('[1]Raw Inventory'!D:D,'[1]Raw Inventory'!C:C,"GREATWALL",'[1]Raw Inventory'!B:B,A351)</f>
        <v>0</v>
      </c>
      <c r="AH351" s="46">
        <f>SUMIFS('[1]Raw Inventory'!D:D,'[1]Raw Inventory'!C:C,"DUARTE",'[1]Raw Inventory'!B:B,A351)</f>
        <v>0</v>
      </c>
      <c r="AI351" s="46"/>
      <c r="AJ351" s="46"/>
      <c r="AK351" s="43"/>
      <c r="AL351" s="43"/>
      <c r="AM351" s="43"/>
      <c r="AN351" s="43"/>
      <c r="AO351" s="43"/>
      <c r="AP351" s="43"/>
      <c r="AQ351" s="43"/>
      <c r="AR351" s="43"/>
      <c r="AS351" s="43"/>
      <c r="AT351" s="43"/>
    </row>
    <row r="352" spans="1:46">
      <c r="A352" s="43" t="s">
        <v>125</v>
      </c>
      <c r="B352" s="43" t="s">
        <v>121</v>
      </c>
      <c r="C352" s="43" t="s">
        <v>118</v>
      </c>
      <c r="D352" s="44" t="s">
        <v>229</v>
      </c>
      <c r="E352" s="44">
        <v>25</v>
      </c>
      <c r="F352" s="44" t="s">
        <v>3</v>
      </c>
      <c r="G352" s="43" t="str">
        <f>IFERROR(VLOOKUP(A352,'[1]MC Masterlist 2026-09-12'!$B:$M, 3, 0),"")</f>
        <v>SUZUKI</v>
      </c>
      <c r="H352" s="45">
        <f>IFERROR(VLOOKUP(A352,'[1]MC Masterlist 2026-09-12'!$B:$M, 6, 0),"")</f>
        <v>68177</v>
      </c>
      <c r="I352" s="46">
        <v>1</v>
      </c>
      <c r="J352" s="46">
        <v>0</v>
      </c>
      <c r="K352" s="46">
        <v>0</v>
      </c>
      <c r="L352" s="46">
        <f t="shared" si="75"/>
        <v>1</v>
      </c>
      <c r="M352" s="46">
        <f t="shared" si="76"/>
        <v>0.33333333333333331</v>
      </c>
      <c r="N352" s="45">
        <f t="shared" si="77"/>
        <v>68177</v>
      </c>
      <c r="O352" s="45">
        <f t="shared" si="78"/>
        <v>22725.666666666664</v>
      </c>
      <c r="P352" s="46">
        <f t="shared" si="79"/>
        <v>1.111111111111111E-2</v>
      </c>
      <c r="Q352" s="46"/>
      <c r="R352" s="45">
        <f t="shared" si="80"/>
        <v>0</v>
      </c>
      <c r="S352" s="46">
        <f t="shared" si="81"/>
        <v>0</v>
      </c>
      <c r="T352" s="46">
        <f>IFERROR(VLOOKUP(A352,'[1]Re-order'!$A:$Q,17,0),"")</f>
        <v>90.000000000000014</v>
      </c>
      <c r="U352" s="46">
        <f>IFERROR(VLOOKUP(A352,'[1]MC Masterlist 2026-09-12'!$B:$M, 10, 0),0)</f>
        <v>15</v>
      </c>
      <c r="V352" s="46">
        <f>IFERROR(VLOOKUP(A352,'[1]MC Masterlist 2026-09-12'!$B:$M, 11, 0),0)</f>
        <v>15</v>
      </c>
      <c r="W352" s="46">
        <f t="shared" si="82"/>
        <v>30</v>
      </c>
      <c r="X352" s="46">
        <f t="shared" si="83"/>
        <v>29.833333333333332</v>
      </c>
      <c r="Y352" s="46">
        <f>IFERROR(IF(OR(C352="AREA I",C352="AREA V"),7,VLOOKUP(A352,'[1]MC Masterlist 2026-09-12'!$B:$M, 12, 0)),0)</f>
        <v>30</v>
      </c>
      <c r="Z352" s="46">
        <f t="shared" si="84"/>
        <v>0.16666666666666666</v>
      </c>
      <c r="AA352" s="46">
        <f t="shared" si="85"/>
        <v>0.33333333333333331</v>
      </c>
      <c r="AB352" s="46">
        <f t="shared" si="86"/>
        <v>0.33148148148148143</v>
      </c>
      <c r="AC352" s="46">
        <f t="shared" si="87"/>
        <v>0.33333333333333331</v>
      </c>
      <c r="AD352" s="44" t="str">
        <f t="shared" si="88"/>
        <v>Stockout</v>
      </c>
      <c r="AE352" s="44" t="str">
        <f>IFERROR(VLOOKUP(A352,'[1]Re-order'!$A:$AA,27,0),"")</f>
        <v/>
      </c>
      <c r="AF352" s="46">
        <f t="shared" si="89"/>
        <v>0.33333333333333331</v>
      </c>
      <c r="AG352" s="46">
        <f>SUMIFS('[1]Raw Inventory'!D:D,'[1]Raw Inventory'!C:C,"GREATWALL",'[1]Raw Inventory'!B:B,A352)</f>
        <v>0</v>
      </c>
      <c r="AH352" s="46">
        <f>SUMIFS('[1]Raw Inventory'!D:D,'[1]Raw Inventory'!C:C,"DUARTE",'[1]Raw Inventory'!B:B,A352)</f>
        <v>0</v>
      </c>
      <c r="AI352" s="46"/>
      <c r="AJ352" s="46"/>
      <c r="AK352" s="43"/>
      <c r="AL352" s="43"/>
      <c r="AM352" s="43"/>
      <c r="AN352" s="43"/>
      <c r="AO352" s="43"/>
      <c r="AP352" s="43"/>
      <c r="AQ352" s="43"/>
      <c r="AR352" s="43"/>
      <c r="AS352" s="43"/>
      <c r="AT352" s="43"/>
    </row>
    <row r="353" spans="1:46">
      <c r="A353" s="43" t="s">
        <v>33</v>
      </c>
      <c r="B353" s="43" t="s">
        <v>11</v>
      </c>
      <c r="C353" s="43" t="s">
        <v>1</v>
      </c>
      <c r="D353" s="44" t="s">
        <v>246</v>
      </c>
      <c r="E353" s="44">
        <v>11</v>
      </c>
      <c r="F353" s="44" t="s">
        <v>2</v>
      </c>
      <c r="G353" s="43" t="str">
        <f>IFERROR(VLOOKUP(A353,'[1]MC Masterlist 2026-09-12'!$B:$M, 3, 0),"")</f>
        <v>HONDA</v>
      </c>
      <c r="H353" s="45">
        <f>IFERROR(VLOOKUP(A353,'[1]MC Masterlist 2026-09-12'!$B:$M, 6, 0),"")</f>
        <v>251318</v>
      </c>
      <c r="I353" s="46">
        <v>0</v>
      </c>
      <c r="J353" s="46">
        <v>1</v>
      </c>
      <c r="K353" s="46">
        <v>1</v>
      </c>
      <c r="L353" s="46">
        <f t="shared" si="75"/>
        <v>2</v>
      </c>
      <c r="M353" s="46">
        <f t="shared" si="76"/>
        <v>0.66666666666666663</v>
      </c>
      <c r="N353" s="45">
        <f t="shared" si="77"/>
        <v>502636</v>
      </c>
      <c r="O353" s="45">
        <f t="shared" si="78"/>
        <v>167545.33333333331</v>
      </c>
      <c r="P353" s="46">
        <f t="shared" si="79"/>
        <v>2.222222222222222E-2</v>
      </c>
      <c r="Q353" s="46"/>
      <c r="R353" s="45">
        <f t="shared" si="80"/>
        <v>0</v>
      </c>
      <c r="S353" s="46">
        <f t="shared" si="81"/>
        <v>0</v>
      </c>
      <c r="T353" s="46">
        <f>IFERROR(VLOOKUP(A353,'[1]Re-order'!$A:$Q,17,0),"")</f>
        <v>10.588235294117647</v>
      </c>
      <c r="U353" s="46">
        <f>IFERROR(VLOOKUP(A353,'[1]MC Masterlist 2026-09-12'!$B:$M, 10, 0),0)</f>
        <v>15</v>
      </c>
      <c r="V353" s="46">
        <f>IFERROR(VLOOKUP(A353,'[1]MC Masterlist 2026-09-12'!$B:$M, 11, 0),0)</f>
        <v>15</v>
      </c>
      <c r="W353" s="46">
        <f t="shared" si="82"/>
        <v>30</v>
      </c>
      <c r="X353" s="46">
        <f t="shared" si="83"/>
        <v>6.666666666666667</v>
      </c>
      <c r="Y353" s="46">
        <f>IFERROR(IF(OR(C353="AREA I",C353="AREA V"),7,VLOOKUP(A353,'[1]MC Masterlist 2026-09-12'!$B:$M, 12, 0)),0)</f>
        <v>7</v>
      </c>
      <c r="Z353" s="46">
        <f t="shared" si="84"/>
        <v>0.33333333333333331</v>
      </c>
      <c r="AA353" s="46">
        <f t="shared" si="85"/>
        <v>0.66666666666666663</v>
      </c>
      <c r="AB353" s="46">
        <f t="shared" si="86"/>
        <v>0.14814814814814814</v>
      </c>
      <c r="AC353" s="46">
        <f t="shared" si="87"/>
        <v>0.15555555555555553</v>
      </c>
      <c r="AD353" s="44" t="str">
        <f t="shared" si="88"/>
        <v>Stockout</v>
      </c>
      <c r="AE353" s="44" t="str">
        <f>IFERROR(VLOOKUP(A353,'[1]Re-order'!$A:$AA,27,0),"")</f>
        <v>Stockout</v>
      </c>
      <c r="AF353" s="46">
        <f t="shared" si="89"/>
        <v>0.15555555555555553</v>
      </c>
      <c r="AG353" s="46">
        <f>SUMIFS('[1]Raw Inventory'!D:D,'[1]Raw Inventory'!C:C,"GREATWALL",'[1]Raw Inventory'!B:B,A353)</f>
        <v>0</v>
      </c>
      <c r="AH353" s="46">
        <f>SUMIFS('[1]Raw Inventory'!D:D,'[1]Raw Inventory'!C:C,"DUARTE",'[1]Raw Inventory'!B:B,A353)</f>
        <v>0</v>
      </c>
      <c r="AI353" s="46"/>
      <c r="AJ353" s="46"/>
      <c r="AK353" s="43"/>
      <c r="AL353" s="43"/>
      <c r="AM353" s="43"/>
      <c r="AN353" s="43"/>
      <c r="AO353" s="43"/>
      <c r="AP353" s="43"/>
      <c r="AQ353" s="43"/>
      <c r="AR353" s="43"/>
      <c r="AS353" s="43"/>
      <c r="AT353" s="43"/>
    </row>
    <row r="354" spans="1:46">
      <c r="A354" s="43" t="s">
        <v>65</v>
      </c>
      <c r="B354" s="43" t="s">
        <v>158</v>
      </c>
      <c r="C354" s="43" t="s">
        <v>152</v>
      </c>
      <c r="D354" s="44" t="s">
        <v>257</v>
      </c>
      <c r="E354" s="44">
        <v>23</v>
      </c>
      <c r="F354" s="44" t="s">
        <v>3</v>
      </c>
      <c r="G354" s="43" t="str">
        <f>IFERROR(VLOOKUP(A354,'[1]MC Masterlist 2026-09-12'!$B:$M, 3, 0),"")</f>
        <v>SUZUKI</v>
      </c>
      <c r="H354" s="45">
        <f>IFERROR(VLOOKUP(A354,'[1]MC Masterlist 2026-09-12'!$B:$M, 6, 0),"")</f>
        <v>77572</v>
      </c>
      <c r="I354" s="46">
        <v>0</v>
      </c>
      <c r="J354" s="46">
        <v>1</v>
      </c>
      <c r="K354" s="46">
        <v>0</v>
      </c>
      <c r="L354" s="46">
        <f t="shared" si="75"/>
        <v>1</v>
      </c>
      <c r="M354" s="46">
        <f t="shared" si="76"/>
        <v>0.33333333333333331</v>
      </c>
      <c r="N354" s="45">
        <f t="shared" si="77"/>
        <v>77572</v>
      </c>
      <c r="O354" s="45">
        <f t="shared" si="78"/>
        <v>25857.333333333332</v>
      </c>
      <c r="P354" s="46">
        <f t="shared" si="79"/>
        <v>1.111111111111111E-2</v>
      </c>
      <c r="Q354" s="46">
        <v>1</v>
      </c>
      <c r="R354" s="45">
        <f t="shared" si="80"/>
        <v>77572</v>
      </c>
      <c r="S354" s="46">
        <f t="shared" si="81"/>
        <v>90</v>
      </c>
      <c r="T354" s="46">
        <f>IFERROR(VLOOKUP(A354,'[1]Re-order'!$A:$Q,17,0),"")</f>
        <v>158.8235294117647</v>
      </c>
      <c r="U354" s="46">
        <f>IFERROR(VLOOKUP(A354,'[1]MC Masterlist 2026-09-12'!$B:$M, 10, 0),0)</f>
        <v>15</v>
      </c>
      <c r="V354" s="46">
        <f>IFERROR(VLOOKUP(A354,'[1]MC Masterlist 2026-09-12'!$B:$M, 11, 0),0)</f>
        <v>15</v>
      </c>
      <c r="W354" s="46">
        <f t="shared" si="82"/>
        <v>30</v>
      </c>
      <c r="X354" s="46">
        <f t="shared" si="83"/>
        <v>29.833333333333332</v>
      </c>
      <c r="Y354" s="46">
        <f>IFERROR(IF(OR(C354="AREA I",C354="AREA V"),7,VLOOKUP(A354,'[1]MC Masterlist 2026-09-12'!$B:$M, 12, 0)),0)</f>
        <v>30</v>
      </c>
      <c r="Z354" s="46">
        <f t="shared" si="84"/>
        <v>0.16666666666666666</v>
      </c>
      <c r="AA354" s="46">
        <f t="shared" si="85"/>
        <v>0.33333333333333331</v>
      </c>
      <c r="AB354" s="46">
        <f t="shared" si="86"/>
        <v>0.33148148148148143</v>
      </c>
      <c r="AC354" s="46">
        <f t="shared" si="87"/>
        <v>0.33333333333333331</v>
      </c>
      <c r="AD354" s="44" t="str">
        <f t="shared" si="88"/>
        <v>Over</v>
      </c>
      <c r="AE354" s="44" t="str">
        <f>IFERROR(VLOOKUP(A354,'[1]Re-order'!$A:$AA,27,0),"")</f>
        <v>Over</v>
      </c>
      <c r="AF354" s="46">
        <f t="shared" si="89"/>
        <v>-0.66666666666666674</v>
      </c>
      <c r="AG354" s="46">
        <f>SUMIFS('[1]Raw Inventory'!D:D,'[1]Raw Inventory'!C:C,"GREATWALL",'[1]Raw Inventory'!B:B,A354)</f>
        <v>4</v>
      </c>
      <c r="AH354" s="46">
        <f>SUMIFS('[1]Raw Inventory'!D:D,'[1]Raw Inventory'!C:C,"DUARTE",'[1]Raw Inventory'!B:B,A354)</f>
        <v>0</v>
      </c>
      <c r="AI354" s="46"/>
      <c r="AJ354" s="46"/>
      <c r="AK354" s="43"/>
      <c r="AL354" s="43"/>
      <c r="AM354" s="43"/>
      <c r="AN354" s="43"/>
      <c r="AO354" s="43"/>
      <c r="AP354" s="43"/>
      <c r="AQ354" s="43"/>
      <c r="AR354" s="43"/>
      <c r="AS354" s="43"/>
      <c r="AT354" s="43"/>
    </row>
    <row r="355" spans="1:46">
      <c r="A355" s="43" t="s">
        <v>85</v>
      </c>
      <c r="B355" s="43" t="s">
        <v>94</v>
      </c>
      <c r="C355" s="43" t="s">
        <v>90</v>
      </c>
      <c r="D355" s="44" t="s">
        <v>268</v>
      </c>
      <c r="E355" s="44">
        <v>23</v>
      </c>
      <c r="F355" s="44" t="s">
        <v>3</v>
      </c>
      <c r="G355" s="43" t="str">
        <f>IFERROR(VLOOKUP(A355,'[1]MC Masterlist 2026-09-12'!$B:$M, 3, 0),"")</f>
        <v>KAWASAKI</v>
      </c>
      <c r="H355" s="45">
        <f>IFERROR(VLOOKUP(A355,'[1]MC Masterlist 2026-09-12'!$B:$M, 6, 0),"")</f>
        <v>71560</v>
      </c>
      <c r="I355" s="46">
        <v>0</v>
      </c>
      <c r="J355" s="46">
        <v>0</v>
      </c>
      <c r="K355" s="46">
        <v>1</v>
      </c>
      <c r="L355" s="46">
        <f t="shared" si="75"/>
        <v>1</v>
      </c>
      <c r="M355" s="46">
        <f t="shared" si="76"/>
        <v>0.33333333333333331</v>
      </c>
      <c r="N355" s="45">
        <f t="shared" si="77"/>
        <v>71560</v>
      </c>
      <c r="O355" s="45">
        <f t="shared" si="78"/>
        <v>23853.333333333332</v>
      </c>
      <c r="P355" s="46">
        <f t="shared" si="79"/>
        <v>1.111111111111111E-2</v>
      </c>
      <c r="Q355" s="46">
        <v>1</v>
      </c>
      <c r="R355" s="45">
        <f t="shared" si="80"/>
        <v>71560</v>
      </c>
      <c r="S355" s="46">
        <f t="shared" si="81"/>
        <v>90</v>
      </c>
      <c r="T355" s="46">
        <f>IFERROR(VLOOKUP(A355,'[1]Re-order'!$A:$Q,17,0),"")</f>
        <v>157.5</v>
      </c>
      <c r="U355" s="46">
        <f>IFERROR(VLOOKUP(A355,'[1]MC Masterlist 2026-09-12'!$B:$M, 10, 0),0)</f>
        <v>15</v>
      </c>
      <c r="V355" s="46">
        <f>IFERROR(VLOOKUP(A355,'[1]MC Masterlist 2026-09-12'!$B:$M, 11, 0),0)</f>
        <v>15</v>
      </c>
      <c r="W355" s="46">
        <f t="shared" si="82"/>
        <v>30</v>
      </c>
      <c r="X355" s="46">
        <f t="shared" si="83"/>
        <v>29.833333333333332</v>
      </c>
      <c r="Y355" s="46">
        <f>IFERROR(IF(OR(C355="AREA I",C355="AREA V"),7,VLOOKUP(A355,'[1]MC Masterlist 2026-09-12'!$B:$M, 12, 0)),0)</f>
        <v>30</v>
      </c>
      <c r="Z355" s="46">
        <f t="shared" si="84"/>
        <v>0.16666666666666666</v>
      </c>
      <c r="AA355" s="46">
        <f t="shared" si="85"/>
        <v>0.33333333333333331</v>
      </c>
      <c r="AB355" s="46">
        <f t="shared" si="86"/>
        <v>0.33148148148148143</v>
      </c>
      <c r="AC355" s="46">
        <f t="shared" si="87"/>
        <v>0.33333333333333331</v>
      </c>
      <c r="AD355" s="44" t="str">
        <f t="shared" si="88"/>
        <v>Over</v>
      </c>
      <c r="AE355" s="44" t="str">
        <f>IFERROR(VLOOKUP(A355,'[1]Re-order'!$A:$AA,27,0),"")</f>
        <v>Over</v>
      </c>
      <c r="AF355" s="46">
        <f t="shared" si="89"/>
        <v>-0.66666666666666674</v>
      </c>
      <c r="AG355" s="46">
        <f>SUMIFS('[1]Raw Inventory'!D:D,'[1]Raw Inventory'!C:C,"GREATWALL",'[1]Raw Inventory'!B:B,A355)</f>
        <v>0</v>
      </c>
      <c r="AH355" s="46">
        <f>SUMIFS('[1]Raw Inventory'!D:D,'[1]Raw Inventory'!C:C,"DUARTE",'[1]Raw Inventory'!B:B,A355)</f>
        <v>0</v>
      </c>
      <c r="AI355" s="46"/>
      <c r="AJ355" s="46"/>
      <c r="AK355" s="43"/>
      <c r="AL355" s="43"/>
      <c r="AM355" s="43"/>
      <c r="AN355" s="43"/>
      <c r="AO355" s="43"/>
      <c r="AP355" s="43"/>
      <c r="AQ355" s="43"/>
      <c r="AR355" s="43"/>
      <c r="AS355" s="43"/>
      <c r="AT355" s="43"/>
    </row>
    <row r="356" spans="1:46">
      <c r="A356" s="43" t="s">
        <v>20</v>
      </c>
      <c r="B356" s="43" t="s">
        <v>158</v>
      </c>
      <c r="C356" s="43" t="s">
        <v>152</v>
      </c>
      <c r="D356" s="44" t="s">
        <v>262</v>
      </c>
      <c r="E356" s="44">
        <v>16</v>
      </c>
      <c r="F356" s="44" t="s">
        <v>2</v>
      </c>
      <c r="G356" s="43" t="str">
        <f>IFERROR(VLOOKUP(A356,'[1]MC Masterlist 2026-09-12'!$B:$M, 3, 0),"")</f>
        <v>HONDA</v>
      </c>
      <c r="H356" s="45">
        <f>IFERROR(VLOOKUP(A356,'[1]MC Masterlist 2026-09-12'!$B:$M, 6, 0),"")</f>
        <v>69950</v>
      </c>
      <c r="I356" s="46">
        <v>1</v>
      </c>
      <c r="J356" s="46">
        <v>0</v>
      </c>
      <c r="K356" s="46">
        <v>1</v>
      </c>
      <c r="L356" s="46">
        <f t="shared" si="75"/>
        <v>2</v>
      </c>
      <c r="M356" s="46">
        <f t="shared" si="76"/>
        <v>0.66666666666666663</v>
      </c>
      <c r="N356" s="45">
        <f t="shared" si="77"/>
        <v>139900</v>
      </c>
      <c r="O356" s="45">
        <f t="shared" si="78"/>
        <v>46633.333333333328</v>
      </c>
      <c r="P356" s="46">
        <f t="shared" si="79"/>
        <v>2.222222222222222E-2</v>
      </c>
      <c r="Q356" s="46">
        <v>5</v>
      </c>
      <c r="R356" s="45">
        <f t="shared" si="80"/>
        <v>349750</v>
      </c>
      <c r="S356" s="46">
        <f t="shared" si="81"/>
        <v>225.00000000000003</v>
      </c>
      <c r="T356" s="46">
        <f>IFERROR(VLOOKUP(A356,'[1]Re-order'!$A:$Q,17,0),"")</f>
        <v>75.775862068965523</v>
      </c>
      <c r="U356" s="46">
        <f>IFERROR(VLOOKUP(A356,'[1]MC Masterlist 2026-09-12'!$B:$M, 10, 0),0)</f>
        <v>15</v>
      </c>
      <c r="V356" s="46">
        <f>IFERROR(VLOOKUP(A356,'[1]MC Masterlist 2026-09-12'!$B:$M, 11, 0),0)</f>
        <v>15</v>
      </c>
      <c r="W356" s="46">
        <f t="shared" si="82"/>
        <v>30</v>
      </c>
      <c r="X356" s="46">
        <f t="shared" si="83"/>
        <v>29.666666666666668</v>
      </c>
      <c r="Y356" s="46">
        <f>IFERROR(IF(OR(C356="AREA I",C356="AREA V"),7,VLOOKUP(A356,'[1]MC Masterlist 2026-09-12'!$B:$M, 12, 0)),0)</f>
        <v>30</v>
      </c>
      <c r="Z356" s="46">
        <f t="shared" si="84"/>
        <v>0.33333333333333331</v>
      </c>
      <c r="AA356" s="46">
        <f t="shared" si="85"/>
        <v>0.66666666666666663</v>
      </c>
      <c r="AB356" s="46">
        <f t="shared" si="86"/>
        <v>0.65925925925925921</v>
      </c>
      <c r="AC356" s="46">
        <f t="shared" si="87"/>
        <v>0.66666666666666663</v>
      </c>
      <c r="AD356" s="44" t="str">
        <f t="shared" si="88"/>
        <v>Over</v>
      </c>
      <c r="AE356" s="44" t="str">
        <f>IFERROR(VLOOKUP(A356,'[1]Re-order'!$A:$AA,27,0),"")</f>
        <v/>
      </c>
      <c r="AF356" s="46">
        <f t="shared" si="89"/>
        <v>-4.333333333333333</v>
      </c>
      <c r="AG356" s="46">
        <f>SUMIFS('[1]Raw Inventory'!D:D,'[1]Raw Inventory'!C:C,"GREATWALL",'[1]Raw Inventory'!B:B,A356)</f>
        <v>110</v>
      </c>
      <c r="AH356" s="46">
        <f>SUMIFS('[1]Raw Inventory'!D:D,'[1]Raw Inventory'!C:C,"DUARTE",'[1]Raw Inventory'!B:B,A356)</f>
        <v>0</v>
      </c>
      <c r="AI356" s="46"/>
      <c r="AJ356" s="46"/>
      <c r="AK356" s="43"/>
      <c r="AL356" s="43"/>
      <c r="AM356" s="43"/>
      <c r="AN356" s="43"/>
      <c r="AO356" s="43"/>
      <c r="AP356" s="43"/>
      <c r="AQ356" s="43"/>
      <c r="AR356" s="43"/>
      <c r="AS356" s="43"/>
      <c r="AT356" s="43"/>
    </row>
    <row r="357" spans="1:46">
      <c r="A357" s="43" t="s">
        <v>36</v>
      </c>
      <c r="B357" s="43" t="s">
        <v>145</v>
      </c>
      <c r="C357" s="43" t="s">
        <v>137</v>
      </c>
      <c r="D357" s="44" t="s">
        <v>257</v>
      </c>
      <c r="E357" s="44">
        <v>24</v>
      </c>
      <c r="F357" s="44" t="s">
        <v>3</v>
      </c>
      <c r="G357" s="43" t="str">
        <f>IFERROR(VLOOKUP(A357,'[1]MC Masterlist 2026-09-12'!$B:$M, 3, 0),"")</f>
        <v>HONDA</v>
      </c>
      <c r="H357" s="45">
        <f>IFERROR(VLOOKUP(A357,'[1]MC Masterlist 2026-09-12'!$B:$M, 6, 0),"")</f>
        <v>76850</v>
      </c>
      <c r="I357" s="46">
        <v>0</v>
      </c>
      <c r="J357" s="46">
        <v>0</v>
      </c>
      <c r="K357" s="46">
        <v>1</v>
      </c>
      <c r="L357" s="46">
        <f t="shared" si="75"/>
        <v>1</v>
      </c>
      <c r="M357" s="46">
        <f t="shared" si="76"/>
        <v>0.33333333333333331</v>
      </c>
      <c r="N357" s="45">
        <f t="shared" si="77"/>
        <v>76850</v>
      </c>
      <c r="O357" s="45">
        <f t="shared" si="78"/>
        <v>25616.666666666664</v>
      </c>
      <c r="P357" s="46">
        <f t="shared" si="79"/>
        <v>1.111111111111111E-2</v>
      </c>
      <c r="Q357" s="46">
        <v>1</v>
      </c>
      <c r="R357" s="45">
        <f t="shared" si="80"/>
        <v>76850</v>
      </c>
      <c r="S357" s="46">
        <f t="shared" si="81"/>
        <v>90.000000000000014</v>
      </c>
      <c r="T357" s="46">
        <f>IFERROR(VLOOKUP(A357,'[1]Re-order'!$A:$Q,17,0),"")</f>
        <v>137.24999999999997</v>
      </c>
      <c r="U357" s="46">
        <f>IFERROR(VLOOKUP(A357,'[1]MC Masterlist 2026-09-12'!$B:$M, 10, 0),0)</f>
        <v>15</v>
      </c>
      <c r="V357" s="46">
        <f>IFERROR(VLOOKUP(A357,'[1]MC Masterlist 2026-09-12'!$B:$M, 11, 0),0)</f>
        <v>15</v>
      </c>
      <c r="W357" s="46">
        <f t="shared" si="82"/>
        <v>30</v>
      </c>
      <c r="X357" s="46">
        <f t="shared" si="83"/>
        <v>6.833333333333333</v>
      </c>
      <c r="Y357" s="46">
        <f>IFERROR(IF(OR(C357="AREA I",C357="AREA V"),7,VLOOKUP(A357,'[1]MC Masterlist 2026-09-12'!$B:$M, 12, 0)),0)</f>
        <v>7</v>
      </c>
      <c r="Z357" s="46">
        <f t="shared" si="84"/>
        <v>0.16666666666666666</v>
      </c>
      <c r="AA357" s="46">
        <f t="shared" si="85"/>
        <v>0.33333333333333331</v>
      </c>
      <c r="AB357" s="46">
        <f t="shared" si="86"/>
        <v>7.5925925925925911E-2</v>
      </c>
      <c r="AC357" s="46">
        <f t="shared" si="87"/>
        <v>7.7777777777777765E-2</v>
      </c>
      <c r="AD357" s="44" t="str">
        <f t="shared" si="88"/>
        <v>Over</v>
      </c>
      <c r="AE357" s="44" t="str">
        <f>IFERROR(VLOOKUP(A357,'[1]Re-order'!$A:$AA,27,0),"")</f>
        <v>Over</v>
      </c>
      <c r="AF357" s="46">
        <f t="shared" si="89"/>
        <v>-0.92222222222222228</v>
      </c>
      <c r="AG357" s="46">
        <f>SUMIFS('[1]Raw Inventory'!D:D,'[1]Raw Inventory'!C:C,"GREATWALL",'[1]Raw Inventory'!B:B,A357)</f>
        <v>18</v>
      </c>
      <c r="AH357" s="46">
        <f>SUMIFS('[1]Raw Inventory'!D:D,'[1]Raw Inventory'!C:C,"DUARTE",'[1]Raw Inventory'!B:B,A357)</f>
        <v>0</v>
      </c>
      <c r="AI357" s="46"/>
      <c r="AJ357" s="46"/>
      <c r="AK357" s="43"/>
      <c r="AL357" s="43"/>
      <c r="AM357" s="43"/>
      <c r="AN357" s="43"/>
      <c r="AO357" s="43"/>
      <c r="AP357" s="43"/>
      <c r="AQ357" s="43"/>
      <c r="AR357" s="43"/>
      <c r="AS357" s="43"/>
      <c r="AT357" s="43"/>
    </row>
    <row r="358" spans="1:46">
      <c r="A358" s="43" t="s">
        <v>12</v>
      </c>
      <c r="B358" s="43" t="s">
        <v>120</v>
      </c>
      <c r="C358" s="43" t="s">
        <v>118</v>
      </c>
      <c r="D358" s="44" t="s">
        <v>254</v>
      </c>
      <c r="E358" s="44">
        <v>6</v>
      </c>
      <c r="F358" s="44" t="s">
        <v>2</v>
      </c>
      <c r="G358" s="43" t="str">
        <f>IFERROR(VLOOKUP(A358,'[1]MC Masterlist 2026-09-12'!$B:$M, 3, 0),"")</f>
        <v>HONDA</v>
      </c>
      <c r="H358" s="45">
        <f>IFERROR(VLOOKUP(A358,'[1]MC Masterlist 2026-09-12'!$B:$M, 6, 0),"")</f>
        <v>158270</v>
      </c>
      <c r="I358" s="46">
        <v>2</v>
      </c>
      <c r="J358" s="46">
        <v>1</v>
      </c>
      <c r="K358" s="46">
        <v>0</v>
      </c>
      <c r="L358" s="46">
        <f t="shared" si="75"/>
        <v>3</v>
      </c>
      <c r="M358" s="46">
        <f t="shared" si="76"/>
        <v>1</v>
      </c>
      <c r="N358" s="45">
        <f t="shared" si="77"/>
        <v>474810</v>
      </c>
      <c r="O358" s="45">
        <f t="shared" si="78"/>
        <v>158270</v>
      </c>
      <c r="P358" s="46">
        <f t="shared" si="79"/>
        <v>3.3333333333333333E-2</v>
      </c>
      <c r="Q358" s="46">
        <v>2</v>
      </c>
      <c r="R358" s="45">
        <f t="shared" si="80"/>
        <v>316540</v>
      </c>
      <c r="S358" s="46">
        <f t="shared" si="81"/>
        <v>60</v>
      </c>
      <c r="T358" s="46">
        <f>IFERROR(VLOOKUP(A358,'[1]Re-order'!$A:$Q,17,0),"")</f>
        <v>46.461038961038959</v>
      </c>
      <c r="U358" s="46">
        <f>IFERROR(VLOOKUP(A358,'[1]MC Masterlist 2026-09-12'!$B:$M, 10, 0),0)</f>
        <v>15</v>
      </c>
      <c r="V358" s="46">
        <f>IFERROR(VLOOKUP(A358,'[1]MC Masterlist 2026-09-12'!$B:$M, 11, 0),0)</f>
        <v>15</v>
      </c>
      <c r="W358" s="46">
        <f t="shared" si="82"/>
        <v>30</v>
      </c>
      <c r="X358" s="46">
        <f t="shared" si="83"/>
        <v>29.5</v>
      </c>
      <c r="Y358" s="46">
        <f>IFERROR(IF(OR(C358="AREA I",C358="AREA V"),7,VLOOKUP(A358,'[1]MC Masterlist 2026-09-12'!$B:$M, 12, 0)),0)</f>
        <v>30</v>
      </c>
      <c r="Z358" s="46">
        <f t="shared" si="84"/>
        <v>0.5</v>
      </c>
      <c r="AA358" s="46">
        <f t="shared" si="85"/>
        <v>1</v>
      </c>
      <c r="AB358" s="46">
        <f t="shared" si="86"/>
        <v>0.98333333333333328</v>
      </c>
      <c r="AC358" s="46">
        <f t="shared" si="87"/>
        <v>1</v>
      </c>
      <c r="AD358" s="44" t="str">
        <f t="shared" si="88"/>
        <v>Over</v>
      </c>
      <c r="AE358" s="44" t="str">
        <f>IFERROR(VLOOKUP(A358,'[1]Re-order'!$A:$AA,27,0),"")</f>
        <v>Re-order</v>
      </c>
      <c r="AF358" s="46">
        <f t="shared" si="89"/>
        <v>-1</v>
      </c>
      <c r="AG358" s="46">
        <f>SUMIFS('[1]Raw Inventory'!D:D,'[1]Raw Inventory'!C:C,"GREATWALL",'[1]Raw Inventory'!B:B,A358)</f>
        <v>35</v>
      </c>
      <c r="AH358" s="46">
        <f>SUMIFS('[1]Raw Inventory'!D:D,'[1]Raw Inventory'!C:C,"DUARTE",'[1]Raw Inventory'!B:B,A358)</f>
        <v>0</v>
      </c>
      <c r="AI358" s="46"/>
      <c r="AJ358" s="46"/>
      <c r="AK358" s="43"/>
      <c r="AL358" s="43"/>
      <c r="AM358" s="43"/>
      <c r="AN358" s="43"/>
      <c r="AO358" s="43"/>
      <c r="AP358" s="43"/>
      <c r="AQ358" s="43"/>
      <c r="AR358" s="43"/>
      <c r="AS358" s="43"/>
      <c r="AT358" s="43"/>
    </row>
    <row r="359" spans="1:46">
      <c r="A359" s="43" t="s">
        <v>88</v>
      </c>
      <c r="B359" s="43" t="s">
        <v>160</v>
      </c>
      <c r="C359" s="43" t="s">
        <v>159</v>
      </c>
      <c r="D359" s="44" t="s">
        <v>258</v>
      </c>
      <c r="E359" s="44">
        <v>24</v>
      </c>
      <c r="F359" s="44" t="s">
        <v>3</v>
      </c>
      <c r="G359" s="43" t="str">
        <f>IFERROR(VLOOKUP(A359,'[1]MC Masterlist 2026-09-12'!$B:$M, 3, 0),"")</f>
        <v>YAMAHA</v>
      </c>
      <c r="H359" s="45">
        <f>IFERROR(VLOOKUP(A359,'[1]MC Masterlist 2026-09-12'!$B:$M, 6, 0),"")</f>
        <v>74772</v>
      </c>
      <c r="I359" s="46">
        <v>0</v>
      </c>
      <c r="J359" s="46">
        <v>0</v>
      </c>
      <c r="K359" s="46">
        <v>0</v>
      </c>
      <c r="L359" s="46">
        <f t="shared" si="75"/>
        <v>0</v>
      </c>
      <c r="M359" s="46">
        <f t="shared" si="76"/>
        <v>0</v>
      </c>
      <c r="N359" s="45">
        <f t="shared" si="77"/>
        <v>0</v>
      </c>
      <c r="O359" s="45">
        <f t="shared" si="78"/>
        <v>0</v>
      </c>
      <c r="P359" s="46">
        <f t="shared" si="79"/>
        <v>0</v>
      </c>
      <c r="Q359" s="46">
        <v>3</v>
      </c>
      <c r="R359" s="45">
        <f t="shared" si="80"/>
        <v>224316</v>
      </c>
      <c r="S359" s="46">
        <f t="shared" si="81"/>
        <v>0</v>
      </c>
      <c r="T359" s="46">
        <f>IFERROR(VLOOKUP(A359,'[1]Re-order'!$A:$Q,17,0),"")</f>
        <v>90</v>
      </c>
      <c r="U359" s="46">
        <f>IFERROR(VLOOKUP(A359,'[1]MC Masterlist 2026-09-12'!$B:$M, 10, 0),0)</f>
        <v>15</v>
      </c>
      <c r="V359" s="46">
        <f>IFERROR(VLOOKUP(A359,'[1]MC Masterlist 2026-09-12'!$B:$M, 11, 0),0)</f>
        <v>15</v>
      </c>
      <c r="W359" s="46">
        <f t="shared" si="82"/>
        <v>30</v>
      </c>
      <c r="X359" s="46">
        <f t="shared" si="83"/>
        <v>30</v>
      </c>
      <c r="Y359" s="46">
        <f>IFERROR(IF(OR(C359="AREA I",C359="AREA V"),7,VLOOKUP(A359,'[1]MC Masterlist 2026-09-12'!$B:$M, 12, 0)),0)</f>
        <v>30</v>
      </c>
      <c r="Z359" s="46">
        <f t="shared" si="84"/>
        <v>0</v>
      </c>
      <c r="AA359" s="46">
        <f t="shared" si="85"/>
        <v>0</v>
      </c>
      <c r="AB359" s="46">
        <f t="shared" si="86"/>
        <v>0</v>
      </c>
      <c r="AC359" s="46">
        <f t="shared" si="87"/>
        <v>0</v>
      </c>
      <c r="AD359" s="44" t="str">
        <f t="shared" si="88"/>
        <v>Over</v>
      </c>
      <c r="AE359" s="44" t="str">
        <f>IFERROR(VLOOKUP(A359,'[1]Re-order'!$A:$AA,27,0),"")</f>
        <v/>
      </c>
      <c r="AF359" s="46">
        <f t="shared" si="89"/>
        <v>-3</v>
      </c>
      <c r="AG359" s="46">
        <f>SUMIFS('[1]Raw Inventory'!D:D,'[1]Raw Inventory'!C:C,"GREATWALL",'[1]Raw Inventory'!B:B,A359)</f>
        <v>0</v>
      </c>
      <c r="AH359" s="46">
        <f>SUMIFS('[1]Raw Inventory'!D:D,'[1]Raw Inventory'!C:C,"DUARTE",'[1]Raw Inventory'!B:B,A359)</f>
        <v>0</v>
      </c>
      <c r="AI359" s="46"/>
      <c r="AJ359" s="46"/>
      <c r="AK359" s="43"/>
      <c r="AL359" s="43"/>
      <c r="AM359" s="43"/>
      <c r="AN359" s="43"/>
      <c r="AO359" s="43"/>
      <c r="AP359" s="43"/>
      <c r="AQ359" s="43"/>
      <c r="AR359" s="43"/>
      <c r="AS359" s="43"/>
      <c r="AT359" s="43"/>
    </row>
    <row r="360" spans="1:46">
      <c r="A360" s="43" t="s">
        <v>20</v>
      </c>
      <c r="B360" s="43" t="s">
        <v>143</v>
      </c>
      <c r="C360" s="43" t="s">
        <v>137</v>
      </c>
      <c r="D360" s="44" t="s">
        <v>238</v>
      </c>
      <c r="E360" s="44">
        <v>2</v>
      </c>
      <c r="F360" s="44" t="s">
        <v>0</v>
      </c>
      <c r="G360" s="43" t="str">
        <f>IFERROR(VLOOKUP(A360,'[1]MC Masterlist 2026-09-12'!$B:$M, 3, 0),"")</f>
        <v>HONDA</v>
      </c>
      <c r="H360" s="45">
        <f>IFERROR(VLOOKUP(A360,'[1]MC Masterlist 2026-09-12'!$B:$M, 6, 0),"")</f>
        <v>69950</v>
      </c>
      <c r="I360" s="46">
        <v>9</v>
      </c>
      <c r="J360" s="46">
        <v>3</v>
      </c>
      <c r="K360" s="46">
        <v>7</v>
      </c>
      <c r="L360" s="46">
        <f t="shared" si="75"/>
        <v>19</v>
      </c>
      <c r="M360" s="46">
        <f t="shared" si="76"/>
        <v>6.333333333333333</v>
      </c>
      <c r="N360" s="45">
        <f t="shared" si="77"/>
        <v>1329050</v>
      </c>
      <c r="O360" s="45">
        <f t="shared" si="78"/>
        <v>443016.66666666663</v>
      </c>
      <c r="P360" s="46">
        <f t="shared" si="79"/>
        <v>0.21111111111111111</v>
      </c>
      <c r="Q360" s="46">
        <v>1</v>
      </c>
      <c r="R360" s="45">
        <f t="shared" si="80"/>
        <v>69950</v>
      </c>
      <c r="S360" s="46">
        <f t="shared" si="81"/>
        <v>4.7368421052631584</v>
      </c>
      <c r="T360" s="46">
        <f>IFERROR(VLOOKUP(A360,'[1]Re-order'!$A:$Q,17,0),"")</f>
        <v>75.775862068965523</v>
      </c>
      <c r="U360" s="46">
        <f>IFERROR(VLOOKUP(A360,'[1]MC Masterlist 2026-09-12'!$B:$M, 10, 0),0)</f>
        <v>15</v>
      </c>
      <c r="V360" s="46">
        <f>IFERROR(VLOOKUP(A360,'[1]MC Masterlist 2026-09-12'!$B:$M, 11, 0),0)</f>
        <v>15</v>
      </c>
      <c r="W360" s="46">
        <f t="shared" si="82"/>
        <v>30</v>
      </c>
      <c r="X360" s="46">
        <f t="shared" si="83"/>
        <v>3.8333333333333335</v>
      </c>
      <c r="Y360" s="46">
        <f>IFERROR(IF(OR(C360="AREA I",C360="AREA V"),7,VLOOKUP(A360,'[1]MC Masterlist 2026-09-12'!$B:$M, 12, 0)),0)</f>
        <v>7</v>
      </c>
      <c r="Z360" s="46">
        <f t="shared" si="84"/>
        <v>3.1666666666666665</v>
      </c>
      <c r="AA360" s="46">
        <f t="shared" si="85"/>
        <v>6.333333333333333</v>
      </c>
      <c r="AB360" s="46">
        <f t="shared" si="86"/>
        <v>0.80925925925925923</v>
      </c>
      <c r="AC360" s="46">
        <f t="shared" si="87"/>
        <v>1.4777777777777779</v>
      </c>
      <c r="AD360" s="44" t="str">
        <f t="shared" si="88"/>
        <v>Stockout</v>
      </c>
      <c r="AE360" s="44" t="str">
        <f>IFERROR(VLOOKUP(A360,'[1]Re-order'!$A:$AA,27,0),"")</f>
        <v/>
      </c>
      <c r="AF360" s="46">
        <f t="shared" si="89"/>
        <v>0.47777777777777786</v>
      </c>
      <c r="AG360" s="46">
        <f>SUMIFS('[1]Raw Inventory'!D:D,'[1]Raw Inventory'!C:C,"GREATWALL",'[1]Raw Inventory'!B:B,A360)</f>
        <v>110</v>
      </c>
      <c r="AH360" s="46">
        <f>SUMIFS('[1]Raw Inventory'!D:D,'[1]Raw Inventory'!C:C,"DUARTE",'[1]Raw Inventory'!B:B,A360)</f>
        <v>0</v>
      </c>
      <c r="AI360" s="46"/>
      <c r="AJ360" s="46"/>
      <c r="AK360" s="43"/>
      <c r="AL360" s="43"/>
      <c r="AM360" s="43"/>
      <c r="AN360" s="43"/>
      <c r="AO360" s="43"/>
      <c r="AP360" s="43"/>
      <c r="AQ360" s="43"/>
      <c r="AR360" s="43"/>
      <c r="AS360" s="43"/>
      <c r="AT360" s="43"/>
    </row>
    <row r="361" spans="1:46">
      <c r="A361" s="43" t="s">
        <v>18</v>
      </c>
      <c r="B361" s="43" t="s">
        <v>132</v>
      </c>
      <c r="C361" s="43" t="s">
        <v>128</v>
      </c>
      <c r="D361" s="44" t="s">
        <v>258</v>
      </c>
      <c r="E361" s="44">
        <v>30</v>
      </c>
      <c r="F361" s="44" t="s">
        <v>3</v>
      </c>
      <c r="G361" s="43" t="str">
        <f>IFERROR(VLOOKUP(A361,'[1]MC Masterlist 2026-09-12'!$B:$M, 3, 0),"")</f>
        <v>HONDA</v>
      </c>
      <c r="H361" s="45">
        <f>IFERROR(VLOOKUP(A361,'[1]MC Masterlist 2026-09-12'!$B:$M, 6, 0),"")</f>
        <v>94330</v>
      </c>
      <c r="I361" s="46">
        <v>0</v>
      </c>
      <c r="J361" s="46">
        <v>0</v>
      </c>
      <c r="K361" s="46">
        <v>0</v>
      </c>
      <c r="L361" s="46">
        <f t="shared" si="75"/>
        <v>0</v>
      </c>
      <c r="M361" s="46">
        <f t="shared" si="76"/>
        <v>0</v>
      </c>
      <c r="N361" s="45">
        <f t="shared" si="77"/>
        <v>0</v>
      </c>
      <c r="O361" s="45">
        <f t="shared" si="78"/>
        <v>0</v>
      </c>
      <c r="P361" s="46">
        <f t="shared" si="79"/>
        <v>0</v>
      </c>
      <c r="Q361" s="46">
        <v>6</v>
      </c>
      <c r="R361" s="45">
        <f t="shared" si="80"/>
        <v>565980</v>
      </c>
      <c r="S361" s="46">
        <f t="shared" si="81"/>
        <v>0</v>
      </c>
      <c r="T361" s="46">
        <f>IFERROR(VLOOKUP(A361,'[1]Re-order'!$A:$Q,17,0),"")</f>
        <v>113.9644970414201</v>
      </c>
      <c r="U361" s="46">
        <f>IFERROR(VLOOKUP(A361,'[1]MC Masterlist 2026-09-12'!$B:$M, 10, 0),0)</f>
        <v>15</v>
      </c>
      <c r="V361" s="46">
        <f>IFERROR(VLOOKUP(A361,'[1]MC Masterlist 2026-09-12'!$B:$M, 11, 0),0)</f>
        <v>15</v>
      </c>
      <c r="W361" s="46">
        <f t="shared" si="82"/>
        <v>30</v>
      </c>
      <c r="X361" s="46">
        <f t="shared" si="83"/>
        <v>30</v>
      </c>
      <c r="Y361" s="46">
        <f>IFERROR(IF(OR(C361="AREA I",C361="AREA V"),7,VLOOKUP(A361,'[1]MC Masterlist 2026-09-12'!$B:$M, 12, 0)),0)</f>
        <v>30</v>
      </c>
      <c r="Z361" s="46">
        <f t="shared" si="84"/>
        <v>0</v>
      </c>
      <c r="AA361" s="46">
        <f t="shared" si="85"/>
        <v>0</v>
      </c>
      <c r="AB361" s="46">
        <f t="shared" si="86"/>
        <v>0</v>
      </c>
      <c r="AC361" s="46">
        <f t="shared" si="87"/>
        <v>0</v>
      </c>
      <c r="AD361" s="44" t="str">
        <f t="shared" si="88"/>
        <v>Over</v>
      </c>
      <c r="AE361" s="44" t="str">
        <f>IFERROR(VLOOKUP(A361,'[1]Re-order'!$A:$AA,27,0),"")</f>
        <v>Over</v>
      </c>
      <c r="AF361" s="46">
        <f t="shared" si="89"/>
        <v>-6</v>
      </c>
      <c r="AG361" s="46">
        <f>SUMIFS('[1]Raw Inventory'!D:D,'[1]Raw Inventory'!C:C,"GREATWALL",'[1]Raw Inventory'!B:B,A361)</f>
        <v>88</v>
      </c>
      <c r="AH361" s="46">
        <f>SUMIFS('[1]Raw Inventory'!D:D,'[1]Raw Inventory'!C:C,"DUARTE",'[1]Raw Inventory'!B:B,A361)</f>
        <v>0</v>
      </c>
      <c r="AI361" s="46"/>
      <c r="AJ361" s="46"/>
      <c r="AK361" s="43"/>
      <c r="AL361" s="43"/>
      <c r="AM361" s="43"/>
      <c r="AN361" s="43"/>
      <c r="AO361" s="43"/>
      <c r="AP361" s="43"/>
      <c r="AQ361" s="43"/>
      <c r="AR361" s="43"/>
      <c r="AS361" s="43"/>
      <c r="AT361" s="43"/>
    </row>
    <row r="362" spans="1:46">
      <c r="A362" s="43" t="s">
        <v>42</v>
      </c>
      <c r="B362" s="43" t="s">
        <v>145</v>
      </c>
      <c r="C362" s="43" t="s">
        <v>137</v>
      </c>
      <c r="D362" s="44" t="s">
        <v>266</v>
      </c>
      <c r="E362" s="44">
        <v>19</v>
      </c>
      <c r="F362" s="44" t="s">
        <v>2</v>
      </c>
      <c r="G362" s="43" t="str">
        <f>IFERROR(VLOOKUP(A362,'[1]MC Masterlist 2026-09-12'!$B:$M, 3, 0),"")</f>
        <v>YAMAHA</v>
      </c>
      <c r="H362" s="45">
        <f>IFERROR(VLOOKUP(A362,'[1]MC Masterlist 2026-09-12'!$B:$M, 6, 0),"")</f>
        <v>152892</v>
      </c>
      <c r="I362" s="46">
        <v>0</v>
      </c>
      <c r="J362" s="46">
        <v>0</v>
      </c>
      <c r="K362" s="46">
        <v>1</v>
      </c>
      <c r="L362" s="46">
        <f t="shared" si="75"/>
        <v>1</v>
      </c>
      <c r="M362" s="46">
        <f t="shared" si="76"/>
        <v>0.33333333333333331</v>
      </c>
      <c r="N362" s="45">
        <f t="shared" si="77"/>
        <v>152892</v>
      </c>
      <c r="O362" s="45">
        <f t="shared" si="78"/>
        <v>50964</v>
      </c>
      <c r="P362" s="46">
        <f t="shared" si="79"/>
        <v>1.111111111111111E-2</v>
      </c>
      <c r="Q362" s="46">
        <v>2</v>
      </c>
      <c r="R362" s="45">
        <f t="shared" si="80"/>
        <v>305784</v>
      </c>
      <c r="S362" s="46">
        <f t="shared" si="81"/>
        <v>180</v>
      </c>
      <c r="T362" s="46">
        <f>IFERROR(VLOOKUP(A362,'[1]Re-order'!$A:$Q,17,0),"")</f>
        <v>104.55882352941177</v>
      </c>
      <c r="U362" s="46">
        <f>IFERROR(VLOOKUP(A362,'[1]MC Masterlist 2026-09-12'!$B:$M, 10, 0),0)</f>
        <v>15</v>
      </c>
      <c r="V362" s="46">
        <f>IFERROR(VLOOKUP(A362,'[1]MC Masterlist 2026-09-12'!$B:$M, 11, 0),0)</f>
        <v>15</v>
      </c>
      <c r="W362" s="46">
        <f t="shared" si="82"/>
        <v>30</v>
      </c>
      <c r="X362" s="46">
        <f t="shared" si="83"/>
        <v>6.833333333333333</v>
      </c>
      <c r="Y362" s="46">
        <f>IFERROR(IF(OR(C362="AREA I",C362="AREA V"),7,VLOOKUP(A362,'[1]MC Masterlist 2026-09-12'!$B:$M, 12, 0)),0)</f>
        <v>7</v>
      </c>
      <c r="Z362" s="46">
        <f t="shared" si="84"/>
        <v>0.16666666666666666</v>
      </c>
      <c r="AA362" s="46">
        <f t="shared" si="85"/>
        <v>0.33333333333333331</v>
      </c>
      <c r="AB362" s="46">
        <f t="shared" si="86"/>
        <v>7.5925925925925911E-2</v>
      </c>
      <c r="AC362" s="46">
        <f t="shared" si="87"/>
        <v>7.7777777777777765E-2</v>
      </c>
      <c r="AD362" s="44" t="str">
        <f t="shared" si="88"/>
        <v>Over</v>
      </c>
      <c r="AE362" s="44" t="str">
        <f>IFERROR(VLOOKUP(A362,'[1]Re-order'!$A:$AA,27,0),"")</f>
        <v>Over</v>
      </c>
      <c r="AF362" s="46">
        <f t="shared" si="89"/>
        <v>-1.9222222222222223</v>
      </c>
      <c r="AG362" s="46">
        <f>SUMIFS('[1]Raw Inventory'!D:D,'[1]Raw Inventory'!C:C,"GREATWALL",'[1]Raw Inventory'!B:B,A362)</f>
        <v>3</v>
      </c>
      <c r="AH362" s="46">
        <f>SUMIFS('[1]Raw Inventory'!D:D,'[1]Raw Inventory'!C:C,"DUARTE",'[1]Raw Inventory'!B:B,A362)</f>
        <v>0</v>
      </c>
      <c r="AI362" s="46"/>
      <c r="AJ362" s="46"/>
      <c r="AK362" s="43"/>
      <c r="AL362" s="43"/>
      <c r="AM362" s="43"/>
      <c r="AN362" s="43"/>
      <c r="AO362" s="43"/>
      <c r="AP362" s="43"/>
      <c r="AQ362" s="43"/>
      <c r="AR362" s="43"/>
      <c r="AS362" s="43"/>
      <c r="AT362" s="43"/>
    </row>
    <row r="363" spans="1:46">
      <c r="A363" s="43" t="s">
        <v>89</v>
      </c>
      <c r="B363" s="43" t="s">
        <v>161</v>
      </c>
      <c r="C363" s="43" t="s">
        <v>159</v>
      </c>
      <c r="D363" s="44" t="s">
        <v>278</v>
      </c>
      <c r="E363" s="44">
        <v>1</v>
      </c>
      <c r="F363" s="44" t="s">
        <v>0</v>
      </c>
      <c r="G363" s="43" t="str">
        <f>IFERROR(VLOOKUP(A363,'[1]MC Masterlist 2026-09-12'!$B:$M, 3, 0),"")</f>
        <v>HONDA</v>
      </c>
      <c r="H363" s="45">
        <f>IFERROR(VLOOKUP(A363,'[1]MC Masterlist 2026-09-12'!$B:$M, 6, 0),"")</f>
        <v>117790</v>
      </c>
      <c r="I363" s="46">
        <v>0</v>
      </c>
      <c r="J363" s="46">
        <v>0</v>
      </c>
      <c r="K363" s="46">
        <v>0</v>
      </c>
      <c r="L363" s="46">
        <f t="shared" si="75"/>
        <v>0</v>
      </c>
      <c r="M363" s="46">
        <f t="shared" si="76"/>
        <v>0</v>
      </c>
      <c r="N363" s="45">
        <f t="shared" si="77"/>
        <v>0</v>
      </c>
      <c r="O363" s="45">
        <f t="shared" si="78"/>
        <v>0</v>
      </c>
      <c r="P363" s="46">
        <f t="shared" si="79"/>
        <v>0</v>
      </c>
      <c r="Q363" s="46">
        <v>1</v>
      </c>
      <c r="R363" s="45">
        <f t="shared" si="80"/>
        <v>117790</v>
      </c>
      <c r="S363" s="46">
        <f t="shared" si="81"/>
        <v>0</v>
      </c>
      <c r="T363" s="46">
        <f>IFERROR(VLOOKUP(A363,'[1]Re-order'!$A:$Q,17,0),"")</f>
        <v>81.818181818181827</v>
      </c>
      <c r="U363" s="46">
        <f>IFERROR(VLOOKUP(A363,'[1]MC Masterlist 2026-09-12'!$B:$M, 10, 0),0)</f>
        <v>15</v>
      </c>
      <c r="V363" s="46">
        <f>IFERROR(VLOOKUP(A363,'[1]MC Masterlist 2026-09-12'!$B:$M, 11, 0),0)</f>
        <v>15</v>
      </c>
      <c r="W363" s="46">
        <f t="shared" si="82"/>
        <v>30</v>
      </c>
      <c r="X363" s="46">
        <f t="shared" si="83"/>
        <v>30</v>
      </c>
      <c r="Y363" s="46">
        <f>IFERROR(IF(OR(C363="AREA I",C363="AREA V"),7,VLOOKUP(A363,'[1]MC Masterlist 2026-09-12'!$B:$M, 12, 0)),0)</f>
        <v>30</v>
      </c>
      <c r="Z363" s="46">
        <f t="shared" si="84"/>
        <v>0</v>
      </c>
      <c r="AA363" s="46">
        <f t="shared" si="85"/>
        <v>0</v>
      </c>
      <c r="AB363" s="46">
        <f t="shared" si="86"/>
        <v>0</v>
      </c>
      <c r="AC363" s="46">
        <f t="shared" si="87"/>
        <v>0</v>
      </c>
      <c r="AD363" s="44" t="str">
        <f t="shared" si="88"/>
        <v>Over</v>
      </c>
      <c r="AE363" s="44" t="str">
        <f>IFERROR(VLOOKUP(A363,'[1]Re-order'!$A:$AA,27,0),"")</f>
        <v/>
      </c>
      <c r="AF363" s="46">
        <f t="shared" si="89"/>
        <v>-1</v>
      </c>
      <c r="AG363" s="46">
        <f>SUMIFS('[1]Raw Inventory'!D:D,'[1]Raw Inventory'!C:C,"GREATWALL",'[1]Raw Inventory'!B:B,A363)</f>
        <v>5</v>
      </c>
      <c r="AH363" s="46">
        <f>SUMIFS('[1]Raw Inventory'!D:D,'[1]Raw Inventory'!C:C,"DUARTE",'[1]Raw Inventory'!B:B,A363)</f>
        <v>0</v>
      </c>
      <c r="AI363" s="46"/>
      <c r="AJ363" s="46"/>
      <c r="AK363" s="43"/>
      <c r="AL363" s="43"/>
      <c r="AM363" s="43"/>
      <c r="AN363" s="43"/>
      <c r="AO363" s="43"/>
      <c r="AP363" s="43"/>
      <c r="AQ363" s="43"/>
      <c r="AR363" s="43"/>
      <c r="AS363" s="43"/>
      <c r="AT363" s="43"/>
    </row>
    <row r="364" spans="1:46">
      <c r="A364" s="43" t="s">
        <v>37</v>
      </c>
      <c r="B364" s="43" t="s">
        <v>139</v>
      </c>
      <c r="C364" s="43" t="s">
        <v>137</v>
      </c>
      <c r="D364" s="44" t="s">
        <v>264</v>
      </c>
      <c r="E364" s="44">
        <v>7</v>
      </c>
      <c r="F364" s="44" t="s">
        <v>0</v>
      </c>
      <c r="G364" s="43" t="str">
        <f>IFERROR(VLOOKUP(A364,'[1]MC Masterlist 2026-09-12'!$B:$M, 3, 0),"")</f>
        <v>HONDA</v>
      </c>
      <c r="H364" s="45">
        <f>IFERROR(VLOOKUP(A364,'[1]MC Masterlist 2026-09-12'!$B:$M, 6, 0),"")</f>
        <v>74550</v>
      </c>
      <c r="I364" s="46">
        <v>5</v>
      </c>
      <c r="J364" s="46">
        <v>4</v>
      </c>
      <c r="K364" s="46">
        <v>6</v>
      </c>
      <c r="L364" s="46">
        <f t="shared" si="75"/>
        <v>15</v>
      </c>
      <c r="M364" s="46">
        <f t="shared" si="76"/>
        <v>5</v>
      </c>
      <c r="N364" s="45">
        <f t="shared" si="77"/>
        <v>1118250</v>
      </c>
      <c r="O364" s="45">
        <f t="shared" si="78"/>
        <v>372750</v>
      </c>
      <c r="P364" s="46">
        <f t="shared" si="79"/>
        <v>0.16666666666666666</v>
      </c>
      <c r="Q364" s="46">
        <v>3</v>
      </c>
      <c r="R364" s="45">
        <f t="shared" si="80"/>
        <v>223650</v>
      </c>
      <c r="S364" s="46">
        <f t="shared" si="81"/>
        <v>18</v>
      </c>
      <c r="T364" s="46">
        <f>IFERROR(VLOOKUP(A364,'[1]Re-order'!$A:$Q,17,0),"")</f>
        <v>33.652173913043477</v>
      </c>
      <c r="U364" s="46">
        <f>IFERROR(VLOOKUP(A364,'[1]MC Masterlist 2026-09-12'!$B:$M, 10, 0),0)</f>
        <v>15</v>
      </c>
      <c r="V364" s="46">
        <f>IFERROR(VLOOKUP(A364,'[1]MC Masterlist 2026-09-12'!$B:$M, 11, 0),0)</f>
        <v>15</v>
      </c>
      <c r="W364" s="46">
        <f t="shared" si="82"/>
        <v>30</v>
      </c>
      <c r="X364" s="46">
        <f t="shared" si="83"/>
        <v>4.5</v>
      </c>
      <c r="Y364" s="46">
        <f>IFERROR(IF(OR(C364="AREA I",C364="AREA V"),7,VLOOKUP(A364,'[1]MC Masterlist 2026-09-12'!$B:$M, 12, 0)),0)</f>
        <v>7</v>
      </c>
      <c r="Z364" s="46">
        <f t="shared" si="84"/>
        <v>2.5</v>
      </c>
      <c r="AA364" s="46">
        <f t="shared" si="85"/>
        <v>5</v>
      </c>
      <c r="AB364" s="46">
        <f t="shared" si="86"/>
        <v>0.75</v>
      </c>
      <c r="AC364" s="46">
        <f t="shared" si="87"/>
        <v>1.1666666666666665</v>
      </c>
      <c r="AD364" s="44" t="str">
        <f t="shared" si="88"/>
        <v>Over</v>
      </c>
      <c r="AE364" s="44" t="str">
        <f>IFERROR(VLOOKUP(A364,'[1]Re-order'!$A:$AA,27,0),"")</f>
        <v>Re-order</v>
      </c>
      <c r="AF364" s="46">
        <f t="shared" si="89"/>
        <v>-1.8333333333333335</v>
      </c>
      <c r="AG364" s="46">
        <f>SUMIFS('[1]Raw Inventory'!D:D,'[1]Raw Inventory'!C:C,"GREATWALL",'[1]Raw Inventory'!B:B,A364)</f>
        <v>28</v>
      </c>
      <c r="AH364" s="46">
        <f>SUMIFS('[1]Raw Inventory'!D:D,'[1]Raw Inventory'!C:C,"DUARTE",'[1]Raw Inventory'!B:B,A364)</f>
        <v>0</v>
      </c>
      <c r="AI364" s="46"/>
      <c r="AJ364" s="46"/>
      <c r="AK364" s="43"/>
      <c r="AL364" s="43"/>
      <c r="AM364" s="43"/>
      <c r="AN364" s="43"/>
      <c r="AO364" s="43"/>
      <c r="AP364" s="43"/>
      <c r="AQ364" s="43"/>
      <c r="AR364" s="43"/>
      <c r="AS364" s="43"/>
      <c r="AT364" s="43"/>
    </row>
    <row r="365" spans="1:46">
      <c r="A365" s="43" t="s">
        <v>46</v>
      </c>
      <c r="B365" s="43" t="s">
        <v>27</v>
      </c>
      <c r="C365" s="43" t="s">
        <v>1</v>
      </c>
      <c r="D365" s="44" t="s">
        <v>231</v>
      </c>
      <c r="E365" s="44">
        <v>28</v>
      </c>
      <c r="F365" s="44" t="s">
        <v>3</v>
      </c>
      <c r="G365" s="43" t="str">
        <f>IFERROR(VLOOKUP(A365,'[1]MC Masterlist 2026-09-12'!$B:$M, 3, 0),"")</f>
        <v>HONDA</v>
      </c>
      <c r="H365" s="45">
        <f>IFERROR(VLOOKUP(A365,'[1]MC Masterlist 2026-09-12'!$B:$M, 6, 0),"")</f>
        <v>73630</v>
      </c>
      <c r="I365" s="46">
        <v>0</v>
      </c>
      <c r="J365" s="46">
        <v>0</v>
      </c>
      <c r="K365" s="46">
        <v>1</v>
      </c>
      <c r="L365" s="46">
        <f t="shared" si="75"/>
        <v>1</v>
      </c>
      <c r="M365" s="46">
        <f t="shared" si="76"/>
        <v>0.33333333333333331</v>
      </c>
      <c r="N365" s="45">
        <f t="shared" si="77"/>
        <v>73630</v>
      </c>
      <c r="O365" s="45">
        <f t="shared" si="78"/>
        <v>24543.333333333332</v>
      </c>
      <c r="P365" s="46">
        <f t="shared" si="79"/>
        <v>1.111111111111111E-2</v>
      </c>
      <c r="Q365" s="46"/>
      <c r="R365" s="45">
        <f t="shared" si="80"/>
        <v>0</v>
      </c>
      <c r="S365" s="46">
        <f t="shared" si="81"/>
        <v>0</v>
      </c>
      <c r="T365" s="46">
        <f>IFERROR(VLOOKUP(A365,'[1]Re-order'!$A:$Q,17,0),"")</f>
        <v>51</v>
      </c>
      <c r="U365" s="46">
        <f>IFERROR(VLOOKUP(A365,'[1]MC Masterlist 2026-09-12'!$B:$M, 10, 0),0)</f>
        <v>15</v>
      </c>
      <c r="V365" s="46">
        <f>IFERROR(VLOOKUP(A365,'[1]MC Masterlist 2026-09-12'!$B:$M, 11, 0),0)</f>
        <v>15</v>
      </c>
      <c r="W365" s="46">
        <f t="shared" si="82"/>
        <v>30</v>
      </c>
      <c r="X365" s="46">
        <f t="shared" si="83"/>
        <v>6.833333333333333</v>
      </c>
      <c r="Y365" s="46">
        <f>IFERROR(IF(OR(C365="AREA I",C365="AREA V"),7,VLOOKUP(A365,'[1]MC Masterlist 2026-09-12'!$B:$M, 12, 0)),0)</f>
        <v>7</v>
      </c>
      <c r="Z365" s="46">
        <f t="shared" si="84"/>
        <v>0.16666666666666666</v>
      </c>
      <c r="AA365" s="46">
        <f t="shared" si="85"/>
        <v>0.33333333333333331</v>
      </c>
      <c r="AB365" s="46">
        <f t="shared" si="86"/>
        <v>7.5925925925925911E-2</v>
      </c>
      <c r="AC365" s="46">
        <f t="shared" si="87"/>
        <v>7.7777777777777765E-2</v>
      </c>
      <c r="AD365" s="44" t="str">
        <f t="shared" si="88"/>
        <v>Stockout</v>
      </c>
      <c r="AE365" s="44" t="str">
        <f>IFERROR(VLOOKUP(A365,'[1]Re-order'!$A:$AA,27,0),"")</f>
        <v>Re-order</v>
      </c>
      <c r="AF365" s="46">
        <f t="shared" si="89"/>
        <v>7.7777777777777765E-2</v>
      </c>
      <c r="AG365" s="46">
        <f>SUMIFS('[1]Raw Inventory'!D:D,'[1]Raw Inventory'!C:C,"GREATWALL",'[1]Raw Inventory'!B:B,A365)</f>
        <v>0</v>
      </c>
      <c r="AH365" s="46">
        <f>SUMIFS('[1]Raw Inventory'!D:D,'[1]Raw Inventory'!C:C,"DUARTE",'[1]Raw Inventory'!B:B,A365)</f>
        <v>0</v>
      </c>
      <c r="AI365" s="46"/>
      <c r="AJ365" s="46"/>
      <c r="AK365" s="43"/>
      <c r="AL365" s="43"/>
      <c r="AM365" s="43"/>
      <c r="AN365" s="43"/>
      <c r="AO365" s="43"/>
      <c r="AP365" s="43"/>
      <c r="AQ365" s="43"/>
      <c r="AR365" s="43"/>
      <c r="AS365" s="43"/>
      <c r="AT365" s="43"/>
    </row>
    <row r="366" spans="1:46">
      <c r="A366" s="43" t="s">
        <v>66</v>
      </c>
      <c r="B366" s="43" t="s">
        <v>144</v>
      </c>
      <c r="C366" s="43" t="s">
        <v>137</v>
      </c>
      <c r="D366" s="44" t="s">
        <v>261</v>
      </c>
      <c r="E366" s="44">
        <v>18</v>
      </c>
      <c r="F366" s="44" t="s">
        <v>2</v>
      </c>
      <c r="G366" s="43" t="str">
        <f>IFERROR(VLOOKUP(A366,'[1]MC Masterlist 2026-09-12'!$B:$M, 3, 0),"")</f>
        <v>KAWASAKI</v>
      </c>
      <c r="H366" s="45">
        <f>IFERROR(VLOOKUP(A366,'[1]MC Masterlist 2026-09-12'!$B:$M, 6, 0),"")</f>
        <v>95530</v>
      </c>
      <c r="I366" s="46">
        <v>2</v>
      </c>
      <c r="J366" s="46">
        <v>1</v>
      </c>
      <c r="K366" s="46">
        <v>0</v>
      </c>
      <c r="L366" s="46">
        <f t="shared" si="75"/>
        <v>3</v>
      </c>
      <c r="M366" s="46">
        <f t="shared" si="76"/>
        <v>1</v>
      </c>
      <c r="N366" s="45">
        <f t="shared" si="77"/>
        <v>286590</v>
      </c>
      <c r="O366" s="45">
        <f t="shared" si="78"/>
        <v>95530</v>
      </c>
      <c r="P366" s="46">
        <f t="shared" si="79"/>
        <v>3.3333333333333333E-2</v>
      </c>
      <c r="Q366" s="46">
        <v>1</v>
      </c>
      <c r="R366" s="45">
        <f t="shared" si="80"/>
        <v>95530</v>
      </c>
      <c r="S366" s="46">
        <f t="shared" si="81"/>
        <v>30</v>
      </c>
      <c r="T366" s="46">
        <f>IFERROR(VLOOKUP(A366,'[1]Re-order'!$A:$Q,17,0),"")</f>
        <v>112.7848101265823</v>
      </c>
      <c r="U366" s="46">
        <f>IFERROR(VLOOKUP(A366,'[1]MC Masterlist 2026-09-12'!$B:$M, 10, 0),0)</f>
        <v>15</v>
      </c>
      <c r="V366" s="46">
        <f>IFERROR(VLOOKUP(A366,'[1]MC Masterlist 2026-09-12'!$B:$M, 11, 0),0)</f>
        <v>15</v>
      </c>
      <c r="W366" s="46">
        <f t="shared" si="82"/>
        <v>30</v>
      </c>
      <c r="X366" s="46">
        <f t="shared" si="83"/>
        <v>6.5</v>
      </c>
      <c r="Y366" s="46">
        <f>IFERROR(IF(OR(C366="AREA I",C366="AREA V"),7,VLOOKUP(A366,'[1]MC Masterlist 2026-09-12'!$B:$M, 12, 0)),0)</f>
        <v>7</v>
      </c>
      <c r="Z366" s="46">
        <f t="shared" si="84"/>
        <v>0.5</v>
      </c>
      <c r="AA366" s="46">
        <f t="shared" si="85"/>
        <v>1</v>
      </c>
      <c r="AB366" s="46">
        <f t="shared" si="86"/>
        <v>0.21666666666666667</v>
      </c>
      <c r="AC366" s="46">
        <f t="shared" si="87"/>
        <v>0.23333333333333334</v>
      </c>
      <c r="AD366" s="44" t="str">
        <f t="shared" si="88"/>
        <v>Over</v>
      </c>
      <c r="AE366" s="44" t="str">
        <f>IFERROR(VLOOKUP(A366,'[1]Re-order'!$A:$AA,27,0),"")</f>
        <v>Over</v>
      </c>
      <c r="AF366" s="46">
        <f t="shared" si="89"/>
        <v>-0.76666666666666661</v>
      </c>
      <c r="AG366" s="46">
        <f>SUMIFS('[1]Raw Inventory'!D:D,'[1]Raw Inventory'!C:C,"GREATWALL",'[1]Raw Inventory'!B:B,A366)</f>
        <v>64</v>
      </c>
      <c r="AH366" s="46">
        <f>SUMIFS('[1]Raw Inventory'!D:D,'[1]Raw Inventory'!C:C,"DUARTE",'[1]Raw Inventory'!B:B,A366)</f>
        <v>0</v>
      </c>
      <c r="AI366" s="46"/>
      <c r="AJ366" s="46"/>
      <c r="AK366" s="43"/>
      <c r="AL366" s="43"/>
      <c r="AM366" s="43"/>
      <c r="AN366" s="43"/>
      <c r="AO366" s="43"/>
      <c r="AP366" s="43"/>
      <c r="AQ366" s="43"/>
      <c r="AR366" s="43"/>
      <c r="AS366" s="43"/>
      <c r="AT366" s="43"/>
    </row>
    <row r="367" spans="1:46">
      <c r="A367" s="43" t="s">
        <v>46</v>
      </c>
      <c r="B367" s="43" t="s">
        <v>154</v>
      </c>
      <c r="C367" s="43" t="s">
        <v>152</v>
      </c>
      <c r="D367" s="44" t="s">
        <v>261</v>
      </c>
      <c r="E367" s="44">
        <v>16</v>
      </c>
      <c r="F367" s="44" t="s">
        <v>2</v>
      </c>
      <c r="G367" s="43" t="str">
        <f>IFERROR(VLOOKUP(A367,'[1]MC Masterlist 2026-09-12'!$B:$M, 3, 0),"")</f>
        <v>HONDA</v>
      </c>
      <c r="H367" s="45">
        <f>IFERROR(VLOOKUP(A367,'[1]MC Masterlist 2026-09-12'!$B:$M, 6, 0),"")</f>
        <v>73630</v>
      </c>
      <c r="I367" s="46">
        <v>0</v>
      </c>
      <c r="J367" s="46">
        <v>1</v>
      </c>
      <c r="K367" s="46">
        <v>1</v>
      </c>
      <c r="L367" s="46">
        <f t="shared" si="75"/>
        <v>2</v>
      </c>
      <c r="M367" s="46">
        <f t="shared" si="76"/>
        <v>0.66666666666666663</v>
      </c>
      <c r="N367" s="45">
        <f t="shared" si="77"/>
        <v>147260</v>
      </c>
      <c r="O367" s="45">
        <f t="shared" si="78"/>
        <v>49086.666666666664</v>
      </c>
      <c r="P367" s="46">
        <f t="shared" si="79"/>
        <v>2.222222222222222E-2</v>
      </c>
      <c r="Q367" s="46"/>
      <c r="R367" s="45">
        <f t="shared" si="80"/>
        <v>0</v>
      </c>
      <c r="S367" s="46">
        <f t="shared" si="81"/>
        <v>0</v>
      </c>
      <c r="T367" s="46">
        <f>IFERROR(VLOOKUP(A367,'[1]Re-order'!$A:$Q,17,0),"")</f>
        <v>51</v>
      </c>
      <c r="U367" s="46">
        <f>IFERROR(VLOOKUP(A367,'[1]MC Masterlist 2026-09-12'!$B:$M, 10, 0),0)</f>
        <v>15</v>
      </c>
      <c r="V367" s="46">
        <f>IFERROR(VLOOKUP(A367,'[1]MC Masterlist 2026-09-12'!$B:$M, 11, 0),0)</f>
        <v>15</v>
      </c>
      <c r="W367" s="46">
        <f t="shared" si="82"/>
        <v>30</v>
      </c>
      <c r="X367" s="46">
        <f t="shared" si="83"/>
        <v>29.666666666666668</v>
      </c>
      <c r="Y367" s="46">
        <f>IFERROR(IF(OR(C367="AREA I",C367="AREA V"),7,VLOOKUP(A367,'[1]MC Masterlist 2026-09-12'!$B:$M, 12, 0)),0)</f>
        <v>30</v>
      </c>
      <c r="Z367" s="46">
        <f t="shared" si="84"/>
        <v>0.33333333333333331</v>
      </c>
      <c r="AA367" s="46">
        <f t="shared" si="85"/>
        <v>0.66666666666666663</v>
      </c>
      <c r="AB367" s="46">
        <f t="shared" si="86"/>
        <v>0.65925925925925921</v>
      </c>
      <c r="AC367" s="46">
        <f t="shared" si="87"/>
        <v>0.66666666666666663</v>
      </c>
      <c r="AD367" s="44" t="str">
        <f t="shared" si="88"/>
        <v>Stockout</v>
      </c>
      <c r="AE367" s="44" t="str">
        <f>IFERROR(VLOOKUP(A367,'[1]Re-order'!$A:$AA,27,0),"")</f>
        <v>Re-order</v>
      </c>
      <c r="AF367" s="46">
        <f t="shared" si="89"/>
        <v>0.66666666666666663</v>
      </c>
      <c r="AG367" s="46">
        <f>SUMIFS('[1]Raw Inventory'!D:D,'[1]Raw Inventory'!C:C,"GREATWALL",'[1]Raw Inventory'!B:B,A367)</f>
        <v>0</v>
      </c>
      <c r="AH367" s="46">
        <f>SUMIFS('[1]Raw Inventory'!D:D,'[1]Raw Inventory'!C:C,"DUARTE",'[1]Raw Inventory'!B:B,A367)</f>
        <v>0</v>
      </c>
      <c r="AI367" s="46"/>
      <c r="AJ367" s="46"/>
      <c r="AK367" s="43"/>
      <c r="AL367" s="43"/>
      <c r="AM367" s="43"/>
      <c r="AN367" s="43"/>
      <c r="AO367" s="43"/>
      <c r="AP367" s="43"/>
      <c r="AQ367" s="43"/>
      <c r="AR367" s="43"/>
      <c r="AS367" s="43"/>
      <c r="AT367" s="43"/>
    </row>
    <row r="368" spans="1:46">
      <c r="A368" s="43" t="s">
        <v>35</v>
      </c>
      <c r="B368" s="43" t="s">
        <v>143</v>
      </c>
      <c r="C368" s="43" t="s">
        <v>137</v>
      </c>
      <c r="D368" s="44" t="s">
        <v>235</v>
      </c>
      <c r="E368" s="44">
        <v>25</v>
      </c>
      <c r="F368" s="44" t="s">
        <v>3</v>
      </c>
      <c r="G368" s="43" t="str">
        <f>IFERROR(VLOOKUP(A368,'[1]MC Masterlist 2026-09-12'!$B:$M, 3, 0),"")</f>
        <v>HONDA</v>
      </c>
      <c r="H368" s="45">
        <f>IFERROR(VLOOKUP(A368,'[1]MC Masterlist 2026-09-12'!$B:$M, 6, 0),"")</f>
        <v>57990</v>
      </c>
      <c r="I368" s="46">
        <v>0</v>
      </c>
      <c r="J368" s="46">
        <v>0</v>
      </c>
      <c r="K368" s="46">
        <v>1</v>
      </c>
      <c r="L368" s="46">
        <f t="shared" si="75"/>
        <v>1</v>
      </c>
      <c r="M368" s="46">
        <f t="shared" si="76"/>
        <v>0.33333333333333331</v>
      </c>
      <c r="N368" s="45">
        <f t="shared" si="77"/>
        <v>57990</v>
      </c>
      <c r="O368" s="45">
        <f t="shared" si="78"/>
        <v>19330</v>
      </c>
      <c r="P368" s="46">
        <f t="shared" si="79"/>
        <v>1.111111111111111E-2</v>
      </c>
      <c r="Q368" s="46">
        <v>1</v>
      </c>
      <c r="R368" s="45">
        <f t="shared" si="80"/>
        <v>57990</v>
      </c>
      <c r="S368" s="46">
        <f t="shared" si="81"/>
        <v>90</v>
      </c>
      <c r="T368" s="46">
        <f>IFERROR(VLOOKUP(A368,'[1]Re-order'!$A:$Q,17,0),"")</f>
        <v>68.275862068965523</v>
      </c>
      <c r="U368" s="46">
        <f>IFERROR(VLOOKUP(A368,'[1]MC Masterlist 2026-09-12'!$B:$M, 10, 0),0)</f>
        <v>15</v>
      </c>
      <c r="V368" s="46">
        <f>IFERROR(VLOOKUP(A368,'[1]MC Masterlist 2026-09-12'!$B:$M, 11, 0),0)</f>
        <v>15</v>
      </c>
      <c r="W368" s="46">
        <f t="shared" si="82"/>
        <v>30</v>
      </c>
      <c r="X368" s="46">
        <f t="shared" si="83"/>
        <v>6.833333333333333</v>
      </c>
      <c r="Y368" s="46">
        <f>IFERROR(IF(OR(C368="AREA I",C368="AREA V"),7,VLOOKUP(A368,'[1]MC Masterlist 2026-09-12'!$B:$M, 12, 0)),0)</f>
        <v>7</v>
      </c>
      <c r="Z368" s="46">
        <f t="shared" si="84"/>
        <v>0.16666666666666666</v>
      </c>
      <c r="AA368" s="46">
        <f t="shared" si="85"/>
        <v>0.33333333333333331</v>
      </c>
      <c r="AB368" s="46">
        <f t="shared" si="86"/>
        <v>7.5925925925925911E-2</v>
      </c>
      <c r="AC368" s="46">
        <f t="shared" si="87"/>
        <v>7.7777777777777765E-2</v>
      </c>
      <c r="AD368" s="44" t="str">
        <f t="shared" si="88"/>
        <v>Over</v>
      </c>
      <c r="AE368" s="44" t="str">
        <f>IFERROR(VLOOKUP(A368,'[1]Re-order'!$A:$AA,27,0),"")</f>
        <v>Re-order</v>
      </c>
      <c r="AF368" s="46">
        <f t="shared" si="89"/>
        <v>-0.92222222222222228</v>
      </c>
      <c r="AG368" s="46">
        <f>SUMIFS('[1]Raw Inventory'!D:D,'[1]Raw Inventory'!C:C,"GREATWALL",'[1]Raw Inventory'!B:B,A368)</f>
        <v>29</v>
      </c>
      <c r="AH368" s="46">
        <f>SUMIFS('[1]Raw Inventory'!D:D,'[1]Raw Inventory'!C:C,"DUARTE",'[1]Raw Inventory'!B:B,A368)</f>
        <v>0</v>
      </c>
      <c r="AI368" s="46"/>
      <c r="AJ368" s="46"/>
      <c r="AK368" s="43"/>
      <c r="AL368" s="43"/>
      <c r="AM368" s="43"/>
      <c r="AN368" s="43"/>
      <c r="AO368" s="43"/>
      <c r="AP368" s="43"/>
      <c r="AQ368" s="43"/>
      <c r="AR368" s="43"/>
      <c r="AS368" s="43"/>
      <c r="AT368" s="43"/>
    </row>
    <row r="369" spans="1:46">
      <c r="A369" s="43" t="s">
        <v>39</v>
      </c>
      <c r="B369" s="43" t="s">
        <v>131</v>
      </c>
      <c r="C369" s="43" t="s">
        <v>128</v>
      </c>
      <c r="D369" s="44" t="s">
        <v>224</v>
      </c>
      <c r="E369" s="44">
        <v>8</v>
      </c>
      <c r="F369" s="44" t="s">
        <v>2</v>
      </c>
      <c r="G369" s="43" t="str">
        <f>IFERROR(VLOOKUP(A369,'[1]MC Masterlist 2026-09-12'!$B:$M, 3, 0),"")</f>
        <v>HONDA</v>
      </c>
      <c r="H369" s="45">
        <f>IFERROR(VLOOKUP(A369,'[1]MC Masterlist 2026-09-12'!$B:$M, 6, 0),"")</f>
        <v>72434</v>
      </c>
      <c r="I369" s="46">
        <v>1</v>
      </c>
      <c r="J369" s="46">
        <v>2</v>
      </c>
      <c r="K369" s="46">
        <v>3</v>
      </c>
      <c r="L369" s="46">
        <f t="shared" si="75"/>
        <v>6</v>
      </c>
      <c r="M369" s="46">
        <f t="shared" si="76"/>
        <v>2</v>
      </c>
      <c r="N369" s="45">
        <f t="shared" si="77"/>
        <v>434604</v>
      </c>
      <c r="O369" s="45">
        <f t="shared" si="78"/>
        <v>144868</v>
      </c>
      <c r="P369" s="46">
        <f t="shared" si="79"/>
        <v>6.6666666666666666E-2</v>
      </c>
      <c r="Q369" s="46"/>
      <c r="R369" s="45">
        <f t="shared" si="80"/>
        <v>0</v>
      </c>
      <c r="S369" s="46">
        <f t="shared" si="81"/>
        <v>0</v>
      </c>
      <c r="T369" s="46">
        <f>IFERROR(VLOOKUP(A369,'[1]Re-order'!$A:$Q,17,0),"")</f>
        <v>40.982142857142854</v>
      </c>
      <c r="U369" s="46">
        <f>IFERROR(VLOOKUP(A369,'[1]MC Masterlist 2026-09-12'!$B:$M, 10, 0),0)</f>
        <v>15</v>
      </c>
      <c r="V369" s="46">
        <f>IFERROR(VLOOKUP(A369,'[1]MC Masterlist 2026-09-12'!$B:$M, 11, 0),0)</f>
        <v>15</v>
      </c>
      <c r="W369" s="46">
        <f t="shared" si="82"/>
        <v>30</v>
      </c>
      <c r="X369" s="46">
        <f t="shared" si="83"/>
        <v>29</v>
      </c>
      <c r="Y369" s="46">
        <f>IFERROR(IF(OR(C369="AREA I",C369="AREA V"),7,VLOOKUP(A369,'[1]MC Masterlist 2026-09-12'!$B:$M, 12, 0)),0)</f>
        <v>30</v>
      </c>
      <c r="Z369" s="46">
        <f t="shared" si="84"/>
        <v>1</v>
      </c>
      <c r="AA369" s="46">
        <f t="shared" si="85"/>
        <v>2</v>
      </c>
      <c r="AB369" s="46">
        <f t="shared" si="86"/>
        <v>1.9333333333333333</v>
      </c>
      <c r="AC369" s="46">
        <f t="shared" si="87"/>
        <v>2</v>
      </c>
      <c r="AD369" s="44" t="str">
        <f t="shared" si="88"/>
        <v>Stockout</v>
      </c>
      <c r="AE369" s="44" t="str">
        <f>IFERROR(VLOOKUP(A369,'[1]Re-order'!$A:$AA,27,0),"")</f>
        <v>Re-order</v>
      </c>
      <c r="AF369" s="46">
        <f t="shared" si="89"/>
        <v>2</v>
      </c>
      <c r="AG369" s="46">
        <f>SUMIFS('[1]Raw Inventory'!D:D,'[1]Raw Inventory'!C:C,"GREATWALL",'[1]Raw Inventory'!B:B,A369)</f>
        <v>16</v>
      </c>
      <c r="AH369" s="46">
        <f>SUMIFS('[1]Raw Inventory'!D:D,'[1]Raw Inventory'!C:C,"DUARTE",'[1]Raw Inventory'!B:B,A369)</f>
        <v>0</v>
      </c>
      <c r="AI369" s="46"/>
      <c r="AJ369" s="46"/>
      <c r="AK369" s="43"/>
      <c r="AL369" s="43"/>
      <c r="AM369" s="43"/>
      <c r="AN369" s="43"/>
      <c r="AO369" s="43"/>
      <c r="AP369" s="43"/>
      <c r="AQ369" s="43"/>
      <c r="AR369" s="43"/>
      <c r="AS369" s="43"/>
      <c r="AT369" s="43"/>
    </row>
    <row r="370" spans="1:46">
      <c r="A370" s="43" t="s">
        <v>22</v>
      </c>
      <c r="B370" s="43" t="s">
        <v>93</v>
      </c>
      <c r="C370" s="43" t="s">
        <v>90</v>
      </c>
      <c r="D370" s="44" t="s">
        <v>232</v>
      </c>
      <c r="E370" s="44">
        <v>21</v>
      </c>
      <c r="F370" s="44" t="s">
        <v>3</v>
      </c>
      <c r="G370" s="43" t="str">
        <f>IFERROR(VLOOKUP(A370,'[1]MC Masterlist 2026-09-12'!$B:$M, 3, 0),"")</f>
        <v>HONDA</v>
      </c>
      <c r="H370" s="45">
        <f>IFERROR(VLOOKUP(A370,'[1]MC Masterlist 2026-09-12'!$B:$M, 6, 0),"")</f>
        <v>111258</v>
      </c>
      <c r="I370" s="46">
        <v>0</v>
      </c>
      <c r="J370" s="46">
        <v>0</v>
      </c>
      <c r="K370" s="46">
        <v>0</v>
      </c>
      <c r="L370" s="46">
        <f t="shared" si="75"/>
        <v>0</v>
      </c>
      <c r="M370" s="46">
        <f t="shared" si="76"/>
        <v>0</v>
      </c>
      <c r="N370" s="45">
        <f t="shared" si="77"/>
        <v>0</v>
      </c>
      <c r="O370" s="45">
        <f t="shared" si="78"/>
        <v>0</v>
      </c>
      <c r="P370" s="46">
        <f t="shared" si="79"/>
        <v>0</v>
      </c>
      <c r="Q370" s="46">
        <v>2</v>
      </c>
      <c r="R370" s="45">
        <f t="shared" si="80"/>
        <v>222516</v>
      </c>
      <c r="S370" s="46">
        <f t="shared" si="81"/>
        <v>0</v>
      </c>
      <c r="T370" s="46">
        <f>IFERROR(VLOOKUP(A370,'[1]Re-order'!$A:$Q,17,0),"")</f>
        <v>41.339712918660283</v>
      </c>
      <c r="U370" s="46">
        <f>IFERROR(VLOOKUP(A370,'[1]MC Masterlist 2026-09-12'!$B:$M, 10, 0),0)</f>
        <v>15</v>
      </c>
      <c r="V370" s="46">
        <f>IFERROR(VLOOKUP(A370,'[1]MC Masterlist 2026-09-12'!$B:$M, 11, 0),0)</f>
        <v>15</v>
      </c>
      <c r="W370" s="46">
        <f t="shared" si="82"/>
        <v>30</v>
      </c>
      <c r="X370" s="46">
        <f t="shared" si="83"/>
        <v>30</v>
      </c>
      <c r="Y370" s="46">
        <f>IFERROR(IF(OR(C370="AREA I",C370="AREA V"),7,VLOOKUP(A370,'[1]MC Masterlist 2026-09-12'!$B:$M, 12, 0)),0)</f>
        <v>30</v>
      </c>
      <c r="Z370" s="46">
        <f t="shared" si="84"/>
        <v>0</v>
      </c>
      <c r="AA370" s="46">
        <f t="shared" si="85"/>
        <v>0</v>
      </c>
      <c r="AB370" s="46">
        <f t="shared" si="86"/>
        <v>0</v>
      </c>
      <c r="AC370" s="46">
        <f t="shared" si="87"/>
        <v>0</v>
      </c>
      <c r="AD370" s="44" t="str">
        <f t="shared" si="88"/>
        <v>Over</v>
      </c>
      <c r="AE370" s="44" t="str">
        <f>IFERROR(VLOOKUP(A370,'[1]Re-order'!$A:$AA,27,0),"")</f>
        <v>Re-order</v>
      </c>
      <c r="AF370" s="46">
        <f t="shared" si="89"/>
        <v>-2</v>
      </c>
      <c r="AG370" s="46">
        <f>SUMIFS('[1]Raw Inventory'!D:D,'[1]Raw Inventory'!C:C,"GREATWALL",'[1]Raw Inventory'!B:B,A370)</f>
        <v>4</v>
      </c>
      <c r="AH370" s="46">
        <f>SUMIFS('[1]Raw Inventory'!D:D,'[1]Raw Inventory'!C:C,"DUARTE",'[1]Raw Inventory'!B:B,A370)</f>
        <v>0</v>
      </c>
      <c r="AI370" s="46"/>
      <c r="AJ370" s="46"/>
      <c r="AK370" s="43"/>
      <c r="AL370" s="43"/>
      <c r="AM370" s="43"/>
      <c r="AN370" s="43"/>
      <c r="AO370" s="43"/>
      <c r="AP370" s="43"/>
      <c r="AQ370" s="43"/>
      <c r="AR370" s="43"/>
      <c r="AS370" s="43"/>
      <c r="AT370" s="43"/>
    </row>
    <row r="371" spans="1:46">
      <c r="A371" s="43" t="s">
        <v>26</v>
      </c>
      <c r="B371" s="43" t="s">
        <v>121</v>
      </c>
      <c r="C371" s="43" t="s">
        <v>118</v>
      </c>
      <c r="D371" s="44" t="s">
        <v>264</v>
      </c>
      <c r="E371" s="44">
        <v>7</v>
      </c>
      <c r="F371" s="44" t="s">
        <v>0</v>
      </c>
      <c r="G371" s="43" t="str">
        <f>IFERROR(VLOOKUP(A371,'[1]MC Masterlist 2026-09-12'!$B:$M, 3, 0),"")</f>
        <v>SUZUKI</v>
      </c>
      <c r="H371" s="45">
        <f>IFERROR(VLOOKUP(A371,'[1]MC Masterlist 2026-09-12'!$B:$M, 6, 0),"")</f>
        <v>123700</v>
      </c>
      <c r="I371" s="46">
        <v>2</v>
      </c>
      <c r="J371" s="46">
        <v>2</v>
      </c>
      <c r="K371" s="46">
        <v>3</v>
      </c>
      <c r="L371" s="46">
        <f t="shared" si="75"/>
        <v>7</v>
      </c>
      <c r="M371" s="46">
        <f t="shared" si="76"/>
        <v>2.3333333333333335</v>
      </c>
      <c r="N371" s="45">
        <f t="shared" si="77"/>
        <v>865900</v>
      </c>
      <c r="O371" s="45">
        <f t="shared" si="78"/>
        <v>288633.33333333337</v>
      </c>
      <c r="P371" s="46">
        <f t="shared" si="79"/>
        <v>7.7777777777777779E-2</v>
      </c>
      <c r="Q371" s="46">
        <v>2</v>
      </c>
      <c r="R371" s="45">
        <f t="shared" si="80"/>
        <v>247400</v>
      </c>
      <c r="S371" s="46">
        <f t="shared" si="81"/>
        <v>25.714285714285708</v>
      </c>
      <c r="T371" s="46">
        <f>IFERROR(VLOOKUP(A371,'[1]Re-order'!$A:$Q,17,0),"")</f>
        <v>71.470588235294116</v>
      </c>
      <c r="U371" s="46">
        <f>IFERROR(VLOOKUP(A371,'[1]MC Masterlist 2026-09-12'!$B:$M, 10, 0),0)</f>
        <v>15</v>
      </c>
      <c r="V371" s="46">
        <f>IFERROR(VLOOKUP(A371,'[1]MC Masterlist 2026-09-12'!$B:$M, 11, 0),0)</f>
        <v>15</v>
      </c>
      <c r="W371" s="46">
        <f t="shared" si="82"/>
        <v>30</v>
      </c>
      <c r="X371" s="46">
        <f t="shared" si="83"/>
        <v>28.833333333333332</v>
      </c>
      <c r="Y371" s="46">
        <f>IFERROR(IF(OR(C371="AREA I",C371="AREA V"),7,VLOOKUP(A371,'[1]MC Masterlist 2026-09-12'!$B:$M, 12, 0)),0)</f>
        <v>30</v>
      </c>
      <c r="Z371" s="46">
        <f t="shared" si="84"/>
        <v>1.1666666666666667</v>
      </c>
      <c r="AA371" s="46">
        <f t="shared" si="85"/>
        <v>2.3333333333333335</v>
      </c>
      <c r="AB371" s="46">
        <f t="shared" si="86"/>
        <v>2.2425925925925925</v>
      </c>
      <c r="AC371" s="46">
        <f t="shared" si="87"/>
        <v>2.3333333333333335</v>
      </c>
      <c r="AD371" s="44" t="str">
        <f t="shared" si="88"/>
        <v>Re-order</v>
      </c>
      <c r="AE371" s="44" t="str">
        <f>IFERROR(VLOOKUP(A371,'[1]Re-order'!$A:$AA,27,0),"")</f>
        <v>Re-order</v>
      </c>
      <c r="AF371" s="46">
        <f t="shared" si="89"/>
        <v>0.33333333333333348</v>
      </c>
      <c r="AG371" s="46">
        <f>SUMIFS('[1]Raw Inventory'!D:D,'[1]Raw Inventory'!C:C,"GREATWALL",'[1]Raw Inventory'!B:B,A371)</f>
        <v>30</v>
      </c>
      <c r="AH371" s="46">
        <f>SUMIFS('[1]Raw Inventory'!D:D,'[1]Raw Inventory'!C:C,"DUARTE",'[1]Raw Inventory'!B:B,A371)</f>
        <v>0</v>
      </c>
      <c r="AI371" s="46"/>
      <c r="AJ371" s="46"/>
      <c r="AK371" s="43"/>
      <c r="AL371" s="43"/>
      <c r="AM371" s="43"/>
      <c r="AN371" s="43"/>
      <c r="AO371" s="43"/>
      <c r="AP371" s="43"/>
      <c r="AQ371" s="43"/>
      <c r="AR371" s="43"/>
      <c r="AS371" s="43"/>
      <c r="AT371" s="43"/>
    </row>
    <row r="372" spans="1:46">
      <c r="A372" s="43" t="s">
        <v>47</v>
      </c>
      <c r="B372" s="43" t="s">
        <v>154</v>
      </c>
      <c r="C372" s="43" t="s">
        <v>152</v>
      </c>
      <c r="D372" s="44" t="s">
        <v>260</v>
      </c>
      <c r="E372" s="44">
        <v>28</v>
      </c>
      <c r="F372" s="44" t="s">
        <v>3</v>
      </c>
      <c r="G372" s="43" t="str">
        <f>IFERROR(VLOOKUP(A372,'[1]MC Masterlist 2026-09-12'!$B:$M, 3, 0),"")</f>
        <v>YAMAHA</v>
      </c>
      <c r="H372" s="45">
        <f>IFERROR(VLOOKUP(A372,'[1]MC Masterlist 2026-09-12'!$B:$M, 6, 0),"")</f>
        <v>76167</v>
      </c>
      <c r="I372" s="46">
        <v>0</v>
      </c>
      <c r="J372" s="46">
        <v>0</v>
      </c>
      <c r="K372" s="46">
        <v>0</v>
      </c>
      <c r="L372" s="46">
        <f t="shared" si="75"/>
        <v>0</v>
      </c>
      <c r="M372" s="46">
        <f t="shared" si="76"/>
        <v>0</v>
      </c>
      <c r="N372" s="45">
        <f t="shared" si="77"/>
        <v>0</v>
      </c>
      <c r="O372" s="45">
        <f t="shared" si="78"/>
        <v>0</v>
      </c>
      <c r="P372" s="46">
        <f t="shared" si="79"/>
        <v>0</v>
      </c>
      <c r="Q372" s="46">
        <v>3</v>
      </c>
      <c r="R372" s="45">
        <f t="shared" si="80"/>
        <v>228501</v>
      </c>
      <c r="S372" s="46">
        <f t="shared" si="81"/>
        <v>0</v>
      </c>
      <c r="T372" s="46">
        <f>IFERROR(VLOOKUP(A372,'[1]Re-order'!$A:$Q,17,0),"")</f>
        <v>86.666666666666671</v>
      </c>
      <c r="U372" s="46">
        <f>IFERROR(VLOOKUP(A372,'[1]MC Masterlist 2026-09-12'!$B:$M, 10, 0),0)</f>
        <v>15</v>
      </c>
      <c r="V372" s="46">
        <f>IFERROR(VLOOKUP(A372,'[1]MC Masterlist 2026-09-12'!$B:$M, 11, 0),0)</f>
        <v>15</v>
      </c>
      <c r="W372" s="46">
        <f t="shared" si="82"/>
        <v>30</v>
      </c>
      <c r="X372" s="46">
        <f t="shared" si="83"/>
        <v>30</v>
      </c>
      <c r="Y372" s="46">
        <f>IFERROR(IF(OR(C372="AREA I",C372="AREA V"),7,VLOOKUP(A372,'[1]MC Masterlist 2026-09-12'!$B:$M, 12, 0)),0)</f>
        <v>30</v>
      </c>
      <c r="Z372" s="46">
        <f t="shared" si="84"/>
        <v>0</v>
      </c>
      <c r="AA372" s="46">
        <f t="shared" si="85"/>
        <v>0</v>
      </c>
      <c r="AB372" s="46">
        <f t="shared" si="86"/>
        <v>0</v>
      </c>
      <c r="AC372" s="46">
        <f t="shared" si="87"/>
        <v>0</v>
      </c>
      <c r="AD372" s="44" t="str">
        <f t="shared" si="88"/>
        <v>Over</v>
      </c>
      <c r="AE372" s="44" t="str">
        <f>IFERROR(VLOOKUP(A372,'[1]Re-order'!$A:$AA,27,0),"")</f>
        <v/>
      </c>
      <c r="AF372" s="46">
        <f t="shared" si="89"/>
        <v>-3</v>
      </c>
      <c r="AG372" s="46">
        <f>SUMIFS('[1]Raw Inventory'!D:D,'[1]Raw Inventory'!C:C,"GREATWALL",'[1]Raw Inventory'!B:B,A372)</f>
        <v>1</v>
      </c>
      <c r="AH372" s="46">
        <f>SUMIFS('[1]Raw Inventory'!D:D,'[1]Raw Inventory'!C:C,"DUARTE",'[1]Raw Inventory'!B:B,A372)</f>
        <v>0</v>
      </c>
      <c r="AI372" s="46"/>
      <c r="AJ372" s="46"/>
      <c r="AK372" s="43"/>
      <c r="AL372" s="43"/>
      <c r="AM372" s="43"/>
      <c r="AN372" s="43"/>
      <c r="AO372" s="43"/>
      <c r="AP372" s="43"/>
      <c r="AQ372" s="43"/>
      <c r="AR372" s="43"/>
      <c r="AS372" s="43"/>
      <c r="AT372" s="43"/>
    </row>
    <row r="373" spans="1:46">
      <c r="A373" s="43" t="s">
        <v>18</v>
      </c>
      <c r="B373" s="43" t="s">
        <v>5</v>
      </c>
      <c r="C373" s="43" t="s">
        <v>118</v>
      </c>
      <c r="D373" s="44" t="s">
        <v>237</v>
      </c>
      <c r="E373" s="44">
        <v>23</v>
      </c>
      <c r="F373" s="44" t="s">
        <v>3</v>
      </c>
      <c r="G373" s="43" t="str">
        <f>IFERROR(VLOOKUP(A373,'[1]MC Masterlist 2026-09-12'!$B:$M, 3, 0),"")</f>
        <v>HONDA</v>
      </c>
      <c r="H373" s="45">
        <f>IFERROR(VLOOKUP(A373,'[1]MC Masterlist 2026-09-12'!$B:$M, 6, 0),"")</f>
        <v>94330</v>
      </c>
      <c r="I373" s="46">
        <v>0</v>
      </c>
      <c r="J373" s="46">
        <v>0</v>
      </c>
      <c r="K373" s="46">
        <v>0</v>
      </c>
      <c r="L373" s="46">
        <f t="shared" si="75"/>
        <v>0</v>
      </c>
      <c r="M373" s="46">
        <f t="shared" si="76"/>
        <v>0</v>
      </c>
      <c r="N373" s="45">
        <f t="shared" si="77"/>
        <v>0</v>
      </c>
      <c r="O373" s="45">
        <f t="shared" si="78"/>
        <v>0</v>
      </c>
      <c r="P373" s="46">
        <f t="shared" si="79"/>
        <v>0</v>
      </c>
      <c r="Q373" s="46">
        <v>3</v>
      </c>
      <c r="R373" s="45">
        <f t="shared" si="80"/>
        <v>282990</v>
      </c>
      <c r="S373" s="46">
        <f t="shared" si="81"/>
        <v>0</v>
      </c>
      <c r="T373" s="46">
        <f>IFERROR(VLOOKUP(A373,'[1]Re-order'!$A:$Q,17,0),"")</f>
        <v>113.9644970414201</v>
      </c>
      <c r="U373" s="46">
        <f>IFERROR(VLOOKUP(A373,'[1]MC Masterlist 2026-09-12'!$B:$M, 10, 0),0)</f>
        <v>15</v>
      </c>
      <c r="V373" s="46">
        <f>IFERROR(VLOOKUP(A373,'[1]MC Masterlist 2026-09-12'!$B:$M, 11, 0),0)</f>
        <v>15</v>
      </c>
      <c r="W373" s="46">
        <f t="shared" si="82"/>
        <v>30</v>
      </c>
      <c r="X373" s="46">
        <f t="shared" si="83"/>
        <v>30</v>
      </c>
      <c r="Y373" s="46">
        <f>IFERROR(IF(OR(C373="AREA I",C373="AREA V"),7,VLOOKUP(A373,'[1]MC Masterlist 2026-09-12'!$B:$M, 12, 0)),0)</f>
        <v>30</v>
      </c>
      <c r="Z373" s="46">
        <f t="shared" si="84"/>
        <v>0</v>
      </c>
      <c r="AA373" s="46">
        <f t="shared" si="85"/>
        <v>0</v>
      </c>
      <c r="AB373" s="46">
        <f t="shared" si="86"/>
        <v>0</v>
      </c>
      <c r="AC373" s="46">
        <f t="shared" si="87"/>
        <v>0</v>
      </c>
      <c r="AD373" s="44" t="str">
        <f t="shared" si="88"/>
        <v>Over</v>
      </c>
      <c r="AE373" s="44" t="str">
        <f>IFERROR(VLOOKUP(A373,'[1]Re-order'!$A:$AA,27,0),"")</f>
        <v>Over</v>
      </c>
      <c r="AF373" s="46">
        <f t="shared" si="89"/>
        <v>-3</v>
      </c>
      <c r="AG373" s="46">
        <f>SUMIFS('[1]Raw Inventory'!D:D,'[1]Raw Inventory'!C:C,"GREATWALL",'[1]Raw Inventory'!B:B,A373)</f>
        <v>88</v>
      </c>
      <c r="AH373" s="46">
        <f>SUMIFS('[1]Raw Inventory'!D:D,'[1]Raw Inventory'!C:C,"DUARTE",'[1]Raw Inventory'!B:B,A373)</f>
        <v>0</v>
      </c>
      <c r="AI373" s="46"/>
      <c r="AJ373" s="46"/>
      <c r="AK373" s="43"/>
      <c r="AL373" s="43"/>
      <c r="AM373" s="43"/>
      <c r="AN373" s="43"/>
      <c r="AO373" s="43"/>
      <c r="AP373" s="43"/>
      <c r="AQ373" s="43"/>
      <c r="AR373" s="43"/>
      <c r="AS373" s="43"/>
      <c r="AT373" s="43"/>
    </row>
    <row r="374" spans="1:46">
      <c r="A374" s="43" t="s">
        <v>12</v>
      </c>
      <c r="B374" s="43" t="s">
        <v>156</v>
      </c>
      <c r="C374" s="43" t="s">
        <v>152</v>
      </c>
      <c r="D374" s="44" t="s">
        <v>236</v>
      </c>
      <c r="E374" s="44">
        <v>4</v>
      </c>
      <c r="F374" s="44" t="s">
        <v>2</v>
      </c>
      <c r="G374" s="43" t="str">
        <f>IFERROR(VLOOKUP(A374,'[1]MC Masterlist 2026-09-12'!$B:$M, 3, 0),"")</f>
        <v>HONDA</v>
      </c>
      <c r="H374" s="45">
        <f>IFERROR(VLOOKUP(A374,'[1]MC Masterlist 2026-09-12'!$B:$M, 6, 0),"")</f>
        <v>158270</v>
      </c>
      <c r="I374" s="46">
        <v>1</v>
      </c>
      <c r="J374" s="46">
        <v>1</v>
      </c>
      <c r="K374" s="46">
        <v>4</v>
      </c>
      <c r="L374" s="46">
        <f t="shared" si="75"/>
        <v>6</v>
      </c>
      <c r="M374" s="46">
        <f t="shared" si="76"/>
        <v>2</v>
      </c>
      <c r="N374" s="45">
        <f t="shared" si="77"/>
        <v>949620</v>
      </c>
      <c r="O374" s="45">
        <f t="shared" si="78"/>
        <v>316540</v>
      </c>
      <c r="P374" s="46">
        <f t="shared" si="79"/>
        <v>6.6666666666666666E-2</v>
      </c>
      <c r="Q374" s="46">
        <v>1</v>
      </c>
      <c r="R374" s="45">
        <f t="shared" si="80"/>
        <v>158270</v>
      </c>
      <c r="S374" s="46">
        <f t="shared" si="81"/>
        <v>15</v>
      </c>
      <c r="T374" s="46">
        <f>IFERROR(VLOOKUP(A374,'[1]Re-order'!$A:$Q,17,0),"")</f>
        <v>46.461038961038959</v>
      </c>
      <c r="U374" s="46">
        <f>IFERROR(VLOOKUP(A374,'[1]MC Masterlist 2026-09-12'!$B:$M, 10, 0),0)</f>
        <v>15</v>
      </c>
      <c r="V374" s="46">
        <f>IFERROR(VLOOKUP(A374,'[1]MC Masterlist 2026-09-12'!$B:$M, 11, 0),0)</f>
        <v>15</v>
      </c>
      <c r="W374" s="46">
        <f t="shared" si="82"/>
        <v>30</v>
      </c>
      <c r="X374" s="46">
        <f t="shared" si="83"/>
        <v>29</v>
      </c>
      <c r="Y374" s="46">
        <f>IFERROR(IF(OR(C374="AREA I",C374="AREA V"),7,VLOOKUP(A374,'[1]MC Masterlist 2026-09-12'!$B:$M, 12, 0)),0)</f>
        <v>30</v>
      </c>
      <c r="Z374" s="46">
        <f t="shared" si="84"/>
        <v>1</v>
      </c>
      <c r="AA374" s="46">
        <f t="shared" si="85"/>
        <v>2</v>
      </c>
      <c r="AB374" s="46">
        <f t="shared" si="86"/>
        <v>1.9333333333333333</v>
      </c>
      <c r="AC374" s="46">
        <f t="shared" si="87"/>
        <v>2</v>
      </c>
      <c r="AD374" s="44" t="str">
        <f t="shared" si="88"/>
        <v>Stockout</v>
      </c>
      <c r="AE374" s="44" t="str">
        <f>IFERROR(VLOOKUP(A374,'[1]Re-order'!$A:$AA,27,0),"")</f>
        <v>Re-order</v>
      </c>
      <c r="AF374" s="46">
        <f t="shared" si="89"/>
        <v>1</v>
      </c>
      <c r="AG374" s="46">
        <f>SUMIFS('[1]Raw Inventory'!D:D,'[1]Raw Inventory'!C:C,"GREATWALL",'[1]Raw Inventory'!B:B,A374)</f>
        <v>35</v>
      </c>
      <c r="AH374" s="46">
        <f>SUMIFS('[1]Raw Inventory'!D:D,'[1]Raw Inventory'!C:C,"DUARTE",'[1]Raw Inventory'!B:B,A374)</f>
        <v>0</v>
      </c>
      <c r="AI374" s="46"/>
      <c r="AJ374" s="46"/>
      <c r="AK374" s="43"/>
      <c r="AL374" s="43"/>
      <c r="AM374" s="43"/>
      <c r="AN374" s="43"/>
      <c r="AO374" s="43"/>
      <c r="AP374" s="43"/>
      <c r="AQ374" s="43"/>
      <c r="AR374" s="43"/>
      <c r="AS374" s="43"/>
      <c r="AT374" s="43"/>
    </row>
    <row r="375" spans="1:46">
      <c r="A375" s="43" t="s">
        <v>28</v>
      </c>
      <c r="B375" s="43" t="s">
        <v>30</v>
      </c>
      <c r="C375" s="43" t="s">
        <v>1</v>
      </c>
      <c r="D375" s="44" t="s">
        <v>238</v>
      </c>
      <c r="E375" s="44">
        <v>2</v>
      </c>
      <c r="F375" s="44" t="s">
        <v>0</v>
      </c>
      <c r="G375" s="43" t="str">
        <f>IFERROR(VLOOKUP(A375,'[1]MC Masterlist 2026-09-12'!$B:$M, 3, 0),"")</f>
        <v>YAMAHA</v>
      </c>
      <c r="H375" s="45">
        <f>IFERROR(VLOOKUP(A375,'[1]MC Masterlist 2026-09-12'!$B:$M, 6, 0),"")</f>
        <v>147312</v>
      </c>
      <c r="I375" s="46">
        <v>6</v>
      </c>
      <c r="J375" s="46">
        <v>7</v>
      </c>
      <c r="K375" s="46">
        <v>7</v>
      </c>
      <c r="L375" s="46">
        <f t="shared" si="75"/>
        <v>20</v>
      </c>
      <c r="M375" s="46">
        <f t="shared" si="76"/>
        <v>6.666666666666667</v>
      </c>
      <c r="N375" s="45">
        <f t="shared" si="77"/>
        <v>2946240</v>
      </c>
      <c r="O375" s="45">
        <f t="shared" si="78"/>
        <v>982080</v>
      </c>
      <c r="P375" s="46">
        <f t="shared" si="79"/>
        <v>0.22222222222222224</v>
      </c>
      <c r="Q375" s="46"/>
      <c r="R375" s="45">
        <f t="shared" si="80"/>
        <v>0</v>
      </c>
      <c r="S375" s="46">
        <f t="shared" si="81"/>
        <v>0</v>
      </c>
      <c r="T375" s="46">
        <f>IFERROR(VLOOKUP(A375,'[1]Re-order'!$A:$Q,17,0),"")</f>
        <v>8.2417582417582427</v>
      </c>
      <c r="U375" s="46">
        <f>IFERROR(VLOOKUP(A375,'[1]MC Masterlist 2026-09-12'!$B:$M, 10, 0),0)</f>
        <v>15</v>
      </c>
      <c r="V375" s="46">
        <f>IFERROR(VLOOKUP(A375,'[1]MC Masterlist 2026-09-12'!$B:$M, 11, 0),0)</f>
        <v>15</v>
      </c>
      <c r="W375" s="46">
        <f t="shared" si="82"/>
        <v>30</v>
      </c>
      <c r="X375" s="46">
        <f t="shared" si="83"/>
        <v>3.6666666666666665</v>
      </c>
      <c r="Y375" s="46">
        <f>IFERROR(IF(OR(C375="AREA I",C375="AREA V"),7,VLOOKUP(A375,'[1]MC Masterlist 2026-09-12'!$B:$M, 12, 0)),0)</f>
        <v>7</v>
      </c>
      <c r="Z375" s="46">
        <f t="shared" si="84"/>
        <v>3.3333333333333335</v>
      </c>
      <c r="AA375" s="46">
        <f t="shared" si="85"/>
        <v>6.666666666666667</v>
      </c>
      <c r="AB375" s="46">
        <f t="shared" si="86"/>
        <v>0.81481481481481488</v>
      </c>
      <c r="AC375" s="46">
        <f t="shared" si="87"/>
        <v>1.5555555555555556</v>
      </c>
      <c r="AD375" s="44" t="str">
        <f t="shared" si="88"/>
        <v>Stockout</v>
      </c>
      <c r="AE375" s="44" t="str">
        <f>IFERROR(VLOOKUP(A375,'[1]Re-order'!$A:$AA,27,0),"")</f>
        <v>Stockout</v>
      </c>
      <c r="AF375" s="46">
        <f t="shared" si="89"/>
        <v>1.5555555555555556</v>
      </c>
      <c r="AG375" s="46">
        <f>SUMIFS('[1]Raw Inventory'!D:D,'[1]Raw Inventory'!C:C,"GREATWALL",'[1]Raw Inventory'!B:B,A375)</f>
        <v>0</v>
      </c>
      <c r="AH375" s="46">
        <f>SUMIFS('[1]Raw Inventory'!D:D,'[1]Raw Inventory'!C:C,"DUARTE",'[1]Raw Inventory'!B:B,A375)</f>
        <v>0</v>
      </c>
      <c r="AI375" s="46"/>
      <c r="AJ375" s="46"/>
      <c r="AK375" s="43"/>
      <c r="AL375" s="43"/>
      <c r="AM375" s="43"/>
      <c r="AN375" s="43"/>
      <c r="AO375" s="43"/>
      <c r="AP375" s="43"/>
      <c r="AQ375" s="43"/>
      <c r="AR375" s="43"/>
      <c r="AS375" s="43"/>
      <c r="AT375" s="43"/>
    </row>
    <row r="376" spans="1:46">
      <c r="A376" s="43" t="s">
        <v>35</v>
      </c>
      <c r="B376" s="43" t="s">
        <v>91</v>
      </c>
      <c r="C376" s="43" t="s">
        <v>90</v>
      </c>
      <c r="D376" s="44" t="s">
        <v>241</v>
      </c>
      <c r="E376" s="44">
        <v>13</v>
      </c>
      <c r="F376" s="44" t="s">
        <v>3</v>
      </c>
      <c r="G376" s="43" t="str">
        <f>IFERROR(VLOOKUP(A376,'[1]MC Masterlist 2026-09-12'!$B:$M, 3, 0),"")</f>
        <v>HONDA</v>
      </c>
      <c r="H376" s="45">
        <f>IFERROR(VLOOKUP(A376,'[1]MC Masterlist 2026-09-12'!$B:$M, 6, 0),"")</f>
        <v>57990</v>
      </c>
      <c r="I376" s="46">
        <v>0</v>
      </c>
      <c r="J376" s="46">
        <v>0</v>
      </c>
      <c r="K376" s="46">
        <v>1</v>
      </c>
      <c r="L376" s="46">
        <f t="shared" si="75"/>
        <v>1</v>
      </c>
      <c r="M376" s="46">
        <f t="shared" si="76"/>
        <v>0.33333333333333331</v>
      </c>
      <c r="N376" s="45">
        <f t="shared" si="77"/>
        <v>57990</v>
      </c>
      <c r="O376" s="45">
        <f t="shared" si="78"/>
        <v>19330</v>
      </c>
      <c r="P376" s="46">
        <f t="shared" si="79"/>
        <v>1.111111111111111E-2</v>
      </c>
      <c r="Q376" s="46">
        <v>1</v>
      </c>
      <c r="R376" s="45">
        <f t="shared" si="80"/>
        <v>57990</v>
      </c>
      <c r="S376" s="46">
        <f t="shared" si="81"/>
        <v>90</v>
      </c>
      <c r="T376" s="46">
        <f>IFERROR(VLOOKUP(A376,'[1]Re-order'!$A:$Q,17,0),"")</f>
        <v>68.275862068965523</v>
      </c>
      <c r="U376" s="46">
        <f>IFERROR(VLOOKUP(A376,'[1]MC Masterlist 2026-09-12'!$B:$M, 10, 0),0)</f>
        <v>15</v>
      </c>
      <c r="V376" s="46">
        <f>IFERROR(VLOOKUP(A376,'[1]MC Masterlist 2026-09-12'!$B:$M, 11, 0),0)</f>
        <v>15</v>
      </c>
      <c r="W376" s="46">
        <f t="shared" si="82"/>
        <v>30</v>
      </c>
      <c r="X376" s="46">
        <f t="shared" si="83"/>
        <v>29.833333333333332</v>
      </c>
      <c r="Y376" s="46">
        <f>IFERROR(IF(OR(C376="AREA I",C376="AREA V"),7,VLOOKUP(A376,'[1]MC Masterlist 2026-09-12'!$B:$M, 12, 0)),0)</f>
        <v>30</v>
      </c>
      <c r="Z376" s="46">
        <f t="shared" si="84"/>
        <v>0.16666666666666666</v>
      </c>
      <c r="AA376" s="46">
        <f t="shared" si="85"/>
        <v>0.33333333333333331</v>
      </c>
      <c r="AB376" s="46">
        <f t="shared" si="86"/>
        <v>0.33148148148148143</v>
      </c>
      <c r="AC376" s="46">
        <f t="shared" si="87"/>
        <v>0.33333333333333331</v>
      </c>
      <c r="AD376" s="44" t="str">
        <f t="shared" si="88"/>
        <v>Over</v>
      </c>
      <c r="AE376" s="44" t="str">
        <f>IFERROR(VLOOKUP(A376,'[1]Re-order'!$A:$AA,27,0),"")</f>
        <v>Re-order</v>
      </c>
      <c r="AF376" s="46">
        <f t="shared" si="89"/>
        <v>-0.66666666666666674</v>
      </c>
      <c r="AG376" s="46">
        <f>SUMIFS('[1]Raw Inventory'!D:D,'[1]Raw Inventory'!C:C,"GREATWALL",'[1]Raw Inventory'!B:B,A376)</f>
        <v>29</v>
      </c>
      <c r="AH376" s="46">
        <f>SUMIFS('[1]Raw Inventory'!D:D,'[1]Raw Inventory'!C:C,"DUARTE",'[1]Raw Inventory'!B:B,A376)</f>
        <v>0</v>
      </c>
      <c r="AI376" s="46"/>
      <c r="AJ376" s="46"/>
      <c r="AK376" s="43"/>
      <c r="AL376" s="43"/>
      <c r="AM376" s="43"/>
      <c r="AN376" s="43"/>
      <c r="AO376" s="43"/>
      <c r="AP376" s="43"/>
      <c r="AQ376" s="43"/>
      <c r="AR376" s="43"/>
      <c r="AS376" s="43"/>
      <c r="AT376" s="43"/>
    </row>
    <row r="377" spans="1:46">
      <c r="A377" s="43" t="s">
        <v>12</v>
      </c>
      <c r="B377" s="43" t="s">
        <v>153</v>
      </c>
      <c r="C377" s="43" t="s">
        <v>152</v>
      </c>
      <c r="D377" s="44" t="s">
        <v>246</v>
      </c>
      <c r="E377" s="44">
        <v>9</v>
      </c>
      <c r="F377" s="44" t="s">
        <v>2</v>
      </c>
      <c r="G377" s="43" t="str">
        <f>IFERROR(VLOOKUP(A377,'[1]MC Masterlist 2026-09-12'!$B:$M, 3, 0),"")</f>
        <v>HONDA</v>
      </c>
      <c r="H377" s="45">
        <f>IFERROR(VLOOKUP(A377,'[1]MC Masterlist 2026-09-12'!$B:$M, 6, 0),"")</f>
        <v>158270</v>
      </c>
      <c r="I377" s="46">
        <v>1</v>
      </c>
      <c r="J377" s="46">
        <v>0</v>
      </c>
      <c r="K377" s="46">
        <v>0</v>
      </c>
      <c r="L377" s="46">
        <f t="shared" si="75"/>
        <v>1</v>
      </c>
      <c r="M377" s="46">
        <f t="shared" si="76"/>
        <v>0.33333333333333331</v>
      </c>
      <c r="N377" s="45">
        <f t="shared" si="77"/>
        <v>158270</v>
      </c>
      <c r="O377" s="45">
        <f t="shared" si="78"/>
        <v>52756.666666666664</v>
      </c>
      <c r="P377" s="46">
        <f t="shared" si="79"/>
        <v>1.111111111111111E-2</v>
      </c>
      <c r="Q377" s="46">
        <v>10</v>
      </c>
      <c r="R377" s="45">
        <f t="shared" si="80"/>
        <v>1582700</v>
      </c>
      <c r="S377" s="46">
        <f t="shared" si="81"/>
        <v>900</v>
      </c>
      <c r="T377" s="46">
        <f>IFERROR(VLOOKUP(A377,'[1]Re-order'!$A:$Q,17,0),"")</f>
        <v>46.461038961038959</v>
      </c>
      <c r="U377" s="46">
        <f>IFERROR(VLOOKUP(A377,'[1]MC Masterlist 2026-09-12'!$B:$M, 10, 0),0)</f>
        <v>15</v>
      </c>
      <c r="V377" s="46">
        <f>IFERROR(VLOOKUP(A377,'[1]MC Masterlist 2026-09-12'!$B:$M, 11, 0),0)</f>
        <v>15</v>
      </c>
      <c r="W377" s="46">
        <f t="shared" si="82"/>
        <v>30</v>
      </c>
      <c r="X377" s="46">
        <f t="shared" si="83"/>
        <v>29.833333333333332</v>
      </c>
      <c r="Y377" s="46">
        <f>IFERROR(IF(OR(C377="AREA I",C377="AREA V"),7,VLOOKUP(A377,'[1]MC Masterlist 2026-09-12'!$B:$M, 12, 0)),0)</f>
        <v>30</v>
      </c>
      <c r="Z377" s="46">
        <f t="shared" si="84"/>
        <v>0.16666666666666666</v>
      </c>
      <c r="AA377" s="46">
        <f t="shared" si="85"/>
        <v>0.33333333333333331</v>
      </c>
      <c r="AB377" s="46">
        <f t="shared" si="86"/>
        <v>0.33148148148148143</v>
      </c>
      <c r="AC377" s="46">
        <f t="shared" si="87"/>
        <v>0.33333333333333331</v>
      </c>
      <c r="AD377" s="44" t="str">
        <f t="shared" si="88"/>
        <v>Over</v>
      </c>
      <c r="AE377" s="44" t="str">
        <f>IFERROR(VLOOKUP(A377,'[1]Re-order'!$A:$AA,27,0),"")</f>
        <v>Re-order</v>
      </c>
      <c r="AF377" s="46">
        <f t="shared" si="89"/>
        <v>-9.6666666666666661</v>
      </c>
      <c r="AG377" s="46">
        <f>SUMIFS('[1]Raw Inventory'!D:D,'[1]Raw Inventory'!C:C,"GREATWALL",'[1]Raw Inventory'!B:B,A377)</f>
        <v>35</v>
      </c>
      <c r="AH377" s="46">
        <f>SUMIFS('[1]Raw Inventory'!D:D,'[1]Raw Inventory'!C:C,"DUARTE",'[1]Raw Inventory'!B:B,A377)</f>
        <v>0</v>
      </c>
      <c r="AI377" s="46"/>
      <c r="AJ377" s="46"/>
      <c r="AK377" s="43"/>
      <c r="AL377" s="43"/>
      <c r="AM377" s="43"/>
      <c r="AN377" s="43"/>
      <c r="AO377" s="43"/>
      <c r="AP377" s="43"/>
      <c r="AQ377" s="43"/>
      <c r="AR377" s="43"/>
      <c r="AS377" s="43"/>
      <c r="AT377" s="43"/>
    </row>
    <row r="378" spans="1:46">
      <c r="A378" s="43" t="s">
        <v>73</v>
      </c>
      <c r="B378" s="43" t="s">
        <v>114</v>
      </c>
      <c r="C378" s="43" t="s">
        <v>109</v>
      </c>
      <c r="D378" s="44" t="s">
        <v>232</v>
      </c>
      <c r="E378" s="44">
        <v>30</v>
      </c>
      <c r="F378" s="44" t="s">
        <v>3</v>
      </c>
      <c r="G378" s="43" t="str">
        <f>IFERROR(VLOOKUP(A378,'[1]MC Masterlist 2026-09-12'!$B:$M, 3, 0),"")</f>
        <v>SUZUKI</v>
      </c>
      <c r="H378" s="45">
        <f>IFERROR(VLOOKUP(A378,'[1]MC Masterlist 2026-09-12'!$B:$M, 6, 0),"")</f>
        <v>122770</v>
      </c>
      <c r="I378" s="46">
        <v>0</v>
      </c>
      <c r="J378" s="46">
        <v>0</v>
      </c>
      <c r="K378" s="46">
        <v>0</v>
      </c>
      <c r="L378" s="46">
        <f t="shared" si="75"/>
        <v>0</v>
      </c>
      <c r="M378" s="46">
        <f t="shared" si="76"/>
        <v>0</v>
      </c>
      <c r="N378" s="45">
        <f t="shared" si="77"/>
        <v>0</v>
      </c>
      <c r="O378" s="45">
        <f t="shared" si="78"/>
        <v>0</v>
      </c>
      <c r="P378" s="46">
        <f t="shared" si="79"/>
        <v>0</v>
      </c>
      <c r="Q378" s="46">
        <v>1</v>
      </c>
      <c r="R378" s="45">
        <f t="shared" si="80"/>
        <v>122770</v>
      </c>
      <c r="S378" s="46">
        <f t="shared" si="81"/>
        <v>0</v>
      </c>
      <c r="T378" s="46">
        <f>IFERROR(VLOOKUP(A378,'[1]Re-order'!$A:$Q,17,0),"")</f>
        <v>787.50000000000011</v>
      </c>
      <c r="U378" s="46">
        <f>IFERROR(VLOOKUP(A378,'[1]MC Masterlist 2026-09-12'!$B:$M, 10, 0),0)</f>
        <v>15</v>
      </c>
      <c r="V378" s="46">
        <f>IFERROR(VLOOKUP(A378,'[1]MC Masterlist 2026-09-12'!$B:$M, 11, 0),0)</f>
        <v>15</v>
      </c>
      <c r="W378" s="46">
        <f t="shared" si="82"/>
        <v>30</v>
      </c>
      <c r="X378" s="46">
        <f t="shared" si="83"/>
        <v>30</v>
      </c>
      <c r="Y378" s="46">
        <f>IFERROR(IF(OR(C378="AREA I",C378="AREA V"),7,VLOOKUP(A378,'[1]MC Masterlist 2026-09-12'!$B:$M, 12, 0)),0)</f>
        <v>30</v>
      </c>
      <c r="Z378" s="46">
        <f t="shared" si="84"/>
        <v>0</v>
      </c>
      <c r="AA378" s="46">
        <f t="shared" si="85"/>
        <v>0</v>
      </c>
      <c r="AB378" s="46">
        <f t="shared" si="86"/>
        <v>0</v>
      </c>
      <c r="AC378" s="46">
        <f t="shared" si="87"/>
        <v>0</v>
      </c>
      <c r="AD378" s="44" t="str">
        <f t="shared" si="88"/>
        <v>Over</v>
      </c>
      <c r="AE378" s="44" t="str">
        <f>IFERROR(VLOOKUP(A378,'[1]Re-order'!$A:$AA,27,0),"")</f>
        <v>Over</v>
      </c>
      <c r="AF378" s="46">
        <f t="shared" si="89"/>
        <v>-1</v>
      </c>
      <c r="AG378" s="46">
        <f>SUMIFS('[1]Raw Inventory'!D:D,'[1]Raw Inventory'!C:C,"GREATWALL",'[1]Raw Inventory'!B:B,A378)</f>
        <v>9</v>
      </c>
      <c r="AH378" s="46">
        <f>SUMIFS('[1]Raw Inventory'!D:D,'[1]Raw Inventory'!C:C,"DUARTE",'[1]Raw Inventory'!B:B,A378)</f>
        <v>0</v>
      </c>
      <c r="AI378" s="46"/>
      <c r="AJ378" s="46"/>
      <c r="AK378" s="43"/>
      <c r="AL378" s="43"/>
      <c r="AM378" s="43"/>
      <c r="AN378" s="43"/>
      <c r="AO378" s="43"/>
      <c r="AP378" s="43"/>
      <c r="AQ378" s="43"/>
      <c r="AR378" s="43"/>
      <c r="AS378" s="43"/>
      <c r="AT378" s="43"/>
    </row>
    <row r="379" spans="1:46">
      <c r="A379" s="43" t="s">
        <v>78</v>
      </c>
      <c r="B379" s="43" t="s">
        <v>29</v>
      </c>
      <c r="C379" s="43" t="s">
        <v>1</v>
      </c>
      <c r="D379" s="44" t="s">
        <v>265</v>
      </c>
      <c r="E379" s="44">
        <v>38</v>
      </c>
      <c r="F379" s="44" t="s">
        <v>3</v>
      </c>
      <c r="G379" s="43" t="str">
        <f>IFERROR(VLOOKUP(A379,'[1]MC Masterlist 2026-09-12'!$B:$M, 3, 0),"")</f>
        <v>KAWASAKI</v>
      </c>
      <c r="H379" s="45">
        <f>IFERROR(VLOOKUP(A379,'[1]MC Masterlist 2026-09-12'!$B:$M, 6, 0),"")</f>
        <v>100700</v>
      </c>
      <c r="I379" s="46">
        <v>0</v>
      </c>
      <c r="J379" s="46">
        <v>0</v>
      </c>
      <c r="K379" s="46">
        <v>0</v>
      </c>
      <c r="L379" s="46">
        <f t="shared" si="75"/>
        <v>0</v>
      </c>
      <c r="M379" s="46">
        <f t="shared" si="76"/>
        <v>0</v>
      </c>
      <c r="N379" s="45">
        <f t="shared" si="77"/>
        <v>0</v>
      </c>
      <c r="O379" s="45">
        <f t="shared" si="78"/>
        <v>0</v>
      </c>
      <c r="P379" s="46">
        <f t="shared" si="79"/>
        <v>0</v>
      </c>
      <c r="Q379" s="46">
        <v>2</v>
      </c>
      <c r="R379" s="45">
        <f t="shared" si="80"/>
        <v>201400</v>
      </c>
      <c r="S379" s="46">
        <f t="shared" si="81"/>
        <v>0</v>
      </c>
      <c r="T379" s="46">
        <f>IFERROR(VLOOKUP(A379,'[1]Re-order'!$A:$Q,17,0),"")</f>
        <v>438.75000000000006</v>
      </c>
      <c r="U379" s="46">
        <f>IFERROR(VLOOKUP(A379,'[1]MC Masterlist 2026-09-12'!$B:$M, 10, 0),0)</f>
        <v>15</v>
      </c>
      <c r="V379" s="46">
        <f>IFERROR(VLOOKUP(A379,'[1]MC Masterlist 2026-09-12'!$B:$M, 11, 0),0)</f>
        <v>15</v>
      </c>
      <c r="W379" s="46">
        <f t="shared" si="82"/>
        <v>30</v>
      </c>
      <c r="X379" s="46">
        <f t="shared" si="83"/>
        <v>7</v>
      </c>
      <c r="Y379" s="46">
        <f>IFERROR(IF(OR(C379="AREA I",C379="AREA V"),7,VLOOKUP(A379,'[1]MC Masterlist 2026-09-12'!$B:$M, 12, 0)),0)</f>
        <v>7</v>
      </c>
      <c r="Z379" s="46">
        <f t="shared" si="84"/>
        <v>0</v>
      </c>
      <c r="AA379" s="46">
        <f t="shared" si="85"/>
        <v>0</v>
      </c>
      <c r="AB379" s="46">
        <f t="shared" si="86"/>
        <v>0</v>
      </c>
      <c r="AC379" s="46">
        <f t="shared" si="87"/>
        <v>0</v>
      </c>
      <c r="AD379" s="44" t="str">
        <f t="shared" si="88"/>
        <v>Over</v>
      </c>
      <c r="AE379" s="44" t="str">
        <f>IFERROR(VLOOKUP(A379,'[1]Re-order'!$A:$AA,27,0),"")</f>
        <v>Over</v>
      </c>
      <c r="AF379" s="46">
        <f t="shared" si="89"/>
        <v>-2</v>
      </c>
      <c r="AG379" s="46">
        <f>SUMIFS('[1]Raw Inventory'!D:D,'[1]Raw Inventory'!C:C,"GREATWALL",'[1]Raw Inventory'!B:B,A379)</f>
        <v>26</v>
      </c>
      <c r="AH379" s="46">
        <f>SUMIFS('[1]Raw Inventory'!D:D,'[1]Raw Inventory'!C:C,"DUARTE",'[1]Raw Inventory'!B:B,A379)</f>
        <v>0</v>
      </c>
      <c r="AI379" s="46"/>
      <c r="AJ379" s="46"/>
      <c r="AK379" s="43"/>
      <c r="AL379" s="43"/>
      <c r="AM379" s="43"/>
      <c r="AN379" s="43"/>
      <c r="AO379" s="43"/>
      <c r="AP379" s="43"/>
      <c r="AQ379" s="43"/>
      <c r="AR379" s="43"/>
      <c r="AS379" s="43"/>
      <c r="AT379" s="43"/>
    </row>
    <row r="380" spans="1:46">
      <c r="A380" s="43" t="s">
        <v>106</v>
      </c>
      <c r="B380" s="43" t="s">
        <v>96</v>
      </c>
      <c r="C380" s="43" t="s">
        <v>90</v>
      </c>
      <c r="D380" s="44" t="s">
        <v>253</v>
      </c>
      <c r="E380" s="44">
        <v>7</v>
      </c>
      <c r="F380" s="44" t="s">
        <v>3</v>
      </c>
      <c r="G380" s="43" t="str">
        <f>IFERROR(VLOOKUP(A380,'[1]MC Masterlist 2026-09-12'!$B:$M, 3, 0),"")</f>
        <v>SUZUKI</v>
      </c>
      <c r="H380" s="45">
        <f>IFERROR(VLOOKUP(A380,'[1]MC Masterlist 2026-09-12'!$B:$M, 6, 0),"")</f>
        <v>104077</v>
      </c>
      <c r="I380" s="46">
        <v>0</v>
      </c>
      <c r="J380" s="46">
        <v>0</v>
      </c>
      <c r="K380" s="46">
        <v>0</v>
      </c>
      <c r="L380" s="46">
        <f t="shared" si="75"/>
        <v>0</v>
      </c>
      <c r="M380" s="46">
        <f t="shared" si="76"/>
        <v>0</v>
      </c>
      <c r="N380" s="45">
        <f t="shared" si="77"/>
        <v>0</v>
      </c>
      <c r="O380" s="45">
        <f t="shared" si="78"/>
        <v>0</v>
      </c>
      <c r="P380" s="46">
        <f t="shared" si="79"/>
        <v>0</v>
      </c>
      <c r="Q380" s="46">
        <v>1</v>
      </c>
      <c r="R380" s="45">
        <f t="shared" si="80"/>
        <v>104077</v>
      </c>
      <c r="S380" s="46">
        <f t="shared" si="81"/>
        <v>0</v>
      </c>
      <c r="T380" s="46">
        <f>IFERROR(VLOOKUP(A380,'[1]Re-order'!$A:$Q,17,0),"")</f>
        <v>45.000000000000007</v>
      </c>
      <c r="U380" s="46">
        <f>IFERROR(VLOOKUP(A380,'[1]MC Masterlist 2026-09-12'!$B:$M, 10, 0),0)</f>
        <v>15</v>
      </c>
      <c r="V380" s="46">
        <f>IFERROR(VLOOKUP(A380,'[1]MC Masterlist 2026-09-12'!$B:$M, 11, 0),0)</f>
        <v>15</v>
      </c>
      <c r="W380" s="46">
        <f t="shared" si="82"/>
        <v>30</v>
      </c>
      <c r="X380" s="46">
        <f t="shared" si="83"/>
        <v>30</v>
      </c>
      <c r="Y380" s="46">
        <f>IFERROR(IF(OR(C380="AREA I",C380="AREA V"),7,VLOOKUP(A380,'[1]MC Masterlist 2026-09-12'!$B:$M, 12, 0)),0)</f>
        <v>30</v>
      </c>
      <c r="Z380" s="46">
        <f t="shared" si="84"/>
        <v>0</v>
      </c>
      <c r="AA380" s="46">
        <f t="shared" si="85"/>
        <v>0</v>
      </c>
      <c r="AB380" s="46">
        <f t="shared" si="86"/>
        <v>0</v>
      </c>
      <c r="AC380" s="46">
        <f t="shared" si="87"/>
        <v>0</v>
      </c>
      <c r="AD380" s="44" t="str">
        <f t="shared" si="88"/>
        <v>Over</v>
      </c>
      <c r="AE380" s="44" t="str">
        <f>IFERROR(VLOOKUP(A380,'[1]Re-order'!$A:$AA,27,0),"")</f>
        <v>Re-order</v>
      </c>
      <c r="AF380" s="46">
        <f t="shared" si="89"/>
        <v>-1</v>
      </c>
      <c r="AG380" s="46">
        <f>SUMIFS('[1]Raw Inventory'!D:D,'[1]Raw Inventory'!C:C,"GREATWALL",'[1]Raw Inventory'!B:B,A380)</f>
        <v>0</v>
      </c>
      <c r="AH380" s="46">
        <f>SUMIFS('[1]Raw Inventory'!D:D,'[1]Raw Inventory'!C:C,"DUARTE",'[1]Raw Inventory'!B:B,A380)</f>
        <v>0</v>
      </c>
      <c r="AI380" s="46"/>
      <c r="AJ380" s="46"/>
      <c r="AK380" s="43"/>
      <c r="AL380" s="43"/>
      <c r="AM380" s="43"/>
      <c r="AN380" s="43"/>
      <c r="AO380" s="43"/>
      <c r="AP380" s="43"/>
      <c r="AQ380" s="43"/>
      <c r="AR380" s="43"/>
      <c r="AS380" s="43"/>
      <c r="AT380" s="43"/>
    </row>
    <row r="381" spans="1:46">
      <c r="A381" s="43" t="s">
        <v>86</v>
      </c>
      <c r="B381" s="43" t="s">
        <v>141</v>
      </c>
      <c r="C381" s="43" t="s">
        <v>137</v>
      </c>
      <c r="D381" s="44" t="s">
        <v>229</v>
      </c>
      <c r="E381" s="44">
        <v>26</v>
      </c>
      <c r="F381" s="44" t="s">
        <v>3</v>
      </c>
      <c r="G381" s="43" t="str">
        <f>IFERROR(VLOOKUP(A381,'[1]MC Masterlist 2026-09-12'!$B:$M, 3, 0),"")</f>
        <v>KAWASAKI</v>
      </c>
      <c r="H381" s="45">
        <f>IFERROR(VLOOKUP(A381,'[1]MC Masterlist 2026-09-12'!$B:$M, 6, 0),"")</f>
        <v>72500</v>
      </c>
      <c r="I381" s="46">
        <v>0</v>
      </c>
      <c r="J381" s="46">
        <v>1</v>
      </c>
      <c r="K381" s="46">
        <v>0</v>
      </c>
      <c r="L381" s="46">
        <f t="shared" si="75"/>
        <v>1</v>
      </c>
      <c r="M381" s="46">
        <f t="shared" si="76"/>
        <v>0.33333333333333331</v>
      </c>
      <c r="N381" s="45">
        <f t="shared" si="77"/>
        <v>72500</v>
      </c>
      <c r="O381" s="45">
        <f t="shared" si="78"/>
        <v>24166.666666666664</v>
      </c>
      <c r="P381" s="46">
        <f t="shared" si="79"/>
        <v>1.111111111111111E-2</v>
      </c>
      <c r="Q381" s="46">
        <v>1</v>
      </c>
      <c r="R381" s="45">
        <f t="shared" si="80"/>
        <v>72500</v>
      </c>
      <c r="S381" s="46">
        <f t="shared" si="81"/>
        <v>90.000000000000014</v>
      </c>
      <c r="T381" s="46">
        <f>IFERROR(VLOOKUP(A381,'[1]Re-order'!$A:$Q,17,0),"")</f>
        <v>150</v>
      </c>
      <c r="U381" s="46">
        <f>IFERROR(VLOOKUP(A381,'[1]MC Masterlist 2026-09-12'!$B:$M, 10, 0),0)</f>
        <v>15</v>
      </c>
      <c r="V381" s="46">
        <f>IFERROR(VLOOKUP(A381,'[1]MC Masterlist 2026-09-12'!$B:$M, 11, 0),0)</f>
        <v>15</v>
      </c>
      <c r="W381" s="46">
        <f t="shared" si="82"/>
        <v>30</v>
      </c>
      <c r="X381" s="46">
        <f t="shared" si="83"/>
        <v>6.833333333333333</v>
      </c>
      <c r="Y381" s="46">
        <f>IFERROR(IF(OR(C381="AREA I",C381="AREA V"),7,VLOOKUP(A381,'[1]MC Masterlist 2026-09-12'!$B:$M, 12, 0)),0)</f>
        <v>7</v>
      </c>
      <c r="Z381" s="46">
        <f t="shared" si="84"/>
        <v>0.16666666666666666</v>
      </c>
      <c r="AA381" s="46">
        <f t="shared" si="85"/>
        <v>0.33333333333333331</v>
      </c>
      <c r="AB381" s="46">
        <f t="shared" si="86"/>
        <v>7.5925925925925911E-2</v>
      </c>
      <c r="AC381" s="46">
        <f t="shared" si="87"/>
        <v>7.7777777777777765E-2</v>
      </c>
      <c r="AD381" s="44" t="str">
        <f t="shared" si="88"/>
        <v>Over</v>
      </c>
      <c r="AE381" s="44" t="str">
        <f>IFERROR(VLOOKUP(A381,'[1]Re-order'!$A:$AA,27,0),"")</f>
        <v>Over</v>
      </c>
      <c r="AF381" s="46">
        <f t="shared" si="89"/>
        <v>-0.92222222222222228</v>
      </c>
      <c r="AG381" s="46">
        <f>SUMIFS('[1]Raw Inventory'!D:D,'[1]Raw Inventory'!C:C,"GREATWALL",'[1]Raw Inventory'!B:B,A381)</f>
        <v>0</v>
      </c>
      <c r="AH381" s="46">
        <f>SUMIFS('[1]Raw Inventory'!D:D,'[1]Raw Inventory'!C:C,"DUARTE",'[1]Raw Inventory'!B:B,A381)</f>
        <v>0</v>
      </c>
      <c r="AI381" s="46"/>
      <c r="AJ381" s="46"/>
      <c r="AK381" s="43"/>
      <c r="AL381" s="43"/>
      <c r="AM381" s="43"/>
      <c r="AN381" s="43"/>
      <c r="AO381" s="43"/>
      <c r="AP381" s="43"/>
      <c r="AQ381" s="43"/>
      <c r="AR381" s="43"/>
      <c r="AS381" s="43"/>
      <c r="AT381" s="43"/>
    </row>
    <row r="382" spans="1:46">
      <c r="A382" s="43" t="s">
        <v>80</v>
      </c>
      <c r="B382" s="43" t="s">
        <v>129</v>
      </c>
      <c r="C382" s="43" t="s">
        <v>128</v>
      </c>
      <c r="D382" s="44" t="s">
        <v>239</v>
      </c>
      <c r="E382" s="44">
        <v>24</v>
      </c>
      <c r="F382" s="44" t="s">
        <v>3</v>
      </c>
      <c r="G382" s="43" t="str">
        <f>IFERROR(VLOOKUP(A382,'[1]MC Masterlist 2026-09-12'!$B:$M, 3, 0),"")</f>
        <v>YAMAHA</v>
      </c>
      <c r="H382" s="45">
        <f>IFERROR(VLOOKUP(A382,'[1]MC Masterlist 2026-09-12'!$B:$M, 6, 0),"")</f>
        <v>73842</v>
      </c>
      <c r="I382" s="46">
        <v>0</v>
      </c>
      <c r="J382" s="46">
        <v>0</v>
      </c>
      <c r="K382" s="46">
        <v>0</v>
      </c>
      <c r="L382" s="46">
        <f t="shared" si="75"/>
        <v>0</v>
      </c>
      <c r="M382" s="46">
        <f t="shared" si="76"/>
        <v>0</v>
      </c>
      <c r="N382" s="45">
        <f t="shared" si="77"/>
        <v>0</v>
      </c>
      <c r="O382" s="45">
        <f t="shared" si="78"/>
        <v>0</v>
      </c>
      <c r="P382" s="46">
        <f t="shared" si="79"/>
        <v>0</v>
      </c>
      <c r="Q382" s="46">
        <v>1</v>
      </c>
      <c r="R382" s="45">
        <f t="shared" si="80"/>
        <v>73842</v>
      </c>
      <c r="S382" s="46">
        <f t="shared" si="81"/>
        <v>0</v>
      </c>
      <c r="T382" s="46">
        <f>IFERROR(VLOOKUP(A382,'[1]Re-order'!$A:$Q,17,0),"")</f>
        <v>67.5</v>
      </c>
      <c r="U382" s="46">
        <f>IFERROR(VLOOKUP(A382,'[1]MC Masterlist 2026-09-12'!$B:$M, 10, 0),0)</f>
        <v>15</v>
      </c>
      <c r="V382" s="46">
        <f>IFERROR(VLOOKUP(A382,'[1]MC Masterlist 2026-09-12'!$B:$M, 11, 0),0)</f>
        <v>15</v>
      </c>
      <c r="W382" s="46">
        <f t="shared" si="82"/>
        <v>30</v>
      </c>
      <c r="X382" s="46">
        <f t="shared" si="83"/>
        <v>30</v>
      </c>
      <c r="Y382" s="46">
        <f>IFERROR(IF(OR(C382="AREA I",C382="AREA V"),7,VLOOKUP(A382,'[1]MC Masterlist 2026-09-12'!$B:$M, 12, 0)),0)</f>
        <v>30</v>
      </c>
      <c r="Z382" s="46">
        <f t="shared" si="84"/>
        <v>0</v>
      </c>
      <c r="AA382" s="46">
        <f t="shared" si="85"/>
        <v>0</v>
      </c>
      <c r="AB382" s="46">
        <f t="shared" si="86"/>
        <v>0</v>
      </c>
      <c r="AC382" s="46">
        <f t="shared" si="87"/>
        <v>0</v>
      </c>
      <c r="AD382" s="44" t="str">
        <f t="shared" si="88"/>
        <v>Over</v>
      </c>
      <c r="AE382" s="44" t="str">
        <f>IFERROR(VLOOKUP(A382,'[1]Re-order'!$A:$AA,27,0),"")</f>
        <v>Re-order</v>
      </c>
      <c r="AF382" s="46">
        <f t="shared" si="89"/>
        <v>-1</v>
      </c>
      <c r="AG382" s="46">
        <f>SUMIFS('[1]Raw Inventory'!D:D,'[1]Raw Inventory'!C:C,"GREATWALL",'[1]Raw Inventory'!B:B,A382)</f>
        <v>0</v>
      </c>
      <c r="AH382" s="46">
        <f>SUMIFS('[1]Raw Inventory'!D:D,'[1]Raw Inventory'!C:C,"DUARTE",'[1]Raw Inventory'!B:B,A382)</f>
        <v>0</v>
      </c>
      <c r="AI382" s="46"/>
      <c r="AJ382" s="46"/>
      <c r="AK382" s="43"/>
      <c r="AL382" s="43"/>
      <c r="AM382" s="43"/>
      <c r="AN382" s="43"/>
      <c r="AO382" s="43"/>
      <c r="AP382" s="43"/>
      <c r="AQ382" s="43"/>
      <c r="AR382" s="43"/>
      <c r="AS382" s="43"/>
      <c r="AT382" s="43"/>
    </row>
    <row r="383" spans="1:46">
      <c r="A383" s="43" t="s">
        <v>17</v>
      </c>
      <c r="B383" s="43" t="s">
        <v>21</v>
      </c>
      <c r="C383" s="43" t="s">
        <v>1</v>
      </c>
      <c r="D383" s="44" t="s">
        <v>259</v>
      </c>
      <c r="E383" s="44">
        <v>5</v>
      </c>
      <c r="F383" s="44" t="s">
        <v>0</v>
      </c>
      <c r="G383" s="43" t="str">
        <f>IFERROR(VLOOKUP(A383,'[1]MC Masterlist 2026-09-12'!$B:$M, 3, 0),"")</f>
        <v>HONDA</v>
      </c>
      <c r="H383" s="45">
        <f>IFERROR(VLOOKUP(A383,'[1]MC Masterlist 2026-09-12'!$B:$M, 6, 0),"")</f>
        <v>140790</v>
      </c>
      <c r="I383" s="46">
        <v>3</v>
      </c>
      <c r="J383" s="46">
        <v>1</v>
      </c>
      <c r="K383" s="46">
        <v>4</v>
      </c>
      <c r="L383" s="46">
        <f t="shared" si="75"/>
        <v>8</v>
      </c>
      <c r="M383" s="46">
        <f t="shared" si="76"/>
        <v>2.6666666666666665</v>
      </c>
      <c r="N383" s="45">
        <f t="shared" si="77"/>
        <v>1126320</v>
      </c>
      <c r="O383" s="45">
        <f t="shared" si="78"/>
        <v>375440</v>
      </c>
      <c r="P383" s="46">
        <f t="shared" si="79"/>
        <v>8.8888888888888878E-2</v>
      </c>
      <c r="Q383" s="46"/>
      <c r="R383" s="45">
        <f t="shared" si="80"/>
        <v>0</v>
      </c>
      <c r="S383" s="46">
        <f t="shared" si="81"/>
        <v>0</v>
      </c>
      <c r="T383" s="46">
        <f>IFERROR(VLOOKUP(A383,'[1]Re-order'!$A:$Q,17,0),"")</f>
        <v>43.663366336633665</v>
      </c>
      <c r="U383" s="46">
        <f>IFERROR(VLOOKUP(A383,'[1]MC Masterlist 2026-09-12'!$B:$M, 10, 0),0)</f>
        <v>15</v>
      </c>
      <c r="V383" s="46">
        <f>IFERROR(VLOOKUP(A383,'[1]MC Masterlist 2026-09-12'!$B:$M, 11, 0),0)</f>
        <v>15</v>
      </c>
      <c r="W383" s="46">
        <f t="shared" si="82"/>
        <v>30</v>
      </c>
      <c r="X383" s="46">
        <f t="shared" si="83"/>
        <v>5.666666666666667</v>
      </c>
      <c r="Y383" s="46">
        <f>IFERROR(IF(OR(C383="AREA I",C383="AREA V"),7,VLOOKUP(A383,'[1]MC Masterlist 2026-09-12'!$B:$M, 12, 0)),0)</f>
        <v>7</v>
      </c>
      <c r="Z383" s="46">
        <f t="shared" si="84"/>
        <v>1.3333333333333333</v>
      </c>
      <c r="AA383" s="46">
        <f t="shared" si="85"/>
        <v>2.6666666666666665</v>
      </c>
      <c r="AB383" s="46">
        <f t="shared" si="86"/>
        <v>0.50370370370370365</v>
      </c>
      <c r="AC383" s="46">
        <f t="shared" si="87"/>
        <v>0.62222222222222212</v>
      </c>
      <c r="AD383" s="44" t="str">
        <f t="shared" si="88"/>
        <v>Stockout</v>
      </c>
      <c r="AE383" s="44" t="str">
        <f>IFERROR(VLOOKUP(A383,'[1]Re-order'!$A:$AA,27,0),"")</f>
        <v>Re-order</v>
      </c>
      <c r="AF383" s="46">
        <f t="shared" si="89"/>
        <v>0.62222222222222212</v>
      </c>
      <c r="AG383" s="46">
        <f>SUMIFS('[1]Raw Inventory'!D:D,'[1]Raw Inventory'!C:C,"GREATWALL",'[1]Raw Inventory'!B:B,A383)</f>
        <v>12</v>
      </c>
      <c r="AH383" s="46">
        <f>SUMIFS('[1]Raw Inventory'!D:D,'[1]Raw Inventory'!C:C,"DUARTE",'[1]Raw Inventory'!B:B,A383)</f>
        <v>0</v>
      </c>
      <c r="AI383" s="46"/>
      <c r="AJ383" s="46"/>
      <c r="AK383" s="43"/>
      <c r="AL383" s="43"/>
      <c r="AM383" s="43"/>
      <c r="AN383" s="43"/>
      <c r="AO383" s="43"/>
      <c r="AP383" s="43"/>
      <c r="AQ383" s="43"/>
      <c r="AR383" s="43"/>
      <c r="AS383" s="43"/>
      <c r="AT383" s="43"/>
    </row>
    <row r="384" spans="1:46">
      <c r="A384" s="43" t="s">
        <v>18</v>
      </c>
      <c r="B384" s="43" t="s">
        <v>139</v>
      </c>
      <c r="C384" s="43" t="s">
        <v>137</v>
      </c>
      <c r="D384" s="44" t="s">
        <v>230</v>
      </c>
      <c r="E384" s="44">
        <v>6</v>
      </c>
      <c r="F384" s="44" t="s">
        <v>0</v>
      </c>
      <c r="G384" s="43" t="str">
        <f>IFERROR(VLOOKUP(A384,'[1]MC Masterlist 2026-09-12'!$B:$M, 3, 0),"")</f>
        <v>HONDA</v>
      </c>
      <c r="H384" s="45">
        <f>IFERROR(VLOOKUP(A384,'[1]MC Masterlist 2026-09-12'!$B:$M, 6, 0),"")</f>
        <v>94330</v>
      </c>
      <c r="I384" s="46">
        <v>6</v>
      </c>
      <c r="J384" s="46">
        <v>2</v>
      </c>
      <c r="K384" s="46">
        <v>4</v>
      </c>
      <c r="L384" s="46">
        <f t="shared" si="75"/>
        <v>12</v>
      </c>
      <c r="M384" s="46">
        <f t="shared" si="76"/>
        <v>4</v>
      </c>
      <c r="N384" s="45">
        <f t="shared" si="77"/>
        <v>1131960</v>
      </c>
      <c r="O384" s="45">
        <f t="shared" si="78"/>
        <v>377320</v>
      </c>
      <c r="P384" s="46">
        <f t="shared" si="79"/>
        <v>0.13333333333333333</v>
      </c>
      <c r="Q384" s="46">
        <v>6</v>
      </c>
      <c r="R384" s="45">
        <f t="shared" si="80"/>
        <v>565980</v>
      </c>
      <c r="S384" s="46">
        <f t="shared" si="81"/>
        <v>45</v>
      </c>
      <c r="T384" s="46">
        <f>IFERROR(VLOOKUP(A384,'[1]Re-order'!$A:$Q,17,0),"")</f>
        <v>113.9644970414201</v>
      </c>
      <c r="U384" s="46">
        <f>IFERROR(VLOOKUP(A384,'[1]MC Masterlist 2026-09-12'!$B:$M, 10, 0),0)</f>
        <v>15</v>
      </c>
      <c r="V384" s="46">
        <f>IFERROR(VLOOKUP(A384,'[1]MC Masterlist 2026-09-12'!$B:$M, 11, 0),0)</f>
        <v>15</v>
      </c>
      <c r="W384" s="46">
        <f t="shared" si="82"/>
        <v>30</v>
      </c>
      <c r="X384" s="46">
        <f t="shared" si="83"/>
        <v>5</v>
      </c>
      <c r="Y384" s="46">
        <f>IFERROR(IF(OR(C384="AREA I",C384="AREA V"),7,VLOOKUP(A384,'[1]MC Masterlist 2026-09-12'!$B:$M, 12, 0)),0)</f>
        <v>7</v>
      </c>
      <c r="Z384" s="46">
        <f t="shared" si="84"/>
        <v>2</v>
      </c>
      <c r="AA384" s="46">
        <f t="shared" si="85"/>
        <v>4</v>
      </c>
      <c r="AB384" s="46">
        <f t="shared" si="86"/>
        <v>0.66666666666666663</v>
      </c>
      <c r="AC384" s="46">
        <f t="shared" si="87"/>
        <v>0.93333333333333335</v>
      </c>
      <c r="AD384" s="44" t="str">
        <f t="shared" si="88"/>
        <v>Over</v>
      </c>
      <c r="AE384" s="44" t="str">
        <f>IFERROR(VLOOKUP(A384,'[1]Re-order'!$A:$AA,27,0),"")</f>
        <v>Over</v>
      </c>
      <c r="AF384" s="46">
        <f t="shared" si="89"/>
        <v>-5.0666666666666664</v>
      </c>
      <c r="AG384" s="46">
        <f>SUMIFS('[1]Raw Inventory'!D:D,'[1]Raw Inventory'!C:C,"GREATWALL",'[1]Raw Inventory'!B:B,A384)</f>
        <v>88</v>
      </c>
      <c r="AH384" s="46">
        <f>SUMIFS('[1]Raw Inventory'!D:D,'[1]Raw Inventory'!C:C,"DUARTE",'[1]Raw Inventory'!B:B,A384)</f>
        <v>0</v>
      </c>
      <c r="AI384" s="46"/>
      <c r="AJ384" s="46"/>
      <c r="AK384" s="43"/>
      <c r="AL384" s="43"/>
      <c r="AM384" s="43"/>
      <c r="AN384" s="43"/>
      <c r="AO384" s="43"/>
      <c r="AP384" s="43"/>
      <c r="AQ384" s="43"/>
      <c r="AR384" s="43"/>
      <c r="AS384" s="43"/>
      <c r="AT384" s="43"/>
    </row>
    <row r="385" spans="1:46">
      <c r="A385" s="43" t="s">
        <v>47</v>
      </c>
      <c r="B385" s="43" t="s">
        <v>122</v>
      </c>
      <c r="C385" s="43" t="s">
        <v>118</v>
      </c>
      <c r="D385" s="44" t="s">
        <v>243</v>
      </c>
      <c r="E385" s="44">
        <v>18</v>
      </c>
      <c r="F385" s="44" t="s">
        <v>2</v>
      </c>
      <c r="G385" s="43" t="str">
        <f>IFERROR(VLOOKUP(A385,'[1]MC Masterlist 2026-09-12'!$B:$M, 3, 0),"")</f>
        <v>YAMAHA</v>
      </c>
      <c r="H385" s="45">
        <f>IFERROR(VLOOKUP(A385,'[1]MC Masterlist 2026-09-12'!$B:$M, 6, 0),"")</f>
        <v>76167</v>
      </c>
      <c r="I385" s="46">
        <v>0</v>
      </c>
      <c r="J385" s="46">
        <v>1</v>
      </c>
      <c r="K385" s="46">
        <v>2</v>
      </c>
      <c r="L385" s="46">
        <f t="shared" si="75"/>
        <v>3</v>
      </c>
      <c r="M385" s="46">
        <f t="shared" si="76"/>
        <v>1</v>
      </c>
      <c r="N385" s="45">
        <f t="shared" si="77"/>
        <v>228501</v>
      </c>
      <c r="O385" s="45">
        <f t="shared" si="78"/>
        <v>76167</v>
      </c>
      <c r="P385" s="46">
        <f t="shared" si="79"/>
        <v>3.3333333333333333E-2</v>
      </c>
      <c r="Q385" s="46">
        <v>2</v>
      </c>
      <c r="R385" s="45">
        <f t="shared" si="80"/>
        <v>152334</v>
      </c>
      <c r="S385" s="46">
        <f t="shared" si="81"/>
        <v>60</v>
      </c>
      <c r="T385" s="46">
        <f>IFERROR(VLOOKUP(A385,'[1]Re-order'!$A:$Q,17,0),"")</f>
        <v>86.666666666666671</v>
      </c>
      <c r="U385" s="46">
        <f>IFERROR(VLOOKUP(A385,'[1]MC Masterlist 2026-09-12'!$B:$M, 10, 0),0)</f>
        <v>15</v>
      </c>
      <c r="V385" s="46">
        <f>IFERROR(VLOOKUP(A385,'[1]MC Masterlist 2026-09-12'!$B:$M, 11, 0),0)</f>
        <v>15</v>
      </c>
      <c r="W385" s="46">
        <f t="shared" si="82"/>
        <v>30</v>
      </c>
      <c r="X385" s="46">
        <f t="shared" si="83"/>
        <v>29.5</v>
      </c>
      <c r="Y385" s="46">
        <f>IFERROR(IF(OR(C385="AREA I",C385="AREA V"),7,VLOOKUP(A385,'[1]MC Masterlist 2026-09-12'!$B:$M, 12, 0)),0)</f>
        <v>30</v>
      </c>
      <c r="Z385" s="46">
        <f t="shared" si="84"/>
        <v>0.5</v>
      </c>
      <c r="AA385" s="46">
        <f t="shared" si="85"/>
        <v>1</v>
      </c>
      <c r="AB385" s="46">
        <f t="shared" si="86"/>
        <v>0.98333333333333328</v>
      </c>
      <c r="AC385" s="46">
        <f t="shared" si="87"/>
        <v>1</v>
      </c>
      <c r="AD385" s="44" t="str">
        <f t="shared" si="88"/>
        <v>Over</v>
      </c>
      <c r="AE385" s="44" t="str">
        <f>IFERROR(VLOOKUP(A385,'[1]Re-order'!$A:$AA,27,0),"")</f>
        <v/>
      </c>
      <c r="AF385" s="46">
        <f t="shared" si="89"/>
        <v>-1</v>
      </c>
      <c r="AG385" s="46">
        <f>SUMIFS('[1]Raw Inventory'!D:D,'[1]Raw Inventory'!C:C,"GREATWALL",'[1]Raw Inventory'!B:B,A385)</f>
        <v>1</v>
      </c>
      <c r="AH385" s="46">
        <f>SUMIFS('[1]Raw Inventory'!D:D,'[1]Raw Inventory'!C:C,"DUARTE",'[1]Raw Inventory'!B:B,A385)</f>
        <v>0</v>
      </c>
      <c r="AI385" s="46"/>
      <c r="AJ385" s="46"/>
      <c r="AK385" s="43"/>
      <c r="AL385" s="43"/>
      <c r="AM385" s="43"/>
      <c r="AN385" s="43"/>
      <c r="AO385" s="43"/>
      <c r="AP385" s="43"/>
      <c r="AQ385" s="43"/>
      <c r="AR385" s="43"/>
      <c r="AS385" s="43"/>
      <c r="AT385" s="43"/>
    </row>
    <row r="386" spans="1:46">
      <c r="A386" s="43" t="s">
        <v>28</v>
      </c>
      <c r="B386" s="43" t="s">
        <v>98</v>
      </c>
      <c r="C386" s="43" t="s">
        <v>90</v>
      </c>
      <c r="D386" s="44" t="s">
        <v>256</v>
      </c>
      <c r="E386" s="44">
        <v>14</v>
      </c>
      <c r="F386" s="44" t="s">
        <v>2</v>
      </c>
      <c r="G386" s="43" t="str">
        <f>IFERROR(VLOOKUP(A386,'[1]MC Masterlist 2026-09-12'!$B:$M, 3, 0),"")</f>
        <v>YAMAHA</v>
      </c>
      <c r="H386" s="45">
        <f>IFERROR(VLOOKUP(A386,'[1]MC Masterlist 2026-09-12'!$B:$M, 6, 0),"")</f>
        <v>147312</v>
      </c>
      <c r="I386" s="46">
        <v>0</v>
      </c>
      <c r="J386" s="46">
        <v>0</v>
      </c>
      <c r="K386" s="46">
        <v>1</v>
      </c>
      <c r="L386" s="46">
        <f t="shared" si="75"/>
        <v>1</v>
      </c>
      <c r="M386" s="46">
        <f t="shared" si="76"/>
        <v>0.33333333333333331</v>
      </c>
      <c r="N386" s="45">
        <f t="shared" si="77"/>
        <v>147312</v>
      </c>
      <c r="O386" s="45">
        <f t="shared" si="78"/>
        <v>49104</v>
      </c>
      <c r="P386" s="46">
        <f t="shared" si="79"/>
        <v>1.111111111111111E-2</v>
      </c>
      <c r="Q386" s="46">
        <v>1</v>
      </c>
      <c r="R386" s="45">
        <f t="shared" si="80"/>
        <v>147312</v>
      </c>
      <c r="S386" s="46">
        <f t="shared" si="81"/>
        <v>90</v>
      </c>
      <c r="T386" s="46">
        <f>IFERROR(VLOOKUP(A386,'[1]Re-order'!$A:$Q,17,0),"")</f>
        <v>8.2417582417582427</v>
      </c>
      <c r="U386" s="46">
        <f>IFERROR(VLOOKUP(A386,'[1]MC Masterlist 2026-09-12'!$B:$M, 10, 0),0)</f>
        <v>15</v>
      </c>
      <c r="V386" s="46">
        <f>IFERROR(VLOOKUP(A386,'[1]MC Masterlist 2026-09-12'!$B:$M, 11, 0),0)</f>
        <v>15</v>
      </c>
      <c r="W386" s="46">
        <f t="shared" si="82"/>
        <v>30</v>
      </c>
      <c r="X386" s="46">
        <f t="shared" si="83"/>
        <v>29.833333333333332</v>
      </c>
      <c r="Y386" s="46">
        <f>IFERROR(IF(OR(C386="AREA I",C386="AREA V"),7,VLOOKUP(A386,'[1]MC Masterlist 2026-09-12'!$B:$M, 12, 0)),0)</f>
        <v>30</v>
      </c>
      <c r="Z386" s="46">
        <f t="shared" si="84"/>
        <v>0.16666666666666666</v>
      </c>
      <c r="AA386" s="46">
        <f t="shared" si="85"/>
        <v>0.33333333333333331</v>
      </c>
      <c r="AB386" s="46">
        <f t="shared" si="86"/>
        <v>0.33148148148148143</v>
      </c>
      <c r="AC386" s="46">
        <f t="shared" si="87"/>
        <v>0.33333333333333331</v>
      </c>
      <c r="AD386" s="44" t="str">
        <f t="shared" si="88"/>
        <v>Over</v>
      </c>
      <c r="AE386" s="44" t="str">
        <f>IFERROR(VLOOKUP(A386,'[1]Re-order'!$A:$AA,27,0),"")</f>
        <v>Stockout</v>
      </c>
      <c r="AF386" s="46">
        <f t="shared" si="89"/>
        <v>-0.66666666666666674</v>
      </c>
      <c r="AG386" s="46">
        <f>SUMIFS('[1]Raw Inventory'!D:D,'[1]Raw Inventory'!C:C,"GREATWALL",'[1]Raw Inventory'!B:B,A386)</f>
        <v>0</v>
      </c>
      <c r="AH386" s="46">
        <f>SUMIFS('[1]Raw Inventory'!D:D,'[1]Raw Inventory'!C:C,"DUARTE",'[1]Raw Inventory'!B:B,A386)</f>
        <v>0</v>
      </c>
      <c r="AI386" s="46"/>
      <c r="AJ386" s="46"/>
      <c r="AK386" s="43"/>
      <c r="AL386" s="43"/>
      <c r="AM386" s="43"/>
      <c r="AN386" s="43"/>
      <c r="AO386" s="43"/>
      <c r="AP386" s="43"/>
      <c r="AQ386" s="43"/>
      <c r="AR386" s="43"/>
      <c r="AS386" s="43"/>
      <c r="AT386" s="43"/>
    </row>
    <row r="387" spans="1:46">
      <c r="A387" s="43" t="s">
        <v>43</v>
      </c>
      <c r="B387" s="43" t="s">
        <v>155</v>
      </c>
      <c r="C387" s="43" t="s">
        <v>152</v>
      </c>
      <c r="D387" s="44" t="s">
        <v>246</v>
      </c>
      <c r="E387" s="44">
        <v>14</v>
      </c>
      <c r="F387" s="44" t="s">
        <v>2</v>
      </c>
      <c r="G387" s="43" t="str">
        <f>IFERROR(VLOOKUP(A387,'[1]MC Masterlist 2026-09-12'!$B:$M, 3, 0),"")</f>
        <v>YAMAHA</v>
      </c>
      <c r="H387" s="45">
        <f>IFERROR(VLOOKUP(A387,'[1]MC Masterlist 2026-09-12'!$B:$M, 6, 0),"")</f>
        <v>70587</v>
      </c>
      <c r="I387" s="46">
        <v>0</v>
      </c>
      <c r="J387" s="46">
        <v>2</v>
      </c>
      <c r="K387" s="46">
        <v>1</v>
      </c>
      <c r="L387" s="46">
        <f t="shared" ref="L387:L450" si="90">I387+J387+K387</f>
        <v>3</v>
      </c>
      <c r="M387" s="46">
        <f t="shared" ref="M387:M450" si="91">AVERAGE(I387,J387,K387)</f>
        <v>1</v>
      </c>
      <c r="N387" s="45">
        <f t="shared" ref="N387:N450" si="92">L387*H387</f>
        <v>211761</v>
      </c>
      <c r="O387" s="45">
        <f t="shared" ref="O387:O450" si="93">M387*H387</f>
        <v>70587</v>
      </c>
      <c r="P387" s="46">
        <f t="shared" ref="P387:P450" si="94">M387/30</f>
        <v>3.3333333333333333E-2</v>
      </c>
      <c r="Q387" s="46">
        <v>1</v>
      </c>
      <c r="R387" s="45">
        <f t="shared" ref="R387:R450" si="95">IFERROR(Q387*H387, 0)</f>
        <v>70587</v>
      </c>
      <c r="S387" s="46">
        <f t="shared" ref="S387:S450" si="96">IFERROR(R387/(O387)*30, 0)</f>
        <v>30</v>
      </c>
      <c r="T387" s="46">
        <f>IFERROR(VLOOKUP(A387,'[1]Re-order'!$A:$Q,17,0),"")</f>
        <v>43.578947368421055</v>
      </c>
      <c r="U387" s="46">
        <f>IFERROR(VLOOKUP(A387,'[1]MC Masterlist 2026-09-12'!$B:$M, 10, 0),0)</f>
        <v>15</v>
      </c>
      <c r="V387" s="46">
        <f>IFERROR(VLOOKUP(A387,'[1]MC Masterlist 2026-09-12'!$B:$M, 11, 0),0)</f>
        <v>15</v>
      </c>
      <c r="W387" s="46">
        <f t="shared" ref="W387:W450" si="97">U387+V387</f>
        <v>30</v>
      </c>
      <c r="X387" s="46">
        <f t="shared" ref="X387:X450" si="98">Y387-Z387</f>
        <v>29.5</v>
      </c>
      <c r="Y387" s="46">
        <f>IFERROR(IF(OR(C387="AREA I",C387="AREA V"),7,VLOOKUP(A387,'[1]MC Masterlist 2026-09-12'!$B:$M, 12, 0)),0)</f>
        <v>30</v>
      </c>
      <c r="Z387" s="46">
        <f t="shared" ref="Z387:Z450" si="99">V387*P387</f>
        <v>0.5</v>
      </c>
      <c r="AA387" s="46">
        <f t="shared" ref="AA387:AA450" si="100">W387*P387</f>
        <v>1</v>
      </c>
      <c r="AB387" s="46">
        <f t="shared" ref="AB387:AB450" si="101">X387*P387</f>
        <v>0.98333333333333328</v>
      </c>
      <c r="AC387" s="46">
        <f t="shared" ref="AC387:AC450" si="102">Y387*P387</f>
        <v>1</v>
      </c>
      <c r="AD387" s="44" t="str">
        <f t="shared" ref="AD387:AD450" si="103">IFERROR(IF(Q387&gt;AC387, "Over", IF(Q387&lt;=Z387, "Stockout", IF(Q387&lt;=AA387, "Re-order",""))), "")</f>
        <v>Re-order</v>
      </c>
      <c r="AE387" s="44" t="str">
        <f>IFERROR(VLOOKUP(A387,'[1]Re-order'!$A:$AA,27,0),"")</f>
        <v>Re-order</v>
      </c>
      <c r="AF387" s="46">
        <f t="shared" ref="AF387:AF450" si="104">AC387-Q387</f>
        <v>0</v>
      </c>
      <c r="AG387" s="46">
        <f>SUMIFS('[1]Raw Inventory'!D:D,'[1]Raw Inventory'!C:C,"GREATWALL",'[1]Raw Inventory'!B:B,A387)</f>
        <v>0</v>
      </c>
      <c r="AH387" s="46">
        <f>SUMIFS('[1]Raw Inventory'!D:D,'[1]Raw Inventory'!C:C,"DUARTE",'[1]Raw Inventory'!B:B,A387)</f>
        <v>0</v>
      </c>
      <c r="AI387" s="46"/>
      <c r="AJ387" s="46"/>
      <c r="AK387" s="43"/>
      <c r="AL387" s="43"/>
      <c r="AM387" s="43"/>
      <c r="AN387" s="43"/>
      <c r="AO387" s="43"/>
      <c r="AP387" s="43"/>
      <c r="AQ387" s="43"/>
      <c r="AR387" s="43"/>
      <c r="AS387" s="43"/>
      <c r="AT387" s="43"/>
    </row>
    <row r="388" spans="1:46">
      <c r="A388" s="43" t="s">
        <v>20</v>
      </c>
      <c r="B388" s="43" t="s">
        <v>139</v>
      </c>
      <c r="C388" s="43" t="s">
        <v>137</v>
      </c>
      <c r="D388" s="44" t="s">
        <v>236</v>
      </c>
      <c r="E388" s="44">
        <v>9</v>
      </c>
      <c r="F388" s="44" t="s">
        <v>2</v>
      </c>
      <c r="G388" s="43" t="str">
        <f>IFERROR(VLOOKUP(A388,'[1]MC Masterlist 2026-09-12'!$B:$M, 3, 0),"")</f>
        <v>HONDA</v>
      </c>
      <c r="H388" s="45">
        <f>IFERROR(VLOOKUP(A388,'[1]MC Masterlist 2026-09-12'!$B:$M, 6, 0),"")</f>
        <v>69950</v>
      </c>
      <c r="I388" s="46">
        <v>5</v>
      </c>
      <c r="J388" s="46">
        <v>2</v>
      </c>
      <c r="K388" s="46">
        <v>4</v>
      </c>
      <c r="L388" s="46">
        <f t="shared" si="90"/>
        <v>11</v>
      </c>
      <c r="M388" s="46">
        <f t="shared" si="91"/>
        <v>3.6666666666666665</v>
      </c>
      <c r="N388" s="45">
        <f t="shared" si="92"/>
        <v>769450</v>
      </c>
      <c r="O388" s="45">
        <f t="shared" si="93"/>
        <v>256483.33333333331</v>
      </c>
      <c r="P388" s="46">
        <f t="shared" si="94"/>
        <v>0.12222222222222222</v>
      </c>
      <c r="Q388" s="46">
        <v>6</v>
      </c>
      <c r="R388" s="45">
        <f t="shared" si="95"/>
        <v>419700</v>
      </c>
      <c r="S388" s="46">
        <f t="shared" si="96"/>
        <v>49.090909090909093</v>
      </c>
      <c r="T388" s="46">
        <f>IFERROR(VLOOKUP(A388,'[1]Re-order'!$A:$Q,17,0),"")</f>
        <v>75.775862068965523</v>
      </c>
      <c r="U388" s="46">
        <f>IFERROR(VLOOKUP(A388,'[1]MC Masterlist 2026-09-12'!$B:$M, 10, 0),0)</f>
        <v>15</v>
      </c>
      <c r="V388" s="46">
        <f>IFERROR(VLOOKUP(A388,'[1]MC Masterlist 2026-09-12'!$B:$M, 11, 0),0)</f>
        <v>15</v>
      </c>
      <c r="W388" s="46">
        <f t="shared" si="97"/>
        <v>30</v>
      </c>
      <c r="X388" s="46">
        <f t="shared" si="98"/>
        <v>5.166666666666667</v>
      </c>
      <c r="Y388" s="46">
        <f>IFERROR(IF(OR(C388="AREA I",C388="AREA V"),7,VLOOKUP(A388,'[1]MC Masterlist 2026-09-12'!$B:$M, 12, 0)),0)</f>
        <v>7</v>
      </c>
      <c r="Z388" s="46">
        <f t="shared" si="99"/>
        <v>1.8333333333333333</v>
      </c>
      <c r="AA388" s="46">
        <f t="shared" si="100"/>
        <v>3.6666666666666665</v>
      </c>
      <c r="AB388" s="46">
        <f t="shared" si="101"/>
        <v>0.63148148148148153</v>
      </c>
      <c r="AC388" s="46">
        <f t="shared" si="102"/>
        <v>0.85555555555555551</v>
      </c>
      <c r="AD388" s="44" t="str">
        <f t="shared" si="103"/>
        <v>Over</v>
      </c>
      <c r="AE388" s="44" t="str">
        <f>IFERROR(VLOOKUP(A388,'[1]Re-order'!$A:$AA,27,0),"")</f>
        <v/>
      </c>
      <c r="AF388" s="46">
        <f t="shared" si="104"/>
        <v>-5.1444444444444448</v>
      </c>
      <c r="AG388" s="46">
        <f>SUMIFS('[1]Raw Inventory'!D:D,'[1]Raw Inventory'!C:C,"GREATWALL",'[1]Raw Inventory'!B:B,A388)</f>
        <v>110</v>
      </c>
      <c r="AH388" s="46">
        <f>SUMIFS('[1]Raw Inventory'!D:D,'[1]Raw Inventory'!C:C,"DUARTE",'[1]Raw Inventory'!B:B,A388)</f>
        <v>0</v>
      </c>
      <c r="AI388" s="46"/>
      <c r="AJ388" s="46"/>
      <c r="AK388" s="43"/>
      <c r="AL388" s="43"/>
      <c r="AM388" s="43"/>
      <c r="AN388" s="43"/>
      <c r="AO388" s="43"/>
      <c r="AP388" s="43"/>
      <c r="AQ388" s="43"/>
      <c r="AR388" s="43"/>
      <c r="AS388" s="43"/>
      <c r="AT388" s="43"/>
    </row>
    <row r="389" spans="1:46">
      <c r="A389" s="43" t="s">
        <v>14</v>
      </c>
      <c r="B389" s="43" t="s">
        <v>123</v>
      </c>
      <c r="C389" s="43" t="s">
        <v>118</v>
      </c>
      <c r="D389" s="44" t="s">
        <v>238</v>
      </c>
      <c r="E389" s="44">
        <v>2</v>
      </c>
      <c r="F389" s="44" t="s">
        <v>0</v>
      </c>
      <c r="G389" s="43" t="str">
        <f>IFERROR(VLOOKUP(A389,'[1]MC Masterlist 2026-09-12'!$B:$M, 3, 0),"")</f>
        <v>HONDA</v>
      </c>
      <c r="H389" s="45">
        <f>IFERROR(VLOOKUP(A389,'[1]MC Masterlist 2026-09-12'!$B:$M, 6, 0),"")</f>
        <v>80070</v>
      </c>
      <c r="I389" s="46">
        <v>7</v>
      </c>
      <c r="J389" s="46">
        <v>2</v>
      </c>
      <c r="K389" s="46">
        <v>7</v>
      </c>
      <c r="L389" s="46">
        <f t="shared" si="90"/>
        <v>16</v>
      </c>
      <c r="M389" s="46">
        <f t="shared" si="91"/>
        <v>5.333333333333333</v>
      </c>
      <c r="N389" s="45">
        <f t="shared" si="92"/>
        <v>1281120</v>
      </c>
      <c r="O389" s="45">
        <f t="shared" si="93"/>
        <v>427040</v>
      </c>
      <c r="P389" s="46">
        <f t="shared" si="94"/>
        <v>0.17777777777777776</v>
      </c>
      <c r="Q389" s="46">
        <v>7</v>
      </c>
      <c r="R389" s="45">
        <f t="shared" si="95"/>
        <v>560490</v>
      </c>
      <c r="S389" s="46">
        <f t="shared" si="96"/>
        <v>39.375</v>
      </c>
      <c r="T389" s="46">
        <f>IFERROR(VLOOKUP(A389,'[1]Re-order'!$A:$Q,17,0),"")</f>
        <v>20.105787181082761</v>
      </c>
      <c r="U389" s="46">
        <f>IFERROR(VLOOKUP(A389,'[1]MC Masterlist 2026-09-12'!$B:$M, 10, 0),0)</f>
        <v>15</v>
      </c>
      <c r="V389" s="46">
        <f>IFERROR(VLOOKUP(A389,'[1]MC Masterlist 2026-09-12'!$B:$M, 11, 0),0)</f>
        <v>15</v>
      </c>
      <c r="W389" s="46">
        <f t="shared" si="97"/>
        <v>30</v>
      </c>
      <c r="X389" s="46">
        <f t="shared" si="98"/>
        <v>27.333333333333332</v>
      </c>
      <c r="Y389" s="46">
        <f>IFERROR(IF(OR(C389="AREA I",C389="AREA V"),7,VLOOKUP(A389,'[1]MC Masterlist 2026-09-12'!$B:$M, 12, 0)),0)</f>
        <v>30</v>
      </c>
      <c r="Z389" s="46">
        <f t="shared" si="99"/>
        <v>2.6666666666666665</v>
      </c>
      <c r="AA389" s="46">
        <f t="shared" si="100"/>
        <v>5.333333333333333</v>
      </c>
      <c r="AB389" s="46">
        <f t="shared" si="101"/>
        <v>4.8592592592592583</v>
      </c>
      <c r="AC389" s="46">
        <f t="shared" si="102"/>
        <v>5.333333333333333</v>
      </c>
      <c r="AD389" s="44" t="str">
        <f t="shared" si="103"/>
        <v>Over</v>
      </c>
      <c r="AE389" s="44" t="str">
        <f>IFERROR(VLOOKUP(A389,'[1]Re-order'!$A:$AA,27,0),"")</f>
        <v>Stockout</v>
      </c>
      <c r="AF389" s="46">
        <f t="shared" si="104"/>
        <v>-1.666666666666667</v>
      </c>
      <c r="AG389" s="46">
        <f>SUMIFS('[1]Raw Inventory'!D:D,'[1]Raw Inventory'!C:C,"GREATWALL",'[1]Raw Inventory'!B:B,A389)</f>
        <v>176</v>
      </c>
      <c r="AH389" s="46">
        <f>SUMIFS('[1]Raw Inventory'!D:D,'[1]Raw Inventory'!C:C,"DUARTE",'[1]Raw Inventory'!B:B,A389)</f>
        <v>0</v>
      </c>
      <c r="AI389" s="46"/>
      <c r="AJ389" s="46"/>
      <c r="AK389" s="43"/>
      <c r="AL389" s="43"/>
      <c r="AM389" s="43"/>
      <c r="AN389" s="43"/>
      <c r="AO389" s="43"/>
      <c r="AP389" s="43"/>
      <c r="AQ389" s="43"/>
      <c r="AR389" s="43"/>
      <c r="AS389" s="43"/>
      <c r="AT389" s="43"/>
    </row>
    <row r="390" spans="1:46">
      <c r="A390" s="43" t="s">
        <v>64</v>
      </c>
      <c r="B390" s="43" t="s">
        <v>142</v>
      </c>
      <c r="C390" s="43" t="s">
        <v>137</v>
      </c>
      <c r="D390" s="44" t="s">
        <v>242</v>
      </c>
      <c r="E390" s="44">
        <v>26</v>
      </c>
      <c r="F390" s="44" t="s">
        <v>3</v>
      </c>
      <c r="G390" s="43" t="str">
        <f>IFERROR(VLOOKUP(A390,'[1]MC Masterlist 2026-09-12'!$B:$M, 3, 0),"")</f>
        <v>HONDA</v>
      </c>
      <c r="H390" s="45">
        <f>IFERROR(VLOOKUP(A390,'[1]MC Masterlist 2026-09-12'!$B:$M, 6, 0),"")</f>
        <v>73170</v>
      </c>
      <c r="I390" s="46">
        <v>0</v>
      </c>
      <c r="J390" s="46">
        <v>0</v>
      </c>
      <c r="K390" s="46">
        <v>0</v>
      </c>
      <c r="L390" s="46">
        <f t="shared" si="90"/>
        <v>0</v>
      </c>
      <c r="M390" s="46">
        <f t="shared" si="91"/>
        <v>0</v>
      </c>
      <c r="N390" s="45">
        <f t="shared" si="92"/>
        <v>0</v>
      </c>
      <c r="O390" s="45">
        <f t="shared" si="93"/>
        <v>0</v>
      </c>
      <c r="P390" s="46">
        <f t="shared" si="94"/>
        <v>0</v>
      </c>
      <c r="Q390" s="46">
        <v>1</v>
      </c>
      <c r="R390" s="45">
        <f t="shared" si="95"/>
        <v>73170</v>
      </c>
      <c r="S390" s="46">
        <f t="shared" si="96"/>
        <v>0</v>
      </c>
      <c r="T390" s="46">
        <f>IFERROR(VLOOKUP(A390,'[1]Re-order'!$A:$Q,17,0),"")</f>
        <v>76.153846153846146</v>
      </c>
      <c r="U390" s="46">
        <f>IFERROR(VLOOKUP(A390,'[1]MC Masterlist 2026-09-12'!$B:$M, 10, 0),0)</f>
        <v>15</v>
      </c>
      <c r="V390" s="46">
        <f>IFERROR(VLOOKUP(A390,'[1]MC Masterlist 2026-09-12'!$B:$M, 11, 0),0)</f>
        <v>15</v>
      </c>
      <c r="W390" s="46">
        <f t="shared" si="97"/>
        <v>30</v>
      </c>
      <c r="X390" s="46">
        <f t="shared" si="98"/>
        <v>7</v>
      </c>
      <c r="Y390" s="46">
        <f>IFERROR(IF(OR(C390="AREA I",C390="AREA V"),7,VLOOKUP(A390,'[1]MC Masterlist 2026-09-12'!$B:$M, 12, 0)),0)</f>
        <v>7</v>
      </c>
      <c r="Z390" s="46">
        <f t="shared" si="99"/>
        <v>0</v>
      </c>
      <c r="AA390" s="46">
        <f t="shared" si="100"/>
        <v>0</v>
      </c>
      <c r="AB390" s="46">
        <f t="shared" si="101"/>
        <v>0</v>
      </c>
      <c r="AC390" s="46">
        <f t="shared" si="102"/>
        <v>0</v>
      </c>
      <c r="AD390" s="44" t="str">
        <f t="shared" si="103"/>
        <v>Over</v>
      </c>
      <c r="AE390" s="44" t="str">
        <f>IFERROR(VLOOKUP(A390,'[1]Re-order'!$A:$AA,27,0),"")</f>
        <v/>
      </c>
      <c r="AF390" s="46">
        <f t="shared" si="104"/>
        <v>-1</v>
      </c>
      <c r="AG390" s="46">
        <f>SUMIFS('[1]Raw Inventory'!D:D,'[1]Raw Inventory'!C:C,"GREATWALL",'[1]Raw Inventory'!B:B,A390)</f>
        <v>13</v>
      </c>
      <c r="AH390" s="46">
        <f>SUMIFS('[1]Raw Inventory'!D:D,'[1]Raw Inventory'!C:C,"DUARTE",'[1]Raw Inventory'!B:B,A390)</f>
        <v>0</v>
      </c>
      <c r="AI390" s="46"/>
      <c r="AJ390" s="46"/>
      <c r="AK390" s="43"/>
      <c r="AL390" s="43"/>
      <c r="AM390" s="43"/>
      <c r="AN390" s="43"/>
      <c r="AO390" s="43"/>
      <c r="AP390" s="43"/>
      <c r="AQ390" s="43"/>
      <c r="AR390" s="43"/>
      <c r="AS390" s="43"/>
      <c r="AT390" s="43"/>
    </row>
    <row r="391" spans="1:46">
      <c r="A391" s="43" t="s">
        <v>69</v>
      </c>
      <c r="B391" s="43" t="s">
        <v>115</v>
      </c>
      <c r="C391" s="43" t="s">
        <v>109</v>
      </c>
      <c r="D391" s="44" t="s">
        <v>231</v>
      </c>
      <c r="E391" s="44">
        <v>28</v>
      </c>
      <c r="F391" s="44" t="s">
        <v>3</v>
      </c>
      <c r="G391" s="43" t="str">
        <f>IFERROR(VLOOKUP(A391,'[1]MC Masterlist 2026-09-12'!$B:$M, 3, 0),"")</f>
        <v>YAMAHA</v>
      </c>
      <c r="H391" s="45">
        <f>IFERROR(VLOOKUP(A391,'[1]MC Masterlist 2026-09-12'!$B:$M, 6, 0),"")</f>
        <v>54426</v>
      </c>
      <c r="I391" s="46">
        <v>0</v>
      </c>
      <c r="J391" s="46">
        <v>0</v>
      </c>
      <c r="K391" s="46">
        <v>0</v>
      </c>
      <c r="L391" s="46">
        <f t="shared" si="90"/>
        <v>0</v>
      </c>
      <c r="M391" s="46">
        <f t="shared" si="91"/>
        <v>0</v>
      </c>
      <c r="N391" s="45">
        <f t="shared" si="92"/>
        <v>0</v>
      </c>
      <c r="O391" s="45">
        <f t="shared" si="93"/>
        <v>0</v>
      </c>
      <c r="P391" s="46">
        <f t="shared" si="94"/>
        <v>0</v>
      </c>
      <c r="Q391" s="46">
        <v>1</v>
      </c>
      <c r="R391" s="45">
        <f t="shared" si="95"/>
        <v>54426</v>
      </c>
      <c r="S391" s="46">
        <f t="shared" si="96"/>
        <v>0</v>
      </c>
      <c r="T391" s="46">
        <f>IFERROR(VLOOKUP(A391,'[1]Re-order'!$A:$Q,17,0),"")</f>
        <v>62.307692307692314</v>
      </c>
      <c r="U391" s="46">
        <f>IFERROR(VLOOKUP(A391,'[1]MC Masterlist 2026-09-12'!$B:$M, 10, 0),0)</f>
        <v>15</v>
      </c>
      <c r="V391" s="46">
        <f>IFERROR(VLOOKUP(A391,'[1]MC Masterlist 2026-09-12'!$B:$M, 11, 0),0)</f>
        <v>15</v>
      </c>
      <c r="W391" s="46">
        <f t="shared" si="97"/>
        <v>30</v>
      </c>
      <c r="X391" s="46">
        <f t="shared" si="98"/>
        <v>30</v>
      </c>
      <c r="Y391" s="46">
        <f>IFERROR(IF(OR(C391="AREA I",C391="AREA V"),7,VLOOKUP(A391,'[1]MC Masterlist 2026-09-12'!$B:$M, 12, 0)),0)</f>
        <v>30</v>
      </c>
      <c r="Z391" s="46">
        <f t="shared" si="99"/>
        <v>0</v>
      </c>
      <c r="AA391" s="46">
        <f t="shared" si="100"/>
        <v>0</v>
      </c>
      <c r="AB391" s="46">
        <f t="shared" si="101"/>
        <v>0</v>
      </c>
      <c r="AC391" s="46">
        <f t="shared" si="102"/>
        <v>0</v>
      </c>
      <c r="AD391" s="44" t="str">
        <f t="shared" si="103"/>
        <v>Over</v>
      </c>
      <c r="AE391" s="44" t="str">
        <f>IFERROR(VLOOKUP(A391,'[1]Re-order'!$A:$AA,27,0),"")</f>
        <v>Re-order</v>
      </c>
      <c r="AF391" s="46">
        <f t="shared" si="104"/>
        <v>-1</v>
      </c>
      <c r="AG391" s="46">
        <f>SUMIFS('[1]Raw Inventory'!D:D,'[1]Raw Inventory'!C:C,"GREATWALL",'[1]Raw Inventory'!B:B,A391)</f>
        <v>1</v>
      </c>
      <c r="AH391" s="46">
        <f>SUMIFS('[1]Raw Inventory'!D:D,'[1]Raw Inventory'!C:C,"DUARTE",'[1]Raw Inventory'!B:B,A391)</f>
        <v>0</v>
      </c>
      <c r="AI391" s="46"/>
      <c r="AJ391" s="46"/>
      <c r="AK391" s="43"/>
      <c r="AL391" s="43"/>
      <c r="AM391" s="43"/>
      <c r="AN391" s="43"/>
      <c r="AO391" s="43"/>
      <c r="AP391" s="43"/>
      <c r="AQ391" s="43"/>
      <c r="AR391" s="43"/>
      <c r="AS391" s="43"/>
      <c r="AT391" s="43"/>
    </row>
    <row r="392" spans="1:46">
      <c r="A392" s="43" t="s">
        <v>65</v>
      </c>
      <c r="B392" s="43" t="s">
        <v>29</v>
      </c>
      <c r="C392" s="43" t="s">
        <v>1</v>
      </c>
      <c r="D392" s="44" t="s">
        <v>239</v>
      </c>
      <c r="E392" s="44">
        <v>38</v>
      </c>
      <c r="F392" s="44" t="s">
        <v>3</v>
      </c>
      <c r="G392" s="43" t="str">
        <f>IFERROR(VLOOKUP(A392,'[1]MC Masterlist 2026-09-12'!$B:$M, 3, 0),"")</f>
        <v>SUZUKI</v>
      </c>
      <c r="H392" s="45">
        <f>IFERROR(VLOOKUP(A392,'[1]MC Masterlist 2026-09-12'!$B:$M, 6, 0),"")</f>
        <v>77572</v>
      </c>
      <c r="I392" s="46">
        <v>0</v>
      </c>
      <c r="J392" s="46">
        <v>0</v>
      </c>
      <c r="K392" s="46">
        <v>0</v>
      </c>
      <c r="L392" s="46">
        <f t="shared" si="90"/>
        <v>0</v>
      </c>
      <c r="M392" s="46">
        <f t="shared" si="91"/>
        <v>0</v>
      </c>
      <c r="N392" s="45">
        <f t="shared" si="92"/>
        <v>0</v>
      </c>
      <c r="O392" s="45">
        <f t="shared" si="93"/>
        <v>0</v>
      </c>
      <c r="P392" s="46">
        <f t="shared" si="94"/>
        <v>0</v>
      </c>
      <c r="Q392" s="46">
        <v>1</v>
      </c>
      <c r="R392" s="45">
        <f t="shared" si="95"/>
        <v>77572</v>
      </c>
      <c r="S392" s="46">
        <f t="shared" si="96"/>
        <v>0</v>
      </c>
      <c r="T392" s="46">
        <f>IFERROR(VLOOKUP(A392,'[1]Re-order'!$A:$Q,17,0),"")</f>
        <v>158.8235294117647</v>
      </c>
      <c r="U392" s="46">
        <f>IFERROR(VLOOKUP(A392,'[1]MC Masterlist 2026-09-12'!$B:$M, 10, 0),0)</f>
        <v>15</v>
      </c>
      <c r="V392" s="46">
        <f>IFERROR(VLOOKUP(A392,'[1]MC Masterlist 2026-09-12'!$B:$M, 11, 0),0)</f>
        <v>15</v>
      </c>
      <c r="W392" s="46">
        <f t="shared" si="97"/>
        <v>30</v>
      </c>
      <c r="X392" s="46">
        <f t="shared" si="98"/>
        <v>7</v>
      </c>
      <c r="Y392" s="46">
        <f>IFERROR(IF(OR(C392="AREA I",C392="AREA V"),7,VLOOKUP(A392,'[1]MC Masterlist 2026-09-12'!$B:$M, 12, 0)),0)</f>
        <v>7</v>
      </c>
      <c r="Z392" s="46">
        <f t="shared" si="99"/>
        <v>0</v>
      </c>
      <c r="AA392" s="46">
        <f t="shared" si="100"/>
        <v>0</v>
      </c>
      <c r="AB392" s="46">
        <f t="shared" si="101"/>
        <v>0</v>
      </c>
      <c r="AC392" s="46">
        <f t="shared" si="102"/>
        <v>0</v>
      </c>
      <c r="AD392" s="44" t="str">
        <f t="shared" si="103"/>
        <v>Over</v>
      </c>
      <c r="AE392" s="44" t="str">
        <f>IFERROR(VLOOKUP(A392,'[1]Re-order'!$A:$AA,27,0),"")</f>
        <v>Over</v>
      </c>
      <c r="AF392" s="46">
        <f t="shared" si="104"/>
        <v>-1</v>
      </c>
      <c r="AG392" s="46">
        <f>SUMIFS('[1]Raw Inventory'!D:D,'[1]Raw Inventory'!C:C,"GREATWALL",'[1]Raw Inventory'!B:B,A392)</f>
        <v>4</v>
      </c>
      <c r="AH392" s="46">
        <f>SUMIFS('[1]Raw Inventory'!D:D,'[1]Raw Inventory'!C:C,"DUARTE",'[1]Raw Inventory'!B:B,A392)</f>
        <v>0</v>
      </c>
      <c r="AI392" s="46"/>
      <c r="AJ392" s="46"/>
      <c r="AK392" s="43"/>
      <c r="AL392" s="43"/>
      <c r="AM392" s="43"/>
      <c r="AN392" s="43"/>
      <c r="AO392" s="43"/>
      <c r="AP392" s="43"/>
      <c r="AQ392" s="43"/>
      <c r="AR392" s="43"/>
      <c r="AS392" s="43"/>
      <c r="AT392" s="43"/>
    </row>
    <row r="393" spans="1:46">
      <c r="A393" s="43" t="s">
        <v>43</v>
      </c>
      <c r="B393" s="43" t="s">
        <v>110</v>
      </c>
      <c r="C393" s="43" t="s">
        <v>109</v>
      </c>
      <c r="D393" s="44" t="s">
        <v>236</v>
      </c>
      <c r="E393" s="44">
        <v>8</v>
      </c>
      <c r="F393" s="44" t="s">
        <v>2</v>
      </c>
      <c r="G393" s="43" t="str">
        <f>IFERROR(VLOOKUP(A393,'[1]MC Masterlist 2026-09-12'!$B:$M, 3, 0),"")</f>
        <v>YAMAHA</v>
      </c>
      <c r="H393" s="45">
        <f>IFERROR(VLOOKUP(A393,'[1]MC Masterlist 2026-09-12'!$B:$M, 6, 0),"")</f>
        <v>70587</v>
      </c>
      <c r="I393" s="46">
        <v>1</v>
      </c>
      <c r="J393" s="46">
        <v>3</v>
      </c>
      <c r="K393" s="46">
        <v>1</v>
      </c>
      <c r="L393" s="46">
        <f t="shared" si="90"/>
        <v>5</v>
      </c>
      <c r="M393" s="46">
        <f t="shared" si="91"/>
        <v>1.6666666666666667</v>
      </c>
      <c r="N393" s="45">
        <f t="shared" si="92"/>
        <v>352935</v>
      </c>
      <c r="O393" s="45">
        <f t="shared" si="93"/>
        <v>117645</v>
      </c>
      <c r="P393" s="46">
        <f t="shared" si="94"/>
        <v>5.5555555555555559E-2</v>
      </c>
      <c r="Q393" s="46">
        <v>5</v>
      </c>
      <c r="R393" s="45">
        <f t="shared" si="95"/>
        <v>352935</v>
      </c>
      <c r="S393" s="46">
        <f t="shared" si="96"/>
        <v>90</v>
      </c>
      <c r="T393" s="46">
        <f>IFERROR(VLOOKUP(A393,'[1]Re-order'!$A:$Q,17,0),"")</f>
        <v>43.578947368421055</v>
      </c>
      <c r="U393" s="46">
        <f>IFERROR(VLOOKUP(A393,'[1]MC Masterlist 2026-09-12'!$B:$M, 10, 0),0)</f>
        <v>15</v>
      </c>
      <c r="V393" s="46">
        <f>IFERROR(VLOOKUP(A393,'[1]MC Masterlist 2026-09-12'!$B:$M, 11, 0),0)</f>
        <v>15</v>
      </c>
      <c r="W393" s="46">
        <f t="shared" si="97"/>
        <v>30</v>
      </c>
      <c r="X393" s="46">
        <f t="shared" si="98"/>
        <v>29.166666666666668</v>
      </c>
      <c r="Y393" s="46">
        <f>IFERROR(IF(OR(C393="AREA I",C393="AREA V"),7,VLOOKUP(A393,'[1]MC Masterlist 2026-09-12'!$B:$M, 12, 0)),0)</f>
        <v>30</v>
      </c>
      <c r="Z393" s="46">
        <f t="shared" si="99"/>
        <v>0.83333333333333337</v>
      </c>
      <c r="AA393" s="46">
        <f t="shared" si="100"/>
        <v>1.6666666666666667</v>
      </c>
      <c r="AB393" s="46">
        <f t="shared" si="101"/>
        <v>1.6203703703703705</v>
      </c>
      <c r="AC393" s="46">
        <f t="shared" si="102"/>
        <v>1.6666666666666667</v>
      </c>
      <c r="AD393" s="44" t="str">
        <f t="shared" si="103"/>
        <v>Over</v>
      </c>
      <c r="AE393" s="44" t="str">
        <f>IFERROR(VLOOKUP(A393,'[1]Re-order'!$A:$AA,27,0),"")</f>
        <v>Re-order</v>
      </c>
      <c r="AF393" s="46">
        <f t="shared" si="104"/>
        <v>-3.333333333333333</v>
      </c>
      <c r="AG393" s="46">
        <f>SUMIFS('[1]Raw Inventory'!D:D,'[1]Raw Inventory'!C:C,"GREATWALL",'[1]Raw Inventory'!B:B,A393)</f>
        <v>0</v>
      </c>
      <c r="AH393" s="46">
        <f>SUMIFS('[1]Raw Inventory'!D:D,'[1]Raw Inventory'!C:C,"DUARTE",'[1]Raw Inventory'!B:B,A393)</f>
        <v>0</v>
      </c>
      <c r="AI393" s="46"/>
      <c r="AJ393" s="46"/>
      <c r="AK393" s="43"/>
      <c r="AL393" s="43"/>
      <c r="AM393" s="43"/>
      <c r="AN393" s="43"/>
      <c r="AO393" s="43"/>
      <c r="AP393" s="43"/>
      <c r="AQ393" s="43"/>
      <c r="AR393" s="43"/>
      <c r="AS393" s="43"/>
      <c r="AT393" s="43"/>
    </row>
    <row r="394" spans="1:46">
      <c r="A394" s="43" t="s">
        <v>72</v>
      </c>
      <c r="B394" s="43" t="s">
        <v>92</v>
      </c>
      <c r="C394" s="43" t="s">
        <v>90</v>
      </c>
      <c r="D394" s="44" t="s">
        <v>253</v>
      </c>
      <c r="E394" s="44">
        <v>29</v>
      </c>
      <c r="F394" s="44" t="s">
        <v>3</v>
      </c>
      <c r="G394" s="43" t="str">
        <f>IFERROR(VLOOKUP(A394,'[1]MC Masterlist 2026-09-12'!$B:$M, 3, 0),"")</f>
        <v>KAWASAKI</v>
      </c>
      <c r="H394" s="45">
        <f>IFERROR(VLOOKUP(A394,'[1]MC Masterlist 2026-09-12'!$B:$M, 6, 0),"")</f>
        <v>52948</v>
      </c>
      <c r="I394" s="46">
        <v>0</v>
      </c>
      <c r="J394" s="46">
        <v>0</v>
      </c>
      <c r="K394" s="46">
        <v>0</v>
      </c>
      <c r="L394" s="46">
        <f t="shared" si="90"/>
        <v>0</v>
      </c>
      <c r="M394" s="46">
        <f t="shared" si="91"/>
        <v>0</v>
      </c>
      <c r="N394" s="45">
        <f t="shared" si="92"/>
        <v>0</v>
      </c>
      <c r="O394" s="45">
        <f t="shared" si="93"/>
        <v>0</v>
      </c>
      <c r="P394" s="46">
        <f t="shared" si="94"/>
        <v>0</v>
      </c>
      <c r="Q394" s="46">
        <v>1</v>
      </c>
      <c r="R394" s="45">
        <f t="shared" si="95"/>
        <v>52948</v>
      </c>
      <c r="S394" s="46">
        <f t="shared" si="96"/>
        <v>0</v>
      </c>
      <c r="T394" s="46">
        <f>IFERROR(VLOOKUP(A394,'[1]Re-order'!$A:$Q,17,0),"")</f>
        <v>378</v>
      </c>
      <c r="U394" s="46">
        <f>IFERROR(VLOOKUP(A394,'[1]MC Masterlist 2026-09-12'!$B:$M, 10, 0),0)</f>
        <v>15</v>
      </c>
      <c r="V394" s="46">
        <f>IFERROR(VLOOKUP(A394,'[1]MC Masterlist 2026-09-12'!$B:$M, 11, 0),0)</f>
        <v>15</v>
      </c>
      <c r="W394" s="46">
        <f t="shared" si="97"/>
        <v>30</v>
      </c>
      <c r="X394" s="46">
        <f t="shared" si="98"/>
        <v>30</v>
      </c>
      <c r="Y394" s="46">
        <f>IFERROR(IF(OR(C394="AREA I",C394="AREA V"),7,VLOOKUP(A394,'[1]MC Masterlist 2026-09-12'!$B:$M, 12, 0)),0)</f>
        <v>30</v>
      </c>
      <c r="Z394" s="46">
        <f t="shared" si="99"/>
        <v>0</v>
      </c>
      <c r="AA394" s="46">
        <f t="shared" si="100"/>
        <v>0</v>
      </c>
      <c r="AB394" s="46">
        <f t="shared" si="101"/>
        <v>0</v>
      </c>
      <c r="AC394" s="46">
        <f t="shared" si="102"/>
        <v>0</v>
      </c>
      <c r="AD394" s="44" t="str">
        <f t="shared" si="103"/>
        <v>Over</v>
      </c>
      <c r="AE394" s="44" t="str">
        <f>IFERROR(VLOOKUP(A394,'[1]Re-order'!$A:$AA,27,0),"")</f>
        <v>Over</v>
      </c>
      <c r="AF394" s="46">
        <f t="shared" si="104"/>
        <v>-1</v>
      </c>
      <c r="AG394" s="46">
        <f>SUMIFS('[1]Raw Inventory'!D:D,'[1]Raw Inventory'!C:C,"GREATWALL",'[1]Raw Inventory'!B:B,A394)</f>
        <v>15</v>
      </c>
      <c r="AH394" s="46">
        <f>SUMIFS('[1]Raw Inventory'!D:D,'[1]Raw Inventory'!C:C,"DUARTE",'[1]Raw Inventory'!B:B,A394)</f>
        <v>0</v>
      </c>
      <c r="AI394" s="46"/>
      <c r="AJ394" s="46"/>
      <c r="AK394" s="43"/>
      <c r="AL394" s="43"/>
      <c r="AM394" s="43"/>
      <c r="AN394" s="43"/>
      <c r="AO394" s="43"/>
      <c r="AP394" s="43"/>
      <c r="AQ394" s="43"/>
      <c r="AR394" s="43"/>
      <c r="AS394" s="43"/>
      <c r="AT394" s="43"/>
    </row>
    <row r="395" spans="1:46">
      <c r="A395" s="43" t="s">
        <v>49</v>
      </c>
      <c r="B395" s="43" t="s">
        <v>154</v>
      </c>
      <c r="C395" s="43" t="s">
        <v>152</v>
      </c>
      <c r="D395" s="44" t="s">
        <v>227</v>
      </c>
      <c r="E395" s="44">
        <v>1</v>
      </c>
      <c r="F395" s="44" t="s">
        <v>0</v>
      </c>
      <c r="G395" s="43" t="str">
        <f>IFERROR(VLOOKUP(A395,'[1]MC Masterlist 2026-09-12'!$B:$M, 3, 0),"")</f>
        <v>BAJAJ RE</v>
      </c>
      <c r="H395" s="45">
        <f>IFERROR(VLOOKUP(A395,'[1]MC Masterlist 2026-09-12'!$B:$M, 6, 0),"")</f>
        <v>191000</v>
      </c>
      <c r="I395" s="46">
        <v>10</v>
      </c>
      <c r="J395" s="46">
        <v>8</v>
      </c>
      <c r="K395" s="46">
        <v>6</v>
      </c>
      <c r="L395" s="46">
        <f t="shared" si="90"/>
        <v>24</v>
      </c>
      <c r="M395" s="46">
        <f t="shared" si="91"/>
        <v>8</v>
      </c>
      <c r="N395" s="45">
        <f t="shared" si="92"/>
        <v>4584000</v>
      </c>
      <c r="O395" s="45">
        <f t="shared" si="93"/>
        <v>1528000</v>
      </c>
      <c r="P395" s="46">
        <f t="shared" si="94"/>
        <v>0.26666666666666666</v>
      </c>
      <c r="Q395" s="46"/>
      <c r="R395" s="45">
        <f t="shared" si="95"/>
        <v>0</v>
      </c>
      <c r="S395" s="46">
        <f t="shared" si="96"/>
        <v>0</v>
      </c>
      <c r="T395" s="46">
        <f>IFERROR(VLOOKUP(A395,'[1]Re-order'!$A:$Q,17,0),"")</f>
        <v>21.516709511568124</v>
      </c>
      <c r="U395" s="46">
        <f>IFERROR(VLOOKUP(A395,'[1]MC Masterlist 2026-09-12'!$B:$M, 10, 0),0)</f>
        <v>15</v>
      </c>
      <c r="V395" s="46">
        <f>IFERROR(VLOOKUP(A395,'[1]MC Masterlist 2026-09-12'!$B:$M, 11, 0),0)</f>
        <v>15</v>
      </c>
      <c r="W395" s="46">
        <f t="shared" si="97"/>
        <v>30</v>
      </c>
      <c r="X395" s="46">
        <f t="shared" si="98"/>
        <v>26</v>
      </c>
      <c r="Y395" s="46">
        <f>IFERROR(IF(OR(C395="AREA I",C395="AREA V"),7,VLOOKUP(A395,'[1]MC Masterlist 2026-09-12'!$B:$M, 12, 0)),0)</f>
        <v>30</v>
      </c>
      <c r="Z395" s="46">
        <f t="shared" si="99"/>
        <v>4</v>
      </c>
      <c r="AA395" s="46">
        <f t="shared" si="100"/>
        <v>8</v>
      </c>
      <c r="AB395" s="46">
        <f t="shared" si="101"/>
        <v>6.9333333333333336</v>
      </c>
      <c r="AC395" s="46">
        <f t="shared" si="102"/>
        <v>8</v>
      </c>
      <c r="AD395" s="44" t="str">
        <f t="shared" si="103"/>
        <v>Stockout</v>
      </c>
      <c r="AE395" s="44" t="str">
        <f>IFERROR(VLOOKUP(A395,'[1]Re-order'!$A:$AA,27,0),"")</f>
        <v>Stockout</v>
      </c>
      <c r="AF395" s="46">
        <f t="shared" si="104"/>
        <v>8</v>
      </c>
      <c r="AG395" s="46">
        <f>SUMIFS('[1]Raw Inventory'!D:D,'[1]Raw Inventory'!C:C,"GREATWALL",'[1]Raw Inventory'!B:B,A395)</f>
        <v>0</v>
      </c>
      <c r="AH395" s="46">
        <f>SUMIFS('[1]Raw Inventory'!D:D,'[1]Raw Inventory'!C:C,"DUARTE",'[1]Raw Inventory'!B:B,A395)</f>
        <v>0</v>
      </c>
      <c r="AI395" s="46"/>
      <c r="AJ395" s="46"/>
      <c r="AK395" s="43"/>
      <c r="AL395" s="43"/>
      <c r="AM395" s="43"/>
      <c r="AN395" s="43"/>
      <c r="AO395" s="43"/>
      <c r="AP395" s="43"/>
      <c r="AQ395" s="43"/>
      <c r="AR395" s="43"/>
      <c r="AS395" s="43"/>
      <c r="AT395" s="43"/>
    </row>
    <row r="396" spans="1:46">
      <c r="A396" s="43" t="s">
        <v>23</v>
      </c>
      <c r="B396" s="43" t="s">
        <v>116</v>
      </c>
      <c r="C396" s="43" t="s">
        <v>109</v>
      </c>
      <c r="D396" s="44" t="s">
        <v>221</v>
      </c>
      <c r="E396" s="44">
        <v>7</v>
      </c>
      <c r="F396" s="44" t="s">
        <v>3</v>
      </c>
      <c r="G396" s="43" t="str">
        <f>IFERROR(VLOOKUP(A396,'[1]MC Masterlist 2026-09-12'!$B:$M, 3, 0),"")</f>
        <v>KAWASAKI</v>
      </c>
      <c r="H396" s="45">
        <f>IFERROR(VLOOKUP(A396,'[1]MC Masterlist 2026-09-12'!$B:$M, 6, 0),"")</f>
        <v>60656</v>
      </c>
      <c r="I396" s="46">
        <v>0</v>
      </c>
      <c r="J396" s="46">
        <v>0</v>
      </c>
      <c r="K396" s="46">
        <v>0</v>
      </c>
      <c r="L396" s="46">
        <f t="shared" si="90"/>
        <v>0</v>
      </c>
      <c r="M396" s="46">
        <f t="shared" si="91"/>
        <v>0</v>
      </c>
      <c r="N396" s="45">
        <f t="shared" si="92"/>
        <v>0</v>
      </c>
      <c r="O396" s="45">
        <f t="shared" si="93"/>
        <v>0</v>
      </c>
      <c r="P396" s="46">
        <f t="shared" si="94"/>
        <v>0</v>
      </c>
      <c r="Q396" s="46">
        <v>4</v>
      </c>
      <c r="R396" s="45">
        <f t="shared" si="95"/>
        <v>242624</v>
      </c>
      <c r="S396" s="46">
        <f t="shared" si="96"/>
        <v>0</v>
      </c>
      <c r="T396" s="46">
        <f>IFERROR(VLOOKUP(A396,'[1]Re-order'!$A:$Q,17,0),"")</f>
        <v>53.973412112259979</v>
      </c>
      <c r="U396" s="46">
        <f>IFERROR(VLOOKUP(A396,'[1]MC Masterlist 2026-09-12'!$B:$M, 10, 0),0)</f>
        <v>15</v>
      </c>
      <c r="V396" s="46">
        <f>IFERROR(VLOOKUP(A396,'[1]MC Masterlist 2026-09-12'!$B:$M, 11, 0),0)</f>
        <v>15</v>
      </c>
      <c r="W396" s="46">
        <f t="shared" si="97"/>
        <v>30</v>
      </c>
      <c r="X396" s="46">
        <f t="shared" si="98"/>
        <v>30</v>
      </c>
      <c r="Y396" s="46">
        <f>IFERROR(IF(OR(C396="AREA I",C396="AREA V"),7,VLOOKUP(A396,'[1]MC Masterlist 2026-09-12'!$B:$M, 12, 0)),0)</f>
        <v>30</v>
      </c>
      <c r="Z396" s="46">
        <f t="shared" si="99"/>
        <v>0</v>
      </c>
      <c r="AA396" s="46">
        <f t="shared" si="100"/>
        <v>0</v>
      </c>
      <c r="AB396" s="46">
        <f t="shared" si="101"/>
        <v>0</v>
      </c>
      <c r="AC396" s="46">
        <f t="shared" si="102"/>
        <v>0</v>
      </c>
      <c r="AD396" s="44" t="str">
        <f t="shared" si="103"/>
        <v>Over</v>
      </c>
      <c r="AE396" s="44" t="str">
        <f>IFERROR(VLOOKUP(A396,'[1]Re-order'!$A:$AA,27,0),"")</f>
        <v>Re-order</v>
      </c>
      <c r="AF396" s="46">
        <f t="shared" si="104"/>
        <v>-4</v>
      </c>
      <c r="AG396" s="46">
        <f>SUMIFS('[1]Raw Inventory'!D:D,'[1]Raw Inventory'!C:C,"GREATWALL",'[1]Raw Inventory'!B:B,A396)</f>
        <v>282</v>
      </c>
      <c r="AH396" s="46">
        <f>SUMIFS('[1]Raw Inventory'!D:D,'[1]Raw Inventory'!C:C,"DUARTE",'[1]Raw Inventory'!B:B,A396)</f>
        <v>0</v>
      </c>
      <c r="AI396" s="46"/>
      <c r="AJ396" s="46"/>
      <c r="AK396" s="43"/>
      <c r="AL396" s="43"/>
      <c r="AM396" s="43"/>
      <c r="AN396" s="43"/>
      <c r="AO396" s="43"/>
      <c r="AP396" s="43"/>
      <c r="AQ396" s="43"/>
      <c r="AR396" s="43"/>
      <c r="AS396" s="43"/>
      <c r="AT396" s="43"/>
    </row>
    <row r="397" spans="1:46">
      <c r="A397" s="43" t="s">
        <v>24</v>
      </c>
      <c r="B397" s="43" t="s">
        <v>155</v>
      </c>
      <c r="C397" s="43" t="s">
        <v>152</v>
      </c>
      <c r="D397" s="44" t="s">
        <v>236</v>
      </c>
      <c r="E397" s="44">
        <v>10</v>
      </c>
      <c r="F397" s="44" t="s">
        <v>2</v>
      </c>
      <c r="G397" s="43" t="str">
        <f>IFERROR(VLOOKUP(A397,'[1]MC Masterlist 2026-09-12'!$B:$M, 3, 0),"")</f>
        <v>KAWASAKI</v>
      </c>
      <c r="H397" s="45">
        <f>IFERROR(VLOOKUP(A397,'[1]MC Masterlist 2026-09-12'!$B:$M, 6, 0),"")</f>
        <v>131626</v>
      </c>
      <c r="I397" s="46">
        <v>2</v>
      </c>
      <c r="J397" s="46">
        <v>1</v>
      </c>
      <c r="K397" s="46">
        <v>0</v>
      </c>
      <c r="L397" s="46">
        <f t="shared" si="90"/>
        <v>3</v>
      </c>
      <c r="M397" s="46">
        <f t="shared" si="91"/>
        <v>1</v>
      </c>
      <c r="N397" s="45">
        <f t="shared" si="92"/>
        <v>394878</v>
      </c>
      <c r="O397" s="45">
        <f t="shared" si="93"/>
        <v>131626</v>
      </c>
      <c r="P397" s="46">
        <f t="shared" si="94"/>
        <v>3.3333333333333333E-2</v>
      </c>
      <c r="Q397" s="46">
        <v>1</v>
      </c>
      <c r="R397" s="45">
        <f t="shared" si="95"/>
        <v>131626</v>
      </c>
      <c r="S397" s="46">
        <f t="shared" si="96"/>
        <v>30</v>
      </c>
      <c r="T397" s="46">
        <f>IFERROR(VLOOKUP(A397,'[1]Re-order'!$A:$Q,17,0),"")</f>
        <v>40.677966101694913</v>
      </c>
      <c r="U397" s="46">
        <f>IFERROR(VLOOKUP(A397,'[1]MC Masterlist 2026-09-12'!$B:$M, 10, 0),0)</f>
        <v>15</v>
      </c>
      <c r="V397" s="46">
        <f>IFERROR(VLOOKUP(A397,'[1]MC Masterlist 2026-09-12'!$B:$M, 11, 0),0)</f>
        <v>15</v>
      </c>
      <c r="W397" s="46">
        <f t="shared" si="97"/>
        <v>30</v>
      </c>
      <c r="X397" s="46">
        <f t="shared" si="98"/>
        <v>29.5</v>
      </c>
      <c r="Y397" s="46">
        <f>IFERROR(IF(OR(C397="AREA I",C397="AREA V"),7,VLOOKUP(A397,'[1]MC Masterlist 2026-09-12'!$B:$M, 12, 0)),0)</f>
        <v>30</v>
      </c>
      <c r="Z397" s="46">
        <f t="shared" si="99"/>
        <v>0.5</v>
      </c>
      <c r="AA397" s="46">
        <f t="shared" si="100"/>
        <v>1</v>
      </c>
      <c r="AB397" s="46">
        <f t="shared" si="101"/>
        <v>0.98333333333333328</v>
      </c>
      <c r="AC397" s="46">
        <f t="shared" si="102"/>
        <v>1</v>
      </c>
      <c r="AD397" s="44" t="str">
        <f t="shared" si="103"/>
        <v>Re-order</v>
      </c>
      <c r="AE397" s="44" t="str">
        <f>IFERROR(VLOOKUP(A397,'[1]Re-order'!$A:$AA,27,0),"")</f>
        <v>Re-order</v>
      </c>
      <c r="AF397" s="46">
        <f t="shared" si="104"/>
        <v>0</v>
      </c>
      <c r="AG397" s="46">
        <f>SUMIFS('[1]Raw Inventory'!D:D,'[1]Raw Inventory'!C:C,"GREATWALL",'[1]Raw Inventory'!B:B,A397)</f>
        <v>12</v>
      </c>
      <c r="AH397" s="46">
        <f>SUMIFS('[1]Raw Inventory'!D:D,'[1]Raw Inventory'!C:C,"DUARTE",'[1]Raw Inventory'!B:B,A397)</f>
        <v>0</v>
      </c>
      <c r="AI397" s="46"/>
      <c r="AJ397" s="46"/>
      <c r="AK397" s="43"/>
      <c r="AL397" s="43"/>
      <c r="AM397" s="43"/>
      <c r="AN397" s="43"/>
      <c r="AO397" s="43"/>
      <c r="AP397" s="43"/>
      <c r="AQ397" s="43"/>
      <c r="AR397" s="43"/>
      <c r="AS397" s="43"/>
      <c r="AT397" s="43"/>
    </row>
    <row r="398" spans="1:46">
      <c r="A398" s="43" t="s">
        <v>12</v>
      </c>
      <c r="B398" s="43" t="s">
        <v>160</v>
      </c>
      <c r="C398" s="43" t="s">
        <v>159</v>
      </c>
      <c r="D398" s="44" t="s">
        <v>240</v>
      </c>
      <c r="E398" s="44">
        <v>11</v>
      </c>
      <c r="F398" s="44" t="s">
        <v>2</v>
      </c>
      <c r="G398" s="43" t="str">
        <f>IFERROR(VLOOKUP(A398,'[1]MC Masterlist 2026-09-12'!$B:$M, 3, 0),"")</f>
        <v>HONDA</v>
      </c>
      <c r="H398" s="45">
        <f>IFERROR(VLOOKUP(A398,'[1]MC Masterlist 2026-09-12'!$B:$M, 6, 0),"")</f>
        <v>158270</v>
      </c>
      <c r="I398" s="46">
        <v>0</v>
      </c>
      <c r="J398" s="46">
        <v>2</v>
      </c>
      <c r="K398" s="46">
        <v>0</v>
      </c>
      <c r="L398" s="46">
        <f t="shared" si="90"/>
        <v>2</v>
      </c>
      <c r="M398" s="46">
        <f t="shared" si="91"/>
        <v>0.66666666666666663</v>
      </c>
      <c r="N398" s="45">
        <f t="shared" si="92"/>
        <v>316540</v>
      </c>
      <c r="O398" s="45">
        <f t="shared" si="93"/>
        <v>105513.33333333333</v>
      </c>
      <c r="P398" s="46">
        <f t="shared" si="94"/>
        <v>2.222222222222222E-2</v>
      </c>
      <c r="Q398" s="46">
        <v>3</v>
      </c>
      <c r="R398" s="45">
        <f t="shared" si="95"/>
        <v>474810</v>
      </c>
      <c r="S398" s="46">
        <f t="shared" si="96"/>
        <v>135</v>
      </c>
      <c r="T398" s="46">
        <f>IFERROR(VLOOKUP(A398,'[1]Re-order'!$A:$Q,17,0),"")</f>
        <v>46.461038961038959</v>
      </c>
      <c r="U398" s="46">
        <f>IFERROR(VLOOKUP(A398,'[1]MC Masterlist 2026-09-12'!$B:$M, 10, 0),0)</f>
        <v>15</v>
      </c>
      <c r="V398" s="46">
        <f>IFERROR(VLOOKUP(A398,'[1]MC Masterlist 2026-09-12'!$B:$M, 11, 0),0)</f>
        <v>15</v>
      </c>
      <c r="W398" s="46">
        <f t="shared" si="97"/>
        <v>30</v>
      </c>
      <c r="X398" s="46">
        <f t="shared" si="98"/>
        <v>29.666666666666668</v>
      </c>
      <c r="Y398" s="46">
        <f>IFERROR(IF(OR(C398="AREA I",C398="AREA V"),7,VLOOKUP(A398,'[1]MC Masterlist 2026-09-12'!$B:$M, 12, 0)),0)</f>
        <v>30</v>
      </c>
      <c r="Z398" s="46">
        <f t="shared" si="99"/>
        <v>0.33333333333333331</v>
      </c>
      <c r="AA398" s="46">
        <f t="shared" si="100"/>
        <v>0.66666666666666663</v>
      </c>
      <c r="AB398" s="46">
        <f t="shared" si="101"/>
        <v>0.65925925925925921</v>
      </c>
      <c r="AC398" s="46">
        <f t="shared" si="102"/>
        <v>0.66666666666666663</v>
      </c>
      <c r="AD398" s="44" t="str">
        <f t="shared" si="103"/>
        <v>Over</v>
      </c>
      <c r="AE398" s="44" t="str">
        <f>IFERROR(VLOOKUP(A398,'[1]Re-order'!$A:$AA,27,0),"")</f>
        <v>Re-order</v>
      </c>
      <c r="AF398" s="46">
        <f t="shared" si="104"/>
        <v>-2.3333333333333335</v>
      </c>
      <c r="AG398" s="46">
        <f>SUMIFS('[1]Raw Inventory'!D:D,'[1]Raw Inventory'!C:C,"GREATWALL",'[1]Raw Inventory'!B:B,A398)</f>
        <v>35</v>
      </c>
      <c r="AH398" s="46">
        <f>SUMIFS('[1]Raw Inventory'!D:D,'[1]Raw Inventory'!C:C,"DUARTE",'[1]Raw Inventory'!B:B,A398)</f>
        <v>0</v>
      </c>
      <c r="AI398" s="46"/>
      <c r="AJ398" s="46"/>
      <c r="AK398" s="43"/>
      <c r="AL398" s="43"/>
      <c r="AM398" s="43"/>
      <c r="AN398" s="43"/>
      <c r="AO398" s="43"/>
      <c r="AP398" s="43"/>
      <c r="AQ398" s="43"/>
      <c r="AR398" s="43"/>
      <c r="AS398" s="43"/>
      <c r="AT398" s="43"/>
    </row>
    <row r="399" spans="1:46">
      <c r="A399" s="43" t="s">
        <v>76</v>
      </c>
      <c r="B399" s="43" t="s">
        <v>145</v>
      </c>
      <c r="C399" s="43" t="s">
        <v>137</v>
      </c>
      <c r="D399" s="44" t="s">
        <v>237</v>
      </c>
      <c r="E399" s="44">
        <v>28</v>
      </c>
      <c r="F399" s="44" t="s">
        <v>3</v>
      </c>
      <c r="G399" s="43" t="str">
        <f>IFERROR(VLOOKUP(A399,'[1]MC Masterlist 2026-09-12'!$B:$M, 3, 0),"")</f>
        <v>SUZUKI</v>
      </c>
      <c r="H399" s="45">
        <f>IFERROR(VLOOKUP(A399,'[1]MC Masterlist 2026-09-12'!$B:$M, 6, 0),"")</f>
        <v>62692</v>
      </c>
      <c r="I399" s="46">
        <v>0</v>
      </c>
      <c r="J399" s="46">
        <v>0</v>
      </c>
      <c r="K399" s="46">
        <v>0</v>
      </c>
      <c r="L399" s="46">
        <f t="shared" si="90"/>
        <v>0</v>
      </c>
      <c r="M399" s="46">
        <f t="shared" si="91"/>
        <v>0</v>
      </c>
      <c r="N399" s="45">
        <f t="shared" si="92"/>
        <v>0</v>
      </c>
      <c r="O399" s="45">
        <f t="shared" si="93"/>
        <v>0</v>
      </c>
      <c r="P399" s="46">
        <f t="shared" si="94"/>
        <v>0</v>
      </c>
      <c r="Q399" s="46">
        <v>2</v>
      </c>
      <c r="R399" s="45">
        <f t="shared" si="95"/>
        <v>125384</v>
      </c>
      <c r="S399" s="46">
        <f t="shared" si="96"/>
        <v>0</v>
      </c>
      <c r="T399" s="46">
        <f>IFERROR(VLOOKUP(A399,'[1]Re-order'!$A:$Q,17,0),"")</f>
        <v>106.36363636363636</v>
      </c>
      <c r="U399" s="46">
        <f>IFERROR(VLOOKUP(A399,'[1]MC Masterlist 2026-09-12'!$B:$M, 10, 0),0)</f>
        <v>15</v>
      </c>
      <c r="V399" s="46">
        <f>IFERROR(VLOOKUP(A399,'[1]MC Masterlist 2026-09-12'!$B:$M, 11, 0),0)</f>
        <v>15</v>
      </c>
      <c r="W399" s="46">
        <f t="shared" si="97"/>
        <v>30</v>
      </c>
      <c r="X399" s="46">
        <f t="shared" si="98"/>
        <v>7</v>
      </c>
      <c r="Y399" s="46">
        <f>IFERROR(IF(OR(C399="AREA I",C399="AREA V"),7,VLOOKUP(A399,'[1]MC Masterlist 2026-09-12'!$B:$M, 12, 0)),0)</f>
        <v>7</v>
      </c>
      <c r="Z399" s="46">
        <f t="shared" si="99"/>
        <v>0</v>
      </c>
      <c r="AA399" s="46">
        <f t="shared" si="100"/>
        <v>0</v>
      </c>
      <c r="AB399" s="46">
        <f t="shared" si="101"/>
        <v>0</v>
      </c>
      <c r="AC399" s="46">
        <f t="shared" si="102"/>
        <v>0</v>
      </c>
      <c r="AD399" s="44" t="str">
        <f t="shared" si="103"/>
        <v>Over</v>
      </c>
      <c r="AE399" s="44" t="str">
        <f>IFERROR(VLOOKUP(A399,'[1]Re-order'!$A:$AA,27,0),"")</f>
        <v>Over</v>
      </c>
      <c r="AF399" s="46">
        <f t="shared" si="104"/>
        <v>-2</v>
      </c>
      <c r="AG399" s="46">
        <f>SUMIFS('[1]Raw Inventory'!D:D,'[1]Raw Inventory'!C:C,"GREATWALL",'[1]Raw Inventory'!B:B,A399)</f>
        <v>1</v>
      </c>
      <c r="AH399" s="46">
        <f>SUMIFS('[1]Raw Inventory'!D:D,'[1]Raw Inventory'!C:C,"DUARTE",'[1]Raw Inventory'!B:B,A399)</f>
        <v>0</v>
      </c>
      <c r="AI399" s="46"/>
      <c r="AJ399" s="46"/>
      <c r="AK399" s="43"/>
      <c r="AL399" s="43"/>
      <c r="AM399" s="43"/>
      <c r="AN399" s="43"/>
      <c r="AO399" s="43"/>
      <c r="AP399" s="43"/>
      <c r="AQ399" s="43"/>
      <c r="AR399" s="43"/>
      <c r="AS399" s="43"/>
      <c r="AT399" s="43"/>
    </row>
    <row r="400" spans="1:46">
      <c r="A400" s="43" t="s">
        <v>77</v>
      </c>
      <c r="B400" s="43" t="s">
        <v>161</v>
      </c>
      <c r="C400" s="43" t="s">
        <v>159</v>
      </c>
      <c r="D400" s="44" t="s">
        <v>225</v>
      </c>
      <c r="E400" s="44">
        <v>1</v>
      </c>
      <c r="F400" s="44" t="s">
        <v>0</v>
      </c>
      <c r="G400" s="43" t="str">
        <f>IFERROR(VLOOKUP(A400,'[1]MC Masterlist 2026-09-12'!$B:$M, 3, 0),"")</f>
        <v>SUZUKI</v>
      </c>
      <c r="H400" s="45">
        <f>IFERROR(VLOOKUP(A400,'[1]MC Masterlist 2026-09-12'!$B:$M, 6, 0),"")</f>
        <v>91057</v>
      </c>
      <c r="I400" s="46">
        <v>0</v>
      </c>
      <c r="J400" s="46">
        <v>0</v>
      </c>
      <c r="K400" s="46">
        <v>0</v>
      </c>
      <c r="L400" s="46">
        <f t="shared" si="90"/>
        <v>0</v>
      </c>
      <c r="M400" s="46">
        <f t="shared" si="91"/>
        <v>0</v>
      </c>
      <c r="N400" s="45">
        <f t="shared" si="92"/>
        <v>0</v>
      </c>
      <c r="O400" s="45">
        <f t="shared" si="93"/>
        <v>0</v>
      </c>
      <c r="P400" s="46">
        <f t="shared" si="94"/>
        <v>0</v>
      </c>
      <c r="Q400" s="46">
        <v>1</v>
      </c>
      <c r="R400" s="45">
        <f t="shared" si="95"/>
        <v>91057</v>
      </c>
      <c r="S400" s="46">
        <f t="shared" si="96"/>
        <v>0</v>
      </c>
      <c r="T400" s="46">
        <f>IFERROR(VLOOKUP(A400,'[1]Re-order'!$A:$Q,17,0),"")</f>
        <v>1125</v>
      </c>
      <c r="U400" s="46">
        <f>IFERROR(VLOOKUP(A400,'[1]MC Masterlist 2026-09-12'!$B:$M, 10, 0),0)</f>
        <v>15</v>
      </c>
      <c r="V400" s="46">
        <f>IFERROR(VLOOKUP(A400,'[1]MC Masterlist 2026-09-12'!$B:$M, 11, 0),0)</f>
        <v>15</v>
      </c>
      <c r="W400" s="46">
        <f t="shared" si="97"/>
        <v>30</v>
      </c>
      <c r="X400" s="46">
        <f t="shared" si="98"/>
        <v>30</v>
      </c>
      <c r="Y400" s="46">
        <f>IFERROR(IF(OR(C400="AREA I",C400="AREA V"),7,VLOOKUP(A400,'[1]MC Masterlist 2026-09-12'!$B:$M, 12, 0)),0)</f>
        <v>30</v>
      </c>
      <c r="Z400" s="46">
        <f t="shared" si="99"/>
        <v>0</v>
      </c>
      <c r="AA400" s="46">
        <f t="shared" si="100"/>
        <v>0</v>
      </c>
      <c r="AB400" s="46">
        <f t="shared" si="101"/>
        <v>0</v>
      </c>
      <c r="AC400" s="46">
        <f t="shared" si="102"/>
        <v>0</v>
      </c>
      <c r="AD400" s="44" t="str">
        <f t="shared" si="103"/>
        <v>Over</v>
      </c>
      <c r="AE400" s="44" t="str">
        <f>IFERROR(VLOOKUP(A400,'[1]Re-order'!$A:$AA,27,0),"")</f>
        <v>Over</v>
      </c>
      <c r="AF400" s="46">
        <f t="shared" si="104"/>
        <v>-1</v>
      </c>
      <c r="AG400" s="46">
        <f>SUMIFS('[1]Raw Inventory'!D:D,'[1]Raw Inventory'!C:C,"GREATWALL",'[1]Raw Inventory'!B:B,A400)</f>
        <v>13</v>
      </c>
      <c r="AH400" s="46">
        <f>SUMIFS('[1]Raw Inventory'!D:D,'[1]Raw Inventory'!C:C,"DUARTE",'[1]Raw Inventory'!B:B,A400)</f>
        <v>0</v>
      </c>
      <c r="AI400" s="46"/>
      <c r="AJ400" s="46"/>
      <c r="AK400" s="43"/>
      <c r="AL400" s="43"/>
      <c r="AM400" s="43"/>
      <c r="AN400" s="43"/>
      <c r="AO400" s="43"/>
      <c r="AP400" s="43"/>
      <c r="AQ400" s="43"/>
      <c r="AR400" s="43"/>
      <c r="AS400" s="43"/>
      <c r="AT400" s="43"/>
    </row>
    <row r="401" spans="1:46">
      <c r="A401" s="43" t="s">
        <v>76</v>
      </c>
      <c r="B401" s="43" t="s">
        <v>112</v>
      </c>
      <c r="C401" s="43" t="s">
        <v>109</v>
      </c>
      <c r="D401" s="44" t="s">
        <v>241</v>
      </c>
      <c r="E401" s="44">
        <v>20</v>
      </c>
      <c r="F401" s="44" t="s">
        <v>3</v>
      </c>
      <c r="G401" s="43" t="str">
        <f>IFERROR(VLOOKUP(A401,'[1]MC Masterlist 2026-09-12'!$B:$M, 3, 0),"")</f>
        <v>SUZUKI</v>
      </c>
      <c r="H401" s="45">
        <f>IFERROR(VLOOKUP(A401,'[1]MC Masterlist 2026-09-12'!$B:$M, 6, 0),"")</f>
        <v>62692</v>
      </c>
      <c r="I401" s="46">
        <v>0</v>
      </c>
      <c r="J401" s="46">
        <v>0</v>
      </c>
      <c r="K401" s="46">
        <v>1</v>
      </c>
      <c r="L401" s="46">
        <f t="shared" si="90"/>
        <v>1</v>
      </c>
      <c r="M401" s="46">
        <f t="shared" si="91"/>
        <v>0.33333333333333331</v>
      </c>
      <c r="N401" s="45">
        <f t="shared" si="92"/>
        <v>62692</v>
      </c>
      <c r="O401" s="45">
        <f t="shared" si="93"/>
        <v>20897.333333333332</v>
      </c>
      <c r="P401" s="46">
        <f t="shared" si="94"/>
        <v>1.111111111111111E-2</v>
      </c>
      <c r="Q401" s="46">
        <v>4</v>
      </c>
      <c r="R401" s="45">
        <f t="shared" si="95"/>
        <v>250768</v>
      </c>
      <c r="S401" s="46">
        <f t="shared" si="96"/>
        <v>360</v>
      </c>
      <c r="T401" s="46">
        <f>IFERROR(VLOOKUP(A401,'[1]Re-order'!$A:$Q,17,0),"")</f>
        <v>106.36363636363636</v>
      </c>
      <c r="U401" s="46">
        <f>IFERROR(VLOOKUP(A401,'[1]MC Masterlist 2026-09-12'!$B:$M, 10, 0),0)</f>
        <v>15</v>
      </c>
      <c r="V401" s="46">
        <f>IFERROR(VLOOKUP(A401,'[1]MC Masterlist 2026-09-12'!$B:$M, 11, 0),0)</f>
        <v>15</v>
      </c>
      <c r="W401" s="46">
        <f t="shared" si="97"/>
        <v>30</v>
      </c>
      <c r="X401" s="46">
        <f t="shared" si="98"/>
        <v>29.833333333333332</v>
      </c>
      <c r="Y401" s="46">
        <f>IFERROR(IF(OR(C401="AREA I",C401="AREA V"),7,VLOOKUP(A401,'[1]MC Masterlist 2026-09-12'!$B:$M, 12, 0)),0)</f>
        <v>30</v>
      </c>
      <c r="Z401" s="46">
        <f t="shared" si="99"/>
        <v>0.16666666666666666</v>
      </c>
      <c r="AA401" s="46">
        <f t="shared" si="100"/>
        <v>0.33333333333333331</v>
      </c>
      <c r="AB401" s="46">
        <f t="shared" si="101"/>
        <v>0.33148148148148143</v>
      </c>
      <c r="AC401" s="46">
        <f t="shared" si="102"/>
        <v>0.33333333333333331</v>
      </c>
      <c r="AD401" s="44" t="str">
        <f t="shared" si="103"/>
        <v>Over</v>
      </c>
      <c r="AE401" s="44" t="str">
        <f>IFERROR(VLOOKUP(A401,'[1]Re-order'!$A:$AA,27,0),"")</f>
        <v>Over</v>
      </c>
      <c r="AF401" s="46">
        <f t="shared" si="104"/>
        <v>-3.6666666666666665</v>
      </c>
      <c r="AG401" s="46">
        <f>SUMIFS('[1]Raw Inventory'!D:D,'[1]Raw Inventory'!C:C,"GREATWALL",'[1]Raw Inventory'!B:B,A401)</f>
        <v>1</v>
      </c>
      <c r="AH401" s="46">
        <f>SUMIFS('[1]Raw Inventory'!D:D,'[1]Raw Inventory'!C:C,"DUARTE",'[1]Raw Inventory'!B:B,A401)</f>
        <v>0</v>
      </c>
      <c r="AI401" s="46"/>
      <c r="AJ401" s="46"/>
      <c r="AK401" s="43"/>
      <c r="AL401" s="43"/>
      <c r="AM401" s="43"/>
      <c r="AN401" s="43"/>
      <c r="AO401" s="43"/>
      <c r="AP401" s="43"/>
      <c r="AQ401" s="43"/>
      <c r="AR401" s="43"/>
      <c r="AS401" s="43"/>
      <c r="AT401" s="43"/>
    </row>
    <row r="402" spans="1:46">
      <c r="A402" s="43" t="s">
        <v>16</v>
      </c>
      <c r="B402" s="43" t="s">
        <v>112</v>
      </c>
      <c r="C402" s="43" t="s">
        <v>109</v>
      </c>
      <c r="D402" s="44" t="s">
        <v>261</v>
      </c>
      <c r="E402" s="44">
        <v>16</v>
      </c>
      <c r="F402" s="44" t="s">
        <v>2</v>
      </c>
      <c r="G402" s="43" t="str">
        <f>IFERROR(VLOOKUP(A402,'[1]MC Masterlist 2026-09-12'!$B:$M, 3, 0),"")</f>
        <v>HONDA</v>
      </c>
      <c r="H402" s="45">
        <f>IFERROR(VLOOKUP(A402,'[1]MC Masterlist 2026-09-12'!$B:$M, 6, 0),"")</f>
        <v>84394</v>
      </c>
      <c r="I402" s="46">
        <v>0</v>
      </c>
      <c r="J402" s="46">
        <v>1</v>
      </c>
      <c r="K402" s="46">
        <v>0</v>
      </c>
      <c r="L402" s="46">
        <f t="shared" si="90"/>
        <v>1</v>
      </c>
      <c r="M402" s="46">
        <f t="shared" si="91"/>
        <v>0.33333333333333331</v>
      </c>
      <c r="N402" s="45">
        <f t="shared" si="92"/>
        <v>84394</v>
      </c>
      <c r="O402" s="45">
        <f t="shared" si="93"/>
        <v>28131.333333333332</v>
      </c>
      <c r="P402" s="46">
        <f t="shared" si="94"/>
        <v>1.111111111111111E-2</v>
      </c>
      <c r="Q402" s="46"/>
      <c r="R402" s="45">
        <f t="shared" si="95"/>
        <v>0</v>
      </c>
      <c r="S402" s="46">
        <f t="shared" si="96"/>
        <v>0</v>
      </c>
      <c r="T402" s="46">
        <f>IFERROR(VLOOKUP(A402,'[1]Re-order'!$A:$Q,17,0),"")</f>
        <v>26.332665330661321</v>
      </c>
      <c r="U402" s="46">
        <f>IFERROR(VLOOKUP(A402,'[1]MC Masterlist 2026-09-12'!$B:$M, 10, 0),0)</f>
        <v>15</v>
      </c>
      <c r="V402" s="46">
        <f>IFERROR(VLOOKUP(A402,'[1]MC Masterlist 2026-09-12'!$B:$M, 11, 0),0)</f>
        <v>15</v>
      </c>
      <c r="W402" s="46">
        <f t="shared" si="97"/>
        <v>30</v>
      </c>
      <c r="X402" s="46">
        <f t="shared" si="98"/>
        <v>29.833333333333332</v>
      </c>
      <c r="Y402" s="46">
        <f>IFERROR(IF(OR(C402="AREA I",C402="AREA V"),7,VLOOKUP(A402,'[1]MC Masterlist 2026-09-12'!$B:$M, 12, 0)),0)</f>
        <v>30</v>
      </c>
      <c r="Z402" s="46">
        <f t="shared" si="99"/>
        <v>0.16666666666666666</v>
      </c>
      <c r="AA402" s="46">
        <f t="shared" si="100"/>
        <v>0.33333333333333331</v>
      </c>
      <c r="AB402" s="46">
        <f t="shared" si="101"/>
        <v>0.33148148148148143</v>
      </c>
      <c r="AC402" s="46">
        <f t="shared" si="102"/>
        <v>0.33333333333333331</v>
      </c>
      <c r="AD402" s="44" t="str">
        <f t="shared" si="103"/>
        <v>Stockout</v>
      </c>
      <c r="AE402" s="44" t="str">
        <f>IFERROR(VLOOKUP(A402,'[1]Re-order'!$A:$AA,27,0),"")</f>
        <v>Stockout</v>
      </c>
      <c r="AF402" s="46">
        <f t="shared" si="104"/>
        <v>0.33333333333333331</v>
      </c>
      <c r="AG402" s="46">
        <f>SUMIFS('[1]Raw Inventory'!D:D,'[1]Raw Inventory'!C:C,"GREATWALL",'[1]Raw Inventory'!B:B,A402)</f>
        <v>58</v>
      </c>
      <c r="AH402" s="46">
        <f>SUMIFS('[1]Raw Inventory'!D:D,'[1]Raw Inventory'!C:C,"DUARTE",'[1]Raw Inventory'!B:B,A402)</f>
        <v>0</v>
      </c>
      <c r="AI402" s="46"/>
      <c r="AJ402" s="46"/>
      <c r="AK402" s="43"/>
      <c r="AL402" s="43"/>
      <c r="AM402" s="43"/>
      <c r="AN402" s="43"/>
      <c r="AO402" s="43"/>
      <c r="AP402" s="43"/>
      <c r="AQ402" s="43"/>
      <c r="AR402" s="43"/>
      <c r="AS402" s="43"/>
      <c r="AT402" s="43"/>
    </row>
    <row r="403" spans="1:46">
      <c r="A403" s="43" t="s">
        <v>37</v>
      </c>
      <c r="B403" s="43" t="s">
        <v>154</v>
      </c>
      <c r="C403" s="43" t="s">
        <v>152</v>
      </c>
      <c r="D403" s="44" t="s">
        <v>243</v>
      </c>
      <c r="E403" s="44">
        <v>15</v>
      </c>
      <c r="F403" s="44" t="s">
        <v>2</v>
      </c>
      <c r="G403" s="43" t="str">
        <f>IFERROR(VLOOKUP(A403,'[1]MC Masterlist 2026-09-12'!$B:$M, 3, 0),"")</f>
        <v>HONDA</v>
      </c>
      <c r="H403" s="45">
        <f>IFERROR(VLOOKUP(A403,'[1]MC Masterlist 2026-09-12'!$B:$M, 6, 0),"")</f>
        <v>74550</v>
      </c>
      <c r="I403" s="46">
        <v>0</v>
      </c>
      <c r="J403" s="46">
        <v>2</v>
      </c>
      <c r="K403" s="46">
        <v>0</v>
      </c>
      <c r="L403" s="46">
        <f t="shared" si="90"/>
        <v>2</v>
      </c>
      <c r="M403" s="46">
        <f t="shared" si="91"/>
        <v>0.66666666666666663</v>
      </c>
      <c r="N403" s="45">
        <f t="shared" si="92"/>
        <v>149100</v>
      </c>
      <c r="O403" s="45">
        <f t="shared" si="93"/>
        <v>49700</v>
      </c>
      <c r="P403" s="46">
        <f t="shared" si="94"/>
        <v>2.222222222222222E-2</v>
      </c>
      <c r="Q403" s="46">
        <v>1</v>
      </c>
      <c r="R403" s="45">
        <f t="shared" si="95"/>
        <v>74550</v>
      </c>
      <c r="S403" s="46">
        <f t="shared" si="96"/>
        <v>45</v>
      </c>
      <c r="T403" s="46">
        <f>IFERROR(VLOOKUP(A403,'[1]Re-order'!$A:$Q,17,0),"")</f>
        <v>33.652173913043477</v>
      </c>
      <c r="U403" s="46">
        <f>IFERROR(VLOOKUP(A403,'[1]MC Masterlist 2026-09-12'!$B:$M, 10, 0),0)</f>
        <v>15</v>
      </c>
      <c r="V403" s="46">
        <f>IFERROR(VLOOKUP(A403,'[1]MC Masterlist 2026-09-12'!$B:$M, 11, 0),0)</f>
        <v>15</v>
      </c>
      <c r="W403" s="46">
        <f t="shared" si="97"/>
        <v>30</v>
      </c>
      <c r="X403" s="46">
        <f t="shared" si="98"/>
        <v>29.666666666666668</v>
      </c>
      <c r="Y403" s="46">
        <f>IFERROR(IF(OR(C403="AREA I",C403="AREA V"),7,VLOOKUP(A403,'[1]MC Masterlist 2026-09-12'!$B:$M, 12, 0)),0)</f>
        <v>30</v>
      </c>
      <c r="Z403" s="46">
        <f t="shared" si="99"/>
        <v>0.33333333333333331</v>
      </c>
      <c r="AA403" s="46">
        <f t="shared" si="100"/>
        <v>0.66666666666666663</v>
      </c>
      <c r="AB403" s="46">
        <f t="shared" si="101"/>
        <v>0.65925925925925921</v>
      </c>
      <c r="AC403" s="46">
        <f t="shared" si="102"/>
        <v>0.66666666666666663</v>
      </c>
      <c r="AD403" s="44" t="str">
        <f t="shared" si="103"/>
        <v>Over</v>
      </c>
      <c r="AE403" s="44" t="str">
        <f>IFERROR(VLOOKUP(A403,'[1]Re-order'!$A:$AA,27,0),"")</f>
        <v>Re-order</v>
      </c>
      <c r="AF403" s="46">
        <f t="shared" si="104"/>
        <v>-0.33333333333333337</v>
      </c>
      <c r="AG403" s="46">
        <f>SUMIFS('[1]Raw Inventory'!D:D,'[1]Raw Inventory'!C:C,"GREATWALL",'[1]Raw Inventory'!B:B,A403)</f>
        <v>28</v>
      </c>
      <c r="AH403" s="46">
        <f>SUMIFS('[1]Raw Inventory'!D:D,'[1]Raw Inventory'!C:C,"DUARTE",'[1]Raw Inventory'!B:B,A403)</f>
        <v>0</v>
      </c>
      <c r="AI403" s="46"/>
      <c r="AJ403" s="46"/>
      <c r="AK403" s="43"/>
      <c r="AL403" s="43"/>
      <c r="AM403" s="43"/>
      <c r="AN403" s="43"/>
      <c r="AO403" s="43"/>
      <c r="AP403" s="43"/>
      <c r="AQ403" s="43"/>
      <c r="AR403" s="43"/>
      <c r="AS403" s="43"/>
      <c r="AT403" s="43"/>
    </row>
    <row r="404" spans="1:46">
      <c r="A404" s="43" t="s">
        <v>28</v>
      </c>
      <c r="B404" s="43" t="s">
        <v>162</v>
      </c>
      <c r="C404" s="43" t="s">
        <v>159</v>
      </c>
      <c r="D404" s="44" t="s">
        <v>233</v>
      </c>
      <c r="E404" s="44">
        <v>7</v>
      </c>
      <c r="F404" s="44" t="s">
        <v>2</v>
      </c>
      <c r="G404" s="43" t="str">
        <f>IFERROR(VLOOKUP(A404,'[1]MC Masterlist 2026-09-12'!$B:$M, 3, 0),"")</f>
        <v>YAMAHA</v>
      </c>
      <c r="H404" s="45">
        <f>IFERROR(VLOOKUP(A404,'[1]MC Masterlist 2026-09-12'!$B:$M, 6, 0),"")</f>
        <v>147312</v>
      </c>
      <c r="I404" s="46">
        <v>0</v>
      </c>
      <c r="J404" s="46">
        <v>1</v>
      </c>
      <c r="K404" s="46">
        <v>2</v>
      </c>
      <c r="L404" s="46">
        <f t="shared" si="90"/>
        <v>3</v>
      </c>
      <c r="M404" s="46">
        <f t="shared" si="91"/>
        <v>1</v>
      </c>
      <c r="N404" s="45">
        <f t="shared" si="92"/>
        <v>441936</v>
      </c>
      <c r="O404" s="45">
        <f t="shared" si="93"/>
        <v>147312</v>
      </c>
      <c r="P404" s="46">
        <f t="shared" si="94"/>
        <v>3.3333333333333333E-2</v>
      </c>
      <c r="Q404" s="46">
        <v>3</v>
      </c>
      <c r="R404" s="45">
        <f t="shared" si="95"/>
        <v>441936</v>
      </c>
      <c r="S404" s="46">
        <f t="shared" si="96"/>
        <v>90</v>
      </c>
      <c r="T404" s="46">
        <f>IFERROR(VLOOKUP(A404,'[1]Re-order'!$A:$Q,17,0),"")</f>
        <v>8.2417582417582427</v>
      </c>
      <c r="U404" s="46">
        <f>IFERROR(VLOOKUP(A404,'[1]MC Masterlist 2026-09-12'!$B:$M, 10, 0),0)</f>
        <v>15</v>
      </c>
      <c r="V404" s="46">
        <f>IFERROR(VLOOKUP(A404,'[1]MC Masterlist 2026-09-12'!$B:$M, 11, 0),0)</f>
        <v>15</v>
      </c>
      <c r="W404" s="46">
        <f t="shared" si="97"/>
        <v>30</v>
      </c>
      <c r="X404" s="46">
        <f t="shared" si="98"/>
        <v>29.5</v>
      </c>
      <c r="Y404" s="46">
        <f>IFERROR(IF(OR(C404="AREA I",C404="AREA V"),7,VLOOKUP(A404,'[1]MC Masterlist 2026-09-12'!$B:$M, 12, 0)),0)</f>
        <v>30</v>
      </c>
      <c r="Z404" s="46">
        <f t="shared" si="99"/>
        <v>0.5</v>
      </c>
      <c r="AA404" s="46">
        <f t="shared" si="100"/>
        <v>1</v>
      </c>
      <c r="AB404" s="46">
        <f t="shared" si="101"/>
        <v>0.98333333333333328</v>
      </c>
      <c r="AC404" s="46">
        <f t="shared" si="102"/>
        <v>1</v>
      </c>
      <c r="AD404" s="44" t="str">
        <f t="shared" si="103"/>
        <v>Over</v>
      </c>
      <c r="AE404" s="44" t="str">
        <f>IFERROR(VLOOKUP(A404,'[1]Re-order'!$A:$AA,27,0),"")</f>
        <v>Stockout</v>
      </c>
      <c r="AF404" s="46">
        <f t="shared" si="104"/>
        <v>-2</v>
      </c>
      <c r="AG404" s="46">
        <f>SUMIFS('[1]Raw Inventory'!D:D,'[1]Raw Inventory'!C:C,"GREATWALL",'[1]Raw Inventory'!B:B,A404)</f>
        <v>0</v>
      </c>
      <c r="AH404" s="46">
        <f>SUMIFS('[1]Raw Inventory'!D:D,'[1]Raw Inventory'!C:C,"DUARTE",'[1]Raw Inventory'!B:B,A404)</f>
        <v>0</v>
      </c>
      <c r="AI404" s="46"/>
      <c r="AJ404" s="46"/>
      <c r="AK404" s="43"/>
      <c r="AL404" s="43"/>
      <c r="AM404" s="43"/>
      <c r="AN404" s="43"/>
      <c r="AO404" s="43"/>
      <c r="AP404" s="43"/>
      <c r="AQ404" s="43"/>
      <c r="AR404" s="43"/>
      <c r="AS404" s="43"/>
      <c r="AT404" s="43"/>
    </row>
    <row r="405" spans="1:46">
      <c r="A405" s="43" t="s">
        <v>45</v>
      </c>
      <c r="B405" s="43" t="s">
        <v>119</v>
      </c>
      <c r="C405" s="43" t="s">
        <v>118</v>
      </c>
      <c r="D405" s="44" t="s">
        <v>268</v>
      </c>
      <c r="E405" s="44">
        <v>24</v>
      </c>
      <c r="F405" s="44" t="s">
        <v>3</v>
      </c>
      <c r="G405" s="43" t="str">
        <f>IFERROR(VLOOKUP(A405,'[1]MC Masterlist 2026-09-12'!$B:$M, 3, 0),"")</f>
        <v>YAMAHA</v>
      </c>
      <c r="H405" s="45">
        <f>IFERROR(VLOOKUP(A405,'[1]MC Masterlist 2026-09-12'!$B:$M, 6, 0),"")</f>
        <v>117087</v>
      </c>
      <c r="I405" s="46">
        <v>1</v>
      </c>
      <c r="J405" s="46">
        <v>0</v>
      </c>
      <c r="K405" s="46">
        <v>0</v>
      </c>
      <c r="L405" s="46">
        <f t="shared" si="90"/>
        <v>1</v>
      </c>
      <c r="M405" s="46">
        <f t="shared" si="91"/>
        <v>0.33333333333333331</v>
      </c>
      <c r="N405" s="45">
        <f t="shared" si="92"/>
        <v>117087</v>
      </c>
      <c r="O405" s="45">
        <f t="shared" si="93"/>
        <v>39029</v>
      </c>
      <c r="P405" s="46">
        <f t="shared" si="94"/>
        <v>1.111111111111111E-2</v>
      </c>
      <c r="Q405" s="46"/>
      <c r="R405" s="45">
        <f t="shared" si="95"/>
        <v>0</v>
      </c>
      <c r="S405" s="46">
        <f t="shared" si="96"/>
        <v>0</v>
      </c>
      <c r="T405" s="46">
        <f>IFERROR(VLOOKUP(A405,'[1]Re-order'!$A:$Q,17,0),"")</f>
        <v>18.94736842105263</v>
      </c>
      <c r="U405" s="46">
        <f>IFERROR(VLOOKUP(A405,'[1]MC Masterlist 2026-09-12'!$B:$M, 10, 0),0)</f>
        <v>15</v>
      </c>
      <c r="V405" s="46">
        <f>IFERROR(VLOOKUP(A405,'[1]MC Masterlist 2026-09-12'!$B:$M, 11, 0),0)</f>
        <v>15</v>
      </c>
      <c r="W405" s="46">
        <f t="shared" si="97"/>
        <v>30</v>
      </c>
      <c r="X405" s="46">
        <f t="shared" si="98"/>
        <v>29.833333333333332</v>
      </c>
      <c r="Y405" s="46">
        <f>IFERROR(IF(OR(C405="AREA I",C405="AREA V"),7,VLOOKUP(A405,'[1]MC Masterlist 2026-09-12'!$B:$M, 12, 0)),0)</f>
        <v>30</v>
      </c>
      <c r="Z405" s="46">
        <f t="shared" si="99"/>
        <v>0.16666666666666666</v>
      </c>
      <c r="AA405" s="46">
        <f t="shared" si="100"/>
        <v>0.33333333333333331</v>
      </c>
      <c r="AB405" s="46">
        <f t="shared" si="101"/>
        <v>0.33148148148148143</v>
      </c>
      <c r="AC405" s="46">
        <f t="shared" si="102"/>
        <v>0.33333333333333331</v>
      </c>
      <c r="AD405" s="44" t="str">
        <f t="shared" si="103"/>
        <v>Stockout</v>
      </c>
      <c r="AE405" s="44" t="str">
        <f>IFERROR(VLOOKUP(A405,'[1]Re-order'!$A:$AA,27,0),"")</f>
        <v>Stockout</v>
      </c>
      <c r="AF405" s="46">
        <f t="shared" si="104"/>
        <v>0.33333333333333331</v>
      </c>
      <c r="AG405" s="46">
        <f>SUMIFS('[1]Raw Inventory'!D:D,'[1]Raw Inventory'!C:C,"GREATWALL",'[1]Raw Inventory'!B:B,A405)</f>
        <v>5</v>
      </c>
      <c r="AH405" s="46">
        <f>SUMIFS('[1]Raw Inventory'!D:D,'[1]Raw Inventory'!C:C,"DUARTE",'[1]Raw Inventory'!B:B,A405)</f>
        <v>0</v>
      </c>
      <c r="AI405" s="46"/>
      <c r="AJ405" s="46"/>
      <c r="AK405" s="43"/>
      <c r="AL405" s="43"/>
      <c r="AM405" s="43"/>
      <c r="AN405" s="43"/>
      <c r="AO405" s="43"/>
      <c r="AP405" s="43"/>
      <c r="AQ405" s="43"/>
      <c r="AR405" s="43"/>
      <c r="AS405" s="43"/>
      <c r="AT405" s="43"/>
    </row>
    <row r="406" spans="1:46">
      <c r="A406" s="43" t="s">
        <v>49</v>
      </c>
      <c r="B406" s="43" t="s">
        <v>122</v>
      </c>
      <c r="C406" s="43" t="s">
        <v>118</v>
      </c>
      <c r="D406" s="44" t="s">
        <v>258</v>
      </c>
      <c r="E406" s="44">
        <v>32</v>
      </c>
      <c r="F406" s="44" t="s">
        <v>3</v>
      </c>
      <c r="G406" s="43" t="str">
        <f>IFERROR(VLOOKUP(A406,'[1]MC Masterlist 2026-09-12'!$B:$M, 3, 0),"")</f>
        <v>BAJAJ RE</v>
      </c>
      <c r="H406" s="45">
        <f>IFERROR(VLOOKUP(A406,'[1]MC Masterlist 2026-09-12'!$B:$M, 6, 0),"")</f>
        <v>191000</v>
      </c>
      <c r="I406" s="46">
        <v>0</v>
      </c>
      <c r="J406" s="46">
        <v>0</v>
      </c>
      <c r="K406" s="46">
        <v>0</v>
      </c>
      <c r="L406" s="46">
        <f t="shared" si="90"/>
        <v>0</v>
      </c>
      <c r="M406" s="46">
        <f t="shared" si="91"/>
        <v>0</v>
      </c>
      <c r="N406" s="45">
        <f t="shared" si="92"/>
        <v>0</v>
      </c>
      <c r="O406" s="45">
        <f t="shared" si="93"/>
        <v>0</v>
      </c>
      <c r="P406" s="46">
        <f t="shared" si="94"/>
        <v>0</v>
      </c>
      <c r="Q406" s="46">
        <v>1</v>
      </c>
      <c r="R406" s="45">
        <f t="shared" si="95"/>
        <v>191000</v>
      </c>
      <c r="S406" s="46">
        <f t="shared" si="96"/>
        <v>0</v>
      </c>
      <c r="T406" s="46">
        <f>IFERROR(VLOOKUP(A406,'[1]Re-order'!$A:$Q,17,0),"")</f>
        <v>21.516709511568124</v>
      </c>
      <c r="U406" s="46">
        <f>IFERROR(VLOOKUP(A406,'[1]MC Masterlist 2026-09-12'!$B:$M, 10, 0),0)</f>
        <v>15</v>
      </c>
      <c r="V406" s="46">
        <f>IFERROR(VLOOKUP(A406,'[1]MC Masterlist 2026-09-12'!$B:$M, 11, 0),0)</f>
        <v>15</v>
      </c>
      <c r="W406" s="46">
        <f t="shared" si="97"/>
        <v>30</v>
      </c>
      <c r="X406" s="46">
        <f t="shared" si="98"/>
        <v>30</v>
      </c>
      <c r="Y406" s="46">
        <f>IFERROR(IF(OR(C406="AREA I",C406="AREA V"),7,VLOOKUP(A406,'[1]MC Masterlist 2026-09-12'!$B:$M, 12, 0)),0)</f>
        <v>30</v>
      </c>
      <c r="Z406" s="46">
        <f t="shared" si="99"/>
        <v>0</v>
      </c>
      <c r="AA406" s="46">
        <f t="shared" si="100"/>
        <v>0</v>
      </c>
      <c r="AB406" s="46">
        <f t="shared" si="101"/>
        <v>0</v>
      </c>
      <c r="AC406" s="46">
        <f t="shared" si="102"/>
        <v>0</v>
      </c>
      <c r="AD406" s="44" t="str">
        <f t="shared" si="103"/>
        <v>Over</v>
      </c>
      <c r="AE406" s="44" t="str">
        <f>IFERROR(VLOOKUP(A406,'[1]Re-order'!$A:$AA,27,0),"")</f>
        <v>Stockout</v>
      </c>
      <c r="AF406" s="46">
        <f t="shared" si="104"/>
        <v>-1</v>
      </c>
      <c r="AG406" s="46">
        <f>SUMIFS('[1]Raw Inventory'!D:D,'[1]Raw Inventory'!C:C,"GREATWALL",'[1]Raw Inventory'!B:B,A406)</f>
        <v>0</v>
      </c>
      <c r="AH406" s="46">
        <f>SUMIFS('[1]Raw Inventory'!D:D,'[1]Raw Inventory'!C:C,"DUARTE",'[1]Raw Inventory'!B:B,A406)</f>
        <v>0</v>
      </c>
      <c r="AI406" s="46"/>
      <c r="AJ406" s="46"/>
      <c r="AK406" s="43"/>
      <c r="AL406" s="43"/>
      <c r="AM406" s="43"/>
      <c r="AN406" s="43"/>
      <c r="AO406" s="43"/>
      <c r="AP406" s="43"/>
      <c r="AQ406" s="43"/>
      <c r="AR406" s="43"/>
      <c r="AS406" s="43"/>
      <c r="AT406" s="43"/>
    </row>
    <row r="407" spans="1:46">
      <c r="A407" s="43" t="s">
        <v>17</v>
      </c>
      <c r="B407" s="43" t="s">
        <v>112</v>
      </c>
      <c r="C407" s="43" t="s">
        <v>109</v>
      </c>
      <c r="D407" s="44" t="s">
        <v>225</v>
      </c>
      <c r="E407" s="44">
        <v>3</v>
      </c>
      <c r="F407" s="44" t="s">
        <v>0</v>
      </c>
      <c r="G407" s="43" t="str">
        <f>IFERROR(VLOOKUP(A407,'[1]MC Masterlist 2026-09-12'!$B:$M, 3, 0),"")</f>
        <v>HONDA</v>
      </c>
      <c r="H407" s="45">
        <f>IFERROR(VLOOKUP(A407,'[1]MC Masterlist 2026-09-12'!$B:$M, 6, 0),"")</f>
        <v>140790</v>
      </c>
      <c r="I407" s="46">
        <v>1</v>
      </c>
      <c r="J407" s="46">
        <v>3</v>
      </c>
      <c r="K407" s="46">
        <v>1</v>
      </c>
      <c r="L407" s="46">
        <f t="shared" si="90"/>
        <v>5</v>
      </c>
      <c r="M407" s="46">
        <f t="shared" si="91"/>
        <v>1.6666666666666667</v>
      </c>
      <c r="N407" s="45">
        <f t="shared" si="92"/>
        <v>703950</v>
      </c>
      <c r="O407" s="45">
        <f t="shared" si="93"/>
        <v>234650</v>
      </c>
      <c r="P407" s="46">
        <f t="shared" si="94"/>
        <v>5.5555555555555559E-2</v>
      </c>
      <c r="Q407" s="46">
        <v>4</v>
      </c>
      <c r="R407" s="45">
        <f t="shared" si="95"/>
        <v>563160</v>
      </c>
      <c r="S407" s="46">
        <f t="shared" si="96"/>
        <v>72</v>
      </c>
      <c r="T407" s="46">
        <f>IFERROR(VLOOKUP(A407,'[1]Re-order'!$A:$Q,17,0),"")</f>
        <v>43.663366336633665</v>
      </c>
      <c r="U407" s="46">
        <f>IFERROR(VLOOKUP(A407,'[1]MC Masterlist 2026-09-12'!$B:$M, 10, 0),0)</f>
        <v>15</v>
      </c>
      <c r="V407" s="46">
        <f>IFERROR(VLOOKUP(A407,'[1]MC Masterlist 2026-09-12'!$B:$M, 11, 0),0)</f>
        <v>15</v>
      </c>
      <c r="W407" s="46">
        <f t="shared" si="97"/>
        <v>30</v>
      </c>
      <c r="X407" s="46">
        <f t="shared" si="98"/>
        <v>29.166666666666668</v>
      </c>
      <c r="Y407" s="46">
        <f>IFERROR(IF(OR(C407="AREA I",C407="AREA V"),7,VLOOKUP(A407,'[1]MC Masterlist 2026-09-12'!$B:$M, 12, 0)),0)</f>
        <v>30</v>
      </c>
      <c r="Z407" s="46">
        <f t="shared" si="99"/>
        <v>0.83333333333333337</v>
      </c>
      <c r="AA407" s="46">
        <f t="shared" si="100"/>
        <v>1.6666666666666667</v>
      </c>
      <c r="AB407" s="46">
        <f t="shared" si="101"/>
        <v>1.6203703703703705</v>
      </c>
      <c r="AC407" s="46">
        <f t="shared" si="102"/>
        <v>1.6666666666666667</v>
      </c>
      <c r="AD407" s="44" t="str">
        <f t="shared" si="103"/>
        <v>Over</v>
      </c>
      <c r="AE407" s="44" t="str">
        <f>IFERROR(VLOOKUP(A407,'[1]Re-order'!$A:$AA,27,0),"")</f>
        <v>Re-order</v>
      </c>
      <c r="AF407" s="46">
        <f t="shared" si="104"/>
        <v>-2.333333333333333</v>
      </c>
      <c r="AG407" s="46">
        <f>SUMIFS('[1]Raw Inventory'!D:D,'[1]Raw Inventory'!C:C,"GREATWALL",'[1]Raw Inventory'!B:B,A407)</f>
        <v>12</v>
      </c>
      <c r="AH407" s="46">
        <f>SUMIFS('[1]Raw Inventory'!D:D,'[1]Raw Inventory'!C:C,"DUARTE",'[1]Raw Inventory'!B:B,A407)</f>
        <v>0</v>
      </c>
      <c r="AI407" s="46"/>
      <c r="AJ407" s="46"/>
      <c r="AK407" s="43"/>
      <c r="AL407" s="43"/>
      <c r="AM407" s="43"/>
      <c r="AN407" s="43"/>
      <c r="AO407" s="43"/>
      <c r="AP407" s="43"/>
      <c r="AQ407" s="43"/>
      <c r="AR407" s="43"/>
      <c r="AS407" s="43"/>
      <c r="AT407" s="43"/>
    </row>
    <row r="408" spans="1:46">
      <c r="A408" s="43" t="s">
        <v>31</v>
      </c>
      <c r="B408" s="43" t="s">
        <v>5</v>
      </c>
      <c r="C408" s="43" t="s">
        <v>118</v>
      </c>
      <c r="D408" s="44" t="s">
        <v>245</v>
      </c>
      <c r="E408" s="44">
        <v>23</v>
      </c>
      <c r="F408" s="44" t="s">
        <v>3</v>
      </c>
      <c r="G408" s="43" t="str">
        <f>IFERROR(VLOOKUP(A408,'[1]MC Masterlist 2026-09-12'!$B:$M, 3, 0),"")</f>
        <v>KAWASAKI</v>
      </c>
      <c r="H408" s="45">
        <f>IFERROR(VLOOKUP(A408,'[1]MC Masterlist 2026-09-12'!$B:$M, 6, 0),"")</f>
        <v>59528</v>
      </c>
      <c r="I408" s="46">
        <v>0</v>
      </c>
      <c r="J408" s="46">
        <v>0</v>
      </c>
      <c r="K408" s="46">
        <v>0</v>
      </c>
      <c r="L408" s="46">
        <f t="shared" si="90"/>
        <v>0</v>
      </c>
      <c r="M408" s="46">
        <f t="shared" si="91"/>
        <v>0</v>
      </c>
      <c r="N408" s="45">
        <f t="shared" si="92"/>
        <v>0</v>
      </c>
      <c r="O408" s="45">
        <f t="shared" si="93"/>
        <v>0</v>
      </c>
      <c r="P408" s="46">
        <f t="shared" si="94"/>
        <v>0</v>
      </c>
      <c r="Q408" s="46">
        <v>2</v>
      </c>
      <c r="R408" s="45">
        <f t="shared" si="95"/>
        <v>119056</v>
      </c>
      <c r="S408" s="46">
        <f t="shared" si="96"/>
        <v>0</v>
      </c>
      <c r="T408" s="46">
        <f>IFERROR(VLOOKUP(A408,'[1]Re-order'!$A:$Q,17,0),"")</f>
        <v>95.869565217391298</v>
      </c>
      <c r="U408" s="46">
        <f>IFERROR(VLOOKUP(A408,'[1]MC Masterlist 2026-09-12'!$B:$M, 10, 0),0)</f>
        <v>15</v>
      </c>
      <c r="V408" s="46">
        <f>IFERROR(VLOOKUP(A408,'[1]MC Masterlist 2026-09-12'!$B:$M, 11, 0),0)</f>
        <v>15</v>
      </c>
      <c r="W408" s="46">
        <f t="shared" si="97"/>
        <v>30</v>
      </c>
      <c r="X408" s="46">
        <f t="shared" si="98"/>
        <v>30</v>
      </c>
      <c r="Y408" s="46">
        <f>IFERROR(IF(OR(C408="AREA I",C408="AREA V"),7,VLOOKUP(A408,'[1]MC Masterlist 2026-09-12'!$B:$M, 12, 0)),0)</f>
        <v>30</v>
      </c>
      <c r="Z408" s="46">
        <f t="shared" si="99"/>
        <v>0</v>
      </c>
      <c r="AA408" s="46">
        <f t="shared" si="100"/>
        <v>0</v>
      </c>
      <c r="AB408" s="46">
        <f t="shared" si="101"/>
        <v>0</v>
      </c>
      <c r="AC408" s="46">
        <f t="shared" si="102"/>
        <v>0</v>
      </c>
      <c r="AD408" s="44" t="str">
        <f t="shared" si="103"/>
        <v>Over</v>
      </c>
      <c r="AE408" s="44" t="str">
        <f>IFERROR(VLOOKUP(A408,'[1]Re-order'!$A:$AA,27,0),"")</f>
        <v>Over</v>
      </c>
      <c r="AF408" s="46">
        <f t="shared" si="104"/>
        <v>-2</v>
      </c>
      <c r="AG408" s="46">
        <f>SUMIFS('[1]Raw Inventory'!D:D,'[1]Raw Inventory'!C:C,"GREATWALL",'[1]Raw Inventory'!B:B,A408)</f>
        <v>79</v>
      </c>
      <c r="AH408" s="46">
        <f>SUMIFS('[1]Raw Inventory'!D:D,'[1]Raw Inventory'!C:C,"DUARTE",'[1]Raw Inventory'!B:B,A408)</f>
        <v>0</v>
      </c>
      <c r="AI408" s="46"/>
      <c r="AJ408" s="46"/>
      <c r="AK408" s="43"/>
      <c r="AL408" s="43"/>
      <c r="AM408" s="43"/>
      <c r="AN408" s="43"/>
      <c r="AO408" s="43"/>
      <c r="AP408" s="43"/>
      <c r="AQ408" s="43"/>
      <c r="AR408" s="43"/>
      <c r="AS408" s="43"/>
      <c r="AT408" s="43"/>
    </row>
    <row r="409" spans="1:46">
      <c r="A409" s="43" t="s">
        <v>49</v>
      </c>
      <c r="B409" s="43" t="s">
        <v>162</v>
      </c>
      <c r="C409" s="43" t="s">
        <v>159</v>
      </c>
      <c r="D409" s="44" t="s">
        <v>267</v>
      </c>
      <c r="E409" s="44">
        <v>26</v>
      </c>
      <c r="F409" s="44" t="s">
        <v>3</v>
      </c>
      <c r="G409" s="43" t="str">
        <f>IFERROR(VLOOKUP(A409,'[1]MC Masterlist 2026-09-12'!$B:$M, 3, 0),"")</f>
        <v>BAJAJ RE</v>
      </c>
      <c r="H409" s="45">
        <f>IFERROR(VLOOKUP(A409,'[1]MC Masterlist 2026-09-12'!$B:$M, 6, 0),"")</f>
        <v>191000</v>
      </c>
      <c r="I409" s="46">
        <v>0</v>
      </c>
      <c r="J409" s="46">
        <v>0</v>
      </c>
      <c r="K409" s="46">
        <v>0</v>
      </c>
      <c r="L409" s="46">
        <f t="shared" si="90"/>
        <v>0</v>
      </c>
      <c r="M409" s="46">
        <f t="shared" si="91"/>
        <v>0</v>
      </c>
      <c r="N409" s="45">
        <f t="shared" si="92"/>
        <v>0</v>
      </c>
      <c r="O409" s="45">
        <f t="shared" si="93"/>
        <v>0</v>
      </c>
      <c r="P409" s="46">
        <f t="shared" si="94"/>
        <v>0</v>
      </c>
      <c r="Q409" s="46">
        <v>1</v>
      </c>
      <c r="R409" s="45">
        <f t="shared" si="95"/>
        <v>191000</v>
      </c>
      <c r="S409" s="46">
        <f t="shared" si="96"/>
        <v>0</v>
      </c>
      <c r="T409" s="46">
        <f>IFERROR(VLOOKUP(A409,'[1]Re-order'!$A:$Q,17,0),"")</f>
        <v>21.516709511568124</v>
      </c>
      <c r="U409" s="46">
        <f>IFERROR(VLOOKUP(A409,'[1]MC Masterlist 2026-09-12'!$B:$M, 10, 0),0)</f>
        <v>15</v>
      </c>
      <c r="V409" s="46">
        <f>IFERROR(VLOOKUP(A409,'[1]MC Masterlist 2026-09-12'!$B:$M, 11, 0),0)</f>
        <v>15</v>
      </c>
      <c r="W409" s="46">
        <f t="shared" si="97"/>
        <v>30</v>
      </c>
      <c r="X409" s="46">
        <f t="shared" si="98"/>
        <v>30</v>
      </c>
      <c r="Y409" s="46">
        <f>IFERROR(IF(OR(C409="AREA I",C409="AREA V"),7,VLOOKUP(A409,'[1]MC Masterlist 2026-09-12'!$B:$M, 12, 0)),0)</f>
        <v>30</v>
      </c>
      <c r="Z409" s="46">
        <f t="shared" si="99"/>
        <v>0</v>
      </c>
      <c r="AA409" s="46">
        <f t="shared" si="100"/>
        <v>0</v>
      </c>
      <c r="AB409" s="46">
        <f t="shared" si="101"/>
        <v>0</v>
      </c>
      <c r="AC409" s="46">
        <f t="shared" si="102"/>
        <v>0</v>
      </c>
      <c r="AD409" s="44" t="str">
        <f t="shared" si="103"/>
        <v>Over</v>
      </c>
      <c r="AE409" s="44" t="str">
        <f>IFERROR(VLOOKUP(A409,'[1]Re-order'!$A:$AA,27,0),"")</f>
        <v>Stockout</v>
      </c>
      <c r="AF409" s="46">
        <f t="shared" si="104"/>
        <v>-1</v>
      </c>
      <c r="AG409" s="46">
        <f>SUMIFS('[1]Raw Inventory'!D:D,'[1]Raw Inventory'!C:C,"GREATWALL",'[1]Raw Inventory'!B:B,A409)</f>
        <v>0</v>
      </c>
      <c r="AH409" s="46">
        <f>SUMIFS('[1]Raw Inventory'!D:D,'[1]Raw Inventory'!C:C,"DUARTE",'[1]Raw Inventory'!B:B,A409)</f>
        <v>0</v>
      </c>
      <c r="AI409" s="46"/>
      <c r="AJ409" s="46"/>
      <c r="AK409" s="43"/>
      <c r="AL409" s="43"/>
      <c r="AM409" s="43"/>
      <c r="AN409" s="43"/>
      <c r="AO409" s="43"/>
      <c r="AP409" s="43"/>
      <c r="AQ409" s="43"/>
      <c r="AR409" s="43"/>
      <c r="AS409" s="43"/>
      <c r="AT409" s="43"/>
    </row>
    <row r="410" spans="1:46">
      <c r="A410" s="43" t="s">
        <v>73</v>
      </c>
      <c r="B410" s="43" t="s">
        <v>130</v>
      </c>
      <c r="C410" s="43" t="s">
        <v>128</v>
      </c>
      <c r="D410" s="44" t="s">
        <v>221</v>
      </c>
      <c r="E410" s="44">
        <v>23</v>
      </c>
      <c r="F410" s="44" t="s">
        <v>3</v>
      </c>
      <c r="G410" s="43" t="str">
        <f>IFERROR(VLOOKUP(A410,'[1]MC Masterlist 2026-09-12'!$B:$M, 3, 0),"")</f>
        <v>SUZUKI</v>
      </c>
      <c r="H410" s="45">
        <f>IFERROR(VLOOKUP(A410,'[1]MC Masterlist 2026-09-12'!$B:$M, 6, 0),"")</f>
        <v>122770</v>
      </c>
      <c r="I410" s="46">
        <v>1</v>
      </c>
      <c r="J410" s="46">
        <v>0</v>
      </c>
      <c r="K410" s="46">
        <v>0</v>
      </c>
      <c r="L410" s="46">
        <f t="shared" si="90"/>
        <v>1</v>
      </c>
      <c r="M410" s="46">
        <f t="shared" si="91"/>
        <v>0.33333333333333331</v>
      </c>
      <c r="N410" s="45">
        <f t="shared" si="92"/>
        <v>122770</v>
      </c>
      <c r="O410" s="45">
        <f t="shared" si="93"/>
        <v>40923.333333333328</v>
      </c>
      <c r="P410" s="46">
        <f t="shared" si="94"/>
        <v>1.111111111111111E-2</v>
      </c>
      <c r="Q410" s="46">
        <v>4</v>
      </c>
      <c r="R410" s="45">
        <f t="shared" si="95"/>
        <v>491080</v>
      </c>
      <c r="S410" s="46">
        <f t="shared" si="96"/>
        <v>360.00000000000006</v>
      </c>
      <c r="T410" s="46">
        <f>IFERROR(VLOOKUP(A410,'[1]Re-order'!$A:$Q,17,0),"")</f>
        <v>787.50000000000011</v>
      </c>
      <c r="U410" s="46">
        <f>IFERROR(VLOOKUP(A410,'[1]MC Masterlist 2026-09-12'!$B:$M, 10, 0),0)</f>
        <v>15</v>
      </c>
      <c r="V410" s="46">
        <f>IFERROR(VLOOKUP(A410,'[1]MC Masterlist 2026-09-12'!$B:$M, 11, 0),0)</f>
        <v>15</v>
      </c>
      <c r="W410" s="46">
        <f t="shared" si="97"/>
        <v>30</v>
      </c>
      <c r="X410" s="46">
        <f t="shared" si="98"/>
        <v>29.833333333333332</v>
      </c>
      <c r="Y410" s="46">
        <f>IFERROR(IF(OR(C410="AREA I",C410="AREA V"),7,VLOOKUP(A410,'[1]MC Masterlist 2026-09-12'!$B:$M, 12, 0)),0)</f>
        <v>30</v>
      </c>
      <c r="Z410" s="46">
        <f t="shared" si="99"/>
        <v>0.16666666666666666</v>
      </c>
      <c r="AA410" s="46">
        <f t="shared" si="100"/>
        <v>0.33333333333333331</v>
      </c>
      <c r="AB410" s="46">
        <f t="shared" si="101"/>
        <v>0.33148148148148143</v>
      </c>
      <c r="AC410" s="46">
        <f t="shared" si="102"/>
        <v>0.33333333333333331</v>
      </c>
      <c r="AD410" s="44" t="str">
        <f t="shared" si="103"/>
        <v>Over</v>
      </c>
      <c r="AE410" s="44" t="str">
        <f>IFERROR(VLOOKUP(A410,'[1]Re-order'!$A:$AA,27,0),"")</f>
        <v>Over</v>
      </c>
      <c r="AF410" s="46">
        <f t="shared" si="104"/>
        <v>-3.6666666666666665</v>
      </c>
      <c r="AG410" s="46">
        <f>SUMIFS('[1]Raw Inventory'!D:D,'[1]Raw Inventory'!C:C,"GREATWALL",'[1]Raw Inventory'!B:B,A410)</f>
        <v>9</v>
      </c>
      <c r="AH410" s="46">
        <f>SUMIFS('[1]Raw Inventory'!D:D,'[1]Raw Inventory'!C:C,"DUARTE",'[1]Raw Inventory'!B:B,A410)</f>
        <v>0</v>
      </c>
      <c r="AI410" s="46"/>
      <c r="AJ410" s="46"/>
      <c r="AK410" s="43"/>
      <c r="AL410" s="43"/>
      <c r="AM410" s="43"/>
      <c r="AN410" s="43"/>
      <c r="AO410" s="43"/>
      <c r="AP410" s="43"/>
      <c r="AQ410" s="43"/>
      <c r="AR410" s="43"/>
      <c r="AS410" s="43"/>
      <c r="AT410" s="43"/>
    </row>
    <row r="411" spans="1:46">
      <c r="A411" s="43" t="s">
        <v>64</v>
      </c>
      <c r="B411" s="43" t="s">
        <v>19</v>
      </c>
      <c r="C411" s="43" t="s">
        <v>1</v>
      </c>
      <c r="D411" s="44" t="s">
        <v>223</v>
      </c>
      <c r="E411" s="44">
        <v>15</v>
      </c>
      <c r="F411" s="44" t="s">
        <v>3</v>
      </c>
      <c r="G411" s="43" t="str">
        <f>IFERROR(VLOOKUP(A411,'[1]MC Masterlist 2026-09-12'!$B:$M, 3, 0),"")</f>
        <v>HONDA</v>
      </c>
      <c r="H411" s="45">
        <f>IFERROR(VLOOKUP(A411,'[1]MC Masterlist 2026-09-12'!$B:$M, 6, 0),"")</f>
        <v>73170</v>
      </c>
      <c r="I411" s="46">
        <v>2</v>
      </c>
      <c r="J411" s="46">
        <v>2</v>
      </c>
      <c r="K411" s="46">
        <v>1</v>
      </c>
      <c r="L411" s="46">
        <f t="shared" si="90"/>
        <v>5</v>
      </c>
      <c r="M411" s="46">
        <f t="shared" si="91"/>
        <v>1.6666666666666667</v>
      </c>
      <c r="N411" s="45">
        <f t="shared" si="92"/>
        <v>365850</v>
      </c>
      <c r="O411" s="45">
        <f t="shared" si="93"/>
        <v>121950</v>
      </c>
      <c r="P411" s="46">
        <f t="shared" si="94"/>
        <v>5.5555555555555559E-2</v>
      </c>
      <c r="Q411" s="46">
        <v>5</v>
      </c>
      <c r="R411" s="45">
        <f t="shared" si="95"/>
        <v>365850</v>
      </c>
      <c r="S411" s="46">
        <f t="shared" si="96"/>
        <v>90</v>
      </c>
      <c r="T411" s="46">
        <f>IFERROR(VLOOKUP(A411,'[1]Re-order'!$A:$Q,17,0),"")</f>
        <v>76.153846153846146</v>
      </c>
      <c r="U411" s="46">
        <f>IFERROR(VLOOKUP(A411,'[1]MC Masterlist 2026-09-12'!$B:$M, 10, 0),0)</f>
        <v>15</v>
      </c>
      <c r="V411" s="46">
        <f>IFERROR(VLOOKUP(A411,'[1]MC Masterlist 2026-09-12'!$B:$M, 11, 0),0)</f>
        <v>15</v>
      </c>
      <c r="W411" s="46">
        <f t="shared" si="97"/>
        <v>30</v>
      </c>
      <c r="X411" s="46">
        <f t="shared" si="98"/>
        <v>6.166666666666667</v>
      </c>
      <c r="Y411" s="46">
        <f>IFERROR(IF(OR(C411="AREA I",C411="AREA V"),7,VLOOKUP(A411,'[1]MC Masterlist 2026-09-12'!$B:$M, 12, 0)),0)</f>
        <v>7</v>
      </c>
      <c r="Z411" s="46">
        <f t="shared" si="99"/>
        <v>0.83333333333333337</v>
      </c>
      <c r="AA411" s="46">
        <f t="shared" si="100"/>
        <v>1.6666666666666667</v>
      </c>
      <c r="AB411" s="46">
        <f t="shared" si="101"/>
        <v>0.34259259259259262</v>
      </c>
      <c r="AC411" s="46">
        <f t="shared" si="102"/>
        <v>0.3888888888888889</v>
      </c>
      <c r="AD411" s="44" t="str">
        <f t="shared" si="103"/>
        <v>Over</v>
      </c>
      <c r="AE411" s="44" t="str">
        <f>IFERROR(VLOOKUP(A411,'[1]Re-order'!$A:$AA,27,0),"")</f>
        <v/>
      </c>
      <c r="AF411" s="46">
        <f t="shared" si="104"/>
        <v>-4.6111111111111107</v>
      </c>
      <c r="AG411" s="46">
        <f>SUMIFS('[1]Raw Inventory'!D:D,'[1]Raw Inventory'!C:C,"GREATWALL",'[1]Raw Inventory'!B:B,A411)</f>
        <v>13</v>
      </c>
      <c r="AH411" s="46">
        <f>SUMIFS('[1]Raw Inventory'!D:D,'[1]Raw Inventory'!C:C,"DUARTE",'[1]Raw Inventory'!B:B,A411)</f>
        <v>0</v>
      </c>
      <c r="AI411" s="46"/>
      <c r="AJ411" s="46"/>
      <c r="AK411" s="43"/>
      <c r="AL411" s="43"/>
      <c r="AM411" s="43"/>
      <c r="AN411" s="43"/>
      <c r="AO411" s="43"/>
      <c r="AP411" s="43"/>
      <c r="AQ411" s="43"/>
      <c r="AR411" s="43"/>
      <c r="AS411" s="43"/>
      <c r="AT411" s="43"/>
    </row>
    <row r="412" spans="1:46">
      <c r="A412" s="43" t="s">
        <v>80</v>
      </c>
      <c r="B412" s="43" t="s">
        <v>113</v>
      </c>
      <c r="C412" s="43" t="s">
        <v>109</v>
      </c>
      <c r="D412" s="44" t="s">
        <v>237</v>
      </c>
      <c r="E412" s="44">
        <v>29</v>
      </c>
      <c r="F412" s="44" t="s">
        <v>3</v>
      </c>
      <c r="G412" s="43" t="str">
        <f>IFERROR(VLOOKUP(A412,'[1]MC Masterlist 2026-09-12'!$B:$M, 3, 0),"")</f>
        <v>YAMAHA</v>
      </c>
      <c r="H412" s="45">
        <f>IFERROR(VLOOKUP(A412,'[1]MC Masterlist 2026-09-12'!$B:$M, 6, 0),"")</f>
        <v>73842</v>
      </c>
      <c r="I412" s="46">
        <v>0</v>
      </c>
      <c r="J412" s="46">
        <v>1</v>
      </c>
      <c r="K412" s="46">
        <v>0</v>
      </c>
      <c r="L412" s="46">
        <f t="shared" si="90"/>
        <v>1</v>
      </c>
      <c r="M412" s="46">
        <f t="shared" si="91"/>
        <v>0.33333333333333331</v>
      </c>
      <c r="N412" s="45">
        <f t="shared" si="92"/>
        <v>73842</v>
      </c>
      <c r="O412" s="45">
        <f t="shared" si="93"/>
        <v>24614</v>
      </c>
      <c r="P412" s="46">
        <f t="shared" si="94"/>
        <v>1.111111111111111E-2</v>
      </c>
      <c r="Q412" s="46"/>
      <c r="R412" s="45">
        <f t="shared" si="95"/>
        <v>0</v>
      </c>
      <c r="S412" s="46">
        <f t="shared" si="96"/>
        <v>0</v>
      </c>
      <c r="T412" s="46">
        <f>IFERROR(VLOOKUP(A412,'[1]Re-order'!$A:$Q,17,0),"")</f>
        <v>67.5</v>
      </c>
      <c r="U412" s="46">
        <f>IFERROR(VLOOKUP(A412,'[1]MC Masterlist 2026-09-12'!$B:$M, 10, 0),0)</f>
        <v>15</v>
      </c>
      <c r="V412" s="46">
        <f>IFERROR(VLOOKUP(A412,'[1]MC Masterlist 2026-09-12'!$B:$M, 11, 0),0)</f>
        <v>15</v>
      </c>
      <c r="W412" s="46">
        <f t="shared" si="97"/>
        <v>30</v>
      </c>
      <c r="X412" s="46">
        <f t="shared" si="98"/>
        <v>29.833333333333332</v>
      </c>
      <c r="Y412" s="46">
        <f>IFERROR(IF(OR(C412="AREA I",C412="AREA V"),7,VLOOKUP(A412,'[1]MC Masterlist 2026-09-12'!$B:$M, 12, 0)),0)</f>
        <v>30</v>
      </c>
      <c r="Z412" s="46">
        <f t="shared" si="99"/>
        <v>0.16666666666666666</v>
      </c>
      <c r="AA412" s="46">
        <f t="shared" si="100"/>
        <v>0.33333333333333331</v>
      </c>
      <c r="AB412" s="46">
        <f t="shared" si="101"/>
        <v>0.33148148148148143</v>
      </c>
      <c r="AC412" s="46">
        <f t="shared" si="102"/>
        <v>0.33333333333333331</v>
      </c>
      <c r="AD412" s="44" t="str">
        <f t="shared" si="103"/>
        <v>Stockout</v>
      </c>
      <c r="AE412" s="44" t="str">
        <f>IFERROR(VLOOKUP(A412,'[1]Re-order'!$A:$AA,27,0),"")</f>
        <v>Re-order</v>
      </c>
      <c r="AF412" s="46">
        <f t="shared" si="104"/>
        <v>0.33333333333333331</v>
      </c>
      <c r="AG412" s="46">
        <f>SUMIFS('[1]Raw Inventory'!D:D,'[1]Raw Inventory'!C:C,"GREATWALL",'[1]Raw Inventory'!B:B,A412)</f>
        <v>0</v>
      </c>
      <c r="AH412" s="46">
        <f>SUMIFS('[1]Raw Inventory'!D:D,'[1]Raw Inventory'!C:C,"DUARTE",'[1]Raw Inventory'!B:B,A412)</f>
        <v>0</v>
      </c>
      <c r="AI412" s="46"/>
      <c r="AJ412" s="46"/>
      <c r="AK412" s="43"/>
      <c r="AL412" s="43"/>
      <c r="AM412" s="43"/>
      <c r="AN412" s="43"/>
      <c r="AO412" s="43"/>
      <c r="AP412" s="43"/>
      <c r="AQ412" s="43"/>
      <c r="AR412" s="43"/>
      <c r="AS412" s="43"/>
      <c r="AT412" s="43"/>
    </row>
    <row r="413" spans="1:46">
      <c r="A413" s="43" t="s">
        <v>85</v>
      </c>
      <c r="B413" s="43" t="s">
        <v>5</v>
      </c>
      <c r="C413" s="43" t="s">
        <v>118</v>
      </c>
      <c r="D413" s="44" t="s">
        <v>272</v>
      </c>
      <c r="E413" s="44">
        <v>23</v>
      </c>
      <c r="F413" s="44" t="s">
        <v>3</v>
      </c>
      <c r="G413" s="43" t="str">
        <f>IFERROR(VLOOKUP(A413,'[1]MC Masterlist 2026-09-12'!$B:$M, 3, 0),"")</f>
        <v>KAWASAKI</v>
      </c>
      <c r="H413" s="45">
        <f>IFERROR(VLOOKUP(A413,'[1]MC Masterlist 2026-09-12'!$B:$M, 6, 0),"")</f>
        <v>71560</v>
      </c>
      <c r="I413" s="46">
        <v>0</v>
      </c>
      <c r="J413" s="46">
        <v>0</v>
      </c>
      <c r="K413" s="46">
        <v>0</v>
      </c>
      <c r="L413" s="46">
        <f t="shared" si="90"/>
        <v>0</v>
      </c>
      <c r="M413" s="46">
        <f t="shared" si="91"/>
        <v>0</v>
      </c>
      <c r="N413" s="45">
        <f t="shared" si="92"/>
        <v>0</v>
      </c>
      <c r="O413" s="45">
        <f t="shared" si="93"/>
        <v>0</v>
      </c>
      <c r="P413" s="46">
        <f t="shared" si="94"/>
        <v>0</v>
      </c>
      <c r="Q413" s="46">
        <v>1</v>
      </c>
      <c r="R413" s="45">
        <f t="shared" si="95"/>
        <v>71560</v>
      </c>
      <c r="S413" s="46">
        <f t="shared" si="96"/>
        <v>0</v>
      </c>
      <c r="T413" s="46">
        <f>IFERROR(VLOOKUP(A413,'[1]Re-order'!$A:$Q,17,0),"")</f>
        <v>157.5</v>
      </c>
      <c r="U413" s="46">
        <f>IFERROR(VLOOKUP(A413,'[1]MC Masterlist 2026-09-12'!$B:$M, 10, 0),0)</f>
        <v>15</v>
      </c>
      <c r="V413" s="46">
        <f>IFERROR(VLOOKUP(A413,'[1]MC Masterlist 2026-09-12'!$B:$M, 11, 0),0)</f>
        <v>15</v>
      </c>
      <c r="W413" s="46">
        <f t="shared" si="97"/>
        <v>30</v>
      </c>
      <c r="X413" s="46">
        <f t="shared" si="98"/>
        <v>30</v>
      </c>
      <c r="Y413" s="46">
        <f>IFERROR(IF(OR(C413="AREA I",C413="AREA V"),7,VLOOKUP(A413,'[1]MC Masterlist 2026-09-12'!$B:$M, 12, 0)),0)</f>
        <v>30</v>
      </c>
      <c r="Z413" s="46">
        <f t="shared" si="99"/>
        <v>0</v>
      </c>
      <c r="AA413" s="46">
        <f t="shared" si="100"/>
        <v>0</v>
      </c>
      <c r="AB413" s="46">
        <f t="shared" si="101"/>
        <v>0</v>
      </c>
      <c r="AC413" s="46">
        <f t="shared" si="102"/>
        <v>0</v>
      </c>
      <c r="AD413" s="44" t="str">
        <f t="shared" si="103"/>
        <v>Over</v>
      </c>
      <c r="AE413" s="44" t="str">
        <f>IFERROR(VLOOKUP(A413,'[1]Re-order'!$A:$AA,27,0),"")</f>
        <v>Over</v>
      </c>
      <c r="AF413" s="46">
        <f t="shared" si="104"/>
        <v>-1</v>
      </c>
      <c r="AG413" s="46">
        <f>SUMIFS('[1]Raw Inventory'!D:D,'[1]Raw Inventory'!C:C,"GREATWALL",'[1]Raw Inventory'!B:B,A413)</f>
        <v>0</v>
      </c>
      <c r="AH413" s="46">
        <f>SUMIFS('[1]Raw Inventory'!D:D,'[1]Raw Inventory'!C:C,"DUARTE",'[1]Raw Inventory'!B:B,A413)</f>
        <v>0</v>
      </c>
      <c r="AI413" s="46"/>
      <c r="AJ413" s="46"/>
      <c r="AK413" s="43"/>
      <c r="AL413" s="43"/>
      <c r="AM413" s="43"/>
      <c r="AN413" s="43"/>
      <c r="AO413" s="43"/>
      <c r="AP413" s="43"/>
      <c r="AQ413" s="43"/>
      <c r="AR413" s="43"/>
      <c r="AS413" s="43"/>
      <c r="AT413" s="43"/>
    </row>
    <row r="414" spans="1:46">
      <c r="A414" s="43" t="s">
        <v>39</v>
      </c>
      <c r="B414" s="43" t="s">
        <v>129</v>
      </c>
      <c r="C414" s="43" t="s">
        <v>128</v>
      </c>
      <c r="D414" s="44" t="s">
        <v>240</v>
      </c>
      <c r="E414" s="44">
        <v>10</v>
      </c>
      <c r="F414" s="44" t="s">
        <v>2</v>
      </c>
      <c r="G414" s="43" t="str">
        <f>IFERROR(VLOOKUP(A414,'[1]MC Masterlist 2026-09-12'!$B:$M, 3, 0),"")</f>
        <v>HONDA</v>
      </c>
      <c r="H414" s="45">
        <f>IFERROR(VLOOKUP(A414,'[1]MC Masterlist 2026-09-12'!$B:$M, 6, 0),"")</f>
        <v>72434</v>
      </c>
      <c r="I414" s="46">
        <v>0</v>
      </c>
      <c r="J414" s="46">
        <v>3</v>
      </c>
      <c r="K414" s="46">
        <v>2</v>
      </c>
      <c r="L414" s="46">
        <f t="shared" si="90"/>
        <v>5</v>
      </c>
      <c r="M414" s="46">
        <f t="shared" si="91"/>
        <v>1.6666666666666667</v>
      </c>
      <c r="N414" s="45">
        <f t="shared" si="92"/>
        <v>362170</v>
      </c>
      <c r="O414" s="45">
        <f t="shared" si="93"/>
        <v>120723.33333333334</v>
      </c>
      <c r="P414" s="46">
        <f t="shared" si="94"/>
        <v>5.5555555555555559E-2</v>
      </c>
      <c r="Q414" s="46"/>
      <c r="R414" s="45">
        <f t="shared" si="95"/>
        <v>0</v>
      </c>
      <c r="S414" s="46">
        <f t="shared" si="96"/>
        <v>0</v>
      </c>
      <c r="T414" s="46">
        <f>IFERROR(VLOOKUP(A414,'[1]Re-order'!$A:$Q,17,0),"")</f>
        <v>40.982142857142854</v>
      </c>
      <c r="U414" s="46">
        <f>IFERROR(VLOOKUP(A414,'[1]MC Masterlist 2026-09-12'!$B:$M, 10, 0),0)</f>
        <v>15</v>
      </c>
      <c r="V414" s="46">
        <f>IFERROR(VLOOKUP(A414,'[1]MC Masterlist 2026-09-12'!$B:$M, 11, 0),0)</f>
        <v>15</v>
      </c>
      <c r="W414" s="46">
        <f t="shared" si="97"/>
        <v>30</v>
      </c>
      <c r="X414" s="46">
        <f t="shared" si="98"/>
        <v>29.166666666666668</v>
      </c>
      <c r="Y414" s="46">
        <f>IFERROR(IF(OR(C414="AREA I",C414="AREA V"),7,VLOOKUP(A414,'[1]MC Masterlist 2026-09-12'!$B:$M, 12, 0)),0)</f>
        <v>30</v>
      </c>
      <c r="Z414" s="46">
        <f t="shared" si="99"/>
        <v>0.83333333333333337</v>
      </c>
      <c r="AA414" s="46">
        <f t="shared" si="100"/>
        <v>1.6666666666666667</v>
      </c>
      <c r="AB414" s="46">
        <f t="shared" si="101"/>
        <v>1.6203703703703705</v>
      </c>
      <c r="AC414" s="46">
        <f t="shared" si="102"/>
        <v>1.6666666666666667</v>
      </c>
      <c r="AD414" s="44" t="str">
        <f t="shared" si="103"/>
        <v>Stockout</v>
      </c>
      <c r="AE414" s="44" t="str">
        <f>IFERROR(VLOOKUP(A414,'[1]Re-order'!$A:$AA,27,0),"")</f>
        <v>Re-order</v>
      </c>
      <c r="AF414" s="46">
        <f t="shared" si="104"/>
        <v>1.6666666666666667</v>
      </c>
      <c r="AG414" s="46">
        <f>SUMIFS('[1]Raw Inventory'!D:D,'[1]Raw Inventory'!C:C,"GREATWALL",'[1]Raw Inventory'!B:B,A414)</f>
        <v>16</v>
      </c>
      <c r="AH414" s="46">
        <f>SUMIFS('[1]Raw Inventory'!D:D,'[1]Raw Inventory'!C:C,"DUARTE",'[1]Raw Inventory'!B:B,A414)</f>
        <v>0</v>
      </c>
      <c r="AI414" s="46"/>
      <c r="AJ414" s="46"/>
      <c r="AK414" s="43"/>
      <c r="AL414" s="43"/>
      <c r="AM414" s="43"/>
      <c r="AN414" s="43"/>
      <c r="AO414" s="43"/>
      <c r="AP414" s="43"/>
      <c r="AQ414" s="43"/>
      <c r="AR414" s="43"/>
      <c r="AS414" s="43"/>
      <c r="AT414" s="43"/>
    </row>
    <row r="415" spans="1:46">
      <c r="A415" s="43" t="s">
        <v>45</v>
      </c>
      <c r="B415" s="43" t="s">
        <v>132</v>
      </c>
      <c r="C415" s="43" t="s">
        <v>128</v>
      </c>
      <c r="D415" s="44" t="s">
        <v>241</v>
      </c>
      <c r="E415" s="44">
        <v>23</v>
      </c>
      <c r="F415" s="44" t="s">
        <v>3</v>
      </c>
      <c r="G415" s="43" t="str">
        <f>IFERROR(VLOOKUP(A415,'[1]MC Masterlist 2026-09-12'!$B:$M, 3, 0),"")</f>
        <v>YAMAHA</v>
      </c>
      <c r="H415" s="45">
        <f>IFERROR(VLOOKUP(A415,'[1]MC Masterlist 2026-09-12'!$B:$M, 6, 0),"")</f>
        <v>117087</v>
      </c>
      <c r="I415" s="46">
        <v>1</v>
      </c>
      <c r="J415" s="46">
        <v>0</v>
      </c>
      <c r="K415" s="46">
        <v>0</v>
      </c>
      <c r="L415" s="46">
        <f t="shared" si="90"/>
        <v>1</v>
      </c>
      <c r="M415" s="46">
        <f t="shared" si="91"/>
        <v>0.33333333333333331</v>
      </c>
      <c r="N415" s="45">
        <f t="shared" si="92"/>
        <v>117087</v>
      </c>
      <c r="O415" s="45">
        <f t="shared" si="93"/>
        <v>39029</v>
      </c>
      <c r="P415" s="46">
        <f t="shared" si="94"/>
        <v>1.111111111111111E-2</v>
      </c>
      <c r="Q415" s="46"/>
      <c r="R415" s="45">
        <f t="shared" si="95"/>
        <v>0</v>
      </c>
      <c r="S415" s="46">
        <f t="shared" si="96"/>
        <v>0</v>
      </c>
      <c r="T415" s="46">
        <f>IFERROR(VLOOKUP(A415,'[1]Re-order'!$A:$Q,17,0),"")</f>
        <v>18.94736842105263</v>
      </c>
      <c r="U415" s="46">
        <f>IFERROR(VLOOKUP(A415,'[1]MC Masterlist 2026-09-12'!$B:$M, 10, 0),0)</f>
        <v>15</v>
      </c>
      <c r="V415" s="46">
        <f>IFERROR(VLOOKUP(A415,'[1]MC Masterlist 2026-09-12'!$B:$M, 11, 0),0)</f>
        <v>15</v>
      </c>
      <c r="W415" s="46">
        <f t="shared" si="97"/>
        <v>30</v>
      </c>
      <c r="X415" s="46">
        <f t="shared" si="98"/>
        <v>29.833333333333332</v>
      </c>
      <c r="Y415" s="46">
        <f>IFERROR(IF(OR(C415="AREA I",C415="AREA V"),7,VLOOKUP(A415,'[1]MC Masterlist 2026-09-12'!$B:$M, 12, 0)),0)</f>
        <v>30</v>
      </c>
      <c r="Z415" s="46">
        <f t="shared" si="99"/>
        <v>0.16666666666666666</v>
      </c>
      <c r="AA415" s="46">
        <f t="shared" si="100"/>
        <v>0.33333333333333331</v>
      </c>
      <c r="AB415" s="46">
        <f t="shared" si="101"/>
        <v>0.33148148148148143</v>
      </c>
      <c r="AC415" s="46">
        <f t="shared" si="102"/>
        <v>0.33333333333333331</v>
      </c>
      <c r="AD415" s="44" t="str">
        <f t="shared" si="103"/>
        <v>Stockout</v>
      </c>
      <c r="AE415" s="44" t="str">
        <f>IFERROR(VLOOKUP(A415,'[1]Re-order'!$A:$AA,27,0),"")</f>
        <v>Stockout</v>
      </c>
      <c r="AF415" s="46">
        <f t="shared" si="104"/>
        <v>0.33333333333333331</v>
      </c>
      <c r="AG415" s="46">
        <f>SUMIFS('[1]Raw Inventory'!D:D,'[1]Raw Inventory'!C:C,"GREATWALL",'[1]Raw Inventory'!B:B,A415)</f>
        <v>5</v>
      </c>
      <c r="AH415" s="46">
        <f>SUMIFS('[1]Raw Inventory'!D:D,'[1]Raw Inventory'!C:C,"DUARTE",'[1]Raw Inventory'!B:B,A415)</f>
        <v>0</v>
      </c>
      <c r="AI415" s="46"/>
      <c r="AJ415" s="46"/>
      <c r="AK415" s="43"/>
      <c r="AL415" s="43"/>
      <c r="AM415" s="43"/>
      <c r="AN415" s="43"/>
      <c r="AO415" s="43"/>
      <c r="AP415" s="43"/>
      <c r="AQ415" s="43"/>
      <c r="AR415" s="43"/>
      <c r="AS415" s="43"/>
      <c r="AT415" s="43"/>
    </row>
    <row r="416" spans="1:46">
      <c r="A416" s="43" t="s">
        <v>52</v>
      </c>
      <c r="B416" s="43" t="s">
        <v>115</v>
      </c>
      <c r="C416" s="43" t="s">
        <v>109</v>
      </c>
      <c r="D416" s="44" t="s">
        <v>256</v>
      </c>
      <c r="E416" s="44">
        <v>11</v>
      </c>
      <c r="F416" s="44" t="s">
        <v>2</v>
      </c>
      <c r="G416" s="43" t="str">
        <f>IFERROR(VLOOKUP(A416,'[1]MC Masterlist 2026-09-12'!$B:$M, 3, 0),"")</f>
        <v>YAMAHA</v>
      </c>
      <c r="H416" s="45">
        <f>IFERROR(VLOOKUP(A416,'[1]MC Masterlist 2026-09-12'!$B:$M, 6, 0),"")</f>
        <v>85446</v>
      </c>
      <c r="I416" s="46">
        <v>0</v>
      </c>
      <c r="J416" s="46">
        <v>2</v>
      </c>
      <c r="K416" s="46">
        <v>1</v>
      </c>
      <c r="L416" s="46">
        <f t="shared" si="90"/>
        <v>3</v>
      </c>
      <c r="M416" s="46">
        <f t="shared" si="91"/>
        <v>1</v>
      </c>
      <c r="N416" s="45">
        <f t="shared" si="92"/>
        <v>256338</v>
      </c>
      <c r="O416" s="45">
        <f t="shared" si="93"/>
        <v>85446</v>
      </c>
      <c r="P416" s="46">
        <f t="shared" si="94"/>
        <v>3.3333333333333333E-2</v>
      </c>
      <c r="Q416" s="46">
        <v>1</v>
      </c>
      <c r="R416" s="45">
        <f t="shared" si="95"/>
        <v>85446</v>
      </c>
      <c r="S416" s="46">
        <f t="shared" si="96"/>
        <v>30</v>
      </c>
      <c r="T416" s="46">
        <f>IFERROR(VLOOKUP(A416,'[1]Re-order'!$A:$Q,17,0),"")</f>
        <v>95.454545454545453</v>
      </c>
      <c r="U416" s="46">
        <f>IFERROR(VLOOKUP(A416,'[1]MC Masterlist 2026-09-12'!$B:$M, 10, 0),0)</f>
        <v>15</v>
      </c>
      <c r="V416" s="46">
        <f>IFERROR(VLOOKUP(A416,'[1]MC Masterlist 2026-09-12'!$B:$M, 11, 0),0)</f>
        <v>15</v>
      </c>
      <c r="W416" s="46">
        <f t="shared" si="97"/>
        <v>30</v>
      </c>
      <c r="X416" s="46">
        <f t="shared" si="98"/>
        <v>29.5</v>
      </c>
      <c r="Y416" s="46">
        <f>IFERROR(IF(OR(C416="AREA I",C416="AREA V"),7,VLOOKUP(A416,'[1]MC Masterlist 2026-09-12'!$B:$M, 12, 0)),0)</f>
        <v>30</v>
      </c>
      <c r="Z416" s="46">
        <f t="shared" si="99"/>
        <v>0.5</v>
      </c>
      <c r="AA416" s="46">
        <f t="shared" si="100"/>
        <v>1</v>
      </c>
      <c r="AB416" s="46">
        <f t="shared" si="101"/>
        <v>0.98333333333333328</v>
      </c>
      <c r="AC416" s="46">
        <f t="shared" si="102"/>
        <v>1</v>
      </c>
      <c r="AD416" s="44" t="str">
        <f t="shared" si="103"/>
        <v>Re-order</v>
      </c>
      <c r="AE416" s="44" t="str">
        <f>IFERROR(VLOOKUP(A416,'[1]Re-order'!$A:$AA,27,0),"")</f>
        <v>Over</v>
      </c>
      <c r="AF416" s="46">
        <f t="shared" si="104"/>
        <v>0</v>
      </c>
      <c r="AG416" s="46">
        <f>SUMIFS('[1]Raw Inventory'!D:D,'[1]Raw Inventory'!C:C,"GREATWALL",'[1]Raw Inventory'!B:B,A416)</f>
        <v>0</v>
      </c>
      <c r="AH416" s="46">
        <f>SUMIFS('[1]Raw Inventory'!D:D,'[1]Raw Inventory'!C:C,"DUARTE",'[1]Raw Inventory'!B:B,A416)</f>
        <v>0</v>
      </c>
      <c r="AI416" s="46"/>
      <c r="AJ416" s="46"/>
      <c r="AK416" s="43"/>
      <c r="AL416" s="43"/>
      <c r="AM416" s="43"/>
      <c r="AN416" s="43"/>
      <c r="AO416" s="43"/>
      <c r="AP416" s="43"/>
      <c r="AQ416" s="43"/>
      <c r="AR416" s="43"/>
      <c r="AS416" s="43"/>
      <c r="AT416" s="43"/>
    </row>
    <row r="417" spans="1:46">
      <c r="A417" s="43" t="s">
        <v>20</v>
      </c>
      <c r="B417" s="43" t="s">
        <v>123</v>
      </c>
      <c r="C417" s="43" t="s">
        <v>118</v>
      </c>
      <c r="D417" s="44" t="s">
        <v>221</v>
      </c>
      <c r="E417" s="44">
        <v>21</v>
      </c>
      <c r="F417" s="44" t="s">
        <v>3</v>
      </c>
      <c r="G417" s="43" t="str">
        <f>IFERROR(VLOOKUP(A417,'[1]MC Masterlist 2026-09-12'!$B:$M, 3, 0),"")</f>
        <v>HONDA</v>
      </c>
      <c r="H417" s="45">
        <f>IFERROR(VLOOKUP(A417,'[1]MC Masterlist 2026-09-12'!$B:$M, 6, 0),"")</f>
        <v>69950</v>
      </c>
      <c r="I417" s="46">
        <v>0</v>
      </c>
      <c r="J417" s="46">
        <v>0</v>
      </c>
      <c r="K417" s="46">
        <v>1</v>
      </c>
      <c r="L417" s="46">
        <f t="shared" si="90"/>
        <v>1</v>
      </c>
      <c r="M417" s="46">
        <f t="shared" si="91"/>
        <v>0.33333333333333331</v>
      </c>
      <c r="N417" s="45">
        <f t="shared" si="92"/>
        <v>69950</v>
      </c>
      <c r="O417" s="45">
        <f t="shared" si="93"/>
        <v>23316.666666666664</v>
      </c>
      <c r="P417" s="46">
        <f t="shared" si="94"/>
        <v>1.111111111111111E-2</v>
      </c>
      <c r="Q417" s="46">
        <v>4</v>
      </c>
      <c r="R417" s="45">
        <f t="shared" si="95"/>
        <v>279800</v>
      </c>
      <c r="S417" s="46">
        <f t="shared" si="96"/>
        <v>360.00000000000006</v>
      </c>
      <c r="T417" s="46">
        <f>IFERROR(VLOOKUP(A417,'[1]Re-order'!$A:$Q,17,0),"")</f>
        <v>75.775862068965523</v>
      </c>
      <c r="U417" s="46">
        <f>IFERROR(VLOOKUP(A417,'[1]MC Masterlist 2026-09-12'!$B:$M, 10, 0),0)</f>
        <v>15</v>
      </c>
      <c r="V417" s="46">
        <f>IFERROR(VLOOKUP(A417,'[1]MC Masterlist 2026-09-12'!$B:$M, 11, 0),0)</f>
        <v>15</v>
      </c>
      <c r="W417" s="46">
        <f t="shared" si="97"/>
        <v>30</v>
      </c>
      <c r="X417" s="46">
        <f t="shared" si="98"/>
        <v>29.833333333333332</v>
      </c>
      <c r="Y417" s="46">
        <f>IFERROR(IF(OR(C417="AREA I",C417="AREA V"),7,VLOOKUP(A417,'[1]MC Masterlist 2026-09-12'!$B:$M, 12, 0)),0)</f>
        <v>30</v>
      </c>
      <c r="Z417" s="46">
        <f t="shared" si="99"/>
        <v>0.16666666666666666</v>
      </c>
      <c r="AA417" s="46">
        <f t="shared" si="100"/>
        <v>0.33333333333333331</v>
      </c>
      <c r="AB417" s="46">
        <f t="shared" si="101"/>
        <v>0.33148148148148143</v>
      </c>
      <c r="AC417" s="46">
        <f t="shared" si="102"/>
        <v>0.33333333333333331</v>
      </c>
      <c r="AD417" s="44" t="str">
        <f t="shared" si="103"/>
        <v>Over</v>
      </c>
      <c r="AE417" s="44" t="str">
        <f>IFERROR(VLOOKUP(A417,'[1]Re-order'!$A:$AA,27,0),"")</f>
        <v/>
      </c>
      <c r="AF417" s="46">
        <f t="shared" si="104"/>
        <v>-3.6666666666666665</v>
      </c>
      <c r="AG417" s="46">
        <f>SUMIFS('[1]Raw Inventory'!D:D,'[1]Raw Inventory'!C:C,"GREATWALL",'[1]Raw Inventory'!B:B,A417)</f>
        <v>110</v>
      </c>
      <c r="AH417" s="46">
        <f>SUMIFS('[1]Raw Inventory'!D:D,'[1]Raw Inventory'!C:C,"DUARTE",'[1]Raw Inventory'!B:B,A417)</f>
        <v>0</v>
      </c>
      <c r="AI417" s="46"/>
      <c r="AJ417" s="46"/>
      <c r="AK417" s="43"/>
      <c r="AL417" s="43"/>
      <c r="AM417" s="43"/>
      <c r="AN417" s="43"/>
      <c r="AO417" s="43"/>
      <c r="AP417" s="43"/>
      <c r="AQ417" s="43"/>
      <c r="AR417" s="43"/>
      <c r="AS417" s="43"/>
      <c r="AT417" s="43"/>
    </row>
    <row r="418" spans="1:46">
      <c r="A418" s="43" t="s">
        <v>28</v>
      </c>
      <c r="B418" s="43" t="s">
        <v>29</v>
      </c>
      <c r="C418" s="43" t="s">
        <v>1</v>
      </c>
      <c r="D418" s="44" t="s">
        <v>233</v>
      </c>
      <c r="E418" s="44">
        <v>10</v>
      </c>
      <c r="F418" s="44" t="s">
        <v>2</v>
      </c>
      <c r="G418" s="43" t="str">
        <f>IFERROR(VLOOKUP(A418,'[1]MC Masterlist 2026-09-12'!$B:$M, 3, 0),"")</f>
        <v>YAMAHA</v>
      </c>
      <c r="H418" s="45">
        <f>IFERROR(VLOOKUP(A418,'[1]MC Masterlist 2026-09-12'!$B:$M, 6, 0),"")</f>
        <v>147312</v>
      </c>
      <c r="I418" s="46">
        <v>2</v>
      </c>
      <c r="J418" s="46">
        <v>1</v>
      </c>
      <c r="K418" s="46">
        <v>1</v>
      </c>
      <c r="L418" s="46">
        <f t="shared" si="90"/>
        <v>4</v>
      </c>
      <c r="M418" s="46">
        <f t="shared" si="91"/>
        <v>1.3333333333333333</v>
      </c>
      <c r="N418" s="45">
        <f t="shared" si="92"/>
        <v>589248</v>
      </c>
      <c r="O418" s="45">
        <f t="shared" si="93"/>
        <v>196416</v>
      </c>
      <c r="P418" s="46">
        <f t="shared" si="94"/>
        <v>4.4444444444444439E-2</v>
      </c>
      <c r="Q418" s="46"/>
      <c r="R418" s="45">
        <f t="shared" si="95"/>
        <v>0</v>
      </c>
      <c r="S418" s="46">
        <f t="shared" si="96"/>
        <v>0</v>
      </c>
      <c r="T418" s="46">
        <f>IFERROR(VLOOKUP(A418,'[1]Re-order'!$A:$Q,17,0),"")</f>
        <v>8.2417582417582427</v>
      </c>
      <c r="U418" s="46">
        <f>IFERROR(VLOOKUP(A418,'[1]MC Masterlist 2026-09-12'!$B:$M, 10, 0),0)</f>
        <v>15</v>
      </c>
      <c r="V418" s="46">
        <f>IFERROR(VLOOKUP(A418,'[1]MC Masterlist 2026-09-12'!$B:$M, 11, 0),0)</f>
        <v>15</v>
      </c>
      <c r="W418" s="46">
        <f t="shared" si="97"/>
        <v>30</v>
      </c>
      <c r="X418" s="46">
        <f t="shared" si="98"/>
        <v>6.333333333333333</v>
      </c>
      <c r="Y418" s="46">
        <f>IFERROR(IF(OR(C418="AREA I",C418="AREA V"),7,VLOOKUP(A418,'[1]MC Masterlist 2026-09-12'!$B:$M, 12, 0)),0)</f>
        <v>7</v>
      </c>
      <c r="Z418" s="46">
        <f t="shared" si="99"/>
        <v>0.66666666666666663</v>
      </c>
      <c r="AA418" s="46">
        <f t="shared" si="100"/>
        <v>1.3333333333333333</v>
      </c>
      <c r="AB418" s="46">
        <f t="shared" si="101"/>
        <v>0.28148148148148144</v>
      </c>
      <c r="AC418" s="46">
        <f t="shared" si="102"/>
        <v>0.31111111111111106</v>
      </c>
      <c r="AD418" s="44" t="str">
        <f t="shared" si="103"/>
        <v>Stockout</v>
      </c>
      <c r="AE418" s="44" t="str">
        <f>IFERROR(VLOOKUP(A418,'[1]Re-order'!$A:$AA,27,0),"")</f>
        <v>Stockout</v>
      </c>
      <c r="AF418" s="46">
        <f t="shared" si="104"/>
        <v>0.31111111111111106</v>
      </c>
      <c r="AG418" s="46">
        <f>SUMIFS('[1]Raw Inventory'!D:D,'[1]Raw Inventory'!C:C,"GREATWALL",'[1]Raw Inventory'!B:B,A418)</f>
        <v>0</v>
      </c>
      <c r="AH418" s="46">
        <f>SUMIFS('[1]Raw Inventory'!D:D,'[1]Raw Inventory'!C:C,"DUARTE",'[1]Raw Inventory'!B:B,A418)</f>
        <v>0</v>
      </c>
      <c r="AI418" s="46"/>
      <c r="AJ418" s="46"/>
      <c r="AK418" s="43"/>
      <c r="AL418" s="43"/>
      <c r="AM418" s="43"/>
      <c r="AN418" s="43"/>
      <c r="AO418" s="43"/>
      <c r="AP418" s="43"/>
      <c r="AQ418" s="43"/>
      <c r="AR418" s="43"/>
      <c r="AS418" s="43"/>
      <c r="AT418" s="43"/>
    </row>
    <row r="419" spans="1:46">
      <c r="A419" s="43" t="s">
        <v>31</v>
      </c>
      <c r="B419" s="43" t="s">
        <v>21</v>
      </c>
      <c r="C419" s="43" t="s">
        <v>1</v>
      </c>
      <c r="D419" s="44" t="s">
        <v>221</v>
      </c>
      <c r="E419" s="44">
        <v>22</v>
      </c>
      <c r="F419" s="44" t="s">
        <v>3</v>
      </c>
      <c r="G419" s="43" t="str">
        <f>IFERROR(VLOOKUP(A419,'[1]MC Masterlist 2026-09-12'!$B:$M, 3, 0),"")</f>
        <v>KAWASAKI</v>
      </c>
      <c r="H419" s="45">
        <f>IFERROR(VLOOKUP(A419,'[1]MC Masterlist 2026-09-12'!$B:$M, 6, 0),"")</f>
        <v>59528</v>
      </c>
      <c r="I419" s="46">
        <v>1</v>
      </c>
      <c r="J419" s="46">
        <v>1</v>
      </c>
      <c r="K419" s="46">
        <v>0</v>
      </c>
      <c r="L419" s="46">
        <f t="shared" si="90"/>
        <v>2</v>
      </c>
      <c r="M419" s="46">
        <f t="shared" si="91"/>
        <v>0.66666666666666663</v>
      </c>
      <c r="N419" s="45">
        <f t="shared" si="92"/>
        <v>119056</v>
      </c>
      <c r="O419" s="45">
        <f t="shared" si="93"/>
        <v>39685.333333333328</v>
      </c>
      <c r="P419" s="46">
        <f t="shared" si="94"/>
        <v>2.222222222222222E-2</v>
      </c>
      <c r="Q419" s="46">
        <v>1</v>
      </c>
      <c r="R419" s="45">
        <f t="shared" si="95"/>
        <v>59528</v>
      </c>
      <c r="S419" s="46">
        <f t="shared" si="96"/>
        <v>45.000000000000007</v>
      </c>
      <c r="T419" s="46">
        <f>IFERROR(VLOOKUP(A419,'[1]Re-order'!$A:$Q,17,0),"")</f>
        <v>95.869565217391298</v>
      </c>
      <c r="U419" s="46">
        <f>IFERROR(VLOOKUP(A419,'[1]MC Masterlist 2026-09-12'!$B:$M, 10, 0),0)</f>
        <v>15</v>
      </c>
      <c r="V419" s="46">
        <f>IFERROR(VLOOKUP(A419,'[1]MC Masterlist 2026-09-12'!$B:$M, 11, 0),0)</f>
        <v>15</v>
      </c>
      <c r="W419" s="46">
        <f t="shared" si="97"/>
        <v>30</v>
      </c>
      <c r="X419" s="46">
        <f t="shared" si="98"/>
        <v>6.666666666666667</v>
      </c>
      <c r="Y419" s="46">
        <f>IFERROR(IF(OR(C419="AREA I",C419="AREA V"),7,VLOOKUP(A419,'[1]MC Masterlist 2026-09-12'!$B:$M, 12, 0)),0)</f>
        <v>7</v>
      </c>
      <c r="Z419" s="46">
        <f t="shared" si="99"/>
        <v>0.33333333333333331</v>
      </c>
      <c r="AA419" s="46">
        <f t="shared" si="100"/>
        <v>0.66666666666666663</v>
      </c>
      <c r="AB419" s="46">
        <f t="shared" si="101"/>
        <v>0.14814814814814814</v>
      </c>
      <c r="AC419" s="46">
        <f t="shared" si="102"/>
        <v>0.15555555555555553</v>
      </c>
      <c r="AD419" s="44" t="str">
        <f t="shared" si="103"/>
        <v>Over</v>
      </c>
      <c r="AE419" s="44" t="str">
        <f>IFERROR(VLOOKUP(A419,'[1]Re-order'!$A:$AA,27,0),"")</f>
        <v>Over</v>
      </c>
      <c r="AF419" s="46">
        <f t="shared" si="104"/>
        <v>-0.84444444444444444</v>
      </c>
      <c r="AG419" s="46">
        <f>SUMIFS('[1]Raw Inventory'!D:D,'[1]Raw Inventory'!C:C,"GREATWALL",'[1]Raw Inventory'!B:B,A419)</f>
        <v>79</v>
      </c>
      <c r="AH419" s="46">
        <f>SUMIFS('[1]Raw Inventory'!D:D,'[1]Raw Inventory'!C:C,"DUARTE",'[1]Raw Inventory'!B:B,A419)</f>
        <v>0</v>
      </c>
      <c r="AI419" s="46"/>
      <c r="AJ419" s="46"/>
      <c r="AK419" s="43"/>
      <c r="AL419" s="43"/>
      <c r="AM419" s="43"/>
      <c r="AN419" s="43"/>
      <c r="AO419" s="43"/>
      <c r="AP419" s="43"/>
      <c r="AQ419" s="43"/>
      <c r="AR419" s="43"/>
      <c r="AS419" s="43"/>
      <c r="AT419" s="43"/>
    </row>
    <row r="420" spans="1:46">
      <c r="A420" s="43" t="s">
        <v>99</v>
      </c>
      <c r="B420" s="43" t="s">
        <v>162</v>
      </c>
      <c r="C420" s="43" t="s">
        <v>159</v>
      </c>
      <c r="D420" s="44" t="s">
        <v>266</v>
      </c>
      <c r="E420" s="44">
        <v>16</v>
      </c>
      <c r="F420" s="44" t="s">
        <v>2</v>
      </c>
      <c r="G420" s="43" t="str">
        <f>IFERROR(VLOOKUP(A420,'[1]MC Masterlist 2026-09-12'!$B:$M, 3, 0),"")</f>
        <v>YAMAHA</v>
      </c>
      <c r="H420" s="45">
        <f>IFERROR(VLOOKUP(A420,'[1]MC Masterlist 2026-09-12'!$B:$M, 6, 0),"")</f>
        <v>86397</v>
      </c>
      <c r="I420" s="46">
        <v>0</v>
      </c>
      <c r="J420" s="46">
        <v>1</v>
      </c>
      <c r="K420" s="46">
        <v>0</v>
      </c>
      <c r="L420" s="46">
        <f t="shared" si="90"/>
        <v>1</v>
      </c>
      <c r="M420" s="46">
        <f t="shared" si="91"/>
        <v>0.33333333333333331</v>
      </c>
      <c r="N420" s="45">
        <f t="shared" si="92"/>
        <v>86397</v>
      </c>
      <c r="O420" s="45">
        <f t="shared" si="93"/>
        <v>28799</v>
      </c>
      <c r="P420" s="46">
        <f t="shared" si="94"/>
        <v>1.111111111111111E-2</v>
      </c>
      <c r="Q420" s="46">
        <v>2</v>
      </c>
      <c r="R420" s="45">
        <f t="shared" si="95"/>
        <v>172794</v>
      </c>
      <c r="S420" s="46">
        <f t="shared" si="96"/>
        <v>180</v>
      </c>
      <c r="T420" s="46">
        <f>IFERROR(VLOOKUP(A420,'[1]Re-order'!$A:$Q,17,0),"")</f>
        <v>72</v>
      </c>
      <c r="U420" s="46">
        <f>IFERROR(VLOOKUP(A420,'[1]MC Masterlist 2026-09-12'!$B:$M, 10, 0),0)</f>
        <v>15</v>
      </c>
      <c r="V420" s="46">
        <f>IFERROR(VLOOKUP(A420,'[1]MC Masterlist 2026-09-12'!$B:$M, 11, 0),0)</f>
        <v>15</v>
      </c>
      <c r="W420" s="46">
        <f t="shared" si="97"/>
        <v>30</v>
      </c>
      <c r="X420" s="46">
        <f t="shared" si="98"/>
        <v>29.833333333333332</v>
      </c>
      <c r="Y420" s="46">
        <f>IFERROR(IF(OR(C420="AREA I",C420="AREA V"),7,VLOOKUP(A420,'[1]MC Masterlist 2026-09-12'!$B:$M, 12, 0)),0)</f>
        <v>30</v>
      </c>
      <c r="Z420" s="46">
        <f t="shared" si="99"/>
        <v>0.16666666666666666</v>
      </c>
      <c r="AA420" s="46">
        <f t="shared" si="100"/>
        <v>0.33333333333333331</v>
      </c>
      <c r="AB420" s="46">
        <f t="shared" si="101"/>
        <v>0.33148148148148143</v>
      </c>
      <c r="AC420" s="46">
        <f t="shared" si="102"/>
        <v>0.33333333333333331</v>
      </c>
      <c r="AD420" s="44" t="str">
        <f t="shared" si="103"/>
        <v>Over</v>
      </c>
      <c r="AE420" s="44" t="str">
        <f>IFERROR(VLOOKUP(A420,'[1]Re-order'!$A:$AA,27,0),"")</f>
        <v>Re-order</v>
      </c>
      <c r="AF420" s="46">
        <f t="shared" si="104"/>
        <v>-1.6666666666666667</v>
      </c>
      <c r="AG420" s="46">
        <f>SUMIFS('[1]Raw Inventory'!D:D,'[1]Raw Inventory'!C:C,"GREATWALL",'[1]Raw Inventory'!B:B,A420)</f>
        <v>1</v>
      </c>
      <c r="AH420" s="46">
        <f>SUMIFS('[1]Raw Inventory'!D:D,'[1]Raw Inventory'!C:C,"DUARTE",'[1]Raw Inventory'!B:B,A420)</f>
        <v>0</v>
      </c>
      <c r="AI420" s="46"/>
      <c r="AJ420" s="46"/>
      <c r="AK420" s="43"/>
      <c r="AL420" s="43"/>
      <c r="AM420" s="43"/>
      <c r="AN420" s="43"/>
      <c r="AO420" s="43"/>
      <c r="AP420" s="43"/>
      <c r="AQ420" s="43"/>
      <c r="AR420" s="43"/>
      <c r="AS420" s="43"/>
      <c r="AT420" s="43"/>
    </row>
    <row r="421" spans="1:46">
      <c r="A421" s="43" t="s">
        <v>20</v>
      </c>
      <c r="B421" s="43" t="s">
        <v>97</v>
      </c>
      <c r="C421" s="43" t="s">
        <v>90</v>
      </c>
      <c r="D421" s="44" t="s">
        <v>236</v>
      </c>
      <c r="E421" s="44">
        <v>5</v>
      </c>
      <c r="F421" s="44" t="s">
        <v>2</v>
      </c>
      <c r="G421" s="43" t="str">
        <f>IFERROR(VLOOKUP(A421,'[1]MC Masterlist 2026-09-12'!$B:$M, 3, 0),"")</f>
        <v>HONDA</v>
      </c>
      <c r="H421" s="45">
        <f>IFERROR(VLOOKUP(A421,'[1]MC Masterlist 2026-09-12'!$B:$M, 6, 0),"")</f>
        <v>69950</v>
      </c>
      <c r="I421" s="46">
        <v>1</v>
      </c>
      <c r="J421" s="46">
        <v>2</v>
      </c>
      <c r="K421" s="46">
        <v>1</v>
      </c>
      <c r="L421" s="46">
        <f t="shared" si="90"/>
        <v>4</v>
      </c>
      <c r="M421" s="46">
        <f t="shared" si="91"/>
        <v>1.3333333333333333</v>
      </c>
      <c r="N421" s="45">
        <f t="shared" si="92"/>
        <v>279800</v>
      </c>
      <c r="O421" s="45">
        <f t="shared" si="93"/>
        <v>93266.666666666657</v>
      </c>
      <c r="P421" s="46">
        <f t="shared" si="94"/>
        <v>4.4444444444444439E-2</v>
      </c>
      <c r="Q421" s="46">
        <v>7</v>
      </c>
      <c r="R421" s="45">
        <f t="shared" si="95"/>
        <v>489650</v>
      </c>
      <c r="S421" s="46">
        <f t="shared" si="96"/>
        <v>157.50000000000003</v>
      </c>
      <c r="T421" s="46">
        <f>IFERROR(VLOOKUP(A421,'[1]Re-order'!$A:$Q,17,0),"")</f>
        <v>75.775862068965523</v>
      </c>
      <c r="U421" s="46">
        <f>IFERROR(VLOOKUP(A421,'[1]MC Masterlist 2026-09-12'!$B:$M, 10, 0),0)</f>
        <v>15</v>
      </c>
      <c r="V421" s="46">
        <f>IFERROR(VLOOKUP(A421,'[1]MC Masterlist 2026-09-12'!$B:$M, 11, 0),0)</f>
        <v>15</v>
      </c>
      <c r="W421" s="46">
        <f t="shared" si="97"/>
        <v>30</v>
      </c>
      <c r="X421" s="46">
        <f t="shared" si="98"/>
        <v>29.333333333333332</v>
      </c>
      <c r="Y421" s="46">
        <f>IFERROR(IF(OR(C421="AREA I",C421="AREA V"),7,VLOOKUP(A421,'[1]MC Masterlist 2026-09-12'!$B:$M, 12, 0)),0)</f>
        <v>30</v>
      </c>
      <c r="Z421" s="46">
        <f t="shared" si="99"/>
        <v>0.66666666666666663</v>
      </c>
      <c r="AA421" s="46">
        <f t="shared" si="100"/>
        <v>1.3333333333333333</v>
      </c>
      <c r="AB421" s="46">
        <f t="shared" si="101"/>
        <v>1.3037037037037036</v>
      </c>
      <c r="AC421" s="46">
        <f t="shared" si="102"/>
        <v>1.3333333333333333</v>
      </c>
      <c r="AD421" s="44" t="str">
        <f t="shared" si="103"/>
        <v>Over</v>
      </c>
      <c r="AE421" s="44" t="str">
        <f>IFERROR(VLOOKUP(A421,'[1]Re-order'!$A:$AA,27,0),"")</f>
        <v/>
      </c>
      <c r="AF421" s="46">
        <f t="shared" si="104"/>
        <v>-5.666666666666667</v>
      </c>
      <c r="AG421" s="46">
        <f>SUMIFS('[1]Raw Inventory'!D:D,'[1]Raw Inventory'!C:C,"GREATWALL",'[1]Raw Inventory'!B:B,A421)</f>
        <v>110</v>
      </c>
      <c r="AH421" s="46">
        <f>SUMIFS('[1]Raw Inventory'!D:D,'[1]Raw Inventory'!C:C,"DUARTE",'[1]Raw Inventory'!B:B,A421)</f>
        <v>0</v>
      </c>
      <c r="AI421" s="46"/>
      <c r="AJ421" s="46"/>
      <c r="AK421" s="43"/>
      <c r="AL421" s="43"/>
      <c r="AM421" s="43"/>
      <c r="AN421" s="43"/>
      <c r="AO421" s="43"/>
      <c r="AP421" s="43"/>
      <c r="AQ421" s="43"/>
      <c r="AR421" s="43"/>
      <c r="AS421" s="43"/>
      <c r="AT421" s="43"/>
    </row>
    <row r="422" spans="1:46">
      <c r="A422" s="43" t="s">
        <v>17</v>
      </c>
      <c r="B422" s="43" t="s">
        <v>155</v>
      </c>
      <c r="C422" s="43" t="s">
        <v>152</v>
      </c>
      <c r="D422" s="44" t="s">
        <v>254</v>
      </c>
      <c r="E422" s="44">
        <v>9</v>
      </c>
      <c r="F422" s="44" t="s">
        <v>2</v>
      </c>
      <c r="G422" s="43" t="str">
        <f>IFERROR(VLOOKUP(A422,'[1]MC Masterlist 2026-09-12'!$B:$M, 3, 0),"")</f>
        <v>HONDA</v>
      </c>
      <c r="H422" s="45">
        <f>IFERROR(VLOOKUP(A422,'[1]MC Masterlist 2026-09-12'!$B:$M, 6, 0),"")</f>
        <v>140790</v>
      </c>
      <c r="I422" s="46">
        <v>1</v>
      </c>
      <c r="J422" s="46">
        <v>1</v>
      </c>
      <c r="K422" s="46">
        <v>1</v>
      </c>
      <c r="L422" s="46">
        <f t="shared" si="90"/>
        <v>3</v>
      </c>
      <c r="M422" s="46">
        <f t="shared" si="91"/>
        <v>1</v>
      </c>
      <c r="N422" s="45">
        <f t="shared" si="92"/>
        <v>422370</v>
      </c>
      <c r="O422" s="45">
        <f t="shared" si="93"/>
        <v>140790</v>
      </c>
      <c r="P422" s="46">
        <f t="shared" si="94"/>
        <v>3.3333333333333333E-2</v>
      </c>
      <c r="Q422" s="46">
        <v>2</v>
      </c>
      <c r="R422" s="45">
        <f t="shared" si="95"/>
        <v>281580</v>
      </c>
      <c r="S422" s="46">
        <f t="shared" si="96"/>
        <v>60</v>
      </c>
      <c r="T422" s="46">
        <f>IFERROR(VLOOKUP(A422,'[1]Re-order'!$A:$Q,17,0),"")</f>
        <v>43.663366336633665</v>
      </c>
      <c r="U422" s="46">
        <f>IFERROR(VLOOKUP(A422,'[1]MC Masterlist 2026-09-12'!$B:$M, 10, 0),0)</f>
        <v>15</v>
      </c>
      <c r="V422" s="46">
        <f>IFERROR(VLOOKUP(A422,'[1]MC Masterlist 2026-09-12'!$B:$M, 11, 0),0)</f>
        <v>15</v>
      </c>
      <c r="W422" s="46">
        <f t="shared" si="97"/>
        <v>30</v>
      </c>
      <c r="X422" s="46">
        <f t="shared" si="98"/>
        <v>29.5</v>
      </c>
      <c r="Y422" s="46">
        <f>IFERROR(IF(OR(C422="AREA I",C422="AREA V"),7,VLOOKUP(A422,'[1]MC Masterlist 2026-09-12'!$B:$M, 12, 0)),0)</f>
        <v>30</v>
      </c>
      <c r="Z422" s="46">
        <f t="shared" si="99"/>
        <v>0.5</v>
      </c>
      <c r="AA422" s="46">
        <f t="shared" si="100"/>
        <v>1</v>
      </c>
      <c r="AB422" s="46">
        <f t="shared" si="101"/>
        <v>0.98333333333333328</v>
      </c>
      <c r="AC422" s="46">
        <f t="shared" si="102"/>
        <v>1</v>
      </c>
      <c r="AD422" s="44" t="str">
        <f t="shared" si="103"/>
        <v>Over</v>
      </c>
      <c r="AE422" s="44" t="str">
        <f>IFERROR(VLOOKUP(A422,'[1]Re-order'!$A:$AA,27,0),"")</f>
        <v>Re-order</v>
      </c>
      <c r="AF422" s="46">
        <f t="shared" si="104"/>
        <v>-1</v>
      </c>
      <c r="AG422" s="46">
        <f>SUMIFS('[1]Raw Inventory'!D:D,'[1]Raw Inventory'!C:C,"GREATWALL",'[1]Raw Inventory'!B:B,A422)</f>
        <v>12</v>
      </c>
      <c r="AH422" s="46">
        <f>SUMIFS('[1]Raw Inventory'!D:D,'[1]Raw Inventory'!C:C,"DUARTE",'[1]Raw Inventory'!B:B,A422)</f>
        <v>0</v>
      </c>
      <c r="AI422" s="46"/>
      <c r="AJ422" s="46"/>
      <c r="AK422" s="43"/>
      <c r="AL422" s="43"/>
      <c r="AM422" s="43"/>
      <c r="AN422" s="43"/>
      <c r="AO422" s="43"/>
      <c r="AP422" s="43"/>
      <c r="AQ422" s="43"/>
      <c r="AR422" s="43"/>
      <c r="AS422" s="43"/>
      <c r="AT422" s="43"/>
    </row>
    <row r="423" spans="1:46">
      <c r="A423" s="43" t="s">
        <v>108</v>
      </c>
      <c r="B423" s="43" t="s">
        <v>112</v>
      </c>
      <c r="C423" s="43" t="s">
        <v>109</v>
      </c>
      <c r="D423" s="44" t="s">
        <v>239</v>
      </c>
      <c r="E423" s="44">
        <v>23</v>
      </c>
      <c r="F423" s="44" t="s">
        <v>3</v>
      </c>
      <c r="G423" s="43" t="str">
        <f>IFERROR(VLOOKUP(A423,'[1]MC Masterlist 2026-09-12'!$B:$M, 3, 0),"")</f>
        <v>SUZUKI</v>
      </c>
      <c r="H423" s="45">
        <f>IFERROR(VLOOKUP(A423,'[1]MC Masterlist 2026-09-12'!$B:$M, 6, 0),"")</f>
        <v>66412</v>
      </c>
      <c r="I423" s="46">
        <v>0</v>
      </c>
      <c r="J423" s="46">
        <v>0</v>
      </c>
      <c r="K423" s="46">
        <v>0</v>
      </c>
      <c r="L423" s="46">
        <f t="shared" si="90"/>
        <v>0</v>
      </c>
      <c r="M423" s="46">
        <f t="shared" si="91"/>
        <v>0</v>
      </c>
      <c r="N423" s="45">
        <f t="shared" si="92"/>
        <v>0</v>
      </c>
      <c r="O423" s="45">
        <f t="shared" si="93"/>
        <v>0</v>
      </c>
      <c r="P423" s="46">
        <f t="shared" si="94"/>
        <v>0</v>
      </c>
      <c r="Q423" s="46">
        <v>1</v>
      </c>
      <c r="R423" s="45">
        <f t="shared" si="95"/>
        <v>66412</v>
      </c>
      <c r="S423" s="46">
        <f t="shared" si="96"/>
        <v>0</v>
      </c>
      <c r="T423" s="46">
        <f>IFERROR(VLOOKUP(A423,'[1]Re-order'!$A:$Q,17,0),"")</f>
        <v>540</v>
      </c>
      <c r="U423" s="46">
        <f>IFERROR(VLOOKUP(A423,'[1]MC Masterlist 2026-09-12'!$B:$M, 10, 0),0)</f>
        <v>15</v>
      </c>
      <c r="V423" s="46">
        <f>IFERROR(VLOOKUP(A423,'[1]MC Masterlist 2026-09-12'!$B:$M, 11, 0),0)</f>
        <v>15</v>
      </c>
      <c r="W423" s="46">
        <f t="shared" si="97"/>
        <v>30</v>
      </c>
      <c r="X423" s="46">
        <f t="shared" si="98"/>
        <v>30</v>
      </c>
      <c r="Y423" s="46">
        <f>IFERROR(IF(OR(C423="AREA I",C423="AREA V"),7,VLOOKUP(A423,'[1]MC Masterlist 2026-09-12'!$B:$M, 12, 0)),0)</f>
        <v>30</v>
      </c>
      <c r="Z423" s="46">
        <f t="shared" si="99"/>
        <v>0</v>
      </c>
      <c r="AA423" s="46">
        <f t="shared" si="100"/>
        <v>0</v>
      </c>
      <c r="AB423" s="46">
        <f t="shared" si="101"/>
        <v>0</v>
      </c>
      <c r="AC423" s="46">
        <f t="shared" si="102"/>
        <v>0</v>
      </c>
      <c r="AD423" s="44" t="str">
        <f t="shared" si="103"/>
        <v>Over</v>
      </c>
      <c r="AE423" s="44" t="str">
        <f>IFERROR(VLOOKUP(A423,'[1]Re-order'!$A:$AA,27,0),"")</f>
        <v>Over</v>
      </c>
      <c r="AF423" s="46">
        <f t="shared" si="104"/>
        <v>-1</v>
      </c>
      <c r="AG423" s="46">
        <f>SUMIFS('[1]Raw Inventory'!D:D,'[1]Raw Inventory'!C:C,"GREATWALL",'[1]Raw Inventory'!B:B,A423)</f>
        <v>0</v>
      </c>
      <c r="AH423" s="46">
        <f>SUMIFS('[1]Raw Inventory'!D:D,'[1]Raw Inventory'!C:C,"DUARTE",'[1]Raw Inventory'!B:B,A423)</f>
        <v>0</v>
      </c>
      <c r="AI423" s="46"/>
      <c r="AJ423" s="46"/>
      <c r="AK423" s="43"/>
      <c r="AL423" s="43"/>
      <c r="AM423" s="43"/>
      <c r="AN423" s="43"/>
      <c r="AO423" s="43"/>
      <c r="AP423" s="43"/>
      <c r="AQ423" s="43"/>
      <c r="AR423" s="43"/>
      <c r="AS423" s="43"/>
      <c r="AT423" s="43"/>
    </row>
    <row r="424" spans="1:46">
      <c r="A424" s="43" t="s">
        <v>50</v>
      </c>
      <c r="B424" s="43" t="s">
        <v>27</v>
      </c>
      <c r="C424" s="43" t="s">
        <v>1</v>
      </c>
      <c r="D424" s="44" t="s">
        <v>272</v>
      </c>
      <c r="E424" s="44">
        <v>30</v>
      </c>
      <c r="F424" s="44" t="s">
        <v>3</v>
      </c>
      <c r="G424" s="43" t="str">
        <f>IFERROR(VLOOKUP(A424,'[1]MC Masterlist 2026-09-12'!$B:$M, 3, 0),"")</f>
        <v>YAMAHA</v>
      </c>
      <c r="H424" s="45">
        <f>IFERROR(VLOOKUP(A424,'[1]MC Masterlist 2026-09-12'!$B:$M, 6, 0),"")</f>
        <v>78957</v>
      </c>
      <c r="I424" s="46">
        <v>0</v>
      </c>
      <c r="J424" s="46">
        <v>0</v>
      </c>
      <c r="K424" s="46">
        <v>0</v>
      </c>
      <c r="L424" s="46">
        <f t="shared" si="90"/>
        <v>0</v>
      </c>
      <c r="M424" s="46">
        <f t="shared" si="91"/>
        <v>0</v>
      </c>
      <c r="N424" s="45">
        <f t="shared" si="92"/>
        <v>0</v>
      </c>
      <c r="O424" s="45">
        <f t="shared" si="93"/>
        <v>0</v>
      </c>
      <c r="P424" s="46">
        <f t="shared" si="94"/>
        <v>0</v>
      </c>
      <c r="Q424" s="46">
        <v>1</v>
      </c>
      <c r="R424" s="45">
        <f t="shared" si="95"/>
        <v>78957</v>
      </c>
      <c r="S424" s="46">
        <f t="shared" si="96"/>
        <v>0</v>
      </c>
      <c r="T424" s="46">
        <f>IFERROR(VLOOKUP(A424,'[1]Re-order'!$A:$Q,17,0),"")</f>
        <v>118.125</v>
      </c>
      <c r="U424" s="46">
        <f>IFERROR(VLOOKUP(A424,'[1]MC Masterlist 2026-09-12'!$B:$M, 10, 0),0)</f>
        <v>15</v>
      </c>
      <c r="V424" s="46">
        <f>IFERROR(VLOOKUP(A424,'[1]MC Masterlist 2026-09-12'!$B:$M, 11, 0),0)</f>
        <v>15</v>
      </c>
      <c r="W424" s="46">
        <f t="shared" si="97"/>
        <v>30</v>
      </c>
      <c r="X424" s="46">
        <f t="shared" si="98"/>
        <v>7</v>
      </c>
      <c r="Y424" s="46">
        <f>IFERROR(IF(OR(C424="AREA I",C424="AREA V"),7,VLOOKUP(A424,'[1]MC Masterlist 2026-09-12'!$B:$M, 12, 0)),0)</f>
        <v>7</v>
      </c>
      <c r="Z424" s="46">
        <f t="shared" si="99"/>
        <v>0</v>
      </c>
      <c r="AA424" s="46">
        <f t="shared" si="100"/>
        <v>0</v>
      </c>
      <c r="AB424" s="46">
        <f t="shared" si="101"/>
        <v>0</v>
      </c>
      <c r="AC424" s="46">
        <f t="shared" si="102"/>
        <v>0</v>
      </c>
      <c r="AD424" s="44" t="str">
        <f t="shared" si="103"/>
        <v>Over</v>
      </c>
      <c r="AE424" s="44" t="str">
        <f>IFERROR(VLOOKUP(A424,'[1]Re-order'!$A:$AA,27,0),"")</f>
        <v>Over</v>
      </c>
      <c r="AF424" s="46">
        <f t="shared" si="104"/>
        <v>-1</v>
      </c>
      <c r="AG424" s="46">
        <f>SUMIFS('[1]Raw Inventory'!D:D,'[1]Raw Inventory'!C:C,"GREATWALL",'[1]Raw Inventory'!B:B,A424)</f>
        <v>23</v>
      </c>
      <c r="AH424" s="46">
        <f>SUMIFS('[1]Raw Inventory'!D:D,'[1]Raw Inventory'!C:C,"DUARTE",'[1]Raw Inventory'!B:B,A424)</f>
        <v>0</v>
      </c>
      <c r="AI424" s="46"/>
      <c r="AJ424" s="46"/>
      <c r="AK424" s="43"/>
      <c r="AL424" s="43"/>
      <c r="AM424" s="43"/>
      <c r="AN424" s="43"/>
      <c r="AO424" s="43"/>
      <c r="AP424" s="43"/>
      <c r="AQ424" s="43"/>
      <c r="AR424" s="43"/>
      <c r="AS424" s="43"/>
      <c r="AT424" s="43"/>
    </row>
    <row r="425" spans="1:46">
      <c r="A425" s="43" t="s">
        <v>18</v>
      </c>
      <c r="B425" s="43" t="s">
        <v>19</v>
      </c>
      <c r="C425" s="43" t="s">
        <v>1</v>
      </c>
      <c r="D425" s="44" t="s">
        <v>254</v>
      </c>
      <c r="E425" s="44">
        <v>6</v>
      </c>
      <c r="F425" s="44" t="s">
        <v>2</v>
      </c>
      <c r="G425" s="43" t="str">
        <f>IFERROR(VLOOKUP(A425,'[1]MC Masterlist 2026-09-12'!$B:$M, 3, 0),"")</f>
        <v>HONDA</v>
      </c>
      <c r="H425" s="45">
        <f>IFERROR(VLOOKUP(A425,'[1]MC Masterlist 2026-09-12'!$B:$M, 6, 0),"")</f>
        <v>94330</v>
      </c>
      <c r="I425" s="46">
        <v>2</v>
      </c>
      <c r="J425" s="46">
        <v>6</v>
      </c>
      <c r="K425" s="46">
        <v>7</v>
      </c>
      <c r="L425" s="46">
        <f t="shared" si="90"/>
        <v>15</v>
      </c>
      <c r="M425" s="46">
        <f t="shared" si="91"/>
        <v>5</v>
      </c>
      <c r="N425" s="45">
        <f t="shared" si="92"/>
        <v>1414950</v>
      </c>
      <c r="O425" s="45">
        <f t="shared" si="93"/>
        <v>471650</v>
      </c>
      <c r="P425" s="46">
        <f t="shared" si="94"/>
        <v>0.16666666666666666</v>
      </c>
      <c r="Q425" s="46">
        <v>6</v>
      </c>
      <c r="R425" s="45">
        <f t="shared" si="95"/>
        <v>565980</v>
      </c>
      <c r="S425" s="46">
        <f t="shared" si="96"/>
        <v>36</v>
      </c>
      <c r="T425" s="46">
        <f>IFERROR(VLOOKUP(A425,'[1]Re-order'!$A:$Q,17,0),"")</f>
        <v>113.9644970414201</v>
      </c>
      <c r="U425" s="46">
        <f>IFERROR(VLOOKUP(A425,'[1]MC Masterlist 2026-09-12'!$B:$M, 10, 0),0)</f>
        <v>15</v>
      </c>
      <c r="V425" s="46">
        <f>IFERROR(VLOOKUP(A425,'[1]MC Masterlist 2026-09-12'!$B:$M, 11, 0),0)</f>
        <v>15</v>
      </c>
      <c r="W425" s="46">
        <f t="shared" si="97"/>
        <v>30</v>
      </c>
      <c r="X425" s="46">
        <f t="shared" si="98"/>
        <v>4.5</v>
      </c>
      <c r="Y425" s="46">
        <f>IFERROR(IF(OR(C425="AREA I",C425="AREA V"),7,VLOOKUP(A425,'[1]MC Masterlist 2026-09-12'!$B:$M, 12, 0)),0)</f>
        <v>7</v>
      </c>
      <c r="Z425" s="46">
        <f t="shared" si="99"/>
        <v>2.5</v>
      </c>
      <c r="AA425" s="46">
        <f t="shared" si="100"/>
        <v>5</v>
      </c>
      <c r="AB425" s="46">
        <f t="shared" si="101"/>
        <v>0.75</v>
      </c>
      <c r="AC425" s="46">
        <f t="shared" si="102"/>
        <v>1.1666666666666665</v>
      </c>
      <c r="AD425" s="44" t="str">
        <f t="shared" si="103"/>
        <v>Over</v>
      </c>
      <c r="AE425" s="44" t="str">
        <f>IFERROR(VLOOKUP(A425,'[1]Re-order'!$A:$AA,27,0),"")</f>
        <v>Over</v>
      </c>
      <c r="AF425" s="46">
        <f t="shared" si="104"/>
        <v>-4.8333333333333339</v>
      </c>
      <c r="AG425" s="46">
        <f>SUMIFS('[1]Raw Inventory'!D:D,'[1]Raw Inventory'!C:C,"GREATWALL",'[1]Raw Inventory'!B:B,A425)</f>
        <v>88</v>
      </c>
      <c r="AH425" s="46">
        <f>SUMIFS('[1]Raw Inventory'!D:D,'[1]Raw Inventory'!C:C,"DUARTE",'[1]Raw Inventory'!B:B,A425)</f>
        <v>0</v>
      </c>
      <c r="AI425" s="46"/>
      <c r="AJ425" s="46"/>
      <c r="AK425" s="43"/>
      <c r="AL425" s="43"/>
      <c r="AM425" s="43"/>
      <c r="AN425" s="43"/>
      <c r="AO425" s="43"/>
      <c r="AP425" s="43"/>
      <c r="AQ425" s="43"/>
      <c r="AR425" s="43"/>
      <c r="AS425" s="43"/>
      <c r="AT425" s="43"/>
    </row>
    <row r="426" spans="1:46">
      <c r="A426" s="43" t="s">
        <v>51</v>
      </c>
      <c r="B426" s="43" t="s">
        <v>122</v>
      </c>
      <c r="C426" s="43" t="s">
        <v>118</v>
      </c>
      <c r="D426" s="44" t="s">
        <v>223</v>
      </c>
      <c r="E426" s="44">
        <v>22</v>
      </c>
      <c r="F426" s="44" t="s">
        <v>3</v>
      </c>
      <c r="G426" s="43" t="str">
        <f>IFERROR(VLOOKUP(A426,'[1]MC Masterlist 2026-09-12'!$B:$M, 3, 0),"")</f>
        <v>SUZUKI</v>
      </c>
      <c r="H426" s="45">
        <f>IFERROR(VLOOKUP(A426,'[1]MC Masterlist 2026-09-12'!$B:$M, 6, 0),"")</f>
        <v>138580</v>
      </c>
      <c r="I426" s="46">
        <v>1</v>
      </c>
      <c r="J426" s="46">
        <v>0</v>
      </c>
      <c r="K426" s="46">
        <v>0</v>
      </c>
      <c r="L426" s="46">
        <f t="shared" si="90"/>
        <v>1</v>
      </c>
      <c r="M426" s="46">
        <f t="shared" si="91"/>
        <v>0.33333333333333331</v>
      </c>
      <c r="N426" s="45">
        <f t="shared" si="92"/>
        <v>138580</v>
      </c>
      <c r="O426" s="45">
        <f t="shared" si="93"/>
        <v>46193.333333333328</v>
      </c>
      <c r="P426" s="46">
        <f t="shared" si="94"/>
        <v>1.111111111111111E-2</v>
      </c>
      <c r="Q426" s="46"/>
      <c r="R426" s="45">
        <f t="shared" si="95"/>
        <v>0</v>
      </c>
      <c r="S426" s="46">
        <f t="shared" si="96"/>
        <v>0</v>
      </c>
      <c r="T426" s="46">
        <f>IFERROR(VLOOKUP(A426,'[1]Re-order'!$A:$Q,17,0),"")</f>
        <v>18</v>
      </c>
      <c r="U426" s="46">
        <f>IFERROR(VLOOKUP(A426,'[1]MC Masterlist 2026-09-12'!$B:$M, 10, 0),0)</f>
        <v>15</v>
      </c>
      <c r="V426" s="46">
        <f>IFERROR(VLOOKUP(A426,'[1]MC Masterlist 2026-09-12'!$B:$M, 11, 0),0)</f>
        <v>15</v>
      </c>
      <c r="W426" s="46">
        <f t="shared" si="97"/>
        <v>30</v>
      </c>
      <c r="X426" s="46">
        <f t="shared" si="98"/>
        <v>29.833333333333332</v>
      </c>
      <c r="Y426" s="46">
        <f>IFERROR(IF(OR(C426="AREA I",C426="AREA V"),7,VLOOKUP(A426,'[1]MC Masterlist 2026-09-12'!$B:$M, 12, 0)),0)</f>
        <v>30</v>
      </c>
      <c r="Z426" s="46">
        <f t="shared" si="99"/>
        <v>0.16666666666666666</v>
      </c>
      <c r="AA426" s="46">
        <f t="shared" si="100"/>
        <v>0.33333333333333331</v>
      </c>
      <c r="AB426" s="46">
        <f t="shared" si="101"/>
        <v>0.33148148148148143</v>
      </c>
      <c r="AC426" s="46">
        <f t="shared" si="102"/>
        <v>0.33333333333333331</v>
      </c>
      <c r="AD426" s="44" t="str">
        <f t="shared" si="103"/>
        <v>Stockout</v>
      </c>
      <c r="AE426" s="44" t="str">
        <f>IFERROR(VLOOKUP(A426,'[1]Re-order'!$A:$AA,27,0),"")</f>
        <v>Stockout</v>
      </c>
      <c r="AF426" s="46">
        <f t="shared" si="104"/>
        <v>0.33333333333333331</v>
      </c>
      <c r="AG426" s="46">
        <f>SUMIFS('[1]Raw Inventory'!D:D,'[1]Raw Inventory'!C:C,"GREATWALL",'[1]Raw Inventory'!B:B,A426)</f>
        <v>0</v>
      </c>
      <c r="AH426" s="46">
        <f>SUMIFS('[1]Raw Inventory'!D:D,'[1]Raw Inventory'!C:C,"DUARTE",'[1]Raw Inventory'!B:B,A426)</f>
        <v>0</v>
      </c>
      <c r="AI426" s="46"/>
      <c r="AJ426" s="46"/>
      <c r="AK426" s="43"/>
      <c r="AL426" s="43"/>
      <c r="AM426" s="43"/>
      <c r="AN426" s="43"/>
      <c r="AO426" s="43"/>
      <c r="AP426" s="43"/>
      <c r="AQ426" s="43"/>
      <c r="AR426" s="43"/>
      <c r="AS426" s="43"/>
      <c r="AT426" s="43"/>
    </row>
    <row r="427" spans="1:46">
      <c r="A427" s="43" t="s">
        <v>23</v>
      </c>
      <c r="B427" s="43" t="s">
        <v>141</v>
      </c>
      <c r="C427" s="43" t="s">
        <v>137</v>
      </c>
      <c r="D427" s="44" t="s">
        <v>227</v>
      </c>
      <c r="E427" s="44">
        <v>1</v>
      </c>
      <c r="F427" s="44" t="s">
        <v>0</v>
      </c>
      <c r="G427" s="43" t="str">
        <f>IFERROR(VLOOKUP(A427,'[1]MC Masterlist 2026-09-12'!$B:$M, 3, 0),"")</f>
        <v>KAWASAKI</v>
      </c>
      <c r="H427" s="45">
        <f>IFERROR(VLOOKUP(A427,'[1]MC Masterlist 2026-09-12'!$B:$M, 6, 0),"")</f>
        <v>60656</v>
      </c>
      <c r="I427" s="46">
        <v>30</v>
      </c>
      <c r="J427" s="46">
        <v>24</v>
      </c>
      <c r="K427" s="46">
        <v>34</v>
      </c>
      <c r="L427" s="46">
        <f t="shared" si="90"/>
        <v>88</v>
      </c>
      <c r="M427" s="46">
        <f t="shared" si="91"/>
        <v>29.333333333333332</v>
      </c>
      <c r="N427" s="45">
        <f t="shared" si="92"/>
        <v>5337728</v>
      </c>
      <c r="O427" s="45">
        <f t="shared" si="93"/>
        <v>1779242.6666666665</v>
      </c>
      <c r="P427" s="46">
        <f t="shared" si="94"/>
        <v>0.97777777777777775</v>
      </c>
      <c r="Q427" s="46">
        <v>8</v>
      </c>
      <c r="R427" s="45">
        <f t="shared" si="95"/>
        <v>485248</v>
      </c>
      <c r="S427" s="46">
        <f t="shared" si="96"/>
        <v>8.1818181818181834</v>
      </c>
      <c r="T427" s="46">
        <f>IFERROR(VLOOKUP(A427,'[1]Re-order'!$A:$Q,17,0),"")</f>
        <v>53.973412112259979</v>
      </c>
      <c r="U427" s="46">
        <f>IFERROR(VLOOKUP(A427,'[1]MC Masterlist 2026-09-12'!$B:$M, 10, 0),0)</f>
        <v>15</v>
      </c>
      <c r="V427" s="46">
        <f>IFERROR(VLOOKUP(A427,'[1]MC Masterlist 2026-09-12'!$B:$M, 11, 0),0)</f>
        <v>15</v>
      </c>
      <c r="W427" s="46">
        <f t="shared" si="97"/>
        <v>30</v>
      </c>
      <c r="X427" s="46">
        <f t="shared" si="98"/>
        <v>-7.6666666666666661</v>
      </c>
      <c r="Y427" s="46">
        <f>IFERROR(IF(OR(C427="AREA I",C427="AREA V"),7,VLOOKUP(A427,'[1]MC Masterlist 2026-09-12'!$B:$M, 12, 0)),0)</f>
        <v>7</v>
      </c>
      <c r="Z427" s="46">
        <f t="shared" si="99"/>
        <v>14.666666666666666</v>
      </c>
      <c r="AA427" s="46">
        <f t="shared" si="100"/>
        <v>29.333333333333332</v>
      </c>
      <c r="AB427" s="46">
        <f t="shared" si="101"/>
        <v>-7.4962962962962951</v>
      </c>
      <c r="AC427" s="46">
        <f t="shared" si="102"/>
        <v>6.8444444444444441</v>
      </c>
      <c r="AD427" s="44" t="str">
        <f t="shared" si="103"/>
        <v>Over</v>
      </c>
      <c r="AE427" s="44" t="str">
        <f>IFERROR(VLOOKUP(A427,'[1]Re-order'!$A:$AA,27,0),"")</f>
        <v>Re-order</v>
      </c>
      <c r="AF427" s="46">
        <f t="shared" si="104"/>
        <v>-1.1555555555555559</v>
      </c>
      <c r="AG427" s="46">
        <f>SUMIFS('[1]Raw Inventory'!D:D,'[1]Raw Inventory'!C:C,"GREATWALL",'[1]Raw Inventory'!B:B,A427)</f>
        <v>282</v>
      </c>
      <c r="AH427" s="46">
        <f>SUMIFS('[1]Raw Inventory'!D:D,'[1]Raw Inventory'!C:C,"DUARTE",'[1]Raw Inventory'!B:B,A427)</f>
        <v>0</v>
      </c>
      <c r="AI427" s="46"/>
      <c r="AJ427" s="46"/>
      <c r="AK427" s="43"/>
      <c r="AL427" s="43"/>
      <c r="AM427" s="43"/>
      <c r="AN427" s="43"/>
      <c r="AO427" s="43"/>
      <c r="AP427" s="43"/>
      <c r="AQ427" s="43"/>
      <c r="AR427" s="43"/>
      <c r="AS427" s="43"/>
      <c r="AT427" s="43"/>
    </row>
    <row r="428" spans="1:46">
      <c r="A428" s="43" t="s">
        <v>14</v>
      </c>
      <c r="B428" s="43" t="s">
        <v>161</v>
      </c>
      <c r="C428" s="43" t="s">
        <v>159</v>
      </c>
      <c r="D428" s="44" t="s">
        <v>279</v>
      </c>
      <c r="E428" s="44">
        <v>1</v>
      </c>
      <c r="F428" s="44" t="s">
        <v>0</v>
      </c>
      <c r="G428" s="43" t="str">
        <f>IFERROR(VLOOKUP(A428,'[1]MC Masterlist 2026-09-12'!$B:$M, 3, 0),"")</f>
        <v>HONDA</v>
      </c>
      <c r="H428" s="45">
        <f>IFERROR(VLOOKUP(A428,'[1]MC Masterlist 2026-09-12'!$B:$M, 6, 0),"")</f>
        <v>80070</v>
      </c>
      <c r="I428" s="46">
        <v>0</v>
      </c>
      <c r="J428" s="46">
        <v>0</v>
      </c>
      <c r="K428" s="46">
        <v>0</v>
      </c>
      <c r="L428" s="46">
        <f t="shared" si="90"/>
        <v>0</v>
      </c>
      <c r="M428" s="46">
        <f t="shared" si="91"/>
        <v>0</v>
      </c>
      <c r="N428" s="45">
        <f t="shared" si="92"/>
        <v>0</v>
      </c>
      <c r="O428" s="45">
        <f t="shared" si="93"/>
        <v>0</v>
      </c>
      <c r="P428" s="46">
        <f t="shared" si="94"/>
        <v>0</v>
      </c>
      <c r="Q428" s="46">
        <v>9</v>
      </c>
      <c r="R428" s="45">
        <f t="shared" si="95"/>
        <v>720630</v>
      </c>
      <c r="S428" s="46">
        <f t="shared" si="96"/>
        <v>0</v>
      </c>
      <c r="T428" s="46">
        <f>IFERROR(VLOOKUP(A428,'[1]Re-order'!$A:$Q,17,0),"")</f>
        <v>20.105787181082761</v>
      </c>
      <c r="U428" s="46">
        <f>IFERROR(VLOOKUP(A428,'[1]MC Masterlist 2026-09-12'!$B:$M, 10, 0),0)</f>
        <v>15</v>
      </c>
      <c r="V428" s="46">
        <f>IFERROR(VLOOKUP(A428,'[1]MC Masterlist 2026-09-12'!$B:$M, 11, 0),0)</f>
        <v>15</v>
      </c>
      <c r="W428" s="46">
        <f t="shared" si="97"/>
        <v>30</v>
      </c>
      <c r="X428" s="46">
        <f t="shared" si="98"/>
        <v>30</v>
      </c>
      <c r="Y428" s="46">
        <f>IFERROR(IF(OR(C428="AREA I",C428="AREA V"),7,VLOOKUP(A428,'[1]MC Masterlist 2026-09-12'!$B:$M, 12, 0)),0)</f>
        <v>30</v>
      </c>
      <c r="Z428" s="46">
        <f t="shared" si="99"/>
        <v>0</v>
      </c>
      <c r="AA428" s="46">
        <f t="shared" si="100"/>
        <v>0</v>
      </c>
      <c r="AB428" s="46">
        <f t="shared" si="101"/>
        <v>0</v>
      </c>
      <c r="AC428" s="46">
        <f t="shared" si="102"/>
        <v>0</v>
      </c>
      <c r="AD428" s="44" t="str">
        <f t="shared" si="103"/>
        <v>Over</v>
      </c>
      <c r="AE428" s="44" t="str">
        <f>IFERROR(VLOOKUP(A428,'[1]Re-order'!$A:$AA,27,0),"")</f>
        <v>Stockout</v>
      </c>
      <c r="AF428" s="46">
        <f t="shared" si="104"/>
        <v>-9</v>
      </c>
      <c r="AG428" s="46">
        <f>SUMIFS('[1]Raw Inventory'!D:D,'[1]Raw Inventory'!C:C,"GREATWALL",'[1]Raw Inventory'!B:B,A428)</f>
        <v>176</v>
      </c>
      <c r="AH428" s="46">
        <f>SUMIFS('[1]Raw Inventory'!D:D,'[1]Raw Inventory'!C:C,"DUARTE",'[1]Raw Inventory'!B:B,A428)</f>
        <v>0</v>
      </c>
      <c r="AI428" s="46"/>
      <c r="AJ428" s="46"/>
      <c r="AK428" s="43"/>
      <c r="AL428" s="43"/>
      <c r="AM428" s="43"/>
      <c r="AN428" s="43"/>
      <c r="AO428" s="43"/>
      <c r="AP428" s="43"/>
      <c r="AQ428" s="43"/>
      <c r="AR428" s="43"/>
      <c r="AS428" s="43"/>
      <c r="AT428" s="43"/>
    </row>
    <row r="429" spans="1:46">
      <c r="A429" s="43" t="s">
        <v>56</v>
      </c>
      <c r="B429" s="43" t="s">
        <v>91</v>
      </c>
      <c r="C429" s="43" t="s">
        <v>90</v>
      </c>
      <c r="D429" s="44" t="s">
        <v>257</v>
      </c>
      <c r="E429" s="44">
        <v>14</v>
      </c>
      <c r="F429" s="44" t="s">
        <v>3</v>
      </c>
      <c r="G429" s="43" t="str">
        <f>IFERROR(VLOOKUP(A429,'[1]MC Masterlist 2026-09-12'!$B:$M, 3, 0),"")</f>
        <v>HONDA</v>
      </c>
      <c r="H429" s="45">
        <f>IFERROR(VLOOKUP(A429,'[1]MC Masterlist 2026-09-12'!$B:$M, 6, 0),"")</f>
        <v>288118</v>
      </c>
      <c r="I429" s="46">
        <v>0</v>
      </c>
      <c r="J429" s="46">
        <v>0</v>
      </c>
      <c r="K429" s="46">
        <v>0</v>
      </c>
      <c r="L429" s="46">
        <f t="shared" si="90"/>
        <v>0</v>
      </c>
      <c r="M429" s="46">
        <f t="shared" si="91"/>
        <v>0</v>
      </c>
      <c r="N429" s="45">
        <f t="shared" si="92"/>
        <v>0</v>
      </c>
      <c r="O429" s="45">
        <f t="shared" si="93"/>
        <v>0</v>
      </c>
      <c r="P429" s="46">
        <f t="shared" si="94"/>
        <v>0</v>
      </c>
      <c r="Q429" s="46">
        <v>1</v>
      </c>
      <c r="R429" s="45">
        <f t="shared" si="95"/>
        <v>288118</v>
      </c>
      <c r="S429" s="46">
        <f t="shared" si="96"/>
        <v>0</v>
      </c>
      <c r="T429" s="46" t="str">
        <f>IFERROR(VLOOKUP(A429,'[1]Re-order'!$A:$Q,17,0),"")</f>
        <v/>
      </c>
      <c r="U429" s="46">
        <f>IFERROR(VLOOKUP(A429,'[1]MC Masterlist 2026-09-12'!$B:$M, 10, 0),0)</f>
        <v>15</v>
      </c>
      <c r="V429" s="46">
        <f>IFERROR(VLOOKUP(A429,'[1]MC Masterlist 2026-09-12'!$B:$M, 11, 0),0)</f>
        <v>15</v>
      </c>
      <c r="W429" s="46">
        <f t="shared" si="97"/>
        <v>30</v>
      </c>
      <c r="X429" s="46">
        <f t="shared" si="98"/>
        <v>30</v>
      </c>
      <c r="Y429" s="46">
        <f>IFERROR(IF(OR(C429="AREA I",C429="AREA V"),7,VLOOKUP(A429,'[1]MC Masterlist 2026-09-12'!$B:$M, 12, 0)),0)</f>
        <v>30</v>
      </c>
      <c r="Z429" s="46">
        <f t="shared" si="99"/>
        <v>0</v>
      </c>
      <c r="AA429" s="46">
        <f t="shared" si="100"/>
        <v>0</v>
      </c>
      <c r="AB429" s="46">
        <f t="shared" si="101"/>
        <v>0</v>
      </c>
      <c r="AC429" s="46">
        <f t="shared" si="102"/>
        <v>0</v>
      </c>
      <c r="AD429" s="44" t="str">
        <f t="shared" si="103"/>
        <v>Over</v>
      </c>
      <c r="AE429" s="44" t="str">
        <f>IFERROR(VLOOKUP(A429,'[1]Re-order'!$A:$AA,27,0),"")</f>
        <v>Over</v>
      </c>
      <c r="AF429" s="46">
        <f t="shared" si="104"/>
        <v>-1</v>
      </c>
      <c r="AG429" s="46">
        <f>SUMIFS('[1]Raw Inventory'!D:D,'[1]Raw Inventory'!C:C,"GREATWALL",'[1]Raw Inventory'!B:B,A429)</f>
        <v>0</v>
      </c>
      <c r="AH429" s="46">
        <f>SUMIFS('[1]Raw Inventory'!D:D,'[1]Raw Inventory'!C:C,"DUARTE",'[1]Raw Inventory'!B:B,A429)</f>
        <v>0</v>
      </c>
      <c r="AI429" s="46"/>
      <c r="AJ429" s="46"/>
      <c r="AK429" s="43"/>
      <c r="AL429" s="43"/>
      <c r="AM429" s="43"/>
      <c r="AN429" s="43"/>
      <c r="AO429" s="43"/>
      <c r="AP429" s="43"/>
      <c r="AQ429" s="43"/>
      <c r="AR429" s="43"/>
      <c r="AS429" s="43"/>
      <c r="AT429" s="43"/>
    </row>
    <row r="430" spans="1:46">
      <c r="A430" s="43" t="s">
        <v>40</v>
      </c>
      <c r="B430" s="43" t="s">
        <v>129</v>
      </c>
      <c r="C430" s="43" t="s">
        <v>128</v>
      </c>
      <c r="D430" s="44" t="s">
        <v>231</v>
      </c>
      <c r="E430" s="44">
        <v>24</v>
      </c>
      <c r="F430" s="44" t="s">
        <v>3</v>
      </c>
      <c r="G430" s="43" t="str">
        <f>IFERROR(VLOOKUP(A430,'[1]MC Masterlist 2026-09-12'!$B:$M, 3, 0),"")</f>
        <v>HONDA</v>
      </c>
      <c r="H430" s="45">
        <f>IFERROR(VLOOKUP(A430,'[1]MC Masterlist 2026-09-12'!$B:$M, 6, 0),"")</f>
        <v>56426</v>
      </c>
      <c r="I430" s="46">
        <v>0</v>
      </c>
      <c r="J430" s="46">
        <v>0</v>
      </c>
      <c r="K430" s="46">
        <v>0</v>
      </c>
      <c r="L430" s="46">
        <f t="shared" si="90"/>
        <v>0</v>
      </c>
      <c r="M430" s="46">
        <f t="shared" si="91"/>
        <v>0</v>
      </c>
      <c r="N430" s="45">
        <f t="shared" si="92"/>
        <v>0</v>
      </c>
      <c r="O430" s="45">
        <f t="shared" si="93"/>
        <v>0</v>
      </c>
      <c r="P430" s="46">
        <f t="shared" si="94"/>
        <v>0</v>
      </c>
      <c r="Q430" s="46">
        <v>1</v>
      </c>
      <c r="R430" s="45">
        <f t="shared" si="95"/>
        <v>56426</v>
      </c>
      <c r="S430" s="46">
        <f t="shared" si="96"/>
        <v>0</v>
      </c>
      <c r="T430" s="46">
        <f>IFERROR(VLOOKUP(A430,'[1]Re-order'!$A:$Q,17,0),"")</f>
        <v>139.56521739130434</v>
      </c>
      <c r="U430" s="46">
        <f>IFERROR(VLOOKUP(A430,'[1]MC Masterlist 2026-09-12'!$B:$M, 10, 0),0)</f>
        <v>15</v>
      </c>
      <c r="V430" s="46">
        <f>IFERROR(VLOOKUP(A430,'[1]MC Masterlist 2026-09-12'!$B:$M, 11, 0),0)</f>
        <v>15</v>
      </c>
      <c r="W430" s="46">
        <f t="shared" si="97"/>
        <v>30</v>
      </c>
      <c r="X430" s="46">
        <f t="shared" si="98"/>
        <v>30</v>
      </c>
      <c r="Y430" s="46">
        <f>IFERROR(IF(OR(C430="AREA I",C430="AREA V"),7,VLOOKUP(A430,'[1]MC Masterlist 2026-09-12'!$B:$M, 12, 0)),0)</f>
        <v>30</v>
      </c>
      <c r="Z430" s="46">
        <f t="shared" si="99"/>
        <v>0</v>
      </c>
      <c r="AA430" s="46">
        <f t="shared" si="100"/>
        <v>0</v>
      </c>
      <c r="AB430" s="46">
        <f t="shared" si="101"/>
        <v>0</v>
      </c>
      <c r="AC430" s="46">
        <f t="shared" si="102"/>
        <v>0</v>
      </c>
      <c r="AD430" s="44" t="str">
        <f t="shared" si="103"/>
        <v>Over</v>
      </c>
      <c r="AE430" s="44" t="str">
        <f>IFERROR(VLOOKUP(A430,'[1]Re-order'!$A:$AA,27,0),"")</f>
        <v>Over</v>
      </c>
      <c r="AF430" s="46">
        <f t="shared" si="104"/>
        <v>-1</v>
      </c>
      <c r="AG430" s="46">
        <f>SUMIFS('[1]Raw Inventory'!D:D,'[1]Raw Inventory'!C:C,"GREATWALL",'[1]Raw Inventory'!B:B,A430)</f>
        <v>45</v>
      </c>
      <c r="AH430" s="46">
        <f>SUMIFS('[1]Raw Inventory'!D:D,'[1]Raw Inventory'!C:C,"DUARTE",'[1]Raw Inventory'!B:B,A430)</f>
        <v>0</v>
      </c>
      <c r="AI430" s="46"/>
      <c r="AJ430" s="46"/>
      <c r="AK430" s="43"/>
      <c r="AL430" s="43"/>
      <c r="AM430" s="43"/>
      <c r="AN430" s="43"/>
      <c r="AO430" s="43"/>
      <c r="AP430" s="43"/>
      <c r="AQ430" s="43"/>
      <c r="AR430" s="43"/>
      <c r="AS430" s="43"/>
      <c r="AT430" s="43"/>
    </row>
    <row r="431" spans="1:46">
      <c r="A431" s="43" t="s">
        <v>41</v>
      </c>
      <c r="B431" s="43" t="s">
        <v>146</v>
      </c>
      <c r="C431" s="43" t="s">
        <v>137</v>
      </c>
      <c r="D431" s="44" t="s">
        <v>255</v>
      </c>
      <c r="E431" s="44">
        <v>14</v>
      </c>
      <c r="F431" s="44" t="s">
        <v>2</v>
      </c>
      <c r="G431" s="43" t="str">
        <f>IFERROR(VLOOKUP(A431,'[1]MC Masterlist 2026-09-12'!$B:$M, 3, 0),"")</f>
        <v>YAMAHA</v>
      </c>
      <c r="H431" s="45">
        <f>IFERROR(VLOOKUP(A431,'[1]MC Masterlist 2026-09-12'!$B:$M, 6, 0),"")</f>
        <v>92907</v>
      </c>
      <c r="I431" s="46">
        <v>0</v>
      </c>
      <c r="J431" s="46">
        <v>2</v>
      </c>
      <c r="K431" s="46">
        <v>0</v>
      </c>
      <c r="L431" s="46">
        <f t="shared" si="90"/>
        <v>2</v>
      </c>
      <c r="M431" s="46">
        <f t="shared" si="91"/>
        <v>0.66666666666666663</v>
      </c>
      <c r="N431" s="45">
        <f t="shared" si="92"/>
        <v>185814</v>
      </c>
      <c r="O431" s="45">
        <f t="shared" si="93"/>
        <v>61938</v>
      </c>
      <c r="P431" s="46">
        <f t="shared" si="94"/>
        <v>2.222222222222222E-2</v>
      </c>
      <c r="Q431" s="46"/>
      <c r="R431" s="45">
        <f t="shared" si="95"/>
        <v>0</v>
      </c>
      <c r="S431" s="46">
        <f t="shared" si="96"/>
        <v>0</v>
      </c>
      <c r="T431" s="46">
        <f>IFERROR(VLOOKUP(A431,'[1]Re-order'!$A:$Q,17,0),"")</f>
        <v>240</v>
      </c>
      <c r="U431" s="46">
        <f>IFERROR(VLOOKUP(A431,'[1]MC Masterlist 2026-09-12'!$B:$M, 10, 0),0)</f>
        <v>15</v>
      </c>
      <c r="V431" s="46">
        <f>IFERROR(VLOOKUP(A431,'[1]MC Masterlist 2026-09-12'!$B:$M, 11, 0),0)</f>
        <v>15</v>
      </c>
      <c r="W431" s="46">
        <f t="shared" si="97"/>
        <v>30</v>
      </c>
      <c r="X431" s="46">
        <f t="shared" si="98"/>
        <v>6.666666666666667</v>
      </c>
      <c r="Y431" s="46">
        <f>IFERROR(IF(OR(C431="AREA I",C431="AREA V"),7,VLOOKUP(A431,'[1]MC Masterlist 2026-09-12'!$B:$M, 12, 0)),0)</f>
        <v>7</v>
      </c>
      <c r="Z431" s="46">
        <f t="shared" si="99"/>
        <v>0.33333333333333331</v>
      </c>
      <c r="AA431" s="46">
        <f t="shared" si="100"/>
        <v>0.66666666666666663</v>
      </c>
      <c r="AB431" s="46">
        <f t="shared" si="101"/>
        <v>0.14814814814814814</v>
      </c>
      <c r="AC431" s="46">
        <f t="shared" si="102"/>
        <v>0.15555555555555553</v>
      </c>
      <c r="AD431" s="44" t="str">
        <f t="shared" si="103"/>
        <v>Stockout</v>
      </c>
      <c r="AE431" s="44" t="str">
        <f>IFERROR(VLOOKUP(A431,'[1]Re-order'!$A:$AA,27,0),"")</f>
        <v>Over</v>
      </c>
      <c r="AF431" s="46">
        <f t="shared" si="104"/>
        <v>0.15555555555555553</v>
      </c>
      <c r="AG431" s="46">
        <f>SUMIFS('[1]Raw Inventory'!D:D,'[1]Raw Inventory'!C:C,"GREATWALL",'[1]Raw Inventory'!B:B,A431)</f>
        <v>2</v>
      </c>
      <c r="AH431" s="46">
        <f>SUMIFS('[1]Raw Inventory'!D:D,'[1]Raw Inventory'!C:C,"DUARTE",'[1]Raw Inventory'!B:B,A431)</f>
        <v>0</v>
      </c>
      <c r="AI431" s="46"/>
      <c r="AJ431" s="46"/>
      <c r="AK431" s="43"/>
      <c r="AL431" s="43"/>
      <c r="AM431" s="43"/>
      <c r="AN431" s="43"/>
      <c r="AO431" s="43"/>
      <c r="AP431" s="43"/>
      <c r="AQ431" s="43"/>
      <c r="AR431" s="43"/>
      <c r="AS431" s="43"/>
      <c r="AT431" s="43"/>
    </row>
    <row r="432" spans="1:46">
      <c r="A432" s="43" t="s">
        <v>65</v>
      </c>
      <c r="B432" s="43" t="s">
        <v>119</v>
      </c>
      <c r="C432" s="43" t="s">
        <v>118</v>
      </c>
      <c r="D432" s="44" t="s">
        <v>226</v>
      </c>
      <c r="E432" s="44">
        <v>35</v>
      </c>
      <c r="F432" s="44" t="s">
        <v>3</v>
      </c>
      <c r="G432" s="43" t="str">
        <f>IFERROR(VLOOKUP(A432,'[1]MC Masterlist 2026-09-12'!$B:$M, 3, 0),"")</f>
        <v>SUZUKI</v>
      </c>
      <c r="H432" s="45">
        <f>IFERROR(VLOOKUP(A432,'[1]MC Masterlist 2026-09-12'!$B:$M, 6, 0),"")</f>
        <v>77572</v>
      </c>
      <c r="I432" s="46">
        <v>0</v>
      </c>
      <c r="J432" s="46">
        <v>0</v>
      </c>
      <c r="K432" s="46">
        <v>0</v>
      </c>
      <c r="L432" s="46">
        <f t="shared" si="90"/>
        <v>0</v>
      </c>
      <c r="M432" s="46">
        <f t="shared" si="91"/>
        <v>0</v>
      </c>
      <c r="N432" s="45">
        <f t="shared" si="92"/>
        <v>0</v>
      </c>
      <c r="O432" s="45">
        <f t="shared" si="93"/>
        <v>0</v>
      </c>
      <c r="P432" s="46">
        <f t="shared" si="94"/>
        <v>0</v>
      </c>
      <c r="Q432" s="46">
        <v>1</v>
      </c>
      <c r="R432" s="45">
        <f t="shared" si="95"/>
        <v>77572</v>
      </c>
      <c r="S432" s="46">
        <f t="shared" si="96"/>
        <v>0</v>
      </c>
      <c r="T432" s="46">
        <f>IFERROR(VLOOKUP(A432,'[1]Re-order'!$A:$Q,17,0),"")</f>
        <v>158.8235294117647</v>
      </c>
      <c r="U432" s="46">
        <f>IFERROR(VLOOKUP(A432,'[1]MC Masterlist 2026-09-12'!$B:$M, 10, 0),0)</f>
        <v>15</v>
      </c>
      <c r="V432" s="46">
        <f>IFERROR(VLOOKUP(A432,'[1]MC Masterlist 2026-09-12'!$B:$M, 11, 0),0)</f>
        <v>15</v>
      </c>
      <c r="W432" s="46">
        <f t="shared" si="97"/>
        <v>30</v>
      </c>
      <c r="X432" s="46">
        <f t="shared" si="98"/>
        <v>30</v>
      </c>
      <c r="Y432" s="46">
        <f>IFERROR(IF(OR(C432="AREA I",C432="AREA V"),7,VLOOKUP(A432,'[1]MC Masterlist 2026-09-12'!$B:$M, 12, 0)),0)</f>
        <v>30</v>
      </c>
      <c r="Z432" s="46">
        <f t="shared" si="99"/>
        <v>0</v>
      </c>
      <c r="AA432" s="46">
        <f t="shared" si="100"/>
        <v>0</v>
      </c>
      <c r="AB432" s="46">
        <f t="shared" si="101"/>
        <v>0</v>
      </c>
      <c r="AC432" s="46">
        <f t="shared" si="102"/>
        <v>0</v>
      </c>
      <c r="AD432" s="44" t="str">
        <f t="shared" si="103"/>
        <v>Over</v>
      </c>
      <c r="AE432" s="44" t="str">
        <f>IFERROR(VLOOKUP(A432,'[1]Re-order'!$A:$AA,27,0),"")</f>
        <v>Over</v>
      </c>
      <c r="AF432" s="46">
        <f t="shared" si="104"/>
        <v>-1</v>
      </c>
      <c r="AG432" s="46">
        <f>SUMIFS('[1]Raw Inventory'!D:D,'[1]Raw Inventory'!C:C,"GREATWALL",'[1]Raw Inventory'!B:B,A432)</f>
        <v>4</v>
      </c>
      <c r="AH432" s="46">
        <f>SUMIFS('[1]Raw Inventory'!D:D,'[1]Raw Inventory'!C:C,"DUARTE",'[1]Raw Inventory'!B:B,A432)</f>
        <v>0</v>
      </c>
      <c r="AI432" s="46"/>
      <c r="AJ432" s="46"/>
      <c r="AK432" s="43"/>
      <c r="AL432" s="43"/>
      <c r="AM432" s="43"/>
      <c r="AN432" s="43"/>
      <c r="AO432" s="43"/>
      <c r="AP432" s="43"/>
      <c r="AQ432" s="43"/>
      <c r="AR432" s="43"/>
      <c r="AS432" s="43"/>
      <c r="AT432" s="43"/>
    </row>
    <row r="433" spans="1:46">
      <c r="A433" s="43" t="s">
        <v>48</v>
      </c>
      <c r="B433" s="43" t="s">
        <v>146</v>
      </c>
      <c r="C433" s="43" t="s">
        <v>137</v>
      </c>
      <c r="D433" s="44" t="s">
        <v>265</v>
      </c>
      <c r="E433" s="44">
        <v>28</v>
      </c>
      <c r="F433" s="44" t="s">
        <v>3</v>
      </c>
      <c r="G433" s="43" t="str">
        <f>IFERROR(VLOOKUP(A433,'[1]MC Masterlist 2026-09-12'!$B:$M, 3, 0),"")</f>
        <v>SUZUKI</v>
      </c>
      <c r="H433" s="45">
        <f>IFERROR(VLOOKUP(A433,'[1]MC Masterlist 2026-09-12'!$B:$M, 6, 0),"")</f>
        <v>82687</v>
      </c>
      <c r="I433" s="46">
        <v>0</v>
      </c>
      <c r="J433" s="46">
        <v>0</v>
      </c>
      <c r="K433" s="46">
        <v>0</v>
      </c>
      <c r="L433" s="46">
        <f t="shared" si="90"/>
        <v>0</v>
      </c>
      <c r="M433" s="46">
        <f t="shared" si="91"/>
        <v>0</v>
      </c>
      <c r="N433" s="45">
        <f t="shared" si="92"/>
        <v>0</v>
      </c>
      <c r="O433" s="45">
        <f t="shared" si="93"/>
        <v>0</v>
      </c>
      <c r="P433" s="46">
        <f t="shared" si="94"/>
        <v>0</v>
      </c>
      <c r="Q433" s="46">
        <v>1</v>
      </c>
      <c r="R433" s="45">
        <f t="shared" si="95"/>
        <v>82687</v>
      </c>
      <c r="S433" s="46">
        <f t="shared" si="96"/>
        <v>0</v>
      </c>
      <c r="T433" s="46">
        <f>IFERROR(VLOOKUP(A433,'[1]Re-order'!$A:$Q,17,0),"")</f>
        <v>303.75</v>
      </c>
      <c r="U433" s="46">
        <f>IFERROR(VLOOKUP(A433,'[1]MC Masterlist 2026-09-12'!$B:$M, 10, 0),0)</f>
        <v>15</v>
      </c>
      <c r="V433" s="46">
        <f>IFERROR(VLOOKUP(A433,'[1]MC Masterlist 2026-09-12'!$B:$M, 11, 0),0)</f>
        <v>15</v>
      </c>
      <c r="W433" s="46">
        <f t="shared" si="97"/>
        <v>30</v>
      </c>
      <c r="X433" s="46">
        <f t="shared" si="98"/>
        <v>7</v>
      </c>
      <c r="Y433" s="46">
        <f>IFERROR(IF(OR(C433="AREA I",C433="AREA V"),7,VLOOKUP(A433,'[1]MC Masterlist 2026-09-12'!$B:$M, 12, 0)),0)</f>
        <v>7</v>
      </c>
      <c r="Z433" s="46">
        <f t="shared" si="99"/>
        <v>0</v>
      </c>
      <c r="AA433" s="46">
        <f t="shared" si="100"/>
        <v>0</v>
      </c>
      <c r="AB433" s="46">
        <f t="shared" si="101"/>
        <v>0</v>
      </c>
      <c r="AC433" s="46">
        <f t="shared" si="102"/>
        <v>0</v>
      </c>
      <c r="AD433" s="44" t="str">
        <f t="shared" si="103"/>
        <v>Over</v>
      </c>
      <c r="AE433" s="44" t="str">
        <f>IFERROR(VLOOKUP(A433,'[1]Re-order'!$A:$AA,27,0),"")</f>
        <v>Over</v>
      </c>
      <c r="AF433" s="46">
        <f t="shared" si="104"/>
        <v>-1</v>
      </c>
      <c r="AG433" s="46">
        <f>SUMIFS('[1]Raw Inventory'!D:D,'[1]Raw Inventory'!C:C,"GREATWALL",'[1]Raw Inventory'!B:B,A433)</f>
        <v>10</v>
      </c>
      <c r="AH433" s="46">
        <f>SUMIFS('[1]Raw Inventory'!D:D,'[1]Raw Inventory'!C:C,"DUARTE",'[1]Raw Inventory'!B:B,A433)</f>
        <v>0</v>
      </c>
      <c r="AI433" s="46"/>
      <c r="AJ433" s="46"/>
      <c r="AK433" s="43"/>
      <c r="AL433" s="43"/>
      <c r="AM433" s="43"/>
      <c r="AN433" s="43"/>
      <c r="AO433" s="43"/>
      <c r="AP433" s="43"/>
      <c r="AQ433" s="43"/>
      <c r="AR433" s="43"/>
      <c r="AS433" s="43"/>
      <c r="AT433" s="43"/>
    </row>
    <row r="434" spans="1:46">
      <c r="A434" s="43" t="s">
        <v>12</v>
      </c>
      <c r="B434" s="43" t="s">
        <v>113</v>
      </c>
      <c r="C434" s="43" t="s">
        <v>109</v>
      </c>
      <c r="D434" s="44" t="s">
        <v>225</v>
      </c>
      <c r="E434" s="44">
        <v>3</v>
      </c>
      <c r="F434" s="44" t="s">
        <v>0</v>
      </c>
      <c r="G434" s="43" t="str">
        <f>IFERROR(VLOOKUP(A434,'[1]MC Masterlist 2026-09-12'!$B:$M, 3, 0),"")</f>
        <v>HONDA</v>
      </c>
      <c r="H434" s="45">
        <f>IFERROR(VLOOKUP(A434,'[1]MC Masterlist 2026-09-12'!$B:$M, 6, 0),"")</f>
        <v>158270</v>
      </c>
      <c r="I434" s="46">
        <v>2</v>
      </c>
      <c r="J434" s="46">
        <v>3</v>
      </c>
      <c r="K434" s="46">
        <v>6</v>
      </c>
      <c r="L434" s="46">
        <f t="shared" si="90"/>
        <v>11</v>
      </c>
      <c r="M434" s="46">
        <f t="shared" si="91"/>
        <v>3.6666666666666665</v>
      </c>
      <c r="N434" s="45">
        <f t="shared" si="92"/>
        <v>1740970</v>
      </c>
      <c r="O434" s="45">
        <f t="shared" si="93"/>
        <v>580323.33333333326</v>
      </c>
      <c r="P434" s="46">
        <f t="shared" si="94"/>
        <v>0.12222222222222222</v>
      </c>
      <c r="Q434" s="46">
        <v>1</v>
      </c>
      <c r="R434" s="45">
        <f t="shared" si="95"/>
        <v>158270</v>
      </c>
      <c r="S434" s="46">
        <f t="shared" si="96"/>
        <v>8.1818181818181834</v>
      </c>
      <c r="T434" s="46">
        <f>IFERROR(VLOOKUP(A434,'[1]Re-order'!$A:$Q,17,0),"")</f>
        <v>46.461038961038959</v>
      </c>
      <c r="U434" s="46">
        <f>IFERROR(VLOOKUP(A434,'[1]MC Masterlist 2026-09-12'!$B:$M, 10, 0),0)</f>
        <v>15</v>
      </c>
      <c r="V434" s="46">
        <f>IFERROR(VLOOKUP(A434,'[1]MC Masterlist 2026-09-12'!$B:$M, 11, 0),0)</f>
        <v>15</v>
      </c>
      <c r="W434" s="46">
        <f t="shared" si="97"/>
        <v>30</v>
      </c>
      <c r="X434" s="46">
        <f t="shared" si="98"/>
        <v>28.166666666666668</v>
      </c>
      <c r="Y434" s="46">
        <f>IFERROR(IF(OR(C434="AREA I",C434="AREA V"),7,VLOOKUP(A434,'[1]MC Masterlist 2026-09-12'!$B:$M, 12, 0)),0)</f>
        <v>30</v>
      </c>
      <c r="Z434" s="46">
        <f t="shared" si="99"/>
        <v>1.8333333333333333</v>
      </c>
      <c r="AA434" s="46">
        <f t="shared" si="100"/>
        <v>3.6666666666666665</v>
      </c>
      <c r="AB434" s="46">
        <f t="shared" si="101"/>
        <v>3.4425925925925926</v>
      </c>
      <c r="AC434" s="46">
        <f t="shared" si="102"/>
        <v>3.6666666666666665</v>
      </c>
      <c r="AD434" s="44" t="str">
        <f t="shared" si="103"/>
        <v>Stockout</v>
      </c>
      <c r="AE434" s="44" t="str">
        <f>IFERROR(VLOOKUP(A434,'[1]Re-order'!$A:$AA,27,0),"")</f>
        <v>Re-order</v>
      </c>
      <c r="AF434" s="46">
        <f t="shared" si="104"/>
        <v>2.6666666666666665</v>
      </c>
      <c r="AG434" s="46">
        <f>SUMIFS('[1]Raw Inventory'!D:D,'[1]Raw Inventory'!C:C,"GREATWALL",'[1]Raw Inventory'!B:B,A434)</f>
        <v>35</v>
      </c>
      <c r="AH434" s="46">
        <f>SUMIFS('[1]Raw Inventory'!D:D,'[1]Raw Inventory'!C:C,"DUARTE",'[1]Raw Inventory'!B:B,A434)</f>
        <v>0</v>
      </c>
      <c r="AI434" s="46"/>
      <c r="AJ434" s="46"/>
      <c r="AK434" s="43"/>
      <c r="AL434" s="43"/>
      <c r="AM434" s="43"/>
      <c r="AN434" s="43"/>
      <c r="AO434" s="43"/>
      <c r="AP434" s="43"/>
      <c r="AQ434" s="43"/>
      <c r="AR434" s="43"/>
      <c r="AS434" s="43"/>
      <c r="AT434" s="43"/>
    </row>
    <row r="435" spans="1:46">
      <c r="A435" s="43" t="s">
        <v>24</v>
      </c>
      <c r="B435" s="43" t="s">
        <v>27</v>
      </c>
      <c r="C435" s="43" t="s">
        <v>1</v>
      </c>
      <c r="D435" s="44" t="s">
        <v>259</v>
      </c>
      <c r="E435" s="44">
        <v>5</v>
      </c>
      <c r="F435" s="44" t="s">
        <v>0</v>
      </c>
      <c r="G435" s="43" t="str">
        <f>IFERROR(VLOOKUP(A435,'[1]MC Masterlist 2026-09-12'!$B:$M, 3, 0),"")</f>
        <v>KAWASAKI</v>
      </c>
      <c r="H435" s="45">
        <f>IFERROR(VLOOKUP(A435,'[1]MC Masterlist 2026-09-12'!$B:$M, 6, 0),"")</f>
        <v>131626</v>
      </c>
      <c r="I435" s="46">
        <v>6</v>
      </c>
      <c r="J435" s="46">
        <v>2</v>
      </c>
      <c r="K435" s="46">
        <v>4</v>
      </c>
      <c r="L435" s="46">
        <f t="shared" si="90"/>
        <v>12</v>
      </c>
      <c r="M435" s="46">
        <f t="shared" si="91"/>
        <v>4</v>
      </c>
      <c r="N435" s="45">
        <f t="shared" si="92"/>
        <v>1579512</v>
      </c>
      <c r="O435" s="45">
        <f t="shared" si="93"/>
        <v>526504</v>
      </c>
      <c r="P435" s="46">
        <f t="shared" si="94"/>
        <v>0.13333333333333333</v>
      </c>
      <c r="Q435" s="46">
        <v>4</v>
      </c>
      <c r="R435" s="45">
        <f t="shared" si="95"/>
        <v>526504</v>
      </c>
      <c r="S435" s="46">
        <f t="shared" si="96"/>
        <v>30</v>
      </c>
      <c r="T435" s="46">
        <f>IFERROR(VLOOKUP(A435,'[1]Re-order'!$A:$Q,17,0),"")</f>
        <v>40.677966101694913</v>
      </c>
      <c r="U435" s="46">
        <f>IFERROR(VLOOKUP(A435,'[1]MC Masterlist 2026-09-12'!$B:$M, 10, 0),0)</f>
        <v>15</v>
      </c>
      <c r="V435" s="46">
        <f>IFERROR(VLOOKUP(A435,'[1]MC Masterlist 2026-09-12'!$B:$M, 11, 0),0)</f>
        <v>15</v>
      </c>
      <c r="W435" s="46">
        <f t="shared" si="97"/>
        <v>30</v>
      </c>
      <c r="X435" s="46">
        <f t="shared" si="98"/>
        <v>5</v>
      </c>
      <c r="Y435" s="46">
        <f>IFERROR(IF(OR(C435="AREA I",C435="AREA V"),7,VLOOKUP(A435,'[1]MC Masterlist 2026-09-12'!$B:$M, 12, 0)),0)</f>
        <v>7</v>
      </c>
      <c r="Z435" s="46">
        <f t="shared" si="99"/>
        <v>2</v>
      </c>
      <c r="AA435" s="46">
        <f t="shared" si="100"/>
        <v>4</v>
      </c>
      <c r="AB435" s="46">
        <f t="shared" si="101"/>
        <v>0.66666666666666663</v>
      </c>
      <c r="AC435" s="46">
        <f t="shared" si="102"/>
        <v>0.93333333333333335</v>
      </c>
      <c r="AD435" s="44" t="str">
        <f t="shared" si="103"/>
        <v>Over</v>
      </c>
      <c r="AE435" s="44" t="str">
        <f>IFERROR(VLOOKUP(A435,'[1]Re-order'!$A:$AA,27,0),"")</f>
        <v>Re-order</v>
      </c>
      <c r="AF435" s="46">
        <f t="shared" si="104"/>
        <v>-3.0666666666666664</v>
      </c>
      <c r="AG435" s="46">
        <f>SUMIFS('[1]Raw Inventory'!D:D,'[1]Raw Inventory'!C:C,"GREATWALL",'[1]Raw Inventory'!B:B,A435)</f>
        <v>12</v>
      </c>
      <c r="AH435" s="46">
        <f>SUMIFS('[1]Raw Inventory'!D:D,'[1]Raw Inventory'!C:C,"DUARTE",'[1]Raw Inventory'!B:B,A435)</f>
        <v>0</v>
      </c>
      <c r="AI435" s="46"/>
      <c r="AJ435" s="46"/>
      <c r="AK435" s="43"/>
      <c r="AL435" s="43"/>
      <c r="AM435" s="43"/>
      <c r="AN435" s="43"/>
      <c r="AO435" s="43"/>
      <c r="AP435" s="43"/>
      <c r="AQ435" s="43"/>
      <c r="AR435" s="43"/>
      <c r="AS435" s="43"/>
      <c r="AT435" s="43"/>
    </row>
    <row r="436" spans="1:46">
      <c r="A436" s="43" t="s">
        <v>26</v>
      </c>
      <c r="B436" s="43" t="s">
        <v>97</v>
      </c>
      <c r="C436" s="43" t="s">
        <v>90</v>
      </c>
      <c r="D436" s="44" t="s">
        <v>225</v>
      </c>
      <c r="E436" s="44">
        <v>3</v>
      </c>
      <c r="F436" s="44" t="s">
        <v>0</v>
      </c>
      <c r="G436" s="43" t="str">
        <f>IFERROR(VLOOKUP(A436,'[1]MC Masterlist 2026-09-12'!$B:$M, 3, 0),"")</f>
        <v>SUZUKI</v>
      </c>
      <c r="H436" s="45">
        <f>IFERROR(VLOOKUP(A436,'[1]MC Masterlist 2026-09-12'!$B:$M, 6, 0),"")</f>
        <v>123700</v>
      </c>
      <c r="I436" s="46">
        <v>0</v>
      </c>
      <c r="J436" s="46">
        <v>1</v>
      </c>
      <c r="K436" s="46">
        <v>2</v>
      </c>
      <c r="L436" s="46">
        <f t="shared" si="90"/>
        <v>3</v>
      </c>
      <c r="M436" s="46">
        <f t="shared" si="91"/>
        <v>1</v>
      </c>
      <c r="N436" s="45">
        <f t="shared" si="92"/>
        <v>371100</v>
      </c>
      <c r="O436" s="45">
        <f t="shared" si="93"/>
        <v>123700</v>
      </c>
      <c r="P436" s="46">
        <f t="shared" si="94"/>
        <v>3.3333333333333333E-2</v>
      </c>
      <c r="Q436" s="46">
        <v>4</v>
      </c>
      <c r="R436" s="45">
        <f t="shared" si="95"/>
        <v>494800</v>
      </c>
      <c r="S436" s="46">
        <f t="shared" si="96"/>
        <v>120</v>
      </c>
      <c r="T436" s="46">
        <f>IFERROR(VLOOKUP(A436,'[1]Re-order'!$A:$Q,17,0),"")</f>
        <v>71.470588235294116</v>
      </c>
      <c r="U436" s="46">
        <f>IFERROR(VLOOKUP(A436,'[1]MC Masterlist 2026-09-12'!$B:$M, 10, 0),0)</f>
        <v>15</v>
      </c>
      <c r="V436" s="46">
        <f>IFERROR(VLOOKUP(A436,'[1]MC Masterlist 2026-09-12'!$B:$M, 11, 0),0)</f>
        <v>15</v>
      </c>
      <c r="W436" s="46">
        <f t="shared" si="97"/>
        <v>30</v>
      </c>
      <c r="X436" s="46">
        <f t="shared" si="98"/>
        <v>29.5</v>
      </c>
      <c r="Y436" s="46">
        <f>IFERROR(IF(OR(C436="AREA I",C436="AREA V"),7,VLOOKUP(A436,'[1]MC Masterlist 2026-09-12'!$B:$M, 12, 0)),0)</f>
        <v>30</v>
      </c>
      <c r="Z436" s="46">
        <f t="shared" si="99"/>
        <v>0.5</v>
      </c>
      <c r="AA436" s="46">
        <f t="shared" si="100"/>
        <v>1</v>
      </c>
      <c r="AB436" s="46">
        <f t="shared" si="101"/>
        <v>0.98333333333333328</v>
      </c>
      <c r="AC436" s="46">
        <f t="shared" si="102"/>
        <v>1</v>
      </c>
      <c r="AD436" s="44" t="str">
        <f t="shared" si="103"/>
        <v>Over</v>
      </c>
      <c r="AE436" s="44" t="str">
        <f>IFERROR(VLOOKUP(A436,'[1]Re-order'!$A:$AA,27,0),"")</f>
        <v>Re-order</v>
      </c>
      <c r="AF436" s="46">
        <f t="shared" si="104"/>
        <v>-3</v>
      </c>
      <c r="AG436" s="46">
        <f>SUMIFS('[1]Raw Inventory'!D:D,'[1]Raw Inventory'!C:C,"GREATWALL",'[1]Raw Inventory'!B:B,A436)</f>
        <v>30</v>
      </c>
      <c r="AH436" s="46">
        <f>SUMIFS('[1]Raw Inventory'!D:D,'[1]Raw Inventory'!C:C,"DUARTE",'[1]Raw Inventory'!B:B,A436)</f>
        <v>0</v>
      </c>
      <c r="AI436" s="46"/>
      <c r="AJ436" s="46"/>
      <c r="AK436" s="43"/>
      <c r="AL436" s="43"/>
      <c r="AM436" s="43"/>
      <c r="AN436" s="43"/>
      <c r="AO436" s="43"/>
      <c r="AP436" s="43"/>
      <c r="AQ436" s="43"/>
      <c r="AR436" s="43"/>
      <c r="AS436" s="43"/>
      <c r="AT436" s="43"/>
    </row>
    <row r="437" spans="1:46">
      <c r="A437" s="43" t="s">
        <v>80</v>
      </c>
      <c r="B437" s="43" t="s">
        <v>97</v>
      </c>
      <c r="C437" s="43" t="s">
        <v>90</v>
      </c>
      <c r="D437" s="44" t="s">
        <v>237</v>
      </c>
      <c r="E437" s="44">
        <v>17</v>
      </c>
      <c r="F437" s="44" t="s">
        <v>3</v>
      </c>
      <c r="G437" s="43" t="str">
        <f>IFERROR(VLOOKUP(A437,'[1]MC Masterlist 2026-09-12'!$B:$M, 3, 0),"")</f>
        <v>YAMAHA</v>
      </c>
      <c r="H437" s="45">
        <f>IFERROR(VLOOKUP(A437,'[1]MC Masterlist 2026-09-12'!$B:$M, 6, 0),"")</f>
        <v>73842</v>
      </c>
      <c r="I437" s="46">
        <v>0</v>
      </c>
      <c r="J437" s="46">
        <v>0</v>
      </c>
      <c r="K437" s="46">
        <v>0</v>
      </c>
      <c r="L437" s="46">
        <f t="shared" si="90"/>
        <v>0</v>
      </c>
      <c r="M437" s="46">
        <f t="shared" si="91"/>
        <v>0</v>
      </c>
      <c r="N437" s="45">
        <f t="shared" si="92"/>
        <v>0</v>
      </c>
      <c r="O437" s="45">
        <f t="shared" si="93"/>
        <v>0</v>
      </c>
      <c r="P437" s="46">
        <f t="shared" si="94"/>
        <v>0</v>
      </c>
      <c r="Q437" s="46">
        <v>2</v>
      </c>
      <c r="R437" s="45">
        <f t="shared" si="95"/>
        <v>147684</v>
      </c>
      <c r="S437" s="46">
        <f t="shared" si="96"/>
        <v>0</v>
      </c>
      <c r="T437" s="46">
        <f>IFERROR(VLOOKUP(A437,'[1]Re-order'!$A:$Q,17,0),"")</f>
        <v>67.5</v>
      </c>
      <c r="U437" s="46">
        <f>IFERROR(VLOOKUP(A437,'[1]MC Masterlist 2026-09-12'!$B:$M, 10, 0),0)</f>
        <v>15</v>
      </c>
      <c r="V437" s="46">
        <f>IFERROR(VLOOKUP(A437,'[1]MC Masterlist 2026-09-12'!$B:$M, 11, 0),0)</f>
        <v>15</v>
      </c>
      <c r="W437" s="46">
        <f t="shared" si="97"/>
        <v>30</v>
      </c>
      <c r="X437" s="46">
        <f t="shared" si="98"/>
        <v>30</v>
      </c>
      <c r="Y437" s="46">
        <f>IFERROR(IF(OR(C437="AREA I",C437="AREA V"),7,VLOOKUP(A437,'[1]MC Masterlist 2026-09-12'!$B:$M, 12, 0)),0)</f>
        <v>30</v>
      </c>
      <c r="Z437" s="46">
        <f t="shared" si="99"/>
        <v>0</v>
      </c>
      <c r="AA437" s="46">
        <f t="shared" si="100"/>
        <v>0</v>
      </c>
      <c r="AB437" s="46">
        <f t="shared" si="101"/>
        <v>0</v>
      </c>
      <c r="AC437" s="46">
        <f t="shared" si="102"/>
        <v>0</v>
      </c>
      <c r="AD437" s="44" t="str">
        <f t="shared" si="103"/>
        <v>Over</v>
      </c>
      <c r="AE437" s="44" t="str">
        <f>IFERROR(VLOOKUP(A437,'[1]Re-order'!$A:$AA,27,0),"")</f>
        <v>Re-order</v>
      </c>
      <c r="AF437" s="46">
        <f t="shared" si="104"/>
        <v>-2</v>
      </c>
      <c r="AG437" s="46">
        <f>SUMIFS('[1]Raw Inventory'!D:D,'[1]Raw Inventory'!C:C,"GREATWALL",'[1]Raw Inventory'!B:B,A437)</f>
        <v>0</v>
      </c>
      <c r="AH437" s="46">
        <f>SUMIFS('[1]Raw Inventory'!D:D,'[1]Raw Inventory'!C:C,"DUARTE",'[1]Raw Inventory'!B:B,A437)</f>
        <v>0</v>
      </c>
      <c r="AI437" s="46"/>
      <c r="AJ437" s="46"/>
      <c r="AK437" s="43"/>
      <c r="AL437" s="43"/>
      <c r="AM437" s="43"/>
      <c r="AN437" s="43"/>
      <c r="AO437" s="43"/>
      <c r="AP437" s="43"/>
      <c r="AQ437" s="43"/>
      <c r="AR437" s="43"/>
      <c r="AS437" s="43"/>
      <c r="AT437" s="43"/>
    </row>
    <row r="438" spans="1:46">
      <c r="A438" s="43" t="s">
        <v>14</v>
      </c>
      <c r="B438" s="43" t="s">
        <v>130</v>
      </c>
      <c r="C438" s="43" t="s">
        <v>128</v>
      </c>
      <c r="D438" s="44" t="s">
        <v>238</v>
      </c>
      <c r="E438" s="44">
        <v>2</v>
      </c>
      <c r="F438" s="44" t="s">
        <v>0</v>
      </c>
      <c r="G438" s="43" t="str">
        <f>IFERROR(VLOOKUP(A438,'[1]MC Masterlist 2026-09-12'!$B:$M, 3, 0),"")</f>
        <v>HONDA</v>
      </c>
      <c r="H438" s="45">
        <f>IFERROR(VLOOKUP(A438,'[1]MC Masterlist 2026-09-12'!$B:$M, 6, 0),"")</f>
        <v>80070</v>
      </c>
      <c r="I438" s="46">
        <v>15</v>
      </c>
      <c r="J438" s="46">
        <v>3</v>
      </c>
      <c r="K438" s="46">
        <v>11</v>
      </c>
      <c r="L438" s="46">
        <f t="shared" si="90"/>
        <v>29</v>
      </c>
      <c r="M438" s="46">
        <f t="shared" si="91"/>
        <v>9.6666666666666661</v>
      </c>
      <c r="N438" s="45">
        <f t="shared" si="92"/>
        <v>2322030</v>
      </c>
      <c r="O438" s="45">
        <f t="shared" si="93"/>
        <v>774010</v>
      </c>
      <c r="P438" s="46">
        <f t="shared" si="94"/>
        <v>0.32222222222222219</v>
      </c>
      <c r="Q438" s="46">
        <v>8</v>
      </c>
      <c r="R438" s="45">
        <f t="shared" si="95"/>
        <v>640560</v>
      </c>
      <c r="S438" s="46">
        <f t="shared" si="96"/>
        <v>24.827586206896552</v>
      </c>
      <c r="T438" s="46">
        <f>IFERROR(VLOOKUP(A438,'[1]Re-order'!$A:$Q,17,0),"")</f>
        <v>20.105787181082761</v>
      </c>
      <c r="U438" s="46">
        <f>IFERROR(VLOOKUP(A438,'[1]MC Masterlist 2026-09-12'!$B:$M, 10, 0),0)</f>
        <v>15</v>
      </c>
      <c r="V438" s="46">
        <f>IFERROR(VLOOKUP(A438,'[1]MC Masterlist 2026-09-12'!$B:$M, 11, 0),0)</f>
        <v>15</v>
      </c>
      <c r="W438" s="46">
        <f t="shared" si="97"/>
        <v>30</v>
      </c>
      <c r="X438" s="46">
        <f t="shared" si="98"/>
        <v>25.166666666666668</v>
      </c>
      <c r="Y438" s="46">
        <f>IFERROR(IF(OR(C438="AREA I",C438="AREA V"),7,VLOOKUP(A438,'[1]MC Masterlist 2026-09-12'!$B:$M, 12, 0)),0)</f>
        <v>30</v>
      </c>
      <c r="Z438" s="46">
        <f t="shared" si="99"/>
        <v>4.833333333333333</v>
      </c>
      <c r="AA438" s="46">
        <f t="shared" si="100"/>
        <v>9.6666666666666661</v>
      </c>
      <c r="AB438" s="46">
        <f t="shared" si="101"/>
        <v>8.1092592592592592</v>
      </c>
      <c r="AC438" s="46">
        <f t="shared" si="102"/>
        <v>9.6666666666666661</v>
      </c>
      <c r="AD438" s="44" t="str">
        <f t="shared" si="103"/>
        <v>Re-order</v>
      </c>
      <c r="AE438" s="44" t="str">
        <f>IFERROR(VLOOKUP(A438,'[1]Re-order'!$A:$AA,27,0),"")</f>
        <v>Stockout</v>
      </c>
      <c r="AF438" s="46">
        <f t="shared" si="104"/>
        <v>1.6666666666666661</v>
      </c>
      <c r="AG438" s="46">
        <f>SUMIFS('[1]Raw Inventory'!D:D,'[1]Raw Inventory'!C:C,"GREATWALL",'[1]Raw Inventory'!B:B,A438)</f>
        <v>176</v>
      </c>
      <c r="AH438" s="46">
        <f>SUMIFS('[1]Raw Inventory'!D:D,'[1]Raw Inventory'!C:C,"DUARTE",'[1]Raw Inventory'!B:B,A438)</f>
        <v>0</v>
      </c>
      <c r="AI438" s="46"/>
      <c r="AJ438" s="46"/>
      <c r="AK438" s="43"/>
      <c r="AL438" s="43"/>
      <c r="AM438" s="43"/>
      <c r="AN438" s="43"/>
      <c r="AO438" s="43"/>
      <c r="AP438" s="43"/>
      <c r="AQ438" s="43"/>
      <c r="AR438" s="43"/>
      <c r="AS438" s="43"/>
      <c r="AT438" s="43"/>
    </row>
    <row r="439" spans="1:46">
      <c r="A439" s="43" t="s">
        <v>39</v>
      </c>
      <c r="B439" s="43" t="s">
        <v>155</v>
      </c>
      <c r="C439" s="43" t="s">
        <v>152</v>
      </c>
      <c r="D439" s="44" t="s">
        <v>262</v>
      </c>
      <c r="E439" s="44">
        <v>17</v>
      </c>
      <c r="F439" s="44" t="s">
        <v>2</v>
      </c>
      <c r="G439" s="43" t="str">
        <f>IFERROR(VLOOKUP(A439,'[1]MC Masterlist 2026-09-12'!$B:$M, 3, 0),"")</f>
        <v>HONDA</v>
      </c>
      <c r="H439" s="45">
        <f>IFERROR(VLOOKUP(A439,'[1]MC Masterlist 2026-09-12'!$B:$M, 6, 0),"")</f>
        <v>72434</v>
      </c>
      <c r="I439" s="46">
        <v>1</v>
      </c>
      <c r="J439" s="46">
        <v>0</v>
      </c>
      <c r="K439" s="46">
        <v>1</v>
      </c>
      <c r="L439" s="46">
        <f t="shared" si="90"/>
        <v>2</v>
      </c>
      <c r="M439" s="46">
        <f t="shared" si="91"/>
        <v>0.66666666666666663</v>
      </c>
      <c r="N439" s="45">
        <f t="shared" si="92"/>
        <v>144868</v>
      </c>
      <c r="O439" s="45">
        <f t="shared" si="93"/>
        <v>48289.333333333328</v>
      </c>
      <c r="P439" s="46">
        <f t="shared" si="94"/>
        <v>2.222222222222222E-2</v>
      </c>
      <c r="Q439" s="46">
        <v>2</v>
      </c>
      <c r="R439" s="45">
        <f t="shared" si="95"/>
        <v>144868</v>
      </c>
      <c r="S439" s="46">
        <f t="shared" si="96"/>
        <v>90.000000000000014</v>
      </c>
      <c r="T439" s="46">
        <f>IFERROR(VLOOKUP(A439,'[1]Re-order'!$A:$Q,17,0),"")</f>
        <v>40.982142857142854</v>
      </c>
      <c r="U439" s="46">
        <f>IFERROR(VLOOKUP(A439,'[1]MC Masterlist 2026-09-12'!$B:$M, 10, 0),0)</f>
        <v>15</v>
      </c>
      <c r="V439" s="46">
        <f>IFERROR(VLOOKUP(A439,'[1]MC Masterlist 2026-09-12'!$B:$M, 11, 0),0)</f>
        <v>15</v>
      </c>
      <c r="W439" s="46">
        <f t="shared" si="97"/>
        <v>30</v>
      </c>
      <c r="X439" s="46">
        <f t="shared" si="98"/>
        <v>29.666666666666668</v>
      </c>
      <c r="Y439" s="46">
        <f>IFERROR(IF(OR(C439="AREA I",C439="AREA V"),7,VLOOKUP(A439,'[1]MC Masterlist 2026-09-12'!$B:$M, 12, 0)),0)</f>
        <v>30</v>
      </c>
      <c r="Z439" s="46">
        <f t="shared" si="99"/>
        <v>0.33333333333333331</v>
      </c>
      <c r="AA439" s="46">
        <f t="shared" si="100"/>
        <v>0.66666666666666663</v>
      </c>
      <c r="AB439" s="46">
        <f t="shared" si="101"/>
        <v>0.65925925925925921</v>
      </c>
      <c r="AC439" s="46">
        <f t="shared" si="102"/>
        <v>0.66666666666666663</v>
      </c>
      <c r="AD439" s="44" t="str">
        <f t="shared" si="103"/>
        <v>Over</v>
      </c>
      <c r="AE439" s="44" t="str">
        <f>IFERROR(VLOOKUP(A439,'[1]Re-order'!$A:$AA,27,0),"")</f>
        <v>Re-order</v>
      </c>
      <c r="AF439" s="46">
        <f t="shared" si="104"/>
        <v>-1.3333333333333335</v>
      </c>
      <c r="AG439" s="46">
        <f>SUMIFS('[1]Raw Inventory'!D:D,'[1]Raw Inventory'!C:C,"GREATWALL",'[1]Raw Inventory'!B:B,A439)</f>
        <v>16</v>
      </c>
      <c r="AH439" s="46">
        <f>SUMIFS('[1]Raw Inventory'!D:D,'[1]Raw Inventory'!C:C,"DUARTE",'[1]Raw Inventory'!B:B,A439)</f>
        <v>0</v>
      </c>
      <c r="AI439" s="46"/>
      <c r="AJ439" s="46"/>
      <c r="AK439" s="43"/>
      <c r="AL439" s="43"/>
      <c r="AM439" s="43"/>
      <c r="AN439" s="43"/>
      <c r="AO439" s="43"/>
      <c r="AP439" s="43"/>
      <c r="AQ439" s="43"/>
      <c r="AR439" s="43"/>
      <c r="AS439" s="43"/>
      <c r="AT439" s="43"/>
    </row>
    <row r="440" spans="1:46">
      <c r="A440" s="43" t="s">
        <v>18</v>
      </c>
      <c r="B440" s="43" t="s">
        <v>11</v>
      </c>
      <c r="C440" s="43" t="s">
        <v>1</v>
      </c>
      <c r="D440" s="44" t="s">
        <v>259</v>
      </c>
      <c r="E440" s="44">
        <v>5</v>
      </c>
      <c r="F440" s="44" t="s">
        <v>0</v>
      </c>
      <c r="G440" s="43" t="str">
        <f>IFERROR(VLOOKUP(A440,'[1]MC Masterlist 2026-09-12'!$B:$M, 3, 0),"")</f>
        <v>HONDA</v>
      </c>
      <c r="H440" s="45">
        <f>IFERROR(VLOOKUP(A440,'[1]MC Masterlist 2026-09-12'!$B:$M, 6, 0),"")</f>
        <v>94330</v>
      </c>
      <c r="I440" s="46">
        <v>11</v>
      </c>
      <c r="J440" s="46">
        <v>11</v>
      </c>
      <c r="K440" s="46">
        <v>7</v>
      </c>
      <c r="L440" s="46">
        <f t="shared" si="90"/>
        <v>29</v>
      </c>
      <c r="M440" s="46">
        <f t="shared" si="91"/>
        <v>9.6666666666666661</v>
      </c>
      <c r="N440" s="45">
        <f t="shared" si="92"/>
        <v>2735570</v>
      </c>
      <c r="O440" s="45">
        <f t="shared" si="93"/>
        <v>911856.66666666663</v>
      </c>
      <c r="P440" s="46">
        <f t="shared" si="94"/>
        <v>0.32222222222222219</v>
      </c>
      <c r="Q440" s="46">
        <v>6</v>
      </c>
      <c r="R440" s="45">
        <f t="shared" si="95"/>
        <v>565980</v>
      </c>
      <c r="S440" s="46">
        <f t="shared" si="96"/>
        <v>18.620689655172413</v>
      </c>
      <c r="T440" s="46">
        <f>IFERROR(VLOOKUP(A440,'[1]Re-order'!$A:$Q,17,0),"")</f>
        <v>113.9644970414201</v>
      </c>
      <c r="U440" s="46">
        <f>IFERROR(VLOOKUP(A440,'[1]MC Masterlist 2026-09-12'!$B:$M, 10, 0),0)</f>
        <v>15</v>
      </c>
      <c r="V440" s="46">
        <f>IFERROR(VLOOKUP(A440,'[1]MC Masterlist 2026-09-12'!$B:$M, 11, 0),0)</f>
        <v>15</v>
      </c>
      <c r="W440" s="46">
        <f t="shared" si="97"/>
        <v>30</v>
      </c>
      <c r="X440" s="46">
        <f t="shared" si="98"/>
        <v>2.166666666666667</v>
      </c>
      <c r="Y440" s="46">
        <f>IFERROR(IF(OR(C440="AREA I",C440="AREA V"),7,VLOOKUP(A440,'[1]MC Masterlist 2026-09-12'!$B:$M, 12, 0)),0)</f>
        <v>7</v>
      </c>
      <c r="Z440" s="46">
        <f t="shared" si="99"/>
        <v>4.833333333333333</v>
      </c>
      <c r="AA440" s="46">
        <f t="shared" si="100"/>
        <v>9.6666666666666661</v>
      </c>
      <c r="AB440" s="46">
        <f t="shared" si="101"/>
        <v>0.69814814814814818</v>
      </c>
      <c r="AC440" s="46">
        <f t="shared" si="102"/>
        <v>2.2555555555555555</v>
      </c>
      <c r="AD440" s="44" t="str">
        <f t="shared" si="103"/>
        <v>Over</v>
      </c>
      <c r="AE440" s="44" t="str">
        <f>IFERROR(VLOOKUP(A440,'[1]Re-order'!$A:$AA,27,0),"")</f>
        <v>Over</v>
      </c>
      <c r="AF440" s="46">
        <f t="shared" si="104"/>
        <v>-3.7444444444444445</v>
      </c>
      <c r="AG440" s="46">
        <f>SUMIFS('[1]Raw Inventory'!D:D,'[1]Raw Inventory'!C:C,"GREATWALL",'[1]Raw Inventory'!B:B,A440)</f>
        <v>88</v>
      </c>
      <c r="AH440" s="46">
        <f>SUMIFS('[1]Raw Inventory'!D:D,'[1]Raw Inventory'!C:C,"DUARTE",'[1]Raw Inventory'!B:B,A440)</f>
        <v>0</v>
      </c>
      <c r="AI440" s="46"/>
      <c r="AJ440" s="46"/>
      <c r="AK440" s="43"/>
      <c r="AL440" s="43"/>
      <c r="AM440" s="43"/>
      <c r="AN440" s="43"/>
      <c r="AO440" s="43"/>
      <c r="AP440" s="43"/>
      <c r="AQ440" s="43"/>
      <c r="AR440" s="43"/>
      <c r="AS440" s="43"/>
      <c r="AT440" s="43"/>
    </row>
    <row r="441" spans="1:46">
      <c r="A441" s="43" t="s">
        <v>71</v>
      </c>
      <c r="B441" s="43" t="s">
        <v>138</v>
      </c>
      <c r="C441" s="43" t="s">
        <v>137</v>
      </c>
      <c r="D441" s="44" t="s">
        <v>223</v>
      </c>
      <c r="E441" s="44">
        <v>18</v>
      </c>
      <c r="F441" s="44" t="s">
        <v>3</v>
      </c>
      <c r="G441" s="43" t="str">
        <f>IFERROR(VLOOKUP(A441,'[1]MC Masterlist 2026-09-12'!$B:$M, 3, 0),"")</f>
        <v>SUZUKI</v>
      </c>
      <c r="H441" s="45">
        <f>IFERROR(VLOOKUP(A441,'[1]MC Masterlist 2026-09-12'!$B:$M, 6, 0),"")</f>
        <v>156250</v>
      </c>
      <c r="I441" s="46">
        <v>0</v>
      </c>
      <c r="J441" s="46">
        <v>0</v>
      </c>
      <c r="K441" s="46">
        <v>0</v>
      </c>
      <c r="L441" s="46">
        <f t="shared" si="90"/>
        <v>0</v>
      </c>
      <c r="M441" s="46">
        <f t="shared" si="91"/>
        <v>0</v>
      </c>
      <c r="N441" s="45">
        <f t="shared" si="92"/>
        <v>0</v>
      </c>
      <c r="O441" s="45">
        <f t="shared" si="93"/>
        <v>0</v>
      </c>
      <c r="P441" s="46">
        <f t="shared" si="94"/>
        <v>0</v>
      </c>
      <c r="Q441" s="46">
        <v>13</v>
      </c>
      <c r="R441" s="45">
        <f t="shared" si="95"/>
        <v>2031250</v>
      </c>
      <c r="S441" s="46">
        <f t="shared" si="96"/>
        <v>0</v>
      </c>
      <c r="T441" s="46">
        <f>IFERROR(VLOOKUP(A441,'[1]Re-order'!$A:$Q,17,0),"")</f>
        <v>612</v>
      </c>
      <c r="U441" s="46">
        <f>IFERROR(VLOOKUP(A441,'[1]MC Masterlist 2026-09-12'!$B:$M, 10, 0),0)</f>
        <v>15</v>
      </c>
      <c r="V441" s="46">
        <f>IFERROR(VLOOKUP(A441,'[1]MC Masterlist 2026-09-12'!$B:$M, 11, 0),0)</f>
        <v>15</v>
      </c>
      <c r="W441" s="46">
        <f t="shared" si="97"/>
        <v>30</v>
      </c>
      <c r="X441" s="46">
        <f t="shared" si="98"/>
        <v>7</v>
      </c>
      <c r="Y441" s="46">
        <f>IFERROR(IF(OR(C441="AREA I",C441="AREA V"),7,VLOOKUP(A441,'[1]MC Masterlist 2026-09-12'!$B:$M, 12, 0)),0)</f>
        <v>7</v>
      </c>
      <c r="Z441" s="46">
        <f t="shared" si="99"/>
        <v>0</v>
      </c>
      <c r="AA441" s="46">
        <f t="shared" si="100"/>
        <v>0</v>
      </c>
      <c r="AB441" s="46">
        <f t="shared" si="101"/>
        <v>0</v>
      </c>
      <c r="AC441" s="46">
        <f t="shared" si="102"/>
        <v>0</v>
      </c>
      <c r="AD441" s="44" t="str">
        <f t="shared" si="103"/>
        <v>Over</v>
      </c>
      <c r="AE441" s="44" t="str">
        <f>IFERROR(VLOOKUP(A441,'[1]Re-order'!$A:$AA,27,0),"")</f>
        <v>Over</v>
      </c>
      <c r="AF441" s="46">
        <f t="shared" si="104"/>
        <v>-13</v>
      </c>
      <c r="AG441" s="46">
        <f>SUMIFS('[1]Raw Inventory'!D:D,'[1]Raw Inventory'!C:C,"GREATWALL",'[1]Raw Inventory'!B:B,A441)</f>
        <v>13</v>
      </c>
      <c r="AH441" s="46">
        <f>SUMIFS('[1]Raw Inventory'!D:D,'[1]Raw Inventory'!C:C,"DUARTE",'[1]Raw Inventory'!B:B,A441)</f>
        <v>0</v>
      </c>
      <c r="AI441" s="46"/>
      <c r="AJ441" s="46"/>
      <c r="AK441" s="43"/>
      <c r="AL441" s="43"/>
      <c r="AM441" s="43"/>
      <c r="AN441" s="43"/>
      <c r="AO441" s="43"/>
      <c r="AP441" s="43"/>
      <c r="AQ441" s="43"/>
      <c r="AR441" s="43"/>
      <c r="AS441" s="43"/>
      <c r="AT441" s="43"/>
    </row>
    <row r="442" spans="1:46">
      <c r="A442" s="43" t="s">
        <v>82</v>
      </c>
      <c r="B442" s="43" t="s">
        <v>111</v>
      </c>
      <c r="C442" s="43" t="s">
        <v>109</v>
      </c>
      <c r="D442" s="44" t="s">
        <v>235</v>
      </c>
      <c r="E442" s="44">
        <v>26</v>
      </c>
      <c r="F442" s="44" t="s">
        <v>3</v>
      </c>
      <c r="G442" s="43" t="str">
        <f>IFERROR(VLOOKUP(A442,'[1]MC Masterlist 2026-09-12'!$B:$M, 3, 0),"")</f>
        <v>SUZUKI</v>
      </c>
      <c r="H442" s="45">
        <f>IFERROR(VLOOKUP(A442,'[1]MC Masterlist 2026-09-12'!$B:$M, 6, 0),"")</f>
        <v>67342</v>
      </c>
      <c r="I442" s="46">
        <v>0</v>
      </c>
      <c r="J442" s="46">
        <v>0</v>
      </c>
      <c r="K442" s="46">
        <v>1</v>
      </c>
      <c r="L442" s="46">
        <f t="shared" si="90"/>
        <v>1</v>
      </c>
      <c r="M442" s="46">
        <f t="shared" si="91"/>
        <v>0.33333333333333331</v>
      </c>
      <c r="N442" s="45">
        <f t="shared" si="92"/>
        <v>67342</v>
      </c>
      <c r="O442" s="45">
        <f t="shared" si="93"/>
        <v>22447.333333333332</v>
      </c>
      <c r="P442" s="46">
        <f t="shared" si="94"/>
        <v>1.111111111111111E-2</v>
      </c>
      <c r="Q442" s="46">
        <v>1</v>
      </c>
      <c r="R442" s="45">
        <f t="shared" si="95"/>
        <v>67342</v>
      </c>
      <c r="S442" s="46">
        <f t="shared" si="96"/>
        <v>90</v>
      </c>
      <c r="T442" s="46">
        <f>IFERROR(VLOOKUP(A442,'[1]Re-order'!$A:$Q,17,0),"")</f>
        <v>64.8</v>
      </c>
      <c r="U442" s="46">
        <f>IFERROR(VLOOKUP(A442,'[1]MC Masterlist 2026-09-12'!$B:$M, 10, 0),0)</f>
        <v>15</v>
      </c>
      <c r="V442" s="46">
        <f>IFERROR(VLOOKUP(A442,'[1]MC Masterlist 2026-09-12'!$B:$M, 11, 0),0)</f>
        <v>15</v>
      </c>
      <c r="W442" s="46">
        <f t="shared" si="97"/>
        <v>30</v>
      </c>
      <c r="X442" s="46">
        <f t="shared" si="98"/>
        <v>29.833333333333332</v>
      </c>
      <c r="Y442" s="46">
        <f>IFERROR(IF(OR(C442="AREA I",C442="AREA V"),7,VLOOKUP(A442,'[1]MC Masterlist 2026-09-12'!$B:$M, 12, 0)),0)</f>
        <v>30</v>
      </c>
      <c r="Z442" s="46">
        <f t="shared" si="99"/>
        <v>0.16666666666666666</v>
      </c>
      <c r="AA442" s="46">
        <f t="shared" si="100"/>
        <v>0.33333333333333331</v>
      </c>
      <c r="AB442" s="46">
        <f t="shared" si="101"/>
        <v>0.33148148148148143</v>
      </c>
      <c r="AC442" s="46">
        <f t="shared" si="102"/>
        <v>0.33333333333333331</v>
      </c>
      <c r="AD442" s="44" t="str">
        <f t="shared" si="103"/>
        <v>Over</v>
      </c>
      <c r="AE442" s="44" t="str">
        <f>IFERROR(VLOOKUP(A442,'[1]Re-order'!$A:$AA,27,0),"")</f>
        <v>Re-order</v>
      </c>
      <c r="AF442" s="46">
        <f t="shared" si="104"/>
        <v>-0.66666666666666674</v>
      </c>
      <c r="AG442" s="46">
        <f>SUMIFS('[1]Raw Inventory'!D:D,'[1]Raw Inventory'!C:C,"GREATWALL",'[1]Raw Inventory'!B:B,A442)</f>
        <v>1</v>
      </c>
      <c r="AH442" s="46">
        <f>SUMIFS('[1]Raw Inventory'!D:D,'[1]Raw Inventory'!C:C,"DUARTE",'[1]Raw Inventory'!B:B,A442)</f>
        <v>0</v>
      </c>
      <c r="AI442" s="46"/>
      <c r="AJ442" s="46"/>
      <c r="AK442" s="43"/>
      <c r="AL442" s="43"/>
      <c r="AM442" s="43"/>
      <c r="AN442" s="43"/>
      <c r="AO442" s="43"/>
      <c r="AP442" s="43"/>
      <c r="AQ442" s="43"/>
      <c r="AR442" s="43"/>
      <c r="AS442" s="43"/>
      <c r="AT442" s="43"/>
    </row>
    <row r="443" spans="1:46">
      <c r="A443" s="43" t="s">
        <v>80</v>
      </c>
      <c r="B443" s="43" t="s">
        <v>29</v>
      </c>
      <c r="C443" s="43" t="s">
        <v>1</v>
      </c>
      <c r="D443" s="44" t="s">
        <v>253</v>
      </c>
      <c r="E443" s="44">
        <v>34</v>
      </c>
      <c r="F443" s="44" t="s">
        <v>3</v>
      </c>
      <c r="G443" s="43" t="str">
        <f>IFERROR(VLOOKUP(A443,'[1]MC Masterlist 2026-09-12'!$B:$M, 3, 0),"")</f>
        <v>YAMAHA</v>
      </c>
      <c r="H443" s="45">
        <f>IFERROR(VLOOKUP(A443,'[1]MC Masterlist 2026-09-12'!$B:$M, 6, 0),"")</f>
        <v>73842</v>
      </c>
      <c r="I443" s="46">
        <v>0</v>
      </c>
      <c r="J443" s="46">
        <v>1</v>
      </c>
      <c r="K443" s="46">
        <v>0</v>
      </c>
      <c r="L443" s="46">
        <f t="shared" si="90"/>
        <v>1</v>
      </c>
      <c r="M443" s="46">
        <f t="shared" si="91"/>
        <v>0.33333333333333331</v>
      </c>
      <c r="N443" s="45">
        <f t="shared" si="92"/>
        <v>73842</v>
      </c>
      <c r="O443" s="45">
        <f t="shared" si="93"/>
        <v>24614</v>
      </c>
      <c r="P443" s="46">
        <f t="shared" si="94"/>
        <v>1.111111111111111E-2</v>
      </c>
      <c r="Q443" s="46"/>
      <c r="R443" s="45">
        <f t="shared" si="95"/>
        <v>0</v>
      </c>
      <c r="S443" s="46">
        <f t="shared" si="96"/>
        <v>0</v>
      </c>
      <c r="T443" s="46">
        <f>IFERROR(VLOOKUP(A443,'[1]Re-order'!$A:$Q,17,0),"")</f>
        <v>67.5</v>
      </c>
      <c r="U443" s="46">
        <f>IFERROR(VLOOKUP(A443,'[1]MC Masterlist 2026-09-12'!$B:$M, 10, 0),0)</f>
        <v>15</v>
      </c>
      <c r="V443" s="46">
        <f>IFERROR(VLOOKUP(A443,'[1]MC Masterlist 2026-09-12'!$B:$M, 11, 0),0)</f>
        <v>15</v>
      </c>
      <c r="W443" s="46">
        <f t="shared" si="97"/>
        <v>30</v>
      </c>
      <c r="X443" s="46">
        <f t="shared" si="98"/>
        <v>6.833333333333333</v>
      </c>
      <c r="Y443" s="46">
        <f>IFERROR(IF(OR(C443="AREA I",C443="AREA V"),7,VLOOKUP(A443,'[1]MC Masterlist 2026-09-12'!$B:$M, 12, 0)),0)</f>
        <v>7</v>
      </c>
      <c r="Z443" s="46">
        <f t="shared" si="99"/>
        <v>0.16666666666666666</v>
      </c>
      <c r="AA443" s="46">
        <f t="shared" si="100"/>
        <v>0.33333333333333331</v>
      </c>
      <c r="AB443" s="46">
        <f t="shared" si="101"/>
        <v>7.5925925925925911E-2</v>
      </c>
      <c r="AC443" s="46">
        <f t="shared" si="102"/>
        <v>7.7777777777777765E-2</v>
      </c>
      <c r="AD443" s="44" t="str">
        <f t="shared" si="103"/>
        <v>Stockout</v>
      </c>
      <c r="AE443" s="44" t="str">
        <f>IFERROR(VLOOKUP(A443,'[1]Re-order'!$A:$AA,27,0),"")</f>
        <v>Re-order</v>
      </c>
      <c r="AF443" s="46">
        <f t="shared" si="104"/>
        <v>7.7777777777777765E-2</v>
      </c>
      <c r="AG443" s="46">
        <f>SUMIFS('[1]Raw Inventory'!D:D,'[1]Raw Inventory'!C:C,"GREATWALL",'[1]Raw Inventory'!B:B,A443)</f>
        <v>0</v>
      </c>
      <c r="AH443" s="46">
        <f>SUMIFS('[1]Raw Inventory'!D:D,'[1]Raw Inventory'!C:C,"DUARTE",'[1]Raw Inventory'!B:B,A443)</f>
        <v>0</v>
      </c>
      <c r="AI443" s="46"/>
      <c r="AJ443" s="46"/>
      <c r="AK443" s="43"/>
      <c r="AL443" s="43"/>
      <c r="AM443" s="43"/>
      <c r="AN443" s="43"/>
      <c r="AO443" s="43"/>
      <c r="AP443" s="43"/>
      <c r="AQ443" s="43"/>
      <c r="AR443" s="43"/>
      <c r="AS443" s="43"/>
      <c r="AT443" s="43"/>
    </row>
    <row r="444" spans="1:46">
      <c r="A444" s="43" t="s">
        <v>43</v>
      </c>
      <c r="B444" s="43" t="s">
        <v>143</v>
      </c>
      <c r="C444" s="43" t="s">
        <v>137</v>
      </c>
      <c r="D444" s="44" t="s">
        <v>256</v>
      </c>
      <c r="E444" s="44">
        <v>15</v>
      </c>
      <c r="F444" s="44" t="s">
        <v>2</v>
      </c>
      <c r="G444" s="43" t="str">
        <f>IFERROR(VLOOKUP(A444,'[1]MC Masterlist 2026-09-12'!$B:$M, 3, 0),"")</f>
        <v>YAMAHA</v>
      </c>
      <c r="H444" s="45">
        <f>IFERROR(VLOOKUP(A444,'[1]MC Masterlist 2026-09-12'!$B:$M, 6, 0),"")</f>
        <v>70587</v>
      </c>
      <c r="I444" s="46">
        <v>0</v>
      </c>
      <c r="J444" s="46">
        <v>1</v>
      </c>
      <c r="K444" s="46">
        <v>1</v>
      </c>
      <c r="L444" s="46">
        <f t="shared" si="90"/>
        <v>2</v>
      </c>
      <c r="M444" s="46">
        <f t="shared" si="91"/>
        <v>0.66666666666666663</v>
      </c>
      <c r="N444" s="45">
        <f t="shared" si="92"/>
        <v>141174</v>
      </c>
      <c r="O444" s="45">
        <f t="shared" si="93"/>
        <v>47058</v>
      </c>
      <c r="P444" s="46">
        <f t="shared" si="94"/>
        <v>2.222222222222222E-2</v>
      </c>
      <c r="Q444" s="46"/>
      <c r="R444" s="45">
        <f t="shared" si="95"/>
        <v>0</v>
      </c>
      <c r="S444" s="46">
        <f t="shared" si="96"/>
        <v>0</v>
      </c>
      <c r="T444" s="46">
        <f>IFERROR(VLOOKUP(A444,'[1]Re-order'!$A:$Q,17,0),"")</f>
        <v>43.578947368421055</v>
      </c>
      <c r="U444" s="46">
        <f>IFERROR(VLOOKUP(A444,'[1]MC Masterlist 2026-09-12'!$B:$M, 10, 0),0)</f>
        <v>15</v>
      </c>
      <c r="V444" s="46">
        <f>IFERROR(VLOOKUP(A444,'[1]MC Masterlist 2026-09-12'!$B:$M, 11, 0),0)</f>
        <v>15</v>
      </c>
      <c r="W444" s="46">
        <f t="shared" si="97"/>
        <v>30</v>
      </c>
      <c r="X444" s="46">
        <f t="shared" si="98"/>
        <v>6.666666666666667</v>
      </c>
      <c r="Y444" s="46">
        <f>IFERROR(IF(OR(C444="AREA I",C444="AREA V"),7,VLOOKUP(A444,'[1]MC Masterlist 2026-09-12'!$B:$M, 12, 0)),0)</f>
        <v>7</v>
      </c>
      <c r="Z444" s="46">
        <f t="shared" si="99"/>
        <v>0.33333333333333331</v>
      </c>
      <c r="AA444" s="46">
        <f t="shared" si="100"/>
        <v>0.66666666666666663</v>
      </c>
      <c r="AB444" s="46">
        <f t="shared" si="101"/>
        <v>0.14814814814814814</v>
      </c>
      <c r="AC444" s="46">
        <f t="shared" si="102"/>
        <v>0.15555555555555553</v>
      </c>
      <c r="AD444" s="44" t="str">
        <f t="shared" si="103"/>
        <v>Stockout</v>
      </c>
      <c r="AE444" s="44" t="str">
        <f>IFERROR(VLOOKUP(A444,'[1]Re-order'!$A:$AA,27,0),"")</f>
        <v>Re-order</v>
      </c>
      <c r="AF444" s="46">
        <f t="shared" si="104"/>
        <v>0.15555555555555553</v>
      </c>
      <c r="AG444" s="46">
        <f>SUMIFS('[1]Raw Inventory'!D:D,'[1]Raw Inventory'!C:C,"GREATWALL",'[1]Raw Inventory'!B:B,A444)</f>
        <v>0</v>
      </c>
      <c r="AH444" s="46">
        <f>SUMIFS('[1]Raw Inventory'!D:D,'[1]Raw Inventory'!C:C,"DUARTE",'[1]Raw Inventory'!B:B,A444)</f>
        <v>0</v>
      </c>
      <c r="AI444" s="46"/>
      <c r="AJ444" s="46"/>
      <c r="AK444" s="43"/>
      <c r="AL444" s="43"/>
      <c r="AM444" s="43"/>
      <c r="AN444" s="43"/>
      <c r="AO444" s="43"/>
      <c r="AP444" s="43"/>
      <c r="AQ444" s="43"/>
      <c r="AR444" s="43"/>
      <c r="AS444" s="43"/>
      <c r="AT444" s="43"/>
    </row>
    <row r="445" spans="1:46">
      <c r="A445" s="43" t="s">
        <v>42</v>
      </c>
      <c r="B445" s="43" t="s">
        <v>121</v>
      </c>
      <c r="C445" s="43" t="s">
        <v>118</v>
      </c>
      <c r="D445" s="44" t="s">
        <v>243</v>
      </c>
      <c r="E445" s="44">
        <v>17</v>
      </c>
      <c r="F445" s="44" t="s">
        <v>2</v>
      </c>
      <c r="G445" s="43" t="str">
        <f>IFERROR(VLOOKUP(A445,'[1]MC Masterlist 2026-09-12'!$B:$M, 3, 0),"")</f>
        <v>YAMAHA</v>
      </c>
      <c r="H445" s="45">
        <f>IFERROR(VLOOKUP(A445,'[1]MC Masterlist 2026-09-12'!$B:$M, 6, 0),"")</f>
        <v>152892</v>
      </c>
      <c r="I445" s="46">
        <v>0</v>
      </c>
      <c r="J445" s="46">
        <v>0</v>
      </c>
      <c r="K445" s="46">
        <v>1</v>
      </c>
      <c r="L445" s="46">
        <f t="shared" si="90"/>
        <v>1</v>
      </c>
      <c r="M445" s="46">
        <f t="shared" si="91"/>
        <v>0.33333333333333331</v>
      </c>
      <c r="N445" s="45">
        <f t="shared" si="92"/>
        <v>152892</v>
      </c>
      <c r="O445" s="45">
        <f t="shared" si="93"/>
        <v>50964</v>
      </c>
      <c r="P445" s="46">
        <f t="shared" si="94"/>
        <v>1.111111111111111E-2</v>
      </c>
      <c r="Q445" s="46">
        <v>1</v>
      </c>
      <c r="R445" s="45">
        <f t="shared" si="95"/>
        <v>152892</v>
      </c>
      <c r="S445" s="46">
        <f t="shared" si="96"/>
        <v>90</v>
      </c>
      <c r="T445" s="46">
        <f>IFERROR(VLOOKUP(A445,'[1]Re-order'!$A:$Q,17,0),"")</f>
        <v>104.55882352941177</v>
      </c>
      <c r="U445" s="46">
        <f>IFERROR(VLOOKUP(A445,'[1]MC Masterlist 2026-09-12'!$B:$M, 10, 0),0)</f>
        <v>15</v>
      </c>
      <c r="V445" s="46">
        <f>IFERROR(VLOOKUP(A445,'[1]MC Masterlist 2026-09-12'!$B:$M, 11, 0),0)</f>
        <v>15</v>
      </c>
      <c r="W445" s="46">
        <f t="shared" si="97"/>
        <v>30</v>
      </c>
      <c r="X445" s="46">
        <f t="shared" si="98"/>
        <v>29.833333333333332</v>
      </c>
      <c r="Y445" s="46">
        <f>IFERROR(IF(OR(C445="AREA I",C445="AREA V"),7,VLOOKUP(A445,'[1]MC Masterlist 2026-09-12'!$B:$M, 12, 0)),0)</f>
        <v>30</v>
      </c>
      <c r="Z445" s="46">
        <f t="shared" si="99"/>
        <v>0.16666666666666666</v>
      </c>
      <c r="AA445" s="46">
        <f t="shared" si="100"/>
        <v>0.33333333333333331</v>
      </c>
      <c r="AB445" s="46">
        <f t="shared" si="101"/>
        <v>0.33148148148148143</v>
      </c>
      <c r="AC445" s="46">
        <f t="shared" si="102"/>
        <v>0.33333333333333331</v>
      </c>
      <c r="AD445" s="44" t="str">
        <f t="shared" si="103"/>
        <v>Over</v>
      </c>
      <c r="AE445" s="44" t="str">
        <f>IFERROR(VLOOKUP(A445,'[1]Re-order'!$A:$AA,27,0),"")</f>
        <v>Over</v>
      </c>
      <c r="AF445" s="46">
        <f t="shared" si="104"/>
        <v>-0.66666666666666674</v>
      </c>
      <c r="AG445" s="46">
        <f>SUMIFS('[1]Raw Inventory'!D:D,'[1]Raw Inventory'!C:C,"GREATWALL",'[1]Raw Inventory'!B:B,A445)</f>
        <v>3</v>
      </c>
      <c r="AH445" s="46">
        <f>SUMIFS('[1]Raw Inventory'!D:D,'[1]Raw Inventory'!C:C,"DUARTE",'[1]Raw Inventory'!B:B,A445)</f>
        <v>0</v>
      </c>
      <c r="AI445" s="46"/>
      <c r="AJ445" s="46"/>
      <c r="AK445" s="43"/>
      <c r="AL445" s="43"/>
      <c r="AM445" s="43"/>
      <c r="AN445" s="43"/>
      <c r="AO445" s="43"/>
      <c r="AP445" s="43"/>
      <c r="AQ445" s="43"/>
      <c r="AR445" s="43"/>
      <c r="AS445" s="43"/>
      <c r="AT445" s="43"/>
    </row>
    <row r="446" spans="1:46">
      <c r="A446" s="43" t="s">
        <v>18</v>
      </c>
      <c r="B446" s="43" t="s">
        <v>110</v>
      </c>
      <c r="C446" s="43" t="s">
        <v>109</v>
      </c>
      <c r="D446" s="44" t="s">
        <v>223</v>
      </c>
      <c r="E446" s="44">
        <v>22</v>
      </c>
      <c r="F446" s="44" t="s">
        <v>3</v>
      </c>
      <c r="G446" s="43" t="str">
        <f>IFERROR(VLOOKUP(A446,'[1]MC Masterlist 2026-09-12'!$B:$M, 3, 0),"")</f>
        <v>HONDA</v>
      </c>
      <c r="H446" s="45">
        <f>IFERROR(VLOOKUP(A446,'[1]MC Masterlist 2026-09-12'!$B:$M, 6, 0),"")</f>
        <v>94330</v>
      </c>
      <c r="I446" s="46">
        <v>0</v>
      </c>
      <c r="J446" s="46">
        <v>0</v>
      </c>
      <c r="K446" s="46">
        <v>1</v>
      </c>
      <c r="L446" s="46">
        <f t="shared" si="90"/>
        <v>1</v>
      </c>
      <c r="M446" s="46">
        <f t="shared" si="91"/>
        <v>0.33333333333333331</v>
      </c>
      <c r="N446" s="45">
        <f t="shared" si="92"/>
        <v>94330</v>
      </c>
      <c r="O446" s="45">
        <f t="shared" si="93"/>
        <v>31443.333333333332</v>
      </c>
      <c r="P446" s="46">
        <f t="shared" si="94"/>
        <v>1.111111111111111E-2</v>
      </c>
      <c r="Q446" s="46">
        <v>2</v>
      </c>
      <c r="R446" s="45">
        <f t="shared" si="95"/>
        <v>188660</v>
      </c>
      <c r="S446" s="46">
        <f t="shared" si="96"/>
        <v>180</v>
      </c>
      <c r="T446" s="46">
        <f>IFERROR(VLOOKUP(A446,'[1]Re-order'!$A:$Q,17,0),"")</f>
        <v>113.9644970414201</v>
      </c>
      <c r="U446" s="46">
        <f>IFERROR(VLOOKUP(A446,'[1]MC Masterlist 2026-09-12'!$B:$M, 10, 0),0)</f>
        <v>15</v>
      </c>
      <c r="V446" s="46">
        <f>IFERROR(VLOOKUP(A446,'[1]MC Masterlist 2026-09-12'!$B:$M, 11, 0),0)</f>
        <v>15</v>
      </c>
      <c r="W446" s="46">
        <f t="shared" si="97"/>
        <v>30</v>
      </c>
      <c r="X446" s="46">
        <f t="shared" si="98"/>
        <v>29.833333333333332</v>
      </c>
      <c r="Y446" s="46">
        <f>IFERROR(IF(OR(C446="AREA I",C446="AREA V"),7,VLOOKUP(A446,'[1]MC Masterlist 2026-09-12'!$B:$M, 12, 0)),0)</f>
        <v>30</v>
      </c>
      <c r="Z446" s="46">
        <f t="shared" si="99"/>
        <v>0.16666666666666666</v>
      </c>
      <c r="AA446" s="46">
        <f t="shared" si="100"/>
        <v>0.33333333333333331</v>
      </c>
      <c r="AB446" s="46">
        <f t="shared" si="101"/>
        <v>0.33148148148148143</v>
      </c>
      <c r="AC446" s="46">
        <f t="shared" si="102"/>
        <v>0.33333333333333331</v>
      </c>
      <c r="AD446" s="44" t="str">
        <f t="shared" si="103"/>
        <v>Over</v>
      </c>
      <c r="AE446" s="44" t="str">
        <f>IFERROR(VLOOKUP(A446,'[1]Re-order'!$A:$AA,27,0),"")</f>
        <v>Over</v>
      </c>
      <c r="AF446" s="46">
        <f t="shared" si="104"/>
        <v>-1.6666666666666667</v>
      </c>
      <c r="AG446" s="46">
        <f>SUMIFS('[1]Raw Inventory'!D:D,'[1]Raw Inventory'!C:C,"GREATWALL",'[1]Raw Inventory'!B:B,A446)</f>
        <v>88</v>
      </c>
      <c r="AH446" s="46">
        <f>SUMIFS('[1]Raw Inventory'!D:D,'[1]Raw Inventory'!C:C,"DUARTE",'[1]Raw Inventory'!B:B,A446)</f>
        <v>0</v>
      </c>
      <c r="AI446" s="46"/>
      <c r="AJ446" s="46"/>
      <c r="AK446" s="43"/>
      <c r="AL446" s="43"/>
      <c r="AM446" s="43"/>
      <c r="AN446" s="43"/>
      <c r="AO446" s="43"/>
      <c r="AP446" s="43"/>
      <c r="AQ446" s="43"/>
      <c r="AR446" s="43"/>
      <c r="AS446" s="43"/>
      <c r="AT446" s="43"/>
    </row>
    <row r="447" spans="1:46">
      <c r="A447" s="43" t="s">
        <v>65</v>
      </c>
      <c r="B447" s="43" t="s">
        <v>157</v>
      </c>
      <c r="C447" s="43" t="s">
        <v>152</v>
      </c>
      <c r="D447" s="44" t="s">
        <v>232</v>
      </c>
      <c r="E447" s="44">
        <v>24</v>
      </c>
      <c r="F447" s="44" t="s">
        <v>3</v>
      </c>
      <c r="G447" s="43" t="str">
        <f>IFERROR(VLOOKUP(A447,'[1]MC Masterlist 2026-09-12'!$B:$M, 3, 0),"")</f>
        <v>SUZUKI</v>
      </c>
      <c r="H447" s="45">
        <f>IFERROR(VLOOKUP(A447,'[1]MC Masterlist 2026-09-12'!$B:$M, 6, 0),"")</f>
        <v>77572</v>
      </c>
      <c r="I447" s="46">
        <v>0</v>
      </c>
      <c r="J447" s="46">
        <v>0</v>
      </c>
      <c r="K447" s="46">
        <v>0</v>
      </c>
      <c r="L447" s="46">
        <f t="shared" si="90"/>
        <v>0</v>
      </c>
      <c r="M447" s="46">
        <f t="shared" si="91"/>
        <v>0</v>
      </c>
      <c r="N447" s="45">
        <f t="shared" si="92"/>
        <v>0</v>
      </c>
      <c r="O447" s="45">
        <f t="shared" si="93"/>
        <v>0</v>
      </c>
      <c r="P447" s="46">
        <f t="shared" si="94"/>
        <v>0</v>
      </c>
      <c r="Q447" s="46">
        <v>1</v>
      </c>
      <c r="R447" s="45">
        <f t="shared" si="95"/>
        <v>77572</v>
      </c>
      <c r="S447" s="46">
        <f t="shared" si="96"/>
        <v>0</v>
      </c>
      <c r="T447" s="46">
        <f>IFERROR(VLOOKUP(A447,'[1]Re-order'!$A:$Q,17,0),"")</f>
        <v>158.8235294117647</v>
      </c>
      <c r="U447" s="46">
        <f>IFERROR(VLOOKUP(A447,'[1]MC Masterlist 2026-09-12'!$B:$M, 10, 0),0)</f>
        <v>15</v>
      </c>
      <c r="V447" s="46">
        <f>IFERROR(VLOOKUP(A447,'[1]MC Masterlist 2026-09-12'!$B:$M, 11, 0),0)</f>
        <v>15</v>
      </c>
      <c r="W447" s="46">
        <f t="shared" si="97"/>
        <v>30</v>
      </c>
      <c r="X447" s="46">
        <f t="shared" si="98"/>
        <v>30</v>
      </c>
      <c r="Y447" s="46">
        <f>IFERROR(IF(OR(C447="AREA I",C447="AREA V"),7,VLOOKUP(A447,'[1]MC Masterlist 2026-09-12'!$B:$M, 12, 0)),0)</f>
        <v>30</v>
      </c>
      <c r="Z447" s="46">
        <f t="shared" si="99"/>
        <v>0</v>
      </c>
      <c r="AA447" s="46">
        <f t="shared" si="100"/>
        <v>0</v>
      </c>
      <c r="AB447" s="46">
        <f t="shared" si="101"/>
        <v>0</v>
      </c>
      <c r="AC447" s="46">
        <f t="shared" si="102"/>
        <v>0</v>
      </c>
      <c r="AD447" s="44" t="str">
        <f t="shared" si="103"/>
        <v>Over</v>
      </c>
      <c r="AE447" s="44" t="str">
        <f>IFERROR(VLOOKUP(A447,'[1]Re-order'!$A:$AA,27,0),"")</f>
        <v>Over</v>
      </c>
      <c r="AF447" s="46">
        <f t="shared" si="104"/>
        <v>-1</v>
      </c>
      <c r="AG447" s="46">
        <f>SUMIFS('[1]Raw Inventory'!D:D,'[1]Raw Inventory'!C:C,"GREATWALL",'[1]Raw Inventory'!B:B,A447)</f>
        <v>4</v>
      </c>
      <c r="AH447" s="46">
        <f>SUMIFS('[1]Raw Inventory'!D:D,'[1]Raw Inventory'!C:C,"DUARTE",'[1]Raw Inventory'!B:B,A447)</f>
        <v>0</v>
      </c>
      <c r="AI447" s="46"/>
      <c r="AJ447" s="46"/>
      <c r="AK447" s="43"/>
      <c r="AL447" s="43"/>
      <c r="AM447" s="43"/>
      <c r="AN447" s="43"/>
      <c r="AO447" s="43"/>
      <c r="AP447" s="43"/>
      <c r="AQ447" s="43"/>
      <c r="AR447" s="43"/>
      <c r="AS447" s="43"/>
      <c r="AT447" s="43"/>
    </row>
    <row r="448" spans="1:46">
      <c r="A448" s="43" t="s">
        <v>47</v>
      </c>
      <c r="B448" s="43" t="s">
        <v>121</v>
      </c>
      <c r="C448" s="43" t="s">
        <v>118</v>
      </c>
      <c r="D448" s="44" t="s">
        <v>247</v>
      </c>
      <c r="E448" s="44">
        <v>24</v>
      </c>
      <c r="F448" s="44" t="s">
        <v>3</v>
      </c>
      <c r="G448" s="43" t="str">
        <f>IFERROR(VLOOKUP(A448,'[1]MC Masterlist 2026-09-12'!$B:$M, 3, 0),"")</f>
        <v>YAMAHA</v>
      </c>
      <c r="H448" s="45">
        <f>IFERROR(VLOOKUP(A448,'[1]MC Masterlist 2026-09-12'!$B:$M, 6, 0),"")</f>
        <v>76167</v>
      </c>
      <c r="I448" s="46">
        <v>0</v>
      </c>
      <c r="J448" s="46">
        <v>1</v>
      </c>
      <c r="K448" s="46">
        <v>0</v>
      </c>
      <c r="L448" s="46">
        <f t="shared" si="90"/>
        <v>1</v>
      </c>
      <c r="M448" s="46">
        <f t="shared" si="91"/>
        <v>0.33333333333333331</v>
      </c>
      <c r="N448" s="45">
        <f t="shared" si="92"/>
        <v>76167</v>
      </c>
      <c r="O448" s="45">
        <f t="shared" si="93"/>
        <v>25389</v>
      </c>
      <c r="P448" s="46">
        <f t="shared" si="94"/>
        <v>1.111111111111111E-2</v>
      </c>
      <c r="Q448" s="46"/>
      <c r="R448" s="45">
        <f t="shared" si="95"/>
        <v>0</v>
      </c>
      <c r="S448" s="46">
        <f t="shared" si="96"/>
        <v>0</v>
      </c>
      <c r="T448" s="46">
        <f>IFERROR(VLOOKUP(A448,'[1]Re-order'!$A:$Q,17,0),"")</f>
        <v>86.666666666666671</v>
      </c>
      <c r="U448" s="46">
        <f>IFERROR(VLOOKUP(A448,'[1]MC Masterlist 2026-09-12'!$B:$M, 10, 0),0)</f>
        <v>15</v>
      </c>
      <c r="V448" s="46">
        <f>IFERROR(VLOOKUP(A448,'[1]MC Masterlist 2026-09-12'!$B:$M, 11, 0),0)</f>
        <v>15</v>
      </c>
      <c r="W448" s="46">
        <f t="shared" si="97"/>
        <v>30</v>
      </c>
      <c r="X448" s="46">
        <f t="shared" si="98"/>
        <v>29.833333333333332</v>
      </c>
      <c r="Y448" s="46">
        <f>IFERROR(IF(OR(C448="AREA I",C448="AREA V"),7,VLOOKUP(A448,'[1]MC Masterlist 2026-09-12'!$B:$M, 12, 0)),0)</f>
        <v>30</v>
      </c>
      <c r="Z448" s="46">
        <f t="shared" si="99"/>
        <v>0.16666666666666666</v>
      </c>
      <c r="AA448" s="46">
        <f t="shared" si="100"/>
        <v>0.33333333333333331</v>
      </c>
      <c r="AB448" s="46">
        <f t="shared" si="101"/>
        <v>0.33148148148148143</v>
      </c>
      <c r="AC448" s="46">
        <f t="shared" si="102"/>
        <v>0.33333333333333331</v>
      </c>
      <c r="AD448" s="44" t="str">
        <f t="shared" si="103"/>
        <v>Stockout</v>
      </c>
      <c r="AE448" s="44" t="str">
        <f>IFERROR(VLOOKUP(A448,'[1]Re-order'!$A:$AA,27,0),"")</f>
        <v/>
      </c>
      <c r="AF448" s="46">
        <f t="shared" si="104"/>
        <v>0.33333333333333331</v>
      </c>
      <c r="AG448" s="46">
        <f>SUMIFS('[1]Raw Inventory'!D:D,'[1]Raw Inventory'!C:C,"GREATWALL",'[1]Raw Inventory'!B:B,A448)</f>
        <v>1</v>
      </c>
      <c r="AH448" s="46">
        <f>SUMIFS('[1]Raw Inventory'!D:D,'[1]Raw Inventory'!C:C,"DUARTE",'[1]Raw Inventory'!B:B,A448)</f>
        <v>0</v>
      </c>
      <c r="AI448" s="46"/>
      <c r="AJ448" s="46"/>
      <c r="AK448" s="43"/>
      <c r="AL448" s="43"/>
      <c r="AM448" s="43"/>
      <c r="AN448" s="43"/>
      <c r="AO448" s="43"/>
      <c r="AP448" s="43"/>
      <c r="AQ448" s="43"/>
      <c r="AR448" s="43"/>
      <c r="AS448" s="43"/>
      <c r="AT448" s="43"/>
    </row>
    <row r="449" spans="1:46">
      <c r="A449" s="43" t="s">
        <v>31</v>
      </c>
      <c r="B449" s="43" t="s">
        <v>157</v>
      </c>
      <c r="C449" s="43" t="s">
        <v>152</v>
      </c>
      <c r="D449" s="44" t="s">
        <v>237</v>
      </c>
      <c r="E449" s="44">
        <v>23</v>
      </c>
      <c r="F449" s="44" t="s">
        <v>3</v>
      </c>
      <c r="G449" s="43" t="str">
        <f>IFERROR(VLOOKUP(A449,'[1]MC Masterlist 2026-09-12'!$B:$M, 3, 0),"")</f>
        <v>KAWASAKI</v>
      </c>
      <c r="H449" s="45">
        <f>IFERROR(VLOOKUP(A449,'[1]MC Masterlist 2026-09-12'!$B:$M, 6, 0),"")</f>
        <v>59528</v>
      </c>
      <c r="I449" s="46">
        <v>0</v>
      </c>
      <c r="J449" s="46">
        <v>1</v>
      </c>
      <c r="K449" s="46">
        <v>0</v>
      </c>
      <c r="L449" s="46">
        <f t="shared" si="90"/>
        <v>1</v>
      </c>
      <c r="M449" s="46">
        <f t="shared" si="91"/>
        <v>0.33333333333333331</v>
      </c>
      <c r="N449" s="45">
        <f t="shared" si="92"/>
        <v>59528</v>
      </c>
      <c r="O449" s="45">
        <f t="shared" si="93"/>
        <v>19842.666666666664</v>
      </c>
      <c r="P449" s="46">
        <f t="shared" si="94"/>
        <v>1.111111111111111E-2</v>
      </c>
      <c r="Q449" s="46"/>
      <c r="R449" s="45">
        <f t="shared" si="95"/>
        <v>0</v>
      </c>
      <c r="S449" s="46">
        <f t="shared" si="96"/>
        <v>0</v>
      </c>
      <c r="T449" s="46">
        <f>IFERROR(VLOOKUP(A449,'[1]Re-order'!$A:$Q,17,0),"")</f>
        <v>95.869565217391298</v>
      </c>
      <c r="U449" s="46">
        <f>IFERROR(VLOOKUP(A449,'[1]MC Masterlist 2026-09-12'!$B:$M, 10, 0),0)</f>
        <v>15</v>
      </c>
      <c r="V449" s="46">
        <f>IFERROR(VLOOKUP(A449,'[1]MC Masterlist 2026-09-12'!$B:$M, 11, 0),0)</f>
        <v>15</v>
      </c>
      <c r="W449" s="46">
        <f t="shared" si="97"/>
        <v>30</v>
      </c>
      <c r="X449" s="46">
        <f t="shared" si="98"/>
        <v>29.833333333333332</v>
      </c>
      <c r="Y449" s="46">
        <f>IFERROR(IF(OR(C449="AREA I",C449="AREA V"),7,VLOOKUP(A449,'[1]MC Masterlist 2026-09-12'!$B:$M, 12, 0)),0)</f>
        <v>30</v>
      </c>
      <c r="Z449" s="46">
        <f t="shared" si="99"/>
        <v>0.16666666666666666</v>
      </c>
      <c r="AA449" s="46">
        <f t="shared" si="100"/>
        <v>0.33333333333333331</v>
      </c>
      <c r="AB449" s="46">
        <f t="shared" si="101"/>
        <v>0.33148148148148143</v>
      </c>
      <c r="AC449" s="46">
        <f t="shared" si="102"/>
        <v>0.33333333333333331</v>
      </c>
      <c r="AD449" s="44" t="str">
        <f t="shared" si="103"/>
        <v>Stockout</v>
      </c>
      <c r="AE449" s="44" t="str">
        <f>IFERROR(VLOOKUP(A449,'[1]Re-order'!$A:$AA,27,0),"")</f>
        <v>Over</v>
      </c>
      <c r="AF449" s="46">
        <f t="shared" si="104"/>
        <v>0.33333333333333331</v>
      </c>
      <c r="AG449" s="46">
        <f>SUMIFS('[1]Raw Inventory'!D:D,'[1]Raw Inventory'!C:C,"GREATWALL",'[1]Raw Inventory'!B:B,A449)</f>
        <v>79</v>
      </c>
      <c r="AH449" s="46">
        <f>SUMIFS('[1]Raw Inventory'!D:D,'[1]Raw Inventory'!C:C,"DUARTE",'[1]Raw Inventory'!B:B,A449)</f>
        <v>0</v>
      </c>
      <c r="AI449" s="46"/>
      <c r="AJ449" s="46"/>
      <c r="AK449" s="43"/>
      <c r="AL449" s="43"/>
      <c r="AM449" s="43"/>
      <c r="AN449" s="43"/>
      <c r="AO449" s="43"/>
      <c r="AP449" s="43"/>
      <c r="AQ449" s="43"/>
      <c r="AR449" s="43"/>
      <c r="AS449" s="43"/>
      <c r="AT449" s="43"/>
    </row>
    <row r="450" spans="1:46">
      <c r="A450" s="43" t="s">
        <v>14</v>
      </c>
      <c r="B450" s="43" t="s">
        <v>21</v>
      </c>
      <c r="C450" s="43" t="s">
        <v>1</v>
      </c>
      <c r="D450" s="44" t="s">
        <v>225</v>
      </c>
      <c r="E450" s="44">
        <v>3</v>
      </c>
      <c r="F450" s="44" t="s">
        <v>0</v>
      </c>
      <c r="G450" s="43" t="str">
        <f>IFERROR(VLOOKUP(A450,'[1]MC Masterlist 2026-09-12'!$B:$M, 3, 0),"")</f>
        <v>HONDA</v>
      </c>
      <c r="H450" s="45">
        <f>IFERROR(VLOOKUP(A450,'[1]MC Masterlist 2026-09-12'!$B:$M, 6, 0),"")</f>
        <v>80070</v>
      </c>
      <c r="I450" s="46">
        <v>7</v>
      </c>
      <c r="J450" s="46">
        <v>3</v>
      </c>
      <c r="K450" s="46">
        <v>7</v>
      </c>
      <c r="L450" s="46">
        <f t="shared" si="90"/>
        <v>17</v>
      </c>
      <c r="M450" s="46">
        <f t="shared" si="91"/>
        <v>5.666666666666667</v>
      </c>
      <c r="N450" s="45">
        <f t="shared" si="92"/>
        <v>1361190</v>
      </c>
      <c r="O450" s="45">
        <f t="shared" si="93"/>
        <v>453730</v>
      </c>
      <c r="P450" s="46">
        <f t="shared" si="94"/>
        <v>0.18888888888888891</v>
      </c>
      <c r="Q450" s="46">
        <v>2</v>
      </c>
      <c r="R450" s="45">
        <f t="shared" si="95"/>
        <v>160140</v>
      </c>
      <c r="S450" s="46">
        <f t="shared" si="96"/>
        <v>10.588235294117649</v>
      </c>
      <c r="T450" s="46">
        <f>IFERROR(VLOOKUP(A450,'[1]Re-order'!$A:$Q,17,0),"")</f>
        <v>20.105787181082761</v>
      </c>
      <c r="U450" s="46">
        <f>IFERROR(VLOOKUP(A450,'[1]MC Masterlist 2026-09-12'!$B:$M, 10, 0),0)</f>
        <v>15</v>
      </c>
      <c r="V450" s="46">
        <f>IFERROR(VLOOKUP(A450,'[1]MC Masterlist 2026-09-12'!$B:$M, 11, 0),0)</f>
        <v>15</v>
      </c>
      <c r="W450" s="46">
        <f t="shared" si="97"/>
        <v>30</v>
      </c>
      <c r="X450" s="46">
        <f t="shared" si="98"/>
        <v>4.1666666666666661</v>
      </c>
      <c r="Y450" s="46">
        <f>IFERROR(IF(OR(C450="AREA I",C450="AREA V"),7,VLOOKUP(A450,'[1]MC Masterlist 2026-09-12'!$B:$M, 12, 0)),0)</f>
        <v>7</v>
      </c>
      <c r="Z450" s="46">
        <f t="shared" si="99"/>
        <v>2.8333333333333335</v>
      </c>
      <c r="AA450" s="46">
        <f t="shared" si="100"/>
        <v>5.666666666666667</v>
      </c>
      <c r="AB450" s="46">
        <f t="shared" si="101"/>
        <v>0.78703703703703698</v>
      </c>
      <c r="AC450" s="46">
        <f t="shared" si="102"/>
        <v>1.3222222222222224</v>
      </c>
      <c r="AD450" s="44" t="str">
        <f t="shared" si="103"/>
        <v>Over</v>
      </c>
      <c r="AE450" s="44" t="str">
        <f>IFERROR(VLOOKUP(A450,'[1]Re-order'!$A:$AA,27,0),"")</f>
        <v>Stockout</v>
      </c>
      <c r="AF450" s="46">
        <f t="shared" si="104"/>
        <v>-0.67777777777777759</v>
      </c>
      <c r="AG450" s="46">
        <f>SUMIFS('[1]Raw Inventory'!D:D,'[1]Raw Inventory'!C:C,"GREATWALL",'[1]Raw Inventory'!B:B,A450)</f>
        <v>176</v>
      </c>
      <c r="AH450" s="46">
        <f>SUMIFS('[1]Raw Inventory'!D:D,'[1]Raw Inventory'!C:C,"DUARTE",'[1]Raw Inventory'!B:B,A450)</f>
        <v>0</v>
      </c>
      <c r="AI450" s="46"/>
      <c r="AJ450" s="46"/>
      <c r="AK450" s="43"/>
      <c r="AL450" s="43"/>
      <c r="AM450" s="43"/>
      <c r="AN450" s="43"/>
      <c r="AO450" s="43"/>
      <c r="AP450" s="43"/>
      <c r="AQ450" s="43"/>
      <c r="AR450" s="43"/>
      <c r="AS450" s="43"/>
      <c r="AT450" s="43"/>
    </row>
    <row r="451" spans="1:46">
      <c r="A451" s="43" t="s">
        <v>44</v>
      </c>
      <c r="B451" s="43" t="s">
        <v>111</v>
      </c>
      <c r="C451" s="43" t="s">
        <v>109</v>
      </c>
      <c r="D451" s="44" t="s">
        <v>243</v>
      </c>
      <c r="E451" s="44">
        <v>14</v>
      </c>
      <c r="F451" s="44" t="s">
        <v>2</v>
      </c>
      <c r="G451" s="43" t="str">
        <f>IFERROR(VLOOKUP(A451,'[1]MC Masterlist 2026-09-12'!$B:$M, 3, 0),"")</f>
        <v>YAMAHA</v>
      </c>
      <c r="H451" s="45">
        <f>IFERROR(VLOOKUP(A451,'[1]MC Masterlist 2026-09-12'!$B:$M, 6, 0),"")</f>
        <v>165912</v>
      </c>
      <c r="I451" s="46">
        <v>1</v>
      </c>
      <c r="J451" s="46">
        <v>0</v>
      </c>
      <c r="K451" s="46">
        <v>0</v>
      </c>
      <c r="L451" s="46">
        <f t="shared" ref="L451:L514" si="105">I451+J451+K451</f>
        <v>1</v>
      </c>
      <c r="M451" s="46">
        <f t="shared" ref="M451:M514" si="106">AVERAGE(I451,J451,K451)</f>
        <v>0.33333333333333331</v>
      </c>
      <c r="N451" s="45">
        <f t="shared" ref="N451:N514" si="107">L451*H451</f>
        <v>165912</v>
      </c>
      <c r="O451" s="45">
        <f t="shared" ref="O451:O514" si="108">M451*H451</f>
        <v>55304</v>
      </c>
      <c r="P451" s="46">
        <f t="shared" ref="P451:P514" si="109">M451/30</f>
        <v>1.111111111111111E-2</v>
      </c>
      <c r="Q451" s="46"/>
      <c r="R451" s="45">
        <f t="shared" ref="R451:R514" si="110">IFERROR(Q451*H451, 0)</f>
        <v>0</v>
      </c>
      <c r="S451" s="46">
        <f t="shared" ref="S451:S514" si="111">IFERROR(R451/(O451)*30, 0)</f>
        <v>0</v>
      </c>
      <c r="T451" s="46">
        <f>IFERROR(VLOOKUP(A451,'[1]Re-order'!$A:$Q,17,0),"")</f>
        <v>10.588235294117649</v>
      </c>
      <c r="U451" s="46">
        <f>IFERROR(VLOOKUP(A451,'[1]MC Masterlist 2026-09-12'!$B:$M, 10, 0),0)</f>
        <v>15</v>
      </c>
      <c r="V451" s="46">
        <f>IFERROR(VLOOKUP(A451,'[1]MC Masterlist 2026-09-12'!$B:$M, 11, 0),0)</f>
        <v>15</v>
      </c>
      <c r="W451" s="46">
        <f t="shared" ref="W451:W514" si="112">U451+V451</f>
        <v>30</v>
      </c>
      <c r="X451" s="46">
        <f t="shared" ref="X451:X514" si="113">Y451-Z451</f>
        <v>29.833333333333332</v>
      </c>
      <c r="Y451" s="46">
        <f>IFERROR(IF(OR(C451="AREA I",C451="AREA V"),7,VLOOKUP(A451,'[1]MC Masterlist 2026-09-12'!$B:$M, 12, 0)),0)</f>
        <v>30</v>
      </c>
      <c r="Z451" s="46">
        <f t="shared" ref="Z451:Z514" si="114">V451*P451</f>
        <v>0.16666666666666666</v>
      </c>
      <c r="AA451" s="46">
        <f t="shared" ref="AA451:AA514" si="115">W451*P451</f>
        <v>0.33333333333333331</v>
      </c>
      <c r="AB451" s="46">
        <f t="shared" ref="AB451:AB514" si="116">X451*P451</f>
        <v>0.33148148148148143</v>
      </c>
      <c r="AC451" s="46">
        <f t="shared" ref="AC451:AC514" si="117">Y451*P451</f>
        <v>0.33333333333333331</v>
      </c>
      <c r="AD451" s="44" t="str">
        <f t="shared" ref="AD451:AD514" si="118">IFERROR(IF(Q451&gt;AC451, "Over", IF(Q451&lt;=Z451, "Stockout", IF(Q451&lt;=AA451, "Re-order",""))), "")</f>
        <v>Stockout</v>
      </c>
      <c r="AE451" s="44" t="str">
        <f>IFERROR(VLOOKUP(A451,'[1]Re-order'!$A:$AA,27,0),"")</f>
        <v>Stockout</v>
      </c>
      <c r="AF451" s="46">
        <f t="shared" ref="AF451:AF514" si="119">AC451-Q451</f>
        <v>0.33333333333333331</v>
      </c>
      <c r="AG451" s="46">
        <f>SUMIFS('[1]Raw Inventory'!D:D,'[1]Raw Inventory'!C:C,"GREATWALL",'[1]Raw Inventory'!B:B,A451)</f>
        <v>0</v>
      </c>
      <c r="AH451" s="46">
        <f>SUMIFS('[1]Raw Inventory'!D:D,'[1]Raw Inventory'!C:C,"DUARTE",'[1]Raw Inventory'!B:B,A451)</f>
        <v>0</v>
      </c>
      <c r="AI451" s="46"/>
      <c r="AJ451" s="46"/>
      <c r="AK451" s="43"/>
      <c r="AL451" s="43"/>
      <c r="AM451" s="43"/>
      <c r="AN451" s="43"/>
      <c r="AO451" s="43"/>
      <c r="AP451" s="43"/>
      <c r="AQ451" s="43"/>
      <c r="AR451" s="43"/>
      <c r="AS451" s="43"/>
      <c r="AT451" s="43"/>
    </row>
    <row r="452" spans="1:46">
      <c r="A452" s="43" t="s">
        <v>14</v>
      </c>
      <c r="B452" s="43" t="s">
        <v>121</v>
      </c>
      <c r="C452" s="43" t="s">
        <v>118</v>
      </c>
      <c r="D452" s="44" t="s">
        <v>238</v>
      </c>
      <c r="E452" s="44">
        <v>2</v>
      </c>
      <c r="F452" s="44" t="s">
        <v>0</v>
      </c>
      <c r="G452" s="43" t="str">
        <f>IFERROR(VLOOKUP(A452,'[1]MC Masterlist 2026-09-12'!$B:$M, 3, 0),"")</f>
        <v>HONDA</v>
      </c>
      <c r="H452" s="45">
        <f>IFERROR(VLOOKUP(A452,'[1]MC Masterlist 2026-09-12'!$B:$M, 6, 0),"")</f>
        <v>80070</v>
      </c>
      <c r="I452" s="46">
        <v>14</v>
      </c>
      <c r="J452" s="46">
        <v>1</v>
      </c>
      <c r="K452" s="46">
        <v>12</v>
      </c>
      <c r="L452" s="46">
        <f t="shared" si="105"/>
        <v>27</v>
      </c>
      <c r="M452" s="46">
        <f t="shared" si="106"/>
        <v>9</v>
      </c>
      <c r="N452" s="45">
        <f t="shared" si="107"/>
        <v>2161890</v>
      </c>
      <c r="O452" s="45">
        <f t="shared" si="108"/>
        <v>720630</v>
      </c>
      <c r="P452" s="46">
        <f t="shared" si="109"/>
        <v>0.3</v>
      </c>
      <c r="Q452" s="46"/>
      <c r="R452" s="45">
        <f t="shared" si="110"/>
        <v>0</v>
      </c>
      <c r="S452" s="46">
        <f t="shared" si="111"/>
        <v>0</v>
      </c>
      <c r="T452" s="46">
        <f>IFERROR(VLOOKUP(A452,'[1]Re-order'!$A:$Q,17,0),"")</f>
        <v>20.105787181082761</v>
      </c>
      <c r="U452" s="46">
        <f>IFERROR(VLOOKUP(A452,'[1]MC Masterlist 2026-09-12'!$B:$M, 10, 0),0)</f>
        <v>15</v>
      </c>
      <c r="V452" s="46">
        <f>IFERROR(VLOOKUP(A452,'[1]MC Masterlist 2026-09-12'!$B:$M, 11, 0),0)</f>
        <v>15</v>
      </c>
      <c r="W452" s="46">
        <f t="shared" si="112"/>
        <v>30</v>
      </c>
      <c r="X452" s="46">
        <f t="shared" si="113"/>
        <v>25.5</v>
      </c>
      <c r="Y452" s="46">
        <f>IFERROR(IF(OR(C452="AREA I",C452="AREA V"),7,VLOOKUP(A452,'[1]MC Masterlist 2026-09-12'!$B:$M, 12, 0)),0)</f>
        <v>30</v>
      </c>
      <c r="Z452" s="46">
        <f t="shared" si="114"/>
        <v>4.5</v>
      </c>
      <c r="AA452" s="46">
        <f t="shared" si="115"/>
        <v>9</v>
      </c>
      <c r="AB452" s="46">
        <f t="shared" si="116"/>
        <v>7.6499999999999995</v>
      </c>
      <c r="AC452" s="46">
        <f t="shared" si="117"/>
        <v>9</v>
      </c>
      <c r="AD452" s="44" t="str">
        <f t="shared" si="118"/>
        <v>Stockout</v>
      </c>
      <c r="AE452" s="44" t="str">
        <f>IFERROR(VLOOKUP(A452,'[1]Re-order'!$A:$AA,27,0),"")</f>
        <v>Stockout</v>
      </c>
      <c r="AF452" s="46">
        <f t="shared" si="119"/>
        <v>9</v>
      </c>
      <c r="AG452" s="46">
        <f>SUMIFS('[1]Raw Inventory'!D:D,'[1]Raw Inventory'!C:C,"GREATWALL",'[1]Raw Inventory'!B:B,A452)</f>
        <v>176</v>
      </c>
      <c r="AH452" s="46">
        <f>SUMIFS('[1]Raw Inventory'!D:D,'[1]Raw Inventory'!C:C,"DUARTE",'[1]Raw Inventory'!B:B,A452)</f>
        <v>0</v>
      </c>
      <c r="AI452" s="46"/>
      <c r="AJ452" s="46"/>
      <c r="AK452" s="43"/>
      <c r="AL452" s="43"/>
      <c r="AM452" s="43"/>
      <c r="AN452" s="43"/>
      <c r="AO452" s="43"/>
      <c r="AP452" s="43"/>
      <c r="AQ452" s="43"/>
      <c r="AR452" s="43"/>
      <c r="AS452" s="43"/>
      <c r="AT452" s="43"/>
    </row>
    <row r="453" spans="1:46">
      <c r="A453" s="43" t="s">
        <v>66</v>
      </c>
      <c r="B453" s="43" t="s">
        <v>121</v>
      </c>
      <c r="C453" s="43" t="s">
        <v>118</v>
      </c>
      <c r="D453" s="44" t="s">
        <v>258</v>
      </c>
      <c r="E453" s="44">
        <v>28</v>
      </c>
      <c r="F453" s="44" t="s">
        <v>3</v>
      </c>
      <c r="G453" s="43" t="str">
        <f>IFERROR(VLOOKUP(A453,'[1]MC Masterlist 2026-09-12'!$B:$M, 3, 0),"")</f>
        <v>KAWASAKI</v>
      </c>
      <c r="H453" s="45">
        <f>IFERROR(VLOOKUP(A453,'[1]MC Masterlist 2026-09-12'!$B:$M, 6, 0),"")</f>
        <v>95530</v>
      </c>
      <c r="I453" s="46">
        <v>0</v>
      </c>
      <c r="J453" s="46">
        <v>0</v>
      </c>
      <c r="K453" s="46">
        <v>0</v>
      </c>
      <c r="L453" s="46">
        <f t="shared" si="105"/>
        <v>0</v>
      </c>
      <c r="M453" s="46">
        <f t="shared" si="106"/>
        <v>0</v>
      </c>
      <c r="N453" s="45">
        <f t="shared" si="107"/>
        <v>0</v>
      </c>
      <c r="O453" s="45">
        <f t="shared" si="108"/>
        <v>0</v>
      </c>
      <c r="P453" s="46">
        <f t="shared" si="109"/>
        <v>0</v>
      </c>
      <c r="Q453" s="46">
        <v>3</v>
      </c>
      <c r="R453" s="45">
        <f t="shared" si="110"/>
        <v>286590</v>
      </c>
      <c r="S453" s="46">
        <f t="shared" si="111"/>
        <v>0</v>
      </c>
      <c r="T453" s="46">
        <f>IFERROR(VLOOKUP(A453,'[1]Re-order'!$A:$Q,17,0),"")</f>
        <v>112.7848101265823</v>
      </c>
      <c r="U453" s="46">
        <f>IFERROR(VLOOKUP(A453,'[1]MC Masterlist 2026-09-12'!$B:$M, 10, 0),0)</f>
        <v>15</v>
      </c>
      <c r="V453" s="46">
        <f>IFERROR(VLOOKUP(A453,'[1]MC Masterlist 2026-09-12'!$B:$M, 11, 0),0)</f>
        <v>15</v>
      </c>
      <c r="W453" s="46">
        <f t="shared" si="112"/>
        <v>30</v>
      </c>
      <c r="X453" s="46">
        <f t="shared" si="113"/>
        <v>30</v>
      </c>
      <c r="Y453" s="46">
        <f>IFERROR(IF(OR(C453="AREA I",C453="AREA V"),7,VLOOKUP(A453,'[1]MC Masterlist 2026-09-12'!$B:$M, 12, 0)),0)</f>
        <v>30</v>
      </c>
      <c r="Z453" s="46">
        <f t="shared" si="114"/>
        <v>0</v>
      </c>
      <c r="AA453" s="46">
        <f t="shared" si="115"/>
        <v>0</v>
      </c>
      <c r="AB453" s="46">
        <f t="shared" si="116"/>
        <v>0</v>
      </c>
      <c r="AC453" s="46">
        <f t="shared" si="117"/>
        <v>0</v>
      </c>
      <c r="AD453" s="44" t="str">
        <f t="shared" si="118"/>
        <v>Over</v>
      </c>
      <c r="AE453" s="44" t="str">
        <f>IFERROR(VLOOKUP(A453,'[1]Re-order'!$A:$AA,27,0),"")</f>
        <v>Over</v>
      </c>
      <c r="AF453" s="46">
        <f t="shared" si="119"/>
        <v>-3</v>
      </c>
      <c r="AG453" s="46">
        <f>SUMIFS('[1]Raw Inventory'!D:D,'[1]Raw Inventory'!C:C,"GREATWALL",'[1]Raw Inventory'!B:B,A453)</f>
        <v>64</v>
      </c>
      <c r="AH453" s="46">
        <f>SUMIFS('[1]Raw Inventory'!D:D,'[1]Raw Inventory'!C:C,"DUARTE",'[1]Raw Inventory'!B:B,A453)</f>
        <v>0</v>
      </c>
      <c r="AI453" s="46"/>
      <c r="AJ453" s="46"/>
      <c r="AK453" s="43"/>
      <c r="AL453" s="43"/>
      <c r="AM453" s="43"/>
      <c r="AN453" s="43"/>
      <c r="AO453" s="43"/>
      <c r="AP453" s="43"/>
      <c r="AQ453" s="43"/>
      <c r="AR453" s="43"/>
      <c r="AS453" s="43"/>
      <c r="AT453" s="43"/>
    </row>
    <row r="454" spans="1:46">
      <c r="A454" s="43" t="s">
        <v>48</v>
      </c>
      <c r="B454" s="43" t="s">
        <v>98</v>
      </c>
      <c r="C454" s="43" t="s">
        <v>90</v>
      </c>
      <c r="D454" s="44" t="s">
        <v>237</v>
      </c>
      <c r="E454" s="44">
        <v>22</v>
      </c>
      <c r="F454" s="44" t="s">
        <v>3</v>
      </c>
      <c r="G454" s="43" t="str">
        <f>IFERROR(VLOOKUP(A454,'[1]MC Masterlist 2026-09-12'!$B:$M, 3, 0),"")</f>
        <v>SUZUKI</v>
      </c>
      <c r="H454" s="45">
        <f>IFERROR(VLOOKUP(A454,'[1]MC Masterlist 2026-09-12'!$B:$M, 6, 0),"")</f>
        <v>82687</v>
      </c>
      <c r="I454" s="46">
        <v>0</v>
      </c>
      <c r="J454" s="46">
        <v>0</v>
      </c>
      <c r="K454" s="46">
        <v>0</v>
      </c>
      <c r="L454" s="46">
        <f t="shared" si="105"/>
        <v>0</v>
      </c>
      <c r="M454" s="46">
        <f t="shared" si="106"/>
        <v>0</v>
      </c>
      <c r="N454" s="45">
        <f t="shared" si="107"/>
        <v>0</v>
      </c>
      <c r="O454" s="45">
        <f t="shared" si="108"/>
        <v>0</v>
      </c>
      <c r="P454" s="46">
        <f t="shared" si="109"/>
        <v>0</v>
      </c>
      <c r="Q454" s="46">
        <v>1</v>
      </c>
      <c r="R454" s="45">
        <f t="shared" si="110"/>
        <v>82687</v>
      </c>
      <c r="S454" s="46">
        <f t="shared" si="111"/>
        <v>0</v>
      </c>
      <c r="T454" s="46">
        <f>IFERROR(VLOOKUP(A454,'[1]Re-order'!$A:$Q,17,0),"")</f>
        <v>303.75</v>
      </c>
      <c r="U454" s="46">
        <f>IFERROR(VLOOKUP(A454,'[1]MC Masterlist 2026-09-12'!$B:$M, 10, 0),0)</f>
        <v>15</v>
      </c>
      <c r="V454" s="46">
        <f>IFERROR(VLOOKUP(A454,'[1]MC Masterlist 2026-09-12'!$B:$M, 11, 0),0)</f>
        <v>15</v>
      </c>
      <c r="W454" s="46">
        <f t="shared" si="112"/>
        <v>30</v>
      </c>
      <c r="X454" s="46">
        <f t="shared" si="113"/>
        <v>30</v>
      </c>
      <c r="Y454" s="46">
        <f>IFERROR(IF(OR(C454="AREA I",C454="AREA V"),7,VLOOKUP(A454,'[1]MC Masterlist 2026-09-12'!$B:$M, 12, 0)),0)</f>
        <v>30</v>
      </c>
      <c r="Z454" s="46">
        <f t="shared" si="114"/>
        <v>0</v>
      </c>
      <c r="AA454" s="46">
        <f t="shared" si="115"/>
        <v>0</v>
      </c>
      <c r="AB454" s="46">
        <f t="shared" si="116"/>
        <v>0</v>
      </c>
      <c r="AC454" s="46">
        <f t="shared" si="117"/>
        <v>0</v>
      </c>
      <c r="AD454" s="44" t="str">
        <f t="shared" si="118"/>
        <v>Over</v>
      </c>
      <c r="AE454" s="44" t="str">
        <f>IFERROR(VLOOKUP(A454,'[1]Re-order'!$A:$AA,27,0),"")</f>
        <v>Over</v>
      </c>
      <c r="AF454" s="46">
        <f t="shared" si="119"/>
        <v>-1</v>
      </c>
      <c r="AG454" s="46">
        <f>SUMIFS('[1]Raw Inventory'!D:D,'[1]Raw Inventory'!C:C,"GREATWALL",'[1]Raw Inventory'!B:B,A454)</f>
        <v>10</v>
      </c>
      <c r="AH454" s="46">
        <f>SUMIFS('[1]Raw Inventory'!D:D,'[1]Raw Inventory'!C:C,"DUARTE",'[1]Raw Inventory'!B:B,A454)</f>
        <v>0</v>
      </c>
      <c r="AI454" s="46"/>
      <c r="AJ454" s="46"/>
      <c r="AK454" s="43"/>
      <c r="AL454" s="43"/>
      <c r="AM454" s="43"/>
      <c r="AN454" s="43"/>
      <c r="AO454" s="43"/>
      <c r="AP454" s="43"/>
      <c r="AQ454" s="43"/>
      <c r="AR454" s="43"/>
      <c r="AS454" s="43"/>
      <c r="AT454" s="43"/>
    </row>
    <row r="455" spans="1:46">
      <c r="A455" s="43" t="s">
        <v>28</v>
      </c>
      <c r="B455" s="43" t="s">
        <v>141</v>
      </c>
      <c r="C455" s="43" t="s">
        <v>137</v>
      </c>
      <c r="D455" s="44" t="s">
        <v>225</v>
      </c>
      <c r="E455" s="44">
        <v>3</v>
      </c>
      <c r="F455" s="44" t="s">
        <v>0</v>
      </c>
      <c r="G455" s="43" t="str">
        <f>IFERROR(VLOOKUP(A455,'[1]MC Masterlist 2026-09-12'!$B:$M, 3, 0),"")</f>
        <v>YAMAHA</v>
      </c>
      <c r="H455" s="45">
        <f>IFERROR(VLOOKUP(A455,'[1]MC Masterlist 2026-09-12'!$B:$M, 6, 0),"")</f>
        <v>147312</v>
      </c>
      <c r="I455" s="46">
        <v>2</v>
      </c>
      <c r="J455" s="46">
        <v>4</v>
      </c>
      <c r="K455" s="46">
        <v>1</v>
      </c>
      <c r="L455" s="46">
        <f t="shared" si="105"/>
        <v>7</v>
      </c>
      <c r="M455" s="46">
        <f t="shared" si="106"/>
        <v>2.3333333333333335</v>
      </c>
      <c r="N455" s="45">
        <f t="shared" si="107"/>
        <v>1031184</v>
      </c>
      <c r="O455" s="45">
        <f t="shared" si="108"/>
        <v>343728</v>
      </c>
      <c r="P455" s="46">
        <f t="shared" si="109"/>
        <v>7.7777777777777779E-2</v>
      </c>
      <c r="Q455" s="46">
        <v>0</v>
      </c>
      <c r="R455" s="45">
        <f t="shared" si="110"/>
        <v>0</v>
      </c>
      <c r="S455" s="46">
        <f t="shared" si="111"/>
        <v>0</v>
      </c>
      <c r="T455" s="46">
        <f>IFERROR(VLOOKUP(A455,'[1]Re-order'!$A:$Q,17,0),"")</f>
        <v>8.2417582417582427</v>
      </c>
      <c r="U455" s="46">
        <f>IFERROR(VLOOKUP(A455,'[1]MC Masterlist 2026-09-12'!$B:$M, 10, 0),0)</f>
        <v>15</v>
      </c>
      <c r="V455" s="46">
        <f>IFERROR(VLOOKUP(A455,'[1]MC Masterlist 2026-09-12'!$B:$M, 11, 0),0)</f>
        <v>15</v>
      </c>
      <c r="W455" s="46">
        <f t="shared" si="112"/>
        <v>30</v>
      </c>
      <c r="X455" s="46">
        <f t="shared" si="113"/>
        <v>5.833333333333333</v>
      </c>
      <c r="Y455" s="46">
        <f>IFERROR(IF(OR(C455="AREA I",C455="AREA V"),7,VLOOKUP(A455,'[1]MC Masterlist 2026-09-12'!$B:$M, 12, 0)),0)</f>
        <v>7</v>
      </c>
      <c r="Z455" s="46">
        <f t="shared" si="114"/>
        <v>1.1666666666666667</v>
      </c>
      <c r="AA455" s="46">
        <f t="shared" si="115"/>
        <v>2.3333333333333335</v>
      </c>
      <c r="AB455" s="46">
        <f t="shared" si="116"/>
        <v>0.45370370370370366</v>
      </c>
      <c r="AC455" s="46">
        <f t="shared" si="117"/>
        <v>0.54444444444444451</v>
      </c>
      <c r="AD455" s="44" t="str">
        <f t="shared" si="118"/>
        <v>Stockout</v>
      </c>
      <c r="AE455" s="44" t="str">
        <f>IFERROR(VLOOKUP(A455,'[1]Re-order'!$A:$AA,27,0),"")</f>
        <v>Stockout</v>
      </c>
      <c r="AF455" s="46">
        <f t="shared" si="119"/>
        <v>0.54444444444444451</v>
      </c>
      <c r="AG455" s="46">
        <f>SUMIFS('[1]Raw Inventory'!D:D,'[1]Raw Inventory'!C:C,"GREATWALL",'[1]Raw Inventory'!B:B,A455)</f>
        <v>0</v>
      </c>
      <c r="AH455" s="46">
        <f>SUMIFS('[1]Raw Inventory'!D:D,'[1]Raw Inventory'!C:C,"DUARTE",'[1]Raw Inventory'!B:B,A455)</f>
        <v>0</v>
      </c>
      <c r="AI455" s="46"/>
      <c r="AJ455" s="46"/>
      <c r="AK455" s="43"/>
      <c r="AL455" s="43"/>
      <c r="AM455" s="43"/>
      <c r="AN455" s="43"/>
      <c r="AO455" s="43"/>
      <c r="AP455" s="43"/>
      <c r="AQ455" s="43"/>
      <c r="AR455" s="43"/>
      <c r="AS455" s="43"/>
      <c r="AT455" s="43"/>
    </row>
    <row r="456" spans="1:46">
      <c r="A456" s="43" t="s">
        <v>104</v>
      </c>
      <c r="B456" s="43" t="s">
        <v>114</v>
      </c>
      <c r="C456" s="43" t="s">
        <v>109</v>
      </c>
      <c r="D456" s="44" t="s">
        <v>235</v>
      </c>
      <c r="E456" s="44">
        <v>26</v>
      </c>
      <c r="F456" s="44" t="s">
        <v>3</v>
      </c>
      <c r="G456" s="43" t="str">
        <f>IFERROR(VLOOKUP(A456,'[1]MC Masterlist 2026-09-12'!$B:$M, 3, 0),"")</f>
        <v>SUZUKI</v>
      </c>
      <c r="H456" s="45">
        <f>IFERROR(VLOOKUP(A456,'[1]MC Masterlist 2026-09-12'!$B:$M, 6, 0),"")</f>
        <v>71062</v>
      </c>
      <c r="I456" s="46">
        <v>1</v>
      </c>
      <c r="J456" s="46">
        <v>0</v>
      </c>
      <c r="K456" s="46">
        <v>0</v>
      </c>
      <c r="L456" s="46">
        <f t="shared" si="105"/>
        <v>1</v>
      </c>
      <c r="M456" s="46">
        <f t="shared" si="106"/>
        <v>0.33333333333333331</v>
      </c>
      <c r="N456" s="45">
        <f t="shared" si="107"/>
        <v>71062</v>
      </c>
      <c r="O456" s="45">
        <f t="shared" si="108"/>
        <v>23687.333333333332</v>
      </c>
      <c r="P456" s="46">
        <f t="shared" si="109"/>
        <v>1.111111111111111E-2</v>
      </c>
      <c r="Q456" s="46"/>
      <c r="R456" s="45">
        <f t="shared" si="110"/>
        <v>0</v>
      </c>
      <c r="S456" s="46">
        <f t="shared" si="111"/>
        <v>0</v>
      </c>
      <c r="T456" s="46">
        <f>IFERROR(VLOOKUP(A456,'[1]Re-order'!$A:$Q,17,0),"")</f>
        <v>225</v>
      </c>
      <c r="U456" s="46">
        <f>IFERROR(VLOOKUP(A456,'[1]MC Masterlist 2026-09-12'!$B:$M, 10, 0),0)</f>
        <v>15</v>
      </c>
      <c r="V456" s="46">
        <f>IFERROR(VLOOKUP(A456,'[1]MC Masterlist 2026-09-12'!$B:$M, 11, 0),0)</f>
        <v>15</v>
      </c>
      <c r="W456" s="46">
        <f t="shared" si="112"/>
        <v>30</v>
      </c>
      <c r="X456" s="46">
        <f t="shared" si="113"/>
        <v>29.833333333333332</v>
      </c>
      <c r="Y456" s="46">
        <f>IFERROR(IF(OR(C456="AREA I",C456="AREA V"),7,VLOOKUP(A456,'[1]MC Masterlist 2026-09-12'!$B:$M, 12, 0)),0)</f>
        <v>30</v>
      </c>
      <c r="Z456" s="46">
        <f t="shared" si="114"/>
        <v>0.16666666666666666</v>
      </c>
      <c r="AA456" s="46">
        <f t="shared" si="115"/>
        <v>0.33333333333333331</v>
      </c>
      <c r="AB456" s="46">
        <f t="shared" si="116"/>
        <v>0.33148148148148143</v>
      </c>
      <c r="AC456" s="46">
        <f t="shared" si="117"/>
        <v>0.33333333333333331</v>
      </c>
      <c r="AD456" s="44" t="str">
        <f t="shared" si="118"/>
        <v>Stockout</v>
      </c>
      <c r="AE456" s="44" t="str">
        <f>IFERROR(VLOOKUP(A456,'[1]Re-order'!$A:$AA,27,0),"")</f>
        <v>Over</v>
      </c>
      <c r="AF456" s="46">
        <f t="shared" si="119"/>
        <v>0.33333333333333331</v>
      </c>
      <c r="AG456" s="46">
        <f>SUMIFS('[1]Raw Inventory'!D:D,'[1]Raw Inventory'!C:C,"GREATWALL",'[1]Raw Inventory'!B:B,A456)</f>
        <v>0</v>
      </c>
      <c r="AH456" s="46">
        <f>SUMIFS('[1]Raw Inventory'!D:D,'[1]Raw Inventory'!C:C,"DUARTE",'[1]Raw Inventory'!B:B,A456)</f>
        <v>0</v>
      </c>
      <c r="AI456" s="46"/>
      <c r="AJ456" s="46"/>
      <c r="AK456" s="43"/>
      <c r="AL456" s="43"/>
      <c r="AM456" s="43"/>
      <c r="AN456" s="43"/>
      <c r="AO456" s="43"/>
      <c r="AP456" s="43"/>
      <c r="AQ456" s="43"/>
      <c r="AR456" s="43"/>
      <c r="AS456" s="43"/>
      <c r="AT456" s="43"/>
    </row>
    <row r="457" spans="1:46">
      <c r="A457" s="43" t="s">
        <v>20</v>
      </c>
      <c r="B457" s="43" t="s">
        <v>131</v>
      </c>
      <c r="C457" s="43" t="s">
        <v>128</v>
      </c>
      <c r="D457" s="44" t="s">
        <v>240</v>
      </c>
      <c r="E457" s="44">
        <v>9</v>
      </c>
      <c r="F457" s="44" t="s">
        <v>2</v>
      </c>
      <c r="G457" s="43" t="str">
        <f>IFERROR(VLOOKUP(A457,'[1]MC Masterlist 2026-09-12'!$B:$M, 3, 0),"")</f>
        <v>HONDA</v>
      </c>
      <c r="H457" s="45">
        <f>IFERROR(VLOOKUP(A457,'[1]MC Masterlist 2026-09-12'!$B:$M, 6, 0),"")</f>
        <v>69950</v>
      </c>
      <c r="I457" s="46">
        <v>3</v>
      </c>
      <c r="J457" s="46">
        <v>1</v>
      </c>
      <c r="K457" s="46">
        <v>2</v>
      </c>
      <c r="L457" s="46">
        <f t="shared" si="105"/>
        <v>6</v>
      </c>
      <c r="M457" s="46">
        <f t="shared" si="106"/>
        <v>2</v>
      </c>
      <c r="N457" s="45">
        <f t="shared" si="107"/>
        <v>419700</v>
      </c>
      <c r="O457" s="45">
        <f t="shared" si="108"/>
        <v>139900</v>
      </c>
      <c r="P457" s="46">
        <f t="shared" si="109"/>
        <v>6.6666666666666666E-2</v>
      </c>
      <c r="Q457" s="46">
        <v>2</v>
      </c>
      <c r="R457" s="45">
        <f t="shared" si="110"/>
        <v>139900</v>
      </c>
      <c r="S457" s="46">
        <f t="shared" si="111"/>
        <v>30</v>
      </c>
      <c r="T457" s="46">
        <f>IFERROR(VLOOKUP(A457,'[1]Re-order'!$A:$Q,17,0),"")</f>
        <v>75.775862068965523</v>
      </c>
      <c r="U457" s="46">
        <f>IFERROR(VLOOKUP(A457,'[1]MC Masterlist 2026-09-12'!$B:$M, 10, 0),0)</f>
        <v>15</v>
      </c>
      <c r="V457" s="46">
        <f>IFERROR(VLOOKUP(A457,'[1]MC Masterlist 2026-09-12'!$B:$M, 11, 0),0)</f>
        <v>15</v>
      </c>
      <c r="W457" s="46">
        <f t="shared" si="112"/>
        <v>30</v>
      </c>
      <c r="X457" s="46">
        <f t="shared" si="113"/>
        <v>29</v>
      </c>
      <c r="Y457" s="46">
        <f>IFERROR(IF(OR(C457="AREA I",C457="AREA V"),7,VLOOKUP(A457,'[1]MC Masterlist 2026-09-12'!$B:$M, 12, 0)),0)</f>
        <v>30</v>
      </c>
      <c r="Z457" s="46">
        <f t="shared" si="114"/>
        <v>1</v>
      </c>
      <c r="AA457" s="46">
        <f t="shared" si="115"/>
        <v>2</v>
      </c>
      <c r="AB457" s="46">
        <f t="shared" si="116"/>
        <v>1.9333333333333333</v>
      </c>
      <c r="AC457" s="46">
        <f t="shared" si="117"/>
        <v>2</v>
      </c>
      <c r="AD457" s="44" t="str">
        <f t="shared" si="118"/>
        <v>Re-order</v>
      </c>
      <c r="AE457" s="44" t="str">
        <f>IFERROR(VLOOKUP(A457,'[1]Re-order'!$A:$AA,27,0),"")</f>
        <v/>
      </c>
      <c r="AF457" s="46">
        <f t="shared" si="119"/>
        <v>0</v>
      </c>
      <c r="AG457" s="46">
        <f>SUMIFS('[1]Raw Inventory'!D:D,'[1]Raw Inventory'!C:C,"GREATWALL",'[1]Raw Inventory'!B:B,A457)</f>
        <v>110</v>
      </c>
      <c r="AH457" s="46">
        <f>SUMIFS('[1]Raw Inventory'!D:D,'[1]Raw Inventory'!C:C,"DUARTE",'[1]Raw Inventory'!B:B,A457)</f>
        <v>0</v>
      </c>
      <c r="AI457" s="46"/>
      <c r="AJ457" s="46"/>
      <c r="AK457" s="43"/>
      <c r="AL457" s="43"/>
      <c r="AM457" s="43"/>
      <c r="AN457" s="43"/>
      <c r="AO457" s="43"/>
      <c r="AP457" s="43"/>
      <c r="AQ457" s="43"/>
      <c r="AR457" s="43"/>
      <c r="AS457" s="43"/>
      <c r="AT457" s="43"/>
    </row>
    <row r="458" spans="1:46">
      <c r="A458" s="43" t="s">
        <v>23</v>
      </c>
      <c r="B458" s="43" t="s">
        <v>153</v>
      </c>
      <c r="C458" s="43" t="s">
        <v>152</v>
      </c>
      <c r="D458" s="44" t="s">
        <v>225</v>
      </c>
      <c r="E458" s="44">
        <v>3</v>
      </c>
      <c r="F458" s="44" t="s">
        <v>0</v>
      </c>
      <c r="G458" s="43" t="str">
        <f>IFERROR(VLOOKUP(A458,'[1]MC Masterlist 2026-09-12'!$B:$M, 3, 0),"")</f>
        <v>KAWASAKI</v>
      </c>
      <c r="H458" s="45">
        <f>IFERROR(VLOOKUP(A458,'[1]MC Masterlist 2026-09-12'!$B:$M, 6, 0),"")</f>
        <v>60656</v>
      </c>
      <c r="I458" s="46">
        <v>6</v>
      </c>
      <c r="J458" s="46">
        <v>5</v>
      </c>
      <c r="K458" s="46">
        <v>3</v>
      </c>
      <c r="L458" s="46">
        <f t="shared" si="105"/>
        <v>14</v>
      </c>
      <c r="M458" s="46">
        <f t="shared" si="106"/>
        <v>4.666666666666667</v>
      </c>
      <c r="N458" s="45">
        <f t="shared" si="107"/>
        <v>849184</v>
      </c>
      <c r="O458" s="45">
        <f t="shared" si="108"/>
        <v>283061.33333333337</v>
      </c>
      <c r="P458" s="46">
        <f t="shared" si="109"/>
        <v>0.15555555555555556</v>
      </c>
      <c r="Q458" s="46">
        <v>14</v>
      </c>
      <c r="R458" s="45">
        <f t="shared" si="110"/>
        <v>849184</v>
      </c>
      <c r="S458" s="46">
        <f t="shared" si="111"/>
        <v>89.999999999999986</v>
      </c>
      <c r="T458" s="46">
        <f>IFERROR(VLOOKUP(A458,'[1]Re-order'!$A:$Q,17,0),"")</f>
        <v>53.973412112259979</v>
      </c>
      <c r="U458" s="46">
        <f>IFERROR(VLOOKUP(A458,'[1]MC Masterlist 2026-09-12'!$B:$M, 10, 0),0)</f>
        <v>15</v>
      </c>
      <c r="V458" s="46">
        <f>IFERROR(VLOOKUP(A458,'[1]MC Masterlist 2026-09-12'!$B:$M, 11, 0),0)</f>
        <v>15</v>
      </c>
      <c r="W458" s="46">
        <f t="shared" si="112"/>
        <v>30</v>
      </c>
      <c r="X458" s="46">
        <f t="shared" si="113"/>
        <v>27.666666666666668</v>
      </c>
      <c r="Y458" s="46">
        <f>IFERROR(IF(OR(C458="AREA I",C458="AREA V"),7,VLOOKUP(A458,'[1]MC Masterlist 2026-09-12'!$B:$M, 12, 0)),0)</f>
        <v>30</v>
      </c>
      <c r="Z458" s="46">
        <f t="shared" si="114"/>
        <v>2.3333333333333335</v>
      </c>
      <c r="AA458" s="46">
        <f t="shared" si="115"/>
        <v>4.666666666666667</v>
      </c>
      <c r="AB458" s="46">
        <f t="shared" si="116"/>
        <v>4.3037037037037038</v>
      </c>
      <c r="AC458" s="46">
        <f t="shared" si="117"/>
        <v>4.666666666666667</v>
      </c>
      <c r="AD458" s="44" t="str">
        <f t="shared" si="118"/>
        <v>Over</v>
      </c>
      <c r="AE458" s="44" t="str">
        <f>IFERROR(VLOOKUP(A458,'[1]Re-order'!$A:$AA,27,0),"")</f>
        <v>Re-order</v>
      </c>
      <c r="AF458" s="46">
        <f t="shared" si="119"/>
        <v>-9.3333333333333321</v>
      </c>
      <c r="AG458" s="46">
        <f>SUMIFS('[1]Raw Inventory'!D:D,'[1]Raw Inventory'!C:C,"GREATWALL",'[1]Raw Inventory'!B:B,A458)</f>
        <v>282</v>
      </c>
      <c r="AH458" s="46">
        <f>SUMIFS('[1]Raw Inventory'!D:D,'[1]Raw Inventory'!C:C,"DUARTE",'[1]Raw Inventory'!B:B,A458)</f>
        <v>0</v>
      </c>
      <c r="AI458" s="46"/>
      <c r="AJ458" s="46"/>
      <c r="AK458" s="43"/>
      <c r="AL458" s="43"/>
      <c r="AM458" s="43"/>
      <c r="AN458" s="43"/>
      <c r="AO458" s="43"/>
      <c r="AP458" s="43"/>
      <c r="AQ458" s="43"/>
      <c r="AR458" s="43"/>
      <c r="AS458" s="43"/>
      <c r="AT458" s="43"/>
    </row>
    <row r="459" spans="1:46">
      <c r="A459" s="43" t="s">
        <v>46</v>
      </c>
      <c r="B459" s="43" t="s">
        <v>140</v>
      </c>
      <c r="C459" s="43" t="s">
        <v>137</v>
      </c>
      <c r="D459" s="44" t="s">
        <v>241</v>
      </c>
      <c r="E459" s="44">
        <v>14</v>
      </c>
      <c r="F459" s="44" t="s">
        <v>3</v>
      </c>
      <c r="G459" s="43" t="str">
        <f>IFERROR(VLOOKUP(A459,'[1]MC Masterlist 2026-09-12'!$B:$M, 3, 0),"")</f>
        <v>HONDA</v>
      </c>
      <c r="H459" s="45">
        <f>IFERROR(VLOOKUP(A459,'[1]MC Masterlist 2026-09-12'!$B:$M, 6, 0),"")</f>
        <v>73630</v>
      </c>
      <c r="I459" s="46">
        <v>0</v>
      </c>
      <c r="J459" s="46">
        <v>0</v>
      </c>
      <c r="K459" s="46">
        <v>1</v>
      </c>
      <c r="L459" s="46">
        <f t="shared" si="105"/>
        <v>1</v>
      </c>
      <c r="M459" s="46">
        <f t="shared" si="106"/>
        <v>0.33333333333333331</v>
      </c>
      <c r="N459" s="45">
        <f t="shared" si="107"/>
        <v>73630</v>
      </c>
      <c r="O459" s="45">
        <f t="shared" si="108"/>
        <v>24543.333333333332</v>
      </c>
      <c r="P459" s="46">
        <f t="shared" si="109"/>
        <v>1.111111111111111E-2</v>
      </c>
      <c r="Q459" s="46">
        <v>2</v>
      </c>
      <c r="R459" s="45">
        <f t="shared" si="110"/>
        <v>147260</v>
      </c>
      <c r="S459" s="46">
        <f t="shared" si="111"/>
        <v>180</v>
      </c>
      <c r="T459" s="46">
        <f>IFERROR(VLOOKUP(A459,'[1]Re-order'!$A:$Q,17,0),"")</f>
        <v>51</v>
      </c>
      <c r="U459" s="46">
        <f>IFERROR(VLOOKUP(A459,'[1]MC Masterlist 2026-09-12'!$B:$M, 10, 0),0)</f>
        <v>15</v>
      </c>
      <c r="V459" s="46">
        <f>IFERROR(VLOOKUP(A459,'[1]MC Masterlist 2026-09-12'!$B:$M, 11, 0),0)</f>
        <v>15</v>
      </c>
      <c r="W459" s="46">
        <f t="shared" si="112"/>
        <v>30</v>
      </c>
      <c r="X459" s="46">
        <f t="shared" si="113"/>
        <v>6.833333333333333</v>
      </c>
      <c r="Y459" s="46">
        <f>IFERROR(IF(OR(C459="AREA I",C459="AREA V"),7,VLOOKUP(A459,'[1]MC Masterlist 2026-09-12'!$B:$M, 12, 0)),0)</f>
        <v>7</v>
      </c>
      <c r="Z459" s="46">
        <f t="shared" si="114"/>
        <v>0.16666666666666666</v>
      </c>
      <c r="AA459" s="46">
        <f t="shared" si="115"/>
        <v>0.33333333333333331</v>
      </c>
      <c r="AB459" s="46">
        <f t="shared" si="116"/>
        <v>7.5925925925925911E-2</v>
      </c>
      <c r="AC459" s="46">
        <f t="shared" si="117"/>
        <v>7.7777777777777765E-2</v>
      </c>
      <c r="AD459" s="44" t="str">
        <f t="shared" si="118"/>
        <v>Over</v>
      </c>
      <c r="AE459" s="44" t="str">
        <f>IFERROR(VLOOKUP(A459,'[1]Re-order'!$A:$AA,27,0),"")</f>
        <v>Re-order</v>
      </c>
      <c r="AF459" s="46">
        <f t="shared" si="119"/>
        <v>-1.9222222222222223</v>
      </c>
      <c r="AG459" s="46">
        <f>SUMIFS('[1]Raw Inventory'!D:D,'[1]Raw Inventory'!C:C,"GREATWALL",'[1]Raw Inventory'!B:B,A459)</f>
        <v>0</v>
      </c>
      <c r="AH459" s="46">
        <f>SUMIFS('[1]Raw Inventory'!D:D,'[1]Raw Inventory'!C:C,"DUARTE",'[1]Raw Inventory'!B:B,A459)</f>
        <v>0</v>
      </c>
      <c r="AI459" s="46"/>
      <c r="AJ459" s="46"/>
      <c r="AK459" s="43"/>
      <c r="AL459" s="43"/>
      <c r="AM459" s="43"/>
      <c r="AN459" s="43"/>
      <c r="AO459" s="43"/>
      <c r="AP459" s="43"/>
      <c r="AQ459" s="43"/>
      <c r="AR459" s="43"/>
      <c r="AS459" s="43"/>
      <c r="AT459" s="43"/>
    </row>
    <row r="460" spans="1:46">
      <c r="A460" s="43" t="s">
        <v>49</v>
      </c>
      <c r="B460" s="43" t="s">
        <v>116</v>
      </c>
      <c r="C460" s="43" t="s">
        <v>109</v>
      </c>
      <c r="D460" s="44" t="s">
        <v>227</v>
      </c>
      <c r="E460" s="44">
        <v>1</v>
      </c>
      <c r="F460" s="44" t="s">
        <v>0</v>
      </c>
      <c r="G460" s="43" t="str">
        <f>IFERROR(VLOOKUP(A460,'[1]MC Masterlist 2026-09-12'!$B:$M, 3, 0),"")</f>
        <v>BAJAJ RE</v>
      </c>
      <c r="H460" s="45">
        <f>IFERROR(VLOOKUP(A460,'[1]MC Masterlist 2026-09-12'!$B:$M, 6, 0),"")</f>
        <v>191000</v>
      </c>
      <c r="I460" s="46">
        <v>0</v>
      </c>
      <c r="J460" s="46">
        <v>0</v>
      </c>
      <c r="K460" s="46">
        <v>4</v>
      </c>
      <c r="L460" s="46">
        <f t="shared" si="105"/>
        <v>4</v>
      </c>
      <c r="M460" s="46">
        <f t="shared" si="106"/>
        <v>1.3333333333333333</v>
      </c>
      <c r="N460" s="45">
        <f t="shared" si="107"/>
        <v>764000</v>
      </c>
      <c r="O460" s="45">
        <f t="shared" si="108"/>
        <v>254666.66666666666</v>
      </c>
      <c r="P460" s="46">
        <f t="shared" si="109"/>
        <v>4.4444444444444439E-2</v>
      </c>
      <c r="Q460" s="46">
        <v>2</v>
      </c>
      <c r="R460" s="45">
        <f t="shared" si="110"/>
        <v>382000</v>
      </c>
      <c r="S460" s="46">
        <f t="shared" si="111"/>
        <v>45</v>
      </c>
      <c r="T460" s="46">
        <f>IFERROR(VLOOKUP(A460,'[1]Re-order'!$A:$Q,17,0),"")</f>
        <v>21.516709511568124</v>
      </c>
      <c r="U460" s="46">
        <f>IFERROR(VLOOKUP(A460,'[1]MC Masterlist 2026-09-12'!$B:$M, 10, 0),0)</f>
        <v>15</v>
      </c>
      <c r="V460" s="46">
        <f>IFERROR(VLOOKUP(A460,'[1]MC Masterlist 2026-09-12'!$B:$M, 11, 0),0)</f>
        <v>15</v>
      </c>
      <c r="W460" s="46">
        <f t="shared" si="112"/>
        <v>30</v>
      </c>
      <c r="X460" s="46">
        <f t="shared" si="113"/>
        <v>29.333333333333332</v>
      </c>
      <c r="Y460" s="46">
        <f>IFERROR(IF(OR(C460="AREA I",C460="AREA V"),7,VLOOKUP(A460,'[1]MC Masterlist 2026-09-12'!$B:$M, 12, 0)),0)</f>
        <v>30</v>
      </c>
      <c r="Z460" s="46">
        <f t="shared" si="114"/>
        <v>0.66666666666666663</v>
      </c>
      <c r="AA460" s="46">
        <f t="shared" si="115"/>
        <v>1.3333333333333333</v>
      </c>
      <c r="AB460" s="46">
        <f t="shared" si="116"/>
        <v>1.3037037037037036</v>
      </c>
      <c r="AC460" s="46">
        <f t="shared" si="117"/>
        <v>1.3333333333333333</v>
      </c>
      <c r="AD460" s="44" t="str">
        <f t="shared" si="118"/>
        <v>Over</v>
      </c>
      <c r="AE460" s="44" t="str">
        <f>IFERROR(VLOOKUP(A460,'[1]Re-order'!$A:$AA,27,0),"")</f>
        <v>Stockout</v>
      </c>
      <c r="AF460" s="46">
        <f t="shared" si="119"/>
        <v>-0.66666666666666674</v>
      </c>
      <c r="AG460" s="46">
        <f>SUMIFS('[1]Raw Inventory'!D:D,'[1]Raw Inventory'!C:C,"GREATWALL",'[1]Raw Inventory'!B:B,A460)</f>
        <v>0</v>
      </c>
      <c r="AH460" s="46">
        <f>SUMIFS('[1]Raw Inventory'!D:D,'[1]Raw Inventory'!C:C,"DUARTE",'[1]Raw Inventory'!B:B,A460)</f>
        <v>0</v>
      </c>
      <c r="AI460" s="46"/>
      <c r="AJ460" s="46"/>
      <c r="AK460" s="43"/>
      <c r="AL460" s="43"/>
      <c r="AM460" s="43"/>
      <c r="AN460" s="43"/>
      <c r="AO460" s="43"/>
      <c r="AP460" s="43"/>
      <c r="AQ460" s="43"/>
      <c r="AR460" s="43"/>
      <c r="AS460" s="43"/>
      <c r="AT460" s="43"/>
    </row>
    <row r="461" spans="1:46">
      <c r="A461" s="43" t="s">
        <v>37</v>
      </c>
      <c r="B461" s="43" t="s">
        <v>138</v>
      </c>
      <c r="C461" s="43" t="s">
        <v>137</v>
      </c>
      <c r="D461" s="44" t="s">
        <v>233</v>
      </c>
      <c r="E461" s="44">
        <v>8</v>
      </c>
      <c r="F461" s="44" t="s">
        <v>2</v>
      </c>
      <c r="G461" s="43" t="str">
        <f>IFERROR(VLOOKUP(A461,'[1]MC Masterlist 2026-09-12'!$B:$M, 3, 0),"")</f>
        <v>HONDA</v>
      </c>
      <c r="H461" s="45">
        <f>IFERROR(VLOOKUP(A461,'[1]MC Masterlist 2026-09-12'!$B:$M, 6, 0),"")</f>
        <v>74550</v>
      </c>
      <c r="I461" s="46">
        <v>0</v>
      </c>
      <c r="J461" s="46">
        <v>0</v>
      </c>
      <c r="K461" s="46">
        <v>0</v>
      </c>
      <c r="L461" s="46">
        <f t="shared" si="105"/>
        <v>0</v>
      </c>
      <c r="M461" s="46">
        <f t="shared" si="106"/>
        <v>0</v>
      </c>
      <c r="N461" s="45">
        <f t="shared" si="107"/>
        <v>0</v>
      </c>
      <c r="O461" s="45">
        <f t="shared" si="108"/>
        <v>0</v>
      </c>
      <c r="P461" s="46">
        <f t="shared" si="109"/>
        <v>0</v>
      </c>
      <c r="Q461" s="46">
        <v>28</v>
      </c>
      <c r="R461" s="45">
        <f t="shared" si="110"/>
        <v>2087400</v>
      </c>
      <c r="S461" s="46">
        <f t="shared" si="111"/>
        <v>0</v>
      </c>
      <c r="T461" s="46">
        <f>IFERROR(VLOOKUP(A461,'[1]Re-order'!$A:$Q,17,0),"")</f>
        <v>33.652173913043477</v>
      </c>
      <c r="U461" s="46">
        <f>IFERROR(VLOOKUP(A461,'[1]MC Masterlist 2026-09-12'!$B:$M, 10, 0),0)</f>
        <v>15</v>
      </c>
      <c r="V461" s="46">
        <f>IFERROR(VLOOKUP(A461,'[1]MC Masterlist 2026-09-12'!$B:$M, 11, 0),0)</f>
        <v>15</v>
      </c>
      <c r="W461" s="46">
        <f t="shared" si="112"/>
        <v>30</v>
      </c>
      <c r="X461" s="46">
        <f t="shared" si="113"/>
        <v>7</v>
      </c>
      <c r="Y461" s="46">
        <f>IFERROR(IF(OR(C461="AREA I",C461="AREA V"),7,VLOOKUP(A461,'[1]MC Masterlist 2026-09-12'!$B:$M, 12, 0)),0)</f>
        <v>7</v>
      </c>
      <c r="Z461" s="46">
        <f t="shared" si="114"/>
        <v>0</v>
      </c>
      <c r="AA461" s="46">
        <f t="shared" si="115"/>
        <v>0</v>
      </c>
      <c r="AB461" s="46">
        <f t="shared" si="116"/>
        <v>0</v>
      </c>
      <c r="AC461" s="46">
        <f t="shared" si="117"/>
        <v>0</v>
      </c>
      <c r="AD461" s="44" t="str">
        <f t="shared" si="118"/>
        <v>Over</v>
      </c>
      <c r="AE461" s="44" t="str">
        <f>IFERROR(VLOOKUP(A461,'[1]Re-order'!$A:$AA,27,0),"")</f>
        <v>Re-order</v>
      </c>
      <c r="AF461" s="46">
        <f t="shared" si="119"/>
        <v>-28</v>
      </c>
      <c r="AG461" s="46">
        <f>SUMIFS('[1]Raw Inventory'!D:D,'[1]Raw Inventory'!C:C,"GREATWALL",'[1]Raw Inventory'!B:B,A461)</f>
        <v>28</v>
      </c>
      <c r="AH461" s="46">
        <f>SUMIFS('[1]Raw Inventory'!D:D,'[1]Raw Inventory'!C:C,"DUARTE",'[1]Raw Inventory'!B:B,A461)</f>
        <v>0</v>
      </c>
      <c r="AI461" s="46"/>
      <c r="AJ461" s="46"/>
      <c r="AK461" s="43"/>
      <c r="AL461" s="43"/>
      <c r="AM461" s="43"/>
      <c r="AN461" s="43"/>
      <c r="AO461" s="43"/>
      <c r="AP461" s="43"/>
      <c r="AQ461" s="43"/>
      <c r="AR461" s="43"/>
      <c r="AS461" s="43"/>
      <c r="AT461" s="43"/>
    </row>
    <row r="462" spans="1:46">
      <c r="A462" s="43" t="s">
        <v>72</v>
      </c>
      <c r="B462" s="43" t="s">
        <v>112</v>
      </c>
      <c r="C462" s="43" t="s">
        <v>109</v>
      </c>
      <c r="D462" s="44" t="s">
        <v>231</v>
      </c>
      <c r="E462" s="44">
        <v>23</v>
      </c>
      <c r="F462" s="44" t="s">
        <v>3</v>
      </c>
      <c r="G462" s="43" t="str">
        <f>IFERROR(VLOOKUP(A462,'[1]MC Masterlist 2026-09-12'!$B:$M, 3, 0),"")</f>
        <v>KAWASAKI</v>
      </c>
      <c r="H462" s="45">
        <f>IFERROR(VLOOKUP(A462,'[1]MC Masterlist 2026-09-12'!$B:$M, 6, 0),"")</f>
        <v>52948</v>
      </c>
      <c r="I462" s="46">
        <v>0</v>
      </c>
      <c r="J462" s="46">
        <v>0</v>
      </c>
      <c r="K462" s="46">
        <v>0</v>
      </c>
      <c r="L462" s="46">
        <f t="shared" si="105"/>
        <v>0</v>
      </c>
      <c r="M462" s="46">
        <f t="shared" si="106"/>
        <v>0</v>
      </c>
      <c r="N462" s="45">
        <f t="shared" si="107"/>
        <v>0</v>
      </c>
      <c r="O462" s="45">
        <f t="shared" si="108"/>
        <v>0</v>
      </c>
      <c r="P462" s="46">
        <f t="shared" si="109"/>
        <v>0</v>
      </c>
      <c r="Q462" s="46">
        <v>2</v>
      </c>
      <c r="R462" s="45">
        <f t="shared" si="110"/>
        <v>105896</v>
      </c>
      <c r="S462" s="46">
        <f t="shared" si="111"/>
        <v>0</v>
      </c>
      <c r="T462" s="46">
        <f>IFERROR(VLOOKUP(A462,'[1]Re-order'!$A:$Q,17,0),"")</f>
        <v>378</v>
      </c>
      <c r="U462" s="46">
        <f>IFERROR(VLOOKUP(A462,'[1]MC Masterlist 2026-09-12'!$B:$M, 10, 0),0)</f>
        <v>15</v>
      </c>
      <c r="V462" s="46">
        <f>IFERROR(VLOOKUP(A462,'[1]MC Masterlist 2026-09-12'!$B:$M, 11, 0),0)</f>
        <v>15</v>
      </c>
      <c r="W462" s="46">
        <f t="shared" si="112"/>
        <v>30</v>
      </c>
      <c r="X462" s="46">
        <f t="shared" si="113"/>
        <v>30</v>
      </c>
      <c r="Y462" s="46">
        <f>IFERROR(IF(OR(C462="AREA I",C462="AREA V"),7,VLOOKUP(A462,'[1]MC Masterlist 2026-09-12'!$B:$M, 12, 0)),0)</f>
        <v>30</v>
      </c>
      <c r="Z462" s="46">
        <f t="shared" si="114"/>
        <v>0</v>
      </c>
      <c r="AA462" s="46">
        <f t="shared" si="115"/>
        <v>0</v>
      </c>
      <c r="AB462" s="46">
        <f t="shared" si="116"/>
        <v>0</v>
      </c>
      <c r="AC462" s="46">
        <f t="shared" si="117"/>
        <v>0</v>
      </c>
      <c r="AD462" s="44" t="str">
        <f t="shared" si="118"/>
        <v>Over</v>
      </c>
      <c r="AE462" s="44" t="str">
        <f>IFERROR(VLOOKUP(A462,'[1]Re-order'!$A:$AA,27,0),"")</f>
        <v>Over</v>
      </c>
      <c r="AF462" s="46">
        <f t="shared" si="119"/>
        <v>-2</v>
      </c>
      <c r="AG462" s="46">
        <f>SUMIFS('[1]Raw Inventory'!D:D,'[1]Raw Inventory'!C:C,"GREATWALL",'[1]Raw Inventory'!B:B,A462)</f>
        <v>15</v>
      </c>
      <c r="AH462" s="46">
        <f>SUMIFS('[1]Raw Inventory'!D:D,'[1]Raw Inventory'!C:C,"DUARTE",'[1]Raw Inventory'!B:B,A462)</f>
        <v>0</v>
      </c>
      <c r="AI462" s="46"/>
      <c r="AJ462" s="46"/>
      <c r="AK462" s="43"/>
      <c r="AL462" s="43"/>
      <c r="AM462" s="43"/>
      <c r="AN462" s="43"/>
      <c r="AO462" s="43"/>
      <c r="AP462" s="43"/>
      <c r="AQ462" s="43"/>
      <c r="AR462" s="43"/>
      <c r="AS462" s="43"/>
      <c r="AT462" s="43"/>
    </row>
    <row r="463" spans="1:46">
      <c r="A463" s="43" t="s">
        <v>44</v>
      </c>
      <c r="B463" s="43" t="s">
        <v>29</v>
      </c>
      <c r="C463" s="43" t="s">
        <v>1</v>
      </c>
      <c r="D463" s="44" t="s">
        <v>280</v>
      </c>
      <c r="E463" s="44">
        <v>22</v>
      </c>
      <c r="F463" s="44" t="s">
        <v>2</v>
      </c>
      <c r="G463" s="43" t="str">
        <f>IFERROR(VLOOKUP(A463,'[1]MC Masterlist 2026-09-12'!$B:$M, 3, 0),"")</f>
        <v>YAMAHA</v>
      </c>
      <c r="H463" s="45">
        <f>IFERROR(VLOOKUP(A463,'[1]MC Masterlist 2026-09-12'!$B:$M, 6, 0),"")</f>
        <v>165912</v>
      </c>
      <c r="I463" s="46">
        <v>1</v>
      </c>
      <c r="J463" s="46">
        <v>0</v>
      </c>
      <c r="K463" s="46">
        <v>0</v>
      </c>
      <c r="L463" s="46">
        <f t="shared" si="105"/>
        <v>1</v>
      </c>
      <c r="M463" s="46">
        <f t="shared" si="106"/>
        <v>0.33333333333333331</v>
      </c>
      <c r="N463" s="45">
        <f t="shared" si="107"/>
        <v>165912</v>
      </c>
      <c r="O463" s="45">
        <f t="shared" si="108"/>
        <v>55304</v>
      </c>
      <c r="P463" s="46">
        <f t="shared" si="109"/>
        <v>1.111111111111111E-2</v>
      </c>
      <c r="Q463" s="46"/>
      <c r="R463" s="45">
        <f t="shared" si="110"/>
        <v>0</v>
      </c>
      <c r="S463" s="46">
        <f t="shared" si="111"/>
        <v>0</v>
      </c>
      <c r="T463" s="46">
        <f>IFERROR(VLOOKUP(A463,'[1]Re-order'!$A:$Q,17,0),"")</f>
        <v>10.588235294117649</v>
      </c>
      <c r="U463" s="46">
        <f>IFERROR(VLOOKUP(A463,'[1]MC Masterlist 2026-09-12'!$B:$M, 10, 0),0)</f>
        <v>15</v>
      </c>
      <c r="V463" s="46">
        <f>IFERROR(VLOOKUP(A463,'[1]MC Masterlist 2026-09-12'!$B:$M, 11, 0),0)</f>
        <v>15</v>
      </c>
      <c r="W463" s="46">
        <f t="shared" si="112"/>
        <v>30</v>
      </c>
      <c r="X463" s="46">
        <f t="shared" si="113"/>
        <v>6.833333333333333</v>
      </c>
      <c r="Y463" s="46">
        <f>IFERROR(IF(OR(C463="AREA I",C463="AREA V"),7,VLOOKUP(A463,'[1]MC Masterlist 2026-09-12'!$B:$M, 12, 0)),0)</f>
        <v>7</v>
      </c>
      <c r="Z463" s="46">
        <f t="shared" si="114"/>
        <v>0.16666666666666666</v>
      </c>
      <c r="AA463" s="46">
        <f t="shared" si="115"/>
        <v>0.33333333333333331</v>
      </c>
      <c r="AB463" s="46">
        <f t="shared" si="116"/>
        <v>7.5925925925925911E-2</v>
      </c>
      <c r="AC463" s="46">
        <f t="shared" si="117"/>
        <v>7.7777777777777765E-2</v>
      </c>
      <c r="AD463" s="44" t="str">
        <f t="shared" si="118"/>
        <v>Stockout</v>
      </c>
      <c r="AE463" s="44" t="str">
        <f>IFERROR(VLOOKUP(A463,'[1]Re-order'!$A:$AA,27,0),"")</f>
        <v>Stockout</v>
      </c>
      <c r="AF463" s="46">
        <f t="shared" si="119"/>
        <v>7.7777777777777765E-2</v>
      </c>
      <c r="AG463" s="46">
        <f>SUMIFS('[1]Raw Inventory'!D:D,'[1]Raw Inventory'!C:C,"GREATWALL",'[1]Raw Inventory'!B:B,A463)</f>
        <v>0</v>
      </c>
      <c r="AH463" s="46">
        <f>SUMIFS('[1]Raw Inventory'!D:D,'[1]Raw Inventory'!C:C,"DUARTE",'[1]Raw Inventory'!B:B,A463)</f>
        <v>0</v>
      </c>
      <c r="AI463" s="46"/>
      <c r="AJ463" s="46"/>
      <c r="AK463" s="43"/>
      <c r="AL463" s="43"/>
      <c r="AM463" s="43"/>
      <c r="AN463" s="43"/>
      <c r="AO463" s="43"/>
      <c r="AP463" s="43"/>
      <c r="AQ463" s="43"/>
      <c r="AR463" s="43"/>
      <c r="AS463" s="43"/>
      <c r="AT463" s="43"/>
    </row>
    <row r="464" spans="1:46">
      <c r="A464" s="43" t="s">
        <v>36</v>
      </c>
      <c r="B464" s="43" t="s">
        <v>122</v>
      </c>
      <c r="C464" s="43" t="s">
        <v>118</v>
      </c>
      <c r="D464" s="44" t="s">
        <v>226</v>
      </c>
      <c r="E464" s="44">
        <v>32</v>
      </c>
      <c r="F464" s="44" t="s">
        <v>3</v>
      </c>
      <c r="G464" s="43" t="str">
        <f>IFERROR(VLOOKUP(A464,'[1]MC Masterlist 2026-09-12'!$B:$M, 3, 0),"")</f>
        <v>HONDA</v>
      </c>
      <c r="H464" s="45">
        <f>IFERROR(VLOOKUP(A464,'[1]MC Masterlist 2026-09-12'!$B:$M, 6, 0),"")</f>
        <v>76850</v>
      </c>
      <c r="I464" s="46">
        <v>0</v>
      </c>
      <c r="J464" s="46">
        <v>0</v>
      </c>
      <c r="K464" s="46">
        <v>0</v>
      </c>
      <c r="L464" s="46">
        <f t="shared" si="105"/>
        <v>0</v>
      </c>
      <c r="M464" s="46">
        <f t="shared" si="106"/>
        <v>0</v>
      </c>
      <c r="N464" s="45">
        <f t="shared" si="107"/>
        <v>0</v>
      </c>
      <c r="O464" s="45">
        <f t="shared" si="108"/>
        <v>0</v>
      </c>
      <c r="P464" s="46">
        <f t="shared" si="109"/>
        <v>0</v>
      </c>
      <c r="Q464" s="46">
        <v>1</v>
      </c>
      <c r="R464" s="45">
        <f t="shared" si="110"/>
        <v>76850</v>
      </c>
      <c r="S464" s="46">
        <f t="shared" si="111"/>
        <v>0</v>
      </c>
      <c r="T464" s="46">
        <f>IFERROR(VLOOKUP(A464,'[1]Re-order'!$A:$Q,17,0),"")</f>
        <v>137.24999999999997</v>
      </c>
      <c r="U464" s="46">
        <f>IFERROR(VLOOKUP(A464,'[1]MC Masterlist 2026-09-12'!$B:$M, 10, 0),0)</f>
        <v>15</v>
      </c>
      <c r="V464" s="46">
        <f>IFERROR(VLOOKUP(A464,'[1]MC Masterlist 2026-09-12'!$B:$M, 11, 0),0)</f>
        <v>15</v>
      </c>
      <c r="W464" s="46">
        <f t="shared" si="112"/>
        <v>30</v>
      </c>
      <c r="X464" s="46">
        <f t="shared" si="113"/>
        <v>30</v>
      </c>
      <c r="Y464" s="46">
        <f>IFERROR(IF(OR(C464="AREA I",C464="AREA V"),7,VLOOKUP(A464,'[1]MC Masterlist 2026-09-12'!$B:$M, 12, 0)),0)</f>
        <v>30</v>
      </c>
      <c r="Z464" s="46">
        <f t="shared" si="114"/>
        <v>0</v>
      </c>
      <c r="AA464" s="46">
        <f t="shared" si="115"/>
        <v>0</v>
      </c>
      <c r="AB464" s="46">
        <f t="shared" si="116"/>
        <v>0</v>
      </c>
      <c r="AC464" s="46">
        <f t="shared" si="117"/>
        <v>0</v>
      </c>
      <c r="AD464" s="44" t="str">
        <f t="shared" si="118"/>
        <v>Over</v>
      </c>
      <c r="AE464" s="44" t="str">
        <f>IFERROR(VLOOKUP(A464,'[1]Re-order'!$A:$AA,27,0),"")</f>
        <v>Over</v>
      </c>
      <c r="AF464" s="46">
        <f t="shared" si="119"/>
        <v>-1</v>
      </c>
      <c r="AG464" s="46">
        <f>SUMIFS('[1]Raw Inventory'!D:D,'[1]Raw Inventory'!C:C,"GREATWALL",'[1]Raw Inventory'!B:B,A464)</f>
        <v>18</v>
      </c>
      <c r="AH464" s="46">
        <f>SUMIFS('[1]Raw Inventory'!D:D,'[1]Raw Inventory'!C:C,"DUARTE",'[1]Raw Inventory'!B:B,A464)</f>
        <v>0</v>
      </c>
      <c r="AI464" s="46"/>
      <c r="AJ464" s="46"/>
      <c r="AK464" s="43"/>
      <c r="AL464" s="43"/>
      <c r="AM464" s="43"/>
      <c r="AN464" s="43"/>
      <c r="AO464" s="43"/>
      <c r="AP464" s="43"/>
      <c r="AQ464" s="43"/>
      <c r="AR464" s="43"/>
      <c r="AS464" s="43"/>
      <c r="AT464" s="43"/>
    </row>
    <row r="465" spans="1:46">
      <c r="A465" s="43" t="s">
        <v>24</v>
      </c>
      <c r="B465" s="43" t="s">
        <v>248</v>
      </c>
      <c r="C465" s="43"/>
      <c r="D465" s="44" t="s">
        <v>259</v>
      </c>
      <c r="E465" s="44">
        <v>1</v>
      </c>
      <c r="F465" s="44" t="s">
        <v>0</v>
      </c>
      <c r="G465" s="43" t="str">
        <f>IFERROR(VLOOKUP(A465,'[1]MC Masterlist 2026-09-12'!$B:$M, 3, 0),"")</f>
        <v>KAWASAKI</v>
      </c>
      <c r="H465" s="45">
        <f>IFERROR(VLOOKUP(A465,'[1]MC Masterlist 2026-09-12'!$B:$M, 6, 0),"")</f>
        <v>131626</v>
      </c>
      <c r="I465" s="46">
        <v>0</v>
      </c>
      <c r="J465" s="46">
        <v>0</v>
      </c>
      <c r="K465" s="46">
        <v>0</v>
      </c>
      <c r="L465" s="46">
        <f t="shared" si="105"/>
        <v>0</v>
      </c>
      <c r="M465" s="46">
        <f t="shared" si="106"/>
        <v>0</v>
      </c>
      <c r="N465" s="45">
        <f t="shared" si="107"/>
        <v>0</v>
      </c>
      <c r="O465" s="45">
        <f t="shared" si="108"/>
        <v>0</v>
      </c>
      <c r="P465" s="46">
        <f t="shared" si="109"/>
        <v>0</v>
      </c>
      <c r="Q465" s="46">
        <v>1</v>
      </c>
      <c r="R465" s="45">
        <f t="shared" si="110"/>
        <v>131626</v>
      </c>
      <c r="S465" s="46">
        <f t="shared" si="111"/>
        <v>0</v>
      </c>
      <c r="T465" s="46">
        <f>IFERROR(VLOOKUP(A465,'[1]Re-order'!$A:$Q,17,0),"")</f>
        <v>40.677966101694913</v>
      </c>
      <c r="U465" s="46">
        <f>IFERROR(VLOOKUP(A465,'[1]MC Masterlist 2026-09-12'!$B:$M, 10, 0),0)</f>
        <v>15</v>
      </c>
      <c r="V465" s="46">
        <f>IFERROR(VLOOKUP(A465,'[1]MC Masterlist 2026-09-12'!$B:$M, 11, 0),0)</f>
        <v>15</v>
      </c>
      <c r="W465" s="46">
        <f t="shared" si="112"/>
        <v>30</v>
      </c>
      <c r="X465" s="46">
        <f t="shared" si="113"/>
        <v>30</v>
      </c>
      <c r="Y465" s="46">
        <f>IFERROR(IF(OR(C465="AREA I",C465="AREA V"),7,VLOOKUP(A465,'[1]MC Masterlist 2026-09-12'!$B:$M, 12, 0)),0)</f>
        <v>30</v>
      </c>
      <c r="Z465" s="46">
        <f t="shared" si="114"/>
        <v>0</v>
      </c>
      <c r="AA465" s="46">
        <f t="shared" si="115"/>
        <v>0</v>
      </c>
      <c r="AB465" s="46">
        <f t="shared" si="116"/>
        <v>0</v>
      </c>
      <c r="AC465" s="46">
        <f t="shared" si="117"/>
        <v>0</v>
      </c>
      <c r="AD465" s="44" t="str">
        <f t="shared" si="118"/>
        <v>Over</v>
      </c>
      <c r="AE465" s="44" t="str">
        <f>IFERROR(VLOOKUP(A465,'[1]Re-order'!$A:$AA,27,0),"")</f>
        <v>Re-order</v>
      </c>
      <c r="AF465" s="46">
        <f t="shared" si="119"/>
        <v>-1</v>
      </c>
      <c r="AG465" s="46">
        <f>SUMIFS('[1]Raw Inventory'!D:D,'[1]Raw Inventory'!C:C,"GREATWALL",'[1]Raw Inventory'!B:B,A465)</f>
        <v>12</v>
      </c>
      <c r="AH465" s="46">
        <f>SUMIFS('[1]Raw Inventory'!D:D,'[1]Raw Inventory'!C:C,"DUARTE",'[1]Raw Inventory'!B:B,A465)</f>
        <v>0</v>
      </c>
      <c r="AI465" s="46"/>
      <c r="AJ465" s="46"/>
      <c r="AK465" s="43"/>
      <c r="AL465" s="43"/>
      <c r="AM465" s="43"/>
      <c r="AN465" s="43"/>
      <c r="AO465" s="43"/>
      <c r="AP465" s="43"/>
      <c r="AQ465" s="43"/>
      <c r="AR465" s="43"/>
      <c r="AS465" s="43"/>
      <c r="AT465" s="43"/>
    </row>
    <row r="466" spans="1:46">
      <c r="A466" s="43" t="s">
        <v>117</v>
      </c>
      <c r="B466" s="43" t="s">
        <v>138</v>
      </c>
      <c r="C466" s="43" t="s">
        <v>137</v>
      </c>
      <c r="D466" s="44" t="s">
        <v>281</v>
      </c>
      <c r="E466" s="44">
        <v>39</v>
      </c>
      <c r="F466" s="44" t="s">
        <v>3</v>
      </c>
      <c r="G466" s="43" t="str">
        <f>IFERROR(VLOOKUP(A466,'[1]MC Masterlist 2026-09-12'!$B:$M, 3, 0),"")</f>
        <v>HONDA</v>
      </c>
      <c r="H466" s="45">
        <f>IFERROR(VLOOKUP(A466,'[1]MC Masterlist 2026-09-12'!$B:$M, 6, 0),"")</f>
        <v>126990</v>
      </c>
      <c r="I466" s="46">
        <v>0</v>
      </c>
      <c r="J466" s="46">
        <v>0</v>
      </c>
      <c r="K466" s="46">
        <v>0</v>
      </c>
      <c r="L466" s="46">
        <f t="shared" si="105"/>
        <v>0</v>
      </c>
      <c r="M466" s="46">
        <f t="shared" si="106"/>
        <v>0</v>
      </c>
      <c r="N466" s="45">
        <f t="shared" si="107"/>
        <v>0</v>
      </c>
      <c r="O466" s="45">
        <f t="shared" si="108"/>
        <v>0</v>
      </c>
      <c r="P466" s="46">
        <f t="shared" si="109"/>
        <v>0</v>
      </c>
      <c r="Q466" s="46">
        <v>2</v>
      </c>
      <c r="R466" s="45">
        <f t="shared" si="110"/>
        <v>253980</v>
      </c>
      <c r="S466" s="46">
        <f t="shared" si="111"/>
        <v>0</v>
      </c>
      <c r="T466" s="46">
        <f>IFERROR(VLOOKUP(A466,'[1]Re-order'!$A:$Q,17,0),"")</f>
        <v>135</v>
      </c>
      <c r="U466" s="46">
        <f>IFERROR(VLOOKUP(A466,'[1]MC Masterlist 2026-09-12'!$B:$M, 10, 0),0)</f>
        <v>15</v>
      </c>
      <c r="V466" s="46">
        <f>IFERROR(VLOOKUP(A466,'[1]MC Masterlist 2026-09-12'!$B:$M, 11, 0),0)</f>
        <v>15</v>
      </c>
      <c r="W466" s="46">
        <f t="shared" si="112"/>
        <v>30</v>
      </c>
      <c r="X466" s="46">
        <f t="shared" si="113"/>
        <v>7</v>
      </c>
      <c r="Y466" s="46">
        <f>IFERROR(IF(OR(C466="AREA I",C466="AREA V"),7,VLOOKUP(A466,'[1]MC Masterlist 2026-09-12'!$B:$M, 12, 0)),0)</f>
        <v>7</v>
      </c>
      <c r="Z466" s="46">
        <f t="shared" si="114"/>
        <v>0</v>
      </c>
      <c r="AA466" s="46">
        <f t="shared" si="115"/>
        <v>0</v>
      </c>
      <c r="AB466" s="46">
        <f t="shared" si="116"/>
        <v>0</v>
      </c>
      <c r="AC466" s="46">
        <f t="shared" si="117"/>
        <v>0</v>
      </c>
      <c r="AD466" s="44" t="str">
        <f t="shared" si="118"/>
        <v>Over</v>
      </c>
      <c r="AE466" s="44" t="str">
        <f>IFERROR(VLOOKUP(A466,'[1]Re-order'!$A:$AA,27,0),"")</f>
        <v>Over</v>
      </c>
      <c r="AF466" s="46">
        <f t="shared" si="119"/>
        <v>-2</v>
      </c>
      <c r="AG466" s="46">
        <f>SUMIFS('[1]Raw Inventory'!D:D,'[1]Raw Inventory'!C:C,"GREATWALL",'[1]Raw Inventory'!B:B,A466)</f>
        <v>2</v>
      </c>
      <c r="AH466" s="46">
        <f>SUMIFS('[1]Raw Inventory'!D:D,'[1]Raw Inventory'!C:C,"DUARTE",'[1]Raw Inventory'!B:B,A466)</f>
        <v>0</v>
      </c>
      <c r="AI466" s="46"/>
      <c r="AJ466" s="46"/>
      <c r="AK466" s="43"/>
      <c r="AL466" s="43"/>
      <c r="AM466" s="43"/>
      <c r="AN466" s="43"/>
      <c r="AO466" s="43"/>
      <c r="AP466" s="43"/>
      <c r="AQ466" s="43"/>
      <c r="AR466" s="43"/>
      <c r="AS466" s="43"/>
      <c r="AT466" s="43"/>
    </row>
    <row r="467" spans="1:46">
      <c r="A467" s="43" t="s">
        <v>89</v>
      </c>
      <c r="B467" s="43" t="s">
        <v>113</v>
      </c>
      <c r="C467" s="43" t="s">
        <v>109</v>
      </c>
      <c r="D467" s="44" t="s">
        <v>257</v>
      </c>
      <c r="E467" s="44">
        <v>25</v>
      </c>
      <c r="F467" s="44" t="s">
        <v>3</v>
      </c>
      <c r="G467" s="43" t="str">
        <f>IFERROR(VLOOKUP(A467,'[1]MC Masterlist 2026-09-12'!$B:$M, 3, 0),"")</f>
        <v>HONDA</v>
      </c>
      <c r="H467" s="45">
        <f>IFERROR(VLOOKUP(A467,'[1]MC Masterlist 2026-09-12'!$B:$M, 6, 0),"")</f>
        <v>117790</v>
      </c>
      <c r="I467" s="46">
        <v>0</v>
      </c>
      <c r="J467" s="46">
        <v>0</v>
      </c>
      <c r="K467" s="46">
        <v>1</v>
      </c>
      <c r="L467" s="46">
        <f t="shared" si="105"/>
        <v>1</v>
      </c>
      <c r="M467" s="46">
        <f t="shared" si="106"/>
        <v>0.33333333333333331</v>
      </c>
      <c r="N467" s="45">
        <f t="shared" si="107"/>
        <v>117790</v>
      </c>
      <c r="O467" s="45">
        <f t="shared" si="108"/>
        <v>39263.333333333328</v>
      </c>
      <c r="P467" s="46">
        <f t="shared" si="109"/>
        <v>1.111111111111111E-2</v>
      </c>
      <c r="Q467" s="46">
        <v>1</v>
      </c>
      <c r="R467" s="45">
        <f t="shared" si="110"/>
        <v>117790</v>
      </c>
      <c r="S467" s="46">
        <f t="shared" si="111"/>
        <v>90.000000000000014</v>
      </c>
      <c r="T467" s="46">
        <f>IFERROR(VLOOKUP(A467,'[1]Re-order'!$A:$Q,17,0),"")</f>
        <v>81.818181818181827</v>
      </c>
      <c r="U467" s="46">
        <f>IFERROR(VLOOKUP(A467,'[1]MC Masterlist 2026-09-12'!$B:$M, 10, 0),0)</f>
        <v>15</v>
      </c>
      <c r="V467" s="46">
        <f>IFERROR(VLOOKUP(A467,'[1]MC Masterlist 2026-09-12'!$B:$M, 11, 0),0)</f>
        <v>15</v>
      </c>
      <c r="W467" s="46">
        <f t="shared" si="112"/>
        <v>30</v>
      </c>
      <c r="X467" s="46">
        <f t="shared" si="113"/>
        <v>29.833333333333332</v>
      </c>
      <c r="Y467" s="46">
        <f>IFERROR(IF(OR(C467="AREA I",C467="AREA V"),7,VLOOKUP(A467,'[1]MC Masterlist 2026-09-12'!$B:$M, 12, 0)),0)</f>
        <v>30</v>
      </c>
      <c r="Z467" s="46">
        <f t="shared" si="114"/>
        <v>0.16666666666666666</v>
      </c>
      <c r="AA467" s="46">
        <f t="shared" si="115"/>
        <v>0.33333333333333331</v>
      </c>
      <c r="AB467" s="46">
        <f t="shared" si="116"/>
        <v>0.33148148148148143</v>
      </c>
      <c r="AC467" s="46">
        <f t="shared" si="117"/>
        <v>0.33333333333333331</v>
      </c>
      <c r="AD467" s="44" t="str">
        <f t="shared" si="118"/>
        <v>Over</v>
      </c>
      <c r="AE467" s="44" t="str">
        <f>IFERROR(VLOOKUP(A467,'[1]Re-order'!$A:$AA,27,0),"")</f>
        <v/>
      </c>
      <c r="AF467" s="46">
        <f t="shared" si="119"/>
        <v>-0.66666666666666674</v>
      </c>
      <c r="AG467" s="46">
        <f>SUMIFS('[1]Raw Inventory'!D:D,'[1]Raw Inventory'!C:C,"GREATWALL",'[1]Raw Inventory'!B:B,A467)</f>
        <v>5</v>
      </c>
      <c r="AH467" s="46">
        <f>SUMIFS('[1]Raw Inventory'!D:D,'[1]Raw Inventory'!C:C,"DUARTE",'[1]Raw Inventory'!B:B,A467)</f>
        <v>0</v>
      </c>
      <c r="AI467" s="46"/>
      <c r="AJ467" s="46"/>
      <c r="AK467" s="43"/>
      <c r="AL467" s="43"/>
      <c r="AM467" s="43"/>
      <c r="AN467" s="43"/>
      <c r="AO467" s="43"/>
      <c r="AP467" s="43"/>
      <c r="AQ467" s="43"/>
      <c r="AR467" s="43"/>
      <c r="AS467" s="43"/>
      <c r="AT467" s="43"/>
    </row>
    <row r="468" spans="1:46">
      <c r="A468" s="43" t="s">
        <v>65</v>
      </c>
      <c r="B468" s="43" t="s">
        <v>143</v>
      </c>
      <c r="C468" s="43" t="s">
        <v>137</v>
      </c>
      <c r="D468" s="44" t="s">
        <v>237</v>
      </c>
      <c r="E468" s="44">
        <v>26</v>
      </c>
      <c r="F468" s="44" t="s">
        <v>3</v>
      </c>
      <c r="G468" s="43" t="str">
        <f>IFERROR(VLOOKUP(A468,'[1]MC Masterlist 2026-09-12'!$B:$M, 3, 0),"")</f>
        <v>SUZUKI</v>
      </c>
      <c r="H468" s="45">
        <f>IFERROR(VLOOKUP(A468,'[1]MC Masterlist 2026-09-12'!$B:$M, 6, 0),"")</f>
        <v>77572</v>
      </c>
      <c r="I468" s="46">
        <v>0</v>
      </c>
      <c r="J468" s="46">
        <v>0</v>
      </c>
      <c r="K468" s="46">
        <v>0</v>
      </c>
      <c r="L468" s="46">
        <f t="shared" si="105"/>
        <v>0</v>
      </c>
      <c r="M468" s="46">
        <f t="shared" si="106"/>
        <v>0</v>
      </c>
      <c r="N468" s="45">
        <f t="shared" si="107"/>
        <v>0</v>
      </c>
      <c r="O468" s="45">
        <f t="shared" si="108"/>
        <v>0</v>
      </c>
      <c r="P468" s="46">
        <f t="shared" si="109"/>
        <v>0</v>
      </c>
      <c r="Q468" s="46">
        <v>1</v>
      </c>
      <c r="R468" s="45">
        <f t="shared" si="110"/>
        <v>77572</v>
      </c>
      <c r="S468" s="46">
        <f t="shared" si="111"/>
        <v>0</v>
      </c>
      <c r="T468" s="46">
        <f>IFERROR(VLOOKUP(A468,'[1]Re-order'!$A:$Q,17,0),"")</f>
        <v>158.8235294117647</v>
      </c>
      <c r="U468" s="46">
        <f>IFERROR(VLOOKUP(A468,'[1]MC Masterlist 2026-09-12'!$B:$M, 10, 0),0)</f>
        <v>15</v>
      </c>
      <c r="V468" s="46">
        <f>IFERROR(VLOOKUP(A468,'[1]MC Masterlist 2026-09-12'!$B:$M, 11, 0),0)</f>
        <v>15</v>
      </c>
      <c r="W468" s="46">
        <f t="shared" si="112"/>
        <v>30</v>
      </c>
      <c r="X468" s="46">
        <f t="shared" si="113"/>
        <v>7</v>
      </c>
      <c r="Y468" s="46">
        <f>IFERROR(IF(OR(C468="AREA I",C468="AREA V"),7,VLOOKUP(A468,'[1]MC Masterlist 2026-09-12'!$B:$M, 12, 0)),0)</f>
        <v>7</v>
      </c>
      <c r="Z468" s="46">
        <f t="shared" si="114"/>
        <v>0</v>
      </c>
      <c r="AA468" s="46">
        <f t="shared" si="115"/>
        <v>0</v>
      </c>
      <c r="AB468" s="46">
        <f t="shared" si="116"/>
        <v>0</v>
      </c>
      <c r="AC468" s="46">
        <f t="shared" si="117"/>
        <v>0</v>
      </c>
      <c r="AD468" s="44" t="str">
        <f t="shared" si="118"/>
        <v>Over</v>
      </c>
      <c r="AE468" s="44" t="str">
        <f>IFERROR(VLOOKUP(A468,'[1]Re-order'!$A:$AA,27,0),"")</f>
        <v>Over</v>
      </c>
      <c r="AF468" s="46">
        <f t="shared" si="119"/>
        <v>-1</v>
      </c>
      <c r="AG468" s="46">
        <f>SUMIFS('[1]Raw Inventory'!D:D,'[1]Raw Inventory'!C:C,"GREATWALL",'[1]Raw Inventory'!B:B,A468)</f>
        <v>4</v>
      </c>
      <c r="AH468" s="46">
        <f>SUMIFS('[1]Raw Inventory'!D:D,'[1]Raw Inventory'!C:C,"DUARTE",'[1]Raw Inventory'!B:B,A468)</f>
        <v>0</v>
      </c>
      <c r="AI468" s="46"/>
      <c r="AJ468" s="46"/>
      <c r="AK468" s="43"/>
      <c r="AL468" s="43"/>
      <c r="AM468" s="43"/>
      <c r="AN468" s="43"/>
      <c r="AO468" s="43"/>
      <c r="AP468" s="43"/>
      <c r="AQ468" s="43"/>
      <c r="AR468" s="43"/>
      <c r="AS468" s="43"/>
      <c r="AT468" s="43"/>
    </row>
    <row r="469" spans="1:46">
      <c r="A469" s="43" t="s">
        <v>40</v>
      </c>
      <c r="B469" s="43" t="s">
        <v>142</v>
      </c>
      <c r="C469" s="43" t="s">
        <v>137</v>
      </c>
      <c r="D469" s="44" t="s">
        <v>256</v>
      </c>
      <c r="E469" s="44">
        <v>15</v>
      </c>
      <c r="F469" s="44" t="s">
        <v>2</v>
      </c>
      <c r="G469" s="43" t="str">
        <f>IFERROR(VLOOKUP(A469,'[1]MC Masterlist 2026-09-12'!$B:$M, 3, 0),"")</f>
        <v>HONDA</v>
      </c>
      <c r="H469" s="45">
        <f>IFERROR(VLOOKUP(A469,'[1]MC Masterlist 2026-09-12'!$B:$M, 6, 0),"")</f>
        <v>56426</v>
      </c>
      <c r="I469" s="46">
        <v>0</v>
      </c>
      <c r="J469" s="46">
        <v>0</v>
      </c>
      <c r="K469" s="46">
        <v>2</v>
      </c>
      <c r="L469" s="46">
        <f t="shared" si="105"/>
        <v>2</v>
      </c>
      <c r="M469" s="46">
        <f t="shared" si="106"/>
        <v>0.66666666666666663</v>
      </c>
      <c r="N469" s="45">
        <f t="shared" si="107"/>
        <v>112852</v>
      </c>
      <c r="O469" s="45">
        <f t="shared" si="108"/>
        <v>37617.333333333328</v>
      </c>
      <c r="P469" s="46">
        <f t="shared" si="109"/>
        <v>2.222222222222222E-2</v>
      </c>
      <c r="Q469" s="46">
        <v>1</v>
      </c>
      <c r="R469" s="45">
        <f t="shared" si="110"/>
        <v>56426</v>
      </c>
      <c r="S469" s="46">
        <f t="shared" si="111"/>
        <v>45.000000000000007</v>
      </c>
      <c r="T469" s="46">
        <f>IFERROR(VLOOKUP(A469,'[1]Re-order'!$A:$Q,17,0),"")</f>
        <v>139.56521739130434</v>
      </c>
      <c r="U469" s="46">
        <f>IFERROR(VLOOKUP(A469,'[1]MC Masterlist 2026-09-12'!$B:$M, 10, 0),0)</f>
        <v>15</v>
      </c>
      <c r="V469" s="46">
        <f>IFERROR(VLOOKUP(A469,'[1]MC Masterlist 2026-09-12'!$B:$M, 11, 0),0)</f>
        <v>15</v>
      </c>
      <c r="W469" s="46">
        <f t="shared" si="112"/>
        <v>30</v>
      </c>
      <c r="X469" s="46">
        <f t="shared" si="113"/>
        <v>6.666666666666667</v>
      </c>
      <c r="Y469" s="46">
        <f>IFERROR(IF(OR(C469="AREA I",C469="AREA V"),7,VLOOKUP(A469,'[1]MC Masterlist 2026-09-12'!$B:$M, 12, 0)),0)</f>
        <v>7</v>
      </c>
      <c r="Z469" s="46">
        <f t="shared" si="114"/>
        <v>0.33333333333333331</v>
      </c>
      <c r="AA469" s="46">
        <f t="shared" si="115"/>
        <v>0.66666666666666663</v>
      </c>
      <c r="AB469" s="46">
        <f t="shared" si="116"/>
        <v>0.14814814814814814</v>
      </c>
      <c r="AC469" s="46">
        <f t="shared" si="117"/>
        <v>0.15555555555555553</v>
      </c>
      <c r="AD469" s="44" t="str">
        <f t="shared" si="118"/>
        <v>Over</v>
      </c>
      <c r="AE469" s="44" t="str">
        <f>IFERROR(VLOOKUP(A469,'[1]Re-order'!$A:$AA,27,0),"")</f>
        <v>Over</v>
      </c>
      <c r="AF469" s="46">
        <f t="shared" si="119"/>
        <v>-0.84444444444444444</v>
      </c>
      <c r="AG469" s="46">
        <f>SUMIFS('[1]Raw Inventory'!D:D,'[1]Raw Inventory'!C:C,"GREATWALL",'[1]Raw Inventory'!B:B,A469)</f>
        <v>45</v>
      </c>
      <c r="AH469" s="46">
        <f>SUMIFS('[1]Raw Inventory'!D:D,'[1]Raw Inventory'!C:C,"DUARTE",'[1]Raw Inventory'!B:B,A469)</f>
        <v>0</v>
      </c>
      <c r="AI469" s="46"/>
      <c r="AJ469" s="46"/>
      <c r="AK469" s="43"/>
      <c r="AL469" s="43"/>
      <c r="AM469" s="43"/>
      <c r="AN469" s="43"/>
      <c r="AO469" s="43"/>
      <c r="AP469" s="43"/>
      <c r="AQ469" s="43"/>
      <c r="AR469" s="43"/>
      <c r="AS469" s="43"/>
      <c r="AT469" s="43"/>
    </row>
    <row r="470" spans="1:46">
      <c r="A470" s="43" t="s">
        <v>126</v>
      </c>
      <c r="B470" s="43" t="s">
        <v>122</v>
      </c>
      <c r="C470" s="43" t="s">
        <v>118</v>
      </c>
      <c r="D470" s="44" t="s">
        <v>239</v>
      </c>
      <c r="E470" s="44">
        <v>32</v>
      </c>
      <c r="F470" s="44" t="s">
        <v>3</v>
      </c>
      <c r="G470" s="43" t="str">
        <f>IFERROR(VLOOKUP(A470,'[1]MC Masterlist 2026-09-12'!$B:$M, 3, 0),"")</f>
        <v>KAWASAKI</v>
      </c>
      <c r="H470" s="45">
        <f>IFERROR(VLOOKUP(A470,'[1]MC Masterlist 2026-09-12'!$B:$M, 6, 0),"")</f>
        <v>134000</v>
      </c>
      <c r="I470" s="46">
        <v>0</v>
      </c>
      <c r="J470" s="46">
        <v>0</v>
      </c>
      <c r="K470" s="46">
        <v>0</v>
      </c>
      <c r="L470" s="46">
        <f t="shared" si="105"/>
        <v>0</v>
      </c>
      <c r="M470" s="46">
        <f t="shared" si="106"/>
        <v>0</v>
      </c>
      <c r="N470" s="45">
        <f t="shared" si="107"/>
        <v>0</v>
      </c>
      <c r="O470" s="45">
        <f t="shared" si="108"/>
        <v>0</v>
      </c>
      <c r="P470" s="46">
        <f t="shared" si="109"/>
        <v>0</v>
      </c>
      <c r="Q470" s="46">
        <v>1</v>
      </c>
      <c r="R470" s="45">
        <f t="shared" si="110"/>
        <v>134000</v>
      </c>
      <c r="S470" s="46">
        <f t="shared" si="111"/>
        <v>0</v>
      </c>
      <c r="T470" s="46" t="str">
        <f>IFERROR(VLOOKUP(A470,'[1]Re-order'!$A:$Q,17,0),"")</f>
        <v/>
      </c>
      <c r="U470" s="46">
        <f>IFERROR(VLOOKUP(A470,'[1]MC Masterlist 2026-09-12'!$B:$M, 10, 0),0)</f>
        <v>15</v>
      </c>
      <c r="V470" s="46">
        <f>IFERROR(VLOOKUP(A470,'[1]MC Masterlist 2026-09-12'!$B:$M, 11, 0),0)</f>
        <v>15</v>
      </c>
      <c r="W470" s="46">
        <f t="shared" si="112"/>
        <v>30</v>
      </c>
      <c r="X470" s="46">
        <f t="shared" si="113"/>
        <v>30</v>
      </c>
      <c r="Y470" s="46">
        <f>IFERROR(IF(OR(C470="AREA I",C470="AREA V"),7,VLOOKUP(A470,'[1]MC Masterlist 2026-09-12'!$B:$M, 12, 0)),0)</f>
        <v>30</v>
      </c>
      <c r="Z470" s="46">
        <f t="shared" si="114"/>
        <v>0</v>
      </c>
      <c r="AA470" s="46">
        <f t="shared" si="115"/>
        <v>0</v>
      </c>
      <c r="AB470" s="46">
        <f t="shared" si="116"/>
        <v>0</v>
      </c>
      <c r="AC470" s="46">
        <f t="shared" si="117"/>
        <v>0</v>
      </c>
      <c r="AD470" s="44" t="str">
        <f t="shared" si="118"/>
        <v>Over</v>
      </c>
      <c r="AE470" s="44" t="str">
        <f>IFERROR(VLOOKUP(A470,'[1]Re-order'!$A:$AA,27,0),"")</f>
        <v>Over</v>
      </c>
      <c r="AF470" s="46">
        <f t="shared" si="119"/>
        <v>-1</v>
      </c>
      <c r="AG470" s="46">
        <f>SUMIFS('[1]Raw Inventory'!D:D,'[1]Raw Inventory'!C:C,"GREATWALL",'[1]Raw Inventory'!B:B,A470)</f>
        <v>0</v>
      </c>
      <c r="AH470" s="46">
        <f>SUMIFS('[1]Raw Inventory'!D:D,'[1]Raw Inventory'!C:C,"DUARTE",'[1]Raw Inventory'!B:B,A470)</f>
        <v>0</v>
      </c>
      <c r="AI470" s="46"/>
      <c r="AJ470" s="46"/>
      <c r="AK470" s="43"/>
      <c r="AL470" s="43"/>
      <c r="AM470" s="43"/>
      <c r="AN470" s="43"/>
      <c r="AO470" s="43"/>
      <c r="AP470" s="43"/>
      <c r="AQ470" s="43"/>
      <c r="AR470" s="43"/>
      <c r="AS470" s="43"/>
      <c r="AT470" s="43"/>
    </row>
    <row r="471" spans="1:46">
      <c r="A471" s="43" t="s">
        <v>17</v>
      </c>
      <c r="B471" s="43" t="s">
        <v>94</v>
      </c>
      <c r="C471" s="43" t="s">
        <v>90</v>
      </c>
      <c r="D471" s="44" t="s">
        <v>237</v>
      </c>
      <c r="E471" s="44">
        <v>29</v>
      </c>
      <c r="F471" s="44" t="s">
        <v>3</v>
      </c>
      <c r="G471" s="43" t="str">
        <f>IFERROR(VLOOKUP(A471,'[1]MC Masterlist 2026-09-12'!$B:$M, 3, 0),"")</f>
        <v>HONDA</v>
      </c>
      <c r="H471" s="45">
        <f>IFERROR(VLOOKUP(A471,'[1]MC Masterlist 2026-09-12'!$B:$M, 6, 0),"")</f>
        <v>140790</v>
      </c>
      <c r="I471" s="46">
        <v>0</v>
      </c>
      <c r="J471" s="46">
        <v>0</v>
      </c>
      <c r="K471" s="46">
        <v>0</v>
      </c>
      <c r="L471" s="46">
        <f t="shared" si="105"/>
        <v>0</v>
      </c>
      <c r="M471" s="46">
        <f t="shared" si="106"/>
        <v>0</v>
      </c>
      <c r="N471" s="45">
        <f t="shared" si="107"/>
        <v>0</v>
      </c>
      <c r="O471" s="45">
        <f t="shared" si="108"/>
        <v>0</v>
      </c>
      <c r="P471" s="46">
        <f t="shared" si="109"/>
        <v>0</v>
      </c>
      <c r="Q471" s="46">
        <v>4</v>
      </c>
      <c r="R471" s="45">
        <f t="shared" si="110"/>
        <v>563160</v>
      </c>
      <c r="S471" s="46">
        <f t="shared" si="111"/>
        <v>0</v>
      </c>
      <c r="T471" s="46">
        <f>IFERROR(VLOOKUP(A471,'[1]Re-order'!$A:$Q,17,0),"")</f>
        <v>43.663366336633665</v>
      </c>
      <c r="U471" s="46">
        <f>IFERROR(VLOOKUP(A471,'[1]MC Masterlist 2026-09-12'!$B:$M, 10, 0),0)</f>
        <v>15</v>
      </c>
      <c r="V471" s="46">
        <f>IFERROR(VLOOKUP(A471,'[1]MC Masterlist 2026-09-12'!$B:$M, 11, 0),0)</f>
        <v>15</v>
      </c>
      <c r="W471" s="46">
        <f t="shared" si="112"/>
        <v>30</v>
      </c>
      <c r="X471" s="46">
        <f t="shared" si="113"/>
        <v>30</v>
      </c>
      <c r="Y471" s="46">
        <f>IFERROR(IF(OR(C471="AREA I",C471="AREA V"),7,VLOOKUP(A471,'[1]MC Masterlist 2026-09-12'!$B:$M, 12, 0)),0)</f>
        <v>30</v>
      </c>
      <c r="Z471" s="46">
        <f t="shared" si="114"/>
        <v>0</v>
      </c>
      <c r="AA471" s="46">
        <f t="shared" si="115"/>
        <v>0</v>
      </c>
      <c r="AB471" s="46">
        <f t="shared" si="116"/>
        <v>0</v>
      </c>
      <c r="AC471" s="46">
        <f t="shared" si="117"/>
        <v>0</v>
      </c>
      <c r="AD471" s="44" t="str">
        <f t="shared" si="118"/>
        <v>Over</v>
      </c>
      <c r="AE471" s="44" t="str">
        <f>IFERROR(VLOOKUP(A471,'[1]Re-order'!$A:$AA,27,0),"")</f>
        <v>Re-order</v>
      </c>
      <c r="AF471" s="46">
        <f t="shared" si="119"/>
        <v>-4</v>
      </c>
      <c r="AG471" s="46">
        <f>SUMIFS('[1]Raw Inventory'!D:D,'[1]Raw Inventory'!C:C,"GREATWALL",'[1]Raw Inventory'!B:B,A471)</f>
        <v>12</v>
      </c>
      <c r="AH471" s="46">
        <f>SUMIFS('[1]Raw Inventory'!D:D,'[1]Raw Inventory'!C:C,"DUARTE",'[1]Raw Inventory'!B:B,A471)</f>
        <v>0</v>
      </c>
      <c r="AI471" s="46"/>
      <c r="AJ471" s="46"/>
      <c r="AK471" s="43"/>
      <c r="AL471" s="43"/>
      <c r="AM471" s="43"/>
      <c r="AN471" s="43"/>
      <c r="AO471" s="43"/>
      <c r="AP471" s="43"/>
      <c r="AQ471" s="43"/>
      <c r="AR471" s="43"/>
      <c r="AS471" s="43"/>
      <c r="AT471" s="43"/>
    </row>
    <row r="472" spans="1:46">
      <c r="A472" s="43" t="s">
        <v>76</v>
      </c>
      <c r="B472" s="43" t="s">
        <v>131</v>
      </c>
      <c r="C472" s="43" t="s">
        <v>128</v>
      </c>
      <c r="D472" s="44" t="s">
        <v>242</v>
      </c>
      <c r="E472" s="44">
        <v>23</v>
      </c>
      <c r="F472" s="44" t="s">
        <v>3</v>
      </c>
      <c r="G472" s="43" t="str">
        <f>IFERROR(VLOOKUP(A472,'[1]MC Masterlist 2026-09-12'!$B:$M, 3, 0),"")</f>
        <v>SUZUKI</v>
      </c>
      <c r="H472" s="45">
        <f>IFERROR(VLOOKUP(A472,'[1]MC Masterlist 2026-09-12'!$B:$M, 6, 0),"")</f>
        <v>62692</v>
      </c>
      <c r="I472" s="46">
        <v>0</v>
      </c>
      <c r="J472" s="46">
        <v>0</v>
      </c>
      <c r="K472" s="46">
        <v>0</v>
      </c>
      <c r="L472" s="46">
        <f t="shared" si="105"/>
        <v>0</v>
      </c>
      <c r="M472" s="46">
        <f t="shared" si="106"/>
        <v>0</v>
      </c>
      <c r="N472" s="45">
        <f t="shared" si="107"/>
        <v>0</v>
      </c>
      <c r="O472" s="45">
        <f t="shared" si="108"/>
        <v>0</v>
      </c>
      <c r="P472" s="46">
        <f t="shared" si="109"/>
        <v>0</v>
      </c>
      <c r="Q472" s="46">
        <v>2</v>
      </c>
      <c r="R472" s="45">
        <f t="shared" si="110"/>
        <v>125384</v>
      </c>
      <c r="S472" s="46">
        <f t="shared" si="111"/>
        <v>0</v>
      </c>
      <c r="T472" s="46">
        <f>IFERROR(VLOOKUP(A472,'[1]Re-order'!$A:$Q,17,0),"")</f>
        <v>106.36363636363636</v>
      </c>
      <c r="U472" s="46">
        <f>IFERROR(VLOOKUP(A472,'[1]MC Masterlist 2026-09-12'!$B:$M, 10, 0),0)</f>
        <v>15</v>
      </c>
      <c r="V472" s="46">
        <f>IFERROR(VLOOKUP(A472,'[1]MC Masterlist 2026-09-12'!$B:$M, 11, 0),0)</f>
        <v>15</v>
      </c>
      <c r="W472" s="46">
        <f t="shared" si="112"/>
        <v>30</v>
      </c>
      <c r="X472" s="46">
        <f t="shared" si="113"/>
        <v>30</v>
      </c>
      <c r="Y472" s="46">
        <f>IFERROR(IF(OR(C472="AREA I",C472="AREA V"),7,VLOOKUP(A472,'[1]MC Masterlist 2026-09-12'!$B:$M, 12, 0)),0)</f>
        <v>30</v>
      </c>
      <c r="Z472" s="46">
        <f t="shared" si="114"/>
        <v>0</v>
      </c>
      <c r="AA472" s="46">
        <f t="shared" si="115"/>
        <v>0</v>
      </c>
      <c r="AB472" s="46">
        <f t="shared" si="116"/>
        <v>0</v>
      </c>
      <c r="AC472" s="46">
        <f t="shared" si="117"/>
        <v>0</v>
      </c>
      <c r="AD472" s="44" t="str">
        <f t="shared" si="118"/>
        <v>Over</v>
      </c>
      <c r="AE472" s="44" t="str">
        <f>IFERROR(VLOOKUP(A472,'[1]Re-order'!$A:$AA,27,0),"")</f>
        <v>Over</v>
      </c>
      <c r="AF472" s="46">
        <f t="shared" si="119"/>
        <v>-2</v>
      </c>
      <c r="AG472" s="46">
        <f>SUMIFS('[1]Raw Inventory'!D:D,'[1]Raw Inventory'!C:C,"GREATWALL",'[1]Raw Inventory'!B:B,A472)</f>
        <v>1</v>
      </c>
      <c r="AH472" s="46">
        <f>SUMIFS('[1]Raw Inventory'!D:D,'[1]Raw Inventory'!C:C,"DUARTE",'[1]Raw Inventory'!B:B,A472)</f>
        <v>0</v>
      </c>
      <c r="AI472" s="46"/>
      <c r="AJ472" s="46"/>
      <c r="AK472" s="43"/>
      <c r="AL472" s="43"/>
      <c r="AM472" s="43"/>
      <c r="AN472" s="43"/>
      <c r="AO472" s="43"/>
      <c r="AP472" s="43"/>
      <c r="AQ472" s="43"/>
      <c r="AR472" s="43"/>
      <c r="AS472" s="43"/>
      <c r="AT472" s="43"/>
    </row>
    <row r="473" spans="1:46">
      <c r="A473" s="43" t="s">
        <v>18</v>
      </c>
      <c r="B473" s="43" t="s">
        <v>30</v>
      </c>
      <c r="C473" s="43" t="s">
        <v>1</v>
      </c>
      <c r="D473" s="44" t="s">
        <v>236</v>
      </c>
      <c r="E473" s="44">
        <v>10</v>
      </c>
      <c r="F473" s="44" t="s">
        <v>2</v>
      </c>
      <c r="G473" s="43" t="str">
        <f>IFERROR(VLOOKUP(A473,'[1]MC Masterlist 2026-09-12'!$B:$M, 3, 0),"")</f>
        <v>HONDA</v>
      </c>
      <c r="H473" s="45">
        <f>IFERROR(VLOOKUP(A473,'[1]MC Masterlist 2026-09-12'!$B:$M, 6, 0),"")</f>
        <v>94330</v>
      </c>
      <c r="I473" s="46">
        <v>0</v>
      </c>
      <c r="J473" s="46">
        <v>6</v>
      </c>
      <c r="K473" s="46">
        <v>1</v>
      </c>
      <c r="L473" s="46">
        <f t="shared" si="105"/>
        <v>7</v>
      </c>
      <c r="M473" s="46">
        <f t="shared" si="106"/>
        <v>2.3333333333333335</v>
      </c>
      <c r="N473" s="45">
        <f t="shared" si="107"/>
        <v>660310</v>
      </c>
      <c r="O473" s="45">
        <f t="shared" si="108"/>
        <v>220103.33333333334</v>
      </c>
      <c r="P473" s="46">
        <f t="shared" si="109"/>
        <v>7.7777777777777779E-2</v>
      </c>
      <c r="Q473" s="46">
        <v>4</v>
      </c>
      <c r="R473" s="45">
        <f t="shared" si="110"/>
        <v>377320</v>
      </c>
      <c r="S473" s="46">
        <f t="shared" si="111"/>
        <v>51.428571428571423</v>
      </c>
      <c r="T473" s="46">
        <f>IFERROR(VLOOKUP(A473,'[1]Re-order'!$A:$Q,17,0),"")</f>
        <v>113.9644970414201</v>
      </c>
      <c r="U473" s="46">
        <f>IFERROR(VLOOKUP(A473,'[1]MC Masterlist 2026-09-12'!$B:$M, 10, 0),0)</f>
        <v>15</v>
      </c>
      <c r="V473" s="46">
        <f>IFERROR(VLOOKUP(A473,'[1]MC Masterlist 2026-09-12'!$B:$M, 11, 0),0)</f>
        <v>15</v>
      </c>
      <c r="W473" s="46">
        <f t="shared" si="112"/>
        <v>30</v>
      </c>
      <c r="X473" s="46">
        <f t="shared" si="113"/>
        <v>5.833333333333333</v>
      </c>
      <c r="Y473" s="46">
        <f>IFERROR(IF(OR(C473="AREA I",C473="AREA V"),7,VLOOKUP(A473,'[1]MC Masterlist 2026-09-12'!$B:$M, 12, 0)),0)</f>
        <v>7</v>
      </c>
      <c r="Z473" s="46">
        <f t="shared" si="114"/>
        <v>1.1666666666666667</v>
      </c>
      <c r="AA473" s="46">
        <f t="shared" si="115"/>
        <v>2.3333333333333335</v>
      </c>
      <c r="AB473" s="46">
        <f t="shared" si="116"/>
        <v>0.45370370370370366</v>
      </c>
      <c r="AC473" s="46">
        <f t="shared" si="117"/>
        <v>0.54444444444444451</v>
      </c>
      <c r="AD473" s="44" t="str">
        <f t="shared" si="118"/>
        <v>Over</v>
      </c>
      <c r="AE473" s="44" t="str">
        <f>IFERROR(VLOOKUP(A473,'[1]Re-order'!$A:$AA,27,0),"")</f>
        <v>Over</v>
      </c>
      <c r="AF473" s="46">
        <f t="shared" si="119"/>
        <v>-3.4555555555555557</v>
      </c>
      <c r="AG473" s="46">
        <f>SUMIFS('[1]Raw Inventory'!D:D,'[1]Raw Inventory'!C:C,"GREATWALL",'[1]Raw Inventory'!B:B,A473)</f>
        <v>88</v>
      </c>
      <c r="AH473" s="46">
        <f>SUMIFS('[1]Raw Inventory'!D:D,'[1]Raw Inventory'!C:C,"DUARTE",'[1]Raw Inventory'!B:B,A473)</f>
        <v>0</v>
      </c>
      <c r="AI473" s="46"/>
      <c r="AJ473" s="46"/>
      <c r="AK473" s="43"/>
      <c r="AL473" s="43"/>
      <c r="AM473" s="43"/>
      <c r="AN473" s="43"/>
      <c r="AO473" s="43"/>
      <c r="AP473" s="43"/>
      <c r="AQ473" s="43"/>
      <c r="AR473" s="43"/>
      <c r="AS473" s="43"/>
      <c r="AT473" s="43"/>
    </row>
    <row r="474" spans="1:46">
      <c r="A474" s="43" t="s">
        <v>50</v>
      </c>
      <c r="B474" s="43" t="s">
        <v>114</v>
      </c>
      <c r="C474" s="43" t="s">
        <v>109</v>
      </c>
      <c r="D474" s="44" t="s">
        <v>247</v>
      </c>
      <c r="E474" s="44">
        <v>24</v>
      </c>
      <c r="F474" s="44" t="s">
        <v>3</v>
      </c>
      <c r="G474" s="43" t="str">
        <f>IFERROR(VLOOKUP(A474,'[1]MC Masterlist 2026-09-12'!$B:$M, 3, 0),"")</f>
        <v>YAMAHA</v>
      </c>
      <c r="H474" s="45">
        <f>IFERROR(VLOOKUP(A474,'[1]MC Masterlist 2026-09-12'!$B:$M, 6, 0),"")</f>
        <v>78957</v>
      </c>
      <c r="I474" s="46">
        <v>0</v>
      </c>
      <c r="J474" s="46">
        <v>1</v>
      </c>
      <c r="K474" s="46">
        <v>0</v>
      </c>
      <c r="L474" s="46">
        <f t="shared" si="105"/>
        <v>1</v>
      </c>
      <c r="M474" s="46">
        <f t="shared" si="106"/>
        <v>0.33333333333333331</v>
      </c>
      <c r="N474" s="45">
        <f t="shared" si="107"/>
        <v>78957</v>
      </c>
      <c r="O474" s="45">
        <f t="shared" si="108"/>
        <v>26319</v>
      </c>
      <c r="P474" s="46">
        <f t="shared" si="109"/>
        <v>1.111111111111111E-2</v>
      </c>
      <c r="Q474" s="46">
        <v>1</v>
      </c>
      <c r="R474" s="45">
        <f t="shared" si="110"/>
        <v>78957</v>
      </c>
      <c r="S474" s="46">
        <f t="shared" si="111"/>
        <v>90</v>
      </c>
      <c r="T474" s="46">
        <f>IFERROR(VLOOKUP(A474,'[1]Re-order'!$A:$Q,17,0),"")</f>
        <v>118.125</v>
      </c>
      <c r="U474" s="46">
        <f>IFERROR(VLOOKUP(A474,'[1]MC Masterlist 2026-09-12'!$B:$M, 10, 0),0)</f>
        <v>15</v>
      </c>
      <c r="V474" s="46">
        <f>IFERROR(VLOOKUP(A474,'[1]MC Masterlist 2026-09-12'!$B:$M, 11, 0),0)</f>
        <v>15</v>
      </c>
      <c r="W474" s="46">
        <f t="shared" si="112"/>
        <v>30</v>
      </c>
      <c r="X474" s="46">
        <f t="shared" si="113"/>
        <v>29.833333333333332</v>
      </c>
      <c r="Y474" s="46">
        <f>IFERROR(IF(OR(C474="AREA I",C474="AREA V"),7,VLOOKUP(A474,'[1]MC Masterlist 2026-09-12'!$B:$M, 12, 0)),0)</f>
        <v>30</v>
      </c>
      <c r="Z474" s="46">
        <f t="shared" si="114"/>
        <v>0.16666666666666666</v>
      </c>
      <c r="AA474" s="46">
        <f t="shared" si="115"/>
        <v>0.33333333333333331</v>
      </c>
      <c r="AB474" s="46">
        <f t="shared" si="116"/>
        <v>0.33148148148148143</v>
      </c>
      <c r="AC474" s="46">
        <f t="shared" si="117"/>
        <v>0.33333333333333331</v>
      </c>
      <c r="AD474" s="44" t="str">
        <f t="shared" si="118"/>
        <v>Over</v>
      </c>
      <c r="AE474" s="44" t="str">
        <f>IFERROR(VLOOKUP(A474,'[1]Re-order'!$A:$AA,27,0),"")</f>
        <v>Over</v>
      </c>
      <c r="AF474" s="46">
        <f t="shared" si="119"/>
        <v>-0.66666666666666674</v>
      </c>
      <c r="AG474" s="46">
        <f>SUMIFS('[1]Raw Inventory'!D:D,'[1]Raw Inventory'!C:C,"GREATWALL",'[1]Raw Inventory'!B:B,A474)</f>
        <v>23</v>
      </c>
      <c r="AH474" s="46">
        <f>SUMIFS('[1]Raw Inventory'!D:D,'[1]Raw Inventory'!C:C,"DUARTE",'[1]Raw Inventory'!B:B,A474)</f>
        <v>0</v>
      </c>
      <c r="AI474" s="46"/>
      <c r="AJ474" s="46"/>
      <c r="AK474" s="43"/>
      <c r="AL474" s="43"/>
      <c r="AM474" s="43"/>
      <c r="AN474" s="43"/>
      <c r="AO474" s="43"/>
      <c r="AP474" s="43"/>
      <c r="AQ474" s="43"/>
      <c r="AR474" s="43"/>
      <c r="AS474" s="43"/>
      <c r="AT474" s="43"/>
    </row>
    <row r="475" spans="1:46">
      <c r="A475" s="43" t="s">
        <v>44</v>
      </c>
      <c r="B475" s="43" t="s">
        <v>132</v>
      </c>
      <c r="C475" s="43" t="s">
        <v>128</v>
      </c>
      <c r="D475" s="44" t="s">
        <v>268</v>
      </c>
      <c r="E475" s="44">
        <v>20</v>
      </c>
      <c r="F475" s="44" t="s">
        <v>3</v>
      </c>
      <c r="G475" s="43" t="str">
        <f>IFERROR(VLOOKUP(A475,'[1]MC Masterlist 2026-09-12'!$B:$M, 3, 0),"")</f>
        <v>YAMAHA</v>
      </c>
      <c r="H475" s="45">
        <f>IFERROR(VLOOKUP(A475,'[1]MC Masterlist 2026-09-12'!$B:$M, 6, 0),"")</f>
        <v>165912</v>
      </c>
      <c r="I475" s="46">
        <v>1</v>
      </c>
      <c r="J475" s="46">
        <v>0</v>
      </c>
      <c r="K475" s="46">
        <v>0</v>
      </c>
      <c r="L475" s="46">
        <f t="shared" si="105"/>
        <v>1</v>
      </c>
      <c r="M475" s="46">
        <f t="shared" si="106"/>
        <v>0.33333333333333331</v>
      </c>
      <c r="N475" s="45">
        <f t="shared" si="107"/>
        <v>165912</v>
      </c>
      <c r="O475" s="45">
        <f t="shared" si="108"/>
        <v>55304</v>
      </c>
      <c r="P475" s="46">
        <f t="shared" si="109"/>
        <v>1.111111111111111E-2</v>
      </c>
      <c r="Q475" s="46"/>
      <c r="R475" s="45">
        <f t="shared" si="110"/>
        <v>0</v>
      </c>
      <c r="S475" s="46">
        <f t="shared" si="111"/>
        <v>0</v>
      </c>
      <c r="T475" s="46">
        <f>IFERROR(VLOOKUP(A475,'[1]Re-order'!$A:$Q,17,0),"")</f>
        <v>10.588235294117649</v>
      </c>
      <c r="U475" s="46">
        <f>IFERROR(VLOOKUP(A475,'[1]MC Masterlist 2026-09-12'!$B:$M, 10, 0),0)</f>
        <v>15</v>
      </c>
      <c r="V475" s="46">
        <f>IFERROR(VLOOKUP(A475,'[1]MC Masterlist 2026-09-12'!$B:$M, 11, 0),0)</f>
        <v>15</v>
      </c>
      <c r="W475" s="46">
        <f t="shared" si="112"/>
        <v>30</v>
      </c>
      <c r="X475" s="46">
        <f t="shared" si="113"/>
        <v>29.833333333333332</v>
      </c>
      <c r="Y475" s="46">
        <f>IFERROR(IF(OR(C475="AREA I",C475="AREA V"),7,VLOOKUP(A475,'[1]MC Masterlist 2026-09-12'!$B:$M, 12, 0)),0)</f>
        <v>30</v>
      </c>
      <c r="Z475" s="46">
        <f t="shared" si="114"/>
        <v>0.16666666666666666</v>
      </c>
      <c r="AA475" s="46">
        <f t="shared" si="115"/>
        <v>0.33333333333333331</v>
      </c>
      <c r="AB475" s="46">
        <f t="shared" si="116"/>
        <v>0.33148148148148143</v>
      </c>
      <c r="AC475" s="46">
        <f t="shared" si="117"/>
        <v>0.33333333333333331</v>
      </c>
      <c r="AD475" s="44" t="str">
        <f t="shared" si="118"/>
        <v>Stockout</v>
      </c>
      <c r="AE475" s="44" t="str">
        <f>IFERROR(VLOOKUP(A475,'[1]Re-order'!$A:$AA,27,0),"")</f>
        <v>Stockout</v>
      </c>
      <c r="AF475" s="46">
        <f t="shared" si="119"/>
        <v>0.33333333333333331</v>
      </c>
      <c r="AG475" s="46">
        <f>SUMIFS('[1]Raw Inventory'!D:D,'[1]Raw Inventory'!C:C,"GREATWALL",'[1]Raw Inventory'!B:B,A475)</f>
        <v>0</v>
      </c>
      <c r="AH475" s="46">
        <f>SUMIFS('[1]Raw Inventory'!D:D,'[1]Raw Inventory'!C:C,"DUARTE",'[1]Raw Inventory'!B:B,A475)</f>
        <v>0</v>
      </c>
      <c r="AI475" s="46"/>
      <c r="AJ475" s="46"/>
      <c r="AK475" s="43"/>
      <c r="AL475" s="43"/>
      <c r="AM475" s="43"/>
      <c r="AN475" s="43"/>
      <c r="AO475" s="43"/>
      <c r="AP475" s="43"/>
      <c r="AQ475" s="43"/>
      <c r="AR475" s="43"/>
      <c r="AS475" s="43"/>
      <c r="AT475" s="43"/>
    </row>
    <row r="476" spans="1:46">
      <c r="A476" s="43" t="s">
        <v>16</v>
      </c>
      <c r="B476" s="43" t="s">
        <v>153</v>
      </c>
      <c r="C476" s="43" t="s">
        <v>152</v>
      </c>
      <c r="D476" s="44" t="s">
        <v>254</v>
      </c>
      <c r="E476" s="44">
        <v>4</v>
      </c>
      <c r="F476" s="44" t="s">
        <v>2</v>
      </c>
      <c r="G476" s="43" t="str">
        <f>IFERROR(VLOOKUP(A476,'[1]MC Masterlist 2026-09-12'!$B:$M, 3, 0),"")</f>
        <v>HONDA</v>
      </c>
      <c r="H476" s="45">
        <f>IFERROR(VLOOKUP(A476,'[1]MC Masterlist 2026-09-12'!$B:$M, 6, 0),"")</f>
        <v>84394</v>
      </c>
      <c r="I476" s="46">
        <v>1</v>
      </c>
      <c r="J476" s="46">
        <v>5</v>
      </c>
      <c r="K476" s="46">
        <v>0</v>
      </c>
      <c r="L476" s="46">
        <f t="shared" si="105"/>
        <v>6</v>
      </c>
      <c r="M476" s="46">
        <f t="shared" si="106"/>
        <v>2</v>
      </c>
      <c r="N476" s="45">
        <f t="shared" si="107"/>
        <v>506364</v>
      </c>
      <c r="O476" s="45">
        <f t="shared" si="108"/>
        <v>168788</v>
      </c>
      <c r="P476" s="46">
        <f t="shared" si="109"/>
        <v>6.6666666666666666E-2</v>
      </c>
      <c r="Q476" s="46"/>
      <c r="R476" s="45">
        <f t="shared" si="110"/>
        <v>0</v>
      </c>
      <c r="S476" s="46">
        <f t="shared" si="111"/>
        <v>0</v>
      </c>
      <c r="T476" s="46">
        <f>IFERROR(VLOOKUP(A476,'[1]Re-order'!$A:$Q,17,0),"")</f>
        <v>26.332665330661321</v>
      </c>
      <c r="U476" s="46">
        <f>IFERROR(VLOOKUP(A476,'[1]MC Masterlist 2026-09-12'!$B:$M, 10, 0),0)</f>
        <v>15</v>
      </c>
      <c r="V476" s="46">
        <f>IFERROR(VLOOKUP(A476,'[1]MC Masterlist 2026-09-12'!$B:$M, 11, 0),0)</f>
        <v>15</v>
      </c>
      <c r="W476" s="46">
        <f t="shared" si="112"/>
        <v>30</v>
      </c>
      <c r="X476" s="46">
        <f t="shared" si="113"/>
        <v>29</v>
      </c>
      <c r="Y476" s="46">
        <f>IFERROR(IF(OR(C476="AREA I",C476="AREA V"),7,VLOOKUP(A476,'[1]MC Masterlist 2026-09-12'!$B:$M, 12, 0)),0)</f>
        <v>30</v>
      </c>
      <c r="Z476" s="46">
        <f t="shared" si="114"/>
        <v>1</v>
      </c>
      <c r="AA476" s="46">
        <f t="shared" si="115"/>
        <v>2</v>
      </c>
      <c r="AB476" s="46">
        <f t="shared" si="116"/>
        <v>1.9333333333333333</v>
      </c>
      <c r="AC476" s="46">
        <f t="shared" si="117"/>
        <v>2</v>
      </c>
      <c r="AD476" s="44" t="str">
        <f t="shared" si="118"/>
        <v>Stockout</v>
      </c>
      <c r="AE476" s="44" t="str">
        <f>IFERROR(VLOOKUP(A476,'[1]Re-order'!$A:$AA,27,0),"")</f>
        <v>Stockout</v>
      </c>
      <c r="AF476" s="46">
        <f t="shared" si="119"/>
        <v>2</v>
      </c>
      <c r="AG476" s="46">
        <f>SUMIFS('[1]Raw Inventory'!D:D,'[1]Raw Inventory'!C:C,"GREATWALL",'[1]Raw Inventory'!B:B,A476)</f>
        <v>58</v>
      </c>
      <c r="AH476" s="46">
        <f>SUMIFS('[1]Raw Inventory'!D:D,'[1]Raw Inventory'!C:C,"DUARTE",'[1]Raw Inventory'!B:B,A476)</f>
        <v>0</v>
      </c>
      <c r="AI476" s="46"/>
      <c r="AJ476" s="46"/>
      <c r="AK476" s="43"/>
      <c r="AL476" s="43"/>
      <c r="AM476" s="43"/>
      <c r="AN476" s="43"/>
      <c r="AO476" s="43"/>
      <c r="AP476" s="43"/>
      <c r="AQ476" s="43"/>
      <c r="AR476" s="43"/>
      <c r="AS476" s="43"/>
      <c r="AT476" s="43"/>
    </row>
    <row r="477" spans="1:46">
      <c r="A477" s="43" t="s">
        <v>59</v>
      </c>
      <c r="B477" s="43" t="s">
        <v>19</v>
      </c>
      <c r="C477" s="43" t="s">
        <v>1</v>
      </c>
      <c r="D477" s="44" t="s">
        <v>237</v>
      </c>
      <c r="E477" s="44">
        <v>20</v>
      </c>
      <c r="F477" s="44" t="s">
        <v>3</v>
      </c>
      <c r="G477" s="43" t="str">
        <f>IFERROR(VLOOKUP(A477,'[1]MC Masterlist 2026-09-12'!$B:$M, 3, 0),"")</f>
        <v>HONDA</v>
      </c>
      <c r="H477" s="45">
        <f>IFERROR(VLOOKUP(A477,'[1]MC Masterlist 2026-09-12'!$B:$M, 6, 0),"")</f>
        <v>147230</v>
      </c>
      <c r="I477" s="46">
        <v>0</v>
      </c>
      <c r="J477" s="46">
        <v>0</v>
      </c>
      <c r="K477" s="46">
        <v>0</v>
      </c>
      <c r="L477" s="46">
        <f t="shared" si="105"/>
        <v>0</v>
      </c>
      <c r="M477" s="46">
        <f t="shared" si="106"/>
        <v>0</v>
      </c>
      <c r="N477" s="45">
        <f t="shared" si="107"/>
        <v>0</v>
      </c>
      <c r="O477" s="45">
        <f t="shared" si="108"/>
        <v>0</v>
      </c>
      <c r="P477" s="46">
        <f t="shared" si="109"/>
        <v>0</v>
      </c>
      <c r="Q477" s="46">
        <v>2</v>
      </c>
      <c r="R477" s="45">
        <f t="shared" si="110"/>
        <v>294460</v>
      </c>
      <c r="S477" s="46">
        <f t="shared" si="111"/>
        <v>0</v>
      </c>
      <c r="T477" s="46">
        <f>IFERROR(VLOOKUP(A477,'[1]Re-order'!$A:$Q,17,0),"")</f>
        <v>101.25</v>
      </c>
      <c r="U477" s="46">
        <f>IFERROR(VLOOKUP(A477,'[1]MC Masterlist 2026-09-12'!$B:$M, 10, 0),0)</f>
        <v>15</v>
      </c>
      <c r="V477" s="46">
        <f>IFERROR(VLOOKUP(A477,'[1]MC Masterlist 2026-09-12'!$B:$M, 11, 0),0)</f>
        <v>15</v>
      </c>
      <c r="W477" s="46">
        <f t="shared" si="112"/>
        <v>30</v>
      </c>
      <c r="X477" s="46">
        <f t="shared" si="113"/>
        <v>7</v>
      </c>
      <c r="Y477" s="46">
        <f>IFERROR(IF(OR(C477="AREA I",C477="AREA V"),7,VLOOKUP(A477,'[1]MC Masterlist 2026-09-12'!$B:$M, 12, 0)),0)</f>
        <v>7</v>
      </c>
      <c r="Z477" s="46">
        <f t="shared" si="114"/>
        <v>0</v>
      </c>
      <c r="AA477" s="46">
        <f t="shared" si="115"/>
        <v>0</v>
      </c>
      <c r="AB477" s="46">
        <f t="shared" si="116"/>
        <v>0</v>
      </c>
      <c r="AC477" s="46">
        <f t="shared" si="117"/>
        <v>0</v>
      </c>
      <c r="AD477" s="44" t="str">
        <f t="shared" si="118"/>
        <v>Over</v>
      </c>
      <c r="AE477" s="44" t="str">
        <f>IFERROR(VLOOKUP(A477,'[1]Re-order'!$A:$AA,27,0),"")</f>
        <v>Over</v>
      </c>
      <c r="AF477" s="46">
        <f t="shared" si="119"/>
        <v>-2</v>
      </c>
      <c r="AG477" s="46">
        <f>SUMIFS('[1]Raw Inventory'!D:D,'[1]Raw Inventory'!C:C,"GREATWALL",'[1]Raw Inventory'!B:B,A477)</f>
        <v>0</v>
      </c>
      <c r="AH477" s="46">
        <f>SUMIFS('[1]Raw Inventory'!D:D,'[1]Raw Inventory'!C:C,"DUARTE",'[1]Raw Inventory'!B:B,A477)</f>
        <v>0</v>
      </c>
      <c r="AI477" s="46"/>
      <c r="AJ477" s="46"/>
      <c r="AK477" s="43"/>
      <c r="AL477" s="43"/>
      <c r="AM477" s="43"/>
      <c r="AN477" s="43"/>
      <c r="AO477" s="43"/>
      <c r="AP477" s="43"/>
      <c r="AQ477" s="43"/>
      <c r="AR477" s="43"/>
      <c r="AS477" s="43"/>
      <c r="AT477" s="43"/>
    </row>
    <row r="478" spans="1:46">
      <c r="A478" s="43" t="s">
        <v>20</v>
      </c>
      <c r="B478" s="43" t="s">
        <v>111</v>
      </c>
      <c r="C478" s="43" t="s">
        <v>109</v>
      </c>
      <c r="D478" s="44" t="s">
        <v>262</v>
      </c>
      <c r="E478" s="44">
        <v>13</v>
      </c>
      <c r="F478" s="44" t="s">
        <v>2</v>
      </c>
      <c r="G478" s="43" t="str">
        <f>IFERROR(VLOOKUP(A478,'[1]MC Masterlist 2026-09-12'!$B:$M, 3, 0),"")</f>
        <v>HONDA</v>
      </c>
      <c r="H478" s="45">
        <f>IFERROR(VLOOKUP(A478,'[1]MC Masterlist 2026-09-12'!$B:$M, 6, 0),"")</f>
        <v>69950</v>
      </c>
      <c r="I478" s="46">
        <v>2</v>
      </c>
      <c r="J478" s="46">
        <v>1</v>
      </c>
      <c r="K478" s="46">
        <v>0</v>
      </c>
      <c r="L478" s="46">
        <f t="shared" si="105"/>
        <v>3</v>
      </c>
      <c r="M478" s="46">
        <f t="shared" si="106"/>
        <v>1</v>
      </c>
      <c r="N478" s="45">
        <f t="shared" si="107"/>
        <v>209850</v>
      </c>
      <c r="O478" s="45">
        <f t="shared" si="108"/>
        <v>69950</v>
      </c>
      <c r="P478" s="46">
        <f t="shared" si="109"/>
        <v>3.3333333333333333E-2</v>
      </c>
      <c r="Q478" s="46">
        <v>4</v>
      </c>
      <c r="R478" s="45">
        <f t="shared" si="110"/>
        <v>279800</v>
      </c>
      <c r="S478" s="46">
        <f t="shared" si="111"/>
        <v>120</v>
      </c>
      <c r="T478" s="46">
        <f>IFERROR(VLOOKUP(A478,'[1]Re-order'!$A:$Q,17,0),"")</f>
        <v>75.775862068965523</v>
      </c>
      <c r="U478" s="46">
        <f>IFERROR(VLOOKUP(A478,'[1]MC Masterlist 2026-09-12'!$B:$M, 10, 0),0)</f>
        <v>15</v>
      </c>
      <c r="V478" s="46">
        <f>IFERROR(VLOOKUP(A478,'[1]MC Masterlist 2026-09-12'!$B:$M, 11, 0),0)</f>
        <v>15</v>
      </c>
      <c r="W478" s="46">
        <f t="shared" si="112"/>
        <v>30</v>
      </c>
      <c r="X478" s="46">
        <f t="shared" si="113"/>
        <v>29.5</v>
      </c>
      <c r="Y478" s="46">
        <f>IFERROR(IF(OR(C478="AREA I",C478="AREA V"),7,VLOOKUP(A478,'[1]MC Masterlist 2026-09-12'!$B:$M, 12, 0)),0)</f>
        <v>30</v>
      </c>
      <c r="Z478" s="46">
        <f t="shared" si="114"/>
        <v>0.5</v>
      </c>
      <c r="AA478" s="46">
        <f t="shared" si="115"/>
        <v>1</v>
      </c>
      <c r="AB478" s="46">
        <f t="shared" si="116"/>
        <v>0.98333333333333328</v>
      </c>
      <c r="AC478" s="46">
        <f t="shared" si="117"/>
        <v>1</v>
      </c>
      <c r="AD478" s="44" t="str">
        <f t="shared" si="118"/>
        <v>Over</v>
      </c>
      <c r="AE478" s="44" t="str">
        <f>IFERROR(VLOOKUP(A478,'[1]Re-order'!$A:$AA,27,0),"")</f>
        <v/>
      </c>
      <c r="AF478" s="46">
        <f t="shared" si="119"/>
        <v>-3</v>
      </c>
      <c r="AG478" s="46">
        <f>SUMIFS('[1]Raw Inventory'!D:D,'[1]Raw Inventory'!C:C,"GREATWALL",'[1]Raw Inventory'!B:B,A478)</f>
        <v>110</v>
      </c>
      <c r="AH478" s="46">
        <f>SUMIFS('[1]Raw Inventory'!D:D,'[1]Raw Inventory'!C:C,"DUARTE",'[1]Raw Inventory'!B:B,A478)</f>
        <v>0</v>
      </c>
      <c r="AI478" s="46"/>
      <c r="AJ478" s="46"/>
      <c r="AK478" s="43"/>
      <c r="AL478" s="43"/>
      <c r="AM478" s="43"/>
      <c r="AN478" s="43"/>
      <c r="AO478" s="43"/>
      <c r="AP478" s="43"/>
      <c r="AQ478" s="43"/>
      <c r="AR478" s="43"/>
      <c r="AS478" s="43"/>
      <c r="AT478" s="43"/>
    </row>
    <row r="479" spans="1:46">
      <c r="A479" s="43" t="s">
        <v>46</v>
      </c>
      <c r="B479" s="43" t="s">
        <v>130</v>
      </c>
      <c r="C479" s="43" t="s">
        <v>128</v>
      </c>
      <c r="D479" s="44" t="s">
        <v>223</v>
      </c>
      <c r="E479" s="44">
        <v>22</v>
      </c>
      <c r="F479" s="44" t="s">
        <v>3</v>
      </c>
      <c r="G479" s="43" t="str">
        <f>IFERROR(VLOOKUP(A479,'[1]MC Masterlist 2026-09-12'!$B:$M, 3, 0),"")</f>
        <v>HONDA</v>
      </c>
      <c r="H479" s="45">
        <f>IFERROR(VLOOKUP(A479,'[1]MC Masterlist 2026-09-12'!$B:$M, 6, 0),"")</f>
        <v>73630</v>
      </c>
      <c r="I479" s="46">
        <v>0</v>
      </c>
      <c r="J479" s="46">
        <v>1</v>
      </c>
      <c r="K479" s="46">
        <v>1</v>
      </c>
      <c r="L479" s="46">
        <f t="shared" si="105"/>
        <v>2</v>
      </c>
      <c r="M479" s="46">
        <f t="shared" si="106"/>
        <v>0.66666666666666663</v>
      </c>
      <c r="N479" s="45">
        <f t="shared" si="107"/>
        <v>147260</v>
      </c>
      <c r="O479" s="45">
        <f t="shared" si="108"/>
        <v>49086.666666666664</v>
      </c>
      <c r="P479" s="46">
        <f t="shared" si="109"/>
        <v>2.222222222222222E-2</v>
      </c>
      <c r="Q479" s="46"/>
      <c r="R479" s="45">
        <f t="shared" si="110"/>
        <v>0</v>
      </c>
      <c r="S479" s="46">
        <f t="shared" si="111"/>
        <v>0</v>
      </c>
      <c r="T479" s="46">
        <f>IFERROR(VLOOKUP(A479,'[1]Re-order'!$A:$Q,17,0),"")</f>
        <v>51</v>
      </c>
      <c r="U479" s="46">
        <f>IFERROR(VLOOKUP(A479,'[1]MC Masterlist 2026-09-12'!$B:$M, 10, 0),0)</f>
        <v>15</v>
      </c>
      <c r="V479" s="46">
        <f>IFERROR(VLOOKUP(A479,'[1]MC Masterlist 2026-09-12'!$B:$M, 11, 0),0)</f>
        <v>15</v>
      </c>
      <c r="W479" s="46">
        <f t="shared" si="112"/>
        <v>30</v>
      </c>
      <c r="X479" s="46">
        <f t="shared" si="113"/>
        <v>29.666666666666668</v>
      </c>
      <c r="Y479" s="46">
        <f>IFERROR(IF(OR(C479="AREA I",C479="AREA V"),7,VLOOKUP(A479,'[1]MC Masterlist 2026-09-12'!$B:$M, 12, 0)),0)</f>
        <v>30</v>
      </c>
      <c r="Z479" s="46">
        <f t="shared" si="114"/>
        <v>0.33333333333333331</v>
      </c>
      <c r="AA479" s="46">
        <f t="shared" si="115"/>
        <v>0.66666666666666663</v>
      </c>
      <c r="AB479" s="46">
        <f t="shared" si="116"/>
        <v>0.65925925925925921</v>
      </c>
      <c r="AC479" s="46">
        <f t="shared" si="117"/>
        <v>0.66666666666666663</v>
      </c>
      <c r="AD479" s="44" t="str">
        <f t="shared" si="118"/>
        <v>Stockout</v>
      </c>
      <c r="AE479" s="44" t="str">
        <f>IFERROR(VLOOKUP(A479,'[1]Re-order'!$A:$AA,27,0),"")</f>
        <v>Re-order</v>
      </c>
      <c r="AF479" s="46">
        <f t="shared" si="119"/>
        <v>0.66666666666666663</v>
      </c>
      <c r="AG479" s="46">
        <f>SUMIFS('[1]Raw Inventory'!D:D,'[1]Raw Inventory'!C:C,"GREATWALL",'[1]Raw Inventory'!B:B,A479)</f>
        <v>0</v>
      </c>
      <c r="AH479" s="46">
        <f>SUMIFS('[1]Raw Inventory'!D:D,'[1]Raw Inventory'!C:C,"DUARTE",'[1]Raw Inventory'!B:B,A479)</f>
        <v>0</v>
      </c>
      <c r="AI479" s="46"/>
      <c r="AJ479" s="46"/>
      <c r="AK479" s="43"/>
      <c r="AL479" s="43"/>
      <c r="AM479" s="43"/>
      <c r="AN479" s="43"/>
      <c r="AO479" s="43"/>
      <c r="AP479" s="43"/>
      <c r="AQ479" s="43"/>
      <c r="AR479" s="43"/>
      <c r="AS479" s="43"/>
      <c r="AT479" s="43"/>
    </row>
    <row r="480" spans="1:46">
      <c r="A480" s="43" t="s">
        <v>105</v>
      </c>
      <c r="B480" s="43" t="s">
        <v>93</v>
      </c>
      <c r="C480" s="43" t="s">
        <v>90</v>
      </c>
      <c r="D480" s="44" t="s">
        <v>253</v>
      </c>
      <c r="E480" s="44">
        <v>21</v>
      </c>
      <c r="F480" s="44" t="s">
        <v>3</v>
      </c>
      <c r="G480" s="43" t="str">
        <f>IFERROR(VLOOKUP(A480,'[1]MC Masterlist 2026-09-12'!$B:$M, 3, 0),"")</f>
        <v>SUZUKI</v>
      </c>
      <c r="H480" s="45">
        <f>IFERROR(VLOOKUP(A480,'[1]MC Masterlist 2026-09-12'!$B:$M, 6, 0),"")</f>
        <v>215770</v>
      </c>
      <c r="I480" s="46">
        <v>0</v>
      </c>
      <c r="J480" s="46">
        <v>0</v>
      </c>
      <c r="K480" s="46">
        <v>0</v>
      </c>
      <c r="L480" s="46">
        <f t="shared" si="105"/>
        <v>0</v>
      </c>
      <c r="M480" s="46">
        <f t="shared" si="106"/>
        <v>0</v>
      </c>
      <c r="N480" s="45">
        <f t="shared" si="107"/>
        <v>0</v>
      </c>
      <c r="O480" s="45">
        <f t="shared" si="108"/>
        <v>0</v>
      </c>
      <c r="P480" s="46">
        <f t="shared" si="109"/>
        <v>0</v>
      </c>
      <c r="Q480" s="46">
        <v>1</v>
      </c>
      <c r="R480" s="45">
        <f t="shared" si="110"/>
        <v>215770</v>
      </c>
      <c r="S480" s="46">
        <f t="shared" si="111"/>
        <v>0</v>
      </c>
      <c r="T480" s="46" t="str">
        <f>IFERROR(VLOOKUP(A480,'[1]Re-order'!$A:$Q,17,0),"")</f>
        <v/>
      </c>
      <c r="U480" s="46">
        <f>IFERROR(VLOOKUP(A480,'[1]MC Masterlist 2026-09-12'!$B:$M, 10, 0),0)</f>
        <v>15</v>
      </c>
      <c r="V480" s="46">
        <f>IFERROR(VLOOKUP(A480,'[1]MC Masterlist 2026-09-12'!$B:$M, 11, 0),0)</f>
        <v>15</v>
      </c>
      <c r="W480" s="46">
        <f t="shared" si="112"/>
        <v>30</v>
      </c>
      <c r="X480" s="46">
        <f t="shared" si="113"/>
        <v>30</v>
      </c>
      <c r="Y480" s="46">
        <f>IFERROR(IF(OR(C480="AREA I",C480="AREA V"),7,VLOOKUP(A480,'[1]MC Masterlist 2026-09-12'!$B:$M, 12, 0)),0)</f>
        <v>30</v>
      </c>
      <c r="Z480" s="46">
        <f t="shared" si="114"/>
        <v>0</v>
      </c>
      <c r="AA480" s="46">
        <f t="shared" si="115"/>
        <v>0</v>
      </c>
      <c r="AB480" s="46">
        <f t="shared" si="116"/>
        <v>0</v>
      </c>
      <c r="AC480" s="46">
        <f t="shared" si="117"/>
        <v>0</v>
      </c>
      <c r="AD480" s="44" t="str">
        <f t="shared" si="118"/>
        <v>Over</v>
      </c>
      <c r="AE480" s="44" t="str">
        <f>IFERROR(VLOOKUP(A480,'[1]Re-order'!$A:$AA,27,0),"")</f>
        <v>Over</v>
      </c>
      <c r="AF480" s="46">
        <f t="shared" si="119"/>
        <v>-1</v>
      </c>
      <c r="AG480" s="46">
        <f>SUMIFS('[1]Raw Inventory'!D:D,'[1]Raw Inventory'!C:C,"GREATWALL",'[1]Raw Inventory'!B:B,A480)</f>
        <v>0</v>
      </c>
      <c r="AH480" s="46">
        <f>SUMIFS('[1]Raw Inventory'!D:D,'[1]Raw Inventory'!C:C,"DUARTE",'[1]Raw Inventory'!B:B,A480)</f>
        <v>0</v>
      </c>
      <c r="AI480" s="46"/>
      <c r="AJ480" s="46"/>
      <c r="AK480" s="43"/>
      <c r="AL480" s="43"/>
      <c r="AM480" s="43"/>
      <c r="AN480" s="43"/>
      <c r="AO480" s="43"/>
      <c r="AP480" s="43"/>
      <c r="AQ480" s="43"/>
      <c r="AR480" s="43"/>
      <c r="AS480" s="43"/>
      <c r="AT480" s="43"/>
    </row>
    <row r="481" spans="1:46">
      <c r="A481" s="43" t="s">
        <v>71</v>
      </c>
      <c r="B481" s="43" t="s">
        <v>248</v>
      </c>
      <c r="C481" s="43"/>
      <c r="D481" s="44" t="s">
        <v>227</v>
      </c>
      <c r="E481" s="44">
        <v>1</v>
      </c>
      <c r="F481" s="44" t="s">
        <v>0</v>
      </c>
      <c r="G481" s="43" t="str">
        <f>IFERROR(VLOOKUP(A481,'[1]MC Masterlist 2026-09-12'!$B:$M, 3, 0),"")</f>
        <v>SUZUKI</v>
      </c>
      <c r="H481" s="45">
        <f>IFERROR(VLOOKUP(A481,'[1]MC Masterlist 2026-09-12'!$B:$M, 6, 0),"")</f>
        <v>156250</v>
      </c>
      <c r="I481" s="46">
        <v>0</v>
      </c>
      <c r="J481" s="46">
        <v>0</v>
      </c>
      <c r="K481" s="46">
        <v>0</v>
      </c>
      <c r="L481" s="46">
        <f t="shared" si="105"/>
        <v>0</v>
      </c>
      <c r="M481" s="46">
        <f t="shared" si="106"/>
        <v>0</v>
      </c>
      <c r="N481" s="45">
        <f t="shared" si="107"/>
        <v>0</v>
      </c>
      <c r="O481" s="45">
        <f t="shared" si="108"/>
        <v>0</v>
      </c>
      <c r="P481" s="46">
        <f t="shared" si="109"/>
        <v>0</v>
      </c>
      <c r="Q481" s="46">
        <v>1</v>
      </c>
      <c r="R481" s="45">
        <f t="shared" si="110"/>
        <v>156250</v>
      </c>
      <c r="S481" s="46">
        <f t="shared" si="111"/>
        <v>0</v>
      </c>
      <c r="T481" s="46">
        <f>IFERROR(VLOOKUP(A481,'[1]Re-order'!$A:$Q,17,0),"")</f>
        <v>612</v>
      </c>
      <c r="U481" s="46">
        <f>IFERROR(VLOOKUP(A481,'[1]MC Masterlist 2026-09-12'!$B:$M, 10, 0),0)</f>
        <v>15</v>
      </c>
      <c r="V481" s="46">
        <f>IFERROR(VLOOKUP(A481,'[1]MC Masterlist 2026-09-12'!$B:$M, 11, 0),0)</f>
        <v>15</v>
      </c>
      <c r="W481" s="46">
        <f t="shared" si="112"/>
        <v>30</v>
      </c>
      <c r="X481" s="46">
        <f t="shared" si="113"/>
        <v>30</v>
      </c>
      <c r="Y481" s="46">
        <f>IFERROR(IF(OR(C481="AREA I",C481="AREA V"),7,VLOOKUP(A481,'[1]MC Masterlist 2026-09-12'!$B:$M, 12, 0)),0)</f>
        <v>30</v>
      </c>
      <c r="Z481" s="46">
        <f t="shared" si="114"/>
        <v>0</v>
      </c>
      <c r="AA481" s="46">
        <f t="shared" si="115"/>
        <v>0</v>
      </c>
      <c r="AB481" s="46">
        <f t="shared" si="116"/>
        <v>0</v>
      </c>
      <c r="AC481" s="46">
        <f t="shared" si="117"/>
        <v>0</v>
      </c>
      <c r="AD481" s="44" t="str">
        <f t="shared" si="118"/>
        <v>Over</v>
      </c>
      <c r="AE481" s="44" t="str">
        <f>IFERROR(VLOOKUP(A481,'[1]Re-order'!$A:$AA,27,0),"")</f>
        <v>Over</v>
      </c>
      <c r="AF481" s="46">
        <f t="shared" si="119"/>
        <v>-1</v>
      </c>
      <c r="AG481" s="46">
        <f>SUMIFS('[1]Raw Inventory'!D:D,'[1]Raw Inventory'!C:C,"GREATWALL",'[1]Raw Inventory'!B:B,A481)</f>
        <v>13</v>
      </c>
      <c r="AH481" s="46">
        <f>SUMIFS('[1]Raw Inventory'!D:D,'[1]Raw Inventory'!C:C,"DUARTE",'[1]Raw Inventory'!B:B,A481)</f>
        <v>0</v>
      </c>
      <c r="AI481" s="46"/>
      <c r="AJ481" s="46"/>
      <c r="AK481" s="43"/>
      <c r="AL481" s="43"/>
      <c r="AM481" s="43"/>
      <c r="AN481" s="43"/>
      <c r="AO481" s="43"/>
      <c r="AP481" s="43"/>
      <c r="AQ481" s="43"/>
      <c r="AR481" s="43"/>
      <c r="AS481" s="43"/>
      <c r="AT481" s="43"/>
    </row>
    <row r="482" spans="1:46">
      <c r="A482" s="43" t="s">
        <v>25</v>
      </c>
      <c r="B482" s="43" t="s">
        <v>158</v>
      </c>
      <c r="C482" s="43" t="s">
        <v>152</v>
      </c>
      <c r="D482" s="44" t="s">
        <v>259</v>
      </c>
      <c r="E482" s="44">
        <v>5</v>
      </c>
      <c r="F482" s="44" t="s">
        <v>0</v>
      </c>
      <c r="G482" s="43" t="str">
        <f>IFERROR(VLOOKUP(A482,'[1]MC Masterlist 2026-09-12'!$B:$M, 3, 0),"")</f>
        <v>YAMAHA</v>
      </c>
      <c r="H482" s="45">
        <f>IFERROR(VLOOKUP(A482,'[1]MC Masterlist 2026-09-12'!$B:$M, 6, 0),"")</f>
        <v>124527</v>
      </c>
      <c r="I482" s="46">
        <v>4</v>
      </c>
      <c r="J482" s="46">
        <v>0</v>
      </c>
      <c r="K482" s="46">
        <v>1</v>
      </c>
      <c r="L482" s="46">
        <f t="shared" si="105"/>
        <v>5</v>
      </c>
      <c r="M482" s="46">
        <f t="shared" si="106"/>
        <v>1.6666666666666667</v>
      </c>
      <c r="N482" s="45">
        <f t="shared" si="107"/>
        <v>622635</v>
      </c>
      <c r="O482" s="45">
        <f t="shared" si="108"/>
        <v>207545</v>
      </c>
      <c r="P482" s="46">
        <f t="shared" si="109"/>
        <v>5.5555555555555559E-2</v>
      </c>
      <c r="Q482" s="46"/>
      <c r="R482" s="45">
        <f t="shared" si="110"/>
        <v>0</v>
      </c>
      <c r="S482" s="46">
        <f t="shared" si="111"/>
        <v>0</v>
      </c>
      <c r="T482" s="46">
        <f>IFERROR(VLOOKUP(A482,'[1]Re-order'!$A:$Q,17,0),"")</f>
        <v>5.1030927835051543</v>
      </c>
      <c r="U482" s="46">
        <f>IFERROR(VLOOKUP(A482,'[1]MC Masterlist 2026-09-12'!$B:$M, 10, 0),0)</f>
        <v>15</v>
      </c>
      <c r="V482" s="46">
        <f>IFERROR(VLOOKUP(A482,'[1]MC Masterlist 2026-09-12'!$B:$M, 11, 0),0)</f>
        <v>15</v>
      </c>
      <c r="W482" s="46">
        <f t="shared" si="112"/>
        <v>30</v>
      </c>
      <c r="X482" s="46">
        <f t="shared" si="113"/>
        <v>29.166666666666668</v>
      </c>
      <c r="Y482" s="46">
        <f>IFERROR(IF(OR(C482="AREA I",C482="AREA V"),7,VLOOKUP(A482,'[1]MC Masterlist 2026-09-12'!$B:$M, 12, 0)),0)</f>
        <v>30</v>
      </c>
      <c r="Z482" s="46">
        <f t="shared" si="114"/>
        <v>0.83333333333333337</v>
      </c>
      <c r="AA482" s="46">
        <f t="shared" si="115"/>
        <v>1.6666666666666667</v>
      </c>
      <c r="AB482" s="46">
        <f t="shared" si="116"/>
        <v>1.6203703703703705</v>
      </c>
      <c r="AC482" s="46">
        <f t="shared" si="117"/>
        <v>1.6666666666666667</v>
      </c>
      <c r="AD482" s="44" t="str">
        <f t="shared" si="118"/>
        <v>Stockout</v>
      </c>
      <c r="AE482" s="44" t="str">
        <f>IFERROR(VLOOKUP(A482,'[1]Re-order'!$A:$AA,27,0),"")</f>
        <v>Stockout</v>
      </c>
      <c r="AF482" s="46">
        <f t="shared" si="119"/>
        <v>1.6666666666666667</v>
      </c>
      <c r="AG482" s="46">
        <f>SUMIFS('[1]Raw Inventory'!D:D,'[1]Raw Inventory'!C:C,"GREATWALL",'[1]Raw Inventory'!B:B,A482)</f>
        <v>1</v>
      </c>
      <c r="AH482" s="46">
        <f>SUMIFS('[1]Raw Inventory'!D:D,'[1]Raw Inventory'!C:C,"DUARTE",'[1]Raw Inventory'!B:B,A482)</f>
        <v>0</v>
      </c>
      <c r="AI482" s="46"/>
      <c r="AJ482" s="46"/>
      <c r="AK482" s="43"/>
      <c r="AL482" s="43"/>
      <c r="AM482" s="43"/>
      <c r="AN482" s="43"/>
      <c r="AO482" s="43"/>
      <c r="AP482" s="43"/>
      <c r="AQ482" s="43"/>
      <c r="AR482" s="43"/>
      <c r="AS482" s="43"/>
      <c r="AT482" s="43"/>
    </row>
    <row r="483" spans="1:46">
      <c r="A483" s="43" t="s">
        <v>73</v>
      </c>
      <c r="B483" s="43" t="s">
        <v>145</v>
      </c>
      <c r="C483" s="43" t="s">
        <v>137</v>
      </c>
      <c r="D483" s="44" t="s">
        <v>253</v>
      </c>
      <c r="E483" s="44">
        <v>28</v>
      </c>
      <c r="F483" s="44" t="s">
        <v>3</v>
      </c>
      <c r="G483" s="43" t="str">
        <f>IFERROR(VLOOKUP(A483,'[1]MC Masterlist 2026-09-12'!$B:$M, 3, 0),"")</f>
        <v>SUZUKI</v>
      </c>
      <c r="H483" s="45">
        <f>IFERROR(VLOOKUP(A483,'[1]MC Masterlist 2026-09-12'!$B:$M, 6, 0),"")</f>
        <v>122770</v>
      </c>
      <c r="I483" s="46">
        <v>0</v>
      </c>
      <c r="J483" s="46">
        <v>0</v>
      </c>
      <c r="K483" s="46">
        <v>0</v>
      </c>
      <c r="L483" s="46">
        <f t="shared" si="105"/>
        <v>0</v>
      </c>
      <c r="M483" s="46">
        <f t="shared" si="106"/>
        <v>0</v>
      </c>
      <c r="N483" s="45">
        <f t="shared" si="107"/>
        <v>0</v>
      </c>
      <c r="O483" s="45">
        <f t="shared" si="108"/>
        <v>0</v>
      </c>
      <c r="P483" s="46">
        <f t="shared" si="109"/>
        <v>0</v>
      </c>
      <c r="Q483" s="46">
        <v>1</v>
      </c>
      <c r="R483" s="45">
        <f t="shared" si="110"/>
        <v>122770</v>
      </c>
      <c r="S483" s="46">
        <f t="shared" si="111"/>
        <v>0</v>
      </c>
      <c r="T483" s="46">
        <f>IFERROR(VLOOKUP(A483,'[1]Re-order'!$A:$Q,17,0),"")</f>
        <v>787.50000000000011</v>
      </c>
      <c r="U483" s="46">
        <f>IFERROR(VLOOKUP(A483,'[1]MC Masterlist 2026-09-12'!$B:$M, 10, 0),0)</f>
        <v>15</v>
      </c>
      <c r="V483" s="46">
        <f>IFERROR(VLOOKUP(A483,'[1]MC Masterlist 2026-09-12'!$B:$M, 11, 0),0)</f>
        <v>15</v>
      </c>
      <c r="W483" s="46">
        <f t="shared" si="112"/>
        <v>30</v>
      </c>
      <c r="X483" s="46">
        <f t="shared" si="113"/>
        <v>7</v>
      </c>
      <c r="Y483" s="46">
        <f>IFERROR(IF(OR(C483="AREA I",C483="AREA V"),7,VLOOKUP(A483,'[1]MC Masterlist 2026-09-12'!$B:$M, 12, 0)),0)</f>
        <v>7</v>
      </c>
      <c r="Z483" s="46">
        <f t="shared" si="114"/>
        <v>0</v>
      </c>
      <c r="AA483" s="46">
        <f t="shared" si="115"/>
        <v>0</v>
      </c>
      <c r="AB483" s="46">
        <f t="shared" si="116"/>
        <v>0</v>
      </c>
      <c r="AC483" s="46">
        <f t="shared" si="117"/>
        <v>0</v>
      </c>
      <c r="AD483" s="44" t="str">
        <f t="shared" si="118"/>
        <v>Over</v>
      </c>
      <c r="AE483" s="44" t="str">
        <f>IFERROR(VLOOKUP(A483,'[1]Re-order'!$A:$AA,27,0),"")</f>
        <v>Over</v>
      </c>
      <c r="AF483" s="46">
        <f t="shared" si="119"/>
        <v>-1</v>
      </c>
      <c r="AG483" s="46">
        <f>SUMIFS('[1]Raw Inventory'!D:D,'[1]Raw Inventory'!C:C,"GREATWALL",'[1]Raw Inventory'!B:B,A483)</f>
        <v>9</v>
      </c>
      <c r="AH483" s="46">
        <f>SUMIFS('[1]Raw Inventory'!D:D,'[1]Raw Inventory'!C:C,"DUARTE",'[1]Raw Inventory'!B:B,A483)</f>
        <v>0</v>
      </c>
      <c r="AI483" s="46"/>
      <c r="AJ483" s="46"/>
      <c r="AK483" s="43"/>
      <c r="AL483" s="43"/>
      <c r="AM483" s="43"/>
      <c r="AN483" s="43"/>
      <c r="AO483" s="43"/>
      <c r="AP483" s="43"/>
      <c r="AQ483" s="43"/>
      <c r="AR483" s="43"/>
      <c r="AS483" s="43"/>
      <c r="AT483" s="43"/>
    </row>
    <row r="484" spans="1:46">
      <c r="A484" s="43" t="s">
        <v>20</v>
      </c>
      <c r="B484" s="43" t="s">
        <v>112</v>
      </c>
      <c r="C484" s="43" t="s">
        <v>109</v>
      </c>
      <c r="D484" s="44" t="s">
        <v>254</v>
      </c>
      <c r="E484" s="44">
        <v>6</v>
      </c>
      <c r="F484" s="44" t="s">
        <v>2</v>
      </c>
      <c r="G484" s="43" t="str">
        <f>IFERROR(VLOOKUP(A484,'[1]MC Masterlist 2026-09-12'!$B:$M, 3, 0),"")</f>
        <v>HONDA</v>
      </c>
      <c r="H484" s="45">
        <f>IFERROR(VLOOKUP(A484,'[1]MC Masterlist 2026-09-12'!$B:$M, 6, 0),"")</f>
        <v>69950</v>
      </c>
      <c r="I484" s="46">
        <v>0</v>
      </c>
      <c r="J484" s="46">
        <v>1</v>
      </c>
      <c r="K484" s="46">
        <v>4</v>
      </c>
      <c r="L484" s="46">
        <f t="shared" si="105"/>
        <v>5</v>
      </c>
      <c r="M484" s="46">
        <f t="shared" si="106"/>
        <v>1.6666666666666667</v>
      </c>
      <c r="N484" s="45">
        <f t="shared" si="107"/>
        <v>349750</v>
      </c>
      <c r="O484" s="45">
        <f t="shared" si="108"/>
        <v>116583.33333333334</v>
      </c>
      <c r="P484" s="46">
        <f t="shared" si="109"/>
        <v>5.5555555555555559E-2</v>
      </c>
      <c r="Q484" s="46">
        <v>2</v>
      </c>
      <c r="R484" s="45">
        <f t="shared" si="110"/>
        <v>139900</v>
      </c>
      <c r="S484" s="46">
        <f t="shared" si="111"/>
        <v>36</v>
      </c>
      <c r="T484" s="46">
        <f>IFERROR(VLOOKUP(A484,'[1]Re-order'!$A:$Q,17,0),"")</f>
        <v>75.775862068965523</v>
      </c>
      <c r="U484" s="46">
        <f>IFERROR(VLOOKUP(A484,'[1]MC Masterlist 2026-09-12'!$B:$M, 10, 0),0)</f>
        <v>15</v>
      </c>
      <c r="V484" s="46">
        <f>IFERROR(VLOOKUP(A484,'[1]MC Masterlist 2026-09-12'!$B:$M, 11, 0),0)</f>
        <v>15</v>
      </c>
      <c r="W484" s="46">
        <f t="shared" si="112"/>
        <v>30</v>
      </c>
      <c r="X484" s="46">
        <f t="shared" si="113"/>
        <v>29.166666666666668</v>
      </c>
      <c r="Y484" s="46">
        <f>IFERROR(IF(OR(C484="AREA I",C484="AREA V"),7,VLOOKUP(A484,'[1]MC Masterlist 2026-09-12'!$B:$M, 12, 0)),0)</f>
        <v>30</v>
      </c>
      <c r="Z484" s="46">
        <f t="shared" si="114"/>
        <v>0.83333333333333337</v>
      </c>
      <c r="AA484" s="46">
        <f t="shared" si="115"/>
        <v>1.6666666666666667</v>
      </c>
      <c r="AB484" s="46">
        <f t="shared" si="116"/>
        <v>1.6203703703703705</v>
      </c>
      <c r="AC484" s="46">
        <f t="shared" si="117"/>
        <v>1.6666666666666667</v>
      </c>
      <c r="AD484" s="44" t="str">
        <f t="shared" si="118"/>
        <v>Over</v>
      </c>
      <c r="AE484" s="44" t="str">
        <f>IFERROR(VLOOKUP(A484,'[1]Re-order'!$A:$AA,27,0),"")</f>
        <v/>
      </c>
      <c r="AF484" s="46">
        <f t="shared" si="119"/>
        <v>-0.33333333333333326</v>
      </c>
      <c r="AG484" s="46">
        <f>SUMIFS('[1]Raw Inventory'!D:D,'[1]Raw Inventory'!C:C,"GREATWALL",'[1]Raw Inventory'!B:B,A484)</f>
        <v>110</v>
      </c>
      <c r="AH484" s="46">
        <f>SUMIFS('[1]Raw Inventory'!D:D,'[1]Raw Inventory'!C:C,"DUARTE",'[1]Raw Inventory'!B:B,A484)</f>
        <v>0</v>
      </c>
      <c r="AI484" s="46"/>
      <c r="AJ484" s="46"/>
      <c r="AK484" s="43"/>
      <c r="AL484" s="43"/>
      <c r="AM484" s="43"/>
      <c r="AN484" s="43"/>
      <c r="AO484" s="43"/>
      <c r="AP484" s="43"/>
      <c r="AQ484" s="43"/>
      <c r="AR484" s="43"/>
      <c r="AS484" s="43"/>
      <c r="AT484" s="43"/>
    </row>
    <row r="485" spans="1:46">
      <c r="A485" s="43" t="s">
        <v>16</v>
      </c>
      <c r="B485" s="43" t="s">
        <v>130</v>
      </c>
      <c r="C485" s="43" t="s">
        <v>128</v>
      </c>
      <c r="D485" s="44" t="s">
        <v>224</v>
      </c>
      <c r="E485" s="44">
        <v>12</v>
      </c>
      <c r="F485" s="44" t="s">
        <v>2</v>
      </c>
      <c r="G485" s="43" t="str">
        <f>IFERROR(VLOOKUP(A485,'[1]MC Masterlist 2026-09-12'!$B:$M, 3, 0),"")</f>
        <v>HONDA</v>
      </c>
      <c r="H485" s="45">
        <f>IFERROR(VLOOKUP(A485,'[1]MC Masterlist 2026-09-12'!$B:$M, 6, 0),"")</f>
        <v>84394</v>
      </c>
      <c r="I485" s="46">
        <v>3</v>
      </c>
      <c r="J485" s="46">
        <v>1</v>
      </c>
      <c r="K485" s="46">
        <v>2</v>
      </c>
      <c r="L485" s="46">
        <f t="shared" si="105"/>
        <v>6</v>
      </c>
      <c r="M485" s="46">
        <f t="shared" si="106"/>
        <v>2</v>
      </c>
      <c r="N485" s="45">
        <f t="shared" si="107"/>
        <v>506364</v>
      </c>
      <c r="O485" s="45">
        <f t="shared" si="108"/>
        <v>168788</v>
      </c>
      <c r="P485" s="46">
        <f t="shared" si="109"/>
        <v>6.6666666666666666E-2</v>
      </c>
      <c r="Q485" s="46"/>
      <c r="R485" s="45">
        <f t="shared" si="110"/>
        <v>0</v>
      </c>
      <c r="S485" s="46">
        <f t="shared" si="111"/>
        <v>0</v>
      </c>
      <c r="T485" s="46">
        <f>IFERROR(VLOOKUP(A485,'[1]Re-order'!$A:$Q,17,0),"")</f>
        <v>26.332665330661321</v>
      </c>
      <c r="U485" s="46">
        <f>IFERROR(VLOOKUP(A485,'[1]MC Masterlist 2026-09-12'!$B:$M, 10, 0),0)</f>
        <v>15</v>
      </c>
      <c r="V485" s="46">
        <f>IFERROR(VLOOKUP(A485,'[1]MC Masterlist 2026-09-12'!$B:$M, 11, 0),0)</f>
        <v>15</v>
      </c>
      <c r="W485" s="46">
        <f t="shared" si="112"/>
        <v>30</v>
      </c>
      <c r="X485" s="46">
        <f t="shared" si="113"/>
        <v>29</v>
      </c>
      <c r="Y485" s="46">
        <f>IFERROR(IF(OR(C485="AREA I",C485="AREA V"),7,VLOOKUP(A485,'[1]MC Masterlist 2026-09-12'!$B:$M, 12, 0)),0)</f>
        <v>30</v>
      </c>
      <c r="Z485" s="46">
        <f t="shared" si="114"/>
        <v>1</v>
      </c>
      <c r="AA485" s="46">
        <f t="shared" si="115"/>
        <v>2</v>
      </c>
      <c r="AB485" s="46">
        <f t="shared" si="116"/>
        <v>1.9333333333333333</v>
      </c>
      <c r="AC485" s="46">
        <f t="shared" si="117"/>
        <v>2</v>
      </c>
      <c r="AD485" s="44" t="str">
        <f t="shared" si="118"/>
        <v>Stockout</v>
      </c>
      <c r="AE485" s="44" t="str">
        <f>IFERROR(VLOOKUP(A485,'[1]Re-order'!$A:$AA,27,0),"")</f>
        <v>Stockout</v>
      </c>
      <c r="AF485" s="46">
        <f t="shared" si="119"/>
        <v>2</v>
      </c>
      <c r="AG485" s="46">
        <f>SUMIFS('[1]Raw Inventory'!D:D,'[1]Raw Inventory'!C:C,"GREATWALL",'[1]Raw Inventory'!B:B,A485)</f>
        <v>58</v>
      </c>
      <c r="AH485" s="46">
        <f>SUMIFS('[1]Raw Inventory'!D:D,'[1]Raw Inventory'!C:C,"DUARTE",'[1]Raw Inventory'!B:B,A485)</f>
        <v>0</v>
      </c>
      <c r="AI485" s="46"/>
      <c r="AJ485" s="46"/>
      <c r="AK485" s="43"/>
      <c r="AL485" s="43"/>
      <c r="AM485" s="43"/>
      <c r="AN485" s="43"/>
      <c r="AO485" s="43"/>
      <c r="AP485" s="43"/>
      <c r="AQ485" s="43"/>
      <c r="AR485" s="43"/>
      <c r="AS485" s="43"/>
      <c r="AT485" s="43"/>
    </row>
    <row r="486" spans="1:46">
      <c r="A486" s="43" t="s">
        <v>84</v>
      </c>
      <c r="B486" s="43" t="s">
        <v>122</v>
      </c>
      <c r="C486" s="43" t="s">
        <v>118</v>
      </c>
      <c r="D486" s="44" t="s">
        <v>257</v>
      </c>
      <c r="E486" s="44">
        <v>25</v>
      </c>
      <c r="F486" s="44" t="s">
        <v>3</v>
      </c>
      <c r="G486" s="43" t="str">
        <f>IFERROR(VLOOKUP(A486,'[1]MC Masterlist 2026-09-12'!$B:$M, 3, 0),"")</f>
        <v>SKYGO</v>
      </c>
      <c r="H486" s="45">
        <f>IFERROR(VLOOKUP(A486,'[1]MC Masterlist 2026-09-12'!$B:$M, 6, 0),"")</f>
        <v>98325</v>
      </c>
      <c r="I486" s="46">
        <v>0</v>
      </c>
      <c r="J486" s="46">
        <v>0</v>
      </c>
      <c r="K486" s="46">
        <v>1</v>
      </c>
      <c r="L486" s="46">
        <f t="shared" si="105"/>
        <v>1</v>
      </c>
      <c r="M486" s="46">
        <f t="shared" si="106"/>
        <v>0.33333333333333331</v>
      </c>
      <c r="N486" s="45">
        <f t="shared" si="107"/>
        <v>98325</v>
      </c>
      <c r="O486" s="45">
        <f t="shared" si="108"/>
        <v>32775</v>
      </c>
      <c r="P486" s="46">
        <f t="shared" si="109"/>
        <v>1.111111111111111E-2</v>
      </c>
      <c r="Q486" s="46"/>
      <c r="R486" s="45">
        <f t="shared" si="110"/>
        <v>0</v>
      </c>
      <c r="S486" s="46">
        <f t="shared" si="111"/>
        <v>0</v>
      </c>
      <c r="T486" s="46">
        <f>IFERROR(VLOOKUP(A486,'[1]Re-order'!$A:$Q,17,0),"")</f>
        <v>360</v>
      </c>
      <c r="U486" s="46">
        <f>IFERROR(VLOOKUP(A486,'[1]MC Masterlist 2026-09-12'!$B:$M, 10, 0),0)</f>
        <v>15</v>
      </c>
      <c r="V486" s="46">
        <f>IFERROR(VLOOKUP(A486,'[1]MC Masterlist 2026-09-12'!$B:$M, 11, 0),0)</f>
        <v>15</v>
      </c>
      <c r="W486" s="46">
        <f t="shared" si="112"/>
        <v>30</v>
      </c>
      <c r="X486" s="46">
        <f t="shared" si="113"/>
        <v>29.833333333333332</v>
      </c>
      <c r="Y486" s="46">
        <f>IFERROR(IF(OR(C486="AREA I",C486="AREA V"),7,VLOOKUP(A486,'[1]MC Masterlist 2026-09-12'!$B:$M, 12, 0)),0)</f>
        <v>30</v>
      </c>
      <c r="Z486" s="46">
        <f t="shared" si="114"/>
        <v>0.16666666666666666</v>
      </c>
      <c r="AA486" s="46">
        <f t="shared" si="115"/>
        <v>0.33333333333333331</v>
      </c>
      <c r="AB486" s="46">
        <f t="shared" si="116"/>
        <v>0.33148148148148143</v>
      </c>
      <c r="AC486" s="46">
        <f t="shared" si="117"/>
        <v>0.33333333333333331</v>
      </c>
      <c r="AD486" s="44" t="str">
        <f t="shared" si="118"/>
        <v>Stockout</v>
      </c>
      <c r="AE486" s="44" t="str">
        <f>IFERROR(VLOOKUP(A486,'[1]Re-order'!$A:$AA,27,0),"")</f>
        <v>Over</v>
      </c>
      <c r="AF486" s="46">
        <f t="shared" si="119"/>
        <v>0.33333333333333331</v>
      </c>
      <c r="AG486" s="46">
        <f>SUMIFS('[1]Raw Inventory'!D:D,'[1]Raw Inventory'!C:C,"GREATWALL",'[1]Raw Inventory'!B:B,A486)</f>
        <v>0</v>
      </c>
      <c r="AH486" s="46">
        <f>SUMIFS('[1]Raw Inventory'!D:D,'[1]Raw Inventory'!C:C,"DUARTE",'[1]Raw Inventory'!B:B,A486)</f>
        <v>0</v>
      </c>
      <c r="AI486" s="46"/>
      <c r="AJ486" s="46"/>
      <c r="AK486" s="43"/>
      <c r="AL486" s="43"/>
      <c r="AM486" s="43"/>
      <c r="AN486" s="43"/>
      <c r="AO486" s="43"/>
      <c r="AP486" s="43"/>
      <c r="AQ486" s="43"/>
      <c r="AR486" s="43"/>
      <c r="AS486" s="43"/>
      <c r="AT486" s="43"/>
    </row>
    <row r="487" spans="1:46">
      <c r="A487" s="43" t="s">
        <v>23</v>
      </c>
      <c r="B487" s="43" t="s">
        <v>144</v>
      </c>
      <c r="C487" s="43" t="s">
        <v>137</v>
      </c>
      <c r="D487" s="44" t="s">
        <v>227</v>
      </c>
      <c r="E487" s="44">
        <v>1</v>
      </c>
      <c r="F487" s="44" t="s">
        <v>0</v>
      </c>
      <c r="G487" s="43" t="str">
        <f>IFERROR(VLOOKUP(A487,'[1]MC Masterlist 2026-09-12'!$B:$M, 3, 0),"")</f>
        <v>KAWASAKI</v>
      </c>
      <c r="H487" s="45">
        <f>IFERROR(VLOOKUP(A487,'[1]MC Masterlist 2026-09-12'!$B:$M, 6, 0),"")</f>
        <v>60656</v>
      </c>
      <c r="I487" s="46">
        <v>30</v>
      </c>
      <c r="J487" s="46">
        <v>37</v>
      </c>
      <c r="K487" s="46">
        <v>47</v>
      </c>
      <c r="L487" s="46">
        <f t="shared" si="105"/>
        <v>114</v>
      </c>
      <c r="M487" s="46">
        <f t="shared" si="106"/>
        <v>38</v>
      </c>
      <c r="N487" s="45">
        <f t="shared" si="107"/>
        <v>6914784</v>
      </c>
      <c r="O487" s="45">
        <f t="shared" si="108"/>
        <v>2304928</v>
      </c>
      <c r="P487" s="46">
        <f t="shared" si="109"/>
        <v>1.2666666666666666</v>
      </c>
      <c r="Q487" s="46">
        <v>20</v>
      </c>
      <c r="R487" s="45">
        <f t="shared" si="110"/>
        <v>1213120</v>
      </c>
      <c r="S487" s="46">
        <f t="shared" si="111"/>
        <v>15.789473684210526</v>
      </c>
      <c r="T487" s="46">
        <f>IFERROR(VLOOKUP(A487,'[1]Re-order'!$A:$Q,17,0),"")</f>
        <v>53.973412112259979</v>
      </c>
      <c r="U487" s="46">
        <f>IFERROR(VLOOKUP(A487,'[1]MC Masterlist 2026-09-12'!$B:$M, 10, 0),0)</f>
        <v>15</v>
      </c>
      <c r="V487" s="46">
        <f>IFERROR(VLOOKUP(A487,'[1]MC Masterlist 2026-09-12'!$B:$M, 11, 0),0)</f>
        <v>15</v>
      </c>
      <c r="W487" s="46">
        <f t="shared" si="112"/>
        <v>30</v>
      </c>
      <c r="X487" s="46">
        <f t="shared" si="113"/>
        <v>-12</v>
      </c>
      <c r="Y487" s="46">
        <f>IFERROR(IF(OR(C487="AREA I",C487="AREA V"),7,VLOOKUP(A487,'[1]MC Masterlist 2026-09-12'!$B:$M, 12, 0)),0)</f>
        <v>7</v>
      </c>
      <c r="Z487" s="46">
        <f t="shared" si="114"/>
        <v>19</v>
      </c>
      <c r="AA487" s="46">
        <f t="shared" si="115"/>
        <v>38</v>
      </c>
      <c r="AB487" s="46">
        <f t="shared" si="116"/>
        <v>-15.2</v>
      </c>
      <c r="AC487" s="46">
        <f t="shared" si="117"/>
        <v>8.8666666666666671</v>
      </c>
      <c r="AD487" s="44" t="str">
        <f t="shared" si="118"/>
        <v>Over</v>
      </c>
      <c r="AE487" s="44" t="str">
        <f>IFERROR(VLOOKUP(A487,'[1]Re-order'!$A:$AA,27,0),"")</f>
        <v>Re-order</v>
      </c>
      <c r="AF487" s="46">
        <f t="shared" si="119"/>
        <v>-11.133333333333333</v>
      </c>
      <c r="AG487" s="46">
        <f>SUMIFS('[1]Raw Inventory'!D:D,'[1]Raw Inventory'!C:C,"GREATWALL",'[1]Raw Inventory'!B:B,A487)</f>
        <v>282</v>
      </c>
      <c r="AH487" s="46">
        <f>SUMIFS('[1]Raw Inventory'!D:D,'[1]Raw Inventory'!C:C,"DUARTE",'[1]Raw Inventory'!B:B,A487)</f>
        <v>0</v>
      </c>
      <c r="AI487" s="46"/>
      <c r="AJ487" s="46"/>
      <c r="AK487" s="43"/>
      <c r="AL487" s="43"/>
      <c r="AM487" s="43"/>
      <c r="AN487" s="43"/>
      <c r="AO487" s="43"/>
      <c r="AP487" s="43"/>
      <c r="AQ487" s="43"/>
      <c r="AR487" s="43"/>
      <c r="AS487" s="43"/>
      <c r="AT487" s="43"/>
    </row>
    <row r="488" spans="1:46">
      <c r="A488" s="43" t="s">
        <v>72</v>
      </c>
      <c r="B488" s="43" t="s">
        <v>146</v>
      </c>
      <c r="C488" s="43" t="s">
        <v>137</v>
      </c>
      <c r="D488" s="44" t="s">
        <v>235</v>
      </c>
      <c r="E488" s="44">
        <v>27</v>
      </c>
      <c r="F488" s="44" t="s">
        <v>3</v>
      </c>
      <c r="G488" s="43" t="str">
        <f>IFERROR(VLOOKUP(A488,'[1]MC Masterlist 2026-09-12'!$B:$M, 3, 0),"")</f>
        <v>KAWASAKI</v>
      </c>
      <c r="H488" s="45">
        <f>IFERROR(VLOOKUP(A488,'[1]MC Masterlist 2026-09-12'!$B:$M, 6, 0),"")</f>
        <v>52948</v>
      </c>
      <c r="I488" s="46">
        <v>0</v>
      </c>
      <c r="J488" s="46">
        <v>0</v>
      </c>
      <c r="K488" s="46">
        <v>1</v>
      </c>
      <c r="L488" s="46">
        <f t="shared" si="105"/>
        <v>1</v>
      </c>
      <c r="M488" s="46">
        <f t="shared" si="106"/>
        <v>0.33333333333333331</v>
      </c>
      <c r="N488" s="45">
        <f t="shared" si="107"/>
        <v>52948</v>
      </c>
      <c r="O488" s="45">
        <f t="shared" si="108"/>
        <v>17649.333333333332</v>
      </c>
      <c r="P488" s="46">
        <f t="shared" si="109"/>
        <v>1.111111111111111E-2</v>
      </c>
      <c r="Q488" s="46"/>
      <c r="R488" s="45">
        <f t="shared" si="110"/>
        <v>0</v>
      </c>
      <c r="S488" s="46">
        <f t="shared" si="111"/>
        <v>0</v>
      </c>
      <c r="T488" s="46">
        <f>IFERROR(VLOOKUP(A488,'[1]Re-order'!$A:$Q,17,0),"")</f>
        <v>378</v>
      </c>
      <c r="U488" s="46">
        <f>IFERROR(VLOOKUP(A488,'[1]MC Masterlist 2026-09-12'!$B:$M, 10, 0),0)</f>
        <v>15</v>
      </c>
      <c r="V488" s="46">
        <f>IFERROR(VLOOKUP(A488,'[1]MC Masterlist 2026-09-12'!$B:$M, 11, 0),0)</f>
        <v>15</v>
      </c>
      <c r="W488" s="46">
        <f t="shared" si="112"/>
        <v>30</v>
      </c>
      <c r="X488" s="46">
        <f t="shared" si="113"/>
        <v>6.833333333333333</v>
      </c>
      <c r="Y488" s="46">
        <f>IFERROR(IF(OR(C488="AREA I",C488="AREA V"),7,VLOOKUP(A488,'[1]MC Masterlist 2026-09-12'!$B:$M, 12, 0)),0)</f>
        <v>7</v>
      </c>
      <c r="Z488" s="46">
        <f t="shared" si="114"/>
        <v>0.16666666666666666</v>
      </c>
      <c r="AA488" s="46">
        <f t="shared" si="115"/>
        <v>0.33333333333333331</v>
      </c>
      <c r="AB488" s="46">
        <f t="shared" si="116"/>
        <v>7.5925925925925911E-2</v>
      </c>
      <c r="AC488" s="46">
        <f t="shared" si="117"/>
        <v>7.7777777777777765E-2</v>
      </c>
      <c r="AD488" s="44" t="str">
        <f t="shared" si="118"/>
        <v>Stockout</v>
      </c>
      <c r="AE488" s="44" t="str">
        <f>IFERROR(VLOOKUP(A488,'[1]Re-order'!$A:$AA,27,0),"")</f>
        <v>Over</v>
      </c>
      <c r="AF488" s="46">
        <f t="shared" si="119"/>
        <v>7.7777777777777765E-2</v>
      </c>
      <c r="AG488" s="46">
        <f>SUMIFS('[1]Raw Inventory'!D:D,'[1]Raw Inventory'!C:C,"GREATWALL",'[1]Raw Inventory'!B:B,A488)</f>
        <v>15</v>
      </c>
      <c r="AH488" s="46">
        <f>SUMIFS('[1]Raw Inventory'!D:D,'[1]Raw Inventory'!C:C,"DUARTE",'[1]Raw Inventory'!B:B,A488)</f>
        <v>0</v>
      </c>
      <c r="AI488" s="46"/>
      <c r="AJ488" s="46"/>
      <c r="AK488" s="43"/>
      <c r="AL488" s="43"/>
      <c r="AM488" s="43"/>
      <c r="AN488" s="43"/>
      <c r="AO488" s="43"/>
      <c r="AP488" s="43"/>
      <c r="AQ488" s="43"/>
      <c r="AR488" s="43"/>
      <c r="AS488" s="43"/>
      <c r="AT488" s="43"/>
    </row>
    <row r="489" spans="1:46">
      <c r="A489" s="43" t="s">
        <v>37</v>
      </c>
      <c r="B489" s="43" t="s">
        <v>112</v>
      </c>
      <c r="C489" s="43" t="s">
        <v>109</v>
      </c>
      <c r="D489" s="44" t="s">
        <v>236</v>
      </c>
      <c r="E489" s="44">
        <v>7</v>
      </c>
      <c r="F489" s="44" t="s">
        <v>2</v>
      </c>
      <c r="G489" s="43" t="str">
        <f>IFERROR(VLOOKUP(A489,'[1]MC Masterlist 2026-09-12'!$B:$M, 3, 0),"")</f>
        <v>HONDA</v>
      </c>
      <c r="H489" s="45">
        <f>IFERROR(VLOOKUP(A489,'[1]MC Masterlist 2026-09-12'!$B:$M, 6, 0),"")</f>
        <v>74550</v>
      </c>
      <c r="I489" s="46">
        <v>0</v>
      </c>
      <c r="J489" s="46">
        <v>1</v>
      </c>
      <c r="K489" s="46">
        <v>3</v>
      </c>
      <c r="L489" s="46">
        <f t="shared" si="105"/>
        <v>4</v>
      </c>
      <c r="M489" s="46">
        <f t="shared" si="106"/>
        <v>1.3333333333333333</v>
      </c>
      <c r="N489" s="45">
        <f t="shared" si="107"/>
        <v>298200</v>
      </c>
      <c r="O489" s="45">
        <f t="shared" si="108"/>
        <v>99400</v>
      </c>
      <c r="P489" s="46">
        <f t="shared" si="109"/>
        <v>4.4444444444444439E-2</v>
      </c>
      <c r="Q489" s="46"/>
      <c r="R489" s="45">
        <f t="shared" si="110"/>
        <v>0</v>
      </c>
      <c r="S489" s="46">
        <f t="shared" si="111"/>
        <v>0</v>
      </c>
      <c r="T489" s="46">
        <f>IFERROR(VLOOKUP(A489,'[1]Re-order'!$A:$Q,17,0),"")</f>
        <v>33.652173913043477</v>
      </c>
      <c r="U489" s="46">
        <f>IFERROR(VLOOKUP(A489,'[1]MC Masterlist 2026-09-12'!$B:$M, 10, 0),0)</f>
        <v>15</v>
      </c>
      <c r="V489" s="46">
        <f>IFERROR(VLOOKUP(A489,'[1]MC Masterlist 2026-09-12'!$B:$M, 11, 0),0)</f>
        <v>15</v>
      </c>
      <c r="W489" s="46">
        <f t="shared" si="112"/>
        <v>30</v>
      </c>
      <c r="X489" s="46">
        <f t="shared" si="113"/>
        <v>29.333333333333332</v>
      </c>
      <c r="Y489" s="46">
        <f>IFERROR(IF(OR(C489="AREA I",C489="AREA V"),7,VLOOKUP(A489,'[1]MC Masterlist 2026-09-12'!$B:$M, 12, 0)),0)</f>
        <v>30</v>
      </c>
      <c r="Z489" s="46">
        <f t="shared" si="114"/>
        <v>0.66666666666666663</v>
      </c>
      <c r="AA489" s="46">
        <f t="shared" si="115"/>
        <v>1.3333333333333333</v>
      </c>
      <c r="AB489" s="46">
        <f t="shared" si="116"/>
        <v>1.3037037037037036</v>
      </c>
      <c r="AC489" s="46">
        <f t="shared" si="117"/>
        <v>1.3333333333333333</v>
      </c>
      <c r="AD489" s="44" t="str">
        <f t="shared" si="118"/>
        <v>Stockout</v>
      </c>
      <c r="AE489" s="44" t="str">
        <f>IFERROR(VLOOKUP(A489,'[1]Re-order'!$A:$AA,27,0),"")</f>
        <v>Re-order</v>
      </c>
      <c r="AF489" s="46">
        <f t="shared" si="119"/>
        <v>1.3333333333333333</v>
      </c>
      <c r="AG489" s="46">
        <f>SUMIFS('[1]Raw Inventory'!D:D,'[1]Raw Inventory'!C:C,"GREATWALL",'[1]Raw Inventory'!B:B,A489)</f>
        <v>28</v>
      </c>
      <c r="AH489" s="46">
        <f>SUMIFS('[1]Raw Inventory'!D:D,'[1]Raw Inventory'!C:C,"DUARTE",'[1]Raw Inventory'!B:B,A489)</f>
        <v>0</v>
      </c>
      <c r="AI489" s="46"/>
      <c r="AJ489" s="46"/>
      <c r="AK489" s="43"/>
      <c r="AL489" s="43"/>
      <c r="AM489" s="43"/>
      <c r="AN489" s="43"/>
      <c r="AO489" s="43"/>
      <c r="AP489" s="43"/>
      <c r="AQ489" s="43"/>
      <c r="AR489" s="43"/>
      <c r="AS489" s="43"/>
      <c r="AT489" s="43"/>
    </row>
    <row r="490" spans="1:46">
      <c r="A490" s="43" t="s">
        <v>40</v>
      </c>
      <c r="B490" s="43" t="s">
        <v>111</v>
      </c>
      <c r="C490" s="43" t="s">
        <v>109</v>
      </c>
      <c r="D490" s="44" t="s">
        <v>253</v>
      </c>
      <c r="E490" s="44">
        <v>28</v>
      </c>
      <c r="F490" s="44" t="s">
        <v>3</v>
      </c>
      <c r="G490" s="43" t="str">
        <f>IFERROR(VLOOKUP(A490,'[1]MC Masterlist 2026-09-12'!$B:$M, 3, 0),"")</f>
        <v>HONDA</v>
      </c>
      <c r="H490" s="45">
        <f>IFERROR(VLOOKUP(A490,'[1]MC Masterlist 2026-09-12'!$B:$M, 6, 0),"")</f>
        <v>56426</v>
      </c>
      <c r="I490" s="46">
        <v>1</v>
      </c>
      <c r="J490" s="46">
        <v>0</v>
      </c>
      <c r="K490" s="46">
        <v>0</v>
      </c>
      <c r="L490" s="46">
        <f t="shared" si="105"/>
        <v>1</v>
      </c>
      <c r="M490" s="46">
        <f t="shared" si="106"/>
        <v>0.33333333333333331</v>
      </c>
      <c r="N490" s="45">
        <f t="shared" si="107"/>
        <v>56426</v>
      </c>
      <c r="O490" s="45">
        <f t="shared" si="108"/>
        <v>18808.666666666664</v>
      </c>
      <c r="P490" s="46">
        <f t="shared" si="109"/>
        <v>1.111111111111111E-2</v>
      </c>
      <c r="Q490" s="46"/>
      <c r="R490" s="45">
        <f t="shared" si="110"/>
        <v>0</v>
      </c>
      <c r="S490" s="46">
        <f t="shared" si="111"/>
        <v>0</v>
      </c>
      <c r="T490" s="46">
        <f>IFERROR(VLOOKUP(A490,'[1]Re-order'!$A:$Q,17,0),"")</f>
        <v>139.56521739130434</v>
      </c>
      <c r="U490" s="46">
        <f>IFERROR(VLOOKUP(A490,'[1]MC Masterlist 2026-09-12'!$B:$M, 10, 0),0)</f>
        <v>15</v>
      </c>
      <c r="V490" s="46">
        <f>IFERROR(VLOOKUP(A490,'[1]MC Masterlist 2026-09-12'!$B:$M, 11, 0),0)</f>
        <v>15</v>
      </c>
      <c r="W490" s="46">
        <f t="shared" si="112"/>
        <v>30</v>
      </c>
      <c r="X490" s="46">
        <f t="shared" si="113"/>
        <v>29.833333333333332</v>
      </c>
      <c r="Y490" s="46">
        <f>IFERROR(IF(OR(C490="AREA I",C490="AREA V"),7,VLOOKUP(A490,'[1]MC Masterlist 2026-09-12'!$B:$M, 12, 0)),0)</f>
        <v>30</v>
      </c>
      <c r="Z490" s="46">
        <f t="shared" si="114"/>
        <v>0.16666666666666666</v>
      </c>
      <c r="AA490" s="46">
        <f t="shared" si="115"/>
        <v>0.33333333333333331</v>
      </c>
      <c r="AB490" s="46">
        <f t="shared" si="116"/>
        <v>0.33148148148148143</v>
      </c>
      <c r="AC490" s="46">
        <f t="shared" si="117"/>
        <v>0.33333333333333331</v>
      </c>
      <c r="AD490" s="44" t="str">
        <f t="shared" si="118"/>
        <v>Stockout</v>
      </c>
      <c r="AE490" s="44" t="str">
        <f>IFERROR(VLOOKUP(A490,'[1]Re-order'!$A:$AA,27,0),"")</f>
        <v>Over</v>
      </c>
      <c r="AF490" s="46">
        <f t="shared" si="119"/>
        <v>0.33333333333333331</v>
      </c>
      <c r="AG490" s="46">
        <f>SUMIFS('[1]Raw Inventory'!D:D,'[1]Raw Inventory'!C:C,"GREATWALL",'[1]Raw Inventory'!B:B,A490)</f>
        <v>45</v>
      </c>
      <c r="AH490" s="46">
        <f>SUMIFS('[1]Raw Inventory'!D:D,'[1]Raw Inventory'!C:C,"DUARTE",'[1]Raw Inventory'!B:B,A490)</f>
        <v>0</v>
      </c>
      <c r="AI490" s="46"/>
      <c r="AJ490" s="46"/>
      <c r="AK490" s="43"/>
      <c r="AL490" s="43"/>
      <c r="AM490" s="43"/>
      <c r="AN490" s="43"/>
      <c r="AO490" s="43"/>
      <c r="AP490" s="43"/>
      <c r="AQ490" s="43"/>
      <c r="AR490" s="43"/>
      <c r="AS490" s="43"/>
      <c r="AT490" s="43"/>
    </row>
    <row r="491" spans="1:46">
      <c r="A491" s="43" t="s">
        <v>26</v>
      </c>
      <c r="B491" s="43" t="s">
        <v>132</v>
      </c>
      <c r="C491" s="43" t="s">
        <v>128</v>
      </c>
      <c r="D491" s="44" t="s">
        <v>254</v>
      </c>
      <c r="E491" s="44">
        <v>8</v>
      </c>
      <c r="F491" s="44" t="s">
        <v>2</v>
      </c>
      <c r="G491" s="43" t="str">
        <f>IFERROR(VLOOKUP(A491,'[1]MC Masterlist 2026-09-12'!$B:$M, 3, 0),"")</f>
        <v>SUZUKI</v>
      </c>
      <c r="H491" s="45">
        <f>IFERROR(VLOOKUP(A491,'[1]MC Masterlist 2026-09-12'!$B:$M, 6, 0),"")</f>
        <v>123700</v>
      </c>
      <c r="I491" s="46">
        <v>1</v>
      </c>
      <c r="J491" s="46">
        <v>2</v>
      </c>
      <c r="K491" s="46">
        <v>2</v>
      </c>
      <c r="L491" s="46">
        <f t="shared" si="105"/>
        <v>5</v>
      </c>
      <c r="M491" s="46">
        <f t="shared" si="106"/>
        <v>1.6666666666666667</v>
      </c>
      <c r="N491" s="45">
        <f t="shared" si="107"/>
        <v>618500</v>
      </c>
      <c r="O491" s="45">
        <f t="shared" si="108"/>
        <v>206166.66666666669</v>
      </c>
      <c r="P491" s="46">
        <f t="shared" si="109"/>
        <v>5.5555555555555559E-2</v>
      </c>
      <c r="Q491" s="46">
        <v>6</v>
      </c>
      <c r="R491" s="45">
        <f t="shared" si="110"/>
        <v>742200</v>
      </c>
      <c r="S491" s="46">
        <f t="shared" si="111"/>
        <v>107.99999999999999</v>
      </c>
      <c r="T491" s="46">
        <f>IFERROR(VLOOKUP(A491,'[1]Re-order'!$A:$Q,17,0),"")</f>
        <v>71.470588235294116</v>
      </c>
      <c r="U491" s="46">
        <f>IFERROR(VLOOKUP(A491,'[1]MC Masterlist 2026-09-12'!$B:$M, 10, 0),0)</f>
        <v>15</v>
      </c>
      <c r="V491" s="46">
        <f>IFERROR(VLOOKUP(A491,'[1]MC Masterlist 2026-09-12'!$B:$M, 11, 0),0)</f>
        <v>15</v>
      </c>
      <c r="W491" s="46">
        <f t="shared" si="112"/>
        <v>30</v>
      </c>
      <c r="X491" s="46">
        <f t="shared" si="113"/>
        <v>29.166666666666668</v>
      </c>
      <c r="Y491" s="46">
        <f>IFERROR(IF(OR(C491="AREA I",C491="AREA V"),7,VLOOKUP(A491,'[1]MC Masterlist 2026-09-12'!$B:$M, 12, 0)),0)</f>
        <v>30</v>
      </c>
      <c r="Z491" s="46">
        <f t="shared" si="114"/>
        <v>0.83333333333333337</v>
      </c>
      <c r="AA491" s="46">
        <f t="shared" si="115"/>
        <v>1.6666666666666667</v>
      </c>
      <c r="AB491" s="46">
        <f t="shared" si="116"/>
        <v>1.6203703703703705</v>
      </c>
      <c r="AC491" s="46">
        <f t="shared" si="117"/>
        <v>1.6666666666666667</v>
      </c>
      <c r="AD491" s="44" t="str">
        <f t="shared" si="118"/>
        <v>Over</v>
      </c>
      <c r="AE491" s="44" t="str">
        <f>IFERROR(VLOOKUP(A491,'[1]Re-order'!$A:$AA,27,0),"")</f>
        <v>Re-order</v>
      </c>
      <c r="AF491" s="46">
        <f t="shared" si="119"/>
        <v>-4.333333333333333</v>
      </c>
      <c r="AG491" s="46">
        <f>SUMIFS('[1]Raw Inventory'!D:D,'[1]Raw Inventory'!C:C,"GREATWALL",'[1]Raw Inventory'!B:B,A491)</f>
        <v>30</v>
      </c>
      <c r="AH491" s="46">
        <f>SUMIFS('[1]Raw Inventory'!D:D,'[1]Raw Inventory'!C:C,"DUARTE",'[1]Raw Inventory'!B:B,A491)</f>
        <v>0</v>
      </c>
      <c r="AI491" s="46"/>
      <c r="AJ491" s="46"/>
      <c r="AK491" s="43"/>
      <c r="AL491" s="43"/>
      <c r="AM491" s="43"/>
      <c r="AN491" s="43"/>
      <c r="AO491" s="43"/>
      <c r="AP491" s="43"/>
      <c r="AQ491" s="43"/>
      <c r="AR491" s="43"/>
      <c r="AS491" s="43"/>
      <c r="AT491" s="43"/>
    </row>
    <row r="492" spans="1:46">
      <c r="A492" s="43" t="s">
        <v>12</v>
      </c>
      <c r="B492" s="43" t="s">
        <v>155</v>
      </c>
      <c r="C492" s="43" t="s">
        <v>152</v>
      </c>
      <c r="D492" s="44" t="s">
        <v>251</v>
      </c>
      <c r="E492" s="44">
        <v>8</v>
      </c>
      <c r="F492" s="44" t="s">
        <v>0</v>
      </c>
      <c r="G492" s="43" t="str">
        <f>IFERROR(VLOOKUP(A492,'[1]MC Masterlist 2026-09-12'!$B:$M, 3, 0),"")</f>
        <v>HONDA</v>
      </c>
      <c r="H492" s="45">
        <f>IFERROR(VLOOKUP(A492,'[1]MC Masterlist 2026-09-12'!$B:$M, 6, 0),"")</f>
        <v>158270</v>
      </c>
      <c r="I492" s="46">
        <v>0</v>
      </c>
      <c r="J492" s="46">
        <v>1</v>
      </c>
      <c r="K492" s="46">
        <v>2</v>
      </c>
      <c r="L492" s="46">
        <f t="shared" si="105"/>
        <v>3</v>
      </c>
      <c r="M492" s="46">
        <f t="shared" si="106"/>
        <v>1</v>
      </c>
      <c r="N492" s="45">
        <f t="shared" si="107"/>
        <v>474810</v>
      </c>
      <c r="O492" s="45">
        <f t="shared" si="108"/>
        <v>158270</v>
      </c>
      <c r="P492" s="46">
        <f t="shared" si="109"/>
        <v>3.3333333333333333E-2</v>
      </c>
      <c r="Q492" s="46">
        <v>1</v>
      </c>
      <c r="R492" s="45">
        <f t="shared" si="110"/>
        <v>158270</v>
      </c>
      <c r="S492" s="46">
        <f t="shared" si="111"/>
        <v>30</v>
      </c>
      <c r="T492" s="46">
        <f>IFERROR(VLOOKUP(A492,'[1]Re-order'!$A:$Q,17,0),"")</f>
        <v>46.461038961038959</v>
      </c>
      <c r="U492" s="46">
        <f>IFERROR(VLOOKUP(A492,'[1]MC Masterlist 2026-09-12'!$B:$M, 10, 0),0)</f>
        <v>15</v>
      </c>
      <c r="V492" s="46">
        <f>IFERROR(VLOOKUP(A492,'[1]MC Masterlist 2026-09-12'!$B:$M, 11, 0),0)</f>
        <v>15</v>
      </c>
      <c r="W492" s="46">
        <f t="shared" si="112"/>
        <v>30</v>
      </c>
      <c r="X492" s="46">
        <f t="shared" si="113"/>
        <v>29.5</v>
      </c>
      <c r="Y492" s="46">
        <f>IFERROR(IF(OR(C492="AREA I",C492="AREA V"),7,VLOOKUP(A492,'[1]MC Masterlist 2026-09-12'!$B:$M, 12, 0)),0)</f>
        <v>30</v>
      </c>
      <c r="Z492" s="46">
        <f t="shared" si="114"/>
        <v>0.5</v>
      </c>
      <c r="AA492" s="46">
        <f t="shared" si="115"/>
        <v>1</v>
      </c>
      <c r="AB492" s="46">
        <f t="shared" si="116"/>
        <v>0.98333333333333328</v>
      </c>
      <c r="AC492" s="46">
        <f t="shared" si="117"/>
        <v>1</v>
      </c>
      <c r="AD492" s="44" t="str">
        <f t="shared" si="118"/>
        <v>Re-order</v>
      </c>
      <c r="AE492" s="44" t="str">
        <f>IFERROR(VLOOKUP(A492,'[1]Re-order'!$A:$AA,27,0),"")</f>
        <v>Re-order</v>
      </c>
      <c r="AF492" s="46">
        <f t="shared" si="119"/>
        <v>0</v>
      </c>
      <c r="AG492" s="46">
        <f>SUMIFS('[1]Raw Inventory'!D:D,'[1]Raw Inventory'!C:C,"GREATWALL",'[1]Raw Inventory'!B:B,A492)</f>
        <v>35</v>
      </c>
      <c r="AH492" s="46">
        <f>SUMIFS('[1]Raw Inventory'!D:D,'[1]Raw Inventory'!C:C,"DUARTE",'[1]Raw Inventory'!B:B,A492)</f>
        <v>0</v>
      </c>
      <c r="AI492" s="46"/>
      <c r="AJ492" s="46"/>
      <c r="AK492" s="43"/>
      <c r="AL492" s="43"/>
      <c r="AM492" s="43"/>
      <c r="AN492" s="43"/>
      <c r="AO492" s="43"/>
      <c r="AP492" s="43"/>
      <c r="AQ492" s="43"/>
      <c r="AR492" s="43"/>
      <c r="AS492" s="43"/>
      <c r="AT492" s="43"/>
    </row>
    <row r="493" spans="1:46">
      <c r="A493" s="43" t="s">
        <v>46</v>
      </c>
      <c r="B493" s="43" t="s">
        <v>113</v>
      </c>
      <c r="C493" s="43" t="s">
        <v>109</v>
      </c>
      <c r="D493" s="44" t="s">
        <v>261</v>
      </c>
      <c r="E493" s="44">
        <v>17</v>
      </c>
      <c r="F493" s="44" t="s">
        <v>2</v>
      </c>
      <c r="G493" s="43" t="str">
        <f>IFERROR(VLOOKUP(A493,'[1]MC Masterlist 2026-09-12'!$B:$M, 3, 0),"")</f>
        <v>HONDA</v>
      </c>
      <c r="H493" s="45">
        <f>IFERROR(VLOOKUP(A493,'[1]MC Masterlist 2026-09-12'!$B:$M, 6, 0),"")</f>
        <v>73630</v>
      </c>
      <c r="I493" s="46">
        <v>3</v>
      </c>
      <c r="J493" s="46">
        <v>1</v>
      </c>
      <c r="K493" s="46">
        <v>0</v>
      </c>
      <c r="L493" s="46">
        <f t="shared" si="105"/>
        <v>4</v>
      </c>
      <c r="M493" s="46">
        <f t="shared" si="106"/>
        <v>1.3333333333333333</v>
      </c>
      <c r="N493" s="45">
        <f t="shared" si="107"/>
        <v>294520</v>
      </c>
      <c r="O493" s="45">
        <f t="shared" si="108"/>
        <v>98173.333333333328</v>
      </c>
      <c r="P493" s="46">
        <f t="shared" si="109"/>
        <v>4.4444444444444439E-2</v>
      </c>
      <c r="Q493" s="46"/>
      <c r="R493" s="45">
        <f t="shared" si="110"/>
        <v>0</v>
      </c>
      <c r="S493" s="46">
        <f t="shared" si="111"/>
        <v>0</v>
      </c>
      <c r="T493" s="46">
        <f>IFERROR(VLOOKUP(A493,'[1]Re-order'!$A:$Q,17,0),"")</f>
        <v>51</v>
      </c>
      <c r="U493" s="46">
        <f>IFERROR(VLOOKUP(A493,'[1]MC Masterlist 2026-09-12'!$B:$M, 10, 0),0)</f>
        <v>15</v>
      </c>
      <c r="V493" s="46">
        <f>IFERROR(VLOOKUP(A493,'[1]MC Masterlist 2026-09-12'!$B:$M, 11, 0),0)</f>
        <v>15</v>
      </c>
      <c r="W493" s="46">
        <f t="shared" si="112"/>
        <v>30</v>
      </c>
      <c r="X493" s="46">
        <f t="shared" si="113"/>
        <v>29.333333333333332</v>
      </c>
      <c r="Y493" s="46">
        <f>IFERROR(IF(OR(C493="AREA I",C493="AREA V"),7,VLOOKUP(A493,'[1]MC Masterlist 2026-09-12'!$B:$M, 12, 0)),0)</f>
        <v>30</v>
      </c>
      <c r="Z493" s="46">
        <f t="shared" si="114"/>
        <v>0.66666666666666663</v>
      </c>
      <c r="AA493" s="46">
        <f t="shared" si="115"/>
        <v>1.3333333333333333</v>
      </c>
      <c r="AB493" s="46">
        <f t="shared" si="116"/>
        <v>1.3037037037037036</v>
      </c>
      <c r="AC493" s="46">
        <f t="shared" si="117"/>
        <v>1.3333333333333333</v>
      </c>
      <c r="AD493" s="44" t="str">
        <f t="shared" si="118"/>
        <v>Stockout</v>
      </c>
      <c r="AE493" s="44" t="str">
        <f>IFERROR(VLOOKUP(A493,'[1]Re-order'!$A:$AA,27,0),"")</f>
        <v>Re-order</v>
      </c>
      <c r="AF493" s="46">
        <f t="shared" si="119"/>
        <v>1.3333333333333333</v>
      </c>
      <c r="AG493" s="46">
        <f>SUMIFS('[1]Raw Inventory'!D:D,'[1]Raw Inventory'!C:C,"GREATWALL",'[1]Raw Inventory'!B:B,A493)</f>
        <v>0</v>
      </c>
      <c r="AH493" s="46">
        <f>SUMIFS('[1]Raw Inventory'!D:D,'[1]Raw Inventory'!C:C,"DUARTE",'[1]Raw Inventory'!B:B,A493)</f>
        <v>0</v>
      </c>
      <c r="AI493" s="46"/>
      <c r="AJ493" s="46"/>
      <c r="AK493" s="43"/>
      <c r="AL493" s="43"/>
      <c r="AM493" s="43"/>
      <c r="AN493" s="43"/>
      <c r="AO493" s="43"/>
      <c r="AP493" s="43"/>
      <c r="AQ493" s="43"/>
      <c r="AR493" s="43"/>
      <c r="AS493" s="43"/>
      <c r="AT493" s="43"/>
    </row>
    <row r="494" spans="1:46">
      <c r="A494" s="43" t="s">
        <v>22</v>
      </c>
      <c r="B494" s="43" t="s">
        <v>130</v>
      </c>
      <c r="C494" s="43" t="s">
        <v>128</v>
      </c>
      <c r="D494" s="44" t="s">
        <v>236</v>
      </c>
      <c r="E494" s="44">
        <v>10</v>
      </c>
      <c r="F494" s="44" t="s">
        <v>2</v>
      </c>
      <c r="G494" s="43" t="str">
        <f>IFERROR(VLOOKUP(A494,'[1]MC Masterlist 2026-09-12'!$B:$M, 3, 0),"")</f>
        <v>HONDA</v>
      </c>
      <c r="H494" s="45">
        <f>IFERROR(VLOOKUP(A494,'[1]MC Masterlist 2026-09-12'!$B:$M, 6, 0),"")</f>
        <v>111258</v>
      </c>
      <c r="I494" s="46">
        <v>0</v>
      </c>
      <c r="J494" s="46">
        <v>3</v>
      </c>
      <c r="K494" s="46">
        <v>2</v>
      </c>
      <c r="L494" s="46">
        <f t="shared" si="105"/>
        <v>5</v>
      </c>
      <c r="M494" s="46">
        <f t="shared" si="106"/>
        <v>1.6666666666666667</v>
      </c>
      <c r="N494" s="45">
        <f t="shared" si="107"/>
        <v>556290</v>
      </c>
      <c r="O494" s="45">
        <f t="shared" si="108"/>
        <v>185430</v>
      </c>
      <c r="P494" s="46">
        <f t="shared" si="109"/>
        <v>5.5555555555555559E-2</v>
      </c>
      <c r="Q494" s="46"/>
      <c r="R494" s="45">
        <f t="shared" si="110"/>
        <v>0</v>
      </c>
      <c r="S494" s="46">
        <f t="shared" si="111"/>
        <v>0</v>
      </c>
      <c r="T494" s="46">
        <f>IFERROR(VLOOKUP(A494,'[1]Re-order'!$A:$Q,17,0),"")</f>
        <v>41.339712918660283</v>
      </c>
      <c r="U494" s="46">
        <f>IFERROR(VLOOKUP(A494,'[1]MC Masterlist 2026-09-12'!$B:$M, 10, 0),0)</f>
        <v>15</v>
      </c>
      <c r="V494" s="46">
        <f>IFERROR(VLOOKUP(A494,'[1]MC Masterlist 2026-09-12'!$B:$M, 11, 0),0)</f>
        <v>15</v>
      </c>
      <c r="W494" s="46">
        <f t="shared" si="112"/>
        <v>30</v>
      </c>
      <c r="X494" s="46">
        <f t="shared" si="113"/>
        <v>29.166666666666668</v>
      </c>
      <c r="Y494" s="46">
        <f>IFERROR(IF(OR(C494="AREA I",C494="AREA V"),7,VLOOKUP(A494,'[1]MC Masterlist 2026-09-12'!$B:$M, 12, 0)),0)</f>
        <v>30</v>
      </c>
      <c r="Z494" s="46">
        <f t="shared" si="114"/>
        <v>0.83333333333333337</v>
      </c>
      <c r="AA494" s="46">
        <f t="shared" si="115"/>
        <v>1.6666666666666667</v>
      </c>
      <c r="AB494" s="46">
        <f t="shared" si="116"/>
        <v>1.6203703703703705</v>
      </c>
      <c r="AC494" s="46">
        <f t="shared" si="117"/>
        <v>1.6666666666666667</v>
      </c>
      <c r="AD494" s="44" t="str">
        <f t="shared" si="118"/>
        <v>Stockout</v>
      </c>
      <c r="AE494" s="44" t="str">
        <f>IFERROR(VLOOKUP(A494,'[1]Re-order'!$A:$AA,27,0),"")</f>
        <v>Re-order</v>
      </c>
      <c r="AF494" s="46">
        <f t="shared" si="119"/>
        <v>1.6666666666666667</v>
      </c>
      <c r="AG494" s="46">
        <f>SUMIFS('[1]Raw Inventory'!D:D,'[1]Raw Inventory'!C:C,"GREATWALL",'[1]Raw Inventory'!B:B,A494)</f>
        <v>4</v>
      </c>
      <c r="AH494" s="46">
        <f>SUMIFS('[1]Raw Inventory'!D:D,'[1]Raw Inventory'!C:C,"DUARTE",'[1]Raw Inventory'!B:B,A494)</f>
        <v>0</v>
      </c>
      <c r="AI494" s="46"/>
      <c r="AJ494" s="46"/>
      <c r="AK494" s="43"/>
      <c r="AL494" s="43"/>
      <c r="AM494" s="43"/>
      <c r="AN494" s="43"/>
      <c r="AO494" s="43"/>
      <c r="AP494" s="43"/>
      <c r="AQ494" s="43"/>
      <c r="AR494" s="43"/>
      <c r="AS494" s="43"/>
      <c r="AT494" s="43"/>
    </row>
    <row r="495" spans="1:46">
      <c r="A495" s="43" t="s">
        <v>26</v>
      </c>
      <c r="B495" s="43" t="s">
        <v>113</v>
      </c>
      <c r="C495" s="43" t="s">
        <v>109</v>
      </c>
      <c r="D495" s="44" t="s">
        <v>254</v>
      </c>
      <c r="E495" s="44">
        <v>7</v>
      </c>
      <c r="F495" s="44" t="s">
        <v>2</v>
      </c>
      <c r="G495" s="43" t="str">
        <f>IFERROR(VLOOKUP(A495,'[1]MC Masterlist 2026-09-12'!$B:$M, 3, 0),"")</f>
        <v>SUZUKI</v>
      </c>
      <c r="H495" s="45">
        <f>IFERROR(VLOOKUP(A495,'[1]MC Masterlist 2026-09-12'!$B:$M, 6, 0),"")</f>
        <v>123700</v>
      </c>
      <c r="I495" s="46">
        <v>1</v>
      </c>
      <c r="J495" s="46">
        <v>1</v>
      </c>
      <c r="K495" s="46">
        <v>4</v>
      </c>
      <c r="L495" s="46">
        <f t="shared" si="105"/>
        <v>6</v>
      </c>
      <c r="M495" s="46">
        <f t="shared" si="106"/>
        <v>2</v>
      </c>
      <c r="N495" s="45">
        <f t="shared" si="107"/>
        <v>742200</v>
      </c>
      <c r="O495" s="45">
        <f t="shared" si="108"/>
        <v>247400</v>
      </c>
      <c r="P495" s="46">
        <f t="shared" si="109"/>
        <v>6.6666666666666666E-2</v>
      </c>
      <c r="Q495" s="46">
        <v>3</v>
      </c>
      <c r="R495" s="45">
        <f t="shared" si="110"/>
        <v>371100</v>
      </c>
      <c r="S495" s="46">
        <f t="shared" si="111"/>
        <v>45</v>
      </c>
      <c r="T495" s="46">
        <f>IFERROR(VLOOKUP(A495,'[1]Re-order'!$A:$Q,17,0),"")</f>
        <v>71.470588235294116</v>
      </c>
      <c r="U495" s="46">
        <f>IFERROR(VLOOKUP(A495,'[1]MC Masterlist 2026-09-12'!$B:$M, 10, 0),0)</f>
        <v>15</v>
      </c>
      <c r="V495" s="46">
        <f>IFERROR(VLOOKUP(A495,'[1]MC Masterlist 2026-09-12'!$B:$M, 11, 0),0)</f>
        <v>15</v>
      </c>
      <c r="W495" s="46">
        <f t="shared" si="112"/>
        <v>30</v>
      </c>
      <c r="X495" s="46">
        <f t="shared" si="113"/>
        <v>29</v>
      </c>
      <c r="Y495" s="46">
        <f>IFERROR(IF(OR(C495="AREA I",C495="AREA V"),7,VLOOKUP(A495,'[1]MC Masterlist 2026-09-12'!$B:$M, 12, 0)),0)</f>
        <v>30</v>
      </c>
      <c r="Z495" s="46">
        <f t="shared" si="114"/>
        <v>1</v>
      </c>
      <c r="AA495" s="46">
        <f t="shared" si="115"/>
        <v>2</v>
      </c>
      <c r="AB495" s="46">
        <f t="shared" si="116"/>
        <v>1.9333333333333333</v>
      </c>
      <c r="AC495" s="46">
        <f t="shared" si="117"/>
        <v>2</v>
      </c>
      <c r="AD495" s="44" t="str">
        <f t="shared" si="118"/>
        <v>Over</v>
      </c>
      <c r="AE495" s="44" t="str">
        <f>IFERROR(VLOOKUP(A495,'[1]Re-order'!$A:$AA,27,0),"")</f>
        <v>Re-order</v>
      </c>
      <c r="AF495" s="46">
        <f t="shared" si="119"/>
        <v>-1</v>
      </c>
      <c r="AG495" s="46">
        <f>SUMIFS('[1]Raw Inventory'!D:D,'[1]Raw Inventory'!C:C,"GREATWALL",'[1]Raw Inventory'!B:B,A495)</f>
        <v>30</v>
      </c>
      <c r="AH495" s="46">
        <f>SUMIFS('[1]Raw Inventory'!D:D,'[1]Raw Inventory'!C:C,"DUARTE",'[1]Raw Inventory'!B:B,A495)</f>
        <v>0</v>
      </c>
      <c r="AI495" s="46"/>
      <c r="AJ495" s="46"/>
      <c r="AK495" s="43"/>
      <c r="AL495" s="43"/>
      <c r="AM495" s="43"/>
      <c r="AN495" s="43"/>
      <c r="AO495" s="43"/>
      <c r="AP495" s="43"/>
      <c r="AQ495" s="43"/>
      <c r="AR495" s="43"/>
      <c r="AS495" s="43"/>
      <c r="AT495" s="43"/>
    </row>
    <row r="496" spans="1:46">
      <c r="A496" s="43" t="s">
        <v>23</v>
      </c>
      <c r="B496" s="43" t="s">
        <v>98</v>
      </c>
      <c r="C496" s="43" t="s">
        <v>90</v>
      </c>
      <c r="D496" s="44" t="s">
        <v>238</v>
      </c>
      <c r="E496" s="44">
        <v>2</v>
      </c>
      <c r="F496" s="44" t="s">
        <v>0</v>
      </c>
      <c r="G496" s="43" t="str">
        <f>IFERROR(VLOOKUP(A496,'[1]MC Masterlist 2026-09-12'!$B:$M, 3, 0),"")</f>
        <v>KAWASAKI</v>
      </c>
      <c r="H496" s="45">
        <f>IFERROR(VLOOKUP(A496,'[1]MC Masterlist 2026-09-12'!$B:$M, 6, 0),"")</f>
        <v>60656</v>
      </c>
      <c r="I496" s="46">
        <v>4</v>
      </c>
      <c r="J496" s="46">
        <v>6</v>
      </c>
      <c r="K496" s="46">
        <v>8</v>
      </c>
      <c r="L496" s="46">
        <f t="shared" si="105"/>
        <v>18</v>
      </c>
      <c r="M496" s="46">
        <f t="shared" si="106"/>
        <v>6</v>
      </c>
      <c r="N496" s="45">
        <f t="shared" si="107"/>
        <v>1091808</v>
      </c>
      <c r="O496" s="45">
        <f t="shared" si="108"/>
        <v>363936</v>
      </c>
      <c r="P496" s="46">
        <f t="shared" si="109"/>
        <v>0.2</v>
      </c>
      <c r="Q496" s="46">
        <v>17</v>
      </c>
      <c r="R496" s="45">
        <f t="shared" si="110"/>
        <v>1031152</v>
      </c>
      <c r="S496" s="46">
        <f t="shared" si="111"/>
        <v>85</v>
      </c>
      <c r="T496" s="46">
        <f>IFERROR(VLOOKUP(A496,'[1]Re-order'!$A:$Q,17,0),"")</f>
        <v>53.973412112259979</v>
      </c>
      <c r="U496" s="46">
        <f>IFERROR(VLOOKUP(A496,'[1]MC Masterlist 2026-09-12'!$B:$M, 10, 0),0)</f>
        <v>15</v>
      </c>
      <c r="V496" s="46">
        <f>IFERROR(VLOOKUP(A496,'[1]MC Masterlist 2026-09-12'!$B:$M, 11, 0),0)</f>
        <v>15</v>
      </c>
      <c r="W496" s="46">
        <f t="shared" si="112"/>
        <v>30</v>
      </c>
      <c r="X496" s="46">
        <f t="shared" si="113"/>
        <v>27</v>
      </c>
      <c r="Y496" s="46">
        <f>IFERROR(IF(OR(C496="AREA I",C496="AREA V"),7,VLOOKUP(A496,'[1]MC Masterlist 2026-09-12'!$B:$M, 12, 0)),0)</f>
        <v>30</v>
      </c>
      <c r="Z496" s="46">
        <f t="shared" si="114"/>
        <v>3</v>
      </c>
      <c r="AA496" s="46">
        <f t="shared" si="115"/>
        <v>6</v>
      </c>
      <c r="AB496" s="46">
        <f t="shared" si="116"/>
        <v>5.4</v>
      </c>
      <c r="AC496" s="46">
        <f t="shared" si="117"/>
        <v>6</v>
      </c>
      <c r="AD496" s="44" t="str">
        <f t="shared" si="118"/>
        <v>Over</v>
      </c>
      <c r="AE496" s="44" t="str">
        <f>IFERROR(VLOOKUP(A496,'[1]Re-order'!$A:$AA,27,0),"")</f>
        <v>Re-order</v>
      </c>
      <c r="AF496" s="46">
        <f t="shared" si="119"/>
        <v>-11</v>
      </c>
      <c r="AG496" s="46">
        <f>SUMIFS('[1]Raw Inventory'!D:D,'[1]Raw Inventory'!C:C,"GREATWALL",'[1]Raw Inventory'!B:B,A496)</f>
        <v>282</v>
      </c>
      <c r="AH496" s="46">
        <f>SUMIFS('[1]Raw Inventory'!D:D,'[1]Raw Inventory'!C:C,"DUARTE",'[1]Raw Inventory'!B:B,A496)</f>
        <v>0</v>
      </c>
      <c r="AI496" s="46"/>
      <c r="AJ496" s="46"/>
      <c r="AK496" s="43"/>
      <c r="AL496" s="43"/>
      <c r="AM496" s="43"/>
      <c r="AN496" s="43"/>
      <c r="AO496" s="43"/>
      <c r="AP496" s="43"/>
      <c r="AQ496" s="43"/>
      <c r="AR496" s="43"/>
      <c r="AS496" s="43"/>
      <c r="AT496" s="43"/>
    </row>
    <row r="497" spans="1:46">
      <c r="A497" s="43" t="s">
        <v>43</v>
      </c>
      <c r="B497" s="43" t="s">
        <v>154</v>
      </c>
      <c r="C497" s="43" t="s">
        <v>152</v>
      </c>
      <c r="D497" s="44" t="s">
        <v>256</v>
      </c>
      <c r="E497" s="44">
        <v>13</v>
      </c>
      <c r="F497" s="44" t="s">
        <v>2</v>
      </c>
      <c r="G497" s="43" t="str">
        <f>IFERROR(VLOOKUP(A497,'[1]MC Masterlist 2026-09-12'!$B:$M, 3, 0),"")</f>
        <v>YAMAHA</v>
      </c>
      <c r="H497" s="45">
        <f>IFERROR(VLOOKUP(A497,'[1]MC Masterlist 2026-09-12'!$B:$M, 6, 0),"")</f>
        <v>70587</v>
      </c>
      <c r="I497" s="46">
        <v>1</v>
      </c>
      <c r="J497" s="46">
        <v>0</v>
      </c>
      <c r="K497" s="46">
        <v>2</v>
      </c>
      <c r="L497" s="46">
        <f t="shared" si="105"/>
        <v>3</v>
      </c>
      <c r="M497" s="46">
        <f t="shared" si="106"/>
        <v>1</v>
      </c>
      <c r="N497" s="45">
        <f t="shared" si="107"/>
        <v>211761</v>
      </c>
      <c r="O497" s="45">
        <f t="shared" si="108"/>
        <v>70587</v>
      </c>
      <c r="P497" s="46">
        <f t="shared" si="109"/>
        <v>3.3333333333333333E-2</v>
      </c>
      <c r="Q497" s="46"/>
      <c r="R497" s="45">
        <f t="shared" si="110"/>
        <v>0</v>
      </c>
      <c r="S497" s="46">
        <f t="shared" si="111"/>
        <v>0</v>
      </c>
      <c r="T497" s="46">
        <f>IFERROR(VLOOKUP(A497,'[1]Re-order'!$A:$Q,17,0),"")</f>
        <v>43.578947368421055</v>
      </c>
      <c r="U497" s="46">
        <f>IFERROR(VLOOKUP(A497,'[1]MC Masterlist 2026-09-12'!$B:$M, 10, 0),0)</f>
        <v>15</v>
      </c>
      <c r="V497" s="46">
        <f>IFERROR(VLOOKUP(A497,'[1]MC Masterlist 2026-09-12'!$B:$M, 11, 0),0)</f>
        <v>15</v>
      </c>
      <c r="W497" s="46">
        <f t="shared" si="112"/>
        <v>30</v>
      </c>
      <c r="X497" s="46">
        <f t="shared" si="113"/>
        <v>29.5</v>
      </c>
      <c r="Y497" s="46">
        <f>IFERROR(IF(OR(C497="AREA I",C497="AREA V"),7,VLOOKUP(A497,'[1]MC Masterlist 2026-09-12'!$B:$M, 12, 0)),0)</f>
        <v>30</v>
      </c>
      <c r="Z497" s="46">
        <f t="shared" si="114"/>
        <v>0.5</v>
      </c>
      <c r="AA497" s="46">
        <f t="shared" si="115"/>
        <v>1</v>
      </c>
      <c r="AB497" s="46">
        <f t="shared" si="116"/>
        <v>0.98333333333333328</v>
      </c>
      <c r="AC497" s="46">
        <f t="shared" si="117"/>
        <v>1</v>
      </c>
      <c r="AD497" s="44" t="str">
        <f t="shared" si="118"/>
        <v>Stockout</v>
      </c>
      <c r="AE497" s="44" t="str">
        <f>IFERROR(VLOOKUP(A497,'[1]Re-order'!$A:$AA,27,0),"")</f>
        <v>Re-order</v>
      </c>
      <c r="AF497" s="46">
        <f t="shared" si="119"/>
        <v>1</v>
      </c>
      <c r="AG497" s="46">
        <f>SUMIFS('[1]Raw Inventory'!D:D,'[1]Raw Inventory'!C:C,"GREATWALL",'[1]Raw Inventory'!B:B,A497)</f>
        <v>0</v>
      </c>
      <c r="AH497" s="46">
        <f>SUMIFS('[1]Raw Inventory'!D:D,'[1]Raw Inventory'!C:C,"DUARTE",'[1]Raw Inventory'!B:B,A497)</f>
        <v>0</v>
      </c>
      <c r="AI497" s="46"/>
      <c r="AJ497" s="46"/>
      <c r="AK497" s="43"/>
      <c r="AL497" s="43"/>
      <c r="AM497" s="43"/>
      <c r="AN497" s="43"/>
      <c r="AO497" s="43"/>
      <c r="AP497" s="43"/>
      <c r="AQ497" s="43"/>
      <c r="AR497" s="43"/>
      <c r="AS497" s="43"/>
      <c r="AT497" s="43"/>
    </row>
    <row r="498" spans="1:46">
      <c r="A498" s="43" t="s">
        <v>25</v>
      </c>
      <c r="B498" s="43" t="s">
        <v>114</v>
      </c>
      <c r="C498" s="43" t="s">
        <v>109</v>
      </c>
      <c r="D498" s="44" t="s">
        <v>234</v>
      </c>
      <c r="E498" s="44">
        <v>4</v>
      </c>
      <c r="F498" s="44" t="s">
        <v>0</v>
      </c>
      <c r="G498" s="43" t="str">
        <f>IFERROR(VLOOKUP(A498,'[1]MC Masterlist 2026-09-12'!$B:$M, 3, 0),"")</f>
        <v>YAMAHA</v>
      </c>
      <c r="H498" s="45">
        <f>IFERROR(VLOOKUP(A498,'[1]MC Masterlist 2026-09-12'!$B:$M, 6, 0),"")</f>
        <v>124527</v>
      </c>
      <c r="I498" s="46">
        <v>5</v>
      </c>
      <c r="J498" s="46">
        <v>4</v>
      </c>
      <c r="K498" s="46">
        <v>1</v>
      </c>
      <c r="L498" s="46">
        <f t="shared" si="105"/>
        <v>10</v>
      </c>
      <c r="M498" s="46">
        <f t="shared" si="106"/>
        <v>3.3333333333333335</v>
      </c>
      <c r="N498" s="45">
        <f t="shared" si="107"/>
        <v>1245270</v>
      </c>
      <c r="O498" s="45">
        <f t="shared" si="108"/>
        <v>415090</v>
      </c>
      <c r="P498" s="46">
        <f t="shared" si="109"/>
        <v>0.11111111111111112</v>
      </c>
      <c r="Q498" s="46"/>
      <c r="R498" s="45">
        <f t="shared" si="110"/>
        <v>0</v>
      </c>
      <c r="S498" s="46">
        <f t="shared" si="111"/>
        <v>0</v>
      </c>
      <c r="T498" s="46">
        <f>IFERROR(VLOOKUP(A498,'[1]Re-order'!$A:$Q,17,0),"")</f>
        <v>5.1030927835051543</v>
      </c>
      <c r="U498" s="46">
        <f>IFERROR(VLOOKUP(A498,'[1]MC Masterlist 2026-09-12'!$B:$M, 10, 0),0)</f>
        <v>15</v>
      </c>
      <c r="V498" s="46">
        <f>IFERROR(VLOOKUP(A498,'[1]MC Masterlist 2026-09-12'!$B:$M, 11, 0),0)</f>
        <v>15</v>
      </c>
      <c r="W498" s="46">
        <f t="shared" si="112"/>
        <v>30</v>
      </c>
      <c r="X498" s="46">
        <f t="shared" si="113"/>
        <v>28.333333333333332</v>
      </c>
      <c r="Y498" s="46">
        <f>IFERROR(IF(OR(C498="AREA I",C498="AREA V"),7,VLOOKUP(A498,'[1]MC Masterlist 2026-09-12'!$B:$M, 12, 0)),0)</f>
        <v>30</v>
      </c>
      <c r="Z498" s="46">
        <f t="shared" si="114"/>
        <v>1.6666666666666667</v>
      </c>
      <c r="AA498" s="46">
        <f t="shared" si="115"/>
        <v>3.3333333333333335</v>
      </c>
      <c r="AB498" s="46">
        <f t="shared" si="116"/>
        <v>3.1481481481481484</v>
      </c>
      <c r="AC498" s="46">
        <f t="shared" si="117"/>
        <v>3.3333333333333335</v>
      </c>
      <c r="AD498" s="44" t="str">
        <f t="shared" si="118"/>
        <v>Stockout</v>
      </c>
      <c r="AE498" s="44" t="str">
        <f>IFERROR(VLOOKUP(A498,'[1]Re-order'!$A:$AA,27,0),"")</f>
        <v>Stockout</v>
      </c>
      <c r="AF498" s="46">
        <f t="shared" si="119"/>
        <v>3.3333333333333335</v>
      </c>
      <c r="AG498" s="46">
        <f>SUMIFS('[1]Raw Inventory'!D:D,'[1]Raw Inventory'!C:C,"GREATWALL",'[1]Raw Inventory'!B:B,A498)</f>
        <v>1</v>
      </c>
      <c r="AH498" s="46">
        <f>SUMIFS('[1]Raw Inventory'!D:D,'[1]Raw Inventory'!C:C,"DUARTE",'[1]Raw Inventory'!B:B,A498)</f>
        <v>0</v>
      </c>
      <c r="AI498" s="46"/>
      <c r="AJ498" s="46"/>
      <c r="AK498" s="43"/>
      <c r="AL498" s="43"/>
      <c r="AM498" s="43"/>
      <c r="AN498" s="43"/>
      <c r="AO498" s="43"/>
      <c r="AP498" s="43"/>
      <c r="AQ498" s="43"/>
      <c r="AR498" s="43"/>
      <c r="AS498" s="43"/>
      <c r="AT498" s="43"/>
    </row>
    <row r="499" spans="1:46">
      <c r="A499" s="43" t="s">
        <v>24</v>
      </c>
      <c r="B499" s="43" t="s">
        <v>114</v>
      </c>
      <c r="C499" s="43" t="s">
        <v>109</v>
      </c>
      <c r="D499" s="44" t="s">
        <v>256</v>
      </c>
      <c r="E499" s="44">
        <v>13</v>
      </c>
      <c r="F499" s="44" t="s">
        <v>2</v>
      </c>
      <c r="G499" s="43" t="str">
        <f>IFERROR(VLOOKUP(A499,'[1]MC Masterlist 2026-09-12'!$B:$M, 3, 0),"")</f>
        <v>KAWASAKI</v>
      </c>
      <c r="H499" s="45">
        <f>IFERROR(VLOOKUP(A499,'[1]MC Masterlist 2026-09-12'!$B:$M, 6, 0),"")</f>
        <v>131626</v>
      </c>
      <c r="I499" s="46">
        <v>1</v>
      </c>
      <c r="J499" s="46">
        <v>2</v>
      </c>
      <c r="K499" s="46">
        <v>0</v>
      </c>
      <c r="L499" s="46">
        <f t="shared" si="105"/>
        <v>3</v>
      </c>
      <c r="M499" s="46">
        <f t="shared" si="106"/>
        <v>1</v>
      </c>
      <c r="N499" s="45">
        <f t="shared" si="107"/>
        <v>394878</v>
      </c>
      <c r="O499" s="45">
        <f t="shared" si="108"/>
        <v>131626</v>
      </c>
      <c r="P499" s="46">
        <f t="shared" si="109"/>
        <v>3.3333333333333333E-2</v>
      </c>
      <c r="Q499" s="46">
        <v>2</v>
      </c>
      <c r="R499" s="45">
        <f t="shared" si="110"/>
        <v>263252</v>
      </c>
      <c r="S499" s="46">
        <f t="shared" si="111"/>
        <v>60</v>
      </c>
      <c r="T499" s="46">
        <f>IFERROR(VLOOKUP(A499,'[1]Re-order'!$A:$Q,17,0),"")</f>
        <v>40.677966101694913</v>
      </c>
      <c r="U499" s="46">
        <f>IFERROR(VLOOKUP(A499,'[1]MC Masterlist 2026-09-12'!$B:$M, 10, 0),0)</f>
        <v>15</v>
      </c>
      <c r="V499" s="46">
        <f>IFERROR(VLOOKUP(A499,'[1]MC Masterlist 2026-09-12'!$B:$M, 11, 0),0)</f>
        <v>15</v>
      </c>
      <c r="W499" s="46">
        <f t="shared" si="112"/>
        <v>30</v>
      </c>
      <c r="X499" s="46">
        <f t="shared" si="113"/>
        <v>29.5</v>
      </c>
      <c r="Y499" s="46">
        <f>IFERROR(IF(OR(C499="AREA I",C499="AREA V"),7,VLOOKUP(A499,'[1]MC Masterlist 2026-09-12'!$B:$M, 12, 0)),0)</f>
        <v>30</v>
      </c>
      <c r="Z499" s="46">
        <f t="shared" si="114"/>
        <v>0.5</v>
      </c>
      <c r="AA499" s="46">
        <f t="shared" si="115"/>
        <v>1</v>
      </c>
      <c r="AB499" s="46">
        <f t="shared" si="116"/>
        <v>0.98333333333333328</v>
      </c>
      <c r="AC499" s="46">
        <f t="shared" si="117"/>
        <v>1</v>
      </c>
      <c r="AD499" s="44" t="str">
        <f t="shared" si="118"/>
        <v>Over</v>
      </c>
      <c r="AE499" s="44" t="str">
        <f>IFERROR(VLOOKUP(A499,'[1]Re-order'!$A:$AA,27,0),"")</f>
        <v>Re-order</v>
      </c>
      <c r="AF499" s="46">
        <f t="shared" si="119"/>
        <v>-1</v>
      </c>
      <c r="AG499" s="46">
        <f>SUMIFS('[1]Raw Inventory'!D:D,'[1]Raw Inventory'!C:C,"GREATWALL",'[1]Raw Inventory'!B:B,A499)</f>
        <v>12</v>
      </c>
      <c r="AH499" s="46">
        <f>SUMIFS('[1]Raw Inventory'!D:D,'[1]Raw Inventory'!C:C,"DUARTE",'[1]Raw Inventory'!B:B,A499)</f>
        <v>0</v>
      </c>
      <c r="AI499" s="46"/>
      <c r="AJ499" s="46"/>
      <c r="AK499" s="43"/>
      <c r="AL499" s="43"/>
      <c r="AM499" s="43"/>
      <c r="AN499" s="43"/>
      <c r="AO499" s="43"/>
      <c r="AP499" s="43"/>
      <c r="AQ499" s="43"/>
      <c r="AR499" s="43"/>
      <c r="AS499" s="43"/>
      <c r="AT499" s="43"/>
    </row>
    <row r="500" spans="1:46">
      <c r="A500" s="43" t="s">
        <v>80</v>
      </c>
      <c r="B500" s="43" t="s">
        <v>145</v>
      </c>
      <c r="C500" s="43" t="s">
        <v>137</v>
      </c>
      <c r="D500" s="44" t="s">
        <v>268</v>
      </c>
      <c r="E500" s="44">
        <v>20</v>
      </c>
      <c r="F500" s="44" t="s">
        <v>3</v>
      </c>
      <c r="G500" s="43" t="str">
        <f>IFERROR(VLOOKUP(A500,'[1]MC Masterlist 2026-09-12'!$B:$M, 3, 0),"")</f>
        <v>YAMAHA</v>
      </c>
      <c r="H500" s="45">
        <f>IFERROR(VLOOKUP(A500,'[1]MC Masterlist 2026-09-12'!$B:$M, 6, 0),"")</f>
        <v>73842</v>
      </c>
      <c r="I500" s="46">
        <v>2</v>
      </c>
      <c r="J500" s="46">
        <v>0</v>
      </c>
      <c r="K500" s="46">
        <v>0</v>
      </c>
      <c r="L500" s="46">
        <f t="shared" si="105"/>
        <v>2</v>
      </c>
      <c r="M500" s="46">
        <f t="shared" si="106"/>
        <v>0.66666666666666663</v>
      </c>
      <c r="N500" s="45">
        <f t="shared" si="107"/>
        <v>147684</v>
      </c>
      <c r="O500" s="45">
        <f t="shared" si="108"/>
        <v>49228</v>
      </c>
      <c r="P500" s="46">
        <f t="shared" si="109"/>
        <v>2.222222222222222E-2</v>
      </c>
      <c r="Q500" s="46"/>
      <c r="R500" s="45">
        <f t="shared" si="110"/>
        <v>0</v>
      </c>
      <c r="S500" s="46">
        <f t="shared" si="111"/>
        <v>0</v>
      </c>
      <c r="T500" s="46">
        <f>IFERROR(VLOOKUP(A500,'[1]Re-order'!$A:$Q,17,0),"")</f>
        <v>67.5</v>
      </c>
      <c r="U500" s="46">
        <f>IFERROR(VLOOKUP(A500,'[1]MC Masterlist 2026-09-12'!$B:$M, 10, 0),0)</f>
        <v>15</v>
      </c>
      <c r="V500" s="46">
        <f>IFERROR(VLOOKUP(A500,'[1]MC Masterlist 2026-09-12'!$B:$M, 11, 0),0)</f>
        <v>15</v>
      </c>
      <c r="W500" s="46">
        <f t="shared" si="112"/>
        <v>30</v>
      </c>
      <c r="X500" s="46">
        <f t="shared" si="113"/>
        <v>6.666666666666667</v>
      </c>
      <c r="Y500" s="46">
        <f>IFERROR(IF(OR(C500="AREA I",C500="AREA V"),7,VLOOKUP(A500,'[1]MC Masterlist 2026-09-12'!$B:$M, 12, 0)),0)</f>
        <v>7</v>
      </c>
      <c r="Z500" s="46">
        <f t="shared" si="114"/>
        <v>0.33333333333333331</v>
      </c>
      <c r="AA500" s="46">
        <f t="shared" si="115"/>
        <v>0.66666666666666663</v>
      </c>
      <c r="AB500" s="46">
        <f t="shared" si="116"/>
        <v>0.14814814814814814</v>
      </c>
      <c r="AC500" s="46">
        <f t="shared" si="117"/>
        <v>0.15555555555555553</v>
      </c>
      <c r="AD500" s="44" t="str">
        <f t="shared" si="118"/>
        <v>Stockout</v>
      </c>
      <c r="AE500" s="44" t="str">
        <f>IFERROR(VLOOKUP(A500,'[1]Re-order'!$A:$AA,27,0),"")</f>
        <v>Re-order</v>
      </c>
      <c r="AF500" s="46">
        <f t="shared" si="119"/>
        <v>0.15555555555555553</v>
      </c>
      <c r="AG500" s="46">
        <f>SUMIFS('[1]Raw Inventory'!D:D,'[1]Raw Inventory'!C:C,"GREATWALL",'[1]Raw Inventory'!B:B,A500)</f>
        <v>0</v>
      </c>
      <c r="AH500" s="46">
        <f>SUMIFS('[1]Raw Inventory'!D:D,'[1]Raw Inventory'!C:C,"DUARTE",'[1]Raw Inventory'!B:B,A500)</f>
        <v>0</v>
      </c>
      <c r="AI500" s="46"/>
      <c r="AJ500" s="46"/>
      <c r="AK500" s="43"/>
      <c r="AL500" s="43"/>
      <c r="AM500" s="43"/>
      <c r="AN500" s="43"/>
      <c r="AO500" s="43"/>
      <c r="AP500" s="43"/>
      <c r="AQ500" s="43"/>
      <c r="AR500" s="43"/>
      <c r="AS500" s="43"/>
      <c r="AT500" s="43"/>
    </row>
    <row r="501" spans="1:46">
      <c r="A501" s="43" t="s">
        <v>76</v>
      </c>
      <c r="B501" s="43" t="s">
        <v>141</v>
      </c>
      <c r="C501" s="43" t="s">
        <v>137</v>
      </c>
      <c r="D501" s="44" t="s">
        <v>231</v>
      </c>
      <c r="E501" s="44">
        <v>28</v>
      </c>
      <c r="F501" s="44" t="s">
        <v>3</v>
      </c>
      <c r="G501" s="43" t="str">
        <f>IFERROR(VLOOKUP(A501,'[1]MC Masterlist 2026-09-12'!$B:$M, 3, 0),"")</f>
        <v>SUZUKI</v>
      </c>
      <c r="H501" s="45">
        <f>IFERROR(VLOOKUP(A501,'[1]MC Masterlist 2026-09-12'!$B:$M, 6, 0),"")</f>
        <v>62692</v>
      </c>
      <c r="I501" s="46">
        <v>0</v>
      </c>
      <c r="J501" s="46">
        <v>0</v>
      </c>
      <c r="K501" s="46">
        <v>0</v>
      </c>
      <c r="L501" s="46">
        <f t="shared" si="105"/>
        <v>0</v>
      </c>
      <c r="M501" s="46">
        <f t="shared" si="106"/>
        <v>0</v>
      </c>
      <c r="N501" s="45">
        <f t="shared" si="107"/>
        <v>0</v>
      </c>
      <c r="O501" s="45">
        <f t="shared" si="108"/>
        <v>0</v>
      </c>
      <c r="P501" s="46">
        <f t="shared" si="109"/>
        <v>0</v>
      </c>
      <c r="Q501" s="46">
        <v>6</v>
      </c>
      <c r="R501" s="45">
        <f t="shared" si="110"/>
        <v>376152</v>
      </c>
      <c r="S501" s="46">
        <f t="shared" si="111"/>
        <v>0</v>
      </c>
      <c r="T501" s="46">
        <f>IFERROR(VLOOKUP(A501,'[1]Re-order'!$A:$Q,17,0),"")</f>
        <v>106.36363636363636</v>
      </c>
      <c r="U501" s="46">
        <f>IFERROR(VLOOKUP(A501,'[1]MC Masterlist 2026-09-12'!$B:$M, 10, 0),0)</f>
        <v>15</v>
      </c>
      <c r="V501" s="46">
        <f>IFERROR(VLOOKUP(A501,'[1]MC Masterlist 2026-09-12'!$B:$M, 11, 0),0)</f>
        <v>15</v>
      </c>
      <c r="W501" s="46">
        <f t="shared" si="112"/>
        <v>30</v>
      </c>
      <c r="X501" s="46">
        <f t="shared" si="113"/>
        <v>7</v>
      </c>
      <c r="Y501" s="46">
        <f>IFERROR(IF(OR(C501="AREA I",C501="AREA V"),7,VLOOKUP(A501,'[1]MC Masterlist 2026-09-12'!$B:$M, 12, 0)),0)</f>
        <v>7</v>
      </c>
      <c r="Z501" s="46">
        <f t="shared" si="114"/>
        <v>0</v>
      </c>
      <c r="AA501" s="46">
        <f t="shared" si="115"/>
        <v>0</v>
      </c>
      <c r="AB501" s="46">
        <f t="shared" si="116"/>
        <v>0</v>
      </c>
      <c r="AC501" s="46">
        <f t="shared" si="117"/>
        <v>0</v>
      </c>
      <c r="AD501" s="44" t="str">
        <f t="shared" si="118"/>
        <v>Over</v>
      </c>
      <c r="AE501" s="44" t="str">
        <f>IFERROR(VLOOKUP(A501,'[1]Re-order'!$A:$AA,27,0),"")</f>
        <v>Over</v>
      </c>
      <c r="AF501" s="46">
        <f t="shared" si="119"/>
        <v>-6</v>
      </c>
      <c r="AG501" s="46">
        <f>SUMIFS('[1]Raw Inventory'!D:D,'[1]Raw Inventory'!C:C,"GREATWALL",'[1]Raw Inventory'!B:B,A501)</f>
        <v>1</v>
      </c>
      <c r="AH501" s="46">
        <f>SUMIFS('[1]Raw Inventory'!D:D,'[1]Raw Inventory'!C:C,"DUARTE",'[1]Raw Inventory'!B:B,A501)</f>
        <v>0</v>
      </c>
      <c r="AI501" s="46"/>
      <c r="AJ501" s="46"/>
      <c r="AK501" s="43"/>
      <c r="AL501" s="43"/>
      <c r="AM501" s="43"/>
      <c r="AN501" s="43"/>
      <c r="AO501" s="43"/>
      <c r="AP501" s="43"/>
      <c r="AQ501" s="43"/>
      <c r="AR501" s="43"/>
      <c r="AS501" s="43"/>
      <c r="AT501" s="43"/>
    </row>
    <row r="502" spans="1:46">
      <c r="A502" s="43" t="s">
        <v>17</v>
      </c>
      <c r="B502" s="43" t="s">
        <v>30</v>
      </c>
      <c r="C502" s="43" t="s">
        <v>1</v>
      </c>
      <c r="D502" s="44" t="s">
        <v>264</v>
      </c>
      <c r="E502" s="44">
        <v>7</v>
      </c>
      <c r="F502" s="44" t="s">
        <v>0</v>
      </c>
      <c r="G502" s="43" t="str">
        <f>IFERROR(VLOOKUP(A502,'[1]MC Masterlist 2026-09-12'!$B:$M, 3, 0),"")</f>
        <v>HONDA</v>
      </c>
      <c r="H502" s="45">
        <f>IFERROR(VLOOKUP(A502,'[1]MC Masterlist 2026-09-12'!$B:$M, 6, 0),"")</f>
        <v>140790</v>
      </c>
      <c r="I502" s="46">
        <v>2</v>
      </c>
      <c r="J502" s="46">
        <v>1</v>
      </c>
      <c r="K502" s="46">
        <v>3</v>
      </c>
      <c r="L502" s="46">
        <f t="shared" si="105"/>
        <v>6</v>
      </c>
      <c r="M502" s="46">
        <f t="shared" si="106"/>
        <v>2</v>
      </c>
      <c r="N502" s="45">
        <f t="shared" si="107"/>
        <v>844740</v>
      </c>
      <c r="O502" s="45">
        <f t="shared" si="108"/>
        <v>281580</v>
      </c>
      <c r="P502" s="46">
        <f t="shared" si="109"/>
        <v>6.6666666666666666E-2</v>
      </c>
      <c r="Q502" s="46">
        <v>2</v>
      </c>
      <c r="R502" s="45">
        <f t="shared" si="110"/>
        <v>281580</v>
      </c>
      <c r="S502" s="46">
        <f t="shared" si="111"/>
        <v>30</v>
      </c>
      <c r="T502" s="46">
        <f>IFERROR(VLOOKUP(A502,'[1]Re-order'!$A:$Q,17,0),"")</f>
        <v>43.663366336633665</v>
      </c>
      <c r="U502" s="46">
        <f>IFERROR(VLOOKUP(A502,'[1]MC Masterlist 2026-09-12'!$B:$M, 10, 0),0)</f>
        <v>15</v>
      </c>
      <c r="V502" s="46">
        <f>IFERROR(VLOOKUP(A502,'[1]MC Masterlist 2026-09-12'!$B:$M, 11, 0),0)</f>
        <v>15</v>
      </c>
      <c r="W502" s="46">
        <f t="shared" si="112"/>
        <v>30</v>
      </c>
      <c r="X502" s="46">
        <f t="shared" si="113"/>
        <v>6</v>
      </c>
      <c r="Y502" s="46">
        <f>IFERROR(IF(OR(C502="AREA I",C502="AREA V"),7,VLOOKUP(A502,'[1]MC Masterlist 2026-09-12'!$B:$M, 12, 0)),0)</f>
        <v>7</v>
      </c>
      <c r="Z502" s="46">
        <f t="shared" si="114"/>
        <v>1</v>
      </c>
      <c r="AA502" s="46">
        <f t="shared" si="115"/>
        <v>2</v>
      </c>
      <c r="AB502" s="46">
        <f t="shared" si="116"/>
        <v>0.4</v>
      </c>
      <c r="AC502" s="46">
        <f t="shared" si="117"/>
        <v>0.46666666666666667</v>
      </c>
      <c r="AD502" s="44" t="str">
        <f t="shared" si="118"/>
        <v>Over</v>
      </c>
      <c r="AE502" s="44" t="str">
        <f>IFERROR(VLOOKUP(A502,'[1]Re-order'!$A:$AA,27,0),"")</f>
        <v>Re-order</v>
      </c>
      <c r="AF502" s="46">
        <f t="shared" si="119"/>
        <v>-1.5333333333333332</v>
      </c>
      <c r="AG502" s="46">
        <f>SUMIFS('[1]Raw Inventory'!D:D,'[1]Raw Inventory'!C:C,"GREATWALL",'[1]Raw Inventory'!B:B,A502)</f>
        <v>12</v>
      </c>
      <c r="AH502" s="46">
        <f>SUMIFS('[1]Raw Inventory'!D:D,'[1]Raw Inventory'!C:C,"DUARTE",'[1]Raw Inventory'!B:B,A502)</f>
        <v>0</v>
      </c>
      <c r="AI502" s="46"/>
      <c r="AJ502" s="46"/>
      <c r="AK502" s="43"/>
      <c r="AL502" s="43"/>
      <c r="AM502" s="43"/>
      <c r="AN502" s="43"/>
      <c r="AO502" s="43"/>
      <c r="AP502" s="43"/>
      <c r="AQ502" s="43"/>
      <c r="AR502" s="43"/>
      <c r="AS502" s="43"/>
      <c r="AT502" s="43"/>
    </row>
    <row r="503" spans="1:46">
      <c r="A503" s="43" t="s">
        <v>40</v>
      </c>
      <c r="B503" s="43" t="s">
        <v>30</v>
      </c>
      <c r="C503" s="43" t="s">
        <v>1</v>
      </c>
      <c r="D503" s="44" t="s">
        <v>226</v>
      </c>
      <c r="E503" s="44">
        <v>36</v>
      </c>
      <c r="F503" s="44" t="s">
        <v>3</v>
      </c>
      <c r="G503" s="43" t="str">
        <f>IFERROR(VLOOKUP(A503,'[1]MC Masterlist 2026-09-12'!$B:$M, 3, 0),"")</f>
        <v>HONDA</v>
      </c>
      <c r="H503" s="45">
        <f>IFERROR(VLOOKUP(A503,'[1]MC Masterlist 2026-09-12'!$B:$M, 6, 0),"")</f>
        <v>56426</v>
      </c>
      <c r="I503" s="46">
        <v>1</v>
      </c>
      <c r="J503" s="46">
        <v>0</v>
      </c>
      <c r="K503" s="46">
        <v>0</v>
      </c>
      <c r="L503" s="46">
        <f t="shared" si="105"/>
        <v>1</v>
      </c>
      <c r="M503" s="46">
        <f t="shared" si="106"/>
        <v>0.33333333333333331</v>
      </c>
      <c r="N503" s="45">
        <f t="shared" si="107"/>
        <v>56426</v>
      </c>
      <c r="O503" s="45">
        <f t="shared" si="108"/>
        <v>18808.666666666664</v>
      </c>
      <c r="P503" s="46">
        <f t="shared" si="109"/>
        <v>1.111111111111111E-2</v>
      </c>
      <c r="Q503" s="46"/>
      <c r="R503" s="45">
        <f t="shared" si="110"/>
        <v>0</v>
      </c>
      <c r="S503" s="46">
        <f t="shared" si="111"/>
        <v>0</v>
      </c>
      <c r="T503" s="46">
        <f>IFERROR(VLOOKUP(A503,'[1]Re-order'!$A:$Q,17,0),"")</f>
        <v>139.56521739130434</v>
      </c>
      <c r="U503" s="46">
        <f>IFERROR(VLOOKUP(A503,'[1]MC Masterlist 2026-09-12'!$B:$M, 10, 0),0)</f>
        <v>15</v>
      </c>
      <c r="V503" s="46">
        <f>IFERROR(VLOOKUP(A503,'[1]MC Masterlist 2026-09-12'!$B:$M, 11, 0),0)</f>
        <v>15</v>
      </c>
      <c r="W503" s="46">
        <f t="shared" si="112"/>
        <v>30</v>
      </c>
      <c r="X503" s="46">
        <f t="shared" si="113"/>
        <v>6.833333333333333</v>
      </c>
      <c r="Y503" s="46">
        <f>IFERROR(IF(OR(C503="AREA I",C503="AREA V"),7,VLOOKUP(A503,'[1]MC Masterlist 2026-09-12'!$B:$M, 12, 0)),0)</f>
        <v>7</v>
      </c>
      <c r="Z503" s="46">
        <f t="shared" si="114"/>
        <v>0.16666666666666666</v>
      </c>
      <c r="AA503" s="46">
        <f t="shared" si="115"/>
        <v>0.33333333333333331</v>
      </c>
      <c r="AB503" s="46">
        <f t="shared" si="116"/>
        <v>7.5925925925925911E-2</v>
      </c>
      <c r="AC503" s="46">
        <f t="shared" si="117"/>
        <v>7.7777777777777765E-2</v>
      </c>
      <c r="AD503" s="44" t="str">
        <f t="shared" si="118"/>
        <v>Stockout</v>
      </c>
      <c r="AE503" s="44" t="str">
        <f>IFERROR(VLOOKUP(A503,'[1]Re-order'!$A:$AA,27,0),"")</f>
        <v>Over</v>
      </c>
      <c r="AF503" s="46">
        <f t="shared" si="119"/>
        <v>7.7777777777777765E-2</v>
      </c>
      <c r="AG503" s="46">
        <f>SUMIFS('[1]Raw Inventory'!D:D,'[1]Raw Inventory'!C:C,"GREATWALL",'[1]Raw Inventory'!B:B,A503)</f>
        <v>45</v>
      </c>
      <c r="AH503" s="46">
        <f>SUMIFS('[1]Raw Inventory'!D:D,'[1]Raw Inventory'!C:C,"DUARTE",'[1]Raw Inventory'!B:B,A503)</f>
        <v>0</v>
      </c>
      <c r="AI503" s="46"/>
      <c r="AJ503" s="46"/>
      <c r="AK503" s="43"/>
      <c r="AL503" s="43"/>
      <c r="AM503" s="43"/>
      <c r="AN503" s="43"/>
      <c r="AO503" s="43"/>
      <c r="AP503" s="43"/>
      <c r="AQ503" s="43"/>
      <c r="AR503" s="43"/>
      <c r="AS503" s="43"/>
      <c r="AT503" s="43"/>
    </row>
    <row r="504" spans="1:46">
      <c r="A504" s="43" t="s">
        <v>117</v>
      </c>
      <c r="B504" s="43" t="s">
        <v>162</v>
      </c>
      <c r="C504" s="43" t="s">
        <v>159</v>
      </c>
      <c r="D504" s="44" t="s">
        <v>224</v>
      </c>
      <c r="E504" s="44">
        <v>8</v>
      </c>
      <c r="F504" s="44" t="s">
        <v>2</v>
      </c>
      <c r="G504" s="43" t="str">
        <f>IFERROR(VLOOKUP(A504,'[1]MC Masterlist 2026-09-12'!$B:$M, 3, 0),"")</f>
        <v>HONDA</v>
      </c>
      <c r="H504" s="45">
        <f>IFERROR(VLOOKUP(A504,'[1]MC Masterlist 2026-09-12'!$B:$M, 6, 0),"")</f>
        <v>126990</v>
      </c>
      <c r="I504" s="46">
        <v>1</v>
      </c>
      <c r="J504" s="46">
        <v>2</v>
      </c>
      <c r="K504" s="46">
        <v>0</v>
      </c>
      <c r="L504" s="46">
        <f t="shared" si="105"/>
        <v>3</v>
      </c>
      <c r="M504" s="46">
        <f t="shared" si="106"/>
        <v>1</v>
      </c>
      <c r="N504" s="45">
        <f t="shared" si="107"/>
        <v>380970</v>
      </c>
      <c r="O504" s="45">
        <f t="shared" si="108"/>
        <v>126990</v>
      </c>
      <c r="P504" s="46">
        <f t="shared" si="109"/>
        <v>3.3333333333333333E-2</v>
      </c>
      <c r="Q504" s="46">
        <v>1</v>
      </c>
      <c r="R504" s="45">
        <f t="shared" si="110"/>
        <v>126990</v>
      </c>
      <c r="S504" s="46">
        <f t="shared" si="111"/>
        <v>30</v>
      </c>
      <c r="T504" s="46">
        <f>IFERROR(VLOOKUP(A504,'[1]Re-order'!$A:$Q,17,0),"")</f>
        <v>135</v>
      </c>
      <c r="U504" s="46">
        <f>IFERROR(VLOOKUP(A504,'[1]MC Masterlist 2026-09-12'!$B:$M, 10, 0),0)</f>
        <v>15</v>
      </c>
      <c r="V504" s="46">
        <f>IFERROR(VLOOKUP(A504,'[1]MC Masterlist 2026-09-12'!$B:$M, 11, 0),0)</f>
        <v>15</v>
      </c>
      <c r="W504" s="46">
        <f t="shared" si="112"/>
        <v>30</v>
      </c>
      <c r="X504" s="46">
        <f t="shared" si="113"/>
        <v>29.5</v>
      </c>
      <c r="Y504" s="46">
        <f>IFERROR(IF(OR(C504="AREA I",C504="AREA V"),7,VLOOKUP(A504,'[1]MC Masterlist 2026-09-12'!$B:$M, 12, 0)),0)</f>
        <v>30</v>
      </c>
      <c r="Z504" s="46">
        <f t="shared" si="114"/>
        <v>0.5</v>
      </c>
      <c r="AA504" s="46">
        <f t="shared" si="115"/>
        <v>1</v>
      </c>
      <c r="AB504" s="46">
        <f t="shared" si="116"/>
        <v>0.98333333333333328</v>
      </c>
      <c r="AC504" s="46">
        <f t="shared" si="117"/>
        <v>1</v>
      </c>
      <c r="AD504" s="44" t="str">
        <f t="shared" si="118"/>
        <v>Re-order</v>
      </c>
      <c r="AE504" s="44" t="str">
        <f>IFERROR(VLOOKUP(A504,'[1]Re-order'!$A:$AA,27,0),"")</f>
        <v>Over</v>
      </c>
      <c r="AF504" s="46">
        <f t="shared" si="119"/>
        <v>0</v>
      </c>
      <c r="AG504" s="46">
        <f>SUMIFS('[1]Raw Inventory'!D:D,'[1]Raw Inventory'!C:C,"GREATWALL",'[1]Raw Inventory'!B:B,A504)</f>
        <v>2</v>
      </c>
      <c r="AH504" s="46">
        <f>SUMIFS('[1]Raw Inventory'!D:D,'[1]Raw Inventory'!C:C,"DUARTE",'[1]Raw Inventory'!B:B,A504)</f>
        <v>0</v>
      </c>
      <c r="AI504" s="46"/>
      <c r="AJ504" s="46"/>
      <c r="AK504" s="43"/>
      <c r="AL504" s="43"/>
      <c r="AM504" s="43"/>
      <c r="AN504" s="43"/>
      <c r="AO504" s="43"/>
      <c r="AP504" s="43"/>
      <c r="AQ504" s="43"/>
      <c r="AR504" s="43"/>
      <c r="AS504" s="43"/>
      <c r="AT504" s="43"/>
    </row>
    <row r="505" spans="1:46">
      <c r="A505" s="43" t="s">
        <v>16</v>
      </c>
      <c r="B505" s="43" t="s">
        <v>5</v>
      </c>
      <c r="C505" s="43" t="s">
        <v>118</v>
      </c>
      <c r="D505" s="44" t="s">
        <v>236</v>
      </c>
      <c r="E505" s="44">
        <v>8</v>
      </c>
      <c r="F505" s="44" t="s">
        <v>2</v>
      </c>
      <c r="G505" s="43" t="str">
        <f>IFERROR(VLOOKUP(A505,'[1]MC Masterlist 2026-09-12'!$B:$M, 3, 0),"")</f>
        <v>HONDA</v>
      </c>
      <c r="H505" s="45">
        <f>IFERROR(VLOOKUP(A505,'[1]MC Masterlist 2026-09-12'!$B:$M, 6, 0),"")</f>
        <v>84394</v>
      </c>
      <c r="I505" s="46">
        <v>0</v>
      </c>
      <c r="J505" s="46">
        <v>4</v>
      </c>
      <c r="K505" s="46">
        <v>0</v>
      </c>
      <c r="L505" s="46">
        <f t="shared" si="105"/>
        <v>4</v>
      </c>
      <c r="M505" s="46">
        <f t="shared" si="106"/>
        <v>1.3333333333333333</v>
      </c>
      <c r="N505" s="45">
        <f t="shared" si="107"/>
        <v>337576</v>
      </c>
      <c r="O505" s="45">
        <f t="shared" si="108"/>
        <v>112525.33333333333</v>
      </c>
      <c r="P505" s="46">
        <f t="shared" si="109"/>
        <v>4.4444444444444439E-2</v>
      </c>
      <c r="Q505" s="46"/>
      <c r="R505" s="45">
        <f t="shared" si="110"/>
        <v>0</v>
      </c>
      <c r="S505" s="46">
        <f t="shared" si="111"/>
        <v>0</v>
      </c>
      <c r="T505" s="46">
        <f>IFERROR(VLOOKUP(A505,'[1]Re-order'!$A:$Q,17,0),"")</f>
        <v>26.332665330661321</v>
      </c>
      <c r="U505" s="46">
        <f>IFERROR(VLOOKUP(A505,'[1]MC Masterlist 2026-09-12'!$B:$M, 10, 0),0)</f>
        <v>15</v>
      </c>
      <c r="V505" s="46">
        <f>IFERROR(VLOOKUP(A505,'[1]MC Masterlist 2026-09-12'!$B:$M, 11, 0),0)</f>
        <v>15</v>
      </c>
      <c r="W505" s="46">
        <f t="shared" si="112"/>
        <v>30</v>
      </c>
      <c r="X505" s="46">
        <f t="shared" si="113"/>
        <v>29.333333333333332</v>
      </c>
      <c r="Y505" s="46">
        <f>IFERROR(IF(OR(C505="AREA I",C505="AREA V"),7,VLOOKUP(A505,'[1]MC Masterlist 2026-09-12'!$B:$M, 12, 0)),0)</f>
        <v>30</v>
      </c>
      <c r="Z505" s="46">
        <f t="shared" si="114"/>
        <v>0.66666666666666663</v>
      </c>
      <c r="AA505" s="46">
        <f t="shared" si="115"/>
        <v>1.3333333333333333</v>
      </c>
      <c r="AB505" s="46">
        <f t="shared" si="116"/>
        <v>1.3037037037037036</v>
      </c>
      <c r="AC505" s="46">
        <f t="shared" si="117"/>
        <v>1.3333333333333333</v>
      </c>
      <c r="AD505" s="44" t="str">
        <f t="shared" si="118"/>
        <v>Stockout</v>
      </c>
      <c r="AE505" s="44" t="str">
        <f>IFERROR(VLOOKUP(A505,'[1]Re-order'!$A:$AA,27,0),"")</f>
        <v>Stockout</v>
      </c>
      <c r="AF505" s="46">
        <f t="shared" si="119"/>
        <v>1.3333333333333333</v>
      </c>
      <c r="AG505" s="46">
        <f>SUMIFS('[1]Raw Inventory'!D:D,'[1]Raw Inventory'!C:C,"GREATWALL",'[1]Raw Inventory'!B:B,A505)</f>
        <v>58</v>
      </c>
      <c r="AH505" s="46">
        <f>SUMIFS('[1]Raw Inventory'!D:D,'[1]Raw Inventory'!C:C,"DUARTE",'[1]Raw Inventory'!B:B,A505)</f>
        <v>0</v>
      </c>
      <c r="AI505" s="46"/>
      <c r="AJ505" s="46"/>
      <c r="AK505" s="43"/>
      <c r="AL505" s="43"/>
      <c r="AM505" s="43"/>
      <c r="AN505" s="43"/>
      <c r="AO505" s="43"/>
      <c r="AP505" s="43"/>
      <c r="AQ505" s="43"/>
      <c r="AR505" s="43"/>
      <c r="AS505" s="43"/>
      <c r="AT505" s="43"/>
    </row>
    <row r="506" spans="1:46">
      <c r="A506" s="43" t="s">
        <v>76</v>
      </c>
      <c r="B506" s="43" t="s">
        <v>114</v>
      </c>
      <c r="C506" s="43" t="s">
        <v>109</v>
      </c>
      <c r="D506" s="44" t="s">
        <v>237</v>
      </c>
      <c r="E506" s="44">
        <v>27</v>
      </c>
      <c r="F506" s="44" t="s">
        <v>3</v>
      </c>
      <c r="G506" s="43" t="str">
        <f>IFERROR(VLOOKUP(A506,'[1]MC Masterlist 2026-09-12'!$B:$M, 3, 0),"")</f>
        <v>SUZUKI</v>
      </c>
      <c r="H506" s="45">
        <f>IFERROR(VLOOKUP(A506,'[1]MC Masterlist 2026-09-12'!$B:$M, 6, 0),"")</f>
        <v>62692</v>
      </c>
      <c r="I506" s="46">
        <v>0</v>
      </c>
      <c r="J506" s="46">
        <v>0</v>
      </c>
      <c r="K506" s="46">
        <v>1</v>
      </c>
      <c r="L506" s="46">
        <f t="shared" si="105"/>
        <v>1</v>
      </c>
      <c r="M506" s="46">
        <f t="shared" si="106"/>
        <v>0.33333333333333331</v>
      </c>
      <c r="N506" s="45">
        <f t="shared" si="107"/>
        <v>62692</v>
      </c>
      <c r="O506" s="45">
        <f t="shared" si="108"/>
        <v>20897.333333333332</v>
      </c>
      <c r="P506" s="46">
        <f t="shared" si="109"/>
        <v>1.111111111111111E-2</v>
      </c>
      <c r="Q506" s="46"/>
      <c r="R506" s="45">
        <f t="shared" si="110"/>
        <v>0</v>
      </c>
      <c r="S506" s="46">
        <f t="shared" si="111"/>
        <v>0</v>
      </c>
      <c r="T506" s="46">
        <f>IFERROR(VLOOKUP(A506,'[1]Re-order'!$A:$Q,17,0),"")</f>
        <v>106.36363636363636</v>
      </c>
      <c r="U506" s="46">
        <f>IFERROR(VLOOKUP(A506,'[1]MC Masterlist 2026-09-12'!$B:$M, 10, 0),0)</f>
        <v>15</v>
      </c>
      <c r="V506" s="46">
        <f>IFERROR(VLOOKUP(A506,'[1]MC Masterlist 2026-09-12'!$B:$M, 11, 0),0)</f>
        <v>15</v>
      </c>
      <c r="W506" s="46">
        <f t="shared" si="112"/>
        <v>30</v>
      </c>
      <c r="X506" s="46">
        <f t="shared" si="113"/>
        <v>29.833333333333332</v>
      </c>
      <c r="Y506" s="46">
        <f>IFERROR(IF(OR(C506="AREA I",C506="AREA V"),7,VLOOKUP(A506,'[1]MC Masterlist 2026-09-12'!$B:$M, 12, 0)),0)</f>
        <v>30</v>
      </c>
      <c r="Z506" s="46">
        <f t="shared" si="114"/>
        <v>0.16666666666666666</v>
      </c>
      <c r="AA506" s="46">
        <f t="shared" si="115"/>
        <v>0.33333333333333331</v>
      </c>
      <c r="AB506" s="46">
        <f t="shared" si="116"/>
        <v>0.33148148148148143</v>
      </c>
      <c r="AC506" s="46">
        <f t="shared" si="117"/>
        <v>0.33333333333333331</v>
      </c>
      <c r="AD506" s="44" t="str">
        <f t="shared" si="118"/>
        <v>Stockout</v>
      </c>
      <c r="AE506" s="44" t="str">
        <f>IFERROR(VLOOKUP(A506,'[1]Re-order'!$A:$AA,27,0),"")</f>
        <v>Over</v>
      </c>
      <c r="AF506" s="46">
        <f t="shared" si="119"/>
        <v>0.33333333333333331</v>
      </c>
      <c r="AG506" s="46">
        <f>SUMIFS('[1]Raw Inventory'!D:D,'[1]Raw Inventory'!C:C,"GREATWALL",'[1]Raw Inventory'!B:B,A506)</f>
        <v>1</v>
      </c>
      <c r="AH506" s="46">
        <f>SUMIFS('[1]Raw Inventory'!D:D,'[1]Raw Inventory'!C:C,"DUARTE",'[1]Raw Inventory'!B:B,A506)</f>
        <v>0</v>
      </c>
      <c r="AI506" s="46"/>
      <c r="AJ506" s="46"/>
      <c r="AK506" s="43"/>
      <c r="AL506" s="43"/>
      <c r="AM506" s="43"/>
      <c r="AN506" s="43"/>
      <c r="AO506" s="43"/>
      <c r="AP506" s="43"/>
      <c r="AQ506" s="43"/>
      <c r="AR506" s="43"/>
      <c r="AS506" s="43"/>
      <c r="AT506" s="43"/>
    </row>
    <row r="507" spans="1:46">
      <c r="A507" s="43" t="s">
        <v>28</v>
      </c>
      <c r="B507" s="43" t="s">
        <v>96</v>
      </c>
      <c r="C507" s="43" t="s">
        <v>90</v>
      </c>
      <c r="D507" s="44" t="s">
        <v>237</v>
      </c>
      <c r="E507" s="44">
        <v>7</v>
      </c>
      <c r="F507" s="44" t="s">
        <v>3</v>
      </c>
      <c r="G507" s="43" t="str">
        <f>IFERROR(VLOOKUP(A507,'[1]MC Masterlist 2026-09-12'!$B:$M, 3, 0),"")</f>
        <v>YAMAHA</v>
      </c>
      <c r="H507" s="45">
        <f>IFERROR(VLOOKUP(A507,'[1]MC Masterlist 2026-09-12'!$B:$M, 6, 0),"")</f>
        <v>147312</v>
      </c>
      <c r="I507" s="46">
        <v>0</v>
      </c>
      <c r="J507" s="46">
        <v>0</v>
      </c>
      <c r="K507" s="46">
        <v>0</v>
      </c>
      <c r="L507" s="46">
        <f t="shared" si="105"/>
        <v>0</v>
      </c>
      <c r="M507" s="46">
        <f t="shared" si="106"/>
        <v>0</v>
      </c>
      <c r="N507" s="45">
        <f t="shared" si="107"/>
        <v>0</v>
      </c>
      <c r="O507" s="45">
        <f t="shared" si="108"/>
        <v>0</v>
      </c>
      <c r="P507" s="46">
        <f t="shared" si="109"/>
        <v>0</v>
      </c>
      <c r="Q507" s="46">
        <v>1</v>
      </c>
      <c r="R507" s="45">
        <f t="shared" si="110"/>
        <v>147312</v>
      </c>
      <c r="S507" s="46">
        <f t="shared" si="111"/>
        <v>0</v>
      </c>
      <c r="T507" s="46">
        <f>IFERROR(VLOOKUP(A507,'[1]Re-order'!$A:$Q,17,0),"")</f>
        <v>8.2417582417582427</v>
      </c>
      <c r="U507" s="46">
        <f>IFERROR(VLOOKUP(A507,'[1]MC Masterlist 2026-09-12'!$B:$M, 10, 0),0)</f>
        <v>15</v>
      </c>
      <c r="V507" s="46">
        <f>IFERROR(VLOOKUP(A507,'[1]MC Masterlist 2026-09-12'!$B:$M, 11, 0),0)</f>
        <v>15</v>
      </c>
      <c r="W507" s="46">
        <f t="shared" si="112"/>
        <v>30</v>
      </c>
      <c r="X507" s="46">
        <f t="shared" si="113"/>
        <v>30</v>
      </c>
      <c r="Y507" s="46">
        <f>IFERROR(IF(OR(C507="AREA I",C507="AREA V"),7,VLOOKUP(A507,'[1]MC Masterlist 2026-09-12'!$B:$M, 12, 0)),0)</f>
        <v>30</v>
      </c>
      <c r="Z507" s="46">
        <f t="shared" si="114"/>
        <v>0</v>
      </c>
      <c r="AA507" s="46">
        <f t="shared" si="115"/>
        <v>0</v>
      </c>
      <c r="AB507" s="46">
        <f t="shared" si="116"/>
        <v>0</v>
      </c>
      <c r="AC507" s="46">
        <f t="shared" si="117"/>
        <v>0</v>
      </c>
      <c r="AD507" s="44" t="str">
        <f t="shared" si="118"/>
        <v>Over</v>
      </c>
      <c r="AE507" s="44" t="str">
        <f>IFERROR(VLOOKUP(A507,'[1]Re-order'!$A:$AA,27,0),"")</f>
        <v>Stockout</v>
      </c>
      <c r="AF507" s="46">
        <f t="shared" si="119"/>
        <v>-1</v>
      </c>
      <c r="AG507" s="46">
        <f>SUMIFS('[1]Raw Inventory'!D:D,'[1]Raw Inventory'!C:C,"GREATWALL",'[1]Raw Inventory'!B:B,A507)</f>
        <v>0</v>
      </c>
      <c r="AH507" s="46">
        <f>SUMIFS('[1]Raw Inventory'!D:D,'[1]Raw Inventory'!C:C,"DUARTE",'[1]Raw Inventory'!B:B,A507)</f>
        <v>0</v>
      </c>
      <c r="AI507" s="46"/>
      <c r="AJ507" s="46"/>
      <c r="AK507" s="43"/>
      <c r="AL507" s="43"/>
      <c r="AM507" s="43"/>
      <c r="AN507" s="43"/>
      <c r="AO507" s="43"/>
      <c r="AP507" s="43"/>
      <c r="AQ507" s="43"/>
      <c r="AR507" s="43"/>
      <c r="AS507" s="43"/>
      <c r="AT507" s="43"/>
    </row>
    <row r="508" spans="1:46">
      <c r="A508" s="43" t="s">
        <v>66</v>
      </c>
      <c r="B508" s="43" t="s">
        <v>130</v>
      </c>
      <c r="C508" s="43" t="s">
        <v>128</v>
      </c>
      <c r="D508" s="44" t="s">
        <v>227</v>
      </c>
      <c r="E508" s="44">
        <v>1</v>
      </c>
      <c r="F508" s="44" t="s">
        <v>0</v>
      </c>
      <c r="G508" s="43" t="str">
        <f>IFERROR(VLOOKUP(A508,'[1]MC Masterlist 2026-09-12'!$B:$M, 3, 0),"")</f>
        <v>KAWASAKI</v>
      </c>
      <c r="H508" s="45">
        <f>IFERROR(VLOOKUP(A508,'[1]MC Masterlist 2026-09-12'!$B:$M, 6, 0),"")</f>
        <v>95530</v>
      </c>
      <c r="I508" s="46">
        <v>10</v>
      </c>
      <c r="J508" s="46">
        <v>9</v>
      </c>
      <c r="K508" s="46">
        <v>14</v>
      </c>
      <c r="L508" s="46">
        <f t="shared" si="105"/>
        <v>33</v>
      </c>
      <c r="M508" s="46">
        <f t="shared" si="106"/>
        <v>11</v>
      </c>
      <c r="N508" s="45">
        <f t="shared" si="107"/>
        <v>3152490</v>
      </c>
      <c r="O508" s="45">
        <f t="shared" si="108"/>
        <v>1050830</v>
      </c>
      <c r="P508" s="46">
        <f t="shared" si="109"/>
        <v>0.36666666666666664</v>
      </c>
      <c r="Q508" s="46">
        <v>1</v>
      </c>
      <c r="R508" s="45">
        <f t="shared" si="110"/>
        <v>95530</v>
      </c>
      <c r="S508" s="46">
        <f t="shared" si="111"/>
        <v>2.7272727272727275</v>
      </c>
      <c r="T508" s="46">
        <f>IFERROR(VLOOKUP(A508,'[1]Re-order'!$A:$Q,17,0),"")</f>
        <v>112.7848101265823</v>
      </c>
      <c r="U508" s="46">
        <f>IFERROR(VLOOKUP(A508,'[1]MC Masterlist 2026-09-12'!$B:$M, 10, 0),0)</f>
        <v>15</v>
      </c>
      <c r="V508" s="46">
        <f>IFERROR(VLOOKUP(A508,'[1]MC Masterlist 2026-09-12'!$B:$M, 11, 0),0)</f>
        <v>15</v>
      </c>
      <c r="W508" s="46">
        <f t="shared" si="112"/>
        <v>30</v>
      </c>
      <c r="X508" s="46">
        <f t="shared" si="113"/>
        <v>24.5</v>
      </c>
      <c r="Y508" s="46">
        <f>IFERROR(IF(OR(C508="AREA I",C508="AREA V"),7,VLOOKUP(A508,'[1]MC Masterlist 2026-09-12'!$B:$M, 12, 0)),0)</f>
        <v>30</v>
      </c>
      <c r="Z508" s="46">
        <f t="shared" si="114"/>
        <v>5.5</v>
      </c>
      <c r="AA508" s="46">
        <f t="shared" si="115"/>
        <v>11</v>
      </c>
      <c r="AB508" s="46">
        <f t="shared" si="116"/>
        <v>8.9833333333333325</v>
      </c>
      <c r="AC508" s="46">
        <f t="shared" si="117"/>
        <v>11</v>
      </c>
      <c r="AD508" s="44" t="str">
        <f t="shared" si="118"/>
        <v>Stockout</v>
      </c>
      <c r="AE508" s="44" t="str">
        <f>IFERROR(VLOOKUP(A508,'[1]Re-order'!$A:$AA,27,0),"")</f>
        <v>Over</v>
      </c>
      <c r="AF508" s="46">
        <f t="shared" si="119"/>
        <v>10</v>
      </c>
      <c r="AG508" s="46">
        <f>SUMIFS('[1]Raw Inventory'!D:D,'[1]Raw Inventory'!C:C,"GREATWALL",'[1]Raw Inventory'!B:B,A508)</f>
        <v>64</v>
      </c>
      <c r="AH508" s="46">
        <f>SUMIFS('[1]Raw Inventory'!D:D,'[1]Raw Inventory'!C:C,"DUARTE",'[1]Raw Inventory'!B:B,A508)</f>
        <v>0</v>
      </c>
      <c r="AI508" s="46"/>
      <c r="AJ508" s="46"/>
      <c r="AK508" s="43"/>
      <c r="AL508" s="43"/>
      <c r="AM508" s="43"/>
      <c r="AN508" s="43"/>
      <c r="AO508" s="43"/>
      <c r="AP508" s="43"/>
      <c r="AQ508" s="43"/>
      <c r="AR508" s="43"/>
      <c r="AS508" s="43"/>
      <c r="AT508" s="43"/>
    </row>
    <row r="509" spans="1:46">
      <c r="A509" s="43" t="s">
        <v>66</v>
      </c>
      <c r="B509" s="43" t="s">
        <v>123</v>
      </c>
      <c r="C509" s="43" t="s">
        <v>118</v>
      </c>
      <c r="D509" s="44" t="s">
        <v>253</v>
      </c>
      <c r="E509" s="44">
        <v>25</v>
      </c>
      <c r="F509" s="44" t="s">
        <v>3</v>
      </c>
      <c r="G509" s="43" t="str">
        <f>IFERROR(VLOOKUP(A509,'[1]MC Masterlist 2026-09-12'!$B:$M, 3, 0),"")</f>
        <v>KAWASAKI</v>
      </c>
      <c r="H509" s="45">
        <f>IFERROR(VLOOKUP(A509,'[1]MC Masterlist 2026-09-12'!$B:$M, 6, 0),"")</f>
        <v>95530</v>
      </c>
      <c r="I509" s="46">
        <v>0</v>
      </c>
      <c r="J509" s="46">
        <v>0</v>
      </c>
      <c r="K509" s="46">
        <v>0</v>
      </c>
      <c r="L509" s="46">
        <f t="shared" si="105"/>
        <v>0</v>
      </c>
      <c r="M509" s="46">
        <f t="shared" si="106"/>
        <v>0</v>
      </c>
      <c r="N509" s="45">
        <f t="shared" si="107"/>
        <v>0</v>
      </c>
      <c r="O509" s="45">
        <f t="shared" si="108"/>
        <v>0</v>
      </c>
      <c r="P509" s="46">
        <f t="shared" si="109"/>
        <v>0</v>
      </c>
      <c r="Q509" s="46">
        <v>1</v>
      </c>
      <c r="R509" s="45">
        <f t="shared" si="110"/>
        <v>95530</v>
      </c>
      <c r="S509" s="46">
        <f t="shared" si="111"/>
        <v>0</v>
      </c>
      <c r="T509" s="46">
        <f>IFERROR(VLOOKUP(A509,'[1]Re-order'!$A:$Q,17,0),"")</f>
        <v>112.7848101265823</v>
      </c>
      <c r="U509" s="46">
        <f>IFERROR(VLOOKUP(A509,'[1]MC Masterlist 2026-09-12'!$B:$M, 10, 0),0)</f>
        <v>15</v>
      </c>
      <c r="V509" s="46">
        <f>IFERROR(VLOOKUP(A509,'[1]MC Masterlist 2026-09-12'!$B:$M, 11, 0),0)</f>
        <v>15</v>
      </c>
      <c r="W509" s="46">
        <f t="shared" si="112"/>
        <v>30</v>
      </c>
      <c r="X509" s="46">
        <f t="shared" si="113"/>
        <v>30</v>
      </c>
      <c r="Y509" s="46">
        <f>IFERROR(IF(OR(C509="AREA I",C509="AREA V"),7,VLOOKUP(A509,'[1]MC Masterlist 2026-09-12'!$B:$M, 12, 0)),0)</f>
        <v>30</v>
      </c>
      <c r="Z509" s="46">
        <f t="shared" si="114"/>
        <v>0</v>
      </c>
      <c r="AA509" s="46">
        <f t="shared" si="115"/>
        <v>0</v>
      </c>
      <c r="AB509" s="46">
        <f t="shared" si="116"/>
        <v>0</v>
      </c>
      <c r="AC509" s="46">
        <f t="shared" si="117"/>
        <v>0</v>
      </c>
      <c r="AD509" s="44" t="str">
        <f t="shared" si="118"/>
        <v>Over</v>
      </c>
      <c r="AE509" s="44" t="str">
        <f>IFERROR(VLOOKUP(A509,'[1]Re-order'!$A:$AA,27,0),"")</f>
        <v>Over</v>
      </c>
      <c r="AF509" s="46">
        <f t="shared" si="119"/>
        <v>-1</v>
      </c>
      <c r="AG509" s="46">
        <f>SUMIFS('[1]Raw Inventory'!D:D,'[1]Raw Inventory'!C:C,"GREATWALL",'[1]Raw Inventory'!B:B,A509)</f>
        <v>64</v>
      </c>
      <c r="AH509" s="46">
        <f>SUMIFS('[1]Raw Inventory'!D:D,'[1]Raw Inventory'!C:C,"DUARTE",'[1]Raw Inventory'!B:B,A509)</f>
        <v>0</v>
      </c>
      <c r="AI509" s="46"/>
      <c r="AJ509" s="46"/>
      <c r="AK509" s="43"/>
      <c r="AL509" s="43"/>
      <c r="AM509" s="43"/>
      <c r="AN509" s="43"/>
      <c r="AO509" s="43"/>
      <c r="AP509" s="43"/>
      <c r="AQ509" s="43"/>
      <c r="AR509" s="43"/>
      <c r="AS509" s="43"/>
      <c r="AT509" s="43"/>
    </row>
    <row r="510" spans="1:46">
      <c r="A510" s="43" t="s">
        <v>78</v>
      </c>
      <c r="B510" s="43" t="s">
        <v>156</v>
      </c>
      <c r="C510" s="43" t="s">
        <v>152</v>
      </c>
      <c r="D510" s="44" t="s">
        <v>241</v>
      </c>
      <c r="E510" s="44">
        <v>20</v>
      </c>
      <c r="F510" s="44" t="s">
        <v>3</v>
      </c>
      <c r="G510" s="43" t="str">
        <f>IFERROR(VLOOKUP(A510,'[1]MC Masterlist 2026-09-12'!$B:$M, 3, 0),"")</f>
        <v>KAWASAKI</v>
      </c>
      <c r="H510" s="45">
        <f>IFERROR(VLOOKUP(A510,'[1]MC Masterlist 2026-09-12'!$B:$M, 6, 0),"")</f>
        <v>100700</v>
      </c>
      <c r="I510" s="46">
        <v>1</v>
      </c>
      <c r="J510" s="46">
        <v>0</v>
      </c>
      <c r="K510" s="46">
        <v>0</v>
      </c>
      <c r="L510" s="46">
        <f t="shared" si="105"/>
        <v>1</v>
      </c>
      <c r="M510" s="46">
        <f t="shared" si="106"/>
        <v>0.33333333333333331</v>
      </c>
      <c r="N510" s="45">
        <f t="shared" si="107"/>
        <v>100700</v>
      </c>
      <c r="O510" s="45">
        <f t="shared" si="108"/>
        <v>33566.666666666664</v>
      </c>
      <c r="P510" s="46">
        <f t="shared" si="109"/>
        <v>1.111111111111111E-2</v>
      </c>
      <c r="Q510" s="46">
        <v>1</v>
      </c>
      <c r="R510" s="45">
        <f t="shared" si="110"/>
        <v>100700</v>
      </c>
      <c r="S510" s="46">
        <f t="shared" si="111"/>
        <v>90</v>
      </c>
      <c r="T510" s="46">
        <f>IFERROR(VLOOKUP(A510,'[1]Re-order'!$A:$Q,17,0),"")</f>
        <v>438.75000000000006</v>
      </c>
      <c r="U510" s="46">
        <f>IFERROR(VLOOKUP(A510,'[1]MC Masterlist 2026-09-12'!$B:$M, 10, 0),0)</f>
        <v>15</v>
      </c>
      <c r="V510" s="46">
        <f>IFERROR(VLOOKUP(A510,'[1]MC Masterlist 2026-09-12'!$B:$M, 11, 0),0)</f>
        <v>15</v>
      </c>
      <c r="W510" s="46">
        <f t="shared" si="112"/>
        <v>30</v>
      </c>
      <c r="X510" s="46">
        <f t="shared" si="113"/>
        <v>29.833333333333332</v>
      </c>
      <c r="Y510" s="46">
        <f>IFERROR(IF(OR(C510="AREA I",C510="AREA V"),7,VLOOKUP(A510,'[1]MC Masterlist 2026-09-12'!$B:$M, 12, 0)),0)</f>
        <v>30</v>
      </c>
      <c r="Z510" s="46">
        <f t="shared" si="114"/>
        <v>0.16666666666666666</v>
      </c>
      <c r="AA510" s="46">
        <f t="shared" si="115"/>
        <v>0.33333333333333331</v>
      </c>
      <c r="AB510" s="46">
        <f t="shared" si="116"/>
        <v>0.33148148148148143</v>
      </c>
      <c r="AC510" s="46">
        <f t="shared" si="117"/>
        <v>0.33333333333333331</v>
      </c>
      <c r="AD510" s="44" t="str">
        <f t="shared" si="118"/>
        <v>Over</v>
      </c>
      <c r="AE510" s="44" t="str">
        <f>IFERROR(VLOOKUP(A510,'[1]Re-order'!$A:$AA,27,0),"")</f>
        <v>Over</v>
      </c>
      <c r="AF510" s="46">
        <f t="shared" si="119"/>
        <v>-0.66666666666666674</v>
      </c>
      <c r="AG510" s="46">
        <f>SUMIFS('[1]Raw Inventory'!D:D,'[1]Raw Inventory'!C:C,"GREATWALL",'[1]Raw Inventory'!B:B,A510)</f>
        <v>26</v>
      </c>
      <c r="AH510" s="46">
        <f>SUMIFS('[1]Raw Inventory'!D:D,'[1]Raw Inventory'!C:C,"DUARTE",'[1]Raw Inventory'!B:B,A510)</f>
        <v>0</v>
      </c>
      <c r="AI510" s="46"/>
      <c r="AJ510" s="46"/>
      <c r="AK510" s="43"/>
      <c r="AL510" s="43"/>
      <c r="AM510" s="43"/>
      <c r="AN510" s="43"/>
      <c r="AO510" s="43"/>
      <c r="AP510" s="43"/>
      <c r="AQ510" s="43"/>
      <c r="AR510" s="43"/>
      <c r="AS510" s="43"/>
      <c r="AT510" s="43"/>
    </row>
    <row r="511" spans="1:46">
      <c r="A511" s="43" t="s">
        <v>37</v>
      </c>
      <c r="B511" s="43" t="s">
        <v>146</v>
      </c>
      <c r="C511" s="43" t="s">
        <v>137</v>
      </c>
      <c r="D511" s="44" t="s">
        <v>246</v>
      </c>
      <c r="E511" s="44">
        <v>13</v>
      </c>
      <c r="F511" s="44" t="s">
        <v>2</v>
      </c>
      <c r="G511" s="43" t="str">
        <f>IFERROR(VLOOKUP(A511,'[1]MC Masterlist 2026-09-12'!$B:$M, 3, 0),"")</f>
        <v>HONDA</v>
      </c>
      <c r="H511" s="45">
        <f>IFERROR(VLOOKUP(A511,'[1]MC Masterlist 2026-09-12'!$B:$M, 6, 0),"")</f>
        <v>74550</v>
      </c>
      <c r="I511" s="46">
        <v>1</v>
      </c>
      <c r="J511" s="46">
        <v>1</v>
      </c>
      <c r="K511" s="46">
        <v>1</v>
      </c>
      <c r="L511" s="46">
        <f t="shared" si="105"/>
        <v>3</v>
      </c>
      <c r="M511" s="46">
        <f t="shared" si="106"/>
        <v>1</v>
      </c>
      <c r="N511" s="45">
        <f t="shared" si="107"/>
        <v>223650</v>
      </c>
      <c r="O511" s="45">
        <f t="shared" si="108"/>
        <v>74550</v>
      </c>
      <c r="P511" s="46">
        <f t="shared" si="109"/>
        <v>3.3333333333333333E-2</v>
      </c>
      <c r="Q511" s="46"/>
      <c r="R511" s="45">
        <f t="shared" si="110"/>
        <v>0</v>
      </c>
      <c r="S511" s="46">
        <f t="shared" si="111"/>
        <v>0</v>
      </c>
      <c r="T511" s="46">
        <f>IFERROR(VLOOKUP(A511,'[1]Re-order'!$A:$Q,17,0),"")</f>
        <v>33.652173913043477</v>
      </c>
      <c r="U511" s="46">
        <f>IFERROR(VLOOKUP(A511,'[1]MC Masterlist 2026-09-12'!$B:$M, 10, 0),0)</f>
        <v>15</v>
      </c>
      <c r="V511" s="46">
        <f>IFERROR(VLOOKUP(A511,'[1]MC Masterlist 2026-09-12'!$B:$M, 11, 0),0)</f>
        <v>15</v>
      </c>
      <c r="W511" s="46">
        <f t="shared" si="112"/>
        <v>30</v>
      </c>
      <c r="X511" s="46">
        <f t="shared" si="113"/>
        <v>6.5</v>
      </c>
      <c r="Y511" s="46">
        <f>IFERROR(IF(OR(C511="AREA I",C511="AREA V"),7,VLOOKUP(A511,'[1]MC Masterlist 2026-09-12'!$B:$M, 12, 0)),0)</f>
        <v>7</v>
      </c>
      <c r="Z511" s="46">
        <f t="shared" si="114"/>
        <v>0.5</v>
      </c>
      <c r="AA511" s="46">
        <f t="shared" si="115"/>
        <v>1</v>
      </c>
      <c r="AB511" s="46">
        <f t="shared" si="116"/>
        <v>0.21666666666666667</v>
      </c>
      <c r="AC511" s="46">
        <f t="shared" si="117"/>
        <v>0.23333333333333334</v>
      </c>
      <c r="AD511" s="44" t="str">
        <f t="shared" si="118"/>
        <v>Stockout</v>
      </c>
      <c r="AE511" s="44" t="str">
        <f>IFERROR(VLOOKUP(A511,'[1]Re-order'!$A:$AA,27,0),"")</f>
        <v>Re-order</v>
      </c>
      <c r="AF511" s="46">
        <f t="shared" si="119"/>
        <v>0.23333333333333334</v>
      </c>
      <c r="AG511" s="46">
        <f>SUMIFS('[1]Raw Inventory'!D:D,'[1]Raw Inventory'!C:C,"GREATWALL",'[1]Raw Inventory'!B:B,A511)</f>
        <v>28</v>
      </c>
      <c r="AH511" s="46">
        <f>SUMIFS('[1]Raw Inventory'!D:D,'[1]Raw Inventory'!C:C,"DUARTE",'[1]Raw Inventory'!B:B,A511)</f>
        <v>0</v>
      </c>
      <c r="AI511" s="46"/>
      <c r="AJ511" s="46"/>
      <c r="AK511" s="43"/>
      <c r="AL511" s="43"/>
      <c r="AM511" s="43"/>
      <c r="AN511" s="43"/>
      <c r="AO511" s="43"/>
      <c r="AP511" s="43"/>
      <c r="AQ511" s="43"/>
      <c r="AR511" s="43"/>
      <c r="AS511" s="43"/>
      <c r="AT511" s="43"/>
    </row>
    <row r="512" spans="1:46">
      <c r="A512" s="43" t="s">
        <v>74</v>
      </c>
      <c r="B512" s="43" t="s">
        <v>113</v>
      </c>
      <c r="C512" s="43" t="s">
        <v>109</v>
      </c>
      <c r="D512" s="44" t="s">
        <v>232</v>
      </c>
      <c r="E512" s="44">
        <v>33</v>
      </c>
      <c r="F512" s="44" t="s">
        <v>3</v>
      </c>
      <c r="G512" s="43" t="str">
        <f>IFERROR(VLOOKUP(A512,'[1]MC Masterlist 2026-09-12'!$B:$M, 3, 0),"")</f>
        <v>SKYGO</v>
      </c>
      <c r="H512" s="45">
        <f>IFERROR(VLOOKUP(A512,'[1]MC Masterlist 2026-09-12'!$B:$M, 6, 0),"")</f>
        <v>98325</v>
      </c>
      <c r="I512" s="46">
        <v>0</v>
      </c>
      <c r="J512" s="46">
        <v>0</v>
      </c>
      <c r="K512" s="46">
        <v>0</v>
      </c>
      <c r="L512" s="46">
        <f t="shared" si="105"/>
        <v>0</v>
      </c>
      <c r="M512" s="46">
        <f t="shared" si="106"/>
        <v>0</v>
      </c>
      <c r="N512" s="45">
        <f t="shared" si="107"/>
        <v>0</v>
      </c>
      <c r="O512" s="45">
        <f t="shared" si="108"/>
        <v>0</v>
      </c>
      <c r="P512" s="46">
        <f t="shared" si="109"/>
        <v>0</v>
      </c>
      <c r="Q512" s="46">
        <v>1</v>
      </c>
      <c r="R512" s="45">
        <f t="shared" si="110"/>
        <v>98325</v>
      </c>
      <c r="S512" s="46">
        <f t="shared" si="111"/>
        <v>0</v>
      </c>
      <c r="T512" s="46" t="str">
        <f>IFERROR(VLOOKUP(A512,'[1]Re-order'!$A:$Q,17,0),"")</f>
        <v/>
      </c>
      <c r="U512" s="46">
        <f>IFERROR(VLOOKUP(A512,'[1]MC Masterlist 2026-09-12'!$B:$M, 10, 0),0)</f>
        <v>15</v>
      </c>
      <c r="V512" s="46">
        <f>IFERROR(VLOOKUP(A512,'[1]MC Masterlist 2026-09-12'!$B:$M, 11, 0),0)</f>
        <v>15</v>
      </c>
      <c r="W512" s="46">
        <f t="shared" si="112"/>
        <v>30</v>
      </c>
      <c r="X512" s="46">
        <f t="shared" si="113"/>
        <v>30</v>
      </c>
      <c r="Y512" s="46">
        <f>IFERROR(IF(OR(C512="AREA I",C512="AREA V"),7,VLOOKUP(A512,'[1]MC Masterlist 2026-09-12'!$B:$M, 12, 0)),0)</f>
        <v>30</v>
      </c>
      <c r="Z512" s="46">
        <f t="shared" si="114"/>
        <v>0</v>
      </c>
      <c r="AA512" s="46">
        <f t="shared" si="115"/>
        <v>0</v>
      </c>
      <c r="AB512" s="46">
        <f t="shared" si="116"/>
        <v>0</v>
      </c>
      <c r="AC512" s="46">
        <f t="shared" si="117"/>
        <v>0</v>
      </c>
      <c r="AD512" s="44" t="str">
        <f t="shared" si="118"/>
        <v>Over</v>
      </c>
      <c r="AE512" s="44" t="str">
        <f>IFERROR(VLOOKUP(A512,'[1]Re-order'!$A:$AA,27,0),"")</f>
        <v>Over</v>
      </c>
      <c r="AF512" s="46">
        <f t="shared" si="119"/>
        <v>-1</v>
      </c>
      <c r="AG512" s="46">
        <f>SUMIFS('[1]Raw Inventory'!D:D,'[1]Raw Inventory'!C:C,"GREATWALL",'[1]Raw Inventory'!B:B,A512)</f>
        <v>0</v>
      </c>
      <c r="AH512" s="46">
        <f>SUMIFS('[1]Raw Inventory'!D:D,'[1]Raw Inventory'!C:C,"DUARTE",'[1]Raw Inventory'!B:B,A512)</f>
        <v>0</v>
      </c>
      <c r="AI512" s="46"/>
      <c r="AJ512" s="46"/>
      <c r="AK512" s="43"/>
      <c r="AL512" s="43"/>
      <c r="AM512" s="43"/>
      <c r="AN512" s="43"/>
      <c r="AO512" s="43"/>
      <c r="AP512" s="43"/>
      <c r="AQ512" s="43"/>
      <c r="AR512" s="43"/>
      <c r="AS512" s="43"/>
      <c r="AT512" s="43"/>
    </row>
    <row r="513" spans="1:46">
      <c r="A513" s="43" t="s">
        <v>20</v>
      </c>
      <c r="B513" s="43" t="s">
        <v>144</v>
      </c>
      <c r="C513" s="43" t="s">
        <v>137</v>
      </c>
      <c r="D513" s="44" t="s">
        <v>233</v>
      </c>
      <c r="E513" s="44">
        <v>10</v>
      </c>
      <c r="F513" s="44" t="s">
        <v>2</v>
      </c>
      <c r="G513" s="43" t="str">
        <f>IFERROR(VLOOKUP(A513,'[1]MC Masterlist 2026-09-12'!$B:$M, 3, 0),"")</f>
        <v>HONDA</v>
      </c>
      <c r="H513" s="45">
        <f>IFERROR(VLOOKUP(A513,'[1]MC Masterlist 2026-09-12'!$B:$M, 6, 0),"")</f>
        <v>69950</v>
      </c>
      <c r="I513" s="46">
        <v>5</v>
      </c>
      <c r="J513" s="46">
        <v>0</v>
      </c>
      <c r="K513" s="46">
        <v>6</v>
      </c>
      <c r="L513" s="46">
        <f t="shared" si="105"/>
        <v>11</v>
      </c>
      <c r="M513" s="46">
        <f t="shared" si="106"/>
        <v>3.6666666666666665</v>
      </c>
      <c r="N513" s="45">
        <f t="shared" si="107"/>
        <v>769450</v>
      </c>
      <c r="O513" s="45">
        <f t="shared" si="108"/>
        <v>256483.33333333331</v>
      </c>
      <c r="P513" s="46">
        <f t="shared" si="109"/>
        <v>0.12222222222222222</v>
      </c>
      <c r="Q513" s="46">
        <v>4</v>
      </c>
      <c r="R513" s="45">
        <f t="shared" si="110"/>
        <v>279800</v>
      </c>
      <c r="S513" s="46">
        <f t="shared" si="111"/>
        <v>32.727272727272734</v>
      </c>
      <c r="T513" s="46">
        <f>IFERROR(VLOOKUP(A513,'[1]Re-order'!$A:$Q,17,0),"")</f>
        <v>75.775862068965523</v>
      </c>
      <c r="U513" s="46">
        <f>IFERROR(VLOOKUP(A513,'[1]MC Masterlist 2026-09-12'!$B:$M, 10, 0),0)</f>
        <v>15</v>
      </c>
      <c r="V513" s="46">
        <f>IFERROR(VLOOKUP(A513,'[1]MC Masterlist 2026-09-12'!$B:$M, 11, 0),0)</f>
        <v>15</v>
      </c>
      <c r="W513" s="46">
        <f t="shared" si="112"/>
        <v>30</v>
      </c>
      <c r="X513" s="46">
        <f t="shared" si="113"/>
        <v>5.166666666666667</v>
      </c>
      <c r="Y513" s="46">
        <f>IFERROR(IF(OR(C513="AREA I",C513="AREA V"),7,VLOOKUP(A513,'[1]MC Masterlist 2026-09-12'!$B:$M, 12, 0)),0)</f>
        <v>7</v>
      </c>
      <c r="Z513" s="46">
        <f t="shared" si="114"/>
        <v>1.8333333333333333</v>
      </c>
      <c r="AA513" s="46">
        <f t="shared" si="115"/>
        <v>3.6666666666666665</v>
      </c>
      <c r="AB513" s="46">
        <f t="shared" si="116"/>
        <v>0.63148148148148153</v>
      </c>
      <c r="AC513" s="46">
        <f t="shared" si="117"/>
        <v>0.85555555555555551</v>
      </c>
      <c r="AD513" s="44" t="str">
        <f t="shared" si="118"/>
        <v>Over</v>
      </c>
      <c r="AE513" s="44" t="str">
        <f>IFERROR(VLOOKUP(A513,'[1]Re-order'!$A:$AA,27,0),"")</f>
        <v/>
      </c>
      <c r="AF513" s="46">
        <f t="shared" si="119"/>
        <v>-3.1444444444444444</v>
      </c>
      <c r="AG513" s="46">
        <f>SUMIFS('[1]Raw Inventory'!D:D,'[1]Raw Inventory'!C:C,"GREATWALL",'[1]Raw Inventory'!B:B,A513)</f>
        <v>110</v>
      </c>
      <c r="AH513" s="46">
        <f>SUMIFS('[1]Raw Inventory'!D:D,'[1]Raw Inventory'!C:C,"DUARTE",'[1]Raw Inventory'!B:B,A513)</f>
        <v>0</v>
      </c>
      <c r="AI513" s="46"/>
      <c r="AJ513" s="46"/>
      <c r="AK513" s="43"/>
      <c r="AL513" s="43"/>
      <c r="AM513" s="43"/>
      <c r="AN513" s="43"/>
      <c r="AO513" s="43"/>
      <c r="AP513" s="43"/>
      <c r="AQ513" s="43"/>
      <c r="AR513" s="43"/>
      <c r="AS513" s="43"/>
      <c r="AT513" s="43"/>
    </row>
    <row r="514" spans="1:46">
      <c r="A514" s="43" t="s">
        <v>35</v>
      </c>
      <c r="B514" s="43" t="s">
        <v>132</v>
      </c>
      <c r="C514" s="43" t="s">
        <v>128</v>
      </c>
      <c r="D514" s="44" t="s">
        <v>237</v>
      </c>
      <c r="E514" s="44">
        <v>28</v>
      </c>
      <c r="F514" s="44" t="s">
        <v>3</v>
      </c>
      <c r="G514" s="43" t="str">
        <f>IFERROR(VLOOKUP(A514,'[1]MC Masterlist 2026-09-12'!$B:$M, 3, 0),"")</f>
        <v>HONDA</v>
      </c>
      <c r="H514" s="45">
        <f>IFERROR(VLOOKUP(A514,'[1]MC Masterlist 2026-09-12'!$B:$M, 6, 0),"")</f>
        <v>57990</v>
      </c>
      <c r="I514" s="46">
        <v>0</v>
      </c>
      <c r="J514" s="46">
        <v>1</v>
      </c>
      <c r="K514" s="46">
        <v>0</v>
      </c>
      <c r="L514" s="46">
        <f t="shared" si="105"/>
        <v>1</v>
      </c>
      <c r="M514" s="46">
        <f t="shared" si="106"/>
        <v>0.33333333333333331</v>
      </c>
      <c r="N514" s="45">
        <f t="shared" si="107"/>
        <v>57990</v>
      </c>
      <c r="O514" s="45">
        <f t="shared" si="108"/>
        <v>19330</v>
      </c>
      <c r="P514" s="46">
        <f t="shared" si="109"/>
        <v>1.111111111111111E-2</v>
      </c>
      <c r="Q514" s="46">
        <v>1</v>
      </c>
      <c r="R514" s="45">
        <f t="shared" si="110"/>
        <v>57990</v>
      </c>
      <c r="S514" s="46">
        <f t="shared" si="111"/>
        <v>90</v>
      </c>
      <c r="T514" s="46">
        <f>IFERROR(VLOOKUP(A514,'[1]Re-order'!$A:$Q,17,0),"")</f>
        <v>68.275862068965523</v>
      </c>
      <c r="U514" s="46">
        <f>IFERROR(VLOOKUP(A514,'[1]MC Masterlist 2026-09-12'!$B:$M, 10, 0),0)</f>
        <v>15</v>
      </c>
      <c r="V514" s="46">
        <f>IFERROR(VLOOKUP(A514,'[1]MC Masterlist 2026-09-12'!$B:$M, 11, 0),0)</f>
        <v>15</v>
      </c>
      <c r="W514" s="46">
        <f t="shared" si="112"/>
        <v>30</v>
      </c>
      <c r="X514" s="46">
        <f t="shared" si="113"/>
        <v>29.833333333333332</v>
      </c>
      <c r="Y514" s="46">
        <f>IFERROR(IF(OR(C514="AREA I",C514="AREA V"),7,VLOOKUP(A514,'[1]MC Masterlist 2026-09-12'!$B:$M, 12, 0)),0)</f>
        <v>30</v>
      </c>
      <c r="Z514" s="46">
        <f t="shared" si="114"/>
        <v>0.16666666666666666</v>
      </c>
      <c r="AA514" s="46">
        <f t="shared" si="115"/>
        <v>0.33333333333333331</v>
      </c>
      <c r="AB514" s="46">
        <f t="shared" si="116"/>
        <v>0.33148148148148143</v>
      </c>
      <c r="AC514" s="46">
        <f t="shared" si="117"/>
        <v>0.33333333333333331</v>
      </c>
      <c r="AD514" s="44" t="str">
        <f t="shared" si="118"/>
        <v>Over</v>
      </c>
      <c r="AE514" s="44" t="str">
        <f>IFERROR(VLOOKUP(A514,'[1]Re-order'!$A:$AA,27,0),"")</f>
        <v>Re-order</v>
      </c>
      <c r="AF514" s="46">
        <f t="shared" si="119"/>
        <v>-0.66666666666666674</v>
      </c>
      <c r="AG514" s="46">
        <f>SUMIFS('[1]Raw Inventory'!D:D,'[1]Raw Inventory'!C:C,"GREATWALL",'[1]Raw Inventory'!B:B,A514)</f>
        <v>29</v>
      </c>
      <c r="AH514" s="46">
        <f>SUMIFS('[1]Raw Inventory'!D:D,'[1]Raw Inventory'!C:C,"DUARTE",'[1]Raw Inventory'!B:B,A514)</f>
        <v>0</v>
      </c>
      <c r="AI514" s="46"/>
      <c r="AJ514" s="46"/>
      <c r="AK514" s="43"/>
      <c r="AL514" s="43"/>
      <c r="AM514" s="43"/>
      <c r="AN514" s="43"/>
      <c r="AO514" s="43"/>
      <c r="AP514" s="43"/>
      <c r="AQ514" s="43"/>
      <c r="AR514" s="43"/>
      <c r="AS514" s="43"/>
      <c r="AT514" s="43"/>
    </row>
    <row r="515" spans="1:46">
      <c r="A515" s="43" t="s">
        <v>42</v>
      </c>
      <c r="B515" s="43" t="s">
        <v>131</v>
      </c>
      <c r="C515" s="43" t="s">
        <v>128</v>
      </c>
      <c r="D515" s="44" t="s">
        <v>221</v>
      </c>
      <c r="E515" s="44">
        <v>16</v>
      </c>
      <c r="F515" s="44" t="s">
        <v>3</v>
      </c>
      <c r="G515" s="43" t="str">
        <f>IFERROR(VLOOKUP(A515,'[1]MC Masterlist 2026-09-12'!$B:$M, 3, 0),"")</f>
        <v>YAMAHA</v>
      </c>
      <c r="H515" s="45">
        <f>IFERROR(VLOOKUP(A515,'[1]MC Masterlist 2026-09-12'!$B:$M, 6, 0),"")</f>
        <v>152892</v>
      </c>
      <c r="I515" s="46">
        <v>0</v>
      </c>
      <c r="J515" s="46">
        <v>1</v>
      </c>
      <c r="K515" s="46">
        <v>0</v>
      </c>
      <c r="L515" s="46">
        <f t="shared" ref="L515:L578" si="120">I515+J515+K515</f>
        <v>1</v>
      </c>
      <c r="M515" s="46">
        <f t="shared" ref="M515:M578" si="121">AVERAGE(I515,J515,K515)</f>
        <v>0.33333333333333331</v>
      </c>
      <c r="N515" s="45">
        <f t="shared" ref="N515:N578" si="122">L515*H515</f>
        <v>152892</v>
      </c>
      <c r="O515" s="45">
        <f t="shared" ref="O515:O578" si="123">M515*H515</f>
        <v>50964</v>
      </c>
      <c r="P515" s="46">
        <f t="shared" ref="P515:P578" si="124">M515/30</f>
        <v>1.111111111111111E-2</v>
      </c>
      <c r="Q515" s="46">
        <v>1</v>
      </c>
      <c r="R515" s="45">
        <f t="shared" ref="R515:R578" si="125">IFERROR(Q515*H515, 0)</f>
        <v>152892</v>
      </c>
      <c r="S515" s="46">
        <f t="shared" ref="S515:S578" si="126">IFERROR(R515/(O515)*30, 0)</f>
        <v>90</v>
      </c>
      <c r="T515" s="46">
        <f>IFERROR(VLOOKUP(A515,'[1]Re-order'!$A:$Q,17,0),"")</f>
        <v>104.55882352941177</v>
      </c>
      <c r="U515" s="46">
        <f>IFERROR(VLOOKUP(A515,'[1]MC Masterlist 2026-09-12'!$B:$M, 10, 0),0)</f>
        <v>15</v>
      </c>
      <c r="V515" s="46">
        <f>IFERROR(VLOOKUP(A515,'[1]MC Masterlist 2026-09-12'!$B:$M, 11, 0),0)</f>
        <v>15</v>
      </c>
      <c r="W515" s="46">
        <f t="shared" ref="W515:W578" si="127">U515+V515</f>
        <v>30</v>
      </c>
      <c r="X515" s="46">
        <f t="shared" ref="X515:X578" si="128">Y515-Z515</f>
        <v>29.833333333333332</v>
      </c>
      <c r="Y515" s="46">
        <f>IFERROR(IF(OR(C515="AREA I",C515="AREA V"),7,VLOOKUP(A515,'[1]MC Masterlist 2026-09-12'!$B:$M, 12, 0)),0)</f>
        <v>30</v>
      </c>
      <c r="Z515" s="46">
        <f t="shared" ref="Z515:Z578" si="129">V515*P515</f>
        <v>0.16666666666666666</v>
      </c>
      <c r="AA515" s="46">
        <f t="shared" ref="AA515:AA578" si="130">W515*P515</f>
        <v>0.33333333333333331</v>
      </c>
      <c r="AB515" s="46">
        <f t="shared" ref="AB515:AB578" si="131">X515*P515</f>
        <v>0.33148148148148143</v>
      </c>
      <c r="AC515" s="46">
        <f t="shared" ref="AC515:AC578" si="132">Y515*P515</f>
        <v>0.33333333333333331</v>
      </c>
      <c r="AD515" s="44" t="str">
        <f t="shared" ref="AD515:AD578" si="133">IFERROR(IF(Q515&gt;AC515, "Over", IF(Q515&lt;=Z515, "Stockout", IF(Q515&lt;=AA515, "Re-order",""))), "")</f>
        <v>Over</v>
      </c>
      <c r="AE515" s="44" t="str">
        <f>IFERROR(VLOOKUP(A515,'[1]Re-order'!$A:$AA,27,0),"")</f>
        <v>Over</v>
      </c>
      <c r="AF515" s="46">
        <f t="shared" ref="AF515:AF578" si="134">AC515-Q515</f>
        <v>-0.66666666666666674</v>
      </c>
      <c r="AG515" s="46">
        <f>SUMIFS('[1]Raw Inventory'!D:D,'[1]Raw Inventory'!C:C,"GREATWALL",'[1]Raw Inventory'!B:B,A515)</f>
        <v>3</v>
      </c>
      <c r="AH515" s="46">
        <f>SUMIFS('[1]Raw Inventory'!D:D,'[1]Raw Inventory'!C:C,"DUARTE",'[1]Raw Inventory'!B:B,A515)</f>
        <v>0</v>
      </c>
      <c r="AI515" s="46"/>
      <c r="AJ515" s="46"/>
      <c r="AK515" s="43"/>
      <c r="AL515" s="43"/>
      <c r="AM515" s="43"/>
      <c r="AN515" s="43"/>
      <c r="AO515" s="43"/>
      <c r="AP515" s="43"/>
      <c r="AQ515" s="43"/>
      <c r="AR515" s="43"/>
      <c r="AS515" s="43"/>
      <c r="AT515" s="43"/>
    </row>
    <row r="516" spans="1:46">
      <c r="A516" s="43" t="s">
        <v>22</v>
      </c>
      <c r="B516" s="43" t="s">
        <v>144</v>
      </c>
      <c r="C516" s="43" t="s">
        <v>137</v>
      </c>
      <c r="D516" s="44" t="s">
        <v>224</v>
      </c>
      <c r="E516" s="44">
        <v>11</v>
      </c>
      <c r="F516" s="44" t="s">
        <v>2</v>
      </c>
      <c r="G516" s="43" t="str">
        <f>IFERROR(VLOOKUP(A516,'[1]MC Masterlist 2026-09-12'!$B:$M, 3, 0),"")</f>
        <v>HONDA</v>
      </c>
      <c r="H516" s="45">
        <f>IFERROR(VLOOKUP(A516,'[1]MC Masterlist 2026-09-12'!$B:$M, 6, 0),"")</f>
        <v>111258</v>
      </c>
      <c r="I516" s="46">
        <v>1</v>
      </c>
      <c r="J516" s="46">
        <v>2</v>
      </c>
      <c r="K516" s="46">
        <v>3</v>
      </c>
      <c r="L516" s="46">
        <f t="shared" si="120"/>
        <v>6</v>
      </c>
      <c r="M516" s="46">
        <f t="shared" si="121"/>
        <v>2</v>
      </c>
      <c r="N516" s="45">
        <f t="shared" si="122"/>
        <v>667548</v>
      </c>
      <c r="O516" s="45">
        <f t="shared" si="123"/>
        <v>222516</v>
      </c>
      <c r="P516" s="46">
        <f t="shared" si="124"/>
        <v>6.6666666666666666E-2</v>
      </c>
      <c r="Q516" s="46"/>
      <c r="R516" s="45">
        <f t="shared" si="125"/>
        <v>0</v>
      </c>
      <c r="S516" s="46">
        <f t="shared" si="126"/>
        <v>0</v>
      </c>
      <c r="T516" s="46">
        <f>IFERROR(VLOOKUP(A516,'[1]Re-order'!$A:$Q,17,0),"")</f>
        <v>41.339712918660283</v>
      </c>
      <c r="U516" s="46">
        <f>IFERROR(VLOOKUP(A516,'[1]MC Masterlist 2026-09-12'!$B:$M, 10, 0),0)</f>
        <v>15</v>
      </c>
      <c r="V516" s="46">
        <f>IFERROR(VLOOKUP(A516,'[1]MC Masterlist 2026-09-12'!$B:$M, 11, 0),0)</f>
        <v>15</v>
      </c>
      <c r="W516" s="46">
        <f t="shared" si="127"/>
        <v>30</v>
      </c>
      <c r="X516" s="46">
        <f t="shared" si="128"/>
        <v>6</v>
      </c>
      <c r="Y516" s="46">
        <f>IFERROR(IF(OR(C516="AREA I",C516="AREA V"),7,VLOOKUP(A516,'[1]MC Masterlist 2026-09-12'!$B:$M, 12, 0)),0)</f>
        <v>7</v>
      </c>
      <c r="Z516" s="46">
        <f t="shared" si="129"/>
        <v>1</v>
      </c>
      <c r="AA516" s="46">
        <f t="shared" si="130"/>
        <v>2</v>
      </c>
      <c r="AB516" s="46">
        <f t="shared" si="131"/>
        <v>0.4</v>
      </c>
      <c r="AC516" s="46">
        <f t="shared" si="132"/>
        <v>0.46666666666666667</v>
      </c>
      <c r="AD516" s="44" t="str">
        <f t="shared" si="133"/>
        <v>Stockout</v>
      </c>
      <c r="AE516" s="44" t="str">
        <f>IFERROR(VLOOKUP(A516,'[1]Re-order'!$A:$AA,27,0),"")</f>
        <v>Re-order</v>
      </c>
      <c r="AF516" s="46">
        <f t="shared" si="134"/>
        <v>0.46666666666666667</v>
      </c>
      <c r="AG516" s="46">
        <f>SUMIFS('[1]Raw Inventory'!D:D,'[1]Raw Inventory'!C:C,"GREATWALL",'[1]Raw Inventory'!B:B,A516)</f>
        <v>4</v>
      </c>
      <c r="AH516" s="46">
        <f>SUMIFS('[1]Raw Inventory'!D:D,'[1]Raw Inventory'!C:C,"DUARTE",'[1]Raw Inventory'!B:B,A516)</f>
        <v>0</v>
      </c>
      <c r="AI516" s="46"/>
      <c r="AJ516" s="46"/>
      <c r="AK516" s="43"/>
      <c r="AL516" s="43"/>
      <c r="AM516" s="43"/>
      <c r="AN516" s="43"/>
      <c r="AO516" s="43"/>
      <c r="AP516" s="43"/>
      <c r="AQ516" s="43"/>
      <c r="AR516" s="43"/>
      <c r="AS516" s="43"/>
      <c r="AT516" s="43"/>
    </row>
    <row r="517" spans="1:46">
      <c r="A517" s="43" t="s">
        <v>78</v>
      </c>
      <c r="B517" s="43" t="s">
        <v>138</v>
      </c>
      <c r="C517" s="43" t="s">
        <v>137</v>
      </c>
      <c r="D517" s="44" t="s">
        <v>282</v>
      </c>
      <c r="E517" s="44">
        <v>39</v>
      </c>
      <c r="F517" s="44" t="s">
        <v>3</v>
      </c>
      <c r="G517" s="43" t="str">
        <f>IFERROR(VLOOKUP(A517,'[1]MC Masterlist 2026-09-12'!$B:$M, 3, 0),"")</f>
        <v>KAWASAKI</v>
      </c>
      <c r="H517" s="45">
        <f>IFERROR(VLOOKUP(A517,'[1]MC Masterlist 2026-09-12'!$B:$M, 6, 0),"")</f>
        <v>100700</v>
      </c>
      <c r="I517" s="46">
        <v>0</v>
      </c>
      <c r="J517" s="46">
        <v>0</v>
      </c>
      <c r="K517" s="46">
        <v>0</v>
      </c>
      <c r="L517" s="46">
        <f t="shared" si="120"/>
        <v>0</v>
      </c>
      <c r="M517" s="46">
        <f t="shared" si="121"/>
        <v>0</v>
      </c>
      <c r="N517" s="45">
        <f t="shared" si="122"/>
        <v>0</v>
      </c>
      <c r="O517" s="45">
        <f t="shared" si="123"/>
        <v>0</v>
      </c>
      <c r="P517" s="46">
        <f t="shared" si="124"/>
        <v>0</v>
      </c>
      <c r="Q517" s="46">
        <v>26</v>
      </c>
      <c r="R517" s="45">
        <f t="shared" si="125"/>
        <v>2618200</v>
      </c>
      <c r="S517" s="46">
        <f t="shared" si="126"/>
        <v>0</v>
      </c>
      <c r="T517" s="46">
        <f>IFERROR(VLOOKUP(A517,'[1]Re-order'!$A:$Q,17,0),"")</f>
        <v>438.75000000000006</v>
      </c>
      <c r="U517" s="46">
        <f>IFERROR(VLOOKUP(A517,'[1]MC Masterlist 2026-09-12'!$B:$M, 10, 0),0)</f>
        <v>15</v>
      </c>
      <c r="V517" s="46">
        <f>IFERROR(VLOOKUP(A517,'[1]MC Masterlist 2026-09-12'!$B:$M, 11, 0),0)</f>
        <v>15</v>
      </c>
      <c r="W517" s="46">
        <f t="shared" si="127"/>
        <v>30</v>
      </c>
      <c r="X517" s="46">
        <f t="shared" si="128"/>
        <v>7</v>
      </c>
      <c r="Y517" s="46">
        <f>IFERROR(IF(OR(C517="AREA I",C517="AREA V"),7,VLOOKUP(A517,'[1]MC Masterlist 2026-09-12'!$B:$M, 12, 0)),0)</f>
        <v>7</v>
      </c>
      <c r="Z517" s="46">
        <f t="shared" si="129"/>
        <v>0</v>
      </c>
      <c r="AA517" s="46">
        <f t="shared" si="130"/>
        <v>0</v>
      </c>
      <c r="AB517" s="46">
        <f t="shared" si="131"/>
        <v>0</v>
      </c>
      <c r="AC517" s="46">
        <f t="shared" si="132"/>
        <v>0</v>
      </c>
      <c r="AD517" s="44" t="str">
        <f t="shared" si="133"/>
        <v>Over</v>
      </c>
      <c r="AE517" s="44" t="str">
        <f>IFERROR(VLOOKUP(A517,'[1]Re-order'!$A:$AA,27,0),"")</f>
        <v>Over</v>
      </c>
      <c r="AF517" s="46">
        <f t="shared" si="134"/>
        <v>-26</v>
      </c>
      <c r="AG517" s="46">
        <f>SUMIFS('[1]Raw Inventory'!D:D,'[1]Raw Inventory'!C:C,"GREATWALL",'[1]Raw Inventory'!B:B,A517)</f>
        <v>26</v>
      </c>
      <c r="AH517" s="46">
        <f>SUMIFS('[1]Raw Inventory'!D:D,'[1]Raw Inventory'!C:C,"DUARTE",'[1]Raw Inventory'!B:B,A517)</f>
        <v>0</v>
      </c>
      <c r="AI517" s="46"/>
      <c r="AJ517" s="46"/>
      <c r="AK517" s="43"/>
      <c r="AL517" s="43"/>
      <c r="AM517" s="43"/>
      <c r="AN517" s="43"/>
      <c r="AO517" s="43"/>
      <c r="AP517" s="43"/>
      <c r="AQ517" s="43"/>
      <c r="AR517" s="43"/>
      <c r="AS517" s="43"/>
      <c r="AT517" s="43"/>
    </row>
    <row r="518" spans="1:46">
      <c r="A518" s="43" t="s">
        <v>16</v>
      </c>
      <c r="B518" s="43" t="s">
        <v>27</v>
      </c>
      <c r="C518" s="43" t="s">
        <v>1</v>
      </c>
      <c r="D518" s="44" t="s">
        <v>264</v>
      </c>
      <c r="E518" s="44">
        <v>7</v>
      </c>
      <c r="F518" s="44" t="s">
        <v>0</v>
      </c>
      <c r="G518" s="43" t="str">
        <f>IFERROR(VLOOKUP(A518,'[1]MC Masterlist 2026-09-12'!$B:$M, 3, 0),"")</f>
        <v>HONDA</v>
      </c>
      <c r="H518" s="45">
        <f>IFERROR(VLOOKUP(A518,'[1]MC Masterlist 2026-09-12'!$B:$M, 6, 0),"")</f>
        <v>84394</v>
      </c>
      <c r="I518" s="46">
        <v>5</v>
      </c>
      <c r="J518" s="46">
        <v>7</v>
      </c>
      <c r="K518" s="46">
        <v>5</v>
      </c>
      <c r="L518" s="46">
        <f t="shared" si="120"/>
        <v>17</v>
      </c>
      <c r="M518" s="46">
        <f t="shared" si="121"/>
        <v>5.666666666666667</v>
      </c>
      <c r="N518" s="45">
        <f t="shared" si="122"/>
        <v>1434698</v>
      </c>
      <c r="O518" s="45">
        <f t="shared" si="123"/>
        <v>478232.66666666669</v>
      </c>
      <c r="P518" s="46">
        <f t="shared" si="124"/>
        <v>0.18888888888888891</v>
      </c>
      <c r="Q518" s="46"/>
      <c r="R518" s="45">
        <f t="shared" si="125"/>
        <v>0</v>
      </c>
      <c r="S518" s="46">
        <f t="shared" si="126"/>
        <v>0</v>
      </c>
      <c r="T518" s="46">
        <f>IFERROR(VLOOKUP(A518,'[1]Re-order'!$A:$Q,17,0),"")</f>
        <v>26.332665330661321</v>
      </c>
      <c r="U518" s="46">
        <f>IFERROR(VLOOKUP(A518,'[1]MC Masterlist 2026-09-12'!$B:$M, 10, 0),0)</f>
        <v>15</v>
      </c>
      <c r="V518" s="46">
        <f>IFERROR(VLOOKUP(A518,'[1]MC Masterlist 2026-09-12'!$B:$M, 11, 0),0)</f>
        <v>15</v>
      </c>
      <c r="W518" s="46">
        <f t="shared" si="127"/>
        <v>30</v>
      </c>
      <c r="X518" s="46">
        <f t="shared" si="128"/>
        <v>4.1666666666666661</v>
      </c>
      <c r="Y518" s="46">
        <f>IFERROR(IF(OR(C518="AREA I",C518="AREA V"),7,VLOOKUP(A518,'[1]MC Masterlist 2026-09-12'!$B:$M, 12, 0)),0)</f>
        <v>7</v>
      </c>
      <c r="Z518" s="46">
        <f t="shared" si="129"/>
        <v>2.8333333333333335</v>
      </c>
      <c r="AA518" s="46">
        <f t="shared" si="130"/>
        <v>5.666666666666667</v>
      </c>
      <c r="AB518" s="46">
        <f t="shared" si="131"/>
        <v>0.78703703703703698</v>
      </c>
      <c r="AC518" s="46">
        <f t="shared" si="132"/>
        <v>1.3222222222222224</v>
      </c>
      <c r="AD518" s="44" t="str">
        <f t="shared" si="133"/>
        <v>Stockout</v>
      </c>
      <c r="AE518" s="44" t="str">
        <f>IFERROR(VLOOKUP(A518,'[1]Re-order'!$A:$AA,27,0),"")</f>
        <v>Stockout</v>
      </c>
      <c r="AF518" s="46">
        <f t="shared" si="134"/>
        <v>1.3222222222222224</v>
      </c>
      <c r="AG518" s="46">
        <f>SUMIFS('[1]Raw Inventory'!D:D,'[1]Raw Inventory'!C:C,"GREATWALL",'[1]Raw Inventory'!B:B,A518)</f>
        <v>58</v>
      </c>
      <c r="AH518" s="46">
        <f>SUMIFS('[1]Raw Inventory'!D:D,'[1]Raw Inventory'!C:C,"DUARTE",'[1]Raw Inventory'!B:B,A518)</f>
        <v>0</v>
      </c>
      <c r="AI518" s="46"/>
      <c r="AJ518" s="46"/>
      <c r="AK518" s="43"/>
      <c r="AL518" s="43"/>
      <c r="AM518" s="43"/>
      <c r="AN518" s="43"/>
      <c r="AO518" s="43"/>
      <c r="AP518" s="43"/>
      <c r="AQ518" s="43"/>
      <c r="AR518" s="43"/>
      <c r="AS518" s="43"/>
      <c r="AT518" s="43"/>
    </row>
    <row r="519" spans="1:46">
      <c r="A519" s="43" t="s">
        <v>86</v>
      </c>
      <c r="B519" s="43" t="s">
        <v>119</v>
      </c>
      <c r="C519" s="43" t="s">
        <v>118</v>
      </c>
      <c r="D519" s="44" t="s">
        <v>229</v>
      </c>
      <c r="E519" s="44">
        <v>30</v>
      </c>
      <c r="F519" s="44" t="s">
        <v>3</v>
      </c>
      <c r="G519" s="43" t="str">
        <f>IFERROR(VLOOKUP(A519,'[1]MC Masterlist 2026-09-12'!$B:$M, 3, 0),"")</f>
        <v>KAWASAKI</v>
      </c>
      <c r="H519" s="45">
        <f>IFERROR(VLOOKUP(A519,'[1]MC Masterlist 2026-09-12'!$B:$M, 6, 0),"")</f>
        <v>72500</v>
      </c>
      <c r="I519" s="46">
        <v>0</v>
      </c>
      <c r="J519" s="46">
        <v>1</v>
      </c>
      <c r="K519" s="46">
        <v>0</v>
      </c>
      <c r="L519" s="46">
        <f t="shared" si="120"/>
        <v>1</v>
      </c>
      <c r="M519" s="46">
        <f t="shared" si="121"/>
        <v>0.33333333333333331</v>
      </c>
      <c r="N519" s="45">
        <f t="shared" si="122"/>
        <v>72500</v>
      </c>
      <c r="O519" s="45">
        <f t="shared" si="123"/>
        <v>24166.666666666664</v>
      </c>
      <c r="P519" s="46">
        <f t="shared" si="124"/>
        <v>1.111111111111111E-2</v>
      </c>
      <c r="Q519" s="46"/>
      <c r="R519" s="45">
        <f t="shared" si="125"/>
        <v>0</v>
      </c>
      <c r="S519" s="46">
        <f t="shared" si="126"/>
        <v>0</v>
      </c>
      <c r="T519" s="46">
        <f>IFERROR(VLOOKUP(A519,'[1]Re-order'!$A:$Q,17,0),"")</f>
        <v>150</v>
      </c>
      <c r="U519" s="46">
        <f>IFERROR(VLOOKUP(A519,'[1]MC Masterlist 2026-09-12'!$B:$M, 10, 0),0)</f>
        <v>15</v>
      </c>
      <c r="V519" s="46">
        <f>IFERROR(VLOOKUP(A519,'[1]MC Masterlist 2026-09-12'!$B:$M, 11, 0),0)</f>
        <v>15</v>
      </c>
      <c r="W519" s="46">
        <f t="shared" si="127"/>
        <v>30</v>
      </c>
      <c r="X519" s="46">
        <f t="shared" si="128"/>
        <v>29.833333333333332</v>
      </c>
      <c r="Y519" s="46">
        <f>IFERROR(IF(OR(C519="AREA I",C519="AREA V"),7,VLOOKUP(A519,'[1]MC Masterlist 2026-09-12'!$B:$M, 12, 0)),0)</f>
        <v>30</v>
      </c>
      <c r="Z519" s="46">
        <f t="shared" si="129"/>
        <v>0.16666666666666666</v>
      </c>
      <c r="AA519" s="46">
        <f t="shared" si="130"/>
        <v>0.33333333333333331</v>
      </c>
      <c r="AB519" s="46">
        <f t="shared" si="131"/>
        <v>0.33148148148148143</v>
      </c>
      <c r="AC519" s="46">
        <f t="shared" si="132"/>
        <v>0.33333333333333331</v>
      </c>
      <c r="AD519" s="44" t="str">
        <f t="shared" si="133"/>
        <v>Stockout</v>
      </c>
      <c r="AE519" s="44" t="str">
        <f>IFERROR(VLOOKUP(A519,'[1]Re-order'!$A:$AA,27,0),"")</f>
        <v>Over</v>
      </c>
      <c r="AF519" s="46">
        <f t="shared" si="134"/>
        <v>0.33333333333333331</v>
      </c>
      <c r="AG519" s="46">
        <f>SUMIFS('[1]Raw Inventory'!D:D,'[1]Raw Inventory'!C:C,"GREATWALL",'[1]Raw Inventory'!B:B,A519)</f>
        <v>0</v>
      </c>
      <c r="AH519" s="46">
        <f>SUMIFS('[1]Raw Inventory'!D:D,'[1]Raw Inventory'!C:C,"DUARTE",'[1]Raw Inventory'!B:B,A519)</f>
        <v>0</v>
      </c>
      <c r="AI519" s="46"/>
      <c r="AJ519" s="46"/>
      <c r="AK519" s="43"/>
      <c r="AL519" s="43"/>
      <c r="AM519" s="43"/>
      <c r="AN519" s="43"/>
      <c r="AO519" s="43"/>
      <c r="AP519" s="43"/>
      <c r="AQ519" s="43"/>
      <c r="AR519" s="43"/>
      <c r="AS519" s="43"/>
      <c r="AT519" s="43"/>
    </row>
    <row r="520" spans="1:46">
      <c r="A520" s="43" t="s">
        <v>59</v>
      </c>
      <c r="B520" s="43" t="s">
        <v>160</v>
      </c>
      <c r="C520" s="43" t="s">
        <v>159</v>
      </c>
      <c r="D520" s="44" t="s">
        <v>260</v>
      </c>
      <c r="E520" s="44">
        <v>24</v>
      </c>
      <c r="F520" s="44" t="s">
        <v>3</v>
      </c>
      <c r="G520" s="43" t="str">
        <f>IFERROR(VLOOKUP(A520,'[1]MC Masterlist 2026-09-12'!$B:$M, 3, 0),"")</f>
        <v>HONDA</v>
      </c>
      <c r="H520" s="45">
        <f>IFERROR(VLOOKUP(A520,'[1]MC Masterlist 2026-09-12'!$B:$M, 6, 0),"")</f>
        <v>147230</v>
      </c>
      <c r="I520" s="46">
        <v>0</v>
      </c>
      <c r="J520" s="46">
        <v>0</v>
      </c>
      <c r="K520" s="46">
        <v>0</v>
      </c>
      <c r="L520" s="46">
        <f t="shared" si="120"/>
        <v>0</v>
      </c>
      <c r="M520" s="46">
        <f t="shared" si="121"/>
        <v>0</v>
      </c>
      <c r="N520" s="45">
        <f t="shared" si="122"/>
        <v>0</v>
      </c>
      <c r="O520" s="45">
        <f t="shared" si="123"/>
        <v>0</v>
      </c>
      <c r="P520" s="46">
        <f t="shared" si="124"/>
        <v>0</v>
      </c>
      <c r="Q520" s="46">
        <v>2</v>
      </c>
      <c r="R520" s="45">
        <f t="shared" si="125"/>
        <v>294460</v>
      </c>
      <c r="S520" s="46">
        <f t="shared" si="126"/>
        <v>0</v>
      </c>
      <c r="T520" s="46">
        <f>IFERROR(VLOOKUP(A520,'[1]Re-order'!$A:$Q,17,0),"")</f>
        <v>101.25</v>
      </c>
      <c r="U520" s="46">
        <f>IFERROR(VLOOKUP(A520,'[1]MC Masterlist 2026-09-12'!$B:$M, 10, 0),0)</f>
        <v>15</v>
      </c>
      <c r="V520" s="46">
        <f>IFERROR(VLOOKUP(A520,'[1]MC Masterlist 2026-09-12'!$B:$M, 11, 0),0)</f>
        <v>15</v>
      </c>
      <c r="W520" s="46">
        <f t="shared" si="127"/>
        <v>30</v>
      </c>
      <c r="X520" s="46">
        <f t="shared" si="128"/>
        <v>30</v>
      </c>
      <c r="Y520" s="46">
        <f>IFERROR(IF(OR(C520="AREA I",C520="AREA V"),7,VLOOKUP(A520,'[1]MC Masterlist 2026-09-12'!$B:$M, 12, 0)),0)</f>
        <v>30</v>
      </c>
      <c r="Z520" s="46">
        <f t="shared" si="129"/>
        <v>0</v>
      </c>
      <c r="AA520" s="46">
        <f t="shared" si="130"/>
        <v>0</v>
      </c>
      <c r="AB520" s="46">
        <f t="shared" si="131"/>
        <v>0</v>
      </c>
      <c r="AC520" s="46">
        <f t="shared" si="132"/>
        <v>0</v>
      </c>
      <c r="AD520" s="44" t="str">
        <f t="shared" si="133"/>
        <v>Over</v>
      </c>
      <c r="AE520" s="44" t="str">
        <f>IFERROR(VLOOKUP(A520,'[1]Re-order'!$A:$AA,27,0),"")</f>
        <v>Over</v>
      </c>
      <c r="AF520" s="46">
        <f t="shared" si="134"/>
        <v>-2</v>
      </c>
      <c r="AG520" s="46">
        <f>SUMIFS('[1]Raw Inventory'!D:D,'[1]Raw Inventory'!C:C,"GREATWALL",'[1]Raw Inventory'!B:B,A520)</f>
        <v>0</v>
      </c>
      <c r="AH520" s="46">
        <f>SUMIFS('[1]Raw Inventory'!D:D,'[1]Raw Inventory'!C:C,"DUARTE",'[1]Raw Inventory'!B:B,A520)</f>
        <v>0</v>
      </c>
      <c r="AI520" s="46"/>
      <c r="AJ520" s="46"/>
      <c r="AK520" s="43"/>
      <c r="AL520" s="43"/>
      <c r="AM520" s="43"/>
      <c r="AN520" s="43"/>
      <c r="AO520" s="43"/>
      <c r="AP520" s="43"/>
      <c r="AQ520" s="43"/>
      <c r="AR520" s="43"/>
      <c r="AS520" s="43"/>
      <c r="AT520" s="43"/>
    </row>
    <row r="521" spans="1:46">
      <c r="A521" s="43" t="s">
        <v>44</v>
      </c>
      <c r="B521" s="43" t="s">
        <v>5</v>
      </c>
      <c r="C521" s="43" t="s">
        <v>118</v>
      </c>
      <c r="D521" s="44" t="s">
        <v>255</v>
      </c>
      <c r="E521" s="44">
        <v>13</v>
      </c>
      <c r="F521" s="44" t="s">
        <v>2</v>
      </c>
      <c r="G521" s="43" t="str">
        <f>IFERROR(VLOOKUP(A521,'[1]MC Masterlist 2026-09-12'!$B:$M, 3, 0),"")</f>
        <v>YAMAHA</v>
      </c>
      <c r="H521" s="45">
        <f>IFERROR(VLOOKUP(A521,'[1]MC Masterlist 2026-09-12'!$B:$M, 6, 0),"")</f>
        <v>165912</v>
      </c>
      <c r="I521" s="46">
        <v>0</v>
      </c>
      <c r="J521" s="46">
        <v>0</v>
      </c>
      <c r="K521" s="46">
        <v>1</v>
      </c>
      <c r="L521" s="46">
        <f t="shared" si="120"/>
        <v>1</v>
      </c>
      <c r="M521" s="46">
        <f t="shared" si="121"/>
        <v>0.33333333333333331</v>
      </c>
      <c r="N521" s="45">
        <f t="shared" si="122"/>
        <v>165912</v>
      </c>
      <c r="O521" s="45">
        <f t="shared" si="123"/>
        <v>55304</v>
      </c>
      <c r="P521" s="46">
        <f t="shared" si="124"/>
        <v>1.111111111111111E-2</v>
      </c>
      <c r="Q521" s="46"/>
      <c r="R521" s="45">
        <f t="shared" si="125"/>
        <v>0</v>
      </c>
      <c r="S521" s="46">
        <f t="shared" si="126"/>
        <v>0</v>
      </c>
      <c r="T521" s="46">
        <f>IFERROR(VLOOKUP(A521,'[1]Re-order'!$A:$Q,17,0),"")</f>
        <v>10.588235294117649</v>
      </c>
      <c r="U521" s="46">
        <f>IFERROR(VLOOKUP(A521,'[1]MC Masterlist 2026-09-12'!$B:$M, 10, 0),0)</f>
        <v>15</v>
      </c>
      <c r="V521" s="46">
        <f>IFERROR(VLOOKUP(A521,'[1]MC Masterlist 2026-09-12'!$B:$M, 11, 0),0)</f>
        <v>15</v>
      </c>
      <c r="W521" s="46">
        <f t="shared" si="127"/>
        <v>30</v>
      </c>
      <c r="X521" s="46">
        <f t="shared" si="128"/>
        <v>29.833333333333332</v>
      </c>
      <c r="Y521" s="46">
        <f>IFERROR(IF(OR(C521="AREA I",C521="AREA V"),7,VLOOKUP(A521,'[1]MC Masterlist 2026-09-12'!$B:$M, 12, 0)),0)</f>
        <v>30</v>
      </c>
      <c r="Z521" s="46">
        <f t="shared" si="129"/>
        <v>0.16666666666666666</v>
      </c>
      <c r="AA521" s="46">
        <f t="shared" si="130"/>
        <v>0.33333333333333331</v>
      </c>
      <c r="AB521" s="46">
        <f t="shared" si="131"/>
        <v>0.33148148148148143</v>
      </c>
      <c r="AC521" s="46">
        <f t="shared" si="132"/>
        <v>0.33333333333333331</v>
      </c>
      <c r="AD521" s="44" t="str">
        <f t="shared" si="133"/>
        <v>Stockout</v>
      </c>
      <c r="AE521" s="44" t="str">
        <f>IFERROR(VLOOKUP(A521,'[1]Re-order'!$A:$AA,27,0),"")</f>
        <v>Stockout</v>
      </c>
      <c r="AF521" s="46">
        <f t="shared" si="134"/>
        <v>0.33333333333333331</v>
      </c>
      <c r="AG521" s="46">
        <f>SUMIFS('[1]Raw Inventory'!D:D,'[1]Raw Inventory'!C:C,"GREATWALL",'[1]Raw Inventory'!B:B,A521)</f>
        <v>0</v>
      </c>
      <c r="AH521" s="46">
        <f>SUMIFS('[1]Raw Inventory'!D:D,'[1]Raw Inventory'!C:C,"DUARTE",'[1]Raw Inventory'!B:B,A521)</f>
        <v>0</v>
      </c>
      <c r="AI521" s="46"/>
      <c r="AJ521" s="46"/>
      <c r="AK521" s="43"/>
      <c r="AL521" s="43"/>
      <c r="AM521" s="43"/>
      <c r="AN521" s="43"/>
      <c r="AO521" s="43"/>
      <c r="AP521" s="43"/>
      <c r="AQ521" s="43"/>
      <c r="AR521" s="43"/>
      <c r="AS521" s="43"/>
      <c r="AT521" s="43"/>
    </row>
    <row r="522" spans="1:46">
      <c r="A522" s="43" t="s">
        <v>67</v>
      </c>
      <c r="B522" s="43" t="s">
        <v>110</v>
      </c>
      <c r="C522" s="43" t="s">
        <v>109</v>
      </c>
      <c r="D522" s="44" t="s">
        <v>221</v>
      </c>
      <c r="E522" s="44">
        <v>23</v>
      </c>
      <c r="F522" s="44" t="s">
        <v>3</v>
      </c>
      <c r="G522" s="43" t="str">
        <f>IFERROR(VLOOKUP(A522,'[1]MC Masterlist 2026-09-12'!$B:$M, 3, 0),"")</f>
        <v>YAMAHA</v>
      </c>
      <c r="H522" s="45">
        <f>IFERROR(VLOOKUP(A522,'[1]MC Masterlist 2026-09-12'!$B:$M, 6, 0),"")</f>
        <v>86397</v>
      </c>
      <c r="I522" s="46">
        <v>1</v>
      </c>
      <c r="J522" s="46">
        <v>0</v>
      </c>
      <c r="K522" s="46">
        <v>0</v>
      </c>
      <c r="L522" s="46">
        <f t="shared" si="120"/>
        <v>1</v>
      </c>
      <c r="M522" s="46">
        <f t="shared" si="121"/>
        <v>0.33333333333333331</v>
      </c>
      <c r="N522" s="45">
        <f t="shared" si="122"/>
        <v>86397</v>
      </c>
      <c r="O522" s="45">
        <f t="shared" si="123"/>
        <v>28799</v>
      </c>
      <c r="P522" s="46">
        <f t="shared" si="124"/>
        <v>1.111111111111111E-2</v>
      </c>
      <c r="Q522" s="46"/>
      <c r="R522" s="45">
        <f t="shared" si="125"/>
        <v>0</v>
      </c>
      <c r="S522" s="46">
        <f t="shared" si="126"/>
        <v>0</v>
      </c>
      <c r="T522" s="46">
        <f>IFERROR(VLOOKUP(A522,'[1]Re-order'!$A:$Q,17,0),"")</f>
        <v>73.63636363636364</v>
      </c>
      <c r="U522" s="46">
        <f>IFERROR(VLOOKUP(A522,'[1]MC Masterlist 2026-09-12'!$B:$M, 10, 0),0)</f>
        <v>15</v>
      </c>
      <c r="V522" s="46">
        <f>IFERROR(VLOOKUP(A522,'[1]MC Masterlist 2026-09-12'!$B:$M, 11, 0),0)</f>
        <v>15</v>
      </c>
      <c r="W522" s="46">
        <f t="shared" si="127"/>
        <v>30</v>
      </c>
      <c r="X522" s="46">
        <f t="shared" si="128"/>
        <v>29.833333333333332</v>
      </c>
      <c r="Y522" s="46">
        <f>IFERROR(IF(OR(C522="AREA I",C522="AREA V"),7,VLOOKUP(A522,'[1]MC Masterlist 2026-09-12'!$B:$M, 12, 0)),0)</f>
        <v>30</v>
      </c>
      <c r="Z522" s="46">
        <f t="shared" si="129"/>
        <v>0.16666666666666666</v>
      </c>
      <c r="AA522" s="46">
        <f t="shared" si="130"/>
        <v>0.33333333333333331</v>
      </c>
      <c r="AB522" s="46">
        <f t="shared" si="131"/>
        <v>0.33148148148148143</v>
      </c>
      <c r="AC522" s="46">
        <f t="shared" si="132"/>
        <v>0.33333333333333331</v>
      </c>
      <c r="AD522" s="44" t="str">
        <f t="shared" si="133"/>
        <v>Stockout</v>
      </c>
      <c r="AE522" s="44" t="str">
        <f>IFERROR(VLOOKUP(A522,'[1]Re-order'!$A:$AA,27,0),"")</f>
        <v>Re-order</v>
      </c>
      <c r="AF522" s="46">
        <f t="shared" si="134"/>
        <v>0.33333333333333331</v>
      </c>
      <c r="AG522" s="46">
        <f>SUMIFS('[1]Raw Inventory'!D:D,'[1]Raw Inventory'!C:C,"GREATWALL",'[1]Raw Inventory'!B:B,A522)</f>
        <v>1</v>
      </c>
      <c r="AH522" s="46">
        <f>SUMIFS('[1]Raw Inventory'!D:D,'[1]Raw Inventory'!C:C,"DUARTE",'[1]Raw Inventory'!B:B,A522)</f>
        <v>0</v>
      </c>
      <c r="AI522" s="46"/>
      <c r="AJ522" s="46"/>
      <c r="AK522" s="43"/>
      <c r="AL522" s="43"/>
      <c r="AM522" s="43"/>
      <c r="AN522" s="43"/>
      <c r="AO522" s="43"/>
      <c r="AP522" s="43"/>
      <c r="AQ522" s="43"/>
      <c r="AR522" s="43"/>
      <c r="AS522" s="43"/>
      <c r="AT522" s="43"/>
    </row>
    <row r="523" spans="1:46">
      <c r="A523" s="43" t="s">
        <v>48</v>
      </c>
      <c r="B523" s="43" t="s">
        <v>112</v>
      </c>
      <c r="C523" s="43" t="s">
        <v>109</v>
      </c>
      <c r="D523" s="44" t="s">
        <v>268</v>
      </c>
      <c r="E523" s="44">
        <v>17</v>
      </c>
      <c r="F523" s="44" t="s">
        <v>3</v>
      </c>
      <c r="G523" s="43" t="str">
        <f>IFERROR(VLOOKUP(A523,'[1]MC Masterlist 2026-09-12'!$B:$M, 3, 0),"")</f>
        <v>SUZUKI</v>
      </c>
      <c r="H523" s="45">
        <f>IFERROR(VLOOKUP(A523,'[1]MC Masterlist 2026-09-12'!$B:$M, 6, 0),"")</f>
        <v>82687</v>
      </c>
      <c r="I523" s="46">
        <v>0</v>
      </c>
      <c r="J523" s="46">
        <v>1</v>
      </c>
      <c r="K523" s="46">
        <v>0</v>
      </c>
      <c r="L523" s="46">
        <f t="shared" si="120"/>
        <v>1</v>
      </c>
      <c r="M523" s="46">
        <f t="shared" si="121"/>
        <v>0.33333333333333331</v>
      </c>
      <c r="N523" s="45">
        <f t="shared" si="122"/>
        <v>82687</v>
      </c>
      <c r="O523" s="45">
        <f t="shared" si="123"/>
        <v>27562.333333333332</v>
      </c>
      <c r="P523" s="46">
        <f t="shared" si="124"/>
        <v>1.111111111111111E-2</v>
      </c>
      <c r="Q523" s="46"/>
      <c r="R523" s="45">
        <f t="shared" si="125"/>
        <v>0</v>
      </c>
      <c r="S523" s="46">
        <f t="shared" si="126"/>
        <v>0</v>
      </c>
      <c r="T523" s="46">
        <f>IFERROR(VLOOKUP(A523,'[1]Re-order'!$A:$Q,17,0),"")</f>
        <v>303.75</v>
      </c>
      <c r="U523" s="46">
        <f>IFERROR(VLOOKUP(A523,'[1]MC Masterlist 2026-09-12'!$B:$M, 10, 0),0)</f>
        <v>15</v>
      </c>
      <c r="V523" s="46">
        <f>IFERROR(VLOOKUP(A523,'[1]MC Masterlist 2026-09-12'!$B:$M, 11, 0),0)</f>
        <v>15</v>
      </c>
      <c r="W523" s="46">
        <f t="shared" si="127"/>
        <v>30</v>
      </c>
      <c r="X523" s="46">
        <f t="shared" si="128"/>
        <v>29.833333333333332</v>
      </c>
      <c r="Y523" s="46">
        <f>IFERROR(IF(OR(C523="AREA I",C523="AREA V"),7,VLOOKUP(A523,'[1]MC Masterlist 2026-09-12'!$B:$M, 12, 0)),0)</f>
        <v>30</v>
      </c>
      <c r="Z523" s="46">
        <f t="shared" si="129"/>
        <v>0.16666666666666666</v>
      </c>
      <c r="AA523" s="46">
        <f t="shared" si="130"/>
        <v>0.33333333333333331</v>
      </c>
      <c r="AB523" s="46">
        <f t="shared" si="131"/>
        <v>0.33148148148148143</v>
      </c>
      <c r="AC523" s="46">
        <f t="shared" si="132"/>
        <v>0.33333333333333331</v>
      </c>
      <c r="AD523" s="44" t="str">
        <f t="shared" si="133"/>
        <v>Stockout</v>
      </c>
      <c r="AE523" s="44" t="str">
        <f>IFERROR(VLOOKUP(A523,'[1]Re-order'!$A:$AA,27,0),"")</f>
        <v>Over</v>
      </c>
      <c r="AF523" s="46">
        <f t="shared" si="134"/>
        <v>0.33333333333333331</v>
      </c>
      <c r="AG523" s="46">
        <f>SUMIFS('[1]Raw Inventory'!D:D,'[1]Raw Inventory'!C:C,"GREATWALL",'[1]Raw Inventory'!B:B,A523)</f>
        <v>10</v>
      </c>
      <c r="AH523" s="46">
        <f>SUMIFS('[1]Raw Inventory'!D:D,'[1]Raw Inventory'!C:C,"DUARTE",'[1]Raw Inventory'!B:B,A523)</f>
        <v>0</v>
      </c>
      <c r="AI523" s="46"/>
      <c r="AJ523" s="46"/>
      <c r="AK523" s="43"/>
      <c r="AL523" s="43"/>
      <c r="AM523" s="43"/>
      <c r="AN523" s="43"/>
      <c r="AO523" s="43"/>
      <c r="AP523" s="43"/>
      <c r="AQ523" s="43"/>
      <c r="AR523" s="43"/>
      <c r="AS523" s="43"/>
      <c r="AT523" s="43"/>
    </row>
    <row r="524" spans="1:46">
      <c r="A524" s="43" t="s">
        <v>65</v>
      </c>
      <c r="B524" s="43" t="s">
        <v>121</v>
      </c>
      <c r="C524" s="43" t="s">
        <v>118</v>
      </c>
      <c r="D524" s="44" t="s">
        <v>257</v>
      </c>
      <c r="E524" s="44">
        <v>23</v>
      </c>
      <c r="F524" s="44" t="s">
        <v>3</v>
      </c>
      <c r="G524" s="43" t="str">
        <f>IFERROR(VLOOKUP(A524,'[1]MC Masterlist 2026-09-12'!$B:$M, 3, 0),"")</f>
        <v>SUZUKI</v>
      </c>
      <c r="H524" s="45">
        <f>IFERROR(VLOOKUP(A524,'[1]MC Masterlist 2026-09-12'!$B:$M, 6, 0),"")</f>
        <v>77572</v>
      </c>
      <c r="I524" s="46">
        <v>0</v>
      </c>
      <c r="J524" s="46">
        <v>0</v>
      </c>
      <c r="K524" s="46">
        <v>1</v>
      </c>
      <c r="L524" s="46">
        <f t="shared" si="120"/>
        <v>1</v>
      </c>
      <c r="M524" s="46">
        <f t="shared" si="121"/>
        <v>0.33333333333333331</v>
      </c>
      <c r="N524" s="45">
        <f t="shared" si="122"/>
        <v>77572</v>
      </c>
      <c r="O524" s="45">
        <f t="shared" si="123"/>
        <v>25857.333333333332</v>
      </c>
      <c r="P524" s="46">
        <f t="shared" si="124"/>
        <v>1.111111111111111E-2</v>
      </c>
      <c r="Q524" s="46">
        <v>1</v>
      </c>
      <c r="R524" s="45">
        <f t="shared" si="125"/>
        <v>77572</v>
      </c>
      <c r="S524" s="46">
        <f t="shared" si="126"/>
        <v>90</v>
      </c>
      <c r="T524" s="46">
        <f>IFERROR(VLOOKUP(A524,'[1]Re-order'!$A:$Q,17,0),"")</f>
        <v>158.8235294117647</v>
      </c>
      <c r="U524" s="46">
        <f>IFERROR(VLOOKUP(A524,'[1]MC Masterlist 2026-09-12'!$B:$M, 10, 0),0)</f>
        <v>15</v>
      </c>
      <c r="V524" s="46">
        <f>IFERROR(VLOOKUP(A524,'[1]MC Masterlist 2026-09-12'!$B:$M, 11, 0),0)</f>
        <v>15</v>
      </c>
      <c r="W524" s="46">
        <f t="shared" si="127"/>
        <v>30</v>
      </c>
      <c r="X524" s="46">
        <f t="shared" si="128"/>
        <v>29.833333333333332</v>
      </c>
      <c r="Y524" s="46">
        <f>IFERROR(IF(OR(C524="AREA I",C524="AREA V"),7,VLOOKUP(A524,'[1]MC Masterlist 2026-09-12'!$B:$M, 12, 0)),0)</f>
        <v>30</v>
      </c>
      <c r="Z524" s="46">
        <f t="shared" si="129"/>
        <v>0.16666666666666666</v>
      </c>
      <c r="AA524" s="46">
        <f t="shared" si="130"/>
        <v>0.33333333333333331</v>
      </c>
      <c r="AB524" s="46">
        <f t="shared" si="131"/>
        <v>0.33148148148148143</v>
      </c>
      <c r="AC524" s="46">
        <f t="shared" si="132"/>
        <v>0.33333333333333331</v>
      </c>
      <c r="AD524" s="44" t="str">
        <f t="shared" si="133"/>
        <v>Over</v>
      </c>
      <c r="AE524" s="44" t="str">
        <f>IFERROR(VLOOKUP(A524,'[1]Re-order'!$A:$AA,27,0),"")</f>
        <v>Over</v>
      </c>
      <c r="AF524" s="46">
        <f t="shared" si="134"/>
        <v>-0.66666666666666674</v>
      </c>
      <c r="AG524" s="46">
        <f>SUMIFS('[1]Raw Inventory'!D:D,'[1]Raw Inventory'!C:C,"GREATWALL",'[1]Raw Inventory'!B:B,A524)</f>
        <v>4</v>
      </c>
      <c r="AH524" s="46">
        <f>SUMIFS('[1]Raw Inventory'!D:D,'[1]Raw Inventory'!C:C,"DUARTE",'[1]Raw Inventory'!B:B,A524)</f>
        <v>0</v>
      </c>
      <c r="AI524" s="46"/>
      <c r="AJ524" s="46"/>
      <c r="AK524" s="43"/>
      <c r="AL524" s="43"/>
      <c r="AM524" s="43"/>
      <c r="AN524" s="43"/>
      <c r="AO524" s="43"/>
      <c r="AP524" s="43"/>
      <c r="AQ524" s="43"/>
      <c r="AR524" s="43"/>
      <c r="AS524" s="43"/>
      <c r="AT524" s="43"/>
    </row>
    <row r="525" spans="1:46">
      <c r="A525" s="43" t="s">
        <v>20</v>
      </c>
      <c r="B525" s="43" t="s">
        <v>30</v>
      </c>
      <c r="C525" s="43" t="s">
        <v>1</v>
      </c>
      <c r="D525" s="44" t="s">
        <v>246</v>
      </c>
      <c r="E525" s="44">
        <v>14</v>
      </c>
      <c r="F525" s="44" t="s">
        <v>2</v>
      </c>
      <c r="G525" s="43" t="str">
        <f>IFERROR(VLOOKUP(A525,'[1]MC Masterlist 2026-09-12'!$B:$M, 3, 0),"")</f>
        <v>HONDA</v>
      </c>
      <c r="H525" s="45">
        <f>IFERROR(VLOOKUP(A525,'[1]MC Masterlist 2026-09-12'!$B:$M, 6, 0),"")</f>
        <v>69950</v>
      </c>
      <c r="I525" s="46">
        <v>4</v>
      </c>
      <c r="J525" s="46">
        <v>2</v>
      </c>
      <c r="K525" s="46">
        <v>1</v>
      </c>
      <c r="L525" s="46">
        <f t="shared" si="120"/>
        <v>7</v>
      </c>
      <c r="M525" s="46">
        <f t="shared" si="121"/>
        <v>2.3333333333333335</v>
      </c>
      <c r="N525" s="45">
        <f t="shared" si="122"/>
        <v>489650</v>
      </c>
      <c r="O525" s="45">
        <f t="shared" si="123"/>
        <v>163216.66666666669</v>
      </c>
      <c r="P525" s="46">
        <f t="shared" si="124"/>
        <v>7.7777777777777779E-2</v>
      </c>
      <c r="Q525" s="46">
        <v>2</v>
      </c>
      <c r="R525" s="45">
        <f t="shared" si="125"/>
        <v>139900</v>
      </c>
      <c r="S525" s="46">
        <f t="shared" si="126"/>
        <v>25.714285714285712</v>
      </c>
      <c r="T525" s="46">
        <f>IFERROR(VLOOKUP(A525,'[1]Re-order'!$A:$Q,17,0),"")</f>
        <v>75.775862068965523</v>
      </c>
      <c r="U525" s="46">
        <f>IFERROR(VLOOKUP(A525,'[1]MC Masterlist 2026-09-12'!$B:$M, 10, 0),0)</f>
        <v>15</v>
      </c>
      <c r="V525" s="46">
        <f>IFERROR(VLOOKUP(A525,'[1]MC Masterlist 2026-09-12'!$B:$M, 11, 0),0)</f>
        <v>15</v>
      </c>
      <c r="W525" s="46">
        <f t="shared" si="127"/>
        <v>30</v>
      </c>
      <c r="X525" s="46">
        <f t="shared" si="128"/>
        <v>5.833333333333333</v>
      </c>
      <c r="Y525" s="46">
        <f>IFERROR(IF(OR(C525="AREA I",C525="AREA V"),7,VLOOKUP(A525,'[1]MC Masterlist 2026-09-12'!$B:$M, 12, 0)),0)</f>
        <v>7</v>
      </c>
      <c r="Z525" s="46">
        <f t="shared" si="129"/>
        <v>1.1666666666666667</v>
      </c>
      <c r="AA525" s="46">
        <f t="shared" si="130"/>
        <v>2.3333333333333335</v>
      </c>
      <c r="AB525" s="46">
        <f t="shared" si="131"/>
        <v>0.45370370370370366</v>
      </c>
      <c r="AC525" s="46">
        <f t="shared" si="132"/>
        <v>0.54444444444444451</v>
      </c>
      <c r="AD525" s="44" t="str">
        <f t="shared" si="133"/>
        <v>Over</v>
      </c>
      <c r="AE525" s="44" t="str">
        <f>IFERROR(VLOOKUP(A525,'[1]Re-order'!$A:$AA,27,0),"")</f>
        <v/>
      </c>
      <c r="AF525" s="46">
        <f t="shared" si="134"/>
        <v>-1.4555555555555555</v>
      </c>
      <c r="AG525" s="46">
        <f>SUMIFS('[1]Raw Inventory'!D:D,'[1]Raw Inventory'!C:C,"GREATWALL",'[1]Raw Inventory'!B:B,A525)</f>
        <v>110</v>
      </c>
      <c r="AH525" s="46">
        <f>SUMIFS('[1]Raw Inventory'!D:D,'[1]Raw Inventory'!C:C,"DUARTE",'[1]Raw Inventory'!B:B,A525)</f>
        <v>0</v>
      </c>
      <c r="AI525" s="46"/>
      <c r="AJ525" s="46"/>
      <c r="AK525" s="43"/>
      <c r="AL525" s="43"/>
      <c r="AM525" s="43"/>
      <c r="AN525" s="43"/>
      <c r="AO525" s="43"/>
      <c r="AP525" s="43"/>
      <c r="AQ525" s="43"/>
      <c r="AR525" s="43"/>
      <c r="AS525" s="43"/>
      <c r="AT525" s="43"/>
    </row>
    <row r="526" spans="1:46">
      <c r="A526" s="43" t="s">
        <v>26</v>
      </c>
      <c r="B526" s="43" t="s">
        <v>115</v>
      </c>
      <c r="C526" s="43" t="s">
        <v>109</v>
      </c>
      <c r="D526" s="44" t="s">
        <v>243</v>
      </c>
      <c r="E526" s="44">
        <v>13</v>
      </c>
      <c r="F526" s="44" t="s">
        <v>2</v>
      </c>
      <c r="G526" s="43" t="str">
        <f>IFERROR(VLOOKUP(A526,'[1]MC Masterlist 2026-09-12'!$B:$M, 3, 0),"")</f>
        <v>SUZUKI</v>
      </c>
      <c r="H526" s="45">
        <f>IFERROR(VLOOKUP(A526,'[1]MC Masterlist 2026-09-12'!$B:$M, 6, 0),"")</f>
        <v>123700</v>
      </c>
      <c r="I526" s="46">
        <v>2</v>
      </c>
      <c r="J526" s="46">
        <v>0</v>
      </c>
      <c r="K526" s="46">
        <v>0</v>
      </c>
      <c r="L526" s="46">
        <f t="shared" si="120"/>
        <v>2</v>
      </c>
      <c r="M526" s="46">
        <f t="shared" si="121"/>
        <v>0.66666666666666663</v>
      </c>
      <c r="N526" s="45">
        <f t="shared" si="122"/>
        <v>247400</v>
      </c>
      <c r="O526" s="45">
        <f t="shared" si="123"/>
        <v>82466.666666666657</v>
      </c>
      <c r="P526" s="46">
        <f t="shared" si="124"/>
        <v>2.222222222222222E-2</v>
      </c>
      <c r="Q526" s="46">
        <v>5</v>
      </c>
      <c r="R526" s="45">
        <f t="shared" si="125"/>
        <v>618500</v>
      </c>
      <c r="S526" s="46">
        <f t="shared" si="126"/>
        <v>225.00000000000003</v>
      </c>
      <c r="T526" s="46">
        <f>IFERROR(VLOOKUP(A526,'[1]Re-order'!$A:$Q,17,0),"")</f>
        <v>71.470588235294116</v>
      </c>
      <c r="U526" s="46">
        <f>IFERROR(VLOOKUP(A526,'[1]MC Masterlist 2026-09-12'!$B:$M, 10, 0),0)</f>
        <v>15</v>
      </c>
      <c r="V526" s="46">
        <f>IFERROR(VLOOKUP(A526,'[1]MC Masterlist 2026-09-12'!$B:$M, 11, 0),0)</f>
        <v>15</v>
      </c>
      <c r="W526" s="46">
        <f t="shared" si="127"/>
        <v>30</v>
      </c>
      <c r="X526" s="46">
        <f t="shared" si="128"/>
        <v>29.666666666666668</v>
      </c>
      <c r="Y526" s="46">
        <f>IFERROR(IF(OR(C526="AREA I",C526="AREA V"),7,VLOOKUP(A526,'[1]MC Masterlist 2026-09-12'!$B:$M, 12, 0)),0)</f>
        <v>30</v>
      </c>
      <c r="Z526" s="46">
        <f t="shared" si="129"/>
        <v>0.33333333333333331</v>
      </c>
      <c r="AA526" s="46">
        <f t="shared" si="130"/>
        <v>0.66666666666666663</v>
      </c>
      <c r="AB526" s="46">
        <f t="shared" si="131"/>
        <v>0.65925925925925921</v>
      </c>
      <c r="AC526" s="46">
        <f t="shared" si="132"/>
        <v>0.66666666666666663</v>
      </c>
      <c r="AD526" s="44" t="str">
        <f t="shared" si="133"/>
        <v>Over</v>
      </c>
      <c r="AE526" s="44" t="str">
        <f>IFERROR(VLOOKUP(A526,'[1]Re-order'!$A:$AA,27,0),"")</f>
        <v>Re-order</v>
      </c>
      <c r="AF526" s="46">
        <f t="shared" si="134"/>
        <v>-4.333333333333333</v>
      </c>
      <c r="AG526" s="46">
        <f>SUMIFS('[1]Raw Inventory'!D:D,'[1]Raw Inventory'!C:C,"GREATWALL",'[1]Raw Inventory'!B:B,A526)</f>
        <v>30</v>
      </c>
      <c r="AH526" s="46">
        <f>SUMIFS('[1]Raw Inventory'!D:D,'[1]Raw Inventory'!C:C,"DUARTE",'[1]Raw Inventory'!B:B,A526)</f>
        <v>0</v>
      </c>
      <c r="AI526" s="46"/>
      <c r="AJ526" s="46"/>
      <c r="AK526" s="43"/>
      <c r="AL526" s="43"/>
      <c r="AM526" s="43"/>
      <c r="AN526" s="43"/>
      <c r="AO526" s="43"/>
      <c r="AP526" s="43"/>
      <c r="AQ526" s="43"/>
      <c r="AR526" s="43"/>
      <c r="AS526" s="43"/>
      <c r="AT526" s="43"/>
    </row>
    <row r="527" spans="1:46">
      <c r="A527" s="43" t="s">
        <v>39</v>
      </c>
      <c r="B527" s="43" t="s">
        <v>110</v>
      </c>
      <c r="C527" s="43" t="s">
        <v>109</v>
      </c>
      <c r="D527" s="44" t="s">
        <v>233</v>
      </c>
      <c r="E527" s="44">
        <v>9</v>
      </c>
      <c r="F527" s="44" t="s">
        <v>2</v>
      </c>
      <c r="G527" s="43" t="str">
        <f>IFERROR(VLOOKUP(A527,'[1]MC Masterlist 2026-09-12'!$B:$M, 3, 0),"")</f>
        <v>HONDA</v>
      </c>
      <c r="H527" s="45">
        <f>IFERROR(VLOOKUP(A527,'[1]MC Masterlist 2026-09-12'!$B:$M, 6, 0),"")</f>
        <v>72434</v>
      </c>
      <c r="I527" s="46">
        <v>0</v>
      </c>
      <c r="J527" s="46">
        <v>2</v>
      </c>
      <c r="K527" s="46">
        <v>2</v>
      </c>
      <c r="L527" s="46">
        <f t="shared" si="120"/>
        <v>4</v>
      </c>
      <c r="M527" s="46">
        <f t="shared" si="121"/>
        <v>1.3333333333333333</v>
      </c>
      <c r="N527" s="45">
        <f t="shared" si="122"/>
        <v>289736</v>
      </c>
      <c r="O527" s="45">
        <f t="shared" si="123"/>
        <v>96578.666666666657</v>
      </c>
      <c r="P527" s="46">
        <f t="shared" si="124"/>
        <v>4.4444444444444439E-2</v>
      </c>
      <c r="Q527" s="46">
        <v>2</v>
      </c>
      <c r="R527" s="45">
        <f t="shared" si="125"/>
        <v>144868</v>
      </c>
      <c r="S527" s="46">
        <f t="shared" si="126"/>
        <v>45.000000000000007</v>
      </c>
      <c r="T527" s="46">
        <f>IFERROR(VLOOKUP(A527,'[1]Re-order'!$A:$Q,17,0),"")</f>
        <v>40.982142857142854</v>
      </c>
      <c r="U527" s="46">
        <f>IFERROR(VLOOKUP(A527,'[1]MC Masterlist 2026-09-12'!$B:$M, 10, 0),0)</f>
        <v>15</v>
      </c>
      <c r="V527" s="46">
        <f>IFERROR(VLOOKUP(A527,'[1]MC Masterlist 2026-09-12'!$B:$M, 11, 0),0)</f>
        <v>15</v>
      </c>
      <c r="W527" s="46">
        <f t="shared" si="127"/>
        <v>30</v>
      </c>
      <c r="X527" s="46">
        <f t="shared" si="128"/>
        <v>29.333333333333332</v>
      </c>
      <c r="Y527" s="46">
        <f>IFERROR(IF(OR(C527="AREA I",C527="AREA V"),7,VLOOKUP(A527,'[1]MC Masterlist 2026-09-12'!$B:$M, 12, 0)),0)</f>
        <v>30</v>
      </c>
      <c r="Z527" s="46">
        <f t="shared" si="129"/>
        <v>0.66666666666666663</v>
      </c>
      <c r="AA527" s="46">
        <f t="shared" si="130"/>
        <v>1.3333333333333333</v>
      </c>
      <c r="AB527" s="46">
        <f t="shared" si="131"/>
        <v>1.3037037037037036</v>
      </c>
      <c r="AC527" s="46">
        <f t="shared" si="132"/>
        <v>1.3333333333333333</v>
      </c>
      <c r="AD527" s="44" t="str">
        <f t="shared" si="133"/>
        <v>Over</v>
      </c>
      <c r="AE527" s="44" t="str">
        <f>IFERROR(VLOOKUP(A527,'[1]Re-order'!$A:$AA,27,0),"")</f>
        <v>Re-order</v>
      </c>
      <c r="AF527" s="46">
        <f t="shared" si="134"/>
        <v>-0.66666666666666674</v>
      </c>
      <c r="AG527" s="46">
        <f>SUMIFS('[1]Raw Inventory'!D:D,'[1]Raw Inventory'!C:C,"GREATWALL",'[1]Raw Inventory'!B:B,A527)</f>
        <v>16</v>
      </c>
      <c r="AH527" s="46">
        <f>SUMIFS('[1]Raw Inventory'!D:D,'[1]Raw Inventory'!C:C,"DUARTE",'[1]Raw Inventory'!B:B,A527)</f>
        <v>0</v>
      </c>
      <c r="AI527" s="46"/>
      <c r="AJ527" s="46"/>
      <c r="AK527" s="43"/>
      <c r="AL527" s="43"/>
      <c r="AM527" s="43"/>
      <c r="AN527" s="43"/>
      <c r="AO527" s="43"/>
      <c r="AP527" s="43"/>
      <c r="AQ527" s="43"/>
      <c r="AR527" s="43"/>
      <c r="AS527" s="43"/>
      <c r="AT527" s="43"/>
    </row>
    <row r="528" spans="1:46">
      <c r="A528" s="43" t="s">
        <v>70</v>
      </c>
      <c r="B528" s="43" t="s">
        <v>93</v>
      </c>
      <c r="C528" s="43" t="s">
        <v>90</v>
      </c>
      <c r="D528" s="44" t="s">
        <v>221</v>
      </c>
      <c r="E528" s="44">
        <v>17</v>
      </c>
      <c r="F528" s="44" t="s">
        <v>3</v>
      </c>
      <c r="G528" s="43" t="str">
        <f>IFERROR(VLOOKUP(A528,'[1]MC Masterlist 2026-09-12'!$B:$M, 3, 0),"")</f>
        <v>KAWASAKI</v>
      </c>
      <c r="H528" s="45">
        <f>IFERROR(VLOOKUP(A528,'[1]MC Masterlist 2026-09-12'!$B:$M, 6, 0),"")</f>
        <v>91770</v>
      </c>
      <c r="I528" s="46">
        <v>0</v>
      </c>
      <c r="J528" s="46">
        <v>0</v>
      </c>
      <c r="K528" s="46">
        <v>1</v>
      </c>
      <c r="L528" s="46">
        <f t="shared" si="120"/>
        <v>1</v>
      </c>
      <c r="M528" s="46">
        <f t="shared" si="121"/>
        <v>0.33333333333333331</v>
      </c>
      <c r="N528" s="45">
        <f t="shared" si="122"/>
        <v>91770</v>
      </c>
      <c r="O528" s="45">
        <f t="shared" si="123"/>
        <v>30590</v>
      </c>
      <c r="P528" s="46">
        <f t="shared" si="124"/>
        <v>1.111111111111111E-2</v>
      </c>
      <c r="Q528" s="46"/>
      <c r="R528" s="45">
        <f t="shared" si="125"/>
        <v>0</v>
      </c>
      <c r="S528" s="46">
        <f t="shared" si="126"/>
        <v>0</v>
      </c>
      <c r="T528" s="46">
        <f>IFERROR(VLOOKUP(A528,'[1]Re-order'!$A:$Q,17,0),"")</f>
        <v>255</v>
      </c>
      <c r="U528" s="46">
        <f>IFERROR(VLOOKUP(A528,'[1]MC Masterlist 2026-09-12'!$B:$M, 10, 0),0)</f>
        <v>15</v>
      </c>
      <c r="V528" s="46">
        <f>IFERROR(VLOOKUP(A528,'[1]MC Masterlist 2026-09-12'!$B:$M, 11, 0),0)</f>
        <v>15</v>
      </c>
      <c r="W528" s="46">
        <f t="shared" si="127"/>
        <v>30</v>
      </c>
      <c r="X528" s="46">
        <f t="shared" si="128"/>
        <v>29.833333333333332</v>
      </c>
      <c r="Y528" s="46">
        <f>IFERROR(IF(OR(C528="AREA I",C528="AREA V"),7,VLOOKUP(A528,'[1]MC Masterlist 2026-09-12'!$B:$M, 12, 0)),0)</f>
        <v>30</v>
      </c>
      <c r="Z528" s="46">
        <f t="shared" si="129"/>
        <v>0.16666666666666666</v>
      </c>
      <c r="AA528" s="46">
        <f t="shared" si="130"/>
        <v>0.33333333333333331</v>
      </c>
      <c r="AB528" s="46">
        <f t="shared" si="131"/>
        <v>0.33148148148148143</v>
      </c>
      <c r="AC528" s="46">
        <f t="shared" si="132"/>
        <v>0.33333333333333331</v>
      </c>
      <c r="AD528" s="44" t="str">
        <f t="shared" si="133"/>
        <v>Stockout</v>
      </c>
      <c r="AE528" s="44" t="str">
        <f>IFERROR(VLOOKUP(A528,'[1]Re-order'!$A:$AA,27,0),"")</f>
        <v>Over</v>
      </c>
      <c r="AF528" s="46">
        <f t="shared" si="134"/>
        <v>0.33333333333333331</v>
      </c>
      <c r="AG528" s="46">
        <f>SUMIFS('[1]Raw Inventory'!D:D,'[1]Raw Inventory'!C:C,"GREATWALL",'[1]Raw Inventory'!B:B,A528)</f>
        <v>4</v>
      </c>
      <c r="AH528" s="46">
        <f>SUMIFS('[1]Raw Inventory'!D:D,'[1]Raw Inventory'!C:C,"DUARTE",'[1]Raw Inventory'!B:B,A528)</f>
        <v>0</v>
      </c>
      <c r="AI528" s="46"/>
      <c r="AJ528" s="46"/>
      <c r="AK528" s="43"/>
      <c r="AL528" s="43"/>
      <c r="AM528" s="43"/>
      <c r="AN528" s="43"/>
      <c r="AO528" s="43"/>
      <c r="AP528" s="43"/>
      <c r="AQ528" s="43"/>
      <c r="AR528" s="43"/>
      <c r="AS528" s="43"/>
      <c r="AT528" s="43"/>
    </row>
    <row r="529" spans="1:46">
      <c r="A529" s="43" t="s">
        <v>44</v>
      </c>
      <c r="B529" s="43" t="s">
        <v>123</v>
      </c>
      <c r="C529" s="43" t="s">
        <v>118</v>
      </c>
      <c r="D529" s="44" t="s">
        <v>224</v>
      </c>
      <c r="E529" s="44">
        <v>10</v>
      </c>
      <c r="F529" s="44" t="s">
        <v>2</v>
      </c>
      <c r="G529" s="43" t="str">
        <f>IFERROR(VLOOKUP(A529,'[1]MC Masterlist 2026-09-12'!$B:$M, 3, 0),"")</f>
        <v>YAMAHA</v>
      </c>
      <c r="H529" s="45">
        <f>IFERROR(VLOOKUP(A529,'[1]MC Masterlist 2026-09-12'!$B:$M, 6, 0),"")</f>
        <v>165912</v>
      </c>
      <c r="I529" s="46">
        <v>0</v>
      </c>
      <c r="J529" s="46">
        <v>1</v>
      </c>
      <c r="K529" s="46">
        <v>0</v>
      </c>
      <c r="L529" s="46">
        <f t="shared" si="120"/>
        <v>1</v>
      </c>
      <c r="M529" s="46">
        <f t="shared" si="121"/>
        <v>0.33333333333333331</v>
      </c>
      <c r="N529" s="45">
        <f t="shared" si="122"/>
        <v>165912</v>
      </c>
      <c r="O529" s="45">
        <f t="shared" si="123"/>
        <v>55304</v>
      </c>
      <c r="P529" s="46">
        <f t="shared" si="124"/>
        <v>1.111111111111111E-2</v>
      </c>
      <c r="Q529" s="46">
        <v>1</v>
      </c>
      <c r="R529" s="45">
        <f t="shared" si="125"/>
        <v>165912</v>
      </c>
      <c r="S529" s="46">
        <f t="shared" si="126"/>
        <v>90</v>
      </c>
      <c r="T529" s="46">
        <f>IFERROR(VLOOKUP(A529,'[1]Re-order'!$A:$Q,17,0),"")</f>
        <v>10.588235294117649</v>
      </c>
      <c r="U529" s="46">
        <f>IFERROR(VLOOKUP(A529,'[1]MC Masterlist 2026-09-12'!$B:$M, 10, 0),0)</f>
        <v>15</v>
      </c>
      <c r="V529" s="46">
        <f>IFERROR(VLOOKUP(A529,'[1]MC Masterlist 2026-09-12'!$B:$M, 11, 0),0)</f>
        <v>15</v>
      </c>
      <c r="W529" s="46">
        <f t="shared" si="127"/>
        <v>30</v>
      </c>
      <c r="X529" s="46">
        <f t="shared" si="128"/>
        <v>29.833333333333332</v>
      </c>
      <c r="Y529" s="46">
        <f>IFERROR(IF(OR(C529="AREA I",C529="AREA V"),7,VLOOKUP(A529,'[1]MC Masterlist 2026-09-12'!$B:$M, 12, 0)),0)</f>
        <v>30</v>
      </c>
      <c r="Z529" s="46">
        <f t="shared" si="129"/>
        <v>0.16666666666666666</v>
      </c>
      <c r="AA529" s="46">
        <f t="shared" si="130"/>
        <v>0.33333333333333331</v>
      </c>
      <c r="AB529" s="46">
        <f t="shared" si="131"/>
        <v>0.33148148148148143</v>
      </c>
      <c r="AC529" s="46">
        <f t="shared" si="132"/>
        <v>0.33333333333333331</v>
      </c>
      <c r="AD529" s="44" t="str">
        <f t="shared" si="133"/>
        <v>Over</v>
      </c>
      <c r="AE529" s="44" t="str">
        <f>IFERROR(VLOOKUP(A529,'[1]Re-order'!$A:$AA,27,0),"")</f>
        <v>Stockout</v>
      </c>
      <c r="AF529" s="46">
        <f t="shared" si="134"/>
        <v>-0.66666666666666674</v>
      </c>
      <c r="AG529" s="46">
        <f>SUMIFS('[1]Raw Inventory'!D:D,'[1]Raw Inventory'!C:C,"GREATWALL",'[1]Raw Inventory'!B:B,A529)</f>
        <v>0</v>
      </c>
      <c r="AH529" s="46">
        <f>SUMIFS('[1]Raw Inventory'!D:D,'[1]Raw Inventory'!C:C,"DUARTE",'[1]Raw Inventory'!B:B,A529)</f>
        <v>0</v>
      </c>
      <c r="AI529" s="46"/>
      <c r="AJ529" s="46"/>
      <c r="AK529" s="43"/>
      <c r="AL529" s="43"/>
      <c r="AM529" s="43"/>
      <c r="AN529" s="43"/>
      <c r="AO529" s="43"/>
      <c r="AP529" s="43"/>
      <c r="AQ529" s="43"/>
      <c r="AR529" s="43"/>
      <c r="AS529" s="43"/>
      <c r="AT529" s="43"/>
    </row>
    <row r="530" spans="1:46">
      <c r="A530" s="43" t="s">
        <v>17</v>
      </c>
      <c r="B530" s="43" t="s">
        <v>141</v>
      </c>
      <c r="C530" s="43" t="s">
        <v>137</v>
      </c>
      <c r="D530" s="44" t="s">
        <v>264</v>
      </c>
      <c r="E530" s="44">
        <v>7</v>
      </c>
      <c r="F530" s="44" t="s">
        <v>0</v>
      </c>
      <c r="G530" s="43" t="str">
        <f>IFERROR(VLOOKUP(A530,'[1]MC Masterlist 2026-09-12'!$B:$M, 3, 0),"")</f>
        <v>HONDA</v>
      </c>
      <c r="H530" s="45">
        <f>IFERROR(VLOOKUP(A530,'[1]MC Masterlist 2026-09-12'!$B:$M, 6, 0),"")</f>
        <v>140790</v>
      </c>
      <c r="I530" s="46">
        <v>4</v>
      </c>
      <c r="J530" s="46">
        <v>1</v>
      </c>
      <c r="K530" s="46">
        <v>0</v>
      </c>
      <c r="L530" s="46">
        <f t="shared" si="120"/>
        <v>5</v>
      </c>
      <c r="M530" s="46">
        <f t="shared" si="121"/>
        <v>1.6666666666666667</v>
      </c>
      <c r="N530" s="45">
        <f t="shared" si="122"/>
        <v>703950</v>
      </c>
      <c r="O530" s="45">
        <f t="shared" si="123"/>
        <v>234650</v>
      </c>
      <c r="P530" s="46">
        <f t="shared" si="124"/>
        <v>5.5555555555555559E-2</v>
      </c>
      <c r="Q530" s="46">
        <v>0</v>
      </c>
      <c r="R530" s="45">
        <f t="shared" si="125"/>
        <v>0</v>
      </c>
      <c r="S530" s="46">
        <f t="shared" si="126"/>
        <v>0</v>
      </c>
      <c r="T530" s="46">
        <f>IFERROR(VLOOKUP(A530,'[1]Re-order'!$A:$Q,17,0),"")</f>
        <v>43.663366336633665</v>
      </c>
      <c r="U530" s="46">
        <f>IFERROR(VLOOKUP(A530,'[1]MC Masterlist 2026-09-12'!$B:$M, 10, 0),0)</f>
        <v>15</v>
      </c>
      <c r="V530" s="46">
        <f>IFERROR(VLOOKUP(A530,'[1]MC Masterlist 2026-09-12'!$B:$M, 11, 0),0)</f>
        <v>15</v>
      </c>
      <c r="W530" s="46">
        <f t="shared" si="127"/>
        <v>30</v>
      </c>
      <c r="X530" s="46">
        <f t="shared" si="128"/>
        <v>6.166666666666667</v>
      </c>
      <c r="Y530" s="46">
        <f>IFERROR(IF(OR(C530="AREA I",C530="AREA V"),7,VLOOKUP(A530,'[1]MC Masterlist 2026-09-12'!$B:$M, 12, 0)),0)</f>
        <v>7</v>
      </c>
      <c r="Z530" s="46">
        <f t="shared" si="129"/>
        <v>0.83333333333333337</v>
      </c>
      <c r="AA530" s="46">
        <f t="shared" si="130"/>
        <v>1.6666666666666667</v>
      </c>
      <c r="AB530" s="46">
        <f t="shared" si="131"/>
        <v>0.34259259259259262</v>
      </c>
      <c r="AC530" s="46">
        <f t="shared" si="132"/>
        <v>0.3888888888888889</v>
      </c>
      <c r="AD530" s="44" t="str">
        <f t="shared" si="133"/>
        <v>Stockout</v>
      </c>
      <c r="AE530" s="44" t="str">
        <f>IFERROR(VLOOKUP(A530,'[1]Re-order'!$A:$AA,27,0),"")</f>
        <v>Re-order</v>
      </c>
      <c r="AF530" s="46">
        <f t="shared" si="134"/>
        <v>0.3888888888888889</v>
      </c>
      <c r="AG530" s="46">
        <f>SUMIFS('[1]Raw Inventory'!D:D,'[1]Raw Inventory'!C:C,"GREATWALL",'[1]Raw Inventory'!B:B,A530)</f>
        <v>12</v>
      </c>
      <c r="AH530" s="46">
        <f>SUMIFS('[1]Raw Inventory'!D:D,'[1]Raw Inventory'!C:C,"DUARTE",'[1]Raw Inventory'!B:B,A530)</f>
        <v>0</v>
      </c>
      <c r="AI530" s="46"/>
      <c r="AJ530" s="46"/>
      <c r="AK530" s="43"/>
      <c r="AL530" s="43"/>
      <c r="AM530" s="43"/>
      <c r="AN530" s="43"/>
      <c r="AO530" s="43"/>
      <c r="AP530" s="43"/>
      <c r="AQ530" s="43"/>
      <c r="AR530" s="43"/>
      <c r="AS530" s="43"/>
      <c r="AT530" s="43"/>
    </row>
    <row r="531" spans="1:46">
      <c r="A531" s="43" t="s">
        <v>43</v>
      </c>
      <c r="B531" s="43" t="s">
        <v>113</v>
      </c>
      <c r="C531" s="43" t="s">
        <v>109</v>
      </c>
      <c r="D531" s="44" t="s">
        <v>233</v>
      </c>
      <c r="E531" s="44">
        <v>9</v>
      </c>
      <c r="F531" s="44" t="s">
        <v>2</v>
      </c>
      <c r="G531" s="43" t="str">
        <f>IFERROR(VLOOKUP(A531,'[1]MC Masterlist 2026-09-12'!$B:$M, 3, 0),"")</f>
        <v>YAMAHA</v>
      </c>
      <c r="H531" s="45">
        <f>IFERROR(VLOOKUP(A531,'[1]MC Masterlist 2026-09-12'!$B:$M, 6, 0),"")</f>
        <v>70587</v>
      </c>
      <c r="I531" s="46">
        <v>3</v>
      </c>
      <c r="J531" s="46">
        <v>4</v>
      </c>
      <c r="K531" s="46">
        <v>1</v>
      </c>
      <c r="L531" s="46">
        <f t="shared" si="120"/>
        <v>8</v>
      </c>
      <c r="M531" s="46">
        <f t="shared" si="121"/>
        <v>2.6666666666666665</v>
      </c>
      <c r="N531" s="45">
        <f t="shared" si="122"/>
        <v>564696</v>
      </c>
      <c r="O531" s="45">
        <f t="shared" si="123"/>
        <v>188232</v>
      </c>
      <c r="P531" s="46">
        <f t="shared" si="124"/>
        <v>8.8888888888888878E-2</v>
      </c>
      <c r="Q531" s="46">
        <v>2</v>
      </c>
      <c r="R531" s="45">
        <f t="shared" si="125"/>
        <v>141174</v>
      </c>
      <c r="S531" s="46">
        <f t="shared" si="126"/>
        <v>22.5</v>
      </c>
      <c r="T531" s="46">
        <f>IFERROR(VLOOKUP(A531,'[1]Re-order'!$A:$Q,17,0),"")</f>
        <v>43.578947368421055</v>
      </c>
      <c r="U531" s="46">
        <f>IFERROR(VLOOKUP(A531,'[1]MC Masterlist 2026-09-12'!$B:$M, 10, 0),0)</f>
        <v>15</v>
      </c>
      <c r="V531" s="46">
        <f>IFERROR(VLOOKUP(A531,'[1]MC Masterlist 2026-09-12'!$B:$M, 11, 0),0)</f>
        <v>15</v>
      </c>
      <c r="W531" s="46">
        <f t="shared" si="127"/>
        <v>30</v>
      </c>
      <c r="X531" s="46">
        <f t="shared" si="128"/>
        <v>28.666666666666668</v>
      </c>
      <c r="Y531" s="46">
        <f>IFERROR(IF(OR(C531="AREA I",C531="AREA V"),7,VLOOKUP(A531,'[1]MC Masterlist 2026-09-12'!$B:$M, 12, 0)),0)</f>
        <v>30</v>
      </c>
      <c r="Z531" s="46">
        <f t="shared" si="129"/>
        <v>1.3333333333333333</v>
      </c>
      <c r="AA531" s="46">
        <f t="shared" si="130"/>
        <v>2.6666666666666665</v>
      </c>
      <c r="AB531" s="46">
        <f t="shared" si="131"/>
        <v>2.5481481481481478</v>
      </c>
      <c r="AC531" s="46">
        <f t="shared" si="132"/>
        <v>2.6666666666666665</v>
      </c>
      <c r="AD531" s="44" t="str">
        <f t="shared" si="133"/>
        <v>Re-order</v>
      </c>
      <c r="AE531" s="44" t="str">
        <f>IFERROR(VLOOKUP(A531,'[1]Re-order'!$A:$AA,27,0),"")</f>
        <v>Re-order</v>
      </c>
      <c r="AF531" s="46">
        <f t="shared" si="134"/>
        <v>0.66666666666666652</v>
      </c>
      <c r="AG531" s="46">
        <f>SUMIFS('[1]Raw Inventory'!D:D,'[1]Raw Inventory'!C:C,"GREATWALL",'[1]Raw Inventory'!B:B,A531)</f>
        <v>0</v>
      </c>
      <c r="AH531" s="46">
        <f>SUMIFS('[1]Raw Inventory'!D:D,'[1]Raw Inventory'!C:C,"DUARTE",'[1]Raw Inventory'!B:B,A531)</f>
        <v>0</v>
      </c>
      <c r="AI531" s="46"/>
      <c r="AJ531" s="46"/>
      <c r="AK531" s="43"/>
      <c r="AL531" s="43"/>
      <c r="AM531" s="43"/>
      <c r="AN531" s="43"/>
      <c r="AO531" s="43"/>
      <c r="AP531" s="43"/>
      <c r="AQ531" s="43"/>
      <c r="AR531" s="43"/>
      <c r="AS531" s="43"/>
      <c r="AT531" s="43"/>
    </row>
    <row r="532" spans="1:46">
      <c r="A532" s="43" t="s">
        <v>45</v>
      </c>
      <c r="B532" s="43" t="s">
        <v>21</v>
      </c>
      <c r="C532" s="43" t="s">
        <v>1</v>
      </c>
      <c r="D532" s="44" t="s">
        <v>236</v>
      </c>
      <c r="E532" s="44">
        <v>10</v>
      </c>
      <c r="F532" s="44" t="s">
        <v>2</v>
      </c>
      <c r="G532" s="43" t="str">
        <f>IFERROR(VLOOKUP(A532,'[1]MC Masterlist 2026-09-12'!$B:$M, 3, 0),"")</f>
        <v>YAMAHA</v>
      </c>
      <c r="H532" s="45">
        <f>IFERROR(VLOOKUP(A532,'[1]MC Masterlist 2026-09-12'!$B:$M, 6, 0),"")</f>
        <v>117087</v>
      </c>
      <c r="I532" s="46">
        <v>5</v>
      </c>
      <c r="J532" s="46">
        <v>0</v>
      </c>
      <c r="K532" s="46">
        <v>0</v>
      </c>
      <c r="L532" s="46">
        <f t="shared" si="120"/>
        <v>5</v>
      </c>
      <c r="M532" s="46">
        <f t="shared" si="121"/>
        <v>1.6666666666666667</v>
      </c>
      <c r="N532" s="45">
        <f t="shared" si="122"/>
        <v>585435</v>
      </c>
      <c r="O532" s="45">
        <f t="shared" si="123"/>
        <v>195145</v>
      </c>
      <c r="P532" s="46">
        <f t="shared" si="124"/>
        <v>5.5555555555555559E-2</v>
      </c>
      <c r="Q532" s="46"/>
      <c r="R532" s="45">
        <f t="shared" si="125"/>
        <v>0</v>
      </c>
      <c r="S532" s="46">
        <f t="shared" si="126"/>
        <v>0</v>
      </c>
      <c r="T532" s="46">
        <f>IFERROR(VLOOKUP(A532,'[1]Re-order'!$A:$Q,17,0),"")</f>
        <v>18.94736842105263</v>
      </c>
      <c r="U532" s="46">
        <f>IFERROR(VLOOKUP(A532,'[1]MC Masterlist 2026-09-12'!$B:$M, 10, 0),0)</f>
        <v>15</v>
      </c>
      <c r="V532" s="46">
        <f>IFERROR(VLOOKUP(A532,'[1]MC Masterlist 2026-09-12'!$B:$M, 11, 0),0)</f>
        <v>15</v>
      </c>
      <c r="W532" s="46">
        <f t="shared" si="127"/>
        <v>30</v>
      </c>
      <c r="X532" s="46">
        <f t="shared" si="128"/>
        <v>6.166666666666667</v>
      </c>
      <c r="Y532" s="46">
        <f>IFERROR(IF(OR(C532="AREA I",C532="AREA V"),7,VLOOKUP(A532,'[1]MC Masterlist 2026-09-12'!$B:$M, 12, 0)),0)</f>
        <v>7</v>
      </c>
      <c r="Z532" s="46">
        <f t="shared" si="129"/>
        <v>0.83333333333333337</v>
      </c>
      <c r="AA532" s="46">
        <f t="shared" si="130"/>
        <v>1.6666666666666667</v>
      </c>
      <c r="AB532" s="46">
        <f t="shared" si="131"/>
        <v>0.34259259259259262</v>
      </c>
      <c r="AC532" s="46">
        <f t="shared" si="132"/>
        <v>0.3888888888888889</v>
      </c>
      <c r="AD532" s="44" t="str">
        <f t="shared" si="133"/>
        <v>Stockout</v>
      </c>
      <c r="AE532" s="44" t="str">
        <f>IFERROR(VLOOKUP(A532,'[1]Re-order'!$A:$AA,27,0),"")</f>
        <v>Stockout</v>
      </c>
      <c r="AF532" s="46">
        <f t="shared" si="134"/>
        <v>0.3888888888888889</v>
      </c>
      <c r="AG532" s="46">
        <f>SUMIFS('[1]Raw Inventory'!D:D,'[1]Raw Inventory'!C:C,"GREATWALL",'[1]Raw Inventory'!B:B,A532)</f>
        <v>5</v>
      </c>
      <c r="AH532" s="46">
        <f>SUMIFS('[1]Raw Inventory'!D:D,'[1]Raw Inventory'!C:C,"DUARTE",'[1]Raw Inventory'!B:B,A532)</f>
        <v>0</v>
      </c>
      <c r="AI532" s="46"/>
      <c r="AJ532" s="46"/>
      <c r="AK532" s="43"/>
      <c r="AL532" s="43"/>
      <c r="AM532" s="43"/>
      <c r="AN532" s="43"/>
      <c r="AO532" s="43"/>
      <c r="AP532" s="43"/>
      <c r="AQ532" s="43"/>
      <c r="AR532" s="43"/>
      <c r="AS532" s="43"/>
      <c r="AT532" s="43"/>
    </row>
    <row r="533" spans="1:46">
      <c r="A533" s="43" t="s">
        <v>24</v>
      </c>
      <c r="B533" s="43" t="s">
        <v>112</v>
      </c>
      <c r="C533" s="43" t="s">
        <v>109</v>
      </c>
      <c r="D533" s="44" t="s">
        <v>237</v>
      </c>
      <c r="E533" s="44">
        <v>23</v>
      </c>
      <c r="F533" s="44" t="s">
        <v>3</v>
      </c>
      <c r="G533" s="43" t="str">
        <f>IFERROR(VLOOKUP(A533,'[1]MC Masterlist 2026-09-12'!$B:$M, 3, 0),"")</f>
        <v>KAWASAKI</v>
      </c>
      <c r="H533" s="45">
        <f>IFERROR(VLOOKUP(A533,'[1]MC Masterlist 2026-09-12'!$B:$M, 6, 0),"")</f>
        <v>131626</v>
      </c>
      <c r="I533" s="46">
        <v>0</v>
      </c>
      <c r="J533" s="46">
        <v>0</v>
      </c>
      <c r="K533" s="46">
        <v>0</v>
      </c>
      <c r="L533" s="46">
        <f t="shared" si="120"/>
        <v>0</v>
      </c>
      <c r="M533" s="46">
        <f t="shared" si="121"/>
        <v>0</v>
      </c>
      <c r="N533" s="45">
        <f t="shared" si="122"/>
        <v>0</v>
      </c>
      <c r="O533" s="45">
        <f t="shared" si="123"/>
        <v>0</v>
      </c>
      <c r="P533" s="46">
        <f t="shared" si="124"/>
        <v>0</v>
      </c>
      <c r="Q533" s="46">
        <v>1</v>
      </c>
      <c r="R533" s="45">
        <f t="shared" si="125"/>
        <v>131626</v>
      </c>
      <c r="S533" s="46">
        <f t="shared" si="126"/>
        <v>0</v>
      </c>
      <c r="T533" s="46">
        <f>IFERROR(VLOOKUP(A533,'[1]Re-order'!$A:$Q,17,0),"")</f>
        <v>40.677966101694913</v>
      </c>
      <c r="U533" s="46">
        <f>IFERROR(VLOOKUP(A533,'[1]MC Masterlist 2026-09-12'!$B:$M, 10, 0),0)</f>
        <v>15</v>
      </c>
      <c r="V533" s="46">
        <f>IFERROR(VLOOKUP(A533,'[1]MC Masterlist 2026-09-12'!$B:$M, 11, 0),0)</f>
        <v>15</v>
      </c>
      <c r="W533" s="46">
        <f t="shared" si="127"/>
        <v>30</v>
      </c>
      <c r="X533" s="46">
        <f t="shared" si="128"/>
        <v>30</v>
      </c>
      <c r="Y533" s="46">
        <f>IFERROR(IF(OR(C533="AREA I",C533="AREA V"),7,VLOOKUP(A533,'[1]MC Masterlist 2026-09-12'!$B:$M, 12, 0)),0)</f>
        <v>30</v>
      </c>
      <c r="Z533" s="46">
        <f t="shared" si="129"/>
        <v>0</v>
      </c>
      <c r="AA533" s="46">
        <f t="shared" si="130"/>
        <v>0</v>
      </c>
      <c r="AB533" s="46">
        <f t="shared" si="131"/>
        <v>0</v>
      </c>
      <c r="AC533" s="46">
        <f t="shared" si="132"/>
        <v>0</v>
      </c>
      <c r="AD533" s="44" t="str">
        <f t="shared" si="133"/>
        <v>Over</v>
      </c>
      <c r="AE533" s="44" t="str">
        <f>IFERROR(VLOOKUP(A533,'[1]Re-order'!$A:$AA,27,0),"")</f>
        <v>Re-order</v>
      </c>
      <c r="AF533" s="46">
        <f t="shared" si="134"/>
        <v>-1</v>
      </c>
      <c r="AG533" s="46">
        <f>SUMIFS('[1]Raw Inventory'!D:D,'[1]Raw Inventory'!C:C,"GREATWALL",'[1]Raw Inventory'!B:B,A533)</f>
        <v>12</v>
      </c>
      <c r="AH533" s="46">
        <f>SUMIFS('[1]Raw Inventory'!D:D,'[1]Raw Inventory'!C:C,"DUARTE",'[1]Raw Inventory'!B:B,A533)</f>
        <v>0</v>
      </c>
      <c r="AI533" s="46"/>
      <c r="AJ533" s="46"/>
      <c r="AK533" s="43"/>
      <c r="AL533" s="43"/>
      <c r="AM533" s="43"/>
      <c r="AN533" s="43"/>
      <c r="AO533" s="43"/>
      <c r="AP533" s="43"/>
      <c r="AQ533" s="43"/>
      <c r="AR533" s="43"/>
      <c r="AS533" s="43"/>
      <c r="AT533" s="43"/>
    </row>
    <row r="534" spans="1:46">
      <c r="A534" s="43" t="s">
        <v>43</v>
      </c>
      <c r="B534" s="43" t="s">
        <v>144</v>
      </c>
      <c r="C534" s="43" t="s">
        <v>137</v>
      </c>
      <c r="D534" s="44" t="s">
        <v>257</v>
      </c>
      <c r="E534" s="44">
        <v>25</v>
      </c>
      <c r="F534" s="44" t="s">
        <v>3</v>
      </c>
      <c r="G534" s="43" t="str">
        <f>IFERROR(VLOOKUP(A534,'[1]MC Masterlist 2026-09-12'!$B:$M, 3, 0),"")</f>
        <v>YAMAHA</v>
      </c>
      <c r="H534" s="45">
        <f>IFERROR(VLOOKUP(A534,'[1]MC Masterlist 2026-09-12'!$B:$M, 6, 0),"")</f>
        <v>70587</v>
      </c>
      <c r="I534" s="46">
        <v>1</v>
      </c>
      <c r="J534" s="46">
        <v>0</v>
      </c>
      <c r="K534" s="46">
        <v>1</v>
      </c>
      <c r="L534" s="46">
        <f t="shared" si="120"/>
        <v>2</v>
      </c>
      <c r="M534" s="46">
        <f t="shared" si="121"/>
        <v>0.66666666666666663</v>
      </c>
      <c r="N534" s="45">
        <f t="shared" si="122"/>
        <v>141174</v>
      </c>
      <c r="O534" s="45">
        <f t="shared" si="123"/>
        <v>47058</v>
      </c>
      <c r="P534" s="46">
        <f t="shared" si="124"/>
        <v>2.222222222222222E-2</v>
      </c>
      <c r="Q534" s="46"/>
      <c r="R534" s="45">
        <f t="shared" si="125"/>
        <v>0</v>
      </c>
      <c r="S534" s="46">
        <f t="shared" si="126"/>
        <v>0</v>
      </c>
      <c r="T534" s="46">
        <f>IFERROR(VLOOKUP(A534,'[1]Re-order'!$A:$Q,17,0),"")</f>
        <v>43.578947368421055</v>
      </c>
      <c r="U534" s="46">
        <f>IFERROR(VLOOKUP(A534,'[1]MC Masterlist 2026-09-12'!$B:$M, 10, 0),0)</f>
        <v>15</v>
      </c>
      <c r="V534" s="46">
        <f>IFERROR(VLOOKUP(A534,'[1]MC Masterlist 2026-09-12'!$B:$M, 11, 0),0)</f>
        <v>15</v>
      </c>
      <c r="W534" s="46">
        <f t="shared" si="127"/>
        <v>30</v>
      </c>
      <c r="X534" s="46">
        <f t="shared" si="128"/>
        <v>6.666666666666667</v>
      </c>
      <c r="Y534" s="46">
        <f>IFERROR(IF(OR(C534="AREA I",C534="AREA V"),7,VLOOKUP(A534,'[1]MC Masterlist 2026-09-12'!$B:$M, 12, 0)),0)</f>
        <v>7</v>
      </c>
      <c r="Z534" s="46">
        <f t="shared" si="129"/>
        <v>0.33333333333333331</v>
      </c>
      <c r="AA534" s="46">
        <f t="shared" si="130"/>
        <v>0.66666666666666663</v>
      </c>
      <c r="AB534" s="46">
        <f t="shared" si="131"/>
        <v>0.14814814814814814</v>
      </c>
      <c r="AC534" s="46">
        <f t="shared" si="132"/>
        <v>0.15555555555555553</v>
      </c>
      <c r="AD534" s="44" t="str">
        <f t="shared" si="133"/>
        <v>Stockout</v>
      </c>
      <c r="AE534" s="44" t="str">
        <f>IFERROR(VLOOKUP(A534,'[1]Re-order'!$A:$AA,27,0),"")</f>
        <v>Re-order</v>
      </c>
      <c r="AF534" s="46">
        <f t="shared" si="134"/>
        <v>0.15555555555555553</v>
      </c>
      <c r="AG534" s="46">
        <f>SUMIFS('[1]Raw Inventory'!D:D,'[1]Raw Inventory'!C:C,"GREATWALL",'[1]Raw Inventory'!B:B,A534)</f>
        <v>0</v>
      </c>
      <c r="AH534" s="46">
        <f>SUMIFS('[1]Raw Inventory'!D:D,'[1]Raw Inventory'!C:C,"DUARTE",'[1]Raw Inventory'!B:B,A534)</f>
        <v>0</v>
      </c>
      <c r="AI534" s="46"/>
      <c r="AJ534" s="46"/>
      <c r="AK534" s="43"/>
      <c r="AL534" s="43"/>
      <c r="AM534" s="43"/>
      <c r="AN534" s="43"/>
      <c r="AO534" s="43"/>
      <c r="AP534" s="43"/>
      <c r="AQ534" s="43"/>
      <c r="AR534" s="43"/>
      <c r="AS534" s="43"/>
      <c r="AT534" s="43"/>
    </row>
    <row r="535" spans="1:46">
      <c r="A535" s="43" t="s">
        <v>45</v>
      </c>
      <c r="B535" s="43" t="s">
        <v>27</v>
      </c>
      <c r="C535" s="43" t="s">
        <v>1</v>
      </c>
      <c r="D535" s="44" t="s">
        <v>235</v>
      </c>
      <c r="E535" s="44">
        <v>25</v>
      </c>
      <c r="F535" s="44" t="s">
        <v>3</v>
      </c>
      <c r="G535" s="43" t="str">
        <f>IFERROR(VLOOKUP(A535,'[1]MC Masterlist 2026-09-12'!$B:$M, 3, 0),"")</f>
        <v>YAMAHA</v>
      </c>
      <c r="H535" s="45">
        <f>IFERROR(VLOOKUP(A535,'[1]MC Masterlist 2026-09-12'!$B:$M, 6, 0),"")</f>
        <v>117087</v>
      </c>
      <c r="I535" s="46">
        <v>1</v>
      </c>
      <c r="J535" s="46">
        <v>0</v>
      </c>
      <c r="K535" s="46">
        <v>0</v>
      </c>
      <c r="L535" s="46">
        <f t="shared" si="120"/>
        <v>1</v>
      </c>
      <c r="M535" s="46">
        <f t="shared" si="121"/>
        <v>0.33333333333333331</v>
      </c>
      <c r="N535" s="45">
        <f t="shared" si="122"/>
        <v>117087</v>
      </c>
      <c r="O535" s="45">
        <f t="shared" si="123"/>
        <v>39029</v>
      </c>
      <c r="P535" s="46">
        <f t="shared" si="124"/>
        <v>1.111111111111111E-2</v>
      </c>
      <c r="Q535" s="46"/>
      <c r="R535" s="45">
        <f t="shared" si="125"/>
        <v>0</v>
      </c>
      <c r="S535" s="46">
        <f t="shared" si="126"/>
        <v>0</v>
      </c>
      <c r="T535" s="46">
        <f>IFERROR(VLOOKUP(A535,'[1]Re-order'!$A:$Q,17,0),"")</f>
        <v>18.94736842105263</v>
      </c>
      <c r="U535" s="46">
        <f>IFERROR(VLOOKUP(A535,'[1]MC Masterlist 2026-09-12'!$B:$M, 10, 0),0)</f>
        <v>15</v>
      </c>
      <c r="V535" s="46">
        <f>IFERROR(VLOOKUP(A535,'[1]MC Masterlist 2026-09-12'!$B:$M, 11, 0),0)</f>
        <v>15</v>
      </c>
      <c r="W535" s="46">
        <f t="shared" si="127"/>
        <v>30</v>
      </c>
      <c r="X535" s="46">
        <f t="shared" si="128"/>
        <v>6.833333333333333</v>
      </c>
      <c r="Y535" s="46">
        <f>IFERROR(IF(OR(C535="AREA I",C535="AREA V"),7,VLOOKUP(A535,'[1]MC Masterlist 2026-09-12'!$B:$M, 12, 0)),0)</f>
        <v>7</v>
      </c>
      <c r="Z535" s="46">
        <f t="shared" si="129"/>
        <v>0.16666666666666666</v>
      </c>
      <c r="AA535" s="46">
        <f t="shared" si="130"/>
        <v>0.33333333333333331</v>
      </c>
      <c r="AB535" s="46">
        <f t="shared" si="131"/>
        <v>7.5925925925925911E-2</v>
      </c>
      <c r="AC535" s="46">
        <f t="shared" si="132"/>
        <v>7.7777777777777765E-2</v>
      </c>
      <c r="AD535" s="44" t="str">
        <f t="shared" si="133"/>
        <v>Stockout</v>
      </c>
      <c r="AE535" s="44" t="str">
        <f>IFERROR(VLOOKUP(A535,'[1]Re-order'!$A:$AA,27,0),"")</f>
        <v>Stockout</v>
      </c>
      <c r="AF535" s="46">
        <f t="shared" si="134"/>
        <v>7.7777777777777765E-2</v>
      </c>
      <c r="AG535" s="46">
        <f>SUMIFS('[1]Raw Inventory'!D:D,'[1]Raw Inventory'!C:C,"GREATWALL",'[1]Raw Inventory'!B:B,A535)</f>
        <v>5</v>
      </c>
      <c r="AH535" s="46">
        <f>SUMIFS('[1]Raw Inventory'!D:D,'[1]Raw Inventory'!C:C,"DUARTE",'[1]Raw Inventory'!B:B,A535)</f>
        <v>0</v>
      </c>
      <c r="AI535" s="46"/>
      <c r="AJ535" s="46"/>
      <c r="AK535" s="43"/>
      <c r="AL535" s="43"/>
      <c r="AM535" s="43"/>
      <c r="AN535" s="43"/>
      <c r="AO535" s="43"/>
      <c r="AP535" s="43"/>
      <c r="AQ535" s="43"/>
      <c r="AR535" s="43"/>
      <c r="AS535" s="43"/>
      <c r="AT535" s="43"/>
    </row>
    <row r="536" spans="1:46">
      <c r="A536" s="43" t="s">
        <v>49</v>
      </c>
      <c r="B536" s="43" t="s">
        <v>96</v>
      </c>
      <c r="C536" s="43" t="s">
        <v>90</v>
      </c>
      <c r="D536" s="44" t="s">
        <v>227</v>
      </c>
      <c r="E536" s="44">
        <v>1</v>
      </c>
      <c r="F536" s="44" t="s">
        <v>0</v>
      </c>
      <c r="G536" s="43" t="str">
        <f>IFERROR(VLOOKUP(A536,'[1]MC Masterlist 2026-09-12'!$B:$M, 3, 0),"")</f>
        <v>BAJAJ RE</v>
      </c>
      <c r="H536" s="45">
        <f>IFERROR(VLOOKUP(A536,'[1]MC Masterlist 2026-09-12'!$B:$M, 6, 0),"")</f>
        <v>191000</v>
      </c>
      <c r="I536" s="46">
        <v>3</v>
      </c>
      <c r="J536" s="46">
        <v>3</v>
      </c>
      <c r="K536" s="46">
        <v>1</v>
      </c>
      <c r="L536" s="46">
        <f t="shared" si="120"/>
        <v>7</v>
      </c>
      <c r="M536" s="46">
        <f t="shared" si="121"/>
        <v>2.3333333333333335</v>
      </c>
      <c r="N536" s="45">
        <f t="shared" si="122"/>
        <v>1337000</v>
      </c>
      <c r="O536" s="45">
        <f t="shared" si="123"/>
        <v>445666.66666666669</v>
      </c>
      <c r="P536" s="46">
        <f t="shared" si="124"/>
        <v>7.7777777777777779E-2</v>
      </c>
      <c r="Q536" s="46">
        <v>1</v>
      </c>
      <c r="R536" s="45">
        <f t="shared" si="125"/>
        <v>191000</v>
      </c>
      <c r="S536" s="46">
        <f t="shared" si="126"/>
        <v>12.857142857142856</v>
      </c>
      <c r="T536" s="46">
        <f>IFERROR(VLOOKUP(A536,'[1]Re-order'!$A:$Q,17,0),"")</f>
        <v>21.516709511568124</v>
      </c>
      <c r="U536" s="46">
        <f>IFERROR(VLOOKUP(A536,'[1]MC Masterlist 2026-09-12'!$B:$M, 10, 0),0)</f>
        <v>15</v>
      </c>
      <c r="V536" s="46">
        <f>IFERROR(VLOOKUP(A536,'[1]MC Masterlist 2026-09-12'!$B:$M, 11, 0),0)</f>
        <v>15</v>
      </c>
      <c r="W536" s="46">
        <f t="shared" si="127"/>
        <v>30</v>
      </c>
      <c r="X536" s="46">
        <f t="shared" si="128"/>
        <v>28.833333333333332</v>
      </c>
      <c r="Y536" s="46">
        <f>IFERROR(IF(OR(C536="AREA I",C536="AREA V"),7,VLOOKUP(A536,'[1]MC Masterlist 2026-09-12'!$B:$M, 12, 0)),0)</f>
        <v>30</v>
      </c>
      <c r="Z536" s="46">
        <f t="shared" si="129"/>
        <v>1.1666666666666667</v>
      </c>
      <c r="AA536" s="46">
        <f t="shared" si="130"/>
        <v>2.3333333333333335</v>
      </c>
      <c r="AB536" s="46">
        <f t="shared" si="131"/>
        <v>2.2425925925925925</v>
      </c>
      <c r="AC536" s="46">
        <f t="shared" si="132"/>
        <v>2.3333333333333335</v>
      </c>
      <c r="AD536" s="44" t="str">
        <f t="shared" si="133"/>
        <v>Stockout</v>
      </c>
      <c r="AE536" s="44" t="str">
        <f>IFERROR(VLOOKUP(A536,'[1]Re-order'!$A:$AA,27,0),"")</f>
        <v>Stockout</v>
      </c>
      <c r="AF536" s="46">
        <f t="shared" si="134"/>
        <v>1.3333333333333335</v>
      </c>
      <c r="AG536" s="46">
        <f>SUMIFS('[1]Raw Inventory'!D:D,'[1]Raw Inventory'!C:C,"GREATWALL",'[1]Raw Inventory'!B:B,A536)</f>
        <v>0</v>
      </c>
      <c r="AH536" s="46">
        <f>SUMIFS('[1]Raw Inventory'!D:D,'[1]Raw Inventory'!C:C,"DUARTE",'[1]Raw Inventory'!B:B,A536)</f>
        <v>0</v>
      </c>
      <c r="AI536" s="46"/>
      <c r="AJ536" s="46"/>
      <c r="AK536" s="43"/>
      <c r="AL536" s="43"/>
      <c r="AM536" s="43"/>
      <c r="AN536" s="43"/>
      <c r="AO536" s="43"/>
      <c r="AP536" s="43"/>
      <c r="AQ536" s="43"/>
      <c r="AR536" s="43"/>
      <c r="AS536" s="43"/>
      <c r="AT536" s="43"/>
    </row>
    <row r="537" spans="1:46">
      <c r="A537" s="43" t="s">
        <v>20</v>
      </c>
      <c r="B537" s="43" t="s">
        <v>92</v>
      </c>
      <c r="C537" s="43" t="s">
        <v>90</v>
      </c>
      <c r="D537" s="44" t="s">
        <v>256</v>
      </c>
      <c r="E537" s="44">
        <v>15</v>
      </c>
      <c r="F537" s="44" t="s">
        <v>2</v>
      </c>
      <c r="G537" s="43" t="str">
        <f>IFERROR(VLOOKUP(A537,'[1]MC Masterlist 2026-09-12'!$B:$M, 3, 0),"")</f>
        <v>HONDA</v>
      </c>
      <c r="H537" s="45">
        <f>IFERROR(VLOOKUP(A537,'[1]MC Masterlist 2026-09-12'!$B:$M, 6, 0),"")</f>
        <v>69950</v>
      </c>
      <c r="I537" s="46">
        <v>1</v>
      </c>
      <c r="J537" s="46">
        <v>0</v>
      </c>
      <c r="K537" s="46">
        <v>1</v>
      </c>
      <c r="L537" s="46">
        <f t="shared" si="120"/>
        <v>2</v>
      </c>
      <c r="M537" s="46">
        <f t="shared" si="121"/>
        <v>0.66666666666666663</v>
      </c>
      <c r="N537" s="45">
        <f t="shared" si="122"/>
        <v>139900</v>
      </c>
      <c r="O537" s="45">
        <f t="shared" si="123"/>
        <v>46633.333333333328</v>
      </c>
      <c r="P537" s="46">
        <f t="shared" si="124"/>
        <v>2.222222222222222E-2</v>
      </c>
      <c r="Q537" s="46">
        <v>6</v>
      </c>
      <c r="R537" s="45">
        <f t="shared" si="125"/>
        <v>419700</v>
      </c>
      <c r="S537" s="46">
        <f t="shared" si="126"/>
        <v>270.00000000000006</v>
      </c>
      <c r="T537" s="46">
        <f>IFERROR(VLOOKUP(A537,'[1]Re-order'!$A:$Q,17,0),"")</f>
        <v>75.775862068965523</v>
      </c>
      <c r="U537" s="46">
        <f>IFERROR(VLOOKUP(A537,'[1]MC Masterlist 2026-09-12'!$B:$M, 10, 0),0)</f>
        <v>15</v>
      </c>
      <c r="V537" s="46">
        <f>IFERROR(VLOOKUP(A537,'[1]MC Masterlist 2026-09-12'!$B:$M, 11, 0),0)</f>
        <v>15</v>
      </c>
      <c r="W537" s="46">
        <f t="shared" si="127"/>
        <v>30</v>
      </c>
      <c r="X537" s="46">
        <f t="shared" si="128"/>
        <v>29.666666666666668</v>
      </c>
      <c r="Y537" s="46">
        <f>IFERROR(IF(OR(C537="AREA I",C537="AREA V"),7,VLOOKUP(A537,'[1]MC Masterlist 2026-09-12'!$B:$M, 12, 0)),0)</f>
        <v>30</v>
      </c>
      <c r="Z537" s="46">
        <f t="shared" si="129"/>
        <v>0.33333333333333331</v>
      </c>
      <c r="AA537" s="46">
        <f t="shared" si="130"/>
        <v>0.66666666666666663</v>
      </c>
      <c r="AB537" s="46">
        <f t="shared" si="131"/>
        <v>0.65925925925925921</v>
      </c>
      <c r="AC537" s="46">
        <f t="shared" si="132"/>
        <v>0.66666666666666663</v>
      </c>
      <c r="AD537" s="44" t="str">
        <f t="shared" si="133"/>
        <v>Over</v>
      </c>
      <c r="AE537" s="44" t="str">
        <f>IFERROR(VLOOKUP(A537,'[1]Re-order'!$A:$AA,27,0),"")</f>
        <v/>
      </c>
      <c r="AF537" s="46">
        <f t="shared" si="134"/>
        <v>-5.333333333333333</v>
      </c>
      <c r="AG537" s="46">
        <f>SUMIFS('[1]Raw Inventory'!D:D,'[1]Raw Inventory'!C:C,"GREATWALL",'[1]Raw Inventory'!B:B,A537)</f>
        <v>110</v>
      </c>
      <c r="AH537" s="46">
        <f>SUMIFS('[1]Raw Inventory'!D:D,'[1]Raw Inventory'!C:C,"DUARTE",'[1]Raw Inventory'!B:B,A537)</f>
        <v>0</v>
      </c>
      <c r="AI537" s="46"/>
      <c r="AJ537" s="46"/>
      <c r="AK537" s="43"/>
      <c r="AL537" s="43"/>
      <c r="AM537" s="43"/>
      <c r="AN537" s="43"/>
      <c r="AO537" s="43"/>
      <c r="AP537" s="43"/>
      <c r="AQ537" s="43"/>
      <c r="AR537" s="43"/>
      <c r="AS537" s="43"/>
      <c r="AT537" s="43"/>
    </row>
    <row r="538" spans="1:46">
      <c r="A538" s="43" t="s">
        <v>81</v>
      </c>
      <c r="B538" s="43" t="s">
        <v>141</v>
      </c>
      <c r="C538" s="43" t="s">
        <v>137</v>
      </c>
      <c r="D538" s="44" t="s">
        <v>268</v>
      </c>
      <c r="E538" s="44">
        <v>20</v>
      </c>
      <c r="F538" s="44" t="s">
        <v>3</v>
      </c>
      <c r="G538" s="43" t="str">
        <f>IFERROR(VLOOKUP(A538,'[1]MC Masterlist 2026-09-12'!$B:$M, 3, 0),"")</f>
        <v>HONDA</v>
      </c>
      <c r="H538" s="45">
        <f>IFERROR(VLOOKUP(A538,'[1]MC Masterlist 2026-09-12'!$B:$M, 6, 0),"")</f>
        <v>126198</v>
      </c>
      <c r="I538" s="46">
        <v>0</v>
      </c>
      <c r="J538" s="46">
        <v>1</v>
      </c>
      <c r="K538" s="46">
        <v>0</v>
      </c>
      <c r="L538" s="46">
        <f t="shared" si="120"/>
        <v>1</v>
      </c>
      <c r="M538" s="46">
        <f t="shared" si="121"/>
        <v>0.33333333333333331</v>
      </c>
      <c r="N538" s="45">
        <f t="shared" si="122"/>
        <v>126198</v>
      </c>
      <c r="O538" s="45">
        <f t="shared" si="123"/>
        <v>42066</v>
      </c>
      <c r="P538" s="46">
        <f t="shared" si="124"/>
        <v>1.111111111111111E-2</v>
      </c>
      <c r="Q538" s="46">
        <v>0</v>
      </c>
      <c r="R538" s="45">
        <f t="shared" si="125"/>
        <v>0</v>
      </c>
      <c r="S538" s="46">
        <f t="shared" si="126"/>
        <v>0</v>
      </c>
      <c r="T538" s="46">
        <f>IFERROR(VLOOKUP(A538,'[1]Re-order'!$A:$Q,17,0),"")</f>
        <v>22.5</v>
      </c>
      <c r="U538" s="46">
        <f>IFERROR(VLOOKUP(A538,'[1]MC Masterlist 2026-09-12'!$B:$M, 10, 0),0)</f>
        <v>15</v>
      </c>
      <c r="V538" s="46">
        <f>IFERROR(VLOOKUP(A538,'[1]MC Masterlist 2026-09-12'!$B:$M, 11, 0),0)</f>
        <v>15</v>
      </c>
      <c r="W538" s="46">
        <f t="shared" si="127"/>
        <v>30</v>
      </c>
      <c r="X538" s="46">
        <f t="shared" si="128"/>
        <v>6.833333333333333</v>
      </c>
      <c r="Y538" s="46">
        <f>IFERROR(IF(OR(C538="AREA I",C538="AREA V"),7,VLOOKUP(A538,'[1]MC Masterlist 2026-09-12'!$B:$M, 12, 0)),0)</f>
        <v>7</v>
      </c>
      <c r="Z538" s="46">
        <f t="shared" si="129"/>
        <v>0.16666666666666666</v>
      </c>
      <c r="AA538" s="46">
        <f t="shared" si="130"/>
        <v>0.33333333333333331</v>
      </c>
      <c r="AB538" s="46">
        <f t="shared" si="131"/>
        <v>7.5925925925925911E-2</v>
      </c>
      <c r="AC538" s="46">
        <f t="shared" si="132"/>
        <v>7.7777777777777765E-2</v>
      </c>
      <c r="AD538" s="44" t="str">
        <f t="shared" si="133"/>
        <v>Stockout</v>
      </c>
      <c r="AE538" s="44" t="str">
        <f>IFERROR(VLOOKUP(A538,'[1]Re-order'!$A:$AA,27,0),"")</f>
        <v>Stockout</v>
      </c>
      <c r="AF538" s="46">
        <f t="shared" si="134"/>
        <v>7.7777777777777765E-2</v>
      </c>
      <c r="AG538" s="46">
        <f>SUMIFS('[1]Raw Inventory'!D:D,'[1]Raw Inventory'!C:C,"GREATWALL",'[1]Raw Inventory'!B:B,A538)</f>
        <v>0</v>
      </c>
      <c r="AH538" s="46">
        <f>SUMIFS('[1]Raw Inventory'!D:D,'[1]Raw Inventory'!C:C,"DUARTE",'[1]Raw Inventory'!B:B,A538)</f>
        <v>0</v>
      </c>
      <c r="AI538" s="46"/>
      <c r="AJ538" s="46"/>
      <c r="AK538" s="43"/>
      <c r="AL538" s="43"/>
      <c r="AM538" s="43"/>
      <c r="AN538" s="43"/>
      <c r="AO538" s="43"/>
      <c r="AP538" s="43"/>
      <c r="AQ538" s="43"/>
      <c r="AR538" s="43"/>
      <c r="AS538" s="43"/>
      <c r="AT538" s="43"/>
    </row>
    <row r="539" spans="1:46">
      <c r="A539" s="43" t="s">
        <v>35</v>
      </c>
      <c r="B539" s="43" t="s">
        <v>156</v>
      </c>
      <c r="C539" s="43" t="s">
        <v>152</v>
      </c>
      <c r="D539" s="44" t="s">
        <v>223</v>
      </c>
      <c r="E539" s="44">
        <v>18</v>
      </c>
      <c r="F539" s="44" t="s">
        <v>3</v>
      </c>
      <c r="G539" s="43" t="str">
        <f>IFERROR(VLOOKUP(A539,'[1]MC Masterlist 2026-09-12'!$B:$M, 3, 0),"")</f>
        <v>HONDA</v>
      </c>
      <c r="H539" s="45">
        <f>IFERROR(VLOOKUP(A539,'[1]MC Masterlist 2026-09-12'!$B:$M, 6, 0),"")</f>
        <v>57990</v>
      </c>
      <c r="I539" s="46">
        <v>0</v>
      </c>
      <c r="J539" s="46">
        <v>0</v>
      </c>
      <c r="K539" s="46">
        <v>2</v>
      </c>
      <c r="L539" s="46">
        <f t="shared" si="120"/>
        <v>2</v>
      </c>
      <c r="M539" s="46">
        <f t="shared" si="121"/>
        <v>0.66666666666666663</v>
      </c>
      <c r="N539" s="45">
        <f t="shared" si="122"/>
        <v>115980</v>
      </c>
      <c r="O539" s="45">
        <f t="shared" si="123"/>
        <v>38660</v>
      </c>
      <c r="P539" s="46">
        <f t="shared" si="124"/>
        <v>2.222222222222222E-2</v>
      </c>
      <c r="Q539" s="46">
        <v>1</v>
      </c>
      <c r="R539" s="45">
        <f t="shared" si="125"/>
        <v>57990</v>
      </c>
      <c r="S539" s="46">
        <f t="shared" si="126"/>
        <v>45</v>
      </c>
      <c r="T539" s="46">
        <f>IFERROR(VLOOKUP(A539,'[1]Re-order'!$A:$Q,17,0),"")</f>
        <v>68.275862068965523</v>
      </c>
      <c r="U539" s="46">
        <f>IFERROR(VLOOKUP(A539,'[1]MC Masterlist 2026-09-12'!$B:$M, 10, 0),0)</f>
        <v>15</v>
      </c>
      <c r="V539" s="46">
        <f>IFERROR(VLOOKUP(A539,'[1]MC Masterlist 2026-09-12'!$B:$M, 11, 0),0)</f>
        <v>15</v>
      </c>
      <c r="W539" s="46">
        <f t="shared" si="127"/>
        <v>30</v>
      </c>
      <c r="X539" s="46">
        <f t="shared" si="128"/>
        <v>29.666666666666668</v>
      </c>
      <c r="Y539" s="46">
        <f>IFERROR(IF(OR(C539="AREA I",C539="AREA V"),7,VLOOKUP(A539,'[1]MC Masterlist 2026-09-12'!$B:$M, 12, 0)),0)</f>
        <v>30</v>
      </c>
      <c r="Z539" s="46">
        <f t="shared" si="129"/>
        <v>0.33333333333333331</v>
      </c>
      <c r="AA539" s="46">
        <f t="shared" si="130"/>
        <v>0.66666666666666663</v>
      </c>
      <c r="AB539" s="46">
        <f t="shared" si="131"/>
        <v>0.65925925925925921</v>
      </c>
      <c r="AC539" s="46">
        <f t="shared" si="132"/>
        <v>0.66666666666666663</v>
      </c>
      <c r="AD539" s="44" t="str">
        <f t="shared" si="133"/>
        <v>Over</v>
      </c>
      <c r="AE539" s="44" t="str">
        <f>IFERROR(VLOOKUP(A539,'[1]Re-order'!$A:$AA,27,0),"")</f>
        <v>Re-order</v>
      </c>
      <c r="AF539" s="46">
        <f t="shared" si="134"/>
        <v>-0.33333333333333337</v>
      </c>
      <c r="AG539" s="46">
        <f>SUMIFS('[1]Raw Inventory'!D:D,'[1]Raw Inventory'!C:C,"GREATWALL",'[1]Raw Inventory'!B:B,A539)</f>
        <v>29</v>
      </c>
      <c r="AH539" s="46">
        <f>SUMIFS('[1]Raw Inventory'!D:D,'[1]Raw Inventory'!C:C,"DUARTE",'[1]Raw Inventory'!B:B,A539)</f>
        <v>0</v>
      </c>
      <c r="AI539" s="46"/>
      <c r="AJ539" s="46"/>
      <c r="AK539" s="43"/>
      <c r="AL539" s="43"/>
      <c r="AM539" s="43"/>
      <c r="AN539" s="43"/>
      <c r="AO539" s="43"/>
      <c r="AP539" s="43"/>
      <c r="AQ539" s="43"/>
      <c r="AR539" s="43"/>
      <c r="AS539" s="43"/>
      <c r="AT539" s="43"/>
    </row>
    <row r="540" spans="1:46">
      <c r="A540" s="43" t="s">
        <v>41</v>
      </c>
      <c r="B540" s="43" t="s">
        <v>161</v>
      </c>
      <c r="C540" s="43" t="s">
        <v>159</v>
      </c>
      <c r="D540" s="44" t="s">
        <v>264</v>
      </c>
      <c r="E540" s="44">
        <v>1</v>
      </c>
      <c r="F540" s="44" t="s">
        <v>0</v>
      </c>
      <c r="G540" s="43" t="str">
        <f>IFERROR(VLOOKUP(A540,'[1]MC Masterlist 2026-09-12'!$B:$M, 3, 0),"")</f>
        <v>YAMAHA</v>
      </c>
      <c r="H540" s="45">
        <f>IFERROR(VLOOKUP(A540,'[1]MC Masterlist 2026-09-12'!$B:$M, 6, 0),"")</f>
        <v>92907</v>
      </c>
      <c r="I540" s="46">
        <v>0</v>
      </c>
      <c r="J540" s="46">
        <v>0</v>
      </c>
      <c r="K540" s="46">
        <v>0</v>
      </c>
      <c r="L540" s="46">
        <f t="shared" si="120"/>
        <v>0</v>
      </c>
      <c r="M540" s="46">
        <f t="shared" si="121"/>
        <v>0</v>
      </c>
      <c r="N540" s="45">
        <f t="shared" si="122"/>
        <v>0</v>
      </c>
      <c r="O540" s="45">
        <f t="shared" si="123"/>
        <v>0</v>
      </c>
      <c r="P540" s="46">
        <f t="shared" si="124"/>
        <v>0</v>
      </c>
      <c r="Q540" s="46">
        <v>2</v>
      </c>
      <c r="R540" s="45">
        <f t="shared" si="125"/>
        <v>185814</v>
      </c>
      <c r="S540" s="46">
        <f t="shared" si="126"/>
        <v>0</v>
      </c>
      <c r="T540" s="46">
        <f>IFERROR(VLOOKUP(A540,'[1]Re-order'!$A:$Q,17,0),"")</f>
        <v>240</v>
      </c>
      <c r="U540" s="46">
        <f>IFERROR(VLOOKUP(A540,'[1]MC Masterlist 2026-09-12'!$B:$M, 10, 0),0)</f>
        <v>15</v>
      </c>
      <c r="V540" s="46">
        <f>IFERROR(VLOOKUP(A540,'[1]MC Masterlist 2026-09-12'!$B:$M, 11, 0),0)</f>
        <v>15</v>
      </c>
      <c r="W540" s="46">
        <f t="shared" si="127"/>
        <v>30</v>
      </c>
      <c r="X540" s="46">
        <f t="shared" si="128"/>
        <v>30</v>
      </c>
      <c r="Y540" s="46">
        <f>IFERROR(IF(OR(C540="AREA I",C540="AREA V"),7,VLOOKUP(A540,'[1]MC Masterlist 2026-09-12'!$B:$M, 12, 0)),0)</f>
        <v>30</v>
      </c>
      <c r="Z540" s="46">
        <f t="shared" si="129"/>
        <v>0</v>
      </c>
      <c r="AA540" s="46">
        <f t="shared" si="130"/>
        <v>0</v>
      </c>
      <c r="AB540" s="46">
        <f t="shared" si="131"/>
        <v>0</v>
      </c>
      <c r="AC540" s="46">
        <f t="shared" si="132"/>
        <v>0</v>
      </c>
      <c r="AD540" s="44" t="str">
        <f t="shared" si="133"/>
        <v>Over</v>
      </c>
      <c r="AE540" s="44" t="str">
        <f>IFERROR(VLOOKUP(A540,'[1]Re-order'!$A:$AA,27,0),"")</f>
        <v>Over</v>
      </c>
      <c r="AF540" s="46">
        <f t="shared" si="134"/>
        <v>-2</v>
      </c>
      <c r="AG540" s="46">
        <f>SUMIFS('[1]Raw Inventory'!D:D,'[1]Raw Inventory'!C:C,"GREATWALL",'[1]Raw Inventory'!B:B,A540)</f>
        <v>2</v>
      </c>
      <c r="AH540" s="46">
        <f>SUMIFS('[1]Raw Inventory'!D:D,'[1]Raw Inventory'!C:C,"DUARTE",'[1]Raw Inventory'!B:B,A540)</f>
        <v>0</v>
      </c>
      <c r="AI540" s="46"/>
      <c r="AJ540" s="46"/>
      <c r="AK540" s="43"/>
      <c r="AL540" s="43"/>
      <c r="AM540" s="43"/>
      <c r="AN540" s="43"/>
      <c r="AO540" s="43"/>
      <c r="AP540" s="43"/>
      <c r="AQ540" s="43"/>
      <c r="AR540" s="43"/>
      <c r="AS540" s="43"/>
      <c r="AT540" s="43"/>
    </row>
    <row r="541" spans="1:46">
      <c r="A541" s="43" t="s">
        <v>25</v>
      </c>
      <c r="B541" s="43" t="s">
        <v>138</v>
      </c>
      <c r="C541" s="43" t="s">
        <v>137</v>
      </c>
      <c r="D541" s="44" t="s">
        <v>257</v>
      </c>
      <c r="E541" s="44">
        <v>21</v>
      </c>
      <c r="F541" s="44" t="s">
        <v>3</v>
      </c>
      <c r="G541" s="43" t="str">
        <f>IFERROR(VLOOKUP(A541,'[1]MC Masterlist 2026-09-12'!$B:$M, 3, 0),"")</f>
        <v>YAMAHA</v>
      </c>
      <c r="H541" s="45">
        <f>IFERROR(VLOOKUP(A541,'[1]MC Masterlist 2026-09-12'!$B:$M, 6, 0),"")</f>
        <v>124527</v>
      </c>
      <c r="I541" s="46">
        <v>0</v>
      </c>
      <c r="J541" s="46">
        <v>0</v>
      </c>
      <c r="K541" s="46">
        <v>0</v>
      </c>
      <c r="L541" s="46">
        <f t="shared" si="120"/>
        <v>0</v>
      </c>
      <c r="M541" s="46">
        <f t="shared" si="121"/>
        <v>0</v>
      </c>
      <c r="N541" s="45">
        <f t="shared" si="122"/>
        <v>0</v>
      </c>
      <c r="O541" s="45">
        <f t="shared" si="123"/>
        <v>0</v>
      </c>
      <c r="P541" s="46">
        <f t="shared" si="124"/>
        <v>0</v>
      </c>
      <c r="Q541" s="46">
        <v>1</v>
      </c>
      <c r="R541" s="45">
        <f t="shared" si="125"/>
        <v>124527</v>
      </c>
      <c r="S541" s="46">
        <f t="shared" si="126"/>
        <v>0</v>
      </c>
      <c r="T541" s="46">
        <f>IFERROR(VLOOKUP(A541,'[1]Re-order'!$A:$Q,17,0),"")</f>
        <v>5.1030927835051543</v>
      </c>
      <c r="U541" s="46">
        <f>IFERROR(VLOOKUP(A541,'[1]MC Masterlist 2026-09-12'!$B:$M, 10, 0),0)</f>
        <v>15</v>
      </c>
      <c r="V541" s="46">
        <f>IFERROR(VLOOKUP(A541,'[1]MC Masterlist 2026-09-12'!$B:$M, 11, 0),0)</f>
        <v>15</v>
      </c>
      <c r="W541" s="46">
        <f t="shared" si="127"/>
        <v>30</v>
      </c>
      <c r="X541" s="46">
        <f t="shared" si="128"/>
        <v>7</v>
      </c>
      <c r="Y541" s="46">
        <f>IFERROR(IF(OR(C541="AREA I",C541="AREA V"),7,VLOOKUP(A541,'[1]MC Masterlist 2026-09-12'!$B:$M, 12, 0)),0)</f>
        <v>7</v>
      </c>
      <c r="Z541" s="46">
        <f t="shared" si="129"/>
        <v>0</v>
      </c>
      <c r="AA541" s="46">
        <f t="shared" si="130"/>
        <v>0</v>
      </c>
      <c r="AB541" s="46">
        <f t="shared" si="131"/>
        <v>0</v>
      </c>
      <c r="AC541" s="46">
        <f t="shared" si="132"/>
        <v>0</v>
      </c>
      <c r="AD541" s="44" t="str">
        <f t="shared" si="133"/>
        <v>Over</v>
      </c>
      <c r="AE541" s="44" t="str">
        <f>IFERROR(VLOOKUP(A541,'[1]Re-order'!$A:$AA,27,0),"")</f>
        <v>Stockout</v>
      </c>
      <c r="AF541" s="46">
        <f t="shared" si="134"/>
        <v>-1</v>
      </c>
      <c r="AG541" s="46">
        <f>SUMIFS('[1]Raw Inventory'!D:D,'[1]Raw Inventory'!C:C,"GREATWALL",'[1]Raw Inventory'!B:B,A541)</f>
        <v>1</v>
      </c>
      <c r="AH541" s="46">
        <f>SUMIFS('[1]Raw Inventory'!D:D,'[1]Raw Inventory'!C:C,"DUARTE",'[1]Raw Inventory'!B:B,A541)</f>
        <v>0</v>
      </c>
      <c r="AI541" s="46"/>
      <c r="AJ541" s="46"/>
      <c r="AK541" s="43"/>
      <c r="AL541" s="43"/>
      <c r="AM541" s="43"/>
      <c r="AN541" s="43"/>
      <c r="AO541" s="43"/>
      <c r="AP541" s="43"/>
      <c r="AQ541" s="43"/>
      <c r="AR541" s="43"/>
      <c r="AS541" s="43"/>
      <c r="AT541" s="43"/>
    </row>
    <row r="542" spans="1:46">
      <c r="A542" s="43" t="s">
        <v>18</v>
      </c>
      <c r="B542" s="43" t="s">
        <v>98</v>
      </c>
      <c r="C542" s="43" t="s">
        <v>90</v>
      </c>
      <c r="D542" s="44" t="s">
        <v>223</v>
      </c>
      <c r="E542" s="44">
        <v>18</v>
      </c>
      <c r="F542" s="44" t="s">
        <v>3</v>
      </c>
      <c r="G542" s="43" t="str">
        <f>IFERROR(VLOOKUP(A542,'[1]MC Masterlist 2026-09-12'!$B:$M, 3, 0),"")</f>
        <v>HONDA</v>
      </c>
      <c r="H542" s="45">
        <f>IFERROR(VLOOKUP(A542,'[1]MC Masterlist 2026-09-12'!$B:$M, 6, 0),"")</f>
        <v>94330</v>
      </c>
      <c r="I542" s="46">
        <v>0</v>
      </c>
      <c r="J542" s="46">
        <v>1</v>
      </c>
      <c r="K542" s="46">
        <v>0</v>
      </c>
      <c r="L542" s="46">
        <f t="shared" si="120"/>
        <v>1</v>
      </c>
      <c r="M542" s="46">
        <f t="shared" si="121"/>
        <v>0.33333333333333331</v>
      </c>
      <c r="N542" s="45">
        <f t="shared" si="122"/>
        <v>94330</v>
      </c>
      <c r="O542" s="45">
        <f t="shared" si="123"/>
        <v>31443.333333333332</v>
      </c>
      <c r="P542" s="46">
        <f t="shared" si="124"/>
        <v>1.111111111111111E-2</v>
      </c>
      <c r="Q542" s="46">
        <v>3</v>
      </c>
      <c r="R542" s="45">
        <f t="shared" si="125"/>
        <v>282990</v>
      </c>
      <c r="S542" s="46">
        <f t="shared" si="126"/>
        <v>270</v>
      </c>
      <c r="T542" s="46">
        <f>IFERROR(VLOOKUP(A542,'[1]Re-order'!$A:$Q,17,0),"")</f>
        <v>113.9644970414201</v>
      </c>
      <c r="U542" s="46">
        <f>IFERROR(VLOOKUP(A542,'[1]MC Masterlist 2026-09-12'!$B:$M, 10, 0),0)</f>
        <v>15</v>
      </c>
      <c r="V542" s="46">
        <f>IFERROR(VLOOKUP(A542,'[1]MC Masterlist 2026-09-12'!$B:$M, 11, 0),0)</f>
        <v>15</v>
      </c>
      <c r="W542" s="46">
        <f t="shared" si="127"/>
        <v>30</v>
      </c>
      <c r="X542" s="46">
        <f t="shared" si="128"/>
        <v>29.833333333333332</v>
      </c>
      <c r="Y542" s="46">
        <f>IFERROR(IF(OR(C542="AREA I",C542="AREA V"),7,VLOOKUP(A542,'[1]MC Masterlist 2026-09-12'!$B:$M, 12, 0)),0)</f>
        <v>30</v>
      </c>
      <c r="Z542" s="46">
        <f t="shared" si="129"/>
        <v>0.16666666666666666</v>
      </c>
      <c r="AA542" s="46">
        <f t="shared" si="130"/>
        <v>0.33333333333333331</v>
      </c>
      <c r="AB542" s="46">
        <f t="shared" si="131"/>
        <v>0.33148148148148143</v>
      </c>
      <c r="AC542" s="46">
        <f t="shared" si="132"/>
        <v>0.33333333333333331</v>
      </c>
      <c r="AD542" s="44" t="str">
        <f t="shared" si="133"/>
        <v>Over</v>
      </c>
      <c r="AE542" s="44" t="str">
        <f>IFERROR(VLOOKUP(A542,'[1]Re-order'!$A:$AA,27,0),"")</f>
        <v>Over</v>
      </c>
      <c r="AF542" s="46">
        <f t="shared" si="134"/>
        <v>-2.6666666666666665</v>
      </c>
      <c r="AG542" s="46">
        <f>SUMIFS('[1]Raw Inventory'!D:D,'[1]Raw Inventory'!C:C,"GREATWALL",'[1]Raw Inventory'!B:B,A542)</f>
        <v>88</v>
      </c>
      <c r="AH542" s="46">
        <f>SUMIFS('[1]Raw Inventory'!D:D,'[1]Raw Inventory'!C:C,"DUARTE",'[1]Raw Inventory'!B:B,A542)</f>
        <v>0</v>
      </c>
      <c r="AI542" s="46"/>
      <c r="AJ542" s="46"/>
      <c r="AK542" s="43"/>
      <c r="AL542" s="43"/>
      <c r="AM542" s="43"/>
      <c r="AN542" s="43"/>
      <c r="AO542" s="43"/>
      <c r="AP542" s="43"/>
      <c r="AQ542" s="43"/>
      <c r="AR542" s="43"/>
      <c r="AS542" s="43"/>
      <c r="AT542" s="43"/>
    </row>
    <row r="543" spans="1:46">
      <c r="A543" s="43" t="s">
        <v>37</v>
      </c>
      <c r="B543" s="43" t="s">
        <v>129</v>
      </c>
      <c r="C543" s="43" t="s">
        <v>128</v>
      </c>
      <c r="D543" s="44" t="s">
        <v>257</v>
      </c>
      <c r="E543" s="44">
        <v>19</v>
      </c>
      <c r="F543" s="44" t="s">
        <v>3</v>
      </c>
      <c r="G543" s="43" t="str">
        <f>IFERROR(VLOOKUP(A543,'[1]MC Masterlist 2026-09-12'!$B:$M, 3, 0),"")</f>
        <v>HONDA</v>
      </c>
      <c r="H543" s="45">
        <f>IFERROR(VLOOKUP(A543,'[1]MC Masterlist 2026-09-12'!$B:$M, 6, 0),"")</f>
        <v>74550</v>
      </c>
      <c r="I543" s="46">
        <v>1</v>
      </c>
      <c r="J543" s="46">
        <v>0</v>
      </c>
      <c r="K543" s="46">
        <v>0</v>
      </c>
      <c r="L543" s="46">
        <f t="shared" si="120"/>
        <v>1</v>
      </c>
      <c r="M543" s="46">
        <f t="shared" si="121"/>
        <v>0.33333333333333331</v>
      </c>
      <c r="N543" s="45">
        <f t="shared" si="122"/>
        <v>74550</v>
      </c>
      <c r="O543" s="45">
        <f t="shared" si="123"/>
        <v>24850</v>
      </c>
      <c r="P543" s="46">
        <f t="shared" si="124"/>
        <v>1.111111111111111E-2</v>
      </c>
      <c r="Q543" s="46">
        <v>1</v>
      </c>
      <c r="R543" s="45">
        <f t="shared" si="125"/>
        <v>74550</v>
      </c>
      <c r="S543" s="46">
        <f t="shared" si="126"/>
        <v>90</v>
      </c>
      <c r="T543" s="46">
        <f>IFERROR(VLOOKUP(A543,'[1]Re-order'!$A:$Q,17,0),"")</f>
        <v>33.652173913043477</v>
      </c>
      <c r="U543" s="46">
        <f>IFERROR(VLOOKUP(A543,'[1]MC Masterlist 2026-09-12'!$B:$M, 10, 0),0)</f>
        <v>15</v>
      </c>
      <c r="V543" s="46">
        <f>IFERROR(VLOOKUP(A543,'[1]MC Masterlist 2026-09-12'!$B:$M, 11, 0),0)</f>
        <v>15</v>
      </c>
      <c r="W543" s="46">
        <f t="shared" si="127"/>
        <v>30</v>
      </c>
      <c r="X543" s="46">
        <f t="shared" si="128"/>
        <v>29.833333333333332</v>
      </c>
      <c r="Y543" s="46">
        <f>IFERROR(IF(OR(C543="AREA I",C543="AREA V"),7,VLOOKUP(A543,'[1]MC Masterlist 2026-09-12'!$B:$M, 12, 0)),0)</f>
        <v>30</v>
      </c>
      <c r="Z543" s="46">
        <f t="shared" si="129"/>
        <v>0.16666666666666666</v>
      </c>
      <c r="AA543" s="46">
        <f t="shared" si="130"/>
        <v>0.33333333333333331</v>
      </c>
      <c r="AB543" s="46">
        <f t="shared" si="131"/>
        <v>0.33148148148148143</v>
      </c>
      <c r="AC543" s="46">
        <f t="shared" si="132"/>
        <v>0.33333333333333331</v>
      </c>
      <c r="AD543" s="44" t="str">
        <f t="shared" si="133"/>
        <v>Over</v>
      </c>
      <c r="AE543" s="44" t="str">
        <f>IFERROR(VLOOKUP(A543,'[1]Re-order'!$A:$AA,27,0),"")</f>
        <v>Re-order</v>
      </c>
      <c r="AF543" s="46">
        <f t="shared" si="134"/>
        <v>-0.66666666666666674</v>
      </c>
      <c r="AG543" s="46">
        <f>SUMIFS('[1]Raw Inventory'!D:D,'[1]Raw Inventory'!C:C,"GREATWALL",'[1]Raw Inventory'!B:B,A543)</f>
        <v>28</v>
      </c>
      <c r="AH543" s="46">
        <f>SUMIFS('[1]Raw Inventory'!D:D,'[1]Raw Inventory'!C:C,"DUARTE",'[1]Raw Inventory'!B:B,A543)</f>
        <v>0</v>
      </c>
      <c r="AI543" s="46"/>
      <c r="AJ543" s="46"/>
      <c r="AK543" s="43"/>
      <c r="AL543" s="43"/>
      <c r="AM543" s="43"/>
      <c r="AN543" s="43"/>
      <c r="AO543" s="43"/>
      <c r="AP543" s="43"/>
      <c r="AQ543" s="43"/>
      <c r="AR543" s="43"/>
      <c r="AS543" s="43"/>
      <c r="AT543" s="43"/>
    </row>
    <row r="544" spans="1:46">
      <c r="A544" s="43" t="s">
        <v>14</v>
      </c>
      <c r="B544" s="43" t="s">
        <v>5</v>
      </c>
      <c r="C544" s="43" t="s">
        <v>118</v>
      </c>
      <c r="D544" s="44" t="s">
        <v>227</v>
      </c>
      <c r="E544" s="44">
        <v>1</v>
      </c>
      <c r="F544" s="44" t="s">
        <v>0</v>
      </c>
      <c r="G544" s="43" t="str">
        <f>IFERROR(VLOOKUP(A544,'[1]MC Masterlist 2026-09-12'!$B:$M, 3, 0),"")</f>
        <v>HONDA</v>
      </c>
      <c r="H544" s="45">
        <f>IFERROR(VLOOKUP(A544,'[1]MC Masterlist 2026-09-12'!$B:$M, 6, 0),"")</f>
        <v>80070</v>
      </c>
      <c r="I544" s="46">
        <v>13</v>
      </c>
      <c r="J544" s="46">
        <v>1</v>
      </c>
      <c r="K544" s="46">
        <v>8</v>
      </c>
      <c r="L544" s="46">
        <f t="shared" si="120"/>
        <v>22</v>
      </c>
      <c r="M544" s="46">
        <f t="shared" si="121"/>
        <v>7.333333333333333</v>
      </c>
      <c r="N544" s="45">
        <f t="shared" si="122"/>
        <v>1761540</v>
      </c>
      <c r="O544" s="45">
        <f t="shared" si="123"/>
        <v>587180</v>
      </c>
      <c r="P544" s="46">
        <f t="shared" si="124"/>
        <v>0.24444444444444444</v>
      </c>
      <c r="Q544" s="46">
        <v>5</v>
      </c>
      <c r="R544" s="45">
        <f t="shared" si="125"/>
        <v>400350</v>
      </c>
      <c r="S544" s="46">
        <f t="shared" si="126"/>
        <v>20.454545454545453</v>
      </c>
      <c r="T544" s="46">
        <f>IFERROR(VLOOKUP(A544,'[1]Re-order'!$A:$Q,17,0),"")</f>
        <v>20.105787181082761</v>
      </c>
      <c r="U544" s="46">
        <f>IFERROR(VLOOKUP(A544,'[1]MC Masterlist 2026-09-12'!$B:$M, 10, 0),0)</f>
        <v>15</v>
      </c>
      <c r="V544" s="46">
        <f>IFERROR(VLOOKUP(A544,'[1]MC Masterlist 2026-09-12'!$B:$M, 11, 0),0)</f>
        <v>15</v>
      </c>
      <c r="W544" s="46">
        <f t="shared" si="127"/>
        <v>30</v>
      </c>
      <c r="X544" s="46">
        <f t="shared" si="128"/>
        <v>26.333333333333332</v>
      </c>
      <c r="Y544" s="46">
        <f>IFERROR(IF(OR(C544="AREA I",C544="AREA V"),7,VLOOKUP(A544,'[1]MC Masterlist 2026-09-12'!$B:$M, 12, 0)),0)</f>
        <v>30</v>
      </c>
      <c r="Z544" s="46">
        <f t="shared" si="129"/>
        <v>3.6666666666666665</v>
      </c>
      <c r="AA544" s="46">
        <f t="shared" si="130"/>
        <v>7.333333333333333</v>
      </c>
      <c r="AB544" s="46">
        <f t="shared" si="131"/>
        <v>6.4370370370370367</v>
      </c>
      <c r="AC544" s="46">
        <f t="shared" si="132"/>
        <v>7.333333333333333</v>
      </c>
      <c r="AD544" s="44" t="str">
        <f t="shared" si="133"/>
        <v>Re-order</v>
      </c>
      <c r="AE544" s="44" t="str">
        <f>IFERROR(VLOOKUP(A544,'[1]Re-order'!$A:$AA,27,0),"")</f>
        <v>Stockout</v>
      </c>
      <c r="AF544" s="46">
        <f t="shared" si="134"/>
        <v>2.333333333333333</v>
      </c>
      <c r="AG544" s="46">
        <f>SUMIFS('[1]Raw Inventory'!D:D,'[1]Raw Inventory'!C:C,"GREATWALL",'[1]Raw Inventory'!B:B,A544)</f>
        <v>176</v>
      </c>
      <c r="AH544" s="46">
        <f>SUMIFS('[1]Raw Inventory'!D:D,'[1]Raw Inventory'!C:C,"DUARTE",'[1]Raw Inventory'!B:B,A544)</f>
        <v>0</v>
      </c>
      <c r="AI544" s="46"/>
      <c r="AJ544" s="46"/>
      <c r="AK544" s="43"/>
      <c r="AL544" s="43"/>
      <c r="AM544" s="43"/>
      <c r="AN544" s="43"/>
      <c r="AO544" s="43"/>
      <c r="AP544" s="43"/>
      <c r="AQ544" s="43"/>
      <c r="AR544" s="43"/>
      <c r="AS544" s="43"/>
      <c r="AT544" s="43"/>
    </row>
    <row r="545" spans="1:46">
      <c r="A545" s="43" t="s">
        <v>18</v>
      </c>
      <c r="B545" s="43" t="s">
        <v>111</v>
      </c>
      <c r="C545" s="43" t="s">
        <v>109</v>
      </c>
      <c r="D545" s="44" t="s">
        <v>221</v>
      </c>
      <c r="E545" s="44">
        <v>21</v>
      </c>
      <c r="F545" s="44" t="s">
        <v>3</v>
      </c>
      <c r="G545" s="43" t="str">
        <f>IFERROR(VLOOKUP(A545,'[1]MC Masterlist 2026-09-12'!$B:$M, 3, 0),"")</f>
        <v>HONDA</v>
      </c>
      <c r="H545" s="45">
        <f>IFERROR(VLOOKUP(A545,'[1]MC Masterlist 2026-09-12'!$B:$M, 6, 0),"")</f>
        <v>94330</v>
      </c>
      <c r="I545" s="46">
        <v>0</v>
      </c>
      <c r="J545" s="46">
        <v>0</v>
      </c>
      <c r="K545" s="46">
        <v>1</v>
      </c>
      <c r="L545" s="46">
        <f t="shared" si="120"/>
        <v>1</v>
      </c>
      <c r="M545" s="46">
        <f t="shared" si="121"/>
        <v>0.33333333333333331</v>
      </c>
      <c r="N545" s="45">
        <f t="shared" si="122"/>
        <v>94330</v>
      </c>
      <c r="O545" s="45">
        <f t="shared" si="123"/>
        <v>31443.333333333332</v>
      </c>
      <c r="P545" s="46">
        <f t="shared" si="124"/>
        <v>1.111111111111111E-2</v>
      </c>
      <c r="Q545" s="46">
        <v>2</v>
      </c>
      <c r="R545" s="45">
        <f t="shared" si="125"/>
        <v>188660</v>
      </c>
      <c r="S545" s="46">
        <f t="shared" si="126"/>
        <v>180</v>
      </c>
      <c r="T545" s="46">
        <f>IFERROR(VLOOKUP(A545,'[1]Re-order'!$A:$Q,17,0),"")</f>
        <v>113.9644970414201</v>
      </c>
      <c r="U545" s="46">
        <f>IFERROR(VLOOKUP(A545,'[1]MC Masterlist 2026-09-12'!$B:$M, 10, 0),0)</f>
        <v>15</v>
      </c>
      <c r="V545" s="46">
        <f>IFERROR(VLOOKUP(A545,'[1]MC Masterlist 2026-09-12'!$B:$M, 11, 0),0)</f>
        <v>15</v>
      </c>
      <c r="W545" s="46">
        <f t="shared" si="127"/>
        <v>30</v>
      </c>
      <c r="X545" s="46">
        <f t="shared" si="128"/>
        <v>29.833333333333332</v>
      </c>
      <c r="Y545" s="46">
        <f>IFERROR(IF(OR(C545="AREA I",C545="AREA V"),7,VLOOKUP(A545,'[1]MC Masterlist 2026-09-12'!$B:$M, 12, 0)),0)</f>
        <v>30</v>
      </c>
      <c r="Z545" s="46">
        <f t="shared" si="129"/>
        <v>0.16666666666666666</v>
      </c>
      <c r="AA545" s="46">
        <f t="shared" si="130"/>
        <v>0.33333333333333331</v>
      </c>
      <c r="AB545" s="46">
        <f t="shared" si="131"/>
        <v>0.33148148148148143</v>
      </c>
      <c r="AC545" s="46">
        <f t="shared" si="132"/>
        <v>0.33333333333333331</v>
      </c>
      <c r="AD545" s="44" t="str">
        <f t="shared" si="133"/>
        <v>Over</v>
      </c>
      <c r="AE545" s="44" t="str">
        <f>IFERROR(VLOOKUP(A545,'[1]Re-order'!$A:$AA,27,0),"")</f>
        <v>Over</v>
      </c>
      <c r="AF545" s="46">
        <f t="shared" si="134"/>
        <v>-1.6666666666666667</v>
      </c>
      <c r="AG545" s="46">
        <f>SUMIFS('[1]Raw Inventory'!D:D,'[1]Raw Inventory'!C:C,"GREATWALL",'[1]Raw Inventory'!B:B,A545)</f>
        <v>88</v>
      </c>
      <c r="AH545" s="46">
        <f>SUMIFS('[1]Raw Inventory'!D:D,'[1]Raw Inventory'!C:C,"DUARTE",'[1]Raw Inventory'!B:B,A545)</f>
        <v>0</v>
      </c>
      <c r="AI545" s="46"/>
      <c r="AJ545" s="46"/>
      <c r="AK545" s="43"/>
      <c r="AL545" s="43"/>
      <c r="AM545" s="43"/>
      <c r="AN545" s="43"/>
      <c r="AO545" s="43"/>
      <c r="AP545" s="43"/>
      <c r="AQ545" s="43"/>
      <c r="AR545" s="43"/>
      <c r="AS545" s="43"/>
      <c r="AT545" s="43"/>
    </row>
    <row r="546" spans="1:46">
      <c r="A546" s="43" t="s">
        <v>108</v>
      </c>
      <c r="B546" s="43" t="s">
        <v>160</v>
      </c>
      <c r="C546" s="43" t="s">
        <v>159</v>
      </c>
      <c r="D546" s="44" t="s">
        <v>253</v>
      </c>
      <c r="E546" s="44">
        <v>24</v>
      </c>
      <c r="F546" s="44" t="s">
        <v>3</v>
      </c>
      <c r="G546" s="43" t="str">
        <f>IFERROR(VLOOKUP(A546,'[1]MC Masterlist 2026-09-12'!$B:$M, 3, 0),"")</f>
        <v>SUZUKI</v>
      </c>
      <c r="H546" s="45">
        <f>IFERROR(VLOOKUP(A546,'[1]MC Masterlist 2026-09-12'!$B:$M, 6, 0),"")</f>
        <v>66412</v>
      </c>
      <c r="I546" s="46">
        <v>0</v>
      </c>
      <c r="J546" s="46">
        <v>0</v>
      </c>
      <c r="K546" s="46">
        <v>0</v>
      </c>
      <c r="L546" s="46">
        <f t="shared" si="120"/>
        <v>0</v>
      </c>
      <c r="M546" s="46">
        <f t="shared" si="121"/>
        <v>0</v>
      </c>
      <c r="N546" s="45">
        <f t="shared" si="122"/>
        <v>0</v>
      </c>
      <c r="O546" s="45">
        <f t="shared" si="123"/>
        <v>0</v>
      </c>
      <c r="P546" s="46">
        <f t="shared" si="124"/>
        <v>0</v>
      </c>
      <c r="Q546" s="46">
        <v>1</v>
      </c>
      <c r="R546" s="45">
        <f t="shared" si="125"/>
        <v>66412</v>
      </c>
      <c r="S546" s="46">
        <f t="shared" si="126"/>
        <v>0</v>
      </c>
      <c r="T546" s="46">
        <f>IFERROR(VLOOKUP(A546,'[1]Re-order'!$A:$Q,17,0),"")</f>
        <v>540</v>
      </c>
      <c r="U546" s="46">
        <f>IFERROR(VLOOKUP(A546,'[1]MC Masterlist 2026-09-12'!$B:$M, 10, 0),0)</f>
        <v>15</v>
      </c>
      <c r="V546" s="46">
        <f>IFERROR(VLOOKUP(A546,'[1]MC Masterlist 2026-09-12'!$B:$M, 11, 0),0)</f>
        <v>15</v>
      </c>
      <c r="W546" s="46">
        <f t="shared" si="127"/>
        <v>30</v>
      </c>
      <c r="X546" s="46">
        <f t="shared" si="128"/>
        <v>30</v>
      </c>
      <c r="Y546" s="46">
        <f>IFERROR(IF(OR(C546="AREA I",C546="AREA V"),7,VLOOKUP(A546,'[1]MC Masterlist 2026-09-12'!$B:$M, 12, 0)),0)</f>
        <v>30</v>
      </c>
      <c r="Z546" s="46">
        <f t="shared" si="129"/>
        <v>0</v>
      </c>
      <c r="AA546" s="46">
        <f t="shared" si="130"/>
        <v>0</v>
      </c>
      <c r="AB546" s="46">
        <f t="shared" si="131"/>
        <v>0</v>
      </c>
      <c r="AC546" s="46">
        <f t="shared" si="132"/>
        <v>0</v>
      </c>
      <c r="AD546" s="44" t="str">
        <f t="shared" si="133"/>
        <v>Over</v>
      </c>
      <c r="AE546" s="44" t="str">
        <f>IFERROR(VLOOKUP(A546,'[1]Re-order'!$A:$AA,27,0),"")</f>
        <v>Over</v>
      </c>
      <c r="AF546" s="46">
        <f t="shared" si="134"/>
        <v>-1</v>
      </c>
      <c r="AG546" s="46">
        <f>SUMIFS('[1]Raw Inventory'!D:D,'[1]Raw Inventory'!C:C,"GREATWALL",'[1]Raw Inventory'!B:B,A546)</f>
        <v>0</v>
      </c>
      <c r="AH546" s="46">
        <f>SUMIFS('[1]Raw Inventory'!D:D,'[1]Raw Inventory'!C:C,"DUARTE",'[1]Raw Inventory'!B:B,A546)</f>
        <v>0</v>
      </c>
      <c r="AI546" s="46"/>
      <c r="AJ546" s="46"/>
      <c r="AK546" s="43"/>
      <c r="AL546" s="43"/>
      <c r="AM546" s="43"/>
      <c r="AN546" s="43"/>
      <c r="AO546" s="43"/>
      <c r="AP546" s="43"/>
      <c r="AQ546" s="43"/>
      <c r="AR546" s="43"/>
      <c r="AS546" s="43"/>
      <c r="AT546" s="43"/>
    </row>
    <row r="547" spans="1:46">
      <c r="A547" s="43" t="s">
        <v>42</v>
      </c>
      <c r="B547" s="43" t="s">
        <v>94</v>
      </c>
      <c r="C547" s="43" t="s">
        <v>90</v>
      </c>
      <c r="D547" s="44" t="s">
        <v>229</v>
      </c>
      <c r="E547" s="44">
        <v>29</v>
      </c>
      <c r="F547" s="44" t="s">
        <v>3</v>
      </c>
      <c r="G547" s="43" t="str">
        <f>IFERROR(VLOOKUP(A547,'[1]MC Masterlist 2026-09-12'!$B:$M, 3, 0),"")</f>
        <v>YAMAHA</v>
      </c>
      <c r="H547" s="45">
        <f>IFERROR(VLOOKUP(A547,'[1]MC Masterlist 2026-09-12'!$B:$M, 6, 0),"")</f>
        <v>152892</v>
      </c>
      <c r="I547" s="46">
        <v>0</v>
      </c>
      <c r="J547" s="46">
        <v>0</v>
      </c>
      <c r="K547" s="46">
        <v>0</v>
      </c>
      <c r="L547" s="46">
        <f t="shared" si="120"/>
        <v>0</v>
      </c>
      <c r="M547" s="46">
        <f t="shared" si="121"/>
        <v>0</v>
      </c>
      <c r="N547" s="45">
        <f t="shared" si="122"/>
        <v>0</v>
      </c>
      <c r="O547" s="45">
        <f t="shared" si="123"/>
        <v>0</v>
      </c>
      <c r="P547" s="46">
        <f t="shared" si="124"/>
        <v>0</v>
      </c>
      <c r="Q547" s="46">
        <v>1</v>
      </c>
      <c r="R547" s="45">
        <f t="shared" si="125"/>
        <v>152892</v>
      </c>
      <c r="S547" s="46">
        <f t="shared" si="126"/>
        <v>0</v>
      </c>
      <c r="T547" s="46">
        <f>IFERROR(VLOOKUP(A547,'[1]Re-order'!$A:$Q,17,0),"")</f>
        <v>104.55882352941177</v>
      </c>
      <c r="U547" s="46">
        <f>IFERROR(VLOOKUP(A547,'[1]MC Masterlist 2026-09-12'!$B:$M, 10, 0),0)</f>
        <v>15</v>
      </c>
      <c r="V547" s="46">
        <f>IFERROR(VLOOKUP(A547,'[1]MC Masterlist 2026-09-12'!$B:$M, 11, 0),0)</f>
        <v>15</v>
      </c>
      <c r="W547" s="46">
        <f t="shared" si="127"/>
        <v>30</v>
      </c>
      <c r="X547" s="46">
        <f t="shared" si="128"/>
        <v>30</v>
      </c>
      <c r="Y547" s="46">
        <f>IFERROR(IF(OR(C547="AREA I",C547="AREA V"),7,VLOOKUP(A547,'[1]MC Masterlist 2026-09-12'!$B:$M, 12, 0)),0)</f>
        <v>30</v>
      </c>
      <c r="Z547" s="46">
        <f t="shared" si="129"/>
        <v>0</v>
      </c>
      <c r="AA547" s="46">
        <f t="shared" si="130"/>
        <v>0</v>
      </c>
      <c r="AB547" s="46">
        <f t="shared" si="131"/>
        <v>0</v>
      </c>
      <c r="AC547" s="46">
        <f t="shared" si="132"/>
        <v>0</v>
      </c>
      <c r="AD547" s="44" t="str">
        <f t="shared" si="133"/>
        <v>Over</v>
      </c>
      <c r="AE547" s="44" t="str">
        <f>IFERROR(VLOOKUP(A547,'[1]Re-order'!$A:$AA,27,0),"")</f>
        <v>Over</v>
      </c>
      <c r="AF547" s="46">
        <f t="shared" si="134"/>
        <v>-1</v>
      </c>
      <c r="AG547" s="46">
        <f>SUMIFS('[1]Raw Inventory'!D:D,'[1]Raw Inventory'!C:C,"GREATWALL",'[1]Raw Inventory'!B:B,A547)</f>
        <v>3</v>
      </c>
      <c r="AH547" s="46">
        <f>SUMIFS('[1]Raw Inventory'!D:D,'[1]Raw Inventory'!C:C,"DUARTE",'[1]Raw Inventory'!B:B,A547)</f>
        <v>0</v>
      </c>
      <c r="AI547" s="46"/>
      <c r="AJ547" s="46"/>
      <c r="AK547" s="43"/>
      <c r="AL547" s="43"/>
      <c r="AM547" s="43"/>
      <c r="AN547" s="43"/>
      <c r="AO547" s="43"/>
      <c r="AP547" s="43"/>
      <c r="AQ547" s="43"/>
      <c r="AR547" s="43"/>
      <c r="AS547" s="43"/>
      <c r="AT547" s="43"/>
    </row>
    <row r="548" spans="1:46">
      <c r="A548" s="43" t="s">
        <v>16</v>
      </c>
      <c r="B548" s="43" t="s">
        <v>157</v>
      </c>
      <c r="C548" s="43" t="s">
        <v>152</v>
      </c>
      <c r="D548" s="44" t="s">
        <v>254</v>
      </c>
      <c r="E548" s="44">
        <v>5</v>
      </c>
      <c r="F548" s="44" t="s">
        <v>2</v>
      </c>
      <c r="G548" s="43" t="str">
        <f>IFERROR(VLOOKUP(A548,'[1]MC Masterlist 2026-09-12'!$B:$M, 3, 0),"")</f>
        <v>HONDA</v>
      </c>
      <c r="H548" s="45">
        <f>IFERROR(VLOOKUP(A548,'[1]MC Masterlist 2026-09-12'!$B:$M, 6, 0),"")</f>
        <v>84394</v>
      </c>
      <c r="I548" s="46">
        <v>4</v>
      </c>
      <c r="J548" s="46">
        <v>5</v>
      </c>
      <c r="K548" s="46">
        <v>1</v>
      </c>
      <c r="L548" s="46">
        <f t="shared" si="120"/>
        <v>10</v>
      </c>
      <c r="M548" s="46">
        <f t="shared" si="121"/>
        <v>3.3333333333333335</v>
      </c>
      <c r="N548" s="45">
        <f t="shared" si="122"/>
        <v>843940</v>
      </c>
      <c r="O548" s="45">
        <f t="shared" si="123"/>
        <v>281313.33333333337</v>
      </c>
      <c r="P548" s="46">
        <f t="shared" si="124"/>
        <v>0.11111111111111112</v>
      </c>
      <c r="Q548" s="46"/>
      <c r="R548" s="45">
        <f t="shared" si="125"/>
        <v>0</v>
      </c>
      <c r="S548" s="46">
        <f t="shared" si="126"/>
        <v>0</v>
      </c>
      <c r="T548" s="46">
        <f>IFERROR(VLOOKUP(A548,'[1]Re-order'!$A:$Q,17,0),"")</f>
        <v>26.332665330661321</v>
      </c>
      <c r="U548" s="46">
        <f>IFERROR(VLOOKUP(A548,'[1]MC Masterlist 2026-09-12'!$B:$M, 10, 0),0)</f>
        <v>15</v>
      </c>
      <c r="V548" s="46">
        <f>IFERROR(VLOOKUP(A548,'[1]MC Masterlist 2026-09-12'!$B:$M, 11, 0),0)</f>
        <v>15</v>
      </c>
      <c r="W548" s="46">
        <f t="shared" si="127"/>
        <v>30</v>
      </c>
      <c r="X548" s="46">
        <f t="shared" si="128"/>
        <v>28.333333333333332</v>
      </c>
      <c r="Y548" s="46">
        <f>IFERROR(IF(OR(C548="AREA I",C548="AREA V"),7,VLOOKUP(A548,'[1]MC Masterlist 2026-09-12'!$B:$M, 12, 0)),0)</f>
        <v>30</v>
      </c>
      <c r="Z548" s="46">
        <f t="shared" si="129"/>
        <v>1.6666666666666667</v>
      </c>
      <c r="AA548" s="46">
        <f t="shared" si="130"/>
        <v>3.3333333333333335</v>
      </c>
      <c r="AB548" s="46">
        <f t="shared" si="131"/>
        <v>3.1481481481481484</v>
      </c>
      <c r="AC548" s="46">
        <f t="shared" si="132"/>
        <v>3.3333333333333335</v>
      </c>
      <c r="AD548" s="44" t="str">
        <f t="shared" si="133"/>
        <v>Stockout</v>
      </c>
      <c r="AE548" s="44" t="str">
        <f>IFERROR(VLOOKUP(A548,'[1]Re-order'!$A:$AA,27,0),"")</f>
        <v>Stockout</v>
      </c>
      <c r="AF548" s="46">
        <f t="shared" si="134"/>
        <v>3.3333333333333335</v>
      </c>
      <c r="AG548" s="46">
        <f>SUMIFS('[1]Raw Inventory'!D:D,'[1]Raw Inventory'!C:C,"GREATWALL",'[1]Raw Inventory'!B:B,A548)</f>
        <v>58</v>
      </c>
      <c r="AH548" s="46">
        <f>SUMIFS('[1]Raw Inventory'!D:D,'[1]Raw Inventory'!C:C,"DUARTE",'[1]Raw Inventory'!B:B,A548)</f>
        <v>0</v>
      </c>
      <c r="AI548" s="46"/>
      <c r="AJ548" s="46"/>
      <c r="AK548" s="43"/>
      <c r="AL548" s="43"/>
      <c r="AM548" s="43"/>
      <c r="AN548" s="43"/>
      <c r="AO548" s="43"/>
      <c r="AP548" s="43"/>
      <c r="AQ548" s="43"/>
      <c r="AR548" s="43"/>
      <c r="AS548" s="43"/>
      <c r="AT548" s="43"/>
    </row>
    <row r="549" spans="1:46">
      <c r="A549" s="43" t="s">
        <v>28</v>
      </c>
      <c r="B549" s="43" t="s">
        <v>27</v>
      </c>
      <c r="C549" s="43" t="s">
        <v>1</v>
      </c>
      <c r="D549" s="44" t="s">
        <v>225</v>
      </c>
      <c r="E549" s="44">
        <v>3</v>
      </c>
      <c r="F549" s="44" t="s">
        <v>0</v>
      </c>
      <c r="G549" s="43" t="str">
        <f>IFERROR(VLOOKUP(A549,'[1]MC Masterlist 2026-09-12'!$B:$M, 3, 0),"")</f>
        <v>YAMAHA</v>
      </c>
      <c r="H549" s="45">
        <f>IFERROR(VLOOKUP(A549,'[1]MC Masterlist 2026-09-12'!$B:$M, 6, 0),"")</f>
        <v>147312</v>
      </c>
      <c r="I549" s="46">
        <v>6</v>
      </c>
      <c r="J549" s="46">
        <v>6</v>
      </c>
      <c r="K549" s="46">
        <v>4</v>
      </c>
      <c r="L549" s="46">
        <f t="shared" si="120"/>
        <v>16</v>
      </c>
      <c r="M549" s="46">
        <f t="shared" si="121"/>
        <v>5.333333333333333</v>
      </c>
      <c r="N549" s="45">
        <f t="shared" si="122"/>
        <v>2356992</v>
      </c>
      <c r="O549" s="45">
        <f t="shared" si="123"/>
        <v>785664</v>
      </c>
      <c r="P549" s="46">
        <f t="shared" si="124"/>
        <v>0.17777777777777776</v>
      </c>
      <c r="Q549" s="46"/>
      <c r="R549" s="45">
        <f t="shared" si="125"/>
        <v>0</v>
      </c>
      <c r="S549" s="46">
        <f t="shared" si="126"/>
        <v>0</v>
      </c>
      <c r="T549" s="46">
        <f>IFERROR(VLOOKUP(A549,'[1]Re-order'!$A:$Q,17,0),"")</f>
        <v>8.2417582417582427</v>
      </c>
      <c r="U549" s="46">
        <f>IFERROR(VLOOKUP(A549,'[1]MC Masterlist 2026-09-12'!$B:$M, 10, 0),0)</f>
        <v>15</v>
      </c>
      <c r="V549" s="46">
        <f>IFERROR(VLOOKUP(A549,'[1]MC Masterlist 2026-09-12'!$B:$M, 11, 0),0)</f>
        <v>15</v>
      </c>
      <c r="W549" s="46">
        <f t="shared" si="127"/>
        <v>30</v>
      </c>
      <c r="X549" s="46">
        <f t="shared" si="128"/>
        <v>4.3333333333333339</v>
      </c>
      <c r="Y549" s="46">
        <f>IFERROR(IF(OR(C549="AREA I",C549="AREA V"),7,VLOOKUP(A549,'[1]MC Masterlist 2026-09-12'!$B:$M, 12, 0)),0)</f>
        <v>7</v>
      </c>
      <c r="Z549" s="46">
        <f t="shared" si="129"/>
        <v>2.6666666666666665</v>
      </c>
      <c r="AA549" s="46">
        <f t="shared" si="130"/>
        <v>5.333333333333333</v>
      </c>
      <c r="AB549" s="46">
        <f t="shared" si="131"/>
        <v>0.77037037037037037</v>
      </c>
      <c r="AC549" s="46">
        <f t="shared" si="132"/>
        <v>1.2444444444444442</v>
      </c>
      <c r="AD549" s="44" t="str">
        <f t="shared" si="133"/>
        <v>Stockout</v>
      </c>
      <c r="AE549" s="44" t="str">
        <f>IFERROR(VLOOKUP(A549,'[1]Re-order'!$A:$AA,27,0),"")</f>
        <v>Stockout</v>
      </c>
      <c r="AF549" s="46">
        <f t="shared" si="134"/>
        <v>1.2444444444444442</v>
      </c>
      <c r="AG549" s="46">
        <f>SUMIFS('[1]Raw Inventory'!D:D,'[1]Raw Inventory'!C:C,"GREATWALL",'[1]Raw Inventory'!B:B,A549)</f>
        <v>0</v>
      </c>
      <c r="AH549" s="46">
        <f>SUMIFS('[1]Raw Inventory'!D:D,'[1]Raw Inventory'!C:C,"DUARTE",'[1]Raw Inventory'!B:B,A549)</f>
        <v>0</v>
      </c>
      <c r="AI549" s="46"/>
      <c r="AJ549" s="46"/>
      <c r="AK549" s="43"/>
      <c r="AL549" s="43"/>
      <c r="AM549" s="43"/>
      <c r="AN549" s="43"/>
      <c r="AO549" s="43"/>
      <c r="AP549" s="43"/>
      <c r="AQ549" s="43"/>
      <c r="AR549" s="43"/>
      <c r="AS549" s="43"/>
      <c r="AT549" s="43"/>
    </row>
    <row r="550" spans="1:46">
      <c r="A550" s="43" t="s">
        <v>17</v>
      </c>
      <c r="B550" s="43" t="s">
        <v>158</v>
      </c>
      <c r="C550" s="43" t="s">
        <v>152</v>
      </c>
      <c r="D550" s="44" t="s">
        <v>254</v>
      </c>
      <c r="E550" s="44">
        <v>8</v>
      </c>
      <c r="F550" s="44" t="s">
        <v>2</v>
      </c>
      <c r="G550" s="43" t="str">
        <f>IFERROR(VLOOKUP(A550,'[1]MC Masterlist 2026-09-12'!$B:$M, 3, 0),"")</f>
        <v>HONDA</v>
      </c>
      <c r="H550" s="45">
        <f>IFERROR(VLOOKUP(A550,'[1]MC Masterlist 2026-09-12'!$B:$M, 6, 0),"")</f>
        <v>140790</v>
      </c>
      <c r="I550" s="46">
        <v>1</v>
      </c>
      <c r="J550" s="46">
        <v>2</v>
      </c>
      <c r="K550" s="46">
        <v>0</v>
      </c>
      <c r="L550" s="46">
        <f t="shared" si="120"/>
        <v>3</v>
      </c>
      <c r="M550" s="46">
        <f t="shared" si="121"/>
        <v>1</v>
      </c>
      <c r="N550" s="45">
        <f t="shared" si="122"/>
        <v>422370</v>
      </c>
      <c r="O550" s="45">
        <f t="shared" si="123"/>
        <v>140790</v>
      </c>
      <c r="P550" s="46">
        <f t="shared" si="124"/>
        <v>3.3333333333333333E-2</v>
      </c>
      <c r="Q550" s="46">
        <v>4</v>
      </c>
      <c r="R550" s="45">
        <f t="shared" si="125"/>
        <v>563160</v>
      </c>
      <c r="S550" s="46">
        <f t="shared" si="126"/>
        <v>120</v>
      </c>
      <c r="T550" s="46">
        <f>IFERROR(VLOOKUP(A550,'[1]Re-order'!$A:$Q,17,0),"")</f>
        <v>43.663366336633665</v>
      </c>
      <c r="U550" s="46">
        <f>IFERROR(VLOOKUP(A550,'[1]MC Masterlist 2026-09-12'!$B:$M, 10, 0),0)</f>
        <v>15</v>
      </c>
      <c r="V550" s="46">
        <f>IFERROR(VLOOKUP(A550,'[1]MC Masterlist 2026-09-12'!$B:$M, 11, 0),0)</f>
        <v>15</v>
      </c>
      <c r="W550" s="46">
        <f t="shared" si="127"/>
        <v>30</v>
      </c>
      <c r="X550" s="46">
        <f t="shared" si="128"/>
        <v>29.5</v>
      </c>
      <c r="Y550" s="46">
        <f>IFERROR(IF(OR(C550="AREA I",C550="AREA V"),7,VLOOKUP(A550,'[1]MC Masterlist 2026-09-12'!$B:$M, 12, 0)),0)</f>
        <v>30</v>
      </c>
      <c r="Z550" s="46">
        <f t="shared" si="129"/>
        <v>0.5</v>
      </c>
      <c r="AA550" s="46">
        <f t="shared" si="130"/>
        <v>1</v>
      </c>
      <c r="AB550" s="46">
        <f t="shared" si="131"/>
        <v>0.98333333333333328</v>
      </c>
      <c r="AC550" s="46">
        <f t="shared" si="132"/>
        <v>1</v>
      </c>
      <c r="AD550" s="44" t="str">
        <f t="shared" si="133"/>
        <v>Over</v>
      </c>
      <c r="AE550" s="44" t="str">
        <f>IFERROR(VLOOKUP(A550,'[1]Re-order'!$A:$AA,27,0),"")</f>
        <v>Re-order</v>
      </c>
      <c r="AF550" s="46">
        <f t="shared" si="134"/>
        <v>-3</v>
      </c>
      <c r="AG550" s="46">
        <f>SUMIFS('[1]Raw Inventory'!D:D,'[1]Raw Inventory'!C:C,"GREATWALL",'[1]Raw Inventory'!B:B,A550)</f>
        <v>12</v>
      </c>
      <c r="AH550" s="46">
        <f>SUMIFS('[1]Raw Inventory'!D:D,'[1]Raw Inventory'!C:C,"DUARTE",'[1]Raw Inventory'!B:B,A550)</f>
        <v>0</v>
      </c>
      <c r="AI550" s="46"/>
      <c r="AJ550" s="46"/>
      <c r="AK550" s="43"/>
      <c r="AL550" s="43"/>
      <c r="AM550" s="43"/>
      <c r="AN550" s="43"/>
      <c r="AO550" s="43"/>
      <c r="AP550" s="43"/>
      <c r="AQ550" s="43"/>
      <c r="AR550" s="43"/>
      <c r="AS550" s="43"/>
      <c r="AT550" s="43"/>
    </row>
    <row r="551" spans="1:46">
      <c r="A551" s="43" t="s">
        <v>35</v>
      </c>
      <c r="B551" s="43" t="s">
        <v>93</v>
      </c>
      <c r="C551" s="43" t="s">
        <v>90</v>
      </c>
      <c r="D551" s="44" t="s">
        <v>268</v>
      </c>
      <c r="E551" s="44">
        <v>15</v>
      </c>
      <c r="F551" s="44" t="s">
        <v>3</v>
      </c>
      <c r="G551" s="43" t="str">
        <f>IFERROR(VLOOKUP(A551,'[1]MC Masterlist 2026-09-12'!$B:$M, 3, 0),"")</f>
        <v>HONDA</v>
      </c>
      <c r="H551" s="45">
        <f>IFERROR(VLOOKUP(A551,'[1]MC Masterlist 2026-09-12'!$B:$M, 6, 0),"")</f>
        <v>57990</v>
      </c>
      <c r="I551" s="46">
        <v>0</v>
      </c>
      <c r="J551" s="46">
        <v>2</v>
      </c>
      <c r="K551" s="46">
        <v>0</v>
      </c>
      <c r="L551" s="46">
        <f t="shared" si="120"/>
        <v>2</v>
      </c>
      <c r="M551" s="46">
        <f t="shared" si="121"/>
        <v>0.66666666666666663</v>
      </c>
      <c r="N551" s="45">
        <f t="shared" si="122"/>
        <v>115980</v>
      </c>
      <c r="O551" s="45">
        <f t="shared" si="123"/>
        <v>38660</v>
      </c>
      <c r="P551" s="46">
        <f t="shared" si="124"/>
        <v>2.222222222222222E-2</v>
      </c>
      <c r="Q551" s="46"/>
      <c r="R551" s="45">
        <f t="shared" si="125"/>
        <v>0</v>
      </c>
      <c r="S551" s="46">
        <f t="shared" si="126"/>
        <v>0</v>
      </c>
      <c r="T551" s="46">
        <f>IFERROR(VLOOKUP(A551,'[1]Re-order'!$A:$Q,17,0),"")</f>
        <v>68.275862068965523</v>
      </c>
      <c r="U551" s="46">
        <f>IFERROR(VLOOKUP(A551,'[1]MC Masterlist 2026-09-12'!$B:$M, 10, 0),0)</f>
        <v>15</v>
      </c>
      <c r="V551" s="46">
        <f>IFERROR(VLOOKUP(A551,'[1]MC Masterlist 2026-09-12'!$B:$M, 11, 0),0)</f>
        <v>15</v>
      </c>
      <c r="W551" s="46">
        <f t="shared" si="127"/>
        <v>30</v>
      </c>
      <c r="X551" s="46">
        <f t="shared" si="128"/>
        <v>29.666666666666668</v>
      </c>
      <c r="Y551" s="46">
        <f>IFERROR(IF(OR(C551="AREA I",C551="AREA V"),7,VLOOKUP(A551,'[1]MC Masterlist 2026-09-12'!$B:$M, 12, 0)),0)</f>
        <v>30</v>
      </c>
      <c r="Z551" s="46">
        <f t="shared" si="129"/>
        <v>0.33333333333333331</v>
      </c>
      <c r="AA551" s="46">
        <f t="shared" si="130"/>
        <v>0.66666666666666663</v>
      </c>
      <c r="AB551" s="46">
        <f t="shared" si="131"/>
        <v>0.65925925925925921</v>
      </c>
      <c r="AC551" s="46">
        <f t="shared" si="132"/>
        <v>0.66666666666666663</v>
      </c>
      <c r="AD551" s="44" t="str">
        <f t="shared" si="133"/>
        <v>Stockout</v>
      </c>
      <c r="AE551" s="44" t="str">
        <f>IFERROR(VLOOKUP(A551,'[1]Re-order'!$A:$AA,27,0),"")</f>
        <v>Re-order</v>
      </c>
      <c r="AF551" s="46">
        <f t="shared" si="134"/>
        <v>0.66666666666666663</v>
      </c>
      <c r="AG551" s="46">
        <f>SUMIFS('[1]Raw Inventory'!D:D,'[1]Raw Inventory'!C:C,"GREATWALL",'[1]Raw Inventory'!B:B,A551)</f>
        <v>29</v>
      </c>
      <c r="AH551" s="46">
        <f>SUMIFS('[1]Raw Inventory'!D:D,'[1]Raw Inventory'!C:C,"DUARTE",'[1]Raw Inventory'!B:B,A551)</f>
        <v>0</v>
      </c>
      <c r="AI551" s="46"/>
      <c r="AJ551" s="46"/>
      <c r="AK551" s="43"/>
      <c r="AL551" s="43"/>
      <c r="AM551" s="43"/>
      <c r="AN551" s="43"/>
      <c r="AO551" s="43"/>
      <c r="AP551" s="43"/>
      <c r="AQ551" s="43"/>
      <c r="AR551" s="43"/>
      <c r="AS551" s="43"/>
      <c r="AT551" s="43"/>
    </row>
    <row r="552" spans="1:46">
      <c r="A552" s="43" t="s">
        <v>64</v>
      </c>
      <c r="B552" s="43" t="s">
        <v>121</v>
      </c>
      <c r="C552" s="43" t="s">
        <v>118</v>
      </c>
      <c r="D552" s="44" t="s">
        <v>233</v>
      </c>
      <c r="E552" s="44">
        <v>10</v>
      </c>
      <c r="F552" s="44" t="s">
        <v>2</v>
      </c>
      <c r="G552" s="43" t="str">
        <f>IFERROR(VLOOKUP(A552,'[1]MC Masterlist 2026-09-12'!$B:$M, 3, 0),"")</f>
        <v>HONDA</v>
      </c>
      <c r="H552" s="45">
        <f>IFERROR(VLOOKUP(A552,'[1]MC Masterlist 2026-09-12'!$B:$M, 6, 0),"")</f>
        <v>73170</v>
      </c>
      <c r="I552" s="46">
        <v>1</v>
      </c>
      <c r="J552" s="46">
        <v>3</v>
      </c>
      <c r="K552" s="46">
        <v>3</v>
      </c>
      <c r="L552" s="46">
        <f t="shared" si="120"/>
        <v>7</v>
      </c>
      <c r="M552" s="46">
        <f t="shared" si="121"/>
        <v>2.3333333333333335</v>
      </c>
      <c r="N552" s="45">
        <f t="shared" si="122"/>
        <v>512190</v>
      </c>
      <c r="O552" s="45">
        <f t="shared" si="123"/>
        <v>170730</v>
      </c>
      <c r="P552" s="46">
        <f t="shared" si="124"/>
        <v>7.7777777777777779E-2</v>
      </c>
      <c r="Q552" s="46"/>
      <c r="R552" s="45">
        <f t="shared" si="125"/>
        <v>0</v>
      </c>
      <c r="S552" s="46">
        <f t="shared" si="126"/>
        <v>0</v>
      </c>
      <c r="T552" s="46">
        <f>IFERROR(VLOOKUP(A552,'[1]Re-order'!$A:$Q,17,0),"")</f>
        <v>76.153846153846146</v>
      </c>
      <c r="U552" s="46">
        <f>IFERROR(VLOOKUP(A552,'[1]MC Masterlist 2026-09-12'!$B:$M, 10, 0),0)</f>
        <v>15</v>
      </c>
      <c r="V552" s="46">
        <f>IFERROR(VLOOKUP(A552,'[1]MC Masterlist 2026-09-12'!$B:$M, 11, 0),0)</f>
        <v>15</v>
      </c>
      <c r="W552" s="46">
        <f t="shared" si="127"/>
        <v>30</v>
      </c>
      <c r="X552" s="46">
        <f t="shared" si="128"/>
        <v>28.833333333333332</v>
      </c>
      <c r="Y552" s="46">
        <f>IFERROR(IF(OR(C552="AREA I",C552="AREA V"),7,VLOOKUP(A552,'[1]MC Masterlist 2026-09-12'!$B:$M, 12, 0)),0)</f>
        <v>30</v>
      </c>
      <c r="Z552" s="46">
        <f t="shared" si="129"/>
        <v>1.1666666666666667</v>
      </c>
      <c r="AA552" s="46">
        <f t="shared" si="130"/>
        <v>2.3333333333333335</v>
      </c>
      <c r="AB552" s="46">
        <f t="shared" si="131"/>
        <v>2.2425925925925925</v>
      </c>
      <c r="AC552" s="46">
        <f t="shared" si="132"/>
        <v>2.3333333333333335</v>
      </c>
      <c r="AD552" s="44" t="str">
        <f t="shared" si="133"/>
        <v>Stockout</v>
      </c>
      <c r="AE552" s="44" t="str">
        <f>IFERROR(VLOOKUP(A552,'[1]Re-order'!$A:$AA,27,0),"")</f>
        <v/>
      </c>
      <c r="AF552" s="46">
        <f t="shared" si="134"/>
        <v>2.3333333333333335</v>
      </c>
      <c r="AG552" s="46">
        <f>SUMIFS('[1]Raw Inventory'!D:D,'[1]Raw Inventory'!C:C,"GREATWALL",'[1]Raw Inventory'!B:B,A552)</f>
        <v>13</v>
      </c>
      <c r="AH552" s="46">
        <f>SUMIFS('[1]Raw Inventory'!D:D,'[1]Raw Inventory'!C:C,"DUARTE",'[1]Raw Inventory'!B:B,A552)</f>
        <v>0</v>
      </c>
      <c r="AI552" s="46"/>
      <c r="AJ552" s="46"/>
      <c r="AK552" s="43"/>
      <c r="AL552" s="43"/>
      <c r="AM552" s="43"/>
      <c r="AN552" s="43"/>
      <c r="AO552" s="43"/>
      <c r="AP552" s="43"/>
      <c r="AQ552" s="43"/>
      <c r="AR552" s="43"/>
      <c r="AS552" s="43"/>
      <c r="AT552" s="43"/>
    </row>
    <row r="553" spans="1:46">
      <c r="A553" s="43" t="s">
        <v>61</v>
      </c>
      <c r="B553" s="43" t="s">
        <v>19</v>
      </c>
      <c r="C553" s="43" t="s">
        <v>1</v>
      </c>
      <c r="D553" s="44" t="s">
        <v>257</v>
      </c>
      <c r="E553" s="44">
        <v>18</v>
      </c>
      <c r="F553" s="44" t="s">
        <v>3</v>
      </c>
      <c r="G553" s="43" t="str">
        <f>IFERROR(VLOOKUP(A553,'[1]MC Masterlist 2026-09-12'!$B:$M, 3, 0),"")</f>
        <v>HONDA</v>
      </c>
      <c r="H553" s="45">
        <f>IFERROR(VLOOKUP(A553,'[1]MC Masterlist 2026-09-12'!$B:$M, 6, 0),"")</f>
        <v>63510</v>
      </c>
      <c r="I553" s="46">
        <v>0</v>
      </c>
      <c r="J553" s="46">
        <v>0</v>
      </c>
      <c r="K553" s="46">
        <v>3</v>
      </c>
      <c r="L553" s="46">
        <f t="shared" si="120"/>
        <v>3</v>
      </c>
      <c r="M553" s="46">
        <f t="shared" si="121"/>
        <v>1</v>
      </c>
      <c r="N553" s="45">
        <f t="shared" si="122"/>
        <v>190530</v>
      </c>
      <c r="O553" s="45">
        <f t="shared" si="123"/>
        <v>63510</v>
      </c>
      <c r="P553" s="46">
        <f t="shared" si="124"/>
        <v>3.3333333333333333E-2</v>
      </c>
      <c r="Q553" s="46"/>
      <c r="R553" s="45">
        <f t="shared" si="125"/>
        <v>0</v>
      </c>
      <c r="S553" s="46">
        <f t="shared" si="126"/>
        <v>0</v>
      </c>
      <c r="T553" s="46">
        <f>IFERROR(VLOOKUP(A553,'[1]Re-order'!$A:$Q,17,0),"")</f>
        <v>135</v>
      </c>
      <c r="U553" s="46">
        <f>IFERROR(VLOOKUP(A553,'[1]MC Masterlist 2026-09-12'!$B:$M, 10, 0),0)</f>
        <v>15</v>
      </c>
      <c r="V553" s="46">
        <f>IFERROR(VLOOKUP(A553,'[1]MC Masterlist 2026-09-12'!$B:$M, 11, 0),0)</f>
        <v>15</v>
      </c>
      <c r="W553" s="46">
        <f t="shared" si="127"/>
        <v>30</v>
      </c>
      <c r="X553" s="46">
        <f t="shared" si="128"/>
        <v>6.5</v>
      </c>
      <c r="Y553" s="46">
        <f>IFERROR(IF(OR(C553="AREA I",C553="AREA V"),7,VLOOKUP(A553,'[1]MC Masterlist 2026-09-12'!$B:$M, 12, 0)),0)</f>
        <v>7</v>
      </c>
      <c r="Z553" s="46">
        <f t="shared" si="129"/>
        <v>0.5</v>
      </c>
      <c r="AA553" s="46">
        <f t="shared" si="130"/>
        <v>1</v>
      </c>
      <c r="AB553" s="46">
        <f t="shared" si="131"/>
        <v>0.21666666666666667</v>
      </c>
      <c r="AC553" s="46">
        <f t="shared" si="132"/>
        <v>0.23333333333333334</v>
      </c>
      <c r="AD553" s="44" t="str">
        <f t="shared" si="133"/>
        <v>Stockout</v>
      </c>
      <c r="AE553" s="44" t="str">
        <f>IFERROR(VLOOKUP(A553,'[1]Re-order'!$A:$AA,27,0),"")</f>
        <v>Over</v>
      </c>
      <c r="AF553" s="46">
        <f t="shared" si="134"/>
        <v>0.23333333333333334</v>
      </c>
      <c r="AG553" s="46">
        <f>SUMIFS('[1]Raw Inventory'!D:D,'[1]Raw Inventory'!C:C,"GREATWALL",'[1]Raw Inventory'!B:B,A553)</f>
        <v>1</v>
      </c>
      <c r="AH553" s="46">
        <f>SUMIFS('[1]Raw Inventory'!D:D,'[1]Raw Inventory'!C:C,"DUARTE",'[1]Raw Inventory'!B:B,A553)</f>
        <v>0</v>
      </c>
      <c r="AI553" s="46"/>
      <c r="AJ553" s="46"/>
      <c r="AK553" s="43"/>
      <c r="AL553" s="43"/>
      <c r="AM553" s="43"/>
      <c r="AN553" s="43"/>
      <c r="AO553" s="43"/>
      <c r="AP553" s="43"/>
      <c r="AQ553" s="43"/>
      <c r="AR553" s="43"/>
      <c r="AS553" s="43"/>
      <c r="AT553" s="43"/>
    </row>
    <row r="554" spans="1:46">
      <c r="A554" s="43" t="s">
        <v>14</v>
      </c>
      <c r="B554" s="43" t="s">
        <v>98</v>
      </c>
      <c r="C554" s="43" t="s">
        <v>90</v>
      </c>
      <c r="D554" s="44" t="s">
        <v>227</v>
      </c>
      <c r="E554" s="44">
        <v>1</v>
      </c>
      <c r="F554" s="44" t="s">
        <v>0</v>
      </c>
      <c r="G554" s="43" t="str">
        <f>IFERROR(VLOOKUP(A554,'[1]MC Masterlist 2026-09-12'!$B:$M, 3, 0),"")</f>
        <v>HONDA</v>
      </c>
      <c r="H554" s="45">
        <f>IFERROR(VLOOKUP(A554,'[1]MC Masterlist 2026-09-12'!$B:$M, 6, 0),"")</f>
        <v>80070</v>
      </c>
      <c r="I554" s="46">
        <v>7</v>
      </c>
      <c r="J554" s="46">
        <v>8</v>
      </c>
      <c r="K554" s="46">
        <v>10</v>
      </c>
      <c r="L554" s="46">
        <f t="shared" si="120"/>
        <v>25</v>
      </c>
      <c r="M554" s="46">
        <f t="shared" si="121"/>
        <v>8.3333333333333339</v>
      </c>
      <c r="N554" s="45">
        <f t="shared" si="122"/>
        <v>2001750</v>
      </c>
      <c r="O554" s="45">
        <f t="shared" si="123"/>
        <v>667250</v>
      </c>
      <c r="P554" s="46">
        <f t="shared" si="124"/>
        <v>0.27777777777777779</v>
      </c>
      <c r="Q554" s="46">
        <v>3</v>
      </c>
      <c r="R554" s="45">
        <f t="shared" si="125"/>
        <v>240210</v>
      </c>
      <c r="S554" s="46">
        <f t="shared" si="126"/>
        <v>10.799999999999999</v>
      </c>
      <c r="T554" s="46">
        <f>IFERROR(VLOOKUP(A554,'[1]Re-order'!$A:$Q,17,0),"")</f>
        <v>20.105787181082761</v>
      </c>
      <c r="U554" s="46">
        <f>IFERROR(VLOOKUP(A554,'[1]MC Masterlist 2026-09-12'!$B:$M, 10, 0),0)</f>
        <v>15</v>
      </c>
      <c r="V554" s="46">
        <f>IFERROR(VLOOKUP(A554,'[1]MC Masterlist 2026-09-12'!$B:$M, 11, 0),0)</f>
        <v>15</v>
      </c>
      <c r="W554" s="46">
        <f t="shared" si="127"/>
        <v>30</v>
      </c>
      <c r="X554" s="46">
        <f t="shared" si="128"/>
        <v>25.833333333333332</v>
      </c>
      <c r="Y554" s="46">
        <f>IFERROR(IF(OR(C554="AREA I",C554="AREA V"),7,VLOOKUP(A554,'[1]MC Masterlist 2026-09-12'!$B:$M, 12, 0)),0)</f>
        <v>30</v>
      </c>
      <c r="Z554" s="46">
        <f t="shared" si="129"/>
        <v>4.166666666666667</v>
      </c>
      <c r="AA554" s="46">
        <f t="shared" si="130"/>
        <v>8.3333333333333339</v>
      </c>
      <c r="AB554" s="46">
        <f t="shared" si="131"/>
        <v>7.1759259259259256</v>
      </c>
      <c r="AC554" s="46">
        <f t="shared" si="132"/>
        <v>8.3333333333333339</v>
      </c>
      <c r="AD554" s="44" t="str">
        <f t="shared" si="133"/>
        <v>Stockout</v>
      </c>
      <c r="AE554" s="44" t="str">
        <f>IFERROR(VLOOKUP(A554,'[1]Re-order'!$A:$AA,27,0),"")</f>
        <v>Stockout</v>
      </c>
      <c r="AF554" s="46">
        <f t="shared" si="134"/>
        <v>5.3333333333333339</v>
      </c>
      <c r="AG554" s="46">
        <f>SUMIFS('[1]Raw Inventory'!D:D,'[1]Raw Inventory'!C:C,"GREATWALL",'[1]Raw Inventory'!B:B,A554)</f>
        <v>176</v>
      </c>
      <c r="AH554" s="46">
        <f>SUMIFS('[1]Raw Inventory'!D:D,'[1]Raw Inventory'!C:C,"DUARTE",'[1]Raw Inventory'!B:B,A554)</f>
        <v>0</v>
      </c>
      <c r="AI554" s="46"/>
      <c r="AJ554" s="46"/>
      <c r="AK554" s="43"/>
      <c r="AL554" s="43"/>
      <c r="AM554" s="43"/>
      <c r="AN554" s="43"/>
      <c r="AO554" s="43"/>
      <c r="AP554" s="43"/>
      <c r="AQ554" s="43"/>
      <c r="AR554" s="43"/>
      <c r="AS554" s="43"/>
      <c r="AT554" s="43"/>
    </row>
    <row r="555" spans="1:46">
      <c r="A555" s="43" t="s">
        <v>64</v>
      </c>
      <c r="B555" s="43" t="s">
        <v>132</v>
      </c>
      <c r="C555" s="43" t="s">
        <v>128</v>
      </c>
      <c r="D555" s="44" t="s">
        <v>261</v>
      </c>
      <c r="E555" s="44">
        <v>18</v>
      </c>
      <c r="F555" s="44" t="s">
        <v>2</v>
      </c>
      <c r="G555" s="43" t="str">
        <f>IFERROR(VLOOKUP(A555,'[1]MC Masterlist 2026-09-12'!$B:$M, 3, 0),"")</f>
        <v>HONDA</v>
      </c>
      <c r="H555" s="45">
        <f>IFERROR(VLOOKUP(A555,'[1]MC Masterlist 2026-09-12'!$B:$M, 6, 0),"")</f>
        <v>73170</v>
      </c>
      <c r="I555" s="46">
        <v>0</v>
      </c>
      <c r="J555" s="46">
        <v>3</v>
      </c>
      <c r="K555" s="46">
        <v>0</v>
      </c>
      <c r="L555" s="46">
        <f t="shared" si="120"/>
        <v>3</v>
      </c>
      <c r="M555" s="46">
        <f t="shared" si="121"/>
        <v>1</v>
      </c>
      <c r="N555" s="45">
        <f t="shared" si="122"/>
        <v>219510</v>
      </c>
      <c r="O555" s="45">
        <f t="shared" si="123"/>
        <v>73170</v>
      </c>
      <c r="P555" s="46">
        <f t="shared" si="124"/>
        <v>3.3333333333333333E-2</v>
      </c>
      <c r="Q555" s="46">
        <v>2</v>
      </c>
      <c r="R555" s="45">
        <f t="shared" si="125"/>
        <v>146340</v>
      </c>
      <c r="S555" s="46">
        <f t="shared" si="126"/>
        <v>60</v>
      </c>
      <c r="T555" s="46">
        <f>IFERROR(VLOOKUP(A555,'[1]Re-order'!$A:$Q,17,0),"")</f>
        <v>76.153846153846146</v>
      </c>
      <c r="U555" s="46">
        <f>IFERROR(VLOOKUP(A555,'[1]MC Masterlist 2026-09-12'!$B:$M, 10, 0),0)</f>
        <v>15</v>
      </c>
      <c r="V555" s="46">
        <f>IFERROR(VLOOKUP(A555,'[1]MC Masterlist 2026-09-12'!$B:$M, 11, 0),0)</f>
        <v>15</v>
      </c>
      <c r="W555" s="46">
        <f t="shared" si="127"/>
        <v>30</v>
      </c>
      <c r="X555" s="46">
        <f t="shared" si="128"/>
        <v>29.5</v>
      </c>
      <c r="Y555" s="46">
        <f>IFERROR(IF(OR(C555="AREA I",C555="AREA V"),7,VLOOKUP(A555,'[1]MC Masterlist 2026-09-12'!$B:$M, 12, 0)),0)</f>
        <v>30</v>
      </c>
      <c r="Z555" s="46">
        <f t="shared" si="129"/>
        <v>0.5</v>
      </c>
      <c r="AA555" s="46">
        <f t="shared" si="130"/>
        <v>1</v>
      </c>
      <c r="AB555" s="46">
        <f t="shared" si="131"/>
        <v>0.98333333333333328</v>
      </c>
      <c r="AC555" s="46">
        <f t="shared" si="132"/>
        <v>1</v>
      </c>
      <c r="AD555" s="44" t="str">
        <f t="shared" si="133"/>
        <v>Over</v>
      </c>
      <c r="AE555" s="44" t="str">
        <f>IFERROR(VLOOKUP(A555,'[1]Re-order'!$A:$AA,27,0),"")</f>
        <v/>
      </c>
      <c r="AF555" s="46">
        <f t="shared" si="134"/>
        <v>-1</v>
      </c>
      <c r="AG555" s="46">
        <f>SUMIFS('[1]Raw Inventory'!D:D,'[1]Raw Inventory'!C:C,"GREATWALL",'[1]Raw Inventory'!B:B,A555)</f>
        <v>13</v>
      </c>
      <c r="AH555" s="46">
        <f>SUMIFS('[1]Raw Inventory'!D:D,'[1]Raw Inventory'!C:C,"DUARTE",'[1]Raw Inventory'!B:B,A555)</f>
        <v>0</v>
      </c>
      <c r="AI555" s="46"/>
      <c r="AJ555" s="46"/>
      <c r="AK555" s="43"/>
      <c r="AL555" s="43"/>
      <c r="AM555" s="43"/>
      <c r="AN555" s="43"/>
      <c r="AO555" s="43"/>
      <c r="AP555" s="43"/>
      <c r="AQ555" s="43"/>
      <c r="AR555" s="43"/>
      <c r="AS555" s="43"/>
      <c r="AT555" s="43"/>
    </row>
    <row r="556" spans="1:46">
      <c r="A556" s="43" t="s">
        <v>65</v>
      </c>
      <c r="B556" s="43" t="s">
        <v>122</v>
      </c>
      <c r="C556" s="43" t="s">
        <v>118</v>
      </c>
      <c r="D556" s="44" t="s">
        <v>232</v>
      </c>
      <c r="E556" s="44">
        <v>32</v>
      </c>
      <c r="F556" s="44" t="s">
        <v>3</v>
      </c>
      <c r="G556" s="43" t="str">
        <f>IFERROR(VLOOKUP(A556,'[1]MC Masterlist 2026-09-12'!$B:$M, 3, 0),"")</f>
        <v>SUZUKI</v>
      </c>
      <c r="H556" s="45">
        <f>IFERROR(VLOOKUP(A556,'[1]MC Masterlist 2026-09-12'!$B:$M, 6, 0),"")</f>
        <v>77572</v>
      </c>
      <c r="I556" s="46">
        <v>0</v>
      </c>
      <c r="J556" s="46">
        <v>0</v>
      </c>
      <c r="K556" s="46">
        <v>0</v>
      </c>
      <c r="L556" s="46">
        <f t="shared" si="120"/>
        <v>0</v>
      </c>
      <c r="M556" s="46">
        <f t="shared" si="121"/>
        <v>0</v>
      </c>
      <c r="N556" s="45">
        <f t="shared" si="122"/>
        <v>0</v>
      </c>
      <c r="O556" s="45">
        <f t="shared" si="123"/>
        <v>0</v>
      </c>
      <c r="P556" s="46">
        <f t="shared" si="124"/>
        <v>0</v>
      </c>
      <c r="Q556" s="46">
        <v>1</v>
      </c>
      <c r="R556" s="45">
        <f t="shared" si="125"/>
        <v>77572</v>
      </c>
      <c r="S556" s="46">
        <f t="shared" si="126"/>
        <v>0</v>
      </c>
      <c r="T556" s="46">
        <f>IFERROR(VLOOKUP(A556,'[1]Re-order'!$A:$Q,17,0),"")</f>
        <v>158.8235294117647</v>
      </c>
      <c r="U556" s="46">
        <f>IFERROR(VLOOKUP(A556,'[1]MC Masterlist 2026-09-12'!$B:$M, 10, 0),0)</f>
        <v>15</v>
      </c>
      <c r="V556" s="46">
        <f>IFERROR(VLOOKUP(A556,'[1]MC Masterlist 2026-09-12'!$B:$M, 11, 0),0)</f>
        <v>15</v>
      </c>
      <c r="W556" s="46">
        <f t="shared" si="127"/>
        <v>30</v>
      </c>
      <c r="X556" s="46">
        <f t="shared" si="128"/>
        <v>30</v>
      </c>
      <c r="Y556" s="46">
        <f>IFERROR(IF(OR(C556="AREA I",C556="AREA V"),7,VLOOKUP(A556,'[1]MC Masterlist 2026-09-12'!$B:$M, 12, 0)),0)</f>
        <v>30</v>
      </c>
      <c r="Z556" s="46">
        <f t="shared" si="129"/>
        <v>0</v>
      </c>
      <c r="AA556" s="46">
        <f t="shared" si="130"/>
        <v>0</v>
      </c>
      <c r="AB556" s="46">
        <f t="shared" si="131"/>
        <v>0</v>
      </c>
      <c r="AC556" s="46">
        <f t="shared" si="132"/>
        <v>0</v>
      </c>
      <c r="AD556" s="44" t="str">
        <f t="shared" si="133"/>
        <v>Over</v>
      </c>
      <c r="AE556" s="44" t="str">
        <f>IFERROR(VLOOKUP(A556,'[1]Re-order'!$A:$AA,27,0),"")</f>
        <v>Over</v>
      </c>
      <c r="AF556" s="46">
        <f t="shared" si="134"/>
        <v>-1</v>
      </c>
      <c r="AG556" s="46">
        <f>SUMIFS('[1]Raw Inventory'!D:D,'[1]Raw Inventory'!C:C,"GREATWALL",'[1]Raw Inventory'!B:B,A556)</f>
        <v>4</v>
      </c>
      <c r="AH556" s="46">
        <f>SUMIFS('[1]Raw Inventory'!D:D,'[1]Raw Inventory'!C:C,"DUARTE",'[1]Raw Inventory'!B:B,A556)</f>
        <v>0</v>
      </c>
      <c r="AI556" s="46"/>
      <c r="AJ556" s="46"/>
      <c r="AK556" s="43"/>
      <c r="AL556" s="43"/>
      <c r="AM556" s="43"/>
      <c r="AN556" s="43"/>
      <c r="AO556" s="43"/>
      <c r="AP556" s="43"/>
      <c r="AQ556" s="43"/>
      <c r="AR556" s="43"/>
      <c r="AS556" s="43"/>
      <c r="AT556" s="43"/>
    </row>
    <row r="557" spans="1:46">
      <c r="A557" s="43" t="s">
        <v>73</v>
      </c>
      <c r="B557" s="43" t="s">
        <v>27</v>
      </c>
      <c r="C557" s="43" t="s">
        <v>1</v>
      </c>
      <c r="D557" s="44" t="s">
        <v>265</v>
      </c>
      <c r="E557" s="44">
        <v>30</v>
      </c>
      <c r="F557" s="44" t="s">
        <v>3</v>
      </c>
      <c r="G557" s="43" t="str">
        <f>IFERROR(VLOOKUP(A557,'[1]MC Masterlist 2026-09-12'!$B:$M, 3, 0),"")</f>
        <v>SUZUKI</v>
      </c>
      <c r="H557" s="45">
        <f>IFERROR(VLOOKUP(A557,'[1]MC Masterlist 2026-09-12'!$B:$M, 6, 0),"")</f>
        <v>122770</v>
      </c>
      <c r="I557" s="46">
        <v>0</v>
      </c>
      <c r="J557" s="46">
        <v>0</v>
      </c>
      <c r="K557" s="46">
        <v>0</v>
      </c>
      <c r="L557" s="46">
        <f t="shared" si="120"/>
        <v>0</v>
      </c>
      <c r="M557" s="46">
        <f t="shared" si="121"/>
        <v>0</v>
      </c>
      <c r="N557" s="45">
        <f t="shared" si="122"/>
        <v>0</v>
      </c>
      <c r="O557" s="45">
        <f t="shared" si="123"/>
        <v>0</v>
      </c>
      <c r="P557" s="46">
        <f t="shared" si="124"/>
        <v>0</v>
      </c>
      <c r="Q557" s="46">
        <v>1</v>
      </c>
      <c r="R557" s="45">
        <f t="shared" si="125"/>
        <v>122770</v>
      </c>
      <c r="S557" s="46">
        <f t="shared" si="126"/>
        <v>0</v>
      </c>
      <c r="T557" s="46">
        <f>IFERROR(VLOOKUP(A557,'[1]Re-order'!$A:$Q,17,0),"")</f>
        <v>787.50000000000011</v>
      </c>
      <c r="U557" s="46">
        <f>IFERROR(VLOOKUP(A557,'[1]MC Masterlist 2026-09-12'!$B:$M, 10, 0),0)</f>
        <v>15</v>
      </c>
      <c r="V557" s="46">
        <f>IFERROR(VLOOKUP(A557,'[1]MC Masterlist 2026-09-12'!$B:$M, 11, 0),0)</f>
        <v>15</v>
      </c>
      <c r="W557" s="46">
        <f t="shared" si="127"/>
        <v>30</v>
      </c>
      <c r="X557" s="46">
        <f t="shared" si="128"/>
        <v>7</v>
      </c>
      <c r="Y557" s="46">
        <f>IFERROR(IF(OR(C557="AREA I",C557="AREA V"),7,VLOOKUP(A557,'[1]MC Masterlist 2026-09-12'!$B:$M, 12, 0)),0)</f>
        <v>7</v>
      </c>
      <c r="Z557" s="46">
        <f t="shared" si="129"/>
        <v>0</v>
      </c>
      <c r="AA557" s="46">
        <f t="shared" si="130"/>
        <v>0</v>
      </c>
      <c r="AB557" s="46">
        <f t="shared" si="131"/>
        <v>0</v>
      </c>
      <c r="AC557" s="46">
        <f t="shared" si="132"/>
        <v>0</v>
      </c>
      <c r="AD557" s="44" t="str">
        <f t="shared" si="133"/>
        <v>Over</v>
      </c>
      <c r="AE557" s="44" t="str">
        <f>IFERROR(VLOOKUP(A557,'[1]Re-order'!$A:$AA,27,0),"")</f>
        <v>Over</v>
      </c>
      <c r="AF557" s="46">
        <f t="shared" si="134"/>
        <v>-1</v>
      </c>
      <c r="AG557" s="46">
        <f>SUMIFS('[1]Raw Inventory'!D:D,'[1]Raw Inventory'!C:C,"GREATWALL",'[1]Raw Inventory'!B:B,A557)</f>
        <v>9</v>
      </c>
      <c r="AH557" s="46">
        <f>SUMIFS('[1]Raw Inventory'!D:D,'[1]Raw Inventory'!C:C,"DUARTE",'[1]Raw Inventory'!B:B,A557)</f>
        <v>0</v>
      </c>
      <c r="AI557" s="46"/>
      <c r="AJ557" s="46"/>
      <c r="AK557" s="43"/>
      <c r="AL557" s="43"/>
      <c r="AM557" s="43"/>
      <c r="AN557" s="43"/>
      <c r="AO557" s="43"/>
      <c r="AP557" s="43"/>
      <c r="AQ557" s="43"/>
      <c r="AR557" s="43"/>
      <c r="AS557" s="43"/>
      <c r="AT557" s="43"/>
    </row>
    <row r="558" spans="1:46">
      <c r="A558" s="43" t="s">
        <v>37</v>
      </c>
      <c r="B558" s="43" t="s">
        <v>94</v>
      </c>
      <c r="C558" s="43" t="s">
        <v>90</v>
      </c>
      <c r="D558" s="44" t="s">
        <v>224</v>
      </c>
      <c r="E558" s="44">
        <v>10</v>
      </c>
      <c r="F558" s="44" t="s">
        <v>2</v>
      </c>
      <c r="G558" s="43" t="str">
        <f>IFERROR(VLOOKUP(A558,'[1]MC Masterlist 2026-09-12'!$B:$M, 3, 0),"")</f>
        <v>HONDA</v>
      </c>
      <c r="H558" s="45">
        <f>IFERROR(VLOOKUP(A558,'[1]MC Masterlist 2026-09-12'!$B:$M, 6, 0),"")</f>
        <v>74550</v>
      </c>
      <c r="I558" s="46">
        <v>1</v>
      </c>
      <c r="J558" s="46">
        <v>0</v>
      </c>
      <c r="K558" s="46">
        <v>1</v>
      </c>
      <c r="L558" s="46">
        <f t="shared" si="120"/>
        <v>2</v>
      </c>
      <c r="M558" s="46">
        <f t="shared" si="121"/>
        <v>0.66666666666666663</v>
      </c>
      <c r="N558" s="45">
        <f t="shared" si="122"/>
        <v>149100</v>
      </c>
      <c r="O558" s="45">
        <f t="shared" si="123"/>
        <v>49700</v>
      </c>
      <c r="P558" s="46">
        <f t="shared" si="124"/>
        <v>2.222222222222222E-2</v>
      </c>
      <c r="Q558" s="46"/>
      <c r="R558" s="45">
        <f t="shared" si="125"/>
        <v>0</v>
      </c>
      <c r="S558" s="46">
        <f t="shared" si="126"/>
        <v>0</v>
      </c>
      <c r="T558" s="46">
        <f>IFERROR(VLOOKUP(A558,'[1]Re-order'!$A:$Q,17,0),"")</f>
        <v>33.652173913043477</v>
      </c>
      <c r="U558" s="46">
        <f>IFERROR(VLOOKUP(A558,'[1]MC Masterlist 2026-09-12'!$B:$M, 10, 0),0)</f>
        <v>15</v>
      </c>
      <c r="V558" s="46">
        <f>IFERROR(VLOOKUP(A558,'[1]MC Masterlist 2026-09-12'!$B:$M, 11, 0),0)</f>
        <v>15</v>
      </c>
      <c r="W558" s="46">
        <f t="shared" si="127"/>
        <v>30</v>
      </c>
      <c r="X558" s="46">
        <f t="shared" si="128"/>
        <v>29.666666666666668</v>
      </c>
      <c r="Y558" s="46">
        <f>IFERROR(IF(OR(C558="AREA I",C558="AREA V"),7,VLOOKUP(A558,'[1]MC Masterlist 2026-09-12'!$B:$M, 12, 0)),0)</f>
        <v>30</v>
      </c>
      <c r="Z558" s="46">
        <f t="shared" si="129"/>
        <v>0.33333333333333331</v>
      </c>
      <c r="AA558" s="46">
        <f t="shared" si="130"/>
        <v>0.66666666666666663</v>
      </c>
      <c r="AB558" s="46">
        <f t="shared" si="131"/>
        <v>0.65925925925925921</v>
      </c>
      <c r="AC558" s="46">
        <f t="shared" si="132"/>
        <v>0.66666666666666663</v>
      </c>
      <c r="AD558" s="44" t="str">
        <f t="shared" si="133"/>
        <v>Stockout</v>
      </c>
      <c r="AE558" s="44" t="str">
        <f>IFERROR(VLOOKUP(A558,'[1]Re-order'!$A:$AA,27,0),"")</f>
        <v>Re-order</v>
      </c>
      <c r="AF558" s="46">
        <f t="shared" si="134"/>
        <v>0.66666666666666663</v>
      </c>
      <c r="AG558" s="46">
        <f>SUMIFS('[1]Raw Inventory'!D:D,'[1]Raw Inventory'!C:C,"GREATWALL",'[1]Raw Inventory'!B:B,A558)</f>
        <v>28</v>
      </c>
      <c r="AH558" s="46">
        <f>SUMIFS('[1]Raw Inventory'!D:D,'[1]Raw Inventory'!C:C,"DUARTE",'[1]Raw Inventory'!B:B,A558)</f>
        <v>0</v>
      </c>
      <c r="AI558" s="46"/>
      <c r="AJ558" s="46"/>
      <c r="AK558" s="43"/>
      <c r="AL558" s="43"/>
      <c r="AM558" s="43"/>
      <c r="AN558" s="43"/>
      <c r="AO558" s="43"/>
      <c r="AP558" s="43"/>
      <c r="AQ558" s="43"/>
      <c r="AR558" s="43"/>
      <c r="AS558" s="43"/>
      <c r="AT558" s="43"/>
    </row>
    <row r="559" spans="1:46">
      <c r="A559" s="43" t="s">
        <v>61</v>
      </c>
      <c r="B559" s="43" t="s">
        <v>144</v>
      </c>
      <c r="C559" s="43" t="s">
        <v>137</v>
      </c>
      <c r="D559" s="44" t="s">
        <v>273</v>
      </c>
      <c r="E559" s="44">
        <v>33</v>
      </c>
      <c r="F559" s="44" t="s">
        <v>3</v>
      </c>
      <c r="G559" s="43" t="str">
        <f>IFERROR(VLOOKUP(A559,'[1]MC Masterlist 2026-09-12'!$B:$M, 3, 0),"")</f>
        <v>HONDA</v>
      </c>
      <c r="H559" s="45">
        <f>IFERROR(VLOOKUP(A559,'[1]MC Masterlist 2026-09-12'!$B:$M, 6, 0),"")</f>
        <v>63510</v>
      </c>
      <c r="I559" s="46">
        <v>0</v>
      </c>
      <c r="J559" s="46">
        <v>0</v>
      </c>
      <c r="K559" s="46">
        <v>0</v>
      </c>
      <c r="L559" s="46">
        <f t="shared" si="120"/>
        <v>0</v>
      </c>
      <c r="M559" s="46">
        <f t="shared" si="121"/>
        <v>0</v>
      </c>
      <c r="N559" s="45">
        <f t="shared" si="122"/>
        <v>0</v>
      </c>
      <c r="O559" s="45">
        <f t="shared" si="123"/>
        <v>0</v>
      </c>
      <c r="P559" s="46">
        <f t="shared" si="124"/>
        <v>0</v>
      </c>
      <c r="Q559" s="46">
        <v>1</v>
      </c>
      <c r="R559" s="45">
        <f t="shared" si="125"/>
        <v>63510</v>
      </c>
      <c r="S559" s="46">
        <f t="shared" si="126"/>
        <v>0</v>
      </c>
      <c r="T559" s="46">
        <f>IFERROR(VLOOKUP(A559,'[1]Re-order'!$A:$Q,17,0),"")</f>
        <v>135</v>
      </c>
      <c r="U559" s="46">
        <f>IFERROR(VLOOKUP(A559,'[1]MC Masterlist 2026-09-12'!$B:$M, 10, 0),0)</f>
        <v>15</v>
      </c>
      <c r="V559" s="46">
        <f>IFERROR(VLOOKUP(A559,'[1]MC Masterlist 2026-09-12'!$B:$M, 11, 0),0)</f>
        <v>15</v>
      </c>
      <c r="W559" s="46">
        <f t="shared" si="127"/>
        <v>30</v>
      </c>
      <c r="X559" s="46">
        <f t="shared" si="128"/>
        <v>7</v>
      </c>
      <c r="Y559" s="46">
        <f>IFERROR(IF(OR(C559="AREA I",C559="AREA V"),7,VLOOKUP(A559,'[1]MC Masterlist 2026-09-12'!$B:$M, 12, 0)),0)</f>
        <v>7</v>
      </c>
      <c r="Z559" s="46">
        <f t="shared" si="129"/>
        <v>0</v>
      </c>
      <c r="AA559" s="46">
        <f t="shared" si="130"/>
        <v>0</v>
      </c>
      <c r="AB559" s="46">
        <f t="shared" si="131"/>
        <v>0</v>
      </c>
      <c r="AC559" s="46">
        <f t="shared" si="132"/>
        <v>0</v>
      </c>
      <c r="AD559" s="44" t="str">
        <f t="shared" si="133"/>
        <v>Over</v>
      </c>
      <c r="AE559" s="44" t="str">
        <f>IFERROR(VLOOKUP(A559,'[1]Re-order'!$A:$AA,27,0),"")</f>
        <v>Over</v>
      </c>
      <c r="AF559" s="46">
        <f t="shared" si="134"/>
        <v>-1</v>
      </c>
      <c r="AG559" s="46">
        <f>SUMIFS('[1]Raw Inventory'!D:D,'[1]Raw Inventory'!C:C,"GREATWALL",'[1]Raw Inventory'!B:B,A559)</f>
        <v>1</v>
      </c>
      <c r="AH559" s="46">
        <f>SUMIFS('[1]Raw Inventory'!D:D,'[1]Raw Inventory'!C:C,"DUARTE",'[1]Raw Inventory'!B:B,A559)</f>
        <v>0</v>
      </c>
      <c r="AI559" s="46"/>
      <c r="AJ559" s="46"/>
      <c r="AK559" s="43"/>
      <c r="AL559" s="43"/>
      <c r="AM559" s="43"/>
      <c r="AN559" s="43"/>
      <c r="AO559" s="43"/>
      <c r="AP559" s="43"/>
      <c r="AQ559" s="43"/>
      <c r="AR559" s="43"/>
      <c r="AS559" s="43"/>
      <c r="AT559" s="43"/>
    </row>
    <row r="560" spans="1:46">
      <c r="A560" s="43" t="s">
        <v>26</v>
      </c>
      <c r="B560" s="43" t="s">
        <v>153</v>
      </c>
      <c r="C560" s="43" t="s">
        <v>152</v>
      </c>
      <c r="D560" s="44" t="s">
        <v>224</v>
      </c>
      <c r="E560" s="44">
        <v>7</v>
      </c>
      <c r="F560" s="44" t="s">
        <v>2</v>
      </c>
      <c r="G560" s="43" t="str">
        <f>IFERROR(VLOOKUP(A560,'[1]MC Masterlist 2026-09-12'!$B:$M, 3, 0),"")</f>
        <v>SUZUKI</v>
      </c>
      <c r="H560" s="45">
        <f>IFERROR(VLOOKUP(A560,'[1]MC Masterlist 2026-09-12'!$B:$M, 6, 0),"")</f>
        <v>123700</v>
      </c>
      <c r="I560" s="46">
        <v>2</v>
      </c>
      <c r="J560" s="46">
        <v>0</v>
      </c>
      <c r="K560" s="46">
        <v>1</v>
      </c>
      <c r="L560" s="46">
        <f t="shared" si="120"/>
        <v>3</v>
      </c>
      <c r="M560" s="46">
        <f t="shared" si="121"/>
        <v>1</v>
      </c>
      <c r="N560" s="45">
        <f t="shared" si="122"/>
        <v>371100</v>
      </c>
      <c r="O560" s="45">
        <f t="shared" si="123"/>
        <v>123700</v>
      </c>
      <c r="P560" s="46">
        <f t="shared" si="124"/>
        <v>3.3333333333333333E-2</v>
      </c>
      <c r="Q560" s="46">
        <v>5</v>
      </c>
      <c r="R560" s="45">
        <f t="shared" si="125"/>
        <v>618500</v>
      </c>
      <c r="S560" s="46">
        <f t="shared" si="126"/>
        <v>150</v>
      </c>
      <c r="T560" s="46">
        <f>IFERROR(VLOOKUP(A560,'[1]Re-order'!$A:$Q,17,0),"")</f>
        <v>71.470588235294116</v>
      </c>
      <c r="U560" s="46">
        <f>IFERROR(VLOOKUP(A560,'[1]MC Masterlist 2026-09-12'!$B:$M, 10, 0),0)</f>
        <v>15</v>
      </c>
      <c r="V560" s="46">
        <f>IFERROR(VLOOKUP(A560,'[1]MC Masterlist 2026-09-12'!$B:$M, 11, 0),0)</f>
        <v>15</v>
      </c>
      <c r="W560" s="46">
        <f t="shared" si="127"/>
        <v>30</v>
      </c>
      <c r="X560" s="46">
        <f t="shared" si="128"/>
        <v>29.5</v>
      </c>
      <c r="Y560" s="46">
        <f>IFERROR(IF(OR(C560="AREA I",C560="AREA V"),7,VLOOKUP(A560,'[1]MC Masterlist 2026-09-12'!$B:$M, 12, 0)),0)</f>
        <v>30</v>
      </c>
      <c r="Z560" s="46">
        <f t="shared" si="129"/>
        <v>0.5</v>
      </c>
      <c r="AA560" s="46">
        <f t="shared" si="130"/>
        <v>1</v>
      </c>
      <c r="AB560" s="46">
        <f t="shared" si="131"/>
        <v>0.98333333333333328</v>
      </c>
      <c r="AC560" s="46">
        <f t="shared" si="132"/>
        <v>1</v>
      </c>
      <c r="AD560" s="44" t="str">
        <f t="shared" si="133"/>
        <v>Over</v>
      </c>
      <c r="AE560" s="44" t="str">
        <f>IFERROR(VLOOKUP(A560,'[1]Re-order'!$A:$AA,27,0),"")</f>
        <v>Re-order</v>
      </c>
      <c r="AF560" s="46">
        <f t="shared" si="134"/>
        <v>-4</v>
      </c>
      <c r="AG560" s="46">
        <f>SUMIFS('[1]Raw Inventory'!D:D,'[1]Raw Inventory'!C:C,"GREATWALL",'[1]Raw Inventory'!B:B,A560)</f>
        <v>30</v>
      </c>
      <c r="AH560" s="46">
        <f>SUMIFS('[1]Raw Inventory'!D:D,'[1]Raw Inventory'!C:C,"DUARTE",'[1]Raw Inventory'!B:B,A560)</f>
        <v>0</v>
      </c>
      <c r="AI560" s="46"/>
      <c r="AJ560" s="46"/>
      <c r="AK560" s="43"/>
      <c r="AL560" s="43"/>
      <c r="AM560" s="43"/>
      <c r="AN560" s="43"/>
      <c r="AO560" s="43"/>
      <c r="AP560" s="43"/>
      <c r="AQ560" s="43"/>
      <c r="AR560" s="43"/>
      <c r="AS560" s="43"/>
      <c r="AT560" s="43"/>
    </row>
    <row r="561" spans="1:46">
      <c r="A561" s="43" t="s">
        <v>72</v>
      </c>
      <c r="B561" s="43" t="s">
        <v>144</v>
      </c>
      <c r="C561" s="43" t="s">
        <v>137</v>
      </c>
      <c r="D561" s="44" t="s">
        <v>223</v>
      </c>
      <c r="E561" s="44">
        <v>22</v>
      </c>
      <c r="F561" s="44" t="s">
        <v>3</v>
      </c>
      <c r="G561" s="43" t="str">
        <f>IFERROR(VLOOKUP(A561,'[1]MC Masterlist 2026-09-12'!$B:$M, 3, 0),"")</f>
        <v>KAWASAKI</v>
      </c>
      <c r="H561" s="45">
        <f>IFERROR(VLOOKUP(A561,'[1]MC Masterlist 2026-09-12'!$B:$M, 6, 0),"")</f>
        <v>52948</v>
      </c>
      <c r="I561" s="46">
        <v>1</v>
      </c>
      <c r="J561" s="46">
        <v>3</v>
      </c>
      <c r="K561" s="46">
        <v>0</v>
      </c>
      <c r="L561" s="46">
        <f t="shared" si="120"/>
        <v>4</v>
      </c>
      <c r="M561" s="46">
        <f t="shared" si="121"/>
        <v>1.3333333333333333</v>
      </c>
      <c r="N561" s="45">
        <f t="shared" si="122"/>
        <v>211792</v>
      </c>
      <c r="O561" s="45">
        <f t="shared" si="123"/>
        <v>70597.333333333328</v>
      </c>
      <c r="P561" s="46">
        <f t="shared" si="124"/>
        <v>4.4444444444444439E-2</v>
      </c>
      <c r="Q561" s="46">
        <v>2</v>
      </c>
      <c r="R561" s="45">
        <f t="shared" si="125"/>
        <v>105896</v>
      </c>
      <c r="S561" s="46">
        <f t="shared" si="126"/>
        <v>45</v>
      </c>
      <c r="T561" s="46">
        <f>IFERROR(VLOOKUP(A561,'[1]Re-order'!$A:$Q,17,0),"")</f>
        <v>378</v>
      </c>
      <c r="U561" s="46">
        <f>IFERROR(VLOOKUP(A561,'[1]MC Masterlist 2026-09-12'!$B:$M, 10, 0),0)</f>
        <v>15</v>
      </c>
      <c r="V561" s="46">
        <f>IFERROR(VLOOKUP(A561,'[1]MC Masterlist 2026-09-12'!$B:$M, 11, 0),0)</f>
        <v>15</v>
      </c>
      <c r="W561" s="46">
        <f t="shared" si="127"/>
        <v>30</v>
      </c>
      <c r="X561" s="46">
        <f t="shared" si="128"/>
        <v>6.333333333333333</v>
      </c>
      <c r="Y561" s="46">
        <f>IFERROR(IF(OR(C561="AREA I",C561="AREA V"),7,VLOOKUP(A561,'[1]MC Masterlist 2026-09-12'!$B:$M, 12, 0)),0)</f>
        <v>7</v>
      </c>
      <c r="Z561" s="46">
        <f t="shared" si="129"/>
        <v>0.66666666666666663</v>
      </c>
      <c r="AA561" s="46">
        <f t="shared" si="130"/>
        <v>1.3333333333333333</v>
      </c>
      <c r="AB561" s="46">
        <f t="shared" si="131"/>
        <v>0.28148148148148144</v>
      </c>
      <c r="AC561" s="46">
        <f t="shared" si="132"/>
        <v>0.31111111111111106</v>
      </c>
      <c r="AD561" s="44" t="str">
        <f t="shared" si="133"/>
        <v>Over</v>
      </c>
      <c r="AE561" s="44" t="str">
        <f>IFERROR(VLOOKUP(A561,'[1]Re-order'!$A:$AA,27,0),"")</f>
        <v>Over</v>
      </c>
      <c r="AF561" s="46">
        <f t="shared" si="134"/>
        <v>-1.6888888888888889</v>
      </c>
      <c r="AG561" s="46">
        <f>SUMIFS('[1]Raw Inventory'!D:D,'[1]Raw Inventory'!C:C,"GREATWALL",'[1]Raw Inventory'!B:B,A561)</f>
        <v>15</v>
      </c>
      <c r="AH561" s="46">
        <f>SUMIFS('[1]Raw Inventory'!D:D,'[1]Raw Inventory'!C:C,"DUARTE",'[1]Raw Inventory'!B:B,A561)</f>
        <v>0</v>
      </c>
      <c r="AI561" s="46"/>
      <c r="AJ561" s="46"/>
      <c r="AK561" s="43"/>
      <c r="AL561" s="43"/>
      <c r="AM561" s="43"/>
      <c r="AN561" s="43"/>
      <c r="AO561" s="43"/>
      <c r="AP561" s="43"/>
      <c r="AQ561" s="43"/>
      <c r="AR561" s="43"/>
      <c r="AS561" s="43"/>
      <c r="AT561" s="43"/>
    </row>
    <row r="562" spans="1:46">
      <c r="A562" s="43" t="s">
        <v>24</v>
      </c>
      <c r="B562" s="43" t="s">
        <v>111</v>
      </c>
      <c r="C562" s="43" t="s">
        <v>109</v>
      </c>
      <c r="D562" s="44" t="s">
        <v>231</v>
      </c>
      <c r="E562" s="44">
        <v>29</v>
      </c>
      <c r="F562" s="44" t="s">
        <v>3</v>
      </c>
      <c r="G562" s="43" t="str">
        <f>IFERROR(VLOOKUP(A562,'[1]MC Masterlist 2026-09-12'!$B:$M, 3, 0),"")</f>
        <v>KAWASAKI</v>
      </c>
      <c r="H562" s="45">
        <f>IFERROR(VLOOKUP(A562,'[1]MC Masterlist 2026-09-12'!$B:$M, 6, 0),"")</f>
        <v>131626</v>
      </c>
      <c r="I562" s="46">
        <v>0</v>
      </c>
      <c r="J562" s="46">
        <v>0</v>
      </c>
      <c r="K562" s="46">
        <v>0</v>
      </c>
      <c r="L562" s="46">
        <f t="shared" si="120"/>
        <v>0</v>
      </c>
      <c r="M562" s="46">
        <f t="shared" si="121"/>
        <v>0</v>
      </c>
      <c r="N562" s="45">
        <f t="shared" si="122"/>
        <v>0</v>
      </c>
      <c r="O562" s="45">
        <f t="shared" si="123"/>
        <v>0</v>
      </c>
      <c r="P562" s="46">
        <f t="shared" si="124"/>
        <v>0</v>
      </c>
      <c r="Q562" s="46">
        <v>2</v>
      </c>
      <c r="R562" s="45">
        <f t="shared" si="125"/>
        <v>263252</v>
      </c>
      <c r="S562" s="46">
        <f t="shared" si="126"/>
        <v>0</v>
      </c>
      <c r="T562" s="46">
        <f>IFERROR(VLOOKUP(A562,'[1]Re-order'!$A:$Q,17,0),"")</f>
        <v>40.677966101694913</v>
      </c>
      <c r="U562" s="46">
        <f>IFERROR(VLOOKUP(A562,'[1]MC Masterlist 2026-09-12'!$B:$M, 10, 0),0)</f>
        <v>15</v>
      </c>
      <c r="V562" s="46">
        <f>IFERROR(VLOOKUP(A562,'[1]MC Masterlist 2026-09-12'!$B:$M, 11, 0),0)</f>
        <v>15</v>
      </c>
      <c r="W562" s="46">
        <f t="shared" si="127"/>
        <v>30</v>
      </c>
      <c r="X562" s="46">
        <f t="shared" si="128"/>
        <v>30</v>
      </c>
      <c r="Y562" s="46">
        <f>IFERROR(IF(OR(C562="AREA I",C562="AREA V"),7,VLOOKUP(A562,'[1]MC Masterlist 2026-09-12'!$B:$M, 12, 0)),0)</f>
        <v>30</v>
      </c>
      <c r="Z562" s="46">
        <f t="shared" si="129"/>
        <v>0</v>
      </c>
      <c r="AA562" s="46">
        <f t="shared" si="130"/>
        <v>0</v>
      </c>
      <c r="AB562" s="46">
        <f t="shared" si="131"/>
        <v>0</v>
      </c>
      <c r="AC562" s="46">
        <f t="shared" si="132"/>
        <v>0</v>
      </c>
      <c r="AD562" s="44" t="str">
        <f t="shared" si="133"/>
        <v>Over</v>
      </c>
      <c r="AE562" s="44" t="str">
        <f>IFERROR(VLOOKUP(A562,'[1]Re-order'!$A:$AA,27,0),"")</f>
        <v>Re-order</v>
      </c>
      <c r="AF562" s="46">
        <f t="shared" si="134"/>
        <v>-2</v>
      </c>
      <c r="AG562" s="46">
        <f>SUMIFS('[1]Raw Inventory'!D:D,'[1]Raw Inventory'!C:C,"GREATWALL",'[1]Raw Inventory'!B:B,A562)</f>
        <v>12</v>
      </c>
      <c r="AH562" s="46">
        <f>SUMIFS('[1]Raw Inventory'!D:D,'[1]Raw Inventory'!C:C,"DUARTE",'[1]Raw Inventory'!B:B,A562)</f>
        <v>0</v>
      </c>
      <c r="AI562" s="46"/>
      <c r="AJ562" s="46"/>
      <c r="AK562" s="43"/>
      <c r="AL562" s="43"/>
      <c r="AM562" s="43"/>
      <c r="AN562" s="43"/>
      <c r="AO562" s="43"/>
      <c r="AP562" s="43"/>
      <c r="AQ562" s="43"/>
      <c r="AR562" s="43"/>
      <c r="AS562" s="43"/>
      <c r="AT562" s="43"/>
    </row>
    <row r="563" spans="1:46">
      <c r="A563" s="43" t="s">
        <v>25</v>
      </c>
      <c r="B563" s="43" t="s">
        <v>5</v>
      </c>
      <c r="C563" s="43" t="s">
        <v>118</v>
      </c>
      <c r="D563" s="44" t="s">
        <v>254</v>
      </c>
      <c r="E563" s="44">
        <v>7</v>
      </c>
      <c r="F563" s="44" t="s">
        <v>2</v>
      </c>
      <c r="G563" s="43" t="str">
        <f>IFERROR(VLOOKUP(A563,'[1]MC Masterlist 2026-09-12'!$B:$M, 3, 0),"")</f>
        <v>YAMAHA</v>
      </c>
      <c r="H563" s="45">
        <f>IFERROR(VLOOKUP(A563,'[1]MC Masterlist 2026-09-12'!$B:$M, 6, 0),"")</f>
        <v>124527</v>
      </c>
      <c r="I563" s="46">
        <v>1</v>
      </c>
      <c r="J563" s="46">
        <v>1</v>
      </c>
      <c r="K563" s="46">
        <v>1</v>
      </c>
      <c r="L563" s="46">
        <f t="shared" si="120"/>
        <v>3</v>
      </c>
      <c r="M563" s="46">
        <f t="shared" si="121"/>
        <v>1</v>
      </c>
      <c r="N563" s="45">
        <f t="shared" si="122"/>
        <v>373581</v>
      </c>
      <c r="O563" s="45">
        <f t="shared" si="123"/>
        <v>124527</v>
      </c>
      <c r="P563" s="46">
        <f t="shared" si="124"/>
        <v>3.3333333333333333E-2</v>
      </c>
      <c r="Q563" s="46"/>
      <c r="R563" s="45">
        <f t="shared" si="125"/>
        <v>0</v>
      </c>
      <c r="S563" s="46">
        <f t="shared" si="126"/>
        <v>0</v>
      </c>
      <c r="T563" s="46">
        <f>IFERROR(VLOOKUP(A563,'[1]Re-order'!$A:$Q,17,0),"")</f>
        <v>5.1030927835051543</v>
      </c>
      <c r="U563" s="46">
        <f>IFERROR(VLOOKUP(A563,'[1]MC Masterlist 2026-09-12'!$B:$M, 10, 0),0)</f>
        <v>15</v>
      </c>
      <c r="V563" s="46">
        <f>IFERROR(VLOOKUP(A563,'[1]MC Masterlist 2026-09-12'!$B:$M, 11, 0),0)</f>
        <v>15</v>
      </c>
      <c r="W563" s="46">
        <f t="shared" si="127"/>
        <v>30</v>
      </c>
      <c r="X563" s="46">
        <f t="shared" si="128"/>
        <v>29.5</v>
      </c>
      <c r="Y563" s="46">
        <f>IFERROR(IF(OR(C563="AREA I",C563="AREA V"),7,VLOOKUP(A563,'[1]MC Masterlist 2026-09-12'!$B:$M, 12, 0)),0)</f>
        <v>30</v>
      </c>
      <c r="Z563" s="46">
        <f t="shared" si="129"/>
        <v>0.5</v>
      </c>
      <c r="AA563" s="46">
        <f t="shared" si="130"/>
        <v>1</v>
      </c>
      <c r="AB563" s="46">
        <f t="shared" si="131"/>
        <v>0.98333333333333328</v>
      </c>
      <c r="AC563" s="46">
        <f t="shared" si="132"/>
        <v>1</v>
      </c>
      <c r="AD563" s="44" t="str">
        <f t="shared" si="133"/>
        <v>Stockout</v>
      </c>
      <c r="AE563" s="44" t="str">
        <f>IFERROR(VLOOKUP(A563,'[1]Re-order'!$A:$AA,27,0),"")</f>
        <v>Stockout</v>
      </c>
      <c r="AF563" s="46">
        <f t="shared" si="134"/>
        <v>1</v>
      </c>
      <c r="AG563" s="46">
        <f>SUMIFS('[1]Raw Inventory'!D:D,'[1]Raw Inventory'!C:C,"GREATWALL",'[1]Raw Inventory'!B:B,A563)</f>
        <v>1</v>
      </c>
      <c r="AH563" s="46">
        <f>SUMIFS('[1]Raw Inventory'!D:D,'[1]Raw Inventory'!C:C,"DUARTE",'[1]Raw Inventory'!B:B,A563)</f>
        <v>0</v>
      </c>
      <c r="AI563" s="46"/>
      <c r="AJ563" s="46"/>
      <c r="AK563" s="43"/>
      <c r="AL563" s="43"/>
      <c r="AM563" s="43"/>
      <c r="AN563" s="43"/>
      <c r="AO563" s="43"/>
      <c r="AP563" s="43"/>
      <c r="AQ563" s="43"/>
      <c r="AR563" s="43"/>
      <c r="AS563" s="43"/>
      <c r="AT563" s="43"/>
    </row>
    <row r="564" spans="1:46">
      <c r="A564" s="43" t="s">
        <v>41</v>
      </c>
      <c r="B564" s="43" t="s">
        <v>123</v>
      </c>
      <c r="C564" s="43" t="s">
        <v>118</v>
      </c>
      <c r="D564" s="44" t="s">
        <v>231</v>
      </c>
      <c r="E564" s="44">
        <v>25</v>
      </c>
      <c r="F564" s="44" t="s">
        <v>3</v>
      </c>
      <c r="G564" s="43" t="str">
        <f>IFERROR(VLOOKUP(A564,'[1]MC Masterlist 2026-09-12'!$B:$M, 3, 0),"")</f>
        <v>YAMAHA</v>
      </c>
      <c r="H564" s="45">
        <f>IFERROR(VLOOKUP(A564,'[1]MC Masterlist 2026-09-12'!$B:$M, 6, 0),"")</f>
        <v>92907</v>
      </c>
      <c r="I564" s="46">
        <v>0</v>
      </c>
      <c r="J564" s="46">
        <v>0</v>
      </c>
      <c r="K564" s="46">
        <v>0</v>
      </c>
      <c r="L564" s="46">
        <f t="shared" si="120"/>
        <v>0</v>
      </c>
      <c r="M564" s="46">
        <f t="shared" si="121"/>
        <v>0</v>
      </c>
      <c r="N564" s="45">
        <f t="shared" si="122"/>
        <v>0</v>
      </c>
      <c r="O564" s="45">
        <f t="shared" si="123"/>
        <v>0</v>
      </c>
      <c r="P564" s="46">
        <f t="shared" si="124"/>
        <v>0</v>
      </c>
      <c r="Q564" s="46">
        <v>1</v>
      </c>
      <c r="R564" s="45">
        <f t="shared" si="125"/>
        <v>92907</v>
      </c>
      <c r="S564" s="46">
        <f t="shared" si="126"/>
        <v>0</v>
      </c>
      <c r="T564" s="46">
        <f>IFERROR(VLOOKUP(A564,'[1]Re-order'!$A:$Q,17,0),"")</f>
        <v>240</v>
      </c>
      <c r="U564" s="46">
        <f>IFERROR(VLOOKUP(A564,'[1]MC Masterlist 2026-09-12'!$B:$M, 10, 0),0)</f>
        <v>15</v>
      </c>
      <c r="V564" s="46">
        <f>IFERROR(VLOOKUP(A564,'[1]MC Masterlist 2026-09-12'!$B:$M, 11, 0),0)</f>
        <v>15</v>
      </c>
      <c r="W564" s="46">
        <f t="shared" si="127"/>
        <v>30</v>
      </c>
      <c r="X564" s="46">
        <f t="shared" si="128"/>
        <v>30</v>
      </c>
      <c r="Y564" s="46">
        <f>IFERROR(IF(OR(C564="AREA I",C564="AREA V"),7,VLOOKUP(A564,'[1]MC Masterlist 2026-09-12'!$B:$M, 12, 0)),0)</f>
        <v>30</v>
      </c>
      <c r="Z564" s="46">
        <f t="shared" si="129"/>
        <v>0</v>
      </c>
      <c r="AA564" s="46">
        <f t="shared" si="130"/>
        <v>0</v>
      </c>
      <c r="AB564" s="46">
        <f t="shared" si="131"/>
        <v>0</v>
      </c>
      <c r="AC564" s="46">
        <f t="shared" si="132"/>
        <v>0</v>
      </c>
      <c r="AD564" s="44" t="str">
        <f t="shared" si="133"/>
        <v>Over</v>
      </c>
      <c r="AE564" s="44" t="str">
        <f>IFERROR(VLOOKUP(A564,'[1]Re-order'!$A:$AA,27,0),"")</f>
        <v>Over</v>
      </c>
      <c r="AF564" s="46">
        <f t="shared" si="134"/>
        <v>-1</v>
      </c>
      <c r="AG564" s="46">
        <f>SUMIFS('[1]Raw Inventory'!D:D,'[1]Raw Inventory'!C:C,"GREATWALL",'[1]Raw Inventory'!B:B,A564)</f>
        <v>2</v>
      </c>
      <c r="AH564" s="46">
        <f>SUMIFS('[1]Raw Inventory'!D:D,'[1]Raw Inventory'!C:C,"DUARTE",'[1]Raw Inventory'!B:B,A564)</f>
        <v>0</v>
      </c>
      <c r="AI564" s="46"/>
      <c r="AJ564" s="46"/>
      <c r="AK564" s="43"/>
      <c r="AL564" s="43"/>
      <c r="AM564" s="43"/>
      <c r="AN564" s="43"/>
      <c r="AO564" s="43"/>
      <c r="AP564" s="43"/>
      <c r="AQ564" s="43"/>
      <c r="AR564" s="43"/>
      <c r="AS564" s="43"/>
      <c r="AT564" s="43"/>
    </row>
    <row r="565" spans="1:46">
      <c r="A565" s="43" t="s">
        <v>64</v>
      </c>
      <c r="B565" s="43" t="s">
        <v>110</v>
      </c>
      <c r="C565" s="43" t="s">
        <v>109</v>
      </c>
      <c r="D565" s="44" t="s">
        <v>256</v>
      </c>
      <c r="E565" s="44">
        <v>14</v>
      </c>
      <c r="F565" s="44" t="s">
        <v>2</v>
      </c>
      <c r="G565" s="43" t="str">
        <f>IFERROR(VLOOKUP(A565,'[1]MC Masterlist 2026-09-12'!$B:$M, 3, 0),"")</f>
        <v>HONDA</v>
      </c>
      <c r="H565" s="45">
        <f>IFERROR(VLOOKUP(A565,'[1]MC Masterlist 2026-09-12'!$B:$M, 6, 0),"")</f>
        <v>73170</v>
      </c>
      <c r="I565" s="46">
        <v>1</v>
      </c>
      <c r="J565" s="46">
        <v>1</v>
      </c>
      <c r="K565" s="46">
        <v>1</v>
      </c>
      <c r="L565" s="46">
        <f t="shared" si="120"/>
        <v>3</v>
      </c>
      <c r="M565" s="46">
        <f t="shared" si="121"/>
        <v>1</v>
      </c>
      <c r="N565" s="45">
        <f t="shared" si="122"/>
        <v>219510</v>
      </c>
      <c r="O565" s="45">
        <f t="shared" si="123"/>
        <v>73170</v>
      </c>
      <c r="P565" s="46">
        <f t="shared" si="124"/>
        <v>3.3333333333333333E-2</v>
      </c>
      <c r="Q565" s="46">
        <v>1</v>
      </c>
      <c r="R565" s="45">
        <f t="shared" si="125"/>
        <v>73170</v>
      </c>
      <c r="S565" s="46">
        <f t="shared" si="126"/>
        <v>30</v>
      </c>
      <c r="T565" s="46">
        <f>IFERROR(VLOOKUP(A565,'[1]Re-order'!$A:$Q,17,0),"")</f>
        <v>76.153846153846146</v>
      </c>
      <c r="U565" s="46">
        <f>IFERROR(VLOOKUP(A565,'[1]MC Masterlist 2026-09-12'!$B:$M, 10, 0),0)</f>
        <v>15</v>
      </c>
      <c r="V565" s="46">
        <f>IFERROR(VLOOKUP(A565,'[1]MC Masterlist 2026-09-12'!$B:$M, 11, 0),0)</f>
        <v>15</v>
      </c>
      <c r="W565" s="46">
        <f t="shared" si="127"/>
        <v>30</v>
      </c>
      <c r="X565" s="46">
        <f t="shared" si="128"/>
        <v>29.5</v>
      </c>
      <c r="Y565" s="46">
        <f>IFERROR(IF(OR(C565="AREA I",C565="AREA V"),7,VLOOKUP(A565,'[1]MC Masterlist 2026-09-12'!$B:$M, 12, 0)),0)</f>
        <v>30</v>
      </c>
      <c r="Z565" s="46">
        <f t="shared" si="129"/>
        <v>0.5</v>
      </c>
      <c r="AA565" s="46">
        <f t="shared" si="130"/>
        <v>1</v>
      </c>
      <c r="AB565" s="46">
        <f t="shared" si="131"/>
        <v>0.98333333333333328</v>
      </c>
      <c r="AC565" s="46">
        <f t="shared" si="132"/>
        <v>1</v>
      </c>
      <c r="AD565" s="44" t="str">
        <f t="shared" si="133"/>
        <v>Re-order</v>
      </c>
      <c r="AE565" s="44" t="str">
        <f>IFERROR(VLOOKUP(A565,'[1]Re-order'!$A:$AA,27,0),"")</f>
        <v/>
      </c>
      <c r="AF565" s="46">
        <f t="shared" si="134"/>
        <v>0</v>
      </c>
      <c r="AG565" s="46">
        <f>SUMIFS('[1]Raw Inventory'!D:D,'[1]Raw Inventory'!C:C,"GREATWALL",'[1]Raw Inventory'!B:B,A565)</f>
        <v>13</v>
      </c>
      <c r="AH565" s="46">
        <f>SUMIFS('[1]Raw Inventory'!D:D,'[1]Raw Inventory'!C:C,"DUARTE",'[1]Raw Inventory'!B:B,A565)</f>
        <v>0</v>
      </c>
      <c r="AI565" s="46"/>
      <c r="AJ565" s="46"/>
      <c r="AK565" s="43"/>
      <c r="AL565" s="43"/>
      <c r="AM565" s="43"/>
      <c r="AN565" s="43"/>
      <c r="AO565" s="43"/>
      <c r="AP565" s="43"/>
      <c r="AQ565" s="43"/>
      <c r="AR565" s="43"/>
      <c r="AS565" s="43"/>
      <c r="AT565" s="43"/>
    </row>
    <row r="566" spans="1:46">
      <c r="A566" s="43" t="s">
        <v>28</v>
      </c>
      <c r="B566" s="43" t="s">
        <v>5</v>
      </c>
      <c r="C566" s="43" t="s">
        <v>118</v>
      </c>
      <c r="D566" s="44" t="s">
        <v>234</v>
      </c>
      <c r="E566" s="44">
        <v>4</v>
      </c>
      <c r="F566" s="44" t="s">
        <v>0</v>
      </c>
      <c r="G566" s="43" t="str">
        <f>IFERROR(VLOOKUP(A566,'[1]MC Masterlist 2026-09-12'!$B:$M, 3, 0),"")</f>
        <v>YAMAHA</v>
      </c>
      <c r="H566" s="45">
        <f>IFERROR(VLOOKUP(A566,'[1]MC Masterlist 2026-09-12'!$B:$M, 6, 0),"")</f>
        <v>147312</v>
      </c>
      <c r="I566" s="46">
        <v>1</v>
      </c>
      <c r="J566" s="46">
        <v>1</v>
      </c>
      <c r="K566" s="46">
        <v>2</v>
      </c>
      <c r="L566" s="46">
        <f t="shared" si="120"/>
        <v>4</v>
      </c>
      <c r="M566" s="46">
        <f t="shared" si="121"/>
        <v>1.3333333333333333</v>
      </c>
      <c r="N566" s="45">
        <f t="shared" si="122"/>
        <v>589248</v>
      </c>
      <c r="O566" s="45">
        <f t="shared" si="123"/>
        <v>196416</v>
      </c>
      <c r="P566" s="46">
        <f t="shared" si="124"/>
        <v>4.4444444444444439E-2</v>
      </c>
      <c r="Q566" s="46"/>
      <c r="R566" s="45">
        <f t="shared" si="125"/>
        <v>0</v>
      </c>
      <c r="S566" s="46">
        <f t="shared" si="126"/>
        <v>0</v>
      </c>
      <c r="T566" s="46">
        <f>IFERROR(VLOOKUP(A566,'[1]Re-order'!$A:$Q,17,0),"")</f>
        <v>8.2417582417582427</v>
      </c>
      <c r="U566" s="46">
        <f>IFERROR(VLOOKUP(A566,'[1]MC Masterlist 2026-09-12'!$B:$M, 10, 0),0)</f>
        <v>15</v>
      </c>
      <c r="V566" s="46">
        <f>IFERROR(VLOOKUP(A566,'[1]MC Masterlist 2026-09-12'!$B:$M, 11, 0),0)</f>
        <v>15</v>
      </c>
      <c r="W566" s="46">
        <f t="shared" si="127"/>
        <v>30</v>
      </c>
      <c r="X566" s="46">
        <f t="shared" si="128"/>
        <v>29.333333333333332</v>
      </c>
      <c r="Y566" s="46">
        <f>IFERROR(IF(OR(C566="AREA I",C566="AREA V"),7,VLOOKUP(A566,'[1]MC Masterlist 2026-09-12'!$B:$M, 12, 0)),0)</f>
        <v>30</v>
      </c>
      <c r="Z566" s="46">
        <f t="shared" si="129"/>
        <v>0.66666666666666663</v>
      </c>
      <c r="AA566" s="46">
        <f t="shared" si="130"/>
        <v>1.3333333333333333</v>
      </c>
      <c r="AB566" s="46">
        <f t="shared" si="131"/>
        <v>1.3037037037037036</v>
      </c>
      <c r="AC566" s="46">
        <f t="shared" si="132"/>
        <v>1.3333333333333333</v>
      </c>
      <c r="AD566" s="44" t="str">
        <f t="shared" si="133"/>
        <v>Stockout</v>
      </c>
      <c r="AE566" s="44" t="str">
        <f>IFERROR(VLOOKUP(A566,'[1]Re-order'!$A:$AA,27,0),"")</f>
        <v>Stockout</v>
      </c>
      <c r="AF566" s="46">
        <f t="shared" si="134"/>
        <v>1.3333333333333333</v>
      </c>
      <c r="AG566" s="46">
        <f>SUMIFS('[1]Raw Inventory'!D:D,'[1]Raw Inventory'!C:C,"GREATWALL",'[1]Raw Inventory'!B:B,A566)</f>
        <v>0</v>
      </c>
      <c r="AH566" s="46">
        <f>SUMIFS('[1]Raw Inventory'!D:D,'[1]Raw Inventory'!C:C,"DUARTE",'[1]Raw Inventory'!B:B,A566)</f>
        <v>0</v>
      </c>
      <c r="AI566" s="46"/>
      <c r="AJ566" s="46"/>
      <c r="AK566" s="43"/>
      <c r="AL566" s="43"/>
      <c r="AM566" s="43"/>
      <c r="AN566" s="43"/>
      <c r="AO566" s="43"/>
      <c r="AP566" s="43"/>
      <c r="AQ566" s="43"/>
      <c r="AR566" s="43"/>
      <c r="AS566" s="43"/>
      <c r="AT566" s="43"/>
    </row>
    <row r="567" spans="1:46">
      <c r="A567" s="43" t="s">
        <v>24</v>
      </c>
      <c r="B567" s="43" t="s">
        <v>138</v>
      </c>
      <c r="C567" s="43" t="s">
        <v>137</v>
      </c>
      <c r="D567" s="44" t="s">
        <v>256</v>
      </c>
      <c r="E567" s="44">
        <v>13</v>
      </c>
      <c r="F567" s="44" t="s">
        <v>2</v>
      </c>
      <c r="G567" s="43" t="str">
        <f>IFERROR(VLOOKUP(A567,'[1]MC Masterlist 2026-09-12'!$B:$M, 3, 0),"")</f>
        <v>KAWASAKI</v>
      </c>
      <c r="H567" s="45">
        <f>IFERROR(VLOOKUP(A567,'[1]MC Masterlist 2026-09-12'!$B:$M, 6, 0),"")</f>
        <v>131626</v>
      </c>
      <c r="I567" s="46">
        <v>0</v>
      </c>
      <c r="J567" s="46">
        <v>0</v>
      </c>
      <c r="K567" s="46">
        <v>0</v>
      </c>
      <c r="L567" s="46">
        <f t="shared" si="120"/>
        <v>0</v>
      </c>
      <c r="M567" s="46">
        <f t="shared" si="121"/>
        <v>0</v>
      </c>
      <c r="N567" s="45">
        <f t="shared" si="122"/>
        <v>0</v>
      </c>
      <c r="O567" s="45">
        <f t="shared" si="123"/>
        <v>0</v>
      </c>
      <c r="P567" s="46">
        <f t="shared" si="124"/>
        <v>0</v>
      </c>
      <c r="Q567" s="46">
        <v>12</v>
      </c>
      <c r="R567" s="45">
        <f t="shared" si="125"/>
        <v>1579512</v>
      </c>
      <c r="S567" s="46">
        <f t="shared" si="126"/>
        <v>0</v>
      </c>
      <c r="T567" s="46">
        <f>IFERROR(VLOOKUP(A567,'[1]Re-order'!$A:$Q,17,0),"")</f>
        <v>40.677966101694913</v>
      </c>
      <c r="U567" s="46">
        <f>IFERROR(VLOOKUP(A567,'[1]MC Masterlist 2026-09-12'!$B:$M, 10, 0),0)</f>
        <v>15</v>
      </c>
      <c r="V567" s="46">
        <f>IFERROR(VLOOKUP(A567,'[1]MC Masterlist 2026-09-12'!$B:$M, 11, 0),0)</f>
        <v>15</v>
      </c>
      <c r="W567" s="46">
        <f t="shared" si="127"/>
        <v>30</v>
      </c>
      <c r="X567" s="46">
        <f t="shared" si="128"/>
        <v>7</v>
      </c>
      <c r="Y567" s="46">
        <f>IFERROR(IF(OR(C567="AREA I",C567="AREA V"),7,VLOOKUP(A567,'[1]MC Masterlist 2026-09-12'!$B:$M, 12, 0)),0)</f>
        <v>7</v>
      </c>
      <c r="Z567" s="46">
        <f t="shared" si="129"/>
        <v>0</v>
      </c>
      <c r="AA567" s="46">
        <f t="shared" si="130"/>
        <v>0</v>
      </c>
      <c r="AB567" s="46">
        <f t="shared" si="131"/>
        <v>0</v>
      </c>
      <c r="AC567" s="46">
        <f t="shared" si="132"/>
        <v>0</v>
      </c>
      <c r="AD567" s="44" t="str">
        <f t="shared" si="133"/>
        <v>Over</v>
      </c>
      <c r="AE567" s="44" t="str">
        <f>IFERROR(VLOOKUP(A567,'[1]Re-order'!$A:$AA,27,0),"")</f>
        <v>Re-order</v>
      </c>
      <c r="AF567" s="46">
        <f t="shared" si="134"/>
        <v>-12</v>
      </c>
      <c r="AG567" s="46">
        <f>SUMIFS('[1]Raw Inventory'!D:D,'[1]Raw Inventory'!C:C,"GREATWALL",'[1]Raw Inventory'!B:B,A567)</f>
        <v>12</v>
      </c>
      <c r="AH567" s="46">
        <f>SUMIFS('[1]Raw Inventory'!D:D,'[1]Raw Inventory'!C:C,"DUARTE",'[1]Raw Inventory'!B:B,A567)</f>
        <v>0</v>
      </c>
      <c r="AI567" s="46"/>
      <c r="AJ567" s="46"/>
      <c r="AK567" s="43"/>
      <c r="AL567" s="43"/>
      <c r="AM567" s="43"/>
      <c r="AN567" s="43"/>
      <c r="AO567" s="43"/>
      <c r="AP567" s="43"/>
      <c r="AQ567" s="43"/>
      <c r="AR567" s="43"/>
      <c r="AS567" s="43"/>
      <c r="AT567" s="43"/>
    </row>
    <row r="568" spans="1:46">
      <c r="A568" s="43" t="s">
        <v>48</v>
      </c>
      <c r="B568" s="43" t="s">
        <v>157</v>
      </c>
      <c r="C568" s="43" t="s">
        <v>152</v>
      </c>
      <c r="D568" s="44" t="s">
        <v>247</v>
      </c>
      <c r="E568" s="44">
        <v>20</v>
      </c>
      <c r="F568" s="44" t="s">
        <v>3</v>
      </c>
      <c r="G568" s="43" t="str">
        <f>IFERROR(VLOOKUP(A568,'[1]MC Masterlist 2026-09-12'!$B:$M, 3, 0),"")</f>
        <v>SUZUKI</v>
      </c>
      <c r="H568" s="45">
        <f>IFERROR(VLOOKUP(A568,'[1]MC Masterlist 2026-09-12'!$B:$M, 6, 0),"")</f>
        <v>82687</v>
      </c>
      <c r="I568" s="46">
        <v>0</v>
      </c>
      <c r="J568" s="46">
        <v>1</v>
      </c>
      <c r="K568" s="46">
        <v>0</v>
      </c>
      <c r="L568" s="46">
        <f t="shared" si="120"/>
        <v>1</v>
      </c>
      <c r="M568" s="46">
        <f t="shared" si="121"/>
        <v>0.33333333333333331</v>
      </c>
      <c r="N568" s="45">
        <f t="shared" si="122"/>
        <v>82687</v>
      </c>
      <c r="O568" s="45">
        <f t="shared" si="123"/>
        <v>27562.333333333332</v>
      </c>
      <c r="P568" s="46">
        <f t="shared" si="124"/>
        <v>1.111111111111111E-2</v>
      </c>
      <c r="Q568" s="46"/>
      <c r="R568" s="45">
        <f t="shared" si="125"/>
        <v>0</v>
      </c>
      <c r="S568" s="46">
        <f t="shared" si="126"/>
        <v>0</v>
      </c>
      <c r="T568" s="46">
        <f>IFERROR(VLOOKUP(A568,'[1]Re-order'!$A:$Q,17,0),"")</f>
        <v>303.75</v>
      </c>
      <c r="U568" s="46">
        <f>IFERROR(VLOOKUP(A568,'[1]MC Masterlist 2026-09-12'!$B:$M, 10, 0),0)</f>
        <v>15</v>
      </c>
      <c r="V568" s="46">
        <f>IFERROR(VLOOKUP(A568,'[1]MC Masterlist 2026-09-12'!$B:$M, 11, 0),0)</f>
        <v>15</v>
      </c>
      <c r="W568" s="46">
        <f t="shared" si="127"/>
        <v>30</v>
      </c>
      <c r="X568" s="46">
        <f t="shared" si="128"/>
        <v>29.833333333333332</v>
      </c>
      <c r="Y568" s="46">
        <f>IFERROR(IF(OR(C568="AREA I",C568="AREA V"),7,VLOOKUP(A568,'[1]MC Masterlist 2026-09-12'!$B:$M, 12, 0)),0)</f>
        <v>30</v>
      </c>
      <c r="Z568" s="46">
        <f t="shared" si="129"/>
        <v>0.16666666666666666</v>
      </c>
      <c r="AA568" s="46">
        <f t="shared" si="130"/>
        <v>0.33333333333333331</v>
      </c>
      <c r="AB568" s="46">
        <f t="shared" si="131"/>
        <v>0.33148148148148143</v>
      </c>
      <c r="AC568" s="46">
        <f t="shared" si="132"/>
        <v>0.33333333333333331</v>
      </c>
      <c r="AD568" s="44" t="str">
        <f t="shared" si="133"/>
        <v>Stockout</v>
      </c>
      <c r="AE568" s="44" t="str">
        <f>IFERROR(VLOOKUP(A568,'[1]Re-order'!$A:$AA,27,0),"")</f>
        <v>Over</v>
      </c>
      <c r="AF568" s="46">
        <f t="shared" si="134"/>
        <v>0.33333333333333331</v>
      </c>
      <c r="AG568" s="46">
        <f>SUMIFS('[1]Raw Inventory'!D:D,'[1]Raw Inventory'!C:C,"GREATWALL",'[1]Raw Inventory'!B:B,A568)</f>
        <v>10</v>
      </c>
      <c r="AH568" s="46">
        <f>SUMIFS('[1]Raw Inventory'!D:D,'[1]Raw Inventory'!C:C,"DUARTE",'[1]Raw Inventory'!B:B,A568)</f>
        <v>0</v>
      </c>
      <c r="AI568" s="46"/>
      <c r="AJ568" s="46"/>
      <c r="AK568" s="43"/>
      <c r="AL568" s="43"/>
      <c r="AM568" s="43"/>
      <c r="AN568" s="43"/>
      <c r="AO568" s="43"/>
      <c r="AP568" s="43"/>
      <c r="AQ568" s="43"/>
      <c r="AR568" s="43"/>
      <c r="AS568" s="43"/>
      <c r="AT568" s="43"/>
    </row>
    <row r="569" spans="1:46">
      <c r="A569" s="43" t="s">
        <v>26</v>
      </c>
      <c r="B569" s="43" t="s">
        <v>111</v>
      </c>
      <c r="C569" s="43" t="s">
        <v>109</v>
      </c>
      <c r="D569" s="44" t="s">
        <v>236</v>
      </c>
      <c r="E569" s="44">
        <v>6</v>
      </c>
      <c r="F569" s="44" t="s">
        <v>2</v>
      </c>
      <c r="G569" s="43" t="str">
        <f>IFERROR(VLOOKUP(A569,'[1]MC Masterlist 2026-09-12'!$B:$M, 3, 0),"")</f>
        <v>SUZUKI</v>
      </c>
      <c r="H569" s="45">
        <f>IFERROR(VLOOKUP(A569,'[1]MC Masterlist 2026-09-12'!$B:$M, 6, 0),"")</f>
        <v>123700</v>
      </c>
      <c r="I569" s="46">
        <v>0</v>
      </c>
      <c r="J569" s="46">
        <v>2</v>
      </c>
      <c r="K569" s="46">
        <v>4</v>
      </c>
      <c r="L569" s="46">
        <f t="shared" si="120"/>
        <v>6</v>
      </c>
      <c r="M569" s="46">
        <f t="shared" si="121"/>
        <v>2</v>
      </c>
      <c r="N569" s="45">
        <f t="shared" si="122"/>
        <v>742200</v>
      </c>
      <c r="O569" s="45">
        <f t="shared" si="123"/>
        <v>247400</v>
      </c>
      <c r="P569" s="46">
        <f t="shared" si="124"/>
        <v>6.6666666666666666E-2</v>
      </c>
      <c r="Q569" s="46"/>
      <c r="R569" s="45">
        <f t="shared" si="125"/>
        <v>0</v>
      </c>
      <c r="S569" s="46">
        <f t="shared" si="126"/>
        <v>0</v>
      </c>
      <c r="T569" s="46">
        <f>IFERROR(VLOOKUP(A569,'[1]Re-order'!$A:$Q,17,0),"")</f>
        <v>71.470588235294116</v>
      </c>
      <c r="U569" s="46">
        <f>IFERROR(VLOOKUP(A569,'[1]MC Masterlist 2026-09-12'!$B:$M, 10, 0),0)</f>
        <v>15</v>
      </c>
      <c r="V569" s="46">
        <f>IFERROR(VLOOKUP(A569,'[1]MC Masterlist 2026-09-12'!$B:$M, 11, 0),0)</f>
        <v>15</v>
      </c>
      <c r="W569" s="46">
        <f t="shared" si="127"/>
        <v>30</v>
      </c>
      <c r="X569" s="46">
        <f t="shared" si="128"/>
        <v>29</v>
      </c>
      <c r="Y569" s="46">
        <f>IFERROR(IF(OR(C569="AREA I",C569="AREA V"),7,VLOOKUP(A569,'[1]MC Masterlist 2026-09-12'!$B:$M, 12, 0)),0)</f>
        <v>30</v>
      </c>
      <c r="Z569" s="46">
        <f t="shared" si="129"/>
        <v>1</v>
      </c>
      <c r="AA569" s="46">
        <f t="shared" si="130"/>
        <v>2</v>
      </c>
      <c r="AB569" s="46">
        <f t="shared" si="131"/>
        <v>1.9333333333333333</v>
      </c>
      <c r="AC569" s="46">
        <f t="shared" si="132"/>
        <v>2</v>
      </c>
      <c r="AD569" s="44" t="str">
        <f t="shared" si="133"/>
        <v>Stockout</v>
      </c>
      <c r="AE569" s="44" t="str">
        <f>IFERROR(VLOOKUP(A569,'[1]Re-order'!$A:$AA,27,0),"")</f>
        <v>Re-order</v>
      </c>
      <c r="AF569" s="46">
        <f t="shared" si="134"/>
        <v>2</v>
      </c>
      <c r="AG569" s="46">
        <f>SUMIFS('[1]Raw Inventory'!D:D,'[1]Raw Inventory'!C:C,"GREATWALL",'[1]Raw Inventory'!B:B,A569)</f>
        <v>30</v>
      </c>
      <c r="AH569" s="46">
        <f>SUMIFS('[1]Raw Inventory'!D:D,'[1]Raw Inventory'!C:C,"DUARTE",'[1]Raw Inventory'!B:B,A569)</f>
        <v>0</v>
      </c>
      <c r="AI569" s="46"/>
      <c r="AJ569" s="46"/>
      <c r="AK569" s="43"/>
      <c r="AL569" s="43"/>
      <c r="AM569" s="43"/>
      <c r="AN569" s="43"/>
      <c r="AO569" s="43"/>
      <c r="AP569" s="43"/>
      <c r="AQ569" s="43"/>
      <c r="AR569" s="43"/>
      <c r="AS569" s="43"/>
      <c r="AT569" s="43"/>
    </row>
    <row r="570" spans="1:46">
      <c r="A570" s="43" t="s">
        <v>23</v>
      </c>
      <c r="B570" s="43" t="s">
        <v>132</v>
      </c>
      <c r="C570" s="43" t="s">
        <v>128</v>
      </c>
      <c r="D570" s="44" t="s">
        <v>238</v>
      </c>
      <c r="E570" s="44">
        <v>2</v>
      </c>
      <c r="F570" s="44" t="s">
        <v>0</v>
      </c>
      <c r="G570" s="43" t="str">
        <f>IFERROR(VLOOKUP(A570,'[1]MC Masterlist 2026-09-12'!$B:$M, 3, 0),"")</f>
        <v>KAWASAKI</v>
      </c>
      <c r="H570" s="45">
        <f>IFERROR(VLOOKUP(A570,'[1]MC Masterlist 2026-09-12'!$B:$M, 6, 0),"")</f>
        <v>60656</v>
      </c>
      <c r="I570" s="46">
        <v>20</v>
      </c>
      <c r="J570" s="46">
        <v>21</v>
      </c>
      <c r="K570" s="46">
        <v>13</v>
      </c>
      <c r="L570" s="46">
        <f t="shared" si="120"/>
        <v>54</v>
      </c>
      <c r="M570" s="46">
        <f t="shared" si="121"/>
        <v>18</v>
      </c>
      <c r="N570" s="45">
        <f t="shared" si="122"/>
        <v>3275424</v>
      </c>
      <c r="O570" s="45">
        <f t="shared" si="123"/>
        <v>1091808</v>
      </c>
      <c r="P570" s="46">
        <f t="shared" si="124"/>
        <v>0.6</v>
      </c>
      <c r="Q570" s="46">
        <v>41</v>
      </c>
      <c r="R570" s="45">
        <f t="shared" si="125"/>
        <v>2486896</v>
      </c>
      <c r="S570" s="46">
        <f t="shared" si="126"/>
        <v>68.333333333333329</v>
      </c>
      <c r="T570" s="46">
        <f>IFERROR(VLOOKUP(A570,'[1]Re-order'!$A:$Q,17,0),"")</f>
        <v>53.973412112259979</v>
      </c>
      <c r="U570" s="46">
        <f>IFERROR(VLOOKUP(A570,'[1]MC Masterlist 2026-09-12'!$B:$M, 10, 0),0)</f>
        <v>15</v>
      </c>
      <c r="V570" s="46">
        <f>IFERROR(VLOOKUP(A570,'[1]MC Masterlist 2026-09-12'!$B:$M, 11, 0),0)</f>
        <v>15</v>
      </c>
      <c r="W570" s="46">
        <f t="shared" si="127"/>
        <v>30</v>
      </c>
      <c r="X570" s="46">
        <f t="shared" si="128"/>
        <v>21</v>
      </c>
      <c r="Y570" s="46">
        <f>IFERROR(IF(OR(C570="AREA I",C570="AREA V"),7,VLOOKUP(A570,'[1]MC Masterlist 2026-09-12'!$B:$M, 12, 0)),0)</f>
        <v>30</v>
      </c>
      <c r="Z570" s="46">
        <f t="shared" si="129"/>
        <v>9</v>
      </c>
      <c r="AA570" s="46">
        <f t="shared" si="130"/>
        <v>18</v>
      </c>
      <c r="AB570" s="46">
        <f t="shared" si="131"/>
        <v>12.6</v>
      </c>
      <c r="AC570" s="46">
        <f t="shared" si="132"/>
        <v>18</v>
      </c>
      <c r="AD570" s="44" t="str">
        <f t="shared" si="133"/>
        <v>Over</v>
      </c>
      <c r="AE570" s="44" t="str">
        <f>IFERROR(VLOOKUP(A570,'[1]Re-order'!$A:$AA,27,0),"")</f>
        <v>Re-order</v>
      </c>
      <c r="AF570" s="46">
        <f t="shared" si="134"/>
        <v>-23</v>
      </c>
      <c r="AG570" s="46">
        <f>SUMIFS('[1]Raw Inventory'!D:D,'[1]Raw Inventory'!C:C,"GREATWALL",'[1]Raw Inventory'!B:B,A570)</f>
        <v>282</v>
      </c>
      <c r="AH570" s="46">
        <f>SUMIFS('[1]Raw Inventory'!D:D,'[1]Raw Inventory'!C:C,"DUARTE",'[1]Raw Inventory'!B:B,A570)</f>
        <v>0</v>
      </c>
      <c r="AI570" s="46"/>
      <c r="AJ570" s="46"/>
      <c r="AK570" s="43"/>
      <c r="AL570" s="43"/>
      <c r="AM570" s="43"/>
      <c r="AN570" s="43"/>
      <c r="AO570" s="43"/>
      <c r="AP570" s="43"/>
      <c r="AQ570" s="43"/>
      <c r="AR570" s="43"/>
      <c r="AS570" s="43"/>
      <c r="AT570" s="43"/>
    </row>
    <row r="571" spans="1:46">
      <c r="A571" s="43" t="s">
        <v>22</v>
      </c>
      <c r="B571" s="43" t="s">
        <v>119</v>
      </c>
      <c r="C571" s="43" t="s">
        <v>118</v>
      </c>
      <c r="D571" s="44" t="s">
        <v>246</v>
      </c>
      <c r="E571" s="44">
        <v>15</v>
      </c>
      <c r="F571" s="44" t="s">
        <v>2</v>
      </c>
      <c r="G571" s="43" t="str">
        <f>IFERROR(VLOOKUP(A571,'[1]MC Masterlist 2026-09-12'!$B:$M, 3, 0),"")</f>
        <v>HONDA</v>
      </c>
      <c r="H571" s="45">
        <f>IFERROR(VLOOKUP(A571,'[1]MC Masterlist 2026-09-12'!$B:$M, 6, 0),"")</f>
        <v>111258</v>
      </c>
      <c r="I571" s="46">
        <v>2</v>
      </c>
      <c r="J571" s="46">
        <v>1</v>
      </c>
      <c r="K571" s="46">
        <v>0</v>
      </c>
      <c r="L571" s="46">
        <f t="shared" si="120"/>
        <v>3</v>
      </c>
      <c r="M571" s="46">
        <f t="shared" si="121"/>
        <v>1</v>
      </c>
      <c r="N571" s="45">
        <f t="shared" si="122"/>
        <v>333774</v>
      </c>
      <c r="O571" s="45">
        <f t="shared" si="123"/>
        <v>111258</v>
      </c>
      <c r="P571" s="46">
        <f t="shared" si="124"/>
        <v>3.3333333333333333E-2</v>
      </c>
      <c r="Q571" s="46">
        <v>4</v>
      </c>
      <c r="R571" s="45">
        <f t="shared" si="125"/>
        <v>445032</v>
      </c>
      <c r="S571" s="46">
        <f t="shared" si="126"/>
        <v>120</v>
      </c>
      <c r="T571" s="46">
        <f>IFERROR(VLOOKUP(A571,'[1]Re-order'!$A:$Q,17,0),"")</f>
        <v>41.339712918660283</v>
      </c>
      <c r="U571" s="46">
        <f>IFERROR(VLOOKUP(A571,'[1]MC Masterlist 2026-09-12'!$B:$M, 10, 0),0)</f>
        <v>15</v>
      </c>
      <c r="V571" s="46">
        <f>IFERROR(VLOOKUP(A571,'[1]MC Masterlist 2026-09-12'!$B:$M, 11, 0),0)</f>
        <v>15</v>
      </c>
      <c r="W571" s="46">
        <f t="shared" si="127"/>
        <v>30</v>
      </c>
      <c r="X571" s="46">
        <f t="shared" si="128"/>
        <v>29.5</v>
      </c>
      <c r="Y571" s="46">
        <f>IFERROR(IF(OR(C571="AREA I",C571="AREA V"),7,VLOOKUP(A571,'[1]MC Masterlist 2026-09-12'!$B:$M, 12, 0)),0)</f>
        <v>30</v>
      </c>
      <c r="Z571" s="46">
        <f t="shared" si="129"/>
        <v>0.5</v>
      </c>
      <c r="AA571" s="46">
        <f t="shared" si="130"/>
        <v>1</v>
      </c>
      <c r="AB571" s="46">
        <f t="shared" si="131"/>
        <v>0.98333333333333328</v>
      </c>
      <c r="AC571" s="46">
        <f t="shared" si="132"/>
        <v>1</v>
      </c>
      <c r="AD571" s="44" t="str">
        <f t="shared" si="133"/>
        <v>Over</v>
      </c>
      <c r="AE571" s="44" t="str">
        <f>IFERROR(VLOOKUP(A571,'[1]Re-order'!$A:$AA,27,0),"")</f>
        <v>Re-order</v>
      </c>
      <c r="AF571" s="46">
        <f t="shared" si="134"/>
        <v>-3</v>
      </c>
      <c r="AG571" s="46">
        <f>SUMIFS('[1]Raw Inventory'!D:D,'[1]Raw Inventory'!C:C,"GREATWALL",'[1]Raw Inventory'!B:B,A571)</f>
        <v>4</v>
      </c>
      <c r="AH571" s="46">
        <f>SUMIFS('[1]Raw Inventory'!D:D,'[1]Raw Inventory'!C:C,"DUARTE",'[1]Raw Inventory'!B:B,A571)</f>
        <v>0</v>
      </c>
      <c r="AI571" s="46"/>
      <c r="AJ571" s="46"/>
      <c r="AK571" s="43"/>
      <c r="AL571" s="43"/>
      <c r="AM571" s="43"/>
      <c r="AN571" s="43"/>
      <c r="AO571" s="43"/>
      <c r="AP571" s="43"/>
      <c r="AQ571" s="43"/>
      <c r="AR571" s="43"/>
      <c r="AS571" s="43"/>
      <c r="AT571" s="43"/>
    </row>
    <row r="572" spans="1:46">
      <c r="A572" s="43" t="s">
        <v>86</v>
      </c>
      <c r="B572" s="43" t="s">
        <v>143</v>
      </c>
      <c r="C572" s="43" t="s">
        <v>137</v>
      </c>
      <c r="D572" s="44" t="s">
        <v>253</v>
      </c>
      <c r="E572" s="44">
        <v>26</v>
      </c>
      <c r="F572" s="44" t="s">
        <v>3</v>
      </c>
      <c r="G572" s="43" t="str">
        <f>IFERROR(VLOOKUP(A572,'[1]MC Masterlist 2026-09-12'!$B:$M, 3, 0),"")</f>
        <v>KAWASAKI</v>
      </c>
      <c r="H572" s="45">
        <f>IFERROR(VLOOKUP(A572,'[1]MC Masterlist 2026-09-12'!$B:$M, 6, 0),"")</f>
        <v>72500</v>
      </c>
      <c r="I572" s="46">
        <v>0</v>
      </c>
      <c r="J572" s="46">
        <v>0</v>
      </c>
      <c r="K572" s="46">
        <v>0</v>
      </c>
      <c r="L572" s="46">
        <f t="shared" si="120"/>
        <v>0</v>
      </c>
      <c r="M572" s="46">
        <f t="shared" si="121"/>
        <v>0</v>
      </c>
      <c r="N572" s="45">
        <f t="shared" si="122"/>
        <v>0</v>
      </c>
      <c r="O572" s="45">
        <f t="shared" si="123"/>
        <v>0</v>
      </c>
      <c r="P572" s="46">
        <f t="shared" si="124"/>
        <v>0</v>
      </c>
      <c r="Q572" s="46">
        <v>2</v>
      </c>
      <c r="R572" s="45">
        <f t="shared" si="125"/>
        <v>145000</v>
      </c>
      <c r="S572" s="46">
        <f t="shared" si="126"/>
        <v>0</v>
      </c>
      <c r="T572" s="46">
        <f>IFERROR(VLOOKUP(A572,'[1]Re-order'!$A:$Q,17,0),"")</f>
        <v>150</v>
      </c>
      <c r="U572" s="46">
        <f>IFERROR(VLOOKUP(A572,'[1]MC Masterlist 2026-09-12'!$B:$M, 10, 0),0)</f>
        <v>15</v>
      </c>
      <c r="V572" s="46">
        <f>IFERROR(VLOOKUP(A572,'[1]MC Masterlist 2026-09-12'!$B:$M, 11, 0),0)</f>
        <v>15</v>
      </c>
      <c r="W572" s="46">
        <f t="shared" si="127"/>
        <v>30</v>
      </c>
      <c r="X572" s="46">
        <f t="shared" si="128"/>
        <v>7</v>
      </c>
      <c r="Y572" s="46">
        <f>IFERROR(IF(OR(C572="AREA I",C572="AREA V"),7,VLOOKUP(A572,'[1]MC Masterlist 2026-09-12'!$B:$M, 12, 0)),0)</f>
        <v>7</v>
      </c>
      <c r="Z572" s="46">
        <f t="shared" si="129"/>
        <v>0</v>
      </c>
      <c r="AA572" s="46">
        <f t="shared" si="130"/>
        <v>0</v>
      </c>
      <c r="AB572" s="46">
        <f t="shared" si="131"/>
        <v>0</v>
      </c>
      <c r="AC572" s="46">
        <f t="shared" si="132"/>
        <v>0</v>
      </c>
      <c r="AD572" s="44" t="str">
        <f t="shared" si="133"/>
        <v>Over</v>
      </c>
      <c r="AE572" s="44" t="str">
        <f>IFERROR(VLOOKUP(A572,'[1]Re-order'!$A:$AA,27,0),"")</f>
        <v>Over</v>
      </c>
      <c r="AF572" s="46">
        <f t="shared" si="134"/>
        <v>-2</v>
      </c>
      <c r="AG572" s="46">
        <f>SUMIFS('[1]Raw Inventory'!D:D,'[1]Raw Inventory'!C:C,"GREATWALL",'[1]Raw Inventory'!B:B,A572)</f>
        <v>0</v>
      </c>
      <c r="AH572" s="46">
        <f>SUMIFS('[1]Raw Inventory'!D:D,'[1]Raw Inventory'!C:C,"DUARTE",'[1]Raw Inventory'!B:B,A572)</f>
        <v>0</v>
      </c>
      <c r="AI572" s="46"/>
      <c r="AJ572" s="46"/>
      <c r="AK572" s="43"/>
      <c r="AL572" s="43"/>
      <c r="AM572" s="43"/>
      <c r="AN572" s="43"/>
      <c r="AO572" s="43"/>
      <c r="AP572" s="43"/>
      <c r="AQ572" s="43"/>
      <c r="AR572" s="43"/>
      <c r="AS572" s="43"/>
      <c r="AT572" s="43"/>
    </row>
    <row r="573" spans="1:46">
      <c r="A573" s="43" t="s">
        <v>124</v>
      </c>
      <c r="B573" s="43" t="s">
        <v>121</v>
      </c>
      <c r="C573" s="43" t="s">
        <v>118</v>
      </c>
      <c r="D573" s="44" t="s">
        <v>237</v>
      </c>
      <c r="E573" s="44">
        <v>27</v>
      </c>
      <c r="F573" s="44" t="s">
        <v>3</v>
      </c>
      <c r="G573" s="43" t="str">
        <f>IFERROR(VLOOKUP(A573,'[1]MC Masterlist 2026-09-12'!$B:$M, 3, 0),"")</f>
        <v>SKYGO</v>
      </c>
      <c r="H573" s="45">
        <f>IFERROR(VLOOKUP(A573,'[1]MC Masterlist 2026-09-12'!$B:$M, 6, 0),"")</f>
        <v>36765</v>
      </c>
      <c r="I573" s="46">
        <v>0</v>
      </c>
      <c r="J573" s="46">
        <v>0</v>
      </c>
      <c r="K573" s="46">
        <v>1</v>
      </c>
      <c r="L573" s="46">
        <f t="shared" si="120"/>
        <v>1</v>
      </c>
      <c r="M573" s="46">
        <f t="shared" si="121"/>
        <v>0.33333333333333331</v>
      </c>
      <c r="N573" s="45">
        <f t="shared" si="122"/>
        <v>36765</v>
      </c>
      <c r="O573" s="45">
        <f t="shared" si="123"/>
        <v>12255</v>
      </c>
      <c r="P573" s="46">
        <f t="shared" si="124"/>
        <v>1.111111111111111E-2</v>
      </c>
      <c r="Q573" s="46"/>
      <c r="R573" s="45">
        <f t="shared" si="125"/>
        <v>0</v>
      </c>
      <c r="S573" s="46">
        <f t="shared" si="126"/>
        <v>0</v>
      </c>
      <c r="T573" s="46">
        <f>IFERROR(VLOOKUP(A573,'[1]Re-order'!$A:$Q,17,0),"")</f>
        <v>180</v>
      </c>
      <c r="U573" s="46">
        <f>IFERROR(VLOOKUP(A573,'[1]MC Masterlist 2026-09-12'!$B:$M, 10, 0),0)</f>
        <v>15</v>
      </c>
      <c r="V573" s="46">
        <f>IFERROR(VLOOKUP(A573,'[1]MC Masterlist 2026-09-12'!$B:$M, 11, 0),0)</f>
        <v>15</v>
      </c>
      <c r="W573" s="46">
        <f t="shared" si="127"/>
        <v>30</v>
      </c>
      <c r="X573" s="46">
        <f t="shared" si="128"/>
        <v>29.833333333333332</v>
      </c>
      <c r="Y573" s="46">
        <f>IFERROR(IF(OR(C573="AREA I",C573="AREA V"),7,VLOOKUP(A573,'[1]MC Masterlist 2026-09-12'!$B:$M, 12, 0)),0)</f>
        <v>30</v>
      </c>
      <c r="Z573" s="46">
        <f t="shared" si="129"/>
        <v>0.16666666666666666</v>
      </c>
      <c r="AA573" s="46">
        <f t="shared" si="130"/>
        <v>0.33333333333333331</v>
      </c>
      <c r="AB573" s="46">
        <f t="shared" si="131"/>
        <v>0.33148148148148143</v>
      </c>
      <c r="AC573" s="46">
        <f t="shared" si="132"/>
        <v>0.33333333333333331</v>
      </c>
      <c r="AD573" s="44" t="str">
        <f t="shared" si="133"/>
        <v>Stockout</v>
      </c>
      <c r="AE573" s="44" t="str">
        <f>IFERROR(VLOOKUP(A573,'[1]Re-order'!$A:$AA,27,0),"")</f>
        <v>Over</v>
      </c>
      <c r="AF573" s="46">
        <f t="shared" si="134"/>
        <v>0.33333333333333331</v>
      </c>
      <c r="AG573" s="46">
        <f>SUMIFS('[1]Raw Inventory'!D:D,'[1]Raw Inventory'!C:C,"GREATWALL",'[1]Raw Inventory'!B:B,A573)</f>
        <v>0</v>
      </c>
      <c r="AH573" s="46">
        <f>SUMIFS('[1]Raw Inventory'!D:D,'[1]Raw Inventory'!C:C,"DUARTE",'[1]Raw Inventory'!B:B,A573)</f>
        <v>0</v>
      </c>
      <c r="AI573" s="46"/>
      <c r="AJ573" s="46"/>
      <c r="AK573" s="43"/>
      <c r="AL573" s="43"/>
      <c r="AM573" s="43"/>
      <c r="AN573" s="43"/>
      <c r="AO573" s="43"/>
      <c r="AP573" s="43"/>
      <c r="AQ573" s="43"/>
      <c r="AR573" s="43"/>
      <c r="AS573" s="43"/>
      <c r="AT573" s="43"/>
    </row>
    <row r="574" spans="1:46">
      <c r="A574" s="43" t="s">
        <v>24</v>
      </c>
      <c r="B574" s="43" t="s">
        <v>123</v>
      </c>
      <c r="C574" s="43" t="s">
        <v>118</v>
      </c>
      <c r="D574" s="44" t="s">
        <v>261</v>
      </c>
      <c r="E574" s="44">
        <v>17</v>
      </c>
      <c r="F574" s="44" t="s">
        <v>2</v>
      </c>
      <c r="G574" s="43" t="str">
        <f>IFERROR(VLOOKUP(A574,'[1]MC Masterlist 2026-09-12'!$B:$M, 3, 0),"")</f>
        <v>KAWASAKI</v>
      </c>
      <c r="H574" s="45">
        <f>IFERROR(VLOOKUP(A574,'[1]MC Masterlist 2026-09-12'!$B:$M, 6, 0),"")</f>
        <v>131626</v>
      </c>
      <c r="I574" s="46">
        <v>1</v>
      </c>
      <c r="J574" s="46">
        <v>0</v>
      </c>
      <c r="K574" s="46">
        <v>0</v>
      </c>
      <c r="L574" s="46">
        <f t="shared" si="120"/>
        <v>1</v>
      </c>
      <c r="M574" s="46">
        <f t="shared" si="121"/>
        <v>0.33333333333333331</v>
      </c>
      <c r="N574" s="45">
        <f t="shared" si="122"/>
        <v>131626</v>
      </c>
      <c r="O574" s="45">
        <f t="shared" si="123"/>
        <v>43875.333333333328</v>
      </c>
      <c r="P574" s="46">
        <f t="shared" si="124"/>
        <v>1.111111111111111E-2</v>
      </c>
      <c r="Q574" s="46">
        <v>3</v>
      </c>
      <c r="R574" s="45">
        <f t="shared" si="125"/>
        <v>394878</v>
      </c>
      <c r="S574" s="46">
        <f t="shared" si="126"/>
        <v>270.00000000000006</v>
      </c>
      <c r="T574" s="46">
        <f>IFERROR(VLOOKUP(A574,'[1]Re-order'!$A:$Q,17,0),"")</f>
        <v>40.677966101694913</v>
      </c>
      <c r="U574" s="46">
        <f>IFERROR(VLOOKUP(A574,'[1]MC Masterlist 2026-09-12'!$B:$M, 10, 0),0)</f>
        <v>15</v>
      </c>
      <c r="V574" s="46">
        <f>IFERROR(VLOOKUP(A574,'[1]MC Masterlist 2026-09-12'!$B:$M, 11, 0),0)</f>
        <v>15</v>
      </c>
      <c r="W574" s="46">
        <f t="shared" si="127"/>
        <v>30</v>
      </c>
      <c r="X574" s="46">
        <f t="shared" si="128"/>
        <v>29.833333333333332</v>
      </c>
      <c r="Y574" s="46">
        <f>IFERROR(IF(OR(C574="AREA I",C574="AREA V"),7,VLOOKUP(A574,'[1]MC Masterlist 2026-09-12'!$B:$M, 12, 0)),0)</f>
        <v>30</v>
      </c>
      <c r="Z574" s="46">
        <f t="shared" si="129"/>
        <v>0.16666666666666666</v>
      </c>
      <c r="AA574" s="46">
        <f t="shared" si="130"/>
        <v>0.33333333333333331</v>
      </c>
      <c r="AB574" s="46">
        <f t="shared" si="131"/>
        <v>0.33148148148148143</v>
      </c>
      <c r="AC574" s="46">
        <f t="shared" si="132"/>
        <v>0.33333333333333331</v>
      </c>
      <c r="AD574" s="44" t="str">
        <f t="shared" si="133"/>
        <v>Over</v>
      </c>
      <c r="AE574" s="44" t="str">
        <f>IFERROR(VLOOKUP(A574,'[1]Re-order'!$A:$AA,27,0),"")</f>
        <v>Re-order</v>
      </c>
      <c r="AF574" s="46">
        <f t="shared" si="134"/>
        <v>-2.6666666666666665</v>
      </c>
      <c r="AG574" s="46">
        <f>SUMIFS('[1]Raw Inventory'!D:D,'[1]Raw Inventory'!C:C,"GREATWALL",'[1]Raw Inventory'!B:B,A574)</f>
        <v>12</v>
      </c>
      <c r="AH574" s="46">
        <f>SUMIFS('[1]Raw Inventory'!D:D,'[1]Raw Inventory'!C:C,"DUARTE",'[1]Raw Inventory'!B:B,A574)</f>
        <v>0</v>
      </c>
      <c r="AI574" s="46"/>
      <c r="AJ574" s="46"/>
      <c r="AK574" s="43"/>
      <c r="AL574" s="43"/>
      <c r="AM574" s="43"/>
      <c r="AN574" s="43"/>
      <c r="AO574" s="43"/>
      <c r="AP574" s="43"/>
      <c r="AQ574" s="43"/>
      <c r="AR574" s="43"/>
      <c r="AS574" s="43"/>
      <c r="AT574" s="43"/>
    </row>
    <row r="575" spans="1:46">
      <c r="A575" s="43" t="s">
        <v>46</v>
      </c>
      <c r="B575" s="43" t="s">
        <v>21</v>
      </c>
      <c r="C575" s="43" t="s">
        <v>1</v>
      </c>
      <c r="D575" s="44" t="s">
        <v>261</v>
      </c>
      <c r="E575" s="44">
        <v>19</v>
      </c>
      <c r="F575" s="44" t="s">
        <v>2</v>
      </c>
      <c r="G575" s="43" t="str">
        <f>IFERROR(VLOOKUP(A575,'[1]MC Masterlist 2026-09-12'!$B:$M, 3, 0),"")</f>
        <v>HONDA</v>
      </c>
      <c r="H575" s="45">
        <f>IFERROR(VLOOKUP(A575,'[1]MC Masterlist 2026-09-12'!$B:$M, 6, 0),"")</f>
        <v>73630</v>
      </c>
      <c r="I575" s="46">
        <v>1</v>
      </c>
      <c r="J575" s="46">
        <v>0</v>
      </c>
      <c r="K575" s="46">
        <v>1</v>
      </c>
      <c r="L575" s="46">
        <f t="shared" si="120"/>
        <v>2</v>
      </c>
      <c r="M575" s="46">
        <f t="shared" si="121"/>
        <v>0.66666666666666663</v>
      </c>
      <c r="N575" s="45">
        <f t="shared" si="122"/>
        <v>147260</v>
      </c>
      <c r="O575" s="45">
        <f t="shared" si="123"/>
        <v>49086.666666666664</v>
      </c>
      <c r="P575" s="46">
        <f t="shared" si="124"/>
        <v>2.222222222222222E-2</v>
      </c>
      <c r="Q575" s="46"/>
      <c r="R575" s="45">
        <f t="shared" si="125"/>
        <v>0</v>
      </c>
      <c r="S575" s="46">
        <f t="shared" si="126"/>
        <v>0</v>
      </c>
      <c r="T575" s="46">
        <f>IFERROR(VLOOKUP(A575,'[1]Re-order'!$A:$Q,17,0),"")</f>
        <v>51</v>
      </c>
      <c r="U575" s="46">
        <f>IFERROR(VLOOKUP(A575,'[1]MC Masterlist 2026-09-12'!$B:$M, 10, 0),0)</f>
        <v>15</v>
      </c>
      <c r="V575" s="46">
        <f>IFERROR(VLOOKUP(A575,'[1]MC Masterlist 2026-09-12'!$B:$M, 11, 0),0)</f>
        <v>15</v>
      </c>
      <c r="W575" s="46">
        <f t="shared" si="127"/>
        <v>30</v>
      </c>
      <c r="X575" s="46">
        <f t="shared" si="128"/>
        <v>6.666666666666667</v>
      </c>
      <c r="Y575" s="46">
        <f>IFERROR(IF(OR(C575="AREA I",C575="AREA V"),7,VLOOKUP(A575,'[1]MC Masterlist 2026-09-12'!$B:$M, 12, 0)),0)</f>
        <v>7</v>
      </c>
      <c r="Z575" s="46">
        <f t="shared" si="129"/>
        <v>0.33333333333333331</v>
      </c>
      <c r="AA575" s="46">
        <f t="shared" si="130"/>
        <v>0.66666666666666663</v>
      </c>
      <c r="AB575" s="46">
        <f t="shared" si="131"/>
        <v>0.14814814814814814</v>
      </c>
      <c r="AC575" s="46">
        <f t="shared" si="132"/>
        <v>0.15555555555555553</v>
      </c>
      <c r="AD575" s="44" t="str">
        <f t="shared" si="133"/>
        <v>Stockout</v>
      </c>
      <c r="AE575" s="44" t="str">
        <f>IFERROR(VLOOKUP(A575,'[1]Re-order'!$A:$AA,27,0),"")</f>
        <v>Re-order</v>
      </c>
      <c r="AF575" s="46">
        <f t="shared" si="134"/>
        <v>0.15555555555555553</v>
      </c>
      <c r="AG575" s="46">
        <f>SUMIFS('[1]Raw Inventory'!D:D,'[1]Raw Inventory'!C:C,"GREATWALL",'[1]Raw Inventory'!B:B,A575)</f>
        <v>0</v>
      </c>
      <c r="AH575" s="46">
        <f>SUMIFS('[1]Raw Inventory'!D:D,'[1]Raw Inventory'!C:C,"DUARTE",'[1]Raw Inventory'!B:B,A575)</f>
        <v>0</v>
      </c>
      <c r="AI575" s="46"/>
      <c r="AJ575" s="46"/>
      <c r="AK575" s="43"/>
      <c r="AL575" s="43"/>
      <c r="AM575" s="43"/>
      <c r="AN575" s="43"/>
      <c r="AO575" s="43"/>
      <c r="AP575" s="43"/>
      <c r="AQ575" s="43"/>
      <c r="AR575" s="43"/>
      <c r="AS575" s="43"/>
      <c r="AT575" s="43"/>
    </row>
    <row r="576" spans="1:46">
      <c r="A576" s="43" t="s">
        <v>59</v>
      </c>
      <c r="B576" s="43" t="s">
        <v>98</v>
      </c>
      <c r="C576" s="43" t="s">
        <v>90</v>
      </c>
      <c r="D576" s="44" t="s">
        <v>262</v>
      </c>
      <c r="E576" s="44">
        <v>15</v>
      </c>
      <c r="F576" s="44" t="s">
        <v>2</v>
      </c>
      <c r="G576" s="43" t="str">
        <f>IFERROR(VLOOKUP(A576,'[1]MC Masterlist 2026-09-12'!$B:$M, 3, 0),"")</f>
        <v>HONDA</v>
      </c>
      <c r="H576" s="45">
        <f>IFERROR(VLOOKUP(A576,'[1]MC Masterlist 2026-09-12'!$B:$M, 6, 0),"")</f>
        <v>147230</v>
      </c>
      <c r="I576" s="46">
        <v>0</v>
      </c>
      <c r="J576" s="46">
        <v>1</v>
      </c>
      <c r="K576" s="46">
        <v>0</v>
      </c>
      <c r="L576" s="46">
        <f t="shared" si="120"/>
        <v>1</v>
      </c>
      <c r="M576" s="46">
        <f t="shared" si="121"/>
        <v>0.33333333333333331</v>
      </c>
      <c r="N576" s="45">
        <f t="shared" si="122"/>
        <v>147230</v>
      </c>
      <c r="O576" s="45">
        <f t="shared" si="123"/>
        <v>49076.666666666664</v>
      </c>
      <c r="P576" s="46">
        <f t="shared" si="124"/>
        <v>1.111111111111111E-2</v>
      </c>
      <c r="Q576" s="46">
        <v>1</v>
      </c>
      <c r="R576" s="45">
        <f t="shared" si="125"/>
        <v>147230</v>
      </c>
      <c r="S576" s="46">
        <f t="shared" si="126"/>
        <v>90</v>
      </c>
      <c r="T576" s="46">
        <f>IFERROR(VLOOKUP(A576,'[1]Re-order'!$A:$Q,17,0),"")</f>
        <v>101.25</v>
      </c>
      <c r="U576" s="46">
        <f>IFERROR(VLOOKUP(A576,'[1]MC Masterlist 2026-09-12'!$B:$M, 10, 0),0)</f>
        <v>15</v>
      </c>
      <c r="V576" s="46">
        <f>IFERROR(VLOOKUP(A576,'[1]MC Masterlist 2026-09-12'!$B:$M, 11, 0),0)</f>
        <v>15</v>
      </c>
      <c r="W576" s="46">
        <f t="shared" si="127"/>
        <v>30</v>
      </c>
      <c r="X576" s="46">
        <f t="shared" si="128"/>
        <v>29.833333333333332</v>
      </c>
      <c r="Y576" s="46">
        <f>IFERROR(IF(OR(C576="AREA I",C576="AREA V"),7,VLOOKUP(A576,'[1]MC Masterlist 2026-09-12'!$B:$M, 12, 0)),0)</f>
        <v>30</v>
      </c>
      <c r="Z576" s="46">
        <f t="shared" si="129"/>
        <v>0.16666666666666666</v>
      </c>
      <c r="AA576" s="46">
        <f t="shared" si="130"/>
        <v>0.33333333333333331</v>
      </c>
      <c r="AB576" s="46">
        <f t="shared" si="131"/>
        <v>0.33148148148148143</v>
      </c>
      <c r="AC576" s="46">
        <f t="shared" si="132"/>
        <v>0.33333333333333331</v>
      </c>
      <c r="AD576" s="44" t="str">
        <f t="shared" si="133"/>
        <v>Over</v>
      </c>
      <c r="AE576" s="44" t="str">
        <f>IFERROR(VLOOKUP(A576,'[1]Re-order'!$A:$AA,27,0),"")</f>
        <v>Over</v>
      </c>
      <c r="AF576" s="46">
        <f t="shared" si="134"/>
        <v>-0.66666666666666674</v>
      </c>
      <c r="AG576" s="46">
        <f>SUMIFS('[1]Raw Inventory'!D:D,'[1]Raw Inventory'!C:C,"GREATWALL",'[1]Raw Inventory'!B:B,A576)</f>
        <v>0</v>
      </c>
      <c r="AH576" s="46">
        <f>SUMIFS('[1]Raw Inventory'!D:D,'[1]Raw Inventory'!C:C,"DUARTE",'[1]Raw Inventory'!B:B,A576)</f>
        <v>0</v>
      </c>
      <c r="AI576" s="46"/>
      <c r="AJ576" s="46"/>
      <c r="AK576" s="43"/>
      <c r="AL576" s="43"/>
      <c r="AM576" s="43"/>
      <c r="AN576" s="43"/>
      <c r="AO576" s="43"/>
      <c r="AP576" s="43"/>
      <c r="AQ576" s="43"/>
      <c r="AR576" s="43"/>
      <c r="AS576" s="43"/>
      <c r="AT576" s="43"/>
    </row>
    <row r="577" spans="1:46">
      <c r="A577" s="43" t="s">
        <v>46</v>
      </c>
      <c r="B577" s="43" t="s">
        <v>119</v>
      </c>
      <c r="C577" s="43" t="s">
        <v>118</v>
      </c>
      <c r="D577" s="44" t="s">
        <v>247</v>
      </c>
      <c r="E577" s="44">
        <v>29</v>
      </c>
      <c r="F577" s="44" t="s">
        <v>3</v>
      </c>
      <c r="G577" s="43" t="str">
        <f>IFERROR(VLOOKUP(A577,'[1]MC Masterlist 2026-09-12'!$B:$M, 3, 0),"")</f>
        <v>HONDA</v>
      </c>
      <c r="H577" s="45">
        <f>IFERROR(VLOOKUP(A577,'[1]MC Masterlist 2026-09-12'!$B:$M, 6, 0),"")</f>
        <v>73630</v>
      </c>
      <c r="I577" s="46">
        <v>0</v>
      </c>
      <c r="J577" s="46">
        <v>0</v>
      </c>
      <c r="K577" s="46">
        <v>1</v>
      </c>
      <c r="L577" s="46">
        <f t="shared" si="120"/>
        <v>1</v>
      </c>
      <c r="M577" s="46">
        <f t="shared" si="121"/>
        <v>0.33333333333333331</v>
      </c>
      <c r="N577" s="45">
        <f t="shared" si="122"/>
        <v>73630</v>
      </c>
      <c r="O577" s="45">
        <f t="shared" si="123"/>
        <v>24543.333333333332</v>
      </c>
      <c r="P577" s="46">
        <f t="shared" si="124"/>
        <v>1.111111111111111E-2</v>
      </c>
      <c r="Q577" s="46"/>
      <c r="R577" s="45">
        <f t="shared" si="125"/>
        <v>0</v>
      </c>
      <c r="S577" s="46">
        <f t="shared" si="126"/>
        <v>0</v>
      </c>
      <c r="T577" s="46">
        <f>IFERROR(VLOOKUP(A577,'[1]Re-order'!$A:$Q,17,0),"")</f>
        <v>51</v>
      </c>
      <c r="U577" s="46">
        <f>IFERROR(VLOOKUP(A577,'[1]MC Masterlist 2026-09-12'!$B:$M, 10, 0),0)</f>
        <v>15</v>
      </c>
      <c r="V577" s="46">
        <f>IFERROR(VLOOKUP(A577,'[1]MC Masterlist 2026-09-12'!$B:$M, 11, 0),0)</f>
        <v>15</v>
      </c>
      <c r="W577" s="46">
        <f t="shared" si="127"/>
        <v>30</v>
      </c>
      <c r="X577" s="46">
        <f t="shared" si="128"/>
        <v>29.833333333333332</v>
      </c>
      <c r="Y577" s="46">
        <f>IFERROR(IF(OR(C577="AREA I",C577="AREA V"),7,VLOOKUP(A577,'[1]MC Masterlist 2026-09-12'!$B:$M, 12, 0)),0)</f>
        <v>30</v>
      </c>
      <c r="Z577" s="46">
        <f t="shared" si="129"/>
        <v>0.16666666666666666</v>
      </c>
      <c r="AA577" s="46">
        <f t="shared" si="130"/>
        <v>0.33333333333333331</v>
      </c>
      <c r="AB577" s="46">
        <f t="shared" si="131"/>
        <v>0.33148148148148143</v>
      </c>
      <c r="AC577" s="46">
        <f t="shared" si="132"/>
        <v>0.33333333333333331</v>
      </c>
      <c r="AD577" s="44" t="str">
        <f t="shared" si="133"/>
        <v>Stockout</v>
      </c>
      <c r="AE577" s="44" t="str">
        <f>IFERROR(VLOOKUP(A577,'[1]Re-order'!$A:$AA,27,0),"")</f>
        <v>Re-order</v>
      </c>
      <c r="AF577" s="46">
        <f t="shared" si="134"/>
        <v>0.33333333333333331</v>
      </c>
      <c r="AG577" s="46">
        <f>SUMIFS('[1]Raw Inventory'!D:D,'[1]Raw Inventory'!C:C,"GREATWALL",'[1]Raw Inventory'!B:B,A577)</f>
        <v>0</v>
      </c>
      <c r="AH577" s="46">
        <f>SUMIFS('[1]Raw Inventory'!D:D,'[1]Raw Inventory'!C:C,"DUARTE",'[1]Raw Inventory'!B:B,A577)</f>
        <v>0</v>
      </c>
      <c r="AI577" s="46"/>
      <c r="AJ577" s="46"/>
      <c r="AK577" s="43"/>
      <c r="AL577" s="43"/>
      <c r="AM577" s="43"/>
      <c r="AN577" s="43"/>
      <c r="AO577" s="43"/>
      <c r="AP577" s="43"/>
      <c r="AQ577" s="43"/>
      <c r="AR577" s="43"/>
      <c r="AS577" s="43"/>
      <c r="AT577" s="43"/>
    </row>
    <row r="578" spans="1:46">
      <c r="A578" s="43" t="s">
        <v>17</v>
      </c>
      <c r="B578" s="43" t="s">
        <v>29</v>
      </c>
      <c r="C578" s="43" t="s">
        <v>1</v>
      </c>
      <c r="D578" s="44" t="s">
        <v>234</v>
      </c>
      <c r="E578" s="44">
        <v>4</v>
      </c>
      <c r="F578" s="44" t="s">
        <v>0</v>
      </c>
      <c r="G578" s="43" t="str">
        <f>IFERROR(VLOOKUP(A578,'[1]MC Masterlist 2026-09-12'!$B:$M, 3, 0),"")</f>
        <v>HONDA</v>
      </c>
      <c r="H578" s="45">
        <f>IFERROR(VLOOKUP(A578,'[1]MC Masterlist 2026-09-12'!$B:$M, 6, 0),"")</f>
        <v>140790</v>
      </c>
      <c r="I578" s="46">
        <v>2</v>
      </c>
      <c r="J578" s="46">
        <v>3</v>
      </c>
      <c r="K578" s="46">
        <v>6</v>
      </c>
      <c r="L578" s="46">
        <f t="shared" si="120"/>
        <v>11</v>
      </c>
      <c r="M578" s="46">
        <f t="shared" si="121"/>
        <v>3.6666666666666665</v>
      </c>
      <c r="N578" s="45">
        <f t="shared" si="122"/>
        <v>1548690</v>
      </c>
      <c r="O578" s="45">
        <f t="shared" si="123"/>
        <v>516230</v>
      </c>
      <c r="P578" s="46">
        <f t="shared" si="124"/>
        <v>0.12222222222222222</v>
      </c>
      <c r="Q578" s="46"/>
      <c r="R578" s="45">
        <f t="shared" si="125"/>
        <v>0</v>
      </c>
      <c r="S578" s="46">
        <f t="shared" si="126"/>
        <v>0</v>
      </c>
      <c r="T578" s="46">
        <f>IFERROR(VLOOKUP(A578,'[1]Re-order'!$A:$Q,17,0),"")</f>
        <v>43.663366336633665</v>
      </c>
      <c r="U578" s="46">
        <f>IFERROR(VLOOKUP(A578,'[1]MC Masterlist 2026-09-12'!$B:$M, 10, 0),0)</f>
        <v>15</v>
      </c>
      <c r="V578" s="46">
        <f>IFERROR(VLOOKUP(A578,'[1]MC Masterlist 2026-09-12'!$B:$M, 11, 0),0)</f>
        <v>15</v>
      </c>
      <c r="W578" s="46">
        <f t="shared" si="127"/>
        <v>30</v>
      </c>
      <c r="X578" s="46">
        <f t="shared" si="128"/>
        <v>5.166666666666667</v>
      </c>
      <c r="Y578" s="46">
        <f>IFERROR(IF(OR(C578="AREA I",C578="AREA V"),7,VLOOKUP(A578,'[1]MC Masterlist 2026-09-12'!$B:$M, 12, 0)),0)</f>
        <v>7</v>
      </c>
      <c r="Z578" s="46">
        <f t="shared" si="129"/>
        <v>1.8333333333333333</v>
      </c>
      <c r="AA578" s="46">
        <f t="shared" si="130"/>
        <v>3.6666666666666665</v>
      </c>
      <c r="AB578" s="46">
        <f t="shared" si="131"/>
        <v>0.63148148148148153</v>
      </c>
      <c r="AC578" s="46">
        <f t="shared" si="132"/>
        <v>0.85555555555555551</v>
      </c>
      <c r="AD578" s="44" t="str">
        <f t="shared" si="133"/>
        <v>Stockout</v>
      </c>
      <c r="AE578" s="44" t="str">
        <f>IFERROR(VLOOKUP(A578,'[1]Re-order'!$A:$AA,27,0),"")</f>
        <v>Re-order</v>
      </c>
      <c r="AF578" s="46">
        <f t="shared" si="134"/>
        <v>0.85555555555555551</v>
      </c>
      <c r="AG578" s="46">
        <f>SUMIFS('[1]Raw Inventory'!D:D,'[1]Raw Inventory'!C:C,"GREATWALL",'[1]Raw Inventory'!B:B,A578)</f>
        <v>12</v>
      </c>
      <c r="AH578" s="46">
        <f>SUMIFS('[1]Raw Inventory'!D:D,'[1]Raw Inventory'!C:C,"DUARTE",'[1]Raw Inventory'!B:B,A578)</f>
        <v>0</v>
      </c>
      <c r="AI578" s="46"/>
      <c r="AJ578" s="46"/>
      <c r="AK578" s="43"/>
      <c r="AL578" s="43"/>
      <c r="AM578" s="43"/>
      <c r="AN578" s="43"/>
      <c r="AO578" s="43"/>
      <c r="AP578" s="43"/>
      <c r="AQ578" s="43"/>
      <c r="AR578" s="43"/>
      <c r="AS578" s="43"/>
      <c r="AT578" s="43"/>
    </row>
    <row r="579" spans="1:46">
      <c r="A579" s="43" t="s">
        <v>65</v>
      </c>
      <c r="B579" s="43" t="s">
        <v>96</v>
      </c>
      <c r="C579" s="43" t="s">
        <v>90</v>
      </c>
      <c r="D579" s="44" t="s">
        <v>257</v>
      </c>
      <c r="E579" s="44">
        <v>7</v>
      </c>
      <c r="F579" s="44" t="s">
        <v>3</v>
      </c>
      <c r="G579" s="43" t="str">
        <f>IFERROR(VLOOKUP(A579,'[1]MC Masterlist 2026-09-12'!$B:$M, 3, 0),"")</f>
        <v>SUZUKI</v>
      </c>
      <c r="H579" s="45">
        <f>IFERROR(VLOOKUP(A579,'[1]MC Masterlist 2026-09-12'!$B:$M, 6, 0),"")</f>
        <v>77572</v>
      </c>
      <c r="I579" s="46">
        <v>0</v>
      </c>
      <c r="J579" s="46">
        <v>0</v>
      </c>
      <c r="K579" s="46">
        <v>0</v>
      </c>
      <c r="L579" s="46">
        <f t="shared" ref="L579:L642" si="135">I579+J579+K579</f>
        <v>0</v>
      </c>
      <c r="M579" s="46">
        <f t="shared" ref="M579:M642" si="136">AVERAGE(I579,J579,K579)</f>
        <v>0</v>
      </c>
      <c r="N579" s="45">
        <f t="shared" ref="N579:N642" si="137">L579*H579</f>
        <v>0</v>
      </c>
      <c r="O579" s="45">
        <f t="shared" ref="O579:O642" si="138">M579*H579</f>
        <v>0</v>
      </c>
      <c r="P579" s="46">
        <f t="shared" ref="P579:P642" si="139">M579/30</f>
        <v>0</v>
      </c>
      <c r="Q579" s="46">
        <v>1</v>
      </c>
      <c r="R579" s="45">
        <f t="shared" ref="R579:R642" si="140">IFERROR(Q579*H579, 0)</f>
        <v>77572</v>
      </c>
      <c r="S579" s="46">
        <f t="shared" ref="S579:S642" si="141">IFERROR(R579/(O579)*30, 0)</f>
        <v>0</v>
      </c>
      <c r="T579" s="46">
        <f>IFERROR(VLOOKUP(A579,'[1]Re-order'!$A:$Q,17,0),"")</f>
        <v>158.8235294117647</v>
      </c>
      <c r="U579" s="46">
        <f>IFERROR(VLOOKUP(A579,'[1]MC Masterlist 2026-09-12'!$B:$M, 10, 0),0)</f>
        <v>15</v>
      </c>
      <c r="V579" s="46">
        <f>IFERROR(VLOOKUP(A579,'[1]MC Masterlist 2026-09-12'!$B:$M, 11, 0),0)</f>
        <v>15</v>
      </c>
      <c r="W579" s="46">
        <f t="shared" ref="W579:W642" si="142">U579+V579</f>
        <v>30</v>
      </c>
      <c r="X579" s="46">
        <f t="shared" ref="X579:X642" si="143">Y579-Z579</f>
        <v>30</v>
      </c>
      <c r="Y579" s="46">
        <f>IFERROR(IF(OR(C579="AREA I",C579="AREA V"),7,VLOOKUP(A579,'[1]MC Masterlist 2026-09-12'!$B:$M, 12, 0)),0)</f>
        <v>30</v>
      </c>
      <c r="Z579" s="46">
        <f t="shared" ref="Z579:Z642" si="144">V579*P579</f>
        <v>0</v>
      </c>
      <c r="AA579" s="46">
        <f t="shared" ref="AA579:AA642" si="145">W579*P579</f>
        <v>0</v>
      </c>
      <c r="AB579" s="46">
        <f t="shared" ref="AB579:AB642" si="146">X579*P579</f>
        <v>0</v>
      </c>
      <c r="AC579" s="46">
        <f t="shared" ref="AC579:AC642" si="147">Y579*P579</f>
        <v>0</v>
      </c>
      <c r="AD579" s="44" t="str">
        <f t="shared" ref="AD579:AD642" si="148">IFERROR(IF(Q579&gt;AC579, "Over", IF(Q579&lt;=Z579, "Stockout", IF(Q579&lt;=AA579, "Re-order",""))), "")</f>
        <v>Over</v>
      </c>
      <c r="AE579" s="44" t="str">
        <f>IFERROR(VLOOKUP(A579,'[1]Re-order'!$A:$AA,27,0),"")</f>
        <v>Over</v>
      </c>
      <c r="AF579" s="46">
        <f t="shared" ref="AF579:AF642" si="149">AC579-Q579</f>
        <v>-1</v>
      </c>
      <c r="AG579" s="46">
        <f>SUMIFS('[1]Raw Inventory'!D:D,'[1]Raw Inventory'!C:C,"GREATWALL",'[1]Raw Inventory'!B:B,A579)</f>
        <v>4</v>
      </c>
      <c r="AH579" s="46">
        <f>SUMIFS('[1]Raw Inventory'!D:D,'[1]Raw Inventory'!C:C,"DUARTE",'[1]Raw Inventory'!B:B,A579)</f>
        <v>0</v>
      </c>
      <c r="AI579" s="46"/>
      <c r="AJ579" s="46"/>
      <c r="AK579" s="43"/>
      <c r="AL579" s="43"/>
      <c r="AM579" s="43"/>
      <c r="AN579" s="43"/>
      <c r="AO579" s="43"/>
      <c r="AP579" s="43"/>
      <c r="AQ579" s="43"/>
      <c r="AR579" s="43"/>
      <c r="AS579" s="43"/>
      <c r="AT579" s="43"/>
    </row>
    <row r="580" spans="1:46">
      <c r="A580" s="43" t="s">
        <v>18</v>
      </c>
      <c r="B580" s="43" t="s">
        <v>115</v>
      </c>
      <c r="C580" s="43" t="s">
        <v>109</v>
      </c>
      <c r="D580" s="44" t="s">
        <v>239</v>
      </c>
      <c r="E580" s="44">
        <v>28</v>
      </c>
      <c r="F580" s="44" t="s">
        <v>3</v>
      </c>
      <c r="G580" s="43" t="str">
        <f>IFERROR(VLOOKUP(A580,'[1]MC Masterlist 2026-09-12'!$B:$M, 3, 0),"")</f>
        <v>HONDA</v>
      </c>
      <c r="H580" s="45">
        <f>IFERROR(VLOOKUP(A580,'[1]MC Masterlist 2026-09-12'!$B:$M, 6, 0),"")</f>
        <v>94330</v>
      </c>
      <c r="I580" s="46">
        <v>0</v>
      </c>
      <c r="J580" s="46">
        <v>0</v>
      </c>
      <c r="K580" s="46">
        <v>0</v>
      </c>
      <c r="L580" s="46">
        <f t="shared" si="135"/>
        <v>0</v>
      </c>
      <c r="M580" s="46">
        <f t="shared" si="136"/>
        <v>0</v>
      </c>
      <c r="N580" s="45">
        <f t="shared" si="137"/>
        <v>0</v>
      </c>
      <c r="O580" s="45">
        <f t="shared" si="138"/>
        <v>0</v>
      </c>
      <c r="P580" s="46">
        <f t="shared" si="139"/>
        <v>0</v>
      </c>
      <c r="Q580" s="46">
        <v>3</v>
      </c>
      <c r="R580" s="45">
        <f t="shared" si="140"/>
        <v>282990</v>
      </c>
      <c r="S580" s="46">
        <f t="shared" si="141"/>
        <v>0</v>
      </c>
      <c r="T580" s="46">
        <f>IFERROR(VLOOKUP(A580,'[1]Re-order'!$A:$Q,17,0),"")</f>
        <v>113.9644970414201</v>
      </c>
      <c r="U580" s="46">
        <f>IFERROR(VLOOKUP(A580,'[1]MC Masterlist 2026-09-12'!$B:$M, 10, 0),0)</f>
        <v>15</v>
      </c>
      <c r="V580" s="46">
        <f>IFERROR(VLOOKUP(A580,'[1]MC Masterlist 2026-09-12'!$B:$M, 11, 0),0)</f>
        <v>15</v>
      </c>
      <c r="W580" s="46">
        <f t="shared" si="142"/>
        <v>30</v>
      </c>
      <c r="X580" s="46">
        <f t="shared" si="143"/>
        <v>30</v>
      </c>
      <c r="Y580" s="46">
        <f>IFERROR(IF(OR(C580="AREA I",C580="AREA V"),7,VLOOKUP(A580,'[1]MC Masterlist 2026-09-12'!$B:$M, 12, 0)),0)</f>
        <v>30</v>
      </c>
      <c r="Z580" s="46">
        <f t="shared" si="144"/>
        <v>0</v>
      </c>
      <c r="AA580" s="46">
        <f t="shared" si="145"/>
        <v>0</v>
      </c>
      <c r="AB580" s="46">
        <f t="shared" si="146"/>
        <v>0</v>
      </c>
      <c r="AC580" s="46">
        <f t="shared" si="147"/>
        <v>0</v>
      </c>
      <c r="AD580" s="44" t="str">
        <f t="shared" si="148"/>
        <v>Over</v>
      </c>
      <c r="AE580" s="44" t="str">
        <f>IFERROR(VLOOKUP(A580,'[1]Re-order'!$A:$AA,27,0),"")</f>
        <v>Over</v>
      </c>
      <c r="AF580" s="46">
        <f t="shared" si="149"/>
        <v>-3</v>
      </c>
      <c r="AG580" s="46">
        <f>SUMIFS('[1]Raw Inventory'!D:D,'[1]Raw Inventory'!C:C,"GREATWALL",'[1]Raw Inventory'!B:B,A580)</f>
        <v>88</v>
      </c>
      <c r="AH580" s="46">
        <f>SUMIFS('[1]Raw Inventory'!D:D,'[1]Raw Inventory'!C:C,"DUARTE",'[1]Raw Inventory'!B:B,A580)</f>
        <v>0</v>
      </c>
      <c r="AI580" s="46"/>
      <c r="AJ580" s="46"/>
      <c r="AK580" s="43"/>
      <c r="AL580" s="43"/>
      <c r="AM580" s="43"/>
      <c r="AN580" s="43"/>
      <c r="AO580" s="43"/>
      <c r="AP580" s="43"/>
      <c r="AQ580" s="43"/>
      <c r="AR580" s="43"/>
      <c r="AS580" s="43"/>
      <c r="AT580" s="43"/>
    </row>
    <row r="581" spans="1:46">
      <c r="A581" s="43" t="s">
        <v>24</v>
      </c>
      <c r="B581" s="43" t="s">
        <v>129</v>
      </c>
      <c r="C581" s="43" t="s">
        <v>128</v>
      </c>
      <c r="D581" s="44" t="s">
        <v>241</v>
      </c>
      <c r="E581" s="44">
        <v>18</v>
      </c>
      <c r="F581" s="44" t="s">
        <v>3</v>
      </c>
      <c r="G581" s="43" t="str">
        <f>IFERROR(VLOOKUP(A581,'[1]MC Masterlist 2026-09-12'!$B:$M, 3, 0),"")</f>
        <v>KAWASAKI</v>
      </c>
      <c r="H581" s="45">
        <f>IFERROR(VLOOKUP(A581,'[1]MC Masterlist 2026-09-12'!$B:$M, 6, 0),"")</f>
        <v>131626</v>
      </c>
      <c r="I581" s="46">
        <v>0</v>
      </c>
      <c r="J581" s="46">
        <v>1</v>
      </c>
      <c r="K581" s="46">
        <v>0</v>
      </c>
      <c r="L581" s="46">
        <f t="shared" si="135"/>
        <v>1</v>
      </c>
      <c r="M581" s="46">
        <f t="shared" si="136"/>
        <v>0.33333333333333331</v>
      </c>
      <c r="N581" s="45">
        <f t="shared" si="137"/>
        <v>131626</v>
      </c>
      <c r="O581" s="45">
        <f t="shared" si="138"/>
        <v>43875.333333333328</v>
      </c>
      <c r="P581" s="46">
        <f t="shared" si="139"/>
        <v>1.111111111111111E-2</v>
      </c>
      <c r="Q581" s="46">
        <v>2</v>
      </c>
      <c r="R581" s="45">
        <f t="shared" si="140"/>
        <v>263252</v>
      </c>
      <c r="S581" s="46">
        <f t="shared" si="141"/>
        <v>180.00000000000003</v>
      </c>
      <c r="T581" s="46">
        <f>IFERROR(VLOOKUP(A581,'[1]Re-order'!$A:$Q,17,0),"")</f>
        <v>40.677966101694913</v>
      </c>
      <c r="U581" s="46">
        <f>IFERROR(VLOOKUP(A581,'[1]MC Masterlist 2026-09-12'!$B:$M, 10, 0),0)</f>
        <v>15</v>
      </c>
      <c r="V581" s="46">
        <f>IFERROR(VLOOKUP(A581,'[1]MC Masterlist 2026-09-12'!$B:$M, 11, 0),0)</f>
        <v>15</v>
      </c>
      <c r="W581" s="46">
        <f t="shared" si="142"/>
        <v>30</v>
      </c>
      <c r="X581" s="46">
        <f t="shared" si="143"/>
        <v>29.833333333333332</v>
      </c>
      <c r="Y581" s="46">
        <f>IFERROR(IF(OR(C581="AREA I",C581="AREA V"),7,VLOOKUP(A581,'[1]MC Masterlist 2026-09-12'!$B:$M, 12, 0)),0)</f>
        <v>30</v>
      </c>
      <c r="Z581" s="46">
        <f t="shared" si="144"/>
        <v>0.16666666666666666</v>
      </c>
      <c r="AA581" s="46">
        <f t="shared" si="145"/>
        <v>0.33333333333333331</v>
      </c>
      <c r="AB581" s="46">
        <f t="shared" si="146"/>
        <v>0.33148148148148143</v>
      </c>
      <c r="AC581" s="46">
        <f t="shared" si="147"/>
        <v>0.33333333333333331</v>
      </c>
      <c r="AD581" s="44" t="str">
        <f t="shared" si="148"/>
        <v>Over</v>
      </c>
      <c r="AE581" s="44" t="str">
        <f>IFERROR(VLOOKUP(A581,'[1]Re-order'!$A:$AA,27,0),"")</f>
        <v>Re-order</v>
      </c>
      <c r="AF581" s="46">
        <f t="shared" si="149"/>
        <v>-1.6666666666666667</v>
      </c>
      <c r="AG581" s="46">
        <f>SUMIFS('[1]Raw Inventory'!D:D,'[1]Raw Inventory'!C:C,"GREATWALL",'[1]Raw Inventory'!B:B,A581)</f>
        <v>12</v>
      </c>
      <c r="AH581" s="46">
        <f>SUMIFS('[1]Raw Inventory'!D:D,'[1]Raw Inventory'!C:C,"DUARTE",'[1]Raw Inventory'!B:B,A581)</f>
        <v>0</v>
      </c>
      <c r="AI581" s="46"/>
      <c r="AJ581" s="46"/>
      <c r="AK581" s="43"/>
      <c r="AL581" s="43"/>
      <c r="AM581" s="43"/>
      <c r="AN581" s="43"/>
      <c r="AO581" s="43"/>
      <c r="AP581" s="43"/>
      <c r="AQ581" s="43"/>
      <c r="AR581" s="43"/>
      <c r="AS581" s="43"/>
      <c r="AT581" s="43"/>
    </row>
    <row r="582" spans="1:46">
      <c r="A582" s="43" t="s">
        <v>12</v>
      </c>
      <c r="B582" s="43" t="s">
        <v>111</v>
      </c>
      <c r="C582" s="43" t="s">
        <v>109</v>
      </c>
      <c r="D582" s="44" t="s">
        <v>234</v>
      </c>
      <c r="E582" s="44">
        <v>4</v>
      </c>
      <c r="F582" s="44" t="s">
        <v>0</v>
      </c>
      <c r="G582" s="43" t="str">
        <f>IFERROR(VLOOKUP(A582,'[1]MC Masterlist 2026-09-12'!$B:$M, 3, 0),"")</f>
        <v>HONDA</v>
      </c>
      <c r="H582" s="45">
        <f>IFERROR(VLOOKUP(A582,'[1]MC Masterlist 2026-09-12'!$B:$M, 6, 0),"")</f>
        <v>158270</v>
      </c>
      <c r="I582" s="46">
        <v>2</v>
      </c>
      <c r="J582" s="46">
        <v>2</v>
      </c>
      <c r="K582" s="46">
        <v>2</v>
      </c>
      <c r="L582" s="46">
        <f t="shared" si="135"/>
        <v>6</v>
      </c>
      <c r="M582" s="46">
        <f t="shared" si="136"/>
        <v>2</v>
      </c>
      <c r="N582" s="45">
        <f t="shared" si="137"/>
        <v>949620</v>
      </c>
      <c r="O582" s="45">
        <f t="shared" si="138"/>
        <v>316540</v>
      </c>
      <c r="P582" s="46">
        <f t="shared" si="139"/>
        <v>6.6666666666666666E-2</v>
      </c>
      <c r="Q582" s="46">
        <v>8</v>
      </c>
      <c r="R582" s="45">
        <f t="shared" si="140"/>
        <v>1266160</v>
      </c>
      <c r="S582" s="46">
        <f t="shared" si="141"/>
        <v>120</v>
      </c>
      <c r="T582" s="46">
        <f>IFERROR(VLOOKUP(A582,'[1]Re-order'!$A:$Q,17,0),"")</f>
        <v>46.461038961038959</v>
      </c>
      <c r="U582" s="46">
        <f>IFERROR(VLOOKUP(A582,'[1]MC Masterlist 2026-09-12'!$B:$M, 10, 0),0)</f>
        <v>15</v>
      </c>
      <c r="V582" s="46">
        <f>IFERROR(VLOOKUP(A582,'[1]MC Masterlist 2026-09-12'!$B:$M, 11, 0),0)</f>
        <v>15</v>
      </c>
      <c r="W582" s="46">
        <f t="shared" si="142"/>
        <v>30</v>
      </c>
      <c r="X582" s="46">
        <f t="shared" si="143"/>
        <v>29</v>
      </c>
      <c r="Y582" s="46">
        <f>IFERROR(IF(OR(C582="AREA I",C582="AREA V"),7,VLOOKUP(A582,'[1]MC Masterlist 2026-09-12'!$B:$M, 12, 0)),0)</f>
        <v>30</v>
      </c>
      <c r="Z582" s="46">
        <f t="shared" si="144"/>
        <v>1</v>
      </c>
      <c r="AA582" s="46">
        <f t="shared" si="145"/>
        <v>2</v>
      </c>
      <c r="AB582" s="46">
        <f t="shared" si="146"/>
        <v>1.9333333333333333</v>
      </c>
      <c r="AC582" s="46">
        <f t="shared" si="147"/>
        <v>2</v>
      </c>
      <c r="AD582" s="44" t="str">
        <f t="shared" si="148"/>
        <v>Over</v>
      </c>
      <c r="AE582" s="44" t="str">
        <f>IFERROR(VLOOKUP(A582,'[1]Re-order'!$A:$AA,27,0),"")</f>
        <v>Re-order</v>
      </c>
      <c r="AF582" s="46">
        <f t="shared" si="149"/>
        <v>-6</v>
      </c>
      <c r="AG582" s="46">
        <f>SUMIFS('[1]Raw Inventory'!D:D,'[1]Raw Inventory'!C:C,"GREATWALL",'[1]Raw Inventory'!B:B,A582)</f>
        <v>35</v>
      </c>
      <c r="AH582" s="46">
        <f>SUMIFS('[1]Raw Inventory'!D:D,'[1]Raw Inventory'!C:C,"DUARTE",'[1]Raw Inventory'!B:B,A582)</f>
        <v>0</v>
      </c>
      <c r="AI582" s="46"/>
      <c r="AJ582" s="46"/>
      <c r="AK582" s="43"/>
      <c r="AL582" s="43"/>
      <c r="AM582" s="43"/>
      <c r="AN582" s="43"/>
      <c r="AO582" s="43"/>
      <c r="AP582" s="43"/>
      <c r="AQ582" s="43"/>
      <c r="AR582" s="43"/>
      <c r="AS582" s="43"/>
      <c r="AT582" s="43"/>
    </row>
    <row r="583" spans="1:46">
      <c r="A583" s="43" t="s">
        <v>56</v>
      </c>
      <c r="B583" s="43" t="s">
        <v>97</v>
      </c>
      <c r="C583" s="43" t="s">
        <v>90</v>
      </c>
      <c r="D583" s="44" t="s">
        <v>226</v>
      </c>
      <c r="E583" s="44">
        <v>17</v>
      </c>
      <c r="F583" s="44" t="s">
        <v>3</v>
      </c>
      <c r="G583" s="43" t="str">
        <f>IFERROR(VLOOKUP(A583,'[1]MC Masterlist 2026-09-12'!$B:$M, 3, 0),"")</f>
        <v>HONDA</v>
      </c>
      <c r="H583" s="45">
        <f>IFERROR(VLOOKUP(A583,'[1]MC Masterlist 2026-09-12'!$B:$M, 6, 0),"")</f>
        <v>288118</v>
      </c>
      <c r="I583" s="46">
        <v>0</v>
      </c>
      <c r="J583" s="46">
        <v>0</v>
      </c>
      <c r="K583" s="46">
        <v>0</v>
      </c>
      <c r="L583" s="46">
        <f t="shared" si="135"/>
        <v>0</v>
      </c>
      <c r="M583" s="46">
        <f t="shared" si="136"/>
        <v>0</v>
      </c>
      <c r="N583" s="45">
        <f t="shared" si="137"/>
        <v>0</v>
      </c>
      <c r="O583" s="45">
        <f t="shared" si="138"/>
        <v>0</v>
      </c>
      <c r="P583" s="46">
        <f t="shared" si="139"/>
        <v>0</v>
      </c>
      <c r="Q583" s="46">
        <v>1</v>
      </c>
      <c r="R583" s="45">
        <f t="shared" si="140"/>
        <v>288118</v>
      </c>
      <c r="S583" s="46">
        <f t="shared" si="141"/>
        <v>0</v>
      </c>
      <c r="T583" s="46" t="str">
        <f>IFERROR(VLOOKUP(A583,'[1]Re-order'!$A:$Q,17,0),"")</f>
        <v/>
      </c>
      <c r="U583" s="46">
        <f>IFERROR(VLOOKUP(A583,'[1]MC Masterlist 2026-09-12'!$B:$M, 10, 0),0)</f>
        <v>15</v>
      </c>
      <c r="V583" s="46">
        <f>IFERROR(VLOOKUP(A583,'[1]MC Masterlist 2026-09-12'!$B:$M, 11, 0),0)</f>
        <v>15</v>
      </c>
      <c r="W583" s="46">
        <f t="shared" si="142"/>
        <v>30</v>
      </c>
      <c r="X583" s="46">
        <f t="shared" si="143"/>
        <v>30</v>
      </c>
      <c r="Y583" s="46">
        <f>IFERROR(IF(OR(C583="AREA I",C583="AREA V"),7,VLOOKUP(A583,'[1]MC Masterlist 2026-09-12'!$B:$M, 12, 0)),0)</f>
        <v>30</v>
      </c>
      <c r="Z583" s="46">
        <f t="shared" si="144"/>
        <v>0</v>
      </c>
      <c r="AA583" s="46">
        <f t="shared" si="145"/>
        <v>0</v>
      </c>
      <c r="AB583" s="46">
        <f t="shared" si="146"/>
        <v>0</v>
      </c>
      <c r="AC583" s="46">
        <f t="shared" si="147"/>
        <v>0</v>
      </c>
      <c r="AD583" s="44" t="str">
        <f t="shared" si="148"/>
        <v>Over</v>
      </c>
      <c r="AE583" s="44" t="str">
        <f>IFERROR(VLOOKUP(A583,'[1]Re-order'!$A:$AA,27,0),"")</f>
        <v>Over</v>
      </c>
      <c r="AF583" s="46">
        <f t="shared" si="149"/>
        <v>-1</v>
      </c>
      <c r="AG583" s="46">
        <f>SUMIFS('[1]Raw Inventory'!D:D,'[1]Raw Inventory'!C:C,"GREATWALL",'[1]Raw Inventory'!B:B,A583)</f>
        <v>0</v>
      </c>
      <c r="AH583" s="46">
        <f>SUMIFS('[1]Raw Inventory'!D:D,'[1]Raw Inventory'!C:C,"DUARTE",'[1]Raw Inventory'!B:B,A583)</f>
        <v>0</v>
      </c>
      <c r="AI583" s="46"/>
      <c r="AJ583" s="46"/>
      <c r="AK583" s="43"/>
      <c r="AL583" s="43"/>
      <c r="AM583" s="43"/>
      <c r="AN583" s="43"/>
      <c r="AO583" s="43"/>
      <c r="AP583" s="43"/>
      <c r="AQ583" s="43"/>
      <c r="AR583" s="43"/>
      <c r="AS583" s="43"/>
      <c r="AT583" s="43"/>
    </row>
    <row r="584" spans="1:46">
      <c r="A584" s="43" t="s">
        <v>31</v>
      </c>
      <c r="B584" s="43" t="s">
        <v>94</v>
      </c>
      <c r="C584" s="43" t="s">
        <v>90</v>
      </c>
      <c r="D584" s="44" t="s">
        <v>253</v>
      </c>
      <c r="E584" s="44">
        <v>29</v>
      </c>
      <c r="F584" s="44" t="s">
        <v>3</v>
      </c>
      <c r="G584" s="43" t="str">
        <f>IFERROR(VLOOKUP(A584,'[1]MC Masterlist 2026-09-12'!$B:$M, 3, 0),"")</f>
        <v>KAWASAKI</v>
      </c>
      <c r="H584" s="45">
        <f>IFERROR(VLOOKUP(A584,'[1]MC Masterlist 2026-09-12'!$B:$M, 6, 0),"")</f>
        <v>59528</v>
      </c>
      <c r="I584" s="46">
        <v>0</v>
      </c>
      <c r="J584" s="46">
        <v>0</v>
      </c>
      <c r="K584" s="46">
        <v>0</v>
      </c>
      <c r="L584" s="46">
        <f t="shared" si="135"/>
        <v>0</v>
      </c>
      <c r="M584" s="46">
        <f t="shared" si="136"/>
        <v>0</v>
      </c>
      <c r="N584" s="45">
        <f t="shared" si="137"/>
        <v>0</v>
      </c>
      <c r="O584" s="45">
        <f t="shared" si="138"/>
        <v>0</v>
      </c>
      <c r="P584" s="46">
        <f t="shared" si="139"/>
        <v>0</v>
      </c>
      <c r="Q584" s="46">
        <v>1</v>
      </c>
      <c r="R584" s="45">
        <f t="shared" si="140"/>
        <v>59528</v>
      </c>
      <c r="S584" s="46">
        <f t="shared" si="141"/>
        <v>0</v>
      </c>
      <c r="T584" s="46">
        <f>IFERROR(VLOOKUP(A584,'[1]Re-order'!$A:$Q,17,0),"")</f>
        <v>95.869565217391298</v>
      </c>
      <c r="U584" s="46">
        <f>IFERROR(VLOOKUP(A584,'[1]MC Masterlist 2026-09-12'!$B:$M, 10, 0),0)</f>
        <v>15</v>
      </c>
      <c r="V584" s="46">
        <f>IFERROR(VLOOKUP(A584,'[1]MC Masterlist 2026-09-12'!$B:$M, 11, 0),0)</f>
        <v>15</v>
      </c>
      <c r="W584" s="46">
        <f t="shared" si="142"/>
        <v>30</v>
      </c>
      <c r="X584" s="46">
        <f t="shared" si="143"/>
        <v>30</v>
      </c>
      <c r="Y584" s="46">
        <f>IFERROR(IF(OR(C584="AREA I",C584="AREA V"),7,VLOOKUP(A584,'[1]MC Masterlist 2026-09-12'!$B:$M, 12, 0)),0)</f>
        <v>30</v>
      </c>
      <c r="Z584" s="46">
        <f t="shared" si="144"/>
        <v>0</v>
      </c>
      <c r="AA584" s="46">
        <f t="shared" si="145"/>
        <v>0</v>
      </c>
      <c r="AB584" s="46">
        <f t="shared" si="146"/>
        <v>0</v>
      </c>
      <c r="AC584" s="46">
        <f t="shared" si="147"/>
        <v>0</v>
      </c>
      <c r="AD584" s="44" t="str">
        <f t="shared" si="148"/>
        <v>Over</v>
      </c>
      <c r="AE584" s="44" t="str">
        <f>IFERROR(VLOOKUP(A584,'[1]Re-order'!$A:$AA,27,0),"")</f>
        <v>Over</v>
      </c>
      <c r="AF584" s="46">
        <f t="shared" si="149"/>
        <v>-1</v>
      </c>
      <c r="AG584" s="46">
        <f>SUMIFS('[1]Raw Inventory'!D:D,'[1]Raw Inventory'!C:C,"GREATWALL",'[1]Raw Inventory'!B:B,A584)</f>
        <v>79</v>
      </c>
      <c r="AH584" s="46">
        <f>SUMIFS('[1]Raw Inventory'!D:D,'[1]Raw Inventory'!C:C,"DUARTE",'[1]Raw Inventory'!B:B,A584)</f>
        <v>0</v>
      </c>
      <c r="AI584" s="46"/>
      <c r="AJ584" s="46"/>
      <c r="AK584" s="43"/>
      <c r="AL584" s="43"/>
      <c r="AM584" s="43"/>
      <c r="AN584" s="43"/>
      <c r="AO584" s="43"/>
      <c r="AP584" s="43"/>
      <c r="AQ584" s="43"/>
      <c r="AR584" s="43"/>
      <c r="AS584" s="43"/>
      <c r="AT584" s="43"/>
    </row>
    <row r="585" spans="1:46">
      <c r="A585" s="43" t="s">
        <v>82</v>
      </c>
      <c r="B585" s="43" t="s">
        <v>158</v>
      </c>
      <c r="C585" s="43" t="s">
        <v>152</v>
      </c>
      <c r="D585" s="44" t="s">
        <v>247</v>
      </c>
      <c r="E585" s="44">
        <v>24</v>
      </c>
      <c r="F585" s="44" t="s">
        <v>3</v>
      </c>
      <c r="G585" s="43" t="str">
        <f>IFERROR(VLOOKUP(A585,'[1]MC Masterlist 2026-09-12'!$B:$M, 3, 0),"")</f>
        <v>SUZUKI</v>
      </c>
      <c r="H585" s="45">
        <f>IFERROR(VLOOKUP(A585,'[1]MC Masterlist 2026-09-12'!$B:$M, 6, 0),"")</f>
        <v>67342</v>
      </c>
      <c r="I585" s="46">
        <v>0</v>
      </c>
      <c r="J585" s="46">
        <v>0</v>
      </c>
      <c r="K585" s="46">
        <v>1</v>
      </c>
      <c r="L585" s="46">
        <f t="shared" si="135"/>
        <v>1</v>
      </c>
      <c r="M585" s="46">
        <f t="shared" si="136"/>
        <v>0.33333333333333331</v>
      </c>
      <c r="N585" s="45">
        <f t="shared" si="137"/>
        <v>67342</v>
      </c>
      <c r="O585" s="45">
        <f t="shared" si="138"/>
        <v>22447.333333333332</v>
      </c>
      <c r="P585" s="46">
        <f t="shared" si="139"/>
        <v>1.111111111111111E-2</v>
      </c>
      <c r="Q585" s="46">
        <v>1</v>
      </c>
      <c r="R585" s="45">
        <f t="shared" si="140"/>
        <v>67342</v>
      </c>
      <c r="S585" s="46">
        <f t="shared" si="141"/>
        <v>90</v>
      </c>
      <c r="T585" s="46">
        <f>IFERROR(VLOOKUP(A585,'[1]Re-order'!$A:$Q,17,0),"")</f>
        <v>64.8</v>
      </c>
      <c r="U585" s="46">
        <f>IFERROR(VLOOKUP(A585,'[1]MC Masterlist 2026-09-12'!$B:$M, 10, 0),0)</f>
        <v>15</v>
      </c>
      <c r="V585" s="46">
        <f>IFERROR(VLOOKUP(A585,'[1]MC Masterlist 2026-09-12'!$B:$M, 11, 0),0)</f>
        <v>15</v>
      </c>
      <c r="W585" s="46">
        <f t="shared" si="142"/>
        <v>30</v>
      </c>
      <c r="X585" s="46">
        <f t="shared" si="143"/>
        <v>29.833333333333332</v>
      </c>
      <c r="Y585" s="46">
        <f>IFERROR(IF(OR(C585="AREA I",C585="AREA V"),7,VLOOKUP(A585,'[1]MC Masterlist 2026-09-12'!$B:$M, 12, 0)),0)</f>
        <v>30</v>
      </c>
      <c r="Z585" s="46">
        <f t="shared" si="144"/>
        <v>0.16666666666666666</v>
      </c>
      <c r="AA585" s="46">
        <f t="shared" si="145"/>
        <v>0.33333333333333331</v>
      </c>
      <c r="AB585" s="46">
        <f t="shared" si="146"/>
        <v>0.33148148148148143</v>
      </c>
      <c r="AC585" s="46">
        <f t="shared" si="147"/>
        <v>0.33333333333333331</v>
      </c>
      <c r="AD585" s="44" t="str">
        <f t="shared" si="148"/>
        <v>Over</v>
      </c>
      <c r="AE585" s="44" t="str">
        <f>IFERROR(VLOOKUP(A585,'[1]Re-order'!$A:$AA,27,0),"")</f>
        <v>Re-order</v>
      </c>
      <c r="AF585" s="46">
        <f t="shared" si="149"/>
        <v>-0.66666666666666674</v>
      </c>
      <c r="AG585" s="46">
        <f>SUMIFS('[1]Raw Inventory'!D:D,'[1]Raw Inventory'!C:C,"GREATWALL",'[1]Raw Inventory'!B:B,A585)</f>
        <v>1</v>
      </c>
      <c r="AH585" s="46">
        <f>SUMIFS('[1]Raw Inventory'!D:D,'[1]Raw Inventory'!C:C,"DUARTE",'[1]Raw Inventory'!B:B,A585)</f>
        <v>0</v>
      </c>
      <c r="AI585" s="46"/>
      <c r="AJ585" s="46"/>
      <c r="AK585" s="43"/>
      <c r="AL585" s="43"/>
      <c r="AM585" s="43"/>
      <c r="AN585" s="43"/>
      <c r="AO585" s="43"/>
      <c r="AP585" s="43"/>
      <c r="AQ585" s="43"/>
      <c r="AR585" s="43"/>
      <c r="AS585" s="43"/>
      <c r="AT585" s="43"/>
    </row>
    <row r="586" spans="1:46">
      <c r="A586" s="43" t="s">
        <v>43</v>
      </c>
      <c r="B586" s="43" t="s">
        <v>160</v>
      </c>
      <c r="C586" s="43" t="s">
        <v>159</v>
      </c>
      <c r="D586" s="44" t="s">
        <v>232</v>
      </c>
      <c r="E586" s="44">
        <v>24</v>
      </c>
      <c r="F586" s="44" t="s">
        <v>3</v>
      </c>
      <c r="G586" s="43" t="str">
        <f>IFERROR(VLOOKUP(A586,'[1]MC Masterlist 2026-09-12'!$B:$M, 3, 0),"")</f>
        <v>YAMAHA</v>
      </c>
      <c r="H586" s="45">
        <f>IFERROR(VLOOKUP(A586,'[1]MC Masterlist 2026-09-12'!$B:$M, 6, 0),"")</f>
        <v>70587</v>
      </c>
      <c r="I586" s="46">
        <v>0</v>
      </c>
      <c r="J586" s="46">
        <v>0</v>
      </c>
      <c r="K586" s="46">
        <v>0</v>
      </c>
      <c r="L586" s="46">
        <f t="shared" si="135"/>
        <v>0</v>
      </c>
      <c r="M586" s="46">
        <f t="shared" si="136"/>
        <v>0</v>
      </c>
      <c r="N586" s="45">
        <f t="shared" si="137"/>
        <v>0</v>
      </c>
      <c r="O586" s="45">
        <f t="shared" si="138"/>
        <v>0</v>
      </c>
      <c r="P586" s="46">
        <f t="shared" si="139"/>
        <v>0</v>
      </c>
      <c r="Q586" s="46">
        <v>9</v>
      </c>
      <c r="R586" s="45">
        <f t="shared" si="140"/>
        <v>635283</v>
      </c>
      <c r="S586" s="46">
        <f t="shared" si="141"/>
        <v>0</v>
      </c>
      <c r="T586" s="46">
        <f>IFERROR(VLOOKUP(A586,'[1]Re-order'!$A:$Q,17,0),"")</f>
        <v>43.578947368421055</v>
      </c>
      <c r="U586" s="46">
        <f>IFERROR(VLOOKUP(A586,'[1]MC Masterlist 2026-09-12'!$B:$M, 10, 0),0)</f>
        <v>15</v>
      </c>
      <c r="V586" s="46">
        <f>IFERROR(VLOOKUP(A586,'[1]MC Masterlist 2026-09-12'!$B:$M, 11, 0),0)</f>
        <v>15</v>
      </c>
      <c r="W586" s="46">
        <f t="shared" si="142"/>
        <v>30</v>
      </c>
      <c r="X586" s="46">
        <f t="shared" si="143"/>
        <v>30</v>
      </c>
      <c r="Y586" s="46">
        <f>IFERROR(IF(OR(C586="AREA I",C586="AREA V"),7,VLOOKUP(A586,'[1]MC Masterlist 2026-09-12'!$B:$M, 12, 0)),0)</f>
        <v>30</v>
      </c>
      <c r="Z586" s="46">
        <f t="shared" si="144"/>
        <v>0</v>
      </c>
      <c r="AA586" s="46">
        <f t="shared" si="145"/>
        <v>0</v>
      </c>
      <c r="AB586" s="46">
        <f t="shared" si="146"/>
        <v>0</v>
      </c>
      <c r="AC586" s="46">
        <f t="shared" si="147"/>
        <v>0</v>
      </c>
      <c r="AD586" s="44" t="str">
        <f t="shared" si="148"/>
        <v>Over</v>
      </c>
      <c r="AE586" s="44" t="str">
        <f>IFERROR(VLOOKUP(A586,'[1]Re-order'!$A:$AA,27,0),"")</f>
        <v>Re-order</v>
      </c>
      <c r="AF586" s="46">
        <f t="shared" si="149"/>
        <v>-9</v>
      </c>
      <c r="AG586" s="46">
        <f>SUMIFS('[1]Raw Inventory'!D:D,'[1]Raw Inventory'!C:C,"GREATWALL",'[1]Raw Inventory'!B:B,A586)</f>
        <v>0</v>
      </c>
      <c r="AH586" s="46">
        <f>SUMIFS('[1]Raw Inventory'!D:D,'[1]Raw Inventory'!C:C,"DUARTE",'[1]Raw Inventory'!B:B,A586)</f>
        <v>0</v>
      </c>
      <c r="AI586" s="46"/>
      <c r="AJ586" s="46"/>
      <c r="AK586" s="43"/>
      <c r="AL586" s="43"/>
      <c r="AM586" s="43"/>
      <c r="AN586" s="43"/>
      <c r="AO586" s="43"/>
      <c r="AP586" s="43"/>
      <c r="AQ586" s="43"/>
      <c r="AR586" s="43"/>
      <c r="AS586" s="43"/>
      <c r="AT586" s="43"/>
    </row>
    <row r="587" spans="1:46">
      <c r="A587" s="43" t="s">
        <v>42</v>
      </c>
      <c r="B587" s="43" t="s">
        <v>129</v>
      </c>
      <c r="C587" s="43" t="s">
        <v>128</v>
      </c>
      <c r="D587" s="44" t="s">
        <v>221</v>
      </c>
      <c r="E587" s="44">
        <v>17</v>
      </c>
      <c r="F587" s="44" t="s">
        <v>3</v>
      </c>
      <c r="G587" s="43" t="str">
        <f>IFERROR(VLOOKUP(A587,'[1]MC Masterlist 2026-09-12'!$B:$M, 3, 0),"")</f>
        <v>YAMAHA</v>
      </c>
      <c r="H587" s="45">
        <f>IFERROR(VLOOKUP(A587,'[1]MC Masterlist 2026-09-12'!$B:$M, 6, 0),"")</f>
        <v>152892</v>
      </c>
      <c r="I587" s="46">
        <v>1</v>
      </c>
      <c r="J587" s="46">
        <v>0</v>
      </c>
      <c r="K587" s="46">
        <v>0</v>
      </c>
      <c r="L587" s="46">
        <f t="shared" si="135"/>
        <v>1</v>
      </c>
      <c r="M587" s="46">
        <f t="shared" si="136"/>
        <v>0.33333333333333331</v>
      </c>
      <c r="N587" s="45">
        <f t="shared" si="137"/>
        <v>152892</v>
      </c>
      <c r="O587" s="45">
        <f t="shared" si="138"/>
        <v>50964</v>
      </c>
      <c r="P587" s="46">
        <f t="shared" si="139"/>
        <v>1.111111111111111E-2</v>
      </c>
      <c r="Q587" s="46">
        <v>3</v>
      </c>
      <c r="R587" s="45">
        <f t="shared" si="140"/>
        <v>458676</v>
      </c>
      <c r="S587" s="46">
        <f t="shared" si="141"/>
        <v>270</v>
      </c>
      <c r="T587" s="46">
        <f>IFERROR(VLOOKUP(A587,'[1]Re-order'!$A:$Q,17,0),"")</f>
        <v>104.55882352941177</v>
      </c>
      <c r="U587" s="46">
        <f>IFERROR(VLOOKUP(A587,'[1]MC Masterlist 2026-09-12'!$B:$M, 10, 0),0)</f>
        <v>15</v>
      </c>
      <c r="V587" s="46">
        <f>IFERROR(VLOOKUP(A587,'[1]MC Masterlist 2026-09-12'!$B:$M, 11, 0),0)</f>
        <v>15</v>
      </c>
      <c r="W587" s="46">
        <f t="shared" si="142"/>
        <v>30</v>
      </c>
      <c r="X587" s="46">
        <f t="shared" si="143"/>
        <v>29.833333333333332</v>
      </c>
      <c r="Y587" s="46">
        <f>IFERROR(IF(OR(C587="AREA I",C587="AREA V"),7,VLOOKUP(A587,'[1]MC Masterlist 2026-09-12'!$B:$M, 12, 0)),0)</f>
        <v>30</v>
      </c>
      <c r="Z587" s="46">
        <f t="shared" si="144"/>
        <v>0.16666666666666666</v>
      </c>
      <c r="AA587" s="46">
        <f t="shared" si="145"/>
        <v>0.33333333333333331</v>
      </c>
      <c r="AB587" s="46">
        <f t="shared" si="146"/>
        <v>0.33148148148148143</v>
      </c>
      <c r="AC587" s="46">
        <f t="shared" si="147"/>
        <v>0.33333333333333331</v>
      </c>
      <c r="AD587" s="44" t="str">
        <f t="shared" si="148"/>
        <v>Over</v>
      </c>
      <c r="AE587" s="44" t="str">
        <f>IFERROR(VLOOKUP(A587,'[1]Re-order'!$A:$AA,27,0),"")</f>
        <v>Over</v>
      </c>
      <c r="AF587" s="46">
        <f t="shared" si="149"/>
        <v>-2.6666666666666665</v>
      </c>
      <c r="AG587" s="46">
        <f>SUMIFS('[1]Raw Inventory'!D:D,'[1]Raw Inventory'!C:C,"GREATWALL",'[1]Raw Inventory'!B:B,A587)</f>
        <v>3</v>
      </c>
      <c r="AH587" s="46">
        <f>SUMIFS('[1]Raw Inventory'!D:D,'[1]Raw Inventory'!C:C,"DUARTE",'[1]Raw Inventory'!B:B,A587)</f>
        <v>0</v>
      </c>
      <c r="AI587" s="46"/>
      <c r="AJ587" s="46"/>
      <c r="AK587" s="43"/>
      <c r="AL587" s="43"/>
      <c r="AM587" s="43"/>
      <c r="AN587" s="43"/>
      <c r="AO587" s="43"/>
      <c r="AP587" s="43"/>
      <c r="AQ587" s="43"/>
      <c r="AR587" s="43"/>
      <c r="AS587" s="43"/>
      <c r="AT587" s="43"/>
    </row>
    <row r="588" spans="1:46">
      <c r="A588" s="43" t="s">
        <v>64</v>
      </c>
      <c r="B588" s="43" t="s">
        <v>144</v>
      </c>
      <c r="C588" s="43" t="s">
        <v>137</v>
      </c>
      <c r="D588" s="44" t="s">
        <v>241</v>
      </c>
      <c r="E588" s="44">
        <v>24</v>
      </c>
      <c r="F588" s="44" t="s">
        <v>3</v>
      </c>
      <c r="G588" s="43" t="str">
        <f>IFERROR(VLOOKUP(A588,'[1]MC Masterlist 2026-09-12'!$B:$M, 3, 0),"")</f>
        <v>HONDA</v>
      </c>
      <c r="H588" s="45">
        <f>IFERROR(VLOOKUP(A588,'[1]MC Masterlist 2026-09-12'!$B:$M, 6, 0),"")</f>
        <v>73170</v>
      </c>
      <c r="I588" s="46">
        <v>0</v>
      </c>
      <c r="J588" s="46">
        <v>0</v>
      </c>
      <c r="K588" s="46">
        <v>2</v>
      </c>
      <c r="L588" s="46">
        <f t="shared" si="135"/>
        <v>2</v>
      </c>
      <c r="M588" s="46">
        <f t="shared" si="136"/>
        <v>0.66666666666666663</v>
      </c>
      <c r="N588" s="45">
        <f t="shared" si="137"/>
        <v>146340</v>
      </c>
      <c r="O588" s="45">
        <f t="shared" si="138"/>
        <v>48780</v>
      </c>
      <c r="P588" s="46">
        <f t="shared" si="139"/>
        <v>2.222222222222222E-2</v>
      </c>
      <c r="Q588" s="46"/>
      <c r="R588" s="45">
        <f t="shared" si="140"/>
        <v>0</v>
      </c>
      <c r="S588" s="46">
        <f t="shared" si="141"/>
        <v>0</v>
      </c>
      <c r="T588" s="46">
        <f>IFERROR(VLOOKUP(A588,'[1]Re-order'!$A:$Q,17,0),"")</f>
        <v>76.153846153846146</v>
      </c>
      <c r="U588" s="46">
        <f>IFERROR(VLOOKUP(A588,'[1]MC Masterlist 2026-09-12'!$B:$M, 10, 0),0)</f>
        <v>15</v>
      </c>
      <c r="V588" s="46">
        <f>IFERROR(VLOOKUP(A588,'[1]MC Masterlist 2026-09-12'!$B:$M, 11, 0),0)</f>
        <v>15</v>
      </c>
      <c r="W588" s="46">
        <f t="shared" si="142"/>
        <v>30</v>
      </c>
      <c r="X588" s="46">
        <f t="shared" si="143"/>
        <v>6.666666666666667</v>
      </c>
      <c r="Y588" s="46">
        <f>IFERROR(IF(OR(C588="AREA I",C588="AREA V"),7,VLOOKUP(A588,'[1]MC Masterlist 2026-09-12'!$B:$M, 12, 0)),0)</f>
        <v>7</v>
      </c>
      <c r="Z588" s="46">
        <f t="shared" si="144"/>
        <v>0.33333333333333331</v>
      </c>
      <c r="AA588" s="46">
        <f t="shared" si="145"/>
        <v>0.66666666666666663</v>
      </c>
      <c r="AB588" s="46">
        <f t="shared" si="146"/>
        <v>0.14814814814814814</v>
      </c>
      <c r="AC588" s="46">
        <f t="shared" si="147"/>
        <v>0.15555555555555553</v>
      </c>
      <c r="AD588" s="44" t="str">
        <f t="shared" si="148"/>
        <v>Stockout</v>
      </c>
      <c r="AE588" s="44" t="str">
        <f>IFERROR(VLOOKUP(A588,'[1]Re-order'!$A:$AA,27,0),"")</f>
        <v/>
      </c>
      <c r="AF588" s="46">
        <f t="shared" si="149"/>
        <v>0.15555555555555553</v>
      </c>
      <c r="AG588" s="46">
        <f>SUMIFS('[1]Raw Inventory'!D:D,'[1]Raw Inventory'!C:C,"GREATWALL",'[1]Raw Inventory'!B:B,A588)</f>
        <v>13</v>
      </c>
      <c r="AH588" s="46">
        <f>SUMIFS('[1]Raw Inventory'!D:D,'[1]Raw Inventory'!C:C,"DUARTE",'[1]Raw Inventory'!B:B,A588)</f>
        <v>0</v>
      </c>
      <c r="AI588" s="46"/>
      <c r="AJ588" s="46"/>
      <c r="AK588" s="43"/>
      <c r="AL588" s="43"/>
      <c r="AM588" s="43"/>
      <c r="AN588" s="43"/>
      <c r="AO588" s="43"/>
      <c r="AP588" s="43"/>
      <c r="AQ588" s="43"/>
      <c r="AR588" s="43"/>
      <c r="AS588" s="43"/>
      <c r="AT588" s="43"/>
    </row>
    <row r="589" spans="1:46">
      <c r="A589" s="43" t="s">
        <v>65</v>
      </c>
      <c r="B589" s="43" t="s">
        <v>92</v>
      </c>
      <c r="C589" s="43" t="s">
        <v>90</v>
      </c>
      <c r="D589" s="44" t="s">
        <v>264</v>
      </c>
      <c r="E589" s="44">
        <v>7</v>
      </c>
      <c r="F589" s="44" t="s">
        <v>0</v>
      </c>
      <c r="G589" s="43" t="str">
        <f>IFERROR(VLOOKUP(A589,'[1]MC Masterlist 2026-09-12'!$B:$M, 3, 0),"")</f>
        <v>SUZUKI</v>
      </c>
      <c r="H589" s="45">
        <f>IFERROR(VLOOKUP(A589,'[1]MC Masterlist 2026-09-12'!$B:$M, 6, 0),"")</f>
        <v>77572</v>
      </c>
      <c r="I589" s="46">
        <v>0</v>
      </c>
      <c r="J589" s="46">
        <v>2</v>
      </c>
      <c r="K589" s="46">
        <v>2</v>
      </c>
      <c r="L589" s="46">
        <f t="shared" si="135"/>
        <v>4</v>
      </c>
      <c r="M589" s="46">
        <f t="shared" si="136"/>
        <v>1.3333333333333333</v>
      </c>
      <c r="N589" s="45">
        <f t="shared" si="137"/>
        <v>310288</v>
      </c>
      <c r="O589" s="45">
        <f t="shared" si="138"/>
        <v>103429.33333333333</v>
      </c>
      <c r="P589" s="46">
        <f t="shared" si="139"/>
        <v>4.4444444444444439E-2</v>
      </c>
      <c r="Q589" s="46">
        <v>1</v>
      </c>
      <c r="R589" s="45">
        <f t="shared" si="140"/>
        <v>77572</v>
      </c>
      <c r="S589" s="46">
        <f t="shared" si="141"/>
        <v>22.5</v>
      </c>
      <c r="T589" s="46">
        <f>IFERROR(VLOOKUP(A589,'[1]Re-order'!$A:$Q,17,0),"")</f>
        <v>158.8235294117647</v>
      </c>
      <c r="U589" s="46">
        <f>IFERROR(VLOOKUP(A589,'[1]MC Masterlist 2026-09-12'!$B:$M, 10, 0),0)</f>
        <v>15</v>
      </c>
      <c r="V589" s="46">
        <f>IFERROR(VLOOKUP(A589,'[1]MC Masterlist 2026-09-12'!$B:$M, 11, 0),0)</f>
        <v>15</v>
      </c>
      <c r="W589" s="46">
        <f t="shared" si="142"/>
        <v>30</v>
      </c>
      <c r="X589" s="46">
        <f t="shared" si="143"/>
        <v>29.333333333333332</v>
      </c>
      <c r="Y589" s="46">
        <f>IFERROR(IF(OR(C589="AREA I",C589="AREA V"),7,VLOOKUP(A589,'[1]MC Masterlist 2026-09-12'!$B:$M, 12, 0)),0)</f>
        <v>30</v>
      </c>
      <c r="Z589" s="46">
        <f t="shared" si="144"/>
        <v>0.66666666666666663</v>
      </c>
      <c r="AA589" s="46">
        <f t="shared" si="145"/>
        <v>1.3333333333333333</v>
      </c>
      <c r="AB589" s="46">
        <f t="shared" si="146"/>
        <v>1.3037037037037036</v>
      </c>
      <c r="AC589" s="46">
        <f t="shared" si="147"/>
        <v>1.3333333333333333</v>
      </c>
      <c r="AD589" s="44" t="str">
        <f t="shared" si="148"/>
        <v>Re-order</v>
      </c>
      <c r="AE589" s="44" t="str">
        <f>IFERROR(VLOOKUP(A589,'[1]Re-order'!$A:$AA,27,0),"")</f>
        <v>Over</v>
      </c>
      <c r="AF589" s="46">
        <f t="shared" si="149"/>
        <v>0.33333333333333326</v>
      </c>
      <c r="AG589" s="46">
        <f>SUMIFS('[1]Raw Inventory'!D:D,'[1]Raw Inventory'!C:C,"GREATWALL",'[1]Raw Inventory'!B:B,A589)</f>
        <v>4</v>
      </c>
      <c r="AH589" s="46">
        <f>SUMIFS('[1]Raw Inventory'!D:D,'[1]Raw Inventory'!C:C,"DUARTE",'[1]Raw Inventory'!B:B,A589)</f>
        <v>0</v>
      </c>
      <c r="AI589" s="46"/>
      <c r="AJ589" s="46"/>
      <c r="AK589" s="43"/>
      <c r="AL589" s="43"/>
      <c r="AM589" s="43"/>
      <c r="AN589" s="43"/>
      <c r="AO589" s="43"/>
      <c r="AP589" s="43"/>
      <c r="AQ589" s="43"/>
      <c r="AR589" s="43"/>
      <c r="AS589" s="43"/>
      <c r="AT589" s="43"/>
    </row>
    <row r="590" spans="1:46">
      <c r="A590" s="43" t="s">
        <v>37</v>
      </c>
      <c r="B590" s="43" t="s">
        <v>92</v>
      </c>
      <c r="C590" s="43" t="s">
        <v>90</v>
      </c>
      <c r="D590" s="44" t="s">
        <v>236</v>
      </c>
      <c r="E590" s="44">
        <v>9</v>
      </c>
      <c r="F590" s="44" t="s">
        <v>2</v>
      </c>
      <c r="G590" s="43" t="str">
        <f>IFERROR(VLOOKUP(A590,'[1]MC Masterlist 2026-09-12'!$B:$M, 3, 0),"")</f>
        <v>HONDA</v>
      </c>
      <c r="H590" s="45">
        <f>IFERROR(VLOOKUP(A590,'[1]MC Masterlist 2026-09-12'!$B:$M, 6, 0),"")</f>
        <v>74550</v>
      </c>
      <c r="I590" s="46">
        <v>3</v>
      </c>
      <c r="J590" s="46">
        <v>0</v>
      </c>
      <c r="K590" s="46">
        <v>0</v>
      </c>
      <c r="L590" s="46">
        <f t="shared" si="135"/>
        <v>3</v>
      </c>
      <c r="M590" s="46">
        <f t="shared" si="136"/>
        <v>1</v>
      </c>
      <c r="N590" s="45">
        <f t="shared" si="137"/>
        <v>223650</v>
      </c>
      <c r="O590" s="45">
        <f t="shared" si="138"/>
        <v>74550</v>
      </c>
      <c r="P590" s="46">
        <f t="shared" si="139"/>
        <v>3.3333333333333333E-2</v>
      </c>
      <c r="Q590" s="46">
        <v>1</v>
      </c>
      <c r="R590" s="45">
        <f t="shared" si="140"/>
        <v>74550</v>
      </c>
      <c r="S590" s="46">
        <f t="shared" si="141"/>
        <v>30</v>
      </c>
      <c r="T590" s="46">
        <f>IFERROR(VLOOKUP(A590,'[1]Re-order'!$A:$Q,17,0),"")</f>
        <v>33.652173913043477</v>
      </c>
      <c r="U590" s="46">
        <f>IFERROR(VLOOKUP(A590,'[1]MC Masterlist 2026-09-12'!$B:$M, 10, 0),0)</f>
        <v>15</v>
      </c>
      <c r="V590" s="46">
        <f>IFERROR(VLOOKUP(A590,'[1]MC Masterlist 2026-09-12'!$B:$M, 11, 0),0)</f>
        <v>15</v>
      </c>
      <c r="W590" s="46">
        <f t="shared" si="142"/>
        <v>30</v>
      </c>
      <c r="X590" s="46">
        <f t="shared" si="143"/>
        <v>29.5</v>
      </c>
      <c r="Y590" s="46">
        <f>IFERROR(IF(OR(C590="AREA I",C590="AREA V"),7,VLOOKUP(A590,'[1]MC Masterlist 2026-09-12'!$B:$M, 12, 0)),0)</f>
        <v>30</v>
      </c>
      <c r="Z590" s="46">
        <f t="shared" si="144"/>
        <v>0.5</v>
      </c>
      <c r="AA590" s="46">
        <f t="shared" si="145"/>
        <v>1</v>
      </c>
      <c r="AB590" s="46">
        <f t="shared" si="146"/>
        <v>0.98333333333333328</v>
      </c>
      <c r="AC590" s="46">
        <f t="shared" si="147"/>
        <v>1</v>
      </c>
      <c r="AD590" s="44" t="str">
        <f t="shared" si="148"/>
        <v>Re-order</v>
      </c>
      <c r="AE590" s="44" t="str">
        <f>IFERROR(VLOOKUP(A590,'[1]Re-order'!$A:$AA,27,0),"")</f>
        <v>Re-order</v>
      </c>
      <c r="AF590" s="46">
        <f t="shared" si="149"/>
        <v>0</v>
      </c>
      <c r="AG590" s="46">
        <f>SUMIFS('[1]Raw Inventory'!D:D,'[1]Raw Inventory'!C:C,"GREATWALL",'[1]Raw Inventory'!B:B,A590)</f>
        <v>28</v>
      </c>
      <c r="AH590" s="46">
        <f>SUMIFS('[1]Raw Inventory'!D:D,'[1]Raw Inventory'!C:C,"DUARTE",'[1]Raw Inventory'!B:B,A590)</f>
        <v>0</v>
      </c>
      <c r="AI590" s="46"/>
      <c r="AJ590" s="46"/>
      <c r="AK590" s="43"/>
      <c r="AL590" s="43"/>
      <c r="AM590" s="43"/>
      <c r="AN590" s="43"/>
      <c r="AO590" s="43"/>
      <c r="AP590" s="43"/>
      <c r="AQ590" s="43"/>
      <c r="AR590" s="43"/>
      <c r="AS590" s="43"/>
      <c r="AT590" s="43"/>
    </row>
    <row r="591" spans="1:46">
      <c r="A591" s="43" t="s">
        <v>16</v>
      </c>
      <c r="B591" s="43" t="s">
        <v>160</v>
      </c>
      <c r="C591" s="43" t="s">
        <v>159</v>
      </c>
      <c r="D591" s="44" t="s">
        <v>225</v>
      </c>
      <c r="E591" s="44">
        <v>3</v>
      </c>
      <c r="F591" s="44" t="s">
        <v>0</v>
      </c>
      <c r="G591" s="43" t="str">
        <f>IFERROR(VLOOKUP(A591,'[1]MC Masterlist 2026-09-12'!$B:$M, 3, 0),"")</f>
        <v>HONDA</v>
      </c>
      <c r="H591" s="45">
        <f>IFERROR(VLOOKUP(A591,'[1]MC Masterlist 2026-09-12'!$B:$M, 6, 0),"")</f>
        <v>84394</v>
      </c>
      <c r="I591" s="46">
        <v>2</v>
      </c>
      <c r="J591" s="46">
        <v>7</v>
      </c>
      <c r="K591" s="46">
        <v>3</v>
      </c>
      <c r="L591" s="46">
        <f t="shared" si="135"/>
        <v>12</v>
      </c>
      <c r="M591" s="46">
        <f t="shared" si="136"/>
        <v>4</v>
      </c>
      <c r="N591" s="45">
        <f t="shared" si="137"/>
        <v>1012728</v>
      </c>
      <c r="O591" s="45">
        <f t="shared" si="138"/>
        <v>337576</v>
      </c>
      <c r="P591" s="46">
        <f t="shared" si="139"/>
        <v>0.13333333333333333</v>
      </c>
      <c r="Q591" s="46"/>
      <c r="R591" s="45">
        <f t="shared" si="140"/>
        <v>0</v>
      </c>
      <c r="S591" s="46">
        <f t="shared" si="141"/>
        <v>0</v>
      </c>
      <c r="T591" s="46">
        <f>IFERROR(VLOOKUP(A591,'[1]Re-order'!$A:$Q,17,0),"")</f>
        <v>26.332665330661321</v>
      </c>
      <c r="U591" s="46">
        <f>IFERROR(VLOOKUP(A591,'[1]MC Masterlist 2026-09-12'!$B:$M, 10, 0),0)</f>
        <v>15</v>
      </c>
      <c r="V591" s="46">
        <f>IFERROR(VLOOKUP(A591,'[1]MC Masterlist 2026-09-12'!$B:$M, 11, 0),0)</f>
        <v>15</v>
      </c>
      <c r="W591" s="46">
        <f t="shared" si="142"/>
        <v>30</v>
      </c>
      <c r="X591" s="46">
        <f t="shared" si="143"/>
        <v>28</v>
      </c>
      <c r="Y591" s="46">
        <f>IFERROR(IF(OR(C591="AREA I",C591="AREA V"),7,VLOOKUP(A591,'[1]MC Masterlist 2026-09-12'!$B:$M, 12, 0)),0)</f>
        <v>30</v>
      </c>
      <c r="Z591" s="46">
        <f t="shared" si="144"/>
        <v>2</v>
      </c>
      <c r="AA591" s="46">
        <f t="shared" si="145"/>
        <v>4</v>
      </c>
      <c r="AB591" s="46">
        <f t="shared" si="146"/>
        <v>3.7333333333333334</v>
      </c>
      <c r="AC591" s="46">
        <f t="shared" si="147"/>
        <v>4</v>
      </c>
      <c r="AD591" s="44" t="str">
        <f t="shared" si="148"/>
        <v>Stockout</v>
      </c>
      <c r="AE591" s="44" t="str">
        <f>IFERROR(VLOOKUP(A591,'[1]Re-order'!$A:$AA,27,0),"")</f>
        <v>Stockout</v>
      </c>
      <c r="AF591" s="46">
        <f t="shared" si="149"/>
        <v>4</v>
      </c>
      <c r="AG591" s="46">
        <f>SUMIFS('[1]Raw Inventory'!D:D,'[1]Raw Inventory'!C:C,"GREATWALL",'[1]Raw Inventory'!B:B,A591)</f>
        <v>58</v>
      </c>
      <c r="AH591" s="46">
        <f>SUMIFS('[1]Raw Inventory'!D:D,'[1]Raw Inventory'!C:C,"DUARTE",'[1]Raw Inventory'!B:B,A591)</f>
        <v>0</v>
      </c>
      <c r="AI591" s="46"/>
      <c r="AJ591" s="46"/>
      <c r="AK591" s="43"/>
      <c r="AL591" s="43"/>
      <c r="AM591" s="43"/>
      <c r="AN591" s="43"/>
      <c r="AO591" s="43"/>
      <c r="AP591" s="43"/>
      <c r="AQ591" s="43"/>
      <c r="AR591" s="43"/>
      <c r="AS591" s="43"/>
      <c r="AT591" s="43"/>
    </row>
    <row r="592" spans="1:46">
      <c r="A592" s="43" t="s">
        <v>40</v>
      </c>
      <c r="B592" s="43" t="s">
        <v>138</v>
      </c>
      <c r="C592" s="43" t="s">
        <v>137</v>
      </c>
      <c r="D592" s="44" t="s">
        <v>283</v>
      </c>
      <c r="E592" s="44">
        <v>39</v>
      </c>
      <c r="F592" s="44" t="s">
        <v>3</v>
      </c>
      <c r="G592" s="43" t="str">
        <f>IFERROR(VLOOKUP(A592,'[1]MC Masterlist 2026-09-12'!$B:$M, 3, 0),"")</f>
        <v>HONDA</v>
      </c>
      <c r="H592" s="45">
        <f>IFERROR(VLOOKUP(A592,'[1]MC Masterlist 2026-09-12'!$B:$M, 6, 0),"")</f>
        <v>56426</v>
      </c>
      <c r="I592" s="46">
        <v>0</v>
      </c>
      <c r="J592" s="46">
        <v>0</v>
      </c>
      <c r="K592" s="46">
        <v>0</v>
      </c>
      <c r="L592" s="46">
        <f t="shared" si="135"/>
        <v>0</v>
      </c>
      <c r="M592" s="46">
        <f t="shared" si="136"/>
        <v>0</v>
      </c>
      <c r="N592" s="45">
        <f t="shared" si="137"/>
        <v>0</v>
      </c>
      <c r="O592" s="45">
        <f t="shared" si="138"/>
        <v>0</v>
      </c>
      <c r="P592" s="46">
        <f t="shared" si="139"/>
        <v>0</v>
      </c>
      <c r="Q592" s="46">
        <v>45</v>
      </c>
      <c r="R592" s="45">
        <f t="shared" si="140"/>
        <v>2539170</v>
      </c>
      <c r="S592" s="46">
        <f t="shared" si="141"/>
        <v>0</v>
      </c>
      <c r="T592" s="46">
        <f>IFERROR(VLOOKUP(A592,'[1]Re-order'!$A:$Q,17,0),"")</f>
        <v>139.56521739130434</v>
      </c>
      <c r="U592" s="46">
        <f>IFERROR(VLOOKUP(A592,'[1]MC Masterlist 2026-09-12'!$B:$M, 10, 0),0)</f>
        <v>15</v>
      </c>
      <c r="V592" s="46">
        <f>IFERROR(VLOOKUP(A592,'[1]MC Masterlist 2026-09-12'!$B:$M, 11, 0),0)</f>
        <v>15</v>
      </c>
      <c r="W592" s="46">
        <f t="shared" si="142"/>
        <v>30</v>
      </c>
      <c r="X592" s="46">
        <f t="shared" si="143"/>
        <v>7</v>
      </c>
      <c r="Y592" s="46">
        <f>IFERROR(IF(OR(C592="AREA I",C592="AREA V"),7,VLOOKUP(A592,'[1]MC Masterlist 2026-09-12'!$B:$M, 12, 0)),0)</f>
        <v>7</v>
      </c>
      <c r="Z592" s="46">
        <f t="shared" si="144"/>
        <v>0</v>
      </c>
      <c r="AA592" s="46">
        <f t="shared" si="145"/>
        <v>0</v>
      </c>
      <c r="AB592" s="46">
        <f t="shared" si="146"/>
        <v>0</v>
      </c>
      <c r="AC592" s="46">
        <f t="shared" si="147"/>
        <v>0</v>
      </c>
      <c r="AD592" s="44" t="str">
        <f t="shared" si="148"/>
        <v>Over</v>
      </c>
      <c r="AE592" s="44" t="str">
        <f>IFERROR(VLOOKUP(A592,'[1]Re-order'!$A:$AA,27,0),"")</f>
        <v>Over</v>
      </c>
      <c r="AF592" s="46">
        <f t="shared" si="149"/>
        <v>-45</v>
      </c>
      <c r="AG592" s="46">
        <f>SUMIFS('[1]Raw Inventory'!D:D,'[1]Raw Inventory'!C:C,"GREATWALL",'[1]Raw Inventory'!B:B,A592)</f>
        <v>45</v>
      </c>
      <c r="AH592" s="46">
        <f>SUMIFS('[1]Raw Inventory'!D:D,'[1]Raw Inventory'!C:C,"DUARTE",'[1]Raw Inventory'!B:B,A592)</f>
        <v>0</v>
      </c>
      <c r="AI592" s="46"/>
      <c r="AJ592" s="46"/>
      <c r="AK592" s="43"/>
      <c r="AL592" s="43"/>
      <c r="AM592" s="43"/>
      <c r="AN592" s="43"/>
      <c r="AO592" s="43"/>
      <c r="AP592" s="43"/>
      <c r="AQ592" s="43"/>
      <c r="AR592" s="43"/>
      <c r="AS592" s="43"/>
      <c r="AT592" s="43"/>
    </row>
    <row r="593" spans="1:46">
      <c r="A593" s="43" t="s">
        <v>64</v>
      </c>
      <c r="B593" s="43" t="s">
        <v>143</v>
      </c>
      <c r="C593" s="43" t="s">
        <v>137</v>
      </c>
      <c r="D593" s="44" t="s">
        <v>224</v>
      </c>
      <c r="E593" s="44">
        <v>11</v>
      </c>
      <c r="F593" s="44" t="s">
        <v>2</v>
      </c>
      <c r="G593" s="43" t="str">
        <f>IFERROR(VLOOKUP(A593,'[1]MC Masterlist 2026-09-12'!$B:$M, 3, 0),"")</f>
        <v>HONDA</v>
      </c>
      <c r="H593" s="45">
        <f>IFERROR(VLOOKUP(A593,'[1]MC Masterlist 2026-09-12'!$B:$M, 6, 0),"")</f>
        <v>73170</v>
      </c>
      <c r="I593" s="46">
        <v>1</v>
      </c>
      <c r="J593" s="46">
        <v>4</v>
      </c>
      <c r="K593" s="46">
        <v>1</v>
      </c>
      <c r="L593" s="46">
        <f t="shared" si="135"/>
        <v>6</v>
      </c>
      <c r="M593" s="46">
        <f t="shared" si="136"/>
        <v>2</v>
      </c>
      <c r="N593" s="45">
        <f t="shared" si="137"/>
        <v>439020</v>
      </c>
      <c r="O593" s="45">
        <f t="shared" si="138"/>
        <v>146340</v>
      </c>
      <c r="P593" s="46">
        <f t="shared" si="139"/>
        <v>6.6666666666666666E-2</v>
      </c>
      <c r="Q593" s="46">
        <v>3</v>
      </c>
      <c r="R593" s="45">
        <f t="shared" si="140"/>
        <v>219510</v>
      </c>
      <c r="S593" s="46">
        <f t="shared" si="141"/>
        <v>45</v>
      </c>
      <c r="T593" s="46">
        <f>IFERROR(VLOOKUP(A593,'[1]Re-order'!$A:$Q,17,0),"")</f>
        <v>76.153846153846146</v>
      </c>
      <c r="U593" s="46">
        <f>IFERROR(VLOOKUP(A593,'[1]MC Masterlist 2026-09-12'!$B:$M, 10, 0),0)</f>
        <v>15</v>
      </c>
      <c r="V593" s="46">
        <f>IFERROR(VLOOKUP(A593,'[1]MC Masterlist 2026-09-12'!$B:$M, 11, 0),0)</f>
        <v>15</v>
      </c>
      <c r="W593" s="46">
        <f t="shared" si="142"/>
        <v>30</v>
      </c>
      <c r="X593" s="46">
        <f t="shared" si="143"/>
        <v>6</v>
      </c>
      <c r="Y593" s="46">
        <f>IFERROR(IF(OR(C593="AREA I",C593="AREA V"),7,VLOOKUP(A593,'[1]MC Masterlist 2026-09-12'!$B:$M, 12, 0)),0)</f>
        <v>7</v>
      </c>
      <c r="Z593" s="46">
        <f t="shared" si="144"/>
        <v>1</v>
      </c>
      <c r="AA593" s="46">
        <f t="shared" si="145"/>
        <v>2</v>
      </c>
      <c r="AB593" s="46">
        <f t="shared" si="146"/>
        <v>0.4</v>
      </c>
      <c r="AC593" s="46">
        <f t="shared" si="147"/>
        <v>0.46666666666666667</v>
      </c>
      <c r="AD593" s="44" t="str">
        <f t="shared" si="148"/>
        <v>Over</v>
      </c>
      <c r="AE593" s="44" t="str">
        <f>IFERROR(VLOOKUP(A593,'[1]Re-order'!$A:$AA,27,0),"")</f>
        <v/>
      </c>
      <c r="AF593" s="46">
        <f t="shared" si="149"/>
        <v>-2.5333333333333332</v>
      </c>
      <c r="AG593" s="46">
        <f>SUMIFS('[1]Raw Inventory'!D:D,'[1]Raw Inventory'!C:C,"GREATWALL",'[1]Raw Inventory'!B:B,A593)</f>
        <v>13</v>
      </c>
      <c r="AH593" s="46">
        <f>SUMIFS('[1]Raw Inventory'!D:D,'[1]Raw Inventory'!C:C,"DUARTE",'[1]Raw Inventory'!B:B,A593)</f>
        <v>0</v>
      </c>
      <c r="AI593" s="46"/>
      <c r="AJ593" s="46"/>
      <c r="AK593" s="43"/>
      <c r="AL593" s="43"/>
      <c r="AM593" s="43"/>
      <c r="AN593" s="43"/>
      <c r="AO593" s="43"/>
      <c r="AP593" s="43"/>
      <c r="AQ593" s="43"/>
      <c r="AR593" s="43"/>
      <c r="AS593" s="43"/>
      <c r="AT593" s="43"/>
    </row>
    <row r="594" spans="1:46">
      <c r="A594" s="43" t="s">
        <v>72</v>
      </c>
      <c r="B594" s="43" t="s">
        <v>141</v>
      </c>
      <c r="C594" s="43" t="s">
        <v>137</v>
      </c>
      <c r="D594" s="44" t="s">
        <v>265</v>
      </c>
      <c r="E594" s="44">
        <v>28</v>
      </c>
      <c r="F594" s="44" t="s">
        <v>3</v>
      </c>
      <c r="G594" s="43" t="str">
        <f>IFERROR(VLOOKUP(A594,'[1]MC Masterlist 2026-09-12'!$B:$M, 3, 0),"")</f>
        <v>KAWASAKI</v>
      </c>
      <c r="H594" s="45">
        <f>IFERROR(VLOOKUP(A594,'[1]MC Masterlist 2026-09-12'!$B:$M, 6, 0),"")</f>
        <v>52948</v>
      </c>
      <c r="I594" s="46">
        <v>0</v>
      </c>
      <c r="J594" s="46">
        <v>0</v>
      </c>
      <c r="K594" s="46">
        <v>0</v>
      </c>
      <c r="L594" s="46">
        <f t="shared" si="135"/>
        <v>0</v>
      </c>
      <c r="M594" s="46">
        <f t="shared" si="136"/>
        <v>0</v>
      </c>
      <c r="N594" s="45">
        <f t="shared" si="137"/>
        <v>0</v>
      </c>
      <c r="O594" s="45">
        <f t="shared" si="138"/>
        <v>0</v>
      </c>
      <c r="P594" s="46">
        <f t="shared" si="139"/>
        <v>0</v>
      </c>
      <c r="Q594" s="46">
        <v>1</v>
      </c>
      <c r="R594" s="45">
        <f t="shared" si="140"/>
        <v>52948</v>
      </c>
      <c r="S594" s="46">
        <f t="shared" si="141"/>
        <v>0</v>
      </c>
      <c r="T594" s="46">
        <f>IFERROR(VLOOKUP(A594,'[1]Re-order'!$A:$Q,17,0),"")</f>
        <v>378</v>
      </c>
      <c r="U594" s="46">
        <f>IFERROR(VLOOKUP(A594,'[1]MC Masterlist 2026-09-12'!$B:$M, 10, 0),0)</f>
        <v>15</v>
      </c>
      <c r="V594" s="46">
        <f>IFERROR(VLOOKUP(A594,'[1]MC Masterlist 2026-09-12'!$B:$M, 11, 0),0)</f>
        <v>15</v>
      </c>
      <c r="W594" s="46">
        <f t="shared" si="142"/>
        <v>30</v>
      </c>
      <c r="X594" s="46">
        <f t="shared" si="143"/>
        <v>7</v>
      </c>
      <c r="Y594" s="46">
        <f>IFERROR(IF(OR(C594="AREA I",C594="AREA V"),7,VLOOKUP(A594,'[1]MC Masterlist 2026-09-12'!$B:$M, 12, 0)),0)</f>
        <v>7</v>
      </c>
      <c r="Z594" s="46">
        <f t="shared" si="144"/>
        <v>0</v>
      </c>
      <c r="AA594" s="46">
        <f t="shared" si="145"/>
        <v>0</v>
      </c>
      <c r="AB594" s="46">
        <f t="shared" si="146"/>
        <v>0</v>
      </c>
      <c r="AC594" s="46">
        <f t="shared" si="147"/>
        <v>0</v>
      </c>
      <c r="AD594" s="44" t="str">
        <f t="shared" si="148"/>
        <v>Over</v>
      </c>
      <c r="AE594" s="44" t="str">
        <f>IFERROR(VLOOKUP(A594,'[1]Re-order'!$A:$AA,27,0),"")</f>
        <v>Over</v>
      </c>
      <c r="AF594" s="46">
        <f t="shared" si="149"/>
        <v>-1</v>
      </c>
      <c r="AG594" s="46">
        <f>SUMIFS('[1]Raw Inventory'!D:D,'[1]Raw Inventory'!C:C,"GREATWALL",'[1]Raw Inventory'!B:B,A594)</f>
        <v>15</v>
      </c>
      <c r="AH594" s="46">
        <f>SUMIFS('[1]Raw Inventory'!D:D,'[1]Raw Inventory'!C:C,"DUARTE",'[1]Raw Inventory'!B:B,A594)</f>
        <v>0</v>
      </c>
      <c r="AI594" s="46"/>
      <c r="AJ594" s="46"/>
      <c r="AK594" s="43"/>
      <c r="AL594" s="43"/>
      <c r="AM594" s="43"/>
      <c r="AN594" s="43"/>
      <c r="AO594" s="43"/>
      <c r="AP594" s="43"/>
      <c r="AQ594" s="43"/>
      <c r="AR594" s="43"/>
      <c r="AS594" s="43"/>
      <c r="AT594" s="43"/>
    </row>
    <row r="595" spans="1:46">
      <c r="A595" s="43" t="s">
        <v>14</v>
      </c>
      <c r="B595" s="43" t="s">
        <v>248</v>
      </c>
      <c r="C595" s="43"/>
      <c r="D595" s="44" t="s">
        <v>284</v>
      </c>
      <c r="E595" s="44">
        <v>1</v>
      </c>
      <c r="F595" s="44" t="s">
        <v>0</v>
      </c>
      <c r="G595" s="43" t="str">
        <f>IFERROR(VLOOKUP(A595,'[1]MC Masterlist 2026-09-12'!$B:$M, 3, 0),"")</f>
        <v>HONDA</v>
      </c>
      <c r="H595" s="45">
        <f>IFERROR(VLOOKUP(A595,'[1]MC Masterlist 2026-09-12'!$B:$M, 6, 0),"")</f>
        <v>80070</v>
      </c>
      <c r="I595" s="46">
        <v>0</v>
      </c>
      <c r="J595" s="46">
        <v>0</v>
      </c>
      <c r="K595" s="46">
        <v>0</v>
      </c>
      <c r="L595" s="46">
        <f t="shared" si="135"/>
        <v>0</v>
      </c>
      <c r="M595" s="46">
        <f t="shared" si="136"/>
        <v>0</v>
      </c>
      <c r="N595" s="45">
        <f t="shared" si="137"/>
        <v>0</v>
      </c>
      <c r="O595" s="45">
        <f t="shared" si="138"/>
        <v>0</v>
      </c>
      <c r="P595" s="46">
        <f t="shared" si="139"/>
        <v>0</v>
      </c>
      <c r="Q595" s="46">
        <v>2</v>
      </c>
      <c r="R595" s="45">
        <f t="shared" si="140"/>
        <v>160140</v>
      </c>
      <c r="S595" s="46">
        <f t="shared" si="141"/>
        <v>0</v>
      </c>
      <c r="T595" s="46">
        <f>IFERROR(VLOOKUP(A595,'[1]Re-order'!$A:$Q,17,0),"")</f>
        <v>20.105787181082761</v>
      </c>
      <c r="U595" s="46">
        <f>IFERROR(VLOOKUP(A595,'[1]MC Masterlist 2026-09-12'!$B:$M, 10, 0),0)</f>
        <v>15</v>
      </c>
      <c r="V595" s="46">
        <f>IFERROR(VLOOKUP(A595,'[1]MC Masterlist 2026-09-12'!$B:$M, 11, 0),0)</f>
        <v>15</v>
      </c>
      <c r="W595" s="46">
        <f t="shared" si="142"/>
        <v>30</v>
      </c>
      <c r="X595" s="46">
        <f t="shared" si="143"/>
        <v>30</v>
      </c>
      <c r="Y595" s="46">
        <f>IFERROR(IF(OR(C595="AREA I",C595="AREA V"),7,VLOOKUP(A595,'[1]MC Masterlist 2026-09-12'!$B:$M, 12, 0)),0)</f>
        <v>30</v>
      </c>
      <c r="Z595" s="46">
        <f t="shared" si="144"/>
        <v>0</v>
      </c>
      <c r="AA595" s="46">
        <f t="shared" si="145"/>
        <v>0</v>
      </c>
      <c r="AB595" s="46">
        <f t="shared" si="146"/>
        <v>0</v>
      </c>
      <c r="AC595" s="46">
        <f t="shared" si="147"/>
        <v>0</v>
      </c>
      <c r="AD595" s="44" t="str">
        <f t="shared" si="148"/>
        <v>Over</v>
      </c>
      <c r="AE595" s="44" t="str">
        <f>IFERROR(VLOOKUP(A595,'[1]Re-order'!$A:$AA,27,0),"")</f>
        <v>Stockout</v>
      </c>
      <c r="AF595" s="46">
        <f t="shared" si="149"/>
        <v>-2</v>
      </c>
      <c r="AG595" s="46">
        <f>SUMIFS('[1]Raw Inventory'!D:D,'[1]Raw Inventory'!C:C,"GREATWALL",'[1]Raw Inventory'!B:B,A595)</f>
        <v>176</v>
      </c>
      <c r="AH595" s="46">
        <f>SUMIFS('[1]Raw Inventory'!D:D,'[1]Raw Inventory'!C:C,"DUARTE",'[1]Raw Inventory'!B:B,A595)</f>
        <v>0</v>
      </c>
      <c r="AI595" s="46"/>
      <c r="AJ595" s="46"/>
      <c r="AK595" s="43"/>
      <c r="AL595" s="43"/>
      <c r="AM595" s="43"/>
      <c r="AN595" s="43"/>
      <c r="AO595" s="43"/>
      <c r="AP595" s="43"/>
      <c r="AQ595" s="43"/>
      <c r="AR595" s="43"/>
      <c r="AS595" s="43"/>
      <c r="AT595" s="43"/>
    </row>
    <row r="596" spans="1:46">
      <c r="A596" s="43" t="s">
        <v>17</v>
      </c>
      <c r="B596" s="43" t="s">
        <v>146</v>
      </c>
      <c r="C596" s="43" t="s">
        <v>137</v>
      </c>
      <c r="D596" s="44" t="s">
        <v>254</v>
      </c>
      <c r="E596" s="44">
        <v>8</v>
      </c>
      <c r="F596" s="44" t="s">
        <v>2</v>
      </c>
      <c r="G596" s="43" t="str">
        <f>IFERROR(VLOOKUP(A596,'[1]MC Masterlist 2026-09-12'!$B:$M, 3, 0),"")</f>
        <v>HONDA</v>
      </c>
      <c r="H596" s="45">
        <f>IFERROR(VLOOKUP(A596,'[1]MC Masterlist 2026-09-12'!$B:$M, 6, 0),"")</f>
        <v>140790</v>
      </c>
      <c r="I596" s="46">
        <v>1</v>
      </c>
      <c r="J596" s="46">
        <v>0</v>
      </c>
      <c r="K596" s="46">
        <v>2</v>
      </c>
      <c r="L596" s="46">
        <f t="shared" si="135"/>
        <v>3</v>
      </c>
      <c r="M596" s="46">
        <f t="shared" si="136"/>
        <v>1</v>
      </c>
      <c r="N596" s="45">
        <f t="shared" si="137"/>
        <v>422370</v>
      </c>
      <c r="O596" s="45">
        <f t="shared" si="138"/>
        <v>140790</v>
      </c>
      <c r="P596" s="46">
        <f t="shared" si="139"/>
        <v>3.3333333333333333E-2</v>
      </c>
      <c r="Q596" s="46">
        <v>2</v>
      </c>
      <c r="R596" s="45">
        <f t="shared" si="140"/>
        <v>281580</v>
      </c>
      <c r="S596" s="46">
        <f t="shared" si="141"/>
        <v>60</v>
      </c>
      <c r="T596" s="46">
        <f>IFERROR(VLOOKUP(A596,'[1]Re-order'!$A:$Q,17,0),"")</f>
        <v>43.663366336633665</v>
      </c>
      <c r="U596" s="46">
        <f>IFERROR(VLOOKUP(A596,'[1]MC Masterlist 2026-09-12'!$B:$M, 10, 0),0)</f>
        <v>15</v>
      </c>
      <c r="V596" s="46">
        <f>IFERROR(VLOOKUP(A596,'[1]MC Masterlist 2026-09-12'!$B:$M, 11, 0),0)</f>
        <v>15</v>
      </c>
      <c r="W596" s="46">
        <f t="shared" si="142"/>
        <v>30</v>
      </c>
      <c r="X596" s="46">
        <f t="shared" si="143"/>
        <v>6.5</v>
      </c>
      <c r="Y596" s="46">
        <f>IFERROR(IF(OR(C596="AREA I",C596="AREA V"),7,VLOOKUP(A596,'[1]MC Masterlist 2026-09-12'!$B:$M, 12, 0)),0)</f>
        <v>7</v>
      </c>
      <c r="Z596" s="46">
        <f t="shared" si="144"/>
        <v>0.5</v>
      </c>
      <c r="AA596" s="46">
        <f t="shared" si="145"/>
        <v>1</v>
      </c>
      <c r="AB596" s="46">
        <f t="shared" si="146"/>
        <v>0.21666666666666667</v>
      </c>
      <c r="AC596" s="46">
        <f t="shared" si="147"/>
        <v>0.23333333333333334</v>
      </c>
      <c r="AD596" s="44" t="str">
        <f t="shared" si="148"/>
        <v>Over</v>
      </c>
      <c r="AE596" s="44" t="str">
        <f>IFERROR(VLOOKUP(A596,'[1]Re-order'!$A:$AA,27,0),"")</f>
        <v>Re-order</v>
      </c>
      <c r="AF596" s="46">
        <f t="shared" si="149"/>
        <v>-1.7666666666666666</v>
      </c>
      <c r="AG596" s="46">
        <f>SUMIFS('[1]Raw Inventory'!D:D,'[1]Raw Inventory'!C:C,"GREATWALL",'[1]Raw Inventory'!B:B,A596)</f>
        <v>12</v>
      </c>
      <c r="AH596" s="46">
        <f>SUMIFS('[1]Raw Inventory'!D:D,'[1]Raw Inventory'!C:C,"DUARTE",'[1]Raw Inventory'!B:B,A596)</f>
        <v>0</v>
      </c>
      <c r="AI596" s="46"/>
      <c r="AJ596" s="46"/>
      <c r="AK596" s="43"/>
      <c r="AL596" s="43"/>
      <c r="AM596" s="43"/>
      <c r="AN596" s="43"/>
      <c r="AO596" s="43"/>
      <c r="AP596" s="43"/>
      <c r="AQ596" s="43"/>
      <c r="AR596" s="43"/>
      <c r="AS596" s="43"/>
      <c r="AT596" s="43"/>
    </row>
    <row r="597" spans="1:46">
      <c r="A597" s="43" t="s">
        <v>60</v>
      </c>
      <c r="B597" s="43" t="s">
        <v>162</v>
      </c>
      <c r="C597" s="43" t="s">
        <v>159</v>
      </c>
      <c r="D597" s="44" t="s">
        <v>242</v>
      </c>
      <c r="E597" s="44">
        <v>26</v>
      </c>
      <c r="F597" s="44" t="s">
        <v>3</v>
      </c>
      <c r="G597" s="43" t="str">
        <f>IFERROR(VLOOKUP(A597,'[1]MC Masterlist 2026-09-12'!$B:$M, 3, 0),"")</f>
        <v>HONDA</v>
      </c>
      <c r="H597" s="45">
        <f>IFERROR(VLOOKUP(A597,'[1]MC Masterlist 2026-09-12'!$B:$M, 6, 0),"")</f>
        <v>61670</v>
      </c>
      <c r="I597" s="46">
        <v>0</v>
      </c>
      <c r="J597" s="46">
        <v>0</v>
      </c>
      <c r="K597" s="46">
        <v>0</v>
      </c>
      <c r="L597" s="46">
        <f t="shared" si="135"/>
        <v>0</v>
      </c>
      <c r="M597" s="46">
        <f t="shared" si="136"/>
        <v>0</v>
      </c>
      <c r="N597" s="45">
        <f t="shared" si="137"/>
        <v>0</v>
      </c>
      <c r="O597" s="45">
        <f t="shared" si="138"/>
        <v>0</v>
      </c>
      <c r="P597" s="46">
        <f t="shared" si="139"/>
        <v>0</v>
      </c>
      <c r="Q597" s="46">
        <v>2</v>
      </c>
      <c r="R597" s="45">
        <f t="shared" si="140"/>
        <v>123340</v>
      </c>
      <c r="S597" s="46">
        <f t="shared" si="141"/>
        <v>0</v>
      </c>
      <c r="T597" s="46">
        <f>IFERROR(VLOOKUP(A597,'[1]Re-order'!$A:$Q,17,0),"")</f>
        <v>300</v>
      </c>
      <c r="U597" s="46">
        <f>IFERROR(VLOOKUP(A597,'[1]MC Masterlist 2026-09-12'!$B:$M, 10, 0),0)</f>
        <v>15</v>
      </c>
      <c r="V597" s="46">
        <f>IFERROR(VLOOKUP(A597,'[1]MC Masterlist 2026-09-12'!$B:$M, 11, 0),0)</f>
        <v>15</v>
      </c>
      <c r="W597" s="46">
        <f t="shared" si="142"/>
        <v>30</v>
      </c>
      <c r="X597" s="46">
        <f t="shared" si="143"/>
        <v>30</v>
      </c>
      <c r="Y597" s="46">
        <f>IFERROR(IF(OR(C597="AREA I",C597="AREA V"),7,VLOOKUP(A597,'[1]MC Masterlist 2026-09-12'!$B:$M, 12, 0)),0)</f>
        <v>30</v>
      </c>
      <c r="Z597" s="46">
        <f t="shared" si="144"/>
        <v>0</v>
      </c>
      <c r="AA597" s="46">
        <f t="shared" si="145"/>
        <v>0</v>
      </c>
      <c r="AB597" s="46">
        <f t="shared" si="146"/>
        <v>0</v>
      </c>
      <c r="AC597" s="46">
        <f t="shared" si="147"/>
        <v>0</v>
      </c>
      <c r="AD597" s="44" t="str">
        <f t="shared" si="148"/>
        <v>Over</v>
      </c>
      <c r="AE597" s="44" t="str">
        <f>IFERROR(VLOOKUP(A597,'[1]Re-order'!$A:$AA,27,0),"")</f>
        <v>Over</v>
      </c>
      <c r="AF597" s="46">
        <f t="shared" si="149"/>
        <v>-2</v>
      </c>
      <c r="AG597" s="46">
        <f>SUMIFS('[1]Raw Inventory'!D:D,'[1]Raw Inventory'!C:C,"GREATWALL",'[1]Raw Inventory'!B:B,A597)</f>
        <v>0</v>
      </c>
      <c r="AH597" s="46">
        <f>SUMIFS('[1]Raw Inventory'!D:D,'[1]Raw Inventory'!C:C,"DUARTE",'[1]Raw Inventory'!B:B,A597)</f>
        <v>0</v>
      </c>
      <c r="AI597" s="46"/>
      <c r="AJ597" s="46"/>
      <c r="AK597" s="43"/>
      <c r="AL597" s="43"/>
      <c r="AM597" s="43"/>
      <c r="AN597" s="43"/>
      <c r="AO597" s="43"/>
      <c r="AP597" s="43"/>
      <c r="AQ597" s="43"/>
      <c r="AR597" s="43"/>
      <c r="AS597" s="43"/>
      <c r="AT597" s="43"/>
    </row>
    <row r="598" spans="1:46">
      <c r="A598" s="43" t="s">
        <v>48</v>
      </c>
      <c r="B598" s="43" t="s">
        <v>29</v>
      </c>
      <c r="C598" s="43" t="s">
        <v>1</v>
      </c>
      <c r="D598" s="44" t="s">
        <v>222</v>
      </c>
      <c r="E598" s="44">
        <v>23</v>
      </c>
      <c r="F598" s="44" t="s">
        <v>2</v>
      </c>
      <c r="G598" s="43" t="str">
        <f>IFERROR(VLOOKUP(A598,'[1]MC Masterlist 2026-09-12'!$B:$M, 3, 0),"")</f>
        <v>SUZUKI</v>
      </c>
      <c r="H598" s="45">
        <f>IFERROR(VLOOKUP(A598,'[1]MC Masterlist 2026-09-12'!$B:$M, 6, 0),"")</f>
        <v>82687</v>
      </c>
      <c r="I598" s="46">
        <v>1</v>
      </c>
      <c r="J598" s="46">
        <v>1</v>
      </c>
      <c r="K598" s="46">
        <v>0</v>
      </c>
      <c r="L598" s="46">
        <f t="shared" si="135"/>
        <v>2</v>
      </c>
      <c r="M598" s="46">
        <f t="shared" si="136"/>
        <v>0.66666666666666663</v>
      </c>
      <c r="N598" s="45">
        <f t="shared" si="137"/>
        <v>165374</v>
      </c>
      <c r="O598" s="45">
        <f t="shared" si="138"/>
        <v>55124.666666666664</v>
      </c>
      <c r="P598" s="46">
        <f t="shared" si="139"/>
        <v>2.222222222222222E-2</v>
      </c>
      <c r="Q598" s="46"/>
      <c r="R598" s="45">
        <f t="shared" si="140"/>
        <v>0</v>
      </c>
      <c r="S598" s="46">
        <f t="shared" si="141"/>
        <v>0</v>
      </c>
      <c r="T598" s="46">
        <f>IFERROR(VLOOKUP(A598,'[1]Re-order'!$A:$Q,17,0),"")</f>
        <v>303.75</v>
      </c>
      <c r="U598" s="46">
        <f>IFERROR(VLOOKUP(A598,'[1]MC Masterlist 2026-09-12'!$B:$M, 10, 0),0)</f>
        <v>15</v>
      </c>
      <c r="V598" s="46">
        <f>IFERROR(VLOOKUP(A598,'[1]MC Masterlist 2026-09-12'!$B:$M, 11, 0),0)</f>
        <v>15</v>
      </c>
      <c r="W598" s="46">
        <f t="shared" si="142"/>
        <v>30</v>
      </c>
      <c r="X598" s="46">
        <f t="shared" si="143"/>
        <v>6.666666666666667</v>
      </c>
      <c r="Y598" s="46">
        <f>IFERROR(IF(OR(C598="AREA I",C598="AREA V"),7,VLOOKUP(A598,'[1]MC Masterlist 2026-09-12'!$B:$M, 12, 0)),0)</f>
        <v>7</v>
      </c>
      <c r="Z598" s="46">
        <f t="shared" si="144"/>
        <v>0.33333333333333331</v>
      </c>
      <c r="AA598" s="46">
        <f t="shared" si="145"/>
        <v>0.66666666666666663</v>
      </c>
      <c r="AB598" s="46">
        <f t="shared" si="146"/>
        <v>0.14814814814814814</v>
      </c>
      <c r="AC598" s="46">
        <f t="shared" si="147"/>
        <v>0.15555555555555553</v>
      </c>
      <c r="AD598" s="44" t="str">
        <f t="shared" si="148"/>
        <v>Stockout</v>
      </c>
      <c r="AE598" s="44" t="str">
        <f>IFERROR(VLOOKUP(A598,'[1]Re-order'!$A:$AA,27,0),"")</f>
        <v>Over</v>
      </c>
      <c r="AF598" s="46">
        <f t="shared" si="149"/>
        <v>0.15555555555555553</v>
      </c>
      <c r="AG598" s="46">
        <f>SUMIFS('[1]Raw Inventory'!D:D,'[1]Raw Inventory'!C:C,"GREATWALL",'[1]Raw Inventory'!B:B,A598)</f>
        <v>10</v>
      </c>
      <c r="AH598" s="46">
        <f>SUMIFS('[1]Raw Inventory'!D:D,'[1]Raw Inventory'!C:C,"DUARTE",'[1]Raw Inventory'!B:B,A598)</f>
        <v>0</v>
      </c>
      <c r="AI598" s="46"/>
      <c r="AJ598" s="46"/>
      <c r="AK598" s="43"/>
      <c r="AL598" s="43"/>
      <c r="AM598" s="43"/>
      <c r="AN598" s="43"/>
      <c r="AO598" s="43"/>
      <c r="AP598" s="43"/>
      <c r="AQ598" s="43"/>
      <c r="AR598" s="43"/>
      <c r="AS598" s="43"/>
      <c r="AT598" s="43"/>
    </row>
    <row r="599" spans="1:46">
      <c r="A599" s="43" t="s">
        <v>40</v>
      </c>
      <c r="B599" s="43" t="s">
        <v>141</v>
      </c>
      <c r="C599" s="43" t="s">
        <v>137</v>
      </c>
      <c r="D599" s="44" t="s">
        <v>237</v>
      </c>
      <c r="E599" s="44">
        <v>28</v>
      </c>
      <c r="F599" s="44" t="s">
        <v>3</v>
      </c>
      <c r="G599" s="43" t="str">
        <f>IFERROR(VLOOKUP(A599,'[1]MC Masterlist 2026-09-12'!$B:$M, 3, 0),"")</f>
        <v>HONDA</v>
      </c>
      <c r="H599" s="45">
        <f>IFERROR(VLOOKUP(A599,'[1]MC Masterlist 2026-09-12'!$B:$M, 6, 0),"")</f>
        <v>56426</v>
      </c>
      <c r="I599" s="46">
        <v>0</v>
      </c>
      <c r="J599" s="46">
        <v>0</v>
      </c>
      <c r="K599" s="46">
        <v>0</v>
      </c>
      <c r="L599" s="46">
        <f t="shared" si="135"/>
        <v>0</v>
      </c>
      <c r="M599" s="46">
        <f t="shared" si="136"/>
        <v>0</v>
      </c>
      <c r="N599" s="45">
        <f t="shared" si="137"/>
        <v>0</v>
      </c>
      <c r="O599" s="45">
        <f t="shared" si="138"/>
        <v>0</v>
      </c>
      <c r="P599" s="46">
        <f t="shared" si="139"/>
        <v>0</v>
      </c>
      <c r="Q599" s="46">
        <v>2</v>
      </c>
      <c r="R599" s="45">
        <f t="shared" si="140"/>
        <v>112852</v>
      </c>
      <c r="S599" s="46">
        <f t="shared" si="141"/>
        <v>0</v>
      </c>
      <c r="T599" s="46">
        <f>IFERROR(VLOOKUP(A599,'[1]Re-order'!$A:$Q,17,0),"")</f>
        <v>139.56521739130434</v>
      </c>
      <c r="U599" s="46">
        <f>IFERROR(VLOOKUP(A599,'[1]MC Masterlist 2026-09-12'!$B:$M, 10, 0),0)</f>
        <v>15</v>
      </c>
      <c r="V599" s="46">
        <f>IFERROR(VLOOKUP(A599,'[1]MC Masterlist 2026-09-12'!$B:$M, 11, 0),0)</f>
        <v>15</v>
      </c>
      <c r="W599" s="46">
        <f t="shared" si="142"/>
        <v>30</v>
      </c>
      <c r="X599" s="46">
        <f t="shared" si="143"/>
        <v>7</v>
      </c>
      <c r="Y599" s="46">
        <f>IFERROR(IF(OR(C599="AREA I",C599="AREA V"),7,VLOOKUP(A599,'[1]MC Masterlist 2026-09-12'!$B:$M, 12, 0)),0)</f>
        <v>7</v>
      </c>
      <c r="Z599" s="46">
        <f t="shared" si="144"/>
        <v>0</v>
      </c>
      <c r="AA599" s="46">
        <f t="shared" si="145"/>
        <v>0</v>
      </c>
      <c r="AB599" s="46">
        <f t="shared" si="146"/>
        <v>0</v>
      </c>
      <c r="AC599" s="46">
        <f t="shared" si="147"/>
        <v>0</v>
      </c>
      <c r="AD599" s="44" t="str">
        <f t="shared" si="148"/>
        <v>Over</v>
      </c>
      <c r="AE599" s="44" t="str">
        <f>IFERROR(VLOOKUP(A599,'[1]Re-order'!$A:$AA,27,0),"")</f>
        <v>Over</v>
      </c>
      <c r="AF599" s="46">
        <f t="shared" si="149"/>
        <v>-2</v>
      </c>
      <c r="AG599" s="46">
        <f>SUMIFS('[1]Raw Inventory'!D:D,'[1]Raw Inventory'!C:C,"GREATWALL",'[1]Raw Inventory'!B:B,A599)</f>
        <v>45</v>
      </c>
      <c r="AH599" s="46">
        <f>SUMIFS('[1]Raw Inventory'!D:D,'[1]Raw Inventory'!C:C,"DUARTE",'[1]Raw Inventory'!B:B,A599)</f>
        <v>0</v>
      </c>
      <c r="AI599" s="46"/>
      <c r="AJ599" s="46"/>
      <c r="AK599" s="43"/>
      <c r="AL599" s="43"/>
      <c r="AM599" s="43"/>
      <c r="AN599" s="43"/>
      <c r="AO599" s="43"/>
      <c r="AP599" s="43"/>
      <c r="AQ599" s="43"/>
      <c r="AR599" s="43"/>
      <c r="AS599" s="43"/>
      <c r="AT599" s="43"/>
    </row>
    <row r="600" spans="1:46">
      <c r="A600" s="43" t="s">
        <v>36</v>
      </c>
      <c r="B600" s="43" t="s">
        <v>93</v>
      </c>
      <c r="C600" s="43" t="s">
        <v>90</v>
      </c>
      <c r="D600" s="44" t="s">
        <v>226</v>
      </c>
      <c r="E600" s="44">
        <v>21</v>
      </c>
      <c r="F600" s="44" t="s">
        <v>3</v>
      </c>
      <c r="G600" s="43" t="str">
        <f>IFERROR(VLOOKUP(A600,'[1]MC Masterlist 2026-09-12'!$B:$M, 3, 0),"")</f>
        <v>HONDA</v>
      </c>
      <c r="H600" s="45">
        <f>IFERROR(VLOOKUP(A600,'[1]MC Masterlist 2026-09-12'!$B:$M, 6, 0),"")</f>
        <v>76850</v>
      </c>
      <c r="I600" s="46">
        <v>0</v>
      </c>
      <c r="J600" s="46">
        <v>0</v>
      </c>
      <c r="K600" s="46">
        <v>0</v>
      </c>
      <c r="L600" s="46">
        <f t="shared" si="135"/>
        <v>0</v>
      </c>
      <c r="M600" s="46">
        <f t="shared" si="136"/>
        <v>0</v>
      </c>
      <c r="N600" s="45">
        <f t="shared" si="137"/>
        <v>0</v>
      </c>
      <c r="O600" s="45">
        <f t="shared" si="138"/>
        <v>0</v>
      </c>
      <c r="P600" s="46">
        <f t="shared" si="139"/>
        <v>0</v>
      </c>
      <c r="Q600" s="46">
        <v>1</v>
      </c>
      <c r="R600" s="45">
        <f t="shared" si="140"/>
        <v>76850</v>
      </c>
      <c r="S600" s="46">
        <f t="shared" si="141"/>
        <v>0</v>
      </c>
      <c r="T600" s="46">
        <f>IFERROR(VLOOKUP(A600,'[1]Re-order'!$A:$Q,17,0),"")</f>
        <v>137.24999999999997</v>
      </c>
      <c r="U600" s="46">
        <f>IFERROR(VLOOKUP(A600,'[1]MC Masterlist 2026-09-12'!$B:$M, 10, 0),0)</f>
        <v>15</v>
      </c>
      <c r="V600" s="46">
        <f>IFERROR(VLOOKUP(A600,'[1]MC Masterlist 2026-09-12'!$B:$M, 11, 0),0)</f>
        <v>15</v>
      </c>
      <c r="W600" s="46">
        <f t="shared" si="142"/>
        <v>30</v>
      </c>
      <c r="X600" s="46">
        <f t="shared" si="143"/>
        <v>30</v>
      </c>
      <c r="Y600" s="46">
        <f>IFERROR(IF(OR(C600="AREA I",C600="AREA V"),7,VLOOKUP(A600,'[1]MC Masterlist 2026-09-12'!$B:$M, 12, 0)),0)</f>
        <v>30</v>
      </c>
      <c r="Z600" s="46">
        <f t="shared" si="144"/>
        <v>0</v>
      </c>
      <c r="AA600" s="46">
        <f t="shared" si="145"/>
        <v>0</v>
      </c>
      <c r="AB600" s="46">
        <f t="shared" si="146"/>
        <v>0</v>
      </c>
      <c r="AC600" s="46">
        <f t="shared" si="147"/>
        <v>0</v>
      </c>
      <c r="AD600" s="44" t="str">
        <f t="shared" si="148"/>
        <v>Over</v>
      </c>
      <c r="AE600" s="44" t="str">
        <f>IFERROR(VLOOKUP(A600,'[1]Re-order'!$A:$AA,27,0),"")</f>
        <v>Over</v>
      </c>
      <c r="AF600" s="46">
        <f t="shared" si="149"/>
        <v>-1</v>
      </c>
      <c r="AG600" s="46">
        <f>SUMIFS('[1]Raw Inventory'!D:D,'[1]Raw Inventory'!C:C,"GREATWALL",'[1]Raw Inventory'!B:B,A600)</f>
        <v>18</v>
      </c>
      <c r="AH600" s="46">
        <f>SUMIFS('[1]Raw Inventory'!D:D,'[1]Raw Inventory'!C:C,"DUARTE",'[1]Raw Inventory'!B:B,A600)</f>
        <v>0</v>
      </c>
      <c r="AI600" s="46"/>
      <c r="AJ600" s="46"/>
      <c r="AK600" s="43"/>
      <c r="AL600" s="43"/>
      <c r="AM600" s="43"/>
      <c r="AN600" s="43"/>
      <c r="AO600" s="43"/>
      <c r="AP600" s="43"/>
      <c r="AQ600" s="43"/>
      <c r="AR600" s="43"/>
      <c r="AS600" s="43"/>
      <c r="AT600" s="43"/>
    </row>
    <row r="601" spans="1:46">
      <c r="A601" s="43" t="s">
        <v>55</v>
      </c>
      <c r="B601" s="43" t="s">
        <v>91</v>
      </c>
      <c r="C601" s="43" t="s">
        <v>90</v>
      </c>
      <c r="D601" s="44" t="s">
        <v>235</v>
      </c>
      <c r="E601" s="44">
        <v>14</v>
      </c>
      <c r="F601" s="44" t="s">
        <v>3</v>
      </c>
      <c r="G601" s="43" t="str">
        <f>IFERROR(VLOOKUP(A601,'[1]MC Masterlist 2026-09-12'!$B:$M, 3, 0),"")</f>
        <v>HONDA</v>
      </c>
      <c r="H601" s="45">
        <f>IFERROR(VLOOKUP(A601,'[1]MC Masterlist 2026-09-12'!$B:$M, 6, 0),"")</f>
        <v>284880</v>
      </c>
      <c r="I601" s="46">
        <v>0</v>
      </c>
      <c r="J601" s="46">
        <v>0</v>
      </c>
      <c r="K601" s="46">
        <v>0</v>
      </c>
      <c r="L601" s="46">
        <f t="shared" si="135"/>
        <v>0</v>
      </c>
      <c r="M601" s="46">
        <f t="shared" si="136"/>
        <v>0</v>
      </c>
      <c r="N601" s="45">
        <f t="shared" si="137"/>
        <v>0</v>
      </c>
      <c r="O601" s="45">
        <f t="shared" si="138"/>
        <v>0</v>
      </c>
      <c r="P601" s="46">
        <f t="shared" si="139"/>
        <v>0</v>
      </c>
      <c r="Q601" s="46">
        <v>1</v>
      </c>
      <c r="R601" s="45">
        <f t="shared" si="140"/>
        <v>284880</v>
      </c>
      <c r="S601" s="46">
        <f t="shared" si="141"/>
        <v>0</v>
      </c>
      <c r="T601" s="46">
        <f>IFERROR(VLOOKUP(A601,'[1]Re-order'!$A:$Q,17,0),"")</f>
        <v>720</v>
      </c>
      <c r="U601" s="46">
        <f>IFERROR(VLOOKUP(A601,'[1]MC Masterlist 2026-09-12'!$B:$M, 10, 0),0)</f>
        <v>15</v>
      </c>
      <c r="V601" s="46">
        <f>IFERROR(VLOOKUP(A601,'[1]MC Masterlist 2026-09-12'!$B:$M, 11, 0),0)</f>
        <v>15</v>
      </c>
      <c r="W601" s="46">
        <f t="shared" si="142"/>
        <v>30</v>
      </c>
      <c r="X601" s="46">
        <f t="shared" si="143"/>
        <v>30</v>
      </c>
      <c r="Y601" s="46">
        <f>IFERROR(IF(OR(C601="AREA I",C601="AREA V"),7,VLOOKUP(A601,'[1]MC Masterlist 2026-09-12'!$B:$M, 12, 0)),0)</f>
        <v>30</v>
      </c>
      <c r="Z601" s="46">
        <f t="shared" si="144"/>
        <v>0</v>
      </c>
      <c r="AA601" s="46">
        <f t="shared" si="145"/>
        <v>0</v>
      </c>
      <c r="AB601" s="46">
        <f t="shared" si="146"/>
        <v>0</v>
      </c>
      <c r="AC601" s="46">
        <f t="shared" si="147"/>
        <v>0</v>
      </c>
      <c r="AD601" s="44" t="str">
        <f t="shared" si="148"/>
        <v>Over</v>
      </c>
      <c r="AE601" s="44" t="str">
        <f>IFERROR(VLOOKUP(A601,'[1]Re-order'!$A:$AA,27,0),"")</f>
        <v>Over</v>
      </c>
      <c r="AF601" s="46">
        <f t="shared" si="149"/>
        <v>-1</v>
      </c>
      <c r="AG601" s="46">
        <f>SUMIFS('[1]Raw Inventory'!D:D,'[1]Raw Inventory'!C:C,"GREATWALL",'[1]Raw Inventory'!B:B,A601)</f>
        <v>0</v>
      </c>
      <c r="AH601" s="46">
        <f>SUMIFS('[1]Raw Inventory'!D:D,'[1]Raw Inventory'!C:C,"DUARTE",'[1]Raw Inventory'!B:B,A601)</f>
        <v>0</v>
      </c>
      <c r="AI601" s="46"/>
      <c r="AJ601" s="46"/>
      <c r="AK601" s="43"/>
      <c r="AL601" s="43"/>
      <c r="AM601" s="43"/>
      <c r="AN601" s="43"/>
      <c r="AO601" s="43"/>
      <c r="AP601" s="43"/>
      <c r="AQ601" s="43"/>
      <c r="AR601" s="43"/>
      <c r="AS601" s="43"/>
      <c r="AT601" s="43"/>
    </row>
    <row r="602" spans="1:46">
      <c r="A602" s="43" t="s">
        <v>83</v>
      </c>
      <c r="B602" s="43" t="s">
        <v>156</v>
      </c>
      <c r="C602" s="43" t="s">
        <v>152</v>
      </c>
      <c r="D602" s="44" t="s">
        <v>232</v>
      </c>
      <c r="E602" s="44">
        <v>27</v>
      </c>
      <c r="F602" s="44" t="s">
        <v>3</v>
      </c>
      <c r="G602" s="43" t="str">
        <f>IFERROR(VLOOKUP(A602,'[1]MC Masterlist 2026-09-12'!$B:$M, 3, 0),"")</f>
        <v>SKYGO</v>
      </c>
      <c r="H602" s="45">
        <f>IFERROR(VLOOKUP(A602,'[1]MC Masterlist 2026-09-12'!$B:$M, 6, 0),"")</f>
        <v>35055</v>
      </c>
      <c r="I602" s="46">
        <v>0</v>
      </c>
      <c r="J602" s="46">
        <v>0</v>
      </c>
      <c r="K602" s="46">
        <v>0</v>
      </c>
      <c r="L602" s="46">
        <f t="shared" si="135"/>
        <v>0</v>
      </c>
      <c r="M602" s="46">
        <f t="shared" si="136"/>
        <v>0</v>
      </c>
      <c r="N602" s="45">
        <f t="shared" si="137"/>
        <v>0</v>
      </c>
      <c r="O602" s="45">
        <f t="shared" si="138"/>
        <v>0</v>
      </c>
      <c r="P602" s="46">
        <f t="shared" si="139"/>
        <v>0</v>
      </c>
      <c r="Q602" s="46">
        <v>1</v>
      </c>
      <c r="R602" s="45">
        <f t="shared" si="140"/>
        <v>35055</v>
      </c>
      <c r="S602" s="46">
        <f t="shared" si="141"/>
        <v>0</v>
      </c>
      <c r="T602" s="46">
        <f>IFERROR(VLOOKUP(A602,'[1]Re-order'!$A:$Q,17,0),"")</f>
        <v>313.2</v>
      </c>
      <c r="U602" s="46">
        <f>IFERROR(VLOOKUP(A602,'[1]MC Masterlist 2026-09-12'!$B:$M, 10, 0),0)</f>
        <v>15</v>
      </c>
      <c r="V602" s="46">
        <f>IFERROR(VLOOKUP(A602,'[1]MC Masterlist 2026-09-12'!$B:$M, 11, 0),0)</f>
        <v>15</v>
      </c>
      <c r="W602" s="46">
        <f t="shared" si="142"/>
        <v>30</v>
      </c>
      <c r="X602" s="46">
        <f t="shared" si="143"/>
        <v>30</v>
      </c>
      <c r="Y602" s="46">
        <f>IFERROR(IF(OR(C602="AREA I",C602="AREA V"),7,VLOOKUP(A602,'[1]MC Masterlist 2026-09-12'!$B:$M, 12, 0)),0)</f>
        <v>30</v>
      </c>
      <c r="Z602" s="46">
        <f t="shared" si="144"/>
        <v>0</v>
      </c>
      <c r="AA602" s="46">
        <f t="shared" si="145"/>
        <v>0</v>
      </c>
      <c r="AB602" s="46">
        <f t="shared" si="146"/>
        <v>0</v>
      </c>
      <c r="AC602" s="46">
        <f t="shared" si="147"/>
        <v>0</v>
      </c>
      <c r="AD602" s="44" t="str">
        <f t="shared" si="148"/>
        <v>Over</v>
      </c>
      <c r="AE602" s="44" t="str">
        <f>IFERROR(VLOOKUP(A602,'[1]Re-order'!$A:$AA,27,0),"")</f>
        <v>Over</v>
      </c>
      <c r="AF602" s="46">
        <f t="shared" si="149"/>
        <v>-1</v>
      </c>
      <c r="AG602" s="46">
        <f>SUMIFS('[1]Raw Inventory'!D:D,'[1]Raw Inventory'!C:C,"GREATWALL",'[1]Raw Inventory'!B:B,A602)</f>
        <v>33</v>
      </c>
      <c r="AH602" s="46">
        <f>SUMIFS('[1]Raw Inventory'!D:D,'[1]Raw Inventory'!C:C,"DUARTE",'[1]Raw Inventory'!B:B,A602)</f>
        <v>0</v>
      </c>
      <c r="AI602" s="46"/>
      <c r="AJ602" s="46"/>
      <c r="AK602" s="43"/>
      <c r="AL602" s="43"/>
      <c r="AM602" s="43"/>
      <c r="AN602" s="43"/>
      <c r="AO602" s="43"/>
      <c r="AP602" s="43"/>
      <c r="AQ602" s="43"/>
      <c r="AR602" s="43"/>
      <c r="AS602" s="43"/>
      <c r="AT602" s="43"/>
    </row>
    <row r="603" spans="1:46">
      <c r="A603" s="43" t="s">
        <v>56</v>
      </c>
      <c r="B603" s="43" t="s">
        <v>11</v>
      </c>
      <c r="C603" s="43" t="s">
        <v>1</v>
      </c>
      <c r="D603" s="44" t="s">
        <v>253</v>
      </c>
      <c r="E603" s="44">
        <v>23</v>
      </c>
      <c r="F603" s="44" t="s">
        <v>3</v>
      </c>
      <c r="G603" s="43" t="str">
        <f>IFERROR(VLOOKUP(A603,'[1]MC Masterlist 2026-09-12'!$B:$M, 3, 0),"")</f>
        <v>HONDA</v>
      </c>
      <c r="H603" s="45">
        <f>IFERROR(VLOOKUP(A603,'[1]MC Masterlist 2026-09-12'!$B:$M, 6, 0),"")</f>
        <v>288118</v>
      </c>
      <c r="I603" s="46">
        <v>0</v>
      </c>
      <c r="J603" s="46">
        <v>0</v>
      </c>
      <c r="K603" s="46">
        <v>0</v>
      </c>
      <c r="L603" s="46">
        <f t="shared" si="135"/>
        <v>0</v>
      </c>
      <c r="M603" s="46">
        <f t="shared" si="136"/>
        <v>0</v>
      </c>
      <c r="N603" s="45">
        <f t="shared" si="137"/>
        <v>0</v>
      </c>
      <c r="O603" s="45">
        <f t="shared" si="138"/>
        <v>0</v>
      </c>
      <c r="P603" s="46">
        <f t="shared" si="139"/>
        <v>0</v>
      </c>
      <c r="Q603" s="46">
        <v>1</v>
      </c>
      <c r="R603" s="45">
        <f t="shared" si="140"/>
        <v>288118</v>
      </c>
      <c r="S603" s="46">
        <f t="shared" si="141"/>
        <v>0</v>
      </c>
      <c r="T603" s="46" t="str">
        <f>IFERROR(VLOOKUP(A603,'[1]Re-order'!$A:$Q,17,0),"")</f>
        <v/>
      </c>
      <c r="U603" s="46">
        <f>IFERROR(VLOOKUP(A603,'[1]MC Masterlist 2026-09-12'!$B:$M, 10, 0),0)</f>
        <v>15</v>
      </c>
      <c r="V603" s="46">
        <f>IFERROR(VLOOKUP(A603,'[1]MC Masterlist 2026-09-12'!$B:$M, 11, 0),0)</f>
        <v>15</v>
      </c>
      <c r="W603" s="46">
        <f t="shared" si="142"/>
        <v>30</v>
      </c>
      <c r="X603" s="46">
        <f t="shared" si="143"/>
        <v>7</v>
      </c>
      <c r="Y603" s="46">
        <f>IFERROR(IF(OR(C603="AREA I",C603="AREA V"),7,VLOOKUP(A603,'[1]MC Masterlist 2026-09-12'!$B:$M, 12, 0)),0)</f>
        <v>7</v>
      </c>
      <c r="Z603" s="46">
        <f t="shared" si="144"/>
        <v>0</v>
      </c>
      <c r="AA603" s="46">
        <f t="shared" si="145"/>
        <v>0</v>
      </c>
      <c r="AB603" s="46">
        <f t="shared" si="146"/>
        <v>0</v>
      </c>
      <c r="AC603" s="46">
        <f t="shared" si="147"/>
        <v>0</v>
      </c>
      <c r="AD603" s="44" t="str">
        <f t="shared" si="148"/>
        <v>Over</v>
      </c>
      <c r="AE603" s="44" t="str">
        <f>IFERROR(VLOOKUP(A603,'[1]Re-order'!$A:$AA,27,0),"")</f>
        <v>Over</v>
      </c>
      <c r="AF603" s="46">
        <f t="shared" si="149"/>
        <v>-1</v>
      </c>
      <c r="AG603" s="46">
        <f>SUMIFS('[1]Raw Inventory'!D:D,'[1]Raw Inventory'!C:C,"GREATWALL",'[1]Raw Inventory'!B:B,A603)</f>
        <v>0</v>
      </c>
      <c r="AH603" s="46">
        <f>SUMIFS('[1]Raw Inventory'!D:D,'[1]Raw Inventory'!C:C,"DUARTE",'[1]Raw Inventory'!B:B,A603)</f>
        <v>0</v>
      </c>
      <c r="AI603" s="46"/>
      <c r="AJ603" s="46"/>
      <c r="AK603" s="43"/>
      <c r="AL603" s="43"/>
      <c r="AM603" s="43"/>
      <c r="AN603" s="43"/>
      <c r="AO603" s="43"/>
      <c r="AP603" s="43"/>
      <c r="AQ603" s="43"/>
      <c r="AR603" s="43"/>
      <c r="AS603" s="43"/>
      <c r="AT603" s="43"/>
    </row>
    <row r="604" spans="1:46">
      <c r="A604" s="43" t="s">
        <v>78</v>
      </c>
      <c r="B604" s="43" t="s">
        <v>111</v>
      </c>
      <c r="C604" s="43" t="s">
        <v>109</v>
      </c>
      <c r="D604" s="44" t="s">
        <v>242</v>
      </c>
      <c r="E604" s="44">
        <v>29</v>
      </c>
      <c r="F604" s="44" t="s">
        <v>3</v>
      </c>
      <c r="G604" s="43" t="str">
        <f>IFERROR(VLOOKUP(A604,'[1]MC Masterlist 2026-09-12'!$B:$M, 3, 0),"")</f>
        <v>KAWASAKI</v>
      </c>
      <c r="H604" s="45">
        <f>IFERROR(VLOOKUP(A604,'[1]MC Masterlist 2026-09-12'!$B:$M, 6, 0),"")</f>
        <v>100700</v>
      </c>
      <c r="I604" s="46">
        <v>0</v>
      </c>
      <c r="J604" s="46">
        <v>0</v>
      </c>
      <c r="K604" s="46">
        <v>0</v>
      </c>
      <c r="L604" s="46">
        <f t="shared" si="135"/>
        <v>0</v>
      </c>
      <c r="M604" s="46">
        <f t="shared" si="136"/>
        <v>0</v>
      </c>
      <c r="N604" s="45">
        <f t="shared" si="137"/>
        <v>0</v>
      </c>
      <c r="O604" s="45">
        <f t="shared" si="138"/>
        <v>0</v>
      </c>
      <c r="P604" s="46">
        <f t="shared" si="139"/>
        <v>0</v>
      </c>
      <c r="Q604" s="46">
        <v>1</v>
      </c>
      <c r="R604" s="45">
        <f t="shared" si="140"/>
        <v>100700</v>
      </c>
      <c r="S604" s="46">
        <f t="shared" si="141"/>
        <v>0</v>
      </c>
      <c r="T604" s="46">
        <f>IFERROR(VLOOKUP(A604,'[1]Re-order'!$A:$Q,17,0),"")</f>
        <v>438.75000000000006</v>
      </c>
      <c r="U604" s="46">
        <f>IFERROR(VLOOKUP(A604,'[1]MC Masterlist 2026-09-12'!$B:$M, 10, 0),0)</f>
        <v>15</v>
      </c>
      <c r="V604" s="46">
        <f>IFERROR(VLOOKUP(A604,'[1]MC Masterlist 2026-09-12'!$B:$M, 11, 0),0)</f>
        <v>15</v>
      </c>
      <c r="W604" s="46">
        <f t="shared" si="142"/>
        <v>30</v>
      </c>
      <c r="X604" s="46">
        <f t="shared" si="143"/>
        <v>30</v>
      </c>
      <c r="Y604" s="46">
        <f>IFERROR(IF(OR(C604="AREA I",C604="AREA V"),7,VLOOKUP(A604,'[1]MC Masterlist 2026-09-12'!$B:$M, 12, 0)),0)</f>
        <v>30</v>
      </c>
      <c r="Z604" s="46">
        <f t="shared" si="144"/>
        <v>0</v>
      </c>
      <c r="AA604" s="46">
        <f t="shared" si="145"/>
        <v>0</v>
      </c>
      <c r="AB604" s="46">
        <f t="shared" si="146"/>
        <v>0</v>
      </c>
      <c r="AC604" s="46">
        <f t="shared" si="147"/>
        <v>0</v>
      </c>
      <c r="AD604" s="44" t="str">
        <f t="shared" si="148"/>
        <v>Over</v>
      </c>
      <c r="AE604" s="44" t="str">
        <f>IFERROR(VLOOKUP(A604,'[1]Re-order'!$A:$AA,27,0),"")</f>
        <v>Over</v>
      </c>
      <c r="AF604" s="46">
        <f t="shared" si="149"/>
        <v>-1</v>
      </c>
      <c r="AG604" s="46">
        <f>SUMIFS('[1]Raw Inventory'!D:D,'[1]Raw Inventory'!C:C,"GREATWALL",'[1]Raw Inventory'!B:B,A604)</f>
        <v>26</v>
      </c>
      <c r="AH604" s="46">
        <f>SUMIFS('[1]Raw Inventory'!D:D,'[1]Raw Inventory'!C:C,"DUARTE",'[1]Raw Inventory'!B:B,A604)</f>
        <v>0</v>
      </c>
      <c r="AI604" s="46"/>
      <c r="AJ604" s="46"/>
      <c r="AK604" s="43"/>
      <c r="AL604" s="43"/>
      <c r="AM604" s="43"/>
      <c r="AN604" s="43"/>
      <c r="AO604" s="43"/>
      <c r="AP604" s="43"/>
      <c r="AQ604" s="43"/>
      <c r="AR604" s="43"/>
      <c r="AS604" s="43"/>
      <c r="AT604" s="43"/>
    </row>
    <row r="605" spans="1:46">
      <c r="A605" s="43" t="s">
        <v>25</v>
      </c>
      <c r="B605" s="43" t="s">
        <v>146</v>
      </c>
      <c r="C605" s="43" t="s">
        <v>137</v>
      </c>
      <c r="D605" s="44" t="s">
        <v>264</v>
      </c>
      <c r="E605" s="44">
        <v>7</v>
      </c>
      <c r="F605" s="44" t="s">
        <v>0</v>
      </c>
      <c r="G605" s="43" t="str">
        <f>IFERROR(VLOOKUP(A605,'[1]MC Masterlist 2026-09-12'!$B:$M, 3, 0),"")</f>
        <v>YAMAHA</v>
      </c>
      <c r="H605" s="45">
        <f>IFERROR(VLOOKUP(A605,'[1]MC Masterlist 2026-09-12'!$B:$M, 6, 0),"")</f>
        <v>124527</v>
      </c>
      <c r="I605" s="46">
        <v>3</v>
      </c>
      <c r="J605" s="46">
        <v>1</v>
      </c>
      <c r="K605" s="46">
        <v>0</v>
      </c>
      <c r="L605" s="46">
        <f t="shared" si="135"/>
        <v>4</v>
      </c>
      <c r="M605" s="46">
        <f t="shared" si="136"/>
        <v>1.3333333333333333</v>
      </c>
      <c r="N605" s="45">
        <f t="shared" si="137"/>
        <v>498108</v>
      </c>
      <c r="O605" s="45">
        <f t="shared" si="138"/>
        <v>166036</v>
      </c>
      <c r="P605" s="46">
        <f t="shared" si="139"/>
        <v>4.4444444444444439E-2</v>
      </c>
      <c r="Q605" s="46"/>
      <c r="R605" s="45">
        <f t="shared" si="140"/>
        <v>0</v>
      </c>
      <c r="S605" s="46">
        <f t="shared" si="141"/>
        <v>0</v>
      </c>
      <c r="T605" s="46">
        <f>IFERROR(VLOOKUP(A605,'[1]Re-order'!$A:$Q,17,0),"")</f>
        <v>5.1030927835051543</v>
      </c>
      <c r="U605" s="46">
        <f>IFERROR(VLOOKUP(A605,'[1]MC Masterlist 2026-09-12'!$B:$M, 10, 0),0)</f>
        <v>15</v>
      </c>
      <c r="V605" s="46">
        <f>IFERROR(VLOOKUP(A605,'[1]MC Masterlist 2026-09-12'!$B:$M, 11, 0),0)</f>
        <v>15</v>
      </c>
      <c r="W605" s="46">
        <f t="shared" si="142"/>
        <v>30</v>
      </c>
      <c r="X605" s="46">
        <f t="shared" si="143"/>
        <v>6.333333333333333</v>
      </c>
      <c r="Y605" s="46">
        <f>IFERROR(IF(OR(C605="AREA I",C605="AREA V"),7,VLOOKUP(A605,'[1]MC Masterlist 2026-09-12'!$B:$M, 12, 0)),0)</f>
        <v>7</v>
      </c>
      <c r="Z605" s="46">
        <f t="shared" si="144"/>
        <v>0.66666666666666663</v>
      </c>
      <c r="AA605" s="46">
        <f t="shared" si="145"/>
        <v>1.3333333333333333</v>
      </c>
      <c r="AB605" s="46">
        <f t="shared" si="146"/>
        <v>0.28148148148148144</v>
      </c>
      <c r="AC605" s="46">
        <f t="shared" si="147"/>
        <v>0.31111111111111106</v>
      </c>
      <c r="AD605" s="44" t="str">
        <f t="shared" si="148"/>
        <v>Stockout</v>
      </c>
      <c r="AE605" s="44" t="str">
        <f>IFERROR(VLOOKUP(A605,'[1]Re-order'!$A:$AA,27,0),"")</f>
        <v>Stockout</v>
      </c>
      <c r="AF605" s="46">
        <f t="shared" si="149"/>
        <v>0.31111111111111106</v>
      </c>
      <c r="AG605" s="46">
        <f>SUMIFS('[1]Raw Inventory'!D:D,'[1]Raw Inventory'!C:C,"GREATWALL",'[1]Raw Inventory'!B:B,A605)</f>
        <v>1</v>
      </c>
      <c r="AH605" s="46">
        <f>SUMIFS('[1]Raw Inventory'!D:D,'[1]Raw Inventory'!C:C,"DUARTE",'[1]Raw Inventory'!B:B,A605)</f>
        <v>0</v>
      </c>
      <c r="AI605" s="46"/>
      <c r="AJ605" s="46"/>
      <c r="AK605" s="43"/>
      <c r="AL605" s="43"/>
      <c r="AM605" s="43"/>
      <c r="AN605" s="43"/>
      <c r="AO605" s="43"/>
      <c r="AP605" s="43"/>
      <c r="AQ605" s="43"/>
      <c r="AR605" s="43"/>
      <c r="AS605" s="43"/>
      <c r="AT605" s="43"/>
    </row>
    <row r="606" spans="1:46">
      <c r="A606" s="43" t="s">
        <v>22</v>
      </c>
      <c r="B606" s="43" t="s">
        <v>142</v>
      </c>
      <c r="C606" s="43" t="s">
        <v>137</v>
      </c>
      <c r="D606" s="44" t="s">
        <v>262</v>
      </c>
      <c r="E606" s="44">
        <v>16</v>
      </c>
      <c r="F606" s="44" t="s">
        <v>2</v>
      </c>
      <c r="G606" s="43" t="str">
        <f>IFERROR(VLOOKUP(A606,'[1]MC Masterlist 2026-09-12'!$B:$M, 3, 0),"")</f>
        <v>HONDA</v>
      </c>
      <c r="H606" s="45">
        <f>IFERROR(VLOOKUP(A606,'[1]MC Masterlist 2026-09-12'!$B:$M, 6, 0),"")</f>
        <v>111258</v>
      </c>
      <c r="I606" s="46">
        <v>0</v>
      </c>
      <c r="J606" s="46">
        <v>0</v>
      </c>
      <c r="K606" s="46">
        <v>1</v>
      </c>
      <c r="L606" s="46">
        <f t="shared" si="135"/>
        <v>1</v>
      </c>
      <c r="M606" s="46">
        <f t="shared" si="136"/>
        <v>0.33333333333333331</v>
      </c>
      <c r="N606" s="45">
        <f t="shared" si="137"/>
        <v>111258</v>
      </c>
      <c r="O606" s="45">
        <f t="shared" si="138"/>
        <v>37086</v>
      </c>
      <c r="P606" s="46">
        <f t="shared" si="139"/>
        <v>1.111111111111111E-2</v>
      </c>
      <c r="Q606" s="46">
        <v>2</v>
      </c>
      <c r="R606" s="45">
        <f t="shared" si="140"/>
        <v>222516</v>
      </c>
      <c r="S606" s="46">
        <f t="shared" si="141"/>
        <v>180</v>
      </c>
      <c r="T606" s="46">
        <f>IFERROR(VLOOKUP(A606,'[1]Re-order'!$A:$Q,17,0),"")</f>
        <v>41.339712918660283</v>
      </c>
      <c r="U606" s="46">
        <f>IFERROR(VLOOKUP(A606,'[1]MC Masterlist 2026-09-12'!$B:$M, 10, 0),0)</f>
        <v>15</v>
      </c>
      <c r="V606" s="46">
        <f>IFERROR(VLOOKUP(A606,'[1]MC Masterlist 2026-09-12'!$B:$M, 11, 0),0)</f>
        <v>15</v>
      </c>
      <c r="W606" s="46">
        <f t="shared" si="142"/>
        <v>30</v>
      </c>
      <c r="X606" s="46">
        <f t="shared" si="143"/>
        <v>6.833333333333333</v>
      </c>
      <c r="Y606" s="46">
        <f>IFERROR(IF(OR(C606="AREA I",C606="AREA V"),7,VLOOKUP(A606,'[1]MC Masterlist 2026-09-12'!$B:$M, 12, 0)),0)</f>
        <v>7</v>
      </c>
      <c r="Z606" s="46">
        <f t="shared" si="144"/>
        <v>0.16666666666666666</v>
      </c>
      <c r="AA606" s="46">
        <f t="shared" si="145"/>
        <v>0.33333333333333331</v>
      </c>
      <c r="AB606" s="46">
        <f t="shared" si="146"/>
        <v>7.5925925925925911E-2</v>
      </c>
      <c r="AC606" s="46">
        <f t="shared" si="147"/>
        <v>7.7777777777777765E-2</v>
      </c>
      <c r="AD606" s="44" t="str">
        <f t="shared" si="148"/>
        <v>Over</v>
      </c>
      <c r="AE606" s="44" t="str">
        <f>IFERROR(VLOOKUP(A606,'[1]Re-order'!$A:$AA,27,0),"")</f>
        <v>Re-order</v>
      </c>
      <c r="AF606" s="46">
        <f t="shared" si="149"/>
        <v>-1.9222222222222223</v>
      </c>
      <c r="AG606" s="46">
        <f>SUMIFS('[1]Raw Inventory'!D:D,'[1]Raw Inventory'!C:C,"GREATWALL",'[1]Raw Inventory'!B:B,A606)</f>
        <v>4</v>
      </c>
      <c r="AH606" s="46">
        <f>SUMIFS('[1]Raw Inventory'!D:D,'[1]Raw Inventory'!C:C,"DUARTE",'[1]Raw Inventory'!B:B,A606)</f>
        <v>0</v>
      </c>
      <c r="AI606" s="46"/>
      <c r="AJ606" s="46"/>
      <c r="AK606" s="43"/>
      <c r="AL606" s="43"/>
      <c r="AM606" s="43"/>
      <c r="AN606" s="43"/>
      <c r="AO606" s="43"/>
      <c r="AP606" s="43"/>
      <c r="AQ606" s="43"/>
      <c r="AR606" s="43"/>
      <c r="AS606" s="43"/>
      <c r="AT606" s="43"/>
    </row>
    <row r="607" spans="1:46">
      <c r="A607" s="43" t="s">
        <v>72</v>
      </c>
      <c r="B607" s="43" t="s">
        <v>116</v>
      </c>
      <c r="C607" s="43" t="s">
        <v>109</v>
      </c>
      <c r="D607" s="44" t="s">
        <v>241</v>
      </c>
      <c r="E607" s="44">
        <v>7</v>
      </c>
      <c r="F607" s="44" t="s">
        <v>3</v>
      </c>
      <c r="G607" s="43" t="str">
        <f>IFERROR(VLOOKUP(A607,'[1]MC Masterlist 2026-09-12'!$B:$M, 3, 0),"")</f>
        <v>KAWASAKI</v>
      </c>
      <c r="H607" s="45">
        <f>IFERROR(VLOOKUP(A607,'[1]MC Masterlist 2026-09-12'!$B:$M, 6, 0),"")</f>
        <v>52948</v>
      </c>
      <c r="I607" s="46">
        <v>0</v>
      </c>
      <c r="J607" s="46">
        <v>0</v>
      </c>
      <c r="K607" s="46">
        <v>0</v>
      </c>
      <c r="L607" s="46">
        <f t="shared" si="135"/>
        <v>0</v>
      </c>
      <c r="M607" s="46">
        <f t="shared" si="136"/>
        <v>0</v>
      </c>
      <c r="N607" s="45">
        <f t="shared" si="137"/>
        <v>0</v>
      </c>
      <c r="O607" s="45">
        <f t="shared" si="138"/>
        <v>0</v>
      </c>
      <c r="P607" s="46">
        <f t="shared" si="139"/>
        <v>0</v>
      </c>
      <c r="Q607" s="46">
        <v>1</v>
      </c>
      <c r="R607" s="45">
        <f t="shared" si="140"/>
        <v>52948</v>
      </c>
      <c r="S607" s="46">
        <f t="shared" si="141"/>
        <v>0</v>
      </c>
      <c r="T607" s="46">
        <f>IFERROR(VLOOKUP(A607,'[1]Re-order'!$A:$Q,17,0),"")</f>
        <v>378</v>
      </c>
      <c r="U607" s="46">
        <f>IFERROR(VLOOKUP(A607,'[1]MC Masterlist 2026-09-12'!$B:$M, 10, 0),0)</f>
        <v>15</v>
      </c>
      <c r="V607" s="46">
        <f>IFERROR(VLOOKUP(A607,'[1]MC Masterlist 2026-09-12'!$B:$M, 11, 0),0)</f>
        <v>15</v>
      </c>
      <c r="W607" s="46">
        <f t="shared" si="142"/>
        <v>30</v>
      </c>
      <c r="X607" s="46">
        <f t="shared" si="143"/>
        <v>30</v>
      </c>
      <c r="Y607" s="46">
        <f>IFERROR(IF(OR(C607="AREA I",C607="AREA V"),7,VLOOKUP(A607,'[1]MC Masterlist 2026-09-12'!$B:$M, 12, 0)),0)</f>
        <v>30</v>
      </c>
      <c r="Z607" s="46">
        <f t="shared" si="144"/>
        <v>0</v>
      </c>
      <c r="AA607" s="46">
        <f t="shared" si="145"/>
        <v>0</v>
      </c>
      <c r="AB607" s="46">
        <f t="shared" si="146"/>
        <v>0</v>
      </c>
      <c r="AC607" s="46">
        <f t="shared" si="147"/>
        <v>0</v>
      </c>
      <c r="AD607" s="44" t="str">
        <f t="shared" si="148"/>
        <v>Over</v>
      </c>
      <c r="AE607" s="44" t="str">
        <f>IFERROR(VLOOKUP(A607,'[1]Re-order'!$A:$AA,27,0),"")</f>
        <v>Over</v>
      </c>
      <c r="AF607" s="46">
        <f t="shared" si="149"/>
        <v>-1</v>
      </c>
      <c r="AG607" s="46">
        <f>SUMIFS('[1]Raw Inventory'!D:D,'[1]Raw Inventory'!C:C,"GREATWALL",'[1]Raw Inventory'!B:B,A607)</f>
        <v>15</v>
      </c>
      <c r="AH607" s="46">
        <f>SUMIFS('[1]Raw Inventory'!D:D,'[1]Raw Inventory'!C:C,"DUARTE",'[1]Raw Inventory'!B:B,A607)</f>
        <v>0</v>
      </c>
      <c r="AI607" s="46"/>
      <c r="AJ607" s="46"/>
      <c r="AK607" s="43"/>
      <c r="AL607" s="43"/>
      <c r="AM607" s="43"/>
      <c r="AN607" s="43"/>
      <c r="AO607" s="43"/>
      <c r="AP607" s="43"/>
      <c r="AQ607" s="43"/>
      <c r="AR607" s="43"/>
      <c r="AS607" s="43"/>
      <c r="AT607" s="43"/>
    </row>
    <row r="608" spans="1:46">
      <c r="A608" s="43" t="s">
        <v>20</v>
      </c>
      <c r="B608" s="43" t="s">
        <v>156</v>
      </c>
      <c r="C608" s="43" t="s">
        <v>152</v>
      </c>
      <c r="D608" s="44" t="s">
        <v>224</v>
      </c>
      <c r="E608" s="44">
        <v>6</v>
      </c>
      <c r="F608" s="44" t="s">
        <v>2</v>
      </c>
      <c r="G608" s="43" t="str">
        <f>IFERROR(VLOOKUP(A608,'[1]MC Masterlist 2026-09-12'!$B:$M, 3, 0),"")</f>
        <v>HONDA</v>
      </c>
      <c r="H608" s="45">
        <f>IFERROR(VLOOKUP(A608,'[1]MC Masterlist 2026-09-12'!$B:$M, 6, 0),"")</f>
        <v>69950</v>
      </c>
      <c r="I608" s="46">
        <v>1</v>
      </c>
      <c r="J608" s="46">
        <v>2</v>
      </c>
      <c r="K608" s="46">
        <v>2</v>
      </c>
      <c r="L608" s="46">
        <f t="shared" si="135"/>
        <v>5</v>
      </c>
      <c r="M608" s="46">
        <f t="shared" si="136"/>
        <v>1.6666666666666667</v>
      </c>
      <c r="N608" s="45">
        <f t="shared" si="137"/>
        <v>349750</v>
      </c>
      <c r="O608" s="45">
        <f t="shared" si="138"/>
        <v>116583.33333333334</v>
      </c>
      <c r="P608" s="46">
        <f t="shared" si="139"/>
        <v>5.5555555555555559E-2</v>
      </c>
      <c r="Q608" s="46">
        <v>2</v>
      </c>
      <c r="R608" s="45">
        <f t="shared" si="140"/>
        <v>139900</v>
      </c>
      <c r="S608" s="46">
        <f t="shared" si="141"/>
        <v>36</v>
      </c>
      <c r="T608" s="46">
        <f>IFERROR(VLOOKUP(A608,'[1]Re-order'!$A:$Q,17,0),"")</f>
        <v>75.775862068965523</v>
      </c>
      <c r="U608" s="46">
        <f>IFERROR(VLOOKUP(A608,'[1]MC Masterlist 2026-09-12'!$B:$M, 10, 0),0)</f>
        <v>15</v>
      </c>
      <c r="V608" s="46">
        <f>IFERROR(VLOOKUP(A608,'[1]MC Masterlist 2026-09-12'!$B:$M, 11, 0),0)</f>
        <v>15</v>
      </c>
      <c r="W608" s="46">
        <f t="shared" si="142"/>
        <v>30</v>
      </c>
      <c r="X608" s="46">
        <f t="shared" si="143"/>
        <v>29.166666666666668</v>
      </c>
      <c r="Y608" s="46">
        <f>IFERROR(IF(OR(C608="AREA I",C608="AREA V"),7,VLOOKUP(A608,'[1]MC Masterlist 2026-09-12'!$B:$M, 12, 0)),0)</f>
        <v>30</v>
      </c>
      <c r="Z608" s="46">
        <f t="shared" si="144"/>
        <v>0.83333333333333337</v>
      </c>
      <c r="AA608" s="46">
        <f t="shared" si="145"/>
        <v>1.6666666666666667</v>
      </c>
      <c r="AB608" s="46">
        <f t="shared" si="146"/>
        <v>1.6203703703703705</v>
      </c>
      <c r="AC608" s="46">
        <f t="shared" si="147"/>
        <v>1.6666666666666667</v>
      </c>
      <c r="AD608" s="44" t="str">
        <f t="shared" si="148"/>
        <v>Over</v>
      </c>
      <c r="AE608" s="44" t="str">
        <f>IFERROR(VLOOKUP(A608,'[1]Re-order'!$A:$AA,27,0),"")</f>
        <v/>
      </c>
      <c r="AF608" s="46">
        <f t="shared" si="149"/>
        <v>-0.33333333333333326</v>
      </c>
      <c r="AG608" s="46">
        <f>SUMIFS('[1]Raw Inventory'!D:D,'[1]Raw Inventory'!C:C,"GREATWALL",'[1]Raw Inventory'!B:B,A608)</f>
        <v>110</v>
      </c>
      <c r="AH608" s="46">
        <f>SUMIFS('[1]Raw Inventory'!D:D,'[1]Raw Inventory'!C:C,"DUARTE",'[1]Raw Inventory'!B:B,A608)</f>
        <v>0</v>
      </c>
      <c r="AI608" s="46"/>
      <c r="AJ608" s="46"/>
      <c r="AK608" s="43"/>
      <c r="AL608" s="43"/>
      <c r="AM608" s="43"/>
      <c r="AN608" s="43"/>
      <c r="AO608" s="43"/>
      <c r="AP608" s="43"/>
      <c r="AQ608" s="43"/>
      <c r="AR608" s="43"/>
      <c r="AS608" s="43"/>
      <c r="AT608" s="43"/>
    </row>
    <row r="609" spans="1:46">
      <c r="A609" s="43" t="s">
        <v>88</v>
      </c>
      <c r="B609" s="43" t="s">
        <v>142</v>
      </c>
      <c r="C609" s="43" t="s">
        <v>137</v>
      </c>
      <c r="D609" s="44" t="s">
        <v>240</v>
      </c>
      <c r="E609" s="44">
        <v>12</v>
      </c>
      <c r="F609" s="44" t="s">
        <v>2</v>
      </c>
      <c r="G609" s="43" t="str">
        <f>IFERROR(VLOOKUP(A609,'[1]MC Masterlist 2026-09-12'!$B:$M, 3, 0),"")</f>
        <v>YAMAHA</v>
      </c>
      <c r="H609" s="45">
        <f>IFERROR(VLOOKUP(A609,'[1]MC Masterlist 2026-09-12'!$B:$M, 6, 0),"")</f>
        <v>74772</v>
      </c>
      <c r="I609" s="46">
        <v>1</v>
      </c>
      <c r="J609" s="46">
        <v>1</v>
      </c>
      <c r="K609" s="46">
        <v>0</v>
      </c>
      <c r="L609" s="46">
        <f t="shared" si="135"/>
        <v>2</v>
      </c>
      <c r="M609" s="46">
        <f t="shared" si="136"/>
        <v>0.66666666666666663</v>
      </c>
      <c r="N609" s="45">
        <f t="shared" si="137"/>
        <v>149544</v>
      </c>
      <c r="O609" s="45">
        <f t="shared" si="138"/>
        <v>49848</v>
      </c>
      <c r="P609" s="46">
        <f t="shared" si="139"/>
        <v>2.222222222222222E-2</v>
      </c>
      <c r="Q609" s="46"/>
      <c r="R609" s="45">
        <f t="shared" si="140"/>
        <v>0</v>
      </c>
      <c r="S609" s="46">
        <f t="shared" si="141"/>
        <v>0</v>
      </c>
      <c r="T609" s="46">
        <f>IFERROR(VLOOKUP(A609,'[1]Re-order'!$A:$Q,17,0),"")</f>
        <v>90</v>
      </c>
      <c r="U609" s="46">
        <f>IFERROR(VLOOKUP(A609,'[1]MC Masterlist 2026-09-12'!$B:$M, 10, 0),0)</f>
        <v>15</v>
      </c>
      <c r="V609" s="46">
        <f>IFERROR(VLOOKUP(A609,'[1]MC Masterlist 2026-09-12'!$B:$M, 11, 0),0)</f>
        <v>15</v>
      </c>
      <c r="W609" s="46">
        <f t="shared" si="142"/>
        <v>30</v>
      </c>
      <c r="X609" s="46">
        <f t="shared" si="143"/>
        <v>6.666666666666667</v>
      </c>
      <c r="Y609" s="46">
        <f>IFERROR(IF(OR(C609="AREA I",C609="AREA V"),7,VLOOKUP(A609,'[1]MC Masterlist 2026-09-12'!$B:$M, 12, 0)),0)</f>
        <v>7</v>
      </c>
      <c r="Z609" s="46">
        <f t="shared" si="144"/>
        <v>0.33333333333333331</v>
      </c>
      <c r="AA609" s="46">
        <f t="shared" si="145"/>
        <v>0.66666666666666663</v>
      </c>
      <c r="AB609" s="46">
        <f t="shared" si="146"/>
        <v>0.14814814814814814</v>
      </c>
      <c r="AC609" s="46">
        <f t="shared" si="147"/>
        <v>0.15555555555555553</v>
      </c>
      <c r="AD609" s="44" t="str">
        <f t="shared" si="148"/>
        <v>Stockout</v>
      </c>
      <c r="AE609" s="44" t="str">
        <f>IFERROR(VLOOKUP(A609,'[1]Re-order'!$A:$AA,27,0),"")</f>
        <v/>
      </c>
      <c r="AF609" s="46">
        <f t="shared" si="149"/>
        <v>0.15555555555555553</v>
      </c>
      <c r="AG609" s="46">
        <f>SUMIFS('[1]Raw Inventory'!D:D,'[1]Raw Inventory'!C:C,"GREATWALL",'[1]Raw Inventory'!B:B,A609)</f>
        <v>0</v>
      </c>
      <c r="AH609" s="46">
        <f>SUMIFS('[1]Raw Inventory'!D:D,'[1]Raw Inventory'!C:C,"DUARTE",'[1]Raw Inventory'!B:B,A609)</f>
        <v>0</v>
      </c>
      <c r="AI609" s="46"/>
      <c r="AJ609" s="46"/>
      <c r="AK609" s="43"/>
      <c r="AL609" s="43"/>
      <c r="AM609" s="43"/>
      <c r="AN609" s="43"/>
      <c r="AO609" s="43"/>
      <c r="AP609" s="43"/>
      <c r="AQ609" s="43"/>
      <c r="AR609" s="43"/>
      <c r="AS609" s="43"/>
      <c r="AT609" s="43"/>
    </row>
    <row r="610" spans="1:46">
      <c r="A610" s="43" t="s">
        <v>49</v>
      </c>
      <c r="B610" s="43" t="s">
        <v>131</v>
      </c>
      <c r="C610" s="43" t="s">
        <v>128</v>
      </c>
      <c r="D610" s="44" t="s">
        <v>226</v>
      </c>
      <c r="E610" s="44">
        <v>23</v>
      </c>
      <c r="F610" s="44" t="s">
        <v>3</v>
      </c>
      <c r="G610" s="43" t="str">
        <f>IFERROR(VLOOKUP(A610,'[1]MC Masterlist 2026-09-12'!$B:$M, 3, 0),"")</f>
        <v>BAJAJ RE</v>
      </c>
      <c r="H610" s="45">
        <f>IFERROR(VLOOKUP(A610,'[1]MC Masterlist 2026-09-12'!$B:$M, 6, 0),"")</f>
        <v>191000</v>
      </c>
      <c r="I610" s="46">
        <v>0</v>
      </c>
      <c r="J610" s="46">
        <v>0</v>
      </c>
      <c r="K610" s="46">
        <v>0</v>
      </c>
      <c r="L610" s="46">
        <f t="shared" si="135"/>
        <v>0</v>
      </c>
      <c r="M610" s="46">
        <f t="shared" si="136"/>
        <v>0</v>
      </c>
      <c r="N610" s="45">
        <f t="shared" si="137"/>
        <v>0</v>
      </c>
      <c r="O610" s="45">
        <f t="shared" si="138"/>
        <v>0</v>
      </c>
      <c r="P610" s="46">
        <f t="shared" si="139"/>
        <v>0</v>
      </c>
      <c r="Q610" s="46">
        <v>1</v>
      </c>
      <c r="R610" s="45">
        <f t="shared" si="140"/>
        <v>191000</v>
      </c>
      <c r="S610" s="46">
        <f t="shared" si="141"/>
        <v>0</v>
      </c>
      <c r="T610" s="46">
        <f>IFERROR(VLOOKUP(A610,'[1]Re-order'!$A:$Q,17,0),"")</f>
        <v>21.516709511568124</v>
      </c>
      <c r="U610" s="46">
        <f>IFERROR(VLOOKUP(A610,'[1]MC Masterlist 2026-09-12'!$B:$M, 10, 0),0)</f>
        <v>15</v>
      </c>
      <c r="V610" s="46">
        <f>IFERROR(VLOOKUP(A610,'[1]MC Masterlist 2026-09-12'!$B:$M, 11, 0),0)</f>
        <v>15</v>
      </c>
      <c r="W610" s="46">
        <f t="shared" si="142"/>
        <v>30</v>
      </c>
      <c r="X610" s="46">
        <f t="shared" si="143"/>
        <v>30</v>
      </c>
      <c r="Y610" s="46">
        <f>IFERROR(IF(OR(C610="AREA I",C610="AREA V"),7,VLOOKUP(A610,'[1]MC Masterlist 2026-09-12'!$B:$M, 12, 0)),0)</f>
        <v>30</v>
      </c>
      <c r="Z610" s="46">
        <f t="shared" si="144"/>
        <v>0</v>
      </c>
      <c r="AA610" s="46">
        <f t="shared" si="145"/>
        <v>0</v>
      </c>
      <c r="AB610" s="46">
        <f t="shared" si="146"/>
        <v>0</v>
      </c>
      <c r="AC610" s="46">
        <f t="shared" si="147"/>
        <v>0</v>
      </c>
      <c r="AD610" s="44" t="str">
        <f t="shared" si="148"/>
        <v>Over</v>
      </c>
      <c r="AE610" s="44" t="str">
        <f>IFERROR(VLOOKUP(A610,'[1]Re-order'!$A:$AA,27,0),"")</f>
        <v>Stockout</v>
      </c>
      <c r="AF610" s="46">
        <f t="shared" si="149"/>
        <v>-1</v>
      </c>
      <c r="AG610" s="46">
        <f>SUMIFS('[1]Raw Inventory'!D:D,'[1]Raw Inventory'!C:C,"GREATWALL",'[1]Raw Inventory'!B:B,A610)</f>
        <v>0</v>
      </c>
      <c r="AH610" s="46">
        <f>SUMIFS('[1]Raw Inventory'!D:D,'[1]Raw Inventory'!C:C,"DUARTE",'[1]Raw Inventory'!B:B,A610)</f>
        <v>0</v>
      </c>
      <c r="AI610" s="46"/>
      <c r="AJ610" s="46"/>
      <c r="AK610" s="43"/>
      <c r="AL610" s="43"/>
      <c r="AM610" s="43"/>
      <c r="AN610" s="43"/>
      <c r="AO610" s="43"/>
      <c r="AP610" s="43"/>
      <c r="AQ610" s="43"/>
      <c r="AR610" s="43"/>
      <c r="AS610" s="43"/>
      <c r="AT610" s="43"/>
    </row>
    <row r="611" spans="1:46">
      <c r="A611" s="43" t="s">
        <v>43</v>
      </c>
      <c r="B611" s="43" t="s">
        <v>161</v>
      </c>
      <c r="C611" s="43" t="s">
        <v>159</v>
      </c>
      <c r="D611" s="44" t="s">
        <v>269</v>
      </c>
      <c r="E611" s="44">
        <v>1</v>
      </c>
      <c r="F611" s="44" t="s">
        <v>0</v>
      </c>
      <c r="G611" s="43" t="str">
        <f>IFERROR(VLOOKUP(A611,'[1]MC Masterlist 2026-09-12'!$B:$M, 3, 0),"")</f>
        <v>YAMAHA</v>
      </c>
      <c r="H611" s="45">
        <f>IFERROR(VLOOKUP(A611,'[1]MC Masterlist 2026-09-12'!$B:$M, 6, 0),"")</f>
        <v>70587</v>
      </c>
      <c r="I611" s="46">
        <v>0</v>
      </c>
      <c r="J611" s="46">
        <v>0</v>
      </c>
      <c r="K611" s="46">
        <v>0</v>
      </c>
      <c r="L611" s="46">
        <f t="shared" si="135"/>
        <v>0</v>
      </c>
      <c r="M611" s="46">
        <f t="shared" si="136"/>
        <v>0</v>
      </c>
      <c r="N611" s="45">
        <f t="shared" si="137"/>
        <v>0</v>
      </c>
      <c r="O611" s="45">
        <f t="shared" si="138"/>
        <v>0</v>
      </c>
      <c r="P611" s="46">
        <f t="shared" si="139"/>
        <v>0</v>
      </c>
      <c r="Q611" s="46">
        <v>1</v>
      </c>
      <c r="R611" s="45">
        <f t="shared" si="140"/>
        <v>70587</v>
      </c>
      <c r="S611" s="46">
        <f t="shared" si="141"/>
        <v>0</v>
      </c>
      <c r="T611" s="46">
        <f>IFERROR(VLOOKUP(A611,'[1]Re-order'!$A:$Q,17,0),"")</f>
        <v>43.578947368421055</v>
      </c>
      <c r="U611" s="46">
        <f>IFERROR(VLOOKUP(A611,'[1]MC Masterlist 2026-09-12'!$B:$M, 10, 0),0)</f>
        <v>15</v>
      </c>
      <c r="V611" s="46">
        <f>IFERROR(VLOOKUP(A611,'[1]MC Masterlist 2026-09-12'!$B:$M, 11, 0),0)</f>
        <v>15</v>
      </c>
      <c r="W611" s="46">
        <f t="shared" si="142"/>
        <v>30</v>
      </c>
      <c r="X611" s="46">
        <f t="shared" si="143"/>
        <v>30</v>
      </c>
      <c r="Y611" s="46">
        <f>IFERROR(IF(OR(C611="AREA I",C611="AREA V"),7,VLOOKUP(A611,'[1]MC Masterlist 2026-09-12'!$B:$M, 12, 0)),0)</f>
        <v>30</v>
      </c>
      <c r="Z611" s="46">
        <f t="shared" si="144"/>
        <v>0</v>
      </c>
      <c r="AA611" s="46">
        <f t="shared" si="145"/>
        <v>0</v>
      </c>
      <c r="AB611" s="46">
        <f t="shared" si="146"/>
        <v>0</v>
      </c>
      <c r="AC611" s="46">
        <f t="shared" si="147"/>
        <v>0</v>
      </c>
      <c r="AD611" s="44" t="str">
        <f t="shared" si="148"/>
        <v>Over</v>
      </c>
      <c r="AE611" s="44" t="str">
        <f>IFERROR(VLOOKUP(A611,'[1]Re-order'!$A:$AA,27,0),"")</f>
        <v>Re-order</v>
      </c>
      <c r="AF611" s="46">
        <f t="shared" si="149"/>
        <v>-1</v>
      </c>
      <c r="AG611" s="46">
        <f>SUMIFS('[1]Raw Inventory'!D:D,'[1]Raw Inventory'!C:C,"GREATWALL",'[1]Raw Inventory'!B:B,A611)</f>
        <v>0</v>
      </c>
      <c r="AH611" s="46">
        <f>SUMIFS('[1]Raw Inventory'!D:D,'[1]Raw Inventory'!C:C,"DUARTE",'[1]Raw Inventory'!B:B,A611)</f>
        <v>0</v>
      </c>
      <c r="AI611" s="46"/>
      <c r="AJ611" s="46"/>
      <c r="AK611" s="43"/>
      <c r="AL611" s="43"/>
      <c r="AM611" s="43"/>
      <c r="AN611" s="43"/>
      <c r="AO611" s="43"/>
      <c r="AP611" s="43"/>
      <c r="AQ611" s="43"/>
      <c r="AR611" s="43"/>
      <c r="AS611" s="43"/>
      <c r="AT611" s="43"/>
    </row>
    <row r="612" spans="1:46">
      <c r="A612" s="43" t="s">
        <v>17</v>
      </c>
      <c r="B612" s="43" t="s">
        <v>11</v>
      </c>
      <c r="C612" s="43" t="s">
        <v>1</v>
      </c>
      <c r="D612" s="44" t="s">
        <v>234</v>
      </c>
      <c r="E612" s="44">
        <v>4</v>
      </c>
      <c r="F612" s="44" t="s">
        <v>0</v>
      </c>
      <c r="G612" s="43" t="str">
        <f>IFERROR(VLOOKUP(A612,'[1]MC Masterlist 2026-09-12'!$B:$M, 3, 0),"")</f>
        <v>HONDA</v>
      </c>
      <c r="H612" s="45">
        <f>IFERROR(VLOOKUP(A612,'[1]MC Masterlist 2026-09-12'!$B:$M, 6, 0),"")</f>
        <v>140790</v>
      </c>
      <c r="I612" s="46">
        <v>6</v>
      </c>
      <c r="J612" s="46">
        <v>7</v>
      </c>
      <c r="K612" s="46">
        <v>7</v>
      </c>
      <c r="L612" s="46">
        <f t="shared" si="135"/>
        <v>20</v>
      </c>
      <c r="M612" s="46">
        <f t="shared" si="136"/>
        <v>6.666666666666667</v>
      </c>
      <c r="N612" s="45">
        <f t="shared" si="137"/>
        <v>2815800</v>
      </c>
      <c r="O612" s="45">
        <f t="shared" si="138"/>
        <v>938600</v>
      </c>
      <c r="P612" s="46">
        <f t="shared" si="139"/>
        <v>0.22222222222222224</v>
      </c>
      <c r="Q612" s="46">
        <v>6</v>
      </c>
      <c r="R612" s="45">
        <f t="shared" si="140"/>
        <v>844740</v>
      </c>
      <c r="S612" s="46">
        <f t="shared" si="141"/>
        <v>27</v>
      </c>
      <c r="T612" s="46">
        <f>IFERROR(VLOOKUP(A612,'[1]Re-order'!$A:$Q,17,0),"")</f>
        <v>43.663366336633665</v>
      </c>
      <c r="U612" s="46">
        <f>IFERROR(VLOOKUP(A612,'[1]MC Masterlist 2026-09-12'!$B:$M, 10, 0),0)</f>
        <v>15</v>
      </c>
      <c r="V612" s="46">
        <f>IFERROR(VLOOKUP(A612,'[1]MC Masterlist 2026-09-12'!$B:$M, 11, 0),0)</f>
        <v>15</v>
      </c>
      <c r="W612" s="46">
        <f t="shared" si="142"/>
        <v>30</v>
      </c>
      <c r="X612" s="46">
        <f t="shared" si="143"/>
        <v>3.6666666666666665</v>
      </c>
      <c r="Y612" s="46">
        <f>IFERROR(IF(OR(C612="AREA I",C612="AREA V"),7,VLOOKUP(A612,'[1]MC Masterlist 2026-09-12'!$B:$M, 12, 0)),0)</f>
        <v>7</v>
      </c>
      <c r="Z612" s="46">
        <f t="shared" si="144"/>
        <v>3.3333333333333335</v>
      </c>
      <c r="AA612" s="46">
        <f t="shared" si="145"/>
        <v>6.666666666666667</v>
      </c>
      <c r="AB612" s="46">
        <f t="shared" si="146"/>
        <v>0.81481481481481488</v>
      </c>
      <c r="AC612" s="46">
        <f t="shared" si="147"/>
        <v>1.5555555555555556</v>
      </c>
      <c r="AD612" s="44" t="str">
        <f t="shared" si="148"/>
        <v>Over</v>
      </c>
      <c r="AE612" s="44" t="str">
        <f>IFERROR(VLOOKUP(A612,'[1]Re-order'!$A:$AA,27,0),"")</f>
        <v>Re-order</v>
      </c>
      <c r="AF612" s="46">
        <f t="shared" si="149"/>
        <v>-4.4444444444444446</v>
      </c>
      <c r="AG612" s="46">
        <f>SUMIFS('[1]Raw Inventory'!D:D,'[1]Raw Inventory'!C:C,"GREATWALL",'[1]Raw Inventory'!B:B,A612)</f>
        <v>12</v>
      </c>
      <c r="AH612" s="46">
        <f>SUMIFS('[1]Raw Inventory'!D:D,'[1]Raw Inventory'!C:C,"DUARTE",'[1]Raw Inventory'!B:B,A612)</f>
        <v>0</v>
      </c>
      <c r="AI612" s="46"/>
      <c r="AJ612" s="46"/>
      <c r="AK612" s="43"/>
      <c r="AL612" s="43"/>
      <c r="AM612" s="43"/>
      <c r="AN612" s="43"/>
      <c r="AO612" s="43"/>
      <c r="AP612" s="43"/>
      <c r="AQ612" s="43"/>
      <c r="AR612" s="43"/>
      <c r="AS612" s="43"/>
      <c r="AT612" s="43"/>
    </row>
    <row r="613" spans="1:46">
      <c r="A613" s="43" t="s">
        <v>48</v>
      </c>
      <c r="B613" s="43" t="s">
        <v>110</v>
      </c>
      <c r="C613" s="43" t="s">
        <v>109</v>
      </c>
      <c r="D613" s="44" t="s">
        <v>242</v>
      </c>
      <c r="E613" s="44">
        <v>30</v>
      </c>
      <c r="F613" s="44" t="s">
        <v>3</v>
      </c>
      <c r="G613" s="43" t="str">
        <f>IFERROR(VLOOKUP(A613,'[1]MC Masterlist 2026-09-12'!$B:$M, 3, 0),"")</f>
        <v>SUZUKI</v>
      </c>
      <c r="H613" s="45">
        <f>IFERROR(VLOOKUP(A613,'[1]MC Masterlist 2026-09-12'!$B:$M, 6, 0),"")</f>
        <v>82687</v>
      </c>
      <c r="I613" s="46">
        <v>0</v>
      </c>
      <c r="J613" s="46">
        <v>0</v>
      </c>
      <c r="K613" s="46">
        <v>0</v>
      </c>
      <c r="L613" s="46">
        <f t="shared" si="135"/>
        <v>0</v>
      </c>
      <c r="M613" s="46">
        <f t="shared" si="136"/>
        <v>0</v>
      </c>
      <c r="N613" s="45">
        <f t="shared" si="137"/>
        <v>0</v>
      </c>
      <c r="O613" s="45">
        <f t="shared" si="138"/>
        <v>0</v>
      </c>
      <c r="P613" s="46">
        <f t="shared" si="139"/>
        <v>0</v>
      </c>
      <c r="Q613" s="46">
        <v>1</v>
      </c>
      <c r="R613" s="45">
        <f t="shared" si="140"/>
        <v>82687</v>
      </c>
      <c r="S613" s="46">
        <f t="shared" si="141"/>
        <v>0</v>
      </c>
      <c r="T613" s="46">
        <f>IFERROR(VLOOKUP(A613,'[1]Re-order'!$A:$Q,17,0),"")</f>
        <v>303.75</v>
      </c>
      <c r="U613" s="46">
        <f>IFERROR(VLOOKUP(A613,'[1]MC Masterlist 2026-09-12'!$B:$M, 10, 0),0)</f>
        <v>15</v>
      </c>
      <c r="V613" s="46">
        <f>IFERROR(VLOOKUP(A613,'[1]MC Masterlist 2026-09-12'!$B:$M, 11, 0),0)</f>
        <v>15</v>
      </c>
      <c r="W613" s="46">
        <f t="shared" si="142"/>
        <v>30</v>
      </c>
      <c r="X613" s="46">
        <f t="shared" si="143"/>
        <v>30</v>
      </c>
      <c r="Y613" s="46">
        <f>IFERROR(IF(OR(C613="AREA I",C613="AREA V"),7,VLOOKUP(A613,'[1]MC Masterlist 2026-09-12'!$B:$M, 12, 0)),0)</f>
        <v>30</v>
      </c>
      <c r="Z613" s="46">
        <f t="shared" si="144"/>
        <v>0</v>
      </c>
      <c r="AA613" s="46">
        <f t="shared" si="145"/>
        <v>0</v>
      </c>
      <c r="AB613" s="46">
        <f t="shared" si="146"/>
        <v>0</v>
      </c>
      <c r="AC613" s="46">
        <f t="shared" si="147"/>
        <v>0</v>
      </c>
      <c r="AD613" s="44" t="str">
        <f t="shared" si="148"/>
        <v>Over</v>
      </c>
      <c r="AE613" s="44" t="str">
        <f>IFERROR(VLOOKUP(A613,'[1]Re-order'!$A:$AA,27,0),"")</f>
        <v>Over</v>
      </c>
      <c r="AF613" s="46">
        <f t="shared" si="149"/>
        <v>-1</v>
      </c>
      <c r="AG613" s="46">
        <f>SUMIFS('[1]Raw Inventory'!D:D,'[1]Raw Inventory'!C:C,"GREATWALL",'[1]Raw Inventory'!B:B,A613)</f>
        <v>10</v>
      </c>
      <c r="AH613" s="46">
        <f>SUMIFS('[1]Raw Inventory'!D:D,'[1]Raw Inventory'!C:C,"DUARTE",'[1]Raw Inventory'!B:B,A613)</f>
        <v>0</v>
      </c>
      <c r="AI613" s="46"/>
      <c r="AJ613" s="46"/>
      <c r="AK613" s="43"/>
      <c r="AL613" s="43"/>
      <c r="AM613" s="43"/>
      <c r="AN613" s="43"/>
      <c r="AO613" s="43"/>
      <c r="AP613" s="43"/>
      <c r="AQ613" s="43"/>
      <c r="AR613" s="43"/>
      <c r="AS613" s="43"/>
      <c r="AT613" s="43"/>
    </row>
    <row r="614" spans="1:46">
      <c r="A614" s="43" t="s">
        <v>176</v>
      </c>
      <c r="B614" s="43" t="s">
        <v>138</v>
      </c>
      <c r="C614" s="43" t="s">
        <v>137</v>
      </c>
      <c r="D614" s="44" t="s">
        <v>285</v>
      </c>
      <c r="E614" s="44">
        <v>39</v>
      </c>
      <c r="F614" s="44" t="s">
        <v>3</v>
      </c>
      <c r="G614" s="43" t="str">
        <f>IFERROR(VLOOKUP(A614,'[1]MC Masterlist 2026-09-12'!$B:$M, 3, 0),"")</f>
        <v>HONDA</v>
      </c>
      <c r="H614" s="45">
        <f>IFERROR(VLOOKUP(A614,'[1]MC Masterlist 2026-09-12'!$B:$M, 6, 0),"")</f>
        <v>86510</v>
      </c>
      <c r="I614" s="46">
        <v>0</v>
      </c>
      <c r="J614" s="46">
        <v>0</v>
      </c>
      <c r="K614" s="46">
        <v>0</v>
      </c>
      <c r="L614" s="46">
        <f t="shared" si="135"/>
        <v>0</v>
      </c>
      <c r="M614" s="46">
        <f t="shared" si="136"/>
        <v>0</v>
      </c>
      <c r="N614" s="45">
        <f t="shared" si="137"/>
        <v>0</v>
      </c>
      <c r="O614" s="45">
        <f t="shared" si="138"/>
        <v>0</v>
      </c>
      <c r="P614" s="46">
        <f t="shared" si="139"/>
        <v>0</v>
      </c>
      <c r="Q614" s="46">
        <v>25</v>
      </c>
      <c r="R614" s="45">
        <f t="shared" si="140"/>
        <v>2162750</v>
      </c>
      <c r="S614" s="46">
        <f t="shared" si="141"/>
        <v>0</v>
      </c>
      <c r="T614" s="46" t="str">
        <f>IFERROR(VLOOKUP(A614,'[1]Re-order'!$A:$Q,17,0),"")</f>
        <v/>
      </c>
      <c r="U614" s="46">
        <f>IFERROR(VLOOKUP(A614,'[1]MC Masterlist 2026-09-12'!$B:$M, 10, 0),0)</f>
        <v>15</v>
      </c>
      <c r="V614" s="46">
        <f>IFERROR(VLOOKUP(A614,'[1]MC Masterlist 2026-09-12'!$B:$M, 11, 0),0)</f>
        <v>15</v>
      </c>
      <c r="W614" s="46">
        <f t="shared" si="142"/>
        <v>30</v>
      </c>
      <c r="X614" s="46">
        <f t="shared" si="143"/>
        <v>7</v>
      </c>
      <c r="Y614" s="46">
        <f>IFERROR(IF(OR(C614="AREA I",C614="AREA V"),7,VLOOKUP(A614,'[1]MC Masterlist 2026-09-12'!$B:$M, 12, 0)),0)</f>
        <v>7</v>
      </c>
      <c r="Z614" s="46">
        <f t="shared" si="144"/>
        <v>0</v>
      </c>
      <c r="AA614" s="46">
        <f t="shared" si="145"/>
        <v>0</v>
      </c>
      <c r="AB614" s="46">
        <f t="shared" si="146"/>
        <v>0</v>
      </c>
      <c r="AC614" s="46">
        <f t="shared" si="147"/>
        <v>0</v>
      </c>
      <c r="AD614" s="44" t="str">
        <f t="shared" si="148"/>
        <v>Over</v>
      </c>
      <c r="AE614" s="44" t="str">
        <f>IFERROR(VLOOKUP(A614,'[1]Re-order'!$A:$AA,27,0),"")</f>
        <v>Over</v>
      </c>
      <c r="AF614" s="46">
        <f t="shared" si="149"/>
        <v>-25</v>
      </c>
      <c r="AG614" s="46">
        <f>SUMIFS('[1]Raw Inventory'!D:D,'[1]Raw Inventory'!C:C,"GREATWALL",'[1]Raw Inventory'!B:B,A614)</f>
        <v>25</v>
      </c>
      <c r="AH614" s="46">
        <f>SUMIFS('[1]Raw Inventory'!D:D,'[1]Raw Inventory'!C:C,"DUARTE",'[1]Raw Inventory'!B:B,A614)</f>
        <v>0</v>
      </c>
      <c r="AI614" s="46"/>
      <c r="AJ614" s="46"/>
      <c r="AK614" s="43"/>
      <c r="AL614" s="43"/>
      <c r="AM614" s="43"/>
      <c r="AN614" s="43"/>
      <c r="AO614" s="43"/>
      <c r="AP614" s="43"/>
      <c r="AQ614" s="43"/>
      <c r="AR614" s="43"/>
      <c r="AS614" s="43"/>
      <c r="AT614" s="43"/>
    </row>
    <row r="615" spans="1:46">
      <c r="A615" s="43" t="s">
        <v>28</v>
      </c>
      <c r="B615" s="43" t="s">
        <v>92</v>
      </c>
      <c r="C615" s="43" t="s">
        <v>90</v>
      </c>
      <c r="D615" s="44" t="s">
        <v>234</v>
      </c>
      <c r="E615" s="44">
        <v>4</v>
      </c>
      <c r="F615" s="44" t="s">
        <v>0</v>
      </c>
      <c r="G615" s="43" t="str">
        <f>IFERROR(VLOOKUP(A615,'[1]MC Masterlist 2026-09-12'!$B:$M, 3, 0),"")</f>
        <v>YAMAHA</v>
      </c>
      <c r="H615" s="45">
        <f>IFERROR(VLOOKUP(A615,'[1]MC Masterlist 2026-09-12'!$B:$M, 6, 0),"")</f>
        <v>147312</v>
      </c>
      <c r="I615" s="46">
        <v>0</v>
      </c>
      <c r="J615" s="46">
        <v>1</v>
      </c>
      <c r="K615" s="46">
        <v>3</v>
      </c>
      <c r="L615" s="46">
        <f t="shared" si="135"/>
        <v>4</v>
      </c>
      <c r="M615" s="46">
        <f t="shared" si="136"/>
        <v>1.3333333333333333</v>
      </c>
      <c r="N615" s="45">
        <f t="shared" si="137"/>
        <v>589248</v>
      </c>
      <c r="O615" s="45">
        <f t="shared" si="138"/>
        <v>196416</v>
      </c>
      <c r="P615" s="46">
        <f t="shared" si="139"/>
        <v>4.4444444444444439E-2</v>
      </c>
      <c r="Q615" s="46">
        <v>1</v>
      </c>
      <c r="R615" s="45">
        <f t="shared" si="140"/>
        <v>147312</v>
      </c>
      <c r="S615" s="46">
        <f t="shared" si="141"/>
        <v>22.5</v>
      </c>
      <c r="T615" s="46">
        <f>IFERROR(VLOOKUP(A615,'[1]Re-order'!$A:$Q,17,0),"")</f>
        <v>8.2417582417582427</v>
      </c>
      <c r="U615" s="46">
        <f>IFERROR(VLOOKUP(A615,'[1]MC Masterlist 2026-09-12'!$B:$M, 10, 0),0)</f>
        <v>15</v>
      </c>
      <c r="V615" s="46">
        <f>IFERROR(VLOOKUP(A615,'[1]MC Masterlist 2026-09-12'!$B:$M, 11, 0),0)</f>
        <v>15</v>
      </c>
      <c r="W615" s="46">
        <f t="shared" si="142"/>
        <v>30</v>
      </c>
      <c r="X615" s="46">
        <f t="shared" si="143"/>
        <v>29.333333333333332</v>
      </c>
      <c r="Y615" s="46">
        <f>IFERROR(IF(OR(C615="AREA I",C615="AREA V"),7,VLOOKUP(A615,'[1]MC Masterlist 2026-09-12'!$B:$M, 12, 0)),0)</f>
        <v>30</v>
      </c>
      <c r="Z615" s="46">
        <f t="shared" si="144"/>
        <v>0.66666666666666663</v>
      </c>
      <c r="AA615" s="46">
        <f t="shared" si="145"/>
        <v>1.3333333333333333</v>
      </c>
      <c r="AB615" s="46">
        <f t="shared" si="146"/>
        <v>1.3037037037037036</v>
      </c>
      <c r="AC615" s="46">
        <f t="shared" si="147"/>
        <v>1.3333333333333333</v>
      </c>
      <c r="AD615" s="44" t="str">
        <f t="shared" si="148"/>
        <v>Re-order</v>
      </c>
      <c r="AE615" s="44" t="str">
        <f>IFERROR(VLOOKUP(A615,'[1]Re-order'!$A:$AA,27,0),"")</f>
        <v>Stockout</v>
      </c>
      <c r="AF615" s="46">
        <f t="shared" si="149"/>
        <v>0.33333333333333326</v>
      </c>
      <c r="AG615" s="46">
        <f>SUMIFS('[1]Raw Inventory'!D:D,'[1]Raw Inventory'!C:C,"GREATWALL",'[1]Raw Inventory'!B:B,A615)</f>
        <v>0</v>
      </c>
      <c r="AH615" s="46">
        <f>SUMIFS('[1]Raw Inventory'!D:D,'[1]Raw Inventory'!C:C,"DUARTE",'[1]Raw Inventory'!B:B,A615)</f>
        <v>0</v>
      </c>
      <c r="AI615" s="46"/>
      <c r="AJ615" s="46"/>
      <c r="AK615" s="43"/>
      <c r="AL615" s="43"/>
      <c r="AM615" s="43"/>
      <c r="AN615" s="43"/>
      <c r="AO615" s="43"/>
      <c r="AP615" s="43"/>
      <c r="AQ615" s="43"/>
      <c r="AR615" s="43"/>
      <c r="AS615" s="43"/>
      <c r="AT615" s="43"/>
    </row>
    <row r="616" spans="1:46">
      <c r="A616" s="43" t="s">
        <v>79</v>
      </c>
      <c r="B616" s="43" t="s">
        <v>130</v>
      </c>
      <c r="C616" s="43" t="s">
        <v>128</v>
      </c>
      <c r="D616" s="44" t="s">
        <v>247</v>
      </c>
      <c r="E616" s="44">
        <v>26</v>
      </c>
      <c r="F616" s="44" t="s">
        <v>3</v>
      </c>
      <c r="G616" s="43" t="str">
        <f>IFERROR(VLOOKUP(A616,'[1]MC Masterlist 2026-09-12'!$B:$M, 3, 0),"")</f>
        <v>SUZUKI</v>
      </c>
      <c r="H616" s="45">
        <f>IFERROR(VLOOKUP(A616,'[1]MC Masterlist 2026-09-12'!$B:$M, 6, 0),"")</f>
        <v>78872</v>
      </c>
      <c r="I616" s="46">
        <v>1</v>
      </c>
      <c r="J616" s="46">
        <v>0</v>
      </c>
      <c r="K616" s="46">
        <v>0</v>
      </c>
      <c r="L616" s="46">
        <f t="shared" si="135"/>
        <v>1</v>
      </c>
      <c r="M616" s="46">
        <f t="shared" si="136"/>
        <v>0.33333333333333331</v>
      </c>
      <c r="N616" s="45">
        <f t="shared" si="137"/>
        <v>78872</v>
      </c>
      <c r="O616" s="45">
        <f t="shared" si="138"/>
        <v>26290.666666666664</v>
      </c>
      <c r="P616" s="46">
        <f t="shared" si="139"/>
        <v>1.111111111111111E-2</v>
      </c>
      <c r="Q616" s="46"/>
      <c r="R616" s="45">
        <f t="shared" si="140"/>
        <v>0</v>
      </c>
      <c r="S616" s="46">
        <f t="shared" si="141"/>
        <v>0</v>
      </c>
      <c r="T616" s="46">
        <f>IFERROR(VLOOKUP(A616,'[1]Re-order'!$A:$Q,17,0),"")</f>
        <v>72</v>
      </c>
      <c r="U616" s="46">
        <f>IFERROR(VLOOKUP(A616,'[1]MC Masterlist 2026-09-12'!$B:$M, 10, 0),0)</f>
        <v>15</v>
      </c>
      <c r="V616" s="46">
        <f>IFERROR(VLOOKUP(A616,'[1]MC Masterlist 2026-09-12'!$B:$M, 11, 0),0)</f>
        <v>15</v>
      </c>
      <c r="W616" s="46">
        <f t="shared" si="142"/>
        <v>30</v>
      </c>
      <c r="X616" s="46">
        <f t="shared" si="143"/>
        <v>29.833333333333332</v>
      </c>
      <c r="Y616" s="46">
        <f>IFERROR(IF(OR(C616="AREA I",C616="AREA V"),7,VLOOKUP(A616,'[1]MC Masterlist 2026-09-12'!$B:$M, 12, 0)),0)</f>
        <v>30</v>
      </c>
      <c r="Z616" s="46">
        <f t="shared" si="144"/>
        <v>0.16666666666666666</v>
      </c>
      <c r="AA616" s="46">
        <f t="shared" si="145"/>
        <v>0.33333333333333331</v>
      </c>
      <c r="AB616" s="46">
        <f t="shared" si="146"/>
        <v>0.33148148148148143</v>
      </c>
      <c r="AC616" s="46">
        <f t="shared" si="147"/>
        <v>0.33333333333333331</v>
      </c>
      <c r="AD616" s="44" t="str">
        <f t="shared" si="148"/>
        <v>Stockout</v>
      </c>
      <c r="AE616" s="44" t="str">
        <f>IFERROR(VLOOKUP(A616,'[1]Re-order'!$A:$AA,27,0),"")</f>
        <v>Re-order</v>
      </c>
      <c r="AF616" s="46">
        <f t="shared" si="149"/>
        <v>0.33333333333333331</v>
      </c>
      <c r="AG616" s="46">
        <f>SUMIFS('[1]Raw Inventory'!D:D,'[1]Raw Inventory'!C:C,"GREATWALL",'[1]Raw Inventory'!B:B,A616)</f>
        <v>0</v>
      </c>
      <c r="AH616" s="46">
        <f>SUMIFS('[1]Raw Inventory'!D:D,'[1]Raw Inventory'!C:C,"DUARTE",'[1]Raw Inventory'!B:B,A616)</f>
        <v>0</v>
      </c>
      <c r="AI616" s="46"/>
      <c r="AJ616" s="46"/>
      <c r="AK616" s="43"/>
      <c r="AL616" s="43"/>
      <c r="AM616" s="43"/>
      <c r="AN616" s="43"/>
      <c r="AO616" s="43"/>
      <c r="AP616" s="43"/>
      <c r="AQ616" s="43"/>
      <c r="AR616" s="43"/>
      <c r="AS616" s="43"/>
      <c r="AT616" s="43"/>
    </row>
    <row r="617" spans="1:46">
      <c r="A617" s="43" t="s">
        <v>89</v>
      </c>
      <c r="B617" s="43" t="s">
        <v>162</v>
      </c>
      <c r="C617" s="43" t="s">
        <v>159</v>
      </c>
      <c r="D617" s="44" t="s">
        <v>283</v>
      </c>
      <c r="E617" s="44">
        <v>26</v>
      </c>
      <c r="F617" s="44" t="s">
        <v>3</v>
      </c>
      <c r="G617" s="43" t="str">
        <f>IFERROR(VLOOKUP(A617,'[1]MC Masterlist 2026-09-12'!$B:$M, 3, 0),"")</f>
        <v>HONDA</v>
      </c>
      <c r="H617" s="45">
        <f>IFERROR(VLOOKUP(A617,'[1]MC Masterlist 2026-09-12'!$B:$M, 6, 0),"")</f>
        <v>117790</v>
      </c>
      <c r="I617" s="46">
        <v>0</v>
      </c>
      <c r="J617" s="46">
        <v>0</v>
      </c>
      <c r="K617" s="46">
        <v>0</v>
      </c>
      <c r="L617" s="46">
        <f t="shared" si="135"/>
        <v>0</v>
      </c>
      <c r="M617" s="46">
        <f t="shared" si="136"/>
        <v>0</v>
      </c>
      <c r="N617" s="45">
        <f t="shared" si="137"/>
        <v>0</v>
      </c>
      <c r="O617" s="45">
        <f t="shared" si="138"/>
        <v>0</v>
      </c>
      <c r="P617" s="46">
        <f t="shared" si="139"/>
        <v>0</v>
      </c>
      <c r="Q617" s="46">
        <v>3</v>
      </c>
      <c r="R617" s="45">
        <f t="shared" si="140"/>
        <v>353370</v>
      </c>
      <c r="S617" s="46">
        <f t="shared" si="141"/>
        <v>0</v>
      </c>
      <c r="T617" s="46">
        <f>IFERROR(VLOOKUP(A617,'[1]Re-order'!$A:$Q,17,0),"")</f>
        <v>81.818181818181827</v>
      </c>
      <c r="U617" s="46">
        <f>IFERROR(VLOOKUP(A617,'[1]MC Masterlist 2026-09-12'!$B:$M, 10, 0),0)</f>
        <v>15</v>
      </c>
      <c r="V617" s="46">
        <f>IFERROR(VLOOKUP(A617,'[1]MC Masterlist 2026-09-12'!$B:$M, 11, 0),0)</f>
        <v>15</v>
      </c>
      <c r="W617" s="46">
        <f t="shared" si="142"/>
        <v>30</v>
      </c>
      <c r="X617" s="46">
        <f t="shared" si="143"/>
        <v>30</v>
      </c>
      <c r="Y617" s="46">
        <f>IFERROR(IF(OR(C617="AREA I",C617="AREA V"),7,VLOOKUP(A617,'[1]MC Masterlist 2026-09-12'!$B:$M, 12, 0)),0)</f>
        <v>30</v>
      </c>
      <c r="Z617" s="46">
        <f t="shared" si="144"/>
        <v>0</v>
      </c>
      <c r="AA617" s="46">
        <f t="shared" si="145"/>
        <v>0</v>
      </c>
      <c r="AB617" s="46">
        <f t="shared" si="146"/>
        <v>0</v>
      </c>
      <c r="AC617" s="46">
        <f t="shared" si="147"/>
        <v>0</v>
      </c>
      <c r="AD617" s="44" t="str">
        <f t="shared" si="148"/>
        <v>Over</v>
      </c>
      <c r="AE617" s="44" t="str">
        <f>IFERROR(VLOOKUP(A617,'[1]Re-order'!$A:$AA,27,0),"")</f>
        <v/>
      </c>
      <c r="AF617" s="46">
        <f t="shared" si="149"/>
        <v>-3</v>
      </c>
      <c r="AG617" s="46">
        <f>SUMIFS('[1]Raw Inventory'!D:D,'[1]Raw Inventory'!C:C,"GREATWALL",'[1]Raw Inventory'!B:B,A617)</f>
        <v>5</v>
      </c>
      <c r="AH617" s="46">
        <f>SUMIFS('[1]Raw Inventory'!D:D,'[1]Raw Inventory'!C:C,"DUARTE",'[1]Raw Inventory'!B:B,A617)</f>
        <v>0</v>
      </c>
      <c r="AI617" s="46"/>
      <c r="AJ617" s="46"/>
      <c r="AK617" s="43"/>
      <c r="AL617" s="43"/>
      <c r="AM617" s="43"/>
      <c r="AN617" s="43"/>
      <c r="AO617" s="43"/>
      <c r="AP617" s="43"/>
      <c r="AQ617" s="43"/>
      <c r="AR617" s="43"/>
      <c r="AS617" s="43"/>
      <c r="AT617" s="43"/>
    </row>
    <row r="618" spans="1:46">
      <c r="A618" s="43" t="s">
        <v>62</v>
      </c>
      <c r="B618" s="43" t="s">
        <v>162</v>
      </c>
      <c r="C618" s="43" t="s">
        <v>159</v>
      </c>
      <c r="D618" s="44" t="s">
        <v>262</v>
      </c>
      <c r="E618" s="44">
        <v>13</v>
      </c>
      <c r="F618" s="44" t="s">
        <v>2</v>
      </c>
      <c r="G618" s="43" t="str">
        <f>IFERROR(VLOOKUP(A618,'[1]MC Masterlist 2026-09-12'!$B:$M, 3, 0),"")</f>
        <v>HONDA</v>
      </c>
      <c r="H618" s="45">
        <f>IFERROR(VLOOKUP(A618,'[1]MC Masterlist 2026-09-12'!$B:$M, 6, 0),"")</f>
        <v>123310</v>
      </c>
      <c r="I618" s="46">
        <v>0</v>
      </c>
      <c r="J618" s="46">
        <v>0</v>
      </c>
      <c r="K618" s="46">
        <v>1</v>
      </c>
      <c r="L618" s="46">
        <f t="shared" si="135"/>
        <v>1</v>
      </c>
      <c r="M618" s="46">
        <f t="shared" si="136"/>
        <v>0.33333333333333331</v>
      </c>
      <c r="N618" s="45">
        <f t="shared" si="137"/>
        <v>123310</v>
      </c>
      <c r="O618" s="45">
        <f t="shared" si="138"/>
        <v>41103.333333333328</v>
      </c>
      <c r="P618" s="46">
        <f t="shared" si="139"/>
        <v>1.111111111111111E-2</v>
      </c>
      <c r="Q618" s="46">
        <v>2</v>
      </c>
      <c r="R618" s="45">
        <f t="shared" si="140"/>
        <v>246620</v>
      </c>
      <c r="S618" s="46">
        <f t="shared" si="141"/>
        <v>180.00000000000003</v>
      </c>
      <c r="T618" s="46">
        <f>IFERROR(VLOOKUP(A618,'[1]Re-order'!$A:$Q,17,0),"")</f>
        <v>165</v>
      </c>
      <c r="U618" s="46">
        <f>IFERROR(VLOOKUP(A618,'[1]MC Masterlist 2026-09-12'!$B:$M, 10, 0),0)</f>
        <v>15</v>
      </c>
      <c r="V618" s="46">
        <f>IFERROR(VLOOKUP(A618,'[1]MC Masterlist 2026-09-12'!$B:$M, 11, 0),0)</f>
        <v>15</v>
      </c>
      <c r="W618" s="46">
        <f t="shared" si="142"/>
        <v>30</v>
      </c>
      <c r="X618" s="46">
        <f t="shared" si="143"/>
        <v>29.833333333333332</v>
      </c>
      <c r="Y618" s="46">
        <f>IFERROR(IF(OR(C618="AREA I",C618="AREA V"),7,VLOOKUP(A618,'[1]MC Masterlist 2026-09-12'!$B:$M, 12, 0)),0)</f>
        <v>30</v>
      </c>
      <c r="Z618" s="46">
        <f t="shared" si="144"/>
        <v>0.16666666666666666</v>
      </c>
      <c r="AA618" s="46">
        <f t="shared" si="145"/>
        <v>0.33333333333333331</v>
      </c>
      <c r="AB618" s="46">
        <f t="shared" si="146"/>
        <v>0.33148148148148143</v>
      </c>
      <c r="AC618" s="46">
        <f t="shared" si="147"/>
        <v>0.33333333333333331</v>
      </c>
      <c r="AD618" s="44" t="str">
        <f t="shared" si="148"/>
        <v>Over</v>
      </c>
      <c r="AE618" s="44" t="str">
        <f>IFERROR(VLOOKUP(A618,'[1]Re-order'!$A:$AA,27,0),"")</f>
        <v>Over</v>
      </c>
      <c r="AF618" s="46">
        <f t="shared" si="149"/>
        <v>-1.6666666666666667</v>
      </c>
      <c r="AG618" s="46">
        <f>SUMIFS('[1]Raw Inventory'!D:D,'[1]Raw Inventory'!C:C,"GREATWALL",'[1]Raw Inventory'!B:B,A618)</f>
        <v>4</v>
      </c>
      <c r="AH618" s="46">
        <f>SUMIFS('[1]Raw Inventory'!D:D,'[1]Raw Inventory'!C:C,"DUARTE",'[1]Raw Inventory'!B:B,A618)</f>
        <v>0</v>
      </c>
      <c r="AI618" s="46"/>
      <c r="AJ618" s="46"/>
      <c r="AK618" s="43"/>
      <c r="AL618" s="43"/>
      <c r="AM618" s="43"/>
      <c r="AN618" s="43"/>
      <c r="AO618" s="43"/>
      <c r="AP618" s="43"/>
      <c r="AQ618" s="43"/>
      <c r="AR618" s="43"/>
      <c r="AS618" s="43"/>
      <c r="AT618" s="43"/>
    </row>
    <row r="619" spans="1:46">
      <c r="A619" s="43" t="s">
        <v>26</v>
      </c>
      <c r="B619" s="43" t="s">
        <v>154</v>
      </c>
      <c r="C619" s="43" t="s">
        <v>152</v>
      </c>
      <c r="D619" s="44" t="s">
        <v>259</v>
      </c>
      <c r="E619" s="44">
        <v>5</v>
      </c>
      <c r="F619" s="44" t="s">
        <v>0</v>
      </c>
      <c r="G619" s="43" t="str">
        <f>IFERROR(VLOOKUP(A619,'[1]MC Masterlist 2026-09-12'!$B:$M, 3, 0),"")</f>
        <v>SUZUKI</v>
      </c>
      <c r="H619" s="45">
        <f>IFERROR(VLOOKUP(A619,'[1]MC Masterlist 2026-09-12'!$B:$M, 6, 0),"")</f>
        <v>123700</v>
      </c>
      <c r="I619" s="46">
        <v>0</v>
      </c>
      <c r="J619" s="46">
        <v>3</v>
      </c>
      <c r="K619" s="46">
        <v>2</v>
      </c>
      <c r="L619" s="46">
        <f t="shared" si="135"/>
        <v>5</v>
      </c>
      <c r="M619" s="46">
        <f t="shared" si="136"/>
        <v>1.6666666666666667</v>
      </c>
      <c r="N619" s="45">
        <f t="shared" si="137"/>
        <v>618500</v>
      </c>
      <c r="O619" s="45">
        <f t="shared" si="138"/>
        <v>206166.66666666669</v>
      </c>
      <c r="P619" s="46">
        <f t="shared" si="139"/>
        <v>5.5555555555555559E-2</v>
      </c>
      <c r="Q619" s="46">
        <v>3</v>
      </c>
      <c r="R619" s="45">
        <f t="shared" si="140"/>
        <v>371100</v>
      </c>
      <c r="S619" s="46">
        <f t="shared" si="141"/>
        <v>53.999999999999993</v>
      </c>
      <c r="T619" s="46">
        <f>IFERROR(VLOOKUP(A619,'[1]Re-order'!$A:$Q,17,0),"")</f>
        <v>71.470588235294116</v>
      </c>
      <c r="U619" s="46">
        <f>IFERROR(VLOOKUP(A619,'[1]MC Masterlist 2026-09-12'!$B:$M, 10, 0),0)</f>
        <v>15</v>
      </c>
      <c r="V619" s="46">
        <f>IFERROR(VLOOKUP(A619,'[1]MC Masterlist 2026-09-12'!$B:$M, 11, 0),0)</f>
        <v>15</v>
      </c>
      <c r="W619" s="46">
        <f t="shared" si="142"/>
        <v>30</v>
      </c>
      <c r="X619" s="46">
        <f t="shared" si="143"/>
        <v>29.166666666666668</v>
      </c>
      <c r="Y619" s="46">
        <f>IFERROR(IF(OR(C619="AREA I",C619="AREA V"),7,VLOOKUP(A619,'[1]MC Masterlist 2026-09-12'!$B:$M, 12, 0)),0)</f>
        <v>30</v>
      </c>
      <c r="Z619" s="46">
        <f t="shared" si="144"/>
        <v>0.83333333333333337</v>
      </c>
      <c r="AA619" s="46">
        <f t="shared" si="145"/>
        <v>1.6666666666666667</v>
      </c>
      <c r="AB619" s="46">
        <f t="shared" si="146"/>
        <v>1.6203703703703705</v>
      </c>
      <c r="AC619" s="46">
        <f t="shared" si="147"/>
        <v>1.6666666666666667</v>
      </c>
      <c r="AD619" s="44" t="str">
        <f t="shared" si="148"/>
        <v>Over</v>
      </c>
      <c r="AE619" s="44" t="str">
        <f>IFERROR(VLOOKUP(A619,'[1]Re-order'!$A:$AA,27,0),"")</f>
        <v>Re-order</v>
      </c>
      <c r="AF619" s="46">
        <f t="shared" si="149"/>
        <v>-1.3333333333333333</v>
      </c>
      <c r="AG619" s="46">
        <f>SUMIFS('[1]Raw Inventory'!D:D,'[1]Raw Inventory'!C:C,"GREATWALL",'[1]Raw Inventory'!B:B,A619)</f>
        <v>30</v>
      </c>
      <c r="AH619" s="46">
        <f>SUMIFS('[1]Raw Inventory'!D:D,'[1]Raw Inventory'!C:C,"DUARTE",'[1]Raw Inventory'!B:B,A619)</f>
        <v>0</v>
      </c>
      <c r="AI619" s="46"/>
      <c r="AJ619" s="46"/>
      <c r="AK619" s="43"/>
      <c r="AL619" s="43"/>
      <c r="AM619" s="43"/>
      <c r="AN619" s="43"/>
      <c r="AO619" s="43"/>
      <c r="AP619" s="43"/>
      <c r="AQ619" s="43"/>
      <c r="AR619" s="43"/>
      <c r="AS619" s="43"/>
      <c r="AT619" s="43"/>
    </row>
    <row r="620" spans="1:46">
      <c r="A620" s="43" t="s">
        <v>70</v>
      </c>
      <c r="B620" s="43" t="s">
        <v>123</v>
      </c>
      <c r="C620" s="43" t="s">
        <v>118</v>
      </c>
      <c r="D620" s="44" t="s">
        <v>233</v>
      </c>
      <c r="E620" s="44">
        <v>9</v>
      </c>
      <c r="F620" s="44" t="s">
        <v>2</v>
      </c>
      <c r="G620" s="43" t="str">
        <f>IFERROR(VLOOKUP(A620,'[1]MC Masterlist 2026-09-12'!$B:$M, 3, 0),"")</f>
        <v>KAWASAKI</v>
      </c>
      <c r="H620" s="45">
        <f>IFERROR(VLOOKUP(A620,'[1]MC Masterlist 2026-09-12'!$B:$M, 6, 0),"")</f>
        <v>91770</v>
      </c>
      <c r="I620" s="46">
        <v>2</v>
      </c>
      <c r="J620" s="46">
        <v>0</v>
      </c>
      <c r="K620" s="46">
        <v>0</v>
      </c>
      <c r="L620" s="46">
        <f t="shared" si="135"/>
        <v>2</v>
      </c>
      <c r="M620" s="46">
        <f t="shared" si="136"/>
        <v>0.66666666666666663</v>
      </c>
      <c r="N620" s="45">
        <f t="shared" si="137"/>
        <v>183540</v>
      </c>
      <c r="O620" s="45">
        <f t="shared" si="138"/>
        <v>61180</v>
      </c>
      <c r="P620" s="46">
        <f t="shared" si="139"/>
        <v>2.222222222222222E-2</v>
      </c>
      <c r="Q620" s="46">
        <v>1</v>
      </c>
      <c r="R620" s="45">
        <f t="shared" si="140"/>
        <v>91770</v>
      </c>
      <c r="S620" s="46">
        <f t="shared" si="141"/>
        <v>45</v>
      </c>
      <c r="T620" s="46">
        <f>IFERROR(VLOOKUP(A620,'[1]Re-order'!$A:$Q,17,0),"")</f>
        <v>255</v>
      </c>
      <c r="U620" s="46">
        <f>IFERROR(VLOOKUP(A620,'[1]MC Masterlist 2026-09-12'!$B:$M, 10, 0),0)</f>
        <v>15</v>
      </c>
      <c r="V620" s="46">
        <f>IFERROR(VLOOKUP(A620,'[1]MC Masterlist 2026-09-12'!$B:$M, 11, 0),0)</f>
        <v>15</v>
      </c>
      <c r="W620" s="46">
        <f t="shared" si="142"/>
        <v>30</v>
      </c>
      <c r="X620" s="46">
        <f t="shared" si="143"/>
        <v>29.666666666666668</v>
      </c>
      <c r="Y620" s="46">
        <f>IFERROR(IF(OR(C620="AREA I",C620="AREA V"),7,VLOOKUP(A620,'[1]MC Masterlist 2026-09-12'!$B:$M, 12, 0)),0)</f>
        <v>30</v>
      </c>
      <c r="Z620" s="46">
        <f t="shared" si="144"/>
        <v>0.33333333333333331</v>
      </c>
      <c r="AA620" s="46">
        <f t="shared" si="145"/>
        <v>0.66666666666666663</v>
      </c>
      <c r="AB620" s="46">
        <f t="shared" si="146"/>
        <v>0.65925925925925921</v>
      </c>
      <c r="AC620" s="46">
        <f t="shared" si="147"/>
        <v>0.66666666666666663</v>
      </c>
      <c r="AD620" s="44" t="str">
        <f t="shared" si="148"/>
        <v>Over</v>
      </c>
      <c r="AE620" s="44" t="str">
        <f>IFERROR(VLOOKUP(A620,'[1]Re-order'!$A:$AA,27,0),"")</f>
        <v>Over</v>
      </c>
      <c r="AF620" s="46">
        <f t="shared" si="149"/>
        <v>-0.33333333333333337</v>
      </c>
      <c r="AG620" s="46">
        <f>SUMIFS('[1]Raw Inventory'!D:D,'[1]Raw Inventory'!C:C,"GREATWALL",'[1]Raw Inventory'!B:B,A620)</f>
        <v>4</v>
      </c>
      <c r="AH620" s="46">
        <f>SUMIFS('[1]Raw Inventory'!D:D,'[1]Raw Inventory'!C:C,"DUARTE",'[1]Raw Inventory'!B:B,A620)</f>
        <v>0</v>
      </c>
      <c r="AI620" s="46"/>
      <c r="AJ620" s="46"/>
      <c r="AK620" s="43"/>
      <c r="AL620" s="43"/>
      <c r="AM620" s="43"/>
      <c r="AN620" s="43"/>
      <c r="AO620" s="43"/>
      <c r="AP620" s="43"/>
      <c r="AQ620" s="43"/>
      <c r="AR620" s="43"/>
      <c r="AS620" s="43"/>
      <c r="AT620" s="43"/>
    </row>
    <row r="621" spans="1:46">
      <c r="A621" s="43" t="s">
        <v>31</v>
      </c>
      <c r="B621" s="43" t="s">
        <v>138</v>
      </c>
      <c r="C621" s="43" t="s">
        <v>137</v>
      </c>
      <c r="D621" s="44" t="s">
        <v>237</v>
      </c>
      <c r="E621" s="44">
        <v>25</v>
      </c>
      <c r="F621" s="44" t="s">
        <v>3</v>
      </c>
      <c r="G621" s="43" t="str">
        <f>IFERROR(VLOOKUP(A621,'[1]MC Masterlist 2026-09-12'!$B:$M, 3, 0),"")</f>
        <v>KAWASAKI</v>
      </c>
      <c r="H621" s="45">
        <f>IFERROR(VLOOKUP(A621,'[1]MC Masterlist 2026-09-12'!$B:$M, 6, 0),"")</f>
        <v>59528</v>
      </c>
      <c r="I621" s="46">
        <v>0</v>
      </c>
      <c r="J621" s="46">
        <v>0</v>
      </c>
      <c r="K621" s="46">
        <v>0</v>
      </c>
      <c r="L621" s="46">
        <f t="shared" si="135"/>
        <v>0</v>
      </c>
      <c r="M621" s="46">
        <f t="shared" si="136"/>
        <v>0</v>
      </c>
      <c r="N621" s="45">
        <f t="shared" si="137"/>
        <v>0</v>
      </c>
      <c r="O621" s="45">
        <f t="shared" si="138"/>
        <v>0</v>
      </c>
      <c r="P621" s="46">
        <f t="shared" si="139"/>
        <v>0</v>
      </c>
      <c r="Q621" s="46">
        <v>79</v>
      </c>
      <c r="R621" s="45">
        <f t="shared" si="140"/>
        <v>4702712</v>
      </c>
      <c r="S621" s="46">
        <f t="shared" si="141"/>
        <v>0</v>
      </c>
      <c r="T621" s="46">
        <f>IFERROR(VLOOKUP(A621,'[1]Re-order'!$A:$Q,17,0),"")</f>
        <v>95.869565217391298</v>
      </c>
      <c r="U621" s="46">
        <f>IFERROR(VLOOKUP(A621,'[1]MC Masterlist 2026-09-12'!$B:$M, 10, 0),0)</f>
        <v>15</v>
      </c>
      <c r="V621" s="46">
        <f>IFERROR(VLOOKUP(A621,'[1]MC Masterlist 2026-09-12'!$B:$M, 11, 0),0)</f>
        <v>15</v>
      </c>
      <c r="W621" s="46">
        <f t="shared" si="142"/>
        <v>30</v>
      </c>
      <c r="X621" s="46">
        <f t="shared" si="143"/>
        <v>7</v>
      </c>
      <c r="Y621" s="46">
        <f>IFERROR(IF(OR(C621="AREA I",C621="AREA V"),7,VLOOKUP(A621,'[1]MC Masterlist 2026-09-12'!$B:$M, 12, 0)),0)</f>
        <v>7</v>
      </c>
      <c r="Z621" s="46">
        <f t="shared" si="144"/>
        <v>0</v>
      </c>
      <c r="AA621" s="46">
        <f t="shared" si="145"/>
        <v>0</v>
      </c>
      <c r="AB621" s="46">
        <f t="shared" si="146"/>
        <v>0</v>
      </c>
      <c r="AC621" s="46">
        <f t="shared" si="147"/>
        <v>0</v>
      </c>
      <c r="AD621" s="44" t="str">
        <f t="shared" si="148"/>
        <v>Over</v>
      </c>
      <c r="AE621" s="44" t="str">
        <f>IFERROR(VLOOKUP(A621,'[1]Re-order'!$A:$AA,27,0),"")</f>
        <v>Over</v>
      </c>
      <c r="AF621" s="46">
        <f t="shared" si="149"/>
        <v>-79</v>
      </c>
      <c r="AG621" s="46">
        <f>SUMIFS('[1]Raw Inventory'!D:D,'[1]Raw Inventory'!C:C,"GREATWALL",'[1]Raw Inventory'!B:B,A621)</f>
        <v>79</v>
      </c>
      <c r="AH621" s="46">
        <f>SUMIFS('[1]Raw Inventory'!D:D,'[1]Raw Inventory'!C:C,"DUARTE",'[1]Raw Inventory'!B:B,A621)</f>
        <v>0</v>
      </c>
      <c r="AI621" s="46"/>
      <c r="AJ621" s="46"/>
      <c r="AK621" s="43"/>
      <c r="AL621" s="43"/>
      <c r="AM621" s="43"/>
      <c r="AN621" s="43"/>
      <c r="AO621" s="43"/>
      <c r="AP621" s="43"/>
      <c r="AQ621" s="43"/>
      <c r="AR621" s="43"/>
      <c r="AS621" s="43"/>
      <c r="AT621" s="43"/>
    </row>
    <row r="622" spans="1:46">
      <c r="A622" s="43" t="s">
        <v>47</v>
      </c>
      <c r="B622" s="43" t="s">
        <v>142</v>
      </c>
      <c r="C622" s="43" t="s">
        <v>137</v>
      </c>
      <c r="D622" s="44" t="s">
        <v>253</v>
      </c>
      <c r="E622" s="44">
        <v>26</v>
      </c>
      <c r="F622" s="44" t="s">
        <v>3</v>
      </c>
      <c r="G622" s="43" t="str">
        <f>IFERROR(VLOOKUP(A622,'[1]MC Masterlist 2026-09-12'!$B:$M, 3, 0),"")</f>
        <v>YAMAHA</v>
      </c>
      <c r="H622" s="45">
        <f>IFERROR(VLOOKUP(A622,'[1]MC Masterlist 2026-09-12'!$B:$M, 6, 0),"")</f>
        <v>76167</v>
      </c>
      <c r="I622" s="46">
        <v>0</v>
      </c>
      <c r="J622" s="46">
        <v>0</v>
      </c>
      <c r="K622" s="46">
        <v>0</v>
      </c>
      <c r="L622" s="46">
        <f t="shared" si="135"/>
        <v>0</v>
      </c>
      <c r="M622" s="46">
        <f t="shared" si="136"/>
        <v>0</v>
      </c>
      <c r="N622" s="45">
        <f t="shared" si="137"/>
        <v>0</v>
      </c>
      <c r="O622" s="45">
        <f t="shared" si="138"/>
        <v>0</v>
      </c>
      <c r="P622" s="46">
        <f t="shared" si="139"/>
        <v>0</v>
      </c>
      <c r="Q622" s="46">
        <v>3</v>
      </c>
      <c r="R622" s="45">
        <f t="shared" si="140"/>
        <v>228501</v>
      </c>
      <c r="S622" s="46">
        <f t="shared" si="141"/>
        <v>0</v>
      </c>
      <c r="T622" s="46">
        <f>IFERROR(VLOOKUP(A622,'[1]Re-order'!$A:$Q,17,0),"")</f>
        <v>86.666666666666671</v>
      </c>
      <c r="U622" s="46">
        <f>IFERROR(VLOOKUP(A622,'[1]MC Masterlist 2026-09-12'!$B:$M, 10, 0),0)</f>
        <v>15</v>
      </c>
      <c r="V622" s="46">
        <f>IFERROR(VLOOKUP(A622,'[1]MC Masterlist 2026-09-12'!$B:$M, 11, 0),0)</f>
        <v>15</v>
      </c>
      <c r="W622" s="46">
        <f t="shared" si="142"/>
        <v>30</v>
      </c>
      <c r="X622" s="46">
        <f t="shared" si="143"/>
        <v>7</v>
      </c>
      <c r="Y622" s="46">
        <f>IFERROR(IF(OR(C622="AREA I",C622="AREA V"),7,VLOOKUP(A622,'[1]MC Masterlist 2026-09-12'!$B:$M, 12, 0)),0)</f>
        <v>7</v>
      </c>
      <c r="Z622" s="46">
        <f t="shared" si="144"/>
        <v>0</v>
      </c>
      <c r="AA622" s="46">
        <f t="shared" si="145"/>
        <v>0</v>
      </c>
      <c r="AB622" s="46">
        <f t="shared" si="146"/>
        <v>0</v>
      </c>
      <c r="AC622" s="46">
        <f t="shared" si="147"/>
        <v>0</v>
      </c>
      <c r="AD622" s="44" t="str">
        <f t="shared" si="148"/>
        <v>Over</v>
      </c>
      <c r="AE622" s="44" t="str">
        <f>IFERROR(VLOOKUP(A622,'[1]Re-order'!$A:$AA,27,0),"")</f>
        <v/>
      </c>
      <c r="AF622" s="46">
        <f t="shared" si="149"/>
        <v>-3</v>
      </c>
      <c r="AG622" s="46">
        <f>SUMIFS('[1]Raw Inventory'!D:D,'[1]Raw Inventory'!C:C,"GREATWALL",'[1]Raw Inventory'!B:B,A622)</f>
        <v>1</v>
      </c>
      <c r="AH622" s="46">
        <f>SUMIFS('[1]Raw Inventory'!D:D,'[1]Raw Inventory'!C:C,"DUARTE",'[1]Raw Inventory'!B:B,A622)</f>
        <v>0</v>
      </c>
      <c r="AI622" s="46"/>
      <c r="AJ622" s="46"/>
      <c r="AK622" s="43"/>
      <c r="AL622" s="43"/>
      <c r="AM622" s="43"/>
      <c r="AN622" s="43"/>
      <c r="AO622" s="43"/>
      <c r="AP622" s="43"/>
      <c r="AQ622" s="43"/>
      <c r="AR622" s="43"/>
      <c r="AS622" s="43"/>
      <c r="AT622" s="43"/>
    </row>
    <row r="623" spans="1:46">
      <c r="A623" s="43" t="s">
        <v>60</v>
      </c>
      <c r="B623" s="43" t="s">
        <v>121</v>
      </c>
      <c r="C623" s="43" t="s">
        <v>118</v>
      </c>
      <c r="D623" s="44" t="s">
        <v>231</v>
      </c>
      <c r="E623" s="44">
        <v>28</v>
      </c>
      <c r="F623" s="44" t="s">
        <v>3</v>
      </c>
      <c r="G623" s="43" t="str">
        <f>IFERROR(VLOOKUP(A623,'[1]MC Masterlist 2026-09-12'!$B:$M, 3, 0),"")</f>
        <v>HONDA</v>
      </c>
      <c r="H623" s="45">
        <f>IFERROR(VLOOKUP(A623,'[1]MC Masterlist 2026-09-12'!$B:$M, 6, 0),"")</f>
        <v>61670</v>
      </c>
      <c r="I623" s="46">
        <v>0</v>
      </c>
      <c r="J623" s="46">
        <v>0</v>
      </c>
      <c r="K623" s="46">
        <v>0</v>
      </c>
      <c r="L623" s="46">
        <f t="shared" si="135"/>
        <v>0</v>
      </c>
      <c r="M623" s="46">
        <f t="shared" si="136"/>
        <v>0</v>
      </c>
      <c r="N623" s="45">
        <f t="shared" si="137"/>
        <v>0</v>
      </c>
      <c r="O623" s="45">
        <f t="shared" si="138"/>
        <v>0</v>
      </c>
      <c r="P623" s="46">
        <f t="shared" si="139"/>
        <v>0</v>
      </c>
      <c r="Q623" s="46">
        <v>1</v>
      </c>
      <c r="R623" s="45">
        <f t="shared" si="140"/>
        <v>61670</v>
      </c>
      <c r="S623" s="46">
        <f t="shared" si="141"/>
        <v>0</v>
      </c>
      <c r="T623" s="46">
        <f>IFERROR(VLOOKUP(A623,'[1]Re-order'!$A:$Q,17,0),"")</f>
        <v>300</v>
      </c>
      <c r="U623" s="46">
        <f>IFERROR(VLOOKUP(A623,'[1]MC Masterlist 2026-09-12'!$B:$M, 10, 0),0)</f>
        <v>15</v>
      </c>
      <c r="V623" s="46">
        <f>IFERROR(VLOOKUP(A623,'[1]MC Masterlist 2026-09-12'!$B:$M, 11, 0),0)</f>
        <v>15</v>
      </c>
      <c r="W623" s="46">
        <f t="shared" si="142"/>
        <v>30</v>
      </c>
      <c r="X623" s="46">
        <f t="shared" si="143"/>
        <v>30</v>
      </c>
      <c r="Y623" s="46">
        <f>IFERROR(IF(OR(C623="AREA I",C623="AREA V"),7,VLOOKUP(A623,'[1]MC Masterlist 2026-09-12'!$B:$M, 12, 0)),0)</f>
        <v>30</v>
      </c>
      <c r="Z623" s="46">
        <f t="shared" si="144"/>
        <v>0</v>
      </c>
      <c r="AA623" s="46">
        <f t="shared" si="145"/>
        <v>0</v>
      </c>
      <c r="AB623" s="46">
        <f t="shared" si="146"/>
        <v>0</v>
      </c>
      <c r="AC623" s="46">
        <f t="shared" si="147"/>
        <v>0</v>
      </c>
      <c r="AD623" s="44" t="str">
        <f t="shared" si="148"/>
        <v>Over</v>
      </c>
      <c r="AE623" s="44" t="str">
        <f>IFERROR(VLOOKUP(A623,'[1]Re-order'!$A:$AA,27,0),"")</f>
        <v>Over</v>
      </c>
      <c r="AF623" s="46">
        <f t="shared" si="149"/>
        <v>-1</v>
      </c>
      <c r="AG623" s="46">
        <f>SUMIFS('[1]Raw Inventory'!D:D,'[1]Raw Inventory'!C:C,"GREATWALL",'[1]Raw Inventory'!B:B,A623)</f>
        <v>0</v>
      </c>
      <c r="AH623" s="46">
        <f>SUMIFS('[1]Raw Inventory'!D:D,'[1]Raw Inventory'!C:C,"DUARTE",'[1]Raw Inventory'!B:B,A623)</f>
        <v>0</v>
      </c>
      <c r="AI623" s="46"/>
      <c r="AJ623" s="46"/>
      <c r="AK623" s="43"/>
      <c r="AL623" s="43"/>
      <c r="AM623" s="43"/>
      <c r="AN623" s="43"/>
      <c r="AO623" s="43"/>
      <c r="AP623" s="43"/>
      <c r="AQ623" s="43"/>
      <c r="AR623" s="43"/>
      <c r="AS623" s="43"/>
      <c r="AT623" s="43"/>
    </row>
    <row r="624" spans="1:46">
      <c r="A624" s="43" t="s">
        <v>28</v>
      </c>
      <c r="B624" s="43" t="s">
        <v>113</v>
      </c>
      <c r="C624" s="43" t="s">
        <v>109</v>
      </c>
      <c r="D624" s="44" t="s">
        <v>234</v>
      </c>
      <c r="E624" s="44">
        <v>4</v>
      </c>
      <c r="F624" s="44" t="s">
        <v>0</v>
      </c>
      <c r="G624" s="43" t="str">
        <f>IFERROR(VLOOKUP(A624,'[1]MC Masterlist 2026-09-12'!$B:$M, 3, 0),"")</f>
        <v>YAMAHA</v>
      </c>
      <c r="H624" s="45">
        <f>IFERROR(VLOOKUP(A624,'[1]MC Masterlist 2026-09-12'!$B:$M, 6, 0),"")</f>
        <v>147312</v>
      </c>
      <c r="I624" s="46">
        <v>0</v>
      </c>
      <c r="J624" s="46">
        <v>4</v>
      </c>
      <c r="K624" s="46">
        <v>5</v>
      </c>
      <c r="L624" s="46">
        <f t="shared" si="135"/>
        <v>9</v>
      </c>
      <c r="M624" s="46">
        <f t="shared" si="136"/>
        <v>3</v>
      </c>
      <c r="N624" s="45">
        <f t="shared" si="137"/>
        <v>1325808</v>
      </c>
      <c r="O624" s="45">
        <f t="shared" si="138"/>
        <v>441936</v>
      </c>
      <c r="P624" s="46">
        <f t="shared" si="139"/>
        <v>0.1</v>
      </c>
      <c r="Q624" s="46"/>
      <c r="R624" s="45">
        <f t="shared" si="140"/>
        <v>0</v>
      </c>
      <c r="S624" s="46">
        <f t="shared" si="141"/>
        <v>0</v>
      </c>
      <c r="T624" s="46">
        <f>IFERROR(VLOOKUP(A624,'[1]Re-order'!$A:$Q,17,0),"")</f>
        <v>8.2417582417582427</v>
      </c>
      <c r="U624" s="46">
        <f>IFERROR(VLOOKUP(A624,'[1]MC Masterlist 2026-09-12'!$B:$M, 10, 0),0)</f>
        <v>15</v>
      </c>
      <c r="V624" s="46">
        <f>IFERROR(VLOOKUP(A624,'[1]MC Masterlist 2026-09-12'!$B:$M, 11, 0),0)</f>
        <v>15</v>
      </c>
      <c r="W624" s="46">
        <f t="shared" si="142"/>
        <v>30</v>
      </c>
      <c r="X624" s="46">
        <f t="shared" si="143"/>
        <v>28.5</v>
      </c>
      <c r="Y624" s="46">
        <f>IFERROR(IF(OR(C624="AREA I",C624="AREA V"),7,VLOOKUP(A624,'[1]MC Masterlist 2026-09-12'!$B:$M, 12, 0)),0)</f>
        <v>30</v>
      </c>
      <c r="Z624" s="46">
        <f t="shared" si="144"/>
        <v>1.5</v>
      </c>
      <c r="AA624" s="46">
        <f t="shared" si="145"/>
        <v>3</v>
      </c>
      <c r="AB624" s="46">
        <f t="shared" si="146"/>
        <v>2.85</v>
      </c>
      <c r="AC624" s="46">
        <f t="shared" si="147"/>
        <v>3</v>
      </c>
      <c r="AD624" s="44" t="str">
        <f t="shared" si="148"/>
        <v>Stockout</v>
      </c>
      <c r="AE624" s="44" t="str">
        <f>IFERROR(VLOOKUP(A624,'[1]Re-order'!$A:$AA,27,0),"")</f>
        <v>Stockout</v>
      </c>
      <c r="AF624" s="46">
        <f t="shared" si="149"/>
        <v>3</v>
      </c>
      <c r="AG624" s="46">
        <f>SUMIFS('[1]Raw Inventory'!D:D,'[1]Raw Inventory'!C:C,"GREATWALL",'[1]Raw Inventory'!B:B,A624)</f>
        <v>0</v>
      </c>
      <c r="AH624" s="46">
        <f>SUMIFS('[1]Raw Inventory'!D:D,'[1]Raw Inventory'!C:C,"DUARTE",'[1]Raw Inventory'!B:B,A624)</f>
        <v>0</v>
      </c>
      <c r="AI624" s="46"/>
      <c r="AJ624" s="46"/>
      <c r="AK624" s="43"/>
      <c r="AL624" s="43"/>
      <c r="AM624" s="43"/>
      <c r="AN624" s="43"/>
      <c r="AO624" s="43"/>
      <c r="AP624" s="43"/>
      <c r="AQ624" s="43"/>
      <c r="AR624" s="43"/>
      <c r="AS624" s="43"/>
      <c r="AT624" s="43"/>
    </row>
    <row r="625" spans="1:46">
      <c r="A625" s="43" t="s">
        <v>83</v>
      </c>
      <c r="B625" s="43" t="s">
        <v>114</v>
      </c>
      <c r="C625" s="43" t="s">
        <v>109</v>
      </c>
      <c r="D625" s="44" t="s">
        <v>226</v>
      </c>
      <c r="E625" s="44">
        <v>30</v>
      </c>
      <c r="F625" s="44" t="s">
        <v>3</v>
      </c>
      <c r="G625" s="43" t="str">
        <f>IFERROR(VLOOKUP(A625,'[1]MC Masterlist 2026-09-12'!$B:$M, 3, 0),"")</f>
        <v>SKYGO</v>
      </c>
      <c r="H625" s="45">
        <f>IFERROR(VLOOKUP(A625,'[1]MC Masterlist 2026-09-12'!$B:$M, 6, 0),"")</f>
        <v>35055</v>
      </c>
      <c r="I625" s="46">
        <v>0</v>
      </c>
      <c r="J625" s="46">
        <v>0</v>
      </c>
      <c r="K625" s="46">
        <v>0</v>
      </c>
      <c r="L625" s="46">
        <f t="shared" si="135"/>
        <v>0</v>
      </c>
      <c r="M625" s="46">
        <f t="shared" si="136"/>
        <v>0</v>
      </c>
      <c r="N625" s="45">
        <f t="shared" si="137"/>
        <v>0</v>
      </c>
      <c r="O625" s="45">
        <f t="shared" si="138"/>
        <v>0</v>
      </c>
      <c r="P625" s="46">
        <f t="shared" si="139"/>
        <v>0</v>
      </c>
      <c r="Q625" s="46">
        <v>1</v>
      </c>
      <c r="R625" s="45">
        <f t="shared" si="140"/>
        <v>35055</v>
      </c>
      <c r="S625" s="46">
        <f t="shared" si="141"/>
        <v>0</v>
      </c>
      <c r="T625" s="46">
        <f>IFERROR(VLOOKUP(A625,'[1]Re-order'!$A:$Q,17,0),"")</f>
        <v>313.2</v>
      </c>
      <c r="U625" s="46">
        <f>IFERROR(VLOOKUP(A625,'[1]MC Masterlist 2026-09-12'!$B:$M, 10, 0),0)</f>
        <v>15</v>
      </c>
      <c r="V625" s="46">
        <f>IFERROR(VLOOKUP(A625,'[1]MC Masterlist 2026-09-12'!$B:$M, 11, 0),0)</f>
        <v>15</v>
      </c>
      <c r="W625" s="46">
        <f t="shared" si="142"/>
        <v>30</v>
      </c>
      <c r="X625" s="46">
        <f t="shared" si="143"/>
        <v>30</v>
      </c>
      <c r="Y625" s="46">
        <f>IFERROR(IF(OR(C625="AREA I",C625="AREA V"),7,VLOOKUP(A625,'[1]MC Masterlist 2026-09-12'!$B:$M, 12, 0)),0)</f>
        <v>30</v>
      </c>
      <c r="Z625" s="46">
        <f t="shared" si="144"/>
        <v>0</v>
      </c>
      <c r="AA625" s="46">
        <f t="shared" si="145"/>
        <v>0</v>
      </c>
      <c r="AB625" s="46">
        <f t="shared" si="146"/>
        <v>0</v>
      </c>
      <c r="AC625" s="46">
        <f t="shared" si="147"/>
        <v>0</v>
      </c>
      <c r="AD625" s="44" t="str">
        <f t="shared" si="148"/>
        <v>Over</v>
      </c>
      <c r="AE625" s="44" t="str">
        <f>IFERROR(VLOOKUP(A625,'[1]Re-order'!$A:$AA,27,0),"")</f>
        <v>Over</v>
      </c>
      <c r="AF625" s="46">
        <f t="shared" si="149"/>
        <v>-1</v>
      </c>
      <c r="AG625" s="46">
        <f>SUMIFS('[1]Raw Inventory'!D:D,'[1]Raw Inventory'!C:C,"GREATWALL",'[1]Raw Inventory'!B:B,A625)</f>
        <v>33</v>
      </c>
      <c r="AH625" s="46">
        <f>SUMIFS('[1]Raw Inventory'!D:D,'[1]Raw Inventory'!C:C,"DUARTE",'[1]Raw Inventory'!B:B,A625)</f>
        <v>0</v>
      </c>
      <c r="AI625" s="46"/>
      <c r="AJ625" s="46"/>
      <c r="AK625" s="43"/>
      <c r="AL625" s="43"/>
      <c r="AM625" s="43"/>
      <c r="AN625" s="43"/>
      <c r="AO625" s="43"/>
      <c r="AP625" s="43"/>
      <c r="AQ625" s="43"/>
      <c r="AR625" s="43"/>
      <c r="AS625" s="43"/>
      <c r="AT625" s="43"/>
    </row>
    <row r="626" spans="1:46">
      <c r="A626" s="43" t="s">
        <v>35</v>
      </c>
      <c r="B626" s="43" t="s">
        <v>110</v>
      </c>
      <c r="C626" s="43" t="s">
        <v>109</v>
      </c>
      <c r="D626" s="44" t="s">
        <v>237</v>
      </c>
      <c r="E626" s="44">
        <v>29</v>
      </c>
      <c r="F626" s="44" t="s">
        <v>3</v>
      </c>
      <c r="G626" s="43" t="str">
        <f>IFERROR(VLOOKUP(A626,'[1]MC Masterlist 2026-09-12'!$B:$M, 3, 0),"")</f>
        <v>HONDA</v>
      </c>
      <c r="H626" s="45">
        <f>IFERROR(VLOOKUP(A626,'[1]MC Masterlist 2026-09-12'!$B:$M, 6, 0),"")</f>
        <v>57990</v>
      </c>
      <c r="I626" s="46">
        <v>0</v>
      </c>
      <c r="J626" s="46">
        <v>1</v>
      </c>
      <c r="K626" s="46">
        <v>0</v>
      </c>
      <c r="L626" s="46">
        <f t="shared" si="135"/>
        <v>1</v>
      </c>
      <c r="M626" s="46">
        <f t="shared" si="136"/>
        <v>0.33333333333333331</v>
      </c>
      <c r="N626" s="45">
        <f t="shared" si="137"/>
        <v>57990</v>
      </c>
      <c r="O626" s="45">
        <f t="shared" si="138"/>
        <v>19330</v>
      </c>
      <c r="P626" s="46">
        <f t="shared" si="139"/>
        <v>1.111111111111111E-2</v>
      </c>
      <c r="Q626" s="46"/>
      <c r="R626" s="45">
        <f t="shared" si="140"/>
        <v>0</v>
      </c>
      <c r="S626" s="46">
        <f t="shared" si="141"/>
        <v>0</v>
      </c>
      <c r="T626" s="46">
        <f>IFERROR(VLOOKUP(A626,'[1]Re-order'!$A:$Q,17,0),"")</f>
        <v>68.275862068965523</v>
      </c>
      <c r="U626" s="46">
        <f>IFERROR(VLOOKUP(A626,'[1]MC Masterlist 2026-09-12'!$B:$M, 10, 0),0)</f>
        <v>15</v>
      </c>
      <c r="V626" s="46">
        <f>IFERROR(VLOOKUP(A626,'[1]MC Masterlist 2026-09-12'!$B:$M, 11, 0),0)</f>
        <v>15</v>
      </c>
      <c r="W626" s="46">
        <f t="shared" si="142"/>
        <v>30</v>
      </c>
      <c r="X626" s="46">
        <f t="shared" si="143"/>
        <v>29.833333333333332</v>
      </c>
      <c r="Y626" s="46">
        <f>IFERROR(IF(OR(C626="AREA I",C626="AREA V"),7,VLOOKUP(A626,'[1]MC Masterlist 2026-09-12'!$B:$M, 12, 0)),0)</f>
        <v>30</v>
      </c>
      <c r="Z626" s="46">
        <f t="shared" si="144"/>
        <v>0.16666666666666666</v>
      </c>
      <c r="AA626" s="46">
        <f t="shared" si="145"/>
        <v>0.33333333333333331</v>
      </c>
      <c r="AB626" s="46">
        <f t="shared" si="146"/>
        <v>0.33148148148148143</v>
      </c>
      <c r="AC626" s="46">
        <f t="shared" si="147"/>
        <v>0.33333333333333331</v>
      </c>
      <c r="AD626" s="44" t="str">
        <f t="shared" si="148"/>
        <v>Stockout</v>
      </c>
      <c r="AE626" s="44" t="str">
        <f>IFERROR(VLOOKUP(A626,'[1]Re-order'!$A:$AA,27,0),"")</f>
        <v>Re-order</v>
      </c>
      <c r="AF626" s="46">
        <f t="shared" si="149"/>
        <v>0.33333333333333331</v>
      </c>
      <c r="AG626" s="46">
        <f>SUMIFS('[1]Raw Inventory'!D:D,'[1]Raw Inventory'!C:C,"GREATWALL",'[1]Raw Inventory'!B:B,A626)</f>
        <v>29</v>
      </c>
      <c r="AH626" s="46">
        <f>SUMIFS('[1]Raw Inventory'!D:D,'[1]Raw Inventory'!C:C,"DUARTE",'[1]Raw Inventory'!B:B,A626)</f>
        <v>0</v>
      </c>
      <c r="AI626" s="46"/>
      <c r="AJ626" s="46"/>
      <c r="AK626" s="43"/>
      <c r="AL626" s="43"/>
      <c r="AM626" s="43"/>
      <c r="AN626" s="43"/>
      <c r="AO626" s="43"/>
      <c r="AP626" s="43"/>
      <c r="AQ626" s="43"/>
      <c r="AR626" s="43"/>
      <c r="AS626" s="43"/>
      <c r="AT626" s="43"/>
    </row>
    <row r="627" spans="1:46">
      <c r="A627" s="43" t="s">
        <v>25</v>
      </c>
      <c r="B627" s="43" t="s">
        <v>93</v>
      </c>
      <c r="C627" s="43" t="s">
        <v>90</v>
      </c>
      <c r="D627" s="44" t="s">
        <v>236</v>
      </c>
      <c r="E627" s="44">
        <v>8</v>
      </c>
      <c r="F627" s="44" t="s">
        <v>2</v>
      </c>
      <c r="G627" s="43" t="str">
        <f>IFERROR(VLOOKUP(A627,'[1]MC Masterlist 2026-09-12'!$B:$M, 3, 0),"")</f>
        <v>YAMAHA</v>
      </c>
      <c r="H627" s="45">
        <f>IFERROR(VLOOKUP(A627,'[1]MC Masterlist 2026-09-12'!$B:$M, 6, 0),"")</f>
        <v>124527</v>
      </c>
      <c r="I627" s="46">
        <v>0</v>
      </c>
      <c r="J627" s="46">
        <v>2</v>
      </c>
      <c r="K627" s="46">
        <v>1</v>
      </c>
      <c r="L627" s="46">
        <f t="shared" si="135"/>
        <v>3</v>
      </c>
      <c r="M627" s="46">
        <f t="shared" si="136"/>
        <v>1</v>
      </c>
      <c r="N627" s="45">
        <f t="shared" si="137"/>
        <v>373581</v>
      </c>
      <c r="O627" s="45">
        <f t="shared" si="138"/>
        <v>124527</v>
      </c>
      <c r="P627" s="46">
        <f t="shared" si="139"/>
        <v>3.3333333333333333E-2</v>
      </c>
      <c r="Q627" s="46"/>
      <c r="R627" s="45">
        <f t="shared" si="140"/>
        <v>0</v>
      </c>
      <c r="S627" s="46">
        <f t="shared" si="141"/>
        <v>0</v>
      </c>
      <c r="T627" s="46">
        <f>IFERROR(VLOOKUP(A627,'[1]Re-order'!$A:$Q,17,0),"")</f>
        <v>5.1030927835051543</v>
      </c>
      <c r="U627" s="46">
        <f>IFERROR(VLOOKUP(A627,'[1]MC Masterlist 2026-09-12'!$B:$M, 10, 0),0)</f>
        <v>15</v>
      </c>
      <c r="V627" s="46">
        <f>IFERROR(VLOOKUP(A627,'[1]MC Masterlist 2026-09-12'!$B:$M, 11, 0),0)</f>
        <v>15</v>
      </c>
      <c r="W627" s="46">
        <f t="shared" si="142"/>
        <v>30</v>
      </c>
      <c r="X627" s="46">
        <f t="shared" si="143"/>
        <v>29.5</v>
      </c>
      <c r="Y627" s="46">
        <f>IFERROR(IF(OR(C627="AREA I",C627="AREA V"),7,VLOOKUP(A627,'[1]MC Masterlist 2026-09-12'!$B:$M, 12, 0)),0)</f>
        <v>30</v>
      </c>
      <c r="Z627" s="46">
        <f t="shared" si="144"/>
        <v>0.5</v>
      </c>
      <c r="AA627" s="46">
        <f t="shared" si="145"/>
        <v>1</v>
      </c>
      <c r="AB627" s="46">
        <f t="shared" si="146"/>
        <v>0.98333333333333328</v>
      </c>
      <c r="AC627" s="46">
        <f t="shared" si="147"/>
        <v>1</v>
      </c>
      <c r="AD627" s="44" t="str">
        <f t="shared" si="148"/>
        <v>Stockout</v>
      </c>
      <c r="AE627" s="44" t="str">
        <f>IFERROR(VLOOKUP(A627,'[1]Re-order'!$A:$AA,27,0),"")</f>
        <v>Stockout</v>
      </c>
      <c r="AF627" s="46">
        <f t="shared" si="149"/>
        <v>1</v>
      </c>
      <c r="AG627" s="46">
        <f>SUMIFS('[1]Raw Inventory'!D:D,'[1]Raw Inventory'!C:C,"GREATWALL",'[1]Raw Inventory'!B:B,A627)</f>
        <v>1</v>
      </c>
      <c r="AH627" s="46">
        <f>SUMIFS('[1]Raw Inventory'!D:D,'[1]Raw Inventory'!C:C,"DUARTE",'[1]Raw Inventory'!B:B,A627)</f>
        <v>0</v>
      </c>
      <c r="AI627" s="46"/>
      <c r="AJ627" s="46"/>
      <c r="AK627" s="43"/>
      <c r="AL627" s="43"/>
      <c r="AM627" s="43"/>
      <c r="AN627" s="43"/>
      <c r="AO627" s="43"/>
      <c r="AP627" s="43"/>
      <c r="AQ627" s="43"/>
      <c r="AR627" s="43"/>
      <c r="AS627" s="43"/>
      <c r="AT627" s="43"/>
    </row>
    <row r="628" spans="1:46">
      <c r="A628" s="43" t="s">
        <v>50</v>
      </c>
      <c r="B628" s="43" t="s">
        <v>138</v>
      </c>
      <c r="C628" s="43" t="s">
        <v>137</v>
      </c>
      <c r="D628" s="44" t="s">
        <v>231</v>
      </c>
      <c r="E628" s="44">
        <v>27</v>
      </c>
      <c r="F628" s="44" t="s">
        <v>3</v>
      </c>
      <c r="G628" s="43" t="str">
        <f>IFERROR(VLOOKUP(A628,'[1]MC Masterlist 2026-09-12'!$B:$M, 3, 0),"")</f>
        <v>YAMAHA</v>
      </c>
      <c r="H628" s="45">
        <f>IFERROR(VLOOKUP(A628,'[1]MC Masterlist 2026-09-12'!$B:$M, 6, 0),"")</f>
        <v>78957</v>
      </c>
      <c r="I628" s="46">
        <v>0</v>
      </c>
      <c r="J628" s="46">
        <v>0</v>
      </c>
      <c r="K628" s="46">
        <v>0</v>
      </c>
      <c r="L628" s="46">
        <f t="shared" si="135"/>
        <v>0</v>
      </c>
      <c r="M628" s="46">
        <f t="shared" si="136"/>
        <v>0</v>
      </c>
      <c r="N628" s="45">
        <f t="shared" si="137"/>
        <v>0</v>
      </c>
      <c r="O628" s="45">
        <f t="shared" si="138"/>
        <v>0</v>
      </c>
      <c r="P628" s="46">
        <f t="shared" si="139"/>
        <v>0</v>
      </c>
      <c r="Q628" s="46">
        <v>23</v>
      </c>
      <c r="R628" s="45">
        <f t="shared" si="140"/>
        <v>1816011</v>
      </c>
      <c r="S628" s="46">
        <f t="shared" si="141"/>
        <v>0</v>
      </c>
      <c r="T628" s="46">
        <f>IFERROR(VLOOKUP(A628,'[1]Re-order'!$A:$Q,17,0),"")</f>
        <v>118.125</v>
      </c>
      <c r="U628" s="46">
        <f>IFERROR(VLOOKUP(A628,'[1]MC Masterlist 2026-09-12'!$B:$M, 10, 0),0)</f>
        <v>15</v>
      </c>
      <c r="V628" s="46">
        <f>IFERROR(VLOOKUP(A628,'[1]MC Masterlist 2026-09-12'!$B:$M, 11, 0),0)</f>
        <v>15</v>
      </c>
      <c r="W628" s="46">
        <f t="shared" si="142"/>
        <v>30</v>
      </c>
      <c r="X628" s="46">
        <f t="shared" si="143"/>
        <v>7</v>
      </c>
      <c r="Y628" s="46">
        <f>IFERROR(IF(OR(C628="AREA I",C628="AREA V"),7,VLOOKUP(A628,'[1]MC Masterlist 2026-09-12'!$B:$M, 12, 0)),0)</f>
        <v>7</v>
      </c>
      <c r="Z628" s="46">
        <f t="shared" si="144"/>
        <v>0</v>
      </c>
      <c r="AA628" s="46">
        <f t="shared" si="145"/>
        <v>0</v>
      </c>
      <c r="AB628" s="46">
        <f t="shared" si="146"/>
        <v>0</v>
      </c>
      <c r="AC628" s="46">
        <f t="shared" si="147"/>
        <v>0</v>
      </c>
      <c r="AD628" s="44" t="str">
        <f t="shared" si="148"/>
        <v>Over</v>
      </c>
      <c r="AE628" s="44" t="str">
        <f>IFERROR(VLOOKUP(A628,'[1]Re-order'!$A:$AA,27,0),"")</f>
        <v>Over</v>
      </c>
      <c r="AF628" s="46">
        <f t="shared" si="149"/>
        <v>-23</v>
      </c>
      <c r="AG628" s="46">
        <f>SUMIFS('[1]Raw Inventory'!D:D,'[1]Raw Inventory'!C:C,"GREATWALL",'[1]Raw Inventory'!B:B,A628)</f>
        <v>23</v>
      </c>
      <c r="AH628" s="46">
        <f>SUMIFS('[1]Raw Inventory'!D:D,'[1]Raw Inventory'!C:C,"DUARTE",'[1]Raw Inventory'!B:B,A628)</f>
        <v>0</v>
      </c>
      <c r="AI628" s="46"/>
      <c r="AJ628" s="46"/>
      <c r="AK628" s="43"/>
      <c r="AL628" s="43"/>
      <c r="AM628" s="43"/>
      <c r="AN628" s="43"/>
      <c r="AO628" s="43"/>
      <c r="AP628" s="43"/>
      <c r="AQ628" s="43"/>
      <c r="AR628" s="43"/>
      <c r="AS628" s="43"/>
      <c r="AT628" s="43"/>
    </row>
    <row r="629" spans="1:46">
      <c r="A629" s="43" t="s">
        <v>80</v>
      </c>
      <c r="B629" s="43" t="s">
        <v>114</v>
      </c>
      <c r="C629" s="43" t="s">
        <v>109</v>
      </c>
      <c r="D629" s="44" t="s">
        <v>268</v>
      </c>
      <c r="E629" s="44">
        <v>19</v>
      </c>
      <c r="F629" s="44" t="s">
        <v>3</v>
      </c>
      <c r="G629" s="43" t="str">
        <f>IFERROR(VLOOKUP(A629,'[1]MC Masterlist 2026-09-12'!$B:$M, 3, 0),"")</f>
        <v>YAMAHA</v>
      </c>
      <c r="H629" s="45">
        <f>IFERROR(VLOOKUP(A629,'[1]MC Masterlist 2026-09-12'!$B:$M, 6, 0),"")</f>
        <v>73842</v>
      </c>
      <c r="I629" s="46">
        <v>2</v>
      </c>
      <c r="J629" s="46">
        <v>0</v>
      </c>
      <c r="K629" s="46">
        <v>1</v>
      </c>
      <c r="L629" s="46">
        <f t="shared" si="135"/>
        <v>3</v>
      </c>
      <c r="M629" s="46">
        <f t="shared" si="136"/>
        <v>1</v>
      </c>
      <c r="N629" s="45">
        <f t="shared" si="137"/>
        <v>221526</v>
      </c>
      <c r="O629" s="45">
        <f t="shared" si="138"/>
        <v>73842</v>
      </c>
      <c r="P629" s="46">
        <f t="shared" si="139"/>
        <v>3.3333333333333333E-2</v>
      </c>
      <c r="Q629" s="46"/>
      <c r="R629" s="45">
        <f t="shared" si="140"/>
        <v>0</v>
      </c>
      <c r="S629" s="46">
        <f t="shared" si="141"/>
        <v>0</v>
      </c>
      <c r="T629" s="46">
        <f>IFERROR(VLOOKUP(A629,'[1]Re-order'!$A:$Q,17,0),"")</f>
        <v>67.5</v>
      </c>
      <c r="U629" s="46">
        <f>IFERROR(VLOOKUP(A629,'[1]MC Masterlist 2026-09-12'!$B:$M, 10, 0),0)</f>
        <v>15</v>
      </c>
      <c r="V629" s="46">
        <f>IFERROR(VLOOKUP(A629,'[1]MC Masterlist 2026-09-12'!$B:$M, 11, 0),0)</f>
        <v>15</v>
      </c>
      <c r="W629" s="46">
        <f t="shared" si="142"/>
        <v>30</v>
      </c>
      <c r="X629" s="46">
        <f t="shared" si="143"/>
        <v>29.5</v>
      </c>
      <c r="Y629" s="46">
        <f>IFERROR(IF(OR(C629="AREA I",C629="AREA V"),7,VLOOKUP(A629,'[1]MC Masterlist 2026-09-12'!$B:$M, 12, 0)),0)</f>
        <v>30</v>
      </c>
      <c r="Z629" s="46">
        <f t="shared" si="144"/>
        <v>0.5</v>
      </c>
      <c r="AA629" s="46">
        <f t="shared" si="145"/>
        <v>1</v>
      </c>
      <c r="AB629" s="46">
        <f t="shared" si="146"/>
        <v>0.98333333333333328</v>
      </c>
      <c r="AC629" s="46">
        <f t="shared" si="147"/>
        <v>1</v>
      </c>
      <c r="AD629" s="44" t="str">
        <f t="shared" si="148"/>
        <v>Stockout</v>
      </c>
      <c r="AE629" s="44" t="str">
        <f>IFERROR(VLOOKUP(A629,'[1]Re-order'!$A:$AA,27,0),"")</f>
        <v>Re-order</v>
      </c>
      <c r="AF629" s="46">
        <f t="shared" si="149"/>
        <v>1</v>
      </c>
      <c r="AG629" s="46">
        <f>SUMIFS('[1]Raw Inventory'!D:D,'[1]Raw Inventory'!C:C,"GREATWALL",'[1]Raw Inventory'!B:B,A629)</f>
        <v>0</v>
      </c>
      <c r="AH629" s="46">
        <f>SUMIFS('[1]Raw Inventory'!D:D,'[1]Raw Inventory'!C:C,"DUARTE",'[1]Raw Inventory'!B:B,A629)</f>
        <v>0</v>
      </c>
      <c r="AI629" s="46"/>
      <c r="AJ629" s="46"/>
      <c r="AK629" s="43"/>
      <c r="AL629" s="43"/>
      <c r="AM629" s="43"/>
      <c r="AN629" s="43"/>
      <c r="AO629" s="43"/>
      <c r="AP629" s="43"/>
      <c r="AQ629" s="43"/>
      <c r="AR629" s="43"/>
      <c r="AS629" s="43"/>
      <c r="AT629" s="43"/>
    </row>
    <row r="630" spans="1:46">
      <c r="A630" s="43" t="s">
        <v>76</v>
      </c>
      <c r="B630" s="43" t="s">
        <v>94</v>
      </c>
      <c r="C630" s="43" t="s">
        <v>90</v>
      </c>
      <c r="D630" s="44" t="s">
        <v>231</v>
      </c>
      <c r="E630" s="44">
        <v>29</v>
      </c>
      <c r="F630" s="44" t="s">
        <v>3</v>
      </c>
      <c r="G630" s="43" t="str">
        <f>IFERROR(VLOOKUP(A630,'[1]MC Masterlist 2026-09-12'!$B:$M, 3, 0),"")</f>
        <v>SUZUKI</v>
      </c>
      <c r="H630" s="45">
        <f>IFERROR(VLOOKUP(A630,'[1]MC Masterlist 2026-09-12'!$B:$M, 6, 0),"")</f>
        <v>62692</v>
      </c>
      <c r="I630" s="46">
        <v>0</v>
      </c>
      <c r="J630" s="46">
        <v>0</v>
      </c>
      <c r="K630" s="46">
        <v>0</v>
      </c>
      <c r="L630" s="46">
        <f t="shared" si="135"/>
        <v>0</v>
      </c>
      <c r="M630" s="46">
        <f t="shared" si="136"/>
        <v>0</v>
      </c>
      <c r="N630" s="45">
        <f t="shared" si="137"/>
        <v>0</v>
      </c>
      <c r="O630" s="45">
        <f t="shared" si="138"/>
        <v>0</v>
      </c>
      <c r="P630" s="46">
        <f t="shared" si="139"/>
        <v>0</v>
      </c>
      <c r="Q630" s="46">
        <v>1</v>
      </c>
      <c r="R630" s="45">
        <f t="shared" si="140"/>
        <v>62692</v>
      </c>
      <c r="S630" s="46">
        <f t="shared" si="141"/>
        <v>0</v>
      </c>
      <c r="T630" s="46">
        <f>IFERROR(VLOOKUP(A630,'[1]Re-order'!$A:$Q,17,0),"")</f>
        <v>106.36363636363636</v>
      </c>
      <c r="U630" s="46">
        <f>IFERROR(VLOOKUP(A630,'[1]MC Masterlist 2026-09-12'!$B:$M, 10, 0),0)</f>
        <v>15</v>
      </c>
      <c r="V630" s="46">
        <f>IFERROR(VLOOKUP(A630,'[1]MC Masterlist 2026-09-12'!$B:$M, 11, 0),0)</f>
        <v>15</v>
      </c>
      <c r="W630" s="46">
        <f t="shared" si="142"/>
        <v>30</v>
      </c>
      <c r="X630" s="46">
        <f t="shared" si="143"/>
        <v>30</v>
      </c>
      <c r="Y630" s="46">
        <f>IFERROR(IF(OR(C630="AREA I",C630="AREA V"),7,VLOOKUP(A630,'[1]MC Masterlist 2026-09-12'!$B:$M, 12, 0)),0)</f>
        <v>30</v>
      </c>
      <c r="Z630" s="46">
        <f t="shared" si="144"/>
        <v>0</v>
      </c>
      <c r="AA630" s="46">
        <f t="shared" si="145"/>
        <v>0</v>
      </c>
      <c r="AB630" s="46">
        <f t="shared" si="146"/>
        <v>0</v>
      </c>
      <c r="AC630" s="46">
        <f t="shared" si="147"/>
        <v>0</v>
      </c>
      <c r="AD630" s="44" t="str">
        <f t="shared" si="148"/>
        <v>Over</v>
      </c>
      <c r="AE630" s="44" t="str">
        <f>IFERROR(VLOOKUP(A630,'[1]Re-order'!$A:$AA,27,0),"")</f>
        <v>Over</v>
      </c>
      <c r="AF630" s="46">
        <f t="shared" si="149"/>
        <v>-1</v>
      </c>
      <c r="AG630" s="46">
        <f>SUMIFS('[1]Raw Inventory'!D:D,'[1]Raw Inventory'!C:C,"GREATWALL",'[1]Raw Inventory'!B:B,A630)</f>
        <v>1</v>
      </c>
      <c r="AH630" s="46">
        <f>SUMIFS('[1]Raw Inventory'!D:D,'[1]Raw Inventory'!C:C,"DUARTE",'[1]Raw Inventory'!B:B,A630)</f>
        <v>0</v>
      </c>
      <c r="AI630" s="46"/>
      <c r="AJ630" s="46"/>
      <c r="AK630" s="43"/>
      <c r="AL630" s="43"/>
      <c r="AM630" s="43"/>
      <c r="AN630" s="43"/>
      <c r="AO630" s="43"/>
      <c r="AP630" s="43"/>
      <c r="AQ630" s="43"/>
      <c r="AR630" s="43"/>
      <c r="AS630" s="43"/>
      <c r="AT630" s="43"/>
    </row>
    <row r="631" spans="1:46">
      <c r="A631" s="43" t="s">
        <v>25</v>
      </c>
      <c r="B631" s="43" t="s">
        <v>142</v>
      </c>
      <c r="C631" s="43" t="s">
        <v>137</v>
      </c>
      <c r="D631" s="44" t="s">
        <v>238</v>
      </c>
      <c r="E631" s="44">
        <v>2</v>
      </c>
      <c r="F631" s="44" t="s">
        <v>0</v>
      </c>
      <c r="G631" s="43" t="str">
        <f>IFERROR(VLOOKUP(A631,'[1]MC Masterlist 2026-09-12'!$B:$M, 3, 0),"")</f>
        <v>YAMAHA</v>
      </c>
      <c r="H631" s="45">
        <f>IFERROR(VLOOKUP(A631,'[1]MC Masterlist 2026-09-12'!$B:$M, 6, 0),"")</f>
        <v>124527</v>
      </c>
      <c r="I631" s="46">
        <v>3</v>
      </c>
      <c r="J631" s="46">
        <v>2</v>
      </c>
      <c r="K631" s="46">
        <v>2</v>
      </c>
      <c r="L631" s="46">
        <f t="shared" si="135"/>
        <v>7</v>
      </c>
      <c r="M631" s="46">
        <f t="shared" si="136"/>
        <v>2.3333333333333335</v>
      </c>
      <c r="N631" s="45">
        <f t="shared" si="137"/>
        <v>871689</v>
      </c>
      <c r="O631" s="45">
        <f t="shared" si="138"/>
        <v>290563</v>
      </c>
      <c r="P631" s="46">
        <f t="shared" si="139"/>
        <v>7.7777777777777779E-2</v>
      </c>
      <c r="Q631" s="46"/>
      <c r="R631" s="45">
        <f t="shared" si="140"/>
        <v>0</v>
      </c>
      <c r="S631" s="46">
        <f t="shared" si="141"/>
        <v>0</v>
      </c>
      <c r="T631" s="46">
        <f>IFERROR(VLOOKUP(A631,'[1]Re-order'!$A:$Q,17,0),"")</f>
        <v>5.1030927835051543</v>
      </c>
      <c r="U631" s="46">
        <f>IFERROR(VLOOKUP(A631,'[1]MC Masterlist 2026-09-12'!$B:$M, 10, 0),0)</f>
        <v>15</v>
      </c>
      <c r="V631" s="46">
        <f>IFERROR(VLOOKUP(A631,'[1]MC Masterlist 2026-09-12'!$B:$M, 11, 0),0)</f>
        <v>15</v>
      </c>
      <c r="W631" s="46">
        <f t="shared" si="142"/>
        <v>30</v>
      </c>
      <c r="X631" s="46">
        <f t="shared" si="143"/>
        <v>5.833333333333333</v>
      </c>
      <c r="Y631" s="46">
        <f>IFERROR(IF(OR(C631="AREA I",C631="AREA V"),7,VLOOKUP(A631,'[1]MC Masterlist 2026-09-12'!$B:$M, 12, 0)),0)</f>
        <v>7</v>
      </c>
      <c r="Z631" s="46">
        <f t="shared" si="144"/>
        <v>1.1666666666666667</v>
      </c>
      <c r="AA631" s="46">
        <f t="shared" si="145"/>
        <v>2.3333333333333335</v>
      </c>
      <c r="AB631" s="46">
        <f t="shared" si="146"/>
        <v>0.45370370370370366</v>
      </c>
      <c r="AC631" s="46">
        <f t="shared" si="147"/>
        <v>0.54444444444444451</v>
      </c>
      <c r="AD631" s="44" t="str">
        <f t="shared" si="148"/>
        <v>Stockout</v>
      </c>
      <c r="AE631" s="44" t="str">
        <f>IFERROR(VLOOKUP(A631,'[1]Re-order'!$A:$AA,27,0),"")</f>
        <v>Stockout</v>
      </c>
      <c r="AF631" s="46">
        <f t="shared" si="149"/>
        <v>0.54444444444444451</v>
      </c>
      <c r="AG631" s="46">
        <f>SUMIFS('[1]Raw Inventory'!D:D,'[1]Raw Inventory'!C:C,"GREATWALL",'[1]Raw Inventory'!B:B,A631)</f>
        <v>1</v>
      </c>
      <c r="AH631" s="46">
        <f>SUMIFS('[1]Raw Inventory'!D:D,'[1]Raw Inventory'!C:C,"DUARTE",'[1]Raw Inventory'!B:B,A631)</f>
        <v>0</v>
      </c>
      <c r="AI631" s="46"/>
      <c r="AJ631" s="46"/>
      <c r="AK631" s="43"/>
      <c r="AL631" s="43"/>
      <c r="AM631" s="43"/>
      <c r="AN631" s="43"/>
      <c r="AO631" s="43"/>
      <c r="AP631" s="43"/>
      <c r="AQ631" s="43"/>
      <c r="AR631" s="43"/>
      <c r="AS631" s="43"/>
      <c r="AT631" s="43"/>
    </row>
    <row r="632" spans="1:46">
      <c r="A632" s="43" t="s">
        <v>23</v>
      </c>
      <c r="B632" s="43" t="s">
        <v>5</v>
      </c>
      <c r="C632" s="43" t="s">
        <v>118</v>
      </c>
      <c r="D632" s="44" t="s">
        <v>225</v>
      </c>
      <c r="E632" s="44">
        <v>3</v>
      </c>
      <c r="F632" s="44" t="s">
        <v>0</v>
      </c>
      <c r="G632" s="43" t="str">
        <f>IFERROR(VLOOKUP(A632,'[1]MC Masterlist 2026-09-12'!$B:$M, 3, 0),"")</f>
        <v>KAWASAKI</v>
      </c>
      <c r="H632" s="45">
        <f>IFERROR(VLOOKUP(A632,'[1]MC Masterlist 2026-09-12'!$B:$M, 6, 0),"")</f>
        <v>60656</v>
      </c>
      <c r="I632" s="46">
        <v>5</v>
      </c>
      <c r="J632" s="46">
        <v>3</v>
      </c>
      <c r="K632" s="46">
        <v>3</v>
      </c>
      <c r="L632" s="46">
        <f t="shared" si="135"/>
        <v>11</v>
      </c>
      <c r="M632" s="46">
        <f t="shared" si="136"/>
        <v>3.6666666666666665</v>
      </c>
      <c r="N632" s="45">
        <f t="shared" si="137"/>
        <v>667216</v>
      </c>
      <c r="O632" s="45">
        <f t="shared" si="138"/>
        <v>222405.33333333331</v>
      </c>
      <c r="P632" s="46">
        <f t="shared" si="139"/>
        <v>0.12222222222222222</v>
      </c>
      <c r="Q632" s="46">
        <v>21</v>
      </c>
      <c r="R632" s="45">
        <f t="shared" si="140"/>
        <v>1273776</v>
      </c>
      <c r="S632" s="46">
        <f t="shared" si="141"/>
        <v>171.81818181818181</v>
      </c>
      <c r="T632" s="46">
        <f>IFERROR(VLOOKUP(A632,'[1]Re-order'!$A:$Q,17,0),"")</f>
        <v>53.973412112259979</v>
      </c>
      <c r="U632" s="46">
        <f>IFERROR(VLOOKUP(A632,'[1]MC Masterlist 2026-09-12'!$B:$M, 10, 0),0)</f>
        <v>15</v>
      </c>
      <c r="V632" s="46">
        <f>IFERROR(VLOOKUP(A632,'[1]MC Masterlist 2026-09-12'!$B:$M, 11, 0),0)</f>
        <v>15</v>
      </c>
      <c r="W632" s="46">
        <f t="shared" si="142"/>
        <v>30</v>
      </c>
      <c r="X632" s="46">
        <f t="shared" si="143"/>
        <v>28.166666666666668</v>
      </c>
      <c r="Y632" s="46">
        <f>IFERROR(IF(OR(C632="AREA I",C632="AREA V"),7,VLOOKUP(A632,'[1]MC Masterlist 2026-09-12'!$B:$M, 12, 0)),0)</f>
        <v>30</v>
      </c>
      <c r="Z632" s="46">
        <f t="shared" si="144"/>
        <v>1.8333333333333333</v>
      </c>
      <c r="AA632" s="46">
        <f t="shared" si="145"/>
        <v>3.6666666666666665</v>
      </c>
      <c r="AB632" s="46">
        <f t="shared" si="146"/>
        <v>3.4425925925925926</v>
      </c>
      <c r="AC632" s="46">
        <f t="shared" si="147"/>
        <v>3.6666666666666665</v>
      </c>
      <c r="AD632" s="44" t="str">
        <f t="shared" si="148"/>
        <v>Over</v>
      </c>
      <c r="AE632" s="44" t="str">
        <f>IFERROR(VLOOKUP(A632,'[1]Re-order'!$A:$AA,27,0),"")</f>
        <v>Re-order</v>
      </c>
      <c r="AF632" s="46">
        <f t="shared" si="149"/>
        <v>-17.333333333333332</v>
      </c>
      <c r="AG632" s="46">
        <f>SUMIFS('[1]Raw Inventory'!D:D,'[1]Raw Inventory'!C:C,"GREATWALL",'[1]Raw Inventory'!B:B,A632)</f>
        <v>282</v>
      </c>
      <c r="AH632" s="46">
        <f>SUMIFS('[1]Raw Inventory'!D:D,'[1]Raw Inventory'!C:C,"DUARTE",'[1]Raw Inventory'!B:B,A632)</f>
        <v>0</v>
      </c>
      <c r="AI632" s="46"/>
      <c r="AJ632" s="46"/>
      <c r="AK632" s="43"/>
      <c r="AL632" s="43"/>
      <c r="AM632" s="43"/>
      <c r="AN632" s="43"/>
      <c r="AO632" s="43"/>
      <c r="AP632" s="43"/>
      <c r="AQ632" s="43"/>
      <c r="AR632" s="43"/>
      <c r="AS632" s="43"/>
      <c r="AT632" s="43"/>
    </row>
    <row r="633" spans="1:46">
      <c r="A633" s="43" t="s">
        <v>12</v>
      </c>
      <c r="B633" s="43" t="s">
        <v>21</v>
      </c>
      <c r="C633" s="43" t="s">
        <v>1</v>
      </c>
      <c r="D633" s="44" t="s">
        <v>243</v>
      </c>
      <c r="E633" s="44">
        <v>18</v>
      </c>
      <c r="F633" s="44" t="s">
        <v>2</v>
      </c>
      <c r="G633" s="43" t="str">
        <f>IFERROR(VLOOKUP(A633,'[1]MC Masterlist 2026-09-12'!$B:$M, 3, 0),"")</f>
        <v>HONDA</v>
      </c>
      <c r="H633" s="45">
        <f>IFERROR(VLOOKUP(A633,'[1]MC Masterlist 2026-09-12'!$B:$M, 6, 0),"")</f>
        <v>158270</v>
      </c>
      <c r="I633" s="46">
        <v>1</v>
      </c>
      <c r="J633" s="46">
        <v>0</v>
      </c>
      <c r="K633" s="46">
        <v>0</v>
      </c>
      <c r="L633" s="46">
        <f t="shared" si="135"/>
        <v>1</v>
      </c>
      <c r="M633" s="46">
        <f t="shared" si="136"/>
        <v>0.33333333333333331</v>
      </c>
      <c r="N633" s="45">
        <f t="shared" si="137"/>
        <v>158270</v>
      </c>
      <c r="O633" s="45">
        <f t="shared" si="138"/>
        <v>52756.666666666664</v>
      </c>
      <c r="P633" s="46">
        <f t="shared" si="139"/>
        <v>1.111111111111111E-2</v>
      </c>
      <c r="Q633" s="46">
        <v>1</v>
      </c>
      <c r="R633" s="45">
        <f t="shared" si="140"/>
        <v>158270</v>
      </c>
      <c r="S633" s="46">
        <f t="shared" si="141"/>
        <v>90</v>
      </c>
      <c r="T633" s="46">
        <f>IFERROR(VLOOKUP(A633,'[1]Re-order'!$A:$Q,17,0),"")</f>
        <v>46.461038961038959</v>
      </c>
      <c r="U633" s="46">
        <f>IFERROR(VLOOKUP(A633,'[1]MC Masterlist 2026-09-12'!$B:$M, 10, 0),0)</f>
        <v>15</v>
      </c>
      <c r="V633" s="46">
        <f>IFERROR(VLOOKUP(A633,'[1]MC Masterlist 2026-09-12'!$B:$M, 11, 0),0)</f>
        <v>15</v>
      </c>
      <c r="W633" s="46">
        <f t="shared" si="142"/>
        <v>30</v>
      </c>
      <c r="X633" s="46">
        <f t="shared" si="143"/>
        <v>6.833333333333333</v>
      </c>
      <c r="Y633" s="46">
        <f>IFERROR(IF(OR(C633="AREA I",C633="AREA V"),7,VLOOKUP(A633,'[1]MC Masterlist 2026-09-12'!$B:$M, 12, 0)),0)</f>
        <v>7</v>
      </c>
      <c r="Z633" s="46">
        <f t="shared" si="144"/>
        <v>0.16666666666666666</v>
      </c>
      <c r="AA633" s="46">
        <f t="shared" si="145"/>
        <v>0.33333333333333331</v>
      </c>
      <c r="AB633" s="46">
        <f t="shared" si="146"/>
        <v>7.5925925925925911E-2</v>
      </c>
      <c r="AC633" s="46">
        <f t="shared" si="147"/>
        <v>7.7777777777777765E-2</v>
      </c>
      <c r="AD633" s="44" t="str">
        <f t="shared" si="148"/>
        <v>Over</v>
      </c>
      <c r="AE633" s="44" t="str">
        <f>IFERROR(VLOOKUP(A633,'[1]Re-order'!$A:$AA,27,0),"")</f>
        <v>Re-order</v>
      </c>
      <c r="AF633" s="46">
        <f t="shared" si="149"/>
        <v>-0.92222222222222228</v>
      </c>
      <c r="AG633" s="46">
        <f>SUMIFS('[1]Raw Inventory'!D:D,'[1]Raw Inventory'!C:C,"GREATWALL",'[1]Raw Inventory'!B:B,A633)</f>
        <v>35</v>
      </c>
      <c r="AH633" s="46">
        <f>SUMIFS('[1]Raw Inventory'!D:D,'[1]Raw Inventory'!C:C,"DUARTE",'[1]Raw Inventory'!B:B,A633)</f>
        <v>0</v>
      </c>
      <c r="AI633" s="46"/>
      <c r="AJ633" s="46"/>
      <c r="AK633" s="43"/>
      <c r="AL633" s="43"/>
      <c r="AM633" s="43"/>
      <c r="AN633" s="43"/>
      <c r="AO633" s="43"/>
      <c r="AP633" s="43"/>
      <c r="AQ633" s="43"/>
      <c r="AR633" s="43"/>
      <c r="AS633" s="43"/>
      <c r="AT633" s="43"/>
    </row>
    <row r="634" spans="1:46">
      <c r="A634" s="43" t="s">
        <v>44</v>
      </c>
      <c r="B634" s="43" t="s">
        <v>94</v>
      </c>
      <c r="C634" s="43" t="s">
        <v>90</v>
      </c>
      <c r="D634" s="44" t="s">
        <v>236</v>
      </c>
      <c r="E634" s="44">
        <v>8</v>
      </c>
      <c r="F634" s="44" t="s">
        <v>2</v>
      </c>
      <c r="G634" s="43" t="str">
        <f>IFERROR(VLOOKUP(A634,'[1]MC Masterlist 2026-09-12'!$B:$M, 3, 0),"")</f>
        <v>YAMAHA</v>
      </c>
      <c r="H634" s="45">
        <f>IFERROR(VLOOKUP(A634,'[1]MC Masterlist 2026-09-12'!$B:$M, 6, 0),"")</f>
        <v>165912</v>
      </c>
      <c r="I634" s="46">
        <v>0</v>
      </c>
      <c r="J634" s="46">
        <v>0</v>
      </c>
      <c r="K634" s="46">
        <v>1</v>
      </c>
      <c r="L634" s="46">
        <f t="shared" si="135"/>
        <v>1</v>
      </c>
      <c r="M634" s="46">
        <f t="shared" si="136"/>
        <v>0.33333333333333331</v>
      </c>
      <c r="N634" s="45">
        <f t="shared" si="137"/>
        <v>165912</v>
      </c>
      <c r="O634" s="45">
        <f t="shared" si="138"/>
        <v>55304</v>
      </c>
      <c r="P634" s="46">
        <f t="shared" si="139"/>
        <v>1.111111111111111E-2</v>
      </c>
      <c r="Q634" s="46"/>
      <c r="R634" s="45">
        <f t="shared" si="140"/>
        <v>0</v>
      </c>
      <c r="S634" s="46">
        <f t="shared" si="141"/>
        <v>0</v>
      </c>
      <c r="T634" s="46">
        <f>IFERROR(VLOOKUP(A634,'[1]Re-order'!$A:$Q,17,0),"")</f>
        <v>10.588235294117649</v>
      </c>
      <c r="U634" s="46">
        <f>IFERROR(VLOOKUP(A634,'[1]MC Masterlist 2026-09-12'!$B:$M, 10, 0),0)</f>
        <v>15</v>
      </c>
      <c r="V634" s="46">
        <f>IFERROR(VLOOKUP(A634,'[1]MC Masterlist 2026-09-12'!$B:$M, 11, 0),0)</f>
        <v>15</v>
      </c>
      <c r="W634" s="46">
        <f t="shared" si="142"/>
        <v>30</v>
      </c>
      <c r="X634" s="46">
        <f t="shared" si="143"/>
        <v>29.833333333333332</v>
      </c>
      <c r="Y634" s="46">
        <f>IFERROR(IF(OR(C634="AREA I",C634="AREA V"),7,VLOOKUP(A634,'[1]MC Masterlist 2026-09-12'!$B:$M, 12, 0)),0)</f>
        <v>30</v>
      </c>
      <c r="Z634" s="46">
        <f t="shared" si="144"/>
        <v>0.16666666666666666</v>
      </c>
      <c r="AA634" s="46">
        <f t="shared" si="145"/>
        <v>0.33333333333333331</v>
      </c>
      <c r="AB634" s="46">
        <f t="shared" si="146"/>
        <v>0.33148148148148143</v>
      </c>
      <c r="AC634" s="46">
        <f t="shared" si="147"/>
        <v>0.33333333333333331</v>
      </c>
      <c r="AD634" s="44" t="str">
        <f t="shared" si="148"/>
        <v>Stockout</v>
      </c>
      <c r="AE634" s="44" t="str">
        <f>IFERROR(VLOOKUP(A634,'[1]Re-order'!$A:$AA,27,0),"")</f>
        <v>Stockout</v>
      </c>
      <c r="AF634" s="46">
        <f t="shared" si="149"/>
        <v>0.33333333333333331</v>
      </c>
      <c r="AG634" s="46">
        <f>SUMIFS('[1]Raw Inventory'!D:D,'[1]Raw Inventory'!C:C,"GREATWALL",'[1]Raw Inventory'!B:B,A634)</f>
        <v>0</v>
      </c>
      <c r="AH634" s="46">
        <f>SUMIFS('[1]Raw Inventory'!D:D,'[1]Raw Inventory'!C:C,"DUARTE",'[1]Raw Inventory'!B:B,A634)</f>
        <v>0</v>
      </c>
      <c r="AI634" s="46"/>
      <c r="AJ634" s="46"/>
      <c r="AK634" s="43"/>
      <c r="AL634" s="43"/>
      <c r="AM634" s="43"/>
      <c r="AN634" s="43"/>
      <c r="AO634" s="43"/>
      <c r="AP634" s="43"/>
      <c r="AQ634" s="43"/>
      <c r="AR634" s="43"/>
      <c r="AS634" s="43"/>
      <c r="AT634" s="43"/>
    </row>
    <row r="635" spans="1:46">
      <c r="A635" s="43" t="s">
        <v>37</v>
      </c>
      <c r="B635" s="43" t="s">
        <v>141</v>
      </c>
      <c r="C635" s="43" t="s">
        <v>137</v>
      </c>
      <c r="D635" s="44" t="s">
        <v>255</v>
      </c>
      <c r="E635" s="44">
        <v>15</v>
      </c>
      <c r="F635" s="44" t="s">
        <v>2</v>
      </c>
      <c r="G635" s="43" t="str">
        <f>IFERROR(VLOOKUP(A635,'[1]MC Masterlist 2026-09-12'!$B:$M, 3, 0),"")</f>
        <v>HONDA</v>
      </c>
      <c r="H635" s="45">
        <f>IFERROR(VLOOKUP(A635,'[1]MC Masterlist 2026-09-12'!$B:$M, 6, 0),"")</f>
        <v>74550</v>
      </c>
      <c r="I635" s="46">
        <v>2</v>
      </c>
      <c r="J635" s="46">
        <v>0</v>
      </c>
      <c r="K635" s="46">
        <v>1</v>
      </c>
      <c r="L635" s="46">
        <f t="shared" si="135"/>
        <v>3</v>
      </c>
      <c r="M635" s="46">
        <f t="shared" si="136"/>
        <v>1</v>
      </c>
      <c r="N635" s="45">
        <f t="shared" si="137"/>
        <v>223650</v>
      </c>
      <c r="O635" s="45">
        <f t="shared" si="138"/>
        <v>74550</v>
      </c>
      <c r="P635" s="46">
        <f t="shared" si="139"/>
        <v>3.3333333333333333E-2</v>
      </c>
      <c r="Q635" s="46">
        <v>0</v>
      </c>
      <c r="R635" s="45">
        <f t="shared" si="140"/>
        <v>0</v>
      </c>
      <c r="S635" s="46">
        <f t="shared" si="141"/>
        <v>0</v>
      </c>
      <c r="T635" s="46">
        <f>IFERROR(VLOOKUP(A635,'[1]Re-order'!$A:$Q,17,0),"")</f>
        <v>33.652173913043477</v>
      </c>
      <c r="U635" s="46">
        <f>IFERROR(VLOOKUP(A635,'[1]MC Masterlist 2026-09-12'!$B:$M, 10, 0),0)</f>
        <v>15</v>
      </c>
      <c r="V635" s="46">
        <f>IFERROR(VLOOKUP(A635,'[1]MC Masterlist 2026-09-12'!$B:$M, 11, 0),0)</f>
        <v>15</v>
      </c>
      <c r="W635" s="46">
        <f t="shared" si="142"/>
        <v>30</v>
      </c>
      <c r="X635" s="46">
        <f t="shared" si="143"/>
        <v>6.5</v>
      </c>
      <c r="Y635" s="46">
        <f>IFERROR(IF(OR(C635="AREA I",C635="AREA V"),7,VLOOKUP(A635,'[1]MC Masterlist 2026-09-12'!$B:$M, 12, 0)),0)</f>
        <v>7</v>
      </c>
      <c r="Z635" s="46">
        <f t="shared" si="144"/>
        <v>0.5</v>
      </c>
      <c r="AA635" s="46">
        <f t="shared" si="145"/>
        <v>1</v>
      </c>
      <c r="AB635" s="46">
        <f t="shared" si="146"/>
        <v>0.21666666666666667</v>
      </c>
      <c r="AC635" s="46">
        <f t="shared" si="147"/>
        <v>0.23333333333333334</v>
      </c>
      <c r="AD635" s="44" t="str">
        <f t="shared" si="148"/>
        <v>Stockout</v>
      </c>
      <c r="AE635" s="44" t="str">
        <f>IFERROR(VLOOKUP(A635,'[1]Re-order'!$A:$AA,27,0),"")</f>
        <v>Re-order</v>
      </c>
      <c r="AF635" s="46">
        <f t="shared" si="149"/>
        <v>0.23333333333333334</v>
      </c>
      <c r="AG635" s="46">
        <f>SUMIFS('[1]Raw Inventory'!D:D,'[1]Raw Inventory'!C:C,"GREATWALL",'[1]Raw Inventory'!B:B,A635)</f>
        <v>28</v>
      </c>
      <c r="AH635" s="46">
        <f>SUMIFS('[1]Raw Inventory'!D:D,'[1]Raw Inventory'!C:C,"DUARTE",'[1]Raw Inventory'!B:B,A635)</f>
        <v>0</v>
      </c>
      <c r="AI635" s="46"/>
      <c r="AJ635" s="46"/>
      <c r="AK635" s="43"/>
      <c r="AL635" s="43"/>
      <c r="AM635" s="43"/>
      <c r="AN635" s="43"/>
      <c r="AO635" s="43"/>
      <c r="AP635" s="43"/>
      <c r="AQ635" s="43"/>
      <c r="AR635" s="43"/>
      <c r="AS635" s="43"/>
      <c r="AT635" s="43"/>
    </row>
    <row r="636" spans="1:46">
      <c r="A636" s="43" t="s">
        <v>45</v>
      </c>
      <c r="B636" s="43" t="s">
        <v>144</v>
      </c>
      <c r="C636" s="43" t="s">
        <v>137</v>
      </c>
      <c r="D636" s="44" t="s">
        <v>229</v>
      </c>
      <c r="E636" s="44">
        <v>27</v>
      </c>
      <c r="F636" s="44" t="s">
        <v>3</v>
      </c>
      <c r="G636" s="43" t="str">
        <f>IFERROR(VLOOKUP(A636,'[1]MC Masterlist 2026-09-12'!$B:$M, 3, 0),"")</f>
        <v>YAMAHA</v>
      </c>
      <c r="H636" s="45">
        <f>IFERROR(VLOOKUP(A636,'[1]MC Masterlist 2026-09-12'!$B:$M, 6, 0),"")</f>
        <v>117087</v>
      </c>
      <c r="I636" s="46">
        <v>1</v>
      </c>
      <c r="J636" s="46">
        <v>0</v>
      </c>
      <c r="K636" s="46">
        <v>0</v>
      </c>
      <c r="L636" s="46">
        <f t="shared" si="135"/>
        <v>1</v>
      </c>
      <c r="M636" s="46">
        <f t="shared" si="136"/>
        <v>0.33333333333333331</v>
      </c>
      <c r="N636" s="45">
        <f t="shared" si="137"/>
        <v>117087</v>
      </c>
      <c r="O636" s="45">
        <f t="shared" si="138"/>
        <v>39029</v>
      </c>
      <c r="P636" s="46">
        <f t="shared" si="139"/>
        <v>1.111111111111111E-2</v>
      </c>
      <c r="Q636" s="46"/>
      <c r="R636" s="45">
        <f t="shared" si="140"/>
        <v>0</v>
      </c>
      <c r="S636" s="46">
        <f t="shared" si="141"/>
        <v>0</v>
      </c>
      <c r="T636" s="46">
        <f>IFERROR(VLOOKUP(A636,'[1]Re-order'!$A:$Q,17,0),"")</f>
        <v>18.94736842105263</v>
      </c>
      <c r="U636" s="46">
        <f>IFERROR(VLOOKUP(A636,'[1]MC Masterlist 2026-09-12'!$B:$M, 10, 0),0)</f>
        <v>15</v>
      </c>
      <c r="V636" s="46">
        <f>IFERROR(VLOOKUP(A636,'[1]MC Masterlist 2026-09-12'!$B:$M, 11, 0),0)</f>
        <v>15</v>
      </c>
      <c r="W636" s="46">
        <f t="shared" si="142"/>
        <v>30</v>
      </c>
      <c r="X636" s="46">
        <f t="shared" si="143"/>
        <v>6.833333333333333</v>
      </c>
      <c r="Y636" s="46">
        <f>IFERROR(IF(OR(C636="AREA I",C636="AREA V"),7,VLOOKUP(A636,'[1]MC Masterlist 2026-09-12'!$B:$M, 12, 0)),0)</f>
        <v>7</v>
      </c>
      <c r="Z636" s="46">
        <f t="shared" si="144"/>
        <v>0.16666666666666666</v>
      </c>
      <c r="AA636" s="46">
        <f t="shared" si="145"/>
        <v>0.33333333333333331</v>
      </c>
      <c r="AB636" s="46">
        <f t="shared" si="146"/>
        <v>7.5925925925925911E-2</v>
      </c>
      <c r="AC636" s="46">
        <f t="shared" si="147"/>
        <v>7.7777777777777765E-2</v>
      </c>
      <c r="AD636" s="44" t="str">
        <f t="shared" si="148"/>
        <v>Stockout</v>
      </c>
      <c r="AE636" s="44" t="str">
        <f>IFERROR(VLOOKUP(A636,'[1]Re-order'!$A:$AA,27,0),"")</f>
        <v>Stockout</v>
      </c>
      <c r="AF636" s="46">
        <f t="shared" si="149"/>
        <v>7.7777777777777765E-2</v>
      </c>
      <c r="AG636" s="46">
        <f>SUMIFS('[1]Raw Inventory'!D:D,'[1]Raw Inventory'!C:C,"GREATWALL",'[1]Raw Inventory'!B:B,A636)</f>
        <v>5</v>
      </c>
      <c r="AH636" s="46">
        <f>SUMIFS('[1]Raw Inventory'!D:D,'[1]Raw Inventory'!C:C,"DUARTE",'[1]Raw Inventory'!B:B,A636)</f>
        <v>0</v>
      </c>
      <c r="AI636" s="46"/>
      <c r="AJ636" s="46"/>
      <c r="AK636" s="43"/>
      <c r="AL636" s="43"/>
      <c r="AM636" s="43"/>
      <c r="AN636" s="43"/>
      <c r="AO636" s="43"/>
      <c r="AP636" s="43"/>
      <c r="AQ636" s="43"/>
      <c r="AR636" s="43"/>
      <c r="AS636" s="43"/>
      <c r="AT636" s="43"/>
    </row>
    <row r="637" spans="1:46">
      <c r="A637" s="43" t="s">
        <v>25</v>
      </c>
      <c r="B637" s="43" t="s">
        <v>29</v>
      </c>
      <c r="C637" s="43" t="s">
        <v>1</v>
      </c>
      <c r="D637" s="44" t="s">
        <v>230</v>
      </c>
      <c r="E637" s="44">
        <v>6</v>
      </c>
      <c r="F637" s="44" t="s">
        <v>0</v>
      </c>
      <c r="G637" s="43" t="str">
        <f>IFERROR(VLOOKUP(A637,'[1]MC Masterlist 2026-09-12'!$B:$M, 3, 0),"")</f>
        <v>YAMAHA</v>
      </c>
      <c r="H637" s="45">
        <f>IFERROR(VLOOKUP(A637,'[1]MC Masterlist 2026-09-12'!$B:$M, 6, 0),"")</f>
        <v>124527</v>
      </c>
      <c r="I637" s="46">
        <v>6</v>
      </c>
      <c r="J637" s="46">
        <v>2</v>
      </c>
      <c r="K637" s="46">
        <v>1</v>
      </c>
      <c r="L637" s="46">
        <f t="shared" si="135"/>
        <v>9</v>
      </c>
      <c r="M637" s="46">
        <f t="shared" si="136"/>
        <v>3</v>
      </c>
      <c r="N637" s="45">
        <f t="shared" si="137"/>
        <v>1120743</v>
      </c>
      <c r="O637" s="45">
        <f t="shared" si="138"/>
        <v>373581</v>
      </c>
      <c r="P637" s="46">
        <f t="shared" si="139"/>
        <v>0.1</v>
      </c>
      <c r="Q637" s="46"/>
      <c r="R637" s="45">
        <f t="shared" si="140"/>
        <v>0</v>
      </c>
      <c r="S637" s="46">
        <f t="shared" si="141"/>
        <v>0</v>
      </c>
      <c r="T637" s="46">
        <f>IFERROR(VLOOKUP(A637,'[1]Re-order'!$A:$Q,17,0),"")</f>
        <v>5.1030927835051543</v>
      </c>
      <c r="U637" s="46">
        <f>IFERROR(VLOOKUP(A637,'[1]MC Masterlist 2026-09-12'!$B:$M, 10, 0),0)</f>
        <v>15</v>
      </c>
      <c r="V637" s="46">
        <f>IFERROR(VLOOKUP(A637,'[1]MC Masterlist 2026-09-12'!$B:$M, 11, 0),0)</f>
        <v>15</v>
      </c>
      <c r="W637" s="46">
        <f t="shared" si="142"/>
        <v>30</v>
      </c>
      <c r="X637" s="46">
        <f t="shared" si="143"/>
        <v>5.5</v>
      </c>
      <c r="Y637" s="46">
        <f>IFERROR(IF(OR(C637="AREA I",C637="AREA V"),7,VLOOKUP(A637,'[1]MC Masterlist 2026-09-12'!$B:$M, 12, 0)),0)</f>
        <v>7</v>
      </c>
      <c r="Z637" s="46">
        <f t="shared" si="144"/>
        <v>1.5</v>
      </c>
      <c r="AA637" s="46">
        <f t="shared" si="145"/>
        <v>3</v>
      </c>
      <c r="AB637" s="46">
        <f t="shared" si="146"/>
        <v>0.55000000000000004</v>
      </c>
      <c r="AC637" s="46">
        <f t="shared" si="147"/>
        <v>0.70000000000000007</v>
      </c>
      <c r="AD637" s="44" t="str">
        <f t="shared" si="148"/>
        <v>Stockout</v>
      </c>
      <c r="AE637" s="44" t="str">
        <f>IFERROR(VLOOKUP(A637,'[1]Re-order'!$A:$AA,27,0),"")</f>
        <v>Stockout</v>
      </c>
      <c r="AF637" s="46">
        <f t="shared" si="149"/>
        <v>0.70000000000000007</v>
      </c>
      <c r="AG637" s="46">
        <f>SUMIFS('[1]Raw Inventory'!D:D,'[1]Raw Inventory'!C:C,"GREATWALL",'[1]Raw Inventory'!B:B,A637)</f>
        <v>1</v>
      </c>
      <c r="AH637" s="46">
        <f>SUMIFS('[1]Raw Inventory'!D:D,'[1]Raw Inventory'!C:C,"DUARTE",'[1]Raw Inventory'!B:B,A637)</f>
        <v>0</v>
      </c>
      <c r="AI637" s="46"/>
      <c r="AJ637" s="46"/>
      <c r="AK637" s="43"/>
      <c r="AL637" s="43"/>
      <c r="AM637" s="43"/>
      <c r="AN637" s="43"/>
      <c r="AO637" s="43"/>
      <c r="AP637" s="43"/>
      <c r="AQ637" s="43"/>
      <c r="AR637" s="43"/>
      <c r="AS637" s="43"/>
      <c r="AT637" s="43"/>
    </row>
    <row r="638" spans="1:46">
      <c r="A638" s="43" t="s">
        <v>39</v>
      </c>
      <c r="B638" s="43" t="s">
        <v>5</v>
      </c>
      <c r="C638" s="43" t="s">
        <v>118</v>
      </c>
      <c r="D638" s="44" t="s">
        <v>241</v>
      </c>
      <c r="E638" s="44">
        <v>20</v>
      </c>
      <c r="F638" s="44" t="s">
        <v>3</v>
      </c>
      <c r="G638" s="43" t="str">
        <f>IFERROR(VLOOKUP(A638,'[1]MC Masterlist 2026-09-12'!$B:$M, 3, 0),"")</f>
        <v>HONDA</v>
      </c>
      <c r="H638" s="45">
        <f>IFERROR(VLOOKUP(A638,'[1]MC Masterlist 2026-09-12'!$B:$M, 6, 0),"")</f>
        <v>72434</v>
      </c>
      <c r="I638" s="46">
        <v>0</v>
      </c>
      <c r="J638" s="46">
        <v>1</v>
      </c>
      <c r="K638" s="46">
        <v>0</v>
      </c>
      <c r="L638" s="46">
        <f t="shared" si="135"/>
        <v>1</v>
      </c>
      <c r="M638" s="46">
        <f t="shared" si="136"/>
        <v>0.33333333333333331</v>
      </c>
      <c r="N638" s="45">
        <f t="shared" si="137"/>
        <v>72434</v>
      </c>
      <c r="O638" s="45">
        <f t="shared" si="138"/>
        <v>24144.666666666664</v>
      </c>
      <c r="P638" s="46">
        <f t="shared" si="139"/>
        <v>1.111111111111111E-2</v>
      </c>
      <c r="Q638" s="46">
        <v>1</v>
      </c>
      <c r="R638" s="45">
        <f t="shared" si="140"/>
        <v>72434</v>
      </c>
      <c r="S638" s="46">
        <f t="shared" si="141"/>
        <v>90.000000000000014</v>
      </c>
      <c r="T638" s="46">
        <f>IFERROR(VLOOKUP(A638,'[1]Re-order'!$A:$Q,17,0),"")</f>
        <v>40.982142857142854</v>
      </c>
      <c r="U638" s="46">
        <f>IFERROR(VLOOKUP(A638,'[1]MC Masterlist 2026-09-12'!$B:$M, 10, 0),0)</f>
        <v>15</v>
      </c>
      <c r="V638" s="46">
        <f>IFERROR(VLOOKUP(A638,'[1]MC Masterlist 2026-09-12'!$B:$M, 11, 0),0)</f>
        <v>15</v>
      </c>
      <c r="W638" s="46">
        <f t="shared" si="142"/>
        <v>30</v>
      </c>
      <c r="X638" s="46">
        <f t="shared" si="143"/>
        <v>29.833333333333332</v>
      </c>
      <c r="Y638" s="46">
        <f>IFERROR(IF(OR(C638="AREA I",C638="AREA V"),7,VLOOKUP(A638,'[1]MC Masterlist 2026-09-12'!$B:$M, 12, 0)),0)</f>
        <v>30</v>
      </c>
      <c r="Z638" s="46">
        <f t="shared" si="144"/>
        <v>0.16666666666666666</v>
      </c>
      <c r="AA638" s="46">
        <f t="shared" si="145"/>
        <v>0.33333333333333331</v>
      </c>
      <c r="AB638" s="46">
        <f t="shared" si="146"/>
        <v>0.33148148148148143</v>
      </c>
      <c r="AC638" s="46">
        <f t="shared" si="147"/>
        <v>0.33333333333333331</v>
      </c>
      <c r="AD638" s="44" t="str">
        <f t="shared" si="148"/>
        <v>Over</v>
      </c>
      <c r="AE638" s="44" t="str">
        <f>IFERROR(VLOOKUP(A638,'[1]Re-order'!$A:$AA,27,0),"")</f>
        <v>Re-order</v>
      </c>
      <c r="AF638" s="46">
        <f t="shared" si="149"/>
        <v>-0.66666666666666674</v>
      </c>
      <c r="AG638" s="46">
        <f>SUMIFS('[1]Raw Inventory'!D:D,'[1]Raw Inventory'!C:C,"GREATWALL",'[1]Raw Inventory'!B:B,A638)</f>
        <v>16</v>
      </c>
      <c r="AH638" s="46">
        <f>SUMIFS('[1]Raw Inventory'!D:D,'[1]Raw Inventory'!C:C,"DUARTE",'[1]Raw Inventory'!B:B,A638)</f>
        <v>0</v>
      </c>
      <c r="AI638" s="46"/>
      <c r="AJ638" s="46"/>
      <c r="AK638" s="43"/>
      <c r="AL638" s="43"/>
      <c r="AM638" s="43"/>
      <c r="AN638" s="43"/>
      <c r="AO638" s="43"/>
      <c r="AP638" s="43"/>
      <c r="AQ638" s="43"/>
      <c r="AR638" s="43"/>
      <c r="AS638" s="43"/>
      <c r="AT638" s="43"/>
    </row>
    <row r="639" spans="1:46">
      <c r="A639" s="43" t="s">
        <v>89</v>
      </c>
      <c r="B639" s="43" t="s">
        <v>30</v>
      </c>
      <c r="C639" s="43" t="s">
        <v>1</v>
      </c>
      <c r="D639" s="44" t="s">
        <v>257</v>
      </c>
      <c r="E639" s="44">
        <v>29</v>
      </c>
      <c r="F639" s="44" t="s">
        <v>3</v>
      </c>
      <c r="G639" s="43" t="str">
        <f>IFERROR(VLOOKUP(A639,'[1]MC Masterlist 2026-09-12'!$B:$M, 3, 0),"")</f>
        <v>HONDA</v>
      </c>
      <c r="H639" s="45">
        <f>IFERROR(VLOOKUP(A639,'[1]MC Masterlist 2026-09-12'!$B:$M, 6, 0),"")</f>
        <v>117790</v>
      </c>
      <c r="I639" s="46">
        <v>0</v>
      </c>
      <c r="J639" s="46">
        <v>1</v>
      </c>
      <c r="K639" s="46">
        <v>0</v>
      </c>
      <c r="L639" s="46">
        <f t="shared" si="135"/>
        <v>1</v>
      </c>
      <c r="M639" s="46">
        <f t="shared" si="136"/>
        <v>0.33333333333333331</v>
      </c>
      <c r="N639" s="45">
        <f t="shared" si="137"/>
        <v>117790</v>
      </c>
      <c r="O639" s="45">
        <f t="shared" si="138"/>
        <v>39263.333333333328</v>
      </c>
      <c r="P639" s="46">
        <f t="shared" si="139"/>
        <v>1.111111111111111E-2</v>
      </c>
      <c r="Q639" s="46"/>
      <c r="R639" s="45">
        <f t="shared" si="140"/>
        <v>0</v>
      </c>
      <c r="S639" s="46">
        <f t="shared" si="141"/>
        <v>0</v>
      </c>
      <c r="T639" s="46">
        <f>IFERROR(VLOOKUP(A639,'[1]Re-order'!$A:$Q,17,0),"")</f>
        <v>81.818181818181827</v>
      </c>
      <c r="U639" s="46">
        <f>IFERROR(VLOOKUP(A639,'[1]MC Masterlist 2026-09-12'!$B:$M, 10, 0),0)</f>
        <v>15</v>
      </c>
      <c r="V639" s="46">
        <f>IFERROR(VLOOKUP(A639,'[1]MC Masterlist 2026-09-12'!$B:$M, 11, 0),0)</f>
        <v>15</v>
      </c>
      <c r="W639" s="46">
        <f t="shared" si="142"/>
        <v>30</v>
      </c>
      <c r="X639" s="46">
        <f t="shared" si="143"/>
        <v>6.833333333333333</v>
      </c>
      <c r="Y639" s="46">
        <f>IFERROR(IF(OR(C639="AREA I",C639="AREA V"),7,VLOOKUP(A639,'[1]MC Masterlist 2026-09-12'!$B:$M, 12, 0)),0)</f>
        <v>7</v>
      </c>
      <c r="Z639" s="46">
        <f t="shared" si="144"/>
        <v>0.16666666666666666</v>
      </c>
      <c r="AA639" s="46">
        <f t="shared" si="145"/>
        <v>0.33333333333333331</v>
      </c>
      <c r="AB639" s="46">
        <f t="shared" si="146"/>
        <v>7.5925925925925911E-2</v>
      </c>
      <c r="AC639" s="46">
        <f t="shared" si="147"/>
        <v>7.7777777777777765E-2</v>
      </c>
      <c r="AD639" s="44" t="str">
        <f t="shared" si="148"/>
        <v>Stockout</v>
      </c>
      <c r="AE639" s="44" t="str">
        <f>IFERROR(VLOOKUP(A639,'[1]Re-order'!$A:$AA,27,0),"")</f>
        <v/>
      </c>
      <c r="AF639" s="46">
        <f t="shared" si="149"/>
        <v>7.7777777777777765E-2</v>
      </c>
      <c r="AG639" s="46">
        <f>SUMIFS('[1]Raw Inventory'!D:D,'[1]Raw Inventory'!C:C,"GREATWALL",'[1]Raw Inventory'!B:B,A639)</f>
        <v>5</v>
      </c>
      <c r="AH639" s="46">
        <f>SUMIFS('[1]Raw Inventory'!D:D,'[1]Raw Inventory'!C:C,"DUARTE",'[1]Raw Inventory'!B:B,A639)</f>
        <v>0</v>
      </c>
      <c r="AI639" s="46"/>
      <c r="AJ639" s="46"/>
      <c r="AK639" s="43"/>
      <c r="AL639" s="43"/>
      <c r="AM639" s="43"/>
      <c r="AN639" s="43"/>
      <c r="AO639" s="43"/>
      <c r="AP639" s="43"/>
      <c r="AQ639" s="43"/>
      <c r="AR639" s="43"/>
      <c r="AS639" s="43"/>
      <c r="AT639" s="43"/>
    </row>
    <row r="640" spans="1:46">
      <c r="A640" s="43" t="s">
        <v>67</v>
      </c>
      <c r="B640" s="43" t="s">
        <v>5</v>
      </c>
      <c r="C640" s="43" t="s">
        <v>118</v>
      </c>
      <c r="D640" s="44" t="s">
        <v>223</v>
      </c>
      <c r="E640" s="44">
        <v>18</v>
      </c>
      <c r="F640" s="44" t="s">
        <v>3</v>
      </c>
      <c r="G640" s="43" t="str">
        <f>IFERROR(VLOOKUP(A640,'[1]MC Masterlist 2026-09-12'!$B:$M, 3, 0),"")</f>
        <v>YAMAHA</v>
      </c>
      <c r="H640" s="45">
        <f>IFERROR(VLOOKUP(A640,'[1]MC Masterlist 2026-09-12'!$B:$M, 6, 0),"")</f>
        <v>86397</v>
      </c>
      <c r="I640" s="46">
        <v>1</v>
      </c>
      <c r="J640" s="46">
        <v>0</v>
      </c>
      <c r="K640" s="46">
        <v>0</v>
      </c>
      <c r="L640" s="46">
        <f t="shared" si="135"/>
        <v>1</v>
      </c>
      <c r="M640" s="46">
        <f t="shared" si="136"/>
        <v>0.33333333333333331</v>
      </c>
      <c r="N640" s="45">
        <f t="shared" si="137"/>
        <v>86397</v>
      </c>
      <c r="O640" s="45">
        <f t="shared" si="138"/>
        <v>28799</v>
      </c>
      <c r="P640" s="46">
        <f t="shared" si="139"/>
        <v>1.111111111111111E-2</v>
      </c>
      <c r="Q640" s="46"/>
      <c r="R640" s="45">
        <f t="shared" si="140"/>
        <v>0</v>
      </c>
      <c r="S640" s="46">
        <f t="shared" si="141"/>
        <v>0</v>
      </c>
      <c r="T640" s="46">
        <f>IFERROR(VLOOKUP(A640,'[1]Re-order'!$A:$Q,17,0),"")</f>
        <v>73.63636363636364</v>
      </c>
      <c r="U640" s="46">
        <f>IFERROR(VLOOKUP(A640,'[1]MC Masterlist 2026-09-12'!$B:$M, 10, 0),0)</f>
        <v>15</v>
      </c>
      <c r="V640" s="46">
        <f>IFERROR(VLOOKUP(A640,'[1]MC Masterlist 2026-09-12'!$B:$M, 11, 0),0)</f>
        <v>15</v>
      </c>
      <c r="W640" s="46">
        <f t="shared" si="142"/>
        <v>30</v>
      </c>
      <c r="X640" s="46">
        <f t="shared" si="143"/>
        <v>29.833333333333332</v>
      </c>
      <c r="Y640" s="46">
        <f>IFERROR(IF(OR(C640="AREA I",C640="AREA V"),7,VLOOKUP(A640,'[1]MC Masterlist 2026-09-12'!$B:$M, 12, 0)),0)</f>
        <v>30</v>
      </c>
      <c r="Z640" s="46">
        <f t="shared" si="144"/>
        <v>0.16666666666666666</v>
      </c>
      <c r="AA640" s="46">
        <f t="shared" si="145"/>
        <v>0.33333333333333331</v>
      </c>
      <c r="AB640" s="46">
        <f t="shared" si="146"/>
        <v>0.33148148148148143</v>
      </c>
      <c r="AC640" s="46">
        <f t="shared" si="147"/>
        <v>0.33333333333333331</v>
      </c>
      <c r="AD640" s="44" t="str">
        <f t="shared" si="148"/>
        <v>Stockout</v>
      </c>
      <c r="AE640" s="44" t="str">
        <f>IFERROR(VLOOKUP(A640,'[1]Re-order'!$A:$AA,27,0),"")</f>
        <v>Re-order</v>
      </c>
      <c r="AF640" s="46">
        <f t="shared" si="149"/>
        <v>0.33333333333333331</v>
      </c>
      <c r="AG640" s="46">
        <f>SUMIFS('[1]Raw Inventory'!D:D,'[1]Raw Inventory'!C:C,"GREATWALL",'[1]Raw Inventory'!B:B,A640)</f>
        <v>1</v>
      </c>
      <c r="AH640" s="46">
        <f>SUMIFS('[1]Raw Inventory'!D:D,'[1]Raw Inventory'!C:C,"DUARTE",'[1]Raw Inventory'!B:B,A640)</f>
        <v>0</v>
      </c>
      <c r="AI640" s="46"/>
      <c r="AJ640" s="46"/>
      <c r="AK640" s="43"/>
      <c r="AL640" s="43"/>
      <c r="AM640" s="43"/>
      <c r="AN640" s="43"/>
      <c r="AO640" s="43"/>
      <c r="AP640" s="43"/>
      <c r="AQ640" s="43"/>
      <c r="AR640" s="43"/>
      <c r="AS640" s="43"/>
      <c r="AT640" s="43"/>
    </row>
    <row r="641" spans="1:46">
      <c r="A641" s="43" t="s">
        <v>35</v>
      </c>
      <c r="B641" s="43" t="s">
        <v>95</v>
      </c>
      <c r="C641" s="43" t="s">
        <v>90</v>
      </c>
      <c r="D641" s="44" t="s">
        <v>257</v>
      </c>
      <c r="E641" s="44">
        <v>20</v>
      </c>
      <c r="F641" s="44" t="s">
        <v>3</v>
      </c>
      <c r="G641" s="43" t="str">
        <f>IFERROR(VLOOKUP(A641,'[1]MC Masterlist 2026-09-12'!$B:$M, 3, 0),"")</f>
        <v>HONDA</v>
      </c>
      <c r="H641" s="45">
        <f>IFERROR(VLOOKUP(A641,'[1]MC Masterlist 2026-09-12'!$B:$M, 6, 0),"")</f>
        <v>57990</v>
      </c>
      <c r="I641" s="46">
        <v>0</v>
      </c>
      <c r="J641" s="46">
        <v>1</v>
      </c>
      <c r="K641" s="46">
        <v>0</v>
      </c>
      <c r="L641" s="46">
        <f t="shared" si="135"/>
        <v>1</v>
      </c>
      <c r="M641" s="46">
        <f t="shared" si="136"/>
        <v>0.33333333333333331</v>
      </c>
      <c r="N641" s="45">
        <f t="shared" si="137"/>
        <v>57990</v>
      </c>
      <c r="O641" s="45">
        <f t="shared" si="138"/>
        <v>19330</v>
      </c>
      <c r="P641" s="46">
        <f t="shared" si="139"/>
        <v>1.111111111111111E-2</v>
      </c>
      <c r="Q641" s="46">
        <v>1</v>
      </c>
      <c r="R641" s="45">
        <f t="shared" si="140"/>
        <v>57990</v>
      </c>
      <c r="S641" s="46">
        <f t="shared" si="141"/>
        <v>90</v>
      </c>
      <c r="T641" s="46">
        <f>IFERROR(VLOOKUP(A641,'[1]Re-order'!$A:$Q,17,0),"")</f>
        <v>68.275862068965523</v>
      </c>
      <c r="U641" s="46">
        <f>IFERROR(VLOOKUP(A641,'[1]MC Masterlist 2026-09-12'!$B:$M, 10, 0),0)</f>
        <v>15</v>
      </c>
      <c r="V641" s="46">
        <f>IFERROR(VLOOKUP(A641,'[1]MC Masterlist 2026-09-12'!$B:$M, 11, 0),0)</f>
        <v>15</v>
      </c>
      <c r="W641" s="46">
        <f t="shared" si="142"/>
        <v>30</v>
      </c>
      <c r="X641" s="46">
        <f t="shared" si="143"/>
        <v>29.833333333333332</v>
      </c>
      <c r="Y641" s="46">
        <f>IFERROR(IF(OR(C641="AREA I",C641="AREA V"),7,VLOOKUP(A641,'[1]MC Masterlist 2026-09-12'!$B:$M, 12, 0)),0)</f>
        <v>30</v>
      </c>
      <c r="Z641" s="46">
        <f t="shared" si="144"/>
        <v>0.16666666666666666</v>
      </c>
      <c r="AA641" s="46">
        <f t="shared" si="145"/>
        <v>0.33333333333333331</v>
      </c>
      <c r="AB641" s="46">
        <f t="shared" si="146"/>
        <v>0.33148148148148143</v>
      </c>
      <c r="AC641" s="46">
        <f t="shared" si="147"/>
        <v>0.33333333333333331</v>
      </c>
      <c r="AD641" s="44" t="str">
        <f t="shared" si="148"/>
        <v>Over</v>
      </c>
      <c r="AE641" s="44" t="str">
        <f>IFERROR(VLOOKUP(A641,'[1]Re-order'!$A:$AA,27,0),"")</f>
        <v>Re-order</v>
      </c>
      <c r="AF641" s="46">
        <f t="shared" si="149"/>
        <v>-0.66666666666666674</v>
      </c>
      <c r="AG641" s="46">
        <f>SUMIFS('[1]Raw Inventory'!D:D,'[1]Raw Inventory'!C:C,"GREATWALL",'[1]Raw Inventory'!B:B,A641)</f>
        <v>29</v>
      </c>
      <c r="AH641" s="46">
        <f>SUMIFS('[1]Raw Inventory'!D:D,'[1]Raw Inventory'!C:C,"DUARTE",'[1]Raw Inventory'!B:B,A641)</f>
        <v>0</v>
      </c>
      <c r="AI641" s="46"/>
      <c r="AJ641" s="46"/>
      <c r="AK641" s="43"/>
      <c r="AL641" s="43"/>
      <c r="AM641" s="43"/>
      <c r="AN641" s="43"/>
      <c r="AO641" s="43"/>
      <c r="AP641" s="43"/>
      <c r="AQ641" s="43"/>
      <c r="AR641" s="43"/>
      <c r="AS641" s="43"/>
      <c r="AT641" s="43"/>
    </row>
    <row r="642" spans="1:46">
      <c r="A642" s="43" t="s">
        <v>72</v>
      </c>
      <c r="B642" s="43" t="s">
        <v>129</v>
      </c>
      <c r="C642" s="43" t="s">
        <v>128</v>
      </c>
      <c r="D642" s="44" t="s">
        <v>237</v>
      </c>
      <c r="E642" s="44">
        <v>23</v>
      </c>
      <c r="F642" s="44" t="s">
        <v>3</v>
      </c>
      <c r="G642" s="43" t="str">
        <f>IFERROR(VLOOKUP(A642,'[1]MC Masterlist 2026-09-12'!$B:$M, 3, 0),"")</f>
        <v>KAWASAKI</v>
      </c>
      <c r="H642" s="45">
        <f>IFERROR(VLOOKUP(A642,'[1]MC Masterlist 2026-09-12'!$B:$M, 6, 0),"")</f>
        <v>52948</v>
      </c>
      <c r="I642" s="46">
        <v>0</v>
      </c>
      <c r="J642" s="46">
        <v>0</v>
      </c>
      <c r="K642" s="46">
        <v>1</v>
      </c>
      <c r="L642" s="46">
        <f t="shared" si="135"/>
        <v>1</v>
      </c>
      <c r="M642" s="46">
        <f t="shared" si="136"/>
        <v>0.33333333333333331</v>
      </c>
      <c r="N642" s="45">
        <f t="shared" si="137"/>
        <v>52948</v>
      </c>
      <c r="O642" s="45">
        <f t="shared" si="138"/>
        <v>17649.333333333332</v>
      </c>
      <c r="P642" s="46">
        <f t="shared" si="139"/>
        <v>1.111111111111111E-2</v>
      </c>
      <c r="Q642" s="46">
        <v>1</v>
      </c>
      <c r="R642" s="45">
        <f t="shared" si="140"/>
        <v>52948</v>
      </c>
      <c r="S642" s="46">
        <f t="shared" si="141"/>
        <v>90</v>
      </c>
      <c r="T642" s="46">
        <f>IFERROR(VLOOKUP(A642,'[1]Re-order'!$A:$Q,17,0),"")</f>
        <v>378</v>
      </c>
      <c r="U642" s="46">
        <f>IFERROR(VLOOKUP(A642,'[1]MC Masterlist 2026-09-12'!$B:$M, 10, 0),0)</f>
        <v>15</v>
      </c>
      <c r="V642" s="46">
        <f>IFERROR(VLOOKUP(A642,'[1]MC Masterlist 2026-09-12'!$B:$M, 11, 0),0)</f>
        <v>15</v>
      </c>
      <c r="W642" s="46">
        <f t="shared" si="142"/>
        <v>30</v>
      </c>
      <c r="X642" s="46">
        <f t="shared" si="143"/>
        <v>29.833333333333332</v>
      </c>
      <c r="Y642" s="46">
        <f>IFERROR(IF(OR(C642="AREA I",C642="AREA V"),7,VLOOKUP(A642,'[1]MC Masterlist 2026-09-12'!$B:$M, 12, 0)),0)</f>
        <v>30</v>
      </c>
      <c r="Z642" s="46">
        <f t="shared" si="144"/>
        <v>0.16666666666666666</v>
      </c>
      <c r="AA642" s="46">
        <f t="shared" si="145"/>
        <v>0.33333333333333331</v>
      </c>
      <c r="AB642" s="46">
        <f t="shared" si="146"/>
        <v>0.33148148148148143</v>
      </c>
      <c r="AC642" s="46">
        <f t="shared" si="147"/>
        <v>0.33333333333333331</v>
      </c>
      <c r="AD642" s="44" t="str">
        <f t="shared" si="148"/>
        <v>Over</v>
      </c>
      <c r="AE642" s="44" t="str">
        <f>IFERROR(VLOOKUP(A642,'[1]Re-order'!$A:$AA,27,0),"")</f>
        <v>Over</v>
      </c>
      <c r="AF642" s="46">
        <f t="shared" si="149"/>
        <v>-0.66666666666666674</v>
      </c>
      <c r="AG642" s="46">
        <f>SUMIFS('[1]Raw Inventory'!D:D,'[1]Raw Inventory'!C:C,"GREATWALL",'[1]Raw Inventory'!B:B,A642)</f>
        <v>15</v>
      </c>
      <c r="AH642" s="46">
        <f>SUMIFS('[1]Raw Inventory'!D:D,'[1]Raw Inventory'!C:C,"DUARTE",'[1]Raw Inventory'!B:B,A642)</f>
        <v>0</v>
      </c>
      <c r="AI642" s="46"/>
      <c r="AJ642" s="46"/>
      <c r="AK642" s="43"/>
      <c r="AL642" s="43"/>
      <c r="AM642" s="43"/>
      <c r="AN642" s="43"/>
      <c r="AO642" s="43"/>
      <c r="AP642" s="43"/>
      <c r="AQ642" s="43"/>
      <c r="AR642" s="43"/>
      <c r="AS642" s="43"/>
      <c r="AT642" s="43"/>
    </row>
    <row r="643" spans="1:46">
      <c r="A643" s="43" t="s">
        <v>51</v>
      </c>
      <c r="B643" s="43" t="s">
        <v>113</v>
      </c>
      <c r="C643" s="43" t="s">
        <v>109</v>
      </c>
      <c r="D643" s="44" t="s">
        <v>221</v>
      </c>
      <c r="E643" s="44">
        <v>23</v>
      </c>
      <c r="F643" s="44" t="s">
        <v>3</v>
      </c>
      <c r="G643" s="43" t="str">
        <f>IFERROR(VLOOKUP(A643,'[1]MC Masterlist 2026-09-12'!$B:$M, 3, 0),"")</f>
        <v>SUZUKI</v>
      </c>
      <c r="H643" s="45">
        <f>IFERROR(VLOOKUP(A643,'[1]MC Masterlist 2026-09-12'!$B:$M, 6, 0),"")</f>
        <v>138580</v>
      </c>
      <c r="I643" s="46">
        <v>0</v>
      </c>
      <c r="J643" s="46">
        <v>0</v>
      </c>
      <c r="K643" s="46">
        <v>1</v>
      </c>
      <c r="L643" s="46">
        <f t="shared" ref="L643:L706" si="150">I643+J643+K643</f>
        <v>1</v>
      </c>
      <c r="M643" s="46">
        <f t="shared" ref="M643:M706" si="151">AVERAGE(I643,J643,K643)</f>
        <v>0.33333333333333331</v>
      </c>
      <c r="N643" s="45">
        <f t="shared" ref="N643:N706" si="152">L643*H643</f>
        <v>138580</v>
      </c>
      <c r="O643" s="45">
        <f t="shared" ref="O643:O706" si="153">M643*H643</f>
        <v>46193.333333333328</v>
      </c>
      <c r="P643" s="46">
        <f t="shared" ref="P643:P706" si="154">M643/30</f>
        <v>1.111111111111111E-2</v>
      </c>
      <c r="Q643" s="46"/>
      <c r="R643" s="45">
        <f t="shared" ref="R643:R706" si="155">IFERROR(Q643*H643, 0)</f>
        <v>0</v>
      </c>
      <c r="S643" s="46">
        <f t="shared" ref="S643:S706" si="156">IFERROR(R643/(O643)*30, 0)</f>
        <v>0</v>
      </c>
      <c r="T643" s="46">
        <f>IFERROR(VLOOKUP(A643,'[1]Re-order'!$A:$Q,17,0),"")</f>
        <v>18</v>
      </c>
      <c r="U643" s="46">
        <f>IFERROR(VLOOKUP(A643,'[1]MC Masterlist 2026-09-12'!$B:$M, 10, 0),0)</f>
        <v>15</v>
      </c>
      <c r="V643" s="46">
        <f>IFERROR(VLOOKUP(A643,'[1]MC Masterlist 2026-09-12'!$B:$M, 11, 0),0)</f>
        <v>15</v>
      </c>
      <c r="W643" s="46">
        <f t="shared" ref="W643:W706" si="157">U643+V643</f>
        <v>30</v>
      </c>
      <c r="X643" s="46">
        <f t="shared" ref="X643:X706" si="158">Y643-Z643</f>
        <v>29.833333333333332</v>
      </c>
      <c r="Y643" s="46">
        <f>IFERROR(IF(OR(C643="AREA I",C643="AREA V"),7,VLOOKUP(A643,'[1]MC Masterlist 2026-09-12'!$B:$M, 12, 0)),0)</f>
        <v>30</v>
      </c>
      <c r="Z643" s="46">
        <f t="shared" ref="Z643:Z706" si="159">V643*P643</f>
        <v>0.16666666666666666</v>
      </c>
      <c r="AA643" s="46">
        <f t="shared" ref="AA643:AA706" si="160">W643*P643</f>
        <v>0.33333333333333331</v>
      </c>
      <c r="AB643" s="46">
        <f t="shared" ref="AB643:AB706" si="161">X643*P643</f>
        <v>0.33148148148148143</v>
      </c>
      <c r="AC643" s="46">
        <f t="shared" ref="AC643:AC706" si="162">Y643*P643</f>
        <v>0.33333333333333331</v>
      </c>
      <c r="AD643" s="44" t="str">
        <f t="shared" ref="AD643:AD706" si="163">IFERROR(IF(Q643&gt;AC643, "Over", IF(Q643&lt;=Z643, "Stockout", IF(Q643&lt;=AA643, "Re-order",""))), "")</f>
        <v>Stockout</v>
      </c>
      <c r="AE643" s="44" t="str">
        <f>IFERROR(VLOOKUP(A643,'[1]Re-order'!$A:$AA,27,0),"")</f>
        <v>Stockout</v>
      </c>
      <c r="AF643" s="46">
        <f t="shared" ref="AF643:AF706" si="164">AC643-Q643</f>
        <v>0.33333333333333331</v>
      </c>
      <c r="AG643" s="46">
        <f>SUMIFS('[1]Raw Inventory'!D:D,'[1]Raw Inventory'!C:C,"GREATWALL",'[1]Raw Inventory'!B:B,A643)</f>
        <v>0</v>
      </c>
      <c r="AH643" s="46">
        <f>SUMIFS('[1]Raw Inventory'!D:D,'[1]Raw Inventory'!C:C,"DUARTE",'[1]Raw Inventory'!B:B,A643)</f>
        <v>0</v>
      </c>
      <c r="AI643" s="46"/>
      <c r="AJ643" s="46"/>
      <c r="AK643" s="43"/>
      <c r="AL643" s="43"/>
      <c r="AM643" s="43"/>
      <c r="AN643" s="43"/>
      <c r="AO643" s="43"/>
      <c r="AP643" s="43"/>
      <c r="AQ643" s="43"/>
      <c r="AR643" s="43"/>
      <c r="AS643" s="43"/>
      <c r="AT643" s="43"/>
    </row>
    <row r="644" spans="1:46">
      <c r="A644" s="43" t="s">
        <v>22</v>
      </c>
      <c r="B644" s="43" t="s">
        <v>140</v>
      </c>
      <c r="C644" s="43" t="s">
        <v>137</v>
      </c>
      <c r="D644" s="44" t="s">
        <v>233</v>
      </c>
      <c r="E644" s="44">
        <v>8</v>
      </c>
      <c r="F644" s="44" t="s">
        <v>2</v>
      </c>
      <c r="G644" s="43" t="str">
        <f>IFERROR(VLOOKUP(A644,'[1]MC Masterlist 2026-09-12'!$B:$M, 3, 0),"")</f>
        <v>HONDA</v>
      </c>
      <c r="H644" s="45">
        <f>IFERROR(VLOOKUP(A644,'[1]MC Masterlist 2026-09-12'!$B:$M, 6, 0),"")</f>
        <v>111258</v>
      </c>
      <c r="I644" s="46">
        <v>0</v>
      </c>
      <c r="J644" s="46">
        <v>1</v>
      </c>
      <c r="K644" s="46">
        <v>2</v>
      </c>
      <c r="L644" s="46">
        <f t="shared" si="150"/>
        <v>3</v>
      </c>
      <c r="M644" s="46">
        <f t="shared" si="151"/>
        <v>1</v>
      </c>
      <c r="N644" s="45">
        <f t="shared" si="152"/>
        <v>333774</v>
      </c>
      <c r="O644" s="45">
        <f t="shared" si="153"/>
        <v>111258</v>
      </c>
      <c r="P644" s="46">
        <f t="shared" si="154"/>
        <v>3.3333333333333333E-2</v>
      </c>
      <c r="Q644" s="46">
        <v>2</v>
      </c>
      <c r="R644" s="45">
        <f t="shared" si="155"/>
        <v>222516</v>
      </c>
      <c r="S644" s="46">
        <f t="shared" si="156"/>
        <v>60</v>
      </c>
      <c r="T644" s="46">
        <f>IFERROR(VLOOKUP(A644,'[1]Re-order'!$A:$Q,17,0),"")</f>
        <v>41.339712918660283</v>
      </c>
      <c r="U644" s="46">
        <f>IFERROR(VLOOKUP(A644,'[1]MC Masterlist 2026-09-12'!$B:$M, 10, 0),0)</f>
        <v>15</v>
      </c>
      <c r="V644" s="46">
        <f>IFERROR(VLOOKUP(A644,'[1]MC Masterlist 2026-09-12'!$B:$M, 11, 0),0)</f>
        <v>15</v>
      </c>
      <c r="W644" s="46">
        <f t="shared" si="157"/>
        <v>30</v>
      </c>
      <c r="X644" s="46">
        <f t="shared" si="158"/>
        <v>6.5</v>
      </c>
      <c r="Y644" s="46">
        <f>IFERROR(IF(OR(C644="AREA I",C644="AREA V"),7,VLOOKUP(A644,'[1]MC Masterlist 2026-09-12'!$B:$M, 12, 0)),0)</f>
        <v>7</v>
      </c>
      <c r="Z644" s="46">
        <f t="shared" si="159"/>
        <v>0.5</v>
      </c>
      <c r="AA644" s="46">
        <f t="shared" si="160"/>
        <v>1</v>
      </c>
      <c r="AB644" s="46">
        <f t="shared" si="161"/>
        <v>0.21666666666666667</v>
      </c>
      <c r="AC644" s="46">
        <f t="shared" si="162"/>
        <v>0.23333333333333334</v>
      </c>
      <c r="AD644" s="44" t="str">
        <f t="shared" si="163"/>
        <v>Over</v>
      </c>
      <c r="AE644" s="44" t="str">
        <f>IFERROR(VLOOKUP(A644,'[1]Re-order'!$A:$AA,27,0),"")</f>
        <v>Re-order</v>
      </c>
      <c r="AF644" s="46">
        <f t="shared" si="164"/>
        <v>-1.7666666666666666</v>
      </c>
      <c r="AG644" s="46">
        <f>SUMIFS('[1]Raw Inventory'!D:D,'[1]Raw Inventory'!C:C,"GREATWALL",'[1]Raw Inventory'!B:B,A644)</f>
        <v>4</v>
      </c>
      <c r="AH644" s="46">
        <f>SUMIFS('[1]Raw Inventory'!D:D,'[1]Raw Inventory'!C:C,"DUARTE",'[1]Raw Inventory'!B:B,A644)</f>
        <v>0</v>
      </c>
      <c r="AI644" s="46"/>
      <c r="AJ644" s="46"/>
      <c r="AK644" s="43"/>
      <c r="AL644" s="43"/>
      <c r="AM644" s="43"/>
      <c r="AN644" s="43"/>
      <c r="AO644" s="43"/>
      <c r="AP644" s="43"/>
      <c r="AQ644" s="43"/>
      <c r="AR644" s="43"/>
      <c r="AS644" s="43"/>
      <c r="AT644" s="43"/>
    </row>
    <row r="645" spans="1:46">
      <c r="A645" s="43" t="s">
        <v>16</v>
      </c>
      <c r="B645" s="43" t="s">
        <v>21</v>
      </c>
      <c r="C645" s="43" t="s">
        <v>1</v>
      </c>
      <c r="D645" s="44" t="s">
        <v>254</v>
      </c>
      <c r="E645" s="44">
        <v>9</v>
      </c>
      <c r="F645" s="44" t="s">
        <v>2</v>
      </c>
      <c r="G645" s="43" t="str">
        <f>IFERROR(VLOOKUP(A645,'[1]MC Masterlist 2026-09-12'!$B:$M, 3, 0),"")</f>
        <v>HONDA</v>
      </c>
      <c r="H645" s="45">
        <f>IFERROR(VLOOKUP(A645,'[1]MC Masterlist 2026-09-12'!$B:$M, 6, 0),"")</f>
        <v>84394</v>
      </c>
      <c r="I645" s="46">
        <v>2</v>
      </c>
      <c r="J645" s="46">
        <v>3</v>
      </c>
      <c r="K645" s="46">
        <v>2</v>
      </c>
      <c r="L645" s="46">
        <f t="shared" si="150"/>
        <v>7</v>
      </c>
      <c r="M645" s="46">
        <f t="shared" si="151"/>
        <v>2.3333333333333335</v>
      </c>
      <c r="N645" s="45">
        <f t="shared" si="152"/>
        <v>590758</v>
      </c>
      <c r="O645" s="45">
        <f t="shared" si="153"/>
        <v>196919.33333333334</v>
      </c>
      <c r="P645" s="46">
        <f t="shared" si="154"/>
        <v>7.7777777777777779E-2</v>
      </c>
      <c r="Q645" s="46"/>
      <c r="R645" s="45">
        <f t="shared" si="155"/>
        <v>0</v>
      </c>
      <c r="S645" s="46">
        <f t="shared" si="156"/>
        <v>0</v>
      </c>
      <c r="T645" s="46">
        <f>IFERROR(VLOOKUP(A645,'[1]Re-order'!$A:$Q,17,0),"")</f>
        <v>26.332665330661321</v>
      </c>
      <c r="U645" s="46">
        <f>IFERROR(VLOOKUP(A645,'[1]MC Masterlist 2026-09-12'!$B:$M, 10, 0),0)</f>
        <v>15</v>
      </c>
      <c r="V645" s="46">
        <f>IFERROR(VLOOKUP(A645,'[1]MC Masterlist 2026-09-12'!$B:$M, 11, 0),0)</f>
        <v>15</v>
      </c>
      <c r="W645" s="46">
        <f t="shared" si="157"/>
        <v>30</v>
      </c>
      <c r="X645" s="46">
        <f t="shared" si="158"/>
        <v>5.833333333333333</v>
      </c>
      <c r="Y645" s="46">
        <f>IFERROR(IF(OR(C645="AREA I",C645="AREA V"),7,VLOOKUP(A645,'[1]MC Masterlist 2026-09-12'!$B:$M, 12, 0)),0)</f>
        <v>7</v>
      </c>
      <c r="Z645" s="46">
        <f t="shared" si="159"/>
        <v>1.1666666666666667</v>
      </c>
      <c r="AA645" s="46">
        <f t="shared" si="160"/>
        <v>2.3333333333333335</v>
      </c>
      <c r="AB645" s="46">
        <f t="shared" si="161"/>
        <v>0.45370370370370366</v>
      </c>
      <c r="AC645" s="46">
        <f t="shared" si="162"/>
        <v>0.54444444444444451</v>
      </c>
      <c r="AD645" s="44" t="str">
        <f t="shared" si="163"/>
        <v>Stockout</v>
      </c>
      <c r="AE645" s="44" t="str">
        <f>IFERROR(VLOOKUP(A645,'[1]Re-order'!$A:$AA,27,0),"")</f>
        <v>Stockout</v>
      </c>
      <c r="AF645" s="46">
        <f t="shared" si="164"/>
        <v>0.54444444444444451</v>
      </c>
      <c r="AG645" s="46">
        <f>SUMIFS('[1]Raw Inventory'!D:D,'[1]Raw Inventory'!C:C,"GREATWALL",'[1]Raw Inventory'!B:B,A645)</f>
        <v>58</v>
      </c>
      <c r="AH645" s="46">
        <f>SUMIFS('[1]Raw Inventory'!D:D,'[1]Raw Inventory'!C:C,"DUARTE",'[1]Raw Inventory'!B:B,A645)</f>
        <v>0</v>
      </c>
      <c r="AI645" s="46"/>
      <c r="AJ645" s="46"/>
      <c r="AK645" s="43"/>
      <c r="AL645" s="43"/>
      <c r="AM645" s="43"/>
      <c r="AN645" s="43"/>
      <c r="AO645" s="43"/>
      <c r="AP645" s="43"/>
      <c r="AQ645" s="43"/>
      <c r="AR645" s="43"/>
      <c r="AS645" s="43"/>
      <c r="AT645" s="43"/>
    </row>
    <row r="646" spans="1:46">
      <c r="A646" s="43" t="s">
        <v>67</v>
      </c>
      <c r="B646" s="43" t="s">
        <v>162</v>
      </c>
      <c r="C646" s="43" t="s">
        <v>159</v>
      </c>
      <c r="D646" s="44" t="s">
        <v>268</v>
      </c>
      <c r="E646" s="44">
        <v>16</v>
      </c>
      <c r="F646" s="44" t="s">
        <v>3</v>
      </c>
      <c r="G646" s="43" t="str">
        <f>IFERROR(VLOOKUP(A646,'[1]MC Masterlist 2026-09-12'!$B:$M, 3, 0),"")</f>
        <v>YAMAHA</v>
      </c>
      <c r="H646" s="45">
        <f>IFERROR(VLOOKUP(A646,'[1]MC Masterlist 2026-09-12'!$B:$M, 6, 0),"")</f>
        <v>86397</v>
      </c>
      <c r="I646" s="46">
        <v>0</v>
      </c>
      <c r="J646" s="46">
        <v>0</v>
      </c>
      <c r="K646" s="46">
        <v>1</v>
      </c>
      <c r="L646" s="46">
        <f t="shared" si="150"/>
        <v>1</v>
      </c>
      <c r="M646" s="46">
        <f t="shared" si="151"/>
        <v>0.33333333333333331</v>
      </c>
      <c r="N646" s="45">
        <f t="shared" si="152"/>
        <v>86397</v>
      </c>
      <c r="O646" s="45">
        <f t="shared" si="153"/>
        <v>28799</v>
      </c>
      <c r="P646" s="46">
        <f t="shared" si="154"/>
        <v>1.111111111111111E-2</v>
      </c>
      <c r="Q646" s="46">
        <v>1</v>
      </c>
      <c r="R646" s="45">
        <f t="shared" si="155"/>
        <v>86397</v>
      </c>
      <c r="S646" s="46">
        <f t="shared" si="156"/>
        <v>90</v>
      </c>
      <c r="T646" s="46">
        <f>IFERROR(VLOOKUP(A646,'[1]Re-order'!$A:$Q,17,0),"")</f>
        <v>73.63636363636364</v>
      </c>
      <c r="U646" s="46">
        <f>IFERROR(VLOOKUP(A646,'[1]MC Masterlist 2026-09-12'!$B:$M, 10, 0),0)</f>
        <v>15</v>
      </c>
      <c r="V646" s="46">
        <f>IFERROR(VLOOKUP(A646,'[1]MC Masterlist 2026-09-12'!$B:$M, 11, 0),0)</f>
        <v>15</v>
      </c>
      <c r="W646" s="46">
        <f t="shared" si="157"/>
        <v>30</v>
      </c>
      <c r="X646" s="46">
        <f t="shared" si="158"/>
        <v>29.833333333333332</v>
      </c>
      <c r="Y646" s="46">
        <f>IFERROR(IF(OR(C646="AREA I",C646="AREA V"),7,VLOOKUP(A646,'[1]MC Masterlist 2026-09-12'!$B:$M, 12, 0)),0)</f>
        <v>30</v>
      </c>
      <c r="Z646" s="46">
        <f t="shared" si="159"/>
        <v>0.16666666666666666</v>
      </c>
      <c r="AA646" s="46">
        <f t="shared" si="160"/>
        <v>0.33333333333333331</v>
      </c>
      <c r="AB646" s="46">
        <f t="shared" si="161"/>
        <v>0.33148148148148143</v>
      </c>
      <c r="AC646" s="46">
        <f t="shared" si="162"/>
        <v>0.33333333333333331</v>
      </c>
      <c r="AD646" s="44" t="str">
        <f t="shared" si="163"/>
        <v>Over</v>
      </c>
      <c r="AE646" s="44" t="str">
        <f>IFERROR(VLOOKUP(A646,'[1]Re-order'!$A:$AA,27,0),"")</f>
        <v>Re-order</v>
      </c>
      <c r="AF646" s="46">
        <f t="shared" si="164"/>
        <v>-0.66666666666666674</v>
      </c>
      <c r="AG646" s="46">
        <f>SUMIFS('[1]Raw Inventory'!D:D,'[1]Raw Inventory'!C:C,"GREATWALL",'[1]Raw Inventory'!B:B,A646)</f>
        <v>1</v>
      </c>
      <c r="AH646" s="46">
        <f>SUMIFS('[1]Raw Inventory'!D:D,'[1]Raw Inventory'!C:C,"DUARTE",'[1]Raw Inventory'!B:B,A646)</f>
        <v>0</v>
      </c>
      <c r="AI646" s="46"/>
      <c r="AJ646" s="46"/>
      <c r="AK646" s="43"/>
      <c r="AL646" s="43"/>
      <c r="AM646" s="43"/>
      <c r="AN646" s="43"/>
      <c r="AO646" s="43"/>
      <c r="AP646" s="43"/>
      <c r="AQ646" s="43"/>
      <c r="AR646" s="43"/>
      <c r="AS646" s="43"/>
      <c r="AT646" s="43"/>
    </row>
    <row r="647" spans="1:46">
      <c r="A647" s="43" t="s">
        <v>44</v>
      </c>
      <c r="B647" s="43" t="s">
        <v>158</v>
      </c>
      <c r="C647" s="43" t="s">
        <v>152</v>
      </c>
      <c r="D647" s="44" t="s">
        <v>233</v>
      </c>
      <c r="E647" s="44">
        <v>10</v>
      </c>
      <c r="F647" s="44" t="s">
        <v>2</v>
      </c>
      <c r="G647" s="43" t="str">
        <f>IFERROR(VLOOKUP(A647,'[1]MC Masterlist 2026-09-12'!$B:$M, 3, 0),"")</f>
        <v>YAMAHA</v>
      </c>
      <c r="H647" s="45">
        <f>IFERROR(VLOOKUP(A647,'[1]MC Masterlist 2026-09-12'!$B:$M, 6, 0),"")</f>
        <v>165912</v>
      </c>
      <c r="I647" s="46">
        <v>0</v>
      </c>
      <c r="J647" s="46">
        <v>1</v>
      </c>
      <c r="K647" s="46">
        <v>1</v>
      </c>
      <c r="L647" s="46">
        <f t="shared" si="150"/>
        <v>2</v>
      </c>
      <c r="M647" s="46">
        <f t="shared" si="151"/>
        <v>0.66666666666666663</v>
      </c>
      <c r="N647" s="45">
        <f t="shared" si="152"/>
        <v>331824</v>
      </c>
      <c r="O647" s="45">
        <f t="shared" si="153"/>
        <v>110608</v>
      </c>
      <c r="P647" s="46">
        <f t="shared" si="154"/>
        <v>2.222222222222222E-2</v>
      </c>
      <c r="Q647" s="46"/>
      <c r="R647" s="45">
        <f t="shared" si="155"/>
        <v>0</v>
      </c>
      <c r="S647" s="46">
        <f t="shared" si="156"/>
        <v>0</v>
      </c>
      <c r="T647" s="46">
        <f>IFERROR(VLOOKUP(A647,'[1]Re-order'!$A:$Q,17,0),"")</f>
        <v>10.588235294117649</v>
      </c>
      <c r="U647" s="46">
        <f>IFERROR(VLOOKUP(A647,'[1]MC Masterlist 2026-09-12'!$B:$M, 10, 0),0)</f>
        <v>15</v>
      </c>
      <c r="V647" s="46">
        <f>IFERROR(VLOOKUP(A647,'[1]MC Masterlist 2026-09-12'!$B:$M, 11, 0),0)</f>
        <v>15</v>
      </c>
      <c r="W647" s="46">
        <f t="shared" si="157"/>
        <v>30</v>
      </c>
      <c r="X647" s="46">
        <f t="shared" si="158"/>
        <v>29.666666666666668</v>
      </c>
      <c r="Y647" s="46">
        <f>IFERROR(IF(OR(C647="AREA I",C647="AREA V"),7,VLOOKUP(A647,'[1]MC Masterlist 2026-09-12'!$B:$M, 12, 0)),0)</f>
        <v>30</v>
      </c>
      <c r="Z647" s="46">
        <f t="shared" si="159"/>
        <v>0.33333333333333331</v>
      </c>
      <c r="AA647" s="46">
        <f t="shared" si="160"/>
        <v>0.66666666666666663</v>
      </c>
      <c r="AB647" s="46">
        <f t="shared" si="161"/>
        <v>0.65925925925925921</v>
      </c>
      <c r="AC647" s="46">
        <f t="shared" si="162"/>
        <v>0.66666666666666663</v>
      </c>
      <c r="AD647" s="44" t="str">
        <f t="shared" si="163"/>
        <v>Stockout</v>
      </c>
      <c r="AE647" s="44" t="str">
        <f>IFERROR(VLOOKUP(A647,'[1]Re-order'!$A:$AA,27,0),"")</f>
        <v>Stockout</v>
      </c>
      <c r="AF647" s="46">
        <f t="shared" si="164"/>
        <v>0.66666666666666663</v>
      </c>
      <c r="AG647" s="46">
        <f>SUMIFS('[1]Raw Inventory'!D:D,'[1]Raw Inventory'!C:C,"GREATWALL",'[1]Raw Inventory'!B:B,A647)</f>
        <v>0</v>
      </c>
      <c r="AH647" s="46">
        <f>SUMIFS('[1]Raw Inventory'!D:D,'[1]Raw Inventory'!C:C,"DUARTE",'[1]Raw Inventory'!B:B,A647)</f>
        <v>0</v>
      </c>
      <c r="AI647" s="46"/>
      <c r="AJ647" s="46"/>
      <c r="AK647" s="43"/>
      <c r="AL647" s="43"/>
      <c r="AM647" s="43"/>
      <c r="AN647" s="43"/>
      <c r="AO647" s="43"/>
      <c r="AP647" s="43"/>
      <c r="AQ647" s="43"/>
      <c r="AR647" s="43"/>
      <c r="AS647" s="43"/>
      <c r="AT647" s="43"/>
    </row>
    <row r="648" spans="1:46">
      <c r="A648" s="43" t="s">
        <v>40</v>
      </c>
      <c r="B648" s="43" t="s">
        <v>119</v>
      </c>
      <c r="C648" s="43" t="s">
        <v>118</v>
      </c>
      <c r="D648" s="44" t="s">
        <v>266</v>
      </c>
      <c r="E648" s="44">
        <v>21</v>
      </c>
      <c r="F648" s="44" t="s">
        <v>2</v>
      </c>
      <c r="G648" s="43" t="str">
        <f>IFERROR(VLOOKUP(A648,'[1]MC Masterlist 2026-09-12'!$B:$M, 3, 0),"")</f>
        <v>HONDA</v>
      </c>
      <c r="H648" s="45">
        <f>IFERROR(VLOOKUP(A648,'[1]MC Masterlist 2026-09-12'!$B:$M, 6, 0),"")</f>
        <v>56426</v>
      </c>
      <c r="I648" s="46">
        <v>0</v>
      </c>
      <c r="J648" s="46">
        <v>1</v>
      </c>
      <c r="K648" s="46">
        <v>2</v>
      </c>
      <c r="L648" s="46">
        <f t="shared" si="150"/>
        <v>3</v>
      </c>
      <c r="M648" s="46">
        <f t="shared" si="151"/>
        <v>1</v>
      </c>
      <c r="N648" s="45">
        <f t="shared" si="152"/>
        <v>169278</v>
      </c>
      <c r="O648" s="45">
        <f t="shared" si="153"/>
        <v>56426</v>
      </c>
      <c r="P648" s="46">
        <f t="shared" si="154"/>
        <v>3.3333333333333333E-2</v>
      </c>
      <c r="Q648" s="46">
        <v>2</v>
      </c>
      <c r="R648" s="45">
        <f t="shared" si="155"/>
        <v>112852</v>
      </c>
      <c r="S648" s="46">
        <f t="shared" si="156"/>
        <v>60</v>
      </c>
      <c r="T648" s="46">
        <f>IFERROR(VLOOKUP(A648,'[1]Re-order'!$A:$Q,17,0),"")</f>
        <v>139.56521739130434</v>
      </c>
      <c r="U648" s="46">
        <f>IFERROR(VLOOKUP(A648,'[1]MC Masterlist 2026-09-12'!$B:$M, 10, 0),0)</f>
        <v>15</v>
      </c>
      <c r="V648" s="46">
        <f>IFERROR(VLOOKUP(A648,'[1]MC Masterlist 2026-09-12'!$B:$M, 11, 0),0)</f>
        <v>15</v>
      </c>
      <c r="W648" s="46">
        <f t="shared" si="157"/>
        <v>30</v>
      </c>
      <c r="X648" s="46">
        <f t="shared" si="158"/>
        <v>29.5</v>
      </c>
      <c r="Y648" s="46">
        <f>IFERROR(IF(OR(C648="AREA I",C648="AREA V"),7,VLOOKUP(A648,'[1]MC Masterlist 2026-09-12'!$B:$M, 12, 0)),0)</f>
        <v>30</v>
      </c>
      <c r="Z648" s="46">
        <f t="shared" si="159"/>
        <v>0.5</v>
      </c>
      <c r="AA648" s="46">
        <f t="shared" si="160"/>
        <v>1</v>
      </c>
      <c r="AB648" s="46">
        <f t="shared" si="161"/>
        <v>0.98333333333333328</v>
      </c>
      <c r="AC648" s="46">
        <f t="shared" si="162"/>
        <v>1</v>
      </c>
      <c r="AD648" s="44" t="str">
        <f t="shared" si="163"/>
        <v>Over</v>
      </c>
      <c r="AE648" s="44" t="str">
        <f>IFERROR(VLOOKUP(A648,'[1]Re-order'!$A:$AA,27,0),"")</f>
        <v>Over</v>
      </c>
      <c r="AF648" s="46">
        <f t="shared" si="164"/>
        <v>-1</v>
      </c>
      <c r="AG648" s="46">
        <f>SUMIFS('[1]Raw Inventory'!D:D,'[1]Raw Inventory'!C:C,"GREATWALL",'[1]Raw Inventory'!B:B,A648)</f>
        <v>45</v>
      </c>
      <c r="AH648" s="46">
        <f>SUMIFS('[1]Raw Inventory'!D:D,'[1]Raw Inventory'!C:C,"DUARTE",'[1]Raw Inventory'!B:B,A648)</f>
        <v>0</v>
      </c>
      <c r="AI648" s="46"/>
      <c r="AJ648" s="46"/>
      <c r="AK648" s="43"/>
      <c r="AL648" s="43"/>
      <c r="AM648" s="43"/>
      <c r="AN648" s="43"/>
      <c r="AO648" s="43"/>
      <c r="AP648" s="43"/>
      <c r="AQ648" s="43"/>
      <c r="AR648" s="43"/>
      <c r="AS648" s="43"/>
      <c r="AT648" s="43"/>
    </row>
    <row r="649" spans="1:46">
      <c r="A649" s="43" t="s">
        <v>23</v>
      </c>
      <c r="B649" s="43" t="s">
        <v>248</v>
      </c>
      <c r="C649" s="43"/>
      <c r="D649" s="44" t="s">
        <v>286</v>
      </c>
      <c r="E649" s="44">
        <v>1</v>
      </c>
      <c r="F649" s="44" t="s">
        <v>0</v>
      </c>
      <c r="G649" s="43" t="str">
        <f>IFERROR(VLOOKUP(A649,'[1]MC Masterlist 2026-09-12'!$B:$M, 3, 0),"")</f>
        <v>KAWASAKI</v>
      </c>
      <c r="H649" s="45">
        <f>IFERROR(VLOOKUP(A649,'[1]MC Masterlist 2026-09-12'!$B:$M, 6, 0),"")</f>
        <v>60656</v>
      </c>
      <c r="I649" s="46">
        <v>0</v>
      </c>
      <c r="J649" s="46">
        <v>0</v>
      </c>
      <c r="K649" s="46">
        <v>0</v>
      </c>
      <c r="L649" s="46">
        <f t="shared" si="150"/>
        <v>0</v>
      </c>
      <c r="M649" s="46">
        <f t="shared" si="151"/>
        <v>0</v>
      </c>
      <c r="N649" s="45">
        <f t="shared" si="152"/>
        <v>0</v>
      </c>
      <c r="O649" s="45">
        <f t="shared" si="153"/>
        <v>0</v>
      </c>
      <c r="P649" s="46">
        <f t="shared" si="154"/>
        <v>0</v>
      </c>
      <c r="Q649" s="46">
        <v>2</v>
      </c>
      <c r="R649" s="45">
        <f t="shared" si="155"/>
        <v>121312</v>
      </c>
      <c r="S649" s="46">
        <f t="shared" si="156"/>
        <v>0</v>
      </c>
      <c r="T649" s="46">
        <f>IFERROR(VLOOKUP(A649,'[1]Re-order'!$A:$Q,17,0),"")</f>
        <v>53.973412112259979</v>
      </c>
      <c r="U649" s="46">
        <f>IFERROR(VLOOKUP(A649,'[1]MC Masterlist 2026-09-12'!$B:$M, 10, 0),0)</f>
        <v>15</v>
      </c>
      <c r="V649" s="46">
        <f>IFERROR(VLOOKUP(A649,'[1]MC Masterlist 2026-09-12'!$B:$M, 11, 0),0)</f>
        <v>15</v>
      </c>
      <c r="W649" s="46">
        <f t="shared" si="157"/>
        <v>30</v>
      </c>
      <c r="X649" s="46">
        <f t="shared" si="158"/>
        <v>30</v>
      </c>
      <c r="Y649" s="46">
        <f>IFERROR(IF(OR(C649="AREA I",C649="AREA V"),7,VLOOKUP(A649,'[1]MC Masterlist 2026-09-12'!$B:$M, 12, 0)),0)</f>
        <v>30</v>
      </c>
      <c r="Z649" s="46">
        <f t="shared" si="159"/>
        <v>0</v>
      </c>
      <c r="AA649" s="46">
        <f t="shared" si="160"/>
        <v>0</v>
      </c>
      <c r="AB649" s="46">
        <f t="shared" si="161"/>
        <v>0</v>
      </c>
      <c r="AC649" s="46">
        <f t="shared" si="162"/>
        <v>0</v>
      </c>
      <c r="AD649" s="44" t="str">
        <f t="shared" si="163"/>
        <v>Over</v>
      </c>
      <c r="AE649" s="44" t="str">
        <f>IFERROR(VLOOKUP(A649,'[1]Re-order'!$A:$AA,27,0),"")</f>
        <v>Re-order</v>
      </c>
      <c r="AF649" s="46">
        <f t="shared" si="164"/>
        <v>-2</v>
      </c>
      <c r="AG649" s="46">
        <f>SUMIFS('[1]Raw Inventory'!D:D,'[1]Raw Inventory'!C:C,"GREATWALL",'[1]Raw Inventory'!B:B,A649)</f>
        <v>282</v>
      </c>
      <c r="AH649" s="46">
        <f>SUMIFS('[1]Raw Inventory'!D:D,'[1]Raw Inventory'!C:C,"DUARTE",'[1]Raw Inventory'!B:B,A649)</f>
        <v>0</v>
      </c>
      <c r="AI649" s="46"/>
      <c r="AJ649" s="46"/>
      <c r="AK649" s="43"/>
      <c r="AL649" s="43"/>
      <c r="AM649" s="43"/>
      <c r="AN649" s="43"/>
      <c r="AO649" s="43"/>
      <c r="AP649" s="43"/>
      <c r="AQ649" s="43"/>
      <c r="AR649" s="43"/>
      <c r="AS649" s="43"/>
      <c r="AT649" s="43"/>
    </row>
    <row r="650" spans="1:46">
      <c r="A650" s="43" t="s">
        <v>64</v>
      </c>
      <c r="B650" s="43" t="s">
        <v>157</v>
      </c>
      <c r="C650" s="43" t="s">
        <v>152</v>
      </c>
      <c r="D650" s="44" t="s">
        <v>239</v>
      </c>
      <c r="E650" s="44">
        <v>24</v>
      </c>
      <c r="F650" s="44" t="s">
        <v>3</v>
      </c>
      <c r="G650" s="43" t="str">
        <f>IFERROR(VLOOKUP(A650,'[1]MC Masterlist 2026-09-12'!$B:$M, 3, 0),"")</f>
        <v>HONDA</v>
      </c>
      <c r="H650" s="45">
        <f>IFERROR(VLOOKUP(A650,'[1]MC Masterlist 2026-09-12'!$B:$M, 6, 0),"")</f>
        <v>73170</v>
      </c>
      <c r="I650" s="46">
        <v>0</v>
      </c>
      <c r="J650" s="46">
        <v>0</v>
      </c>
      <c r="K650" s="46">
        <v>0</v>
      </c>
      <c r="L650" s="46">
        <f t="shared" si="150"/>
        <v>0</v>
      </c>
      <c r="M650" s="46">
        <f t="shared" si="151"/>
        <v>0</v>
      </c>
      <c r="N650" s="45">
        <f t="shared" si="152"/>
        <v>0</v>
      </c>
      <c r="O650" s="45">
        <f t="shared" si="153"/>
        <v>0</v>
      </c>
      <c r="P650" s="46">
        <f t="shared" si="154"/>
        <v>0</v>
      </c>
      <c r="Q650" s="46">
        <v>1</v>
      </c>
      <c r="R650" s="45">
        <f t="shared" si="155"/>
        <v>73170</v>
      </c>
      <c r="S650" s="46">
        <f t="shared" si="156"/>
        <v>0</v>
      </c>
      <c r="T650" s="46">
        <f>IFERROR(VLOOKUP(A650,'[1]Re-order'!$A:$Q,17,0),"")</f>
        <v>76.153846153846146</v>
      </c>
      <c r="U650" s="46">
        <f>IFERROR(VLOOKUP(A650,'[1]MC Masterlist 2026-09-12'!$B:$M, 10, 0),0)</f>
        <v>15</v>
      </c>
      <c r="V650" s="46">
        <f>IFERROR(VLOOKUP(A650,'[1]MC Masterlist 2026-09-12'!$B:$M, 11, 0),0)</f>
        <v>15</v>
      </c>
      <c r="W650" s="46">
        <f t="shared" si="157"/>
        <v>30</v>
      </c>
      <c r="X650" s="46">
        <f t="shared" si="158"/>
        <v>30</v>
      </c>
      <c r="Y650" s="46">
        <f>IFERROR(IF(OR(C650="AREA I",C650="AREA V"),7,VLOOKUP(A650,'[1]MC Masterlist 2026-09-12'!$B:$M, 12, 0)),0)</f>
        <v>30</v>
      </c>
      <c r="Z650" s="46">
        <f t="shared" si="159"/>
        <v>0</v>
      </c>
      <c r="AA650" s="46">
        <f t="shared" si="160"/>
        <v>0</v>
      </c>
      <c r="AB650" s="46">
        <f t="shared" si="161"/>
        <v>0</v>
      </c>
      <c r="AC650" s="46">
        <f t="shared" si="162"/>
        <v>0</v>
      </c>
      <c r="AD650" s="44" t="str">
        <f t="shared" si="163"/>
        <v>Over</v>
      </c>
      <c r="AE650" s="44" t="str">
        <f>IFERROR(VLOOKUP(A650,'[1]Re-order'!$A:$AA,27,0),"")</f>
        <v/>
      </c>
      <c r="AF650" s="46">
        <f t="shared" si="164"/>
        <v>-1</v>
      </c>
      <c r="AG650" s="46">
        <f>SUMIFS('[1]Raw Inventory'!D:D,'[1]Raw Inventory'!C:C,"GREATWALL",'[1]Raw Inventory'!B:B,A650)</f>
        <v>13</v>
      </c>
      <c r="AH650" s="46">
        <f>SUMIFS('[1]Raw Inventory'!D:D,'[1]Raw Inventory'!C:C,"DUARTE",'[1]Raw Inventory'!B:B,A650)</f>
        <v>0</v>
      </c>
      <c r="AI650" s="46"/>
      <c r="AJ650" s="46"/>
      <c r="AK650" s="43"/>
      <c r="AL650" s="43"/>
      <c r="AM650" s="43"/>
      <c r="AN650" s="43"/>
      <c r="AO650" s="43"/>
      <c r="AP650" s="43"/>
      <c r="AQ650" s="43"/>
      <c r="AR650" s="43"/>
      <c r="AS650" s="43"/>
      <c r="AT650" s="43"/>
    </row>
    <row r="651" spans="1:46">
      <c r="A651" s="43" t="s">
        <v>28</v>
      </c>
      <c r="B651" s="43" t="s">
        <v>130</v>
      </c>
      <c r="C651" s="43" t="s">
        <v>128</v>
      </c>
      <c r="D651" s="44" t="s">
        <v>225</v>
      </c>
      <c r="E651" s="44">
        <v>3</v>
      </c>
      <c r="F651" s="44" t="s">
        <v>0</v>
      </c>
      <c r="G651" s="43" t="str">
        <f>IFERROR(VLOOKUP(A651,'[1]MC Masterlist 2026-09-12'!$B:$M, 3, 0),"")</f>
        <v>YAMAHA</v>
      </c>
      <c r="H651" s="45">
        <f>IFERROR(VLOOKUP(A651,'[1]MC Masterlist 2026-09-12'!$B:$M, 6, 0),"")</f>
        <v>147312</v>
      </c>
      <c r="I651" s="46">
        <v>4</v>
      </c>
      <c r="J651" s="46">
        <v>5</v>
      </c>
      <c r="K651" s="46">
        <v>5</v>
      </c>
      <c r="L651" s="46">
        <f t="shared" si="150"/>
        <v>14</v>
      </c>
      <c r="M651" s="46">
        <f t="shared" si="151"/>
        <v>4.666666666666667</v>
      </c>
      <c r="N651" s="45">
        <f t="shared" si="152"/>
        <v>2062368</v>
      </c>
      <c r="O651" s="45">
        <f t="shared" si="153"/>
        <v>687456</v>
      </c>
      <c r="P651" s="46">
        <f t="shared" si="154"/>
        <v>0.15555555555555556</v>
      </c>
      <c r="Q651" s="46"/>
      <c r="R651" s="45">
        <f t="shared" si="155"/>
        <v>0</v>
      </c>
      <c r="S651" s="46">
        <f t="shared" si="156"/>
        <v>0</v>
      </c>
      <c r="T651" s="46">
        <f>IFERROR(VLOOKUP(A651,'[1]Re-order'!$A:$Q,17,0),"")</f>
        <v>8.2417582417582427</v>
      </c>
      <c r="U651" s="46">
        <f>IFERROR(VLOOKUP(A651,'[1]MC Masterlist 2026-09-12'!$B:$M, 10, 0),0)</f>
        <v>15</v>
      </c>
      <c r="V651" s="46">
        <f>IFERROR(VLOOKUP(A651,'[1]MC Masterlist 2026-09-12'!$B:$M, 11, 0),0)</f>
        <v>15</v>
      </c>
      <c r="W651" s="46">
        <f t="shared" si="157"/>
        <v>30</v>
      </c>
      <c r="X651" s="46">
        <f t="shared" si="158"/>
        <v>27.666666666666668</v>
      </c>
      <c r="Y651" s="46">
        <f>IFERROR(IF(OR(C651="AREA I",C651="AREA V"),7,VLOOKUP(A651,'[1]MC Masterlist 2026-09-12'!$B:$M, 12, 0)),0)</f>
        <v>30</v>
      </c>
      <c r="Z651" s="46">
        <f t="shared" si="159"/>
        <v>2.3333333333333335</v>
      </c>
      <c r="AA651" s="46">
        <f t="shared" si="160"/>
        <v>4.666666666666667</v>
      </c>
      <c r="AB651" s="46">
        <f t="shared" si="161"/>
        <v>4.3037037037037038</v>
      </c>
      <c r="AC651" s="46">
        <f t="shared" si="162"/>
        <v>4.666666666666667</v>
      </c>
      <c r="AD651" s="44" t="str">
        <f t="shared" si="163"/>
        <v>Stockout</v>
      </c>
      <c r="AE651" s="44" t="str">
        <f>IFERROR(VLOOKUP(A651,'[1]Re-order'!$A:$AA,27,0),"")</f>
        <v>Stockout</v>
      </c>
      <c r="AF651" s="46">
        <f t="shared" si="164"/>
        <v>4.666666666666667</v>
      </c>
      <c r="AG651" s="46">
        <f>SUMIFS('[1]Raw Inventory'!D:D,'[1]Raw Inventory'!C:C,"GREATWALL",'[1]Raw Inventory'!B:B,A651)</f>
        <v>0</v>
      </c>
      <c r="AH651" s="46">
        <f>SUMIFS('[1]Raw Inventory'!D:D,'[1]Raw Inventory'!C:C,"DUARTE",'[1]Raw Inventory'!B:B,A651)</f>
        <v>0</v>
      </c>
      <c r="AI651" s="46"/>
      <c r="AJ651" s="46"/>
      <c r="AK651" s="43"/>
      <c r="AL651" s="43"/>
      <c r="AM651" s="43"/>
      <c r="AN651" s="43"/>
      <c r="AO651" s="43"/>
      <c r="AP651" s="43"/>
      <c r="AQ651" s="43"/>
      <c r="AR651" s="43"/>
      <c r="AS651" s="43"/>
      <c r="AT651" s="43"/>
    </row>
    <row r="652" spans="1:46">
      <c r="A652" s="43" t="s">
        <v>47</v>
      </c>
      <c r="B652" s="43" t="s">
        <v>29</v>
      </c>
      <c r="C652" s="43" t="s">
        <v>1</v>
      </c>
      <c r="D652" s="44" t="s">
        <v>237</v>
      </c>
      <c r="E652" s="44">
        <v>33</v>
      </c>
      <c r="F652" s="44" t="s">
        <v>3</v>
      </c>
      <c r="G652" s="43" t="str">
        <f>IFERROR(VLOOKUP(A652,'[1]MC Masterlist 2026-09-12'!$B:$M, 3, 0),"")</f>
        <v>YAMAHA</v>
      </c>
      <c r="H652" s="45">
        <f>IFERROR(VLOOKUP(A652,'[1]MC Masterlist 2026-09-12'!$B:$M, 6, 0),"")</f>
        <v>76167</v>
      </c>
      <c r="I652" s="46">
        <v>0</v>
      </c>
      <c r="J652" s="46">
        <v>1</v>
      </c>
      <c r="K652" s="46">
        <v>0</v>
      </c>
      <c r="L652" s="46">
        <f t="shared" si="150"/>
        <v>1</v>
      </c>
      <c r="M652" s="46">
        <f t="shared" si="151"/>
        <v>0.33333333333333331</v>
      </c>
      <c r="N652" s="45">
        <f t="shared" si="152"/>
        <v>76167</v>
      </c>
      <c r="O652" s="45">
        <f t="shared" si="153"/>
        <v>25389</v>
      </c>
      <c r="P652" s="46">
        <f t="shared" si="154"/>
        <v>1.111111111111111E-2</v>
      </c>
      <c r="Q652" s="46"/>
      <c r="R652" s="45">
        <f t="shared" si="155"/>
        <v>0</v>
      </c>
      <c r="S652" s="46">
        <f t="shared" si="156"/>
        <v>0</v>
      </c>
      <c r="T652" s="46">
        <f>IFERROR(VLOOKUP(A652,'[1]Re-order'!$A:$Q,17,0),"")</f>
        <v>86.666666666666671</v>
      </c>
      <c r="U652" s="46">
        <f>IFERROR(VLOOKUP(A652,'[1]MC Masterlist 2026-09-12'!$B:$M, 10, 0),0)</f>
        <v>15</v>
      </c>
      <c r="V652" s="46">
        <f>IFERROR(VLOOKUP(A652,'[1]MC Masterlist 2026-09-12'!$B:$M, 11, 0),0)</f>
        <v>15</v>
      </c>
      <c r="W652" s="46">
        <f t="shared" si="157"/>
        <v>30</v>
      </c>
      <c r="X652" s="46">
        <f t="shared" si="158"/>
        <v>6.833333333333333</v>
      </c>
      <c r="Y652" s="46">
        <f>IFERROR(IF(OR(C652="AREA I",C652="AREA V"),7,VLOOKUP(A652,'[1]MC Masterlist 2026-09-12'!$B:$M, 12, 0)),0)</f>
        <v>7</v>
      </c>
      <c r="Z652" s="46">
        <f t="shared" si="159"/>
        <v>0.16666666666666666</v>
      </c>
      <c r="AA652" s="46">
        <f t="shared" si="160"/>
        <v>0.33333333333333331</v>
      </c>
      <c r="AB652" s="46">
        <f t="shared" si="161"/>
        <v>7.5925925925925911E-2</v>
      </c>
      <c r="AC652" s="46">
        <f t="shared" si="162"/>
        <v>7.7777777777777765E-2</v>
      </c>
      <c r="AD652" s="44" t="str">
        <f t="shared" si="163"/>
        <v>Stockout</v>
      </c>
      <c r="AE652" s="44" t="str">
        <f>IFERROR(VLOOKUP(A652,'[1]Re-order'!$A:$AA,27,0),"")</f>
        <v/>
      </c>
      <c r="AF652" s="46">
        <f t="shared" si="164"/>
        <v>7.7777777777777765E-2</v>
      </c>
      <c r="AG652" s="46">
        <f>SUMIFS('[1]Raw Inventory'!D:D,'[1]Raw Inventory'!C:C,"GREATWALL",'[1]Raw Inventory'!B:B,A652)</f>
        <v>1</v>
      </c>
      <c r="AH652" s="46">
        <f>SUMIFS('[1]Raw Inventory'!D:D,'[1]Raw Inventory'!C:C,"DUARTE",'[1]Raw Inventory'!B:B,A652)</f>
        <v>0</v>
      </c>
      <c r="AI652" s="46"/>
      <c r="AJ652" s="46"/>
      <c r="AK652" s="43"/>
      <c r="AL652" s="43"/>
      <c r="AM652" s="43"/>
      <c r="AN652" s="43"/>
      <c r="AO652" s="43"/>
      <c r="AP652" s="43"/>
      <c r="AQ652" s="43"/>
      <c r="AR652" s="43"/>
      <c r="AS652" s="43"/>
      <c r="AT652" s="43"/>
    </row>
    <row r="653" spans="1:46">
      <c r="A653" s="43" t="s">
        <v>31</v>
      </c>
      <c r="B653" s="43" t="s">
        <v>110</v>
      </c>
      <c r="C653" s="43" t="s">
        <v>109</v>
      </c>
      <c r="D653" s="44" t="s">
        <v>235</v>
      </c>
      <c r="E653" s="44">
        <v>28</v>
      </c>
      <c r="F653" s="44" t="s">
        <v>3</v>
      </c>
      <c r="G653" s="43" t="str">
        <f>IFERROR(VLOOKUP(A653,'[1]MC Masterlist 2026-09-12'!$B:$M, 3, 0),"")</f>
        <v>KAWASAKI</v>
      </c>
      <c r="H653" s="45">
        <f>IFERROR(VLOOKUP(A653,'[1]MC Masterlist 2026-09-12'!$B:$M, 6, 0),"")</f>
        <v>59528</v>
      </c>
      <c r="I653" s="46">
        <v>1</v>
      </c>
      <c r="J653" s="46">
        <v>0</v>
      </c>
      <c r="K653" s="46">
        <v>0</v>
      </c>
      <c r="L653" s="46">
        <f t="shared" si="150"/>
        <v>1</v>
      </c>
      <c r="M653" s="46">
        <f t="shared" si="151"/>
        <v>0.33333333333333331</v>
      </c>
      <c r="N653" s="45">
        <f t="shared" si="152"/>
        <v>59528</v>
      </c>
      <c r="O653" s="45">
        <f t="shared" si="153"/>
        <v>19842.666666666664</v>
      </c>
      <c r="P653" s="46">
        <f t="shared" si="154"/>
        <v>1.111111111111111E-2</v>
      </c>
      <c r="Q653" s="46">
        <v>2</v>
      </c>
      <c r="R653" s="45">
        <f t="shared" si="155"/>
        <v>119056</v>
      </c>
      <c r="S653" s="46">
        <f t="shared" si="156"/>
        <v>180.00000000000003</v>
      </c>
      <c r="T653" s="46">
        <f>IFERROR(VLOOKUP(A653,'[1]Re-order'!$A:$Q,17,0),"")</f>
        <v>95.869565217391298</v>
      </c>
      <c r="U653" s="46">
        <f>IFERROR(VLOOKUP(A653,'[1]MC Masterlist 2026-09-12'!$B:$M, 10, 0),0)</f>
        <v>15</v>
      </c>
      <c r="V653" s="46">
        <f>IFERROR(VLOOKUP(A653,'[1]MC Masterlist 2026-09-12'!$B:$M, 11, 0),0)</f>
        <v>15</v>
      </c>
      <c r="W653" s="46">
        <f t="shared" si="157"/>
        <v>30</v>
      </c>
      <c r="X653" s="46">
        <f t="shared" si="158"/>
        <v>29.833333333333332</v>
      </c>
      <c r="Y653" s="46">
        <f>IFERROR(IF(OR(C653="AREA I",C653="AREA V"),7,VLOOKUP(A653,'[1]MC Masterlist 2026-09-12'!$B:$M, 12, 0)),0)</f>
        <v>30</v>
      </c>
      <c r="Z653" s="46">
        <f t="shared" si="159"/>
        <v>0.16666666666666666</v>
      </c>
      <c r="AA653" s="46">
        <f t="shared" si="160"/>
        <v>0.33333333333333331</v>
      </c>
      <c r="AB653" s="46">
        <f t="shared" si="161"/>
        <v>0.33148148148148143</v>
      </c>
      <c r="AC653" s="46">
        <f t="shared" si="162"/>
        <v>0.33333333333333331</v>
      </c>
      <c r="AD653" s="44" t="str">
        <f t="shared" si="163"/>
        <v>Over</v>
      </c>
      <c r="AE653" s="44" t="str">
        <f>IFERROR(VLOOKUP(A653,'[1]Re-order'!$A:$AA,27,0),"")</f>
        <v>Over</v>
      </c>
      <c r="AF653" s="46">
        <f t="shared" si="164"/>
        <v>-1.6666666666666667</v>
      </c>
      <c r="AG653" s="46">
        <f>SUMIFS('[1]Raw Inventory'!D:D,'[1]Raw Inventory'!C:C,"GREATWALL",'[1]Raw Inventory'!B:B,A653)</f>
        <v>79</v>
      </c>
      <c r="AH653" s="46">
        <f>SUMIFS('[1]Raw Inventory'!D:D,'[1]Raw Inventory'!C:C,"DUARTE",'[1]Raw Inventory'!B:B,A653)</f>
        <v>0</v>
      </c>
      <c r="AI653" s="46"/>
      <c r="AJ653" s="46"/>
      <c r="AK653" s="43"/>
      <c r="AL653" s="43"/>
      <c r="AM653" s="43"/>
      <c r="AN653" s="43"/>
      <c r="AO653" s="43"/>
      <c r="AP653" s="43"/>
      <c r="AQ653" s="43"/>
      <c r="AR653" s="43"/>
      <c r="AS653" s="43"/>
      <c r="AT653" s="43"/>
    </row>
    <row r="654" spans="1:46">
      <c r="A654" s="43" t="s">
        <v>85</v>
      </c>
      <c r="B654" s="43" t="s">
        <v>112</v>
      </c>
      <c r="C654" s="43" t="s">
        <v>109</v>
      </c>
      <c r="D654" s="44" t="s">
        <v>235</v>
      </c>
      <c r="E654" s="44">
        <v>23</v>
      </c>
      <c r="F654" s="44" t="s">
        <v>3</v>
      </c>
      <c r="G654" s="43" t="str">
        <f>IFERROR(VLOOKUP(A654,'[1]MC Masterlist 2026-09-12'!$B:$M, 3, 0),"")</f>
        <v>KAWASAKI</v>
      </c>
      <c r="H654" s="45">
        <f>IFERROR(VLOOKUP(A654,'[1]MC Masterlist 2026-09-12'!$B:$M, 6, 0),"")</f>
        <v>71560</v>
      </c>
      <c r="I654" s="46">
        <v>0</v>
      </c>
      <c r="J654" s="46">
        <v>0</v>
      </c>
      <c r="K654" s="46">
        <v>0</v>
      </c>
      <c r="L654" s="46">
        <f t="shared" si="150"/>
        <v>0</v>
      </c>
      <c r="M654" s="46">
        <f t="shared" si="151"/>
        <v>0</v>
      </c>
      <c r="N654" s="45">
        <f t="shared" si="152"/>
        <v>0</v>
      </c>
      <c r="O654" s="45">
        <f t="shared" si="153"/>
        <v>0</v>
      </c>
      <c r="P654" s="46">
        <f t="shared" si="154"/>
        <v>0</v>
      </c>
      <c r="Q654" s="46">
        <v>2</v>
      </c>
      <c r="R654" s="45">
        <f t="shared" si="155"/>
        <v>143120</v>
      </c>
      <c r="S654" s="46">
        <f t="shared" si="156"/>
        <v>0</v>
      </c>
      <c r="T654" s="46">
        <f>IFERROR(VLOOKUP(A654,'[1]Re-order'!$A:$Q,17,0),"")</f>
        <v>157.5</v>
      </c>
      <c r="U654" s="46">
        <f>IFERROR(VLOOKUP(A654,'[1]MC Masterlist 2026-09-12'!$B:$M, 10, 0),0)</f>
        <v>15</v>
      </c>
      <c r="V654" s="46">
        <f>IFERROR(VLOOKUP(A654,'[1]MC Masterlist 2026-09-12'!$B:$M, 11, 0),0)</f>
        <v>15</v>
      </c>
      <c r="W654" s="46">
        <f t="shared" si="157"/>
        <v>30</v>
      </c>
      <c r="X654" s="46">
        <f t="shared" si="158"/>
        <v>30</v>
      </c>
      <c r="Y654" s="46">
        <f>IFERROR(IF(OR(C654="AREA I",C654="AREA V"),7,VLOOKUP(A654,'[1]MC Masterlist 2026-09-12'!$B:$M, 12, 0)),0)</f>
        <v>30</v>
      </c>
      <c r="Z654" s="46">
        <f t="shared" si="159"/>
        <v>0</v>
      </c>
      <c r="AA654" s="46">
        <f t="shared" si="160"/>
        <v>0</v>
      </c>
      <c r="AB654" s="46">
        <f t="shared" si="161"/>
        <v>0</v>
      </c>
      <c r="AC654" s="46">
        <f t="shared" si="162"/>
        <v>0</v>
      </c>
      <c r="AD654" s="44" t="str">
        <f t="shared" si="163"/>
        <v>Over</v>
      </c>
      <c r="AE654" s="44" t="str">
        <f>IFERROR(VLOOKUP(A654,'[1]Re-order'!$A:$AA,27,0),"")</f>
        <v>Over</v>
      </c>
      <c r="AF654" s="46">
        <f t="shared" si="164"/>
        <v>-2</v>
      </c>
      <c r="AG654" s="46">
        <f>SUMIFS('[1]Raw Inventory'!D:D,'[1]Raw Inventory'!C:C,"GREATWALL",'[1]Raw Inventory'!B:B,A654)</f>
        <v>0</v>
      </c>
      <c r="AH654" s="46">
        <f>SUMIFS('[1]Raw Inventory'!D:D,'[1]Raw Inventory'!C:C,"DUARTE",'[1]Raw Inventory'!B:B,A654)</f>
        <v>0</v>
      </c>
      <c r="AI654" s="46"/>
      <c r="AJ654" s="46"/>
      <c r="AK654" s="43"/>
      <c r="AL654" s="43"/>
      <c r="AM654" s="43"/>
      <c r="AN654" s="43"/>
      <c r="AO654" s="43"/>
      <c r="AP654" s="43"/>
      <c r="AQ654" s="43"/>
      <c r="AR654" s="43"/>
      <c r="AS654" s="43"/>
      <c r="AT654" s="43"/>
    </row>
    <row r="655" spans="1:46">
      <c r="A655" s="43" t="s">
        <v>26</v>
      </c>
      <c r="B655" s="43" t="s">
        <v>129</v>
      </c>
      <c r="C655" s="43" t="s">
        <v>128</v>
      </c>
      <c r="D655" s="44" t="s">
        <v>256</v>
      </c>
      <c r="E655" s="44">
        <v>13</v>
      </c>
      <c r="F655" s="44" t="s">
        <v>2</v>
      </c>
      <c r="G655" s="43" t="str">
        <f>IFERROR(VLOOKUP(A655,'[1]MC Masterlist 2026-09-12'!$B:$M, 3, 0),"")</f>
        <v>SUZUKI</v>
      </c>
      <c r="H655" s="45">
        <f>IFERROR(VLOOKUP(A655,'[1]MC Masterlist 2026-09-12'!$B:$M, 6, 0),"")</f>
        <v>123700</v>
      </c>
      <c r="I655" s="46">
        <v>1</v>
      </c>
      <c r="J655" s="46">
        <v>1</v>
      </c>
      <c r="K655" s="46">
        <v>0</v>
      </c>
      <c r="L655" s="46">
        <f t="shared" si="150"/>
        <v>2</v>
      </c>
      <c r="M655" s="46">
        <f t="shared" si="151"/>
        <v>0.66666666666666663</v>
      </c>
      <c r="N655" s="45">
        <f t="shared" si="152"/>
        <v>247400</v>
      </c>
      <c r="O655" s="45">
        <f t="shared" si="153"/>
        <v>82466.666666666657</v>
      </c>
      <c r="P655" s="46">
        <f t="shared" si="154"/>
        <v>2.222222222222222E-2</v>
      </c>
      <c r="Q655" s="46">
        <v>2</v>
      </c>
      <c r="R655" s="45">
        <f t="shared" si="155"/>
        <v>247400</v>
      </c>
      <c r="S655" s="46">
        <f t="shared" si="156"/>
        <v>90.000000000000014</v>
      </c>
      <c r="T655" s="46">
        <f>IFERROR(VLOOKUP(A655,'[1]Re-order'!$A:$Q,17,0),"")</f>
        <v>71.470588235294116</v>
      </c>
      <c r="U655" s="46">
        <f>IFERROR(VLOOKUP(A655,'[1]MC Masterlist 2026-09-12'!$B:$M, 10, 0),0)</f>
        <v>15</v>
      </c>
      <c r="V655" s="46">
        <f>IFERROR(VLOOKUP(A655,'[1]MC Masterlist 2026-09-12'!$B:$M, 11, 0),0)</f>
        <v>15</v>
      </c>
      <c r="W655" s="46">
        <f t="shared" si="157"/>
        <v>30</v>
      </c>
      <c r="X655" s="46">
        <f t="shared" si="158"/>
        <v>29.666666666666668</v>
      </c>
      <c r="Y655" s="46">
        <f>IFERROR(IF(OR(C655="AREA I",C655="AREA V"),7,VLOOKUP(A655,'[1]MC Masterlist 2026-09-12'!$B:$M, 12, 0)),0)</f>
        <v>30</v>
      </c>
      <c r="Z655" s="46">
        <f t="shared" si="159"/>
        <v>0.33333333333333331</v>
      </c>
      <c r="AA655" s="46">
        <f t="shared" si="160"/>
        <v>0.66666666666666663</v>
      </c>
      <c r="AB655" s="46">
        <f t="shared" si="161"/>
        <v>0.65925925925925921</v>
      </c>
      <c r="AC655" s="46">
        <f t="shared" si="162"/>
        <v>0.66666666666666663</v>
      </c>
      <c r="AD655" s="44" t="str">
        <f t="shared" si="163"/>
        <v>Over</v>
      </c>
      <c r="AE655" s="44" t="str">
        <f>IFERROR(VLOOKUP(A655,'[1]Re-order'!$A:$AA,27,0),"")</f>
        <v>Re-order</v>
      </c>
      <c r="AF655" s="46">
        <f t="shared" si="164"/>
        <v>-1.3333333333333335</v>
      </c>
      <c r="AG655" s="46">
        <f>SUMIFS('[1]Raw Inventory'!D:D,'[1]Raw Inventory'!C:C,"GREATWALL",'[1]Raw Inventory'!B:B,A655)</f>
        <v>30</v>
      </c>
      <c r="AH655" s="46">
        <f>SUMIFS('[1]Raw Inventory'!D:D,'[1]Raw Inventory'!C:C,"DUARTE",'[1]Raw Inventory'!B:B,A655)</f>
        <v>0</v>
      </c>
      <c r="AI655" s="46"/>
      <c r="AJ655" s="46"/>
      <c r="AK655" s="43"/>
      <c r="AL655" s="43"/>
      <c r="AM655" s="43"/>
      <c r="AN655" s="43"/>
      <c r="AO655" s="43"/>
      <c r="AP655" s="43"/>
      <c r="AQ655" s="43"/>
      <c r="AR655" s="43"/>
      <c r="AS655" s="43"/>
      <c r="AT655" s="43"/>
    </row>
    <row r="656" spans="1:46">
      <c r="A656" s="43" t="s">
        <v>66</v>
      </c>
      <c r="B656" s="43" t="s">
        <v>162</v>
      </c>
      <c r="C656" s="43" t="s">
        <v>159</v>
      </c>
      <c r="D656" s="44" t="s">
        <v>254</v>
      </c>
      <c r="E656" s="44">
        <v>5</v>
      </c>
      <c r="F656" s="44" t="s">
        <v>2</v>
      </c>
      <c r="G656" s="43" t="str">
        <f>IFERROR(VLOOKUP(A656,'[1]MC Masterlist 2026-09-12'!$B:$M, 3, 0),"")</f>
        <v>KAWASAKI</v>
      </c>
      <c r="H656" s="45">
        <f>IFERROR(VLOOKUP(A656,'[1]MC Masterlist 2026-09-12'!$B:$M, 6, 0),"")</f>
        <v>95530</v>
      </c>
      <c r="I656" s="46">
        <v>4</v>
      </c>
      <c r="J656" s="46">
        <v>1</v>
      </c>
      <c r="K656" s="46">
        <v>2</v>
      </c>
      <c r="L656" s="46">
        <f t="shared" si="150"/>
        <v>7</v>
      </c>
      <c r="M656" s="46">
        <f t="shared" si="151"/>
        <v>2.3333333333333335</v>
      </c>
      <c r="N656" s="45">
        <f t="shared" si="152"/>
        <v>668710</v>
      </c>
      <c r="O656" s="45">
        <f t="shared" si="153"/>
        <v>222903.33333333334</v>
      </c>
      <c r="P656" s="46">
        <f t="shared" si="154"/>
        <v>7.7777777777777779E-2</v>
      </c>
      <c r="Q656" s="46">
        <v>10</v>
      </c>
      <c r="R656" s="45">
        <f t="shared" si="155"/>
        <v>955300</v>
      </c>
      <c r="S656" s="46">
        <f t="shared" si="156"/>
        <v>128.57142857142856</v>
      </c>
      <c r="T656" s="46">
        <f>IFERROR(VLOOKUP(A656,'[1]Re-order'!$A:$Q,17,0),"")</f>
        <v>112.7848101265823</v>
      </c>
      <c r="U656" s="46">
        <f>IFERROR(VLOOKUP(A656,'[1]MC Masterlist 2026-09-12'!$B:$M, 10, 0),0)</f>
        <v>15</v>
      </c>
      <c r="V656" s="46">
        <f>IFERROR(VLOOKUP(A656,'[1]MC Masterlist 2026-09-12'!$B:$M, 11, 0),0)</f>
        <v>15</v>
      </c>
      <c r="W656" s="46">
        <f t="shared" si="157"/>
        <v>30</v>
      </c>
      <c r="X656" s="46">
        <f t="shared" si="158"/>
        <v>28.833333333333332</v>
      </c>
      <c r="Y656" s="46">
        <f>IFERROR(IF(OR(C656="AREA I",C656="AREA V"),7,VLOOKUP(A656,'[1]MC Masterlist 2026-09-12'!$B:$M, 12, 0)),0)</f>
        <v>30</v>
      </c>
      <c r="Z656" s="46">
        <f t="shared" si="159"/>
        <v>1.1666666666666667</v>
      </c>
      <c r="AA656" s="46">
        <f t="shared" si="160"/>
        <v>2.3333333333333335</v>
      </c>
      <c r="AB656" s="46">
        <f t="shared" si="161"/>
        <v>2.2425925925925925</v>
      </c>
      <c r="AC656" s="46">
        <f t="shared" si="162"/>
        <v>2.3333333333333335</v>
      </c>
      <c r="AD656" s="44" t="str">
        <f t="shared" si="163"/>
        <v>Over</v>
      </c>
      <c r="AE656" s="44" t="str">
        <f>IFERROR(VLOOKUP(A656,'[1]Re-order'!$A:$AA,27,0),"")</f>
        <v>Over</v>
      </c>
      <c r="AF656" s="46">
        <f t="shared" si="164"/>
        <v>-7.6666666666666661</v>
      </c>
      <c r="AG656" s="46">
        <f>SUMIFS('[1]Raw Inventory'!D:D,'[1]Raw Inventory'!C:C,"GREATWALL",'[1]Raw Inventory'!B:B,A656)</f>
        <v>64</v>
      </c>
      <c r="AH656" s="46">
        <f>SUMIFS('[1]Raw Inventory'!D:D,'[1]Raw Inventory'!C:C,"DUARTE",'[1]Raw Inventory'!B:B,A656)</f>
        <v>0</v>
      </c>
      <c r="AI656" s="46"/>
      <c r="AJ656" s="46"/>
      <c r="AK656" s="43"/>
      <c r="AL656" s="43"/>
      <c r="AM656" s="43"/>
      <c r="AN656" s="43"/>
      <c r="AO656" s="43"/>
      <c r="AP656" s="43"/>
      <c r="AQ656" s="43"/>
      <c r="AR656" s="43"/>
      <c r="AS656" s="43"/>
      <c r="AT656" s="43"/>
    </row>
    <row r="657" spans="1:46">
      <c r="A657" s="43" t="s">
        <v>33</v>
      </c>
      <c r="B657" s="43" t="s">
        <v>19</v>
      </c>
      <c r="C657" s="43" t="s">
        <v>1</v>
      </c>
      <c r="D657" s="44" t="s">
        <v>224</v>
      </c>
      <c r="E657" s="44">
        <v>9</v>
      </c>
      <c r="F657" s="44" t="s">
        <v>2</v>
      </c>
      <c r="G657" s="43" t="str">
        <f>IFERROR(VLOOKUP(A657,'[1]MC Masterlist 2026-09-12'!$B:$M, 3, 0),"")</f>
        <v>HONDA</v>
      </c>
      <c r="H657" s="45">
        <f>IFERROR(VLOOKUP(A657,'[1]MC Masterlist 2026-09-12'!$B:$M, 6, 0),"")</f>
        <v>251318</v>
      </c>
      <c r="I657" s="46">
        <v>1</v>
      </c>
      <c r="J657" s="46">
        <v>1</v>
      </c>
      <c r="K657" s="46">
        <v>1</v>
      </c>
      <c r="L657" s="46">
        <f t="shared" si="150"/>
        <v>3</v>
      </c>
      <c r="M657" s="46">
        <f t="shared" si="151"/>
        <v>1</v>
      </c>
      <c r="N657" s="45">
        <f t="shared" si="152"/>
        <v>753954</v>
      </c>
      <c r="O657" s="45">
        <f t="shared" si="153"/>
        <v>251318</v>
      </c>
      <c r="P657" s="46">
        <f t="shared" si="154"/>
        <v>3.3333333333333333E-2</v>
      </c>
      <c r="Q657" s="46"/>
      <c r="R657" s="45">
        <f t="shared" si="155"/>
        <v>0</v>
      </c>
      <c r="S657" s="46">
        <f t="shared" si="156"/>
        <v>0</v>
      </c>
      <c r="T657" s="46">
        <f>IFERROR(VLOOKUP(A657,'[1]Re-order'!$A:$Q,17,0),"")</f>
        <v>10.588235294117647</v>
      </c>
      <c r="U657" s="46">
        <f>IFERROR(VLOOKUP(A657,'[1]MC Masterlist 2026-09-12'!$B:$M, 10, 0),0)</f>
        <v>15</v>
      </c>
      <c r="V657" s="46">
        <f>IFERROR(VLOOKUP(A657,'[1]MC Masterlist 2026-09-12'!$B:$M, 11, 0),0)</f>
        <v>15</v>
      </c>
      <c r="W657" s="46">
        <f t="shared" si="157"/>
        <v>30</v>
      </c>
      <c r="X657" s="46">
        <f t="shared" si="158"/>
        <v>6.5</v>
      </c>
      <c r="Y657" s="46">
        <f>IFERROR(IF(OR(C657="AREA I",C657="AREA V"),7,VLOOKUP(A657,'[1]MC Masterlist 2026-09-12'!$B:$M, 12, 0)),0)</f>
        <v>7</v>
      </c>
      <c r="Z657" s="46">
        <f t="shared" si="159"/>
        <v>0.5</v>
      </c>
      <c r="AA657" s="46">
        <f t="shared" si="160"/>
        <v>1</v>
      </c>
      <c r="AB657" s="46">
        <f t="shared" si="161"/>
        <v>0.21666666666666667</v>
      </c>
      <c r="AC657" s="46">
        <f t="shared" si="162"/>
        <v>0.23333333333333334</v>
      </c>
      <c r="AD657" s="44" t="str">
        <f t="shared" si="163"/>
        <v>Stockout</v>
      </c>
      <c r="AE657" s="44" t="str">
        <f>IFERROR(VLOOKUP(A657,'[1]Re-order'!$A:$AA,27,0),"")</f>
        <v>Stockout</v>
      </c>
      <c r="AF657" s="46">
        <f t="shared" si="164"/>
        <v>0.23333333333333334</v>
      </c>
      <c r="AG657" s="46">
        <f>SUMIFS('[1]Raw Inventory'!D:D,'[1]Raw Inventory'!C:C,"GREATWALL",'[1]Raw Inventory'!B:B,A657)</f>
        <v>0</v>
      </c>
      <c r="AH657" s="46">
        <f>SUMIFS('[1]Raw Inventory'!D:D,'[1]Raw Inventory'!C:C,"DUARTE",'[1]Raw Inventory'!B:B,A657)</f>
        <v>0</v>
      </c>
      <c r="AI657" s="46"/>
      <c r="AJ657" s="46"/>
      <c r="AK657" s="43"/>
      <c r="AL657" s="43"/>
      <c r="AM657" s="43"/>
      <c r="AN657" s="43"/>
      <c r="AO657" s="43"/>
      <c r="AP657" s="43"/>
      <c r="AQ657" s="43"/>
      <c r="AR657" s="43"/>
      <c r="AS657" s="43"/>
      <c r="AT657" s="43"/>
    </row>
    <row r="658" spans="1:46">
      <c r="A658" s="43" t="s">
        <v>54</v>
      </c>
      <c r="B658" s="43" t="s">
        <v>27</v>
      </c>
      <c r="C658" s="43" t="s">
        <v>1</v>
      </c>
      <c r="D658" s="44" t="s">
        <v>242</v>
      </c>
      <c r="E658" s="44">
        <v>30</v>
      </c>
      <c r="F658" s="44" t="s">
        <v>3</v>
      </c>
      <c r="G658" s="43" t="str">
        <f>IFERROR(VLOOKUP(A658,'[1]MC Masterlist 2026-09-12'!$B:$M, 3, 0),"")</f>
        <v>HONDA</v>
      </c>
      <c r="H658" s="45">
        <f>IFERROR(VLOOKUP(A658,'[1]MC Masterlist 2026-09-12'!$B:$M, 6, 0),"")</f>
        <v>70998</v>
      </c>
      <c r="I658" s="46">
        <v>0</v>
      </c>
      <c r="J658" s="46">
        <v>0</v>
      </c>
      <c r="K658" s="46">
        <v>0</v>
      </c>
      <c r="L658" s="46">
        <f t="shared" si="150"/>
        <v>0</v>
      </c>
      <c r="M658" s="46">
        <f t="shared" si="151"/>
        <v>0</v>
      </c>
      <c r="N658" s="45">
        <f t="shared" si="152"/>
        <v>0</v>
      </c>
      <c r="O658" s="45">
        <f t="shared" si="153"/>
        <v>0</v>
      </c>
      <c r="P658" s="46">
        <f t="shared" si="154"/>
        <v>0</v>
      </c>
      <c r="Q658" s="46">
        <v>1</v>
      </c>
      <c r="R658" s="45">
        <f t="shared" si="155"/>
        <v>70998</v>
      </c>
      <c r="S658" s="46">
        <f t="shared" si="156"/>
        <v>0</v>
      </c>
      <c r="T658" s="46">
        <f>IFERROR(VLOOKUP(A658,'[1]Re-order'!$A:$Q,17,0),"")</f>
        <v>114.54545454545455</v>
      </c>
      <c r="U658" s="46">
        <f>IFERROR(VLOOKUP(A658,'[1]MC Masterlist 2026-09-12'!$B:$M, 10, 0),0)</f>
        <v>15</v>
      </c>
      <c r="V658" s="46">
        <f>IFERROR(VLOOKUP(A658,'[1]MC Masterlist 2026-09-12'!$B:$M, 11, 0),0)</f>
        <v>15</v>
      </c>
      <c r="W658" s="46">
        <f t="shared" si="157"/>
        <v>30</v>
      </c>
      <c r="X658" s="46">
        <f t="shared" si="158"/>
        <v>7</v>
      </c>
      <c r="Y658" s="46">
        <f>IFERROR(IF(OR(C658="AREA I",C658="AREA V"),7,VLOOKUP(A658,'[1]MC Masterlist 2026-09-12'!$B:$M, 12, 0)),0)</f>
        <v>7</v>
      </c>
      <c r="Z658" s="46">
        <f t="shared" si="159"/>
        <v>0</v>
      </c>
      <c r="AA658" s="46">
        <f t="shared" si="160"/>
        <v>0</v>
      </c>
      <c r="AB658" s="46">
        <f t="shared" si="161"/>
        <v>0</v>
      </c>
      <c r="AC658" s="46">
        <f t="shared" si="162"/>
        <v>0</v>
      </c>
      <c r="AD658" s="44" t="str">
        <f t="shared" si="163"/>
        <v>Over</v>
      </c>
      <c r="AE658" s="44" t="str">
        <f>IFERROR(VLOOKUP(A658,'[1]Re-order'!$A:$AA,27,0),"")</f>
        <v>Over</v>
      </c>
      <c r="AF658" s="46">
        <f t="shared" si="164"/>
        <v>-1</v>
      </c>
      <c r="AG658" s="46">
        <f>SUMIFS('[1]Raw Inventory'!D:D,'[1]Raw Inventory'!C:C,"GREATWALL",'[1]Raw Inventory'!B:B,A658)</f>
        <v>0</v>
      </c>
      <c r="AH658" s="46">
        <f>SUMIFS('[1]Raw Inventory'!D:D,'[1]Raw Inventory'!C:C,"DUARTE",'[1]Raw Inventory'!B:B,A658)</f>
        <v>0</v>
      </c>
      <c r="AI658" s="46"/>
      <c r="AJ658" s="46"/>
      <c r="AK658" s="43"/>
      <c r="AL658" s="43"/>
      <c r="AM658" s="43"/>
      <c r="AN658" s="43"/>
      <c r="AO658" s="43"/>
      <c r="AP658" s="43"/>
      <c r="AQ658" s="43"/>
      <c r="AR658" s="43"/>
      <c r="AS658" s="43"/>
      <c r="AT658" s="43"/>
    </row>
    <row r="659" spans="1:46">
      <c r="A659" s="43" t="s">
        <v>46</v>
      </c>
      <c r="B659" s="43" t="s">
        <v>91</v>
      </c>
      <c r="C659" s="43" t="s">
        <v>90</v>
      </c>
      <c r="D659" s="44" t="s">
        <v>242</v>
      </c>
      <c r="E659" s="44">
        <v>14</v>
      </c>
      <c r="F659" s="44" t="s">
        <v>3</v>
      </c>
      <c r="G659" s="43" t="str">
        <f>IFERROR(VLOOKUP(A659,'[1]MC Masterlist 2026-09-12'!$B:$M, 3, 0),"")</f>
        <v>HONDA</v>
      </c>
      <c r="H659" s="45">
        <f>IFERROR(VLOOKUP(A659,'[1]MC Masterlist 2026-09-12'!$B:$M, 6, 0),"")</f>
        <v>73630</v>
      </c>
      <c r="I659" s="46">
        <v>0</v>
      </c>
      <c r="J659" s="46">
        <v>0</v>
      </c>
      <c r="K659" s="46">
        <v>0</v>
      </c>
      <c r="L659" s="46">
        <f t="shared" si="150"/>
        <v>0</v>
      </c>
      <c r="M659" s="46">
        <f t="shared" si="151"/>
        <v>0</v>
      </c>
      <c r="N659" s="45">
        <f t="shared" si="152"/>
        <v>0</v>
      </c>
      <c r="O659" s="45">
        <f t="shared" si="153"/>
        <v>0</v>
      </c>
      <c r="P659" s="46">
        <f t="shared" si="154"/>
        <v>0</v>
      </c>
      <c r="Q659" s="46">
        <v>3</v>
      </c>
      <c r="R659" s="45">
        <f t="shared" si="155"/>
        <v>220890</v>
      </c>
      <c r="S659" s="46">
        <f t="shared" si="156"/>
        <v>0</v>
      </c>
      <c r="T659" s="46">
        <f>IFERROR(VLOOKUP(A659,'[1]Re-order'!$A:$Q,17,0),"")</f>
        <v>51</v>
      </c>
      <c r="U659" s="46">
        <f>IFERROR(VLOOKUP(A659,'[1]MC Masterlist 2026-09-12'!$B:$M, 10, 0),0)</f>
        <v>15</v>
      </c>
      <c r="V659" s="46">
        <f>IFERROR(VLOOKUP(A659,'[1]MC Masterlist 2026-09-12'!$B:$M, 11, 0),0)</f>
        <v>15</v>
      </c>
      <c r="W659" s="46">
        <f t="shared" si="157"/>
        <v>30</v>
      </c>
      <c r="X659" s="46">
        <f t="shared" si="158"/>
        <v>30</v>
      </c>
      <c r="Y659" s="46">
        <f>IFERROR(IF(OR(C659="AREA I",C659="AREA V"),7,VLOOKUP(A659,'[1]MC Masterlist 2026-09-12'!$B:$M, 12, 0)),0)</f>
        <v>30</v>
      </c>
      <c r="Z659" s="46">
        <f t="shared" si="159"/>
        <v>0</v>
      </c>
      <c r="AA659" s="46">
        <f t="shared" si="160"/>
        <v>0</v>
      </c>
      <c r="AB659" s="46">
        <f t="shared" si="161"/>
        <v>0</v>
      </c>
      <c r="AC659" s="46">
        <f t="shared" si="162"/>
        <v>0</v>
      </c>
      <c r="AD659" s="44" t="str">
        <f t="shared" si="163"/>
        <v>Over</v>
      </c>
      <c r="AE659" s="44" t="str">
        <f>IFERROR(VLOOKUP(A659,'[1]Re-order'!$A:$AA,27,0),"")</f>
        <v>Re-order</v>
      </c>
      <c r="AF659" s="46">
        <f t="shared" si="164"/>
        <v>-3</v>
      </c>
      <c r="AG659" s="46">
        <f>SUMIFS('[1]Raw Inventory'!D:D,'[1]Raw Inventory'!C:C,"GREATWALL",'[1]Raw Inventory'!B:B,A659)</f>
        <v>0</v>
      </c>
      <c r="AH659" s="46">
        <f>SUMIFS('[1]Raw Inventory'!D:D,'[1]Raw Inventory'!C:C,"DUARTE",'[1]Raw Inventory'!B:B,A659)</f>
        <v>0</v>
      </c>
      <c r="AI659" s="46"/>
      <c r="AJ659" s="46"/>
      <c r="AK659" s="43"/>
      <c r="AL659" s="43"/>
      <c r="AM659" s="43"/>
      <c r="AN659" s="43"/>
      <c r="AO659" s="43"/>
      <c r="AP659" s="43"/>
      <c r="AQ659" s="43"/>
      <c r="AR659" s="43"/>
      <c r="AS659" s="43"/>
      <c r="AT659" s="43"/>
    </row>
    <row r="660" spans="1:46">
      <c r="A660" s="43" t="s">
        <v>52</v>
      </c>
      <c r="B660" s="43" t="s">
        <v>145</v>
      </c>
      <c r="C660" s="43" t="s">
        <v>137</v>
      </c>
      <c r="D660" s="44" t="s">
        <v>221</v>
      </c>
      <c r="E660" s="44">
        <v>22</v>
      </c>
      <c r="F660" s="44" t="s">
        <v>3</v>
      </c>
      <c r="G660" s="43" t="str">
        <f>IFERROR(VLOOKUP(A660,'[1]MC Masterlist 2026-09-12'!$B:$M, 3, 0),"")</f>
        <v>YAMAHA</v>
      </c>
      <c r="H660" s="45">
        <f>IFERROR(VLOOKUP(A660,'[1]MC Masterlist 2026-09-12'!$B:$M, 6, 0),"")</f>
        <v>85446</v>
      </c>
      <c r="I660" s="46">
        <v>0</v>
      </c>
      <c r="J660" s="46">
        <v>1</v>
      </c>
      <c r="K660" s="46">
        <v>0</v>
      </c>
      <c r="L660" s="46">
        <f t="shared" si="150"/>
        <v>1</v>
      </c>
      <c r="M660" s="46">
        <f t="shared" si="151"/>
        <v>0.33333333333333331</v>
      </c>
      <c r="N660" s="45">
        <f t="shared" si="152"/>
        <v>85446</v>
      </c>
      <c r="O660" s="45">
        <f t="shared" si="153"/>
        <v>28482</v>
      </c>
      <c r="P660" s="46">
        <f t="shared" si="154"/>
        <v>1.111111111111111E-2</v>
      </c>
      <c r="Q660" s="46"/>
      <c r="R660" s="45">
        <f t="shared" si="155"/>
        <v>0</v>
      </c>
      <c r="S660" s="46">
        <f t="shared" si="156"/>
        <v>0</v>
      </c>
      <c r="T660" s="46">
        <f>IFERROR(VLOOKUP(A660,'[1]Re-order'!$A:$Q,17,0),"")</f>
        <v>95.454545454545453</v>
      </c>
      <c r="U660" s="46">
        <f>IFERROR(VLOOKUP(A660,'[1]MC Masterlist 2026-09-12'!$B:$M, 10, 0),0)</f>
        <v>15</v>
      </c>
      <c r="V660" s="46">
        <f>IFERROR(VLOOKUP(A660,'[1]MC Masterlist 2026-09-12'!$B:$M, 11, 0),0)</f>
        <v>15</v>
      </c>
      <c r="W660" s="46">
        <f t="shared" si="157"/>
        <v>30</v>
      </c>
      <c r="X660" s="46">
        <f t="shared" si="158"/>
        <v>6.833333333333333</v>
      </c>
      <c r="Y660" s="46">
        <f>IFERROR(IF(OR(C660="AREA I",C660="AREA V"),7,VLOOKUP(A660,'[1]MC Masterlist 2026-09-12'!$B:$M, 12, 0)),0)</f>
        <v>7</v>
      </c>
      <c r="Z660" s="46">
        <f t="shared" si="159"/>
        <v>0.16666666666666666</v>
      </c>
      <c r="AA660" s="46">
        <f t="shared" si="160"/>
        <v>0.33333333333333331</v>
      </c>
      <c r="AB660" s="46">
        <f t="shared" si="161"/>
        <v>7.5925925925925911E-2</v>
      </c>
      <c r="AC660" s="46">
        <f t="shared" si="162"/>
        <v>7.7777777777777765E-2</v>
      </c>
      <c r="AD660" s="44" t="str">
        <f t="shared" si="163"/>
        <v>Stockout</v>
      </c>
      <c r="AE660" s="44" t="str">
        <f>IFERROR(VLOOKUP(A660,'[1]Re-order'!$A:$AA,27,0),"")</f>
        <v>Over</v>
      </c>
      <c r="AF660" s="46">
        <f t="shared" si="164"/>
        <v>7.7777777777777765E-2</v>
      </c>
      <c r="AG660" s="46">
        <f>SUMIFS('[1]Raw Inventory'!D:D,'[1]Raw Inventory'!C:C,"GREATWALL",'[1]Raw Inventory'!B:B,A660)</f>
        <v>0</v>
      </c>
      <c r="AH660" s="46">
        <f>SUMIFS('[1]Raw Inventory'!D:D,'[1]Raw Inventory'!C:C,"DUARTE",'[1]Raw Inventory'!B:B,A660)</f>
        <v>0</v>
      </c>
      <c r="AI660" s="46"/>
      <c r="AJ660" s="46"/>
      <c r="AK660" s="43"/>
      <c r="AL660" s="43"/>
      <c r="AM660" s="43"/>
      <c r="AN660" s="43"/>
      <c r="AO660" s="43"/>
      <c r="AP660" s="43"/>
      <c r="AQ660" s="43"/>
      <c r="AR660" s="43"/>
      <c r="AS660" s="43"/>
      <c r="AT660" s="43"/>
    </row>
    <row r="661" spans="1:46">
      <c r="A661" s="43" t="s">
        <v>64</v>
      </c>
      <c r="B661" s="43" t="s">
        <v>140</v>
      </c>
      <c r="C661" s="43" t="s">
        <v>137</v>
      </c>
      <c r="D661" s="44" t="s">
        <v>236</v>
      </c>
      <c r="E661" s="44">
        <v>7</v>
      </c>
      <c r="F661" s="44" t="s">
        <v>2</v>
      </c>
      <c r="G661" s="43" t="str">
        <f>IFERROR(VLOOKUP(A661,'[1]MC Masterlist 2026-09-12'!$B:$M, 3, 0),"")</f>
        <v>HONDA</v>
      </c>
      <c r="H661" s="45">
        <f>IFERROR(VLOOKUP(A661,'[1]MC Masterlist 2026-09-12'!$B:$M, 6, 0),"")</f>
        <v>73170</v>
      </c>
      <c r="I661" s="46">
        <v>4</v>
      </c>
      <c r="J661" s="46">
        <v>1</v>
      </c>
      <c r="K661" s="46">
        <v>3</v>
      </c>
      <c r="L661" s="46">
        <f t="shared" si="150"/>
        <v>8</v>
      </c>
      <c r="M661" s="46">
        <f t="shared" si="151"/>
        <v>2.6666666666666665</v>
      </c>
      <c r="N661" s="45">
        <f t="shared" si="152"/>
        <v>585360</v>
      </c>
      <c r="O661" s="45">
        <f t="shared" si="153"/>
        <v>195120</v>
      </c>
      <c r="P661" s="46">
        <f t="shared" si="154"/>
        <v>8.8888888888888878E-2</v>
      </c>
      <c r="Q661" s="46">
        <v>1</v>
      </c>
      <c r="R661" s="45">
        <f t="shared" si="155"/>
        <v>73170</v>
      </c>
      <c r="S661" s="46">
        <f t="shared" si="156"/>
        <v>11.25</v>
      </c>
      <c r="T661" s="46">
        <f>IFERROR(VLOOKUP(A661,'[1]Re-order'!$A:$Q,17,0),"")</f>
        <v>76.153846153846146</v>
      </c>
      <c r="U661" s="46">
        <f>IFERROR(VLOOKUP(A661,'[1]MC Masterlist 2026-09-12'!$B:$M, 10, 0),0)</f>
        <v>15</v>
      </c>
      <c r="V661" s="46">
        <f>IFERROR(VLOOKUP(A661,'[1]MC Masterlist 2026-09-12'!$B:$M, 11, 0),0)</f>
        <v>15</v>
      </c>
      <c r="W661" s="46">
        <f t="shared" si="157"/>
        <v>30</v>
      </c>
      <c r="X661" s="46">
        <f t="shared" si="158"/>
        <v>5.666666666666667</v>
      </c>
      <c r="Y661" s="46">
        <f>IFERROR(IF(OR(C661="AREA I",C661="AREA V"),7,VLOOKUP(A661,'[1]MC Masterlist 2026-09-12'!$B:$M, 12, 0)),0)</f>
        <v>7</v>
      </c>
      <c r="Z661" s="46">
        <f t="shared" si="159"/>
        <v>1.3333333333333333</v>
      </c>
      <c r="AA661" s="46">
        <f t="shared" si="160"/>
        <v>2.6666666666666665</v>
      </c>
      <c r="AB661" s="46">
        <f t="shared" si="161"/>
        <v>0.50370370370370365</v>
      </c>
      <c r="AC661" s="46">
        <f t="shared" si="162"/>
        <v>0.62222222222222212</v>
      </c>
      <c r="AD661" s="44" t="str">
        <f t="shared" si="163"/>
        <v>Over</v>
      </c>
      <c r="AE661" s="44" t="str">
        <f>IFERROR(VLOOKUP(A661,'[1]Re-order'!$A:$AA,27,0),"")</f>
        <v/>
      </c>
      <c r="AF661" s="46">
        <f t="shared" si="164"/>
        <v>-0.37777777777777788</v>
      </c>
      <c r="AG661" s="46">
        <f>SUMIFS('[1]Raw Inventory'!D:D,'[1]Raw Inventory'!C:C,"GREATWALL",'[1]Raw Inventory'!B:B,A661)</f>
        <v>13</v>
      </c>
      <c r="AH661" s="46">
        <f>SUMIFS('[1]Raw Inventory'!D:D,'[1]Raw Inventory'!C:C,"DUARTE",'[1]Raw Inventory'!B:B,A661)</f>
        <v>0</v>
      </c>
      <c r="AI661" s="46"/>
      <c r="AJ661" s="46"/>
      <c r="AK661" s="43"/>
      <c r="AL661" s="43"/>
      <c r="AM661" s="43"/>
      <c r="AN661" s="43"/>
      <c r="AO661" s="43"/>
      <c r="AP661" s="43"/>
      <c r="AQ661" s="43"/>
      <c r="AR661" s="43"/>
      <c r="AS661" s="43"/>
      <c r="AT661" s="43"/>
    </row>
    <row r="662" spans="1:46">
      <c r="A662" s="43" t="s">
        <v>61</v>
      </c>
      <c r="B662" s="43" t="s">
        <v>139</v>
      </c>
      <c r="C662" s="43" t="s">
        <v>137</v>
      </c>
      <c r="D662" s="44" t="s">
        <v>247</v>
      </c>
      <c r="E662" s="44">
        <v>22</v>
      </c>
      <c r="F662" s="44" t="s">
        <v>3</v>
      </c>
      <c r="G662" s="43" t="str">
        <f>IFERROR(VLOOKUP(A662,'[1]MC Masterlist 2026-09-12'!$B:$M, 3, 0),"")</f>
        <v>HONDA</v>
      </c>
      <c r="H662" s="45">
        <f>IFERROR(VLOOKUP(A662,'[1]MC Masterlist 2026-09-12'!$B:$M, 6, 0),"")</f>
        <v>63510</v>
      </c>
      <c r="I662" s="46">
        <v>1</v>
      </c>
      <c r="J662" s="46">
        <v>1</v>
      </c>
      <c r="K662" s="46">
        <v>0</v>
      </c>
      <c r="L662" s="46">
        <f t="shared" si="150"/>
        <v>2</v>
      </c>
      <c r="M662" s="46">
        <f t="shared" si="151"/>
        <v>0.66666666666666663</v>
      </c>
      <c r="N662" s="45">
        <f t="shared" si="152"/>
        <v>127020</v>
      </c>
      <c r="O662" s="45">
        <f t="shared" si="153"/>
        <v>42340</v>
      </c>
      <c r="P662" s="46">
        <f t="shared" si="154"/>
        <v>2.222222222222222E-2</v>
      </c>
      <c r="Q662" s="46">
        <v>0</v>
      </c>
      <c r="R662" s="45">
        <f t="shared" si="155"/>
        <v>0</v>
      </c>
      <c r="S662" s="46">
        <f t="shared" si="156"/>
        <v>0</v>
      </c>
      <c r="T662" s="46">
        <f>IFERROR(VLOOKUP(A662,'[1]Re-order'!$A:$Q,17,0),"")</f>
        <v>135</v>
      </c>
      <c r="U662" s="46">
        <f>IFERROR(VLOOKUP(A662,'[1]MC Masterlist 2026-09-12'!$B:$M, 10, 0),0)</f>
        <v>15</v>
      </c>
      <c r="V662" s="46">
        <f>IFERROR(VLOOKUP(A662,'[1]MC Masterlist 2026-09-12'!$B:$M, 11, 0),0)</f>
        <v>15</v>
      </c>
      <c r="W662" s="46">
        <f t="shared" si="157"/>
        <v>30</v>
      </c>
      <c r="X662" s="46">
        <f t="shared" si="158"/>
        <v>6.666666666666667</v>
      </c>
      <c r="Y662" s="46">
        <f>IFERROR(IF(OR(C662="AREA I",C662="AREA V"),7,VLOOKUP(A662,'[1]MC Masterlist 2026-09-12'!$B:$M, 12, 0)),0)</f>
        <v>7</v>
      </c>
      <c r="Z662" s="46">
        <f t="shared" si="159"/>
        <v>0.33333333333333331</v>
      </c>
      <c r="AA662" s="46">
        <f t="shared" si="160"/>
        <v>0.66666666666666663</v>
      </c>
      <c r="AB662" s="46">
        <f t="shared" si="161"/>
        <v>0.14814814814814814</v>
      </c>
      <c r="AC662" s="46">
        <f t="shared" si="162"/>
        <v>0.15555555555555553</v>
      </c>
      <c r="AD662" s="44" t="str">
        <f t="shared" si="163"/>
        <v>Stockout</v>
      </c>
      <c r="AE662" s="44" t="str">
        <f>IFERROR(VLOOKUP(A662,'[1]Re-order'!$A:$AA,27,0),"")</f>
        <v>Over</v>
      </c>
      <c r="AF662" s="46">
        <f t="shared" si="164"/>
        <v>0.15555555555555553</v>
      </c>
      <c r="AG662" s="46">
        <f>SUMIFS('[1]Raw Inventory'!D:D,'[1]Raw Inventory'!C:C,"GREATWALL",'[1]Raw Inventory'!B:B,A662)</f>
        <v>1</v>
      </c>
      <c r="AH662" s="46">
        <f>SUMIFS('[1]Raw Inventory'!D:D,'[1]Raw Inventory'!C:C,"DUARTE",'[1]Raw Inventory'!B:B,A662)</f>
        <v>0</v>
      </c>
      <c r="AI662" s="46"/>
      <c r="AJ662" s="46"/>
      <c r="AK662" s="43"/>
      <c r="AL662" s="43"/>
      <c r="AM662" s="43"/>
      <c r="AN662" s="43"/>
      <c r="AO662" s="43"/>
      <c r="AP662" s="43"/>
      <c r="AQ662" s="43"/>
      <c r="AR662" s="43"/>
      <c r="AS662" s="43"/>
      <c r="AT662" s="43"/>
    </row>
    <row r="663" spans="1:46">
      <c r="A663" s="43" t="s">
        <v>46</v>
      </c>
      <c r="B663" s="43" t="s">
        <v>19</v>
      </c>
      <c r="C663" s="43" t="s">
        <v>1</v>
      </c>
      <c r="D663" s="44" t="s">
        <v>241</v>
      </c>
      <c r="E663" s="44">
        <v>17</v>
      </c>
      <c r="F663" s="44" t="s">
        <v>3</v>
      </c>
      <c r="G663" s="43" t="str">
        <f>IFERROR(VLOOKUP(A663,'[1]MC Masterlist 2026-09-12'!$B:$M, 3, 0),"")</f>
        <v>HONDA</v>
      </c>
      <c r="H663" s="45">
        <f>IFERROR(VLOOKUP(A663,'[1]MC Masterlist 2026-09-12'!$B:$M, 6, 0),"")</f>
        <v>73630</v>
      </c>
      <c r="I663" s="46">
        <v>0</v>
      </c>
      <c r="J663" s="46">
        <v>0</v>
      </c>
      <c r="K663" s="46">
        <v>3</v>
      </c>
      <c r="L663" s="46">
        <f t="shared" si="150"/>
        <v>3</v>
      </c>
      <c r="M663" s="46">
        <f t="shared" si="151"/>
        <v>1</v>
      </c>
      <c r="N663" s="45">
        <f t="shared" si="152"/>
        <v>220890</v>
      </c>
      <c r="O663" s="45">
        <f t="shared" si="153"/>
        <v>73630</v>
      </c>
      <c r="P663" s="46">
        <f t="shared" si="154"/>
        <v>3.3333333333333333E-2</v>
      </c>
      <c r="Q663" s="46">
        <v>1</v>
      </c>
      <c r="R663" s="45">
        <f t="shared" si="155"/>
        <v>73630</v>
      </c>
      <c r="S663" s="46">
        <f t="shared" si="156"/>
        <v>30</v>
      </c>
      <c r="T663" s="46">
        <f>IFERROR(VLOOKUP(A663,'[1]Re-order'!$A:$Q,17,0),"")</f>
        <v>51</v>
      </c>
      <c r="U663" s="46">
        <f>IFERROR(VLOOKUP(A663,'[1]MC Masterlist 2026-09-12'!$B:$M, 10, 0),0)</f>
        <v>15</v>
      </c>
      <c r="V663" s="46">
        <f>IFERROR(VLOOKUP(A663,'[1]MC Masterlist 2026-09-12'!$B:$M, 11, 0),0)</f>
        <v>15</v>
      </c>
      <c r="W663" s="46">
        <f t="shared" si="157"/>
        <v>30</v>
      </c>
      <c r="X663" s="46">
        <f t="shared" si="158"/>
        <v>6.5</v>
      </c>
      <c r="Y663" s="46">
        <f>IFERROR(IF(OR(C663="AREA I",C663="AREA V"),7,VLOOKUP(A663,'[1]MC Masterlist 2026-09-12'!$B:$M, 12, 0)),0)</f>
        <v>7</v>
      </c>
      <c r="Z663" s="46">
        <f t="shared" si="159"/>
        <v>0.5</v>
      </c>
      <c r="AA663" s="46">
        <f t="shared" si="160"/>
        <v>1</v>
      </c>
      <c r="AB663" s="46">
        <f t="shared" si="161"/>
        <v>0.21666666666666667</v>
      </c>
      <c r="AC663" s="46">
        <f t="shared" si="162"/>
        <v>0.23333333333333334</v>
      </c>
      <c r="AD663" s="44" t="str">
        <f t="shared" si="163"/>
        <v>Over</v>
      </c>
      <c r="AE663" s="44" t="str">
        <f>IFERROR(VLOOKUP(A663,'[1]Re-order'!$A:$AA,27,0),"")</f>
        <v>Re-order</v>
      </c>
      <c r="AF663" s="46">
        <f t="shared" si="164"/>
        <v>-0.76666666666666661</v>
      </c>
      <c r="AG663" s="46">
        <f>SUMIFS('[1]Raw Inventory'!D:D,'[1]Raw Inventory'!C:C,"GREATWALL",'[1]Raw Inventory'!B:B,A663)</f>
        <v>0</v>
      </c>
      <c r="AH663" s="46">
        <f>SUMIFS('[1]Raw Inventory'!D:D,'[1]Raw Inventory'!C:C,"DUARTE",'[1]Raw Inventory'!B:B,A663)</f>
        <v>0</v>
      </c>
      <c r="AI663" s="46"/>
      <c r="AJ663" s="46"/>
      <c r="AK663" s="43"/>
      <c r="AL663" s="43"/>
      <c r="AM663" s="43"/>
      <c r="AN663" s="43"/>
      <c r="AO663" s="43"/>
      <c r="AP663" s="43"/>
      <c r="AQ663" s="43"/>
      <c r="AR663" s="43"/>
      <c r="AS663" s="43"/>
      <c r="AT663" s="43"/>
    </row>
    <row r="664" spans="1:46">
      <c r="A664" s="43" t="s">
        <v>37</v>
      </c>
      <c r="B664" s="43" t="s">
        <v>155</v>
      </c>
      <c r="C664" s="43" t="s">
        <v>152</v>
      </c>
      <c r="D664" s="44" t="s">
        <v>256</v>
      </c>
      <c r="E664" s="44">
        <v>16</v>
      </c>
      <c r="F664" s="44" t="s">
        <v>2</v>
      </c>
      <c r="G664" s="43" t="str">
        <f>IFERROR(VLOOKUP(A664,'[1]MC Masterlist 2026-09-12'!$B:$M, 3, 0),"")</f>
        <v>HONDA</v>
      </c>
      <c r="H664" s="45">
        <f>IFERROR(VLOOKUP(A664,'[1]MC Masterlist 2026-09-12'!$B:$M, 6, 0),"")</f>
        <v>74550</v>
      </c>
      <c r="I664" s="46">
        <v>2</v>
      </c>
      <c r="J664" s="46">
        <v>0</v>
      </c>
      <c r="K664" s="46">
        <v>0</v>
      </c>
      <c r="L664" s="46">
        <f t="shared" si="150"/>
        <v>2</v>
      </c>
      <c r="M664" s="46">
        <f t="shared" si="151"/>
        <v>0.66666666666666663</v>
      </c>
      <c r="N664" s="45">
        <f t="shared" si="152"/>
        <v>149100</v>
      </c>
      <c r="O664" s="45">
        <f t="shared" si="153"/>
        <v>49700</v>
      </c>
      <c r="P664" s="46">
        <f t="shared" si="154"/>
        <v>2.222222222222222E-2</v>
      </c>
      <c r="Q664" s="46">
        <v>2</v>
      </c>
      <c r="R664" s="45">
        <f t="shared" si="155"/>
        <v>149100</v>
      </c>
      <c r="S664" s="46">
        <f t="shared" si="156"/>
        <v>90</v>
      </c>
      <c r="T664" s="46">
        <f>IFERROR(VLOOKUP(A664,'[1]Re-order'!$A:$Q,17,0),"")</f>
        <v>33.652173913043477</v>
      </c>
      <c r="U664" s="46">
        <f>IFERROR(VLOOKUP(A664,'[1]MC Masterlist 2026-09-12'!$B:$M, 10, 0),0)</f>
        <v>15</v>
      </c>
      <c r="V664" s="46">
        <f>IFERROR(VLOOKUP(A664,'[1]MC Masterlist 2026-09-12'!$B:$M, 11, 0),0)</f>
        <v>15</v>
      </c>
      <c r="W664" s="46">
        <f t="shared" si="157"/>
        <v>30</v>
      </c>
      <c r="X664" s="46">
        <f t="shared" si="158"/>
        <v>29.666666666666668</v>
      </c>
      <c r="Y664" s="46">
        <f>IFERROR(IF(OR(C664="AREA I",C664="AREA V"),7,VLOOKUP(A664,'[1]MC Masterlist 2026-09-12'!$B:$M, 12, 0)),0)</f>
        <v>30</v>
      </c>
      <c r="Z664" s="46">
        <f t="shared" si="159"/>
        <v>0.33333333333333331</v>
      </c>
      <c r="AA664" s="46">
        <f t="shared" si="160"/>
        <v>0.66666666666666663</v>
      </c>
      <c r="AB664" s="46">
        <f t="shared" si="161"/>
        <v>0.65925925925925921</v>
      </c>
      <c r="AC664" s="46">
        <f t="shared" si="162"/>
        <v>0.66666666666666663</v>
      </c>
      <c r="AD664" s="44" t="str">
        <f t="shared" si="163"/>
        <v>Over</v>
      </c>
      <c r="AE664" s="44" t="str">
        <f>IFERROR(VLOOKUP(A664,'[1]Re-order'!$A:$AA,27,0),"")</f>
        <v>Re-order</v>
      </c>
      <c r="AF664" s="46">
        <f t="shared" si="164"/>
        <v>-1.3333333333333335</v>
      </c>
      <c r="AG664" s="46">
        <f>SUMIFS('[1]Raw Inventory'!D:D,'[1]Raw Inventory'!C:C,"GREATWALL",'[1]Raw Inventory'!B:B,A664)</f>
        <v>28</v>
      </c>
      <c r="AH664" s="46">
        <f>SUMIFS('[1]Raw Inventory'!D:D,'[1]Raw Inventory'!C:C,"DUARTE",'[1]Raw Inventory'!B:B,A664)</f>
        <v>0</v>
      </c>
      <c r="AI664" s="46"/>
      <c r="AJ664" s="46"/>
      <c r="AK664" s="43"/>
      <c r="AL664" s="43"/>
      <c r="AM664" s="43"/>
      <c r="AN664" s="43"/>
      <c r="AO664" s="43"/>
      <c r="AP664" s="43"/>
      <c r="AQ664" s="43"/>
      <c r="AR664" s="43"/>
      <c r="AS664" s="43"/>
      <c r="AT664" s="43"/>
    </row>
    <row r="665" spans="1:46">
      <c r="A665" s="43" t="s">
        <v>50</v>
      </c>
      <c r="B665" s="43" t="s">
        <v>160</v>
      </c>
      <c r="C665" s="43" t="s">
        <v>159</v>
      </c>
      <c r="D665" s="44" t="s">
        <v>221</v>
      </c>
      <c r="E665" s="44">
        <v>19</v>
      </c>
      <c r="F665" s="44" t="s">
        <v>3</v>
      </c>
      <c r="G665" s="43" t="str">
        <f>IFERROR(VLOOKUP(A665,'[1]MC Masterlist 2026-09-12'!$B:$M, 3, 0),"")</f>
        <v>YAMAHA</v>
      </c>
      <c r="H665" s="45">
        <f>IFERROR(VLOOKUP(A665,'[1]MC Masterlist 2026-09-12'!$B:$M, 6, 0),"")</f>
        <v>78957</v>
      </c>
      <c r="I665" s="46">
        <v>1</v>
      </c>
      <c r="J665" s="46">
        <v>0</v>
      </c>
      <c r="K665" s="46">
        <v>0</v>
      </c>
      <c r="L665" s="46">
        <f t="shared" si="150"/>
        <v>1</v>
      </c>
      <c r="M665" s="46">
        <f t="shared" si="151"/>
        <v>0.33333333333333331</v>
      </c>
      <c r="N665" s="45">
        <f t="shared" si="152"/>
        <v>78957</v>
      </c>
      <c r="O665" s="45">
        <f t="shared" si="153"/>
        <v>26319</v>
      </c>
      <c r="P665" s="46">
        <f t="shared" si="154"/>
        <v>1.111111111111111E-2</v>
      </c>
      <c r="Q665" s="46"/>
      <c r="R665" s="45">
        <f t="shared" si="155"/>
        <v>0</v>
      </c>
      <c r="S665" s="46">
        <f t="shared" si="156"/>
        <v>0</v>
      </c>
      <c r="T665" s="46">
        <f>IFERROR(VLOOKUP(A665,'[1]Re-order'!$A:$Q,17,0),"")</f>
        <v>118.125</v>
      </c>
      <c r="U665" s="46">
        <f>IFERROR(VLOOKUP(A665,'[1]MC Masterlist 2026-09-12'!$B:$M, 10, 0),0)</f>
        <v>15</v>
      </c>
      <c r="V665" s="46">
        <f>IFERROR(VLOOKUP(A665,'[1]MC Masterlist 2026-09-12'!$B:$M, 11, 0),0)</f>
        <v>15</v>
      </c>
      <c r="W665" s="46">
        <f t="shared" si="157"/>
        <v>30</v>
      </c>
      <c r="X665" s="46">
        <f t="shared" si="158"/>
        <v>29.833333333333332</v>
      </c>
      <c r="Y665" s="46">
        <f>IFERROR(IF(OR(C665="AREA I",C665="AREA V"),7,VLOOKUP(A665,'[1]MC Masterlist 2026-09-12'!$B:$M, 12, 0)),0)</f>
        <v>30</v>
      </c>
      <c r="Z665" s="46">
        <f t="shared" si="159"/>
        <v>0.16666666666666666</v>
      </c>
      <c r="AA665" s="46">
        <f t="shared" si="160"/>
        <v>0.33333333333333331</v>
      </c>
      <c r="AB665" s="46">
        <f t="shared" si="161"/>
        <v>0.33148148148148143</v>
      </c>
      <c r="AC665" s="46">
        <f t="shared" si="162"/>
        <v>0.33333333333333331</v>
      </c>
      <c r="AD665" s="44" t="str">
        <f t="shared" si="163"/>
        <v>Stockout</v>
      </c>
      <c r="AE665" s="44" t="str">
        <f>IFERROR(VLOOKUP(A665,'[1]Re-order'!$A:$AA,27,0),"")</f>
        <v>Over</v>
      </c>
      <c r="AF665" s="46">
        <f t="shared" si="164"/>
        <v>0.33333333333333331</v>
      </c>
      <c r="AG665" s="46">
        <f>SUMIFS('[1]Raw Inventory'!D:D,'[1]Raw Inventory'!C:C,"GREATWALL",'[1]Raw Inventory'!B:B,A665)</f>
        <v>23</v>
      </c>
      <c r="AH665" s="46">
        <f>SUMIFS('[1]Raw Inventory'!D:D,'[1]Raw Inventory'!C:C,"DUARTE",'[1]Raw Inventory'!B:B,A665)</f>
        <v>0</v>
      </c>
      <c r="AI665" s="46"/>
      <c r="AJ665" s="46"/>
      <c r="AK665" s="43"/>
      <c r="AL665" s="43"/>
      <c r="AM665" s="43"/>
      <c r="AN665" s="43"/>
      <c r="AO665" s="43"/>
      <c r="AP665" s="43"/>
      <c r="AQ665" s="43"/>
      <c r="AR665" s="43"/>
      <c r="AS665" s="43"/>
      <c r="AT665" s="43"/>
    </row>
    <row r="666" spans="1:46">
      <c r="A666" s="43" t="s">
        <v>22</v>
      </c>
      <c r="B666" s="43" t="s">
        <v>158</v>
      </c>
      <c r="C666" s="43" t="s">
        <v>152</v>
      </c>
      <c r="D666" s="44" t="s">
        <v>236</v>
      </c>
      <c r="E666" s="44">
        <v>9</v>
      </c>
      <c r="F666" s="44" t="s">
        <v>2</v>
      </c>
      <c r="G666" s="43" t="str">
        <f>IFERROR(VLOOKUP(A666,'[1]MC Masterlist 2026-09-12'!$B:$M, 3, 0),"")</f>
        <v>HONDA</v>
      </c>
      <c r="H666" s="45">
        <f>IFERROR(VLOOKUP(A666,'[1]MC Masterlist 2026-09-12'!$B:$M, 6, 0),"")</f>
        <v>111258</v>
      </c>
      <c r="I666" s="46">
        <v>0</v>
      </c>
      <c r="J666" s="46">
        <v>2</v>
      </c>
      <c r="K666" s="46">
        <v>1</v>
      </c>
      <c r="L666" s="46">
        <f t="shared" si="150"/>
        <v>3</v>
      </c>
      <c r="M666" s="46">
        <f t="shared" si="151"/>
        <v>1</v>
      </c>
      <c r="N666" s="45">
        <f t="shared" si="152"/>
        <v>333774</v>
      </c>
      <c r="O666" s="45">
        <f t="shared" si="153"/>
        <v>111258</v>
      </c>
      <c r="P666" s="46">
        <f t="shared" si="154"/>
        <v>3.3333333333333333E-2</v>
      </c>
      <c r="Q666" s="46">
        <v>3</v>
      </c>
      <c r="R666" s="45">
        <f t="shared" si="155"/>
        <v>333774</v>
      </c>
      <c r="S666" s="46">
        <f t="shared" si="156"/>
        <v>90</v>
      </c>
      <c r="T666" s="46">
        <f>IFERROR(VLOOKUP(A666,'[1]Re-order'!$A:$Q,17,0),"")</f>
        <v>41.339712918660283</v>
      </c>
      <c r="U666" s="46">
        <f>IFERROR(VLOOKUP(A666,'[1]MC Masterlist 2026-09-12'!$B:$M, 10, 0),0)</f>
        <v>15</v>
      </c>
      <c r="V666" s="46">
        <f>IFERROR(VLOOKUP(A666,'[1]MC Masterlist 2026-09-12'!$B:$M, 11, 0),0)</f>
        <v>15</v>
      </c>
      <c r="W666" s="46">
        <f t="shared" si="157"/>
        <v>30</v>
      </c>
      <c r="X666" s="46">
        <f t="shared" si="158"/>
        <v>29.5</v>
      </c>
      <c r="Y666" s="46">
        <f>IFERROR(IF(OR(C666="AREA I",C666="AREA V"),7,VLOOKUP(A666,'[1]MC Masterlist 2026-09-12'!$B:$M, 12, 0)),0)</f>
        <v>30</v>
      </c>
      <c r="Z666" s="46">
        <f t="shared" si="159"/>
        <v>0.5</v>
      </c>
      <c r="AA666" s="46">
        <f t="shared" si="160"/>
        <v>1</v>
      </c>
      <c r="AB666" s="46">
        <f t="shared" si="161"/>
        <v>0.98333333333333328</v>
      </c>
      <c r="AC666" s="46">
        <f t="shared" si="162"/>
        <v>1</v>
      </c>
      <c r="AD666" s="44" t="str">
        <f t="shared" si="163"/>
        <v>Over</v>
      </c>
      <c r="AE666" s="44" t="str">
        <f>IFERROR(VLOOKUP(A666,'[1]Re-order'!$A:$AA,27,0),"")</f>
        <v>Re-order</v>
      </c>
      <c r="AF666" s="46">
        <f t="shared" si="164"/>
        <v>-2</v>
      </c>
      <c r="AG666" s="46">
        <f>SUMIFS('[1]Raw Inventory'!D:D,'[1]Raw Inventory'!C:C,"GREATWALL",'[1]Raw Inventory'!B:B,A666)</f>
        <v>4</v>
      </c>
      <c r="AH666" s="46">
        <f>SUMIFS('[1]Raw Inventory'!D:D,'[1]Raw Inventory'!C:C,"DUARTE",'[1]Raw Inventory'!B:B,A666)</f>
        <v>0</v>
      </c>
      <c r="AI666" s="46"/>
      <c r="AJ666" s="46"/>
      <c r="AK666" s="43"/>
      <c r="AL666" s="43"/>
      <c r="AM666" s="43"/>
      <c r="AN666" s="43"/>
      <c r="AO666" s="43"/>
      <c r="AP666" s="43"/>
      <c r="AQ666" s="43"/>
      <c r="AR666" s="43"/>
      <c r="AS666" s="43"/>
      <c r="AT666" s="43"/>
    </row>
    <row r="667" spans="1:46">
      <c r="A667" s="43" t="s">
        <v>74</v>
      </c>
      <c r="B667" s="43" t="s">
        <v>122</v>
      </c>
      <c r="C667" s="43" t="s">
        <v>118</v>
      </c>
      <c r="D667" s="44" t="s">
        <v>242</v>
      </c>
      <c r="E667" s="44">
        <v>32</v>
      </c>
      <c r="F667" s="44" t="s">
        <v>3</v>
      </c>
      <c r="G667" s="43" t="str">
        <f>IFERROR(VLOOKUP(A667,'[1]MC Masterlist 2026-09-12'!$B:$M, 3, 0),"")</f>
        <v>SKYGO</v>
      </c>
      <c r="H667" s="45">
        <f>IFERROR(VLOOKUP(A667,'[1]MC Masterlist 2026-09-12'!$B:$M, 6, 0),"")</f>
        <v>98325</v>
      </c>
      <c r="I667" s="46">
        <v>0</v>
      </c>
      <c r="J667" s="46">
        <v>0</v>
      </c>
      <c r="K667" s="46">
        <v>0</v>
      </c>
      <c r="L667" s="46">
        <f t="shared" si="150"/>
        <v>0</v>
      </c>
      <c r="M667" s="46">
        <f t="shared" si="151"/>
        <v>0</v>
      </c>
      <c r="N667" s="45">
        <f t="shared" si="152"/>
        <v>0</v>
      </c>
      <c r="O667" s="45">
        <f t="shared" si="153"/>
        <v>0</v>
      </c>
      <c r="P667" s="46">
        <f t="shared" si="154"/>
        <v>0</v>
      </c>
      <c r="Q667" s="46">
        <v>2</v>
      </c>
      <c r="R667" s="45">
        <f t="shared" si="155"/>
        <v>196650</v>
      </c>
      <c r="S667" s="46">
        <f t="shared" si="156"/>
        <v>0</v>
      </c>
      <c r="T667" s="46" t="str">
        <f>IFERROR(VLOOKUP(A667,'[1]Re-order'!$A:$Q,17,0),"")</f>
        <v/>
      </c>
      <c r="U667" s="46">
        <f>IFERROR(VLOOKUP(A667,'[1]MC Masterlist 2026-09-12'!$B:$M, 10, 0),0)</f>
        <v>15</v>
      </c>
      <c r="V667" s="46">
        <f>IFERROR(VLOOKUP(A667,'[1]MC Masterlist 2026-09-12'!$B:$M, 11, 0),0)</f>
        <v>15</v>
      </c>
      <c r="W667" s="46">
        <f t="shared" si="157"/>
        <v>30</v>
      </c>
      <c r="X667" s="46">
        <f t="shared" si="158"/>
        <v>30</v>
      </c>
      <c r="Y667" s="46">
        <f>IFERROR(IF(OR(C667="AREA I",C667="AREA V"),7,VLOOKUP(A667,'[1]MC Masterlist 2026-09-12'!$B:$M, 12, 0)),0)</f>
        <v>30</v>
      </c>
      <c r="Z667" s="46">
        <f t="shared" si="159"/>
        <v>0</v>
      </c>
      <c r="AA667" s="46">
        <f t="shared" si="160"/>
        <v>0</v>
      </c>
      <c r="AB667" s="46">
        <f t="shared" si="161"/>
        <v>0</v>
      </c>
      <c r="AC667" s="46">
        <f t="shared" si="162"/>
        <v>0</v>
      </c>
      <c r="AD667" s="44" t="str">
        <f t="shared" si="163"/>
        <v>Over</v>
      </c>
      <c r="AE667" s="44" t="str">
        <f>IFERROR(VLOOKUP(A667,'[1]Re-order'!$A:$AA,27,0),"")</f>
        <v>Over</v>
      </c>
      <c r="AF667" s="46">
        <f t="shared" si="164"/>
        <v>-2</v>
      </c>
      <c r="AG667" s="46">
        <f>SUMIFS('[1]Raw Inventory'!D:D,'[1]Raw Inventory'!C:C,"GREATWALL",'[1]Raw Inventory'!B:B,A667)</f>
        <v>0</v>
      </c>
      <c r="AH667" s="46">
        <f>SUMIFS('[1]Raw Inventory'!D:D,'[1]Raw Inventory'!C:C,"DUARTE",'[1]Raw Inventory'!B:B,A667)</f>
        <v>0</v>
      </c>
      <c r="AI667" s="46"/>
      <c r="AJ667" s="46"/>
      <c r="AK667" s="43"/>
      <c r="AL667" s="43"/>
      <c r="AM667" s="43"/>
      <c r="AN667" s="43"/>
      <c r="AO667" s="43"/>
      <c r="AP667" s="43"/>
      <c r="AQ667" s="43"/>
      <c r="AR667" s="43"/>
      <c r="AS667" s="43"/>
      <c r="AT667" s="43"/>
    </row>
    <row r="668" spans="1:46">
      <c r="A668" s="43" t="s">
        <v>14</v>
      </c>
      <c r="B668" s="43" t="s">
        <v>132</v>
      </c>
      <c r="C668" s="43" t="s">
        <v>128</v>
      </c>
      <c r="D668" s="44" t="s">
        <v>227</v>
      </c>
      <c r="E668" s="44">
        <v>1</v>
      </c>
      <c r="F668" s="44" t="s">
        <v>0</v>
      </c>
      <c r="G668" s="43" t="str">
        <f>IFERROR(VLOOKUP(A668,'[1]MC Masterlist 2026-09-12'!$B:$M, 3, 0),"")</f>
        <v>HONDA</v>
      </c>
      <c r="H668" s="45">
        <f>IFERROR(VLOOKUP(A668,'[1]MC Masterlist 2026-09-12'!$B:$M, 6, 0),"")</f>
        <v>80070</v>
      </c>
      <c r="I668" s="46">
        <v>18</v>
      </c>
      <c r="J668" s="46">
        <v>8</v>
      </c>
      <c r="K668" s="46">
        <v>15</v>
      </c>
      <c r="L668" s="46">
        <f t="shared" si="150"/>
        <v>41</v>
      </c>
      <c r="M668" s="46">
        <f t="shared" si="151"/>
        <v>13.666666666666666</v>
      </c>
      <c r="N668" s="45">
        <f t="shared" si="152"/>
        <v>3282870</v>
      </c>
      <c r="O668" s="45">
        <f t="shared" si="153"/>
        <v>1094290</v>
      </c>
      <c r="P668" s="46">
        <f t="shared" si="154"/>
        <v>0.45555555555555555</v>
      </c>
      <c r="Q668" s="46">
        <v>7</v>
      </c>
      <c r="R668" s="45">
        <f t="shared" si="155"/>
        <v>560490</v>
      </c>
      <c r="S668" s="46">
        <f t="shared" si="156"/>
        <v>15.365853658536587</v>
      </c>
      <c r="T668" s="46">
        <f>IFERROR(VLOOKUP(A668,'[1]Re-order'!$A:$Q,17,0),"")</f>
        <v>20.105787181082761</v>
      </c>
      <c r="U668" s="46">
        <f>IFERROR(VLOOKUP(A668,'[1]MC Masterlist 2026-09-12'!$B:$M, 10, 0),0)</f>
        <v>15</v>
      </c>
      <c r="V668" s="46">
        <f>IFERROR(VLOOKUP(A668,'[1]MC Masterlist 2026-09-12'!$B:$M, 11, 0),0)</f>
        <v>15</v>
      </c>
      <c r="W668" s="46">
        <f t="shared" si="157"/>
        <v>30</v>
      </c>
      <c r="X668" s="46">
        <f t="shared" si="158"/>
        <v>23.166666666666668</v>
      </c>
      <c r="Y668" s="46">
        <f>IFERROR(IF(OR(C668="AREA I",C668="AREA V"),7,VLOOKUP(A668,'[1]MC Masterlist 2026-09-12'!$B:$M, 12, 0)),0)</f>
        <v>30</v>
      </c>
      <c r="Z668" s="46">
        <f t="shared" si="159"/>
        <v>6.833333333333333</v>
      </c>
      <c r="AA668" s="46">
        <f t="shared" si="160"/>
        <v>13.666666666666666</v>
      </c>
      <c r="AB668" s="46">
        <f t="shared" si="161"/>
        <v>10.553703703703704</v>
      </c>
      <c r="AC668" s="46">
        <f t="shared" si="162"/>
        <v>13.666666666666666</v>
      </c>
      <c r="AD668" s="44" t="str">
        <f t="shared" si="163"/>
        <v>Re-order</v>
      </c>
      <c r="AE668" s="44" t="str">
        <f>IFERROR(VLOOKUP(A668,'[1]Re-order'!$A:$AA,27,0),"")</f>
        <v>Stockout</v>
      </c>
      <c r="AF668" s="46">
        <f t="shared" si="164"/>
        <v>6.6666666666666661</v>
      </c>
      <c r="AG668" s="46">
        <f>SUMIFS('[1]Raw Inventory'!D:D,'[1]Raw Inventory'!C:C,"GREATWALL",'[1]Raw Inventory'!B:B,A668)</f>
        <v>176</v>
      </c>
      <c r="AH668" s="46">
        <f>SUMIFS('[1]Raw Inventory'!D:D,'[1]Raw Inventory'!C:C,"DUARTE",'[1]Raw Inventory'!B:B,A668)</f>
        <v>0</v>
      </c>
      <c r="AI668" s="46"/>
      <c r="AJ668" s="46"/>
      <c r="AK668" s="43"/>
      <c r="AL668" s="43"/>
      <c r="AM668" s="43"/>
      <c r="AN668" s="43"/>
      <c r="AO668" s="43"/>
      <c r="AP668" s="43"/>
      <c r="AQ668" s="43"/>
      <c r="AR668" s="43"/>
      <c r="AS668" s="43"/>
      <c r="AT668" s="43"/>
    </row>
    <row r="669" spans="1:46">
      <c r="A669" s="43" t="s">
        <v>64</v>
      </c>
      <c r="B669" s="43" t="s">
        <v>5</v>
      </c>
      <c r="C669" s="43" t="s">
        <v>118</v>
      </c>
      <c r="D669" s="44" t="s">
        <v>235</v>
      </c>
      <c r="E669" s="44">
        <v>23</v>
      </c>
      <c r="F669" s="44" t="s">
        <v>3</v>
      </c>
      <c r="G669" s="43" t="str">
        <f>IFERROR(VLOOKUP(A669,'[1]MC Masterlist 2026-09-12'!$B:$M, 3, 0),"")</f>
        <v>HONDA</v>
      </c>
      <c r="H669" s="45">
        <f>IFERROR(VLOOKUP(A669,'[1]MC Masterlist 2026-09-12'!$B:$M, 6, 0),"")</f>
        <v>73170</v>
      </c>
      <c r="I669" s="46">
        <v>0</v>
      </c>
      <c r="J669" s="46">
        <v>0</v>
      </c>
      <c r="K669" s="46">
        <v>0</v>
      </c>
      <c r="L669" s="46">
        <f t="shared" si="150"/>
        <v>0</v>
      </c>
      <c r="M669" s="46">
        <f t="shared" si="151"/>
        <v>0</v>
      </c>
      <c r="N669" s="45">
        <f t="shared" si="152"/>
        <v>0</v>
      </c>
      <c r="O669" s="45">
        <f t="shared" si="153"/>
        <v>0</v>
      </c>
      <c r="P669" s="46">
        <f t="shared" si="154"/>
        <v>0</v>
      </c>
      <c r="Q669" s="46">
        <v>2</v>
      </c>
      <c r="R669" s="45">
        <f t="shared" si="155"/>
        <v>146340</v>
      </c>
      <c r="S669" s="46">
        <f t="shared" si="156"/>
        <v>0</v>
      </c>
      <c r="T669" s="46">
        <f>IFERROR(VLOOKUP(A669,'[1]Re-order'!$A:$Q,17,0),"")</f>
        <v>76.153846153846146</v>
      </c>
      <c r="U669" s="46">
        <f>IFERROR(VLOOKUP(A669,'[1]MC Masterlist 2026-09-12'!$B:$M, 10, 0),0)</f>
        <v>15</v>
      </c>
      <c r="V669" s="46">
        <f>IFERROR(VLOOKUP(A669,'[1]MC Masterlist 2026-09-12'!$B:$M, 11, 0),0)</f>
        <v>15</v>
      </c>
      <c r="W669" s="46">
        <f t="shared" si="157"/>
        <v>30</v>
      </c>
      <c r="X669" s="46">
        <f t="shared" si="158"/>
        <v>30</v>
      </c>
      <c r="Y669" s="46">
        <f>IFERROR(IF(OR(C669="AREA I",C669="AREA V"),7,VLOOKUP(A669,'[1]MC Masterlist 2026-09-12'!$B:$M, 12, 0)),0)</f>
        <v>30</v>
      </c>
      <c r="Z669" s="46">
        <f t="shared" si="159"/>
        <v>0</v>
      </c>
      <c r="AA669" s="46">
        <f t="shared" si="160"/>
        <v>0</v>
      </c>
      <c r="AB669" s="46">
        <f t="shared" si="161"/>
        <v>0</v>
      </c>
      <c r="AC669" s="46">
        <f t="shared" si="162"/>
        <v>0</v>
      </c>
      <c r="AD669" s="44" t="str">
        <f t="shared" si="163"/>
        <v>Over</v>
      </c>
      <c r="AE669" s="44" t="str">
        <f>IFERROR(VLOOKUP(A669,'[1]Re-order'!$A:$AA,27,0),"")</f>
        <v/>
      </c>
      <c r="AF669" s="46">
        <f t="shared" si="164"/>
        <v>-2</v>
      </c>
      <c r="AG669" s="46">
        <f>SUMIFS('[1]Raw Inventory'!D:D,'[1]Raw Inventory'!C:C,"GREATWALL",'[1]Raw Inventory'!B:B,A669)</f>
        <v>13</v>
      </c>
      <c r="AH669" s="46">
        <f>SUMIFS('[1]Raw Inventory'!D:D,'[1]Raw Inventory'!C:C,"DUARTE",'[1]Raw Inventory'!B:B,A669)</f>
        <v>0</v>
      </c>
      <c r="AI669" s="46"/>
      <c r="AJ669" s="46"/>
      <c r="AK669" s="43"/>
      <c r="AL669" s="43"/>
      <c r="AM669" s="43"/>
      <c r="AN669" s="43"/>
      <c r="AO669" s="43"/>
      <c r="AP669" s="43"/>
      <c r="AQ669" s="43"/>
      <c r="AR669" s="43"/>
      <c r="AS669" s="43"/>
      <c r="AT669" s="43"/>
    </row>
    <row r="670" spans="1:46">
      <c r="A670" s="43" t="s">
        <v>59</v>
      </c>
      <c r="B670" s="43" t="s">
        <v>144</v>
      </c>
      <c r="C670" s="43" t="s">
        <v>137</v>
      </c>
      <c r="D670" s="44" t="s">
        <v>221</v>
      </c>
      <c r="E670" s="44">
        <v>23</v>
      </c>
      <c r="F670" s="44" t="s">
        <v>3</v>
      </c>
      <c r="G670" s="43" t="str">
        <f>IFERROR(VLOOKUP(A670,'[1]MC Masterlist 2026-09-12'!$B:$M, 3, 0),"")</f>
        <v>HONDA</v>
      </c>
      <c r="H670" s="45">
        <f>IFERROR(VLOOKUP(A670,'[1]MC Masterlist 2026-09-12'!$B:$M, 6, 0),"")</f>
        <v>147230</v>
      </c>
      <c r="I670" s="46">
        <v>0</v>
      </c>
      <c r="J670" s="46">
        <v>0</v>
      </c>
      <c r="K670" s="46">
        <v>1</v>
      </c>
      <c r="L670" s="46">
        <f t="shared" si="150"/>
        <v>1</v>
      </c>
      <c r="M670" s="46">
        <f t="shared" si="151"/>
        <v>0.33333333333333331</v>
      </c>
      <c r="N670" s="45">
        <f t="shared" si="152"/>
        <v>147230</v>
      </c>
      <c r="O670" s="45">
        <f t="shared" si="153"/>
        <v>49076.666666666664</v>
      </c>
      <c r="P670" s="46">
        <f t="shared" si="154"/>
        <v>1.111111111111111E-2</v>
      </c>
      <c r="Q670" s="46"/>
      <c r="R670" s="45">
        <f t="shared" si="155"/>
        <v>0</v>
      </c>
      <c r="S670" s="46">
        <f t="shared" si="156"/>
        <v>0</v>
      </c>
      <c r="T670" s="46">
        <f>IFERROR(VLOOKUP(A670,'[1]Re-order'!$A:$Q,17,0),"")</f>
        <v>101.25</v>
      </c>
      <c r="U670" s="46">
        <f>IFERROR(VLOOKUP(A670,'[1]MC Masterlist 2026-09-12'!$B:$M, 10, 0),0)</f>
        <v>15</v>
      </c>
      <c r="V670" s="46">
        <f>IFERROR(VLOOKUP(A670,'[1]MC Masterlist 2026-09-12'!$B:$M, 11, 0),0)</f>
        <v>15</v>
      </c>
      <c r="W670" s="46">
        <f t="shared" si="157"/>
        <v>30</v>
      </c>
      <c r="X670" s="46">
        <f t="shared" si="158"/>
        <v>6.833333333333333</v>
      </c>
      <c r="Y670" s="46">
        <f>IFERROR(IF(OR(C670="AREA I",C670="AREA V"),7,VLOOKUP(A670,'[1]MC Masterlist 2026-09-12'!$B:$M, 12, 0)),0)</f>
        <v>7</v>
      </c>
      <c r="Z670" s="46">
        <f t="shared" si="159"/>
        <v>0.16666666666666666</v>
      </c>
      <c r="AA670" s="46">
        <f t="shared" si="160"/>
        <v>0.33333333333333331</v>
      </c>
      <c r="AB670" s="46">
        <f t="shared" si="161"/>
        <v>7.5925925925925911E-2</v>
      </c>
      <c r="AC670" s="46">
        <f t="shared" si="162"/>
        <v>7.7777777777777765E-2</v>
      </c>
      <c r="AD670" s="44" t="str">
        <f t="shared" si="163"/>
        <v>Stockout</v>
      </c>
      <c r="AE670" s="44" t="str">
        <f>IFERROR(VLOOKUP(A670,'[1]Re-order'!$A:$AA,27,0),"")</f>
        <v>Over</v>
      </c>
      <c r="AF670" s="46">
        <f t="shared" si="164"/>
        <v>7.7777777777777765E-2</v>
      </c>
      <c r="AG670" s="46">
        <f>SUMIFS('[1]Raw Inventory'!D:D,'[1]Raw Inventory'!C:C,"GREATWALL",'[1]Raw Inventory'!B:B,A670)</f>
        <v>0</v>
      </c>
      <c r="AH670" s="46">
        <f>SUMIFS('[1]Raw Inventory'!D:D,'[1]Raw Inventory'!C:C,"DUARTE",'[1]Raw Inventory'!B:B,A670)</f>
        <v>0</v>
      </c>
      <c r="AI670" s="46"/>
      <c r="AJ670" s="46"/>
      <c r="AK670" s="43"/>
      <c r="AL670" s="43"/>
      <c r="AM670" s="43"/>
      <c r="AN670" s="43"/>
      <c r="AO670" s="43"/>
      <c r="AP670" s="43"/>
      <c r="AQ670" s="43"/>
      <c r="AR670" s="43"/>
      <c r="AS670" s="43"/>
      <c r="AT670" s="43"/>
    </row>
    <row r="671" spans="1:46">
      <c r="A671" s="43" t="s">
        <v>22</v>
      </c>
      <c r="B671" s="43" t="s">
        <v>27</v>
      </c>
      <c r="C671" s="43" t="s">
        <v>1</v>
      </c>
      <c r="D671" s="44" t="s">
        <v>256</v>
      </c>
      <c r="E671" s="44">
        <v>15</v>
      </c>
      <c r="F671" s="44" t="s">
        <v>2</v>
      </c>
      <c r="G671" s="43" t="str">
        <f>IFERROR(VLOOKUP(A671,'[1]MC Masterlist 2026-09-12'!$B:$M, 3, 0),"")</f>
        <v>HONDA</v>
      </c>
      <c r="H671" s="45">
        <f>IFERROR(VLOOKUP(A671,'[1]MC Masterlist 2026-09-12'!$B:$M, 6, 0),"")</f>
        <v>111258</v>
      </c>
      <c r="I671" s="46">
        <v>2</v>
      </c>
      <c r="J671" s="46">
        <v>2</v>
      </c>
      <c r="K671" s="46">
        <v>0</v>
      </c>
      <c r="L671" s="46">
        <f t="shared" si="150"/>
        <v>4</v>
      </c>
      <c r="M671" s="46">
        <f t="shared" si="151"/>
        <v>1.3333333333333333</v>
      </c>
      <c r="N671" s="45">
        <f t="shared" si="152"/>
        <v>445032</v>
      </c>
      <c r="O671" s="45">
        <f t="shared" si="153"/>
        <v>148344</v>
      </c>
      <c r="P671" s="46">
        <f t="shared" si="154"/>
        <v>4.4444444444444439E-2</v>
      </c>
      <c r="Q671" s="46">
        <v>1</v>
      </c>
      <c r="R671" s="45">
        <f t="shared" si="155"/>
        <v>111258</v>
      </c>
      <c r="S671" s="46">
        <f t="shared" si="156"/>
        <v>22.5</v>
      </c>
      <c r="T671" s="46">
        <f>IFERROR(VLOOKUP(A671,'[1]Re-order'!$A:$Q,17,0),"")</f>
        <v>41.339712918660283</v>
      </c>
      <c r="U671" s="46">
        <f>IFERROR(VLOOKUP(A671,'[1]MC Masterlist 2026-09-12'!$B:$M, 10, 0),0)</f>
        <v>15</v>
      </c>
      <c r="V671" s="46">
        <f>IFERROR(VLOOKUP(A671,'[1]MC Masterlist 2026-09-12'!$B:$M, 11, 0),0)</f>
        <v>15</v>
      </c>
      <c r="W671" s="46">
        <f t="shared" si="157"/>
        <v>30</v>
      </c>
      <c r="X671" s="46">
        <f t="shared" si="158"/>
        <v>6.333333333333333</v>
      </c>
      <c r="Y671" s="46">
        <f>IFERROR(IF(OR(C671="AREA I",C671="AREA V"),7,VLOOKUP(A671,'[1]MC Masterlist 2026-09-12'!$B:$M, 12, 0)),0)</f>
        <v>7</v>
      </c>
      <c r="Z671" s="46">
        <f t="shared" si="159"/>
        <v>0.66666666666666663</v>
      </c>
      <c r="AA671" s="46">
        <f t="shared" si="160"/>
        <v>1.3333333333333333</v>
      </c>
      <c r="AB671" s="46">
        <f t="shared" si="161"/>
        <v>0.28148148148148144</v>
      </c>
      <c r="AC671" s="46">
        <f t="shared" si="162"/>
        <v>0.31111111111111106</v>
      </c>
      <c r="AD671" s="44" t="str">
        <f t="shared" si="163"/>
        <v>Over</v>
      </c>
      <c r="AE671" s="44" t="str">
        <f>IFERROR(VLOOKUP(A671,'[1]Re-order'!$A:$AA,27,0),"")</f>
        <v>Re-order</v>
      </c>
      <c r="AF671" s="46">
        <f t="shared" si="164"/>
        <v>-0.68888888888888888</v>
      </c>
      <c r="AG671" s="46">
        <f>SUMIFS('[1]Raw Inventory'!D:D,'[1]Raw Inventory'!C:C,"GREATWALL",'[1]Raw Inventory'!B:B,A671)</f>
        <v>4</v>
      </c>
      <c r="AH671" s="46">
        <f>SUMIFS('[1]Raw Inventory'!D:D,'[1]Raw Inventory'!C:C,"DUARTE",'[1]Raw Inventory'!B:B,A671)</f>
        <v>0</v>
      </c>
      <c r="AI671" s="46"/>
      <c r="AJ671" s="46"/>
      <c r="AK671" s="43"/>
      <c r="AL671" s="43"/>
      <c r="AM671" s="43"/>
      <c r="AN671" s="43"/>
      <c r="AO671" s="43"/>
      <c r="AP671" s="43"/>
      <c r="AQ671" s="43"/>
      <c r="AR671" s="43"/>
      <c r="AS671" s="43"/>
      <c r="AT671" s="43"/>
    </row>
    <row r="672" spans="1:46">
      <c r="A672" s="43" t="s">
        <v>148</v>
      </c>
      <c r="B672" s="43" t="s">
        <v>141</v>
      </c>
      <c r="C672" s="43" t="s">
        <v>137</v>
      </c>
      <c r="D672" s="44" t="s">
        <v>221</v>
      </c>
      <c r="E672" s="44">
        <v>22</v>
      </c>
      <c r="F672" s="44" t="s">
        <v>3</v>
      </c>
      <c r="G672" s="43" t="str">
        <f>IFERROR(VLOOKUP(A672,'[1]MC Masterlist 2026-09-12'!$B:$M, 3, 0),"")</f>
        <v>SUZUKI</v>
      </c>
      <c r="H672" s="45">
        <f>IFERROR(VLOOKUP(A672,'[1]MC Masterlist 2026-09-12'!$B:$M, 6, 0),"")</f>
        <v>101752</v>
      </c>
      <c r="I672" s="46">
        <v>1</v>
      </c>
      <c r="J672" s="46">
        <v>0</v>
      </c>
      <c r="K672" s="46">
        <v>0</v>
      </c>
      <c r="L672" s="46">
        <f t="shared" si="150"/>
        <v>1</v>
      </c>
      <c r="M672" s="46">
        <f t="shared" si="151"/>
        <v>0.33333333333333331</v>
      </c>
      <c r="N672" s="45">
        <f t="shared" si="152"/>
        <v>101752</v>
      </c>
      <c r="O672" s="45">
        <f t="shared" si="153"/>
        <v>33917.333333333328</v>
      </c>
      <c r="P672" s="46">
        <f t="shared" si="154"/>
        <v>1.111111111111111E-2</v>
      </c>
      <c r="Q672" s="46">
        <v>0</v>
      </c>
      <c r="R672" s="45">
        <f t="shared" si="155"/>
        <v>0</v>
      </c>
      <c r="S672" s="46">
        <f t="shared" si="156"/>
        <v>0</v>
      </c>
      <c r="T672" s="46">
        <f>IFERROR(VLOOKUP(A672,'[1]Re-order'!$A:$Q,17,0),"")</f>
        <v>0</v>
      </c>
      <c r="U672" s="46">
        <f>IFERROR(VLOOKUP(A672,'[1]MC Masterlist 2026-09-12'!$B:$M, 10, 0),0)</f>
        <v>15</v>
      </c>
      <c r="V672" s="46">
        <f>IFERROR(VLOOKUP(A672,'[1]MC Masterlist 2026-09-12'!$B:$M, 11, 0),0)</f>
        <v>15</v>
      </c>
      <c r="W672" s="46">
        <f t="shared" si="157"/>
        <v>30</v>
      </c>
      <c r="X672" s="46">
        <f t="shared" si="158"/>
        <v>6.833333333333333</v>
      </c>
      <c r="Y672" s="46">
        <f>IFERROR(IF(OR(C672="AREA I",C672="AREA V"),7,VLOOKUP(A672,'[1]MC Masterlist 2026-09-12'!$B:$M, 12, 0)),0)</f>
        <v>7</v>
      </c>
      <c r="Z672" s="46">
        <f t="shared" si="159"/>
        <v>0.16666666666666666</v>
      </c>
      <c r="AA672" s="46">
        <f t="shared" si="160"/>
        <v>0.33333333333333331</v>
      </c>
      <c r="AB672" s="46">
        <f t="shared" si="161"/>
        <v>7.5925925925925911E-2</v>
      </c>
      <c r="AC672" s="46">
        <f t="shared" si="162"/>
        <v>7.7777777777777765E-2</v>
      </c>
      <c r="AD672" s="44" t="str">
        <f t="shared" si="163"/>
        <v>Stockout</v>
      </c>
      <c r="AE672" s="44" t="str">
        <f>IFERROR(VLOOKUP(A672,'[1]Re-order'!$A:$AA,27,0),"")</f>
        <v>Stockout</v>
      </c>
      <c r="AF672" s="46">
        <f t="shared" si="164"/>
        <v>7.7777777777777765E-2</v>
      </c>
      <c r="AG672" s="46">
        <f>SUMIFS('[1]Raw Inventory'!D:D,'[1]Raw Inventory'!C:C,"GREATWALL",'[1]Raw Inventory'!B:B,A672)</f>
        <v>0</v>
      </c>
      <c r="AH672" s="46">
        <f>SUMIFS('[1]Raw Inventory'!D:D,'[1]Raw Inventory'!C:C,"DUARTE",'[1]Raw Inventory'!B:B,A672)</f>
        <v>0</v>
      </c>
      <c r="AI672" s="46"/>
      <c r="AJ672" s="46"/>
      <c r="AK672" s="43"/>
      <c r="AL672" s="43"/>
      <c r="AM672" s="43"/>
      <c r="AN672" s="43"/>
      <c r="AO672" s="43"/>
      <c r="AP672" s="43"/>
      <c r="AQ672" s="43"/>
      <c r="AR672" s="43"/>
      <c r="AS672" s="43"/>
      <c r="AT672" s="43"/>
    </row>
    <row r="673" spans="1:46">
      <c r="A673" s="43" t="s">
        <v>12</v>
      </c>
      <c r="B673" s="43" t="s">
        <v>29</v>
      </c>
      <c r="C673" s="43" t="s">
        <v>1</v>
      </c>
      <c r="D673" s="44" t="s">
        <v>240</v>
      </c>
      <c r="E673" s="44">
        <v>12</v>
      </c>
      <c r="F673" s="44" t="s">
        <v>2</v>
      </c>
      <c r="G673" s="43" t="str">
        <f>IFERROR(VLOOKUP(A673,'[1]MC Masterlist 2026-09-12'!$B:$M, 3, 0),"")</f>
        <v>HONDA</v>
      </c>
      <c r="H673" s="45">
        <f>IFERROR(VLOOKUP(A673,'[1]MC Masterlist 2026-09-12'!$B:$M, 6, 0),"")</f>
        <v>158270</v>
      </c>
      <c r="I673" s="46">
        <v>1</v>
      </c>
      <c r="J673" s="46">
        <v>1</v>
      </c>
      <c r="K673" s="46">
        <v>1</v>
      </c>
      <c r="L673" s="46">
        <f t="shared" si="150"/>
        <v>3</v>
      </c>
      <c r="M673" s="46">
        <f t="shared" si="151"/>
        <v>1</v>
      </c>
      <c r="N673" s="45">
        <f t="shared" si="152"/>
        <v>474810</v>
      </c>
      <c r="O673" s="45">
        <f t="shared" si="153"/>
        <v>158270</v>
      </c>
      <c r="P673" s="46">
        <f t="shared" si="154"/>
        <v>3.3333333333333333E-2</v>
      </c>
      <c r="Q673" s="46">
        <v>2</v>
      </c>
      <c r="R673" s="45">
        <f t="shared" si="155"/>
        <v>316540</v>
      </c>
      <c r="S673" s="46">
        <f t="shared" si="156"/>
        <v>60</v>
      </c>
      <c r="T673" s="46">
        <f>IFERROR(VLOOKUP(A673,'[1]Re-order'!$A:$Q,17,0),"")</f>
        <v>46.461038961038959</v>
      </c>
      <c r="U673" s="46">
        <f>IFERROR(VLOOKUP(A673,'[1]MC Masterlist 2026-09-12'!$B:$M, 10, 0),0)</f>
        <v>15</v>
      </c>
      <c r="V673" s="46">
        <f>IFERROR(VLOOKUP(A673,'[1]MC Masterlist 2026-09-12'!$B:$M, 11, 0),0)</f>
        <v>15</v>
      </c>
      <c r="W673" s="46">
        <f t="shared" si="157"/>
        <v>30</v>
      </c>
      <c r="X673" s="46">
        <f t="shared" si="158"/>
        <v>6.5</v>
      </c>
      <c r="Y673" s="46">
        <f>IFERROR(IF(OR(C673="AREA I",C673="AREA V"),7,VLOOKUP(A673,'[1]MC Masterlist 2026-09-12'!$B:$M, 12, 0)),0)</f>
        <v>7</v>
      </c>
      <c r="Z673" s="46">
        <f t="shared" si="159"/>
        <v>0.5</v>
      </c>
      <c r="AA673" s="46">
        <f t="shared" si="160"/>
        <v>1</v>
      </c>
      <c r="AB673" s="46">
        <f t="shared" si="161"/>
        <v>0.21666666666666667</v>
      </c>
      <c r="AC673" s="46">
        <f t="shared" si="162"/>
        <v>0.23333333333333334</v>
      </c>
      <c r="AD673" s="44" t="str">
        <f t="shared" si="163"/>
        <v>Over</v>
      </c>
      <c r="AE673" s="44" t="str">
        <f>IFERROR(VLOOKUP(A673,'[1]Re-order'!$A:$AA,27,0),"")</f>
        <v>Re-order</v>
      </c>
      <c r="AF673" s="46">
        <f t="shared" si="164"/>
        <v>-1.7666666666666666</v>
      </c>
      <c r="AG673" s="46">
        <f>SUMIFS('[1]Raw Inventory'!D:D,'[1]Raw Inventory'!C:C,"GREATWALL",'[1]Raw Inventory'!B:B,A673)</f>
        <v>35</v>
      </c>
      <c r="AH673" s="46">
        <f>SUMIFS('[1]Raw Inventory'!D:D,'[1]Raw Inventory'!C:C,"DUARTE",'[1]Raw Inventory'!B:B,A673)</f>
        <v>0</v>
      </c>
      <c r="AI673" s="46"/>
      <c r="AJ673" s="46"/>
      <c r="AK673" s="43"/>
      <c r="AL673" s="43"/>
      <c r="AM673" s="43"/>
      <c r="AN673" s="43"/>
      <c r="AO673" s="43"/>
      <c r="AP673" s="43"/>
      <c r="AQ673" s="43"/>
      <c r="AR673" s="43"/>
      <c r="AS673" s="43"/>
      <c r="AT673" s="43"/>
    </row>
    <row r="674" spans="1:46">
      <c r="A674" s="43" t="s">
        <v>12</v>
      </c>
      <c r="B674" s="43" t="s">
        <v>94</v>
      </c>
      <c r="C674" s="43" t="s">
        <v>90</v>
      </c>
      <c r="D674" s="44" t="s">
        <v>234</v>
      </c>
      <c r="E674" s="44">
        <v>4</v>
      </c>
      <c r="F674" s="44" t="s">
        <v>0</v>
      </c>
      <c r="G674" s="43" t="str">
        <f>IFERROR(VLOOKUP(A674,'[1]MC Masterlist 2026-09-12'!$B:$M, 3, 0),"")</f>
        <v>HONDA</v>
      </c>
      <c r="H674" s="45">
        <f>IFERROR(VLOOKUP(A674,'[1]MC Masterlist 2026-09-12'!$B:$M, 6, 0),"")</f>
        <v>158270</v>
      </c>
      <c r="I674" s="46">
        <v>0</v>
      </c>
      <c r="J674" s="46">
        <v>0</v>
      </c>
      <c r="K674" s="46">
        <v>3</v>
      </c>
      <c r="L674" s="46">
        <f t="shared" si="150"/>
        <v>3</v>
      </c>
      <c r="M674" s="46">
        <f t="shared" si="151"/>
        <v>1</v>
      </c>
      <c r="N674" s="45">
        <f t="shared" si="152"/>
        <v>474810</v>
      </c>
      <c r="O674" s="45">
        <f t="shared" si="153"/>
        <v>158270</v>
      </c>
      <c r="P674" s="46">
        <f t="shared" si="154"/>
        <v>3.3333333333333333E-2</v>
      </c>
      <c r="Q674" s="46">
        <v>2</v>
      </c>
      <c r="R674" s="45">
        <f t="shared" si="155"/>
        <v>316540</v>
      </c>
      <c r="S674" s="46">
        <f t="shared" si="156"/>
        <v>60</v>
      </c>
      <c r="T674" s="46">
        <f>IFERROR(VLOOKUP(A674,'[1]Re-order'!$A:$Q,17,0),"")</f>
        <v>46.461038961038959</v>
      </c>
      <c r="U674" s="46">
        <f>IFERROR(VLOOKUP(A674,'[1]MC Masterlist 2026-09-12'!$B:$M, 10, 0),0)</f>
        <v>15</v>
      </c>
      <c r="V674" s="46">
        <f>IFERROR(VLOOKUP(A674,'[1]MC Masterlist 2026-09-12'!$B:$M, 11, 0),0)</f>
        <v>15</v>
      </c>
      <c r="W674" s="46">
        <f t="shared" si="157"/>
        <v>30</v>
      </c>
      <c r="X674" s="46">
        <f t="shared" si="158"/>
        <v>29.5</v>
      </c>
      <c r="Y674" s="46">
        <f>IFERROR(IF(OR(C674="AREA I",C674="AREA V"),7,VLOOKUP(A674,'[1]MC Masterlist 2026-09-12'!$B:$M, 12, 0)),0)</f>
        <v>30</v>
      </c>
      <c r="Z674" s="46">
        <f t="shared" si="159"/>
        <v>0.5</v>
      </c>
      <c r="AA674" s="46">
        <f t="shared" si="160"/>
        <v>1</v>
      </c>
      <c r="AB674" s="46">
        <f t="shared" si="161"/>
        <v>0.98333333333333328</v>
      </c>
      <c r="AC674" s="46">
        <f t="shared" si="162"/>
        <v>1</v>
      </c>
      <c r="AD674" s="44" t="str">
        <f t="shared" si="163"/>
        <v>Over</v>
      </c>
      <c r="AE674" s="44" t="str">
        <f>IFERROR(VLOOKUP(A674,'[1]Re-order'!$A:$AA,27,0),"")</f>
        <v>Re-order</v>
      </c>
      <c r="AF674" s="46">
        <f t="shared" si="164"/>
        <v>-1</v>
      </c>
      <c r="AG674" s="46">
        <f>SUMIFS('[1]Raw Inventory'!D:D,'[1]Raw Inventory'!C:C,"GREATWALL",'[1]Raw Inventory'!B:B,A674)</f>
        <v>35</v>
      </c>
      <c r="AH674" s="46">
        <f>SUMIFS('[1]Raw Inventory'!D:D,'[1]Raw Inventory'!C:C,"DUARTE",'[1]Raw Inventory'!B:B,A674)</f>
        <v>0</v>
      </c>
      <c r="AI674" s="46"/>
      <c r="AJ674" s="46"/>
      <c r="AK674" s="43"/>
      <c r="AL674" s="43"/>
      <c r="AM674" s="43"/>
      <c r="AN674" s="43"/>
      <c r="AO674" s="43"/>
      <c r="AP674" s="43"/>
      <c r="AQ674" s="43"/>
      <c r="AR674" s="43"/>
      <c r="AS674" s="43"/>
      <c r="AT674" s="43"/>
    </row>
    <row r="675" spans="1:46">
      <c r="A675" s="43" t="s">
        <v>26</v>
      </c>
      <c r="B675" s="43" t="s">
        <v>142</v>
      </c>
      <c r="C675" s="43" t="s">
        <v>137</v>
      </c>
      <c r="D675" s="44" t="s">
        <v>255</v>
      </c>
      <c r="E675" s="44">
        <v>14</v>
      </c>
      <c r="F675" s="44" t="s">
        <v>2</v>
      </c>
      <c r="G675" s="43" t="str">
        <f>IFERROR(VLOOKUP(A675,'[1]MC Masterlist 2026-09-12'!$B:$M, 3, 0),"")</f>
        <v>SUZUKI</v>
      </c>
      <c r="H675" s="45">
        <f>IFERROR(VLOOKUP(A675,'[1]MC Masterlist 2026-09-12'!$B:$M, 6, 0),"")</f>
        <v>123700</v>
      </c>
      <c r="I675" s="46">
        <v>0</v>
      </c>
      <c r="J675" s="46">
        <v>0</v>
      </c>
      <c r="K675" s="46">
        <v>1</v>
      </c>
      <c r="L675" s="46">
        <f t="shared" si="150"/>
        <v>1</v>
      </c>
      <c r="M675" s="46">
        <f t="shared" si="151"/>
        <v>0.33333333333333331</v>
      </c>
      <c r="N675" s="45">
        <f t="shared" si="152"/>
        <v>123700</v>
      </c>
      <c r="O675" s="45">
        <f t="shared" si="153"/>
        <v>41233.333333333328</v>
      </c>
      <c r="P675" s="46">
        <f t="shared" si="154"/>
        <v>1.111111111111111E-2</v>
      </c>
      <c r="Q675" s="46">
        <v>3</v>
      </c>
      <c r="R675" s="45">
        <f t="shared" si="155"/>
        <v>371100</v>
      </c>
      <c r="S675" s="46">
        <f t="shared" si="156"/>
        <v>270.00000000000006</v>
      </c>
      <c r="T675" s="46">
        <f>IFERROR(VLOOKUP(A675,'[1]Re-order'!$A:$Q,17,0),"")</f>
        <v>71.470588235294116</v>
      </c>
      <c r="U675" s="46">
        <f>IFERROR(VLOOKUP(A675,'[1]MC Masterlist 2026-09-12'!$B:$M, 10, 0),0)</f>
        <v>15</v>
      </c>
      <c r="V675" s="46">
        <f>IFERROR(VLOOKUP(A675,'[1]MC Masterlist 2026-09-12'!$B:$M, 11, 0),0)</f>
        <v>15</v>
      </c>
      <c r="W675" s="46">
        <f t="shared" si="157"/>
        <v>30</v>
      </c>
      <c r="X675" s="46">
        <f t="shared" si="158"/>
        <v>6.833333333333333</v>
      </c>
      <c r="Y675" s="46">
        <f>IFERROR(IF(OR(C675="AREA I",C675="AREA V"),7,VLOOKUP(A675,'[1]MC Masterlist 2026-09-12'!$B:$M, 12, 0)),0)</f>
        <v>7</v>
      </c>
      <c r="Z675" s="46">
        <f t="shared" si="159"/>
        <v>0.16666666666666666</v>
      </c>
      <c r="AA675" s="46">
        <f t="shared" si="160"/>
        <v>0.33333333333333331</v>
      </c>
      <c r="AB675" s="46">
        <f t="shared" si="161"/>
        <v>7.5925925925925911E-2</v>
      </c>
      <c r="AC675" s="46">
        <f t="shared" si="162"/>
        <v>7.7777777777777765E-2</v>
      </c>
      <c r="AD675" s="44" t="str">
        <f t="shared" si="163"/>
        <v>Over</v>
      </c>
      <c r="AE675" s="44" t="str">
        <f>IFERROR(VLOOKUP(A675,'[1]Re-order'!$A:$AA,27,0),"")</f>
        <v>Re-order</v>
      </c>
      <c r="AF675" s="46">
        <f t="shared" si="164"/>
        <v>-2.9222222222222221</v>
      </c>
      <c r="AG675" s="46">
        <f>SUMIFS('[1]Raw Inventory'!D:D,'[1]Raw Inventory'!C:C,"GREATWALL",'[1]Raw Inventory'!B:B,A675)</f>
        <v>30</v>
      </c>
      <c r="AH675" s="46">
        <f>SUMIFS('[1]Raw Inventory'!D:D,'[1]Raw Inventory'!C:C,"DUARTE",'[1]Raw Inventory'!B:B,A675)</f>
        <v>0</v>
      </c>
      <c r="AI675" s="46"/>
      <c r="AJ675" s="46"/>
      <c r="AK675" s="43"/>
      <c r="AL675" s="43"/>
      <c r="AM675" s="43"/>
      <c r="AN675" s="43"/>
      <c r="AO675" s="43"/>
      <c r="AP675" s="43"/>
      <c r="AQ675" s="43"/>
      <c r="AR675" s="43"/>
      <c r="AS675" s="43"/>
      <c r="AT675" s="43"/>
    </row>
    <row r="676" spans="1:46">
      <c r="A676" s="43" t="s">
        <v>68</v>
      </c>
      <c r="B676" s="43" t="s">
        <v>141</v>
      </c>
      <c r="C676" s="43" t="s">
        <v>137</v>
      </c>
      <c r="D676" s="44" t="s">
        <v>245</v>
      </c>
      <c r="E676" s="44">
        <v>28</v>
      </c>
      <c r="F676" s="44" t="s">
        <v>3</v>
      </c>
      <c r="G676" s="43" t="str">
        <f>IFERROR(VLOOKUP(A676,'[1]MC Masterlist 2026-09-12'!$B:$M, 3, 0),"")</f>
        <v>SUZUKI</v>
      </c>
      <c r="H676" s="45">
        <f>IFERROR(VLOOKUP(A676,'[1]MC Masterlist 2026-09-12'!$B:$M, 6, 0),"")</f>
        <v>70037</v>
      </c>
      <c r="I676" s="46">
        <v>0</v>
      </c>
      <c r="J676" s="46">
        <v>0</v>
      </c>
      <c r="K676" s="46">
        <v>0</v>
      </c>
      <c r="L676" s="46">
        <f t="shared" si="150"/>
        <v>0</v>
      </c>
      <c r="M676" s="46">
        <f t="shared" si="151"/>
        <v>0</v>
      </c>
      <c r="N676" s="45">
        <f t="shared" si="152"/>
        <v>0</v>
      </c>
      <c r="O676" s="45">
        <f t="shared" si="153"/>
        <v>0</v>
      </c>
      <c r="P676" s="46">
        <f t="shared" si="154"/>
        <v>0</v>
      </c>
      <c r="Q676" s="46">
        <v>2</v>
      </c>
      <c r="R676" s="45">
        <f t="shared" si="155"/>
        <v>140074</v>
      </c>
      <c r="S676" s="46">
        <f t="shared" si="156"/>
        <v>0</v>
      </c>
      <c r="T676" s="46" t="str">
        <f>IFERROR(VLOOKUP(A676,'[1]Re-order'!$A:$Q,17,0),"")</f>
        <v/>
      </c>
      <c r="U676" s="46">
        <f>IFERROR(VLOOKUP(A676,'[1]MC Masterlist 2026-09-12'!$B:$M, 10, 0),0)</f>
        <v>15</v>
      </c>
      <c r="V676" s="46">
        <f>IFERROR(VLOOKUP(A676,'[1]MC Masterlist 2026-09-12'!$B:$M, 11, 0),0)</f>
        <v>15</v>
      </c>
      <c r="W676" s="46">
        <f t="shared" si="157"/>
        <v>30</v>
      </c>
      <c r="X676" s="46">
        <f t="shared" si="158"/>
        <v>7</v>
      </c>
      <c r="Y676" s="46">
        <f>IFERROR(IF(OR(C676="AREA I",C676="AREA V"),7,VLOOKUP(A676,'[1]MC Masterlist 2026-09-12'!$B:$M, 12, 0)),0)</f>
        <v>7</v>
      </c>
      <c r="Z676" s="46">
        <f t="shared" si="159"/>
        <v>0</v>
      </c>
      <c r="AA676" s="46">
        <f t="shared" si="160"/>
        <v>0</v>
      </c>
      <c r="AB676" s="46">
        <f t="shared" si="161"/>
        <v>0</v>
      </c>
      <c r="AC676" s="46">
        <f t="shared" si="162"/>
        <v>0</v>
      </c>
      <c r="AD676" s="44" t="str">
        <f t="shared" si="163"/>
        <v>Over</v>
      </c>
      <c r="AE676" s="44" t="str">
        <f>IFERROR(VLOOKUP(A676,'[1]Re-order'!$A:$AA,27,0),"")</f>
        <v>Over</v>
      </c>
      <c r="AF676" s="46">
        <f t="shared" si="164"/>
        <v>-2</v>
      </c>
      <c r="AG676" s="46">
        <f>SUMIFS('[1]Raw Inventory'!D:D,'[1]Raw Inventory'!C:C,"GREATWALL",'[1]Raw Inventory'!B:B,A676)</f>
        <v>0</v>
      </c>
      <c r="AH676" s="46">
        <f>SUMIFS('[1]Raw Inventory'!D:D,'[1]Raw Inventory'!C:C,"DUARTE",'[1]Raw Inventory'!B:B,A676)</f>
        <v>0</v>
      </c>
      <c r="AI676" s="46"/>
      <c r="AJ676" s="46"/>
      <c r="AK676" s="43"/>
      <c r="AL676" s="43"/>
      <c r="AM676" s="43"/>
      <c r="AN676" s="43"/>
      <c r="AO676" s="43"/>
      <c r="AP676" s="43"/>
      <c r="AQ676" s="43"/>
      <c r="AR676" s="43"/>
      <c r="AS676" s="43"/>
      <c r="AT676" s="43"/>
    </row>
    <row r="677" spans="1:46">
      <c r="A677" s="43" t="s">
        <v>82</v>
      </c>
      <c r="B677" s="43" t="s">
        <v>29</v>
      </c>
      <c r="C677" s="43" t="s">
        <v>1</v>
      </c>
      <c r="D677" s="44" t="s">
        <v>258</v>
      </c>
      <c r="E677" s="44">
        <v>38</v>
      </c>
      <c r="F677" s="44" t="s">
        <v>3</v>
      </c>
      <c r="G677" s="43" t="str">
        <f>IFERROR(VLOOKUP(A677,'[1]MC Masterlist 2026-09-12'!$B:$M, 3, 0),"")</f>
        <v>SUZUKI</v>
      </c>
      <c r="H677" s="45">
        <f>IFERROR(VLOOKUP(A677,'[1]MC Masterlist 2026-09-12'!$B:$M, 6, 0),"")</f>
        <v>67342</v>
      </c>
      <c r="I677" s="46">
        <v>0</v>
      </c>
      <c r="J677" s="46">
        <v>0</v>
      </c>
      <c r="K677" s="46">
        <v>0</v>
      </c>
      <c r="L677" s="46">
        <f t="shared" si="150"/>
        <v>0</v>
      </c>
      <c r="M677" s="46">
        <f t="shared" si="151"/>
        <v>0</v>
      </c>
      <c r="N677" s="45">
        <f t="shared" si="152"/>
        <v>0</v>
      </c>
      <c r="O677" s="45">
        <f t="shared" si="153"/>
        <v>0</v>
      </c>
      <c r="P677" s="46">
        <f t="shared" si="154"/>
        <v>0</v>
      </c>
      <c r="Q677" s="46">
        <v>1</v>
      </c>
      <c r="R677" s="45">
        <f t="shared" si="155"/>
        <v>67342</v>
      </c>
      <c r="S677" s="46">
        <f t="shared" si="156"/>
        <v>0</v>
      </c>
      <c r="T677" s="46">
        <f>IFERROR(VLOOKUP(A677,'[1]Re-order'!$A:$Q,17,0),"")</f>
        <v>64.8</v>
      </c>
      <c r="U677" s="46">
        <f>IFERROR(VLOOKUP(A677,'[1]MC Masterlist 2026-09-12'!$B:$M, 10, 0),0)</f>
        <v>15</v>
      </c>
      <c r="V677" s="46">
        <f>IFERROR(VLOOKUP(A677,'[1]MC Masterlist 2026-09-12'!$B:$M, 11, 0),0)</f>
        <v>15</v>
      </c>
      <c r="W677" s="46">
        <f t="shared" si="157"/>
        <v>30</v>
      </c>
      <c r="X677" s="46">
        <f t="shared" si="158"/>
        <v>7</v>
      </c>
      <c r="Y677" s="46">
        <f>IFERROR(IF(OR(C677="AREA I",C677="AREA V"),7,VLOOKUP(A677,'[1]MC Masterlist 2026-09-12'!$B:$M, 12, 0)),0)</f>
        <v>7</v>
      </c>
      <c r="Z677" s="46">
        <f t="shared" si="159"/>
        <v>0</v>
      </c>
      <c r="AA677" s="46">
        <f t="shared" si="160"/>
        <v>0</v>
      </c>
      <c r="AB677" s="46">
        <f t="shared" si="161"/>
        <v>0</v>
      </c>
      <c r="AC677" s="46">
        <f t="shared" si="162"/>
        <v>0</v>
      </c>
      <c r="AD677" s="44" t="str">
        <f t="shared" si="163"/>
        <v>Over</v>
      </c>
      <c r="AE677" s="44" t="str">
        <f>IFERROR(VLOOKUP(A677,'[1]Re-order'!$A:$AA,27,0),"")</f>
        <v>Re-order</v>
      </c>
      <c r="AF677" s="46">
        <f t="shared" si="164"/>
        <v>-1</v>
      </c>
      <c r="AG677" s="46">
        <f>SUMIFS('[1]Raw Inventory'!D:D,'[1]Raw Inventory'!C:C,"GREATWALL",'[1]Raw Inventory'!B:B,A677)</f>
        <v>1</v>
      </c>
      <c r="AH677" s="46">
        <f>SUMIFS('[1]Raw Inventory'!D:D,'[1]Raw Inventory'!C:C,"DUARTE",'[1]Raw Inventory'!B:B,A677)</f>
        <v>0</v>
      </c>
      <c r="AI677" s="46"/>
      <c r="AJ677" s="46"/>
      <c r="AK677" s="43"/>
      <c r="AL677" s="43"/>
      <c r="AM677" s="43"/>
      <c r="AN677" s="43"/>
      <c r="AO677" s="43"/>
      <c r="AP677" s="43"/>
      <c r="AQ677" s="43"/>
      <c r="AR677" s="43"/>
      <c r="AS677" s="43"/>
      <c r="AT677" s="43"/>
    </row>
    <row r="678" spans="1:46">
      <c r="A678" s="43" t="s">
        <v>70</v>
      </c>
      <c r="B678" s="43" t="s">
        <v>146</v>
      </c>
      <c r="C678" s="43" t="s">
        <v>137</v>
      </c>
      <c r="D678" s="44" t="s">
        <v>221</v>
      </c>
      <c r="E678" s="44">
        <v>22</v>
      </c>
      <c r="F678" s="44" t="s">
        <v>3</v>
      </c>
      <c r="G678" s="43" t="str">
        <f>IFERROR(VLOOKUP(A678,'[1]MC Masterlist 2026-09-12'!$B:$M, 3, 0),"")</f>
        <v>KAWASAKI</v>
      </c>
      <c r="H678" s="45">
        <f>IFERROR(VLOOKUP(A678,'[1]MC Masterlist 2026-09-12'!$B:$M, 6, 0),"")</f>
        <v>91770</v>
      </c>
      <c r="I678" s="46">
        <v>1</v>
      </c>
      <c r="J678" s="46">
        <v>0</v>
      </c>
      <c r="K678" s="46">
        <v>0</v>
      </c>
      <c r="L678" s="46">
        <f t="shared" si="150"/>
        <v>1</v>
      </c>
      <c r="M678" s="46">
        <f t="shared" si="151"/>
        <v>0.33333333333333331</v>
      </c>
      <c r="N678" s="45">
        <f t="shared" si="152"/>
        <v>91770</v>
      </c>
      <c r="O678" s="45">
        <f t="shared" si="153"/>
        <v>30590</v>
      </c>
      <c r="P678" s="46">
        <f t="shared" si="154"/>
        <v>1.111111111111111E-2</v>
      </c>
      <c r="Q678" s="46"/>
      <c r="R678" s="45">
        <f t="shared" si="155"/>
        <v>0</v>
      </c>
      <c r="S678" s="46">
        <f t="shared" si="156"/>
        <v>0</v>
      </c>
      <c r="T678" s="46">
        <f>IFERROR(VLOOKUP(A678,'[1]Re-order'!$A:$Q,17,0),"")</f>
        <v>255</v>
      </c>
      <c r="U678" s="46">
        <f>IFERROR(VLOOKUP(A678,'[1]MC Masterlist 2026-09-12'!$B:$M, 10, 0),0)</f>
        <v>15</v>
      </c>
      <c r="V678" s="46">
        <f>IFERROR(VLOOKUP(A678,'[1]MC Masterlist 2026-09-12'!$B:$M, 11, 0),0)</f>
        <v>15</v>
      </c>
      <c r="W678" s="46">
        <f t="shared" si="157"/>
        <v>30</v>
      </c>
      <c r="X678" s="46">
        <f t="shared" si="158"/>
        <v>6.833333333333333</v>
      </c>
      <c r="Y678" s="46">
        <f>IFERROR(IF(OR(C678="AREA I",C678="AREA V"),7,VLOOKUP(A678,'[1]MC Masterlist 2026-09-12'!$B:$M, 12, 0)),0)</f>
        <v>7</v>
      </c>
      <c r="Z678" s="46">
        <f t="shared" si="159"/>
        <v>0.16666666666666666</v>
      </c>
      <c r="AA678" s="46">
        <f t="shared" si="160"/>
        <v>0.33333333333333331</v>
      </c>
      <c r="AB678" s="46">
        <f t="shared" si="161"/>
        <v>7.5925925925925911E-2</v>
      </c>
      <c r="AC678" s="46">
        <f t="shared" si="162"/>
        <v>7.7777777777777765E-2</v>
      </c>
      <c r="AD678" s="44" t="str">
        <f t="shared" si="163"/>
        <v>Stockout</v>
      </c>
      <c r="AE678" s="44" t="str">
        <f>IFERROR(VLOOKUP(A678,'[1]Re-order'!$A:$AA,27,0),"")</f>
        <v>Over</v>
      </c>
      <c r="AF678" s="46">
        <f t="shared" si="164"/>
        <v>7.7777777777777765E-2</v>
      </c>
      <c r="AG678" s="46">
        <f>SUMIFS('[1]Raw Inventory'!D:D,'[1]Raw Inventory'!C:C,"GREATWALL",'[1]Raw Inventory'!B:B,A678)</f>
        <v>4</v>
      </c>
      <c r="AH678" s="46">
        <f>SUMIFS('[1]Raw Inventory'!D:D,'[1]Raw Inventory'!C:C,"DUARTE",'[1]Raw Inventory'!B:B,A678)</f>
        <v>0</v>
      </c>
      <c r="AI678" s="46"/>
      <c r="AJ678" s="46"/>
      <c r="AK678" s="43"/>
      <c r="AL678" s="43"/>
      <c r="AM678" s="43"/>
      <c r="AN678" s="43"/>
      <c r="AO678" s="43"/>
      <c r="AP678" s="43"/>
      <c r="AQ678" s="43"/>
      <c r="AR678" s="43"/>
      <c r="AS678" s="43"/>
      <c r="AT678" s="43"/>
    </row>
    <row r="679" spans="1:46">
      <c r="A679" s="43" t="s">
        <v>107</v>
      </c>
      <c r="B679" s="43" t="s">
        <v>120</v>
      </c>
      <c r="C679" s="43" t="s">
        <v>118</v>
      </c>
      <c r="D679" s="44" t="s">
        <v>262</v>
      </c>
      <c r="E679" s="44">
        <v>14</v>
      </c>
      <c r="F679" s="44" t="s">
        <v>2</v>
      </c>
      <c r="G679" s="43" t="str">
        <f>IFERROR(VLOOKUP(A679,'[1]MC Masterlist 2026-09-12'!$B:$M, 3, 0),"")</f>
        <v>SUZUKI</v>
      </c>
      <c r="H679" s="45">
        <f>IFERROR(VLOOKUP(A679,'[1]MC Masterlist 2026-09-12'!$B:$M, 6, 0),"")</f>
        <v>89662</v>
      </c>
      <c r="I679" s="46">
        <v>0</v>
      </c>
      <c r="J679" s="46">
        <v>0</v>
      </c>
      <c r="K679" s="46">
        <v>1</v>
      </c>
      <c r="L679" s="46">
        <f t="shared" si="150"/>
        <v>1</v>
      </c>
      <c r="M679" s="46">
        <f t="shared" si="151"/>
        <v>0.33333333333333331</v>
      </c>
      <c r="N679" s="45">
        <f t="shared" si="152"/>
        <v>89662</v>
      </c>
      <c r="O679" s="45">
        <f t="shared" si="153"/>
        <v>29887.333333333332</v>
      </c>
      <c r="P679" s="46">
        <f t="shared" si="154"/>
        <v>1.111111111111111E-2</v>
      </c>
      <c r="Q679" s="46"/>
      <c r="R679" s="45">
        <f t="shared" si="155"/>
        <v>0</v>
      </c>
      <c r="S679" s="46">
        <f t="shared" si="156"/>
        <v>0</v>
      </c>
      <c r="T679" s="46">
        <f>IFERROR(VLOOKUP(A679,'[1]Re-order'!$A:$Q,17,0),"")</f>
        <v>112.5</v>
      </c>
      <c r="U679" s="46">
        <f>IFERROR(VLOOKUP(A679,'[1]MC Masterlist 2026-09-12'!$B:$M, 10, 0),0)</f>
        <v>15</v>
      </c>
      <c r="V679" s="46">
        <f>IFERROR(VLOOKUP(A679,'[1]MC Masterlist 2026-09-12'!$B:$M, 11, 0),0)</f>
        <v>15</v>
      </c>
      <c r="W679" s="46">
        <f t="shared" si="157"/>
        <v>30</v>
      </c>
      <c r="X679" s="46">
        <f t="shared" si="158"/>
        <v>29.833333333333332</v>
      </c>
      <c r="Y679" s="46">
        <f>IFERROR(IF(OR(C679="AREA I",C679="AREA V"),7,VLOOKUP(A679,'[1]MC Masterlist 2026-09-12'!$B:$M, 12, 0)),0)</f>
        <v>30</v>
      </c>
      <c r="Z679" s="46">
        <f t="shared" si="159"/>
        <v>0.16666666666666666</v>
      </c>
      <c r="AA679" s="46">
        <f t="shared" si="160"/>
        <v>0.33333333333333331</v>
      </c>
      <c r="AB679" s="46">
        <f t="shared" si="161"/>
        <v>0.33148148148148143</v>
      </c>
      <c r="AC679" s="46">
        <f t="shared" si="162"/>
        <v>0.33333333333333331</v>
      </c>
      <c r="AD679" s="44" t="str">
        <f t="shared" si="163"/>
        <v>Stockout</v>
      </c>
      <c r="AE679" s="44" t="str">
        <f>IFERROR(VLOOKUP(A679,'[1]Re-order'!$A:$AA,27,0),"")</f>
        <v>Over</v>
      </c>
      <c r="AF679" s="46">
        <f t="shared" si="164"/>
        <v>0.33333333333333331</v>
      </c>
      <c r="AG679" s="46">
        <f>SUMIFS('[1]Raw Inventory'!D:D,'[1]Raw Inventory'!C:C,"GREATWALL",'[1]Raw Inventory'!B:B,A679)</f>
        <v>0</v>
      </c>
      <c r="AH679" s="46">
        <f>SUMIFS('[1]Raw Inventory'!D:D,'[1]Raw Inventory'!C:C,"DUARTE",'[1]Raw Inventory'!B:B,A679)</f>
        <v>0</v>
      </c>
      <c r="AI679" s="46"/>
      <c r="AJ679" s="46"/>
      <c r="AK679" s="43"/>
      <c r="AL679" s="43"/>
      <c r="AM679" s="43"/>
      <c r="AN679" s="43"/>
      <c r="AO679" s="43"/>
      <c r="AP679" s="43"/>
      <c r="AQ679" s="43"/>
      <c r="AR679" s="43"/>
      <c r="AS679" s="43"/>
      <c r="AT679" s="43"/>
    </row>
    <row r="680" spans="1:46">
      <c r="A680" s="43" t="s">
        <v>18</v>
      </c>
      <c r="B680" s="43" t="s">
        <v>112</v>
      </c>
      <c r="C680" s="43" t="s">
        <v>109</v>
      </c>
      <c r="D680" s="44" t="s">
        <v>262</v>
      </c>
      <c r="E680" s="44">
        <v>14</v>
      </c>
      <c r="F680" s="44" t="s">
        <v>2</v>
      </c>
      <c r="G680" s="43" t="str">
        <f>IFERROR(VLOOKUP(A680,'[1]MC Masterlist 2026-09-12'!$B:$M, 3, 0),"")</f>
        <v>HONDA</v>
      </c>
      <c r="H680" s="45">
        <f>IFERROR(VLOOKUP(A680,'[1]MC Masterlist 2026-09-12'!$B:$M, 6, 0),"")</f>
        <v>94330</v>
      </c>
      <c r="I680" s="46">
        <v>0</v>
      </c>
      <c r="J680" s="46">
        <v>0</v>
      </c>
      <c r="K680" s="46">
        <v>1</v>
      </c>
      <c r="L680" s="46">
        <f t="shared" si="150"/>
        <v>1</v>
      </c>
      <c r="M680" s="46">
        <f t="shared" si="151"/>
        <v>0.33333333333333331</v>
      </c>
      <c r="N680" s="45">
        <f t="shared" si="152"/>
        <v>94330</v>
      </c>
      <c r="O680" s="45">
        <f t="shared" si="153"/>
        <v>31443.333333333332</v>
      </c>
      <c r="P680" s="46">
        <f t="shared" si="154"/>
        <v>1.111111111111111E-2</v>
      </c>
      <c r="Q680" s="46">
        <v>2</v>
      </c>
      <c r="R680" s="45">
        <f t="shared" si="155"/>
        <v>188660</v>
      </c>
      <c r="S680" s="46">
        <f t="shared" si="156"/>
        <v>180</v>
      </c>
      <c r="T680" s="46">
        <f>IFERROR(VLOOKUP(A680,'[1]Re-order'!$A:$Q,17,0),"")</f>
        <v>113.9644970414201</v>
      </c>
      <c r="U680" s="46">
        <f>IFERROR(VLOOKUP(A680,'[1]MC Masterlist 2026-09-12'!$B:$M, 10, 0),0)</f>
        <v>15</v>
      </c>
      <c r="V680" s="46">
        <f>IFERROR(VLOOKUP(A680,'[1]MC Masterlist 2026-09-12'!$B:$M, 11, 0),0)</f>
        <v>15</v>
      </c>
      <c r="W680" s="46">
        <f t="shared" si="157"/>
        <v>30</v>
      </c>
      <c r="X680" s="46">
        <f t="shared" si="158"/>
        <v>29.833333333333332</v>
      </c>
      <c r="Y680" s="46">
        <f>IFERROR(IF(OR(C680="AREA I",C680="AREA V"),7,VLOOKUP(A680,'[1]MC Masterlist 2026-09-12'!$B:$M, 12, 0)),0)</f>
        <v>30</v>
      </c>
      <c r="Z680" s="46">
        <f t="shared" si="159"/>
        <v>0.16666666666666666</v>
      </c>
      <c r="AA680" s="46">
        <f t="shared" si="160"/>
        <v>0.33333333333333331</v>
      </c>
      <c r="AB680" s="46">
        <f t="shared" si="161"/>
        <v>0.33148148148148143</v>
      </c>
      <c r="AC680" s="46">
        <f t="shared" si="162"/>
        <v>0.33333333333333331</v>
      </c>
      <c r="AD680" s="44" t="str">
        <f t="shared" si="163"/>
        <v>Over</v>
      </c>
      <c r="AE680" s="44" t="str">
        <f>IFERROR(VLOOKUP(A680,'[1]Re-order'!$A:$AA,27,0),"")</f>
        <v>Over</v>
      </c>
      <c r="AF680" s="46">
        <f t="shared" si="164"/>
        <v>-1.6666666666666667</v>
      </c>
      <c r="AG680" s="46">
        <f>SUMIFS('[1]Raw Inventory'!D:D,'[1]Raw Inventory'!C:C,"GREATWALL",'[1]Raw Inventory'!B:B,A680)</f>
        <v>88</v>
      </c>
      <c r="AH680" s="46">
        <f>SUMIFS('[1]Raw Inventory'!D:D,'[1]Raw Inventory'!C:C,"DUARTE",'[1]Raw Inventory'!B:B,A680)</f>
        <v>0</v>
      </c>
      <c r="AI680" s="46"/>
      <c r="AJ680" s="46"/>
      <c r="AK680" s="43"/>
      <c r="AL680" s="43"/>
      <c r="AM680" s="43"/>
      <c r="AN680" s="43"/>
      <c r="AO680" s="43"/>
      <c r="AP680" s="43"/>
      <c r="AQ680" s="43"/>
      <c r="AR680" s="43"/>
      <c r="AS680" s="43"/>
      <c r="AT680" s="43"/>
    </row>
    <row r="681" spans="1:46">
      <c r="A681" s="43" t="s">
        <v>43</v>
      </c>
      <c r="B681" s="43" t="s">
        <v>141</v>
      </c>
      <c r="C681" s="43" t="s">
        <v>137</v>
      </c>
      <c r="D681" s="44" t="s">
        <v>256</v>
      </c>
      <c r="E681" s="44">
        <v>16</v>
      </c>
      <c r="F681" s="44" t="s">
        <v>2</v>
      </c>
      <c r="G681" s="43" t="str">
        <f>IFERROR(VLOOKUP(A681,'[1]MC Masterlist 2026-09-12'!$B:$M, 3, 0),"")</f>
        <v>YAMAHA</v>
      </c>
      <c r="H681" s="45">
        <f>IFERROR(VLOOKUP(A681,'[1]MC Masterlist 2026-09-12'!$B:$M, 6, 0),"")</f>
        <v>70587</v>
      </c>
      <c r="I681" s="46">
        <v>1</v>
      </c>
      <c r="J681" s="46">
        <v>0</v>
      </c>
      <c r="K681" s="46">
        <v>2</v>
      </c>
      <c r="L681" s="46">
        <f t="shared" si="150"/>
        <v>3</v>
      </c>
      <c r="M681" s="46">
        <f t="shared" si="151"/>
        <v>1</v>
      </c>
      <c r="N681" s="45">
        <f t="shared" si="152"/>
        <v>211761</v>
      </c>
      <c r="O681" s="45">
        <f t="shared" si="153"/>
        <v>70587</v>
      </c>
      <c r="P681" s="46">
        <f t="shared" si="154"/>
        <v>3.3333333333333333E-2</v>
      </c>
      <c r="Q681" s="46">
        <v>0</v>
      </c>
      <c r="R681" s="45">
        <f t="shared" si="155"/>
        <v>0</v>
      </c>
      <c r="S681" s="46">
        <f t="shared" si="156"/>
        <v>0</v>
      </c>
      <c r="T681" s="46">
        <f>IFERROR(VLOOKUP(A681,'[1]Re-order'!$A:$Q,17,0),"")</f>
        <v>43.578947368421055</v>
      </c>
      <c r="U681" s="46">
        <f>IFERROR(VLOOKUP(A681,'[1]MC Masterlist 2026-09-12'!$B:$M, 10, 0),0)</f>
        <v>15</v>
      </c>
      <c r="V681" s="46">
        <f>IFERROR(VLOOKUP(A681,'[1]MC Masterlist 2026-09-12'!$B:$M, 11, 0),0)</f>
        <v>15</v>
      </c>
      <c r="W681" s="46">
        <f t="shared" si="157"/>
        <v>30</v>
      </c>
      <c r="X681" s="46">
        <f t="shared" si="158"/>
        <v>6.5</v>
      </c>
      <c r="Y681" s="46">
        <f>IFERROR(IF(OR(C681="AREA I",C681="AREA V"),7,VLOOKUP(A681,'[1]MC Masterlist 2026-09-12'!$B:$M, 12, 0)),0)</f>
        <v>7</v>
      </c>
      <c r="Z681" s="46">
        <f t="shared" si="159"/>
        <v>0.5</v>
      </c>
      <c r="AA681" s="46">
        <f t="shared" si="160"/>
        <v>1</v>
      </c>
      <c r="AB681" s="46">
        <f t="shared" si="161"/>
        <v>0.21666666666666667</v>
      </c>
      <c r="AC681" s="46">
        <f t="shared" si="162"/>
        <v>0.23333333333333334</v>
      </c>
      <c r="AD681" s="44" t="str">
        <f t="shared" si="163"/>
        <v>Stockout</v>
      </c>
      <c r="AE681" s="44" t="str">
        <f>IFERROR(VLOOKUP(A681,'[1]Re-order'!$A:$AA,27,0),"")</f>
        <v>Re-order</v>
      </c>
      <c r="AF681" s="46">
        <f t="shared" si="164"/>
        <v>0.23333333333333334</v>
      </c>
      <c r="AG681" s="46">
        <f>SUMIFS('[1]Raw Inventory'!D:D,'[1]Raw Inventory'!C:C,"GREATWALL",'[1]Raw Inventory'!B:B,A681)</f>
        <v>0</v>
      </c>
      <c r="AH681" s="46">
        <f>SUMIFS('[1]Raw Inventory'!D:D,'[1]Raw Inventory'!C:C,"DUARTE",'[1]Raw Inventory'!B:B,A681)</f>
        <v>0</v>
      </c>
      <c r="AI681" s="46"/>
      <c r="AJ681" s="46"/>
      <c r="AK681" s="43"/>
      <c r="AL681" s="43"/>
      <c r="AM681" s="43"/>
      <c r="AN681" s="43"/>
      <c r="AO681" s="43"/>
      <c r="AP681" s="43"/>
      <c r="AQ681" s="43"/>
      <c r="AR681" s="43"/>
      <c r="AS681" s="43"/>
      <c r="AT681" s="43"/>
    </row>
    <row r="682" spans="1:46">
      <c r="A682" s="43" t="s">
        <v>64</v>
      </c>
      <c r="B682" s="43" t="s">
        <v>153</v>
      </c>
      <c r="C682" s="43" t="s">
        <v>152</v>
      </c>
      <c r="D682" s="44" t="s">
        <v>253</v>
      </c>
      <c r="E682" s="44">
        <v>20</v>
      </c>
      <c r="F682" s="44" t="s">
        <v>3</v>
      </c>
      <c r="G682" s="43" t="str">
        <f>IFERROR(VLOOKUP(A682,'[1]MC Masterlist 2026-09-12'!$B:$M, 3, 0),"")</f>
        <v>HONDA</v>
      </c>
      <c r="H682" s="45">
        <f>IFERROR(VLOOKUP(A682,'[1]MC Masterlist 2026-09-12'!$B:$M, 6, 0),"")</f>
        <v>73170</v>
      </c>
      <c r="I682" s="46">
        <v>0</v>
      </c>
      <c r="J682" s="46">
        <v>0</v>
      </c>
      <c r="K682" s="46">
        <v>0</v>
      </c>
      <c r="L682" s="46">
        <f t="shared" si="150"/>
        <v>0</v>
      </c>
      <c r="M682" s="46">
        <f t="shared" si="151"/>
        <v>0</v>
      </c>
      <c r="N682" s="45">
        <f t="shared" si="152"/>
        <v>0</v>
      </c>
      <c r="O682" s="45">
        <f t="shared" si="153"/>
        <v>0</v>
      </c>
      <c r="P682" s="46">
        <f t="shared" si="154"/>
        <v>0</v>
      </c>
      <c r="Q682" s="46">
        <v>1</v>
      </c>
      <c r="R682" s="45">
        <f t="shared" si="155"/>
        <v>73170</v>
      </c>
      <c r="S682" s="46">
        <f t="shared" si="156"/>
        <v>0</v>
      </c>
      <c r="T682" s="46">
        <f>IFERROR(VLOOKUP(A682,'[1]Re-order'!$A:$Q,17,0),"")</f>
        <v>76.153846153846146</v>
      </c>
      <c r="U682" s="46">
        <f>IFERROR(VLOOKUP(A682,'[1]MC Masterlist 2026-09-12'!$B:$M, 10, 0),0)</f>
        <v>15</v>
      </c>
      <c r="V682" s="46">
        <f>IFERROR(VLOOKUP(A682,'[1]MC Masterlist 2026-09-12'!$B:$M, 11, 0),0)</f>
        <v>15</v>
      </c>
      <c r="W682" s="46">
        <f t="shared" si="157"/>
        <v>30</v>
      </c>
      <c r="X682" s="46">
        <f t="shared" si="158"/>
        <v>30</v>
      </c>
      <c r="Y682" s="46">
        <f>IFERROR(IF(OR(C682="AREA I",C682="AREA V"),7,VLOOKUP(A682,'[1]MC Masterlist 2026-09-12'!$B:$M, 12, 0)),0)</f>
        <v>30</v>
      </c>
      <c r="Z682" s="46">
        <f t="shared" si="159"/>
        <v>0</v>
      </c>
      <c r="AA682" s="46">
        <f t="shared" si="160"/>
        <v>0</v>
      </c>
      <c r="AB682" s="46">
        <f t="shared" si="161"/>
        <v>0</v>
      </c>
      <c r="AC682" s="46">
        <f t="shared" si="162"/>
        <v>0</v>
      </c>
      <c r="AD682" s="44" t="str">
        <f t="shared" si="163"/>
        <v>Over</v>
      </c>
      <c r="AE682" s="44" t="str">
        <f>IFERROR(VLOOKUP(A682,'[1]Re-order'!$A:$AA,27,0),"")</f>
        <v/>
      </c>
      <c r="AF682" s="46">
        <f t="shared" si="164"/>
        <v>-1</v>
      </c>
      <c r="AG682" s="46">
        <f>SUMIFS('[1]Raw Inventory'!D:D,'[1]Raw Inventory'!C:C,"GREATWALL",'[1]Raw Inventory'!B:B,A682)</f>
        <v>13</v>
      </c>
      <c r="AH682" s="46">
        <f>SUMIFS('[1]Raw Inventory'!D:D,'[1]Raw Inventory'!C:C,"DUARTE",'[1]Raw Inventory'!B:B,A682)</f>
        <v>0</v>
      </c>
      <c r="AI682" s="46"/>
      <c r="AJ682" s="46"/>
      <c r="AK682" s="43"/>
      <c r="AL682" s="43"/>
      <c r="AM682" s="43"/>
      <c r="AN682" s="43"/>
      <c r="AO682" s="43"/>
      <c r="AP682" s="43"/>
      <c r="AQ682" s="43"/>
      <c r="AR682" s="43"/>
      <c r="AS682" s="43"/>
      <c r="AT682" s="43"/>
    </row>
    <row r="683" spans="1:46">
      <c r="A683" s="43" t="s">
        <v>61</v>
      </c>
      <c r="B683" s="43" t="s">
        <v>112</v>
      </c>
      <c r="C683" s="43" t="s">
        <v>109</v>
      </c>
      <c r="D683" s="44" t="s">
        <v>229</v>
      </c>
      <c r="E683" s="44">
        <v>23</v>
      </c>
      <c r="F683" s="44" t="s">
        <v>3</v>
      </c>
      <c r="G683" s="43" t="str">
        <f>IFERROR(VLOOKUP(A683,'[1]MC Masterlist 2026-09-12'!$B:$M, 3, 0),"")</f>
        <v>HONDA</v>
      </c>
      <c r="H683" s="45">
        <f>IFERROR(VLOOKUP(A683,'[1]MC Masterlist 2026-09-12'!$B:$M, 6, 0),"")</f>
        <v>63510</v>
      </c>
      <c r="I683" s="46">
        <v>0</v>
      </c>
      <c r="J683" s="46">
        <v>0</v>
      </c>
      <c r="K683" s="46">
        <v>0</v>
      </c>
      <c r="L683" s="46">
        <f t="shared" si="150"/>
        <v>0</v>
      </c>
      <c r="M683" s="46">
        <f t="shared" si="151"/>
        <v>0</v>
      </c>
      <c r="N683" s="45">
        <f t="shared" si="152"/>
        <v>0</v>
      </c>
      <c r="O683" s="45">
        <f t="shared" si="153"/>
        <v>0</v>
      </c>
      <c r="P683" s="46">
        <f t="shared" si="154"/>
        <v>0</v>
      </c>
      <c r="Q683" s="46">
        <v>2</v>
      </c>
      <c r="R683" s="45">
        <f t="shared" si="155"/>
        <v>127020</v>
      </c>
      <c r="S683" s="46">
        <f t="shared" si="156"/>
        <v>0</v>
      </c>
      <c r="T683" s="46">
        <f>IFERROR(VLOOKUP(A683,'[1]Re-order'!$A:$Q,17,0),"")</f>
        <v>135</v>
      </c>
      <c r="U683" s="46">
        <f>IFERROR(VLOOKUP(A683,'[1]MC Masterlist 2026-09-12'!$B:$M, 10, 0),0)</f>
        <v>15</v>
      </c>
      <c r="V683" s="46">
        <f>IFERROR(VLOOKUP(A683,'[1]MC Masterlist 2026-09-12'!$B:$M, 11, 0),0)</f>
        <v>15</v>
      </c>
      <c r="W683" s="46">
        <f t="shared" si="157"/>
        <v>30</v>
      </c>
      <c r="X683" s="46">
        <f t="shared" si="158"/>
        <v>30</v>
      </c>
      <c r="Y683" s="46">
        <f>IFERROR(IF(OR(C683="AREA I",C683="AREA V"),7,VLOOKUP(A683,'[1]MC Masterlist 2026-09-12'!$B:$M, 12, 0)),0)</f>
        <v>30</v>
      </c>
      <c r="Z683" s="46">
        <f t="shared" si="159"/>
        <v>0</v>
      </c>
      <c r="AA683" s="46">
        <f t="shared" si="160"/>
        <v>0</v>
      </c>
      <c r="AB683" s="46">
        <f t="shared" si="161"/>
        <v>0</v>
      </c>
      <c r="AC683" s="46">
        <f t="shared" si="162"/>
        <v>0</v>
      </c>
      <c r="AD683" s="44" t="str">
        <f t="shared" si="163"/>
        <v>Over</v>
      </c>
      <c r="AE683" s="44" t="str">
        <f>IFERROR(VLOOKUP(A683,'[1]Re-order'!$A:$AA,27,0),"")</f>
        <v>Over</v>
      </c>
      <c r="AF683" s="46">
        <f t="shared" si="164"/>
        <v>-2</v>
      </c>
      <c r="AG683" s="46">
        <f>SUMIFS('[1]Raw Inventory'!D:D,'[1]Raw Inventory'!C:C,"GREATWALL",'[1]Raw Inventory'!B:B,A683)</f>
        <v>1</v>
      </c>
      <c r="AH683" s="46">
        <f>SUMIFS('[1]Raw Inventory'!D:D,'[1]Raw Inventory'!C:C,"DUARTE",'[1]Raw Inventory'!B:B,A683)</f>
        <v>0</v>
      </c>
      <c r="AI683" s="46"/>
      <c r="AJ683" s="46"/>
      <c r="AK683" s="43"/>
      <c r="AL683" s="43"/>
      <c r="AM683" s="43"/>
      <c r="AN683" s="43"/>
      <c r="AO683" s="43"/>
      <c r="AP683" s="43"/>
      <c r="AQ683" s="43"/>
      <c r="AR683" s="43"/>
      <c r="AS683" s="43"/>
      <c r="AT683" s="43"/>
    </row>
    <row r="684" spans="1:46">
      <c r="A684" s="43" t="s">
        <v>86</v>
      </c>
      <c r="B684" s="43" t="s">
        <v>5</v>
      </c>
      <c r="C684" s="43" t="s">
        <v>118</v>
      </c>
      <c r="D684" s="44" t="s">
        <v>221</v>
      </c>
      <c r="E684" s="44">
        <v>19</v>
      </c>
      <c r="F684" s="44" t="s">
        <v>3</v>
      </c>
      <c r="G684" s="43" t="str">
        <f>IFERROR(VLOOKUP(A684,'[1]MC Masterlist 2026-09-12'!$B:$M, 3, 0),"")</f>
        <v>KAWASAKI</v>
      </c>
      <c r="H684" s="45">
        <f>IFERROR(VLOOKUP(A684,'[1]MC Masterlist 2026-09-12'!$B:$M, 6, 0),"")</f>
        <v>72500</v>
      </c>
      <c r="I684" s="46">
        <v>0</v>
      </c>
      <c r="J684" s="46">
        <v>0</v>
      </c>
      <c r="K684" s="46">
        <v>1</v>
      </c>
      <c r="L684" s="46">
        <f t="shared" si="150"/>
        <v>1</v>
      </c>
      <c r="M684" s="46">
        <f t="shared" si="151"/>
        <v>0.33333333333333331</v>
      </c>
      <c r="N684" s="45">
        <f t="shared" si="152"/>
        <v>72500</v>
      </c>
      <c r="O684" s="45">
        <f t="shared" si="153"/>
        <v>24166.666666666664</v>
      </c>
      <c r="P684" s="46">
        <f t="shared" si="154"/>
        <v>1.111111111111111E-2</v>
      </c>
      <c r="Q684" s="46"/>
      <c r="R684" s="45">
        <f t="shared" si="155"/>
        <v>0</v>
      </c>
      <c r="S684" s="46">
        <f t="shared" si="156"/>
        <v>0</v>
      </c>
      <c r="T684" s="46">
        <f>IFERROR(VLOOKUP(A684,'[1]Re-order'!$A:$Q,17,0),"")</f>
        <v>150</v>
      </c>
      <c r="U684" s="46">
        <f>IFERROR(VLOOKUP(A684,'[1]MC Masterlist 2026-09-12'!$B:$M, 10, 0),0)</f>
        <v>15</v>
      </c>
      <c r="V684" s="46">
        <f>IFERROR(VLOOKUP(A684,'[1]MC Masterlist 2026-09-12'!$B:$M, 11, 0),0)</f>
        <v>15</v>
      </c>
      <c r="W684" s="46">
        <f t="shared" si="157"/>
        <v>30</v>
      </c>
      <c r="X684" s="46">
        <f t="shared" si="158"/>
        <v>29.833333333333332</v>
      </c>
      <c r="Y684" s="46">
        <f>IFERROR(IF(OR(C684="AREA I",C684="AREA V"),7,VLOOKUP(A684,'[1]MC Masterlist 2026-09-12'!$B:$M, 12, 0)),0)</f>
        <v>30</v>
      </c>
      <c r="Z684" s="46">
        <f t="shared" si="159"/>
        <v>0.16666666666666666</v>
      </c>
      <c r="AA684" s="46">
        <f t="shared" si="160"/>
        <v>0.33333333333333331</v>
      </c>
      <c r="AB684" s="46">
        <f t="shared" si="161"/>
        <v>0.33148148148148143</v>
      </c>
      <c r="AC684" s="46">
        <f t="shared" si="162"/>
        <v>0.33333333333333331</v>
      </c>
      <c r="AD684" s="44" t="str">
        <f t="shared" si="163"/>
        <v>Stockout</v>
      </c>
      <c r="AE684" s="44" t="str">
        <f>IFERROR(VLOOKUP(A684,'[1]Re-order'!$A:$AA,27,0),"")</f>
        <v>Over</v>
      </c>
      <c r="AF684" s="46">
        <f t="shared" si="164"/>
        <v>0.33333333333333331</v>
      </c>
      <c r="AG684" s="46">
        <f>SUMIFS('[1]Raw Inventory'!D:D,'[1]Raw Inventory'!C:C,"GREATWALL",'[1]Raw Inventory'!B:B,A684)</f>
        <v>0</v>
      </c>
      <c r="AH684" s="46">
        <f>SUMIFS('[1]Raw Inventory'!D:D,'[1]Raw Inventory'!C:C,"DUARTE",'[1]Raw Inventory'!B:B,A684)</f>
        <v>0</v>
      </c>
      <c r="AI684" s="46"/>
      <c r="AJ684" s="46"/>
      <c r="AK684" s="43"/>
      <c r="AL684" s="43"/>
      <c r="AM684" s="43"/>
      <c r="AN684" s="43"/>
      <c r="AO684" s="43"/>
      <c r="AP684" s="43"/>
      <c r="AQ684" s="43"/>
      <c r="AR684" s="43"/>
      <c r="AS684" s="43"/>
      <c r="AT684" s="43"/>
    </row>
    <row r="685" spans="1:46">
      <c r="A685" s="43" t="s">
        <v>16</v>
      </c>
      <c r="B685" s="43" t="s">
        <v>116</v>
      </c>
      <c r="C685" s="43" t="s">
        <v>109</v>
      </c>
      <c r="D685" s="44" t="s">
        <v>237</v>
      </c>
      <c r="E685" s="44">
        <v>7</v>
      </c>
      <c r="F685" s="44" t="s">
        <v>3</v>
      </c>
      <c r="G685" s="43" t="str">
        <f>IFERROR(VLOOKUP(A685,'[1]MC Masterlist 2026-09-12'!$B:$M, 3, 0),"")</f>
        <v>HONDA</v>
      </c>
      <c r="H685" s="45">
        <f>IFERROR(VLOOKUP(A685,'[1]MC Masterlist 2026-09-12'!$B:$M, 6, 0),"")</f>
        <v>84394</v>
      </c>
      <c r="I685" s="46">
        <v>0</v>
      </c>
      <c r="J685" s="46">
        <v>0</v>
      </c>
      <c r="K685" s="46">
        <v>0</v>
      </c>
      <c r="L685" s="46">
        <f t="shared" si="150"/>
        <v>0</v>
      </c>
      <c r="M685" s="46">
        <f t="shared" si="151"/>
        <v>0</v>
      </c>
      <c r="N685" s="45">
        <f t="shared" si="152"/>
        <v>0</v>
      </c>
      <c r="O685" s="45">
        <f t="shared" si="153"/>
        <v>0</v>
      </c>
      <c r="P685" s="46">
        <f t="shared" si="154"/>
        <v>0</v>
      </c>
      <c r="Q685" s="46">
        <v>3</v>
      </c>
      <c r="R685" s="45">
        <f t="shared" si="155"/>
        <v>253182</v>
      </c>
      <c r="S685" s="46">
        <f t="shared" si="156"/>
        <v>0</v>
      </c>
      <c r="T685" s="46">
        <f>IFERROR(VLOOKUP(A685,'[1]Re-order'!$A:$Q,17,0),"")</f>
        <v>26.332665330661321</v>
      </c>
      <c r="U685" s="46">
        <f>IFERROR(VLOOKUP(A685,'[1]MC Masterlist 2026-09-12'!$B:$M, 10, 0),0)</f>
        <v>15</v>
      </c>
      <c r="V685" s="46">
        <f>IFERROR(VLOOKUP(A685,'[1]MC Masterlist 2026-09-12'!$B:$M, 11, 0),0)</f>
        <v>15</v>
      </c>
      <c r="W685" s="46">
        <f t="shared" si="157"/>
        <v>30</v>
      </c>
      <c r="X685" s="46">
        <f t="shared" si="158"/>
        <v>30</v>
      </c>
      <c r="Y685" s="46">
        <f>IFERROR(IF(OR(C685="AREA I",C685="AREA V"),7,VLOOKUP(A685,'[1]MC Masterlist 2026-09-12'!$B:$M, 12, 0)),0)</f>
        <v>30</v>
      </c>
      <c r="Z685" s="46">
        <f t="shared" si="159"/>
        <v>0</v>
      </c>
      <c r="AA685" s="46">
        <f t="shared" si="160"/>
        <v>0</v>
      </c>
      <c r="AB685" s="46">
        <f t="shared" si="161"/>
        <v>0</v>
      </c>
      <c r="AC685" s="46">
        <f t="shared" si="162"/>
        <v>0</v>
      </c>
      <c r="AD685" s="44" t="str">
        <f t="shared" si="163"/>
        <v>Over</v>
      </c>
      <c r="AE685" s="44" t="str">
        <f>IFERROR(VLOOKUP(A685,'[1]Re-order'!$A:$AA,27,0),"")</f>
        <v>Stockout</v>
      </c>
      <c r="AF685" s="46">
        <f t="shared" si="164"/>
        <v>-3</v>
      </c>
      <c r="AG685" s="46">
        <f>SUMIFS('[1]Raw Inventory'!D:D,'[1]Raw Inventory'!C:C,"GREATWALL",'[1]Raw Inventory'!B:B,A685)</f>
        <v>58</v>
      </c>
      <c r="AH685" s="46">
        <f>SUMIFS('[1]Raw Inventory'!D:D,'[1]Raw Inventory'!C:C,"DUARTE",'[1]Raw Inventory'!B:B,A685)</f>
        <v>0</v>
      </c>
      <c r="AI685" s="46"/>
      <c r="AJ685" s="46"/>
      <c r="AK685" s="43"/>
      <c r="AL685" s="43"/>
      <c r="AM685" s="43"/>
      <c r="AN685" s="43"/>
      <c r="AO685" s="43"/>
      <c r="AP685" s="43"/>
      <c r="AQ685" s="43"/>
      <c r="AR685" s="43"/>
      <c r="AS685" s="43"/>
      <c r="AT685" s="43"/>
    </row>
    <row r="686" spans="1:46">
      <c r="A686" s="43" t="s">
        <v>147</v>
      </c>
      <c r="B686" s="43" t="s">
        <v>144</v>
      </c>
      <c r="C686" s="43" t="s">
        <v>137</v>
      </c>
      <c r="D686" s="44" t="s">
        <v>243</v>
      </c>
      <c r="E686" s="44">
        <v>17</v>
      </c>
      <c r="F686" s="44" t="s">
        <v>2</v>
      </c>
      <c r="G686" s="43" t="str">
        <f>IFERROR(VLOOKUP(A686,'[1]MC Masterlist 2026-09-12'!$B:$M, 3, 0),"")</f>
        <v>YAMAHA</v>
      </c>
      <c r="H686" s="45">
        <f>IFERROR(VLOOKUP(A686,'[1]MC Masterlist 2026-09-12'!$B:$M, 6, 0),"")</f>
        <v>278535</v>
      </c>
      <c r="I686" s="46">
        <v>0</v>
      </c>
      <c r="J686" s="46">
        <v>0</v>
      </c>
      <c r="K686" s="46">
        <v>1</v>
      </c>
      <c r="L686" s="46">
        <f t="shared" si="150"/>
        <v>1</v>
      </c>
      <c r="M686" s="46">
        <f t="shared" si="151"/>
        <v>0.33333333333333331</v>
      </c>
      <c r="N686" s="45">
        <f t="shared" si="152"/>
        <v>278535</v>
      </c>
      <c r="O686" s="45">
        <f t="shared" si="153"/>
        <v>92845</v>
      </c>
      <c r="P686" s="46">
        <f t="shared" si="154"/>
        <v>1.111111111111111E-2</v>
      </c>
      <c r="Q686" s="46"/>
      <c r="R686" s="45">
        <f t="shared" si="155"/>
        <v>0</v>
      </c>
      <c r="S686" s="46">
        <f t="shared" si="156"/>
        <v>0</v>
      </c>
      <c r="T686" s="46">
        <f>IFERROR(VLOOKUP(A686,'[1]Re-order'!$A:$Q,17,0),"")</f>
        <v>45</v>
      </c>
      <c r="U686" s="46">
        <f>IFERROR(VLOOKUP(A686,'[1]MC Masterlist 2026-09-12'!$B:$M, 10, 0),0)</f>
        <v>15</v>
      </c>
      <c r="V686" s="46">
        <f>IFERROR(VLOOKUP(A686,'[1]MC Masterlist 2026-09-12'!$B:$M, 11, 0),0)</f>
        <v>15</v>
      </c>
      <c r="W686" s="46">
        <f t="shared" si="157"/>
        <v>30</v>
      </c>
      <c r="X686" s="46">
        <f t="shared" si="158"/>
        <v>6.833333333333333</v>
      </c>
      <c r="Y686" s="46">
        <f>IFERROR(IF(OR(C686="AREA I",C686="AREA V"),7,VLOOKUP(A686,'[1]MC Masterlist 2026-09-12'!$B:$M, 12, 0)),0)</f>
        <v>7</v>
      </c>
      <c r="Z686" s="46">
        <f t="shared" si="159"/>
        <v>0.16666666666666666</v>
      </c>
      <c r="AA686" s="46">
        <f t="shared" si="160"/>
        <v>0.33333333333333331</v>
      </c>
      <c r="AB686" s="46">
        <f t="shared" si="161"/>
        <v>7.5925925925925911E-2</v>
      </c>
      <c r="AC686" s="46">
        <f t="shared" si="162"/>
        <v>7.7777777777777765E-2</v>
      </c>
      <c r="AD686" s="44" t="str">
        <f t="shared" si="163"/>
        <v>Stockout</v>
      </c>
      <c r="AE686" s="44" t="str">
        <f>IFERROR(VLOOKUP(A686,'[1]Re-order'!$A:$AA,27,0),"")</f>
        <v>Re-order</v>
      </c>
      <c r="AF686" s="46">
        <f t="shared" si="164"/>
        <v>7.7777777777777765E-2</v>
      </c>
      <c r="AG686" s="46">
        <f>SUMIFS('[1]Raw Inventory'!D:D,'[1]Raw Inventory'!C:C,"GREATWALL",'[1]Raw Inventory'!B:B,A686)</f>
        <v>1</v>
      </c>
      <c r="AH686" s="46">
        <f>SUMIFS('[1]Raw Inventory'!D:D,'[1]Raw Inventory'!C:C,"DUARTE",'[1]Raw Inventory'!B:B,A686)</f>
        <v>0</v>
      </c>
      <c r="AI686" s="46"/>
      <c r="AJ686" s="46"/>
      <c r="AK686" s="43"/>
      <c r="AL686" s="43"/>
      <c r="AM686" s="43"/>
      <c r="AN686" s="43"/>
      <c r="AO686" s="43"/>
      <c r="AP686" s="43"/>
      <c r="AQ686" s="43"/>
      <c r="AR686" s="43"/>
      <c r="AS686" s="43"/>
      <c r="AT686" s="43"/>
    </row>
    <row r="687" spans="1:46">
      <c r="A687" s="43" t="s">
        <v>43</v>
      </c>
      <c r="B687" s="43" t="s">
        <v>120</v>
      </c>
      <c r="C687" s="43" t="s">
        <v>118</v>
      </c>
      <c r="D687" s="44" t="s">
        <v>257</v>
      </c>
      <c r="E687" s="44">
        <v>20</v>
      </c>
      <c r="F687" s="44" t="s">
        <v>3</v>
      </c>
      <c r="G687" s="43" t="str">
        <f>IFERROR(VLOOKUP(A687,'[1]MC Masterlist 2026-09-12'!$B:$M, 3, 0),"")</f>
        <v>YAMAHA</v>
      </c>
      <c r="H687" s="45">
        <f>IFERROR(VLOOKUP(A687,'[1]MC Masterlist 2026-09-12'!$B:$M, 6, 0),"")</f>
        <v>70587</v>
      </c>
      <c r="I687" s="46">
        <v>0</v>
      </c>
      <c r="J687" s="46">
        <v>1</v>
      </c>
      <c r="K687" s="46">
        <v>0</v>
      </c>
      <c r="L687" s="46">
        <f t="shared" si="150"/>
        <v>1</v>
      </c>
      <c r="M687" s="46">
        <f t="shared" si="151"/>
        <v>0.33333333333333331</v>
      </c>
      <c r="N687" s="45">
        <f t="shared" si="152"/>
        <v>70587</v>
      </c>
      <c r="O687" s="45">
        <f t="shared" si="153"/>
        <v>23529</v>
      </c>
      <c r="P687" s="46">
        <f t="shared" si="154"/>
        <v>1.111111111111111E-2</v>
      </c>
      <c r="Q687" s="46">
        <v>1</v>
      </c>
      <c r="R687" s="45">
        <f t="shared" si="155"/>
        <v>70587</v>
      </c>
      <c r="S687" s="46">
        <f t="shared" si="156"/>
        <v>90</v>
      </c>
      <c r="T687" s="46">
        <f>IFERROR(VLOOKUP(A687,'[1]Re-order'!$A:$Q,17,0),"")</f>
        <v>43.578947368421055</v>
      </c>
      <c r="U687" s="46">
        <f>IFERROR(VLOOKUP(A687,'[1]MC Masterlist 2026-09-12'!$B:$M, 10, 0),0)</f>
        <v>15</v>
      </c>
      <c r="V687" s="46">
        <f>IFERROR(VLOOKUP(A687,'[1]MC Masterlist 2026-09-12'!$B:$M, 11, 0),0)</f>
        <v>15</v>
      </c>
      <c r="W687" s="46">
        <f t="shared" si="157"/>
        <v>30</v>
      </c>
      <c r="X687" s="46">
        <f t="shared" si="158"/>
        <v>29.833333333333332</v>
      </c>
      <c r="Y687" s="46">
        <f>IFERROR(IF(OR(C687="AREA I",C687="AREA V"),7,VLOOKUP(A687,'[1]MC Masterlist 2026-09-12'!$B:$M, 12, 0)),0)</f>
        <v>30</v>
      </c>
      <c r="Z687" s="46">
        <f t="shared" si="159"/>
        <v>0.16666666666666666</v>
      </c>
      <c r="AA687" s="46">
        <f t="shared" si="160"/>
        <v>0.33333333333333331</v>
      </c>
      <c r="AB687" s="46">
        <f t="shared" si="161"/>
        <v>0.33148148148148143</v>
      </c>
      <c r="AC687" s="46">
        <f t="shared" si="162"/>
        <v>0.33333333333333331</v>
      </c>
      <c r="AD687" s="44" t="str">
        <f t="shared" si="163"/>
        <v>Over</v>
      </c>
      <c r="AE687" s="44" t="str">
        <f>IFERROR(VLOOKUP(A687,'[1]Re-order'!$A:$AA,27,0),"")</f>
        <v>Re-order</v>
      </c>
      <c r="AF687" s="46">
        <f t="shared" si="164"/>
        <v>-0.66666666666666674</v>
      </c>
      <c r="AG687" s="46">
        <f>SUMIFS('[1]Raw Inventory'!D:D,'[1]Raw Inventory'!C:C,"GREATWALL",'[1]Raw Inventory'!B:B,A687)</f>
        <v>0</v>
      </c>
      <c r="AH687" s="46">
        <f>SUMIFS('[1]Raw Inventory'!D:D,'[1]Raw Inventory'!C:C,"DUARTE",'[1]Raw Inventory'!B:B,A687)</f>
        <v>0</v>
      </c>
      <c r="AI687" s="46"/>
      <c r="AJ687" s="46"/>
      <c r="AK687" s="43"/>
      <c r="AL687" s="43"/>
      <c r="AM687" s="43"/>
      <c r="AN687" s="43"/>
      <c r="AO687" s="43"/>
      <c r="AP687" s="43"/>
      <c r="AQ687" s="43"/>
      <c r="AR687" s="43"/>
      <c r="AS687" s="43"/>
      <c r="AT687" s="43"/>
    </row>
    <row r="688" spans="1:46">
      <c r="A688" s="43" t="s">
        <v>43</v>
      </c>
      <c r="B688" s="43" t="s">
        <v>30</v>
      </c>
      <c r="C688" s="43" t="s">
        <v>1</v>
      </c>
      <c r="D688" s="44" t="s">
        <v>223</v>
      </c>
      <c r="E688" s="44">
        <v>26</v>
      </c>
      <c r="F688" s="44" t="s">
        <v>3</v>
      </c>
      <c r="G688" s="43" t="str">
        <f>IFERROR(VLOOKUP(A688,'[1]MC Masterlist 2026-09-12'!$B:$M, 3, 0),"")</f>
        <v>YAMAHA</v>
      </c>
      <c r="H688" s="45">
        <f>IFERROR(VLOOKUP(A688,'[1]MC Masterlist 2026-09-12'!$B:$M, 6, 0),"")</f>
        <v>70587</v>
      </c>
      <c r="I688" s="46">
        <v>1</v>
      </c>
      <c r="J688" s="46">
        <v>1</v>
      </c>
      <c r="K688" s="46">
        <v>0</v>
      </c>
      <c r="L688" s="46">
        <f t="shared" si="150"/>
        <v>2</v>
      </c>
      <c r="M688" s="46">
        <f t="shared" si="151"/>
        <v>0.66666666666666663</v>
      </c>
      <c r="N688" s="45">
        <f t="shared" si="152"/>
        <v>141174</v>
      </c>
      <c r="O688" s="45">
        <f t="shared" si="153"/>
        <v>47058</v>
      </c>
      <c r="P688" s="46">
        <f t="shared" si="154"/>
        <v>2.222222222222222E-2</v>
      </c>
      <c r="Q688" s="46">
        <v>4</v>
      </c>
      <c r="R688" s="45">
        <f t="shared" si="155"/>
        <v>282348</v>
      </c>
      <c r="S688" s="46">
        <f t="shared" si="156"/>
        <v>180</v>
      </c>
      <c r="T688" s="46">
        <f>IFERROR(VLOOKUP(A688,'[1]Re-order'!$A:$Q,17,0),"")</f>
        <v>43.578947368421055</v>
      </c>
      <c r="U688" s="46">
        <f>IFERROR(VLOOKUP(A688,'[1]MC Masterlist 2026-09-12'!$B:$M, 10, 0),0)</f>
        <v>15</v>
      </c>
      <c r="V688" s="46">
        <f>IFERROR(VLOOKUP(A688,'[1]MC Masterlist 2026-09-12'!$B:$M, 11, 0),0)</f>
        <v>15</v>
      </c>
      <c r="W688" s="46">
        <f t="shared" si="157"/>
        <v>30</v>
      </c>
      <c r="X688" s="46">
        <f t="shared" si="158"/>
        <v>6.666666666666667</v>
      </c>
      <c r="Y688" s="46">
        <f>IFERROR(IF(OR(C688="AREA I",C688="AREA V"),7,VLOOKUP(A688,'[1]MC Masterlist 2026-09-12'!$B:$M, 12, 0)),0)</f>
        <v>7</v>
      </c>
      <c r="Z688" s="46">
        <f t="shared" si="159"/>
        <v>0.33333333333333331</v>
      </c>
      <c r="AA688" s="46">
        <f t="shared" si="160"/>
        <v>0.66666666666666663</v>
      </c>
      <c r="AB688" s="46">
        <f t="shared" si="161"/>
        <v>0.14814814814814814</v>
      </c>
      <c r="AC688" s="46">
        <f t="shared" si="162"/>
        <v>0.15555555555555553</v>
      </c>
      <c r="AD688" s="44" t="str">
        <f t="shared" si="163"/>
        <v>Over</v>
      </c>
      <c r="AE688" s="44" t="str">
        <f>IFERROR(VLOOKUP(A688,'[1]Re-order'!$A:$AA,27,0),"")</f>
        <v>Re-order</v>
      </c>
      <c r="AF688" s="46">
        <f t="shared" si="164"/>
        <v>-3.8444444444444446</v>
      </c>
      <c r="AG688" s="46">
        <f>SUMIFS('[1]Raw Inventory'!D:D,'[1]Raw Inventory'!C:C,"GREATWALL",'[1]Raw Inventory'!B:B,A688)</f>
        <v>0</v>
      </c>
      <c r="AH688" s="46">
        <f>SUMIFS('[1]Raw Inventory'!D:D,'[1]Raw Inventory'!C:C,"DUARTE",'[1]Raw Inventory'!B:B,A688)</f>
        <v>0</v>
      </c>
      <c r="AI688" s="46"/>
      <c r="AJ688" s="46"/>
      <c r="AK688" s="43"/>
      <c r="AL688" s="43"/>
      <c r="AM688" s="43"/>
      <c r="AN688" s="43"/>
      <c r="AO688" s="43"/>
      <c r="AP688" s="43"/>
      <c r="AQ688" s="43"/>
      <c r="AR688" s="43"/>
      <c r="AS688" s="43"/>
      <c r="AT688" s="43"/>
    </row>
    <row r="689" spans="1:46">
      <c r="A689" s="43" t="s">
        <v>17</v>
      </c>
      <c r="B689" s="43" t="s">
        <v>98</v>
      </c>
      <c r="C689" s="43" t="s">
        <v>90</v>
      </c>
      <c r="D689" s="44" t="s">
        <v>243</v>
      </c>
      <c r="E689" s="44">
        <v>16</v>
      </c>
      <c r="F689" s="44" t="s">
        <v>2</v>
      </c>
      <c r="G689" s="43" t="str">
        <f>IFERROR(VLOOKUP(A689,'[1]MC Masterlist 2026-09-12'!$B:$M, 3, 0),"")</f>
        <v>HONDA</v>
      </c>
      <c r="H689" s="45">
        <f>IFERROR(VLOOKUP(A689,'[1]MC Masterlist 2026-09-12'!$B:$M, 6, 0),"")</f>
        <v>140790</v>
      </c>
      <c r="I689" s="46">
        <v>1</v>
      </c>
      <c r="J689" s="46">
        <v>0</v>
      </c>
      <c r="K689" s="46">
        <v>0</v>
      </c>
      <c r="L689" s="46">
        <f t="shared" si="150"/>
        <v>1</v>
      </c>
      <c r="M689" s="46">
        <f t="shared" si="151"/>
        <v>0.33333333333333331</v>
      </c>
      <c r="N689" s="45">
        <f t="shared" si="152"/>
        <v>140790</v>
      </c>
      <c r="O689" s="45">
        <f t="shared" si="153"/>
        <v>46930</v>
      </c>
      <c r="P689" s="46">
        <f t="shared" si="154"/>
        <v>1.111111111111111E-2</v>
      </c>
      <c r="Q689" s="46">
        <v>3</v>
      </c>
      <c r="R689" s="45">
        <f t="shared" si="155"/>
        <v>422370</v>
      </c>
      <c r="S689" s="46">
        <f t="shared" si="156"/>
        <v>270</v>
      </c>
      <c r="T689" s="46">
        <f>IFERROR(VLOOKUP(A689,'[1]Re-order'!$A:$Q,17,0),"")</f>
        <v>43.663366336633665</v>
      </c>
      <c r="U689" s="46">
        <f>IFERROR(VLOOKUP(A689,'[1]MC Masterlist 2026-09-12'!$B:$M, 10, 0),0)</f>
        <v>15</v>
      </c>
      <c r="V689" s="46">
        <f>IFERROR(VLOOKUP(A689,'[1]MC Masterlist 2026-09-12'!$B:$M, 11, 0),0)</f>
        <v>15</v>
      </c>
      <c r="W689" s="46">
        <f t="shared" si="157"/>
        <v>30</v>
      </c>
      <c r="X689" s="46">
        <f t="shared" si="158"/>
        <v>29.833333333333332</v>
      </c>
      <c r="Y689" s="46">
        <f>IFERROR(IF(OR(C689="AREA I",C689="AREA V"),7,VLOOKUP(A689,'[1]MC Masterlist 2026-09-12'!$B:$M, 12, 0)),0)</f>
        <v>30</v>
      </c>
      <c r="Z689" s="46">
        <f t="shared" si="159"/>
        <v>0.16666666666666666</v>
      </c>
      <c r="AA689" s="46">
        <f t="shared" si="160"/>
        <v>0.33333333333333331</v>
      </c>
      <c r="AB689" s="46">
        <f t="shared" si="161"/>
        <v>0.33148148148148143</v>
      </c>
      <c r="AC689" s="46">
        <f t="shared" si="162"/>
        <v>0.33333333333333331</v>
      </c>
      <c r="AD689" s="44" t="str">
        <f t="shared" si="163"/>
        <v>Over</v>
      </c>
      <c r="AE689" s="44" t="str">
        <f>IFERROR(VLOOKUP(A689,'[1]Re-order'!$A:$AA,27,0),"")</f>
        <v>Re-order</v>
      </c>
      <c r="AF689" s="46">
        <f t="shared" si="164"/>
        <v>-2.6666666666666665</v>
      </c>
      <c r="AG689" s="46">
        <f>SUMIFS('[1]Raw Inventory'!D:D,'[1]Raw Inventory'!C:C,"GREATWALL",'[1]Raw Inventory'!B:B,A689)</f>
        <v>12</v>
      </c>
      <c r="AH689" s="46">
        <f>SUMIFS('[1]Raw Inventory'!D:D,'[1]Raw Inventory'!C:C,"DUARTE",'[1]Raw Inventory'!B:B,A689)</f>
        <v>0</v>
      </c>
      <c r="AI689" s="46"/>
      <c r="AJ689" s="46"/>
      <c r="AK689" s="43"/>
      <c r="AL689" s="43"/>
      <c r="AM689" s="43"/>
      <c r="AN689" s="43"/>
      <c r="AO689" s="43"/>
      <c r="AP689" s="43"/>
      <c r="AQ689" s="43"/>
      <c r="AR689" s="43"/>
      <c r="AS689" s="43"/>
      <c r="AT689" s="43"/>
    </row>
    <row r="690" spans="1:46">
      <c r="A690" s="43" t="s">
        <v>26</v>
      </c>
      <c r="B690" s="43" t="s">
        <v>93</v>
      </c>
      <c r="C690" s="43" t="s">
        <v>90</v>
      </c>
      <c r="D690" s="44" t="s">
        <v>259</v>
      </c>
      <c r="E690" s="44">
        <v>5</v>
      </c>
      <c r="F690" s="44" t="s">
        <v>0</v>
      </c>
      <c r="G690" s="43" t="str">
        <f>IFERROR(VLOOKUP(A690,'[1]MC Masterlist 2026-09-12'!$B:$M, 3, 0),"")</f>
        <v>SUZUKI</v>
      </c>
      <c r="H690" s="45">
        <f>IFERROR(VLOOKUP(A690,'[1]MC Masterlist 2026-09-12'!$B:$M, 6, 0),"")</f>
        <v>123700</v>
      </c>
      <c r="I690" s="46">
        <v>2</v>
      </c>
      <c r="J690" s="46">
        <v>1</v>
      </c>
      <c r="K690" s="46">
        <v>2</v>
      </c>
      <c r="L690" s="46">
        <f t="shared" si="150"/>
        <v>5</v>
      </c>
      <c r="M690" s="46">
        <f t="shared" si="151"/>
        <v>1.6666666666666667</v>
      </c>
      <c r="N690" s="45">
        <f t="shared" si="152"/>
        <v>618500</v>
      </c>
      <c r="O690" s="45">
        <f t="shared" si="153"/>
        <v>206166.66666666669</v>
      </c>
      <c r="P690" s="46">
        <f t="shared" si="154"/>
        <v>5.5555555555555559E-2</v>
      </c>
      <c r="Q690" s="46">
        <v>2</v>
      </c>
      <c r="R690" s="45">
        <f t="shared" si="155"/>
        <v>247400</v>
      </c>
      <c r="S690" s="46">
        <f t="shared" si="156"/>
        <v>36</v>
      </c>
      <c r="T690" s="46">
        <f>IFERROR(VLOOKUP(A690,'[1]Re-order'!$A:$Q,17,0),"")</f>
        <v>71.470588235294116</v>
      </c>
      <c r="U690" s="46">
        <f>IFERROR(VLOOKUP(A690,'[1]MC Masterlist 2026-09-12'!$B:$M, 10, 0),0)</f>
        <v>15</v>
      </c>
      <c r="V690" s="46">
        <f>IFERROR(VLOOKUP(A690,'[1]MC Masterlist 2026-09-12'!$B:$M, 11, 0),0)</f>
        <v>15</v>
      </c>
      <c r="W690" s="46">
        <f t="shared" si="157"/>
        <v>30</v>
      </c>
      <c r="X690" s="46">
        <f t="shared" si="158"/>
        <v>29.166666666666668</v>
      </c>
      <c r="Y690" s="46">
        <f>IFERROR(IF(OR(C690="AREA I",C690="AREA V"),7,VLOOKUP(A690,'[1]MC Masterlist 2026-09-12'!$B:$M, 12, 0)),0)</f>
        <v>30</v>
      </c>
      <c r="Z690" s="46">
        <f t="shared" si="159"/>
        <v>0.83333333333333337</v>
      </c>
      <c r="AA690" s="46">
        <f t="shared" si="160"/>
        <v>1.6666666666666667</v>
      </c>
      <c r="AB690" s="46">
        <f t="shared" si="161"/>
        <v>1.6203703703703705</v>
      </c>
      <c r="AC690" s="46">
        <f t="shared" si="162"/>
        <v>1.6666666666666667</v>
      </c>
      <c r="AD690" s="44" t="str">
        <f t="shared" si="163"/>
        <v>Over</v>
      </c>
      <c r="AE690" s="44" t="str">
        <f>IFERROR(VLOOKUP(A690,'[1]Re-order'!$A:$AA,27,0),"")</f>
        <v>Re-order</v>
      </c>
      <c r="AF690" s="46">
        <f t="shared" si="164"/>
        <v>-0.33333333333333326</v>
      </c>
      <c r="AG690" s="46">
        <f>SUMIFS('[1]Raw Inventory'!D:D,'[1]Raw Inventory'!C:C,"GREATWALL",'[1]Raw Inventory'!B:B,A690)</f>
        <v>30</v>
      </c>
      <c r="AH690" s="46">
        <f>SUMIFS('[1]Raw Inventory'!D:D,'[1]Raw Inventory'!C:C,"DUARTE",'[1]Raw Inventory'!B:B,A690)</f>
        <v>0</v>
      </c>
      <c r="AI690" s="46"/>
      <c r="AJ690" s="46"/>
      <c r="AK690" s="43"/>
      <c r="AL690" s="43"/>
      <c r="AM690" s="43"/>
      <c r="AN690" s="43"/>
      <c r="AO690" s="43"/>
      <c r="AP690" s="43"/>
      <c r="AQ690" s="43"/>
      <c r="AR690" s="43"/>
      <c r="AS690" s="43"/>
      <c r="AT690" s="43"/>
    </row>
    <row r="691" spans="1:46">
      <c r="A691" s="43" t="s">
        <v>57</v>
      </c>
      <c r="B691" s="43" t="s">
        <v>140</v>
      </c>
      <c r="C691" s="43" t="s">
        <v>137</v>
      </c>
      <c r="D691" s="44" t="s">
        <v>247</v>
      </c>
      <c r="E691" s="44">
        <v>15</v>
      </c>
      <c r="F691" s="44" t="s">
        <v>3</v>
      </c>
      <c r="G691" s="43" t="str">
        <f>IFERROR(VLOOKUP(A691,'[1]MC Masterlist 2026-09-12'!$B:$M, 3, 0),"")</f>
        <v>HONDA</v>
      </c>
      <c r="H691" s="45">
        <f>IFERROR(VLOOKUP(A691,'[1]MC Masterlist 2026-09-12'!$B:$M, 6, 0),"")</f>
        <v>146328</v>
      </c>
      <c r="I691" s="46">
        <v>0</v>
      </c>
      <c r="J691" s="46">
        <v>0</v>
      </c>
      <c r="K691" s="46">
        <v>0</v>
      </c>
      <c r="L691" s="46">
        <f t="shared" si="150"/>
        <v>0</v>
      </c>
      <c r="M691" s="46">
        <f t="shared" si="151"/>
        <v>0</v>
      </c>
      <c r="N691" s="45">
        <f t="shared" si="152"/>
        <v>0</v>
      </c>
      <c r="O691" s="45">
        <f t="shared" si="153"/>
        <v>0</v>
      </c>
      <c r="P691" s="46">
        <f t="shared" si="154"/>
        <v>0</v>
      </c>
      <c r="Q691" s="46">
        <v>1</v>
      </c>
      <c r="R691" s="45">
        <f t="shared" si="155"/>
        <v>146328</v>
      </c>
      <c r="S691" s="46">
        <f t="shared" si="156"/>
        <v>0</v>
      </c>
      <c r="T691" s="46" t="str">
        <f>IFERROR(VLOOKUP(A691,'[1]Re-order'!$A:$Q,17,0),"")</f>
        <v/>
      </c>
      <c r="U691" s="46">
        <f>IFERROR(VLOOKUP(A691,'[1]MC Masterlist 2026-09-12'!$B:$M, 10, 0),0)</f>
        <v>15</v>
      </c>
      <c r="V691" s="46">
        <f>IFERROR(VLOOKUP(A691,'[1]MC Masterlist 2026-09-12'!$B:$M, 11, 0),0)</f>
        <v>15</v>
      </c>
      <c r="W691" s="46">
        <f t="shared" si="157"/>
        <v>30</v>
      </c>
      <c r="X691" s="46">
        <f t="shared" si="158"/>
        <v>7</v>
      </c>
      <c r="Y691" s="46">
        <f>IFERROR(IF(OR(C691="AREA I",C691="AREA V"),7,VLOOKUP(A691,'[1]MC Masterlist 2026-09-12'!$B:$M, 12, 0)),0)</f>
        <v>7</v>
      </c>
      <c r="Z691" s="46">
        <f t="shared" si="159"/>
        <v>0</v>
      </c>
      <c r="AA691" s="46">
        <f t="shared" si="160"/>
        <v>0</v>
      </c>
      <c r="AB691" s="46">
        <f t="shared" si="161"/>
        <v>0</v>
      </c>
      <c r="AC691" s="46">
        <f t="shared" si="162"/>
        <v>0</v>
      </c>
      <c r="AD691" s="44" t="str">
        <f t="shared" si="163"/>
        <v>Over</v>
      </c>
      <c r="AE691" s="44" t="str">
        <f>IFERROR(VLOOKUP(A691,'[1]Re-order'!$A:$AA,27,0),"")</f>
        <v>Over</v>
      </c>
      <c r="AF691" s="46">
        <f t="shared" si="164"/>
        <v>-1</v>
      </c>
      <c r="AG691" s="46">
        <f>SUMIFS('[1]Raw Inventory'!D:D,'[1]Raw Inventory'!C:C,"GREATWALL",'[1]Raw Inventory'!B:B,A691)</f>
        <v>0</v>
      </c>
      <c r="AH691" s="46">
        <f>SUMIFS('[1]Raw Inventory'!D:D,'[1]Raw Inventory'!C:C,"DUARTE",'[1]Raw Inventory'!B:B,A691)</f>
        <v>0</v>
      </c>
      <c r="AI691" s="46"/>
      <c r="AJ691" s="46"/>
      <c r="AK691" s="43"/>
      <c r="AL691" s="43"/>
      <c r="AM691" s="43"/>
      <c r="AN691" s="43"/>
      <c r="AO691" s="43"/>
      <c r="AP691" s="43"/>
      <c r="AQ691" s="43"/>
      <c r="AR691" s="43"/>
      <c r="AS691" s="43"/>
      <c r="AT691" s="43"/>
    </row>
    <row r="692" spans="1:46">
      <c r="A692" s="43" t="s">
        <v>39</v>
      </c>
      <c r="B692" s="43" t="s">
        <v>21</v>
      </c>
      <c r="C692" s="43" t="s">
        <v>1</v>
      </c>
      <c r="D692" s="44" t="s">
        <v>235</v>
      </c>
      <c r="E692" s="44">
        <v>27</v>
      </c>
      <c r="F692" s="44" t="s">
        <v>3</v>
      </c>
      <c r="G692" s="43" t="str">
        <f>IFERROR(VLOOKUP(A692,'[1]MC Masterlist 2026-09-12'!$B:$M, 3, 0),"")</f>
        <v>HONDA</v>
      </c>
      <c r="H692" s="45">
        <f>IFERROR(VLOOKUP(A692,'[1]MC Masterlist 2026-09-12'!$B:$M, 6, 0),"")</f>
        <v>72434</v>
      </c>
      <c r="I692" s="46">
        <v>0</v>
      </c>
      <c r="J692" s="46">
        <v>1</v>
      </c>
      <c r="K692" s="46">
        <v>0</v>
      </c>
      <c r="L692" s="46">
        <f t="shared" si="150"/>
        <v>1</v>
      </c>
      <c r="M692" s="46">
        <f t="shared" si="151"/>
        <v>0.33333333333333331</v>
      </c>
      <c r="N692" s="45">
        <f t="shared" si="152"/>
        <v>72434</v>
      </c>
      <c r="O692" s="45">
        <f t="shared" si="153"/>
        <v>24144.666666666664</v>
      </c>
      <c r="P692" s="46">
        <f t="shared" si="154"/>
        <v>1.111111111111111E-2</v>
      </c>
      <c r="Q692" s="46"/>
      <c r="R692" s="45">
        <f t="shared" si="155"/>
        <v>0</v>
      </c>
      <c r="S692" s="46">
        <f t="shared" si="156"/>
        <v>0</v>
      </c>
      <c r="T692" s="46">
        <f>IFERROR(VLOOKUP(A692,'[1]Re-order'!$A:$Q,17,0),"")</f>
        <v>40.982142857142854</v>
      </c>
      <c r="U692" s="46">
        <f>IFERROR(VLOOKUP(A692,'[1]MC Masterlist 2026-09-12'!$B:$M, 10, 0),0)</f>
        <v>15</v>
      </c>
      <c r="V692" s="46">
        <f>IFERROR(VLOOKUP(A692,'[1]MC Masterlist 2026-09-12'!$B:$M, 11, 0),0)</f>
        <v>15</v>
      </c>
      <c r="W692" s="46">
        <f t="shared" si="157"/>
        <v>30</v>
      </c>
      <c r="X692" s="46">
        <f t="shared" si="158"/>
        <v>6.833333333333333</v>
      </c>
      <c r="Y692" s="46">
        <f>IFERROR(IF(OR(C692="AREA I",C692="AREA V"),7,VLOOKUP(A692,'[1]MC Masterlist 2026-09-12'!$B:$M, 12, 0)),0)</f>
        <v>7</v>
      </c>
      <c r="Z692" s="46">
        <f t="shared" si="159"/>
        <v>0.16666666666666666</v>
      </c>
      <c r="AA692" s="46">
        <f t="shared" si="160"/>
        <v>0.33333333333333331</v>
      </c>
      <c r="AB692" s="46">
        <f t="shared" si="161"/>
        <v>7.5925925925925911E-2</v>
      </c>
      <c r="AC692" s="46">
        <f t="shared" si="162"/>
        <v>7.7777777777777765E-2</v>
      </c>
      <c r="AD692" s="44" t="str">
        <f t="shared" si="163"/>
        <v>Stockout</v>
      </c>
      <c r="AE692" s="44" t="str">
        <f>IFERROR(VLOOKUP(A692,'[1]Re-order'!$A:$AA,27,0),"")</f>
        <v>Re-order</v>
      </c>
      <c r="AF692" s="46">
        <f t="shared" si="164"/>
        <v>7.7777777777777765E-2</v>
      </c>
      <c r="AG692" s="46">
        <f>SUMIFS('[1]Raw Inventory'!D:D,'[1]Raw Inventory'!C:C,"GREATWALL",'[1]Raw Inventory'!B:B,A692)</f>
        <v>16</v>
      </c>
      <c r="AH692" s="46">
        <f>SUMIFS('[1]Raw Inventory'!D:D,'[1]Raw Inventory'!C:C,"DUARTE",'[1]Raw Inventory'!B:B,A692)</f>
        <v>0</v>
      </c>
      <c r="AI692" s="46"/>
      <c r="AJ692" s="46"/>
      <c r="AK692" s="43"/>
      <c r="AL692" s="43"/>
      <c r="AM692" s="43"/>
      <c r="AN692" s="43"/>
      <c r="AO692" s="43"/>
      <c r="AP692" s="43"/>
      <c r="AQ692" s="43"/>
      <c r="AR692" s="43"/>
      <c r="AS692" s="43"/>
      <c r="AT692" s="43"/>
    </row>
    <row r="693" spans="1:46">
      <c r="A693" s="43" t="s">
        <v>52</v>
      </c>
      <c r="B693" s="43" t="s">
        <v>142</v>
      </c>
      <c r="C693" s="43" t="s">
        <v>137</v>
      </c>
      <c r="D693" s="44" t="s">
        <v>268</v>
      </c>
      <c r="E693" s="44">
        <v>20</v>
      </c>
      <c r="F693" s="44" t="s">
        <v>3</v>
      </c>
      <c r="G693" s="43" t="str">
        <f>IFERROR(VLOOKUP(A693,'[1]MC Masterlist 2026-09-12'!$B:$M, 3, 0),"")</f>
        <v>YAMAHA</v>
      </c>
      <c r="H693" s="45">
        <f>IFERROR(VLOOKUP(A693,'[1]MC Masterlist 2026-09-12'!$B:$M, 6, 0),"")</f>
        <v>85446</v>
      </c>
      <c r="I693" s="46">
        <v>1</v>
      </c>
      <c r="J693" s="46">
        <v>0</v>
      </c>
      <c r="K693" s="46">
        <v>0</v>
      </c>
      <c r="L693" s="46">
        <f t="shared" si="150"/>
        <v>1</v>
      </c>
      <c r="M693" s="46">
        <f t="shared" si="151"/>
        <v>0.33333333333333331</v>
      </c>
      <c r="N693" s="45">
        <f t="shared" si="152"/>
        <v>85446</v>
      </c>
      <c r="O693" s="45">
        <f t="shared" si="153"/>
        <v>28482</v>
      </c>
      <c r="P693" s="46">
        <f t="shared" si="154"/>
        <v>1.111111111111111E-2</v>
      </c>
      <c r="Q693" s="46">
        <v>3</v>
      </c>
      <c r="R693" s="45">
        <f t="shared" si="155"/>
        <v>256338</v>
      </c>
      <c r="S693" s="46">
        <f t="shared" si="156"/>
        <v>270</v>
      </c>
      <c r="T693" s="46">
        <f>IFERROR(VLOOKUP(A693,'[1]Re-order'!$A:$Q,17,0),"")</f>
        <v>95.454545454545453</v>
      </c>
      <c r="U693" s="46">
        <f>IFERROR(VLOOKUP(A693,'[1]MC Masterlist 2026-09-12'!$B:$M, 10, 0),0)</f>
        <v>15</v>
      </c>
      <c r="V693" s="46">
        <f>IFERROR(VLOOKUP(A693,'[1]MC Masterlist 2026-09-12'!$B:$M, 11, 0),0)</f>
        <v>15</v>
      </c>
      <c r="W693" s="46">
        <f t="shared" si="157"/>
        <v>30</v>
      </c>
      <c r="X693" s="46">
        <f t="shared" si="158"/>
        <v>6.833333333333333</v>
      </c>
      <c r="Y693" s="46">
        <f>IFERROR(IF(OR(C693="AREA I",C693="AREA V"),7,VLOOKUP(A693,'[1]MC Masterlist 2026-09-12'!$B:$M, 12, 0)),0)</f>
        <v>7</v>
      </c>
      <c r="Z693" s="46">
        <f t="shared" si="159"/>
        <v>0.16666666666666666</v>
      </c>
      <c r="AA693" s="46">
        <f t="shared" si="160"/>
        <v>0.33333333333333331</v>
      </c>
      <c r="AB693" s="46">
        <f t="shared" si="161"/>
        <v>7.5925925925925911E-2</v>
      </c>
      <c r="AC693" s="46">
        <f t="shared" si="162"/>
        <v>7.7777777777777765E-2</v>
      </c>
      <c r="AD693" s="44" t="str">
        <f t="shared" si="163"/>
        <v>Over</v>
      </c>
      <c r="AE693" s="44" t="str">
        <f>IFERROR(VLOOKUP(A693,'[1]Re-order'!$A:$AA,27,0),"")</f>
        <v>Over</v>
      </c>
      <c r="AF693" s="46">
        <f t="shared" si="164"/>
        <v>-2.9222222222222221</v>
      </c>
      <c r="AG693" s="46">
        <f>SUMIFS('[1]Raw Inventory'!D:D,'[1]Raw Inventory'!C:C,"GREATWALL",'[1]Raw Inventory'!B:B,A693)</f>
        <v>0</v>
      </c>
      <c r="AH693" s="46">
        <f>SUMIFS('[1]Raw Inventory'!D:D,'[1]Raw Inventory'!C:C,"DUARTE",'[1]Raw Inventory'!B:B,A693)</f>
        <v>0</v>
      </c>
      <c r="AI693" s="46"/>
      <c r="AJ693" s="46"/>
      <c r="AK693" s="43"/>
      <c r="AL693" s="43"/>
      <c r="AM693" s="43"/>
      <c r="AN693" s="43"/>
      <c r="AO693" s="43"/>
      <c r="AP693" s="43"/>
      <c r="AQ693" s="43"/>
      <c r="AR693" s="43"/>
      <c r="AS693" s="43"/>
      <c r="AT693" s="43"/>
    </row>
    <row r="694" spans="1:46">
      <c r="A694" s="43" t="s">
        <v>54</v>
      </c>
      <c r="B694" s="43" t="s">
        <v>140</v>
      </c>
      <c r="C694" s="43" t="s">
        <v>137</v>
      </c>
      <c r="D694" s="44" t="s">
        <v>237</v>
      </c>
      <c r="E694" s="44">
        <v>15</v>
      </c>
      <c r="F694" s="44" t="s">
        <v>3</v>
      </c>
      <c r="G694" s="43" t="str">
        <f>IFERROR(VLOOKUP(A694,'[1]MC Masterlist 2026-09-12'!$B:$M, 3, 0),"")</f>
        <v>HONDA</v>
      </c>
      <c r="H694" s="45">
        <f>IFERROR(VLOOKUP(A694,'[1]MC Masterlist 2026-09-12'!$B:$M, 6, 0),"")</f>
        <v>70998</v>
      </c>
      <c r="I694" s="46">
        <v>0</v>
      </c>
      <c r="J694" s="46">
        <v>0</v>
      </c>
      <c r="K694" s="46">
        <v>0</v>
      </c>
      <c r="L694" s="46">
        <f t="shared" si="150"/>
        <v>0</v>
      </c>
      <c r="M694" s="46">
        <f t="shared" si="151"/>
        <v>0</v>
      </c>
      <c r="N694" s="45">
        <f t="shared" si="152"/>
        <v>0</v>
      </c>
      <c r="O694" s="45">
        <f t="shared" si="153"/>
        <v>0</v>
      </c>
      <c r="P694" s="46">
        <f t="shared" si="154"/>
        <v>0</v>
      </c>
      <c r="Q694" s="46">
        <v>4</v>
      </c>
      <c r="R694" s="45">
        <f t="shared" si="155"/>
        <v>283992</v>
      </c>
      <c r="S694" s="46">
        <f t="shared" si="156"/>
        <v>0</v>
      </c>
      <c r="T694" s="46">
        <f>IFERROR(VLOOKUP(A694,'[1]Re-order'!$A:$Q,17,0),"")</f>
        <v>114.54545454545455</v>
      </c>
      <c r="U694" s="46">
        <f>IFERROR(VLOOKUP(A694,'[1]MC Masterlist 2026-09-12'!$B:$M, 10, 0),0)</f>
        <v>15</v>
      </c>
      <c r="V694" s="46">
        <f>IFERROR(VLOOKUP(A694,'[1]MC Masterlist 2026-09-12'!$B:$M, 11, 0),0)</f>
        <v>15</v>
      </c>
      <c r="W694" s="46">
        <f t="shared" si="157"/>
        <v>30</v>
      </c>
      <c r="X694" s="46">
        <f t="shared" si="158"/>
        <v>7</v>
      </c>
      <c r="Y694" s="46">
        <f>IFERROR(IF(OR(C694="AREA I",C694="AREA V"),7,VLOOKUP(A694,'[1]MC Masterlist 2026-09-12'!$B:$M, 12, 0)),0)</f>
        <v>7</v>
      </c>
      <c r="Z694" s="46">
        <f t="shared" si="159"/>
        <v>0</v>
      </c>
      <c r="AA694" s="46">
        <f t="shared" si="160"/>
        <v>0</v>
      </c>
      <c r="AB694" s="46">
        <f t="shared" si="161"/>
        <v>0</v>
      </c>
      <c r="AC694" s="46">
        <f t="shared" si="162"/>
        <v>0</v>
      </c>
      <c r="AD694" s="44" t="str">
        <f t="shared" si="163"/>
        <v>Over</v>
      </c>
      <c r="AE694" s="44" t="str">
        <f>IFERROR(VLOOKUP(A694,'[1]Re-order'!$A:$AA,27,0),"")</f>
        <v>Over</v>
      </c>
      <c r="AF694" s="46">
        <f t="shared" si="164"/>
        <v>-4</v>
      </c>
      <c r="AG694" s="46">
        <f>SUMIFS('[1]Raw Inventory'!D:D,'[1]Raw Inventory'!C:C,"GREATWALL",'[1]Raw Inventory'!B:B,A694)</f>
        <v>0</v>
      </c>
      <c r="AH694" s="46">
        <f>SUMIFS('[1]Raw Inventory'!D:D,'[1]Raw Inventory'!C:C,"DUARTE",'[1]Raw Inventory'!B:B,A694)</f>
        <v>0</v>
      </c>
      <c r="AI694" s="46"/>
      <c r="AJ694" s="46"/>
      <c r="AK694" s="43"/>
      <c r="AL694" s="43"/>
      <c r="AM694" s="43"/>
      <c r="AN694" s="43"/>
      <c r="AO694" s="43"/>
      <c r="AP694" s="43"/>
      <c r="AQ694" s="43"/>
      <c r="AR694" s="43"/>
      <c r="AS694" s="43"/>
      <c r="AT694" s="43"/>
    </row>
    <row r="695" spans="1:46">
      <c r="A695" s="43" t="s">
        <v>104</v>
      </c>
      <c r="B695" s="43" t="s">
        <v>145</v>
      </c>
      <c r="C695" s="43" t="s">
        <v>137</v>
      </c>
      <c r="D695" s="44" t="s">
        <v>231</v>
      </c>
      <c r="E695" s="44">
        <v>28</v>
      </c>
      <c r="F695" s="44" t="s">
        <v>3</v>
      </c>
      <c r="G695" s="43" t="str">
        <f>IFERROR(VLOOKUP(A695,'[1]MC Masterlist 2026-09-12'!$B:$M, 3, 0),"")</f>
        <v>SUZUKI</v>
      </c>
      <c r="H695" s="45">
        <f>IFERROR(VLOOKUP(A695,'[1]MC Masterlist 2026-09-12'!$B:$M, 6, 0),"")</f>
        <v>71062</v>
      </c>
      <c r="I695" s="46">
        <v>0</v>
      </c>
      <c r="J695" s="46">
        <v>0</v>
      </c>
      <c r="K695" s="46">
        <v>0</v>
      </c>
      <c r="L695" s="46">
        <f t="shared" si="150"/>
        <v>0</v>
      </c>
      <c r="M695" s="46">
        <f t="shared" si="151"/>
        <v>0</v>
      </c>
      <c r="N695" s="45">
        <f t="shared" si="152"/>
        <v>0</v>
      </c>
      <c r="O695" s="45">
        <f t="shared" si="153"/>
        <v>0</v>
      </c>
      <c r="P695" s="46">
        <f t="shared" si="154"/>
        <v>0</v>
      </c>
      <c r="Q695" s="46">
        <v>1</v>
      </c>
      <c r="R695" s="45">
        <f t="shared" si="155"/>
        <v>71062</v>
      </c>
      <c r="S695" s="46">
        <f t="shared" si="156"/>
        <v>0</v>
      </c>
      <c r="T695" s="46">
        <f>IFERROR(VLOOKUP(A695,'[1]Re-order'!$A:$Q,17,0),"")</f>
        <v>225</v>
      </c>
      <c r="U695" s="46">
        <f>IFERROR(VLOOKUP(A695,'[1]MC Masterlist 2026-09-12'!$B:$M, 10, 0),0)</f>
        <v>15</v>
      </c>
      <c r="V695" s="46">
        <f>IFERROR(VLOOKUP(A695,'[1]MC Masterlist 2026-09-12'!$B:$M, 11, 0),0)</f>
        <v>15</v>
      </c>
      <c r="W695" s="46">
        <f t="shared" si="157"/>
        <v>30</v>
      </c>
      <c r="X695" s="46">
        <f t="shared" si="158"/>
        <v>7</v>
      </c>
      <c r="Y695" s="46">
        <f>IFERROR(IF(OR(C695="AREA I",C695="AREA V"),7,VLOOKUP(A695,'[1]MC Masterlist 2026-09-12'!$B:$M, 12, 0)),0)</f>
        <v>7</v>
      </c>
      <c r="Z695" s="46">
        <f t="shared" si="159"/>
        <v>0</v>
      </c>
      <c r="AA695" s="46">
        <f t="shared" si="160"/>
        <v>0</v>
      </c>
      <c r="AB695" s="46">
        <f t="shared" si="161"/>
        <v>0</v>
      </c>
      <c r="AC695" s="46">
        <f t="shared" si="162"/>
        <v>0</v>
      </c>
      <c r="AD695" s="44" t="str">
        <f t="shared" si="163"/>
        <v>Over</v>
      </c>
      <c r="AE695" s="44" t="str">
        <f>IFERROR(VLOOKUP(A695,'[1]Re-order'!$A:$AA,27,0),"")</f>
        <v>Over</v>
      </c>
      <c r="AF695" s="46">
        <f t="shared" si="164"/>
        <v>-1</v>
      </c>
      <c r="AG695" s="46">
        <f>SUMIFS('[1]Raw Inventory'!D:D,'[1]Raw Inventory'!C:C,"GREATWALL",'[1]Raw Inventory'!B:B,A695)</f>
        <v>0</v>
      </c>
      <c r="AH695" s="46">
        <f>SUMIFS('[1]Raw Inventory'!D:D,'[1]Raw Inventory'!C:C,"DUARTE",'[1]Raw Inventory'!B:B,A695)</f>
        <v>0</v>
      </c>
      <c r="AI695" s="46"/>
      <c r="AJ695" s="46"/>
      <c r="AK695" s="43"/>
      <c r="AL695" s="43"/>
      <c r="AM695" s="43"/>
      <c r="AN695" s="43"/>
      <c r="AO695" s="43"/>
      <c r="AP695" s="43"/>
      <c r="AQ695" s="43"/>
      <c r="AR695" s="43"/>
      <c r="AS695" s="43"/>
      <c r="AT695" s="43"/>
    </row>
    <row r="696" spans="1:46">
      <c r="A696" s="43" t="s">
        <v>18</v>
      </c>
      <c r="B696" s="43" t="s">
        <v>97</v>
      </c>
      <c r="C696" s="43" t="s">
        <v>90</v>
      </c>
      <c r="D696" s="44" t="s">
        <v>223</v>
      </c>
      <c r="E696" s="44">
        <v>13</v>
      </c>
      <c r="F696" s="44" t="s">
        <v>3</v>
      </c>
      <c r="G696" s="43" t="str">
        <f>IFERROR(VLOOKUP(A696,'[1]MC Masterlist 2026-09-12'!$B:$M, 3, 0),"")</f>
        <v>HONDA</v>
      </c>
      <c r="H696" s="45">
        <f>IFERROR(VLOOKUP(A696,'[1]MC Masterlist 2026-09-12'!$B:$M, 6, 0),"")</f>
        <v>94330</v>
      </c>
      <c r="I696" s="46">
        <v>0</v>
      </c>
      <c r="J696" s="46">
        <v>1</v>
      </c>
      <c r="K696" s="46">
        <v>0</v>
      </c>
      <c r="L696" s="46">
        <f t="shared" si="150"/>
        <v>1</v>
      </c>
      <c r="M696" s="46">
        <f t="shared" si="151"/>
        <v>0.33333333333333331</v>
      </c>
      <c r="N696" s="45">
        <f t="shared" si="152"/>
        <v>94330</v>
      </c>
      <c r="O696" s="45">
        <f t="shared" si="153"/>
        <v>31443.333333333332</v>
      </c>
      <c r="P696" s="46">
        <f t="shared" si="154"/>
        <v>1.111111111111111E-2</v>
      </c>
      <c r="Q696" s="46">
        <v>3</v>
      </c>
      <c r="R696" s="45">
        <f t="shared" si="155"/>
        <v>282990</v>
      </c>
      <c r="S696" s="46">
        <f t="shared" si="156"/>
        <v>270</v>
      </c>
      <c r="T696" s="46">
        <f>IFERROR(VLOOKUP(A696,'[1]Re-order'!$A:$Q,17,0),"")</f>
        <v>113.9644970414201</v>
      </c>
      <c r="U696" s="46">
        <f>IFERROR(VLOOKUP(A696,'[1]MC Masterlist 2026-09-12'!$B:$M, 10, 0),0)</f>
        <v>15</v>
      </c>
      <c r="V696" s="46">
        <f>IFERROR(VLOOKUP(A696,'[1]MC Masterlist 2026-09-12'!$B:$M, 11, 0),0)</f>
        <v>15</v>
      </c>
      <c r="W696" s="46">
        <f t="shared" si="157"/>
        <v>30</v>
      </c>
      <c r="X696" s="46">
        <f t="shared" si="158"/>
        <v>29.833333333333332</v>
      </c>
      <c r="Y696" s="46">
        <f>IFERROR(IF(OR(C696="AREA I",C696="AREA V"),7,VLOOKUP(A696,'[1]MC Masterlist 2026-09-12'!$B:$M, 12, 0)),0)</f>
        <v>30</v>
      </c>
      <c r="Z696" s="46">
        <f t="shared" si="159"/>
        <v>0.16666666666666666</v>
      </c>
      <c r="AA696" s="46">
        <f t="shared" si="160"/>
        <v>0.33333333333333331</v>
      </c>
      <c r="AB696" s="46">
        <f t="shared" si="161"/>
        <v>0.33148148148148143</v>
      </c>
      <c r="AC696" s="46">
        <f t="shared" si="162"/>
        <v>0.33333333333333331</v>
      </c>
      <c r="AD696" s="44" t="str">
        <f t="shared" si="163"/>
        <v>Over</v>
      </c>
      <c r="AE696" s="44" t="str">
        <f>IFERROR(VLOOKUP(A696,'[1]Re-order'!$A:$AA,27,0),"")</f>
        <v>Over</v>
      </c>
      <c r="AF696" s="46">
        <f t="shared" si="164"/>
        <v>-2.6666666666666665</v>
      </c>
      <c r="AG696" s="46">
        <f>SUMIFS('[1]Raw Inventory'!D:D,'[1]Raw Inventory'!C:C,"GREATWALL",'[1]Raw Inventory'!B:B,A696)</f>
        <v>88</v>
      </c>
      <c r="AH696" s="46">
        <f>SUMIFS('[1]Raw Inventory'!D:D,'[1]Raw Inventory'!C:C,"DUARTE",'[1]Raw Inventory'!B:B,A696)</f>
        <v>0</v>
      </c>
      <c r="AI696" s="46"/>
      <c r="AJ696" s="46"/>
      <c r="AK696" s="43"/>
      <c r="AL696" s="43"/>
      <c r="AM696" s="43"/>
      <c r="AN696" s="43"/>
      <c r="AO696" s="43"/>
      <c r="AP696" s="43"/>
      <c r="AQ696" s="43"/>
      <c r="AR696" s="43"/>
      <c r="AS696" s="43"/>
      <c r="AT696" s="43"/>
    </row>
    <row r="697" spans="1:46">
      <c r="A697" s="43" t="s">
        <v>46</v>
      </c>
      <c r="B697" s="43" t="s">
        <v>111</v>
      </c>
      <c r="C697" s="43" t="s">
        <v>109</v>
      </c>
      <c r="D697" s="44" t="s">
        <v>265</v>
      </c>
      <c r="E697" s="44">
        <v>29</v>
      </c>
      <c r="F697" s="44" t="s">
        <v>3</v>
      </c>
      <c r="G697" s="43" t="str">
        <f>IFERROR(VLOOKUP(A697,'[1]MC Masterlist 2026-09-12'!$B:$M, 3, 0),"")</f>
        <v>HONDA</v>
      </c>
      <c r="H697" s="45">
        <f>IFERROR(VLOOKUP(A697,'[1]MC Masterlist 2026-09-12'!$B:$M, 6, 0),"")</f>
        <v>73630</v>
      </c>
      <c r="I697" s="46">
        <v>0</v>
      </c>
      <c r="J697" s="46">
        <v>0</v>
      </c>
      <c r="K697" s="46">
        <v>0</v>
      </c>
      <c r="L697" s="46">
        <f t="shared" si="150"/>
        <v>0</v>
      </c>
      <c r="M697" s="46">
        <f t="shared" si="151"/>
        <v>0</v>
      </c>
      <c r="N697" s="45">
        <f t="shared" si="152"/>
        <v>0</v>
      </c>
      <c r="O697" s="45">
        <f t="shared" si="153"/>
        <v>0</v>
      </c>
      <c r="P697" s="46">
        <f t="shared" si="154"/>
        <v>0</v>
      </c>
      <c r="Q697" s="46">
        <v>2</v>
      </c>
      <c r="R697" s="45">
        <f t="shared" si="155"/>
        <v>147260</v>
      </c>
      <c r="S697" s="46">
        <f t="shared" si="156"/>
        <v>0</v>
      </c>
      <c r="T697" s="46">
        <f>IFERROR(VLOOKUP(A697,'[1]Re-order'!$A:$Q,17,0),"")</f>
        <v>51</v>
      </c>
      <c r="U697" s="46">
        <f>IFERROR(VLOOKUP(A697,'[1]MC Masterlist 2026-09-12'!$B:$M, 10, 0),0)</f>
        <v>15</v>
      </c>
      <c r="V697" s="46">
        <f>IFERROR(VLOOKUP(A697,'[1]MC Masterlist 2026-09-12'!$B:$M, 11, 0),0)</f>
        <v>15</v>
      </c>
      <c r="W697" s="46">
        <f t="shared" si="157"/>
        <v>30</v>
      </c>
      <c r="X697" s="46">
        <f t="shared" si="158"/>
        <v>30</v>
      </c>
      <c r="Y697" s="46">
        <f>IFERROR(IF(OR(C697="AREA I",C697="AREA V"),7,VLOOKUP(A697,'[1]MC Masterlist 2026-09-12'!$B:$M, 12, 0)),0)</f>
        <v>30</v>
      </c>
      <c r="Z697" s="46">
        <f t="shared" si="159"/>
        <v>0</v>
      </c>
      <c r="AA697" s="46">
        <f t="shared" si="160"/>
        <v>0</v>
      </c>
      <c r="AB697" s="46">
        <f t="shared" si="161"/>
        <v>0</v>
      </c>
      <c r="AC697" s="46">
        <f t="shared" si="162"/>
        <v>0</v>
      </c>
      <c r="AD697" s="44" t="str">
        <f t="shared" si="163"/>
        <v>Over</v>
      </c>
      <c r="AE697" s="44" t="str">
        <f>IFERROR(VLOOKUP(A697,'[1]Re-order'!$A:$AA,27,0),"")</f>
        <v>Re-order</v>
      </c>
      <c r="AF697" s="46">
        <f t="shared" si="164"/>
        <v>-2</v>
      </c>
      <c r="AG697" s="46">
        <f>SUMIFS('[1]Raw Inventory'!D:D,'[1]Raw Inventory'!C:C,"GREATWALL",'[1]Raw Inventory'!B:B,A697)</f>
        <v>0</v>
      </c>
      <c r="AH697" s="46">
        <f>SUMIFS('[1]Raw Inventory'!D:D,'[1]Raw Inventory'!C:C,"DUARTE",'[1]Raw Inventory'!B:B,A697)</f>
        <v>0</v>
      </c>
      <c r="AI697" s="46"/>
      <c r="AJ697" s="46"/>
      <c r="AK697" s="43"/>
      <c r="AL697" s="43"/>
      <c r="AM697" s="43"/>
      <c r="AN697" s="43"/>
      <c r="AO697" s="43"/>
      <c r="AP697" s="43"/>
      <c r="AQ697" s="43"/>
      <c r="AR697" s="43"/>
      <c r="AS697" s="43"/>
      <c r="AT697" s="43"/>
    </row>
    <row r="698" spans="1:46">
      <c r="A698" s="43" t="s">
        <v>22</v>
      </c>
      <c r="B698" s="43" t="s">
        <v>129</v>
      </c>
      <c r="C698" s="43" t="s">
        <v>128</v>
      </c>
      <c r="D698" s="44" t="s">
        <v>236</v>
      </c>
      <c r="E698" s="44">
        <v>7</v>
      </c>
      <c r="F698" s="44" t="s">
        <v>2</v>
      </c>
      <c r="G698" s="43" t="str">
        <f>IFERROR(VLOOKUP(A698,'[1]MC Masterlist 2026-09-12'!$B:$M, 3, 0),"")</f>
        <v>HONDA</v>
      </c>
      <c r="H698" s="45">
        <f>IFERROR(VLOOKUP(A698,'[1]MC Masterlist 2026-09-12'!$B:$M, 6, 0),"")</f>
        <v>111258</v>
      </c>
      <c r="I698" s="46">
        <v>3</v>
      </c>
      <c r="J698" s="46">
        <v>4</v>
      </c>
      <c r="K698" s="46">
        <v>4</v>
      </c>
      <c r="L698" s="46">
        <f t="shared" si="150"/>
        <v>11</v>
      </c>
      <c r="M698" s="46">
        <f t="shared" si="151"/>
        <v>3.6666666666666665</v>
      </c>
      <c r="N698" s="45">
        <f t="shared" si="152"/>
        <v>1223838</v>
      </c>
      <c r="O698" s="45">
        <f t="shared" si="153"/>
        <v>407946</v>
      </c>
      <c r="P698" s="46">
        <f t="shared" si="154"/>
        <v>0.12222222222222222</v>
      </c>
      <c r="Q698" s="46">
        <v>1</v>
      </c>
      <c r="R698" s="45">
        <f t="shared" si="155"/>
        <v>111258</v>
      </c>
      <c r="S698" s="46">
        <f t="shared" si="156"/>
        <v>8.1818181818181817</v>
      </c>
      <c r="T698" s="46">
        <f>IFERROR(VLOOKUP(A698,'[1]Re-order'!$A:$Q,17,0),"")</f>
        <v>41.339712918660283</v>
      </c>
      <c r="U698" s="46">
        <f>IFERROR(VLOOKUP(A698,'[1]MC Masterlist 2026-09-12'!$B:$M, 10, 0),0)</f>
        <v>15</v>
      </c>
      <c r="V698" s="46">
        <f>IFERROR(VLOOKUP(A698,'[1]MC Masterlist 2026-09-12'!$B:$M, 11, 0),0)</f>
        <v>15</v>
      </c>
      <c r="W698" s="46">
        <f t="shared" si="157"/>
        <v>30</v>
      </c>
      <c r="X698" s="46">
        <f t="shared" si="158"/>
        <v>28.166666666666668</v>
      </c>
      <c r="Y698" s="46">
        <f>IFERROR(IF(OR(C698="AREA I",C698="AREA V"),7,VLOOKUP(A698,'[1]MC Masterlist 2026-09-12'!$B:$M, 12, 0)),0)</f>
        <v>30</v>
      </c>
      <c r="Z698" s="46">
        <f t="shared" si="159"/>
        <v>1.8333333333333333</v>
      </c>
      <c r="AA698" s="46">
        <f t="shared" si="160"/>
        <v>3.6666666666666665</v>
      </c>
      <c r="AB698" s="46">
        <f t="shared" si="161"/>
        <v>3.4425925925925926</v>
      </c>
      <c r="AC698" s="46">
        <f t="shared" si="162"/>
        <v>3.6666666666666665</v>
      </c>
      <c r="AD698" s="44" t="str">
        <f t="shared" si="163"/>
        <v>Stockout</v>
      </c>
      <c r="AE698" s="44" t="str">
        <f>IFERROR(VLOOKUP(A698,'[1]Re-order'!$A:$AA,27,0),"")</f>
        <v>Re-order</v>
      </c>
      <c r="AF698" s="46">
        <f t="shared" si="164"/>
        <v>2.6666666666666665</v>
      </c>
      <c r="AG698" s="46">
        <f>SUMIFS('[1]Raw Inventory'!D:D,'[1]Raw Inventory'!C:C,"GREATWALL",'[1]Raw Inventory'!B:B,A698)</f>
        <v>4</v>
      </c>
      <c r="AH698" s="46">
        <f>SUMIFS('[1]Raw Inventory'!D:D,'[1]Raw Inventory'!C:C,"DUARTE",'[1]Raw Inventory'!B:B,A698)</f>
        <v>0</v>
      </c>
      <c r="AI698" s="46"/>
      <c r="AJ698" s="46"/>
      <c r="AK698" s="43"/>
      <c r="AL698" s="43"/>
      <c r="AM698" s="43"/>
      <c r="AN698" s="43"/>
      <c r="AO698" s="43"/>
      <c r="AP698" s="43"/>
      <c r="AQ698" s="43"/>
      <c r="AR698" s="43"/>
      <c r="AS698" s="43"/>
      <c r="AT698" s="43"/>
    </row>
    <row r="699" spans="1:46">
      <c r="A699" s="43" t="s">
        <v>14</v>
      </c>
      <c r="B699" s="43" t="s">
        <v>120</v>
      </c>
      <c r="C699" s="43" t="s">
        <v>118</v>
      </c>
      <c r="D699" s="44" t="s">
        <v>227</v>
      </c>
      <c r="E699" s="44">
        <v>1</v>
      </c>
      <c r="F699" s="44" t="s">
        <v>0</v>
      </c>
      <c r="G699" s="43" t="str">
        <f>IFERROR(VLOOKUP(A699,'[1]MC Masterlist 2026-09-12'!$B:$M, 3, 0),"")</f>
        <v>HONDA</v>
      </c>
      <c r="H699" s="45">
        <f>IFERROR(VLOOKUP(A699,'[1]MC Masterlist 2026-09-12'!$B:$M, 6, 0),"")</f>
        <v>80070</v>
      </c>
      <c r="I699" s="46">
        <v>8</v>
      </c>
      <c r="J699" s="46">
        <v>4</v>
      </c>
      <c r="K699" s="46">
        <v>8</v>
      </c>
      <c r="L699" s="46">
        <f t="shared" si="150"/>
        <v>20</v>
      </c>
      <c r="M699" s="46">
        <f t="shared" si="151"/>
        <v>6.666666666666667</v>
      </c>
      <c r="N699" s="45">
        <f t="shared" si="152"/>
        <v>1601400</v>
      </c>
      <c r="O699" s="45">
        <f t="shared" si="153"/>
        <v>533800</v>
      </c>
      <c r="P699" s="46">
        <f t="shared" si="154"/>
        <v>0.22222222222222224</v>
      </c>
      <c r="Q699" s="46">
        <v>7</v>
      </c>
      <c r="R699" s="45">
        <f t="shared" si="155"/>
        <v>560490</v>
      </c>
      <c r="S699" s="46">
        <f t="shared" si="156"/>
        <v>31.5</v>
      </c>
      <c r="T699" s="46">
        <f>IFERROR(VLOOKUP(A699,'[1]Re-order'!$A:$Q,17,0),"")</f>
        <v>20.105787181082761</v>
      </c>
      <c r="U699" s="46">
        <f>IFERROR(VLOOKUP(A699,'[1]MC Masterlist 2026-09-12'!$B:$M, 10, 0),0)</f>
        <v>15</v>
      </c>
      <c r="V699" s="46">
        <f>IFERROR(VLOOKUP(A699,'[1]MC Masterlist 2026-09-12'!$B:$M, 11, 0),0)</f>
        <v>15</v>
      </c>
      <c r="W699" s="46">
        <f t="shared" si="157"/>
        <v>30</v>
      </c>
      <c r="X699" s="46">
        <f t="shared" si="158"/>
        <v>26.666666666666668</v>
      </c>
      <c r="Y699" s="46">
        <f>IFERROR(IF(OR(C699="AREA I",C699="AREA V"),7,VLOOKUP(A699,'[1]MC Masterlist 2026-09-12'!$B:$M, 12, 0)),0)</f>
        <v>30</v>
      </c>
      <c r="Z699" s="46">
        <f t="shared" si="159"/>
        <v>3.3333333333333335</v>
      </c>
      <c r="AA699" s="46">
        <f t="shared" si="160"/>
        <v>6.666666666666667</v>
      </c>
      <c r="AB699" s="46">
        <f t="shared" si="161"/>
        <v>5.9259259259259265</v>
      </c>
      <c r="AC699" s="46">
        <f t="shared" si="162"/>
        <v>6.666666666666667</v>
      </c>
      <c r="AD699" s="44" t="str">
        <f t="shared" si="163"/>
        <v>Over</v>
      </c>
      <c r="AE699" s="44" t="str">
        <f>IFERROR(VLOOKUP(A699,'[1]Re-order'!$A:$AA,27,0),"")</f>
        <v>Stockout</v>
      </c>
      <c r="AF699" s="46">
        <f t="shared" si="164"/>
        <v>-0.33333333333333304</v>
      </c>
      <c r="AG699" s="46">
        <f>SUMIFS('[1]Raw Inventory'!D:D,'[1]Raw Inventory'!C:C,"GREATWALL",'[1]Raw Inventory'!B:B,A699)</f>
        <v>176</v>
      </c>
      <c r="AH699" s="46">
        <f>SUMIFS('[1]Raw Inventory'!D:D,'[1]Raw Inventory'!C:C,"DUARTE",'[1]Raw Inventory'!B:B,A699)</f>
        <v>0</v>
      </c>
      <c r="AI699" s="46"/>
      <c r="AJ699" s="46"/>
      <c r="AK699" s="43"/>
      <c r="AL699" s="43"/>
      <c r="AM699" s="43"/>
      <c r="AN699" s="43"/>
      <c r="AO699" s="43"/>
      <c r="AP699" s="43"/>
      <c r="AQ699" s="43"/>
      <c r="AR699" s="43"/>
      <c r="AS699" s="43"/>
      <c r="AT699" s="43"/>
    </row>
    <row r="700" spans="1:46">
      <c r="A700" s="43" t="s">
        <v>22</v>
      </c>
      <c r="B700" s="43" t="s">
        <v>21</v>
      </c>
      <c r="C700" s="43" t="s">
        <v>1</v>
      </c>
      <c r="D700" s="44" t="s">
        <v>264</v>
      </c>
      <c r="E700" s="44">
        <v>7</v>
      </c>
      <c r="F700" s="44" t="s">
        <v>0</v>
      </c>
      <c r="G700" s="43" t="str">
        <f>IFERROR(VLOOKUP(A700,'[1]MC Masterlist 2026-09-12'!$B:$M, 3, 0),"")</f>
        <v>HONDA</v>
      </c>
      <c r="H700" s="45">
        <f>IFERROR(VLOOKUP(A700,'[1]MC Masterlist 2026-09-12'!$B:$M, 6, 0),"")</f>
        <v>111258</v>
      </c>
      <c r="I700" s="46">
        <v>2</v>
      </c>
      <c r="J700" s="46">
        <v>1</v>
      </c>
      <c r="K700" s="46">
        <v>3</v>
      </c>
      <c r="L700" s="46">
        <f t="shared" si="150"/>
        <v>6</v>
      </c>
      <c r="M700" s="46">
        <f t="shared" si="151"/>
        <v>2</v>
      </c>
      <c r="N700" s="45">
        <f t="shared" si="152"/>
        <v>667548</v>
      </c>
      <c r="O700" s="45">
        <f t="shared" si="153"/>
        <v>222516</v>
      </c>
      <c r="P700" s="46">
        <f t="shared" si="154"/>
        <v>6.6666666666666666E-2</v>
      </c>
      <c r="Q700" s="46">
        <v>2</v>
      </c>
      <c r="R700" s="45">
        <f t="shared" si="155"/>
        <v>222516</v>
      </c>
      <c r="S700" s="46">
        <f t="shared" si="156"/>
        <v>30</v>
      </c>
      <c r="T700" s="46">
        <f>IFERROR(VLOOKUP(A700,'[1]Re-order'!$A:$Q,17,0),"")</f>
        <v>41.339712918660283</v>
      </c>
      <c r="U700" s="46">
        <f>IFERROR(VLOOKUP(A700,'[1]MC Masterlist 2026-09-12'!$B:$M, 10, 0),0)</f>
        <v>15</v>
      </c>
      <c r="V700" s="46">
        <f>IFERROR(VLOOKUP(A700,'[1]MC Masterlist 2026-09-12'!$B:$M, 11, 0),0)</f>
        <v>15</v>
      </c>
      <c r="W700" s="46">
        <f t="shared" si="157"/>
        <v>30</v>
      </c>
      <c r="X700" s="46">
        <f t="shared" si="158"/>
        <v>6</v>
      </c>
      <c r="Y700" s="46">
        <f>IFERROR(IF(OR(C700="AREA I",C700="AREA V"),7,VLOOKUP(A700,'[1]MC Masterlist 2026-09-12'!$B:$M, 12, 0)),0)</f>
        <v>7</v>
      </c>
      <c r="Z700" s="46">
        <f t="shared" si="159"/>
        <v>1</v>
      </c>
      <c r="AA700" s="46">
        <f t="shared" si="160"/>
        <v>2</v>
      </c>
      <c r="AB700" s="46">
        <f t="shared" si="161"/>
        <v>0.4</v>
      </c>
      <c r="AC700" s="46">
        <f t="shared" si="162"/>
        <v>0.46666666666666667</v>
      </c>
      <c r="AD700" s="44" t="str">
        <f t="shared" si="163"/>
        <v>Over</v>
      </c>
      <c r="AE700" s="44" t="str">
        <f>IFERROR(VLOOKUP(A700,'[1]Re-order'!$A:$AA,27,0),"")</f>
        <v>Re-order</v>
      </c>
      <c r="AF700" s="46">
        <f t="shared" si="164"/>
        <v>-1.5333333333333332</v>
      </c>
      <c r="AG700" s="46">
        <f>SUMIFS('[1]Raw Inventory'!D:D,'[1]Raw Inventory'!C:C,"GREATWALL",'[1]Raw Inventory'!B:B,A700)</f>
        <v>4</v>
      </c>
      <c r="AH700" s="46">
        <f>SUMIFS('[1]Raw Inventory'!D:D,'[1]Raw Inventory'!C:C,"DUARTE",'[1]Raw Inventory'!B:B,A700)</f>
        <v>0</v>
      </c>
      <c r="AI700" s="46"/>
      <c r="AJ700" s="46"/>
      <c r="AK700" s="43"/>
      <c r="AL700" s="43"/>
      <c r="AM700" s="43"/>
      <c r="AN700" s="43"/>
      <c r="AO700" s="43"/>
      <c r="AP700" s="43"/>
      <c r="AQ700" s="43"/>
      <c r="AR700" s="43"/>
      <c r="AS700" s="43"/>
      <c r="AT700" s="43"/>
    </row>
    <row r="701" spans="1:46">
      <c r="A701" s="43" t="s">
        <v>28</v>
      </c>
      <c r="B701" s="43" t="s">
        <v>94</v>
      </c>
      <c r="C701" s="43" t="s">
        <v>90</v>
      </c>
      <c r="D701" s="44" t="s">
        <v>259</v>
      </c>
      <c r="E701" s="44">
        <v>5</v>
      </c>
      <c r="F701" s="44" t="s">
        <v>0</v>
      </c>
      <c r="G701" s="43" t="str">
        <f>IFERROR(VLOOKUP(A701,'[1]MC Masterlist 2026-09-12'!$B:$M, 3, 0),"")</f>
        <v>YAMAHA</v>
      </c>
      <c r="H701" s="45">
        <f>IFERROR(VLOOKUP(A701,'[1]MC Masterlist 2026-09-12'!$B:$M, 6, 0),"")</f>
        <v>147312</v>
      </c>
      <c r="I701" s="46">
        <v>2</v>
      </c>
      <c r="J701" s="46">
        <v>1</v>
      </c>
      <c r="K701" s="46">
        <v>0</v>
      </c>
      <c r="L701" s="46">
        <f t="shared" si="150"/>
        <v>3</v>
      </c>
      <c r="M701" s="46">
        <f t="shared" si="151"/>
        <v>1</v>
      </c>
      <c r="N701" s="45">
        <f t="shared" si="152"/>
        <v>441936</v>
      </c>
      <c r="O701" s="45">
        <f t="shared" si="153"/>
        <v>147312</v>
      </c>
      <c r="P701" s="46">
        <f t="shared" si="154"/>
        <v>3.3333333333333333E-2</v>
      </c>
      <c r="Q701" s="46">
        <v>2</v>
      </c>
      <c r="R701" s="45">
        <f t="shared" si="155"/>
        <v>294624</v>
      </c>
      <c r="S701" s="46">
        <f t="shared" si="156"/>
        <v>60</v>
      </c>
      <c r="T701" s="46">
        <f>IFERROR(VLOOKUP(A701,'[1]Re-order'!$A:$Q,17,0),"")</f>
        <v>8.2417582417582427</v>
      </c>
      <c r="U701" s="46">
        <f>IFERROR(VLOOKUP(A701,'[1]MC Masterlist 2026-09-12'!$B:$M, 10, 0),0)</f>
        <v>15</v>
      </c>
      <c r="V701" s="46">
        <f>IFERROR(VLOOKUP(A701,'[1]MC Masterlist 2026-09-12'!$B:$M, 11, 0),0)</f>
        <v>15</v>
      </c>
      <c r="W701" s="46">
        <f t="shared" si="157"/>
        <v>30</v>
      </c>
      <c r="X701" s="46">
        <f t="shared" si="158"/>
        <v>29.5</v>
      </c>
      <c r="Y701" s="46">
        <f>IFERROR(IF(OR(C701="AREA I",C701="AREA V"),7,VLOOKUP(A701,'[1]MC Masterlist 2026-09-12'!$B:$M, 12, 0)),0)</f>
        <v>30</v>
      </c>
      <c r="Z701" s="46">
        <f t="shared" si="159"/>
        <v>0.5</v>
      </c>
      <c r="AA701" s="46">
        <f t="shared" si="160"/>
        <v>1</v>
      </c>
      <c r="AB701" s="46">
        <f t="shared" si="161"/>
        <v>0.98333333333333328</v>
      </c>
      <c r="AC701" s="46">
        <f t="shared" si="162"/>
        <v>1</v>
      </c>
      <c r="AD701" s="44" t="str">
        <f t="shared" si="163"/>
        <v>Over</v>
      </c>
      <c r="AE701" s="44" t="str">
        <f>IFERROR(VLOOKUP(A701,'[1]Re-order'!$A:$AA,27,0),"")</f>
        <v>Stockout</v>
      </c>
      <c r="AF701" s="46">
        <f t="shared" si="164"/>
        <v>-1</v>
      </c>
      <c r="AG701" s="46">
        <f>SUMIFS('[1]Raw Inventory'!D:D,'[1]Raw Inventory'!C:C,"GREATWALL",'[1]Raw Inventory'!B:B,A701)</f>
        <v>0</v>
      </c>
      <c r="AH701" s="46">
        <f>SUMIFS('[1]Raw Inventory'!D:D,'[1]Raw Inventory'!C:C,"DUARTE",'[1]Raw Inventory'!B:B,A701)</f>
        <v>0</v>
      </c>
      <c r="AI701" s="46"/>
      <c r="AJ701" s="46"/>
      <c r="AK701" s="43"/>
      <c r="AL701" s="43"/>
      <c r="AM701" s="43"/>
      <c r="AN701" s="43"/>
      <c r="AO701" s="43"/>
      <c r="AP701" s="43"/>
      <c r="AQ701" s="43"/>
      <c r="AR701" s="43"/>
      <c r="AS701" s="43"/>
      <c r="AT701" s="43"/>
    </row>
    <row r="702" spans="1:46">
      <c r="A702" s="43" t="s">
        <v>24</v>
      </c>
      <c r="B702" s="43" t="s">
        <v>162</v>
      </c>
      <c r="C702" s="43" t="s">
        <v>159</v>
      </c>
      <c r="D702" s="44" t="s">
        <v>256</v>
      </c>
      <c r="E702" s="44">
        <v>12</v>
      </c>
      <c r="F702" s="44" t="s">
        <v>2</v>
      </c>
      <c r="G702" s="43" t="str">
        <f>IFERROR(VLOOKUP(A702,'[1]MC Masterlist 2026-09-12'!$B:$M, 3, 0),"")</f>
        <v>KAWASAKI</v>
      </c>
      <c r="H702" s="45">
        <f>IFERROR(VLOOKUP(A702,'[1]MC Masterlist 2026-09-12'!$B:$M, 6, 0),"")</f>
        <v>131626</v>
      </c>
      <c r="I702" s="46">
        <v>0</v>
      </c>
      <c r="J702" s="46">
        <v>1</v>
      </c>
      <c r="K702" s="46">
        <v>0</v>
      </c>
      <c r="L702" s="46">
        <f t="shared" si="150"/>
        <v>1</v>
      </c>
      <c r="M702" s="46">
        <f t="shared" si="151"/>
        <v>0.33333333333333331</v>
      </c>
      <c r="N702" s="45">
        <f t="shared" si="152"/>
        <v>131626</v>
      </c>
      <c r="O702" s="45">
        <f t="shared" si="153"/>
        <v>43875.333333333328</v>
      </c>
      <c r="P702" s="46">
        <f t="shared" si="154"/>
        <v>1.111111111111111E-2</v>
      </c>
      <c r="Q702" s="46">
        <v>1</v>
      </c>
      <c r="R702" s="45">
        <f t="shared" si="155"/>
        <v>131626</v>
      </c>
      <c r="S702" s="46">
        <f t="shared" si="156"/>
        <v>90.000000000000014</v>
      </c>
      <c r="T702" s="46">
        <f>IFERROR(VLOOKUP(A702,'[1]Re-order'!$A:$Q,17,0),"")</f>
        <v>40.677966101694913</v>
      </c>
      <c r="U702" s="46">
        <f>IFERROR(VLOOKUP(A702,'[1]MC Masterlist 2026-09-12'!$B:$M, 10, 0),0)</f>
        <v>15</v>
      </c>
      <c r="V702" s="46">
        <f>IFERROR(VLOOKUP(A702,'[1]MC Masterlist 2026-09-12'!$B:$M, 11, 0),0)</f>
        <v>15</v>
      </c>
      <c r="W702" s="46">
        <f t="shared" si="157"/>
        <v>30</v>
      </c>
      <c r="X702" s="46">
        <f t="shared" si="158"/>
        <v>29.833333333333332</v>
      </c>
      <c r="Y702" s="46">
        <f>IFERROR(IF(OR(C702="AREA I",C702="AREA V"),7,VLOOKUP(A702,'[1]MC Masterlist 2026-09-12'!$B:$M, 12, 0)),0)</f>
        <v>30</v>
      </c>
      <c r="Z702" s="46">
        <f t="shared" si="159"/>
        <v>0.16666666666666666</v>
      </c>
      <c r="AA702" s="46">
        <f t="shared" si="160"/>
        <v>0.33333333333333331</v>
      </c>
      <c r="AB702" s="46">
        <f t="shared" si="161"/>
        <v>0.33148148148148143</v>
      </c>
      <c r="AC702" s="46">
        <f t="shared" si="162"/>
        <v>0.33333333333333331</v>
      </c>
      <c r="AD702" s="44" t="str">
        <f t="shared" si="163"/>
        <v>Over</v>
      </c>
      <c r="AE702" s="44" t="str">
        <f>IFERROR(VLOOKUP(A702,'[1]Re-order'!$A:$AA,27,0),"")</f>
        <v>Re-order</v>
      </c>
      <c r="AF702" s="46">
        <f t="shared" si="164"/>
        <v>-0.66666666666666674</v>
      </c>
      <c r="AG702" s="46">
        <f>SUMIFS('[1]Raw Inventory'!D:D,'[1]Raw Inventory'!C:C,"GREATWALL",'[1]Raw Inventory'!B:B,A702)</f>
        <v>12</v>
      </c>
      <c r="AH702" s="46">
        <f>SUMIFS('[1]Raw Inventory'!D:D,'[1]Raw Inventory'!C:C,"DUARTE",'[1]Raw Inventory'!B:B,A702)</f>
        <v>0</v>
      </c>
      <c r="AI702" s="46"/>
      <c r="AJ702" s="46"/>
      <c r="AK702" s="43"/>
      <c r="AL702" s="43"/>
      <c r="AM702" s="43"/>
      <c r="AN702" s="43"/>
      <c r="AO702" s="43"/>
      <c r="AP702" s="43"/>
      <c r="AQ702" s="43"/>
      <c r="AR702" s="43"/>
      <c r="AS702" s="43"/>
      <c r="AT702" s="43"/>
    </row>
    <row r="703" spans="1:46">
      <c r="A703" s="43" t="s">
        <v>24</v>
      </c>
      <c r="B703" s="43" t="s">
        <v>110</v>
      </c>
      <c r="C703" s="43" t="s">
        <v>109</v>
      </c>
      <c r="D703" s="44" t="s">
        <v>230</v>
      </c>
      <c r="E703" s="44">
        <v>6</v>
      </c>
      <c r="F703" s="44" t="s">
        <v>0</v>
      </c>
      <c r="G703" s="43" t="str">
        <f>IFERROR(VLOOKUP(A703,'[1]MC Masterlist 2026-09-12'!$B:$M, 3, 0),"")</f>
        <v>KAWASAKI</v>
      </c>
      <c r="H703" s="45">
        <f>IFERROR(VLOOKUP(A703,'[1]MC Masterlist 2026-09-12'!$B:$M, 6, 0),"")</f>
        <v>131626</v>
      </c>
      <c r="I703" s="46">
        <v>1</v>
      </c>
      <c r="J703" s="46">
        <v>3</v>
      </c>
      <c r="K703" s="46">
        <v>0</v>
      </c>
      <c r="L703" s="46">
        <f t="shared" si="150"/>
        <v>4</v>
      </c>
      <c r="M703" s="46">
        <f t="shared" si="151"/>
        <v>1.3333333333333333</v>
      </c>
      <c r="N703" s="45">
        <f t="shared" si="152"/>
        <v>526504</v>
      </c>
      <c r="O703" s="45">
        <f t="shared" si="153"/>
        <v>175501.33333333331</v>
      </c>
      <c r="P703" s="46">
        <f t="shared" si="154"/>
        <v>4.4444444444444439E-2</v>
      </c>
      <c r="Q703" s="46">
        <v>3</v>
      </c>
      <c r="R703" s="45">
        <f t="shared" si="155"/>
        <v>394878</v>
      </c>
      <c r="S703" s="46">
        <f t="shared" si="156"/>
        <v>67.500000000000014</v>
      </c>
      <c r="T703" s="46">
        <f>IFERROR(VLOOKUP(A703,'[1]Re-order'!$A:$Q,17,0),"")</f>
        <v>40.677966101694913</v>
      </c>
      <c r="U703" s="46">
        <f>IFERROR(VLOOKUP(A703,'[1]MC Masterlist 2026-09-12'!$B:$M, 10, 0),0)</f>
        <v>15</v>
      </c>
      <c r="V703" s="46">
        <f>IFERROR(VLOOKUP(A703,'[1]MC Masterlist 2026-09-12'!$B:$M, 11, 0),0)</f>
        <v>15</v>
      </c>
      <c r="W703" s="46">
        <f t="shared" si="157"/>
        <v>30</v>
      </c>
      <c r="X703" s="46">
        <f t="shared" si="158"/>
        <v>29.333333333333332</v>
      </c>
      <c r="Y703" s="46">
        <f>IFERROR(IF(OR(C703="AREA I",C703="AREA V"),7,VLOOKUP(A703,'[1]MC Masterlist 2026-09-12'!$B:$M, 12, 0)),0)</f>
        <v>30</v>
      </c>
      <c r="Z703" s="46">
        <f t="shared" si="159"/>
        <v>0.66666666666666663</v>
      </c>
      <c r="AA703" s="46">
        <f t="shared" si="160"/>
        <v>1.3333333333333333</v>
      </c>
      <c r="AB703" s="46">
        <f t="shared" si="161"/>
        <v>1.3037037037037036</v>
      </c>
      <c r="AC703" s="46">
        <f t="shared" si="162"/>
        <v>1.3333333333333333</v>
      </c>
      <c r="AD703" s="44" t="str">
        <f t="shared" si="163"/>
        <v>Over</v>
      </c>
      <c r="AE703" s="44" t="str">
        <f>IFERROR(VLOOKUP(A703,'[1]Re-order'!$A:$AA,27,0),"")</f>
        <v>Re-order</v>
      </c>
      <c r="AF703" s="46">
        <f t="shared" si="164"/>
        <v>-1.6666666666666667</v>
      </c>
      <c r="AG703" s="46">
        <f>SUMIFS('[1]Raw Inventory'!D:D,'[1]Raw Inventory'!C:C,"GREATWALL",'[1]Raw Inventory'!B:B,A703)</f>
        <v>12</v>
      </c>
      <c r="AH703" s="46">
        <f>SUMIFS('[1]Raw Inventory'!D:D,'[1]Raw Inventory'!C:C,"DUARTE",'[1]Raw Inventory'!B:B,A703)</f>
        <v>0</v>
      </c>
      <c r="AI703" s="46"/>
      <c r="AJ703" s="46"/>
      <c r="AK703" s="43"/>
      <c r="AL703" s="43"/>
      <c r="AM703" s="43"/>
      <c r="AN703" s="43"/>
      <c r="AO703" s="43"/>
      <c r="AP703" s="43"/>
      <c r="AQ703" s="43"/>
      <c r="AR703" s="43"/>
      <c r="AS703" s="43"/>
      <c r="AT703" s="43"/>
    </row>
    <row r="704" spans="1:46">
      <c r="A704" s="43" t="s">
        <v>39</v>
      </c>
      <c r="B704" s="43" t="s">
        <v>97</v>
      </c>
      <c r="C704" s="43" t="s">
        <v>90</v>
      </c>
      <c r="D704" s="44" t="s">
        <v>242</v>
      </c>
      <c r="E704" s="44">
        <v>17</v>
      </c>
      <c r="F704" s="44" t="s">
        <v>3</v>
      </c>
      <c r="G704" s="43" t="str">
        <f>IFERROR(VLOOKUP(A704,'[1]MC Masterlist 2026-09-12'!$B:$M, 3, 0),"")</f>
        <v>HONDA</v>
      </c>
      <c r="H704" s="45">
        <f>IFERROR(VLOOKUP(A704,'[1]MC Masterlist 2026-09-12'!$B:$M, 6, 0),"")</f>
        <v>72434</v>
      </c>
      <c r="I704" s="46">
        <v>0</v>
      </c>
      <c r="J704" s="46">
        <v>0</v>
      </c>
      <c r="K704" s="46">
        <v>0</v>
      </c>
      <c r="L704" s="46">
        <f t="shared" si="150"/>
        <v>0</v>
      </c>
      <c r="M704" s="46">
        <f t="shared" si="151"/>
        <v>0</v>
      </c>
      <c r="N704" s="45">
        <f t="shared" si="152"/>
        <v>0</v>
      </c>
      <c r="O704" s="45">
        <f t="shared" si="153"/>
        <v>0</v>
      </c>
      <c r="P704" s="46">
        <f t="shared" si="154"/>
        <v>0</v>
      </c>
      <c r="Q704" s="46">
        <v>1</v>
      </c>
      <c r="R704" s="45">
        <f t="shared" si="155"/>
        <v>72434</v>
      </c>
      <c r="S704" s="46">
        <f t="shared" si="156"/>
        <v>0</v>
      </c>
      <c r="T704" s="46">
        <f>IFERROR(VLOOKUP(A704,'[1]Re-order'!$A:$Q,17,0),"")</f>
        <v>40.982142857142854</v>
      </c>
      <c r="U704" s="46">
        <f>IFERROR(VLOOKUP(A704,'[1]MC Masterlist 2026-09-12'!$B:$M, 10, 0),0)</f>
        <v>15</v>
      </c>
      <c r="V704" s="46">
        <f>IFERROR(VLOOKUP(A704,'[1]MC Masterlist 2026-09-12'!$B:$M, 11, 0),0)</f>
        <v>15</v>
      </c>
      <c r="W704" s="46">
        <f t="shared" si="157"/>
        <v>30</v>
      </c>
      <c r="X704" s="46">
        <f t="shared" si="158"/>
        <v>30</v>
      </c>
      <c r="Y704" s="46">
        <f>IFERROR(IF(OR(C704="AREA I",C704="AREA V"),7,VLOOKUP(A704,'[1]MC Masterlist 2026-09-12'!$B:$M, 12, 0)),0)</f>
        <v>30</v>
      </c>
      <c r="Z704" s="46">
        <f t="shared" si="159"/>
        <v>0</v>
      </c>
      <c r="AA704" s="46">
        <f t="shared" si="160"/>
        <v>0</v>
      </c>
      <c r="AB704" s="46">
        <f t="shared" si="161"/>
        <v>0</v>
      </c>
      <c r="AC704" s="46">
        <f t="shared" si="162"/>
        <v>0</v>
      </c>
      <c r="AD704" s="44" t="str">
        <f t="shared" si="163"/>
        <v>Over</v>
      </c>
      <c r="AE704" s="44" t="str">
        <f>IFERROR(VLOOKUP(A704,'[1]Re-order'!$A:$AA,27,0),"")</f>
        <v>Re-order</v>
      </c>
      <c r="AF704" s="46">
        <f t="shared" si="164"/>
        <v>-1</v>
      </c>
      <c r="AG704" s="46">
        <f>SUMIFS('[1]Raw Inventory'!D:D,'[1]Raw Inventory'!C:C,"GREATWALL",'[1]Raw Inventory'!B:B,A704)</f>
        <v>16</v>
      </c>
      <c r="AH704" s="46">
        <f>SUMIFS('[1]Raw Inventory'!D:D,'[1]Raw Inventory'!C:C,"DUARTE",'[1]Raw Inventory'!B:B,A704)</f>
        <v>0</v>
      </c>
      <c r="AI704" s="46"/>
      <c r="AJ704" s="46"/>
      <c r="AK704" s="43"/>
      <c r="AL704" s="43"/>
      <c r="AM704" s="43"/>
      <c r="AN704" s="43"/>
      <c r="AO704" s="43"/>
      <c r="AP704" s="43"/>
      <c r="AQ704" s="43"/>
      <c r="AR704" s="43"/>
      <c r="AS704" s="43"/>
      <c r="AT704" s="43"/>
    </row>
    <row r="705" spans="1:46">
      <c r="A705" s="43" t="s">
        <v>49</v>
      </c>
      <c r="B705" s="43" t="s">
        <v>132</v>
      </c>
      <c r="C705" s="43" t="s">
        <v>128</v>
      </c>
      <c r="D705" s="44" t="s">
        <v>256</v>
      </c>
      <c r="E705" s="44">
        <v>15</v>
      </c>
      <c r="F705" s="44" t="s">
        <v>2</v>
      </c>
      <c r="G705" s="43" t="str">
        <f>IFERROR(VLOOKUP(A705,'[1]MC Masterlist 2026-09-12'!$B:$M, 3, 0),"")</f>
        <v>BAJAJ RE</v>
      </c>
      <c r="H705" s="45">
        <f>IFERROR(VLOOKUP(A705,'[1]MC Masterlist 2026-09-12'!$B:$M, 6, 0),"")</f>
        <v>191000</v>
      </c>
      <c r="I705" s="46">
        <v>0</v>
      </c>
      <c r="J705" s="46">
        <v>2</v>
      </c>
      <c r="K705" s="46">
        <v>0</v>
      </c>
      <c r="L705" s="46">
        <f t="shared" si="150"/>
        <v>2</v>
      </c>
      <c r="M705" s="46">
        <f t="shared" si="151"/>
        <v>0.66666666666666663</v>
      </c>
      <c r="N705" s="45">
        <f t="shared" si="152"/>
        <v>382000</v>
      </c>
      <c r="O705" s="45">
        <f t="shared" si="153"/>
        <v>127333.33333333333</v>
      </c>
      <c r="P705" s="46">
        <f t="shared" si="154"/>
        <v>2.222222222222222E-2</v>
      </c>
      <c r="Q705" s="46">
        <v>1</v>
      </c>
      <c r="R705" s="45">
        <f t="shared" si="155"/>
        <v>191000</v>
      </c>
      <c r="S705" s="46">
        <f t="shared" si="156"/>
        <v>45</v>
      </c>
      <c r="T705" s="46">
        <f>IFERROR(VLOOKUP(A705,'[1]Re-order'!$A:$Q,17,0),"")</f>
        <v>21.516709511568124</v>
      </c>
      <c r="U705" s="46">
        <f>IFERROR(VLOOKUP(A705,'[1]MC Masterlist 2026-09-12'!$B:$M, 10, 0),0)</f>
        <v>15</v>
      </c>
      <c r="V705" s="46">
        <f>IFERROR(VLOOKUP(A705,'[1]MC Masterlist 2026-09-12'!$B:$M, 11, 0),0)</f>
        <v>15</v>
      </c>
      <c r="W705" s="46">
        <f t="shared" si="157"/>
        <v>30</v>
      </c>
      <c r="X705" s="46">
        <f t="shared" si="158"/>
        <v>29.666666666666668</v>
      </c>
      <c r="Y705" s="46">
        <f>IFERROR(IF(OR(C705="AREA I",C705="AREA V"),7,VLOOKUP(A705,'[1]MC Masterlist 2026-09-12'!$B:$M, 12, 0)),0)</f>
        <v>30</v>
      </c>
      <c r="Z705" s="46">
        <f t="shared" si="159"/>
        <v>0.33333333333333331</v>
      </c>
      <c r="AA705" s="46">
        <f t="shared" si="160"/>
        <v>0.66666666666666663</v>
      </c>
      <c r="AB705" s="46">
        <f t="shared" si="161"/>
        <v>0.65925925925925921</v>
      </c>
      <c r="AC705" s="46">
        <f t="shared" si="162"/>
        <v>0.66666666666666663</v>
      </c>
      <c r="AD705" s="44" t="str">
        <f t="shared" si="163"/>
        <v>Over</v>
      </c>
      <c r="AE705" s="44" t="str">
        <f>IFERROR(VLOOKUP(A705,'[1]Re-order'!$A:$AA,27,0),"")</f>
        <v>Stockout</v>
      </c>
      <c r="AF705" s="46">
        <f t="shared" si="164"/>
        <v>-0.33333333333333337</v>
      </c>
      <c r="AG705" s="46">
        <f>SUMIFS('[1]Raw Inventory'!D:D,'[1]Raw Inventory'!C:C,"GREATWALL",'[1]Raw Inventory'!B:B,A705)</f>
        <v>0</v>
      </c>
      <c r="AH705" s="46">
        <f>SUMIFS('[1]Raw Inventory'!D:D,'[1]Raw Inventory'!C:C,"DUARTE",'[1]Raw Inventory'!B:B,A705)</f>
        <v>0</v>
      </c>
      <c r="AI705" s="46"/>
      <c r="AJ705" s="46"/>
      <c r="AK705" s="43"/>
      <c r="AL705" s="43"/>
      <c r="AM705" s="43"/>
      <c r="AN705" s="43"/>
      <c r="AO705" s="43"/>
      <c r="AP705" s="43"/>
      <c r="AQ705" s="43"/>
      <c r="AR705" s="43"/>
      <c r="AS705" s="43"/>
      <c r="AT705" s="43"/>
    </row>
    <row r="706" spans="1:46">
      <c r="A706" s="43" t="s">
        <v>17</v>
      </c>
      <c r="B706" s="43" t="s">
        <v>140</v>
      </c>
      <c r="C706" s="43" t="s">
        <v>137</v>
      </c>
      <c r="D706" s="44" t="s">
        <v>227</v>
      </c>
      <c r="E706" s="44">
        <v>1</v>
      </c>
      <c r="F706" s="44" t="s">
        <v>0</v>
      </c>
      <c r="G706" s="43" t="str">
        <f>IFERROR(VLOOKUP(A706,'[1]MC Masterlist 2026-09-12'!$B:$M, 3, 0),"")</f>
        <v>HONDA</v>
      </c>
      <c r="H706" s="45">
        <f>IFERROR(VLOOKUP(A706,'[1]MC Masterlist 2026-09-12'!$B:$M, 6, 0),"")</f>
        <v>140790</v>
      </c>
      <c r="I706" s="46">
        <v>4</v>
      </c>
      <c r="J706" s="46">
        <v>5</v>
      </c>
      <c r="K706" s="46">
        <v>4</v>
      </c>
      <c r="L706" s="46">
        <f t="shared" si="150"/>
        <v>13</v>
      </c>
      <c r="M706" s="46">
        <f t="shared" si="151"/>
        <v>4.333333333333333</v>
      </c>
      <c r="N706" s="45">
        <f t="shared" si="152"/>
        <v>1830270</v>
      </c>
      <c r="O706" s="45">
        <f t="shared" si="153"/>
        <v>610090</v>
      </c>
      <c r="P706" s="46">
        <f t="shared" si="154"/>
        <v>0.14444444444444443</v>
      </c>
      <c r="Q706" s="46">
        <v>4</v>
      </c>
      <c r="R706" s="45">
        <f t="shared" si="155"/>
        <v>563160</v>
      </c>
      <c r="S706" s="46">
        <f t="shared" si="156"/>
        <v>27.692307692307693</v>
      </c>
      <c r="T706" s="46">
        <f>IFERROR(VLOOKUP(A706,'[1]Re-order'!$A:$Q,17,0),"")</f>
        <v>43.663366336633665</v>
      </c>
      <c r="U706" s="46">
        <f>IFERROR(VLOOKUP(A706,'[1]MC Masterlist 2026-09-12'!$B:$M, 10, 0),0)</f>
        <v>15</v>
      </c>
      <c r="V706" s="46">
        <f>IFERROR(VLOOKUP(A706,'[1]MC Masterlist 2026-09-12'!$B:$M, 11, 0),0)</f>
        <v>15</v>
      </c>
      <c r="W706" s="46">
        <f t="shared" si="157"/>
        <v>30</v>
      </c>
      <c r="X706" s="46">
        <f t="shared" si="158"/>
        <v>4.8333333333333339</v>
      </c>
      <c r="Y706" s="46">
        <f>IFERROR(IF(OR(C706="AREA I",C706="AREA V"),7,VLOOKUP(A706,'[1]MC Masterlist 2026-09-12'!$B:$M, 12, 0)),0)</f>
        <v>7</v>
      </c>
      <c r="Z706" s="46">
        <f t="shared" si="159"/>
        <v>2.1666666666666665</v>
      </c>
      <c r="AA706" s="46">
        <f t="shared" si="160"/>
        <v>4.333333333333333</v>
      </c>
      <c r="AB706" s="46">
        <f t="shared" si="161"/>
        <v>0.69814814814814818</v>
      </c>
      <c r="AC706" s="46">
        <f t="shared" si="162"/>
        <v>1.0111111111111111</v>
      </c>
      <c r="AD706" s="44" t="str">
        <f t="shared" si="163"/>
        <v>Over</v>
      </c>
      <c r="AE706" s="44" t="str">
        <f>IFERROR(VLOOKUP(A706,'[1]Re-order'!$A:$AA,27,0),"")</f>
        <v>Re-order</v>
      </c>
      <c r="AF706" s="46">
        <f t="shared" si="164"/>
        <v>-2.9888888888888889</v>
      </c>
      <c r="AG706" s="46">
        <f>SUMIFS('[1]Raw Inventory'!D:D,'[1]Raw Inventory'!C:C,"GREATWALL",'[1]Raw Inventory'!B:B,A706)</f>
        <v>12</v>
      </c>
      <c r="AH706" s="46">
        <f>SUMIFS('[1]Raw Inventory'!D:D,'[1]Raw Inventory'!C:C,"DUARTE",'[1]Raw Inventory'!B:B,A706)</f>
        <v>0</v>
      </c>
      <c r="AI706" s="46"/>
      <c r="AJ706" s="46"/>
      <c r="AK706" s="43"/>
      <c r="AL706" s="43"/>
      <c r="AM706" s="43"/>
      <c r="AN706" s="43"/>
      <c r="AO706" s="43"/>
      <c r="AP706" s="43"/>
      <c r="AQ706" s="43"/>
      <c r="AR706" s="43"/>
      <c r="AS706" s="43"/>
      <c r="AT706" s="43"/>
    </row>
    <row r="707" spans="1:46">
      <c r="A707" s="43" t="s">
        <v>74</v>
      </c>
      <c r="B707" s="43" t="s">
        <v>27</v>
      </c>
      <c r="C707" s="43" t="s">
        <v>1</v>
      </c>
      <c r="D707" s="44" t="s">
        <v>273</v>
      </c>
      <c r="E707" s="44">
        <v>30</v>
      </c>
      <c r="F707" s="44" t="s">
        <v>3</v>
      </c>
      <c r="G707" s="43" t="str">
        <f>IFERROR(VLOOKUP(A707,'[1]MC Masterlist 2026-09-12'!$B:$M, 3, 0),"")</f>
        <v>SKYGO</v>
      </c>
      <c r="H707" s="45">
        <f>IFERROR(VLOOKUP(A707,'[1]MC Masterlist 2026-09-12'!$B:$M, 6, 0),"")</f>
        <v>98325</v>
      </c>
      <c r="I707" s="46">
        <v>0</v>
      </c>
      <c r="J707" s="46">
        <v>0</v>
      </c>
      <c r="K707" s="46">
        <v>0</v>
      </c>
      <c r="L707" s="46">
        <f t="shared" ref="L707:L770" si="165">I707+J707+K707</f>
        <v>0</v>
      </c>
      <c r="M707" s="46">
        <f t="shared" ref="M707:M770" si="166">AVERAGE(I707,J707,K707)</f>
        <v>0</v>
      </c>
      <c r="N707" s="45">
        <f t="shared" ref="N707:N770" si="167">L707*H707</f>
        <v>0</v>
      </c>
      <c r="O707" s="45">
        <f t="shared" ref="O707:O770" si="168">M707*H707</f>
        <v>0</v>
      </c>
      <c r="P707" s="46">
        <f t="shared" ref="P707:P770" si="169">M707/30</f>
        <v>0</v>
      </c>
      <c r="Q707" s="46">
        <v>1</v>
      </c>
      <c r="R707" s="45">
        <f t="shared" ref="R707:R770" si="170">IFERROR(Q707*H707, 0)</f>
        <v>98325</v>
      </c>
      <c r="S707" s="46">
        <f t="shared" ref="S707:S770" si="171">IFERROR(R707/(O707)*30, 0)</f>
        <v>0</v>
      </c>
      <c r="T707" s="46" t="str">
        <f>IFERROR(VLOOKUP(A707,'[1]Re-order'!$A:$Q,17,0),"")</f>
        <v/>
      </c>
      <c r="U707" s="46">
        <f>IFERROR(VLOOKUP(A707,'[1]MC Masterlist 2026-09-12'!$B:$M, 10, 0),0)</f>
        <v>15</v>
      </c>
      <c r="V707" s="46">
        <f>IFERROR(VLOOKUP(A707,'[1]MC Masterlist 2026-09-12'!$B:$M, 11, 0),0)</f>
        <v>15</v>
      </c>
      <c r="W707" s="46">
        <f t="shared" ref="W707:W770" si="172">U707+V707</f>
        <v>30</v>
      </c>
      <c r="X707" s="46">
        <f t="shared" ref="X707:X770" si="173">Y707-Z707</f>
        <v>7</v>
      </c>
      <c r="Y707" s="46">
        <f>IFERROR(IF(OR(C707="AREA I",C707="AREA V"),7,VLOOKUP(A707,'[1]MC Masterlist 2026-09-12'!$B:$M, 12, 0)),0)</f>
        <v>7</v>
      </c>
      <c r="Z707" s="46">
        <f t="shared" ref="Z707:Z770" si="174">V707*P707</f>
        <v>0</v>
      </c>
      <c r="AA707" s="46">
        <f t="shared" ref="AA707:AA770" si="175">W707*P707</f>
        <v>0</v>
      </c>
      <c r="AB707" s="46">
        <f t="shared" ref="AB707:AB770" si="176">X707*P707</f>
        <v>0</v>
      </c>
      <c r="AC707" s="46">
        <f t="shared" ref="AC707:AC770" si="177">Y707*P707</f>
        <v>0</v>
      </c>
      <c r="AD707" s="44" t="str">
        <f t="shared" ref="AD707:AD770" si="178">IFERROR(IF(Q707&gt;AC707, "Over", IF(Q707&lt;=Z707, "Stockout", IF(Q707&lt;=AA707, "Re-order",""))), "")</f>
        <v>Over</v>
      </c>
      <c r="AE707" s="44" t="str">
        <f>IFERROR(VLOOKUP(A707,'[1]Re-order'!$A:$AA,27,0),"")</f>
        <v>Over</v>
      </c>
      <c r="AF707" s="46">
        <f t="shared" ref="AF707:AF770" si="179">AC707-Q707</f>
        <v>-1</v>
      </c>
      <c r="AG707" s="46">
        <f>SUMIFS('[1]Raw Inventory'!D:D,'[1]Raw Inventory'!C:C,"GREATWALL",'[1]Raw Inventory'!B:B,A707)</f>
        <v>0</v>
      </c>
      <c r="AH707" s="46">
        <f>SUMIFS('[1]Raw Inventory'!D:D,'[1]Raw Inventory'!C:C,"DUARTE",'[1]Raw Inventory'!B:B,A707)</f>
        <v>0</v>
      </c>
      <c r="AI707" s="46"/>
      <c r="AJ707" s="46"/>
      <c r="AK707" s="43"/>
      <c r="AL707" s="43"/>
      <c r="AM707" s="43"/>
      <c r="AN707" s="43"/>
      <c r="AO707" s="43"/>
      <c r="AP707" s="43"/>
      <c r="AQ707" s="43"/>
      <c r="AR707" s="43"/>
      <c r="AS707" s="43"/>
      <c r="AT707" s="43"/>
    </row>
    <row r="708" spans="1:46">
      <c r="A708" s="43" t="s">
        <v>60</v>
      </c>
      <c r="B708" s="43" t="s">
        <v>11</v>
      </c>
      <c r="C708" s="43" t="s">
        <v>1</v>
      </c>
      <c r="D708" s="44" t="s">
        <v>231</v>
      </c>
      <c r="E708" s="44">
        <v>23</v>
      </c>
      <c r="F708" s="44" t="s">
        <v>3</v>
      </c>
      <c r="G708" s="43" t="str">
        <f>IFERROR(VLOOKUP(A708,'[1]MC Masterlist 2026-09-12'!$B:$M, 3, 0),"")</f>
        <v>HONDA</v>
      </c>
      <c r="H708" s="45">
        <f>IFERROR(VLOOKUP(A708,'[1]MC Masterlist 2026-09-12'!$B:$M, 6, 0),"")</f>
        <v>61670</v>
      </c>
      <c r="I708" s="46">
        <v>0</v>
      </c>
      <c r="J708" s="46">
        <v>0</v>
      </c>
      <c r="K708" s="46">
        <v>0</v>
      </c>
      <c r="L708" s="46">
        <f t="shared" si="165"/>
        <v>0</v>
      </c>
      <c r="M708" s="46">
        <f t="shared" si="166"/>
        <v>0</v>
      </c>
      <c r="N708" s="45">
        <f t="shared" si="167"/>
        <v>0</v>
      </c>
      <c r="O708" s="45">
        <f t="shared" si="168"/>
        <v>0</v>
      </c>
      <c r="P708" s="46">
        <f t="shared" si="169"/>
        <v>0</v>
      </c>
      <c r="Q708" s="46">
        <v>1</v>
      </c>
      <c r="R708" s="45">
        <f t="shared" si="170"/>
        <v>61670</v>
      </c>
      <c r="S708" s="46">
        <f t="shared" si="171"/>
        <v>0</v>
      </c>
      <c r="T708" s="46">
        <f>IFERROR(VLOOKUP(A708,'[1]Re-order'!$A:$Q,17,0),"")</f>
        <v>300</v>
      </c>
      <c r="U708" s="46">
        <f>IFERROR(VLOOKUP(A708,'[1]MC Masterlist 2026-09-12'!$B:$M, 10, 0),0)</f>
        <v>15</v>
      </c>
      <c r="V708" s="46">
        <f>IFERROR(VLOOKUP(A708,'[1]MC Masterlist 2026-09-12'!$B:$M, 11, 0),0)</f>
        <v>15</v>
      </c>
      <c r="W708" s="46">
        <f t="shared" si="172"/>
        <v>30</v>
      </c>
      <c r="X708" s="46">
        <f t="shared" si="173"/>
        <v>7</v>
      </c>
      <c r="Y708" s="46">
        <f>IFERROR(IF(OR(C708="AREA I",C708="AREA V"),7,VLOOKUP(A708,'[1]MC Masterlist 2026-09-12'!$B:$M, 12, 0)),0)</f>
        <v>7</v>
      </c>
      <c r="Z708" s="46">
        <f t="shared" si="174"/>
        <v>0</v>
      </c>
      <c r="AA708" s="46">
        <f t="shared" si="175"/>
        <v>0</v>
      </c>
      <c r="AB708" s="46">
        <f t="shared" si="176"/>
        <v>0</v>
      </c>
      <c r="AC708" s="46">
        <f t="shared" si="177"/>
        <v>0</v>
      </c>
      <c r="AD708" s="44" t="str">
        <f t="shared" si="178"/>
        <v>Over</v>
      </c>
      <c r="AE708" s="44" t="str">
        <f>IFERROR(VLOOKUP(A708,'[1]Re-order'!$A:$AA,27,0),"")</f>
        <v>Over</v>
      </c>
      <c r="AF708" s="46">
        <f t="shared" si="179"/>
        <v>-1</v>
      </c>
      <c r="AG708" s="46">
        <f>SUMIFS('[1]Raw Inventory'!D:D,'[1]Raw Inventory'!C:C,"GREATWALL",'[1]Raw Inventory'!B:B,A708)</f>
        <v>0</v>
      </c>
      <c r="AH708" s="46">
        <f>SUMIFS('[1]Raw Inventory'!D:D,'[1]Raw Inventory'!C:C,"DUARTE",'[1]Raw Inventory'!B:B,A708)</f>
        <v>0</v>
      </c>
      <c r="AI708" s="46"/>
      <c r="AJ708" s="46"/>
      <c r="AK708" s="43"/>
      <c r="AL708" s="43"/>
      <c r="AM708" s="43"/>
      <c r="AN708" s="43"/>
      <c r="AO708" s="43"/>
      <c r="AP708" s="43"/>
      <c r="AQ708" s="43"/>
      <c r="AR708" s="43"/>
      <c r="AS708" s="43"/>
      <c r="AT708" s="43"/>
    </row>
    <row r="709" spans="1:46">
      <c r="A709" s="43" t="s">
        <v>16</v>
      </c>
      <c r="B709" s="43" t="s">
        <v>141</v>
      </c>
      <c r="C709" s="43" t="s">
        <v>137</v>
      </c>
      <c r="D709" s="44" t="s">
        <v>257</v>
      </c>
      <c r="E709" s="44">
        <v>24</v>
      </c>
      <c r="F709" s="44" t="s">
        <v>3</v>
      </c>
      <c r="G709" s="43" t="str">
        <f>IFERROR(VLOOKUP(A709,'[1]MC Masterlist 2026-09-12'!$B:$M, 3, 0),"")</f>
        <v>HONDA</v>
      </c>
      <c r="H709" s="45">
        <f>IFERROR(VLOOKUP(A709,'[1]MC Masterlist 2026-09-12'!$B:$M, 6, 0),"")</f>
        <v>84394</v>
      </c>
      <c r="I709" s="46">
        <v>0</v>
      </c>
      <c r="J709" s="46">
        <v>1</v>
      </c>
      <c r="K709" s="46">
        <v>0</v>
      </c>
      <c r="L709" s="46">
        <f t="shared" si="165"/>
        <v>1</v>
      </c>
      <c r="M709" s="46">
        <f t="shared" si="166"/>
        <v>0.33333333333333331</v>
      </c>
      <c r="N709" s="45">
        <f t="shared" si="167"/>
        <v>84394</v>
      </c>
      <c r="O709" s="45">
        <f t="shared" si="168"/>
        <v>28131.333333333332</v>
      </c>
      <c r="P709" s="46">
        <f t="shared" si="169"/>
        <v>1.111111111111111E-2</v>
      </c>
      <c r="Q709" s="46">
        <v>0</v>
      </c>
      <c r="R709" s="45">
        <f t="shared" si="170"/>
        <v>0</v>
      </c>
      <c r="S709" s="46">
        <f t="shared" si="171"/>
        <v>0</v>
      </c>
      <c r="T709" s="46">
        <f>IFERROR(VLOOKUP(A709,'[1]Re-order'!$A:$Q,17,0),"")</f>
        <v>26.332665330661321</v>
      </c>
      <c r="U709" s="46">
        <f>IFERROR(VLOOKUP(A709,'[1]MC Masterlist 2026-09-12'!$B:$M, 10, 0),0)</f>
        <v>15</v>
      </c>
      <c r="V709" s="46">
        <f>IFERROR(VLOOKUP(A709,'[1]MC Masterlist 2026-09-12'!$B:$M, 11, 0),0)</f>
        <v>15</v>
      </c>
      <c r="W709" s="46">
        <f t="shared" si="172"/>
        <v>30</v>
      </c>
      <c r="X709" s="46">
        <f t="shared" si="173"/>
        <v>6.833333333333333</v>
      </c>
      <c r="Y709" s="46">
        <f>IFERROR(IF(OR(C709="AREA I",C709="AREA V"),7,VLOOKUP(A709,'[1]MC Masterlist 2026-09-12'!$B:$M, 12, 0)),0)</f>
        <v>7</v>
      </c>
      <c r="Z709" s="46">
        <f t="shared" si="174"/>
        <v>0.16666666666666666</v>
      </c>
      <c r="AA709" s="46">
        <f t="shared" si="175"/>
        <v>0.33333333333333331</v>
      </c>
      <c r="AB709" s="46">
        <f t="shared" si="176"/>
        <v>7.5925925925925911E-2</v>
      </c>
      <c r="AC709" s="46">
        <f t="shared" si="177"/>
        <v>7.7777777777777765E-2</v>
      </c>
      <c r="AD709" s="44" t="str">
        <f t="shared" si="178"/>
        <v>Stockout</v>
      </c>
      <c r="AE709" s="44" t="str">
        <f>IFERROR(VLOOKUP(A709,'[1]Re-order'!$A:$AA,27,0),"")</f>
        <v>Stockout</v>
      </c>
      <c r="AF709" s="46">
        <f t="shared" si="179"/>
        <v>7.7777777777777765E-2</v>
      </c>
      <c r="AG709" s="46">
        <f>SUMIFS('[1]Raw Inventory'!D:D,'[1]Raw Inventory'!C:C,"GREATWALL",'[1]Raw Inventory'!B:B,A709)</f>
        <v>58</v>
      </c>
      <c r="AH709" s="46">
        <f>SUMIFS('[1]Raw Inventory'!D:D,'[1]Raw Inventory'!C:C,"DUARTE",'[1]Raw Inventory'!B:B,A709)</f>
        <v>0</v>
      </c>
      <c r="AI709" s="46"/>
      <c r="AJ709" s="46"/>
      <c r="AK709" s="43"/>
      <c r="AL709" s="43"/>
      <c r="AM709" s="43"/>
      <c r="AN709" s="43"/>
      <c r="AO709" s="43"/>
      <c r="AP709" s="43"/>
      <c r="AQ709" s="43"/>
      <c r="AR709" s="43"/>
      <c r="AS709" s="43"/>
      <c r="AT709" s="43"/>
    </row>
    <row r="710" spans="1:46">
      <c r="A710" s="43" t="s">
        <v>64</v>
      </c>
      <c r="B710" s="43" t="s">
        <v>160</v>
      </c>
      <c r="C710" s="43" t="s">
        <v>159</v>
      </c>
      <c r="D710" s="44" t="s">
        <v>235</v>
      </c>
      <c r="E710" s="44">
        <v>24</v>
      </c>
      <c r="F710" s="44" t="s">
        <v>3</v>
      </c>
      <c r="G710" s="43" t="str">
        <f>IFERROR(VLOOKUP(A710,'[1]MC Masterlist 2026-09-12'!$B:$M, 3, 0),"")</f>
        <v>HONDA</v>
      </c>
      <c r="H710" s="45">
        <f>IFERROR(VLOOKUP(A710,'[1]MC Masterlist 2026-09-12'!$B:$M, 6, 0),"")</f>
        <v>73170</v>
      </c>
      <c r="I710" s="46">
        <v>0</v>
      </c>
      <c r="J710" s="46">
        <v>0</v>
      </c>
      <c r="K710" s="46">
        <v>0</v>
      </c>
      <c r="L710" s="46">
        <f t="shared" si="165"/>
        <v>0</v>
      </c>
      <c r="M710" s="46">
        <f t="shared" si="166"/>
        <v>0</v>
      </c>
      <c r="N710" s="45">
        <f t="shared" si="167"/>
        <v>0</v>
      </c>
      <c r="O710" s="45">
        <f t="shared" si="168"/>
        <v>0</v>
      </c>
      <c r="P710" s="46">
        <f t="shared" si="169"/>
        <v>0</v>
      </c>
      <c r="Q710" s="46">
        <v>2</v>
      </c>
      <c r="R710" s="45">
        <f t="shared" si="170"/>
        <v>146340</v>
      </c>
      <c r="S710" s="46">
        <f t="shared" si="171"/>
        <v>0</v>
      </c>
      <c r="T710" s="46">
        <f>IFERROR(VLOOKUP(A710,'[1]Re-order'!$A:$Q,17,0),"")</f>
        <v>76.153846153846146</v>
      </c>
      <c r="U710" s="46">
        <f>IFERROR(VLOOKUP(A710,'[1]MC Masterlist 2026-09-12'!$B:$M, 10, 0),0)</f>
        <v>15</v>
      </c>
      <c r="V710" s="46">
        <f>IFERROR(VLOOKUP(A710,'[1]MC Masterlist 2026-09-12'!$B:$M, 11, 0),0)</f>
        <v>15</v>
      </c>
      <c r="W710" s="46">
        <f t="shared" si="172"/>
        <v>30</v>
      </c>
      <c r="X710" s="46">
        <f t="shared" si="173"/>
        <v>30</v>
      </c>
      <c r="Y710" s="46">
        <f>IFERROR(IF(OR(C710="AREA I",C710="AREA V"),7,VLOOKUP(A710,'[1]MC Masterlist 2026-09-12'!$B:$M, 12, 0)),0)</f>
        <v>30</v>
      </c>
      <c r="Z710" s="46">
        <f t="shared" si="174"/>
        <v>0</v>
      </c>
      <c r="AA710" s="46">
        <f t="shared" si="175"/>
        <v>0</v>
      </c>
      <c r="AB710" s="46">
        <f t="shared" si="176"/>
        <v>0</v>
      </c>
      <c r="AC710" s="46">
        <f t="shared" si="177"/>
        <v>0</v>
      </c>
      <c r="AD710" s="44" t="str">
        <f t="shared" si="178"/>
        <v>Over</v>
      </c>
      <c r="AE710" s="44" t="str">
        <f>IFERROR(VLOOKUP(A710,'[1]Re-order'!$A:$AA,27,0),"")</f>
        <v/>
      </c>
      <c r="AF710" s="46">
        <f t="shared" si="179"/>
        <v>-2</v>
      </c>
      <c r="AG710" s="46">
        <f>SUMIFS('[1]Raw Inventory'!D:D,'[1]Raw Inventory'!C:C,"GREATWALL",'[1]Raw Inventory'!B:B,A710)</f>
        <v>13</v>
      </c>
      <c r="AH710" s="46">
        <f>SUMIFS('[1]Raw Inventory'!D:D,'[1]Raw Inventory'!C:C,"DUARTE",'[1]Raw Inventory'!B:B,A710)</f>
        <v>0</v>
      </c>
      <c r="AI710" s="46"/>
      <c r="AJ710" s="46"/>
      <c r="AK710" s="43"/>
      <c r="AL710" s="43"/>
      <c r="AM710" s="43"/>
      <c r="AN710" s="43"/>
      <c r="AO710" s="43"/>
      <c r="AP710" s="43"/>
      <c r="AQ710" s="43"/>
      <c r="AR710" s="43"/>
      <c r="AS710" s="43"/>
      <c r="AT710" s="43"/>
    </row>
    <row r="711" spans="1:46">
      <c r="A711" s="43" t="s">
        <v>24</v>
      </c>
      <c r="B711" s="43" t="s">
        <v>21</v>
      </c>
      <c r="C711" s="43" t="s">
        <v>1</v>
      </c>
      <c r="D711" s="44" t="s">
        <v>234</v>
      </c>
      <c r="E711" s="44">
        <v>4</v>
      </c>
      <c r="F711" s="44" t="s">
        <v>0</v>
      </c>
      <c r="G711" s="43" t="str">
        <f>IFERROR(VLOOKUP(A711,'[1]MC Masterlist 2026-09-12'!$B:$M, 3, 0),"")</f>
        <v>KAWASAKI</v>
      </c>
      <c r="H711" s="45">
        <f>IFERROR(VLOOKUP(A711,'[1]MC Masterlist 2026-09-12'!$B:$M, 6, 0),"")</f>
        <v>131626</v>
      </c>
      <c r="I711" s="46">
        <v>3</v>
      </c>
      <c r="J711" s="46">
        <v>2</v>
      </c>
      <c r="K711" s="46">
        <v>4</v>
      </c>
      <c r="L711" s="46">
        <f t="shared" si="165"/>
        <v>9</v>
      </c>
      <c r="M711" s="46">
        <f t="shared" si="166"/>
        <v>3</v>
      </c>
      <c r="N711" s="45">
        <f t="shared" si="167"/>
        <v>1184634</v>
      </c>
      <c r="O711" s="45">
        <f t="shared" si="168"/>
        <v>394878</v>
      </c>
      <c r="P711" s="46">
        <f t="shared" si="169"/>
        <v>0.1</v>
      </c>
      <c r="Q711" s="46">
        <v>1</v>
      </c>
      <c r="R711" s="45">
        <f t="shared" si="170"/>
        <v>131626</v>
      </c>
      <c r="S711" s="46">
        <f t="shared" si="171"/>
        <v>10</v>
      </c>
      <c r="T711" s="46">
        <f>IFERROR(VLOOKUP(A711,'[1]Re-order'!$A:$Q,17,0),"")</f>
        <v>40.677966101694913</v>
      </c>
      <c r="U711" s="46">
        <f>IFERROR(VLOOKUP(A711,'[1]MC Masterlist 2026-09-12'!$B:$M, 10, 0),0)</f>
        <v>15</v>
      </c>
      <c r="V711" s="46">
        <f>IFERROR(VLOOKUP(A711,'[1]MC Masterlist 2026-09-12'!$B:$M, 11, 0),0)</f>
        <v>15</v>
      </c>
      <c r="W711" s="46">
        <f t="shared" si="172"/>
        <v>30</v>
      </c>
      <c r="X711" s="46">
        <f t="shared" si="173"/>
        <v>5.5</v>
      </c>
      <c r="Y711" s="46">
        <f>IFERROR(IF(OR(C711="AREA I",C711="AREA V"),7,VLOOKUP(A711,'[1]MC Masterlist 2026-09-12'!$B:$M, 12, 0)),0)</f>
        <v>7</v>
      </c>
      <c r="Z711" s="46">
        <f t="shared" si="174"/>
        <v>1.5</v>
      </c>
      <c r="AA711" s="46">
        <f t="shared" si="175"/>
        <v>3</v>
      </c>
      <c r="AB711" s="46">
        <f t="shared" si="176"/>
        <v>0.55000000000000004</v>
      </c>
      <c r="AC711" s="46">
        <f t="shared" si="177"/>
        <v>0.70000000000000007</v>
      </c>
      <c r="AD711" s="44" t="str">
        <f t="shared" si="178"/>
        <v>Over</v>
      </c>
      <c r="AE711" s="44" t="str">
        <f>IFERROR(VLOOKUP(A711,'[1]Re-order'!$A:$AA,27,0),"")</f>
        <v>Re-order</v>
      </c>
      <c r="AF711" s="46">
        <f t="shared" si="179"/>
        <v>-0.29999999999999993</v>
      </c>
      <c r="AG711" s="46">
        <f>SUMIFS('[1]Raw Inventory'!D:D,'[1]Raw Inventory'!C:C,"GREATWALL",'[1]Raw Inventory'!B:B,A711)</f>
        <v>12</v>
      </c>
      <c r="AH711" s="46">
        <f>SUMIFS('[1]Raw Inventory'!D:D,'[1]Raw Inventory'!C:C,"DUARTE",'[1]Raw Inventory'!B:B,A711)</f>
        <v>0</v>
      </c>
      <c r="AI711" s="46"/>
      <c r="AJ711" s="46"/>
      <c r="AK711" s="43"/>
      <c r="AL711" s="43"/>
      <c r="AM711" s="43"/>
      <c r="AN711" s="43"/>
      <c r="AO711" s="43"/>
      <c r="AP711" s="43"/>
      <c r="AQ711" s="43"/>
      <c r="AR711" s="43"/>
      <c r="AS711" s="43"/>
      <c r="AT711" s="43"/>
    </row>
    <row r="712" spans="1:46">
      <c r="A712" s="43" t="s">
        <v>36</v>
      </c>
      <c r="B712" s="43" t="s">
        <v>132</v>
      </c>
      <c r="C712" s="43" t="s">
        <v>128</v>
      </c>
      <c r="D712" s="44" t="s">
        <v>247</v>
      </c>
      <c r="E712" s="44">
        <v>25</v>
      </c>
      <c r="F712" s="44" t="s">
        <v>3</v>
      </c>
      <c r="G712" s="43" t="str">
        <f>IFERROR(VLOOKUP(A712,'[1]MC Masterlist 2026-09-12'!$B:$M, 3, 0),"")</f>
        <v>HONDA</v>
      </c>
      <c r="H712" s="45">
        <f>IFERROR(VLOOKUP(A712,'[1]MC Masterlist 2026-09-12'!$B:$M, 6, 0),"")</f>
        <v>76850</v>
      </c>
      <c r="I712" s="46">
        <v>0</v>
      </c>
      <c r="J712" s="46">
        <v>0</v>
      </c>
      <c r="K712" s="46">
        <v>1</v>
      </c>
      <c r="L712" s="46">
        <f t="shared" si="165"/>
        <v>1</v>
      </c>
      <c r="M712" s="46">
        <f t="shared" si="166"/>
        <v>0.33333333333333331</v>
      </c>
      <c r="N712" s="45">
        <f t="shared" si="167"/>
        <v>76850</v>
      </c>
      <c r="O712" s="45">
        <f t="shared" si="168"/>
        <v>25616.666666666664</v>
      </c>
      <c r="P712" s="46">
        <f t="shared" si="169"/>
        <v>1.111111111111111E-2</v>
      </c>
      <c r="Q712" s="46"/>
      <c r="R712" s="45">
        <f t="shared" si="170"/>
        <v>0</v>
      </c>
      <c r="S712" s="46">
        <f t="shared" si="171"/>
        <v>0</v>
      </c>
      <c r="T712" s="46">
        <f>IFERROR(VLOOKUP(A712,'[1]Re-order'!$A:$Q,17,0),"")</f>
        <v>137.24999999999997</v>
      </c>
      <c r="U712" s="46">
        <f>IFERROR(VLOOKUP(A712,'[1]MC Masterlist 2026-09-12'!$B:$M, 10, 0),0)</f>
        <v>15</v>
      </c>
      <c r="V712" s="46">
        <f>IFERROR(VLOOKUP(A712,'[1]MC Masterlist 2026-09-12'!$B:$M, 11, 0),0)</f>
        <v>15</v>
      </c>
      <c r="W712" s="46">
        <f t="shared" si="172"/>
        <v>30</v>
      </c>
      <c r="X712" s="46">
        <f t="shared" si="173"/>
        <v>29.833333333333332</v>
      </c>
      <c r="Y712" s="46">
        <f>IFERROR(IF(OR(C712="AREA I",C712="AREA V"),7,VLOOKUP(A712,'[1]MC Masterlist 2026-09-12'!$B:$M, 12, 0)),0)</f>
        <v>30</v>
      </c>
      <c r="Z712" s="46">
        <f t="shared" si="174"/>
        <v>0.16666666666666666</v>
      </c>
      <c r="AA712" s="46">
        <f t="shared" si="175"/>
        <v>0.33333333333333331</v>
      </c>
      <c r="AB712" s="46">
        <f t="shared" si="176"/>
        <v>0.33148148148148143</v>
      </c>
      <c r="AC712" s="46">
        <f t="shared" si="177"/>
        <v>0.33333333333333331</v>
      </c>
      <c r="AD712" s="44" t="str">
        <f t="shared" si="178"/>
        <v>Stockout</v>
      </c>
      <c r="AE712" s="44" t="str">
        <f>IFERROR(VLOOKUP(A712,'[1]Re-order'!$A:$AA,27,0),"")</f>
        <v>Over</v>
      </c>
      <c r="AF712" s="46">
        <f t="shared" si="179"/>
        <v>0.33333333333333331</v>
      </c>
      <c r="AG712" s="46">
        <f>SUMIFS('[1]Raw Inventory'!D:D,'[1]Raw Inventory'!C:C,"GREATWALL",'[1]Raw Inventory'!B:B,A712)</f>
        <v>18</v>
      </c>
      <c r="AH712" s="46">
        <f>SUMIFS('[1]Raw Inventory'!D:D,'[1]Raw Inventory'!C:C,"DUARTE",'[1]Raw Inventory'!B:B,A712)</f>
        <v>0</v>
      </c>
      <c r="AI712" s="46"/>
      <c r="AJ712" s="46"/>
      <c r="AK712" s="43"/>
      <c r="AL712" s="43"/>
      <c r="AM712" s="43"/>
      <c r="AN712" s="43"/>
      <c r="AO712" s="43"/>
      <c r="AP712" s="43"/>
      <c r="AQ712" s="43"/>
      <c r="AR712" s="43"/>
      <c r="AS712" s="43"/>
      <c r="AT712" s="43"/>
    </row>
    <row r="713" spans="1:46">
      <c r="A713" s="43" t="s">
        <v>39</v>
      </c>
      <c r="B713" s="43" t="s">
        <v>132</v>
      </c>
      <c r="C713" s="43" t="s">
        <v>128</v>
      </c>
      <c r="D713" s="44" t="s">
        <v>240</v>
      </c>
      <c r="E713" s="44">
        <v>12</v>
      </c>
      <c r="F713" s="44" t="s">
        <v>2</v>
      </c>
      <c r="G713" s="43" t="str">
        <f>IFERROR(VLOOKUP(A713,'[1]MC Masterlist 2026-09-12'!$B:$M, 3, 0),"")</f>
        <v>HONDA</v>
      </c>
      <c r="H713" s="45">
        <f>IFERROR(VLOOKUP(A713,'[1]MC Masterlist 2026-09-12'!$B:$M, 6, 0),"")</f>
        <v>72434</v>
      </c>
      <c r="I713" s="46">
        <v>0</v>
      </c>
      <c r="J713" s="46">
        <v>2</v>
      </c>
      <c r="K713" s="46">
        <v>4</v>
      </c>
      <c r="L713" s="46">
        <f t="shared" si="165"/>
        <v>6</v>
      </c>
      <c r="M713" s="46">
        <f t="shared" si="166"/>
        <v>2</v>
      </c>
      <c r="N713" s="45">
        <f t="shared" si="167"/>
        <v>434604</v>
      </c>
      <c r="O713" s="45">
        <f t="shared" si="168"/>
        <v>144868</v>
      </c>
      <c r="P713" s="46">
        <f t="shared" si="169"/>
        <v>6.6666666666666666E-2</v>
      </c>
      <c r="Q713" s="46"/>
      <c r="R713" s="45">
        <f t="shared" si="170"/>
        <v>0</v>
      </c>
      <c r="S713" s="46">
        <f t="shared" si="171"/>
        <v>0</v>
      </c>
      <c r="T713" s="46">
        <f>IFERROR(VLOOKUP(A713,'[1]Re-order'!$A:$Q,17,0),"")</f>
        <v>40.982142857142854</v>
      </c>
      <c r="U713" s="46">
        <f>IFERROR(VLOOKUP(A713,'[1]MC Masterlist 2026-09-12'!$B:$M, 10, 0),0)</f>
        <v>15</v>
      </c>
      <c r="V713" s="46">
        <f>IFERROR(VLOOKUP(A713,'[1]MC Masterlist 2026-09-12'!$B:$M, 11, 0),0)</f>
        <v>15</v>
      </c>
      <c r="W713" s="46">
        <f t="shared" si="172"/>
        <v>30</v>
      </c>
      <c r="X713" s="46">
        <f t="shared" si="173"/>
        <v>29</v>
      </c>
      <c r="Y713" s="46">
        <f>IFERROR(IF(OR(C713="AREA I",C713="AREA V"),7,VLOOKUP(A713,'[1]MC Masterlist 2026-09-12'!$B:$M, 12, 0)),0)</f>
        <v>30</v>
      </c>
      <c r="Z713" s="46">
        <f t="shared" si="174"/>
        <v>1</v>
      </c>
      <c r="AA713" s="46">
        <f t="shared" si="175"/>
        <v>2</v>
      </c>
      <c r="AB713" s="46">
        <f t="shared" si="176"/>
        <v>1.9333333333333333</v>
      </c>
      <c r="AC713" s="46">
        <f t="shared" si="177"/>
        <v>2</v>
      </c>
      <c r="AD713" s="44" t="str">
        <f t="shared" si="178"/>
        <v>Stockout</v>
      </c>
      <c r="AE713" s="44" t="str">
        <f>IFERROR(VLOOKUP(A713,'[1]Re-order'!$A:$AA,27,0),"")</f>
        <v>Re-order</v>
      </c>
      <c r="AF713" s="46">
        <f t="shared" si="179"/>
        <v>2</v>
      </c>
      <c r="AG713" s="46">
        <f>SUMIFS('[1]Raw Inventory'!D:D,'[1]Raw Inventory'!C:C,"GREATWALL",'[1]Raw Inventory'!B:B,A713)</f>
        <v>16</v>
      </c>
      <c r="AH713" s="46">
        <f>SUMIFS('[1]Raw Inventory'!D:D,'[1]Raw Inventory'!C:C,"DUARTE",'[1]Raw Inventory'!B:B,A713)</f>
        <v>0</v>
      </c>
      <c r="AI713" s="46"/>
      <c r="AJ713" s="46"/>
      <c r="AK713" s="43"/>
      <c r="AL713" s="43"/>
      <c r="AM713" s="43"/>
      <c r="AN713" s="43"/>
      <c r="AO713" s="43"/>
      <c r="AP713" s="43"/>
      <c r="AQ713" s="43"/>
      <c r="AR713" s="43"/>
      <c r="AS713" s="43"/>
      <c r="AT713" s="43"/>
    </row>
    <row r="714" spans="1:46">
      <c r="A714" s="43" t="s">
        <v>26</v>
      </c>
      <c r="B714" s="43" t="s">
        <v>131</v>
      </c>
      <c r="C714" s="43" t="s">
        <v>128</v>
      </c>
      <c r="D714" s="44" t="s">
        <v>268</v>
      </c>
      <c r="E714" s="44">
        <v>14</v>
      </c>
      <c r="F714" s="44" t="s">
        <v>3</v>
      </c>
      <c r="G714" s="43" t="str">
        <f>IFERROR(VLOOKUP(A714,'[1]MC Masterlist 2026-09-12'!$B:$M, 3, 0),"")</f>
        <v>SUZUKI</v>
      </c>
      <c r="H714" s="45">
        <f>IFERROR(VLOOKUP(A714,'[1]MC Masterlist 2026-09-12'!$B:$M, 6, 0),"")</f>
        <v>123700</v>
      </c>
      <c r="I714" s="46">
        <v>2</v>
      </c>
      <c r="J714" s="46">
        <v>0</v>
      </c>
      <c r="K714" s="46">
        <v>0</v>
      </c>
      <c r="L714" s="46">
        <f t="shared" si="165"/>
        <v>2</v>
      </c>
      <c r="M714" s="46">
        <f t="shared" si="166"/>
        <v>0.66666666666666663</v>
      </c>
      <c r="N714" s="45">
        <f t="shared" si="167"/>
        <v>247400</v>
      </c>
      <c r="O714" s="45">
        <f t="shared" si="168"/>
        <v>82466.666666666657</v>
      </c>
      <c r="P714" s="46">
        <f t="shared" si="169"/>
        <v>2.222222222222222E-2</v>
      </c>
      <c r="Q714" s="46">
        <v>3</v>
      </c>
      <c r="R714" s="45">
        <f t="shared" si="170"/>
        <v>371100</v>
      </c>
      <c r="S714" s="46">
        <f t="shared" si="171"/>
        <v>135.00000000000003</v>
      </c>
      <c r="T714" s="46">
        <f>IFERROR(VLOOKUP(A714,'[1]Re-order'!$A:$Q,17,0),"")</f>
        <v>71.470588235294116</v>
      </c>
      <c r="U714" s="46">
        <f>IFERROR(VLOOKUP(A714,'[1]MC Masterlist 2026-09-12'!$B:$M, 10, 0),0)</f>
        <v>15</v>
      </c>
      <c r="V714" s="46">
        <f>IFERROR(VLOOKUP(A714,'[1]MC Masterlist 2026-09-12'!$B:$M, 11, 0),0)</f>
        <v>15</v>
      </c>
      <c r="W714" s="46">
        <f t="shared" si="172"/>
        <v>30</v>
      </c>
      <c r="X714" s="46">
        <f t="shared" si="173"/>
        <v>29.666666666666668</v>
      </c>
      <c r="Y714" s="46">
        <f>IFERROR(IF(OR(C714="AREA I",C714="AREA V"),7,VLOOKUP(A714,'[1]MC Masterlist 2026-09-12'!$B:$M, 12, 0)),0)</f>
        <v>30</v>
      </c>
      <c r="Z714" s="46">
        <f t="shared" si="174"/>
        <v>0.33333333333333331</v>
      </c>
      <c r="AA714" s="46">
        <f t="shared" si="175"/>
        <v>0.66666666666666663</v>
      </c>
      <c r="AB714" s="46">
        <f t="shared" si="176"/>
        <v>0.65925925925925921</v>
      </c>
      <c r="AC714" s="46">
        <f t="shared" si="177"/>
        <v>0.66666666666666663</v>
      </c>
      <c r="AD714" s="44" t="str">
        <f t="shared" si="178"/>
        <v>Over</v>
      </c>
      <c r="AE714" s="44" t="str">
        <f>IFERROR(VLOOKUP(A714,'[1]Re-order'!$A:$AA,27,0),"")</f>
        <v>Re-order</v>
      </c>
      <c r="AF714" s="46">
        <f t="shared" si="179"/>
        <v>-2.3333333333333335</v>
      </c>
      <c r="AG714" s="46">
        <f>SUMIFS('[1]Raw Inventory'!D:D,'[1]Raw Inventory'!C:C,"GREATWALL",'[1]Raw Inventory'!B:B,A714)</f>
        <v>30</v>
      </c>
      <c r="AH714" s="46">
        <f>SUMIFS('[1]Raw Inventory'!D:D,'[1]Raw Inventory'!C:C,"DUARTE",'[1]Raw Inventory'!B:B,A714)</f>
        <v>0</v>
      </c>
      <c r="AI714" s="46"/>
      <c r="AJ714" s="46"/>
      <c r="AK714" s="43"/>
      <c r="AL714" s="43"/>
      <c r="AM714" s="43"/>
      <c r="AN714" s="43"/>
      <c r="AO714" s="43"/>
      <c r="AP714" s="43"/>
      <c r="AQ714" s="43"/>
      <c r="AR714" s="43"/>
      <c r="AS714" s="43"/>
      <c r="AT714" s="43"/>
    </row>
    <row r="715" spans="1:46">
      <c r="A715" s="43" t="s">
        <v>36</v>
      </c>
      <c r="B715" s="43" t="s">
        <v>140</v>
      </c>
      <c r="C715" s="43" t="s">
        <v>137</v>
      </c>
      <c r="D715" s="44" t="s">
        <v>268</v>
      </c>
      <c r="E715" s="44">
        <v>11</v>
      </c>
      <c r="F715" s="44" t="s">
        <v>3</v>
      </c>
      <c r="G715" s="43" t="str">
        <f>IFERROR(VLOOKUP(A715,'[1]MC Masterlist 2026-09-12'!$B:$M, 3, 0),"")</f>
        <v>HONDA</v>
      </c>
      <c r="H715" s="45">
        <f>IFERROR(VLOOKUP(A715,'[1]MC Masterlist 2026-09-12'!$B:$M, 6, 0),"")</f>
        <v>76850</v>
      </c>
      <c r="I715" s="46">
        <v>2</v>
      </c>
      <c r="J715" s="46">
        <v>0</v>
      </c>
      <c r="K715" s="46">
        <v>0</v>
      </c>
      <c r="L715" s="46">
        <f t="shared" si="165"/>
        <v>2</v>
      </c>
      <c r="M715" s="46">
        <f t="shared" si="166"/>
        <v>0.66666666666666663</v>
      </c>
      <c r="N715" s="45">
        <f t="shared" si="167"/>
        <v>153700</v>
      </c>
      <c r="O715" s="45">
        <f t="shared" si="168"/>
        <v>51233.333333333328</v>
      </c>
      <c r="P715" s="46">
        <f t="shared" si="169"/>
        <v>2.222222222222222E-2</v>
      </c>
      <c r="Q715" s="46">
        <v>2</v>
      </c>
      <c r="R715" s="45">
        <f t="shared" si="170"/>
        <v>153700</v>
      </c>
      <c r="S715" s="46">
        <f t="shared" si="171"/>
        <v>90.000000000000014</v>
      </c>
      <c r="T715" s="46">
        <f>IFERROR(VLOOKUP(A715,'[1]Re-order'!$A:$Q,17,0),"")</f>
        <v>137.24999999999997</v>
      </c>
      <c r="U715" s="46">
        <f>IFERROR(VLOOKUP(A715,'[1]MC Masterlist 2026-09-12'!$B:$M, 10, 0),0)</f>
        <v>15</v>
      </c>
      <c r="V715" s="46">
        <f>IFERROR(VLOOKUP(A715,'[1]MC Masterlist 2026-09-12'!$B:$M, 11, 0),0)</f>
        <v>15</v>
      </c>
      <c r="W715" s="46">
        <f t="shared" si="172"/>
        <v>30</v>
      </c>
      <c r="X715" s="46">
        <f t="shared" si="173"/>
        <v>6.666666666666667</v>
      </c>
      <c r="Y715" s="46">
        <f>IFERROR(IF(OR(C715="AREA I",C715="AREA V"),7,VLOOKUP(A715,'[1]MC Masterlist 2026-09-12'!$B:$M, 12, 0)),0)</f>
        <v>7</v>
      </c>
      <c r="Z715" s="46">
        <f t="shared" si="174"/>
        <v>0.33333333333333331</v>
      </c>
      <c r="AA715" s="46">
        <f t="shared" si="175"/>
        <v>0.66666666666666663</v>
      </c>
      <c r="AB715" s="46">
        <f t="shared" si="176"/>
        <v>0.14814814814814814</v>
      </c>
      <c r="AC715" s="46">
        <f t="shared" si="177"/>
        <v>0.15555555555555553</v>
      </c>
      <c r="AD715" s="44" t="str">
        <f t="shared" si="178"/>
        <v>Over</v>
      </c>
      <c r="AE715" s="44" t="str">
        <f>IFERROR(VLOOKUP(A715,'[1]Re-order'!$A:$AA,27,0),"")</f>
        <v>Over</v>
      </c>
      <c r="AF715" s="46">
        <f t="shared" si="179"/>
        <v>-1.8444444444444446</v>
      </c>
      <c r="AG715" s="46">
        <f>SUMIFS('[1]Raw Inventory'!D:D,'[1]Raw Inventory'!C:C,"GREATWALL",'[1]Raw Inventory'!B:B,A715)</f>
        <v>18</v>
      </c>
      <c r="AH715" s="46">
        <f>SUMIFS('[1]Raw Inventory'!D:D,'[1]Raw Inventory'!C:C,"DUARTE",'[1]Raw Inventory'!B:B,A715)</f>
        <v>0</v>
      </c>
      <c r="AI715" s="46"/>
      <c r="AJ715" s="46"/>
      <c r="AK715" s="43"/>
      <c r="AL715" s="43"/>
      <c r="AM715" s="43"/>
      <c r="AN715" s="43"/>
      <c r="AO715" s="43"/>
      <c r="AP715" s="43"/>
      <c r="AQ715" s="43"/>
      <c r="AR715" s="43"/>
      <c r="AS715" s="43"/>
      <c r="AT715" s="43"/>
    </row>
    <row r="716" spans="1:46">
      <c r="A716" s="43" t="s">
        <v>26</v>
      </c>
      <c r="B716" s="43" t="s">
        <v>120</v>
      </c>
      <c r="C716" s="43" t="s">
        <v>118</v>
      </c>
      <c r="D716" s="44" t="s">
        <v>255</v>
      </c>
      <c r="E716" s="44">
        <v>12</v>
      </c>
      <c r="F716" s="44" t="s">
        <v>2</v>
      </c>
      <c r="G716" s="43" t="str">
        <f>IFERROR(VLOOKUP(A716,'[1]MC Masterlist 2026-09-12'!$B:$M, 3, 0),"")</f>
        <v>SUZUKI</v>
      </c>
      <c r="H716" s="45">
        <f>IFERROR(VLOOKUP(A716,'[1]MC Masterlist 2026-09-12'!$B:$M, 6, 0),"")</f>
        <v>123700</v>
      </c>
      <c r="I716" s="46">
        <v>0</v>
      </c>
      <c r="J716" s="46">
        <v>0</v>
      </c>
      <c r="K716" s="46">
        <v>1</v>
      </c>
      <c r="L716" s="46">
        <f t="shared" si="165"/>
        <v>1</v>
      </c>
      <c r="M716" s="46">
        <f t="shared" si="166"/>
        <v>0.33333333333333331</v>
      </c>
      <c r="N716" s="45">
        <f t="shared" si="167"/>
        <v>123700</v>
      </c>
      <c r="O716" s="45">
        <f t="shared" si="168"/>
        <v>41233.333333333328</v>
      </c>
      <c r="P716" s="46">
        <f t="shared" si="169"/>
        <v>1.111111111111111E-2</v>
      </c>
      <c r="Q716" s="46">
        <v>3</v>
      </c>
      <c r="R716" s="45">
        <f t="shared" si="170"/>
        <v>371100</v>
      </c>
      <c r="S716" s="46">
        <f t="shared" si="171"/>
        <v>270.00000000000006</v>
      </c>
      <c r="T716" s="46">
        <f>IFERROR(VLOOKUP(A716,'[1]Re-order'!$A:$Q,17,0),"")</f>
        <v>71.470588235294116</v>
      </c>
      <c r="U716" s="46">
        <f>IFERROR(VLOOKUP(A716,'[1]MC Masterlist 2026-09-12'!$B:$M, 10, 0),0)</f>
        <v>15</v>
      </c>
      <c r="V716" s="46">
        <f>IFERROR(VLOOKUP(A716,'[1]MC Masterlist 2026-09-12'!$B:$M, 11, 0),0)</f>
        <v>15</v>
      </c>
      <c r="W716" s="46">
        <f t="shared" si="172"/>
        <v>30</v>
      </c>
      <c r="X716" s="46">
        <f t="shared" si="173"/>
        <v>29.833333333333332</v>
      </c>
      <c r="Y716" s="46">
        <f>IFERROR(IF(OR(C716="AREA I",C716="AREA V"),7,VLOOKUP(A716,'[1]MC Masterlist 2026-09-12'!$B:$M, 12, 0)),0)</f>
        <v>30</v>
      </c>
      <c r="Z716" s="46">
        <f t="shared" si="174"/>
        <v>0.16666666666666666</v>
      </c>
      <c r="AA716" s="46">
        <f t="shared" si="175"/>
        <v>0.33333333333333331</v>
      </c>
      <c r="AB716" s="46">
        <f t="shared" si="176"/>
        <v>0.33148148148148143</v>
      </c>
      <c r="AC716" s="46">
        <f t="shared" si="177"/>
        <v>0.33333333333333331</v>
      </c>
      <c r="AD716" s="44" t="str">
        <f t="shared" si="178"/>
        <v>Over</v>
      </c>
      <c r="AE716" s="44" t="str">
        <f>IFERROR(VLOOKUP(A716,'[1]Re-order'!$A:$AA,27,0),"")</f>
        <v>Re-order</v>
      </c>
      <c r="AF716" s="46">
        <f t="shared" si="179"/>
        <v>-2.6666666666666665</v>
      </c>
      <c r="AG716" s="46">
        <f>SUMIFS('[1]Raw Inventory'!D:D,'[1]Raw Inventory'!C:C,"GREATWALL",'[1]Raw Inventory'!B:B,A716)</f>
        <v>30</v>
      </c>
      <c r="AH716" s="46">
        <f>SUMIFS('[1]Raw Inventory'!D:D,'[1]Raw Inventory'!C:C,"DUARTE",'[1]Raw Inventory'!B:B,A716)</f>
        <v>0</v>
      </c>
      <c r="AI716" s="46"/>
      <c r="AJ716" s="46"/>
      <c r="AK716" s="43"/>
      <c r="AL716" s="43"/>
      <c r="AM716" s="43"/>
      <c r="AN716" s="43"/>
      <c r="AO716" s="43"/>
      <c r="AP716" s="43"/>
      <c r="AQ716" s="43"/>
      <c r="AR716" s="43"/>
      <c r="AS716" s="43"/>
      <c r="AT716" s="43"/>
    </row>
    <row r="717" spans="1:46">
      <c r="A717" s="43" t="s">
        <v>69</v>
      </c>
      <c r="B717" s="43" t="s">
        <v>21</v>
      </c>
      <c r="C717" s="43" t="s">
        <v>1</v>
      </c>
      <c r="D717" s="44" t="s">
        <v>231</v>
      </c>
      <c r="E717" s="44">
        <v>28</v>
      </c>
      <c r="F717" s="44" t="s">
        <v>3</v>
      </c>
      <c r="G717" s="43" t="str">
        <f>IFERROR(VLOOKUP(A717,'[1]MC Masterlist 2026-09-12'!$B:$M, 3, 0),"")</f>
        <v>YAMAHA</v>
      </c>
      <c r="H717" s="45">
        <f>IFERROR(VLOOKUP(A717,'[1]MC Masterlist 2026-09-12'!$B:$M, 6, 0),"")</f>
        <v>54426</v>
      </c>
      <c r="I717" s="46">
        <v>0</v>
      </c>
      <c r="J717" s="46">
        <v>0</v>
      </c>
      <c r="K717" s="46">
        <v>0</v>
      </c>
      <c r="L717" s="46">
        <f t="shared" si="165"/>
        <v>0</v>
      </c>
      <c r="M717" s="46">
        <f t="shared" si="166"/>
        <v>0</v>
      </c>
      <c r="N717" s="45">
        <f t="shared" si="167"/>
        <v>0</v>
      </c>
      <c r="O717" s="45">
        <f t="shared" si="168"/>
        <v>0</v>
      </c>
      <c r="P717" s="46">
        <f t="shared" si="169"/>
        <v>0</v>
      </c>
      <c r="Q717" s="46">
        <v>2</v>
      </c>
      <c r="R717" s="45">
        <f t="shared" si="170"/>
        <v>108852</v>
      </c>
      <c r="S717" s="46">
        <f t="shared" si="171"/>
        <v>0</v>
      </c>
      <c r="T717" s="46">
        <f>IFERROR(VLOOKUP(A717,'[1]Re-order'!$A:$Q,17,0),"")</f>
        <v>62.307692307692314</v>
      </c>
      <c r="U717" s="46">
        <f>IFERROR(VLOOKUP(A717,'[1]MC Masterlist 2026-09-12'!$B:$M, 10, 0),0)</f>
        <v>15</v>
      </c>
      <c r="V717" s="46">
        <f>IFERROR(VLOOKUP(A717,'[1]MC Masterlist 2026-09-12'!$B:$M, 11, 0),0)</f>
        <v>15</v>
      </c>
      <c r="W717" s="46">
        <f t="shared" si="172"/>
        <v>30</v>
      </c>
      <c r="X717" s="46">
        <f t="shared" si="173"/>
        <v>7</v>
      </c>
      <c r="Y717" s="46">
        <f>IFERROR(IF(OR(C717="AREA I",C717="AREA V"),7,VLOOKUP(A717,'[1]MC Masterlist 2026-09-12'!$B:$M, 12, 0)),0)</f>
        <v>7</v>
      </c>
      <c r="Z717" s="46">
        <f t="shared" si="174"/>
        <v>0</v>
      </c>
      <c r="AA717" s="46">
        <f t="shared" si="175"/>
        <v>0</v>
      </c>
      <c r="AB717" s="46">
        <f t="shared" si="176"/>
        <v>0</v>
      </c>
      <c r="AC717" s="46">
        <f t="shared" si="177"/>
        <v>0</v>
      </c>
      <c r="AD717" s="44" t="str">
        <f t="shared" si="178"/>
        <v>Over</v>
      </c>
      <c r="AE717" s="44" t="str">
        <f>IFERROR(VLOOKUP(A717,'[1]Re-order'!$A:$AA,27,0),"")</f>
        <v>Re-order</v>
      </c>
      <c r="AF717" s="46">
        <f t="shared" si="179"/>
        <v>-2</v>
      </c>
      <c r="AG717" s="46">
        <f>SUMIFS('[1]Raw Inventory'!D:D,'[1]Raw Inventory'!C:C,"GREATWALL",'[1]Raw Inventory'!B:B,A717)</f>
        <v>1</v>
      </c>
      <c r="AH717" s="46">
        <f>SUMIFS('[1]Raw Inventory'!D:D,'[1]Raw Inventory'!C:C,"DUARTE",'[1]Raw Inventory'!B:B,A717)</f>
        <v>0</v>
      </c>
      <c r="AI717" s="46"/>
      <c r="AJ717" s="46"/>
      <c r="AK717" s="43"/>
      <c r="AL717" s="43"/>
      <c r="AM717" s="43"/>
      <c r="AN717" s="43"/>
      <c r="AO717" s="43"/>
      <c r="AP717" s="43"/>
      <c r="AQ717" s="43"/>
      <c r="AR717" s="43"/>
      <c r="AS717" s="43"/>
      <c r="AT717" s="43"/>
    </row>
    <row r="718" spans="1:46">
      <c r="A718" s="43" t="s">
        <v>16</v>
      </c>
      <c r="B718" s="43" t="s">
        <v>140</v>
      </c>
      <c r="C718" s="43" t="s">
        <v>137</v>
      </c>
      <c r="D718" s="44" t="s">
        <v>238</v>
      </c>
      <c r="E718" s="44">
        <v>2</v>
      </c>
      <c r="F718" s="44" t="s">
        <v>0</v>
      </c>
      <c r="G718" s="43" t="str">
        <f>IFERROR(VLOOKUP(A718,'[1]MC Masterlist 2026-09-12'!$B:$M, 3, 0),"")</f>
        <v>HONDA</v>
      </c>
      <c r="H718" s="45">
        <f>IFERROR(VLOOKUP(A718,'[1]MC Masterlist 2026-09-12'!$B:$M, 6, 0),"")</f>
        <v>84394</v>
      </c>
      <c r="I718" s="46">
        <v>6</v>
      </c>
      <c r="J718" s="46">
        <v>6</v>
      </c>
      <c r="K718" s="46">
        <v>3</v>
      </c>
      <c r="L718" s="46">
        <f t="shared" si="165"/>
        <v>15</v>
      </c>
      <c r="M718" s="46">
        <f t="shared" si="166"/>
        <v>5</v>
      </c>
      <c r="N718" s="45">
        <f t="shared" si="167"/>
        <v>1265910</v>
      </c>
      <c r="O718" s="45">
        <f t="shared" si="168"/>
        <v>421970</v>
      </c>
      <c r="P718" s="46">
        <f t="shared" si="169"/>
        <v>0.16666666666666666</v>
      </c>
      <c r="Q718" s="46">
        <v>12</v>
      </c>
      <c r="R718" s="45">
        <f t="shared" si="170"/>
        <v>1012728</v>
      </c>
      <c r="S718" s="46">
        <f t="shared" si="171"/>
        <v>72</v>
      </c>
      <c r="T718" s="46">
        <f>IFERROR(VLOOKUP(A718,'[1]Re-order'!$A:$Q,17,0),"")</f>
        <v>26.332665330661321</v>
      </c>
      <c r="U718" s="46">
        <f>IFERROR(VLOOKUP(A718,'[1]MC Masterlist 2026-09-12'!$B:$M, 10, 0),0)</f>
        <v>15</v>
      </c>
      <c r="V718" s="46">
        <f>IFERROR(VLOOKUP(A718,'[1]MC Masterlist 2026-09-12'!$B:$M, 11, 0),0)</f>
        <v>15</v>
      </c>
      <c r="W718" s="46">
        <f t="shared" si="172"/>
        <v>30</v>
      </c>
      <c r="X718" s="46">
        <f t="shared" si="173"/>
        <v>4.5</v>
      </c>
      <c r="Y718" s="46">
        <f>IFERROR(IF(OR(C718="AREA I",C718="AREA V"),7,VLOOKUP(A718,'[1]MC Masterlist 2026-09-12'!$B:$M, 12, 0)),0)</f>
        <v>7</v>
      </c>
      <c r="Z718" s="46">
        <f t="shared" si="174"/>
        <v>2.5</v>
      </c>
      <c r="AA718" s="46">
        <f t="shared" si="175"/>
        <v>5</v>
      </c>
      <c r="AB718" s="46">
        <f t="shared" si="176"/>
        <v>0.75</v>
      </c>
      <c r="AC718" s="46">
        <f t="shared" si="177"/>
        <v>1.1666666666666665</v>
      </c>
      <c r="AD718" s="44" t="str">
        <f t="shared" si="178"/>
        <v>Over</v>
      </c>
      <c r="AE718" s="44" t="str">
        <f>IFERROR(VLOOKUP(A718,'[1]Re-order'!$A:$AA,27,0),"")</f>
        <v>Stockout</v>
      </c>
      <c r="AF718" s="46">
        <f t="shared" si="179"/>
        <v>-10.833333333333334</v>
      </c>
      <c r="AG718" s="46">
        <f>SUMIFS('[1]Raw Inventory'!D:D,'[1]Raw Inventory'!C:C,"GREATWALL",'[1]Raw Inventory'!B:B,A718)</f>
        <v>58</v>
      </c>
      <c r="AH718" s="46">
        <f>SUMIFS('[1]Raw Inventory'!D:D,'[1]Raw Inventory'!C:C,"DUARTE",'[1]Raw Inventory'!B:B,A718)</f>
        <v>0</v>
      </c>
      <c r="AI718" s="46"/>
      <c r="AJ718" s="46"/>
      <c r="AK718" s="43"/>
      <c r="AL718" s="43"/>
      <c r="AM718" s="43"/>
      <c r="AN718" s="43"/>
      <c r="AO718" s="43"/>
      <c r="AP718" s="43"/>
      <c r="AQ718" s="43"/>
      <c r="AR718" s="43"/>
      <c r="AS718" s="43"/>
      <c r="AT718" s="43"/>
    </row>
    <row r="719" spans="1:46">
      <c r="A719" s="43" t="s">
        <v>52</v>
      </c>
      <c r="B719" s="43" t="s">
        <v>143</v>
      </c>
      <c r="C719" s="43" t="s">
        <v>137</v>
      </c>
      <c r="D719" s="44" t="s">
        <v>240</v>
      </c>
      <c r="E719" s="44">
        <v>12</v>
      </c>
      <c r="F719" s="44" t="s">
        <v>2</v>
      </c>
      <c r="G719" s="43" t="str">
        <f>IFERROR(VLOOKUP(A719,'[1]MC Masterlist 2026-09-12'!$B:$M, 3, 0),"")</f>
        <v>YAMAHA</v>
      </c>
      <c r="H719" s="45">
        <f>IFERROR(VLOOKUP(A719,'[1]MC Masterlist 2026-09-12'!$B:$M, 6, 0),"")</f>
        <v>85446</v>
      </c>
      <c r="I719" s="46">
        <v>1</v>
      </c>
      <c r="J719" s="46">
        <v>1</v>
      </c>
      <c r="K719" s="46">
        <v>1</v>
      </c>
      <c r="L719" s="46">
        <f t="shared" si="165"/>
        <v>3</v>
      </c>
      <c r="M719" s="46">
        <f t="shared" si="166"/>
        <v>1</v>
      </c>
      <c r="N719" s="45">
        <f t="shared" si="167"/>
        <v>256338</v>
      </c>
      <c r="O719" s="45">
        <f t="shared" si="168"/>
        <v>85446</v>
      </c>
      <c r="P719" s="46">
        <f t="shared" si="169"/>
        <v>3.3333333333333333E-2</v>
      </c>
      <c r="Q719" s="46">
        <v>2</v>
      </c>
      <c r="R719" s="45">
        <f t="shared" si="170"/>
        <v>170892</v>
      </c>
      <c r="S719" s="46">
        <f t="shared" si="171"/>
        <v>60</v>
      </c>
      <c r="T719" s="46">
        <f>IFERROR(VLOOKUP(A719,'[1]Re-order'!$A:$Q,17,0),"")</f>
        <v>95.454545454545453</v>
      </c>
      <c r="U719" s="46">
        <f>IFERROR(VLOOKUP(A719,'[1]MC Masterlist 2026-09-12'!$B:$M, 10, 0),0)</f>
        <v>15</v>
      </c>
      <c r="V719" s="46">
        <f>IFERROR(VLOOKUP(A719,'[1]MC Masterlist 2026-09-12'!$B:$M, 11, 0),0)</f>
        <v>15</v>
      </c>
      <c r="W719" s="46">
        <f t="shared" si="172"/>
        <v>30</v>
      </c>
      <c r="X719" s="46">
        <f t="shared" si="173"/>
        <v>6.5</v>
      </c>
      <c r="Y719" s="46">
        <f>IFERROR(IF(OR(C719="AREA I",C719="AREA V"),7,VLOOKUP(A719,'[1]MC Masterlist 2026-09-12'!$B:$M, 12, 0)),0)</f>
        <v>7</v>
      </c>
      <c r="Z719" s="46">
        <f t="shared" si="174"/>
        <v>0.5</v>
      </c>
      <c r="AA719" s="46">
        <f t="shared" si="175"/>
        <v>1</v>
      </c>
      <c r="AB719" s="46">
        <f t="shared" si="176"/>
        <v>0.21666666666666667</v>
      </c>
      <c r="AC719" s="46">
        <f t="shared" si="177"/>
        <v>0.23333333333333334</v>
      </c>
      <c r="AD719" s="44" t="str">
        <f t="shared" si="178"/>
        <v>Over</v>
      </c>
      <c r="AE719" s="44" t="str">
        <f>IFERROR(VLOOKUP(A719,'[1]Re-order'!$A:$AA,27,0),"")</f>
        <v>Over</v>
      </c>
      <c r="AF719" s="46">
        <f t="shared" si="179"/>
        <v>-1.7666666666666666</v>
      </c>
      <c r="AG719" s="46">
        <f>SUMIFS('[1]Raw Inventory'!D:D,'[1]Raw Inventory'!C:C,"GREATWALL",'[1]Raw Inventory'!B:B,A719)</f>
        <v>0</v>
      </c>
      <c r="AH719" s="46">
        <f>SUMIFS('[1]Raw Inventory'!D:D,'[1]Raw Inventory'!C:C,"DUARTE",'[1]Raw Inventory'!B:B,A719)</f>
        <v>0</v>
      </c>
      <c r="AI719" s="46"/>
      <c r="AJ719" s="46"/>
      <c r="AK719" s="43"/>
      <c r="AL719" s="43"/>
      <c r="AM719" s="43"/>
      <c r="AN719" s="43"/>
      <c r="AO719" s="43"/>
      <c r="AP719" s="43"/>
      <c r="AQ719" s="43"/>
      <c r="AR719" s="43"/>
      <c r="AS719" s="43"/>
      <c r="AT719" s="43"/>
    </row>
    <row r="720" spans="1:46">
      <c r="A720" s="43" t="s">
        <v>40</v>
      </c>
      <c r="B720" s="43" t="s">
        <v>110</v>
      </c>
      <c r="C720" s="43" t="s">
        <v>109</v>
      </c>
      <c r="D720" s="44" t="s">
        <v>258</v>
      </c>
      <c r="E720" s="44">
        <v>30</v>
      </c>
      <c r="F720" s="44" t="s">
        <v>3</v>
      </c>
      <c r="G720" s="43" t="str">
        <f>IFERROR(VLOOKUP(A720,'[1]MC Masterlist 2026-09-12'!$B:$M, 3, 0),"")</f>
        <v>HONDA</v>
      </c>
      <c r="H720" s="45">
        <f>IFERROR(VLOOKUP(A720,'[1]MC Masterlist 2026-09-12'!$B:$M, 6, 0),"")</f>
        <v>56426</v>
      </c>
      <c r="I720" s="46">
        <v>0</v>
      </c>
      <c r="J720" s="46">
        <v>0</v>
      </c>
      <c r="K720" s="46">
        <v>0</v>
      </c>
      <c r="L720" s="46">
        <f t="shared" si="165"/>
        <v>0</v>
      </c>
      <c r="M720" s="46">
        <f t="shared" si="166"/>
        <v>0</v>
      </c>
      <c r="N720" s="45">
        <f t="shared" si="167"/>
        <v>0</v>
      </c>
      <c r="O720" s="45">
        <f t="shared" si="168"/>
        <v>0</v>
      </c>
      <c r="P720" s="46">
        <f t="shared" si="169"/>
        <v>0</v>
      </c>
      <c r="Q720" s="46">
        <v>2</v>
      </c>
      <c r="R720" s="45">
        <f t="shared" si="170"/>
        <v>112852</v>
      </c>
      <c r="S720" s="46">
        <f t="shared" si="171"/>
        <v>0</v>
      </c>
      <c r="T720" s="46">
        <f>IFERROR(VLOOKUP(A720,'[1]Re-order'!$A:$Q,17,0),"")</f>
        <v>139.56521739130434</v>
      </c>
      <c r="U720" s="46">
        <f>IFERROR(VLOOKUP(A720,'[1]MC Masterlist 2026-09-12'!$B:$M, 10, 0),0)</f>
        <v>15</v>
      </c>
      <c r="V720" s="46">
        <f>IFERROR(VLOOKUP(A720,'[1]MC Masterlist 2026-09-12'!$B:$M, 11, 0),0)</f>
        <v>15</v>
      </c>
      <c r="W720" s="46">
        <f t="shared" si="172"/>
        <v>30</v>
      </c>
      <c r="X720" s="46">
        <f t="shared" si="173"/>
        <v>30</v>
      </c>
      <c r="Y720" s="46">
        <f>IFERROR(IF(OR(C720="AREA I",C720="AREA V"),7,VLOOKUP(A720,'[1]MC Masterlist 2026-09-12'!$B:$M, 12, 0)),0)</f>
        <v>30</v>
      </c>
      <c r="Z720" s="46">
        <f t="shared" si="174"/>
        <v>0</v>
      </c>
      <c r="AA720" s="46">
        <f t="shared" si="175"/>
        <v>0</v>
      </c>
      <c r="AB720" s="46">
        <f t="shared" si="176"/>
        <v>0</v>
      </c>
      <c r="AC720" s="46">
        <f t="shared" si="177"/>
        <v>0</v>
      </c>
      <c r="AD720" s="44" t="str">
        <f t="shared" si="178"/>
        <v>Over</v>
      </c>
      <c r="AE720" s="44" t="str">
        <f>IFERROR(VLOOKUP(A720,'[1]Re-order'!$A:$AA,27,0),"")</f>
        <v>Over</v>
      </c>
      <c r="AF720" s="46">
        <f t="shared" si="179"/>
        <v>-2</v>
      </c>
      <c r="AG720" s="46">
        <f>SUMIFS('[1]Raw Inventory'!D:D,'[1]Raw Inventory'!C:C,"GREATWALL",'[1]Raw Inventory'!B:B,A720)</f>
        <v>45</v>
      </c>
      <c r="AH720" s="46">
        <f>SUMIFS('[1]Raw Inventory'!D:D,'[1]Raw Inventory'!C:C,"DUARTE",'[1]Raw Inventory'!B:B,A720)</f>
        <v>0</v>
      </c>
      <c r="AI720" s="46"/>
      <c r="AJ720" s="46"/>
      <c r="AK720" s="43"/>
      <c r="AL720" s="43"/>
      <c r="AM720" s="43"/>
      <c r="AN720" s="43"/>
      <c r="AO720" s="43"/>
      <c r="AP720" s="43"/>
      <c r="AQ720" s="43"/>
      <c r="AR720" s="43"/>
      <c r="AS720" s="43"/>
      <c r="AT720" s="43"/>
    </row>
    <row r="721" spans="1:46">
      <c r="A721" s="43" t="s">
        <v>45</v>
      </c>
      <c r="B721" s="43" t="s">
        <v>155</v>
      </c>
      <c r="C721" s="43" t="s">
        <v>152</v>
      </c>
      <c r="D721" s="44" t="s">
        <v>268</v>
      </c>
      <c r="E721" s="44">
        <v>19</v>
      </c>
      <c r="F721" s="44" t="s">
        <v>3</v>
      </c>
      <c r="G721" s="43" t="str">
        <f>IFERROR(VLOOKUP(A721,'[1]MC Masterlist 2026-09-12'!$B:$M, 3, 0),"")</f>
        <v>YAMAHA</v>
      </c>
      <c r="H721" s="45">
        <f>IFERROR(VLOOKUP(A721,'[1]MC Masterlist 2026-09-12'!$B:$M, 6, 0),"")</f>
        <v>117087</v>
      </c>
      <c r="I721" s="46">
        <v>1</v>
      </c>
      <c r="J721" s="46">
        <v>0</v>
      </c>
      <c r="K721" s="46">
        <v>0</v>
      </c>
      <c r="L721" s="46">
        <f t="shared" si="165"/>
        <v>1</v>
      </c>
      <c r="M721" s="46">
        <f t="shared" si="166"/>
        <v>0.33333333333333331</v>
      </c>
      <c r="N721" s="45">
        <f t="shared" si="167"/>
        <v>117087</v>
      </c>
      <c r="O721" s="45">
        <f t="shared" si="168"/>
        <v>39029</v>
      </c>
      <c r="P721" s="46">
        <f t="shared" si="169"/>
        <v>1.111111111111111E-2</v>
      </c>
      <c r="Q721" s="46"/>
      <c r="R721" s="45">
        <f t="shared" si="170"/>
        <v>0</v>
      </c>
      <c r="S721" s="46">
        <f t="shared" si="171"/>
        <v>0</v>
      </c>
      <c r="T721" s="46">
        <f>IFERROR(VLOOKUP(A721,'[1]Re-order'!$A:$Q,17,0),"")</f>
        <v>18.94736842105263</v>
      </c>
      <c r="U721" s="46">
        <f>IFERROR(VLOOKUP(A721,'[1]MC Masterlist 2026-09-12'!$B:$M, 10, 0),0)</f>
        <v>15</v>
      </c>
      <c r="V721" s="46">
        <f>IFERROR(VLOOKUP(A721,'[1]MC Masterlist 2026-09-12'!$B:$M, 11, 0),0)</f>
        <v>15</v>
      </c>
      <c r="W721" s="46">
        <f t="shared" si="172"/>
        <v>30</v>
      </c>
      <c r="X721" s="46">
        <f t="shared" si="173"/>
        <v>29.833333333333332</v>
      </c>
      <c r="Y721" s="46">
        <f>IFERROR(IF(OR(C721="AREA I",C721="AREA V"),7,VLOOKUP(A721,'[1]MC Masterlist 2026-09-12'!$B:$M, 12, 0)),0)</f>
        <v>30</v>
      </c>
      <c r="Z721" s="46">
        <f t="shared" si="174"/>
        <v>0.16666666666666666</v>
      </c>
      <c r="AA721" s="46">
        <f t="shared" si="175"/>
        <v>0.33333333333333331</v>
      </c>
      <c r="AB721" s="46">
        <f t="shared" si="176"/>
        <v>0.33148148148148143</v>
      </c>
      <c r="AC721" s="46">
        <f t="shared" si="177"/>
        <v>0.33333333333333331</v>
      </c>
      <c r="AD721" s="44" t="str">
        <f t="shared" si="178"/>
        <v>Stockout</v>
      </c>
      <c r="AE721" s="44" t="str">
        <f>IFERROR(VLOOKUP(A721,'[1]Re-order'!$A:$AA,27,0),"")</f>
        <v>Stockout</v>
      </c>
      <c r="AF721" s="46">
        <f t="shared" si="179"/>
        <v>0.33333333333333331</v>
      </c>
      <c r="AG721" s="46">
        <f>SUMIFS('[1]Raw Inventory'!D:D,'[1]Raw Inventory'!C:C,"GREATWALL",'[1]Raw Inventory'!B:B,A721)</f>
        <v>5</v>
      </c>
      <c r="AH721" s="46">
        <f>SUMIFS('[1]Raw Inventory'!D:D,'[1]Raw Inventory'!C:C,"DUARTE",'[1]Raw Inventory'!B:B,A721)</f>
        <v>0</v>
      </c>
      <c r="AI721" s="46"/>
      <c r="AJ721" s="46"/>
      <c r="AK721" s="43"/>
      <c r="AL721" s="43"/>
      <c r="AM721" s="43"/>
      <c r="AN721" s="43"/>
      <c r="AO721" s="43"/>
      <c r="AP721" s="43"/>
      <c r="AQ721" s="43"/>
      <c r="AR721" s="43"/>
      <c r="AS721" s="43"/>
      <c r="AT721" s="43"/>
    </row>
    <row r="722" spans="1:46">
      <c r="A722" s="43" t="s">
        <v>42</v>
      </c>
      <c r="B722" s="43" t="s">
        <v>146</v>
      </c>
      <c r="C722" s="43" t="s">
        <v>137</v>
      </c>
      <c r="D722" s="44" t="s">
        <v>256</v>
      </c>
      <c r="E722" s="44">
        <v>15</v>
      </c>
      <c r="F722" s="44" t="s">
        <v>2</v>
      </c>
      <c r="G722" s="43" t="str">
        <f>IFERROR(VLOOKUP(A722,'[1]MC Masterlist 2026-09-12'!$B:$M, 3, 0),"")</f>
        <v>YAMAHA</v>
      </c>
      <c r="H722" s="45">
        <f>IFERROR(VLOOKUP(A722,'[1]MC Masterlist 2026-09-12'!$B:$M, 6, 0),"")</f>
        <v>152892</v>
      </c>
      <c r="I722" s="46">
        <v>0</v>
      </c>
      <c r="J722" s="46">
        <v>1</v>
      </c>
      <c r="K722" s="46">
        <v>0</v>
      </c>
      <c r="L722" s="46">
        <f t="shared" si="165"/>
        <v>1</v>
      </c>
      <c r="M722" s="46">
        <f t="shared" si="166"/>
        <v>0.33333333333333331</v>
      </c>
      <c r="N722" s="45">
        <f t="shared" si="167"/>
        <v>152892</v>
      </c>
      <c r="O722" s="45">
        <f t="shared" si="168"/>
        <v>50964</v>
      </c>
      <c r="P722" s="46">
        <f t="shared" si="169"/>
        <v>1.111111111111111E-2</v>
      </c>
      <c r="Q722" s="46">
        <v>1</v>
      </c>
      <c r="R722" s="45">
        <f t="shared" si="170"/>
        <v>152892</v>
      </c>
      <c r="S722" s="46">
        <f t="shared" si="171"/>
        <v>90</v>
      </c>
      <c r="T722" s="46">
        <f>IFERROR(VLOOKUP(A722,'[1]Re-order'!$A:$Q,17,0),"")</f>
        <v>104.55882352941177</v>
      </c>
      <c r="U722" s="46">
        <f>IFERROR(VLOOKUP(A722,'[1]MC Masterlist 2026-09-12'!$B:$M, 10, 0),0)</f>
        <v>15</v>
      </c>
      <c r="V722" s="46">
        <f>IFERROR(VLOOKUP(A722,'[1]MC Masterlist 2026-09-12'!$B:$M, 11, 0),0)</f>
        <v>15</v>
      </c>
      <c r="W722" s="46">
        <f t="shared" si="172"/>
        <v>30</v>
      </c>
      <c r="X722" s="46">
        <f t="shared" si="173"/>
        <v>6.833333333333333</v>
      </c>
      <c r="Y722" s="46">
        <f>IFERROR(IF(OR(C722="AREA I",C722="AREA V"),7,VLOOKUP(A722,'[1]MC Masterlist 2026-09-12'!$B:$M, 12, 0)),0)</f>
        <v>7</v>
      </c>
      <c r="Z722" s="46">
        <f t="shared" si="174"/>
        <v>0.16666666666666666</v>
      </c>
      <c r="AA722" s="46">
        <f t="shared" si="175"/>
        <v>0.33333333333333331</v>
      </c>
      <c r="AB722" s="46">
        <f t="shared" si="176"/>
        <v>7.5925925925925911E-2</v>
      </c>
      <c r="AC722" s="46">
        <f t="shared" si="177"/>
        <v>7.7777777777777765E-2</v>
      </c>
      <c r="AD722" s="44" t="str">
        <f t="shared" si="178"/>
        <v>Over</v>
      </c>
      <c r="AE722" s="44" t="str">
        <f>IFERROR(VLOOKUP(A722,'[1]Re-order'!$A:$AA,27,0),"")</f>
        <v>Over</v>
      </c>
      <c r="AF722" s="46">
        <f t="shared" si="179"/>
        <v>-0.92222222222222228</v>
      </c>
      <c r="AG722" s="46">
        <f>SUMIFS('[1]Raw Inventory'!D:D,'[1]Raw Inventory'!C:C,"GREATWALL",'[1]Raw Inventory'!B:B,A722)</f>
        <v>3</v>
      </c>
      <c r="AH722" s="46">
        <f>SUMIFS('[1]Raw Inventory'!D:D,'[1]Raw Inventory'!C:C,"DUARTE",'[1]Raw Inventory'!B:B,A722)</f>
        <v>0</v>
      </c>
      <c r="AI722" s="46"/>
      <c r="AJ722" s="46"/>
      <c r="AK722" s="43"/>
      <c r="AL722" s="43"/>
      <c r="AM722" s="43"/>
      <c r="AN722" s="43"/>
      <c r="AO722" s="43"/>
      <c r="AP722" s="43"/>
      <c r="AQ722" s="43"/>
      <c r="AR722" s="43"/>
      <c r="AS722" s="43"/>
      <c r="AT722" s="43"/>
    </row>
    <row r="723" spans="1:46">
      <c r="A723" s="43" t="s">
        <v>64</v>
      </c>
      <c r="B723" s="43" t="s">
        <v>114</v>
      </c>
      <c r="C723" s="43" t="s">
        <v>109</v>
      </c>
      <c r="D723" s="44" t="s">
        <v>261</v>
      </c>
      <c r="E723" s="44">
        <v>16</v>
      </c>
      <c r="F723" s="44" t="s">
        <v>2</v>
      </c>
      <c r="G723" s="43" t="str">
        <f>IFERROR(VLOOKUP(A723,'[1]MC Masterlist 2026-09-12'!$B:$M, 3, 0),"")</f>
        <v>HONDA</v>
      </c>
      <c r="H723" s="45">
        <f>IFERROR(VLOOKUP(A723,'[1]MC Masterlist 2026-09-12'!$B:$M, 6, 0),"")</f>
        <v>73170</v>
      </c>
      <c r="I723" s="46">
        <v>0</v>
      </c>
      <c r="J723" s="46">
        <v>3</v>
      </c>
      <c r="K723" s="46">
        <v>1</v>
      </c>
      <c r="L723" s="46">
        <f t="shared" si="165"/>
        <v>4</v>
      </c>
      <c r="M723" s="46">
        <f t="shared" si="166"/>
        <v>1.3333333333333333</v>
      </c>
      <c r="N723" s="45">
        <f t="shared" si="167"/>
        <v>292680</v>
      </c>
      <c r="O723" s="45">
        <f t="shared" si="168"/>
        <v>97560</v>
      </c>
      <c r="P723" s="46">
        <f t="shared" si="169"/>
        <v>4.4444444444444439E-2</v>
      </c>
      <c r="Q723" s="46">
        <v>2</v>
      </c>
      <c r="R723" s="45">
        <f t="shared" si="170"/>
        <v>146340</v>
      </c>
      <c r="S723" s="46">
        <f t="shared" si="171"/>
        <v>45</v>
      </c>
      <c r="T723" s="46">
        <f>IFERROR(VLOOKUP(A723,'[1]Re-order'!$A:$Q,17,0),"")</f>
        <v>76.153846153846146</v>
      </c>
      <c r="U723" s="46">
        <f>IFERROR(VLOOKUP(A723,'[1]MC Masterlist 2026-09-12'!$B:$M, 10, 0),0)</f>
        <v>15</v>
      </c>
      <c r="V723" s="46">
        <f>IFERROR(VLOOKUP(A723,'[1]MC Masterlist 2026-09-12'!$B:$M, 11, 0),0)</f>
        <v>15</v>
      </c>
      <c r="W723" s="46">
        <f t="shared" si="172"/>
        <v>30</v>
      </c>
      <c r="X723" s="46">
        <f t="shared" si="173"/>
        <v>29.333333333333332</v>
      </c>
      <c r="Y723" s="46">
        <f>IFERROR(IF(OR(C723="AREA I",C723="AREA V"),7,VLOOKUP(A723,'[1]MC Masterlist 2026-09-12'!$B:$M, 12, 0)),0)</f>
        <v>30</v>
      </c>
      <c r="Z723" s="46">
        <f t="shared" si="174"/>
        <v>0.66666666666666663</v>
      </c>
      <c r="AA723" s="46">
        <f t="shared" si="175"/>
        <v>1.3333333333333333</v>
      </c>
      <c r="AB723" s="46">
        <f t="shared" si="176"/>
        <v>1.3037037037037036</v>
      </c>
      <c r="AC723" s="46">
        <f t="shared" si="177"/>
        <v>1.3333333333333333</v>
      </c>
      <c r="AD723" s="44" t="str">
        <f t="shared" si="178"/>
        <v>Over</v>
      </c>
      <c r="AE723" s="44" t="str">
        <f>IFERROR(VLOOKUP(A723,'[1]Re-order'!$A:$AA,27,0),"")</f>
        <v/>
      </c>
      <c r="AF723" s="46">
        <f t="shared" si="179"/>
        <v>-0.66666666666666674</v>
      </c>
      <c r="AG723" s="46">
        <f>SUMIFS('[1]Raw Inventory'!D:D,'[1]Raw Inventory'!C:C,"GREATWALL",'[1]Raw Inventory'!B:B,A723)</f>
        <v>13</v>
      </c>
      <c r="AH723" s="46">
        <f>SUMIFS('[1]Raw Inventory'!D:D,'[1]Raw Inventory'!C:C,"DUARTE",'[1]Raw Inventory'!B:B,A723)</f>
        <v>0</v>
      </c>
      <c r="AI723" s="46"/>
      <c r="AJ723" s="46"/>
      <c r="AK723" s="43"/>
      <c r="AL723" s="43"/>
      <c r="AM723" s="43"/>
      <c r="AN723" s="43"/>
      <c r="AO723" s="43"/>
      <c r="AP723" s="43"/>
      <c r="AQ723" s="43"/>
      <c r="AR723" s="43"/>
      <c r="AS723" s="43"/>
      <c r="AT723" s="43"/>
    </row>
    <row r="724" spans="1:46">
      <c r="A724" s="43" t="s">
        <v>43</v>
      </c>
      <c r="B724" s="43" t="s">
        <v>115</v>
      </c>
      <c r="C724" s="43" t="s">
        <v>109</v>
      </c>
      <c r="D724" s="44" t="s">
        <v>228</v>
      </c>
      <c r="E724" s="44">
        <v>17</v>
      </c>
      <c r="F724" s="44" t="s">
        <v>2</v>
      </c>
      <c r="G724" s="43" t="str">
        <f>IFERROR(VLOOKUP(A724,'[1]MC Masterlist 2026-09-12'!$B:$M, 3, 0),"")</f>
        <v>YAMAHA</v>
      </c>
      <c r="H724" s="45">
        <f>IFERROR(VLOOKUP(A724,'[1]MC Masterlist 2026-09-12'!$B:$M, 6, 0),"")</f>
        <v>70587</v>
      </c>
      <c r="I724" s="46">
        <v>0</v>
      </c>
      <c r="J724" s="46">
        <v>1</v>
      </c>
      <c r="K724" s="46">
        <v>2</v>
      </c>
      <c r="L724" s="46">
        <f t="shared" si="165"/>
        <v>3</v>
      </c>
      <c r="M724" s="46">
        <f t="shared" si="166"/>
        <v>1</v>
      </c>
      <c r="N724" s="45">
        <f t="shared" si="167"/>
        <v>211761</v>
      </c>
      <c r="O724" s="45">
        <f t="shared" si="168"/>
        <v>70587</v>
      </c>
      <c r="P724" s="46">
        <f t="shared" si="169"/>
        <v>3.3333333333333333E-2</v>
      </c>
      <c r="Q724" s="46">
        <v>1</v>
      </c>
      <c r="R724" s="45">
        <f t="shared" si="170"/>
        <v>70587</v>
      </c>
      <c r="S724" s="46">
        <f t="shared" si="171"/>
        <v>30</v>
      </c>
      <c r="T724" s="46">
        <f>IFERROR(VLOOKUP(A724,'[1]Re-order'!$A:$Q,17,0),"")</f>
        <v>43.578947368421055</v>
      </c>
      <c r="U724" s="46">
        <f>IFERROR(VLOOKUP(A724,'[1]MC Masterlist 2026-09-12'!$B:$M, 10, 0),0)</f>
        <v>15</v>
      </c>
      <c r="V724" s="46">
        <f>IFERROR(VLOOKUP(A724,'[1]MC Masterlist 2026-09-12'!$B:$M, 11, 0),0)</f>
        <v>15</v>
      </c>
      <c r="W724" s="46">
        <f t="shared" si="172"/>
        <v>30</v>
      </c>
      <c r="X724" s="46">
        <f t="shared" si="173"/>
        <v>29.5</v>
      </c>
      <c r="Y724" s="46">
        <f>IFERROR(IF(OR(C724="AREA I",C724="AREA V"),7,VLOOKUP(A724,'[1]MC Masterlist 2026-09-12'!$B:$M, 12, 0)),0)</f>
        <v>30</v>
      </c>
      <c r="Z724" s="46">
        <f t="shared" si="174"/>
        <v>0.5</v>
      </c>
      <c r="AA724" s="46">
        <f t="shared" si="175"/>
        <v>1</v>
      </c>
      <c r="AB724" s="46">
        <f t="shared" si="176"/>
        <v>0.98333333333333328</v>
      </c>
      <c r="AC724" s="46">
        <f t="shared" si="177"/>
        <v>1</v>
      </c>
      <c r="AD724" s="44" t="str">
        <f t="shared" si="178"/>
        <v>Re-order</v>
      </c>
      <c r="AE724" s="44" t="str">
        <f>IFERROR(VLOOKUP(A724,'[1]Re-order'!$A:$AA,27,0),"")</f>
        <v>Re-order</v>
      </c>
      <c r="AF724" s="46">
        <f t="shared" si="179"/>
        <v>0</v>
      </c>
      <c r="AG724" s="46">
        <f>SUMIFS('[1]Raw Inventory'!D:D,'[1]Raw Inventory'!C:C,"GREATWALL",'[1]Raw Inventory'!B:B,A724)</f>
        <v>0</v>
      </c>
      <c r="AH724" s="46">
        <f>SUMIFS('[1]Raw Inventory'!D:D,'[1]Raw Inventory'!C:C,"DUARTE",'[1]Raw Inventory'!B:B,A724)</f>
        <v>0</v>
      </c>
      <c r="AI724" s="46"/>
      <c r="AJ724" s="46"/>
      <c r="AK724" s="43"/>
      <c r="AL724" s="43"/>
      <c r="AM724" s="43"/>
      <c r="AN724" s="43"/>
      <c r="AO724" s="43"/>
      <c r="AP724" s="43"/>
      <c r="AQ724" s="43"/>
      <c r="AR724" s="43"/>
      <c r="AS724" s="43"/>
      <c r="AT724" s="43"/>
    </row>
    <row r="725" spans="1:46">
      <c r="A725" s="43" t="s">
        <v>37</v>
      </c>
      <c r="B725" s="43" t="s">
        <v>29</v>
      </c>
      <c r="C725" s="43" t="s">
        <v>1</v>
      </c>
      <c r="D725" s="44" t="s">
        <v>246</v>
      </c>
      <c r="E725" s="44">
        <v>13</v>
      </c>
      <c r="F725" s="44" t="s">
        <v>2</v>
      </c>
      <c r="G725" s="43" t="str">
        <f>IFERROR(VLOOKUP(A725,'[1]MC Masterlist 2026-09-12'!$B:$M, 3, 0),"")</f>
        <v>HONDA</v>
      </c>
      <c r="H725" s="45">
        <f>IFERROR(VLOOKUP(A725,'[1]MC Masterlist 2026-09-12'!$B:$M, 6, 0),"")</f>
        <v>74550</v>
      </c>
      <c r="I725" s="46">
        <v>2</v>
      </c>
      <c r="J725" s="46">
        <v>1</v>
      </c>
      <c r="K725" s="46">
        <v>3</v>
      </c>
      <c r="L725" s="46">
        <f t="shared" si="165"/>
        <v>6</v>
      </c>
      <c r="M725" s="46">
        <f t="shared" si="166"/>
        <v>2</v>
      </c>
      <c r="N725" s="45">
        <f t="shared" si="167"/>
        <v>447300</v>
      </c>
      <c r="O725" s="45">
        <f t="shared" si="168"/>
        <v>149100</v>
      </c>
      <c r="P725" s="46">
        <f t="shared" si="169"/>
        <v>6.6666666666666666E-2</v>
      </c>
      <c r="Q725" s="46">
        <v>1</v>
      </c>
      <c r="R725" s="45">
        <f t="shared" si="170"/>
        <v>74550</v>
      </c>
      <c r="S725" s="46">
        <f t="shared" si="171"/>
        <v>15</v>
      </c>
      <c r="T725" s="46">
        <f>IFERROR(VLOOKUP(A725,'[1]Re-order'!$A:$Q,17,0),"")</f>
        <v>33.652173913043477</v>
      </c>
      <c r="U725" s="46">
        <f>IFERROR(VLOOKUP(A725,'[1]MC Masterlist 2026-09-12'!$B:$M, 10, 0),0)</f>
        <v>15</v>
      </c>
      <c r="V725" s="46">
        <f>IFERROR(VLOOKUP(A725,'[1]MC Masterlist 2026-09-12'!$B:$M, 11, 0),0)</f>
        <v>15</v>
      </c>
      <c r="W725" s="46">
        <f t="shared" si="172"/>
        <v>30</v>
      </c>
      <c r="X725" s="46">
        <f t="shared" si="173"/>
        <v>6</v>
      </c>
      <c r="Y725" s="46">
        <f>IFERROR(IF(OR(C725="AREA I",C725="AREA V"),7,VLOOKUP(A725,'[1]MC Masterlist 2026-09-12'!$B:$M, 12, 0)),0)</f>
        <v>7</v>
      </c>
      <c r="Z725" s="46">
        <f t="shared" si="174"/>
        <v>1</v>
      </c>
      <c r="AA725" s="46">
        <f t="shared" si="175"/>
        <v>2</v>
      </c>
      <c r="AB725" s="46">
        <f t="shared" si="176"/>
        <v>0.4</v>
      </c>
      <c r="AC725" s="46">
        <f t="shared" si="177"/>
        <v>0.46666666666666667</v>
      </c>
      <c r="AD725" s="44" t="str">
        <f t="shared" si="178"/>
        <v>Over</v>
      </c>
      <c r="AE725" s="44" t="str">
        <f>IFERROR(VLOOKUP(A725,'[1]Re-order'!$A:$AA,27,0),"")</f>
        <v>Re-order</v>
      </c>
      <c r="AF725" s="46">
        <f t="shared" si="179"/>
        <v>-0.53333333333333333</v>
      </c>
      <c r="AG725" s="46">
        <f>SUMIFS('[1]Raw Inventory'!D:D,'[1]Raw Inventory'!C:C,"GREATWALL",'[1]Raw Inventory'!B:B,A725)</f>
        <v>28</v>
      </c>
      <c r="AH725" s="46">
        <f>SUMIFS('[1]Raw Inventory'!D:D,'[1]Raw Inventory'!C:C,"DUARTE",'[1]Raw Inventory'!B:B,A725)</f>
        <v>0</v>
      </c>
      <c r="AI725" s="46"/>
      <c r="AJ725" s="46"/>
      <c r="AK725" s="43"/>
      <c r="AL725" s="43"/>
      <c r="AM725" s="43"/>
      <c r="AN725" s="43"/>
      <c r="AO725" s="43"/>
      <c r="AP725" s="43"/>
      <c r="AQ725" s="43"/>
      <c r="AR725" s="43"/>
      <c r="AS725" s="43"/>
      <c r="AT725" s="43"/>
    </row>
    <row r="726" spans="1:46">
      <c r="A726" s="43" t="s">
        <v>46</v>
      </c>
      <c r="B726" s="43" t="s">
        <v>131</v>
      </c>
      <c r="C726" s="43" t="s">
        <v>128</v>
      </c>
      <c r="D726" s="44" t="s">
        <v>229</v>
      </c>
      <c r="E726" s="44">
        <v>20</v>
      </c>
      <c r="F726" s="44" t="s">
        <v>3</v>
      </c>
      <c r="G726" s="43" t="str">
        <f>IFERROR(VLOOKUP(A726,'[1]MC Masterlist 2026-09-12'!$B:$M, 3, 0),"")</f>
        <v>HONDA</v>
      </c>
      <c r="H726" s="45">
        <f>IFERROR(VLOOKUP(A726,'[1]MC Masterlist 2026-09-12'!$B:$M, 6, 0),"")</f>
        <v>73630</v>
      </c>
      <c r="I726" s="46">
        <v>0</v>
      </c>
      <c r="J726" s="46">
        <v>1</v>
      </c>
      <c r="K726" s="46">
        <v>0</v>
      </c>
      <c r="L726" s="46">
        <f t="shared" si="165"/>
        <v>1</v>
      </c>
      <c r="M726" s="46">
        <f t="shared" si="166"/>
        <v>0.33333333333333331</v>
      </c>
      <c r="N726" s="45">
        <f t="shared" si="167"/>
        <v>73630</v>
      </c>
      <c r="O726" s="45">
        <f t="shared" si="168"/>
        <v>24543.333333333332</v>
      </c>
      <c r="P726" s="46">
        <f t="shared" si="169"/>
        <v>1.111111111111111E-2</v>
      </c>
      <c r="Q726" s="46"/>
      <c r="R726" s="45">
        <f t="shared" si="170"/>
        <v>0</v>
      </c>
      <c r="S726" s="46">
        <f t="shared" si="171"/>
        <v>0</v>
      </c>
      <c r="T726" s="46">
        <f>IFERROR(VLOOKUP(A726,'[1]Re-order'!$A:$Q,17,0),"")</f>
        <v>51</v>
      </c>
      <c r="U726" s="46">
        <f>IFERROR(VLOOKUP(A726,'[1]MC Masterlist 2026-09-12'!$B:$M, 10, 0),0)</f>
        <v>15</v>
      </c>
      <c r="V726" s="46">
        <f>IFERROR(VLOOKUP(A726,'[1]MC Masterlist 2026-09-12'!$B:$M, 11, 0),0)</f>
        <v>15</v>
      </c>
      <c r="W726" s="46">
        <f t="shared" si="172"/>
        <v>30</v>
      </c>
      <c r="X726" s="46">
        <f t="shared" si="173"/>
        <v>29.833333333333332</v>
      </c>
      <c r="Y726" s="46">
        <f>IFERROR(IF(OR(C726="AREA I",C726="AREA V"),7,VLOOKUP(A726,'[1]MC Masterlist 2026-09-12'!$B:$M, 12, 0)),0)</f>
        <v>30</v>
      </c>
      <c r="Z726" s="46">
        <f t="shared" si="174"/>
        <v>0.16666666666666666</v>
      </c>
      <c r="AA726" s="46">
        <f t="shared" si="175"/>
        <v>0.33333333333333331</v>
      </c>
      <c r="AB726" s="46">
        <f t="shared" si="176"/>
        <v>0.33148148148148143</v>
      </c>
      <c r="AC726" s="46">
        <f t="shared" si="177"/>
        <v>0.33333333333333331</v>
      </c>
      <c r="AD726" s="44" t="str">
        <f t="shared" si="178"/>
        <v>Stockout</v>
      </c>
      <c r="AE726" s="44" t="str">
        <f>IFERROR(VLOOKUP(A726,'[1]Re-order'!$A:$AA,27,0),"")</f>
        <v>Re-order</v>
      </c>
      <c r="AF726" s="46">
        <f t="shared" si="179"/>
        <v>0.33333333333333331</v>
      </c>
      <c r="AG726" s="46">
        <f>SUMIFS('[1]Raw Inventory'!D:D,'[1]Raw Inventory'!C:C,"GREATWALL",'[1]Raw Inventory'!B:B,A726)</f>
        <v>0</v>
      </c>
      <c r="AH726" s="46">
        <f>SUMIFS('[1]Raw Inventory'!D:D,'[1]Raw Inventory'!C:C,"DUARTE",'[1]Raw Inventory'!B:B,A726)</f>
        <v>0</v>
      </c>
      <c r="AI726" s="46"/>
      <c r="AJ726" s="46"/>
      <c r="AK726" s="43"/>
      <c r="AL726" s="43"/>
      <c r="AM726" s="43"/>
      <c r="AN726" s="43"/>
      <c r="AO726" s="43"/>
      <c r="AP726" s="43"/>
      <c r="AQ726" s="43"/>
      <c r="AR726" s="43"/>
      <c r="AS726" s="43"/>
      <c r="AT726" s="43"/>
    </row>
    <row r="727" spans="1:46">
      <c r="A727" s="43" t="s">
        <v>18</v>
      </c>
      <c r="B727" s="43" t="s">
        <v>144</v>
      </c>
      <c r="C727" s="43" t="s">
        <v>137</v>
      </c>
      <c r="D727" s="44" t="s">
        <v>266</v>
      </c>
      <c r="E727" s="44">
        <v>19</v>
      </c>
      <c r="F727" s="44" t="s">
        <v>2</v>
      </c>
      <c r="G727" s="43" t="str">
        <f>IFERROR(VLOOKUP(A727,'[1]MC Masterlist 2026-09-12'!$B:$M, 3, 0),"")</f>
        <v>HONDA</v>
      </c>
      <c r="H727" s="45">
        <f>IFERROR(VLOOKUP(A727,'[1]MC Masterlist 2026-09-12'!$B:$M, 6, 0),"")</f>
        <v>94330</v>
      </c>
      <c r="I727" s="46">
        <v>0</v>
      </c>
      <c r="J727" s="46">
        <v>1</v>
      </c>
      <c r="K727" s="46">
        <v>2</v>
      </c>
      <c r="L727" s="46">
        <f t="shared" si="165"/>
        <v>3</v>
      </c>
      <c r="M727" s="46">
        <f t="shared" si="166"/>
        <v>1</v>
      </c>
      <c r="N727" s="45">
        <f t="shared" si="167"/>
        <v>282990</v>
      </c>
      <c r="O727" s="45">
        <f t="shared" si="168"/>
        <v>94330</v>
      </c>
      <c r="P727" s="46">
        <f t="shared" si="169"/>
        <v>3.3333333333333333E-2</v>
      </c>
      <c r="Q727" s="46">
        <v>2</v>
      </c>
      <c r="R727" s="45">
        <f t="shared" si="170"/>
        <v>188660</v>
      </c>
      <c r="S727" s="46">
        <f t="shared" si="171"/>
        <v>60</v>
      </c>
      <c r="T727" s="46">
        <f>IFERROR(VLOOKUP(A727,'[1]Re-order'!$A:$Q,17,0),"")</f>
        <v>113.9644970414201</v>
      </c>
      <c r="U727" s="46">
        <f>IFERROR(VLOOKUP(A727,'[1]MC Masterlist 2026-09-12'!$B:$M, 10, 0),0)</f>
        <v>15</v>
      </c>
      <c r="V727" s="46">
        <f>IFERROR(VLOOKUP(A727,'[1]MC Masterlist 2026-09-12'!$B:$M, 11, 0),0)</f>
        <v>15</v>
      </c>
      <c r="W727" s="46">
        <f t="shared" si="172"/>
        <v>30</v>
      </c>
      <c r="X727" s="46">
        <f t="shared" si="173"/>
        <v>6.5</v>
      </c>
      <c r="Y727" s="46">
        <f>IFERROR(IF(OR(C727="AREA I",C727="AREA V"),7,VLOOKUP(A727,'[1]MC Masterlist 2026-09-12'!$B:$M, 12, 0)),0)</f>
        <v>7</v>
      </c>
      <c r="Z727" s="46">
        <f t="shared" si="174"/>
        <v>0.5</v>
      </c>
      <c r="AA727" s="46">
        <f t="shared" si="175"/>
        <v>1</v>
      </c>
      <c r="AB727" s="46">
        <f t="shared" si="176"/>
        <v>0.21666666666666667</v>
      </c>
      <c r="AC727" s="46">
        <f t="shared" si="177"/>
        <v>0.23333333333333334</v>
      </c>
      <c r="AD727" s="44" t="str">
        <f t="shared" si="178"/>
        <v>Over</v>
      </c>
      <c r="AE727" s="44" t="str">
        <f>IFERROR(VLOOKUP(A727,'[1]Re-order'!$A:$AA,27,0),"")</f>
        <v>Over</v>
      </c>
      <c r="AF727" s="46">
        <f t="shared" si="179"/>
        <v>-1.7666666666666666</v>
      </c>
      <c r="AG727" s="46">
        <f>SUMIFS('[1]Raw Inventory'!D:D,'[1]Raw Inventory'!C:C,"GREATWALL",'[1]Raw Inventory'!B:B,A727)</f>
        <v>88</v>
      </c>
      <c r="AH727" s="46">
        <f>SUMIFS('[1]Raw Inventory'!D:D,'[1]Raw Inventory'!C:C,"DUARTE",'[1]Raw Inventory'!B:B,A727)</f>
        <v>0</v>
      </c>
      <c r="AI727" s="46"/>
      <c r="AJ727" s="46"/>
      <c r="AK727" s="43"/>
      <c r="AL727" s="43"/>
      <c r="AM727" s="43"/>
      <c r="AN727" s="43"/>
      <c r="AO727" s="43"/>
      <c r="AP727" s="43"/>
      <c r="AQ727" s="43"/>
      <c r="AR727" s="43"/>
      <c r="AS727" s="43"/>
      <c r="AT727" s="43"/>
    </row>
    <row r="728" spans="1:46">
      <c r="A728" s="43" t="s">
        <v>60</v>
      </c>
      <c r="B728" s="43" t="s">
        <v>92</v>
      </c>
      <c r="C728" s="43" t="s">
        <v>90</v>
      </c>
      <c r="D728" s="44" t="s">
        <v>226</v>
      </c>
      <c r="E728" s="44">
        <v>29</v>
      </c>
      <c r="F728" s="44" t="s">
        <v>3</v>
      </c>
      <c r="G728" s="43" t="str">
        <f>IFERROR(VLOOKUP(A728,'[1]MC Masterlist 2026-09-12'!$B:$M, 3, 0),"")</f>
        <v>HONDA</v>
      </c>
      <c r="H728" s="45">
        <f>IFERROR(VLOOKUP(A728,'[1]MC Masterlist 2026-09-12'!$B:$M, 6, 0),"")</f>
        <v>61670</v>
      </c>
      <c r="I728" s="46">
        <v>0</v>
      </c>
      <c r="J728" s="46">
        <v>0</v>
      </c>
      <c r="K728" s="46">
        <v>0</v>
      </c>
      <c r="L728" s="46">
        <f t="shared" si="165"/>
        <v>0</v>
      </c>
      <c r="M728" s="46">
        <f t="shared" si="166"/>
        <v>0</v>
      </c>
      <c r="N728" s="45">
        <f t="shared" si="167"/>
        <v>0</v>
      </c>
      <c r="O728" s="45">
        <f t="shared" si="168"/>
        <v>0</v>
      </c>
      <c r="P728" s="46">
        <f t="shared" si="169"/>
        <v>0</v>
      </c>
      <c r="Q728" s="46">
        <v>1</v>
      </c>
      <c r="R728" s="45">
        <f t="shared" si="170"/>
        <v>61670</v>
      </c>
      <c r="S728" s="46">
        <f t="shared" si="171"/>
        <v>0</v>
      </c>
      <c r="T728" s="46">
        <f>IFERROR(VLOOKUP(A728,'[1]Re-order'!$A:$Q,17,0),"")</f>
        <v>300</v>
      </c>
      <c r="U728" s="46">
        <f>IFERROR(VLOOKUP(A728,'[1]MC Masterlist 2026-09-12'!$B:$M, 10, 0),0)</f>
        <v>15</v>
      </c>
      <c r="V728" s="46">
        <f>IFERROR(VLOOKUP(A728,'[1]MC Masterlist 2026-09-12'!$B:$M, 11, 0),0)</f>
        <v>15</v>
      </c>
      <c r="W728" s="46">
        <f t="shared" si="172"/>
        <v>30</v>
      </c>
      <c r="X728" s="46">
        <f t="shared" si="173"/>
        <v>30</v>
      </c>
      <c r="Y728" s="46">
        <f>IFERROR(IF(OR(C728="AREA I",C728="AREA V"),7,VLOOKUP(A728,'[1]MC Masterlist 2026-09-12'!$B:$M, 12, 0)),0)</f>
        <v>30</v>
      </c>
      <c r="Z728" s="46">
        <f t="shared" si="174"/>
        <v>0</v>
      </c>
      <c r="AA728" s="46">
        <f t="shared" si="175"/>
        <v>0</v>
      </c>
      <c r="AB728" s="46">
        <f t="shared" si="176"/>
        <v>0</v>
      </c>
      <c r="AC728" s="46">
        <f t="shared" si="177"/>
        <v>0</v>
      </c>
      <c r="AD728" s="44" t="str">
        <f t="shared" si="178"/>
        <v>Over</v>
      </c>
      <c r="AE728" s="44" t="str">
        <f>IFERROR(VLOOKUP(A728,'[1]Re-order'!$A:$AA,27,0),"")</f>
        <v>Over</v>
      </c>
      <c r="AF728" s="46">
        <f t="shared" si="179"/>
        <v>-1</v>
      </c>
      <c r="AG728" s="46">
        <f>SUMIFS('[1]Raw Inventory'!D:D,'[1]Raw Inventory'!C:C,"GREATWALL",'[1]Raw Inventory'!B:B,A728)</f>
        <v>0</v>
      </c>
      <c r="AH728" s="46">
        <f>SUMIFS('[1]Raw Inventory'!D:D,'[1]Raw Inventory'!C:C,"DUARTE",'[1]Raw Inventory'!B:B,A728)</f>
        <v>0</v>
      </c>
      <c r="AI728" s="46"/>
      <c r="AJ728" s="46"/>
      <c r="AK728" s="43"/>
      <c r="AL728" s="43"/>
      <c r="AM728" s="43"/>
      <c r="AN728" s="43"/>
      <c r="AO728" s="43"/>
      <c r="AP728" s="43"/>
      <c r="AQ728" s="43"/>
      <c r="AR728" s="43"/>
      <c r="AS728" s="43"/>
      <c r="AT728" s="43"/>
    </row>
    <row r="729" spans="1:46">
      <c r="A729" s="43" t="s">
        <v>14</v>
      </c>
      <c r="B729" s="43" t="s">
        <v>94</v>
      </c>
      <c r="C729" s="43" t="s">
        <v>90</v>
      </c>
      <c r="D729" s="44" t="s">
        <v>227</v>
      </c>
      <c r="E729" s="44">
        <v>1</v>
      </c>
      <c r="F729" s="44" t="s">
        <v>0</v>
      </c>
      <c r="G729" s="43" t="str">
        <f>IFERROR(VLOOKUP(A729,'[1]MC Masterlist 2026-09-12'!$B:$M, 3, 0),"")</f>
        <v>HONDA</v>
      </c>
      <c r="H729" s="45">
        <f>IFERROR(VLOOKUP(A729,'[1]MC Masterlist 2026-09-12'!$B:$M, 6, 0),"")</f>
        <v>80070</v>
      </c>
      <c r="I729" s="46">
        <v>7</v>
      </c>
      <c r="J729" s="46">
        <v>5</v>
      </c>
      <c r="K729" s="46">
        <v>16</v>
      </c>
      <c r="L729" s="46">
        <f t="shared" si="165"/>
        <v>28</v>
      </c>
      <c r="M729" s="46">
        <f t="shared" si="166"/>
        <v>9.3333333333333339</v>
      </c>
      <c r="N729" s="45">
        <f t="shared" si="167"/>
        <v>2241960</v>
      </c>
      <c r="O729" s="45">
        <f t="shared" si="168"/>
        <v>747320</v>
      </c>
      <c r="P729" s="46">
        <f t="shared" si="169"/>
        <v>0.31111111111111112</v>
      </c>
      <c r="Q729" s="46"/>
      <c r="R729" s="45">
        <f t="shared" si="170"/>
        <v>0</v>
      </c>
      <c r="S729" s="46">
        <f t="shared" si="171"/>
        <v>0</v>
      </c>
      <c r="T729" s="46">
        <f>IFERROR(VLOOKUP(A729,'[1]Re-order'!$A:$Q,17,0),"")</f>
        <v>20.105787181082761</v>
      </c>
      <c r="U729" s="46">
        <f>IFERROR(VLOOKUP(A729,'[1]MC Masterlist 2026-09-12'!$B:$M, 10, 0),0)</f>
        <v>15</v>
      </c>
      <c r="V729" s="46">
        <f>IFERROR(VLOOKUP(A729,'[1]MC Masterlist 2026-09-12'!$B:$M, 11, 0),0)</f>
        <v>15</v>
      </c>
      <c r="W729" s="46">
        <f t="shared" si="172"/>
        <v>30</v>
      </c>
      <c r="X729" s="46">
        <f t="shared" si="173"/>
        <v>25.333333333333332</v>
      </c>
      <c r="Y729" s="46">
        <f>IFERROR(IF(OR(C729="AREA I",C729="AREA V"),7,VLOOKUP(A729,'[1]MC Masterlist 2026-09-12'!$B:$M, 12, 0)),0)</f>
        <v>30</v>
      </c>
      <c r="Z729" s="46">
        <f t="shared" si="174"/>
        <v>4.666666666666667</v>
      </c>
      <c r="AA729" s="46">
        <f t="shared" si="175"/>
        <v>9.3333333333333339</v>
      </c>
      <c r="AB729" s="46">
        <f t="shared" si="176"/>
        <v>7.8814814814814813</v>
      </c>
      <c r="AC729" s="46">
        <f t="shared" si="177"/>
        <v>9.3333333333333339</v>
      </c>
      <c r="AD729" s="44" t="str">
        <f t="shared" si="178"/>
        <v>Stockout</v>
      </c>
      <c r="AE729" s="44" t="str">
        <f>IFERROR(VLOOKUP(A729,'[1]Re-order'!$A:$AA,27,0),"")</f>
        <v>Stockout</v>
      </c>
      <c r="AF729" s="46">
        <f t="shared" si="179"/>
        <v>9.3333333333333339</v>
      </c>
      <c r="AG729" s="46">
        <f>SUMIFS('[1]Raw Inventory'!D:D,'[1]Raw Inventory'!C:C,"GREATWALL",'[1]Raw Inventory'!B:B,A729)</f>
        <v>176</v>
      </c>
      <c r="AH729" s="46">
        <f>SUMIFS('[1]Raw Inventory'!D:D,'[1]Raw Inventory'!C:C,"DUARTE",'[1]Raw Inventory'!B:B,A729)</f>
        <v>0</v>
      </c>
      <c r="AI729" s="46"/>
      <c r="AJ729" s="46"/>
      <c r="AK729" s="43"/>
      <c r="AL729" s="43"/>
      <c r="AM729" s="43"/>
      <c r="AN729" s="43"/>
      <c r="AO729" s="43"/>
      <c r="AP729" s="43"/>
      <c r="AQ729" s="43"/>
      <c r="AR729" s="43"/>
      <c r="AS729" s="43"/>
      <c r="AT729" s="43"/>
    </row>
    <row r="730" spans="1:46">
      <c r="A730" s="43" t="s">
        <v>73</v>
      </c>
      <c r="B730" s="43" t="s">
        <v>113</v>
      </c>
      <c r="C730" s="43" t="s">
        <v>109</v>
      </c>
      <c r="D730" s="44" t="s">
        <v>265</v>
      </c>
      <c r="E730" s="44">
        <v>33</v>
      </c>
      <c r="F730" s="44" t="s">
        <v>3</v>
      </c>
      <c r="G730" s="43" t="str">
        <f>IFERROR(VLOOKUP(A730,'[1]MC Masterlist 2026-09-12'!$B:$M, 3, 0),"")</f>
        <v>SUZUKI</v>
      </c>
      <c r="H730" s="45">
        <f>IFERROR(VLOOKUP(A730,'[1]MC Masterlist 2026-09-12'!$B:$M, 6, 0),"")</f>
        <v>122770</v>
      </c>
      <c r="I730" s="46">
        <v>0</v>
      </c>
      <c r="J730" s="46">
        <v>0</v>
      </c>
      <c r="K730" s="46">
        <v>0</v>
      </c>
      <c r="L730" s="46">
        <f t="shared" si="165"/>
        <v>0</v>
      </c>
      <c r="M730" s="46">
        <f t="shared" si="166"/>
        <v>0</v>
      </c>
      <c r="N730" s="45">
        <f t="shared" si="167"/>
        <v>0</v>
      </c>
      <c r="O730" s="45">
        <f t="shared" si="168"/>
        <v>0</v>
      </c>
      <c r="P730" s="46">
        <f t="shared" si="169"/>
        <v>0</v>
      </c>
      <c r="Q730" s="46">
        <v>2</v>
      </c>
      <c r="R730" s="45">
        <f t="shared" si="170"/>
        <v>245540</v>
      </c>
      <c r="S730" s="46">
        <f t="shared" si="171"/>
        <v>0</v>
      </c>
      <c r="T730" s="46">
        <f>IFERROR(VLOOKUP(A730,'[1]Re-order'!$A:$Q,17,0),"")</f>
        <v>787.50000000000011</v>
      </c>
      <c r="U730" s="46">
        <f>IFERROR(VLOOKUP(A730,'[1]MC Masterlist 2026-09-12'!$B:$M, 10, 0),0)</f>
        <v>15</v>
      </c>
      <c r="V730" s="46">
        <f>IFERROR(VLOOKUP(A730,'[1]MC Masterlist 2026-09-12'!$B:$M, 11, 0),0)</f>
        <v>15</v>
      </c>
      <c r="W730" s="46">
        <f t="shared" si="172"/>
        <v>30</v>
      </c>
      <c r="X730" s="46">
        <f t="shared" si="173"/>
        <v>30</v>
      </c>
      <c r="Y730" s="46">
        <f>IFERROR(IF(OR(C730="AREA I",C730="AREA V"),7,VLOOKUP(A730,'[1]MC Masterlist 2026-09-12'!$B:$M, 12, 0)),0)</f>
        <v>30</v>
      </c>
      <c r="Z730" s="46">
        <f t="shared" si="174"/>
        <v>0</v>
      </c>
      <c r="AA730" s="46">
        <f t="shared" si="175"/>
        <v>0</v>
      </c>
      <c r="AB730" s="46">
        <f t="shared" si="176"/>
        <v>0</v>
      </c>
      <c r="AC730" s="46">
        <f t="shared" si="177"/>
        <v>0</v>
      </c>
      <c r="AD730" s="44" t="str">
        <f t="shared" si="178"/>
        <v>Over</v>
      </c>
      <c r="AE730" s="44" t="str">
        <f>IFERROR(VLOOKUP(A730,'[1]Re-order'!$A:$AA,27,0),"")</f>
        <v>Over</v>
      </c>
      <c r="AF730" s="46">
        <f t="shared" si="179"/>
        <v>-2</v>
      </c>
      <c r="AG730" s="46">
        <f>SUMIFS('[1]Raw Inventory'!D:D,'[1]Raw Inventory'!C:C,"GREATWALL",'[1]Raw Inventory'!B:B,A730)</f>
        <v>9</v>
      </c>
      <c r="AH730" s="46">
        <f>SUMIFS('[1]Raw Inventory'!D:D,'[1]Raw Inventory'!C:C,"DUARTE",'[1]Raw Inventory'!B:B,A730)</f>
        <v>0</v>
      </c>
      <c r="AI730" s="46"/>
      <c r="AJ730" s="46"/>
      <c r="AK730" s="43"/>
      <c r="AL730" s="43"/>
      <c r="AM730" s="43"/>
      <c r="AN730" s="43"/>
      <c r="AO730" s="43"/>
      <c r="AP730" s="43"/>
      <c r="AQ730" s="43"/>
      <c r="AR730" s="43"/>
      <c r="AS730" s="43"/>
      <c r="AT730" s="43"/>
    </row>
    <row r="731" spans="1:46">
      <c r="A731" s="43" t="s">
        <v>25</v>
      </c>
      <c r="B731" s="43" t="s">
        <v>154</v>
      </c>
      <c r="C731" s="43" t="s">
        <v>152</v>
      </c>
      <c r="D731" s="44" t="s">
        <v>234</v>
      </c>
      <c r="E731" s="44">
        <v>4</v>
      </c>
      <c r="F731" s="44" t="s">
        <v>0</v>
      </c>
      <c r="G731" s="43" t="str">
        <f>IFERROR(VLOOKUP(A731,'[1]MC Masterlist 2026-09-12'!$B:$M, 3, 0),"")</f>
        <v>YAMAHA</v>
      </c>
      <c r="H731" s="45">
        <f>IFERROR(VLOOKUP(A731,'[1]MC Masterlist 2026-09-12'!$B:$M, 6, 0),"")</f>
        <v>124527</v>
      </c>
      <c r="I731" s="46">
        <v>2</v>
      </c>
      <c r="J731" s="46">
        <v>1</v>
      </c>
      <c r="K731" s="46">
        <v>2</v>
      </c>
      <c r="L731" s="46">
        <f t="shared" si="165"/>
        <v>5</v>
      </c>
      <c r="M731" s="46">
        <f t="shared" si="166"/>
        <v>1.6666666666666667</v>
      </c>
      <c r="N731" s="45">
        <f t="shared" si="167"/>
        <v>622635</v>
      </c>
      <c r="O731" s="45">
        <f t="shared" si="168"/>
        <v>207545</v>
      </c>
      <c r="P731" s="46">
        <f t="shared" si="169"/>
        <v>5.5555555555555559E-2</v>
      </c>
      <c r="Q731" s="46">
        <v>1</v>
      </c>
      <c r="R731" s="45">
        <f t="shared" si="170"/>
        <v>124527</v>
      </c>
      <c r="S731" s="46">
        <f t="shared" si="171"/>
        <v>18</v>
      </c>
      <c r="T731" s="46">
        <f>IFERROR(VLOOKUP(A731,'[1]Re-order'!$A:$Q,17,0),"")</f>
        <v>5.1030927835051543</v>
      </c>
      <c r="U731" s="46">
        <f>IFERROR(VLOOKUP(A731,'[1]MC Masterlist 2026-09-12'!$B:$M, 10, 0),0)</f>
        <v>15</v>
      </c>
      <c r="V731" s="46">
        <f>IFERROR(VLOOKUP(A731,'[1]MC Masterlist 2026-09-12'!$B:$M, 11, 0),0)</f>
        <v>15</v>
      </c>
      <c r="W731" s="46">
        <f t="shared" si="172"/>
        <v>30</v>
      </c>
      <c r="X731" s="46">
        <f t="shared" si="173"/>
        <v>29.166666666666668</v>
      </c>
      <c r="Y731" s="46">
        <f>IFERROR(IF(OR(C731="AREA I",C731="AREA V"),7,VLOOKUP(A731,'[1]MC Masterlist 2026-09-12'!$B:$M, 12, 0)),0)</f>
        <v>30</v>
      </c>
      <c r="Z731" s="46">
        <f t="shared" si="174"/>
        <v>0.83333333333333337</v>
      </c>
      <c r="AA731" s="46">
        <f t="shared" si="175"/>
        <v>1.6666666666666667</v>
      </c>
      <c r="AB731" s="46">
        <f t="shared" si="176"/>
        <v>1.6203703703703705</v>
      </c>
      <c r="AC731" s="46">
        <f t="shared" si="177"/>
        <v>1.6666666666666667</v>
      </c>
      <c r="AD731" s="44" t="str">
        <f t="shared" si="178"/>
        <v>Re-order</v>
      </c>
      <c r="AE731" s="44" t="str">
        <f>IFERROR(VLOOKUP(A731,'[1]Re-order'!$A:$AA,27,0),"")</f>
        <v>Stockout</v>
      </c>
      <c r="AF731" s="46">
        <f t="shared" si="179"/>
        <v>0.66666666666666674</v>
      </c>
      <c r="AG731" s="46">
        <f>SUMIFS('[1]Raw Inventory'!D:D,'[1]Raw Inventory'!C:C,"GREATWALL",'[1]Raw Inventory'!B:B,A731)</f>
        <v>1</v>
      </c>
      <c r="AH731" s="46">
        <f>SUMIFS('[1]Raw Inventory'!D:D,'[1]Raw Inventory'!C:C,"DUARTE",'[1]Raw Inventory'!B:B,A731)</f>
        <v>0</v>
      </c>
      <c r="AI731" s="46"/>
      <c r="AJ731" s="46"/>
      <c r="AK731" s="43"/>
      <c r="AL731" s="43"/>
      <c r="AM731" s="43"/>
      <c r="AN731" s="43"/>
      <c r="AO731" s="43"/>
      <c r="AP731" s="43"/>
      <c r="AQ731" s="43"/>
      <c r="AR731" s="43"/>
      <c r="AS731" s="43"/>
      <c r="AT731" s="43"/>
    </row>
    <row r="732" spans="1:46">
      <c r="A732" s="43" t="s">
        <v>82</v>
      </c>
      <c r="B732" s="43" t="s">
        <v>113</v>
      </c>
      <c r="C732" s="43" t="s">
        <v>109</v>
      </c>
      <c r="D732" s="44" t="s">
        <v>231</v>
      </c>
      <c r="E732" s="44">
        <v>31</v>
      </c>
      <c r="F732" s="44" t="s">
        <v>3</v>
      </c>
      <c r="G732" s="43" t="str">
        <f>IFERROR(VLOOKUP(A732,'[1]MC Masterlist 2026-09-12'!$B:$M, 3, 0),"")</f>
        <v>SUZUKI</v>
      </c>
      <c r="H732" s="45">
        <f>IFERROR(VLOOKUP(A732,'[1]MC Masterlist 2026-09-12'!$B:$M, 6, 0),"")</f>
        <v>67342</v>
      </c>
      <c r="I732" s="46">
        <v>1</v>
      </c>
      <c r="J732" s="46">
        <v>0</v>
      </c>
      <c r="K732" s="46">
        <v>0</v>
      </c>
      <c r="L732" s="46">
        <f t="shared" si="165"/>
        <v>1</v>
      </c>
      <c r="M732" s="46">
        <f t="shared" si="166"/>
        <v>0.33333333333333331</v>
      </c>
      <c r="N732" s="45">
        <f t="shared" si="167"/>
        <v>67342</v>
      </c>
      <c r="O732" s="45">
        <f t="shared" si="168"/>
        <v>22447.333333333332</v>
      </c>
      <c r="P732" s="46">
        <f t="shared" si="169"/>
        <v>1.111111111111111E-2</v>
      </c>
      <c r="Q732" s="46">
        <v>2</v>
      </c>
      <c r="R732" s="45">
        <f t="shared" si="170"/>
        <v>134684</v>
      </c>
      <c r="S732" s="46">
        <f t="shared" si="171"/>
        <v>180</v>
      </c>
      <c r="T732" s="46">
        <f>IFERROR(VLOOKUP(A732,'[1]Re-order'!$A:$Q,17,0),"")</f>
        <v>64.8</v>
      </c>
      <c r="U732" s="46">
        <f>IFERROR(VLOOKUP(A732,'[1]MC Masterlist 2026-09-12'!$B:$M, 10, 0),0)</f>
        <v>15</v>
      </c>
      <c r="V732" s="46">
        <f>IFERROR(VLOOKUP(A732,'[1]MC Masterlist 2026-09-12'!$B:$M, 11, 0),0)</f>
        <v>15</v>
      </c>
      <c r="W732" s="46">
        <f t="shared" si="172"/>
        <v>30</v>
      </c>
      <c r="X732" s="46">
        <f t="shared" si="173"/>
        <v>29.833333333333332</v>
      </c>
      <c r="Y732" s="46">
        <f>IFERROR(IF(OR(C732="AREA I",C732="AREA V"),7,VLOOKUP(A732,'[1]MC Masterlist 2026-09-12'!$B:$M, 12, 0)),0)</f>
        <v>30</v>
      </c>
      <c r="Z732" s="46">
        <f t="shared" si="174"/>
        <v>0.16666666666666666</v>
      </c>
      <c r="AA732" s="46">
        <f t="shared" si="175"/>
        <v>0.33333333333333331</v>
      </c>
      <c r="AB732" s="46">
        <f t="shared" si="176"/>
        <v>0.33148148148148143</v>
      </c>
      <c r="AC732" s="46">
        <f t="shared" si="177"/>
        <v>0.33333333333333331</v>
      </c>
      <c r="AD732" s="44" t="str">
        <f t="shared" si="178"/>
        <v>Over</v>
      </c>
      <c r="AE732" s="44" t="str">
        <f>IFERROR(VLOOKUP(A732,'[1]Re-order'!$A:$AA,27,0),"")</f>
        <v>Re-order</v>
      </c>
      <c r="AF732" s="46">
        <f t="shared" si="179"/>
        <v>-1.6666666666666667</v>
      </c>
      <c r="AG732" s="46">
        <f>SUMIFS('[1]Raw Inventory'!D:D,'[1]Raw Inventory'!C:C,"GREATWALL",'[1]Raw Inventory'!B:B,A732)</f>
        <v>1</v>
      </c>
      <c r="AH732" s="46">
        <f>SUMIFS('[1]Raw Inventory'!D:D,'[1]Raw Inventory'!C:C,"DUARTE",'[1]Raw Inventory'!B:B,A732)</f>
        <v>0</v>
      </c>
      <c r="AI732" s="46"/>
      <c r="AJ732" s="46"/>
      <c r="AK732" s="43"/>
      <c r="AL732" s="43"/>
      <c r="AM732" s="43"/>
      <c r="AN732" s="43"/>
      <c r="AO732" s="43"/>
      <c r="AP732" s="43"/>
      <c r="AQ732" s="43"/>
      <c r="AR732" s="43"/>
      <c r="AS732" s="43"/>
      <c r="AT732" s="43"/>
    </row>
    <row r="733" spans="1:46">
      <c r="A733" s="43" t="s">
        <v>18</v>
      </c>
      <c r="B733" s="43" t="s">
        <v>146</v>
      </c>
      <c r="C733" s="43" t="s">
        <v>137</v>
      </c>
      <c r="D733" s="44" t="s">
        <v>232</v>
      </c>
      <c r="E733" s="44">
        <v>28</v>
      </c>
      <c r="F733" s="44" t="s">
        <v>3</v>
      </c>
      <c r="G733" s="43" t="str">
        <f>IFERROR(VLOOKUP(A733,'[1]MC Masterlist 2026-09-12'!$B:$M, 3, 0),"")</f>
        <v>HONDA</v>
      </c>
      <c r="H733" s="45">
        <f>IFERROR(VLOOKUP(A733,'[1]MC Masterlist 2026-09-12'!$B:$M, 6, 0),"")</f>
        <v>94330</v>
      </c>
      <c r="I733" s="46">
        <v>0</v>
      </c>
      <c r="J733" s="46">
        <v>0</v>
      </c>
      <c r="K733" s="46">
        <v>0</v>
      </c>
      <c r="L733" s="46">
        <f t="shared" si="165"/>
        <v>0</v>
      </c>
      <c r="M733" s="46">
        <f t="shared" si="166"/>
        <v>0</v>
      </c>
      <c r="N733" s="45">
        <f t="shared" si="167"/>
        <v>0</v>
      </c>
      <c r="O733" s="45">
        <f t="shared" si="168"/>
        <v>0</v>
      </c>
      <c r="P733" s="46">
        <f t="shared" si="169"/>
        <v>0</v>
      </c>
      <c r="Q733" s="46">
        <v>1</v>
      </c>
      <c r="R733" s="45">
        <f t="shared" si="170"/>
        <v>94330</v>
      </c>
      <c r="S733" s="46">
        <f t="shared" si="171"/>
        <v>0</v>
      </c>
      <c r="T733" s="46">
        <f>IFERROR(VLOOKUP(A733,'[1]Re-order'!$A:$Q,17,0),"")</f>
        <v>113.9644970414201</v>
      </c>
      <c r="U733" s="46">
        <f>IFERROR(VLOOKUP(A733,'[1]MC Masterlist 2026-09-12'!$B:$M, 10, 0),0)</f>
        <v>15</v>
      </c>
      <c r="V733" s="46">
        <f>IFERROR(VLOOKUP(A733,'[1]MC Masterlist 2026-09-12'!$B:$M, 11, 0),0)</f>
        <v>15</v>
      </c>
      <c r="W733" s="46">
        <f t="shared" si="172"/>
        <v>30</v>
      </c>
      <c r="X733" s="46">
        <f t="shared" si="173"/>
        <v>7</v>
      </c>
      <c r="Y733" s="46">
        <f>IFERROR(IF(OR(C733="AREA I",C733="AREA V"),7,VLOOKUP(A733,'[1]MC Masterlist 2026-09-12'!$B:$M, 12, 0)),0)</f>
        <v>7</v>
      </c>
      <c r="Z733" s="46">
        <f t="shared" si="174"/>
        <v>0</v>
      </c>
      <c r="AA733" s="46">
        <f t="shared" si="175"/>
        <v>0</v>
      </c>
      <c r="AB733" s="46">
        <f t="shared" si="176"/>
        <v>0</v>
      </c>
      <c r="AC733" s="46">
        <f t="shared" si="177"/>
        <v>0</v>
      </c>
      <c r="AD733" s="44" t="str">
        <f t="shared" si="178"/>
        <v>Over</v>
      </c>
      <c r="AE733" s="44" t="str">
        <f>IFERROR(VLOOKUP(A733,'[1]Re-order'!$A:$AA,27,0),"")</f>
        <v>Over</v>
      </c>
      <c r="AF733" s="46">
        <f t="shared" si="179"/>
        <v>-1</v>
      </c>
      <c r="AG733" s="46">
        <f>SUMIFS('[1]Raw Inventory'!D:D,'[1]Raw Inventory'!C:C,"GREATWALL",'[1]Raw Inventory'!B:B,A733)</f>
        <v>88</v>
      </c>
      <c r="AH733" s="46">
        <f>SUMIFS('[1]Raw Inventory'!D:D,'[1]Raw Inventory'!C:C,"DUARTE",'[1]Raw Inventory'!B:B,A733)</f>
        <v>0</v>
      </c>
      <c r="AI733" s="46"/>
      <c r="AJ733" s="46"/>
      <c r="AK733" s="43"/>
      <c r="AL733" s="43"/>
      <c r="AM733" s="43"/>
      <c r="AN733" s="43"/>
      <c r="AO733" s="43"/>
      <c r="AP733" s="43"/>
      <c r="AQ733" s="43"/>
      <c r="AR733" s="43"/>
      <c r="AS733" s="43"/>
      <c r="AT733" s="43"/>
    </row>
    <row r="734" spans="1:46">
      <c r="A734" s="43" t="s">
        <v>46</v>
      </c>
      <c r="B734" s="43" t="s">
        <v>94</v>
      </c>
      <c r="C734" s="43" t="s">
        <v>90</v>
      </c>
      <c r="D734" s="44" t="s">
        <v>280</v>
      </c>
      <c r="E734" s="44">
        <v>21</v>
      </c>
      <c r="F734" s="44" t="s">
        <v>2</v>
      </c>
      <c r="G734" s="43" t="str">
        <f>IFERROR(VLOOKUP(A734,'[1]MC Masterlist 2026-09-12'!$B:$M, 3, 0),"")</f>
        <v>HONDA</v>
      </c>
      <c r="H734" s="45">
        <f>IFERROR(VLOOKUP(A734,'[1]MC Masterlist 2026-09-12'!$B:$M, 6, 0),"")</f>
        <v>73630</v>
      </c>
      <c r="I734" s="46">
        <v>0</v>
      </c>
      <c r="J734" s="46">
        <v>1</v>
      </c>
      <c r="K734" s="46">
        <v>0</v>
      </c>
      <c r="L734" s="46">
        <f t="shared" si="165"/>
        <v>1</v>
      </c>
      <c r="M734" s="46">
        <f t="shared" si="166"/>
        <v>0.33333333333333331</v>
      </c>
      <c r="N734" s="45">
        <f t="shared" si="167"/>
        <v>73630</v>
      </c>
      <c r="O734" s="45">
        <f t="shared" si="168"/>
        <v>24543.333333333332</v>
      </c>
      <c r="P734" s="46">
        <f t="shared" si="169"/>
        <v>1.111111111111111E-2</v>
      </c>
      <c r="Q734" s="46"/>
      <c r="R734" s="45">
        <f t="shared" si="170"/>
        <v>0</v>
      </c>
      <c r="S734" s="46">
        <f t="shared" si="171"/>
        <v>0</v>
      </c>
      <c r="T734" s="46">
        <f>IFERROR(VLOOKUP(A734,'[1]Re-order'!$A:$Q,17,0),"")</f>
        <v>51</v>
      </c>
      <c r="U734" s="46">
        <f>IFERROR(VLOOKUP(A734,'[1]MC Masterlist 2026-09-12'!$B:$M, 10, 0),0)</f>
        <v>15</v>
      </c>
      <c r="V734" s="46">
        <f>IFERROR(VLOOKUP(A734,'[1]MC Masterlist 2026-09-12'!$B:$M, 11, 0),0)</f>
        <v>15</v>
      </c>
      <c r="W734" s="46">
        <f t="shared" si="172"/>
        <v>30</v>
      </c>
      <c r="X734" s="46">
        <f t="shared" si="173"/>
        <v>29.833333333333332</v>
      </c>
      <c r="Y734" s="46">
        <f>IFERROR(IF(OR(C734="AREA I",C734="AREA V"),7,VLOOKUP(A734,'[1]MC Masterlist 2026-09-12'!$B:$M, 12, 0)),0)</f>
        <v>30</v>
      </c>
      <c r="Z734" s="46">
        <f t="shared" si="174"/>
        <v>0.16666666666666666</v>
      </c>
      <c r="AA734" s="46">
        <f t="shared" si="175"/>
        <v>0.33333333333333331</v>
      </c>
      <c r="AB734" s="46">
        <f t="shared" si="176"/>
        <v>0.33148148148148143</v>
      </c>
      <c r="AC734" s="46">
        <f t="shared" si="177"/>
        <v>0.33333333333333331</v>
      </c>
      <c r="AD734" s="44" t="str">
        <f t="shared" si="178"/>
        <v>Stockout</v>
      </c>
      <c r="AE734" s="44" t="str">
        <f>IFERROR(VLOOKUP(A734,'[1]Re-order'!$A:$AA,27,0),"")</f>
        <v>Re-order</v>
      </c>
      <c r="AF734" s="46">
        <f t="shared" si="179"/>
        <v>0.33333333333333331</v>
      </c>
      <c r="AG734" s="46">
        <f>SUMIFS('[1]Raw Inventory'!D:D,'[1]Raw Inventory'!C:C,"GREATWALL",'[1]Raw Inventory'!B:B,A734)</f>
        <v>0</v>
      </c>
      <c r="AH734" s="46">
        <f>SUMIFS('[1]Raw Inventory'!D:D,'[1]Raw Inventory'!C:C,"DUARTE",'[1]Raw Inventory'!B:B,A734)</f>
        <v>0</v>
      </c>
      <c r="AI734" s="46"/>
      <c r="AJ734" s="46"/>
      <c r="AK734" s="43"/>
      <c r="AL734" s="43"/>
      <c r="AM734" s="43"/>
      <c r="AN734" s="43"/>
      <c r="AO734" s="43"/>
      <c r="AP734" s="43"/>
      <c r="AQ734" s="43"/>
      <c r="AR734" s="43"/>
      <c r="AS734" s="43"/>
      <c r="AT734" s="43"/>
    </row>
    <row r="735" spans="1:46">
      <c r="A735" s="43" t="s">
        <v>40</v>
      </c>
      <c r="B735" s="43" t="s">
        <v>112</v>
      </c>
      <c r="C735" s="43" t="s">
        <v>109</v>
      </c>
      <c r="D735" s="44" t="s">
        <v>247</v>
      </c>
      <c r="E735" s="44">
        <v>22</v>
      </c>
      <c r="F735" s="44" t="s">
        <v>3</v>
      </c>
      <c r="G735" s="43" t="str">
        <f>IFERROR(VLOOKUP(A735,'[1]MC Masterlist 2026-09-12'!$B:$M, 3, 0),"")</f>
        <v>HONDA</v>
      </c>
      <c r="H735" s="45">
        <f>IFERROR(VLOOKUP(A735,'[1]MC Masterlist 2026-09-12'!$B:$M, 6, 0),"")</f>
        <v>56426</v>
      </c>
      <c r="I735" s="46">
        <v>1</v>
      </c>
      <c r="J735" s="46">
        <v>0</v>
      </c>
      <c r="K735" s="46">
        <v>0</v>
      </c>
      <c r="L735" s="46">
        <f t="shared" si="165"/>
        <v>1</v>
      </c>
      <c r="M735" s="46">
        <f t="shared" si="166"/>
        <v>0.33333333333333331</v>
      </c>
      <c r="N735" s="45">
        <f t="shared" si="167"/>
        <v>56426</v>
      </c>
      <c r="O735" s="45">
        <f t="shared" si="168"/>
        <v>18808.666666666664</v>
      </c>
      <c r="P735" s="46">
        <f t="shared" si="169"/>
        <v>1.111111111111111E-2</v>
      </c>
      <c r="Q735" s="46">
        <v>2</v>
      </c>
      <c r="R735" s="45">
        <f t="shared" si="170"/>
        <v>112852</v>
      </c>
      <c r="S735" s="46">
        <f t="shared" si="171"/>
        <v>180.00000000000003</v>
      </c>
      <c r="T735" s="46">
        <f>IFERROR(VLOOKUP(A735,'[1]Re-order'!$A:$Q,17,0),"")</f>
        <v>139.56521739130434</v>
      </c>
      <c r="U735" s="46">
        <f>IFERROR(VLOOKUP(A735,'[1]MC Masterlist 2026-09-12'!$B:$M, 10, 0),0)</f>
        <v>15</v>
      </c>
      <c r="V735" s="46">
        <f>IFERROR(VLOOKUP(A735,'[1]MC Masterlist 2026-09-12'!$B:$M, 11, 0),0)</f>
        <v>15</v>
      </c>
      <c r="W735" s="46">
        <f t="shared" si="172"/>
        <v>30</v>
      </c>
      <c r="X735" s="46">
        <f t="shared" si="173"/>
        <v>29.833333333333332</v>
      </c>
      <c r="Y735" s="46">
        <f>IFERROR(IF(OR(C735="AREA I",C735="AREA V"),7,VLOOKUP(A735,'[1]MC Masterlist 2026-09-12'!$B:$M, 12, 0)),0)</f>
        <v>30</v>
      </c>
      <c r="Z735" s="46">
        <f t="shared" si="174"/>
        <v>0.16666666666666666</v>
      </c>
      <c r="AA735" s="46">
        <f t="shared" si="175"/>
        <v>0.33333333333333331</v>
      </c>
      <c r="AB735" s="46">
        <f t="shared" si="176"/>
        <v>0.33148148148148143</v>
      </c>
      <c r="AC735" s="46">
        <f t="shared" si="177"/>
        <v>0.33333333333333331</v>
      </c>
      <c r="AD735" s="44" t="str">
        <f t="shared" si="178"/>
        <v>Over</v>
      </c>
      <c r="AE735" s="44" t="str">
        <f>IFERROR(VLOOKUP(A735,'[1]Re-order'!$A:$AA,27,0),"")</f>
        <v>Over</v>
      </c>
      <c r="AF735" s="46">
        <f t="shared" si="179"/>
        <v>-1.6666666666666667</v>
      </c>
      <c r="AG735" s="46">
        <f>SUMIFS('[1]Raw Inventory'!D:D,'[1]Raw Inventory'!C:C,"GREATWALL",'[1]Raw Inventory'!B:B,A735)</f>
        <v>45</v>
      </c>
      <c r="AH735" s="46">
        <f>SUMIFS('[1]Raw Inventory'!D:D,'[1]Raw Inventory'!C:C,"DUARTE",'[1]Raw Inventory'!B:B,A735)</f>
        <v>0</v>
      </c>
      <c r="AI735" s="46"/>
      <c r="AJ735" s="46"/>
      <c r="AK735" s="43"/>
      <c r="AL735" s="43"/>
      <c r="AM735" s="43"/>
      <c r="AN735" s="43"/>
      <c r="AO735" s="43"/>
      <c r="AP735" s="43"/>
      <c r="AQ735" s="43"/>
      <c r="AR735" s="43"/>
      <c r="AS735" s="43"/>
      <c r="AT735" s="43"/>
    </row>
    <row r="736" spans="1:46">
      <c r="A736" s="43" t="s">
        <v>40</v>
      </c>
      <c r="B736" s="43" t="s">
        <v>143</v>
      </c>
      <c r="C736" s="43" t="s">
        <v>137</v>
      </c>
      <c r="D736" s="44" t="s">
        <v>246</v>
      </c>
      <c r="E736" s="44">
        <v>13</v>
      </c>
      <c r="F736" s="44" t="s">
        <v>2</v>
      </c>
      <c r="G736" s="43" t="str">
        <f>IFERROR(VLOOKUP(A736,'[1]MC Masterlist 2026-09-12'!$B:$M, 3, 0),"")</f>
        <v>HONDA</v>
      </c>
      <c r="H736" s="45">
        <f>IFERROR(VLOOKUP(A736,'[1]MC Masterlist 2026-09-12'!$B:$M, 6, 0),"")</f>
        <v>56426</v>
      </c>
      <c r="I736" s="46">
        <v>3</v>
      </c>
      <c r="J736" s="46">
        <v>0</v>
      </c>
      <c r="K736" s="46">
        <v>0</v>
      </c>
      <c r="L736" s="46">
        <f t="shared" si="165"/>
        <v>3</v>
      </c>
      <c r="M736" s="46">
        <f t="shared" si="166"/>
        <v>1</v>
      </c>
      <c r="N736" s="45">
        <f t="shared" si="167"/>
        <v>169278</v>
      </c>
      <c r="O736" s="45">
        <f t="shared" si="168"/>
        <v>56426</v>
      </c>
      <c r="P736" s="46">
        <f t="shared" si="169"/>
        <v>3.3333333333333333E-2</v>
      </c>
      <c r="Q736" s="46">
        <v>4</v>
      </c>
      <c r="R736" s="45">
        <f t="shared" si="170"/>
        <v>225704</v>
      </c>
      <c r="S736" s="46">
        <f t="shared" si="171"/>
        <v>120</v>
      </c>
      <c r="T736" s="46">
        <f>IFERROR(VLOOKUP(A736,'[1]Re-order'!$A:$Q,17,0),"")</f>
        <v>139.56521739130434</v>
      </c>
      <c r="U736" s="46">
        <f>IFERROR(VLOOKUP(A736,'[1]MC Masterlist 2026-09-12'!$B:$M, 10, 0),0)</f>
        <v>15</v>
      </c>
      <c r="V736" s="46">
        <f>IFERROR(VLOOKUP(A736,'[1]MC Masterlist 2026-09-12'!$B:$M, 11, 0),0)</f>
        <v>15</v>
      </c>
      <c r="W736" s="46">
        <f t="shared" si="172"/>
        <v>30</v>
      </c>
      <c r="X736" s="46">
        <f t="shared" si="173"/>
        <v>6.5</v>
      </c>
      <c r="Y736" s="46">
        <f>IFERROR(IF(OR(C736="AREA I",C736="AREA V"),7,VLOOKUP(A736,'[1]MC Masterlist 2026-09-12'!$B:$M, 12, 0)),0)</f>
        <v>7</v>
      </c>
      <c r="Z736" s="46">
        <f t="shared" si="174"/>
        <v>0.5</v>
      </c>
      <c r="AA736" s="46">
        <f t="shared" si="175"/>
        <v>1</v>
      </c>
      <c r="AB736" s="46">
        <f t="shared" si="176"/>
        <v>0.21666666666666667</v>
      </c>
      <c r="AC736" s="46">
        <f t="shared" si="177"/>
        <v>0.23333333333333334</v>
      </c>
      <c r="AD736" s="44" t="str">
        <f t="shared" si="178"/>
        <v>Over</v>
      </c>
      <c r="AE736" s="44" t="str">
        <f>IFERROR(VLOOKUP(A736,'[1]Re-order'!$A:$AA,27,0),"")</f>
        <v>Over</v>
      </c>
      <c r="AF736" s="46">
        <f t="shared" si="179"/>
        <v>-3.7666666666666666</v>
      </c>
      <c r="AG736" s="46">
        <f>SUMIFS('[1]Raw Inventory'!D:D,'[1]Raw Inventory'!C:C,"GREATWALL",'[1]Raw Inventory'!B:B,A736)</f>
        <v>45</v>
      </c>
      <c r="AH736" s="46">
        <f>SUMIFS('[1]Raw Inventory'!D:D,'[1]Raw Inventory'!C:C,"DUARTE",'[1]Raw Inventory'!B:B,A736)</f>
        <v>0</v>
      </c>
      <c r="AI736" s="46"/>
      <c r="AJ736" s="46"/>
      <c r="AK736" s="43"/>
      <c r="AL736" s="43"/>
      <c r="AM736" s="43"/>
      <c r="AN736" s="43"/>
      <c r="AO736" s="43"/>
      <c r="AP736" s="43"/>
      <c r="AQ736" s="43"/>
      <c r="AR736" s="43"/>
      <c r="AS736" s="43"/>
      <c r="AT736" s="43"/>
    </row>
    <row r="737" spans="1:46">
      <c r="A737" s="43" t="s">
        <v>52</v>
      </c>
      <c r="B737" s="43" t="s">
        <v>157</v>
      </c>
      <c r="C737" s="43" t="s">
        <v>152</v>
      </c>
      <c r="D737" s="44" t="s">
        <v>231</v>
      </c>
      <c r="E737" s="44">
        <v>24</v>
      </c>
      <c r="F737" s="44" t="s">
        <v>3</v>
      </c>
      <c r="G737" s="43" t="str">
        <f>IFERROR(VLOOKUP(A737,'[1]MC Masterlist 2026-09-12'!$B:$M, 3, 0),"")</f>
        <v>YAMAHA</v>
      </c>
      <c r="H737" s="45">
        <f>IFERROR(VLOOKUP(A737,'[1]MC Masterlist 2026-09-12'!$B:$M, 6, 0),"")</f>
        <v>85446</v>
      </c>
      <c r="I737" s="46">
        <v>0</v>
      </c>
      <c r="J737" s="46">
        <v>0</v>
      </c>
      <c r="K737" s="46">
        <v>0</v>
      </c>
      <c r="L737" s="46">
        <f t="shared" si="165"/>
        <v>0</v>
      </c>
      <c r="M737" s="46">
        <f t="shared" si="166"/>
        <v>0</v>
      </c>
      <c r="N737" s="45">
        <f t="shared" si="167"/>
        <v>0</v>
      </c>
      <c r="O737" s="45">
        <f t="shared" si="168"/>
        <v>0</v>
      </c>
      <c r="P737" s="46">
        <f t="shared" si="169"/>
        <v>0</v>
      </c>
      <c r="Q737" s="46">
        <v>1</v>
      </c>
      <c r="R737" s="45">
        <f t="shared" si="170"/>
        <v>85446</v>
      </c>
      <c r="S737" s="46">
        <f t="shared" si="171"/>
        <v>0</v>
      </c>
      <c r="T737" s="46">
        <f>IFERROR(VLOOKUP(A737,'[1]Re-order'!$A:$Q,17,0),"")</f>
        <v>95.454545454545453</v>
      </c>
      <c r="U737" s="46">
        <f>IFERROR(VLOOKUP(A737,'[1]MC Masterlist 2026-09-12'!$B:$M, 10, 0),0)</f>
        <v>15</v>
      </c>
      <c r="V737" s="46">
        <f>IFERROR(VLOOKUP(A737,'[1]MC Masterlist 2026-09-12'!$B:$M, 11, 0),0)</f>
        <v>15</v>
      </c>
      <c r="W737" s="46">
        <f t="shared" si="172"/>
        <v>30</v>
      </c>
      <c r="X737" s="46">
        <f t="shared" si="173"/>
        <v>30</v>
      </c>
      <c r="Y737" s="46">
        <f>IFERROR(IF(OR(C737="AREA I",C737="AREA V"),7,VLOOKUP(A737,'[1]MC Masterlist 2026-09-12'!$B:$M, 12, 0)),0)</f>
        <v>30</v>
      </c>
      <c r="Z737" s="46">
        <f t="shared" si="174"/>
        <v>0</v>
      </c>
      <c r="AA737" s="46">
        <f t="shared" si="175"/>
        <v>0</v>
      </c>
      <c r="AB737" s="46">
        <f t="shared" si="176"/>
        <v>0</v>
      </c>
      <c r="AC737" s="46">
        <f t="shared" si="177"/>
        <v>0</v>
      </c>
      <c r="AD737" s="44" t="str">
        <f t="shared" si="178"/>
        <v>Over</v>
      </c>
      <c r="AE737" s="44" t="str">
        <f>IFERROR(VLOOKUP(A737,'[1]Re-order'!$A:$AA,27,0),"")</f>
        <v>Over</v>
      </c>
      <c r="AF737" s="46">
        <f t="shared" si="179"/>
        <v>-1</v>
      </c>
      <c r="AG737" s="46">
        <f>SUMIFS('[1]Raw Inventory'!D:D,'[1]Raw Inventory'!C:C,"GREATWALL",'[1]Raw Inventory'!B:B,A737)</f>
        <v>0</v>
      </c>
      <c r="AH737" s="46">
        <f>SUMIFS('[1]Raw Inventory'!D:D,'[1]Raw Inventory'!C:C,"DUARTE",'[1]Raw Inventory'!B:B,A737)</f>
        <v>0</v>
      </c>
      <c r="AI737" s="46"/>
      <c r="AJ737" s="46"/>
      <c r="AK737" s="43"/>
      <c r="AL737" s="43"/>
      <c r="AM737" s="43"/>
      <c r="AN737" s="43"/>
      <c r="AO737" s="43"/>
      <c r="AP737" s="43"/>
      <c r="AQ737" s="43"/>
      <c r="AR737" s="43"/>
      <c r="AS737" s="43"/>
      <c r="AT737" s="43"/>
    </row>
    <row r="738" spans="1:46">
      <c r="A738" s="43" t="s">
        <v>14</v>
      </c>
      <c r="B738" s="43" t="s">
        <v>156</v>
      </c>
      <c r="C738" s="43" t="s">
        <v>152</v>
      </c>
      <c r="D738" s="44" t="s">
        <v>238</v>
      </c>
      <c r="E738" s="44">
        <v>2</v>
      </c>
      <c r="F738" s="44" t="s">
        <v>0</v>
      </c>
      <c r="G738" s="43" t="str">
        <f>IFERROR(VLOOKUP(A738,'[1]MC Masterlist 2026-09-12'!$B:$M, 3, 0),"")</f>
        <v>HONDA</v>
      </c>
      <c r="H738" s="45">
        <f>IFERROR(VLOOKUP(A738,'[1]MC Masterlist 2026-09-12'!$B:$M, 6, 0),"")</f>
        <v>80070</v>
      </c>
      <c r="I738" s="46">
        <v>8</v>
      </c>
      <c r="J738" s="46">
        <v>5</v>
      </c>
      <c r="K738" s="46">
        <v>9</v>
      </c>
      <c r="L738" s="46">
        <f t="shared" si="165"/>
        <v>22</v>
      </c>
      <c r="M738" s="46">
        <f t="shared" si="166"/>
        <v>7.333333333333333</v>
      </c>
      <c r="N738" s="45">
        <f t="shared" si="167"/>
        <v>1761540</v>
      </c>
      <c r="O738" s="45">
        <f t="shared" si="168"/>
        <v>587180</v>
      </c>
      <c r="P738" s="46">
        <f t="shared" si="169"/>
        <v>0.24444444444444444</v>
      </c>
      <c r="Q738" s="46">
        <v>2</v>
      </c>
      <c r="R738" s="45">
        <f t="shared" si="170"/>
        <v>160140</v>
      </c>
      <c r="S738" s="46">
        <f t="shared" si="171"/>
        <v>8.1818181818181817</v>
      </c>
      <c r="T738" s="46">
        <f>IFERROR(VLOOKUP(A738,'[1]Re-order'!$A:$Q,17,0),"")</f>
        <v>20.105787181082761</v>
      </c>
      <c r="U738" s="46">
        <f>IFERROR(VLOOKUP(A738,'[1]MC Masterlist 2026-09-12'!$B:$M, 10, 0),0)</f>
        <v>15</v>
      </c>
      <c r="V738" s="46">
        <f>IFERROR(VLOOKUP(A738,'[1]MC Masterlist 2026-09-12'!$B:$M, 11, 0),0)</f>
        <v>15</v>
      </c>
      <c r="W738" s="46">
        <f t="shared" si="172"/>
        <v>30</v>
      </c>
      <c r="X738" s="46">
        <f t="shared" si="173"/>
        <v>26.333333333333332</v>
      </c>
      <c r="Y738" s="46">
        <f>IFERROR(IF(OR(C738="AREA I",C738="AREA V"),7,VLOOKUP(A738,'[1]MC Masterlist 2026-09-12'!$B:$M, 12, 0)),0)</f>
        <v>30</v>
      </c>
      <c r="Z738" s="46">
        <f t="shared" si="174"/>
        <v>3.6666666666666665</v>
      </c>
      <c r="AA738" s="46">
        <f t="shared" si="175"/>
        <v>7.333333333333333</v>
      </c>
      <c r="AB738" s="46">
        <f t="shared" si="176"/>
        <v>6.4370370370370367</v>
      </c>
      <c r="AC738" s="46">
        <f t="shared" si="177"/>
        <v>7.333333333333333</v>
      </c>
      <c r="AD738" s="44" t="str">
        <f t="shared" si="178"/>
        <v>Stockout</v>
      </c>
      <c r="AE738" s="44" t="str">
        <f>IFERROR(VLOOKUP(A738,'[1]Re-order'!$A:$AA,27,0),"")</f>
        <v>Stockout</v>
      </c>
      <c r="AF738" s="46">
        <f t="shared" si="179"/>
        <v>5.333333333333333</v>
      </c>
      <c r="AG738" s="46">
        <f>SUMIFS('[1]Raw Inventory'!D:D,'[1]Raw Inventory'!C:C,"GREATWALL",'[1]Raw Inventory'!B:B,A738)</f>
        <v>176</v>
      </c>
      <c r="AH738" s="46">
        <f>SUMIFS('[1]Raw Inventory'!D:D,'[1]Raw Inventory'!C:C,"DUARTE",'[1]Raw Inventory'!B:B,A738)</f>
        <v>0</v>
      </c>
      <c r="AI738" s="46"/>
      <c r="AJ738" s="46"/>
      <c r="AK738" s="43"/>
      <c r="AL738" s="43"/>
      <c r="AM738" s="43"/>
      <c r="AN738" s="43"/>
      <c r="AO738" s="43"/>
      <c r="AP738" s="43"/>
      <c r="AQ738" s="43"/>
      <c r="AR738" s="43"/>
      <c r="AS738" s="43"/>
      <c r="AT738" s="43"/>
    </row>
    <row r="739" spans="1:46">
      <c r="A739" s="43" t="s">
        <v>42</v>
      </c>
      <c r="B739" s="43" t="s">
        <v>156</v>
      </c>
      <c r="C739" s="43" t="s">
        <v>152</v>
      </c>
      <c r="D739" s="44" t="s">
        <v>239</v>
      </c>
      <c r="E739" s="44">
        <v>27</v>
      </c>
      <c r="F739" s="44" t="s">
        <v>3</v>
      </c>
      <c r="G739" s="43" t="str">
        <f>IFERROR(VLOOKUP(A739,'[1]MC Masterlist 2026-09-12'!$B:$M, 3, 0),"")</f>
        <v>YAMAHA</v>
      </c>
      <c r="H739" s="45">
        <f>IFERROR(VLOOKUP(A739,'[1]MC Masterlist 2026-09-12'!$B:$M, 6, 0),"")</f>
        <v>152892</v>
      </c>
      <c r="I739" s="46">
        <v>0</v>
      </c>
      <c r="J739" s="46">
        <v>0</v>
      </c>
      <c r="K739" s="46">
        <v>0</v>
      </c>
      <c r="L739" s="46">
        <f t="shared" si="165"/>
        <v>0</v>
      </c>
      <c r="M739" s="46">
        <f t="shared" si="166"/>
        <v>0</v>
      </c>
      <c r="N739" s="45">
        <f t="shared" si="167"/>
        <v>0</v>
      </c>
      <c r="O739" s="45">
        <f t="shared" si="168"/>
        <v>0</v>
      </c>
      <c r="P739" s="46">
        <f t="shared" si="169"/>
        <v>0</v>
      </c>
      <c r="Q739" s="46">
        <v>4</v>
      </c>
      <c r="R739" s="45">
        <f t="shared" si="170"/>
        <v>611568</v>
      </c>
      <c r="S739" s="46">
        <f t="shared" si="171"/>
        <v>0</v>
      </c>
      <c r="T739" s="46">
        <f>IFERROR(VLOOKUP(A739,'[1]Re-order'!$A:$Q,17,0),"")</f>
        <v>104.55882352941177</v>
      </c>
      <c r="U739" s="46">
        <f>IFERROR(VLOOKUP(A739,'[1]MC Masterlist 2026-09-12'!$B:$M, 10, 0),0)</f>
        <v>15</v>
      </c>
      <c r="V739" s="46">
        <f>IFERROR(VLOOKUP(A739,'[1]MC Masterlist 2026-09-12'!$B:$M, 11, 0),0)</f>
        <v>15</v>
      </c>
      <c r="W739" s="46">
        <f t="shared" si="172"/>
        <v>30</v>
      </c>
      <c r="X739" s="46">
        <f t="shared" si="173"/>
        <v>30</v>
      </c>
      <c r="Y739" s="46">
        <f>IFERROR(IF(OR(C739="AREA I",C739="AREA V"),7,VLOOKUP(A739,'[1]MC Masterlist 2026-09-12'!$B:$M, 12, 0)),0)</f>
        <v>30</v>
      </c>
      <c r="Z739" s="46">
        <f t="shared" si="174"/>
        <v>0</v>
      </c>
      <c r="AA739" s="46">
        <f t="shared" si="175"/>
        <v>0</v>
      </c>
      <c r="AB739" s="46">
        <f t="shared" si="176"/>
        <v>0</v>
      </c>
      <c r="AC739" s="46">
        <f t="shared" si="177"/>
        <v>0</v>
      </c>
      <c r="AD739" s="44" t="str">
        <f t="shared" si="178"/>
        <v>Over</v>
      </c>
      <c r="AE739" s="44" t="str">
        <f>IFERROR(VLOOKUP(A739,'[1]Re-order'!$A:$AA,27,0),"")</f>
        <v>Over</v>
      </c>
      <c r="AF739" s="46">
        <f t="shared" si="179"/>
        <v>-4</v>
      </c>
      <c r="AG739" s="46">
        <f>SUMIFS('[1]Raw Inventory'!D:D,'[1]Raw Inventory'!C:C,"GREATWALL",'[1]Raw Inventory'!B:B,A739)</f>
        <v>3</v>
      </c>
      <c r="AH739" s="46">
        <f>SUMIFS('[1]Raw Inventory'!D:D,'[1]Raw Inventory'!C:C,"DUARTE",'[1]Raw Inventory'!B:B,A739)</f>
        <v>0</v>
      </c>
      <c r="AI739" s="46"/>
      <c r="AJ739" s="46"/>
      <c r="AK739" s="43"/>
      <c r="AL739" s="43"/>
      <c r="AM739" s="43"/>
      <c r="AN739" s="43"/>
      <c r="AO739" s="43"/>
      <c r="AP739" s="43"/>
      <c r="AQ739" s="43"/>
      <c r="AR739" s="43"/>
      <c r="AS739" s="43"/>
      <c r="AT739" s="43"/>
    </row>
    <row r="740" spans="1:46">
      <c r="A740" s="43" t="s">
        <v>49</v>
      </c>
      <c r="B740" s="43" t="s">
        <v>95</v>
      </c>
      <c r="C740" s="43" t="s">
        <v>90</v>
      </c>
      <c r="D740" s="44" t="s">
        <v>227</v>
      </c>
      <c r="E740" s="44">
        <v>1</v>
      </c>
      <c r="F740" s="44" t="s">
        <v>0</v>
      </c>
      <c r="G740" s="43" t="str">
        <f>IFERROR(VLOOKUP(A740,'[1]MC Masterlist 2026-09-12'!$B:$M, 3, 0),"")</f>
        <v>BAJAJ RE</v>
      </c>
      <c r="H740" s="45">
        <f>IFERROR(VLOOKUP(A740,'[1]MC Masterlist 2026-09-12'!$B:$M, 6, 0),"")</f>
        <v>191000</v>
      </c>
      <c r="I740" s="46">
        <v>2</v>
      </c>
      <c r="J740" s="46">
        <v>2</v>
      </c>
      <c r="K740" s="46">
        <v>2</v>
      </c>
      <c r="L740" s="46">
        <f t="shared" si="165"/>
        <v>6</v>
      </c>
      <c r="M740" s="46">
        <f t="shared" si="166"/>
        <v>2</v>
      </c>
      <c r="N740" s="45">
        <f t="shared" si="167"/>
        <v>1146000</v>
      </c>
      <c r="O740" s="45">
        <f t="shared" si="168"/>
        <v>382000</v>
      </c>
      <c r="P740" s="46">
        <f t="shared" si="169"/>
        <v>6.6666666666666666E-2</v>
      </c>
      <c r="Q740" s="46">
        <v>1</v>
      </c>
      <c r="R740" s="45">
        <f t="shared" si="170"/>
        <v>191000</v>
      </c>
      <c r="S740" s="46">
        <f t="shared" si="171"/>
        <v>15</v>
      </c>
      <c r="T740" s="46">
        <f>IFERROR(VLOOKUP(A740,'[1]Re-order'!$A:$Q,17,0),"")</f>
        <v>21.516709511568124</v>
      </c>
      <c r="U740" s="46">
        <f>IFERROR(VLOOKUP(A740,'[1]MC Masterlist 2026-09-12'!$B:$M, 10, 0),0)</f>
        <v>15</v>
      </c>
      <c r="V740" s="46">
        <f>IFERROR(VLOOKUP(A740,'[1]MC Masterlist 2026-09-12'!$B:$M, 11, 0),0)</f>
        <v>15</v>
      </c>
      <c r="W740" s="46">
        <f t="shared" si="172"/>
        <v>30</v>
      </c>
      <c r="X740" s="46">
        <f t="shared" si="173"/>
        <v>29</v>
      </c>
      <c r="Y740" s="46">
        <f>IFERROR(IF(OR(C740="AREA I",C740="AREA V"),7,VLOOKUP(A740,'[1]MC Masterlist 2026-09-12'!$B:$M, 12, 0)),0)</f>
        <v>30</v>
      </c>
      <c r="Z740" s="46">
        <f t="shared" si="174"/>
        <v>1</v>
      </c>
      <c r="AA740" s="46">
        <f t="shared" si="175"/>
        <v>2</v>
      </c>
      <c r="AB740" s="46">
        <f t="shared" si="176"/>
        <v>1.9333333333333333</v>
      </c>
      <c r="AC740" s="46">
        <f t="shared" si="177"/>
        <v>2</v>
      </c>
      <c r="AD740" s="44" t="str">
        <f t="shared" si="178"/>
        <v>Stockout</v>
      </c>
      <c r="AE740" s="44" t="str">
        <f>IFERROR(VLOOKUP(A740,'[1]Re-order'!$A:$AA,27,0),"")</f>
        <v>Stockout</v>
      </c>
      <c r="AF740" s="46">
        <f t="shared" si="179"/>
        <v>1</v>
      </c>
      <c r="AG740" s="46">
        <f>SUMIFS('[1]Raw Inventory'!D:D,'[1]Raw Inventory'!C:C,"GREATWALL",'[1]Raw Inventory'!B:B,A740)</f>
        <v>0</v>
      </c>
      <c r="AH740" s="46">
        <f>SUMIFS('[1]Raw Inventory'!D:D,'[1]Raw Inventory'!C:C,"DUARTE",'[1]Raw Inventory'!B:B,A740)</f>
        <v>0</v>
      </c>
      <c r="AI740" s="46"/>
      <c r="AJ740" s="46"/>
      <c r="AK740" s="43"/>
      <c r="AL740" s="43"/>
      <c r="AM740" s="43"/>
      <c r="AN740" s="43"/>
      <c r="AO740" s="43"/>
      <c r="AP740" s="43"/>
      <c r="AQ740" s="43"/>
      <c r="AR740" s="43"/>
      <c r="AS740" s="43"/>
      <c r="AT740" s="43"/>
    </row>
    <row r="741" spans="1:46">
      <c r="A741" s="43" t="s">
        <v>39</v>
      </c>
      <c r="B741" s="43" t="s">
        <v>144</v>
      </c>
      <c r="C741" s="43" t="s">
        <v>137</v>
      </c>
      <c r="D741" s="44" t="s">
        <v>226</v>
      </c>
      <c r="E741" s="44">
        <v>32</v>
      </c>
      <c r="F741" s="44" t="s">
        <v>3</v>
      </c>
      <c r="G741" s="43" t="str">
        <f>IFERROR(VLOOKUP(A741,'[1]MC Masterlist 2026-09-12'!$B:$M, 3, 0),"")</f>
        <v>HONDA</v>
      </c>
      <c r="H741" s="45">
        <f>IFERROR(VLOOKUP(A741,'[1]MC Masterlist 2026-09-12'!$B:$M, 6, 0),"")</f>
        <v>72434</v>
      </c>
      <c r="I741" s="46">
        <v>1</v>
      </c>
      <c r="J741" s="46">
        <v>0</v>
      </c>
      <c r="K741" s="46">
        <v>0</v>
      </c>
      <c r="L741" s="46">
        <f t="shared" si="165"/>
        <v>1</v>
      </c>
      <c r="M741" s="46">
        <f t="shared" si="166"/>
        <v>0.33333333333333331</v>
      </c>
      <c r="N741" s="45">
        <f t="shared" si="167"/>
        <v>72434</v>
      </c>
      <c r="O741" s="45">
        <f t="shared" si="168"/>
        <v>24144.666666666664</v>
      </c>
      <c r="P741" s="46">
        <f t="shared" si="169"/>
        <v>1.111111111111111E-2</v>
      </c>
      <c r="Q741" s="46"/>
      <c r="R741" s="45">
        <f t="shared" si="170"/>
        <v>0</v>
      </c>
      <c r="S741" s="46">
        <f t="shared" si="171"/>
        <v>0</v>
      </c>
      <c r="T741" s="46">
        <f>IFERROR(VLOOKUP(A741,'[1]Re-order'!$A:$Q,17,0),"")</f>
        <v>40.982142857142854</v>
      </c>
      <c r="U741" s="46">
        <f>IFERROR(VLOOKUP(A741,'[1]MC Masterlist 2026-09-12'!$B:$M, 10, 0),0)</f>
        <v>15</v>
      </c>
      <c r="V741" s="46">
        <f>IFERROR(VLOOKUP(A741,'[1]MC Masterlist 2026-09-12'!$B:$M, 11, 0),0)</f>
        <v>15</v>
      </c>
      <c r="W741" s="46">
        <f t="shared" si="172"/>
        <v>30</v>
      </c>
      <c r="X741" s="46">
        <f t="shared" si="173"/>
        <v>6.833333333333333</v>
      </c>
      <c r="Y741" s="46">
        <f>IFERROR(IF(OR(C741="AREA I",C741="AREA V"),7,VLOOKUP(A741,'[1]MC Masterlist 2026-09-12'!$B:$M, 12, 0)),0)</f>
        <v>7</v>
      </c>
      <c r="Z741" s="46">
        <f t="shared" si="174"/>
        <v>0.16666666666666666</v>
      </c>
      <c r="AA741" s="46">
        <f t="shared" si="175"/>
        <v>0.33333333333333331</v>
      </c>
      <c r="AB741" s="46">
        <f t="shared" si="176"/>
        <v>7.5925925925925911E-2</v>
      </c>
      <c r="AC741" s="46">
        <f t="shared" si="177"/>
        <v>7.7777777777777765E-2</v>
      </c>
      <c r="AD741" s="44" t="str">
        <f t="shared" si="178"/>
        <v>Stockout</v>
      </c>
      <c r="AE741" s="44" t="str">
        <f>IFERROR(VLOOKUP(A741,'[1]Re-order'!$A:$AA,27,0),"")</f>
        <v>Re-order</v>
      </c>
      <c r="AF741" s="46">
        <f t="shared" si="179"/>
        <v>7.7777777777777765E-2</v>
      </c>
      <c r="AG741" s="46">
        <f>SUMIFS('[1]Raw Inventory'!D:D,'[1]Raw Inventory'!C:C,"GREATWALL",'[1]Raw Inventory'!B:B,A741)</f>
        <v>16</v>
      </c>
      <c r="AH741" s="46">
        <f>SUMIFS('[1]Raw Inventory'!D:D,'[1]Raw Inventory'!C:C,"DUARTE",'[1]Raw Inventory'!B:B,A741)</f>
        <v>0</v>
      </c>
      <c r="AI741" s="46"/>
      <c r="AJ741" s="46"/>
      <c r="AK741" s="43"/>
      <c r="AL741" s="43"/>
      <c r="AM741" s="43"/>
      <c r="AN741" s="43"/>
      <c r="AO741" s="43"/>
      <c r="AP741" s="43"/>
      <c r="AQ741" s="43"/>
      <c r="AR741" s="43"/>
      <c r="AS741" s="43"/>
      <c r="AT741" s="43"/>
    </row>
    <row r="742" spans="1:46">
      <c r="A742" s="43" t="s">
        <v>74</v>
      </c>
      <c r="B742" s="43" t="s">
        <v>155</v>
      </c>
      <c r="C742" s="43" t="s">
        <v>152</v>
      </c>
      <c r="D742" s="44" t="s">
        <v>242</v>
      </c>
      <c r="E742" s="44">
        <v>27</v>
      </c>
      <c r="F742" s="44" t="s">
        <v>3</v>
      </c>
      <c r="G742" s="43" t="str">
        <f>IFERROR(VLOOKUP(A742,'[1]MC Masterlist 2026-09-12'!$B:$M, 3, 0),"")</f>
        <v>SKYGO</v>
      </c>
      <c r="H742" s="45">
        <f>IFERROR(VLOOKUP(A742,'[1]MC Masterlist 2026-09-12'!$B:$M, 6, 0),"")</f>
        <v>98325</v>
      </c>
      <c r="I742" s="46">
        <v>0</v>
      </c>
      <c r="J742" s="46">
        <v>0</v>
      </c>
      <c r="K742" s="46">
        <v>0</v>
      </c>
      <c r="L742" s="46">
        <f t="shared" si="165"/>
        <v>0</v>
      </c>
      <c r="M742" s="46">
        <f t="shared" si="166"/>
        <v>0</v>
      </c>
      <c r="N742" s="45">
        <f t="shared" si="167"/>
        <v>0</v>
      </c>
      <c r="O742" s="45">
        <f t="shared" si="168"/>
        <v>0</v>
      </c>
      <c r="P742" s="46">
        <f t="shared" si="169"/>
        <v>0</v>
      </c>
      <c r="Q742" s="46">
        <v>1</v>
      </c>
      <c r="R742" s="45">
        <f t="shared" si="170"/>
        <v>98325</v>
      </c>
      <c r="S742" s="46">
        <f t="shared" si="171"/>
        <v>0</v>
      </c>
      <c r="T742" s="46" t="str">
        <f>IFERROR(VLOOKUP(A742,'[1]Re-order'!$A:$Q,17,0),"")</f>
        <v/>
      </c>
      <c r="U742" s="46">
        <f>IFERROR(VLOOKUP(A742,'[1]MC Masterlist 2026-09-12'!$B:$M, 10, 0),0)</f>
        <v>15</v>
      </c>
      <c r="V742" s="46">
        <f>IFERROR(VLOOKUP(A742,'[1]MC Masterlist 2026-09-12'!$B:$M, 11, 0),0)</f>
        <v>15</v>
      </c>
      <c r="W742" s="46">
        <f t="shared" si="172"/>
        <v>30</v>
      </c>
      <c r="X742" s="46">
        <f t="shared" si="173"/>
        <v>30</v>
      </c>
      <c r="Y742" s="46">
        <f>IFERROR(IF(OR(C742="AREA I",C742="AREA V"),7,VLOOKUP(A742,'[1]MC Masterlist 2026-09-12'!$B:$M, 12, 0)),0)</f>
        <v>30</v>
      </c>
      <c r="Z742" s="46">
        <f t="shared" si="174"/>
        <v>0</v>
      </c>
      <c r="AA742" s="46">
        <f t="shared" si="175"/>
        <v>0</v>
      </c>
      <c r="AB742" s="46">
        <f t="shared" si="176"/>
        <v>0</v>
      </c>
      <c r="AC742" s="46">
        <f t="shared" si="177"/>
        <v>0</v>
      </c>
      <c r="AD742" s="44" t="str">
        <f t="shared" si="178"/>
        <v>Over</v>
      </c>
      <c r="AE742" s="44" t="str">
        <f>IFERROR(VLOOKUP(A742,'[1]Re-order'!$A:$AA,27,0),"")</f>
        <v>Over</v>
      </c>
      <c r="AF742" s="46">
        <f t="shared" si="179"/>
        <v>-1</v>
      </c>
      <c r="AG742" s="46">
        <f>SUMIFS('[1]Raw Inventory'!D:D,'[1]Raw Inventory'!C:C,"GREATWALL",'[1]Raw Inventory'!B:B,A742)</f>
        <v>0</v>
      </c>
      <c r="AH742" s="46">
        <f>SUMIFS('[1]Raw Inventory'!D:D,'[1]Raw Inventory'!C:C,"DUARTE",'[1]Raw Inventory'!B:B,A742)</f>
        <v>0</v>
      </c>
      <c r="AI742" s="46"/>
      <c r="AJ742" s="46"/>
      <c r="AK742" s="43"/>
      <c r="AL742" s="43"/>
      <c r="AM742" s="43"/>
      <c r="AN742" s="43"/>
      <c r="AO742" s="43"/>
      <c r="AP742" s="43"/>
      <c r="AQ742" s="43"/>
      <c r="AR742" s="43"/>
      <c r="AS742" s="43"/>
      <c r="AT742" s="43"/>
    </row>
    <row r="743" spans="1:46">
      <c r="A743" s="43" t="s">
        <v>37</v>
      </c>
      <c r="B743" s="43" t="s">
        <v>111</v>
      </c>
      <c r="C743" s="43" t="s">
        <v>109</v>
      </c>
      <c r="D743" s="44" t="s">
        <v>247</v>
      </c>
      <c r="E743" s="44">
        <v>24</v>
      </c>
      <c r="F743" s="44" t="s">
        <v>3</v>
      </c>
      <c r="G743" s="43" t="str">
        <f>IFERROR(VLOOKUP(A743,'[1]MC Masterlist 2026-09-12'!$B:$M, 3, 0),"")</f>
        <v>HONDA</v>
      </c>
      <c r="H743" s="45">
        <f>IFERROR(VLOOKUP(A743,'[1]MC Masterlist 2026-09-12'!$B:$M, 6, 0),"")</f>
        <v>74550</v>
      </c>
      <c r="I743" s="46">
        <v>0</v>
      </c>
      <c r="J743" s="46">
        <v>0</v>
      </c>
      <c r="K743" s="46">
        <v>1</v>
      </c>
      <c r="L743" s="46">
        <f t="shared" si="165"/>
        <v>1</v>
      </c>
      <c r="M743" s="46">
        <f t="shared" si="166"/>
        <v>0.33333333333333331</v>
      </c>
      <c r="N743" s="45">
        <f t="shared" si="167"/>
        <v>74550</v>
      </c>
      <c r="O743" s="45">
        <f t="shared" si="168"/>
        <v>24850</v>
      </c>
      <c r="P743" s="46">
        <f t="shared" si="169"/>
        <v>1.111111111111111E-2</v>
      </c>
      <c r="Q743" s="46"/>
      <c r="R743" s="45">
        <f t="shared" si="170"/>
        <v>0</v>
      </c>
      <c r="S743" s="46">
        <f t="shared" si="171"/>
        <v>0</v>
      </c>
      <c r="T743" s="46">
        <f>IFERROR(VLOOKUP(A743,'[1]Re-order'!$A:$Q,17,0),"")</f>
        <v>33.652173913043477</v>
      </c>
      <c r="U743" s="46">
        <f>IFERROR(VLOOKUP(A743,'[1]MC Masterlist 2026-09-12'!$B:$M, 10, 0),0)</f>
        <v>15</v>
      </c>
      <c r="V743" s="46">
        <f>IFERROR(VLOOKUP(A743,'[1]MC Masterlist 2026-09-12'!$B:$M, 11, 0),0)</f>
        <v>15</v>
      </c>
      <c r="W743" s="46">
        <f t="shared" si="172"/>
        <v>30</v>
      </c>
      <c r="X743" s="46">
        <f t="shared" si="173"/>
        <v>29.833333333333332</v>
      </c>
      <c r="Y743" s="46">
        <f>IFERROR(IF(OR(C743="AREA I",C743="AREA V"),7,VLOOKUP(A743,'[1]MC Masterlist 2026-09-12'!$B:$M, 12, 0)),0)</f>
        <v>30</v>
      </c>
      <c r="Z743" s="46">
        <f t="shared" si="174"/>
        <v>0.16666666666666666</v>
      </c>
      <c r="AA743" s="46">
        <f t="shared" si="175"/>
        <v>0.33333333333333331</v>
      </c>
      <c r="AB743" s="46">
        <f t="shared" si="176"/>
        <v>0.33148148148148143</v>
      </c>
      <c r="AC743" s="46">
        <f t="shared" si="177"/>
        <v>0.33333333333333331</v>
      </c>
      <c r="AD743" s="44" t="str">
        <f t="shared" si="178"/>
        <v>Stockout</v>
      </c>
      <c r="AE743" s="44" t="str">
        <f>IFERROR(VLOOKUP(A743,'[1]Re-order'!$A:$AA,27,0),"")</f>
        <v>Re-order</v>
      </c>
      <c r="AF743" s="46">
        <f t="shared" si="179"/>
        <v>0.33333333333333331</v>
      </c>
      <c r="AG743" s="46">
        <f>SUMIFS('[1]Raw Inventory'!D:D,'[1]Raw Inventory'!C:C,"GREATWALL",'[1]Raw Inventory'!B:B,A743)</f>
        <v>28</v>
      </c>
      <c r="AH743" s="46">
        <f>SUMIFS('[1]Raw Inventory'!D:D,'[1]Raw Inventory'!C:C,"DUARTE",'[1]Raw Inventory'!B:B,A743)</f>
        <v>0</v>
      </c>
      <c r="AI743" s="46"/>
      <c r="AJ743" s="46"/>
      <c r="AK743" s="43"/>
      <c r="AL743" s="43"/>
      <c r="AM743" s="43"/>
      <c r="AN743" s="43"/>
      <c r="AO743" s="43"/>
      <c r="AP743" s="43"/>
      <c r="AQ743" s="43"/>
      <c r="AR743" s="43"/>
      <c r="AS743" s="43"/>
      <c r="AT743" s="43"/>
    </row>
    <row r="744" spans="1:46">
      <c r="A744" s="43" t="s">
        <v>12</v>
      </c>
      <c r="B744" s="43" t="s">
        <v>112</v>
      </c>
      <c r="C744" s="43" t="s">
        <v>109</v>
      </c>
      <c r="D744" s="44" t="s">
        <v>238</v>
      </c>
      <c r="E744" s="44">
        <v>2</v>
      </c>
      <c r="F744" s="44" t="s">
        <v>0</v>
      </c>
      <c r="G744" s="43" t="str">
        <f>IFERROR(VLOOKUP(A744,'[1]MC Masterlist 2026-09-12'!$B:$M, 3, 0),"")</f>
        <v>HONDA</v>
      </c>
      <c r="H744" s="45">
        <f>IFERROR(VLOOKUP(A744,'[1]MC Masterlist 2026-09-12'!$B:$M, 6, 0),"")</f>
        <v>158270</v>
      </c>
      <c r="I744" s="46">
        <v>3</v>
      </c>
      <c r="J744" s="46">
        <v>2</v>
      </c>
      <c r="K744" s="46">
        <v>4</v>
      </c>
      <c r="L744" s="46">
        <f t="shared" si="165"/>
        <v>9</v>
      </c>
      <c r="M744" s="46">
        <f t="shared" si="166"/>
        <v>3</v>
      </c>
      <c r="N744" s="45">
        <f t="shared" si="167"/>
        <v>1424430</v>
      </c>
      <c r="O744" s="45">
        <f t="shared" si="168"/>
        <v>474810</v>
      </c>
      <c r="P744" s="46">
        <f t="shared" si="169"/>
        <v>0.1</v>
      </c>
      <c r="Q744" s="46">
        <v>2</v>
      </c>
      <c r="R744" s="45">
        <f t="shared" si="170"/>
        <v>316540</v>
      </c>
      <c r="S744" s="46">
        <f t="shared" si="171"/>
        <v>20</v>
      </c>
      <c r="T744" s="46">
        <f>IFERROR(VLOOKUP(A744,'[1]Re-order'!$A:$Q,17,0),"")</f>
        <v>46.461038961038959</v>
      </c>
      <c r="U744" s="46">
        <f>IFERROR(VLOOKUP(A744,'[1]MC Masterlist 2026-09-12'!$B:$M, 10, 0),0)</f>
        <v>15</v>
      </c>
      <c r="V744" s="46">
        <f>IFERROR(VLOOKUP(A744,'[1]MC Masterlist 2026-09-12'!$B:$M, 11, 0),0)</f>
        <v>15</v>
      </c>
      <c r="W744" s="46">
        <f t="shared" si="172"/>
        <v>30</v>
      </c>
      <c r="X744" s="46">
        <f t="shared" si="173"/>
        <v>28.5</v>
      </c>
      <c r="Y744" s="46">
        <f>IFERROR(IF(OR(C744="AREA I",C744="AREA V"),7,VLOOKUP(A744,'[1]MC Masterlist 2026-09-12'!$B:$M, 12, 0)),0)</f>
        <v>30</v>
      </c>
      <c r="Z744" s="46">
        <f t="shared" si="174"/>
        <v>1.5</v>
      </c>
      <c r="AA744" s="46">
        <f t="shared" si="175"/>
        <v>3</v>
      </c>
      <c r="AB744" s="46">
        <f t="shared" si="176"/>
        <v>2.85</v>
      </c>
      <c r="AC744" s="46">
        <f t="shared" si="177"/>
        <v>3</v>
      </c>
      <c r="AD744" s="44" t="str">
        <f t="shared" si="178"/>
        <v>Re-order</v>
      </c>
      <c r="AE744" s="44" t="str">
        <f>IFERROR(VLOOKUP(A744,'[1]Re-order'!$A:$AA,27,0),"")</f>
        <v>Re-order</v>
      </c>
      <c r="AF744" s="46">
        <f t="shared" si="179"/>
        <v>1</v>
      </c>
      <c r="AG744" s="46">
        <f>SUMIFS('[1]Raw Inventory'!D:D,'[1]Raw Inventory'!C:C,"GREATWALL",'[1]Raw Inventory'!B:B,A744)</f>
        <v>35</v>
      </c>
      <c r="AH744" s="46">
        <f>SUMIFS('[1]Raw Inventory'!D:D,'[1]Raw Inventory'!C:C,"DUARTE",'[1]Raw Inventory'!B:B,A744)</f>
        <v>0</v>
      </c>
      <c r="AI744" s="46"/>
      <c r="AJ744" s="46"/>
      <c r="AK744" s="43"/>
      <c r="AL744" s="43"/>
      <c r="AM744" s="43"/>
      <c r="AN744" s="43"/>
      <c r="AO744" s="43"/>
      <c r="AP744" s="43"/>
      <c r="AQ744" s="43"/>
      <c r="AR744" s="43"/>
      <c r="AS744" s="43"/>
      <c r="AT744" s="43"/>
    </row>
    <row r="745" spans="1:46">
      <c r="A745" s="43" t="s">
        <v>28</v>
      </c>
      <c r="B745" s="43" t="s">
        <v>93</v>
      </c>
      <c r="C745" s="43" t="s">
        <v>90</v>
      </c>
      <c r="D745" s="44" t="s">
        <v>255</v>
      </c>
      <c r="E745" s="44">
        <v>13</v>
      </c>
      <c r="F745" s="44" t="s">
        <v>2</v>
      </c>
      <c r="G745" s="43" t="str">
        <f>IFERROR(VLOOKUP(A745,'[1]MC Masterlist 2026-09-12'!$B:$M, 3, 0),"")</f>
        <v>YAMAHA</v>
      </c>
      <c r="H745" s="45">
        <f>IFERROR(VLOOKUP(A745,'[1]MC Masterlist 2026-09-12'!$B:$M, 6, 0),"")</f>
        <v>147312</v>
      </c>
      <c r="I745" s="46">
        <v>1</v>
      </c>
      <c r="J745" s="46">
        <v>0</v>
      </c>
      <c r="K745" s="46">
        <v>0</v>
      </c>
      <c r="L745" s="46">
        <f t="shared" si="165"/>
        <v>1</v>
      </c>
      <c r="M745" s="46">
        <f t="shared" si="166"/>
        <v>0.33333333333333331</v>
      </c>
      <c r="N745" s="45">
        <f t="shared" si="167"/>
        <v>147312</v>
      </c>
      <c r="O745" s="45">
        <f t="shared" si="168"/>
        <v>49104</v>
      </c>
      <c r="P745" s="46">
        <f t="shared" si="169"/>
        <v>1.111111111111111E-2</v>
      </c>
      <c r="Q745" s="46"/>
      <c r="R745" s="45">
        <f t="shared" si="170"/>
        <v>0</v>
      </c>
      <c r="S745" s="46">
        <f t="shared" si="171"/>
        <v>0</v>
      </c>
      <c r="T745" s="46">
        <f>IFERROR(VLOOKUP(A745,'[1]Re-order'!$A:$Q,17,0),"")</f>
        <v>8.2417582417582427</v>
      </c>
      <c r="U745" s="46">
        <f>IFERROR(VLOOKUP(A745,'[1]MC Masterlist 2026-09-12'!$B:$M, 10, 0),0)</f>
        <v>15</v>
      </c>
      <c r="V745" s="46">
        <f>IFERROR(VLOOKUP(A745,'[1]MC Masterlist 2026-09-12'!$B:$M, 11, 0),0)</f>
        <v>15</v>
      </c>
      <c r="W745" s="46">
        <f t="shared" si="172"/>
        <v>30</v>
      </c>
      <c r="X745" s="46">
        <f t="shared" si="173"/>
        <v>29.833333333333332</v>
      </c>
      <c r="Y745" s="46">
        <f>IFERROR(IF(OR(C745="AREA I",C745="AREA V"),7,VLOOKUP(A745,'[1]MC Masterlist 2026-09-12'!$B:$M, 12, 0)),0)</f>
        <v>30</v>
      </c>
      <c r="Z745" s="46">
        <f t="shared" si="174"/>
        <v>0.16666666666666666</v>
      </c>
      <c r="AA745" s="46">
        <f t="shared" si="175"/>
        <v>0.33333333333333331</v>
      </c>
      <c r="AB745" s="46">
        <f t="shared" si="176"/>
        <v>0.33148148148148143</v>
      </c>
      <c r="AC745" s="46">
        <f t="shared" si="177"/>
        <v>0.33333333333333331</v>
      </c>
      <c r="AD745" s="44" t="str">
        <f t="shared" si="178"/>
        <v>Stockout</v>
      </c>
      <c r="AE745" s="44" t="str">
        <f>IFERROR(VLOOKUP(A745,'[1]Re-order'!$A:$AA,27,0),"")</f>
        <v>Stockout</v>
      </c>
      <c r="AF745" s="46">
        <f t="shared" si="179"/>
        <v>0.33333333333333331</v>
      </c>
      <c r="AG745" s="46">
        <f>SUMIFS('[1]Raw Inventory'!D:D,'[1]Raw Inventory'!C:C,"GREATWALL",'[1]Raw Inventory'!B:B,A745)</f>
        <v>0</v>
      </c>
      <c r="AH745" s="46">
        <f>SUMIFS('[1]Raw Inventory'!D:D,'[1]Raw Inventory'!C:C,"DUARTE",'[1]Raw Inventory'!B:B,A745)</f>
        <v>0</v>
      </c>
      <c r="AI745" s="46"/>
      <c r="AJ745" s="46"/>
      <c r="AK745" s="43"/>
      <c r="AL745" s="43"/>
      <c r="AM745" s="43"/>
      <c r="AN745" s="43"/>
      <c r="AO745" s="43"/>
      <c r="AP745" s="43"/>
      <c r="AQ745" s="43"/>
      <c r="AR745" s="43"/>
      <c r="AS745" s="43"/>
      <c r="AT745" s="43"/>
    </row>
    <row r="746" spans="1:46">
      <c r="A746" s="43" t="s">
        <v>99</v>
      </c>
      <c r="B746" s="43" t="s">
        <v>160</v>
      </c>
      <c r="C746" s="43" t="s">
        <v>159</v>
      </c>
      <c r="D746" s="44" t="s">
        <v>268</v>
      </c>
      <c r="E746" s="44">
        <v>16</v>
      </c>
      <c r="F746" s="44" t="s">
        <v>3</v>
      </c>
      <c r="G746" s="43" t="str">
        <f>IFERROR(VLOOKUP(A746,'[1]MC Masterlist 2026-09-12'!$B:$M, 3, 0),"")</f>
        <v>YAMAHA</v>
      </c>
      <c r="H746" s="45">
        <f>IFERROR(VLOOKUP(A746,'[1]MC Masterlist 2026-09-12'!$B:$M, 6, 0),"")</f>
        <v>86397</v>
      </c>
      <c r="I746" s="46">
        <v>2</v>
      </c>
      <c r="J746" s="46">
        <v>0</v>
      </c>
      <c r="K746" s="46">
        <v>0</v>
      </c>
      <c r="L746" s="46">
        <f t="shared" si="165"/>
        <v>2</v>
      </c>
      <c r="M746" s="46">
        <f t="shared" si="166"/>
        <v>0.66666666666666663</v>
      </c>
      <c r="N746" s="45">
        <f t="shared" si="167"/>
        <v>172794</v>
      </c>
      <c r="O746" s="45">
        <f t="shared" si="168"/>
        <v>57598</v>
      </c>
      <c r="P746" s="46">
        <f t="shared" si="169"/>
        <v>2.222222222222222E-2</v>
      </c>
      <c r="Q746" s="46">
        <v>1</v>
      </c>
      <c r="R746" s="45">
        <f t="shared" si="170"/>
        <v>86397</v>
      </c>
      <c r="S746" s="46">
        <f t="shared" si="171"/>
        <v>45</v>
      </c>
      <c r="T746" s="46">
        <f>IFERROR(VLOOKUP(A746,'[1]Re-order'!$A:$Q,17,0),"")</f>
        <v>72</v>
      </c>
      <c r="U746" s="46">
        <f>IFERROR(VLOOKUP(A746,'[1]MC Masterlist 2026-09-12'!$B:$M, 10, 0),0)</f>
        <v>15</v>
      </c>
      <c r="V746" s="46">
        <f>IFERROR(VLOOKUP(A746,'[1]MC Masterlist 2026-09-12'!$B:$M, 11, 0),0)</f>
        <v>15</v>
      </c>
      <c r="W746" s="46">
        <f t="shared" si="172"/>
        <v>30</v>
      </c>
      <c r="X746" s="46">
        <f t="shared" si="173"/>
        <v>29.666666666666668</v>
      </c>
      <c r="Y746" s="46">
        <f>IFERROR(IF(OR(C746="AREA I",C746="AREA V"),7,VLOOKUP(A746,'[1]MC Masterlist 2026-09-12'!$B:$M, 12, 0)),0)</f>
        <v>30</v>
      </c>
      <c r="Z746" s="46">
        <f t="shared" si="174"/>
        <v>0.33333333333333331</v>
      </c>
      <c r="AA746" s="46">
        <f t="shared" si="175"/>
        <v>0.66666666666666663</v>
      </c>
      <c r="AB746" s="46">
        <f t="shared" si="176"/>
        <v>0.65925925925925921</v>
      </c>
      <c r="AC746" s="46">
        <f t="shared" si="177"/>
        <v>0.66666666666666663</v>
      </c>
      <c r="AD746" s="44" t="str">
        <f t="shared" si="178"/>
        <v>Over</v>
      </c>
      <c r="AE746" s="44" t="str">
        <f>IFERROR(VLOOKUP(A746,'[1]Re-order'!$A:$AA,27,0),"")</f>
        <v>Re-order</v>
      </c>
      <c r="AF746" s="46">
        <f t="shared" si="179"/>
        <v>-0.33333333333333337</v>
      </c>
      <c r="AG746" s="46">
        <f>SUMIFS('[1]Raw Inventory'!D:D,'[1]Raw Inventory'!C:C,"GREATWALL",'[1]Raw Inventory'!B:B,A746)</f>
        <v>1</v>
      </c>
      <c r="AH746" s="46">
        <f>SUMIFS('[1]Raw Inventory'!D:D,'[1]Raw Inventory'!C:C,"DUARTE",'[1]Raw Inventory'!B:B,A746)</f>
        <v>0</v>
      </c>
      <c r="AI746" s="46"/>
      <c r="AJ746" s="46"/>
      <c r="AK746" s="43"/>
      <c r="AL746" s="43"/>
      <c r="AM746" s="43"/>
      <c r="AN746" s="43"/>
      <c r="AO746" s="43"/>
      <c r="AP746" s="43"/>
      <c r="AQ746" s="43"/>
      <c r="AR746" s="43"/>
      <c r="AS746" s="43"/>
      <c r="AT746" s="43"/>
    </row>
    <row r="747" spans="1:46">
      <c r="A747" s="43" t="s">
        <v>18</v>
      </c>
      <c r="B747" s="43" t="s">
        <v>91</v>
      </c>
      <c r="C747" s="43" t="s">
        <v>90</v>
      </c>
      <c r="D747" s="44" t="s">
        <v>223</v>
      </c>
      <c r="E747" s="44">
        <v>11</v>
      </c>
      <c r="F747" s="44" t="s">
        <v>3</v>
      </c>
      <c r="G747" s="43" t="str">
        <f>IFERROR(VLOOKUP(A747,'[1]MC Masterlist 2026-09-12'!$B:$M, 3, 0),"")</f>
        <v>HONDA</v>
      </c>
      <c r="H747" s="45">
        <f>IFERROR(VLOOKUP(A747,'[1]MC Masterlist 2026-09-12'!$B:$M, 6, 0),"")</f>
        <v>94330</v>
      </c>
      <c r="I747" s="46">
        <v>0</v>
      </c>
      <c r="J747" s="46">
        <v>1</v>
      </c>
      <c r="K747" s="46">
        <v>0</v>
      </c>
      <c r="L747" s="46">
        <f t="shared" si="165"/>
        <v>1</v>
      </c>
      <c r="M747" s="46">
        <f t="shared" si="166"/>
        <v>0.33333333333333331</v>
      </c>
      <c r="N747" s="45">
        <f t="shared" si="167"/>
        <v>94330</v>
      </c>
      <c r="O747" s="45">
        <f t="shared" si="168"/>
        <v>31443.333333333332</v>
      </c>
      <c r="P747" s="46">
        <f t="shared" si="169"/>
        <v>1.111111111111111E-2</v>
      </c>
      <c r="Q747" s="46">
        <v>1</v>
      </c>
      <c r="R747" s="45">
        <f t="shared" si="170"/>
        <v>94330</v>
      </c>
      <c r="S747" s="46">
        <f t="shared" si="171"/>
        <v>90</v>
      </c>
      <c r="T747" s="46">
        <f>IFERROR(VLOOKUP(A747,'[1]Re-order'!$A:$Q,17,0),"")</f>
        <v>113.9644970414201</v>
      </c>
      <c r="U747" s="46">
        <f>IFERROR(VLOOKUP(A747,'[1]MC Masterlist 2026-09-12'!$B:$M, 10, 0),0)</f>
        <v>15</v>
      </c>
      <c r="V747" s="46">
        <f>IFERROR(VLOOKUP(A747,'[1]MC Masterlist 2026-09-12'!$B:$M, 11, 0),0)</f>
        <v>15</v>
      </c>
      <c r="W747" s="46">
        <f t="shared" si="172"/>
        <v>30</v>
      </c>
      <c r="X747" s="46">
        <f t="shared" si="173"/>
        <v>29.833333333333332</v>
      </c>
      <c r="Y747" s="46">
        <f>IFERROR(IF(OR(C747="AREA I",C747="AREA V"),7,VLOOKUP(A747,'[1]MC Masterlist 2026-09-12'!$B:$M, 12, 0)),0)</f>
        <v>30</v>
      </c>
      <c r="Z747" s="46">
        <f t="shared" si="174"/>
        <v>0.16666666666666666</v>
      </c>
      <c r="AA747" s="46">
        <f t="shared" si="175"/>
        <v>0.33333333333333331</v>
      </c>
      <c r="AB747" s="46">
        <f t="shared" si="176"/>
        <v>0.33148148148148143</v>
      </c>
      <c r="AC747" s="46">
        <f t="shared" si="177"/>
        <v>0.33333333333333331</v>
      </c>
      <c r="AD747" s="44" t="str">
        <f t="shared" si="178"/>
        <v>Over</v>
      </c>
      <c r="AE747" s="44" t="str">
        <f>IFERROR(VLOOKUP(A747,'[1]Re-order'!$A:$AA,27,0),"")</f>
        <v>Over</v>
      </c>
      <c r="AF747" s="46">
        <f t="shared" si="179"/>
        <v>-0.66666666666666674</v>
      </c>
      <c r="AG747" s="46">
        <f>SUMIFS('[1]Raw Inventory'!D:D,'[1]Raw Inventory'!C:C,"GREATWALL",'[1]Raw Inventory'!B:B,A747)</f>
        <v>88</v>
      </c>
      <c r="AH747" s="46">
        <f>SUMIFS('[1]Raw Inventory'!D:D,'[1]Raw Inventory'!C:C,"DUARTE",'[1]Raw Inventory'!B:B,A747)</f>
        <v>0</v>
      </c>
      <c r="AI747" s="46"/>
      <c r="AJ747" s="46"/>
      <c r="AK747" s="43"/>
      <c r="AL747" s="43"/>
      <c r="AM747" s="43"/>
      <c r="AN747" s="43"/>
      <c r="AO747" s="43"/>
      <c r="AP747" s="43"/>
      <c r="AQ747" s="43"/>
      <c r="AR747" s="43"/>
      <c r="AS747" s="43"/>
      <c r="AT747" s="43"/>
    </row>
    <row r="748" spans="1:46">
      <c r="A748" s="43" t="s">
        <v>52</v>
      </c>
      <c r="B748" s="43" t="s">
        <v>158</v>
      </c>
      <c r="C748" s="43" t="s">
        <v>152</v>
      </c>
      <c r="D748" s="44" t="s">
        <v>221</v>
      </c>
      <c r="E748" s="44">
        <v>21</v>
      </c>
      <c r="F748" s="44" t="s">
        <v>3</v>
      </c>
      <c r="G748" s="43" t="str">
        <f>IFERROR(VLOOKUP(A748,'[1]MC Masterlist 2026-09-12'!$B:$M, 3, 0),"")</f>
        <v>YAMAHA</v>
      </c>
      <c r="H748" s="45">
        <f>IFERROR(VLOOKUP(A748,'[1]MC Masterlist 2026-09-12'!$B:$M, 6, 0),"")</f>
        <v>85446</v>
      </c>
      <c r="I748" s="46">
        <v>0</v>
      </c>
      <c r="J748" s="46">
        <v>1</v>
      </c>
      <c r="K748" s="46">
        <v>0</v>
      </c>
      <c r="L748" s="46">
        <f t="shared" si="165"/>
        <v>1</v>
      </c>
      <c r="M748" s="46">
        <f t="shared" si="166"/>
        <v>0.33333333333333331</v>
      </c>
      <c r="N748" s="45">
        <f t="shared" si="167"/>
        <v>85446</v>
      </c>
      <c r="O748" s="45">
        <f t="shared" si="168"/>
        <v>28482</v>
      </c>
      <c r="P748" s="46">
        <f t="shared" si="169"/>
        <v>1.111111111111111E-2</v>
      </c>
      <c r="Q748" s="46"/>
      <c r="R748" s="45">
        <f t="shared" si="170"/>
        <v>0</v>
      </c>
      <c r="S748" s="46">
        <f t="shared" si="171"/>
        <v>0</v>
      </c>
      <c r="T748" s="46">
        <f>IFERROR(VLOOKUP(A748,'[1]Re-order'!$A:$Q,17,0),"")</f>
        <v>95.454545454545453</v>
      </c>
      <c r="U748" s="46">
        <f>IFERROR(VLOOKUP(A748,'[1]MC Masterlist 2026-09-12'!$B:$M, 10, 0),0)</f>
        <v>15</v>
      </c>
      <c r="V748" s="46">
        <f>IFERROR(VLOOKUP(A748,'[1]MC Masterlist 2026-09-12'!$B:$M, 11, 0),0)</f>
        <v>15</v>
      </c>
      <c r="W748" s="46">
        <f t="shared" si="172"/>
        <v>30</v>
      </c>
      <c r="X748" s="46">
        <f t="shared" si="173"/>
        <v>29.833333333333332</v>
      </c>
      <c r="Y748" s="46">
        <f>IFERROR(IF(OR(C748="AREA I",C748="AREA V"),7,VLOOKUP(A748,'[1]MC Masterlist 2026-09-12'!$B:$M, 12, 0)),0)</f>
        <v>30</v>
      </c>
      <c r="Z748" s="46">
        <f t="shared" si="174"/>
        <v>0.16666666666666666</v>
      </c>
      <c r="AA748" s="46">
        <f t="shared" si="175"/>
        <v>0.33333333333333331</v>
      </c>
      <c r="AB748" s="46">
        <f t="shared" si="176"/>
        <v>0.33148148148148143</v>
      </c>
      <c r="AC748" s="46">
        <f t="shared" si="177"/>
        <v>0.33333333333333331</v>
      </c>
      <c r="AD748" s="44" t="str">
        <f t="shared" si="178"/>
        <v>Stockout</v>
      </c>
      <c r="AE748" s="44" t="str">
        <f>IFERROR(VLOOKUP(A748,'[1]Re-order'!$A:$AA,27,0),"")</f>
        <v>Over</v>
      </c>
      <c r="AF748" s="46">
        <f t="shared" si="179"/>
        <v>0.33333333333333331</v>
      </c>
      <c r="AG748" s="46">
        <f>SUMIFS('[1]Raw Inventory'!D:D,'[1]Raw Inventory'!C:C,"GREATWALL",'[1]Raw Inventory'!B:B,A748)</f>
        <v>0</v>
      </c>
      <c r="AH748" s="46">
        <f>SUMIFS('[1]Raw Inventory'!D:D,'[1]Raw Inventory'!C:C,"DUARTE",'[1]Raw Inventory'!B:B,A748)</f>
        <v>0</v>
      </c>
      <c r="AI748" s="46"/>
      <c r="AJ748" s="46"/>
      <c r="AK748" s="43"/>
      <c r="AL748" s="43"/>
      <c r="AM748" s="43"/>
      <c r="AN748" s="43"/>
      <c r="AO748" s="43"/>
      <c r="AP748" s="43"/>
      <c r="AQ748" s="43"/>
      <c r="AR748" s="43"/>
      <c r="AS748" s="43"/>
      <c r="AT748" s="43"/>
    </row>
    <row r="749" spans="1:46">
      <c r="A749" s="43" t="s">
        <v>22</v>
      </c>
      <c r="B749" s="43" t="s">
        <v>120</v>
      </c>
      <c r="C749" s="43" t="s">
        <v>118</v>
      </c>
      <c r="D749" s="44" t="s">
        <v>224</v>
      </c>
      <c r="E749" s="44">
        <v>9</v>
      </c>
      <c r="F749" s="44" t="s">
        <v>2</v>
      </c>
      <c r="G749" s="43" t="str">
        <f>IFERROR(VLOOKUP(A749,'[1]MC Masterlist 2026-09-12'!$B:$M, 3, 0),"")</f>
        <v>HONDA</v>
      </c>
      <c r="H749" s="45">
        <f>IFERROR(VLOOKUP(A749,'[1]MC Masterlist 2026-09-12'!$B:$M, 6, 0),"")</f>
        <v>111258</v>
      </c>
      <c r="I749" s="46">
        <v>0</v>
      </c>
      <c r="J749" s="46">
        <v>0</v>
      </c>
      <c r="K749" s="46">
        <v>3</v>
      </c>
      <c r="L749" s="46">
        <f t="shared" si="165"/>
        <v>3</v>
      </c>
      <c r="M749" s="46">
        <f t="shared" si="166"/>
        <v>1</v>
      </c>
      <c r="N749" s="45">
        <f t="shared" si="167"/>
        <v>333774</v>
      </c>
      <c r="O749" s="45">
        <f t="shared" si="168"/>
        <v>111258</v>
      </c>
      <c r="P749" s="46">
        <f t="shared" si="169"/>
        <v>3.3333333333333333E-2</v>
      </c>
      <c r="Q749" s="46"/>
      <c r="R749" s="45">
        <f t="shared" si="170"/>
        <v>0</v>
      </c>
      <c r="S749" s="46">
        <f t="shared" si="171"/>
        <v>0</v>
      </c>
      <c r="T749" s="46">
        <f>IFERROR(VLOOKUP(A749,'[1]Re-order'!$A:$Q,17,0),"")</f>
        <v>41.339712918660283</v>
      </c>
      <c r="U749" s="46">
        <f>IFERROR(VLOOKUP(A749,'[1]MC Masterlist 2026-09-12'!$B:$M, 10, 0),0)</f>
        <v>15</v>
      </c>
      <c r="V749" s="46">
        <f>IFERROR(VLOOKUP(A749,'[1]MC Masterlist 2026-09-12'!$B:$M, 11, 0),0)</f>
        <v>15</v>
      </c>
      <c r="W749" s="46">
        <f t="shared" si="172"/>
        <v>30</v>
      </c>
      <c r="X749" s="46">
        <f t="shared" si="173"/>
        <v>29.5</v>
      </c>
      <c r="Y749" s="46">
        <f>IFERROR(IF(OR(C749="AREA I",C749="AREA V"),7,VLOOKUP(A749,'[1]MC Masterlist 2026-09-12'!$B:$M, 12, 0)),0)</f>
        <v>30</v>
      </c>
      <c r="Z749" s="46">
        <f t="shared" si="174"/>
        <v>0.5</v>
      </c>
      <c r="AA749" s="46">
        <f t="shared" si="175"/>
        <v>1</v>
      </c>
      <c r="AB749" s="46">
        <f t="shared" si="176"/>
        <v>0.98333333333333328</v>
      </c>
      <c r="AC749" s="46">
        <f t="shared" si="177"/>
        <v>1</v>
      </c>
      <c r="AD749" s="44" t="str">
        <f t="shared" si="178"/>
        <v>Stockout</v>
      </c>
      <c r="AE749" s="44" t="str">
        <f>IFERROR(VLOOKUP(A749,'[1]Re-order'!$A:$AA,27,0),"")</f>
        <v>Re-order</v>
      </c>
      <c r="AF749" s="46">
        <f t="shared" si="179"/>
        <v>1</v>
      </c>
      <c r="AG749" s="46">
        <f>SUMIFS('[1]Raw Inventory'!D:D,'[1]Raw Inventory'!C:C,"GREATWALL",'[1]Raw Inventory'!B:B,A749)</f>
        <v>4</v>
      </c>
      <c r="AH749" s="46">
        <f>SUMIFS('[1]Raw Inventory'!D:D,'[1]Raw Inventory'!C:C,"DUARTE",'[1]Raw Inventory'!B:B,A749)</f>
        <v>0</v>
      </c>
      <c r="AI749" s="46"/>
      <c r="AJ749" s="46"/>
      <c r="AK749" s="43"/>
      <c r="AL749" s="43"/>
      <c r="AM749" s="43"/>
      <c r="AN749" s="43"/>
      <c r="AO749" s="43"/>
      <c r="AP749" s="43"/>
      <c r="AQ749" s="43"/>
      <c r="AR749" s="43"/>
      <c r="AS749" s="43"/>
      <c r="AT749" s="43"/>
    </row>
    <row r="750" spans="1:46">
      <c r="A750" s="43" t="s">
        <v>42</v>
      </c>
      <c r="B750" s="43" t="s">
        <v>122</v>
      </c>
      <c r="C750" s="43" t="s">
        <v>118</v>
      </c>
      <c r="D750" s="44" t="s">
        <v>268</v>
      </c>
      <c r="E750" s="44">
        <v>21</v>
      </c>
      <c r="F750" s="44" t="s">
        <v>3</v>
      </c>
      <c r="G750" s="43" t="str">
        <f>IFERROR(VLOOKUP(A750,'[1]MC Masterlist 2026-09-12'!$B:$M, 3, 0),"")</f>
        <v>YAMAHA</v>
      </c>
      <c r="H750" s="45">
        <f>IFERROR(VLOOKUP(A750,'[1]MC Masterlist 2026-09-12'!$B:$M, 6, 0),"")</f>
        <v>152892</v>
      </c>
      <c r="I750" s="46">
        <v>0</v>
      </c>
      <c r="J750" s="46">
        <v>1</v>
      </c>
      <c r="K750" s="46">
        <v>0</v>
      </c>
      <c r="L750" s="46">
        <f t="shared" si="165"/>
        <v>1</v>
      </c>
      <c r="M750" s="46">
        <f t="shared" si="166"/>
        <v>0.33333333333333331</v>
      </c>
      <c r="N750" s="45">
        <f t="shared" si="167"/>
        <v>152892</v>
      </c>
      <c r="O750" s="45">
        <f t="shared" si="168"/>
        <v>50964</v>
      </c>
      <c r="P750" s="46">
        <f t="shared" si="169"/>
        <v>1.111111111111111E-2</v>
      </c>
      <c r="Q750" s="46">
        <v>1</v>
      </c>
      <c r="R750" s="45">
        <f t="shared" si="170"/>
        <v>152892</v>
      </c>
      <c r="S750" s="46">
        <f t="shared" si="171"/>
        <v>90</v>
      </c>
      <c r="T750" s="46">
        <f>IFERROR(VLOOKUP(A750,'[1]Re-order'!$A:$Q,17,0),"")</f>
        <v>104.55882352941177</v>
      </c>
      <c r="U750" s="46">
        <f>IFERROR(VLOOKUP(A750,'[1]MC Masterlist 2026-09-12'!$B:$M, 10, 0),0)</f>
        <v>15</v>
      </c>
      <c r="V750" s="46">
        <f>IFERROR(VLOOKUP(A750,'[1]MC Masterlist 2026-09-12'!$B:$M, 11, 0),0)</f>
        <v>15</v>
      </c>
      <c r="W750" s="46">
        <f t="shared" si="172"/>
        <v>30</v>
      </c>
      <c r="X750" s="46">
        <f t="shared" si="173"/>
        <v>29.833333333333332</v>
      </c>
      <c r="Y750" s="46">
        <f>IFERROR(IF(OR(C750="AREA I",C750="AREA V"),7,VLOOKUP(A750,'[1]MC Masterlist 2026-09-12'!$B:$M, 12, 0)),0)</f>
        <v>30</v>
      </c>
      <c r="Z750" s="46">
        <f t="shared" si="174"/>
        <v>0.16666666666666666</v>
      </c>
      <c r="AA750" s="46">
        <f t="shared" si="175"/>
        <v>0.33333333333333331</v>
      </c>
      <c r="AB750" s="46">
        <f t="shared" si="176"/>
        <v>0.33148148148148143</v>
      </c>
      <c r="AC750" s="46">
        <f t="shared" si="177"/>
        <v>0.33333333333333331</v>
      </c>
      <c r="AD750" s="44" t="str">
        <f t="shared" si="178"/>
        <v>Over</v>
      </c>
      <c r="AE750" s="44" t="str">
        <f>IFERROR(VLOOKUP(A750,'[1]Re-order'!$A:$AA,27,0),"")</f>
        <v>Over</v>
      </c>
      <c r="AF750" s="46">
        <f t="shared" si="179"/>
        <v>-0.66666666666666674</v>
      </c>
      <c r="AG750" s="46">
        <f>SUMIFS('[1]Raw Inventory'!D:D,'[1]Raw Inventory'!C:C,"GREATWALL",'[1]Raw Inventory'!B:B,A750)</f>
        <v>3</v>
      </c>
      <c r="AH750" s="46">
        <f>SUMIFS('[1]Raw Inventory'!D:D,'[1]Raw Inventory'!C:C,"DUARTE",'[1]Raw Inventory'!B:B,A750)</f>
        <v>0</v>
      </c>
      <c r="AI750" s="46"/>
      <c r="AJ750" s="46"/>
      <c r="AK750" s="43"/>
      <c r="AL750" s="43"/>
      <c r="AM750" s="43"/>
      <c r="AN750" s="43"/>
      <c r="AO750" s="43"/>
      <c r="AP750" s="43"/>
      <c r="AQ750" s="43"/>
      <c r="AR750" s="43"/>
      <c r="AS750" s="43"/>
      <c r="AT750" s="43"/>
    </row>
    <row r="751" spans="1:46">
      <c r="A751" s="43" t="s">
        <v>26</v>
      </c>
      <c r="B751" s="43" t="s">
        <v>112</v>
      </c>
      <c r="C751" s="43" t="s">
        <v>109</v>
      </c>
      <c r="D751" s="44" t="s">
        <v>233</v>
      </c>
      <c r="E751" s="44">
        <v>8</v>
      </c>
      <c r="F751" s="44" t="s">
        <v>2</v>
      </c>
      <c r="G751" s="43" t="str">
        <f>IFERROR(VLOOKUP(A751,'[1]MC Masterlist 2026-09-12'!$B:$M, 3, 0),"")</f>
        <v>SUZUKI</v>
      </c>
      <c r="H751" s="45">
        <f>IFERROR(VLOOKUP(A751,'[1]MC Masterlist 2026-09-12'!$B:$M, 6, 0),"")</f>
        <v>123700</v>
      </c>
      <c r="I751" s="46">
        <v>1</v>
      </c>
      <c r="J751" s="46">
        <v>1</v>
      </c>
      <c r="K751" s="46">
        <v>0</v>
      </c>
      <c r="L751" s="46">
        <f t="shared" si="165"/>
        <v>2</v>
      </c>
      <c r="M751" s="46">
        <f t="shared" si="166"/>
        <v>0.66666666666666663</v>
      </c>
      <c r="N751" s="45">
        <f t="shared" si="167"/>
        <v>247400</v>
      </c>
      <c r="O751" s="45">
        <f t="shared" si="168"/>
        <v>82466.666666666657</v>
      </c>
      <c r="P751" s="46">
        <f t="shared" si="169"/>
        <v>2.222222222222222E-2</v>
      </c>
      <c r="Q751" s="46">
        <v>6</v>
      </c>
      <c r="R751" s="45">
        <f t="shared" si="170"/>
        <v>742200</v>
      </c>
      <c r="S751" s="46">
        <f t="shared" si="171"/>
        <v>270.00000000000006</v>
      </c>
      <c r="T751" s="46">
        <f>IFERROR(VLOOKUP(A751,'[1]Re-order'!$A:$Q,17,0),"")</f>
        <v>71.470588235294116</v>
      </c>
      <c r="U751" s="46">
        <f>IFERROR(VLOOKUP(A751,'[1]MC Masterlist 2026-09-12'!$B:$M, 10, 0),0)</f>
        <v>15</v>
      </c>
      <c r="V751" s="46">
        <f>IFERROR(VLOOKUP(A751,'[1]MC Masterlist 2026-09-12'!$B:$M, 11, 0),0)</f>
        <v>15</v>
      </c>
      <c r="W751" s="46">
        <f t="shared" si="172"/>
        <v>30</v>
      </c>
      <c r="X751" s="46">
        <f t="shared" si="173"/>
        <v>29.666666666666668</v>
      </c>
      <c r="Y751" s="46">
        <f>IFERROR(IF(OR(C751="AREA I",C751="AREA V"),7,VLOOKUP(A751,'[1]MC Masterlist 2026-09-12'!$B:$M, 12, 0)),0)</f>
        <v>30</v>
      </c>
      <c r="Z751" s="46">
        <f t="shared" si="174"/>
        <v>0.33333333333333331</v>
      </c>
      <c r="AA751" s="46">
        <f t="shared" si="175"/>
        <v>0.66666666666666663</v>
      </c>
      <c r="AB751" s="46">
        <f t="shared" si="176"/>
        <v>0.65925925925925921</v>
      </c>
      <c r="AC751" s="46">
        <f t="shared" si="177"/>
        <v>0.66666666666666663</v>
      </c>
      <c r="AD751" s="44" t="str">
        <f t="shared" si="178"/>
        <v>Over</v>
      </c>
      <c r="AE751" s="44" t="str">
        <f>IFERROR(VLOOKUP(A751,'[1]Re-order'!$A:$AA,27,0),"")</f>
        <v>Re-order</v>
      </c>
      <c r="AF751" s="46">
        <f t="shared" si="179"/>
        <v>-5.333333333333333</v>
      </c>
      <c r="AG751" s="46">
        <f>SUMIFS('[1]Raw Inventory'!D:D,'[1]Raw Inventory'!C:C,"GREATWALL",'[1]Raw Inventory'!B:B,A751)</f>
        <v>30</v>
      </c>
      <c r="AH751" s="46">
        <f>SUMIFS('[1]Raw Inventory'!D:D,'[1]Raw Inventory'!C:C,"DUARTE",'[1]Raw Inventory'!B:B,A751)</f>
        <v>0</v>
      </c>
      <c r="AI751" s="46"/>
      <c r="AJ751" s="46"/>
      <c r="AK751" s="43"/>
      <c r="AL751" s="43"/>
      <c r="AM751" s="43"/>
      <c r="AN751" s="43"/>
      <c r="AO751" s="43"/>
      <c r="AP751" s="43"/>
      <c r="AQ751" s="43"/>
      <c r="AR751" s="43"/>
      <c r="AS751" s="43"/>
      <c r="AT751" s="43"/>
    </row>
    <row r="752" spans="1:46">
      <c r="A752" s="43" t="s">
        <v>125</v>
      </c>
      <c r="B752" s="43" t="s">
        <v>120</v>
      </c>
      <c r="C752" s="43" t="s">
        <v>118</v>
      </c>
      <c r="D752" s="44" t="s">
        <v>267</v>
      </c>
      <c r="E752" s="44">
        <v>23</v>
      </c>
      <c r="F752" s="44" t="s">
        <v>3</v>
      </c>
      <c r="G752" s="43" t="str">
        <f>IFERROR(VLOOKUP(A752,'[1]MC Masterlist 2026-09-12'!$B:$M, 3, 0),"")</f>
        <v>SUZUKI</v>
      </c>
      <c r="H752" s="45">
        <f>IFERROR(VLOOKUP(A752,'[1]MC Masterlist 2026-09-12'!$B:$M, 6, 0),"")</f>
        <v>68177</v>
      </c>
      <c r="I752" s="46">
        <v>0</v>
      </c>
      <c r="J752" s="46">
        <v>0</v>
      </c>
      <c r="K752" s="46">
        <v>0</v>
      </c>
      <c r="L752" s="46">
        <f t="shared" si="165"/>
        <v>0</v>
      </c>
      <c r="M752" s="46">
        <f t="shared" si="166"/>
        <v>0</v>
      </c>
      <c r="N752" s="45">
        <f t="shared" si="167"/>
        <v>0</v>
      </c>
      <c r="O752" s="45">
        <f t="shared" si="168"/>
        <v>0</v>
      </c>
      <c r="P752" s="46">
        <f t="shared" si="169"/>
        <v>0</v>
      </c>
      <c r="Q752" s="46">
        <v>1</v>
      </c>
      <c r="R752" s="45">
        <f t="shared" si="170"/>
        <v>68177</v>
      </c>
      <c r="S752" s="46">
        <f t="shared" si="171"/>
        <v>0</v>
      </c>
      <c r="T752" s="46">
        <f>IFERROR(VLOOKUP(A752,'[1]Re-order'!$A:$Q,17,0),"")</f>
        <v>90.000000000000014</v>
      </c>
      <c r="U752" s="46">
        <f>IFERROR(VLOOKUP(A752,'[1]MC Masterlist 2026-09-12'!$B:$M, 10, 0),0)</f>
        <v>15</v>
      </c>
      <c r="V752" s="46">
        <f>IFERROR(VLOOKUP(A752,'[1]MC Masterlist 2026-09-12'!$B:$M, 11, 0),0)</f>
        <v>15</v>
      </c>
      <c r="W752" s="46">
        <f t="shared" si="172"/>
        <v>30</v>
      </c>
      <c r="X752" s="46">
        <f t="shared" si="173"/>
        <v>30</v>
      </c>
      <c r="Y752" s="46">
        <f>IFERROR(IF(OR(C752="AREA I",C752="AREA V"),7,VLOOKUP(A752,'[1]MC Masterlist 2026-09-12'!$B:$M, 12, 0)),0)</f>
        <v>30</v>
      </c>
      <c r="Z752" s="46">
        <f t="shared" si="174"/>
        <v>0</v>
      </c>
      <c r="AA752" s="46">
        <f t="shared" si="175"/>
        <v>0</v>
      </c>
      <c r="AB752" s="46">
        <f t="shared" si="176"/>
        <v>0</v>
      </c>
      <c r="AC752" s="46">
        <f t="shared" si="177"/>
        <v>0</v>
      </c>
      <c r="AD752" s="44" t="str">
        <f t="shared" si="178"/>
        <v>Over</v>
      </c>
      <c r="AE752" s="44" t="str">
        <f>IFERROR(VLOOKUP(A752,'[1]Re-order'!$A:$AA,27,0),"")</f>
        <v/>
      </c>
      <c r="AF752" s="46">
        <f t="shared" si="179"/>
        <v>-1</v>
      </c>
      <c r="AG752" s="46">
        <f>SUMIFS('[1]Raw Inventory'!D:D,'[1]Raw Inventory'!C:C,"GREATWALL",'[1]Raw Inventory'!B:B,A752)</f>
        <v>0</v>
      </c>
      <c r="AH752" s="46">
        <f>SUMIFS('[1]Raw Inventory'!D:D,'[1]Raw Inventory'!C:C,"DUARTE",'[1]Raw Inventory'!B:B,A752)</f>
        <v>0</v>
      </c>
      <c r="AI752" s="46"/>
      <c r="AJ752" s="46"/>
      <c r="AK752" s="43"/>
      <c r="AL752" s="43"/>
      <c r="AM752" s="43"/>
      <c r="AN752" s="43"/>
      <c r="AO752" s="43"/>
      <c r="AP752" s="43"/>
      <c r="AQ752" s="43"/>
      <c r="AR752" s="43"/>
      <c r="AS752" s="43"/>
      <c r="AT752" s="43"/>
    </row>
    <row r="753" spans="1:46">
      <c r="A753" s="43" t="s">
        <v>35</v>
      </c>
      <c r="B753" s="43" t="s">
        <v>139</v>
      </c>
      <c r="C753" s="43" t="s">
        <v>137</v>
      </c>
      <c r="D753" s="44" t="s">
        <v>262</v>
      </c>
      <c r="E753" s="44">
        <v>16</v>
      </c>
      <c r="F753" s="44" t="s">
        <v>2</v>
      </c>
      <c r="G753" s="43" t="str">
        <f>IFERROR(VLOOKUP(A753,'[1]MC Masterlist 2026-09-12'!$B:$M, 3, 0),"")</f>
        <v>HONDA</v>
      </c>
      <c r="H753" s="45">
        <f>IFERROR(VLOOKUP(A753,'[1]MC Masterlist 2026-09-12'!$B:$M, 6, 0),"")</f>
        <v>57990</v>
      </c>
      <c r="I753" s="46">
        <v>3</v>
      </c>
      <c r="J753" s="46">
        <v>3</v>
      </c>
      <c r="K753" s="46">
        <v>4</v>
      </c>
      <c r="L753" s="46">
        <f t="shared" si="165"/>
        <v>10</v>
      </c>
      <c r="M753" s="46">
        <f t="shared" si="166"/>
        <v>3.3333333333333335</v>
      </c>
      <c r="N753" s="45">
        <f t="shared" si="167"/>
        <v>579900</v>
      </c>
      <c r="O753" s="45">
        <f t="shared" si="168"/>
        <v>193300</v>
      </c>
      <c r="P753" s="46">
        <f t="shared" si="169"/>
        <v>0.11111111111111112</v>
      </c>
      <c r="Q753" s="46">
        <v>3</v>
      </c>
      <c r="R753" s="45">
        <f t="shared" si="170"/>
        <v>173970</v>
      </c>
      <c r="S753" s="46">
        <f t="shared" si="171"/>
        <v>27</v>
      </c>
      <c r="T753" s="46">
        <f>IFERROR(VLOOKUP(A753,'[1]Re-order'!$A:$Q,17,0),"")</f>
        <v>68.275862068965523</v>
      </c>
      <c r="U753" s="46">
        <f>IFERROR(VLOOKUP(A753,'[1]MC Masterlist 2026-09-12'!$B:$M, 10, 0),0)</f>
        <v>15</v>
      </c>
      <c r="V753" s="46">
        <f>IFERROR(VLOOKUP(A753,'[1]MC Masterlist 2026-09-12'!$B:$M, 11, 0),0)</f>
        <v>15</v>
      </c>
      <c r="W753" s="46">
        <f t="shared" si="172"/>
        <v>30</v>
      </c>
      <c r="X753" s="46">
        <f t="shared" si="173"/>
        <v>5.333333333333333</v>
      </c>
      <c r="Y753" s="46">
        <f>IFERROR(IF(OR(C753="AREA I",C753="AREA V"),7,VLOOKUP(A753,'[1]MC Masterlist 2026-09-12'!$B:$M, 12, 0)),0)</f>
        <v>7</v>
      </c>
      <c r="Z753" s="46">
        <f t="shared" si="174"/>
        <v>1.6666666666666667</v>
      </c>
      <c r="AA753" s="46">
        <f t="shared" si="175"/>
        <v>3.3333333333333335</v>
      </c>
      <c r="AB753" s="46">
        <f t="shared" si="176"/>
        <v>0.59259259259259256</v>
      </c>
      <c r="AC753" s="46">
        <f t="shared" si="177"/>
        <v>0.77777777777777779</v>
      </c>
      <c r="AD753" s="44" t="str">
        <f t="shared" si="178"/>
        <v>Over</v>
      </c>
      <c r="AE753" s="44" t="str">
        <f>IFERROR(VLOOKUP(A753,'[1]Re-order'!$A:$AA,27,0),"")</f>
        <v>Re-order</v>
      </c>
      <c r="AF753" s="46">
        <f t="shared" si="179"/>
        <v>-2.2222222222222223</v>
      </c>
      <c r="AG753" s="46">
        <f>SUMIFS('[1]Raw Inventory'!D:D,'[1]Raw Inventory'!C:C,"GREATWALL",'[1]Raw Inventory'!B:B,A753)</f>
        <v>29</v>
      </c>
      <c r="AH753" s="46">
        <f>SUMIFS('[1]Raw Inventory'!D:D,'[1]Raw Inventory'!C:C,"DUARTE",'[1]Raw Inventory'!B:B,A753)</f>
        <v>0</v>
      </c>
      <c r="AI753" s="46"/>
      <c r="AJ753" s="46"/>
      <c r="AK753" s="43"/>
      <c r="AL753" s="43"/>
      <c r="AM753" s="43"/>
      <c r="AN753" s="43"/>
      <c r="AO753" s="43"/>
      <c r="AP753" s="43"/>
      <c r="AQ753" s="43"/>
      <c r="AR753" s="43"/>
      <c r="AS753" s="43"/>
      <c r="AT753" s="43"/>
    </row>
    <row r="754" spans="1:46">
      <c r="A754" s="43" t="s">
        <v>14</v>
      </c>
      <c r="B754" s="43" t="s">
        <v>19</v>
      </c>
      <c r="C754" s="43" t="s">
        <v>1</v>
      </c>
      <c r="D754" s="44" t="s">
        <v>227</v>
      </c>
      <c r="E754" s="44">
        <v>1</v>
      </c>
      <c r="F754" s="44" t="s">
        <v>0</v>
      </c>
      <c r="G754" s="43" t="str">
        <f>IFERROR(VLOOKUP(A754,'[1]MC Masterlist 2026-09-12'!$B:$M, 3, 0),"")</f>
        <v>HONDA</v>
      </c>
      <c r="H754" s="45">
        <f>IFERROR(VLOOKUP(A754,'[1]MC Masterlist 2026-09-12'!$B:$M, 6, 0),"")</f>
        <v>80070</v>
      </c>
      <c r="I754" s="46">
        <v>26</v>
      </c>
      <c r="J754" s="46">
        <v>17</v>
      </c>
      <c r="K754" s="46">
        <v>15</v>
      </c>
      <c r="L754" s="46">
        <f t="shared" si="165"/>
        <v>58</v>
      </c>
      <c r="M754" s="46">
        <f t="shared" si="166"/>
        <v>19.333333333333332</v>
      </c>
      <c r="N754" s="45">
        <f t="shared" si="167"/>
        <v>4644060</v>
      </c>
      <c r="O754" s="45">
        <f t="shared" si="168"/>
        <v>1548020</v>
      </c>
      <c r="P754" s="46">
        <f t="shared" si="169"/>
        <v>0.64444444444444438</v>
      </c>
      <c r="Q754" s="46">
        <v>7</v>
      </c>
      <c r="R754" s="45">
        <f t="shared" si="170"/>
        <v>560490</v>
      </c>
      <c r="S754" s="46">
        <f t="shared" si="171"/>
        <v>10.862068965517242</v>
      </c>
      <c r="T754" s="46">
        <f>IFERROR(VLOOKUP(A754,'[1]Re-order'!$A:$Q,17,0),"")</f>
        <v>20.105787181082761</v>
      </c>
      <c r="U754" s="46">
        <f>IFERROR(VLOOKUP(A754,'[1]MC Masterlist 2026-09-12'!$B:$M, 10, 0),0)</f>
        <v>15</v>
      </c>
      <c r="V754" s="46">
        <f>IFERROR(VLOOKUP(A754,'[1]MC Masterlist 2026-09-12'!$B:$M, 11, 0),0)</f>
        <v>15</v>
      </c>
      <c r="W754" s="46">
        <f t="shared" si="172"/>
        <v>30</v>
      </c>
      <c r="X754" s="46">
        <f t="shared" si="173"/>
        <v>-2.6666666666666661</v>
      </c>
      <c r="Y754" s="46">
        <f>IFERROR(IF(OR(C754="AREA I",C754="AREA V"),7,VLOOKUP(A754,'[1]MC Masterlist 2026-09-12'!$B:$M, 12, 0)),0)</f>
        <v>7</v>
      </c>
      <c r="Z754" s="46">
        <f t="shared" si="174"/>
        <v>9.6666666666666661</v>
      </c>
      <c r="AA754" s="46">
        <f t="shared" si="175"/>
        <v>19.333333333333332</v>
      </c>
      <c r="AB754" s="46">
        <f t="shared" si="176"/>
        <v>-1.7185185185185179</v>
      </c>
      <c r="AC754" s="46">
        <f t="shared" si="177"/>
        <v>4.5111111111111111</v>
      </c>
      <c r="AD754" s="44" t="str">
        <f t="shared" si="178"/>
        <v>Over</v>
      </c>
      <c r="AE754" s="44" t="str">
        <f>IFERROR(VLOOKUP(A754,'[1]Re-order'!$A:$AA,27,0),"")</f>
        <v>Stockout</v>
      </c>
      <c r="AF754" s="46">
        <f t="shared" si="179"/>
        <v>-2.4888888888888889</v>
      </c>
      <c r="AG754" s="46">
        <f>SUMIFS('[1]Raw Inventory'!D:D,'[1]Raw Inventory'!C:C,"GREATWALL",'[1]Raw Inventory'!B:B,A754)</f>
        <v>176</v>
      </c>
      <c r="AH754" s="46">
        <f>SUMIFS('[1]Raw Inventory'!D:D,'[1]Raw Inventory'!C:C,"DUARTE",'[1]Raw Inventory'!B:B,A754)</f>
        <v>0</v>
      </c>
      <c r="AI754" s="46"/>
      <c r="AJ754" s="46"/>
      <c r="AK754" s="43"/>
      <c r="AL754" s="43"/>
      <c r="AM754" s="43"/>
      <c r="AN754" s="43"/>
      <c r="AO754" s="43"/>
      <c r="AP754" s="43"/>
      <c r="AQ754" s="43"/>
      <c r="AR754" s="43"/>
      <c r="AS754" s="43"/>
      <c r="AT754" s="43"/>
    </row>
    <row r="755" spans="1:46">
      <c r="A755" s="43" t="s">
        <v>44</v>
      </c>
      <c r="B755" s="43" t="s">
        <v>129</v>
      </c>
      <c r="C755" s="43" t="s">
        <v>128</v>
      </c>
      <c r="D755" s="44" t="s">
        <v>246</v>
      </c>
      <c r="E755" s="44">
        <v>11</v>
      </c>
      <c r="F755" s="44" t="s">
        <v>2</v>
      </c>
      <c r="G755" s="43" t="str">
        <f>IFERROR(VLOOKUP(A755,'[1]MC Masterlist 2026-09-12'!$B:$M, 3, 0),"")</f>
        <v>YAMAHA</v>
      </c>
      <c r="H755" s="45">
        <f>IFERROR(VLOOKUP(A755,'[1]MC Masterlist 2026-09-12'!$B:$M, 6, 0),"")</f>
        <v>165912</v>
      </c>
      <c r="I755" s="46">
        <v>2</v>
      </c>
      <c r="J755" s="46">
        <v>0</v>
      </c>
      <c r="K755" s="46">
        <v>0</v>
      </c>
      <c r="L755" s="46">
        <f t="shared" si="165"/>
        <v>2</v>
      </c>
      <c r="M755" s="46">
        <f t="shared" si="166"/>
        <v>0.66666666666666663</v>
      </c>
      <c r="N755" s="45">
        <f t="shared" si="167"/>
        <v>331824</v>
      </c>
      <c r="O755" s="45">
        <f t="shared" si="168"/>
        <v>110608</v>
      </c>
      <c r="P755" s="46">
        <f t="shared" si="169"/>
        <v>2.222222222222222E-2</v>
      </c>
      <c r="Q755" s="46"/>
      <c r="R755" s="45">
        <f t="shared" si="170"/>
        <v>0</v>
      </c>
      <c r="S755" s="46">
        <f t="shared" si="171"/>
        <v>0</v>
      </c>
      <c r="T755" s="46">
        <f>IFERROR(VLOOKUP(A755,'[1]Re-order'!$A:$Q,17,0),"")</f>
        <v>10.588235294117649</v>
      </c>
      <c r="U755" s="46">
        <f>IFERROR(VLOOKUP(A755,'[1]MC Masterlist 2026-09-12'!$B:$M, 10, 0),0)</f>
        <v>15</v>
      </c>
      <c r="V755" s="46">
        <f>IFERROR(VLOOKUP(A755,'[1]MC Masterlist 2026-09-12'!$B:$M, 11, 0),0)</f>
        <v>15</v>
      </c>
      <c r="W755" s="46">
        <f t="shared" si="172"/>
        <v>30</v>
      </c>
      <c r="X755" s="46">
        <f t="shared" si="173"/>
        <v>29.666666666666668</v>
      </c>
      <c r="Y755" s="46">
        <f>IFERROR(IF(OR(C755="AREA I",C755="AREA V"),7,VLOOKUP(A755,'[1]MC Masterlist 2026-09-12'!$B:$M, 12, 0)),0)</f>
        <v>30</v>
      </c>
      <c r="Z755" s="46">
        <f t="shared" si="174"/>
        <v>0.33333333333333331</v>
      </c>
      <c r="AA755" s="46">
        <f t="shared" si="175"/>
        <v>0.66666666666666663</v>
      </c>
      <c r="AB755" s="46">
        <f t="shared" si="176"/>
        <v>0.65925925925925921</v>
      </c>
      <c r="AC755" s="46">
        <f t="shared" si="177"/>
        <v>0.66666666666666663</v>
      </c>
      <c r="AD755" s="44" t="str">
        <f t="shared" si="178"/>
        <v>Stockout</v>
      </c>
      <c r="AE755" s="44" t="str">
        <f>IFERROR(VLOOKUP(A755,'[1]Re-order'!$A:$AA,27,0),"")</f>
        <v>Stockout</v>
      </c>
      <c r="AF755" s="46">
        <f t="shared" si="179"/>
        <v>0.66666666666666663</v>
      </c>
      <c r="AG755" s="46">
        <f>SUMIFS('[1]Raw Inventory'!D:D,'[1]Raw Inventory'!C:C,"GREATWALL",'[1]Raw Inventory'!B:B,A755)</f>
        <v>0</v>
      </c>
      <c r="AH755" s="46">
        <f>SUMIFS('[1]Raw Inventory'!D:D,'[1]Raw Inventory'!C:C,"DUARTE",'[1]Raw Inventory'!B:B,A755)</f>
        <v>0</v>
      </c>
      <c r="AI755" s="46"/>
      <c r="AJ755" s="46"/>
      <c r="AK755" s="43"/>
      <c r="AL755" s="43"/>
      <c r="AM755" s="43"/>
      <c r="AN755" s="43"/>
      <c r="AO755" s="43"/>
      <c r="AP755" s="43"/>
      <c r="AQ755" s="43"/>
      <c r="AR755" s="43"/>
      <c r="AS755" s="43"/>
      <c r="AT755" s="43"/>
    </row>
    <row r="756" spans="1:46">
      <c r="A756" s="43" t="s">
        <v>25</v>
      </c>
      <c r="B756" s="43" t="s">
        <v>161</v>
      </c>
      <c r="C756" s="43" t="s">
        <v>159</v>
      </c>
      <c r="D756" s="44" t="s">
        <v>287</v>
      </c>
      <c r="E756" s="44">
        <v>1</v>
      </c>
      <c r="F756" s="44" t="s">
        <v>0</v>
      </c>
      <c r="G756" s="43" t="str">
        <f>IFERROR(VLOOKUP(A756,'[1]MC Masterlist 2026-09-12'!$B:$M, 3, 0),"")</f>
        <v>YAMAHA</v>
      </c>
      <c r="H756" s="45">
        <f>IFERROR(VLOOKUP(A756,'[1]MC Masterlist 2026-09-12'!$B:$M, 6, 0),"")</f>
        <v>124527</v>
      </c>
      <c r="I756" s="46">
        <v>0</v>
      </c>
      <c r="J756" s="46">
        <v>0</v>
      </c>
      <c r="K756" s="46">
        <v>0</v>
      </c>
      <c r="L756" s="46">
        <f t="shared" si="165"/>
        <v>0</v>
      </c>
      <c r="M756" s="46">
        <f t="shared" si="166"/>
        <v>0</v>
      </c>
      <c r="N756" s="45">
        <f t="shared" si="167"/>
        <v>0</v>
      </c>
      <c r="O756" s="45">
        <f t="shared" si="168"/>
        <v>0</v>
      </c>
      <c r="P756" s="46">
        <f t="shared" si="169"/>
        <v>0</v>
      </c>
      <c r="Q756" s="46">
        <v>4</v>
      </c>
      <c r="R756" s="45">
        <f t="shared" si="170"/>
        <v>498108</v>
      </c>
      <c r="S756" s="46">
        <f t="shared" si="171"/>
        <v>0</v>
      </c>
      <c r="T756" s="46">
        <f>IFERROR(VLOOKUP(A756,'[1]Re-order'!$A:$Q,17,0),"")</f>
        <v>5.1030927835051543</v>
      </c>
      <c r="U756" s="46">
        <f>IFERROR(VLOOKUP(A756,'[1]MC Masterlist 2026-09-12'!$B:$M, 10, 0),0)</f>
        <v>15</v>
      </c>
      <c r="V756" s="46">
        <f>IFERROR(VLOOKUP(A756,'[1]MC Masterlist 2026-09-12'!$B:$M, 11, 0),0)</f>
        <v>15</v>
      </c>
      <c r="W756" s="46">
        <f t="shared" si="172"/>
        <v>30</v>
      </c>
      <c r="X756" s="46">
        <f t="shared" si="173"/>
        <v>30</v>
      </c>
      <c r="Y756" s="46">
        <f>IFERROR(IF(OR(C756="AREA I",C756="AREA V"),7,VLOOKUP(A756,'[1]MC Masterlist 2026-09-12'!$B:$M, 12, 0)),0)</f>
        <v>30</v>
      </c>
      <c r="Z756" s="46">
        <f t="shared" si="174"/>
        <v>0</v>
      </c>
      <c r="AA756" s="46">
        <f t="shared" si="175"/>
        <v>0</v>
      </c>
      <c r="AB756" s="46">
        <f t="shared" si="176"/>
        <v>0</v>
      </c>
      <c r="AC756" s="46">
        <f t="shared" si="177"/>
        <v>0</v>
      </c>
      <c r="AD756" s="44" t="str">
        <f t="shared" si="178"/>
        <v>Over</v>
      </c>
      <c r="AE756" s="44" t="str">
        <f>IFERROR(VLOOKUP(A756,'[1]Re-order'!$A:$AA,27,0),"")</f>
        <v>Stockout</v>
      </c>
      <c r="AF756" s="46">
        <f t="shared" si="179"/>
        <v>-4</v>
      </c>
      <c r="AG756" s="46">
        <f>SUMIFS('[1]Raw Inventory'!D:D,'[1]Raw Inventory'!C:C,"GREATWALL",'[1]Raw Inventory'!B:B,A756)</f>
        <v>1</v>
      </c>
      <c r="AH756" s="46">
        <f>SUMIFS('[1]Raw Inventory'!D:D,'[1]Raw Inventory'!C:C,"DUARTE",'[1]Raw Inventory'!B:B,A756)</f>
        <v>0</v>
      </c>
      <c r="AI756" s="46"/>
      <c r="AJ756" s="46"/>
      <c r="AK756" s="43"/>
      <c r="AL756" s="43"/>
      <c r="AM756" s="43"/>
      <c r="AN756" s="43"/>
      <c r="AO756" s="43"/>
      <c r="AP756" s="43"/>
      <c r="AQ756" s="43"/>
      <c r="AR756" s="43"/>
      <c r="AS756" s="43"/>
      <c r="AT756" s="43"/>
    </row>
    <row r="757" spans="1:46">
      <c r="A757" s="43" t="s">
        <v>31</v>
      </c>
      <c r="B757" s="43" t="s">
        <v>96</v>
      </c>
      <c r="C757" s="43" t="s">
        <v>90</v>
      </c>
      <c r="D757" s="44" t="s">
        <v>268</v>
      </c>
      <c r="E757" s="44">
        <v>5</v>
      </c>
      <c r="F757" s="44" t="s">
        <v>3</v>
      </c>
      <c r="G757" s="43" t="str">
        <f>IFERROR(VLOOKUP(A757,'[1]MC Masterlist 2026-09-12'!$B:$M, 3, 0),"")</f>
        <v>KAWASAKI</v>
      </c>
      <c r="H757" s="45">
        <f>IFERROR(VLOOKUP(A757,'[1]MC Masterlist 2026-09-12'!$B:$M, 6, 0),"")</f>
        <v>59528</v>
      </c>
      <c r="I757" s="46">
        <v>1</v>
      </c>
      <c r="J757" s="46">
        <v>0</v>
      </c>
      <c r="K757" s="46">
        <v>1</v>
      </c>
      <c r="L757" s="46">
        <f t="shared" si="165"/>
        <v>2</v>
      </c>
      <c r="M757" s="46">
        <f t="shared" si="166"/>
        <v>0.66666666666666663</v>
      </c>
      <c r="N757" s="45">
        <f t="shared" si="167"/>
        <v>119056</v>
      </c>
      <c r="O757" s="45">
        <f t="shared" si="168"/>
        <v>39685.333333333328</v>
      </c>
      <c r="P757" s="46">
        <f t="shared" si="169"/>
        <v>2.222222222222222E-2</v>
      </c>
      <c r="Q757" s="46">
        <v>1</v>
      </c>
      <c r="R757" s="45">
        <f t="shared" si="170"/>
        <v>59528</v>
      </c>
      <c r="S757" s="46">
        <f t="shared" si="171"/>
        <v>45.000000000000007</v>
      </c>
      <c r="T757" s="46">
        <f>IFERROR(VLOOKUP(A757,'[1]Re-order'!$A:$Q,17,0),"")</f>
        <v>95.869565217391298</v>
      </c>
      <c r="U757" s="46">
        <f>IFERROR(VLOOKUP(A757,'[1]MC Masterlist 2026-09-12'!$B:$M, 10, 0),0)</f>
        <v>15</v>
      </c>
      <c r="V757" s="46">
        <f>IFERROR(VLOOKUP(A757,'[1]MC Masterlist 2026-09-12'!$B:$M, 11, 0),0)</f>
        <v>15</v>
      </c>
      <c r="W757" s="46">
        <f t="shared" si="172"/>
        <v>30</v>
      </c>
      <c r="X757" s="46">
        <f t="shared" si="173"/>
        <v>29.666666666666668</v>
      </c>
      <c r="Y757" s="46">
        <f>IFERROR(IF(OR(C757="AREA I",C757="AREA V"),7,VLOOKUP(A757,'[1]MC Masterlist 2026-09-12'!$B:$M, 12, 0)),0)</f>
        <v>30</v>
      </c>
      <c r="Z757" s="46">
        <f t="shared" si="174"/>
        <v>0.33333333333333331</v>
      </c>
      <c r="AA757" s="46">
        <f t="shared" si="175"/>
        <v>0.66666666666666663</v>
      </c>
      <c r="AB757" s="46">
        <f t="shared" si="176"/>
        <v>0.65925925925925921</v>
      </c>
      <c r="AC757" s="46">
        <f t="shared" si="177"/>
        <v>0.66666666666666663</v>
      </c>
      <c r="AD757" s="44" t="str">
        <f t="shared" si="178"/>
        <v>Over</v>
      </c>
      <c r="AE757" s="44" t="str">
        <f>IFERROR(VLOOKUP(A757,'[1]Re-order'!$A:$AA,27,0),"")</f>
        <v>Over</v>
      </c>
      <c r="AF757" s="46">
        <f t="shared" si="179"/>
        <v>-0.33333333333333337</v>
      </c>
      <c r="AG757" s="46">
        <f>SUMIFS('[1]Raw Inventory'!D:D,'[1]Raw Inventory'!C:C,"GREATWALL",'[1]Raw Inventory'!B:B,A757)</f>
        <v>79</v>
      </c>
      <c r="AH757" s="46">
        <f>SUMIFS('[1]Raw Inventory'!D:D,'[1]Raw Inventory'!C:C,"DUARTE",'[1]Raw Inventory'!B:B,A757)</f>
        <v>0</v>
      </c>
      <c r="AI757" s="46"/>
      <c r="AJ757" s="46"/>
      <c r="AK757" s="43"/>
      <c r="AL757" s="43"/>
      <c r="AM757" s="43"/>
      <c r="AN757" s="43"/>
      <c r="AO757" s="43"/>
      <c r="AP757" s="43"/>
      <c r="AQ757" s="43"/>
      <c r="AR757" s="43"/>
      <c r="AS757" s="43"/>
      <c r="AT757" s="43"/>
    </row>
    <row r="758" spans="1:46">
      <c r="A758" s="43" t="s">
        <v>39</v>
      </c>
      <c r="B758" s="43" t="s">
        <v>158</v>
      </c>
      <c r="C758" s="43" t="s">
        <v>152</v>
      </c>
      <c r="D758" s="44" t="s">
        <v>264</v>
      </c>
      <c r="E758" s="44">
        <v>7</v>
      </c>
      <c r="F758" s="44" t="s">
        <v>0</v>
      </c>
      <c r="G758" s="43" t="str">
        <f>IFERROR(VLOOKUP(A758,'[1]MC Masterlist 2026-09-12'!$B:$M, 3, 0),"")</f>
        <v>HONDA</v>
      </c>
      <c r="H758" s="45">
        <f>IFERROR(VLOOKUP(A758,'[1]MC Masterlist 2026-09-12'!$B:$M, 6, 0),"")</f>
        <v>72434</v>
      </c>
      <c r="I758" s="46">
        <v>0</v>
      </c>
      <c r="J758" s="46">
        <v>3</v>
      </c>
      <c r="K758" s="46">
        <v>3</v>
      </c>
      <c r="L758" s="46">
        <f t="shared" si="165"/>
        <v>6</v>
      </c>
      <c r="M758" s="46">
        <f t="shared" si="166"/>
        <v>2</v>
      </c>
      <c r="N758" s="45">
        <f t="shared" si="167"/>
        <v>434604</v>
      </c>
      <c r="O758" s="45">
        <f t="shared" si="168"/>
        <v>144868</v>
      </c>
      <c r="P758" s="46">
        <f t="shared" si="169"/>
        <v>6.6666666666666666E-2</v>
      </c>
      <c r="Q758" s="46"/>
      <c r="R758" s="45">
        <f t="shared" si="170"/>
        <v>0</v>
      </c>
      <c r="S758" s="46">
        <f t="shared" si="171"/>
        <v>0</v>
      </c>
      <c r="T758" s="46">
        <f>IFERROR(VLOOKUP(A758,'[1]Re-order'!$A:$Q,17,0),"")</f>
        <v>40.982142857142854</v>
      </c>
      <c r="U758" s="46">
        <f>IFERROR(VLOOKUP(A758,'[1]MC Masterlist 2026-09-12'!$B:$M, 10, 0),0)</f>
        <v>15</v>
      </c>
      <c r="V758" s="46">
        <f>IFERROR(VLOOKUP(A758,'[1]MC Masterlist 2026-09-12'!$B:$M, 11, 0),0)</f>
        <v>15</v>
      </c>
      <c r="W758" s="46">
        <f t="shared" si="172"/>
        <v>30</v>
      </c>
      <c r="X758" s="46">
        <f t="shared" si="173"/>
        <v>29</v>
      </c>
      <c r="Y758" s="46">
        <f>IFERROR(IF(OR(C758="AREA I",C758="AREA V"),7,VLOOKUP(A758,'[1]MC Masterlist 2026-09-12'!$B:$M, 12, 0)),0)</f>
        <v>30</v>
      </c>
      <c r="Z758" s="46">
        <f t="shared" si="174"/>
        <v>1</v>
      </c>
      <c r="AA758" s="46">
        <f t="shared" si="175"/>
        <v>2</v>
      </c>
      <c r="AB758" s="46">
        <f t="shared" si="176"/>
        <v>1.9333333333333333</v>
      </c>
      <c r="AC758" s="46">
        <f t="shared" si="177"/>
        <v>2</v>
      </c>
      <c r="AD758" s="44" t="str">
        <f t="shared" si="178"/>
        <v>Stockout</v>
      </c>
      <c r="AE758" s="44" t="str">
        <f>IFERROR(VLOOKUP(A758,'[1]Re-order'!$A:$AA,27,0),"")</f>
        <v>Re-order</v>
      </c>
      <c r="AF758" s="46">
        <f t="shared" si="179"/>
        <v>2</v>
      </c>
      <c r="AG758" s="46">
        <f>SUMIFS('[1]Raw Inventory'!D:D,'[1]Raw Inventory'!C:C,"GREATWALL",'[1]Raw Inventory'!B:B,A758)</f>
        <v>16</v>
      </c>
      <c r="AH758" s="46">
        <f>SUMIFS('[1]Raw Inventory'!D:D,'[1]Raw Inventory'!C:C,"DUARTE",'[1]Raw Inventory'!B:B,A758)</f>
        <v>0</v>
      </c>
      <c r="AI758" s="46"/>
      <c r="AJ758" s="46"/>
      <c r="AK758" s="43"/>
      <c r="AL758" s="43"/>
      <c r="AM758" s="43"/>
      <c r="AN758" s="43"/>
      <c r="AO758" s="43"/>
      <c r="AP758" s="43"/>
      <c r="AQ758" s="43"/>
      <c r="AR758" s="43"/>
      <c r="AS758" s="43"/>
      <c r="AT758" s="43"/>
    </row>
    <row r="759" spans="1:46">
      <c r="A759" s="43" t="s">
        <v>37</v>
      </c>
      <c r="B759" s="43" t="s">
        <v>97</v>
      </c>
      <c r="C759" s="43" t="s">
        <v>90</v>
      </c>
      <c r="D759" s="44" t="s">
        <v>255</v>
      </c>
      <c r="E759" s="44">
        <v>10</v>
      </c>
      <c r="F759" s="44" t="s">
        <v>2</v>
      </c>
      <c r="G759" s="43" t="str">
        <f>IFERROR(VLOOKUP(A759,'[1]MC Masterlist 2026-09-12'!$B:$M, 3, 0),"")</f>
        <v>HONDA</v>
      </c>
      <c r="H759" s="45">
        <f>IFERROR(VLOOKUP(A759,'[1]MC Masterlist 2026-09-12'!$B:$M, 6, 0),"")</f>
        <v>74550</v>
      </c>
      <c r="I759" s="46">
        <v>1</v>
      </c>
      <c r="J759" s="46">
        <v>0</v>
      </c>
      <c r="K759" s="46">
        <v>1</v>
      </c>
      <c r="L759" s="46">
        <f t="shared" si="165"/>
        <v>2</v>
      </c>
      <c r="M759" s="46">
        <f t="shared" si="166"/>
        <v>0.66666666666666663</v>
      </c>
      <c r="N759" s="45">
        <f t="shared" si="167"/>
        <v>149100</v>
      </c>
      <c r="O759" s="45">
        <f t="shared" si="168"/>
        <v>49700</v>
      </c>
      <c r="P759" s="46">
        <f t="shared" si="169"/>
        <v>2.222222222222222E-2</v>
      </c>
      <c r="Q759" s="46">
        <v>1</v>
      </c>
      <c r="R759" s="45">
        <f t="shared" si="170"/>
        <v>74550</v>
      </c>
      <c r="S759" s="46">
        <f t="shared" si="171"/>
        <v>45</v>
      </c>
      <c r="T759" s="46">
        <f>IFERROR(VLOOKUP(A759,'[1]Re-order'!$A:$Q,17,0),"")</f>
        <v>33.652173913043477</v>
      </c>
      <c r="U759" s="46">
        <f>IFERROR(VLOOKUP(A759,'[1]MC Masterlist 2026-09-12'!$B:$M, 10, 0),0)</f>
        <v>15</v>
      </c>
      <c r="V759" s="46">
        <f>IFERROR(VLOOKUP(A759,'[1]MC Masterlist 2026-09-12'!$B:$M, 11, 0),0)</f>
        <v>15</v>
      </c>
      <c r="W759" s="46">
        <f t="shared" si="172"/>
        <v>30</v>
      </c>
      <c r="X759" s="46">
        <f t="shared" si="173"/>
        <v>29.666666666666668</v>
      </c>
      <c r="Y759" s="46">
        <f>IFERROR(IF(OR(C759="AREA I",C759="AREA V"),7,VLOOKUP(A759,'[1]MC Masterlist 2026-09-12'!$B:$M, 12, 0)),0)</f>
        <v>30</v>
      </c>
      <c r="Z759" s="46">
        <f t="shared" si="174"/>
        <v>0.33333333333333331</v>
      </c>
      <c r="AA759" s="46">
        <f t="shared" si="175"/>
        <v>0.66666666666666663</v>
      </c>
      <c r="AB759" s="46">
        <f t="shared" si="176"/>
        <v>0.65925925925925921</v>
      </c>
      <c r="AC759" s="46">
        <f t="shared" si="177"/>
        <v>0.66666666666666663</v>
      </c>
      <c r="AD759" s="44" t="str">
        <f t="shared" si="178"/>
        <v>Over</v>
      </c>
      <c r="AE759" s="44" t="str">
        <f>IFERROR(VLOOKUP(A759,'[1]Re-order'!$A:$AA,27,0),"")</f>
        <v>Re-order</v>
      </c>
      <c r="AF759" s="46">
        <f t="shared" si="179"/>
        <v>-0.33333333333333337</v>
      </c>
      <c r="AG759" s="46">
        <f>SUMIFS('[1]Raw Inventory'!D:D,'[1]Raw Inventory'!C:C,"GREATWALL",'[1]Raw Inventory'!B:B,A759)</f>
        <v>28</v>
      </c>
      <c r="AH759" s="46">
        <f>SUMIFS('[1]Raw Inventory'!D:D,'[1]Raw Inventory'!C:C,"DUARTE",'[1]Raw Inventory'!B:B,A759)</f>
        <v>0</v>
      </c>
      <c r="AI759" s="46"/>
      <c r="AJ759" s="46"/>
      <c r="AK759" s="43"/>
      <c r="AL759" s="43"/>
      <c r="AM759" s="43"/>
      <c r="AN759" s="43"/>
      <c r="AO759" s="43"/>
      <c r="AP759" s="43"/>
      <c r="AQ759" s="43"/>
      <c r="AR759" s="43"/>
      <c r="AS759" s="43"/>
      <c r="AT759" s="43"/>
    </row>
    <row r="760" spans="1:46">
      <c r="A760" s="43" t="s">
        <v>40</v>
      </c>
      <c r="B760" s="43" t="s">
        <v>132</v>
      </c>
      <c r="C760" s="43" t="s">
        <v>128</v>
      </c>
      <c r="D760" s="44" t="s">
        <v>253</v>
      </c>
      <c r="E760" s="44">
        <v>29</v>
      </c>
      <c r="F760" s="44" t="s">
        <v>3</v>
      </c>
      <c r="G760" s="43" t="str">
        <f>IFERROR(VLOOKUP(A760,'[1]MC Masterlist 2026-09-12'!$B:$M, 3, 0),"")</f>
        <v>HONDA</v>
      </c>
      <c r="H760" s="45">
        <f>IFERROR(VLOOKUP(A760,'[1]MC Masterlist 2026-09-12'!$B:$M, 6, 0),"")</f>
        <v>56426</v>
      </c>
      <c r="I760" s="46">
        <v>0</v>
      </c>
      <c r="J760" s="46">
        <v>0</v>
      </c>
      <c r="K760" s="46">
        <v>1</v>
      </c>
      <c r="L760" s="46">
        <f t="shared" si="165"/>
        <v>1</v>
      </c>
      <c r="M760" s="46">
        <f t="shared" si="166"/>
        <v>0.33333333333333331</v>
      </c>
      <c r="N760" s="45">
        <f t="shared" si="167"/>
        <v>56426</v>
      </c>
      <c r="O760" s="45">
        <f t="shared" si="168"/>
        <v>18808.666666666664</v>
      </c>
      <c r="P760" s="46">
        <f t="shared" si="169"/>
        <v>1.111111111111111E-2</v>
      </c>
      <c r="Q760" s="46"/>
      <c r="R760" s="45">
        <f t="shared" si="170"/>
        <v>0</v>
      </c>
      <c r="S760" s="46">
        <f t="shared" si="171"/>
        <v>0</v>
      </c>
      <c r="T760" s="46">
        <f>IFERROR(VLOOKUP(A760,'[1]Re-order'!$A:$Q,17,0),"")</f>
        <v>139.56521739130434</v>
      </c>
      <c r="U760" s="46">
        <f>IFERROR(VLOOKUP(A760,'[1]MC Masterlist 2026-09-12'!$B:$M, 10, 0),0)</f>
        <v>15</v>
      </c>
      <c r="V760" s="46">
        <f>IFERROR(VLOOKUP(A760,'[1]MC Masterlist 2026-09-12'!$B:$M, 11, 0),0)</f>
        <v>15</v>
      </c>
      <c r="W760" s="46">
        <f t="shared" si="172"/>
        <v>30</v>
      </c>
      <c r="X760" s="46">
        <f t="shared" si="173"/>
        <v>29.833333333333332</v>
      </c>
      <c r="Y760" s="46">
        <f>IFERROR(IF(OR(C760="AREA I",C760="AREA V"),7,VLOOKUP(A760,'[1]MC Masterlist 2026-09-12'!$B:$M, 12, 0)),0)</f>
        <v>30</v>
      </c>
      <c r="Z760" s="46">
        <f t="shared" si="174"/>
        <v>0.16666666666666666</v>
      </c>
      <c r="AA760" s="46">
        <f t="shared" si="175"/>
        <v>0.33333333333333331</v>
      </c>
      <c r="AB760" s="46">
        <f t="shared" si="176"/>
        <v>0.33148148148148143</v>
      </c>
      <c r="AC760" s="46">
        <f t="shared" si="177"/>
        <v>0.33333333333333331</v>
      </c>
      <c r="AD760" s="44" t="str">
        <f t="shared" si="178"/>
        <v>Stockout</v>
      </c>
      <c r="AE760" s="44" t="str">
        <f>IFERROR(VLOOKUP(A760,'[1]Re-order'!$A:$AA,27,0),"")</f>
        <v>Over</v>
      </c>
      <c r="AF760" s="46">
        <f t="shared" si="179"/>
        <v>0.33333333333333331</v>
      </c>
      <c r="AG760" s="46">
        <f>SUMIFS('[1]Raw Inventory'!D:D,'[1]Raw Inventory'!C:C,"GREATWALL",'[1]Raw Inventory'!B:B,A760)</f>
        <v>45</v>
      </c>
      <c r="AH760" s="46">
        <f>SUMIFS('[1]Raw Inventory'!D:D,'[1]Raw Inventory'!C:C,"DUARTE",'[1]Raw Inventory'!B:B,A760)</f>
        <v>0</v>
      </c>
      <c r="AI760" s="46"/>
      <c r="AJ760" s="46"/>
      <c r="AK760" s="43"/>
      <c r="AL760" s="43"/>
      <c r="AM760" s="43"/>
      <c r="AN760" s="43"/>
      <c r="AO760" s="43"/>
      <c r="AP760" s="43"/>
      <c r="AQ760" s="43"/>
      <c r="AR760" s="43"/>
      <c r="AS760" s="43"/>
      <c r="AT760" s="43"/>
    </row>
    <row r="761" spans="1:46">
      <c r="A761" s="43" t="s">
        <v>17</v>
      </c>
      <c r="B761" s="43" t="s">
        <v>110</v>
      </c>
      <c r="C761" s="43" t="s">
        <v>109</v>
      </c>
      <c r="D761" s="44" t="s">
        <v>259</v>
      </c>
      <c r="E761" s="44">
        <v>5</v>
      </c>
      <c r="F761" s="44" t="s">
        <v>0</v>
      </c>
      <c r="G761" s="43" t="str">
        <f>IFERROR(VLOOKUP(A761,'[1]MC Masterlist 2026-09-12'!$B:$M, 3, 0),"")</f>
        <v>HONDA</v>
      </c>
      <c r="H761" s="45">
        <f>IFERROR(VLOOKUP(A761,'[1]MC Masterlist 2026-09-12'!$B:$M, 6, 0),"")</f>
        <v>140790</v>
      </c>
      <c r="I761" s="46">
        <v>2</v>
      </c>
      <c r="J761" s="46">
        <v>2</v>
      </c>
      <c r="K761" s="46">
        <v>1</v>
      </c>
      <c r="L761" s="46">
        <f t="shared" si="165"/>
        <v>5</v>
      </c>
      <c r="M761" s="46">
        <f t="shared" si="166"/>
        <v>1.6666666666666667</v>
      </c>
      <c r="N761" s="45">
        <f t="shared" si="167"/>
        <v>703950</v>
      </c>
      <c r="O761" s="45">
        <f t="shared" si="168"/>
        <v>234650</v>
      </c>
      <c r="P761" s="46">
        <f t="shared" si="169"/>
        <v>5.5555555555555559E-2</v>
      </c>
      <c r="Q761" s="46">
        <v>3</v>
      </c>
      <c r="R761" s="45">
        <f t="shared" si="170"/>
        <v>422370</v>
      </c>
      <c r="S761" s="46">
        <f t="shared" si="171"/>
        <v>54</v>
      </c>
      <c r="T761" s="46">
        <f>IFERROR(VLOOKUP(A761,'[1]Re-order'!$A:$Q,17,0),"")</f>
        <v>43.663366336633665</v>
      </c>
      <c r="U761" s="46">
        <f>IFERROR(VLOOKUP(A761,'[1]MC Masterlist 2026-09-12'!$B:$M, 10, 0),0)</f>
        <v>15</v>
      </c>
      <c r="V761" s="46">
        <f>IFERROR(VLOOKUP(A761,'[1]MC Masterlist 2026-09-12'!$B:$M, 11, 0),0)</f>
        <v>15</v>
      </c>
      <c r="W761" s="46">
        <f t="shared" si="172"/>
        <v>30</v>
      </c>
      <c r="X761" s="46">
        <f t="shared" si="173"/>
        <v>29.166666666666668</v>
      </c>
      <c r="Y761" s="46">
        <f>IFERROR(IF(OR(C761="AREA I",C761="AREA V"),7,VLOOKUP(A761,'[1]MC Masterlist 2026-09-12'!$B:$M, 12, 0)),0)</f>
        <v>30</v>
      </c>
      <c r="Z761" s="46">
        <f t="shared" si="174"/>
        <v>0.83333333333333337</v>
      </c>
      <c r="AA761" s="46">
        <f t="shared" si="175"/>
        <v>1.6666666666666667</v>
      </c>
      <c r="AB761" s="46">
        <f t="shared" si="176"/>
        <v>1.6203703703703705</v>
      </c>
      <c r="AC761" s="46">
        <f t="shared" si="177"/>
        <v>1.6666666666666667</v>
      </c>
      <c r="AD761" s="44" t="str">
        <f t="shared" si="178"/>
        <v>Over</v>
      </c>
      <c r="AE761" s="44" t="str">
        <f>IFERROR(VLOOKUP(A761,'[1]Re-order'!$A:$AA,27,0),"")</f>
        <v>Re-order</v>
      </c>
      <c r="AF761" s="46">
        <f t="shared" si="179"/>
        <v>-1.3333333333333333</v>
      </c>
      <c r="AG761" s="46">
        <f>SUMIFS('[1]Raw Inventory'!D:D,'[1]Raw Inventory'!C:C,"GREATWALL",'[1]Raw Inventory'!B:B,A761)</f>
        <v>12</v>
      </c>
      <c r="AH761" s="46">
        <f>SUMIFS('[1]Raw Inventory'!D:D,'[1]Raw Inventory'!C:C,"DUARTE",'[1]Raw Inventory'!B:B,A761)</f>
        <v>0</v>
      </c>
      <c r="AI761" s="46"/>
      <c r="AJ761" s="46"/>
      <c r="AK761" s="43"/>
      <c r="AL761" s="43"/>
      <c r="AM761" s="43"/>
      <c r="AN761" s="43"/>
      <c r="AO761" s="43"/>
      <c r="AP761" s="43"/>
      <c r="AQ761" s="43"/>
      <c r="AR761" s="43"/>
      <c r="AS761" s="43"/>
      <c r="AT761" s="43"/>
    </row>
    <row r="762" spans="1:46">
      <c r="A762" s="43" t="s">
        <v>25</v>
      </c>
      <c r="B762" s="43" t="s">
        <v>156</v>
      </c>
      <c r="C762" s="43" t="s">
        <v>152</v>
      </c>
      <c r="D762" s="44" t="s">
        <v>231</v>
      </c>
      <c r="E762" s="44">
        <v>27</v>
      </c>
      <c r="F762" s="44" t="s">
        <v>3</v>
      </c>
      <c r="G762" s="43" t="str">
        <f>IFERROR(VLOOKUP(A762,'[1]MC Masterlist 2026-09-12'!$B:$M, 3, 0),"")</f>
        <v>YAMAHA</v>
      </c>
      <c r="H762" s="45">
        <f>IFERROR(VLOOKUP(A762,'[1]MC Masterlist 2026-09-12'!$B:$M, 6, 0),"")</f>
        <v>124527</v>
      </c>
      <c r="I762" s="46">
        <v>0</v>
      </c>
      <c r="J762" s="46">
        <v>0</v>
      </c>
      <c r="K762" s="46">
        <v>0</v>
      </c>
      <c r="L762" s="46">
        <f t="shared" si="165"/>
        <v>0</v>
      </c>
      <c r="M762" s="46">
        <f t="shared" si="166"/>
        <v>0</v>
      </c>
      <c r="N762" s="45">
        <f t="shared" si="167"/>
        <v>0</v>
      </c>
      <c r="O762" s="45">
        <f t="shared" si="168"/>
        <v>0</v>
      </c>
      <c r="P762" s="46">
        <f t="shared" si="169"/>
        <v>0</v>
      </c>
      <c r="Q762" s="46">
        <v>1</v>
      </c>
      <c r="R762" s="45">
        <f t="shared" si="170"/>
        <v>124527</v>
      </c>
      <c r="S762" s="46">
        <f t="shared" si="171"/>
        <v>0</v>
      </c>
      <c r="T762" s="46">
        <f>IFERROR(VLOOKUP(A762,'[1]Re-order'!$A:$Q,17,0),"")</f>
        <v>5.1030927835051543</v>
      </c>
      <c r="U762" s="46">
        <f>IFERROR(VLOOKUP(A762,'[1]MC Masterlist 2026-09-12'!$B:$M, 10, 0),0)</f>
        <v>15</v>
      </c>
      <c r="V762" s="46">
        <f>IFERROR(VLOOKUP(A762,'[1]MC Masterlist 2026-09-12'!$B:$M, 11, 0),0)</f>
        <v>15</v>
      </c>
      <c r="W762" s="46">
        <f t="shared" si="172"/>
        <v>30</v>
      </c>
      <c r="X762" s="46">
        <f t="shared" si="173"/>
        <v>30</v>
      </c>
      <c r="Y762" s="46">
        <f>IFERROR(IF(OR(C762="AREA I",C762="AREA V"),7,VLOOKUP(A762,'[1]MC Masterlist 2026-09-12'!$B:$M, 12, 0)),0)</f>
        <v>30</v>
      </c>
      <c r="Z762" s="46">
        <f t="shared" si="174"/>
        <v>0</v>
      </c>
      <c r="AA762" s="46">
        <f t="shared" si="175"/>
        <v>0</v>
      </c>
      <c r="AB762" s="46">
        <f t="shared" si="176"/>
        <v>0</v>
      </c>
      <c r="AC762" s="46">
        <f t="shared" si="177"/>
        <v>0</v>
      </c>
      <c r="AD762" s="44" t="str">
        <f t="shared" si="178"/>
        <v>Over</v>
      </c>
      <c r="AE762" s="44" t="str">
        <f>IFERROR(VLOOKUP(A762,'[1]Re-order'!$A:$AA,27,0),"")</f>
        <v>Stockout</v>
      </c>
      <c r="AF762" s="46">
        <f t="shared" si="179"/>
        <v>-1</v>
      </c>
      <c r="AG762" s="46">
        <f>SUMIFS('[1]Raw Inventory'!D:D,'[1]Raw Inventory'!C:C,"GREATWALL",'[1]Raw Inventory'!B:B,A762)</f>
        <v>1</v>
      </c>
      <c r="AH762" s="46">
        <f>SUMIFS('[1]Raw Inventory'!D:D,'[1]Raw Inventory'!C:C,"DUARTE",'[1]Raw Inventory'!B:B,A762)</f>
        <v>0</v>
      </c>
      <c r="AI762" s="46"/>
      <c r="AJ762" s="46"/>
      <c r="AK762" s="43"/>
      <c r="AL762" s="43"/>
      <c r="AM762" s="43"/>
      <c r="AN762" s="43"/>
      <c r="AO762" s="43"/>
      <c r="AP762" s="43"/>
      <c r="AQ762" s="43"/>
      <c r="AR762" s="43"/>
      <c r="AS762" s="43"/>
      <c r="AT762" s="43"/>
    </row>
    <row r="763" spans="1:46">
      <c r="A763" s="43" t="s">
        <v>37</v>
      </c>
      <c r="B763" s="43" t="s">
        <v>110</v>
      </c>
      <c r="C763" s="43" t="s">
        <v>109</v>
      </c>
      <c r="D763" s="44" t="s">
        <v>266</v>
      </c>
      <c r="E763" s="44">
        <v>18</v>
      </c>
      <c r="F763" s="44" t="s">
        <v>2</v>
      </c>
      <c r="G763" s="43" t="str">
        <f>IFERROR(VLOOKUP(A763,'[1]MC Masterlist 2026-09-12'!$B:$M, 3, 0),"")</f>
        <v>HONDA</v>
      </c>
      <c r="H763" s="45">
        <f>IFERROR(VLOOKUP(A763,'[1]MC Masterlist 2026-09-12'!$B:$M, 6, 0),"")</f>
        <v>74550</v>
      </c>
      <c r="I763" s="46">
        <v>0</v>
      </c>
      <c r="J763" s="46">
        <v>1</v>
      </c>
      <c r="K763" s="46">
        <v>1</v>
      </c>
      <c r="L763" s="46">
        <f t="shared" si="165"/>
        <v>2</v>
      </c>
      <c r="M763" s="46">
        <f t="shared" si="166"/>
        <v>0.66666666666666663</v>
      </c>
      <c r="N763" s="45">
        <f t="shared" si="167"/>
        <v>149100</v>
      </c>
      <c r="O763" s="45">
        <f t="shared" si="168"/>
        <v>49700</v>
      </c>
      <c r="P763" s="46">
        <f t="shared" si="169"/>
        <v>2.222222222222222E-2</v>
      </c>
      <c r="Q763" s="46">
        <v>3</v>
      </c>
      <c r="R763" s="45">
        <f t="shared" si="170"/>
        <v>223650</v>
      </c>
      <c r="S763" s="46">
        <f t="shared" si="171"/>
        <v>135</v>
      </c>
      <c r="T763" s="46">
        <f>IFERROR(VLOOKUP(A763,'[1]Re-order'!$A:$Q,17,0),"")</f>
        <v>33.652173913043477</v>
      </c>
      <c r="U763" s="46">
        <f>IFERROR(VLOOKUP(A763,'[1]MC Masterlist 2026-09-12'!$B:$M, 10, 0),0)</f>
        <v>15</v>
      </c>
      <c r="V763" s="46">
        <f>IFERROR(VLOOKUP(A763,'[1]MC Masterlist 2026-09-12'!$B:$M, 11, 0),0)</f>
        <v>15</v>
      </c>
      <c r="W763" s="46">
        <f t="shared" si="172"/>
        <v>30</v>
      </c>
      <c r="X763" s="46">
        <f t="shared" si="173"/>
        <v>29.666666666666668</v>
      </c>
      <c r="Y763" s="46">
        <f>IFERROR(IF(OR(C763="AREA I",C763="AREA V"),7,VLOOKUP(A763,'[1]MC Masterlist 2026-09-12'!$B:$M, 12, 0)),0)</f>
        <v>30</v>
      </c>
      <c r="Z763" s="46">
        <f t="shared" si="174"/>
        <v>0.33333333333333331</v>
      </c>
      <c r="AA763" s="46">
        <f t="shared" si="175"/>
        <v>0.66666666666666663</v>
      </c>
      <c r="AB763" s="46">
        <f t="shared" si="176"/>
        <v>0.65925925925925921</v>
      </c>
      <c r="AC763" s="46">
        <f t="shared" si="177"/>
        <v>0.66666666666666663</v>
      </c>
      <c r="AD763" s="44" t="str">
        <f t="shared" si="178"/>
        <v>Over</v>
      </c>
      <c r="AE763" s="44" t="str">
        <f>IFERROR(VLOOKUP(A763,'[1]Re-order'!$A:$AA,27,0),"")</f>
        <v>Re-order</v>
      </c>
      <c r="AF763" s="46">
        <f t="shared" si="179"/>
        <v>-2.3333333333333335</v>
      </c>
      <c r="AG763" s="46">
        <f>SUMIFS('[1]Raw Inventory'!D:D,'[1]Raw Inventory'!C:C,"GREATWALL",'[1]Raw Inventory'!B:B,A763)</f>
        <v>28</v>
      </c>
      <c r="AH763" s="46">
        <f>SUMIFS('[1]Raw Inventory'!D:D,'[1]Raw Inventory'!C:C,"DUARTE",'[1]Raw Inventory'!B:B,A763)</f>
        <v>0</v>
      </c>
      <c r="AI763" s="46"/>
      <c r="AJ763" s="46"/>
      <c r="AK763" s="43"/>
      <c r="AL763" s="43"/>
      <c r="AM763" s="43"/>
      <c r="AN763" s="43"/>
      <c r="AO763" s="43"/>
      <c r="AP763" s="43"/>
      <c r="AQ763" s="43"/>
      <c r="AR763" s="43"/>
      <c r="AS763" s="43"/>
      <c r="AT763" s="43"/>
    </row>
    <row r="764" spans="1:46">
      <c r="A764" s="43" t="s">
        <v>45</v>
      </c>
      <c r="B764" s="43" t="s">
        <v>160</v>
      </c>
      <c r="C764" s="43" t="s">
        <v>159</v>
      </c>
      <c r="D764" s="44" t="s">
        <v>236</v>
      </c>
      <c r="E764" s="44">
        <v>8</v>
      </c>
      <c r="F764" s="44" t="s">
        <v>2</v>
      </c>
      <c r="G764" s="43" t="str">
        <f>IFERROR(VLOOKUP(A764,'[1]MC Masterlist 2026-09-12'!$B:$M, 3, 0),"")</f>
        <v>YAMAHA</v>
      </c>
      <c r="H764" s="45">
        <f>IFERROR(VLOOKUP(A764,'[1]MC Masterlist 2026-09-12'!$B:$M, 6, 0),"")</f>
        <v>117087</v>
      </c>
      <c r="I764" s="46">
        <v>1</v>
      </c>
      <c r="J764" s="46">
        <v>1</v>
      </c>
      <c r="K764" s="46">
        <v>2</v>
      </c>
      <c r="L764" s="46">
        <f t="shared" si="165"/>
        <v>4</v>
      </c>
      <c r="M764" s="46">
        <f t="shared" si="166"/>
        <v>1.3333333333333333</v>
      </c>
      <c r="N764" s="45">
        <f t="shared" si="167"/>
        <v>468348</v>
      </c>
      <c r="O764" s="45">
        <f t="shared" si="168"/>
        <v>156116</v>
      </c>
      <c r="P764" s="46">
        <f t="shared" si="169"/>
        <v>4.4444444444444439E-2</v>
      </c>
      <c r="Q764" s="46"/>
      <c r="R764" s="45">
        <f t="shared" si="170"/>
        <v>0</v>
      </c>
      <c r="S764" s="46">
        <f t="shared" si="171"/>
        <v>0</v>
      </c>
      <c r="T764" s="46">
        <f>IFERROR(VLOOKUP(A764,'[1]Re-order'!$A:$Q,17,0),"")</f>
        <v>18.94736842105263</v>
      </c>
      <c r="U764" s="46">
        <f>IFERROR(VLOOKUP(A764,'[1]MC Masterlist 2026-09-12'!$B:$M, 10, 0),0)</f>
        <v>15</v>
      </c>
      <c r="V764" s="46">
        <f>IFERROR(VLOOKUP(A764,'[1]MC Masterlist 2026-09-12'!$B:$M, 11, 0),0)</f>
        <v>15</v>
      </c>
      <c r="W764" s="46">
        <f t="shared" si="172"/>
        <v>30</v>
      </c>
      <c r="X764" s="46">
        <f t="shared" si="173"/>
        <v>29.333333333333332</v>
      </c>
      <c r="Y764" s="46">
        <f>IFERROR(IF(OR(C764="AREA I",C764="AREA V"),7,VLOOKUP(A764,'[1]MC Masterlist 2026-09-12'!$B:$M, 12, 0)),0)</f>
        <v>30</v>
      </c>
      <c r="Z764" s="46">
        <f t="shared" si="174"/>
        <v>0.66666666666666663</v>
      </c>
      <c r="AA764" s="46">
        <f t="shared" si="175"/>
        <v>1.3333333333333333</v>
      </c>
      <c r="AB764" s="46">
        <f t="shared" si="176"/>
        <v>1.3037037037037036</v>
      </c>
      <c r="AC764" s="46">
        <f t="shared" si="177"/>
        <v>1.3333333333333333</v>
      </c>
      <c r="AD764" s="44" t="str">
        <f t="shared" si="178"/>
        <v>Stockout</v>
      </c>
      <c r="AE764" s="44" t="str">
        <f>IFERROR(VLOOKUP(A764,'[1]Re-order'!$A:$AA,27,0),"")</f>
        <v>Stockout</v>
      </c>
      <c r="AF764" s="46">
        <f t="shared" si="179"/>
        <v>1.3333333333333333</v>
      </c>
      <c r="AG764" s="46">
        <f>SUMIFS('[1]Raw Inventory'!D:D,'[1]Raw Inventory'!C:C,"GREATWALL",'[1]Raw Inventory'!B:B,A764)</f>
        <v>5</v>
      </c>
      <c r="AH764" s="46">
        <f>SUMIFS('[1]Raw Inventory'!D:D,'[1]Raw Inventory'!C:C,"DUARTE",'[1]Raw Inventory'!B:B,A764)</f>
        <v>0</v>
      </c>
      <c r="AI764" s="46"/>
      <c r="AJ764" s="46"/>
      <c r="AK764" s="43"/>
      <c r="AL764" s="43"/>
      <c r="AM764" s="43"/>
      <c r="AN764" s="43"/>
      <c r="AO764" s="43"/>
      <c r="AP764" s="43"/>
      <c r="AQ764" s="43"/>
      <c r="AR764" s="43"/>
      <c r="AS764" s="43"/>
      <c r="AT764" s="43"/>
    </row>
    <row r="765" spans="1:46">
      <c r="A765" s="43" t="s">
        <v>40</v>
      </c>
      <c r="B765" s="43" t="s">
        <v>122</v>
      </c>
      <c r="C765" s="43" t="s">
        <v>118</v>
      </c>
      <c r="D765" s="44" t="s">
        <v>231</v>
      </c>
      <c r="E765" s="44">
        <v>31</v>
      </c>
      <c r="F765" s="44" t="s">
        <v>3</v>
      </c>
      <c r="G765" s="43" t="str">
        <f>IFERROR(VLOOKUP(A765,'[1]MC Masterlist 2026-09-12'!$B:$M, 3, 0),"")</f>
        <v>HONDA</v>
      </c>
      <c r="H765" s="45">
        <f>IFERROR(VLOOKUP(A765,'[1]MC Masterlist 2026-09-12'!$B:$M, 6, 0),"")</f>
        <v>56426</v>
      </c>
      <c r="I765" s="46">
        <v>0</v>
      </c>
      <c r="J765" s="46">
        <v>0</v>
      </c>
      <c r="K765" s="46">
        <v>1</v>
      </c>
      <c r="L765" s="46">
        <f t="shared" si="165"/>
        <v>1</v>
      </c>
      <c r="M765" s="46">
        <f t="shared" si="166"/>
        <v>0.33333333333333331</v>
      </c>
      <c r="N765" s="45">
        <f t="shared" si="167"/>
        <v>56426</v>
      </c>
      <c r="O765" s="45">
        <f t="shared" si="168"/>
        <v>18808.666666666664</v>
      </c>
      <c r="P765" s="46">
        <f t="shared" si="169"/>
        <v>1.111111111111111E-2</v>
      </c>
      <c r="Q765" s="46">
        <v>1</v>
      </c>
      <c r="R765" s="45">
        <f t="shared" si="170"/>
        <v>56426</v>
      </c>
      <c r="S765" s="46">
        <f t="shared" si="171"/>
        <v>90.000000000000014</v>
      </c>
      <c r="T765" s="46">
        <f>IFERROR(VLOOKUP(A765,'[1]Re-order'!$A:$Q,17,0),"")</f>
        <v>139.56521739130434</v>
      </c>
      <c r="U765" s="46">
        <f>IFERROR(VLOOKUP(A765,'[1]MC Masterlist 2026-09-12'!$B:$M, 10, 0),0)</f>
        <v>15</v>
      </c>
      <c r="V765" s="46">
        <f>IFERROR(VLOOKUP(A765,'[1]MC Masterlist 2026-09-12'!$B:$M, 11, 0),0)</f>
        <v>15</v>
      </c>
      <c r="W765" s="46">
        <f t="shared" si="172"/>
        <v>30</v>
      </c>
      <c r="X765" s="46">
        <f t="shared" si="173"/>
        <v>29.833333333333332</v>
      </c>
      <c r="Y765" s="46">
        <f>IFERROR(IF(OR(C765="AREA I",C765="AREA V"),7,VLOOKUP(A765,'[1]MC Masterlist 2026-09-12'!$B:$M, 12, 0)),0)</f>
        <v>30</v>
      </c>
      <c r="Z765" s="46">
        <f t="shared" si="174"/>
        <v>0.16666666666666666</v>
      </c>
      <c r="AA765" s="46">
        <f t="shared" si="175"/>
        <v>0.33333333333333331</v>
      </c>
      <c r="AB765" s="46">
        <f t="shared" si="176"/>
        <v>0.33148148148148143</v>
      </c>
      <c r="AC765" s="46">
        <f t="shared" si="177"/>
        <v>0.33333333333333331</v>
      </c>
      <c r="AD765" s="44" t="str">
        <f t="shared" si="178"/>
        <v>Over</v>
      </c>
      <c r="AE765" s="44" t="str">
        <f>IFERROR(VLOOKUP(A765,'[1]Re-order'!$A:$AA,27,0),"")</f>
        <v>Over</v>
      </c>
      <c r="AF765" s="46">
        <f t="shared" si="179"/>
        <v>-0.66666666666666674</v>
      </c>
      <c r="AG765" s="46">
        <f>SUMIFS('[1]Raw Inventory'!D:D,'[1]Raw Inventory'!C:C,"GREATWALL",'[1]Raw Inventory'!B:B,A765)</f>
        <v>45</v>
      </c>
      <c r="AH765" s="46">
        <f>SUMIFS('[1]Raw Inventory'!D:D,'[1]Raw Inventory'!C:C,"DUARTE",'[1]Raw Inventory'!B:B,A765)</f>
        <v>0</v>
      </c>
      <c r="AI765" s="46"/>
      <c r="AJ765" s="46"/>
      <c r="AK765" s="43"/>
      <c r="AL765" s="43"/>
      <c r="AM765" s="43"/>
      <c r="AN765" s="43"/>
      <c r="AO765" s="43"/>
      <c r="AP765" s="43"/>
      <c r="AQ765" s="43"/>
      <c r="AR765" s="43"/>
      <c r="AS765" s="43"/>
      <c r="AT765" s="43"/>
    </row>
    <row r="766" spans="1:46">
      <c r="A766" s="43" t="s">
        <v>49</v>
      </c>
      <c r="B766" s="43" t="s">
        <v>94</v>
      </c>
      <c r="C766" s="43" t="s">
        <v>90</v>
      </c>
      <c r="D766" s="44" t="s">
        <v>230</v>
      </c>
      <c r="E766" s="44">
        <v>6</v>
      </c>
      <c r="F766" s="44" t="s">
        <v>0</v>
      </c>
      <c r="G766" s="43" t="str">
        <f>IFERROR(VLOOKUP(A766,'[1]MC Masterlist 2026-09-12'!$B:$M, 3, 0),"")</f>
        <v>BAJAJ RE</v>
      </c>
      <c r="H766" s="45">
        <f>IFERROR(VLOOKUP(A766,'[1]MC Masterlist 2026-09-12'!$B:$M, 6, 0),"")</f>
        <v>191000</v>
      </c>
      <c r="I766" s="46">
        <v>1</v>
      </c>
      <c r="J766" s="46">
        <v>1</v>
      </c>
      <c r="K766" s="46">
        <v>0</v>
      </c>
      <c r="L766" s="46">
        <f t="shared" si="165"/>
        <v>2</v>
      </c>
      <c r="M766" s="46">
        <f t="shared" si="166"/>
        <v>0.66666666666666663</v>
      </c>
      <c r="N766" s="45">
        <f t="shared" si="167"/>
        <v>382000</v>
      </c>
      <c r="O766" s="45">
        <f t="shared" si="168"/>
        <v>127333.33333333333</v>
      </c>
      <c r="P766" s="46">
        <f t="shared" si="169"/>
        <v>2.222222222222222E-2</v>
      </c>
      <c r="Q766" s="46">
        <v>2</v>
      </c>
      <c r="R766" s="45">
        <f t="shared" si="170"/>
        <v>382000</v>
      </c>
      <c r="S766" s="46">
        <f t="shared" si="171"/>
        <v>90</v>
      </c>
      <c r="T766" s="46">
        <f>IFERROR(VLOOKUP(A766,'[1]Re-order'!$A:$Q,17,0),"")</f>
        <v>21.516709511568124</v>
      </c>
      <c r="U766" s="46">
        <f>IFERROR(VLOOKUP(A766,'[1]MC Masterlist 2026-09-12'!$B:$M, 10, 0),0)</f>
        <v>15</v>
      </c>
      <c r="V766" s="46">
        <f>IFERROR(VLOOKUP(A766,'[1]MC Masterlist 2026-09-12'!$B:$M, 11, 0),0)</f>
        <v>15</v>
      </c>
      <c r="W766" s="46">
        <f t="shared" si="172"/>
        <v>30</v>
      </c>
      <c r="X766" s="46">
        <f t="shared" si="173"/>
        <v>29.666666666666668</v>
      </c>
      <c r="Y766" s="46">
        <f>IFERROR(IF(OR(C766="AREA I",C766="AREA V"),7,VLOOKUP(A766,'[1]MC Masterlist 2026-09-12'!$B:$M, 12, 0)),0)</f>
        <v>30</v>
      </c>
      <c r="Z766" s="46">
        <f t="shared" si="174"/>
        <v>0.33333333333333331</v>
      </c>
      <c r="AA766" s="46">
        <f t="shared" si="175"/>
        <v>0.66666666666666663</v>
      </c>
      <c r="AB766" s="46">
        <f t="shared" si="176"/>
        <v>0.65925925925925921</v>
      </c>
      <c r="AC766" s="46">
        <f t="shared" si="177"/>
        <v>0.66666666666666663</v>
      </c>
      <c r="AD766" s="44" t="str">
        <f t="shared" si="178"/>
        <v>Over</v>
      </c>
      <c r="AE766" s="44" t="str">
        <f>IFERROR(VLOOKUP(A766,'[1]Re-order'!$A:$AA,27,0),"")</f>
        <v>Stockout</v>
      </c>
      <c r="AF766" s="46">
        <f t="shared" si="179"/>
        <v>-1.3333333333333335</v>
      </c>
      <c r="AG766" s="46">
        <f>SUMIFS('[1]Raw Inventory'!D:D,'[1]Raw Inventory'!C:C,"GREATWALL",'[1]Raw Inventory'!B:B,A766)</f>
        <v>0</v>
      </c>
      <c r="AH766" s="46">
        <f>SUMIFS('[1]Raw Inventory'!D:D,'[1]Raw Inventory'!C:C,"DUARTE",'[1]Raw Inventory'!B:B,A766)</f>
        <v>0</v>
      </c>
      <c r="AI766" s="46"/>
      <c r="AJ766" s="46"/>
      <c r="AK766" s="43"/>
      <c r="AL766" s="43"/>
      <c r="AM766" s="43"/>
      <c r="AN766" s="43"/>
      <c r="AO766" s="43"/>
      <c r="AP766" s="43"/>
      <c r="AQ766" s="43"/>
      <c r="AR766" s="43"/>
      <c r="AS766" s="43"/>
      <c r="AT766" s="43"/>
    </row>
    <row r="767" spans="1:46">
      <c r="A767" s="43" t="s">
        <v>20</v>
      </c>
      <c r="B767" s="43" t="s">
        <v>113</v>
      </c>
      <c r="C767" s="43" t="s">
        <v>109</v>
      </c>
      <c r="D767" s="44" t="s">
        <v>262</v>
      </c>
      <c r="E767" s="44">
        <v>15</v>
      </c>
      <c r="F767" s="44" t="s">
        <v>2</v>
      </c>
      <c r="G767" s="43" t="str">
        <f>IFERROR(VLOOKUP(A767,'[1]MC Masterlist 2026-09-12'!$B:$M, 3, 0),"")</f>
        <v>HONDA</v>
      </c>
      <c r="H767" s="45">
        <f>IFERROR(VLOOKUP(A767,'[1]MC Masterlist 2026-09-12'!$B:$M, 6, 0),"")</f>
        <v>69950</v>
      </c>
      <c r="I767" s="46">
        <v>2</v>
      </c>
      <c r="J767" s="46">
        <v>1</v>
      </c>
      <c r="K767" s="46">
        <v>2</v>
      </c>
      <c r="L767" s="46">
        <f t="shared" si="165"/>
        <v>5</v>
      </c>
      <c r="M767" s="46">
        <f t="shared" si="166"/>
        <v>1.6666666666666667</v>
      </c>
      <c r="N767" s="45">
        <f t="shared" si="167"/>
        <v>349750</v>
      </c>
      <c r="O767" s="45">
        <f t="shared" si="168"/>
        <v>116583.33333333334</v>
      </c>
      <c r="P767" s="46">
        <f t="shared" si="169"/>
        <v>5.5555555555555559E-2</v>
      </c>
      <c r="Q767" s="46">
        <v>5</v>
      </c>
      <c r="R767" s="45">
        <f t="shared" si="170"/>
        <v>349750</v>
      </c>
      <c r="S767" s="46">
        <f t="shared" si="171"/>
        <v>89.999999999999986</v>
      </c>
      <c r="T767" s="46">
        <f>IFERROR(VLOOKUP(A767,'[1]Re-order'!$A:$Q,17,0),"")</f>
        <v>75.775862068965523</v>
      </c>
      <c r="U767" s="46">
        <f>IFERROR(VLOOKUP(A767,'[1]MC Masterlist 2026-09-12'!$B:$M, 10, 0),0)</f>
        <v>15</v>
      </c>
      <c r="V767" s="46">
        <f>IFERROR(VLOOKUP(A767,'[1]MC Masterlist 2026-09-12'!$B:$M, 11, 0),0)</f>
        <v>15</v>
      </c>
      <c r="W767" s="46">
        <f t="shared" si="172"/>
        <v>30</v>
      </c>
      <c r="X767" s="46">
        <f t="shared" si="173"/>
        <v>29.166666666666668</v>
      </c>
      <c r="Y767" s="46">
        <f>IFERROR(IF(OR(C767="AREA I",C767="AREA V"),7,VLOOKUP(A767,'[1]MC Masterlist 2026-09-12'!$B:$M, 12, 0)),0)</f>
        <v>30</v>
      </c>
      <c r="Z767" s="46">
        <f t="shared" si="174"/>
        <v>0.83333333333333337</v>
      </c>
      <c r="AA767" s="46">
        <f t="shared" si="175"/>
        <v>1.6666666666666667</v>
      </c>
      <c r="AB767" s="46">
        <f t="shared" si="176"/>
        <v>1.6203703703703705</v>
      </c>
      <c r="AC767" s="46">
        <f t="shared" si="177"/>
        <v>1.6666666666666667</v>
      </c>
      <c r="AD767" s="44" t="str">
        <f t="shared" si="178"/>
        <v>Over</v>
      </c>
      <c r="AE767" s="44" t="str">
        <f>IFERROR(VLOOKUP(A767,'[1]Re-order'!$A:$AA,27,0),"")</f>
        <v/>
      </c>
      <c r="AF767" s="46">
        <f t="shared" si="179"/>
        <v>-3.333333333333333</v>
      </c>
      <c r="AG767" s="46">
        <f>SUMIFS('[1]Raw Inventory'!D:D,'[1]Raw Inventory'!C:C,"GREATWALL",'[1]Raw Inventory'!B:B,A767)</f>
        <v>110</v>
      </c>
      <c r="AH767" s="46">
        <f>SUMIFS('[1]Raw Inventory'!D:D,'[1]Raw Inventory'!C:C,"DUARTE",'[1]Raw Inventory'!B:B,A767)</f>
        <v>0</v>
      </c>
      <c r="AI767" s="46"/>
      <c r="AJ767" s="46"/>
      <c r="AK767" s="43"/>
      <c r="AL767" s="43"/>
      <c r="AM767" s="43"/>
      <c r="AN767" s="43"/>
      <c r="AO767" s="43"/>
      <c r="AP767" s="43"/>
      <c r="AQ767" s="43"/>
      <c r="AR767" s="43"/>
      <c r="AS767" s="43"/>
      <c r="AT767" s="43"/>
    </row>
    <row r="768" spans="1:46">
      <c r="A768" s="43" t="s">
        <v>40</v>
      </c>
      <c r="B768" s="43" t="s">
        <v>156</v>
      </c>
      <c r="C768" s="43" t="s">
        <v>152</v>
      </c>
      <c r="D768" s="44" t="s">
        <v>253</v>
      </c>
      <c r="E768" s="44">
        <v>26</v>
      </c>
      <c r="F768" s="44" t="s">
        <v>3</v>
      </c>
      <c r="G768" s="43" t="str">
        <f>IFERROR(VLOOKUP(A768,'[1]MC Masterlist 2026-09-12'!$B:$M, 3, 0),"")</f>
        <v>HONDA</v>
      </c>
      <c r="H768" s="45">
        <f>IFERROR(VLOOKUP(A768,'[1]MC Masterlist 2026-09-12'!$B:$M, 6, 0),"")</f>
        <v>56426</v>
      </c>
      <c r="I768" s="46">
        <v>0</v>
      </c>
      <c r="J768" s="46">
        <v>0</v>
      </c>
      <c r="K768" s="46">
        <v>1</v>
      </c>
      <c r="L768" s="46">
        <f t="shared" si="165"/>
        <v>1</v>
      </c>
      <c r="M768" s="46">
        <f t="shared" si="166"/>
        <v>0.33333333333333331</v>
      </c>
      <c r="N768" s="45">
        <f t="shared" si="167"/>
        <v>56426</v>
      </c>
      <c r="O768" s="45">
        <f t="shared" si="168"/>
        <v>18808.666666666664</v>
      </c>
      <c r="P768" s="46">
        <f t="shared" si="169"/>
        <v>1.111111111111111E-2</v>
      </c>
      <c r="Q768" s="46"/>
      <c r="R768" s="45">
        <f t="shared" si="170"/>
        <v>0</v>
      </c>
      <c r="S768" s="46">
        <f t="shared" si="171"/>
        <v>0</v>
      </c>
      <c r="T768" s="46">
        <f>IFERROR(VLOOKUP(A768,'[1]Re-order'!$A:$Q,17,0),"")</f>
        <v>139.56521739130434</v>
      </c>
      <c r="U768" s="46">
        <f>IFERROR(VLOOKUP(A768,'[1]MC Masterlist 2026-09-12'!$B:$M, 10, 0),0)</f>
        <v>15</v>
      </c>
      <c r="V768" s="46">
        <f>IFERROR(VLOOKUP(A768,'[1]MC Masterlist 2026-09-12'!$B:$M, 11, 0),0)</f>
        <v>15</v>
      </c>
      <c r="W768" s="46">
        <f t="shared" si="172"/>
        <v>30</v>
      </c>
      <c r="X768" s="46">
        <f t="shared" si="173"/>
        <v>29.833333333333332</v>
      </c>
      <c r="Y768" s="46">
        <f>IFERROR(IF(OR(C768="AREA I",C768="AREA V"),7,VLOOKUP(A768,'[1]MC Masterlist 2026-09-12'!$B:$M, 12, 0)),0)</f>
        <v>30</v>
      </c>
      <c r="Z768" s="46">
        <f t="shared" si="174"/>
        <v>0.16666666666666666</v>
      </c>
      <c r="AA768" s="46">
        <f t="shared" si="175"/>
        <v>0.33333333333333331</v>
      </c>
      <c r="AB768" s="46">
        <f t="shared" si="176"/>
        <v>0.33148148148148143</v>
      </c>
      <c r="AC768" s="46">
        <f t="shared" si="177"/>
        <v>0.33333333333333331</v>
      </c>
      <c r="AD768" s="44" t="str">
        <f t="shared" si="178"/>
        <v>Stockout</v>
      </c>
      <c r="AE768" s="44" t="str">
        <f>IFERROR(VLOOKUP(A768,'[1]Re-order'!$A:$AA,27,0),"")</f>
        <v>Over</v>
      </c>
      <c r="AF768" s="46">
        <f t="shared" si="179"/>
        <v>0.33333333333333331</v>
      </c>
      <c r="AG768" s="46">
        <f>SUMIFS('[1]Raw Inventory'!D:D,'[1]Raw Inventory'!C:C,"GREATWALL",'[1]Raw Inventory'!B:B,A768)</f>
        <v>45</v>
      </c>
      <c r="AH768" s="46">
        <f>SUMIFS('[1]Raw Inventory'!D:D,'[1]Raw Inventory'!C:C,"DUARTE",'[1]Raw Inventory'!B:B,A768)</f>
        <v>0</v>
      </c>
      <c r="AI768" s="46"/>
      <c r="AJ768" s="46"/>
      <c r="AK768" s="43"/>
      <c r="AL768" s="43"/>
      <c r="AM768" s="43"/>
      <c r="AN768" s="43"/>
      <c r="AO768" s="43"/>
      <c r="AP768" s="43"/>
      <c r="AQ768" s="43"/>
      <c r="AR768" s="43"/>
      <c r="AS768" s="43"/>
      <c r="AT768" s="43"/>
    </row>
    <row r="769" spans="1:46">
      <c r="A769" s="43" t="s">
        <v>37</v>
      </c>
      <c r="B769" s="43" t="s">
        <v>11</v>
      </c>
      <c r="C769" s="43" t="s">
        <v>1</v>
      </c>
      <c r="D769" s="44" t="s">
        <v>240</v>
      </c>
      <c r="E769" s="44">
        <v>10</v>
      </c>
      <c r="F769" s="44" t="s">
        <v>2</v>
      </c>
      <c r="G769" s="43" t="str">
        <f>IFERROR(VLOOKUP(A769,'[1]MC Masterlist 2026-09-12'!$B:$M, 3, 0),"")</f>
        <v>HONDA</v>
      </c>
      <c r="H769" s="45">
        <f>IFERROR(VLOOKUP(A769,'[1]MC Masterlist 2026-09-12'!$B:$M, 6, 0),"")</f>
        <v>74550</v>
      </c>
      <c r="I769" s="46">
        <v>1</v>
      </c>
      <c r="J769" s="46">
        <v>4</v>
      </c>
      <c r="K769" s="46">
        <v>3</v>
      </c>
      <c r="L769" s="46">
        <f t="shared" si="165"/>
        <v>8</v>
      </c>
      <c r="M769" s="46">
        <f t="shared" si="166"/>
        <v>2.6666666666666665</v>
      </c>
      <c r="N769" s="45">
        <f t="shared" si="167"/>
        <v>596400</v>
      </c>
      <c r="O769" s="45">
        <f t="shared" si="168"/>
        <v>198800</v>
      </c>
      <c r="P769" s="46">
        <f t="shared" si="169"/>
        <v>8.8888888888888878E-2</v>
      </c>
      <c r="Q769" s="46">
        <v>2</v>
      </c>
      <c r="R769" s="45">
        <f t="shared" si="170"/>
        <v>149100</v>
      </c>
      <c r="S769" s="46">
        <f t="shared" si="171"/>
        <v>22.5</v>
      </c>
      <c r="T769" s="46">
        <f>IFERROR(VLOOKUP(A769,'[1]Re-order'!$A:$Q,17,0),"")</f>
        <v>33.652173913043477</v>
      </c>
      <c r="U769" s="46">
        <f>IFERROR(VLOOKUP(A769,'[1]MC Masterlist 2026-09-12'!$B:$M, 10, 0),0)</f>
        <v>15</v>
      </c>
      <c r="V769" s="46">
        <f>IFERROR(VLOOKUP(A769,'[1]MC Masterlist 2026-09-12'!$B:$M, 11, 0),0)</f>
        <v>15</v>
      </c>
      <c r="W769" s="46">
        <f t="shared" si="172"/>
        <v>30</v>
      </c>
      <c r="X769" s="46">
        <f t="shared" si="173"/>
        <v>5.666666666666667</v>
      </c>
      <c r="Y769" s="46">
        <f>IFERROR(IF(OR(C769="AREA I",C769="AREA V"),7,VLOOKUP(A769,'[1]MC Masterlist 2026-09-12'!$B:$M, 12, 0)),0)</f>
        <v>7</v>
      </c>
      <c r="Z769" s="46">
        <f t="shared" si="174"/>
        <v>1.3333333333333333</v>
      </c>
      <c r="AA769" s="46">
        <f t="shared" si="175"/>
        <v>2.6666666666666665</v>
      </c>
      <c r="AB769" s="46">
        <f t="shared" si="176"/>
        <v>0.50370370370370365</v>
      </c>
      <c r="AC769" s="46">
        <f t="shared" si="177"/>
        <v>0.62222222222222212</v>
      </c>
      <c r="AD769" s="44" t="str">
        <f t="shared" si="178"/>
        <v>Over</v>
      </c>
      <c r="AE769" s="44" t="str">
        <f>IFERROR(VLOOKUP(A769,'[1]Re-order'!$A:$AA,27,0),"")</f>
        <v>Re-order</v>
      </c>
      <c r="AF769" s="46">
        <f t="shared" si="179"/>
        <v>-1.3777777777777778</v>
      </c>
      <c r="AG769" s="46">
        <f>SUMIFS('[1]Raw Inventory'!D:D,'[1]Raw Inventory'!C:C,"GREATWALL",'[1]Raw Inventory'!B:B,A769)</f>
        <v>28</v>
      </c>
      <c r="AH769" s="46">
        <f>SUMIFS('[1]Raw Inventory'!D:D,'[1]Raw Inventory'!C:C,"DUARTE",'[1]Raw Inventory'!B:B,A769)</f>
        <v>0</v>
      </c>
      <c r="AI769" s="46"/>
      <c r="AJ769" s="46"/>
      <c r="AK769" s="43"/>
      <c r="AL769" s="43"/>
      <c r="AM769" s="43"/>
      <c r="AN769" s="43"/>
      <c r="AO769" s="43"/>
      <c r="AP769" s="43"/>
      <c r="AQ769" s="43"/>
      <c r="AR769" s="43"/>
      <c r="AS769" s="43"/>
      <c r="AT769" s="43"/>
    </row>
    <row r="770" spans="1:46">
      <c r="A770" s="43" t="s">
        <v>49</v>
      </c>
      <c r="B770" s="43" t="s">
        <v>111</v>
      </c>
      <c r="C770" s="43" t="s">
        <v>109</v>
      </c>
      <c r="D770" s="44" t="s">
        <v>225</v>
      </c>
      <c r="E770" s="44">
        <v>3</v>
      </c>
      <c r="F770" s="44" t="s">
        <v>0</v>
      </c>
      <c r="G770" s="43" t="str">
        <f>IFERROR(VLOOKUP(A770,'[1]MC Masterlist 2026-09-12'!$B:$M, 3, 0),"")</f>
        <v>BAJAJ RE</v>
      </c>
      <c r="H770" s="45">
        <f>IFERROR(VLOOKUP(A770,'[1]MC Masterlist 2026-09-12'!$B:$M, 6, 0),"")</f>
        <v>191000</v>
      </c>
      <c r="I770" s="46">
        <v>4</v>
      </c>
      <c r="J770" s="46">
        <v>4</v>
      </c>
      <c r="K770" s="46">
        <v>2</v>
      </c>
      <c r="L770" s="46">
        <f t="shared" si="165"/>
        <v>10</v>
      </c>
      <c r="M770" s="46">
        <f t="shared" si="166"/>
        <v>3.3333333333333335</v>
      </c>
      <c r="N770" s="45">
        <f t="shared" si="167"/>
        <v>1910000</v>
      </c>
      <c r="O770" s="45">
        <f t="shared" si="168"/>
        <v>636666.66666666674</v>
      </c>
      <c r="P770" s="46">
        <f t="shared" si="169"/>
        <v>0.11111111111111112</v>
      </c>
      <c r="Q770" s="46"/>
      <c r="R770" s="45">
        <f t="shared" si="170"/>
        <v>0</v>
      </c>
      <c r="S770" s="46">
        <f t="shared" si="171"/>
        <v>0</v>
      </c>
      <c r="T770" s="46">
        <f>IFERROR(VLOOKUP(A770,'[1]Re-order'!$A:$Q,17,0),"")</f>
        <v>21.516709511568124</v>
      </c>
      <c r="U770" s="46">
        <f>IFERROR(VLOOKUP(A770,'[1]MC Masterlist 2026-09-12'!$B:$M, 10, 0),0)</f>
        <v>15</v>
      </c>
      <c r="V770" s="46">
        <f>IFERROR(VLOOKUP(A770,'[1]MC Masterlist 2026-09-12'!$B:$M, 11, 0),0)</f>
        <v>15</v>
      </c>
      <c r="W770" s="46">
        <f t="shared" si="172"/>
        <v>30</v>
      </c>
      <c r="X770" s="46">
        <f t="shared" si="173"/>
        <v>28.333333333333332</v>
      </c>
      <c r="Y770" s="46">
        <f>IFERROR(IF(OR(C770="AREA I",C770="AREA V"),7,VLOOKUP(A770,'[1]MC Masterlist 2026-09-12'!$B:$M, 12, 0)),0)</f>
        <v>30</v>
      </c>
      <c r="Z770" s="46">
        <f t="shared" si="174"/>
        <v>1.6666666666666667</v>
      </c>
      <c r="AA770" s="46">
        <f t="shared" si="175"/>
        <v>3.3333333333333335</v>
      </c>
      <c r="AB770" s="46">
        <f t="shared" si="176"/>
        <v>3.1481481481481484</v>
      </c>
      <c r="AC770" s="46">
        <f t="shared" si="177"/>
        <v>3.3333333333333335</v>
      </c>
      <c r="AD770" s="44" t="str">
        <f t="shared" si="178"/>
        <v>Stockout</v>
      </c>
      <c r="AE770" s="44" t="str">
        <f>IFERROR(VLOOKUP(A770,'[1]Re-order'!$A:$AA,27,0),"")</f>
        <v>Stockout</v>
      </c>
      <c r="AF770" s="46">
        <f t="shared" si="179"/>
        <v>3.3333333333333335</v>
      </c>
      <c r="AG770" s="46">
        <f>SUMIFS('[1]Raw Inventory'!D:D,'[1]Raw Inventory'!C:C,"GREATWALL",'[1]Raw Inventory'!B:B,A770)</f>
        <v>0</v>
      </c>
      <c r="AH770" s="46">
        <f>SUMIFS('[1]Raw Inventory'!D:D,'[1]Raw Inventory'!C:C,"DUARTE",'[1]Raw Inventory'!B:B,A770)</f>
        <v>0</v>
      </c>
      <c r="AI770" s="46"/>
      <c r="AJ770" s="46"/>
      <c r="AK770" s="43"/>
      <c r="AL770" s="43"/>
      <c r="AM770" s="43"/>
      <c r="AN770" s="43"/>
      <c r="AO770" s="43"/>
      <c r="AP770" s="43"/>
      <c r="AQ770" s="43"/>
      <c r="AR770" s="43"/>
      <c r="AS770" s="43"/>
      <c r="AT770" s="43"/>
    </row>
    <row r="771" spans="1:46">
      <c r="A771" s="43" t="s">
        <v>42</v>
      </c>
      <c r="B771" s="43" t="s">
        <v>116</v>
      </c>
      <c r="C771" s="43" t="s">
        <v>109</v>
      </c>
      <c r="D771" s="44" t="s">
        <v>235</v>
      </c>
      <c r="E771" s="44">
        <v>7</v>
      </c>
      <c r="F771" s="44" t="s">
        <v>3</v>
      </c>
      <c r="G771" s="43" t="str">
        <f>IFERROR(VLOOKUP(A771,'[1]MC Masterlist 2026-09-12'!$B:$M, 3, 0),"")</f>
        <v>YAMAHA</v>
      </c>
      <c r="H771" s="45">
        <f>IFERROR(VLOOKUP(A771,'[1]MC Masterlist 2026-09-12'!$B:$M, 6, 0),"")</f>
        <v>152892</v>
      </c>
      <c r="I771" s="46">
        <v>0</v>
      </c>
      <c r="J771" s="46">
        <v>0</v>
      </c>
      <c r="K771" s="46">
        <v>0</v>
      </c>
      <c r="L771" s="46">
        <f t="shared" ref="L771:L834" si="180">I771+J771+K771</f>
        <v>0</v>
      </c>
      <c r="M771" s="46">
        <f t="shared" ref="M771:M834" si="181">AVERAGE(I771,J771,K771)</f>
        <v>0</v>
      </c>
      <c r="N771" s="45">
        <f t="shared" ref="N771:N834" si="182">L771*H771</f>
        <v>0</v>
      </c>
      <c r="O771" s="45">
        <f t="shared" ref="O771:O834" si="183">M771*H771</f>
        <v>0</v>
      </c>
      <c r="P771" s="46">
        <f t="shared" ref="P771:P834" si="184">M771/30</f>
        <v>0</v>
      </c>
      <c r="Q771" s="46">
        <v>1</v>
      </c>
      <c r="R771" s="45">
        <f t="shared" ref="R771:R834" si="185">IFERROR(Q771*H771, 0)</f>
        <v>152892</v>
      </c>
      <c r="S771" s="46">
        <f t="shared" ref="S771:S834" si="186">IFERROR(R771/(O771)*30, 0)</f>
        <v>0</v>
      </c>
      <c r="T771" s="46">
        <f>IFERROR(VLOOKUP(A771,'[1]Re-order'!$A:$Q,17,0),"")</f>
        <v>104.55882352941177</v>
      </c>
      <c r="U771" s="46">
        <f>IFERROR(VLOOKUP(A771,'[1]MC Masterlist 2026-09-12'!$B:$M, 10, 0),0)</f>
        <v>15</v>
      </c>
      <c r="V771" s="46">
        <f>IFERROR(VLOOKUP(A771,'[1]MC Masterlist 2026-09-12'!$B:$M, 11, 0),0)</f>
        <v>15</v>
      </c>
      <c r="W771" s="46">
        <f t="shared" ref="W771:W834" si="187">U771+V771</f>
        <v>30</v>
      </c>
      <c r="X771" s="46">
        <f t="shared" ref="X771:X834" si="188">Y771-Z771</f>
        <v>30</v>
      </c>
      <c r="Y771" s="46">
        <f>IFERROR(IF(OR(C771="AREA I",C771="AREA V"),7,VLOOKUP(A771,'[1]MC Masterlist 2026-09-12'!$B:$M, 12, 0)),0)</f>
        <v>30</v>
      </c>
      <c r="Z771" s="46">
        <f t="shared" ref="Z771:Z834" si="189">V771*P771</f>
        <v>0</v>
      </c>
      <c r="AA771" s="46">
        <f t="shared" ref="AA771:AA834" si="190">W771*P771</f>
        <v>0</v>
      </c>
      <c r="AB771" s="46">
        <f t="shared" ref="AB771:AB834" si="191">X771*P771</f>
        <v>0</v>
      </c>
      <c r="AC771" s="46">
        <f t="shared" ref="AC771:AC834" si="192">Y771*P771</f>
        <v>0</v>
      </c>
      <c r="AD771" s="44" t="str">
        <f t="shared" ref="AD771:AD834" si="193">IFERROR(IF(Q771&gt;AC771, "Over", IF(Q771&lt;=Z771, "Stockout", IF(Q771&lt;=AA771, "Re-order",""))), "")</f>
        <v>Over</v>
      </c>
      <c r="AE771" s="44" t="str">
        <f>IFERROR(VLOOKUP(A771,'[1]Re-order'!$A:$AA,27,0),"")</f>
        <v>Over</v>
      </c>
      <c r="AF771" s="46">
        <f t="shared" ref="AF771:AF834" si="194">AC771-Q771</f>
        <v>-1</v>
      </c>
      <c r="AG771" s="46">
        <f>SUMIFS('[1]Raw Inventory'!D:D,'[1]Raw Inventory'!C:C,"GREATWALL",'[1]Raw Inventory'!B:B,A771)</f>
        <v>3</v>
      </c>
      <c r="AH771" s="46">
        <f>SUMIFS('[1]Raw Inventory'!D:D,'[1]Raw Inventory'!C:C,"DUARTE",'[1]Raw Inventory'!B:B,A771)</f>
        <v>0</v>
      </c>
      <c r="AI771" s="46"/>
      <c r="AJ771" s="46"/>
      <c r="AK771" s="43"/>
      <c r="AL771" s="43"/>
      <c r="AM771" s="43"/>
      <c r="AN771" s="43"/>
      <c r="AO771" s="43"/>
      <c r="AP771" s="43"/>
      <c r="AQ771" s="43"/>
      <c r="AR771" s="43"/>
      <c r="AS771" s="43"/>
      <c r="AT771" s="43"/>
    </row>
    <row r="772" spans="1:46">
      <c r="A772" s="43" t="s">
        <v>133</v>
      </c>
      <c r="B772" s="43" t="s">
        <v>143</v>
      </c>
      <c r="C772" s="43" t="s">
        <v>137</v>
      </c>
      <c r="D772" s="44" t="s">
        <v>260</v>
      </c>
      <c r="E772" s="44">
        <v>26</v>
      </c>
      <c r="F772" s="44" t="s">
        <v>3</v>
      </c>
      <c r="G772" s="43" t="str">
        <f>IFERROR(VLOOKUP(A772,'[1]MC Masterlist 2026-09-12'!$B:$M, 3, 0),"")</f>
        <v>YAMAHA</v>
      </c>
      <c r="H772" s="45">
        <f>IFERROR(VLOOKUP(A772,'[1]MC Masterlist 2026-09-12'!$B:$M, 6, 0),"")</f>
        <v>68727</v>
      </c>
      <c r="I772" s="46">
        <v>0</v>
      </c>
      <c r="J772" s="46">
        <v>0</v>
      </c>
      <c r="K772" s="46">
        <v>0</v>
      </c>
      <c r="L772" s="46">
        <f t="shared" si="180"/>
        <v>0</v>
      </c>
      <c r="M772" s="46">
        <f t="shared" si="181"/>
        <v>0</v>
      </c>
      <c r="N772" s="45">
        <f t="shared" si="182"/>
        <v>0</v>
      </c>
      <c r="O772" s="45">
        <f t="shared" si="183"/>
        <v>0</v>
      </c>
      <c r="P772" s="46">
        <f t="shared" si="184"/>
        <v>0</v>
      </c>
      <c r="Q772" s="46">
        <v>1</v>
      </c>
      <c r="R772" s="45">
        <f t="shared" si="185"/>
        <v>68727</v>
      </c>
      <c r="S772" s="46">
        <f t="shared" si="186"/>
        <v>0</v>
      </c>
      <c r="T772" s="46" t="str">
        <f>IFERROR(VLOOKUP(A772,'[1]Re-order'!$A:$Q,17,0),"")</f>
        <v/>
      </c>
      <c r="U772" s="46">
        <f>IFERROR(VLOOKUP(A772,'[1]MC Masterlist 2026-09-12'!$B:$M, 10, 0),0)</f>
        <v>15</v>
      </c>
      <c r="V772" s="46">
        <f>IFERROR(VLOOKUP(A772,'[1]MC Masterlist 2026-09-12'!$B:$M, 11, 0),0)</f>
        <v>15</v>
      </c>
      <c r="W772" s="46">
        <f t="shared" si="187"/>
        <v>30</v>
      </c>
      <c r="X772" s="46">
        <f t="shared" si="188"/>
        <v>7</v>
      </c>
      <c r="Y772" s="46">
        <f>IFERROR(IF(OR(C772="AREA I",C772="AREA V"),7,VLOOKUP(A772,'[1]MC Masterlist 2026-09-12'!$B:$M, 12, 0)),0)</f>
        <v>7</v>
      </c>
      <c r="Z772" s="46">
        <f t="shared" si="189"/>
        <v>0</v>
      </c>
      <c r="AA772" s="46">
        <f t="shared" si="190"/>
        <v>0</v>
      </c>
      <c r="AB772" s="46">
        <f t="shared" si="191"/>
        <v>0</v>
      </c>
      <c r="AC772" s="46">
        <f t="shared" si="192"/>
        <v>0</v>
      </c>
      <c r="AD772" s="44" t="str">
        <f t="shared" si="193"/>
        <v>Over</v>
      </c>
      <c r="AE772" s="44" t="str">
        <f>IFERROR(VLOOKUP(A772,'[1]Re-order'!$A:$AA,27,0),"")</f>
        <v>Over</v>
      </c>
      <c r="AF772" s="46">
        <f t="shared" si="194"/>
        <v>-1</v>
      </c>
      <c r="AG772" s="46">
        <f>SUMIFS('[1]Raw Inventory'!D:D,'[1]Raw Inventory'!C:C,"GREATWALL",'[1]Raw Inventory'!B:B,A772)</f>
        <v>0</v>
      </c>
      <c r="AH772" s="46">
        <f>SUMIFS('[1]Raw Inventory'!D:D,'[1]Raw Inventory'!C:C,"DUARTE",'[1]Raw Inventory'!B:B,A772)</f>
        <v>0</v>
      </c>
      <c r="AI772" s="46"/>
      <c r="AJ772" s="46"/>
      <c r="AK772" s="43"/>
      <c r="AL772" s="43"/>
      <c r="AM772" s="43"/>
      <c r="AN772" s="43"/>
      <c r="AO772" s="43"/>
      <c r="AP772" s="43"/>
      <c r="AQ772" s="43"/>
      <c r="AR772" s="43"/>
      <c r="AS772" s="43"/>
      <c r="AT772" s="43"/>
    </row>
    <row r="773" spans="1:46">
      <c r="A773" s="43" t="s">
        <v>31</v>
      </c>
      <c r="B773" s="43" t="s">
        <v>156</v>
      </c>
      <c r="C773" s="43" t="s">
        <v>152</v>
      </c>
      <c r="D773" s="44" t="s">
        <v>237</v>
      </c>
      <c r="E773" s="44">
        <v>25</v>
      </c>
      <c r="F773" s="44" t="s">
        <v>3</v>
      </c>
      <c r="G773" s="43" t="str">
        <f>IFERROR(VLOOKUP(A773,'[1]MC Masterlist 2026-09-12'!$B:$M, 3, 0),"")</f>
        <v>KAWASAKI</v>
      </c>
      <c r="H773" s="45">
        <f>IFERROR(VLOOKUP(A773,'[1]MC Masterlist 2026-09-12'!$B:$M, 6, 0),"")</f>
        <v>59528</v>
      </c>
      <c r="I773" s="46">
        <v>0</v>
      </c>
      <c r="J773" s="46">
        <v>1</v>
      </c>
      <c r="K773" s="46">
        <v>0</v>
      </c>
      <c r="L773" s="46">
        <f t="shared" si="180"/>
        <v>1</v>
      </c>
      <c r="M773" s="46">
        <f t="shared" si="181"/>
        <v>0.33333333333333331</v>
      </c>
      <c r="N773" s="45">
        <f t="shared" si="182"/>
        <v>59528</v>
      </c>
      <c r="O773" s="45">
        <f t="shared" si="183"/>
        <v>19842.666666666664</v>
      </c>
      <c r="P773" s="46">
        <f t="shared" si="184"/>
        <v>1.111111111111111E-2</v>
      </c>
      <c r="Q773" s="46">
        <v>1</v>
      </c>
      <c r="R773" s="45">
        <f t="shared" si="185"/>
        <v>59528</v>
      </c>
      <c r="S773" s="46">
        <f t="shared" si="186"/>
        <v>90.000000000000014</v>
      </c>
      <c r="T773" s="46">
        <f>IFERROR(VLOOKUP(A773,'[1]Re-order'!$A:$Q,17,0),"")</f>
        <v>95.869565217391298</v>
      </c>
      <c r="U773" s="46">
        <f>IFERROR(VLOOKUP(A773,'[1]MC Masterlist 2026-09-12'!$B:$M, 10, 0),0)</f>
        <v>15</v>
      </c>
      <c r="V773" s="46">
        <f>IFERROR(VLOOKUP(A773,'[1]MC Masterlist 2026-09-12'!$B:$M, 11, 0),0)</f>
        <v>15</v>
      </c>
      <c r="W773" s="46">
        <f t="shared" si="187"/>
        <v>30</v>
      </c>
      <c r="X773" s="46">
        <f t="shared" si="188"/>
        <v>29.833333333333332</v>
      </c>
      <c r="Y773" s="46">
        <f>IFERROR(IF(OR(C773="AREA I",C773="AREA V"),7,VLOOKUP(A773,'[1]MC Masterlist 2026-09-12'!$B:$M, 12, 0)),0)</f>
        <v>30</v>
      </c>
      <c r="Z773" s="46">
        <f t="shared" si="189"/>
        <v>0.16666666666666666</v>
      </c>
      <c r="AA773" s="46">
        <f t="shared" si="190"/>
        <v>0.33333333333333331</v>
      </c>
      <c r="AB773" s="46">
        <f t="shared" si="191"/>
        <v>0.33148148148148143</v>
      </c>
      <c r="AC773" s="46">
        <f t="shared" si="192"/>
        <v>0.33333333333333331</v>
      </c>
      <c r="AD773" s="44" t="str">
        <f t="shared" si="193"/>
        <v>Over</v>
      </c>
      <c r="AE773" s="44" t="str">
        <f>IFERROR(VLOOKUP(A773,'[1]Re-order'!$A:$AA,27,0),"")</f>
        <v>Over</v>
      </c>
      <c r="AF773" s="46">
        <f t="shared" si="194"/>
        <v>-0.66666666666666674</v>
      </c>
      <c r="AG773" s="46">
        <f>SUMIFS('[1]Raw Inventory'!D:D,'[1]Raw Inventory'!C:C,"GREATWALL",'[1]Raw Inventory'!B:B,A773)</f>
        <v>79</v>
      </c>
      <c r="AH773" s="46">
        <f>SUMIFS('[1]Raw Inventory'!D:D,'[1]Raw Inventory'!C:C,"DUARTE",'[1]Raw Inventory'!B:B,A773)</f>
        <v>0</v>
      </c>
      <c r="AI773" s="46"/>
      <c r="AJ773" s="46"/>
      <c r="AK773" s="43"/>
      <c r="AL773" s="43"/>
      <c r="AM773" s="43"/>
      <c r="AN773" s="43"/>
      <c r="AO773" s="43"/>
      <c r="AP773" s="43"/>
      <c r="AQ773" s="43"/>
      <c r="AR773" s="43"/>
      <c r="AS773" s="43"/>
      <c r="AT773" s="43"/>
    </row>
    <row r="774" spans="1:46">
      <c r="A774" s="43" t="s">
        <v>25</v>
      </c>
      <c r="B774" s="43" t="s">
        <v>155</v>
      </c>
      <c r="C774" s="43" t="s">
        <v>152</v>
      </c>
      <c r="D774" s="44" t="s">
        <v>234</v>
      </c>
      <c r="E774" s="44">
        <v>4</v>
      </c>
      <c r="F774" s="44" t="s">
        <v>0</v>
      </c>
      <c r="G774" s="43" t="str">
        <f>IFERROR(VLOOKUP(A774,'[1]MC Masterlist 2026-09-12'!$B:$M, 3, 0),"")</f>
        <v>YAMAHA</v>
      </c>
      <c r="H774" s="45">
        <f>IFERROR(VLOOKUP(A774,'[1]MC Masterlist 2026-09-12'!$B:$M, 6, 0),"")</f>
        <v>124527</v>
      </c>
      <c r="I774" s="46">
        <v>4</v>
      </c>
      <c r="J774" s="46">
        <v>1</v>
      </c>
      <c r="K774" s="46">
        <v>0</v>
      </c>
      <c r="L774" s="46">
        <f t="shared" si="180"/>
        <v>5</v>
      </c>
      <c r="M774" s="46">
        <f t="shared" si="181"/>
        <v>1.6666666666666667</v>
      </c>
      <c r="N774" s="45">
        <f t="shared" si="182"/>
        <v>622635</v>
      </c>
      <c r="O774" s="45">
        <f t="shared" si="183"/>
        <v>207545</v>
      </c>
      <c r="P774" s="46">
        <f t="shared" si="184"/>
        <v>5.5555555555555559E-2</v>
      </c>
      <c r="Q774" s="46"/>
      <c r="R774" s="45">
        <f t="shared" si="185"/>
        <v>0</v>
      </c>
      <c r="S774" s="46">
        <f t="shared" si="186"/>
        <v>0</v>
      </c>
      <c r="T774" s="46">
        <f>IFERROR(VLOOKUP(A774,'[1]Re-order'!$A:$Q,17,0),"")</f>
        <v>5.1030927835051543</v>
      </c>
      <c r="U774" s="46">
        <f>IFERROR(VLOOKUP(A774,'[1]MC Masterlist 2026-09-12'!$B:$M, 10, 0),0)</f>
        <v>15</v>
      </c>
      <c r="V774" s="46">
        <f>IFERROR(VLOOKUP(A774,'[1]MC Masterlist 2026-09-12'!$B:$M, 11, 0),0)</f>
        <v>15</v>
      </c>
      <c r="W774" s="46">
        <f t="shared" si="187"/>
        <v>30</v>
      </c>
      <c r="X774" s="46">
        <f t="shared" si="188"/>
        <v>29.166666666666668</v>
      </c>
      <c r="Y774" s="46">
        <f>IFERROR(IF(OR(C774="AREA I",C774="AREA V"),7,VLOOKUP(A774,'[1]MC Masterlist 2026-09-12'!$B:$M, 12, 0)),0)</f>
        <v>30</v>
      </c>
      <c r="Z774" s="46">
        <f t="shared" si="189"/>
        <v>0.83333333333333337</v>
      </c>
      <c r="AA774" s="46">
        <f t="shared" si="190"/>
        <v>1.6666666666666667</v>
      </c>
      <c r="AB774" s="46">
        <f t="shared" si="191"/>
        <v>1.6203703703703705</v>
      </c>
      <c r="AC774" s="46">
        <f t="shared" si="192"/>
        <v>1.6666666666666667</v>
      </c>
      <c r="AD774" s="44" t="str">
        <f t="shared" si="193"/>
        <v>Stockout</v>
      </c>
      <c r="AE774" s="44" t="str">
        <f>IFERROR(VLOOKUP(A774,'[1]Re-order'!$A:$AA,27,0),"")</f>
        <v>Stockout</v>
      </c>
      <c r="AF774" s="46">
        <f t="shared" si="194"/>
        <v>1.6666666666666667</v>
      </c>
      <c r="AG774" s="46">
        <f>SUMIFS('[1]Raw Inventory'!D:D,'[1]Raw Inventory'!C:C,"GREATWALL",'[1]Raw Inventory'!B:B,A774)</f>
        <v>1</v>
      </c>
      <c r="AH774" s="46">
        <f>SUMIFS('[1]Raw Inventory'!D:D,'[1]Raw Inventory'!C:C,"DUARTE",'[1]Raw Inventory'!B:B,A774)</f>
        <v>0</v>
      </c>
      <c r="AI774" s="46"/>
      <c r="AJ774" s="46"/>
      <c r="AK774" s="43"/>
      <c r="AL774" s="43"/>
      <c r="AM774" s="43"/>
      <c r="AN774" s="43"/>
      <c r="AO774" s="43"/>
      <c r="AP774" s="43"/>
      <c r="AQ774" s="43"/>
      <c r="AR774" s="43"/>
      <c r="AS774" s="43"/>
      <c r="AT774" s="43"/>
    </row>
    <row r="775" spans="1:46">
      <c r="A775" s="43" t="s">
        <v>82</v>
      </c>
      <c r="B775" s="43" t="s">
        <v>96</v>
      </c>
      <c r="C775" s="43" t="s">
        <v>90</v>
      </c>
      <c r="D775" s="44" t="s">
        <v>226</v>
      </c>
      <c r="E775" s="44">
        <v>7</v>
      </c>
      <c r="F775" s="44" t="s">
        <v>3</v>
      </c>
      <c r="G775" s="43" t="str">
        <f>IFERROR(VLOOKUP(A775,'[1]MC Masterlist 2026-09-12'!$B:$M, 3, 0),"")</f>
        <v>SUZUKI</v>
      </c>
      <c r="H775" s="45">
        <f>IFERROR(VLOOKUP(A775,'[1]MC Masterlist 2026-09-12'!$B:$M, 6, 0),"")</f>
        <v>67342</v>
      </c>
      <c r="I775" s="46">
        <v>0</v>
      </c>
      <c r="J775" s="46">
        <v>0</v>
      </c>
      <c r="K775" s="46">
        <v>0</v>
      </c>
      <c r="L775" s="46">
        <f t="shared" si="180"/>
        <v>0</v>
      </c>
      <c r="M775" s="46">
        <f t="shared" si="181"/>
        <v>0</v>
      </c>
      <c r="N775" s="45">
        <f t="shared" si="182"/>
        <v>0</v>
      </c>
      <c r="O775" s="45">
        <f t="shared" si="183"/>
        <v>0</v>
      </c>
      <c r="P775" s="46">
        <f t="shared" si="184"/>
        <v>0</v>
      </c>
      <c r="Q775" s="46">
        <v>1</v>
      </c>
      <c r="R775" s="45">
        <f t="shared" si="185"/>
        <v>67342</v>
      </c>
      <c r="S775" s="46">
        <f t="shared" si="186"/>
        <v>0</v>
      </c>
      <c r="T775" s="46">
        <f>IFERROR(VLOOKUP(A775,'[1]Re-order'!$A:$Q,17,0),"")</f>
        <v>64.8</v>
      </c>
      <c r="U775" s="46">
        <f>IFERROR(VLOOKUP(A775,'[1]MC Masterlist 2026-09-12'!$B:$M, 10, 0),0)</f>
        <v>15</v>
      </c>
      <c r="V775" s="46">
        <f>IFERROR(VLOOKUP(A775,'[1]MC Masterlist 2026-09-12'!$B:$M, 11, 0),0)</f>
        <v>15</v>
      </c>
      <c r="W775" s="46">
        <f t="shared" si="187"/>
        <v>30</v>
      </c>
      <c r="X775" s="46">
        <f t="shared" si="188"/>
        <v>30</v>
      </c>
      <c r="Y775" s="46">
        <f>IFERROR(IF(OR(C775="AREA I",C775="AREA V"),7,VLOOKUP(A775,'[1]MC Masterlist 2026-09-12'!$B:$M, 12, 0)),0)</f>
        <v>30</v>
      </c>
      <c r="Z775" s="46">
        <f t="shared" si="189"/>
        <v>0</v>
      </c>
      <c r="AA775" s="46">
        <f t="shared" si="190"/>
        <v>0</v>
      </c>
      <c r="AB775" s="46">
        <f t="shared" si="191"/>
        <v>0</v>
      </c>
      <c r="AC775" s="46">
        <f t="shared" si="192"/>
        <v>0</v>
      </c>
      <c r="AD775" s="44" t="str">
        <f t="shared" si="193"/>
        <v>Over</v>
      </c>
      <c r="AE775" s="44" t="str">
        <f>IFERROR(VLOOKUP(A775,'[1]Re-order'!$A:$AA,27,0),"")</f>
        <v>Re-order</v>
      </c>
      <c r="AF775" s="46">
        <f t="shared" si="194"/>
        <v>-1</v>
      </c>
      <c r="AG775" s="46">
        <f>SUMIFS('[1]Raw Inventory'!D:D,'[1]Raw Inventory'!C:C,"GREATWALL",'[1]Raw Inventory'!B:B,A775)</f>
        <v>1</v>
      </c>
      <c r="AH775" s="46">
        <f>SUMIFS('[1]Raw Inventory'!D:D,'[1]Raw Inventory'!C:C,"DUARTE",'[1]Raw Inventory'!B:B,A775)</f>
        <v>0</v>
      </c>
      <c r="AI775" s="46"/>
      <c r="AJ775" s="46"/>
      <c r="AK775" s="43"/>
      <c r="AL775" s="43"/>
      <c r="AM775" s="43"/>
      <c r="AN775" s="43"/>
      <c r="AO775" s="43"/>
      <c r="AP775" s="43"/>
      <c r="AQ775" s="43"/>
      <c r="AR775" s="43"/>
      <c r="AS775" s="43"/>
      <c r="AT775" s="43"/>
    </row>
    <row r="776" spans="1:46">
      <c r="A776" s="43" t="s">
        <v>47</v>
      </c>
      <c r="B776" s="43" t="s">
        <v>119</v>
      </c>
      <c r="C776" s="43" t="s">
        <v>118</v>
      </c>
      <c r="D776" s="44" t="s">
        <v>256</v>
      </c>
      <c r="E776" s="44">
        <v>17</v>
      </c>
      <c r="F776" s="44" t="s">
        <v>2</v>
      </c>
      <c r="G776" s="43" t="str">
        <f>IFERROR(VLOOKUP(A776,'[1]MC Masterlist 2026-09-12'!$B:$M, 3, 0),"")</f>
        <v>YAMAHA</v>
      </c>
      <c r="H776" s="45">
        <f>IFERROR(VLOOKUP(A776,'[1]MC Masterlist 2026-09-12'!$B:$M, 6, 0),"")</f>
        <v>76167</v>
      </c>
      <c r="I776" s="46">
        <v>0</v>
      </c>
      <c r="J776" s="46">
        <v>1</v>
      </c>
      <c r="K776" s="46">
        <v>2</v>
      </c>
      <c r="L776" s="46">
        <f t="shared" si="180"/>
        <v>3</v>
      </c>
      <c r="M776" s="46">
        <f t="shared" si="181"/>
        <v>1</v>
      </c>
      <c r="N776" s="45">
        <f t="shared" si="182"/>
        <v>228501</v>
      </c>
      <c r="O776" s="45">
        <f t="shared" si="183"/>
        <v>76167</v>
      </c>
      <c r="P776" s="46">
        <f t="shared" si="184"/>
        <v>3.3333333333333333E-2</v>
      </c>
      <c r="Q776" s="46"/>
      <c r="R776" s="45">
        <f t="shared" si="185"/>
        <v>0</v>
      </c>
      <c r="S776" s="46">
        <f t="shared" si="186"/>
        <v>0</v>
      </c>
      <c r="T776" s="46">
        <f>IFERROR(VLOOKUP(A776,'[1]Re-order'!$A:$Q,17,0),"")</f>
        <v>86.666666666666671</v>
      </c>
      <c r="U776" s="46">
        <f>IFERROR(VLOOKUP(A776,'[1]MC Masterlist 2026-09-12'!$B:$M, 10, 0),0)</f>
        <v>15</v>
      </c>
      <c r="V776" s="46">
        <f>IFERROR(VLOOKUP(A776,'[1]MC Masterlist 2026-09-12'!$B:$M, 11, 0),0)</f>
        <v>15</v>
      </c>
      <c r="W776" s="46">
        <f t="shared" si="187"/>
        <v>30</v>
      </c>
      <c r="X776" s="46">
        <f t="shared" si="188"/>
        <v>29.5</v>
      </c>
      <c r="Y776" s="46">
        <f>IFERROR(IF(OR(C776="AREA I",C776="AREA V"),7,VLOOKUP(A776,'[1]MC Masterlist 2026-09-12'!$B:$M, 12, 0)),0)</f>
        <v>30</v>
      </c>
      <c r="Z776" s="46">
        <f t="shared" si="189"/>
        <v>0.5</v>
      </c>
      <c r="AA776" s="46">
        <f t="shared" si="190"/>
        <v>1</v>
      </c>
      <c r="AB776" s="46">
        <f t="shared" si="191"/>
        <v>0.98333333333333328</v>
      </c>
      <c r="AC776" s="46">
        <f t="shared" si="192"/>
        <v>1</v>
      </c>
      <c r="AD776" s="44" t="str">
        <f t="shared" si="193"/>
        <v>Stockout</v>
      </c>
      <c r="AE776" s="44" t="str">
        <f>IFERROR(VLOOKUP(A776,'[1]Re-order'!$A:$AA,27,0),"")</f>
        <v/>
      </c>
      <c r="AF776" s="46">
        <f t="shared" si="194"/>
        <v>1</v>
      </c>
      <c r="AG776" s="46">
        <f>SUMIFS('[1]Raw Inventory'!D:D,'[1]Raw Inventory'!C:C,"GREATWALL",'[1]Raw Inventory'!B:B,A776)</f>
        <v>1</v>
      </c>
      <c r="AH776" s="46">
        <f>SUMIFS('[1]Raw Inventory'!D:D,'[1]Raw Inventory'!C:C,"DUARTE",'[1]Raw Inventory'!B:B,A776)</f>
        <v>0</v>
      </c>
      <c r="AI776" s="46"/>
      <c r="AJ776" s="46"/>
      <c r="AK776" s="43"/>
      <c r="AL776" s="43"/>
      <c r="AM776" s="43"/>
      <c r="AN776" s="43"/>
      <c r="AO776" s="43"/>
      <c r="AP776" s="43"/>
      <c r="AQ776" s="43"/>
      <c r="AR776" s="43"/>
      <c r="AS776" s="43"/>
      <c r="AT776" s="43"/>
    </row>
    <row r="777" spans="1:46">
      <c r="A777" s="43" t="s">
        <v>37</v>
      </c>
      <c r="B777" s="43" t="s">
        <v>91</v>
      </c>
      <c r="C777" s="43" t="s">
        <v>90</v>
      </c>
      <c r="D777" s="44" t="s">
        <v>225</v>
      </c>
      <c r="E777" s="44">
        <v>3</v>
      </c>
      <c r="F777" s="44" t="s">
        <v>0</v>
      </c>
      <c r="G777" s="43" t="str">
        <f>IFERROR(VLOOKUP(A777,'[1]MC Masterlist 2026-09-12'!$B:$M, 3, 0),"")</f>
        <v>HONDA</v>
      </c>
      <c r="H777" s="45">
        <f>IFERROR(VLOOKUP(A777,'[1]MC Masterlist 2026-09-12'!$B:$M, 6, 0),"")</f>
        <v>74550</v>
      </c>
      <c r="I777" s="46">
        <v>3</v>
      </c>
      <c r="J777" s="46">
        <v>5</v>
      </c>
      <c r="K777" s="46">
        <v>2</v>
      </c>
      <c r="L777" s="46">
        <f t="shared" si="180"/>
        <v>10</v>
      </c>
      <c r="M777" s="46">
        <f t="shared" si="181"/>
        <v>3.3333333333333335</v>
      </c>
      <c r="N777" s="45">
        <f t="shared" si="182"/>
        <v>745500</v>
      </c>
      <c r="O777" s="45">
        <f t="shared" si="183"/>
        <v>248500</v>
      </c>
      <c r="P777" s="46">
        <f t="shared" si="184"/>
        <v>0.11111111111111112</v>
      </c>
      <c r="Q777" s="46"/>
      <c r="R777" s="45">
        <f t="shared" si="185"/>
        <v>0</v>
      </c>
      <c r="S777" s="46">
        <f t="shared" si="186"/>
        <v>0</v>
      </c>
      <c r="T777" s="46">
        <f>IFERROR(VLOOKUP(A777,'[1]Re-order'!$A:$Q,17,0),"")</f>
        <v>33.652173913043477</v>
      </c>
      <c r="U777" s="46">
        <f>IFERROR(VLOOKUP(A777,'[1]MC Masterlist 2026-09-12'!$B:$M, 10, 0),0)</f>
        <v>15</v>
      </c>
      <c r="V777" s="46">
        <f>IFERROR(VLOOKUP(A777,'[1]MC Masterlist 2026-09-12'!$B:$M, 11, 0),0)</f>
        <v>15</v>
      </c>
      <c r="W777" s="46">
        <f t="shared" si="187"/>
        <v>30</v>
      </c>
      <c r="X777" s="46">
        <f t="shared" si="188"/>
        <v>28.333333333333332</v>
      </c>
      <c r="Y777" s="46">
        <f>IFERROR(IF(OR(C777="AREA I",C777="AREA V"),7,VLOOKUP(A777,'[1]MC Masterlist 2026-09-12'!$B:$M, 12, 0)),0)</f>
        <v>30</v>
      </c>
      <c r="Z777" s="46">
        <f t="shared" si="189"/>
        <v>1.6666666666666667</v>
      </c>
      <c r="AA777" s="46">
        <f t="shared" si="190"/>
        <v>3.3333333333333335</v>
      </c>
      <c r="AB777" s="46">
        <f t="shared" si="191"/>
        <v>3.1481481481481484</v>
      </c>
      <c r="AC777" s="46">
        <f t="shared" si="192"/>
        <v>3.3333333333333335</v>
      </c>
      <c r="AD777" s="44" t="str">
        <f t="shared" si="193"/>
        <v>Stockout</v>
      </c>
      <c r="AE777" s="44" t="str">
        <f>IFERROR(VLOOKUP(A777,'[1]Re-order'!$A:$AA,27,0),"")</f>
        <v>Re-order</v>
      </c>
      <c r="AF777" s="46">
        <f t="shared" si="194"/>
        <v>3.3333333333333335</v>
      </c>
      <c r="AG777" s="46">
        <f>SUMIFS('[1]Raw Inventory'!D:D,'[1]Raw Inventory'!C:C,"GREATWALL",'[1]Raw Inventory'!B:B,A777)</f>
        <v>28</v>
      </c>
      <c r="AH777" s="46">
        <f>SUMIFS('[1]Raw Inventory'!D:D,'[1]Raw Inventory'!C:C,"DUARTE",'[1]Raw Inventory'!B:B,A777)</f>
        <v>0</v>
      </c>
      <c r="AI777" s="46"/>
      <c r="AJ777" s="46"/>
      <c r="AK777" s="43"/>
      <c r="AL777" s="43"/>
      <c r="AM777" s="43"/>
      <c r="AN777" s="43"/>
      <c r="AO777" s="43"/>
      <c r="AP777" s="43"/>
      <c r="AQ777" s="43"/>
      <c r="AR777" s="43"/>
      <c r="AS777" s="43"/>
      <c r="AT777" s="43"/>
    </row>
    <row r="778" spans="1:46">
      <c r="A778" s="43" t="s">
        <v>47</v>
      </c>
      <c r="B778" s="43" t="s">
        <v>113</v>
      </c>
      <c r="C778" s="43" t="s">
        <v>109</v>
      </c>
      <c r="D778" s="44" t="s">
        <v>235</v>
      </c>
      <c r="E778" s="44">
        <v>28</v>
      </c>
      <c r="F778" s="44" t="s">
        <v>3</v>
      </c>
      <c r="G778" s="43" t="str">
        <f>IFERROR(VLOOKUP(A778,'[1]MC Masterlist 2026-09-12'!$B:$M, 3, 0),"")</f>
        <v>YAMAHA</v>
      </c>
      <c r="H778" s="45">
        <f>IFERROR(VLOOKUP(A778,'[1]MC Masterlist 2026-09-12'!$B:$M, 6, 0),"")</f>
        <v>76167</v>
      </c>
      <c r="I778" s="46">
        <v>0</v>
      </c>
      <c r="J778" s="46">
        <v>1</v>
      </c>
      <c r="K778" s="46">
        <v>0</v>
      </c>
      <c r="L778" s="46">
        <f t="shared" si="180"/>
        <v>1</v>
      </c>
      <c r="M778" s="46">
        <f t="shared" si="181"/>
        <v>0.33333333333333331</v>
      </c>
      <c r="N778" s="45">
        <f t="shared" si="182"/>
        <v>76167</v>
      </c>
      <c r="O778" s="45">
        <f t="shared" si="183"/>
        <v>25389</v>
      </c>
      <c r="P778" s="46">
        <f t="shared" si="184"/>
        <v>1.111111111111111E-2</v>
      </c>
      <c r="Q778" s="46"/>
      <c r="R778" s="45">
        <f t="shared" si="185"/>
        <v>0</v>
      </c>
      <c r="S778" s="46">
        <f t="shared" si="186"/>
        <v>0</v>
      </c>
      <c r="T778" s="46">
        <f>IFERROR(VLOOKUP(A778,'[1]Re-order'!$A:$Q,17,0),"")</f>
        <v>86.666666666666671</v>
      </c>
      <c r="U778" s="46">
        <f>IFERROR(VLOOKUP(A778,'[1]MC Masterlist 2026-09-12'!$B:$M, 10, 0),0)</f>
        <v>15</v>
      </c>
      <c r="V778" s="46">
        <f>IFERROR(VLOOKUP(A778,'[1]MC Masterlist 2026-09-12'!$B:$M, 11, 0),0)</f>
        <v>15</v>
      </c>
      <c r="W778" s="46">
        <f t="shared" si="187"/>
        <v>30</v>
      </c>
      <c r="X778" s="46">
        <f t="shared" si="188"/>
        <v>29.833333333333332</v>
      </c>
      <c r="Y778" s="46">
        <f>IFERROR(IF(OR(C778="AREA I",C778="AREA V"),7,VLOOKUP(A778,'[1]MC Masterlist 2026-09-12'!$B:$M, 12, 0)),0)</f>
        <v>30</v>
      </c>
      <c r="Z778" s="46">
        <f t="shared" si="189"/>
        <v>0.16666666666666666</v>
      </c>
      <c r="AA778" s="46">
        <f t="shared" si="190"/>
        <v>0.33333333333333331</v>
      </c>
      <c r="AB778" s="46">
        <f t="shared" si="191"/>
        <v>0.33148148148148143</v>
      </c>
      <c r="AC778" s="46">
        <f t="shared" si="192"/>
        <v>0.33333333333333331</v>
      </c>
      <c r="AD778" s="44" t="str">
        <f t="shared" si="193"/>
        <v>Stockout</v>
      </c>
      <c r="AE778" s="44" t="str">
        <f>IFERROR(VLOOKUP(A778,'[1]Re-order'!$A:$AA,27,0),"")</f>
        <v/>
      </c>
      <c r="AF778" s="46">
        <f t="shared" si="194"/>
        <v>0.33333333333333331</v>
      </c>
      <c r="AG778" s="46">
        <f>SUMIFS('[1]Raw Inventory'!D:D,'[1]Raw Inventory'!C:C,"GREATWALL",'[1]Raw Inventory'!B:B,A778)</f>
        <v>1</v>
      </c>
      <c r="AH778" s="46">
        <f>SUMIFS('[1]Raw Inventory'!D:D,'[1]Raw Inventory'!C:C,"DUARTE",'[1]Raw Inventory'!B:B,A778)</f>
        <v>0</v>
      </c>
      <c r="AI778" s="46"/>
      <c r="AJ778" s="46"/>
      <c r="AK778" s="43"/>
      <c r="AL778" s="43"/>
      <c r="AM778" s="43"/>
      <c r="AN778" s="43"/>
      <c r="AO778" s="43"/>
      <c r="AP778" s="43"/>
      <c r="AQ778" s="43"/>
      <c r="AR778" s="43"/>
      <c r="AS778" s="43"/>
      <c r="AT778" s="43"/>
    </row>
    <row r="779" spans="1:46">
      <c r="A779" s="43" t="s">
        <v>26</v>
      </c>
      <c r="B779" s="43" t="s">
        <v>96</v>
      </c>
      <c r="C779" s="43" t="s">
        <v>90</v>
      </c>
      <c r="D779" s="44" t="s">
        <v>254</v>
      </c>
      <c r="E779" s="44">
        <v>2</v>
      </c>
      <c r="F779" s="44" t="s">
        <v>2</v>
      </c>
      <c r="G779" s="43" t="str">
        <f>IFERROR(VLOOKUP(A779,'[1]MC Masterlist 2026-09-12'!$B:$M, 3, 0),"")</f>
        <v>SUZUKI</v>
      </c>
      <c r="H779" s="45">
        <f>IFERROR(VLOOKUP(A779,'[1]MC Masterlist 2026-09-12'!$B:$M, 6, 0),"")</f>
        <v>123700</v>
      </c>
      <c r="I779" s="46">
        <v>1</v>
      </c>
      <c r="J779" s="46">
        <v>2</v>
      </c>
      <c r="K779" s="46">
        <v>2</v>
      </c>
      <c r="L779" s="46">
        <f t="shared" si="180"/>
        <v>5</v>
      </c>
      <c r="M779" s="46">
        <f t="shared" si="181"/>
        <v>1.6666666666666667</v>
      </c>
      <c r="N779" s="45">
        <f t="shared" si="182"/>
        <v>618500</v>
      </c>
      <c r="O779" s="45">
        <f t="shared" si="183"/>
        <v>206166.66666666669</v>
      </c>
      <c r="P779" s="46">
        <f t="shared" si="184"/>
        <v>5.5555555555555559E-2</v>
      </c>
      <c r="Q779" s="46"/>
      <c r="R779" s="45">
        <f t="shared" si="185"/>
        <v>0</v>
      </c>
      <c r="S779" s="46">
        <f t="shared" si="186"/>
        <v>0</v>
      </c>
      <c r="T779" s="46">
        <f>IFERROR(VLOOKUP(A779,'[1]Re-order'!$A:$Q,17,0),"")</f>
        <v>71.470588235294116</v>
      </c>
      <c r="U779" s="46">
        <f>IFERROR(VLOOKUP(A779,'[1]MC Masterlist 2026-09-12'!$B:$M, 10, 0),0)</f>
        <v>15</v>
      </c>
      <c r="V779" s="46">
        <f>IFERROR(VLOOKUP(A779,'[1]MC Masterlist 2026-09-12'!$B:$M, 11, 0),0)</f>
        <v>15</v>
      </c>
      <c r="W779" s="46">
        <f t="shared" si="187"/>
        <v>30</v>
      </c>
      <c r="X779" s="46">
        <f t="shared" si="188"/>
        <v>29.166666666666668</v>
      </c>
      <c r="Y779" s="46">
        <f>IFERROR(IF(OR(C779="AREA I",C779="AREA V"),7,VLOOKUP(A779,'[1]MC Masterlist 2026-09-12'!$B:$M, 12, 0)),0)</f>
        <v>30</v>
      </c>
      <c r="Z779" s="46">
        <f t="shared" si="189"/>
        <v>0.83333333333333337</v>
      </c>
      <c r="AA779" s="46">
        <f t="shared" si="190"/>
        <v>1.6666666666666667</v>
      </c>
      <c r="AB779" s="46">
        <f t="shared" si="191"/>
        <v>1.6203703703703705</v>
      </c>
      <c r="AC779" s="46">
        <f t="shared" si="192"/>
        <v>1.6666666666666667</v>
      </c>
      <c r="AD779" s="44" t="str">
        <f t="shared" si="193"/>
        <v>Stockout</v>
      </c>
      <c r="AE779" s="44" t="str">
        <f>IFERROR(VLOOKUP(A779,'[1]Re-order'!$A:$AA,27,0),"")</f>
        <v>Re-order</v>
      </c>
      <c r="AF779" s="46">
        <f t="shared" si="194"/>
        <v>1.6666666666666667</v>
      </c>
      <c r="AG779" s="46">
        <f>SUMIFS('[1]Raw Inventory'!D:D,'[1]Raw Inventory'!C:C,"GREATWALL",'[1]Raw Inventory'!B:B,A779)</f>
        <v>30</v>
      </c>
      <c r="AH779" s="46">
        <f>SUMIFS('[1]Raw Inventory'!D:D,'[1]Raw Inventory'!C:C,"DUARTE",'[1]Raw Inventory'!B:B,A779)</f>
        <v>0</v>
      </c>
      <c r="AI779" s="46"/>
      <c r="AJ779" s="46"/>
      <c r="AK779" s="43"/>
      <c r="AL779" s="43"/>
      <c r="AM779" s="43"/>
      <c r="AN779" s="43"/>
      <c r="AO779" s="43"/>
      <c r="AP779" s="43"/>
      <c r="AQ779" s="43"/>
      <c r="AR779" s="43"/>
      <c r="AS779" s="43"/>
      <c r="AT779" s="43"/>
    </row>
    <row r="780" spans="1:46">
      <c r="A780" s="43" t="s">
        <v>35</v>
      </c>
      <c r="B780" s="43" t="s">
        <v>121</v>
      </c>
      <c r="C780" s="43" t="s">
        <v>118</v>
      </c>
      <c r="D780" s="44" t="s">
        <v>245</v>
      </c>
      <c r="E780" s="44">
        <v>28</v>
      </c>
      <c r="F780" s="44" t="s">
        <v>3</v>
      </c>
      <c r="G780" s="43" t="str">
        <f>IFERROR(VLOOKUP(A780,'[1]MC Masterlist 2026-09-12'!$B:$M, 3, 0),"")</f>
        <v>HONDA</v>
      </c>
      <c r="H780" s="45">
        <f>IFERROR(VLOOKUP(A780,'[1]MC Masterlist 2026-09-12'!$B:$M, 6, 0),"")</f>
        <v>57990</v>
      </c>
      <c r="I780" s="46">
        <v>0</v>
      </c>
      <c r="J780" s="46">
        <v>0</v>
      </c>
      <c r="K780" s="46">
        <v>0</v>
      </c>
      <c r="L780" s="46">
        <f t="shared" si="180"/>
        <v>0</v>
      </c>
      <c r="M780" s="46">
        <f t="shared" si="181"/>
        <v>0</v>
      </c>
      <c r="N780" s="45">
        <f t="shared" si="182"/>
        <v>0</v>
      </c>
      <c r="O780" s="45">
        <f t="shared" si="183"/>
        <v>0</v>
      </c>
      <c r="P780" s="46">
        <f t="shared" si="184"/>
        <v>0</v>
      </c>
      <c r="Q780" s="46">
        <v>1</v>
      </c>
      <c r="R780" s="45">
        <f t="shared" si="185"/>
        <v>57990</v>
      </c>
      <c r="S780" s="46">
        <f t="shared" si="186"/>
        <v>0</v>
      </c>
      <c r="T780" s="46">
        <f>IFERROR(VLOOKUP(A780,'[1]Re-order'!$A:$Q,17,0),"")</f>
        <v>68.275862068965523</v>
      </c>
      <c r="U780" s="46">
        <f>IFERROR(VLOOKUP(A780,'[1]MC Masterlist 2026-09-12'!$B:$M, 10, 0),0)</f>
        <v>15</v>
      </c>
      <c r="V780" s="46">
        <f>IFERROR(VLOOKUP(A780,'[1]MC Masterlist 2026-09-12'!$B:$M, 11, 0),0)</f>
        <v>15</v>
      </c>
      <c r="W780" s="46">
        <f t="shared" si="187"/>
        <v>30</v>
      </c>
      <c r="X780" s="46">
        <f t="shared" si="188"/>
        <v>30</v>
      </c>
      <c r="Y780" s="46">
        <f>IFERROR(IF(OR(C780="AREA I",C780="AREA V"),7,VLOOKUP(A780,'[1]MC Masterlist 2026-09-12'!$B:$M, 12, 0)),0)</f>
        <v>30</v>
      </c>
      <c r="Z780" s="46">
        <f t="shared" si="189"/>
        <v>0</v>
      </c>
      <c r="AA780" s="46">
        <f t="shared" si="190"/>
        <v>0</v>
      </c>
      <c r="AB780" s="46">
        <f t="shared" si="191"/>
        <v>0</v>
      </c>
      <c r="AC780" s="46">
        <f t="shared" si="192"/>
        <v>0</v>
      </c>
      <c r="AD780" s="44" t="str">
        <f t="shared" si="193"/>
        <v>Over</v>
      </c>
      <c r="AE780" s="44" t="str">
        <f>IFERROR(VLOOKUP(A780,'[1]Re-order'!$A:$AA,27,0),"")</f>
        <v>Re-order</v>
      </c>
      <c r="AF780" s="46">
        <f t="shared" si="194"/>
        <v>-1</v>
      </c>
      <c r="AG780" s="46">
        <f>SUMIFS('[1]Raw Inventory'!D:D,'[1]Raw Inventory'!C:C,"GREATWALL",'[1]Raw Inventory'!B:B,A780)</f>
        <v>29</v>
      </c>
      <c r="AH780" s="46">
        <f>SUMIFS('[1]Raw Inventory'!D:D,'[1]Raw Inventory'!C:C,"DUARTE",'[1]Raw Inventory'!B:B,A780)</f>
        <v>0</v>
      </c>
      <c r="AI780" s="46"/>
      <c r="AJ780" s="46"/>
      <c r="AK780" s="43"/>
      <c r="AL780" s="43"/>
      <c r="AM780" s="43"/>
      <c r="AN780" s="43"/>
      <c r="AO780" s="43"/>
      <c r="AP780" s="43"/>
      <c r="AQ780" s="43"/>
      <c r="AR780" s="43"/>
      <c r="AS780" s="43"/>
      <c r="AT780" s="43"/>
    </row>
    <row r="781" spans="1:46">
      <c r="A781" s="43" t="s">
        <v>49</v>
      </c>
      <c r="B781" s="43" t="s">
        <v>5</v>
      </c>
      <c r="C781" s="43" t="s">
        <v>118</v>
      </c>
      <c r="D781" s="44" t="s">
        <v>238</v>
      </c>
      <c r="E781" s="44">
        <v>2</v>
      </c>
      <c r="F781" s="44" t="s">
        <v>0</v>
      </c>
      <c r="G781" s="43" t="str">
        <f>IFERROR(VLOOKUP(A781,'[1]MC Masterlist 2026-09-12'!$B:$M, 3, 0),"")</f>
        <v>BAJAJ RE</v>
      </c>
      <c r="H781" s="45">
        <f>IFERROR(VLOOKUP(A781,'[1]MC Masterlist 2026-09-12'!$B:$M, 6, 0),"")</f>
        <v>191000</v>
      </c>
      <c r="I781" s="46">
        <v>1</v>
      </c>
      <c r="J781" s="46">
        <v>2</v>
      </c>
      <c r="K781" s="46">
        <v>6</v>
      </c>
      <c r="L781" s="46">
        <f t="shared" si="180"/>
        <v>9</v>
      </c>
      <c r="M781" s="46">
        <f t="shared" si="181"/>
        <v>3</v>
      </c>
      <c r="N781" s="45">
        <f t="shared" si="182"/>
        <v>1719000</v>
      </c>
      <c r="O781" s="45">
        <f t="shared" si="183"/>
        <v>573000</v>
      </c>
      <c r="P781" s="46">
        <f t="shared" si="184"/>
        <v>0.1</v>
      </c>
      <c r="Q781" s="46">
        <v>1</v>
      </c>
      <c r="R781" s="45">
        <f t="shared" si="185"/>
        <v>191000</v>
      </c>
      <c r="S781" s="46">
        <f t="shared" si="186"/>
        <v>10</v>
      </c>
      <c r="T781" s="46">
        <f>IFERROR(VLOOKUP(A781,'[1]Re-order'!$A:$Q,17,0),"")</f>
        <v>21.516709511568124</v>
      </c>
      <c r="U781" s="46">
        <f>IFERROR(VLOOKUP(A781,'[1]MC Masterlist 2026-09-12'!$B:$M, 10, 0),0)</f>
        <v>15</v>
      </c>
      <c r="V781" s="46">
        <f>IFERROR(VLOOKUP(A781,'[1]MC Masterlist 2026-09-12'!$B:$M, 11, 0),0)</f>
        <v>15</v>
      </c>
      <c r="W781" s="46">
        <f t="shared" si="187"/>
        <v>30</v>
      </c>
      <c r="X781" s="46">
        <f t="shared" si="188"/>
        <v>28.5</v>
      </c>
      <c r="Y781" s="46">
        <f>IFERROR(IF(OR(C781="AREA I",C781="AREA V"),7,VLOOKUP(A781,'[1]MC Masterlist 2026-09-12'!$B:$M, 12, 0)),0)</f>
        <v>30</v>
      </c>
      <c r="Z781" s="46">
        <f t="shared" si="189"/>
        <v>1.5</v>
      </c>
      <c r="AA781" s="46">
        <f t="shared" si="190"/>
        <v>3</v>
      </c>
      <c r="AB781" s="46">
        <f t="shared" si="191"/>
        <v>2.85</v>
      </c>
      <c r="AC781" s="46">
        <f t="shared" si="192"/>
        <v>3</v>
      </c>
      <c r="AD781" s="44" t="str">
        <f t="shared" si="193"/>
        <v>Stockout</v>
      </c>
      <c r="AE781" s="44" t="str">
        <f>IFERROR(VLOOKUP(A781,'[1]Re-order'!$A:$AA,27,0),"")</f>
        <v>Stockout</v>
      </c>
      <c r="AF781" s="46">
        <f t="shared" si="194"/>
        <v>2</v>
      </c>
      <c r="AG781" s="46">
        <f>SUMIFS('[1]Raw Inventory'!D:D,'[1]Raw Inventory'!C:C,"GREATWALL",'[1]Raw Inventory'!B:B,A781)</f>
        <v>0</v>
      </c>
      <c r="AH781" s="46">
        <f>SUMIFS('[1]Raw Inventory'!D:D,'[1]Raw Inventory'!C:C,"DUARTE",'[1]Raw Inventory'!B:B,A781)</f>
        <v>0</v>
      </c>
      <c r="AI781" s="46"/>
      <c r="AJ781" s="46"/>
      <c r="AK781" s="43"/>
      <c r="AL781" s="43"/>
      <c r="AM781" s="43"/>
      <c r="AN781" s="43"/>
      <c r="AO781" s="43"/>
      <c r="AP781" s="43"/>
      <c r="AQ781" s="43"/>
      <c r="AR781" s="43"/>
      <c r="AS781" s="43"/>
      <c r="AT781" s="43"/>
    </row>
    <row r="782" spans="1:46">
      <c r="A782" s="43" t="s">
        <v>25</v>
      </c>
      <c r="B782" s="43" t="s">
        <v>157</v>
      </c>
      <c r="C782" s="43" t="s">
        <v>152</v>
      </c>
      <c r="D782" s="44" t="s">
        <v>240</v>
      </c>
      <c r="E782" s="44">
        <v>9</v>
      </c>
      <c r="F782" s="44" t="s">
        <v>2</v>
      </c>
      <c r="G782" s="43" t="str">
        <f>IFERROR(VLOOKUP(A782,'[1]MC Masterlist 2026-09-12'!$B:$M, 3, 0),"")</f>
        <v>YAMAHA</v>
      </c>
      <c r="H782" s="45">
        <f>IFERROR(VLOOKUP(A782,'[1]MC Masterlist 2026-09-12'!$B:$M, 6, 0),"")</f>
        <v>124527</v>
      </c>
      <c r="I782" s="46">
        <v>2</v>
      </c>
      <c r="J782" s="46">
        <v>0</v>
      </c>
      <c r="K782" s="46">
        <v>2</v>
      </c>
      <c r="L782" s="46">
        <f t="shared" si="180"/>
        <v>4</v>
      </c>
      <c r="M782" s="46">
        <f t="shared" si="181"/>
        <v>1.3333333333333333</v>
      </c>
      <c r="N782" s="45">
        <f t="shared" si="182"/>
        <v>498108</v>
      </c>
      <c r="O782" s="45">
        <f t="shared" si="183"/>
        <v>166036</v>
      </c>
      <c r="P782" s="46">
        <f t="shared" si="184"/>
        <v>4.4444444444444439E-2</v>
      </c>
      <c r="Q782" s="46"/>
      <c r="R782" s="45">
        <f t="shared" si="185"/>
        <v>0</v>
      </c>
      <c r="S782" s="46">
        <f t="shared" si="186"/>
        <v>0</v>
      </c>
      <c r="T782" s="46">
        <f>IFERROR(VLOOKUP(A782,'[1]Re-order'!$A:$Q,17,0),"")</f>
        <v>5.1030927835051543</v>
      </c>
      <c r="U782" s="46">
        <f>IFERROR(VLOOKUP(A782,'[1]MC Masterlist 2026-09-12'!$B:$M, 10, 0),0)</f>
        <v>15</v>
      </c>
      <c r="V782" s="46">
        <f>IFERROR(VLOOKUP(A782,'[1]MC Masterlist 2026-09-12'!$B:$M, 11, 0),0)</f>
        <v>15</v>
      </c>
      <c r="W782" s="46">
        <f t="shared" si="187"/>
        <v>30</v>
      </c>
      <c r="X782" s="46">
        <f t="shared" si="188"/>
        <v>29.333333333333332</v>
      </c>
      <c r="Y782" s="46">
        <f>IFERROR(IF(OR(C782="AREA I",C782="AREA V"),7,VLOOKUP(A782,'[1]MC Masterlist 2026-09-12'!$B:$M, 12, 0)),0)</f>
        <v>30</v>
      </c>
      <c r="Z782" s="46">
        <f t="shared" si="189"/>
        <v>0.66666666666666663</v>
      </c>
      <c r="AA782" s="46">
        <f t="shared" si="190"/>
        <v>1.3333333333333333</v>
      </c>
      <c r="AB782" s="46">
        <f t="shared" si="191"/>
        <v>1.3037037037037036</v>
      </c>
      <c r="AC782" s="46">
        <f t="shared" si="192"/>
        <v>1.3333333333333333</v>
      </c>
      <c r="AD782" s="44" t="str">
        <f t="shared" si="193"/>
        <v>Stockout</v>
      </c>
      <c r="AE782" s="44" t="str">
        <f>IFERROR(VLOOKUP(A782,'[1]Re-order'!$A:$AA,27,0),"")</f>
        <v>Stockout</v>
      </c>
      <c r="AF782" s="46">
        <f t="shared" si="194"/>
        <v>1.3333333333333333</v>
      </c>
      <c r="AG782" s="46">
        <f>SUMIFS('[1]Raw Inventory'!D:D,'[1]Raw Inventory'!C:C,"GREATWALL",'[1]Raw Inventory'!B:B,A782)</f>
        <v>1</v>
      </c>
      <c r="AH782" s="46">
        <f>SUMIFS('[1]Raw Inventory'!D:D,'[1]Raw Inventory'!C:C,"DUARTE",'[1]Raw Inventory'!B:B,A782)</f>
        <v>0</v>
      </c>
      <c r="AI782" s="46"/>
      <c r="AJ782" s="46"/>
      <c r="AK782" s="43"/>
      <c r="AL782" s="43"/>
      <c r="AM782" s="43"/>
      <c r="AN782" s="43"/>
      <c r="AO782" s="43"/>
      <c r="AP782" s="43"/>
      <c r="AQ782" s="43"/>
      <c r="AR782" s="43"/>
      <c r="AS782" s="43"/>
      <c r="AT782" s="43"/>
    </row>
    <row r="783" spans="1:46">
      <c r="A783" s="43" t="s">
        <v>107</v>
      </c>
      <c r="B783" s="43" t="s">
        <v>160</v>
      </c>
      <c r="C783" s="43" t="s">
        <v>159</v>
      </c>
      <c r="D783" s="44" t="s">
        <v>262</v>
      </c>
      <c r="E783" s="44">
        <v>15</v>
      </c>
      <c r="F783" s="44" t="s">
        <v>2</v>
      </c>
      <c r="G783" s="43" t="str">
        <f>IFERROR(VLOOKUP(A783,'[1]MC Masterlist 2026-09-12'!$B:$M, 3, 0),"")</f>
        <v>SUZUKI</v>
      </c>
      <c r="H783" s="45">
        <f>IFERROR(VLOOKUP(A783,'[1]MC Masterlist 2026-09-12'!$B:$M, 6, 0),"")</f>
        <v>89662</v>
      </c>
      <c r="I783" s="46">
        <v>0</v>
      </c>
      <c r="J783" s="46">
        <v>0</v>
      </c>
      <c r="K783" s="46">
        <v>2</v>
      </c>
      <c r="L783" s="46">
        <f t="shared" si="180"/>
        <v>2</v>
      </c>
      <c r="M783" s="46">
        <f t="shared" si="181"/>
        <v>0.66666666666666663</v>
      </c>
      <c r="N783" s="45">
        <f t="shared" si="182"/>
        <v>179324</v>
      </c>
      <c r="O783" s="45">
        <f t="shared" si="183"/>
        <v>59774.666666666664</v>
      </c>
      <c r="P783" s="46">
        <f t="shared" si="184"/>
        <v>2.222222222222222E-2</v>
      </c>
      <c r="Q783" s="46">
        <v>2</v>
      </c>
      <c r="R783" s="45">
        <f t="shared" si="185"/>
        <v>179324</v>
      </c>
      <c r="S783" s="46">
        <f t="shared" si="186"/>
        <v>90</v>
      </c>
      <c r="T783" s="46">
        <f>IFERROR(VLOOKUP(A783,'[1]Re-order'!$A:$Q,17,0),"")</f>
        <v>112.5</v>
      </c>
      <c r="U783" s="46">
        <f>IFERROR(VLOOKUP(A783,'[1]MC Masterlist 2026-09-12'!$B:$M, 10, 0),0)</f>
        <v>15</v>
      </c>
      <c r="V783" s="46">
        <f>IFERROR(VLOOKUP(A783,'[1]MC Masterlist 2026-09-12'!$B:$M, 11, 0),0)</f>
        <v>15</v>
      </c>
      <c r="W783" s="46">
        <f t="shared" si="187"/>
        <v>30</v>
      </c>
      <c r="X783" s="46">
        <f t="shared" si="188"/>
        <v>29.666666666666668</v>
      </c>
      <c r="Y783" s="46">
        <f>IFERROR(IF(OR(C783="AREA I",C783="AREA V"),7,VLOOKUP(A783,'[1]MC Masterlist 2026-09-12'!$B:$M, 12, 0)),0)</f>
        <v>30</v>
      </c>
      <c r="Z783" s="46">
        <f t="shared" si="189"/>
        <v>0.33333333333333331</v>
      </c>
      <c r="AA783" s="46">
        <f t="shared" si="190"/>
        <v>0.66666666666666663</v>
      </c>
      <c r="AB783" s="46">
        <f t="shared" si="191"/>
        <v>0.65925925925925921</v>
      </c>
      <c r="AC783" s="46">
        <f t="shared" si="192"/>
        <v>0.66666666666666663</v>
      </c>
      <c r="AD783" s="44" t="str">
        <f t="shared" si="193"/>
        <v>Over</v>
      </c>
      <c r="AE783" s="44" t="str">
        <f>IFERROR(VLOOKUP(A783,'[1]Re-order'!$A:$AA,27,0),"")</f>
        <v>Over</v>
      </c>
      <c r="AF783" s="46">
        <f t="shared" si="194"/>
        <v>-1.3333333333333335</v>
      </c>
      <c r="AG783" s="46">
        <f>SUMIFS('[1]Raw Inventory'!D:D,'[1]Raw Inventory'!C:C,"GREATWALL",'[1]Raw Inventory'!B:B,A783)</f>
        <v>0</v>
      </c>
      <c r="AH783" s="46">
        <f>SUMIFS('[1]Raw Inventory'!D:D,'[1]Raw Inventory'!C:C,"DUARTE",'[1]Raw Inventory'!B:B,A783)</f>
        <v>0</v>
      </c>
      <c r="AI783" s="46"/>
      <c r="AJ783" s="46"/>
      <c r="AK783" s="43"/>
      <c r="AL783" s="43"/>
      <c r="AM783" s="43"/>
      <c r="AN783" s="43"/>
      <c r="AO783" s="43"/>
      <c r="AP783" s="43"/>
      <c r="AQ783" s="43"/>
      <c r="AR783" s="43"/>
      <c r="AS783" s="43"/>
      <c r="AT783" s="43"/>
    </row>
    <row r="784" spans="1:46">
      <c r="A784" s="43" t="s">
        <v>64</v>
      </c>
      <c r="B784" s="43" t="s">
        <v>92</v>
      </c>
      <c r="C784" s="43" t="s">
        <v>90</v>
      </c>
      <c r="D784" s="44" t="s">
        <v>233</v>
      </c>
      <c r="E784" s="44">
        <v>10</v>
      </c>
      <c r="F784" s="44" t="s">
        <v>2</v>
      </c>
      <c r="G784" s="43" t="str">
        <f>IFERROR(VLOOKUP(A784,'[1]MC Masterlist 2026-09-12'!$B:$M, 3, 0),"")</f>
        <v>HONDA</v>
      </c>
      <c r="H784" s="45">
        <f>IFERROR(VLOOKUP(A784,'[1]MC Masterlist 2026-09-12'!$B:$M, 6, 0),"")</f>
        <v>73170</v>
      </c>
      <c r="I784" s="46">
        <v>1</v>
      </c>
      <c r="J784" s="46">
        <v>2</v>
      </c>
      <c r="K784" s="46">
        <v>0</v>
      </c>
      <c r="L784" s="46">
        <f t="shared" si="180"/>
        <v>3</v>
      </c>
      <c r="M784" s="46">
        <f t="shared" si="181"/>
        <v>1</v>
      </c>
      <c r="N784" s="45">
        <f t="shared" si="182"/>
        <v>219510</v>
      </c>
      <c r="O784" s="45">
        <f t="shared" si="183"/>
        <v>73170</v>
      </c>
      <c r="P784" s="46">
        <f t="shared" si="184"/>
        <v>3.3333333333333333E-2</v>
      </c>
      <c r="Q784" s="46">
        <v>4</v>
      </c>
      <c r="R784" s="45">
        <f t="shared" si="185"/>
        <v>292680</v>
      </c>
      <c r="S784" s="46">
        <f t="shared" si="186"/>
        <v>120</v>
      </c>
      <c r="T784" s="46">
        <f>IFERROR(VLOOKUP(A784,'[1]Re-order'!$A:$Q,17,0),"")</f>
        <v>76.153846153846146</v>
      </c>
      <c r="U784" s="46">
        <f>IFERROR(VLOOKUP(A784,'[1]MC Masterlist 2026-09-12'!$B:$M, 10, 0),0)</f>
        <v>15</v>
      </c>
      <c r="V784" s="46">
        <f>IFERROR(VLOOKUP(A784,'[1]MC Masterlist 2026-09-12'!$B:$M, 11, 0),0)</f>
        <v>15</v>
      </c>
      <c r="W784" s="46">
        <f t="shared" si="187"/>
        <v>30</v>
      </c>
      <c r="X784" s="46">
        <f t="shared" si="188"/>
        <v>29.5</v>
      </c>
      <c r="Y784" s="46">
        <f>IFERROR(IF(OR(C784="AREA I",C784="AREA V"),7,VLOOKUP(A784,'[1]MC Masterlist 2026-09-12'!$B:$M, 12, 0)),0)</f>
        <v>30</v>
      </c>
      <c r="Z784" s="46">
        <f t="shared" si="189"/>
        <v>0.5</v>
      </c>
      <c r="AA784" s="46">
        <f t="shared" si="190"/>
        <v>1</v>
      </c>
      <c r="AB784" s="46">
        <f t="shared" si="191"/>
        <v>0.98333333333333328</v>
      </c>
      <c r="AC784" s="46">
        <f t="shared" si="192"/>
        <v>1</v>
      </c>
      <c r="AD784" s="44" t="str">
        <f t="shared" si="193"/>
        <v>Over</v>
      </c>
      <c r="AE784" s="44" t="str">
        <f>IFERROR(VLOOKUP(A784,'[1]Re-order'!$A:$AA,27,0),"")</f>
        <v/>
      </c>
      <c r="AF784" s="46">
        <f t="shared" si="194"/>
        <v>-3</v>
      </c>
      <c r="AG784" s="46">
        <f>SUMIFS('[1]Raw Inventory'!D:D,'[1]Raw Inventory'!C:C,"GREATWALL",'[1]Raw Inventory'!B:B,A784)</f>
        <v>13</v>
      </c>
      <c r="AH784" s="46">
        <f>SUMIFS('[1]Raw Inventory'!D:D,'[1]Raw Inventory'!C:C,"DUARTE",'[1]Raw Inventory'!B:B,A784)</f>
        <v>0</v>
      </c>
      <c r="AI784" s="46"/>
      <c r="AJ784" s="46"/>
      <c r="AK784" s="43"/>
      <c r="AL784" s="43"/>
      <c r="AM784" s="43"/>
      <c r="AN784" s="43"/>
      <c r="AO784" s="43"/>
      <c r="AP784" s="43"/>
      <c r="AQ784" s="43"/>
      <c r="AR784" s="43"/>
      <c r="AS784" s="43"/>
      <c r="AT784" s="43"/>
    </row>
    <row r="785" spans="1:46">
      <c r="A785" s="43" t="s">
        <v>17</v>
      </c>
      <c r="B785" s="43" t="s">
        <v>143</v>
      </c>
      <c r="C785" s="43" t="s">
        <v>137</v>
      </c>
      <c r="D785" s="44" t="s">
        <v>234</v>
      </c>
      <c r="E785" s="44">
        <v>4</v>
      </c>
      <c r="F785" s="44" t="s">
        <v>0</v>
      </c>
      <c r="G785" s="43" t="str">
        <f>IFERROR(VLOOKUP(A785,'[1]MC Masterlist 2026-09-12'!$B:$M, 3, 0),"")</f>
        <v>HONDA</v>
      </c>
      <c r="H785" s="45">
        <f>IFERROR(VLOOKUP(A785,'[1]MC Masterlist 2026-09-12'!$B:$M, 6, 0),"")</f>
        <v>140790</v>
      </c>
      <c r="I785" s="46">
        <v>3</v>
      </c>
      <c r="J785" s="46">
        <v>4</v>
      </c>
      <c r="K785" s="46">
        <v>1</v>
      </c>
      <c r="L785" s="46">
        <f t="shared" si="180"/>
        <v>8</v>
      </c>
      <c r="M785" s="46">
        <f t="shared" si="181"/>
        <v>2.6666666666666665</v>
      </c>
      <c r="N785" s="45">
        <f t="shared" si="182"/>
        <v>1126320</v>
      </c>
      <c r="O785" s="45">
        <f t="shared" si="183"/>
        <v>375440</v>
      </c>
      <c r="P785" s="46">
        <f t="shared" si="184"/>
        <v>8.8888888888888878E-2</v>
      </c>
      <c r="Q785" s="46">
        <v>7</v>
      </c>
      <c r="R785" s="45">
        <f t="shared" si="185"/>
        <v>985530</v>
      </c>
      <c r="S785" s="46">
        <f t="shared" si="186"/>
        <v>78.75</v>
      </c>
      <c r="T785" s="46">
        <f>IFERROR(VLOOKUP(A785,'[1]Re-order'!$A:$Q,17,0),"")</f>
        <v>43.663366336633665</v>
      </c>
      <c r="U785" s="46">
        <f>IFERROR(VLOOKUP(A785,'[1]MC Masterlist 2026-09-12'!$B:$M, 10, 0),0)</f>
        <v>15</v>
      </c>
      <c r="V785" s="46">
        <f>IFERROR(VLOOKUP(A785,'[1]MC Masterlist 2026-09-12'!$B:$M, 11, 0),0)</f>
        <v>15</v>
      </c>
      <c r="W785" s="46">
        <f t="shared" si="187"/>
        <v>30</v>
      </c>
      <c r="X785" s="46">
        <f t="shared" si="188"/>
        <v>5.666666666666667</v>
      </c>
      <c r="Y785" s="46">
        <f>IFERROR(IF(OR(C785="AREA I",C785="AREA V"),7,VLOOKUP(A785,'[1]MC Masterlist 2026-09-12'!$B:$M, 12, 0)),0)</f>
        <v>7</v>
      </c>
      <c r="Z785" s="46">
        <f t="shared" si="189"/>
        <v>1.3333333333333333</v>
      </c>
      <c r="AA785" s="46">
        <f t="shared" si="190"/>
        <v>2.6666666666666665</v>
      </c>
      <c r="AB785" s="46">
        <f t="shared" si="191"/>
        <v>0.50370370370370365</v>
      </c>
      <c r="AC785" s="46">
        <f t="shared" si="192"/>
        <v>0.62222222222222212</v>
      </c>
      <c r="AD785" s="44" t="str">
        <f t="shared" si="193"/>
        <v>Over</v>
      </c>
      <c r="AE785" s="44" t="str">
        <f>IFERROR(VLOOKUP(A785,'[1]Re-order'!$A:$AA,27,0),"")</f>
        <v>Re-order</v>
      </c>
      <c r="AF785" s="46">
        <f t="shared" si="194"/>
        <v>-6.3777777777777782</v>
      </c>
      <c r="AG785" s="46">
        <f>SUMIFS('[1]Raw Inventory'!D:D,'[1]Raw Inventory'!C:C,"GREATWALL",'[1]Raw Inventory'!B:B,A785)</f>
        <v>12</v>
      </c>
      <c r="AH785" s="46">
        <f>SUMIFS('[1]Raw Inventory'!D:D,'[1]Raw Inventory'!C:C,"DUARTE",'[1]Raw Inventory'!B:B,A785)</f>
        <v>0</v>
      </c>
      <c r="AI785" s="46"/>
      <c r="AJ785" s="46"/>
      <c r="AK785" s="43"/>
      <c r="AL785" s="43"/>
      <c r="AM785" s="43"/>
      <c r="AN785" s="43"/>
      <c r="AO785" s="43"/>
      <c r="AP785" s="43"/>
      <c r="AQ785" s="43"/>
      <c r="AR785" s="43"/>
      <c r="AS785" s="43"/>
      <c r="AT785" s="43"/>
    </row>
    <row r="786" spans="1:46">
      <c r="A786" s="43" t="s">
        <v>31</v>
      </c>
      <c r="B786" s="43" t="s">
        <v>130</v>
      </c>
      <c r="C786" s="43" t="s">
        <v>128</v>
      </c>
      <c r="D786" s="44" t="s">
        <v>255</v>
      </c>
      <c r="E786" s="44">
        <v>15</v>
      </c>
      <c r="F786" s="44" t="s">
        <v>2</v>
      </c>
      <c r="G786" s="43" t="str">
        <f>IFERROR(VLOOKUP(A786,'[1]MC Masterlist 2026-09-12'!$B:$M, 3, 0),"")</f>
        <v>KAWASAKI</v>
      </c>
      <c r="H786" s="45">
        <f>IFERROR(VLOOKUP(A786,'[1]MC Masterlist 2026-09-12'!$B:$M, 6, 0),"")</f>
        <v>59528</v>
      </c>
      <c r="I786" s="46">
        <v>1</v>
      </c>
      <c r="J786" s="46">
        <v>4</v>
      </c>
      <c r="K786" s="46">
        <v>1</v>
      </c>
      <c r="L786" s="46">
        <f t="shared" si="180"/>
        <v>6</v>
      </c>
      <c r="M786" s="46">
        <f t="shared" si="181"/>
        <v>2</v>
      </c>
      <c r="N786" s="45">
        <f t="shared" si="182"/>
        <v>357168</v>
      </c>
      <c r="O786" s="45">
        <f t="shared" si="183"/>
        <v>119056</v>
      </c>
      <c r="P786" s="46">
        <f t="shared" si="184"/>
        <v>6.6666666666666666E-2</v>
      </c>
      <c r="Q786" s="46">
        <v>1</v>
      </c>
      <c r="R786" s="45">
        <f t="shared" si="185"/>
        <v>59528</v>
      </c>
      <c r="S786" s="46">
        <f t="shared" si="186"/>
        <v>15</v>
      </c>
      <c r="T786" s="46">
        <f>IFERROR(VLOOKUP(A786,'[1]Re-order'!$A:$Q,17,0),"")</f>
        <v>95.869565217391298</v>
      </c>
      <c r="U786" s="46">
        <f>IFERROR(VLOOKUP(A786,'[1]MC Masterlist 2026-09-12'!$B:$M, 10, 0),0)</f>
        <v>15</v>
      </c>
      <c r="V786" s="46">
        <f>IFERROR(VLOOKUP(A786,'[1]MC Masterlist 2026-09-12'!$B:$M, 11, 0),0)</f>
        <v>15</v>
      </c>
      <c r="W786" s="46">
        <f t="shared" si="187"/>
        <v>30</v>
      </c>
      <c r="X786" s="46">
        <f t="shared" si="188"/>
        <v>29</v>
      </c>
      <c r="Y786" s="46">
        <f>IFERROR(IF(OR(C786="AREA I",C786="AREA V"),7,VLOOKUP(A786,'[1]MC Masterlist 2026-09-12'!$B:$M, 12, 0)),0)</f>
        <v>30</v>
      </c>
      <c r="Z786" s="46">
        <f t="shared" si="189"/>
        <v>1</v>
      </c>
      <c r="AA786" s="46">
        <f t="shared" si="190"/>
        <v>2</v>
      </c>
      <c r="AB786" s="46">
        <f t="shared" si="191"/>
        <v>1.9333333333333333</v>
      </c>
      <c r="AC786" s="46">
        <f t="shared" si="192"/>
        <v>2</v>
      </c>
      <c r="AD786" s="44" t="str">
        <f t="shared" si="193"/>
        <v>Stockout</v>
      </c>
      <c r="AE786" s="44" t="str">
        <f>IFERROR(VLOOKUP(A786,'[1]Re-order'!$A:$AA,27,0),"")</f>
        <v>Over</v>
      </c>
      <c r="AF786" s="46">
        <f t="shared" si="194"/>
        <v>1</v>
      </c>
      <c r="AG786" s="46">
        <f>SUMIFS('[1]Raw Inventory'!D:D,'[1]Raw Inventory'!C:C,"GREATWALL",'[1]Raw Inventory'!B:B,A786)</f>
        <v>79</v>
      </c>
      <c r="AH786" s="46">
        <f>SUMIFS('[1]Raw Inventory'!D:D,'[1]Raw Inventory'!C:C,"DUARTE",'[1]Raw Inventory'!B:B,A786)</f>
        <v>0</v>
      </c>
      <c r="AI786" s="46"/>
      <c r="AJ786" s="46"/>
      <c r="AK786" s="43"/>
      <c r="AL786" s="43"/>
      <c r="AM786" s="43"/>
      <c r="AN786" s="43"/>
      <c r="AO786" s="43"/>
      <c r="AP786" s="43"/>
      <c r="AQ786" s="43"/>
      <c r="AR786" s="43"/>
      <c r="AS786" s="43"/>
      <c r="AT786" s="43"/>
    </row>
    <row r="787" spans="1:46">
      <c r="A787" s="43" t="s">
        <v>14</v>
      </c>
      <c r="B787" s="43" t="s">
        <v>93</v>
      </c>
      <c r="C787" s="43" t="s">
        <v>90</v>
      </c>
      <c r="D787" s="44" t="s">
        <v>227</v>
      </c>
      <c r="E787" s="44">
        <v>1</v>
      </c>
      <c r="F787" s="44" t="s">
        <v>0</v>
      </c>
      <c r="G787" s="43" t="str">
        <f>IFERROR(VLOOKUP(A787,'[1]MC Masterlist 2026-09-12'!$B:$M, 3, 0),"")</f>
        <v>HONDA</v>
      </c>
      <c r="H787" s="45">
        <f>IFERROR(VLOOKUP(A787,'[1]MC Masterlist 2026-09-12'!$B:$M, 6, 0),"")</f>
        <v>80070</v>
      </c>
      <c r="I787" s="46">
        <v>5</v>
      </c>
      <c r="J787" s="46">
        <v>7</v>
      </c>
      <c r="K787" s="46">
        <v>5</v>
      </c>
      <c r="L787" s="46">
        <f t="shared" si="180"/>
        <v>17</v>
      </c>
      <c r="M787" s="46">
        <f t="shared" si="181"/>
        <v>5.666666666666667</v>
      </c>
      <c r="N787" s="45">
        <f t="shared" si="182"/>
        <v>1361190</v>
      </c>
      <c r="O787" s="45">
        <f t="shared" si="183"/>
        <v>453730</v>
      </c>
      <c r="P787" s="46">
        <f t="shared" si="184"/>
        <v>0.18888888888888891</v>
      </c>
      <c r="Q787" s="46">
        <v>5</v>
      </c>
      <c r="R787" s="45">
        <f t="shared" si="185"/>
        <v>400350</v>
      </c>
      <c r="S787" s="46">
        <f t="shared" si="186"/>
        <v>26.470588235294116</v>
      </c>
      <c r="T787" s="46">
        <f>IFERROR(VLOOKUP(A787,'[1]Re-order'!$A:$Q,17,0),"")</f>
        <v>20.105787181082761</v>
      </c>
      <c r="U787" s="46">
        <f>IFERROR(VLOOKUP(A787,'[1]MC Masterlist 2026-09-12'!$B:$M, 10, 0),0)</f>
        <v>15</v>
      </c>
      <c r="V787" s="46">
        <f>IFERROR(VLOOKUP(A787,'[1]MC Masterlist 2026-09-12'!$B:$M, 11, 0),0)</f>
        <v>15</v>
      </c>
      <c r="W787" s="46">
        <f t="shared" si="187"/>
        <v>30</v>
      </c>
      <c r="X787" s="46">
        <f t="shared" si="188"/>
        <v>27.166666666666668</v>
      </c>
      <c r="Y787" s="46">
        <f>IFERROR(IF(OR(C787="AREA I",C787="AREA V"),7,VLOOKUP(A787,'[1]MC Masterlist 2026-09-12'!$B:$M, 12, 0)),0)</f>
        <v>30</v>
      </c>
      <c r="Z787" s="46">
        <f t="shared" si="189"/>
        <v>2.8333333333333335</v>
      </c>
      <c r="AA787" s="46">
        <f t="shared" si="190"/>
        <v>5.666666666666667</v>
      </c>
      <c r="AB787" s="46">
        <f t="shared" si="191"/>
        <v>5.1314814814814822</v>
      </c>
      <c r="AC787" s="46">
        <f t="shared" si="192"/>
        <v>5.666666666666667</v>
      </c>
      <c r="AD787" s="44" t="str">
        <f t="shared" si="193"/>
        <v>Re-order</v>
      </c>
      <c r="AE787" s="44" t="str">
        <f>IFERROR(VLOOKUP(A787,'[1]Re-order'!$A:$AA,27,0),"")</f>
        <v>Stockout</v>
      </c>
      <c r="AF787" s="46">
        <f t="shared" si="194"/>
        <v>0.66666666666666696</v>
      </c>
      <c r="AG787" s="46">
        <f>SUMIFS('[1]Raw Inventory'!D:D,'[1]Raw Inventory'!C:C,"GREATWALL",'[1]Raw Inventory'!B:B,A787)</f>
        <v>176</v>
      </c>
      <c r="AH787" s="46">
        <f>SUMIFS('[1]Raw Inventory'!D:D,'[1]Raw Inventory'!C:C,"DUARTE",'[1]Raw Inventory'!B:B,A787)</f>
        <v>0</v>
      </c>
      <c r="AI787" s="46"/>
      <c r="AJ787" s="46"/>
      <c r="AK787" s="43"/>
      <c r="AL787" s="43"/>
      <c r="AM787" s="43"/>
      <c r="AN787" s="43"/>
      <c r="AO787" s="43"/>
      <c r="AP787" s="43"/>
      <c r="AQ787" s="43"/>
      <c r="AR787" s="43"/>
      <c r="AS787" s="43"/>
      <c r="AT787" s="43"/>
    </row>
    <row r="788" spans="1:46">
      <c r="A788" s="43" t="s">
        <v>12</v>
      </c>
      <c r="B788" s="43" t="s">
        <v>97</v>
      </c>
      <c r="C788" s="43" t="s">
        <v>90</v>
      </c>
      <c r="D788" s="44" t="s">
        <v>229</v>
      </c>
      <c r="E788" s="44">
        <v>17</v>
      </c>
      <c r="F788" s="44" t="s">
        <v>3</v>
      </c>
      <c r="G788" s="43" t="str">
        <f>IFERROR(VLOOKUP(A788,'[1]MC Masterlist 2026-09-12'!$B:$M, 3, 0),"")</f>
        <v>HONDA</v>
      </c>
      <c r="H788" s="45">
        <f>IFERROR(VLOOKUP(A788,'[1]MC Masterlist 2026-09-12'!$B:$M, 6, 0),"")</f>
        <v>158270</v>
      </c>
      <c r="I788" s="46">
        <v>0</v>
      </c>
      <c r="J788" s="46">
        <v>0</v>
      </c>
      <c r="K788" s="46">
        <v>0</v>
      </c>
      <c r="L788" s="46">
        <f t="shared" si="180"/>
        <v>0</v>
      </c>
      <c r="M788" s="46">
        <f t="shared" si="181"/>
        <v>0</v>
      </c>
      <c r="N788" s="45">
        <f t="shared" si="182"/>
        <v>0</v>
      </c>
      <c r="O788" s="45">
        <f t="shared" si="183"/>
        <v>0</v>
      </c>
      <c r="P788" s="46">
        <f t="shared" si="184"/>
        <v>0</v>
      </c>
      <c r="Q788" s="46">
        <v>1</v>
      </c>
      <c r="R788" s="45">
        <f t="shared" si="185"/>
        <v>158270</v>
      </c>
      <c r="S788" s="46">
        <f t="shared" si="186"/>
        <v>0</v>
      </c>
      <c r="T788" s="46">
        <f>IFERROR(VLOOKUP(A788,'[1]Re-order'!$A:$Q,17,0),"")</f>
        <v>46.461038961038959</v>
      </c>
      <c r="U788" s="46">
        <f>IFERROR(VLOOKUP(A788,'[1]MC Masterlist 2026-09-12'!$B:$M, 10, 0),0)</f>
        <v>15</v>
      </c>
      <c r="V788" s="46">
        <f>IFERROR(VLOOKUP(A788,'[1]MC Masterlist 2026-09-12'!$B:$M, 11, 0),0)</f>
        <v>15</v>
      </c>
      <c r="W788" s="46">
        <f t="shared" si="187"/>
        <v>30</v>
      </c>
      <c r="X788" s="46">
        <f t="shared" si="188"/>
        <v>30</v>
      </c>
      <c r="Y788" s="46">
        <f>IFERROR(IF(OR(C788="AREA I",C788="AREA V"),7,VLOOKUP(A788,'[1]MC Masterlist 2026-09-12'!$B:$M, 12, 0)),0)</f>
        <v>30</v>
      </c>
      <c r="Z788" s="46">
        <f t="shared" si="189"/>
        <v>0</v>
      </c>
      <c r="AA788" s="46">
        <f t="shared" si="190"/>
        <v>0</v>
      </c>
      <c r="AB788" s="46">
        <f t="shared" si="191"/>
        <v>0</v>
      </c>
      <c r="AC788" s="46">
        <f t="shared" si="192"/>
        <v>0</v>
      </c>
      <c r="AD788" s="44" t="str">
        <f t="shared" si="193"/>
        <v>Over</v>
      </c>
      <c r="AE788" s="44" t="str">
        <f>IFERROR(VLOOKUP(A788,'[1]Re-order'!$A:$AA,27,0),"")</f>
        <v>Re-order</v>
      </c>
      <c r="AF788" s="46">
        <f t="shared" si="194"/>
        <v>-1</v>
      </c>
      <c r="AG788" s="46">
        <f>SUMIFS('[1]Raw Inventory'!D:D,'[1]Raw Inventory'!C:C,"GREATWALL",'[1]Raw Inventory'!B:B,A788)</f>
        <v>35</v>
      </c>
      <c r="AH788" s="46">
        <f>SUMIFS('[1]Raw Inventory'!D:D,'[1]Raw Inventory'!C:C,"DUARTE",'[1]Raw Inventory'!B:B,A788)</f>
        <v>0</v>
      </c>
      <c r="AI788" s="46"/>
      <c r="AJ788" s="46"/>
      <c r="AK788" s="43"/>
      <c r="AL788" s="43"/>
      <c r="AM788" s="43"/>
      <c r="AN788" s="43"/>
      <c r="AO788" s="43"/>
      <c r="AP788" s="43"/>
      <c r="AQ788" s="43"/>
      <c r="AR788" s="43"/>
      <c r="AS788" s="43"/>
      <c r="AT788" s="43"/>
    </row>
    <row r="789" spans="1:46">
      <c r="A789" s="43" t="s">
        <v>42</v>
      </c>
      <c r="B789" s="43" t="s">
        <v>132</v>
      </c>
      <c r="C789" s="43" t="s">
        <v>128</v>
      </c>
      <c r="D789" s="44" t="s">
        <v>223</v>
      </c>
      <c r="E789" s="44">
        <v>21</v>
      </c>
      <c r="F789" s="44" t="s">
        <v>3</v>
      </c>
      <c r="G789" s="43" t="str">
        <f>IFERROR(VLOOKUP(A789,'[1]MC Masterlist 2026-09-12'!$B:$M, 3, 0),"")</f>
        <v>YAMAHA</v>
      </c>
      <c r="H789" s="45">
        <f>IFERROR(VLOOKUP(A789,'[1]MC Masterlist 2026-09-12'!$B:$M, 6, 0),"")</f>
        <v>152892</v>
      </c>
      <c r="I789" s="46">
        <v>0</v>
      </c>
      <c r="J789" s="46">
        <v>0</v>
      </c>
      <c r="K789" s="46">
        <v>1</v>
      </c>
      <c r="L789" s="46">
        <f t="shared" si="180"/>
        <v>1</v>
      </c>
      <c r="M789" s="46">
        <f t="shared" si="181"/>
        <v>0.33333333333333331</v>
      </c>
      <c r="N789" s="45">
        <f t="shared" si="182"/>
        <v>152892</v>
      </c>
      <c r="O789" s="45">
        <f t="shared" si="183"/>
        <v>50964</v>
      </c>
      <c r="P789" s="46">
        <f t="shared" si="184"/>
        <v>1.111111111111111E-2</v>
      </c>
      <c r="Q789" s="46">
        <v>3</v>
      </c>
      <c r="R789" s="45">
        <f t="shared" si="185"/>
        <v>458676</v>
      </c>
      <c r="S789" s="46">
        <f t="shared" si="186"/>
        <v>270</v>
      </c>
      <c r="T789" s="46">
        <f>IFERROR(VLOOKUP(A789,'[1]Re-order'!$A:$Q,17,0),"")</f>
        <v>104.55882352941177</v>
      </c>
      <c r="U789" s="46">
        <f>IFERROR(VLOOKUP(A789,'[1]MC Masterlist 2026-09-12'!$B:$M, 10, 0),0)</f>
        <v>15</v>
      </c>
      <c r="V789" s="46">
        <f>IFERROR(VLOOKUP(A789,'[1]MC Masterlist 2026-09-12'!$B:$M, 11, 0),0)</f>
        <v>15</v>
      </c>
      <c r="W789" s="46">
        <f t="shared" si="187"/>
        <v>30</v>
      </c>
      <c r="X789" s="46">
        <f t="shared" si="188"/>
        <v>29.833333333333332</v>
      </c>
      <c r="Y789" s="46">
        <f>IFERROR(IF(OR(C789="AREA I",C789="AREA V"),7,VLOOKUP(A789,'[1]MC Masterlist 2026-09-12'!$B:$M, 12, 0)),0)</f>
        <v>30</v>
      </c>
      <c r="Z789" s="46">
        <f t="shared" si="189"/>
        <v>0.16666666666666666</v>
      </c>
      <c r="AA789" s="46">
        <f t="shared" si="190"/>
        <v>0.33333333333333331</v>
      </c>
      <c r="AB789" s="46">
        <f t="shared" si="191"/>
        <v>0.33148148148148143</v>
      </c>
      <c r="AC789" s="46">
        <f t="shared" si="192"/>
        <v>0.33333333333333331</v>
      </c>
      <c r="AD789" s="44" t="str">
        <f t="shared" si="193"/>
        <v>Over</v>
      </c>
      <c r="AE789" s="44" t="str">
        <f>IFERROR(VLOOKUP(A789,'[1]Re-order'!$A:$AA,27,0),"")</f>
        <v>Over</v>
      </c>
      <c r="AF789" s="46">
        <f t="shared" si="194"/>
        <v>-2.6666666666666665</v>
      </c>
      <c r="AG789" s="46">
        <f>SUMIFS('[1]Raw Inventory'!D:D,'[1]Raw Inventory'!C:C,"GREATWALL",'[1]Raw Inventory'!B:B,A789)</f>
        <v>3</v>
      </c>
      <c r="AH789" s="46">
        <f>SUMIFS('[1]Raw Inventory'!D:D,'[1]Raw Inventory'!C:C,"DUARTE",'[1]Raw Inventory'!B:B,A789)</f>
        <v>0</v>
      </c>
      <c r="AI789" s="46"/>
      <c r="AJ789" s="46"/>
      <c r="AK789" s="43"/>
      <c r="AL789" s="43"/>
      <c r="AM789" s="43"/>
      <c r="AN789" s="43"/>
      <c r="AO789" s="43"/>
      <c r="AP789" s="43"/>
      <c r="AQ789" s="43"/>
      <c r="AR789" s="43"/>
      <c r="AS789" s="43"/>
      <c r="AT789" s="43"/>
    </row>
    <row r="790" spans="1:46">
      <c r="A790" s="43" t="s">
        <v>14</v>
      </c>
      <c r="B790" s="43" t="s">
        <v>116</v>
      </c>
      <c r="C790" s="43" t="s">
        <v>109</v>
      </c>
      <c r="D790" s="44" t="s">
        <v>238</v>
      </c>
      <c r="E790" s="44">
        <v>2</v>
      </c>
      <c r="F790" s="44" t="s">
        <v>0</v>
      </c>
      <c r="G790" s="43" t="str">
        <f>IFERROR(VLOOKUP(A790,'[1]MC Masterlist 2026-09-12'!$B:$M, 3, 0),"")</f>
        <v>HONDA</v>
      </c>
      <c r="H790" s="45">
        <f>IFERROR(VLOOKUP(A790,'[1]MC Masterlist 2026-09-12'!$B:$M, 6, 0),"")</f>
        <v>80070</v>
      </c>
      <c r="I790" s="46">
        <v>0</v>
      </c>
      <c r="J790" s="46">
        <v>0</v>
      </c>
      <c r="K790" s="46">
        <v>4</v>
      </c>
      <c r="L790" s="46">
        <f t="shared" si="180"/>
        <v>4</v>
      </c>
      <c r="M790" s="46">
        <f t="shared" si="181"/>
        <v>1.3333333333333333</v>
      </c>
      <c r="N790" s="45">
        <f t="shared" si="182"/>
        <v>320280</v>
      </c>
      <c r="O790" s="45">
        <f t="shared" si="183"/>
        <v>106760</v>
      </c>
      <c r="P790" s="46">
        <f t="shared" si="184"/>
        <v>4.4444444444444439E-2</v>
      </c>
      <c r="Q790" s="46">
        <v>4</v>
      </c>
      <c r="R790" s="45">
        <f t="shared" si="185"/>
        <v>320280</v>
      </c>
      <c r="S790" s="46">
        <f t="shared" si="186"/>
        <v>90</v>
      </c>
      <c r="T790" s="46">
        <f>IFERROR(VLOOKUP(A790,'[1]Re-order'!$A:$Q,17,0),"")</f>
        <v>20.105787181082761</v>
      </c>
      <c r="U790" s="46">
        <f>IFERROR(VLOOKUP(A790,'[1]MC Masterlist 2026-09-12'!$B:$M, 10, 0),0)</f>
        <v>15</v>
      </c>
      <c r="V790" s="46">
        <f>IFERROR(VLOOKUP(A790,'[1]MC Masterlist 2026-09-12'!$B:$M, 11, 0),0)</f>
        <v>15</v>
      </c>
      <c r="W790" s="46">
        <f t="shared" si="187"/>
        <v>30</v>
      </c>
      <c r="X790" s="46">
        <f t="shared" si="188"/>
        <v>29.333333333333332</v>
      </c>
      <c r="Y790" s="46">
        <f>IFERROR(IF(OR(C790="AREA I",C790="AREA V"),7,VLOOKUP(A790,'[1]MC Masterlist 2026-09-12'!$B:$M, 12, 0)),0)</f>
        <v>30</v>
      </c>
      <c r="Z790" s="46">
        <f t="shared" si="189"/>
        <v>0.66666666666666663</v>
      </c>
      <c r="AA790" s="46">
        <f t="shared" si="190"/>
        <v>1.3333333333333333</v>
      </c>
      <c r="AB790" s="46">
        <f t="shared" si="191"/>
        <v>1.3037037037037036</v>
      </c>
      <c r="AC790" s="46">
        <f t="shared" si="192"/>
        <v>1.3333333333333333</v>
      </c>
      <c r="AD790" s="44" t="str">
        <f t="shared" si="193"/>
        <v>Over</v>
      </c>
      <c r="AE790" s="44" t="str">
        <f>IFERROR(VLOOKUP(A790,'[1]Re-order'!$A:$AA,27,0),"")</f>
        <v>Stockout</v>
      </c>
      <c r="AF790" s="46">
        <f t="shared" si="194"/>
        <v>-2.666666666666667</v>
      </c>
      <c r="AG790" s="46">
        <f>SUMIFS('[1]Raw Inventory'!D:D,'[1]Raw Inventory'!C:C,"GREATWALL",'[1]Raw Inventory'!B:B,A790)</f>
        <v>176</v>
      </c>
      <c r="AH790" s="46">
        <f>SUMIFS('[1]Raw Inventory'!D:D,'[1]Raw Inventory'!C:C,"DUARTE",'[1]Raw Inventory'!B:B,A790)</f>
        <v>0</v>
      </c>
      <c r="AI790" s="46"/>
      <c r="AJ790" s="46"/>
      <c r="AK790" s="43"/>
      <c r="AL790" s="43"/>
      <c r="AM790" s="43"/>
      <c r="AN790" s="43"/>
      <c r="AO790" s="43"/>
      <c r="AP790" s="43"/>
      <c r="AQ790" s="43"/>
      <c r="AR790" s="43"/>
      <c r="AS790" s="43"/>
      <c r="AT790" s="43"/>
    </row>
    <row r="791" spans="1:46">
      <c r="A791" s="43" t="s">
        <v>71</v>
      </c>
      <c r="B791" s="43" t="s">
        <v>144</v>
      </c>
      <c r="C791" s="43" t="s">
        <v>137</v>
      </c>
      <c r="D791" s="44" t="s">
        <v>260</v>
      </c>
      <c r="E791" s="44">
        <v>33</v>
      </c>
      <c r="F791" s="44" t="s">
        <v>3</v>
      </c>
      <c r="G791" s="43" t="str">
        <f>IFERROR(VLOOKUP(A791,'[1]MC Masterlist 2026-09-12'!$B:$M, 3, 0),"")</f>
        <v>SUZUKI</v>
      </c>
      <c r="H791" s="45">
        <f>IFERROR(VLOOKUP(A791,'[1]MC Masterlist 2026-09-12'!$B:$M, 6, 0),"")</f>
        <v>156250</v>
      </c>
      <c r="I791" s="46">
        <v>0</v>
      </c>
      <c r="J791" s="46">
        <v>0</v>
      </c>
      <c r="K791" s="46">
        <v>0</v>
      </c>
      <c r="L791" s="46">
        <f t="shared" si="180"/>
        <v>0</v>
      </c>
      <c r="M791" s="46">
        <f t="shared" si="181"/>
        <v>0</v>
      </c>
      <c r="N791" s="45">
        <f t="shared" si="182"/>
        <v>0</v>
      </c>
      <c r="O791" s="45">
        <f t="shared" si="183"/>
        <v>0</v>
      </c>
      <c r="P791" s="46">
        <f t="shared" si="184"/>
        <v>0</v>
      </c>
      <c r="Q791" s="46">
        <v>1</v>
      </c>
      <c r="R791" s="45">
        <f t="shared" si="185"/>
        <v>156250</v>
      </c>
      <c r="S791" s="46">
        <f t="shared" si="186"/>
        <v>0</v>
      </c>
      <c r="T791" s="46">
        <f>IFERROR(VLOOKUP(A791,'[1]Re-order'!$A:$Q,17,0),"")</f>
        <v>612</v>
      </c>
      <c r="U791" s="46">
        <f>IFERROR(VLOOKUP(A791,'[1]MC Masterlist 2026-09-12'!$B:$M, 10, 0),0)</f>
        <v>15</v>
      </c>
      <c r="V791" s="46">
        <f>IFERROR(VLOOKUP(A791,'[1]MC Masterlist 2026-09-12'!$B:$M, 11, 0),0)</f>
        <v>15</v>
      </c>
      <c r="W791" s="46">
        <f t="shared" si="187"/>
        <v>30</v>
      </c>
      <c r="X791" s="46">
        <f t="shared" si="188"/>
        <v>7</v>
      </c>
      <c r="Y791" s="46">
        <f>IFERROR(IF(OR(C791="AREA I",C791="AREA V"),7,VLOOKUP(A791,'[1]MC Masterlist 2026-09-12'!$B:$M, 12, 0)),0)</f>
        <v>7</v>
      </c>
      <c r="Z791" s="46">
        <f t="shared" si="189"/>
        <v>0</v>
      </c>
      <c r="AA791" s="46">
        <f t="shared" si="190"/>
        <v>0</v>
      </c>
      <c r="AB791" s="46">
        <f t="shared" si="191"/>
        <v>0</v>
      </c>
      <c r="AC791" s="46">
        <f t="shared" si="192"/>
        <v>0</v>
      </c>
      <c r="AD791" s="44" t="str">
        <f t="shared" si="193"/>
        <v>Over</v>
      </c>
      <c r="AE791" s="44" t="str">
        <f>IFERROR(VLOOKUP(A791,'[1]Re-order'!$A:$AA,27,0),"")</f>
        <v>Over</v>
      </c>
      <c r="AF791" s="46">
        <f t="shared" si="194"/>
        <v>-1</v>
      </c>
      <c r="AG791" s="46">
        <f>SUMIFS('[1]Raw Inventory'!D:D,'[1]Raw Inventory'!C:C,"GREATWALL",'[1]Raw Inventory'!B:B,A791)</f>
        <v>13</v>
      </c>
      <c r="AH791" s="46">
        <f>SUMIFS('[1]Raw Inventory'!D:D,'[1]Raw Inventory'!C:C,"DUARTE",'[1]Raw Inventory'!B:B,A791)</f>
        <v>0</v>
      </c>
      <c r="AI791" s="46"/>
      <c r="AJ791" s="46"/>
      <c r="AK791" s="43"/>
      <c r="AL791" s="43"/>
      <c r="AM791" s="43"/>
      <c r="AN791" s="43"/>
      <c r="AO791" s="43"/>
      <c r="AP791" s="43"/>
      <c r="AQ791" s="43"/>
      <c r="AR791" s="43"/>
      <c r="AS791" s="43"/>
      <c r="AT791" s="43"/>
    </row>
    <row r="792" spans="1:46">
      <c r="A792" s="43" t="s">
        <v>175</v>
      </c>
      <c r="B792" s="43" t="s">
        <v>30</v>
      </c>
      <c r="C792" s="43" t="s">
        <v>1</v>
      </c>
      <c r="D792" s="44" t="s">
        <v>232</v>
      </c>
      <c r="E792" s="44">
        <v>37</v>
      </c>
      <c r="F792" s="44" t="s">
        <v>3</v>
      </c>
      <c r="G792" s="43" t="str">
        <f>IFERROR(VLOOKUP(A792,'[1]MC Masterlist 2026-09-12'!$B:$M, 3, 0),"")</f>
        <v>KAWASAKI</v>
      </c>
      <c r="H792" s="45">
        <f>IFERROR(VLOOKUP(A792,'[1]MC Masterlist 2026-09-12'!$B:$M, 6, 0),"")</f>
        <v>73158</v>
      </c>
      <c r="I792" s="46">
        <v>0</v>
      </c>
      <c r="J792" s="46">
        <v>0</v>
      </c>
      <c r="K792" s="46">
        <v>0</v>
      </c>
      <c r="L792" s="46">
        <f t="shared" si="180"/>
        <v>0</v>
      </c>
      <c r="M792" s="46">
        <f t="shared" si="181"/>
        <v>0</v>
      </c>
      <c r="N792" s="45">
        <f t="shared" si="182"/>
        <v>0</v>
      </c>
      <c r="O792" s="45">
        <f t="shared" si="183"/>
        <v>0</v>
      </c>
      <c r="P792" s="46">
        <f t="shared" si="184"/>
        <v>0</v>
      </c>
      <c r="Q792" s="46">
        <v>1</v>
      </c>
      <c r="R792" s="45">
        <f t="shared" si="185"/>
        <v>73158</v>
      </c>
      <c r="S792" s="46">
        <f t="shared" si="186"/>
        <v>0</v>
      </c>
      <c r="T792" s="46" t="str">
        <f>IFERROR(VLOOKUP(A792,'[1]Re-order'!$A:$Q,17,0),"")</f>
        <v/>
      </c>
      <c r="U792" s="46">
        <f>IFERROR(VLOOKUP(A792,'[1]MC Masterlist 2026-09-12'!$B:$M, 10, 0),0)</f>
        <v>15</v>
      </c>
      <c r="V792" s="46">
        <f>IFERROR(VLOOKUP(A792,'[1]MC Masterlist 2026-09-12'!$B:$M, 11, 0),0)</f>
        <v>15</v>
      </c>
      <c r="W792" s="46">
        <f t="shared" si="187"/>
        <v>30</v>
      </c>
      <c r="X792" s="46">
        <f t="shared" si="188"/>
        <v>7</v>
      </c>
      <c r="Y792" s="46">
        <f>IFERROR(IF(OR(C792="AREA I",C792="AREA V"),7,VLOOKUP(A792,'[1]MC Masterlist 2026-09-12'!$B:$M, 12, 0)),0)</f>
        <v>7</v>
      </c>
      <c r="Z792" s="46">
        <f t="shared" si="189"/>
        <v>0</v>
      </c>
      <c r="AA792" s="46">
        <f t="shared" si="190"/>
        <v>0</v>
      </c>
      <c r="AB792" s="46">
        <f t="shared" si="191"/>
        <v>0</v>
      </c>
      <c r="AC792" s="46">
        <f t="shared" si="192"/>
        <v>0</v>
      </c>
      <c r="AD792" s="44" t="str">
        <f t="shared" si="193"/>
        <v>Over</v>
      </c>
      <c r="AE792" s="44" t="str">
        <f>IFERROR(VLOOKUP(A792,'[1]Re-order'!$A:$AA,27,0),"")</f>
        <v>Over</v>
      </c>
      <c r="AF792" s="46">
        <f t="shared" si="194"/>
        <v>-1</v>
      </c>
      <c r="AG792" s="46">
        <f>SUMIFS('[1]Raw Inventory'!D:D,'[1]Raw Inventory'!C:C,"GREATWALL",'[1]Raw Inventory'!B:B,A792)</f>
        <v>0</v>
      </c>
      <c r="AH792" s="46">
        <f>SUMIFS('[1]Raw Inventory'!D:D,'[1]Raw Inventory'!C:C,"DUARTE",'[1]Raw Inventory'!B:B,A792)</f>
        <v>0</v>
      </c>
      <c r="AI792" s="46"/>
      <c r="AJ792" s="46"/>
      <c r="AK792" s="43"/>
      <c r="AL792" s="43"/>
      <c r="AM792" s="43"/>
      <c r="AN792" s="43"/>
      <c r="AO792" s="43"/>
      <c r="AP792" s="43"/>
      <c r="AQ792" s="43"/>
      <c r="AR792" s="43"/>
      <c r="AS792" s="43"/>
      <c r="AT792" s="43"/>
    </row>
    <row r="793" spans="1:46">
      <c r="A793" s="43" t="s">
        <v>76</v>
      </c>
      <c r="B793" s="43" t="s">
        <v>27</v>
      </c>
      <c r="C793" s="43" t="s">
        <v>1</v>
      </c>
      <c r="D793" s="44" t="s">
        <v>226</v>
      </c>
      <c r="E793" s="44">
        <v>29</v>
      </c>
      <c r="F793" s="44" t="s">
        <v>3</v>
      </c>
      <c r="G793" s="43" t="str">
        <f>IFERROR(VLOOKUP(A793,'[1]MC Masterlist 2026-09-12'!$B:$M, 3, 0),"")</f>
        <v>SUZUKI</v>
      </c>
      <c r="H793" s="45">
        <f>IFERROR(VLOOKUP(A793,'[1]MC Masterlist 2026-09-12'!$B:$M, 6, 0),"")</f>
        <v>62692</v>
      </c>
      <c r="I793" s="46">
        <v>0</v>
      </c>
      <c r="J793" s="46">
        <v>1</v>
      </c>
      <c r="K793" s="46">
        <v>0</v>
      </c>
      <c r="L793" s="46">
        <f t="shared" si="180"/>
        <v>1</v>
      </c>
      <c r="M793" s="46">
        <f t="shared" si="181"/>
        <v>0.33333333333333331</v>
      </c>
      <c r="N793" s="45">
        <f t="shared" si="182"/>
        <v>62692</v>
      </c>
      <c r="O793" s="45">
        <f t="shared" si="183"/>
        <v>20897.333333333332</v>
      </c>
      <c r="P793" s="46">
        <f t="shared" si="184"/>
        <v>1.111111111111111E-2</v>
      </c>
      <c r="Q793" s="46">
        <v>2</v>
      </c>
      <c r="R793" s="45">
        <f t="shared" si="185"/>
        <v>125384</v>
      </c>
      <c r="S793" s="46">
        <f t="shared" si="186"/>
        <v>180</v>
      </c>
      <c r="T793" s="46">
        <f>IFERROR(VLOOKUP(A793,'[1]Re-order'!$A:$Q,17,0),"")</f>
        <v>106.36363636363636</v>
      </c>
      <c r="U793" s="46">
        <f>IFERROR(VLOOKUP(A793,'[1]MC Masterlist 2026-09-12'!$B:$M, 10, 0),0)</f>
        <v>15</v>
      </c>
      <c r="V793" s="46">
        <f>IFERROR(VLOOKUP(A793,'[1]MC Masterlist 2026-09-12'!$B:$M, 11, 0),0)</f>
        <v>15</v>
      </c>
      <c r="W793" s="46">
        <f t="shared" si="187"/>
        <v>30</v>
      </c>
      <c r="X793" s="46">
        <f t="shared" si="188"/>
        <v>6.833333333333333</v>
      </c>
      <c r="Y793" s="46">
        <f>IFERROR(IF(OR(C793="AREA I",C793="AREA V"),7,VLOOKUP(A793,'[1]MC Masterlist 2026-09-12'!$B:$M, 12, 0)),0)</f>
        <v>7</v>
      </c>
      <c r="Z793" s="46">
        <f t="shared" si="189"/>
        <v>0.16666666666666666</v>
      </c>
      <c r="AA793" s="46">
        <f t="shared" si="190"/>
        <v>0.33333333333333331</v>
      </c>
      <c r="AB793" s="46">
        <f t="shared" si="191"/>
        <v>7.5925925925925911E-2</v>
      </c>
      <c r="AC793" s="46">
        <f t="shared" si="192"/>
        <v>7.7777777777777765E-2</v>
      </c>
      <c r="AD793" s="44" t="str">
        <f t="shared" si="193"/>
        <v>Over</v>
      </c>
      <c r="AE793" s="44" t="str">
        <f>IFERROR(VLOOKUP(A793,'[1]Re-order'!$A:$AA,27,0),"")</f>
        <v>Over</v>
      </c>
      <c r="AF793" s="46">
        <f t="shared" si="194"/>
        <v>-1.9222222222222223</v>
      </c>
      <c r="AG793" s="46">
        <f>SUMIFS('[1]Raw Inventory'!D:D,'[1]Raw Inventory'!C:C,"GREATWALL",'[1]Raw Inventory'!B:B,A793)</f>
        <v>1</v>
      </c>
      <c r="AH793" s="46">
        <f>SUMIFS('[1]Raw Inventory'!D:D,'[1]Raw Inventory'!C:C,"DUARTE",'[1]Raw Inventory'!B:B,A793)</f>
        <v>0</v>
      </c>
      <c r="AI793" s="46"/>
      <c r="AJ793" s="46"/>
      <c r="AK793" s="43"/>
      <c r="AL793" s="43"/>
      <c r="AM793" s="43"/>
      <c r="AN793" s="43"/>
      <c r="AO793" s="43"/>
      <c r="AP793" s="43"/>
      <c r="AQ793" s="43"/>
      <c r="AR793" s="43"/>
      <c r="AS793" s="43"/>
      <c r="AT793" s="43"/>
    </row>
    <row r="794" spans="1:46">
      <c r="A794" s="43" t="s">
        <v>42</v>
      </c>
      <c r="B794" s="43" t="s">
        <v>158</v>
      </c>
      <c r="C794" s="43" t="s">
        <v>152</v>
      </c>
      <c r="D794" s="44" t="s">
        <v>256</v>
      </c>
      <c r="E794" s="44">
        <v>15</v>
      </c>
      <c r="F794" s="44" t="s">
        <v>2</v>
      </c>
      <c r="G794" s="43" t="str">
        <f>IFERROR(VLOOKUP(A794,'[1]MC Masterlist 2026-09-12'!$B:$M, 3, 0),"")</f>
        <v>YAMAHA</v>
      </c>
      <c r="H794" s="45">
        <f>IFERROR(VLOOKUP(A794,'[1]MC Masterlist 2026-09-12'!$B:$M, 6, 0),"")</f>
        <v>152892</v>
      </c>
      <c r="I794" s="46">
        <v>0</v>
      </c>
      <c r="J794" s="46">
        <v>1</v>
      </c>
      <c r="K794" s="46">
        <v>0</v>
      </c>
      <c r="L794" s="46">
        <f t="shared" si="180"/>
        <v>1</v>
      </c>
      <c r="M794" s="46">
        <f t="shared" si="181"/>
        <v>0.33333333333333331</v>
      </c>
      <c r="N794" s="45">
        <f t="shared" si="182"/>
        <v>152892</v>
      </c>
      <c r="O794" s="45">
        <f t="shared" si="183"/>
        <v>50964</v>
      </c>
      <c r="P794" s="46">
        <f t="shared" si="184"/>
        <v>1.111111111111111E-2</v>
      </c>
      <c r="Q794" s="46">
        <v>1</v>
      </c>
      <c r="R794" s="45">
        <f t="shared" si="185"/>
        <v>152892</v>
      </c>
      <c r="S794" s="46">
        <f t="shared" si="186"/>
        <v>90</v>
      </c>
      <c r="T794" s="46">
        <f>IFERROR(VLOOKUP(A794,'[1]Re-order'!$A:$Q,17,0),"")</f>
        <v>104.55882352941177</v>
      </c>
      <c r="U794" s="46">
        <f>IFERROR(VLOOKUP(A794,'[1]MC Masterlist 2026-09-12'!$B:$M, 10, 0),0)</f>
        <v>15</v>
      </c>
      <c r="V794" s="46">
        <f>IFERROR(VLOOKUP(A794,'[1]MC Masterlist 2026-09-12'!$B:$M, 11, 0),0)</f>
        <v>15</v>
      </c>
      <c r="W794" s="46">
        <f t="shared" si="187"/>
        <v>30</v>
      </c>
      <c r="X794" s="46">
        <f t="shared" si="188"/>
        <v>29.833333333333332</v>
      </c>
      <c r="Y794" s="46">
        <f>IFERROR(IF(OR(C794="AREA I",C794="AREA V"),7,VLOOKUP(A794,'[1]MC Masterlist 2026-09-12'!$B:$M, 12, 0)),0)</f>
        <v>30</v>
      </c>
      <c r="Z794" s="46">
        <f t="shared" si="189"/>
        <v>0.16666666666666666</v>
      </c>
      <c r="AA794" s="46">
        <f t="shared" si="190"/>
        <v>0.33333333333333331</v>
      </c>
      <c r="AB794" s="46">
        <f t="shared" si="191"/>
        <v>0.33148148148148143</v>
      </c>
      <c r="AC794" s="46">
        <f t="shared" si="192"/>
        <v>0.33333333333333331</v>
      </c>
      <c r="AD794" s="44" t="str">
        <f t="shared" si="193"/>
        <v>Over</v>
      </c>
      <c r="AE794" s="44" t="str">
        <f>IFERROR(VLOOKUP(A794,'[1]Re-order'!$A:$AA,27,0),"")</f>
        <v>Over</v>
      </c>
      <c r="AF794" s="46">
        <f t="shared" si="194"/>
        <v>-0.66666666666666674</v>
      </c>
      <c r="AG794" s="46">
        <f>SUMIFS('[1]Raw Inventory'!D:D,'[1]Raw Inventory'!C:C,"GREATWALL",'[1]Raw Inventory'!B:B,A794)</f>
        <v>3</v>
      </c>
      <c r="AH794" s="46">
        <f>SUMIFS('[1]Raw Inventory'!D:D,'[1]Raw Inventory'!C:C,"DUARTE",'[1]Raw Inventory'!B:B,A794)</f>
        <v>0</v>
      </c>
      <c r="AI794" s="46"/>
      <c r="AJ794" s="46"/>
      <c r="AK794" s="43"/>
      <c r="AL794" s="43"/>
      <c r="AM794" s="43"/>
      <c r="AN794" s="43"/>
      <c r="AO794" s="43"/>
      <c r="AP794" s="43"/>
      <c r="AQ794" s="43"/>
      <c r="AR794" s="43"/>
      <c r="AS794" s="43"/>
      <c r="AT794" s="43"/>
    </row>
    <row r="795" spans="1:46">
      <c r="A795" s="43" t="s">
        <v>69</v>
      </c>
      <c r="B795" s="43" t="s">
        <v>119</v>
      </c>
      <c r="C795" s="43" t="s">
        <v>118</v>
      </c>
      <c r="D795" s="44" t="s">
        <v>231</v>
      </c>
      <c r="E795" s="44">
        <v>34</v>
      </c>
      <c r="F795" s="44" t="s">
        <v>3</v>
      </c>
      <c r="G795" s="43" t="str">
        <f>IFERROR(VLOOKUP(A795,'[1]MC Masterlist 2026-09-12'!$B:$M, 3, 0),"")</f>
        <v>YAMAHA</v>
      </c>
      <c r="H795" s="45">
        <f>IFERROR(VLOOKUP(A795,'[1]MC Masterlist 2026-09-12'!$B:$M, 6, 0),"")</f>
        <v>54426</v>
      </c>
      <c r="I795" s="46">
        <v>0</v>
      </c>
      <c r="J795" s="46">
        <v>0</v>
      </c>
      <c r="K795" s="46">
        <v>1</v>
      </c>
      <c r="L795" s="46">
        <f t="shared" si="180"/>
        <v>1</v>
      </c>
      <c r="M795" s="46">
        <f t="shared" si="181"/>
        <v>0.33333333333333331</v>
      </c>
      <c r="N795" s="45">
        <f t="shared" si="182"/>
        <v>54426</v>
      </c>
      <c r="O795" s="45">
        <f t="shared" si="183"/>
        <v>18142</v>
      </c>
      <c r="P795" s="46">
        <f t="shared" si="184"/>
        <v>1.111111111111111E-2</v>
      </c>
      <c r="Q795" s="46"/>
      <c r="R795" s="45">
        <f t="shared" si="185"/>
        <v>0</v>
      </c>
      <c r="S795" s="46">
        <f t="shared" si="186"/>
        <v>0</v>
      </c>
      <c r="T795" s="46">
        <f>IFERROR(VLOOKUP(A795,'[1]Re-order'!$A:$Q,17,0),"")</f>
        <v>62.307692307692314</v>
      </c>
      <c r="U795" s="46">
        <f>IFERROR(VLOOKUP(A795,'[1]MC Masterlist 2026-09-12'!$B:$M, 10, 0),0)</f>
        <v>15</v>
      </c>
      <c r="V795" s="46">
        <f>IFERROR(VLOOKUP(A795,'[1]MC Masterlist 2026-09-12'!$B:$M, 11, 0),0)</f>
        <v>15</v>
      </c>
      <c r="W795" s="46">
        <f t="shared" si="187"/>
        <v>30</v>
      </c>
      <c r="X795" s="46">
        <f t="shared" si="188"/>
        <v>29.833333333333332</v>
      </c>
      <c r="Y795" s="46">
        <f>IFERROR(IF(OR(C795="AREA I",C795="AREA V"),7,VLOOKUP(A795,'[1]MC Masterlist 2026-09-12'!$B:$M, 12, 0)),0)</f>
        <v>30</v>
      </c>
      <c r="Z795" s="46">
        <f t="shared" si="189"/>
        <v>0.16666666666666666</v>
      </c>
      <c r="AA795" s="46">
        <f t="shared" si="190"/>
        <v>0.33333333333333331</v>
      </c>
      <c r="AB795" s="46">
        <f t="shared" si="191"/>
        <v>0.33148148148148143</v>
      </c>
      <c r="AC795" s="46">
        <f t="shared" si="192"/>
        <v>0.33333333333333331</v>
      </c>
      <c r="AD795" s="44" t="str">
        <f t="shared" si="193"/>
        <v>Stockout</v>
      </c>
      <c r="AE795" s="44" t="str">
        <f>IFERROR(VLOOKUP(A795,'[1]Re-order'!$A:$AA,27,0),"")</f>
        <v>Re-order</v>
      </c>
      <c r="AF795" s="46">
        <f t="shared" si="194"/>
        <v>0.33333333333333331</v>
      </c>
      <c r="AG795" s="46">
        <f>SUMIFS('[1]Raw Inventory'!D:D,'[1]Raw Inventory'!C:C,"GREATWALL",'[1]Raw Inventory'!B:B,A795)</f>
        <v>1</v>
      </c>
      <c r="AH795" s="46">
        <f>SUMIFS('[1]Raw Inventory'!D:D,'[1]Raw Inventory'!C:C,"DUARTE",'[1]Raw Inventory'!B:B,A795)</f>
        <v>0</v>
      </c>
      <c r="AI795" s="46"/>
      <c r="AJ795" s="46"/>
      <c r="AK795" s="43"/>
      <c r="AL795" s="43"/>
      <c r="AM795" s="43"/>
      <c r="AN795" s="43"/>
      <c r="AO795" s="43"/>
      <c r="AP795" s="43"/>
      <c r="AQ795" s="43"/>
      <c r="AR795" s="43"/>
      <c r="AS795" s="43"/>
      <c r="AT795" s="43"/>
    </row>
    <row r="796" spans="1:46">
      <c r="A796" s="43" t="s">
        <v>107</v>
      </c>
      <c r="B796" s="43" t="s">
        <v>155</v>
      </c>
      <c r="C796" s="43" t="s">
        <v>152</v>
      </c>
      <c r="D796" s="44" t="s">
        <v>255</v>
      </c>
      <c r="E796" s="44">
        <v>15</v>
      </c>
      <c r="F796" s="44" t="s">
        <v>2</v>
      </c>
      <c r="G796" s="43" t="str">
        <f>IFERROR(VLOOKUP(A796,'[1]MC Masterlist 2026-09-12'!$B:$M, 3, 0),"")</f>
        <v>SUZUKI</v>
      </c>
      <c r="H796" s="45">
        <f>IFERROR(VLOOKUP(A796,'[1]MC Masterlist 2026-09-12'!$B:$M, 6, 0),"")</f>
        <v>89662</v>
      </c>
      <c r="I796" s="46">
        <v>0</v>
      </c>
      <c r="J796" s="46">
        <v>2</v>
      </c>
      <c r="K796" s="46">
        <v>0</v>
      </c>
      <c r="L796" s="46">
        <f t="shared" si="180"/>
        <v>2</v>
      </c>
      <c r="M796" s="46">
        <f t="shared" si="181"/>
        <v>0.66666666666666663</v>
      </c>
      <c r="N796" s="45">
        <f t="shared" si="182"/>
        <v>179324</v>
      </c>
      <c r="O796" s="45">
        <f t="shared" si="183"/>
        <v>59774.666666666664</v>
      </c>
      <c r="P796" s="46">
        <f t="shared" si="184"/>
        <v>2.222222222222222E-2</v>
      </c>
      <c r="Q796" s="46">
        <v>1</v>
      </c>
      <c r="R796" s="45">
        <f t="shared" si="185"/>
        <v>89662</v>
      </c>
      <c r="S796" s="46">
        <f t="shared" si="186"/>
        <v>45</v>
      </c>
      <c r="T796" s="46">
        <f>IFERROR(VLOOKUP(A796,'[1]Re-order'!$A:$Q,17,0),"")</f>
        <v>112.5</v>
      </c>
      <c r="U796" s="46">
        <f>IFERROR(VLOOKUP(A796,'[1]MC Masterlist 2026-09-12'!$B:$M, 10, 0),0)</f>
        <v>15</v>
      </c>
      <c r="V796" s="46">
        <f>IFERROR(VLOOKUP(A796,'[1]MC Masterlist 2026-09-12'!$B:$M, 11, 0),0)</f>
        <v>15</v>
      </c>
      <c r="W796" s="46">
        <f t="shared" si="187"/>
        <v>30</v>
      </c>
      <c r="X796" s="46">
        <f t="shared" si="188"/>
        <v>29.666666666666668</v>
      </c>
      <c r="Y796" s="46">
        <f>IFERROR(IF(OR(C796="AREA I",C796="AREA V"),7,VLOOKUP(A796,'[1]MC Masterlist 2026-09-12'!$B:$M, 12, 0)),0)</f>
        <v>30</v>
      </c>
      <c r="Z796" s="46">
        <f t="shared" si="189"/>
        <v>0.33333333333333331</v>
      </c>
      <c r="AA796" s="46">
        <f t="shared" si="190"/>
        <v>0.66666666666666663</v>
      </c>
      <c r="AB796" s="46">
        <f t="shared" si="191"/>
        <v>0.65925925925925921</v>
      </c>
      <c r="AC796" s="46">
        <f t="shared" si="192"/>
        <v>0.66666666666666663</v>
      </c>
      <c r="AD796" s="44" t="str">
        <f t="shared" si="193"/>
        <v>Over</v>
      </c>
      <c r="AE796" s="44" t="str">
        <f>IFERROR(VLOOKUP(A796,'[1]Re-order'!$A:$AA,27,0),"")</f>
        <v>Over</v>
      </c>
      <c r="AF796" s="46">
        <f t="shared" si="194"/>
        <v>-0.33333333333333337</v>
      </c>
      <c r="AG796" s="46">
        <f>SUMIFS('[1]Raw Inventory'!D:D,'[1]Raw Inventory'!C:C,"GREATWALL",'[1]Raw Inventory'!B:B,A796)</f>
        <v>0</v>
      </c>
      <c r="AH796" s="46">
        <f>SUMIFS('[1]Raw Inventory'!D:D,'[1]Raw Inventory'!C:C,"DUARTE",'[1]Raw Inventory'!B:B,A796)</f>
        <v>0</v>
      </c>
      <c r="AI796" s="46"/>
      <c r="AJ796" s="46"/>
      <c r="AK796" s="43"/>
      <c r="AL796" s="43"/>
      <c r="AM796" s="43"/>
      <c r="AN796" s="43"/>
      <c r="AO796" s="43"/>
      <c r="AP796" s="43"/>
      <c r="AQ796" s="43"/>
      <c r="AR796" s="43"/>
      <c r="AS796" s="43"/>
      <c r="AT796" s="43"/>
    </row>
    <row r="797" spans="1:46">
      <c r="A797" s="43" t="s">
        <v>17</v>
      </c>
      <c r="B797" s="43" t="s">
        <v>248</v>
      </c>
      <c r="C797" s="43"/>
      <c r="D797" s="44" t="s">
        <v>251</v>
      </c>
      <c r="E797" s="44">
        <v>1</v>
      </c>
      <c r="F797" s="44" t="s">
        <v>0</v>
      </c>
      <c r="G797" s="43" t="str">
        <f>IFERROR(VLOOKUP(A797,'[1]MC Masterlist 2026-09-12'!$B:$M, 3, 0),"")</f>
        <v>HONDA</v>
      </c>
      <c r="H797" s="45">
        <f>IFERROR(VLOOKUP(A797,'[1]MC Masterlist 2026-09-12'!$B:$M, 6, 0),"")</f>
        <v>140790</v>
      </c>
      <c r="I797" s="46">
        <v>0</v>
      </c>
      <c r="J797" s="46">
        <v>0</v>
      </c>
      <c r="K797" s="46">
        <v>0</v>
      </c>
      <c r="L797" s="46">
        <f t="shared" si="180"/>
        <v>0</v>
      </c>
      <c r="M797" s="46">
        <f t="shared" si="181"/>
        <v>0</v>
      </c>
      <c r="N797" s="45">
        <f t="shared" si="182"/>
        <v>0</v>
      </c>
      <c r="O797" s="45">
        <f t="shared" si="183"/>
        <v>0</v>
      </c>
      <c r="P797" s="46">
        <f t="shared" si="184"/>
        <v>0</v>
      </c>
      <c r="Q797" s="46">
        <v>2</v>
      </c>
      <c r="R797" s="45">
        <f t="shared" si="185"/>
        <v>281580</v>
      </c>
      <c r="S797" s="46">
        <f t="shared" si="186"/>
        <v>0</v>
      </c>
      <c r="T797" s="46">
        <f>IFERROR(VLOOKUP(A797,'[1]Re-order'!$A:$Q,17,0),"")</f>
        <v>43.663366336633665</v>
      </c>
      <c r="U797" s="46">
        <f>IFERROR(VLOOKUP(A797,'[1]MC Masterlist 2026-09-12'!$B:$M, 10, 0),0)</f>
        <v>15</v>
      </c>
      <c r="V797" s="46">
        <f>IFERROR(VLOOKUP(A797,'[1]MC Masterlist 2026-09-12'!$B:$M, 11, 0),0)</f>
        <v>15</v>
      </c>
      <c r="W797" s="46">
        <f t="shared" si="187"/>
        <v>30</v>
      </c>
      <c r="X797" s="46">
        <f t="shared" si="188"/>
        <v>30</v>
      </c>
      <c r="Y797" s="46">
        <f>IFERROR(IF(OR(C797="AREA I",C797="AREA V"),7,VLOOKUP(A797,'[1]MC Masterlist 2026-09-12'!$B:$M, 12, 0)),0)</f>
        <v>30</v>
      </c>
      <c r="Z797" s="46">
        <f t="shared" si="189"/>
        <v>0</v>
      </c>
      <c r="AA797" s="46">
        <f t="shared" si="190"/>
        <v>0</v>
      </c>
      <c r="AB797" s="46">
        <f t="shared" si="191"/>
        <v>0</v>
      </c>
      <c r="AC797" s="46">
        <f t="shared" si="192"/>
        <v>0</v>
      </c>
      <c r="AD797" s="44" t="str">
        <f t="shared" si="193"/>
        <v>Over</v>
      </c>
      <c r="AE797" s="44" t="str">
        <f>IFERROR(VLOOKUP(A797,'[1]Re-order'!$A:$AA,27,0),"")</f>
        <v>Re-order</v>
      </c>
      <c r="AF797" s="46">
        <f t="shared" si="194"/>
        <v>-2</v>
      </c>
      <c r="AG797" s="46">
        <f>SUMIFS('[1]Raw Inventory'!D:D,'[1]Raw Inventory'!C:C,"GREATWALL",'[1]Raw Inventory'!B:B,A797)</f>
        <v>12</v>
      </c>
      <c r="AH797" s="46">
        <f>SUMIFS('[1]Raw Inventory'!D:D,'[1]Raw Inventory'!C:C,"DUARTE",'[1]Raw Inventory'!B:B,A797)</f>
        <v>0</v>
      </c>
      <c r="AI797" s="46"/>
      <c r="AJ797" s="46"/>
      <c r="AK797" s="43"/>
      <c r="AL797" s="43"/>
      <c r="AM797" s="43"/>
      <c r="AN797" s="43"/>
      <c r="AO797" s="43"/>
      <c r="AP797" s="43"/>
      <c r="AQ797" s="43"/>
      <c r="AR797" s="43"/>
      <c r="AS797" s="43"/>
      <c r="AT797" s="43"/>
    </row>
    <row r="798" spans="1:46">
      <c r="A798" s="43" t="s">
        <v>68</v>
      </c>
      <c r="B798" s="43" t="s">
        <v>110</v>
      </c>
      <c r="C798" s="43" t="s">
        <v>109</v>
      </c>
      <c r="D798" s="44" t="s">
        <v>265</v>
      </c>
      <c r="E798" s="44">
        <v>30</v>
      </c>
      <c r="F798" s="44" t="s">
        <v>3</v>
      </c>
      <c r="G798" s="43" t="str">
        <f>IFERROR(VLOOKUP(A798,'[1]MC Masterlist 2026-09-12'!$B:$M, 3, 0),"")</f>
        <v>SUZUKI</v>
      </c>
      <c r="H798" s="45">
        <f>IFERROR(VLOOKUP(A798,'[1]MC Masterlist 2026-09-12'!$B:$M, 6, 0),"")</f>
        <v>70037</v>
      </c>
      <c r="I798" s="46">
        <v>0</v>
      </c>
      <c r="J798" s="46">
        <v>0</v>
      </c>
      <c r="K798" s="46">
        <v>0</v>
      </c>
      <c r="L798" s="46">
        <f t="shared" si="180"/>
        <v>0</v>
      </c>
      <c r="M798" s="46">
        <f t="shared" si="181"/>
        <v>0</v>
      </c>
      <c r="N798" s="45">
        <f t="shared" si="182"/>
        <v>0</v>
      </c>
      <c r="O798" s="45">
        <f t="shared" si="183"/>
        <v>0</v>
      </c>
      <c r="P798" s="46">
        <f t="shared" si="184"/>
        <v>0</v>
      </c>
      <c r="Q798" s="46">
        <v>1</v>
      </c>
      <c r="R798" s="45">
        <f t="shared" si="185"/>
        <v>70037</v>
      </c>
      <c r="S798" s="46">
        <f t="shared" si="186"/>
        <v>0</v>
      </c>
      <c r="T798" s="46" t="str">
        <f>IFERROR(VLOOKUP(A798,'[1]Re-order'!$A:$Q,17,0),"")</f>
        <v/>
      </c>
      <c r="U798" s="46">
        <f>IFERROR(VLOOKUP(A798,'[1]MC Masterlist 2026-09-12'!$B:$M, 10, 0),0)</f>
        <v>15</v>
      </c>
      <c r="V798" s="46">
        <f>IFERROR(VLOOKUP(A798,'[1]MC Masterlist 2026-09-12'!$B:$M, 11, 0),0)</f>
        <v>15</v>
      </c>
      <c r="W798" s="46">
        <f t="shared" si="187"/>
        <v>30</v>
      </c>
      <c r="X798" s="46">
        <f t="shared" si="188"/>
        <v>30</v>
      </c>
      <c r="Y798" s="46">
        <f>IFERROR(IF(OR(C798="AREA I",C798="AREA V"),7,VLOOKUP(A798,'[1]MC Masterlist 2026-09-12'!$B:$M, 12, 0)),0)</f>
        <v>30</v>
      </c>
      <c r="Z798" s="46">
        <f t="shared" si="189"/>
        <v>0</v>
      </c>
      <c r="AA798" s="46">
        <f t="shared" si="190"/>
        <v>0</v>
      </c>
      <c r="AB798" s="46">
        <f t="shared" si="191"/>
        <v>0</v>
      </c>
      <c r="AC798" s="46">
        <f t="shared" si="192"/>
        <v>0</v>
      </c>
      <c r="AD798" s="44" t="str">
        <f t="shared" si="193"/>
        <v>Over</v>
      </c>
      <c r="AE798" s="44" t="str">
        <f>IFERROR(VLOOKUP(A798,'[1]Re-order'!$A:$AA,27,0),"")</f>
        <v>Over</v>
      </c>
      <c r="AF798" s="46">
        <f t="shared" si="194"/>
        <v>-1</v>
      </c>
      <c r="AG798" s="46">
        <f>SUMIFS('[1]Raw Inventory'!D:D,'[1]Raw Inventory'!C:C,"GREATWALL",'[1]Raw Inventory'!B:B,A798)</f>
        <v>0</v>
      </c>
      <c r="AH798" s="46">
        <f>SUMIFS('[1]Raw Inventory'!D:D,'[1]Raw Inventory'!C:C,"DUARTE",'[1]Raw Inventory'!B:B,A798)</f>
        <v>0</v>
      </c>
      <c r="AI798" s="46"/>
      <c r="AJ798" s="46"/>
      <c r="AK798" s="43"/>
      <c r="AL798" s="43"/>
      <c r="AM798" s="43"/>
      <c r="AN798" s="43"/>
      <c r="AO798" s="43"/>
      <c r="AP798" s="43"/>
      <c r="AQ798" s="43"/>
      <c r="AR798" s="43"/>
      <c r="AS798" s="43"/>
      <c r="AT798" s="43"/>
    </row>
    <row r="799" spans="1:46">
      <c r="A799" s="43" t="s">
        <v>64</v>
      </c>
      <c r="B799" s="43" t="s">
        <v>162</v>
      </c>
      <c r="C799" s="43" t="s">
        <v>159</v>
      </c>
      <c r="D799" s="44" t="s">
        <v>276</v>
      </c>
      <c r="E799" s="44">
        <v>26</v>
      </c>
      <c r="F799" s="44" t="s">
        <v>3</v>
      </c>
      <c r="G799" s="43" t="str">
        <f>IFERROR(VLOOKUP(A799,'[1]MC Masterlist 2026-09-12'!$B:$M, 3, 0),"")</f>
        <v>HONDA</v>
      </c>
      <c r="H799" s="45">
        <f>IFERROR(VLOOKUP(A799,'[1]MC Masterlist 2026-09-12'!$B:$M, 6, 0),"")</f>
        <v>73170</v>
      </c>
      <c r="I799" s="46">
        <v>0</v>
      </c>
      <c r="J799" s="46">
        <v>0</v>
      </c>
      <c r="K799" s="46">
        <v>0</v>
      </c>
      <c r="L799" s="46">
        <f t="shared" si="180"/>
        <v>0</v>
      </c>
      <c r="M799" s="46">
        <f t="shared" si="181"/>
        <v>0</v>
      </c>
      <c r="N799" s="45">
        <f t="shared" si="182"/>
        <v>0</v>
      </c>
      <c r="O799" s="45">
        <f t="shared" si="183"/>
        <v>0</v>
      </c>
      <c r="P799" s="46">
        <f t="shared" si="184"/>
        <v>0</v>
      </c>
      <c r="Q799" s="46">
        <v>8</v>
      </c>
      <c r="R799" s="45">
        <f t="shared" si="185"/>
        <v>585360</v>
      </c>
      <c r="S799" s="46">
        <f t="shared" si="186"/>
        <v>0</v>
      </c>
      <c r="T799" s="46">
        <f>IFERROR(VLOOKUP(A799,'[1]Re-order'!$A:$Q,17,0),"")</f>
        <v>76.153846153846146</v>
      </c>
      <c r="U799" s="46">
        <f>IFERROR(VLOOKUP(A799,'[1]MC Masterlist 2026-09-12'!$B:$M, 10, 0),0)</f>
        <v>15</v>
      </c>
      <c r="V799" s="46">
        <f>IFERROR(VLOOKUP(A799,'[1]MC Masterlist 2026-09-12'!$B:$M, 11, 0),0)</f>
        <v>15</v>
      </c>
      <c r="W799" s="46">
        <f t="shared" si="187"/>
        <v>30</v>
      </c>
      <c r="X799" s="46">
        <f t="shared" si="188"/>
        <v>30</v>
      </c>
      <c r="Y799" s="46">
        <f>IFERROR(IF(OR(C799="AREA I",C799="AREA V"),7,VLOOKUP(A799,'[1]MC Masterlist 2026-09-12'!$B:$M, 12, 0)),0)</f>
        <v>30</v>
      </c>
      <c r="Z799" s="46">
        <f t="shared" si="189"/>
        <v>0</v>
      </c>
      <c r="AA799" s="46">
        <f t="shared" si="190"/>
        <v>0</v>
      </c>
      <c r="AB799" s="46">
        <f t="shared" si="191"/>
        <v>0</v>
      </c>
      <c r="AC799" s="46">
        <f t="shared" si="192"/>
        <v>0</v>
      </c>
      <c r="AD799" s="44" t="str">
        <f t="shared" si="193"/>
        <v>Over</v>
      </c>
      <c r="AE799" s="44" t="str">
        <f>IFERROR(VLOOKUP(A799,'[1]Re-order'!$A:$AA,27,0),"")</f>
        <v/>
      </c>
      <c r="AF799" s="46">
        <f t="shared" si="194"/>
        <v>-8</v>
      </c>
      <c r="AG799" s="46">
        <f>SUMIFS('[1]Raw Inventory'!D:D,'[1]Raw Inventory'!C:C,"GREATWALL",'[1]Raw Inventory'!B:B,A799)</f>
        <v>13</v>
      </c>
      <c r="AH799" s="46">
        <f>SUMIFS('[1]Raw Inventory'!D:D,'[1]Raw Inventory'!C:C,"DUARTE",'[1]Raw Inventory'!B:B,A799)</f>
        <v>0</v>
      </c>
      <c r="AI799" s="46"/>
      <c r="AJ799" s="46"/>
      <c r="AK799" s="43"/>
      <c r="AL799" s="43"/>
      <c r="AM799" s="43"/>
      <c r="AN799" s="43"/>
      <c r="AO799" s="43"/>
      <c r="AP799" s="43"/>
      <c r="AQ799" s="43"/>
      <c r="AR799" s="43"/>
      <c r="AS799" s="43"/>
      <c r="AT799" s="43"/>
    </row>
    <row r="800" spans="1:46">
      <c r="A800" s="43" t="s">
        <v>76</v>
      </c>
      <c r="B800" s="43" t="s">
        <v>92</v>
      </c>
      <c r="C800" s="43" t="s">
        <v>90</v>
      </c>
      <c r="D800" s="44" t="s">
        <v>257</v>
      </c>
      <c r="E800" s="44">
        <v>26</v>
      </c>
      <c r="F800" s="44" t="s">
        <v>3</v>
      </c>
      <c r="G800" s="43" t="str">
        <f>IFERROR(VLOOKUP(A800,'[1]MC Masterlist 2026-09-12'!$B:$M, 3, 0),"")</f>
        <v>SUZUKI</v>
      </c>
      <c r="H800" s="45">
        <f>IFERROR(VLOOKUP(A800,'[1]MC Masterlist 2026-09-12'!$B:$M, 6, 0),"")</f>
        <v>62692</v>
      </c>
      <c r="I800" s="46">
        <v>0</v>
      </c>
      <c r="J800" s="46">
        <v>1</v>
      </c>
      <c r="K800" s="46">
        <v>0</v>
      </c>
      <c r="L800" s="46">
        <f t="shared" si="180"/>
        <v>1</v>
      </c>
      <c r="M800" s="46">
        <f t="shared" si="181"/>
        <v>0.33333333333333331</v>
      </c>
      <c r="N800" s="45">
        <f t="shared" si="182"/>
        <v>62692</v>
      </c>
      <c r="O800" s="45">
        <f t="shared" si="183"/>
        <v>20897.333333333332</v>
      </c>
      <c r="P800" s="46">
        <f t="shared" si="184"/>
        <v>1.111111111111111E-2</v>
      </c>
      <c r="Q800" s="46"/>
      <c r="R800" s="45">
        <f t="shared" si="185"/>
        <v>0</v>
      </c>
      <c r="S800" s="46">
        <f t="shared" si="186"/>
        <v>0</v>
      </c>
      <c r="T800" s="46">
        <f>IFERROR(VLOOKUP(A800,'[1]Re-order'!$A:$Q,17,0),"")</f>
        <v>106.36363636363636</v>
      </c>
      <c r="U800" s="46">
        <f>IFERROR(VLOOKUP(A800,'[1]MC Masterlist 2026-09-12'!$B:$M, 10, 0),0)</f>
        <v>15</v>
      </c>
      <c r="V800" s="46">
        <f>IFERROR(VLOOKUP(A800,'[1]MC Masterlist 2026-09-12'!$B:$M, 11, 0),0)</f>
        <v>15</v>
      </c>
      <c r="W800" s="46">
        <f t="shared" si="187"/>
        <v>30</v>
      </c>
      <c r="X800" s="46">
        <f t="shared" si="188"/>
        <v>29.833333333333332</v>
      </c>
      <c r="Y800" s="46">
        <f>IFERROR(IF(OR(C800="AREA I",C800="AREA V"),7,VLOOKUP(A800,'[1]MC Masterlist 2026-09-12'!$B:$M, 12, 0)),0)</f>
        <v>30</v>
      </c>
      <c r="Z800" s="46">
        <f t="shared" si="189"/>
        <v>0.16666666666666666</v>
      </c>
      <c r="AA800" s="46">
        <f t="shared" si="190"/>
        <v>0.33333333333333331</v>
      </c>
      <c r="AB800" s="46">
        <f t="shared" si="191"/>
        <v>0.33148148148148143</v>
      </c>
      <c r="AC800" s="46">
        <f t="shared" si="192"/>
        <v>0.33333333333333331</v>
      </c>
      <c r="AD800" s="44" t="str">
        <f t="shared" si="193"/>
        <v>Stockout</v>
      </c>
      <c r="AE800" s="44" t="str">
        <f>IFERROR(VLOOKUP(A800,'[1]Re-order'!$A:$AA,27,0),"")</f>
        <v>Over</v>
      </c>
      <c r="AF800" s="46">
        <f t="shared" si="194"/>
        <v>0.33333333333333331</v>
      </c>
      <c r="AG800" s="46">
        <f>SUMIFS('[1]Raw Inventory'!D:D,'[1]Raw Inventory'!C:C,"GREATWALL",'[1]Raw Inventory'!B:B,A800)</f>
        <v>1</v>
      </c>
      <c r="AH800" s="46">
        <f>SUMIFS('[1]Raw Inventory'!D:D,'[1]Raw Inventory'!C:C,"DUARTE",'[1]Raw Inventory'!B:B,A800)</f>
        <v>0</v>
      </c>
      <c r="AI800" s="46"/>
      <c r="AJ800" s="46"/>
      <c r="AK800" s="43"/>
      <c r="AL800" s="43"/>
      <c r="AM800" s="43"/>
      <c r="AN800" s="43"/>
      <c r="AO800" s="43"/>
      <c r="AP800" s="43"/>
      <c r="AQ800" s="43"/>
      <c r="AR800" s="43"/>
      <c r="AS800" s="43"/>
      <c r="AT800" s="43"/>
    </row>
    <row r="801" spans="1:46">
      <c r="A801" s="43" t="s">
        <v>38</v>
      </c>
      <c r="B801" s="43" t="s">
        <v>19</v>
      </c>
      <c r="C801" s="43" t="s">
        <v>1</v>
      </c>
      <c r="D801" s="44" t="s">
        <v>256</v>
      </c>
      <c r="E801" s="44">
        <v>13</v>
      </c>
      <c r="F801" s="44" t="s">
        <v>2</v>
      </c>
      <c r="G801" s="43" t="str">
        <f>IFERROR(VLOOKUP(A801,'[1]MC Masterlist 2026-09-12'!$B:$M, 3, 0),"")</f>
        <v>HONDA</v>
      </c>
      <c r="H801" s="45">
        <f>IFERROR(VLOOKUP(A801,'[1]MC Masterlist 2026-09-12'!$B:$M, 6, 0),"")</f>
        <v>165630</v>
      </c>
      <c r="I801" s="46">
        <v>2</v>
      </c>
      <c r="J801" s="46">
        <v>1</v>
      </c>
      <c r="K801" s="46">
        <v>0</v>
      </c>
      <c r="L801" s="46">
        <f t="shared" si="180"/>
        <v>3</v>
      </c>
      <c r="M801" s="46">
        <f t="shared" si="181"/>
        <v>1</v>
      </c>
      <c r="N801" s="45">
        <f t="shared" si="182"/>
        <v>496890</v>
      </c>
      <c r="O801" s="45">
        <f t="shared" si="183"/>
        <v>165630</v>
      </c>
      <c r="P801" s="46">
        <f t="shared" si="184"/>
        <v>3.3333333333333333E-2</v>
      </c>
      <c r="Q801" s="46"/>
      <c r="R801" s="45">
        <f t="shared" si="185"/>
        <v>0</v>
      </c>
      <c r="S801" s="46">
        <f t="shared" si="186"/>
        <v>0</v>
      </c>
      <c r="T801" s="46">
        <f>IFERROR(VLOOKUP(A801,'[1]Re-order'!$A:$Q,17,0),"")</f>
        <v>60</v>
      </c>
      <c r="U801" s="46">
        <f>IFERROR(VLOOKUP(A801,'[1]MC Masterlist 2026-09-12'!$B:$M, 10, 0),0)</f>
        <v>15</v>
      </c>
      <c r="V801" s="46">
        <f>IFERROR(VLOOKUP(A801,'[1]MC Masterlist 2026-09-12'!$B:$M, 11, 0),0)</f>
        <v>15</v>
      </c>
      <c r="W801" s="46">
        <f t="shared" si="187"/>
        <v>30</v>
      </c>
      <c r="X801" s="46">
        <f t="shared" si="188"/>
        <v>6.5</v>
      </c>
      <c r="Y801" s="46">
        <f>IFERROR(IF(OR(C801="AREA I",C801="AREA V"),7,VLOOKUP(A801,'[1]MC Masterlist 2026-09-12'!$B:$M, 12, 0)),0)</f>
        <v>7</v>
      </c>
      <c r="Z801" s="46">
        <f t="shared" si="189"/>
        <v>0.5</v>
      </c>
      <c r="AA801" s="46">
        <f t="shared" si="190"/>
        <v>1</v>
      </c>
      <c r="AB801" s="46">
        <f t="shared" si="191"/>
        <v>0.21666666666666667</v>
      </c>
      <c r="AC801" s="46">
        <f t="shared" si="192"/>
        <v>0.23333333333333334</v>
      </c>
      <c r="AD801" s="44" t="str">
        <f t="shared" si="193"/>
        <v>Stockout</v>
      </c>
      <c r="AE801" s="44" t="str">
        <f>IFERROR(VLOOKUP(A801,'[1]Re-order'!$A:$AA,27,0),"")</f>
        <v>Re-order</v>
      </c>
      <c r="AF801" s="46">
        <f t="shared" si="194"/>
        <v>0.23333333333333334</v>
      </c>
      <c r="AG801" s="46">
        <f>SUMIFS('[1]Raw Inventory'!D:D,'[1]Raw Inventory'!C:C,"GREATWALL",'[1]Raw Inventory'!B:B,A801)</f>
        <v>6</v>
      </c>
      <c r="AH801" s="46">
        <f>SUMIFS('[1]Raw Inventory'!D:D,'[1]Raw Inventory'!C:C,"DUARTE",'[1]Raw Inventory'!B:B,A801)</f>
        <v>0</v>
      </c>
      <c r="AI801" s="46"/>
      <c r="AJ801" s="46"/>
      <c r="AK801" s="43"/>
      <c r="AL801" s="43"/>
      <c r="AM801" s="43"/>
      <c r="AN801" s="43"/>
      <c r="AO801" s="43"/>
      <c r="AP801" s="43"/>
      <c r="AQ801" s="43"/>
      <c r="AR801" s="43"/>
      <c r="AS801" s="43"/>
      <c r="AT801" s="43"/>
    </row>
    <row r="802" spans="1:46">
      <c r="A802" s="43" t="s">
        <v>76</v>
      </c>
      <c r="B802" s="43" t="s">
        <v>154</v>
      </c>
      <c r="C802" s="43" t="s">
        <v>152</v>
      </c>
      <c r="D802" s="44" t="s">
        <v>224</v>
      </c>
      <c r="E802" s="44">
        <v>9</v>
      </c>
      <c r="F802" s="44" t="s">
        <v>2</v>
      </c>
      <c r="G802" s="43" t="str">
        <f>IFERROR(VLOOKUP(A802,'[1]MC Masterlist 2026-09-12'!$B:$M, 3, 0),"")</f>
        <v>SUZUKI</v>
      </c>
      <c r="H802" s="45">
        <f>IFERROR(VLOOKUP(A802,'[1]MC Masterlist 2026-09-12'!$B:$M, 6, 0),"")</f>
        <v>62692</v>
      </c>
      <c r="I802" s="46">
        <v>1</v>
      </c>
      <c r="J802" s="46">
        <v>1</v>
      </c>
      <c r="K802" s="46">
        <v>3</v>
      </c>
      <c r="L802" s="46">
        <f t="shared" si="180"/>
        <v>5</v>
      </c>
      <c r="M802" s="46">
        <f t="shared" si="181"/>
        <v>1.6666666666666667</v>
      </c>
      <c r="N802" s="45">
        <f t="shared" si="182"/>
        <v>313460</v>
      </c>
      <c r="O802" s="45">
        <f t="shared" si="183"/>
        <v>104486.66666666667</v>
      </c>
      <c r="P802" s="46">
        <f t="shared" si="184"/>
        <v>5.5555555555555559E-2</v>
      </c>
      <c r="Q802" s="46"/>
      <c r="R802" s="45">
        <f t="shared" si="185"/>
        <v>0</v>
      </c>
      <c r="S802" s="46">
        <f t="shared" si="186"/>
        <v>0</v>
      </c>
      <c r="T802" s="46">
        <f>IFERROR(VLOOKUP(A802,'[1]Re-order'!$A:$Q,17,0),"")</f>
        <v>106.36363636363636</v>
      </c>
      <c r="U802" s="46">
        <f>IFERROR(VLOOKUP(A802,'[1]MC Masterlist 2026-09-12'!$B:$M, 10, 0),0)</f>
        <v>15</v>
      </c>
      <c r="V802" s="46">
        <f>IFERROR(VLOOKUP(A802,'[1]MC Masterlist 2026-09-12'!$B:$M, 11, 0),0)</f>
        <v>15</v>
      </c>
      <c r="W802" s="46">
        <f t="shared" si="187"/>
        <v>30</v>
      </c>
      <c r="X802" s="46">
        <f t="shared" si="188"/>
        <v>29.166666666666668</v>
      </c>
      <c r="Y802" s="46">
        <f>IFERROR(IF(OR(C802="AREA I",C802="AREA V"),7,VLOOKUP(A802,'[1]MC Masterlist 2026-09-12'!$B:$M, 12, 0)),0)</f>
        <v>30</v>
      </c>
      <c r="Z802" s="46">
        <f t="shared" si="189"/>
        <v>0.83333333333333337</v>
      </c>
      <c r="AA802" s="46">
        <f t="shared" si="190"/>
        <v>1.6666666666666667</v>
      </c>
      <c r="AB802" s="46">
        <f t="shared" si="191"/>
        <v>1.6203703703703705</v>
      </c>
      <c r="AC802" s="46">
        <f t="shared" si="192"/>
        <v>1.6666666666666667</v>
      </c>
      <c r="AD802" s="44" t="str">
        <f t="shared" si="193"/>
        <v>Stockout</v>
      </c>
      <c r="AE802" s="44" t="str">
        <f>IFERROR(VLOOKUP(A802,'[1]Re-order'!$A:$AA,27,0),"")</f>
        <v>Over</v>
      </c>
      <c r="AF802" s="46">
        <f t="shared" si="194"/>
        <v>1.6666666666666667</v>
      </c>
      <c r="AG802" s="46">
        <f>SUMIFS('[1]Raw Inventory'!D:D,'[1]Raw Inventory'!C:C,"GREATWALL",'[1]Raw Inventory'!B:B,A802)</f>
        <v>1</v>
      </c>
      <c r="AH802" s="46">
        <f>SUMIFS('[1]Raw Inventory'!D:D,'[1]Raw Inventory'!C:C,"DUARTE",'[1]Raw Inventory'!B:B,A802)</f>
        <v>0</v>
      </c>
      <c r="AI802" s="46"/>
      <c r="AJ802" s="46"/>
      <c r="AK802" s="43"/>
      <c r="AL802" s="43"/>
      <c r="AM802" s="43"/>
      <c r="AN802" s="43"/>
      <c r="AO802" s="43"/>
      <c r="AP802" s="43"/>
      <c r="AQ802" s="43"/>
      <c r="AR802" s="43"/>
      <c r="AS802" s="43"/>
      <c r="AT802" s="43"/>
    </row>
    <row r="803" spans="1:46">
      <c r="A803" s="43" t="s">
        <v>39</v>
      </c>
      <c r="B803" s="43" t="s">
        <v>119</v>
      </c>
      <c r="C803" s="43" t="s">
        <v>118</v>
      </c>
      <c r="D803" s="44" t="s">
        <v>262</v>
      </c>
      <c r="E803" s="44">
        <v>18</v>
      </c>
      <c r="F803" s="44" t="s">
        <v>2</v>
      </c>
      <c r="G803" s="43" t="str">
        <f>IFERROR(VLOOKUP(A803,'[1]MC Masterlist 2026-09-12'!$B:$M, 3, 0),"")</f>
        <v>HONDA</v>
      </c>
      <c r="H803" s="45">
        <f>IFERROR(VLOOKUP(A803,'[1]MC Masterlist 2026-09-12'!$B:$M, 6, 0),"")</f>
        <v>72434</v>
      </c>
      <c r="I803" s="46">
        <v>1</v>
      </c>
      <c r="J803" s="46">
        <v>0</v>
      </c>
      <c r="K803" s="46">
        <v>2</v>
      </c>
      <c r="L803" s="46">
        <f t="shared" si="180"/>
        <v>3</v>
      </c>
      <c r="M803" s="46">
        <f t="shared" si="181"/>
        <v>1</v>
      </c>
      <c r="N803" s="45">
        <f t="shared" si="182"/>
        <v>217302</v>
      </c>
      <c r="O803" s="45">
        <f t="shared" si="183"/>
        <v>72434</v>
      </c>
      <c r="P803" s="46">
        <f t="shared" si="184"/>
        <v>3.3333333333333333E-2</v>
      </c>
      <c r="Q803" s="46">
        <v>1</v>
      </c>
      <c r="R803" s="45">
        <f t="shared" si="185"/>
        <v>72434</v>
      </c>
      <c r="S803" s="46">
        <f t="shared" si="186"/>
        <v>30</v>
      </c>
      <c r="T803" s="46">
        <f>IFERROR(VLOOKUP(A803,'[1]Re-order'!$A:$Q,17,0),"")</f>
        <v>40.982142857142854</v>
      </c>
      <c r="U803" s="46">
        <f>IFERROR(VLOOKUP(A803,'[1]MC Masterlist 2026-09-12'!$B:$M, 10, 0),0)</f>
        <v>15</v>
      </c>
      <c r="V803" s="46">
        <f>IFERROR(VLOOKUP(A803,'[1]MC Masterlist 2026-09-12'!$B:$M, 11, 0),0)</f>
        <v>15</v>
      </c>
      <c r="W803" s="46">
        <f t="shared" si="187"/>
        <v>30</v>
      </c>
      <c r="X803" s="46">
        <f t="shared" si="188"/>
        <v>29.5</v>
      </c>
      <c r="Y803" s="46">
        <f>IFERROR(IF(OR(C803="AREA I",C803="AREA V"),7,VLOOKUP(A803,'[1]MC Masterlist 2026-09-12'!$B:$M, 12, 0)),0)</f>
        <v>30</v>
      </c>
      <c r="Z803" s="46">
        <f t="shared" si="189"/>
        <v>0.5</v>
      </c>
      <c r="AA803" s="46">
        <f t="shared" si="190"/>
        <v>1</v>
      </c>
      <c r="AB803" s="46">
        <f t="shared" si="191"/>
        <v>0.98333333333333328</v>
      </c>
      <c r="AC803" s="46">
        <f t="shared" si="192"/>
        <v>1</v>
      </c>
      <c r="AD803" s="44" t="str">
        <f t="shared" si="193"/>
        <v>Re-order</v>
      </c>
      <c r="AE803" s="44" t="str">
        <f>IFERROR(VLOOKUP(A803,'[1]Re-order'!$A:$AA,27,0),"")</f>
        <v>Re-order</v>
      </c>
      <c r="AF803" s="46">
        <f t="shared" si="194"/>
        <v>0</v>
      </c>
      <c r="AG803" s="46">
        <f>SUMIFS('[1]Raw Inventory'!D:D,'[1]Raw Inventory'!C:C,"GREATWALL",'[1]Raw Inventory'!B:B,A803)</f>
        <v>16</v>
      </c>
      <c r="AH803" s="46">
        <f>SUMIFS('[1]Raw Inventory'!D:D,'[1]Raw Inventory'!C:C,"DUARTE",'[1]Raw Inventory'!B:B,A803)</f>
        <v>0</v>
      </c>
      <c r="AI803" s="46"/>
      <c r="AJ803" s="46"/>
      <c r="AK803" s="43"/>
      <c r="AL803" s="43"/>
      <c r="AM803" s="43"/>
      <c r="AN803" s="43"/>
      <c r="AO803" s="43"/>
      <c r="AP803" s="43"/>
      <c r="AQ803" s="43"/>
      <c r="AR803" s="43"/>
      <c r="AS803" s="43"/>
      <c r="AT803" s="43"/>
    </row>
    <row r="804" spans="1:46">
      <c r="A804" s="43" t="s">
        <v>39</v>
      </c>
      <c r="B804" s="43" t="s">
        <v>19</v>
      </c>
      <c r="C804" s="43" t="s">
        <v>1</v>
      </c>
      <c r="D804" s="44" t="s">
        <v>255</v>
      </c>
      <c r="E804" s="44">
        <v>12</v>
      </c>
      <c r="F804" s="44" t="s">
        <v>2</v>
      </c>
      <c r="G804" s="43" t="str">
        <f>IFERROR(VLOOKUP(A804,'[1]MC Masterlist 2026-09-12'!$B:$M, 3, 0),"")</f>
        <v>HONDA</v>
      </c>
      <c r="H804" s="45">
        <f>IFERROR(VLOOKUP(A804,'[1]MC Masterlist 2026-09-12'!$B:$M, 6, 0),"")</f>
        <v>72434</v>
      </c>
      <c r="I804" s="46">
        <v>0</v>
      </c>
      <c r="J804" s="46">
        <v>6</v>
      </c>
      <c r="K804" s="46">
        <v>1</v>
      </c>
      <c r="L804" s="46">
        <f t="shared" si="180"/>
        <v>7</v>
      </c>
      <c r="M804" s="46">
        <f t="shared" si="181"/>
        <v>2.3333333333333335</v>
      </c>
      <c r="N804" s="45">
        <f t="shared" si="182"/>
        <v>507038</v>
      </c>
      <c r="O804" s="45">
        <f t="shared" si="183"/>
        <v>169012.66666666669</v>
      </c>
      <c r="P804" s="46">
        <f t="shared" si="184"/>
        <v>7.7777777777777779E-2</v>
      </c>
      <c r="Q804" s="46">
        <v>2</v>
      </c>
      <c r="R804" s="45">
        <f t="shared" si="185"/>
        <v>144868</v>
      </c>
      <c r="S804" s="46">
        <f t="shared" si="186"/>
        <v>25.714285714285712</v>
      </c>
      <c r="T804" s="46">
        <f>IFERROR(VLOOKUP(A804,'[1]Re-order'!$A:$Q,17,0),"")</f>
        <v>40.982142857142854</v>
      </c>
      <c r="U804" s="46">
        <f>IFERROR(VLOOKUP(A804,'[1]MC Masterlist 2026-09-12'!$B:$M, 10, 0),0)</f>
        <v>15</v>
      </c>
      <c r="V804" s="46">
        <f>IFERROR(VLOOKUP(A804,'[1]MC Masterlist 2026-09-12'!$B:$M, 11, 0),0)</f>
        <v>15</v>
      </c>
      <c r="W804" s="46">
        <f t="shared" si="187"/>
        <v>30</v>
      </c>
      <c r="X804" s="46">
        <f t="shared" si="188"/>
        <v>5.833333333333333</v>
      </c>
      <c r="Y804" s="46">
        <f>IFERROR(IF(OR(C804="AREA I",C804="AREA V"),7,VLOOKUP(A804,'[1]MC Masterlist 2026-09-12'!$B:$M, 12, 0)),0)</f>
        <v>7</v>
      </c>
      <c r="Z804" s="46">
        <f t="shared" si="189"/>
        <v>1.1666666666666667</v>
      </c>
      <c r="AA804" s="46">
        <f t="shared" si="190"/>
        <v>2.3333333333333335</v>
      </c>
      <c r="AB804" s="46">
        <f t="shared" si="191"/>
        <v>0.45370370370370366</v>
      </c>
      <c r="AC804" s="46">
        <f t="shared" si="192"/>
        <v>0.54444444444444451</v>
      </c>
      <c r="AD804" s="44" t="str">
        <f t="shared" si="193"/>
        <v>Over</v>
      </c>
      <c r="AE804" s="44" t="str">
        <f>IFERROR(VLOOKUP(A804,'[1]Re-order'!$A:$AA,27,0),"")</f>
        <v>Re-order</v>
      </c>
      <c r="AF804" s="46">
        <f t="shared" si="194"/>
        <v>-1.4555555555555555</v>
      </c>
      <c r="AG804" s="46">
        <f>SUMIFS('[1]Raw Inventory'!D:D,'[1]Raw Inventory'!C:C,"GREATWALL",'[1]Raw Inventory'!B:B,A804)</f>
        <v>16</v>
      </c>
      <c r="AH804" s="46">
        <f>SUMIFS('[1]Raw Inventory'!D:D,'[1]Raw Inventory'!C:C,"DUARTE",'[1]Raw Inventory'!B:B,A804)</f>
        <v>0</v>
      </c>
      <c r="AI804" s="46"/>
      <c r="AJ804" s="46"/>
      <c r="AK804" s="43"/>
      <c r="AL804" s="43"/>
      <c r="AM804" s="43"/>
      <c r="AN804" s="43"/>
      <c r="AO804" s="43"/>
      <c r="AP804" s="43"/>
      <c r="AQ804" s="43"/>
      <c r="AR804" s="43"/>
      <c r="AS804" s="43"/>
      <c r="AT804" s="43"/>
    </row>
    <row r="805" spans="1:46">
      <c r="A805" s="43" t="s">
        <v>26</v>
      </c>
      <c r="B805" s="43" t="s">
        <v>114</v>
      </c>
      <c r="C805" s="43" t="s">
        <v>109</v>
      </c>
      <c r="D805" s="44" t="s">
        <v>233</v>
      </c>
      <c r="E805" s="44">
        <v>8</v>
      </c>
      <c r="F805" s="44" t="s">
        <v>2</v>
      </c>
      <c r="G805" s="43" t="str">
        <f>IFERROR(VLOOKUP(A805,'[1]MC Masterlist 2026-09-12'!$B:$M, 3, 0),"")</f>
        <v>SUZUKI</v>
      </c>
      <c r="H805" s="45">
        <f>IFERROR(VLOOKUP(A805,'[1]MC Masterlist 2026-09-12'!$B:$M, 6, 0),"")</f>
        <v>123700</v>
      </c>
      <c r="I805" s="46">
        <v>2</v>
      </c>
      <c r="J805" s="46">
        <v>1</v>
      </c>
      <c r="K805" s="46">
        <v>2</v>
      </c>
      <c r="L805" s="46">
        <f t="shared" si="180"/>
        <v>5</v>
      </c>
      <c r="M805" s="46">
        <f t="shared" si="181"/>
        <v>1.6666666666666667</v>
      </c>
      <c r="N805" s="45">
        <f t="shared" si="182"/>
        <v>618500</v>
      </c>
      <c r="O805" s="45">
        <f t="shared" si="183"/>
        <v>206166.66666666669</v>
      </c>
      <c r="P805" s="46">
        <f t="shared" si="184"/>
        <v>5.5555555555555559E-2</v>
      </c>
      <c r="Q805" s="46">
        <v>5</v>
      </c>
      <c r="R805" s="45">
        <f t="shared" si="185"/>
        <v>618500</v>
      </c>
      <c r="S805" s="46">
        <f t="shared" si="186"/>
        <v>89.999999999999986</v>
      </c>
      <c r="T805" s="46">
        <f>IFERROR(VLOOKUP(A805,'[1]Re-order'!$A:$Q,17,0),"")</f>
        <v>71.470588235294116</v>
      </c>
      <c r="U805" s="46">
        <f>IFERROR(VLOOKUP(A805,'[1]MC Masterlist 2026-09-12'!$B:$M, 10, 0),0)</f>
        <v>15</v>
      </c>
      <c r="V805" s="46">
        <f>IFERROR(VLOOKUP(A805,'[1]MC Masterlist 2026-09-12'!$B:$M, 11, 0),0)</f>
        <v>15</v>
      </c>
      <c r="W805" s="46">
        <f t="shared" si="187"/>
        <v>30</v>
      </c>
      <c r="X805" s="46">
        <f t="shared" si="188"/>
        <v>29.166666666666668</v>
      </c>
      <c r="Y805" s="46">
        <f>IFERROR(IF(OR(C805="AREA I",C805="AREA V"),7,VLOOKUP(A805,'[1]MC Masterlist 2026-09-12'!$B:$M, 12, 0)),0)</f>
        <v>30</v>
      </c>
      <c r="Z805" s="46">
        <f t="shared" si="189"/>
        <v>0.83333333333333337</v>
      </c>
      <c r="AA805" s="46">
        <f t="shared" si="190"/>
        <v>1.6666666666666667</v>
      </c>
      <c r="AB805" s="46">
        <f t="shared" si="191"/>
        <v>1.6203703703703705</v>
      </c>
      <c r="AC805" s="46">
        <f t="shared" si="192"/>
        <v>1.6666666666666667</v>
      </c>
      <c r="AD805" s="44" t="str">
        <f t="shared" si="193"/>
        <v>Over</v>
      </c>
      <c r="AE805" s="44" t="str">
        <f>IFERROR(VLOOKUP(A805,'[1]Re-order'!$A:$AA,27,0),"")</f>
        <v>Re-order</v>
      </c>
      <c r="AF805" s="46">
        <f t="shared" si="194"/>
        <v>-3.333333333333333</v>
      </c>
      <c r="AG805" s="46">
        <f>SUMIFS('[1]Raw Inventory'!D:D,'[1]Raw Inventory'!C:C,"GREATWALL",'[1]Raw Inventory'!B:B,A805)</f>
        <v>30</v>
      </c>
      <c r="AH805" s="46">
        <f>SUMIFS('[1]Raw Inventory'!D:D,'[1]Raw Inventory'!C:C,"DUARTE",'[1]Raw Inventory'!B:B,A805)</f>
        <v>0</v>
      </c>
      <c r="AI805" s="46"/>
      <c r="AJ805" s="46"/>
      <c r="AK805" s="43"/>
      <c r="AL805" s="43"/>
      <c r="AM805" s="43"/>
      <c r="AN805" s="43"/>
      <c r="AO805" s="43"/>
      <c r="AP805" s="43"/>
      <c r="AQ805" s="43"/>
      <c r="AR805" s="43"/>
      <c r="AS805" s="43"/>
      <c r="AT805" s="43"/>
    </row>
    <row r="806" spans="1:46">
      <c r="A806" s="43" t="s">
        <v>49</v>
      </c>
      <c r="B806" s="43" t="s">
        <v>93</v>
      </c>
      <c r="C806" s="43" t="s">
        <v>90</v>
      </c>
      <c r="D806" s="44" t="s">
        <v>238</v>
      </c>
      <c r="E806" s="44">
        <v>2</v>
      </c>
      <c r="F806" s="44" t="s">
        <v>0</v>
      </c>
      <c r="G806" s="43" t="str">
        <f>IFERROR(VLOOKUP(A806,'[1]MC Masterlist 2026-09-12'!$B:$M, 3, 0),"")</f>
        <v>BAJAJ RE</v>
      </c>
      <c r="H806" s="45">
        <f>IFERROR(VLOOKUP(A806,'[1]MC Masterlist 2026-09-12'!$B:$M, 6, 0),"")</f>
        <v>191000</v>
      </c>
      <c r="I806" s="46">
        <v>4</v>
      </c>
      <c r="J806" s="46">
        <v>1</v>
      </c>
      <c r="K806" s="46">
        <v>2</v>
      </c>
      <c r="L806" s="46">
        <f t="shared" si="180"/>
        <v>7</v>
      </c>
      <c r="M806" s="46">
        <f t="shared" si="181"/>
        <v>2.3333333333333335</v>
      </c>
      <c r="N806" s="45">
        <f t="shared" si="182"/>
        <v>1337000</v>
      </c>
      <c r="O806" s="45">
        <f t="shared" si="183"/>
        <v>445666.66666666669</v>
      </c>
      <c r="P806" s="46">
        <f t="shared" si="184"/>
        <v>7.7777777777777779E-2</v>
      </c>
      <c r="Q806" s="46">
        <v>1</v>
      </c>
      <c r="R806" s="45">
        <f t="shared" si="185"/>
        <v>191000</v>
      </c>
      <c r="S806" s="46">
        <f t="shared" si="186"/>
        <v>12.857142857142856</v>
      </c>
      <c r="T806" s="46">
        <f>IFERROR(VLOOKUP(A806,'[1]Re-order'!$A:$Q,17,0),"")</f>
        <v>21.516709511568124</v>
      </c>
      <c r="U806" s="46">
        <f>IFERROR(VLOOKUP(A806,'[1]MC Masterlist 2026-09-12'!$B:$M, 10, 0),0)</f>
        <v>15</v>
      </c>
      <c r="V806" s="46">
        <f>IFERROR(VLOOKUP(A806,'[1]MC Masterlist 2026-09-12'!$B:$M, 11, 0),0)</f>
        <v>15</v>
      </c>
      <c r="W806" s="46">
        <f t="shared" si="187"/>
        <v>30</v>
      </c>
      <c r="X806" s="46">
        <f t="shared" si="188"/>
        <v>28.833333333333332</v>
      </c>
      <c r="Y806" s="46">
        <f>IFERROR(IF(OR(C806="AREA I",C806="AREA V"),7,VLOOKUP(A806,'[1]MC Masterlist 2026-09-12'!$B:$M, 12, 0)),0)</f>
        <v>30</v>
      </c>
      <c r="Z806" s="46">
        <f t="shared" si="189"/>
        <v>1.1666666666666667</v>
      </c>
      <c r="AA806" s="46">
        <f t="shared" si="190"/>
        <v>2.3333333333333335</v>
      </c>
      <c r="AB806" s="46">
        <f t="shared" si="191"/>
        <v>2.2425925925925925</v>
      </c>
      <c r="AC806" s="46">
        <f t="shared" si="192"/>
        <v>2.3333333333333335</v>
      </c>
      <c r="AD806" s="44" t="str">
        <f t="shared" si="193"/>
        <v>Stockout</v>
      </c>
      <c r="AE806" s="44" t="str">
        <f>IFERROR(VLOOKUP(A806,'[1]Re-order'!$A:$AA,27,0),"")</f>
        <v>Stockout</v>
      </c>
      <c r="AF806" s="46">
        <f t="shared" si="194"/>
        <v>1.3333333333333335</v>
      </c>
      <c r="AG806" s="46">
        <f>SUMIFS('[1]Raw Inventory'!D:D,'[1]Raw Inventory'!C:C,"GREATWALL",'[1]Raw Inventory'!B:B,A806)</f>
        <v>0</v>
      </c>
      <c r="AH806" s="46">
        <f>SUMIFS('[1]Raw Inventory'!D:D,'[1]Raw Inventory'!C:C,"DUARTE",'[1]Raw Inventory'!B:B,A806)</f>
        <v>0</v>
      </c>
      <c r="AI806" s="46"/>
      <c r="AJ806" s="46"/>
      <c r="AK806" s="43"/>
      <c r="AL806" s="43"/>
      <c r="AM806" s="43"/>
      <c r="AN806" s="43"/>
      <c r="AO806" s="43"/>
      <c r="AP806" s="43"/>
      <c r="AQ806" s="43"/>
      <c r="AR806" s="43"/>
      <c r="AS806" s="43"/>
      <c r="AT806" s="43"/>
    </row>
    <row r="807" spans="1:46">
      <c r="A807" s="43" t="s">
        <v>49</v>
      </c>
      <c r="B807" s="43" t="s">
        <v>158</v>
      </c>
      <c r="C807" s="43" t="s">
        <v>152</v>
      </c>
      <c r="D807" s="44" t="s">
        <v>232</v>
      </c>
      <c r="E807" s="44">
        <v>25</v>
      </c>
      <c r="F807" s="44" t="s">
        <v>3</v>
      </c>
      <c r="G807" s="43" t="str">
        <f>IFERROR(VLOOKUP(A807,'[1]MC Masterlist 2026-09-12'!$B:$M, 3, 0),"")</f>
        <v>BAJAJ RE</v>
      </c>
      <c r="H807" s="45">
        <f>IFERROR(VLOOKUP(A807,'[1]MC Masterlist 2026-09-12'!$B:$M, 6, 0),"")</f>
        <v>191000</v>
      </c>
      <c r="I807" s="46">
        <v>0</v>
      </c>
      <c r="J807" s="46">
        <v>0</v>
      </c>
      <c r="K807" s="46">
        <v>0</v>
      </c>
      <c r="L807" s="46">
        <f t="shared" si="180"/>
        <v>0</v>
      </c>
      <c r="M807" s="46">
        <f t="shared" si="181"/>
        <v>0</v>
      </c>
      <c r="N807" s="45">
        <f t="shared" si="182"/>
        <v>0</v>
      </c>
      <c r="O807" s="45">
        <f t="shared" si="183"/>
        <v>0</v>
      </c>
      <c r="P807" s="46">
        <f t="shared" si="184"/>
        <v>0</v>
      </c>
      <c r="Q807" s="46">
        <v>1</v>
      </c>
      <c r="R807" s="45">
        <f t="shared" si="185"/>
        <v>191000</v>
      </c>
      <c r="S807" s="46">
        <f t="shared" si="186"/>
        <v>0</v>
      </c>
      <c r="T807" s="46">
        <f>IFERROR(VLOOKUP(A807,'[1]Re-order'!$A:$Q,17,0),"")</f>
        <v>21.516709511568124</v>
      </c>
      <c r="U807" s="46">
        <f>IFERROR(VLOOKUP(A807,'[1]MC Masterlist 2026-09-12'!$B:$M, 10, 0),0)</f>
        <v>15</v>
      </c>
      <c r="V807" s="46">
        <f>IFERROR(VLOOKUP(A807,'[1]MC Masterlist 2026-09-12'!$B:$M, 11, 0),0)</f>
        <v>15</v>
      </c>
      <c r="W807" s="46">
        <f t="shared" si="187"/>
        <v>30</v>
      </c>
      <c r="X807" s="46">
        <f t="shared" si="188"/>
        <v>30</v>
      </c>
      <c r="Y807" s="46">
        <f>IFERROR(IF(OR(C807="AREA I",C807="AREA V"),7,VLOOKUP(A807,'[1]MC Masterlist 2026-09-12'!$B:$M, 12, 0)),0)</f>
        <v>30</v>
      </c>
      <c r="Z807" s="46">
        <f t="shared" si="189"/>
        <v>0</v>
      </c>
      <c r="AA807" s="46">
        <f t="shared" si="190"/>
        <v>0</v>
      </c>
      <c r="AB807" s="46">
        <f t="shared" si="191"/>
        <v>0</v>
      </c>
      <c r="AC807" s="46">
        <f t="shared" si="192"/>
        <v>0</v>
      </c>
      <c r="AD807" s="44" t="str">
        <f t="shared" si="193"/>
        <v>Over</v>
      </c>
      <c r="AE807" s="44" t="str">
        <f>IFERROR(VLOOKUP(A807,'[1]Re-order'!$A:$AA,27,0),"")</f>
        <v>Stockout</v>
      </c>
      <c r="AF807" s="46">
        <f t="shared" si="194"/>
        <v>-1</v>
      </c>
      <c r="AG807" s="46">
        <f>SUMIFS('[1]Raw Inventory'!D:D,'[1]Raw Inventory'!C:C,"GREATWALL",'[1]Raw Inventory'!B:B,A807)</f>
        <v>0</v>
      </c>
      <c r="AH807" s="46">
        <f>SUMIFS('[1]Raw Inventory'!D:D,'[1]Raw Inventory'!C:C,"DUARTE",'[1]Raw Inventory'!B:B,A807)</f>
        <v>0</v>
      </c>
      <c r="AI807" s="46"/>
      <c r="AJ807" s="46"/>
      <c r="AK807" s="43"/>
      <c r="AL807" s="43"/>
      <c r="AM807" s="43"/>
      <c r="AN807" s="43"/>
      <c r="AO807" s="43"/>
      <c r="AP807" s="43"/>
      <c r="AQ807" s="43"/>
      <c r="AR807" s="43"/>
      <c r="AS807" s="43"/>
      <c r="AT807" s="43"/>
    </row>
    <row r="808" spans="1:46">
      <c r="A808" s="43" t="s">
        <v>23</v>
      </c>
      <c r="B808" s="43" t="s">
        <v>138</v>
      </c>
      <c r="C808" s="43" t="s">
        <v>137</v>
      </c>
      <c r="D808" s="44" t="s">
        <v>238</v>
      </c>
      <c r="E808" s="44">
        <v>2</v>
      </c>
      <c r="F808" s="44" t="s">
        <v>0</v>
      </c>
      <c r="G808" s="43" t="str">
        <f>IFERROR(VLOOKUP(A808,'[1]MC Masterlist 2026-09-12'!$B:$M, 3, 0),"")</f>
        <v>KAWASAKI</v>
      </c>
      <c r="H808" s="45">
        <f>IFERROR(VLOOKUP(A808,'[1]MC Masterlist 2026-09-12'!$B:$M, 6, 0),"")</f>
        <v>60656</v>
      </c>
      <c r="I808" s="46">
        <v>0</v>
      </c>
      <c r="J808" s="46">
        <v>0</v>
      </c>
      <c r="K808" s="46">
        <v>0</v>
      </c>
      <c r="L808" s="46">
        <f t="shared" si="180"/>
        <v>0</v>
      </c>
      <c r="M808" s="46">
        <f t="shared" si="181"/>
        <v>0</v>
      </c>
      <c r="N808" s="45">
        <f t="shared" si="182"/>
        <v>0</v>
      </c>
      <c r="O808" s="45">
        <f t="shared" si="183"/>
        <v>0</v>
      </c>
      <c r="P808" s="46">
        <f t="shared" si="184"/>
        <v>0</v>
      </c>
      <c r="Q808" s="46">
        <v>282</v>
      </c>
      <c r="R808" s="45">
        <f t="shared" si="185"/>
        <v>17104992</v>
      </c>
      <c r="S808" s="46">
        <f t="shared" si="186"/>
        <v>0</v>
      </c>
      <c r="T808" s="46">
        <f>IFERROR(VLOOKUP(A808,'[1]Re-order'!$A:$Q,17,0),"")</f>
        <v>53.973412112259979</v>
      </c>
      <c r="U808" s="46">
        <f>IFERROR(VLOOKUP(A808,'[1]MC Masterlist 2026-09-12'!$B:$M, 10, 0),0)</f>
        <v>15</v>
      </c>
      <c r="V808" s="46">
        <f>IFERROR(VLOOKUP(A808,'[1]MC Masterlist 2026-09-12'!$B:$M, 11, 0),0)</f>
        <v>15</v>
      </c>
      <c r="W808" s="46">
        <f t="shared" si="187"/>
        <v>30</v>
      </c>
      <c r="X808" s="46">
        <f t="shared" si="188"/>
        <v>7</v>
      </c>
      <c r="Y808" s="46">
        <f>IFERROR(IF(OR(C808="AREA I",C808="AREA V"),7,VLOOKUP(A808,'[1]MC Masterlist 2026-09-12'!$B:$M, 12, 0)),0)</f>
        <v>7</v>
      </c>
      <c r="Z808" s="46">
        <f t="shared" si="189"/>
        <v>0</v>
      </c>
      <c r="AA808" s="46">
        <f t="shared" si="190"/>
        <v>0</v>
      </c>
      <c r="AB808" s="46">
        <f t="shared" si="191"/>
        <v>0</v>
      </c>
      <c r="AC808" s="46">
        <f t="shared" si="192"/>
        <v>0</v>
      </c>
      <c r="AD808" s="44" t="str">
        <f t="shared" si="193"/>
        <v>Over</v>
      </c>
      <c r="AE808" s="44" t="str">
        <f>IFERROR(VLOOKUP(A808,'[1]Re-order'!$A:$AA,27,0),"")</f>
        <v>Re-order</v>
      </c>
      <c r="AF808" s="46">
        <f t="shared" si="194"/>
        <v>-282</v>
      </c>
      <c r="AG808" s="46">
        <f>SUMIFS('[1]Raw Inventory'!D:D,'[1]Raw Inventory'!C:C,"GREATWALL",'[1]Raw Inventory'!B:B,A808)</f>
        <v>282</v>
      </c>
      <c r="AH808" s="46">
        <f>SUMIFS('[1]Raw Inventory'!D:D,'[1]Raw Inventory'!C:C,"DUARTE",'[1]Raw Inventory'!B:B,A808)</f>
        <v>0</v>
      </c>
      <c r="AI808" s="46"/>
      <c r="AJ808" s="46"/>
      <c r="AK808" s="43"/>
      <c r="AL808" s="43"/>
      <c r="AM808" s="43"/>
      <c r="AN808" s="43"/>
      <c r="AO808" s="43"/>
      <c r="AP808" s="43"/>
      <c r="AQ808" s="43"/>
      <c r="AR808" s="43"/>
      <c r="AS808" s="43"/>
      <c r="AT808" s="43"/>
    </row>
    <row r="809" spans="1:46">
      <c r="A809" s="43" t="s">
        <v>87</v>
      </c>
      <c r="B809" s="43" t="s">
        <v>30</v>
      </c>
      <c r="C809" s="43" t="s">
        <v>1</v>
      </c>
      <c r="D809" s="44" t="s">
        <v>258</v>
      </c>
      <c r="E809" s="44">
        <v>37</v>
      </c>
      <c r="F809" s="44" t="s">
        <v>3</v>
      </c>
      <c r="G809" s="43" t="str">
        <f>IFERROR(VLOOKUP(A809,'[1]MC Masterlist 2026-09-12'!$B:$M, 3, 0),"")</f>
        <v>HONDA</v>
      </c>
      <c r="H809" s="45">
        <f>IFERROR(VLOOKUP(A809,'[1]MC Masterlist 2026-09-12'!$B:$M, 6, 0),"")</f>
        <v>156098</v>
      </c>
      <c r="I809" s="46">
        <v>0</v>
      </c>
      <c r="J809" s="46">
        <v>0</v>
      </c>
      <c r="K809" s="46">
        <v>0</v>
      </c>
      <c r="L809" s="46">
        <f t="shared" si="180"/>
        <v>0</v>
      </c>
      <c r="M809" s="46">
        <f t="shared" si="181"/>
        <v>0</v>
      </c>
      <c r="N809" s="45">
        <f t="shared" si="182"/>
        <v>0</v>
      </c>
      <c r="O809" s="45">
        <f t="shared" si="183"/>
        <v>0</v>
      </c>
      <c r="P809" s="46">
        <f t="shared" si="184"/>
        <v>0</v>
      </c>
      <c r="Q809" s="46">
        <v>1</v>
      </c>
      <c r="R809" s="45">
        <f t="shared" si="185"/>
        <v>156098</v>
      </c>
      <c r="S809" s="46">
        <f t="shared" si="186"/>
        <v>0</v>
      </c>
      <c r="T809" s="46" t="str">
        <f>IFERROR(VLOOKUP(A809,'[1]Re-order'!$A:$Q,17,0),"")</f>
        <v/>
      </c>
      <c r="U809" s="46">
        <f>IFERROR(VLOOKUP(A809,'[1]MC Masterlist 2026-09-12'!$B:$M, 10, 0),0)</f>
        <v>15</v>
      </c>
      <c r="V809" s="46">
        <f>IFERROR(VLOOKUP(A809,'[1]MC Masterlist 2026-09-12'!$B:$M, 11, 0),0)</f>
        <v>15</v>
      </c>
      <c r="W809" s="46">
        <f t="shared" si="187"/>
        <v>30</v>
      </c>
      <c r="X809" s="46">
        <f t="shared" si="188"/>
        <v>7</v>
      </c>
      <c r="Y809" s="46">
        <f>IFERROR(IF(OR(C809="AREA I",C809="AREA V"),7,VLOOKUP(A809,'[1]MC Masterlist 2026-09-12'!$B:$M, 12, 0)),0)</f>
        <v>7</v>
      </c>
      <c r="Z809" s="46">
        <f t="shared" si="189"/>
        <v>0</v>
      </c>
      <c r="AA809" s="46">
        <f t="shared" si="190"/>
        <v>0</v>
      </c>
      <c r="AB809" s="46">
        <f t="shared" si="191"/>
        <v>0</v>
      </c>
      <c r="AC809" s="46">
        <f t="shared" si="192"/>
        <v>0</v>
      </c>
      <c r="AD809" s="44" t="str">
        <f t="shared" si="193"/>
        <v>Over</v>
      </c>
      <c r="AE809" s="44" t="str">
        <f>IFERROR(VLOOKUP(A809,'[1]Re-order'!$A:$AA,27,0),"")</f>
        <v>Over</v>
      </c>
      <c r="AF809" s="46">
        <f t="shared" si="194"/>
        <v>-1</v>
      </c>
      <c r="AG809" s="46">
        <f>SUMIFS('[1]Raw Inventory'!D:D,'[1]Raw Inventory'!C:C,"GREATWALL",'[1]Raw Inventory'!B:B,A809)</f>
        <v>0</v>
      </c>
      <c r="AH809" s="46">
        <f>SUMIFS('[1]Raw Inventory'!D:D,'[1]Raw Inventory'!C:C,"DUARTE",'[1]Raw Inventory'!B:B,A809)</f>
        <v>0</v>
      </c>
      <c r="AI809" s="46"/>
      <c r="AJ809" s="46"/>
      <c r="AK809" s="43"/>
      <c r="AL809" s="43"/>
      <c r="AM809" s="43"/>
      <c r="AN809" s="43"/>
      <c r="AO809" s="43"/>
      <c r="AP809" s="43"/>
      <c r="AQ809" s="43"/>
      <c r="AR809" s="43"/>
      <c r="AS809" s="43"/>
      <c r="AT809" s="43"/>
    </row>
    <row r="810" spans="1:46">
      <c r="A810" s="43" t="s">
        <v>43</v>
      </c>
      <c r="B810" s="43" t="s">
        <v>98</v>
      </c>
      <c r="C810" s="43" t="s">
        <v>90</v>
      </c>
      <c r="D810" s="44" t="s">
        <v>240</v>
      </c>
      <c r="E810" s="44">
        <v>11</v>
      </c>
      <c r="F810" s="44" t="s">
        <v>2</v>
      </c>
      <c r="G810" s="43" t="str">
        <f>IFERROR(VLOOKUP(A810,'[1]MC Masterlist 2026-09-12'!$B:$M, 3, 0),"")</f>
        <v>YAMAHA</v>
      </c>
      <c r="H810" s="45">
        <f>IFERROR(VLOOKUP(A810,'[1]MC Masterlist 2026-09-12'!$B:$M, 6, 0),"")</f>
        <v>70587</v>
      </c>
      <c r="I810" s="46">
        <v>2</v>
      </c>
      <c r="J810" s="46">
        <v>1</v>
      </c>
      <c r="K810" s="46">
        <v>0</v>
      </c>
      <c r="L810" s="46">
        <f t="shared" si="180"/>
        <v>3</v>
      </c>
      <c r="M810" s="46">
        <f t="shared" si="181"/>
        <v>1</v>
      </c>
      <c r="N810" s="45">
        <f t="shared" si="182"/>
        <v>211761</v>
      </c>
      <c r="O810" s="45">
        <f t="shared" si="183"/>
        <v>70587</v>
      </c>
      <c r="P810" s="46">
        <f t="shared" si="184"/>
        <v>3.3333333333333333E-2</v>
      </c>
      <c r="Q810" s="46">
        <v>1</v>
      </c>
      <c r="R810" s="45">
        <f t="shared" si="185"/>
        <v>70587</v>
      </c>
      <c r="S810" s="46">
        <f t="shared" si="186"/>
        <v>30</v>
      </c>
      <c r="T810" s="46">
        <f>IFERROR(VLOOKUP(A810,'[1]Re-order'!$A:$Q,17,0),"")</f>
        <v>43.578947368421055</v>
      </c>
      <c r="U810" s="46">
        <f>IFERROR(VLOOKUP(A810,'[1]MC Masterlist 2026-09-12'!$B:$M, 10, 0),0)</f>
        <v>15</v>
      </c>
      <c r="V810" s="46">
        <f>IFERROR(VLOOKUP(A810,'[1]MC Masterlist 2026-09-12'!$B:$M, 11, 0),0)</f>
        <v>15</v>
      </c>
      <c r="W810" s="46">
        <f t="shared" si="187"/>
        <v>30</v>
      </c>
      <c r="X810" s="46">
        <f t="shared" si="188"/>
        <v>29.5</v>
      </c>
      <c r="Y810" s="46">
        <f>IFERROR(IF(OR(C810="AREA I",C810="AREA V"),7,VLOOKUP(A810,'[1]MC Masterlist 2026-09-12'!$B:$M, 12, 0)),0)</f>
        <v>30</v>
      </c>
      <c r="Z810" s="46">
        <f t="shared" si="189"/>
        <v>0.5</v>
      </c>
      <c r="AA810" s="46">
        <f t="shared" si="190"/>
        <v>1</v>
      </c>
      <c r="AB810" s="46">
        <f t="shared" si="191"/>
        <v>0.98333333333333328</v>
      </c>
      <c r="AC810" s="46">
        <f t="shared" si="192"/>
        <v>1</v>
      </c>
      <c r="AD810" s="44" t="str">
        <f t="shared" si="193"/>
        <v>Re-order</v>
      </c>
      <c r="AE810" s="44" t="str">
        <f>IFERROR(VLOOKUP(A810,'[1]Re-order'!$A:$AA,27,0),"")</f>
        <v>Re-order</v>
      </c>
      <c r="AF810" s="46">
        <f t="shared" si="194"/>
        <v>0</v>
      </c>
      <c r="AG810" s="46">
        <f>SUMIFS('[1]Raw Inventory'!D:D,'[1]Raw Inventory'!C:C,"GREATWALL",'[1]Raw Inventory'!B:B,A810)</f>
        <v>0</v>
      </c>
      <c r="AH810" s="46">
        <f>SUMIFS('[1]Raw Inventory'!D:D,'[1]Raw Inventory'!C:C,"DUARTE",'[1]Raw Inventory'!B:B,A810)</f>
        <v>0</v>
      </c>
      <c r="AI810" s="46"/>
      <c r="AJ810" s="46"/>
      <c r="AK810" s="43"/>
      <c r="AL810" s="43"/>
      <c r="AM810" s="43"/>
      <c r="AN810" s="43"/>
      <c r="AO810" s="43"/>
      <c r="AP810" s="43"/>
      <c r="AQ810" s="43"/>
      <c r="AR810" s="43"/>
      <c r="AS810" s="43"/>
      <c r="AT810" s="43"/>
    </row>
    <row r="811" spans="1:46">
      <c r="A811" s="43" t="s">
        <v>16</v>
      </c>
      <c r="B811" s="43" t="s">
        <v>91</v>
      </c>
      <c r="C811" s="43" t="s">
        <v>90</v>
      </c>
      <c r="D811" s="44" t="s">
        <v>259</v>
      </c>
      <c r="E811" s="44">
        <v>5</v>
      </c>
      <c r="F811" s="44" t="s">
        <v>0</v>
      </c>
      <c r="G811" s="43" t="str">
        <f>IFERROR(VLOOKUP(A811,'[1]MC Masterlist 2026-09-12'!$B:$M, 3, 0),"")</f>
        <v>HONDA</v>
      </c>
      <c r="H811" s="45">
        <f>IFERROR(VLOOKUP(A811,'[1]MC Masterlist 2026-09-12'!$B:$M, 6, 0),"")</f>
        <v>84394</v>
      </c>
      <c r="I811" s="46">
        <v>2</v>
      </c>
      <c r="J811" s="46">
        <v>3</v>
      </c>
      <c r="K811" s="46">
        <v>1</v>
      </c>
      <c r="L811" s="46">
        <f t="shared" si="180"/>
        <v>6</v>
      </c>
      <c r="M811" s="46">
        <f t="shared" si="181"/>
        <v>2</v>
      </c>
      <c r="N811" s="45">
        <f t="shared" si="182"/>
        <v>506364</v>
      </c>
      <c r="O811" s="45">
        <f t="shared" si="183"/>
        <v>168788</v>
      </c>
      <c r="P811" s="46">
        <f t="shared" si="184"/>
        <v>6.6666666666666666E-2</v>
      </c>
      <c r="Q811" s="46">
        <v>3</v>
      </c>
      <c r="R811" s="45">
        <f t="shared" si="185"/>
        <v>253182</v>
      </c>
      <c r="S811" s="46">
        <f t="shared" si="186"/>
        <v>45</v>
      </c>
      <c r="T811" s="46">
        <f>IFERROR(VLOOKUP(A811,'[1]Re-order'!$A:$Q,17,0),"")</f>
        <v>26.332665330661321</v>
      </c>
      <c r="U811" s="46">
        <f>IFERROR(VLOOKUP(A811,'[1]MC Masterlist 2026-09-12'!$B:$M, 10, 0),0)</f>
        <v>15</v>
      </c>
      <c r="V811" s="46">
        <f>IFERROR(VLOOKUP(A811,'[1]MC Masterlist 2026-09-12'!$B:$M, 11, 0),0)</f>
        <v>15</v>
      </c>
      <c r="W811" s="46">
        <f t="shared" si="187"/>
        <v>30</v>
      </c>
      <c r="X811" s="46">
        <f t="shared" si="188"/>
        <v>29</v>
      </c>
      <c r="Y811" s="46">
        <f>IFERROR(IF(OR(C811="AREA I",C811="AREA V"),7,VLOOKUP(A811,'[1]MC Masterlist 2026-09-12'!$B:$M, 12, 0)),0)</f>
        <v>30</v>
      </c>
      <c r="Z811" s="46">
        <f t="shared" si="189"/>
        <v>1</v>
      </c>
      <c r="AA811" s="46">
        <f t="shared" si="190"/>
        <v>2</v>
      </c>
      <c r="AB811" s="46">
        <f t="shared" si="191"/>
        <v>1.9333333333333333</v>
      </c>
      <c r="AC811" s="46">
        <f t="shared" si="192"/>
        <v>2</v>
      </c>
      <c r="AD811" s="44" t="str">
        <f t="shared" si="193"/>
        <v>Over</v>
      </c>
      <c r="AE811" s="44" t="str">
        <f>IFERROR(VLOOKUP(A811,'[1]Re-order'!$A:$AA,27,0),"")</f>
        <v>Stockout</v>
      </c>
      <c r="AF811" s="46">
        <f t="shared" si="194"/>
        <v>-1</v>
      </c>
      <c r="AG811" s="46">
        <f>SUMIFS('[1]Raw Inventory'!D:D,'[1]Raw Inventory'!C:C,"GREATWALL",'[1]Raw Inventory'!B:B,A811)</f>
        <v>58</v>
      </c>
      <c r="AH811" s="46">
        <f>SUMIFS('[1]Raw Inventory'!D:D,'[1]Raw Inventory'!C:C,"DUARTE",'[1]Raw Inventory'!B:B,A811)</f>
        <v>0</v>
      </c>
      <c r="AI811" s="46"/>
      <c r="AJ811" s="46"/>
      <c r="AK811" s="43"/>
      <c r="AL811" s="43"/>
      <c r="AM811" s="43"/>
      <c r="AN811" s="43"/>
      <c r="AO811" s="43"/>
      <c r="AP811" s="43"/>
      <c r="AQ811" s="43"/>
      <c r="AR811" s="43"/>
      <c r="AS811" s="43"/>
      <c r="AT811" s="43"/>
    </row>
    <row r="812" spans="1:46">
      <c r="A812" s="43" t="s">
        <v>31</v>
      </c>
      <c r="B812" s="43" t="s">
        <v>95</v>
      </c>
      <c r="C812" s="43" t="s">
        <v>90</v>
      </c>
      <c r="D812" s="44" t="s">
        <v>233</v>
      </c>
      <c r="E812" s="44">
        <v>9</v>
      </c>
      <c r="F812" s="44" t="s">
        <v>2</v>
      </c>
      <c r="G812" s="43" t="str">
        <f>IFERROR(VLOOKUP(A812,'[1]MC Masterlist 2026-09-12'!$B:$M, 3, 0),"")</f>
        <v>KAWASAKI</v>
      </c>
      <c r="H812" s="45">
        <f>IFERROR(VLOOKUP(A812,'[1]MC Masterlist 2026-09-12'!$B:$M, 6, 0),"")</f>
        <v>59528</v>
      </c>
      <c r="I812" s="46">
        <v>1</v>
      </c>
      <c r="J812" s="46">
        <v>2</v>
      </c>
      <c r="K812" s="46">
        <v>1</v>
      </c>
      <c r="L812" s="46">
        <f t="shared" si="180"/>
        <v>4</v>
      </c>
      <c r="M812" s="46">
        <f t="shared" si="181"/>
        <v>1.3333333333333333</v>
      </c>
      <c r="N812" s="45">
        <f t="shared" si="182"/>
        <v>238112</v>
      </c>
      <c r="O812" s="45">
        <f t="shared" si="183"/>
        <v>79370.666666666657</v>
      </c>
      <c r="P812" s="46">
        <f t="shared" si="184"/>
        <v>4.4444444444444439E-2</v>
      </c>
      <c r="Q812" s="46">
        <v>6</v>
      </c>
      <c r="R812" s="45">
        <f t="shared" si="185"/>
        <v>357168</v>
      </c>
      <c r="S812" s="46">
        <f t="shared" si="186"/>
        <v>135.00000000000003</v>
      </c>
      <c r="T812" s="46">
        <f>IFERROR(VLOOKUP(A812,'[1]Re-order'!$A:$Q,17,0),"")</f>
        <v>95.869565217391298</v>
      </c>
      <c r="U812" s="46">
        <f>IFERROR(VLOOKUP(A812,'[1]MC Masterlist 2026-09-12'!$B:$M, 10, 0),0)</f>
        <v>15</v>
      </c>
      <c r="V812" s="46">
        <f>IFERROR(VLOOKUP(A812,'[1]MC Masterlist 2026-09-12'!$B:$M, 11, 0),0)</f>
        <v>15</v>
      </c>
      <c r="W812" s="46">
        <f t="shared" si="187"/>
        <v>30</v>
      </c>
      <c r="X812" s="46">
        <f t="shared" si="188"/>
        <v>29.333333333333332</v>
      </c>
      <c r="Y812" s="46">
        <f>IFERROR(IF(OR(C812="AREA I",C812="AREA V"),7,VLOOKUP(A812,'[1]MC Masterlist 2026-09-12'!$B:$M, 12, 0)),0)</f>
        <v>30</v>
      </c>
      <c r="Z812" s="46">
        <f t="shared" si="189"/>
        <v>0.66666666666666663</v>
      </c>
      <c r="AA812" s="46">
        <f t="shared" si="190"/>
        <v>1.3333333333333333</v>
      </c>
      <c r="AB812" s="46">
        <f t="shared" si="191"/>
        <v>1.3037037037037036</v>
      </c>
      <c r="AC812" s="46">
        <f t="shared" si="192"/>
        <v>1.3333333333333333</v>
      </c>
      <c r="AD812" s="44" t="str">
        <f t="shared" si="193"/>
        <v>Over</v>
      </c>
      <c r="AE812" s="44" t="str">
        <f>IFERROR(VLOOKUP(A812,'[1]Re-order'!$A:$AA,27,0),"")</f>
        <v>Over</v>
      </c>
      <c r="AF812" s="46">
        <f t="shared" si="194"/>
        <v>-4.666666666666667</v>
      </c>
      <c r="AG812" s="46">
        <f>SUMIFS('[1]Raw Inventory'!D:D,'[1]Raw Inventory'!C:C,"GREATWALL",'[1]Raw Inventory'!B:B,A812)</f>
        <v>79</v>
      </c>
      <c r="AH812" s="46">
        <f>SUMIFS('[1]Raw Inventory'!D:D,'[1]Raw Inventory'!C:C,"DUARTE",'[1]Raw Inventory'!B:B,A812)</f>
        <v>0</v>
      </c>
      <c r="AI812" s="46"/>
      <c r="AJ812" s="46"/>
      <c r="AK812" s="43"/>
      <c r="AL812" s="43"/>
      <c r="AM812" s="43"/>
      <c r="AN812" s="43"/>
      <c r="AO812" s="43"/>
      <c r="AP812" s="43"/>
      <c r="AQ812" s="43"/>
      <c r="AR812" s="43"/>
      <c r="AS812" s="43"/>
      <c r="AT812" s="43"/>
    </row>
    <row r="813" spans="1:46">
      <c r="A813" s="43" t="s">
        <v>25</v>
      </c>
      <c r="B813" s="43" t="s">
        <v>27</v>
      </c>
      <c r="C813" s="43" t="s">
        <v>1</v>
      </c>
      <c r="D813" s="44" t="s">
        <v>223</v>
      </c>
      <c r="E813" s="44">
        <v>19</v>
      </c>
      <c r="F813" s="44" t="s">
        <v>3</v>
      </c>
      <c r="G813" s="43" t="str">
        <f>IFERROR(VLOOKUP(A813,'[1]MC Masterlist 2026-09-12'!$B:$M, 3, 0),"")</f>
        <v>YAMAHA</v>
      </c>
      <c r="H813" s="45">
        <f>IFERROR(VLOOKUP(A813,'[1]MC Masterlist 2026-09-12'!$B:$M, 6, 0),"")</f>
        <v>124527</v>
      </c>
      <c r="I813" s="46">
        <v>2</v>
      </c>
      <c r="J813" s="46">
        <v>0</v>
      </c>
      <c r="K813" s="46">
        <v>0</v>
      </c>
      <c r="L813" s="46">
        <f t="shared" si="180"/>
        <v>2</v>
      </c>
      <c r="M813" s="46">
        <f t="shared" si="181"/>
        <v>0.66666666666666663</v>
      </c>
      <c r="N813" s="45">
        <f t="shared" si="182"/>
        <v>249054</v>
      </c>
      <c r="O813" s="45">
        <f t="shared" si="183"/>
        <v>83018</v>
      </c>
      <c r="P813" s="46">
        <f t="shared" si="184"/>
        <v>2.222222222222222E-2</v>
      </c>
      <c r="Q813" s="46"/>
      <c r="R813" s="45">
        <f t="shared" si="185"/>
        <v>0</v>
      </c>
      <c r="S813" s="46">
        <f t="shared" si="186"/>
        <v>0</v>
      </c>
      <c r="T813" s="46">
        <f>IFERROR(VLOOKUP(A813,'[1]Re-order'!$A:$Q,17,0),"")</f>
        <v>5.1030927835051543</v>
      </c>
      <c r="U813" s="46">
        <f>IFERROR(VLOOKUP(A813,'[1]MC Masterlist 2026-09-12'!$B:$M, 10, 0),0)</f>
        <v>15</v>
      </c>
      <c r="V813" s="46">
        <f>IFERROR(VLOOKUP(A813,'[1]MC Masterlist 2026-09-12'!$B:$M, 11, 0),0)</f>
        <v>15</v>
      </c>
      <c r="W813" s="46">
        <f t="shared" si="187"/>
        <v>30</v>
      </c>
      <c r="X813" s="46">
        <f t="shared" si="188"/>
        <v>6.666666666666667</v>
      </c>
      <c r="Y813" s="46">
        <f>IFERROR(IF(OR(C813="AREA I",C813="AREA V"),7,VLOOKUP(A813,'[1]MC Masterlist 2026-09-12'!$B:$M, 12, 0)),0)</f>
        <v>7</v>
      </c>
      <c r="Z813" s="46">
        <f t="shared" si="189"/>
        <v>0.33333333333333331</v>
      </c>
      <c r="AA813" s="46">
        <f t="shared" si="190"/>
        <v>0.66666666666666663</v>
      </c>
      <c r="AB813" s="46">
        <f t="shared" si="191"/>
        <v>0.14814814814814814</v>
      </c>
      <c r="AC813" s="46">
        <f t="shared" si="192"/>
        <v>0.15555555555555553</v>
      </c>
      <c r="AD813" s="44" t="str">
        <f t="shared" si="193"/>
        <v>Stockout</v>
      </c>
      <c r="AE813" s="44" t="str">
        <f>IFERROR(VLOOKUP(A813,'[1]Re-order'!$A:$AA,27,0),"")</f>
        <v>Stockout</v>
      </c>
      <c r="AF813" s="46">
        <f t="shared" si="194"/>
        <v>0.15555555555555553</v>
      </c>
      <c r="AG813" s="46">
        <f>SUMIFS('[1]Raw Inventory'!D:D,'[1]Raw Inventory'!C:C,"GREATWALL",'[1]Raw Inventory'!B:B,A813)</f>
        <v>1</v>
      </c>
      <c r="AH813" s="46">
        <f>SUMIFS('[1]Raw Inventory'!D:D,'[1]Raw Inventory'!C:C,"DUARTE",'[1]Raw Inventory'!B:B,A813)</f>
        <v>0</v>
      </c>
      <c r="AI813" s="46"/>
      <c r="AJ813" s="46"/>
      <c r="AK813" s="43"/>
      <c r="AL813" s="43"/>
      <c r="AM813" s="43"/>
      <c r="AN813" s="43"/>
      <c r="AO813" s="43"/>
      <c r="AP813" s="43"/>
      <c r="AQ813" s="43"/>
      <c r="AR813" s="43"/>
      <c r="AS813" s="43"/>
      <c r="AT813" s="43"/>
    </row>
    <row r="814" spans="1:46">
      <c r="A814" s="43" t="s">
        <v>48</v>
      </c>
      <c r="B814" s="43" t="s">
        <v>141</v>
      </c>
      <c r="C814" s="43" t="s">
        <v>137</v>
      </c>
      <c r="D814" s="44" t="s">
        <v>261</v>
      </c>
      <c r="E814" s="44">
        <v>19</v>
      </c>
      <c r="F814" s="44" t="s">
        <v>2</v>
      </c>
      <c r="G814" s="43" t="str">
        <f>IFERROR(VLOOKUP(A814,'[1]MC Masterlist 2026-09-12'!$B:$M, 3, 0),"")</f>
        <v>SUZUKI</v>
      </c>
      <c r="H814" s="45">
        <f>IFERROR(VLOOKUP(A814,'[1]MC Masterlist 2026-09-12'!$B:$M, 6, 0),"")</f>
        <v>82687</v>
      </c>
      <c r="I814" s="46">
        <v>1</v>
      </c>
      <c r="J814" s="46">
        <v>0</v>
      </c>
      <c r="K814" s="46">
        <v>1</v>
      </c>
      <c r="L814" s="46">
        <f t="shared" si="180"/>
        <v>2</v>
      </c>
      <c r="M814" s="46">
        <f t="shared" si="181"/>
        <v>0.66666666666666663</v>
      </c>
      <c r="N814" s="45">
        <f t="shared" si="182"/>
        <v>165374</v>
      </c>
      <c r="O814" s="45">
        <f t="shared" si="183"/>
        <v>55124.666666666664</v>
      </c>
      <c r="P814" s="46">
        <f t="shared" si="184"/>
        <v>2.222222222222222E-2</v>
      </c>
      <c r="Q814" s="46">
        <v>0</v>
      </c>
      <c r="R814" s="45">
        <f t="shared" si="185"/>
        <v>0</v>
      </c>
      <c r="S814" s="46">
        <f t="shared" si="186"/>
        <v>0</v>
      </c>
      <c r="T814" s="46">
        <f>IFERROR(VLOOKUP(A814,'[1]Re-order'!$A:$Q,17,0),"")</f>
        <v>303.75</v>
      </c>
      <c r="U814" s="46">
        <f>IFERROR(VLOOKUP(A814,'[1]MC Masterlist 2026-09-12'!$B:$M, 10, 0),0)</f>
        <v>15</v>
      </c>
      <c r="V814" s="46">
        <f>IFERROR(VLOOKUP(A814,'[1]MC Masterlist 2026-09-12'!$B:$M, 11, 0),0)</f>
        <v>15</v>
      </c>
      <c r="W814" s="46">
        <f t="shared" si="187"/>
        <v>30</v>
      </c>
      <c r="X814" s="46">
        <f t="shared" si="188"/>
        <v>6.666666666666667</v>
      </c>
      <c r="Y814" s="46">
        <f>IFERROR(IF(OR(C814="AREA I",C814="AREA V"),7,VLOOKUP(A814,'[1]MC Masterlist 2026-09-12'!$B:$M, 12, 0)),0)</f>
        <v>7</v>
      </c>
      <c r="Z814" s="46">
        <f t="shared" si="189"/>
        <v>0.33333333333333331</v>
      </c>
      <c r="AA814" s="46">
        <f t="shared" si="190"/>
        <v>0.66666666666666663</v>
      </c>
      <c r="AB814" s="46">
        <f t="shared" si="191"/>
        <v>0.14814814814814814</v>
      </c>
      <c r="AC814" s="46">
        <f t="shared" si="192"/>
        <v>0.15555555555555553</v>
      </c>
      <c r="AD814" s="44" t="str">
        <f t="shared" si="193"/>
        <v>Stockout</v>
      </c>
      <c r="AE814" s="44" t="str">
        <f>IFERROR(VLOOKUP(A814,'[1]Re-order'!$A:$AA,27,0),"")</f>
        <v>Over</v>
      </c>
      <c r="AF814" s="46">
        <f t="shared" si="194"/>
        <v>0.15555555555555553</v>
      </c>
      <c r="AG814" s="46">
        <f>SUMIFS('[1]Raw Inventory'!D:D,'[1]Raw Inventory'!C:C,"GREATWALL",'[1]Raw Inventory'!B:B,A814)</f>
        <v>10</v>
      </c>
      <c r="AH814" s="46">
        <f>SUMIFS('[1]Raw Inventory'!D:D,'[1]Raw Inventory'!C:C,"DUARTE",'[1]Raw Inventory'!B:B,A814)</f>
        <v>0</v>
      </c>
      <c r="AI814" s="46"/>
      <c r="AJ814" s="46"/>
      <c r="AK814" s="43"/>
      <c r="AL814" s="43"/>
      <c r="AM814" s="43"/>
      <c r="AN814" s="43"/>
      <c r="AO814" s="43"/>
      <c r="AP814" s="43"/>
      <c r="AQ814" s="43"/>
      <c r="AR814" s="43"/>
      <c r="AS814" s="43"/>
      <c r="AT814" s="43"/>
    </row>
    <row r="815" spans="1:46">
      <c r="A815" s="43" t="s">
        <v>71</v>
      </c>
      <c r="B815" s="43" t="s">
        <v>116</v>
      </c>
      <c r="C815" s="43" t="s">
        <v>109</v>
      </c>
      <c r="D815" s="44" t="s">
        <v>236</v>
      </c>
      <c r="E815" s="44">
        <v>4</v>
      </c>
      <c r="F815" s="44" t="s">
        <v>2</v>
      </c>
      <c r="G815" s="43" t="str">
        <f>IFERROR(VLOOKUP(A815,'[1]MC Masterlist 2026-09-12'!$B:$M, 3, 0),"")</f>
        <v>SUZUKI</v>
      </c>
      <c r="H815" s="45">
        <f>IFERROR(VLOOKUP(A815,'[1]MC Masterlist 2026-09-12'!$B:$M, 6, 0),"")</f>
        <v>156250</v>
      </c>
      <c r="I815" s="46">
        <v>0</v>
      </c>
      <c r="J815" s="46">
        <v>0</v>
      </c>
      <c r="K815" s="46">
        <v>1</v>
      </c>
      <c r="L815" s="46">
        <f t="shared" si="180"/>
        <v>1</v>
      </c>
      <c r="M815" s="46">
        <f t="shared" si="181"/>
        <v>0.33333333333333331</v>
      </c>
      <c r="N815" s="45">
        <f t="shared" si="182"/>
        <v>156250</v>
      </c>
      <c r="O815" s="45">
        <f t="shared" si="183"/>
        <v>52083.333333333328</v>
      </c>
      <c r="P815" s="46">
        <f t="shared" si="184"/>
        <v>1.111111111111111E-2</v>
      </c>
      <c r="Q815" s="46">
        <v>1</v>
      </c>
      <c r="R815" s="45">
        <f t="shared" si="185"/>
        <v>156250</v>
      </c>
      <c r="S815" s="46">
        <f t="shared" si="186"/>
        <v>90.000000000000014</v>
      </c>
      <c r="T815" s="46">
        <f>IFERROR(VLOOKUP(A815,'[1]Re-order'!$A:$Q,17,0),"")</f>
        <v>612</v>
      </c>
      <c r="U815" s="46">
        <f>IFERROR(VLOOKUP(A815,'[1]MC Masterlist 2026-09-12'!$B:$M, 10, 0),0)</f>
        <v>15</v>
      </c>
      <c r="V815" s="46">
        <f>IFERROR(VLOOKUP(A815,'[1]MC Masterlist 2026-09-12'!$B:$M, 11, 0),0)</f>
        <v>15</v>
      </c>
      <c r="W815" s="46">
        <f t="shared" si="187"/>
        <v>30</v>
      </c>
      <c r="X815" s="46">
        <f t="shared" si="188"/>
        <v>29.833333333333332</v>
      </c>
      <c r="Y815" s="46">
        <f>IFERROR(IF(OR(C815="AREA I",C815="AREA V"),7,VLOOKUP(A815,'[1]MC Masterlist 2026-09-12'!$B:$M, 12, 0)),0)</f>
        <v>30</v>
      </c>
      <c r="Z815" s="46">
        <f t="shared" si="189"/>
        <v>0.16666666666666666</v>
      </c>
      <c r="AA815" s="46">
        <f t="shared" si="190"/>
        <v>0.33333333333333331</v>
      </c>
      <c r="AB815" s="46">
        <f t="shared" si="191"/>
        <v>0.33148148148148143</v>
      </c>
      <c r="AC815" s="46">
        <f t="shared" si="192"/>
        <v>0.33333333333333331</v>
      </c>
      <c r="AD815" s="44" t="str">
        <f t="shared" si="193"/>
        <v>Over</v>
      </c>
      <c r="AE815" s="44" t="str">
        <f>IFERROR(VLOOKUP(A815,'[1]Re-order'!$A:$AA,27,0),"")</f>
        <v>Over</v>
      </c>
      <c r="AF815" s="46">
        <f t="shared" si="194"/>
        <v>-0.66666666666666674</v>
      </c>
      <c r="AG815" s="46">
        <f>SUMIFS('[1]Raw Inventory'!D:D,'[1]Raw Inventory'!C:C,"GREATWALL",'[1]Raw Inventory'!B:B,A815)</f>
        <v>13</v>
      </c>
      <c r="AH815" s="46">
        <f>SUMIFS('[1]Raw Inventory'!D:D,'[1]Raw Inventory'!C:C,"DUARTE",'[1]Raw Inventory'!B:B,A815)</f>
        <v>0</v>
      </c>
      <c r="AI815" s="46"/>
      <c r="AJ815" s="46"/>
      <c r="AK815" s="43"/>
      <c r="AL815" s="43"/>
      <c r="AM815" s="43"/>
      <c r="AN815" s="43"/>
      <c r="AO815" s="43"/>
      <c r="AP815" s="43"/>
      <c r="AQ815" s="43"/>
      <c r="AR815" s="43"/>
      <c r="AS815" s="43"/>
      <c r="AT815" s="43"/>
    </row>
    <row r="816" spans="1:46">
      <c r="A816" s="43" t="s">
        <v>76</v>
      </c>
      <c r="B816" s="43" t="s">
        <v>120</v>
      </c>
      <c r="C816" s="43" t="s">
        <v>118</v>
      </c>
      <c r="D816" s="44" t="s">
        <v>247</v>
      </c>
      <c r="E816" s="44">
        <v>21</v>
      </c>
      <c r="F816" s="44" t="s">
        <v>3</v>
      </c>
      <c r="G816" s="43" t="str">
        <f>IFERROR(VLOOKUP(A816,'[1]MC Masterlist 2026-09-12'!$B:$M, 3, 0),"")</f>
        <v>SUZUKI</v>
      </c>
      <c r="H816" s="45">
        <f>IFERROR(VLOOKUP(A816,'[1]MC Masterlist 2026-09-12'!$B:$M, 6, 0),"")</f>
        <v>62692</v>
      </c>
      <c r="I816" s="46">
        <v>0</v>
      </c>
      <c r="J816" s="46">
        <v>0</v>
      </c>
      <c r="K816" s="46">
        <v>1</v>
      </c>
      <c r="L816" s="46">
        <f t="shared" si="180"/>
        <v>1</v>
      </c>
      <c r="M816" s="46">
        <f t="shared" si="181"/>
        <v>0.33333333333333331</v>
      </c>
      <c r="N816" s="45">
        <f t="shared" si="182"/>
        <v>62692</v>
      </c>
      <c r="O816" s="45">
        <f t="shared" si="183"/>
        <v>20897.333333333332</v>
      </c>
      <c r="P816" s="46">
        <f t="shared" si="184"/>
        <v>1.111111111111111E-2</v>
      </c>
      <c r="Q816" s="46">
        <v>1</v>
      </c>
      <c r="R816" s="45">
        <f t="shared" si="185"/>
        <v>62692</v>
      </c>
      <c r="S816" s="46">
        <f t="shared" si="186"/>
        <v>90</v>
      </c>
      <c r="T816" s="46">
        <f>IFERROR(VLOOKUP(A816,'[1]Re-order'!$A:$Q,17,0),"")</f>
        <v>106.36363636363636</v>
      </c>
      <c r="U816" s="46">
        <f>IFERROR(VLOOKUP(A816,'[1]MC Masterlist 2026-09-12'!$B:$M, 10, 0),0)</f>
        <v>15</v>
      </c>
      <c r="V816" s="46">
        <f>IFERROR(VLOOKUP(A816,'[1]MC Masterlist 2026-09-12'!$B:$M, 11, 0),0)</f>
        <v>15</v>
      </c>
      <c r="W816" s="46">
        <f t="shared" si="187"/>
        <v>30</v>
      </c>
      <c r="X816" s="46">
        <f t="shared" si="188"/>
        <v>29.833333333333332</v>
      </c>
      <c r="Y816" s="46">
        <f>IFERROR(IF(OR(C816="AREA I",C816="AREA V"),7,VLOOKUP(A816,'[1]MC Masterlist 2026-09-12'!$B:$M, 12, 0)),0)</f>
        <v>30</v>
      </c>
      <c r="Z816" s="46">
        <f t="shared" si="189"/>
        <v>0.16666666666666666</v>
      </c>
      <c r="AA816" s="46">
        <f t="shared" si="190"/>
        <v>0.33333333333333331</v>
      </c>
      <c r="AB816" s="46">
        <f t="shared" si="191"/>
        <v>0.33148148148148143</v>
      </c>
      <c r="AC816" s="46">
        <f t="shared" si="192"/>
        <v>0.33333333333333331</v>
      </c>
      <c r="AD816" s="44" t="str">
        <f t="shared" si="193"/>
        <v>Over</v>
      </c>
      <c r="AE816" s="44" t="str">
        <f>IFERROR(VLOOKUP(A816,'[1]Re-order'!$A:$AA,27,0),"")</f>
        <v>Over</v>
      </c>
      <c r="AF816" s="46">
        <f t="shared" si="194"/>
        <v>-0.66666666666666674</v>
      </c>
      <c r="AG816" s="46">
        <f>SUMIFS('[1]Raw Inventory'!D:D,'[1]Raw Inventory'!C:C,"GREATWALL",'[1]Raw Inventory'!B:B,A816)</f>
        <v>1</v>
      </c>
      <c r="AH816" s="46">
        <f>SUMIFS('[1]Raw Inventory'!D:D,'[1]Raw Inventory'!C:C,"DUARTE",'[1]Raw Inventory'!B:B,A816)</f>
        <v>0</v>
      </c>
      <c r="AI816" s="46"/>
      <c r="AJ816" s="46"/>
      <c r="AK816" s="43"/>
      <c r="AL816" s="43"/>
      <c r="AM816" s="43"/>
      <c r="AN816" s="43"/>
      <c r="AO816" s="43"/>
      <c r="AP816" s="43"/>
      <c r="AQ816" s="43"/>
      <c r="AR816" s="43"/>
      <c r="AS816" s="43"/>
      <c r="AT816" s="43"/>
    </row>
    <row r="817" spans="1:46">
      <c r="A817" s="43" t="s">
        <v>40</v>
      </c>
      <c r="B817" s="43" t="s">
        <v>121</v>
      </c>
      <c r="C817" s="43" t="s">
        <v>118</v>
      </c>
      <c r="D817" s="44" t="s">
        <v>235</v>
      </c>
      <c r="E817" s="44">
        <v>26</v>
      </c>
      <c r="F817" s="44" t="s">
        <v>3</v>
      </c>
      <c r="G817" s="43" t="str">
        <f>IFERROR(VLOOKUP(A817,'[1]MC Masterlist 2026-09-12'!$B:$M, 3, 0),"")</f>
        <v>HONDA</v>
      </c>
      <c r="H817" s="45">
        <f>IFERROR(VLOOKUP(A817,'[1]MC Masterlist 2026-09-12'!$B:$M, 6, 0),"")</f>
        <v>56426</v>
      </c>
      <c r="I817" s="46">
        <v>0</v>
      </c>
      <c r="J817" s="46">
        <v>0</v>
      </c>
      <c r="K817" s="46">
        <v>1</v>
      </c>
      <c r="L817" s="46">
        <f t="shared" si="180"/>
        <v>1</v>
      </c>
      <c r="M817" s="46">
        <f t="shared" si="181"/>
        <v>0.33333333333333331</v>
      </c>
      <c r="N817" s="45">
        <f t="shared" si="182"/>
        <v>56426</v>
      </c>
      <c r="O817" s="45">
        <f t="shared" si="183"/>
        <v>18808.666666666664</v>
      </c>
      <c r="P817" s="46">
        <f t="shared" si="184"/>
        <v>1.111111111111111E-2</v>
      </c>
      <c r="Q817" s="46"/>
      <c r="R817" s="45">
        <f t="shared" si="185"/>
        <v>0</v>
      </c>
      <c r="S817" s="46">
        <f t="shared" si="186"/>
        <v>0</v>
      </c>
      <c r="T817" s="46">
        <f>IFERROR(VLOOKUP(A817,'[1]Re-order'!$A:$Q,17,0),"")</f>
        <v>139.56521739130434</v>
      </c>
      <c r="U817" s="46">
        <f>IFERROR(VLOOKUP(A817,'[1]MC Masterlist 2026-09-12'!$B:$M, 10, 0),0)</f>
        <v>15</v>
      </c>
      <c r="V817" s="46">
        <f>IFERROR(VLOOKUP(A817,'[1]MC Masterlist 2026-09-12'!$B:$M, 11, 0),0)</f>
        <v>15</v>
      </c>
      <c r="W817" s="46">
        <f t="shared" si="187"/>
        <v>30</v>
      </c>
      <c r="X817" s="46">
        <f t="shared" si="188"/>
        <v>29.833333333333332</v>
      </c>
      <c r="Y817" s="46">
        <f>IFERROR(IF(OR(C817="AREA I",C817="AREA V"),7,VLOOKUP(A817,'[1]MC Masterlist 2026-09-12'!$B:$M, 12, 0)),0)</f>
        <v>30</v>
      </c>
      <c r="Z817" s="46">
        <f t="shared" si="189"/>
        <v>0.16666666666666666</v>
      </c>
      <c r="AA817" s="46">
        <f t="shared" si="190"/>
        <v>0.33333333333333331</v>
      </c>
      <c r="AB817" s="46">
        <f t="shared" si="191"/>
        <v>0.33148148148148143</v>
      </c>
      <c r="AC817" s="46">
        <f t="shared" si="192"/>
        <v>0.33333333333333331</v>
      </c>
      <c r="AD817" s="44" t="str">
        <f t="shared" si="193"/>
        <v>Stockout</v>
      </c>
      <c r="AE817" s="44" t="str">
        <f>IFERROR(VLOOKUP(A817,'[1]Re-order'!$A:$AA,27,0),"")</f>
        <v>Over</v>
      </c>
      <c r="AF817" s="46">
        <f t="shared" si="194"/>
        <v>0.33333333333333331</v>
      </c>
      <c r="AG817" s="46">
        <f>SUMIFS('[1]Raw Inventory'!D:D,'[1]Raw Inventory'!C:C,"GREATWALL",'[1]Raw Inventory'!B:B,A817)</f>
        <v>45</v>
      </c>
      <c r="AH817" s="46">
        <f>SUMIFS('[1]Raw Inventory'!D:D,'[1]Raw Inventory'!C:C,"DUARTE",'[1]Raw Inventory'!B:B,A817)</f>
        <v>0</v>
      </c>
      <c r="AI817" s="46"/>
      <c r="AJ817" s="46"/>
      <c r="AK817" s="43"/>
      <c r="AL817" s="43"/>
      <c r="AM817" s="43"/>
      <c r="AN817" s="43"/>
      <c r="AO817" s="43"/>
      <c r="AP817" s="43"/>
      <c r="AQ817" s="43"/>
      <c r="AR817" s="43"/>
      <c r="AS817" s="43"/>
      <c r="AT817" s="43"/>
    </row>
    <row r="818" spans="1:46">
      <c r="A818" s="43" t="s">
        <v>16</v>
      </c>
      <c r="B818" s="43" t="s">
        <v>154</v>
      </c>
      <c r="C818" s="43" t="s">
        <v>152</v>
      </c>
      <c r="D818" s="44" t="s">
        <v>233</v>
      </c>
      <c r="E818" s="44">
        <v>8</v>
      </c>
      <c r="F818" s="44" t="s">
        <v>2</v>
      </c>
      <c r="G818" s="43" t="str">
        <f>IFERROR(VLOOKUP(A818,'[1]MC Masterlist 2026-09-12'!$B:$M, 3, 0),"")</f>
        <v>HONDA</v>
      </c>
      <c r="H818" s="45">
        <f>IFERROR(VLOOKUP(A818,'[1]MC Masterlist 2026-09-12'!$B:$M, 6, 0),"")</f>
        <v>84394</v>
      </c>
      <c r="I818" s="46">
        <v>4</v>
      </c>
      <c r="J818" s="46">
        <v>1</v>
      </c>
      <c r="K818" s="46">
        <v>0</v>
      </c>
      <c r="L818" s="46">
        <f t="shared" si="180"/>
        <v>5</v>
      </c>
      <c r="M818" s="46">
        <f t="shared" si="181"/>
        <v>1.6666666666666667</v>
      </c>
      <c r="N818" s="45">
        <f t="shared" si="182"/>
        <v>421970</v>
      </c>
      <c r="O818" s="45">
        <f t="shared" si="183"/>
        <v>140656.66666666669</v>
      </c>
      <c r="P818" s="46">
        <f t="shared" si="184"/>
        <v>5.5555555555555559E-2</v>
      </c>
      <c r="Q818" s="46">
        <v>4</v>
      </c>
      <c r="R818" s="45">
        <f t="shared" si="185"/>
        <v>337576</v>
      </c>
      <c r="S818" s="46">
        <f t="shared" si="186"/>
        <v>71.999999999999986</v>
      </c>
      <c r="T818" s="46">
        <f>IFERROR(VLOOKUP(A818,'[1]Re-order'!$A:$Q,17,0),"")</f>
        <v>26.332665330661321</v>
      </c>
      <c r="U818" s="46">
        <f>IFERROR(VLOOKUP(A818,'[1]MC Masterlist 2026-09-12'!$B:$M, 10, 0),0)</f>
        <v>15</v>
      </c>
      <c r="V818" s="46">
        <f>IFERROR(VLOOKUP(A818,'[1]MC Masterlist 2026-09-12'!$B:$M, 11, 0),0)</f>
        <v>15</v>
      </c>
      <c r="W818" s="46">
        <f t="shared" si="187"/>
        <v>30</v>
      </c>
      <c r="X818" s="46">
        <f t="shared" si="188"/>
        <v>29.166666666666668</v>
      </c>
      <c r="Y818" s="46">
        <f>IFERROR(IF(OR(C818="AREA I",C818="AREA V"),7,VLOOKUP(A818,'[1]MC Masterlist 2026-09-12'!$B:$M, 12, 0)),0)</f>
        <v>30</v>
      </c>
      <c r="Z818" s="46">
        <f t="shared" si="189"/>
        <v>0.83333333333333337</v>
      </c>
      <c r="AA818" s="46">
        <f t="shared" si="190"/>
        <v>1.6666666666666667</v>
      </c>
      <c r="AB818" s="46">
        <f t="shared" si="191"/>
        <v>1.6203703703703705</v>
      </c>
      <c r="AC818" s="46">
        <f t="shared" si="192"/>
        <v>1.6666666666666667</v>
      </c>
      <c r="AD818" s="44" t="str">
        <f t="shared" si="193"/>
        <v>Over</v>
      </c>
      <c r="AE818" s="44" t="str">
        <f>IFERROR(VLOOKUP(A818,'[1]Re-order'!$A:$AA,27,0),"")</f>
        <v>Stockout</v>
      </c>
      <c r="AF818" s="46">
        <f t="shared" si="194"/>
        <v>-2.333333333333333</v>
      </c>
      <c r="AG818" s="46">
        <f>SUMIFS('[1]Raw Inventory'!D:D,'[1]Raw Inventory'!C:C,"GREATWALL",'[1]Raw Inventory'!B:B,A818)</f>
        <v>58</v>
      </c>
      <c r="AH818" s="46">
        <f>SUMIFS('[1]Raw Inventory'!D:D,'[1]Raw Inventory'!C:C,"DUARTE",'[1]Raw Inventory'!B:B,A818)</f>
        <v>0</v>
      </c>
      <c r="AI818" s="46"/>
      <c r="AJ818" s="46"/>
      <c r="AK818" s="43"/>
      <c r="AL818" s="43"/>
      <c r="AM818" s="43"/>
      <c r="AN818" s="43"/>
      <c r="AO818" s="43"/>
      <c r="AP818" s="43"/>
      <c r="AQ818" s="43"/>
      <c r="AR818" s="43"/>
      <c r="AS818" s="43"/>
      <c r="AT818" s="43"/>
    </row>
    <row r="819" spans="1:46">
      <c r="A819" s="43" t="s">
        <v>37</v>
      </c>
      <c r="B819" s="43" t="s">
        <v>140</v>
      </c>
      <c r="C819" s="43" t="s">
        <v>137</v>
      </c>
      <c r="D819" s="44" t="s">
        <v>254</v>
      </c>
      <c r="E819" s="44">
        <v>6</v>
      </c>
      <c r="F819" s="44" t="s">
        <v>2</v>
      </c>
      <c r="G819" s="43" t="str">
        <f>IFERROR(VLOOKUP(A819,'[1]MC Masterlist 2026-09-12'!$B:$M, 3, 0),"")</f>
        <v>HONDA</v>
      </c>
      <c r="H819" s="45">
        <f>IFERROR(VLOOKUP(A819,'[1]MC Masterlist 2026-09-12'!$B:$M, 6, 0),"")</f>
        <v>74550</v>
      </c>
      <c r="I819" s="46">
        <v>5</v>
      </c>
      <c r="J819" s="46">
        <v>4</v>
      </c>
      <c r="K819" s="46">
        <v>3</v>
      </c>
      <c r="L819" s="46">
        <f t="shared" si="180"/>
        <v>12</v>
      </c>
      <c r="M819" s="46">
        <f t="shared" si="181"/>
        <v>4</v>
      </c>
      <c r="N819" s="45">
        <f t="shared" si="182"/>
        <v>894600</v>
      </c>
      <c r="O819" s="45">
        <f t="shared" si="183"/>
        <v>298200</v>
      </c>
      <c r="P819" s="46">
        <f t="shared" si="184"/>
        <v>0.13333333333333333</v>
      </c>
      <c r="Q819" s="46">
        <v>4</v>
      </c>
      <c r="R819" s="45">
        <f t="shared" si="185"/>
        <v>298200</v>
      </c>
      <c r="S819" s="46">
        <f t="shared" si="186"/>
        <v>30</v>
      </c>
      <c r="T819" s="46">
        <f>IFERROR(VLOOKUP(A819,'[1]Re-order'!$A:$Q,17,0),"")</f>
        <v>33.652173913043477</v>
      </c>
      <c r="U819" s="46">
        <f>IFERROR(VLOOKUP(A819,'[1]MC Masterlist 2026-09-12'!$B:$M, 10, 0),0)</f>
        <v>15</v>
      </c>
      <c r="V819" s="46">
        <f>IFERROR(VLOOKUP(A819,'[1]MC Masterlist 2026-09-12'!$B:$M, 11, 0),0)</f>
        <v>15</v>
      </c>
      <c r="W819" s="46">
        <f t="shared" si="187"/>
        <v>30</v>
      </c>
      <c r="X819" s="46">
        <f t="shared" si="188"/>
        <v>5</v>
      </c>
      <c r="Y819" s="46">
        <f>IFERROR(IF(OR(C819="AREA I",C819="AREA V"),7,VLOOKUP(A819,'[1]MC Masterlist 2026-09-12'!$B:$M, 12, 0)),0)</f>
        <v>7</v>
      </c>
      <c r="Z819" s="46">
        <f t="shared" si="189"/>
        <v>2</v>
      </c>
      <c r="AA819" s="46">
        <f t="shared" si="190"/>
        <v>4</v>
      </c>
      <c r="AB819" s="46">
        <f t="shared" si="191"/>
        <v>0.66666666666666663</v>
      </c>
      <c r="AC819" s="46">
        <f t="shared" si="192"/>
        <v>0.93333333333333335</v>
      </c>
      <c r="AD819" s="44" t="str">
        <f t="shared" si="193"/>
        <v>Over</v>
      </c>
      <c r="AE819" s="44" t="str">
        <f>IFERROR(VLOOKUP(A819,'[1]Re-order'!$A:$AA,27,0),"")</f>
        <v>Re-order</v>
      </c>
      <c r="AF819" s="46">
        <f t="shared" si="194"/>
        <v>-3.0666666666666664</v>
      </c>
      <c r="AG819" s="46">
        <f>SUMIFS('[1]Raw Inventory'!D:D,'[1]Raw Inventory'!C:C,"GREATWALL",'[1]Raw Inventory'!B:B,A819)</f>
        <v>28</v>
      </c>
      <c r="AH819" s="46">
        <f>SUMIFS('[1]Raw Inventory'!D:D,'[1]Raw Inventory'!C:C,"DUARTE",'[1]Raw Inventory'!B:B,A819)</f>
        <v>0</v>
      </c>
      <c r="AI819" s="46"/>
      <c r="AJ819" s="46"/>
      <c r="AK819" s="43"/>
      <c r="AL819" s="43"/>
      <c r="AM819" s="43"/>
      <c r="AN819" s="43"/>
      <c r="AO819" s="43"/>
      <c r="AP819" s="43"/>
      <c r="AQ819" s="43"/>
      <c r="AR819" s="43"/>
      <c r="AS819" s="43"/>
      <c r="AT819" s="43"/>
    </row>
    <row r="820" spans="1:46">
      <c r="A820" s="43" t="s">
        <v>28</v>
      </c>
      <c r="B820" s="43" t="s">
        <v>120</v>
      </c>
      <c r="C820" s="43" t="s">
        <v>118</v>
      </c>
      <c r="D820" s="44" t="s">
        <v>234</v>
      </c>
      <c r="E820" s="44">
        <v>4</v>
      </c>
      <c r="F820" s="44" t="s">
        <v>0</v>
      </c>
      <c r="G820" s="43" t="str">
        <f>IFERROR(VLOOKUP(A820,'[1]MC Masterlist 2026-09-12'!$B:$M, 3, 0),"")</f>
        <v>YAMAHA</v>
      </c>
      <c r="H820" s="45">
        <f>IFERROR(VLOOKUP(A820,'[1]MC Masterlist 2026-09-12'!$B:$M, 6, 0),"")</f>
        <v>147312</v>
      </c>
      <c r="I820" s="46">
        <v>1</v>
      </c>
      <c r="J820" s="46">
        <v>1</v>
      </c>
      <c r="K820" s="46">
        <v>4</v>
      </c>
      <c r="L820" s="46">
        <f t="shared" si="180"/>
        <v>6</v>
      </c>
      <c r="M820" s="46">
        <f t="shared" si="181"/>
        <v>2</v>
      </c>
      <c r="N820" s="45">
        <f t="shared" si="182"/>
        <v>883872</v>
      </c>
      <c r="O820" s="45">
        <f t="shared" si="183"/>
        <v>294624</v>
      </c>
      <c r="P820" s="46">
        <f t="shared" si="184"/>
        <v>6.6666666666666666E-2</v>
      </c>
      <c r="Q820" s="46"/>
      <c r="R820" s="45">
        <f t="shared" si="185"/>
        <v>0</v>
      </c>
      <c r="S820" s="46">
        <f t="shared" si="186"/>
        <v>0</v>
      </c>
      <c r="T820" s="46">
        <f>IFERROR(VLOOKUP(A820,'[1]Re-order'!$A:$Q,17,0),"")</f>
        <v>8.2417582417582427</v>
      </c>
      <c r="U820" s="46">
        <f>IFERROR(VLOOKUP(A820,'[1]MC Masterlist 2026-09-12'!$B:$M, 10, 0),0)</f>
        <v>15</v>
      </c>
      <c r="V820" s="46">
        <f>IFERROR(VLOOKUP(A820,'[1]MC Masterlist 2026-09-12'!$B:$M, 11, 0),0)</f>
        <v>15</v>
      </c>
      <c r="W820" s="46">
        <f t="shared" si="187"/>
        <v>30</v>
      </c>
      <c r="X820" s="46">
        <f t="shared" si="188"/>
        <v>29</v>
      </c>
      <c r="Y820" s="46">
        <f>IFERROR(IF(OR(C820="AREA I",C820="AREA V"),7,VLOOKUP(A820,'[1]MC Masterlist 2026-09-12'!$B:$M, 12, 0)),0)</f>
        <v>30</v>
      </c>
      <c r="Z820" s="46">
        <f t="shared" si="189"/>
        <v>1</v>
      </c>
      <c r="AA820" s="46">
        <f t="shared" si="190"/>
        <v>2</v>
      </c>
      <c r="AB820" s="46">
        <f t="shared" si="191"/>
        <v>1.9333333333333333</v>
      </c>
      <c r="AC820" s="46">
        <f t="shared" si="192"/>
        <v>2</v>
      </c>
      <c r="AD820" s="44" t="str">
        <f t="shared" si="193"/>
        <v>Stockout</v>
      </c>
      <c r="AE820" s="44" t="str">
        <f>IFERROR(VLOOKUP(A820,'[1]Re-order'!$A:$AA,27,0),"")</f>
        <v>Stockout</v>
      </c>
      <c r="AF820" s="46">
        <f t="shared" si="194"/>
        <v>2</v>
      </c>
      <c r="AG820" s="46">
        <f>SUMIFS('[1]Raw Inventory'!D:D,'[1]Raw Inventory'!C:C,"GREATWALL",'[1]Raw Inventory'!B:B,A820)</f>
        <v>0</v>
      </c>
      <c r="AH820" s="46">
        <f>SUMIFS('[1]Raw Inventory'!D:D,'[1]Raw Inventory'!C:C,"DUARTE",'[1]Raw Inventory'!B:B,A820)</f>
        <v>0</v>
      </c>
      <c r="AI820" s="46"/>
      <c r="AJ820" s="46"/>
      <c r="AK820" s="43"/>
      <c r="AL820" s="43"/>
      <c r="AM820" s="43"/>
      <c r="AN820" s="43"/>
      <c r="AO820" s="43"/>
      <c r="AP820" s="43"/>
      <c r="AQ820" s="43"/>
      <c r="AR820" s="43"/>
      <c r="AS820" s="43"/>
      <c r="AT820" s="43"/>
    </row>
    <row r="821" spans="1:46">
      <c r="A821" s="43" t="s">
        <v>16</v>
      </c>
      <c r="B821" s="43" t="s">
        <v>129</v>
      </c>
      <c r="C821" s="43" t="s">
        <v>128</v>
      </c>
      <c r="D821" s="44" t="s">
        <v>259</v>
      </c>
      <c r="E821" s="44">
        <v>5</v>
      </c>
      <c r="F821" s="44" t="s">
        <v>0</v>
      </c>
      <c r="G821" s="43" t="str">
        <f>IFERROR(VLOOKUP(A821,'[1]MC Masterlist 2026-09-12'!$B:$M, 3, 0),"")</f>
        <v>HONDA</v>
      </c>
      <c r="H821" s="45">
        <f>IFERROR(VLOOKUP(A821,'[1]MC Masterlist 2026-09-12'!$B:$M, 6, 0),"")</f>
        <v>84394</v>
      </c>
      <c r="I821" s="46">
        <v>8</v>
      </c>
      <c r="J821" s="46">
        <v>5</v>
      </c>
      <c r="K821" s="46">
        <v>3</v>
      </c>
      <c r="L821" s="46">
        <f t="shared" si="180"/>
        <v>16</v>
      </c>
      <c r="M821" s="46">
        <f t="shared" si="181"/>
        <v>5.333333333333333</v>
      </c>
      <c r="N821" s="45">
        <f t="shared" si="182"/>
        <v>1350304</v>
      </c>
      <c r="O821" s="45">
        <f t="shared" si="183"/>
        <v>450101.33333333331</v>
      </c>
      <c r="P821" s="46">
        <f t="shared" si="184"/>
        <v>0.17777777777777776</v>
      </c>
      <c r="Q821" s="46">
        <v>2</v>
      </c>
      <c r="R821" s="45">
        <f t="shared" si="185"/>
        <v>168788</v>
      </c>
      <c r="S821" s="46">
        <f t="shared" si="186"/>
        <v>11.25</v>
      </c>
      <c r="T821" s="46">
        <f>IFERROR(VLOOKUP(A821,'[1]Re-order'!$A:$Q,17,0),"")</f>
        <v>26.332665330661321</v>
      </c>
      <c r="U821" s="46">
        <f>IFERROR(VLOOKUP(A821,'[1]MC Masterlist 2026-09-12'!$B:$M, 10, 0),0)</f>
        <v>15</v>
      </c>
      <c r="V821" s="46">
        <f>IFERROR(VLOOKUP(A821,'[1]MC Masterlist 2026-09-12'!$B:$M, 11, 0),0)</f>
        <v>15</v>
      </c>
      <c r="W821" s="46">
        <f t="shared" si="187"/>
        <v>30</v>
      </c>
      <c r="X821" s="46">
        <f t="shared" si="188"/>
        <v>27.333333333333332</v>
      </c>
      <c r="Y821" s="46">
        <f>IFERROR(IF(OR(C821="AREA I",C821="AREA V"),7,VLOOKUP(A821,'[1]MC Masterlist 2026-09-12'!$B:$M, 12, 0)),0)</f>
        <v>30</v>
      </c>
      <c r="Z821" s="46">
        <f t="shared" si="189"/>
        <v>2.6666666666666665</v>
      </c>
      <c r="AA821" s="46">
        <f t="shared" si="190"/>
        <v>5.333333333333333</v>
      </c>
      <c r="AB821" s="46">
        <f t="shared" si="191"/>
        <v>4.8592592592592583</v>
      </c>
      <c r="AC821" s="46">
        <f t="shared" si="192"/>
        <v>5.333333333333333</v>
      </c>
      <c r="AD821" s="44" t="str">
        <f t="shared" si="193"/>
        <v>Stockout</v>
      </c>
      <c r="AE821" s="44" t="str">
        <f>IFERROR(VLOOKUP(A821,'[1]Re-order'!$A:$AA,27,0),"")</f>
        <v>Stockout</v>
      </c>
      <c r="AF821" s="46">
        <f t="shared" si="194"/>
        <v>3.333333333333333</v>
      </c>
      <c r="AG821" s="46">
        <f>SUMIFS('[1]Raw Inventory'!D:D,'[1]Raw Inventory'!C:C,"GREATWALL",'[1]Raw Inventory'!B:B,A821)</f>
        <v>58</v>
      </c>
      <c r="AH821" s="46">
        <f>SUMIFS('[1]Raw Inventory'!D:D,'[1]Raw Inventory'!C:C,"DUARTE",'[1]Raw Inventory'!B:B,A821)</f>
        <v>0</v>
      </c>
      <c r="AI821" s="46"/>
      <c r="AJ821" s="46"/>
      <c r="AK821" s="43"/>
      <c r="AL821" s="43"/>
      <c r="AM821" s="43"/>
      <c r="AN821" s="43"/>
      <c r="AO821" s="43"/>
      <c r="AP821" s="43"/>
      <c r="AQ821" s="43"/>
      <c r="AR821" s="43"/>
      <c r="AS821" s="43"/>
      <c r="AT821" s="43"/>
    </row>
    <row r="822" spans="1:46">
      <c r="A822" s="43" t="s">
        <v>82</v>
      </c>
      <c r="B822" s="43" t="s">
        <v>130</v>
      </c>
      <c r="C822" s="43" t="s">
        <v>128</v>
      </c>
      <c r="D822" s="44" t="s">
        <v>237</v>
      </c>
      <c r="E822" s="44">
        <v>29</v>
      </c>
      <c r="F822" s="44" t="s">
        <v>3</v>
      </c>
      <c r="G822" s="43" t="str">
        <f>IFERROR(VLOOKUP(A822,'[1]MC Masterlist 2026-09-12'!$B:$M, 3, 0),"")</f>
        <v>SUZUKI</v>
      </c>
      <c r="H822" s="45">
        <f>IFERROR(VLOOKUP(A822,'[1]MC Masterlist 2026-09-12'!$B:$M, 6, 0),"")</f>
        <v>67342</v>
      </c>
      <c r="I822" s="46">
        <v>0</v>
      </c>
      <c r="J822" s="46">
        <v>0</v>
      </c>
      <c r="K822" s="46">
        <v>1</v>
      </c>
      <c r="L822" s="46">
        <f t="shared" si="180"/>
        <v>1</v>
      </c>
      <c r="M822" s="46">
        <f t="shared" si="181"/>
        <v>0.33333333333333331</v>
      </c>
      <c r="N822" s="45">
        <f t="shared" si="182"/>
        <v>67342</v>
      </c>
      <c r="O822" s="45">
        <f t="shared" si="183"/>
        <v>22447.333333333332</v>
      </c>
      <c r="P822" s="46">
        <f t="shared" si="184"/>
        <v>1.111111111111111E-2</v>
      </c>
      <c r="Q822" s="46"/>
      <c r="R822" s="45">
        <f t="shared" si="185"/>
        <v>0</v>
      </c>
      <c r="S822" s="46">
        <f t="shared" si="186"/>
        <v>0</v>
      </c>
      <c r="T822" s="46">
        <f>IFERROR(VLOOKUP(A822,'[1]Re-order'!$A:$Q,17,0),"")</f>
        <v>64.8</v>
      </c>
      <c r="U822" s="46">
        <f>IFERROR(VLOOKUP(A822,'[1]MC Masterlist 2026-09-12'!$B:$M, 10, 0),0)</f>
        <v>15</v>
      </c>
      <c r="V822" s="46">
        <f>IFERROR(VLOOKUP(A822,'[1]MC Masterlist 2026-09-12'!$B:$M, 11, 0),0)</f>
        <v>15</v>
      </c>
      <c r="W822" s="46">
        <f t="shared" si="187"/>
        <v>30</v>
      </c>
      <c r="X822" s="46">
        <f t="shared" si="188"/>
        <v>29.833333333333332</v>
      </c>
      <c r="Y822" s="46">
        <f>IFERROR(IF(OR(C822="AREA I",C822="AREA V"),7,VLOOKUP(A822,'[1]MC Masterlist 2026-09-12'!$B:$M, 12, 0)),0)</f>
        <v>30</v>
      </c>
      <c r="Z822" s="46">
        <f t="shared" si="189"/>
        <v>0.16666666666666666</v>
      </c>
      <c r="AA822" s="46">
        <f t="shared" si="190"/>
        <v>0.33333333333333331</v>
      </c>
      <c r="AB822" s="46">
        <f t="shared" si="191"/>
        <v>0.33148148148148143</v>
      </c>
      <c r="AC822" s="46">
        <f t="shared" si="192"/>
        <v>0.33333333333333331</v>
      </c>
      <c r="AD822" s="44" t="str">
        <f t="shared" si="193"/>
        <v>Stockout</v>
      </c>
      <c r="AE822" s="44" t="str">
        <f>IFERROR(VLOOKUP(A822,'[1]Re-order'!$A:$AA,27,0),"")</f>
        <v>Re-order</v>
      </c>
      <c r="AF822" s="46">
        <f t="shared" si="194"/>
        <v>0.33333333333333331</v>
      </c>
      <c r="AG822" s="46">
        <f>SUMIFS('[1]Raw Inventory'!D:D,'[1]Raw Inventory'!C:C,"GREATWALL",'[1]Raw Inventory'!B:B,A822)</f>
        <v>1</v>
      </c>
      <c r="AH822" s="46">
        <f>SUMIFS('[1]Raw Inventory'!D:D,'[1]Raw Inventory'!C:C,"DUARTE",'[1]Raw Inventory'!B:B,A822)</f>
        <v>0</v>
      </c>
      <c r="AI822" s="46"/>
      <c r="AJ822" s="46"/>
      <c r="AK822" s="43"/>
      <c r="AL822" s="43"/>
      <c r="AM822" s="43"/>
      <c r="AN822" s="43"/>
      <c r="AO822" s="43"/>
      <c r="AP822" s="43"/>
      <c r="AQ822" s="43"/>
      <c r="AR822" s="43"/>
      <c r="AS822" s="43"/>
      <c r="AT822" s="43"/>
    </row>
    <row r="823" spans="1:46">
      <c r="A823" s="43" t="s">
        <v>76</v>
      </c>
      <c r="B823" s="43" t="s">
        <v>161</v>
      </c>
      <c r="C823" s="43" t="s">
        <v>159</v>
      </c>
      <c r="D823" s="44" t="s">
        <v>286</v>
      </c>
      <c r="E823" s="44">
        <v>1</v>
      </c>
      <c r="F823" s="44" t="s">
        <v>0</v>
      </c>
      <c r="G823" s="43" t="str">
        <f>IFERROR(VLOOKUP(A823,'[1]MC Masterlist 2026-09-12'!$B:$M, 3, 0),"")</f>
        <v>SUZUKI</v>
      </c>
      <c r="H823" s="45">
        <f>IFERROR(VLOOKUP(A823,'[1]MC Masterlist 2026-09-12'!$B:$M, 6, 0),"")</f>
        <v>62692</v>
      </c>
      <c r="I823" s="46">
        <v>0</v>
      </c>
      <c r="J823" s="46">
        <v>0</v>
      </c>
      <c r="K823" s="46">
        <v>0</v>
      </c>
      <c r="L823" s="46">
        <f t="shared" si="180"/>
        <v>0</v>
      </c>
      <c r="M823" s="46">
        <f t="shared" si="181"/>
        <v>0</v>
      </c>
      <c r="N823" s="45">
        <f t="shared" si="182"/>
        <v>0</v>
      </c>
      <c r="O823" s="45">
        <f t="shared" si="183"/>
        <v>0</v>
      </c>
      <c r="P823" s="46">
        <f t="shared" si="184"/>
        <v>0</v>
      </c>
      <c r="Q823" s="46">
        <v>1</v>
      </c>
      <c r="R823" s="45">
        <f t="shared" si="185"/>
        <v>62692</v>
      </c>
      <c r="S823" s="46">
        <f t="shared" si="186"/>
        <v>0</v>
      </c>
      <c r="T823" s="46">
        <f>IFERROR(VLOOKUP(A823,'[1]Re-order'!$A:$Q,17,0),"")</f>
        <v>106.36363636363636</v>
      </c>
      <c r="U823" s="46">
        <f>IFERROR(VLOOKUP(A823,'[1]MC Masterlist 2026-09-12'!$B:$M, 10, 0),0)</f>
        <v>15</v>
      </c>
      <c r="V823" s="46">
        <f>IFERROR(VLOOKUP(A823,'[1]MC Masterlist 2026-09-12'!$B:$M, 11, 0),0)</f>
        <v>15</v>
      </c>
      <c r="W823" s="46">
        <f t="shared" si="187"/>
        <v>30</v>
      </c>
      <c r="X823" s="46">
        <f t="shared" si="188"/>
        <v>30</v>
      </c>
      <c r="Y823" s="46">
        <f>IFERROR(IF(OR(C823="AREA I",C823="AREA V"),7,VLOOKUP(A823,'[1]MC Masterlist 2026-09-12'!$B:$M, 12, 0)),0)</f>
        <v>30</v>
      </c>
      <c r="Z823" s="46">
        <f t="shared" si="189"/>
        <v>0</v>
      </c>
      <c r="AA823" s="46">
        <f t="shared" si="190"/>
        <v>0</v>
      </c>
      <c r="AB823" s="46">
        <f t="shared" si="191"/>
        <v>0</v>
      </c>
      <c r="AC823" s="46">
        <f t="shared" si="192"/>
        <v>0</v>
      </c>
      <c r="AD823" s="44" t="str">
        <f t="shared" si="193"/>
        <v>Over</v>
      </c>
      <c r="AE823" s="44" t="str">
        <f>IFERROR(VLOOKUP(A823,'[1]Re-order'!$A:$AA,27,0),"")</f>
        <v>Over</v>
      </c>
      <c r="AF823" s="46">
        <f t="shared" si="194"/>
        <v>-1</v>
      </c>
      <c r="AG823" s="46">
        <f>SUMIFS('[1]Raw Inventory'!D:D,'[1]Raw Inventory'!C:C,"GREATWALL",'[1]Raw Inventory'!B:B,A823)</f>
        <v>1</v>
      </c>
      <c r="AH823" s="46">
        <f>SUMIFS('[1]Raw Inventory'!D:D,'[1]Raw Inventory'!C:C,"DUARTE",'[1]Raw Inventory'!B:B,A823)</f>
        <v>0</v>
      </c>
      <c r="AI823" s="46"/>
      <c r="AJ823" s="46"/>
      <c r="AK823" s="43"/>
      <c r="AL823" s="43"/>
      <c r="AM823" s="43"/>
      <c r="AN823" s="43"/>
      <c r="AO823" s="43"/>
      <c r="AP823" s="43"/>
      <c r="AQ823" s="43"/>
      <c r="AR823" s="43"/>
      <c r="AS823" s="43"/>
      <c r="AT823" s="43"/>
    </row>
    <row r="824" spans="1:46">
      <c r="A824" s="43" t="s">
        <v>60</v>
      </c>
      <c r="B824" s="43" t="s">
        <v>145</v>
      </c>
      <c r="C824" s="43" t="s">
        <v>137</v>
      </c>
      <c r="D824" s="44" t="s">
        <v>226</v>
      </c>
      <c r="E824" s="44">
        <v>28</v>
      </c>
      <c r="F824" s="44" t="s">
        <v>3</v>
      </c>
      <c r="G824" s="43" t="str">
        <f>IFERROR(VLOOKUP(A824,'[1]MC Masterlist 2026-09-12'!$B:$M, 3, 0),"")</f>
        <v>HONDA</v>
      </c>
      <c r="H824" s="45">
        <f>IFERROR(VLOOKUP(A824,'[1]MC Masterlist 2026-09-12'!$B:$M, 6, 0),"")</f>
        <v>61670</v>
      </c>
      <c r="I824" s="46">
        <v>0</v>
      </c>
      <c r="J824" s="46">
        <v>0</v>
      </c>
      <c r="K824" s="46">
        <v>0</v>
      </c>
      <c r="L824" s="46">
        <f t="shared" si="180"/>
        <v>0</v>
      </c>
      <c r="M824" s="46">
        <f t="shared" si="181"/>
        <v>0</v>
      </c>
      <c r="N824" s="45">
        <f t="shared" si="182"/>
        <v>0</v>
      </c>
      <c r="O824" s="45">
        <f t="shared" si="183"/>
        <v>0</v>
      </c>
      <c r="P824" s="46">
        <f t="shared" si="184"/>
        <v>0</v>
      </c>
      <c r="Q824" s="46">
        <v>1</v>
      </c>
      <c r="R824" s="45">
        <f t="shared" si="185"/>
        <v>61670</v>
      </c>
      <c r="S824" s="46">
        <f t="shared" si="186"/>
        <v>0</v>
      </c>
      <c r="T824" s="46">
        <f>IFERROR(VLOOKUP(A824,'[1]Re-order'!$A:$Q,17,0),"")</f>
        <v>300</v>
      </c>
      <c r="U824" s="46">
        <f>IFERROR(VLOOKUP(A824,'[1]MC Masterlist 2026-09-12'!$B:$M, 10, 0),0)</f>
        <v>15</v>
      </c>
      <c r="V824" s="46">
        <f>IFERROR(VLOOKUP(A824,'[1]MC Masterlist 2026-09-12'!$B:$M, 11, 0),0)</f>
        <v>15</v>
      </c>
      <c r="W824" s="46">
        <f t="shared" si="187"/>
        <v>30</v>
      </c>
      <c r="X824" s="46">
        <f t="shared" si="188"/>
        <v>7</v>
      </c>
      <c r="Y824" s="46">
        <f>IFERROR(IF(OR(C824="AREA I",C824="AREA V"),7,VLOOKUP(A824,'[1]MC Masterlist 2026-09-12'!$B:$M, 12, 0)),0)</f>
        <v>7</v>
      </c>
      <c r="Z824" s="46">
        <f t="shared" si="189"/>
        <v>0</v>
      </c>
      <c r="AA824" s="46">
        <f t="shared" si="190"/>
        <v>0</v>
      </c>
      <c r="AB824" s="46">
        <f t="shared" si="191"/>
        <v>0</v>
      </c>
      <c r="AC824" s="46">
        <f t="shared" si="192"/>
        <v>0</v>
      </c>
      <c r="AD824" s="44" t="str">
        <f t="shared" si="193"/>
        <v>Over</v>
      </c>
      <c r="AE824" s="44" t="str">
        <f>IFERROR(VLOOKUP(A824,'[1]Re-order'!$A:$AA,27,0),"")</f>
        <v>Over</v>
      </c>
      <c r="AF824" s="46">
        <f t="shared" si="194"/>
        <v>-1</v>
      </c>
      <c r="AG824" s="46">
        <f>SUMIFS('[1]Raw Inventory'!D:D,'[1]Raw Inventory'!C:C,"GREATWALL",'[1]Raw Inventory'!B:B,A824)</f>
        <v>0</v>
      </c>
      <c r="AH824" s="46">
        <f>SUMIFS('[1]Raw Inventory'!D:D,'[1]Raw Inventory'!C:C,"DUARTE",'[1]Raw Inventory'!B:B,A824)</f>
        <v>0</v>
      </c>
      <c r="AI824" s="46"/>
      <c r="AJ824" s="46"/>
      <c r="AK824" s="43"/>
      <c r="AL824" s="43"/>
      <c r="AM824" s="43"/>
      <c r="AN824" s="43"/>
      <c r="AO824" s="43"/>
      <c r="AP824" s="43"/>
      <c r="AQ824" s="43"/>
      <c r="AR824" s="43"/>
      <c r="AS824" s="43"/>
      <c r="AT824" s="43"/>
    </row>
    <row r="825" spans="1:46">
      <c r="A825" s="43" t="s">
        <v>100</v>
      </c>
      <c r="B825" s="43" t="s">
        <v>93</v>
      </c>
      <c r="C825" s="43" t="s">
        <v>90</v>
      </c>
      <c r="D825" s="44" t="s">
        <v>240</v>
      </c>
      <c r="E825" s="44">
        <v>11</v>
      </c>
      <c r="F825" s="44" t="s">
        <v>2</v>
      </c>
      <c r="G825" s="43" t="str">
        <f>IFERROR(VLOOKUP(A825,'[1]MC Masterlist 2026-09-12'!$B:$M, 3, 0),"")</f>
        <v>BAJAJ RE</v>
      </c>
      <c r="H825" s="45">
        <f>IFERROR(VLOOKUP(A825,'[1]MC Masterlist 2026-09-12'!$B:$M, 6, 0),"")</f>
        <v>225800</v>
      </c>
      <c r="I825" s="46">
        <v>0</v>
      </c>
      <c r="J825" s="46">
        <v>0</v>
      </c>
      <c r="K825" s="46">
        <v>1</v>
      </c>
      <c r="L825" s="46">
        <f t="shared" si="180"/>
        <v>1</v>
      </c>
      <c r="M825" s="46">
        <f t="shared" si="181"/>
        <v>0.33333333333333331</v>
      </c>
      <c r="N825" s="45">
        <f t="shared" si="182"/>
        <v>225800</v>
      </c>
      <c r="O825" s="45">
        <f t="shared" si="183"/>
        <v>75266.666666666657</v>
      </c>
      <c r="P825" s="46">
        <f t="shared" si="184"/>
        <v>1.111111111111111E-2</v>
      </c>
      <c r="Q825" s="46"/>
      <c r="R825" s="45">
        <f t="shared" si="185"/>
        <v>0</v>
      </c>
      <c r="S825" s="46">
        <f t="shared" si="186"/>
        <v>0</v>
      </c>
      <c r="T825" s="46">
        <f>IFERROR(VLOOKUP(A825,'[1]Re-order'!$A:$Q,17,0),"")</f>
        <v>18</v>
      </c>
      <c r="U825" s="46">
        <f>IFERROR(VLOOKUP(A825,'[1]MC Masterlist 2026-09-12'!$B:$M, 10, 0),0)</f>
        <v>15</v>
      </c>
      <c r="V825" s="46">
        <f>IFERROR(VLOOKUP(A825,'[1]MC Masterlist 2026-09-12'!$B:$M, 11, 0),0)</f>
        <v>15</v>
      </c>
      <c r="W825" s="46">
        <f t="shared" si="187"/>
        <v>30</v>
      </c>
      <c r="X825" s="46">
        <f t="shared" si="188"/>
        <v>29.833333333333332</v>
      </c>
      <c r="Y825" s="46">
        <f>IFERROR(IF(OR(C825="AREA I",C825="AREA V"),7,VLOOKUP(A825,'[1]MC Masterlist 2026-09-12'!$B:$M, 12, 0)),0)</f>
        <v>30</v>
      </c>
      <c r="Z825" s="46">
        <f t="shared" si="189"/>
        <v>0.16666666666666666</v>
      </c>
      <c r="AA825" s="46">
        <f t="shared" si="190"/>
        <v>0.33333333333333331</v>
      </c>
      <c r="AB825" s="46">
        <f t="shared" si="191"/>
        <v>0.33148148148148143</v>
      </c>
      <c r="AC825" s="46">
        <f t="shared" si="192"/>
        <v>0.33333333333333331</v>
      </c>
      <c r="AD825" s="44" t="str">
        <f t="shared" si="193"/>
        <v>Stockout</v>
      </c>
      <c r="AE825" s="44" t="str">
        <f>IFERROR(VLOOKUP(A825,'[1]Re-order'!$A:$AA,27,0),"")</f>
        <v>Stockout</v>
      </c>
      <c r="AF825" s="46">
        <f t="shared" si="194"/>
        <v>0.33333333333333331</v>
      </c>
      <c r="AG825" s="46">
        <f>SUMIFS('[1]Raw Inventory'!D:D,'[1]Raw Inventory'!C:C,"GREATWALL",'[1]Raw Inventory'!B:B,A825)</f>
        <v>0</v>
      </c>
      <c r="AH825" s="46">
        <f>SUMIFS('[1]Raw Inventory'!D:D,'[1]Raw Inventory'!C:C,"DUARTE",'[1]Raw Inventory'!B:B,A825)</f>
        <v>0</v>
      </c>
      <c r="AI825" s="46"/>
      <c r="AJ825" s="46"/>
      <c r="AK825" s="43"/>
      <c r="AL825" s="43"/>
      <c r="AM825" s="43"/>
      <c r="AN825" s="43"/>
      <c r="AO825" s="43"/>
      <c r="AP825" s="43"/>
      <c r="AQ825" s="43"/>
      <c r="AR825" s="43"/>
      <c r="AS825" s="43"/>
      <c r="AT825" s="43"/>
    </row>
    <row r="826" spans="1:46">
      <c r="A826" s="43" t="s">
        <v>65</v>
      </c>
      <c r="B826" s="43" t="s">
        <v>111</v>
      </c>
      <c r="C826" s="43" t="s">
        <v>109</v>
      </c>
      <c r="D826" s="44" t="s">
        <v>258</v>
      </c>
      <c r="E826" s="44">
        <v>29</v>
      </c>
      <c r="F826" s="44" t="s">
        <v>3</v>
      </c>
      <c r="G826" s="43" t="str">
        <f>IFERROR(VLOOKUP(A826,'[1]MC Masterlist 2026-09-12'!$B:$M, 3, 0),"")</f>
        <v>SUZUKI</v>
      </c>
      <c r="H826" s="45">
        <f>IFERROR(VLOOKUP(A826,'[1]MC Masterlist 2026-09-12'!$B:$M, 6, 0),"")</f>
        <v>77572</v>
      </c>
      <c r="I826" s="46">
        <v>0</v>
      </c>
      <c r="J826" s="46">
        <v>0</v>
      </c>
      <c r="K826" s="46">
        <v>0</v>
      </c>
      <c r="L826" s="46">
        <f t="shared" si="180"/>
        <v>0</v>
      </c>
      <c r="M826" s="46">
        <f t="shared" si="181"/>
        <v>0</v>
      </c>
      <c r="N826" s="45">
        <f t="shared" si="182"/>
        <v>0</v>
      </c>
      <c r="O826" s="45">
        <f t="shared" si="183"/>
        <v>0</v>
      </c>
      <c r="P826" s="46">
        <f t="shared" si="184"/>
        <v>0</v>
      </c>
      <c r="Q826" s="46">
        <v>1</v>
      </c>
      <c r="R826" s="45">
        <f t="shared" si="185"/>
        <v>77572</v>
      </c>
      <c r="S826" s="46">
        <f t="shared" si="186"/>
        <v>0</v>
      </c>
      <c r="T826" s="46">
        <f>IFERROR(VLOOKUP(A826,'[1]Re-order'!$A:$Q,17,0),"")</f>
        <v>158.8235294117647</v>
      </c>
      <c r="U826" s="46">
        <f>IFERROR(VLOOKUP(A826,'[1]MC Masterlist 2026-09-12'!$B:$M, 10, 0),0)</f>
        <v>15</v>
      </c>
      <c r="V826" s="46">
        <f>IFERROR(VLOOKUP(A826,'[1]MC Masterlist 2026-09-12'!$B:$M, 11, 0),0)</f>
        <v>15</v>
      </c>
      <c r="W826" s="46">
        <f t="shared" si="187"/>
        <v>30</v>
      </c>
      <c r="X826" s="46">
        <f t="shared" si="188"/>
        <v>30</v>
      </c>
      <c r="Y826" s="46">
        <f>IFERROR(IF(OR(C826="AREA I",C826="AREA V"),7,VLOOKUP(A826,'[1]MC Masterlist 2026-09-12'!$B:$M, 12, 0)),0)</f>
        <v>30</v>
      </c>
      <c r="Z826" s="46">
        <f t="shared" si="189"/>
        <v>0</v>
      </c>
      <c r="AA826" s="46">
        <f t="shared" si="190"/>
        <v>0</v>
      </c>
      <c r="AB826" s="46">
        <f t="shared" si="191"/>
        <v>0</v>
      </c>
      <c r="AC826" s="46">
        <f t="shared" si="192"/>
        <v>0</v>
      </c>
      <c r="AD826" s="44" t="str">
        <f t="shared" si="193"/>
        <v>Over</v>
      </c>
      <c r="AE826" s="44" t="str">
        <f>IFERROR(VLOOKUP(A826,'[1]Re-order'!$A:$AA,27,0),"")</f>
        <v>Over</v>
      </c>
      <c r="AF826" s="46">
        <f t="shared" si="194"/>
        <v>-1</v>
      </c>
      <c r="AG826" s="46">
        <f>SUMIFS('[1]Raw Inventory'!D:D,'[1]Raw Inventory'!C:C,"GREATWALL",'[1]Raw Inventory'!B:B,A826)</f>
        <v>4</v>
      </c>
      <c r="AH826" s="46">
        <f>SUMIFS('[1]Raw Inventory'!D:D,'[1]Raw Inventory'!C:C,"DUARTE",'[1]Raw Inventory'!B:B,A826)</f>
        <v>0</v>
      </c>
      <c r="AI826" s="46"/>
      <c r="AJ826" s="46"/>
      <c r="AK826" s="43"/>
      <c r="AL826" s="43"/>
      <c r="AM826" s="43"/>
      <c r="AN826" s="43"/>
      <c r="AO826" s="43"/>
      <c r="AP826" s="43"/>
      <c r="AQ826" s="43"/>
      <c r="AR826" s="43"/>
      <c r="AS826" s="43"/>
      <c r="AT826" s="43"/>
    </row>
    <row r="827" spans="1:46">
      <c r="A827" s="43" t="s">
        <v>71</v>
      </c>
      <c r="B827" s="43" t="s">
        <v>27</v>
      </c>
      <c r="C827" s="43" t="s">
        <v>1</v>
      </c>
      <c r="D827" s="44" t="s">
        <v>257</v>
      </c>
      <c r="E827" s="44">
        <v>22</v>
      </c>
      <c r="F827" s="44" t="s">
        <v>3</v>
      </c>
      <c r="G827" s="43" t="str">
        <f>IFERROR(VLOOKUP(A827,'[1]MC Masterlist 2026-09-12'!$B:$M, 3, 0),"")</f>
        <v>SUZUKI</v>
      </c>
      <c r="H827" s="45">
        <f>IFERROR(VLOOKUP(A827,'[1]MC Masterlist 2026-09-12'!$B:$M, 6, 0),"")</f>
        <v>156250</v>
      </c>
      <c r="I827" s="46">
        <v>0</v>
      </c>
      <c r="J827" s="46">
        <v>0</v>
      </c>
      <c r="K827" s="46">
        <v>1</v>
      </c>
      <c r="L827" s="46">
        <f t="shared" si="180"/>
        <v>1</v>
      </c>
      <c r="M827" s="46">
        <f t="shared" si="181"/>
        <v>0.33333333333333331</v>
      </c>
      <c r="N827" s="45">
        <f t="shared" si="182"/>
        <v>156250</v>
      </c>
      <c r="O827" s="45">
        <f t="shared" si="183"/>
        <v>52083.333333333328</v>
      </c>
      <c r="P827" s="46">
        <f t="shared" si="184"/>
        <v>1.111111111111111E-2</v>
      </c>
      <c r="Q827" s="46"/>
      <c r="R827" s="45">
        <f t="shared" si="185"/>
        <v>0</v>
      </c>
      <c r="S827" s="46">
        <f t="shared" si="186"/>
        <v>0</v>
      </c>
      <c r="T827" s="46">
        <f>IFERROR(VLOOKUP(A827,'[1]Re-order'!$A:$Q,17,0),"")</f>
        <v>612</v>
      </c>
      <c r="U827" s="46">
        <f>IFERROR(VLOOKUP(A827,'[1]MC Masterlist 2026-09-12'!$B:$M, 10, 0),0)</f>
        <v>15</v>
      </c>
      <c r="V827" s="46">
        <f>IFERROR(VLOOKUP(A827,'[1]MC Masterlist 2026-09-12'!$B:$M, 11, 0),0)</f>
        <v>15</v>
      </c>
      <c r="W827" s="46">
        <f t="shared" si="187"/>
        <v>30</v>
      </c>
      <c r="X827" s="46">
        <f t="shared" si="188"/>
        <v>6.833333333333333</v>
      </c>
      <c r="Y827" s="46">
        <f>IFERROR(IF(OR(C827="AREA I",C827="AREA V"),7,VLOOKUP(A827,'[1]MC Masterlist 2026-09-12'!$B:$M, 12, 0)),0)</f>
        <v>7</v>
      </c>
      <c r="Z827" s="46">
        <f t="shared" si="189"/>
        <v>0.16666666666666666</v>
      </c>
      <c r="AA827" s="46">
        <f t="shared" si="190"/>
        <v>0.33333333333333331</v>
      </c>
      <c r="AB827" s="46">
        <f t="shared" si="191"/>
        <v>7.5925925925925911E-2</v>
      </c>
      <c r="AC827" s="46">
        <f t="shared" si="192"/>
        <v>7.7777777777777765E-2</v>
      </c>
      <c r="AD827" s="44" t="str">
        <f t="shared" si="193"/>
        <v>Stockout</v>
      </c>
      <c r="AE827" s="44" t="str">
        <f>IFERROR(VLOOKUP(A827,'[1]Re-order'!$A:$AA,27,0),"")</f>
        <v>Over</v>
      </c>
      <c r="AF827" s="46">
        <f t="shared" si="194"/>
        <v>7.7777777777777765E-2</v>
      </c>
      <c r="AG827" s="46">
        <f>SUMIFS('[1]Raw Inventory'!D:D,'[1]Raw Inventory'!C:C,"GREATWALL",'[1]Raw Inventory'!B:B,A827)</f>
        <v>13</v>
      </c>
      <c r="AH827" s="46">
        <f>SUMIFS('[1]Raw Inventory'!D:D,'[1]Raw Inventory'!C:C,"DUARTE",'[1]Raw Inventory'!B:B,A827)</f>
        <v>0</v>
      </c>
      <c r="AI827" s="46"/>
      <c r="AJ827" s="46"/>
      <c r="AK827" s="43"/>
      <c r="AL827" s="43"/>
      <c r="AM827" s="43"/>
      <c r="AN827" s="43"/>
      <c r="AO827" s="43"/>
      <c r="AP827" s="43"/>
      <c r="AQ827" s="43"/>
      <c r="AR827" s="43"/>
      <c r="AS827" s="43"/>
      <c r="AT827" s="43"/>
    </row>
    <row r="828" spans="1:46">
      <c r="A828" s="43" t="s">
        <v>81</v>
      </c>
      <c r="B828" s="43" t="s">
        <v>132</v>
      </c>
      <c r="C828" s="43" t="s">
        <v>128</v>
      </c>
      <c r="D828" s="44" t="s">
        <v>221</v>
      </c>
      <c r="E828" s="44">
        <v>22</v>
      </c>
      <c r="F828" s="44" t="s">
        <v>3</v>
      </c>
      <c r="G828" s="43" t="str">
        <f>IFERROR(VLOOKUP(A828,'[1]MC Masterlist 2026-09-12'!$B:$M, 3, 0),"")</f>
        <v>HONDA</v>
      </c>
      <c r="H828" s="45">
        <f>IFERROR(VLOOKUP(A828,'[1]MC Masterlist 2026-09-12'!$B:$M, 6, 0),"")</f>
        <v>126198</v>
      </c>
      <c r="I828" s="46">
        <v>0</v>
      </c>
      <c r="J828" s="46">
        <v>0</v>
      </c>
      <c r="K828" s="46">
        <v>1</v>
      </c>
      <c r="L828" s="46">
        <f t="shared" si="180"/>
        <v>1</v>
      </c>
      <c r="M828" s="46">
        <f t="shared" si="181"/>
        <v>0.33333333333333331</v>
      </c>
      <c r="N828" s="45">
        <f t="shared" si="182"/>
        <v>126198</v>
      </c>
      <c r="O828" s="45">
        <f t="shared" si="183"/>
        <v>42066</v>
      </c>
      <c r="P828" s="46">
        <f t="shared" si="184"/>
        <v>1.111111111111111E-2</v>
      </c>
      <c r="Q828" s="46"/>
      <c r="R828" s="45">
        <f t="shared" si="185"/>
        <v>0</v>
      </c>
      <c r="S828" s="46">
        <f t="shared" si="186"/>
        <v>0</v>
      </c>
      <c r="T828" s="46">
        <f>IFERROR(VLOOKUP(A828,'[1]Re-order'!$A:$Q,17,0),"")</f>
        <v>22.5</v>
      </c>
      <c r="U828" s="46">
        <f>IFERROR(VLOOKUP(A828,'[1]MC Masterlist 2026-09-12'!$B:$M, 10, 0),0)</f>
        <v>15</v>
      </c>
      <c r="V828" s="46">
        <f>IFERROR(VLOOKUP(A828,'[1]MC Masterlist 2026-09-12'!$B:$M, 11, 0),0)</f>
        <v>15</v>
      </c>
      <c r="W828" s="46">
        <f t="shared" si="187"/>
        <v>30</v>
      </c>
      <c r="X828" s="46">
        <f t="shared" si="188"/>
        <v>29.833333333333332</v>
      </c>
      <c r="Y828" s="46">
        <f>IFERROR(IF(OR(C828="AREA I",C828="AREA V"),7,VLOOKUP(A828,'[1]MC Masterlist 2026-09-12'!$B:$M, 12, 0)),0)</f>
        <v>30</v>
      </c>
      <c r="Z828" s="46">
        <f t="shared" si="189"/>
        <v>0.16666666666666666</v>
      </c>
      <c r="AA828" s="46">
        <f t="shared" si="190"/>
        <v>0.33333333333333331</v>
      </c>
      <c r="AB828" s="46">
        <f t="shared" si="191"/>
        <v>0.33148148148148143</v>
      </c>
      <c r="AC828" s="46">
        <f t="shared" si="192"/>
        <v>0.33333333333333331</v>
      </c>
      <c r="AD828" s="44" t="str">
        <f t="shared" si="193"/>
        <v>Stockout</v>
      </c>
      <c r="AE828" s="44" t="str">
        <f>IFERROR(VLOOKUP(A828,'[1]Re-order'!$A:$AA,27,0),"")</f>
        <v>Stockout</v>
      </c>
      <c r="AF828" s="46">
        <f t="shared" si="194"/>
        <v>0.33333333333333331</v>
      </c>
      <c r="AG828" s="46">
        <f>SUMIFS('[1]Raw Inventory'!D:D,'[1]Raw Inventory'!C:C,"GREATWALL",'[1]Raw Inventory'!B:B,A828)</f>
        <v>0</v>
      </c>
      <c r="AH828" s="46">
        <f>SUMIFS('[1]Raw Inventory'!D:D,'[1]Raw Inventory'!C:C,"DUARTE",'[1]Raw Inventory'!B:B,A828)</f>
        <v>0</v>
      </c>
      <c r="AI828" s="46"/>
      <c r="AJ828" s="46"/>
      <c r="AK828" s="43"/>
      <c r="AL828" s="43"/>
      <c r="AM828" s="43"/>
      <c r="AN828" s="43"/>
      <c r="AO828" s="43"/>
      <c r="AP828" s="43"/>
      <c r="AQ828" s="43"/>
      <c r="AR828" s="43"/>
      <c r="AS828" s="43"/>
      <c r="AT828" s="43"/>
    </row>
    <row r="829" spans="1:46">
      <c r="A829" s="43" t="s">
        <v>49</v>
      </c>
      <c r="B829" s="43" t="s">
        <v>98</v>
      </c>
      <c r="C829" s="43" t="s">
        <v>90</v>
      </c>
      <c r="D829" s="44" t="s">
        <v>225</v>
      </c>
      <c r="E829" s="44">
        <v>3</v>
      </c>
      <c r="F829" s="44" t="s">
        <v>0</v>
      </c>
      <c r="G829" s="43" t="str">
        <f>IFERROR(VLOOKUP(A829,'[1]MC Masterlist 2026-09-12'!$B:$M, 3, 0),"")</f>
        <v>BAJAJ RE</v>
      </c>
      <c r="H829" s="45">
        <f>IFERROR(VLOOKUP(A829,'[1]MC Masterlist 2026-09-12'!$B:$M, 6, 0),"")</f>
        <v>191000</v>
      </c>
      <c r="I829" s="46">
        <v>1</v>
      </c>
      <c r="J829" s="46">
        <v>1</v>
      </c>
      <c r="K829" s="46">
        <v>1</v>
      </c>
      <c r="L829" s="46">
        <f t="shared" si="180"/>
        <v>3</v>
      </c>
      <c r="M829" s="46">
        <f t="shared" si="181"/>
        <v>1</v>
      </c>
      <c r="N829" s="45">
        <f t="shared" si="182"/>
        <v>573000</v>
      </c>
      <c r="O829" s="45">
        <f t="shared" si="183"/>
        <v>191000</v>
      </c>
      <c r="P829" s="46">
        <f t="shared" si="184"/>
        <v>3.3333333333333333E-2</v>
      </c>
      <c r="Q829" s="46"/>
      <c r="R829" s="45">
        <f t="shared" si="185"/>
        <v>0</v>
      </c>
      <c r="S829" s="46">
        <f t="shared" si="186"/>
        <v>0</v>
      </c>
      <c r="T829" s="46">
        <f>IFERROR(VLOOKUP(A829,'[1]Re-order'!$A:$Q,17,0),"")</f>
        <v>21.516709511568124</v>
      </c>
      <c r="U829" s="46">
        <f>IFERROR(VLOOKUP(A829,'[1]MC Masterlist 2026-09-12'!$B:$M, 10, 0),0)</f>
        <v>15</v>
      </c>
      <c r="V829" s="46">
        <f>IFERROR(VLOOKUP(A829,'[1]MC Masterlist 2026-09-12'!$B:$M, 11, 0),0)</f>
        <v>15</v>
      </c>
      <c r="W829" s="46">
        <f t="shared" si="187"/>
        <v>30</v>
      </c>
      <c r="X829" s="46">
        <f t="shared" si="188"/>
        <v>29.5</v>
      </c>
      <c r="Y829" s="46">
        <f>IFERROR(IF(OR(C829="AREA I",C829="AREA V"),7,VLOOKUP(A829,'[1]MC Masterlist 2026-09-12'!$B:$M, 12, 0)),0)</f>
        <v>30</v>
      </c>
      <c r="Z829" s="46">
        <f t="shared" si="189"/>
        <v>0.5</v>
      </c>
      <c r="AA829" s="46">
        <f t="shared" si="190"/>
        <v>1</v>
      </c>
      <c r="AB829" s="46">
        <f t="shared" si="191"/>
        <v>0.98333333333333328</v>
      </c>
      <c r="AC829" s="46">
        <f t="shared" si="192"/>
        <v>1</v>
      </c>
      <c r="AD829" s="44" t="str">
        <f t="shared" si="193"/>
        <v>Stockout</v>
      </c>
      <c r="AE829" s="44" t="str">
        <f>IFERROR(VLOOKUP(A829,'[1]Re-order'!$A:$AA,27,0),"")</f>
        <v>Stockout</v>
      </c>
      <c r="AF829" s="46">
        <f t="shared" si="194"/>
        <v>1</v>
      </c>
      <c r="AG829" s="46">
        <f>SUMIFS('[1]Raw Inventory'!D:D,'[1]Raw Inventory'!C:C,"GREATWALL",'[1]Raw Inventory'!B:B,A829)</f>
        <v>0</v>
      </c>
      <c r="AH829" s="46">
        <f>SUMIFS('[1]Raw Inventory'!D:D,'[1]Raw Inventory'!C:C,"DUARTE",'[1]Raw Inventory'!B:B,A829)</f>
        <v>0</v>
      </c>
      <c r="AI829" s="46"/>
      <c r="AJ829" s="46"/>
      <c r="AK829" s="43"/>
      <c r="AL829" s="43"/>
      <c r="AM829" s="43"/>
      <c r="AN829" s="43"/>
      <c r="AO829" s="43"/>
      <c r="AP829" s="43"/>
      <c r="AQ829" s="43"/>
      <c r="AR829" s="43"/>
      <c r="AS829" s="43"/>
      <c r="AT829" s="43"/>
    </row>
    <row r="830" spans="1:46">
      <c r="A830" s="43" t="s">
        <v>38</v>
      </c>
      <c r="B830" s="43" t="s">
        <v>30</v>
      </c>
      <c r="C830" s="43" t="s">
        <v>1</v>
      </c>
      <c r="D830" s="44" t="s">
        <v>252</v>
      </c>
      <c r="E830" s="44">
        <v>21</v>
      </c>
      <c r="F830" s="44" t="s">
        <v>2</v>
      </c>
      <c r="G830" s="43" t="str">
        <f>IFERROR(VLOOKUP(A830,'[1]MC Masterlist 2026-09-12'!$B:$M, 3, 0),"")</f>
        <v>HONDA</v>
      </c>
      <c r="H830" s="45">
        <f>IFERROR(VLOOKUP(A830,'[1]MC Masterlist 2026-09-12'!$B:$M, 6, 0),"")</f>
        <v>165630</v>
      </c>
      <c r="I830" s="46">
        <v>1</v>
      </c>
      <c r="J830" s="46">
        <v>0</v>
      </c>
      <c r="K830" s="46">
        <v>0</v>
      </c>
      <c r="L830" s="46">
        <f t="shared" si="180"/>
        <v>1</v>
      </c>
      <c r="M830" s="46">
        <f t="shared" si="181"/>
        <v>0.33333333333333331</v>
      </c>
      <c r="N830" s="45">
        <f t="shared" si="182"/>
        <v>165630</v>
      </c>
      <c r="O830" s="45">
        <f t="shared" si="183"/>
        <v>55210</v>
      </c>
      <c r="P830" s="46">
        <f t="shared" si="184"/>
        <v>1.111111111111111E-2</v>
      </c>
      <c r="Q830" s="46"/>
      <c r="R830" s="45">
        <f t="shared" si="185"/>
        <v>0</v>
      </c>
      <c r="S830" s="46">
        <f t="shared" si="186"/>
        <v>0</v>
      </c>
      <c r="T830" s="46">
        <f>IFERROR(VLOOKUP(A830,'[1]Re-order'!$A:$Q,17,0),"")</f>
        <v>60</v>
      </c>
      <c r="U830" s="46">
        <f>IFERROR(VLOOKUP(A830,'[1]MC Masterlist 2026-09-12'!$B:$M, 10, 0),0)</f>
        <v>15</v>
      </c>
      <c r="V830" s="46">
        <f>IFERROR(VLOOKUP(A830,'[1]MC Masterlist 2026-09-12'!$B:$M, 11, 0),0)</f>
        <v>15</v>
      </c>
      <c r="W830" s="46">
        <f t="shared" si="187"/>
        <v>30</v>
      </c>
      <c r="X830" s="46">
        <f t="shared" si="188"/>
        <v>6.833333333333333</v>
      </c>
      <c r="Y830" s="46">
        <f>IFERROR(IF(OR(C830="AREA I",C830="AREA V"),7,VLOOKUP(A830,'[1]MC Masterlist 2026-09-12'!$B:$M, 12, 0)),0)</f>
        <v>7</v>
      </c>
      <c r="Z830" s="46">
        <f t="shared" si="189"/>
        <v>0.16666666666666666</v>
      </c>
      <c r="AA830" s="46">
        <f t="shared" si="190"/>
        <v>0.33333333333333331</v>
      </c>
      <c r="AB830" s="46">
        <f t="shared" si="191"/>
        <v>7.5925925925925911E-2</v>
      </c>
      <c r="AC830" s="46">
        <f t="shared" si="192"/>
        <v>7.7777777777777765E-2</v>
      </c>
      <c r="AD830" s="44" t="str">
        <f t="shared" si="193"/>
        <v>Stockout</v>
      </c>
      <c r="AE830" s="44" t="str">
        <f>IFERROR(VLOOKUP(A830,'[1]Re-order'!$A:$AA,27,0),"")</f>
        <v>Re-order</v>
      </c>
      <c r="AF830" s="46">
        <f t="shared" si="194"/>
        <v>7.7777777777777765E-2</v>
      </c>
      <c r="AG830" s="46">
        <f>SUMIFS('[1]Raw Inventory'!D:D,'[1]Raw Inventory'!C:C,"GREATWALL",'[1]Raw Inventory'!B:B,A830)</f>
        <v>6</v>
      </c>
      <c r="AH830" s="46">
        <f>SUMIFS('[1]Raw Inventory'!D:D,'[1]Raw Inventory'!C:C,"DUARTE",'[1]Raw Inventory'!B:B,A830)</f>
        <v>0</v>
      </c>
      <c r="AI830" s="46"/>
      <c r="AJ830" s="46"/>
      <c r="AK830" s="43"/>
      <c r="AL830" s="43"/>
      <c r="AM830" s="43"/>
      <c r="AN830" s="43"/>
      <c r="AO830" s="43"/>
      <c r="AP830" s="43"/>
      <c r="AQ830" s="43"/>
      <c r="AR830" s="43"/>
      <c r="AS830" s="43"/>
      <c r="AT830" s="43"/>
    </row>
    <row r="831" spans="1:46">
      <c r="A831" s="43" t="s">
        <v>47</v>
      </c>
      <c r="B831" s="43" t="s">
        <v>123</v>
      </c>
      <c r="C831" s="43" t="s">
        <v>118</v>
      </c>
      <c r="D831" s="44" t="s">
        <v>235</v>
      </c>
      <c r="E831" s="44">
        <v>25</v>
      </c>
      <c r="F831" s="44" t="s">
        <v>3</v>
      </c>
      <c r="G831" s="43" t="str">
        <f>IFERROR(VLOOKUP(A831,'[1]MC Masterlist 2026-09-12'!$B:$M, 3, 0),"")</f>
        <v>YAMAHA</v>
      </c>
      <c r="H831" s="45">
        <f>IFERROR(VLOOKUP(A831,'[1]MC Masterlist 2026-09-12'!$B:$M, 6, 0),"")</f>
        <v>76167</v>
      </c>
      <c r="I831" s="46">
        <v>0</v>
      </c>
      <c r="J831" s="46">
        <v>0</v>
      </c>
      <c r="K831" s="46">
        <v>0</v>
      </c>
      <c r="L831" s="46">
        <f t="shared" si="180"/>
        <v>0</v>
      </c>
      <c r="M831" s="46">
        <f t="shared" si="181"/>
        <v>0</v>
      </c>
      <c r="N831" s="45">
        <f t="shared" si="182"/>
        <v>0</v>
      </c>
      <c r="O831" s="45">
        <f t="shared" si="183"/>
        <v>0</v>
      </c>
      <c r="P831" s="46">
        <f t="shared" si="184"/>
        <v>0</v>
      </c>
      <c r="Q831" s="46">
        <v>1</v>
      </c>
      <c r="R831" s="45">
        <f t="shared" si="185"/>
        <v>76167</v>
      </c>
      <c r="S831" s="46">
        <f t="shared" si="186"/>
        <v>0</v>
      </c>
      <c r="T831" s="46">
        <f>IFERROR(VLOOKUP(A831,'[1]Re-order'!$A:$Q,17,0),"")</f>
        <v>86.666666666666671</v>
      </c>
      <c r="U831" s="46">
        <f>IFERROR(VLOOKUP(A831,'[1]MC Masterlist 2026-09-12'!$B:$M, 10, 0),0)</f>
        <v>15</v>
      </c>
      <c r="V831" s="46">
        <f>IFERROR(VLOOKUP(A831,'[1]MC Masterlist 2026-09-12'!$B:$M, 11, 0),0)</f>
        <v>15</v>
      </c>
      <c r="W831" s="46">
        <f t="shared" si="187"/>
        <v>30</v>
      </c>
      <c r="X831" s="46">
        <f t="shared" si="188"/>
        <v>30</v>
      </c>
      <c r="Y831" s="46">
        <f>IFERROR(IF(OR(C831="AREA I",C831="AREA V"),7,VLOOKUP(A831,'[1]MC Masterlist 2026-09-12'!$B:$M, 12, 0)),0)</f>
        <v>30</v>
      </c>
      <c r="Z831" s="46">
        <f t="shared" si="189"/>
        <v>0</v>
      </c>
      <c r="AA831" s="46">
        <f t="shared" si="190"/>
        <v>0</v>
      </c>
      <c r="AB831" s="46">
        <f t="shared" si="191"/>
        <v>0</v>
      </c>
      <c r="AC831" s="46">
        <f t="shared" si="192"/>
        <v>0</v>
      </c>
      <c r="AD831" s="44" t="str">
        <f t="shared" si="193"/>
        <v>Over</v>
      </c>
      <c r="AE831" s="44" t="str">
        <f>IFERROR(VLOOKUP(A831,'[1]Re-order'!$A:$AA,27,0),"")</f>
        <v/>
      </c>
      <c r="AF831" s="46">
        <f t="shared" si="194"/>
        <v>-1</v>
      </c>
      <c r="AG831" s="46">
        <f>SUMIFS('[1]Raw Inventory'!D:D,'[1]Raw Inventory'!C:C,"GREATWALL",'[1]Raw Inventory'!B:B,A831)</f>
        <v>1</v>
      </c>
      <c r="AH831" s="46">
        <f>SUMIFS('[1]Raw Inventory'!D:D,'[1]Raw Inventory'!C:C,"DUARTE",'[1]Raw Inventory'!B:B,A831)</f>
        <v>0</v>
      </c>
      <c r="AI831" s="46"/>
      <c r="AJ831" s="46"/>
      <c r="AK831" s="43"/>
      <c r="AL831" s="43"/>
      <c r="AM831" s="43"/>
      <c r="AN831" s="43"/>
      <c r="AO831" s="43"/>
      <c r="AP831" s="43"/>
      <c r="AQ831" s="43"/>
      <c r="AR831" s="43"/>
      <c r="AS831" s="43"/>
      <c r="AT831" s="43"/>
    </row>
    <row r="832" spans="1:46">
      <c r="A832" s="43" t="s">
        <v>67</v>
      </c>
      <c r="B832" s="43" t="s">
        <v>114</v>
      </c>
      <c r="C832" s="43" t="s">
        <v>109</v>
      </c>
      <c r="D832" s="44" t="s">
        <v>239</v>
      </c>
      <c r="E832" s="44">
        <v>30</v>
      </c>
      <c r="F832" s="44" t="s">
        <v>3</v>
      </c>
      <c r="G832" s="43" t="str">
        <f>IFERROR(VLOOKUP(A832,'[1]MC Masterlist 2026-09-12'!$B:$M, 3, 0),"")</f>
        <v>YAMAHA</v>
      </c>
      <c r="H832" s="45">
        <f>IFERROR(VLOOKUP(A832,'[1]MC Masterlist 2026-09-12'!$B:$M, 6, 0),"")</f>
        <v>86397</v>
      </c>
      <c r="I832" s="46">
        <v>0</v>
      </c>
      <c r="J832" s="46">
        <v>0</v>
      </c>
      <c r="K832" s="46">
        <v>0</v>
      </c>
      <c r="L832" s="46">
        <f t="shared" si="180"/>
        <v>0</v>
      </c>
      <c r="M832" s="46">
        <f t="shared" si="181"/>
        <v>0</v>
      </c>
      <c r="N832" s="45">
        <f t="shared" si="182"/>
        <v>0</v>
      </c>
      <c r="O832" s="45">
        <f t="shared" si="183"/>
        <v>0</v>
      </c>
      <c r="P832" s="46">
        <f t="shared" si="184"/>
        <v>0</v>
      </c>
      <c r="Q832" s="46">
        <v>1</v>
      </c>
      <c r="R832" s="45">
        <f t="shared" si="185"/>
        <v>86397</v>
      </c>
      <c r="S832" s="46">
        <f t="shared" si="186"/>
        <v>0</v>
      </c>
      <c r="T832" s="46">
        <f>IFERROR(VLOOKUP(A832,'[1]Re-order'!$A:$Q,17,0),"")</f>
        <v>73.63636363636364</v>
      </c>
      <c r="U832" s="46">
        <f>IFERROR(VLOOKUP(A832,'[1]MC Masterlist 2026-09-12'!$B:$M, 10, 0),0)</f>
        <v>15</v>
      </c>
      <c r="V832" s="46">
        <f>IFERROR(VLOOKUP(A832,'[1]MC Masterlist 2026-09-12'!$B:$M, 11, 0),0)</f>
        <v>15</v>
      </c>
      <c r="W832" s="46">
        <f t="shared" si="187"/>
        <v>30</v>
      </c>
      <c r="X832" s="46">
        <f t="shared" si="188"/>
        <v>30</v>
      </c>
      <c r="Y832" s="46">
        <f>IFERROR(IF(OR(C832="AREA I",C832="AREA V"),7,VLOOKUP(A832,'[1]MC Masterlist 2026-09-12'!$B:$M, 12, 0)),0)</f>
        <v>30</v>
      </c>
      <c r="Z832" s="46">
        <f t="shared" si="189"/>
        <v>0</v>
      </c>
      <c r="AA832" s="46">
        <f t="shared" si="190"/>
        <v>0</v>
      </c>
      <c r="AB832" s="46">
        <f t="shared" si="191"/>
        <v>0</v>
      </c>
      <c r="AC832" s="46">
        <f t="shared" si="192"/>
        <v>0</v>
      </c>
      <c r="AD832" s="44" t="str">
        <f t="shared" si="193"/>
        <v>Over</v>
      </c>
      <c r="AE832" s="44" t="str">
        <f>IFERROR(VLOOKUP(A832,'[1]Re-order'!$A:$AA,27,0),"")</f>
        <v>Re-order</v>
      </c>
      <c r="AF832" s="46">
        <f t="shared" si="194"/>
        <v>-1</v>
      </c>
      <c r="AG832" s="46">
        <f>SUMIFS('[1]Raw Inventory'!D:D,'[1]Raw Inventory'!C:C,"GREATWALL",'[1]Raw Inventory'!B:B,A832)</f>
        <v>1</v>
      </c>
      <c r="AH832" s="46">
        <f>SUMIFS('[1]Raw Inventory'!D:D,'[1]Raw Inventory'!C:C,"DUARTE",'[1]Raw Inventory'!B:B,A832)</f>
        <v>0</v>
      </c>
      <c r="AI832" s="46"/>
      <c r="AJ832" s="46"/>
      <c r="AK832" s="43"/>
      <c r="AL832" s="43"/>
      <c r="AM832" s="43"/>
      <c r="AN832" s="43"/>
      <c r="AO832" s="43"/>
      <c r="AP832" s="43"/>
      <c r="AQ832" s="43"/>
      <c r="AR832" s="43"/>
      <c r="AS832" s="43"/>
      <c r="AT832" s="43"/>
    </row>
    <row r="833" spans="1:46">
      <c r="A833" s="43" t="s">
        <v>38</v>
      </c>
      <c r="B833" s="43" t="s">
        <v>27</v>
      </c>
      <c r="C833" s="43" t="s">
        <v>1</v>
      </c>
      <c r="D833" s="44" t="s">
        <v>241</v>
      </c>
      <c r="E833" s="44">
        <v>21</v>
      </c>
      <c r="F833" s="44" t="s">
        <v>3</v>
      </c>
      <c r="G833" s="43" t="str">
        <f>IFERROR(VLOOKUP(A833,'[1]MC Masterlist 2026-09-12'!$B:$M, 3, 0),"")</f>
        <v>HONDA</v>
      </c>
      <c r="H833" s="45">
        <f>IFERROR(VLOOKUP(A833,'[1]MC Masterlist 2026-09-12'!$B:$M, 6, 0),"")</f>
        <v>165630</v>
      </c>
      <c r="I833" s="46">
        <v>0</v>
      </c>
      <c r="J833" s="46">
        <v>1</v>
      </c>
      <c r="K833" s="46">
        <v>0</v>
      </c>
      <c r="L833" s="46">
        <f t="shared" si="180"/>
        <v>1</v>
      </c>
      <c r="M833" s="46">
        <f t="shared" si="181"/>
        <v>0.33333333333333331</v>
      </c>
      <c r="N833" s="45">
        <f t="shared" si="182"/>
        <v>165630</v>
      </c>
      <c r="O833" s="45">
        <f t="shared" si="183"/>
        <v>55210</v>
      </c>
      <c r="P833" s="46">
        <f t="shared" si="184"/>
        <v>1.111111111111111E-2</v>
      </c>
      <c r="Q833" s="46"/>
      <c r="R833" s="45">
        <f t="shared" si="185"/>
        <v>0</v>
      </c>
      <c r="S833" s="46">
        <f t="shared" si="186"/>
        <v>0</v>
      </c>
      <c r="T833" s="46">
        <f>IFERROR(VLOOKUP(A833,'[1]Re-order'!$A:$Q,17,0),"")</f>
        <v>60</v>
      </c>
      <c r="U833" s="46">
        <f>IFERROR(VLOOKUP(A833,'[1]MC Masterlist 2026-09-12'!$B:$M, 10, 0),0)</f>
        <v>15</v>
      </c>
      <c r="V833" s="46">
        <f>IFERROR(VLOOKUP(A833,'[1]MC Masterlist 2026-09-12'!$B:$M, 11, 0),0)</f>
        <v>15</v>
      </c>
      <c r="W833" s="46">
        <f t="shared" si="187"/>
        <v>30</v>
      </c>
      <c r="X833" s="46">
        <f t="shared" si="188"/>
        <v>6.833333333333333</v>
      </c>
      <c r="Y833" s="46">
        <f>IFERROR(IF(OR(C833="AREA I",C833="AREA V"),7,VLOOKUP(A833,'[1]MC Masterlist 2026-09-12'!$B:$M, 12, 0)),0)</f>
        <v>7</v>
      </c>
      <c r="Z833" s="46">
        <f t="shared" si="189"/>
        <v>0.16666666666666666</v>
      </c>
      <c r="AA833" s="46">
        <f t="shared" si="190"/>
        <v>0.33333333333333331</v>
      </c>
      <c r="AB833" s="46">
        <f t="shared" si="191"/>
        <v>7.5925925925925911E-2</v>
      </c>
      <c r="AC833" s="46">
        <f t="shared" si="192"/>
        <v>7.7777777777777765E-2</v>
      </c>
      <c r="AD833" s="44" t="str">
        <f t="shared" si="193"/>
        <v>Stockout</v>
      </c>
      <c r="AE833" s="44" t="str">
        <f>IFERROR(VLOOKUP(A833,'[1]Re-order'!$A:$AA,27,0),"")</f>
        <v>Re-order</v>
      </c>
      <c r="AF833" s="46">
        <f t="shared" si="194"/>
        <v>7.7777777777777765E-2</v>
      </c>
      <c r="AG833" s="46">
        <f>SUMIFS('[1]Raw Inventory'!D:D,'[1]Raw Inventory'!C:C,"GREATWALL",'[1]Raw Inventory'!B:B,A833)</f>
        <v>6</v>
      </c>
      <c r="AH833" s="46">
        <f>SUMIFS('[1]Raw Inventory'!D:D,'[1]Raw Inventory'!C:C,"DUARTE",'[1]Raw Inventory'!B:B,A833)</f>
        <v>0</v>
      </c>
      <c r="AI833" s="46"/>
      <c r="AJ833" s="46"/>
      <c r="AK833" s="43"/>
      <c r="AL833" s="43"/>
      <c r="AM833" s="43"/>
      <c r="AN833" s="43"/>
      <c r="AO833" s="43"/>
      <c r="AP833" s="43"/>
      <c r="AQ833" s="43"/>
      <c r="AR833" s="43"/>
      <c r="AS833" s="43"/>
      <c r="AT833" s="43"/>
    </row>
    <row r="834" spans="1:46">
      <c r="A834" s="43" t="s">
        <v>73</v>
      </c>
      <c r="B834" s="43" t="s">
        <v>115</v>
      </c>
      <c r="C834" s="43" t="s">
        <v>109</v>
      </c>
      <c r="D834" s="44" t="s">
        <v>253</v>
      </c>
      <c r="E834" s="44">
        <v>28</v>
      </c>
      <c r="F834" s="44" t="s">
        <v>3</v>
      </c>
      <c r="G834" s="43" t="str">
        <f>IFERROR(VLOOKUP(A834,'[1]MC Masterlist 2026-09-12'!$B:$M, 3, 0),"")</f>
        <v>SUZUKI</v>
      </c>
      <c r="H834" s="45">
        <f>IFERROR(VLOOKUP(A834,'[1]MC Masterlist 2026-09-12'!$B:$M, 6, 0),"")</f>
        <v>122770</v>
      </c>
      <c r="I834" s="46">
        <v>0</v>
      </c>
      <c r="J834" s="46">
        <v>0</v>
      </c>
      <c r="K834" s="46">
        <v>0</v>
      </c>
      <c r="L834" s="46">
        <f t="shared" si="180"/>
        <v>0</v>
      </c>
      <c r="M834" s="46">
        <f t="shared" si="181"/>
        <v>0</v>
      </c>
      <c r="N834" s="45">
        <f t="shared" si="182"/>
        <v>0</v>
      </c>
      <c r="O834" s="45">
        <f t="shared" si="183"/>
        <v>0</v>
      </c>
      <c r="P834" s="46">
        <f t="shared" si="184"/>
        <v>0</v>
      </c>
      <c r="Q834" s="46">
        <v>1</v>
      </c>
      <c r="R834" s="45">
        <f t="shared" si="185"/>
        <v>122770</v>
      </c>
      <c r="S834" s="46">
        <f t="shared" si="186"/>
        <v>0</v>
      </c>
      <c r="T834" s="46">
        <f>IFERROR(VLOOKUP(A834,'[1]Re-order'!$A:$Q,17,0),"")</f>
        <v>787.50000000000011</v>
      </c>
      <c r="U834" s="46">
        <f>IFERROR(VLOOKUP(A834,'[1]MC Masterlist 2026-09-12'!$B:$M, 10, 0),0)</f>
        <v>15</v>
      </c>
      <c r="V834" s="46">
        <f>IFERROR(VLOOKUP(A834,'[1]MC Masterlist 2026-09-12'!$B:$M, 11, 0),0)</f>
        <v>15</v>
      </c>
      <c r="W834" s="46">
        <f t="shared" si="187"/>
        <v>30</v>
      </c>
      <c r="X834" s="46">
        <f t="shared" si="188"/>
        <v>30</v>
      </c>
      <c r="Y834" s="46">
        <f>IFERROR(IF(OR(C834="AREA I",C834="AREA V"),7,VLOOKUP(A834,'[1]MC Masterlist 2026-09-12'!$B:$M, 12, 0)),0)</f>
        <v>30</v>
      </c>
      <c r="Z834" s="46">
        <f t="shared" si="189"/>
        <v>0</v>
      </c>
      <c r="AA834" s="46">
        <f t="shared" si="190"/>
        <v>0</v>
      </c>
      <c r="AB834" s="46">
        <f t="shared" si="191"/>
        <v>0</v>
      </c>
      <c r="AC834" s="46">
        <f t="shared" si="192"/>
        <v>0</v>
      </c>
      <c r="AD834" s="44" t="str">
        <f t="shared" si="193"/>
        <v>Over</v>
      </c>
      <c r="AE834" s="44" t="str">
        <f>IFERROR(VLOOKUP(A834,'[1]Re-order'!$A:$AA,27,0),"")</f>
        <v>Over</v>
      </c>
      <c r="AF834" s="46">
        <f t="shared" si="194"/>
        <v>-1</v>
      </c>
      <c r="AG834" s="46">
        <f>SUMIFS('[1]Raw Inventory'!D:D,'[1]Raw Inventory'!C:C,"GREATWALL",'[1]Raw Inventory'!B:B,A834)</f>
        <v>9</v>
      </c>
      <c r="AH834" s="46">
        <f>SUMIFS('[1]Raw Inventory'!D:D,'[1]Raw Inventory'!C:C,"DUARTE",'[1]Raw Inventory'!B:B,A834)</f>
        <v>0</v>
      </c>
      <c r="AI834" s="46"/>
      <c r="AJ834" s="46"/>
      <c r="AK834" s="43"/>
      <c r="AL834" s="43"/>
      <c r="AM834" s="43"/>
      <c r="AN834" s="43"/>
      <c r="AO834" s="43"/>
      <c r="AP834" s="43"/>
      <c r="AQ834" s="43"/>
      <c r="AR834" s="43"/>
      <c r="AS834" s="43"/>
      <c r="AT834" s="43"/>
    </row>
    <row r="835" spans="1:46">
      <c r="A835" s="43" t="s">
        <v>12</v>
      </c>
      <c r="B835" s="43" t="s">
        <v>19</v>
      </c>
      <c r="C835" s="43" t="s">
        <v>1</v>
      </c>
      <c r="D835" s="44" t="s">
        <v>238</v>
      </c>
      <c r="E835" s="44">
        <v>2</v>
      </c>
      <c r="F835" s="44" t="s">
        <v>0</v>
      </c>
      <c r="G835" s="43" t="str">
        <f>IFERROR(VLOOKUP(A835,'[1]MC Masterlist 2026-09-12'!$B:$M, 3, 0),"")</f>
        <v>HONDA</v>
      </c>
      <c r="H835" s="45">
        <f>IFERROR(VLOOKUP(A835,'[1]MC Masterlist 2026-09-12'!$B:$M, 6, 0),"")</f>
        <v>158270</v>
      </c>
      <c r="I835" s="46">
        <v>9</v>
      </c>
      <c r="J835" s="46">
        <v>5</v>
      </c>
      <c r="K835" s="46">
        <v>10</v>
      </c>
      <c r="L835" s="46">
        <f t="shared" ref="L835:L898" si="195">I835+J835+K835</f>
        <v>24</v>
      </c>
      <c r="M835" s="46">
        <f t="shared" ref="M835:M898" si="196">AVERAGE(I835,J835,K835)</f>
        <v>8</v>
      </c>
      <c r="N835" s="45">
        <f t="shared" ref="N835:N898" si="197">L835*H835</f>
        <v>3798480</v>
      </c>
      <c r="O835" s="45">
        <f t="shared" ref="O835:O898" si="198">M835*H835</f>
        <v>1266160</v>
      </c>
      <c r="P835" s="46">
        <f t="shared" ref="P835:P898" si="199">M835/30</f>
        <v>0.26666666666666666</v>
      </c>
      <c r="Q835" s="46"/>
      <c r="R835" s="45">
        <f t="shared" ref="R835:R898" si="200">IFERROR(Q835*H835, 0)</f>
        <v>0</v>
      </c>
      <c r="S835" s="46">
        <f t="shared" ref="S835:S898" si="201">IFERROR(R835/(O835)*30, 0)</f>
        <v>0</v>
      </c>
      <c r="T835" s="46">
        <f>IFERROR(VLOOKUP(A835,'[1]Re-order'!$A:$Q,17,0),"")</f>
        <v>46.461038961038959</v>
      </c>
      <c r="U835" s="46">
        <f>IFERROR(VLOOKUP(A835,'[1]MC Masterlist 2026-09-12'!$B:$M, 10, 0),0)</f>
        <v>15</v>
      </c>
      <c r="V835" s="46">
        <f>IFERROR(VLOOKUP(A835,'[1]MC Masterlist 2026-09-12'!$B:$M, 11, 0),0)</f>
        <v>15</v>
      </c>
      <c r="W835" s="46">
        <f t="shared" ref="W835:W898" si="202">U835+V835</f>
        <v>30</v>
      </c>
      <c r="X835" s="46">
        <f t="shared" ref="X835:X898" si="203">Y835-Z835</f>
        <v>3</v>
      </c>
      <c r="Y835" s="46">
        <f>IFERROR(IF(OR(C835="AREA I",C835="AREA V"),7,VLOOKUP(A835,'[1]MC Masterlist 2026-09-12'!$B:$M, 12, 0)),0)</f>
        <v>7</v>
      </c>
      <c r="Z835" s="46">
        <f t="shared" ref="Z835:Z898" si="204">V835*P835</f>
        <v>4</v>
      </c>
      <c r="AA835" s="46">
        <f t="shared" ref="AA835:AA898" si="205">W835*P835</f>
        <v>8</v>
      </c>
      <c r="AB835" s="46">
        <f t="shared" ref="AB835:AB898" si="206">X835*P835</f>
        <v>0.8</v>
      </c>
      <c r="AC835" s="46">
        <f t="shared" ref="AC835:AC898" si="207">Y835*P835</f>
        <v>1.8666666666666667</v>
      </c>
      <c r="AD835" s="44" t="str">
        <f t="shared" ref="AD835:AD898" si="208">IFERROR(IF(Q835&gt;AC835, "Over", IF(Q835&lt;=Z835, "Stockout", IF(Q835&lt;=AA835, "Re-order",""))), "")</f>
        <v>Stockout</v>
      </c>
      <c r="AE835" s="44" t="str">
        <f>IFERROR(VLOOKUP(A835,'[1]Re-order'!$A:$AA,27,0),"")</f>
        <v>Re-order</v>
      </c>
      <c r="AF835" s="46">
        <f t="shared" ref="AF835:AF898" si="209">AC835-Q835</f>
        <v>1.8666666666666667</v>
      </c>
      <c r="AG835" s="46">
        <f>SUMIFS('[1]Raw Inventory'!D:D,'[1]Raw Inventory'!C:C,"GREATWALL",'[1]Raw Inventory'!B:B,A835)</f>
        <v>35</v>
      </c>
      <c r="AH835" s="46">
        <f>SUMIFS('[1]Raw Inventory'!D:D,'[1]Raw Inventory'!C:C,"DUARTE",'[1]Raw Inventory'!B:B,A835)</f>
        <v>0</v>
      </c>
      <c r="AI835" s="46"/>
      <c r="AJ835" s="46"/>
      <c r="AK835" s="43"/>
      <c r="AL835" s="43"/>
      <c r="AM835" s="43"/>
      <c r="AN835" s="43"/>
      <c r="AO835" s="43"/>
      <c r="AP835" s="43"/>
      <c r="AQ835" s="43"/>
      <c r="AR835" s="43"/>
      <c r="AS835" s="43"/>
      <c r="AT835" s="43"/>
    </row>
    <row r="836" spans="1:46">
      <c r="A836" s="43" t="s">
        <v>80</v>
      </c>
      <c r="B836" s="43" t="s">
        <v>160</v>
      </c>
      <c r="C836" s="43" t="s">
        <v>159</v>
      </c>
      <c r="D836" s="44" t="s">
        <v>247</v>
      </c>
      <c r="E836" s="44">
        <v>22</v>
      </c>
      <c r="F836" s="44" t="s">
        <v>3</v>
      </c>
      <c r="G836" s="43" t="str">
        <f>IFERROR(VLOOKUP(A836,'[1]MC Masterlist 2026-09-12'!$B:$M, 3, 0),"")</f>
        <v>YAMAHA</v>
      </c>
      <c r="H836" s="45">
        <f>IFERROR(VLOOKUP(A836,'[1]MC Masterlist 2026-09-12'!$B:$M, 6, 0),"")</f>
        <v>73842</v>
      </c>
      <c r="I836" s="46">
        <v>1</v>
      </c>
      <c r="J836" s="46">
        <v>0</v>
      </c>
      <c r="K836" s="46">
        <v>0</v>
      </c>
      <c r="L836" s="46">
        <f t="shared" si="195"/>
        <v>1</v>
      </c>
      <c r="M836" s="46">
        <f t="shared" si="196"/>
        <v>0.33333333333333331</v>
      </c>
      <c r="N836" s="45">
        <f t="shared" si="197"/>
        <v>73842</v>
      </c>
      <c r="O836" s="45">
        <f t="shared" si="198"/>
        <v>24614</v>
      </c>
      <c r="P836" s="46">
        <f t="shared" si="199"/>
        <v>1.111111111111111E-2</v>
      </c>
      <c r="Q836" s="46"/>
      <c r="R836" s="45">
        <f t="shared" si="200"/>
        <v>0</v>
      </c>
      <c r="S836" s="46">
        <f t="shared" si="201"/>
        <v>0</v>
      </c>
      <c r="T836" s="46">
        <f>IFERROR(VLOOKUP(A836,'[1]Re-order'!$A:$Q,17,0),"")</f>
        <v>67.5</v>
      </c>
      <c r="U836" s="46">
        <f>IFERROR(VLOOKUP(A836,'[1]MC Masterlist 2026-09-12'!$B:$M, 10, 0),0)</f>
        <v>15</v>
      </c>
      <c r="V836" s="46">
        <f>IFERROR(VLOOKUP(A836,'[1]MC Masterlist 2026-09-12'!$B:$M, 11, 0),0)</f>
        <v>15</v>
      </c>
      <c r="W836" s="46">
        <f t="shared" si="202"/>
        <v>30</v>
      </c>
      <c r="X836" s="46">
        <f t="shared" si="203"/>
        <v>29.833333333333332</v>
      </c>
      <c r="Y836" s="46">
        <f>IFERROR(IF(OR(C836="AREA I",C836="AREA V"),7,VLOOKUP(A836,'[1]MC Masterlist 2026-09-12'!$B:$M, 12, 0)),0)</f>
        <v>30</v>
      </c>
      <c r="Z836" s="46">
        <f t="shared" si="204"/>
        <v>0.16666666666666666</v>
      </c>
      <c r="AA836" s="46">
        <f t="shared" si="205"/>
        <v>0.33333333333333331</v>
      </c>
      <c r="AB836" s="46">
        <f t="shared" si="206"/>
        <v>0.33148148148148143</v>
      </c>
      <c r="AC836" s="46">
        <f t="shared" si="207"/>
        <v>0.33333333333333331</v>
      </c>
      <c r="AD836" s="44" t="str">
        <f t="shared" si="208"/>
        <v>Stockout</v>
      </c>
      <c r="AE836" s="44" t="str">
        <f>IFERROR(VLOOKUP(A836,'[1]Re-order'!$A:$AA,27,0),"")</f>
        <v>Re-order</v>
      </c>
      <c r="AF836" s="46">
        <f t="shared" si="209"/>
        <v>0.33333333333333331</v>
      </c>
      <c r="AG836" s="46">
        <f>SUMIFS('[1]Raw Inventory'!D:D,'[1]Raw Inventory'!C:C,"GREATWALL",'[1]Raw Inventory'!B:B,A836)</f>
        <v>0</v>
      </c>
      <c r="AH836" s="46">
        <f>SUMIFS('[1]Raw Inventory'!D:D,'[1]Raw Inventory'!C:C,"DUARTE",'[1]Raw Inventory'!B:B,A836)</f>
        <v>0</v>
      </c>
      <c r="AI836" s="46"/>
      <c r="AJ836" s="46"/>
      <c r="AK836" s="43"/>
      <c r="AL836" s="43"/>
      <c r="AM836" s="43"/>
      <c r="AN836" s="43"/>
      <c r="AO836" s="43"/>
      <c r="AP836" s="43"/>
      <c r="AQ836" s="43"/>
      <c r="AR836" s="43"/>
      <c r="AS836" s="43"/>
      <c r="AT836" s="43"/>
    </row>
    <row r="837" spans="1:46">
      <c r="A837" s="43" t="s">
        <v>58</v>
      </c>
      <c r="B837" s="43" t="s">
        <v>91</v>
      </c>
      <c r="C837" s="43" t="s">
        <v>90</v>
      </c>
      <c r="D837" s="44" t="s">
        <v>224</v>
      </c>
      <c r="E837" s="44">
        <v>9</v>
      </c>
      <c r="F837" s="44" t="s">
        <v>2</v>
      </c>
      <c r="G837" s="43" t="str">
        <f>IFERROR(VLOOKUP(A837,'[1]MC Masterlist 2026-09-12'!$B:$M, 3, 0),"")</f>
        <v>HONDA</v>
      </c>
      <c r="H837" s="45">
        <f>IFERROR(VLOOKUP(A837,'[1]MC Masterlist 2026-09-12'!$B:$M, 6, 0),"")</f>
        <v>142758</v>
      </c>
      <c r="I837" s="46">
        <v>1</v>
      </c>
      <c r="J837" s="46">
        <v>0</v>
      </c>
      <c r="K837" s="46">
        <v>0</v>
      </c>
      <c r="L837" s="46">
        <f t="shared" si="195"/>
        <v>1</v>
      </c>
      <c r="M837" s="46">
        <f t="shared" si="196"/>
        <v>0.33333333333333331</v>
      </c>
      <c r="N837" s="45">
        <f t="shared" si="197"/>
        <v>142758</v>
      </c>
      <c r="O837" s="45">
        <f t="shared" si="198"/>
        <v>47586</v>
      </c>
      <c r="P837" s="46">
        <f t="shared" si="199"/>
        <v>1.111111111111111E-2</v>
      </c>
      <c r="Q837" s="46"/>
      <c r="R837" s="45">
        <f t="shared" si="200"/>
        <v>0</v>
      </c>
      <c r="S837" s="46">
        <f t="shared" si="201"/>
        <v>0</v>
      </c>
      <c r="T837" s="46">
        <f>IFERROR(VLOOKUP(A837,'[1]Re-order'!$A:$Q,17,0),"")</f>
        <v>135</v>
      </c>
      <c r="U837" s="46">
        <f>IFERROR(VLOOKUP(A837,'[1]MC Masterlist 2026-09-12'!$B:$M, 10, 0),0)</f>
        <v>15</v>
      </c>
      <c r="V837" s="46">
        <f>IFERROR(VLOOKUP(A837,'[1]MC Masterlist 2026-09-12'!$B:$M, 11, 0),0)</f>
        <v>15</v>
      </c>
      <c r="W837" s="46">
        <f t="shared" si="202"/>
        <v>30</v>
      </c>
      <c r="X837" s="46">
        <f t="shared" si="203"/>
        <v>29.833333333333332</v>
      </c>
      <c r="Y837" s="46">
        <f>IFERROR(IF(OR(C837="AREA I",C837="AREA V"),7,VLOOKUP(A837,'[1]MC Masterlist 2026-09-12'!$B:$M, 12, 0)),0)</f>
        <v>30</v>
      </c>
      <c r="Z837" s="46">
        <f t="shared" si="204"/>
        <v>0.16666666666666666</v>
      </c>
      <c r="AA837" s="46">
        <f t="shared" si="205"/>
        <v>0.33333333333333331</v>
      </c>
      <c r="AB837" s="46">
        <f t="shared" si="206"/>
        <v>0.33148148148148143</v>
      </c>
      <c r="AC837" s="46">
        <f t="shared" si="207"/>
        <v>0.33333333333333331</v>
      </c>
      <c r="AD837" s="44" t="str">
        <f t="shared" si="208"/>
        <v>Stockout</v>
      </c>
      <c r="AE837" s="44" t="str">
        <f>IFERROR(VLOOKUP(A837,'[1]Re-order'!$A:$AA,27,0),"")</f>
        <v>Over</v>
      </c>
      <c r="AF837" s="46">
        <f t="shared" si="209"/>
        <v>0.33333333333333331</v>
      </c>
      <c r="AG837" s="46">
        <f>SUMIFS('[1]Raw Inventory'!D:D,'[1]Raw Inventory'!C:C,"GREATWALL",'[1]Raw Inventory'!B:B,A837)</f>
        <v>0</v>
      </c>
      <c r="AH837" s="46">
        <f>SUMIFS('[1]Raw Inventory'!D:D,'[1]Raw Inventory'!C:C,"DUARTE",'[1]Raw Inventory'!B:B,A837)</f>
        <v>0</v>
      </c>
      <c r="AI837" s="46"/>
      <c r="AJ837" s="46"/>
      <c r="AK837" s="43"/>
      <c r="AL837" s="43"/>
      <c r="AM837" s="43"/>
      <c r="AN837" s="43"/>
      <c r="AO837" s="43"/>
      <c r="AP837" s="43"/>
      <c r="AQ837" s="43"/>
      <c r="AR837" s="43"/>
      <c r="AS837" s="43"/>
      <c r="AT837" s="43"/>
    </row>
    <row r="838" spans="1:46">
      <c r="A838" s="43" t="s">
        <v>54</v>
      </c>
      <c r="B838" s="43" t="s">
        <v>110</v>
      </c>
      <c r="C838" s="43" t="s">
        <v>109</v>
      </c>
      <c r="D838" s="44" t="s">
        <v>247</v>
      </c>
      <c r="E838" s="44">
        <v>26</v>
      </c>
      <c r="F838" s="44" t="s">
        <v>3</v>
      </c>
      <c r="G838" s="43" t="str">
        <f>IFERROR(VLOOKUP(A838,'[1]MC Masterlist 2026-09-12'!$B:$M, 3, 0),"")</f>
        <v>HONDA</v>
      </c>
      <c r="H838" s="45">
        <f>IFERROR(VLOOKUP(A838,'[1]MC Masterlist 2026-09-12'!$B:$M, 6, 0),"")</f>
        <v>70998</v>
      </c>
      <c r="I838" s="46">
        <v>0</v>
      </c>
      <c r="J838" s="46">
        <v>0</v>
      </c>
      <c r="K838" s="46">
        <v>1</v>
      </c>
      <c r="L838" s="46">
        <f t="shared" si="195"/>
        <v>1</v>
      </c>
      <c r="M838" s="46">
        <f t="shared" si="196"/>
        <v>0.33333333333333331</v>
      </c>
      <c r="N838" s="45">
        <f t="shared" si="197"/>
        <v>70998</v>
      </c>
      <c r="O838" s="45">
        <f t="shared" si="198"/>
        <v>23666</v>
      </c>
      <c r="P838" s="46">
        <f t="shared" si="199"/>
        <v>1.111111111111111E-2</v>
      </c>
      <c r="Q838" s="46"/>
      <c r="R838" s="45">
        <f t="shared" si="200"/>
        <v>0</v>
      </c>
      <c r="S838" s="46">
        <f t="shared" si="201"/>
        <v>0</v>
      </c>
      <c r="T838" s="46">
        <f>IFERROR(VLOOKUP(A838,'[1]Re-order'!$A:$Q,17,0),"")</f>
        <v>114.54545454545455</v>
      </c>
      <c r="U838" s="46">
        <f>IFERROR(VLOOKUP(A838,'[1]MC Masterlist 2026-09-12'!$B:$M, 10, 0),0)</f>
        <v>15</v>
      </c>
      <c r="V838" s="46">
        <f>IFERROR(VLOOKUP(A838,'[1]MC Masterlist 2026-09-12'!$B:$M, 11, 0),0)</f>
        <v>15</v>
      </c>
      <c r="W838" s="46">
        <f t="shared" si="202"/>
        <v>30</v>
      </c>
      <c r="X838" s="46">
        <f t="shared" si="203"/>
        <v>29.833333333333332</v>
      </c>
      <c r="Y838" s="46">
        <f>IFERROR(IF(OR(C838="AREA I",C838="AREA V"),7,VLOOKUP(A838,'[1]MC Masterlist 2026-09-12'!$B:$M, 12, 0)),0)</f>
        <v>30</v>
      </c>
      <c r="Z838" s="46">
        <f t="shared" si="204"/>
        <v>0.16666666666666666</v>
      </c>
      <c r="AA838" s="46">
        <f t="shared" si="205"/>
        <v>0.33333333333333331</v>
      </c>
      <c r="AB838" s="46">
        <f t="shared" si="206"/>
        <v>0.33148148148148143</v>
      </c>
      <c r="AC838" s="46">
        <f t="shared" si="207"/>
        <v>0.33333333333333331</v>
      </c>
      <c r="AD838" s="44" t="str">
        <f t="shared" si="208"/>
        <v>Stockout</v>
      </c>
      <c r="AE838" s="44" t="str">
        <f>IFERROR(VLOOKUP(A838,'[1]Re-order'!$A:$AA,27,0),"")</f>
        <v>Over</v>
      </c>
      <c r="AF838" s="46">
        <f t="shared" si="209"/>
        <v>0.33333333333333331</v>
      </c>
      <c r="AG838" s="46">
        <f>SUMIFS('[1]Raw Inventory'!D:D,'[1]Raw Inventory'!C:C,"GREATWALL",'[1]Raw Inventory'!B:B,A838)</f>
        <v>0</v>
      </c>
      <c r="AH838" s="46">
        <f>SUMIFS('[1]Raw Inventory'!D:D,'[1]Raw Inventory'!C:C,"DUARTE",'[1]Raw Inventory'!B:B,A838)</f>
        <v>0</v>
      </c>
      <c r="AI838" s="46"/>
      <c r="AJ838" s="46"/>
      <c r="AK838" s="43"/>
      <c r="AL838" s="43"/>
      <c r="AM838" s="43"/>
      <c r="AN838" s="43"/>
      <c r="AO838" s="43"/>
      <c r="AP838" s="43"/>
      <c r="AQ838" s="43"/>
      <c r="AR838" s="43"/>
      <c r="AS838" s="43"/>
      <c r="AT838" s="43"/>
    </row>
    <row r="839" spans="1:46">
      <c r="A839" s="43" t="s">
        <v>63</v>
      </c>
      <c r="B839" s="43" t="s">
        <v>156</v>
      </c>
      <c r="C839" s="43" t="s">
        <v>152</v>
      </c>
      <c r="D839" s="44" t="s">
        <v>268</v>
      </c>
      <c r="E839" s="44">
        <v>17</v>
      </c>
      <c r="F839" s="44" t="s">
        <v>3</v>
      </c>
      <c r="G839" s="43" t="str">
        <f>IFERROR(VLOOKUP(A839,'[1]MC Masterlist 2026-09-12'!$B:$M, 3, 0),"")</f>
        <v>HONDA</v>
      </c>
      <c r="H839" s="45">
        <f>IFERROR(VLOOKUP(A839,'[1]MC Masterlist 2026-09-12'!$B:$M, 6, 0),"")</f>
        <v>125150</v>
      </c>
      <c r="I839" s="46">
        <v>0</v>
      </c>
      <c r="J839" s="46">
        <v>0</v>
      </c>
      <c r="K839" s="46">
        <v>1</v>
      </c>
      <c r="L839" s="46">
        <f t="shared" si="195"/>
        <v>1</v>
      </c>
      <c r="M839" s="46">
        <f t="shared" si="196"/>
        <v>0.33333333333333331</v>
      </c>
      <c r="N839" s="45">
        <f t="shared" si="197"/>
        <v>125150</v>
      </c>
      <c r="O839" s="45">
        <f t="shared" si="198"/>
        <v>41716.666666666664</v>
      </c>
      <c r="P839" s="46">
        <f t="shared" si="199"/>
        <v>1.111111111111111E-2</v>
      </c>
      <c r="Q839" s="46"/>
      <c r="R839" s="45">
        <f t="shared" si="200"/>
        <v>0</v>
      </c>
      <c r="S839" s="46">
        <f t="shared" si="201"/>
        <v>0</v>
      </c>
      <c r="T839" s="46">
        <f>IFERROR(VLOOKUP(A839,'[1]Re-order'!$A:$Q,17,0),"")</f>
        <v>0</v>
      </c>
      <c r="U839" s="46">
        <f>IFERROR(VLOOKUP(A839,'[1]MC Masterlist 2026-09-12'!$B:$M, 10, 0),0)</f>
        <v>15</v>
      </c>
      <c r="V839" s="46">
        <f>IFERROR(VLOOKUP(A839,'[1]MC Masterlist 2026-09-12'!$B:$M, 11, 0),0)</f>
        <v>15</v>
      </c>
      <c r="W839" s="46">
        <f t="shared" si="202"/>
        <v>30</v>
      </c>
      <c r="X839" s="46">
        <f t="shared" si="203"/>
        <v>29.833333333333332</v>
      </c>
      <c r="Y839" s="46">
        <f>IFERROR(IF(OR(C839="AREA I",C839="AREA V"),7,VLOOKUP(A839,'[1]MC Masterlist 2026-09-12'!$B:$M, 12, 0)),0)</f>
        <v>30</v>
      </c>
      <c r="Z839" s="46">
        <f t="shared" si="204"/>
        <v>0.16666666666666666</v>
      </c>
      <c r="AA839" s="46">
        <f t="shared" si="205"/>
        <v>0.33333333333333331</v>
      </c>
      <c r="AB839" s="46">
        <f t="shared" si="206"/>
        <v>0.33148148148148143</v>
      </c>
      <c r="AC839" s="46">
        <f t="shared" si="207"/>
        <v>0.33333333333333331</v>
      </c>
      <c r="AD839" s="44" t="str">
        <f t="shared" si="208"/>
        <v>Stockout</v>
      </c>
      <c r="AE839" s="44" t="str">
        <f>IFERROR(VLOOKUP(A839,'[1]Re-order'!$A:$AA,27,0),"")</f>
        <v>Stockout</v>
      </c>
      <c r="AF839" s="46">
        <f t="shared" si="209"/>
        <v>0.33333333333333331</v>
      </c>
      <c r="AG839" s="46">
        <f>SUMIFS('[1]Raw Inventory'!D:D,'[1]Raw Inventory'!C:C,"GREATWALL",'[1]Raw Inventory'!B:B,A839)</f>
        <v>0</v>
      </c>
      <c r="AH839" s="46">
        <f>SUMIFS('[1]Raw Inventory'!D:D,'[1]Raw Inventory'!C:C,"DUARTE",'[1]Raw Inventory'!B:B,A839)</f>
        <v>0</v>
      </c>
      <c r="AI839" s="46"/>
      <c r="AJ839" s="46"/>
      <c r="AK839" s="43"/>
      <c r="AL839" s="43"/>
      <c r="AM839" s="43"/>
      <c r="AN839" s="43"/>
      <c r="AO839" s="43"/>
      <c r="AP839" s="43"/>
      <c r="AQ839" s="43"/>
      <c r="AR839" s="43"/>
      <c r="AS839" s="43"/>
      <c r="AT839" s="43"/>
    </row>
    <row r="840" spans="1:46">
      <c r="A840" s="43" t="s">
        <v>49</v>
      </c>
      <c r="B840" s="43" t="s">
        <v>157</v>
      </c>
      <c r="C840" s="43" t="s">
        <v>152</v>
      </c>
      <c r="D840" s="44" t="s">
        <v>227</v>
      </c>
      <c r="E840" s="44">
        <v>1</v>
      </c>
      <c r="F840" s="44" t="s">
        <v>0</v>
      </c>
      <c r="G840" s="43" t="str">
        <f>IFERROR(VLOOKUP(A840,'[1]MC Masterlist 2026-09-12'!$B:$M, 3, 0),"")</f>
        <v>BAJAJ RE</v>
      </c>
      <c r="H840" s="45">
        <f>IFERROR(VLOOKUP(A840,'[1]MC Masterlist 2026-09-12'!$B:$M, 6, 0),"")</f>
        <v>191000</v>
      </c>
      <c r="I840" s="46">
        <v>17</v>
      </c>
      <c r="J840" s="46">
        <v>12</v>
      </c>
      <c r="K840" s="46">
        <v>17</v>
      </c>
      <c r="L840" s="46">
        <f t="shared" si="195"/>
        <v>46</v>
      </c>
      <c r="M840" s="46">
        <f t="shared" si="196"/>
        <v>15.333333333333334</v>
      </c>
      <c r="N840" s="45">
        <f t="shared" si="197"/>
        <v>8786000</v>
      </c>
      <c r="O840" s="45">
        <f t="shared" si="198"/>
        <v>2928666.666666667</v>
      </c>
      <c r="P840" s="46">
        <f t="shared" si="199"/>
        <v>0.51111111111111118</v>
      </c>
      <c r="Q840" s="46">
        <v>3</v>
      </c>
      <c r="R840" s="45">
        <f t="shared" si="200"/>
        <v>573000</v>
      </c>
      <c r="S840" s="46">
        <f t="shared" si="201"/>
        <v>5.8695652173913038</v>
      </c>
      <c r="T840" s="46">
        <f>IFERROR(VLOOKUP(A840,'[1]Re-order'!$A:$Q,17,0),"")</f>
        <v>21.516709511568124</v>
      </c>
      <c r="U840" s="46">
        <f>IFERROR(VLOOKUP(A840,'[1]MC Masterlist 2026-09-12'!$B:$M, 10, 0),0)</f>
        <v>15</v>
      </c>
      <c r="V840" s="46">
        <f>IFERROR(VLOOKUP(A840,'[1]MC Masterlist 2026-09-12'!$B:$M, 11, 0),0)</f>
        <v>15</v>
      </c>
      <c r="W840" s="46">
        <f t="shared" si="202"/>
        <v>30</v>
      </c>
      <c r="X840" s="46">
        <f t="shared" si="203"/>
        <v>22.333333333333332</v>
      </c>
      <c r="Y840" s="46">
        <f>IFERROR(IF(OR(C840="AREA I",C840="AREA V"),7,VLOOKUP(A840,'[1]MC Masterlist 2026-09-12'!$B:$M, 12, 0)),0)</f>
        <v>30</v>
      </c>
      <c r="Z840" s="46">
        <f t="shared" si="204"/>
        <v>7.6666666666666679</v>
      </c>
      <c r="AA840" s="46">
        <f t="shared" si="205"/>
        <v>15.333333333333336</v>
      </c>
      <c r="AB840" s="46">
        <f t="shared" si="206"/>
        <v>11.414814814814816</v>
      </c>
      <c r="AC840" s="46">
        <f t="shared" si="207"/>
        <v>15.333333333333336</v>
      </c>
      <c r="AD840" s="44" t="str">
        <f t="shared" si="208"/>
        <v>Stockout</v>
      </c>
      <c r="AE840" s="44" t="str">
        <f>IFERROR(VLOOKUP(A840,'[1]Re-order'!$A:$AA,27,0),"")</f>
        <v>Stockout</v>
      </c>
      <c r="AF840" s="46">
        <f t="shared" si="209"/>
        <v>12.333333333333336</v>
      </c>
      <c r="AG840" s="46">
        <f>SUMIFS('[1]Raw Inventory'!D:D,'[1]Raw Inventory'!C:C,"GREATWALL",'[1]Raw Inventory'!B:B,A840)</f>
        <v>0</v>
      </c>
      <c r="AH840" s="46">
        <f>SUMIFS('[1]Raw Inventory'!D:D,'[1]Raw Inventory'!C:C,"DUARTE",'[1]Raw Inventory'!B:B,A840)</f>
        <v>0</v>
      </c>
      <c r="AI840" s="46"/>
      <c r="AJ840" s="46"/>
      <c r="AK840" s="43"/>
      <c r="AL840" s="43"/>
      <c r="AM840" s="43"/>
      <c r="AN840" s="43"/>
      <c r="AO840" s="43"/>
      <c r="AP840" s="43"/>
      <c r="AQ840" s="43"/>
      <c r="AR840" s="43"/>
      <c r="AS840" s="43"/>
      <c r="AT840" s="43"/>
    </row>
    <row r="841" spans="1:46">
      <c r="A841" s="43" t="s">
        <v>38</v>
      </c>
      <c r="B841" s="43" t="s">
        <v>140</v>
      </c>
      <c r="C841" s="43" t="s">
        <v>137</v>
      </c>
      <c r="D841" s="44" t="s">
        <v>240</v>
      </c>
      <c r="E841" s="44">
        <v>10</v>
      </c>
      <c r="F841" s="44" t="s">
        <v>2</v>
      </c>
      <c r="G841" s="43" t="str">
        <f>IFERROR(VLOOKUP(A841,'[1]MC Masterlist 2026-09-12'!$B:$M, 3, 0),"")</f>
        <v>HONDA</v>
      </c>
      <c r="H841" s="45">
        <f>IFERROR(VLOOKUP(A841,'[1]MC Masterlist 2026-09-12'!$B:$M, 6, 0),"")</f>
        <v>165630</v>
      </c>
      <c r="I841" s="46">
        <v>0</v>
      </c>
      <c r="J841" s="46">
        <v>1</v>
      </c>
      <c r="K841" s="46">
        <v>0</v>
      </c>
      <c r="L841" s="46">
        <f t="shared" si="195"/>
        <v>1</v>
      </c>
      <c r="M841" s="46">
        <f t="shared" si="196"/>
        <v>0.33333333333333331</v>
      </c>
      <c r="N841" s="45">
        <f t="shared" si="197"/>
        <v>165630</v>
      </c>
      <c r="O841" s="45">
        <f t="shared" si="198"/>
        <v>55210</v>
      </c>
      <c r="P841" s="46">
        <f t="shared" si="199"/>
        <v>1.111111111111111E-2</v>
      </c>
      <c r="Q841" s="46">
        <v>1</v>
      </c>
      <c r="R841" s="45">
        <f t="shared" si="200"/>
        <v>165630</v>
      </c>
      <c r="S841" s="46">
        <f t="shared" si="201"/>
        <v>90</v>
      </c>
      <c r="T841" s="46">
        <f>IFERROR(VLOOKUP(A841,'[1]Re-order'!$A:$Q,17,0),"")</f>
        <v>60</v>
      </c>
      <c r="U841" s="46">
        <f>IFERROR(VLOOKUP(A841,'[1]MC Masterlist 2026-09-12'!$B:$M, 10, 0),0)</f>
        <v>15</v>
      </c>
      <c r="V841" s="46">
        <f>IFERROR(VLOOKUP(A841,'[1]MC Masterlist 2026-09-12'!$B:$M, 11, 0),0)</f>
        <v>15</v>
      </c>
      <c r="W841" s="46">
        <f t="shared" si="202"/>
        <v>30</v>
      </c>
      <c r="X841" s="46">
        <f t="shared" si="203"/>
        <v>6.833333333333333</v>
      </c>
      <c r="Y841" s="46">
        <f>IFERROR(IF(OR(C841="AREA I",C841="AREA V"),7,VLOOKUP(A841,'[1]MC Masterlist 2026-09-12'!$B:$M, 12, 0)),0)</f>
        <v>7</v>
      </c>
      <c r="Z841" s="46">
        <f t="shared" si="204"/>
        <v>0.16666666666666666</v>
      </c>
      <c r="AA841" s="46">
        <f t="shared" si="205"/>
        <v>0.33333333333333331</v>
      </c>
      <c r="AB841" s="46">
        <f t="shared" si="206"/>
        <v>7.5925925925925911E-2</v>
      </c>
      <c r="AC841" s="46">
        <f t="shared" si="207"/>
        <v>7.7777777777777765E-2</v>
      </c>
      <c r="AD841" s="44" t="str">
        <f t="shared" si="208"/>
        <v>Over</v>
      </c>
      <c r="AE841" s="44" t="str">
        <f>IFERROR(VLOOKUP(A841,'[1]Re-order'!$A:$AA,27,0),"")</f>
        <v>Re-order</v>
      </c>
      <c r="AF841" s="46">
        <f t="shared" si="209"/>
        <v>-0.92222222222222228</v>
      </c>
      <c r="AG841" s="46">
        <f>SUMIFS('[1]Raw Inventory'!D:D,'[1]Raw Inventory'!C:C,"GREATWALL",'[1]Raw Inventory'!B:B,A841)</f>
        <v>6</v>
      </c>
      <c r="AH841" s="46">
        <f>SUMIFS('[1]Raw Inventory'!D:D,'[1]Raw Inventory'!C:C,"DUARTE",'[1]Raw Inventory'!B:B,A841)</f>
        <v>0</v>
      </c>
      <c r="AI841" s="46"/>
      <c r="AJ841" s="46"/>
      <c r="AK841" s="43"/>
      <c r="AL841" s="43"/>
      <c r="AM841" s="43"/>
      <c r="AN841" s="43"/>
      <c r="AO841" s="43"/>
      <c r="AP841" s="43"/>
      <c r="AQ841" s="43"/>
      <c r="AR841" s="43"/>
      <c r="AS841" s="43"/>
      <c r="AT841" s="43"/>
    </row>
    <row r="842" spans="1:46">
      <c r="A842" s="43" t="s">
        <v>47</v>
      </c>
      <c r="B842" s="43" t="s">
        <v>27</v>
      </c>
      <c r="C842" s="43" t="s">
        <v>1</v>
      </c>
      <c r="D842" s="44" t="s">
        <v>262</v>
      </c>
      <c r="E842" s="44">
        <v>16</v>
      </c>
      <c r="F842" s="44" t="s">
        <v>2</v>
      </c>
      <c r="G842" s="43" t="str">
        <f>IFERROR(VLOOKUP(A842,'[1]MC Masterlist 2026-09-12'!$B:$M, 3, 0),"")</f>
        <v>YAMAHA</v>
      </c>
      <c r="H842" s="45">
        <f>IFERROR(VLOOKUP(A842,'[1]MC Masterlist 2026-09-12'!$B:$M, 6, 0),"")</f>
        <v>76167</v>
      </c>
      <c r="I842" s="46">
        <v>0</v>
      </c>
      <c r="J842" s="46">
        <v>2</v>
      </c>
      <c r="K842" s="46">
        <v>3</v>
      </c>
      <c r="L842" s="46">
        <f t="shared" si="195"/>
        <v>5</v>
      </c>
      <c r="M842" s="46">
        <f t="shared" si="196"/>
        <v>1.6666666666666667</v>
      </c>
      <c r="N842" s="45">
        <f t="shared" si="197"/>
        <v>380835</v>
      </c>
      <c r="O842" s="45">
        <f t="shared" si="198"/>
        <v>126945</v>
      </c>
      <c r="P842" s="46">
        <f t="shared" si="199"/>
        <v>5.5555555555555559E-2</v>
      </c>
      <c r="Q842" s="46"/>
      <c r="R842" s="45">
        <f t="shared" si="200"/>
        <v>0</v>
      </c>
      <c r="S842" s="46">
        <f t="shared" si="201"/>
        <v>0</v>
      </c>
      <c r="T842" s="46">
        <f>IFERROR(VLOOKUP(A842,'[1]Re-order'!$A:$Q,17,0),"")</f>
        <v>86.666666666666671</v>
      </c>
      <c r="U842" s="46">
        <f>IFERROR(VLOOKUP(A842,'[1]MC Masterlist 2026-09-12'!$B:$M, 10, 0),0)</f>
        <v>15</v>
      </c>
      <c r="V842" s="46">
        <f>IFERROR(VLOOKUP(A842,'[1]MC Masterlist 2026-09-12'!$B:$M, 11, 0),0)</f>
        <v>15</v>
      </c>
      <c r="W842" s="46">
        <f t="shared" si="202"/>
        <v>30</v>
      </c>
      <c r="X842" s="46">
        <f t="shared" si="203"/>
        <v>6.166666666666667</v>
      </c>
      <c r="Y842" s="46">
        <f>IFERROR(IF(OR(C842="AREA I",C842="AREA V"),7,VLOOKUP(A842,'[1]MC Masterlist 2026-09-12'!$B:$M, 12, 0)),0)</f>
        <v>7</v>
      </c>
      <c r="Z842" s="46">
        <f t="shared" si="204"/>
        <v>0.83333333333333337</v>
      </c>
      <c r="AA842" s="46">
        <f t="shared" si="205"/>
        <v>1.6666666666666667</v>
      </c>
      <c r="AB842" s="46">
        <f t="shared" si="206"/>
        <v>0.34259259259259262</v>
      </c>
      <c r="AC842" s="46">
        <f t="shared" si="207"/>
        <v>0.3888888888888889</v>
      </c>
      <c r="AD842" s="44" t="str">
        <f t="shared" si="208"/>
        <v>Stockout</v>
      </c>
      <c r="AE842" s="44" t="str">
        <f>IFERROR(VLOOKUP(A842,'[1]Re-order'!$A:$AA,27,0),"")</f>
        <v/>
      </c>
      <c r="AF842" s="46">
        <f t="shared" si="209"/>
        <v>0.3888888888888889</v>
      </c>
      <c r="AG842" s="46">
        <f>SUMIFS('[1]Raw Inventory'!D:D,'[1]Raw Inventory'!C:C,"GREATWALL",'[1]Raw Inventory'!B:B,A842)</f>
        <v>1</v>
      </c>
      <c r="AH842" s="46">
        <f>SUMIFS('[1]Raw Inventory'!D:D,'[1]Raw Inventory'!C:C,"DUARTE",'[1]Raw Inventory'!B:B,A842)</f>
        <v>0</v>
      </c>
      <c r="AI842" s="46"/>
      <c r="AJ842" s="46"/>
      <c r="AK842" s="43"/>
      <c r="AL842" s="43"/>
      <c r="AM842" s="43"/>
      <c r="AN842" s="43"/>
      <c r="AO842" s="43"/>
      <c r="AP842" s="43"/>
      <c r="AQ842" s="43"/>
      <c r="AR842" s="43"/>
      <c r="AS842" s="43"/>
      <c r="AT842" s="43"/>
    </row>
    <row r="843" spans="1:46">
      <c r="A843" s="43" t="s">
        <v>41</v>
      </c>
      <c r="B843" s="43" t="s">
        <v>114</v>
      </c>
      <c r="C843" s="43" t="s">
        <v>109</v>
      </c>
      <c r="D843" s="44" t="s">
        <v>242</v>
      </c>
      <c r="E843" s="44">
        <v>30</v>
      </c>
      <c r="F843" s="44" t="s">
        <v>3</v>
      </c>
      <c r="G843" s="43" t="str">
        <f>IFERROR(VLOOKUP(A843,'[1]MC Masterlist 2026-09-12'!$B:$M, 3, 0),"")</f>
        <v>YAMAHA</v>
      </c>
      <c r="H843" s="45">
        <f>IFERROR(VLOOKUP(A843,'[1]MC Masterlist 2026-09-12'!$B:$M, 6, 0),"")</f>
        <v>92907</v>
      </c>
      <c r="I843" s="46">
        <v>0</v>
      </c>
      <c r="J843" s="46">
        <v>0</v>
      </c>
      <c r="K843" s="46">
        <v>0</v>
      </c>
      <c r="L843" s="46">
        <f t="shared" si="195"/>
        <v>0</v>
      </c>
      <c r="M843" s="46">
        <f t="shared" si="196"/>
        <v>0</v>
      </c>
      <c r="N843" s="45">
        <f t="shared" si="197"/>
        <v>0</v>
      </c>
      <c r="O843" s="45">
        <f t="shared" si="198"/>
        <v>0</v>
      </c>
      <c r="P843" s="46">
        <f t="shared" si="199"/>
        <v>0</v>
      </c>
      <c r="Q843" s="46">
        <v>1</v>
      </c>
      <c r="R843" s="45">
        <f t="shared" si="200"/>
        <v>92907</v>
      </c>
      <c r="S843" s="46">
        <f t="shared" si="201"/>
        <v>0</v>
      </c>
      <c r="T843" s="46">
        <f>IFERROR(VLOOKUP(A843,'[1]Re-order'!$A:$Q,17,0),"")</f>
        <v>240</v>
      </c>
      <c r="U843" s="46">
        <f>IFERROR(VLOOKUP(A843,'[1]MC Masterlist 2026-09-12'!$B:$M, 10, 0),0)</f>
        <v>15</v>
      </c>
      <c r="V843" s="46">
        <f>IFERROR(VLOOKUP(A843,'[1]MC Masterlist 2026-09-12'!$B:$M, 11, 0),0)</f>
        <v>15</v>
      </c>
      <c r="W843" s="46">
        <f t="shared" si="202"/>
        <v>30</v>
      </c>
      <c r="X843" s="46">
        <f t="shared" si="203"/>
        <v>30</v>
      </c>
      <c r="Y843" s="46">
        <f>IFERROR(IF(OR(C843="AREA I",C843="AREA V"),7,VLOOKUP(A843,'[1]MC Masterlist 2026-09-12'!$B:$M, 12, 0)),0)</f>
        <v>30</v>
      </c>
      <c r="Z843" s="46">
        <f t="shared" si="204"/>
        <v>0</v>
      </c>
      <c r="AA843" s="46">
        <f t="shared" si="205"/>
        <v>0</v>
      </c>
      <c r="AB843" s="46">
        <f t="shared" si="206"/>
        <v>0</v>
      </c>
      <c r="AC843" s="46">
        <f t="shared" si="207"/>
        <v>0</v>
      </c>
      <c r="AD843" s="44" t="str">
        <f t="shared" si="208"/>
        <v>Over</v>
      </c>
      <c r="AE843" s="44" t="str">
        <f>IFERROR(VLOOKUP(A843,'[1]Re-order'!$A:$AA,27,0),"")</f>
        <v>Over</v>
      </c>
      <c r="AF843" s="46">
        <f t="shared" si="209"/>
        <v>-1</v>
      </c>
      <c r="AG843" s="46">
        <f>SUMIFS('[1]Raw Inventory'!D:D,'[1]Raw Inventory'!C:C,"GREATWALL",'[1]Raw Inventory'!B:B,A843)</f>
        <v>2</v>
      </c>
      <c r="AH843" s="46">
        <f>SUMIFS('[1]Raw Inventory'!D:D,'[1]Raw Inventory'!C:C,"DUARTE",'[1]Raw Inventory'!B:B,A843)</f>
        <v>0</v>
      </c>
      <c r="AI843" s="46"/>
      <c r="AJ843" s="46"/>
      <c r="AK843" s="43"/>
      <c r="AL843" s="43"/>
      <c r="AM843" s="43"/>
      <c r="AN843" s="43"/>
      <c r="AO843" s="43"/>
      <c r="AP843" s="43"/>
      <c r="AQ843" s="43"/>
      <c r="AR843" s="43"/>
      <c r="AS843" s="43"/>
      <c r="AT843" s="43"/>
    </row>
    <row r="844" spans="1:46">
      <c r="A844" s="43" t="s">
        <v>40</v>
      </c>
      <c r="B844" s="43" t="s">
        <v>11</v>
      </c>
      <c r="C844" s="43" t="s">
        <v>1</v>
      </c>
      <c r="D844" s="44" t="s">
        <v>268</v>
      </c>
      <c r="E844" s="44">
        <v>14</v>
      </c>
      <c r="F844" s="44" t="s">
        <v>3</v>
      </c>
      <c r="G844" s="43" t="str">
        <f>IFERROR(VLOOKUP(A844,'[1]MC Masterlist 2026-09-12'!$B:$M, 3, 0),"")</f>
        <v>HONDA</v>
      </c>
      <c r="H844" s="45">
        <f>IFERROR(VLOOKUP(A844,'[1]MC Masterlist 2026-09-12'!$B:$M, 6, 0),"")</f>
        <v>56426</v>
      </c>
      <c r="I844" s="46">
        <v>4</v>
      </c>
      <c r="J844" s="46">
        <v>1</v>
      </c>
      <c r="K844" s="46">
        <v>1</v>
      </c>
      <c r="L844" s="46">
        <f t="shared" si="195"/>
        <v>6</v>
      </c>
      <c r="M844" s="46">
        <f t="shared" si="196"/>
        <v>2</v>
      </c>
      <c r="N844" s="45">
        <f t="shared" si="197"/>
        <v>338556</v>
      </c>
      <c r="O844" s="45">
        <f t="shared" si="198"/>
        <v>112852</v>
      </c>
      <c r="P844" s="46">
        <f t="shared" si="199"/>
        <v>6.6666666666666666E-2</v>
      </c>
      <c r="Q844" s="46">
        <v>2</v>
      </c>
      <c r="R844" s="45">
        <f t="shared" si="200"/>
        <v>112852</v>
      </c>
      <c r="S844" s="46">
        <f t="shared" si="201"/>
        <v>30</v>
      </c>
      <c r="T844" s="46">
        <f>IFERROR(VLOOKUP(A844,'[1]Re-order'!$A:$Q,17,0),"")</f>
        <v>139.56521739130434</v>
      </c>
      <c r="U844" s="46">
        <f>IFERROR(VLOOKUP(A844,'[1]MC Masterlist 2026-09-12'!$B:$M, 10, 0),0)</f>
        <v>15</v>
      </c>
      <c r="V844" s="46">
        <f>IFERROR(VLOOKUP(A844,'[1]MC Masterlist 2026-09-12'!$B:$M, 11, 0),0)</f>
        <v>15</v>
      </c>
      <c r="W844" s="46">
        <f t="shared" si="202"/>
        <v>30</v>
      </c>
      <c r="X844" s="46">
        <f t="shared" si="203"/>
        <v>6</v>
      </c>
      <c r="Y844" s="46">
        <f>IFERROR(IF(OR(C844="AREA I",C844="AREA V"),7,VLOOKUP(A844,'[1]MC Masterlist 2026-09-12'!$B:$M, 12, 0)),0)</f>
        <v>7</v>
      </c>
      <c r="Z844" s="46">
        <f t="shared" si="204"/>
        <v>1</v>
      </c>
      <c r="AA844" s="46">
        <f t="shared" si="205"/>
        <v>2</v>
      </c>
      <c r="AB844" s="46">
        <f t="shared" si="206"/>
        <v>0.4</v>
      </c>
      <c r="AC844" s="46">
        <f t="shared" si="207"/>
        <v>0.46666666666666667</v>
      </c>
      <c r="AD844" s="44" t="str">
        <f t="shared" si="208"/>
        <v>Over</v>
      </c>
      <c r="AE844" s="44" t="str">
        <f>IFERROR(VLOOKUP(A844,'[1]Re-order'!$A:$AA,27,0),"")</f>
        <v>Over</v>
      </c>
      <c r="AF844" s="46">
        <f t="shared" si="209"/>
        <v>-1.5333333333333332</v>
      </c>
      <c r="AG844" s="46">
        <f>SUMIFS('[1]Raw Inventory'!D:D,'[1]Raw Inventory'!C:C,"GREATWALL",'[1]Raw Inventory'!B:B,A844)</f>
        <v>45</v>
      </c>
      <c r="AH844" s="46">
        <f>SUMIFS('[1]Raw Inventory'!D:D,'[1]Raw Inventory'!C:C,"DUARTE",'[1]Raw Inventory'!B:B,A844)</f>
        <v>0</v>
      </c>
      <c r="AI844" s="46"/>
      <c r="AJ844" s="46"/>
      <c r="AK844" s="43"/>
      <c r="AL844" s="43"/>
      <c r="AM844" s="43"/>
      <c r="AN844" s="43"/>
      <c r="AO844" s="43"/>
      <c r="AP844" s="43"/>
      <c r="AQ844" s="43"/>
      <c r="AR844" s="43"/>
      <c r="AS844" s="43"/>
      <c r="AT844" s="43"/>
    </row>
    <row r="845" spans="1:46">
      <c r="A845" s="43" t="s">
        <v>41</v>
      </c>
      <c r="B845" s="43" t="s">
        <v>21</v>
      </c>
      <c r="C845" s="43" t="s">
        <v>1</v>
      </c>
      <c r="D845" s="44" t="s">
        <v>262</v>
      </c>
      <c r="E845" s="44">
        <v>17</v>
      </c>
      <c r="F845" s="44" t="s">
        <v>2</v>
      </c>
      <c r="G845" s="43" t="str">
        <f>IFERROR(VLOOKUP(A845,'[1]MC Masterlist 2026-09-12'!$B:$M, 3, 0),"")</f>
        <v>YAMAHA</v>
      </c>
      <c r="H845" s="45">
        <f>IFERROR(VLOOKUP(A845,'[1]MC Masterlist 2026-09-12'!$B:$M, 6, 0),"")</f>
        <v>92907</v>
      </c>
      <c r="I845" s="46">
        <v>1</v>
      </c>
      <c r="J845" s="46">
        <v>1</v>
      </c>
      <c r="K845" s="46">
        <v>0</v>
      </c>
      <c r="L845" s="46">
        <f t="shared" si="195"/>
        <v>2</v>
      </c>
      <c r="M845" s="46">
        <f t="shared" si="196"/>
        <v>0.66666666666666663</v>
      </c>
      <c r="N845" s="45">
        <f t="shared" si="197"/>
        <v>185814</v>
      </c>
      <c r="O845" s="45">
        <f t="shared" si="198"/>
        <v>61938</v>
      </c>
      <c r="P845" s="46">
        <f t="shared" si="199"/>
        <v>2.222222222222222E-2</v>
      </c>
      <c r="Q845" s="46">
        <v>3</v>
      </c>
      <c r="R845" s="45">
        <f t="shared" si="200"/>
        <v>278721</v>
      </c>
      <c r="S845" s="46">
        <f t="shared" si="201"/>
        <v>135</v>
      </c>
      <c r="T845" s="46">
        <f>IFERROR(VLOOKUP(A845,'[1]Re-order'!$A:$Q,17,0),"")</f>
        <v>240</v>
      </c>
      <c r="U845" s="46">
        <f>IFERROR(VLOOKUP(A845,'[1]MC Masterlist 2026-09-12'!$B:$M, 10, 0),0)</f>
        <v>15</v>
      </c>
      <c r="V845" s="46">
        <f>IFERROR(VLOOKUP(A845,'[1]MC Masterlist 2026-09-12'!$B:$M, 11, 0),0)</f>
        <v>15</v>
      </c>
      <c r="W845" s="46">
        <f t="shared" si="202"/>
        <v>30</v>
      </c>
      <c r="X845" s="46">
        <f t="shared" si="203"/>
        <v>6.666666666666667</v>
      </c>
      <c r="Y845" s="46">
        <f>IFERROR(IF(OR(C845="AREA I",C845="AREA V"),7,VLOOKUP(A845,'[1]MC Masterlist 2026-09-12'!$B:$M, 12, 0)),0)</f>
        <v>7</v>
      </c>
      <c r="Z845" s="46">
        <f t="shared" si="204"/>
        <v>0.33333333333333331</v>
      </c>
      <c r="AA845" s="46">
        <f t="shared" si="205"/>
        <v>0.66666666666666663</v>
      </c>
      <c r="AB845" s="46">
        <f t="shared" si="206"/>
        <v>0.14814814814814814</v>
      </c>
      <c r="AC845" s="46">
        <f t="shared" si="207"/>
        <v>0.15555555555555553</v>
      </c>
      <c r="AD845" s="44" t="str">
        <f t="shared" si="208"/>
        <v>Over</v>
      </c>
      <c r="AE845" s="44" t="str">
        <f>IFERROR(VLOOKUP(A845,'[1]Re-order'!$A:$AA,27,0),"")</f>
        <v>Over</v>
      </c>
      <c r="AF845" s="46">
        <f t="shared" si="209"/>
        <v>-2.8444444444444446</v>
      </c>
      <c r="AG845" s="46">
        <f>SUMIFS('[1]Raw Inventory'!D:D,'[1]Raw Inventory'!C:C,"GREATWALL",'[1]Raw Inventory'!B:B,A845)</f>
        <v>2</v>
      </c>
      <c r="AH845" s="46">
        <f>SUMIFS('[1]Raw Inventory'!D:D,'[1]Raw Inventory'!C:C,"DUARTE",'[1]Raw Inventory'!B:B,A845)</f>
        <v>0</v>
      </c>
      <c r="AI845" s="46"/>
      <c r="AJ845" s="46"/>
      <c r="AK845" s="43"/>
      <c r="AL845" s="43"/>
      <c r="AM845" s="43"/>
      <c r="AN845" s="43"/>
      <c r="AO845" s="43"/>
      <c r="AP845" s="43"/>
      <c r="AQ845" s="43"/>
      <c r="AR845" s="43"/>
      <c r="AS845" s="43"/>
      <c r="AT845" s="43"/>
    </row>
    <row r="846" spans="1:46">
      <c r="A846" s="43" t="s">
        <v>62</v>
      </c>
      <c r="B846" s="43" t="s">
        <v>110</v>
      </c>
      <c r="C846" s="43" t="s">
        <v>109</v>
      </c>
      <c r="D846" s="44" t="s">
        <v>267</v>
      </c>
      <c r="E846" s="44">
        <v>30</v>
      </c>
      <c r="F846" s="44" t="s">
        <v>3</v>
      </c>
      <c r="G846" s="43" t="str">
        <f>IFERROR(VLOOKUP(A846,'[1]MC Masterlist 2026-09-12'!$B:$M, 3, 0),"")</f>
        <v>HONDA</v>
      </c>
      <c r="H846" s="45">
        <f>IFERROR(VLOOKUP(A846,'[1]MC Masterlist 2026-09-12'!$B:$M, 6, 0),"")</f>
        <v>123310</v>
      </c>
      <c r="I846" s="46">
        <v>0</v>
      </c>
      <c r="J846" s="46">
        <v>0</v>
      </c>
      <c r="K846" s="46">
        <v>0</v>
      </c>
      <c r="L846" s="46">
        <f t="shared" si="195"/>
        <v>0</v>
      </c>
      <c r="M846" s="46">
        <f t="shared" si="196"/>
        <v>0</v>
      </c>
      <c r="N846" s="45">
        <f t="shared" si="197"/>
        <v>0</v>
      </c>
      <c r="O846" s="45">
        <f t="shared" si="198"/>
        <v>0</v>
      </c>
      <c r="P846" s="46">
        <f t="shared" si="199"/>
        <v>0</v>
      </c>
      <c r="Q846" s="46">
        <v>1</v>
      </c>
      <c r="R846" s="45">
        <f t="shared" si="200"/>
        <v>123310</v>
      </c>
      <c r="S846" s="46">
        <f t="shared" si="201"/>
        <v>0</v>
      </c>
      <c r="T846" s="46">
        <f>IFERROR(VLOOKUP(A846,'[1]Re-order'!$A:$Q,17,0),"")</f>
        <v>165</v>
      </c>
      <c r="U846" s="46">
        <f>IFERROR(VLOOKUP(A846,'[1]MC Masterlist 2026-09-12'!$B:$M, 10, 0),0)</f>
        <v>15</v>
      </c>
      <c r="V846" s="46">
        <f>IFERROR(VLOOKUP(A846,'[1]MC Masterlist 2026-09-12'!$B:$M, 11, 0),0)</f>
        <v>15</v>
      </c>
      <c r="W846" s="46">
        <f t="shared" si="202"/>
        <v>30</v>
      </c>
      <c r="X846" s="46">
        <f t="shared" si="203"/>
        <v>30</v>
      </c>
      <c r="Y846" s="46">
        <f>IFERROR(IF(OR(C846="AREA I",C846="AREA V"),7,VLOOKUP(A846,'[1]MC Masterlist 2026-09-12'!$B:$M, 12, 0)),0)</f>
        <v>30</v>
      </c>
      <c r="Z846" s="46">
        <f t="shared" si="204"/>
        <v>0</v>
      </c>
      <c r="AA846" s="46">
        <f t="shared" si="205"/>
        <v>0</v>
      </c>
      <c r="AB846" s="46">
        <f t="shared" si="206"/>
        <v>0</v>
      </c>
      <c r="AC846" s="46">
        <f t="shared" si="207"/>
        <v>0</v>
      </c>
      <c r="AD846" s="44" t="str">
        <f t="shared" si="208"/>
        <v>Over</v>
      </c>
      <c r="AE846" s="44" t="str">
        <f>IFERROR(VLOOKUP(A846,'[1]Re-order'!$A:$AA,27,0),"")</f>
        <v>Over</v>
      </c>
      <c r="AF846" s="46">
        <f t="shared" si="209"/>
        <v>-1</v>
      </c>
      <c r="AG846" s="46">
        <f>SUMIFS('[1]Raw Inventory'!D:D,'[1]Raw Inventory'!C:C,"GREATWALL",'[1]Raw Inventory'!B:B,A846)</f>
        <v>4</v>
      </c>
      <c r="AH846" s="46">
        <f>SUMIFS('[1]Raw Inventory'!D:D,'[1]Raw Inventory'!C:C,"DUARTE",'[1]Raw Inventory'!B:B,A846)</f>
        <v>0</v>
      </c>
      <c r="AI846" s="46"/>
      <c r="AJ846" s="46"/>
      <c r="AK846" s="43"/>
      <c r="AL846" s="43"/>
      <c r="AM846" s="43"/>
      <c r="AN846" s="43"/>
      <c r="AO846" s="43"/>
      <c r="AP846" s="43"/>
      <c r="AQ846" s="43"/>
      <c r="AR846" s="43"/>
      <c r="AS846" s="43"/>
      <c r="AT846" s="43"/>
    </row>
    <row r="847" spans="1:46">
      <c r="A847" s="43" t="s">
        <v>73</v>
      </c>
      <c r="B847" s="43" t="s">
        <v>156</v>
      </c>
      <c r="C847" s="43" t="s">
        <v>152</v>
      </c>
      <c r="D847" s="44" t="s">
        <v>226</v>
      </c>
      <c r="E847" s="44">
        <v>27</v>
      </c>
      <c r="F847" s="44" t="s">
        <v>3</v>
      </c>
      <c r="G847" s="43" t="str">
        <f>IFERROR(VLOOKUP(A847,'[1]MC Masterlist 2026-09-12'!$B:$M, 3, 0),"")</f>
        <v>SUZUKI</v>
      </c>
      <c r="H847" s="45">
        <f>IFERROR(VLOOKUP(A847,'[1]MC Masterlist 2026-09-12'!$B:$M, 6, 0),"")</f>
        <v>122770</v>
      </c>
      <c r="I847" s="46">
        <v>0</v>
      </c>
      <c r="J847" s="46">
        <v>0</v>
      </c>
      <c r="K847" s="46">
        <v>0</v>
      </c>
      <c r="L847" s="46">
        <f t="shared" si="195"/>
        <v>0</v>
      </c>
      <c r="M847" s="46">
        <f t="shared" si="196"/>
        <v>0</v>
      </c>
      <c r="N847" s="45">
        <f t="shared" si="197"/>
        <v>0</v>
      </c>
      <c r="O847" s="45">
        <f t="shared" si="198"/>
        <v>0</v>
      </c>
      <c r="P847" s="46">
        <f t="shared" si="199"/>
        <v>0</v>
      </c>
      <c r="Q847" s="46">
        <v>1</v>
      </c>
      <c r="R847" s="45">
        <f t="shared" si="200"/>
        <v>122770</v>
      </c>
      <c r="S847" s="46">
        <f t="shared" si="201"/>
        <v>0</v>
      </c>
      <c r="T847" s="46">
        <f>IFERROR(VLOOKUP(A847,'[1]Re-order'!$A:$Q,17,0),"")</f>
        <v>787.50000000000011</v>
      </c>
      <c r="U847" s="46">
        <f>IFERROR(VLOOKUP(A847,'[1]MC Masterlist 2026-09-12'!$B:$M, 10, 0),0)</f>
        <v>15</v>
      </c>
      <c r="V847" s="46">
        <f>IFERROR(VLOOKUP(A847,'[1]MC Masterlist 2026-09-12'!$B:$M, 11, 0),0)</f>
        <v>15</v>
      </c>
      <c r="W847" s="46">
        <f t="shared" si="202"/>
        <v>30</v>
      </c>
      <c r="X847" s="46">
        <f t="shared" si="203"/>
        <v>30</v>
      </c>
      <c r="Y847" s="46">
        <f>IFERROR(IF(OR(C847="AREA I",C847="AREA V"),7,VLOOKUP(A847,'[1]MC Masterlist 2026-09-12'!$B:$M, 12, 0)),0)</f>
        <v>30</v>
      </c>
      <c r="Z847" s="46">
        <f t="shared" si="204"/>
        <v>0</v>
      </c>
      <c r="AA847" s="46">
        <f t="shared" si="205"/>
        <v>0</v>
      </c>
      <c r="AB847" s="46">
        <f t="shared" si="206"/>
        <v>0</v>
      </c>
      <c r="AC847" s="46">
        <f t="shared" si="207"/>
        <v>0</v>
      </c>
      <c r="AD847" s="44" t="str">
        <f t="shared" si="208"/>
        <v>Over</v>
      </c>
      <c r="AE847" s="44" t="str">
        <f>IFERROR(VLOOKUP(A847,'[1]Re-order'!$A:$AA,27,0),"")</f>
        <v>Over</v>
      </c>
      <c r="AF847" s="46">
        <f t="shared" si="209"/>
        <v>-1</v>
      </c>
      <c r="AG847" s="46">
        <f>SUMIFS('[1]Raw Inventory'!D:D,'[1]Raw Inventory'!C:C,"GREATWALL",'[1]Raw Inventory'!B:B,A847)</f>
        <v>9</v>
      </c>
      <c r="AH847" s="46">
        <f>SUMIFS('[1]Raw Inventory'!D:D,'[1]Raw Inventory'!C:C,"DUARTE",'[1]Raw Inventory'!B:B,A847)</f>
        <v>0</v>
      </c>
      <c r="AI847" s="46"/>
      <c r="AJ847" s="46"/>
      <c r="AK847" s="43"/>
      <c r="AL847" s="43"/>
      <c r="AM847" s="43"/>
      <c r="AN847" s="43"/>
      <c r="AO847" s="43"/>
      <c r="AP847" s="43"/>
      <c r="AQ847" s="43"/>
      <c r="AR847" s="43"/>
      <c r="AS847" s="43"/>
      <c r="AT847" s="43"/>
    </row>
    <row r="848" spans="1:46">
      <c r="A848" s="43" t="s">
        <v>33</v>
      </c>
      <c r="B848" s="43" t="s">
        <v>115</v>
      </c>
      <c r="C848" s="43" t="s">
        <v>109</v>
      </c>
      <c r="D848" s="44" t="s">
        <v>262</v>
      </c>
      <c r="E848" s="44">
        <v>12</v>
      </c>
      <c r="F848" s="44" t="s">
        <v>2</v>
      </c>
      <c r="G848" s="43" t="str">
        <f>IFERROR(VLOOKUP(A848,'[1]MC Masterlist 2026-09-12'!$B:$M, 3, 0),"")</f>
        <v>HONDA</v>
      </c>
      <c r="H848" s="45">
        <f>IFERROR(VLOOKUP(A848,'[1]MC Masterlist 2026-09-12'!$B:$M, 6, 0),"")</f>
        <v>251318</v>
      </c>
      <c r="I848" s="46">
        <v>0</v>
      </c>
      <c r="J848" s="46">
        <v>0</v>
      </c>
      <c r="K848" s="46">
        <v>1</v>
      </c>
      <c r="L848" s="46">
        <f t="shared" si="195"/>
        <v>1</v>
      </c>
      <c r="M848" s="46">
        <f t="shared" si="196"/>
        <v>0.33333333333333331</v>
      </c>
      <c r="N848" s="45">
        <f t="shared" si="197"/>
        <v>251318</v>
      </c>
      <c r="O848" s="45">
        <f t="shared" si="198"/>
        <v>83772.666666666657</v>
      </c>
      <c r="P848" s="46">
        <f t="shared" si="199"/>
        <v>1.111111111111111E-2</v>
      </c>
      <c r="Q848" s="46"/>
      <c r="R848" s="45">
        <f t="shared" si="200"/>
        <v>0</v>
      </c>
      <c r="S848" s="46">
        <f t="shared" si="201"/>
        <v>0</v>
      </c>
      <c r="T848" s="46">
        <f>IFERROR(VLOOKUP(A848,'[1]Re-order'!$A:$Q,17,0),"")</f>
        <v>10.588235294117647</v>
      </c>
      <c r="U848" s="46">
        <f>IFERROR(VLOOKUP(A848,'[1]MC Masterlist 2026-09-12'!$B:$M, 10, 0),0)</f>
        <v>15</v>
      </c>
      <c r="V848" s="46">
        <f>IFERROR(VLOOKUP(A848,'[1]MC Masterlist 2026-09-12'!$B:$M, 11, 0),0)</f>
        <v>15</v>
      </c>
      <c r="W848" s="46">
        <f t="shared" si="202"/>
        <v>30</v>
      </c>
      <c r="X848" s="46">
        <f t="shared" si="203"/>
        <v>29.833333333333332</v>
      </c>
      <c r="Y848" s="46">
        <f>IFERROR(IF(OR(C848="AREA I",C848="AREA V"),7,VLOOKUP(A848,'[1]MC Masterlist 2026-09-12'!$B:$M, 12, 0)),0)</f>
        <v>30</v>
      </c>
      <c r="Z848" s="46">
        <f t="shared" si="204"/>
        <v>0.16666666666666666</v>
      </c>
      <c r="AA848" s="46">
        <f t="shared" si="205"/>
        <v>0.33333333333333331</v>
      </c>
      <c r="AB848" s="46">
        <f t="shared" si="206"/>
        <v>0.33148148148148143</v>
      </c>
      <c r="AC848" s="46">
        <f t="shared" si="207"/>
        <v>0.33333333333333331</v>
      </c>
      <c r="AD848" s="44" t="str">
        <f t="shared" si="208"/>
        <v>Stockout</v>
      </c>
      <c r="AE848" s="44" t="str">
        <f>IFERROR(VLOOKUP(A848,'[1]Re-order'!$A:$AA,27,0),"")</f>
        <v>Stockout</v>
      </c>
      <c r="AF848" s="46">
        <f t="shared" si="209"/>
        <v>0.33333333333333331</v>
      </c>
      <c r="AG848" s="46">
        <f>SUMIFS('[1]Raw Inventory'!D:D,'[1]Raw Inventory'!C:C,"GREATWALL",'[1]Raw Inventory'!B:B,A848)</f>
        <v>0</v>
      </c>
      <c r="AH848" s="46">
        <f>SUMIFS('[1]Raw Inventory'!D:D,'[1]Raw Inventory'!C:C,"DUARTE",'[1]Raw Inventory'!B:B,A848)</f>
        <v>0</v>
      </c>
      <c r="AI848" s="46"/>
      <c r="AJ848" s="46"/>
      <c r="AK848" s="43"/>
      <c r="AL848" s="43"/>
      <c r="AM848" s="43"/>
      <c r="AN848" s="43"/>
      <c r="AO848" s="43"/>
      <c r="AP848" s="43"/>
      <c r="AQ848" s="43"/>
      <c r="AR848" s="43"/>
      <c r="AS848" s="43"/>
      <c r="AT848" s="43"/>
    </row>
    <row r="849" spans="1:46">
      <c r="A849" s="43" t="s">
        <v>36</v>
      </c>
      <c r="B849" s="43" t="s">
        <v>144</v>
      </c>
      <c r="C849" s="43" t="s">
        <v>137</v>
      </c>
      <c r="D849" s="44" t="s">
        <v>272</v>
      </c>
      <c r="E849" s="44">
        <v>33</v>
      </c>
      <c r="F849" s="44" t="s">
        <v>3</v>
      </c>
      <c r="G849" s="43" t="str">
        <f>IFERROR(VLOOKUP(A849,'[1]MC Masterlist 2026-09-12'!$B:$M, 3, 0),"")</f>
        <v>HONDA</v>
      </c>
      <c r="H849" s="45">
        <f>IFERROR(VLOOKUP(A849,'[1]MC Masterlist 2026-09-12'!$B:$M, 6, 0),"")</f>
        <v>76850</v>
      </c>
      <c r="I849" s="46">
        <v>0</v>
      </c>
      <c r="J849" s="46">
        <v>0</v>
      </c>
      <c r="K849" s="46">
        <v>0</v>
      </c>
      <c r="L849" s="46">
        <f t="shared" si="195"/>
        <v>0</v>
      </c>
      <c r="M849" s="46">
        <f t="shared" si="196"/>
        <v>0</v>
      </c>
      <c r="N849" s="45">
        <f t="shared" si="197"/>
        <v>0</v>
      </c>
      <c r="O849" s="45">
        <f t="shared" si="198"/>
        <v>0</v>
      </c>
      <c r="P849" s="46">
        <f t="shared" si="199"/>
        <v>0</v>
      </c>
      <c r="Q849" s="46">
        <v>1</v>
      </c>
      <c r="R849" s="45">
        <f t="shared" si="200"/>
        <v>76850</v>
      </c>
      <c r="S849" s="46">
        <f t="shared" si="201"/>
        <v>0</v>
      </c>
      <c r="T849" s="46">
        <f>IFERROR(VLOOKUP(A849,'[1]Re-order'!$A:$Q,17,0),"")</f>
        <v>137.24999999999997</v>
      </c>
      <c r="U849" s="46">
        <f>IFERROR(VLOOKUP(A849,'[1]MC Masterlist 2026-09-12'!$B:$M, 10, 0),0)</f>
        <v>15</v>
      </c>
      <c r="V849" s="46">
        <f>IFERROR(VLOOKUP(A849,'[1]MC Masterlist 2026-09-12'!$B:$M, 11, 0),0)</f>
        <v>15</v>
      </c>
      <c r="W849" s="46">
        <f t="shared" si="202"/>
        <v>30</v>
      </c>
      <c r="X849" s="46">
        <f t="shared" si="203"/>
        <v>7</v>
      </c>
      <c r="Y849" s="46">
        <f>IFERROR(IF(OR(C849="AREA I",C849="AREA V"),7,VLOOKUP(A849,'[1]MC Masterlist 2026-09-12'!$B:$M, 12, 0)),0)</f>
        <v>7</v>
      </c>
      <c r="Z849" s="46">
        <f t="shared" si="204"/>
        <v>0</v>
      </c>
      <c r="AA849" s="46">
        <f t="shared" si="205"/>
        <v>0</v>
      </c>
      <c r="AB849" s="46">
        <f t="shared" si="206"/>
        <v>0</v>
      </c>
      <c r="AC849" s="46">
        <f t="shared" si="207"/>
        <v>0</v>
      </c>
      <c r="AD849" s="44" t="str">
        <f t="shared" si="208"/>
        <v>Over</v>
      </c>
      <c r="AE849" s="44" t="str">
        <f>IFERROR(VLOOKUP(A849,'[1]Re-order'!$A:$AA,27,0),"")</f>
        <v>Over</v>
      </c>
      <c r="AF849" s="46">
        <f t="shared" si="209"/>
        <v>-1</v>
      </c>
      <c r="AG849" s="46">
        <f>SUMIFS('[1]Raw Inventory'!D:D,'[1]Raw Inventory'!C:C,"GREATWALL",'[1]Raw Inventory'!B:B,A849)</f>
        <v>18</v>
      </c>
      <c r="AH849" s="46">
        <f>SUMIFS('[1]Raw Inventory'!D:D,'[1]Raw Inventory'!C:C,"DUARTE",'[1]Raw Inventory'!B:B,A849)</f>
        <v>0</v>
      </c>
      <c r="AI849" s="46"/>
      <c r="AJ849" s="46"/>
      <c r="AK849" s="43"/>
      <c r="AL849" s="43"/>
      <c r="AM849" s="43"/>
      <c r="AN849" s="43"/>
      <c r="AO849" s="43"/>
      <c r="AP849" s="43"/>
      <c r="AQ849" s="43"/>
      <c r="AR849" s="43"/>
      <c r="AS849" s="43"/>
      <c r="AT849" s="43"/>
    </row>
    <row r="850" spans="1:46">
      <c r="A850" s="43" t="s">
        <v>71</v>
      </c>
      <c r="B850" s="43" t="s">
        <v>161</v>
      </c>
      <c r="C850" s="43" t="s">
        <v>159</v>
      </c>
      <c r="D850" s="44" t="s">
        <v>288</v>
      </c>
      <c r="E850" s="44">
        <v>1</v>
      </c>
      <c r="F850" s="44" t="s">
        <v>0</v>
      </c>
      <c r="G850" s="43" t="str">
        <f>IFERROR(VLOOKUP(A850,'[1]MC Masterlist 2026-09-12'!$B:$M, 3, 0),"")</f>
        <v>SUZUKI</v>
      </c>
      <c r="H850" s="45">
        <f>IFERROR(VLOOKUP(A850,'[1]MC Masterlist 2026-09-12'!$B:$M, 6, 0),"")</f>
        <v>156250</v>
      </c>
      <c r="I850" s="46">
        <v>0</v>
      </c>
      <c r="J850" s="46">
        <v>0</v>
      </c>
      <c r="K850" s="46">
        <v>0</v>
      </c>
      <c r="L850" s="46">
        <f t="shared" si="195"/>
        <v>0</v>
      </c>
      <c r="M850" s="46">
        <f t="shared" si="196"/>
        <v>0</v>
      </c>
      <c r="N850" s="45">
        <f t="shared" si="197"/>
        <v>0</v>
      </c>
      <c r="O850" s="45">
        <f t="shared" si="198"/>
        <v>0</v>
      </c>
      <c r="P850" s="46">
        <f t="shared" si="199"/>
        <v>0</v>
      </c>
      <c r="Q850" s="46">
        <v>2</v>
      </c>
      <c r="R850" s="45">
        <f t="shared" si="200"/>
        <v>312500</v>
      </c>
      <c r="S850" s="46">
        <f t="shared" si="201"/>
        <v>0</v>
      </c>
      <c r="T850" s="46">
        <f>IFERROR(VLOOKUP(A850,'[1]Re-order'!$A:$Q,17,0),"")</f>
        <v>612</v>
      </c>
      <c r="U850" s="46">
        <f>IFERROR(VLOOKUP(A850,'[1]MC Masterlist 2026-09-12'!$B:$M, 10, 0),0)</f>
        <v>15</v>
      </c>
      <c r="V850" s="46">
        <f>IFERROR(VLOOKUP(A850,'[1]MC Masterlist 2026-09-12'!$B:$M, 11, 0),0)</f>
        <v>15</v>
      </c>
      <c r="W850" s="46">
        <f t="shared" si="202"/>
        <v>30</v>
      </c>
      <c r="X850" s="46">
        <f t="shared" si="203"/>
        <v>30</v>
      </c>
      <c r="Y850" s="46">
        <f>IFERROR(IF(OR(C850="AREA I",C850="AREA V"),7,VLOOKUP(A850,'[1]MC Masterlist 2026-09-12'!$B:$M, 12, 0)),0)</f>
        <v>30</v>
      </c>
      <c r="Z850" s="46">
        <f t="shared" si="204"/>
        <v>0</v>
      </c>
      <c r="AA850" s="46">
        <f t="shared" si="205"/>
        <v>0</v>
      </c>
      <c r="AB850" s="46">
        <f t="shared" si="206"/>
        <v>0</v>
      </c>
      <c r="AC850" s="46">
        <f t="shared" si="207"/>
        <v>0</v>
      </c>
      <c r="AD850" s="44" t="str">
        <f t="shared" si="208"/>
        <v>Over</v>
      </c>
      <c r="AE850" s="44" t="str">
        <f>IFERROR(VLOOKUP(A850,'[1]Re-order'!$A:$AA,27,0),"")</f>
        <v>Over</v>
      </c>
      <c r="AF850" s="46">
        <f t="shared" si="209"/>
        <v>-2</v>
      </c>
      <c r="AG850" s="46">
        <f>SUMIFS('[1]Raw Inventory'!D:D,'[1]Raw Inventory'!C:C,"GREATWALL",'[1]Raw Inventory'!B:B,A850)</f>
        <v>13</v>
      </c>
      <c r="AH850" s="46">
        <f>SUMIFS('[1]Raw Inventory'!D:D,'[1]Raw Inventory'!C:C,"DUARTE",'[1]Raw Inventory'!B:B,A850)</f>
        <v>0</v>
      </c>
      <c r="AI850" s="46"/>
      <c r="AJ850" s="46"/>
      <c r="AK850" s="43"/>
      <c r="AL850" s="43"/>
      <c r="AM850" s="43"/>
      <c r="AN850" s="43"/>
      <c r="AO850" s="43"/>
      <c r="AP850" s="43"/>
      <c r="AQ850" s="43"/>
      <c r="AR850" s="43"/>
      <c r="AS850" s="43"/>
      <c r="AT850" s="43"/>
    </row>
    <row r="851" spans="1:46">
      <c r="A851" s="43" t="s">
        <v>25</v>
      </c>
      <c r="B851" s="43" t="s">
        <v>141</v>
      </c>
      <c r="C851" s="43" t="s">
        <v>137</v>
      </c>
      <c r="D851" s="44" t="s">
        <v>224</v>
      </c>
      <c r="E851" s="44">
        <v>12</v>
      </c>
      <c r="F851" s="44" t="s">
        <v>2</v>
      </c>
      <c r="G851" s="43" t="str">
        <f>IFERROR(VLOOKUP(A851,'[1]MC Masterlist 2026-09-12'!$B:$M, 3, 0),"")</f>
        <v>YAMAHA</v>
      </c>
      <c r="H851" s="45">
        <f>IFERROR(VLOOKUP(A851,'[1]MC Masterlist 2026-09-12'!$B:$M, 6, 0),"")</f>
        <v>124527</v>
      </c>
      <c r="I851" s="46">
        <v>0</v>
      </c>
      <c r="J851" s="46">
        <v>2</v>
      </c>
      <c r="K851" s="46">
        <v>1</v>
      </c>
      <c r="L851" s="46">
        <f t="shared" si="195"/>
        <v>3</v>
      </c>
      <c r="M851" s="46">
        <f t="shared" si="196"/>
        <v>1</v>
      </c>
      <c r="N851" s="45">
        <f t="shared" si="197"/>
        <v>373581</v>
      </c>
      <c r="O851" s="45">
        <f t="shared" si="198"/>
        <v>124527</v>
      </c>
      <c r="P851" s="46">
        <f t="shared" si="199"/>
        <v>3.3333333333333333E-2</v>
      </c>
      <c r="Q851" s="46">
        <v>0</v>
      </c>
      <c r="R851" s="45">
        <f t="shared" si="200"/>
        <v>0</v>
      </c>
      <c r="S851" s="46">
        <f t="shared" si="201"/>
        <v>0</v>
      </c>
      <c r="T851" s="46">
        <f>IFERROR(VLOOKUP(A851,'[1]Re-order'!$A:$Q,17,0),"")</f>
        <v>5.1030927835051543</v>
      </c>
      <c r="U851" s="46">
        <f>IFERROR(VLOOKUP(A851,'[1]MC Masterlist 2026-09-12'!$B:$M, 10, 0),0)</f>
        <v>15</v>
      </c>
      <c r="V851" s="46">
        <f>IFERROR(VLOOKUP(A851,'[1]MC Masterlist 2026-09-12'!$B:$M, 11, 0),0)</f>
        <v>15</v>
      </c>
      <c r="W851" s="46">
        <f t="shared" si="202"/>
        <v>30</v>
      </c>
      <c r="X851" s="46">
        <f t="shared" si="203"/>
        <v>6.5</v>
      </c>
      <c r="Y851" s="46">
        <f>IFERROR(IF(OR(C851="AREA I",C851="AREA V"),7,VLOOKUP(A851,'[1]MC Masterlist 2026-09-12'!$B:$M, 12, 0)),0)</f>
        <v>7</v>
      </c>
      <c r="Z851" s="46">
        <f t="shared" si="204"/>
        <v>0.5</v>
      </c>
      <c r="AA851" s="46">
        <f t="shared" si="205"/>
        <v>1</v>
      </c>
      <c r="AB851" s="46">
        <f t="shared" si="206"/>
        <v>0.21666666666666667</v>
      </c>
      <c r="AC851" s="46">
        <f t="shared" si="207"/>
        <v>0.23333333333333334</v>
      </c>
      <c r="AD851" s="44" t="str">
        <f t="shared" si="208"/>
        <v>Stockout</v>
      </c>
      <c r="AE851" s="44" t="str">
        <f>IFERROR(VLOOKUP(A851,'[1]Re-order'!$A:$AA,27,0),"")</f>
        <v>Stockout</v>
      </c>
      <c r="AF851" s="46">
        <f t="shared" si="209"/>
        <v>0.23333333333333334</v>
      </c>
      <c r="AG851" s="46">
        <f>SUMIFS('[1]Raw Inventory'!D:D,'[1]Raw Inventory'!C:C,"GREATWALL",'[1]Raw Inventory'!B:B,A851)</f>
        <v>1</v>
      </c>
      <c r="AH851" s="46">
        <f>SUMIFS('[1]Raw Inventory'!D:D,'[1]Raw Inventory'!C:C,"DUARTE",'[1]Raw Inventory'!B:B,A851)</f>
        <v>0</v>
      </c>
      <c r="AI851" s="46"/>
      <c r="AJ851" s="46"/>
      <c r="AK851" s="43"/>
      <c r="AL851" s="43"/>
      <c r="AM851" s="43"/>
      <c r="AN851" s="43"/>
      <c r="AO851" s="43"/>
      <c r="AP851" s="43"/>
      <c r="AQ851" s="43"/>
      <c r="AR851" s="43"/>
      <c r="AS851" s="43"/>
      <c r="AT851" s="43"/>
    </row>
    <row r="852" spans="1:46">
      <c r="A852" s="43" t="s">
        <v>69</v>
      </c>
      <c r="B852" s="43" t="s">
        <v>27</v>
      </c>
      <c r="C852" s="43" t="s">
        <v>1</v>
      </c>
      <c r="D852" s="44" t="s">
        <v>289</v>
      </c>
      <c r="E852" s="44">
        <v>30</v>
      </c>
      <c r="F852" s="44" t="s">
        <v>3</v>
      </c>
      <c r="G852" s="43" t="str">
        <f>IFERROR(VLOOKUP(A852,'[1]MC Masterlist 2026-09-12'!$B:$M, 3, 0),"")</f>
        <v>YAMAHA</v>
      </c>
      <c r="H852" s="45">
        <f>IFERROR(VLOOKUP(A852,'[1]MC Masterlist 2026-09-12'!$B:$M, 6, 0),"")</f>
        <v>54426</v>
      </c>
      <c r="I852" s="46">
        <v>0</v>
      </c>
      <c r="J852" s="46">
        <v>0</v>
      </c>
      <c r="K852" s="46">
        <v>0</v>
      </c>
      <c r="L852" s="46">
        <f t="shared" si="195"/>
        <v>0</v>
      </c>
      <c r="M852" s="46">
        <f t="shared" si="196"/>
        <v>0</v>
      </c>
      <c r="N852" s="45">
        <f t="shared" si="197"/>
        <v>0</v>
      </c>
      <c r="O852" s="45">
        <f t="shared" si="198"/>
        <v>0</v>
      </c>
      <c r="P852" s="46">
        <f t="shared" si="199"/>
        <v>0</v>
      </c>
      <c r="Q852" s="46">
        <v>1</v>
      </c>
      <c r="R852" s="45">
        <f t="shared" si="200"/>
        <v>54426</v>
      </c>
      <c r="S852" s="46">
        <f t="shared" si="201"/>
        <v>0</v>
      </c>
      <c r="T852" s="46">
        <f>IFERROR(VLOOKUP(A852,'[1]Re-order'!$A:$Q,17,0),"")</f>
        <v>62.307692307692314</v>
      </c>
      <c r="U852" s="46">
        <f>IFERROR(VLOOKUP(A852,'[1]MC Masterlist 2026-09-12'!$B:$M, 10, 0),0)</f>
        <v>15</v>
      </c>
      <c r="V852" s="46">
        <f>IFERROR(VLOOKUP(A852,'[1]MC Masterlist 2026-09-12'!$B:$M, 11, 0),0)</f>
        <v>15</v>
      </c>
      <c r="W852" s="46">
        <f t="shared" si="202"/>
        <v>30</v>
      </c>
      <c r="X852" s="46">
        <f t="shared" si="203"/>
        <v>7</v>
      </c>
      <c r="Y852" s="46">
        <f>IFERROR(IF(OR(C852="AREA I",C852="AREA V"),7,VLOOKUP(A852,'[1]MC Masterlist 2026-09-12'!$B:$M, 12, 0)),0)</f>
        <v>7</v>
      </c>
      <c r="Z852" s="46">
        <f t="shared" si="204"/>
        <v>0</v>
      </c>
      <c r="AA852" s="46">
        <f t="shared" si="205"/>
        <v>0</v>
      </c>
      <c r="AB852" s="46">
        <f t="shared" si="206"/>
        <v>0</v>
      </c>
      <c r="AC852" s="46">
        <f t="shared" si="207"/>
        <v>0</v>
      </c>
      <c r="AD852" s="44" t="str">
        <f t="shared" si="208"/>
        <v>Over</v>
      </c>
      <c r="AE852" s="44" t="str">
        <f>IFERROR(VLOOKUP(A852,'[1]Re-order'!$A:$AA,27,0),"")</f>
        <v>Re-order</v>
      </c>
      <c r="AF852" s="46">
        <f t="shared" si="209"/>
        <v>-1</v>
      </c>
      <c r="AG852" s="46">
        <f>SUMIFS('[1]Raw Inventory'!D:D,'[1]Raw Inventory'!C:C,"GREATWALL",'[1]Raw Inventory'!B:B,A852)</f>
        <v>1</v>
      </c>
      <c r="AH852" s="46">
        <f>SUMIFS('[1]Raw Inventory'!D:D,'[1]Raw Inventory'!C:C,"DUARTE",'[1]Raw Inventory'!B:B,A852)</f>
        <v>0</v>
      </c>
      <c r="AI852" s="46"/>
      <c r="AJ852" s="46"/>
      <c r="AK852" s="43"/>
      <c r="AL852" s="43"/>
      <c r="AM852" s="43"/>
      <c r="AN852" s="43"/>
      <c r="AO852" s="43"/>
      <c r="AP852" s="43"/>
      <c r="AQ852" s="43"/>
      <c r="AR852" s="43"/>
      <c r="AS852" s="43"/>
      <c r="AT852" s="43"/>
    </row>
    <row r="853" spans="1:46">
      <c r="A853" s="43" t="s">
        <v>65</v>
      </c>
      <c r="B853" s="43" t="s">
        <v>145</v>
      </c>
      <c r="C853" s="43" t="s">
        <v>137</v>
      </c>
      <c r="D853" s="44" t="s">
        <v>261</v>
      </c>
      <c r="E853" s="44">
        <v>18</v>
      </c>
      <c r="F853" s="44" t="s">
        <v>2</v>
      </c>
      <c r="G853" s="43" t="str">
        <f>IFERROR(VLOOKUP(A853,'[1]MC Masterlist 2026-09-12'!$B:$M, 3, 0),"")</f>
        <v>SUZUKI</v>
      </c>
      <c r="H853" s="45">
        <f>IFERROR(VLOOKUP(A853,'[1]MC Masterlist 2026-09-12'!$B:$M, 6, 0),"")</f>
        <v>77572</v>
      </c>
      <c r="I853" s="46">
        <v>0</v>
      </c>
      <c r="J853" s="46">
        <v>1</v>
      </c>
      <c r="K853" s="46">
        <v>1</v>
      </c>
      <c r="L853" s="46">
        <f t="shared" si="195"/>
        <v>2</v>
      </c>
      <c r="M853" s="46">
        <f t="shared" si="196"/>
        <v>0.66666666666666663</v>
      </c>
      <c r="N853" s="45">
        <f t="shared" si="197"/>
        <v>155144</v>
      </c>
      <c r="O853" s="45">
        <f t="shared" si="198"/>
        <v>51714.666666666664</v>
      </c>
      <c r="P853" s="46">
        <f t="shared" si="199"/>
        <v>2.222222222222222E-2</v>
      </c>
      <c r="Q853" s="46">
        <v>2</v>
      </c>
      <c r="R853" s="45">
        <f t="shared" si="200"/>
        <v>155144</v>
      </c>
      <c r="S853" s="46">
        <f t="shared" si="201"/>
        <v>90</v>
      </c>
      <c r="T853" s="46">
        <f>IFERROR(VLOOKUP(A853,'[1]Re-order'!$A:$Q,17,0),"")</f>
        <v>158.8235294117647</v>
      </c>
      <c r="U853" s="46">
        <f>IFERROR(VLOOKUP(A853,'[1]MC Masterlist 2026-09-12'!$B:$M, 10, 0),0)</f>
        <v>15</v>
      </c>
      <c r="V853" s="46">
        <f>IFERROR(VLOOKUP(A853,'[1]MC Masterlist 2026-09-12'!$B:$M, 11, 0),0)</f>
        <v>15</v>
      </c>
      <c r="W853" s="46">
        <f t="shared" si="202"/>
        <v>30</v>
      </c>
      <c r="X853" s="46">
        <f t="shared" si="203"/>
        <v>6.666666666666667</v>
      </c>
      <c r="Y853" s="46">
        <f>IFERROR(IF(OR(C853="AREA I",C853="AREA V"),7,VLOOKUP(A853,'[1]MC Masterlist 2026-09-12'!$B:$M, 12, 0)),0)</f>
        <v>7</v>
      </c>
      <c r="Z853" s="46">
        <f t="shared" si="204"/>
        <v>0.33333333333333331</v>
      </c>
      <c r="AA853" s="46">
        <f t="shared" si="205"/>
        <v>0.66666666666666663</v>
      </c>
      <c r="AB853" s="46">
        <f t="shared" si="206"/>
        <v>0.14814814814814814</v>
      </c>
      <c r="AC853" s="46">
        <f t="shared" si="207"/>
        <v>0.15555555555555553</v>
      </c>
      <c r="AD853" s="44" t="str">
        <f t="shared" si="208"/>
        <v>Over</v>
      </c>
      <c r="AE853" s="44" t="str">
        <f>IFERROR(VLOOKUP(A853,'[1]Re-order'!$A:$AA,27,0),"")</f>
        <v>Over</v>
      </c>
      <c r="AF853" s="46">
        <f t="shared" si="209"/>
        <v>-1.8444444444444446</v>
      </c>
      <c r="AG853" s="46">
        <f>SUMIFS('[1]Raw Inventory'!D:D,'[1]Raw Inventory'!C:C,"GREATWALL",'[1]Raw Inventory'!B:B,A853)</f>
        <v>4</v>
      </c>
      <c r="AH853" s="46">
        <f>SUMIFS('[1]Raw Inventory'!D:D,'[1]Raw Inventory'!C:C,"DUARTE",'[1]Raw Inventory'!B:B,A853)</f>
        <v>0</v>
      </c>
      <c r="AI853" s="46"/>
      <c r="AJ853" s="46"/>
      <c r="AK853" s="43"/>
      <c r="AL853" s="43"/>
      <c r="AM853" s="43"/>
      <c r="AN853" s="43"/>
      <c r="AO853" s="43"/>
      <c r="AP853" s="43"/>
      <c r="AQ853" s="43"/>
      <c r="AR853" s="43"/>
      <c r="AS853" s="43"/>
      <c r="AT853" s="43"/>
    </row>
    <row r="854" spans="1:46">
      <c r="A854" s="43" t="s">
        <v>12</v>
      </c>
      <c r="B854" s="43" t="s">
        <v>130</v>
      </c>
      <c r="C854" s="43" t="s">
        <v>128</v>
      </c>
      <c r="D854" s="44" t="s">
        <v>264</v>
      </c>
      <c r="E854" s="44">
        <v>7</v>
      </c>
      <c r="F854" s="44" t="s">
        <v>0</v>
      </c>
      <c r="G854" s="43" t="str">
        <f>IFERROR(VLOOKUP(A854,'[1]MC Masterlist 2026-09-12'!$B:$M, 3, 0),"")</f>
        <v>HONDA</v>
      </c>
      <c r="H854" s="45">
        <f>IFERROR(VLOOKUP(A854,'[1]MC Masterlist 2026-09-12'!$B:$M, 6, 0),"")</f>
        <v>158270</v>
      </c>
      <c r="I854" s="46">
        <v>1</v>
      </c>
      <c r="J854" s="46">
        <v>3</v>
      </c>
      <c r="K854" s="46">
        <v>0</v>
      </c>
      <c r="L854" s="46">
        <f t="shared" si="195"/>
        <v>4</v>
      </c>
      <c r="M854" s="46">
        <f t="shared" si="196"/>
        <v>1.3333333333333333</v>
      </c>
      <c r="N854" s="45">
        <f t="shared" si="197"/>
        <v>633080</v>
      </c>
      <c r="O854" s="45">
        <f t="shared" si="198"/>
        <v>211026.66666666666</v>
      </c>
      <c r="P854" s="46">
        <f t="shared" si="199"/>
        <v>4.4444444444444439E-2</v>
      </c>
      <c r="Q854" s="46">
        <v>3</v>
      </c>
      <c r="R854" s="45">
        <f t="shared" si="200"/>
        <v>474810</v>
      </c>
      <c r="S854" s="46">
        <f t="shared" si="201"/>
        <v>67.5</v>
      </c>
      <c r="T854" s="46">
        <f>IFERROR(VLOOKUP(A854,'[1]Re-order'!$A:$Q,17,0),"")</f>
        <v>46.461038961038959</v>
      </c>
      <c r="U854" s="46">
        <f>IFERROR(VLOOKUP(A854,'[1]MC Masterlist 2026-09-12'!$B:$M, 10, 0),0)</f>
        <v>15</v>
      </c>
      <c r="V854" s="46">
        <f>IFERROR(VLOOKUP(A854,'[1]MC Masterlist 2026-09-12'!$B:$M, 11, 0),0)</f>
        <v>15</v>
      </c>
      <c r="W854" s="46">
        <f t="shared" si="202"/>
        <v>30</v>
      </c>
      <c r="X854" s="46">
        <f t="shared" si="203"/>
        <v>29.333333333333332</v>
      </c>
      <c r="Y854" s="46">
        <f>IFERROR(IF(OR(C854="AREA I",C854="AREA V"),7,VLOOKUP(A854,'[1]MC Masterlist 2026-09-12'!$B:$M, 12, 0)),0)</f>
        <v>30</v>
      </c>
      <c r="Z854" s="46">
        <f t="shared" si="204"/>
        <v>0.66666666666666663</v>
      </c>
      <c r="AA854" s="46">
        <f t="shared" si="205"/>
        <v>1.3333333333333333</v>
      </c>
      <c r="AB854" s="46">
        <f t="shared" si="206"/>
        <v>1.3037037037037036</v>
      </c>
      <c r="AC854" s="46">
        <f t="shared" si="207"/>
        <v>1.3333333333333333</v>
      </c>
      <c r="AD854" s="44" t="str">
        <f t="shared" si="208"/>
        <v>Over</v>
      </c>
      <c r="AE854" s="44" t="str">
        <f>IFERROR(VLOOKUP(A854,'[1]Re-order'!$A:$AA,27,0),"")</f>
        <v>Re-order</v>
      </c>
      <c r="AF854" s="46">
        <f t="shared" si="209"/>
        <v>-1.6666666666666667</v>
      </c>
      <c r="AG854" s="46">
        <f>SUMIFS('[1]Raw Inventory'!D:D,'[1]Raw Inventory'!C:C,"GREATWALL",'[1]Raw Inventory'!B:B,A854)</f>
        <v>35</v>
      </c>
      <c r="AH854" s="46">
        <f>SUMIFS('[1]Raw Inventory'!D:D,'[1]Raw Inventory'!C:C,"DUARTE",'[1]Raw Inventory'!B:B,A854)</f>
        <v>0</v>
      </c>
      <c r="AI854" s="46"/>
      <c r="AJ854" s="46"/>
      <c r="AK854" s="43"/>
      <c r="AL854" s="43"/>
      <c r="AM854" s="43"/>
      <c r="AN854" s="43"/>
      <c r="AO854" s="43"/>
      <c r="AP854" s="43"/>
      <c r="AQ854" s="43"/>
      <c r="AR854" s="43"/>
      <c r="AS854" s="43"/>
      <c r="AT854" s="43"/>
    </row>
    <row r="855" spans="1:46">
      <c r="A855" s="43" t="s">
        <v>72</v>
      </c>
      <c r="B855" s="43" t="s">
        <v>123</v>
      </c>
      <c r="C855" s="43" t="s">
        <v>118</v>
      </c>
      <c r="D855" s="44" t="s">
        <v>272</v>
      </c>
      <c r="E855" s="44">
        <v>25</v>
      </c>
      <c r="F855" s="44" t="s">
        <v>3</v>
      </c>
      <c r="G855" s="43" t="str">
        <f>IFERROR(VLOOKUP(A855,'[1]MC Masterlist 2026-09-12'!$B:$M, 3, 0),"")</f>
        <v>KAWASAKI</v>
      </c>
      <c r="H855" s="45">
        <f>IFERROR(VLOOKUP(A855,'[1]MC Masterlist 2026-09-12'!$B:$M, 6, 0),"")</f>
        <v>52948</v>
      </c>
      <c r="I855" s="46">
        <v>0</v>
      </c>
      <c r="J855" s="46">
        <v>0</v>
      </c>
      <c r="K855" s="46">
        <v>0</v>
      </c>
      <c r="L855" s="46">
        <f t="shared" si="195"/>
        <v>0</v>
      </c>
      <c r="M855" s="46">
        <f t="shared" si="196"/>
        <v>0</v>
      </c>
      <c r="N855" s="45">
        <f t="shared" si="197"/>
        <v>0</v>
      </c>
      <c r="O855" s="45">
        <f t="shared" si="198"/>
        <v>0</v>
      </c>
      <c r="P855" s="46">
        <f t="shared" si="199"/>
        <v>0</v>
      </c>
      <c r="Q855" s="46">
        <v>1</v>
      </c>
      <c r="R855" s="45">
        <f t="shared" si="200"/>
        <v>52948</v>
      </c>
      <c r="S855" s="46">
        <f t="shared" si="201"/>
        <v>0</v>
      </c>
      <c r="T855" s="46">
        <f>IFERROR(VLOOKUP(A855,'[1]Re-order'!$A:$Q,17,0),"")</f>
        <v>378</v>
      </c>
      <c r="U855" s="46">
        <f>IFERROR(VLOOKUP(A855,'[1]MC Masterlist 2026-09-12'!$B:$M, 10, 0),0)</f>
        <v>15</v>
      </c>
      <c r="V855" s="46">
        <f>IFERROR(VLOOKUP(A855,'[1]MC Masterlist 2026-09-12'!$B:$M, 11, 0),0)</f>
        <v>15</v>
      </c>
      <c r="W855" s="46">
        <f t="shared" si="202"/>
        <v>30</v>
      </c>
      <c r="X855" s="46">
        <f t="shared" si="203"/>
        <v>30</v>
      </c>
      <c r="Y855" s="46">
        <f>IFERROR(IF(OR(C855="AREA I",C855="AREA V"),7,VLOOKUP(A855,'[1]MC Masterlist 2026-09-12'!$B:$M, 12, 0)),0)</f>
        <v>30</v>
      </c>
      <c r="Z855" s="46">
        <f t="shared" si="204"/>
        <v>0</v>
      </c>
      <c r="AA855" s="46">
        <f t="shared" si="205"/>
        <v>0</v>
      </c>
      <c r="AB855" s="46">
        <f t="shared" si="206"/>
        <v>0</v>
      </c>
      <c r="AC855" s="46">
        <f t="shared" si="207"/>
        <v>0</v>
      </c>
      <c r="AD855" s="44" t="str">
        <f t="shared" si="208"/>
        <v>Over</v>
      </c>
      <c r="AE855" s="44" t="str">
        <f>IFERROR(VLOOKUP(A855,'[1]Re-order'!$A:$AA,27,0),"")</f>
        <v>Over</v>
      </c>
      <c r="AF855" s="46">
        <f t="shared" si="209"/>
        <v>-1</v>
      </c>
      <c r="AG855" s="46">
        <f>SUMIFS('[1]Raw Inventory'!D:D,'[1]Raw Inventory'!C:C,"GREATWALL",'[1]Raw Inventory'!B:B,A855)</f>
        <v>15</v>
      </c>
      <c r="AH855" s="46">
        <f>SUMIFS('[1]Raw Inventory'!D:D,'[1]Raw Inventory'!C:C,"DUARTE",'[1]Raw Inventory'!B:B,A855)</f>
        <v>0</v>
      </c>
      <c r="AI855" s="46"/>
      <c r="AJ855" s="46"/>
      <c r="AK855" s="43"/>
      <c r="AL855" s="43"/>
      <c r="AM855" s="43"/>
      <c r="AN855" s="43"/>
      <c r="AO855" s="43"/>
      <c r="AP855" s="43"/>
      <c r="AQ855" s="43"/>
      <c r="AR855" s="43"/>
      <c r="AS855" s="43"/>
      <c r="AT855" s="43"/>
    </row>
    <row r="856" spans="1:46">
      <c r="A856" s="43" t="s">
        <v>40</v>
      </c>
      <c r="B856" s="43" t="s">
        <v>123</v>
      </c>
      <c r="C856" s="43" t="s">
        <v>118</v>
      </c>
      <c r="D856" s="44" t="s">
        <v>237</v>
      </c>
      <c r="E856" s="44">
        <v>25</v>
      </c>
      <c r="F856" s="44" t="s">
        <v>3</v>
      </c>
      <c r="G856" s="43" t="str">
        <f>IFERROR(VLOOKUP(A856,'[1]MC Masterlist 2026-09-12'!$B:$M, 3, 0),"")</f>
        <v>HONDA</v>
      </c>
      <c r="H856" s="45">
        <f>IFERROR(VLOOKUP(A856,'[1]MC Masterlist 2026-09-12'!$B:$M, 6, 0),"")</f>
        <v>56426</v>
      </c>
      <c r="I856" s="46">
        <v>0</v>
      </c>
      <c r="J856" s="46">
        <v>0</v>
      </c>
      <c r="K856" s="46">
        <v>0</v>
      </c>
      <c r="L856" s="46">
        <f t="shared" si="195"/>
        <v>0</v>
      </c>
      <c r="M856" s="46">
        <f t="shared" si="196"/>
        <v>0</v>
      </c>
      <c r="N856" s="45">
        <f t="shared" si="197"/>
        <v>0</v>
      </c>
      <c r="O856" s="45">
        <f t="shared" si="198"/>
        <v>0</v>
      </c>
      <c r="P856" s="46">
        <f t="shared" si="199"/>
        <v>0</v>
      </c>
      <c r="Q856" s="46">
        <v>1</v>
      </c>
      <c r="R856" s="45">
        <f t="shared" si="200"/>
        <v>56426</v>
      </c>
      <c r="S856" s="46">
        <f t="shared" si="201"/>
        <v>0</v>
      </c>
      <c r="T856" s="46">
        <f>IFERROR(VLOOKUP(A856,'[1]Re-order'!$A:$Q,17,0),"")</f>
        <v>139.56521739130434</v>
      </c>
      <c r="U856" s="46">
        <f>IFERROR(VLOOKUP(A856,'[1]MC Masterlist 2026-09-12'!$B:$M, 10, 0),0)</f>
        <v>15</v>
      </c>
      <c r="V856" s="46">
        <f>IFERROR(VLOOKUP(A856,'[1]MC Masterlist 2026-09-12'!$B:$M, 11, 0),0)</f>
        <v>15</v>
      </c>
      <c r="W856" s="46">
        <f t="shared" si="202"/>
        <v>30</v>
      </c>
      <c r="X856" s="46">
        <f t="shared" si="203"/>
        <v>30</v>
      </c>
      <c r="Y856" s="46">
        <f>IFERROR(IF(OR(C856="AREA I",C856="AREA V"),7,VLOOKUP(A856,'[1]MC Masterlist 2026-09-12'!$B:$M, 12, 0)),0)</f>
        <v>30</v>
      </c>
      <c r="Z856" s="46">
        <f t="shared" si="204"/>
        <v>0</v>
      </c>
      <c r="AA856" s="46">
        <f t="shared" si="205"/>
        <v>0</v>
      </c>
      <c r="AB856" s="46">
        <f t="shared" si="206"/>
        <v>0</v>
      </c>
      <c r="AC856" s="46">
        <f t="shared" si="207"/>
        <v>0</v>
      </c>
      <c r="AD856" s="44" t="str">
        <f t="shared" si="208"/>
        <v>Over</v>
      </c>
      <c r="AE856" s="44" t="str">
        <f>IFERROR(VLOOKUP(A856,'[1]Re-order'!$A:$AA,27,0),"")</f>
        <v>Over</v>
      </c>
      <c r="AF856" s="46">
        <f t="shared" si="209"/>
        <v>-1</v>
      </c>
      <c r="AG856" s="46">
        <f>SUMIFS('[1]Raw Inventory'!D:D,'[1]Raw Inventory'!C:C,"GREATWALL",'[1]Raw Inventory'!B:B,A856)</f>
        <v>45</v>
      </c>
      <c r="AH856" s="46">
        <f>SUMIFS('[1]Raw Inventory'!D:D,'[1]Raw Inventory'!C:C,"DUARTE",'[1]Raw Inventory'!B:B,A856)</f>
        <v>0</v>
      </c>
      <c r="AI856" s="46"/>
      <c r="AJ856" s="46"/>
      <c r="AK856" s="43"/>
      <c r="AL856" s="43"/>
      <c r="AM856" s="43"/>
      <c r="AN856" s="43"/>
      <c r="AO856" s="43"/>
      <c r="AP856" s="43"/>
      <c r="AQ856" s="43"/>
      <c r="AR856" s="43"/>
      <c r="AS856" s="43"/>
      <c r="AT856" s="43"/>
    </row>
    <row r="857" spans="1:46">
      <c r="A857" s="43" t="s">
        <v>18</v>
      </c>
      <c r="B857" s="43" t="s">
        <v>122</v>
      </c>
      <c r="C857" s="43" t="s">
        <v>118</v>
      </c>
      <c r="D857" s="44" t="s">
        <v>261</v>
      </c>
      <c r="E857" s="44">
        <v>19</v>
      </c>
      <c r="F857" s="44" t="s">
        <v>2</v>
      </c>
      <c r="G857" s="43" t="str">
        <f>IFERROR(VLOOKUP(A857,'[1]MC Masterlist 2026-09-12'!$B:$M, 3, 0),"")</f>
        <v>HONDA</v>
      </c>
      <c r="H857" s="45">
        <f>IFERROR(VLOOKUP(A857,'[1]MC Masterlist 2026-09-12'!$B:$M, 6, 0),"")</f>
        <v>94330</v>
      </c>
      <c r="I857" s="46">
        <v>0</v>
      </c>
      <c r="J857" s="46">
        <v>2</v>
      </c>
      <c r="K857" s="46">
        <v>0</v>
      </c>
      <c r="L857" s="46">
        <f t="shared" si="195"/>
        <v>2</v>
      </c>
      <c r="M857" s="46">
        <f t="shared" si="196"/>
        <v>0.66666666666666663</v>
      </c>
      <c r="N857" s="45">
        <f t="shared" si="197"/>
        <v>188660</v>
      </c>
      <c r="O857" s="45">
        <f t="shared" si="198"/>
        <v>62886.666666666664</v>
      </c>
      <c r="P857" s="46">
        <f t="shared" si="199"/>
        <v>2.222222222222222E-2</v>
      </c>
      <c r="Q857" s="46">
        <v>6</v>
      </c>
      <c r="R857" s="45">
        <f t="shared" si="200"/>
        <v>565980</v>
      </c>
      <c r="S857" s="46">
        <f t="shared" si="201"/>
        <v>270</v>
      </c>
      <c r="T857" s="46">
        <f>IFERROR(VLOOKUP(A857,'[1]Re-order'!$A:$Q,17,0),"")</f>
        <v>113.9644970414201</v>
      </c>
      <c r="U857" s="46">
        <f>IFERROR(VLOOKUP(A857,'[1]MC Masterlist 2026-09-12'!$B:$M, 10, 0),0)</f>
        <v>15</v>
      </c>
      <c r="V857" s="46">
        <f>IFERROR(VLOOKUP(A857,'[1]MC Masterlist 2026-09-12'!$B:$M, 11, 0),0)</f>
        <v>15</v>
      </c>
      <c r="W857" s="46">
        <f t="shared" si="202"/>
        <v>30</v>
      </c>
      <c r="X857" s="46">
        <f t="shared" si="203"/>
        <v>29.666666666666668</v>
      </c>
      <c r="Y857" s="46">
        <f>IFERROR(IF(OR(C857="AREA I",C857="AREA V"),7,VLOOKUP(A857,'[1]MC Masterlist 2026-09-12'!$B:$M, 12, 0)),0)</f>
        <v>30</v>
      </c>
      <c r="Z857" s="46">
        <f t="shared" si="204"/>
        <v>0.33333333333333331</v>
      </c>
      <c r="AA857" s="46">
        <f t="shared" si="205"/>
        <v>0.66666666666666663</v>
      </c>
      <c r="AB857" s="46">
        <f t="shared" si="206"/>
        <v>0.65925925925925921</v>
      </c>
      <c r="AC857" s="46">
        <f t="shared" si="207"/>
        <v>0.66666666666666663</v>
      </c>
      <c r="AD857" s="44" t="str">
        <f t="shared" si="208"/>
        <v>Over</v>
      </c>
      <c r="AE857" s="44" t="str">
        <f>IFERROR(VLOOKUP(A857,'[1]Re-order'!$A:$AA,27,0),"")</f>
        <v>Over</v>
      </c>
      <c r="AF857" s="46">
        <f t="shared" si="209"/>
        <v>-5.333333333333333</v>
      </c>
      <c r="AG857" s="46">
        <f>SUMIFS('[1]Raw Inventory'!D:D,'[1]Raw Inventory'!C:C,"GREATWALL",'[1]Raw Inventory'!B:B,A857)</f>
        <v>88</v>
      </c>
      <c r="AH857" s="46">
        <f>SUMIFS('[1]Raw Inventory'!D:D,'[1]Raw Inventory'!C:C,"DUARTE",'[1]Raw Inventory'!B:B,A857)</f>
        <v>0</v>
      </c>
      <c r="AI857" s="46"/>
      <c r="AJ857" s="46"/>
      <c r="AK857" s="43"/>
      <c r="AL857" s="43"/>
      <c r="AM857" s="43"/>
      <c r="AN857" s="43"/>
      <c r="AO857" s="43"/>
      <c r="AP857" s="43"/>
      <c r="AQ857" s="43"/>
      <c r="AR857" s="43"/>
      <c r="AS857" s="43"/>
      <c r="AT857" s="43"/>
    </row>
    <row r="858" spans="1:46">
      <c r="A858" s="43" t="s">
        <v>70</v>
      </c>
      <c r="B858" s="43" t="s">
        <v>162</v>
      </c>
      <c r="C858" s="43" t="s">
        <v>159</v>
      </c>
      <c r="D858" s="44" t="s">
        <v>289</v>
      </c>
      <c r="E858" s="44">
        <v>26</v>
      </c>
      <c r="F858" s="44" t="s">
        <v>3</v>
      </c>
      <c r="G858" s="43" t="str">
        <f>IFERROR(VLOOKUP(A858,'[1]MC Masterlist 2026-09-12'!$B:$M, 3, 0),"")</f>
        <v>KAWASAKI</v>
      </c>
      <c r="H858" s="45">
        <f>IFERROR(VLOOKUP(A858,'[1]MC Masterlist 2026-09-12'!$B:$M, 6, 0),"")</f>
        <v>91770</v>
      </c>
      <c r="I858" s="46">
        <v>0</v>
      </c>
      <c r="J858" s="46">
        <v>0</v>
      </c>
      <c r="K858" s="46">
        <v>0</v>
      </c>
      <c r="L858" s="46">
        <f t="shared" si="195"/>
        <v>0</v>
      </c>
      <c r="M858" s="46">
        <f t="shared" si="196"/>
        <v>0</v>
      </c>
      <c r="N858" s="45">
        <f t="shared" si="197"/>
        <v>0</v>
      </c>
      <c r="O858" s="45">
        <f t="shared" si="198"/>
        <v>0</v>
      </c>
      <c r="P858" s="46">
        <f t="shared" si="199"/>
        <v>0</v>
      </c>
      <c r="Q858" s="46">
        <v>5</v>
      </c>
      <c r="R858" s="45">
        <f t="shared" si="200"/>
        <v>458850</v>
      </c>
      <c r="S858" s="46">
        <f t="shared" si="201"/>
        <v>0</v>
      </c>
      <c r="T858" s="46">
        <f>IFERROR(VLOOKUP(A858,'[1]Re-order'!$A:$Q,17,0),"")</f>
        <v>255</v>
      </c>
      <c r="U858" s="46">
        <f>IFERROR(VLOOKUP(A858,'[1]MC Masterlist 2026-09-12'!$B:$M, 10, 0),0)</f>
        <v>15</v>
      </c>
      <c r="V858" s="46">
        <f>IFERROR(VLOOKUP(A858,'[1]MC Masterlist 2026-09-12'!$B:$M, 11, 0),0)</f>
        <v>15</v>
      </c>
      <c r="W858" s="46">
        <f t="shared" si="202"/>
        <v>30</v>
      </c>
      <c r="X858" s="46">
        <f t="shared" si="203"/>
        <v>30</v>
      </c>
      <c r="Y858" s="46">
        <f>IFERROR(IF(OR(C858="AREA I",C858="AREA V"),7,VLOOKUP(A858,'[1]MC Masterlist 2026-09-12'!$B:$M, 12, 0)),0)</f>
        <v>30</v>
      </c>
      <c r="Z858" s="46">
        <f t="shared" si="204"/>
        <v>0</v>
      </c>
      <c r="AA858" s="46">
        <f t="shared" si="205"/>
        <v>0</v>
      </c>
      <c r="AB858" s="46">
        <f t="shared" si="206"/>
        <v>0</v>
      </c>
      <c r="AC858" s="46">
        <f t="shared" si="207"/>
        <v>0</v>
      </c>
      <c r="AD858" s="44" t="str">
        <f t="shared" si="208"/>
        <v>Over</v>
      </c>
      <c r="AE858" s="44" t="str">
        <f>IFERROR(VLOOKUP(A858,'[1]Re-order'!$A:$AA,27,0),"")</f>
        <v>Over</v>
      </c>
      <c r="AF858" s="46">
        <f t="shared" si="209"/>
        <v>-5</v>
      </c>
      <c r="AG858" s="46">
        <f>SUMIFS('[1]Raw Inventory'!D:D,'[1]Raw Inventory'!C:C,"GREATWALL",'[1]Raw Inventory'!B:B,A858)</f>
        <v>4</v>
      </c>
      <c r="AH858" s="46">
        <f>SUMIFS('[1]Raw Inventory'!D:D,'[1]Raw Inventory'!C:C,"DUARTE",'[1]Raw Inventory'!B:B,A858)</f>
        <v>0</v>
      </c>
      <c r="AI858" s="46"/>
      <c r="AJ858" s="46"/>
      <c r="AK858" s="43"/>
      <c r="AL858" s="43"/>
      <c r="AM858" s="43"/>
      <c r="AN858" s="43"/>
      <c r="AO858" s="43"/>
      <c r="AP858" s="43"/>
      <c r="AQ858" s="43"/>
      <c r="AR858" s="43"/>
      <c r="AS858" s="43"/>
      <c r="AT858" s="43"/>
    </row>
    <row r="859" spans="1:46">
      <c r="A859" s="43" t="s">
        <v>23</v>
      </c>
      <c r="B859" s="43" t="s">
        <v>119</v>
      </c>
      <c r="C859" s="43" t="s">
        <v>118</v>
      </c>
      <c r="D859" s="44" t="s">
        <v>251</v>
      </c>
      <c r="E859" s="44">
        <v>8</v>
      </c>
      <c r="F859" s="44" t="s">
        <v>0</v>
      </c>
      <c r="G859" s="43" t="str">
        <f>IFERROR(VLOOKUP(A859,'[1]MC Masterlist 2026-09-12'!$B:$M, 3, 0),"")</f>
        <v>KAWASAKI</v>
      </c>
      <c r="H859" s="45">
        <f>IFERROR(VLOOKUP(A859,'[1]MC Masterlist 2026-09-12'!$B:$M, 6, 0),"")</f>
        <v>60656</v>
      </c>
      <c r="I859" s="46">
        <v>8</v>
      </c>
      <c r="J859" s="46">
        <v>0</v>
      </c>
      <c r="K859" s="46">
        <v>5</v>
      </c>
      <c r="L859" s="46">
        <f t="shared" si="195"/>
        <v>13</v>
      </c>
      <c r="M859" s="46">
        <f t="shared" si="196"/>
        <v>4.333333333333333</v>
      </c>
      <c r="N859" s="45">
        <f t="shared" si="197"/>
        <v>788528</v>
      </c>
      <c r="O859" s="45">
        <f t="shared" si="198"/>
        <v>262842.66666666663</v>
      </c>
      <c r="P859" s="46">
        <f t="shared" si="199"/>
        <v>0.14444444444444443</v>
      </c>
      <c r="Q859" s="46">
        <v>10</v>
      </c>
      <c r="R859" s="45">
        <f t="shared" si="200"/>
        <v>606560</v>
      </c>
      <c r="S859" s="46">
        <f t="shared" si="201"/>
        <v>69.230769230769241</v>
      </c>
      <c r="T859" s="46">
        <f>IFERROR(VLOOKUP(A859,'[1]Re-order'!$A:$Q,17,0),"")</f>
        <v>53.973412112259979</v>
      </c>
      <c r="U859" s="46">
        <f>IFERROR(VLOOKUP(A859,'[1]MC Masterlist 2026-09-12'!$B:$M, 10, 0),0)</f>
        <v>15</v>
      </c>
      <c r="V859" s="46">
        <f>IFERROR(VLOOKUP(A859,'[1]MC Masterlist 2026-09-12'!$B:$M, 11, 0),0)</f>
        <v>15</v>
      </c>
      <c r="W859" s="46">
        <f t="shared" si="202"/>
        <v>30</v>
      </c>
      <c r="X859" s="46">
        <f t="shared" si="203"/>
        <v>27.833333333333332</v>
      </c>
      <c r="Y859" s="46">
        <f>IFERROR(IF(OR(C859="AREA I",C859="AREA V"),7,VLOOKUP(A859,'[1]MC Masterlist 2026-09-12'!$B:$M, 12, 0)),0)</f>
        <v>30</v>
      </c>
      <c r="Z859" s="46">
        <f t="shared" si="204"/>
        <v>2.1666666666666665</v>
      </c>
      <c r="AA859" s="46">
        <f t="shared" si="205"/>
        <v>4.333333333333333</v>
      </c>
      <c r="AB859" s="46">
        <f t="shared" si="206"/>
        <v>4.0203703703703697</v>
      </c>
      <c r="AC859" s="46">
        <f t="shared" si="207"/>
        <v>4.333333333333333</v>
      </c>
      <c r="AD859" s="44" t="str">
        <f t="shared" si="208"/>
        <v>Over</v>
      </c>
      <c r="AE859" s="44" t="str">
        <f>IFERROR(VLOOKUP(A859,'[1]Re-order'!$A:$AA,27,0),"")</f>
        <v>Re-order</v>
      </c>
      <c r="AF859" s="46">
        <f t="shared" si="209"/>
        <v>-5.666666666666667</v>
      </c>
      <c r="AG859" s="46">
        <f>SUMIFS('[1]Raw Inventory'!D:D,'[1]Raw Inventory'!C:C,"GREATWALL",'[1]Raw Inventory'!B:B,A859)</f>
        <v>282</v>
      </c>
      <c r="AH859" s="46">
        <f>SUMIFS('[1]Raw Inventory'!D:D,'[1]Raw Inventory'!C:C,"DUARTE",'[1]Raw Inventory'!B:B,A859)</f>
        <v>0</v>
      </c>
      <c r="AI859" s="46"/>
      <c r="AJ859" s="46"/>
      <c r="AK859" s="43"/>
      <c r="AL859" s="43"/>
      <c r="AM859" s="43"/>
      <c r="AN859" s="43"/>
      <c r="AO859" s="43"/>
      <c r="AP859" s="43"/>
      <c r="AQ859" s="43"/>
      <c r="AR859" s="43"/>
      <c r="AS859" s="43"/>
      <c r="AT859" s="43"/>
    </row>
    <row r="860" spans="1:46">
      <c r="A860" s="43" t="s">
        <v>58</v>
      </c>
      <c r="B860" s="43" t="s">
        <v>144</v>
      </c>
      <c r="C860" s="43" t="s">
        <v>137</v>
      </c>
      <c r="D860" s="44" t="s">
        <v>232</v>
      </c>
      <c r="E860" s="44">
        <v>33</v>
      </c>
      <c r="F860" s="44" t="s">
        <v>3</v>
      </c>
      <c r="G860" s="43" t="str">
        <f>IFERROR(VLOOKUP(A860,'[1]MC Masterlist 2026-09-12'!$B:$M, 3, 0),"")</f>
        <v>HONDA</v>
      </c>
      <c r="H860" s="45">
        <f>IFERROR(VLOOKUP(A860,'[1]MC Masterlist 2026-09-12'!$B:$M, 6, 0),"")</f>
        <v>142758</v>
      </c>
      <c r="I860" s="46">
        <v>0</v>
      </c>
      <c r="J860" s="46">
        <v>0</v>
      </c>
      <c r="K860" s="46">
        <v>0</v>
      </c>
      <c r="L860" s="46">
        <f t="shared" si="195"/>
        <v>0</v>
      </c>
      <c r="M860" s="46">
        <f t="shared" si="196"/>
        <v>0</v>
      </c>
      <c r="N860" s="45">
        <f t="shared" si="197"/>
        <v>0</v>
      </c>
      <c r="O860" s="45">
        <f t="shared" si="198"/>
        <v>0</v>
      </c>
      <c r="P860" s="46">
        <f t="shared" si="199"/>
        <v>0</v>
      </c>
      <c r="Q860" s="46">
        <v>1</v>
      </c>
      <c r="R860" s="45">
        <f t="shared" si="200"/>
        <v>142758</v>
      </c>
      <c r="S860" s="46">
        <f t="shared" si="201"/>
        <v>0</v>
      </c>
      <c r="T860" s="46">
        <f>IFERROR(VLOOKUP(A860,'[1]Re-order'!$A:$Q,17,0),"")</f>
        <v>135</v>
      </c>
      <c r="U860" s="46">
        <f>IFERROR(VLOOKUP(A860,'[1]MC Masterlist 2026-09-12'!$B:$M, 10, 0),0)</f>
        <v>15</v>
      </c>
      <c r="V860" s="46">
        <f>IFERROR(VLOOKUP(A860,'[1]MC Masterlist 2026-09-12'!$B:$M, 11, 0),0)</f>
        <v>15</v>
      </c>
      <c r="W860" s="46">
        <f t="shared" si="202"/>
        <v>30</v>
      </c>
      <c r="X860" s="46">
        <f t="shared" si="203"/>
        <v>7</v>
      </c>
      <c r="Y860" s="46">
        <f>IFERROR(IF(OR(C860="AREA I",C860="AREA V"),7,VLOOKUP(A860,'[1]MC Masterlist 2026-09-12'!$B:$M, 12, 0)),0)</f>
        <v>7</v>
      </c>
      <c r="Z860" s="46">
        <f t="shared" si="204"/>
        <v>0</v>
      </c>
      <c r="AA860" s="46">
        <f t="shared" si="205"/>
        <v>0</v>
      </c>
      <c r="AB860" s="46">
        <f t="shared" si="206"/>
        <v>0</v>
      </c>
      <c r="AC860" s="46">
        <f t="shared" si="207"/>
        <v>0</v>
      </c>
      <c r="AD860" s="44" t="str">
        <f t="shared" si="208"/>
        <v>Over</v>
      </c>
      <c r="AE860" s="44" t="str">
        <f>IFERROR(VLOOKUP(A860,'[1]Re-order'!$A:$AA,27,0),"")</f>
        <v>Over</v>
      </c>
      <c r="AF860" s="46">
        <f t="shared" si="209"/>
        <v>-1</v>
      </c>
      <c r="AG860" s="46">
        <f>SUMIFS('[1]Raw Inventory'!D:D,'[1]Raw Inventory'!C:C,"GREATWALL",'[1]Raw Inventory'!B:B,A860)</f>
        <v>0</v>
      </c>
      <c r="AH860" s="46">
        <f>SUMIFS('[1]Raw Inventory'!D:D,'[1]Raw Inventory'!C:C,"DUARTE",'[1]Raw Inventory'!B:B,A860)</f>
        <v>0</v>
      </c>
      <c r="AI860" s="46"/>
      <c r="AJ860" s="46"/>
      <c r="AK860" s="43"/>
      <c r="AL860" s="43"/>
      <c r="AM860" s="43"/>
      <c r="AN860" s="43"/>
      <c r="AO860" s="43"/>
      <c r="AP860" s="43"/>
      <c r="AQ860" s="43"/>
      <c r="AR860" s="43"/>
      <c r="AS860" s="43"/>
      <c r="AT860" s="43"/>
    </row>
    <row r="861" spans="1:46">
      <c r="A861" s="43" t="s">
        <v>12</v>
      </c>
      <c r="B861" s="43" t="s">
        <v>27</v>
      </c>
      <c r="C861" s="43" t="s">
        <v>1</v>
      </c>
      <c r="D861" s="44" t="s">
        <v>234</v>
      </c>
      <c r="E861" s="44">
        <v>4</v>
      </c>
      <c r="F861" s="44" t="s">
        <v>0</v>
      </c>
      <c r="G861" s="43" t="str">
        <f>IFERROR(VLOOKUP(A861,'[1]MC Masterlist 2026-09-12'!$B:$M, 3, 0),"")</f>
        <v>HONDA</v>
      </c>
      <c r="H861" s="45">
        <f>IFERROR(VLOOKUP(A861,'[1]MC Masterlist 2026-09-12'!$B:$M, 6, 0),"")</f>
        <v>158270</v>
      </c>
      <c r="I861" s="46">
        <v>4</v>
      </c>
      <c r="J861" s="46">
        <v>2</v>
      </c>
      <c r="K861" s="46">
        <v>4</v>
      </c>
      <c r="L861" s="46">
        <f t="shared" si="195"/>
        <v>10</v>
      </c>
      <c r="M861" s="46">
        <f t="shared" si="196"/>
        <v>3.3333333333333335</v>
      </c>
      <c r="N861" s="45">
        <f t="shared" si="197"/>
        <v>1582700</v>
      </c>
      <c r="O861" s="45">
        <f t="shared" si="198"/>
        <v>527566.66666666674</v>
      </c>
      <c r="P861" s="46">
        <f t="shared" si="199"/>
        <v>0.11111111111111112</v>
      </c>
      <c r="Q861" s="46">
        <v>2</v>
      </c>
      <c r="R861" s="45">
        <f t="shared" si="200"/>
        <v>316540</v>
      </c>
      <c r="S861" s="46">
        <f t="shared" si="201"/>
        <v>17.999999999999996</v>
      </c>
      <c r="T861" s="46">
        <f>IFERROR(VLOOKUP(A861,'[1]Re-order'!$A:$Q,17,0),"")</f>
        <v>46.461038961038959</v>
      </c>
      <c r="U861" s="46">
        <f>IFERROR(VLOOKUP(A861,'[1]MC Masterlist 2026-09-12'!$B:$M, 10, 0),0)</f>
        <v>15</v>
      </c>
      <c r="V861" s="46">
        <f>IFERROR(VLOOKUP(A861,'[1]MC Masterlist 2026-09-12'!$B:$M, 11, 0),0)</f>
        <v>15</v>
      </c>
      <c r="W861" s="46">
        <f t="shared" si="202"/>
        <v>30</v>
      </c>
      <c r="X861" s="46">
        <f t="shared" si="203"/>
        <v>5.333333333333333</v>
      </c>
      <c r="Y861" s="46">
        <f>IFERROR(IF(OR(C861="AREA I",C861="AREA V"),7,VLOOKUP(A861,'[1]MC Masterlist 2026-09-12'!$B:$M, 12, 0)),0)</f>
        <v>7</v>
      </c>
      <c r="Z861" s="46">
        <f t="shared" si="204"/>
        <v>1.6666666666666667</v>
      </c>
      <c r="AA861" s="46">
        <f t="shared" si="205"/>
        <v>3.3333333333333335</v>
      </c>
      <c r="AB861" s="46">
        <f t="shared" si="206"/>
        <v>0.59259259259259256</v>
      </c>
      <c r="AC861" s="46">
        <f t="shared" si="207"/>
        <v>0.77777777777777779</v>
      </c>
      <c r="AD861" s="44" t="str">
        <f t="shared" si="208"/>
        <v>Over</v>
      </c>
      <c r="AE861" s="44" t="str">
        <f>IFERROR(VLOOKUP(A861,'[1]Re-order'!$A:$AA,27,0),"")</f>
        <v>Re-order</v>
      </c>
      <c r="AF861" s="46">
        <f t="shared" si="209"/>
        <v>-1.2222222222222223</v>
      </c>
      <c r="AG861" s="46">
        <f>SUMIFS('[1]Raw Inventory'!D:D,'[1]Raw Inventory'!C:C,"GREATWALL",'[1]Raw Inventory'!B:B,A861)</f>
        <v>35</v>
      </c>
      <c r="AH861" s="46">
        <f>SUMIFS('[1]Raw Inventory'!D:D,'[1]Raw Inventory'!C:C,"DUARTE",'[1]Raw Inventory'!B:B,A861)</f>
        <v>0</v>
      </c>
      <c r="AI861" s="46"/>
      <c r="AJ861" s="46"/>
      <c r="AK861" s="43"/>
      <c r="AL861" s="43"/>
      <c r="AM861" s="43"/>
      <c r="AN861" s="43"/>
      <c r="AO861" s="43"/>
      <c r="AP861" s="43"/>
      <c r="AQ861" s="43"/>
      <c r="AR861" s="43"/>
      <c r="AS861" s="43"/>
      <c r="AT861" s="43"/>
    </row>
    <row r="862" spans="1:46">
      <c r="A862" s="43" t="s">
        <v>24</v>
      </c>
      <c r="B862" s="43" t="s">
        <v>141</v>
      </c>
      <c r="C862" s="43" t="s">
        <v>137</v>
      </c>
      <c r="D862" s="44" t="s">
        <v>251</v>
      </c>
      <c r="E862" s="44">
        <v>8</v>
      </c>
      <c r="F862" s="44" t="s">
        <v>0</v>
      </c>
      <c r="G862" s="43" t="str">
        <f>IFERROR(VLOOKUP(A862,'[1]MC Masterlist 2026-09-12'!$B:$M, 3, 0),"")</f>
        <v>KAWASAKI</v>
      </c>
      <c r="H862" s="45">
        <f>IFERROR(VLOOKUP(A862,'[1]MC Masterlist 2026-09-12'!$B:$M, 6, 0),"")</f>
        <v>131626</v>
      </c>
      <c r="I862" s="46">
        <v>3</v>
      </c>
      <c r="J862" s="46">
        <v>1</v>
      </c>
      <c r="K862" s="46">
        <v>1</v>
      </c>
      <c r="L862" s="46">
        <f t="shared" si="195"/>
        <v>5</v>
      </c>
      <c r="M862" s="46">
        <f t="shared" si="196"/>
        <v>1.6666666666666667</v>
      </c>
      <c r="N862" s="45">
        <f t="shared" si="197"/>
        <v>658130</v>
      </c>
      <c r="O862" s="45">
        <f t="shared" si="198"/>
        <v>219376.66666666669</v>
      </c>
      <c r="P862" s="46">
        <f t="shared" si="199"/>
        <v>5.5555555555555559E-2</v>
      </c>
      <c r="Q862" s="46">
        <v>0</v>
      </c>
      <c r="R862" s="45">
        <f t="shared" si="200"/>
        <v>0</v>
      </c>
      <c r="S862" s="46">
        <f t="shared" si="201"/>
        <v>0</v>
      </c>
      <c r="T862" s="46">
        <f>IFERROR(VLOOKUP(A862,'[1]Re-order'!$A:$Q,17,0),"")</f>
        <v>40.677966101694913</v>
      </c>
      <c r="U862" s="46">
        <f>IFERROR(VLOOKUP(A862,'[1]MC Masterlist 2026-09-12'!$B:$M, 10, 0),0)</f>
        <v>15</v>
      </c>
      <c r="V862" s="46">
        <f>IFERROR(VLOOKUP(A862,'[1]MC Masterlist 2026-09-12'!$B:$M, 11, 0),0)</f>
        <v>15</v>
      </c>
      <c r="W862" s="46">
        <f t="shared" si="202"/>
        <v>30</v>
      </c>
      <c r="X862" s="46">
        <f t="shared" si="203"/>
        <v>6.166666666666667</v>
      </c>
      <c r="Y862" s="46">
        <f>IFERROR(IF(OR(C862="AREA I",C862="AREA V"),7,VLOOKUP(A862,'[1]MC Masterlist 2026-09-12'!$B:$M, 12, 0)),0)</f>
        <v>7</v>
      </c>
      <c r="Z862" s="46">
        <f t="shared" si="204"/>
        <v>0.83333333333333337</v>
      </c>
      <c r="AA862" s="46">
        <f t="shared" si="205"/>
        <v>1.6666666666666667</v>
      </c>
      <c r="AB862" s="46">
        <f t="shared" si="206"/>
        <v>0.34259259259259262</v>
      </c>
      <c r="AC862" s="46">
        <f t="shared" si="207"/>
        <v>0.3888888888888889</v>
      </c>
      <c r="AD862" s="44" t="str">
        <f t="shared" si="208"/>
        <v>Stockout</v>
      </c>
      <c r="AE862" s="44" t="str">
        <f>IFERROR(VLOOKUP(A862,'[1]Re-order'!$A:$AA,27,0),"")</f>
        <v>Re-order</v>
      </c>
      <c r="AF862" s="46">
        <f t="shared" si="209"/>
        <v>0.3888888888888889</v>
      </c>
      <c r="AG862" s="46">
        <f>SUMIFS('[1]Raw Inventory'!D:D,'[1]Raw Inventory'!C:C,"GREATWALL",'[1]Raw Inventory'!B:B,A862)</f>
        <v>12</v>
      </c>
      <c r="AH862" s="46">
        <f>SUMIFS('[1]Raw Inventory'!D:D,'[1]Raw Inventory'!C:C,"DUARTE",'[1]Raw Inventory'!B:B,A862)</f>
        <v>0</v>
      </c>
      <c r="AI862" s="46"/>
      <c r="AJ862" s="46"/>
      <c r="AK862" s="43"/>
      <c r="AL862" s="43"/>
      <c r="AM862" s="43"/>
      <c r="AN862" s="43"/>
      <c r="AO862" s="43"/>
      <c r="AP862" s="43"/>
      <c r="AQ862" s="43"/>
      <c r="AR862" s="43"/>
      <c r="AS862" s="43"/>
      <c r="AT862" s="43"/>
    </row>
    <row r="863" spans="1:46">
      <c r="A863" s="43" t="s">
        <v>23</v>
      </c>
      <c r="B863" s="43" t="s">
        <v>122</v>
      </c>
      <c r="C863" s="43" t="s">
        <v>118</v>
      </c>
      <c r="D863" s="44" t="s">
        <v>234</v>
      </c>
      <c r="E863" s="44">
        <v>4</v>
      </c>
      <c r="F863" s="44" t="s">
        <v>0</v>
      </c>
      <c r="G863" s="43" t="str">
        <f>IFERROR(VLOOKUP(A863,'[1]MC Masterlist 2026-09-12'!$B:$M, 3, 0),"")</f>
        <v>KAWASAKI</v>
      </c>
      <c r="H863" s="45">
        <f>IFERROR(VLOOKUP(A863,'[1]MC Masterlist 2026-09-12'!$B:$M, 6, 0),"")</f>
        <v>60656</v>
      </c>
      <c r="I863" s="46">
        <v>8</v>
      </c>
      <c r="J863" s="46">
        <v>9</v>
      </c>
      <c r="K863" s="46">
        <v>6</v>
      </c>
      <c r="L863" s="46">
        <f t="shared" si="195"/>
        <v>23</v>
      </c>
      <c r="M863" s="46">
        <f t="shared" si="196"/>
        <v>7.666666666666667</v>
      </c>
      <c r="N863" s="45">
        <f t="shared" si="197"/>
        <v>1395088</v>
      </c>
      <c r="O863" s="45">
        <f t="shared" si="198"/>
        <v>465029.33333333337</v>
      </c>
      <c r="P863" s="46">
        <f t="shared" si="199"/>
        <v>0.25555555555555559</v>
      </c>
      <c r="Q863" s="46">
        <v>13</v>
      </c>
      <c r="R863" s="45">
        <f t="shared" si="200"/>
        <v>788528</v>
      </c>
      <c r="S863" s="46">
        <f t="shared" si="201"/>
        <v>50.869565217391298</v>
      </c>
      <c r="T863" s="46">
        <f>IFERROR(VLOOKUP(A863,'[1]Re-order'!$A:$Q,17,0),"")</f>
        <v>53.973412112259979</v>
      </c>
      <c r="U863" s="46">
        <f>IFERROR(VLOOKUP(A863,'[1]MC Masterlist 2026-09-12'!$B:$M, 10, 0),0)</f>
        <v>15</v>
      </c>
      <c r="V863" s="46">
        <f>IFERROR(VLOOKUP(A863,'[1]MC Masterlist 2026-09-12'!$B:$M, 11, 0),0)</f>
        <v>15</v>
      </c>
      <c r="W863" s="46">
        <f t="shared" si="202"/>
        <v>30</v>
      </c>
      <c r="X863" s="46">
        <f t="shared" si="203"/>
        <v>26.166666666666664</v>
      </c>
      <c r="Y863" s="46">
        <f>IFERROR(IF(OR(C863="AREA I",C863="AREA V"),7,VLOOKUP(A863,'[1]MC Masterlist 2026-09-12'!$B:$M, 12, 0)),0)</f>
        <v>30</v>
      </c>
      <c r="Z863" s="46">
        <f t="shared" si="204"/>
        <v>3.8333333333333339</v>
      </c>
      <c r="AA863" s="46">
        <f t="shared" si="205"/>
        <v>7.6666666666666679</v>
      </c>
      <c r="AB863" s="46">
        <f t="shared" si="206"/>
        <v>6.6870370370370376</v>
      </c>
      <c r="AC863" s="46">
        <f t="shared" si="207"/>
        <v>7.6666666666666679</v>
      </c>
      <c r="AD863" s="44" t="str">
        <f t="shared" si="208"/>
        <v>Over</v>
      </c>
      <c r="AE863" s="44" t="str">
        <f>IFERROR(VLOOKUP(A863,'[1]Re-order'!$A:$AA,27,0),"")</f>
        <v>Re-order</v>
      </c>
      <c r="AF863" s="46">
        <f t="shared" si="209"/>
        <v>-5.3333333333333321</v>
      </c>
      <c r="AG863" s="46">
        <f>SUMIFS('[1]Raw Inventory'!D:D,'[1]Raw Inventory'!C:C,"GREATWALL",'[1]Raw Inventory'!B:B,A863)</f>
        <v>282</v>
      </c>
      <c r="AH863" s="46">
        <f>SUMIFS('[1]Raw Inventory'!D:D,'[1]Raw Inventory'!C:C,"DUARTE",'[1]Raw Inventory'!B:B,A863)</f>
        <v>0</v>
      </c>
      <c r="AI863" s="46"/>
      <c r="AJ863" s="46"/>
      <c r="AK863" s="43"/>
      <c r="AL863" s="43"/>
      <c r="AM863" s="43"/>
      <c r="AN863" s="43"/>
      <c r="AO863" s="43"/>
      <c r="AP863" s="43"/>
      <c r="AQ863" s="43"/>
      <c r="AR863" s="43"/>
      <c r="AS863" s="43"/>
      <c r="AT863" s="43"/>
    </row>
    <row r="864" spans="1:46">
      <c r="A864" s="43" t="s">
        <v>45</v>
      </c>
      <c r="B864" s="43" t="s">
        <v>122</v>
      </c>
      <c r="C864" s="43" t="s">
        <v>118</v>
      </c>
      <c r="D864" s="44" t="s">
        <v>221</v>
      </c>
      <c r="E864" s="44">
        <v>23</v>
      </c>
      <c r="F864" s="44" t="s">
        <v>3</v>
      </c>
      <c r="G864" s="43" t="str">
        <f>IFERROR(VLOOKUP(A864,'[1]MC Masterlist 2026-09-12'!$B:$M, 3, 0),"")</f>
        <v>YAMAHA</v>
      </c>
      <c r="H864" s="45">
        <f>IFERROR(VLOOKUP(A864,'[1]MC Masterlist 2026-09-12'!$B:$M, 6, 0),"")</f>
        <v>117087</v>
      </c>
      <c r="I864" s="46">
        <v>1</v>
      </c>
      <c r="J864" s="46">
        <v>0</v>
      </c>
      <c r="K864" s="46">
        <v>0</v>
      </c>
      <c r="L864" s="46">
        <f t="shared" si="195"/>
        <v>1</v>
      </c>
      <c r="M864" s="46">
        <f t="shared" si="196"/>
        <v>0.33333333333333331</v>
      </c>
      <c r="N864" s="45">
        <f t="shared" si="197"/>
        <v>117087</v>
      </c>
      <c r="O864" s="45">
        <f t="shared" si="198"/>
        <v>39029</v>
      </c>
      <c r="P864" s="46">
        <f t="shared" si="199"/>
        <v>1.111111111111111E-2</v>
      </c>
      <c r="Q864" s="46"/>
      <c r="R864" s="45">
        <f t="shared" si="200"/>
        <v>0</v>
      </c>
      <c r="S864" s="46">
        <f t="shared" si="201"/>
        <v>0</v>
      </c>
      <c r="T864" s="46">
        <f>IFERROR(VLOOKUP(A864,'[1]Re-order'!$A:$Q,17,0),"")</f>
        <v>18.94736842105263</v>
      </c>
      <c r="U864" s="46">
        <f>IFERROR(VLOOKUP(A864,'[1]MC Masterlist 2026-09-12'!$B:$M, 10, 0),0)</f>
        <v>15</v>
      </c>
      <c r="V864" s="46">
        <f>IFERROR(VLOOKUP(A864,'[1]MC Masterlist 2026-09-12'!$B:$M, 11, 0),0)</f>
        <v>15</v>
      </c>
      <c r="W864" s="46">
        <f t="shared" si="202"/>
        <v>30</v>
      </c>
      <c r="X864" s="46">
        <f t="shared" si="203"/>
        <v>29.833333333333332</v>
      </c>
      <c r="Y864" s="46">
        <f>IFERROR(IF(OR(C864="AREA I",C864="AREA V"),7,VLOOKUP(A864,'[1]MC Masterlist 2026-09-12'!$B:$M, 12, 0)),0)</f>
        <v>30</v>
      </c>
      <c r="Z864" s="46">
        <f t="shared" si="204"/>
        <v>0.16666666666666666</v>
      </c>
      <c r="AA864" s="46">
        <f t="shared" si="205"/>
        <v>0.33333333333333331</v>
      </c>
      <c r="AB864" s="46">
        <f t="shared" si="206"/>
        <v>0.33148148148148143</v>
      </c>
      <c r="AC864" s="46">
        <f t="shared" si="207"/>
        <v>0.33333333333333331</v>
      </c>
      <c r="AD864" s="44" t="str">
        <f t="shared" si="208"/>
        <v>Stockout</v>
      </c>
      <c r="AE864" s="44" t="str">
        <f>IFERROR(VLOOKUP(A864,'[1]Re-order'!$A:$AA,27,0),"")</f>
        <v>Stockout</v>
      </c>
      <c r="AF864" s="46">
        <f t="shared" si="209"/>
        <v>0.33333333333333331</v>
      </c>
      <c r="AG864" s="46">
        <f>SUMIFS('[1]Raw Inventory'!D:D,'[1]Raw Inventory'!C:C,"GREATWALL",'[1]Raw Inventory'!B:B,A864)</f>
        <v>5</v>
      </c>
      <c r="AH864" s="46">
        <f>SUMIFS('[1]Raw Inventory'!D:D,'[1]Raw Inventory'!C:C,"DUARTE",'[1]Raw Inventory'!B:B,A864)</f>
        <v>0</v>
      </c>
      <c r="AI864" s="46"/>
      <c r="AJ864" s="46"/>
      <c r="AK864" s="43"/>
      <c r="AL864" s="43"/>
      <c r="AM864" s="43"/>
      <c r="AN864" s="43"/>
      <c r="AO864" s="43"/>
      <c r="AP864" s="43"/>
      <c r="AQ864" s="43"/>
      <c r="AR864" s="43"/>
      <c r="AS864" s="43"/>
      <c r="AT864" s="43"/>
    </row>
    <row r="865" spans="1:46">
      <c r="A865" s="43" t="s">
        <v>26</v>
      </c>
      <c r="B865" s="43" t="s">
        <v>30</v>
      </c>
      <c r="C865" s="43" t="s">
        <v>1</v>
      </c>
      <c r="D865" s="44" t="s">
        <v>233</v>
      </c>
      <c r="E865" s="44">
        <v>11</v>
      </c>
      <c r="F865" s="44" t="s">
        <v>2</v>
      </c>
      <c r="G865" s="43" t="str">
        <f>IFERROR(VLOOKUP(A865,'[1]MC Masterlist 2026-09-12'!$B:$M, 3, 0),"")</f>
        <v>SUZUKI</v>
      </c>
      <c r="H865" s="45">
        <f>IFERROR(VLOOKUP(A865,'[1]MC Masterlist 2026-09-12'!$B:$M, 6, 0),"")</f>
        <v>123700</v>
      </c>
      <c r="I865" s="46">
        <v>1</v>
      </c>
      <c r="J865" s="46">
        <v>2</v>
      </c>
      <c r="K865" s="46">
        <v>2</v>
      </c>
      <c r="L865" s="46">
        <f t="shared" si="195"/>
        <v>5</v>
      </c>
      <c r="M865" s="46">
        <f t="shared" si="196"/>
        <v>1.6666666666666667</v>
      </c>
      <c r="N865" s="45">
        <f t="shared" si="197"/>
        <v>618500</v>
      </c>
      <c r="O865" s="45">
        <f t="shared" si="198"/>
        <v>206166.66666666669</v>
      </c>
      <c r="P865" s="46">
        <f t="shared" si="199"/>
        <v>5.5555555555555559E-2</v>
      </c>
      <c r="Q865" s="46">
        <v>1</v>
      </c>
      <c r="R865" s="45">
        <f t="shared" si="200"/>
        <v>123700</v>
      </c>
      <c r="S865" s="46">
        <f t="shared" si="201"/>
        <v>18</v>
      </c>
      <c r="T865" s="46">
        <f>IFERROR(VLOOKUP(A865,'[1]Re-order'!$A:$Q,17,0),"")</f>
        <v>71.470588235294116</v>
      </c>
      <c r="U865" s="46">
        <f>IFERROR(VLOOKUP(A865,'[1]MC Masterlist 2026-09-12'!$B:$M, 10, 0),0)</f>
        <v>15</v>
      </c>
      <c r="V865" s="46">
        <f>IFERROR(VLOOKUP(A865,'[1]MC Masterlist 2026-09-12'!$B:$M, 11, 0),0)</f>
        <v>15</v>
      </c>
      <c r="W865" s="46">
        <f t="shared" si="202"/>
        <v>30</v>
      </c>
      <c r="X865" s="46">
        <f t="shared" si="203"/>
        <v>6.166666666666667</v>
      </c>
      <c r="Y865" s="46">
        <f>IFERROR(IF(OR(C865="AREA I",C865="AREA V"),7,VLOOKUP(A865,'[1]MC Masterlist 2026-09-12'!$B:$M, 12, 0)),0)</f>
        <v>7</v>
      </c>
      <c r="Z865" s="46">
        <f t="shared" si="204"/>
        <v>0.83333333333333337</v>
      </c>
      <c r="AA865" s="46">
        <f t="shared" si="205"/>
        <v>1.6666666666666667</v>
      </c>
      <c r="AB865" s="46">
        <f t="shared" si="206"/>
        <v>0.34259259259259262</v>
      </c>
      <c r="AC865" s="46">
        <f t="shared" si="207"/>
        <v>0.3888888888888889</v>
      </c>
      <c r="AD865" s="44" t="str">
        <f t="shared" si="208"/>
        <v>Over</v>
      </c>
      <c r="AE865" s="44" t="str">
        <f>IFERROR(VLOOKUP(A865,'[1]Re-order'!$A:$AA,27,0),"")</f>
        <v>Re-order</v>
      </c>
      <c r="AF865" s="46">
        <f t="shared" si="209"/>
        <v>-0.61111111111111116</v>
      </c>
      <c r="AG865" s="46">
        <f>SUMIFS('[1]Raw Inventory'!D:D,'[1]Raw Inventory'!C:C,"GREATWALL",'[1]Raw Inventory'!B:B,A865)</f>
        <v>30</v>
      </c>
      <c r="AH865" s="46">
        <f>SUMIFS('[1]Raw Inventory'!D:D,'[1]Raw Inventory'!C:C,"DUARTE",'[1]Raw Inventory'!B:B,A865)</f>
        <v>0</v>
      </c>
      <c r="AI865" s="46"/>
      <c r="AJ865" s="46"/>
      <c r="AK865" s="43"/>
      <c r="AL865" s="43"/>
      <c r="AM865" s="43"/>
      <c r="AN865" s="43"/>
      <c r="AO865" s="43"/>
      <c r="AP865" s="43"/>
      <c r="AQ865" s="43"/>
      <c r="AR865" s="43"/>
      <c r="AS865" s="43"/>
      <c r="AT865" s="43"/>
    </row>
    <row r="866" spans="1:46">
      <c r="A866" s="43" t="s">
        <v>104</v>
      </c>
      <c r="B866" s="43" t="s">
        <v>92</v>
      </c>
      <c r="C866" s="43" t="s">
        <v>90</v>
      </c>
      <c r="D866" s="44" t="s">
        <v>223</v>
      </c>
      <c r="E866" s="44">
        <v>23</v>
      </c>
      <c r="F866" s="44" t="s">
        <v>3</v>
      </c>
      <c r="G866" s="43" t="str">
        <f>IFERROR(VLOOKUP(A866,'[1]MC Masterlist 2026-09-12'!$B:$M, 3, 0),"")</f>
        <v>SUZUKI</v>
      </c>
      <c r="H866" s="45">
        <f>IFERROR(VLOOKUP(A866,'[1]MC Masterlist 2026-09-12'!$B:$M, 6, 0),"")</f>
        <v>71062</v>
      </c>
      <c r="I866" s="46">
        <v>0</v>
      </c>
      <c r="J866" s="46">
        <v>0</v>
      </c>
      <c r="K866" s="46">
        <v>1</v>
      </c>
      <c r="L866" s="46">
        <f t="shared" si="195"/>
        <v>1</v>
      </c>
      <c r="M866" s="46">
        <f t="shared" si="196"/>
        <v>0.33333333333333331</v>
      </c>
      <c r="N866" s="45">
        <f t="shared" si="197"/>
        <v>71062</v>
      </c>
      <c r="O866" s="45">
        <f t="shared" si="198"/>
        <v>23687.333333333332</v>
      </c>
      <c r="P866" s="46">
        <f t="shared" si="199"/>
        <v>1.111111111111111E-2</v>
      </c>
      <c r="Q866" s="46"/>
      <c r="R866" s="45">
        <f t="shared" si="200"/>
        <v>0</v>
      </c>
      <c r="S866" s="46">
        <f t="shared" si="201"/>
        <v>0</v>
      </c>
      <c r="T866" s="46">
        <f>IFERROR(VLOOKUP(A866,'[1]Re-order'!$A:$Q,17,0),"")</f>
        <v>225</v>
      </c>
      <c r="U866" s="46">
        <f>IFERROR(VLOOKUP(A866,'[1]MC Masterlist 2026-09-12'!$B:$M, 10, 0),0)</f>
        <v>15</v>
      </c>
      <c r="V866" s="46">
        <f>IFERROR(VLOOKUP(A866,'[1]MC Masterlist 2026-09-12'!$B:$M, 11, 0),0)</f>
        <v>15</v>
      </c>
      <c r="W866" s="46">
        <f t="shared" si="202"/>
        <v>30</v>
      </c>
      <c r="X866" s="46">
        <f t="shared" si="203"/>
        <v>29.833333333333332</v>
      </c>
      <c r="Y866" s="46">
        <f>IFERROR(IF(OR(C866="AREA I",C866="AREA V"),7,VLOOKUP(A866,'[1]MC Masterlist 2026-09-12'!$B:$M, 12, 0)),0)</f>
        <v>30</v>
      </c>
      <c r="Z866" s="46">
        <f t="shared" si="204"/>
        <v>0.16666666666666666</v>
      </c>
      <c r="AA866" s="46">
        <f t="shared" si="205"/>
        <v>0.33333333333333331</v>
      </c>
      <c r="AB866" s="46">
        <f t="shared" si="206"/>
        <v>0.33148148148148143</v>
      </c>
      <c r="AC866" s="46">
        <f t="shared" si="207"/>
        <v>0.33333333333333331</v>
      </c>
      <c r="AD866" s="44" t="str">
        <f t="shared" si="208"/>
        <v>Stockout</v>
      </c>
      <c r="AE866" s="44" t="str">
        <f>IFERROR(VLOOKUP(A866,'[1]Re-order'!$A:$AA,27,0),"")</f>
        <v>Over</v>
      </c>
      <c r="AF866" s="46">
        <f t="shared" si="209"/>
        <v>0.33333333333333331</v>
      </c>
      <c r="AG866" s="46">
        <f>SUMIFS('[1]Raw Inventory'!D:D,'[1]Raw Inventory'!C:C,"GREATWALL",'[1]Raw Inventory'!B:B,A866)</f>
        <v>0</v>
      </c>
      <c r="AH866" s="46">
        <f>SUMIFS('[1]Raw Inventory'!D:D,'[1]Raw Inventory'!C:C,"DUARTE",'[1]Raw Inventory'!B:B,A866)</f>
        <v>0</v>
      </c>
      <c r="AI866" s="46"/>
      <c r="AJ866" s="46"/>
      <c r="AK866" s="43"/>
      <c r="AL866" s="43"/>
      <c r="AM866" s="43"/>
      <c r="AN866" s="43"/>
      <c r="AO866" s="43"/>
      <c r="AP866" s="43"/>
      <c r="AQ866" s="43"/>
      <c r="AR866" s="43"/>
      <c r="AS866" s="43"/>
      <c r="AT866" s="43"/>
    </row>
    <row r="867" spans="1:46">
      <c r="A867" s="43" t="s">
        <v>16</v>
      </c>
      <c r="B867" s="43" t="s">
        <v>30</v>
      </c>
      <c r="C867" s="43" t="s">
        <v>1</v>
      </c>
      <c r="D867" s="44" t="s">
        <v>254</v>
      </c>
      <c r="E867" s="44">
        <v>9</v>
      </c>
      <c r="F867" s="44" t="s">
        <v>2</v>
      </c>
      <c r="G867" s="43" t="str">
        <f>IFERROR(VLOOKUP(A867,'[1]MC Masterlist 2026-09-12'!$B:$M, 3, 0),"")</f>
        <v>HONDA</v>
      </c>
      <c r="H867" s="45">
        <f>IFERROR(VLOOKUP(A867,'[1]MC Masterlist 2026-09-12'!$B:$M, 6, 0),"")</f>
        <v>84394</v>
      </c>
      <c r="I867" s="46">
        <v>2</v>
      </c>
      <c r="J867" s="46">
        <v>2</v>
      </c>
      <c r="K867" s="46">
        <v>5</v>
      </c>
      <c r="L867" s="46">
        <f t="shared" si="195"/>
        <v>9</v>
      </c>
      <c r="M867" s="46">
        <f t="shared" si="196"/>
        <v>3</v>
      </c>
      <c r="N867" s="45">
        <f t="shared" si="197"/>
        <v>759546</v>
      </c>
      <c r="O867" s="45">
        <f t="shared" si="198"/>
        <v>253182</v>
      </c>
      <c r="P867" s="46">
        <f t="shared" si="199"/>
        <v>0.1</v>
      </c>
      <c r="Q867" s="46">
        <v>3</v>
      </c>
      <c r="R867" s="45">
        <f t="shared" si="200"/>
        <v>253182</v>
      </c>
      <c r="S867" s="46">
        <f t="shared" si="201"/>
        <v>30</v>
      </c>
      <c r="T867" s="46">
        <f>IFERROR(VLOOKUP(A867,'[1]Re-order'!$A:$Q,17,0),"")</f>
        <v>26.332665330661321</v>
      </c>
      <c r="U867" s="46">
        <f>IFERROR(VLOOKUP(A867,'[1]MC Masterlist 2026-09-12'!$B:$M, 10, 0),0)</f>
        <v>15</v>
      </c>
      <c r="V867" s="46">
        <f>IFERROR(VLOOKUP(A867,'[1]MC Masterlist 2026-09-12'!$B:$M, 11, 0),0)</f>
        <v>15</v>
      </c>
      <c r="W867" s="46">
        <f t="shared" si="202"/>
        <v>30</v>
      </c>
      <c r="X867" s="46">
        <f t="shared" si="203"/>
        <v>5.5</v>
      </c>
      <c r="Y867" s="46">
        <f>IFERROR(IF(OR(C867="AREA I",C867="AREA V"),7,VLOOKUP(A867,'[1]MC Masterlist 2026-09-12'!$B:$M, 12, 0)),0)</f>
        <v>7</v>
      </c>
      <c r="Z867" s="46">
        <f t="shared" si="204"/>
        <v>1.5</v>
      </c>
      <c r="AA867" s="46">
        <f t="shared" si="205"/>
        <v>3</v>
      </c>
      <c r="AB867" s="46">
        <f t="shared" si="206"/>
        <v>0.55000000000000004</v>
      </c>
      <c r="AC867" s="46">
        <f t="shared" si="207"/>
        <v>0.70000000000000007</v>
      </c>
      <c r="AD867" s="44" t="str">
        <f t="shared" si="208"/>
        <v>Over</v>
      </c>
      <c r="AE867" s="44" t="str">
        <f>IFERROR(VLOOKUP(A867,'[1]Re-order'!$A:$AA,27,0),"")</f>
        <v>Stockout</v>
      </c>
      <c r="AF867" s="46">
        <f t="shared" si="209"/>
        <v>-2.2999999999999998</v>
      </c>
      <c r="AG867" s="46">
        <f>SUMIFS('[1]Raw Inventory'!D:D,'[1]Raw Inventory'!C:C,"GREATWALL",'[1]Raw Inventory'!B:B,A867)</f>
        <v>58</v>
      </c>
      <c r="AH867" s="46">
        <f>SUMIFS('[1]Raw Inventory'!D:D,'[1]Raw Inventory'!C:C,"DUARTE",'[1]Raw Inventory'!B:B,A867)</f>
        <v>0</v>
      </c>
      <c r="AI867" s="46"/>
      <c r="AJ867" s="46"/>
      <c r="AK867" s="43"/>
      <c r="AL867" s="43"/>
      <c r="AM867" s="43"/>
      <c r="AN867" s="43"/>
      <c r="AO867" s="43"/>
      <c r="AP867" s="43"/>
      <c r="AQ867" s="43"/>
      <c r="AR867" s="43"/>
      <c r="AS867" s="43"/>
      <c r="AT867" s="43"/>
    </row>
    <row r="868" spans="1:46">
      <c r="A868" s="43" t="s">
        <v>20</v>
      </c>
      <c r="B868" s="43" t="s">
        <v>122</v>
      </c>
      <c r="C868" s="43" t="s">
        <v>118</v>
      </c>
      <c r="D868" s="44" t="s">
        <v>259</v>
      </c>
      <c r="E868" s="44">
        <v>5</v>
      </c>
      <c r="F868" s="44" t="s">
        <v>0</v>
      </c>
      <c r="G868" s="43" t="str">
        <f>IFERROR(VLOOKUP(A868,'[1]MC Masterlist 2026-09-12'!$B:$M, 3, 0),"")</f>
        <v>HONDA</v>
      </c>
      <c r="H868" s="45">
        <f>IFERROR(VLOOKUP(A868,'[1]MC Masterlist 2026-09-12'!$B:$M, 6, 0),"")</f>
        <v>69950</v>
      </c>
      <c r="I868" s="46">
        <v>6</v>
      </c>
      <c r="J868" s="46">
        <v>10</v>
      </c>
      <c r="K868" s="46">
        <v>3</v>
      </c>
      <c r="L868" s="46">
        <f t="shared" si="195"/>
        <v>19</v>
      </c>
      <c r="M868" s="46">
        <f t="shared" si="196"/>
        <v>6.333333333333333</v>
      </c>
      <c r="N868" s="45">
        <f t="shared" si="197"/>
        <v>1329050</v>
      </c>
      <c r="O868" s="45">
        <f t="shared" si="198"/>
        <v>443016.66666666663</v>
      </c>
      <c r="P868" s="46">
        <f t="shared" si="199"/>
        <v>0.21111111111111111</v>
      </c>
      <c r="Q868" s="46">
        <v>6</v>
      </c>
      <c r="R868" s="45">
        <f t="shared" si="200"/>
        <v>419700</v>
      </c>
      <c r="S868" s="46">
        <f t="shared" si="201"/>
        <v>28.421052631578949</v>
      </c>
      <c r="T868" s="46">
        <f>IFERROR(VLOOKUP(A868,'[1]Re-order'!$A:$Q,17,0),"")</f>
        <v>75.775862068965523</v>
      </c>
      <c r="U868" s="46">
        <f>IFERROR(VLOOKUP(A868,'[1]MC Masterlist 2026-09-12'!$B:$M, 10, 0),0)</f>
        <v>15</v>
      </c>
      <c r="V868" s="46">
        <f>IFERROR(VLOOKUP(A868,'[1]MC Masterlist 2026-09-12'!$B:$M, 11, 0),0)</f>
        <v>15</v>
      </c>
      <c r="W868" s="46">
        <f t="shared" si="202"/>
        <v>30</v>
      </c>
      <c r="X868" s="46">
        <f t="shared" si="203"/>
        <v>26.833333333333332</v>
      </c>
      <c r="Y868" s="46">
        <f>IFERROR(IF(OR(C868="AREA I",C868="AREA V"),7,VLOOKUP(A868,'[1]MC Masterlist 2026-09-12'!$B:$M, 12, 0)),0)</f>
        <v>30</v>
      </c>
      <c r="Z868" s="46">
        <f t="shared" si="204"/>
        <v>3.1666666666666665</v>
      </c>
      <c r="AA868" s="46">
        <f t="shared" si="205"/>
        <v>6.333333333333333</v>
      </c>
      <c r="AB868" s="46">
        <f t="shared" si="206"/>
        <v>5.6648148148148145</v>
      </c>
      <c r="AC868" s="46">
        <f t="shared" si="207"/>
        <v>6.333333333333333</v>
      </c>
      <c r="AD868" s="44" t="str">
        <f t="shared" si="208"/>
        <v>Re-order</v>
      </c>
      <c r="AE868" s="44" t="str">
        <f>IFERROR(VLOOKUP(A868,'[1]Re-order'!$A:$AA,27,0),"")</f>
        <v/>
      </c>
      <c r="AF868" s="46">
        <f t="shared" si="209"/>
        <v>0.33333333333333304</v>
      </c>
      <c r="AG868" s="46">
        <f>SUMIFS('[1]Raw Inventory'!D:D,'[1]Raw Inventory'!C:C,"GREATWALL",'[1]Raw Inventory'!B:B,A868)</f>
        <v>110</v>
      </c>
      <c r="AH868" s="46">
        <f>SUMIFS('[1]Raw Inventory'!D:D,'[1]Raw Inventory'!C:C,"DUARTE",'[1]Raw Inventory'!B:B,A868)</f>
        <v>0</v>
      </c>
      <c r="AI868" s="46"/>
      <c r="AJ868" s="46"/>
      <c r="AK868" s="43"/>
      <c r="AL868" s="43"/>
      <c r="AM868" s="43"/>
      <c r="AN868" s="43"/>
      <c r="AO868" s="43"/>
      <c r="AP868" s="43"/>
      <c r="AQ868" s="43"/>
      <c r="AR868" s="43"/>
      <c r="AS868" s="43"/>
      <c r="AT868" s="43"/>
    </row>
    <row r="869" spans="1:46">
      <c r="A869" s="43" t="s">
        <v>42</v>
      </c>
      <c r="B869" s="43" t="s">
        <v>120</v>
      </c>
      <c r="C869" s="43" t="s">
        <v>118</v>
      </c>
      <c r="D869" s="44" t="s">
        <v>265</v>
      </c>
      <c r="E869" s="44">
        <v>23</v>
      </c>
      <c r="F869" s="44" t="s">
        <v>3</v>
      </c>
      <c r="G869" s="43" t="str">
        <f>IFERROR(VLOOKUP(A869,'[1]MC Masterlist 2026-09-12'!$B:$M, 3, 0),"")</f>
        <v>YAMAHA</v>
      </c>
      <c r="H869" s="45">
        <f>IFERROR(VLOOKUP(A869,'[1]MC Masterlist 2026-09-12'!$B:$M, 6, 0),"")</f>
        <v>152892</v>
      </c>
      <c r="I869" s="46">
        <v>0</v>
      </c>
      <c r="J869" s="46">
        <v>0</v>
      </c>
      <c r="K869" s="46">
        <v>0</v>
      </c>
      <c r="L869" s="46">
        <f t="shared" si="195"/>
        <v>0</v>
      </c>
      <c r="M869" s="46">
        <f t="shared" si="196"/>
        <v>0</v>
      </c>
      <c r="N869" s="45">
        <f t="shared" si="197"/>
        <v>0</v>
      </c>
      <c r="O869" s="45">
        <f t="shared" si="198"/>
        <v>0</v>
      </c>
      <c r="P869" s="46">
        <f t="shared" si="199"/>
        <v>0</v>
      </c>
      <c r="Q869" s="46">
        <v>6</v>
      </c>
      <c r="R869" s="45">
        <f t="shared" si="200"/>
        <v>917352</v>
      </c>
      <c r="S869" s="46">
        <f t="shared" si="201"/>
        <v>0</v>
      </c>
      <c r="T869" s="46">
        <f>IFERROR(VLOOKUP(A869,'[1]Re-order'!$A:$Q,17,0),"")</f>
        <v>104.55882352941177</v>
      </c>
      <c r="U869" s="46">
        <f>IFERROR(VLOOKUP(A869,'[1]MC Masterlist 2026-09-12'!$B:$M, 10, 0),0)</f>
        <v>15</v>
      </c>
      <c r="V869" s="46">
        <f>IFERROR(VLOOKUP(A869,'[1]MC Masterlist 2026-09-12'!$B:$M, 11, 0),0)</f>
        <v>15</v>
      </c>
      <c r="W869" s="46">
        <f t="shared" si="202"/>
        <v>30</v>
      </c>
      <c r="X869" s="46">
        <f t="shared" si="203"/>
        <v>30</v>
      </c>
      <c r="Y869" s="46">
        <f>IFERROR(IF(OR(C869="AREA I",C869="AREA V"),7,VLOOKUP(A869,'[1]MC Masterlist 2026-09-12'!$B:$M, 12, 0)),0)</f>
        <v>30</v>
      </c>
      <c r="Z869" s="46">
        <f t="shared" si="204"/>
        <v>0</v>
      </c>
      <c r="AA869" s="46">
        <f t="shared" si="205"/>
        <v>0</v>
      </c>
      <c r="AB869" s="46">
        <f t="shared" si="206"/>
        <v>0</v>
      </c>
      <c r="AC869" s="46">
        <f t="shared" si="207"/>
        <v>0</v>
      </c>
      <c r="AD869" s="44" t="str">
        <f t="shared" si="208"/>
        <v>Over</v>
      </c>
      <c r="AE869" s="44" t="str">
        <f>IFERROR(VLOOKUP(A869,'[1]Re-order'!$A:$AA,27,0),"")</f>
        <v>Over</v>
      </c>
      <c r="AF869" s="46">
        <f t="shared" si="209"/>
        <v>-6</v>
      </c>
      <c r="AG869" s="46">
        <f>SUMIFS('[1]Raw Inventory'!D:D,'[1]Raw Inventory'!C:C,"GREATWALL",'[1]Raw Inventory'!B:B,A869)</f>
        <v>3</v>
      </c>
      <c r="AH869" s="46">
        <f>SUMIFS('[1]Raw Inventory'!D:D,'[1]Raw Inventory'!C:C,"DUARTE",'[1]Raw Inventory'!B:B,A869)</f>
        <v>0</v>
      </c>
      <c r="AI869" s="46"/>
      <c r="AJ869" s="46"/>
      <c r="AK869" s="43"/>
      <c r="AL869" s="43"/>
      <c r="AM869" s="43"/>
      <c r="AN869" s="43"/>
      <c r="AO869" s="43"/>
      <c r="AP869" s="43"/>
      <c r="AQ869" s="43"/>
      <c r="AR869" s="43"/>
      <c r="AS869" s="43"/>
      <c r="AT869" s="43"/>
    </row>
    <row r="870" spans="1:46">
      <c r="A870" s="43" t="s">
        <v>42</v>
      </c>
      <c r="B870" s="43" t="s">
        <v>143</v>
      </c>
      <c r="C870" s="43" t="s">
        <v>137</v>
      </c>
      <c r="D870" s="44" t="s">
        <v>273</v>
      </c>
      <c r="E870" s="44">
        <v>26</v>
      </c>
      <c r="F870" s="44" t="s">
        <v>3</v>
      </c>
      <c r="G870" s="43" t="str">
        <f>IFERROR(VLOOKUP(A870,'[1]MC Masterlist 2026-09-12'!$B:$M, 3, 0),"")</f>
        <v>YAMAHA</v>
      </c>
      <c r="H870" s="45">
        <f>IFERROR(VLOOKUP(A870,'[1]MC Masterlist 2026-09-12'!$B:$M, 6, 0),"")</f>
        <v>152892</v>
      </c>
      <c r="I870" s="46">
        <v>0</v>
      </c>
      <c r="J870" s="46">
        <v>0</v>
      </c>
      <c r="K870" s="46">
        <v>0</v>
      </c>
      <c r="L870" s="46">
        <f t="shared" si="195"/>
        <v>0</v>
      </c>
      <c r="M870" s="46">
        <f t="shared" si="196"/>
        <v>0</v>
      </c>
      <c r="N870" s="45">
        <f t="shared" si="197"/>
        <v>0</v>
      </c>
      <c r="O870" s="45">
        <f t="shared" si="198"/>
        <v>0</v>
      </c>
      <c r="P870" s="46">
        <f t="shared" si="199"/>
        <v>0</v>
      </c>
      <c r="Q870" s="46">
        <v>2</v>
      </c>
      <c r="R870" s="45">
        <f t="shared" si="200"/>
        <v>305784</v>
      </c>
      <c r="S870" s="46">
        <f t="shared" si="201"/>
        <v>0</v>
      </c>
      <c r="T870" s="46">
        <f>IFERROR(VLOOKUP(A870,'[1]Re-order'!$A:$Q,17,0),"")</f>
        <v>104.55882352941177</v>
      </c>
      <c r="U870" s="46">
        <f>IFERROR(VLOOKUP(A870,'[1]MC Masterlist 2026-09-12'!$B:$M, 10, 0),0)</f>
        <v>15</v>
      </c>
      <c r="V870" s="46">
        <f>IFERROR(VLOOKUP(A870,'[1]MC Masterlist 2026-09-12'!$B:$M, 11, 0),0)</f>
        <v>15</v>
      </c>
      <c r="W870" s="46">
        <f t="shared" si="202"/>
        <v>30</v>
      </c>
      <c r="X870" s="46">
        <f t="shared" si="203"/>
        <v>7</v>
      </c>
      <c r="Y870" s="46">
        <f>IFERROR(IF(OR(C870="AREA I",C870="AREA V"),7,VLOOKUP(A870,'[1]MC Masterlist 2026-09-12'!$B:$M, 12, 0)),0)</f>
        <v>7</v>
      </c>
      <c r="Z870" s="46">
        <f t="shared" si="204"/>
        <v>0</v>
      </c>
      <c r="AA870" s="46">
        <f t="shared" si="205"/>
        <v>0</v>
      </c>
      <c r="AB870" s="46">
        <f t="shared" si="206"/>
        <v>0</v>
      </c>
      <c r="AC870" s="46">
        <f t="shared" si="207"/>
        <v>0</v>
      </c>
      <c r="AD870" s="44" t="str">
        <f t="shared" si="208"/>
        <v>Over</v>
      </c>
      <c r="AE870" s="44" t="str">
        <f>IFERROR(VLOOKUP(A870,'[1]Re-order'!$A:$AA,27,0),"")</f>
        <v>Over</v>
      </c>
      <c r="AF870" s="46">
        <f t="shared" si="209"/>
        <v>-2</v>
      </c>
      <c r="AG870" s="46">
        <f>SUMIFS('[1]Raw Inventory'!D:D,'[1]Raw Inventory'!C:C,"GREATWALL",'[1]Raw Inventory'!B:B,A870)</f>
        <v>3</v>
      </c>
      <c r="AH870" s="46">
        <f>SUMIFS('[1]Raw Inventory'!D:D,'[1]Raw Inventory'!C:C,"DUARTE",'[1]Raw Inventory'!B:B,A870)</f>
        <v>0</v>
      </c>
      <c r="AI870" s="46"/>
      <c r="AJ870" s="46"/>
      <c r="AK870" s="43"/>
      <c r="AL870" s="43"/>
      <c r="AM870" s="43"/>
      <c r="AN870" s="43"/>
      <c r="AO870" s="43"/>
      <c r="AP870" s="43"/>
      <c r="AQ870" s="43"/>
      <c r="AR870" s="43"/>
      <c r="AS870" s="43"/>
      <c r="AT870" s="43"/>
    </row>
    <row r="871" spans="1:46">
      <c r="A871" s="43" t="s">
        <v>78</v>
      </c>
      <c r="B871" s="43" t="s">
        <v>96</v>
      </c>
      <c r="C871" s="43" t="s">
        <v>90</v>
      </c>
      <c r="D871" s="44" t="s">
        <v>231</v>
      </c>
      <c r="E871" s="44">
        <v>7</v>
      </c>
      <c r="F871" s="44" t="s">
        <v>3</v>
      </c>
      <c r="G871" s="43" t="str">
        <f>IFERROR(VLOOKUP(A871,'[1]MC Masterlist 2026-09-12'!$B:$M, 3, 0),"")</f>
        <v>KAWASAKI</v>
      </c>
      <c r="H871" s="45">
        <f>IFERROR(VLOOKUP(A871,'[1]MC Masterlist 2026-09-12'!$B:$M, 6, 0),"")</f>
        <v>100700</v>
      </c>
      <c r="I871" s="46">
        <v>0</v>
      </c>
      <c r="J871" s="46">
        <v>0</v>
      </c>
      <c r="K871" s="46">
        <v>0</v>
      </c>
      <c r="L871" s="46">
        <f t="shared" si="195"/>
        <v>0</v>
      </c>
      <c r="M871" s="46">
        <f t="shared" si="196"/>
        <v>0</v>
      </c>
      <c r="N871" s="45">
        <f t="shared" si="197"/>
        <v>0</v>
      </c>
      <c r="O871" s="45">
        <f t="shared" si="198"/>
        <v>0</v>
      </c>
      <c r="P871" s="46">
        <f t="shared" si="199"/>
        <v>0</v>
      </c>
      <c r="Q871" s="46">
        <v>1</v>
      </c>
      <c r="R871" s="45">
        <f t="shared" si="200"/>
        <v>100700</v>
      </c>
      <c r="S871" s="46">
        <f t="shared" si="201"/>
        <v>0</v>
      </c>
      <c r="T871" s="46">
        <f>IFERROR(VLOOKUP(A871,'[1]Re-order'!$A:$Q,17,0),"")</f>
        <v>438.75000000000006</v>
      </c>
      <c r="U871" s="46">
        <f>IFERROR(VLOOKUP(A871,'[1]MC Masterlist 2026-09-12'!$B:$M, 10, 0),0)</f>
        <v>15</v>
      </c>
      <c r="V871" s="46">
        <f>IFERROR(VLOOKUP(A871,'[1]MC Masterlist 2026-09-12'!$B:$M, 11, 0),0)</f>
        <v>15</v>
      </c>
      <c r="W871" s="46">
        <f t="shared" si="202"/>
        <v>30</v>
      </c>
      <c r="X871" s="46">
        <f t="shared" si="203"/>
        <v>30</v>
      </c>
      <c r="Y871" s="46">
        <f>IFERROR(IF(OR(C871="AREA I",C871="AREA V"),7,VLOOKUP(A871,'[1]MC Masterlist 2026-09-12'!$B:$M, 12, 0)),0)</f>
        <v>30</v>
      </c>
      <c r="Z871" s="46">
        <f t="shared" si="204"/>
        <v>0</v>
      </c>
      <c r="AA871" s="46">
        <f t="shared" si="205"/>
        <v>0</v>
      </c>
      <c r="AB871" s="46">
        <f t="shared" si="206"/>
        <v>0</v>
      </c>
      <c r="AC871" s="46">
        <f t="shared" si="207"/>
        <v>0</v>
      </c>
      <c r="AD871" s="44" t="str">
        <f t="shared" si="208"/>
        <v>Over</v>
      </c>
      <c r="AE871" s="44" t="str">
        <f>IFERROR(VLOOKUP(A871,'[1]Re-order'!$A:$AA,27,0),"")</f>
        <v>Over</v>
      </c>
      <c r="AF871" s="46">
        <f t="shared" si="209"/>
        <v>-1</v>
      </c>
      <c r="AG871" s="46">
        <f>SUMIFS('[1]Raw Inventory'!D:D,'[1]Raw Inventory'!C:C,"GREATWALL",'[1]Raw Inventory'!B:B,A871)</f>
        <v>26</v>
      </c>
      <c r="AH871" s="46">
        <f>SUMIFS('[1]Raw Inventory'!D:D,'[1]Raw Inventory'!C:C,"DUARTE",'[1]Raw Inventory'!B:B,A871)</f>
        <v>0</v>
      </c>
      <c r="AI871" s="46"/>
      <c r="AJ871" s="46"/>
      <c r="AK871" s="43"/>
      <c r="AL871" s="43"/>
      <c r="AM871" s="43"/>
      <c r="AN871" s="43"/>
      <c r="AO871" s="43"/>
      <c r="AP871" s="43"/>
      <c r="AQ871" s="43"/>
      <c r="AR871" s="43"/>
      <c r="AS871" s="43"/>
      <c r="AT871" s="43"/>
    </row>
    <row r="872" spans="1:46">
      <c r="A872" s="43" t="s">
        <v>40</v>
      </c>
      <c r="B872" s="43" t="s">
        <v>115</v>
      </c>
      <c r="C872" s="43" t="s">
        <v>109</v>
      </c>
      <c r="D872" s="44" t="s">
        <v>237</v>
      </c>
      <c r="E872" s="44">
        <v>27</v>
      </c>
      <c r="F872" s="44" t="s">
        <v>3</v>
      </c>
      <c r="G872" s="43" t="str">
        <f>IFERROR(VLOOKUP(A872,'[1]MC Masterlist 2026-09-12'!$B:$M, 3, 0),"")</f>
        <v>HONDA</v>
      </c>
      <c r="H872" s="45">
        <f>IFERROR(VLOOKUP(A872,'[1]MC Masterlist 2026-09-12'!$B:$M, 6, 0),"")</f>
        <v>56426</v>
      </c>
      <c r="I872" s="46">
        <v>0</v>
      </c>
      <c r="J872" s="46">
        <v>1</v>
      </c>
      <c r="K872" s="46">
        <v>0</v>
      </c>
      <c r="L872" s="46">
        <f t="shared" si="195"/>
        <v>1</v>
      </c>
      <c r="M872" s="46">
        <f t="shared" si="196"/>
        <v>0.33333333333333331</v>
      </c>
      <c r="N872" s="45">
        <f t="shared" si="197"/>
        <v>56426</v>
      </c>
      <c r="O872" s="45">
        <f t="shared" si="198"/>
        <v>18808.666666666664</v>
      </c>
      <c r="P872" s="46">
        <f t="shared" si="199"/>
        <v>1.111111111111111E-2</v>
      </c>
      <c r="Q872" s="46">
        <v>1</v>
      </c>
      <c r="R872" s="45">
        <f t="shared" si="200"/>
        <v>56426</v>
      </c>
      <c r="S872" s="46">
        <f t="shared" si="201"/>
        <v>90.000000000000014</v>
      </c>
      <c r="T872" s="46">
        <f>IFERROR(VLOOKUP(A872,'[1]Re-order'!$A:$Q,17,0),"")</f>
        <v>139.56521739130434</v>
      </c>
      <c r="U872" s="46">
        <f>IFERROR(VLOOKUP(A872,'[1]MC Masterlist 2026-09-12'!$B:$M, 10, 0),0)</f>
        <v>15</v>
      </c>
      <c r="V872" s="46">
        <f>IFERROR(VLOOKUP(A872,'[1]MC Masterlist 2026-09-12'!$B:$M, 11, 0),0)</f>
        <v>15</v>
      </c>
      <c r="W872" s="46">
        <f t="shared" si="202"/>
        <v>30</v>
      </c>
      <c r="X872" s="46">
        <f t="shared" si="203"/>
        <v>29.833333333333332</v>
      </c>
      <c r="Y872" s="46">
        <f>IFERROR(IF(OR(C872="AREA I",C872="AREA V"),7,VLOOKUP(A872,'[1]MC Masterlist 2026-09-12'!$B:$M, 12, 0)),0)</f>
        <v>30</v>
      </c>
      <c r="Z872" s="46">
        <f t="shared" si="204"/>
        <v>0.16666666666666666</v>
      </c>
      <c r="AA872" s="46">
        <f t="shared" si="205"/>
        <v>0.33333333333333331</v>
      </c>
      <c r="AB872" s="46">
        <f t="shared" si="206"/>
        <v>0.33148148148148143</v>
      </c>
      <c r="AC872" s="46">
        <f t="shared" si="207"/>
        <v>0.33333333333333331</v>
      </c>
      <c r="AD872" s="44" t="str">
        <f t="shared" si="208"/>
        <v>Over</v>
      </c>
      <c r="AE872" s="44" t="str">
        <f>IFERROR(VLOOKUP(A872,'[1]Re-order'!$A:$AA,27,0),"")</f>
        <v>Over</v>
      </c>
      <c r="AF872" s="46">
        <f t="shared" si="209"/>
        <v>-0.66666666666666674</v>
      </c>
      <c r="AG872" s="46">
        <f>SUMIFS('[1]Raw Inventory'!D:D,'[1]Raw Inventory'!C:C,"GREATWALL",'[1]Raw Inventory'!B:B,A872)</f>
        <v>45</v>
      </c>
      <c r="AH872" s="46">
        <f>SUMIFS('[1]Raw Inventory'!D:D,'[1]Raw Inventory'!C:C,"DUARTE",'[1]Raw Inventory'!B:B,A872)</f>
        <v>0</v>
      </c>
      <c r="AI872" s="46"/>
      <c r="AJ872" s="46"/>
      <c r="AK872" s="43"/>
      <c r="AL872" s="43"/>
      <c r="AM872" s="43"/>
      <c r="AN872" s="43"/>
      <c r="AO872" s="43"/>
      <c r="AP872" s="43"/>
      <c r="AQ872" s="43"/>
      <c r="AR872" s="43"/>
      <c r="AS872" s="43"/>
      <c r="AT872" s="43"/>
    </row>
    <row r="873" spans="1:46">
      <c r="A873" s="43" t="s">
        <v>22</v>
      </c>
      <c r="B873" s="43" t="s">
        <v>157</v>
      </c>
      <c r="C873" s="43" t="s">
        <v>152</v>
      </c>
      <c r="D873" s="44" t="s">
        <v>262</v>
      </c>
      <c r="E873" s="44">
        <v>13</v>
      </c>
      <c r="F873" s="44" t="s">
        <v>2</v>
      </c>
      <c r="G873" s="43" t="str">
        <f>IFERROR(VLOOKUP(A873,'[1]MC Masterlist 2026-09-12'!$B:$M, 3, 0),"")</f>
        <v>HONDA</v>
      </c>
      <c r="H873" s="45">
        <f>IFERROR(VLOOKUP(A873,'[1]MC Masterlist 2026-09-12'!$B:$M, 6, 0),"")</f>
        <v>111258</v>
      </c>
      <c r="I873" s="46">
        <v>2</v>
      </c>
      <c r="J873" s="46">
        <v>1</v>
      </c>
      <c r="K873" s="46">
        <v>0</v>
      </c>
      <c r="L873" s="46">
        <f t="shared" si="195"/>
        <v>3</v>
      </c>
      <c r="M873" s="46">
        <f t="shared" si="196"/>
        <v>1</v>
      </c>
      <c r="N873" s="45">
        <f t="shared" si="197"/>
        <v>333774</v>
      </c>
      <c r="O873" s="45">
        <f t="shared" si="198"/>
        <v>111258</v>
      </c>
      <c r="P873" s="46">
        <f t="shared" si="199"/>
        <v>3.3333333333333333E-2</v>
      </c>
      <c r="Q873" s="46">
        <v>3</v>
      </c>
      <c r="R873" s="45">
        <f t="shared" si="200"/>
        <v>333774</v>
      </c>
      <c r="S873" s="46">
        <f t="shared" si="201"/>
        <v>90</v>
      </c>
      <c r="T873" s="46">
        <f>IFERROR(VLOOKUP(A873,'[1]Re-order'!$A:$Q,17,0),"")</f>
        <v>41.339712918660283</v>
      </c>
      <c r="U873" s="46">
        <f>IFERROR(VLOOKUP(A873,'[1]MC Masterlist 2026-09-12'!$B:$M, 10, 0),0)</f>
        <v>15</v>
      </c>
      <c r="V873" s="46">
        <f>IFERROR(VLOOKUP(A873,'[1]MC Masterlist 2026-09-12'!$B:$M, 11, 0),0)</f>
        <v>15</v>
      </c>
      <c r="W873" s="46">
        <f t="shared" si="202"/>
        <v>30</v>
      </c>
      <c r="X873" s="46">
        <f t="shared" si="203"/>
        <v>29.5</v>
      </c>
      <c r="Y873" s="46">
        <f>IFERROR(IF(OR(C873="AREA I",C873="AREA V"),7,VLOOKUP(A873,'[1]MC Masterlist 2026-09-12'!$B:$M, 12, 0)),0)</f>
        <v>30</v>
      </c>
      <c r="Z873" s="46">
        <f t="shared" si="204"/>
        <v>0.5</v>
      </c>
      <c r="AA873" s="46">
        <f t="shared" si="205"/>
        <v>1</v>
      </c>
      <c r="AB873" s="46">
        <f t="shared" si="206"/>
        <v>0.98333333333333328</v>
      </c>
      <c r="AC873" s="46">
        <f t="shared" si="207"/>
        <v>1</v>
      </c>
      <c r="AD873" s="44" t="str">
        <f t="shared" si="208"/>
        <v>Over</v>
      </c>
      <c r="AE873" s="44" t="str">
        <f>IFERROR(VLOOKUP(A873,'[1]Re-order'!$A:$AA,27,0),"")</f>
        <v>Re-order</v>
      </c>
      <c r="AF873" s="46">
        <f t="shared" si="209"/>
        <v>-2</v>
      </c>
      <c r="AG873" s="46">
        <f>SUMIFS('[1]Raw Inventory'!D:D,'[1]Raw Inventory'!C:C,"GREATWALL",'[1]Raw Inventory'!B:B,A873)</f>
        <v>4</v>
      </c>
      <c r="AH873" s="46">
        <f>SUMIFS('[1]Raw Inventory'!D:D,'[1]Raw Inventory'!C:C,"DUARTE",'[1]Raw Inventory'!B:B,A873)</f>
        <v>0</v>
      </c>
      <c r="AI873" s="46"/>
      <c r="AJ873" s="46"/>
      <c r="AK873" s="43"/>
      <c r="AL873" s="43"/>
      <c r="AM873" s="43"/>
      <c r="AN873" s="43"/>
      <c r="AO873" s="43"/>
      <c r="AP873" s="43"/>
      <c r="AQ873" s="43"/>
      <c r="AR873" s="43"/>
      <c r="AS873" s="43"/>
      <c r="AT873" s="43"/>
    </row>
    <row r="874" spans="1:46">
      <c r="A874" s="43" t="s">
        <v>25</v>
      </c>
      <c r="B874" s="43" t="s">
        <v>94</v>
      </c>
      <c r="C874" s="43" t="s">
        <v>90</v>
      </c>
      <c r="D874" s="44" t="s">
        <v>238</v>
      </c>
      <c r="E874" s="44">
        <v>2</v>
      </c>
      <c r="F874" s="44" t="s">
        <v>0</v>
      </c>
      <c r="G874" s="43" t="str">
        <f>IFERROR(VLOOKUP(A874,'[1]MC Masterlist 2026-09-12'!$B:$M, 3, 0),"")</f>
        <v>YAMAHA</v>
      </c>
      <c r="H874" s="45">
        <f>IFERROR(VLOOKUP(A874,'[1]MC Masterlist 2026-09-12'!$B:$M, 6, 0),"")</f>
        <v>124527</v>
      </c>
      <c r="I874" s="46">
        <v>1</v>
      </c>
      <c r="J874" s="46">
        <v>2</v>
      </c>
      <c r="K874" s="46">
        <v>4</v>
      </c>
      <c r="L874" s="46">
        <f t="shared" si="195"/>
        <v>7</v>
      </c>
      <c r="M874" s="46">
        <f t="shared" si="196"/>
        <v>2.3333333333333335</v>
      </c>
      <c r="N874" s="45">
        <f t="shared" si="197"/>
        <v>871689</v>
      </c>
      <c r="O874" s="45">
        <f t="shared" si="198"/>
        <v>290563</v>
      </c>
      <c r="P874" s="46">
        <f t="shared" si="199"/>
        <v>7.7777777777777779E-2</v>
      </c>
      <c r="Q874" s="46"/>
      <c r="R874" s="45">
        <f t="shared" si="200"/>
        <v>0</v>
      </c>
      <c r="S874" s="46">
        <f t="shared" si="201"/>
        <v>0</v>
      </c>
      <c r="T874" s="46">
        <f>IFERROR(VLOOKUP(A874,'[1]Re-order'!$A:$Q,17,0),"")</f>
        <v>5.1030927835051543</v>
      </c>
      <c r="U874" s="46">
        <f>IFERROR(VLOOKUP(A874,'[1]MC Masterlist 2026-09-12'!$B:$M, 10, 0),0)</f>
        <v>15</v>
      </c>
      <c r="V874" s="46">
        <f>IFERROR(VLOOKUP(A874,'[1]MC Masterlist 2026-09-12'!$B:$M, 11, 0),0)</f>
        <v>15</v>
      </c>
      <c r="W874" s="46">
        <f t="shared" si="202"/>
        <v>30</v>
      </c>
      <c r="X874" s="46">
        <f t="shared" si="203"/>
        <v>28.833333333333332</v>
      </c>
      <c r="Y874" s="46">
        <f>IFERROR(IF(OR(C874="AREA I",C874="AREA V"),7,VLOOKUP(A874,'[1]MC Masterlist 2026-09-12'!$B:$M, 12, 0)),0)</f>
        <v>30</v>
      </c>
      <c r="Z874" s="46">
        <f t="shared" si="204"/>
        <v>1.1666666666666667</v>
      </c>
      <c r="AA874" s="46">
        <f t="shared" si="205"/>
        <v>2.3333333333333335</v>
      </c>
      <c r="AB874" s="46">
        <f t="shared" si="206"/>
        <v>2.2425925925925925</v>
      </c>
      <c r="AC874" s="46">
        <f t="shared" si="207"/>
        <v>2.3333333333333335</v>
      </c>
      <c r="AD874" s="44" t="str">
        <f t="shared" si="208"/>
        <v>Stockout</v>
      </c>
      <c r="AE874" s="44" t="str">
        <f>IFERROR(VLOOKUP(A874,'[1]Re-order'!$A:$AA,27,0),"")</f>
        <v>Stockout</v>
      </c>
      <c r="AF874" s="46">
        <f t="shared" si="209"/>
        <v>2.3333333333333335</v>
      </c>
      <c r="AG874" s="46">
        <f>SUMIFS('[1]Raw Inventory'!D:D,'[1]Raw Inventory'!C:C,"GREATWALL",'[1]Raw Inventory'!B:B,A874)</f>
        <v>1</v>
      </c>
      <c r="AH874" s="46">
        <f>SUMIFS('[1]Raw Inventory'!D:D,'[1]Raw Inventory'!C:C,"DUARTE",'[1]Raw Inventory'!B:B,A874)</f>
        <v>0</v>
      </c>
      <c r="AI874" s="46"/>
      <c r="AJ874" s="46"/>
      <c r="AK874" s="43"/>
      <c r="AL874" s="43"/>
      <c r="AM874" s="43"/>
      <c r="AN874" s="43"/>
      <c r="AO874" s="43"/>
      <c r="AP874" s="43"/>
      <c r="AQ874" s="43"/>
      <c r="AR874" s="43"/>
      <c r="AS874" s="43"/>
      <c r="AT874" s="43"/>
    </row>
    <row r="875" spans="1:46">
      <c r="A875" s="43" t="s">
        <v>84</v>
      </c>
      <c r="B875" s="43" t="s">
        <v>30</v>
      </c>
      <c r="C875" s="43" t="s">
        <v>1</v>
      </c>
      <c r="D875" s="44" t="s">
        <v>267</v>
      </c>
      <c r="E875" s="44">
        <v>37</v>
      </c>
      <c r="F875" s="44" t="s">
        <v>3</v>
      </c>
      <c r="G875" s="43" t="str">
        <f>IFERROR(VLOOKUP(A875,'[1]MC Masterlist 2026-09-12'!$B:$M, 3, 0),"")</f>
        <v>SKYGO</v>
      </c>
      <c r="H875" s="45">
        <f>IFERROR(VLOOKUP(A875,'[1]MC Masterlist 2026-09-12'!$B:$M, 6, 0),"")</f>
        <v>98325</v>
      </c>
      <c r="I875" s="46">
        <v>0</v>
      </c>
      <c r="J875" s="46">
        <v>0</v>
      </c>
      <c r="K875" s="46">
        <v>0</v>
      </c>
      <c r="L875" s="46">
        <f t="shared" si="195"/>
        <v>0</v>
      </c>
      <c r="M875" s="46">
        <f t="shared" si="196"/>
        <v>0</v>
      </c>
      <c r="N875" s="45">
        <f t="shared" si="197"/>
        <v>0</v>
      </c>
      <c r="O875" s="45">
        <f t="shared" si="198"/>
        <v>0</v>
      </c>
      <c r="P875" s="46">
        <f t="shared" si="199"/>
        <v>0</v>
      </c>
      <c r="Q875" s="46">
        <v>1</v>
      </c>
      <c r="R875" s="45">
        <f t="shared" si="200"/>
        <v>98325</v>
      </c>
      <c r="S875" s="46">
        <f t="shared" si="201"/>
        <v>0</v>
      </c>
      <c r="T875" s="46">
        <f>IFERROR(VLOOKUP(A875,'[1]Re-order'!$A:$Q,17,0),"")</f>
        <v>360</v>
      </c>
      <c r="U875" s="46">
        <f>IFERROR(VLOOKUP(A875,'[1]MC Masterlist 2026-09-12'!$B:$M, 10, 0),0)</f>
        <v>15</v>
      </c>
      <c r="V875" s="46">
        <f>IFERROR(VLOOKUP(A875,'[1]MC Masterlist 2026-09-12'!$B:$M, 11, 0),0)</f>
        <v>15</v>
      </c>
      <c r="W875" s="46">
        <f t="shared" si="202"/>
        <v>30</v>
      </c>
      <c r="X875" s="46">
        <f t="shared" si="203"/>
        <v>7</v>
      </c>
      <c r="Y875" s="46">
        <f>IFERROR(IF(OR(C875="AREA I",C875="AREA V"),7,VLOOKUP(A875,'[1]MC Masterlist 2026-09-12'!$B:$M, 12, 0)),0)</f>
        <v>7</v>
      </c>
      <c r="Z875" s="46">
        <f t="shared" si="204"/>
        <v>0</v>
      </c>
      <c r="AA875" s="46">
        <f t="shared" si="205"/>
        <v>0</v>
      </c>
      <c r="AB875" s="46">
        <f t="shared" si="206"/>
        <v>0</v>
      </c>
      <c r="AC875" s="46">
        <f t="shared" si="207"/>
        <v>0</v>
      </c>
      <c r="AD875" s="44" t="str">
        <f t="shared" si="208"/>
        <v>Over</v>
      </c>
      <c r="AE875" s="44" t="str">
        <f>IFERROR(VLOOKUP(A875,'[1]Re-order'!$A:$AA,27,0),"")</f>
        <v>Over</v>
      </c>
      <c r="AF875" s="46">
        <f t="shared" si="209"/>
        <v>-1</v>
      </c>
      <c r="AG875" s="46">
        <f>SUMIFS('[1]Raw Inventory'!D:D,'[1]Raw Inventory'!C:C,"GREATWALL",'[1]Raw Inventory'!B:B,A875)</f>
        <v>0</v>
      </c>
      <c r="AH875" s="46">
        <f>SUMIFS('[1]Raw Inventory'!D:D,'[1]Raw Inventory'!C:C,"DUARTE",'[1]Raw Inventory'!B:B,A875)</f>
        <v>0</v>
      </c>
      <c r="AI875" s="46"/>
      <c r="AJ875" s="46"/>
      <c r="AK875" s="43"/>
      <c r="AL875" s="43"/>
      <c r="AM875" s="43"/>
      <c r="AN875" s="43"/>
      <c r="AO875" s="43"/>
      <c r="AP875" s="43"/>
      <c r="AQ875" s="43"/>
      <c r="AR875" s="43"/>
      <c r="AS875" s="43"/>
      <c r="AT875" s="43"/>
    </row>
    <row r="876" spans="1:46">
      <c r="A876" s="43" t="s">
        <v>24</v>
      </c>
      <c r="B876" s="43" t="s">
        <v>153</v>
      </c>
      <c r="C876" s="43" t="s">
        <v>152</v>
      </c>
      <c r="D876" s="44" t="s">
        <v>233</v>
      </c>
      <c r="E876" s="44">
        <v>6</v>
      </c>
      <c r="F876" s="44" t="s">
        <v>2</v>
      </c>
      <c r="G876" s="43" t="str">
        <f>IFERROR(VLOOKUP(A876,'[1]MC Masterlist 2026-09-12'!$B:$M, 3, 0),"")</f>
        <v>KAWASAKI</v>
      </c>
      <c r="H876" s="45">
        <f>IFERROR(VLOOKUP(A876,'[1]MC Masterlist 2026-09-12'!$B:$M, 6, 0),"")</f>
        <v>131626</v>
      </c>
      <c r="I876" s="46">
        <v>1</v>
      </c>
      <c r="J876" s="46">
        <v>1</v>
      </c>
      <c r="K876" s="46">
        <v>1</v>
      </c>
      <c r="L876" s="46">
        <f t="shared" si="195"/>
        <v>3</v>
      </c>
      <c r="M876" s="46">
        <f t="shared" si="196"/>
        <v>1</v>
      </c>
      <c r="N876" s="45">
        <f t="shared" si="197"/>
        <v>394878</v>
      </c>
      <c r="O876" s="45">
        <f t="shared" si="198"/>
        <v>131626</v>
      </c>
      <c r="P876" s="46">
        <f t="shared" si="199"/>
        <v>3.3333333333333333E-2</v>
      </c>
      <c r="Q876" s="46">
        <v>1</v>
      </c>
      <c r="R876" s="45">
        <f t="shared" si="200"/>
        <v>131626</v>
      </c>
      <c r="S876" s="46">
        <f t="shared" si="201"/>
        <v>30</v>
      </c>
      <c r="T876" s="46">
        <f>IFERROR(VLOOKUP(A876,'[1]Re-order'!$A:$Q,17,0),"")</f>
        <v>40.677966101694913</v>
      </c>
      <c r="U876" s="46">
        <f>IFERROR(VLOOKUP(A876,'[1]MC Masterlist 2026-09-12'!$B:$M, 10, 0),0)</f>
        <v>15</v>
      </c>
      <c r="V876" s="46">
        <f>IFERROR(VLOOKUP(A876,'[1]MC Masterlist 2026-09-12'!$B:$M, 11, 0),0)</f>
        <v>15</v>
      </c>
      <c r="W876" s="46">
        <f t="shared" si="202"/>
        <v>30</v>
      </c>
      <c r="X876" s="46">
        <f t="shared" si="203"/>
        <v>29.5</v>
      </c>
      <c r="Y876" s="46">
        <f>IFERROR(IF(OR(C876="AREA I",C876="AREA V"),7,VLOOKUP(A876,'[1]MC Masterlist 2026-09-12'!$B:$M, 12, 0)),0)</f>
        <v>30</v>
      </c>
      <c r="Z876" s="46">
        <f t="shared" si="204"/>
        <v>0.5</v>
      </c>
      <c r="AA876" s="46">
        <f t="shared" si="205"/>
        <v>1</v>
      </c>
      <c r="AB876" s="46">
        <f t="shared" si="206"/>
        <v>0.98333333333333328</v>
      </c>
      <c r="AC876" s="46">
        <f t="shared" si="207"/>
        <v>1</v>
      </c>
      <c r="AD876" s="44" t="str">
        <f t="shared" si="208"/>
        <v>Re-order</v>
      </c>
      <c r="AE876" s="44" t="str">
        <f>IFERROR(VLOOKUP(A876,'[1]Re-order'!$A:$AA,27,0),"")</f>
        <v>Re-order</v>
      </c>
      <c r="AF876" s="46">
        <f t="shared" si="209"/>
        <v>0</v>
      </c>
      <c r="AG876" s="46">
        <f>SUMIFS('[1]Raw Inventory'!D:D,'[1]Raw Inventory'!C:C,"GREATWALL",'[1]Raw Inventory'!B:B,A876)</f>
        <v>12</v>
      </c>
      <c r="AH876" s="46">
        <f>SUMIFS('[1]Raw Inventory'!D:D,'[1]Raw Inventory'!C:C,"DUARTE",'[1]Raw Inventory'!B:B,A876)</f>
        <v>0</v>
      </c>
      <c r="AI876" s="46"/>
      <c r="AJ876" s="46"/>
      <c r="AK876" s="43"/>
      <c r="AL876" s="43"/>
      <c r="AM876" s="43"/>
      <c r="AN876" s="43"/>
      <c r="AO876" s="43"/>
      <c r="AP876" s="43"/>
      <c r="AQ876" s="43"/>
      <c r="AR876" s="43"/>
      <c r="AS876" s="43"/>
      <c r="AT876" s="43"/>
    </row>
    <row r="877" spans="1:46">
      <c r="A877" s="43" t="s">
        <v>65</v>
      </c>
      <c r="B877" s="43" t="s">
        <v>123</v>
      </c>
      <c r="C877" s="43" t="s">
        <v>118</v>
      </c>
      <c r="D877" s="44" t="s">
        <v>267</v>
      </c>
      <c r="E877" s="44">
        <v>25</v>
      </c>
      <c r="F877" s="44" t="s">
        <v>3</v>
      </c>
      <c r="G877" s="43" t="str">
        <f>IFERROR(VLOOKUP(A877,'[1]MC Masterlist 2026-09-12'!$B:$M, 3, 0),"")</f>
        <v>SUZUKI</v>
      </c>
      <c r="H877" s="45">
        <f>IFERROR(VLOOKUP(A877,'[1]MC Masterlist 2026-09-12'!$B:$M, 6, 0),"")</f>
        <v>77572</v>
      </c>
      <c r="I877" s="46">
        <v>0</v>
      </c>
      <c r="J877" s="46">
        <v>0</v>
      </c>
      <c r="K877" s="46">
        <v>0</v>
      </c>
      <c r="L877" s="46">
        <f t="shared" si="195"/>
        <v>0</v>
      </c>
      <c r="M877" s="46">
        <f t="shared" si="196"/>
        <v>0</v>
      </c>
      <c r="N877" s="45">
        <f t="shared" si="197"/>
        <v>0</v>
      </c>
      <c r="O877" s="45">
        <f t="shared" si="198"/>
        <v>0</v>
      </c>
      <c r="P877" s="46">
        <f t="shared" si="199"/>
        <v>0</v>
      </c>
      <c r="Q877" s="46">
        <v>3</v>
      </c>
      <c r="R877" s="45">
        <f t="shared" si="200"/>
        <v>232716</v>
      </c>
      <c r="S877" s="46">
        <f t="shared" si="201"/>
        <v>0</v>
      </c>
      <c r="T877" s="46">
        <f>IFERROR(VLOOKUP(A877,'[1]Re-order'!$A:$Q,17,0),"")</f>
        <v>158.8235294117647</v>
      </c>
      <c r="U877" s="46">
        <f>IFERROR(VLOOKUP(A877,'[1]MC Masterlist 2026-09-12'!$B:$M, 10, 0),0)</f>
        <v>15</v>
      </c>
      <c r="V877" s="46">
        <f>IFERROR(VLOOKUP(A877,'[1]MC Masterlist 2026-09-12'!$B:$M, 11, 0),0)</f>
        <v>15</v>
      </c>
      <c r="W877" s="46">
        <f t="shared" si="202"/>
        <v>30</v>
      </c>
      <c r="X877" s="46">
        <f t="shared" si="203"/>
        <v>30</v>
      </c>
      <c r="Y877" s="46">
        <f>IFERROR(IF(OR(C877="AREA I",C877="AREA V"),7,VLOOKUP(A877,'[1]MC Masterlist 2026-09-12'!$B:$M, 12, 0)),0)</f>
        <v>30</v>
      </c>
      <c r="Z877" s="46">
        <f t="shared" si="204"/>
        <v>0</v>
      </c>
      <c r="AA877" s="46">
        <f t="shared" si="205"/>
        <v>0</v>
      </c>
      <c r="AB877" s="46">
        <f t="shared" si="206"/>
        <v>0</v>
      </c>
      <c r="AC877" s="46">
        <f t="shared" si="207"/>
        <v>0</v>
      </c>
      <c r="AD877" s="44" t="str">
        <f t="shared" si="208"/>
        <v>Over</v>
      </c>
      <c r="AE877" s="44" t="str">
        <f>IFERROR(VLOOKUP(A877,'[1]Re-order'!$A:$AA,27,0),"")</f>
        <v>Over</v>
      </c>
      <c r="AF877" s="46">
        <f t="shared" si="209"/>
        <v>-3</v>
      </c>
      <c r="AG877" s="46">
        <f>SUMIFS('[1]Raw Inventory'!D:D,'[1]Raw Inventory'!C:C,"GREATWALL",'[1]Raw Inventory'!B:B,A877)</f>
        <v>4</v>
      </c>
      <c r="AH877" s="46">
        <f>SUMIFS('[1]Raw Inventory'!D:D,'[1]Raw Inventory'!C:C,"DUARTE",'[1]Raw Inventory'!B:B,A877)</f>
        <v>0</v>
      </c>
      <c r="AI877" s="46"/>
      <c r="AJ877" s="46"/>
      <c r="AK877" s="43"/>
      <c r="AL877" s="43"/>
      <c r="AM877" s="43"/>
      <c r="AN877" s="43"/>
      <c r="AO877" s="43"/>
      <c r="AP877" s="43"/>
      <c r="AQ877" s="43"/>
      <c r="AR877" s="43"/>
      <c r="AS877" s="43"/>
      <c r="AT877" s="43"/>
    </row>
    <row r="878" spans="1:46">
      <c r="A878" s="43" t="s">
        <v>69</v>
      </c>
      <c r="B878" s="43" t="s">
        <v>29</v>
      </c>
      <c r="C878" s="43" t="s">
        <v>1</v>
      </c>
      <c r="D878" s="44" t="s">
        <v>267</v>
      </c>
      <c r="E878" s="44">
        <v>38</v>
      </c>
      <c r="F878" s="44" t="s">
        <v>3</v>
      </c>
      <c r="G878" s="43" t="str">
        <f>IFERROR(VLOOKUP(A878,'[1]MC Masterlist 2026-09-12'!$B:$M, 3, 0),"")</f>
        <v>YAMAHA</v>
      </c>
      <c r="H878" s="45">
        <f>IFERROR(VLOOKUP(A878,'[1]MC Masterlist 2026-09-12'!$B:$M, 6, 0),"")</f>
        <v>54426</v>
      </c>
      <c r="I878" s="46">
        <v>0</v>
      </c>
      <c r="J878" s="46">
        <v>0</v>
      </c>
      <c r="K878" s="46">
        <v>0</v>
      </c>
      <c r="L878" s="46">
        <f t="shared" si="195"/>
        <v>0</v>
      </c>
      <c r="M878" s="46">
        <f t="shared" si="196"/>
        <v>0</v>
      </c>
      <c r="N878" s="45">
        <f t="shared" si="197"/>
        <v>0</v>
      </c>
      <c r="O878" s="45">
        <f t="shared" si="198"/>
        <v>0</v>
      </c>
      <c r="P878" s="46">
        <f t="shared" si="199"/>
        <v>0</v>
      </c>
      <c r="Q878" s="46">
        <v>2</v>
      </c>
      <c r="R878" s="45">
        <f t="shared" si="200"/>
        <v>108852</v>
      </c>
      <c r="S878" s="46">
        <f t="shared" si="201"/>
        <v>0</v>
      </c>
      <c r="T878" s="46">
        <f>IFERROR(VLOOKUP(A878,'[1]Re-order'!$A:$Q,17,0),"")</f>
        <v>62.307692307692314</v>
      </c>
      <c r="U878" s="46">
        <f>IFERROR(VLOOKUP(A878,'[1]MC Masterlist 2026-09-12'!$B:$M, 10, 0),0)</f>
        <v>15</v>
      </c>
      <c r="V878" s="46">
        <f>IFERROR(VLOOKUP(A878,'[1]MC Masterlist 2026-09-12'!$B:$M, 11, 0),0)</f>
        <v>15</v>
      </c>
      <c r="W878" s="46">
        <f t="shared" si="202"/>
        <v>30</v>
      </c>
      <c r="X878" s="46">
        <f t="shared" si="203"/>
        <v>7</v>
      </c>
      <c r="Y878" s="46">
        <f>IFERROR(IF(OR(C878="AREA I",C878="AREA V"),7,VLOOKUP(A878,'[1]MC Masterlist 2026-09-12'!$B:$M, 12, 0)),0)</f>
        <v>7</v>
      </c>
      <c r="Z878" s="46">
        <f t="shared" si="204"/>
        <v>0</v>
      </c>
      <c r="AA878" s="46">
        <f t="shared" si="205"/>
        <v>0</v>
      </c>
      <c r="AB878" s="46">
        <f t="shared" si="206"/>
        <v>0</v>
      </c>
      <c r="AC878" s="46">
        <f t="shared" si="207"/>
        <v>0</v>
      </c>
      <c r="AD878" s="44" t="str">
        <f t="shared" si="208"/>
        <v>Over</v>
      </c>
      <c r="AE878" s="44" t="str">
        <f>IFERROR(VLOOKUP(A878,'[1]Re-order'!$A:$AA,27,0),"")</f>
        <v>Re-order</v>
      </c>
      <c r="AF878" s="46">
        <f t="shared" si="209"/>
        <v>-2</v>
      </c>
      <c r="AG878" s="46">
        <f>SUMIFS('[1]Raw Inventory'!D:D,'[1]Raw Inventory'!C:C,"GREATWALL",'[1]Raw Inventory'!B:B,A878)</f>
        <v>1</v>
      </c>
      <c r="AH878" s="46">
        <f>SUMIFS('[1]Raw Inventory'!D:D,'[1]Raw Inventory'!C:C,"DUARTE",'[1]Raw Inventory'!B:B,A878)</f>
        <v>0</v>
      </c>
      <c r="AI878" s="46"/>
      <c r="AJ878" s="46"/>
      <c r="AK878" s="43"/>
      <c r="AL878" s="43"/>
      <c r="AM878" s="43"/>
      <c r="AN878" s="43"/>
      <c r="AO878" s="43"/>
      <c r="AP878" s="43"/>
      <c r="AQ878" s="43"/>
      <c r="AR878" s="43"/>
      <c r="AS878" s="43"/>
      <c r="AT878" s="43"/>
    </row>
    <row r="879" spans="1:46">
      <c r="A879" s="43" t="s">
        <v>35</v>
      </c>
      <c r="B879" s="43" t="s">
        <v>115</v>
      </c>
      <c r="C879" s="43" t="s">
        <v>109</v>
      </c>
      <c r="D879" s="44" t="s">
        <v>235</v>
      </c>
      <c r="E879" s="44">
        <v>26</v>
      </c>
      <c r="F879" s="44" t="s">
        <v>3</v>
      </c>
      <c r="G879" s="43" t="str">
        <f>IFERROR(VLOOKUP(A879,'[1]MC Masterlist 2026-09-12'!$B:$M, 3, 0),"")</f>
        <v>HONDA</v>
      </c>
      <c r="H879" s="45">
        <f>IFERROR(VLOOKUP(A879,'[1]MC Masterlist 2026-09-12'!$B:$M, 6, 0),"")</f>
        <v>57990</v>
      </c>
      <c r="I879" s="46">
        <v>0</v>
      </c>
      <c r="J879" s="46">
        <v>0</v>
      </c>
      <c r="K879" s="46">
        <v>1</v>
      </c>
      <c r="L879" s="46">
        <f t="shared" si="195"/>
        <v>1</v>
      </c>
      <c r="M879" s="46">
        <f t="shared" si="196"/>
        <v>0.33333333333333331</v>
      </c>
      <c r="N879" s="45">
        <f t="shared" si="197"/>
        <v>57990</v>
      </c>
      <c r="O879" s="45">
        <f t="shared" si="198"/>
        <v>19330</v>
      </c>
      <c r="P879" s="46">
        <f t="shared" si="199"/>
        <v>1.111111111111111E-2</v>
      </c>
      <c r="Q879" s="46">
        <v>2</v>
      </c>
      <c r="R879" s="45">
        <f t="shared" si="200"/>
        <v>115980</v>
      </c>
      <c r="S879" s="46">
        <f t="shared" si="201"/>
        <v>180</v>
      </c>
      <c r="T879" s="46">
        <f>IFERROR(VLOOKUP(A879,'[1]Re-order'!$A:$Q,17,0),"")</f>
        <v>68.275862068965523</v>
      </c>
      <c r="U879" s="46">
        <f>IFERROR(VLOOKUP(A879,'[1]MC Masterlist 2026-09-12'!$B:$M, 10, 0),0)</f>
        <v>15</v>
      </c>
      <c r="V879" s="46">
        <f>IFERROR(VLOOKUP(A879,'[1]MC Masterlist 2026-09-12'!$B:$M, 11, 0),0)</f>
        <v>15</v>
      </c>
      <c r="W879" s="46">
        <f t="shared" si="202"/>
        <v>30</v>
      </c>
      <c r="X879" s="46">
        <f t="shared" si="203"/>
        <v>29.833333333333332</v>
      </c>
      <c r="Y879" s="46">
        <f>IFERROR(IF(OR(C879="AREA I",C879="AREA V"),7,VLOOKUP(A879,'[1]MC Masterlist 2026-09-12'!$B:$M, 12, 0)),0)</f>
        <v>30</v>
      </c>
      <c r="Z879" s="46">
        <f t="shared" si="204"/>
        <v>0.16666666666666666</v>
      </c>
      <c r="AA879" s="46">
        <f t="shared" si="205"/>
        <v>0.33333333333333331</v>
      </c>
      <c r="AB879" s="46">
        <f t="shared" si="206"/>
        <v>0.33148148148148143</v>
      </c>
      <c r="AC879" s="46">
        <f t="shared" si="207"/>
        <v>0.33333333333333331</v>
      </c>
      <c r="AD879" s="44" t="str">
        <f t="shared" si="208"/>
        <v>Over</v>
      </c>
      <c r="AE879" s="44" t="str">
        <f>IFERROR(VLOOKUP(A879,'[1]Re-order'!$A:$AA,27,0),"")</f>
        <v>Re-order</v>
      </c>
      <c r="AF879" s="46">
        <f t="shared" si="209"/>
        <v>-1.6666666666666667</v>
      </c>
      <c r="AG879" s="46">
        <f>SUMIFS('[1]Raw Inventory'!D:D,'[1]Raw Inventory'!C:C,"GREATWALL",'[1]Raw Inventory'!B:B,A879)</f>
        <v>29</v>
      </c>
      <c r="AH879" s="46">
        <f>SUMIFS('[1]Raw Inventory'!D:D,'[1]Raw Inventory'!C:C,"DUARTE",'[1]Raw Inventory'!B:B,A879)</f>
        <v>0</v>
      </c>
      <c r="AI879" s="46"/>
      <c r="AJ879" s="46"/>
      <c r="AK879" s="43"/>
      <c r="AL879" s="43"/>
      <c r="AM879" s="43"/>
      <c r="AN879" s="43"/>
      <c r="AO879" s="43"/>
      <c r="AP879" s="43"/>
      <c r="AQ879" s="43"/>
      <c r="AR879" s="43"/>
      <c r="AS879" s="43"/>
      <c r="AT879" s="43"/>
    </row>
    <row r="880" spans="1:46">
      <c r="A880" s="43" t="s">
        <v>23</v>
      </c>
      <c r="B880" s="43" t="s">
        <v>114</v>
      </c>
      <c r="C880" s="43" t="s">
        <v>109</v>
      </c>
      <c r="D880" s="44" t="s">
        <v>254</v>
      </c>
      <c r="E880" s="44">
        <v>6</v>
      </c>
      <c r="F880" s="44" t="s">
        <v>2</v>
      </c>
      <c r="G880" s="43" t="str">
        <f>IFERROR(VLOOKUP(A880,'[1]MC Masterlist 2026-09-12'!$B:$M, 3, 0),"")</f>
        <v>KAWASAKI</v>
      </c>
      <c r="H880" s="45">
        <f>IFERROR(VLOOKUP(A880,'[1]MC Masterlist 2026-09-12'!$B:$M, 6, 0),"")</f>
        <v>60656</v>
      </c>
      <c r="I880" s="46">
        <v>4</v>
      </c>
      <c r="J880" s="46">
        <v>6</v>
      </c>
      <c r="K880" s="46">
        <v>4</v>
      </c>
      <c r="L880" s="46">
        <f t="shared" si="195"/>
        <v>14</v>
      </c>
      <c r="M880" s="46">
        <f t="shared" si="196"/>
        <v>4.666666666666667</v>
      </c>
      <c r="N880" s="45">
        <f t="shared" si="197"/>
        <v>849184</v>
      </c>
      <c r="O880" s="45">
        <f t="shared" si="198"/>
        <v>283061.33333333337</v>
      </c>
      <c r="P880" s="46">
        <f t="shared" si="199"/>
        <v>0.15555555555555556</v>
      </c>
      <c r="Q880" s="46">
        <v>13</v>
      </c>
      <c r="R880" s="45">
        <f t="shared" si="200"/>
        <v>788528</v>
      </c>
      <c r="S880" s="46">
        <f t="shared" si="201"/>
        <v>83.571428571428555</v>
      </c>
      <c r="T880" s="46">
        <f>IFERROR(VLOOKUP(A880,'[1]Re-order'!$A:$Q,17,0),"")</f>
        <v>53.973412112259979</v>
      </c>
      <c r="U880" s="46">
        <f>IFERROR(VLOOKUP(A880,'[1]MC Masterlist 2026-09-12'!$B:$M, 10, 0),0)</f>
        <v>15</v>
      </c>
      <c r="V880" s="46">
        <f>IFERROR(VLOOKUP(A880,'[1]MC Masterlist 2026-09-12'!$B:$M, 11, 0),0)</f>
        <v>15</v>
      </c>
      <c r="W880" s="46">
        <f t="shared" si="202"/>
        <v>30</v>
      </c>
      <c r="X880" s="46">
        <f t="shared" si="203"/>
        <v>27.666666666666668</v>
      </c>
      <c r="Y880" s="46">
        <f>IFERROR(IF(OR(C880="AREA I",C880="AREA V"),7,VLOOKUP(A880,'[1]MC Masterlist 2026-09-12'!$B:$M, 12, 0)),0)</f>
        <v>30</v>
      </c>
      <c r="Z880" s="46">
        <f t="shared" si="204"/>
        <v>2.3333333333333335</v>
      </c>
      <c r="AA880" s="46">
        <f t="shared" si="205"/>
        <v>4.666666666666667</v>
      </c>
      <c r="AB880" s="46">
        <f t="shared" si="206"/>
        <v>4.3037037037037038</v>
      </c>
      <c r="AC880" s="46">
        <f t="shared" si="207"/>
        <v>4.666666666666667</v>
      </c>
      <c r="AD880" s="44" t="str">
        <f t="shared" si="208"/>
        <v>Over</v>
      </c>
      <c r="AE880" s="44" t="str">
        <f>IFERROR(VLOOKUP(A880,'[1]Re-order'!$A:$AA,27,0),"")</f>
        <v>Re-order</v>
      </c>
      <c r="AF880" s="46">
        <f t="shared" si="209"/>
        <v>-8.3333333333333321</v>
      </c>
      <c r="AG880" s="46">
        <f>SUMIFS('[1]Raw Inventory'!D:D,'[1]Raw Inventory'!C:C,"GREATWALL",'[1]Raw Inventory'!B:B,A880)</f>
        <v>282</v>
      </c>
      <c r="AH880" s="46">
        <f>SUMIFS('[1]Raw Inventory'!D:D,'[1]Raw Inventory'!C:C,"DUARTE",'[1]Raw Inventory'!B:B,A880)</f>
        <v>0</v>
      </c>
      <c r="AI880" s="46"/>
      <c r="AJ880" s="46"/>
      <c r="AK880" s="43"/>
      <c r="AL880" s="43"/>
      <c r="AM880" s="43"/>
      <c r="AN880" s="43"/>
      <c r="AO880" s="43"/>
      <c r="AP880" s="43"/>
      <c r="AQ880" s="43"/>
      <c r="AR880" s="43"/>
      <c r="AS880" s="43"/>
      <c r="AT880" s="43"/>
    </row>
    <row r="881" spans="1:46">
      <c r="A881" s="43" t="s">
        <v>14</v>
      </c>
      <c r="B881" s="43" t="s">
        <v>29</v>
      </c>
      <c r="C881" s="43" t="s">
        <v>1</v>
      </c>
      <c r="D881" s="44" t="s">
        <v>225</v>
      </c>
      <c r="E881" s="44">
        <v>3</v>
      </c>
      <c r="F881" s="44" t="s">
        <v>0</v>
      </c>
      <c r="G881" s="43" t="str">
        <f>IFERROR(VLOOKUP(A881,'[1]MC Masterlist 2026-09-12'!$B:$M, 3, 0),"")</f>
        <v>HONDA</v>
      </c>
      <c r="H881" s="45">
        <f>IFERROR(VLOOKUP(A881,'[1]MC Masterlist 2026-09-12'!$B:$M, 6, 0),"")</f>
        <v>80070</v>
      </c>
      <c r="I881" s="46">
        <v>10</v>
      </c>
      <c r="J881" s="46">
        <v>6</v>
      </c>
      <c r="K881" s="46">
        <v>8</v>
      </c>
      <c r="L881" s="46">
        <f t="shared" si="195"/>
        <v>24</v>
      </c>
      <c r="M881" s="46">
        <f t="shared" si="196"/>
        <v>8</v>
      </c>
      <c r="N881" s="45">
        <f t="shared" si="197"/>
        <v>1921680</v>
      </c>
      <c r="O881" s="45">
        <f t="shared" si="198"/>
        <v>640560</v>
      </c>
      <c r="P881" s="46">
        <f t="shared" si="199"/>
        <v>0.26666666666666666</v>
      </c>
      <c r="Q881" s="46"/>
      <c r="R881" s="45">
        <f t="shared" si="200"/>
        <v>0</v>
      </c>
      <c r="S881" s="46">
        <f t="shared" si="201"/>
        <v>0</v>
      </c>
      <c r="T881" s="46">
        <f>IFERROR(VLOOKUP(A881,'[1]Re-order'!$A:$Q,17,0),"")</f>
        <v>20.105787181082761</v>
      </c>
      <c r="U881" s="46">
        <f>IFERROR(VLOOKUP(A881,'[1]MC Masterlist 2026-09-12'!$B:$M, 10, 0),0)</f>
        <v>15</v>
      </c>
      <c r="V881" s="46">
        <f>IFERROR(VLOOKUP(A881,'[1]MC Masterlist 2026-09-12'!$B:$M, 11, 0),0)</f>
        <v>15</v>
      </c>
      <c r="W881" s="46">
        <f t="shared" si="202"/>
        <v>30</v>
      </c>
      <c r="X881" s="46">
        <f t="shared" si="203"/>
        <v>3</v>
      </c>
      <c r="Y881" s="46">
        <f>IFERROR(IF(OR(C881="AREA I",C881="AREA V"),7,VLOOKUP(A881,'[1]MC Masterlist 2026-09-12'!$B:$M, 12, 0)),0)</f>
        <v>7</v>
      </c>
      <c r="Z881" s="46">
        <f t="shared" si="204"/>
        <v>4</v>
      </c>
      <c r="AA881" s="46">
        <f t="shared" si="205"/>
        <v>8</v>
      </c>
      <c r="AB881" s="46">
        <f t="shared" si="206"/>
        <v>0.8</v>
      </c>
      <c r="AC881" s="46">
        <f t="shared" si="207"/>
        <v>1.8666666666666667</v>
      </c>
      <c r="AD881" s="44" t="str">
        <f t="shared" si="208"/>
        <v>Stockout</v>
      </c>
      <c r="AE881" s="44" t="str">
        <f>IFERROR(VLOOKUP(A881,'[1]Re-order'!$A:$AA,27,0),"")</f>
        <v>Stockout</v>
      </c>
      <c r="AF881" s="46">
        <f t="shared" si="209"/>
        <v>1.8666666666666667</v>
      </c>
      <c r="AG881" s="46">
        <f>SUMIFS('[1]Raw Inventory'!D:D,'[1]Raw Inventory'!C:C,"GREATWALL",'[1]Raw Inventory'!B:B,A881)</f>
        <v>176</v>
      </c>
      <c r="AH881" s="46">
        <f>SUMIFS('[1]Raw Inventory'!D:D,'[1]Raw Inventory'!C:C,"DUARTE",'[1]Raw Inventory'!B:B,A881)</f>
        <v>0</v>
      </c>
      <c r="AI881" s="46"/>
      <c r="AJ881" s="46"/>
      <c r="AK881" s="43"/>
      <c r="AL881" s="43"/>
      <c r="AM881" s="43"/>
      <c r="AN881" s="43"/>
      <c r="AO881" s="43"/>
      <c r="AP881" s="43"/>
      <c r="AQ881" s="43"/>
      <c r="AR881" s="43"/>
      <c r="AS881" s="43"/>
      <c r="AT881" s="43"/>
    </row>
    <row r="882" spans="1:46">
      <c r="A882" s="43" t="s">
        <v>77</v>
      </c>
      <c r="B882" s="43" t="s">
        <v>115</v>
      </c>
      <c r="C882" s="43" t="s">
        <v>109</v>
      </c>
      <c r="D882" s="44" t="s">
        <v>247</v>
      </c>
      <c r="E882" s="44">
        <v>24</v>
      </c>
      <c r="F882" s="44" t="s">
        <v>3</v>
      </c>
      <c r="G882" s="43" t="str">
        <f>IFERROR(VLOOKUP(A882,'[1]MC Masterlist 2026-09-12'!$B:$M, 3, 0),"")</f>
        <v>SUZUKI</v>
      </c>
      <c r="H882" s="45">
        <f>IFERROR(VLOOKUP(A882,'[1]MC Masterlist 2026-09-12'!$B:$M, 6, 0),"")</f>
        <v>91057</v>
      </c>
      <c r="I882" s="46">
        <v>1</v>
      </c>
      <c r="J882" s="46">
        <v>0</v>
      </c>
      <c r="K882" s="46">
        <v>0</v>
      </c>
      <c r="L882" s="46">
        <f t="shared" si="195"/>
        <v>1</v>
      </c>
      <c r="M882" s="46">
        <f t="shared" si="196"/>
        <v>0.33333333333333331</v>
      </c>
      <c r="N882" s="45">
        <f t="shared" si="197"/>
        <v>91057</v>
      </c>
      <c r="O882" s="45">
        <f t="shared" si="198"/>
        <v>30352.333333333332</v>
      </c>
      <c r="P882" s="46">
        <f t="shared" si="199"/>
        <v>1.111111111111111E-2</v>
      </c>
      <c r="Q882" s="46">
        <v>1</v>
      </c>
      <c r="R882" s="45">
        <f t="shared" si="200"/>
        <v>91057</v>
      </c>
      <c r="S882" s="46">
        <f t="shared" si="201"/>
        <v>90</v>
      </c>
      <c r="T882" s="46">
        <f>IFERROR(VLOOKUP(A882,'[1]Re-order'!$A:$Q,17,0),"")</f>
        <v>1125</v>
      </c>
      <c r="U882" s="46">
        <f>IFERROR(VLOOKUP(A882,'[1]MC Masterlist 2026-09-12'!$B:$M, 10, 0),0)</f>
        <v>15</v>
      </c>
      <c r="V882" s="46">
        <f>IFERROR(VLOOKUP(A882,'[1]MC Masterlist 2026-09-12'!$B:$M, 11, 0),0)</f>
        <v>15</v>
      </c>
      <c r="W882" s="46">
        <f t="shared" si="202"/>
        <v>30</v>
      </c>
      <c r="X882" s="46">
        <f t="shared" si="203"/>
        <v>29.833333333333332</v>
      </c>
      <c r="Y882" s="46">
        <f>IFERROR(IF(OR(C882="AREA I",C882="AREA V"),7,VLOOKUP(A882,'[1]MC Masterlist 2026-09-12'!$B:$M, 12, 0)),0)</f>
        <v>30</v>
      </c>
      <c r="Z882" s="46">
        <f t="shared" si="204"/>
        <v>0.16666666666666666</v>
      </c>
      <c r="AA882" s="46">
        <f t="shared" si="205"/>
        <v>0.33333333333333331</v>
      </c>
      <c r="AB882" s="46">
        <f t="shared" si="206"/>
        <v>0.33148148148148143</v>
      </c>
      <c r="AC882" s="46">
        <f t="shared" si="207"/>
        <v>0.33333333333333331</v>
      </c>
      <c r="AD882" s="44" t="str">
        <f t="shared" si="208"/>
        <v>Over</v>
      </c>
      <c r="AE882" s="44" t="str">
        <f>IFERROR(VLOOKUP(A882,'[1]Re-order'!$A:$AA,27,0),"")</f>
        <v>Over</v>
      </c>
      <c r="AF882" s="46">
        <f t="shared" si="209"/>
        <v>-0.66666666666666674</v>
      </c>
      <c r="AG882" s="46">
        <f>SUMIFS('[1]Raw Inventory'!D:D,'[1]Raw Inventory'!C:C,"GREATWALL",'[1]Raw Inventory'!B:B,A882)</f>
        <v>13</v>
      </c>
      <c r="AH882" s="46">
        <f>SUMIFS('[1]Raw Inventory'!D:D,'[1]Raw Inventory'!C:C,"DUARTE",'[1]Raw Inventory'!B:B,A882)</f>
        <v>0</v>
      </c>
      <c r="AI882" s="46"/>
      <c r="AJ882" s="46"/>
      <c r="AK882" s="43"/>
      <c r="AL882" s="43"/>
      <c r="AM882" s="43"/>
      <c r="AN882" s="43"/>
      <c r="AO882" s="43"/>
      <c r="AP882" s="43"/>
      <c r="AQ882" s="43"/>
      <c r="AR882" s="43"/>
      <c r="AS882" s="43"/>
      <c r="AT882" s="43"/>
    </row>
    <row r="883" spans="1:46">
      <c r="A883" s="43" t="s">
        <v>57</v>
      </c>
      <c r="B883" s="43" t="s">
        <v>19</v>
      </c>
      <c r="C883" s="43" t="s">
        <v>1</v>
      </c>
      <c r="D883" s="44" t="s">
        <v>235</v>
      </c>
      <c r="E883" s="44">
        <v>20</v>
      </c>
      <c r="F883" s="44" t="s">
        <v>3</v>
      </c>
      <c r="G883" s="43" t="str">
        <f>IFERROR(VLOOKUP(A883,'[1]MC Masterlist 2026-09-12'!$B:$M, 3, 0),"")</f>
        <v>HONDA</v>
      </c>
      <c r="H883" s="45">
        <f>IFERROR(VLOOKUP(A883,'[1]MC Masterlist 2026-09-12'!$B:$M, 6, 0),"")</f>
        <v>146328</v>
      </c>
      <c r="I883" s="46">
        <v>0</v>
      </c>
      <c r="J883" s="46">
        <v>0</v>
      </c>
      <c r="K883" s="46">
        <v>0</v>
      </c>
      <c r="L883" s="46">
        <f t="shared" si="195"/>
        <v>0</v>
      </c>
      <c r="M883" s="46">
        <f t="shared" si="196"/>
        <v>0</v>
      </c>
      <c r="N883" s="45">
        <f t="shared" si="197"/>
        <v>0</v>
      </c>
      <c r="O883" s="45">
        <f t="shared" si="198"/>
        <v>0</v>
      </c>
      <c r="P883" s="46">
        <f t="shared" si="199"/>
        <v>0</v>
      </c>
      <c r="Q883" s="46">
        <v>1</v>
      </c>
      <c r="R883" s="45">
        <f t="shared" si="200"/>
        <v>146328</v>
      </c>
      <c r="S883" s="46">
        <f t="shared" si="201"/>
        <v>0</v>
      </c>
      <c r="T883" s="46" t="str">
        <f>IFERROR(VLOOKUP(A883,'[1]Re-order'!$A:$Q,17,0),"")</f>
        <v/>
      </c>
      <c r="U883" s="46">
        <f>IFERROR(VLOOKUP(A883,'[1]MC Masterlist 2026-09-12'!$B:$M, 10, 0),0)</f>
        <v>15</v>
      </c>
      <c r="V883" s="46">
        <f>IFERROR(VLOOKUP(A883,'[1]MC Masterlist 2026-09-12'!$B:$M, 11, 0),0)</f>
        <v>15</v>
      </c>
      <c r="W883" s="46">
        <f t="shared" si="202"/>
        <v>30</v>
      </c>
      <c r="X883" s="46">
        <f t="shared" si="203"/>
        <v>7</v>
      </c>
      <c r="Y883" s="46">
        <f>IFERROR(IF(OR(C883="AREA I",C883="AREA V"),7,VLOOKUP(A883,'[1]MC Masterlist 2026-09-12'!$B:$M, 12, 0)),0)</f>
        <v>7</v>
      </c>
      <c r="Z883" s="46">
        <f t="shared" si="204"/>
        <v>0</v>
      </c>
      <c r="AA883" s="46">
        <f t="shared" si="205"/>
        <v>0</v>
      </c>
      <c r="AB883" s="46">
        <f t="shared" si="206"/>
        <v>0</v>
      </c>
      <c r="AC883" s="46">
        <f t="shared" si="207"/>
        <v>0</v>
      </c>
      <c r="AD883" s="44" t="str">
        <f t="shared" si="208"/>
        <v>Over</v>
      </c>
      <c r="AE883" s="44" t="str">
        <f>IFERROR(VLOOKUP(A883,'[1]Re-order'!$A:$AA,27,0),"")</f>
        <v>Over</v>
      </c>
      <c r="AF883" s="46">
        <f t="shared" si="209"/>
        <v>-1</v>
      </c>
      <c r="AG883" s="46">
        <f>SUMIFS('[1]Raw Inventory'!D:D,'[1]Raw Inventory'!C:C,"GREATWALL",'[1]Raw Inventory'!B:B,A883)</f>
        <v>0</v>
      </c>
      <c r="AH883" s="46">
        <f>SUMIFS('[1]Raw Inventory'!D:D,'[1]Raw Inventory'!C:C,"DUARTE",'[1]Raw Inventory'!B:B,A883)</f>
        <v>0</v>
      </c>
      <c r="AI883" s="46"/>
      <c r="AJ883" s="46"/>
      <c r="AK883" s="43"/>
      <c r="AL883" s="43"/>
      <c r="AM883" s="43"/>
      <c r="AN883" s="43"/>
      <c r="AO883" s="43"/>
      <c r="AP883" s="43"/>
      <c r="AQ883" s="43"/>
      <c r="AR883" s="43"/>
      <c r="AS883" s="43"/>
      <c r="AT883" s="43"/>
    </row>
    <row r="884" spans="1:46">
      <c r="A884" s="43" t="s">
        <v>54</v>
      </c>
      <c r="B884" s="43" t="s">
        <v>92</v>
      </c>
      <c r="C884" s="43" t="s">
        <v>90</v>
      </c>
      <c r="D884" s="44" t="s">
        <v>241</v>
      </c>
      <c r="E884" s="44">
        <v>25</v>
      </c>
      <c r="F884" s="44" t="s">
        <v>3</v>
      </c>
      <c r="G884" s="43" t="str">
        <f>IFERROR(VLOOKUP(A884,'[1]MC Masterlist 2026-09-12'!$B:$M, 3, 0),"")</f>
        <v>HONDA</v>
      </c>
      <c r="H884" s="45">
        <f>IFERROR(VLOOKUP(A884,'[1]MC Masterlist 2026-09-12'!$B:$M, 6, 0),"")</f>
        <v>70998</v>
      </c>
      <c r="I884" s="46">
        <v>0</v>
      </c>
      <c r="J884" s="46">
        <v>1</v>
      </c>
      <c r="K884" s="46">
        <v>0</v>
      </c>
      <c r="L884" s="46">
        <f t="shared" si="195"/>
        <v>1</v>
      </c>
      <c r="M884" s="46">
        <f t="shared" si="196"/>
        <v>0.33333333333333331</v>
      </c>
      <c r="N884" s="45">
        <f t="shared" si="197"/>
        <v>70998</v>
      </c>
      <c r="O884" s="45">
        <f t="shared" si="198"/>
        <v>23666</v>
      </c>
      <c r="P884" s="46">
        <f t="shared" si="199"/>
        <v>1.111111111111111E-2</v>
      </c>
      <c r="Q884" s="46">
        <v>3</v>
      </c>
      <c r="R884" s="45">
        <f t="shared" si="200"/>
        <v>212994</v>
      </c>
      <c r="S884" s="46">
        <f t="shared" si="201"/>
        <v>270</v>
      </c>
      <c r="T884" s="46">
        <f>IFERROR(VLOOKUP(A884,'[1]Re-order'!$A:$Q,17,0),"")</f>
        <v>114.54545454545455</v>
      </c>
      <c r="U884" s="46">
        <f>IFERROR(VLOOKUP(A884,'[1]MC Masterlist 2026-09-12'!$B:$M, 10, 0),0)</f>
        <v>15</v>
      </c>
      <c r="V884" s="46">
        <f>IFERROR(VLOOKUP(A884,'[1]MC Masterlist 2026-09-12'!$B:$M, 11, 0),0)</f>
        <v>15</v>
      </c>
      <c r="W884" s="46">
        <f t="shared" si="202"/>
        <v>30</v>
      </c>
      <c r="X884" s="46">
        <f t="shared" si="203"/>
        <v>29.833333333333332</v>
      </c>
      <c r="Y884" s="46">
        <f>IFERROR(IF(OR(C884="AREA I",C884="AREA V"),7,VLOOKUP(A884,'[1]MC Masterlist 2026-09-12'!$B:$M, 12, 0)),0)</f>
        <v>30</v>
      </c>
      <c r="Z884" s="46">
        <f t="shared" si="204"/>
        <v>0.16666666666666666</v>
      </c>
      <c r="AA884" s="46">
        <f t="shared" si="205"/>
        <v>0.33333333333333331</v>
      </c>
      <c r="AB884" s="46">
        <f t="shared" si="206"/>
        <v>0.33148148148148143</v>
      </c>
      <c r="AC884" s="46">
        <f t="shared" si="207"/>
        <v>0.33333333333333331</v>
      </c>
      <c r="AD884" s="44" t="str">
        <f t="shared" si="208"/>
        <v>Over</v>
      </c>
      <c r="AE884" s="44" t="str">
        <f>IFERROR(VLOOKUP(A884,'[1]Re-order'!$A:$AA,27,0),"")</f>
        <v>Over</v>
      </c>
      <c r="AF884" s="46">
        <f t="shared" si="209"/>
        <v>-2.6666666666666665</v>
      </c>
      <c r="AG884" s="46">
        <f>SUMIFS('[1]Raw Inventory'!D:D,'[1]Raw Inventory'!C:C,"GREATWALL",'[1]Raw Inventory'!B:B,A884)</f>
        <v>0</v>
      </c>
      <c r="AH884" s="46">
        <f>SUMIFS('[1]Raw Inventory'!D:D,'[1]Raw Inventory'!C:C,"DUARTE",'[1]Raw Inventory'!B:B,A884)</f>
        <v>0</v>
      </c>
      <c r="AI884" s="46"/>
      <c r="AJ884" s="46"/>
      <c r="AK884" s="43"/>
      <c r="AL884" s="43"/>
      <c r="AM884" s="43"/>
      <c r="AN884" s="43"/>
      <c r="AO884" s="43"/>
      <c r="AP884" s="43"/>
      <c r="AQ884" s="43"/>
      <c r="AR884" s="43"/>
      <c r="AS884" s="43"/>
      <c r="AT884" s="43"/>
    </row>
    <row r="885" spans="1:46">
      <c r="A885" s="43" t="s">
        <v>28</v>
      </c>
      <c r="B885" s="43" t="s">
        <v>119</v>
      </c>
      <c r="C885" s="43" t="s">
        <v>118</v>
      </c>
      <c r="D885" s="44" t="s">
        <v>234</v>
      </c>
      <c r="E885" s="44">
        <v>4</v>
      </c>
      <c r="F885" s="44" t="s">
        <v>0</v>
      </c>
      <c r="G885" s="43" t="str">
        <f>IFERROR(VLOOKUP(A885,'[1]MC Masterlist 2026-09-12'!$B:$M, 3, 0),"")</f>
        <v>YAMAHA</v>
      </c>
      <c r="H885" s="45">
        <f>IFERROR(VLOOKUP(A885,'[1]MC Masterlist 2026-09-12'!$B:$M, 6, 0),"")</f>
        <v>147312</v>
      </c>
      <c r="I885" s="46">
        <v>1</v>
      </c>
      <c r="J885" s="46">
        <v>3</v>
      </c>
      <c r="K885" s="46">
        <v>3</v>
      </c>
      <c r="L885" s="46">
        <f t="shared" si="195"/>
        <v>7</v>
      </c>
      <c r="M885" s="46">
        <f t="shared" si="196"/>
        <v>2.3333333333333335</v>
      </c>
      <c r="N885" s="45">
        <f t="shared" si="197"/>
        <v>1031184</v>
      </c>
      <c r="O885" s="45">
        <f t="shared" si="198"/>
        <v>343728</v>
      </c>
      <c r="P885" s="46">
        <f t="shared" si="199"/>
        <v>7.7777777777777779E-2</v>
      </c>
      <c r="Q885" s="46"/>
      <c r="R885" s="45">
        <f t="shared" si="200"/>
        <v>0</v>
      </c>
      <c r="S885" s="46">
        <f t="shared" si="201"/>
        <v>0</v>
      </c>
      <c r="T885" s="46">
        <f>IFERROR(VLOOKUP(A885,'[1]Re-order'!$A:$Q,17,0),"")</f>
        <v>8.2417582417582427</v>
      </c>
      <c r="U885" s="46">
        <f>IFERROR(VLOOKUP(A885,'[1]MC Masterlist 2026-09-12'!$B:$M, 10, 0),0)</f>
        <v>15</v>
      </c>
      <c r="V885" s="46">
        <f>IFERROR(VLOOKUP(A885,'[1]MC Masterlist 2026-09-12'!$B:$M, 11, 0),0)</f>
        <v>15</v>
      </c>
      <c r="W885" s="46">
        <f t="shared" si="202"/>
        <v>30</v>
      </c>
      <c r="X885" s="46">
        <f t="shared" si="203"/>
        <v>28.833333333333332</v>
      </c>
      <c r="Y885" s="46">
        <f>IFERROR(IF(OR(C885="AREA I",C885="AREA V"),7,VLOOKUP(A885,'[1]MC Masterlist 2026-09-12'!$B:$M, 12, 0)),0)</f>
        <v>30</v>
      </c>
      <c r="Z885" s="46">
        <f t="shared" si="204"/>
        <v>1.1666666666666667</v>
      </c>
      <c r="AA885" s="46">
        <f t="shared" si="205"/>
        <v>2.3333333333333335</v>
      </c>
      <c r="AB885" s="46">
        <f t="shared" si="206"/>
        <v>2.2425925925925925</v>
      </c>
      <c r="AC885" s="46">
        <f t="shared" si="207"/>
        <v>2.3333333333333335</v>
      </c>
      <c r="AD885" s="44" t="str">
        <f t="shared" si="208"/>
        <v>Stockout</v>
      </c>
      <c r="AE885" s="44" t="str">
        <f>IFERROR(VLOOKUP(A885,'[1]Re-order'!$A:$AA,27,0),"")</f>
        <v>Stockout</v>
      </c>
      <c r="AF885" s="46">
        <f t="shared" si="209"/>
        <v>2.3333333333333335</v>
      </c>
      <c r="AG885" s="46">
        <f>SUMIFS('[1]Raw Inventory'!D:D,'[1]Raw Inventory'!C:C,"GREATWALL",'[1]Raw Inventory'!B:B,A885)</f>
        <v>0</v>
      </c>
      <c r="AH885" s="46">
        <f>SUMIFS('[1]Raw Inventory'!D:D,'[1]Raw Inventory'!C:C,"DUARTE",'[1]Raw Inventory'!B:B,A885)</f>
        <v>0</v>
      </c>
      <c r="AI885" s="46"/>
      <c r="AJ885" s="46"/>
      <c r="AK885" s="43"/>
      <c r="AL885" s="43"/>
      <c r="AM885" s="43"/>
      <c r="AN885" s="43"/>
      <c r="AO885" s="43"/>
      <c r="AP885" s="43"/>
      <c r="AQ885" s="43"/>
      <c r="AR885" s="43"/>
      <c r="AS885" s="43"/>
      <c r="AT885" s="43"/>
    </row>
    <row r="886" spans="1:46">
      <c r="A886" s="43" t="s">
        <v>83</v>
      </c>
      <c r="B886" s="43" t="s">
        <v>146</v>
      </c>
      <c r="C886" s="43" t="s">
        <v>137</v>
      </c>
      <c r="D886" s="44" t="s">
        <v>268</v>
      </c>
      <c r="E886" s="44">
        <v>20</v>
      </c>
      <c r="F886" s="44" t="s">
        <v>3</v>
      </c>
      <c r="G886" s="43" t="str">
        <f>IFERROR(VLOOKUP(A886,'[1]MC Masterlist 2026-09-12'!$B:$M, 3, 0),"")</f>
        <v>SKYGO</v>
      </c>
      <c r="H886" s="45">
        <f>IFERROR(VLOOKUP(A886,'[1]MC Masterlist 2026-09-12'!$B:$M, 6, 0),"")</f>
        <v>35055</v>
      </c>
      <c r="I886" s="46">
        <v>0</v>
      </c>
      <c r="J886" s="46">
        <v>0</v>
      </c>
      <c r="K886" s="46">
        <v>3</v>
      </c>
      <c r="L886" s="46">
        <f t="shared" si="195"/>
        <v>3</v>
      </c>
      <c r="M886" s="46">
        <f t="shared" si="196"/>
        <v>1</v>
      </c>
      <c r="N886" s="45">
        <f t="shared" si="197"/>
        <v>105165</v>
      </c>
      <c r="O886" s="45">
        <f t="shared" si="198"/>
        <v>35055</v>
      </c>
      <c r="P886" s="46">
        <f t="shared" si="199"/>
        <v>3.3333333333333333E-2</v>
      </c>
      <c r="Q886" s="46">
        <v>15</v>
      </c>
      <c r="R886" s="45">
        <f t="shared" si="200"/>
        <v>525825</v>
      </c>
      <c r="S886" s="46">
        <f t="shared" si="201"/>
        <v>450</v>
      </c>
      <c r="T886" s="46">
        <f>IFERROR(VLOOKUP(A886,'[1]Re-order'!$A:$Q,17,0),"")</f>
        <v>313.2</v>
      </c>
      <c r="U886" s="46">
        <f>IFERROR(VLOOKUP(A886,'[1]MC Masterlist 2026-09-12'!$B:$M, 10, 0),0)</f>
        <v>15</v>
      </c>
      <c r="V886" s="46">
        <f>IFERROR(VLOOKUP(A886,'[1]MC Masterlist 2026-09-12'!$B:$M, 11, 0),0)</f>
        <v>15</v>
      </c>
      <c r="W886" s="46">
        <f t="shared" si="202"/>
        <v>30</v>
      </c>
      <c r="X886" s="46">
        <f t="shared" si="203"/>
        <v>6.5</v>
      </c>
      <c r="Y886" s="46">
        <f>IFERROR(IF(OR(C886="AREA I",C886="AREA V"),7,VLOOKUP(A886,'[1]MC Masterlist 2026-09-12'!$B:$M, 12, 0)),0)</f>
        <v>7</v>
      </c>
      <c r="Z886" s="46">
        <f t="shared" si="204"/>
        <v>0.5</v>
      </c>
      <c r="AA886" s="46">
        <f t="shared" si="205"/>
        <v>1</v>
      </c>
      <c r="AB886" s="46">
        <f t="shared" si="206"/>
        <v>0.21666666666666667</v>
      </c>
      <c r="AC886" s="46">
        <f t="shared" si="207"/>
        <v>0.23333333333333334</v>
      </c>
      <c r="AD886" s="44" t="str">
        <f t="shared" si="208"/>
        <v>Over</v>
      </c>
      <c r="AE886" s="44" t="str">
        <f>IFERROR(VLOOKUP(A886,'[1]Re-order'!$A:$AA,27,0),"")</f>
        <v>Over</v>
      </c>
      <c r="AF886" s="46">
        <f t="shared" si="209"/>
        <v>-14.766666666666667</v>
      </c>
      <c r="AG886" s="46">
        <f>SUMIFS('[1]Raw Inventory'!D:D,'[1]Raw Inventory'!C:C,"GREATWALL",'[1]Raw Inventory'!B:B,A886)</f>
        <v>33</v>
      </c>
      <c r="AH886" s="46">
        <f>SUMIFS('[1]Raw Inventory'!D:D,'[1]Raw Inventory'!C:C,"DUARTE",'[1]Raw Inventory'!B:B,A886)</f>
        <v>0</v>
      </c>
      <c r="AI886" s="46"/>
      <c r="AJ886" s="46"/>
      <c r="AK886" s="43"/>
      <c r="AL886" s="43"/>
      <c r="AM886" s="43"/>
      <c r="AN886" s="43"/>
      <c r="AO886" s="43"/>
      <c r="AP886" s="43"/>
      <c r="AQ886" s="43"/>
      <c r="AR886" s="43"/>
      <c r="AS886" s="43"/>
      <c r="AT886" s="43"/>
    </row>
    <row r="887" spans="1:46">
      <c r="A887" s="43" t="s">
        <v>89</v>
      </c>
      <c r="B887" s="43" t="s">
        <v>112</v>
      </c>
      <c r="C887" s="43" t="s">
        <v>109</v>
      </c>
      <c r="D887" s="44" t="s">
        <v>256</v>
      </c>
      <c r="E887" s="44">
        <v>13</v>
      </c>
      <c r="F887" s="44" t="s">
        <v>2</v>
      </c>
      <c r="G887" s="43" t="str">
        <f>IFERROR(VLOOKUP(A887,'[1]MC Masterlist 2026-09-12'!$B:$M, 3, 0),"")</f>
        <v>HONDA</v>
      </c>
      <c r="H887" s="45">
        <f>IFERROR(VLOOKUP(A887,'[1]MC Masterlist 2026-09-12'!$B:$M, 6, 0),"")</f>
        <v>117790</v>
      </c>
      <c r="I887" s="46">
        <v>0</v>
      </c>
      <c r="J887" s="46">
        <v>1</v>
      </c>
      <c r="K887" s="46">
        <v>0</v>
      </c>
      <c r="L887" s="46">
        <f t="shared" si="195"/>
        <v>1</v>
      </c>
      <c r="M887" s="46">
        <f t="shared" si="196"/>
        <v>0.33333333333333331</v>
      </c>
      <c r="N887" s="45">
        <f t="shared" si="197"/>
        <v>117790</v>
      </c>
      <c r="O887" s="45">
        <f t="shared" si="198"/>
        <v>39263.333333333328</v>
      </c>
      <c r="P887" s="46">
        <f t="shared" si="199"/>
        <v>1.111111111111111E-2</v>
      </c>
      <c r="Q887" s="46"/>
      <c r="R887" s="45">
        <f t="shared" si="200"/>
        <v>0</v>
      </c>
      <c r="S887" s="46">
        <f t="shared" si="201"/>
        <v>0</v>
      </c>
      <c r="T887" s="46">
        <f>IFERROR(VLOOKUP(A887,'[1]Re-order'!$A:$Q,17,0),"")</f>
        <v>81.818181818181827</v>
      </c>
      <c r="U887" s="46">
        <f>IFERROR(VLOOKUP(A887,'[1]MC Masterlist 2026-09-12'!$B:$M, 10, 0),0)</f>
        <v>15</v>
      </c>
      <c r="V887" s="46">
        <f>IFERROR(VLOOKUP(A887,'[1]MC Masterlist 2026-09-12'!$B:$M, 11, 0),0)</f>
        <v>15</v>
      </c>
      <c r="W887" s="46">
        <f t="shared" si="202"/>
        <v>30</v>
      </c>
      <c r="X887" s="46">
        <f t="shared" si="203"/>
        <v>29.833333333333332</v>
      </c>
      <c r="Y887" s="46">
        <f>IFERROR(IF(OR(C887="AREA I",C887="AREA V"),7,VLOOKUP(A887,'[1]MC Masterlist 2026-09-12'!$B:$M, 12, 0)),0)</f>
        <v>30</v>
      </c>
      <c r="Z887" s="46">
        <f t="shared" si="204"/>
        <v>0.16666666666666666</v>
      </c>
      <c r="AA887" s="46">
        <f t="shared" si="205"/>
        <v>0.33333333333333331</v>
      </c>
      <c r="AB887" s="46">
        <f t="shared" si="206"/>
        <v>0.33148148148148143</v>
      </c>
      <c r="AC887" s="46">
        <f t="shared" si="207"/>
        <v>0.33333333333333331</v>
      </c>
      <c r="AD887" s="44" t="str">
        <f t="shared" si="208"/>
        <v>Stockout</v>
      </c>
      <c r="AE887" s="44" t="str">
        <f>IFERROR(VLOOKUP(A887,'[1]Re-order'!$A:$AA,27,0),"")</f>
        <v/>
      </c>
      <c r="AF887" s="46">
        <f t="shared" si="209"/>
        <v>0.33333333333333331</v>
      </c>
      <c r="AG887" s="46">
        <f>SUMIFS('[1]Raw Inventory'!D:D,'[1]Raw Inventory'!C:C,"GREATWALL",'[1]Raw Inventory'!B:B,A887)</f>
        <v>5</v>
      </c>
      <c r="AH887" s="46">
        <f>SUMIFS('[1]Raw Inventory'!D:D,'[1]Raw Inventory'!C:C,"DUARTE",'[1]Raw Inventory'!B:B,A887)</f>
        <v>0</v>
      </c>
      <c r="AI887" s="46"/>
      <c r="AJ887" s="46"/>
      <c r="AK887" s="43"/>
      <c r="AL887" s="43"/>
      <c r="AM887" s="43"/>
      <c r="AN887" s="43"/>
      <c r="AO887" s="43"/>
      <c r="AP887" s="43"/>
      <c r="AQ887" s="43"/>
      <c r="AR887" s="43"/>
      <c r="AS887" s="43"/>
      <c r="AT887" s="43"/>
    </row>
    <row r="888" spans="1:46">
      <c r="A888" s="43" t="s">
        <v>23</v>
      </c>
      <c r="B888" s="43" t="s">
        <v>157</v>
      </c>
      <c r="C888" s="43" t="s">
        <v>152</v>
      </c>
      <c r="D888" s="44" t="s">
        <v>234</v>
      </c>
      <c r="E888" s="44">
        <v>4</v>
      </c>
      <c r="F888" s="44" t="s">
        <v>0</v>
      </c>
      <c r="G888" s="43" t="str">
        <f>IFERROR(VLOOKUP(A888,'[1]MC Masterlist 2026-09-12'!$B:$M, 3, 0),"")</f>
        <v>KAWASAKI</v>
      </c>
      <c r="H888" s="45">
        <f>IFERROR(VLOOKUP(A888,'[1]MC Masterlist 2026-09-12'!$B:$M, 6, 0),"")</f>
        <v>60656</v>
      </c>
      <c r="I888" s="46">
        <v>6</v>
      </c>
      <c r="J888" s="46">
        <v>6</v>
      </c>
      <c r="K888" s="46">
        <v>4</v>
      </c>
      <c r="L888" s="46">
        <f t="shared" si="195"/>
        <v>16</v>
      </c>
      <c r="M888" s="46">
        <f t="shared" si="196"/>
        <v>5.333333333333333</v>
      </c>
      <c r="N888" s="45">
        <f t="shared" si="197"/>
        <v>970496</v>
      </c>
      <c r="O888" s="45">
        <f t="shared" si="198"/>
        <v>323498.66666666663</v>
      </c>
      <c r="P888" s="46">
        <f t="shared" si="199"/>
        <v>0.17777777777777776</v>
      </c>
      <c r="Q888" s="46">
        <v>4</v>
      </c>
      <c r="R888" s="45">
        <f t="shared" si="200"/>
        <v>242624</v>
      </c>
      <c r="S888" s="46">
        <f t="shared" si="201"/>
        <v>22.500000000000004</v>
      </c>
      <c r="T888" s="46">
        <f>IFERROR(VLOOKUP(A888,'[1]Re-order'!$A:$Q,17,0),"")</f>
        <v>53.973412112259979</v>
      </c>
      <c r="U888" s="46">
        <f>IFERROR(VLOOKUP(A888,'[1]MC Masterlist 2026-09-12'!$B:$M, 10, 0),0)</f>
        <v>15</v>
      </c>
      <c r="V888" s="46">
        <f>IFERROR(VLOOKUP(A888,'[1]MC Masterlist 2026-09-12'!$B:$M, 11, 0),0)</f>
        <v>15</v>
      </c>
      <c r="W888" s="46">
        <f t="shared" si="202"/>
        <v>30</v>
      </c>
      <c r="X888" s="46">
        <f t="shared" si="203"/>
        <v>27.333333333333332</v>
      </c>
      <c r="Y888" s="46">
        <f>IFERROR(IF(OR(C888="AREA I",C888="AREA V"),7,VLOOKUP(A888,'[1]MC Masterlist 2026-09-12'!$B:$M, 12, 0)),0)</f>
        <v>30</v>
      </c>
      <c r="Z888" s="46">
        <f t="shared" si="204"/>
        <v>2.6666666666666665</v>
      </c>
      <c r="AA888" s="46">
        <f t="shared" si="205"/>
        <v>5.333333333333333</v>
      </c>
      <c r="AB888" s="46">
        <f t="shared" si="206"/>
        <v>4.8592592592592583</v>
      </c>
      <c r="AC888" s="46">
        <f t="shared" si="207"/>
        <v>5.333333333333333</v>
      </c>
      <c r="AD888" s="44" t="str">
        <f t="shared" si="208"/>
        <v>Re-order</v>
      </c>
      <c r="AE888" s="44" t="str">
        <f>IFERROR(VLOOKUP(A888,'[1]Re-order'!$A:$AA,27,0),"")</f>
        <v>Re-order</v>
      </c>
      <c r="AF888" s="46">
        <f t="shared" si="209"/>
        <v>1.333333333333333</v>
      </c>
      <c r="AG888" s="46">
        <f>SUMIFS('[1]Raw Inventory'!D:D,'[1]Raw Inventory'!C:C,"GREATWALL",'[1]Raw Inventory'!B:B,A888)</f>
        <v>282</v>
      </c>
      <c r="AH888" s="46">
        <f>SUMIFS('[1]Raw Inventory'!D:D,'[1]Raw Inventory'!C:C,"DUARTE",'[1]Raw Inventory'!B:B,A888)</f>
        <v>0</v>
      </c>
      <c r="AI888" s="46"/>
      <c r="AJ888" s="46"/>
      <c r="AK888" s="43"/>
      <c r="AL888" s="43"/>
      <c r="AM888" s="43"/>
      <c r="AN888" s="43"/>
      <c r="AO888" s="43"/>
      <c r="AP888" s="43"/>
      <c r="AQ888" s="43"/>
      <c r="AR888" s="43"/>
      <c r="AS888" s="43"/>
      <c r="AT888" s="43"/>
    </row>
    <row r="889" spans="1:46">
      <c r="A889" s="43" t="s">
        <v>42</v>
      </c>
      <c r="B889" s="43" t="s">
        <v>130</v>
      </c>
      <c r="C889" s="43" t="s">
        <v>128</v>
      </c>
      <c r="D889" s="44" t="s">
        <v>268</v>
      </c>
      <c r="E889" s="44">
        <v>21</v>
      </c>
      <c r="F889" s="44" t="s">
        <v>3</v>
      </c>
      <c r="G889" s="43" t="str">
        <f>IFERROR(VLOOKUP(A889,'[1]MC Masterlist 2026-09-12'!$B:$M, 3, 0),"")</f>
        <v>YAMAHA</v>
      </c>
      <c r="H889" s="45">
        <f>IFERROR(VLOOKUP(A889,'[1]MC Masterlist 2026-09-12'!$B:$M, 6, 0),"")</f>
        <v>152892</v>
      </c>
      <c r="I889" s="46">
        <v>1</v>
      </c>
      <c r="J889" s="46">
        <v>0</v>
      </c>
      <c r="K889" s="46">
        <v>0</v>
      </c>
      <c r="L889" s="46">
        <f t="shared" si="195"/>
        <v>1</v>
      </c>
      <c r="M889" s="46">
        <f t="shared" si="196"/>
        <v>0.33333333333333331</v>
      </c>
      <c r="N889" s="45">
        <f t="shared" si="197"/>
        <v>152892</v>
      </c>
      <c r="O889" s="45">
        <f t="shared" si="198"/>
        <v>50964</v>
      </c>
      <c r="P889" s="46">
        <f t="shared" si="199"/>
        <v>1.111111111111111E-2</v>
      </c>
      <c r="Q889" s="46">
        <v>3</v>
      </c>
      <c r="R889" s="45">
        <f t="shared" si="200"/>
        <v>458676</v>
      </c>
      <c r="S889" s="46">
        <f t="shared" si="201"/>
        <v>270</v>
      </c>
      <c r="T889" s="46">
        <f>IFERROR(VLOOKUP(A889,'[1]Re-order'!$A:$Q,17,0),"")</f>
        <v>104.55882352941177</v>
      </c>
      <c r="U889" s="46">
        <f>IFERROR(VLOOKUP(A889,'[1]MC Masterlist 2026-09-12'!$B:$M, 10, 0),0)</f>
        <v>15</v>
      </c>
      <c r="V889" s="46">
        <f>IFERROR(VLOOKUP(A889,'[1]MC Masterlist 2026-09-12'!$B:$M, 11, 0),0)</f>
        <v>15</v>
      </c>
      <c r="W889" s="46">
        <f t="shared" si="202"/>
        <v>30</v>
      </c>
      <c r="X889" s="46">
        <f t="shared" si="203"/>
        <v>29.833333333333332</v>
      </c>
      <c r="Y889" s="46">
        <f>IFERROR(IF(OR(C889="AREA I",C889="AREA V"),7,VLOOKUP(A889,'[1]MC Masterlist 2026-09-12'!$B:$M, 12, 0)),0)</f>
        <v>30</v>
      </c>
      <c r="Z889" s="46">
        <f t="shared" si="204"/>
        <v>0.16666666666666666</v>
      </c>
      <c r="AA889" s="46">
        <f t="shared" si="205"/>
        <v>0.33333333333333331</v>
      </c>
      <c r="AB889" s="46">
        <f t="shared" si="206"/>
        <v>0.33148148148148143</v>
      </c>
      <c r="AC889" s="46">
        <f t="shared" si="207"/>
        <v>0.33333333333333331</v>
      </c>
      <c r="AD889" s="44" t="str">
        <f t="shared" si="208"/>
        <v>Over</v>
      </c>
      <c r="AE889" s="44" t="str">
        <f>IFERROR(VLOOKUP(A889,'[1]Re-order'!$A:$AA,27,0),"")</f>
        <v>Over</v>
      </c>
      <c r="AF889" s="46">
        <f t="shared" si="209"/>
        <v>-2.6666666666666665</v>
      </c>
      <c r="AG889" s="46">
        <f>SUMIFS('[1]Raw Inventory'!D:D,'[1]Raw Inventory'!C:C,"GREATWALL",'[1]Raw Inventory'!B:B,A889)</f>
        <v>3</v>
      </c>
      <c r="AH889" s="46">
        <f>SUMIFS('[1]Raw Inventory'!D:D,'[1]Raw Inventory'!C:C,"DUARTE",'[1]Raw Inventory'!B:B,A889)</f>
        <v>0</v>
      </c>
      <c r="AI889" s="46"/>
      <c r="AJ889" s="46"/>
      <c r="AK889" s="43"/>
      <c r="AL889" s="43"/>
      <c r="AM889" s="43"/>
      <c r="AN889" s="43"/>
      <c r="AO889" s="43"/>
      <c r="AP889" s="43"/>
      <c r="AQ889" s="43"/>
      <c r="AR889" s="43"/>
      <c r="AS889" s="43"/>
      <c r="AT889" s="43"/>
    </row>
    <row r="890" spans="1:46">
      <c r="A890" s="43" t="s">
        <v>42</v>
      </c>
      <c r="B890" s="43" t="s">
        <v>157</v>
      </c>
      <c r="C890" s="43" t="s">
        <v>152</v>
      </c>
      <c r="D890" s="44" t="s">
        <v>255</v>
      </c>
      <c r="E890" s="44">
        <v>11</v>
      </c>
      <c r="F890" s="44" t="s">
        <v>2</v>
      </c>
      <c r="G890" s="43" t="str">
        <f>IFERROR(VLOOKUP(A890,'[1]MC Masterlist 2026-09-12'!$B:$M, 3, 0),"")</f>
        <v>YAMAHA</v>
      </c>
      <c r="H890" s="45">
        <f>IFERROR(VLOOKUP(A890,'[1]MC Masterlist 2026-09-12'!$B:$M, 6, 0),"")</f>
        <v>152892</v>
      </c>
      <c r="I890" s="46">
        <v>1</v>
      </c>
      <c r="J890" s="46">
        <v>1</v>
      </c>
      <c r="K890" s="46">
        <v>1</v>
      </c>
      <c r="L890" s="46">
        <f t="shared" si="195"/>
        <v>3</v>
      </c>
      <c r="M890" s="46">
        <f t="shared" si="196"/>
        <v>1</v>
      </c>
      <c r="N890" s="45">
        <f t="shared" si="197"/>
        <v>458676</v>
      </c>
      <c r="O890" s="45">
        <f t="shared" si="198"/>
        <v>152892</v>
      </c>
      <c r="P890" s="46">
        <f t="shared" si="199"/>
        <v>3.3333333333333333E-2</v>
      </c>
      <c r="Q890" s="46">
        <v>2</v>
      </c>
      <c r="R890" s="45">
        <f t="shared" si="200"/>
        <v>305784</v>
      </c>
      <c r="S890" s="46">
        <f t="shared" si="201"/>
        <v>60</v>
      </c>
      <c r="T890" s="46">
        <f>IFERROR(VLOOKUP(A890,'[1]Re-order'!$A:$Q,17,0),"")</f>
        <v>104.55882352941177</v>
      </c>
      <c r="U890" s="46">
        <f>IFERROR(VLOOKUP(A890,'[1]MC Masterlist 2026-09-12'!$B:$M, 10, 0),0)</f>
        <v>15</v>
      </c>
      <c r="V890" s="46">
        <f>IFERROR(VLOOKUP(A890,'[1]MC Masterlist 2026-09-12'!$B:$M, 11, 0),0)</f>
        <v>15</v>
      </c>
      <c r="W890" s="46">
        <f t="shared" si="202"/>
        <v>30</v>
      </c>
      <c r="X890" s="46">
        <f t="shared" si="203"/>
        <v>29.5</v>
      </c>
      <c r="Y890" s="46">
        <f>IFERROR(IF(OR(C890="AREA I",C890="AREA V"),7,VLOOKUP(A890,'[1]MC Masterlist 2026-09-12'!$B:$M, 12, 0)),0)</f>
        <v>30</v>
      </c>
      <c r="Z890" s="46">
        <f t="shared" si="204"/>
        <v>0.5</v>
      </c>
      <c r="AA890" s="46">
        <f t="shared" si="205"/>
        <v>1</v>
      </c>
      <c r="AB890" s="46">
        <f t="shared" si="206"/>
        <v>0.98333333333333328</v>
      </c>
      <c r="AC890" s="46">
        <f t="shared" si="207"/>
        <v>1</v>
      </c>
      <c r="AD890" s="44" t="str">
        <f t="shared" si="208"/>
        <v>Over</v>
      </c>
      <c r="AE890" s="44" t="str">
        <f>IFERROR(VLOOKUP(A890,'[1]Re-order'!$A:$AA,27,0),"")</f>
        <v>Over</v>
      </c>
      <c r="AF890" s="46">
        <f t="shared" si="209"/>
        <v>-1</v>
      </c>
      <c r="AG890" s="46">
        <f>SUMIFS('[1]Raw Inventory'!D:D,'[1]Raw Inventory'!C:C,"GREATWALL",'[1]Raw Inventory'!B:B,A890)</f>
        <v>3</v>
      </c>
      <c r="AH890" s="46">
        <f>SUMIFS('[1]Raw Inventory'!D:D,'[1]Raw Inventory'!C:C,"DUARTE",'[1]Raw Inventory'!B:B,A890)</f>
        <v>0</v>
      </c>
      <c r="AI890" s="46"/>
      <c r="AJ890" s="46"/>
      <c r="AK890" s="43"/>
      <c r="AL890" s="43"/>
      <c r="AM890" s="43"/>
      <c r="AN890" s="43"/>
      <c r="AO890" s="43"/>
      <c r="AP890" s="43"/>
      <c r="AQ890" s="43"/>
      <c r="AR890" s="43"/>
      <c r="AS890" s="43"/>
      <c r="AT890" s="43"/>
    </row>
    <row r="891" spans="1:46">
      <c r="A891" s="43" t="s">
        <v>46</v>
      </c>
      <c r="B891" s="43" t="s">
        <v>95</v>
      </c>
      <c r="C891" s="43" t="s">
        <v>90</v>
      </c>
      <c r="D891" s="44" t="s">
        <v>235</v>
      </c>
      <c r="E891" s="44">
        <v>22</v>
      </c>
      <c r="F891" s="44" t="s">
        <v>3</v>
      </c>
      <c r="G891" s="43" t="str">
        <f>IFERROR(VLOOKUP(A891,'[1]MC Masterlist 2026-09-12'!$B:$M, 3, 0),"")</f>
        <v>HONDA</v>
      </c>
      <c r="H891" s="45">
        <f>IFERROR(VLOOKUP(A891,'[1]MC Masterlist 2026-09-12'!$B:$M, 6, 0),"")</f>
        <v>73630</v>
      </c>
      <c r="I891" s="46">
        <v>0</v>
      </c>
      <c r="J891" s="46">
        <v>0</v>
      </c>
      <c r="K891" s="46">
        <v>0</v>
      </c>
      <c r="L891" s="46">
        <f t="shared" si="195"/>
        <v>0</v>
      </c>
      <c r="M891" s="46">
        <f t="shared" si="196"/>
        <v>0</v>
      </c>
      <c r="N891" s="45">
        <f t="shared" si="197"/>
        <v>0</v>
      </c>
      <c r="O891" s="45">
        <f t="shared" si="198"/>
        <v>0</v>
      </c>
      <c r="P891" s="46">
        <f t="shared" si="199"/>
        <v>0</v>
      </c>
      <c r="Q891" s="46">
        <v>1</v>
      </c>
      <c r="R891" s="45">
        <f t="shared" si="200"/>
        <v>73630</v>
      </c>
      <c r="S891" s="46">
        <f t="shared" si="201"/>
        <v>0</v>
      </c>
      <c r="T891" s="46">
        <f>IFERROR(VLOOKUP(A891,'[1]Re-order'!$A:$Q,17,0),"")</f>
        <v>51</v>
      </c>
      <c r="U891" s="46">
        <f>IFERROR(VLOOKUP(A891,'[1]MC Masterlist 2026-09-12'!$B:$M, 10, 0),0)</f>
        <v>15</v>
      </c>
      <c r="V891" s="46">
        <f>IFERROR(VLOOKUP(A891,'[1]MC Masterlist 2026-09-12'!$B:$M, 11, 0),0)</f>
        <v>15</v>
      </c>
      <c r="W891" s="46">
        <f t="shared" si="202"/>
        <v>30</v>
      </c>
      <c r="X891" s="46">
        <f t="shared" si="203"/>
        <v>30</v>
      </c>
      <c r="Y891" s="46">
        <f>IFERROR(IF(OR(C891="AREA I",C891="AREA V"),7,VLOOKUP(A891,'[1]MC Masterlist 2026-09-12'!$B:$M, 12, 0)),0)</f>
        <v>30</v>
      </c>
      <c r="Z891" s="46">
        <f t="shared" si="204"/>
        <v>0</v>
      </c>
      <c r="AA891" s="46">
        <f t="shared" si="205"/>
        <v>0</v>
      </c>
      <c r="AB891" s="46">
        <f t="shared" si="206"/>
        <v>0</v>
      </c>
      <c r="AC891" s="46">
        <f t="shared" si="207"/>
        <v>0</v>
      </c>
      <c r="AD891" s="44" t="str">
        <f t="shared" si="208"/>
        <v>Over</v>
      </c>
      <c r="AE891" s="44" t="str">
        <f>IFERROR(VLOOKUP(A891,'[1]Re-order'!$A:$AA,27,0),"")</f>
        <v>Re-order</v>
      </c>
      <c r="AF891" s="46">
        <f t="shared" si="209"/>
        <v>-1</v>
      </c>
      <c r="AG891" s="46">
        <f>SUMIFS('[1]Raw Inventory'!D:D,'[1]Raw Inventory'!C:C,"GREATWALL",'[1]Raw Inventory'!B:B,A891)</f>
        <v>0</v>
      </c>
      <c r="AH891" s="46">
        <f>SUMIFS('[1]Raw Inventory'!D:D,'[1]Raw Inventory'!C:C,"DUARTE",'[1]Raw Inventory'!B:B,A891)</f>
        <v>0</v>
      </c>
      <c r="AI891" s="46"/>
      <c r="AJ891" s="46"/>
      <c r="AK891" s="43"/>
      <c r="AL891" s="43"/>
      <c r="AM891" s="43"/>
      <c r="AN891" s="43"/>
      <c r="AO891" s="43"/>
      <c r="AP891" s="43"/>
      <c r="AQ891" s="43"/>
      <c r="AR891" s="43"/>
      <c r="AS891" s="43"/>
      <c r="AT891" s="43"/>
    </row>
    <row r="892" spans="1:46">
      <c r="A892" s="43" t="s">
        <v>20</v>
      </c>
      <c r="B892" s="43" t="s">
        <v>120</v>
      </c>
      <c r="C892" s="43" t="s">
        <v>118</v>
      </c>
      <c r="D892" s="44" t="s">
        <v>253</v>
      </c>
      <c r="E892" s="44">
        <v>23</v>
      </c>
      <c r="F892" s="44" t="s">
        <v>3</v>
      </c>
      <c r="G892" s="43" t="str">
        <f>IFERROR(VLOOKUP(A892,'[1]MC Masterlist 2026-09-12'!$B:$M, 3, 0),"")</f>
        <v>HONDA</v>
      </c>
      <c r="H892" s="45">
        <f>IFERROR(VLOOKUP(A892,'[1]MC Masterlist 2026-09-12'!$B:$M, 6, 0),"")</f>
        <v>69950</v>
      </c>
      <c r="I892" s="46">
        <v>0</v>
      </c>
      <c r="J892" s="46">
        <v>0</v>
      </c>
      <c r="K892" s="46">
        <v>0</v>
      </c>
      <c r="L892" s="46">
        <f t="shared" si="195"/>
        <v>0</v>
      </c>
      <c r="M892" s="46">
        <f t="shared" si="196"/>
        <v>0</v>
      </c>
      <c r="N892" s="45">
        <f t="shared" si="197"/>
        <v>0</v>
      </c>
      <c r="O892" s="45">
        <f t="shared" si="198"/>
        <v>0</v>
      </c>
      <c r="P892" s="46">
        <f t="shared" si="199"/>
        <v>0</v>
      </c>
      <c r="Q892" s="46">
        <v>6</v>
      </c>
      <c r="R892" s="45">
        <f t="shared" si="200"/>
        <v>419700</v>
      </c>
      <c r="S892" s="46">
        <f t="shared" si="201"/>
        <v>0</v>
      </c>
      <c r="T892" s="46">
        <f>IFERROR(VLOOKUP(A892,'[1]Re-order'!$A:$Q,17,0),"")</f>
        <v>75.775862068965523</v>
      </c>
      <c r="U892" s="46">
        <f>IFERROR(VLOOKUP(A892,'[1]MC Masterlist 2026-09-12'!$B:$M, 10, 0),0)</f>
        <v>15</v>
      </c>
      <c r="V892" s="46">
        <f>IFERROR(VLOOKUP(A892,'[1]MC Masterlist 2026-09-12'!$B:$M, 11, 0),0)</f>
        <v>15</v>
      </c>
      <c r="W892" s="46">
        <f t="shared" si="202"/>
        <v>30</v>
      </c>
      <c r="X892" s="46">
        <f t="shared" si="203"/>
        <v>30</v>
      </c>
      <c r="Y892" s="46">
        <f>IFERROR(IF(OR(C892="AREA I",C892="AREA V"),7,VLOOKUP(A892,'[1]MC Masterlist 2026-09-12'!$B:$M, 12, 0)),0)</f>
        <v>30</v>
      </c>
      <c r="Z892" s="46">
        <f t="shared" si="204"/>
        <v>0</v>
      </c>
      <c r="AA892" s="46">
        <f t="shared" si="205"/>
        <v>0</v>
      </c>
      <c r="AB892" s="46">
        <f t="shared" si="206"/>
        <v>0</v>
      </c>
      <c r="AC892" s="46">
        <f t="shared" si="207"/>
        <v>0</v>
      </c>
      <c r="AD892" s="44" t="str">
        <f t="shared" si="208"/>
        <v>Over</v>
      </c>
      <c r="AE892" s="44" t="str">
        <f>IFERROR(VLOOKUP(A892,'[1]Re-order'!$A:$AA,27,0),"")</f>
        <v/>
      </c>
      <c r="AF892" s="46">
        <f t="shared" si="209"/>
        <v>-6</v>
      </c>
      <c r="AG892" s="46">
        <f>SUMIFS('[1]Raw Inventory'!D:D,'[1]Raw Inventory'!C:C,"GREATWALL",'[1]Raw Inventory'!B:B,A892)</f>
        <v>110</v>
      </c>
      <c r="AH892" s="46">
        <f>SUMIFS('[1]Raw Inventory'!D:D,'[1]Raw Inventory'!C:C,"DUARTE",'[1]Raw Inventory'!B:B,A892)</f>
        <v>0</v>
      </c>
      <c r="AI892" s="46"/>
      <c r="AJ892" s="46"/>
      <c r="AK892" s="43"/>
      <c r="AL892" s="43"/>
      <c r="AM892" s="43"/>
      <c r="AN892" s="43"/>
      <c r="AO892" s="43"/>
      <c r="AP892" s="43"/>
      <c r="AQ892" s="43"/>
      <c r="AR892" s="43"/>
      <c r="AS892" s="43"/>
      <c r="AT892" s="43"/>
    </row>
    <row r="893" spans="1:46">
      <c r="A893" s="43" t="s">
        <v>76</v>
      </c>
      <c r="B893" s="43" t="s">
        <v>111</v>
      </c>
      <c r="C893" s="43" t="s">
        <v>109</v>
      </c>
      <c r="D893" s="44" t="s">
        <v>255</v>
      </c>
      <c r="E893" s="44">
        <v>11</v>
      </c>
      <c r="F893" s="44" t="s">
        <v>2</v>
      </c>
      <c r="G893" s="43" t="str">
        <f>IFERROR(VLOOKUP(A893,'[1]MC Masterlist 2026-09-12'!$B:$M, 3, 0),"")</f>
        <v>SUZUKI</v>
      </c>
      <c r="H893" s="45">
        <f>IFERROR(VLOOKUP(A893,'[1]MC Masterlist 2026-09-12'!$B:$M, 6, 0),"")</f>
        <v>62692</v>
      </c>
      <c r="I893" s="46">
        <v>1</v>
      </c>
      <c r="J893" s="46">
        <v>3</v>
      </c>
      <c r="K893" s="46">
        <v>0</v>
      </c>
      <c r="L893" s="46">
        <f t="shared" si="195"/>
        <v>4</v>
      </c>
      <c r="M893" s="46">
        <f t="shared" si="196"/>
        <v>1.3333333333333333</v>
      </c>
      <c r="N893" s="45">
        <f t="shared" si="197"/>
        <v>250768</v>
      </c>
      <c r="O893" s="45">
        <f t="shared" si="198"/>
        <v>83589.333333333328</v>
      </c>
      <c r="P893" s="46">
        <f t="shared" si="199"/>
        <v>4.4444444444444439E-2</v>
      </c>
      <c r="Q893" s="46">
        <v>1</v>
      </c>
      <c r="R893" s="45">
        <f t="shared" si="200"/>
        <v>62692</v>
      </c>
      <c r="S893" s="46">
        <f t="shared" si="201"/>
        <v>22.5</v>
      </c>
      <c r="T893" s="46">
        <f>IFERROR(VLOOKUP(A893,'[1]Re-order'!$A:$Q,17,0),"")</f>
        <v>106.36363636363636</v>
      </c>
      <c r="U893" s="46">
        <f>IFERROR(VLOOKUP(A893,'[1]MC Masterlist 2026-09-12'!$B:$M, 10, 0),0)</f>
        <v>15</v>
      </c>
      <c r="V893" s="46">
        <f>IFERROR(VLOOKUP(A893,'[1]MC Masterlist 2026-09-12'!$B:$M, 11, 0),0)</f>
        <v>15</v>
      </c>
      <c r="W893" s="46">
        <f t="shared" si="202"/>
        <v>30</v>
      </c>
      <c r="X893" s="46">
        <f t="shared" si="203"/>
        <v>29.333333333333332</v>
      </c>
      <c r="Y893" s="46">
        <f>IFERROR(IF(OR(C893="AREA I",C893="AREA V"),7,VLOOKUP(A893,'[1]MC Masterlist 2026-09-12'!$B:$M, 12, 0)),0)</f>
        <v>30</v>
      </c>
      <c r="Z893" s="46">
        <f t="shared" si="204"/>
        <v>0.66666666666666663</v>
      </c>
      <c r="AA893" s="46">
        <f t="shared" si="205"/>
        <v>1.3333333333333333</v>
      </c>
      <c r="AB893" s="46">
        <f t="shared" si="206"/>
        <v>1.3037037037037036</v>
      </c>
      <c r="AC893" s="46">
        <f t="shared" si="207"/>
        <v>1.3333333333333333</v>
      </c>
      <c r="AD893" s="44" t="str">
        <f t="shared" si="208"/>
        <v>Re-order</v>
      </c>
      <c r="AE893" s="44" t="str">
        <f>IFERROR(VLOOKUP(A893,'[1]Re-order'!$A:$AA,27,0),"")</f>
        <v>Over</v>
      </c>
      <c r="AF893" s="46">
        <f t="shared" si="209"/>
        <v>0.33333333333333326</v>
      </c>
      <c r="AG893" s="46">
        <f>SUMIFS('[1]Raw Inventory'!D:D,'[1]Raw Inventory'!C:C,"GREATWALL",'[1]Raw Inventory'!B:B,A893)</f>
        <v>1</v>
      </c>
      <c r="AH893" s="46">
        <f>SUMIFS('[1]Raw Inventory'!D:D,'[1]Raw Inventory'!C:C,"DUARTE",'[1]Raw Inventory'!B:B,A893)</f>
        <v>0</v>
      </c>
      <c r="AI893" s="46"/>
      <c r="AJ893" s="46"/>
      <c r="AK893" s="43"/>
      <c r="AL893" s="43"/>
      <c r="AM893" s="43"/>
      <c r="AN893" s="43"/>
      <c r="AO893" s="43"/>
      <c r="AP893" s="43"/>
      <c r="AQ893" s="43"/>
      <c r="AR893" s="43"/>
      <c r="AS893" s="43"/>
      <c r="AT893" s="43"/>
    </row>
    <row r="894" spans="1:46">
      <c r="A894" s="43" t="s">
        <v>16</v>
      </c>
      <c r="B894" s="43" t="s">
        <v>19</v>
      </c>
      <c r="C894" s="43" t="s">
        <v>1</v>
      </c>
      <c r="D894" s="44" t="s">
        <v>234</v>
      </c>
      <c r="E894" s="44">
        <v>4</v>
      </c>
      <c r="F894" s="44" t="s">
        <v>0</v>
      </c>
      <c r="G894" s="43" t="str">
        <f>IFERROR(VLOOKUP(A894,'[1]MC Masterlist 2026-09-12'!$B:$M, 3, 0),"")</f>
        <v>HONDA</v>
      </c>
      <c r="H894" s="45">
        <f>IFERROR(VLOOKUP(A894,'[1]MC Masterlist 2026-09-12'!$B:$M, 6, 0),"")</f>
        <v>84394</v>
      </c>
      <c r="I894" s="46">
        <v>12</v>
      </c>
      <c r="J894" s="46">
        <v>12</v>
      </c>
      <c r="K894" s="46">
        <v>14</v>
      </c>
      <c r="L894" s="46">
        <f t="shared" si="195"/>
        <v>38</v>
      </c>
      <c r="M894" s="46">
        <f t="shared" si="196"/>
        <v>12.666666666666666</v>
      </c>
      <c r="N894" s="45">
        <f t="shared" si="197"/>
        <v>3206972</v>
      </c>
      <c r="O894" s="45">
        <f t="shared" si="198"/>
        <v>1068990.6666666665</v>
      </c>
      <c r="P894" s="46">
        <f t="shared" si="199"/>
        <v>0.42222222222222222</v>
      </c>
      <c r="Q894" s="46">
        <v>1</v>
      </c>
      <c r="R894" s="45">
        <f t="shared" si="200"/>
        <v>84394</v>
      </c>
      <c r="S894" s="46">
        <f t="shared" si="201"/>
        <v>2.3684210526315792</v>
      </c>
      <c r="T894" s="46">
        <f>IFERROR(VLOOKUP(A894,'[1]Re-order'!$A:$Q,17,0),"")</f>
        <v>26.332665330661321</v>
      </c>
      <c r="U894" s="46">
        <f>IFERROR(VLOOKUP(A894,'[1]MC Masterlist 2026-09-12'!$B:$M, 10, 0),0)</f>
        <v>15</v>
      </c>
      <c r="V894" s="46">
        <f>IFERROR(VLOOKUP(A894,'[1]MC Masterlist 2026-09-12'!$B:$M, 11, 0),0)</f>
        <v>15</v>
      </c>
      <c r="W894" s="46">
        <f t="shared" si="202"/>
        <v>30</v>
      </c>
      <c r="X894" s="46">
        <f t="shared" si="203"/>
        <v>0.66666666666666696</v>
      </c>
      <c r="Y894" s="46">
        <f>IFERROR(IF(OR(C894="AREA I",C894="AREA V"),7,VLOOKUP(A894,'[1]MC Masterlist 2026-09-12'!$B:$M, 12, 0)),0)</f>
        <v>7</v>
      </c>
      <c r="Z894" s="46">
        <f t="shared" si="204"/>
        <v>6.333333333333333</v>
      </c>
      <c r="AA894" s="46">
        <f t="shared" si="205"/>
        <v>12.666666666666666</v>
      </c>
      <c r="AB894" s="46">
        <f t="shared" si="206"/>
        <v>0.28148148148148161</v>
      </c>
      <c r="AC894" s="46">
        <f t="shared" si="207"/>
        <v>2.9555555555555557</v>
      </c>
      <c r="AD894" s="44" t="str">
        <f t="shared" si="208"/>
        <v>Stockout</v>
      </c>
      <c r="AE894" s="44" t="str">
        <f>IFERROR(VLOOKUP(A894,'[1]Re-order'!$A:$AA,27,0),"")</f>
        <v>Stockout</v>
      </c>
      <c r="AF894" s="46">
        <f t="shared" si="209"/>
        <v>1.9555555555555557</v>
      </c>
      <c r="AG894" s="46">
        <f>SUMIFS('[1]Raw Inventory'!D:D,'[1]Raw Inventory'!C:C,"GREATWALL",'[1]Raw Inventory'!B:B,A894)</f>
        <v>58</v>
      </c>
      <c r="AH894" s="46">
        <f>SUMIFS('[1]Raw Inventory'!D:D,'[1]Raw Inventory'!C:C,"DUARTE",'[1]Raw Inventory'!B:B,A894)</f>
        <v>0</v>
      </c>
      <c r="AI894" s="46"/>
      <c r="AJ894" s="46"/>
      <c r="AK894" s="43"/>
      <c r="AL894" s="43"/>
      <c r="AM894" s="43"/>
      <c r="AN894" s="43"/>
      <c r="AO894" s="43"/>
      <c r="AP894" s="43"/>
      <c r="AQ894" s="43"/>
      <c r="AR894" s="43"/>
      <c r="AS894" s="43"/>
      <c r="AT894" s="43"/>
    </row>
    <row r="895" spans="1:46">
      <c r="A895" s="43" t="s">
        <v>73</v>
      </c>
      <c r="B895" s="43" t="s">
        <v>146</v>
      </c>
      <c r="C895" s="43" t="s">
        <v>137</v>
      </c>
      <c r="D895" s="44" t="s">
        <v>253</v>
      </c>
      <c r="E895" s="44">
        <v>28</v>
      </c>
      <c r="F895" s="44" t="s">
        <v>3</v>
      </c>
      <c r="G895" s="43" t="str">
        <f>IFERROR(VLOOKUP(A895,'[1]MC Masterlist 2026-09-12'!$B:$M, 3, 0),"")</f>
        <v>SUZUKI</v>
      </c>
      <c r="H895" s="45">
        <f>IFERROR(VLOOKUP(A895,'[1]MC Masterlist 2026-09-12'!$B:$M, 6, 0),"")</f>
        <v>122770</v>
      </c>
      <c r="I895" s="46">
        <v>0</v>
      </c>
      <c r="J895" s="46">
        <v>0</v>
      </c>
      <c r="K895" s="46">
        <v>0</v>
      </c>
      <c r="L895" s="46">
        <f t="shared" si="195"/>
        <v>0</v>
      </c>
      <c r="M895" s="46">
        <f t="shared" si="196"/>
        <v>0</v>
      </c>
      <c r="N895" s="45">
        <f t="shared" si="197"/>
        <v>0</v>
      </c>
      <c r="O895" s="45">
        <f t="shared" si="198"/>
        <v>0</v>
      </c>
      <c r="P895" s="46">
        <f t="shared" si="199"/>
        <v>0</v>
      </c>
      <c r="Q895" s="46">
        <v>1</v>
      </c>
      <c r="R895" s="45">
        <f t="shared" si="200"/>
        <v>122770</v>
      </c>
      <c r="S895" s="46">
        <f t="shared" si="201"/>
        <v>0</v>
      </c>
      <c r="T895" s="46">
        <f>IFERROR(VLOOKUP(A895,'[1]Re-order'!$A:$Q,17,0),"")</f>
        <v>787.50000000000011</v>
      </c>
      <c r="U895" s="46">
        <f>IFERROR(VLOOKUP(A895,'[1]MC Masterlist 2026-09-12'!$B:$M, 10, 0),0)</f>
        <v>15</v>
      </c>
      <c r="V895" s="46">
        <f>IFERROR(VLOOKUP(A895,'[1]MC Masterlist 2026-09-12'!$B:$M, 11, 0),0)</f>
        <v>15</v>
      </c>
      <c r="W895" s="46">
        <f t="shared" si="202"/>
        <v>30</v>
      </c>
      <c r="X895" s="46">
        <f t="shared" si="203"/>
        <v>7</v>
      </c>
      <c r="Y895" s="46">
        <f>IFERROR(IF(OR(C895="AREA I",C895="AREA V"),7,VLOOKUP(A895,'[1]MC Masterlist 2026-09-12'!$B:$M, 12, 0)),0)</f>
        <v>7</v>
      </c>
      <c r="Z895" s="46">
        <f t="shared" si="204"/>
        <v>0</v>
      </c>
      <c r="AA895" s="46">
        <f t="shared" si="205"/>
        <v>0</v>
      </c>
      <c r="AB895" s="46">
        <f t="shared" si="206"/>
        <v>0</v>
      </c>
      <c r="AC895" s="46">
        <f t="shared" si="207"/>
        <v>0</v>
      </c>
      <c r="AD895" s="44" t="str">
        <f t="shared" si="208"/>
        <v>Over</v>
      </c>
      <c r="AE895" s="44" t="str">
        <f>IFERROR(VLOOKUP(A895,'[1]Re-order'!$A:$AA,27,0),"")</f>
        <v>Over</v>
      </c>
      <c r="AF895" s="46">
        <f t="shared" si="209"/>
        <v>-1</v>
      </c>
      <c r="AG895" s="46">
        <f>SUMIFS('[1]Raw Inventory'!D:D,'[1]Raw Inventory'!C:C,"GREATWALL",'[1]Raw Inventory'!B:B,A895)</f>
        <v>9</v>
      </c>
      <c r="AH895" s="46">
        <f>SUMIFS('[1]Raw Inventory'!D:D,'[1]Raw Inventory'!C:C,"DUARTE",'[1]Raw Inventory'!B:B,A895)</f>
        <v>0</v>
      </c>
      <c r="AI895" s="46"/>
      <c r="AJ895" s="46"/>
      <c r="AK895" s="43"/>
      <c r="AL895" s="43"/>
      <c r="AM895" s="43"/>
      <c r="AN895" s="43"/>
      <c r="AO895" s="43"/>
      <c r="AP895" s="43"/>
      <c r="AQ895" s="43"/>
      <c r="AR895" s="43"/>
      <c r="AS895" s="43"/>
      <c r="AT895" s="43"/>
    </row>
    <row r="896" spans="1:46">
      <c r="A896" s="43" t="s">
        <v>36</v>
      </c>
      <c r="B896" s="43" t="s">
        <v>21</v>
      </c>
      <c r="C896" s="43" t="s">
        <v>1</v>
      </c>
      <c r="D896" s="44" t="s">
        <v>226</v>
      </c>
      <c r="E896" s="44">
        <v>28</v>
      </c>
      <c r="F896" s="44" t="s">
        <v>3</v>
      </c>
      <c r="G896" s="43" t="str">
        <f>IFERROR(VLOOKUP(A896,'[1]MC Masterlist 2026-09-12'!$B:$M, 3, 0),"")</f>
        <v>HONDA</v>
      </c>
      <c r="H896" s="45">
        <f>IFERROR(VLOOKUP(A896,'[1]MC Masterlist 2026-09-12'!$B:$M, 6, 0),"")</f>
        <v>76850</v>
      </c>
      <c r="I896" s="46">
        <v>0</v>
      </c>
      <c r="J896" s="46">
        <v>0</v>
      </c>
      <c r="K896" s="46">
        <v>0</v>
      </c>
      <c r="L896" s="46">
        <f t="shared" si="195"/>
        <v>0</v>
      </c>
      <c r="M896" s="46">
        <f t="shared" si="196"/>
        <v>0</v>
      </c>
      <c r="N896" s="45">
        <f t="shared" si="197"/>
        <v>0</v>
      </c>
      <c r="O896" s="45">
        <f t="shared" si="198"/>
        <v>0</v>
      </c>
      <c r="P896" s="46">
        <f t="shared" si="199"/>
        <v>0</v>
      </c>
      <c r="Q896" s="46">
        <v>1</v>
      </c>
      <c r="R896" s="45">
        <f t="shared" si="200"/>
        <v>76850</v>
      </c>
      <c r="S896" s="46">
        <f t="shared" si="201"/>
        <v>0</v>
      </c>
      <c r="T896" s="46">
        <f>IFERROR(VLOOKUP(A896,'[1]Re-order'!$A:$Q,17,0),"")</f>
        <v>137.24999999999997</v>
      </c>
      <c r="U896" s="46">
        <f>IFERROR(VLOOKUP(A896,'[1]MC Masterlist 2026-09-12'!$B:$M, 10, 0),0)</f>
        <v>15</v>
      </c>
      <c r="V896" s="46">
        <f>IFERROR(VLOOKUP(A896,'[1]MC Masterlist 2026-09-12'!$B:$M, 11, 0),0)</f>
        <v>15</v>
      </c>
      <c r="W896" s="46">
        <f t="shared" si="202"/>
        <v>30</v>
      </c>
      <c r="X896" s="46">
        <f t="shared" si="203"/>
        <v>7</v>
      </c>
      <c r="Y896" s="46">
        <f>IFERROR(IF(OR(C896="AREA I",C896="AREA V"),7,VLOOKUP(A896,'[1]MC Masterlist 2026-09-12'!$B:$M, 12, 0)),0)</f>
        <v>7</v>
      </c>
      <c r="Z896" s="46">
        <f t="shared" si="204"/>
        <v>0</v>
      </c>
      <c r="AA896" s="46">
        <f t="shared" si="205"/>
        <v>0</v>
      </c>
      <c r="AB896" s="46">
        <f t="shared" si="206"/>
        <v>0</v>
      </c>
      <c r="AC896" s="46">
        <f t="shared" si="207"/>
        <v>0</v>
      </c>
      <c r="AD896" s="44" t="str">
        <f t="shared" si="208"/>
        <v>Over</v>
      </c>
      <c r="AE896" s="44" t="str">
        <f>IFERROR(VLOOKUP(A896,'[1]Re-order'!$A:$AA,27,0),"")</f>
        <v>Over</v>
      </c>
      <c r="AF896" s="46">
        <f t="shared" si="209"/>
        <v>-1</v>
      </c>
      <c r="AG896" s="46">
        <f>SUMIFS('[1]Raw Inventory'!D:D,'[1]Raw Inventory'!C:C,"GREATWALL",'[1]Raw Inventory'!B:B,A896)</f>
        <v>18</v>
      </c>
      <c r="AH896" s="46">
        <f>SUMIFS('[1]Raw Inventory'!D:D,'[1]Raw Inventory'!C:C,"DUARTE",'[1]Raw Inventory'!B:B,A896)</f>
        <v>0</v>
      </c>
      <c r="AI896" s="46"/>
      <c r="AJ896" s="46"/>
      <c r="AK896" s="43"/>
      <c r="AL896" s="43"/>
      <c r="AM896" s="43"/>
      <c r="AN896" s="43"/>
      <c r="AO896" s="43"/>
      <c r="AP896" s="43"/>
      <c r="AQ896" s="43"/>
      <c r="AR896" s="43"/>
      <c r="AS896" s="43"/>
      <c r="AT896" s="43"/>
    </row>
    <row r="897" spans="1:46">
      <c r="A897" s="43" t="s">
        <v>49</v>
      </c>
      <c r="B897" s="43" t="s">
        <v>123</v>
      </c>
      <c r="C897" s="43" t="s">
        <v>118</v>
      </c>
      <c r="D897" s="44" t="s">
        <v>259</v>
      </c>
      <c r="E897" s="44">
        <v>5</v>
      </c>
      <c r="F897" s="44" t="s">
        <v>0</v>
      </c>
      <c r="G897" s="43" t="str">
        <f>IFERROR(VLOOKUP(A897,'[1]MC Masterlist 2026-09-12'!$B:$M, 3, 0),"")</f>
        <v>BAJAJ RE</v>
      </c>
      <c r="H897" s="45">
        <f>IFERROR(VLOOKUP(A897,'[1]MC Masterlist 2026-09-12'!$B:$M, 6, 0),"")</f>
        <v>191000</v>
      </c>
      <c r="I897" s="46">
        <v>1</v>
      </c>
      <c r="J897" s="46">
        <v>0</v>
      </c>
      <c r="K897" s="46">
        <v>1</v>
      </c>
      <c r="L897" s="46">
        <f t="shared" si="195"/>
        <v>2</v>
      </c>
      <c r="M897" s="46">
        <f t="shared" si="196"/>
        <v>0.66666666666666663</v>
      </c>
      <c r="N897" s="45">
        <f t="shared" si="197"/>
        <v>382000</v>
      </c>
      <c r="O897" s="45">
        <f t="shared" si="198"/>
        <v>127333.33333333333</v>
      </c>
      <c r="P897" s="46">
        <f t="shared" si="199"/>
        <v>2.222222222222222E-2</v>
      </c>
      <c r="Q897" s="46">
        <v>2</v>
      </c>
      <c r="R897" s="45">
        <f t="shared" si="200"/>
        <v>382000</v>
      </c>
      <c r="S897" s="46">
        <f t="shared" si="201"/>
        <v>90</v>
      </c>
      <c r="T897" s="46">
        <f>IFERROR(VLOOKUP(A897,'[1]Re-order'!$A:$Q,17,0),"")</f>
        <v>21.516709511568124</v>
      </c>
      <c r="U897" s="46">
        <f>IFERROR(VLOOKUP(A897,'[1]MC Masterlist 2026-09-12'!$B:$M, 10, 0),0)</f>
        <v>15</v>
      </c>
      <c r="V897" s="46">
        <f>IFERROR(VLOOKUP(A897,'[1]MC Masterlist 2026-09-12'!$B:$M, 11, 0),0)</f>
        <v>15</v>
      </c>
      <c r="W897" s="46">
        <f t="shared" si="202"/>
        <v>30</v>
      </c>
      <c r="X897" s="46">
        <f t="shared" si="203"/>
        <v>29.666666666666668</v>
      </c>
      <c r="Y897" s="46">
        <f>IFERROR(IF(OR(C897="AREA I",C897="AREA V"),7,VLOOKUP(A897,'[1]MC Masterlist 2026-09-12'!$B:$M, 12, 0)),0)</f>
        <v>30</v>
      </c>
      <c r="Z897" s="46">
        <f t="shared" si="204"/>
        <v>0.33333333333333331</v>
      </c>
      <c r="AA897" s="46">
        <f t="shared" si="205"/>
        <v>0.66666666666666663</v>
      </c>
      <c r="AB897" s="46">
        <f t="shared" si="206"/>
        <v>0.65925925925925921</v>
      </c>
      <c r="AC897" s="46">
        <f t="shared" si="207"/>
        <v>0.66666666666666663</v>
      </c>
      <c r="AD897" s="44" t="str">
        <f t="shared" si="208"/>
        <v>Over</v>
      </c>
      <c r="AE897" s="44" t="str">
        <f>IFERROR(VLOOKUP(A897,'[1]Re-order'!$A:$AA,27,0),"")</f>
        <v>Stockout</v>
      </c>
      <c r="AF897" s="46">
        <f t="shared" si="209"/>
        <v>-1.3333333333333335</v>
      </c>
      <c r="AG897" s="46">
        <f>SUMIFS('[1]Raw Inventory'!D:D,'[1]Raw Inventory'!C:C,"GREATWALL",'[1]Raw Inventory'!B:B,A897)</f>
        <v>0</v>
      </c>
      <c r="AH897" s="46">
        <f>SUMIFS('[1]Raw Inventory'!D:D,'[1]Raw Inventory'!C:C,"DUARTE",'[1]Raw Inventory'!B:B,A897)</f>
        <v>0</v>
      </c>
      <c r="AI897" s="46"/>
      <c r="AJ897" s="46"/>
      <c r="AK897" s="43"/>
      <c r="AL897" s="43"/>
      <c r="AM897" s="43"/>
      <c r="AN897" s="43"/>
      <c r="AO897" s="43"/>
      <c r="AP897" s="43"/>
      <c r="AQ897" s="43"/>
      <c r="AR897" s="43"/>
      <c r="AS897" s="43"/>
      <c r="AT897" s="43"/>
    </row>
    <row r="898" spans="1:46">
      <c r="A898" s="43" t="s">
        <v>31</v>
      </c>
      <c r="B898" s="43" t="s">
        <v>123</v>
      </c>
      <c r="C898" s="43" t="s">
        <v>118</v>
      </c>
      <c r="D898" s="44" t="s">
        <v>229</v>
      </c>
      <c r="E898" s="44">
        <v>25</v>
      </c>
      <c r="F898" s="44" t="s">
        <v>3</v>
      </c>
      <c r="G898" s="43" t="str">
        <f>IFERROR(VLOOKUP(A898,'[1]MC Masterlist 2026-09-12'!$B:$M, 3, 0),"")</f>
        <v>KAWASAKI</v>
      </c>
      <c r="H898" s="45">
        <f>IFERROR(VLOOKUP(A898,'[1]MC Masterlist 2026-09-12'!$B:$M, 6, 0),"")</f>
        <v>59528</v>
      </c>
      <c r="I898" s="46">
        <v>0</v>
      </c>
      <c r="J898" s="46">
        <v>0</v>
      </c>
      <c r="K898" s="46">
        <v>0</v>
      </c>
      <c r="L898" s="46">
        <f t="shared" si="195"/>
        <v>0</v>
      </c>
      <c r="M898" s="46">
        <f t="shared" si="196"/>
        <v>0</v>
      </c>
      <c r="N898" s="45">
        <f t="shared" si="197"/>
        <v>0</v>
      </c>
      <c r="O898" s="45">
        <f t="shared" si="198"/>
        <v>0</v>
      </c>
      <c r="P898" s="46">
        <f t="shared" si="199"/>
        <v>0</v>
      </c>
      <c r="Q898" s="46">
        <v>2</v>
      </c>
      <c r="R898" s="45">
        <f t="shared" si="200"/>
        <v>119056</v>
      </c>
      <c r="S898" s="46">
        <f t="shared" si="201"/>
        <v>0</v>
      </c>
      <c r="T898" s="46">
        <f>IFERROR(VLOOKUP(A898,'[1]Re-order'!$A:$Q,17,0),"")</f>
        <v>95.869565217391298</v>
      </c>
      <c r="U898" s="46">
        <f>IFERROR(VLOOKUP(A898,'[1]MC Masterlist 2026-09-12'!$B:$M, 10, 0),0)</f>
        <v>15</v>
      </c>
      <c r="V898" s="46">
        <f>IFERROR(VLOOKUP(A898,'[1]MC Masterlist 2026-09-12'!$B:$M, 11, 0),0)</f>
        <v>15</v>
      </c>
      <c r="W898" s="46">
        <f t="shared" si="202"/>
        <v>30</v>
      </c>
      <c r="X898" s="46">
        <f t="shared" si="203"/>
        <v>30</v>
      </c>
      <c r="Y898" s="46">
        <f>IFERROR(IF(OR(C898="AREA I",C898="AREA V"),7,VLOOKUP(A898,'[1]MC Masterlist 2026-09-12'!$B:$M, 12, 0)),0)</f>
        <v>30</v>
      </c>
      <c r="Z898" s="46">
        <f t="shared" si="204"/>
        <v>0</v>
      </c>
      <c r="AA898" s="46">
        <f t="shared" si="205"/>
        <v>0</v>
      </c>
      <c r="AB898" s="46">
        <f t="shared" si="206"/>
        <v>0</v>
      </c>
      <c r="AC898" s="46">
        <f t="shared" si="207"/>
        <v>0</v>
      </c>
      <c r="AD898" s="44" t="str">
        <f t="shared" si="208"/>
        <v>Over</v>
      </c>
      <c r="AE898" s="44" t="str">
        <f>IFERROR(VLOOKUP(A898,'[1]Re-order'!$A:$AA,27,0),"")</f>
        <v>Over</v>
      </c>
      <c r="AF898" s="46">
        <f t="shared" si="209"/>
        <v>-2</v>
      </c>
      <c r="AG898" s="46">
        <f>SUMIFS('[1]Raw Inventory'!D:D,'[1]Raw Inventory'!C:C,"GREATWALL",'[1]Raw Inventory'!B:B,A898)</f>
        <v>79</v>
      </c>
      <c r="AH898" s="46">
        <f>SUMIFS('[1]Raw Inventory'!D:D,'[1]Raw Inventory'!C:C,"DUARTE",'[1]Raw Inventory'!B:B,A898)</f>
        <v>0</v>
      </c>
      <c r="AI898" s="46"/>
      <c r="AJ898" s="46"/>
      <c r="AK898" s="43"/>
      <c r="AL898" s="43"/>
      <c r="AM898" s="43"/>
      <c r="AN898" s="43"/>
      <c r="AO898" s="43"/>
      <c r="AP898" s="43"/>
      <c r="AQ898" s="43"/>
      <c r="AR898" s="43"/>
      <c r="AS898" s="43"/>
      <c r="AT898" s="43"/>
    </row>
    <row r="899" spans="1:46">
      <c r="A899" s="43" t="s">
        <v>25</v>
      </c>
      <c r="B899" s="43" t="s">
        <v>92</v>
      </c>
      <c r="C899" s="43" t="s">
        <v>90</v>
      </c>
      <c r="D899" s="44" t="s">
        <v>238</v>
      </c>
      <c r="E899" s="44">
        <v>2</v>
      </c>
      <c r="F899" s="44" t="s">
        <v>0</v>
      </c>
      <c r="G899" s="43" t="str">
        <f>IFERROR(VLOOKUP(A899,'[1]MC Masterlist 2026-09-12'!$B:$M, 3, 0),"")</f>
        <v>YAMAHA</v>
      </c>
      <c r="H899" s="45">
        <f>IFERROR(VLOOKUP(A899,'[1]MC Masterlist 2026-09-12'!$B:$M, 6, 0),"")</f>
        <v>124527</v>
      </c>
      <c r="I899" s="46">
        <v>2</v>
      </c>
      <c r="J899" s="46">
        <v>3</v>
      </c>
      <c r="K899" s="46">
        <v>2</v>
      </c>
      <c r="L899" s="46">
        <f t="shared" ref="L899:L962" si="210">I899+J899+K899</f>
        <v>7</v>
      </c>
      <c r="M899" s="46">
        <f t="shared" ref="M899:M962" si="211">AVERAGE(I899,J899,K899)</f>
        <v>2.3333333333333335</v>
      </c>
      <c r="N899" s="45">
        <f t="shared" ref="N899:N962" si="212">L899*H899</f>
        <v>871689</v>
      </c>
      <c r="O899" s="45">
        <f t="shared" ref="O899:O962" si="213">M899*H899</f>
        <v>290563</v>
      </c>
      <c r="P899" s="46">
        <f t="shared" ref="P899:P962" si="214">M899/30</f>
        <v>7.7777777777777779E-2</v>
      </c>
      <c r="Q899" s="46"/>
      <c r="R899" s="45">
        <f t="shared" ref="R899:R962" si="215">IFERROR(Q899*H899, 0)</f>
        <v>0</v>
      </c>
      <c r="S899" s="46">
        <f t="shared" ref="S899:S962" si="216">IFERROR(R899/(O899)*30, 0)</f>
        <v>0</v>
      </c>
      <c r="T899" s="46">
        <f>IFERROR(VLOOKUP(A899,'[1]Re-order'!$A:$Q,17,0),"")</f>
        <v>5.1030927835051543</v>
      </c>
      <c r="U899" s="46">
        <f>IFERROR(VLOOKUP(A899,'[1]MC Masterlist 2026-09-12'!$B:$M, 10, 0),0)</f>
        <v>15</v>
      </c>
      <c r="V899" s="46">
        <f>IFERROR(VLOOKUP(A899,'[1]MC Masterlist 2026-09-12'!$B:$M, 11, 0),0)</f>
        <v>15</v>
      </c>
      <c r="W899" s="46">
        <f t="shared" ref="W899:W962" si="217">U899+V899</f>
        <v>30</v>
      </c>
      <c r="X899" s="46">
        <f t="shared" ref="X899:X962" si="218">Y899-Z899</f>
        <v>28.833333333333332</v>
      </c>
      <c r="Y899" s="46">
        <f>IFERROR(IF(OR(C899="AREA I",C899="AREA V"),7,VLOOKUP(A899,'[1]MC Masterlist 2026-09-12'!$B:$M, 12, 0)),0)</f>
        <v>30</v>
      </c>
      <c r="Z899" s="46">
        <f t="shared" ref="Z899:Z962" si="219">V899*P899</f>
        <v>1.1666666666666667</v>
      </c>
      <c r="AA899" s="46">
        <f t="shared" ref="AA899:AA962" si="220">W899*P899</f>
        <v>2.3333333333333335</v>
      </c>
      <c r="AB899" s="46">
        <f t="shared" ref="AB899:AB962" si="221">X899*P899</f>
        <v>2.2425925925925925</v>
      </c>
      <c r="AC899" s="46">
        <f t="shared" ref="AC899:AC962" si="222">Y899*P899</f>
        <v>2.3333333333333335</v>
      </c>
      <c r="AD899" s="44" t="str">
        <f t="shared" ref="AD899:AD962" si="223">IFERROR(IF(Q899&gt;AC899, "Over", IF(Q899&lt;=Z899, "Stockout", IF(Q899&lt;=AA899, "Re-order",""))), "")</f>
        <v>Stockout</v>
      </c>
      <c r="AE899" s="44" t="str">
        <f>IFERROR(VLOOKUP(A899,'[1]Re-order'!$A:$AA,27,0),"")</f>
        <v>Stockout</v>
      </c>
      <c r="AF899" s="46">
        <f t="shared" ref="AF899:AF962" si="224">AC899-Q899</f>
        <v>2.3333333333333335</v>
      </c>
      <c r="AG899" s="46">
        <f>SUMIFS('[1]Raw Inventory'!D:D,'[1]Raw Inventory'!C:C,"GREATWALL",'[1]Raw Inventory'!B:B,A899)</f>
        <v>1</v>
      </c>
      <c r="AH899" s="46">
        <f>SUMIFS('[1]Raw Inventory'!D:D,'[1]Raw Inventory'!C:C,"DUARTE",'[1]Raw Inventory'!B:B,A899)</f>
        <v>0</v>
      </c>
      <c r="AI899" s="46"/>
      <c r="AJ899" s="46"/>
      <c r="AK899" s="43"/>
      <c r="AL899" s="43"/>
      <c r="AM899" s="43"/>
      <c r="AN899" s="43"/>
      <c r="AO899" s="43"/>
      <c r="AP899" s="43"/>
      <c r="AQ899" s="43"/>
      <c r="AR899" s="43"/>
      <c r="AS899" s="43"/>
      <c r="AT899" s="43"/>
    </row>
    <row r="900" spans="1:46">
      <c r="A900" s="43" t="s">
        <v>44</v>
      </c>
      <c r="B900" s="43" t="s">
        <v>114</v>
      </c>
      <c r="C900" s="43" t="s">
        <v>109</v>
      </c>
      <c r="D900" s="44" t="s">
        <v>243</v>
      </c>
      <c r="E900" s="44">
        <v>15</v>
      </c>
      <c r="F900" s="44" t="s">
        <v>2</v>
      </c>
      <c r="G900" s="43" t="str">
        <f>IFERROR(VLOOKUP(A900,'[1]MC Masterlist 2026-09-12'!$B:$M, 3, 0),"")</f>
        <v>YAMAHA</v>
      </c>
      <c r="H900" s="45">
        <f>IFERROR(VLOOKUP(A900,'[1]MC Masterlist 2026-09-12'!$B:$M, 6, 0),"")</f>
        <v>165912</v>
      </c>
      <c r="I900" s="46">
        <v>0</v>
      </c>
      <c r="J900" s="46">
        <v>2</v>
      </c>
      <c r="K900" s="46">
        <v>0</v>
      </c>
      <c r="L900" s="46">
        <f t="shared" si="210"/>
        <v>2</v>
      </c>
      <c r="M900" s="46">
        <f t="shared" si="211"/>
        <v>0.66666666666666663</v>
      </c>
      <c r="N900" s="45">
        <f t="shared" si="212"/>
        <v>331824</v>
      </c>
      <c r="O900" s="45">
        <f t="shared" si="213"/>
        <v>110608</v>
      </c>
      <c r="P900" s="46">
        <f t="shared" si="214"/>
        <v>2.222222222222222E-2</v>
      </c>
      <c r="Q900" s="46"/>
      <c r="R900" s="45">
        <f t="shared" si="215"/>
        <v>0</v>
      </c>
      <c r="S900" s="46">
        <f t="shared" si="216"/>
        <v>0</v>
      </c>
      <c r="T900" s="46">
        <f>IFERROR(VLOOKUP(A900,'[1]Re-order'!$A:$Q,17,0),"")</f>
        <v>10.588235294117649</v>
      </c>
      <c r="U900" s="46">
        <f>IFERROR(VLOOKUP(A900,'[1]MC Masterlist 2026-09-12'!$B:$M, 10, 0),0)</f>
        <v>15</v>
      </c>
      <c r="V900" s="46">
        <f>IFERROR(VLOOKUP(A900,'[1]MC Masterlist 2026-09-12'!$B:$M, 11, 0),0)</f>
        <v>15</v>
      </c>
      <c r="W900" s="46">
        <f t="shared" si="217"/>
        <v>30</v>
      </c>
      <c r="X900" s="46">
        <f t="shared" si="218"/>
        <v>29.666666666666668</v>
      </c>
      <c r="Y900" s="46">
        <f>IFERROR(IF(OR(C900="AREA I",C900="AREA V"),7,VLOOKUP(A900,'[1]MC Masterlist 2026-09-12'!$B:$M, 12, 0)),0)</f>
        <v>30</v>
      </c>
      <c r="Z900" s="46">
        <f t="shared" si="219"/>
        <v>0.33333333333333331</v>
      </c>
      <c r="AA900" s="46">
        <f t="shared" si="220"/>
        <v>0.66666666666666663</v>
      </c>
      <c r="AB900" s="46">
        <f t="shared" si="221"/>
        <v>0.65925925925925921</v>
      </c>
      <c r="AC900" s="46">
        <f t="shared" si="222"/>
        <v>0.66666666666666663</v>
      </c>
      <c r="AD900" s="44" t="str">
        <f t="shared" si="223"/>
        <v>Stockout</v>
      </c>
      <c r="AE900" s="44" t="str">
        <f>IFERROR(VLOOKUP(A900,'[1]Re-order'!$A:$AA,27,0),"")</f>
        <v>Stockout</v>
      </c>
      <c r="AF900" s="46">
        <f t="shared" si="224"/>
        <v>0.66666666666666663</v>
      </c>
      <c r="AG900" s="46">
        <f>SUMIFS('[1]Raw Inventory'!D:D,'[1]Raw Inventory'!C:C,"GREATWALL",'[1]Raw Inventory'!B:B,A900)</f>
        <v>0</v>
      </c>
      <c r="AH900" s="46">
        <f>SUMIFS('[1]Raw Inventory'!D:D,'[1]Raw Inventory'!C:C,"DUARTE",'[1]Raw Inventory'!B:B,A900)</f>
        <v>0</v>
      </c>
      <c r="AI900" s="46"/>
      <c r="AJ900" s="46"/>
      <c r="AK900" s="43"/>
      <c r="AL900" s="43"/>
      <c r="AM900" s="43"/>
      <c r="AN900" s="43"/>
      <c r="AO900" s="43"/>
      <c r="AP900" s="43"/>
      <c r="AQ900" s="43"/>
      <c r="AR900" s="43"/>
      <c r="AS900" s="43"/>
      <c r="AT900" s="43"/>
    </row>
    <row r="901" spans="1:46">
      <c r="A901" s="43" t="s">
        <v>50</v>
      </c>
      <c r="B901" s="43" t="s">
        <v>131</v>
      </c>
      <c r="C901" s="43" t="s">
        <v>128</v>
      </c>
      <c r="D901" s="44" t="s">
        <v>257</v>
      </c>
      <c r="E901" s="44">
        <v>18</v>
      </c>
      <c r="F901" s="44" t="s">
        <v>3</v>
      </c>
      <c r="G901" s="43" t="str">
        <f>IFERROR(VLOOKUP(A901,'[1]MC Masterlist 2026-09-12'!$B:$M, 3, 0),"")</f>
        <v>YAMAHA</v>
      </c>
      <c r="H901" s="45">
        <f>IFERROR(VLOOKUP(A901,'[1]MC Masterlist 2026-09-12'!$B:$M, 6, 0),"")</f>
        <v>78957</v>
      </c>
      <c r="I901" s="46">
        <v>1</v>
      </c>
      <c r="J901" s="46">
        <v>0</v>
      </c>
      <c r="K901" s="46">
        <v>0</v>
      </c>
      <c r="L901" s="46">
        <f t="shared" si="210"/>
        <v>1</v>
      </c>
      <c r="M901" s="46">
        <f t="shared" si="211"/>
        <v>0.33333333333333331</v>
      </c>
      <c r="N901" s="45">
        <f t="shared" si="212"/>
        <v>78957</v>
      </c>
      <c r="O901" s="45">
        <f t="shared" si="213"/>
        <v>26319</v>
      </c>
      <c r="P901" s="46">
        <f t="shared" si="214"/>
        <v>1.111111111111111E-2</v>
      </c>
      <c r="Q901" s="46"/>
      <c r="R901" s="45">
        <f t="shared" si="215"/>
        <v>0</v>
      </c>
      <c r="S901" s="46">
        <f t="shared" si="216"/>
        <v>0</v>
      </c>
      <c r="T901" s="46">
        <f>IFERROR(VLOOKUP(A901,'[1]Re-order'!$A:$Q,17,0),"")</f>
        <v>118.125</v>
      </c>
      <c r="U901" s="46">
        <f>IFERROR(VLOOKUP(A901,'[1]MC Masterlist 2026-09-12'!$B:$M, 10, 0),0)</f>
        <v>15</v>
      </c>
      <c r="V901" s="46">
        <f>IFERROR(VLOOKUP(A901,'[1]MC Masterlist 2026-09-12'!$B:$M, 11, 0),0)</f>
        <v>15</v>
      </c>
      <c r="W901" s="46">
        <f t="shared" si="217"/>
        <v>30</v>
      </c>
      <c r="X901" s="46">
        <f t="shared" si="218"/>
        <v>29.833333333333332</v>
      </c>
      <c r="Y901" s="46">
        <f>IFERROR(IF(OR(C901="AREA I",C901="AREA V"),7,VLOOKUP(A901,'[1]MC Masterlist 2026-09-12'!$B:$M, 12, 0)),0)</f>
        <v>30</v>
      </c>
      <c r="Z901" s="46">
        <f t="shared" si="219"/>
        <v>0.16666666666666666</v>
      </c>
      <c r="AA901" s="46">
        <f t="shared" si="220"/>
        <v>0.33333333333333331</v>
      </c>
      <c r="AB901" s="46">
        <f t="shared" si="221"/>
        <v>0.33148148148148143</v>
      </c>
      <c r="AC901" s="46">
        <f t="shared" si="222"/>
        <v>0.33333333333333331</v>
      </c>
      <c r="AD901" s="44" t="str">
        <f t="shared" si="223"/>
        <v>Stockout</v>
      </c>
      <c r="AE901" s="44" t="str">
        <f>IFERROR(VLOOKUP(A901,'[1]Re-order'!$A:$AA,27,0),"")</f>
        <v>Over</v>
      </c>
      <c r="AF901" s="46">
        <f t="shared" si="224"/>
        <v>0.33333333333333331</v>
      </c>
      <c r="AG901" s="46">
        <f>SUMIFS('[1]Raw Inventory'!D:D,'[1]Raw Inventory'!C:C,"GREATWALL",'[1]Raw Inventory'!B:B,A901)</f>
        <v>23</v>
      </c>
      <c r="AH901" s="46">
        <f>SUMIFS('[1]Raw Inventory'!D:D,'[1]Raw Inventory'!C:C,"DUARTE",'[1]Raw Inventory'!B:B,A901)</f>
        <v>0</v>
      </c>
      <c r="AI901" s="46"/>
      <c r="AJ901" s="46"/>
      <c r="AK901" s="43"/>
      <c r="AL901" s="43"/>
      <c r="AM901" s="43"/>
      <c r="AN901" s="43"/>
      <c r="AO901" s="43"/>
      <c r="AP901" s="43"/>
      <c r="AQ901" s="43"/>
      <c r="AR901" s="43"/>
      <c r="AS901" s="43"/>
      <c r="AT901" s="43"/>
    </row>
    <row r="902" spans="1:46">
      <c r="A902" s="43" t="s">
        <v>89</v>
      </c>
      <c r="B902" s="43" t="s">
        <v>139</v>
      </c>
      <c r="C902" s="43" t="s">
        <v>137</v>
      </c>
      <c r="D902" s="44" t="s">
        <v>221</v>
      </c>
      <c r="E902" s="44">
        <v>19</v>
      </c>
      <c r="F902" s="44" t="s">
        <v>3</v>
      </c>
      <c r="G902" s="43" t="str">
        <f>IFERROR(VLOOKUP(A902,'[1]MC Masterlist 2026-09-12'!$B:$M, 3, 0),"")</f>
        <v>HONDA</v>
      </c>
      <c r="H902" s="45">
        <f>IFERROR(VLOOKUP(A902,'[1]MC Masterlist 2026-09-12'!$B:$M, 6, 0),"")</f>
        <v>117790</v>
      </c>
      <c r="I902" s="46">
        <v>2</v>
      </c>
      <c r="J902" s="46">
        <v>0</v>
      </c>
      <c r="K902" s="46">
        <v>0</v>
      </c>
      <c r="L902" s="46">
        <f t="shared" si="210"/>
        <v>2</v>
      </c>
      <c r="M902" s="46">
        <f t="shared" si="211"/>
        <v>0.66666666666666663</v>
      </c>
      <c r="N902" s="45">
        <f t="shared" si="212"/>
        <v>235580</v>
      </c>
      <c r="O902" s="45">
        <f t="shared" si="213"/>
        <v>78526.666666666657</v>
      </c>
      <c r="P902" s="46">
        <f t="shared" si="214"/>
        <v>2.222222222222222E-2</v>
      </c>
      <c r="Q902" s="46">
        <v>0</v>
      </c>
      <c r="R902" s="45">
        <f t="shared" si="215"/>
        <v>0</v>
      </c>
      <c r="S902" s="46">
        <f t="shared" si="216"/>
        <v>0</v>
      </c>
      <c r="T902" s="46">
        <f>IFERROR(VLOOKUP(A902,'[1]Re-order'!$A:$Q,17,0),"")</f>
        <v>81.818181818181827</v>
      </c>
      <c r="U902" s="46">
        <f>IFERROR(VLOOKUP(A902,'[1]MC Masterlist 2026-09-12'!$B:$M, 10, 0),0)</f>
        <v>15</v>
      </c>
      <c r="V902" s="46">
        <f>IFERROR(VLOOKUP(A902,'[1]MC Masterlist 2026-09-12'!$B:$M, 11, 0),0)</f>
        <v>15</v>
      </c>
      <c r="W902" s="46">
        <f t="shared" si="217"/>
        <v>30</v>
      </c>
      <c r="X902" s="46">
        <f t="shared" si="218"/>
        <v>6.666666666666667</v>
      </c>
      <c r="Y902" s="46">
        <f>IFERROR(IF(OR(C902="AREA I",C902="AREA V"),7,VLOOKUP(A902,'[1]MC Masterlist 2026-09-12'!$B:$M, 12, 0)),0)</f>
        <v>7</v>
      </c>
      <c r="Z902" s="46">
        <f t="shared" si="219"/>
        <v>0.33333333333333331</v>
      </c>
      <c r="AA902" s="46">
        <f t="shared" si="220"/>
        <v>0.66666666666666663</v>
      </c>
      <c r="AB902" s="46">
        <f t="shared" si="221"/>
        <v>0.14814814814814814</v>
      </c>
      <c r="AC902" s="46">
        <f t="shared" si="222"/>
        <v>0.15555555555555553</v>
      </c>
      <c r="AD902" s="44" t="str">
        <f t="shared" si="223"/>
        <v>Stockout</v>
      </c>
      <c r="AE902" s="44" t="str">
        <f>IFERROR(VLOOKUP(A902,'[1]Re-order'!$A:$AA,27,0),"")</f>
        <v/>
      </c>
      <c r="AF902" s="46">
        <f t="shared" si="224"/>
        <v>0.15555555555555553</v>
      </c>
      <c r="AG902" s="46">
        <f>SUMIFS('[1]Raw Inventory'!D:D,'[1]Raw Inventory'!C:C,"GREATWALL",'[1]Raw Inventory'!B:B,A902)</f>
        <v>5</v>
      </c>
      <c r="AH902" s="46">
        <f>SUMIFS('[1]Raw Inventory'!D:D,'[1]Raw Inventory'!C:C,"DUARTE",'[1]Raw Inventory'!B:B,A902)</f>
        <v>0</v>
      </c>
      <c r="AI902" s="46"/>
      <c r="AJ902" s="46"/>
      <c r="AK902" s="43"/>
      <c r="AL902" s="43"/>
      <c r="AM902" s="43"/>
      <c r="AN902" s="43"/>
      <c r="AO902" s="43"/>
      <c r="AP902" s="43"/>
      <c r="AQ902" s="43"/>
      <c r="AR902" s="43"/>
      <c r="AS902" s="43"/>
      <c r="AT902" s="43"/>
    </row>
    <row r="903" spans="1:46">
      <c r="A903" s="43" t="s">
        <v>26</v>
      </c>
      <c r="B903" s="43" t="s">
        <v>141</v>
      </c>
      <c r="C903" s="43" t="s">
        <v>137</v>
      </c>
      <c r="D903" s="44" t="s">
        <v>230</v>
      </c>
      <c r="E903" s="44">
        <v>6</v>
      </c>
      <c r="F903" s="44" t="s">
        <v>0</v>
      </c>
      <c r="G903" s="43" t="str">
        <f>IFERROR(VLOOKUP(A903,'[1]MC Masterlist 2026-09-12'!$B:$M, 3, 0),"")</f>
        <v>SUZUKI</v>
      </c>
      <c r="H903" s="45">
        <f>IFERROR(VLOOKUP(A903,'[1]MC Masterlist 2026-09-12'!$B:$M, 6, 0),"")</f>
        <v>123700</v>
      </c>
      <c r="I903" s="46">
        <v>2</v>
      </c>
      <c r="J903" s="46">
        <v>2</v>
      </c>
      <c r="K903" s="46">
        <v>4</v>
      </c>
      <c r="L903" s="46">
        <f t="shared" si="210"/>
        <v>8</v>
      </c>
      <c r="M903" s="46">
        <f t="shared" si="211"/>
        <v>2.6666666666666665</v>
      </c>
      <c r="N903" s="45">
        <f t="shared" si="212"/>
        <v>989600</v>
      </c>
      <c r="O903" s="45">
        <f t="shared" si="213"/>
        <v>329866.66666666663</v>
      </c>
      <c r="P903" s="46">
        <f t="shared" si="214"/>
        <v>8.8888888888888878E-2</v>
      </c>
      <c r="Q903" s="46">
        <v>7</v>
      </c>
      <c r="R903" s="45">
        <f t="shared" si="215"/>
        <v>865900</v>
      </c>
      <c r="S903" s="46">
        <f t="shared" si="216"/>
        <v>78.750000000000014</v>
      </c>
      <c r="T903" s="46">
        <f>IFERROR(VLOOKUP(A903,'[1]Re-order'!$A:$Q,17,0),"")</f>
        <v>71.470588235294116</v>
      </c>
      <c r="U903" s="46">
        <f>IFERROR(VLOOKUP(A903,'[1]MC Masterlist 2026-09-12'!$B:$M, 10, 0),0)</f>
        <v>15</v>
      </c>
      <c r="V903" s="46">
        <f>IFERROR(VLOOKUP(A903,'[1]MC Masterlist 2026-09-12'!$B:$M, 11, 0),0)</f>
        <v>15</v>
      </c>
      <c r="W903" s="46">
        <f t="shared" si="217"/>
        <v>30</v>
      </c>
      <c r="X903" s="46">
        <f t="shared" si="218"/>
        <v>5.666666666666667</v>
      </c>
      <c r="Y903" s="46">
        <f>IFERROR(IF(OR(C903="AREA I",C903="AREA V"),7,VLOOKUP(A903,'[1]MC Masterlist 2026-09-12'!$B:$M, 12, 0)),0)</f>
        <v>7</v>
      </c>
      <c r="Z903" s="46">
        <f t="shared" si="219"/>
        <v>1.3333333333333333</v>
      </c>
      <c r="AA903" s="46">
        <f t="shared" si="220"/>
        <v>2.6666666666666665</v>
      </c>
      <c r="AB903" s="46">
        <f t="shared" si="221"/>
        <v>0.50370370370370365</v>
      </c>
      <c r="AC903" s="46">
        <f t="shared" si="222"/>
        <v>0.62222222222222212</v>
      </c>
      <c r="AD903" s="44" t="str">
        <f t="shared" si="223"/>
        <v>Over</v>
      </c>
      <c r="AE903" s="44" t="str">
        <f>IFERROR(VLOOKUP(A903,'[1]Re-order'!$A:$AA,27,0),"")</f>
        <v>Re-order</v>
      </c>
      <c r="AF903" s="46">
        <f t="shared" si="224"/>
        <v>-6.3777777777777782</v>
      </c>
      <c r="AG903" s="46">
        <f>SUMIFS('[1]Raw Inventory'!D:D,'[1]Raw Inventory'!C:C,"GREATWALL",'[1]Raw Inventory'!B:B,A903)</f>
        <v>30</v>
      </c>
      <c r="AH903" s="46">
        <f>SUMIFS('[1]Raw Inventory'!D:D,'[1]Raw Inventory'!C:C,"DUARTE",'[1]Raw Inventory'!B:B,A903)</f>
        <v>0</v>
      </c>
      <c r="AI903" s="46"/>
      <c r="AJ903" s="46"/>
      <c r="AK903" s="43"/>
      <c r="AL903" s="43"/>
      <c r="AM903" s="43"/>
      <c r="AN903" s="43"/>
      <c r="AO903" s="43"/>
      <c r="AP903" s="43"/>
      <c r="AQ903" s="43"/>
      <c r="AR903" s="43"/>
      <c r="AS903" s="43"/>
      <c r="AT903" s="43"/>
    </row>
    <row r="904" spans="1:46">
      <c r="A904" s="43" t="s">
        <v>24</v>
      </c>
      <c r="B904" s="43" t="s">
        <v>93</v>
      </c>
      <c r="C904" s="43" t="s">
        <v>90</v>
      </c>
      <c r="D904" s="44" t="s">
        <v>254</v>
      </c>
      <c r="E904" s="44">
        <v>7</v>
      </c>
      <c r="F904" s="44" t="s">
        <v>2</v>
      </c>
      <c r="G904" s="43" t="str">
        <f>IFERROR(VLOOKUP(A904,'[1]MC Masterlist 2026-09-12'!$B:$M, 3, 0),"")</f>
        <v>KAWASAKI</v>
      </c>
      <c r="H904" s="45">
        <f>IFERROR(VLOOKUP(A904,'[1]MC Masterlist 2026-09-12'!$B:$M, 6, 0),"")</f>
        <v>131626</v>
      </c>
      <c r="I904" s="46">
        <v>1</v>
      </c>
      <c r="J904" s="46">
        <v>0</v>
      </c>
      <c r="K904" s="46">
        <v>2</v>
      </c>
      <c r="L904" s="46">
        <f t="shared" si="210"/>
        <v>3</v>
      </c>
      <c r="M904" s="46">
        <f t="shared" si="211"/>
        <v>1</v>
      </c>
      <c r="N904" s="45">
        <f t="shared" si="212"/>
        <v>394878</v>
      </c>
      <c r="O904" s="45">
        <f t="shared" si="213"/>
        <v>131626</v>
      </c>
      <c r="P904" s="46">
        <f t="shared" si="214"/>
        <v>3.3333333333333333E-2</v>
      </c>
      <c r="Q904" s="46">
        <v>2</v>
      </c>
      <c r="R904" s="45">
        <f t="shared" si="215"/>
        <v>263252</v>
      </c>
      <c r="S904" s="46">
        <f t="shared" si="216"/>
        <v>60</v>
      </c>
      <c r="T904" s="46">
        <f>IFERROR(VLOOKUP(A904,'[1]Re-order'!$A:$Q,17,0),"")</f>
        <v>40.677966101694913</v>
      </c>
      <c r="U904" s="46">
        <f>IFERROR(VLOOKUP(A904,'[1]MC Masterlist 2026-09-12'!$B:$M, 10, 0),0)</f>
        <v>15</v>
      </c>
      <c r="V904" s="46">
        <f>IFERROR(VLOOKUP(A904,'[1]MC Masterlist 2026-09-12'!$B:$M, 11, 0),0)</f>
        <v>15</v>
      </c>
      <c r="W904" s="46">
        <f t="shared" si="217"/>
        <v>30</v>
      </c>
      <c r="X904" s="46">
        <f t="shared" si="218"/>
        <v>29.5</v>
      </c>
      <c r="Y904" s="46">
        <f>IFERROR(IF(OR(C904="AREA I",C904="AREA V"),7,VLOOKUP(A904,'[1]MC Masterlist 2026-09-12'!$B:$M, 12, 0)),0)</f>
        <v>30</v>
      </c>
      <c r="Z904" s="46">
        <f t="shared" si="219"/>
        <v>0.5</v>
      </c>
      <c r="AA904" s="46">
        <f t="shared" si="220"/>
        <v>1</v>
      </c>
      <c r="AB904" s="46">
        <f t="shared" si="221"/>
        <v>0.98333333333333328</v>
      </c>
      <c r="AC904" s="46">
        <f t="shared" si="222"/>
        <v>1</v>
      </c>
      <c r="AD904" s="44" t="str">
        <f t="shared" si="223"/>
        <v>Over</v>
      </c>
      <c r="AE904" s="44" t="str">
        <f>IFERROR(VLOOKUP(A904,'[1]Re-order'!$A:$AA,27,0),"")</f>
        <v>Re-order</v>
      </c>
      <c r="AF904" s="46">
        <f t="shared" si="224"/>
        <v>-1</v>
      </c>
      <c r="AG904" s="46">
        <f>SUMIFS('[1]Raw Inventory'!D:D,'[1]Raw Inventory'!C:C,"GREATWALL",'[1]Raw Inventory'!B:B,A904)</f>
        <v>12</v>
      </c>
      <c r="AH904" s="46">
        <f>SUMIFS('[1]Raw Inventory'!D:D,'[1]Raw Inventory'!C:C,"DUARTE",'[1]Raw Inventory'!B:B,A904)</f>
        <v>0</v>
      </c>
      <c r="AI904" s="46"/>
      <c r="AJ904" s="46"/>
      <c r="AK904" s="43"/>
      <c r="AL904" s="43"/>
      <c r="AM904" s="43"/>
      <c r="AN904" s="43"/>
      <c r="AO904" s="43"/>
      <c r="AP904" s="43"/>
      <c r="AQ904" s="43"/>
      <c r="AR904" s="43"/>
      <c r="AS904" s="43"/>
      <c r="AT904" s="43"/>
    </row>
    <row r="905" spans="1:46">
      <c r="A905" s="43" t="s">
        <v>32</v>
      </c>
      <c r="B905" s="43" t="s">
        <v>115</v>
      </c>
      <c r="C905" s="43" t="s">
        <v>109</v>
      </c>
      <c r="D905" s="44" t="s">
        <v>255</v>
      </c>
      <c r="E905" s="44">
        <v>10</v>
      </c>
      <c r="F905" s="44" t="s">
        <v>2</v>
      </c>
      <c r="G905" s="43" t="str">
        <f>IFERROR(VLOOKUP(A905,'[1]MC Masterlist 2026-09-12'!$B:$M, 3, 0),"")</f>
        <v>HONDA</v>
      </c>
      <c r="H905" s="45">
        <f>IFERROR(VLOOKUP(A905,'[1]MC Masterlist 2026-09-12'!$B:$M, 6, 0),"")</f>
        <v>288910</v>
      </c>
      <c r="I905" s="46">
        <v>1</v>
      </c>
      <c r="J905" s="46">
        <v>0</v>
      </c>
      <c r="K905" s="46">
        <v>0</v>
      </c>
      <c r="L905" s="46">
        <f t="shared" si="210"/>
        <v>1</v>
      </c>
      <c r="M905" s="46">
        <f t="shared" si="211"/>
        <v>0.33333333333333331</v>
      </c>
      <c r="N905" s="45">
        <f t="shared" si="212"/>
        <v>288910</v>
      </c>
      <c r="O905" s="45">
        <f t="shared" si="213"/>
        <v>96303.333333333328</v>
      </c>
      <c r="P905" s="46">
        <f t="shared" si="214"/>
        <v>1.111111111111111E-2</v>
      </c>
      <c r="Q905" s="46"/>
      <c r="R905" s="45">
        <f t="shared" si="215"/>
        <v>0</v>
      </c>
      <c r="S905" s="46">
        <f t="shared" si="216"/>
        <v>0</v>
      </c>
      <c r="T905" s="46">
        <f>IFERROR(VLOOKUP(A905,'[1]Re-order'!$A:$Q,17,0),"")</f>
        <v>97.5</v>
      </c>
      <c r="U905" s="46">
        <f>IFERROR(VLOOKUP(A905,'[1]MC Masterlist 2026-09-12'!$B:$M, 10, 0),0)</f>
        <v>15</v>
      </c>
      <c r="V905" s="46">
        <f>IFERROR(VLOOKUP(A905,'[1]MC Masterlist 2026-09-12'!$B:$M, 11, 0),0)</f>
        <v>15</v>
      </c>
      <c r="W905" s="46">
        <f t="shared" si="217"/>
        <v>30</v>
      </c>
      <c r="X905" s="46">
        <f t="shared" si="218"/>
        <v>29.833333333333332</v>
      </c>
      <c r="Y905" s="46">
        <f>IFERROR(IF(OR(C905="AREA I",C905="AREA V"),7,VLOOKUP(A905,'[1]MC Masterlist 2026-09-12'!$B:$M, 12, 0)),0)</f>
        <v>30</v>
      </c>
      <c r="Z905" s="46">
        <f t="shared" si="219"/>
        <v>0.16666666666666666</v>
      </c>
      <c r="AA905" s="46">
        <f t="shared" si="220"/>
        <v>0.33333333333333331</v>
      </c>
      <c r="AB905" s="46">
        <f t="shared" si="221"/>
        <v>0.33148148148148143</v>
      </c>
      <c r="AC905" s="46">
        <f t="shared" si="222"/>
        <v>0.33333333333333331</v>
      </c>
      <c r="AD905" s="44" t="str">
        <f t="shared" si="223"/>
        <v>Stockout</v>
      </c>
      <c r="AE905" s="44" t="str">
        <f>IFERROR(VLOOKUP(A905,'[1]Re-order'!$A:$AA,27,0),"")</f>
        <v>Over</v>
      </c>
      <c r="AF905" s="46">
        <f t="shared" si="224"/>
        <v>0.33333333333333331</v>
      </c>
      <c r="AG905" s="46">
        <f>SUMIFS('[1]Raw Inventory'!D:D,'[1]Raw Inventory'!C:C,"GREATWALL",'[1]Raw Inventory'!B:B,A905)</f>
        <v>7</v>
      </c>
      <c r="AH905" s="46">
        <f>SUMIFS('[1]Raw Inventory'!D:D,'[1]Raw Inventory'!C:C,"DUARTE",'[1]Raw Inventory'!B:B,A905)</f>
        <v>0</v>
      </c>
      <c r="AI905" s="46"/>
      <c r="AJ905" s="46"/>
      <c r="AK905" s="43"/>
      <c r="AL905" s="43"/>
      <c r="AM905" s="43"/>
      <c r="AN905" s="43"/>
      <c r="AO905" s="43"/>
      <c r="AP905" s="43"/>
      <c r="AQ905" s="43"/>
      <c r="AR905" s="43"/>
      <c r="AS905" s="43"/>
      <c r="AT905" s="43"/>
    </row>
    <row r="906" spans="1:46">
      <c r="A906" s="43" t="s">
        <v>107</v>
      </c>
      <c r="B906" s="43" t="s">
        <v>162</v>
      </c>
      <c r="C906" s="43" t="s">
        <v>159</v>
      </c>
      <c r="D906" s="44" t="s">
        <v>265</v>
      </c>
      <c r="E906" s="44">
        <v>26</v>
      </c>
      <c r="F906" s="44" t="s">
        <v>3</v>
      </c>
      <c r="G906" s="43" t="str">
        <f>IFERROR(VLOOKUP(A906,'[1]MC Masterlist 2026-09-12'!$B:$M, 3, 0),"")</f>
        <v>SUZUKI</v>
      </c>
      <c r="H906" s="45">
        <f>IFERROR(VLOOKUP(A906,'[1]MC Masterlist 2026-09-12'!$B:$M, 6, 0),"")</f>
        <v>89662</v>
      </c>
      <c r="I906" s="46">
        <v>0</v>
      </c>
      <c r="J906" s="46">
        <v>0</v>
      </c>
      <c r="K906" s="46">
        <v>0</v>
      </c>
      <c r="L906" s="46">
        <f t="shared" si="210"/>
        <v>0</v>
      </c>
      <c r="M906" s="46">
        <f t="shared" si="211"/>
        <v>0</v>
      </c>
      <c r="N906" s="45">
        <f t="shared" si="212"/>
        <v>0</v>
      </c>
      <c r="O906" s="45">
        <f t="shared" si="213"/>
        <v>0</v>
      </c>
      <c r="P906" s="46">
        <f t="shared" si="214"/>
        <v>0</v>
      </c>
      <c r="Q906" s="46">
        <v>2</v>
      </c>
      <c r="R906" s="45">
        <f t="shared" si="215"/>
        <v>179324</v>
      </c>
      <c r="S906" s="46">
        <f t="shared" si="216"/>
        <v>0</v>
      </c>
      <c r="T906" s="46">
        <f>IFERROR(VLOOKUP(A906,'[1]Re-order'!$A:$Q,17,0),"")</f>
        <v>112.5</v>
      </c>
      <c r="U906" s="46">
        <f>IFERROR(VLOOKUP(A906,'[1]MC Masterlist 2026-09-12'!$B:$M, 10, 0),0)</f>
        <v>15</v>
      </c>
      <c r="V906" s="46">
        <f>IFERROR(VLOOKUP(A906,'[1]MC Masterlist 2026-09-12'!$B:$M, 11, 0),0)</f>
        <v>15</v>
      </c>
      <c r="W906" s="46">
        <f t="shared" si="217"/>
        <v>30</v>
      </c>
      <c r="X906" s="46">
        <f t="shared" si="218"/>
        <v>30</v>
      </c>
      <c r="Y906" s="46">
        <f>IFERROR(IF(OR(C906="AREA I",C906="AREA V"),7,VLOOKUP(A906,'[1]MC Masterlist 2026-09-12'!$B:$M, 12, 0)),0)</f>
        <v>30</v>
      </c>
      <c r="Z906" s="46">
        <f t="shared" si="219"/>
        <v>0</v>
      </c>
      <c r="AA906" s="46">
        <f t="shared" si="220"/>
        <v>0</v>
      </c>
      <c r="AB906" s="46">
        <f t="shared" si="221"/>
        <v>0</v>
      </c>
      <c r="AC906" s="46">
        <f t="shared" si="222"/>
        <v>0</v>
      </c>
      <c r="AD906" s="44" t="str">
        <f t="shared" si="223"/>
        <v>Over</v>
      </c>
      <c r="AE906" s="44" t="str">
        <f>IFERROR(VLOOKUP(A906,'[1]Re-order'!$A:$AA,27,0),"")</f>
        <v>Over</v>
      </c>
      <c r="AF906" s="46">
        <f t="shared" si="224"/>
        <v>-2</v>
      </c>
      <c r="AG906" s="46">
        <f>SUMIFS('[1]Raw Inventory'!D:D,'[1]Raw Inventory'!C:C,"GREATWALL",'[1]Raw Inventory'!B:B,A906)</f>
        <v>0</v>
      </c>
      <c r="AH906" s="46">
        <f>SUMIFS('[1]Raw Inventory'!D:D,'[1]Raw Inventory'!C:C,"DUARTE",'[1]Raw Inventory'!B:B,A906)</f>
        <v>0</v>
      </c>
      <c r="AI906" s="46"/>
      <c r="AJ906" s="46"/>
      <c r="AK906" s="43"/>
      <c r="AL906" s="43"/>
      <c r="AM906" s="43"/>
      <c r="AN906" s="43"/>
      <c r="AO906" s="43"/>
      <c r="AP906" s="43"/>
      <c r="AQ906" s="43"/>
      <c r="AR906" s="43"/>
      <c r="AS906" s="43"/>
      <c r="AT906" s="43"/>
    </row>
    <row r="907" spans="1:46">
      <c r="A907" s="43" t="s">
        <v>46</v>
      </c>
      <c r="B907" s="43" t="s">
        <v>29</v>
      </c>
      <c r="C907" s="43" t="s">
        <v>1</v>
      </c>
      <c r="D907" s="44" t="s">
        <v>228</v>
      </c>
      <c r="E907" s="44">
        <v>21</v>
      </c>
      <c r="F907" s="44" t="s">
        <v>2</v>
      </c>
      <c r="G907" s="43" t="str">
        <f>IFERROR(VLOOKUP(A907,'[1]MC Masterlist 2026-09-12'!$B:$M, 3, 0),"")</f>
        <v>HONDA</v>
      </c>
      <c r="H907" s="45">
        <f>IFERROR(VLOOKUP(A907,'[1]MC Masterlist 2026-09-12'!$B:$M, 6, 0),"")</f>
        <v>73630</v>
      </c>
      <c r="I907" s="46">
        <v>2</v>
      </c>
      <c r="J907" s="46">
        <v>0</v>
      </c>
      <c r="K907" s="46">
        <v>1</v>
      </c>
      <c r="L907" s="46">
        <f t="shared" si="210"/>
        <v>3</v>
      </c>
      <c r="M907" s="46">
        <f t="shared" si="211"/>
        <v>1</v>
      </c>
      <c r="N907" s="45">
        <f t="shared" si="212"/>
        <v>220890</v>
      </c>
      <c r="O907" s="45">
        <f t="shared" si="213"/>
        <v>73630</v>
      </c>
      <c r="P907" s="46">
        <f t="shared" si="214"/>
        <v>3.3333333333333333E-2</v>
      </c>
      <c r="Q907" s="46"/>
      <c r="R907" s="45">
        <f t="shared" si="215"/>
        <v>0</v>
      </c>
      <c r="S907" s="46">
        <f t="shared" si="216"/>
        <v>0</v>
      </c>
      <c r="T907" s="46">
        <f>IFERROR(VLOOKUP(A907,'[1]Re-order'!$A:$Q,17,0),"")</f>
        <v>51</v>
      </c>
      <c r="U907" s="46">
        <f>IFERROR(VLOOKUP(A907,'[1]MC Masterlist 2026-09-12'!$B:$M, 10, 0),0)</f>
        <v>15</v>
      </c>
      <c r="V907" s="46">
        <f>IFERROR(VLOOKUP(A907,'[1]MC Masterlist 2026-09-12'!$B:$M, 11, 0),0)</f>
        <v>15</v>
      </c>
      <c r="W907" s="46">
        <f t="shared" si="217"/>
        <v>30</v>
      </c>
      <c r="X907" s="46">
        <f t="shared" si="218"/>
        <v>6.5</v>
      </c>
      <c r="Y907" s="46">
        <f>IFERROR(IF(OR(C907="AREA I",C907="AREA V"),7,VLOOKUP(A907,'[1]MC Masterlist 2026-09-12'!$B:$M, 12, 0)),0)</f>
        <v>7</v>
      </c>
      <c r="Z907" s="46">
        <f t="shared" si="219"/>
        <v>0.5</v>
      </c>
      <c r="AA907" s="46">
        <f t="shared" si="220"/>
        <v>1</v>
      </c>
      <c r="AB907" s="46">
        <f t="shared" si="221"/>
        <v>0.21666666666666667</v>
      </c>
      <c r="AC907" s="46">
        <f t="shared" si="222"/>
        <v>0.23333333333333334</v>
      </c>
      <c r="AD907" s="44" t="str">
        <f t="shared" si="223"/>
        <v>Stockout</v>
      </c>
      <c r="AE907" s="44" t="str">
        <f>IFERROR(VLOOKUP(A907,'[1]Re-order'!$A:$AA,27,0),"")</f>
        <v>Re-order</v>
      </c>
      <c r="AF907" s="46">
        <f t="shared" si="224"/>
        <v>0.23333333333333334</v>
      </c>
      <c r="AG907" s="46">
        <f>SUMIFS('[1]Raw Inventory'!D:D,'[1]Raw Inventory'!C:C,"GREATWALL",'[1]Raw Inventory'!B:B,A907)</f>
        <v>0</v>
      </c>
      <c r="AH907" s="46">
        <f>SUMIFS('[1]Raw Inventory'!D:D,'[1]Raw Inventory'!C:C,"DUARTE",'[1]Raw Inventory'!B:B,A907)</f>
        <v>0</v>
      </c>
      <c r="AI907" s="46"/>
      <c r="AJ907" s="46"/>
      <c r="AK907" s="43"/>
      <c r="AL907" s="43"/>
      <c r="AM907" s="43"/>
      <c r="AN907" s="43"/>
      <c r="AO907" s="43"/>
      <c r="AP907" s="43"/>
      <c r="AQ907" s="43"/>
      <c r="AR907" s="43"/>
      <c r="AS907" s="43"/>
      <c r="AT907" s="43"/>
    </row>
    <row r="908" spans="1:46">
      <c r="A908" s="43" t="s">
        <v>69</v>
      </c>
      <c r="B908" s="43" t="s">
        <v>160</v>
      </c>
      <c r="C908" s="43" t="s">
        <v>159</v>
      </c>
      <c r="D908" s="44" t="s">
        <v>239</v>
      </c>
      <c r="E908" s="44">
        <v>24</v>
      </c>
      <c r="F908" s="44" t="s">
        <v>3</v>
      </c>
      <c r="G908" s="43" t="str">
        <f>IFERROR(VLOOKUP(A908,'[1]MC Masterlist 2026-09-12'!$B:$M, 3, 0),"")</f>
        <v>YAMAHA</v>
      </c>
      <c r="H908" s="45">
        <f>IFERROR(VLOOKUP(A908,'[1]MC Masterlist 2026-09-12'!$B:$M, 6, 0),"")</f>
        <v>54426</v>
      </c>
      <c r="I908" s="46">
        <v>0</v>
      </c>
      <c r="J908" s="46">
        <v>0</v>
      </c>
      <c r="K908" s="46">
        <v>0</v>
      </c>
      <c r="L908" s="46">
        <f t="shared" si="210"/>
        <v>0</v>
      </c>
      <c r="M908" s="46">
        <f t="shared" si="211"/>
        <v>0</v>
      </c>
      <c r="N908" s="45">
        <f t="shared" si="212"/>
        <v>0</v>
      </c>
      <c r="O908" s="45">
        <f t="shared" si="213"/>
        <v>0</v>
      </c>
      <c r="P908" s="46">
        <f t="shared" si="214"/>
        <v>0</v>
      </c>
      <c r="Q908" s="46">
        <v>1</v>
      </c>
      <c r="R908" s="45">
        <f t="shared" si="215"/>
        <v>54426</v>
      </c>
      <c r="S908" s="46">
        <f t="shared" si="216"/>
        <v>0</v>
      </c>
      <c r="T908" s="46">
        <f>IFERROR(VLOOKUP(A908,'[1]Re-order'!$A:$Q,17,0),"")</f>
        <v>62.307692307692314</v>
      </c>
      <c r="U908" s="46">
        <f>IFERROR(VLOOKUP(A908,'[1]MC Masterlist 2026-09-12'!$B:$M, 10, 0),0)</f>
        <v>15</v>
      </c>
      <c r="V908" s="46">
        <f>IFERROR(VLOOKUP(A908,'[1]MC Masterlist 2026-09-12'!$B:$M, 11, 0),0)</f>
        <v>15</v>
      </c>
      <c r="W908" s="46">
        <f t="shared" si="217"/>
        <v>30</v>
      </c>
      <c r="X908" s="46">
        <f t="shared" si="218"/>
        <v>30</v>
      </c>
      <c r="Y908" s="46">
        <f>IFERROR(IF(OR(C908="AREA I",C908="AREA V"),7,VLOOKUP(A908,'[1]MC Masterlist 2026-09-12'!$B:$M, 12, 0)),0)</f>
        <v>30</v>
      </c>
      <c r="Z908" s="46">
        <f t="shared" si="219"/>
        <v>0</v>
      </c>
      <c r="AA908" s="46">
        <f t="shared" si="220"/>
        <v>0</v>
      </c>
      <c r="AB908" s="46">
        <f t="shared" si="221"/>
        <v>0</v>
      </c>
      <c r="AC908" s="46">
        <f t="shared" si="222"/>
        <v>0</v>
      </c>
      <c r="AD908" s="44" t="str">
        <f t="shared" si="223"/>
        <v>Over</v>
      </c>
      <c r="AE908" s="44" t="str">
        <f>IFERROR(VLOOKUP(A908,'[1]Re-order'!$A:$AA,27,0),"")</f>
        <v>Re-order</v>
      </c>
      <c r="AF908" s="46">
        <f t="shared" si="224"/>
        <v>-1</v>
      </c>
      <c r="AG908" s="46">
        <f>SUMIFS('[1]Raw Inventory'!D:D,'[1]Raw Inventory'!C:C,"GREATWALL",'[1]Raw Inventory'!B:B,A908)</f>
        <v>1</v>
      </c>
      <c r="AH908" s="46">
        <f>SUMIFS('[1]Raw Inventory'!D:D,'[1]Raw Inventory'!C:C,"DUARTE",'[1]Raw Inventory'!B:B,A908)</f>
        <v>0</v>
      </c>
      <c r="AI908" s="46"/>
      <c r="AJ908" s="46"/>
      <c r="AK908" s="43"/>
      <c r="AL908" s="43"/>
      <c r="AM908" s="43"/>
      <c r="AN908" s="43"/>
      <c r="AO908" s="43"/>
      <c r="AP908" s="43"/>
      <c r="AQ908" s="43"/>
      <c r="AR908" s="43"/>
      <c r="AS908" s="43"/>
      <c r="AT908" s="43"/>
    </row>
    <row r="909" spans="1:46">
      <c r="A909" s="43" t="s">
        <v>58</v>
      </c>
      <c r="B909" s="43" t="s">
        <v>30</v>
      </c>
      <c r="C909" s="43" t="s">
        <v>1</v>
      </c>
      <c r="D909" s="44" t="s">
        <v>268</v>
      </c>
      <c r="E909" s="44">
        <v>25</v>
      </c>
      <c r="F909" s="44" t="s">
        <v>3</v>
      </c>
      <c r="G909" s="43" t="str">
        <f>IFERROR(VLOOKUP(A909,'[1]MC Masterlist 2026-09-12'!$B:$M, 3, 0),"")</f>
        <v>HONDA</v>
      </c>
      <c r="H909" s="45">
        <f>IFERROR(VLOOKUP(A909,'[1]MC Masterlist 2026-09-12'!$B:$M, 6, 0),"")</f>
        <v>142758</v>
      </c>
      <c r="I909" s="46">
        <v>0</v>
      </c>
      <c r="J909" s="46">
        <v>0</v>
      </c>
      <c r="K909" s="46">
        <v>1</v>
      </c>
      <c r="L909" s="46">
        <f t="shared" si="210"/>
        <v>1</v>
      </c>
      <c r="M909" s="46">
        <f t="shared" si="211"/>
        <v>0.33333333333333331</v>
      </c>
      <c r="N909" s="45">
        <f t="shared" si="212"/>
        <v>142758</v>
      </c>
      <c r="O909" s="45">
        <f t="shared" si="213"/>
        <v>47586</v>
      </c>
      <c r="P909" s="46">
        <f t="shared" si="214"/>
        <v>1.111111111111111E-2</v>
      </c>
      <c r="Q909" s="46"/>
      <c r="R909" s="45">
        <f t="shared" si="215"/>
        <v>0</v>
      </c>
      <c r="S909" s="46">
        <f t="shared" si="216"/>
        <v>0</v>
      </c>
      <c r="T909" s="46">
        <f>IFERROR(VLOOKUP(A909,'[1]Re-order'!$A:$Q,17,0),"")</f>
        <v>135</v>
      </c>
      <c r="U909" s="46">
        <f>IFERROR(VLOOKUP(A909,'[1]MC Masterlist 2026-09-12'!$B:$M, 10, 0),0)</f>
        <v>15</v>
      </c>
      <c r="V909" s="46">
        <f>IFERROR(VLOOKUP(A909,'[1]MC Masterlist 2026-09-12'!$B:$M, 11, 0),0)</f>
        <v>15</v>
      </c>
      <c r="W909" s="46">
        <f t="shared" si="217"/>
        <v>30</v>
      </c>
      <c r="X909" s="46">
        <f t="shared" si="218"/>
        <v>6.833333333333333</v>
      </c>
      <c r="Y909" s="46">
        <f>IFERROR(IF(OR(C909="AREA I",C909="AREA V"),7,VLOOKUP(A909,'[1]MC Masterlist 2026-09-12'!$B:$M, 12, 0)),0)</f>
        <v>7</v>
      </c>
      <c r="Z909" s="46">
        <f t="shared" si="219"/>
        <v>0.16666666666666666</v>
      </c>
      <c r="AA909" s="46">
        <f t="shared" si="220"/>
        <v>0.33333333333333331</v>
      </c>
      <c r="AB909" s="46">
        <f t="shared" si="221"/>
        <v>7.5925925925925911E-2</v>
      </c>
      <c r="AC909" s="46">
        <f t="shared" si="222"/>
        <v>7.7777777777777765E-2</v>
      </c>
      <c r="AD909" s="44" t="str">
        <f t="shared" si="223"/>
        <v>Stockout</v>
      </c>
      <c r="AE909" s="44" t="str">
        <f>IFERROR(VLOOKUP(A909,'[1]Re-order'!$A:$AA,27,0),"")</f>
        <v>Over</v>
      </c>
      <c r="AF909" s="46">
        <f t="shared" si="224"/>
        <v>7.7777777777777765E-2</v>
      </c>
      <c r="AG909" s="46">
        <f>SUMIFS('[1]Raw Inventory'!D:D,'[1]Raw Inventory'!C:C,"GREATWALL",'[1]Raw Inventory'!B:B,A909)</f>
        <v>0</v>
      </c>
      <c r="AH909" s="46">
        <f>SUMIFS('[1]Raw Inventory'!D:D,'[1]Raw Inventory'!C:C,"DUARTE",'[1]Raw Inventory'!B:B,A909)</f>
        <v>0</v>
      </c>
      <c r="AI909" s="46"/>
      <c r="AJ909" s="46"/>
      <c r="AK909" s="43"/>
      <c r="AL909" s="43"/>
      <c r="AM909" s="43"/>
      <c r="AN909" s="43"/>
      <c r="AO909" s="43"/>
      <c r="AP909" s="43"/>
      <c r="AQ909" s="43"/>
      <c r="AR909" s="43"/>
      <c r="AS909" s="43"/>
      <c r="AT909" s="43"/>
    </row>
    <row r="910" spans="1:46">
      <c r="A910" s="43" t="s">
        <v>76</v>
      </c>
      <c r="B910" s="43" t="s">
        <v>93</v>
      </c>
      <c r="C910" s="43" t="s">
        <v>90</v>
      </c>
      <c r="D910" s="44" t="s">
        <v>237</v>
      </c>
      <c r="E910" s="44">
        <v>21</v>
      </c>
      <c r="F910" s="44" t="s">
        <v>3</v>
      </c>
      <c r="G910" s="43" t="str">
        <f>IFERROR(VLOOKUP(A910,'[1]MC Masterlist 2026-09-12'!$B:$M, 3, 0),"")</f>
        <v>SUZUKI</v>
      </c>
      <c r="H910" s="45">
        <f>IFERROR(VLOOKUP(A910,'[1]MC Masterlist 2026-09-12'!$B:$M, 6, 0),"")</f>
        <v>62692</v>
      </c>
      <c r="I910" s="46">
        <v>0</v>
      </c>
      <c r="J910" s="46">
        <v>0</v>
      </c>
      <c r="K910" s="46">
        <v>0</v>
      </c>
      <c r="L910" s="46">
        <f t="shared" si="210"/>
        <v>0</v>
      </c>
      <c r="M910" s="46">
        <f t="shared" si="211"/>
        <v>0</v>
      </c>
      <c r="N910" s="45">
        <f t="shared" si="212"/>
        <v>0</v>
      </c>
      <c r="O910" s="45">
        <f t="shared" si="213"/>
        <v>0</v>
      </c>
      <c r="P910" s="46">
        <f t="shared" si="214"/>
        <v>0</v>
      </c>
      <c r="Q910" s="46">
        <v>1</v>
      </c>
      <c r="R910" s="45">
        <f t="shared" si="215"/>
        <v>62692</v>
      </c>
      <c r="S910" s="46">
        <f t="shared" si="216"/>
        <v>0</v>
      </c>
      <c r="T910" s="46">
        <f>IFERROR(VLOOKUP(A910,'[1]Re-order'!$A:$Q,17,0),"")</f>
        <v>106.36363636363636</v>
      </c>
      <c r="U910" s="46">
        <f>IFERROR(VLOOKUP(A910,'[1]MC Masterlist 2026-09-12'!$B:$M, 10, 0),0)</f>
        <v>15</v>
      </c>
      <c r="V910" s="46">
        <f>IFERROR(VLOOKUP(A910,'[1]MC Masterlist 2026-09-12'!$B:$M, 11, 0),0)</f>
        <v>15</v>
      </c>
      <c r="W910" s="46">
        <f t="shared" si="217"/>
        <v>30</v>
      </c>
      <c r="X910" s="46">
        <f t="shared" si="218"/>
        <v>30</v>
      </c>
      <c r="Y910" s="46">
        <f>IFERROR(IF(OR(C910="AREA I",C910="AREA V"),7,VLOOKUP(A910,'[1]MC Masterlist 2026-09-12'!$B:$M, 12, 0)),0)</f>
        <v>30</v>
      </c>
      <c r="Z910" s="46">
        <f t="shared" si="219"/>
        <v>0</v>
      </c>
      <c r="AA910" s="46">
        <f t="shared" si="220"/>
        <v>0</v>
      </c>
      <c r="AB910" s="46">
        <f t="shared" si="221"/>
        <v>0</v>
      </c>
      <c r="AC910" s="46">
        <f t="shared" si="222"/>
        <v>0</v>
      </c>
      <c r="AD910" s="44" t="str">
        <f t="shared" si="223"/>
        <v>Over</v>
      </c>
      <c r="AE910" s="44" t="str">
        <f>IFERROR(VLOOKUP(A910,'[1]Re-order'!$A:$AA,27,0),"")</f>
        <v>Over</v>
      </c>
      <c r="AF910" s="46">
        <f t="shared" si="224"/>
        <v>-1</v>
      </c>
      <c r="AG910" s="46">
        <f>SUMIFS('[1]Raw Inventory'!D:D,'[1]Raw Inventory'!C:C,"GREATWALL",'[1]Raw Inventory'!B:B,A910)</f>
        <v>1</v>
      </c>
      <c r="AH910" s="46">
        <f>SUMIFS('[1]Raw Inventory'!D:D,'[1]Raw Inventory'!C:C,"DUARTE",'[1]Raw Inventory'!B:B,A910)</f>
        <v>0</v>
      </c>
      <c r="AI910" s="46"/>
      <c r="AJ910" s="46"/>
      <c r="AK910" s="43"/>
      <c r="AL910" s="43"/>
      <c r="AM910" s="43"/>
      <c r="AN910" s="43"/>
      <c r="AO910" s="43"/>
      <c r="AP910" s="43"/>
      <c r="AQ910" s="43"/>
      <c r="AR910" s="43"/>
      <c r="AS910" s="43"/>
      <c r="AT910" s="43"/>
    </row>
    <row r="911" spans="1:46">
      <c r="A911" s="43" t="s">
        <v>24</v>
      </c>
      <c r="B911" s="43" t="s">
        <v>157</v>
      </c>
      <c r="C911" s="43" t="s">
        <v>152</v>
      </c>
      <c r="D911" s="44" t="s">
        <v>268</v>
      </c>
      <c r="E911" s="44">
        <v>15</v>
      </c>
      <c r="F911" s="44" t="s">
        <v>3</v>
      </c>
      <c r="G911" s="43" t="str">
        <f>IFERROR(VLOOKUP(A911,'[1]MC Masterlist 2026-09-12'!$B:$M, 3, 0),"")</f>
        <v>KAWASAKI</v>
      </c>
      <c r="H911" s="45">
        <f>IFERROR(VLOOKUP(A911,'[1]MC Masterlist 2026-09-12'!$B:$M, 6, 0),"")</f>
        <v>131626</v>
      </c>
      <c r="I911" s="46">
        <v>0</v>
      </c>
      <c r="J911" s="46">
        <v>1</v>
      </c>
      <c r="K911" s="46">
        <v>1</v>
      </c>
      <c r="L911" s="46">
        <f t="shared" si="210"/>
        <v>2</v>
      </c>
      <c r="M911" s="46">
        <f t="shared" si="211"/>
        <v>0.66666666666666663</v>
      </c>
      <c r="N911" s="45">
        <f t="shared" si="212"/>
        <v>263252</v>
      </c>
      <c r="O911" s="45">
        <f t="shared" si="213"/>
        <v>87750.666666666657</v>
      </c>
      <c r="P911" s="46">
        <f t="shared" si="214"/>
        <v>2.222222222222222E-2</v>
      </c>
      <c r="Q911" s="46">
        <v>3</v>
      </c>
      <c r="R911" s="45">
        <f t="shared" si="215"/>
        <v>394878</v>
      </c>
      <c r="S911" s="46">
        <f t="shared" si="216"/>
        <v>135.00000000000003</v>
      </c>
      <c r="T911" s="46">
        <f>IFERROR(VLOOKUP(A911,'[1]Re-order'!$A:$Q,17,0),"")</f>
        <v>40.677966101694913</v>
      </c>
      <c r="U911" s="46">
        <f>IFERROR(VLOOKUP(A911,'[1]MC Masterlist 2026-09-12'!$B:$M, 10, 0),0)</f>
        <v>15</v>
      </c>
      <c r="V911" s="46">
        <f>IFERROR(VLOOKUP(A911,'[1]MC Masterlist 2026-09-12'!$B:$M, 11, 0),0)</f>
        <v>15</v>
      </c>
      <c r="W911" s="46">
        <f t="shared" si="217"/>
        <v>30</v>
      </c>
      <c r="X911" s="46">
        <f t="shared" si="218"/>
        <v>29.666666666666668</v>
      </c>
      <c r="Y911" s="46">
        <f>IFERROR(IF(OR(C911="AREA I",C911="AREA V"),7,VLOOKUP(A911,'[1]MC Masterlist 2026-09-12'!$B:$M, 12, 0)),0)</f>
        <v>30</v>
      </c>
      <c r="Z911" s="46">
        <f t="shared" si="219"/>
        <v>0.33333333333333331</v>
      </c>
      <c r="AA911" s="46">
        <f t="shared" si="220"/>
        <v>0.66666666666666663</v>
      </c>
      <c r="AB911" s="46">
        <f t="shared" si="221"/>
        <v>0.65925925925925921</v>
      </c>
      <c r="AC911" s="46">
        <f t="shared" si="222"/>
        <v>0.66666666666666663</v>
      </c>
      <c r="AD911" s="44" t="str">
        <f t="shared" si="223"/>
        <v>Over</v>
      </c>
      <c r="AE911" s="44" t="str">
        <f>IFERROR(VLOOKUP(A911,'[1]Re-order'!$A:$AA,27,0),"")</f>
        <v>Re-order</v>
      </c>
      <c r="AF911" s="46">
        <f t="shared" si="224"/>
        <v>-2.3333333333333335</v>
      </c>
      <c r="AG911" s="46">
        <f>SUMIFS('[1]Raw Inventory'!D:D,'[1]Raw Inventory'!C:C,"GREATWALL",'[1]Raw Inventory'!B:B,A911)</f>
        <v>12</v>
      </c>
      <c r="AH911" s="46">
        <f>SUMIFS('[1]Raw Inventory'!D:D,'[1]Raw Inventory'!C:C,"DUARTE",'[1]Raw Inventory'!B:B,A911)</f>
        <v>0</v>
      </c>
      <c r="AI911" s="46"/>
      <c r="AJ911" s="46"/>
      <c r="AK911" s="43"/>
      <c r="AL911" s="43"/>
      <c r="AM911" s="43"/>
      <c r="AN911" s="43"/>
      <c r="AO911" s="43"/>
      <c r="AP911" s="43"/>
      <c r="AQ911" s="43"/>
      <c r="AR911" s="43"/>
      <c r="AS911" s="43"/>
      <c r="AT911" s="43"/>
    </row>
    <row r="912" spans="1:46">
      <c r="A912" s="43" t="s">
        <v>20</v>
      </c>
      <c r="B912" s="43" t="s">
        <v>115</v>
      </c>
      <c r="C912" s="43" t="s">
        <v>109</v>
      </c>
      <c r="D912" s="44" t="s">
        <v>224</v>
      </c>
      <c r="E912" s="44">
        <v>7</v>
      </c>
      <c r="F912" s="44" t="s">
        <v>2</v>
      </c>
      <c r="G912" s="43" t="str">
        <f>IFERROR(VLOOKUP(A912,'[1]MC Masterlist 2026-09-12'!$B:$M, 3, 0),"")</f>
        <v>HONDA</v>
      </c>
      <c r="H912" s="45">
        <f>IFERROR(VLOOKUP(A912,'[1]MC Masterlist 2026-09-12'!$B:$M, 6, 0),"")</f>
        <v>69950</v>
      </c>
      <c r="I912" s="46">
        <v>3</v>
      </c>
      <c r="J912" s="46">
        <v>1</v>
      </c>
      <c r="K912" s="46">
        <v>2</v>
      </c>
      <c r="L912" s="46">
        <f t="shared" si="210"/>
        <v>6</v>
      </c>
      <c r="M912" s="46">
        <f t="shared" si="211"/>
        <v>2</v>
      </c>
      <c r="N912" s="45">
        <f t="shared" si="212"/>
        <v>419700</v>
      </c>
      <c r="O912" s="45">
        <f t="shared" si="213"/>
        <v>139900</v>
      </c>
      <c r="P912" s="46">
        <f t="shared" si="214"/>
        <v>6.6666666666666666E-2</v>
      </c>
      <c r="Q912" s="46">
        <v>4</v>
      </c>
      <c r="R912" s="45">
        <f t="shared" si="215"/>
        <v>279800</v>
      </c>
      <c r="S912" s="46">
        <f t="shared" si="216"/>
        <v>60</v>
      </c>
      <c r="T912" s="46">
        <f>IFERROR(VLOOKUP(A912,'[1]Re-order'!$A:$Q,17,0),"")</f>
        <v>75.775862068965523</v>
      </c>
      <c r="U912" s="46">
        <f>IFERROR(VLOOKUP(A912,'[1]MC Masterlist 2026-09-12'!$B:$M, 10, 0),0)</f>
        <v>15</v>
      </c>
      <c r="V912" s="46">
        <f>IFERROR(VLOOKUP(A912,'[1]MC Masterlist 2026-09-12'!$B:$M, 11, 0),0)</f>
        <v>15</v>
      </c>
      <c r="W912" s="46">
        <f t="shared" si="217"/>
        <v>30</v>
      </c>
      <c r="X912" s="46">
        <f t="shared" si="218"/>
        <v>29</v>
      </c>
      <c r="Y912" s="46">
        <f>IFERROR(IF(OR(C912="AREA I",C912="AREA V"),7,VLOOKUP(A912,'[1]MC Masterlist 2026-09-12'!$B:$M, 12, 0)),0)</f>
        <v>30</v>
      </c>
      <c r="Z912" s="46">
        <f t="shared" si="219"/>
        <v>1</v>
      </c>
      <c r="AA912" s="46">
        <f t="shared" si="220"/>
        <v>2</v>
      </c>
      <c r="AB912" s="46">
        <f t="shared" si="221"/>
        <v>1.9333333333333333</v>
      </c>
      <c r="AC912" s="46">
        <f t="shared" si="222"/>
        <v>2</v>
      </c>
      <c r="AD912" s="44" t="str">
        <f t="shared" si="223"/>
        <v>Over</v>
      </c>
      <c r="AE912" s="44" t="str">
        <f>IFERROR(VLOOKUP(A912,'[1]Re-order'!$A:$AA,27,0),"")</f>
        <v/>
      </c>
      <c r="AF912" s="46">
        <f t="shared" si="224"/>
        <v>-2</v>
      </c>
      <c r="AG912" s="46">
        <f>SUMIFS('[1]Raw Inventory'!D:D,'[1]Raw Inventory'!C:C,"GREATWALL",'[1]Raw Inventory'!B:B,A912)</f>
        <v>110</v>
      </c>
      <c r="AH912" s="46">
        <f>SUMIFS('[1]Raw Inventory'!D:D,'[1]Raw Inventory'!C:C,"DUARTE",'[1]Raw Inventory'!B:B,A912)</f>
        <v>0</v>
      </c>
      <c r="AI912" s="46"/>
      <c r="AJ912" s="46"/>
      <c r="AK912" s="43"/>
      <c r="AL912" s="43"/>
      <c r="AM912" s="43"/>
      <c r="AN912" s="43"/>
      <c r="AO912" s="43"/>
      <c r="AP912" s="43"/>
      <c r="AQ912" s="43"/>
      <c r="AR912" s="43"/>
      <c r="AS912" s="43"/>
      <c r="AT912" s="43"/>
    </row>
    <row r="913" spans="1:46">
      <c r="A913" s="43" t="s">
        <v>12</v>
      </c>
      <c r="B913" s="43" t="s">
        <v>123</v>
      </c>
      <c r="C913" s="43" t="s">
        <v>118</v>
      </c>
      <c r="D913" s="44" t="s">
        <v>225</v>
      </c>
      <c r="E913" s="44">
        <v>3</v>
      </c>
      <c r="F913" s="44" t="s">
        <v>0</v>
      </c>
      <c r="G913" s="43" t="str">
        <f>IFERROR(VLOOKUP(A913,'[1]MC Masterlist 2026-09-12'!$B:$M, 3, 0),"")</f>
        <v>HONDA</v>
      </c>
      <c r="H913" s="45">
        <f>IFERROR(VLOOKUP(A913,'[1]MC Masterlist 2026-09-12'!$B:$M, 6, 0),"")</f>
        <v>158270</v>
      </c>
      <c r="I913" s="46">
        <v>1</v>
      </c>
      <c r="J913" s="46">
        <v>3</v>
      </c>
      <c r="K913" s="46">
        <v>1</v>
      </c>
      <c r="L913" s="46">
        <f t="shared" si="210"/>
        <v>5</v>
      </c>
      <c r="M913" s="46">
        <f t="shared" si="211"/>
        <v>1.6666666666666667</v>
      </c>
      <c r="N913" s="45">
        <f t="shared" si="212"/>
        <v>791350</v>
      </c>
      <c r="O913" s="45">
        <f t="shared" si="213"/>
        <v>263783.33333333337</v>
      </c>
      <c r="P913" s="46">
        <f t="shared" si="214"/>
        <v>5.5555555555555559E-2</v>
      </c>
      <c r="Q913" s="46">
        <v>5</v>
      </c>
      <c r="R913" s="45">
        <f t="shared" si="215"/>
        <v>791350</v>
      </c>
      <c r="S913" s="46">
        <f t="shared" si="216"/>
        <v>89.999999999999986</v>
      </c>
      <c r="T913" s="46">
        <f>IFERROR(VLOOKUP(A913,'[1]Re-order'!$A:$Q,17,0),"")</f>
        <v>46.461038961038959</v>
      </c>
      <c r="U913" s="46">
        <f>IFERROR(VLOOKUP(A913,'[1]MC Masterlist 2026-09-12'!$B:$M, 10, 0),0)</f>
        <v>15</v>
      </c>
      <c r="V913" s="46">
        <f>IFERROR(VLOOKUP(A913,'[1]MC Masterlist 2026-09-12'!$B:$M, 11, 0),0)</f>
        <v>15</v>
      </c>
      <c r="W913" s="46">
        <f t="shared" si="217"/>
        <v>30</v>
      </c>
      <c r="X913" s="46">
        <f t="shared" si="218"/>
        <v>29.166666666666668</v>
      </c>
      <c r="Y913" s="46">
        <f>IFERROR(IF(OR(C913="AREA I",C913="AREA V"),7,VLOOKUP(A913,'[1]MC Masterlist 2026-09-12'!$B:$M, 12, 0)),0)</f>
        <v>30</v>
      </c>
      <c r="Z913" s="46">
        <f t="shared" si="219"/>
        <v>0.83333333333333337</v>
      </c>
      <c r="AA913" s="46">
        <f t="shared" si="220"/>
        <v>1.6666666666666667</v>
      </c>
      <c r="AB913" s="46">
        <f t="shared" si="221"/>
        <v>1.6203703703703705</v>
      </c>
      <c r="AC913" s="46">
        <f t="shared" si="222"/>
        <v>1.6666666666666667</v>
      </c>
      <c r="AD913" s="44" t="str">
        <f t="shared" si="223"/>
        <v>Over</v>
      </c>
      <c r="AE913" s="44" t="str">
        <f>IFERROR(VLOOKUP(A913,'[1]Re-order'!$A:$AA,27,0),"")</f>
        <v>Re-order</v>
      </c>
      <c r="AF913" s="46">
        <f t="shared" si="224"/>
        <v>-3.333333333333333</v>
      </c>
      <c r="AG913" s="46">
        <f>SUMIFS('[1]Raw Inventory'!D:D,'[1]Raw Inventory'!C:C,"GREATWALL",'[1]Raw Inventory'!B:B,A913)</f>
        <v>35</v>
      </c>
      <c r="AH913" s="46">
        <f>SUMIFS('[1]Raw Inventory'!D:D,'[1]Raw Inventory'!C:C,"DUARTE",'[1]Raw Inventory'!B:B,A913)</f>
        <v>0</v>
      </c>
      <c r="AI913" s="46"/>
      <c r="AJ913" s="46"/>
      <c r="AK913" s="43"/>
      <c r="AL913" s="43"/>
      <c r="AM913" s="43"/>
      <c r="AN913" s="43"/>
      <c r="AO913" s="43"/>
      <c r="AP913" s="43"/>
      <c r="AQ913" s="43"/>
      <c r="AR913" s="43"/>
      <c r="AS913" s="43"/>
      <c r="AT913" s="43"/>
    </row>
    <row r="914" spans="1:46">
      <c r="A914" s="43" t="s">
        <v>53</v>
      </c>
      <c r="B914" s="43" t="s">
        <v>93</v>
      </c>
      <c r="C914" s="43" t="s">
        <v>90</v>
      </c>
      <c r="D914" s="44" t="s">
        <v>235</v>
      </c>
      <c r="E914" s="44">
        <v>21</v>
      </c>
      <c r="F914" s="44" t="s">
        <v>3</v>
      </c>
      <c r="G914" s="43" t="str">
        <f>IFERROR(VLOOKUP(A914,'[1]MC Masterlist 2026-09-12'!$B:$M, 3, 0),"")</f>
        <v>HONDA</v>
      </c>
      <c r="H914" s="45">
        <f>IFERROR(VLOOKUP(A914,'[1]MC Masterlist 2026-09-12'!$B:$M, 6, 0),"")</f>
        <v>118838</v>
      </c>
      <c r="I914" s="46">
        <v>0</v>
      </c>
      <c r="J914" s="46">
        <v>0</v>
      </c>
      <c r="K914" s="46">
        <v>0</v>
      </c>
      <c r="L914" s="46">
        <f t="shared" si="210"/>
        <v>0</v>
      </c>
      <c r="M914" s="46">
        <f t="shared" si="211"/>
        <v>0</v>
      </c>
      <c r="N914" s="45">
        <f t="shared" si="212"/>
        <v>0</v>
      </c>
      <c r="O914" s="45">
        <f t="shared" si="213"/>
        <v>0</v>
      </c>
      <c r="P914" s="46">
        <f t="shared" si="214"/>
        <v>0</v>
      </c>
      <c r="Q914" s="46">
        <v>1</v>
      </c>
      <c r="R914" s="45">
        <f t="shared" si="215"/>
        <v>118838</v>
      </c>
      <c r="S914" s="46">
        <f t="shared" si="216"/>
        <v>0</v>
      </c>
      <c r="T914" s="46">
        <f>IFERROR(VLOOKUP(A914,'[1]Re-order'!$A:$Q,17,0),"")</f>
        <v>360</v>
      </c>
      <c r="U914" s="46">
        <f>IFERROR(VLOOKUP(A914,'[1]MC Masterlist 2026-09-12'!$B:$M, 10, 0),0)</f>
        <v>15</v>
      </c>
      <c r="V914" s="46">
        <f>IFERROR(VLOOKUP(A914,'[1]MC Masterlist 2026-09-12'!$B:$M, 11, 0),0)</f>
        <v>15</v>
      </c>
      <c r="W914" s="46">
        <f t="shared" si="217"/>
        <v>30</v>
      </c>
      <c r="X914" s="46">
        <f t="shared" si="218"/>
        <v>30</v>
      </c>
      <c r="Y914" s="46">
        <f>IFERROR(IF(OR(C914="AREA I",C914="AREA V"),7,VLOOKUP(A914,'[1]MC Masterlist 2026-09-12'!$B:$M, 12, 0)),0)</f>
        <v>30</v>
      </c>
      <c r="Z914" s="46">
        <f t="shared" si="219"/>
        <v>0</v>
      </c>
      <c r="AA914" s="46">
        <f t="shared" si="220"/>
        <v>0</v>
      </c>
      <c r="AB914" s="46">
        <f t="shared" si="221"/>
        <v>0</v>
      </c>
      <c r="AC914" s="46">
        <f t="shared" si="222"/>
        <v>0</v>
      </c>
      <c r="AD914" s="44" t="str">
        <f t="shared" si="223"/>
        <v>Over</v>
      </c>
      <c r="AE914" s="44" t="str">
        <f>IFERROR(VLOOKUP(A914,'[1]Re-order'!$A:$AA,27,0),"")</f>
        <v>Over</v>
      </c>
      <c r="AF914" s="46">
        <f t="shared" si="224"/>
        <v>-1</v>
      </c>
      <c r="AG914" s="46">
        <f>SUMIFS('[1]Raw Inventory'!D:D,'[1]Raw Inventory'!C:C,"GREATWALL",'[1]Raw Inventory'!B:B,A914)</f>
        <v>0</v>
      </c>
      <c r="AH914" s="46">
        <f>SUMIFS('[1]Raw Inventory'!D:D,'[1]Raw Inventory'!C:C,"DUARTE",'[1]Raw Inventory'!B:B,A914)</f>
        <v>0</v>
      </c>
      <c r="AI914" s="46"/>
      <c r="AJ914" s="46"/>
      <c r="AK914" s="43"/>
      <c r="AL914" s="43"/>
      <c r="AM914" s="43"/>
      <c r="AN914" s="43"/>
      <c r="AO914" s="43"/>
      <c r="AP914" s="43"/>
      <c r="AQ914" s="43"/>
      <c r="AR914" s="43"/>
      <c r="AS914" s="43"/>
      <c r="AT914" s="43"/>
    </row>
    <row r="915" spans="1:46">
      <c r="A915" s="43" t="s">
        <v>22</v>
      </c>
      <c r="B915" s="43" t="s">
        <v>114</v>
      </c>
      <c r="C915" s="43" t="s">
        <v>109</v>
      </c>
      <c r="D915" s="44" t="s">
        <v>240</v>
      </c>
      <c r="E915" s="44">
        <v>10</v>
      </c>
      <c r="F915" s="44" t="s">
        <v>2</v>
      </c>
      <c r="G915" s="43" t="str">
        <f>IFERROR(VLOOKUP(A915,'[1]MC Masterlist 2026-09-12'!$B:$M, 3, 0),"")</f>
        <v>HONDA</v>
      </c>
      <c r="H915" s="45">
        <f>IFERROR(VLOOKUP(A915,'[1]MC Masterlist 2026-09-12'!$B:$M, 6, 0),"")</f>
        <v>111258</v>
      </c>
      <c r="I915" s="46">
        <v>2</v>
      </c>
      <c r="J915" s="46">
        <v>1</v>
      </c>
      <c r="K915" s="46">
        <v>1</v>
      </c>
      <c r="L915" s="46">
        <f t="shared" si="210"/>
        <v>4</v>
      </c>
      <c r="M915" s="46">
        <f t="shared" si="211"/>
        <v>1.3333333333333333</v>
      </c>
      <c r="N915" s="45">
        <f t="shared" si="212"/>
        <v>445032</v>
      </c>
      <c r="O915" s="45">
        <f t="shared" si="213"/>
        <v>148344</v>
      </c>
      <c r="P915" s="46">
        <f t="shared" si="214"/>
        <v>4.4444444444444439E-2</v>
      </c>
      <c r="Q915" s="46"/>
      <c r="R915" s="45">
        <f t="shared" si="215"/>
        <v>0</v>
      </c>
      <c r="S915" s="46">
        <f t="shared" si="216"/>
        <v>0</v>
      </c>
      <c r="T915" s="46">
        <f>IFERROR(VLOOKUP(A915,'[1]Re-order'!$A:$Q,17,0),"")</f>
        <v>41.339712918660283</v>
      </c>
      <c r="U915" s="46">
        <f>IFERROR(VLOOKUP(A915,'[1]MC Masterlist 2026-09-12'!$B:$M, 10, 0),0)</f>
        <v>15</v>
      </c>
      <c r="V915" s="46">
        <f>IFERROR(VLOOKUP(A915,'[1]MC Masterlist 2026-09-12'!$B:$M, 11, 0),0)</f>
        <v>15</v>
      </c>
      <c r="W915" s="46">
        <f t="shared" si="217"/>
        <v>30</v>
      </c>
      <c r="X915" s="46">
        <f t="shared" si="218"/>
        <v>29.333333333333332</v>
      </c>
      <c r="Y915" s="46">
        <f>IFERROR(IF(OR(C915="AREA I",C915="AREA V"),7,VLOOKUP(A915,'[1]MC Masterlist 2026-09-12'!$B:$M, 12, 0)),0)</f>
        <v>30</v>
      </c>
      <c r="Z915" s="46">
        <f t="shared" si="219"/>
        <v>0.66666666666666663</v>
      </c>
      <c r="AA915" s="46">
        <f t="shared" si="220"/>
        <v>1.3333333333333333</v>
      </c>
      <c r="AB915" s="46">
        <f t="shared" si="221"/>
        <v>1.3037037037037036</v>
      </c>
      <c r="AC915" s="46">
        <f t="shared" si="222"/>
        <v>1.3333333333333333</v>
      </c>
      <c r="AD915" s="44" t="str">
        <f t="shared" si="223"/>
        <v>Stockout</v>
      </c>
      <c r="AE915" s="44" t="str">
        <f>IFERROR(VLOOKUP(A915,'[1]Re-order'!$A:$AA,27,0),"")</f>
        <v>Re-order</v>
      </c>
      <c r="AF915" s="46">
        <f t="shared" si="224"/>
        <v>1.3333333333333333</v>
      </c>
      <c r="AG915" s="46">
        <f>SUMIFS('[1]Raw Inventory'!D:D,'[1]Raw Inventory'!C:C,"GREATWALL",'[1]Raw Inventory'!B:B,A915)</f>
        <v>4</v>
      </c>
      <c r="AH915" s="46">
        <f>SUMIFS('[1]Raw Inventory'!D:D,'[1]Raw Inventory'!C:C,"DUARTE",'[1]Raw Inventory'!B:B,A915)</f>
        <v>0</v>
      </c>
      <c r="AI915" s="46"/>
      <c r="AJ915" s="46"/>
      <c r="AK915" s="43"/>
      <c r="AL915" s="43"/>
      <c r="AM915" s="43"/>
      <c r="AN915" s="43"/>
      <c r="AO915" s="43"/>
      <c r="AP915" s="43"/>
      <c r="AQ915" s="43"/>
      <c r="AR915" s="43"/>
      <c r="AS915" s="43"/>
      <c r="AT915" s="43"/>
    </row>
    <row r="916" spans="1:46">
      <c r="A916" s="43" t="s">
        <v>108</v>
      </c>
      <c r="B916" s="43" t="s">
        <v>154</v>
      </c>
      <c r="C916" s="43" t="s">
        <v>152</v>
      </c>
      <c r="D916" s="44" t="s">
        <v>229</v>
      </c>
      <c r="E916" s="44">
        <v>26</v>
      </c>
      <c r="F916" s="44" t="s">
        <v>3</v>
      </c>
      <c r="G916" s="43" t="str">
        <f>IFERROR(VLOOKUP(A916,'[1]MC Masterlist 2026-09-12'!$B:$M, 3, 0),"")</f>
        <v>SUZUKI</v>
      </c>
      <c r="H916" s="45">
        <f>IFERROR(VLOOKUP(A916,'[1]MC Masterlist 2026-09-12'!$B:$M, 6, 0),"")</f>
        <v>66412</v>
      </c>
      <c r="I916" s="46">
        <v>0</v>
      </c>
      <c r="J916" s="46">
        <v>1</v>
      </c>
      <c r="K916" s="46">
        <v>0</v>
      </c>
      <c r="L916" s="46">
        <f t="shared" si="210"/>
        <v>1</v>
      </c>
      <c r="M916" s="46">
        <f t="shared" si="211"/>
        <v>0.33333333333333331</v>
      </c>
      <c r="N916" s="45">
        <f t="shared" si="212"/>
        <v>66412</v>
      </c>
      <c r="O916" s="45">
        <f t="shared" si="213"/>
        <v>22137.333333333332</v>
      </c>
      <c r="P916" s="46">
        <f t="shared" si="214"/>
        <v>1.111111111111111E-2</v>
      </c>
      <c r="Q916" s="46"/>
      <c r="R916" s="45">
        <f t="shared" si="215"/>
        <v>0</v>
      </c>
      <c r="S916" s="46">
        <f t="shared" si="216"/>
        <v>0</v>
      </c>
      <c r="T916" s="46">
        <f>IFERROR(VLOOKUP(A916,'[1]Re-order'!$A:$Q,17,0),"")</f>
        <v>540</v>
      </c>
      <c r="U916" s="46">
        <f>IFERROR(VLOOKUP(A916,'[1]MC Masterlist 2026-09-12'!$B:$M, 10, 0),0)</f>
        <v>15</v>
      </c>
      <c r="V916" s="46">
        <f>IFERROR(VLOOKUP(A916,'[1]MC Masterlist 2026-09-12'!$B:$M, 11, 0),0)</f>
        <v>15</v>
      </c>
      <c r="W916" s="46">
        <f t="shared" si="217"/>
        <v>30</v>
      </c>
      <c r="X916" s="46">
        <f t="shared" si="218"/>
        <v>29.833333333333332</v>
      </c>
      <c r="Y916" s="46">
        <f>IFERROR(IF(OR(C916="AREA I",C916="AREA V"),7,VLOOKUP(A916,'[1]MC Masterlist 2026-09-12'!$B:$M, 12, 0)),0)</f>
        <v>30</v>
      </c>
      <c r="Z916" s="46">
        <f t="shared" si="219"/>
        <v>0.16666666666666666</v>
      </c>
      <c r="AA916" s="46">
        <f t="shared" si="220"/>
        <v>0.33333333333333331</v>
      </c>
      <c r="AB916" s="46">
        <f t="shared" si="221"/>
        <v>0.33148148148148143</v>
      </c>
      <c r="AC916" s="46">
        <f t="shared" si="222"/>
        <v>0.33333333333333331</v>
      </c>
      <c r="AD916" s="44" t="str">
        <f t="shared" si="223"/>
        <v>Stockout</v>
      </c>
      <c r="AE916" s="44" t="str">
        <f>IFERROR(VLOOKUP(A916,'[1]Re-order'!$A:$AA,27,0),"")</f>
        <v>Over</v>
      </c>
      <c r="AF916" s="46">
        <f t="shared" si="224"/>
        <v>0.33333333333333331</v>
      </c>
      <c r="AG916" s="46">
        <f>SUMIFS('[1]Raw Inventory'!D:D,'[1]Raw Inventory'!C:C,"GREATWALL",'[1]Raw Inventory'!B:B,A916)</f>
        <v>0</v>
      </c>
      <c r="AH916" s="46">
        <f>SUMIFS('[1]Raw Inventory'!D:D,'[1]Raw Inventory'!C:C,"DUARTE",'[1]Raw Inventory'!B:B,A916)</f>
        <v>0</v>
      </c>
      <c r="AI916" s="46"/>
      <c r="AJ916" s="46"/>
      <c r="AK916" s="43"/>
      <c r="AL916" s="43"/>
      <c r="AM916" s="43"/>
      <c r="AN916" s="43"/>
      <c r="AO916" s="43"/>
      <c r="AP916" s="43"/>
      <c r="AQ916" s="43"/>
      <c r="AR916" s="43"/>
      <c r="AS916" s="43"/>
      <c r="AT916" s="43"/>
    </row>
    <row r="917" spans="1:46">
      <c r="A917" s="43" t="s">
        <v>16</v>
      </c>
      <c r="B917" s="43" t="s">
        <v>138</v>
      </c>
      <c r="C917" s="43" t="s">
        <v>137</v>
      </c>
      <c r="D917" s="44" t="s">
        <v>234</v>
      </c>
      <c r="E917" s="44">
        <v>4</v>
      </c>
      <c r="F917" s="44" t="s">
        <v>0</v>
      </c>
      <c r="G917" s="43" t="str">
        <f>IFERROR(VLOOKUP(A917,'[1]MC Masterlist 2026-09-12'!$B:$M, 3, 0),"")</f>
        <v>HONDA</v>
      </c>
      <c r="H917" s="45">
        <f>IFERROR(VLOOKUP(A917,'[1]MC Masterlist 2026-09-12'!$B:$M, 6, 0),"")</f>
        <v>84394</v>
      </c>
      <c r="I917" s="46">
        <v>0</v>
      </c>
      <c r="J917" s="46">
        <v>0</v>
      </c>
      <c r="K917" s="46">
        <v>0</v>
      </c>
      <c r="L917" s="46">
        <f t="shared" si="210"/>
        <v>0</v>
      </c>
      <c r="M917" s="46">
        <f t="shared" si="211"/>
        <v>0</v>
      </c>
      <c r="N917" s="45">
        <f t="shared" si="212"/>
        <v>0</v>
      </c>
      <c r="O917" s="45">
        <f t="shared" si="213"/>
        <v>0</v>
      </c>
      <c r="P917" s="46">
        <f t="shared" si="214"/>
        <v>0</v>
      </c>
      <c r="Q917" s="46">
        <v>58</v>
      </c>
      <c r="R917" s="45">
        <f t="shared" si="215"/>
        <v>4894852</v>
      </c>
      <c r="S917" s="46">
        <f t="shared" si="216"/>
        <v>0</v>
      </c>
      <c r="T917" s="46">
        <f>IFERROR(VLOOKUP(A917,'[1]Re-order'!$A:$Q,17,0),"")</f>
        <v>26.332665330661321</v>
      </c>
      <c r="U917" s="46">
        <f>IFERROR(VLOOKUP(A917,'[1]MC Masterlist 2026-09-12'!$B:$M, 10, 0),0)</f>
        <v>15</v>
      </c>
      <c r="V917" s="46">
        <f>IFERROR(VLOOKUP(A917,'[1]MC Masterlist 2026-09-12'!$B:$M, 11, 0),0)</f>
        <v>15</v>
      </c>
      <c r="W917" s="46">
        <f t="shared" si="217"/>
        <v>30</v>
      </c>
      <c r="X917" s="46">
        <f t="shared" si="218"/>
        <v>7</v>
      </c>
      <c r="Y917" s="46">
        <f>IFERROR(IF(OR(C917="AREA I",C917="AREA V"),7,VLOOKUP(A917,'[1]MC Masterlist 2026-09-12'!$B:$M, 12, 0)),0)</f>
        <v>7</v>
      </c>
      <c r="Z917" s="46">
        <f t="shared" si="219"/>
        <v>0</v>
      </c>
      <c r="AA917" s="46">
        <f t="shared" si="220"/>
        <v>0</v>
      </c>
      <c r="AB917" s="46">
        <f t="shared" si="221"/>
        <v>0</v>
      </c>
      <c r="AC917" s="46">
        <f t="shared" si="222"/>
        <v>0</v>
      </c>
      <c r="AD917" s="44" t="str">
        <f t="shared" si="223"/>
        <v>Over</v>
      </c>
      <c r="AE917" s="44" t="str">
        <f>IFERROR(VLOOKUP(A917,'[1]Re-order'!$A:$AA,27,0),"")</f>
        <v>Stockout</v>
      </c>
      <c r="AF917" s="46">
        <f t="shared" si="224"/>
        <v>-58</v>
      </c>
      <c r="AG917" s="46">
        <f>SUMIFS('[1]Raw Inventory'!D:D,'[1]Raw Inventory'!C:C,"GREATWALL",'[1]Raw Inventory'!B:B,A917)</f>
        <v>58</v>
      </c>
      <c r="AH917" s="46">
        <f>SUMIFS('[1]Raw Inventory'!D:D,'[1]Raw Inventory'!C:C,"DUARTE",'[1]Raw Inventory'!B:B,A917)</f>
        <v>0</v>
      </c>
      <c r="AI917" s="46"/>
      <c r="AJ917" s="46"/>
      <c r="AK917" s="43"/>
      <c r="AL917" s="43"/>
      <c r="AM917" s="43"/>
      <c r="AN917" s="43"/>
      <c r="AO917" s="43"/>
      <c r="AP917" s="43"/>
      <c r="AQ917" s="43"/>
      <c r="AR917" s="43"/>
      <c r="AS917" s="43"/>
      <c r="AT917" s="43"/>
    </row>
    <row r="918" spans="1:46">
      <c r="A918" s="43" t="s">
        <v>12</v>
      </c>
      <c r="B918" s="43" t="s">
        <v>154</v>
      </c>
      <c r="C918" s="43" t="s">
        <v>152</v>
      </c>
      <c r="D918" s="44" t="s">
        <v>254</v>
      </c>
      <c r="E918" s="44">
        <v>6</v>
      </c>
      <c r="F918" s="44" t="s">
        <v>2</v>
      </c>
      <c r="G918" s="43" t="str">
        <f>IFERROR(VLOOKUP(A918,'[1]MC Masterlist 2026-09-12'!$B:$M, 3, 0),"")</f>
        <v>HONDA</v>
      </c>
      <c r="H918" s="45">
        <f>IFERROR(VLOOKUP(A918,'[1]MC Masterlist 2026-09-12'!$B:$M, 6, 0),"")</f>
        <v>158270</v>
      </c>
      <c r="I918" s="46">
        <v>0</v>
      </c>
      <c r="J918" s="46">
        <v>1</v>
      </c>
      <c r="K918" s="46">
        <v>2</v>
      </c>
      <c r="L918" s="46">
        <f t="shared" si="210"/>
        <v>3</v>
      </c>
      <c r="M918" s="46">
        <f t="shared" si="211"/>
        <v>1</v>
      </c>
      <c r="N918" s="45">
        <f t="shared" si="212"/>
        <v>474810</v>
      </c>
      <c r="O918" s="45">
        <f t="shared" si="213"/>
        <v>158270</v>
      </c>
      <c r="P918" s="46">
        <f t="shared" si="214"/>
        <v>3.3333333333333333E-2</v>
      </c>
      <c r="Q918" s="46">
        <v>4</v>
      </c>
      <c r="R918" s="45">
        <f t="shared" si="215"/>
        <v>633080</v>
      </c>
      <c r="S918" s="46">
        <f t="shared" si="216"/>
        <v>120</v>
      </c>
      <c r="T918" s="46">
        <f>IFERROR(VLOOKUP(A918,'[1]Re-order'!$A:$Q,17,0),"")</f>
        <v>46.461038961038959</v>
      </c>
      <c r="U918" s="46">
        <f>IFERROR(VLOOKUP(A918,'[1]MC Masterlist 2026-09-12'!$B:$M, 10, 0),0)</f>
        <v>15</v>
      </c>
      <c r="V918" s="46">
        <f>IFERROR(VLOOKUP(A918,'[1]MC Masterlist 2026-09-12'!$B:$M, 11, 0),0)</f>
        <v>15</v>
      </c>
      <c r="W918" s="46">
        <f t="shared" si="217"/>
        <v>30</v>
      </c>
      <c r="X918" s="46">
        <f t="shared" si="218"/>
        <v>29.5</v>
      </c>
      <c r="Y918" s="46">
        <f>IFERROR(IF(OR(C918="AREA I",C918="AREA V"),7,VLOOKUP(A918,'[1]MC Masterlist 2026-09-12'!$B:$M, 12, 0)),0)</f>
        <v>30</v>
      </c>
      <c r="Z918" s="46">
        <f t="shared" si="219"/>
        <v>0.5</v>
      </c>
      <c r="AA918" s="46">
        <f t="shared" si="220"/>
        <v>1</v>
      </c>
      <c r="AB918" s="46">
        <f t="shared" si="221"/>
        <v>0.98333333333333328</v>
      </c>
      <c r="AC918" s="46">
        <f t="shared" si="222"/>
        <v>1</v>
      </c>
      <c r="AD918" s="44" t="str">
        <f t="shared" si="223"/>
        <v>Over</v>
      </c>
      <c r="AE918" s="44" t="str">
        <f>IFERROR(VLOOKUP(A918,'[1]Re-order'!$A:$AA,27,0),"")</f>
        <v>Re-order</v>
      </c>
      <c r="AF918" s="46">
        <f t="shared" si="224"/>
        <v>-3</v>
      </c>
      <c r="AG918" s="46">
        <f>SUMIFS('[1]Raw Inventory'!D:D,'[1]Raw Inventory'!C:C,"GREATWALL",'[1]Raw Inventory'!B:B,A918)</f>
        <v>35</v>
      </c>
      <c r="AH918" s="46">
        <f>SUMIFS('[1]Raw Inventory'!D:D,'[1]Raw Inventory'!C:C,"DUARTE",'[1]Raw Inventory'!B:B,A918)</f>
        <v>0</v>
      </c>
      <c r="AI918" s="46"/>
      <c r="AJ918" s="46"/>
      <c r="AK918" s="43"/>
      <c r="AL918" s="43"/>
      <c r="AM918" s="43"/>
      <c r="AN918" s="43"/>
      <c r="AO918" s="43"/>
      <c r="AP918" s="43"/>
      <c r="AQ918" s="43"/>
      <c r="AR918" s="43"/>
      <c r="AS918" s="43"/>
      <c r="AT918" s="43"/>
    </row>
    <row r="919" spans="1:46">
      <c r="A919" s="43" t="s">
        <v>68</v>
      </c>
      <c r="B919" s="43" t="s">
        <v>27</v>
      </c>
      <c r="C919" s="43" t="s">
        <v>1</v>
      </c>
      <c r="D919" s="44" t="s">
        <v>267</v>
      </c>
      <c r="E919" s="44">
        <v>30</v>
      </c>
      <c r="F919" s="44" t="s">
        <v>3</v>
      </c>
      <c r="G919" s="43" t="str">
        <f>IFERROR(VLOOKUP(A919,'[1]MC Masterlist 2026-09-12'!$B:$M, 3, 0),"")</f>
        <v>SUZUKI</v>
      </c>
      <c r="H919" s="45">
        <f>IFERROR(VLOOKUP(A919,'[1]MC Masterlist 2026-09-12'!$B:$M, 6, 0),"")</f>
        <v>70037</v>
      </c>
      <c r="I919" s="46">
        <v>0</v>
      </c>
      <c r="J919" s="46">
        <v>0</v>
      </c>
      <c r="K919" s="46">
        <v>0</v>
      </c>
      <c r="L919" s="46">
        <f t="shared" si="210"/>
        <v>0</v>
      </c>
      <c r="M919" s="46">
        <f t="shared" si="211"/>
        <v>0</v>
      </c>
      <c r="N919" s="45">
        <f t="shared" si="212"/>
        <v>0</v>
      </c>
      <c r="O919" s="45">
        <f t="shared" si="213"/>
        <v>0</v>
      </c>
      <c r="P919" s="46">
        <f t="shared" si="214"/>
        <v>0</v>
      </c>
      <c r="Q919" s="46">
        <v>1</v>
      </c>
      <c r="R919" s="45">
        <f t="shared" si="215"/>
        <v>70037</v>
      </c>
      <c r="S919" s="46">
        <f t="shared" si="216"/>
        <v>0</v>
      </c>
      <c r="T919" s="46" t="str">
        <f>IFERROR(VLOOKUP(A919,'[1]Re-order'!$A:$Q,17,0),"")</f>
        <v/>
      </c>
      <c r="U919" s="46">
        <f>IFERROR(VLOOKUP(A919,'[1]MC Masterlist 2026-09-12'!$B:$M, 10, 0),0)</f>
        <v>15</v>
      </c>
      <c r="V919" s="46">
        <f>IFERROR(VLOOKUP(A919,'[1]MC Masterlist 2026-09-12'!$B:$M, 11, 0),0)</f>
        <v>15</v>
      </c>
      <c r="W919" s="46">
        <f t="shared" si="217"/>
        <v>30</v>
      </c>
      <c r="X919" s="46">
        <f t="shared" si="218"/>
        <v>7</v>
      </c>
      <c r="Y919" s="46">
        <f>IFERROR(IF(OR(C919="AREA I",C919="AREA V"),7,VLOOKUP(A919,'[1]MC Masterlist 2026-09-12'!$B:$M, 12, 0)),0)</f>
        <v>7</v>
      </c>
      <c r="Z919" s="46">
        <f t="shared" si="219"/>
        <v>0</v>
      </c>
      <c r="AA919" s="46">
        <f t="shared" si="220"/>
        <v>0</v>
      </c>
      <c r="AB919" s="46">
        <f t="shared" si="221"/>
        <v>0</v>
      </c>
      <c r="AC919" s="46">
        <f t="shared" si="222"/>
        <v>0</v>
      </c>
      <c r="AD919" s="44" t="str">
        <f t="shared" si="223"/>
        <v>Over</v>
      </c>
      <c r="AE919" s="44" t="str">
        <f>IFERROR(VLOOKUP(A919,'[1]Re-order'!$A:$AA,27,0),"")</f>
        <v>Over</v>
      </c>
      <c r="AF919" s="46">
        <f t="shared" si="224"/>
        <v>-1</v>
      </c>
      <c r="AG919" s="46">
        <f>SUMIFS('[1]Raw Inventory'!D:D,'[1]Raw Inventory'!C:C,"GREATWALL",'[1]Raw Inventory'!B:B,A919)</f>
        <v>0</v>
      </c>
      <c r="AH919" s="46">
        <f>SUMIFS('[1]Raw Inventory'!D:D,'[1]Raw Inventory'!C:C,"DUARTE",'[1]Raw Inventory'!B:B,A919)</f>
        <v>0</v>
      </c>
      <c r="AI919" s="46"/>
      <c r="AJ919" s="46"/>
      <c r="AK919" s="43"/>
      <c r="AL919" s="43"/>
      <c r="AM919" s="43"/>
      <c r="AN919" s="43"/>
      <c r="AO919" s="43"/>
      <c r="AP919" s="43"/>
      <c r="AQ919" s="43"/>
      <c r="AR919" s="43"/>
      <c r="AS919" s="43"/>
      <c r="AT919" s="43"/>
    </row>
    <row r="920" spans="1:46">
      <c r="A920" s="43" t="s">
        <v>44</v>
      </c>
      <c r="B920" s="43" t="s">
        <v>156</v>
      </c>
      <c r="C920" s="43" t="s">
        <v>152</v>
      </c>
      <c r="D920" s="44" t="s">
        <v>243</v>
      </c>
      <c r="E920" s="44">
        <v>12</v>
      </c>
      <c r="F920" s="44" t="s">
        <v>2</v>
      </c>
      <c r="G920" s="43" t="str">
        <f>IFERROR(VLOOKUP(A920,'[1]MC Masterlist 2026-09-12'!$B:$M, 3, 0),"")</f>
        <v>YAMAHA</v>
      </c>
      <c r="H920" s="45">
        <f>IFERROR(VLOOKUP(A920,'[1]MC Masterlist 2026-09-12'!$B:$M, 6, 0),"")</f>
        <v>165912</v>
      </c>
      <c r="I920" s="46">
        <v>0</v>
      </c>
      <c r="J920" s="46">
        <v>1</v>
      </c>
      <c r="K920" s="46">
        <v>0</v>
      </c>
      <c r="L920" s="46">
        <f t="shared" si="210"/>
        <v>1</v>
      </c>
      <c r="M920" s="46">
        <f t="shared" si="211"/>
        <v>0.33333333333333331</v>
      </c>
      <c r="N920" s="45">
        <f t="shared" si="212"/>
        <v>165912</v>
      </c>
      <c r="O920" s="45">
        <f t="shared" si="213"/>
        <v>55304</v>
      </c>
      <c r="P920" s="46">
        <f t="shared" si="214"/>
        <v>1.111111111111111E-2</v>
      </c>
      <c r="Q920" s="46"/>
      <c r="R920" s="45">
        <f t="shared" si="215"/>
        <v>0</v>
      </c>
      <c r="S920" s="46">
        <f t="shared" si="216"/>
        <v>0</v>
      </c>
      <c r="T920" s="46">
        <f>IFERROR(VLOOKUP(A920,'[1]Re-order'!$A:$Q,17,0),"")</f>
        <v>10.588235294117649</v>
      </c>
      <c r="U920" s="46">
        <f>IFERROR(VLOOKUP(A920,'[1]MC Masterlist 2026-09-12'!$B:$M, 10, 0),0)</f>
        <v>15</v>
      </c>
      <c r="V920" s="46">
        <f>IFERROR(VLOOKUP(A920,'[1]MC Masterlist 2026-09-12'!$B:$M, 11, 0),0)</f>
        <v>15</v>
      </c>
      <c r="W920" s="46">
        <f t="shared" si="217"/>
        <v>30</v>
      </c>
      <c r="X920" s="46">
        <f t="shared" si="218"/>
        <v>29.833333333333332</v>
      </c>
      <c r="Y920" s="46">
        <f>IFERROR(IF(OR(C920="AREA I",C920="AREA V"),7,VLOOKUP(A920,'[1]MC Masterlist 2026-09-12'!$B:$M, 12, 0)),0)</f>
        <v>30</v>
      </c>
      <c r="Z920" s="46">
        <f t="shared" si="219"/>
        <v>0.16666666666666666</v>
      </c>
      <c r="AA920" s="46">
        <f t="shared" si="220"/>
        <v>0.33333333333333331</v>
      </c>
      <c r="AB920" s="46">
        <f t="shared" si="221"/>
        <v>0.33148148148148143</v>
      </c>
      <c r="AC920" s="46">
        <f t="shared" si="222"/>
        <v>0.33333333333333331</v>
      </c>
      <c r="AD920" s="44" t="str">
        <f t="shared" si="223"/>
        <v>Stockout</v>
      </c>
      <c r="AE920" s="44" t="str">
        <f>IFERROR(VLOOKUP(A920,'[1]Re-order'!$A:$AA,27,0),"")</f>
        <v>Stockout</v>
      </c>
      <c r="AF920" s="46">
        <f t="shared" si="224"/>
        <v>0.33333333333333331</v>
      </c>
      <c r="AG920" s="46">
        <f>SUMIFS('[1]Raw Inventory'!D:D,'[1]Raw Inventory'!C:C,"GREATWALL",'[1]Raw Inventory'!B:B,A920)</f>
        <v>0</v>
      </c>
      <c r="AH920" s="46">
        <f>SUMIFS('[1]Raw Inventory'!D:D,'[1]Raw Inventory'!C:C,"DUARTE",'[1]Raw Inventory'!B:B,A920)</f>
        <v>0</v>
      </c>
      <c r="AI920" s="46"/>
      <c r="AJ920" s="46"/>
      <c r="AK920" s="43"/>
      <c r="AL920" s="43"/>
      <c r="AM920" s="43"/>
      <c r="AN920" s="43"/>
      <c r="AO920" s="43"/>
      <c r="AP920" s="43"/>
      <c r="AQ920" s="43"/>
      <c r="AR920" s="43"/>
      <c r="AS920" s="43"/>
      <c r="AT920" s="43"/>
    </row>
    <row r="921" spans="1:46">
      <c r="A921" s="43" t="s">
        <v>135</v>
      </c>
      <c r="B921" s="43" t="s">
        <v>130</v>
      </c>
      <c r="C921" s="43" t="s">
        <v>128</v>
      </c>
      <c r="D921" s="44" t="s">
        <v>226</v>
      </c>
      <c r="E921" s="44">
        <v>30</v>
      </c>
      <c r="F921" s="44" t="s">
        <v>3</v>
      </c>
      <c r="G921" s="43" t="str">
        <f>IFERROR(VLOOKUP(A921,'[1]MC Masterlist 2026-09-12'!$B:$M, 3, 0),"")</f>
        <v>KAWASAKI</v>
      </c>
      <c r="H921" s="45">
        <f>IFERROR(VLOOKUP(A921,'[1]MC Masterlist 2026-09-12'!$B:$M, 6, 0),"")</f>
        <v>92710</v>
      </c>
      <c r="I921" s="46">
        <v>0</v>
      </c>
      <c r="J921" s="46">
        <v>0</v>
      </c>
      <c r="K921" s="46">
        <v>0</v>
      </c>
      <c r="L921" s="46">
        <f t="shared" si="210"/>
        <v>0</v>
      </c>
      <c r="M921" s="46">
        <f t="shared" si="211"/>
        <v>0</v>
      </c>
      <c r="N921" s="45">
        <f t="shared" si="212"/>
        <v>0</v>
      </c>
      <c r="O921" s="45">
        <f t="shared" si="213"/>
        <v>0</v>
      </c>
      <c r="P921" s="46">
        <f t="shared" si="214"/>
        <v>0</v>
      </c>
      <c r="Q921" s="46">
        <v>1</v>
      </c>
      <c r="R921" s="45">
        <f t="shared" si="215"/>
        <v>92710</v>
      </c>
      <c r="S921" s="46">
        <f t="shared" si="216"/>
        <v>0</v>
      </c>
      <c r="T921" s="46" t="str">
        <f>IFERROR(VLOOKUP(A921,'[1]Re-order'!$A:$Q,17,0),"")</f>
        <v/>
      </c>
      <c r="U921" s="46">
        <f>IFERROR(VLOOKUP(A921,'[1]MC Masterlist 2026-09-12'!$B:$M, 10, 0),0)</f>
        <v>15</v>
      </c>
      <c r="V921" s="46">
        <f>IFERROR(VLOOKUP(A921,'[1]MC Masterlist 2026-09-12'!$B:$M, 11, 0),0)</f>
        <v>15</v>
      </c>
      <c r="W921" s="46">
        <f t="shared" si="217"/>
        <v>30</v>
      </c>
      <c r="X921" s="46">
        <f t="shared" si="218"/>
        <v>30</v>
      </c>
      <c r="Y921" s="46">
        <f>IFERROR(IF(OR(C921="AREA I",C921="AREA V"),7,VLOOKUP(A921,'[1]MC Masterlist 2026-09-12'!$B:$M, 12, 0)),0)</f>
        <v>30</v>
      </c>
      <c r="Z921" s="46">
        <f t="shared" si="219"/>
        <v>0</v>
      </c>
      <c r="AA921" s="46">
        <f t="shared" si="220"/>
        <v>0</v>
      </c>
      <c r="AB921" s="46">
        <f t="shared" si="221"/>
        <v>0</v>
      </c>
      <c r="AC921" s="46">
        <f t="shared" si="222"/>
        <v>0</v>
      </c>
      <c r="AD921" s="44" t="str">
        <f t="shared" si="223"/>
        <v>Over</v>
      </c>
      <c r="AE921" s="44" t="str">
        <f>IFERROR(VLOOKUP(A921,'[1]Re-order'!$A:$AA,27,0),"")</f>
        <v>Over</v>
      </c>
      <c r="AF921" s="46">
        <f t="shared" si="224"/>
        <v>-1</v>
      </c>
      <c r="AG921" s="46">
        <f>SUMIFS('[1]Raw Inventory'!D:D,'[1]Raw Inventory'!C:C,"GREATWALL",'[1]Raw Inventory'!B:B,A921)</f>
        <v>0</v>
      </c>
      <c r="AH921" s="46">
        <f>SUMIFS('[1]Raw Inventory'!D:D,'[1]Raw Inventory'!C:C,"DUARTE",'[1]Raw Inventory'!B:B,A921)</f>
        <v>0</v>
      </c>
      <c r="AI921" s="46"/>
      <c r="AJ921" s="46"/>
      <c r="AK921" s="43"/>
      <c r="AL921" s="43"/>
      <c r="AM921" s="43"/>
      <c r="AN921" s="43"/>
      <c r="AO921" s="43"/>
      <c r="AP921" s="43"/>
      <c r="AQ921" s="43"/>
      <c r="AR921" s="43"/>
      <c r="AS921" s="43"/>
      <c r="AT921" s="43"/>
    </row>
    <row r="922" spans="1:46">
      <c r="A922" s="43" t="s">
        <v>48</v>
      </c>
      <c r="B922" s="43" t="s">
        <v>156</v>
      </c>
      <c r="C922" s="43" t="s">
        <v>152</v>
      </c>
      <c r="D922" s="44" t="s">
        <v>265</v>
      </c>
      <c r="E922" s="44">
        <v>27</v>
      </c>
      <c r="F922" s="44" t="s">
        <v>3</v>
      </c>
      <c r="G922" s="43" t="str">
        <f>IFERROR(VLOOKUP(A922,'[1]MC Masterlist 2026-09-12'!$B:$M, 3, 0),"")</f>
        <v>SUZUKI</v>
      </c>
      <c r="H922" s="45">
        <f>IFERROR(VLOOKUP(A922,'[1]MC Masterlist 2026-09-12'!$B:$M, 6, 0),"")</f>
        <v>82687</v>
      </c>
      <c r="I922" s="46">
        <v>0</v>
      </c>
      <c r="J922" s="46">
        <v>0</v>
      </c>
      <c r="K922" s="46">
        <v>0</v>
      </c>
      <c r="L922" s="46">
        <f t="shared" si="210"/>
        <v>0</v>
      </c>
      <c r="M922" s="46">
        <f t="shared" si="211"/>
        <v>0</v>
      </c>
      <c r="N922" s="45">
        <f t="shared" si="212"/>
        <v>0</v>
      </c>
      <c r="O922" s="45">
        <f t="shared" si="213"/>
        <v>0</v>
      </c>
      <c r="P922" s="46">
        <f t="shared" si="214"/>
        <v>0</v>
      </c>
      <c r="Q922" s="46">
        <v>1</v>
      </c>
      <c r="R922" s="45">
        <f t="shared" si="215"/>
        <v>82687</v>
      </c>
      <c r="S922" s="46">
        <f t="shared" si="216"/>
        <v>0</v>
      </c>
      <c r="T922" s="46">
        <f>IFERROR(VLOOKUP(A922,'[1]Re-order'!$A:$Q,17,0),"")</f>
        <v>303.75</v>
      </c>
      <c r="U922" s="46">
        <f>IFERROR(VLOOKUP(A922,'[1]MC Masterlist 2026-09-12'!$B:$M, 10, 0),0)</f>
        <v>15</v>
      </c>
      <c r="V922" s="46">
        <f>IFERROR(VLOOKUP(A922,'[1]MC Masterlist 2026-09-12'!$B:$M, 11, 0),0)</f>
        <v>15</v>
      </c>
      <c r="W922" s="46">
        <f t="shared" si="217"/>
        <v>30</v>
      </c>
      <c r="X922" s="46">
        <f t="shared" si="218"/>
        <v>30</v>
      </c>
      <c r="Y922" s="46">
        <f>IFERROR(IF(OR(C922="AREA I",C922="AREA V"),7,VLOOKUP(A922,'[1]MC Masterlist 2026-09-12'!$B:$M, 12, 0)),0)</f>
        <v>30</v>
      </c>
      <c r="Z922" s="46">
        <f t="shared" si="219"/>
        <v>0</v>
      </c>
      <c r="AA922" s="46">
        <f t="shared" si="220"/>
        <v>0</v>
      </c>
      <c r="AB922" s="46">
        <f t="shared" si="221"/>
        <v>0</v>
      </c>
      <c r="AC922" s="46">
        <f t="shared" si="222"/>
        <v>0</v>
      </c>
      <c r="AD922" s="44" t="str">
        <f t="shared" si="223"/>
        <v>Over</v>
      </c>
      <c r="AE922" s="44" t="str">
        <f>IFERROR(VLOOKUP(A922,'[1]Re-order'!$A:$AA,27,0),"")</f>
        <v>Over</v>
      </c>
      <c r="AF922" s="46">
        <f t="shared" si="224"/>
        <v>-1</v>
      </c>
      <c r="AG922" s="46">
        <f>SUMIFS('[1]Raw Inventory'!D:D,'[1]Raw Inventory'!C:C,"GREATWALL",'[1]Raw Inventory'!B:B,A922)</f>
        <v>10</v>
      </c>
      <c r="AH922" s="46">
        <f>SUMIFS('[1]Raw Inventory'!D:D,'[1]Raw Inventory'!C:C,"DUARTE",'[1]Raw Inventory'!B:B,A922)</f>
        <v>0</v>
      </c>
      <c r="AI922" s="46"/>
      <c r="AJ922" s="46"/>
      <c r="AK922" s="43"/>
      <c r="AL922" s="43"/>
      <c r="AM922" s="43"/>
      <c r="AN922" s="43"/>
      <c r="AO922" s="43"/>
      <c r="AP922" s="43"/>
      <c r="AQ922" s="43"/>
      <c r="AR922" s="43"/>
      <c r="AS922" s="43"/>
      <c r="AT922" s="43"/>
    </row>
    <row r="923" spans="1:46">
      <c r="A923" s="43" t="s">
        <v>50</v>
      </c>
      <c r="B923" s="43" t="s">
        <v>145</v>
      </c>
      <c r="C923" s="43" t="s">
        <v>137</v>
      </c>
      <c r="D923" s="44" t="s">
        <v>241</v>
      </c>
      <c r="E923" s="44">
        <v>23</v>
      </c>
      <c r="F923" s="44" t="s">
        <v>3</v>
      </c>
      <c r="G923" s="43" t="str">
        <f>IFERROR(VLOOKUP(A923,'[1]MC Masterlist 2026-09-12'!$B:$M, 3, 0),"")</f>
        <v>YAMAHA</v>
      </c>
      <c r="H923" s="45">
        <f>IFERROR(VLOOKUP(A923,'[1]MC Masterlist 2026-09-12'!$B:$M, 6, 0),"")</f>
        <v>78957</v>
      </c>
      <c r="I923" s="46">
        <v>0</v>
      </c>
      <c r="J923" s="46">
        <v>1</v>
      </c>
      <c r="K923" s="46">
        <v>0</v>
      </c>
      <c r="L923" s="46">
        <f t="shared" si="210"/>
        <v>1</v>
      </c>
      <c r="M923" s="46">
        <f t="shared" si="211"/>
        <v>0.33333333333333331</v>
      </c>
      <c r="N923" s="45">
        <f t="shared" si="212"/>
        <v>78957</v>
      </c>
      <c r="O923" s="45">
        <f t="shared" si="213"/>
        <v>26319</v>
      </c>
      <c r="P923" s="46">
        <f t="shared" si="214"/>
        <v>1.111111111111111E-2</v>
      </c>
      <c r="Q923" s="46">
        <v>1</v>
      </c>
      <c r="R923" s="45">
        <f t="shared" si="215"/>
        <v>78957</v>
      </c>
      <c r="S923" s="46">
        <f t="shared" si="216"/>
        <v>90</v>
      </c>
      <c r="T923" s="46">
        <f>IFERROR(VLOOKUP(A923,'[1]Re-order'!$A:$Q,17,0),"")</f>
        <v>118.125</v>
      </c>
      <c r="U923" s="46">
        <f>IFERROR(VLOOKUP(A923,'[1]MC Masterlist 2026-09-12'!$B:$M, 10, 0),0)</f>
        <v>15</v>
      </c>
      <c r="V923" s="46">
        <f>IFERROR(VLOOKUP(A923,'[1]MC Masterlist 2026-09-12'!$B:$M, 11, 0),0)</f>
        <v>15</v>
      </c>
      <c r="W923" s="46">
        <f t="shared" si="217"/>
        <v>30</v>
      </c>
      <c r="X923" s="46">
        <f t="shared" si="218"/>
        <v>6.833333333333333</v>
      </c>
      <c r="Y923" s="46">
        <f>IFERROR(IF(OR(C923="AREA I",C923="AREA V"),7,VLOOKUP(A923,'[1]MC Masterlist 2026-09-12'!$B:$M, 12, 0)),0)</f>
        <v>7</v>
      </c>
      <c r="Z923" s="46">
        <f t="shared" si="219"/>
        <v>0.16666666666666666</v>
      </c>
      <c r="AA923" s="46">
        <f t="shared" si="220"/>
        <v>0.33333333333333331</v>
      </c>
      <c r="AB923" s="46">
        <f t="shared" si="221"/>
        <v>7.5925925925925911E-2</v>
      </c>
      <c r="AC923" s="46">
        <f t="shared" si="222"/>
        <v>7.7777777777777765E-2</v>
      </c>
      <c r="AD923" s="44" t="str">
        <f t="shared" si="223"/>
        <v>Over</v>
      </c>
      <c r="AE923" s="44" t="str">
        <f>IFERROR(VLOOKUP(A923,'[1]Re-order'!$A:$AA,27,0),"")</f>
        <v>Over</v>
      </c>
      <c r="AF923" s="46">
        <f t="shared" si="224"/>
        <v>-0.92222222222222228</v>
      </c>
      <c r="AG923" s="46">
        <f>SUMIFS('[1]Raw Inventory'!D:D,'[1]Raw Inventory'!C:C,"GREATWALL",'[1]Raw Inventory'!B:B,A923)</f>
        <v>23</v>
      </c>
      <c r="AH923" s="46">
        <f>SUMIFS('[1]Raw Inventory'!D:D,'[1]Raw Inventory'!C:C,"DUARTE",'[1]Raw Inventory'!B:B,A923)</f>
        <v>0</v>
      </c>
      <c r="AI923" s="46"/>
      <c r="AJ923" s="46"/>
      <c r="AK923" s="43"/>
      <c r="AL923" s="43"/>
      <c r="AM923" s="43"/>
      <c r="AN923" s="43"/>
      <c r="AO923" s="43"/>
      <c r="AP923" s="43"/>
      <c r="AQ923" s="43"/>
      <c r="AR923" s="43"/>
      <c r="AS923" s="43"/>
      <c r="AT923" s="43"/>
    </row>
    <row r="924" spans="1:46">
      <c r="A924" s="43" t="s">
        <v>54</v>
      </c>
      <c r="B924" s="43" t="s">
        <v>122</v>
      </c>
      <c r="C924" s="43" t="s">
        <v>118</v>
      </c>
      <c r="D924" s="44" t="s">
        <v>247</v>
      </c>
      <c r="E924" s="44">
        <v>26</v>
      </c>
      <c r="F924" s="44" t="s">
        <v>3</v>
      </c>
      <c r="G924" s="43" t="str">
        <f>IFERROR(VLOOKUP(A924,'[1]MC Masterlist 2026-09-12'!$B:$M, 3, 0),"")</f>
        <v>HONDA</v>
      </c>
      <c r="H924" s="45">
        <f>IFERROR(VLOOKUP(A924,'[1]MC Masterlist 2026-09-12'!$B:$M, 6, 0),"")</f>
        <v>70998</v>
      </c>
      <c r="I924" s="46">
        <v>1</v>
      </c>
      <c r="J924" s="46">
        <v>0</v>
      </c>
      <c r="K924" s="46">
        <v>0</v>
      </c>
      <c r="L924" s="46">
        <f t="shared" si="210"/>
        <v>1</v>
      </c>
      <c r="M924" s="46">
        <f t="shared" si="211"/>
        <v>0.33333333333333331</v>
      </c>
      <c r="N924" s="45">
        <f t="shared" si="212"/>
        <v>70998</v>
      </c>
      <c r="O924" s="45">
        <f t="shared" si="213"/>
        <v>23666</v>
      </c>
      <c r="P924" s="46">
        <f t="shared" si="214"/>
        <v>1.111111111111111E-2</v>
      </c>
      <c r="Q924" s="46"/>
      <c r="R924" s="45">
        <f t="shared" si="215"/>
        <v>0</v>
      </c>
      <c r="S924" s="46">
        <f t="shared" si="216"/>
        <v>0</v>
      </c>
      <c r="T924" s="46">
        <f>IFERROR(VLOOKUP(A924,'[1]Re-order'!$A:$Q,17,0),"")</f>
        <v>114.54545454545455</v>
      </c>
      <c r="U924" s="46">
        <f>IFERROR(VLOOKUP(A924,'[1]MC Masterlist 2026-09-12'!$B:$M, 10, 0),0)</f>
        <v>15</v>
      </c>
      <c r="V924" s="46">
        <f>IFERROR(VLOOKUP(A924,'[1]MC Masterlist 2026-09-12'!$B:$M, 11, 0),0)</f>
        <v>15</v>
      </c>
      <c r="W924" s="46">
        <f t="shared" si="217"/>
        <v>30</v>
      </c>
      <c r="X924" s="46">
        <f t="shared" si="218"/>
        <v>29.833333333333332</v>
      </c>
      <c r="Y924" s="46">
        <f>IFERROR(IF(OR(C924="AREA I",C924="AREA V"),7,VLOOKUP(A924,'[1]MC Masterlist 2026-09-12'!$B:$M, 12, 0)),0)</f>
        <v>30</v>
      </c>
      <c r="Z924" s="46">
        <f t="shared" si="219"/>
        <v>0.16666666666666666</v>
      </c>
      <c r="AA924" s="46">
        <f t="shared" si="220"/>
        <v>0.33333333333333331</v>
      </c>
      <c r="AB924" s="46">
        <f t="shared" si="221"/>
        <v>0.33148148148148143</v>
      </c>
      <c r="AC924" s="46">
        <f t="shared" si="222"/>
        <v>0.33333333333333331</v>
      </c>
      <c r="AD924" s="44" t="str">
        <f t="shared" si="223"/>
        <v>Stockout</v>
      </c>
      <c r="AE924" s="44" t="str">
        <f>IFERROR(VLOOKUP(A924,'[1]Re-order'!$A:$AA,27,0),"")</f>
        <v>Over</v>
      </c>
      <c r="AF924" s="46">
        <f t="shared" si="224"/>
        <v>0.33333333333333331</v>
      </c>
      <c r="AG924" s="46">
        <f>SUMIFS('[1]Raw Inventory'!D:D,'[1]Raw Inventory'!C:C,"GREATWALL",'[1]Raw Inventory'!B:B,A924)</f>
        <v>0</v>
      </c>
      <c r="AH924" s="46">
        <f>SUMIFS('[1]Raw Inventory'!D:D,'[1]Raw Inventory'!C:C,"DUARTE",'[1]Raw Inventory'!B:B,A924)</f>
        <v>0</v>
      </c>
      <c r="AI924" s="46"/>
      <c r="AJ924" s="46"/>
      <c r="AK924" s="43"/>
      <c r="AL924" s="43"/>
      <c r="AM924" s="43"/>
      <c r="AN924" s="43"/>
      <c r="AO924" s="43"/>
      <c r="AP924" s="43"/>
      <c r="AQ924" s="43"/>
      <c r="AR924" s="43"/>
      <c r="AS924" s="43"/>
      <c r="AT924" s="43"/>
    </row>
    <row r="925" spans="1:46">
      <c r="A925" s="43" t="s">
        <v>31</v>
      </c>
      <c r="B925" s="43" t="s">
        <v>145</v>
      </c>
      <c r="C925" s="43" t="s">
        <v>137</v>
      </c>
      <c r="D925" s="44" t="s">
        <v>247</v>
      </c>
      <c r="E925" s="44">
        <v>25</v>
      </c>
      <c r="F925" s="44" t="s">
        <v>3</v>
      </c>
      <c r="G925" s="43" t="str">
        <f>IFERROR(VLOOKUP(A925,'[1]MC Masterlist 2026-09-12'!$B:$M, 3, 0),"")</f>
        <v>KAWASAKI</v>
      </c>
      <c r="H925" s="45">
        <f>IFERROR(VLOOKUP(A925,'[1]MC Masterlist 2026-09-12'!$B:$M, 6, 0),"")</f>
        <v>59528</v>
      </c>
      <c r="I925" s="46">
        <v>0</v>
      </c>
      <c r="J925" s="46">
        <v>0</v>
      </c>
      <c r="K925" s="46">
        <v>1</v>
      </c>
      <c r="L925" s="46">
        <f t="shared" si="210"/>
        <v>1</v>
      </c>
      <c r="M925" s="46">
        <f t="shared" si="211"/>
        <v>0.33333333333333331</v>
      </c>
      <c r="N925" s="45">
        <f t="shared" si="212"/>
        <v>59528</v>
      </c>
      <c r="O925" s="45">
        <f t="shared" si="213"/>
        <v>19842.666666666664</v>
      </c>
      <c r="P925" s="46">
        <f t="shared" si="214"/>
        <v>1.111111111111111E-2</v>
      </c>
      <c r="Q925" s="46"/>
      <c r="R925" s="45">
        <f t="shared" si="215"/>
        <v>0</v>
      </c>
      <c r="S925" s="46">
        <f t="shared" si="216"/>
        <v>0</v>
      </c>
      <c r="T925" s="46">
        <f>IFERROR(VLOOKUP(A925,'[1]Re-order'!$A:$Q,17,0),"")</f>
        <v>95.869565217391298</v>
      </c>
      <c r="U925" s="46">
        <f>IFERROR(VLOOKUP(A925,'[1]MC Masterlist 2026-09-12'!$B:$M, 10, 0),0)</f>
        <v>15</v>
      </c>
      <c r="V925" s="46">
        <f>IFERROR(VLOOKUP(A925,'[1]MC Masterlist 2026-09-12'!$B:$M, 11, 0),0)</f>
        <v>15</v>
      </c>
      <c r="W925" s="46">
        <f t="shared" si="217"/>
        <v>30</v>
      </c>
      <c r="X925" s="46">
        <f t="shared" si="218"/>
        <v>6.833333333333333</v>
      </c>
      <c r="Y925" s="46">
        <f>IFERROR(IF(OR(C925="AREA I",C925="AREA V"),7,VLOOKUP(A925,'[1]MC Masterlist 2026-09-12'!$B:$M, 12, 0)),0)</f>
        <v>7</v>
      </c>
      <c r="Z925" s="46">
        <f t="shared" si="219"/>
        <v>0.16666666666666666</v>
      </c>
      <c r="AA925" s="46">
        <f t="shared" si="220"/>
        <v>0.33333333333333331</v>
      </c>
      <c r="AB925" s="46">
        <f t="shared" si="221"/>
        <v>7.5925925925925911E-2</v>
      </c>
      <c r="AC925" s="46">
        <f t="shared" si="222"/>
        <v>7.7777777777777765E-2</v>
      </c>
      <c r="AD925" s="44" t="str">
        <f t="shared" si="223"/>
        <v>Stockout</v>
      </c>
      <c r="AE925" s="44" t="str">
        <f>IFERROR(VLOOKUP(A925,'[1]Re-order'!$A:$AA,27,0),"")</f>
        <v>Over</v>
      </c>
      <c r="AF925" s="46">
        <f t="shared" si="224"/>
        <v>7.7777777777777765E-2</v>
      </c>
      <c r="AG925" s="46">
        <f>SUMIFS('[1]Raw Inventory'!D:D,'[1]Raw Inventory'!C:C,"GREATWALL",'[1]Raw Inventory'!B:B,A925)</f>
        <v>79</v>
      </c>
      <c r="AH925" s="46">
        <f>SUMIFS('[1]Raw Inventory'!D:D,'[1]Raw Inventory'!C:C,"DUARTE",'[1]Raw Inventory'!B:B,A925)</f>
        <v>0</v>
      </c>
      <c r="AI925" s="46"/>
      <c r="AJ925" s="46"/>
      <c r="AK925" s="43"/>
      <c r="AL925" s="43"/>
      <c r="AM925" s="43"/>
      <c r="AN925" s="43"/>
      <c r="AO925" s="43"/>
      <c r="AP925" s="43"/>
      <c r="AQ925" s="43"/>
      <c r="AR925" s="43"/>
      <c r="AS925" s="43"/>
      <c r="AT925" s="43"/>
    </row>
    <row r="926" spans="1:46">
      <c r="A926" s="43" t="s">
        <v>54</v>
      </c>
      <c r="B926" s="43" t="s">
        <v>157</v>
      </c>
      <c r="C926" s="43" t="s">
        <v>152</v>
      </c>
      <c r="D926" s="44" t="s">
        <v>241</v>
      </c>
      <c r="E926" s="44">
        <v>18</v>
      </c>
      <c r="F926" s="44" t="s">
        <v>3</v>
      </c>
      <c r="G926" s="43" t="str">
        <f>IFERROR(VLOOKUP(A926,'[1]MC Masterlist 2026-09-12'!$B:$M, 3, 0),"")</f>
        <v>HONDA</v>
      </c>
      <c r="H926" s="45">
        <f>IFERROR(VLOOKUP(A926,'[1]MC Masterlist 2026-09-12'!$B:$M, 6, 0),"")</f>
        <v>70998</v>
      </c>
      <c r="I926" s="46">
        <v>0</v>
      </c>
      <c r="J926" s="46">
        <v>2</v>
      </c>
      <c r="K926" s="46">
        <v>0</v>
      </c>
      <c r="L926" s="46">
        <f t="shared" si="210"/>
        <v>2</v>
      </c>
      <c r="M926" s="46">
        <f t="shared" si="211"/>
        <v>0.66666666666666663</v>
      </c>
      <c r="N926" s="45">
        <f t="shared" si="212"/>
        <v>141996</v>
      </c>
      <c r="O926" s="45">
        <f t="shared" si="213"/>
        <v>47332</v>
      </c>
      <c r="P926" s="46">
        <f t="shared" si="214"/>
        <v>2.222222222222222E-2</v>
      </c>
      <c r="Q926" s="46"/>
      <c r="R926" s="45">
        <f t="shared" si="215"/>
        <v>0</v>
      </c>
      <c r="S926" s="46">
        <f t="shared" si="216"/>
        <v>0</v>
      </c>
      <c r="T926" s="46">
        <f>IFERROR(VLOOKUP(A926,'[1]Re-order'!$A:$Q,17,0),"")</f>
        <v>114.54545454545455</v>
      </c>
      <c r="U926" s="46">
        <f>IFERROR(VLOOKUP(A926,'[1]MC Masterlist 2026-09-12'!$B:$M, 10, 0),0)</f>
        <v>15</v>
      </c>
      <c r="V926" s="46">
        <f>IFERROR(VLOOKUP(A926,'[1]MC Masterlist 2026-09-12'!$B:$M, 11, 0),0)</f>
        <v>15</v>
      </c>
      <c r="W926" s="46">
        <f t="shared" si="217"/>
        <v>30</v>
      </c>
      <c r="X926" s="46">
        <f t="shared" si="218"/>
        <v>29.666666666666668</v>
      </c>
      <c r="Y926" s="46">
        <f>IFERROR(IF(OR(C926="AREA I",C926="AREA V"),7,VLOOKUP(A926,'[1]MC Masterlist 2026-09-12'!$B:$M, 12, 0)),0)</f>
        <v>30</v>
      </c>
      <c r="Z926" s="46">
        <f t="shared" si="219"/>
        <v>0.33333333333333331</v>
      </c>
      <c r="AA926" s="46">
        <f t="shared" si="220"/>
        <v>0.66666666666666663</v>
      </c>
      <c r="AB926" s="46">
        <f t="shared" si="221"/>
        <v>0.65925925925925921</v>
      </c>
      <c r="AC926" s="46">
        <f t="shared" si="222"/>
        <v>0.66666666666666663</v>
      </c>
      <c r="AD926" s="44" t="str">
        <f t="shared" si="223"/>
        <v>Stockout</v>
      </c>
      <c r="AE926" s="44" t="str">
        <f>IFERROR(VLOOKUP(A926,'[1]Re-order'!$A:$AA,27,0),"")</f>
        <v>Over</v>
      </c>
      <c r="AF926" s="46">
        <f t="shared" si="224"/>
        <v>0.66666666666666663</v>
      </c>
      <c r="AG926" s="46">
        <f>SUMIFS('[1]Raw Inventory'!D:D,'[1]Raw Inventory'!C:C,"GREATWALL",'[1]Raw Inventory'!B:B,A926)</f>
        <v>0</v>
      </c>
      <c r="AH926" s="46">
        <f>SUMIFS('[1]Raw Inventory'!D:D,'[1]Raw Inventory'!C:C,"DUARTE",'[1]Raw Inventory'!B:B,A926)</f>
        <v>0</v>
      </c>
      <c r="AI926" s="46"/>
      <c r="AJ926" s="46"/>
      <c r="AK926" s="43"/>
      <c r="AL926" s="43"/>
      <c r="AM926" s="43"/>
      <c r="AN926" s="43"/>
      <c r="AO926" s="43"/>
      <c r="AP926" s="43"/>
      <c r="AQ926" s="43"/>
      <c r="AR926" s="43"/>
      <c r="AS926" s="43"/>
      <c r="AT926" s="43"/>
    </row>
    <row r="927" spans="1:46">
      <c r="A927" s="43" t="s">
        <v>50</v>
      </c>
      <c r="B927" s="43" t="s">
        <v>5</v>
      </c>
      <c r="C927" s="43" t="s">
        <v>118</v>
      </c>
      <c r="D927" s="44" t="s">
        <v>229</v>
      </c>
      <c r="E927" s="44">
        <v>23</v>
      </c>
      <c r="F927" s="44" t="s">
        <v>3</v>
      </c>
      <c r="G927" s="43" t="str">
        <f>IFERROR(VLOOKUP(A927,'[1]MC Masterlist 2026-09-12'!$B:$M, 3, 0),"")</f>
        <v>YAMAHA</v>
      </c>
      <c r="H927" s="45">
        <f>IFERROR(VLOOKUP(A927,'[1]MC Masterlist 2026-09-12'!$B:$M, 6, 0),"")</f>
        <v>78957</v>
      </c>
      <c r="I927" s="46">
        <v>0</v>
      </c>
      <c r="J927" s="46">
        <v>0</v>
      </c>
      <c r="K927" s="46">
        <v>0</v>
      </c>
      <c r="L927" s="46">
        <f t="shared" si="210"/>
        <v>0</v>
      </c>
      <c r="M927" s="46">
        <f t="shared" si="211"/>
        <v>0</v>
      </c>
      <c r="N927" s="45">
        <f t="shared" si="212"/>
        <v>0</v>
      </c>
      <c r="O927" s="45">
        <f t="shared" si="213"/>
        <v>0</v>
      </c>
      <c r="P927" s="46">
        <f t="shared" si="214"/>
        <v>0</v>
      </c>
      <c r="Q927" s="46">
        <v>1</v>
      </c>
      <c r="R927" s="45">
        <f t="shared" si="215"/>
        <v>78957</v>
      </c>
      <c r="S927" s="46">
        <f t="shared" si="216"/>
        <v>0</v>
      </c>
      <c r="T927" s="46">
        <f>IFERROR(VLOOKUP(A927,'[1]Re-order'!$A:$Q,17,0),"")</f>
        <v>118.125</v>
      </c>
      <c r="U927" s="46">
        <f>IFERROR(VLOOKUP(A927,'[1]MC Masterlist 2026-09-12'!$B:$M, 10, 0),0)</f>
        <v>15</v>
      </c>
      <c r="V927" s="46">
        <f>IFERROR(VLOOKUP(A927,'[1]MC Masterlist 2026-09-12'!$B:$M, 11, 0),0)</f>
        <v>15</v>
      </c>
      <c r="W927" s="46">
        <f t="shared" si="217"/>
        <v>30</v>
      </c>
      <c r="X927" s="46">
        <f t="shared" si="218"/>
        <v>30</v>
      </c>
      <c r="Y927" s="46">
        <f>IFERROR(IF(OR(C927="AREA I",C927="AREA V"),7,VLOOKUP(A927,'[1]MC Masterlist 2026-09-12'!$B:$M, 12, 0)),0)</f>
        <v>30</v>
      </c>
      <c r="Z927" s="46">
        <f t="shared" si="219"/>
        <v>0</v>
      </c>
      <c r="AA927" s="46">
        <f t="shared" si="220"/>
        <v>0</v>
      </c>
      <c r="AB927" s="46">
        <f t="shared" si="221"/>
        <v>0</v>
      </c>
      <c r="AC927" s="46">
        <f t="shared" si="222"/>
        <v>0</v>
      </c>
      <c r="AD927" s="44" t="str">
        <f t="shared" si="223"/>
        <v>Over</v>
      </c>
      <c r="AE927" s="44" t="str">
        <f>IFERROR(VLOOKUP(A927,'[1]Re-order'!$A:$AA,27,0),"")</f>
        <v>Over</v>
      </c>
      <c r="AF927" s="46">
        <f t="shared" si="224"/>
        <v>-1</v>
      </c>
      <c r="AG927" s="46">
        <f>SUMIFS('[1]Raw Inventory'!D:D,'[1]Raw Inventory'!C:C,"GREATWALL",'[1]Raw Inventory'!B:B,A927)</f>
        <v>23</v>
      </c>
      <c r="AH927" s="46">
        <f>SUMIFS('[1]Raw Inventory'!D:D,'[1]Raw Inventory'!C:C,"DUARTE",'[1]Raw Inventory'!B:B,A927)</f>
        <v>0</v>
      </c>
      <c r="AI927" s="46"/>
      <c r="AJ927" s="46"/>
      <c r="AK927" s="43"/>
      <c r="AL927" s="43"/>
      <c r="AM927" s="43"/>
      <c r="AN927" s="43"/>
      <c r="AO927" s="43"/>
      <c r="AP927" s="43"/>
      <c r="AQ927" s="43"/>
      <c r="AR927" s="43"/>
      <c r="AS927" s="43"/>
      <c r="AT927" s="43"/>
    </row>
    <row r="928" spans="1:46">
      <c r="A928" s="43" t="s">
        <v>20</v>
      </c>
      <c r="B928" s="43" t="s">
        <v>119</v>
      </c>
      <c r="C928" s="43" t="s">
        <v>118</v>
      </c>
      <c r="D928" s="44" t="s">
        <v>230</v>
      </c>
      <c r="E928" s="44">
        <v>6</v>
      </c>
      <c r="F928" s="44" t="s">
        <v>0</v>
      </c>
      <c r="G928" s="43" t="str">
        <f>IFERROR(VLOOKUP(A928,'[1]MC Masterlist 2026-09-12'!$B:$M, 3, 0),"")</f>
        <v>HONDA</v>
      </c>
      <c r="H928" s="45">
        <f>IFERROR(VLOOKUP(A928,'[1]MC Masterlist 2026-09-12'!$B:$M, 6, 0),"")</f>
        <v>69950</v>
      </c>
      <c r="I928" s="46">
        <v>4</v>
      </c>
      <c r="J928" s="46">
        <v>4</v>
      </c>
      <c r="K928" s="46">
        <v>4</v>
      </c>
      <c r="L928" s="46">
        <f t="shared" si="210"/>
        <v>12</v>
      </c>
      <c r="M928" s="46">
        <f t="shared" si="211"/>
        <v>4</v>
      </c>
      <c r="N928" s="45">
        <f t="shared" si="212"/>
        <v>839400</v>
      </c>
      <c r="O928" s="45">
        <f t="shared" si="213"/>
        <v>279800</v>
      </c>
      <c r="P928" s="46">
        <f t="shared" si="214"/>
        <v>0.13333333333333333</v>
      </c>
      <c r="Q928" s="46">
        <v>5</v>
      </c>
      <c r="R928" s="45">
        <f t="shared" si="215"/>
        <v>349750</v>
      </c>
      <c r="S928" s="46">
        <f t="shared" si="216"/>
        <v>37.5</v>
      </c>
      <c r="T928" s="46">
        <f>IFERROR(VLOOKUP(A928,'[1]Re-order'!$A:$Q,17,0),"")</f>
        <v>75.775862068965523</v>
      </c>
      <c r="U928" s="46">
        <f>IFERROR(VLOOKUP(A928,'[1]MC Masterlist 2026-09-12'!$B:$M, 10, 0),0)</f>
        <v>15</v>
      </c>
      <c r="V928" s="46">
        <f>IFERROR(VLOOKUP(A928,'[1]MC Masterlist 2026-09-12'!$B:$M, 11, 0),0)</f>
        <v>15</v>
      </c>
      <c r="W928" s="46">
        <f t="shared" si="217"/>
        <v>30</v>
      </c>
      <c r="X928" s="46">
        <f t="shared" si="218"/>
        <v>28</v>
      </c>
      <c r="Y928" s="46">
        <f>IFERROR(IF(OR(C928="AREA I",C928="AREA V"),7,VLOOKUP(A928,'[1]MC Masterlist 2026-09-12'!$B:$M, 12, 0)),0)</f>
        <v>30</v>
      </c>
      <c r="Z928" s="46">
        <f t="shared" si="219"/>
        <v>2</v>
      </c>
      <c r="AA928" s="46">
        <f t="shared" si="220"/>
        <v>4</v>
      </c>
      <c r="AB928" s="46">
        <f t="shared" si="221"/>
        <v>3.7333333333333334</v>
      </c>
      <c r="AC928" s="46">
        <f t="shared" si="222"/>
        <v>4</v>
      </c>
      <c r="AD928" s="44" t="str">
        <f t="shared" si="223"/>
        <v>Over</v>
      </c>
      <c r="AE928" s="44" t="str">
        <f>IFERROR(VLOOKUP(A928,'[1]Re-order'!$A:$AA,27,0),"")</f>
        <v/>
      </c>
      <c r="AF928" s="46">
        <f t="shared" si="224"/>
        <v>-1</v>
      </c>
      <c r="AG928" s="46">
        <f>SUMIFS('[1]Raw Inventory'!D:D,'[1]Raw Inventory'!C:C,"GREATWALL",'[1]Raw Inventory'!B:B,A928)</f>
        <v>110</v>
      </c>
      <c r="AH928" s="46">
        <f>SUMIFS('[1]Raw Inventory'!D:D,'[1]Raw Inventory'!C:C,"DUARTE",'[1]Raw Inventory'!B:B,A928)</f>
        <v>0</v>
      </c>
      <c r="AI928" s="46"/>
      <c r="AJ928" s="46"/>
      <c r="AK928" s="43"/>
      <c r="AL928" s="43"/>
      <c r="AM928" s="43"/>
      <c r="AN928" s="43"/>
      <c r="AO928" s="43"/>
      <c r="AP928" s="43"/>
      <c r="AQ928" s="43"/>
      <c r="AR928" s="43"/>
      <c r="AS928" s="43"/>
      <c r="AT928" s="43"/>
    </row>
    <row r="929" spans="1:46">
      <c r="A929" s="43" t="s">
        <v>44</v>
      </c>
      <c r="B929" s="43" t="s">
        <v>30</v>
      </c>
      <c r="C929" s="43" t="s">
        <v>1</v>
      </c>
      <c r="D929" s="44" t="s">
        <v>240</v>
      </c>
      <c r="E929" s="44">
        <v>13</v>
      </c>
      <c r="F929" s="44" t="s">
        <v>2</v>
      </c>
      <c r="G929" s="43" t="str">
        <f>IFERROR(VLOOKUP(A929,'[1]MC Masterlist 2026-09-12'!$B:$M, 3, 0),"")</f>
        <v>YAMAHA</v>
      </c>
      <c r="H929" s="45">
        <f>IFERROR(VLOOKUP(A929,'[1]MC Masterlist 2026-09-12'!$B:$M, 6, 0),"")</f>
        <v>165912</v>
      </c>
      <c r="I929" s="46">
        <v>1</v>
      </c>
      <c r="J929" s="46">
        <v>1</v>
      </c>
      <c r="K929" s="46">
        <v>1</v>
      </c>
      <c r="L929" s="46">
        <f t="shared" si="210"/>
        <v>3</v>
      </c>
      <c r="M929" s="46">
        <f t="shared" si="211"/>
        <v>1</v>
      </c>
      <c r="N929" s="45">
        <f t="shared" si="212"/>
        <v>497736</v>
      </c>
      <c r="O929" s="45">
        <f t="shared" si="213"/>
        <v>165912</v>
      </c>
      <c r="P929" s="46">
        <f t="shared" si="214"/>
        <v>3.3333333333333333E-2</v>
      </c>
      <c r="Q929" s="46"/>
      <c r="R929" s="45">
        <f t="shared" si="215"/>
        <v>0</v>
      </c>
      <c r="S929" s="46">
        <f t="shared" si="216"/>
        <v>0</v>
      </c>
      <c r="T929" s="46">
        <f>IFERROR(VLOOKUP(A929,'[1]Re-order'!$A:$Q,17,0),"")</f>
        <v>10.588235294117649</v>
      </c>
      <c r="U929" s="46">
        <f>IFERROR(VLOOKUP(A929,'[1]MC Masterlist 2026-09-12'!$B:$M, 10, 0),0)</f>
        <v>15</v>
      </c>
      <c r="V929" s="46">
        <f>IFERROR(VLOOKUP(A929,'[1]MC Masterlist 2026-09-12'!$B:$M, 11, 0),0)</f>
        <v>15</v>
      </c>
      <c r="W929" s="46">
        <f t="shared" si="217"/>
        <v>30</v>
      </c>
      <c r="X929" s="46">
        <f t="shared" si="218"/>
        <v>6.5</v>
      </c>
      <c r="Y929" s="46">
        <f>IFERROR(IF(OR(C929="AREA I",C929="AREA V"),7,VLOOKUP(A929,'[1]MC Masterlist 2026-09-12'!$B:$M, 12, 0)),0)</f>
        <v>7</v>
      </c>
      <c r="Z929" s="46">
        <f t="shared" si="219"/>
        <v>0.5</v>
      </c>
      <c r="AA929" s="46">
        <f t="shared" si="220"/>
        <v>1</v>
      </c>
      <c r="AB929" s="46">
        <f t="shared" si="221"/>
        <v>0.21666666666666667</v>
      </c>
      <c r="AC929" s="46">
        <f t="shared" si="222"/>
        <v>0.23333333333333334</v>
      </c>
      <c r="AD929" s="44" t="str">
        <f t="shared" si="223"/>
        <v>Stockout</v>
      </c>
      <c r="AE929" s="44" t="str">
        <f>IFERROR(VLOOKUP(A929,'[1]Re-order'!$A:$AA,27,0),"")</f>
        <v>Stockout</v>
      </c>
      <c r="AF929" s="46">
        <f t="shared" si="224"/>
        <v>0.23333333333333334</v>
      </c>
      <c r="AG929" s="46">
        <f>SUMIFS('[1]Raw Inventory'!D:D,'[1]Raw Inventory'!C:C,"GREATWALL",'[1]Raw Inventory'!B:B,A929)</f>
        <v>0</v>
      </c>
      <c r="AH929" s="46">
        <f>SUMIFS('[1]Raw Inventory'!D:D,'[1]Raw Inventory'!C:C,"DUARTE",'[1]Raw Inventory'!B:B,A929)</f>
        <v>0</v>
      </c>
      <c r="AI929" s="46"/>
      <c r="AJ929" s="46"/>
      <c r="AK929" s="43"/>
      <c r="AL929" s="43"/>
      <c r="AM929" s="43"/>
      <c r="AN929" s="43"/>
      <c r="AO929" s="43"/>
      <c r="AP929" s="43"/>
      <c r="AQ929" s="43"/>
      <c r="AR929" s="43"/>
      <c r="AS929" s="43"/>
      <c r="AT929" s="43"/>
    </row>
    <row r="930" spans="1:46">
      <c r="A930" s="43" t="s">
        <v>55</v>
      </c>
      <c r="B930" s="43" t="s">
        <v>154</v>
      </c>
      <c r="C930" s="43" t="s">
        <v>152</v>
      </c>
      <c r="D930" s="44" t="s">
        <v>253</v>
      </c>
      <c r="E930" s="44">
        <v>28</v>
      </c>
      <c r="F930" s="44" t="s">
        <v>3</v>
      </c>
      <c r="G930" s="43" t="str">
        <f>IFERROR(VLOOKUP(A930,'[1]MC Masterlist 2026-09-12'!$B:$M, 3, 0),"")</f>
        <v>HONDA</v>
      </c>
      <c r="H930" s="45">
        <f>IFERROR(VLOOKUP(A930,'[1]MC Masterlist 2026-09-12'!$B:$M, 6, 0),"")</f>
        <v>284880</v>
      </c>
      <c r="I930" s="46">
        <v>0</v>
      </c>
      <c r="J930" s="46">
        <v>0</v>
      </c>
      <c r="K930" s="46">
        <v>0</v>
      </c>
      <c r="L930" s="46">
        <f t="shared" si="210"/>
        <v>0</v>
      </c>
      <c r="M930" s="46">
        <f t="shared" si="211"/>
        <v>0</v>
      </c>
      <c r="N930" s="45">
        <f t="shared" si="212"/>
        <v>0</v>
      </c>
      <c r="O930" s="45">
        <f t="shared" si="213"/>
        <v>0</v>
      </c>
      <c r="P930" s="46">
        <f t="shared" si="214"/>
        <v>0</v>
      </c>
      <c r="Q930" s="46">
        <v>1</v>
      </c>
      <c r="R930" s="45">
        <f t="shared" si="215"/>
        <v>284880</v>
      </c>
      <c r="S930" s="46">
        <f t="shared" si="216"/>
        <v>0</v>
      </c>
      <c r="T930" s="46">
        <f>IFERROR(VLOOKUP(A930,'[1]Re-order'!$A:$Q,17,0),"")</f>
        <v>720</v>
      </c>
      <c r="U930" s="46">
        <f>IFERROR(VLOOKUP(A930,'[1]MC Masterlist 2026-09-12'!$B:$M, 10, 0),0)</f>
        <v>15</v>
      </c>
      <c r="V930" s="46">
        <f>IFERROR(VLOOKUP(A930,'[1]MC Masterlist 2026-09-12'!$B:$M, 11, 0),0)</f>
        <v>15</v>
      </c>
      <c r="W930" s="46">
        <f t="shared" si="217"/>
        <v>30</v>
      </c>
      <c r="X930" s="46">
        <f t="shared" si="218"/>
        <v>30</v>
      </c>
      <c r="Y930" s="46">
        <f>IFERROR(IF(OR(C930="AREA I",C930="AREA V"),7,VLOOKUP(A930,'[1]MC Masterlist 2026-09-12'!$B:$M, 12, 0)),0)</f>
        <v>30</v>
      </c>
      <c r="Z930" s="46">
        <f t="shared" si="219"/>
        <v>0</v>
      </c>
      <c r="AA930" s="46">
        <f t="shared" si="220"/>
        <v>0</v>
      </c>
      <c r="AB930" s="46">
        <f t="shared" si="221"/>
        <v>0</v>
      </c>
      <c r="AC930" s="46">
        <f t="shared" si="222"/>
        <v>0</v>
      </c>
      <c r="AD930" s="44" t="str">
        <f t="shared" si="223"/>
        <v>Over</v>
      </c>
      <c r="AE930" s="44" t="str">
        <f>IFERROR(VLOOKUP(A930,'[1]Re-order'!$A:$AA,27,0),"")</f>
        <v>Over</v>
      </c>
      <c r="AF930" s="46">
        <f t="shared" si="224"/>
        <v>-1</v>
      </c>
      <c r="AG930" s="46">
        <f>SUMIFS('[1]Raw Inventory'!D:D,'[1]Raw Inventory'!C:C,"GREATWALL",'[1]Raw Inventory'!B:B,A930)</f>
        <v>0</v>
      </c>
      <c r="AH930" s="46">
        <f>SUMIFS('[1]Raw Inventory'!D:D,'[1]Raw Inventory'!C:C,"DUARTE",'[1]Raw Inventory'!B:B,A930)</f>
        <v>0</v>
      </c>
      <c r="AI930" s="46"/>
      <c r="AJ930" s="46"/>
      <c r="AK930" s="43"/>
      <c r="AL930" s="43"/>
      <c r="AM930" s="43"/>
      <c r="AN930" s="43"/>
      <c r="AO930" s="43"/>
      <c r="AP930" s="43"/>
      <c r="AQ930" s="43"/>
      <c r="AR930" s="43"/>
      <c r="AS930" s="43"/>
      <c r="AT930" s="43"/>
    </row>
    <row r="931" spans="1:46">
      <c r="A931" s="43" t="s">
        <v>42</v>
      </c>
      <c r="B931" s="43" t="s">
        <v>95</v>
      </c>
      <c r="C931" s="43" t="s">
        <v>90</v>
      </c>
      <c r="D931" s="44" t="s">
        <v>255</v>
      </c>
      <c r="E931" s="44">
        <v>13</v>
      </c>
      <c r="F931" s="44" t="s">
        <v>2</v>
      </c>
      <c r="G931" s="43" t="str">
        <f>IFERROR(VLOOKUP(A931,'[1]MC Masterlist 2026-09-12'!$B:$M, 3, 0),"")</f>
        <v>YAMAHA</v>
      </c>
      <c r="H931" s="45">
        <f>IFERROR(VLOOKUP(A931,'[1]MC Masterlist 2026-09-12'!$B:$M, 6, 0),"")</f>
        <v>152892</v>
      </c>
      <c r="I931" s="46">
        <v>0</v>
      </c>
      <c r="J931" s="46">
        <v>1</v>
      </c>
      <c r="K931" s="46">
        <v>0</v>
      </c>
      <c r="L931" s="46">
        <f t="shared" si="210"/>
        <v>1</v>
      </c>
      <c r="M931" s="46">
        <f t="shared" si="211"/>
        <v>0.33333333333333331</v>
      </c>
      <c r="N931" s="45">
        <f t="shared" si="212"/>
        <v>152892</v>
      </c>
      <c r="O931" s="45">
        <f t="shared" si="213"/>
        <v>50964</v>
      </c>
      <c r="P931" s="46">
        <f t="shared" si="214"/>
        <v>1.111111111111111E-2</v>
      </c>
      <c r="Q931" s="46">
        <v>2</v>
      </c>
      <c r="R931" s="45">
        <f t="shared" si="215"/>
        <v>305784</v>
      </c>
      <c r="S931" s="46">
        <f t="shared" si="216"/>
        <v>180</v>
      </c>
      <c r="T931" s="46">
        <f>IFERROR(VLOOKUP(A931,'[1]Re-order'!$A:$Q,17,0),"")</f>
        <v>104.55882352941177</v>
      </c>
      <c r="U931" s="46">
        <f>IFERROR(VLOOKUP(A931,'[1]MC Masterlist 2026-09-12'!$B:$M, 10, 0),0)</f>
        <v>15</v>
      </c>
      <c r="V931" s="46">
        <f>IFERROR(VLOOKUP(A931,'[1]MC Masterlist 2026-09-12'!$B:$M, 11, 0),0)</f>
        <v>15</v>
      </c>
      <c r="W931" s="46">
        <f t="shared" si="217"/>
        <v>30</v>
      </c>
      <c r="X931" s="46">
        <f t="shared" si="218"/>
        <v>29.833333333333332</v>
      </c>
      <c r="Y931" s="46">
        <f>IFERROR(IF(OR(C931="AREA I",C931="AREA V"),7,VLOOKUP(A931,'[1]MC Masterlist 2026-09-12'!$B:$M, 12, 0)),0)</f>
        <v>30</v>
      </c>
      <c r="Z931" s="46">
        <f t="shared" si="219"/>
        <v>0.16666666666666666</v>
      </c>
      <c r="AA931" s="46">
        <f t="shared" si="220"/>
        <v>0.33333333333333331</v>
      </c>
      <c r="AB931" s="46">
        <f t="shared" si="221"/>
        <v>0.33148148148148143</v>
      </c>
      <c r="AC931" s="46">
        <f t="shared" si="222"/>
        <v>0.33333333333333331</v>
      </c>
      <c r="AD931" s="44" t="str">
        <f t="shared" si="223"/>
        <v>Over</v>
      </c>
      <c r="AE931" s="44" t="str">
        <f>IFERROR(VLOOKUP(A931,'[1]Re-order'!$A:$AA,27,0),"")</f>
        <v>Over</v>
      </c>
      <c r="AF931" s="46">
        <f t="shared" si="224"/>
        <v>-1.6666666666666667</v>
      </c>
      <c r="AG931" s="46">
        <f>SUMIFS('[1]Raw Inventory'!D:D,'[1]Raw Inventory'!C:C,"GREATWALL",'[1]Raw Inventory'!B:B,A931)</f>
        <v>3</v>
      </c>
      <c r="AH931" s="46">
        <f>SUMIFS('[1]Raw Inventory'!D:D,'[1]Raw Inventory'!C:C,"DUARTE",'[1]Raw Inventory'!B:B,A931)</f>
        <v>0</v>
      </c>
      <c r="AI931" s="46"/>
      <c r="AJ931" s="46"/>
      <c r="AK931" s="43"/>
      <c r="AL931" s="43"/>
      <c r="AM931" s="43"/>
      <c r="AN931" s="43"/>
      <c r="AO931" s="43"/>
      <c r="AP931" s="43"/>
      <c r="AQ931" s="43"/>
      <c r="AR931" s="43"/>
      <c r="AS931" s="43"/>
      <c r="AT931" s="43"/>
    </row>
    <row r="932" spans="1:46">
      <c r="A932" s="43" t="s">
        <v>64</v>
      </c>
      <c r="B932" s="43" t="s">
        <v>111</v>
      </c>
      <c r="C932" s="43" t="s">
        <v>109</v>
      </c>
      <c r="D932" s="44" t="s">
        <v>229</v>
      </c>
      <c r="E932" s="44">
        <v>25</v>
      </c>
      <c r="F932" s="44" t="s">
        <v>3</v>
      </c>
      <c r="G932" s="43" t="str">
        <f>IFERROR(VLOOKUP(A932,'[1]MC Masterlist 2026-09-12'!$B:$M, 3, 0),"")</f>
        <v>HONDA</v>
      </c>
      <c r="H932" s="45">
        <f>IFERROR(VLOOKUP(A932,'[1]MC Masterlist 2026-09-12'!$B:$M, 6, 0),"")</f>
        <v>73170</v>
      </c>
      <c r="I932" s="46">
        <v>0</v>
      </c>
      <c r="J932" s="46">
        <v>0</v>
      </c>
      <c r="K932" s="46">
        <v>1</v>
      </c>
      <c r="L932" s="46">
        <f t="shared" si="210"/>
        <v>1</v>
      </c>
      <c r="M932" s="46">
        <f t="shared" si="211"/>
        <v>0.33333333333333331</v>
      </c>
      <c r="N932" s="45">
        <f t="shared" si="212"/>
        <v>73170</v>
      </c>
      <c r="O932" s="45">
        <f t="shared" si="213"/>
        <v>24390</v>
      </c>
      <c r="P932" s="46">
        <f t="shared" si="214"/>
        <v>1.111111111111111E-2</v>
      </c>
      <c r="Q932" s="46">
        <v>3</v>
      </c>
      <c r="R932" s="45">
        <f t="shared" si="215"/>
        <v>219510</v>
      </c>
      <c r="S932" s="46">
        <f t="shared" si="216"/>
        <v>270</v>
      </c>
      <c r="T932" s="46">
        <f>IFERROR(VLOOKUP(A932,'[1]Re-order'!$A:$Q,17,0),"")</f>
        <v>76.153846153846146</v>
      </c>
      <c r="U932" s="46">
        <f>IFERROR(VLOOKUP(A932,'[1]MC Masterlist 2026-09-12'!$B:$M, 10, 0),0)</f>
        <v>15</v>
      </c>
      <c r="V932" s="46">
        <f>IFERROR(VLOOKUP(A932,'[1]MC Masterlist 2026-09-12'!$B:$M, 11, 0),0)</f>
        <v>15</v>
      </c>
      <c r="W932" s="46">
        <f t="shared" si="217"/>
        <v>30</v>
      </c>
      <c r="X932" s="46">
        <f t="shared" si="218"/>
        <v>29.833333333333332</v>
      </c>
      <c r="Y932" s="46">
        <f>IFERROR(IF(OR(C932="AREA I",C932="AREA V"),7,VLOOKUP(A932,'[1]MC Masterlist 2026-09-12'!$B:$M, 12, 0)),0)</f>
        <v>30</v>
      </c>
      <c r="Z932" s="46">
        <f t="shared" si="219"/>
        <v>0.16666666666666666</v>
      </c>
      <c r="AA932" s="46">
        <f t="shared" si="220"/>
        <v>0.33333333333333331</v>
      </c>
      <c r="AB932" s="46">
        <f t="shared" si="221"/>
        <v>0.33148148148148143</v>
      </c>
      <c r="AC932" s="46">
        <f t="shared" si="222"/>
        <v>0.33333333333333331</v>
      </c>
      <c r="AD932" s="44" t="str">
        <f t="shared" si="223"/>
        <v>Over</v>
      </c>
      <c r="AE932" s="44" t="str">
        <f>IFERROR(VLOOKUP(A932,'[1]Re-order'!$A:$AA,27,0),"")</f>
        <v/>
      </c>
      <c r="AF932" s="46">
        <f t="shared" si="224"/>
        <v>-2.6666666666666665</v>
      </c>
      <c r="AG932" s="46">
        <f>SUMIFS('[1]Raw Inventory'!D:D,'[1]Raw Inventory'!C:C,"GREATWALL",'[1]Raw Inventory'!B:B,A932)</f>
        <v>13</v>
      </c>
      <c r="AH932" s="46">
        <f>SUMIFS('[1]Raw Inventory'!D:D,'[1]Raw Inventory'!C:C,"DUARTE",'[1]Raw Inventory'!B:B,A932)</f>
        <v>0</v>
      </c>
      <c r="AI932" s="46"/>
      <c r="AJ932" s="46"/>
      <c r="AK932" s="43"/>
      <c r="AL932" s="43"/>
      <c r="AM932" s="43"/>
      <c r="AN932" s="43"/>
      <c r="AO932" s="43"/>
      <c r="AP932" s="43"/>
      <c r="AQ932" s="43"/>
      <c r="AR932" s="43"/>
      <c r="AS932" s="43"/>
      <c r="AT932" s="43"/>
    </row>
    <row r="933" spans="1:46">
      <c r="A933" s="43" t="s">
        <v>47</v>
      </c>
      <c r="B933" s="43" t="s">
        <v>141</v>
      </c>
      <c r="C933" s="43" t="s">
        <v>137</v>
      </c>
      <c r="D933" s="44" t="s">
        <v>232</v>
      </c>
      <c r="E933" s="44">
        <v>28</v>
      </c>
      <c r="F933" s="44" t="s">
        <v>3</v>
      </c>
      <c r="G933" s="43" t="str">
        <f>IFERROR(VLOOKUP(A933,'[1]MC Masterlist 2026-09-12'!$B:$M, 3, 0),"")</f>
        <v>YAMAHA</v>
      </c>
      <c r="H933" s="45">
        <f>IFERROR(VLOOKUP(A933,'[1]MC Masterlist 2026-09-12'!$B:$M, 6, 0),"")</f>
        <v>76167</v>
      </c>
      <c r="I933" s="46">
        <v>0</v>
      </c>
      <c r="J933" s="46">
        <v>0</v>
      </c>
      <c r="K933" s="46">
        <v>0</v>
      </c>
      <c r="L933" s="46">
        <f t="shared" si="210"/>
        <v>0</v>
      </c>
      <c r="M933" s="46">
        <f t="shared" si="211"/>
        <v>0</v>
      </c>
      <c r="N933" s="45">
        <f t="shared" si="212"/>
        <v>0</v>
      </c>
      <c r="O933" s="45">
        <f t="shared" si="213"/>
        <v>0</v>
      </c>
      <c r="P933" s="46">
        <f t="shared" si="214"/>
        <v>0</v>
      </c>
      <c r="Q933" s="46">
        <v>1</v>
      </c>
      <c r="R933" s="45">
        <f t="shared" si="215"/>
        <v>76167</v>
      </c>
      <c r="S933" s="46">
        <f t="shared" si="216"/>
        <v>0</v>
      </c>
      <c r="T933" s="46">
        <f>IFERROR(VLOOKUP(A933,'[1]Re-order'!$A:$Q,17,0),"")</f>
        <v>86.666666666666671</v>
      </c>
      <c r="U933" s="46">
        <f>IFERROR(VLOOKUP(A933,'[1]MC Masterlist 2026-09-12'!$B:$M, 10, 0),0)</f>
        <v>15</v>
      </c>
      <c r="V933" s="46">
        <f>IFERROR(VLOOKUP(A933,'[1]MC Masterlist 2026-09-12'!$B:$M, 11, 0),0)</f>
        <v>15</v>
      </c>
      <c r="W933" s="46">
        <f t="shared" si="217"/>
        <v>30</v>
      </c>
      <c r="X933" s="46">
        <f t="shared" si="218"/>
        <v>7</v>
      </c>
      <c r="Y933" s="46">
        <f>IFERROR(IF(OR(C933="AREA I",C933="AREA V"),7,VLOOKUP(A933,'[1]MC Masterlist 2026-09-12'!$B:$M, 12, 0)),0)</f>
        <v>7</v>
      </c>
      <c r="Z933" s="46">
        <f t="shared" si="219"/>
        <v>0</v>
      </c>
      <c r="AA933" s="46">
        <f t="shared" si="220"/>
        <v>0</v>
      </c>
      <c r="AB933" s="46">
        <f t="shared" si="221"/>
        <v>0</v>
      </c>
      <c r="AC933" s="46">
        <f t="shared" si="222"/>
        <v>0</v>
      </c>
      <c r="AD933" s="44" t="str">
        <f t="shared" si="223"/>
        <v>Over</v>
      </c>
      <c r="AE933" s="44" t="str">
        <f>IFERROR(VLOOKUP(A933,'[1]Re-order'!$A:$AA,27,0),"")</f>
        <v/>
      </c>
      <c r="AF933" s="46">
        <f t="shared" si="224"/>
        <v>-1</v>
      </c>
      <c r="AG933" s="46">
        <f>SUMIFS('[1]Raw Inventory'!D:D,'[1]Raw Inventory'!C:C,"GREATWALL",'[1]Raw Inventory'!B:B,A933)</f>
        <v>1</v>
      </c>
      <c r="AH933" s="46">
        <f>SUMIFS('[1]Raw Inventory'!D:D,'[1]Raw Inventory'!C:C,"DUARTE",'[1]Raw Inventory'!B:B,A933)</f>
        <v>0</v>
      </c>
      <c r="AI933" s="46"/>
      <c r="AJ933" s="46"/>
      <c r="AK933" s="43"/>
      <c r="AL933" s="43"/>
      <c r="AM933" s="43"/>
      <c r="AN933" s="43"/>
      <c r="AO933" s="43"/>
      <c r="AP933" s="43"/>
      <c r="AQ933" s="43"/>
      <c r="AR933" s="43"/>
      <c r="AS933" s="43"/>
      <c r="AT933" s="43"/>
    </row>
    <row r="934" spans="1:46">
      <c r="A934" s="43" t="s">
        <v>46</v>
      </c>
      <c r="B934" s="43" t="s">
        <v>144</v>
      </c>
      <c r="C934" s="43" t="s">
        <v>137</v>
      </c>
      <c r="D934" s="44" t="s">
        <v>231</v>
      </c>
      <c r="E934" s="44">
        <v>31</v>
      </c>
      <c r="F934" s="44" t="s">
        <v>3</v>
      </c>
      <c r="G934" s="43" t="str">
        <f>IFERROR(VLOOKUP(A934,'[1]MC Masterlist 2026-09-12'!$B:$M, 3, 0),"")</f>
        <v>HONDA</v>
      </c>
      <c r="H934" s="45">
        <f>IFERROR(VLOOKUP(A934,'[1]MC Masterlist 2026-09-12'!$B:$M, 6, 0),"")</f>
        <v>73630</v>
      </c>
      <c r="I934" s="46">
        <v>0</v>
      </c>
      <c r="J934" s="46">
        <v>0</v>
      </c>
      <c r="K934" s="46">
        <v>1</v>
      </c>
      <c r="L934" s="46">
        <f t="shared" si="210"/>
        <v>1</v>
      </c>
      <c r="M934" s="46">
        <f t="shared" si="211"/>
        <v>0.33333333333333331</v>
      </c>
      <c r="N934" s="45">
        <f t="shared" si="212"/>
        <v>73630</v>
      </c>
      <c r="O934" s="45">
        <f t="shared" si="213"/>
        <v>24543.333333333332</v>
      </c>
      <c r="P934" s="46">
        <f t="shared" si="214"/>
        <v>1.111111111111111E-2</v>
      </c>
      <c r="Q934" s="46">
        <v>1</v>
      </c>
      <c r="R934" s="45">
        <f t="shared" si="215"/>
        <v>73630</v>
      </c>
      <c r="S934" s="46">
        <f t="shared" si="216"/>
        <v>90</v>
      </c>
      <c r="T934" s="46">
        <f>IFERROR(VLOOKUP(A934,'[1]Re-order'!$A:$Q,17,0),"")</f>
        <v>51</v>
      </c>
      <c r="U934" s="46">
        <f>IFERROR(VLOOKUP(A934,'[1]MC Masterlist 2026-09-12'!$B:$M, 10, 0),0)</f>
        <v>15</v>
      </c>
      <c r="V934" s="46">
        <f>IFERROR(VLOOKUP(A934,'[1]MC Masterlist 2026-09-12'!$B:$M, 11, 0),0)</f>
        <v>15</v>
      </c>
      <c r="W934" s="46">
        <f t="shared" si="217"/>
        <v>30</v>
      </c>
      <c r="X934" s="46">
        <f t="shared" si="218"/>
        <v>6.833333333333333</v>
      </c>
      <c r="Y934" s="46">
        <f>IFERROR(IF(OR(C934="AREA I",C934="AREA V"),7,VLOOKUP(A934,'[1]MC Masterlist 2026-09-12'!$B:$M, 12, 0)),0)</f>
        <v>7</v>
      </c>
      <c r="Z934" s="46">
        <f t="shared" si="219"/>
        <v>0.16666666666666666</v>
      </c>
      <c r="AA934" s="46">
        <f t="shared" si="220"/>
        <v>0.33333333333333331</v>
      </c>
      <c r="AB934" s="46">
        <f t="shared" si="221"/>
        <v>7.5925925925925911E-2</v>
      </c>
      <c r="AC934" s="46">
        <f t="shared" si="222"/>
        <v>7.7777777777777765E-2</v>
      </c>
      <c r="AD934" s="44" t="str">
        <f t="shared" si="223"/>
        <v>Over</v>
      </c>
      <c r="AE934" s="44" t="str">
        <f>IFERROR(VLOOKUP(A934,'[1]Re-order'!$A:$AA,27,0),"")</f>
        <v>Re-order</v>
      </c>
      <c r="AF934" s="46">
        <f t="shared" si="224"/>
        <v>-0.92222222222222228</v>
      </c>
      <c r="AG934" s="46">
        <f>SUMIFS('[1]Raw Inventory'!D:D,'[1]Raw Inventory'!C:C,"GREATWALL",'[1]Raw Inventory'!B:B,A934)</f>
        <v>0</v>
      </c>
      <c r="AH934" s="46">
        <f>SUMIFS('[1]Raw Inventory'!D:D,'[1]Raw Inventory'!C:C,"DUARTE",'[1]Raw Inventory'!B:B,A934)</f>
        <v>0</v>
      </c>
      <c r="AI934" s="46"/>
      <c r="AJ934" s="46"/>
      <c r="AK934" s="43"/>
      <c r="AL934" s="43"/>
      <c r="AM934" s="43"/>
      <c r="AN934" s="43"/>
      <c r="AO934" s="43"/>
      <c r="AP934" s="43"/>
      <c r="AQ934" s="43"/>
      <c r="AR934" s="43"/>
      <c r="AS934" s="43"/>
      <c r="AT934" s="43"/>
    </row>
    <row r="935" spans="1:46">
      <c r="A935" s="43" t="s">
        <v>40</v>
      </c>
      <c r="B935" s="43" t="s">
        <v>160</v>
      </c>
      <c r="C935" s="43" t="s">
        <v>159</v>
      </c>
      <c r="D935" s="44" t="s">
        <v>223</v>
      </c>
      <c r="E935" s="44">
        <v>18</v>
      </c>
      <c r="F935" s="44" t="s">
        <v>3</v>
      </c>
      <c r="G935" s="43" t="str">
        <f>IFERROR(VLOOKUP(A935,'[1]MC Masterlist 2026-09-12'!$B:$M, 3, 0),"")</f>
        <v>HONDA</v>
      </c>
      <c r="H935" s="45">
        <f>IFERROR(VLOOKUP(A935,'[1]MC Masterlist 2026-09-12'!$B:$M, 6, 0),"")</f>
        <v>56426</v>
      </c>
      <c r="I935" s="46">
        <v>1</v>
      </c>
      <c r="J935" s="46">
        <v>1</v>
      </c>
      <c r="K935" s="46">
        <v>1</v>
      </c>
      <c r="L935" s="46">
        <f t="shared" si="210"/>
        <v>3</v>
      </c>
      <c r="M935" s="46">
        <f t="shared" si="211"/>
        <v>1</v>
      </c>
      <c r="N935" s="45">
        <f t="shared" si="212"/>
        <v>169278</v>
      </c>
      <c r="O935" s="45">
        <f t="shared" si="213"/>
        <v>56426</v>
      </c>
      <c r="P935" s="46">
        <f t="shared" si="214"/>
        <v>3.3333333333333333E-2</v>
      </c>
      <c r="Q935" s="46">
        <v>3</v>
      </c>
      <c r="R935" s="45">
        <f t="shared" si="215"/>
        <v>169278</v>
      </c>
      <c r="S935" s="46">
        <f t="shared" si="216"/>
        <v>90</v>
      </c>
      <c r="T935" s="46">
        <f>IFERROR(VLOOKUP(A935,'[1]Re-order'!$A:$Q,17,0),"")</f>
        <v>139.56521739130434</v>
      </c>
      <c r="U935" s="46">
        <f>IFERROR(VLOOKUP(A935,'[1]MC Masterlist 2026-09-12'!$B:$M, 10, 0),0)</f>
        <v>15</v>
      </c>
      <c r="V935" s="46">
        <f>IFERROR(VLOOKUP(A935,'[1]MC Masterlist 2026-09-12'!$B:$M, 11, 0),0)</f>
        <v>15</v>
      </c>
      <c r="W935" s="46">
        <f t="shared" si="217"/>
        <v>30</v>
      </c>
      <c r="X935" s="46">
        <f t="shared" si="218"/>
        <v>29.5</v>
      </c>
      <c r="Y935" s="46">
        <f>IFERROR(IF(OR(C935="AREA I",C935="AREA V"),7,VLOOKUP(A935,'[1]MC Masterlist 2026-09-12'!$B:$M, 12, 0)),0)</f>
        <v>30</v>
      </c>
      <c r="Z935" s="46">
        <f t="shared" si="219"/>
        <v>0.5</v>
      </c>
      <c r="AA935" s="46">
        <f t="shared" si="220"/>
        <v>1</v>
      </c>
      <c r="AB935" s="46">
        <f t="shared" si="221"/>
        <v>0.98333333333333328</v>
      </c>
      <c r="AC935" s="46">
        <f t="shared" si="222"/>
        <v>1</v>
      </c>
      <c r="AD935" s="44" t="str">
        <f t="shared" si="223"/>
        <v>Over</v>
      </c>
      <c r="AE935" s="44" t="str">
        <f>IFERROR(VLOOKUP(A935,'[1]Re-order'!$A:$AA,27,0),"")</f>
        <v>Over</v>
      </c>
      <c r="AF935" s="46">
        <f t="shared" si="224"/>
        <v>-2</v>
      </c>
      <c r="AG935" s="46">
        <f>SUMIFS('[1]Raw Inventory'!D:D,'[1]Raw Inventory'!C:C,"GREATWALL",'[1]Raw Inventory'!B:B,A935)</f>
        <v>45</v>
      </c>
      <c r="AH935" s="46">
        <f>SUMIFS('[1]Raw Inventory'!D:D,'[1]Raw Inventory'!C:C,"DUARTE",'[1]Raw Inventory'!B:B,A935)</f>
        <v>0</v>
      </c>
      <c r="AI935" s="46"/>
      <c r="AJ935" s="46"/>
      <c r="AK935" s="43"/>
      <c r="AL935" s="43"/>
      <c r="AM935" s="43"/>
      <c r="AN935" s="43"/>
      <c r="AO935" s="43"/>
      <c r="AP935" s="43"/>
      <c r="AQ935" s="43"/>
      <c r="AR935" s="43"/>
      <c r="AS935" s="43"/>
      <c r="AT935" s="43"/>
    </row>
    <row r="936" spans="1:46">
      <c r="A936" s="43" t="s">
        <v>34</v>
      </c>
      <c r="B936" s="43" t="s">
        <v>11</v>
      </c>
      <c r="C936" s="43" t="s">
        <v>1</v>
      </c>
      <c r="D936" s="44" t="s">
        <v>224</v>
      </c>
      <c r="E936" s="44">
        <v>9</v>
      </c>
      <c r="F936" s="44" t="s">
        <v>2</v>
      </c>
      <c r="G936" s="43" t="str">
        <f>IFERROR(VLOOKUP(A936,'[1]MC Masterlist 2026-09-12'!$B:$M, 3, 0),"")</f>
        <v>HONDA</v>
      </c>
      <c r="H936" s="45">
        <f>IFERROR(VLOOKUP(A936,'[1]MC Masterlist 2026-09-12'!$B:$M, 6, 0),"")</f>
        <v>101230</v>
      </c>
      <c r="I936" s="46">
        <v>5</v>
      </c>
      <c r="J936" s="46">
        <v>1</v>
      </c>
      <c r="K936" s="46">
        <v>2</v>
      </c>
      <c r="L936" s="46">
        <f t="shared" si="210"/>
        <v>8</v>
      </c>
      <c r="M936" s="46">
        <f t="shared" si="211"/>
        <v>2.6666666666666665</v>
      </c>
      <c r="N936" s="45">
        <f t="shared" si="212"/>
        <v>809840</v>
      </c>
      <c r="O936" s="45">
        <f t="shared" si="213"/>
        <v>269946.66666666663</v>
      </c>
      <c r="P936" s="46">
        <f t="shared" si="214"/>
        <v>8.8888888888888878E-2</v>
      </c>
      <c r="Q936" s="46"/>
      <c r="R936" s="45">
        <f t="shared" si="215"/>
        <v>0</v>
      </c>
      <c r="S936" s="46">
        <f t="shared" si="216"/>
        <v>0</v>
      </c>
      <c r="T936" s="46">
        <f>IFERROR(VLOOKUP(A936,'[1]Re-order'!$A:$Q,17,0),"")</f>
        <v>8.4375000000000018</v>
      </c>
      <c r="U936" s="46">
        <f>IFERROR(VLOOKUP(A936,'[1]MC Masterlist 2026-09-12'!$B:$M, 10, 0),0)</f>
        <v>15</v>
      </c>
      <c r="V936" s="46">
        <f>IFERROR(VLOOKUP(A936,'[1]MC Masterlist 2026-09-12'!$B:$M, 11, 0),0)</f>
        <v>15</v>
      </c>
      <c r="W936" s="46">
        <f t="shared" si="217"/>
        <v>30</v>
      </c>
      <c r="X936" s="46">
        <f t="shared" si="218"/>
        <v>5.666666666666667</v>
      </c>
      <c r="Y936" s="46">
        <f>IFERROR(IF(OR(C936="AREA I",C936="AREA V"),7,VLOOKUP(A936,'[1]MC Masterlist 2026-09-12'!$B:$M, 12, 0)),0)</f>
        <v>7</v>
      </c>
      <c r="Z936" s="46">
        <f t="shared" si="219"/>
        <v>1.3333333333333333</v>
      </c>
      <c r="AA936" s="46">
        <f t="shared" si="220"/>
        <v>2.6666666666666665</v>
      </c>
      <c r="AB936" s="46">
        <f t="shared" si="221"/>
        <v>0.50370370370370365</v>
      </c>
      <c r="AC936" s="46">
        <f t="shared" si="222"/>
        <v>0.62222222222222212</v>
      </c>
      <c r="AD936" s="44" t="str">
        <f t="shared" si="223"/>
        <v>Stockout</v>
      </c>
      <c r="AE936" s="44" t="str">
        <f>IFERROR(VLOOKUP(A936,'[1]Re-order'!$A:$AA,27,0),"")</f>
        <v>Stockout</v>
      </c>
      <c r="AF936" s="46">
        <f t="shared" si="224"/>
        <v>0.62222222222222212</v>
      </c>
      <c r="AG936" s="46">
        <f>SUMIFS('[1]Raw Inventory'!D:D,'[1]Raw Inventory'!C:C,"GREATWALL",'[1]Raw Inventory'!B:B,A936)</f>
        <v>1</v>
      </c>
      <c r="AH936" s="46">
        <f>SUMIFS('[1]Raw Inventory'!D:D,'[1]Raw Inventory'!C:C,"DUARTE",'[1]Raw Inventory'!B:B,A936)</f>
        <v>0</v>
      </c>
      <c r="AI936" s="46"/>
      <c r="AJ936" s="46"/>
      <c r="AK936" s="43"/>
      <c r="AL936" s="43"/>
      <c r="AM936" s="43"/>
      <c r="AN936" s="43"/>
      <c r="AO936" s="43"/>
      <c r="AP936" s="43"/>
      <c r="AQ936" s="43"/>
      <c r="AR936" s="43"/>
      <c r="AS936" s="43"/>
      <c r="AT936" s="43"/>
    </row>
    <row r="937" spans="1:46">
      <c r="A937" s="43" t="s">
        <v>23</v>
      </c>
      <c r="B937" s="43" t="s">
        <v>97</v>
      </c>
      <c r="C937" s="43" t="s">
        <v>90</v>
      </c>
      <c r="D937" s="44" t="s">
        <v>233</v>
      </c>
      <c r="E937" s="44">
        <v>6</v>
      </c>
      <c r="F937" s="44" t="s">
        <v>2</v>
      </c>
      <c r="G937" s="43" t="str">
        <f>IFERROR(VLOOKUP(A937,'[1]MC Masterlist 2026-09-12'!$B:$M, 3, 0),"")</f>
        <v>KAWASAKI</v>
      </c>
      <c r="H937" s="45">
        <f>IFERROR(VLOOKUP(A937,'[1]MC Masterlist 2026-09-12'!$B:$M, 6, 0),"")</f>
        <v>60656</v>
      </c>
      <c r="I937" s="46">
        <v>2</v>
      </c>
      <c r="J937" s="46">
        <v>1</v>
      </c>
      <c r="K937" s="46">
        <v>1</v>
      </c>
      <c r="L937" s="46">
        <f t="shared" si="210"/>
        <v>4</v>
      </c>
      <c r="M937" s="46">
        <f t="shared" si="211"/>
        <v>1.3333333333333333</v>
      </c>
      <c r="N937" s="45">
        <f t="shared" si="212"/>
        <v>242624</v>
      </c>
      <c r="O937" s="45">
        <f t="shared" si="213"/>
        <v>80874.666666666657</v>
      </c>
      <c r="P937" s="46">
        <f t="shared" si="214"/>
        <v>4.4444444444444439E-2</v>
      </c>
      <c r="Q937" s="46">
        <v>10</v>
      </c>
      <c r="R937" s="45">
        <f t="shared" si="215"/>
        <v>606560</v>
      </c>
      <c r="S937" s="46">
        <f t="shared" si="216"/>
        <v>225.00000000000003</v>
      </c>
      <c r="T937" s="46">
        <f>IFERROR(VLOOKUP(A937,'[1]Re-order'!$A:$Q,17,0),"")</f>
        <v>53.973412112259979</v>
      </c>
      <c r="U937" s="46">
        <f>IFERROR(VLOOKUP(A937,'[1]MC Masterlist 2026-09-12'!$B:$M, 10, 0),0)</f>
        <v>15</v>
      </c>
      <c r="V937" s="46">
        <f>IFERROR(VLOOKUP(A937,'[1]MC Masterlist 2026-09-12'!$B:$M, 11, 0),0)</f>
        <v>15</v>
      </c>
      <c r="W937" s="46">
        <f t="shared" si="217"/>
        <v>30</v>
      </c>
      <c r="X937" s="46">
        <f t="shared" si="218"/>
        <v>29.333333333333332</v>
      </c>
      <c r="Y937" s="46">
        <f>IFERROR(IF(OR(C937="AREA I",C937="AREA V"),7,VLOOKUP(A937,'[1]MC Masterlist 2026-09-12'!$B:$M, 12, 0)),0)</f>
        <v>30</v>
      </c>
      <c r="Z937" s="46">
        <f t="shared" si="219"/>
        <v>0.66666666666666663</v>
      </c>
      <c r="AA937" s="46">
        <f t="shared" si="220"/>
        <v>1.3333333333333333</v>
      </c>
      <c r="AB937" s="46">
        <f t="shared" si="221"/>
        <v>1.3037037037037036</v>
      </c>
      <c r="AC937" s="46">
        <f t="shared" si="222"/>
        <v>1.3333333333333333</v>
      </c>
      <c r="AD937" s="44" t="str">
        <f t="shared" si="223"/>
        <v>Over</v>
      </c>
      <c r="AE937" s="44" t="str">
        <f>IFERROR(VLOOKUP(A937,'[1]Re-order'!$A:$AA,27,0),"")</f>
        <v>Re-order</v>
      </c>
      <c r="AF937" s="46">
        <f t="shared" si="224"/>
        <v>-8.6666666666666661</v>
      </c>
      <c r="AG937" s="46">
        <f>SUMIFS('[1]Raw Inventory'!D:D,'[1]Raw Inventory'!C:C,"GREATWALL",'[1]Raw Inventory'!B:B,A937)</f>
        <v>282</v>
      </c>
      <c r="AH937" s="46">
        <f>SUMIFS('[1]Raw Inventory'!D:D,'[1]Raw Inventory'!C:C,"DUARTE",'[1]Raw Inventory'!B:B,A937)</f>
        <v>0</v>
      </c>
      <c r="AI937" s="46"/>
      <c r="AJ937" s="46"/>
      <c r="AK937" s="43"/>
      <c r="AL937" s="43"/>
      <c r="AM937" s="43"/>
      <c r="AN937" s="43"/>
      <c r="AO937" s="43"/>
      <c r="AP937" s="43"/>
      <c r="AQ937" s="43"/>
      <c r="AR937" s="43"/>
      <c r="AS937" s="43"/>
      <c r="AT937" s="43"/>
    </row>
    <row r="938" spans="1:46">
      <c r="A938" s="43" t="s">
        <v>12</v>
      </c>
      <c r="B938" s="43" t="s">
        <v>162</v>
      </c>
      <c r="C938" s="43" t="s">
        <v>159</v>
      </c>
      <c r="D938" s="44" t="s">
        <v>255</v>
      </c>
      <c r="E938" s="44">
        <v>11</v>
      </c>
      <c r="F938" s="44" t="s">
        <v>2</v>
      </c>
      <c r="G938" s="43" t="str">
        <f>IFERROR(VLOOKUP(A938,'[1]MC Masterlist 2026-09-12'!$B:$M, 3, 0),"")</f>
        <v>HONDA</v>
      </c>
      <c r="H938" s="45">
        <f>IFERROR(VLOOKUP(A938,'[1]MC Masterlist 2026-09-12'!$B:$M, 6, 0),"")</f>
        <v>158270</v>
      </c>
      <c r="I938" s="46">
        <v>0</v>
      </c>
      <c r="J938" s="46">
        <v>1</v>
      </c>
      <c r="K938" s="46">
        <v>0</v>
      </c>
      <c r="L938" s="46">
        <f t="shared" si="210"/>
        <v>1</v>
      </c>
      <c r="M938" s="46">
        <f t="shared" si="211"/>
        <v>0.33333333333333331</v>
      </c>
      <c r="N938" s="45">
        <f t="shared" si="212"/>
        <v>158270</v>
      </c>
      <c r="O938" s="45">
        <f t="shared" si="213"/>
        <v>52756.666666666664</v>
      </c>
      <c r="P938" s="46">
        <f t="shared" si="214"/>
        <v>1.111111111111111E-2</v>
      </c>
      <c r="Q938" s="46">
        <v>4</v>
      </c>
      <c r="R938" s="45">
        <f t="shared" si="215"/>
        <v>633080</v>
      </c>
      <c r="S938" s="46">
        <f t="shared" si="216"/>
        <v>360</v>
      </c>
      <c r="T938" s="46">
        <f>IFERROR(VLOOKUP(A938,'[1]Re-order'!$A:$Q,17,0),"")</f>
        <v>46.461038961038959</v>
      </c>
      <c r="U938" s="46">
        <f>IFERROR(VLOOKUP(A938,'[1]MC Masterlist 2026-09-12'!$B:$M, 10, 0),0)</f>
        <v>15</v>
      </c>
      <c r="V938" s="46">
        <f>IFERROR(VLOOKUP(A938,'[1]MC Masterlist 2026-09-12'!$B:$M, 11, 0),0)</f>
        <v>15</v>
      </c>
      <c r="W938" s="46">
        <f t="shared" si="217"/>
        <v>30</v>
      </c>
      <c r="X938" s="46">
        <f t="shared" si="218"/>
        <v>29.833333333333332</v>
      </c>
      <c r="Y938" s="46">
        <f>IFERROR(IF(OR(C938="AREA I",C938="AREA V"),7,VLOOKUP(A938,'[1]MC Masterlist 2026-09-12'!$B:$M, 12, 0)),0)</f>
        <v>30</v>
      </c>
      <c r="Z938" s="46">
        <f t="shared" si="219"/>
        <v>0.16666666666666666</v>
      </c>
      <c r="AA938" s="46">
        <f t="shared" si="220"/>
        <v>0.33333333333333331</v>
      </c>
      <c r="AB938" s="46">
        <f t="shared" si="221"/>
        <v>0.33148148148148143</v>
      </c>
      <c r="AC938" s="46">
        <f t="shared" si="222"/>
        <v>0.33333333333333331</v>
      </c>
      <c r="AD938" s="44" t="str">
        <f t="shared" si="223"/>
        <v>Over</v>
      </c>
      <c r="AE938" s="44" t="str">
        <f>IFERROR(VLOOKUP(A938,'[1]Re-order'!$A:$AA,27,0),"")</f>
        <v>Re-order</v>
      </c>
      <c r="AF938" s="46">
        <f t="shared" si="224"/>
        <v>-3.6666666666666665</v>
      </c>
      <c r="AG938" s="46">
        <f>SUMIFS('[1]Raw Inventory'!D:D,'[1]Raw Inventory'!C:C,"GREATWALL",'[1]Raw Inventory'!B:B,A938)</f>
        <v>35</v>
      </c>
      <c r="AH938" s="46">
        <f>SUMIFS('[1]Raw Inventory'!D:D,'[1]Raw Inventory'!C:C,"DUARTE",'[1]Raw Inventory'!B:B,A938)</f>
        <v>0</v>
      </c>
      <c r="AI938" s="46"/>
      <c r="AJ938" s="46"/>
      <c r="AK938" s="43"/>
      <c r="AL938" s="43"/>
      <c r="AM938" s="43"/>
      <c r="AN938" s="43"/>
      <c r="AO938" s="43"/>
      <c r="AP938" s="43"/>
      <c r="AQ938" s="43"/>
      <c r="AR938" s="43"/>
      <c r="AS938" s="43"/>
      <c r="AT938" s="43"/>
    </row>
    <row r="939" spans="1:46">
      <c r="A939" s="43" t="s">
        <v>46</v>
      </c>
      <c r="B939" s="43" t="s">
        <v>146</v>
      </c>
      <c r="C939" s="43" t="s">
        <v>137</v>
      </c>
      <c r="D939" s="44" t="s">
        <v>262</v>
      </c>
      <c r="E939" s="44">
        <v>16</v>
      </c>
      <c r="F939" s="44" t="s">
        <v>2</v>
      </c>
      <c r="G939" s="43" t="str">
        <f>IFERROR(VLOOKUP(A939,'[1]MC Masterlist 2026-09-12'!$B:$M, 3, 0),"")</f>
        <v>HONDA</v>
      </c>
      <c r="H939" s="45">
        <f>IFERROR(VLOOKUP(A939,'[1]MC Masterlist 2026-09-12'!$B:$M, 6, 0),"")</f>
        <v>73630</v>
      </c>
      <c r="I939" s="46">
        <v>0</v>
      </c>
      <c r="J939" s="46">
        <v>2</v>
      </c>
      <c r="K939" s="46">
        <v>0</v>
      </c>
      <c r="L939" s="46">
        <f t="shared" si="210"/>
        <v>2</v>
      </c>
      <c r="M939" s="46">
        <f t="shared" si="211"/>
        <v>0.66666666666666663</v>
      </c>
      <c r="N939" s="45">
        <f t="shared" si="212"/>
        <v>147260</v>
      </c>
      <c r="O939" s="45">
        <f t="shared" si="213"/>
        <v>49086.666666666664</v>
      </c>
      <c r="P939" s="46">
        <f t="shared" si="214"/>
        <v>2.222222222222222E-2</v>
      </c>
      <c r="Q939" s="46"/>
      <c r="R939" s="45">
        <f t="shared" si="215"/>
        <v>0</v>
      </c>
      <c r="S939" s="46">
        <f t="shared" si="216"/>
        <v>0</v>
      </c>
      <c r="T939" s="46">
        <f>IFERROR(VLOOKUP(A939,'[1]Re-order'!$A:$Q,17,0),"")</f>
        <v>51</v>
      </c>
      <c r="U939" s="46">
        <f>IFERROR(VLOOKUP(A939,'[1]MC Masterlist 2026-09-12'!$B:$M, 10, 0),0)</f>
        <v>15</v>
      </c>
      <c r="V939" s="46">
        <f>IFERROR(VLOOKUP(A939,'[1]MC Masterlist 2026-09-12'!$B:$M, 11, 0),0)</f>
        <v>15</v>
      </c>
      <c r="W939" s="46">
        <f t="shared" si="217"/>
        <v>30</v>
      </c>
      <c r="X939" s="46">
        <f t="shared" si="218"/>
        <v>6.666666666666667</v>
      </c>
      <c r="Y939" s="46">
        <f>IFERROR(IF(OR(C939="AREA I",C939="AREA V"),7,VLOOKUP(A939,'[1]MC Masterlist 2026-09-12'!$B:$M, 12, 0)),0)</f>
        <v>7</v>
      </c>
      <c r="Z939" s="46">
        <f t="shared" si="219"/>
        <v>0.33333333333333331</v>
      </c>
      <c r="AA939" s="46">
        <f t="shared" si="220"/>
        <v>0.66666666666666663</v>
      </c>
      <c r="AB939" s="46">
        <f t="shared" si="221"/>
        <v>0.14814814814814814</v>
      </c>
      <c r="AC939" s="46">
        <f t="shared" si="222"/>
        <v>0.15555555555555553</v>
      </c>
      <c r="AD939" s="44" t="str">
        <f t="shared" si="223"/>
        <v>Stockout</v>
      </c>
      <c r="AE939" s="44" t="str">
        <f>IFERROR(VLOOKUP(A939,'[1]Re-order'!$A:$AA,27,0),"")</f>
        <v>Re-order</v>
      </c>
      <c r="AF939" s="46">
        <f t="shared" si="224"/>
        <v>0.15555555555555553</v>
      </c>
      <c r="AG939" s="46">
        <f>SUMIFS('[1]Raw Inventory'!D:D,'[1]Raw Inventory'!C:C,"GREATWALL",'[1]Raw Inventory'!B:B,A939)</f>
        <v>0</v>
      </c>
      <c r="AH939" s="46">
        <f>SUMIFS('[1]Raw Inventory'!D:D,'[1]Raw Inventory'!C:C,"DUARTE",'[1]Raw Inventory'!B:B,A939)</f>
        <v>0</v>
      </c>
      <c r="AI939" s="46"/>
      <c r="AJ939" s="46"/>
      <c r="AK939" s="43"/>
      <c r="AL939" s="43"/>
      <c r="AM939" s="43"/>
      <c r="AN939" s="43"/>
      <c r="AO939" s="43"/>
      <c r="AP939" s="43"/>
      <c r="AQ939" s="43"/>
      <c r="AR939" s="43"/>
      <c r="AS939" s="43"/>
      <c r="AT939" s="43"/>
    </row>
    <row r="940" spans="1:46">
      <c r="A940" s="43" t="s">
        <v>22</v>
      </c>
      <c r="B940" s="43" t="s">
        <v>156</v>
      </c>
      <c r="C940" s="43" t="s">
        <v>152</v>
      </c>
      <c r="D940" s="44" t="s">
        <v>221</v>
      </c>
      <c r="E940" s="44">
        <v>19</v>
      </c>
      <c r="F940" s="44" t="s">
        <v>3</v>
      </c>
      <c r="G940" s="43" t="str">
        <f>IFERROR(VLOOKUP(A940,'[1]MC Masterlist 2026-09-12'!$B:$M, 3, 0),"")</f>
        <v>HONDA</v>
      </c>
      <c r="H940" s="45">
        <f>IFERROR(VLOOKUP(A940,'[1]MC Masterlist 2026-09-12'!$B:$M, 6, 0),"")</f>
        <v>111258</v>
      </c>
      <c r="I940" s="46">
        <v>0</v>
      </c>
      <c r="J940" s="46">
        <v>1</v>
      </c>
      <c r="K940" s="46">
        <v>0</v>
      </c>
      <c r="L940" s="46">
        <f t="shared" si="210"/>
        <v>1</v>
      </c>
      <c r="M940" s="46">
        <f t="shared" si="211"/>
        <v>0.33333333333333331</v>
      </c>
      <c r="N940" s="45">
        <f t="shared" si="212"/>
        <v>111258</v>
      </c>
      <c r="O940" s="45">
        <f t="shared" si="213"/>
        <v>37086</v>
      </c>
      <c r="P940" s="46">
        <f t="shared" si="214"/>
        <v>1.111111111111111E-2</v>
      </c>
      <c r="Q940" s="46">
        <v>4</v>
      </c>
      <c r="R940" s="45">
        <f t="shared" si="215"/>
        <v>445032</v>
      </c>
      <c r="S940" s="46">
        <f t="shared" si="216"/>
        <v>360</v>
      </c>
      <c r="T940" s="46">
        <f>IFERROR(VLOOKUP(A940,'[1]Re-order'!$A:$Q,17,0),"")</f>
        <v>41.339712918660283</v>
      </c>
      <c r="U940" s="46">
        <f>IFERROR(VLOOKUP(A940,'[1]MC Masterlist 2026-09-12'!$B:$M, 10, 0),0)</f>
        <v>15</v>
      </c>
      <c r="V940" s="46">
        <f>IFERROR(VLOOKUP(A940,'[1]MC Masterlist 2026-09-12'!$B:$M, 11, 0),0)</f>
        <v>15</v>
      </c>
      <c r="W940" s="46">
        <f t="shared" si="217"/>
        <v>30</v>
      </c>
      <c r="X940" s="46">
        <f t="shared" si="218"/>
        <v>29.833333333333332</v>
      </c>
      <c r="Y940" s="46">
        <f>IFERROR(IF(OR(C940="AREA I",C940="AREA V"),7,VLOOKUP(A940,'[1]MC Masterlist 2026-09-12'!$B:$M, 12, 0)),0)</f>
        <v>30</v>
      </c>
      <c r="Z940" s="46">
        <f t="shared" si="219"/>
        <v>0.16666666666666666</v>
      </c>
      <c r="AA940" s="46">
        <f t="shared" si="220"/>
        <v>0.33333333333333331</v>
      </c>
      <c r="AB940" s="46">
        <f t="shared" si="221"/>
        <v>0.33148148148148143</v>
      </c>
      <c r="AC940" s="46">
        <f t="shared" si="222"/>
        <v>0.33333333333333331</v>
      </c>
      <c r="AD940" s="44" t="str">
        <f t="shared" si="223"/>
        <v>Over</v>
      </c>
      <c r="AE940" s="44" t="str">
        <f>IFERROR(VLOOKUP(A940,'[1]Re-order'!$A:$AA,27,0),"")</f>
        <v>Re-order</v>
      </c>
      <c r="AF940" s="46">
        <f t="shared" si="224"/>
        <v>-3.6666666666666665</v>
      </c>
      <c r="AG940" s="46">
        <f>SUMIFS('[1]Raw Inventory'!D:D,'[1]Raw Inventory'!C:C,"GREATWALL",'[1]Raw Inventory'!B:B,A940)</f>
        <v>4</v>
      </c>
      <c r="AH940" s="46">
        <f>SUMIFS('[1]Raw Inventory'!D:D,'[1]Raw Inventory'!C:C,"DUARTE",'[1]Raw Inventory'!B:B,A940)</f>
        <v>0</v>
      </c>
      <c r="AI940" s="46"/>
      <c r="AJ940" s="46"/>
      <c r="AK940" s="43"/>
      <c r="AL940" s="43"/>
      <c r="AM940" s="43"/>
      <c r="AN940" s="43"/>
      <c r="AO940" s="43"/>
      <c r="AP940" s="43"/>
      <c r="AQ940" s="43"/>
      <c r="AR940" s="43"/>
      <c r="AS940" s="43"/>
      <c r="AT940" s="43"/>
    </row>
    <row r="941" spans="1:46">
      <c r="A941" s="43" t="s">
        <v>76</v>
      </c>
      <c r="B941" s="43" t="s">
        <v>30</v>
      </c>
      <c r="C941" s="43" t="s">
        <v>1</v>
      </c>
      <c r="D941" s="44" t="s">
        <v>242</v>
      </c>
      <c r="E941" s="44">
        <v>37</v>
      </c>
      <c r="F941" s="44" t="s">
        <v>3</v>
      </c>
      <c r="G941" s="43" t="str">
        <f>IFERROR(VLOOKUP(A941,'[1]MC Masterlist 2026-09-12'!$B:$M, 3, 0),"")</f>
        <v>SUZUKI</v>
      </c>
      <c r="H941" s="45">
        <f>IFERROR(VLOOKUP(A941,'[1]MC Masterlist 2026-09-12'!$B:$M, 6, 0),"")</f>
        <v>62692</v>
      </c>
      <c r="I941" s="46">
        <v>0</v>
      </c>
      <c r="J941" s="46">
        <v>0</v>
      </c>
      <c r="K941" s="46">
        <v>0</v>
      </c>
      <c r="L941" s="46">
        <f t="shared" si="210"/>
        <v>0</v>
      </c>
      <c r="M941" s="46">
        <f t="shared" si="211"/>
        <v>0</v>
      </c>
      <c r="N941" s="45">
        <f t="shared" si="212"/>
        <v>0</v>
      </c>
      <c r="O941" s="45">
        <f t="shared" si="213"/>
        <v>0</v>
      </c>
      <c r="P941" s="46">
        <f t="shared" si="214"/>
        <v>0</v>
      </c>
      <c r="Q941" s="46">
        <v>3</v>
      </c>
      <c r="R941" s="45">
        <f t="shared" si="215"/>
        <v>188076</v>
      </c>
      <c r="S941" s="46">
        <f t="shared" si="216"/>
        <v>0</v>
      </c>
      <c r="T941" s="46">
        <f>IFERROR(VLOOKUP(A941,'[1]Re-order'!$A:$Q,17,0),"")</f>
        <v>106.36363636363636</v>
      </c>
      <c r="U941" s="46">
        <f>IFERROR(VLOOKUP(A941,'[1]MC Masterlist 2026-09-12'!$B:$M, 10, 0),0)</f>
        <v>15</v>
      </c>
      <c r="V941" s="46">
        <f>IFERROR(VLOOKUP(A941,'[1]MC Masterlist 2026-09-12'!$B:$M, 11, 0),0)</f>
        <v>15</v>
      </c>
      <c r="W941" s="46">
        <f t="shared" si="217"/>
        <v>30</v>
      </c>
      <c r="X941" s="46">
        <f t="shared" si="218"/>
        <v>7</v>
      </c>
      <c r="Y941" s="46">
        <f>IFERROR(IF(OR(C941="AREA I",C941="AREA V"),7,VLOOKUP(A941,'[1]MC Masterlist 2026-09-12'!$B:$M, 12, 0)),0)</f>
        <v>7</v>
      </c>
      <c r="Z941" s="46">
        <f t="shared" si="219"/>
        <v>0</v>
      </c>
      <c r="AA941" s="46">
        <f t="shared" si="220"/>
        <v>0</v>
      </c>
      <c r="AB941" s="46">
        <f t="shared" si="221"/>
        <v>0</v>
      </c>
      <c r="AC941" s="46">
        <f t="shared" si="222"/>
        <v>0</v>
      </c>
      <c r="AD941" s="44" t="str">
        <f t="shared" si="223"/>
        <v>Over</v>
      </c>
      <c r="AE941" s="44" t="str">
        <f>IFERROR(VLOOKUP(A941,'[1]Re-order'!$A:$AA,27,0),"")</f>
        <v>Over</v>
      </c>
      <c r="AF941" s="46">
        <f t="shared" si="224"/>
        <v>-3</v>
      </c>
      <c r="AG941" s="46">
        <f>SUMIFS('[1]Raw Inventory'!D:D,'[1]Raw Inventory'!C:C,"GREATWALL",'[1]Raw Inventory'!B:B,A941)</f>
        <v>1</v>
      </c>
      <c r="AH941" s="46">
        <f>SUMIFS('[1]Raw Inventory'!D:D,'[1]Raw Inventory'!C:C,"DUARTE",'[1]Raw Inventory'!B:B,A941)</f>
        <v>0</v>
      </c>
      <c r="AI941" s="46"/>
      <c r="AJ941" s="46"/>
      <c r="AK941" s="43"/>
      <c r="AL941" s="43"/>
      <c r="AM941" s="43"/>
      <c r="AN941" s="43"/>
      <c r="AO941" s="43"/>
      <c r="AP941" s="43"/>
      <c r="AQ941" s="43"/>
      <c r="AR941" s="43"/>
      <c r="AS941" s="43"/>
      <c r="AT941" s="43"/>
    </row>
    <row r="942" spans="1:46">
      <c r="A942" s="43" t="s">
        <v>83</v>
      </c>
      <c r="B942" s="43" t="s">
        <v>145</v>
      </c>
      <c r="C942" s="43" t="s">
        <v>137</v>
      </c>
      <c r="D942" s="44" t="s">
        <v>258</v>
      </c>
      <c r="E942" s="44">
        <v>28</v>
      </c>
      <c r="F942" s="44" t="s">
        <v>3</v>
      </c>
      <c r="G942" s="43" t="str">
        <f>IFERROR(VLOOKUP(A942,'[1]MC Masterlist 2026-09-12'!$B:$M, 3, 0),"")</f>
        <v>SKYGO</v>
      </c>
      <c r="H942" s="45">
        <f>IFERROR(VLOOKUP(A942,'[1]MC Masterlist 2026-09-12'!$B:$M, 6, 0),"")</f>
        <v>35055</v>
      </c>
      <c r="I942" s="46">
        <v>0</v>
      </c>
      <c r="J942" s="46">
        <v>0</v>
      </c>
      <c r="K942" s="46">
        <v>0</v>
      </c>
      <c r="L942" s="46">
        <f t="shared" si="210"/>
        <v>0</v>
      </c>
      <c r="M942" s="46">
        <f t="shared" si="211"/>
        <v>0</v>
      </c>
      <c r="N942" s="45">
        <f t="shared" si="212"/>
        <v>0</v>
      </c>
      <c r="O942" s="45">
        <f t="shared" si="213"/>
        <v>0</v>
      </c>
      <c r="P942" s="46">
        <f t="shared" si="214"/>
        <v>0</v>
      </c>
      <c r="Q942" s="46">
        <v>5</v>
      </c>
      <c r="R942" s="45">
        <f t="shared" si="215"/>
        <v>175275</v>
      </c>
      <c r="S942" s="46">
        <f t="shared" si="216"/>
        <v>0</v>
      </c>
      <c r="T942" s="46">
        <f>IFERROR(VLOOKUP(A942,'[1]Re-order'!$A:$Q,17,0),"")</f>
        <v>313.2</v>
      </c>
      <c r="U942" s="46">
        <f>IFERROR(VLOOKUP(A942,'[1]MC Masterlist 2026-09-12'!$B:$M, 10, 0),0)</f>
        <v>15</v>
      </c>
      <c r="V942" s="46">
        <f>IFERROR(VLOOKUP(A942,'[1]MC Masterlist 2026-09-12'!$B:$M, 11, 0),0)</f>
        <v>15</v>
      </c>
      <c r="W942" s="46">
        <f t="shared" si="217"/>
        <v>30</v>
      </c>
      <c r="X942" s="46">
        <f t="shared" si="218"/>
        <v>7</v>
      </c>
      <c r="Y942" s="46">
        <f>IFERROR(IF(OR(C942="AREA I",C942="AREA V"),7,VLOOKUP(A942,'[1]MC Masterlist 2026-09-12'!$B:$M, 12, 0)),0)</f>
        <v>7</v>
      </c>
      <c r="Z942" s="46">
        <f t="shared" si="219"/>
        <v>0</v>
      </c>
      <c r="AA942" s="46">
        <f t="shared" si="220"/>
        <v>0</v>
      </c>
      <c r="AB942" s="46">
        <f t="shared" si="221"/>
        <v>0</v>
      </c>
      <c r="AC942" s="46">
        <f t="shared" si="222"/>
        <v>0</v>
      </c>
      <c r="AD942" s="44" t="str">
        <f t="shared" si="223"/>
        <v>Over</v>
      </c>
      <c r="AE942" s="44" t="str">
        <f>IFERROR(VLOOKUP(A942,'[1]Re-order'!$A:$AA,27,0),"")</f>
        <v>Over</v>
      </c>
      <c r="AF942" s="46">
        <f t="shared" si="224"/>
        <v>-5</v>
      </c>
      <c r="AG942" s="46">
        <f>SUMIFS('[1]Raw Inventory'!D:D,'[1]Raw Inventory'!C:C,"GREATWALL",'[1]Raw Inventory'!B:B,A942)</f>
        <v>33</v>
      </c>
      <c r="AH942" s="46">
        <f>SUMIFS('[1]Raw Inventory'!D:D,'[1]Raw Inventory'!C:C,"DUARTE",'[1]Raw Inventory'!B:B,A942)</f>
        <v>0</v>
      </c>
      <c r="AI942" s="46"/>
      <c r="AJ942" s="46"/>
      <c r="AK942" s="43"/>
      <c r="AL942" s="43"/>
      <c r="AM942" s="43"/>
      <c r="AN942" s="43"/>
      <c r="AO942" s="43"/>
      <c r="AP942" s="43"/>
      <c r="AQ942" s="43"/>
      <c r="AR942" s="43"/>
      <c r="AS942" s="43"/>
      <c r="AT942" s="43"/>
    </row>
    <row r="943" spans="1:46">
      <c r="A943" s="43" t="s">
        <v>31</v>
      </c>
      <c r="B943" s="43" t="s">
        <v>93</v>
      </c>
      <c r="C943" s="43" t="s">
        <v>90</v>
      </c>
      <c r="D943" s="44" t="s">
        <v>256</v>
      </c>
      <c r="E943" s="44">
        <v>14</v>
      </c>
      <c r="F943" s="44" t="s">
        <v>2</v>
      </c>
      <c r="G943" s="43" t="str">
        <f>IFERROR(VLOOKUP(A943,'[1]MC Masterlist 2026-09-12'!$B:$M, 3, 0),"")</f>
        <v>KAWASAKI</v>
      </c>
      <c r="H943" s="45">
        <f>IFERROR(VLOOKUP(A943,'[1]MC Masterlist 2026-09-12'!$B:$M, 6, 0),"")</f>
        <v>59528</v>
      </c>
      <c r="I943" s="46">
        <v>1</v>
      </c>
      <c r="J943" s="46">
        <v>1</v>
      </c>
      <c r="K943" s="46">
        <v>0</v>
      </c>
      <c r="L943" s="46">
        <f t="shared" si="210"/>
        <v>2</v>
      </c>
      <c r="M943" s="46">
        <f t="shared" si="211"/>
        <v>0.66666666666666663</v>
      </c>
      <c r="N943" s="45">
        <f t="shared" si="212"/>
        <v>119056</v>
      </c>
      <c r="O943" s="45">
        <f t="shared" si="213"/>
        <v>39685.333333333328</v>
      </c>
      <c r="P943" s="46">
        <f t="shared" si="214"/>
        <v>2.222222222222222E-2</v>
      </c>
      <c r="Q943" s="46">
        <v>3</v>
      </c>
      <c r="R943" s="45">
        <f t="shared" si="215"/>
        <v>178584</v>
      </c>
      <c r="S943" s="46">
        <f t="shared" si="216"/>
        <v>135.00000000000003</v>
      </c>
      <c r="T943" s="46">
        <f>IFERROR(VLOOKUP(A943,'[1]Re-order'!$A:$Q,17,0),"")</f>
        <v>95.869565217391298</v>
      </c>
      <c r="U943" s="46">
        <f>IFERROR(VLOOKUP(A943,'[1]MC Masterlist 2026-09-12'!$B:$M, 10, 0),0)</f>
        <v>15</v>
      </c>
      <c r="V943" s="46">
        <f>IFERROR(VLOOKUP(A943,'[1]MC Masterlist 2026-09-12'!$B:$M, 11, 0),0)</f>
        <v>15</v>
      </c>
      <c r="W943" s="46">
        <f t="shared" si="217"/>
        <v>30</v>
      </c>
      <c r="X943" s="46">
        <f t="shared" si="218"/>
        <v>29.666666666666668</v>
      </c>
      <c r="Y943" s="46">
        <f>IFERROR(IF(OR(C943="AREA I",C943="AREA V"),7,VLOOKUP(A943,'[1]MC Masterlist 2026-09-12'!$B:$M, 12, 0)),0)</f>
        <v>30</v>
      </c>
      <c r="Z943" s="46">
        <f t="shared" si="219"/>
        <v>0.33333333333333331</v>
      </c>
      <c r="AA943" s="46">
        <f t="shared" si="220"/>
        <v>0.66666666666666663</v>
      </c>
      <c r="AB943" s="46">
        <f t="shared" si="221"/>
        <v>0.65925925925925921</v>
      </c>
      <c r="AC943" s="46">
        <f t="shared" si="222"/>
        <v>0.66666666666666663</v>
      </c>
      <c r="AD943" s="44" t="str">
        <f t="shared" si="223"/>
        <v>Over</v>
      </c>
      <c r="AE943" s="44" t="str">
        <f>IFERROR(VLOOKUP(A943,'[1]Re-order'!$A:$AA,27,0),"")</f>
        <v>Over</v>
      </c>
      <c r="AF943" s="46">
        <f t="shared" si="224"/>
        <v>-2.3333333333333335</v>
      </c>
      <c r="AG943" s="46">
        <f>SUMIFS('[1]Raw Inventory'!D:D,'[1]Raw Inventory'!C:C,"GREATWALL",'[1]Raw Inventory'!B:B,A943)</f>
        <v>79</v>
      </c>
      <c r="AH943" s="46">
        <f>SUMIFS('[1]Raw Inventory'!D:D,'[1]Raw Inventory'!C:C,"DUARTE",'[1]Raw Inventory'!B:B,A943)</f>
        <v>0</v>
      </c>
      <c r="AI943" s="46"/>
      <c r="AJ943" s="46"/>
      <c r="AK943" s="43"/>
      <c r="AL943" s="43"/>
      <c r="AM943" s="43"/>
      <c r="AN943" s="43"/>
      <c r="AO943" s="43"/>
      <c r="AP943" s="43"/>
      <c r="AQ943" s="43"/>
      <c r="AR943" s="43"/>
      <c r="AS943" s="43"/>
      <c r="AT943" s="43"/>
    </row>
    <row r="944" spans="1:46">
      <c r="A944" s="43" t="s">
        <v>41</v>
      </c>
      <c r="B944" s="43" t="s">
        <v>153</v>
      </c>
      <c r="C944" s="43" t="s">
        <v>152</v>
      </c>
      <c r="D944" s="44" t="s">
        <v>226</v>
      </c>
      <c r="E944" s="44">
        <v>20</v>
      </c>
      <c r="F944" s="44" t="s">
        <v>3</v>
      </c>
      <c r="G944" s="43" t="str">
        <f>IFERROR(VLOOKUP(A944,'[1]MC Masterlist 2026-09-12'!$B:$M, 3, 0),"")</f>
        <v>YAMAHA</v>
      </c>
      <c r="H944" s="45">
        <f>IFERROR(VLOOKUP(A944,'[1]MC Masterlist 2026-09-12'!$B:$M, 6, 0),"")</f>
        <v>92907</v>
      </c>
      <c r="I944" s="46">
        <v>0</v>
      </c>
      <c r="J944" s="46">
        <v>0</v>
      </c>
      <c r="K944" s="46">
        <v>0</v>
      </c>
      <c r="L944" s="46">
        <f t="shared" si="210"/>
        <v>0</v>
      </c>
      <c r="M944" s="46">
        <f t="shared" si="211"/>
        <v>0</v>
      </c>
      <c r="N944" s="45">
        <f t="shared" si="212"/>
        <v>0</v>
      </c>
      <c r="O944" s="45">
        <f t="shared" si="213"/>
        <v>0</v>
      </c>
      <c r="P944" s="46">
        <f t="shared" si="214"/>
        <v>0</v>
      </c>
      <c r="Q944" s="46">
        <v>1</v>
      </c>
      <c r="R944" s="45">
        <f t="shared" si="215"/>
        <v>92907</v>
      </c>
      <c r="S944" s="46">
        <f t="shared" si="216"/>
        <v>0</v>
      </c>
      <c r="T944" s="46">
        <f>IFERROR(VLOOKUP(A944,'[1]Re-order'!$A:$Q,17,0),"")</f>
        <v>240</v>
      </c>
      <c r="U944" s="46">
        <f>IFERROR(VLOOKUP(A944,'[1]MC Masterlist 2026-09-12'!$B:$M, 10, 0),0)</f>
        <v>15</v>
      </c>
      <c r="V944" s="46">
        <f>IFERROR(VLOOKUP(A944,'[1]MC Masterlist 2026-09-12'!$B:$M, 11, 0),0)</f>
        <v>15</v>
      </c>
      <c r="W944" s="46">
        <f t="shared" si="217"/>
        <v>30</v>
      </c>
      <c r="X944" s="46">
        <f t="shared" si="218"/>
        <v>30</v>
      </c>
      <c r="Y944" s="46">
        <f>IFERROR(IF(OR(C944="AREA I",C944="AREA V"),7,VLOOKUP(A944,'[1]MC Masterlist 2026-09-12'!$B:$M, 12, 0)),0)</f>
        <v>30</v>
      </c>
      <c r="Z944" s="46">
        <f t="shared" si="219"/>
        <v>0</v>
      </c>
      <c r="AA944" s="46">
        <f t="shared" si="220"/>
        <v>0</v>
      </c>
      <c r="AB944" s="46">
        <f t="shared" si="221"/>
        <v>0</v>
      </c>
      <c r="AC944" s="46">
        <f t="shared" si="222"/>
        <v>0</v>
      </c>
      <c r="AD944" s="44" t="str">
        <f t="shared" si="223"/>
        <v>Over</v>
      </c>
      <c r="AE944" s="44" t="str">
        <f>IFERROR(VLOOKUP(A944,'[1]Re-order'!$A:$AA,27,0),"")</f>
        <v>Over</v>
      </c>
      <c r="AF944" s="46">
        <f t="shared" si="224"/>
        <v>-1</v>
      </c>
      <c r="AG944" s="46">
        <f>SUMIFS('[1]Raw Inventory'!D:D,'[1]Raw Inventory'!C:C,"GREATWALL",'[1]Raw Inventory'!B:B,A944)</f>
        <v>2</v>
      </c>
      <c r="AH944" s="46">
        <f>SUMIFS('[1]Raw Inventory'!D:D,'[1]Raw Inventory'!C:C,"DUARTE",'[1]Raw Inventory'!B:B,A944)</f>
        <v>0</v>
      </c>
      <c r="AI944" s="46"/>
      <c r="AJ944" s="46"/>
      <c r="AK944" s="43"/>
      <c r="AL944" s="43"/>
      <c r="AM944" s="43"/>
      <c r="AN944" s="43"/>
      <c r="AO944" s="43"/>
      <c r="AP944" s="43"/>
      <c r="AQ944" s="43"/>
      <c r="AR944" s="43"/>
      <c r="AS944" s="43"/>
      <c r="AT944" s="43"/>
    </row>
    <row r="945" spans="1:46">
      <c r="A945" s="43" t="s">
        <v>83</v>
      </c>
      <c r="B945" s="43" t="s">
        <v>143</v>
      </c>
      <c r="C945" s="43" t="s">
        <v>137</v>
      </c>
      <c r="D945" s="44" t="s">
        <v>226</v>
      </c>
      <c r="E945" s="44">
        <v>26</v>
      </c>
      <c r="F945" s="44" t="s">
        <v>3</v>
      </c>
      <c r="G945" s="43" t="str">
        <f>IFERROR(VLOOKUP(A945,'[1]MC Masterlist 2026-09-12'!$B:$M, 3, 0),"")</f>
        <v>SKYGO</v>
      </c>
      <c r="H945" s="45">
        <f>IFERROR(VLOOKUP(A945,'[1]MC Masterlist 2026-09-12'!$B:$M, 6, 0),"")</f>
        <v>35055</v>
      </c>
      <c r="I945" s="46">
        <v>0</v>
      </c>
      <c r="J945" s="46">
        <v>0</v>
      </c>
      <c r="K945" s="46">
        <v>0</v>
      </c>
      <c r="L945" s="46">
        <f t="shared" si="210"/>
        <v>0</v>
      </c>
      <c r="M945" s="46">
        <f t="shared" si="211"/>
        <v>0</v>
      </c>
      <c r="N945" s="45">
        <f t="shared" si="212"/>
        <v>0</v>
      </c>
      <c r="O945" s="45">
        <f t="shared" si="213"/>
        <v>0</v>
      </c>
      <c r="P945" s="46">
        <f t="shared" si="214"/>
        <v>0</v>
      </c>
      <c r="Q945" s="46">
        <v>1</v>
      </c>
      <c r="R945" s="45">
        <f t="shared" si="215"/>
        <v>35055</v>
      </c>
      <c r="S945" s="46">
        <f t="shared" si="216"/>
        <v>0</v>
      </c>
      <c r="T945" s="46">
        <f>IFERROR(VLOOKUP(A945,'[1]Re-order'!$A:$Q,17,0),"")</f>
        <v>313.2</v>
      </c>
      <c r="U945" s="46">
        <f>IFERROR(VLOOKUP(A945,'[1]MC Masterlist 2026-09-12'!$B:$M, 10, 0),0)</f>
        <v>15</v>
      </c>
      <c r="V945" s="46">
        <f>IFERROR(VLOOKUP(A945,'[1]MC Masterlist 2026-09-12'!$B:$M, 11, 0),0)</f>
        <v>15</v>
      </c>
      <c r="W945" s="46">
        <f t="shared" si="217"/>
        <v>30</v>
      </c>
      <c r="X945" s="46">
        <f t="shared" si="218"/>
        <v>7</v>
      </c>
      <c r="Y945" s="46">
        <f>IFERROR(IF(OR(C945="AREA I",C945="AREA V"),7,VLOOKUP(A945,'[1]MC Masterlist 2026-09-12'!$B:$M, 12, 0)),0)</f>
        <v>7</v>
      </c>
      <c r="Z945" s="46">
        <f t="shared" si="219"/>
        <v>0</v>
      </c>
      <c r="AA945" s="46">
        <f t="shared" si="220"/>
        <v>0</v>
      </c>
      <c r="AB945" s="46">
        <f t="shared" si="221"/>
        <v>0</v>
      </c>
      <c r="AC945" s="46">
        <f t="shared" si="222"/>
        <v>0</v>
      </c>
      <c r="AD945" s="44" t="str">
        <f t="shared" si="223"/>
        <v>Over</v>
      </c>
      <c r="AE945" s="44" t="str">
        <f>IFERROR(VLOOKUP(A945,'[1]Re-order'!$A:$AA,27,0),"")</f>
        <v>Over</v>
      </c>
      <c r="AF945" s="46">
        <f t="shared" si="224"/>
        <v>-1</v>
      </c>
      <c r="AG945" s="46">
        <f>SUMIFS('[1]Raw Inventory'!D:D,'[1]Raw Inventory'!C:C,"GREATWALL",'[1]Raw Inventory'!B:B,A945)</f>
        <v>33</v>
      </c>
      <c r="AH945" s="46">
        <f>SUMIFS('[1]Raw Inventory'!D:D,'[1]Raw Inventory'!C:C,"DUARTE",'[1]Raw Inventory'!B:B,A945)</f>
        <v>0</v>
      </c>
      <c r="AI945" s="46"/>
      <c r="AJ945" s="46"/>
      <c r="AK945" s="43"/>
      <c r="AL945" s="43"/>
      <c r="AM945" s="43"/>
      <c r="AN945" s="43"/>
      <c r="AO945" s="43"/>
      <c r="AP945" s="43"/>
      <c r="AQ945" s="43"/>
      <c r="AR945" s="43"/>
      <c r="AS945" s="43"/>
      <c r="AT945" s="43"/>
    </row>
    <row r="946" spans="1:46">
      <c r="A946" s="43" t="s">
        <v>16</v>
      </c>
      <c r="B946" s="43" t="s">
        <v>120</v>
      </c>
      <c r="C946" s="43" t="s">
        <v>118</v>
      </c>
      <c r="D946" s="44" t="s">
        <v>233</v>
      </c>
      <c r="E946" s="44">
        <v>8</v>
      </c>
      <c r="F946" s="44" t="s">
        <v>2</v>
      </c>
      <c r="G946" s="43" t="str">
        <f>IFERROR(VLOOKUP(A946,'[1]MC Masterlist 2026-09-12'!$B:$M, 3, 0),"")</f>
        <v>HONDA</v>
      </c>
      <c r="H946" s="45">
        <f>IFERROR(VLOOKUP(A946,'[1]MC Masterlist 2026-09-12'!$B:$M, 6, 0),"")</f>
        <v>84394</v>
      </c>
      <c r="I946" s="46">
        <v>0</v>
      </c>
      <c r="J946" s="46">
        <v>4</v>
      </c>
      <c r="K946" s="46">
        <v>0</v>
      </c>
      <c r="L946" s="46">
        <f t="shared" si="210"/>
        <v>4</v>
      </c>
      <c r="M946" s="46">
        <f t="shared" si="211"/>
        <v>1.3333333333333333</v>
      </c>
      <c r="N946" s="45">
        <f t="shared" si="212"/>
        <v>337576</v>
      </c>
      <c r="O946" s="45">
        <f t="shared" si="213"/>
        <v>112525.33333333333</v>
      </c>
      <c r="P946" s="46">
        <f t="shared" si="214"/>
        <v>4.4444444444444439E-2</v>
      </c>
      <c r="Q946" s="46">
        <v>1</v>
      </c>
      <c r="R946" s="45">
        <f t="shared" si="215"/>
        <v>84394</v>
      </c>
      <c r="S946" s="46">
        <f t="shared" si="216"/>
        <v>22.5</v>
      </c>
      <c r="T946" s="46">
        <f>IFERROR(VLOOKUP(A946,'[1]Re-order'!$A:$Q,17,0),"")</f>
        <v>26.332665330661321</v>
      </c>
      <c r="U946" s="46">
        <f>IFERROR(VLOOKUP(A946,'[1]MC Masterlist 2026-09-12'!$B:$M, 10, 0),0)</f>
        <v>15</v>
      </c>
      <c r="V946" s="46">
        <f>IFERROR(VLOOKUP(A946,'[1]MC Masterlist 2026-09-12'!$B:$M, 11, 0),0)</f>
        <v>15</v>
      </c>
      <c r="W946" s="46">
        <f t="shared" si="217"/>
        <v>30</v>
      </c>
      <c r="X946" s="46">
        <f t="shared" si="218"/>
        <v>29.333333333333332</v>
      </c>
      <c r="Y946" s="46">
        <f>IFERROR(IF(OR(C946="AREA I",C946="AREA V"),7,VLOOKUP(A946,'[1]MC Masterlist 2026-09-12'!$B:$M, 12, 0)),0)</f>
        <v>30</v>
      </c>
      <c r="Z946" s="46">
        <f t="shared" si="219"/>
        <v>0.66666666666666663</v>
      </c>
      <c r="AA946" s="46">
        <f t="shared" si="220"/>
        <v>1.3333333333333333</v>
      </c>
      <c r="AB946" s="46">
        <f t="shared" si="221"/>
        <v>1.3037037037037036</v>
      </c>
      <c r="AC946" s="46">
        <f t="shared" si="222"/>
        <v>1.3333333333333333</v>
      </c>
      <c r="AD946" s="44" t="str">
        <f t="shared" si="223"/>
        <v>Re-order</v>
      </c>
      <c r="AE946" s="44" t="str">
        <f>IFERROR(VLOOKUP(A946,'[1]Re-order'!$A:$AA,27,0),"")</f>
        <v>Stockout</v>
      </c>
      <c r="AF946" s="46">
        <f t="shared" si="224"/>
        <v>0.33333333333333326</v>
      </c>
      <c r="AG946" s="46">
        <f>SUMIFS('[1]Raw Inventory'!D:D,'[1]Raw Inventory'!C:C,"GREATWALL",'[1]Raw Inventory'!B:B,A946)</f>
        <v>58</v>
      </c>
      <c r="AH946" s="46">
        <f>SUMIFS('[1]Raw Inventory'!D:D,'[1]Raw Inventory'!C:C,"DUARTE",'[1]Raw Inventory'!B:B,A946)</f>
        <v>0</v>
      </c>
      <c r="AI946" s="46"/>
      <c r="AJ946" s="46"/>
      <c r="AK946" s="43"/>
      <c r="AL946" s="43"/>
      <c r="AM946" s="43"/>
      <c r="AN946" s="43"/>
      <c r="AO946" s="43"/>
      <c r="AP946" s="43"/>
      <c r="AQ946" s="43"/>
      <c r="AR946" s="43"/>
      <c r="AS946" s="43"/>
      <c r="AT946" s="43"/>
    </row>
    <row r="947" spans="1:46">
      <c r="A947" s="43" t="s">
        <v>14</v>
      </c>
      <c r="B947" s="43" t="s">
        <v>97</v>
      </c>
      <c r="C947" s="43" t="s">
        <v>90</v>
      </c>
      <c r="D947" s="44" t="s">
        <v>238</v>
      </c>
      <c r="E947" s="44">
        <v>2</v>
      </c>
      <c r="F947" s="44" t="s">
        <v>0</v>
      </c>
      <c r="G947" s="43" t="str">
        <f>IFERROR(VLOOKUP(A947,'[1]MC Masterlist 2026-09-12'!$B:$M, 3, 0),"")</f>
        <v>HONDA</v>
      </c>
      <c r="H947" s="45">
        <f>IFERROR(VLOOKUP(A947,'[1]MC Masterlist 2026-09-12'!$B:$M, 6, 0),"")</f>
        <v>80070</v>
      </c>
      <c r="I947" s="46">
        <v>6</v>
      </c>
      <c r="J947" s="46">
        <v>2</v>
      </c>
      <c r="K947" s="46">
        <v>6</v>
      </c>
      <c r="L947" s="46">
        <f t="shared" si="210"/>
        <v>14</v>
      </c>
      <c r="M947" s="46">
        <f t="shared" si="211"/>
        <v>4.666666666666667</v>
      </c>
      <c r="N947" s="45">
        <f t="shared" si="212"/>
        <v>1120980</v>
      </c>
      <c r="O947" s="45">
        <f t="shared" si="213"/>
        <v>373660</v>
      </c>
      <c r="P947" s="46">
        <f t="shared" si="214"/>
        <v>0.15555555555555556</v>
      </c>
      <c r="Q947" s="46">
        <v>5</v>
      </c>
      <c r="R947" s="45">
        <f t="shared" si="215"/>
        <v>400350</v>
      </c>
      <c r="S947" s="46">
        <f t="shared" si="216"/>
        <v>32.142857142857139</v>
      </c>
      <c r="T947" s="46">
        <f>IFERROR(VLOOKUP(A947,'[1]Re-order'!$A:$Q,17,0),"")</f>
        <v>20.105787181082761</v>
      </c>
      <c r="U947" s="46">
        <f>IFERROR(VLOOKUP(A947,'[1]MC Masterlist 2026-09-12'!$B:$M, 10, 0),0)</f>
        <v>15</v>
      </c>
      <c r="V947" s="46">
        <f>IFERROR(VLOOKUP(A947,'[1]MC Masterlist 2026-09-12'!$B:$M, 11, 0),0)</f>
        <v>15</v>
      </c>
      <c r="W947" s="46">
        <f t="shared" si="217"/>
        <v>30</v>
      </c>
      <c r="X947" s="46">
        <f t="shared" si="218"/>
        <v>27.666666666666668</v>
      </c>
      <c r="Y947" s="46">
        <f>IFERROR(IF(OR(C947="AREA I",C947="AREA V"),7,VLOOKUP(A947,'[1]MC Masterlist 2026-09-12'!$B:$M, 12, 0)),0)</f>
        <v>30</v>
      </c>
      <c r="Z947" s="46">
        <f t="shared" si="219"/>
        <v>2.3333333333333335</v>
      </c>
      <c r="AA947" s="46">
        <f t="shared" si="220"/>
        <v>4.666666666666667</v>
      </c>
      <c r="AB947" s="46">
        <f t="shared" si="221"/>
        <v>4.3037037037037038</v>
      </c>
      <c r="AC947" s="46">
        <f t="shared" si="222"/>
        <v>4.666666666666667</v>
      </c>
      <c r="AD947" s="44" t="str">
        <f t="shared" si="223"/>
        <v>Over</v>
      </c>
      <c r="AE947" s="44" t="str">
        <f>IFERROR(VLOOKUP(A947,'[1]Re-order'!$A:$AA,27,0),"")</f>
        <v>Stockout</v>
      </c>
      <c r="AF947" s="46">
        <f t="shared" si="224"/>
        <v>-0.33333333333333304</v>
      </c>
      <c r="AG947" s="46">
        <f>SUMIFS('[1]Raw Inventory'!D:D,'[1]Raw Inventory'!C:C,"GREATWALL",'[1]Raw Inventory'!B:B,A947)</f>
        <v>176</v>
      </c>
      <c r="AH947" s="46">
        <f>SUMIFS('[1]Raw Inventory'!D:D,'[1]Raw Inventory'!C:C,"DUARTE",'[1]Raw Inventory'!B:B,A947)</f>
        <v>0</v>
      </c>
      <c r="AI947" s="46"/>
      <c r="AJ947" s="46"/>
      <c r="AK947" s="43"/>
      <c r="AL947" s="43"/>
      <c r="AM947" s="43"/>
      <c r="AN947" s="43"/>
      <c r="AO947" s="43"/>
      <c r="AP947" s="43"/>
      <c r="AQ947" s="43"/>
      <c r="AR947" s="43"/>
      <c r="AS947" s="43"/>
      <c r="AT947" s="43"/>
    </row>
    <row r="948" spans="1:46">
      <c r="A948" s="43" t="s">
        <v>14</v>
      </c>
      <c r="B948" s="43" t="s">
        <v>145</v>
      </c>
      <c r="C948" s="43" t="s">
        <v>137</v>
      </c>
      <c r="D948" s="44" t="s">
        <v>238</v>
      </c>
      <c r="E948" s="44">
        <v>2</v>
      </c>
      <c r="F948" s="44" t="s">
        <v>0</v>
      </c>
      <c r="G948" s="43" t="str">
        <f>IFERROR(VLOOKUP(A948,'[1]MC Masterlist 2026-09-12'!$B:$M, 3, 0),"")</f>
        <v>HONDA</v>
      </c>
      <c r="H948" s="45">
        <f>IFERROR(VLOOKUP(A948,'[1]MC Masterlist 2026-09-12'!$B:$M, 6, 0),"")</f>
        <v>80070</v>
      </c>
      <c r="I948" s="46">
        <v>4</v>
      </c>
      <c r="J948" s="46">
        <v>6</v>
      </c>
      <c r="K948" s="46">
        <v>8</v>
      </c>
      <c r="L948" s="46">
        <f t="shared" si="210"/>
        <v>18</v>
      </c>
      <c r="M948" s="46">
        <f t="shared" si="211"/>
        <v>6</v>
      </c>
      <c r="N948" s="45">
        <f t="shared" si="212"/>
        <v>1441260</v>
      </c>
      <c r="O948" s="45">
        <f t="shared" si="213"/>
        <v>480420</v>
      </c>
      <c r="P948" s="46">
        <f t="shared" si="214"/>
        <v>0.2</v>
      </c>
      <c r="Q948" s="46">
        <v>5</v>
      </c>
      <c r="R948" s="45">
        <f t="shared" si="215"/>
        <v>400350</v>
      </c>
      <c r="S948" s="46">
        <f t="shared" si="216"/>
        <v>25</v>
      </c>
      <c r="T948" s="46">
        <f>IFERROR(VLOOKUP(A948,'[1]Re-order'!$A:$Q,17,0),"")</f>
        <v>20.105787181082761</v>
      </c>
      <c r="U948" s="46">
        <f>IFERROR(VLOOKUP(A948,'[1]MC Masterlist 2026-09-12'!$B:$M, 10, 0),0)</f>
        <v>15</v>
      </c>
      <c r="V948" s="46">
        <f>IFERROR(VLOOKUP(A948,'[1]MC Masterlist 2026-09-12'!$B:$M, 11, 0),0)</f>
        <v>15</v>
      </c>
      <c r="W948" s="46">
        <f t="shared" si="217"/>
        <v>30</v>
      </c>
      <c r="X948" s="46">
        <f t="shared" si="218"/>
        <v>4</v>
      </c>
      <c r="Y948" s="46">
        <f>IFERROR(IF(OR(C948="AREA I",C948="AREA V"),7,VLOOKUP(A948,'[1]MC Masterlist 2026-09-12'!$B:$M, 12, 0)),0)</f>
        <v>7</v>
      </c>
      <c r="Z948" s="46">
        <f t="shared" si="219"/>
        <v>3</v>
      </c>
      <c r="AA948" s="46">
        <f t="shared" si="220"/>
        <v>6</v>
      </c>
      <c r="AB948" s="46">
        <f t="shared" si="221"/>
        <v>0.8</v>
      </c>
      <c r="AC948" s="46">
        <f t="shared" si="222"/>
        <v>1.4000000000000001</v>
      </c>
      <c r="AD948" s="44" t="str">
        <f t="shared" si="223"/>
        <v>Over</v>
      </c>
      <c r="AE948" s="44" t="str">
        <f>IFERROR(VLOOKUP(A948,'[1]Re-order'!$A:$AA,27,0),"")</f>
        <v>Stockout</v>
      </c>
      <c r="AF948" s="46">
        <f t="shared" si="224"/>
        <v>-3.5999999999999996</v>
      </c>
      <c r="AG948" s="46">
        <f>SUMIFS('[1]Raw Inventory'!D:D,'[1]Raw Inventory'!C:C,"GREATWALL",'[1]Raw Inventory'!B:B,A948)</f>
        <v>176</v>
      </c>
      <c r="AH948" s="46">
        <f>SUMIFS('[1]Raw Inventory'!D:D,'[1]Raw Inventory'!C:C,"DUARTE",'[1]Raw Inventory'!B:B,A948)</f>
        <v>0</v>
      </c>
      <c r="AI948" s="46"/>
      <c r="AJ948" s="46"/>
      <c r="AK948" s="43"/>
      <c r="AL948" s="43"/>
      <c r="AM948" s="43"/>
      <c r="AN948" s="43"/>
      <c r="AO948" s="43"/>
      <c r="AP948" s="43"/>
      <c r="AQ948" s="43"/>
      <c r="AR948" s="43"/>
      <c r="AS948" s="43"/>
      <c r="AT948" s="43"/>
    </row>
    <row r="949" spans="1:46">
      <c r="A949" s="43" t="s">
        <v>28</v>
      </c>
      <c r="B949" s="43" t="s">
        <v>129</v>
      </c>
      <c r="C949" s="43" t="s">
        <v>128</v>
      </c>
      <c r="D949" s="44" t="s">
        <v>238</v>
      </c>
      <c r="E949" s="44">
        <v>2</v>
      </c>
      <c r="F949" s="44" t="s">
        <v>0</v>
      </c>
      <c r="G949" s="43" t="str">
        <f>IFERROR(VLOOKUP(A949,'[1]MC Masterlist 2026-09-12'!$B:$M, 3, 0),"")</f>
        <v>YAMAHA</v>
      </c>
      <c r="H949" s="45">
        <f>IFERROR(VLOOKUP(A949,'[1]MC Masterlist 2026-09-12'!$B:$M, 6, 0),"")</f>
        <v>147312</v>
      </c>
      <c r="I949" s="46">
        <v>9</v>
      </c>
      <c r="J949" s="46">
        <v>9</v>
      </c>
      <c r="K949" s="46">
        <v>7</v>
      </c>
      <c r="L949" s="46">
        <f t="shared" si="210"/>
        <v>25</v>
      </c>
      <c r="M949" s="46">
        <f t="shared" si="211"/>
        <v>8.3333333333333339</v>
      </c>
      <c r="N949" s="45">
        <f t="shared" si="212"/>
        <v>3682800</v>
      </c>
      <c r="O949" s="45">
        <f t="shared" si="213"/>
        <v>1227600</v>
      </c>
      <c r="P949" s="46">
        <f t="shared" si="214"/>
        <v>0.27777777777777779</v>
      </c>
      <c r="Q949" s="46">
        <v>1</v>
      </c>
      <c r="R949" s="45">
        <f t="shared" si="215"/>
        <v>147312</v>
      </c>
      <c r="S949" s="46">
        <f t="shared" si="216"/>
        <v>3.5999999999999996</v>
      </c>
      <c r="T949" s="46">
        <f>IFERROR(VLOOKUP(A949,'[1]Re-order'!$A:$Q,17,0),"")</f>
        <v>8.2417582417582427</v>
      </c>
      <c r="U949" s="46">
        <f>IFERROR(VLOOKUP(A949,'[1]MC Masterlist 2026-09-12'!$B:$M, 10, 0),0)</f>
        <v>15</v>
      </c>
      <c r="V949" s="46">
        <f>IFERROR(VLOOKUP(A949,'[1]MC Masterlist 2026-09-12'!$B:$M, 11, 0),0)</f>
        <v>15</v>
      </c>
      <c r="W949" s="46">
        <f t="shared" si="217"/>
        <v>30</v>
      </c>
      <c r="X949" s="46">
        <f t="shared" si="218"/>
        <v>25.833333333333332</v>
      </c>
      <c r="Y949" s="46">
        <f>IFERROR(IF(OR(C949="AREA I",C949="AREA V"),7,VLOOKUP(A949,'[1]MC Masterlist 2026-09-12'!$B:$M, 12, 0)),0)</f>
        <v>30</v>
      </c>
      <c r="Z949" s="46">
        <f t="shared" si="219"/>
        <v>4.166666666666667</v>
      </c>
      <c r="AA949" s="46">
        <f t="shared" si="220"/>
        <v>8.3333333333333339</v>
      </c>
      <c r="AB949" s="46">
        <f t="shared" si="221"/>
        <v>7.1759259259259256</v>
      </c>
      <c r="AC949" s="46">
        <f t="shared" si="222"/>
        <v>8.3333333333333339</v>
      </c>
      <c r="AD949" s="44" t="str">
        <f t="shared" si="223"/>
        <v>Stockout</v>
      </c>
      <c r="AE949" s="44" t="str">
        <f>IFERROR(VLOOKUP(A949,'[1]Re-order'!$A:$AA,27,0),"")</f>
        <v>Stockout</v>
      </c>
      <c r="AF949" s="46">
        <f t="shared" si="224"/>
        <v>7.3333333333333339</v>
      </c>
      <c r="AG949" s="46">
        <f>SUMIFS('[1]Raw Inventory'!D:D,'[1]Raw Inventory'!C:C,"GREATWALL",'[1]Raw Inventory'!B:B,A949)</f>
        <v>0</v>
      </c>
      <c r="AH949" s="46">
        <f>SUMIFS('[1]Raw Inventory'!D:D,'[1]Raw Inventory'!C:C,"DUARTE",'[1]Raw Inventory'!B:B,A949)</f>
        <v>0</v>
      </c>
      <c r="AI949" s="46"/>
      <c r="AJ949" s="46"/>
      <c r="AK949" s="43"/>
      <c r="AL949" s="43"/>
      <c r="AM949" s="43"/>
      <c r="AN949" s="43"/>
      <c r="AO949" s="43"/>
      <c r="AP949" s="43"/>
      <c r="AQ949" s="43"/>
      <c r="AR949" s="43"/>
      <c r="AS949" s="43"/>
      <c r="AT949" s="43"/>
    </row>
    <row r="950" spans="1:46">
      <c r="A950" s="43" t="s">
        <v>58</v>
      </c>
      <c r="B950" s="43" t="s">
        <v>11</v>
      </c>
      <c r="C950" s="43" t="s">
        <v>1</v>
      </c>
      <c r="D950" s="44" t="s">
        <v>226</v>
      </c>
      <c r="E950" s="44">
        <v>23</v>
      </c>
      <c r="F950" s="44" t="s">
        <v>3</v>
      </c>
      <c r="G950" s="43" t="str">
        <f>IFERROR(VLOOKUP(A950,'[1]MC Masterlist 2026-09-12'!$B:$M, 3, 0),"")</f>
        <v>HONDA</v>
      </c>
      <c r="H950" s="45">
        <f>IFERROR(VLOOKUP(A950,'[1]MC Masterlist 2026-09-12'!$B:$M, 6, 0),"")</f>
        <v>142758</v>
      </c>
      <c r="I950" s="46">
        <v>0</v>
      </c>
      <c r="J950" s="46">
        <v>0</v>
      </c>
      <c r="K950" s="46">
        <v>0</v>
      </c>
      <c r="L950" s="46">
        <f t="shared" si="210"/>
        <v>0</v>
      </c>
      <c r="M950" s="46">
        <f t="shared" si="211"/>
        <v>0</v>
      </c>
      <c r="N950" s="45">
        <f t="shared" si="212"/>
        <v>0</v>
      </c>
      <c r="O950" s="45">
        <f t="shared" si="213"/>
        <v>0</v>
      </c>
      <c r="P950" s="46">
        <f t="shared" si="214"/>
        <v>0</v>
      </c>
      <c r="Q950" s="46">
        <v>1</v>
      </c>
      <c r="R950" s="45">
        <f t="shared" si="215"/>
        <v>142758</v>
      </c>
      <c r="S950" s="46">
        <f t="shared" si="216"/>
        <v>0</v>
      </c>
      <c r="T950" s="46">
        <f>IFERROR(VLOOKUP(A950,'[1]Re-order'!$A:$Q,17,0),"")</f>
        <v>135</v>
      </c>
      <c r="U950" s="46">
        <f>IFERROR(VLOOKUP(A950,'[1]MC Masterlist 2026-09-12'!$B:$M, 10, 0),0)</f>
        <v>15</v>
      </c>
      <c r="V950" s="46">
        <f>IFERROR(VLOOKUP(A950,'[1]MC Masterlist 2026-09-12'!$B:$M, 11, 0),0)</f>
        <v>15</v>
      </c>
      <c r="W950" s="46">
        <f t="shared" si="217"/>
        <v>30</v>
      </c>
      <c r="X950" s="46">
        <f t="shared" si="218"/>
        <v>7</v>
      </c>
      <c r="Y950" s="46">
        <f>IFERROR(IF(OR(C950="AREA I",C950="AREA V"),7,VLOOKUP(A950,'[1]MC Masterlist 2026-09-12'!$B:$M, 12, 0)),0)</f>
        <v>7</v>
      </c>
      <c r="Z950" s="46">
        <f t="shared" si="219"/>
        <v>0</v>
      </c>
      <c r="AA950" s="46">
        <f t="shared" si="220"/>
        <v>0</v>
      </c>
      <c r="AB950" s="46">
        <f t="shared" si="221"/>
        <v>0</v>
      </c>
      <c r="AC950" s="46">
        <f t="shared" si="222"/>
        <v>0</v>
      </c>
      <c r="AD950" s="44" t="str">
        <f t="shared" si="223"/>
        <v>Over</v>
      </c>
      <c r="AE950" s="44" t="str">
        <f>IFERROR(VLOOKUP(A950,'[1]Re-order'!$A:$AA,27,0),"")</f>
        <v>Over</v>
      </c>
      <c r="AF950" s="46">
        <f t="shared" si="224"/>
        <v>-1</v>
      </c>
      <c r="AG950" s="46">
        <f>SUMIFS('[1]Raw Inventory'!D:D,'[1]Raw Inventory'!C:C,"GREATWALL",'[1]Raw Inventory'!B:B,A950)</f>
        <v>0</v>
      </c>
      <c r="AH950" s="46">
        <f>SUMIFS('[1]Raw Inventory'!D:D,'[1]Raw Inventory'!C:C,"DUARTE",'[1]Raw Inventory'!B:B,A950)</f>
        <v>0</v>
      </c>
      <c r="AI950" s="46"/>
      <c r="AJ950" s="46"/>
      <c r="AK950" s="43"/>
      <c r="AL950" s="43"/>
      <c r="AM950" s="43"/>
      <c r="AN950" s="43"/>
      <c r="AO950" s="43"/>
      <c r="AP950" s="43"/>
      <c r="AQ950" s="43"/>
      <c r="AR950" s="43"/>
      <c r="AS950" s="43"/>
      <c r="AT950" s="43"/>
    </row>
    <row r="951" spans="1:46">
      <c r="A951" s="43" t="s">
        <v>24</v>
      </c>
      <c r="B951" s="43" t="s">
        <v>120</v>
      </c>
      <c r="C951" s="43" t="s">
        <v>118</v>
      </c>
      <c r="D951" s="44" t="s">
        <v>231</v>
      </c>
      <c r="E951" s="44">
        <v>23</v>
      </c>
      <c r="F951" s="44" t="s">
        <v>3</v>
      </c>
      <c r="G951" s="43" t="str">
        <f>IFERROR(VLOOKUP(A951,'[1]MC Masterlist 2026-09-12'!$B:$M, 3, 0),"")</f>
        <v>KAWASAKI</v>
      </c>
      <c r="H951" s="45">
        <f>IFERROR(VLOOKUP(A951,'[1]MC Masterlist 2026-09-12'!$B:$M, 6, 0),"")</f>
        <v>131626</v>
      </c>
      <c r="I951" s="46">
        <v>0</v>
      </c>
      <c r="J951" s="46">
        <v>0</v>
      </c>
      <c r="K951" s="46">
        <v>0</v>
      </c>
      <c r="L951" s="46">
        <f t="shared" si="210"/>
        <v>0</v>
      </c>
      <c r="M951" s="46">
        <f t="shared" si="211"/>
        <v>0</v>
      </c>
      <c r="N951" s="45">
        <f t="shared" si="212"/>
        <v>0</v>
      </c>
      <c r="O951" s="45">
        <f t="shared" si="213"/>
        <v>0</v>
      </c>
      <c r="P951" s="46">
        <f t="shared" si="214"/>
        <v>0</v>
      </c>
      <c r="Q951" s="46">
        <v>1</v>
      </c>
      <c r="R951" s="45">
        <f t="shared" si="215"/>
        <v>131626</v>
      </c>
      <c r="S951" s="46">
        <f t="shared" si="216"/>
        <v>0</v>
      </c>
      <c r="T951" s="46">
        <f>IFERROR(VLOOKUP(A951,'[1]Re-order'!$A:$Q,17,0),"")</f>
        <v>40.677966101694913</v>
      </c>
      <c r="U951" s="46">
        <f>IFERROR(VLOOKUP(A951,'[1]MC Masterlist 2026-09-12'!$B:$M, 10, 0),0)</f>
        <v>15</v>
      </c>
      <c r="V951" s="46">
        <f>IFERROR(VLOOKUP(A951,'[1]MC Masterlist 2026-09-12'!$B:$M, 11, 0),0)</f>
        <v>15</v>
      </c>
      <c r="W951" s="46">
        <f t="shared" si="217"/>
        <v>30</v>
      </c>
      <c r="X951" s="46">
        <f t="shared" si="218"/>
        <v>30</v>
      </c>
      <c r="Y951" s="46">
        <f>IFERROR(IF(OR(C951="AREA I",C951="AREA V"),7,VLOOKUP(A951,'[1]MC Masterlist 2026-09-12'!$B:$M, 12, 0)),0)</f>
        <v>30</v>
      </c>
      <c r="Z951" s="46">
        <f t="shared" si="219"/>
        <v>0</v>
      </c>
      <c r="AA951" s="46">
        <f t="shared" si="220"/>
        <v>0</v>
      </c>
      <c r="AB951" s="46">
        <f t="shared" si="221"/>
        <v>0</v>
      </c>
      <c r="AC951" s="46">
        <f t="shared" si="222"/>
        <v>0</v>
      </c>
      <c r="AD951" s="44" t="str">
        <f t="shared" si="223"/>
        <v>Over</v>
      </c>
      <c r="AE951" s="44" t="str">
        <f>IFERROR(VLOOKUP(A951,'[1]Re-order'!$A:$AA,27,0),"")</f>
        <v>Re-order</v>
      </c>
      <c r="AF951" s="46">
        <f t="shared" si="224"/>
        <v>-1</v>
      </c>
      <c r="AG951" s="46">
        <f>SUMIFS('[1]Raw Inventory'!D:D,'[1]Raw Inventory'!C:C,"GREATWALL",'[1]Raw Inventory'!B:B,A951)</f>
        <v>12</v>
      </c>
      <c r="AH951" s="46">
        <f>SUMIFS('[1]Raw Inventory'!D:D,'[1]Raw Inventory'!C:C,"DUARTE",'[1]Raw Inventory'!B:B,A951)</f>
        <v>0</v>
      </c>
      <c r="AI951" s="46"/>
      <c r="AJ951" s="46"/>
      <c r="AK951" s="43"/>
      <c r="AL951" s="43"/>
      <c r="AM951" s="43"/>
      <c r="AN951" s="43"/>
      <c r="AO951" s="43"/>
      <c r="AP951" s="43"/>
      <c r="AQ951" s="43"/>
      <c r="AR951" s="43"/>
      <c r="AS951" s="43"/>
      <c r="AT951" s="43"/>
    </row>
    <row r="952" spans="1:46">
      <c r="A952" s="43" t="s">
        <v>39</v>
      </c>
      <c r="B952" s="43" t="s">
        <v>162</v>
      </c>
      <c r="C952" s="43" t="s">
        <v>159</v>
      </c>
      <c r="D952" s="44" t="s">
        <v>257</v>
      </c>
      <c r="E952" s="44">
        <v>21</v>
      </c>
      <c r="F952" s="44" t="s">
        <v>3</v>
      </c>
      <c r="G952" s="43" t="str">
        <f>IFERROR(VLOOKUP(A952,'[1]MC Masterlist 2026-09-12'!$B:$M, 3, 0),"")</f>
        <v>HONDA</v>
      </c>
      <c r="H952" s="45">
        <f>IFERROR(VLOOKUP(A952,'[1]MC Masterlist 2026-09-12'!$B:$M, 6, 0),"")</f>
        <v>72434</v>
      </c>
      <c r="I952" s="46">
        <v>0</v>
      </c>
      <c r="J952" s="46">
        <v>1</v>
      </c>
      <c r="K952" s="46">
        <v>0</v>
      </c>
      <c r="L952" s="46">
        <f t="shared" si="210"/>
        <v>1</v>
      </c>
      <c r="M952" s="46">
        <f t="shared" si="211"/>
        <v>0.33333333333333331</v>
      </c>
      <c r="N952" s="45">
        <f t="shared" si="212"/>
        <v>72434</v>
      </c>
      <c r="O952" s="45">
        <f t="shared" si="213"/>
        <v>24144.666666666664</v>
      </c>
      <c r="P952" s="46">
        <f t="shared" si="214"/>
        <v>1.111111111111111E-2</v>
      </c>
      <c r="Q952" s="46">
        <v>2</v>
      </c>
      <c r="R952" s="45">
        <f t="shared" si="215"/>
        <v>144868</v>
      </c>
      <c r="S952" s="46">
        <f t="shared" si="216"/>
        <v>180.00000000000003</v>
      </c>
      <c r="T952" s="46">
        <f>IFERROR(VLOOKUP(A952,'[1]Re-order'!$A:$Q,17,0),"")</f>
        <v>40.982142857142854</v>
      </c>
      <c r="U952" s="46">
        <f>IFERROR(VLOOKUP(A952,'[1]MC Masterlist 2026-09-12'!$B:$M, 10, 0),0)</f>
        <v>15</v>
      </c>
      <c r="V952" s="46">
        <f>IFERROR(VLOOKUP(A952,'[1]MC Masterlist 2026-09-12'!$B:$M, 11, 0),0)</f>
        <v>15</v>
      </c>
      <c r="W952" s="46">
        <f t="shared" si="217"/>
        <v>30</v>
      </c>
      <c r="X952" s="46">
        <f t="shared" si="218"/>
        <v>29.833333333333332</v>
      </c>
      <c r="Y952" s="46">
        <f>IFERROR(IF(OR(C952="AREA I",C952="AREA V"),7,VLOOKUP(A952,'[1]MC Masterlist 2026-09-12'!$B:$M, 12, 0)),0)</f>
        <v>30</v>
      </c>
      <c r="Z952" s="46">
        <f t="shared" si="219"/>
        <v>0.16666666666666666</v>
      </c>
      <c r="AA952" s="46">
        <f t="shared" si="220"/>
        <v>0.33333333333333331</v>
      </c>
      <c r="AB952" s="46">
        <f t="shared" si="221"/>
        <v>0.33148148148148143</v>
      </c>
      <c r="AC952" s="46">
        <f t="shared" si="222"/>
        <v>0.33333333333333331</v>
      </c>
      <c r="AD952" s="44" t="str">
        <f t="shared" si="223"/>
        <v>Over</v>
      </c>
      <c r="AE952" s="44" t="str">
        <f>IFERROR(VLOOKUP(A952,'[1]Re-order'!$A:$AA,27,0),"")</f>
        <v>Re-order</v>
      </c>
      <c r="AF952" s="46">
        <f t="shared" si="224"/>
        <v>-1.6666666666666667</v>
      </c>
      <c r="AG952" s="46">
        <f>SUMIFS('[1]Raw Inventory'!D:D,'[1]Raw Inventory'!C:C,"GREATWALL",'[1]Raw Inventory'!B:B,A952)</f>
        <v>16</v>
      </c>
      <c r="AH952" s="46">
        <f>SUMIFS('[1]Raw Inventory'!D:D,'[1]Raw Inventory'!C:C,"DUARTE",'[1]Raw Inventory'!B:B,A952)</f>
        <v>0</v>
      </c>
      <c r="AI952" s="46"/>
      <c r="AJ952" s="46"/>
      <c r="AK952" s="43"/>
      <c r="AL952" s="43"/>
      <c r="AM952" s="43"/>
      <c r="AN952" s="43"/>
      <c r="AO952" s="43"/>
      <c r="AP952" s="43"/>
      <c r="AQ952" s="43"/>
      <c r="AR952" s="43"/>
      <c r="AS952" s="43"/>
      <c r="AT952" s="43"/>
    </row>
    <row r="953" spans="1:46">
      <c r="A953" s="43" t="s">
        <v>31</v>
      </c>
      <c r="B953" s="43" t="s">
        <v>119</v>
      </c>
      <c r="C953" s="43" t="s">
        <v>118</v>
      </c>
      <c r="D953" s="44" t="s">
        <v>253</v>
      </c>
      <c r="E953" s="44">
        <v>33</v>
      </c>
      <c r="F953" s="44" t="s">
        <v>3</v>
      </c>
      <c r="G953" s="43" t="str">
        <f>IFERROR(VLOOKUP(A953,'[1]MC Masterlist 2026-09-12'!$B:$M, 3, 0),"")</f>
        <v>KAWASAKI</v>
      </c>
      <c r="H953" s="45">
        <f>IFERROR(VLOOKUP(A953,'[1]MC Masterlist 2026-09-12'!$B:$M, 6, 0),"")</f>
        <v>59528</v>
      </c>
      <c r="I953" s="46">
        <v>0</v>
      </c>
      <c r="J953" s="46">
        <v>1</v>
      </c>
      <c r="K953" s="46">
        <v>0</v>
      </c>
      <c r="L953" s="46">
        <f t="shared" si="210"/>
        <v>1</v>
      </c>
      <c r="M953" s="46">
        <f t="shared" si="211"/>
        <v>0.33333333333333331</v>
      </c>
      <c r="N953" s="45">
        <f t="shared" si="212"/>
        <v>59528</v>
      </c>
      <c r="O953" s="45">
        <f t="shared" si="213"/>
        <v>19842.666666666664</v>
      </c>
      <c r="P953" s="46">
        <f t="shared" si="214"/>
        <v>1.111111111111111E-2</v>
      </c>
      <c r="Q953" s="46"/>
      <c r="R953" s="45">
        <f t="shared" si="215"/>
        <v>0</v>
      </c>
      <c r="S953" s="46">
        <f t="shared" si="216"/>
        <v>0</v>
      </c>
      <c r="T953" s="46">
        <f>IFERROR(VLOOKUP(A953,'[1]Re-order'!$A:$Q,17,0),"")</f>
        <v>95.869565217391298</v>
      </c>
      <c r="U953" s="46">
        <f>IFERROR(VLOOKUP(A953,'[1]MC Masterlist 2026-09-12'!$B:$M, 10, 0),0)</f>
        <v>15</v>
      </c>
      <c r="V953" s="46">
        <f>IFERROR(VLOOKUP(A953,'[1]MC Masterlist 2026-09-12'!$B:$M, 11, 0),0)</f>
        <v>15</v>
      </c>
      <c r="W953" s="46">
        <f t="shared" si="217"/>
        <v>30</v>
      </c>
      <c r="X953" s="46">
        <f t="shared" si="218"/>
        <v>29.833333333333332</v>
      </c>
      <c r="Y953" s="46">
        <f>IFERROR(IF(OR(C953="AREA I",C953="AREA V"),7,VLOOKUP(A953,'[1]MC Masterlist 2026-09-12'!$B:$M, 12, 0)),0)</f>
        <v>30</v>
      </c>
      <c r="Z953" s="46">
        <f t="shared" si="219"/>
        <v>0.16666666666666666</v>
      </c>
      <c r="AA953" s="46">
        <f t="shared" si="220"/>
        <v>0.33333333333333331</v>
      </c>
      <c r="AB953" s="46">
        <f t="shared" si="221"/>
        <v>0.33148148148148143</v>
      </c>
      <c r="AC953" s="46">
        <f t="shared" si="222"/>
        <v>0.33333333333333331</v>
      </c>
      <c r="AD953" s="44" t="str">
        <f t="shared" si="223"/>
        <v>Stockout</v>
      </c>
      <c r="AE953" s="44" t="str">
        <f>IFERROR(VLOOKUP(A953,'[1]Re-order'!$A:$AA,27,0),"")</f>
        <v>Over</v>
      </c>
      <c r="AF953" s="46">
        <f t="shared" si="224"/>
        <v>0.33333333333333331</v>
      </c>
      <c r="AG953" s="46">
        <f>SUMIFS('[1]Raw Inventory'!D:D,'[1]Raw Inventory'!C:C,"GREATWALL",'[1]Raw Inventory'!B:B,A953)</f>
        <v>79</v>
      </c>
      <c r="AH953" s="46">
        <f>SUMIFS('[1]Raw Inventory'!D:D,'[1]Raw Inventory'!C:C,"DUARTE",'[1]Raw Inventory'!B:B,A953)</f>
        <v>0</v>
      </c>
      <c r="AI953" s="46"/>
      <c r="AJ953" s="46"/>
      <c r="AK953" s="43"/>
      <c r="AL953" s="43"/>
      <c r="AM953" s="43"/>
      <c r="AN953" s="43"/>
      <c r="AO953" s="43"/>
      <c r="AP953" s="43"/>
      <c r="AQ953" s="43"/>
      <c r="AR953" s="43"/>
      <c r="AS953" s="43"/>
      <c r="AT953" s="43"/>
    </row>
    <row r="954" spans="1:46">
      <c r="A954" s="43" t="s">
        <v>16</v>
      </c>
      <c r="B954" s="43" t="s">
        <v>119</v>
      </c>
      <c r="C954" s="43" t="s">
        <v>118</v>
      </c>
      <c r="D954" s="44" t="s">
        <v>225</v>
      </c>
      <c r="E954" s="44">
        <v>3</v>
      </c>
      <c r="F954" s="44" t="s">
        <v>0</v>
      </c>
      <c r="G954" s="43" t="str">
        <f>IFERROR(VLOOKUP(A954,'[1]MC Masterlist 2026-09-12'!$B:$M, 3, 0),"")</f>
        <v>HONDA</v>
      </c>
      <c r="H954" s="45">
        <f>IFERROR(VLOOKUP(A954,'[1]MC Masterlist 2026-09-12'!$B:$M, 6, 0),"")</f>
        <v>84394</v>
      </c>
      <c r="I954" s="46">
        <v>0</v>
      </c>
      <c r="J954" s="46">
        <v>11</v>
      </c>
      <c r="K954" s="46">
        <v>2</v>
      </c>
      <c r="L954" s="46">
        <f t="shared" si="210"/>
        <v>13</v>
      </c>
      <c r="M954" s="46">
        <f t="shared" si="211"/>
        <v>4.333333333333333</v>
      </c>
      <c r="N954" s="45">
        <f t="shared" si="212"/>
        <v>1097122</v>
      </c>
      <c r="O954" s="45">
        <f t="shared" si="213"/>
        <v>365707.33333333331</v>
      </c>
      <c r="P954" s="46">
        <f t="shared" si="214"/>
        <v>0.14444444444444443</v>
      </c>
      <c r="Q954" s="46">
        <v>1</v>
      </c>
      <c r="R954" s="45">
        <f t="shared" si="215"/>
        <v>84394</v>
      </c>
      <c r="S954" s="46">
        <f t="shared" si="216"/>
        <v>6.9230769230769234</v>
      </c>
      <c r="T954" s="46">
        <f>IFERROR(VLOOKUP(A954,'[1]Re-order'!$A:$Q,17,0),"")</f>
        <v>26.332665330661321</v>
      </c>
      <c r="U954" s="46">
        <f>IFERROR(VLOOKUP(A954,'[1]MC Masterlist 2026-09-12'!$B:$M, 10, 0),0)</f>
        <v>15</v>
      </c>
      <c r="V954" s="46">
        <f>IFERROR(VLOOKUP(A954,'[1]MC Masterlist 2026-09-12'!$B:$M, 11, 0),0)</f>
        <v>15</v>
      </c>
      <c r="W954" s="46">
        <f t="shared" si="217"/>
        <v>30</v>
      </c>
      <c r="X954" s="46">
        <f t="shared" si="218"/>
        <v>27.833333333333332</v>
      </c>
      <c r="Y954" s="46">
        <f>IFERROR(IF(OR(C954="AREA I",C954="AREA V"),7,VLOOKUP(A954,'[1]MC Masterlist 2026-09-12'!$B:$M, 12, 0)),0)</f>
        <v>30</v>
      </c>
      <c r="Z954" s="46">
        <f t="shared" si="219"/>
        <v>2.1666666666666665</v>
      </c>
      <c r="AA954" s="46">
        <f t="shared" si="220"/>
        <v>4.333333333333333</v>
      </c>
      <c r="AB954" s="46">
        <f t="shared" si="221"/>
        <v>4.0203703703703697</v>
      </c>
      <c r="AC954" s="46">
        <f t="shared" si="222"/>
        <v>4.333333333333333</v>
      </c>
      <c r="AD954" s="44" t="str">
        <f t="shared" si="223"/>
        <v>Stockout</v>
      </c>
      <c r="AE954" s="44" t="str">
        <f>IFERROR(VLOOKUP(A954,'[1]Re-order'!$A:$AA,27,0),"")</f>
        <v>Stockout</v>
      </c>
      <c r="AF954" s="46">
        <f t="shared" si="224"/>
        <v>3.333333333333333</v>
      </c>
      <c r="AG954" s="46">
        <f>SUMIFS('[1]Raw Inventory'!D:D,'[1]Raw Inventory'!C:C,"GREATWALL",'[1]Raw Inventory'!B:B,A954)</f>
        <v>58</v>
      </c>
      <c r="AH954" s="46">
        <f>SUMIFS('[1]Raw Inventory'!D:D,'[1]Raw Inventory'!C:C,"DUARTE",'[1]Raw Inventory'!B:B,A954)</f>
        <v>0</v>
      </c>
      <c r="AI954" s="46"/>
      <c r="AJ954" s="46"/>
      <c r="AK954" s="43"/>
      <c r="AL954" s="43"/>
      <c r="AM954" s="43"/>
      <c r="AN954" s="43"/>
      <c r="AO954" s="43"/>
      <c r="AP954" s="43"/>
      <c r="AQ954" s="43"/>
      <c r="AR954" s="43"/>
      <c r="AS954" s="43"/>
      <c r="AT954" s="43"/>
    </row>
    <row r="955" spans="1:46">
      <c r="A955" s="43" t="s">
        <v>25</v>
      </c>
      <c r="B955" s="43" t="s">
        <v>98</v>
      </c>
      <c r="C955" s="43" t="s">
        <v>90</v>
      </c>
      <c r="D955" s="44" t="s">
        <v>268</v>
      </c>
      <c r="E955" s="44">
        <v>17</v>
      </c>
      <c r="F955" s="44" t="s">
        <v>3</v>
      </c>
      <c r="G955" s="43" t="str">
        <f>IFERROR(VLOOKUP(A955,'[1]MC Masterlist 2026-09-12'!$B:$M, 3, 0),"")</f>
        <v>YAMAHA</v>
      </c>
      <c r="H955" s="45">
        <f>IFERROR(VLOOKUP(A955,'[1]MC Masterlist 2026-09-12'!$B:$M, 6, 0),"")</f>
        <v>124527</v>
      </c>
      <c r="I955" s="46">
        <v>0</v>
      </c>
      <c r="J955" s="46">
        <v>0</v>
      </c>
      <c r="K955" s="46">
        <v>1</v>
      </c>
      <c r="L955" s="46">
        <f t="shared" si="210"/>
        <v>1</v>
      </c>
      <c r="M955" s="46">
        <f t="shared" si="211"/>
        <v>0.33333333333333331</v>
      </c>
      <c r="N955" s="45">
        <f t="shared" si="212"/>
        <v>124527</v>
      </c>
      <c r="O955" s="45">
        <f t="shared" si="213"/>
        <v>41509</v>
      </c>
      <c r="P955" s="46">
        <f t="shared" si="214"/>
        <v>1.111111111111111E-2</v>
      </c>
      <c r="Q955" s="46"/>
      <c r="R955" s="45">
        <f t="shared" si="215"/>
        <v>0</v>
      </c>
      <c r="S955" s="46">
        <f t="shared" si="216"/>
        <v>0</v>
      </c>
      <c r="T955" s="46">
        <f>IFERROR(VLOOKUP(A955,'[1]Re-order'!$A:$Q,17,0),"")</f>
        <v>5.1030927835051543</v>
      </c>
      <c r="U955" s="46">
        <f>IFERROR(VLOOKUP(A955,'[1]MC Masterlist 2026-09-12'!$B:$M, 10, 0),0)</f>
        <v>15</v>
      </c>
      <c r="V955" s="46">
        <f>IFERROR(VLOOKUP(A955,'[1]MC Masterlist 2026-09-12'!$B:$M, 11, 0),0)</f>
        <v>15</v>
      </c>
      <c r="W955" s="46">
        <f t="shared" si="217"/>
        <v>30</v>
      </c>
      <c r="X955" s="46">
        <f t="shared" si="218"/>
        <v>29.833333333333332</v>
      </c>
      <c r="Y955" s="46">
        <f>IFERROR(IF(OR(C955="AREA I",C955="AREA V"),7,VLOOKUP(A955,'[1]MC Masterlist 2026-09-12'!$B:$M, 12, 0)),0)</f>
        <v>30</v>
      </c>
      <c r="Z955" s="46">
        <f t="shared" si="219"/>
        <v>0.16666666666666666</v>
      </c>
      <c r="AA955" s="46">
        <f t="shared" si="220"/>
        <v>0.33333333333333331</v>
      </c>
      <c r="AB955" s="46">
        <f t="shared" si="221"/>
        <v>0.33148148148148143</v>
      </c>
      <c r="AC955" s="46">
        <f t="shared" si="222"/>
        <v>0.33333333333333331</v>
      </c>
      <c r="AD955" s="44" t="str">
        <f t="shared" si="223"/>
        <v>Stockout</v>
      </c>
      <c r="AE955" s="44" t="str">
        <f>IFERROR(VLOOKUP(A955,'[1]Re-order'!$A:$AA,27,0),"")</f>
        <v>Stockout</v>
      </c>
      <c r="AF955" s="46">
        <f t="shared" si="224"/>
        <v>0.33333333333333331</v>
      </c>
      <c r="AG955" s="46">
        <f>SUMIFS('[1]Raw Inventory'!D:D,'[1]Raw Inventory'!C:C,"GREATWALL",'[1]Raw Inventory'!B:B,A955)</f>
        <v>1</v>
      </c>
      <c r="AH955" s="46">
        <f>SUMIFS('[1]Raw Inventory'!D:D,'[1]Raw Inventory'!C:C,"DUARTE",'[1]Raw Inventory'!B:B,A955)</f>
        <v>0</v>
      </c>
      <c r="AI955" s="46"/>
      <c r="AJ955" s="46"/>
      <c r="AK955" s="43"/>
      <c r="AL955" s="43"/>
      <c r="AM955" s="43"/>
      <c r="AN955" s="43"/>
      <c r="AO955" s="43"/>
      <c r="AP955" s="43"/>
      <c r="AQ955" s="43"/>
      <c r="AR955" s="43"/>
      <c r="AS955" s="43"/>
      <c r="AT955" s="43"/>
    </row>
    <row r="956" spans="1:46">
      <c r="A956" s="43" t="s">
        <v>25</v>
      </c>
      <c r="B956" s="43" t="s">
        <v>160</v>
      </c>
      <c r="C956" s="43" t="s">
        <v>159</v>
      </c>
      <c r="D956" s="44" t="s">
        <v>238</v>
      </c>
      <c r="E956" s="44">
        <v>2</v>
      </c>
      <c r="F956" s="44" t="s">
        <v>0</v>
      </c>
      <c r="G956" s="43" t="str">
        <f>IFERROR(VLOOKUP(A956,'[1]MC Masterlist 2026-09-12'!$B:$M, 3, 0),"")</f>
        <v>YAMAHA</v>
      </c>
      <c r="H956" s="45">
        <f>IFERROR(VLOOKUP(A956,'[1]MC Masterlist 2026-09-12'!$B:$M, 6, 0),"")</f>
        <v>124527</v>
      </c>
      <c r="I956" s="46">
        <v>8</v>
      </c>
      <c r="J956" s="46">
        <v>7</v>
      </c>
      <c r="K956" s="46">
        <v>0</v>
      </c>
      <c r="L956" s="46">
        <f t="shared" si="210"/>
        <v>15</v>
      </c>
      <c r="M956" s="46">
        <f t="shared" si="211"/>
        <v>5</v>
      </c>
      <c r="N956" s="45">
        <f t="shared" si="212"/>
        <v>1867905</v>
      </c>
      <c r="O956" s="45">
        <f t="shared" si="213"/>
        <v>622635</v>
      </c>
      <c r="P956" s="46">
        <f t="shared" si="214"/>
        <v>0.16666666666666666</v>
      </c>
      <c r="Q956" s="46"/>
      <c r="R956" s="45">
        <f t="shared" si="215"/>
        <v>0</v>
      </c>
      <c r="S956" s="46">
        <f t="shared" si="216"/>
        <v>0</v>
      </c>
      <c r="T956" s="46">
        <f>IFERROR(VLOOKUP(A956,'[1]Re-order'!$A:$Q,17,0),"")</f>
        <v>5.1030927835051543</v>
      </c>
      <c r="U956" s="46">
        <f>IFERROR(VLOOKUP(A956,'[1]MC Masterlist 2026-09-12'!$B:$M, 10, 0),0)</f>
        <v>15</v>
      </c>
      <c r="V956" s="46">
        <f>IFERROR(VLOOKUP(A956,'[1]MC Masterlist 2026-09-12'!$B:$M, 11, 0),0)</f>
        <v>15</v>
      </c>
      <c r="W956" s="46">
        <f t="shared" si="217"/>
        <v>30</v>
      </c>
      <c r="X956" s="46">
        <f t="shared" si="218"/>
        <v>27.5</v>
      </c>
      <c r="Y956" s="46">
        <f>IFERROR(IF(OR(C956="AREA I",C956="AREA V"),7,VLOOKUP(A956,'[1]MC Masterlist 2026-09-12'!$B:$M, 12, 0)),0)</f>
        <v>30</v>
      </c>
      <c r="Z956" s="46">
        <f t="shared" si="219"/>
        <v>2.5</v>
      </c>
      <c r="AA956" s="46">
        <f t="shared" si="220"/>
        <v>5</v>
      </c>
      <c r="AB956" s="46">
        <f t="shared" si="221"/>
        <v>4.583333333333333</v>
      </c>
      <c r="AC956" s="46">
        <f t="shared" si="222"/>
        <v>5</v>
      </c>
      <c r="AD956" s="44" t="str">
        <f t="shared" si="223"/>
        <v>Stockout</v>
      </c>
      <c r="AE956" s="44" t="str">
        <f>IFERROR(VLOOKUP(A956,'[1]Re-order'!$A:$AA,27,0),"")</f>
        <v>Stockout</v>
      </c>
      <c r="AF956" s="46">
        <f t="shared" si="224"/>
        <v>5</v>
      </c>
      <c r="AG956" s="46">
        <f>SUMIFS('[1]Raw Inventory'!D:D,'[1]Raw Inventory'!C:C,"GREATWALL",'[1]Raw Inventory'!B:B,A956)</f>
        <v>1</v>
      </c>
      <c r="AH956" s="46">
        <f>SUMIFS('[1]Raw Inventory'!D:D,'[1]Raw Inventory'!C:C,"DUARTE",'[1]Raw Inventory'!B:B,A956)</f>
        <v>0</v>
      </c>
      <c r="AI956" s="46"/>
      <c r="AJ956" s="46"/>
      <c r="AK956" s="43"/>
      <c r="AL956" s="43"/>
      <c r="AM956" s="43"/>
      <c r="AN956" s="43"/>
      <c r="AO956" s="43"/>
      <c r="AP956" s="43"/>
      <c r="AQ956" s="43"/>
      <c r="AR956" s="43"/>
      <c r="AS956" s="43"/>
      <c r="AT956" s="43"/>
    </row>
    <row r="957" spans="1:46">
      <c r="A957" s="43" t="s">
        <v>44</v>
      </c>
      <c r="B957" s="43" t="s">
        <v>21</v>
      </c>
      <c r="C957" s="43" t="s">
        <v>1</v>
      </c>
      <c r="D957" s="44" t="s">
        <v>233</v>
      </c>
      <c r="E957" s="44">
        <v>11</v>
      </c>
      <c r="F957" s="44" t="s">
        <v>2</v>
      </c>
      <c r="G957" s="43" t="str">
        <f>IFERROR(VLOOKUP(A957,'[1]MC Masterlist 2026-09-12'!$B:$M, 3, 0),"")</f>
        <v>YAMAHA</v>
      </c>
      <c r="H957" s="45">
        <f>IFERROR(VLOOKUP(A957,'[1]MC Masterlist 2026-09-12'!$B:$M, 6, 0),"")</f>
        <v>165912</v>
      </c>
      <c r="I957" s="46">
        <v>2</v>
      </c>
      <c r="J957" s="46">
        <v>1</v>
      </c>
      <c r="K957" s="46">
        <v>0</v>
      </c>
      <c r="L957" s="46">
        <f t="shared" si="210"/>
        <v>3</v>
      </c>
      <c r="M957" s="46">
        <f t="shared" si="211"/>
        <v>1</v>
      </c>
      <c r="N957" s="45">
        <f t="shared" si="212"/>
        <v>497736</v>
      </c>
      <c r="O957" s="45">
        <f t="shared" si="213"/>
        <v>165912</v>
      </c>
      <c r="P957" s="46">
        <f t="shared" si="214"/>
        <v>3.3333333333333333E-2</v>
      </c>
      <c r="Q957" s="46"/>
      <c r="R957" s="45">
        <f t="shared" si="215"/>
        <v>0</v>
      </c>
      <c r="S957" s="46">
        <f t="shared" si="216"/>
        <v>0</v>
      </c>
      <c r="T957" s="46">
        <f>IFERROR(VLOOKUP(A957,'[1]Re-order'!$A:$Q,17,0),"")</f>
        <v>10.588235294117649</v>
      </c>
      <c r="U957" s="46">
        <f>IFERROR(VLOOKUP(A957,'[1]MC Masterlist 2026-09-12'!$B:$M, 10, 0),0)</f>
        <v>15</v>
      </c>
      <c r="V957" s="46">
        <f>IFERROR(VLOOKUP(A957,'[1]MC Masterlist 2026-09-12'!$B:$M, 11, 0),0)</f>
        <v>15</v>
      </c>
      <c r="W957" s="46">
        <f t="shared" si="217"/>
        <v>30</v>
      </c>
      <c r="X957" s="46">
        <f t="shared" si="218"/>
        <v>6.5</v>
      </c>
      <c r="Y957" s="46">
        <f>IFERROR(IF(OR(C957="AREA I",C957="AREA V"),7,VLOOKUP(A957,'[1]MC Masterlist 2026-09-12'!$B:$M, 12, 0)),0)</f>
        <v>7</v>
      </c>
      <c r="Z957" s="46">
        <f t="shared" si="219"/>
        <v>0.5</v>
      </c>
      <c r="AA957" s="46">
        <f t="shared" si="220"/>
        <v>1</v>
      </c>
      <c r="AB957" s="46">
        <f t="shared" si="221"/>
        <v>0.21666666666666667</v>
      </c>
      <c r="AC957" s="46">
        <f t="shared" si="222"/>
        <v>0.23333333333333334</v>
      </c>
      <c r="AD957" s="44" t="str">
        <f t="shared" si="223"/>
        <v>Stockout</v>
      </c>
      <c r="AE957" s="44" t="str">
        <f>IFERROR(VLOOKUP(A957,'[1]Re-order'!$A:$AA,27,0),"")</f>
        <v>Stockout</v>
      </c>
      <c r="AF957" s="46">
        <f t="shared" si="224"/>
        <v>0.23333333333333334</v>
      </c>
      <c r="AG957" s="46">
        <f>SUMIFS('[1]Raw Inventory'!D:D,'[1]Raw Inventory'!C:C,"GREATWALL",'[1]Raw Inventory'!B:B,A957)</f>
        <v>0</v>
      </c>
      <c r="AH957" s="46">
        <f>SUMIFS('[1]Raw Inventory'!D:D,'[1]Raw Inventory'!C:C,"DUARTE",'[1]Raw Inventory'!B:B,A957)</f>
        <v>0</v>
      </c>
      <c r="AI957" s="46"/>
      <c r="AJ957" s="46"/>
      <c r="AK957" s="43"/>
      <c r="AL957" s="43"/>
      <c r="AM957" s="43"/>
      <c r="AN957" s="43"/>
      <c r="AO957" s="43"/>
      <c r="AP957" s="43"/>
      <c r="AQ957" s="43"/>
      <c r="AR957" s="43"/>
      <c r="AS957" s="43"/>
      <c r="AT957" s="43"/>
    </row>
    <row r="958" spans="1:46">
      <c r="A958" s="43" t="s">
        <v>73</v>
      </c>
      <c r="B958" s="43" t="s">
        <v>143</v>
      </c>
      <c r="C958" s="43" t="s">
        <v>137</v>
      </c>
      <c r="D958" s="44" t="s">
        <v>243</v>
      </c>
      <c r="E958" s="44">
        <v>17</v>
      </c>
      <c r="F958" s="44" t="s">
        <v>2</v>
      </c>
      <c r="G958" s="43" t="str">
        <f>IFERROR(VLOOKUP(A958,'[1]MC Masterlist 2026-09-12'!$B:$M, 3, 0),"")</f>
        <v>SUZUKI</v>
      </c>
      <c r="H958" s="45">
        <f>IFERROR(VLOOKUP(A958,'[1]MC Masterlist 2026-09-12'!$B:$M, 6, 0),"")</f>
        <v>122770</v>
      </c>
      <c r="I958" s="46">
        <v>0</v>
      </c>
      <c r="J958" s="46">
        <v>0</v>
      </c>
      <c r="K958" s="46">
        <v>1</v>
      </c>
      <c r="L958" s="46">
        <f t="shared" si="210"/>
        <v>1</v>
      </c>
      <c r="M958" s="46">
        <f t="shared" si="211"/>
        <v>0.33333333333333331</v>
      </c>
      <c r="N958" s="45">
        <f t="shared" si="212"/>
        <v>122770</v>
      </c>
      <c r="O958" s="45">
        <f t="shared" si="213"/>
        <v>40923.333333333328</v>
      </c>
      <c r="P958" s="46">
        <f t="shared" si="214"/>
        <v>1.111111111111111E-2</v>
      </c>
      <c r="Q958" s="46">
        <v>4</v>
      </c>
      <c r="R958" s="45">
        <f t="shared" si="215"/>
        <v>491080</v>
      </c>
      <c r="S958" s="46">
        <f t="shared" si="216"/>
        <v>360.00000000000006</v>
      </c>
      <c r="T958" s="46">
        <f>IFERROR(VLOOKUP(A958,'[1]Re-order'!$A:$Q,17,0),"")</f>
        <v>787.50000000000011</v>
      </c>
      <c r="U958" s="46">
        <f>IFERROR(VLOOKUP(A958,'[1]MC Masterlist 2026-09-12'!$B:$M, 10, 0),0)</f>
        <v>15</v>
      </c>
      <c r="V958" s="46">
        <f>IFERROR(VLOOKUP(A958,'[1]MC Masterlist 2026-09-12'!$B:$M, 11, 0),0)</f>
        <v>15</v>
      </c>
      <c r="W958" s="46">
        <f t="shared" si="217"/>
        <v>30</v>
      </c>
      <c r="X958" s="46">
        <f t="shared" si="218"/>
        <v>6.833333333333333</v>
      </c>
      <c r="Y958" s="46">
        <f>IFERROR(IF(OR(C958="AREA I",C958="AREA V"),7,VLOOKUP(A958,'[1]MC Masterlist 2026-09-12'!$B:$M, 12, 0)),0)</f>
        <v>7</v>
      </c>
      <c r="Z958" s="46">
        <f t="shared" si="219"/>
        <v>0.16666666666666666</v>
      </c>
      <c r="AA958" s="46">
        <f t="shared" si="220"/>
        <v>0.33333333333333331</v>
      </c>
      <c r="AB958" s="46">
        <f t="shared" si="221"/>
        <v>7.5925925925925911E-2</v>
      </c>
      <c r="AC958" s="46">
        <f t="shared" si="222"/>
        <v>7.7777777777777765E-2</v>
      </c>
      <c r="AD958" s="44" t="str">
        <f t="shared" si="223"/>
        <v>Over</v>
      </c>
      <c r="AE958" s="44" t="str">
        <f>IFERROR(VLOOKUP(A958,'[1]Re-order'!$A:$AA,27,0),"")</f>
        <v>Over</v>
      </c>
      <c r="AF958" s="46">
        <f t="shared" si="224"/>
        <v>-3.9222222222222221</v>
      </c>
      <c r="AG958" s="46">
        <f>SUMIFS('[1]Raw Inventory'!D:D,'[1]Raw Inventory'!C:C,"GREATWALL",'[1]Raw Inventory'!B:B,A958)</f>
        <v>9</v>
      </c>
      <c r="AH958" s="46">
        <f>SUMIFS('[1]Raw Inventory'!D:D,'[1]Raw Inventory'!C:C,"DUARTE",'[1]Raw Inventory'!B:B,A958)</f>
        <v>0</v>
      </c>
      <c r="AI958" s="46"/>
      <c r="AJ958" s="46"/>
      <c r="AK958" s="43"/>
      <c r="AL958" s="43"/>
      <c r="AM958" s="43"/>
      <c r="AN958" s="43"/>
      <c r="AO958" s="43"/>
      <c r="AP958" s="43"/>
      <c r="AQ958" s="43"/>
      <c r="AR958" s="43"/>
      <c r="AS958" s="43"/>
      <c r="AT958" s="43"/>
    </row>
    <row r="959" spans="1:46">
      <c r="A959" s="43" t="s">
        <v>127</v>
      </c>
      <c r="B959" s="43" t="s">
        <v>143</v>
      </c>
      <c r="C959" s="43" t="s">
        <v>137</v>
      </c>
      <c r="D959" s="44" t="s">
        <v>242</v>
      </c>
      <c r="E959" s="44">
        <v>26</v>
      </c>
      <c r="F959" s="44" t="s">
        <v>3</v>
      </c>
      <c r="G959" s="43" t="str">
        <f>IFERROR(VLOOKUP(A959,'[1]MC Masterlist 2026-09-12'!$B:$M, 3, 0),"")</f>
        <v>SUZUKI</v>
      </c>
      <c r="H959" s="45">
        <f>IFERROR(VLOOKUP(A959,'[1]MC Masterlist 2026-09-12'!$B:$M, 6, 0),"")</f>
        <v>69667</v>
      </c>
      <c r="I959" s="46">
        <v>0</v>
      </c>
      <c r="J959" s="46">
        <v>0</v>
      </c>
      <c r="K959" s="46">
        <v>0</v>
      </c>
      <c r="L959" s="46">
        <f t="shared" si="210"/>
        <v>0</v>
      </c>
      <c r="M959" s="46">
        <f t="shared" si="211"/>
        <v>0</v>
      </c>
      <c r="N959" s="45">
        <f t="shared" si="212"/>
        <v>0</v>
      </c>
      <c r="O959" s="45">
        <f t="shared" si="213"/>
        <v>0</v>
      </c>
      <c r="P959" s="46">
        <f t="shared" si="214"/>
        <v>0</v>
      </c>
      <c r="Q959" s="46">
        <v>2</v>
      </c>
      <c r="R959" s="45">
        <f t="shared" si="215"/>
        <v>139334</v>
      </c>
      <c r="S959" s="46">
        <f t="shared" si="216"/>
        <v>0</v>
      </c>
      <c r="T959" s="46" t="str">
        <f>IFERROR(VLOOKUP(A959,'[1]Re-order'!$A:$Q,17,0),"")</f>
        <v/>
      </c>
      <c r="U959" s="46">
        <f>IFERROR(VLOOKUP(A959,'[1]MC Masterlist 2026-09-12'!$B:$M, 10, 0),0)</f>
        <v>15</v>
      </c>
      <c r="V959" s="46">
        <f>IFERROR(VLOOKUP(A959,'[1]MC Masterlist 2026-09-12'!$B:$M, 11, 0),0)</f>
        <v>15</v>
      </c>
      <c r="W959" s="46">
        <f t="shared" si="217"/>
        <v>30</v>
      </c>
      <c r="X959" s="46">
        <f t="shared" si="218"/>
        <v>7</v>
      </c>
      <c r="Y959" s="46">
        <f>IFERROR(IF(OR(C959="AREA I",C959="AREA V"),7,VLOOKUP(A959,'[1]MC Masterlist 2026-09-12'!$B:$M, 12, 0)),0)</f>
        <v>7</v>
      </c>
      <c r="Z959" s="46">
        <f t="shared" si="219"/>
        <v>0</v>
      </c>
      <c r="AA959" s="46">
        <f t="shared" si="220"/>
        <v>0</v>
      </c>
      <c r="AB959" s="46">
        <f t="shared" si="221"/>
        <v>0</v>
      </c>
      <c r="AC959" s="46">
        <f t="shared" si="222"/>
        <v>0</v>
      </c>
      <c r="AD959" s="44" t="str">
        <f t="shared" si="223"/>
        <v>Over</v>
      </c>
      <c r="AE959" s="44" t="str">
        <f>IFERROR(VLOOKUP(A959,'[1]Re-order'!$A:$AA,27,0),"")</f>
        <v>Over</v>
      </c>
      <c r="AF959" s="46">
        <f t="shared" si="224"/>
        <v>-2</v>
      </c>
      <c r="AG959" s="46">
        <f>SUMIFS('[1]Raw Inventory'!D:D,'[1]Raw Inventory'!C:C,"GREATWALL",'[1]Raw Inventory'!B:B,A959)</f>
        <v>0</v>
      </c>
      <c r="AH959" s="46">
        <f>SUMIFS('[1]Raw Inventory'!D:D,'[1]Raw Inventory'!C:C,"DUARTE",'[1]Raw Inventory'!B:B,A959)</f>
        <v>0</v>
      </c>
      <c r="AI959" s="46"/>
      <c r="AJ959" s="46"/>
      <c r="AK959" s="43"/>
      <c r="AL959" s="43"/>
      <c r="AM959" s="43"/>
      <c r="AN959" s="43"/>
      <c r="AO959" s="43"/>
      <c r="AP959" s="43"/>
      <c r="AQ959" s="43"/>
      <c r="AR959" s="43"/>
      <c r="AS959" s="43"/>
      <c r="AT959" s="43"/>
    </row>
    <row r="960" spans="1:46">
      <c r="A960" s="43" t="s">
        <v>64</v>
      </c>
      <c r="B960" s="43" t="s">
        <v>130</v>
      </c>
      <c r="C960" s="43" t="s">
        <v>128</v>
      </c>
      <c r="D960" s="44" t="s">
        <v>262</v>
      </c>
      <c r="E960" s="44">
        <v>17</v>
      </c>
      <c r="F960" s="44" t="s">
        <v>2</v>
      </c>
      <c r="G960" s="43" t="str">
        <f>IFERROR(VLOOKUP(A960,'[1]MC Masterlist 2026-09-12'!$B:$M, 3, 0),"")</f>
        <v>HONDA</v>
      </c>
      <c r="H960" s="45">
        <f>IFERROR(VLOOKUP(A960,'[1]MC Masterlist 2026-09-12'!$B:$M, 6, 0),"")</f>
        <v>73170</v>
      </c>
      <c r="I960" s="46">
        <v>1</v>
      </c>
      <c r="J960" s="46">
        <v>3</v>
      </c>
      <c r="K960" s="46">
        <v>0</v>
      </c>
      <c r="L960" s="46">
        <f t="shared" si="210"/>
        <v>4</v>
      </c>
      <c r="M960" s="46">
        <f t="shared" si="211"/>
        <v>1.3333333333333333</v>
      </c>
      <c r="N960" s="45">
        <f t="shared" si="212"/>
        <v>292680</v>
      </c>
      <c r="O960" s="45">
        <f t="shared" si="213"/>
        <v>97560</v>
      </c>
      <c r="P960" s="46">
        <f t="shared" si="214"/>
        <v>4.4444444444444439E-2</v>
      </c>
      <c r="Q960" s="46">
        <v>2</v>
      </c>
      <c r="R960" s="45">
        <f t="shared" si="215"/>
        <v>146340</v>
      </c>
      <c r="S960" s="46">
        <f t="shared" si="216"/>
        <v>45</v>
      </c>
      <c r="T960" s="46">
        <f>IFERROR(VLOOKUP(A960,'[1]Re-order'!$A:$Q,17,0),"")</f>
        <v>76.153846153846146</v>
      </c>
      <c r="U960" s="46">
        <f>IFERROR(VLOOKUP(A960,'[1]MC Masterlist 2026-09-12'!$B:$M, 10, 0),0)</f>
        <v>15</v>
      </c>
      <c r="V960" s="46">
        <f>IFERROR(VLOOKUP(A960,'[1]MC Masterlist 2026-09-12'!$B:$M, 11, 0),0)</f>
        <v>15</v>
      </c>
      <c r="W960" s="46">
        <f t="shared" si="217"/>
        <v>30</v>
      </c>
      <c r="X960" s="46">
        <f t="shared" si="218"/>
        <v>29.333333333333332</v>
      </c>
      <c r="Y960" s="46">
        <f>IFERROR(IF(OR(C960="AREA I",C960="AREA V"),7,VLOOKUP(A960,'[1]MC Masterlist 2026-09-12'!$B:$M, 12, 0)),0)</f>
        <v>30</v>
      </c>
      <c r="Z960" s="46">
        <f t="shared" si="219"/>
        <v>0.66666666666666663</v>
      </c>
      <c r="AA960" s="46">
        <f t="shared" si="220"/>
        <v>1.3333333333333333</v>
      </c>
      <c r="AB960" s="46">
        <f t="shared" si="221"/>
        <v>1.3037037037037036</v>
      </c>
      <c r="AC960" s="46">
        <f t="shared" si="222"/>
        <v>1.3333333333333333</v>
      </c>
      <c r="AD960" s="44" t="str">
        <f t="shared" si="223"/>
        <v>Over</v>
      </c>
      <c r="AE960" s="44" t="str">
        <f>IFERROR(VLOOKUP(A960,'[1]Re-order'!$A:$AA,27,0),"")</f>
        <v/>
      </c>
      <c r="AF960" s="46">
        <f t="shared" si="224"/>
        <v>-0.66666666666666674</v>
      </c>
      <c r="AG960" s="46">
        <f>SUMIFS('[1]Raw Inventory'!D:D,'[1]Raw Inventory'!C:C,"GREATWALL",'[1]Raw Inventory'!B:B,A960)</f>
        <v>13</v>
      </c>
      <c r="AH960" s="46">
        <f>SUMIFS('[1]Raw Inventory'!D:D,'[1]Raw Inventory'!C:C,"DUARTE",'[1]Raw Inventory'!B:B,A960)</f>
        <v>0</v>
      </c>
      <c r="AI960" s="46"/>
      <c r="AJ960" s="46"/>
      <c r="AK960" s="43"/>
      <c r="AL960" s="43"/>
      <c r="AM960" s="43"/>
      <c r="AN960" s="43"/>
      <c r="AO960" s="43"/>
      <c r="AP960" s="43"/>
      <c r="AQ960" s="43"/>
      <c r="AR960" s="43"/>
      <c r="AS960" s="43"/>
      <c r="AT960" s="43"/>
    </row>
    <row r="961" spans="1:46">
      <c r="A961" s="43" t="s">
        <v>69</v>
      </c>
      <c r="B961" s="43" t="s">
        <v>141</v>
      </c>
      <c r="C961" s="43" t="s">
        <v>137</v>
      </c>
      <c r="D961" s="44" t="s">
        <v>239</v>
      </c>
      <c r="E961" s="44">
        <v>28</v>
      </c>
      <c r="F961" s="44" t="s">
        <v>3</v>
      </c>
      <c r="G961" s="43" t="str">
        <f>IFERROR(VLOOKUP(A961,'[1]MC Masterlist 2026-09-12'!$B:$M, 3, 0),"")</f>
        <v>YAMAHA</v>
      </c>
      <c r="H961" s="45">
        <f>IFERROR(VLOOKUP(A961,'[1]MC Masterlist 2026-09-12'!$B:$M, 6, 0),"")</f>
        <v>54426</v>
      </c>
      <c r="I961" s="46">
        <v>0</v>
      </c>
      <c r="J961" s="46">
        <v>0</v>
      </c>
      <c r="K961" s="46">
        <v>0</v>
      </c>
      <c r="L961" s="46">
        <f t="shared" si="210"/>
        <v>0</v>
      </c>
      <c r="M961" s="46">
        <f t="shared" si="211"/>
        <v>0</v>
      </c>
      <c r="N961" s="45">
        <f t="shared" si="212"/>
        <v>0</v>
      </c>
      <c r="O961" s="45">
        <f t="shared" si="213"/>
        <v>0</v>
      </c>
      <c r="P961" s="46">
        <f t="shared" si="214"/>
        <v>0</v>
      </c>
      <c r="Q961" s="46">
        <v>1</v>
      </c>
      <c r="R961" s="45">
        <f t="shared" si="215"/>
        <v>54426</v>
      </c>
      <c r="S961" s="46">
        <f t="shared" si="216"/>
        <v>0</v>
      </c>
      <c r="T961" s="46">
        <f>IFERROR(VLOOKUP(A961,'[1]Re-order'!$A:$Q,17,0),"")</f>
        <v>62.307692307692314</v>
      </c>
      <c r="U961" s="46">
        <f>IFERROR(VLOOKUP(A961,'[1]MC Masterlist 2026-09-12'!$B:$M, 10, 0),0)</f>
        <v>15</v>
      </c>
      <c r="V961" s="46">
        <f>IFERROR(VLOOKUP(A961,'[1]MC Masterlist 2026-09-12'!$B:$M, 11, 0),0)</f>
        <v>15</v>
      </c>
      <c r="W961" s="46">
        <f t="shared" si="217"/>
        <v>30</v>
      </c>
      <c r="X961" s="46">
        <f t="shared" si="218"/>
        <v>7</v>
      </c>
      <c r="Y961" s="46">
        <f>IFERROR(IF(OR(C961="AREA I",C961="AREA V"),7,VLOOKUP(A961,'[1]MC Masterlist 2026-09-12'!$B:$M, 12, 0)),0)</f>
        <v>7</v>
      </c>
      <c r="Z961" s="46">
        <f t="shared" si="219"/>
        <v>0</v>
      </c>
      <c r="AA961" s="46">
        <f t="shared" si="220"/>
        <v>0</v>
      </c>
      <c r="AB961" s="46">
        <f t="shared" si="221"/>
        <v>0</v>
      </c>
      <c r="AC961" s="46">
        <f t="shared" si="222"/>
        <v>0</v>
      </c>
      <c r="AD961" s="44" t="str">
        <f t="shared" si="223"/>
        <v>Over</v>
      </c>
      <c r="AE961" s="44" t="str">
        <f>IFERROR(VLOOKUP(A961,'[1]Re-order'!$A:$AA,27,0),"")</f>
        <v>Re-order</v>
      </c>
      <c r="AF961" s="46">
        <f t="shared" si="224"/>
        <v>-1</v>
      </c>
      <c r="AG961" s="46">
        <f>SUMIFS('[1]Raw Inventory'!D:D,'[1]Raw Inventory'!C:C,"GREATWALL",'[1]Raw Inventory'!B:B,A961)</f>
        <v>1</v>
      </c>
      <c r="AH961" s="46">
        <f>SUMIFS('[1]Raw Inventory'!D:D,'[1]Raw Inventory'!C:C,"DUARTE",'[1]Raw Inventory'!B:B,A961)</f>
        <v>0</v>
      </c>
      <c r="AI961" s="46"/>
      <c r="AJ961" s="46"/>
      <c r="AK961" s="43"/>
      <c r="AL961" s="43"/>
      <c r="AM961" s="43"/>
      <c r="AN961" s="43"/>
      <c r="AO961" s="43"/>
      <c r="AP961" s="43"/>
      <c r="AQ961" s="43"/>
      <c r="AR961" s="43"/>
      <c r="AS961" s="43"/>
      <c r="AT961" s="43"/>
    </row>
    <row r="962" spans="1:46">
      <c r="A962" s="43" t="s">
        <v>108</v>
      </c>
      <c r="B962" s="43" t="s">
        <v>121</v>
      </c>
      <c r="C962" s="43" t="s">
        <v>118</v>
      </c>
      <c r="D962" s="44" t="s">
        <v>253</v>
      </c>
      <c r="E962" s="44">
        <v>28</v>
      </c>
      <c r="F962" s="44" t="s">
        <v>3</v>
      </c>
      <c r="G962" s="43" t="str">
        <f>IFERROR(VLOOKUP(A962,'[1]MC Masterlist 2026-09-12'!$B:$M, 3, 0),"")</f>
        <v>SUZUKI</v>
      </c>
      <c r="H962" s="45">
        <f>IFERROR(VLOOKUP(A962,'[1]MC Masterlist 2026-09-12'!$B:$M, 6, 0),"")</f>
        <v>66412</v>
      </c>
      <c r="I962" s="46">
        <v>0</v>
      </c>
      <c r="J962" s="46">
        <v>0</v>
      </c>
      <c r="K962" s="46">
        <v>0</v>
      </c>
      <c r="L962" s="46">
        <f t="shared" si="210"/>
        <v>0</v>
      </c>
      <c r="M962" s="46">
        <f t="shared" si="211"/>
        <v>0</v>
      </c>
      <c r="N962" s="45">
        <f t="shared" si="212"/>
        <v>0</v>
      </c>
      <c r="O962" s="45">
        <f t="shared" si="213"/>
        <v>0</v>
      </c>
      <c r="P962" s="46">
        <f t="shared" si="214"/>
        <v>0</v>
      </c>
      <c r="Q962" s="46">
        <v>2</v>
      </c>
      <c r="R962" s="45">
        <f t="shared" si="215"/>
        <v>132824</v>
      </c>
      <c r="S962" s="46">
        <f t="shared" si="216"/>
        <v>0</v>
      </c>
      <c r="T962" s="46">
        <f>IFERROR(VLOOKUP(A962,'[1]Re-order'!$A:$Q,17,0),"")</f>
        <v>540</v>
      </c>
      <c r="U962" s="46">
        <f>IFERROR(VLOOKUP(A962,'[1]MC Masterlist 2026-09-12'!$B:$M, 10, 0),0)</f>
        <v>15</v>
      </c>
      <c r="V962" s="46">
        <f>IFERROR(VLOOKUP(A962,'[1]MC Masterlist 2026-09-12'!$B:$M, 11, 0),0)</f>
        <v>15</v>
      </c>
      <c r="W962" s="46">
        <f t="shared" si="217"/>
        <v>30</v>
      </c>
      <c r="X962" s="46">
        <f t="shared" si="218"/>
        <v>30</v>
      </c>
      <c r="Y962" s="46">
        <f>IFERROR(IF(OR(C962="AREA I",C962="AREA V"),7,VLOOKUP(A962,'[1]MC Masterlist 2026-09-12'!$B:$M, 12, 0)),0)</f>
        <v>30</v>
      </c>
      <c r="Z962" s="46">
        <f t="shared" si="219"/>
        <v>0</v>
      </c>
      <c r="AA962" s="46">
        <f t="shared" si="220"/>
        <v>0</v>
      </c>
      <c r="AB962" s="46">
        <f t="shared" si="221"/>
        <v>0</v>
      </c>
      <c r="AC962" s="46">
        <f t="shared" si="222"/>
        <v>0</v>
      </c>
      <c r="AD962" s="44" t="str">
        <f t="shared" si="223"/>
        <v>Over</v>
      </c>
      <c r="AE962" s="44" t="str">
        <f>IFERROR(VLOOKUP(A962,'[1]Re-order'!$A:$AA,27,0),"")</f>
        <v>Over</v>
      </c>
      <c r="AF962" s="46">
        <f t="shared" si="224"/>
        <v>-2</v>
      </c>
      <c r="AG962" s="46">
        <f>SUMIFS('[1]Raw Inventory'!D:D,'[1]Raw Inventory'!C:C,"GREATWALL",'[1]Raw Inventory'!B:B,A962)</f>
        <v>0</v>
      </c>
      <c r="AH962" s="46">
        <f>SUMIFS('[1]Raw Inventory'!D:D,'[1]Raw Inventory'!C:C,"DUARTE",'[1]Raw Inventory'!B:B,A962)</f>
        <v>0</v>
      </c>
      <c r="AI962" s="46"/>
      <c r="AJ962" s="46"/>
      <c r="AK962" s="43"/>
      <c r="AL962" s="43"/>
      <c r="AM962" s="43"/>
      <c r="AN962" s="43"/>
      <c r="AO962" s="43"/>
      <c r="AP962" s="43"/>
      <c r="AQ962" s="43"/>
      <c r="AR962" s="43"/>
      <c r="AS962" s="43"/>
      <c r="AT962" s="43"/>
    </row>
    <row r="963" spans="1:46">
      <c r="A963" s="43" t="s">
        <v>124</v>
      </c>
      <c r="B963" s="43" t="s">
        <v>144</v>
      </c>
      <c r="C963" s="43" t="s">
        <v>137</v>
      </c>
      <c r="D963" s="44" t="s">
        <v>245</v>
      </c>
      <c r="E963" s="44">
        <v>33</v>
      </c>
      <c r="F963" s="44" t="s">
        <v>3</v>
      </c>
      <c r="G963" s="43" t="str">
        <f>IFERROR(VLOOKUP(A963,'[1]MC Masterlist 2026-09-12'!$B:$M, 3, 0),"")</f>
        <v>SKYGO</v>
      </c>
      <c r="H963" s="45">
        <f>IFERROR(VLOOKUP(A963,'[1]MC Masterlist 2026-09-12'!$B:$M, 6, 0),"")</f>
        <v>36765</v>
      </c>
      <c r="I963" s="46">
        <v>0</v>
      </c>
      <c r="J963" s="46">
        <v>0</v>
      </c>
      <c r="K963" s="46">
        <v>0</v>
      </c>
      <c r="L963" s="46">
        <f t="shared" ref="L963:L1026" si="225">I963+J963+K963</f>
        <v>0</v>
      </c>
      <c r="M963" s="46">
        <f t="shared" ref="M963:M1026" si="226">AVERAGE(I963,J963,K963)</f>
        <v>0</v>
      </c>
      <c r="N963" s="45">
        <f t="shared" ref="N963:N1026" si="227">L963*H963</f>
        <v>0</v>
      </c>
      <c r="O963" s="45">
        <f t="shared" ref="O963:O1026" si="228">M963*H963</f>
        <v>0</v>
      </c>
      <c r="P963" s="46">
        <f t="shared" ref="P963:P1026" si="229">M963/30</f>
        <v>0</v>
      </c>
      <c r="Q963" s="46">
        <v>1</v>
      </c>
      <c r="R963" s="45">
        <f t="shared" ref="R963:R1026" si="230">IFERROR(Q963*H963, 0)</f>
        <v>36765</v>
      </c>
      <c r="S963" s="46">
        <f t="shared" ref="S963:S1026" si="231">IFERROR(R963/(O963)*30, 0)</f>
        <v>0</v>
      </c>
      <c r="T963" s="46">
        <f>IFERROR(VLOOKUP(A963,'[1]Re-order'!$A:$Q,17,0),"")</f>
        <v>180</v>
      </c>
      <c r="U963" s="46">
        <f>IFERROR(VLOOKUP(A963,'[1]MC Masterlist 2026-09-12'!$B:$M, 10, 0),0)</f>
        <v>15</v>
      </c>
      <c r="V963" s="46">
        <f>IFERROR(VLOOKUP(A963,'[1]MC Masterlist 2026-09-12'!$B:$M, 11, 0),0)</f>
        <v>15</v>
      </c>
      <c r="W963" s="46">
        <f t="shared" ref="W963:W1026" si="232">U963+V963</f>
        <v>30</v>
      </c>
      <c r="X963" s="46">
        <f t="shared" ref="X963:X1026" si="233">Y963-Z963</f>
        <v>7</v>
      </c>
      <c r="Y963" s="46">
        <f>IFERROR(IF(OR(C963="AREA I",C963="AREA V"),7,VLOOKUP(A963,'[1]MC Masterlist 2026-09-12'!$B:$M, 12, 0)),0)</f>
        <v>7</v>
      </c>
      <c r="Z963" s="46">
        <f t="shared" ref="Z963:Z1026" si="234">V963*P963</f>
        <v>0</v>
      </c>
      <c r="AA963" s="46">
        <f t="shared" ref="AA963:AA1026" si="235">W963*P963</f>
        <v>0</v>
      </c>
      <c r="AB963" s="46">
        <f t="shared" ref="AB963:AB1026" si="236">X963*P963</f>
        <v>0</v>
      </c>
      <c r="AC963" s="46">
        <f t="shared" ref="AC963:AC1026" si="237">Y963*P963</f>
        <v>0</v>
      </c>
      <c r="AD963" s="44" t="str">
        <f t="shared" ref="AD963:AD1026" si="238">IFERROR(IF(Q963&gt;AC963, "Over", IF(Q963&lt;=Z963, "Stockout", IF(Q963&lt;=AA963, "Re-order",""))), "")</f>
        <v>Over</v>
      </c>
      <c r="AE963" s="44" t="str">
        <f>IFERROR(VLOOKUP(A963,'[1]Re-order'!$A:$AA,27,0),"")</f>
        <v>Over</v>
      </c>
      <c r="AF963" s="46">
        <f t="shared" ref="AF963:AF1026" si="239">AC963-Q963</f>
        <v>-1</v>
      </c>
      <c r="AG963" s="46">
        <f>SUMIFS('[1]Raw Inventory'!D:D,'[1]Raw Inventory'!C:C,"GREATWALL",'[1]Raw Inventory'!B:B,A963)</f>
        <v>0</v>
      </c>
      <c r="AH963" s="46">
        <f>SUMIFS('[1]Raw Inventory'!D:D,'[1]Raw Inventory'!C:C,"DUARTE",'[1]Raw Inventory'!B:B,A963)</f>
        <v>0</v>
      </c>
      <c r="AI963" s="46"/>
      <c r="AJ963" s="46"/>
      <c r="AK963" s="43"/>
      <c r="AL963" s="43"/>
      <c r="AM963" s="43"/>
      <c r="AN963" s="43"/>
      <c r="AO963" s="43"/>
      <c r="AP963" s="43"/>
      <c r="AQ963" s="43"/>
      <c r="AR963" s="43"/>
      <c r="AS963" s="43"/>
      <c r="AT963" s="43"/>
    </row>
    <row r="964" spans="1:46">
      <c r="A964" s="43" t="s">
        <v>70</v>
      </c>
      <c r="B964" s="43" t="s">
        <v>120</v>
      </c>
      <c r="C964" s="43" t="s">
        <v>118</v>
      </c>
      <c r="D964" s="44" t="s">
        <v>239</v>
      </c>
      <c r="E964" s="44">
        <v>23</v>
      </c>
      <c r="F964" s="44" t="s">
        <v>3</v>
      </c>
      <c r="G964" s="43" t="str">
        <f>IFERROR(VLOOKUP(A964,'[1]MC Masterlist 2026-09-12'!$B:$M, 3, 0),"")</f>
        <v>KAWASAKI</v>
      </c>
      <c r="H964" s="45">
        <f>IFERROR(VLOOKUP(A964,'[1]MC Masterlist 2026-09-12'!$B:$M, 6, 0),"")</f>
        <v>91770</v>
      </c>
      <c r="I964" s="46">
        <v>0</v>
      </c>
      <c r="J964" s="46">
        <v>0</v>
      </c>
      <c r="K964" s="46">
        <v>0</v>
      </c>
      <c r="L964" s="46">
        <f t="shared" si="225"/>
        <v>0</v>
      </c>
      <c r="M964" s="46">
        <f t="shared" si="226"/>
        <v>0</v>
      </c>
      <c r="N964" s="45">
        <f t="shared" si="227"/>
        <v>0</v>
      </c>
      <c r="O964" s="45">
        <f t="shared" si="228"/>
        <v>0</v>
      </c>
      <c r="P964" s="46">
        <f t="shared" si="229"/>
        <v>0</v>
      </c>
      <c r="Q964" s="46">
        <v>2</v>
      </c>
      <c r="R964" s="45">
        <f t="shared" si="230"/>
        <v>183540</v>
      </c>
      <c r="S964" s="46">
        <f t="shared" si="231"/>
        <v>0</v>
      </c>
      <c r="T964" s="46">
        <f>IFERROR(VLOOKUP(A964,'[1]Re-order'!$A:$Q,17,0),"")</f>
        <v>255</v>
      </c>
      <c r="U964" s="46">
        <f>IFERROR(VLOOKUP(A964,'[1]MC Masterlist 2026-09-12'!$B:$M, 10, 0),0)</f>
        <v>15</v>
      </c>
      <c r="V964" s="46">
        <f>IFERROR(VLOOKUP(A964,'[1]MC Masterlist 2026-09-12'!$B:$M, 11, 0),0)</f>
        <v>15</v>
      </c>
      <c r="W964" s="46">
        <f t="shared" si="232"/>
        <v>30</v>
      </c>
      <c r="X964" s="46">
        <f t="shared" si="233"/>
        <v>30</v>
      </c>
      <c r="Y964" s="46">
        <f>IFERROR(IF(OR(C964="AREA I",C964="AREA V"),7,VLOOKUP(A964,'[1]MC Masterlist 2026-09-12'!$B:$M, 12, 0)),0)</f>
        <v>30</v>
      </c>
      <c r="Z964" s="46">
        <f t="shared" si="234"/>
        <v>0</v>
      </c>
      <c r="AA964" s="46">
        <f t="shared" si="235"/>
        <v>0</v>
      </c>
      <c r="AB964" s="46">
        <f t="shared" si="236"/>
        <v>0</v>
      </c>
      <c r="AC964" s="46">
        <f t="shared" si="237"/>
        <v>0</v>
      </c>
      <c r="AD964" s="44" t="str">
        <f t="shared" si="238"/>
        <v>Over</v>
      </c>
      <c r="AE964" s="44" t="str">
        <f>IFERROR(VLOOKUP(A964,'[1]Re-order'!$A:$AA,27,0),"")</f>
        <v>Over</v>
      </c>
      <c r="AF964" s="46">
        <f t="shared" si="239"/>
        <v>-2</v>
      </c>
      <c r="AG964" s="46">
        <f>SUMIFS('[1]Raw Inventory'!D:D,'[1]Raw Inventory'!C:C,"GREATWALL",'[1]Raw Inventory'!B:B,A964)</f>
        <v>4</v>
      </c>
      <c r="AH964" s="46">
        <f>SUMIFS('[1]Raw Inventory'!D:D,'[1]Raw Inventory'!C:C,"DUARTE",'[1]Raw Inventory'!B:B,A964)</f>
        <v>0</v>
      </c>
      <c r="AI964" s="46"/>
      <c r="AJ964" s="46"/>
      <c r="AK964" s="43"/>
      <c r="AL964" s="43"/>
      <c r="AM964" s="43"/>
      <c r="AN964" s="43"/>
      <c r="AO964" s="43"/>
      <c r="AP964" s="43"/>
      <c r="AQ964" s="43"/>
      <c r="AR964" s="43"/>
      <c r="AS964" s="43"/>
      <c r="AT964" s="43"/>
    </row>
    <row r="965" spans="1:46">
      <c r="A965" s="43" t="s">
        <v>49</v>
      </c>
      <c r="B965" s="43" t="s">
        <v>112</v>
      </c>
      <c r="C965" s="43" t="s">
        <v>109</v>
      </c>
      <c r="D965" s="44" t="s">
        <v>232</v>
      </c>
      <c r="E965" s="44">
        <v>23</v>
      </c>
      <c r="F965" s="44" t="s">
        <v>3</v>
      </c>
      <c r="G965" s="43" t="str">
        <f>IFERROR(VLOOKUP(A965,'[1]MC Masterlist 2026-09-12'!$B:$M, 3, 0),"")</f>
        <v>BAJAJ RE</v>
      </c>
      <c r="H965" s="45">
        <f>IFERROR(VLOOKUP(A965,'[1]MC Masterlist 2026-09-12'!$B:$M, 6, 0),"")</f>
        <v>191000</v>
      </c>
      <c r="I965" s="46">
        <v>0</v>
      </c>
      <c r="J965" s="46">
        <v>0</v>
      </c>
      <c r="K965" s="46">
        <v>0</v>
      </c>
      <c r="L965" s="46">
        <f t="shared" si="225"/>
        <v>0</v>
      </c>
      <c r="M965" s="46">
        <f t="shared" si="226"/>
        <v>0</v>
      </c>
      <c r="N965" s="45">
        <f t="shared" si="227"/>
        <v>0</v>
      </c>
      <c r="O965" s="45">
        <f t="shared" si="228"/>
        <v>0</v>
      </c>
      <c r="P965" s="46">
        <f t="shared" si="229"/>
        <v>0</v>
      </c>
      <c r="Q965" s="46">
        <v>5</v>
      </c>
      <c r="R965" s="45">
        <f t="shared" si="230"/>
        <v>955000</v>
      </c>
      <c r="S965" s="46">
        <f t="shared" si="231"/>
        <v>0</v>
      </c>
      <c r="T965" s="46">
        <f>IFERROR(VLOOKUP(A965,'[1]Re-order'!$A:$Q,17,0),"")</f>
        <v>21.516709511568124</v>
      </c>
      <c r="U965" s="46">
        <f>IFERROR(VLOOKUP(A965,'[1]MC Masterlist 2026-09-12'!$B:$M, 10, 0),0)</f>
        <v>15</v>
      </c>
      <c r="V965" s="46">
        <f>IFERROR(VLOOKUP(A965,'[1]MC Masterlist 2026-09-12'!$B:$M, 11, 0),0)</f>
        <v>15</v>
      </c>
      <c r="W965" s="46">
        <f t="shared" si="232"/>
        <v>30</v>
      </c>
      <c r="X965" s="46">
        <f t="shared" si="233"/>
        <v>30</v>
      </c>
      <c r="Y965" s="46">
        <f>IFERROR(IF(OR(C965="AREA I",C965="AREA V"),7,VLOOKUP(A965,'[1]MC Masterlist 2026-09-12'!$B:$M, 12, 0)),0)</f>
        <v>30</v>
      </c>
      <c r="Z965" s="46">
        <f t="shared" si="234"/>
        <v>0</v>
      </c>
      <c r="AA965" s="46">
        <f t="shared" si="235"/>
        <v>0</v>
      </c>
      <c r="AB965" s="46">
        <f t="shared" si="236"/>
        <v>0</v>
      </c>
      <c r="AC965" s="46">
        <f t="shared" si="237"/>
        <v>0</v>
      </c>
      <c r="AD965" s="44" t="str">
        <f t="shared" si="238"/>
        <v>Over</v>
      </c>
      <c r="AE965" s="44" t="str">
        <f>IFERROR(VLOOKUP(A965,'[1]Re-order'!$A:$AA,27,0),"")</f>
        <v>Stockout</v>
      </c>
      <c r="AF965" s="46">
        <f t="shared" si="239"/>
        <v>-5</v>
      </c>
      <c r="AG965" s="46">
        <f>SUMIFS('[1]Raw Inventory'!D:D,'[1]Raw Inventory'!C:C,"GREATWALL",'[1]Raw Inventory'!B:B,A965)</f>
        <v>0</v>
      </c>
      <c r="AH965" s="46">
        <f>SUMIFS('[1]Raw Inventory'!D:D,'[1]Raw Inventory'!C:C,"DUARTE",'[1]Raw Inventory'!B:B,A965)</f>
        <v>0</v>
      </c>
      <c r="AI965" s="46"/>
      <c r="AJ965" s="46"/>
      <c r="AK965" s="43"/>
      <c r="AL965" s="43"/>
      <c r="AM965" s="43"/>
      <c r="AN965" s="43"/>
      <c r="AO965" s="43"/>
      <c r="AP965" s="43"/>
      <c r="AQ965" s="43"/>
      <c r="AR965" s="43"/>
      <c r="AS965" s="43"/>
      <c r="AT965" s="43"/>
    </row>
    <row r="966" spans="1:46">
      <c r="A966" s="43" t="s">
        <v>39</v>
      </c>
      <c r="B966" s="43" t="s">
        <v>139</v>
      </c>
      <c r="C966" s="43" t="s">
        <v>137</v>
      </c>
      <c r="D966" s="44" t="s">
        <v>255</v>
      </c>
      <c r="E966" s="44">
        <v>14</v>
      </c>
      <c r="F966" s="44" t="s">
        <v>2</v>
      </c>
      <c r="G966" s="43" t="str">
        <f>IFERROR(VLOOKUP(A966,'[1]MC Masterlist 2026-09-12'!$B:$M, 3, 0),"")</f>
        <v>HONDA</v>
      </c>
      <c r="H966" s="45">
        <f>IFERROR(VLOOKUP(A966,'[1]MC Masterlist 2026-09-12'!$B:$M, 6, 0),"")</f>
        <v>72434</v>
      </c>
      <c r="I966" s="46">
        <v>3</v>
      </c>
      <c r="J966" s="46">
        <v>3</v>
      </c>
      <c r="K966" s="46">
        <v>3</v>
      </c>
      <c r="L966" s="46">
        <f t="shared" si="225"/>
        <v>9</v>
      </c>
      <c r="M966" s="46">
        <f t="shared" si="226"/>
        <v>3</v>
      </c>
      <c r="N966" s="45">
        <f t="shared" si="227"/>
        <v>651906</v>
      </c>
      <c r="O966" s="45">
        <f t="shared" si="228"/>
        <v>217302</v>
      </c>
      <c r="P966" s="46">
        <f t="shared" si="229"/>
        <v>0.1</v>
      </c>
      <c r="Q966" s="46">
        <v>4</v>
      </c>
      <c r="R966" s="45">
        <f t="shared" si="230"/>
        <v>289736</v>
      </c>
      <c r="S966" s="46">
        <f t="shared" si="231"/>
        <v>40</v>
      </c>
      <c r="T966" s="46">
        <f>IFERROR(VLOOKUP(A966,'[1]Re-order'!$A:$Q,17,0),"")</f>
        <v>40.982142857142854</v>
      </c>
      <c r="U966" s="46">
        <f>IFERROR(VLOOKUP(A966,'[1]MC Masterlist 2026-09-12'!$B:$M, 10, 0),0)</f>
        <v>15</v>
      </c>
      <c r="V966" s="46">
        <f>IFERROR(VLOOKUP(A966,'[1]MC Masterlist 2026-09-12'!$B:$M, 11, 0),0)</f>
        <v>15</v>
      </c>
      <c r="W966" s="46">
        <f t="shared" si="232"/>
        <v>30</v>
      </c>
      <c r="X966" s="46">
        <f t="shared" si="233"/>
        <v>5.5</v>
      </c>
      <c r="Y966" s="46">
        <f>IFERROR(IF(OR(C966="AREA I",C966="AREA V"),7,VLOOKUP(A966,'[1]MC Masterlist 2026-09-12'!$B:$M, 12, 0)),0)</f>
        <v>7</v>
      </c>
      <c r="Z966" s="46">
        <f t="shared" si="234"/>
        <v>1.5</v>
      </c>
      <c r="AA966" s="46">
        <f t="shared" si="235"/>
        <v>3</v>
      </c>
      <c r="AB966" s="46">
        <f t="shared" si="236"/>
        <v>0.55000000000000004</v>
      </c>
      <c r="AC966" s="46">
        <f t="shared" si="237"/>
        <v>0.70000000000000007</v>
      </c>
      <c r="AD966" s="44" t="str">
        <f t="shared" si="238"/>
        <v>Over</v>
      </c>
      <c r="AE966" s="44" t="str">
        <f>IFERROR(VLOOKUP(A966,'[1]Re-order'!$A:$AA,27,0),"")</f>
        <v>Re-order</v>
      </c>
      <c r="AF966" s="46">
        <f t="shared" si="239"/>
        <v>-3.3</v>
      </c>
      <c r="AG966" s="46">
        <f>SUMIFS('[1]Raw Inventory'!D:D,'[1]Raw Inventory'!C:C,"GREATWALL",'[1]Raw Inventory'!B:B,A966)</f>
        <v>16</v>
      </c>
      <c r="AH966" s="46">
        <f>SUMIFS('[1]Raw Inventory'!D:D,'[1]Raw Inventory'!C:C,"DUARTE",'[1]Raw Inventory'!B:B,A966)</f>
        <v>0</v>
      </c>
      <c r="AI966" s="46"/>
      <c r="AJ966" s="46"/>
      <c r="AK966" s="43"/>
      <c r="AL966" s="43"/>
      <c r="AM966" s="43"/>
      <c r="AN966" s="43"/>
      <c r="AO966" s="43"/>
      <c r="AP966" s="43"/>
      <c r="AQ966" s="43"/>
      <c r="AR966" s="43"/>
      <c r="AS966" s="43"/>
      <c r="AT966" s="43"/>
    </row>
    <row r="967" spans="1:46">
      <c r="A967" s="43" t="s">
        <v>35</v>
      </c>
      <c r="B967" s="43" t="s">
        <v>119</v>
      </c>
      <c r="C967" s="43" t="s">
        <v>118</v>
      </c>
      <c r="D967" s="44" t="s">
        <v>223</v>
      </c>
      <c r="E967" s="44">
        <v>25</v>
      </c>
      <c r="F967" s="44" t="s">
        <v>3</v>
      </c>
      <c r="G967" s="43" t="str">
        <f>IFERROR(VLOOKUP(A967,'[1]MC Masterlist 2026-09-12'!$B:$M, 3, 0),"")</f>
        <v>HONDA</v>
      </c>
      <c r="H967" s="45">
        <f>IFERROR(VLOOKUP(A967,'[1]MC Masterlist 2026-09-12'!$B:$M, 6, 0),"")</f>
        <v>57990</v>
      </c>
      <c r="I967" s="46">
        <v>1</v>
      </c>
      <c r="J967" s="46">
        <v>0</v>
      </c>
      <c r="K967" s="46">
        <v>1</v>
      </c>
      <c r="L967" s="46">
        <f t="shared" si="225"/>
        <v>2</v>
      </c>
      <c r="M967" s="46">
        <f t="shared" si="226"/>
        <v>0.66666666666666663</v>
      </c>
      <c r="N967" s="45">
        <f t="shared" si="227"/>
        <v>115980</v>
      </c>
      <c r="O967" s="45">
        <f t="shared" si="228"/>
        <v>38660</v>
      </c>
      <c r="P967" s="46">
        <f t="shared" si="229"/>
        <v>2.222222222222222E-2</v>
      </c>
      <c r="Q967" s="46">
        <v>1</v>
      </c>
      <c r="R967" s="45">
        <f t="shared" si="230"/>
        <v>57990</v>
      </c>
      <c r="S967" s="46">
        <f t="shared" si="231"/>
        <v>45</v>
      </c>
      <c r="T967" s="46">
        <f>IFERROR(VLOOKUP(A967,'[1]Re-order'!$A:$Q,17,0),"")</f>
        <v>68.275862068965523</v>
      </c>
      <c r="U967" s="46">
        <f>IFERROR(VLOOKUP(A967,'[1]MC Masterlist 2026-09-12'!$B:$M, 10, 0),0)</f>
        <v>15</v>
      </c>
      <c r="V967" s="46">
        <f>IFERROR(VLOOKUP(A967,'[1]MC Masterlist 2026-09-12'!$B:$M, 11, 0),0)</f>
        <v>15</v>
      </c>
      <c r="W967" s="46">
        <f t="shared" si="232"/>
        <v>30</v>
      </c>
      <c r="X967" s="46">
        <f t="shared" si="233"/>
        <v>29.666666666666668</v>
      </c>
      <c r="Y967" s="46">
        <f>IFERROR(IF(OR(C967="AREA I",C967="AREA V"),7,VLOOKUP(A967,'[1]MC Masterlist 2026-09-12'!$B:$M, 12, 0)),0)</f>
        <v>30</v>
      </c>
      <c r="Z967" s="46">
        <f t="shared" si="234"/>
        <v>0.33333333333333331</v>
      </c>
      <c r="AA967" s="46">
        <f t="shared" si="235"/>
        <v>0.66666666666666663</v>
      </c>
      <c r="AB967" s="46">
        <f t="shared" si="236"/>
        <v>0.65925925925925921</v>
      </c>
      <c r="AC967" s="46">
        <f t="shared" si="237"/>
        <v>0.66666666666666663</v>
      </c>
      <c r="AD967" s="44" t="str">
        <f t="shared" si="238"/>
        <v>Over</v>
      </c>
      <c r="AE967" s="44" t="str">
        <f>IFERROR(VLOOKUP(A967,'[1]Re-order'!$A:$AA,27,0),"")</f>
        <v>Re-order</v>
      </c>
      <c r="AF967" s="46">
        <f t="shared" si="239"/>
        <v>-0.33333333333333337</v>
      </c>
      <c r="AG967" s="46">
        <f>SUMIFS('[1]Raw Inventory'!D:D,'[1]Raw Inventory'!C:C,"GREATWALL",'[1]Raw Inventory'!B:B,A967)</f>
        <v>29</v>
      </c>
      <c r="AH967" s="46">
        <f>SUMIFS('[1]Raw Inventory'!D:D,'[1]Raw Inventory'!C:C,"DUARTE",'[1]Raw Inventory'!B:B,A967)</f>
        <v>0</v>
      </c>
      <c r="AI967" s="46"/>
      <c r="AJ967" s="46"/>
      <c r="AK967" s="43"/>
      <c r="AL967" s="43"/>
      <c r="AM967" s="43"/>
      <c r="AN967" s="43"/>
      <c r="AO967" s="43"/>
      <c r="AP967" s="43"/>
      <c r="AQ967" s="43"/>
      <c r="AR967" s="43"/>
      <c r="AS967" s="43"/>
      <c r="AT967" s="43"/>
    </row>
    <row r="968" spans="1:46">
      <c r="A968" s="43" t="s">
        <v>46</v>
      </c>
      <c r="B968" s="43" t="s">
        <v>122</v>
      </c>
      <c r="C968" s="43" t="s">
        <v>118</v>
      </c>
      <c r="D968" s="44" t="s">
        <v>272</v>
      </c>
      <c r="E968" s="44">
        <v>32</v>
      </c>
      <c r="F968" s="44" t="s">
        <v>3</v>
      </c>
      <c r="G968" s="43" t="str">
        <f>IFERROR(VLOOKUP(A968,'[1]MC Masterlist 2026-09-12'!$B:$M, 3, 0),"")</f>
        <v>HONDA</v>
      </c>
      <c r="H968" s="45">
        <f>IFERROR(VLOOKUP(A968,'[1]MC Masterlist 2026-09-12'!$B:$M, 6, 0),"")</f>
        <v>73630</v>
      </c>
      <c r="I968" s="46">
        <v>0</v>
      </c>
      <c r="J968" s="46">
        <v>0</v>
      </c>
      <c r="K968" s="46">
        <v>0</v>
      </c>
      <c r="L968" s="46">
        <f t="shared" si="225"/>
        <v>0</v>
      </c>
      <c r="M968" s="46">
        <f t="shared" si="226"/>
        <v>0</v>
      </c>
      <c r="N968" s="45">
        <f t="shared" si="227"/>
        <v>0</v>
      </c>
      <c r="O968" s="45">
        <f t="shared" si="228"/>
        <v>0</v>
      </c>
      <c r="P968" s="46">
        <f t="shared" si="229"/>
        <v>0</v>
      </c>
      <c r="Q968" s="46">
        <v>2</v>
      </c>
      <c r="R968" s="45">
        <f t="shared" si="230"/>
        <v>147260</v>
      </c>
      <c r="S968" s="46">
        <f t="shared" si="231"/>
        <v>0</v>
      </c>
      <c r="T968" s="46">
        <f>IFERROR(VLOOKUP(A968,'[1]Re-order'!$A:$Q,17,0),"")</f>
        <v>51</v>
      </c>
      <c r="U968" s="46">
        <f>IFERROR(VLOOKUP(A968,'[1]MC Masterlist 2026-09-12'!$B:$M, 10, 0),0)</f>
        <v>15</v>
      </c>
      <c r="V968" s="46">
        <f>IFERROR(VLOOKUP(A968,'[1]MC Masterlist 2026-09-12'!$B:$M, 11, 0),0)</f>
        <v>15</v>
      </c>
      <c r="W968" s="46">
        <f t="shared" si="232"/>
        <v>30</v>
      </c>
      <c r="X968" s="46">
        <f t="shared" si="233"/>
        <v>30</v>
      </c>
      <c r="Y968" s="46">
        <f>IFERROR(IF(OR(C968="AREA I",C968="AREA V"),7,VLOOKUP(A968,'[1]MC Masterlist 2026-09-12'!$B:$M, 12, 0)),0)</f>
        <v>30</v>
      </c>
      <c r="Z968" s="46">
        <f t="shared" si="234"/>
        <v>0</v>
      </c>
      <c r="AA968" s="46">
        <f t="shared" si="235"/>
        <v>0</v>
      </c>
      <c r="AB968" s="46">
        <f t="shared" si="236"/>
        <v>0</v>
      </c>
      <c r="AC968" s="46">
        <f t="shared" si="237"/>
        <v>0</v>
      </c>
      <c r="AD968" s="44" t="str">
        <f t="shared" si="238"/>
        <v>Over</v>
      </c>
      <c r="AE968" s="44" t="str">
        <f>IFERROR(VLOOKUP(A968,'[1]Re-order'!$A:$AA,27,0),"")</f>
        <v>Re-order</v>
      </c>
      <c r="AF968" s="46">
        <f t="shared" si="239"/>
        <v>-2</v>
      </c>
      <c r="AG968" s="46">
        <f>SUMIFS('[1]Raw Inventory'!D:D,'[1]Raw Inventory'!C:C,"GREATWALL",'[1]Raw Inventory'!B:B,A968)</f>
        <v>0</v>
      </c>
      <c r="AH968" s="46">
        <f>SUMIFS('[1]Raw Inventory'!D:D,'[1]Raw Inventory'!C:C,"DUARTE",'[1]Raw Inventory'!B:B,A968)</f>
        <v>0</v>
      </c>
      <c r="AI968" s="46"/>
      <c r="AJ968" s="46"/>
      <c r="AK968" s="43"/>
      <c r="AL968" s="43"/>
      <c r="AM968" s="43"/>
      <c r="AN968" s="43"/>
      <c r="AO968" s="43"/>
      <c r="AP968" s="43"/>
      <c r="AQ968" s="43"/>
      <c r="AR968" s="43"/>
      <c r="AS968" s="43"/>
      <c r="AT968" s="43"/>
    </row>
    <row r="969" spans="1:46">
      <c r="A969" s="43" t="s">
        <v>43</v>
      </c>
      <c r="B969" s="43" t="s">
        <v>156</v>
      </c>
      <c r="C969" s="43" t="s">
        <v>152</v>
      </c>
      <c r="D969" s="44" t="s">
        <v>258</v>
      </c>
      <c r="E969" s="44">
        <v>27</v>
      </c>
      <c r="F969" s="44" t="s">
        <v>3</v>
      </c>
      <c r="G969" s="43" t="str">
        <f>IFERROR(VLOOKUP(A969,'[1]MC Masterlist 2026-09-12'!$B:$M, 3, 0),"")</f>
        <v>YAMAHA</v>
      </c>
      <c r="H969" s="45">
        <f>IFERROR(VLOOKUP(A969,'[1]MC Masterlist 2026-09-12'!$B:$M, 6, 0),"")</f>
        <v>70587</v>
      </c>
      <c r="I969" s="46">
        <v>0</v>
      </c>
      <c r="J969" s="46">
        <v>0</v>
      </c>
      <c r="K969" s="46">
        <v>0</v>
      </c>
      <c r="L969" s="46">
        <f t="shared" si="225"/>
        <v>0</v>
      </c>
      <c r="M969" s="46">
        <f t="shared" si="226"/>
        <v>0</v>
      </c>
      <c r="N969" s="45">
        <f t="shared" si="227"/>
        <v>0</v>
      </c>
      <c r="O969" s="45">
        <f t="shared" si="228"/>
        <v>0</v>
      </c>
      <c r="P969" s="46">
        <f t="shared" si="229"/>
        <v>0</v>
      </c>
      <c r="Q969" s="46">
        <v>2</v>
      </c>
      <c r="R969" s="45">
        <f t="shared" si="230"/>
        <v>141174</v>
      </c>
      <c r="S969" s="46">
        <f t="shared" si="231"/>
        <v>0</v>
      </c>
      <c r="T969" s="46">
        <f>IFERROR(VLOOKUP(A969,'[1]Re-order'!$A:$Q,17,0),"")</f>
        <v>43.578947368421055</v>
      </c>
      <c r="U969" s="46">
        <f>IFERROR(VLOOKUP(A969,'[1]MC Masterlist 2026-09-12'!$B:$M, 10, 0),0)</f>
        <v>15</v>
      </c>
      <c r="V969" s="46">
        <f>IFERROR(VLOOKUP(A969,'[1]MC Masterlist 2026-09-12'!$B:$M, 11, 0),0)</f>
        <v>15</v>
      </c>
      <c r="W969" s="46">
        <f t="shared" si="232"/>
        <v>30</v>
      </c>
      <c r="X969" s="46">
        <f t="shared" si="233"/>
        <v>30</v>
      </c>
      <c r="Y969" s="46">
        <f>IFERROR(IF(OR(C969="AREA I",C969="AREA V"),7,VLOOKUP(A969,'[1]MC Masterlist 2026-09-12'!$B:$M, 12, 0)),0)</f>
        <v>30</v>
      </c>
      <c r="Z969" s="46">
        <f t="shared" si="234"/>
        <v>0</v>
      </c>
      <c r="AA969" s="46">
        <f t="shared" si="235"/>
        <v>0</v>
      </c>
      <c r="AB969" s="46">
        <f t="shared" si="236"/>
        <v>0</v>
      </c>
      <c r="AC969" s="46">
        <f t="shared" si="237"/>
        <v>0</v>
      </c>
      <c r="AD969" s="44" t="str">
        <f t="shared" si="238"/>
        <v>Over</v>
      </c>
      <c r="AE969" s="44" t="str">
        <f>IFERROR(VLOOKUP(A969,'[1]Re-order'!$A:$AA,27,0),"")</f>
        <v>Re-order</v>
      </c>
      <c r="AF969" s="46">
        <f t="shared" si="239"/>
        <v>-2</v>
      </c>
      <c r="AG969" s="46">
        <f>SUMIFS('[1]Raw Inventory'!D:D,'[1]Raw Inventory'!C:C,"GREATWALL",'[1]Raw Inventory'!B:B,A969)</f>
        <v>0</v>
      </c>
      <c r="AH969" s="46">
        <f>SUMIFS('[1]Raw Inventory'!D:D,'[1]Raw Inventory'!C:C,"DUARTE",'[1]Raw Inventory'!B:B,A969)</f>
        <v>0</v>
      </c>
      <c r="AI969" s="46"/>
      <c r="AJ969" s="46"/>
      <c r="AK969" s="43"/>
      <c r="AL969" s="43"/>
      <c r="AM969" s="43"/>
      <c r="AN969" s="43"/>
      <c r="AO969" s="43"/>
      <c r="AP969" s="43"/>
      <c r="AQ969" s="43"/>
      <c r="AR969" s="43"/>
      <c r="AS969" s="43"/>
      <c r="AT969" s="43"/>
    </row>
    <row r="970" spans="1:46">
      <c r="A970" s="43" t="s">
        <v>43</v>
      </c>
      <c r="B970" s="43" t="s">
        <v>92</v>
      </c>
      <c r="C970" s="43" t="s">
        <v>90</v>
      </c>
      <c r="D970" s="44" t="s">
        <v>221</v>
      </c>
      <c r="E970" s="44">
        <v>24</v>
      </c>
      <c r="F970" s="44" t="s">
        <v>3</v>
      </c>
      <c r="G970" s="43" t="str">
        <f>IFERROR(VLOOKUP(A970,'[1]MC Masterlist 2026-09-12'!$B:$M, 3, 0),"")</f>
        <v>YAMAHA</v>
      </c>
      <c r="H970" s="45">
        <f>IFERROR(VLOOKUP(A970,'[1]MC Masterlist 2026-09-12'!$B:$M, 6, 0),"")</f>
        <v>70587</v>
      </c>
      <c r="I970" s="46">
        <v>0</v>
      </c>
      <c r="J970" s="46">
        <v>1</v>
      </c>
      <c r="K970" s="46">
        <v>0</v>
      </c>
      <c r="L970" s="46">
        <f t="shared" si="225"/>
        <v>1</v>
      </c>
      <c r="M970" s="46">
        <f t="shared" si="226"/>
        <v>0.33333333333333331</v>
      </c>
      <c r="N970" s="45">
        <f t="shared" si="227"/>
        <v>70587</v>
      </c>
      <c r="O970" s="45">
        <f t="shared" si="228"/>
        <v>23529</v>
      </c>
      <c r="P970" s="46">
        <f t="shared" si="229"/>
        <v>1.111111111111111E-2</v>
      </c>
      <c r="Q970" s="46">
        <v>2</v>
      </c>
      <c r="R970" s="45">
        <f t="shared" si="230"/>
        <v>141174</v>
      </c>
      <c r="S970" s="46">
        <f t="shared" si="231"/>
        <v>180</v>
      </c>
      <c r="T970" s="46">
        <f>IFERROR(VLOOKUP(A970,'[1]Re-order'!$A:$Q,17,0),"")</f>
        <v>43.578947368421055</v>
      </c>
      <c r="U970" s="46">
        <f>IFERROR(VLOOKUP(A970,'[1]MC Masterlist 2026-09-12'!$B:$M, 10, 0),0)</f>
        <v>15</v>
      </c>
      <c r="V970" s="46">
        <f>IFERROR(VLOOKUP(A970,'[1]MC Masterlist 2026-09-12'!$B:$M, 11, 0),0)</f>
        <v>15</v>
      </c>
      <c r="W970" s="46">
        <f t="shared" si="232"/>
        <v>30</v>
      </c>
      <c r="X970" s="46">
        <f t="shared" si="233"/>
        <v>29.833333333333332</v>
      </c>
      <c r="Y970" s="46">
        <f>IFERROR(IF(OR(C970="AREA I",C970="AREA V"),7,VLOOKUP(A970,'[1]MC Masterlist 2026-09-12'!$B:$M, 12, 0)),0)</f>
        <v>30</v>
      </c>
      <c r="Z970" s="46">
        <f t="shared" si="234"/>
        <v>0.16666666666666666</v>
      </c>
      <c r="AA970" s="46">
        <f t="shared" si="235"/>
        <v>0.33333333333333331</v>
      </c>
      <c r="AB970" s="46">
        <f t="shared" si="236"/>
        <v>0.33148148148148143</v>
      </c>
      <c r="AC970" s="46">
        <f t="shared" si="237"/>
        <v>0.33333333333333331</v>
      </c>
      <c r="AD970" s="44" t="str">
        <f t="shared" si="238"/>
        <v>Over</v>
      </c>
      <c r="AE970" s="44" t="str">
        <f>IFERROR(VLOOKUP(A970,'[1]Re-order'!$A:$AA,27,0),"")</f>
        <v>Re-order</v>
      </c>
      <c r="AF970" s="46">
        <f t="shared" si="239"/>
        <v>-1.6666666666666667</v>
      </c>
      <c r="AG970" s="46">
        <f>SUMIFS('[1]Raw Inventory'!D:D,'[1]Raw Inventory'!C:C,"GREATWALL",'[1]Raw Inventory'!B:B,A970)</f>
        <v>0</v>
      </c>
      <c r="AH970" s="46">
        <f>SUMIFS('[1]Raw Inventory'!D:D,'[1]Raw Inventory'!C:C,"DUARTE",'[1]Raw Inventory'!B:B,A970)</f>
        <v>0</v>
      </c>
      <c r="AI970" s="46"/>
      <c r="AJ970" s="46"/>
      <c r="AK970" s="43"/>
      <c r="AL970" s="43"/>
      <c r="AM970" s="43"/>
      <c r="AN970" s="43"/>
      <c r="AO970" s="43"/>
      <c r="AP970" s="43"/>
      <c r="AQ970" s="43"/>
      <c r="AR970" s="43"/>
      <c r="AS970" s="43"/>
      <c r="AT970" s="43"/>
    </row>
    <row r="971" spans="1:46">
      <c r="A971" s="43" t="s">
        <v>48</v>
      </c>
      <c r="B971" s="43" t="s">
        <v>115</v>
      </c>
      <c r="C971" s="43" t="s">
        <v>109</v>
      </c>
      <c r="D971" s="44" t="s">
        <v>242</v>
      </c>
      <c r="E971" s="44">
        <v>28</v>
      </c>
      <c r="F971" s="44" t="s">
        <v>3</v>
      </c>
      <c r="G971" s="43" t="str">
        <f>IFERROR(VLOOKUP(A971,'[1]MC Masterlist 2026-09-12'!$B:$M, 3, 0),"")</f>
        <v>SUZUKI</v>
      </c>
      <c r="H971" s="45">
        <f>IFERROR(VLOOKUP(A971,'[1]MC Masterlist 2026-09-12'!$B:$M, 6, 0),"")</f>
        <v>82687</v>
      </c>
      <c r="I971" s="46">
        <v>0</v>
      </c>
      <c r="J971" s="46">
        <v>0</v>
      </c>
      <c r="K971" s="46">
        <v>0</v>
      </c>
      <c r="L971" s="46">
        <f t="shared" si="225"/>
        <v>0</v>
      </c>
      <c r="M971" s="46">
        <f t="shared" si="226"/>
        <v>0</v>
      </c>
      <c r="N971" s="45">
        <f t="shared" si="227"/>
        <v>0</v>
      </c>
      <c r="O971" s="45">
        <f t="shared" si="228"/>
        <v>0</v>
      </c>
      <c r="P971" s="46">
        <f t="shared" si="229"/>
        <v>0</v>
      </c>
      <c r="Q971" s="46">
        <v>3</v>
      </c>
      <c r="R971" s="45">
        <f t="shared" si="230"/>
        <v>248061</v>
      </c>
      <c r="S971" s="46">
        <f t="shared" si="231"/>
        <v>0</v>
      </c>
      <c r="T971" s="46">
        <f>IFERROR(VLOOKUP(A971,'[1]Re-order'!$A:$Q,17,0),"")</f>
        <v>303.75</v>
      </c>
      <c r="U971" s="46">
        <f>IFERROR(VLOOKUP(A971,'[1]MC Masterlist 2026-09-12'!$B:$M, 10, 0),0)</f>
        <v>15</v>
      </c>
      <c r="V971" s="46">
        <f>IFERROR(VLOOKUP(A971,'[1]MC Masterlist 2026-09-12'!$B:$M, 11, 0),0)</f>
        <v>15</v>
      </c>
      <c r="W971" s="46">
        <f t="shared" si="232"/>
        <v>30</v>
      </c>
      <c r="X971" s="46">
        <f t="shared" si="233"/>
        <v>30</v>
      </c>
      <c r="Y971" s="46">
        <f>IFERROR(IF(OR(C971="AREA I",C971="AREA V"),7,VLOOKUP(A971,'[1]MC Masterlist 2026-09-12'!$B:$M, 12, 0)),0)</f>
        <v>30</v>
      </c>
      <c r="Z971" s="46">
        <f t="shared" si="234"/>
        <v>0</v>
      </c>
      <c r="AA971" s="46">
        <f t="shared" si="235"/>
        <v>0</v>
      </c>
      <c r="AB971" s="46">
        <f t="shared" si="236"/>
        <v>0</v>
      </c>
      <c r="AC971" s="46">
        <f t="shared" si="237"/>
        <v>0</v>
      </c>
      <c r="AD971" s="44" t="str">
        <f t="shared" si="238"/>
        <v>Over</v>
      </c>
      <c r="AE971" s="44" t="str">
        <f>IFERROR(VLOOKUP(A971,'[1]Re-order'!$A:$AA,27,0),"")</f>
        <v>Over</v>
      </c>
      <c r="AF971" s="46">
        <f t="shared" si="239"/>
        <v>-3</v>
      </c>
      <c r="AG971" s="46">
        <f>SUMIFS('[1]Raw Inventory'!D:D,'[1]Raw Inventory'!C:C,"GREATWALL",'[1]Raw Inventory'!B:B,A971)</f>
        <v>10</v>
      </c>
      <c r="AH971" s="46">
        <f>SUMIFS('[1]Raw Inventory'!D:D,'[1]Raw Inventory'!C:C,"DUARTE",'[1]Raw Inventory'!B:B,A971)</f>
        <v>0</v>
      </c>
      <c r="AI971" s="46"/>
      <c r="AJ971" s="46"/>
      <c r="AK971" s="43"/>
      <c r="AL971" s="43"/>
      <c r="AM971" s="43"/>
      <c r="AN971" s="43"/>
      <c r="AO971" s="43"/>
      <c r="AP971" s="43"/>
      <c r="AQ971" s="43"/>
      <c r="AR971" s="43"/>
      <c r="AS971" s="43"/>
      <c r="AT971" s="43"/>
    </row>
    <row r="972" spans="1:46">
      <c r="A972" s="43" t="s">
        <v>22</v>
      </c>
      <c r="B972" s="43" t="s">
        <v>131</v>
      </c>
      <c r="C972" s="43" t="s">
        <v>128</v>
      </c>
      <c r="D972" s="44" t="s">
        <v>233</v>
      </c>
      <c r="E972" s="44">
        <v>7</v>
      </c>
      <c r="F972" s="44" t="s">
        <v>2</v>
      </c>
      <c r="G972" s="43" t="str">
        <f>IFERROR(VLOOKUP(A972,'[1]MC Masterlist 2026-09-12'!$B:$M, 3, 0),"")</f>
        <v>HONDA</v>
      </c>
      <c r="H972" s="45">
        <f>IFERROR(VLOOKUP(A972,'[1]MC Masterlist 2026-09-12'!$B:$M, 6, 0),"")</f>
        <v>111258</v>
      </c>
      <c r="I972" s="46">
        <v>2</v>
      </c>
      <c r="J972" s="46">
        <v>2</v>
      </c>
      <c r="K972" s="46">
        <v>5</v>
      </c>
      <c r="L972" s="46">
        <f t="shared" si="225"/>
        <v>9</v>
      </c>
      <c r="M972" s="46">
        <f t="shared" si="226"/>
        <v>3</v>
      </c>
      <c r="N972" s="45">
        <f t="shared" si="227"/>
        <v>1001322</v>
      </c>
      <c r="O972" s="45">
        <f t="shared" si="228"/>
        <v>333774</v>
      </c>
      <c r="P972" s="46">
        <f t="shared" si="229"/>
        <v>0.1</v>
      </c>
      <c r="Q972" s="46">
        <v>4</v>
      </c>
      <c r="R972" s="45">
        <f t="shared" si="230"/>
        <v>445032</v>
      </c>
      <c r="S972" s="46">
        <f t="shared" si="231"/>
        <v>40</v>
      </c>
      <c r="T972" s="46">
        <f>IFERROR(VLOOKUP(A972,'[1]Re-order'!$A:$Q,17,0),"")</f>
        <v>41.339712918660283</v>
      </c>
      <c r="U972" s="46">
        <f>IFERROR(VLOOKUP(A972,'[1]MC Masterlist 2026-09-12'!$B:$M, 10, 0),0)</f>
        <v>15</v>
      </c>
      <c r="V972" s="46">
        <f>IFERROR(VLOOKUP(A972,'[1]MC Masterlist 2026-09-12'!$B:$M, 11, 0),0)</f>
        <v>15</v>
      </c>
      <c r="W972" s="46">
        <f t="shared" si="232"/>
        <v>30</v>
      </c>
      <c r="X972" s="46">
        <f t="shared" si="233"/>
        <v>28.5</v>
      </c>
      <c r="Y972" s="46">
        <f>IFERROR(IF(OR(C972="AREA I",C972="AREA V"),7,VLOOKUP(A972,'[1]MC Masterlist 2026-09-12'!$B:$M, 12, 0)),0)</f>
        <v>30</v>
      </c>
      <c r="Z972" s="46">
        <f t="shared" si="234"/>
        <v>1.5</v>
      </c>
      <c r="AA972" s="46">
        <f t="shared" si="235"/>
        <v>3</v>
      </c>
      <c r="AB972" s="46">
        <f t="shared" si="236"/>
        <v>2.85</v>
      </c>
      <c r="AC972" s="46">
        <f t="shared" si="237"/>
        <v>3</v>
      </c>
      <c r="AD972" s="44" t="str">
        <f t="shared" si="238"/>
        <v>Over</v>
      </c>
      <c r="AE972" s="44" t="str">
        <f>IFERROR(VLOOKUP(A972,'[1]Re-order'!$A:$AA,27,0),"")</f>
        <v>Re-order</v>
      </c>
      <c r="AF972" s="46">
        <f t="shared" si="239"/>
        <v>-1</v>
      </c>
      <c r="AG972" s="46">
        <f>SUMIFS('[1]Raw Inventory'!D:D,'[1]Raw Inventory'!C:C,"GREATWALL",'[1]Raw Inventory'!B:B,A972)</f>
        <v>4</v>
      </c>
      <c r="AH972" s="46">
        <f>SUMIFS('[1]Raw Inventory'!D:D,'[1]Raw Inventory'!C:C,"DUARTE",'[1]Raw Inventory'!B:B,A972)</f>
        <v>0</v>
      </c>
      <c r="AI972" s="46"/>
      <c r="AJ972" s="46"/>
      <c r="AK972" s="43"/>
      <c r="AL972" s="43"/>
      <c r="AM972" s="43"/>
      <c r="AN972" s="43"/>
      <c r="AO972" s="43"/>
      <c r="AP972" s="43"/>
      <c r="AQ972" s="43"/>
      <c r="AR972" s="43"/>
      <c r="AS972" s="43"/>
      <c r="AT972" s="43"/>
    </row>
    <row r="973" spans="1:46">
      <c r="A973" s="43" t="s">
        <v>20</v>
      </c>
      <c r="B973" s="43" t="s">
        <v>19</v>
      </c>
      <c r="C973" s="43" t="s">
        <v>1</v>
      </c>
      <c r="D973" s="44" t="s">
        <v>236</v>
      </c>
      <c r="E973" s="44">
        <v>7</v>
      </c>
      <c r="F973" s="44" t="s">
        <v>2</v>
      </c>
      <c r="G973" s="43" t="str">
        <f>IFERROR(VLOOKUP(A973,'[1]MC Masterlist 2026-09-12'!$B:$M, 3, 0),"")</f>
        <v>HONDA</v>
      </c>
      <c r="H973" s="45">
        <f>IFERROR(VLOOKUP(A973,'[1]MC Masterlist 2026-09-12'!$B:$M, 6, 0),"")</f>
        <v>69950</v>
      </c>
      <c r="I973" s="46">
        <v>7</v>
      </c>
      <c r="J973" s="46">
        <v>3</v>
      </c>
      <c r="K973" s="46">
        <v>7</v>
      </c>
      <c r="L973" s="46">
        <f t="shared" si="225"/>
        <v>17</v>
      </c>
      <c r="M973" s="46">
        <f t="shared" si="226"/>
        <v>5.666666666666667</v>
      </c>
      <c r="N973" s="45">
        <f t="shared" si="227"/>
        <v>1189150</v>
      </c>
      <c r="O973" s="45">
        <f t="shared" si="228"/>
        <v>396383.33333333337</v>
      </c>
      <c r="P973" s="46">
        <f t="shared" si="229"/>
        <v>0.18888888888888891</v>
      </c>
      <c r="Q973" s="46">
        <v>4</v>
      </c>
      <c r="R973" s="45">
        <f t="shared" si="230"/>
        <v>279800</v>
      </c>
      <c r="S973" s="46">
        <f t="shared" si="231"/>
        <v>21.176470588235293</v>
      </c>
      <c r="T973" s="46">
        <f>IFERROR(VLOOKUP(A973,'[1]Re-order'!$A:$Q,17,0),"")</f>
        <v>75.775862068965523</v>
      </c>
      <c r="U973" s="46">
        <f>IFERROR(VLOOKUP(A973,'[1]MC Masterlist 2026-09-12'!$B:$M, 10, 0),0)</f>
        <v>15</v>
      </c>
      <c r="V973" s="46">
        <f>IFERROR(VLOOKUP(A973,'[1]MC Masterlist 2026-09-12'!$B:$M, 11, 0),0)</f>
        <v>15</v>
      </c>
      <c r="W973" s="46">
        <f t="shared" si="232"/>
        <v>30</v>
      </c>
      <c r="X973" s="46">
        <f t="shared" si="233"/>
        <v>4.1666666666666661</v>
      </c>
      <c r="Y973" s="46">
        <f>IFERROR(IF(OR(C973="AREA I",C973="AREA V"),7,VLOOKUP(A973,'[1]MC Masterlist 2026-09-12'!$B:$M, 12, 0)),0)</f>
        <v>7</v>
      </c>
      <c r="Z973" s="46">
        <f t="shared" si="234"/>
        <v>2.8333333333333335</v>
      </c>
      <c r="AA973" s="46">
        <f t="shared" si="235"/>
        <v>5.666666666666667</v>
      </c>
      <c r="AB973" s="46">
        <f t="shared" si="236"/>
        <v>0.78703703703703698</v>
      </c>
      <c r="AC973" s="46">
        <f t="shared" si="237"/>
        <v>1.3222222222222224</v>
      </c>
      <c r="AD973" s="44" t="str">
        <f t="shared" si="238"/>
        <v>Over</v>
      </c>
      <c r="AE973" s="44" t="str">
        <f>IFERROR(VLOOKUP(A973,'[1]Re-order'!$A:$AA,27,0),"")</f>
        <v/>
      </c>
      <c r="AF973" s="46">
        <f t="shared" si="239"/>
        <v>-2.6777777777777776</v>
      </c>
      <c r="AG973" s="46">
        <f>SUMIFS('[1]Raw Inventory'!D:D,'[1]Raw Inventory'!C:C,"GREATWALL",'[1]Raw Inventory'!B:B,A973)</f>
        <v>110</v>
      </c>
      <c r="AH973" s="46">
        <f>SUMIFS('[1]Raw Inventory'!D:D,'[1]Raw Inventory'!C:C,"DUARTE",'[1]Raw Inventory'!B:B,A973)</f>
        <v>0</v>
      </c>
      <c r="AI973" s="46"/>
      <c r="AJ973" s="46"/>
      <c r="AK973" s="43"/>
      <c r="AL973" s="43"/>
      <c r="AM973" s="43"/>
      <c r="AN973" s="43"/>
      <c r="AO973" s="43"/>
      <c r="AP973" s="43"/>
      <c r="AQ973" s="43"/>
      <c r="AR973" s="43"/>
      <c r="AS973" s="43"/>
      <c r="AT973" s="43"/>
    </row>
    <row r="974" spans="1:46">
      <c r="A974" s="43" t="s">
        <v>28</v>
      </c>
      <c r="B974" s="43" t="s">
        <v>155</v>
      </c>
      <c r="C974" s="43" t="s">
        <v>152</v>
      </c>
      <c r="D974" s="44" t="s">
        <v>226</v>
      </c>
      <c r="E974" s="44">
        <v>27</v>
      </c>
      <c r="F974" s="44" t="s">
        <v>3</v>
      </c>
      <c r="G974" s="43" t="str">
        <f>IFERROR(VLOOKUP(A974,'[1]MC Masterlist 2026-09-12'!$B:$M, 3, 0),"")</f>
        <v>YAMAHA</v>
      </c>
      <c r="H974" s="45">
        <f>IFERROR(VLOOKUP(A974,'[1]MC Masterlist 2026-09-12'!$B:$M, 6, 0),"")</f>
        <v>147312</v>
      </c>
      <c r="I974" s="46">
        <v>0</v>
      </c>
      <c r="J974" s="46">
        <v>0</v>
      </c>
      <c r="K974" s="46">
        <v>0</v>
      </c>
      <c r="L974" s="46">
        <f t="shared" si="225"/>
        <v>0</v>
      </c>
      <c r="M974" s="46">
        <f t="shared" si="226"/>
        <v>0</v>
      </c>
      <c r="N974" s="45">
        <f t="shared" si="227"/>
        <v>0</v>
      </c>
      <c r="O974" s="45">
        <f t="shared" si="228"/>
        <v>0</v>
      </c>
      <c r="P974" s="46">
        <f t="shared" si="229"/>
        <v>0</v>
      </c>
      <c r="Q974" s="46">
        <v>3</v>
      </c>
      <c r="R974" s="45">
        <f t="shared" si="230"/>
        <v>441936</v>
      </c>
      <c r="S974" s="46">
        <f t="shared" si="231"/>
        <v>0</v>
      </c>
      <c r="T974" s="46">
        <f>IFERROR(VLOOKUP(A974,'[1]Re-order'!$A:$Q,17,0),"")</f>
        <v>8.2417582417582427</v>
      </c>
      <c r="U974" s="46">
        <f>IFERROR(VLOOKUP(A974,'[1]MC Masterlist 2026-09-12'!$B:$M, 10, 0),0)</f>
        <v>15</v>
      </c>
      <c r="V974" s="46">
        <f>IFERROR(VLOOKUP(A974,'[1]MC Masterlist 2026-09-12'!$B:$M, 11, 0),0)</f>
        <v>15</v>
      </c>
      <c r="W974" s="46">
        <f t="shared" si="232"/>
        <v>30</v>
      </c>
      <c r="X974" s="46">
        <f t="shared" si="233"/>
        <v>30</v>
      </c>
      <c r="Y974" s="46">
        <f>IFERROR(IF(OR(C974="AREA I",C974="AREA V"),7,VLOOKUP(A974,'[1]MC Masterlist 2026-09-12'!$B:$M, 12, 0)),0)</f>
        <v>30</v>
      </c>
      <c r="Z974" s="46">
        <f t="shared" si="234"/>
        <v>0</v>
      </c>
      <c r="AA974" s="46">
        <f t="shared" si="235"/>
        <v>0</v>
      </c>
      <c r="AB974" s="46">
        <f t="shared" si="236"/>
        <v>0</v>
      </c>
      <c r="AC974" s="46">
        <f t="shared" si="237"/>
        <v>0</v>
      </c>
      <c r="AD974" s="44" t="str">
        <f t="shared" si="238"/>
        <v>Over</v>
      </c>
      <c r="AE974" s="44" t="str">
        <f>IFERROR(VLOOKUP(A974,'[1]Re-order'!$A:$AA,27,0),"")</f>
        <v>Stockout</v>
      </c>
      <c r="AF974" s="46">
        <f t="shared" si="239"/>
        <v>-3</v>
      </c>
      <c r="AG974" s="46">
        <f>SUMIFS('[1]Raw Inventory'!D:D,'[1]Raw Inventory'!C:C,"GREATWALL",'[1]Raw Inventory'!B:B,A974)</f>
        <v>0</v>
      </c>
      <c r="AH974" s="46">
        <f>SUMIFS('[1]Raw Inventory'!D:D,'[1]Raw Inventory'!C:C,"DUARTE",'[1]Raw Inventory'!B:B,A974)</f>
        <v>0</v>
      </c>
      <c r="AI974" s="46"/>
      <c r="AJ974" s="46"/>
      <c r="AK974" s="43"/>
      <c r="AL974" s="43"/>
      <c r="AM974" s="43"/>
      <c r="AN974" s="43"/>
      <c r="AO974" s="43"/>
      <c r="AP974" s="43"/>
      <c r="AQ974" s="43"/>
      <c r="AR974" s="43"/>
      <c r="AS974" s="43"/>
      <c r="AT974" s="43"/>
    </row>
    <row r="975" spans="1:46">
      <c r="A975" s="43" t="s">
        <v>25</v>
      </c>
      <c r="B975" s="43" t="s">
        <v>110</v>
      </c>
      <c r="C975" s="43" t="s">
        <v>109</v>
      </c>
      <c r="D975" s="44" t="s">
        <v>224</v>
      </c>
      <c r="E975" s="44">
        <v>10</v>
      </c>
      <c r="F975" s="44" t="s">
        <v>2</v>
      </c>
      <c r="G975" s="43" t="str">
        <f>IFERROR(VLOOKUP(A975,'[1]MC Masterlist 2026-09-12'!$B:$M, 3, 0),"")</f>
        <v>YAMAHA</v>
      </c>
      <c r="H975" s="45">
        <f>IFERROR(VLOOKUP(A975,'[1]MC Masterlist 2026-09-12'!$B:$M, 6, 0),"")</f>
        <v>124527</v>
      </c>
      <c r="I975" s="46">
        <v>2</v>
      </c>
      <c r="J975" s="46">
        <v>0</v>
      </c>
      <c r="K975" s="46">
        <v>0</v>
      </c>
      <c r="L975" s="46">
        <f t="shared" si="225"/>
        <v>2</v>
      </c>
      <c r="M975" s="46">
        <f t="shared" si="226"/>
        <v>0.66666666666666663</v>
      </c>
      <c r="N975" s="45">
        <f t="shared" si="227"/>
        <v>249054</v>
      </c>
      <c r="O975" s="45">
        <f t="shared" si="228"/>
        <v>83018</v>
      </c>
      <c r="P975" s="46">
        <f t="shared" si="229"/>
        <v>2.222222222222222E-2</v>
      </c>
      <c r="Q975" s="46"/>
      <c r="R975" s="45">
        <f t="shared" si="230"/>
        <v>0</v>
      </c>
      <c r="S975" s="46">
        <f t="shared" si="231"/>
        <v>0</v>
      </c>
      <c r="T975" s="46">
        <f>IFERROR(VLOOKUP(A975,'[1]Re-order'!$A:$Q,17,0),"")</f>
        <v>5.1030927835051543</v>
      </c>
      <c r="U975" s="46">
        <f>IFERROR(VLOOKUP(A975,'[1]MC Masterlist 2026-09-12'!$B:$M, 10, 0),0)</f>
        <v>15</v>
      </c>
      <c r="V975" s="46">
        <f>IFERROR(VLOOKUP(A975,'[1]MC Masterlist 2026-09-12'!$B:$M, 11, 0),0)</f>
        <v>15</v>
      </c>
      <c r="W975" s="46">
        <f t="shared" si="232"/>
        <v>30</v>
      </c>
      <c r="X975" s="46">
        <f t="shared" si="233"/>
        <v>29.666666666666668</v>
      </c>
      <c r="Y975" s="46">
        <f>IFERROR(IF(OR(C975="AREA I",C975="AREA V"),7,VLOOKUP(A975,'[1]MC Masterlist 2026-09-12'!$B:$M, 12, 0)),0)</f>
        <v>30</v>
      </c>
      <c r="Z975" s="46">
        <f t="shared" si="234"/>
        <v>0.33333333333333331</v>
      </c>
      <c r="AA975" s="46">
        <f t="shared" si="235"/>
        <v>0.66666666666666663</v>
      </c>
      <c r="AB975" s="46">
        <f t="shared" si="236"/>
        <v>0.65925925925925921</v>
      </c>
      <c r="AC975" s="46">
        <f t="shared" si="237"/>
        <v>0.66666666666666663</v>
      </c>
      <c r="AD975" s="44" t="str">
        <f t="shared" si="238"/>
        <v>Stockout</v>
      </c>
      <c r="AE975" s="44" t="str">
        <f>IFERROR(VLOOKUP(A975,'[1]Re-order'!$A:$AA,27,0),"")</f>
        <v>Stockout</v>
      </c>
      <c r="AF975" s="46">
        <f t="shared" si="239"/>
        <v>0.66666666666666663</v>
      </c>
      <c r="AG975" s="46">
        <f>SUMIFS('[1]Raw Inventory'!D:D,'[1]Raw Inventory'!C:C,"GREATWALL",'[1]Raw Inventory'!B:B,A975)</f>
        <v>1</v>
      </c>
      <c r="AH975" s="46">
        <f>SUMIFS('[1]Raw Inventory'!D:D,'[1]Raw Inventory'!C:C,"DUARTE",'[1]Raw Inventory'!B:B,A975)</f>
        <v>0</v>
      </c>
      <c r="AI975" s="46"/>
      <c r="AJ975" s="46"/>
      <c r="AK975" s="43"/>
      <c r="AL975" s="43"/>
      <c r="AM975" s="43"/>
      <c r="AN975" s="43"/>
      <c r="AO975" s="43"/>
      <c r="AP975" s="43"/>
      <c r="AQ975" s="43"/>
      <c r="AR975" s="43"/>
      <c r="AS975" s="43"/>
      <c r="AT975" s="43"/>
    </row>
    <row r="976" spans="1:46">
      <c r="A976" s="43" t="s">
        <v>26</v>
      </c>
      <c r="B976" s="43" t="s">
        <v>29</v>
      </c>
      <c r="C976" s="43" t="s">
        <v>1</v>
      </c>
      <c r="D976" s="44" t="s">
        <v>254</v>
      </c>
      <c r="E976" s="44">
        <v>8</v>
      </c>
      <c r="F976" s="44" t="s">
        <v>2</v>
      </c>
      <c r="G976" s="43" t="str">
        <f>IFERROR(VLOOKUP(A976,'[1]MC Masterlist 2026-09-12'!$B:$M, 3, 0),"")</f>
        <v>SUZUKI</v>
      </c>
      <c r="H976" s="45">
        <f>IFERROR(VLOOKUP(A976,'[1]MC Masterlist 2026-09-12'!$B:$M, 6, 0),"")</f>
        <v>123700</v>
      </c>
      <c r="I976" s="46">
        <v>2</v>
      </c>
      <c r="J976" s="46">
        <v>3</v>
      </c>
      <c r="K976" s="46">
        <v>3</v>
      </c>
      <c r="L976" s="46">
        <f t="shared" si="225"/>
        <v>8</v>
      </c>
      <c r="M976" s="46">
        <f t="shared" si="226"/>
        <v>2.6666666666666665</v>
      </c>
      <c r="N976" s="45">
        <f t="shared" si="227"/>
        <v>989600</v>
      </c>
      <c r="O976" s="45">
        <f t="shared" si="228"/>
        <v>329866.66666666663</v>
      </c>
      <c r="P976" s="46">
        <f t="shared" si="229"/>
        <v>8.8888888888888878E-2</v>
      </c>
      <c r="Q976" s="46">
        <v>0</v>
      </c>
      <c r="R976" s="45">
        <f t="shared" si="230"/>
        <v>0</v>
      </c>
      <c r="S976" s="46">
        <f t="shared" si="231"/>
        <v>0</v>
      </c>
      <c r="T976" s="46">
        <f>IFERROR(VLOOKUP(A976,'[1]Re-order'!$A:$Q,17,0),"")</f>
        <v>71.470588235294116</v>
      </c>
      <c r="U976" s="46">
        <f>IFERROR(VLOOKUP(A976,'[1]MC Masterlist 2026-09-12'!$B:$M, 10, 0),0)</f>
        <v>15</v>
      </c>
      <c r="V976" s="46">
        <f>IFERROR(VLOOKUP(A976,'[1]MC Masterlist 2026-09-12'!$B:$M, 11, 0),0)</f>
        <v>15</v>
      </c>
      <c r="W976" s="46">
        <f t="shared" si="232"/>
        <v>30</v>
      </c>
      <c r="X976" s="46">
        <f t="shared" si="233"/>
        <v>5.666666666666667</v>
      </c>
      <c r="Y976" s="46">
        <f>IFERROR(IF(OR(C976="AREA I",C976="AREA V"),7,VLOOKUP(A976,'[1]MC Masterlist 2026-09-12'!$B:$M, 12, 0)),0)</f>
        <v>7</v>
      </c>
      <c r="Z976" s="46">
        <f t="shared" si="234"/>
        <v>1.3333333333333333</v>
      </c>
      <c r="AA976" s="46">
        <f t="shared" si="235"/>
        <v>2.6666666666666665</v>
      </c>
      <c r="AB976" s="46">
        <f t="shared" si="236"/>
        <v>0.50370370370370365</v>
      </c>
      <c r="AC976" s="46">
        <f t="shared" si="237"/>
        <v>0.62222222222222212</v>
      </c>
      <c r="AD976" s="44" t="str">
        <f t="shared" si="238"/>
        <v>Stockout</v>
      </c>
      <c r="AE976" s="44" t="str">
        <f>IFERROR(VLOOKUP(A976,'[1]Re-order'!$A:$AA,27,0),"")</f>
        <v>Re-order</v>
      </c>
      <c r="AF976" s="46">
        <f t="shared" si="239"/>
        <v>0.62222222222222212</v>
      </c>
      <c r="AG976" s="46">
        <f>SUMIFS('[1]Raw Inventory'!D:D,'[1]Raw Inventory'!C:C,"GREATWALL",'[1]Raw Inventory'!B:B,A976)</f>
        <v>30</v>
      </c>
      <c r="AH976" s="46">
        <f>SUMIFS('[1]Raw Inventory'!D:D,'[1]Raw Inventory'!C:C,"DUARTE",'[1]Raw Inventory'!B:B,A976)</f>
        <v>0</v>
      </c>
      <c r="AI976" s="46"/>
      <c r="AJ976" s="46"/>
      <c r="AK976" s="43"/>
      <c r="AL976" s="43"/>
      <c r="AM976" s="43"/>
      <c r="AN976" s="43"/>
      <c r="AO976" s="43"/>
      <c r="AP976" s="43"/>
      <c r="AQ976" s="43"/>
      <c r="AR976" s="43"/>
      <c r="AS976" s="43"/>
      <c r="AT976" s="43"/>
    </row>
    <row r="977" spans="1:46">
      <c r="A977" s="43" t="s">
        <v>69</v>
      </c>
      <c r="B977" s="43" t="s">
        <v>142</v>
      </c>
      <c r="C977" s="43" t="s">
        <v>137</v>
      </c>
      <c r="D977" s="44" t="s">
        <v>243</v>
      </c>
      <c r="E977" s="44">
        <v>17</v>
      </c>
      <c r="F977" s="44" t="s">
        <v>2</v>
      </c>
      <c r="G977" s="43" t="str">
        <f>IFERROR(VLOOKUP(A977,'[1]MC Masterlist 2026-09-12'!$B:$M, 3, 0),"")</f>
        <v>YAMAHA</v>
      </c>
      <c r="H977" s="45">
        <f>IFERROR(VLOOKUP(A977,'[1]MC Masterlist 2026-09-12'!$B:$M, 6, 0),"")</f>
        <v>54426</v>
      </c>
      <c r="I977" s="46">
        <v>1</v>
      </c>
      <c r="J977" s="46">
        <v>1</v>
      </c>
      <c r="K977" s="46">
        <v>0</v>
      </c>
      <c r="L977" s="46">
        <f t="shared" si="225"/>
        <v>2</v>
      </c>
      <c r="M977" s="46">
        <f t="shared" si="226"/>
        <v>0.66666666666666663</v>
      </c>
      <c r="N977" s="45">
        <f t="shared" si="227"/>
        <v>108852</v>
      </c>
      <c r="O977" s="45">
        <f t="shared" si="228"/>
        <v>36284</v>
      </c>
      <c r="P977" s="46">
        <f t="shared" si="229"/>
        <v>2.222222222222222E-2</v>
      </c>
      <c r="Q977" s="46">
        <v>4</v>
      </c>
      <c r="R977" s="45">
        <f t="shared" si="230"/>
        <v>217704</v>
      </c>
      <c r="S977" s="46">
        <f t="shared" si="231"/>
        <v>180</v>
      </c>
      <c r="T977" s="46">
        <f>IFERROR(VLOOKUP(A977,'[1]Re-order'!$A:$Q,17,0),"")</f>
        <v>62.307692307692314</v>
      </c>
      <c r="U977" s="46">
        <f>IFERROR(VLOOKUP(A977,'[1]MC Masterlist 2026-09-12'!$B:$M, 10, 0),0)</f>
        <v>15</v>
      </c>
      <c r="V977" s="46">
        <f>IFERROR(VLOOKUP(A977,'[1]MC Masterlist 2026-09-12'!$B:$M, 11, 0),0)</f>
        <v>15</v>
      </c>
      <c r="W977" s="46">
        <f t="shared" si="232"/>
        <v>30</v>
      </c>
      <c r="X977" s="46">
        <f t="shared" si="233"/>
        <v>6.666666666666667</v>
      </c>
      <c r="Y977" s="46">
        <f>IFERROR(IF(OR(C977="AREA I",C977="AREA V"),7,VLOOKUP(A977,'[1]MC Masterlist 2026-09-12'!$B:$M, 12, 0)),0)</f>
        <v>7</v>
      </c>
      <c r="Z977" s="46">
        <f t="shared" si="234"/>
        <v>0.33333333333333331</v>
      </c>
      <c r="AA977" s="46">
        <f t="shared" si="235"/>
        <v>0.66666666666666663</v>
      </c>
      <c r="AB977" s="46">
        <f t="shared" si="236"/>
        <v>0.14814814814814814</v>
      </c>
      <c r="AC977" s="46">
        <f t="shared" si="237"/>
        <v>0.15555555555555553</v>
      </c>
      <c r="AD977" s="44" t="str">
        <f t="shared" si="238"/>
        <v>Over</v>
      </c>
      <c r="AE977" s="44" t="str">
        <f>IFERROR(VLOOKUP(A977,'[1]Re-order'!$A:$AA,27,0),"")</f>
        <v>Re-order</v>
      </c>
      <c r="AF977" s="46">
        <f t="shared" si="239"/>
        <v>-3.8444444444444446</v>
      </c>
      <c r="AG977" s="46">
        <f>SUMIFS('[1]Raw Inventory'!D:D,'[1]Raw Inventory'!C:C,"GREATWALL",'[1]Raw Inventory'!B:B,A977)</f>
        <v>1</v>
      </c>
      <c r="AH977" s="46">
        <f>SUMIFS('[1]Raw Inventory'!D:D,'[1]Raw Inventory'!C:C,"DUARTE",'[1]Raw Inventory'!B:B,A977)</f>
        <v>0</v>
      </c>
      <c r="AI977" s="46"/>
      <c r="AJ977" s="46"/>
      <c r="AK977" s="43"/>
      <c r="AL977" s="43"/>
      <c r="AM977" s="43"/>
      <c r="AN977" s="43"/>
      <c r="AO977" s="43"/>
      <c r="AP977" s="43"/>
      <c r="AQ977" s="43"/>
      <c r="AR977" s="43"/>
      <c r="AS977" s="43"/>
      <c r="AT977" s="43"/>
    </row>
    <row r="978" spans="1:46">
      <c r="A978" s="43" t="s">
        <v>52</v>
      </c>
      <c r="B978" s="43" t="s">
        <v>30</v>
      </c>
      <c r="C978" s="43" t="s">
        <v>1</v>
      </c>
      <c r="D978" s="44" t="s">
        <v>235</v>
      </c>
      <c r="E978" s="44">
        <v>32</v>
      </c>
      <c r="F978" s="44" t="s">
        <v>3</v>
      </c>
      <c r="G978" s="43" t="str">
        <f>IFERROR(VLOOKUP(A978,'[1]MC Masterlist 2026-09-12'!$B:$M, 3, 0),"")</f>
        <v>YAMAHA</v>
      </c>
      <c r="H978" s="45">
        <f>IFERROR(VLOOKUP(A978,'[1]MC Masterlist 2026-09-12'!$B:$M, 6, 0),"")</f>
        <v>85446</v>
      </c>
      <c r="I978" s="46">
        <v>1</v>
      </c>
      <c r="J978" s="46">
        <v>0</v>
      </c>
      <c r="K978" s="46">
        <v>0</v>
      </c>
      <c r="L978" s="46">
        <f t="shared" si="225"/>
        <v>1</v>
      </c>
      <c r="M978" s="46">
        <f t="shared" si="226"/>
        <v>0.33333333333333331</v>
      </c>
      <c r="N978" s="45">
        <f t="shared" si="227"/>
        <v>85446</v>
      </c>
      <c r="O978" s="45">
        <f t="shared" si="228"/>
        <v>28482</v>
      </c>
      <c r="P978" s="46">
        <f t="shared" si="229"/>
        <v>1.111111111111111E-2</v>
      </c>
      <c r="Q978" s="46">
        <v>2</v>
      </c>
      <c r="R978" s="45">
        <f t="shared" si="230"/>
        <v>170892</v>
      </c>
      <c r="S978" s="46">
        <f t="shared" si="231"/>
        <v>180</v>
      </c>
      <c r="T978" s="46">
        <f>IFERROR(VLOOKUP(A978,'[1]Re-order'!$A:$Q,17,0),"")</f>
        <v>95.454545454545453</v>
      </c>
      <c r="U978" s="46">
        <f>IFERROR(VLOOKUP(A978,'[1]MC Masterlist 2026-09-12'!$B:$M, 10, 0),0)</f>
        <v>15</v>
      </c>
      <c r="V978" s="46">
        <f>IFERROR(VLOOKUP(A978,'[1]MC Masterlist 2026-09-12'!$B:$M, 11, 0),0)</f>
        <v>15</v>
      </c>
      <c r="W978" s="46">
        <f t="shared" si="232"/>
        <v>30</v>
      </c>
      <c r="X978" s="46">
        <f t="shared" si="233"/>
        <v>6.833333333333333</v>
      </c>
      <c r="Y978" s="46">
        <f>IFERROR(IF(OR(C978="AREA I",C978="AREA V"),7,VLOOKUP(A978,'[1]MC Masterlist 2026-09-12'!$B:$M, 12, 0)),0)</f>
        <v>7</v>
      </c>
      <c r="Z978" s="46">
        <f t="shared" si="234"/>
        <v>0.16666666666666666</v>
      </c>
      <c r="AA978" s="46">
        <f t="shared" si="235"/>
        <v>0.33333333333333331</v>
      </c>
      <c r="AB978" s="46">
        <f t="shared" si="236"/>
        <v>7.5925925925925911E-2</v>
      </c>
      <c r="AC978" s="46">
        <f t="shared" si="237"/>
        <v>7.7777777777777765E-2</v>
      </c>
      <c r="AD978" s="44" t="str">
        <f t="shared" si="238"/>
        <v>Over</v>
      </c>
      <c r="AE978" s="44" t="str">
        <f>IFERROR(VLOOKUP(A978,'[1]Re-order'!$A:$AA,27,0),"")</f>
        <v>Over</v>
      </c>
      <c r="AF978" s="46">
        <f t="shared" si="239"/>
        <v>-1.9222222222222223</v>
      </c>
      <c r="AG978" s="46">
        <f>SUMIFS('[1]Raw Inventory'!D:D,'[1]Raw Inventory'!C:C,"GREATWALL",'[1]Raw Inventory'!B:B,A978)</f>
        <v>0</v>
      </c>
      <c r="AH978" s="46">
        <f>SUMIFS('[1]Raw Inventory'!D:D,'[1]Raw Inventory'!C:C,"DUARTE",'[1]Raw Inventory'!B:B,A978)</f>
        <v>0</v>
      </c>
      <c r="AI978" s="46"/>
      <c r="AJ978" s="46"/>
      <c r="AK978" s="43"/>
      <c r="AL978" s="43"/>
      <c r="AM978" s="43"/>
      <c r="AN978" s="43"/>
      <c r="AO978" s="43"/>
      <c r="AP978" s="43"/>
      <c r="AQ978" s="43"/>
      <c r="AR978" s="43"/>
      <c r="AS978" s="43"/>
      <c r="AT978" s="43"/>
    </row>
    <row r="979" spans="1:46">
      <c r="A979" s="43" t="s">
        <v>60</v>
      </c>
      <c r="B979" s="43" t="s">
        <v>119</v>
      </c>
      <c r="C979" s="43" t="s">
        <v>118</v>
      </c>
      <c r="D979" s="44" t="s">
        <v>237</v>
      </c>
      <c r="E979" s="44">
        <v>32</v>
      </c>
      <c r="F979" s="44" t="s">
        <v>3</v>
      </c>
      <c r="G979" s="43" t="str">
        <f>IFERROR(VLOOKUP(A979,'[1]MC Masterlist 2026-09-12'!$B:$M, 3, 0),"")</f>
        <v>HONDA</v>
      </c>
      <c r="H979" s="45">
        <f>IFERROR(VLOOKUP(A979,'[1]MC Masterlist 2026-09-12'!$B:$M, 6, 0),"")</f>
        <v>61670</v>
      </c>
      <c r="I979" s="46">
        <v>0</v>
      </c>
      <c r="J979" s="46">
        <v>1</v>
      </c>
      <c r="K979" s="46">
        <v>0</v>
      </c>
      <c r="L979" s="46">
        <f t="shared" si="225"/>
        <v>1</v>
      </c>
      <c r="M979" s="46">
        <f t="shared" si="226"/>
        <v>0.33333333333333331</v>
      </c>
      <c r="N979" s="45">
        <f t="shared" si="227"/>
        <v>61670</v>
      </c>
      <c r="O979" s="45">
        <f t="shared" si="228"/>
        <v>20556.666666666664</v>
      </c>
      <c r="P979" s="46">
        <f t="shared" si="229"/>
        <v>1.111111111111111E-2</v>
      </c>
      <c r="Q979" s="46"/>
      <c r="R979" s="45">
        <f t="shared" si="230"/>
        <v>0</v>
      </c>
      <c r="S979" s="46">
        <f t="shared" si="231"/>
        <v>0</v>
      </c>
      <c r="T979" s="46">
        <f>IFERROR(VLOOKUP(A979,'[1]Re-order'!$A:$Q,17,0),"")</f>
        <v>300</v>
      </c>
      <c r="U979" s="46">
        <f>IFERROR(VLOOKUP(A979,'[1]MC Masterlist 2026-09-12'!$B:$M, 10, 0),0)</f>
        <v>15</v>
      </c>
      <c r="V979" s="46">
        <f>IFERROR(VLOOKUP(A979,'[1]MC Masterlist 2026-09-12'!$B:$M, 11, 0),0)</f>
        <v>15</v>
      </c>
      <c r="W979" s="46">
        <f t="shared" si="232"/>
        <v>30</v>
      </c>
      <c r="X979" s="46">
        <f t="shared" si="233"/>
        <v>29.833333333333332</v>
      </c>
      <c r="Y979" s="46">
        <f>IFERROR(IF(OR(C979="AREA I",C979="AREA V"),7,VLOOKUP(A979,'[1]MC Masterlist 2026-09-12'!$B:$M, 12, 0)),0)</f>
        <v>30</v>
      </c>
      <c r="Z979" s="46">
        <f t="shared" si="234"/>
        <v>0.16666666666666666</v>
      </c>
      <c r="AA979" s="46">
        <f t="shared" si="235"/>
        <v>0.33333333333333331</v>
      </c>
      <c r="AB979" s="46">
        <f t="shared" si="236"/>
        <v>0.33148148148148143</v>
      </c>
      <c r="AC979" s="46">
        <f t="shared" si="237"/>
        <v>0.33333333333333331</v>
      </c>
      <c r="AD979" s="44" t="str">
        <f t="shared" si="238"/>
        <v>Stockout</v>
      </c>
      <c r="AE979" s="44" t="str">
        <f>IFERROR(VLOOKUP(A979,'[1]Re-order'!$A:$AA,27,0),"")</f>
        <v>Over</v>
      </c>
      <c r="AF979" s="46">
        <f t="shared" si="239"/>
        <v>0.33333333333333331</v>
      </c>
      <c r="AG979" s="46">
        <f>SUMIFS('[1]Raw Inventory'!D:D,'[1]Raw Inventory'!C:C,"GREATWALL",'[1]Raw Inventory'!B:B,A979)</f>
        <v>0</v>
      </c>
      <c r="AH979" s="46">
        <f>SUMIFS('[1]Raw Inventory'!D:D,'[1]Raw Inventory'!C:C,"DUARTE",'[1]Raw Inventory'!B:B,A979)</f>
        <v>0</v>
      </c>
      <c r="AI979" s="46"/>
      <c r="AJ979" s="46"/>
      <c r="AK979" s="43"/>
      <c r="AL979" s="43"/>
      <c r="AM979" s="43"/>
      <c r="AN979" s="43"/>
      <c r="AO979" s="43"/>
      <c r="AP979" s="43"/>
      <c r="AQ979" s="43"/>
      <c r="AR979" s="43"/>
      <c r="AS979" s="43"/>
      <c r="AT979" s="43"/>
    </row>
    <row r="980" spans="1:46">
      <c r="A980" s="43" t="s">
        <v>62</v>
      </c>
      <c r="B980" s="43" t="s">
        <v>161</v>
      </c>
      <c r="C980" s="43" t="s">
        <v>159</v>
      </c>
      <c r="D980" s="44" t="s">
        <v>227</v>
      </c>
      <c r="E980" s="44">
        <v>1</v>
      </c>
      <c r="F980" s="44" t="s">
        <v>0</v>
      </c>
      <c r="G980" s="43" t="str">
        <f>IFERROR(VLOOKUP(A980,'[1]MC Masterlist 2026-09-12'!$B:$M, 3, 0),"")</f>
        <v>HONDA</v>
      </c>
      <c r="H980" s="45">
        <f>IFERROR(VLOOKUP(A980,'[1]MC Masterlist 2026-09-12'!$B:$M, 6, 0),"")</f>
        <v>123310</v>
      </c>
      <c r="I980" s="46">
        <v>0</v>
      </c>
      <c r="J980" s="46">
        <v>0</v>
      </c>
      <c r="K980" s="46">
        <v>0</v>
      </c>
      <c r="L980" s="46">
        <f t="shared" si="225"/>
        <v>0</v>
      </c>
      <c r="M980" s="46">
        <f t="shared" si="226"/>
        <v>0</v>
      </c>
      <c r="N980" s="45">
        <f t="shared" si="227"/>
        <v>0</v>
      </c>
      <c r="O980" s="45">
        <f t="shared" si="228"/>
        <v>0</v>
      </c>
      <c r="P980" s="46">
        <f t="shared" si="229"/>
        <v>0</v>
      </c>
      <c r="Q980" s="46">
        <v>1</v>
      </c>
      <c r="R980" s="45">
        <f t="shared" si="230"/>
        <v>123310</v>
      </c>
      <c r="S980" s="46">
        <f t="shared" si="231"/>
        <v>0</v>
      </c>
      <c r="T980" s="46">
        <f>IFERROR(VLOOKUP(A980,'[1]Re-order'!$A:$Q,17,0),"")</f>
        <v>165</v>
      </c>
      <c r="U980" s="46">
        <f>IFERROR(VLOOKUP(A980,'[1]MC Masterlist 2026-09-12'!$B:$M, 10, 0),0)</f>
        <v>15</v>
      </c>
      <c r="V980" s="46">
        <f>IFERROR(VLOOKUP(A980,'[1]MC Masterlist 2026-09-12'!$B:$M, 11, 0),0)</f>
        <v>15</v>
      </c>
      <c r="W980" s="46">
        <f t="shared" si="232"/>
        <v>30</v>
      </c>
      <c r="X980" s="46">
        <f t="shared" si="233"/>
        <v>30</v>
      </c>
      <c r="Y980" s="46">
        <f>IFERROR(IF(OR(C980="AREA I",C980="AREA V"),7,VLOOKUP(A980,'[1]MC Masterlist 2026-09-12'!$B:$M, 12, 0)),0)</f>
        <v>30</v>
      </c>
      <c r="Z980" s="46">
        <f t="shared" si="234"/>
        <v>0</v>
      </c>
      <c r="AA980" s="46">
        <f t="shared" si="235"/>
        <v>0</v>
      </c>
      <c r="AB980" s="46">
        <f t="shared" si="236"/>
        <v>0</v>
      </c>
      <c r="AC980" s="46">
        <f t="shared" si="237"/>
        <v>0</v>
      </c>
      <c r="AD980" s="44" t="str">
        <f t="shared" si="238"/>
        <v>Over</v>
      </c>
      <c r="AE980" s="44" t="str">
        <f>IFERROR(VLOOKUP(A980,'[1]Re-order'!$A:$AA,27,0),"")</f>
        <v>Over</v>
      </c>
      <c r="AF980" s="46">
        <f t="shared" si="239"/>
        <v>-1</v>
      </c>
      <c r="AG980" s="46">
        <f>SUMIFS('[1]Raw Inventory'!D:D,'[1]Raw Inventory'!C:C,"GREATWALL",'[1]Raw Inventory'!B:B,A980)</f>
        <v>4</v>
      </c>
      <c r="AH980" s="46">
        <f>SUMIFS('[1]Raw Inventory'!D:D,'[1]Raw Inventory'!C:C,"DUARTE",'[1]Raw Inventory'!B:B,A980)</f>
        <v>0</v>
      </c>
      <c r="AI980" s="46"/>
      <c r="AJ980" s="46"/>
      <c r="AK980" s="43"/>
      <c r="AL980" s="43"/>
      <c r="AM980" s="43"/>
      <c r="AN980" s="43"/>
      <c r="AO980" s="43"/>
      <c r="AP980" s="43"/>
      <c r="AQ980" s="43"/>
      <c r="AR980" s="43"/>
      <c r="AS980" s="43"/>
      <c r="AT980" s="43"/>
    </row>
    <row r="981" spans="1:46">
      <c r="A981" s="43" t="s">
        <v>28</v>
      </c>
      <c r="B981" s="43" t="s">
        <v>95</v>
      </c>
      <c r="C981" s="43" t="s">
        <v>90</v>
      </c>
      <c r="D981" s="44" t="s">
        <v>256</v>
      </c>
      <c r="E981" s="44">
        <v>14</v>
      </c>
      <c r="F981" s="44" t="s">
        <v>2</v>
      </c>
      <c r="G981" s="43" t="str">
        <f>IFERROR(VLOOKUP(A981,'[1]MC Masterlist 2026-09-12'!$B:$M, 3, 0),"")</f>
        <v>YAMAHA</v>
      </c>
      <c r="H981" s="45">
        <f>IFERROR(VLOOKUP(A981,'[1]MC Masterlist 2026-09-12'!$B:$M, 6, 0),"")</f>
        <v>147312</v>
      </c>
      <c r="I981" s="46">
        <v>1</v>
      </c>
      <c r="J981" s="46">
        <v>0</v>
      </c>
      <c r="K981" s="46">
        <v>0</v>
      </c>
      <c r="L981" s="46">
        <f t="shared" si="225"/>
        <v>1</v>
      </c>
      <c r="M981" s="46">
        <f t="shared" si="226"/>
        <v>0.33333333333333331</v>
      </c>
      <c r="N981" s="45">
        <f t="shared" si="227"/>
        <v>147312</v>
      </c>
      <c r="O981" s="45">
        <f t="shared" si="228"/>
        <v>49104</v>
      </c>
      <c r="P981" s="46">
        <f t="shared" si="229"/>
        <v>1.111111111111111E-2</v>
      </c>
      <c r="Q981" s="46">
        <v>1</v>
      </c>
      <c r="R981" s="45">
        <f t="shared" si="230"/>
        <v>147312</v>
      </c>
      <c r="S981" s="46">
        <f t="shared" si="231"/>
        <v>90</v>
      </c>
      <c r="T981" s="46">
        <f>IFERROR(VLOOKUP(A981,'[1]Re-order'!$A:$Q,17,0),"")</f>
        <v>8.2417582417582427</v>
      </c>
      <c r="U981" s="46">
        <f>IFERROR(VLOOKUP(A981,'[1]MC Masterlist 2026-09-12'!$B:$M, 10, 0),0)</f>
        <v>15</v>
      </c>
      <c r="V981" s="46">
        <f>IFERROR(VLOOKUP(A981,'[1]MC Masterlist 2026-09-12'!$B:$M, 11, 0),0)</f>
        <v>15</v>
      </c>
      <c r="W981" s="46">
        <f t="shared" si="232"/>
        <v>30</v>
      </c>
      <c r="X981" s="46">
        <f t="shared" si="233"/>
        <v>29.833333333333332</v>
      </c>
      <c r="Y981" s="46">
        <f>IFERROR(IF(OR(C981="AREA I",C981="AREA V"),7,VLOOKUP(A981,'[1]MC Masterlist 2026-09-12'!$B:$M, 12, 0)),0)</f>
        <v>30</v>
      </c>
      <c r="Z981" s="46">
        <f t="shared" si="234"/>
        <v>0.16666666666666666</v>
      </c>
      <c r="AA981" s="46">
        <f t="shared" si="235"/>
        <v>0.33333333333333331</v>
      </c>
      <c r="AB981" s="46">
        <f t="shared" si="236"/>
        <v>0.33148148148148143</v>
      </c>
      <c r="AC981" s="46">
        <f t="shared" si="237"/>
        <v>0.33333333333333331</v>
      </c>
      <c r="AD981" s="44" t="str">
        <f t="shared" si="238"/>
        <v>Over</v>
      </c>
      <c r="AE981" s="44" t="str">
        <f>IFERROR(VLOOKUP(A981,'[1]Re-order'!$A:$AA,27,0),"")</f>
        <v>Stockout</v>
      </c>
      <c r="AF981" s="46">
        <f t="shared" si="239"/>
        <v>-0.66666666666666674</v>
      </c>
      <c r="AG981" s="46">
        <f>SUMIFS('[1]Raw Inventory'!D:D,'[1]Raw Inventory'!C:C,"GREATWALL",'[1]Raw Inventory'!B:B,A981)</f>
        <v>0</v>
      </c>
      <c r="AH981" s="46">
        <f>SUMIFS('[1]Raw Inventory'!D:D,'[1]Raw Inventory'!C:C,"DUARTE",'[1]Raw Inventory'!B:B,A981)</f>
        <v>0</v>
      </c>
      <c r="AI981" s="46"/>
      <c r="AJ981" s="46"/>
      <c r="AK981" s="43"/>
      <c r="AL981" s="43"/>
      <c r="AM981" s="43"/>
      <c r="AN981" s="43"/>
      <c r="AO981" s="43"/>
      <c r="AP981" s="43"/>
      <c r="AQ981" s="43"/>
      <c r="AR981" s="43"/>
      <c r="AS981" s="43"/>
      <c r="AT981" s="43"/>
    </row>
    <row r="982" spans="1:46">
      <c r="A982" s="43" t="s">
        <v>44</v>
      </c>
      <c r="B982" s="43" t="s">
        <v>141</v>
      </c>
      <c r="C982" s="43" t="s">
        <v>137</v>
      </c>
      <c r="D982" s="44" t="s">
        <v>236</v>
      </c>
      <c r="E982" s="44">
        <v>10</v>
      </c>
      <c r="F982" s="44" t="s">
        <v>2</v>
      </c>
      <c r="G982" s="43" t="str">
        <f>IFERROR(VLOOKUP(A982,'[1]MC Masterlist 2026-09-12'!$B:$M, 3, 0),"")</f>
        <v>YAMAHA</v>
      </c>
      <c r="H982" s="45">
        <f>IFERROR(VLOOKUP(A982,'[1]MC Masterlist 2026-09-12'!$B:$M, 6, 0),"")</f>
        <v>165912</v>
      </c>
      <c r="I982" s="46">
        <v>3</v>
      </c>
      <c r="J982" s="46">
        <v>0</v>
      </c>
      <c r="K982" s="46">
        <v>0</v>
      </c>
      <c r="L982" s="46">
        <f t="shared" si="225"/>
        <v>3</v>
      </c>
      <c r="M982" s="46">
        <f t="shared" si="226"/>
        <v>1</v>
      </c>
      <c r="N982" s="45">
        <f t="shared" si="227"/>
        <v>497736</v>
      </c>
      <c r="O982" s="45">
        <f t="shared" si="228"/>
        <v>165912</v>
      </c>
      <c r="P982" s="46">
        <f t="shared" si="229"/>
        <v>3.3333333333333333E-2</v>
      </c>
      <c r="Q982" s="46">
        <v>0</v>
      </c>
      <c r="R982" s="45">
        <f t="shared" si="230"/>
        <v>0</v>
      </c>
      <c r="S982" s="46">
        <f t="shared" si="231"/>
        <v>0</v>
      </c>
      <c r="T982" s="46">
        <f>IFERROR(VLOOKUP(A982,'[1]Re-order'!$A:$Q,17,0),"")</f>
        <v>10.588235294117649</v>
      </c>
      <c r="U982" s="46">
        <f>IFERROR(VLOOKUP(A982,'[1]MC Masterlist 2026-09-12'!$B:$M, 10, 0),0)</f>
        <v>15</v>
      </c>
      <c r="V982" s="46">
        <f>IFERROR(VLOOKUP(A982,'[1]MC Masterlist 2026-09-12'!$B:$M, 11, 0),0)</f>
        <v>15</v>
      </c>
      <c r="W982" s="46">
        <f t="shared" si="232"/>
        <v>30</v>
      </c>
      <c r="X982" s="46">
        <f t="shared" si="233"/>
        <v>6.5</v>
      </c>
      <c r="Y982" s="46">
        <f>IFERROR(IF(OR(C982="AREA I",C982="AREA V"),7,VLOOKUP(A982,'[1]MC Masterlist 2026-09-12'!$B:$M, 12, 0)),0)</f>
        <v>7</v>
      </c>
      <c r="Z982" s="46">
        <f t="shared" si="234"/>
        <v>0.5</v>
      </c>
      <c r="AA982" s="46">
        <f t="shared" si="235"/>
        <v>1</v>
      </c>
      <c r="AB982" s="46">
        <f t="shared" si="236"/>
        <v>0.21666666666666667</v>
      </c>
      <c r="AC982" s="46">
        <f t="shared" si="237"/>
        <v>0.23333333333333334</v>
      </c>
      <c r="AD982" s="44" t="str">
        <f t="shared" si="238"/>
        <v>Stockout</v>
      </c>
      <c r="AE982" s="44" t="str">
        <f>IFERROR(VLOOKUP(A982,'[1]Re-order'!$A:$AA,27,0),"")</f>
        <v>Stockout</v>
      </c>
      <c r="AF982" s="46">
        <f t="shared" si="239"/>
        <v>0.23333333333333334</v>
      </c>
      <c r="AG982" s="46">
        <f>SUMIFS('[1]Raw Inventory'!D:D,'[1]Raw Inventory'!C:C,"GREATWALL",'[1]Raw Inventory'!B:B,A982)</f>
        <v>0</v>
      </c>
      <c r="AH982" s="46">
        <f>SUMIFS('[1]Raw Inventory'!D:D,'[1]Raw Inventory'!C:C,"DUARTE",'[1]Raw Inventory'!B:B,A982)</f>
        <v>0</v>
      </c>
      <c r="AI982" s="46"/>
      <c r="AJ982" s="46"/>
      <c r="AK982" s="43"/>
      <c r="AL982" s="43"/>
      <c r="AM982" s="43"/>
      <c r="AN982" s="43"/>
      <c r="AO982" s="43"/>
      <c r="AP982" s="43"/>
      <c r="AQ982" s="43"/>
      <c r="AR982" s="43"/>
      <c r="AS982" s="43"/>
      <c r="AT982" s="43"/>
    </row>
    <row r="983" spans="1:46">
      <c r="A983" s="43" t="s">
        <v>14</v>
      </c>
      <c r="B983" s="43" t="s">
        <v>157</v>
      </c>
      <c r="C983" s="43" t="s">
        <v>152</v>
      </c>
      <c r="D983" s="44" t="s">
        <v>238</v>
      </c>
      <c r="E983" s="44">
        <v>2</v>
      </c>
      <c r="F983" s="44" t="s">
        <v>0</v>
      </c>
      <c r="G983" s="43" t="str">
        <f>IFERROR(VLOOKUP(A983,'[1]MC Masterlist 2026-09-12'!$B:$M, 3, 0),"")</f>
        <v>HONDA</v>
      </c>
      <c r="H983" s="45">
        <f>IFERROR(VLOOKUP(A983,'[1]MC Masterlist 2026-09-12'!$B:$M, 6, 0),"")</f>
        <v>80070</v>
      </c>
      <c r="I983" s="46">
        <v>21</v>
      </c>
      <c r="J983" s="46">
        <v>7</v>
      </c>
      <c r="K983" s="46">
        <v>10</v>
      </c>
      <c r="L983" s="46">
        <f t="shared" si="225"/>
        <v>38</v>
      </c>
      <c r="M983" s="46">
        <f t="shared" si="226"/>
        <v>12.666666666666666</v>
      </c>
      <c r="N983" s="45">
        <f t="shared" si="227"/>
        <v>3042660</v>
      </c>
      <c r="O983" s="45">
        <f t="shared" si="228"/>
        <v>1014220</v>
      </c>
      <c r="P983" s="46">
        <f t="shared" si="229"/>
        <v>0.42222222222222222</v>
      </c>
      <c r="Q983" s="46">
        <v>3</v>
      </c>
      <c r="R983" s="45">
        <f t="shared" si="230"/>
        <v>240210</v>
      </c>
      <c r="S983" s="46">
        <f t="shared" si="231"/>
        <v>7.1052631578947363</v>
      </c>
      <c r="T983" s="46">
        <f>IFERROR(VLOOKUP(A983,'[1]Re-order'!$A:$Q,17,0),"")</f>
        <v>20.105787181082761</v>
      </c>
      <c r="U983" s="46">
        <f>IFERROR(VLOOKUP(A983,'[1]MC Masterlist 2026-09-12'!$B:$M, 10, 0),0)</f>
        <v>15</v>
      </c>
      <c r="V983" s="46">
        <f>IFERROR(VLOOKUP(A983,'[1]MC Masterlist 2026-09-12'!$B:$M, 11, 0),0)</f>
        <v>15</v>
      </c>
      <c r="W983" s="46">
        <f t="shared" si="232"/>
        <v>30</v>
      </c>
      <c r="X983" s="46">
        <f t="shared" si="233"/>
        <v>23.666666666666668</v>
      </c>
      <c r="Y983" s="46">
        <f>IFERROR(IF(OR(C983="AREA I",C983="AREA V"),7,VLOOKUP(A983,'[1]MC Masterlist 2026-09-12'!$B:$M, 12, 0)),0)</f>
        <v>30</v>
      </c>
      <c r="Z983" s="46">
        <f t="shared" si="234"/>
        <v>6.333333333333333</v>
      </c>
      <c r="AA983" s="46">
        <f t="shared" si="235"/>
        <v>12.666666666666666</v>
      </c>
      <c r="AB983" s="46">
        <f t="shared" si="236"/>
        <v>9.9925925925925938</v>
      </c>
      <c r="AC983" s="46">
        <f t="shared" si="237"/>
        <v>12.666666666666666</v>
      </c>
      <c r="AD983" s="44" t="str">
        <f t="shared" si="238"/>
        <v>Stockout</v>
      </c>
      <c r="AE983" s="44" t="str">
        <f>IFERROR(VLOOKUP(A983,'[1]Re-order'!$A:$AA,27,0),"")</f>
        <v>Stockout</v>
      </c>
      <c r="AF983" s="46">
        <f t="shared" si="239"/>
        <v>9.6666666666666661</v>
      </c>
      <c r="AG983" s="46">
        <f>SUMIFS('[1]Raw Inventory'!D:D,'[1]Raw Inventory'!C:C,"GREATWALL",'[1]Raw Inventory'!B:B,A983)</f>
        <v>176</v>
      </c>
      <c r="AH983" s="46">
        <f>SUMIFS('[1]Raw Inventory'!D:D,'[1]Raw Inventory'!C:C,"DUARTE",'[1]Raw Inventory'!B:B,A983)</f>
        <v>0</v>
      </c>
      <c r="AI983" s="46"/>
      <c r="AJ983" s="46"/>
      <c r="AK983" s="43"/>
      <c r="AL983" s="43"/>
      <c r="AM983" s="43"/>
      <c r="AN983" s="43"/>
      <c r="AO983" s="43"/>
      <c r="AP983" s="43"/>
      <c r="AQ983" s="43"/>
      <c r="AR983" s="43"/>
      <c r="AS983" s="43"/>
      <c r="AT983" s="43"/>
    </row>
    <row r="984" spans="1:46">
      <c r="A984" s="43" t="s">
        <v>76</v>
      </c>
      <c r="B984" s="43" t="s">
        <v>115</v>
      </c>
      <c r="C984" s="43" t="s">
        <v>109</v>
      </c>
      <c r="D984" s="44" t="s">
        <v>221</v>
      </c>
      <c r="E984" s="44">
        <v>21</v>
      </c>
      <c r="F984" s="44" t="s">
        <v>3</v>
      </c>
      <c r="G984" s="43" t="str">
        <f>IFERROR(VLOOKUP(A984,'[1]MC Masterlist 2026-09-12'!$B:$M, 3, 0),"")</f>
        <v>SUZUKI</v>
      </c>
      <c r="H984" s="45">
        <f>IFERROR(VLOOKUP(A984,'[1]MC Masterlist 2026-09-12'!$B:$M, 6, 0),"")</f>
        <v>62692</v>
      </c>
      <c r="I984" s="46">
        <v>0</v>
      </c>
      <c r="J984" s="46">
        <v>2</v>
      </c>
      <c r="K984" s="46">
        <v>0</v>
      </c>
      <c r="L984" s="46">
        <f t="shared" si="225"/>
        <v>2</v>
      </c>
      <c r="M984" s="46">
        <f t="shared" si="226"/>
        <v>0.66666666666666663</v>
      </c>
      <c r="N984" s="45">
        <f t="shared" si="227"/>
        <v>125384</v>
      </c>
      <c r="O984" s="45">
        <f t="shared" si="228"/>
        <v>41794.666666666664</v>
      </c>
      <c r="P984" s="46">
        <f t="shared" si="229"/>
        <v>2.222222222222222E-2</v>
      </c>
      <c r="Q984" s="46">
        <v>1</v>
      </c>
      <c r="R984" s="45">
        <f t="shared" si="230"/>
        <v>62692</v>
      </c>
      <c r="S984" s="46">
        <f t="shared" si="231"/>
        <v>45</v>
      </c>
      <c r="T984" s="46">
        <f>IFERROR(VLOOKUP(A984,'[1]Re-order'!$A:$Q,17,0),"")</f>
        <v>106.36363636363636</v>
      </c>
      <c r="U984" s="46">
        <f>IFERROR(VLOOKUP(A984,'[1]MC Masterlist 2026-09-12'!$B:$M, 10, 0),0)</f>
        <v>15</v>
      </c>
      <c r="V984" s="46">
        <f>IFERROR(VLOOKUP(A984,'[1]MC Masterlist 2026-09-12'!$B:$M, 11, 0),0)</f>
        <v>15</v>
      </c>
      <c r="W984" s="46">
        <f t="shared" si="232"/>
        <v>30</v>
      </c>
      <c r="X984" s="46">
        <f t="shared" si="233"/>
        <v>29.666666666666668</v>
      </c>
      <c r="Y984" s="46">
        <f>IFERROR(IF(OR(C984="AREA I",C984="AREA V"),7,VLOOKUP(A984,'[1]MC Masterlist 2026-09-12'!$B:$M, 12, 0)),0)</f>
        <v>30</v>
      </c>
      <c r="Z984" s="46">
        <f t="shared" si="234"/>
        <v>0.33333333333333331</v>
      </c>
      <c r="AA984" s="46">
        <f t="shared" si="235"/>
        <v>0.66666666666666663</v>
      </c>
      <c r="AB984" s="46">
        <f t="shared" si="236"/>
        <v>0.65925925925925921</v>
      </c>
      <c r="AC984" s="46">
        <f t="shared" si="237"/>
        <v>0.66666666666666663</v>
      </c>
      <c r="AD984" s="44" t="str">
        <f t="shared" si="238"/>
        <v>Over</v>
      </c>
      <c r="AE984" s="44" t="str">
        <f>IFERROR(VLOOKUP(A984,'[1]Re-order'!$A:$AA,27,0),"")</f>
        <v>Over</v>
      </c>
      <c r="AF984" s="46">
        <f t="shared" si="239"/>
        <v>-0.33333333333333337</v>
      </c>
      <c r="AG984" s="46">
        <f>SUMIFS('[1]Raw Inventory'!D:D,'[1]Raw Inventory'!C:C,"GREATWALL",'[1]Raw Inventory'!B:B,A984)</f>
        <v>1</v>
      </c>
      <c r="AH984" s="46">
        <f>SUMIFS('[1]Raw Inventory'!D:D,'[1]Raw Inventory'!C:C,"DUARTE",'[1]Raw Inventory'!B:B,A984)</f>
        <v>0</v>
      </c>
      <c r="AI984" s="46"/>
      <c r="AJ984" s="46"/>
      <c r="AK984" s="43"/>
      <c r="AL984" s="43"/>
      <c r="AM984" s="43"/>
      <c r="AN984" s="43"/>
      <c r="AO984" s="43"/>
      <c r="AP984" s="43"/>
      <c r="AQ984" s="43"/>
      <c r="AR984" s="43"/>
      <c r="AS984" s="43"/>
      <c r="AT984" s="43"/>
    </row>
    <row r="985" spans="1:46">
      <c r="A985" s="43" t="s">
        <v>70</v>
      </c>
      <c r="B985" s="43" t="s">
        <v>132</v>
      </c>
      <c r="C985" s="43" t="s">
        <v>128</v>
      </c>
      <c r="D985" s="44" t="s">
        <v>242</v>
      </c>
      <c r="E985" s="44">
        <v>30</v>
      </c>
      <c r="F985" s="44" t="s">
        <v>3</v>
      </c>
      <c r="G985" s="43" t="str">
        <f>IFERROR(VLOOKUP(A985,'[1]MC Masterlist 2026-09-12'!$B:$M, 3, 0),"")</f>
        <v>KAWASAKI</v>
      </c>
      <c r="H985" s="45">
        <f>IFERROR(VLOOKUP(A985,'[1]MC Masterlist 2026-09-12'!$B:$M, 6, 0),"")</f>
        <v>91770</v>
      </c>
      <c r="I985" s="46">
        <v>0</v>
      </c>
      <c r="J985" s="46">
        <v>0</v>
      </c>
      <c r="K985" s="46">
        <v>0</v>
      </c>
      <c r="L985" s="46">
        <f t="shared" si="225"/>
        <v>0</v>
      </c>
      <c r="M985" s="46">
        <f t="shared" si="226"/>
        <v>0</v>
      </c>
      <c r="N985" s="45">
        <f t="shared" si="227"/>
        <v>0</v>
      </c>
      <c r="O985" s="45">
        <f t="shared" si="228"/>
        <v>0</v>
      </c>
      <c r="P985" s="46">
        <f t="shared" si="229"/>
        <v>0</v>
      </c>
      <c r="Q985" s="46">
        <v>5</v>
      </c>
      <c r="R985" s="45">
        <f t="shared" si="230"/>
        <v>458850</v>
      </c>
      <c r="S985" s="46">
        <f t="shared" si="231"/>
        <v>0</v>
      </c>
      <c r="T985" s="46">
        <f>IFERROR(VLOOKUP(A985,'[1]Re-order'!$A:$Q,17,0),"")</f>
        <v>255</v>
      </c>
      <c r="U985" s="46">
        <f>IFERROR(VLOOKUP(A985,'[1]MC Masterlist 2026-09-12'!$B:$M, 10, 0),0)</f>
        <v>15</v>
      </c>
      <c r="V985" s="46">
        <f>IFERROR(VLOOKUP(A985,'[1]MC Masterlist 2026-09-12'!$B:$M, 11, 0),0)</f>
        <v>15</v>
      </c>
      <c r="W985" s="46">
        <f t="shared" si="232"/>
        <v>30</v>
      </c>
      <c r="X985" s="46">
        <f t="shared" si="233"/>
        <v>30</v>
      </c>
      <c r="Y985" s="46">
        <f>IFERROR(IF(OR(C985="AREA I",C985="AREA V"),7,VLOOKUP(A985,'[1]MC Masterlist 2026-09-12'!$B:$M, 12, 0)),0)</f>
        <v>30</v>
      </c>
      <c r="Z985" s="46">
        <f t="shared" si="234"/>
        <v>0</v>
      </c>
      <c r="AA985" s="46">
        <f t="shared" si="235"/>
        <v>0</v>
      </c>
      <c r="AB985" s="46">
        <f t="shared" si="236"/>
        <v>0</v>
      </c>
      <c r="AC985" s="46">
        <f t="shared" si="237"/>
        <v>0</v>
      </c>
      <c r="AD985" s="44" t="str">
        <f t="shared" si="238"/>
        <v>Over</v>
      </c>
      <c r="AE985" s="44" t="str">
        <f>IFERROR(VLOOKUP(A985,'[1]Re-order'!$A:$AA,27,0),"")</f>
        <v>Over</v>
      </c>
      <c r="AF985" s="46">
        <f t="shared" si="239"/>
        <v>-5</v>
      </c>
      <c r="AG985" s="46">
        <f>SUMIFS('[1]Raw Inventory'!D:D,'[1]Raw Inventory'!C:C,"GREATWALL",'[1]Raw Inventory'!B:B,A985)</f>
        <v>4</v>
      </c>
      <c r="AH985" s="46">
        <f>SUMIFS('[1]Raw Inventory'!D:D,'[1]Raw Inventory'!C:C,"DUARTE",'[1]Raw Inventory'!B:B,A985)</f>
        <v>0</v>
      </c>
      <c r="AI985" s="46"/>
      <c r="AJ985" s="46"/>
      <c r="AK985" s="43"/>
      <c r="AL985" s="43"/>
      <c r="AM985" s="43"/>
      <c r="AN985" s="43"/>
      <c r="AO985" s="43"/>
      <c r="AP985" s="43"/>
      <c r="AQ985" s="43"/>
      <c r="AR985" s="43"/>
      <c r="AS985" s="43"/>
      <c r="AT985" s="43"/>
    </row>
    <row r="986" spans="1:46">
      <c r="A986" s="43" t="s">
        <v>66</v>
      </c>
      <c r="B986" s="43" t="s">
        <v>129</v>
      </c>
      <c r="C986" s="43" t="s">
        <v>128</v>
      </c>
      <c r="D986" s="44" t="s">
        <v>262</v>
      </c>
      <c r="E986" s="44">
        <v>14</v>
      </c>
      <c r="F986" s="44" t="s">
        <v>2</v>
      </c>
      <c r="G986" s="43" t="str">
        <f>IFERROR(VLOOKUP(A986,'[1]MC Masterlist 2026-09-12'!$B:$M, 3, 0),"")</f>
        <v>KAWASAKI</v>
      </c>
      <c r="H986" s="45">
        <f>IFERROR(VLOOKUP(A986,'[1]MC Masterlist 2026-09-12'!$B:$M, 6, 0),"")</f>
        <v>95530</v>
      </c>
      <c r="I986" s="46">
        <v>0</v>
      </c>
      <c r="J986" s="46">
        <v>2</v>
      </c>
      <c r="K986" s="46">
        <v>0</v>
      </c>
      <c r="L986" s="46">
        <f t="shared" si="225"/>
        <v>2</v>
      </c>
      <c r="M986" s="46">
        <f t="shared" si="226"/>
        <v>0.66666666666666663</v>
      </c>
      <c r="N986" s="45">
        <f t="shared" si="227"/>
        <v>191060</v>
      </c>
      <c r="O986" s="45">
        <f t="shared" si="228"/>
        <v>63686.666666666664</v>
      </c>
      <c r="P986" s="46">
        <f t="shared" si="229"/>
        <v>2.222222222222222E-2</v>
      </c>
      <c r="Q986" s="46">
        <v>1</v>
      </c>
      <c r="R986" s="45">
        <f t="shared" si="230"/>
        <v>95530</v>
      </c>
      <c r="S986" s="46">
        <f t="shared" si="231"/>
        <v>45</v>
      </c>
      <c r="T986" s="46">
        <f>IFERROR(VLOOKUP(A986,'[1]Re-order'!$A:$Q,17,0),"")</f>
        <v>112.7848101265823</v>
      </c>
      <c r="U986" s="46">
        <f>IFERROR(VLOOKUP(A986,'[1]MC Masterlist 2026-09-12'!$B:$M, 10, 0),0)</f>
        <v>15</v>
      </c>
      <c r="V986" s="46">
        <f>IFERROR(VLOOKUP(A986,'[1]MC Masterlist 2026-09-12'!$B:$M, 11, 0),0)</f>
        <v>15</v>
      </c>
      <c r="W986" s="46">
        <f t="shared" si="232"/>
        <v>30</v>
      </c>
      <c r="X986" s="46">
        <f t="shared" si="233"/>
        <v>29.666666666666668</v>
      </c>
      <c r="Y986" s="46">
        <f>IFERROR(IF(OR(C986="AREA I",C986="AREA V"),7,VLOOKUP(A986,'[1]MC Masterlist 2026-09-12'!$B:$M, 12, 0)),0)</f>
        <v>30</v>
      </c>
      <c r="Z986" s="46">
        <f t="shared" si="234"/>
        <v>0.33333333333333331</v>
      </c>
      <c r="AA986" s="46">
        <f t="shared" si="235"/>
        <v>0.66666666666666663</v>
      </c>
      <c r="AB986" s="46">
        <f t="shared" si="236"/>
        <v>0.65925925925925921</v>
      </c>
      <c r="AC986" s="46">
        <f t="shared" si="237"/>
        <v>0.66666666666666663</v>
      </c>
      <c r="AD986" s="44" t="str">
        <f t="shared" si="238"/>
        <v>Over</v>
      </c>
      <c r="AE986" s="44" t="str">
        <f>IFERROR(VLOOKUP(A986,'[1]Re-order'!$A:$AA,27,0),"")</f>
        <v>Over</v>
      </c>
      <c r="AF986" s="46">
        <f t="shared" si="239"/>
        <v>-0.33333333333333337</v>
      </c>
      <c r="AG986" s="46">
        <f>SUMIFS('[1]Raw Inventory'!D:D,'[1]Raw Inventory'!C:C,"GREATWALL",'[1]Raw Inventory'!B:B,A986)</f>
        <v>64</v>
      </c>
      <c r="AH986" s="46">
        <f>SUMIFS('[1]Raw Inventory'!D:D,'[1]Raw Inventory'!C:C,"DUARTE",'[1]Raw Inventory'!B:B,A986)</f>
        <v>0</v>
      </c>
      <c r="AI986" s="46"/>
      <c r="AJ986" s="46"/>
      <c r="AK986" s="43"/>
      <c r="AL986" s="43"/>
      <c r="AM986" s="43"/>
      <c r="AN986" s="43"/>
      <c r="AO986" s="43"/>
      <c r="AP986" s="43"/>
      <c r="AQ986" s="43"/>
      <c r="AR986" s="43"/>
      <c r="AS986" s="43"/>
      <c r="AT986" s="43"/>
    </row>
    <row r="987" spans="1:46">
      <c r="A987" s="43" t="s">
        <v>35</v>
      </c>
      <c r="B987" s="43" t="s">
        <v>94</v>
      </c>
      <c r="C987" s="43" t="s">
        <v>90</v>
      </c>
      <c r="D987" s="44" t="s">
        <v>257</v>
      </c>
      <c r="E987" s="44">
        <v>27</v>
      </c>
      <c r="F987" s="44" t="s">
        <v>3</v>
      </c>
      <c r="G987" s="43" t="str">
        <f>IFERROR(VLOOKUP(A987,'[1]MC Masterlist 2026-09-12'!$B:$M, 3, 0),"")</f>
        <v>HONDA</v>
      </c>
      <c r="H987" s="45">
        <f>IFERROR(VLOOKUP(A987,'[1]MC Masterlist 2026-09-12'!$B:$M, 6, 0),"")</f>
        <v>57990</v>
      </c>
      <c r="I987" s="46">
        <v>0</v>
      </c>
      <c r="J987" s="46">
        <v>1</v>
      </c>
      <c r="K987" s="46">
        <v>0</v>
      </c>
      <c r="L987" s="46">
        <f t="shared" si="225"/>
        <v>1</v>
      </c>
      <c r="M987" s="46">
        <f t="shared" si="226"/>
        <v>0.33333333333333331</v>
      </c>
      <c r="N987" s="45">
        <f t="shared" si="227"/>
        <v>57990</v>
      </c>
      <c r="O987" s="45">
        <f t="shared" si="228"/>
        <v>19330</v>
      </c>
      <c r="P987" s="46">
        <f t="shared" si="229"/>
        <v>1.111111111111111E-2</v>
      </c>
      <c r="Q987" s="46">
        <v>1</v>
      </c>
      <c r="R987" s="45">
        <f t="shared" si="230"/>
        <v>57990</v>
      </c>
      <c r="S987" s="46">
        <f t="shared" si="231"/>
        <v>90</v>
      </c>
      <c r="T987" s="46">
        <f>IFERROR(VLOOKUP(A987,'[1]Re-order'!$A:$Q,17,0),"")</f>
        <v>68.275862068965523</v>
      </c>
      <c r="U987" s="46">
        <f>IFERROR(VLOOKUP(A987,'[1]MC Masterlist 2026-09-12'!$B:$M, 10, 0),0)</f>
        <v>15</v>
      </c>
      <c r="V987" s="46">
        <f>IFERROR(VLOOKUP(A987,'[1]MC Masterlist 2026-09-12'!$B:$M, 11, 0),0)</f>
        <v>15</v>
      </c>
      <c r="W987" s="46">
        <f t="shared" si="232"/>
        <v>30</v>
      </c>
      <c r="X987" s="46">
        <f t="shared" si="233"/>
        <v>29.833333333333332</v>
      </c>
      <c r="Y987" s="46">
        <f>IFERROR(IF(OR(C987="AREA I",C987="AREA V"),7,VLOOKUP(A987,'[1]MC Masterlist 2026-09-12'!$B:$M, 12, 0)),0)</f>
        <v>30</v>
      </c>
      <c r="Z987" s="46">
        <f t="shared" si="234"/>
        <v>0.16666666666666666</v>
      </c>
      <c r="AA987" s="46">
        <f t="shared" si="235"/>
        <v>0.33333333333333331</v>
      </c>
      <c r="AB987" s="46">
        <f t="shared" si="236"/>
        <v>0.33148148148148143</v>
      </c>
      <c r="AC987" s="46">
        <f t="shared" si="237"/>
        <v>0.33333333333333331</v>
      </c>
      <c r="AD987" s="44" t="str">
        <f t="shared" si="238"/>
        <v>Over</v>
      </c>
      <c r="AE987" s="44" t="str">
        <f>IFERROR(VLOOKUP(A987,'[1]Re-order'!$A:$AA,27,0),"")</f>
        <v>Re-order</v>
      </c>
      <c r="AF987" s="46">
        <f t="shared" si="239"/>
        <v>-0.66666666666666674</v>
      </c>
      <c r="AG987" s="46">
        <f>SUMIFS('[1]Raw Inventory'!D:D,'[1]Raw Inventory'!C:C,"GREATWALL",'[1]Raw Inventory'!B:B,A987)</f>
        <v>29</v>
      </c>
      <c r="AH987" s="46">
        <f>SUMIFS('[1]Raw Inventory'!D:D,'[1]Raw Inventory'!C:C,"DUARTE",'[1]Raw Inventory'!B:B,A987)</f>
        <v>0</v>
      </c>
      <c r="AI987" s="46"/>
      <c r="AJ987" s="46"/>
      <c r="AK987" s="43"/>
      <c r="AL987" s="43"/>
      <c r="AM987" s="43"/>
      <c r="AN987" s="43"/>
      <c r="AO987" s="43"/>
      <c r="AP987" s="43"/>
      <c r="AQ987" s="43"/>
      <c r="AR987" s="43"/>
      <c r="AS987" s="43"/>
      <c r="AT987" s="43"/>
    </row>
    <row r="988" spans="1:46">
      <c r="A988" s="43" t="s">
        <v>65</v>
      </c>
      <c r="B988" s="43" t="s">
        <v>138</v>
      </c>
      <c r="C988" s="43" t="s">
        <v>137</v>
      </c>
      <c r="D988" s="44" t="s">
        <v>221</v>
      </c>
      <c r="E988" s="44">
        <v>19</v>
      </c>
      <c r="F988" s="44" t="s">
        <v>3</v>
      </c>
      <c r="G988" s="43" t="str">
        <f>IFERROR(VLOOKUP(A988,'[1]MC Masterlist 2026-09-12'!$B:$M, 3, 0),"")</f>
        <v>SUZUKI</v>
      </c>
      <c r="H988" s="45">
        <f>IFERROR(VLOOKUP(A988,'[1]MC Masterlist 2026-09-12'!$B:$M, 6, 0),"")</f>
        <v>77572</v>
      </c>
      <c r="I988" s="46">
        <v>0</v>
      </c>
      <c r="J988" s="46">
        <v>0</v>
      </c>
      <c r="K988" s="46">
        <v>0</v>
      </c>
      <c r="L988" s="46">
        <f t="shared" si="225"/>
        <v>0</v>
      </c>
      <c r="M988" s="46">
        <f t="shared" si="226"/>
        <v>0</v>
      </c>
      <c r="N988" s="45">
        <f t="shared" si="227"/>
        <v>0</v>
      </c>
      <c r="O988" s="45">
        <f t="shared" si="228"/>
        <v>0</v>
      </c>
      <c r="P988" s="46">
        <f t="shared" si="229"/>
        <v>0</v>
      </c>
      <c r="Q988" s="46">
        <v>4</v>
      </c>
      <c r="R988" s="45">
        <f t="shared" si="230"/>
        <v>310288</v>
      </c>
      <c r="S988" s="46">
        <f t="shared" si="231"/>
        <v>0</v>
      </c>
      <c r="T988" s="46">
        <f>IFERROR(VLOOKUP(A988,'[1]Re-order'!$A:$Q,17,0),"")</f>
        <v>158.8235294117647</v>
      </c>
      <c r="U988" s="46">
        <f>IFERROR(VLOOKUP(A988,'[1]MC Masterlist 2026-09-12'!$B:$M, 10, 0),0)</f>
        <v>15</v>
      </c>
      <c r="V988" s="46">
        <f>IFERROR(VLOOKUP(A988,'[1]MC Masterlist 2026-09-12'!$B:$M, 11, 0),0)</f>
        <v>15</v>
      </c>
      <c r="W988" s="46">
        <f t="shared" si="232"/>
        <v>30</v>
      </c>
      <c r="X988" s="46">
        <f t="shared" si="233"/>
        <v>7</v>
      </c>
      <c r="Y988" s="46">
        <f>IFERROR(IF(OR(C988="AREA I",C988="AREA V"),7,VLOOKUP(A988,'[1]MC Masterlist 2026-09-12'!$B:$M, 12, 0)),0)</f>
        <v>7</v>
      </c>
      <c r="Z988" s="46">
        <f t="shared" si="234"/>
        <v>0</v>
      </c>
      <c r="AA988" s="46">
        <f t="shared" si="235"/>
        <v>0</v>
      </c>
      <c r="AB988" s="46">
        <f t="shared" si="236"/>
        <v>0</v>
      </c>
      <c r="AC988" s="46">
        <f t="shared" si="237"/>
        <v>0</v>
      </c>
      <c r="AD988" s="44" t="str">
        <f t="shared" si="238"/>
        <v>Over</v>
      </c>
      <c r="AE988" s="44" t="str">
        <f>IFERROR(VLOOKUP(A988,'[1]Re-order'!$A:$AA,27,0),"")</f>
        <v>Over</v>
      </c>
      <c r="AF988" s="46">
        <f t="shared" si="239"/>
        <v>-4</v>
      </c>
      <c r="AG988" s="46">
        <f>SUMIFS('[1]Raw Inventory'!D:D,'[1]Raw Inventory'!C:C,"GREATWALL",'[1]Raw Inventory'!B:B,A988)</f>
        <v>4</v>
      </c>
      <c r="AH988" s="46">
        <f>SUMIFS('[1]Raw Inventory'!D:D,'[1]Raw Inventory'!C:C,"DUARTE",'[1]Raw Inventory'!B:B,A988)</f>
        <v>0</v>
      </c>
      <c r="AI988" s="46"/>
      <c r="AJ988" s="46"/>
      <c r="AK988" s="43"/>
      <c r="AL988" s="43"/>
      <c r="AM988" s="43"/>
      <c r="AN988" s="43"/>
      <c r="AO988" s="43"/>
      <c r="AP988" s="43"/>
      <c r="AQ988" s="43"/>
      <c r="AR988" s="43"/>
      <c r="AS988" s="43"/>
      <c r="AT988" s="43"/>
    </row>
    <row r="989" spans="1:46">
      <c r="A989" s="43" t="s">
        <v>40</v>
      </c>
      <c r="B989" s="43" t="s">
        <v>94</v>
      </c>
      <c r="C989" s="43" t="s">
        <v>90</v>
      </c>
      <c r="D989" s="44" t="s">
        <v>247</v>
      </c>
      <c r="E989" s="44">
        <v>28</v>
      </c>
      <c r="F989" s="44" t="s">
        <v>3</v>
      </c>
      <c r="G989" s="43" t="str">
        <f>IFERROR(VLOOKUP(A989,'[1]MC Masterlist 2026-09-12'!$B:$M, 3, 0),"")</f>
        <v>HONDA</v>
      </c>
      <c r="H989" s="45">
        <f>IFERROR(VLOOKUP(A989,'[1]MC Masterlist 2026-09-12'!$B:$M, 6, 0),"")</f>
        <v>56426</v>
      </c>
      <c r="I989" s="46">
        <v>1</v>
      </c>
      <c r="J989" s="46">
        <v>0</v>
      </c>
      <c r="K989" s="46">
        <v>0</v>
      </c>
      <c r="L989" s="46">
        <f t="shared" si="225"/>
        <v>1</v>
      </c>
      <c r="M989" s="46">
        <f t="shared" si="226"/>
        <v>0.33333333333333331</v>
      </c>
      <c r="N989" s="45">
        <f t="shared" si="227"/>
        <v>56426</v>
      </c>
      <c r="O989" s="45">
        <f t="shared" si="228"/>
        <v>18808.666666666664</v>
      </c>
      <c r="P989" s="46">
        <f t="shared" si="229"/>
        <v>1.111111111111111E-2</v>
      </c>
      <c r="Q989" s="46"/>
      <c r="R989" s="45">
        <f t="shared" si="230"/>
        <v>0</v>
      </c>
      <c r="S989" s="46">
        <f t="shared" si="231"/>
        <v>0</v>
      </c>
      <c r="T989" s="46">
        <f>IFERROR(VLOOKUP(A989,'[1]Re-order'!$A:$Q,17,0),"")</f>
        <v>139.56521739130434</v>
      </c>
      <c r="U989" s="46">
        <f>IFERROR(VLOOKUP(A989,'[1]MC Masterlist 2026-09-12'!$B:$M, 10, 0),0)</f>
        <v>15</v>
      </c>
      <c r="V989" s="46">
        <f>IFERROR(VLOOKUP(A989,'[1]MC Masterlist 2026-09-12'!$B:$M, 11, 0),0)</f>
        <v>15</v>
      </c>
      <c r="W989" s="46">
        <f t="shared" si="232"/>
        <v>30</v>
      </c>
      <c r="X989" s="46">
        <f t="shared" si="233"/>
        <v>29.833333333333332</v>
      </c>
      <c r="Y989" s="46">
        <f>IFERROR(IF(OR(C989="AREA I",C989="AREA V"),7,VLOOKUP(A989,'[1]MC Masterlist 2026-09-12'!$B:$M, 12, 0)),0)</f>
        <v>30</v>
      </c>
      <c r="Z989" s="46">
        <f t="shared" si="234"/>
        <v>0.16666666666666666</v>
      </c>
      <c r="AA989" s="46">
        <f t="shared" si="235"/>
        <v>0.33333333333333331</v>
      </c>
      <c r="AB989" s="46">
        <f t="shared" si="236"/>
        <v>0.33148148148148143</v>
      </c>
      <c r="AC989" s="46">
        <f t="shared" si="237"/>
        <v>0.33333333333333331</v>
      </c>
      <c r="AD989" s="44" t="str">
        <f t="shared" si="238"/>
        <v>Stockout</v>
      </c>
      <c r="AE989" s="44" t="str">
        <f>IFERROR(VLOOKUP(A989,'[1]Re-order'!$A:$AA,27,0),"")</f>
        <v>Over</v>
      </c>
      <c r="AF989" s="46">
        <f t="shared" si="239"/>
        <v>0.33333333333333331</v>
      </c>
      <c r="AG989" s="46">
        <f>SUMIFS('[1]Raw Inventory'!D:D,'[1]Raw Inventory'!C:C,"GREATWALL",'[1]Raw Inventory'!B:B,A989)</f>
        <v>45</v>
      </c>
      <c r="AH989" s="46">
        <f>SUMIFS('[1]Raw Inventory'!D:D,'[1]Raw Inventory'!C:C,"DUARTE",'[1]Raw Inventory'!B:B,A989)</f>
        <v>0</v>
      </c>
      <c r="AI989" s="46"/>
      <c r="AJ989" s="46"/>
      <c r="AK989" s="43"/>
      <c r="AL989" s="43"/>
      <c r="AM989" s="43"/>
      <c r="AN989" s="43"/>
      <c r="AO989" s="43"/>
      <c r="AP989" s="43"/>
      <c r="AQ989" s="43"/>
      <c r="AR989" s="43"/>
      <c r="AS989" s="43"/>
      <c r="AT989" s="43"/>
    </row>
    <row r="990" spans="1:46">
      <c r="A990" s="43" t="s">
        <v>26</v>
      </c>
      <c r="B990" s="43" t="s">
        <v>143</v>
      </c>
      <c r="C990" s="43" t="s">
        <v>137</v>
      </c>
      <c r="D990" s="44" t="s">
        <v>254</v>
      </c>
      <c r="E990" s="44">
        <v>8</v>
      </c>
      <c r="F990" s="44" t="s">
        <v>2</v>
      </c>
      <c r="G990" s="43" t="str">
        <f>IFERROR(VLOOKUP(A990,'[1]MC Masterlist 2026-09-12'!$B:$M, 3, 0),"")</f>
        <v>SUZUKI</v>
      </c>
      <c r="H990" s="45">
        <f>IFERROR(VLOOKUP(A990,'[1]MC Masterlist 2026-09-12'!$B:$M, 6, 0),"")</f>
        <v>123700</v>
      </c>
      <c r="I990" s="46">
        <v>3</v>
      </c>
      <c r="J990" s="46">
        <v>1</v>
      </c>
      <c r="K990" s="46">
        <v>2</v>
      </c>
      <c r="L990" s="46">
        <f t="shared" si="225"/>
        <v>6</v>
      </c>
      <c r="M990" s="46">
        <f t="shared" si="226"/>
        <v>2</v>
      </c>
      <c r="N990" s="45">
        <f t="shared" si="227"/>
        <v>742200</v>
      </c>
      <c r="O990" s="45">
        <f t="shared" si="228"/>
        <v>247400</v>
      </c>
      <c r="P990" s="46">
        <f t="shared" si="229"/>
        <v>6.6666666666666666E-2</v>
      </c>
      <c r="Q990" s="46">
        <v>3</v>
      </c>
      <c r="R990" s="45">
        <f t="shared" si="230"/>
        <v>371100</v>
      </c>
      <c r="S990" s="46">
        <f t="shared" si="231"/>
        <v>45</v>
      </c>
      <c r="T990" s="46">
        <f>IFERROR(VLOOKUP(A990,'[1]Re-order'!$A:$Q,17,0),"")</f>
        <v>71.470588235294116</v>
      </c>
      <c r="U990" s="46">
        <f>IFERROR(VLOOKUP(A990,'[1]MC Masterlist 2026-09-12'!$B:$M, 10, 0),0)</f>
        <v>15</v>
      </c>
      <c r="V990" s="46">
        <f>IFERROR(VLOOKUP(A990,'[1]MC Masterlist 2026-09-12'!$B:$M, 11, 0),0)</f>
        <v>15</v>
      </c>
      <c r="W990" s="46">
        <f t="shared" si="232"/>
        <v>30</v>
      </c>
      <c r="X990" s="46">
        <f t="shared" si="233"/>
        <v>6</v>
      </c>
      <c r="Y990" s="46">
        <f>IFERROR(IF(OR(C990="AREA I",C990="AREA V"),7,VLOOKUP(A990,'[1]MC Masterlist 2026-09-12'!$B:$M, 12, 0)),0)</f>
        <v>7</v>
      </c>
      <c r="Z990" s="46">
        <f t="shared" si="234"/>
        <v>1</v>
      </c>
      <c r="AA990" s="46">
        <f t="shared" si="235"/>
        <v>2</v>
      </c>
      <c r="AB990" s="46">
        <f t="shared" si="236"/>
        <v>0.4</v>
      </c>
      <c r="AC990" s="46">
        <f t="shared" si="237"/>
        <v>0.46666666666666667</v>
      </c>
      <c r="AD990" s="44" t="str">
        <f t="shared" si="238"/>
        <v>Over</v>
      </c>
      <c r="AE990" s="44" t="str">
        <f>IFERROR(VLOOKUP(A990,'[1]Re-order'!$A:$AA,27,0),"")</f>
        <v>Re-order</v>
      </c>
      <c r="AF990" s="46">
        <f t="shared" si="239"/>
        <v>-2.5333333333333332</v>
      </c>
      <c r="AG990" s="46">
        <f>SUMIFS('[1]Raw Inventory'!D:D,'[1]Raw Inventory'!C:C,"GREATWALL",'[1]Raw Inventory'!B:B,A990)</f>
        <v>30</v>
      </c>
      <c r="AH990" s="46">
        <f>SUMIFS('[1]Raw Inventory'!D:D,'[1]Raw Inventory'!C:C,"DUARTE",'[1]Raw Inventory'!B:B,A990)</f>
        <v>0</v>
      </c>
      <c r="AI990" s="46"/>
      <c r="AJ990" s="46"/>
      <c r="AK990" s="43"/>
      <c r="AL990" s="43"/>
      <c r="AM990" s="43"/>
      <c r="AN990" s="43"/>
      <c r="AO990" s="43"/>
      <c r="AP990" s="43"/>
      <c r="AQ990" s="43"/>
      <c r="AR990" s="43"/>
      <c r="AS990" s="43"/>
      <c r="AT990" s="43"/>
    </row>
    <row r="991" spans="1:46">
      <c r="A991" s="43" t="s">
        <v>34</v>
      </c>
      <c r="B991" s="43" t="s">
        <v>138</v>
      </c>
      <c r="C991" s="43" t="s">
        <v>137</v>
      </c>
      <c r="D991" s="44" t="s">
        <v>290</v>
      </c>
      <c r="E991" s="44">
        <v>39</v>
      </c>
      <c r="F991" s="44" t="s">
        <v>3</v>
      </c>
      <c r="G991" s="43" t="str">
        <f>IFERROR(VLOOKUP(A991,'[1]MC Masterlist 2026-09-12'!$B:$M, 3, 0),"")</f>
        <v>HONDA</v>
      </c>
      <c r="H991" s="45">
        <f>IFERROR(VLOOKUP(A991,'[1]MC Masterlist 2026-09-12'!$B:$M, 6, 0),"")</f>
        <v>101230</v>
      </c>
      <c r="I991" s="46">
        <v>0</v>
      </c>
      <c r="J991" s="46">
        <v>0</v>
      </c>
      <c r="K991" s="46">
        <v>0</v>
      </c>
      <c r="L991" s="46">
        <f t="shared" si="225"/>
        <v>0</v>
      </c>
      <c r="M991" s="46">
        <f t="shared" si="226"/>
        <v>0</v>
      </c>
      <c r="N991" s="45">
        <f t="shared" si="227"/>
        <v>0</v>
      </c>
      <c r="O991" s="45">
        <f t="shared" si="228"/>
        <v>0</v>
      </c>
      <c r="P991" s="46">
        <f t="shared" si="229"/>
        <v>0</v>
      </c>
      <c r="Q991" s="46">
        <v>1</v>
      </c>
      <c r="R991" s="45">
        <f t="shared" si="230"/>
        <v>101230</v>
      </c>
      <c r="S991" s="46">
        <f t="shared" si="231"/>
        <v>0</v>
      </c>
      <c r="T991" s="46">
        <f>IFERROR(VLOOKUP(A991,'[1]Re-order'!$A:$Q,17,0),"")</f>
        <v>8.4375000000000018</v>
      </c>
      <c r="U991" s="46">
        <f>IFERROR(VLOOKUP(A991,'[1]MC Masterlist 2026-09-12'!$B:$M, 10, 0),0)</f>
        <v>15</v>
      </c>
      <c r="V991" s="46">
        <f>IFERROR(VLOOKUP(A991,'[1]MC Masterlist 2026-09-12'!$B:$M, 11, 0),0)</f>
        <v>15</v>
      </c>
      <c r="W991" s="46">
        <f t="shared" si="232"/>
        <v>30</v>
      </c>
      <c r="X991" s="46">
        <f t="shared" si="233"/>
        <v>7</v>
      </c>
      <c r="Y991" s="46">
        <f>IFERROR(IF(OR(C991="AREA I",C991="AREA V"),7,VLOOKUP(A991,'[1]MC Masterlist 2026-09-12'!$B:$M, 12, 0)),0)</f>
        <v>7</v>
      </c>
      <c r="Z991" s="46">
        <f t="shared" si="234"/>
        <v>0</v>
      </c>
      <c r="AA991" s="46">
        <f t="shared" si="235"/>
        <v>0</v>
      </c>
      <c r="AB991" s="46">
        <f t="shared" si="236"/>
        <v>0</v>
      </c>
      <c r="AC991" s="46">
        <f t="shared" si="237"/>
        <v>0</v>
      </c>
      <c r="AD991" s="44" t="str">
        <f t="shared" si="238"/>
        <v>Over</v>
      </c>
      <c r="AE991" s="44" t="str">
        <f>IFERROR(VLOOKUP(A991,'[1]Re-order'!$A:$AA,27,0),"")</f>
        <v>Stockout</v>
      </c>
      <c r="AF991" s="46">
        <f t="shared" si="239"/>
        <v>-1</v>
      </c>
      <c r="AG991" s="46">
        <f>SUMIFS('[1]Raw Inventory'!D:D,'[1]Raw Inventory'!C:C,"GREATWALL",'[1]Raw Inventory'!B:B,A991)</f>
        <v>1</v>
      </c>
      <c r="AH991" s="46">
        <f>SUMIFS('[1]Raw Inventory'!D:D,'[1]Raw Inventory'!C:C,"DUARTE",'[1]Raw Inventory'!B:B,A991)</f>
        <v>0</v>
      </c>
      <c r="AI991" s="46"/>
      <c r="AJ991" s="46"/>
      <c r="AK991" s="43"/>
      <c r="AL991" s="43"/>
      <c r="AM991" s="43"/>
      <c r="AN991" s="43"/>
      <c r="AO991" s="43"/>
      <c r="AP991" s="43"/>
      <c r="AQ991" s="43"/>
      <c r="AR991" s="43"/>
      <c r="AS991" s="43"/>
      <c r="AT991" s="43"/>
    </row>
    <row r="992" spans="1:46">
      <c r="A992" s="43" t="s">
        <v>55</v>
      </c>
      <c r="B992" s="43" t="s">
        <v>19</v>
      </c>
      <c r="C992" s="43" t="s">
        <v>1</v>
      </c>
      <c r="D992" s="44" t="s">
        <v>253</v>
      </c>
      <c r="E992" s="44">
        <v>20</v>
      </c>
      <c r="F992" s="44" t="s">
        <v>3</v>
      </c>
      <c r="G992" s="43" t="str">
        <f>IFERROR(VLOOKUP(A992,'[1]MC Masterlist 2026-09-12'!$B:$M, 3, 0),"")</f>
        <v>HONDA</v>
      </c>
      <c r="H992" s="45">
        <f>IFERROR(VLOOKUP(A992,'[1]MC Masterlist 2026-09-12'!$B:$M, 6, 0),"")</f>
        <v>284880</v>
      </c>
      <c r="I992" s="46">
        <v>0</v>
      </c>
      <c r="J992" s="46">
        <v>0</v>
      </c>
      <c r="K992" s="46">
        <v>0</v>
      </c>
      <c r="L992" s="46">
        <f t="shared" si="225"/>
        <v>0</v>
      </c>
      <c r="M992" s="46">
        <f t="shared" si="226"/>
        <v>0</v>
      </c>
      <c r="N992" s="45">
        <f t="shared" si="227"/>
        <v>0</v>
      </c>
      <c r="O992" s="45">
        <f t="shared" si="228"/>
        <v>0</v>
      </c>
      <c r="P992" s="46">
        <f t="shared" si="229"/>
        <v>0</v>
      </c>
      <c r="Q992" s="46">
        <v>1</v>
      </c>
      <c r="R992" s="45">
        <f t="shared" si="230"/>
        <v>284880</v>
      </c>
      <c r="S992" s="46">
        <f t="shared" si="231"/>
        <v>0</v>
      </c>
      <c r="T992" s="46">
        <f>IFERROR(VLOOKUP(A992,'[1]Re-order'!$A:$Q,17,0),"")</f>
        <v>720</v>
      </c>
      <c r="U992" s="46">
        <f>IFERROR(VLOOKUP(A992,'[1]MC Masterlist 2026-09-12'!$B:$M, 10, 0),0)</f>
        <v>15</v>
      </c>
      <c r="V992" s="46">
        <f>IFERROR(VLOOKUP(A992,'[1]MC Masterlist 2026-09-12'!$B:$M, 11, 0),0)</f>
        <v>15</v>
      </c>
      <c r="W992" s="46">
        <f t="shared" si="232"/>
        <v>30</v>
      </c>
      <c r="X992" s="46">
        <f t="shared" si="233"/>
        <v>7</v>
      </c>
      <c r="Y992" s="46">
        <f>IFERROR(IF(OR(C992="AREA I",C992="AREA V"),7,VLOOKUP(A992,'[1]MC Masterlist 2026-09-12'!$B:$M, 12, 0)),0)</f>
        <v>7</v>
      </c>
      <c r="Z992" s="46">
        <f t="shared" si="234"/>
        <v>0</v>
      </c>
      <c r="AA992" s="46">
        <f t="shared" si="235"/>
        <v>0</v>
      </c>
      <c r="AB992" s="46">
        <f t="shared" si="236"/>
        <v>0</v>
      </c>
      <c r="AC992" s="46">
        <f t="shared" si="237"/>
        <v>0</v>
      </c>
      <c r="AD992" s="44" t="str">
        <f t="shared" si="238"/>
        <v>Over</v>
      </c>
      <c r="AE992" s="44" t="str">
        <f>IFERROR(VLOOKUP(A992,'[1]Re-order'!$A:$AA,27,0),"")</f>
        <v>Over</v>
      </c>
      <c r="AF992" s="46">
        <f t="shared" si="239"/>
        <v>-1</v>
      </c>
      <c r="AG992" s="46">
        <f>SUMIFS('[1]Raw Inventory'!D:D,'[1]Raw Inventory'!C:C,"GREATWALL",'[1]Raw Inventory'!B:B,A992)</f>
        <v>0</v>
      </c>
      <c r="AH992" s="46">
        <f>SUMIFS('[1]Raw Inventory'!D:D,'[1]Raw Inventory'!C:C,"DUARTE",'[1]Raw Inventory'!B:B,A992)</f>
        <v>0</v>
      </c>
      <c r="AI992" s="46"/>
      <c r="AJ992" s="46"/>
      <c r="AK992" s="43"/>
      <c r="AL992" s="43"/>
      <c r="AM992" s="43"/>
      <c r="AN992" s="43"/>
      <c r="AO992" s="43"/>
      <c r="AP992" s="43"/>
      <c r="AQ992" s="43"/>
      <c r="AR992" s="43"/>
      <c r="AS992" s="43"/>
      <c r="AT992" s="43"/>
    </row>
    <row r="993" spans="1:46">
      <c r="A993" s="43" t="s">
        <v>49</v>
      </c>
      <c r="B993" s="43" t="s">
        <v>115</v>
      </c>
      <c r="C993" s="43" t="s">
        <v>109</v>
      </c>
      <c r="D993" s="44" t="s">
        <v>227</v>
      </c>
      <c r="E993" s="44">
        <v>1</v>
      </c>
      <c r="F993" s="44" t="s">
        <v>0</v>
      </c>
      <c r="G993" s="43" t="str">
        <f>IFERROR(VLOOKUP(A993,'[1]MC Masterlist 2026-09-12'!$B:$M, 3, 0),"")</f>
        <v>BAJAJ RE</v>
      </c>
      <c r="H993" s="45">
        <f>IFERROR(VLOOKUP(A993,'[1]MC Masterlist 2026-09-12'!$B:$M, 6, 0),"")</f>
        <v>191000</v>
      </c>
      <c r="I993" s="46">
        <v>11</v>
      </c>
      <c r="J993" s="46">
        <v>11</v>
      </c>
      <c r="K993" s="46">
        <v>14</v>
      </c>
      <c r="L993" s="46">
        <f t="shared" si="225"/>
        <v>36</v>
      </c>
      <c r="M993" s="46">
        <f t="shared" si="226"/>
        <v>12</v>
      </c>
      <c r="N993" s="45">
        <f t="shared" si="227"/>
        <v>6876000</v>
      </c>
      <c r="O993" s="45">
        <f t="shared" si="228"/>
        <v>2292000</v>
      </c>
      <c r="P993" s="46">
        <f t="shared" si="229"/>
        <v>0.4</v>
      </c>
      <c r="Q993" s="46">
        <v>1</v>
      </c>
      <c r="R993" s="45">
        <f t="shared" si="230"/>
        <v>191000</v>
      </c>
      <c r="S993" s="46">
        <f t="shared" si="231"/>
        <v>2.5</v>
      </c>
      <c r="T993" s="46">
        <f>IFERROR(VLOOKUP(A993,'[1]Re-order'!$A:$Q,17,0),"")</f>
        <v>21.516709511568124</v>
      </c>
      <c r="U993" s="46">
        <f>IFERROR(VLOOKUP(A993,'[1]MC Masterlist 2026-09-12'!$B:$M, 10, 0),0)</f>
        <v>15</v>
      </c>
      <c r="V993" s="46">
        <f>IFERROR(VLOOKUP(A993,'[1]MC Masterlist 2026-09-12'!$B:$M, 11, 0),0)</f>
        <v>15</v>
      </c>
      <c r="W993" s="46">
        <f t="shared" si="232"/>
        <v>30</v>
      </c>
      <c r="X993" s="46">
        <f t="shared" si="233"/>
        <v>24</v>
      </c>
      <c r="Y993" s="46">
        <f>IFERROR(IF(OR(C993="AREA I",C993="AREA V"),7,VLOOKUP(A993,'[1]MC Masterlist 2026-09-12'!$B:$M, 12, 0)),0)</f>
        <v>30</v>
      </c>
      <c r="Z993" s="46">
        <f t="shared" si="234"/>
        <v>6</v>
      </c>
      <c r="AA993" s="46">
        <f t="shared" si="235"/>
        <v>12</v>
      </c>
      <c r="AB993" s="46">
        <f t="shared" si="236"/>
        <v>9.6000000000000014</v>
      </c>
      <c r="AC993" s="46">
        <f t="shared" si="237"/>
        <v>12</v>
      </c>
      <c r="AD993" s="44" t="str">
        <f t="shared" si="238"/>
        <v>Stockout</v>
      </c>
      <c r="AE993" s="44" t="str">
        <f>IFERROR(VLOOKUP(A993,'[1]Re-order'!$A:$AA,27,0),"")</f>
        <v>Stockout</v>
      </c>
      <c r="AF993" s="46">
        <f t="shared" si="239"/>
        <v>11</v>
      </c>
      <c r="AG993" s="46">
        <f>SUMIFS('[1]Raw Inventory'!D:D,'[1]Raw Inventory'!C:C,"GREATWALL",'[1]Raw Inventory'!B:B,A993)</f>
        <v>0</v>
      </c>
      <c r="AH993" s="46">
        <f>SUMIFS('[1]Raw Inventory'!D:D,'[1]Raw Inventory'!C:C,"DUARTE",'[1]Raw Inventory'!B:B,A993)</f>
        <v>0</v>
      </c>
      <c r="AI993" s="46"/>
      <c r="AJ993" s="46"/>
      <c r="AK993" s="43"/>
      <c r="AL993" s="43"/>
      <c r="AM993" s="43"/>
      <c r="AN993" s="43"/>
      <c r="AO993" s="43"/>
      <c r="AP993" s="43"/>
      <c r="AQ993" s="43"/>
      <c r="AR993" s="43"/>
      <c r="AS993" s="43"/>
      <c r="AT993" s="43"/>
    </row>
    <row r="994" spans="1:46">
      <c r="A994" s="43" t="s">
        <v>37</v>
      </c>
      <c r="B994" s="43" t="s">
        <v>121</v>
      </c>
      <c r="C994" s="43" t="s">
        <v>118</v>
      </c>
      <c r="D994" s="44" t="s">
        <v>240</v>
      </c>
      <c r="E994" s="44">
        <v>12</v>
      </c>
      <c r="F994" s="44" t="s">
        <v>2</v>
      </c>
      <c r="G994" s="43" t="str">
        <f>IFERROR(VLOOKUP(A994,'[1]MC Masterlist 2026-09-12'!$B:$M, 3, 0),"")</f>
        <v>HONDA</v>
      </c>
      <c r="H994" s="45">
        <f>IFERROR(VLOOKUP(A994,'[1]MC Masterlist 2026-09-12'!$B:$M, 6, 0),"")</f>
        <v>74550</v>
      </c>
      <c r="I994" s="46">
        <v>1</v>
      </c>
      <c r="J994" s="46">
        <v>1</v>
      </c>
      <c r="K994" s="46">
        <v>3</v>
      </c>
      <c r="L994" s="46">
        <f t="shared" si="225"/>
        <v>5</v>
      </c>
      <c r="M994" s="46">
        <f t="shared" si="226"/>
        <v>1.6666666666666667</v>
      </c>
      <c r="N994" s="45">
        <f t="shared" si="227"/>
        <v>372750</v>
      </c>
      <c r="O994" s="45">
        <f t="shared" si="228"/>
        <v>124250</v>
      </c>
      <c r="P994" s="46">
        <f t="shared" si="229"/>
        <v>5.5555555555555559E-2</v>
      </c>
      <c r="Q994" s="46">
        <v>1</v>
      </c>
      <c r="R994" s="45">
        <f t="shared" si="230"/>
        <v>74550</v>
      </c>
      <c r="S994" s="46">
        <f t="shared" si="231"/>
        <v>18</v>
      </c>
      <c r="T994" s="46">
        <f>IFERROR(VLOOKUP(A994,'[1]Re-order'!$A:$Q,17,0),"")</f>
        <v>33.652173913043477</v>
      </c>
      <c r="U994" s="46">
        <f>IFERROR(VLOOKUP(A994,'[1]MC Masterlist 2026-09-12'!$B:$M, 10, 0),0)</f>
        <v>15</v>
      </c>
      <c r="V994" s="46">
        <f>IFERROR(VLOOKUP(A994,'[1]MC Masterlist 2026-09-12'!$B:$M, 11, 0),0)</f>
        <v>15</v>
      </c>
      <c r="W994" s="46">
        <f t="shared" si="232"/>
        <v>30</v>
      </c>
      <c r="X994" s="46">
        <f t="shared" si="233"/>
        <v>29.166666666666668</v>
      </c>
      <c r="Y994" s="46">
        <f>IFERROR(IF(OR(C994="AREA I",C994="AREA V"),7,VLOOKUP(A994,'[1]MC Masterlist 2026-09-12'!$B:$M, 12, 0)),0)</f>
        <v>30</v>
      </c>
      <c r="Z994" s="46">
        <f t="shared" si="234"/>
        <v>0.83333333333333337</v>
      </c>
      <c r="AA994" s="46">
        <f t="shared" si="235"/>
        <v>1.6666666666666667</v>
      </c>
      <c r="AB994" s="46">
        <f t="shared" si="236"/>
        <v>1.6203703703703705</v>
      </c>
      <c r="AC994" s="46">
        <f t="shared" si="237"/>
        <v>1.6666666666666667</v>
      </c>
      <c r="AD994" s="44" t="str">
        <f t="shared" si="238"/>
        <v>Re-order</v>
      </c>
      <c r="AE994" s="44" t="str">
        <f>IFERROR(VLOOKUP(A994,'[1]Re-order'!$A:$AA,27,0),"")</f>
        <v>Re-order</v>
      </c>
      <c r="AF994" s="46">
        <f t="shared" si="239"/>
        <v>0.66666666666666674</v>
      </c>
      <c r="AG994" s="46">
        <f>SUMIFS('[1]Raw Inventory'!D:D,'[1]Raw Inventory'!C:C,"GREATWALL",'[1]Raw Inventory'!B:B,A994)</f>
        <v>28</v>
      </c>
      <c r="AH994" s="46">
        <f>SUMIFS('[1]Raw Inventory'!D:D,'[1]Raw Inventory'!C:C,"DUARTE",'[1]Raw Inventory'!B:B,A994)</f>
        <v>0</v>
      </c>
      <c r="AI994" s="46"/>
      <c r="AJ994" s="46"/>
      <c r="AK994" s="43"/>
      <c r="AL994" s="43"/>
      <c r="AM994" s="43"/>
      <c r="AN994" s="43"/>
      <c r="AO994" s="43"/>
      <c r="AP994" s="43"/>
      <c r="AQ994" s="43"/>
      <c r="AR994" s="43"/>
      <c r="AS994" s="43"/>
      <c r="AT994" s="43"/>
    </row>
    <row r="995" spans="1:46">
      <c r="A995" s="43" t="s">
        <v>75</v>
      </c>
      <c r="B995" s="43" t="s">
        <v>113</v>
      </c>
      <c r="C995" s="43" t="s">
        <v>109</v>
      </c>
      <c r="D995" s="44" t="s">
        <v>258</v>
      </c>
      <c r="E995" s="44">
        <v>33</v>
      </c>
      <c r="F995" s="44" t="s">
        <v>3</v>
      </c>
      <c r="G995" s="43" t="str">
        <f>IFERROR(VLOOKUP(A995,'[1]MC Masterlist 2026-09-12'!$B:$M, 3, 0),"")</f>
        <v>SUZUKI</v>
      </c>
      <c r="H995" s="45">
        <f>IFERROR(VLOOKUP(A995,'[1]MC Masterlist 2026-09-12'!$B:$M, 6, 0),"")</f>
        <v>138952</v>
      </c>
      <c r="I995" s="46">
        <v>0</v>
      </c>
      <c r="J995" s="46">
        <v>0</v>
      </c>
      <c r="K995" s="46">
        <v>0</v>
      </c>
      <c r="L995" s="46">
        <f t="shared" si="225"/>
        <v>0</v>
      </c>
      <c r="M995" s="46">
        <f t="shared" si="226"/>
        <v>0</v>
      </c>
      <c r="N995" s="45">
        <f t="shared" si="227"/>
        <v>0</v>
      </c>
      <c r="O995" s="45">
        <f t="shared" si="228"/>
        <v>0</v>
      </c>
      <c r="P995" s="46">
        <f t="shared" si="229"/>
        <v>0</v>
      </c>
      <c r="Q995" s="46">
        <v>2</v>
      </c>
      <c r="R995" s="45">
        <f t="shared" si="230"/>
        <v>277904</v>
      </c>
      <c r="S995" s="46">
        <f t="shared" si="231"/>
        <v>0</v>
      </c>
      <c r="T995" s="46">
        <f>IFERROR(VLOOKUP(A995,'[1]Re-order'!$A:$Q,17,0),"")</f>
        <v>855.00000000000011</v>
      </c>
      <c r="U995" s="46">
        <f>IFERROR(VLOOKUP(A995,'[1]MC Masterlist 2026-09-12'!$B:$M, 10, 0),0)</f>
        <v>15</v>
      </c>
      <c r="V995" s="46">
        <f>IFERROR(VLOOKUP(A995,'[1]MC Masterlist 2026-09-12'!$B:$M, 11, 0),0)</f>
        <v>15</v>
      </c>
      <c r="W995" s="46">
        <f t="shared" si="232"/>
        <v>30</v>
      </c>
      <c r="X995" s="46">
        <f t="shared" si="233"/>
        <v>30</v>
      </c>
      <c r="Y995" s="46">
        <f>IFERROR(IF(OR(C995="AREA I",C995="AREA V"),7,VLOOKUP(A995,'[1]MC Masterlist 2026-09-12'!$B:$M, 12, 0)),0)</f>
        <v>30</v>
      </c>
      <c r="Z995" s="46">
        <f t="shared" si="234"/>
        <v>0</v>
      </c>
      <c r="AA995" s="46">
        <f t="shared" si="235"/>
        <v>0</v>
      </c>
      <c r="AB995" s="46">
        <f t="shared" si="236"/>
        <v>0</v>
      </c>
      <c r="AC995" s="46">
        <f t="shared" si="237"/>
        <v>0</v>
      </c>
      <c r="AD995" s="44" t="str">
        <f t="shared" si="238"/>
        <v>Over</v>
      </c>
      <c r="AE995" s="44" t="str">
        <f>IFERROR(VLOOKUP(A995,'[1]Re-order'!$A:$AA,27,0),"")</f>
        <v>Over</v>
      </c>
      <c r="AF995" s="46">
        <f t="shared" si="239"/>
        <v>-2</v>
      </c>
      <c r="AG995" s="46">
        <f>SUMIFS('[1]Raw Inventory'!D:D,'[1]Raw Inventory'!C:C,"GREATWALL",'[1]Raw Inventory'!B:B,A995)</f>
        <v>8</v>
      </c>
      <c r="AH995" s="46">
        <f>SUMIFS('[1]Raw Inventory'!D:D,'[1]Raw Inventory'!C:C,"DUARTE",'[1]Raw Inventory'!B:B,A995)</f>
        <v>0</v>
      </c>
      <c r="AI995" s="46"/>
      <c r="AJ995" s="46"/>
      <c r="AK995" s="43"/>
      <c r="AL995" s="43"/>
      <c r="AM995" s="43"/>
      <c r="AN995" s="43"/>
      <c r="AO995" s="43"/>
      <c r="AP995" s="43"/>
      <c r="AQ995" s="43"/>
      <c r="AR995" s="43"/>
      <c r="AS995" s="43"/>
      <c r="AT995" s="43"/>
    </row>
    <row r="996" spans="1:46">
      <c r="A996" s="43" t="s">
        <v>22</v>
      </c>
      <c r="B996" s="43" t="s">
        <v>19</v>
      </c>
      <c r="C996" s="43" t="s">
        <v>1</v>
      </c>
      <c r="D996" s="44" t="s">
        <v>233</v>
      </c>
      <c r="E996" s="44">
        <v>8</v>
      </c>
      <c r="F996" s="44" t="s">
        <v>2</v>
      </c>
      <c r="G996" s="43" t="str">
        <f>IFERROR(VLOOKUP(A996,'[1]MC Masterlist 2026-09-12'!$B:$M, 3, 0),"")</f>
        <v>HONDA</v>
      </c>
      <c r="H996" s="45">
        <f>IFERROR(VLOOKUP(A996,'[1]MC Masterlist 2026-09-12'!$B:$M, 6, 0),"")</f>
        <v>111258</v>
      </c>
      <c r="I996" s="46">
        <v>1</v>
      </c>
      <c r="J996" s="46">
        <v>3</v>
      </c>
      <c r="K996" s="46">
        <v>4</v>
      </c>
      <c r="L996" s="46">
        <f t="shared" si="225"/>
        <v>8</v>
      </c>
      <c r="M996" s="46">
        <f t="shared" si="226"/>
        <v>2.6666666666666665</v>
      </c>
      <c r="N996" s="45">
        <f t="shared" si="227"/>
        <v>890064</v>
      </c>
      <c r="O996" s="45">
        <f t="shared" si="228"/>
        <v>296688</v>
      </c>
      <c r="P996" s="46">
        <f t="shared" si="229"/>
        <v>8.8888888888888878E-2</v>
      </c>
      <c r="Q996" s="46">
        <v>1</v>
      </c>
      <c r="R996" s="45">
        <f t="shared" si="230"/>
        <v>111258</v>
      </c>
      <c r="S996" s="46">
        <f t="shared" si="231"/>
        <v>11.25</v>
      </c>
      <c r="T996" s="46">
        <f>IFERROR(VLOOKUP(A996,'[1]Re-order'!$A:$Q,17,0),"")</f>
        <v>41.339712918660283</v>
      </c>
      <c r="U996" s="46">
        <f>IFERROR(VLOOKUP(A996,'[1]MC Masterlist 2026-09-12'!$B:$M, 10, 0),0)</f>
        <v>15</v>
      </c>
      <c r="V996" s="46">
        <f>IFERROR(VLOOKUP(A996,'[1]MC Masterlist 2026-09-12'!$B:$M, 11, 0),0)</f>
        <v>15</v>
      </c>
      <c r="W996" s="46">
        <f t="shared" si="232"/>
        <v>30</v>
      </c>
      <c r="X996" s="46">
        <f t="shared" si="233"/>
        <v>5.666666666666667</v>
      </c>
      <c r="Y996" s="46">
        <f>IFERROR(IF(OR(C996="AREA I",C996="AREA V"),7,VLOOKUP(A996,'[1]MC Masterlist 2026-09-12'!$B:$M, 12, 0)),0)</f>
        <v>7</v>
      </c>
      <c r="Z996" s="46">
        <f t="shared" si="234"/>
        <v>1.3333333333333333</v>
      </c>
      <c r="AA996" s="46">
        <f t="shared" si="235"/>
        <v>2.6666666666666665</v>
      </c>
      <c r="AB996" s="46">
        <f t="shared" si="236"/>
        <v>0.50370370370370365</v>
      </c>
      <c r="AC996" s="46">
        <f t="shared" si="237"/>
        <v>0.62222222222222212</v>
      </c>
      <c r="AD996" s="44" t="str">
        <f t="shared" si="238"/>
        <v>Over</v>
      </c>
      <c r="AE996" s="44" t="str">
        <f>IFERROR(VLOOKUP(A996,'[1]Re-order'!$A:$AA,27,0),"")</f>
        <v>Re-order</v>
      </c>
      <c r="AF996" s="46">
        <f t="shared" si="239"/>
        <v>-0.37777777777777788</v>
      </c>
      <c r="AG996" s="46">
        <f>SUMIFS('[1]Raw Inventory'!D:D,'[1]Raw Inventory'!C:C,"GREATWALL",'[1]Raw Inventory'!B:B,A996)</f>
        <v>4</v>
      </c>
      <c r="AH996" s="46">
        <f>SUMIFS('[1]Raw Inventory'!D:D,'[1]Raw Inventory'!C:C,"DUARTE",'[1]Raw Inventory'!B:B,A996)</f>
        <v>0</v>
      </c>
      <c r="AI996" s="46"/>
      <c r="AJ996" s="46"/>
      <c r="AK996" s="43"/>
      <c r="AL996" s="43"/>
      <c r="AM996" s="43"/>
      <c r="AN996" s="43"/>
      <c r="AO996" s="43"/>
      <c r="AP996" s="43"/>
      <c r="AQ996" s="43"/>
      <c r="AR996" s="43"/>
      <c r="AS996" s="43"/>
      <c r="AT996" s="43"/>
    </row>
    <row r="997" spans="1:46">
      <c r="A997" s="43" t="s">
        <v>18</v>
      </c>
      <c r="B997" s="43" t="s">
        <v>145</v>
      </c>
      <c r="C997" s="43" t="s">
        <v>137</v>
      </c>
      <c r="D997" s="44" t="s">
        <v>262</v>
      </c>
      <c r="E997" s="44">
        <v>16</v>
      </c>
      <c r="F997" s="44" t="s">
        <v>2</v>
      </c>
      <c r="G997" s="43" t="str">
        <f>IFERROR(VLOOKUP(A997,'[1]MC Masterlist 2026-09-12'!$B:$M, 3, 0),"")</f>
        <v>HONDA</v>
      </c>
      <c r="H997" s="45">
        <f>IFERROR(VLOOKUP(A997,'[1]MC Masterlist 2026-09-12'!$B:$M, 6, 0),"")</f>
        <v>94330</v>
      </c>
      <c r="I997" s="46">
        <v>0</v>
      </c>
      <c r="J997" s="46">
        <v>0</v>
      </c>
      <c r="K997" s="46">
        <v>2</v>
      </c>
      <c r="L997" s="46">
        <f t="shared" si="225"/>
        <v>2</v>
      </c>
      <c r="M997" s="46">
        <f t="shared" si="226"/>
        <v>0.66666666666666663</v>
      </c>
      <c r="N997" s="45">
        <f t="shared" si="227"/>
        <v>188660</v>
      </c>
      <c r="O997" s="45">
        <f t="shared" si="228"/>
        <v>62886.666666666664</v>
      </c>
      <c r="P997" s="46">
        <f t="shared" si="229"/>
        <v>2.222222222222222E-2</v>
      </c>
      <c r="Q997" s="46">
        <v>4</v>
      </c>
      <c r="R997" s="45">
        <f t="shared" si="230"/>
        <v>377320</v>
      </c>
      <c r="S997" s="46">
        <f t="shared" si="231"/>
        <v>180</v>
      </c>
      <c r="T997" s="46">
        <f>IFERROR(VLOOKUP(A997,'[1]Re-order'!$A:$Q,17,0),"")</f>
        <v>113.9644970414201</v>
      </c>
      <c r="U997" s="46">
        <f>IFERROR(VLOOKUP(A997,'[1]MC Masterlist 2026-09-12'!$B:$M, 10, 0),0)</f>
        <v>15</v>
      </c>
      <c r="V997" s="46">
        <f>IFERROR(VLOOKUP(A997,'[1]MC Masterlist 2026-09-12'!$B:$M, 11, 0),0)</f>
        <v>15</v>
      </c>
      <c r="W997" s="46">
        <f t="shared" si="232"/>
        <v>30</v>
      </c>
      <c r="X997" s="46">
        <f t="shared" si="233"/>
        <v>6.666666666666667</v>
      </c>
      <c r="Y997" s="46">
        <f>IFERROR(IF(OR(C997="AREA I",C997="AREA V"),7,VLOOKUP(A997,'[1]MC Masterlist 2026-09-12'!$B:$M, 12, 0)),0)</f>
        <v>7</v>
      </c>
      <c r="Z997" s="46">
        <f t="shared" si="234"/>
        <v>0.33333333333333331</v>
      </c>
      <c r="AA997" s="46">
        <f t="shared" si="235"/>
        <v>0.66666666666666663</v>
      </c>
      <c r="AB997" s="46">
        <f t="shared" si="236"/>
        <v>0.14814814814814814</v>
      </c>
      <c r="AC997" s="46">
        <f t="shared" si="237"/>
        <v>0.15555555555555553</v>
      </c>
      <c r="AD997" s="44" t="str">
        <f t="shared" si="238"/>
        <v>Over</v>
      </c>
      <c r="AE997" s="44" t="str">
        <f>IFERROR(VLOOKUP(A997,'[1]Re-order'!$A:$AA,27,0),"")</f>
        <v>Over</v>
      </c>
      <c r="AF997" s="46">
        <f t="shared" si="239"/>
        <v>-3.8444444444444446</v>
      </c>
      <c r="AG997" s="46">
        <f>SUMIFS('[1]Raw Inventory'!D:D,'[1]Raw Inventory'!C:C,"GREATWALL",'[1]Raw Inventory'!B:B,A997)</f>
        <v>88</v>
      </c>
      <c r="AH997" s="46">
        <f>SUMIFS('[1]Raw Inventory'!D:D,'[1]Raw Inventory'!C:C,"DUARTE",'[1]Raw Inventory'!B:B,A997)</f>
        <v>0</v>
      </c>
      <c r="AI997" s="46"/>
      <c r="AJ997" s="46"/>
      <c r="AK997" s="43"/>
      <c r="AL997" s="43"/>
      <c r="AM997" s="43"/>
      <c r="AN997" s="43"/>
      <c r="AO997" s="43"/>
      <c r="AP997" s="43"/>
      <c r="AQ997" s="43"/>
      <c r="AR997" s="43"/>
      <c r="AS997" s="43"/>
      <c r="AT997" s="43"/>
    </row>
    <row r="998" spans="1:46">
      <c r="A998" s="43" t="s">
        <v>64</v>
      </c>
      <c r="B998" s="43" t="s">
        <v>93</v>
      </c>
      <c r="C998" s="43" t="s">
        <v>90</v>
      </c>
      <c r="D998" s="44" t="s">
        <v>229</v>
      </c>
      <c r="E998" s="44">
        <v>21</v>
      </c>
      <c r="F998" s="44" t="s">
        <v>3</v>
      </c>
      <c r="G998" s="43" t="str">
        <f>IFERROR(VLOOKUP(A998,'[1]MC Masterlist 2026-09-12'!$B:$M, 3, 0),"")</f>
        <v>HONDA</v>
      </c>
      <c r="H998" s="45">
        <f>IFERROR(VLOOKUP(A998,'[1]MC Masterlist 2026-09-12'!$B:$M, 6, 0),"")</f>
        <v>73170</v>
      </c>
      <c r="I998" s="46">
        <v>0</v>
      </c>
      <c r="J998" s="46">
        <v>0</v>
      </c>
      <c r="K998" s="46">
        <v>0</v>
      </c>
      <c r="L998" s="46">
        <f t="shared" si="225"/>
        <v>0</v>
      </c>
      <c r="M998" s="46">
        <f t="shared" si="226"/>
        <v>0</v>
      </c>
      <c r="N998" s="45">
        <f t="shared" si="227"/>
        <v>0</v>
      </c>
      <c r="O998" s="45">
        <f t="shared" si="228"/>
        <v>0</v>
      </c>
      <c r="P998" s="46">
        <f t="shared" si="229"/>
        <v>0</v>
      </c>
      <c r="Q998" s="46">
        <v>2</v>
      </c>
      <c r="R998" s="45">
        <f t="shared" si="230"/>
        <v>146340</v>
      </c>
      <c r="S998" s="46">
        <f t="shared" si="231"/>
        <v>0</v>
      </c>
      <c r="T998" s="46">
        <f>IFERROR(VLOOKUP(A998,'[1]Re-order'!$A:$Q,17,0),"")</f>
        <v>76.153846153846146</v>
      </c>
      <c r="U998" s="46">
        <f>IFERROR(VLOOKUP(A998,'[1]MC Masterlist 2026-09-12'!$B:$M, 10, 0),0)</f>
        <v>15</v>
      </c>
      <c r="V998" s="46">
        <f>IFERROR(VLOOKUP(A998,'[1]MC Masterlist 2026-09-12'!$B:$M, 11, 0),0)</f>
        <v>15</v>
      </c>
      <c r="W998" s="46">
        <f t="shared" si="232"/>
        <v>30</v>
      </c>
      <c r="X998" s="46">
        <f t="shared" si="233"/>
        <v>30</v>
      </c>
      <c r="Y998" s="46">
        <f>IFERROR(IF(OR(C998="AREA I",C998="AREA V"),7,VLOOKUP(A998,'[1]MC Masterlist 2026-09-12'!$B:$M, 12, 0)),0)</f>
        <v>30</v>
      </c>
      <c r="Z998" s="46">
        <f t="shared" si="234"/>
        <v>0</v>
      </c>
      <c r="AA998" s="46">
        <f t="shared" si="235"/>
        <v>0</v>
      </c>
      <c r="AB998" s="46">
        <f t="shared" si="236"/>
        <v>0</v>
      </c>
      <c r="AC998" s="46">
        <f t="shared" si="237"/>
        <v>0</v>
      </c>
      <c r="AD998" s="44" t="str">
        <f t="shared" si="238"/>
        <v>Over</v>
      </c>
      <c r="AE998" s="44" t="str">
        <f>IFERROR(VLOOKUP(A998,'[1]Re-order'!$A:$AA,27,0),"")</f>
        <v/>
      </c>
      <c r="AF998" s="46">
        <f t="shared" si="239"/>
        <v>-2</v>
      </c>
      <c r="AG998" s="46">
        <f>SUMIFS('[1]Raw Inventory'!D:D,'[1]Raw Inventory'!C:C,"GREATWALL",'[1]Raw Inventory'!B:B,A998)</f>
        <v>13</v>
      </c>
      <c r="AH998" s="46">
        <f>SUMIFS('[1]Raw Inventory'!D:D,'[1]Raw Inventory'!C:C,"DUARTE",'[1]Raw Inventory'!B:B,A998)</f>
        <v>0</v>
      </c>
      <c r="AI998" s="46"/>
      <c r="AJ998" s="46"/>
      <c r="AK998" s="43"/>
      <c r="AL998" s="43"/>
      <c r="AM998" s="43"/>
      <c r="AN998" s="43"/>
      <c r="AO998" s="43"/>
      <c r="AP998" s="43"/>
      <c r="AQ998" s="43"/>
      <c r="AR998" s="43"/>
      <c r="AS998" s="43"/>
      <c r="AT998" s="43"/>
    </row>
    <row r="999" spans="1:46">
      <c r="A999" s="43" t="s">
        <v>23</v>
      </c>
      <c r="B999" s="43" t="s">
        <v>94</v>
      </c>
      <c r="C999" s="43" t="s">
        <v>90</v>
      </c>
      <c r="D999" s="44" t="s">
        <v>241</v>
      </c>
      <c r="E999" s="44">
        <v>26</v>
      </c>
      <c r="F999" s="44" t="s">
        <v>3</v>
      </c>
      <c r="G999" s="43" t="str">
        <f>IFERROR(VLOOKUP(A999,'[1]MC Masterlist 2026-09-12'!$B:$M, 3, 0),"")</f>
        <v>KAWASAKI</v>
      </c>
      <c r="H999" s="45">
        <f>IFERROR(VLOOKUP(A999,'[1]MC Masterlist 2026-09-12'!$B:$M, 6, 0),"")</f>
        <v>60656</v>
      </c>
      <c r="I999" s="46">
        <v>1</v>
      </c>
      <c r="J999" s="46">
        <v>0</v>
      </c>
      <c r="K999" s="46">
        <v>0</v>
      </c>
      <c r="L999" s="46">
        <f t="shared" si="225"/>
        <v>1</v>
      </c>
      <c r="M999" s="46">
        <f t="shared" si="226"/>
        <v>0.33333333333333331</v>
      </c>
      <c r="N999" s="45">
        <f t="shared" si="227"/>
        <v>60656</v>
      </c>
      <c r="O999" s="45">
        <f t="shared" si="228"/>
        <v>20218.666666666664</v>
      </c>
      <c r="P999" s="46">
        <f t="shared" si="229"/>
        <v>1.111111111111111E-2</v>
      </c>
      <c r="Q999" s="46">
        <v>8</v>
      </c>
      <c r="R999" s="45">
        <f t="shared" si="230"/>
        <v>485248</v>
      </c>
      <c r="S999" s="46">
        <f t="shared" si="231"/>
        <v>720.00000000000011</v>
      </c>
      <c r="T999" s="46">
        <f>IFERROR(VLOOKUP(A999,'[1]Re-order'!$A:$Q,17,0),"")</f>
        <v>53.973412112259979</v>
      </c>
      <c r="U999" s="46">
        <f>IFERROR(VLOOKUP(A999,'[1]MC Masterlist 2026-09-12'!$B:$M, 10, 0),0)</f>
        <v>15</v>
      </c>
      <c r="V999" s="46">
        <f>IFERROR(VLOOKUP(A999,'[1]MC Masterlist 2026-09-12'!$B:$M, 11, 0),0)</f>
        <v>15</v>
      </c>
      <c r="W999" s="46">
        <f t="shared" si="232"/>
        <v>30</v>
      </c>
      <c r="X999" s="46">
        <f t="shared" si="233"/>
        <v>29.833333333333332</v>
      </c>
      <c r="Y999" s="46">
        <f>IFERROR(IF(OR(C999="AREA I",C999="AREA V"),7,VLOOKUP(A999,'[1]MC Masterlist 2026-09-12'!$B:$M, 12, 0)),0)</f>
        <v>30</v>
      </c>
      <c r="Z999" s="46">
        <f t="shared" si="234"/>
        <v>0.16666666666666666</v>
      </c>
      <c r="AA999" s="46">
        <f t="shared" si="235"/>
        <v>0.33333333333333331</v>
      </c>
      <c r="AB999" s="46">
        <f t="shared" si="236"/>
        <v>0.33148148148148143</v>
      </c>
      <c r="AC999" s="46">
        <f t="shared" si="237"/>
        <v>0.33333333333333331</v>
      </c>
      <c r="AD999" s="44" t="str">
        <f t="shared" si="238"/>
        <v>Over</v>
      </c>
      <c r="AE999" s="44" t="str">
        <f>IFERROR(VLOOKUP(A999,'[1]Re-order'!$A:$AA,27,0),"")</f>
        <v>Re-order</v>
      </c>
      <c r="AF999" s="46">
        <f t="shared" si="239"/>
        <v>-7.666666666666667</v>
      </c>
      <c r="AG999" s="46">
        <f>SUMIFS('[1]Raw Inventory'!D:D,'[1]Raw Inventory'!C:C,"GREATWALL",'[1]Raw Inventory'!B:B,A999)</f>
        <v>282</v>
      </c>
      <c r="AH999" s="46">
        <f>SUMIFS('[1]Raw Inventory'!D:D,'[1]Raw Inventory'!C:C,"DUARTE",'[1]Raw Inventory'!B:B,A999)</f>
        <v>0</v>
      </c>
      <c r="AI999" s="46"/>
      <c r="AJ999" s="46"/>
      <c r="AK999" s="43"/>
      <c r="AL999" s="43"/>
      <c r="AM999" s="43"/>
      <c r="AN999" s="43"/>
      <c r="AO999" s="43"/>
      <c r="AP999" s="43"/>
      <c r="AQ999" s="43"/>
      <c r="AR999" s="43"/>
      <c r="AS999" s="43"/>
      <c r="AT999" s="43"/>
    </row>
    <row r="1000" spans="1:46">
      <c r="A1000" s="43" t="s">
        <v>16</v>
      </c>
      <c r="B1000" s="43" t="s">
        <v>95</v>
      </c>
      <c r="C1000" s="43" t="s">
        <v>90</v>
      </c>
      <c r="D1000" s="44" t="s">
        <v>246</v>
      </c>
      <c r="E1000" s="44">
        <v>12</v>
      </c>
      <c r="F1000" s="44" t="s">
        <v>2</v>
      </c>
      <c r="G1000" s="43" t="str">
        <f>IFERROR(VLOOKUP(A1000,'[1]MC Masterlist 2026-09-12'!$B:$M, 3, 0),"")</f>
        <v>HONDA</v>
      </c>
      <c r="H1000" s="45">
        <f>IFERROR(VLOOKUP(A1000,'[1]MC Masterlist 2026-09-12'!$B:$M, 6, 0),"")</f>
        <v>84394</v>
      </c>
      <c r="I1000" s="46">
        <v>0</v>
      </c>
      <c r="J1000" s="46">
        <v>2</v>
      </c>
      <c r="K1000" s="46">
        <v>0</v>
      </c>
      <c r="L1000" s="46">
        <f t="shared" si="225"/>
        <v>2</v>
      </c>
      <c r="M1000" s="46">
        <f t="shared" si="226"/>
        <v>0.66666666666666663</v>
      </c>
      <c r="N1000" s="45">
        <f t="shared" si="227"/>
        <v>168788</v>
      </c>
      <c r="O1000" s="45">
        <f t="shared" si="228"/>
        <v>56262.666666666664</v>
      </c>
      <c r="P1000" s="46">
        <f t="shared" si="229"/>
        <v>2.222222222222222E-2</v>
      </c>
      <c r="Q1000" s="46"/>
      <c r="R1000" s="45">
        <f t="shared" si="230"/>
        <v>0</v>
      </c>
      <c r="S1000" s="46">
        <f t="shared" si="231"/>
        <v>0</v>
      </c>
      <c r="T1000" s="46">
        <f>IFERROR(VLOOKUP(A1000,'[1]Re-order'!$A:$Q,17,0),"")</f>
        <v>26.332665330661321</v>
      </c>
      <c r="U1000" s="46">
        <f>IFERROR(VLOOKUP(A1000,'[1]MC Masterlist 2026-09-12'!$B:$M, 10, 0),0)</f>
        <v>15</v>
      </c>
      <c r="V1000" s="46">
        <f>IFERROR(VLOOKUP(A1000,'[1]MC Masterlist 2026-09-12'!$B:$M, 11, 0),0)</f>
        <v>15</v>
      </c>
      <c r="W1000" s="46">
        <f t="shared" si="232"/>
        <v>30</v>
      </c>
      <c r="X1000" s="46">
        <f t="shared" si="233"/>
        <v>29.666666666666668</v>
      </c>
      <c r="Y1000" s="46">
        <f>IFERROR(IF(OR(C1000="AREA I",C1000="AREA V"),7,VLOOKUP(A1000,'[1]MC Masterlist 2026-09-12'!$B:$M, 12, 0)),0)</f>
        <v>30</v>
      </c>
      <c r="Z1000" s="46">
        <f t="shared" si="234"/>
        <v>0.33333333333333331</v>
      </c>
      <c r="AA1000" s="46">
        <f t="shared" si="235"/>
        <v>0.66666666666666663</v>
      </c>
      <c r="AB1000" s="46">
        <f t="shared" si="236"/>
        <v>0.65925925925925921</v>
      </c>
      <c r="AC1000" s="46">
        <f t="shared" si="237"/>
        <v>0.66666666666666663</v>
      </c>
      <c r="AD1000" s="44" t="str">
        <f t="shared" si="238"/>
        <v>Stockout</v>
      </c>
      <c r="AE1000" s="44" t="str">
        <f>IFERROR(VLOOKUP(A1000,'[1]Re-order'!$A:$AA,27,0),"")</f>
        <v>Stockout</v>
      </c>
      <c r="AF1000" s="46">
        <f t="shared" si="239"/>
        <v>0.66666666666666663</v>
      </c>
      <c r="AG1000" s="46">
        <f>SUMIFS('[1]Raw Inventory'!D:D,'[1]Raw Inventory'!C:C,"GREATWALL",'[1]Raw Inventory'!B:B,A1000)</f>
        <v>58</v>
      </c>
      <c r="AH1000" s="46">
        <f>SUMIFS('[1]Raw Inventory'!D:D,'[1]Raw Inventory'!C:C,"DUARTE",'[1]Raw Inventory'!B:B,A1000)</f>
        <v>0</v>
      </c>
      <c r="AI1000" s="46"/>
      <c r="AJ1000" s="46"/>
      <c r="AK1000" s="43"/>
      <c r="AL1000" s="43"/>
      <c r="AM1000" s="43"/>
      <c r="AN1000" s="43"/>
      <c r="AO1000" s="43"/>
      <c r="AP1000" s="43"/>
      <c r="AQ1000" s="43"/>
      <c r="AR1000" s="43"/>
      <c r="AS1000" s="43"/>
      <c r="AT1000" s="43"/>
    </row>
    <row r="1001" spans="1:46">
      <c r="A1001" s="43" t="s">
        <v>38</v>
      </c>
      <c r="B1001" s="43" t="s">
        <v>5</v>
      </c>
      <c r="C1001" s="43" t="s">
        <v>118</v>
      </c>
      <c r="D1001" s="44" t="s">
        <v>253</v>
      </c>
      <c r="E1001" s="44">
        <v>23</v>
      </c>
      <c r="F1001" s="44" t="s">
        <v>3</v>
      </c>
      <c r="G1001" s="43" t="str">
        <f>IFERROR(VLOOKUP(A1001,'[1]MC Masterlist 2026-09-12'!$B:$M, 3, 0),"")</f>
        <v>HONDA</v>
      </c>
      <c r="H1001" s="45">
        <f>IFERROR(VLOOKUP(A1001,'[1]MC Masterlist 2026-09-12'!$B:$M, 6, 0),"")</f>
        <v>165630</v>
      </c>
      <c r="I1001" s="46">
        <v>0</v>
      </c>
      <c r="J1001" s="46">
        <v>0</v>
      </c>
      <c r="K1001" s="46">
        <v>0</v>
      </c>
      <c r="L1001" s="46">
        <f t="shared" si="225"/>
        <v>0</v>
      </c>
      <c r="M1001" s="46">
        <f t="shared" si="226"/>
        <v>0</v>
      </c>
      <c r="N1001" s="45">
        <f t="shared" si="227"/>
        <v>0</v>
      </c>
      <c r="O1001" s="45">
        <f t="shared" si="228"/>
        <v>0</v>
      </c>
      <c r="P1001" s="46">
        <f t="shared" si="229"/>
        <v>0</v>
      </c>
      <c r="Q1001" s="46">
        <v>1</v>
      </c>
      <c r="R1001" s="45">
        <f t="shared" si="230"/>
        <v>165630</v>
      </c>
      <c r="S1001" s="46">
        <f t="shared" si="231"/>
        <v>0</v>
      </c>
      <c r="T1001" s="46">
        <f>IFERROR(VLOOKUP(A1001,'[1]Re-order'!$A:$Q,17,0),"")</f>
        <v>60</v>
      </c>
      <c r="U1001" s="46">
        <f>IFERROR(VLOOKUP(A1001,'[1]MC Masterlist 2026-09-12'!$B:$M, 10, 0),0)</f>
        <v>15</v>
      </c>
      <c r="V1001" s="46">
        <f>IFERROR(VLOOKUP(A1001,'[1]MC Masterlist 2026-09-12'!$B:$M, 11, 0),0)</f>
        <v>15</v>
      </c>
      <c r="W1001" s="46">
        <f t="shared" si="232"/>
        <v>30</v>
      </c>
      <c r="X1001" s="46">
        <f t="shared" si="233"/>
        <v>30</v>
      </c>
      <c r="Y1001" s="46">
        <f>IFERROR(IF(OR(C1001="AREA I",C1001="AREA V"),7,VLOOKUP(A1001,'[1]MC Masterlist 2026-09-12'!$B:$M, 12, 0)),0)</f>
        <v>30</v>
      </c>
      <c r="Z1001" s="46">
        <f t="shared" si="234"/>
        <v>0</v>
      </c>
      <c r="AA1001" s="46">
        <f t="shared" si="235"/>
        <v>0</v>
      </c>
      <c r="AB1001" s="46">
        <f t="shared" si="236"/>
        <v>0</v>
      </c>
      <c r="AC1001" s="46">
        <f t="shared" si="237"/>
        <v>0</v>
      </c>
      <c r="AD1001" s="44" t="str">
        <f t="shared" si="238"/>
        <v>Over</v>
      </c>
      <c r="AE1001" s="44" t="str">
        <f>IFERROR(VLOOKUP(A1001,'[1]Re-order'!$A:$AA,27,0),"")</f>
        <v>Re-order</v>
      </c>
      <c r="AF1001" s="46">
        <f t="shared" si="239"/>
        <v>-1</v>
      </c>
      <c r="AG1001" s="46">
        <f>SUMIFS('[1]Raw Inventory'!D:D,'[1]Raw Inventory'!C:C,"GREATWALL",'[1]Raw Inventory'!B:B,A1001)</f>
        <v>6</v>
      </c>
      <c r="AH1001" s="46">
        <f>SUMIFS('[1]Raw Inventory'!D:D,'[1]Raw Inventory'!C:C,"DUARTE",'[1]Raw Inventory'!B:B,A1001)</f>
        <v>0</v>
      </c>
      <c r="AI1001" s="46"/>
      <c r="AJ1001" s="46"/>
      <c r="AK1001" s="43"/>
      <c r="AL1001" s="43"/>
      <c r="AM1001" s="43"/>
      <c r="AN1001" s="43"/>
      <c r="AO1001" s="43"/>
      <c r="AP1001" s="43"/>
      <c r="AQ1001" s="43"/>
      <c r="AR1001" s="43"/>
      <c r="AS1001" s="43"/>
      <c r="AT1001" s="43"/>
    </row>
    <row r="1002" spans="1:46">
      <c r="A1002" s="43" t="s">
        <v>69</v>
      </c>
      <c r="B1002" s="43" t="s">
        <v>30</v>
      </c>
      <c r="C1002" s="43" t="s">
        <v>1</v>
      </c>
      <c r="D1002" s="44" t="s">
        <v>272</v>
      </c>
      <c r="E1002" s="44">
        <v>37</v>
      </c>
      <c r="F1002" s="44" t="s">
        <v>3</v>
      </c>
      <c r="G1002" s="43" t="str">
        <f>IFERROR(VLOOKUP(A1002,'[1]MC Masterlist 2026-09-12'!$B:$M, 3, 0),"")</f>
        <v>YAMAHA</v>
      </c>
      <c r="H1002" s="45">
        <f>IFERROR(VLOOKUP(A1002,'[1]MC Masterlist 2026-09-12'!$B:$M, 6, 0),"")</f>
        <v>54426</v>
      </c>
      <c r="I1002" s="46">
        <v>0</v>
      </c>
      <c r="J1002" s="46">
        <v>0</v>
      </c>
      <c r="K1002" s="46">
        <v>0</v>
      </c>
      <c r="L1002" s="46">
        <f t="shared" si="225"/>
        <v>0</v>
      </c>
      <c r="M1002" s="46">
        <f t="shared" si="226"/>
        <v>0</v>
      </c>
      <c r="N1002" s="45">
        <f t="shared" si="227"/>
        <v>0</v>
      </c>
      <c r="O1002" s="45">
        <f t="shared" si="228"/>
        <v>0</v>
      </c>
      <c r="P1002" s="46">
        <f t="shared" si="229"/>
        <v>0</v>
      </c>
      <c r="Q1002" s="46">
        <v>1</v>
      </c>
      <c r="R1002" s="45">
        <f t="shared" si="230"/>
        <v>54426</v>
      </c>
      <c r="S1002" s="46">
        <f t="shared" si="231"/>
        <v>0</v>
      </c>
      <c r="T1002" s="46">
        <f>IFERROR(VLOOKUP(A1002,'[1]Re-order'!$A:$Q,17,0),"")</f>
        <v>62.307692307692314</v>
      </c>
      <c r="U1002" s="46">
        <f>IFERROR(VLOOKUP(A1002,'[1]MC Masterlist 2026-09-12'!$B:$M, 10, 0),0)</f>
        <v>15</v>
      </c>
      <c r="V1002" s="46">
        <f>IFERROR(VLOOKUP(A1002,'[1]MC Masterlist 2026-09-12'!$B:$M, 11, 0),0)</f>
        <v>15</v>
      </c>
      <c r="W1002" s="46">
        <f t="shared" si="232"/>
        <v>30</v>
      </c>
      <c r="X1002" s="46">
        <f t="shared" si="233"/>
        <v>7</v>
      </c>
      <c r="Y1002" s="46">
        <f>IFERROR(IF(OR(C1002="AREA I",C1002="AREA V"),7,VLOOKUP(A1002,'[1]MC Masterlist 2026-09-12'!$B:$M, 12, 0)),0)</f>
        <v>7</v>
      </c>
      <c r="Z1002" s="46">
        <f t="shared" si="234"/>
        <v>0</v>
      </c>
      <c r="AA1002" s="46">
        <f t="shared" si="235"/>
        <v>0</v>
      </c>
      <c r="AB1002" s="46">
        <f t="shared" si="236"/>
        <v>0</v>
      </c>
      <c r="AC1002" s="46">
        <f t="shared" si="237"/>
        <v>0</v>
      </c>
      <c r="AD1002" s="44" t="str">
        <f t="shared" si="238"/>
        <v>Over</v>
      </c>
      <c r="AE1002" s="44" t="str">
        <f>IFERROR(VLOOKUP(A1002,'[1]Re-order'!$A:$AA,27,0),"")</f>
        <v>Re-order</v>
      </c>
      <c r="AF1002" s="46">
        <f t="shared" si="239"/>
        <v>-1</v>
      </c>
      <c r="AG1002" s="46">
        <f>SUMIFS('[1]Raw Inventory'!D:D,'[1]Raw Inventory'!C:C,"GREATWALL",'[1]Raw Inventory'!B:B,A1002)</f>
        <v>1</v>
      </c>
      <c r="AH1002" s="46">
        <f>SUMIFS('[1]Raw Inventory'!D:D,'[1]Raw Inventory'!C:C,"DUARTE",'[1]Raw Inventory'!B:B,A1002)</f>
        <v>0</v>
      </c>
      <c r="AI1002" s="46"/>
      <c r="AJ1002" s="46"/>
      <c r="AK1002" s="43"/>
      <c r="AL1002" s="43"/>
      <c r="AM1002" s="43"/>
      <c r="AN1002" s="43"/>
      <c r="AO1002" s="43"/>
      <c r="AP1002" s="43"/>
      <c r="AQ1002" s="43"/>
      <c r="AR1002" s="43"/>
      <c r="AS1002" s="43"/>
      <c r="AT1002" s="43"/>
    </row>
    <row r="1003" spans="1:46">
      <c r="A1003" s="43" t="s">
        <v>50</v>
      </c>
      <c r="B1003" s="43" t="s">
        <v>95</v>
      </c>
      <c r="C1003" s="43" t="s">
        <v>90</v>
      </c>
      <c r="D1003" s="44" t="s">
        <v>223</v>
      </c>
      <c r="E1003" s="44">
        <v>17</v>
      </c>
      <c r="F1003" s="44" t="s">
        <v>3</v>
      </c>
      <c r="G1003" s="43" t="str">
        <f>IFERROR(VLOOKUP(A1003,'[1]MC Masterlist 2026-09-12'!$B:$M, 3, 0),"")</f>
        <v>YAMAHA</v>
      </c>
      <c r="H1003" s="45">
        <f>IFERROR(VLOOKUP(A1003,'[1]MC Masterlist 2026-09-12'!$B:$M, 6, 0),"")</f>
        <v>78957</v>
      </c>
      <c r="I1003" s="46">
        <v>0</v>
      </c>
      <c r="J1003" s="46">
        <v>0</v>
      </c>
      <c r="K1003" s="46">
        <v>1</v>
      </c>
      <c r="L1003" s="46">
        <f t="shared" si="225"/>
        <v>1</v>
      </c>
      <c r="M1003" s="46">
        <f t="shared" si="226"/>
        <v>0.33333333333333331</v>
      </c>
      <c r="N1003" s="45">
        <f t="shared" si="227"/>
        <v>78957</v>
      </c>
      <c r="O1003" s="45">
        <f t="shared" si="228"/>
        <v>26319</v>
      </c>
      <c r="P1003" s="46">
        <f t="shared" si="229"/>
        <v>1.111111111111111E-2</v>
      </c>
      <c r="Q1003" s="46"/>
      <c r="R1003" s="45">
        <f t="shared" si="230"/>
        <v>0</v>
      </c>
      <c r="S1003" s="46">
        <f t="shared" si="231"/>
        <v>0</v>
      </c>
      <c r="T1003" s="46">
        <f>IFERROR(VLOOKUP(A1003,'[1]Re-order'!$A:$Q,17,0),"")</f>
        <v>118.125</v>
      </c>
      <c r="U1003" s="46">
        <f>IFERROR(VLOOKUP(A1003,'[1]MC Masterlist 2026-09-12'!$B:$M, 10, 0),0)</f>
        <v>15</v>
      </c>
      <c r="V1003" s="46">
        <f>IFERROR(VLOOKUP(A1003,'[1]MC Masterlist 2026-09-12'!$B:$M, 11, 0),0)</f>
        <v>15</v>
      </c>
      <c r="W1003" s="46">
        <f t="shared" si="232"/>
        <v>30</v>
      </c>
      <c r="X1003" s="46">
        <f t="shared" si="233"/>
        <v>29.833333333333332</v>
      </c>
      <c r="Y1003" s="46">
        <f>IFERROR(IF(OR(C1003="AREA I",C1003="AREA V"),7,VLOOKUP(A1003,'[1]MC Masterlist 2026-09-12'!$B:$M, 12, 0)),0)</f>
        <v>30</v>
      </c>
      <c r="Z1003" s="46">
        <f t="shared" si="234"/>
        <v>0.16666666666666666</v>
      </c>
      <c r="AA1003" s="46">
        <f t="shared" si="235"/>
        <v>0.33333333333333331</v>
      </c>
      <c r="AB1003" s="46">
        <f t="shared" si="236"/>
        <v>0.33148148148148143</v>
      </c>
      <c r="AC1003" s="46">
        <f t="shared" si="237"/>
        <v>0.33333333333333331</v>
      </c>
      <c r="AD1003" s="44" t="str">
        <f t="shared" si="238"/>
        <v>Stockout</v>
      </c>
      <c r="AE1003" s="44" t="str">
        <f>IFERROR(VLOOKUP(A1003,'[1]Re-order'!$A:$AA,27,0),"")</f>
        <v>Over</v>
      </c>
      <c r="AF1003" s="46">
        <f t="shared" si="239"/>
        <v>0.33333333333333331</v>
      </c>
      <c r="AG1003" s="46">
        <f>SUMIFS('[1]Raw Inventory'!D:D,'[1]Raw Inventory'!C:C,"GREATWALL",'[1]Raw Inventory'!B:B,A1003)</f>
        <v>23</v>
      </c>
      <c r="AH1003" s="46">
        <f>SUMIFS('[1]Raw Inventory'!D:D,'[1]Raw Inventory'!C:C,"DUARTE",'[1]Raw Inventory'!B:B,A1003)</f>
        <v>0</v>
      </c>
      <c r="AI1003" s="46"/>
      <c r="AJ1003" s="46"/>
      <c r="AK1003" s="43"/>
      <c r="AL1003" s="43"/>
      <c r="AM1003" s="43"/>
      <c r="AN1003" s="43"/>
      <c r="AO1003" s="43"/>
      <c r="AP1003" s="43"/>
      <c r="AQ1003" s="43"/>
      <c r="AR1003" s="43"/>
      <c r="AS1003" s="43"/>
      <c r="AT1003" s="43"/>
    </row>
    <row r="1004" spans="1:46">
      <c r="A1004" s="43" t="s">
        <v>77</v>
      </c>
      <c r="B1004" s="43" t="s">
        <v>160</v>
      </c>
      <c r="C1004" s="43" t="s">
        <v>159</v>
      </c>
      <c r="D1004" s="44" t="s">
        <v>231</v>
      </c>
      <c r="E1004" s="44">
        <v>24</v>
      </c>
      <c r="F1004" s="44" t="s">
        <v>3</v>
      </c>
      <c r="G1004" s="43" t="str">
        <f>IFERROR(VLOOKUP(A1004,'[1]MC Masterlist 2026-09-12'!$B:$M, 3, 0),"")</f>
        <v>SUZUKI</v>
      </c>
      <c r="H1004" s="45">
        <f>IFERROR(VLOOKUP(A1004,'[1]MC Masterlist 2026-09-12'!$B:$M, 6, 0),"")</f>
        <v>91057</v>
      </c>
      <c r="I1004" s="46">
        <v>0</v>
      </c>
      <c r="J1004" s="46">
        <v>0</v>
      </c>
      <c r="K1004" s="46">
        <v>0</v>
      </c>
      <c r="L1004" s="46">
        <f t="shared" si="225"/>
        <v>0</v>
      </c>
      <c r="M1004" s="46">
        <f t="shared" si="226"/>
        <v>0</v>
      </c>
      <c r="N1004" s="45">
        <f t="shared" si="227"/>
        <v>0</v>
      </c>
      <c r="O1004" s="45">
        <f t="shared" si="228"/>
        <v>0</v>
      </c>
      <c r="P1004" s="46">
        <f t="shared" si="229"/>
        <v>0</v>
      </c>
      <c r="Q1004" s="46">
        <v>3</v>
      </c>
      <c r="R1004" s="45">
        <f t="shared" si="230"/>
        <v>273171</v>
      </c>
      <c r="S1004" s="46">
        <f t="shared" si="231"/>
        <v>0</v>
      </c>
      <c r="T1004" s="46">
        <f>IFERROR(VLOOKUP(A1004,'[1]Re-order'!$A:$Q,17,0),"")</f>
        <v>1125</v>
      </c>
      <c r="U1004" s="46">
        <f>IFERROR(VLOOKUP(A1004,'[1]MC Masterlist 2026-09-12'!$B:$M, 10, 0),0)</f>
        <v>15</v>
      </c>
      <c r="V1004" s="46">
        <f>IFERROR(VLOOKUP(A1004,'[1]MC Masterlist 2026-09-12'!$B:$M, 11, 0),0)</f>
        <v>15</v>
      </c>
      <c r="W1004" s="46">
        <f t="shared" si="232"/>
        <v>30</v>
      </c>
      <c r="X1004" s="46">
        <f t="shared" si="233"/>
        <v>30</v>
      </c>
      <c r="Y1004" s="46">
        <f>IFERROR(IF(OR(C1004="AREA I",C1004="AREA V"),7,VLOOKUP(A1004,'[1]MC Masterlist 2026-09-12'!$B:$M, 12, 0)),0)</f>
        <v>30</v>
      </c>
      <c r="Z1004" s="46">
        <f t="shared" si="234"/>
        <v>0</v>
      </c>
      <c r="AA1004" s="46">
        <f t="shared" si="235"/>
        <v>0</v>
      </c>
      <c r="AB1004" s="46">
        <f t="shared" si="236"/>
        <v>0</v>
      </c>
      <c r="AC1004" s="46">
        <f t="shared" si="237"/>
        <v>0</v>
      </c>
      <c r="AD1004" s="44" t="str">
        <f t="shared" si="238"/>
        <v>Over</v>
      </c>
      <c r="AE1004" s="44" t="str">
        <f>IFERROR(VLOOKUP(A1004,'[1]Re-order'!$A:$AA,27,0),"")</f>
        <v>Over</v>
      </c>
      <c r="AF1004" s="46">
        <f t="shared" si="239"/>
        <v>-3</v>
      </c>
      <c r="AG1004" s="46">
        <f>SUMIFS('[1]Raw Inventory'!D:D,'[1]Raw Inventory'!C:C,"GREATWALL",'[1]Raw Inventory'!B:B,A1004)</f>
        <v>13</v>
      </c>
      <c r="AH1004" s="46">
        <f>SUMIFS('[1]Raw Inventory'!D:D,'[1]Raw Inventory'!C:C,"DUARTE",'[1]Raw Inventory'!B:B,A1004)</f>
        <v>0</v>
      </c>
      <c r="AI1004" s="46"/>
      <c r="AJ1004" s="46"/>
      <c r="AK1004" s="43"/>
      <c r="AL1004" s="43"/>
      <c r="AM1004" s="43"/>
      <c r="AN1004" s="43"/>
      <c r="AO1004" s="43"/>
      <c r="AP1004" s="43"/>
      <c r="AQ1004" s="43"/>
      <c r="AR1004" s="43"/>
      <c r="AS1004" s="43"/>
      <c r="AT1004" s="43"/>
    </row>
    <row r="1005" spans="1:46">
      <c r="A1005" s="43" t="s">
        <v>20</v>
      </c>
      <c r="B1005" s="43" t="s">
        <v>116</v>
      </c>
      <c r="C1005" s="43" t="s">
        <v>109</v>
      </c>
      <c r="D1005" s="44" t="s">
        <v>223</v>
      </c>
      <c r="E1005" s="44">
        <v>6</v>
      </c>
      <c r="F1005" s="44" t="s">
        <v>3</v>
      </c>
      <c r="G1005" s="43" t="str">
        <f>IFERROR(VLOOKUP(A1005,'[1]MC Masterlist 2026-09-12'!$B:$M, 3, 0),"")</f>
        <v>HONDA</v>
      </c>
      <c r="H1005" s="45">
        <f>IFERROR(VLOOKUP(A1005,'[1]MC Masterlist 2026-09-12'!$B:$M, 6, 0),"")</f>
        <v>69950</v>
      </c>
      <c r="I1005" s="46">
        <v>0</v>
      </c>
      <c r="J1005" s="46">
        <v>0</v>
      </c>
      <c r="K1005" s="46">
        <v>1</v>
      </c>
      <c r="L1005" s="46">
        <f t="shared" si="225"/>
        <v>1</v>
      </c>
      <c r="M1005" s="46">
        <f t="shared" si="226"/>
        <v>0.33333333333333331</v>
      </c>
      <c r="N1005" s="45">
        <f t="shared" si="227"/>
        <v>69950</v>
      </c>
      <c r="O1005" s="45">
        <f t="shared" si="228"/>
        <v>23316.666666666664</v>
      </c>
      <c r="P1005" s="46">
        <f t="shared" si="229"/>
        <v>1.111111111111111E-2</v>
      </c>
      <c r="Q1005" s="46">
        <v>4</v>
      </c>
      <c r="R1005" s="45">
        <f t="shared" si="230"/>
        <v>279800</v>
      </c>
      <c r="S1005" s="46">
        <f t="shared" si="231"/>
        <v>360.00000000000006</v>
      </c>
      <c r="T1005" s="46">
        <f>IFERROR(VLOOKUP(A1005,'[1]Re-order'!$A:$Q,17,0),"")</f>
        <v>75.775862068965523</v>
      </c>
      <c r="U1005" s="46">
        <f>IFERROR(VLOOKUP(A1005,'[1]MC Masterlist 2026-09-12'!$B:$M, 10, 0),0)</f>
        <v>15</v>
      </c>
      <c r="V1005" s="46">
        <f>IFERROR(VLOOKUP(A1005,'[1]MC Masterlist 2026-09-12'!$B:$M, 11, 0),0)</f>
        <v>15</v>
      </c>
      <c r="W1005" s="46">
        <f t="shared" si="232"/>
        <v>30</v>
      </c>
      <c r="X1005" s="46">
        <f t="shared" si="233"/>
        <v>29.833333333333332</v>
      </c>
      <c r="Y1005" s="46">
        <f>IFERROR(IF(OR(C1005="AREA I",C1005="AREA V"),7,VLOOKUP(A1005,'[1]MC Masterlist 2026-09-12'!$B:$M, 12, 0)),0)</f>
        <v>30</v>
      </c>
      <c r="Z1005" s="46">
        <f t="shared" si="234"/>
        <v>0.16666666666666666</v>
      </c>
      <c r="AA1005" s="46">
        <f t="shared" si="235"/>
        <v>0.33333333333333331</v>
      </c>
      <c r="AB1005" s="46">
        <f t="shared" si="236"/>
        <v>0.33148148148148143</v>
      </c>
      <c r="AC1005" s="46">
        <f t="shared" si="237"/>
        <v>0.33333333333333331</v>
      </c>
      <c r="AD1005" s="44" t="str">
        <f t="shared" si="238"/>
        <v>Over</v>
      </c>
      <c r="AE1005" s="44" t="str">
        <f>IFERROR(VLOOKUP(A1005,'[1]Re-order'!$A:$AA,27,0),"")</f>
        <v/>
      </c>
      <c r="AF1005" s="46">
        <f t="shared" si="239"/>
        <v>-3.6666666666666665</v>
      </c>
      <c r="AG1005" s="46">
        <f>SUMIFS('[1]Raw Inventory'!D:D,'[1]Raw Inventory'!C:C,"GREATWALL",'[1]Raw Inventory'!B:B,A1005)</f>
        <v>110</v>
      </c>
      <c r="AH1005" s="46">
        <f>SUMIFS('[1]Raw Inventory'!D:D,'[1]Raw Inventory'!C:C,"DUARTE",'[1]Raw Inventory'!B:B,A1005)</f>
        <v>0</v>
      </c>
      <c r="AI1005" s="46"/>
      <c r="AJ1005" s="46"/>
      <c r="AK1005" s="43"/>
      <c r="AL1005" s="43"/>
      <c r="AM1005" s="43"/>
      <c r="AN1005" s="43"/>
      <c r="AO1005" s="43"/>
      <c r="AP1005" s="43"/>
      <c r="AQ1005" s="43"/>
      <c r="AR1005" s="43"/>
      <c r="AS1005" s="43"/>
      <c r="AT1005" s="43"/>
    </row>
    <row r="1006" spans="1:46">
      <c r="A1006" s="43" t="s">
        <v>14</v>
      </c>
      <c r="B1006" s="43" t="s">
        <v>95</v>
      </c>
      <c r="C1006" s="43" t="s">
        <v>90</v>
      </c>
      <c r="D1006" s="44" t="s">
        <v>225</v>
      </c>
      <c r="E1006" s="44">
        <v>3</v>
      </c>
      <c r="F1006" s="44" t="s">
        <v>0</v>
      </c>
      <c r="G1006" s="43" t="str">
        <f>IFERROR(VLOOKUP(A1006,'[1]MC Masterlist 2026-09-12'!$B:$M, 3, 0),"")</f>
        <v>HONDA</v>
      </c>
      <c r="H1006" s="45">
        <f>IFERROR(VLOOKUP(A1006,'[1]MC Masterlist 2026-09-12'!$B:$M, 6, 0),"")</f>
        <v>80070</v>
      </c>
      <c r="I1006" s="46">
        <v>3</v>
      </c>
      <c r="J1006" s="46">
        <v>3</v>
      </c>
      <c r="K1006" s="46">
        <v>5</v>
      </c>
      <c r="L1006" s="46">
        <f t="shared" si="225"/>
        <v>11</v>
      </c>
      <c r="M1006" s="46">
        <f t="shared" si="226"/>
        <v>3.6666666666666665</v>
      </c>
      <c r="N1006" s="45">
        <f t="shared" si="227"/>
        <v>880770</v>
      </c>
      <c r="O1006" s="45">
        <f t="shared" si="228"/>
        <v>293590</v>
      </c>
      <c r="P1006" s="46">
        <f t="shared" si="229"/>
        <v>0.12222222222222222</v>
      </c>
      <c r="Q1006" s="46">
        <v>2</v>
      </c>
      <c r="R1006" s="45">
        <f t="shared" si="230"/>
        <v>160140</v>
      </c>
      <c r="S1006" s="46">
        <f t="shared" si="231"/>
        <v>16.363636363636363</v>
      </c>
      <c r="T1006" s="46">
        <f>IFERROR(VLOOKUP(A1006,'[1]Re-order'!$A:$Q,17,0),"")</f>
        <v>20.105787181082761</v>
      </c>
      <c r="U1006" s="46">
        <f>IFERROR(VLOOKUP(A1006,'[1]MC Masterlist 2026-09-12'!$B:$M, 10, 0),0)</f>
        <v>15</v>
      </c>
      <c r="V1006" s="46">
        <f>IFERROR(VLOOKUP(A1006,'[1]MC Masterlist 2026-09-12'!$B:$M, 11, 0),0)</f>
        <v>15</v>
      </c>
      <c r="W1006" s="46">
        <f t="shared" si="232"/>
        <v>30</v>
      </c>
      <c r="X1006" s="46">
        <f t="shared" si="233"/>
        <v>28.166666666666668</v>
      </c>
      <c r="Y1006" s="46">
        <f>IFERROR(IF(OR(C1006="AREA I",C1006="AREA V"),7,VLOOKUP(A1006,'[1]MC Masterlist 2026-09-12'!$B:$M, 12, 0)),0)</f>
        <v>30</v>
      </c>
      <c r="Z1006" s="46">
        <f t="shared" si="234"/>
        <v>1.8333333333333333</v>
      </c>
      <c r="AA1006" s="46">
        <f t="shared" si="235"/>
        <v>3.6666666666666665</v>
      </c>
      <c r="AB1006" s="46">
        <f t="shared" si="236"/>
        <v>3.4425925925925926</v>
      </c>
      <c r="AC1006" s="46">
        <f t="shared" si="237"/>
        <v>3.6666666666666665</v>
      </c>
      <c r="AD1006" s="44" t="str">
        <f t="shared" si="238"/>
        <v>Re-order</v>
      </c>
      <c r="AE1006" s="44" t="str">
        <f>IFERROR(VLOOKUP(A1006,'[1]Re-order'!$A:$AA,27,0),"")</f>
        <v>Stockout</v>
      </c>
      <c r="AF1006" s="46">
        <f t="shared" si="239"/>
        <v>1.6666666666666665</v>
      </c>
      <c r="AG1006" s="46">
        <f>SUMIFS('[1]Raw Inventory'!D:D,'[1]Raw Inventory'!C:C,"GREATWALL",'[1]Raw Inventory'!B:B,A1006)</f>
        <v>176</v>
      </c>
      <c r="AH1006" s="46">
        <f>SUMIFS('[1]Raw Inventory'!D:D,'[1]Raw Inventory'!C:C,"DUARTE",'[1]Raw Inventory'!B:B,A1006)</f>
        <v>0</v>
      </c>
      <c r="AI1006" s="46"/>
      <c r="AJ1006" s="46"/>
      <c r="AK1006" s="43"/>
      <c r="AL1006" s="43"/>
      <c r="AM1006" s="43"/>
      <c r="AN1006" s="43"/>
      <c r="AO1006" s="43"/>
      <c r="AP1006" s="43"/>
      <c r="AQ1006" s="43"/>
      <c r="AR1006" s="43"/>
      <c r="AS1006" s="43"/>
      <c r="AT1006" s="43"/>
    </row>
    <row r="1007" spans="1:46">
      <c r="A1007" s="43" t="s">
        <v>40</v>
      </c>
      <c r="B1007" s="43" t="s">
        <v>145</v>
      </c>
      <c r="C1007" s="43" t="s">
        <v>137</v>
      </c>
      <c r="D1007" s="44" t="s">
        <v>243</v>
      </c>
      <c r="E1007" s="44">
        <v>17</v>
      </c>
      <c r="F1007" s="44" t="s">
        <v>2</v>
      </c>
      <c r="G1007" s="43" t="str">
        <f>IFERROR(VLOOKUP(A1007,'[1]MC Masterlist 2026-09-12'!$B:$M, 3, 0),"")</f>
        <v>HONDA</v>
      </c>
      <c r="H1007" s="45">
        <f>IFERROR(VLOOKUP(A1007,'[1]MC Masterlist 2026-09-12'!$B:$M, 6, 0),"")</f>
        <v>56426</v>
      </c>
      <c r="I1007" s="46">
        <v>0</v>
      </c>
      <c r="J1007" s="46">
        <v>3</v>
      </c>
      <c r="K1007" s="46">
        <v>0</v>
      </c>
      <c r="L1007" s="46">
        <f t="shared" si="225"/>
        <v>3</v>
      </c>
      <c r="M1007" s="46">
        <f t="shared" si="226"/>
        <v>1</v>
      </c>
      <c r="N1007" s="45">
        <f t="shared" si="227"/>
        <v>169278</v>
      </c>
      <c r="O1007" s="45">
        <f t="shared" si="228"/>
        <v>56426</v>
      </c>
      <c r="P1007" s="46">
        <f t="shared" si="229"/>
        <v>3.3333333333333333E-2</v>
      </c>
      <c r="Q1007" s="46">
        <v>2</v>
      </c>
      <c r="R1007" s="45">
        <f t="shared" si="230"/>
        <v>112852</v>
      </c>
      <c r="S1007" s="46">
        <f t="shared" si="231"/>
        <v>60</v>
      </c>
      <c r="T1007" s="46">
        <f>IFERROR(VLOOKUP(A1007,'[1]Re-order'!$A:$Q,17,0),"")</f>
        <v>139.56521739130434</v>
      </c>
      <c r="U1007" s="46">
        <f>IFERROR(VLOOKUP(A1007,'[1]MC Masterlist 2026-09-12'!$B:$M, 10, 0),0)</f>
        <v>15</v>
      </c>
      <c r="V1007" s="46">
        <f>IFERROR(VLOOKUP(A1007,'[1]MC Masterlist 2026-09-12'!$B:$M, 11, 0),0)</f>
        <v>15</v>
      </c>
      <c r="W1007" s="46">
        <f t="shared" si="232"/>
        <v>30</v>
      </c>
      <c r="X1007" s="46">
        <f t="shared" si="233"/>
        <v>6.5</v>
      </c>
      <c r="Y1007" s="46">
        <f>IFERROR(IF(OR(C1007="AREA I",C1007="AREA V"),7,VLOOKUP(A1007,'[1]MC Masterlist 2026-09-12'!$B:$M, 12, 0)),0)</f>
        <v>7</v>
      </c>
      <c r="Z1007" s="46">
        <f t="shared" si="234"/>
        <v>0.5</v>
      </c>
      <c r="AA1007" s="46">
        <f t="shared" si="235"/>
        <v>1</v>
      </c>
      <c r="AB1007" s="46">
        <f t="shared" si="236"/>
        <v>0.21666666666666667</v>
      </c>
      <c r="AC1007" s="46">
        <f t="shared" si="237"/>
        <v>0.23333333333333334</v>
      </c>
      <c r="AD1007" s="44" t="str">
        <f t="shared" si="238"/>
        <v>Over</v>
      </c>
      <c r="AE1007" s="44" t="str">
        <f>IFERROR(VLOOKUP(A1007,'[1]Re-order'!$A:$AA,27,0),"")</f>
        <v>Over</v>
      </c>
      <c r="AF1007" s="46">
        <f t="shared" si="239"/>
        <v>-1.7666666666666666</v>
      </c>
      <c r="AG1007" s="46">
        <f>SUMIFS('[1]Raw Inventory'!D:D,'[1]Raw Inventory'!C:C,"GREATWALL",'[1]Raw Inventory'!B:B,A1007)</f>
        <v>45</v>
      </c>
      <c r="AH1007" s="46">
        <f>SUMIFS('[1]Raw Inventory'!D:D,'[1]Raw Inventory'!C:C,"DUARTE",'[1]Raw Inventory'!B:B,A1007)</f>
        <v>0</v>
      </c>
      <c r="AI1007" s="46"/>
      <c r="AJ1007" s="46"/>
      <c r="AK1007" s="43"/>
      <c r="AL1007" s="43"/>
      <c r="AM1007" s="43"/>
      <c r="AN1007" s="43"/>
      <c r="AO1007" s="43"/>
      <c r="AP1007" s="43"/>
      <c r="AQ1007" s="43"/>
      <c r="AR1007" s="43"/>
      <c r="AS1007" s="43"/>
      <c r="AT1007" s="43"/>
    </row>
    <row r="1008" spans="1:46">
      <c r="A1008" s="43" t="s">
        <v>16</v>
      </c>
      <c r="B1008" s="43" t="s">
        <v>248</v>
      </c>
      <c r="C1008" s="43"/>
      <c r="D1008" s="44" t="s">
        <v>287</v>
      </c>
      <c r="E1008" s="44">
        <v>1</v>
      </c>
      <c r="F1008" s="44" t="s">
        <v>0</v>
      </c>
      <c r="G1008" s="43" t="str">
        <f>IFERROR(VLOOKUP(A1008,'[1]MC Masterlist 2026-09-12'!$B:$M, 3, 0),"")</f>
        <v>HONDA</v>
      </c>
      <c r="H1008" s="45">
        <f>IFERROR(VLOOKUP(A1008,'[1]MC Masterlist 2026-09-12'!$B:$M, 6, 0),"")</f>
        <v>84394</v>
      </c>
      <c r="I1008" s="46">
        <v>0</v>
      </c>
      <c r="J1008" s="46">
        <v>0</v>
      </c>
      <c r="K1008" s="46">
        <v>0</v>
      </c>
      <c r="L1008" s="46">
        <f t="shared" si="225"/>
        <v>0</v>
      </c>
      <c r="M1008" s="46">
        <f t="shared" si="226"/>
        <v>0</v>
      </c>
      <c r="N1008" s="45">
        <f t="shared" si="227"/>
        <v>0</v>
      </c>
      <c r="O1008" s="45">
        <f t="shared" si="228"/>
        <v>0</v>
      </c>
      <c r="P1008" s="46">
        <f t="shared" si="229"/>
        <v>0</v>
      </c>
      <c r="Q1008" s="46">
        <v>2</v>
      </c>
      <c r="R1008" s="45">
        <f t="shared" si="230"/>
        <v>168788</v>
      </c>
      <c r="S1008" s="46">
        <f t="shared" si="231"/>
        <v>0</v>
      </c>
      <c r="T1008" s="46">
        <f>IFERROR(VLOOKUP(A1008,'[1]Re-order'!$A:$Q,17,0),"")</f>
        <v>26.332665330661321</v>
      </c>
      <c r="U1008" s="46">
        <f>IFERROR(VLOOKUP(A1008,'[1]MC Masterlist 2026-09-12'!$B:$M, 10, 0),0)</f>
        <v>15</v>
      </c>
      <c r="V1008" s="46">
        <f>IFERROR(VLOOKUP(A1008,'[1]MC Masterlist 2026-09-12'!$B:$M, 11, 0),0)</f>
        <v>15</v>
      </c>
      <c r="W1008" s="46">
        <f t="shared" si="232"/>
        <v>30</v>
      </c>
      <c r="X1008" s="46">
        <f t="shared" si="233"/>
        <v>30</v>
      </c>
      <c r="Y1008" s="46">
        <f>IFERROR(IF(OR(C1008="AREA I",C1008="AREA V"),7,VLOOKUP(A1008,'[1]MC Masterlist 2026-09-12'!$B:$M, 12, 0)),0)</f>
        <v>30</v>
      </c>
      <c r="Z1008" s="46">
        <f t="shared" si="234"/>
        <v>0</v>
      </c>
      <c r="AA1008" s="46">
        <f t="shared" si="235"/>
        <v>0</v>
      </c>
      <c r="AB1008" s="46">
        <f t="shared" si="236"/>
        <v>0</v>
      </c>
      <c r="AC1008" s="46">
        <f t="shared" si="237"/>
        <v>0</v>
      </c>
      <c r="AD1008" s="44" t="str">
        <f t="shared" si="238"/>
        <v>Over</v>
      </c>
      <c r="AE1008" s="44" t="str">
        <f>IFERROR(VLOOKUP(A1008,'[1]Re-order'!$A:$AA,27,0),"")</f>
        <v>Stockout</v>
      </c>
      <c r="AF1008" s="46">
        <f t="shared" si="239"/>
        <v>-2</v>
      </c>
      <c r="AG1008" s="46">
        <f>SUMIFS('[1]Raw Inventory'!D:D,'[1]Raw Inventory'!C:C,"GREATWALL",'[1]Raw Inventory'!B:B,A1008)</f>
        <v>58</v>
      </c>
      <c r="AH1008" s="46">
        <f>SUMIFS('[1]Raw Inventory'!D:D,'[1]Raw Inventory'!C:C,"DUARTE",'[1]Raw Inventory'!B:B,A1008)</f>
        <v>0</v>
      </c>
      <c r="AI1008" s="46"/>
      <c r="AJ1008" s="46"/>
      <c r="AK1008" s="43"/>
      <c r="AL1008" s="43"/>
      <c r="AM1008" s="43"/>
      <c r="AN1008" s="43"/>
      <c r="AO1008" s="43"/>
      <c r="AP1008" s="43"/>
      <c r="AQ1008" s="43"/>
      <c r="AR1008" s="43"/>
      <c r="AS1008" s="43"/>
      <c r="AT1008" s="43"/>
    </row>
    <row r="1009" spans="1:46">
      <c r="A1009" s="43" t="s">
        <v>108</v>
      </c>
      <c r="B1009" s="43" t="s">
        <v>162</v>
      </c>
      <c r="C1009" s="43" t="s">
        <v>159</v>
      </c>
      <c r="D1009" s="44" t="s">
        <v>247</v>
      </c>
      <c r="E1009" s="44">
        <v>22</v>
      </c>
      <c r="F1009" s="44" t="s">
        <v>3</v>
      </c>
      <c r="G1009" s="43" t="str">
        <f>IFERROR(VLOOKUP(A1009,'[1]MC Masterlist 2026-09-12'!$B:$M, 3, 0),"")</f>
        <v>SUZUKI</v>
      </c>
      <c r="H1009" s="45">
        <f>IFERROR(VLOOKUP(A1009,'[1]MC Masterlist 2026-09-12'!$B:$M, 6, 0),"")</f>
        <v>66412</v>
      </c>
      <c r="I1009" s="46">
        <v>0</v>
      </c>
      <c r="J1009" s="46">
        <v>0</v>
      </c>
      <c r="K1009" s="46">
        <v>1</v>
      </c>
      <c r="L1009" s="46">
        <f t="shared" si="225"/>
        <v>1</v>
      </c>
      <c r="M1009" s="46">
        <f t="shared" si="226"/>
        <v>0.33333333333333331</v>
      </c>
      <c r="N1009" s="45">
        <f t="shared" si="227"/>
        <v>66412</v>
      </c>
      <c r="O1009" s="45">
        <f t="shared" si="228"/>
        <v>22137.333333333332</v>
      </c>
      <c r="P1009" s="46">
        <f t="shared" si="229"/>
        <v>1.111111111111111E-2</v>
      </c>
      <c r="Q1009" s="46">
        <v>3</v>
      </c>
      <c r="R1009" s="45">
        <f t="shared" si="230"/>
        <v>199236</v>
      </c>
      <c r="S1009" s="46">
        <f t="shared" si="231"/>
        <v>270</v>
      </c>
      <c r="T1009" s="46">
        <f>IFERROR(VLOOKUP(A1009,'[1]Re-order'!$A:$Q,17,0),"")</f>
        <v>540</v>
      </c>
      <c r="U1009" s="46">
        <f>IFERROR(VLOOKUP(A1009,'[1]MC Masterlist 2026-09-12'!$B:$M, 10, 0),0)</f>
        <v>15</v>
      </c>
      <c r="V1009" s="46">
        <f>IFERROR(VLOOKUP(A1009,'[1]MC Masterlist 2026-09-12'!$B:$M, 11, 0),0)</f>
        <v>15</v>
      </c>
      <c r="W1009" s="46">
        <f t="shared" si="232"/>
        <v>30</v>
      </c>
      <c r="X1009" s="46">
        <f t="shared" si="233"/>
        <v>29.833333333333332</v>
      </c>
      <c r="Y1009" s="46">
        <f>IFERROR(IF(OR(C1009="AREA I",C1009="AREA V"),7,VLOOKUP(A1009,'[1]MC Masterlist 2026-09-12'!$B:$M, 12, 0)),0)</f>
        <v>30</v>
      </c>
      <c r="Z1009" s="46">
        <f t="shared" si="234"/>
        <v>0.16666666666666666</v>
      </c>
      <c r="AA1009" s="46">
        <f t="shared" si="235"/>
        <v>0.33333333333333331</v>
      </c>
      <c r="AB1009" s="46">
        <f t="shared" si="236"/>
        <v>0.33148148148148143</v>
      </c>
      <c r="AC1009" s="46">
        <f t="shared" si="237"/>
        <v>0.33333333333333331</v>
      </c>
      <c r="AD1009" s="44" t="str">
        <f t="shared" si="238"/>
        <v>Over</v>
      </c>
      <c r="AE1009" s="44" t="str">
        <f>IFERROR(VLOOKUP(A1009,'[1]Re-order'!$A:$AA,27,0),"")</f>
        <v>Over</v>
      </c>
      <c r="AF1009" s="46">
        <f t="shared" si="239"/>
        <v>-2.6666666666666665</v>
      </c>
      <c r="AG1009" s="46">
        <f>SUMIFS('[1]Raw Inventory'!D:D,'[1]Raw Inventory'!C:C,"GREATWALL",'[1]Raw Inventory'!B:B,A1009)</f>
        <v>0</v>
      </c>
      <c r="AH1009" s="46">
        <f>SUMIFS('[1]Raw Inventory'!D:D,'[1]Raw Inventory'!C:C,"DUARTE",'[1]Raw Inventory'!B:B,A1009)</f>
        <v>0</v>
      </c>
      <c r="AI1009" s="46"/>
      <c r="AJ1009" s="46"/>
      <c r="AK1009" s="43"/>
      <c r="AL1009" s="43"/>
      <c r="AM1009" s="43"/>
      <c r="AN1009" s="43"/>
      <c r="AO1009" s="43"/>
      <c r="AP1009" s="43"/>
      <c r="AQ1009" s="43"/>
      <c r="AR1009" s="43"/>
      <c r="AS1009" s="43"/>
      <c r="AT1009" s="43"/>
    </row>
    <row r="1010" spans="1:46">
      <c r="A1010" s="43" t="s">
        <v>17</v>
      </c>
      <c r="B1010" s="43" t="s">
        <v>119</v>
      </c>
      <c r="C1010" s="43" t="s">
        <v>118</v>
      </c>
      <c r="D1010" s="44" t="s">
        <v>233</v>
      </c>
      <c r="E1010" s="44">
        <v>12</v>
      </c>
      <c r="F1010" s="44" t="s">
        <v>2</v>
      </c>
      <c r="G1010" s="43" t="str">
        <f>IFERROR(VLOOKUP(A1010,'[1]MC Masterlist 2026-09-12'!$B:$M, 3, 0),"")</f>
        <v>HONDA</v>
      </c>
      <c r="H1010" s="45">
        <f>IFERROR(VLOOKUP(A1010,'[1]MC Masterlist 2026-09-12'!$B:$M, 6, 0),"")</f>
        <v>140790</v>
      </c>
      <c r="I1010" s="46">
        <v>1</v>
      </c>
      <c r="J1010" s="46">
        <v>0</v>
      </c>
      <c r="K1010" s="46">
        <v>2</v>
      </c>
      <c r="L1010" s="46">
        <f t="shared" si="225"/>
        <v>3</v>
      </c>
      <c r="M1010" s="46">
        <f t="shared" si="226"/>
        <v>1</v>
      </c>
      <c r="N1010" s="45">
        <f t="shared" si="227"/>
        <v>422370</v>
      </c>
      <c r="O1010" s="45">
        <f t="shared" si="228"/>
        <v>140790</v>
      </c>
      <c r="P1010" s="46">
        <f t="shared" si="229"/>
        <v>3.3333333333333333E-2</v>
      </c>
      <c r="Q1010" s="46">
        <v>7</v>
      </c>
      <c r="R1010" s="45">
        <f t="shared" si="230"/>
        <v>985530</v>
      </c>
      <c r="S1010" s="46">
        <f t="shared" si="231"/>
        <v>210</v>
      </c>
      <c r="T1010" s="46">
        <f>IFERROR(VLOOKUP(A1010,'[1]Re-order'!$A:$Q,17,0),"")</f>
        <v>43.663366336633665</v>
      </c>
      <c r="U1010" s="46">
        <f>IFERROR(VLOOKUP(A1010,'[1]MC Masterlist 2026-09-12'!$B:$M, 10, 0),0)</f>
        <v>15</v>
      </c>
      <c r="V1010" s="46">
        <f>IFERROR(VLOOKUP(A1010,'[1]MC Masterlist 2026-09-12'!$B:$M, 11, 0),0)</f>
        <v>15</v>
      </c>
      <c r="W1010" s="46">
        <f t="shared" si="232"/>
        <v>30</v>
      </c>
      <c r="X1010" s="46">
        <f t="shared" si="233"/>
        <v>29.5</v>
      </c>
      <c r="Y1010" s="46">
        <f>IFERROR(IF(OR(C1010="AREA I",C1010="AREA V"),7,VLOOKUP(A1010,'[1]MC Masterlist 2026-09-12'!$B:$M, 12, 0)),0)</f>
        <v>30</v>
      </c>
      <c r="Z1010" s="46">
        <f t="shared" si="234"/>
        <v>0.5</v>
      </c>
      <c r="AA1010" s="46">
        <f t="shared" si="235"/>
        <v>1</v>
      </c>
      <c r="AB1010" s="46">
        <f t="shared" si="236"/>
        <v>0.98333333333333328</v>
      </c>
      <c r="AC1010" s="46">
        <f t="shared" si="237"/>
        <v>1</v>
      </c>
      <c r="AD1010" s="44" t="str">
        <f t="shared" si="238"/>
        <v>Over</v>
      </c>
      <c r="AE1010" s="44" t="str">
        <f>IFERROR(VLOOKUP(A1010,'[1]Re-order'!$A:$AA,27,0),"")</f>
        <v>Re-order</v>
      </c>
      <c r="AF1010" s="46">
        <f t="shared" si="239"/>
        <v>-6</v>
      </c>
      <c r="AG1010" s="46">
        <f>SUMIFS('[1]Raw Inventory'!D:D,'[1]Raw Inventory'!C:C,"GREATWALL",'[1]Raw Inventory'!B:B,A1010)</f>
        <v>12</v>
      </c>
      <c r="AH1010" s="46">
        <f>SUMIFS('[1]Raw Inventory'!D:D,'[1]Raw Inventory'!C:C,"DUARTE",'[1]Raw Inventory'!B:B,A1010)</f>
        <v>0</v>
      </c>
      <c r="AI1010" s="46"/>
      <c r="AJ1010" s="46"/>
      <c r="AK1010" s="43"/>
      <c r="AL1010" s="43"/>
      <c r="AM1010" s="43"/>
      <c r="AN1010" s="43"/>
      <c r="AO1010" s="43"/>
      <c r="AP1010" s="43"/>
      <c r="AQ1010" s="43"/>
      <c r="AR1010" s="43"/>
      <c r="AS1010" s="43"/>
      <c r="AT1010" s="43"/>
    </row>
    <row r="1011" spans="1:46">
      <c r="A1011" s="43" t="s">
        <v>77</v>
      </c>
      <c r="B1011" s="43" t="s">
        <v>123</v>
      </c>
      <c r="C1011" s="43" t="s">
        <v>118</v>
      </c>
      <c r="D1011" s="44" t="s">
        <v>268</v>
      </c>
      <c r="E1011" s="44">
        <v>19</v>
      </c>
      <c r="F1011" s="44" t="s">
        <v>3</v>
      </c>
      <c r="G1011" s="43" t="str">
        <f>IFERROR(VLOOKUP(A1011,'[1]MC Masterlist 2026-09-12'!$B:$M, 3, 0),"")</f>
        <v>SUZUKI</v>
      </c>
      <c r="H1011" s="45">
        <f>IFERROR(VLOOKUP(A1011,'[1]MC Masterlist 2026-09-12'!$B:$M, 6, 0),"")</f>
        <v>91057</v>
      </c>
      <c r="I1011" s="46">
        <v>1</v>
      </c>
      <c r="J1011" s="46">
        <v>0</v>
      </c>
      <c r="K1011" s="46">
        <v>0</v>
      </c>
      <c r="L1011" s="46">
        <f t="shared" si="225"/>
        <v>1</v>
      </c>
      <c r="M1011" s="46">
        <f t="shared" si="226"/>
        <v>0.33333333333333331</v>
      </c>
      <c r="N1011" s="45">
        <f t="shared" si="227"/>
        <v>91057</v>
      </c>
      <c r="O1011" s="45">
        <f t="shared" si="228"/>
        <v>30352.333333333332</v>
      </c>
      <c r="P1011" s="46">
        <f t="shared" si="229"/>
        <v>1.111111111111111E-2</v>
      </c>
      <c r="Q1011" s="46">
        <v>1</v>
      </c>
      <c r="R1011" s="45">
        <f t="shared" si="230"/>
        <v>91057</v>
      </c>
      <c r="S1011" s="46">
        <f t="shared" si="231"/>
        <v>90</v>
      </c>
      <c r="T1011" s="46">
        <f>IFERROR(VLOOKUP(A1011,'[1]Re-order'!$A:$Q,17,0),"")</f>
        <v>1125</v>
      </c>
      <c r="U1011" s="46">
        <f>IFERROR(VLOOKUP(A1011,'[1]MC Masterlist 2026-09-12'!$B:$M, 10, 0),0)</f>
        <v>15</v>
      </c>
      <c r="V1011" s="46">
        <f>IFERROR(VLOOKUP(A1011,'[1]MC Masterlist 2026-09-12'!$B:$M, 11, 0),0)</f>
        <v>15</v>
      </c>
      <c r="W1011" s="46">
        <f t="shared" si="232"/>
        <v>30</v>
      </c>
      <c r="X1011" s="46">
        <f t="shared" si="233"/>
        <v>29.833333333333332</v>
      </c>
      <c r="Y1011" s="46">
        <f>IFERROR(IF(OR(C1011="AREA I",C1011="AREA V"),7,VLOOKUP(A1011,'[1]MC Masterlist 2026-09-12'!$B:$M, 12, 0)),0)</f>
        <v>30</v>
      </c>
      <c r="Z1011" s="46">
        <f t="shared" si="234"/>
        <v>0.16666666666666666</v>
      </c>
      <c r="AA1011" s="46">
        <f t="shared" si="235"/>
        <v>0.33333333333333331</v>
      </c>
      <c r="AB1011" s="46">
        <f t="shared" si="236"/>
        <v>0.33148148148148143</v>
      </c>
      <c r="AC1011" s="46">
        <f t="shared" si="237"/>
        <v>0.33333333333333331</v>
      </c>
      <c r="AD1011" s="44" t="str">
        <f t="shared" si="238"/>
        <v>Over</v>
      </c>
      <c r="AE1011" s="44" t="str">
        <f>IFERROR(VLOOKUP(A1011,'[1]Re-order'!$A:$AA,27,0),"")</f>
        <v>Over</v>
      </c>
      <c r="AF1011" s="46">
        <f t="shared" si="239"/>
        <v>-0.66666666666666674</v>
      </c>
      <c r="AG1011" s="46">
        <f>SUMIFS('[1]Raw Inventory'!D:D,'[1]Raw Inventory'!C:C,"GREATWALL",'[1]Raw Inventory'!B:B,A1011)</f>
        <v>13</v>
      </c>
      <c r="AH1011" s="46">
        <f>SUMIFS('[1]Raw Inventory'!D:D,'[1]Raw Inventory'!C:C,"DUARTE",'[1]Raw Inventory'!B:B,A1011)</f>
        <v>0</v>
      </c>
      <c r="AI1011" s="46"/>
      <c r="AJ1011" s="46"/>
      <c r="AK1011" s="43"/>
      <c r="AL1011" s="43"/>
      <c r="AM1011" s="43"/>
      <c r="AN1011" s="43"/>
      <c r="AO1011" s="43"/>
      <c r="AP1011" s="43"/>
      <c r="AQ1011" s="43"/>
      <c r="AR1011" s="43"/>
      <c r="AS1011" s="43"/>
      <c r="AT1011" s="43"/>
    </row>
    <row r="1012" spans="1:46">
      <c r="A1012" s="43" t="s">
        <v>16</v>
      </c>
      <c r="B1012" s="43" t="s">
        <v>29</v>
      </c>
      <c r="C1012" s="43" t="s">
        <v>1</v>
      </c>
      <c r="D1012" s="44" t="s">
        <v>259</v>
      </c>
      <c r="E1012" s="44">
        <v>5</v>
      </c>
      <c r="F1012" s="44" t="s">
        <v>0</v>
      </c>
      <c r="G1012" s="43" t="str">
        <f>IFERROR(VLOOKUP(A1012,'[1]MC Masterlist 2026-09-12'!$B:$M, 3, 0),"")</f>
        <v>HONDA</v>
      </c>
      <c r="H1012" s="45">
        <f>IFERROR(VLOOKUP(A1012,'[1]MC Masterlist 2026-09-12'!$B:$M, 6, 0),"")</f>
        <v>84394</v>
      </c>
      <c r="I1012" s="46">
        <v>7</v>
      </c>
      <c r="J1012" s="46">
        <v>3</v>
      </c>
      <c r="K1012" s="46">
        <v>5</v>
      </c>
      <c r="L1012" s="46">
        <f t="shared" si="225"/>
        <v>15</v>
      </c>
      <c r="M1012" s="46">
        <f t="shared" si="226"/>
        <v>5</v>
      </c>
      <c r="N1012" s="45">
        <f t="shared" si="227"/>
        <v>1265910</v>
      </c>
      <c r="O1012" s="45">
        <f t="shared" si="228"/>
        <v>421970</v>
      </c>
      <c r="P1012" s="46">
        <f t="shared" si="229"/>
        <v>0.16666666666666666</v>
      </c>
      <c r="Q1012" s="46">
        <v>1</v>
      </c>
      <c r="R1012" s="45">
        <f t="shared" si="230"/>
        <v>84394</v>
      </c>
      <c r="S1012" s="46">
        <f t="shared" si="231"/>
        <v>6</v>
      </c>
      <c r="T1012" s="46">
        <f>IFERROR(VLOOKUP(A1012,'[1]Re-order'!$A:$Q,17,0),"")</f>
        <v>26.332665330661321</v>
      </c>
      <c r="U1012" s="46">
        <f>IFERROR(VLOOKUP(A1012,'[1]MC Masterlist 2026-09-12'!$B:$M, 10, 0),0)</f>
        <v>15</v>
      </c>
      <c r="V1012" s="46">
        <f>IFERROR(VLOOKUP(A1012,'[1]MC Masterlist 2026-09-12'!$B:$M, 11, 0),0)</f>
        <v>15</v>
      </c>
      <c r="W1012" s="46">
        <f t="shared" si="232"/>
        <v>30</v>
      </c>
      <c r="X1012" s="46">
        <f t="shared" si="233"/>
        <v>4.5</v>
      </c>
      <c r="Y1012" s="46">
        <f>IFERROR(IF(OR(C1012="AREA I",C1012="AREA V"),7,VLOOKUP(A1012,'[1]MC Masterlist 2026-09-12'!$B:$M, 12, 0)),0)</f>
        <v>7</v>
      </c>
      <c r="Z1012" s="46">
        <f t="shared" si="234"/>
        <v>2.5</v>
      </c>
      <c r="AA1012" s="46">
        <f t="shared" si="235"/>
        <v>5</v>
      </c>
      <c r="AB1012" s="46">
        <f t="shared" si="236"/>
        <v>0.75</v>
      </c>
      <c r="AC1012" s="46">
        <f t="shared" si="237"/>
        <v>1.1666666666666665</v>
      </c>
      <c r="AD1012" s="44" t="str">
        <f t="shared" si="238"/>
        <v>Stockout</v>
      </c>
      <c r="AE1012" s="44" t="str">
        <f>IFERROR(VLOOKUP(A1012,'[1]Re-order'!$A:$AA,27,0),"")</f>
        <v>Stockout</v>
      </c>
      <c r="AF1012" s="46">
        <f t="shared" si="239"/>
        <v>0.16666666666666652</v>
      </c>
      <c r="AG1012" s="46">
        <f>SUMIFS('[1]Raw Inventory'!D:D,'[1]Raw Inventory'!C:C,"GREATWALL",'[1]Raw Inventory'!B:B,A1012)</f>
        <v>58</v>
      </c>
      <c r="AH1012" s="46">
        <f>SUMIFS('[1]Raw Inventory'!D:D,'[1]Raw Inventory'!C:C,"DUARTE",'[1]Raw Inventory'!B:B,A1012)</f>
        <v>0</v>
      </c>
      <c r="AI1012" s="46"/>
      <c r="AJ1012" s="46"/>
      <c r="AK1012" s="43"/>
      <c r="AL1012" s="43"/>
      <c r="AM1012" s="43"/>
      <c r="AN1012" s="43"/>
      <c r="AO1012" s="43"/>
      <c r="AP1012" s="43"/>
      <c r="AQ1012" s="43"/>
      <c r="AR1012" s="43"/>
      <c r="AS1012" s="43"/>
      <c r="AT1012" s="43"/>
    </row>
    <row r="1013" spans="1:46">
      <c r="A1013" s="43" t="s">
        <v>64</v>
      </c>
      <c r="B1013" s="43" t="s">
        <v>123</v>
      </c>
      <c r="C1013" s="43" t="s">
        <v>118</v>
      </c>
      <c r="D1013" s="44" t="s">
        <v>223</v>
      </c>
      <c r="E1013" s="44">
        <v>20</v>
      </c>
      <c r="F1013" s="44" t="s">
        <v>3</v>
      </c>
      <c r="G1013" s="43" t="str">
        <f>IFERROR(VLOOKUP(A1013,'[1]MC Masterlist 2026-09-12'!$B:$M, 3, 0),"")</f>
        <v>HONDA</v>
      </c>
      <c r="H1013" s="45">
        <f>IFERROR(VLOOKUP(A1013,'[1]MC Masterlist 2026-09-12'!$B:$M, 6, 0),"")</f>
        <v>73170</v>
      </c>
      <c r="I1013" s="46">
        <v>0</v>
      </c>
      <c r="J1013" s="46">
        <v>1</v>
      </c>
      <c r="K1013" s="46">
        <v>0</v>
      </c>
      <c r="L1013" s="46">
        <f t="shared" si="225"/>
        <v>1</v>
      </c>
      <c r="M1013" s="46">
        <f t="shared" si="226"/>
        <v>0.33333333333333331</v>
      </c>
      <c r="N1013" s="45">
        <f t="shared" si="227"/>
        <v>73170</v>
      </c>
      <c r="O1013" s="45">
        <f t="shared" si="228"/>
        <v>24390</v>
      </c>
      <c r="P1013" s="46">
        <f t="shared" si="229"/>
        <v>1.111111111111111E-2</v>
      </c>
      <c r="Q1013" s="46"/>
      <c r="R1013" s="45">
        <f t="shared" si="230"/>
        <v>0</v>
      </c>
      <c r="S1013" s="46">
        <f t="shared" si="231"/>
        <v>0</v>
      </c>
      <c r="T1013" s="46">
        <f>IFERROR(VLOOKUP(A1013,'[1]Re-order'!$A:$Q,17,0),"")</f>
        <v>76.153846153846146</v>
      </c>
      <c r="U1013" s="46">
        <f>IFERROR(VLOOKUP(A1013,'[1]MC Masterlist 2026-09-12'!$B:$M, 10, 0),0)</f>
        <v>15</v>
      </c>
      <c r="V1013" s="46">
        <f>IFERROR(VLOOKUP(A1013,'[1]MC Masterlist 2026-09-12'!$B:$M, 11, 0),0)</f>
        <v>15</v>
      </c>
      <c r="W1013" s="46">
        <f t="shared" si="232"/>
        <v>30</v>
      </c>
      <c r="X1013" s="46">
        <f t="shared" si="233"/>
        <v>29.833333333333332</v>
      </c>
      <c r="Y1013" s="46">
        <f>IFERROR(IF(OR(C1013="AREA I",C1013="AREA V"),7,VLOOKUP(A1013,'[1]MC Masterlist 2026-09-12'!$B:$M, 12, 0)),0)</f>
        <v>30</v>
      </c>
      <c r="Z1013" s="46">
        <f t="shared" si="234"/>
        <v>0.16666666666666666</v>
      </c>
      <c r="AA1013" s="46">
        <f t="shared" si="235"/>
        <v>0.33333333333333331</v>
      </c>
      <c r="AB1013" s="46">
        <f t="shared" si="236"/>
        <v>0.33148148148148143</v>
      </c>
      <c r="AC1013" s="46">
        <f t="shared" si="237"/>
        <v>0.33333333333333331</v>
      </c>
      <c r="AD1013" s="44" t="str">
        <f t="shared" si="238"/>
        <v>Stockout</v>
      </c>
      <c r="AE1013" s="44" t="str">
        <f>IFERROR(VLOOKUP(A1013,'[1]Re-order'!$A:$AA,27,0),"")</f>
        <v/>
      </c>
      <c r="AF1013" s="46">
        <f t="shared" si="239"/>
        <v>0.33333333333333331</v>
      </c>
      <c r="AG1013" s="46">
        <f>SUMIFS('[1]Raw Inventory'!D:D,'[1]Raw Inventory'!C:C,"GREATWALL",'[1]Raw Inventory'!B:B,A1013)</f>
        <v>13</v>
      </c>
      <c r="AH1013" s="46">
        <f>SUMIFS('[1]Raw Inventory'!D:D,'[1]Raw Inventory'!C:C,"DUARTE",'[1]Raw Inventory'!B:B,A1013)</f>
        <v>0</v>
      </c>
      <c r="AI1013" s="46"/>
      <c r="AJ1013" s="46"/>
      <c r="AK1013" s="43"/>
      <c r="AL1013" s="43"/>
      <c r="AM1013" s="43"/>
      <c r="AN1013" s="43"/>
      <c r="AO1013" s="43"/>
      <c r="AP1013" s="43"/>
      <c r="AQ1013" s="43"/>
      <c r="AR1013" s="43"/>
      <c r="AS1013" s="43"/>
      <c r="AT1013" s="43"/>
    </row>
    <row r="1014" spans="1:46">
      <c r="A1014" s="43" t="s">
        <v>75</v>
      </c>
      <c r="B1014" s="43" t="s">
        <v>160</v>
      </c>
      <c r="C1014" s="43" t="s">
        <v>159</v>
      </c>
      <c r="D1014" s="44" t="s">
        <v>245</v>
      </c>
      <c r="E1014" s="44">
        <v>24</v>
      </c>
      <c r="F1014" s="44" t="s">
        <v>3</v>
      </c>
      <c r="G1014" s="43" t="str">
        <f>IFERROR(VLOOKUP(A1014,'[1]MC Masterlist 2026-09-12'!$B:$M, 3, 0),"")</f>
        <v>SUZUKI</v>
      </c>
      <c r="H1014" s="45">
        <f>IFERROR(VLOOKUP(A1014,'[1]MC Masterlist 2026-09-12'!$B:$M, 6, 0),"")</f>
        <v>138952</v>
      </c>
      <c r="I1014" s="46">
        <v>0</v>
      </c>
      <c r="J1014" s="46">
        <v>0</v>
      </c>
      <c r="K1014" s="46">
        <v>0</v>
      </c>
      <c r="L1014" s="46">
        <f t="shared" si="225"/>
        <v>0</v>
      </c>
      <c r="M1014" s="46">
        <f t="shared" si="226"/>
        <v>0</v>
      </c>
      <c r="N1014" s="45">
        <f t="shared" si="227"/>
        <v>0</v>
      </c>
      <c r="O1014" s="45">
        <f t="shared" si="228"/>
        <v>0</v>
      </c>
      <c r="P1014" s="46">
        <f t="shared" si="229"/>
        <v>0</v>
      </c>
      <c r="Q1014" s="46">
        <v>2</v>
      </c>
      <c r="R1014" s="45">
        <f t="shared" si="230"/>
        <v>277904</v>
      </c>
      <c r="S1014" s="46">
        <f t="shared" si="231"/>
        <v>0</v>
      </c>
      <c r="T1014" s="46">
        <f>IFERROR(VLOOKUP(A1014,'[1]Re-order'!$A:$Q,17,0),"")</f>
        <v>855.00000000000011</v>
      </c>
      <c r="U1014" s="46">
        <f>IFERROR(VLOOKUP(A1014,'[1]MC Masterlist 2026-09-12'!$B:$M, 10, 0),0)</f>
        <v>15</v>
      </c>
      <c r="V1014" s="46">
        <f>IFERROR(VLOOKUP(A1014,'[1]MC Masterlist 2026-09-12'!$B:$M, 11, 0),0)</f>
        <v>15</v>
      </c>
      <c r="W1014" s="46">
        <f t="shared" si="232"/>
        <v>30</v>
      </c>
      <c r="X1014" s="46">
        <f t="shared" si="233"/>
        <v>30</v>
      </c>
      <c r="Y1014" s="46">
        <f>IFERROR(IF(OR(C1014="AREA I",C1014="AREA V"),7,VLOOKUP(A1014,'[1]MC Masterlist 2026-09-12'!$B:$M, 12, 0)),0)</f>
        <v>30</v>
      </c>
      <c r="Z1014" s="46">
        <f t="shared" si="234"/>
        <v>0</v>
      </c>
      <c r="AA1014" s="46">
        <f t="shared" si="235"/>
        <v>0</v>
      </c>
      <c r="AB1014" s="46">
        <f t="shared" si="236"/>
        <v>0</v>
      </c>
      <c r="AC1014" s="46">
        <f t="shared" si="237"/>
        <v>0</v>
      </c>
      <c r="AD1014" s="44" t="str">
        <f t="shared" si="238"/>
        <v>Over</v>
      </c>
      <c r="AE1014" s="44" t="str">
        <f>IFERROR(VLOOKUP(A1014,'[1]Re-order'!$A:$AA,27,0),"")</f>
        <v>Over</v>
      </c>
      <c r="AF1014" s="46">
        <f t="shared" si="239"/>
        <v>-2</v>
      </c>
      <c r="AG1014" s="46">
        <f>SUMIFS('[1]Raw Inventory'!D:D,'[1]Raw Inventory'!C:C,"GREATWALL",'[1]Raw Inventory'!B:B,A1014)</f>
        <v>8</v>
      </c>
      <c r="AH1014" s="46">
        <f>SUMIFS('[1]Raw Inventory'!D:D,'[1]Raw Inventory'!C:C,"DUARTE",'[1]Raw Inventory'!B:B,A1014)</f>
        <v>0</v>
      </c>
      <c r="AI1014" s="46"/>
      <c r="AJ1014" s="46"/>
      <c r="AK1014" s="43"/>
      <c r="AL1014" s="43"/>
      <c r="AM1014" s="43"/>
      <c r="AN1014" s="43"/>
      <c r="AO1014" s="43"/>
      <c r="AP1014" s="43"/>
      <c r="AQ1014" s="43"/>
      <c r="AR1014" s="43"/>
      <c r="AS1014" s="43"/>
      <c r="AT1014" s="43"/>
    </row>
    <row r="1015" spans="1:46">
      <c r="A1015" s="43" t="s">
        <v>23</v>
      </c>
      <c r="B1015" s="43" t="s">
        <v>96</v>
      </c>
      <c r="C1015" s="43" t="s">
        <v>90</v>
      </c>
      <c r="D1015" s="44" t="s">
        <v>236</v>
      </c>
      <c r="E1015" s="44">
        <v>3</v>
      </c>
      <c r="F1015" s="44" t="s">
        <v>2</v>
      </c>
      <c r="G1015" s="43" t="str">
        <f>IFERROR(VLOOKUP(A1015,'[1]MC Masterlist 2026-09-12'!$B:$M, 3, 0),"")</f>
        <v>KAWASAKI</v>
      </c>
      <c r="H1015" s="45">
        <f>IFERROR(VLOOKUP(A1015,'[1]MC Masterlist 2026-09-12'!$B:$M, 6, 0),"")</f>
        <v>60656</v>
      </c>
      <c r="I1015" s="46">
        <v>2</v>
      </c>
      <c r="J1015" s="46">
        <v>1</v>
      </c>
      <c r="K1015" s="46">
        <v>2</v>
      </c>
      <c r="L1015" s="46">
        <f t="shared" si="225"/>
        <v>5</v>
      </c>
      <c r="M1015" s="46">
        <f t="shared" si="226"/>
        <v>1.6666666666666667</v>
      </c>
      <c r="N1015" s="45">
        <f t="shared" si="227"/>
        <v>303280</v>
      </c>
      <c r="O1015" s="45">
        <f t="shared" si="228"/>
        <v>101093.33333333334</v>
      </c>
      <c r="P1015" s="46">
        <f t="shared" si="229"/>
        <v>5.5555555555555559E-2</v>
      </c>
      <c r="Q1015" s="46"/>
      <c r="R1015" s="45">
        <f t="shared" si="230"/>
        <v>0</v>
      </c>
      <c r="S1015" s="46">
        <f t="shared" si="231"/>
        <v>0</v>
      </c>
      <c r="T1015" s="46">
        <f>IFERROR(VLOOKUP(A1015,'[1]Re-order'!$A:$Q,17,0),"")</f>
        <v>53.973412112259979</v>
      </c>
      <c r="U1015" s="46">
        <f>IFERROR(VLOOKUP(A1015,'[1]MC Masterlist 2026-09-12'!$B:$M, 10, 0),0)</f>
        <v>15</v>
      </c>
      <c r="V1015" s="46">
        <f>IFERROR(VLOOKUP(A1015,'[1]MC Masterlist 2026-09-12'!$B:$M, 11, 0),0)</f>
        <v>15</v>
      </c>
      <c r="W1015" s="46">
        <f t="shared" si="232"/>
        <v>30</v>
      </c>
      <c r="X1015" s="46">
        <f t="shared" si="233"/>
        <v>29.166666666666668</v>
      </c>
      <c r="Y1015" s="46">
        <f>IFERROR(IF(OR(C1015="AREA I",C1015="AREA V"),7,VLOOKUP(A1015,'[1]MC Masterlist 2026-09-12'!$B:$M, 12, 0)),0)</f>
        <v>30</v>
      </c>
      <c r="Z1015" s="46">
        <f t="shared" si="234"/>
        <v>0.83333333333333337</v>
      </c>
      <c r="AA1015" s="46">
        <f t="shared" si="235"/>
        <v>1.6666666666666667</v>
      </c>
      <c r="AB1015" s="46">
        <f t="shared" si="236"/>
        <v>1.6203703703703705</v>
      </c>
      <c r="AC1015" s="46">
        <f t="shared" si="237"/>
        <v>1.6666666666666667</v>
      </c>
      <c r="AD1015" s="44" t="str">
        <f t="shared" si="238"/>
        <v>Stockout</v>
      </c>
      <c r="AE1015" s="44" t="str">
        <f>IFERROR(VLOOKUP(A1015,'[1]Re-order'!$A:$AA,27,0),"")</f>
        <v>Re-order</v>
      </c>
      <c r="AF1015" s="46">
        <f t="shared" si="239"/>
        <v>1.6666666666666667</v>
      </c>
      <c r="AG1015" s="46">
        <f>SUMIFS('[1]Raw Inventory'!D:D,'[1]Raw Inventory'!C:C,"GREATWALL",'[1]Raw Inventory'!B:B,A1015)</f>
        <v>282</v>
      </c>
      <c r="AH1015" s="46">
        <f>SUMIFS('[1]Raw Inventory'!D:D,'[1]Raw Inventory'!C:C,"DUARTE",'[1]Raw Inventory'!B:B,A1015)</f>
        <v>0</v>
      </c>
      <c r="AI1015" s="46"/>
      <c r="AJ1015" s="46"/>
      <c r="AK1015" s="43"/>
      <c r="AL1015" s="43"/>
      <c r="AM1015" s="43"/>
      <c r="AN1015" s="43"/>
      <c r="AO1015" s="43"/>
      <c r="AP1015" s="43"/>
      <c r="AQ1015" s="43"/>
      <c r="AR1015" s="43"/>
      <c r="AS1015" s="43"/>
      <c r="AT1015" s="43"/>
    </row>
    <row r="1016" spans="1:46">
      <c r="A1016" s="43" t="s">
        <v>64</v>
      </c>
      <c r="B1016" s="43" t="s">
        <v>95</v>
      </c>
      <c r="C1016" s="43" t="s">
        <v>90</v>
      </c>
      <c r="D1016" s="44" t="s">
        <v>240</v>
      </c>
      <c r="E1016" s="44">
        <v>11</v>
      </c>
      <c r="F1016" s="44" t="s">
        <v>2</v>
      </c>
      <c r="G1016" s="43" t="str">
        <f>IFERROR(VLOOKUP(A1016,'[1]MC Masterlist 2026-09-12'!$B:$M, 3, 0),"")</f>
        <v>HONDA</v>
      </c>
      <c r="H1016" s="45">
        <f>IFERROR(VLOOKUP(A1016,'[1]MC Masterlist 2026-09-12'!$B:$M, 6, 0),"")</f>
        <v>73170</v>
      </c>
      <c r="I1016" s="46">
        <v>1</v>
      </c>
      <c r="J1016" s="46">
        <v>2</v>
      </c>
      <c r="K1016" s="46">
        <v>0</v>
      </c>
      <c r="L1016" s="46">
        <f t="shared" si="225"/>
        <v>3</v>
      </c>
      <c r="M1016" s="46">
        <f t="shared" si="226"/>
        <v>1</v>
      </c>
      <c r="N1016" s="45">
        <f t="shared" si="227"/>
        <v>219510</v>
      </c>
      <c r="O1016" s="45">
        <f t="shared" si="228"/>
        <v>73170</v>
      </c>
      <c r="P1016" s="46">
        <f t="shared" si="229"/>
        <v>3.3333333333333333E-2</v>
      </c>
      <c r="Q1016" s="46">
        <v>5</v>
      </c>
      <c r="R1016" s="45">
        <f t="shared" si="230"/>
        <v>365850</v>
      </c>
      <c r="S1016" s="46">
        <f t="shared" si="231"/>
        <v>150</v>
      </c>
      <c r="T1016" s="46">
        <f>IFERROR(VLOOKUP(A1016,'[1]Re-order'!$A:$Q,17,0),"")</f>
        <v>76.153846153846146</v>
      </c>
      <c r="U1016" s="46">
        <f>IFERROR(VLOOKUP(A1016,'[1]MC Masterlist 2026-09-12'!$B:$M, 10, 0),0)</f>
        <v>15</v>
      </c>
      <c r="V1016" s="46">
        <f>IFERROR(VLOOKUP(A1016,'[1]MC Masterlist 2026-09-12'!$B:$M, 11, 0),0)</f>
        <v>15</v>
      </c>
      <c r="W1016" s="46">
        <f t="shared" si="232"/>
        <v>30</v>
      </c>
      <c r="X1016" s="46">
        <f t="shared" si="233"/>
        <v>29.5</v>
      </c>
      <c r="Y1016" s="46">
        <f>IFERROR(IF(OR(C1016="AREA I",C1016="AREA V"),7,VLOOKUP(A1016,'[1]MC Masterlist 2026-09-12'!$B:$M, 12, 0)),0)</f>
        <v>30</v>
      </c>
      <c r="Z1016" s="46">
        <f t="shared" si="234"/>
        <v>0.5</v>
      </c>
      <c r="AA1016" s="46">
        <f t="shared" si="235"/>
        <v>1</v>
      </c>
      <c r="AB1016" s="46">
        <f t="shared" si="236"/>
        <v>0.98333333333333328</v>
      </c>
      <c r="AC1016" s="46">
        <f t="shared" si="237"/>
        <v>1</v>
      </c>
      <c r="AD1016" s="44" t="str">
        <f t="shared" si="238"/>
        <v>Over</v>
      </c>
      <c r="AE1016" s="44" t="str">
        <f>IFERROR(VLOOKUP(A1016,'[1]Re-order'!$A:$AA,27,0),"")</f>
        <v/>
      </c>
      <c r="AF1016" s="46">
        <f t="shared" si="239"/>
        <v>-4</v>
      </c>
      <c r="AG1016" s="46">
        <f>SUMIFS('[1]Raw Inventory'!D:D,'[1]Raw Inventory'!C:C,"GREATWALL",'[1]Raw Inventory'!B:B,A1016)</f>
        <v>13</v>
      </c>
      <c r="AH1016" s="46">
        <f>SUMIFS('[1]Raw Inventory'!D:D,'[1]Raw Inventory'!C:C,"DUARTE",'[1]Raw Inventory'!B:B,A1016)</f>
        <v>0</v>
      </c>
      <c r="AI1016" s="46"/>
      <c r="AJ1016" s="46"/>
      <c r="AK1016" s="43"/>
      <c r="AL1016" s="43"/>
      <c r="AM1016" s="43"/>
      <c r="AN1016" s="43"/>
      <c r="AO1016" s="43"/>
      <c r="AP1016" s="43"/>
      <c r="AQ1016" s="43"/>
      <c r="AR1016" s="43"/>
      <c r="AS1016" s="43"/>
      <c r="AT1016" s="43"/>
    </row>
    <row r="1017" spans="1:46">
      <c r="A1017" s="43" t="s">
        <v>66</v>
      </c>
      <c r="B1017" s="43" t="s">
        <v>138</v>
      </c>
      <c r="C1017" s="43" t="s">
        <v>137</v>
      </c>
      <c r="D1017" s="44" t="s">
        <v>291</v>
      </c>
      <c r="E1017" s="44">
        <v>39</v>
      </c>
      <c r="F1017" s="44" t="s">
        <v>3</v>
      </c>
      <c r="G1017" s="43" t="str">
        <f>IFERROR(VLOOKUP(A1017,'[1]MC Masterlist 2026-09-12'!$B:$M, 3, 0),"")</f>
        <v>KAWASAKI</v>
      </c>
      <c r="H1017" s="45">
        <f>IFERROR(VLOOKUP(A1017,'[1]MC Masterlist 2026-09-12'!$B:$M, 6, 0),"")</f>
        <v>95530</v>
      </c>
      <c r="I1017" s="46">
        <v>0</v>
      </c>
      <c r="J1017" s="46">
        <v>0</v>
      </c>
      <c r="K1017" s="46">
        <v>0</v>
      </c>
      <c r="L1017" s="46">
        <f t="shared" si="225"/>
        <v>0</v>
      </c>
      <c r="M1017" s="46">
        <f t="shared" si="226"/>
        <v>0</v>
      </c>
      <c r="N1017" s="45">
        <f t="shared" si="227"/>
        <v>0</v>
      </c>
      <c r="O1017" s="45">
        <f t="shared" si="228"/>
        <v>0</v>
      </c>
      <c r="P1017" s="46">
        <f t="shared" si="229"/>
        <v>0</v>
      </c>
      <c r="Q1017" s="46">
        <v>64</v>
      </c>
      <c r="R1017" s="45">
        <f t="shared" si="230"/>
        <v>6113920</v>
      </c>
      <c r="S1017" s="46">
        <f t="shared" si="231"/>
        <v>0</v>
      </c>
      <c r="T1017" s="46">
        <f>IFERROR(VLOOKUP(A1017,'[1]Re-order'!$A:$Q,17,0),"")</f>
        <v>112.7848101265823</v>
      </c>
      <c r="U1017" s="46">
        <f>IFERROR(VLOOKUP(A1017,'[1]MC Masterlist 2026-09-12'!$B:$M, 10, 0),0)</f>
        <v>15</v>
      </c>
      <c r="V1017" s="46">
        <f>IFERROR(VLOOKUP(A1017,'[1]MC Masterlist 2026-09-12'!$B:$M, 11, 0),0)</f>
        <v>15</v>
      </c>
      <c r="W1017" s="46">
        <f t="shared" si="232"/>
        <v>30</v>
      </c>
      <c r="X1017" s="46">
        <f t="shared" si="233"/>
        <v>7</v>
      </c>
      <c r="Y1017" s="46">
        <f>IFERROR(IF(OR(C1017="AREA I",C1017="AREA V"),7,VLOOKUP(A1017,'[1]MC Masterlist 2026-09-12'!$B:$M, 12, 0)),0)</f>
        <v>7</v>
      </c>
      <c r="Z1017" s="46">
        <f t="shared" si="234"/>
        <v>0</v>
      </c>
      <c r="AA1017" s="46">
        <f t="shared" si="235"/>
        <v>0</v>
      </c>
      <c r="AB1017" s="46">
        <f t="shared" si="236"/>
        <v>0</v>
      </c>
      <c r="AC1017" s="46">
        <f t="shared" si="237"/>
        <v>0</v>
      </c>
      <c r="AD1017" s="44" t="str">
        <f t="shared" si="238"/>
        <v>Over</v>
      </c>
      <c r="AE1017" s="44" t="str">
        <f>IFERROR(VLOOKUP(A1017,'[1]Re-order'!$A:$AA,27,0),"")</f>
        <v>Over</v>
      </c>
      <c r="AF1017" s="46">
        <f t="shared" si="239"/>
        <v>-64</v>
      </c>
      <c r="AG1017" s="46">
        <f>SUMIFS('[1]Raw Inventory'!D:D,'[1]Raw Inventory'!C:C,"GREATWALL",'[1]Raw Inventory'!B:B,A1017)</f>
        <v>64</v>
      </c>
      <c r="AH1017" s="46">
        <f>SUMIFS('[1]Raw Inventory'!D:D,'[1]Raw Inventory'!C:C,"DUARTE",'[1]Raw Inventory'!B:B,A1017)</f>
        <v>0</v>
      </c>
      <c r="AI1017" s="46"/>
      <c r="AJ1017" s="46"/>
      <c r="AK1017" s="43"/>
      <c r="AL1017" s="43"/>
      <c r="AM1017" s="43"/>
      <c r="AN1017" s="43"/>
      <c r="AO1017" s="43"/>
      <c r="AP1017" s="43"/>
      <c r="AQ1017" s="43"/>
      <c r="AR1017" s="43"/>
      <c r="AS1017" s="43"/>
      <c r="AT1017" s="43"/>
    </row>
    <row r="1018" spans="1:46">
      <c r="A1018" s="43" t="s">
        <v>46</v>
      </c>
      <c r="B1018" s="43" t="s">
        <v>156</v>
      </c>
      <c r="C1018" s="43" t="s">
        <v>152</v>
      </c>
      <c r="D1018" s="44" t="s">
        <v>266</v>
      </c>
      <c r="E1018" s="44">
        <v>14</v>
      </c>
      <c r="F1018" s="44" t="s">
        <v>2</v>
      </c>
      <c r="G1018" s="43" t="str">
        <f>IFERROR(VLOOKUP(A1018,'[1]MC Masterlist 2026-09-12'!$B:$M, 3, 0),"")</f>
        <v>HONDA</v>
      </c>
      <c r="H1018" s="45">
        <f>IFERROR(VLOOKUP(A1018,'[1]MC Masterlist 2026-09-12'!$B:$M, 6, 0),"")</f>
        <v>73630</v>
      </c>
      <c r="I1018" s="46">
        <v>0</v>
      </c>
      <c r="J1018" s="46">
        <v>1</v>
      </c>
      <c r="K1018" s="46">
        <v>1</v>
      </c>
      <c r="L1018" s="46">
        <f t="shared" si="225"/>
        <v>2</v>
      </c>
      <c r="M1018" s="46">
        <f t="shared" si="226"/>
        <v>0.66666666666666663</v>
      </c>
      <c r="N1018" s="45">
        <f t="shared" si="227"/>
        <v>147260</v>
      </c>
      <c r="O1018" s="45">
        <f t="shared" si="228"/>
        <v>49086.666666666664</v>
      </c>
      <c r="P1018" s="46">
        <f t="shared" si="229"/>
        <v>2.222222222222222E-2</v>
      </c>
      <c r="Q1018" s="46">
        <v>2</v>
      </c>
      <c r="R1018" s="45">
        <f t="shared" si="230"/>
        <v>147260</v>
      </c>
      <c r="S1018" s="46">
        <f t="shared" si="231"/>
        <v>90</v>
      </c>
      <c r="T1018" s="46">
        <f>IFERROR(VLOOKUP(A1018,'[1]Re-order'!$A:$Q,17,0),"")</f>
        <v>51</v>
      </c>
      <c r="U1018" s="46">
        <f>IFERROR(VLOOKUP(A1018,'[1]MC Masterlist 2026-09-12'!$B:$M, 10, 0),0)</f>
        <v>15</v>
      </c>
      <c r="V1018" s="46">
        <f>IFERROR(VLOOKUP(A1018,'[1]MC Masterlist 2026-09-12'!$B:$M, 11, 0),0)</f>
        <v>15</v>
      </c>
      <c r="W1018" s="46">
        <f t="shared" si="232"/>
        <v>30</v>
      </c>
      <c r="X1018" s="46">
        <f t="shared" si="233"/>
        <v>29.666666666666668</v>
      </c>
      <c r="Y1018" s="46">
        <f>IFERROR(IF(OR(C1018="AREA I",C1018="AREA V"),7,VLOOKUP(A1018,'[1]MC Masterlist 2026-09-12'!$B:$M, 12, 0)),0)</f>
        <v>30</v>
      </c>
      <c r="Z1018" s="46">
        <f t="shared" si="234"/>
        <v>0.33333333333333331</v>
      </c>
      <c r="AA1018" s="46">
        <f t="shared" si="235"/>
        <v>0.66666666666666663</v>
      </c>
      <c r="AB1018" s="46">
        <f t="shared" si="236"/>
        <v>0.65925925925925921</v>
      </c>
      <c r="AC1018" s="46">
        <f t="shared" si="237"/>
        <v>0.66666666666666663</v>
      </c>
      <c r="AD1018" s="44" t="str">
        <f t="shared" si="238"/>
        <v>Over</v>
      </c>
      <c r="AE1018" s="44" t="str">
        <f>IFERROR(VLOOKUP(A1018,'[1]Re-order'!$A:$AA,27,0),"")</f>
        <v>Re-order</v>
      </c>
      <c r="AF1018" s="46">
        <f t="shared" si="239"/>
        <v>-1.3333333333333335</v>
      </c>
      <c r="AG1018" s="46">
        <f>SUMIFS('[1]Raw Inventory'!D:D,'[1]Raw Inventory'!C:C,"GREATWALL",'[1]Raw Inventory'!B:B,A1018)</f>
        <v>0</v>
      </c>
      <c r="AH1018" s="46">
        <f>SUMIFS('[1]Raw Inventory'!D:D,'[1]Raw Inventory'!C:C,"DUARTE",'[1]Raw Inventory'!B:B,A1018)</f>
        <v>0</v>
      </c>
      <c r="AI1018" s="46"/>
      <c r="AJ1018" s="46"/>
      <c r="AK1018" s="43"/>
      <c r="AL1018" s="43"/>
      <c r="AM1018" s="43"/>
      <c r="AN1018" s="43"/>
      <c r="AO1018" s="43"/>
      <c r="AP1018" s="43"/>
      <c r="AQ1018" s="43"/>
      <c r="AR1018" s="43"/>
      <c r="AS1018" s="43"/>
      <c r="AT1018" s="43"/>
    </row>
    <row r="1019" spans="1:46">
      <c r="A1019" s="43" t="s">
        <v>12</v>
      </c>
      <c r="B1019" s="43" t="s">
        <v>92</v>
      </c>
      <c r="C1019" s="43" t="s">
        <v>90</v>
      </c>
      <c r="D1019" s="44" t="s">
        <v>246</v>
      </c>
      <c r="E1019" s="44">
        <v>13</v>
      </c>
      <c r="F1019" s="44" t="s">
        <v>2</v>
      </c>
      <c r="G1019" s="43" t="str">
        <f>IFERROR(VLOOKUP(A1019,'[1]MC Masterlist 2026-09-12'!$B:$M, 3, 0),"")</f>
        <v>HONDA</v>
      </c>
      <c r="H1019" s="45">
        <f>IFERROR(VLOOKUP(A1019,'[1]MC Masterlist 2026-09-12'!$B:$M, 6, 0),"")</f>
        <v>158270</v>
      </c>
      <c r="I1019" s="46">
        <v>0</v>
      </c>
      <c r="J1019" s="46">
        <v>1</v>
      </c>
      <c r="K1019" s="46">
        <v>0</v>
      </c>
      <c r="L1019" s="46">
        <f t="shared" si="225"/>
        <v>1</v>
      </c>
      <c r="M1019" s="46">
        <f t="shared" si="226"/>
        <v>0.33333333333333331</v>
      </c>
      <c r="N1019" s="45">
        <f t="shared" si="227"/>
        <v>158270</v>
      </c>
      <c r="O1019" s="45">
        <f t="shared" si="228"/>
        <v>52756.666666666664</v>
      </c>
      <c r="P1019" s="46">
        <f t="shared" si="229"/>
        <v>1.111111111111111E-2</v>
      </c>
      <c r="Q1019" s="46">
        <v>1</v>
      </c>
      <c r="R1019" s="45">
        <f t="shared" si="230"/>
        <v>158270</v>
      </c>
      <c r="S1019" s="46">
        <f t="shared" si="231"/>
        <v>90</v>
      </c>
      <c r="T1019" s="46">
        <f>IFERROR(VLOOKUP(A1019,'[1]Re-order'!$A:$Q,17,0),"")</f>
        <v>46.461038961038959</v>
      </c>
      <c r="U1019" s="46">
        <f>IFERROR(VLOOKUP(A1019,'[1]MC Masterlist 2026-09-12'!$B:$M, 10, 0),0)</f>
        <v>15</v>
      </c>
      <c r="V1019" s="46">
        <f>IFERROR(VLOOKUP(A1019,'[1]MC Masterlist 2026-09-12'!$B:$M, 11, 0),0)</f>
        <v>15</v>
      </c>
      <c r="W1019" s="46">
        <f t="shared" si="232"/>
        <v>30</v>
      </c>
      <c r="X1019" s="46">
        <f t="shared" si="233"/>
        <v>29.833333333333332</v>
      </c>
      <c r="Y1019" s="46">
        <f>IFERROR(IF(OR(C1019="AREA I",C1019="AREA V"),7,VLOOKUP(A1019,'[1]MC Masterlist 2026-09-12'!$B:$M, 12, 0)),0)</f>
        <v>30</v>
      </c>
      <c r="Z1019" s="46">
        <f t="shared" si="234"/>
        <v>0.16666666666666666</v>
      </c>
      <c r="AA1019" s="46">
        <f t="shared" si="235"/>
        <v>0.33333333333333331</v>
      </c>
      <c r="AB1019" s="46">
        <f t="shared" si="236"/>
        <v>0.33148148148148143</v>
      </c>
      <c r="AC1019" s="46">
        <f t="shared" si="237"/>
        <v>0.33333333333333331</v>
      </c>
      <c r="AD1019" s="44" t="str">
        <f t="shared" si="238"/>
        <v>Over</v>
      </c>
      <c r="AE1019" s="44" t="str">
        <f>IFERROR(VLOOKUP(A1019,'[1]Re-order'!$A:$AA,27,0),"")</f>
        <v>Re-order</v>
      </c>
      <c r="AF1019" s="46">
        <f t="shared" si="239"/>
        <v>-0.66666666666666674</v>
      </c>
      <c r="AG1019" s="46">
        <f>SUMIFS('[1]Raw Inventory'!D:D,'[1]Raw Inventory'!C:C,"GREATWALL",'[1]Raw Inventory'!B:B,A1019)</f>
        <v>35</v>
      </c>
      <c r="AH1019" s="46">
        <f>SUMIFS('[1]Raw Inventory'!D:D,'[1]Raw Inventory'!C:C,"DUARTE",'[1]Raw Inventory'!B:B,A1019)</f>
        <v>0</v>
      </c>
      <c r="AI1019" s="46"/>
      <c r="AJ1019" s="46"/>
      <c r="AK1019" s="43"/>
      <c r="AL1019" s="43"/>
      <c r="AM1019" s="43"/>
      <c r="AN1019" s="43"/>
      <c r="AO1019" s="43"/>
      <c r="AP1019" s="43"/>
      <c r="AQ1019" s="43"/>
      <c r="AR1019" s="43"/>
      <c r="AS1019" s="43"/>
      <c r="AT1019" s="43"/>
    </row>
    <row r="1020" spans="1:46">
      <c r="A1020" s="43" t="s">
        <v>61</v>
      </c>
      <c r="B1020" s="43" t="s">
        <v>153</v>
      </c>
      <c r="C1020" s="43" t="s">
        <v>152</v>
      </c>
      <c r="D1020" s="44" t="s">
        <v>232</v>
      </c>
      <c r="E1020" s="44">
        <v>20</v>
      </c>
      <c r="F1020" s="44" t="s">
        <v>3</v>
      </c>
      <c r="G1020" s="43" t="str">
        <f>IFERROR(VLOOKUP(A1020,'[1]MC Masterlist 2026-09-12'!$B:$M, 3, 0),"")</f>
        <v>HONDA</v>
      </c>
      <c r="H1020" s="45">
        <f>IFERROR(VLOOKUP(A1020,'[1]MC Masterlist 2026-09-12'!$B:$M, 6, 0),"")</f>
        <v>63510</v>
      </c>
      <c r="I1020" s="46">
        <v>0</v>
      </c>
      <c r="J1020" s="46">
        <v>0</v>
      </c>
      <c r="K1020" s="46">
        <v>0</v>
      </c>
      <c r="L1020" s="46">
        <f t="shared" si="225"/>
        <v>0</v>
      </c>
      <c r="M1020" s="46">
        <f t="shared" si="226"/>
        <v>0</v>
      </c>
      <c r="N1020" s="45">
        <f t="shared" si="227"/>
        <v>0</v>
      </c>
      <c r="O1020" s="45">
        <f t="shared" si="228"/>
        <v>0</v>
      </c>
      <c r="P1020" s="46">
        <f t="shared" si="229"/>
        <v>0</v>
      </c>
      <c r="Q1020" s="46">
        <v>1</v>
      </c>
      <c r="R1020" s="45">
        <f t="shared" si="230"/>
        <v>63510</v>
      </c>
      <c r="S1020" s="46">
        <f t="shared" si="231"/>
        <v>0</v>
      </c>
      <c r="T1020" s="46">
        <f>IFERROR(VLOOKUP(A1020,'[1]Re-order'!$A:$Q,17,0),"")</f>
        <v>135</v>
      </c>
      <c r="U1020" s="46">
        <f>IFERROR(VLOOKUP(A1020,'[1]MC Masterlist 2026-09-12'!$B:$M, 10, 0),0)</f>
        <v>15</v>
      </c>
      <c r="V1020" s="46">
        <f>IFERROR(VLOOKUP(A1020,'[1]MC Masterlist 2026-09-12'!$B:$M, 11, 0),0)</f>
        <v>15</v>
      </c>
      <c r="W1020" s="46">
        <f t="shared" si="232"/>
        <v>30</v>
      </c>
      <c r="X1020" s="46">
        <f t="shared" si="233"/>
        <v>30</v>
      </c>
      <c r="Y1020" s="46">
        <f>IFERROR(IF(OR(C1020="AREA I",C1020="AREA V"),7,VLOOKUP(A1020,'[1]MC Masterlist 2026-09-12'!$B:$M, 12, 0)),0)</f>
        <v>30</v>
      </c>
      <c r="Z1020" s="46">
        <f t="shared" si="234"/>
        <v>0</v>
      </c>
      <c r="AA1020" s="46">
        <f t="shared" si="235"/>
        <v>0</v>
      </c>
      <c r="AB1020" s="46">
        <f t="shared" si="236"/>
        <v>0</v>
      </c>
      <c r="AC1020" s="46">
        <f t="shared" si="237"/>
        <v>0</v>
      </c>
      <c r="AD1020" s="44" t="str">
        <f t="shared" si="238"/>
        <v>Over</v>
      </c>
      <c r="AE1020" s="44" t="str">
        <f>IFERROR(VLOOKUP(A1020,'[1]Re-order'!$A:$AA,27,0),"")</f>
        <v>Over</v>
      </c>
      <c r="AF1020" s="46">
        <f t="shared" si="239"/>
        <v>-1</v>
      </c>
      <c r="AG1020" s="46">
        <f>SUMIFS('[1]Raw Inventory'!D:D,'[1]Raw Inventory'!C:C,"GREATWALL",'[1]Raw Inventory'!B:B,A1020)</f>
        <v>1</v>
      </c>
      <c r="AH1020" s="46">
        <f>SUMIFS('[1]Raw Inventory'!D:D,'[1]Raw Inventory'!C:C,"DUARTE",'[1]Raw Inventory'!B:B,A1020)</f>
        <v>0</v>
      </c>
      <c r="AI1020" s="46"/>
      <c r="AJ1020" s="46"/>
      <c r="AK1020" s="43"/>
      <c r="AL1020" s="43"/>
      <c r="AM1020" s="43"/>
      <c r="AN1020" s="43"/>
      <c r="AO1020" s="43"/>
      <c r="AP1020" s="43"/>
      <c r="AQ1020" s="43"/>
      <c r="AR1020" s="43"/>
      <c r="AS1020" s="43"/>
      <c r="AT1020" s="43"/>
    </row>
    <row r="1021" spans="1:46">
      <c r="A1021" s="43" t="s">
        <v>71</v>
      </c>
      <c r="B1021" s="43" t="s">
        <v>123</v>
      </c>
      <c r="C1021" s="43" t="s">
        <v>118</v>
      </c>
      <c r="D1021" s="44" t="s">
        <v>258</v>
      </c>
      <c r="E1021" s="44">
        <v>25</v>
      </c>
      <c r="F1021" s="44" t="s">
        <v>3</v>
      </c>
      <c r="G1021" s="43" t="str">
        <f>IFERROR(VLOOKUP(A1021,'[1]MC Masterlist 2026-09-12'!$B:$M, 3, 0),"")</f>
        <v>SUZUKI</v>
      </c>
      <c r="H1021" s="45">
        <f>IFERROR(VLOOKUP(A1021,'[1]MC Masterlist 2026-09-12'!$B:$M, 6, 0),"")</f>
        <v>156250</v>
      </c>
      <c r="I1021" s="46">
        <v>0</v>
      </c>
      <c r="J1021" s="46">
        <v>0</v>
      </c>
      <c r="K1021" s="46">
        <v>0</v>
      </c>
      <c r="L1021" s="46">
        <f t="shared" si="225"/>
        <v>0</v>
      </c>
      <c r="M1021" s="46">
        <f t="shared" si="226"/>
        <v>0</v>
      </c>
      <c r="N1021" s="45">
        <f t="shared" si="227"/>
        <v>0</v>
      </c>
      <c r="O1021" s="45">
        <f t="shared" si="228"/>
        <v>0</v>
      </c>
      <c r="P1021" s="46">
        <f t="shared" si="229"/>
        <v>0</v>
      </c>
      <c r="Q1021" s="46">
        <v>1</v>
      </c>
      <c r="R1021" s="45">
        <f t="shared" si="230"/>
        <v>156250</v>
      </c>
      <c r="S1021" s="46">
        <f t="shared" si="231"/>
        <v>0</v>
      </c>
      <c r="T1021" s="46">
        <f>IFERROR(VLOOKUP(A1021,'[1]Re-order'!$A:$Q,17,0),"")</f>
        <v>612</v>
      </c>
      <c r="U1021" s="46">
        <f>IFERROR(VLOOKUP(A1021,'[1]MC Masterlist 2026-09-12'!$B:$M, 10, 0),0)</f>
        <v>15</v>
      </c>
      <c r="V1021" s="46">
        <f>IFERROR(VLOOKUP(A1021,'[1]MC Masterlist 2026-09-12'!$B:$M, 11, 0),0)</f>
        <v>15</v>
      </c>
      <c r="W1021" s="46">
        <f t="shared" si="232"/>
        <v>30</v>
      </c>
      <c r="X1021" s="46">
        <f t="shared" si="233"/>
        <v>30</v>
      </c>
      <c r="Y1021" s="46">
        <f>IFERROR(IF(OR(C1021="AREA I",C1021="AREA V"),7,VLOOKUP(A1021,'[1]MC Masterlist 2026-09-12'!$B:$M, 12, 0)),0)</f>
        <v>30</v>
      </c>
      <c r="Z1021" s="46">
        <f t="shared" si="234"/>
        <v>0</v>
      </c>
      <c r="AA1021" s="46">
        <f t="shared" si="235"/>
        <v>0</v>
      </c>
      <c r="AB1021" s="46">
        <f t="shared" si="236"/>
        <v>0</v>
      </c>
      <c r="AC1021" s="46">
        <f t="shared" si="237"/>
        <v>0</v>
      </c>
      <c r="AD1021" s="44" t="str">
        <f t="shared" si="238"/>
        <v>Over</v>
      </c>
      <c r="AE1021" s="44" t="str">
        <f>IFERROR(VLOOKUP(A1021,'[1]Re-order'!$A:$AA,27,0),"")</f>
        <v>Over</v>
      </c>
      <c r="AF1021" s="46">
        <f t="shared" si="239"/>
        <v>-1</v>
      </c>
      <c r="AG1021" s="46">
        <f>SUMIFS('[1]Raw Inventory'!D:D,'[1]Raw Inventory'!C:C,"GREATWALL",'[1]Raw Inventory'!B:B,A1021)</f>
        <v>13</v>
      </c>
      <c r="AH1021" s="46">
        <f>SUMIFS('[1]Raw Inventory'!D:D,'[1]Raw Inventory'!C:C,"DUARTE",'[1]Raw Inventory'!B:B,A1021)</f>
        <v>0</v>
      </c>
      <c r="AI1021" s="46"/>
      <c r="AJ1021" s="46"/>
      <c r="AK1021" s="43"/>
      <c r="AL1021" s="43"/>
      <c r="AM1021" s="43"/>
      <c r="AN1021" s="43"/>
      <c r="AO1021" s="43"/>
      <c r="AP1021" s="43"/>
      <c r="AQ1021" s="43"/>
      <c r="AR1021" s="43"/>
      <c r="AS1021" s="43"/>
      <c r="AT1021" s="43"/>
    </row>
    <row r="1022" spans="1:46">
      <c r="A1022" s="43" t="s">
        <v>72</v>
      </c>
      <c r="B1022" s="43" t="s">
        <v>29</v>
      </c>
      <c r="C1022" s="43" t="s">
        <v>1</v>
      </c>
      <c r="D1022" s="44" t="s">
        <v>272</v>
      </c>
      <c r="E1022" s="44">
        <v>38</v>
      </c>
      <c r="F1022" s="44" t="s">
        <v>3</v>
      </c>
      <c r="G1022" s="43" t="str">
        <f>IFERROR(VLOOKUP(A1022,'[1]MC Masterlist 2026-09-12'!$B:$M, 3, 0),"")</f>
        <v>KAWASAKI</v>
      </c>
      <c r="H1022" s="45">
        <f>IFERROR(VLOOKUP(A1022,'[1]MC Masterlist 2026-09-12'!$B:$M, 6, 0),"")</f>
        <v>52948</v>
      </c>
      <c r="I1022" s="46">
        <v>0</v>
      </c>
      <c r="J1022" s="46">
        <v>0</v>
      </c>
      <c r="K1022" s="46">
        <v>0</v>
      </c>
      <c r="L1022" s="46">
        <f t="shared" si="225"/>
        <v>0</v>
      </c>
      <c r="M1022" s="46">
        <f t="shared" si="226"/>
        <v>0</v>
      </c>
      <c r="N1022" s="45">
        <f t="shared" si="227"/>
        <v>0</v>
      </c>
      <c r="O1022" s="45">
        <f t="shared" si="228"/>
        <v>0</v>
      </c>
      <c r="P1022" s="46">
        <f t="shared" si="229"/>
        <v>0</v>
      </c>
      <c r="Q1022" s="46">
        <v>3</v>
      </c>
      <c r="R1022" s="45">
        <f t="shared" si="230"/>
        <v>158844</v>
      </c>
      <c r="S1022" s="46">
        <f t="shared" si="231"/>
        <v>0</v>
      </c>
      <c r="T1022" s="46">
        <f>IFERROR(VLOOKUP(A1022,'[1]Re-order'!$A:$Q,17,0),"")</f>
        <v>378</v>
      </c>
      <c r="U1022" s="46">
        <f>IFERROR(VLOOKUP(A1022,'[1]MC Masterlist 2026-09-12'!$B:$M, 10, 0),0)</f>
        <v>15</v>
      </c>
      <c r="V1022" s="46">
        <f>IFERROR(VLOOKUP(A1022,'[1]MC Masterlist 2026-09-12'!$B:$M, 11, 0),0)</f>
        <v>15</v>
      </c>
      <c r="W1022" s="46">
        <f t="shared" si="232"/>
        <v>30</v>
      </c>
      <c r="X1022" s="46">
        <f t="shared" si="233"/>
        <v>7</v>
      </c>
      <c r="Y1022" s="46">
        <f>IFERROR(IF(OR(C1022="AREA I",C1022="AREA V"),7,VLOOKUP(A1022,'[1]MC Masterlist 2026-09-12'!$B:$M, 12, 0)),0)</f>
        <v>7</v>
      </c>
      <c r="Z1022" s="46">
        <f t="shared" si="234"/>
        <v>0</v>
      </c>
      <c r="AA1022" s="46">
        <f t="shared" si="235"/>
        <v>0</v>
      </c>
      <c r="AB1022" s="46">
        <f t="shared" si="236"/>
        <v>0</v>
      </c>
      <c r="AC1022" s="46">
        <f t="shared" si="237"/>
        <v>0</v>
      </c>
      <c r="AD1022" s="44" t="str">
        <f t="shared" si="238"/>
        <v>Over</v>
      </c>
      <c r="AE1022" s="44" t="str">
        <f>IFERROR(VLOOKUP(A1022,'[1]Re-order'!$A:$AA,27,0),"")</f>
        <v>Over</v>
      </c>
      <c r="AF1022" s="46">
        <f t="shared" si="239"/>
        <v>-3</v>
      </c>
      <c r="AG1022" s="46">
        <f>SUMIFS('[1]Raw Inventory'!D:D,'[1]Raw Inventory'!C:C,"GREATWALL",'[1]Raw Inventory'!B:B,A1022)</f>
        <v>15</v>
      </c>
      <c r="AH1022" s="46">
        <f>SUMIFS('[1]Raw Inventory'!D:D,'[1]Raw Inventory'!C:C,"DUARTE",'[1]Raw Inventory'!B:B,A1022)</f>
        <v>0</v>
      </c>
      <c r="AI1022" s="46"/>
      <c r="AJ1022" s="46"/>
      <c r="AK1022" s="43"/>
      <c r="AL1022" s="43"/>
      <c r="AM1022" s="43"/>
      <c r="AN1022" s="43"/>
      <c r="AO1022" s="43"/>
      <c r="AP1022" s="43"/>
      <c r="AQ1022" s="43"/>
      <c r="AR1022" s="43"/>
      <c r="AS1022" s="43"/>
      <c r="AT1022" s="43"/>
    </row>
    <row r="1023" spans="1:46">
      <c r="A1023" s="43" t="s">
        <v>18</v>
      </c>
      <c r="B1023" s="43" t="s">
        <v>21</v>
      </c>
      <c r="C1023" s="43" t="s">
        <v>1</v>
      </c>
      <c r="D1023" s="44" t="s">
        <v>255</v>
      </c>
      <c r="E1023" s="44">
        <v>15</v>
      </c>
      <c r="F1023" s="44" t="s">
        <v>2</v>
      </c>
      <c r="G1023" s="43" t="str">
        <f>IFERROR(VLOOKUP(A1023,'[1]MC Masterlist 2026-09-12'!$B:$M, 3, 0),"")</f>
        <v>HONDA</v>
      </c>
      <c r="H1023" s="45">
        <f>IFERROR(VLOOKUP(A1023,'[1]MC Masterlist 2026-09-12'!$B:$M, 6, 0),"")</f>
        <v>94330</v>
      </c>
      <c r="I1023" s="46">
        <v>1</v>
      </c>
      <c r="J1023" s="46">
        <v>1</v>
      </c>
      <c r="K1023" s="46">
        <v>1</v>
      </c>
      <c r="L1023" s="46">
        <f t="shared" si="225"/>
        <v>3</v>
      </c>
      <c r="M1023" s="46">
        <f t="shared" si="226"/>
        <v>1</v>
      </c>
      <c r="N1023" s="45">
        <f t="shared" si="227"/>
        <v>282990</v>
      </c>
      <c r="O1023" s="45">
        <f t="shared" si="228"/>
        <v>94330</v>
      </c>
      <c r="P1023" s="46">
        <f t="shared" si="229"/>
        <v>3.3333333333333333E-2</v>
      </c>
      <c r="Q1023" s="46"/>
      <c r="R1023" s="45">
        <f t="shared" si="230"/>
        <v>0</v>
      </c>
      <c r="S1023" s="46">
        <f t="shared" si="231"/>
        <v>0</v>
      </c>
      <c r="T1023" s="46">
        <f>IFERROR(VLOOKUP(A1023,'[1]Re-order'!$A:$Q,17,0),"")</f>
        <v>113.9644970414201</v>
      </c>
      <c r="U1023" s="46">
        <f>IFERROR(VLOOKUP(A1023,'[1]MC Masterlist 2026-09-12'!$B:$M, 10, 0),0)</f>
        <v>15</v>
      </c>
      <c r="V1023" s="46">
        <f>IFERROR(VLOOKUP(A1023,'[1]MC Masterlist 2026-09-12'!$B:$M, 11, 0),0)</f>
        <v>15</v>
      </c>
      <c r="W1023" s="46">
        <f t="shared" si="232"/>
        <v>30</v>
      </c>
      <c r="X1023" s="46">
        <f t="shared" si="233"/>
        <v>6.5</v>
      </c>
      <c r="Y1023" s="46">
        <f>IFERROR(IF(OR(C1023="AREA I",C1023="AREA V"),7,VLOOKUP(A1023,'[1]MC Masterlist 2026-09-12'!$B:$M, 12, 0)),0)</f>
        <v>7</v>
      </c>
      <c r="Z1023" s="46">
        <f t="shared" si="234"/>
        <v>0.5</v>
      </c>
      <c r="AA1023" s="46">
        <f t="shared" si="235"/>
        <v>1</v>
      </c>
      <c r="AB1023" s="46">
        <f t="shared" si="236"/>
        <v>0.21666666666666667</v>
      </c>
      <c r="AC1023" s="46">
        <f t="shared" si="237"/>
        <v>0.23333333333333334</v>
      </c>
      <c r="AD1023" s="44" t="str">
        <f t="shared" si="238"/>
        <v>Stockout</v>
      </c>
      <c r="AE1023" s="44" t="str">
        <f>IFERROR(VLOOKUP(A1023,'[1]Re-order'!$A:$AA,27,0),"")</f>
        <v>Over</v>
      </c>
      <c r="AF1023" s="46">
        <f t="shared" si="239"/>
        <v>0.23333333333333334</v>
      </c>
      <c r="AG1023" s="46">
        <f>SUMIFS('[1]Raw Inventory'!D:D,'[1]Raw Inventory'!C:C,"GREATWALL",'[1]Raw Inventory'!B:B,A1023)</f>
        <v>88</v>
      </c>
      <c r="AH1023" s="46">
        <f>SUMIFS('[1]Raw Inventory'!D:D,'[1]Raw Inventory'!C:C,"DUARTE",'[1]Raw Inventory'!B:B,A1023)</f>
        <v>0</v>
      </c>
      <c r="AI1023" s="46"/>
      <c r="AJ1023" s="46"/>
      <c r="AK1023" s="43"/>
      <c r="AL1023" s="43"/>
      <c r="AM1023" s="43"/>
      <c r="AN1023" s="43"/>
      <c r="AO1023" s="43"/>
      <c r="AP1023" s="43"/>
      <c r="AQ1023" s="43"/>
      <c r="AR1023" s="43"/>
      <c r="AS1023" s="43"/>
      <c r="AT1023" s="43"/>
    </row>
    <row r="1024" spans="1:46">
      <c r="A1024" s="43" t="s">
        <v>76</v>
      </c>
      <c r="B1024" s="43" t="s">
        <v>155</v>
      </c>
      <c r="C1024" s="43" t="s">
        <v>152</v>
      </c>
      <c r="D1024" s="44" t="s">
        <v>243</v>
      </c>
      <c r="E1024" s="44">
        <v>18</v>
      </c>
      <c r="F1024" s="44" t="s">
        <v>2</v>
      </c>
      <c r="G1024" s="43" t="str">
        <f>IFERROR(VLOOKUP(A1024,'[1]MC Masterlist 2026-09-12'!$B:$M, 3, 0),"")</f>
        <v>SUZUKI</v>
      </c>
      <c r="H1024" s="45">
        <f>IFERROR(VLOOKUP(A1024,'[1]MC Masterlist 2026-09-12'!$B:$M, 6, 0),"")</f>
        <v>62692</v>
      </c>
      <c r="I1024" s="46">
        <v>1</v>
      </c>
      <c r="J1024" s="46">
        <v>0</v>
      </c>
      <c r="K1024" s="46">
        <v>1</v>
      </c>
      <c r="L1024" s="46">
        <f t="shared" si="225"/>
        <v>2</v>
      </c>
      <c r="M1024" s="46">
        <f t="shared" si="226"/>
        <v>0.66666666666666663</v>
      </c>
      <c r="N1024" s="45">
        <f t="shared" si="227"/>
        <v>125384</v>
      </c>
      <c r="O1024" s="45">
        <f t="shared" si="228"/>
        <v>41794.666666666664</v>
      </c>
      <c r="P1024" s="46">
        <f t="shared" si="229"/>
        <v>2.222222222222222E-2</v>
      </c>
      <c r="Q1024" s="46">
        <v>1</v>
      </c>
      <c r="R1024" s="45">
        <f t="shared" si="230"/>
        <v>62692</v>
      </c>
      <c r="S1024" s="46">
        <f t="shared" si="231"/>
        <v>45</v>
      </c>
      <c r="T1024" s="46">
        <f>IFERROR(VLOOKUP(A1024,'[1]Re-order'!$A:$Q,17,0),"")</f>
        <v>106.36363636363636</v>
      </c>
      <c r="U1024" s="46">
        <f>IFERROR(VLOOKUP(A1024,'[1]MC Masterlist 2026-09-12'!$B:$M, 10, 0),0)</f>
        <v>15</v>
      </c>
      <c r="V1024" s="46">
        <f>IFERROR(VLOOKUP(A1024,'[1]MC Masterlist 2026-09-12'!$B:$M, 11, 0),0)</f>
        <v>15</v>
      </c>
      <c r="W1024" s="46">
        <f t="shared" si="232"/>
        <v>30</v>
      </c>
      <c r="X1024" s="46">
        <f t="shared" si="233"/>
        <v>29.666666666666668</v>
      </c>
      <c r="Y1024" s="46">
        <f>IFERROR(IF(OR(C1024="AREA I",C1024="AREA V"),7,VLOOKUP(A1024,'[1]MC Masterlist 2026-09-12'!$B:$M, 12, 0)),0)</f>
        <v>30</v>
      </c>
      <c r="Z1024" s="46">
        <f t="shared" si="234"/>
        <v>0.33333333333333331</v>
      </c>
      <c r="AA1024" s="46">
        <f t="shared" si="235"/>
        <v>0.66666666666666663</v>
      </c>
      <c r="AB1024" s="46">
        <f t="shared" si="236"/>
        <v>0.65925925925925921</v>
      </c>
      <c r="AC1024" s="46">
        <f t="shared" si="237"/>
        <v>0.66666666666666663</v>
      </c>
      <c r="AD1024" s="44" t="str">
        <f t="shared" si="238"/>
        <v>Over</v>
      </c>
      <c r="AE1024" s="44" t="str">
        <f>IFERROR(VLOOKUP(A1024,'[1]Re-order'!$A:$AA,27,0),"")</f>
        <v>Over</v>
      </c>
      <c r="AF1024" s="46">
        <f t="shared" si="239"/>
        <v>-0.33333333333333337</v>
      </c>
      <c r="AG1024" s="46">
        <f>SUMIFS('[1]Raw Inventory'!D:D,'[1]Raw Inventory'!C:C,"GREATWALL",'[1]Raw Inventory'!B:B,A1024)</f>
        <v>1</v>
      </c>
      <c r="AH1024" s="46">
        <f>SUMIFS('[1]Raw Inventory'!D:D,'[1]Raw Inventory'!C:C,"DUARTE",'[1]Raw Inventory'!B:B,A1024)</f>
        <v>0</v>
      </c>
      <c r="AI1024" s="46"/>
      <c r="AJ1024" s="46"/>
      <c r="AK1024" s="43"/>
      <c r="AL1024" s="43"/>
      <c r="AM1024" s="43"/>
      <c r="AN1024" s="43"/>
      <c r="AO1024" s="43"/>
      <c r="AP1024" s="43"/>
      <c r="AQ1024" s="43"/>
      <c r="AR1024" s="43"/>
      <c r="AS1024" s="43"/>
      <c r="AT1024" s="43"/>
    </row>
    <row r="1025" spans="1:46">
      <c r="A1025" s="43" t="s">
        <v>39</v>
      </c>
      <c r="B1025" s="43" t="s">
        <v>94</v>
      </c>
      <c r="C1025" s="43" t="s">
        <v>90</v>
      </c>
      <c r="D1025" s="44" t="s">
        <v>222</v>
      </c>
      <c r="E1025" s="44">
        <v>22</v>
      </c>
      <c r="F1025" s="44" t="s">
        <v>2</v>
      </c>
      <c r="G1025" s="43" t="str">
        <f>IFERROR(VLOOKUP(A1025,'[1]MC Masterlist 2026-09-12'!$B:$M, 3, 0),"")</f>
        <v>HONDA</v>
      </c>
      <c r="H1025" s="45">
        <f>IFERROR(VLOOKUP(A1025,'[1]MC Masterlist 2026-09-12'!$B:$M, 6, 0),"")</f>
        <v>72434</v>
      </c>
      <c r="I1025" s="46">
        <v>0</v>
      </c>
      <c r="J1025" s="46">
        <v>0</v>
      </c>
      <c r="K1025" s="46">
        <v>1</v>
      </c>
      <c r="L1025" s="46">
        <f t="shared" si="225"/>
        <v>1</v>
      </c>
      <c r="M1025" s="46">
        <f t="shared" si="226"/>
        <v>0.33333333333333331</v>
      </c>
      <c r="N1025" s="45">
        <f t="shared" si="227"/>
        <v>72434</v>
      </c>
      <c r="O1025" s="45">
        <f t="shared" si="228"/>
        <v>24144.666666666664</v>
      </c>
      <c r="P1025" s="46">
        <f t="shared" si="229"/>
        <v>1.111111111111111E-2</v>
      </c>
      <c r="Q1025" s="46">
        <v>2</v>
      </c>
      <c r="R1025" s="45">
        <f t="shared" si="230"/>
        <v>144868</v>
      </c>
      <c r="S1025" s="46">
        <f t="shared" si="231"/>
        <v>180.00000000000003</v>
      </c>
      <c r="T1025" s="46">
        <f>IFERROR(VLOOKUP(A1025,'[1]Re-order'!$A:$Q,17,0),"")</f>
        <v>40.982142857142854</v>
      </c>
      <c r="U1025" s="46">
        <f>IFERROR(VLOOKUP(A1025,'[1]MC Masterlist 2026-09-12'!$B:$M, 10, 0),0)</f>
        <v>15</v>
      </c>
      <c r="V1025" s="46">
        <f>IFERROR(VLOOKUP(A1025,'[1]MC Masterlist 2026-09-12'!$B:$M, 11, 0),0)</f>
        <v>15</v>
      </c>
      <c r="W1025" s="46">
        <f t="shared" si="232"/>
        <v>30</v>
      </c>
      <c r="X1025" s="46">
        <f t="shared" si="233"/>
        <v>29.833333333333332</v>
      </c>
      <c r="Y1025" s="46">
        <f>IFERROR(IF(OR(C1025="AREA I",C1025="AREA V"),7,VLOOKUP(A1025,'[1]MC Masterlist 2026-09-12'!$B:$M, 12, 0)),0)</f>
        <v>30</v>
      </c>
      <c r="Z1025" s="46">
        <f t="shared" si="234"/>
        <v>0.16666666666666666</v>
      </c>
      <c r="AA1025" s="46">
        <f t="shared" si="235"/>
        <v>0.33333333333333331</v>
      </c>
      <c r="AB1025" s="46">
        <f t="shared" si="236"/>
        <v>0.33148148148148143</v>
      </c>
      <c r="AC1025" s="46">
        <f t="shared" si="237"/>
        <v>0.33333333333333331</v>
      </c>
      <c r="AD1025" s="44" t="str">
        <f t="shared" si="238"/>
        <v>Over</v>
      </c>
      <c r="AE1025" s="44" t="str">
        <f>IFERROR(VLOOKUP(A1025,'[1]Re-order'!$A:$AA,27,0),"")</f>
        <v>Re-order</v>
      </c>
      <c r="AF1025" s="46">
        <f t="shared" si="239"/>
        <v>-1.6666666666666667</v>
      </c>
      <c r="AG1025" s="46">
        <f>SUMIFS('[1]Raw Inventory'!D:D,'[1]Raw Inventory'!C:C,"GREATWALL",'[1]Raw Inventory'!B:B,A1025)</f>
        <v>16</v>
      </c>
      <c r="AH1025" s="46">
        <f>SUMIFS('[1]Raw Inventory'!D:D,'[1]Raw Inventory'!C:C,"DUARTE",'[1]Raw Inventory'!B:B,A1025)</f>
        <v>0</v>
      </c>
      <c r="AI1025" s="46"/>
      <c r="AJ1025" s="46"/>
      <c r="AK1025" s="43"/>
      <c r="AL1025" s="43"/>
      <c r="AM1025" s="43"/>
      <c r="AN1025" s="43"/>
      <c r="AO1025" s="43"/>
      <c r="AP1025" s="43"/>
      <c r="AQ1025" s="43"/>
      <c r="AR1025" s="43"/>
      <c r="AS1025" s="43"/>
      <c r="AT1025" s="43"/>
    </row>
    <row r="1026" spans="1:46">
      <c r="A1026" s="43" t="s">
        <v>14</v>
      </c>
      <c r="B1026" s="43" t="s">
        <v>113</v>
      </c>
      <c r="C1026" s="43" t="s">
        <v>109</v>
      </c>
      <c r="D1026" s="44" t="s">
        <v>238</v>
      </c>
      <c r="E1026" s="44">
        <v>2</v>
      </c>
      <c r="F1026" s="44" t="s">
        <v>0</v>
      </c>
      <c r="G1026" s="43" t="str">
        <f>IFERROR(VLOOKUP(A1026,'[1]MC Masterlist 2026-09-12'!$B:$M, 3, 0),"")</f>
        <v>HONDA</v>
      </c>
      <c r="H1026" s="45">
        <f>IFERROR(VLOOKUP(A1026,'[1]MC Masterlist 2026-09-12'!$B:$M, 6, 0),"")</f>
        <v>80070</v>
      </c>
      <c r="I1026" s="46">
        <v>16</v>
      </c>
      <c r="J1026" s="46">
        <v>12</v>
      </c>
      <c r="K1026" s="46">
        <v>2</v>
      </c>
      <c r="L1026" s="46">
        <f t="shared" si="225"/>
        <v>30</v>
      </c>
      <c r="M1026" s="46">
        <f t="shared" si="226"/>
        <v>10</v>
      </c>
      <c r="N1026" s="45">
        <f t="shared" si="227"/>
        <v>2402100</v>
      </c>
      <c r="O1026" s="45">
        <f t="shared" si="228"/>
        <v>800700</v>
      </c>
      <c r="P1026" s="46">
        <f t="shared" si="229"/>
        <v>0.33333333333333331</v>
      </c>
      <c r="Q1026" s="46">
        <v>2</v>
      </c>
      <c r="R1026" s="45">
        <f t="shared" si="230"/>
        <v>160140</v>
      </c>
      <c r="S1026" s="46">
        <f t="shared" si="231"/>
        <v>6</v>
      </c>
      <c r="T1026" s="46">
        <f>IFERROR(VLOOKUP(A1026,'[1]Re-order'!$A:$Q,17,0),"")</f>
        <v>20.105787181082761</v>
      </c>
      <c r="U1026" s="46">
        <f>IFERROR(VLOOKUP(A1026,'[1]MC Masterlist 2026-09-12'!$B:$M, 10, 0),0)</f>
        <v>15</v>
      </c>
      <c r="V1026" s="46">
        <f>IFERROR(VLOOKUP(A1026,'[1]MC Masterlist 2026-09-12'!$B:$M, 11, 0),0)</f>
        <v>15</v>
      </c>
      <c r="W1026" s="46">
        <f t="shared" si="232"/>
        <v>30</v>
      </c>
      <c r="X1026" s="46">
        <f t="shared" si="233"/>
        <v>25</v>
      </c>
      <c r="Y1026" s="46">
        <f>IFERROR(IF(OR(C1026="AREA I",C1026="AREA V"),7,VLOOKUP(A1026,'[1]MC Masterlist 2026-09-12'!$B:$M, 12, 0)),0)</f>
        <v>30</v>
      </c>
      <c r="Z1026" s="46">
        <f t="shared" si="234"/>
        <v>5</v>
      </c>
      <c r="AA1026" s="46">
        <f t="shared" si="235"/>
        <v>10</v>
      </c>
      <c r="AB1026" s="46">
        <f t="shared" si="236"/>
        <v>8.3333333333333321</v>
      </c>
      <c r="AC1026" s="46">
        <f t="shared" si="237"/>
        <v>10</v>
      </c>
      <c r="AD1026" s="44" t="str">
        <f t="shared" si="238"/>
        <v>Stockout</v>
      </c>
      <c r="AE1026" s="44" t="str">
        <f>IFERROR(VLOOKUP(A1026,'[1]Re-order'!$A:$AA,27,0),"")</f>
        <v>Stockout</v>
      </c>
      <c r="AF1026" s="46">
        <f t="shared" si="239"/>
        <v>8</v>
      </c>
      <c r="AG1026" s="46">
        <f>SUMIFS('[1]Raw Inventory'!D:D,'[1]Raw Inventory'!C:C,"GREATWALL",'[1]Raw Inventory'!B:B,A1026)</f>
        <v>176</v>
      </c>
      <c r="AH1026" s="46">
        <f>SUMIFS('[1]Raw Inventory'!D:D,'[1]Raw Inventory'!C:C,"DUARTE",'[1]Raw Inventory'!B:B,A1026)</f>
        <v>0</v>
      </c>
      <c r="AI1026" s="46"/>
      <c r="AJ1026" s="46"/>
      <c r="AK1026" s="43"/>
      <c r="AL1026" s="43"/>
      <c r="AM1026" s="43"/>
      <c r="AN1026" s="43"/>
      <c r="AO1026" s="43"/>
      <c r="AP1026" s="43"/>
      <c r="AQ1026" s="43"/>
      <c r="AR1026" s="43"/>
      <c r="AS1026" s="43"/>
      <c r="AT1026" s="43"/>
    </row>
    <row r="1027" spans="1:46">
      <c r="A1027" s="43" t="s">
        <v>70</v>
      </c>
      <c r="B1027" s="43" t="s">
        <v>121</v>
      </c>
      <c r="C1027" s="43" t="s">
        <v>118</v>
      </c>
      <c r="D1027" s="44" t="s">
        <v>232</v>
      </c>
      <c r="E1027" s="44">
        <v>28</v>
      </c>
      <c r="F1027" s="44" t="s">
        <v>3</v>
      </c>
      <c r="G1027" s="43" t="str">
        <f>IFERROR(VLOOKUP(A1027,'[1]MC Masterlist 2026-09-12'!$B:$M, 3, 0),"")</f>
        <v>KAWASAKI</v>
      </c>
      <c r="H1027" s="45">
        <f>IFERROR(VLOOKUP(A1027,'[1]MC Masterlist 2026-09-12'!$B:$M, 6, 0),"")</f>
        <v>91770</v>
      </c>
      <c r="I1027" s="46">
        <v>0</v>
      </c>
      <c r="J1027" s="46">
        <v>0</v>
      </c>
      <c r="K1027" s="46">
        <v>0</v>
      </c>
      <c r="L1027" s="46">
        <f t="shared" ref="L1027:L1090" si="240">I1027+J1027+K1027</f>
        <v>0</v>
      </c>
      <c r="M1027" s="46">
        <f t="shared" ref="M1027:M1090" si="241">AVERAGE(I1027,J1027,K1027)</f>
        <v>0</v>
      </c>
      <c r="N1027" s="45">
        <f t="shared" ref="N1027:N1090" si="242">L1027*H1027</f>
        <v>0</v>
      </c>
      <c r="O1027" s="45">
        <f t="shared" ref="O1027:O1090" si="243">M1027*H1027</f>
        <v>0</v>
      </c>
      <c r="P1027" s="46">
        <f t="shared" ref="P1027:P1090" si="244">M1027/30</f>
        <v>0</v>
      </c>
      <c r="Q1027" s="46">
        <v>3</v>
      </c>
      <c r="R1027" s="45">
        <f t="shared" ref="R1027:R1090" si="245">IFERROR(Q1027*H1027, 0)</f>
        <v>275310</v>
      </c>
      <c r="S1027" s="46">
        <f t="shared" ref="S1027:S1090" si="246">IFERROR(R1027/(O1027)*30, 0)</f>
        <v>0</v>
      </c>
      <c r="T1027" s="46">
        <f>IFERROR(VLOOKUP(A1027,'[1]Re-order'!$A:$Q,17,0),"")</f>
        <v>255</v>
      </c>
      <c r="U1027" s="46">
        <f>IFERROR(VLOOKUP(A1027,'[1]MC Masterlist 2026-09-12'!$B:$M, 10, 0),0)</f>
        <v>15</v>
      </c>
      <c r="V1027" s="46">
        <f>IFERROR(VLOOKUP(A1027,'[1]MC Masterlist 2026-09-12'!$B:$M, 11, 0),0)</f>
        <v>15</v>
      </c>
      <c r="W1027" s="46">
        <f t="shared" ref="W1027:W1090" si="247">U1027+V1027</f>
        <v>30</v>
      </c>
      <c r="X1027" s="46">
        <f t="shared" ref="X1027:X1090" si="248">Y1027-Z1027</f>
        <v>30</v>
      </c>
      <c r="Y1027" s="46">
        <f>IFERROR(IF(OR(C1027="AREA I",C1027="AREA V"),7,VLOOKUP(A1027,'[1]MC Masterlist 2026-09-12'!$B:$M, 12, 0)),0)</f>
        <v>30</v>
      </c>
      <c r="Z1027" s="46">
        <f t="shared" ref="Z1027:Z1090" si="249">V1027*P1027</f>
        <v>0</v>
      </c>
      <c r="AA1027" s="46">
        <f t="shared" ref="AA1027:AA1090" si="250">W1027*P1027</f>
        <v>0</v>
      </c>
      <c r="AB1027" s="46">
        <f t="shared" ref="AB1027:AB1090" si="251">X1027*P1027</f>
        <v>0</v>
      </c>
      <c r="AC1027" s="46">
        <f t="shared" ref="AC1027:AC1090" si="252">Y1027*P1027</f>
        <v>0</v>
      </c>
      <c r="AD1027" s="44" t="str">
        <f t="shared" ref="AD1027:AD1090" si="253">IFERROR(IF(Q1027&gt;AC1027, "Over", IF(Q1027&lt;=Z1027, "Stockout", IF(Q1027&lt;=AA1027, "Re-order",""))), "")</f>
        <v>Over</v>
      </c>
      <c r="AE1027" s="44" t="str">
        <f>IFERROR(VLOOKUP(A1027,'[1]Re-order'!$A:$AA,27,0),"")</f>
        <v>Over</v>
      </c>
      <c r="AF1027" s="46">
        <f t="shared" ref="AF1027:AF1090" si="254">AC1027-Q1027</f>
        <v>-3</v>
      </c>
      <c r="AG1027" s="46">
        <f>SUMIFS('[1]Raw Inventory'!D:D,'[1]Raw Inventory'!C:C,"GREATWALL",'[1]Raw Inventory'!B:B,A1027)</f>
        <v>4</v>
      </c>
      <c r="AH1027" s="46">
        <f>SUMIFS('[1]Raw Inventory'!D:D,'[1]Raw Inventory'!C:C,"DUARTE",'[1]Raw Inventory'!B:B,A1027)</f>
        <v>0</v>
      </c>
      <c r="AI1027" s="46"/>
      <c r="AJ1027" s="46"/>
      <c r="AK1027" s="43"/>
      <c r="AL1027" s="43"/>
      <c r="AM1027" s="43"/>
      <c r="AN1027" s="43"/>
      <c r="AO1027" s="43"/>
      <c r="AP1027" s="43"/>
      <c r="AQ1027" s="43"/>
      <c r="AR1027" s="43"/>
      <c r="AS1027" s="43"/>
      <c r="AT1027" s="43"/>
    </row>
    <row r="1028" spans="1:46">
      <c r="A1028" s="43" t="s">
        <v>36</v>
      </c>
      <c r="B1028" s="43" t="s">
        <v>29</v>
      </c>
      <c r="C1028" s="43" t="s">
        <v>1</v>
      </c>
      <c r="D1028" s="44" t="s">
        <v>268</v>
      </c>
      <c r="E1028" s="44">
        <v>25</v>
      </c>
      <c r="F1028" s="44" t="s">
        <v>3</v>
      </c>
      <c r="G1028" s="43" t="str">
        <f>IFERROR(VLOOKUP(A1028,'[1]MC Masterlist 2026-09-12'!$B:$M, 3, 0),"")</f>
        <v>HONDA</v>
      </c>
      <c r="H1028" s="45">
        <f>IFERROR(VLOOKUP(A1028,'[1]MC Masterlist 2026-09-12'!$B:$M, 6, 0),"")</f>
        <v>76850</v>
      </c>
      <c r="I1028" s="46">
        <v>1</v>
      </c>
      <c r="J1028" s="46">
        <v>1</v>
      </c>
      <c r="K1028" s="46">
        <v>0</v>
      </c>
      <c r="L1028" s="46">
        <f t="shared" si="240"/>
        <v>2</v>
      </c>
      <c r="M1028" s="46">
        <f t="shared" si="241"/>
        <v>0.66666666666666663</v>
      </c>
      <c r="N1028" s="45">
        <f t="shared" si="242"/>
        <v>153700</v>
      </c>
      <c r="O1028" s="45">
        <f t="shared" si="243"/>
        <v>51233.333333333328</v>
      </c>
      <c r="P1028" s="46">
        <f t="shared" si="244"/>
        <v>2.222222222222222E-2</v>
      </c>
      <c r="Q1028" s="46"/>
      <c r="R1028" s="45">
        <f t="shared" si="245"/>
        <v>0</v>
      </c>
      <c r="S1028" s="46">
        <f t="shared" si="246"/>
        <v>0</v>
      </c>
      <c r="T1028" s="46">
        <f>IFERROR(VLOOKUP(A1028,'[1]Re-order'!$A:$Q,17,0),"")</f>
        <v>137.24999999999997</v>
      </c>
      <c r="U1028" s="46">
        <f>IFERROR(VLOOKUP(A1028,'[1]MC Masterlist 2026-09-12'!$B:$M, 10, 0),0)</f>
        <v>15</v>
      </c>
      <c r="V1028" s="46">
        <f>IFERROR(VLOOKUP(A1028,'[1]MC Masterlist 2026-09-12'!$B:$M, 11, 0),0)</f>
        <v>15</v>
      </c>
      <c r="W1028" s="46">
        <f t="shared" si="247"/>
        <v>30</v>
      </c>
      <c r="X1028" s="46">
        <f t="shared" si="248"/>
        <v>6.666666666666667</v>
      </c>
      <c r="Y1028" s="46">
        <f>IFERROR(IF(OR(C1028="AREA I",C1028="AREA V"),7,VLOOKUP(A1028,'[1]MC Masterlist 2026-09-12'!$B:$M, 12, 0)),0)</f>
        <v>7</v>
      </c>
      <c r="Z1028" s="46">
        <f t="shared" si="249"/>
        <v>0.33333333333333331</v>
      </c>
      <c r="AA1028" s="46">
        <f t="shared" si="250"/>
        <v>0.66666666666666663</v>
      </c>
      <c r="AB1028" s="46">
        <f t="shared" si="251"/>
        <v>0.14814814814814814</v>
      </c>
      <c r="AC1028" s="46">
        <f t="shared" si="252"/>
        <v>0.15555555555555553</v>
      </c>
      <c r="AD1028" s="44" t="str">
        <f t="shared" si="253"/>
        <v>Stockout</v>
      </c>
      <c r="AE1028" s="44" t="str">
        <f>IFERROR(VLOOKUP(A1028,'[1]Re-order'!$A:$AA,27,0),"")</f>
        <v>Over</v>
      </c>
      <c r="AF1028" s="46">
        <f t="shared" si="254"/>
        <v>0.15555555555555553</v>
      </c>
      <c r="AG1028" s="46">
        <f>SUMIFS('[1]Raw Inventory'!D:D,'[1]Raw Inventory'!C:C,"GREATWALL",'[1]Raw Inventory'!B:B,A1028)</f>
        <v>18</v>
      </c>
      <c r="AH1028" s="46">
        <f>SUMIFS('[1]Raw Inventory'!D:D,'[1]Raw Inventory'!C:C,"DUARTE",'[1]Raw Inventory'!B:B,A1028)</f>
        <v>0</v>
      </c>
      <c r="AI1028" s="46"/>
      <c r="AJ1028" s="46"/>
      <c r="AK1028" s="43"/>
      <c r="AL1028" s="43"/>
      <c r="AM1028" s="43"/>
      <c r="AN1028" s="43"/>
      <c r="AO1028" s="43"/>
      <c r="AP1028" s="43"/>
      <c r="AQ1028" s="43"/>
      <c r="AR1028" s="43"/>
      <c r="AS1028" s="43"/>
      <c r="AT1028" s="43"/>
    </row>
    <row r="1029" spans="1:46">
      <c r="A1029" s="43" t="s">
        <v>12</v>
      </c>
      <c r="B1029" s="43" t="s">
        <v>132</v>
      </c>
      <c r="C1029" s="43" t="s">
        <v>128</v>
      </c>
      <c r="D1029" s="44" t="s">
        <v>225</v>
      </c>
      <c r="E1029" s="44">
        <v>3</v>
      </c>
      <c r="F1029" s="44" t="s">
        <v>0</v>
      </c>
      <c r="G1029" s="43" t="str">
        <f>IFERROR(VLOOKUP(A1029,'[1]MC Masterlist 2026-09-12'!$B:$M, 3, 0),"")</f>
        <v>HONDA</v>
      </c>
      <c r="H1029" s="45">
        <f>IFERROR(VLOOKUP(A1029,'[1]MC Masterlist 2026-09-12'!$B:$M, 6, 0),"")</f>
        <v>158270</v>
      </c>
      <c r="I1029" s="46">
        <v>2</v>
      </c>
      <c r="J1029" s="46">
        <v>3</v>
      </c>
      <c r="K1029" s="46">
        <v>8</v>
      </c>
      <c r="L1029" s="46">
        <f t="shared" si="240"/>
        <v>13</v>
      </c>
      <c r="M1029" s="46">
        <f t="shared" si="241"/>
        <v>4.333333333333333</v>
      </c>
      <c r="N1029" s="45">
        <f t="shared" si="242"/>
        <v>2057510</v>
      </c>
      <c r="O1029" s="45">
        <f t="shared" si="243"/>
        <v>685836.66666666663</v>
      </c>
      <c r="P1029" s="46">
        <f t="shared" si="244"/>
        <v>0.14444444444444443</v>
      </c>
      <c r="Q1029" s="46">
        <v>2</v>
      </c>
      <c r="R1029" s="45">
        <f t="shared" si="245"/>
        <v>316540</v>
      </c>
      <c r="S1029" s="46">
        <f t="shared" si="246"/>
        <v>13.846153846153847</v>
      </c>
      <c r="T1029" s="46">
        <f>IFERROR(VLOOKUP(A1029,'[1]Re-order'!$A:$Q,17,0),"")</f>
        <v>46.461038961038959</v>
      </c>
      <c r="U1029" s="46">
        <f>IFERROR(VLOOKUP(A1029,'[1]MC Masterlist 2026-09-12'!$B:$M, 10, 0),0)</f>
        <v>15</v>
      </c>
      <c r="V1029" s="46">
        <f>IFERROR(VLOOKUP(A1029,'[1]MC Masterlist 2026-09-12'!$B:$M, 11, 0),0)</f>
        <v>15</v>
      </c>
      <c r="W1029" s="46">
        <f t="shared" si="247"/>
        <v>30</v>
      </c>
      <c r="X1029" s="46">
        <f t="shared" si="248"/>
        <v>27.833333333333332</v>
      </c>
      <c r="Y1029" s="46">
        <f>IFERROR(IF(OR(C1029="AREA I",C1029="AREA V"),7,VLOOKUP(A1029,'[1]MC Masterlist 2026-09-12'!$B:$M, 12, 0)),0)</f>
        <v>30</v>
      </c>
      <c r="Z1029" s="46">
        <f t="shared" si="249"/>
        <v>2.1666666666666665</v>
      </c>
      <c r="AA1029" s="46">
        <f t="shared" si="250"/>
        <v>4.333333333333333</v>
      </c>
      <c r="AB1029" s="46">
        <f t="shared" si="251"/>
        <v>4.0203703703703697</v>
      </c>
      <c r="AC1029" s="46">
        <f t="shared" si="252"/>
        <v>4.333333333333333</v>
      </c>
      <c r="AD1029" s="44" t="str">
        <f t="shared" si="253"/>
        <v>Stockout</v>
      </c>
      <c r="AE1029" s="44" t="str">
        <f>IFERROR(VLOOKUP(A1029,'[1]Re-order'!$A:$AA,27,0),"")</f>
        <v>Re-order</v>
      </c>
      <c r="AF1029" s="46">
        <f t="shared" si="254"/>
        <v>2.333333333333333</v>
      </c>
      <c r="AG1029" s="46">
        <f>SUMIFS('[1]Raw Inventory'!D:D,'[1]Raw Inventory'!C:C,"GREATWALL",'[1]Raw Inventory'!B:B,A1029)</f>
        <v>35</v>
      </c>
      <c r="AH1029" s="46">
        <f>SUMIFS('[1]Raw Inventory'!D:D,'[1]Raw Inventory'!C:C,"DUARTE",'[1]Raw Inventory'!B:B,A1029)</f>
        <v>0</v>
      </c>
      <c r="AI1029" s="46"/>
      <c r="AJ1029" s="46"/>
      <c r="AK1029" s="43"/>
      <c r="AL1029" s="43"/>
      <c r="AM1029" s="43"/>
      <c r="AN1029" s="43"/>
      <c r="AO1029" s="43"/>
      <c r="AP1029" s="43"/>
      <c r="AQ1029" s="43"/>
      <c r="AR1029" s="43"/>
      <c r="AS1029" s="43"/>
      <c r="AT1029" s="43"/>
    </row>
    <row r="1030" spans="1:46">
      <c r="A1030" s="43" t="s">
        <v>49</v>
      </c>
      <c r="B1030" s="43" t="s">
        <v>121</v>
      </c>
      <c r="C1030" s="43" t="s">
        <v>118</v>
      </c>
      <c r="D1030" s="44" t="s">
        <v>227</v>
      </c>
      <c r="E1030" s="44">
        <v>1</v>
      </c>
      <c r="F1030" s="44" t="s">
        <v>0</v>
      </c>
      <c r="G1030" s="43" t="str">
        <f>IFERROR(VLOOKUP(A1030,'[1]MC Masterlist 2026-09-12'!$B:$M, 3, 0),"")</f>
        <v>BAJAJ RE</v>
      </c>
      <c r="H1030" s="45">
        <f>IFERROR(VLOOKUP(A1030,'[1]MC Masterlist 2026-09-12'!$B:$M, 6, 0),"")</f>
        <v>191000</v>
      </c>
      <c r="I1030" s="46">
        <v>6</v>
      </c>
      <c r="J1030" s="46">
        <v>5</v>
      </c>
      <c r="K1030" s="46">
        <v>8</v>
      </c>
      <c r="L1030" s="46">
        <f t="shared" si="240"/>
        <v>19</v>
      </c>
      <c r="M1030" s="46">
        <f t="shared" si="241"/>
        <v>6.333333333333333</v>
      </c>
      <c r="N1030" s="45">
        <f t="shared" si="242"/>
        <v>3629000</v>
      </c>
      <c r="O1030" s="45">
        <f t="shared" si="243"/>
        <v>1209666.6666666665</v>
      </c>
      <c r="P1030" s="46">
        <f t="shared" si="244"/>
        <v>0.21111111111111111</v>
      </c>
      <c r="Q1030" s="46">
        <v>1</v>
      </c>
      <c r="R1030" s="45">
        <f t="shared" si="245"/>
        <v>191000</v>
      </c>
      <c r="S1030" s="46">
        <f t="shared" si="246"/>
        <v>4.7368421052631584</v>
      </c>
      <c r="T1030" s="46">
        <f>IFERROR(VLOOKUP(A1030,'[1]Re-order'!$A:$Q,17,0),"")</f>
        <v>21.516709511568124</v>
      </c>
      <c r="U1030" s="46">
        <f>IFERROR(VLOOKUP(A1030,'[1]MC Masterlist 2026-09-12'!$B:$M, 10, 0),0)</f>
        <v>15</v>
      </c>
      <c r="V1030" s="46">
        <f>IFERROR(VLOOKUP(A1030,'[1]MC Masterlist 2026-09-12'!$B:$M, 11, 0),0)</f>
        <v>15</v>
      </c>
      <c r="W1030" s="46">
        <f t="shared" si="247"/>
        <v>30</v>
      </c>
      <c r="X1030" s="46">
        <f t="shared" si="248"/>
        <v>26.833333333333332</v>
      </c>
      <c r="Y1030" s="46">
        <f>IFERROR(IF(OR(C1030="AREA I",C1030="AREA V"),7,VLOOKUP(A1030,'[1]MC Masterlist 2026-09-12'!$B:$M, 12, 0)),0)</f>
        <v>30</v>
      </c>
      <c r="Z1030" s="46">
        <f t="shared" si="249"/>
        <v>3.1666666666666665</v>
      </c>
      <c r="AA1030" s="46">
        <f t="shared" si="250"/>
        <v>6.333333333333333</v>
      </c>
      <c r="AB1030" s="46">
        <f t="shared" si="251"/>
        <v>5.6648148148148145</v>
      </c>
      <c r="AC1030" s="46">
        <f t="shared" si="252"/>
        <v>6.333333333333333</v>
      </c>
      <c r="AD1030" s="44" t="str">
        <f t="shared" si="253"/>
        <v>Stockout</v>
      </c>
      <c r="AE1030" s="44" t="str">
        <f>IFERROR(VLOOKUP(A1030,'[1]Re-order'!$A:$AA,27,0),"")</f>
        <v>Stockout</v>
      </c>
      <c r="AF1030" s="46">
        <f t="shared" si="254"/>
        <v>5.333333333333333</v>
      </c>
      <c r="AG1030" s="46">
        <f>SUMIFS('[1]Raw Inventory'!D:D,'[1]Raw Inventory'!C:C,"GREATWALL",'[1]Raw Inventory'!B:B,A1030)</f>
        <v>0</v>
      </c>
      <c r="AH1030" s="46">
        <f>SUMIFS('[1]Raw Inventory'!D:D,'[1]Raw Inventory'!C:C,"DUARTE",'[1]Raw Inventory'!B:B,A1030)</f>
        <v>0</v>
      </c>
      <c r="AI1030" s="46"/>
      <c r="AJ1030" s="46"/>
      <c r="AK1030" s="43"/>
      <c r="AL1030" s="43"/>
      <c r="AM1030" s="43"/>
      <c r="AN1030" s="43"/>
      <c r="AO1030" s="43"/>
      <c r="AP1030" s="43"/>
      <c r="AQ1030" s="43"/>
      <c r="AR1030" s="43"/>
      <c r="AS1030" s="43"/>
      <c r="AT1030" s="43"/>
    </row>
    <row r="1031" spans="1:46">
      <c r="A1031" s="43" t="s">
        <v>80</v>
      </c>
      <c r="B1031" s="43" t="s">
        <v>96</v>
      </c>
      <c r="C1031" s="43" t="s">
        <v>90</v>
      </c>
      <c r="D1031" s="44" t="s">
        <v>232</v>
      </c>
      <c r="E1031" s="44">
        <v>7</v>
      </c>
      <c r="F1031" s="44" t="s">
        <v>3</v>
      </c>
      <c r="G1031" s="43" t="str">
        <f>IFERROR(VLOOKUP(A1031,'[1]MC Masterlist 2026-09-12'!$B:$M, 3, 0),"")</f>
        <v>YAMAHA</v>
      </c>
      <c r="H1031" s="45">
        <f>IFERROR(VLOOKUP(A1031,'[1]MC Masterlist 2026-09-12'!$B:$M, 6, 0),"")</f>
        <v>73842</v>
      </c>
      <c r="I1031" s="46">
        <v>0</v>
      </c>
      <c r="J1031" s="46">
        <v>0</v>
      </c>
      <c r="K1031" s="46">
        <v>0</v>
      </c>
      <c r="L1031" s="46">
        <f t="shared" si="240"/>
        <v>0</v>
      </c>
      <c r="M1031" s="46">
        <f t="shared" si="241"/>
        <v>0</v>
      </c>
      <c r="N1031" s="45">
        <f t="shared" si="242"/>
        <v>0</v>
      </c>
      <c r="O1031" s="45">
        <f t="shared" si="243"/>
        <v>0</v>
      </c>
      <c r="P1031" s="46">
        <f t="shared" si="244"/>
        <v>0</v>
      </c>
      <c r="Q1031" s="46">
        <v>2</v>
      </c>
      <c r="R1031" s="45">
        <f t="shared" si="245"/>
        <v>147684</v>
      </c>
      <c r="S1031" s="46">
        <f t="shared" si="246"/>
        <v>0</v>
      </c>
      <c r="T1031" s="46">
        <f>IFERROR(VLOOKUP(A1031,'[1]Re-order'!$A:$Q,17,0),"")</f>
        <v>67.5</v>
      </c>
      <c r="U1031" s="46">
        <f>IFERROR(VLOOKUP(A1031,'[1]MC Masterlist 2026-09-12'!$B:$M, 10, 0),0)</f>
        <v>15</v>
      </c>
      <c r="V1031" s="46">
        <f>IFERROR(VLOOKUP(A1031,'[1]MC Masterlist 2026-09-12'!$B:$M, 11, 0),0)</f>
        <v>15</v>
      </c>
      <c r="W1031" s="46">
        <f t="shared" si="247"/>
        <v>30</v>
      </c>
      <c r="X1031" s="46">
        <f t="shared" si="248"/>
        <v>30</v>
      </c>
      <c r="Y1031" s="46">
        <f>IFERROR(IF(OR(C1031="AREA I",C1031="AREA V"),7,VLOOKUP(A1031,'[1]MC Masterlist 2026-09-12'!$B:$M, 12, 0)),0)</f>
        <v>30</v>
      </c>
      <c r="Z1031" s="46">
        <f t="shared" si="249"/>
        <v>0</v>
      </c>
      <c r="AA1031" s="46">
        <f t="shared" si="250"/>
        <v>0</v>
      </c>
      <c r="AB1031" s="46">
        <f t="shared" si="251"/>
        <v>0</v>
      </c>
      <c r="AC1031" s="46">
        <f t="shared" si="252"/>
        <v>0</v>
      </c>
      <c r="AD1031" s="44" t="str">
        <f t="shared" si="253"/>
        <v>Over</v>
      </c>
      <c r="AE1031" s="44" t="str">
        <f>IFERROR(VLOOKUP(A1031,'[1]Re-order'!$A:$AA,27,0),"")</f>
        <v>Re-order</v>
      </c>
      <c r="AF1031" s="46">
        <f t="shared" si="254"/>
        <v>-2</v>
      </c>
      <c r="AG1031" s="46">
        <f>SUMIFS('[1]Raw Inventory'!D:D,'[1]Raw Inventory'!C:C,"GREATWALL",'[1]Raw Inventory'!B:B,A1031)</f>
        <v>0</v>
      </c>
      <c r="AH1031" s="46">
        <f>SUMIFS('[1]Raw Inventory'!D:D,'[1]Raw Inventory'!C:C,"DUARTE",'[1]Raw Inventory'!B:B,A1031)</f>
        <v>0</v>
      </c>
      <c r="AI1031" s="46"/>
      <c r="AJ1031" s="46"/>
      <c r="AK1031" s="43"/>
      <c r="AL1031" s="43"/>
      <c r="AM1031" s="43"/>
      <c r="AN1031" s="43"/>
      <c r="AO1031" s="43"/>
      <c r="AP1031" s="43"/>
      <c r="AQ1031" s="43"/>
      <c r="AR1031" s="43"/>
      <c r="AS1031" s="43"/>
      <c r="AT1031" s="43"/>
    </row>
    <row r="1032" spans="1:46">
      <c r="A1032" s="43" t="s">
        <v>67</v>
      </c>
      <c r="B1032" s="43" t="s">
        <v>113</v>
      </c>
      <c r="C1032" s="43" t="s">
        <v>109</v>
      </c>
      <c r="D1032" s="44" t="s">
        <v>268</v>
      </c>
      <c r="E1032" s="44">
        <v>21</v>
      </c>
      <c r="F1032" s="44" t="s">
        <v>3</v>
      </c>
      <c r="G1032" s="43" t="str">
        <f>IFERROR(VLOOKUP(A1032,'[1]MC Masterlist 2026-09-12'!$B:$M, 3, 0),"")</f>
        <v>YAMAHA</v>
      </c>
      <c r="H1032" s="45">
        <f>IFERROR(VLOOKUP(A1032,'[1]MC Masterlist 2026-09-12'!$B:$M, 6, 0),"")</f>
        <v>86397</v>
      </c>
      <c r="I1032" s="46">
        <v>0</v>
      </c>
      <c r="J1032" s="46">
        <v>1</v>
      </c>
      <c r="K1032" s="46">
        <v>1</v>
      </c>
      <c r="L1032" s="46">
        <f t="shared" si="240"/>
        <v>2</v>
      </c>
      <c r="M1032" s="46">
        <f t="shared" si="241"/>
        <v>0.66666666666666663</v>
      </c>
      <c r="N1032" s="45">
        <f t="shared" si="242"/>
        <v>172794</v>
      </c>
      <c r="O1032" s="45">
        <f t="shared" si="243"/>
        <v>57598</v>
      </c>
      <c r="P1032" s="46">
        <f t="shared" si="244"/>
        <v>2.222222222222222E-2</v>
      </c>
      <c r="Q1032" s="46"/>
      <c r="R1032" s="45">
        <f t="shared" si="245"/>
        <v>0</v>
      </c>
      <c r="S1032" s="46">
        <f t="shared" si="246"/>
        <v>0</v>
      </c>
      <c r="T1032" s="46">
        <f>IFERROR(VLOOKUP(A1032,'[1]Re-order'!$A:$Q,17,0),"")</f>
        <v>73.63636363636364</v>
      </c>
      <c r="U1032" s="46">
        <f>IFERROR(VLOOKUP(A1032,'[1]MC Masterlist 2026-09-12'!$B:$M, 10, 0),0)</f>
        <v>15</v>
      </c>
      <c r="V1032" s="46">
        <f>IFERROR(VLOOKUP(A1032,'[1]MC Masterlist 2026-09-12'!$B:$M, 11, 0),0)</f>
        <v>15</v>
      </c>
      <c r="W1032" s="46">
        <f t="shared" si="247"/>
        <v>30</v>
      </c>
      <c r="X1032" s="46">
        <f t="shared" si="248"/>
        <v>29.666666666666668</v>
      </c>
      <c r="Y1032" s="46">
        <f>IFERROR(IF(OR(C1032="AREA I",C1032="AREA V"),7,VLOOKUP(A1032,'[1]MC Masterlist 2026-09-12'!$B:$M, 12, 0)),0)</f>
        <v>30</v>
      </c>
      <c r="Z1032" s="46">
        <f t="shared" si="249"/>
        <v>0.33333333333333331</v>
      </c>
      <c r="AA1032" s="46">
        <f t="shared" si="250"/>
        <v>0.66666666666666663</v>
      </c>
      <c r="AB1032" s="46">
        <f t="shared" si="251"/>
        <v>0.65925925925925921</v>
      </c>
      <c r="AC1032" s="46">
        <f t="shared" si="252"/>
        <v>0.66666666666666663</v>
      </c>
      <c r="AD1032" s="44" t="str">
        <f t="shared" si="253"/>
        <v>Stockout</v>
      </c>
      <c r="AE1032" s="44" t="str">
        <f>IFERROR(VLOOKUP(A1032,'[1]Re-order'!$A:$AA,27,0),"")</f>
        <v>Re-order</v>
      </c>
      <c r="AF1032" s="46">
        <f t="shared" si="254"/>
        <v>0.66666666666666663</v>
      </c>
      <c r="AG1032" s="46">
        <f>SUMIFS('[1]Raw Inventory'!D:D,'[1]Raw Inventory'!C:C,"GREATWALL",'[1]Raw Inventory'!B:B,A1032)</f>
        <v>1</v>
      </c>
      <c r="AH1032" s="46">
        <f>SUMIFS('[1]Raw Inventory'!D:D,'[1]Raw Inventory'!C:C,"DUARTE",'[1]Raw Inventory'!B:B,A1032)</f>
        <v>0</v>
      </c>
      <c r="AI1032" s="46"/>
      <c r="AJ1032" s="46"/>
      <c r="AK1032" s="43"/>
      <c r="AL1032" s="43"/>
      <c r="AM1032" s="43"/>
      <c r="AN1032" s="43"/>
      <c r="AO1032" s="43"/>
      <c r="AP1032" s="43"/>
      <c r="AQ1032" s="43"/>
      <c r="AR1032" s="43"/>
      <c r="AS1032" s="43"/>
      <c r="AT1032" s="43"/>
    </row>
    <row r="1033" spans="1:46">
      <c r="A1033" s="43" t="s">
        <v>64</v>
      </c>
      <c r="B1033" s="43" t="s">
        <v>115</v>
      </c>
      <c r="C1033" s="43" t="s">
        <v>109</v>
      </c>
      <c r="D1033" s="44" t="s">
        <v>246</v>
      </c>
      <c r="E1033" s="44">
        <v>9</v>
      </c>
      <c r="F1033" s="44" t="s">
        <v>2</v>
      </c>
      <c r="G1033" s="43" t="str">
        <f>IFERROR(VLOOKUP(A1033,'[1]MC Masterlist 2026-09-12'!$B:$M, 3, 0),"")</f>
        <v>HONDA</v>
      </c>
      <c r="H1033" s="45">
        <f>IFERROR(VLOOKUP(A1033,'[1]MC Masterlist 2026-09-12'!$B:$M, 6, 0),"")</f>
        <v>73170</v>
      </c>
      <c r="I1033" s="46">
        <v>1</v>
      </c>
      <c r="J1033" s="46">
        <v>1</v>
      </c>
      <c r="K1033" s="46">
        <v>2</v>
      </c>
      <c r="L1033" s="46">
        <f t="shared" si="240"/>
        <v>4</v>
      </c>
      <c r="M1033" s="46">
        <f t="shared" si="241"/>
        <v>1.3333333333333333</v>
      </c>
      <c r="N1033" s="45">
        <f t="shared" si="242"/>
        <v>292680</v>
      </c>
      <c r="O1033" s="45">
        <f t="shared" si="243"/>
        <v>97560</v>
      </c>
      <c r="P1033" s="46">
        <f t="shared" si="244"/>
        <v>4.4444444444444439E-2</v>
      </c>
      <c r="Q1033" s="46">
        <v>1</v>
      </c>
      <c r="R1033" s="45">
        <f t="shared" si="245"/>
        <v>73170</v>
      </c>
      <c r="S1033" s="46">
        <f t="shared" si="246"/>
        <v>22.5</v>
      </c>
      <c r="T1033" s="46">
        <f>IFERROR(VLOOKUP(A1033,'[1]Re-order'!$A:$Q,17,0),"")</f>
        <v>76.153846153846146</v>
      </c>
      <c r="U1033" s="46">
        <f>IFERROR(VLOOKUP(A1033,'[1]MC Masterlist 2026-09-12'!$B:$M, 10, 0),0)</f>
        <v>15</v>
      </c>
      <c r="V1033" s="46">
        <f>IFERROR(VLOOKUP(A1033,'[1]MC Masterlist 2026-09-12'!$B:$M, 11, 0),0)</f>
        <v>15</v>
      </c>
      <c r="W1033" s="46">
        <f t="shared" si="247"/>
        <v>30</v>
      </c>
      <c r="X1033" s="46">
        <f t="shared" si="248"/>
        <v>29.333333333333332</v>
      </c>
      <c r="Y1033" s="46">
        <f>IFERROR(IF(OR(C1033="AREA I",C1033="AREA V"),7,VLOOKUP(A1033,'[1]MC Masterlist 2026-09-12'!$B:$M, 12, 0)),0)</f>
        <v>30</v>
      </c>
      <c r="Z1033" s="46">
        <f t="shared" si="249"/>
        <v>0.66666666666666663</v>
      </c>
      <c r="AA1033" s="46">
        <f t="shared" si="250"/>
        <v>1.3333333333333333</v>
      </c>
      <c r="AB1033" s="46">
        <f t="shared" si="251"/>
        <v>1.3037037037037036</v>
      </c>
      <c r="AC1033" s="46">
        <f t="shared" si="252"/>
        <v>1.3333333333333333</v>
      </c>
      <c r="AD1033" s="44" t="str">
        <f t="shared" si="253"/>
        <v>Re-order</v>
      </c>
      <c r="AE1033" s="44" t="str">
        <f>IFERROR(VLOOKUP(A1033,'[1]Re-order'!$A:$AA,27,0),"")</f>
        <v/>
      </c>
      <c r="AF1033" s="46">
        <f t="shared" si="254"/>
        <v>0.33333333333333326</v>
      </c>
      <c r="AG1033" s="46">
        <f>SUMIFS('[1]Raw Inventory'!D:D,'[1]Raw Inventory'!C:C,"GREATWALL",'[1]Raw Inventory'!B:B,A1033)</f>
        <v>13</v>
      </c>
      <c r="AH1033" s="46">
        <f>SUMIFS('[1]Raw Inventory'!D:D,'[1]Raw Inventory'!C:C,"DUARTE",'[1]Raw Inventory'!B:B,A1033)</f>
        <v>0</v>
      </c>
      <c r="AI1033" s="46"/>
      <c r="AJ1033" s="46"/>
      <c r="AK1033" s="43"/>
      <c r="AL1033" s="43"/>
      <c r="AM1033" s="43"/>
      <c r="AN1033" s="43"/>
      <c r="AO1033" s="43"/>
      <c r="AP1033" s="43"/>
      <c r="AQ1033" s="43"/>
      <c r="AR1033" s="43"/>
      <c r="AS1033" s="43"/>
      <c r="AT1033" s="43"/>
    </row>
    <row r="1034" spans="1:46">
      <c r="A1034" s="43" t="s">
        <v>48</v>
      </c>
      <c r="B1034" s="43" t="s">
        <v>155</v>
      </c>
      <c r="C1034" s="43" t="s">
        <v>152</v>
      </c>
      <c r="D1034" s="44" t="s">
        <v>237</v>
      </c>
      <c r="E1034" s="44">
        <v>27</v>
      </c>
      <c r="F1034" s="44" t="s">
        <v>3</v>
      </c>
      <c r="G1034" s="43" t="str">
        <f>IFERROR(VLOOKUP(A1034,'[1]MC Masterlist 2026-09-12'!$B:$M, 3, 0),"")</f>
        <v>SUZUKI</v>
      </c>
      <c r="H1034" s="45">
        <f>IFERROR(VLOOKUP(A1034,'[1]MC Masterlist 2026-09-12'!$B:$M, 6, 0),"")</f>
        <v>82687</v>
      </c>
      <c r="I1034" s="46">
        <v>0</v>
      </c>
      <c r="J1034" s="46">
        <v>0</v>
      </c>
      <c r="K1034" s="46">
        <v>0</v>
      </c>
      <c r="L1034" s="46">
        <f t="shared" si="240"/>
        <v>0</v>
      </c>
      <c r="M1034" s="46">
        <f t="shared" si="241"/>
        <v>0</v>
      </c>
      <c r="N1034" s="45">
        <f t="shared" si="242"/>
        <v>0</v>
      </c>
      <c r="O1034" s="45">
        <f t="shared" si="243"/>
        <v>0</v>
      </c>
      <c r="P1034" s="46">
        <f t="shared" si="244"/>
        <v>0</v>
      </c>
      <c r="Q1034" s="46">
        <v>1</v>
      </c>
      <c r="R1034" s="45">
        <f t="shared" si="245"/>
        <v>82687</v>
      </c>
      <c r="S1034" s="46">
        <f t="shared" si="246"/>
        <v>0</v>
      </c>
      <c r="T1034" s="46">
        <f>IFERROR(VLOOKUP(A1034,'[1]Re-order'!$A:$Q,17,0),"")</f>
        <v>303.75</v>
      </c>
      <c r="U1034" s="46">
        <f>IFERROR(VLOOKUP(A1034,'[1]MC Masterlist 2026-09-12'!$B:$M, 10, 0),0)</f>
        <v>15</v>
      </c>
      <c r="V1034" s="46">
        <f>IFERROR(VLOOKUP(A1034,'[1]MC Masterlist 2026-09-12'!$B:$M, 11, 0),0)</f>
        <v>15</v>
      </c>
      <c r="W1034" s="46">
        <f t="shared" si="247"/>
        <v>30</v>
      </c>
      <c r="X1034" s="46">
        <f t="shared" si="248"/>
        <v>30</v>
      </c>
      <c r="Y1034" s="46">
        <f>IFERROR(IF(OR(C1034="AREA I",C1034="AREA V"),7,VLOOKUP(A1034,'[1]MC Masterlist 2026-09-12'!$B:$M, 12, 0)),0)</f>
        <v>30</v>
      </c>
      <c r="Z1034" s="46">
        <f t="shared" si="249"/>
        <v>0</v>
      </c>
      <c r="AA1034" s="46">
        <f t="shared" si="250"/>
        <v>0</v>
      </c>
      <c r="AB1034" s="46">
        <f t="shared" si="251"/>
        <v>0</v>
      </c>
      <c r="AC1034" s="46">
        <f t="shared" si="252"/>
        <v>0</v>
      </c>
      <c r="AD1034" s="44" t="str">
        <f t="shared" si="253"/>
        <v>Over</v>
      </c>
      <c r="AE1034" s="44" t="str">
        <f>IFERROR(VLOOKUP(A1034,'[1]Re-order'!$A:$AA,27,0),"")</f>
        <v>Over</v>
      </c>
      <c r="AF1034" s="46">
        <f t="shared" si="254"/>
        <v>-1</v>
      </c>
      <c r="AG1034" s="46">
        <f>SUMIFS('[1]Raw Inventory'!D:D,'[1]Raw Inventory'!C:C,"GREATWALL",'[1]Raw Inventory'!B:B,A1034)</f>
        <v>10</v>
      </c>
      <c r="AH1034" s="46">
        <f>SUMIFS('[1]Raw Inventory'!D:D,'[1]Raw Inventory'!C:C,"DUARTE",'[1]Raw Inventory'!B:B,A1034)</f>
        <v>0</v>
      </c>
      <c r="AI1034" s="46"/>
      <c r="AJ1034" s="46"/>
      <c r="AK1034" s="43"/>
      <c r="AL1034" s="43"/>
      <c r="AM1034" s="43"/>
      <c r="AN1034" s="43"/>
      <c r="AO1034" s="43"/>
      <c r="AP1034" s="43"/>
      <c r="AQ1034" s="43"/>
      <c r="AR1034" s="43"/>
      <c r="AS1034" s="43"/>
      <c r="AT1034" s="43"/>
    </row>
    <row r="1035" spans="1:46">
      <c r="A1035" s="43" t="s">
        <v>34</v>
      </c>
      <c r="B1035" s="43" t="s">
        <v>141</v>
      </c>
      <c r="C1035" s="43" t="s">
        <v>137</v>
      </c>
      <c r="D1035" s="44" t="s">
        <v>241</v>
      </c>
      <c r="E1035" s="44">
        <v>23</v>
      </c>
      <c r="F1035" s="44" t="s">
        <v>3</v>
      </c>
      <c r="G1035" s="43" t="str">
        <f>IFERROR(VLOOKUP(A1035,'[1]MC Masterlist 2026-09-12'!$B:$M, 3, 0),"")</f>
        <v>HONDA</v>
      </c>
      <c r="H1035" s="45">
        <f>IFERROR(VLOOKUP(A1035,'[1]MC Masterlist 2026-09-12'!$B:$M, 6, 0),"")</f>
        <v>101230</v>
      </c>
      <c r="I1035" s="46">
        <v>1</v>
      </c>
      <c r="J1035" s="46">
        <v>0</v>
      </c>
      <c r="K1035" s="46">
        <v>0</v>
      </c>
      <c r="L1035" s="46">
        <f t="shared" si="240"/>
        <v>1</v>
      </c>
      <c r="M1035" s="46">
        <f t="shared" si="241"/>
        <v>0.33333333333333331</v>
      </c>
      <c r="N1035" s="45">
        <f t="shared" si="242"/>
        <v>101230</v>
      </c>
      <c r="O1035" s="45">
        <f t="shared" si="243"/>
        <v>33743.333333333328</v>
      </c>
      <c r="P1035" s="46">
        <f t="shared" si="244"/>
        <v>1.111111111111111E-2</v>
      </c>
      <c r="Q1035" s="46">
        <v>0</v>
      </c>
      <c r="R1035" s="45">
        <f t="shared" si="245"/>
        <v>0</v>
      </c>
      <c r="S1035" s="46">
        <f t="shared" si="246"/>
        <v>0</v>
      </c>
      <c r="T1035" s="46">
        <f>IFERROR(VLOOKUP(A1035,'[1]Re-order'!$A:$Q,17,0),"")</f>
        <v>8.4375000000000018</v>
      </c>
      <c r="U1035" s="46">
        <f>IFERROR(VLOOKUP(A1035,'[1]MC Masterlist 2026-09-12'!$B:$M, 10, 0),0)</f>
        <v>15</v>
      </c>
      <c r="V1035" s="46">
        <f>IFERROR(VLOOKUP(A1035,'[1]MC Masterlist 2026-09-12'!$B:$M, 11, 0),0)</f>
        <v>15</v>
      </c>
      <c r="W1035" s="46">
        <f t="shared" si="247"/>
        <v>30</v>
      </c>
      <c r="X1035" s="46">
        <f t="shared" si="248"/>
        <v>6.833333333333333</v>
      </c>
      <c r="Y1035" s="46">
        <f>IFERROR(IF(OR(C1035="AREA I",C1035="AREA V"),7,VLOOKUP(A1035,'[1]MC Masterlist 2026-09-12'!$B:$M, 12, 0)),0)</f>
        <v>7</v>
      </c>
      <c r="Z1035" s="46">
        <f t="shared" si="249"/>
        <v>0.16666666666666666</v>
      </c>
      <c r="AA1035" s="46">
        <f t="shared" si="250"/>
        <v>0.33333333333333331</v>
      </c>
      <c r="AB1035" s="46">
        <f t="shared" si="251"/>
        <v>7.5925925925925911E-2</v>
      </c>
      <c r="AC1035" s="46">
        <f t="shared" si="252"/>
        <v>7.7777777777777765E-2</v>
      </c>
      <c r="AD1035" s="44" t="str">
        <f t="shared" si="253"/>
        <v>Stockout</v>
      </c>
      <c r="AE1035" s="44" t="str">
        <f>IFERROR(VLOOKUP(A1035,'[1]Re-order'!$A:$AA,27,0),"")</f>
        <v>Stockout</v>
      </c>
      <c r="AF1035" s="46">
        <f t="shared" si="254"/>
        <v>7.7777777777777765E-2</v>
      </c>
      <c r="AG1035" s="46">
        <f>SUMIFS('[1]Raw Inventory'!D:D,'[1]Raw Inventory'!C:C,"GREATWALL",'[1]Raw Inventory'!B:B,A1035)</f>
        <v>1</v>
      </c>
      <c r="AH1035" s="46">
        <f>SUMIFS('[1]Raw Inventory'!D:D,'[1]Raw Inventory'!C:C,"DUARTE",'[1]Raw Inventory'!B:B,A1035)</f>
        <v>0</v>
      </c>
      <c r="AI1035" s="46"/>
      <c r="AJ1035" s="46"/>
      <c r="AK1035" s="43"/>
      <c r="AL1035" s="43"/>
      <c r="AM1035" s="43"/>
      <c r="AN1035" s="43"/>
      <c r="AO1035" s="43"/>
      <c r="AP1035" s="43"/>
      <c r="AQ1035" s="43"/>
      <c r="AR1035" s="43"/>
      <c r="AS1035" s="43"/>
      <c r="AT1035" s="43"/>
    </row>
    <row r="1036" spans="1:46">
      <c r="A1036" s="43" t="s">
        <v>76</v>
      </c>
      <c r="B1036" s="43" t="s">
        <v>138</v>
      </c>
      <c r="C1036" s="43" t="s">
        <v>137</v>
      </c>
      <c r="D1036" s="44" t="s">
        <v>229</v>
      </c>
      <c r="E1036" s="44">
        <v>23</v>
      </c>
      <c r="F1036" s="44" t="s">
        <v>3</v>
      </c>
      <c r="G1036" s="43" t="str">
        <f>IFERROR(VLOOKUP(A1036,'[1]MC Masterlist 2026-09-12'!$B:$M, 3, 0),"")</f>
        <v>SUZUKI</v>
      </c>
      <c r="H1036" s="45">
        <f>IFERROR(VLOOKUP(A1036,'[1]MC Masterlist 2026-09-12'!$B:$M, 6, 0),"")</f>
        <v>62692</v>
      </c>
      <c r="I1036" s="46">
        <v>0</v>
      </c>
      <c r="J1036" s="46">
        <v>0</v>
      </c>
      <c r="K1036" s="46">
        <v>0</v>
      </c>
      <c r="L1036" s="46">
        <f t="shared" si="240"/>
        <v>0</v>
      </c>
      <c r="M1036" s="46">
        <f t="shared" si="241"/>
        <v>0</v>
      </c>
      <c r="N1036" s="45">
        <f t="shared" si="242"/>
        <v>0</v>
      </c>
      <c r="O1036" s="45">
        <f t="shared" si="243"/>
        <v>0</v>
      </c>
      <c r="P1036" s="46">
        <f t="shared" si="244"/>
        <v>0</v>
      </c>
      <c r="Q1036" s="46">
        <v>1</v>
      </c>
      <c r="R1036" s="45">
        <f t="shared" si="245"/>
        <v>62692</v>
      </c>
      <c r="S1036" s="46">
        <f t="shared" si="246"/>
        <v>0</v>
      </c>
      <c r="T1036" s="46">
        <f>IFERROR(VLOOKUP(A1036,'[1]Re-order'!$A:$Q,17,0),"")</f>
        <v>106.36363636363636</v>
      </c>
      <c r="U1036" s="46">
        <f>IFERROR(VLOOKUP(A1036,'[1]MC Masterlist 2026-09-12'!$B:$M, 10, 0),0)</f>
        <v>15</v>
      </c>
      <c r="V1036" s="46">
        <f>IFERROR(VLOOKUP(A1036,'[1]MC Masterlist 2026-09-12'!$B:$M, 11, 0),0)</f>
        <v>15</v>
      </c>
      <c r="W1036" s="46">
        <f t="shared" si="247"/>
        <v>30</v>
      </c>
      <c r="X1036" s="46">
        <f t="shared" si="248"/>
        <v>7</v>
      </c>
      <c r="Y1036" s="46">
        <f>IFERROR(IF(OR(C1036="AREA I",C1036="AREA V"),7,VLOOKUP(A1036,'[1]MC Masterlist 2026-09-12'!$B:$M, 12, 0)),0)</f>
        <v>7</v>
      </c>
      <c r="Z1036" s="46">
        <f t="shared" si="249"/>
        <v>0</v>
      </c>
      <c r="AA1036" s="46">
        <f t="shared" si="250"/>
        <v>0</v>
      </c>
      <c r="AB1036" s="46">
        <f t="shared" si="251"/>
        <v>0</v>
      </c>
      <c r="AC1036" s="46">
        <f t="shared" si="252"/>
        <v>0</v>
      </c>
      <c r="AD1036" s="44" t="str">
        <f t="shared" si="253"/>
        <v>Over</v>
      </c>
      <c r="AE1036" s="44" t="str">
        <f>IFERROR(VLOOKUP(A1036,'[1]Re-order'!$A:$AA,27,0),"")</f>
        <v>Over</v>
      </c>
      <c r="AF1036" s="46">
        <f t="shared" si="254"/>
        <v>-1</v>
      </c>
      <c r="AG1036" s="46">
        <f>SUMIFS('[1]Raw Inventory'!D:D,'[1]Raw Inventory'!C:C,"GREATWALL",'[1]Raw Inventory'!B:B,A1036)</f>
        <v>1</v>
      </c>
      <c r="AH1036" s="46">
        <f>SUMIFS('[1]Raw Inventory'!D:D,'[1]Raw Inventory'!C:C,"DUARTE",'[1]Raw Inventory'!B:B,A1036)</f>
        <v>0</v>
      </c>
      <c r="AI1036" s="46"/>
      <c r="AJ1036" s="46"/>
      <c r="AK1036" s="43"/>
      <c r="AL1036" s="43"/>
      <c r="AM1036" s="43"/>
      <c r="AN1036" s="43"/>
      <c r="AO1036" s="43"/>
      <c r="AP1036" s="43"/>
      <c r="AQ1036" s="43"/>
      <c r="AR1036" s="43"/>
      <c r="AS1036" s="43"/>
      <c r="AT1036" s="43"/>
    </row>
    <row r="1037" spans="1:46">
      <c r="A1037" s="43" t="s">
        <v>37</v>
      </c>
      <c r="B1037" s="43" t="s">
        <v>119</v>
      </c>
      <c r="C1037" s="43" t="s">
        <v>118</v>
      </c>
      <c r="D1037" s="44" t="s">
        <v>254</v>
      </c>
      <c r="E1037" s="44">
        <v>10</v>
      </c>
      <c r="F1037" s="44" t="s">
        <v>2</v>
      </c>
      <c r="G1037" s="43" t="str">
        <f>IFERROR(VLOOKUP(A1037,'[1]MC Masterlist 2026-09-12'!$B:$M, 3, 0),"")</f>
        <v>HONDA</v>
      </c>
      <c r="H1037" s="45">
        <f>IFERROR(VLOOKUP(A1037,'[1]MC Masterlist 2026-09-12'!$B:$M, 6, 0),"")</f>
        <v>74550</v>
      </c>
      <c r="I1037" s="46">
        <v>4</v>
      </c>
      <c r="J1037" s="46">
        <v>0</v>
      </c>
      <c r="K1037" s="46">
        <v>3</v>
      </c>
      <c r="L1037" s="46">
        <f t="shared" si="240"/>
        <v>7</v>
      </c>
      <c r="M1037" s="46">
        <f t="shared" si="241"/>
        <v>2.3333333333333335</v>
      </c>
      <c r="N1037" s="45">
        <f t="shared" si="242"/>
        <v>521850</v>
      </c>
      <c r="O1037" s="45">
        <f t="shared" si="243"/>
        <v>173950</v>
      </c>
      <c r="P1037" s="46">
        <f t="shared" si="244"/>
        <v>7.7777777777777779E-2</v>
      </c>
      <c r="Q1037" s="46">
        <v>1</v>
      </c>
      <c r="R1037" s="45">
        <f t="shared" si="245"/>
        <v>74550</v>
      </c>
      <c r="S1037" s="46">
        <f t="shared" si="246"/>
        <v>12.857142857142856</v>
      </c>
      <c r="T1037" s="46">
        <f>IFERROR(VLOOKUP(A1037,'[1]Re-order'!$A:$Q,17,0),"")</f>
        <v>33.652173913043477</v>
      </c>
      <c r="U1037" s="46">
        <f>IFERROR(VLOOKUP(A1037,'[1]MC Masterlist 2026-09-12'!$B:$M, 10, 0),0)</f>
        <v>15</v>
      </c>
      <c r="V1037" s="46">
        <f>IFERROR(VLOOKUP(A1037,'[1]MC Masterlist 2026-09-12'!$B:$M, 11, 0),0)</f>
        <v>15</v>
      </c>
      <c r="W1037" s="46">
        <f t="shared" si="247"/>
        <v>30</v>
      </c>
      <c r="X1037" s="46">
        <f t="shared" si="248"/>
        <v>28.833333333333332</v>
      </c>
      <c r="Y1037" s="46">
        <f>IFERROR(IF(OR(C1037="AREA I",C1037="AREA V"),7,VLOOKUP(A1037,'[1]MC Masterlist 2026-09-12'!$B:$M, 12, 0)),0)</f>
        <v>30</v>
      </c>
      <c r="Z1037" s="46">
        <f t="shared" si="249"/>
        <v>1.1666666666666667</v>
      </c>
      <c r="AA1037" s="46">
        <f t="shared" si="250"/>
        <v>2.3333333333333335</v>
      </c>
      <c r="AB1037" s="46">
        <f t="shared" si="251"/>
        <v>2.2425925925925925</v>
      </c>
      <c r="AC1037" s="46">
        <f t="shared" si="252"/>
        <v>2.3333333333333335</v>
      </c>
      <c r="AD1037" s="44" t="str">
        <f t="shared" si="253"/>
        <v>Stockout</v>
      </c>
      <c r="AE1037" s="44" t="str">
        <f>IFERROR(VLOOKUP(A1037,'[1]Re-order'!$A:$AA,27,0),"")</f>
        <v>Re-order</v>
      </c>
      <c r="AF1037" s="46">
        <f t="shared" si="254"/>
        <v>1.3333333333333335</v>
      </c>
      <c r="AG1037" s="46">
        <f>SUMIFS('[1]Raw Inventory'!D:D,'[1]Raw Inventory'!C:C,"GREATWALL",'[1]Raw Inventory'!B:B,A1037)</f>
        <v>28</v>
      </c>
      <c r="AH1037" s="46">
        <f>SUMIFS('[1]Raw Inventory'!D:D,'[1]Raw Inventory'!C:C,"DUARTE",'[1]Raw Inventory'!B:B,A1037)</f>
        <v>0</v>
      </c>
      <c r="AI1037" s="46"/>
      <c r="AJ1037" s="46"/>
      <c r="AK1037" s="43"/>
      <c r="AL1037" s="43"/>
      <c r="AM1037" s="43"/>
      <c r="AN1037" s="43"/>
      <c r="AO1037" s="43"/>
      <c r="AP1037" s="43"/>
      <c r="AQ1037" s="43"/>
      <c r="AR1037" s="43"/>
      <c r="AS1037" s="43"/>
      <c r="AT1037" s="43"/>
    </row>
    <row r="1038" spans="1:46">
      <c r="A1038" s="43" t="s">
        <v>16</v>
      </c>
      <c r="B1038" s="43" t="s">
        <v>121</v>
      </c>
      <c r="C1038" s="43" t="s">
        <v>118</v>
      </c>
      <c r="D1038" s="44" t="s">
        <v>255</v>
      </c>
      <c r="E1038" s="44">
        <v>14</v>
      </c>
      <c r="F1038" s="44" t="s">
        <v>2</v>
      </c>
      <c r="G1038" s="43" t="str">
        <f>IFERROR(VLOOKUP(A1038,'[1]MC Masterlist 2026-09-12'!$B:$M, 3, 0),"")</f>
        <v>HONDA</v>
      </c>
      <c r="H1038" s="45">
        <f>IFERROR(VLOOKUP(A1038,'[1]MC Masterlist 2026-09-12'!$B:$M, 6, 0),"")</f>
        <v>84394</v>
      </c>
      <c r="I1038" s="46">
        <v>0</v>
      </c>
      <c r="J1038" s="46">
        <v>3</v>
      </c>
      <c r="K1038" s="46">
        <v>0</v>
      </c>
      <c r="L1038" s="46">
        <f t="shared" si="240"/>
        <v>3</v>
      </c>
      <c r="M1038" s="46">
        <f t="shared" si="241"/>
        <v>1</v>
      </c>
      <c r="N1038" s="45">
        <f t="shared" si="242"/>
        <v>253182</v>
      </c>
      <c r="O1038" s="45">
        <f t="shared" si="243"/>
        <v>84394</v>
      </c>
      <c r="P1038" s="46">
        <f t="shared" si="244"/>
        <v>3.3333333333333333E-2</v>
      </c>
      <c r="Q1038" s="46"/>
      <c r="R1038" s="45">
        <f t="shared" si="245"/>
        <v>0</v>
      </c>
      <c r="S1038" s="46">
        <f t="shared" si="246"/>
        <v>0</v>
      </c>
      <c r="T1038" s="46">
        <f>IFERROR(VLOOKUP(A1038,'[1]Re-order'!$A:$Q,17,0),"")</f>
        <v>26.332665330661321</v>
      </c>
      <c r="U1038" s="46">
        <f>IFERROR(VLOOKUP(A1038,'[1]MC Masterlist 2026-09-12'!$B:$M, 10, 0),0)</f>
        <v>15</v>
      </c>
      <c r="V1038" s="46">
        <f>IFERROR(VLOOKUP(A1038,'[1]MC Masterlist 2026-09-12'!$B:$M, 11, 0),0)</f>
        <v>15</v>
      </c>
      <c r="W1038" s="46">
        <f t="shared" si="247"/>
        <v>30</v>
      </c>
      <c r="X1038" s="46">
        <f t="shared" si="248"/>
        <v>29.5</v>
      </c>
      <c r="Y1038" s="46">
        <f>IFERROR(IF(OR(C1038="AREA I",C1038="AREA V"),7,VLOOKUP(A1038,'[1]MC Masterlist 2026-09-12'!$B:$M, 12, 0)),0)</f>
        <v>30</v>
      </c>
      <c r="Z1038" s="46">
        <f t="shared" si="249"/>
        <v>0.5</v>
      </c>
      <c r="AA1038" s="46">
        <f t="shared" si="250"/>
        <v>1</v>
      </c>
      <c r="AB1038" s="46">
        <f t="shared" si="251"/>
        <v>0.98333333333333328</v>
      </c>
      <c r="AC1038" s="46">
        <f t="shared" si="252"/>
        <v>1</v>
      </c>
      <c r="AD1038" s="44" t="str">
        <f t="shared" si="253"/>
        <v>Stockout</v>
      </c>
      <c r="AE1038" s="44" t="str">
        <f>IFERROR(VLOOKUP(A1038,'[1]Re-order'!$A:$AA,27,0),"")</f>
        <v>Stockout</v>
      </c>
      <c r="AF1038" s="46">
        <f t="shared" si="254"/>
        <v>1</v>
      </c>
      <c r="AG1038" s="46">
        <f>SUMIFS('[1]Raw Inventory'!D:D,'[1]Raw Inventory'!C:C,"GREATWALL",'[1]Raw Inventory'!B:B,A1038)</f>
        <v>58</v>
      </c>
      <c r="AH1038" s="46">
        <f>SUMIFS('[1]Raw Inventory'!D:D,'[1]Raw Inventory'!C:C,"DUARTE",'[1]Raw Inventory'!B:B,A1038)</f>
        <v>0</v>
      </c>
      <c r="AI1038" s="46"/>
      <c r="AJ1038" s="46"/>
      <c r="AK1038" s="43"/>
      <c r="AL1038" s="43"/>
      <c r="AM1038" s="43"/>
      <c r="AN1038" s="43"/>
      <c r="AO1038" s="43"/>
      <c r="AP1038" s="43"/>
      <c r="AQ1038" s="43"/>
      <c r="AR1038" s="43"/>
      <c r="AS1038" s="43"/>
      <c r="AT1038" s="43"/>
    </row>
    <row r="1039" spans="1:46">
      <c r="A1039" s="43" t="s">
        <v>14</v>
      </c>
      <c r="B1039" s="43" t="s">
        <v>112</v>
      </c>
      <c r="C1039" s="43" t="s">
        <v>109</v>
      </c>
      <c r="D1039" s="44" t="s">
        <v>227</v>
      </c>
      <c r="E1039" s="44">
        <v>1</v>
      </c>
      <c r="F1039" s="44" t="s">
        <v>0</v>
      </c>
      <c r="G1039" s="43" t="str">
        <f>IFERROR(VLOOKUP(A1039,'[1]MC Masterlist 2026-09-12'!$B:$M, 3, 0),"")</f>
        <v>HONDA</v>
      </c>
      <c r="H1039" s="45">
        <f>IFERROR(VLOOKUP(A1039,'[1]MC Masterlist 2026-09-12'!$B:$M, 6, 0),"")</f>
        <v>80070</v>
      </c>
      <c r="I1039" s="46">
        <v>11</v>
      </c>
      <c r="J1039" s="46">
        <v>4</v>
      </c>
      <c r="K1039" s="46">
        <v>10</v>
      </c>
      <c r="L1039" s="46">
        <f t="shared" si="240"/>
        <v>25</v>
      </c>
      <c r="M1039" s="46">
        <f t="shared" si="241"/>
        <v>8.3333333333333339</v>
      </c>
      <c r="N1039" s="45">
        <f t="shared" si="242"/>
        <v>2001750</v>
      </c>
      <c r="O1039" s="45">
        <f t="shared" si="243"/>
        <v>667250</v>
      </c>
      <c r="P1039" s="46">
        <f t="shared" si="244"/>
        <v>0.27777777777777779</v>
      </c>
      <c r="Q1039" s="46">
        <v>6</v>
      </c>
      <c r="R1039" s="45">
        <f t="shared" si="245"/>
        <v>480420</v>
      </c>
      <c r="S1039" s="46">
        <f t="shared" si="246"/>
        <v>21.599999999999998</v>
      </c>
      <c r="T1039" s="46">
        <f>IFERROR(VLOOKUP(A1039,'[1]Re-order'!$A:$Q,17,0),"")</f>
        <v>20.105787181082761</v>
      </c>
      <c r="U1039" s="46">
        <f>IFERROR(VLOOKUP(A1039,'[1]MC Masterlist 2026-09-12'!$B:$M, 10, 0),0)</f>
        <v>15</v>
      </c>
      <c r="V1039" s="46">
        <f>IFERROR(VLOOKUP(A1039,'[1]MC Masterlist 2026-09-12'!$B:$M, 11, 0),0)</f>
        <v>15</v>
      </c>
      <c r="W1039" s="46">
        <f t="shared" si="247"/>
        <v>30</v>
      </c>
      <c r="X1039" s="46">
        <f t="shared" si="248"/>
        <v>25.833333333333332</v>
      </c>
      <c r="Y1039" s="46">
        <f>IFERROR(IF(OR(C1039="AREA I",C1039="AREA V"),7,VLOOKUP(A1039,'[1]MC Masterlist 2026-09-12'!$B:$M, 12, 0)),0)</f>
        <v>30</v>
      </c>
      <c r="Z1039" s="46">
        <f t="shared" si="249"/>
        <v>4.166666666666667</v>
      </c>
      <c r="AA1039" s="46">
        <f t="shared" si="250"/>
        <v>8.3333333333333339</v>
      </c>
      <c r="AB1039" s="46">
        <f t="shared" si="251"/>
        <v>7.1759259259259256</v>
      </c>
      <c r="AC1039" s="46">
        <f t="shared" si="252"/>
        <v>8.3333333333333339</v>
      </c>
      <c r="AD1039" s="44" t="str">
        <f t="shared" si="253"/>
        <v>Re-order</v>
      </c>
      <c r="AE1039" s="44" t="str">
        <f>IFERROR(VLOOKUP(A1039,'[1]Re-order'!$A:$AA,27,0),"")</f>
        <v>Stockout</v>
      </c>
      <c r="AF1039" s="46">
        <f t="shared" si="254"/>
        <v>2.3333333333333339</v>
      </c>
      <c r="AG1039" s="46">
        <f>SUMIFS('[1]Raw Inventory'!D:D,'[1]Raw Inventory'!C:C,"GREATWALL",'[1]Raw Inventory'!B:B,A1039)</f>
        <v>176</v>
      </c>
      <c r="AH1039" s="46">
        <f>SUMIFS('[1]Raw Inventory'!D:D,'[1]Raw Inventory'!C:C,"DUARTE",'[1]Raw Inventory'!B:B,A1039)</f>
        <v>0</v>
      </c>
      <c r="AI1039" s="46"/>
      <c r="AJ1039" s="46"/>
      <c r="AK1039" s="43"/>
      <c r="AL1039" s="43"/>
      <c r="AM1039" s="43"/>
      <c r="AN1039" s="43"/>
      <c r="AO1039" s="43"/>
      <c r="AP1039" s="43"/>
      <c r="AQ1039" s="43"/>
      <c r="AR1039" s="43"/>
      <c r="AS1039" s="43"/>
      <c r="AT1039" s="43"/>
    </row>
    <row r="1040" spans="1:46">
      <c r="A1040" s="43" t="s">
        <v>31</v>
      </c>
      <c r="B1040" s="43" t="s">
        <v>155</v>
      </c>
      <c r="C1040" s="43" t="s">
        <v>152</v>
      </c>
      <c r="D1040" s="44" t="s">
        <v>229</v>
      </c>
      <c r="E1040" s="44">
        <v>25</v>
      </c>
      <c r="F1040" s="44" t="s">
        <v>3</v>
      </c>
      <c r="G1040" s="43" t="str">
        <f>IFERROR(VLOOKUP(A1040,'[1]MC Masterlist 2026-09-12'!$B:$M, 3, 0),"")</f>
        <v>KAWASAKI</v>
      </c>
      <c r="H1040" s="45">
        <f>IFERROR(VLOOKUP(A1040,'[1]MC Masterlist 2026-09-12'!$B:$M, 6, 0),"")</f>
        <v>59528</v>
      </c>
      <c r="I1040" s="46">
        <v>1</v>
      </c>
      <c r="J1040" s="46">
        <v>0</v>
      </c>
      <c r="K1040" s="46">
        <v>0</v>
      </c>
      <c r="L1040" s="46">
        <f t="shared" si="240"/>
        <v>1</v>
      </c>
      <c r="M1040" s="46">
        <f t="shared" si="241"/>
        <v>0.33333333333333331</v>
      </c>
      <c r="N1040" s="45">
        <f t="shared" si="242"/>
        <v>59528</v>
      </c>
      <c r="O1040" s="45">
        <f t="shared" si="243"/>
        <v>19842.666666666664</v>
      </c>
      <c r="P1040" s="46">
        <f t="shared" si="244"/>
        <v>1.111111111111111E-2</v>
      </c>
      <c r="Q1040" s="46">
        <v>1</v>
      </c>
      <c r="R1040" s="45">
        <f t="shared" si="245"/>
        <v>59528</v>
      </c>
      <c r="S1040" s="46">
        <f t="shared" si="246"/>
        <v>90.000000000000014</v>
      </c>
      <c r="T1040" s="46">
        <f>IFERROR(VLOOKUP(A1040,'[1]Re-order'!$A:$Q,17,0),"")</f>
        <v>95.869565217391298</v>
      </c>
      <c r="U1040" s="46">
        <f>IFERROR(VLOOKUP(A1040,'[1]MC Masterlist 2026-09-12'!$B:$M, 10, 0),0)</f>
        <v>15</v>
      </c>
      <c r="V1040" s="46">
        <f>IFERROR(VLOOKUP(A1040,'[1]MC Masterlist 2026-09-12'!$B:$M, 11, 0),0)</f>
        <v>15</v>
      </c>
      <c r="W1040" s="46">
        <f t="shared" si="247"/>
        <v>30</v>
      </c>
      <c r="X1040" s="46">
        <f t="shared" si="248"/>
        <v>29.833333333333332</v>
      </c>
      <c r="Y1040" s="46">
        <f>IFERROR(IF(OR(C1040="AREA I",C1040="AREA V"),7,VLOOKUP(A1040,'[1]MC Masterlist 2026-09-12'!$B:$M, 12, 0)),0)</f>
        <v>30</v>
      </c>
      <c r="Z1040" s="46">
        <f t="shared" si="249"/>
        <v>0.16666666666666666</v>
      </c>
      <c r="AA1040" s="46">
        <f t="shared" si="250"/>
        <v>0.33333333333333331</v>
      </c>
      <c r="AB1040" s="46">
        <f t="shared" si="251"/>
        <v>0.33148148148148143</v>
      </c>
      <c r="AC1040" s="46">
        <f t="shared" si="252"/>
        <v>0.33333333333333331</v>
      </c>
      <c r="AD1040" s="44" t="str">
        <f t="shared" si="253"/>
        <v>Over</v>
      </c>
      <c r="AE1040" s="44" t="str">
        <f>IFERROR(VLOOKUP(A1040,'[1]Re-order'!$A:$AA,27,0),"")</f>
        <v>Over</v>
      </c>
      <c r="AF1040" s="46">
        <f t="shared" si="254"/>
        <v>-0.66666666666666674</v>
      </c>
      <c r="AG1040" s="46">
        <f>SUMIFS('[1]Raw Inventory'!D:D,'[1]Raw Inventory'!C:C,"GREATWALL",'[1]Raw Inventory'!B:B,A1040)</f>
        <v>79</v>
      </c>
      <c r="AH1040" s="46">
        <f>SUMIFS('[1]Raw Inventory'!D:D,'[1]Raw Inventory'!C:C,"DUARTE",'[1]Raw Inventory'!B:B,A1040)</f>
        <v>0</v>
      </c>
      <c r="AI1040" s="46"/>
      <c r="AJ1040" s="46"/>
      <c r="AK1040" s="43"/>
      <c r="AL1040" s="43"/>
      <c r="AM1040" s="43"/>
      <c r="AN1040" s="43"/>
      <c r="AO1040" s="43"/>
      <c r="AP1040" s="43"/>
      <c r="AQ1040" s="43"/>
      <c r="AR1040" s="43"/>
      <c r="AS1040" s="43"/>
      <c r="AT1040" s="43"/>
    </row>
    <row r="1041" spans="1:46">
      <c r="A1041" s="43" t="s">
        <v>20</v>
      </c>
      <c r="B1041" s="43" t="s">
        <v>94</v>
      </c>
      <c r="C1041" s="43" t="s">
        <v>90</v>
      </c>
      <c r="D1041" s="44" t="s">
        <v>246</v>
      </c>
      <c r="E1041" s="44">
        <v>12</v>
      </c>
      <c r="F1041" s="44" t="s">
        <v>2</v>
      </c>
      <c r="G1041" s="43" t="str">
        <f>IFERROR(VLOOKUP(A1041,'[1]MC Masterlist 2026-09-12'!$B:$M, 3, 0),"")</f>
        <v>HONDA</v>
      </c>
      <c r="H1041" s="45">
        <f>IFERROR(VLOOKUP(A1041,'[1]MC Masterlist 2026-09-12'!$B:$M, 6, 0),"")</f>
        <v>69950</v>
      </c>
      <c r="I1041" s="46">
        <v>1</v>
      </c>
      <c r="J1041" s="46">
        <v>1</v>
      </c>
      <c r="K1041" s="46">
        <v>0</v>
      </c>
      <c r="L1041" s="46">
        <f t="shared" si="240"/>
        <v>2</v>
      </c>
      <c r="M1041" s="46">
        <f t="shared" si="241"/>
        <v>0.66666666666666663</v>
      </c>
      <c r="N1041" s="45">
        <f t="shared" si="242"/>
        <v>139900</v>
      </c>
      <c r="O1041" s="45">
        <f t="shared" si="243"/>
        <v>46633.333333333328</v>
      </c>
      <c r="P1041" s="46">
        <f t="shared" si="244"/>
        <v>2.222222222222222E-2</v>
      </c>
      <c r="Q1041" s="46">
        <v>3</v>
      </c>
      <c r="R1041" s="45">
        <f t="shared" si="245"/>
        <v>209850</v>
      </c>
      <c r="S1041" s="46">
        <f t="shared" si="246"/>
        <v>135.00000000000003</v>
      </c>
      <c r="T1041" s="46">
        <f>IFERROR(VLOOKUP(A1041,'[1]Re-order'!$A:$Q,17,0),"")</f>
        <v>75.775862068965523</v>
      </c>
      <c r="U1041" s="46">
        <f>IFERROR(VLOOKUP(A1041,'[1]MC Masterlist 2026-09-12'!$B:$M, 10, 0),0)</f>
        <v>15</v>
      </c>
      <c r="V1041" s="46">
        <f>IFERROR(VLOOKUP(A1041,'[1]MC Masterlist 2026-09-12'!$B:$M, 11, 0),0)</f>
        <v>15</v>
      </c>
      <c r="W1041" s="46">
        <f t="shared" si="247"/>
        <v>30</v>
      </c>
      <c r="X1041" s="46">
        <f t="shared" si="248"/>
        <v>29.666666666666668</v>
      </c>
      <c r="Y1041" s="46">
        <f>IFERROR(IF(OR(C1041="AREA I",C1041="AREA V"),7,VLOOKUP(A1041,'[1]MC Masterlist 2026-09-12'!$B:$M, 12, 0)),0)</f>
        <v>30</v>
      </c>
      <c r="Z1041" s="46">
        <f t="shared" si="249"/>
        <v>0.33333333333333331</v>
      </c>
      <c r="AA1041" s="46">
        <f t="shared" si="250"/>
        <v>0.66666666666666663</v>
      </c>
      <c r="AB1041" s="46">
        <f t="shared" si="251"/>
        <v>0.65925925925925921</v>
      </c>
      <c r="AC1041" s="46">
        <f t="shared" si="252"/>
        <v>0.66666666666666663</v>
      </c>
      <c r="AD1041" s="44" t="str">
        <f t="shared" si="253"/>
        <v>Over</v>
      </c>
      <c r="AE1041" s="44" t="str">
        <f>IFERROR(VLOOKUP(A1041,'[1]Re-order'!$A:$AA,27,0),"")</f>
        <v/>
      </c>
      <c r="AF1041" s="46">
        <f t="shared" si="254"/>
        <v>-2.3333333333333335</v>
      </c>
      <c r="AG1041" s="46">
        <f>SUMIFS('[1]Raw Inventory'!D:D,'[1]Raw Inventory'!C:C,"GREATWALL",'[1]Raw Inventory'!B:B,A1041)</f>
        <v>110</v>
      </c>
      <c r="AH1041" s="46">
        <f>SUMIFS('[1]Raw Inventory'!D:D,'[1]Raw Inventory'!C:C,"DUARTE",'[1]Raw Inventory'!B:B,A1041)</f>
        <v>0</v>
      </c>
      <c r="AI1041" s="46"/>
      <c r="AJ1041" s="46"/>
      <c r="AK1041" s="43"/>
      <c r="AL1041" s="43"/>
      <c r="AM1041" s="43"/>
      <c r="AN1041" s="43"/>
      <c r="AO1041" s="43"/>
      <c r="AP1041" s="43"/>
      <c r="AQ1041" s="43"/>
      <c r="AR1041" s="43"/>
      <c r="AS1041" s="43"/>
      <c r="AT1041" s="43"/>
    </row>
    <row r="1042" spans="1:46">
      <c r="A1042" s="43" t="s">
        <v>28</v>
      </c>
      <c r="B1042" s="43" t="s">
        <v>144</v>
      </c>
      <c r="C1042" s="43" t="s">
        <v>137</v>
      </c>
      <c r="D1042" s="44" t="s">
        <v>259</v>
      </c>
      <c r="E1042" s="44">
        <v>5</v>
      </c>
      <c r="F1042" s="44" t="s">
        <v>0</v>
      </c>
      <c r="G1042" s="43" t="str">
        <f>IFERROR(VLOOKUP(A1042,'[1]MC Masterlist 2026-09-12'!$B:$M, 3, 0),"")</f>
        <v>YAMAHA</v>
      </c>
      <c r="H1042" s="45">
        <f>IFERROR(VLOOKUP(A1042,'[1]MC Masterlist 2026-09-12'!$B:$M, 6, 0),"")</f>
        <v>147312</v>
      </c>
      <c r="I1042" s="46">
        <v>3</v>
      </c>
      <c r="J1042" s="46">
        <v>4</v>
      </c>
      <c r="K1042" s="46">
        <v>4</v>
      </c>
      <c r="L1042" s="46">
        <f t="shared" si="240"/>
        <v>11</v>
      </c>
      <c r="M1042" s="46">
        <f t="shared" si="241"/>
        <v>3.6666666666666665</v>
      </c>
      <c r="N1042" s="45">
        <f t="shared" si="242"/>
        <v>1620432</v>
      </c>
      <c r="O1042" s="45">
        <f t="shared" si="243"/>
        <v>540144</v>
      </c>
      <c r="P1042" s="46">
        <f t="shared" si="244"/>
        <v>0.12222222222222222</v>
      </c>
      <c r="Q1042" s="46"/>
      <c r="R1042" s="45">
        <f t="shared" si="245"/>
        <v>0</v>
      </c>
      <c r="S1042" s="46">
        <f t="shared" si="246"/>
        <v>0</v>
      </c>
      <c r="T1042" s="46">
        <f>IFERROR(VLOOKUP(A1042,'[1]Re-order'!$A:$Q,17,0),"")</f>
        <v>8.2417582417582427</v>
      </c>
      <c r="U1042" s="46">
        <f>IFERROR(VLOOKUP(A1042,'[1]MC Masterlist 2026-09-12'!$B:$M, 10, 0),0)</f>
        <v>15</v>
      </c>
      <c r="V1042" s="46">
        <f>IFERROR(VLOOKUP(A1042,'[1]MC Masterlist 2026-09-12'!$B:$M, 11, 0),0)</f>
        <v>15</v>
      </c>
      <c r="W1042" s="46">
        <f t="shared" si="247"/>
        <v>30</v>
      </c>
      <c r="X1042" s="46">
        <f t="shared" si="248"/>
        <v>5.166666666666667</v>
      </c>
      <c r="Y1042" s="46">
        <f>IFERROR(IF(OR(C1042="AREA I",C1042="AREA V"),7,VLOOKUP(A1042,'[1]MC Masterlist 2026-09-12'!$B:$M, 12, 0)),0)</f>
        <v>7</v>
      </c>
      <c r="Z1042" s="46">
        <f t="shared" si="249"/>
        <v>1.8333333333333333</v>
      </c>
      <c r="AA1042" s="46">
        <f t="shared" si="250"/>
        <v>3.6666666666666665</v>
      </c>
      <c r="AB1042" s="46">
        <f t="shared" si="251"/>
        <v>0.63148148148148153</v>
      </c>
      <c r="AC1042" s="46">
        <f t="shared" si="252"/>
        <v>0.85555555555555551</v>
      </c>
      <c r="AD1042" s="44" t="str">
        <f t="shared" si="253"/>
        <v>Stockout</v>
      </c>
      <c r="AE1042" s="44" t="str">
        <f>IFERROR(VLOOKUP(A1042,'[1]Re-order'!$A:$AA,27,0),"")</f>
        <v>Stockout</v>
      </c>
      <c r="AF1042" s="46">
        <f t="shared" si="254"/>
        <v>0.85555555555555551</v>
      </c>
      <c r="AG1042" s="46">
        <f>SUMIFS('[1]Raw Inventory'!D:D,'[1]Raw Inventory'!C:C,"GREATWALL",'[1]Raw Inventory'!B:B,A1042)</f>
        <v>0</v>
      </c>
      <c r="AH1042" s="46">
        <f>SUMIFS('[1]Raw Inventory'!D:D,'[1]Raw Inventory'!C:C,"DUARTE",'[1]Raw Inventory'!B:B,A1042)</f>
        <v>0</v>
      </c>
      <c r="AI1042" s="46"/>
      <c r="AJ1042" s="46"/>
      <c r="AK1042" s="43"/>
      <c r="AL1042" s="43"/>
      <c r="AM1042" s="43"/>
      <c r="AN1042" s="43"/>
      <c r="AO1042" s="43"/>
      <c r="AP1042" s="43"/>
      <c r="AQ1042" s="43"/>
      <c r="AR1042" s="43"/>
      <c r="AS1042" s="43"/>
      <c r="AT1042" s="43"/>
    </row>
    <row r="1043" spans="1:46">
      <c r="A1043" s="43" t="s">
        <v>20</v>
      </c>
      <c r="B1043" s="43" t="s">
        <v>110</v>
      </c>
      <c r="C1043" s="43" t="s">
        <v>109</v>
      </c>
      <c r="D1043" s="44" t="s">
        <v>228</v>
      </c>
      <c r="E1043" s="44">
        <v>20</v>
      </c>
      <c r="F1043" s="44" t="s">
        <v>2</v>
      </c>
      <c r="G1043" s="43" t="str">
        <f>IFERROR(VLOOKUP(A1043,'[1]MC Masterlist 2026-09-12'!$B:$M, 3, 0),"")</f>
        <v>HONDA</v>
      </c>
      <c r="H1043" s="45">
        <f>IFERROR(VLOOKUP(A1043,'[1]MC Masterlist 2026-09-12'!$B:$M, 6, 0),"")</f>
        <v>69950</v>
      </c>
      <c r="I1043" s="46">
        <v>0</v>
      </c>
      <c r="J1043" s="46">
        <v>2</v>
      </c>
      <c r="K1043" s="46">
        <v>0</v>
      </c>
      <c r="L1043" s="46">
        <f t="shared" si="240"/>
        <v>2</v>
      </c>
      <c r="M1043" s="46">
        <f t="shared" si="241"/>
        <v>0.66666666666666663</v>
      </c>
      <c r="N1043" s="45">
        <f t="shared" si="242"/>
        <v>139900</v>
      </c>
      <c r="O1043" s="45">
        <f t="shared" si="243"/>
        <v>46633.333333333328</v>
      </c>
      <c r="P1043" s="46">
        <f t="shared" si="244"/>
        <v>2.222222222222222E-2</v>
      </c>
      <c r="Q1043" s="46">
        <v>5</v>
      </c>
      <c r="R1043" s="45">
        <f t="shared" si="245"/>
        <v>349750</v>
      </c>
      <c r="S1043" s="46">
        <f t="shared" si="246"/>
        <v>225.00000000000003</v>
      </c>
      <c r="T1043" s="46">
        <f>IFERROR(VLOOKUP(A1043,'[1]Re-order'!$A:$Q,17,0),"")</f>
        <v>75.775862068965523</v>
      </c>
      <c r="U1043" s="46">
        <f>IFERROR(VLOOKUP(A1043,'[1]MC Masterlist 2026-09-12'!$B:$M, 10, 0),0)</f>
        <v>15</v>
      </c>
      <c r="V1043" s="46">
        <f>IFERROR(VLOOKUP(A1043,'[1]MC Masterlist 2026-09-12'!$B:$M, 11, 0),0)</f>
        <v>15</v>
      </c>
      <c r="W1043" s="46">
        <f t="shared" si="247"/>
        <v>30</v>
      </c>
      <c r="X1043" s="46">
        <f t="shared" si="248"/>
        <v>29.666666666666668</v>
      </c>
      <c r="Y1043" s="46">
        <f>IFERROR(IF(OR(C1043="AREA I",C1043="AREA V"),7,VLOOKUP(A1043,'[1]MC Masterlist 2026-09-12'!$B:$M, 12, 0)),0)</f>
        <v>30</v>
      </c>
      <c r="Z1043" s="46">
        <f t="shared" si="249"/>
        <v>0.33333333333333331</v>
      </c>
      <c r="AA1043" s="46">
        <f t="shared" si="250"/>
        <v>0.66666666666666663</v>
      </c>
      <c r="AB1043" s="46">
        <f t="shared" si="251"/>
        <v>0.65925925925925921</v>
      </c>
      <c r="AC1043" s="46">
        <f t="shared" si="252"/>
        <v>0.66666666666666663</v>
      </c>
      <c r="AD1043" s="44" t="str">
        <f t="shared" si="253"/>
        <v>Over</v>
      </c>
      <c r="AE1043" s="44" t="str">
        <f>IFERROR(VLOOKUP(A1043,'[1]Re-order'!$A:$AA,27,0),"")</f>
        <v/>
      </c>
      <c r="AF1043" s="46">
        <f t="shared" si="254"/>
        <v>-4.333333333333333</v>
      </c>
      <c r="AG1043" s="46">
        <f>SUMIFS('[1]Raw Inventory'!D:D,'[1]Raw Inventory'!C:C,"GREATWALL",'[1]Raw Inventory'!B:B,A1043)</f>
        <v>110</v>
      </c>
      <c r="AH1043" s="46">
        <f>SUMIFS('[1]Raw Inventory'!D:D,'[1]Raw Inventory'!C:C,"DUARTE",'[1]Raw Inventory'!B:B,A1043)</f>
        <v>0</v>
      </c>
      <c r="AI1043" s="46"/>
      <c r="AJ1043" s="46"/>
      <c r="AK1043" s="43"/>
      <c r="AL1043" s="43"/>
      <c r="AM1043" s="43"/>
      <c r="AN1043" s="43"/>
      <c r="AO1043" s="43"/>
      <c r="AP1043" s="43"/>
      <c r="AQ1043" s="43"/>
      <c r="AR1043" s="43"/>
      <c r="AS1043" s="43"/>
      <c r="AT1043" s="43"/>
    </row>
    <row r="1044" spans="1:46">
      <c r="A1044" s="43" t="s">
        <v>69</v>
      </c>
      <c r="B1044" s="43" t="s">
        <v>155</v>
      </c>
      <c r="C1044" s="43" t="s">
        <v>152</v>
      </c>
      <c r="D1044" s="44" t="s">
        <v>225</v>
      </c>
      <c r="E1044" s="44">
        <v>3</v>
      </c>
      <c r="F1044" s="44" t="s">
        <v>0</v>
      </c>
      <c r="G1044" s="43" t="str">
        <f>IFERROR(VLOOKUP(A1044,'[1]MC Masterlist 2026-09-12'!$B:$M, 3, 0),"")</f>
        <v>YAMAHA</v>
      </c>
      <c r="H1044" s="45">
        <f>IFERROR(VLOOKUP(A1044,'[1]MC Masterlist 2026-09-12'!$B:$M, 6, 0),"")</f>
        <v>54426</v>
      </c>
      <c r="I1044" s="46">
        <v>2</v>
      </c>
      <c r="J1044" s="46">
        <v>6</v>
      </c>
      <c r="K1044" s="46">
        <v>5</v>
      </c>
      <c r="L1044" s="46">
        <f t="shared" si="240"/>
        <v>13</v>
      </c>
      <c r="M1044" s="46">
        <f t="shared" si="241"/>
        <v>4.333333333333333</v>
      </c>
      <c r="N1044" s="45">
        <f t="shared" si="242"/>
        <v>707538</v>
      </c>
      <c r="O1044" s="45">
        <f t="shared" si="243"/>
        <v>235845.99999999997</v>
      </c>
      <c r="P1044" s="46">
        <f t="shared" si="244"/>
        <v>0.14444444444444443</v>
      </c>
      <c r="Q1044" s="46">
        <v>1</v>
      </c>
      <c r="R1044" s="45">
        <f t="shared" si="245"/>
        <v>54426</v>
      </c>
      <c r="S1044" s="46">
        <f t="shared" si="246"/>
        <v>6.9230769230769242</v>
      </c>
      <c r="T1044" s="46">
        <f>IFERROR(VLOOKUP(A1044,'[1]Re-order'!$A:$Q,17,0),"")</f>
        <v>62.307692307692314</v>
      </c>
      <c r="U1044" s="46">
        <f>IFERROR(VLOOKUP(A1044,'[1]MC Masterlist 2026-09-12'!$B:$M, 10, 0),0)</f>
        <v>15</v>
      </c>
      <c r="V1044" s="46">
        <f>IFERROR(VLOOKUP(A1044,'[1]MC Masterlist 2026-09-12'!$B:$M, 11, 0),0)</f>
        <v>15</v>
      </c>
      <c r="W1044" s="46">
        <f t="shared" si="247"/>
        <v>30</v>
      </c>
      <c r="X1044" s="46">
        <f t="shared" si="248"/>
        <v>27.833333333333332</v>
      </c>
      <c r="Y1044" s="46">
        <f>IFERROR(IF(OR(C1044="AREA I",C1044="AREA V"),7,VLOOKUP(A1044,'[1]MC Masterlist 2026-09-12'!$B:$M, 12, 0)),0)</f>
        <v>30</v>
      </c>
      <c r="Z1044" s="46">
        <f t="shared" si="249"/>
        <v>2.1666666666666665</v>
      </c>
      <c r="AA1044" s="46">
        <f t="shared" si="250"/>
        <v>4.333333333333333</v>
      </c>
      <c r="AB1044" s="46">
        <f t="shared" si="251"/>
        <v>4.0203703703703697</v>
      </c>
      <c r="AC1044" s="46">
        <f t="shared" si="252"/>
        <v>4.333333333333333</v>
      </c>
      <c r="AD1044" s="44" t="str">
        <f t="shared" si="253"/>
        <v>Stockout</v>
      </c>
      <c r="AE1044" s="44" t="str">
        <f>IFERROR(VLOOKUP(A1044,'[1]Re-order'!$A:$AA,27,0),"")</f>
        <v>Re-order</v>
      </c>
      <c r="AF1044" s="46">
        <f t="shared" si="254"/>
        <v>3.333333333333333</v>
      </c>
      <c r="AG1044" s="46">
        <f>SUMIFS('[1]Raw Inventory'!D:D,'[1]Raw Inventory'!C:C,"GREATWALL",'[1]Raw Inventory'!B:B,A1044)</f>
        <v>1</v>
      </c>
      <c r="AH1044" s="46">
        <f>SUMIFS('[1]Raw Inventory'!D:D,'[1]Raw Inventory'!C:C,"DUARTE",'[1]Raw Inventory'!B:B,A1044)</f>
        <v>0</v>
      </c>
      <c r="AI1044" s="46"/>
      <c r="AJ1044" s="46"/>
      <c r="AK1044" s="43"/>
      <c r="AL1044" s="43"/>
      <c r="AM1044" s="43"/>
      <c r="AN1044" s="43"/>
      <c r="AO1044" s="43"/>
      <c r="AP1044" s="43"/>
      <c r="AQ1044" s="43"/>
      <c r="AR1044" s="43"/>
      <c r="AS1044" s="43"/>
      <c r="AT1044" s="43"/>
    </row>
    <row r="1045" spans="1:46">
      <c r="A1045" s="43" t="s">
        <v>34</v>
      </c>
      <c r="B1045" s="43" t="s">
        <v>140</v>
      </c>
      <c r="C1045" s="43" t="s">
        <v>137</v>
      </c>
      <c r="D1045" s="44" t="s">
        <v>253</v>
      </c>
      <c r="E1045" s="44">
        <v>15</v>
      </c>
      <c r="F1045" s="44" t="s">
        <v>3</v>
      </c>
      <c r="G1045" s="43" t="str">
        <f>IFERROR(VLOOKUP(A1045,'[1]MC Masterlist 2026-09-12'!$B:$M, 3, 0),"")</f>
        <v>HONDA</v>
      </c>
      <c r="H1045" s="45">
        <f>IFERROR(VLOOKUP(A1045,'[1]MC Masterlist 2026-09-12'!$B:$M, 6, 0),"")</f>
        <v>101230</v>
      </c>
      <c r="I1045" s="46">
        <v>0</v>
      </c>
      <c r="J1045" s="46">
        <v>0</v>
      </c>
      <c r="K1045" s="46">
        <v>0</v>
      </c>
      <c r="L1045" s="46">
        <f t="shared" si="240"/>
        <v>0</v>
      </c>
      <c r="M1045" s="46">
        <f t="shared" si="241"/>
        <v>0</v>
      </c>
      <c r="N1045" s="45">
        <f t="shared" si="242"/>
        <v>0</v>
      </c>
      <c r="O1045" s="45">
        <f t="shared" si="243"/>
        <v>0</v>
      </c>
      <c r="P1045" s="46">
        <f t="shared" si="244"/>
        <v>0</v>
      </c>
      <c r="Q1045" s="46">
        <v>1</v>
      </c>
      <c r="R1045" s="45">
        <f t="shared" si="245"/>
        <v>101230</v>
      </c>
      <c r="S1045" s="46">
        <f t="shared" si="246"/>
        <v>0</v>
      </c>
      <c r="T1045" s="46">
        <f>IFERROR(VLOOKUP(A1045,'[1]Re-order'!$A:$Q,17,0),"")</f>
        <v>8.4375000000000018</v>
      </c>
      <c r="U1045" s="46">
        <f>IFERROR(VLOOKUP(A1045,'[1]MC Masterlist 2026-09-12'!$B:$M, 10, 0),0)</f>
        <v>15</v>
      </c>
      <c r="V1045" s="46">
        <f>IFERROR(VLOOKUP(A1045,'[1]MC Masterlist 2026-09-12'!$B:$M, 11, 0),0)</f>
        <v>15</v>
      </c>
      <c r="W1045" s="46">
        <f t="shared" si="247"/>
        <v>30</v>
      </c>
      <c r="X1045" s="46">
        <f t="shared" si="248"/>
        <v>7</v>
      </c>
      <c r="Y1045" s="46">
        <f>IFERROR(IF(OR(C1045="AREA I",C1045="AREA V"),7,VLOOKUP(A1045,'[1]MC Masterlist 2026-09-12'!$B:$M, 12, 0)),0)</f>
        <v>7</v>
      </c>
      <c r="Z1045" s="46">
        <f t="shared" si="249"/>
        <v>0</v>
      </c>
      <c r="AA1045" s="46">
        <f t="shared" si="250"/>
        <v>0</v>
      </c>
      <c r="AB1045" s="46">
        <f t="shared" si="251"/>
        <v>0</v>
      </c>
      <c r="AC1045" s="46">
        <f t="shared" si="252"/>
        <v>0</v>
      </c>
      <c r="AD1045" s="44" t="str">
        <f t="shared" si="253"/>
        <v>Over</v>
      </c>
      <c r="AE1045" s="44" t="str">
        <f>IFERROR(VLOOKUP(A1045,'[1]Re-order'!$A:$AA,27,0),"")</f>
        <v>Stockout</v>
      </c>
      <c r="AF1045" s="46">
        <f t="shared" si="254"/>
        <v>-1</v>
      </c>
      <c r="AG1045" s="46">
        <f>SUMIFS('[1]Raw Inventory'!D:D,'[1]Raw Inventory'!C:C,"GREATWALL",'[1]Raw Inventory'!B:B,A1045)</f>
        <v>1</v>
      </c>
      <c r="AH1045" s="46">
        <f>SUMIFS('[1]Raw Inventory'!D:D,'[1]Raw Inventory'!C:C,"DUARTE",'[1]Raw Inventory'!B:B,A1045)</f>
        <v>0</v>
      </c>
      <c r="AI1045" s="46"/>
      <c r="AJ1045" s="46"/>
      <c r="AK1045" s="43"/>
      <c r="AL1045" s="43"/>
      <c r="AM1045" s="43"/>
      <c r="AN1045" s="43"/>
      <c r="AO1045" s="43"/>
      <c r="AP1045" s="43"/>
      <c r="AQ1045" s="43"/>
      <c r="AR1045" s="43"/>
      <c r="AS1045" s="43"/>
      <c r="AT1045" s="43"/>
    </row>
    <row r="1046" spans="1:46">
      <c r="A1046" s="43" t="s">
        <v>50</v>
      </c>
      <c r="B1046" s="43" t="s">
        <v>162</v>
      </c>
      <c r="C1046" s="43" t="s">
        <v>159</v>
      </c>
      <c r="D1046" s="44" t="s">
        <v>221</v>
      </c>
      <c r="E1046" s="44">
        <v>19</v>
      </c>
      <c r="F1046" s="44" t="s">
        <v>3</v>
      </c>
      <c r="G1046" s="43" t="str">
        <f>IFERROR(VLOOKUP(A1046,'[1]MC Masterlist 2026-09-12'!$B:$M, 3, 0),"")</f>
        <v>YAMAHA</v>
      </c>
      <c r="H1046" s="45">
        <f>IFERROR(VLOOKUP(A1046,'[1]MC Masterlist 2026-09-12'!$B:$M, 6, 0),"")</f>
        <v>78957</v>
      </c>
      <c r="I1046" s="46">
        <v>0</v>
      </c>
      <c r="J1046" s="46">
        <v>1</v>
      </c>
      <c r="K1046" s="46">
        <v>0</v>
      </c>
      <c r="L1046" s="46">
        <f t="shared" si="240"/>
        <v>1</v>
      </c>
      <c r="M1046" s="46">
        <f t="shared" si="241"/>
        <v>0.33333333333333331</v>
      </c>
      <c r="N1046" s="45">
        <f t="shared" si="242"/>
        <v>78957</v>
      </c>
      <c r="O1046" s="45">
        <f t="shared" si="243"/>
        <v>26319</v>
      </c>
      <c r="P1046" s="46">
        <f t="shared" si="244"/>
        <v>1.111111111111111E-2</v>
      </c>
      <c r="Q1046" s="46">
        <v>1</v>
      </c>
      <c r="R1046" s="45">
        <f t="shared" si="245"/>
        <v>78957</v>
      </c>
      <c r="S1046" s="46">
        <f t="shared" si="246"/>
        <v>90</v>
      </c>
      <c r="T1046" s="46">
        <f>IFERROR(VLOOKUP(A1046,'[1]Re-order'!$A:$Q,17,0),"")</f>
        <v>118.125</v>
      </c>
      <c r="U1046" s="46">
        <f>IFERROR(VLOOKUP(A1046,'[1]MC Masterlist 2026-09-12'!$B:$M, 10, 0),0)</f>
        <v>15</v>
      </c>
      <c r="V1046" s="46">
        <f>IFERROR(VLOOKUP(A1046,'[1]MC Masterlist 2026-09-12'!$B:$M, 11, 0),0)</f>
        <v>15</v>
      </c>
      <c r="W1046" s="46">
        <f t="shared" si="247"/>
        <v>30</v>
      </c>
      <c r="X1046" s="46">
        <f t="shared" si="248"/>
        <v>29.833333333333332</v>
      </c>
      <c r="Y1046" s="46">
        <f>IFERROR(IF(OR(C1046="AREA I",C1046="AREA V"),7,VLOOKUP(A1046,'[1]MC Masterlist 2026-09-12'!$B:$M, 12, 0)),0)</f>
        <v>30</v>
      </c>
      <c r="Z1046" s="46">
        <f t="shared" si="249"/>
        <v>0.16666666666666666</v>
      </c>
      <c r="AA1046" s="46">
        <f t="shared" si="250"/>
        <v>0.33333333333333331</v>
      </c>
      <c r="AB1046" s="46">
        <f t="shared" si="251"/>
        <v>0.33148148148148143</v>
      </c>
      <c r="AC1046" s="46">
        <f t="shared" si="252"/>
        <v>0.33333333333333331</v>
      </c>
      <c r="AD1046" s="44" t="str">
        <f t="shared" si="253"/>
        <v>Over</v>
      </c>
      <c r="AE1046" s="44" t="str">
        <f>IFERROR(VLOOKUP(A1046,'[1]Re-order'!$A:$AA,27,0),"")</f>
        <v>Over</v>
      </c>
      <c r="AF1046" s="46">
        <f t="shared" si="254"/>
        <v>-0.66666666666666674</v>
      </c>
      <c r="AG1046" s="46">
        <f>SUMIFS('[1]Raw Inventory'!D:D,'[1]Raw Inventory'!C:C,"GREATWALL",'[1]Raw Inventory'!B:B,A1046)</f>
        <v>23</v>
      </c>
      <c r="AH1046" s="46">
        <f>SUMIFS('[1]Raw Inventory'!D:D,'[1]Raw Inventory'!C:C,"DUARTE",'[1]Raw Inventory'!B:B,A1046)</f>
        <v>0</v>
      </c>
      <c r="AI1046" s="46"/>
      <c r="AJ1046" s="46"/>
      <c r="AK1046" s="43"/>
      <c r="AL1046" s="43"/>
      <c r="AM1046" s="43"/>
      <c r="AN1046" s="43"/>
      <c r="AO1046" s="43"/>
      <c r="AP1046" s="43"/>
      <c r="AQ1046" s="43"/>
      <c r="AR1046" s="43"/>
      <c r="AS1046" s="43"/>
      <c r="AT1046" s="43"/>
    </row>
    <row r="1047" spans="1:46">
      <c r="A1047" s="43" t="s">
        <v>44</v>
      </c>
      <c r="B1047" s="43" t="s">
        <v>113</v>
      </c>
      <c r="C1047" s="43" t="s">
        <v>109</v>
      </c>
      <c r="D1047" s="44" t="s">
        <v>223</v>
      </c>
      <c r="E1047" s="44">
        <v>22</v>
      </c>
      <c r="F1047" s="44" t="s">
        <v>3</v>
      </c>
      <c r="G1047" s="43" t="str">
        <f>IFERROR(VLOOKUP(A1047,'[1]MC Masterlist 2026-09-12'!$B:$M, 3, 0),"")</f>
        <v>YAMAHA</v>
      </c>
      <c r="H1047" s="45">
        <f>IFERROR(VLOOKUP(A1047,'[1]MC Masterlist 2026-09-12'!$B:$M, 6, 0),"")</f>
        <v>165912</v>
      </c>
      <c r="I1047" s="46">
        <v>1</v>
      </c>
      <c r="J1047" s="46">
        <v>0</v>
      </c>
      <c r="K1047" s="46">
        <v>0</v>
      </c>
      <c r="L1047" s="46">
        <f t="shared" si="240"/>
        <v>1</v>
      </c>
      <c r="M1047" s="46">
        <f t="shared" si="241"/>
        <v>0.33333333333333331</v>
      </c>
      <c r="N1047" s="45">
        <f t="shared" si="242"/>
        <v>165912</v>
      </c>
      <c r="O1047" s="45">
        <f t="shared" si="243"/>
        <v>55304</v>
      </c>
      <c r="P1047" s="46">
        <f t="shared" si="244"/>
        <v>1.111111111111111E-2</v>
      </c>
      <c r="Q1047" s="46"/>
      <c r="R1047" s="45">
        <f t="shared" si="245"/>
        <v>0</v>
      </c>
      <c r="S1047" s="46">
        <f t="shared" si="246"/>
        <v>0</v>
      </c>
      <c r="T1047" s="46">
        <f>IFERROR(VLOOKUP(A1047,'[1]Re-order'!$A:$Q,17,0),"")</f>
        <v>10.588235294117649</v>
      </c>
      <c r="U1047" s="46">
        <f>IFERROR(VLOOKUP(A1047,'[1]MC Masterlist 2026-09-12'!$B:$M, 10, 0),0)</f>
        <v>15</v>
      </c>
      <c r="V1047" s="46">
        <f>IFERROR(VLOOKUP(A1047,'[1]MC Masterlist 2026-09-12'!$B:$M, 11, 0),0)</f>
        <v>15</v>
      </c>
      <c r="W1047" s="46">
        <f t="shared" si="247"/>
        <v>30</v>
      </c>
      <c r="X1047" s="46">
        <f t="shared" si="248"/>
        <v>29.833333333333332</v>
      </c>
      <c r="Y1047" s="46">
        <f>IFERROR(IF(OR(C1047="AREA I",C1047="AREA V"),7,VLOOKUP(A1047,'[1]MC Masterlist 2026-09-12'!$B:$M, 12, 0)),0)</f>
        <v>30</v>
      </c>
      <c r="Z1047" s="46">
        <f t="shared" si="249"/>
        <v>0.16666666666666666</v>
      </c>
      <c r="AA1047" s="46">
        <f t="shared" si="250"/>
        <v>0.33333333333333331</v>
      </c>
      <c r="AB1047" s="46">
        <f t="shared" si="251"/>
        <v>0.33148148148148143</v>
      </c>
      <c r="AC1047" s="46">
        <f t="shared" si="252"/>
        <v>0.33333333333333331</v>
      </c>
      <c r="AD1047" s="44" t="str">
        <f t="shared" si="253"/>
        <v>Stockout</v>
      </c>
      <c r="AE1047" s="44" t="str">
        <f>IFERROR(VLOOKUP(A1047,'[1]Re-order'!$A:$AA,27,0),"")</f>
        <v>Stockout</v>
      </c>
      <c r="AF1047" s="46">
        <f t="shared" si="254"/>
        <v>0.33333333333333331</v>
      </c>
      <c r="AG1047" s="46">
        <f>SUMIFS('[1]Raw Inventory'!D:D,'[1]Raw Inventory'!C:C,"GREATWALL",'[1]Raw Inventory'!B:B,A1047)</f>
        <v>0</v>
      </c>
      <c r="AH1047" s="46">
        <f>SUMIFS('[1]Raw Inventory'!D:D,'[1]Raw Inventory'!C:C,"DUARTE",'[1]Raw Inventory'!B:B,A1047)</f>
        <v>0</v>
      </c>
      <c r="AI1047" s="46"/>
      <c r="AJ1047" s="46"/>
      <c r="AK1047" s="43"/>
      <c r="AL1047" s="43"/>
      <c r="AM1047" s="43"/>
      <c r="AN1047" s="43"/>
      <c r="AO1047" s="43"/>
      <c r="AP1047" s="43"/>
      <c r="AQ1047" s="43"/>
      <c r="AR1047" s="43"/>
      <c r="AS1047" s="43"/>
      <c r="AT1047" s="43"/>
    </row>
    <row r="1048" spans="1:46">
      <c r="A1048" s="43" t="s">
        <v>50</v>
      </c>
      <c r="B1048" s="43" t="s">
        <v>248</v>
      </c>
      <c r="C1048" s="43"/>
      <c r="D1048" s="44" t="s">
        <v>238</v>
      </c>
      <c r="E1048" s="44">
        <v>1</v>
      </c>
      <c r="F1048" s="44" t="s">
        <v>0</v>
      </c>
      <c r="G1048" s="43" t="str">
        <f>IFERROR(VLOOKUP(A1048,'[1]MC Masterlist 2026-09-12'!$B:$M, 3, 0),"")</f>
        <v>YAMAHA</v>
      </c>
      <c r="H1048" s="45">
        <f>IFERROR(VLOOKUP(A1048,'[1]MC Masterlist 2026-09-12'!$B:$M, 6, 0),"")</f>
        <v>78957</v>
      </c>
      <c r="I1048" s="46">
        <v>0</v>
      </c>
      <c r="J1048" s="46">
        <v>0</v>
      </c>
      <c r="K1048" s="46">
        <v>0</v>
      </c>
      <c r="L1048" s="46">
        <f t="shared" si="240"/>
        <v>0</v>
      </c>
      <c r="M1048" s="46">
        <f t="shared" si="241"/>
        <v>0</v>
      </c>
      <c r="N1048" s="45">
        <f t="shared" si="242"/>
        <v>0</v>
      </c>
      <c r="O1048" s="45">
        <f t="shared" si="243"/>
        <v>0</v>
      </c>
      <c r="P1048" s="46">
        <f t="shared" si="244"/>
        <v>0</v>
      </c>
      <c r="Q1048" s="46">
        <v>1</v>
      </c>
      <c r="R1048" s="45">
        <f t="shared" si="245"/>
        <v>78957</v>
      </c>
      <c r="S1048" s="46">
        <f t="shared" si="246"/>
        <v>0</v>
      </c>
      <c r="T1048" s="46">
        <f>IFERROR(VLOOKUP(A1048,'[1]Re-order'!$A:$Q,17,0),"")</f>
        <v>118.125</v>
      </c>
      <c r="U1048" s="46">
        <f>IFERROR(VLOOKUP(A1048,'[1]MC Masterlist 2026-09-12'!$B:$M, 10, 0),0)</f>
        <v>15</v>
      </c>
      <c r="V1048" s="46">
        <f>IFERROR(VLOOKUP(A1048,'[1]MC Masterlist 2026-09-12'!$B:$M, 11, 0),0)</f>
        <v>15</v>
      </c>
      <c r="W1048" s="46">
        <f t="shared" si="247"/>
        <v>30</v>
      </c>
      <c r="X1048" s="46">
        <f t="shared" si="248"/>
        <v>30</v>
      </c>
      <c r="Y1048" s="46">
        <f>IFERROR(IF(OR(C1048="AREA I",C1048="AREA V"),7,VLOOKUP(A1048,'[1]MC Masterlist 2026-09-12'!$B:$M, 12, 0)),0)</f>
        <v>30</v>
      </c>
      <c r="Z1048" s="46">
        <f t="shared" si="249"/>
        <v>0</v>
      </c>
      <c r="AA1048" s="46">
        <f t="shared" si="250"/>
        <v>0</v>
      </c>
      <c r="AB1048" s="46">
        <f t="shared" si="251"/>
        <v>0</v>
      </c>
      <c r="AC1048" s="46">
        <f t="shared" si="252"/>
        <v>0</v>
      </c>
      <c r="AD1048" s="44" t="str">
        <f t="shared" si="253"/>
        <v>Over</v>
      </c>
      <c r="AE1048" s="44" t="str">
        <f>IFERROR(VLOOKUP(A1048,'[1]Re-order'!$A:$AA,27,0),"")</f>
        <v>Over</v>
      </c>
      <c r="AF1048" s="46">
        <f t="shared" si="254"/>
        <v>-1</v>
      </c>
      <c r="AG1048" s="46">
        <f>SUMIFS('[1]Raw Inventory'!D:D,'[1]Raw Inventory'!C:C,"GREATWALL",'[1]Raw Inventory'!B:B,A1048)</f>
        <v>23</v>
      </c>
      <c r="AH1048" s="46">
        <f>SUMIFS('[1]Raw Inventory'!D:D,'[1]Raw Inventory'!C:C,"DUARTE",'[1]Raw Inventory'!B:B,A1048)</f>
        <v>0</v>
      </c>
      <c r="AI1048" s="46"/>
      <c r="AJ1048" s="46"/>
      <c r="AK1048" s="43"/>
      <c r="AL1048" s="43"/>
      <c r="AM1048" s="43"/>
      <c r="AN1048" s="43"/>
      <c r="AO1048" s="43"/>
      <c r="AP1048" s="43"/>
      <c r="AQ1048" s="43"/>
      <c r="AR1048" s="43"/>
      <c r="AS1048" s="43"/>
      <c r="AT1048" s="43"/>
    </row>
    <row r="1049" spans="1:46">
      <c r="A1049" s="43" t="s">
        <v>23</v>
      </c>
      <c r="B1049" s="43" t="s">
        <v>162</v>
      </c>
      <c r="C1049" s="43" t="s">
        <v>159</v>
      </c>
      <c r="D1049" s="44" t="s">
        <v>232</v>
      </c>
      <c r="E1049" s="44">
        <v>26</v>
      </c>
      <c r="F1049" s="44" t="s">
        <v>3</v>
      </c>
      <c r="G1049" s="43" t="str">
        <f>IFERROR(VLOOKUP(A1049,'[1]MC Masterlist 2026-09-12'!$B:$M, 3, 0),"")</f>
        <v>KAWASAKI</v>
      </c>
      <c r="H1049" s="45">
        <f>IFERROR(VLOOKUP(A1049,'[1]MC Masterlist 2026-09-12'!$B:$M, 6, 0),"")</f>
        <v>60656</v>
      </c>
      <c r="I1049" s="46">
        <v>0</v>
      </c>
      <c r="J1049" s="46">
        <v>0</v>
      </c>
      <c r="K1049" s="46">
        <v>0</v>
      </c>
      <c r="L1049" s="46">
        <f t="shared" si="240"/>
        <v>0</v>
      </c>
      <c r="M1049" s="46">
        <f t="shared" si="241"/>
        <v>0</v>
      </c>
      <c r="N1049" s="45">
        <f t="shared" si="242"/>
        <v>0</v>
      </c>
      <c r="O1049" s="45">
        <f t="shared" si="243"/>
        <v>0</v>
      </c>
      <c r="P1049" s="46">
        <f t="shared" si="244"/>
        <v>0</v>
      </c>
      <c r="Q1049" s="46">
        <v>2</v>
      </c>
      <c r="R1049" s="45">
        <f t="shared" si="245"/>
        <v>121312</v>
      </c>
      <c r="S1049" s="46">
        <f t="shared" si="246"/>
        <v>0</v>
      </c>
      <c r="T1049" s="46">
        <f>IFERROR(VLOOKUP(A1049,'[1]Re-order'!$A:$Q,17,0),"")</f>
        <v>53.973412112259979</v>
      </c>
      <c r="U1049" s="46">
        <f>IFERROR(VLOOKUP(A1049,'[1]MC Masterlist 2026-09-12'!$B:$M, 10, 0),0)</f>
        <v>15</v>
      </c>
      <c r="V1049" s="46">
        <f>IFERROR(VLOOKUP(A1049,'[1]MC Masterlist 2026-09-12'!$B:$M, 11, 0),0)</f>
        <v>15</v>
      </c>
      <c r="W1049" s="46">
        <f t="shared" si="247"/>
        <v>30</v>
      </c>
      <c r="X1049" s="46">
        <f t="shared" si="248"/>
        <v>30</v>
      </c>
      <c r="Y1049" s="46">
        <f>IFERROR(IF(OR(C1049="AREA I",C1049="AREA V"),7,VLOOKUP(A1049,'[1]MC Masterlist 2026-09-12'!$B:$M, 12, 0)),0)</f>
        <v>30</v>
      </c>
      <c r="Z1049" s="46">
        <f t="shared" si="249"/>
        <v>0</v>
      </c>
      <c r="AA1049" s="46">
        <f t="shared" si="250"/>
        <v>0</v>
      </c>
      <c r="AB1049" s="46">
        <f t="shared" si="251"/>
        <v>0</v>
      </c>
      <c r="AC1049" s="46">
        <f t="shared" si="252"/>
        <v>0</v>
      </c>
      <c r="AD1049" s="44" t="str">
        <f t="shared" si="253"/>
        <v>Over</v>
      </c>
      <c r="AE1049" s="44" t="str">
        <f>IFERROR(VLOOKUP(A1049,'[1]Re-order'!$A:$AA,27,0),"")</f>
        <v>Re-order</v>
      </c>
      <c r="AF1049" s="46">
        <f t="shared" si="254"/>
        <v>-2</v>
      </c>
      <c r="AG1049" s="46">
        <f>SUMIFS('[1]Raw Inventory'!D:D,'[1]Raw Inventory'!C:C,"GREATWALL",'[1]Raw Inventory'!B:B,A1049)</f>
        <v>282</v>
      </c>
      <c r="AH1049" s="46">
        <f>SUMIFS('[1]Raw Inventory'!D:D,'[1]Raw Inventory'!C:C,"DUARTE",'[1]Raw Inventory'!B:B,A1049)</f>
        <v>0</v>
      </c>
      <c r="AI1049" s="46"/>
      <c r="AJ1049" s="46"/>
      <c r="AK1049" s="43"/>
      <c r="AL1049" s="43"/>
      <c r="AM1049" s="43"/>
      <c r="AN1049" s="43"/>
      <c r="AO1049" s="43"/>
      <c r="AP1049" s="43"/>
      <c r="AQ1049" s="43"/>
      <c r="AR1049" s="43"/>
      <c r="AS1049" s="43"/>
      <c r="AT1049" s="43"/>
    </row>
    <row r="1050" spans="1:46">
      <c r="A1050" s="43" t="s">
        <v>33</v>
      </c>
      <c r="B1050" s="43" t="s">
        <v>21</v>
      </c>
      <c r="C1050" s="43" t="s">
        <v>1</v>
      </c>
      <c r="D1050" s="44" t="s">
        <v>256</v>
      </c>
      <c r="E1050" s="44">
        <v>16</v>
      </c>
      <c r="F1050" s="44" t="s">
        <v>2</v>
      </c>
      <c r="G1050" s="43" t="str">
        <f>IFERROR(VLOOKUP(A1050,'[1]MC Masterlist 2026-09-12'!$B:$M, 3, 0),"")</f>
        <v>HONDA</v>
      </c>
      <c r="H1050" s="45">
        <f>IFERROR(VLOOKUP(A1050,'[1]MC Masterlist 2026-09-12'!$B:$M, 6, 0),"")</f>
        <v>251318</v>
      </c>
      <c r="I1050" s="46">
        <v>0</v>
      </c>
      <c r="J1050" s="46">
        <v>0</v>
      </c>
      <c r="K1050" s="46">
        <v>1</v>
      </c>
      <c r="L1050" s="46">
        <f t="shared" si="240"/>
        <v>1</v>
      </c>
      <c r="M1050" s="46">
        <f t="shared" si="241"/>
        <v>0.33333333333333331</v>
      </c>
      <c r="N1050" s="45">
        <f t="shared" si="242"/>
        <v>251318</v>
      </c>
      <c r="O1050" s="45">
        <f t="shared" si="243"/>
        <v>83772.666666666657</v>
      </c>
      <c r="P1050" s="46">
        <f t="shared" si="244"/>
        <v>1.111111111111111E-2</v>
      </c>
      <c r="Q1050" s="46"/>
      <c r="R1050" s="45">
        <f t="shared" si="245"/>
        <v>0</v>
      </c>
      <c r="S1050" s="46">
        <f t="shared" si="246"/>
        <v>0</v>
      </c>
      <c r="T1050" s="46">
        <f>IFERROR(VLOOKUP(A1050,'[1]Re-order'!$A:$Q,17,0),"")</f>
        <v>10.588235294117647</v>
      </c>
      <c r="U1050" s="46">
        <f>IFERROR(VLOOKUP(A1050,'[1]MC Masterlist 2026-09-12'!$B:$M, 10, 0),0)</f>
        <v>15</v>
      </c>
      <c r="V1050" s="46">
        <f>IFERROR(VLOOKUP(A1050,'[1]MC Masterlist 2026-09-12'!$B:$M, 11, 0),0)</f>
        <v>15</v>
      </c>
      <c r="W1050" s="46">
        <f t="shared" si="247"/>
        <v>30</v>
      </c>
      <c r="X1050" s="46">
        <f t="shared" si="248"/>
        <v>6.833333333333333</v>
      </c>
      <c r="Y1050" s="46">
        <f>IFERROR(IF(OR(C1050="AREA I",C1050="AREA V"),7,VLOOKUP(A1050,'[1]MC Masterlist 2026-09-12'!$B:$M, 12, 0)),0)</f>
        <v>7</v>
      </c>
      <c r="Z1050" s="46">
        <f t="shared" si="249"/>
        <v>0.16666666666666666</v>
      </c>
      <c r="AA1050" s="46">
        <f t="shared" si="250"/>
        <v>0.33333333333333331</v>
      </c>
      <c r="AB1050" s="46">
        <f t="shared" si="251"/>
        <v>7.5925925925925911E-2</v>
      </c>
      <c r="AC1050" s="46">
        <f t="shared" si="252"/>
        <v>7.7777777777777765E-2</v>
      </c>
      <c r="AD1050" s="44" t="str">
        <f t="shared" si="253"/>
        <v>Stockout</v>
      </c>
      <c r="AE1050" s="44" t="str">
        <f>IFERROR(VLOOKUP(A1050,'[1]Re-order'!$A:$AA,27,0),"")</f>
        <v>Stockout</v>
      </c>
      <c r="AF1050" s="46">
        <f t="shared" si="254"/>
        <v>7.7777777777777765E-2</v>
      </c>
      <c r="AG1050" s="46">
        <f>SUMIFS('[1]Raw Inventory'!D:D,'[1]Raw Inventory'!C:C,"GREATWALL",'[1]Raw Inventory'!B:B,A1050)</f>
        <v>0</v>
      </c>
      <c r="AH1050" s="46">
        <f>SUMIFS('[1]Raw Inventory'!D:D,'[1]Raw Inventory'!C:C,"DUARTE",'[1]Raw Inventory'!B:B,A1050)</f>
        <v>0</v>
      </c>
      <c r="AI1050" s="46"/>
      <c r="AJ1050" s="46"/>
      <c r="AK1050" s="43"/>
      <c r="AL1050" s="43"/>
      <c r="AM1050" s="43"/>
      <c r="AN1050" s="43"/>
      <c r="AO1050" s="43"/>
      <c r="AP1050" s="43"/>
      <c r="AQ1050" s="43"/>
      <c r="AR1050" s="43"/>
      <c r="AS1050" s="43"/>
      <c r="AT1050" s="43"/>
    </row>
    <row r="1051" spans="1:46">
      <c r="A1051" s="43" t="s">
        <v>28</v>
      </c>
      <c r="B1051" s="43" t="s">
        <v>142</v>
      </c>
      <c r="C1051" s="43" t="s">
        <v>137</v>
      </c>
      <c r="D1051" s="44" t="s">
        <v>246</v>
      </c>
      <c r="E1051" s="44">
        <v>13</v>
      </c>
      <c r="F1051" s="44" t="s">
        <v>2</v>
      </c>
      <c r="G1051" s="43" t="str">
        <f>IFERROR(VLOOKUP(A1051,'[1]MC Masterlist 2026-09-12'!$B:$M, 3, 0),"")</f>
        <v>YAMAHA</v>
      </c>
      <c r="H1051" s="45">
        <f>IFERROR(VLOOKUP(A1051,'[1]MC Masterlist 2026-09-12'!$B:$M, 6, 0),"")</f>
        <v>147312</v>
      </c>
      <c r="I1051" s="46">
        <v>0</v>
      </c>
      <c r="J1051" s="46">
        <v>0</v>
      </c>
      <c r="K1051" s="46">
        <v>1</v>
      </c>
      <c r="L1051" s="46">
        <f t="shared" si="240"/>
        <v>1</v>
      </c>
      <c r="M1051" s="46">
        <f t="shared" si="241"/>
        <v>0.33333333333333331</v>
      </c>
      <c r="N1051" s="45">
        <f t="shared" si="242"/>
        <v>147312</v>
      </c>
      <c r="O1051" s="45">
        <f t="shared" si="243"/>
        <v>49104</v>
      </c>
      <c r="P1051" s="46">
        <f t="shared" si="244"/>
        <v>1.111111111111111E-2</v>
      </c>
      <c r="Q1051" s="46"/>
      <c r="R1051" s="45">
        <f t="shared" si="245"/>
        <v>0</v>
      </c>
      <c r="S1051" s="46">
        <f t="shared" si="246"/>
        <v>0</v>
      </c>
      <c r="T1051" s="46">
        <f>IFERROR(VLOOKUP(A1051,'[1]Re-order'!$A:$Q,17,0),"")</f>
        <v>8.2417582417582427</v>
      </c>
      <c r="U1051" s="46">
        <f>IFERROR(VLOOKUP(A1051,'[1]MC Masterlist 2026-09-12'!$B:$M, 10, 0),0)</f>
        <v>15</v>
      </c>
      <c r="V1051" s="46">
        <f>IFERROR(VLOOKUP(A1051,'[1]MC Masterlist 2026-09-12'!$B:$M, 11, 0),0)</f>
        <v>15</v>
      </c>
      <c r="W1051" s="46">
        <f t="shared" si="247"/>
        <v>30</v>
      </c>
      <c r="X1051" s="46">
        <f t="shared" si="248"/>
        <v>6.833333333333333</v>
      </c>
      <c r="Y1051" s="46">
        <f>IFERROR(IF(OR(C1051="AREA I",C1051="AREA V"),7,VLOOKUP(A1051,'[1]MC Masterlist 2026-09-12'!$B:$M, 12, 0)),0)</f>
        <v>7</v>
      </c>
      <c r="Z1051" s="46">
        <f t="shared" si="249"/>
        <v>0.16666666666666666</v>
      </c>
      <c r="AA1051" s="46">
        <f t="shared" si="250"/>
        <v>0.33333333333333331</v>
      </c>
      <c r="AB1051" s="46">
        <f t="shared" si="251"/>
        <v>7.5925925925925911E-2</v>
      </c>
      <c r="AC1051" s="46">
        <f t="shared" si="252"/>
        <v>7.7777777777777765E-2</v>
      </c>
      <c r="AD1051" s="44" t="str">
        <f t="shared" si="253"/>
        <v>Stockout</v>
      </c>
      <c r="AE1051" s="44" t="str">
        <f>IFERROR(VLOOKUP(A1051,'[1]Re-order'!$A:$AA,27,0),"")</f>
        <v>Stockout</v>
      </c>
      <c r="AF1051" s="46">
        <f t="shared" si="254"/>
        <v>7.7777777777777765E-2</v>
      </c>
      <c r="AG1051" s="46">
        <f>SUMIFS('[1]Raw Inventory'!D:D,'[1]Raw Inventory'!C:C,"GREATWALL",'[1]Raw Inventory'!B:B,A1051)</f>
        <v>0</v>
      </c>
      <c r="AH1051" s="46">
        <f>SUMIFS('[1]Raw Inventory'!D:D,'[1]Raw Inventory'!C:C,"DUARTE",'[1]Raw Inventory'!B:B,A1051)</f>
        <v>0</v>
      </c>
      <c r="AI1051" s="46"/>
      <c r="AJ1051" s="46"/>
      <c r="AK1051" s="43"/>
      <c r="AL1051" s="43"/>
      <c r="AM1051" s="43"/>
      <c r="AN1051" s="43"/>
      <c r="AO1051" s="43"/>
      <c r="AP1051" s="43"/>
      <c r="AQ1051" s="43"/>
      <c r="AR1051" s="43"/>
      <c r="AS1051" s="43"/>
      <c r="AT1051" s="43"/>
    </row>
    <row r="1052" spans="1:46">
      <c r="A1052" s="43" t="s">
        <v>14</v>
      </c>
      <c r="B1052" s="43" t="s">
        <v>129</v>
      </c>
      <c r="C1052" s="43" t="s">
        <v>128</v>
      </c>
      <c r="D1052" s="44" t="s">
        <v>227</v>
      </c>
      <c r="E1052" s="44">
        <v>1</v>
      </c>
      <c r="F1052" s="44" t="s">
        <v>0</v>
      </c>
      <c r="G1052" s="43" t="str">
        <f>IFERROR(VLOOKUP(A1052,'[1]MC Masterlist 2026-09-12'!$B:$M, 3, 0),"")</f>
        <v>HONDA</v>
      </c>
      <c r="H1052" s="45">
        <f>IFERROR(VLOOKUP(A1052,'[1]MC Masterlist 2026-09-12'!$B:$M, 6, 0),"")</f>
        <v>80070</v>
      </c>
      <c r="I1052" s="46">
        <v>18</v>
      </c>
      <c r="J1052" s="46">
        <v>10</v>
      </c>
      <c r="K1052" s="46">
        <v>24</v>
      </c>
      <c r="L1052" s="46">
        <f t="shared" si="240"/>
        <v>52</v>
      </c>
      <c r="M1052" s="46">
        <f t="shared" si="241"/>
        <v>17.333333333333332</v>
      </c>
      <c r="N1052" s="45">
        <f t="shared" si="242"/>
        <v>4163640</v>
      </c>
      <c r="O1052" s="45">
        <f t="shared" si="243"/>
        <v>1387880</v>
      </c>
      <c r="P1052" s="46">
        <f t="shared" si="244"/>
        <v>0.57777777777777772</v>
      </c>
      <c r="Q1052" s="46">
        <v>9</v>
      </c>
      <c r="R1052" s="45">
        <f t="shared" si="245"/>
        <v>720630</v>
      </c>
      <c r="S1052" s="46">
        <f t="shared" si="246"/>
        <v>15.576923076923078</v>
      </c>
      <c r="T1052" s="46">
        <f>IFERROR(VLOOKUP(A1052,'[1]Re-order'!$A:$Q,17,0),"")</f>
        <v>20.105787181082761</v>
      </c>
      <c r="U1052" s="46">
        <f>IFERROR(VLOOKUP(A1052,'[1]MC Masterlist 2026-09-12'!$B:$M, 10, 0),0)</f>
        <v>15</v>
      </c>
      <c r="V1052" s="46">
        <f>IFERROR(VLOOKUP(A1052,'[1]MC Masterlist 2026-09-12'!$B:$M, 11, 0),0)</f>
        <v>15</v>
      </c>
      <c r="W1052" s="46">
        <f t="shared" si="247"/>
        <v>30</v>
      </c>
      <c r="X1052" s="46">
        <f t="shared" si="248"/>
        <v>21.333333333333336</v>
      </c>
      <c r="Y1052" s="46">
        <f>IFERROR(IF(OR(C1052="AREA I",C1052="AREA V"),7,VLOOKUP(A1052,'[1]MC Masterlist 2026-09-12'!$B:$M, 12, 0)),0)</f>
        <v>30</v>
      </c>
      <c r="Z1052" s="46">
        <f t="shared" si="249"/>
        <v>8.6666666666666661</v>
      </c>
      <c r="AA1052" s="46">
        <f t="shared" si="250"/>
        <v>17.333333333333332</v>
      </c>
      <c r="AB1052" s="46">
        <f t="shared" si="251"/>
        <v>12.325925925925926</v>
      </c>
      <c r="AC1052" s="46">
        <f t="shared" si="252"/>
        <v>17.333333333333332</v>
      </c>
      <c r="AD1052" s="44" t="str">
        <f t="shared" si="253"/>
        <v>Re-order</v>
      </c>
      <c r="AE1052" s="44" t="str">
        <f>IFERROR(VLOOKUP(A1052,'[1]Re-order'!$A:$AA,27,0),"")</f>
        <v>Stockout</v>
      </c>
      <c r="AF1052" s="46">
        <f t="shared" si="254"/>
        <v>8.3333333333333321</v>
      </c>
      <c r="AG1052" s="46">
        <f>SUMIFS('[1]Raw Inventory'!D:D,'[1]Raw Inventory'!C:C,"GREATWALL",'[1]Raw Inventory'!B:B,A1052)</f>
        <v>176</v>
      </c>
      <c r="AH1052" s="46">
        <f>SUMIFS('[1]Raw Inventory'!D:D,'[1]Raw Inventory'!C:C,"DUARTE",'[1]Raw Inventory'!B:B,A1052)</f>
        <v>0</v>
      </c>
      <c r="AI1052" s="46"/>
      <c r="AJ1052" s="46"/>
      <c r="AK1052" s="43"/>
      <c r="AL1052" s="43"/>
      <c r="AM1052" s="43"/>
      <c r="AN1052" s="43"/>
      <c r="AO1052" s="43"/>
      <c r="AP1052" s="43"/>
      <c r="AQ1052" s="43"/>
      <c r="AR1052" s="43"/>
      <c r="AS1052" s="43"/>
      <c r="AT1052" s="43"/>
    </row>
    <row r="1053" spans="1:46">
      <c r="A1053" s="43" t="s">
        <v>49</v>
      </c>
      <c r="B1053" s="43" t="s">
        <v>129</v>
      </c>
      <c r="C1053" s="43" t="s">
        <v>128</v>
      </c>
      <c r="D1053" s="44" t="s">
        <v>268</v>
      </c>
      <c r="E1053" s="44">
        <v>15</v>
      </c>
      <c r="F1053" s="44" t="s">
        <v>3</v>
      </c>
      <c r="G1053" s="43" t="str">
        <f>IFERROR(VLOOKUP(A1053,'[1]MC Masterlist 2026-09-12'!$B:$M, 3, 0),"")</f>
        <v>BAJAJ RE</v>
      </c>
      <c r="H1053" s="45">
        <f>IFERROR(VLOOKUP(A1053,'[1]MC Masterlist 2026-09-12'!$B:$M, 6, 0),"")</f>
        <v>191000</v>
      </c>
      <c r="I1053" s="46">
        <v>0</v>
      </c>
      <c r="J1053" s="46">
        <v>1</v>
      </c>
      <c r="K1053" s="46">
        <v>0</v>
      </c>
      <c r="L1053" s="46">
        <f t="shared" si="240"/>
        <v>1</v>
      </c>
      <c r="M1053" s="46">
        <f t="shared" si="241"/>
        <v>0.33333333333333331</v>
      </c>
      <c r="N1053" s="45">
        <f t="shared" si="242"/>
        <v>191000</v>
      </c>
      <c r="O1053" s="45">
        <f t="shared" si="243"/>
        <v>63666.666666666664</v>
      </c>
      <c r="P1053" s="46">
        <f t="shared" si="244"/>
        <v>1.111111111111111E-2</v>
      </c>
      <c r="Q1053" s="46"/>
      <c r="R1053" s="45">
        <f t="shared" si="245"/>
        <v>0</v>
      </c>
      <c r="S1053" s="46">
        <f t="shared" si="246"/>
        <v>0</v>
      </c>
      <c r="T1053" s="46">
        <f>IFERROR(VLOOKUP(A1053,'[1]Re-order'!$A:$Q,17,0),"")</f>
        <v>21.516709511568124</v>
      </c>
      <c r="U1053" s="46">
        <f>IFERROR(VLOOKUP(A1053,'[1]MC Masterlist 2026-09-12'!$B:$M, 10, 0),0)</f>
        <v>15</v>
      </c>
      <c r="V1053" s="46">
        <f>IFERROR(VLOOKUP(A1053,'[1]MC Masterlist 2026-09-12'!$B:$M, 11, 0),0)</f>
        <v>15</v>
      </c>
      <c r="W1053" s="46">
        <f t="shared" si="247"/>
        <v>30</v>
      </c>
      <c r="X1053" s="46">
        <f t="shared" si="248"/>
        <v>29.833333333333332</v>
      </c>
      <c r="Y1053" s="46">
        <f>IFERROR(IF(OR(C1053="AREA I",C1053="AREA V"),7,VLOOKUP(A1053,'[1]MC Masterlist 2026-09-12'!$B:$M, 12, 0)),0)</f>
        <v>30</v>
      </c>
      <c r="Z1053" s="46">
        <f t="shared" si="249"/>
        <v>0.16666666666666666</v>
      </c>
      <c r="AA1053" s="46">
        <f t="shared" si="250"/>
        <v>0.33333333333333331</v>
      </c>
      <c r="AB1053" s="46">
        <f t="shared" si="251"/>
        <v>0.33148148148148143</v>
      </c>
      <c r="AC1053" s="46">
        <f t="shared" si="252"/>
        <v>0.33333333333333331</v>
      </c>
      <c r="AD1053" s="44" t="str">
        <f t="shared" si="253"/>
        <v>Stockout</v>
      </c>
      <c r="AE1053" s="44" t="str">
        <f>IFERROR(VLOOKUP(A1053,'[1]Re-order'!$A:$AA,27,0),"")</f>
        <v>Stockout</v>
      </c>
      <c r="AF1053" s="46">
        <f t="shared" si="254"/>
        <v>0.33333333333333331</v>
      </c>
      <c r="AG1053" s="46">
        <f>SUMIFS('[1]Raw Inventory'!D:D,'[1]Raw Inventory'!C:C,"GREATWALL",'[1]Raw Inventory'!B:B,A1053)</f>
        <v>0</v>
      </c>
      <c r="AH1053" s="46">
        <f>SUMIFS('[1]Raw Inventory'!D:D,'[1]Raw Inventory'!C:C,"DUARTE",'[1]Raw Inventory'!B:B,A1053)</f>
        <v>0</v>
      </c>
      <c r="AI1053" s="46"/>
      <c r="AJ1053" s="46"/>
      <c r="AK1053" s="43"/>
      <c r="AL1053" s="43"/>
      <c r="AM1053" s="43"/>
      <c r="AN1053" s="43"/>
      <c r="AO1053" s="43"/>
      <c r="AP1053" s="43"/>
      <c r="AQ1053" s="43"/>
      <c r="AR1053" s="43"/>
      <c r="AS1053" s="43"/>
      <c r="AT1053" s="43"/>
    </row>
    <row r="1054" spans="1:46">
      <c r="A1054" s="43" t="s">
        <v>26</v>
      </c>
      <c r="B1054" s="43" t="s">
        <v>138</v>
      </c>
      <c r="C1054" s="43" t="s">
        <v>137</v>
      </c>
      <c r="D1054" s="44" t="s">
        <v>255</v>
      </c>
      <c r="E1054" s="44">
        <v>12</v>
      </c>
      <c r="F1054" s="44" t="s">
        <v>2</v>
      </c>
      <c r="G1054" s="43" t="str">
        <f>IFERROR(VLOOKUP(A1054,'[1]MC Masterlist 2026-09-12'!$B:$M, 3, 0),"")</f>
        <v>SUZUKI</v>
      </c>
      <c r="H1054" s="45">
        <f>IFERROR(VLOOKUP(A1054,'[1]MC Masterlist 2026-09-12'!$B:$M, 6, 0),"")</f>
        <v>123700</v>
      </c>
      <c r="I1054" s="46">
        <v>0</v>
      </c>
      <c r="J1054" s="46">
        <v>0</v>
      </c>
      <c r="K1054" s="46">
        <v>0</v>
      </c>
      <c r="L1054" s="46">
        <f t="shared" si="240"/>
        <v>0</v>
      </c>
      <c r="M1054" s="46">
        <f t="shared" si="241"/>
        <v>0</v>
      </c>
      <c r="N1054" s="45">
        <f t="shared" si="242"/>
        <v>0</v>
      </c>
      <c r="O1054" s="45">
        <f t="shared" si="243"/>
        <v>0</v>
      </c>
      <c r="P1054" s="46">
        <f t="shared" si="244"/>
        <v>0</v>
      </c>
      <c r="Q1054" s="46">
        <v>30</v>
      </c>
      <c r="R1054" s="45">
        <f t="shared" si="245"/>
        <v>3711000</v>
      </c>
      <c r="S1054" s="46">
        <f t="shared" si="246"/>
        <v>0</v>
      </c>
      <c r="T1054" s="46">
        <f>IFERROR(VLOOKUP(A1054,'[1]Re-order'!$A:$Q,17,0),"")</f>
        <v>71.470588235294116</v>
      </c>
      <c r="U1054" s="46">
        <f>IFERROR(VLOOKUP(A1054,'[1]MC Masterlist 2026-09-12'!$B:$M, 10, 0),0)</f>
        <v>15</v>
      </c>
      <c r="V1054" s="46">
        <f>IFERROR(VLOOKUP(A1054,'[1]MC Masterlist 2026-09-12'!$B:$M, 11, 0),0)</f>
        <v>15</v>
      </c>
      <c r="W1054" s="46">
        <f t="shared" si="247"/>
        <v>30</v>
      </c>
      <c r="X1054" s="46">
        <f t="shared" si="248"/>
        <v>7</v>
      </c>
      <c r="Y1054" s="46">
        <f>IFERROR(IF(OR(C1054="AREA I",C1054="AREA V"),7,VLOOKUP(A1054,'[1]MC Masterlist 2026-09-12'!$B:$M, 12, 0)),0)</f>
        <v>7</v>
      </c>
      <c r="Z1054" s="46">
        <f t="shared" si="249"/>
        <v>0</v>
      </c>
      <c r="AA1054" s="46">
        <f t="shared" si="250"/>
        <v>0</v>
      </c>
      <c r="AB1054" s="46">
        <f t="shared" si="251"/>
        <v>0</v>
      </c>
      <c r="AC1054" s="46">
        <f t="shared" si="252"/>
        <v>0</v>
      </c>
      <c r="AD1054" s="44" t="str">
        <f t="shared" si="253"/>
        <v>Over</v>
      </c>
      <c r="AE1054" s="44" t="str">
        <f>IFERROR(VLOOKUP(A1054,'[1]Re-order'!$A:$AA,27,0),"")</f>
        <v>Re-order</v>
      </c>
      <c r="AF1054" s="46">
        <f t="shared" si="254"/>
        <v>-30</v>
      </c>
      <c r="AG1054" s="46">
        <f>SUMIFS('[1]Raw Inventory'!D:D,'[1]Raw Inventory'!C:C,"GREATWALL",'[1]Raw Inventory'!B:B,A1054)</f>
        <v>30</v>
      </c>
      <c r="AH1054" s="46">
        <f>SUMIFS('[1]Raw Inventory'!D:D,'[1]Raw Inventory'!C:C,"DUARTE",'[1]Raw Inventory'!B:B,A1054)</f>
        <v>0</v>
      </c>
      <c r="AI1054" s="46"/>
      <c r="AJ1054" s="46"/>
      <c r="AK1054" s="43"/>
      <c r="AL1054" s="43"/>
      <c r="AM1054" s="43"/>
      <c r="AN1054" s="43"/>
      <c r="AO1054" s="43"/>
      <c r="AP1054" s="43"/>
      <c r="AQ1054" s="43"/>
      <c r="AR1054" s="43"/>
      <c r="AS1054" s="43"/>
      <c r="AT1054" s="43"/>
    </row>
    <row r="1055" spans="1:46">
      <c r="A1055" s="43" t="s">
        <v>133</v>
      </c>
      <c r="B1055" s="43" t="s">
        <v>129</v>
      </c>
      <c r="C1055" s="43" t="s">
        <v>128</v>
      </c>
      <c r="D1055" s="44" t="s">
        <v>242</v>
      </c>
      <c r="E1055" s="44">
        <v>24</v>
      </c>
      <c r="F1055" s="44" t="s">
        <v>3</v>
      </c>
      <c r="G1055" s="43" t="str">
        <f>IFERROR(VLOOKUP(A1055,'[1]MC Masterlist 2026-09-12'!$B:$M, 3, 0),"")</f>
        <v>YAMAHA</v>
      </c>
      <c r="H1055" s="45">
        <f>IFERROR(VLOOKUP(A1055,'[1]MC Masterlist 2026-09-12'!$B:$M, 6, 0),"")</f>
        <v>68727</v>
      </c>
      <c r="I1055" s="46">
        <v>0</v>
      </c>
      <c r="J1055" s="46">
        <v>0</v>
      </c>
      <c r="K1055" s="46">
        <v>0</v>
      </c>
      <c r="L1055" s="46">
        <f t="shared" si="240"/>
        <v>0</v>
      </c>
      <c r="M1055" s="46">
        <f t="shared" si="241"/>
        <v>0</v>
      </c>
      <c r="N1055" s="45">
        <f t="shared" si="242"/>
        <v>0</v>
      </c>
      <c r="O1055" s="45">
        <f t="shared" si="243"/>
        <v>0</v>
      </c>
      <c r="P1055" s="46">
        <f t="shared" si="244"/>
        <v>0</v>
      </c>
      <c r="Q1055" s="46">
        <v>1</v>
      </c>
      <c r="R1055" s="45">
        <f t="shared" si="245"/>
        <v>68727</v>
      </c>
      <c r="S1055" s="46">
        <f t="shared" si="246"/>
        <v>0</v>
      </c>
      <c r="T1055" s="46" t="str">
        <f>IFERROR(VLOOKUP(A1055,'[1]Re-order'!$A:$Q,17,0),"")</f>
        <v/>
      </c>
      <c r="U1055" s="46">
        <f>IFERROR(VLOOKUP(A1055,'[1]MC Masterlist 2026-09-12'!$B:$M, 10, 0),0)</f>
        <v>15</v>
      </c>
      <c r="V1055" s="46">
        <f>IFERROR(VLOOKUP(A1055,'[1]MC Masterlist 2026-09-12'!$B:$M, 11, 0),0)</f>
        <v>15</v>
      </c>
      <c r="W1055" s="46">
        <f t="shared" si="247"/>
        <v>30</v>
      </c>
      <c r="X1055" s="46">
        <f t="shared" si="248"/>
        <v>30</v>
      </c>
      <c r="Y1055" s="46">
        <f>IFERROR(IF(OR(C1055="AREA I",C1055="AREA V"),7,VLOOKUP(A1055,'[1]MC Masterlist 2026-09-12'!$B:$M, 12, 0)),0)</f>
        <v>30</v>
      </c>
      <c r="Z1055" s="46">
        <f t="shared" si="249"/>
        <v>0</v>
      </c>
      <c r="AA1055" s="46">
        <f t="shared" si="250"/>
        <v>0</v>
      </c>
      <c r="AB1055" s="46">
        <f t="shared" si="251"/>
        <v>0</v>
      </c>
      <c r="AC1055" s="46">
        <f t="shared" si="252"/>
        <v>0</v>
      </c>
      <c r="AD1055" s="44" t="str">
        <f t="shared" si="253"/>
        <v>Over</v>
      </c>
      <c r="AE1055" s="44" t="str">
        <f>IFERROR(VLOOKUP(A1055,'[1]Re-order'!$A:$AA,27,0),"")</f>
        <v>Over</v>
      </c>
      <c r="AF1055" s="46">
        <f t="shared" si="254"/>
        <v>-1</v>
      </c>
      <c r="AG1055" s="46">
        <f>SUMIFS('[1]Raw Inventory'!D:D,'[1]Raw Inventory'!C:C,"GREATWALL",'[1]Raw Inventory'!B:B,A1055)</f>
        <v>0</v>
      </c>
      <c r="AH1055" s="46">
        <f>SUMIFS('[1]Raw Inventory'!D:D,'[1]Raw Inventory'!C:C,"DUARTE",'[1]Raw Inventory'!B:B,A1055)</f>
        <v>0</v>
      </c>
      <c r="AI1055" s="46"/>
      <c r="AJ1055" s="46"/>
      <c r="AK1055" s="43"/>
      <c r="AL1055" s="43"/>
      <c r="AM1055" s="43"/>
      <c r="AN1055" s="43"/>
      <c r="AO1055" s="43"/>
      <c r="AP1055" s="43"/>
      <c r="AQ1055" s="43"/>
      <c r="AR1055" s="43"/>
      <c r="AS1055" s="43"/>
      <c r="AT1055" s="43"/>
    </row>
    <row r="1056" spans="1:46">
      <c r="A1056" s="43" t="s">
        <v>16</v>
      </c>
      <c r="B1056" s="43" t="s">
        <v>156</v>
      </c>
      <c r="C1056" s="43" t="s">
        <v>152</v>
      </c>
      <c r="D1056" s="44" t="s">
        <v>233</v>
      </c>
      <c r="E1056" s="44">
        <v>5</v>
      </c>
      <c r="F1056" s="44" t="s">
        <v>2</v>
      </c>
      <c r="G1056" s="43" t="str">
        <f>IFERROR(VLOOKUP(A1056,'[1]MC Masterlist 2026-09-12'!$B:$M, 3, 0),"")</f>
        <v>HONDA</v>
      </c>
      <c r="H1056" s="45">
        <f>IFERROR(VLOOKUP(A1056,'[1]MC Masterlist 2026-09-12'!$B:$M, 6, 0),"")</f>
        <v>84394</v>
      </c>
      <c r="I1056" s="46">
        <v>4</v>
      </c>
      <c r="J1056" s="46">
        <v>3</v>
      </c>
      <c r="K1056" s="46">
        <v>0</v>
      </c>
      <c r="L1056" s="46">
        <f t="shared" si="240"/>
        <v>7</v>
      </c>
      <c r="M1056" s="46">
        <f t="shared" si="241"/>
        <v>2.3333333333333335</v>
      </c>
      <c r="N1056" s="45">
        <f t="shared" si="242"/>
        <v>590758</v>
      </c>
      <c r="O1056" s="45">
        <f t="shared" si="243"/>
        <v>196919.33333333334</v>
      </c>
      <c r="P1056" s="46">
        <f t="shared" si="244"/>
        <v>7.7777777777777779E-2</v>
      </c>
      <c r="Q1056" s="46">
        <v>3</v>
      </c>
      <c r="R1056" s="45">
        <f t="shared" si="245"/>
        <v>253182</v>
      </c>
      <c r="S1056" s="46">
        <f t="shared" si="246"/>
        <v>38.571428571428569</v>
      </c>
      <c r="T1056" s="46">
        <f>IFERROR(VLOOKUP(A1056,'[1]Re-order'!$A:$Q,17,0),"")</f>
        <v>26.332665330661321</v>
      </c>
      <c r="U1056" s="46">
        <f>IFERROR(VLOOKUP(A1056,'[1]MC Masterlist 2026-09-12'!$B:$M, 10, 0),0)</f>
        <v>15</v>
      </c>
      <c r="V1056" s="46">
        <f>IFERROR(VLOOKUP(A1056,'[1]MC Masterlist 2026-09-12'!$B:$M, 11, 0),0)</f>
        <v>15</v>
      </c>
      <c r="W1056" s="46">
        <f t="shared" si="247"/>
        <v>30</v>
      </c>
      <c r="X1056" s="46">
        <f t="shared" si="248"/>
        <v>28.833333333333332</v>
      </c>
      <c r="Y1056" s="46">
        <f>IFERROR(IF(OR(C1056="AREA I",C1056="AREA V"),7,VLOOKUP(A1056,'[1]MC Masterlist 2026-09-12'!$B:$M, 12, 0)),0)</f>
        <v>30</v>
      </c>
      <c r="Z1056" s="46">
        <f t="shared" si="249"/>
        <v>1.1666666666666667</v>
      </c>
      <c r="AA1056" s="46">
        <f t="shared" si="250"/>
        <v>2.3333333333333335</v>
      </c>
      <c r="AB1056" s="46">
        <f t="shared" si="251"/>
        <v>2.2425925925925925</v>
      </c>
      <c r="AC1056" s="46">
        <f t="shared" si="252"/>
        <v>2.3333333333333335</v>
      </c>
      <c r="AD1056" s="44" t="str">
        <f t="shared" si="253"/>
        <v>Over</v>
      </c>
      <c r="AE1056" s="44" t="str">
        <f>IFERROR(VLOOKUP(A1056,'[1]Re-order'!$A:$AA,27,0),"")</f>
        <v>Stockout</v>
      </c>
      <c r="AF1056" s="46">
        <f t="shared" si="254"/>
        <v>-0.66666666666666652</v>
      </c>
      <c r="AG1056" s="46">
        <f>SUMIFS('[1]Raw Inventory'!D:D,'[1]Raw Inventory'!C:C,"GREATWALL",'[1]Raw Inventory'!B:B,A1056)</f>
        <v>58</v>
      </c>
      <c r="AH1056" s="46">
        <f>SUMIFS('[1]Raw Inventory'!D:D,'[1]Raw Inventory'!C:C,"DUARTE",'[1]Raw Inventory'!B:B,A1056)</f>
        <v>0</v>
      </c>
      <c r="AI1056" s="46"/>
      <c r="AJ1056" s="46"/>
      <c r="AK1056" s="43"/>
      <c r="AL1056" s="43"/>
      <c r="AM1056" s="43"/>
      <c r="AN1056" s="43"/>
      <c r="AO1056" s="43"/>
      <c r="AP1056" s="43"/>
      <c r="AQ1056" s="43"/>
      <c r="AR1056" s="43"/>
      <c r="AS1056" s="43"/>
      <c r="AT1056" s="43"/>
    </row>
    <row r="1057" spans="1:46">
      <c r="A1057" s="43" t="s">
        <v>22</v>
      </c>
      <c r="B1057" s="43" t="s">
        <v>94</v>
      </c>
      <c r="C1057" s="43" t="s">
        <v>90</v>
      </c>
      <c r="D1057" s="44" t="s">
        <v>243</v>
      </c>
      <c r="E1057" s="44">
        <v>16</v>
      </c>
      <c r="F1057" s="44" t="s">
        <v>2</v>
      </c>
      <c r="G1057" s="43" t="str">
        <f>IFERROR(VLOOKUP(A1057,'[1]MC Masterlist 2026-09-12'!$B:$M, 3, 0),"")</f>
        <v>HONDA</v>
      </c>
      <c r="H1057" s="45">
        <f>IFERROR(VLOOKUP(A1057,'[1]MC Masterlist 2026-09-12'!$B:$M, 6, 0),"")</f>
        <v>111258</v>
      </c>
      <c r="I1057" s="46">
        <v>1</v>
      </c>
      <c r="J1057" s="46">
        <v>0</v>
      </c>
      <c r="K1057" s="46">
        <v>0</v>
      </c>
      <c r="L1057" s="46">
        <f t="shared" si="240"/>
        <v>1</v>
      </c>
      <c r="M1057" s="46">
        <f t="shared" si="241"/>
        <v>0.33333333333333331</v>
      </c>
      <c r="N1057" s="45">
        <f t="shared" si="242"/>
        <v>111258</v>
      </c>
      <c r="O1057" s="45">
        <f t="shared" si="243"/>
        <v>37086</v>
      </c>
      <c r="P1057" s="46">
        <f t="shared" si="244"/>
        <v>1.111111111111111E-2</v>
      </c>
      <c r="Q1057" s="46">
        <v>1</v>
      </c>
      <c r="R1057" s="45">
        <f t="shared" si="245"/>
        <v>111258</v>
      </c>
      <c r="S1057" s="46">
        <f t="shared" si="246"/>
        <v>90</v>
      </c>
      <c r="T1057" s="46">
        <f>IFERROR(VLOOKUP(A1057,'[1]Re-order'!$A:$Q,17,0),"")</f>
        <v>41.339712918660283</v>
      </c>
      <c r="U1057" s="46">
        <f>IFERROR(VLOOKUP(A1057,'[1]MC Masterlist 2026-09-12'!$B:$M, 10, 0),0)</f>
        <v>15</v>
      </c>
      <c r="V1057" s="46">
        <f>IFERROR(VLOOKUP(A1057,'[1]MC Masterlist 2026-09-12'!$B:$M, 11, 0),0)</f>
        <v>15</v>
      </c>
      <c r="W1057" s="46">
        <f t="shared" si="247"/>
        <v>30</v>
      </c>
      <c r="X1057" s="46">
        <f t="shared" si="248"/>
        <v>29.833333333333332</v>
      </c>
      <c r="Y1057" s="46">
        <f>IFERROR(IF(OR(C1057="AREA I",C1057="AREA V"),7,VLOOKUP(A1057,'[1]MC Masterlist 2026-09-12'!$B:$M, 12, 0)),0)</f>
        <v>30</v>
      </c>
      <c r="Z1057" s="46">
        <f t="shared" si="249"/>
        <v>0.16666666666666666</v>
      </c>
      <c r="AA1057" s="46">
        <f t="shared" si="250"/>
        <v>0.33333333333333331</v>
      </c>
      <c r="AB1057" s="46">
        <f t="shared" si="251"/>
        <v>0.33148148148148143</v>
      </c>
      <c r="AC1057" s="46">
        <f t="shared" si="252"/>
        <v>0.33333333333333331</v>
      </c>
      <c r="AD1057" s="44" t="str">
        <f t="shared" si="253"/>
        <v>Over</v>
      </c>
      <c r="AE1057" s="44" t="str">
        <f>IFERROR(VLOOKUP(A1057,'[1]Re-order'!$A:$AA,27,0),"")</f>
        <v>Re-order</v>
      </c>
      <c r="AF1057" s="46">
        <f t="shared" si="254"/>
        <v>-0.66666666666666674</v>
      </c>
      <c r="AG1057" s="46">
        <f>SUMIFS('[1]Raw Inventory'!D:D,'[1]Raw Inventory'!C:C,"GREATWALL",'[1]Raw Inventory'!B:B,A1057)</f>
        <v>4</v>
      </c>
      <c r="AH1057" s="46">
        <f>SUMIFS('[1]Raw Inventory'!D:D,'[1]Raw Inventory'!C:C,"DUARTE",'[1]Raw Inventory'!B:B,A1057)</f>
        <v>0</v>
      </c>
      <c r="AI1057" s="46"/>
      <c r="AJ1057" s="46"/>
      <c r="AK1057" s="43"/>
      <c r="AL1057" s="43"/>
      <c r="AM1057" s="43"/>
      <c r="AN1057" s="43"/>
      <c r="AO1057" s="43"/>
      <c r="AP1057" s="43"/>
      <c r="AQ1057" s="43"/>
      <c r="AR1057" s="43"/>
      <c r="AS1057" s="43"/>
      <c r="AT1057" s="43"/>
    </row>
    <row r="1058" spans="1:46">
      <c r="A1058" s="43" t="s">
        <v>52</v>
      </c>
      <c r="B1058" s="43" t="s">
        <v>123</v>
      </c>
      <c r="C1058" s="43" t="s">
        <v>118</v>
      </c>
      <c r="D1058" s="44" t="s">
        <v>242</v>
      </c>
      <c r="E1058" s="44">
        <v>25</v>
      </c>
      <c r="F1058" s="44" t="s">
        <v>3</v>
      </c>
      <c r="G1058" s="43" t="str">
        <f>IFERROR(VLOOKUP(A1058,'[1]MC Masterlist 2026-09-12'!$B:$M, 3, 0),"")</f>
        <v>YAMAHA</v>
      </c>
      <c r="H1058" s="45">
        <f>IFERROR(VLOOKUP(A1058,'[1]MC Masterlist 2026-09-12'!$B:$M, 6, 0),"")</f>
        <v>85446</v>
      </c>
      <c r="I1058" s="46">
        <v>0</v>
      </c>
      <c r="J1058" s="46">
        <v>0</v>
      </c>
      <c r="K1058" s="46">
        <v>0</v>
      </c>
      <c r="L1058" s="46">
        <f t="shared" si="240"/>
        <v>0</v>
      </c>
      <c r="M1058" s="46">
        <f t="shared" si="241"/>
        <v>0</v>
      </c>
      <c r="N1058" s="45">
        <f t="shared" si="242"/>
        <v>0</v>
      </c>
      <c r="O1058" s="45">
        <f t="shared" si="243"/>
        <v>0</v>
      </c>
      <c r="P1058" s="46">
        <f t="shared" si="244"/>
        <v>0</v>
      </c>
      <c r="Q1058" s="46">
        <v>1</v>
      </c>
      <c r="R1058" s="45">
        <f t="shared" si="245"/>
        <v>85446</v>
      </c>
      <c r="S1058" s="46">
        <f t="shared" si="246"/>
        <v>0</v>
      </c>
      <c r="T1058" s="46">
        <f>IFERROR(VLOOKUP(A1058,'[1]Re-order'!$A:$Q,17,0),"")</f>
        <v>95.454545454545453</v>
      </c>
      <c r="U1058" s="46">
        <f>IFERROR(VLOOKUP(A1058,'[1]MC Masterlist 2026-09-12'!$B:$M, 10, 0),0)</f>
        <v>15</v>
      </c>
      <c r="V1058" s="46">
        <f>IFERROR(VLOOKUP(A1058,'[1]MC Masterlist 2026-09-12'!$B:$M, 11, 0),0)</f>
        <v>15</v>
      </c>
      <c r="W1058" s="46">
        <f t="shared" si="247"/>
        <v>30</v>
      </c>
      <c r="X1058" s="46">
        <f t="shared" si="248"/>
        <v>30</v>
      </c>
      <c r="Y1058" s="46">
        <f>IFERROR(IF(OR(C1058="AREA I",C1058="AREA V"),7,VLOOKUP(A1058,'[1]MC Masterlist 2026-09-12'!$B:$M, 12, 0)),0)</f>
        <v>30</v>
      </c>
      <c r="Z1058" s="46">
        <f t="shared" si="249"/>
        <v>0</v>
      </c>
      <c r="AA1058" s="46">
        <f t="shared" si="250"/>
        <v>0</v>
      </c>
      <c r="AB1058" s="46">
        <f t="shared" si="251"/>
        <v>0</v>
      </c>
      <c r="AC1058" s="46">
        <f t="shared" si="252"/>
        <v>0</v>
      </c>
      <c r="AD1058" s="44" t="str">
        <f t="shared" si="253"/>
        <v>Over</v>
      </c>
      <c r="AE1058" s="44" t="str">
        <f>IFERROR(VLOOKUP(A1058,'[1]Re-order'!$A:$AA,27,0),"")</f>
        <v>Over</v>
      </c>
      <c r="AF1058" s="46">
        <f t="shared" si="254"/>
        <v>-1</v>
      </c>
      <c r="AG1058" s="46">
        <f>SUMIFS('[1]Raw Inventory'!D:D,'[1]Raw Inventory'!C:C,"GREATWALL",'[1]Raw Inventory'!B:B,A1058)</f>
        <v>0</v>
      </c>
      <c r="AH1058" s="46">
        <f>SUMIFS('[1]Raw Inventory'!D:D,'[1]Raw Inventory'!C:C,"DUARTE",'[1]Raw Inventory'!B:B,A1058)</f>
        <v>0</v>
      </c>
      <c r="AI1058" s="46"/>
      <c r="AJ1058" s="46"/>
      <c r="AK1058" s="43"/>
      <c r="AL1058" s="43"/>
      <c r="AM1058" s="43"/>
      <c r="AN1058" s="43"/>
      <c r="AO1058" s="43"/>
      <c r="AP1058" s="43"/>
      <c r="AQ1058" s="43"/>
      <c r="AR1058" s="43"/>
      <c r="AS1058" s="43"/>
      <c r="AT1058" s="43"/>
    </row>
    <row r="1059" spans="1:46">
      <c r="A1059" s="43" t="s">
        <v>39</v>
      </c>
      <c r="B1059" s="43" t="s">
        <v>112</v>
      </c>
      <c r="C1059" s="43" t="s">
        <v>109</v>
      </c>
      <c r="D1059" s="44" t="s">
        <v>255</v>
      </c>
      <c r="E1059" s="44">
        <v>12</v>
      </c>
      <c r="F1059" s="44" t="s">
        <v>2</v>
      </c>
      <c r="G1059" s="43" t="str">
        <f>IFERROR(VLOOKUP(A1059,'[1]MC Masterlist 2026-09-12'!$B:$M, 3, 0),"")</f>
        <v>HONDA</v>
      </c>
      <c r="H1059" s="45">
        <f>IFERROR(VLOOKUP(A1059,'[1]MC Masterlist 2026-09-12'!$B:$M, 6, 0),"")</f>
        <v>72434</v>
      </c>
      <c r="I1059" s="46">
        <v>0</v>
      </c>
      <c r="J1059" s="46">
        <v>1</v>
      </c>
      <c r="K1059" s="46">
        <v>1</v>
      </c>
      <c r="L1059" s="46">
        <f t="shared" si="240"/>
        <v>2</v>
      </c>
      <c r="M1059" s="46">
        <f t="shared" si="241"/>
        <v>0.66666666666666663</v>
      </c>
      <c r="N1059" s="45">
        <f t="shared" si="242"/>
        <v>144868</v>
      </c>
      <c r="O1059" s="45">
        <f t="shared" si="243"/>
        <v>48289.333333333328</v>
      </c>
      <c r="P1059" s="46">
        <f t="shared" si="244"/>
        <v>2.222222222222222E-2</v>
      </c>
      <c r="Q1059" s="46"/>
      <c r="R1059" s="45">
        <f t="shared" si="245"/>
        <v>0</v>
      </c>
      <c r="S1059" s="46">
        <f t="shared" si="246"/>
        <v>0</v>
      </c>
      <c r="T1059" s="46">
        <f>IFERROR(VLOOKUP(A1059,'[1]Re-order'!$A:$Q,17,0),"")</f>
        <v>40.982142857142854</v>
      </c>
      <c r="U1059" s="46">
        <f>IFERROR(VLOOKUP(A1059,'[1]MC Masterlist 2026-09-12'!$B:$M, 10, 0),0)</f>
        <v>15</v>
      </c>
      <c r="V1059" s="46">
        <f>IFERROR(VLOOKUP(A1059,'[1]MC Masterlist 2026-09-12'!$B:$M, 11, 0),0)</f>
        <v>15</v>
      </c>
      <c r="W1059" s="46">
        <f t="shared" si="247"/>
        <v>30</v>
      </c>
      <c r="X1059" s="46">
        <f t="shared" si="248"/>
        <v>29.666666666666668</v>
      </c>
      <c r="Y1059" s="46">
        <f>IFERROR(IF(OR(C1059="AREA I",C1059="AREA V"),7,VLOOKUP(A1059,'[1]MC Masterlist 2026-09-12'!$B:$M, 12, 0)),0)</f>
        <v>30</v>
      </c>
      <c r="Z1059" s="46">
        <f t="shared" si="249"/>
        <v>0.33333333333333331</v>
      </c>
      <c r="AA1059" s="46">
        <f t="shared" si="250"/>
        <v>0.66666666666666663</v>
      </c>
      <c r="AB1059" s="46">
        <f t="shared" si="251"/>
        <v>0.65925925925925921</v>
      </c>
      <c r="AC1059" s="46">
        <f t="shared" si="252"/>
        <v>0.66666666666666663</v>
      </c>
      <c r="AD1059" s="44" t="str">
        <f t="shared" si="253"/>
        <v>Stockout</v>
      </c>
      <c r="AE1059" s="44" t="str">
        <f>IFERROR(VLOOKUP(A1059,'[1]Re-order'!$A:$AA,27,0),"")</f>
        <v>Re-order</v>
      </c>
      <c r="AF1059" s="46">
        <f t="shared" si="254"/>
        <v>0.66666666666666663</v>
      </c>
      <c r="AG1059" s="46">
        <f>SUMIFS('[1]Raw Inventory'!D:D,'[1]Raw Inventory'!C:C,"GREATWALL",'[1]Raw Inventory'!B:B,A1059)</f>
        <v>16</v>
      </c>
      <c r="AH1059" s="46">
        <f>SUMIFS('[1]Raw Inventory'!D:D,'[1]Raw Inventory'!C:C,"DUARTE",'[1]Raw Inventory'!B:B,A1059)</f>
        <v>0</v>
      </c>
      <c r="AI1059" s="46"/>
      <c r="AJ1059" s="46"/>
      <c r="AK1059" s="43"/>
      <c r="AL1059" s="43"/>
      <c r="AM1059" s="43"/>
      <c r="AN1059" s="43"/>
      <c r="AO1059" s="43"/>
      <c r="AP1059" s="43"/>
      <c r="AQ1059" s="43"/>
      <c r="AR1059" s="43"/>
      <c r="AS1059" s="43"/>
      <c r="AT1059" s="43"/>
    </row>
    <row r="1060" spans="1:46">
      <c r="A1060" s="43" t="s">
        <v>18</v>
      </c>
      <c r="B1060" s="43" t="s">
        <v>121</v>
      </c>
      <c r="C1060" s="43" t="s">
        <v>118</v>
      </c>
      <c r="D1060" s="44" t="s">
        <v>267</v>
      </c>
      <c r="E1060" s="44">
        <v>28</v>
      </c>
      <c r="F1060" s="44" t="s">
        <v>3</v>
      </c>
      <c r="G1060" s="43" t="str">
        <f>IFERROR(VLOOKUP(A1060,'[1]MC Masterlist 2026-09-12'!$B:$M, 3, 0),"")</f>
        <v>HONDA</v>
      </c>
      <c r="H1060" s="45">
        <f>IFERROR(VLOOKUP(A1060,'[1]MC Masterlist 2026-09-12'!$B:$M, 6, 0),"")</f>
        <v>94330</v>
      </c>
      <c r="I1060" s="46">
        <v>0</v>
      </c>
      <c r="J1060" s="46">
        <v>0</v>
      </c>
      <c r="K1060" s="46">
        <v>0</v>
      </c>
      <c r="L1060" s="46">
        <f t="shared" si="240"/>
        <v>0</v>
      </c>
      <c r="M1060" s="46">
        <f t="shared" si="241"/>
        <v>0</v>
      </c>
      <c r="N1060" s="45">
        <f t="shared" si="242"/>
        <v>0</v>
      </c>
      <c r="O1060" s="45">
        <f t="shared" si="243"/>
        <v>0</v>
      </c>
      <c r="P1060" s="46">
        <f t="shared" si="244"/>
        <v>0</v>
      </c>
      <c r="Q1060" s="46">
        <v>2</v>
      </c>
      <c r="R1060" s="45">
        <f t="shared" si="245"/>
        <v>188660</v>
      </c>
      <c r="S1060" s="46">
        <f t="shared" si="246"/>
        <v>0</v>
      </c>
      <c r="T1060" s="46">
        <f>IFERROR(VLOOKUP(A1060,'[1]Re-order'!$A:$Q,17,0),"")</f>
        <v>113.9644970414201</v>
      </c>
      <c r="U1060" s="46">
        <f>IFERROR(VLOOKUP(A1060,'[1]MC Masterlist 2026-09-12'!$B:$M, 10, 0),0)</f>
        <v>15</v>
      </c>
      <c r="V1060" s="46">
        <f>IFERROR(VLOOKUP(A1060,'[1]MC Masterlist 2026-09-12'!$B:$M, 11, 0),0)</f>
        <v>15</v>
      </c>
      <c r="W1060" s="46">
        <f t="shared" si="247"/>
        <v>30</v>
      </c>
      <c r="X1060" s="46">
        <f t="shared" si="248"/>
        <v>30</v>
      </c>
      <c r="Y1060" s="46">
        <f>IFERROR(IF(OR(C1060="AREA I",C1060="AREA V"),7,VLOOKUP(A1060,'[1]MC Masterlist 2026-09-12'!$B:$M, 12, 0)),0)</f>
        <v>30</v>
      </c>
      <c r="Z1060" s="46">
        <f t="shared" si="249"/>
        <v>0</v>
      </c>
      <c r="AA1060" s="46">
        <f t="shared" si="250"/>
        <v>0</v>
      </c>
      <c r="AB1060" s="46">
        <f t="shared" si="251"/>
        <v>0</v>
      </c>
      <c r="AC1060" s="46">
        <f t="shared" si="252"/>
        <v>0</v>
      </c>
      <c r="AD1060" s="44" t="str">
        <f t="shared" si="253"/>
        <v>Over</v>
      </c>
      <c r="AE1060" s="44" t="str">
        <f>IFERROR(VLOOKUP(A1060,'[1]Re-order'!$A:$AA,27,0),"")</f>
        <v>Over</v>
      </c>
      <c r="AF1060" s="46">
        <f t="shared" si="254"/>
        <v>-2</v>
      </c>
      <c r="AG1060" s="46">
        <f>SUMIFS('[1]Raw Inventory'!D:D,'[1]Raw Inventory'!C:C,"GREATWALL",'[1]Raw Inventory'!B:B,A1060)</f>
        <v>88</v>
      </c>
      <c r="AH1060" s="46">
        <f>SUMIFS('[1]Raw Inventory'!D:D,'[1]Raw Inventory'!C:C,"DUARTE",'[1]Raw Inventory'!B:B,A1060)</f>
        <v>0</v>
      </c>
      <c r="AI1060" s="46"/>
      <c r="AJ1060" s="46"/>
      <c r="AK1060" s="43"/>
      <c r="AL1060" s="43"/>
      <c r="AM1060" s="43"/>
      <c r="AN1060" s="43"/>
      <c r="AO1060" s="43"/>
      <c r="AP1060" s="43"/>
      <c r="AQ1060" s="43"/>
      <c r="AR1060" s="43"/>
      <c r="AS1060" s="43"/>
      <c r="AT1060" s="43"/>
    </row>
    <row r="1061" spans="1:46">
      <c r="A1061" s="43" t="s">
        <v>18</v>
      </c>
      <c r="B1061" s="43" t="s">
        <v>113</v>
      </c>
      <c r="C1061" s="43" t="s">
        <v>109</v>
      </c>
      <c r="D1061" s="44" t="s">
        <v>242</v>
      </c>
      <c r="E1061" s="44">
        <v>33</v>
      </c>
      <c r="F1061" s="44" t="s">
        <v>3</v>
      </c>
      <c r="G1061" s="43" t="str">
        <f>IFERROR(VLOOKUP(A1061,'[1]MC Masterlist 2026-09-12'!$B:$M, 3, 0),"")</f>
        <v>HONDA</v>
      </c>
      <c r="H1061" s="45">
        <f>IFERROR(VLOOKUP(A1061,'[1]MC Masterlist 2026-09-12'!$B:$M, 6, 0),"")</f>
        <v>94330</v>
      </c>
      <c r="I1061" s="46">
        <v>0</v>
      </c>
      <c r="J1061" s="46">
        <v>0</v>
      </c>
      <c r="K1061" s="46">
        <v>0</v>
      </c>
      <c r="L1061" s="46">
        <f t="shared" si="240"/>
        <v>0</v>
      </c>
      <c r="M1061" s="46">
        <f t="shared" si="241"/>
        <v>0</v>
      </c>
      <c r="N1061" s="45">
        <f t="shared" si="242"/>
        <v>0</v>
      </c>
      <c r="O1061" s="45">
        <f t="shared" si="243"/>
        <v>0</v>
      </c>
      <c r="P1061" s="46">
        <f t="shared" si="244"/>
        <v>0</v>
      </c>
      <c r="Q1061" s="46">
        <v>3</v>
      </c>
      <c r="R1061" s="45">
        <f t="shared" si="245"/>
        <v>282990</v>
      </c>
      <c r="S1061" s="46">
        <f t="shared" si="246"/>
        <v>0</v>
      </c>
      <c r="T1061" s="46">
        <f>IFERROR(VLOOKUP(A1061,'[1]Re-order'!$A:$Q,17,0),"")</f>
        <v>113.9644970414201</v>
      </c>
      <c r="U1061" s="46">
        <f>IFERROR(VLOOKUP(A1061,'[1]MC Masterlist 2026-09-12'!$B:$M, 10, 0),0)</f>
        <v>15</v>
      </c>
      <c r="V1061" s="46">
        <f>IFERROR(VLOOKUP(A1061,'[1]MC Masterlist 2026-09-12'!$B:$M, 11, 0),0)</f>
        <v>15</v>
      </c>
      <c r="W1061" s="46">
        <f t="shared" si="247"/>
        <v>30</v>
      </c>
      <c r="X1061" s="46">
        <f t="shared" si="248"/>
        <v>30</v>
      </c>
      <c r="Y1061" s="46">
        <f>IFERROR(IF(OR(C1061="AREA I",C1061="AREA V"),7,VLOOKUP(A1061,'[1]MC Masterlist 2026-09-12'!$B:$M, 12, 0)),0)</f>
        <v>30</v>
      </c>
      <c r="Z1061" s="46">
        <f t="shared" si="249"/>
        <v>0</v>
      </c>
      <c r="AA1061" s="46">
        <f t="shared" si="250"/>
        <v>0</v>
      </c>
      <c r="AB1061" s="46">
        <f t="shared" si="251"/>
        <v>0</v>
      </c>
      <c r="AC1061" s="46">
        <f t="shared" si="252"/>
        <v>0</v>
      </c>
      <c r="AD1061" s="44" t="str">
        <f t="shared" si="253"/>
        <v>Over</v>
      </c>
      <c r="AE1061" s="44" t="str">
        <f>IFERROR(VLOOKUP(A1061,'[1]Re-order'!$A:$AA,27,0),"")</f>
        <v>Over</v>
      </c>
      <c r="AF1061" s="46">
        <f t="shared" si="254"/>
        <v>-3</v>
      </c>
      <c r="AG1061" s="46">
        <f>SUMIFS('[1]Raw Inventory'!D:D,'[1]Raw Inventory'!C:C,"GREATWALL",'[1]Raw Inventory'!B:B,A1061)</f>
        <v>88</v>
      </c>
      <c r="AH1061" s="46">
        <f>SUMIFS('[1]Raw Inventory'!D:D,'[1]Raw Inventory'!C:C,"DUARTE",'[1]Raw Inventory'!B:B,A1061)</f>
        <v>0</v>
      </c>
      <c r="AI1061" s="46"/>
      <c r="AJ1061" s="46"/>
      <c r="AK1061" s="43"/>
      <c r="AL1061" s="43"/>
      <c r="AM1061" s="43"/>
      <c r="AN1061" s="43"/>
      <c r="AO1061" s="43"/>
      <c r="AP1061" s="43"/>
      <c r="AQ1061" s="43"/>
      <c r="AR1061" s="43"/>
      <c r="AS1061" s="43"/>
      <c r="AT1061" s="43"/>
    </row>
    <row r="1062" spans="1:46">
      <c r="A1062" s="43" t="s">
        <v>43</v>
      </c>
      <c r="B1062" s="43" t="s">
        <v>94</v>
      </c>
      <c r="C1062" s="43" t="s">
        <v>90</v>
      </c>
      <c r="D1062" s="44" t="s">
        <v>223</v>
      </c>
      <c r="E1062" s="44">
        <v>24</v>
      </c>
      <c r="F1062" s="44" t="s">
        <v>3</v>
      </c>
      <c r="G1062" s="43" t="str">
        <f>IFERROR(VLOOKUP(A1062,'[1]MC Masterlist 2026-09-12'!$B:$M, 3, 0),"")</f>
        <v>YAMAHA</v>
      </c>
      <c r="H1062" s="45">
        <f>IFERROR(VLOOKUP(A1062,'[1]MC Masterlist 2026-09-12'!$B:$M, 6, 0),"")</f>
        <v>70587</v>
      </c>
      <c r="I1062" s="46">
        <v>1</v>
      </c>
      <c r="J1062" s="46">
        <v>0</v>
      </c>
      <c r="K1062" s="46">
        <v>0</v>
      </c>
      <c r="L1062" s="46">
        <f t="shared" si="240"/>
        <v>1</v>
      </c>
      <c r="M1062" s="46">
        <f t="shared" si="241"/>
        <v>0.33333333333333331</v>
      </c>
      <c r="N1062" s="45">
        <f t="shared" si="242"/>
        <v>70587</v>
      </c>
      <c r="O1062" s="45">
        <f t="shared" si="243"/>
        <v>23529</v>
      </c>
      <c r="P1062" s="46">
        <f t="shared" si="244"/>
        <v>1.111111111111111E-2</v>
      </c>
      <c r="Q1062" s="46"/>
      <c r="R1062" s="45">
        <f t="shared" si="245"/>
        <v>0</v>
      </c>
      <c r="S1062" s="46">
        <f t="shared" si="246"/>
        <v>0</v>
      </c>
      <c r="T1062" s="46">
        <f>IFERROR(VLOOKUP(A1062,'[1]Re-order'!$A:$Q,17,0),"")</f>
        <v>43.578947368421055</v>
      </c>
      <c r="U1062" s="46">
        <f>IFERROR(VLOOKUP(A1062,'[1]MC Masterlist 2026-09-12'!$B:$M, 10, 0),0)</f>
        <v>15</v>
      </c>
      <c r="V1062" s="46">
        <f>IFERROR(VLOOKUP(A1062,'[1]MC Masterlist 2026-09-12'!$B:$M, 11, 0),0)</f>
        <v>15</v>
      </c>
      <c r="W1062" s="46">
        <f t="shared" si="247"/>
        <v>30</v>
      </c>
      <c r="X1062" s="46">
        <f t="shared" si="248"/>
        <v>29.833333333333332</v>
      </c>
      <c r="Y1062" s="46">
        <f>IFERROR(IF(OR(C1062="AREA I",C1062="AREA V"),7,VLOOKUP(A1062,'[1]MC Masterlist 2026-09-12'!$B:$M, 12, 0)),0)</f>
        <v>30</v>
      </c>
      <c r="Z1062" s="46">
        <f t="shared" si="249"/>
        <v>0.16666666666666666</v>
      </c>
      <c r="AA1062" s="46">
        <f t="shared" si="250"/>
        <v>0.33333333333333331</v>
      </c>
      <c r="AB1062" s="46">
        <f t="shared" si="251"/>
        <v>0.33148148148148143</v>
      </c>
      <c r="AC1062" s="46">
        <f t="shared" si="252"/>
        <v>0.33333333333333331</v>
      </c>
      <c r="AD1062" s="44" t="str">
        <f t="shared" si="253"/>
        <v>Stockout</v>
      </c>
      <c r="AE1062" s="44" t="str">
        <f>IFERROR(VLOOKUP(A1062,'[1]Re-order'!$A:$AA,27,0),"")</f>
        <v>Re-order</v>
      </c>
      <c r="AF1062" s="46">
        <f t="shared" si="254"/>
        <v>0.33333333333333331</v>
      </c>
      <c r="AG1062" s="46">
        <f>SUMIFS('[1]Raw Inventory'!D:D,'[1]Raw Inventory'!C:C,"GREATWALL",'[1]Raw Inventory'!B:B,A1062)</f>
        <v>0</v>
      </c>
      <c r="AH1062" s="46">
        <f>SUMIFS('[1]Raw Inventory'!D:D,'[1]Raw Inventory'!C:C,"DUARTE",'[1]Raw Inventory'!B:B,A1062)</f>
        <v>0</v>
      </c>
      <c r="AI1062" s="46"/>
      <c r="AJ1062" s="46"/>
      <c r="AK1062" s="43"/>
      <c r="AL1062" s="43"/>
      <c r="AM1062" s="43"/>
      <c r="AN1062" s="43"/>
      <c r="AO1062" s="43"/>
      <c r="AP1062" s="43"/>
      <c r="AQ1062" s="43"/>
      <c r="AR1062" s="43"/>
      <c r="AS1062" s="43"/>
      <c r="AT1062" s="43"/>
    </row>
    <row r="1063" spans="1:46">
      <c r="A1063" s="43" t="s">
        <v>83</v>
      </c>
      <c r="B1063" s="43" t="s">
        <v>155</v>
      </c>
      <c r="C1063" s="43" t="s">
        <v>152</v>
      </c>
      <c r="D1063" s="44" t="s">
        <v>231</v>
      </c>
      <c r="E1063" s="44">
        <v>27</v>
      </c>
      <c r="F1063" s="44" t="s">
        <v>3</v>
      </c>
      <c r="G1063" s="43" t="str">
        <f>IFERROR(VLOOKUP(A1063,'[1]MC Masterlist 2026-09-12'!$B:$M, 3, 0),"")</f>
        <v>SKYGO</v>
      </c>
      <c r="H1063" s="45">
        <f>IFERROR(VLOOKUP(A1063,'[1]MC Masterlist 2026-09-12'!$B:$M, 6, 0),"")</f>
        <v>35055</v>
      </c>
      <c r="I1063" s="46">
        <v>0</v>
      </c>
      <c r="J1063" s="46">
        <v>0</v>
      </c>
      <c r="K1063" s="46">
        <v>0</v>
      </c>
      <c r="L1063" s="46">
        <f t="shared" si="240"/>
        <v>0</v>
      </c>
      <c r="M1063" s="46">
        <f t="shared" si="241"/>
        <v>0</v>
      </c>
      <c r="N1063" s="45">
        <f t="shared" si="242"/>
        <v>0</v>
      </c>
      <c r="O1063" s="45">
        <f t="shared" si="243"/>
        <v>0</v>
      </c>
      <c r="P1063" s="46">
        <f t="shared" si="244"/>
        <v>0</v>
      </c>
      <c r="Q1063" s="46">
        <v>1</v>
      </c>
      <c r="R1063" s="45">
        <f t="shared" si="245"/>
        <v>35055</v>
      </c>
      <c r="S1063" s="46">
        <f t="shared" si="246"/>
        <v>0</v>
      </c>
      <c r="T1063" s="46">
        <f>IFERROR(VLOOKUP(A1063,'[1]Re-order'!$A:$Q,17,0),"")</f>
        <v>313.2</v>
      </c>
      <c r="U1063" s="46">
        <f>IFERROR(VLOOKUP(A1063,'[1]MC Masterlist 2026-09-12'!$B:$M, 10, 0),0)</f>
        <v>15</v>
      </c>
      <c r="V1063" s="46">
        <f>IFERROR(VLOOKUP(A1063,'[1]MC Masterlist 2026-09-12'!$B:$M, 11, 0),0)</f>
        <v>15</v>
      </c>
      <c r="W1063" s="46">
        <f t="shared" si="247"/>
        <v>30</v>
      </c>
      <c r="X1063" s="46">
        <f t="shared" si="248"/>
        <v>30</v>
      </c>
      <c r="Y1063" s="46">
        <f>IFERROR(IF(OR(C1063="AREA I",C1063="AREA V"),7,VLOOKUP(A1063,'[1]MC Masterlist 2026-09-12'!$B:$M, 12, 0)),0)</f>
        <v>30</v>
      </c>
      <c r="Z1063" s="46">
        <f t="shared" si="249"/>
        <v>0</v>
      </c>
      <c r="AA1063" s="46">
        <f t="shared" si="250"/>
        <v>0</v>
      </c>
      <c r="AB1063" s="46">
        <f t="shared" si="251"/>
        <v>0</v>
      </c>
      <c r="AC1063" s="46">
        <f t="shared" si="252"/>
        <v>0</v>
      </c>
      <c r="AD1063" s="44" t="str">
        <f t="shared" si="253"/>
        <v>Over</v>
      </c>
      <c r="AE1063" s="44" t="str">
        <f>IFERROR(VLOOKUP(A1063,'[1]Re-order'!$A:$AA,27,0),"")</f>
        <v>Over</v>
      </c>
      <c r="AF1063" s="46">
        <f t="shared" si="254"/>
        <v>-1</v>
      </c>
      <c r="AG1063" s="46">
        <f>SUMIFS('[1]Raw Inventory'!D:D,'[1]Raw Inventory'!C:C,"GREATWALL",'[1]Raw Inventory'!B:B,A1063)</f>
        <v>33</v>
      </c>
      <c r="AH1063" s="46">
        <f>SUMIFS('[1]Raw Inventory'!D:D,'[1]Raw Inventory'!C:C,"DUARTE",'[1]Raw Inventory'!B:B,A1063)</f>
        <v>0</v>
      </c>
      <c r="AI1063" s="46"/>
      <c r="AJ1063" s="46"/>
      <c r="AK1063" s="43"/>
      <c r="AL1063" s="43"/>
      <c r="AM1063" s="43"/>
      <c r="AN1063" s="43"/>
      <c r="AO1063" s="43"/>
      <c r="AP1063" s="43"/>
      <c r="AQ1063" s="43"/>
      <c r="AR1063" s="43"/>
      <c r="AS1063" s="43"/>
      <c r="AT1063" s="43"/>
    </row>
    <row r="1064" spans="1:46">
      <c r="A1064" s="43" t="s">
        <v>28</v>
      </c>
      <c r="B1064" s="43" t="s">
        <v>21</v>
      </c>
      <c r="C1064" s="43" t="s">
        <v>1</v>
      </c>
      <c r="D1064" s="44" t="s">
        <v>246</v>
      </c>
      <c r="E1064" s="44">
        <v>14</v>
      </c>
      <c r="F1064" s="44" t="s">
        <v>2</v>
      </c>
      <c r="G1064" s="43" t="str">
        <f>IFERROR(VLOOKUP(A1064,'[1]MC Masterlist 2026-09-12'!$B:$M, 3, 0),"")</f>
        <v>YAMAHA</v>
      </c>
      <c r="H1064" s="45">
        <f>IFERROR(VLOOKUP(A1064,'[1]MC Masterlist 2026-09-12'!$B:$M, 6, 0),"")</f>
        <v>147312</v>
      </c>
      <c r="I1064" s="46">
        <v>1</v>
      </c>
      <c r="J1064" s="46">
        <v>1</v>
      </c>
      <c r="K1064" s="46">
        <v>0</v>
      </c>
      <c r="L1064" s="46">
        <f t="shared" si="240"/>
        <v>2</v>
      </c>
      <c r="M1064" s="46">
        <f t="shared" si="241"/>
        <v>0.66666666666666663</v>
      </c>
      <c r="N1064" s="45">
        <f t="shared" si="242"/>
        <v>294624</v>
      </c>
      <c r="O1064" s="45">
        <f t="shared" si="243"/>
        <v>98208</v>
      </c>
      <c r="P1064" s="46">
        <f t="shared" si="244"/>
        <v>2.222222222222222E-2</v>
      </c>
      <c r="Q1064" s="46"/>
      <c r="R1064" s="45">
        <f t="shared" si="245"/>
        <v>0</v>
      </c>
      <c r="S1064" s="46">
        <f t="shared" si="246"/>
        <v>0</v>
      </c>
      <c r="T1064" s="46">
        <f>IFERROR(VLOOKUP(A1064,'[1]Re-order'!$A:$Q,17,0),"")</f>
        <v>8.2417582417582427</v>
      </c>
      <c r="U1064" s="46">
        <f>IFERROR(VLOOKUP(A1064,'[1]MC Masterlist 2026-09-12'!$B:$M, 10, 0),0)</f>
        <v>15</v>
      </c>
      <c r="V1064" s="46">
        <f>IFERROR(VLOOKUP(A1064,'[1]MC Masterlist 2026-09-12'!$B:$M, 11, 0),0)</f>
        <v>15</v>
      </c>
      <c r="W1064" s="46">
        <f t="shared" si="247"/>
        <v>30</v>
      </c>
      <c r="X1064" s="46">
        <f t="shared" si="248"/>
        <v>6.666666666666667</v>
      </c>
      <c r="Y1064" s="46">
        <f>IFERROR(IF(OR(C1064="AREA I",C1064="AREA V"),7,VLOOKUP(A1064,'[1]MC Masterlist 2026-09-12'!$B:$M, 12, 0)),0)</f>
        <v>7</v>
      </c>
      <c r="Z1064" s="46">
        <f t="shared" si="249"/>
        <v>0.33333333333333331</v>
      </c>
      <c r="AA1064" s="46">
        <f t="shared" si="250"/>
        <v>0.66666666666666663</v>
      </c>
      <c r="AB1064" s="46">
        <f t="shared" si="251"/>
        <v>0.14814814814814814</v>
      </c>
      <c r="AC1064" s="46">
        <f t="shared" si="252"/>
        <v>0.15555555555555553</v>
      </c>
      <c r="AD1064" s="44" t="str">
        <f t="shared" si="253"/>
        <v>Stockout</v>
      </c>
      <c r="AE1064" s="44" t="str">
        <f>IFERROR(VLOOKUP(A1064,'[1]Re-order'!$A:$AA,27,0),"")</f>
        <v>Stockout</v>
      </c>
      <c r="AF1064" s="46">
        <f t="shared" si="254"/>
        <v>0.15555555555555553</v>
      </c>
      <c r="AG1064" s="46">
        <f>SUMIFS('[1]Raw Inventory'!D:D,'[1]Raw Inventory'!C:C,"GREATWALL",'[1]Raw Inventory'!B:B,A1064)</f>
        <v>0</v>
      </c>
      <c r="AH1064" s="46">
        <f>SUMIFS('[1]Raw Inventory'!D:D,'[1]Raw Inventory'!C:C,"DUARTE",'[1]Raw Inventory'!B:B,A1064)</f>
        <v>0</v>
      </c>
      <c r="AI1064" s="46"/>
      <c r="AJ1064" s="46"/>
      <c r="AK1064" s="43"/>
      <c r="AL1064" s="43"/>
      <c r="AM1064" s="43"/>
      <c r="AN1064" s="43"/>
      <c r="AO1064" s="43"/>
      <c r="AP1064" s="43"/>
      <c r="AQ1064" s="43"/>
      <c r="AR1064" s="43"/>
      <c r="AS1064" s="43"/>
      <c r="AT1064" s="43"/>
    </row>
    <row r="1065" spans="1:46">
      <c r="A1065" s="43" t="s">
        <v>52</v>
      </c>
      <c r="B1065" s="43" t="s">
        <v>21</v>
      </c>
      <c r="C1065" s="43" t="s">
        <v>1</v>
      </c>
      <c r="D1065" s="44" t="s">
        <v>257</v>
      </c>
      <c r="E1065" s="44">
        <v>24</v>
      </c>
      <c r="F1065" s="44" t="s">
        <v>3</v>
      </c>
      <c r="G1065" s="43" t="str">
        <f>IFERROR(VLOOKUP(A1065,'[1]MC Masterlist 2026-09-12'!$B:$M, 3, 0),"")</f>
        <v>YAMAHA</v>
      </c>
      <c r="H1065" s="45">
        <f>IFERROR(VLOOKUP(A1065,'[1]MC Masterlist 2026-09-12'!$B:$M, 6, 0),"")</f>
        <v>85446</v>
      </c>
      <c r="I1065" s="46">
        <v>0</v>
      </c>
      <c r="J1065" s="46">
        <v>0</v>
      </c>
      <c r="K1065" s="46">
        <v>1</v>
      </c>
      <c r="L1065" s="46">
        <f t="shared" si="240"/>
        <v>1</v>
      </c>
      <c r="M1065" s="46">
        <f t="shared" si="241"/>
        <v>0.33333333333333331</v>
      </c>
      <c r="N1065" s="45">
        <f t="shared" si="242"/>
        <v>85446</v>
      </c>
      <c r="O1065" s="45">
        <f t="shared" si="243"/>
        <v>28482</v>
      </c>
      <c r="P1065" s="46">
        <f t="shared" si="244"/>
        <v>1.111111111111111E-2</v>
      </c>
      <c r="Q1065" s="46">
        <v>1</v>
      </c>
      <c r="R1065" s="45">
        <f t="shared" si="245"/>
        <v>85446</v>
      </c>
      <c r="S1065" s="46">
        <f t="shared" si="246"/>
        <v>90</v>
      </c>
      <c r="T1065" s="46">
        <f>IFERROR(VLOOKUP(A1065,'[1]Re-order'!$A:$Q,17,0),"")</f>
        <v>95.454545454545453</v>
      </c>
      <c r="U1065" s="46">
        <f>IFERROR(VLOOKUP(A1065,'[1]MC Masterlist 2026-09-12'!$B:$M, 10, 0),0)</f>
        <v>15</v>
      </c>
      <c r="V1065" s="46">
        <f>IFERROR(VLOOKUP(A1065,'[1]MC Masterlist 2026-09-12'!$B:$M, 11, 0),0)</f>
        <v>15</v>
      </c>
      <c r="W1065" s="46">
        <f t="shared" si="247"/>
        <v>30</v>
      </c>
      <c r="X1065" s="46">
        <f t="shared" si="248"/>
        <v>6.833333333333333</v>
      </c>
      <c r="Y1065" s="46">
        <f>IFERROR(IF(OR(C1065="AREA I",C1065="AREA V"),7,VLOOKUP(A1065,'[1]MC Masterlist 2026-09-12'!$B:$M, 12, 0)),0)</f>
        <v>7</v>
      </c>
      <c r="Z1065" s="46">
        <f t="shared" si="249"/>
        <v>0.16666666666666666</v>
      </c>
      <c r="AA1065" s="46">
        <f t="shared" si="250"/>
        <v>0.33333333333333331</v>
      </c>
      <c r="AB1065" s="46">
        <f t="shared" si="251"/>
        <v>7.5925925925925911E-2</v>
      </c>
      <c r="AC1065" s="46">
        <f t="shared" si="252"/>
        <v>7.7777777777777765E-2</v>
      </c>
      <c r="AD1065" s="44" t="str">
        <f t="shared" si="253"/>
        <v>Over</v>
      </c>
      <c r="AE1065" s="44" t="str">
        <f>IFERROR(VLOOKUP(A1065,'[1]Re-order'!$A:$AA,27,0),"")</f>
        <v>Over</v>
      </c>
      <c r="AF1065" s="46">
        <f t="shared" si="254"/>
        <v>-0.92222222222222228</v>
      </c>
      <c r="AG1065" s="46">
        <f>SUMIFS('[1]Raw Inventory'!D:D,'[1]Raw Inventory'!C:C,"GREATWALL",'[1]Raw Inventory'!B:B,A1065)</f>
        <v>0</v>
      </c>
      <c r="AH1065" s="46">
        <f>SUMIFS('[1]Raw Inventory'!D:D,'[1]Raw Inventory'!C:C,"DUARTE",'[1]Raw Inventory'!B:B,A1065)</f>
        <v>0</v>
      </c>
      <c r="AI1065" s="46"/>
      <c r="AJ1065" s="46"/>
      <c r="AK1065" s="43"/>
      <c r="AL1065" s="43"/>
      <c r="AM1065" s="43"/>
      <c r="AN1065" s="43"/>
      <c r="AO1065" s="43"/>
      <c r="AP1065" s="43"/>
      <c r="AQ1065" s="43"/>
      <c r="AR1065" s="43"/>
      <c r="AS1065" s="43"/>
      <c r="AT1065" s="43"/>
    </row>
    <row r="1066" spans="1:46">
      <c r="A1066" s="43" t="s">
        <v>26</v>
      </c>
      <c r="B1066" s="43" t="s">
        <v>123</v>
      </c>
      <c r="C1066" s="43" t="s">
        <v>118</v>
      </c>
      <c r="D1066" s="44" t="s">
        <v>236</v>
      </c>
      <c r="E1066" s="44">
        <v>8</v>
      </c>
      <c r="F1066" s="44" t="s">
        <v>2</v>
      </c>
      <c r="G1066" s="43" t="str">
        <f>IFERROR(VLOOKUP(A1066,'[1]MC Masterlist 2026-09-12'!$B:$M, 3, 0),"")</f>
        <v>SUZUKI</v>
      </c>
      <c r="H1066" s="45">
        <f>IFERROR(VLOOKUP(A1066,'[1]MC Masterlist 2026-09-12'!$B:$M, 6, 0),"")</f>
        <v>123700</v>
      </c>
      <c r="I1066" s="46">
        <v>2</v>
      </c>
      <c r="J1066" s="46">
        <v>0</v>
      </c>
      <c r="K1066" s="46">
        <v>0</v>
      </c>
      <c r="L1066" s="46">
        <f t="shared" si="240"/>
        <v>2</v>
      </c>
      <c r="M1066" s="46">
        <f t="shared" si="241"/>
        <v>0.66666666666666663</v>
      </c>
      <c r="N1066" s="45">
        <f t="shared" si="242"/>
        <v>247400</v>
      </c>
      <c r="O1066" s="45">
        <f t="shared" si="243"/>
        <v>82466.666666666657</v>
      </c>
      <c r="P1066" s="46">
        <f t="shared" si="244"/>
        <v>2.222222222222222E-2</v>
      </c>
      <c r="Q1066" s="46">
        <v>5</v>
      </c>
      <c r="R1066" s="45">
        <f t="shared" si="245"/>
        <v>618500</v>
      </c>
      <c r="S1066" s="46">
        <f t="shared" si="246"/>
        <v>225.00000000000003</v>
      </c>
      <c r="T1066" s="46">
        <f>IFERROR(VLOOKUP(A1066,'[1]Re-order'!$A:$Q,17,0),"")</f>
        <v>71.470588235294116</v>
      </c>
      <c r="U1066" s="46">
        <f>IFERROR(VLOOKUP(A1066,'[1]MC Masterlist 2026-09-12'!$B:$M, 10, 0),0)</f>
        <v>15</v>
      </c>
      <c r="V1066" s="46">
        <f>IFERROR(VLOOKUP(A1066,'[1]MC Masterlist 2026-09-12'!$B:$M, 11, 0),0)</f>
        <v>15</v>
      </c>
      <c r="W1066" s="46">
        <f t="shared" si="247"/>
        <v>30</v>
      </c>
      <c r="X1066" s="46">
        <f t="shared" si="248"/>
        <v>29.666666666666668</v>
      </c>
      <c r="Y1066" s="46">
        <f>IFERROR(IF(OR(C1066="AREA I",C1066="AREA V"),7,VLOOKUP(A1066,'[1]MC Masterlist 2026-09-12'!$B:$M, 12, 0)),0)</f>
        <v>30</v>
      </c>
      <c r="Z1066" s="46">
        <f t="shared" si="249"/>
        <v>0.33333333333333331</v>
      </c>
      <c r="AA1066" s="46">
        <f t="shared" si="250"/>
        <v>0.66666666666666663</v>
      </c>
      <c r="AB1066" s="46">
        <f t="shared" si="251"/>
        <v>0.65925925925925921</v>
      </c>
      <c r="AC1066" s="46">
        <f t="shared" si="252"/>
        <v>0.66666666666666663</v>
      </c>
      <c r="AD1066" s="44" t="str">
        <f t="shared" si="253"/>
        <v>Over</v>
      </c>
      <c r="AE1066" s="44" t="str">
        <f>IFERROR(VLOOKUP(A1066,'[1]Re-order'!$A:$AA,27,0),"")</f>
        <v>Re-order</v>
      </c>
      <c r="AF1066" s="46">
        <f t="shared" si="254"/>
        <v>-4.333333333333333</v>
      </c>
      <c r="AG1066" s="46">
        <f>SUMIFS('[1]Raw Inventory'!D:D,'[1]Raw Inventory'!C:C,"GREATWALL",'[1]Raw Inventory'!B:B,A1066)</f>
        <v>30</v>
      </c>
      <c r="AH1066" s="46">
        <f>SUMIFS('[1]Raw Inventory'!D:D,'[1]Raw Inventory'!C:C,"DUARTE",'[1]Raw Inventory'!B:B,A1066)</f>
        <v>0</v>
      </c>
      <c r="AI1066" s="46"/>
      <c r="AJ1066" s="46"/>
      <c r="AK1066" s="43"/>
      <c r="AL1066" s="43"/>
      <c r="AM1066" s="43"/>
      <c r="AN1066" s="43"/>
      <c r="AO1066" s="43"/>
      <c r="AP1066" s="43"/>
      <c r="AQ1066" s="43"/>
      <c r="AR1066" s="43"/>
      <c r="AS1066" s="43"/>
      <c r="AT1066" s="43"/>
    </row>
    <row r="1067" spans="1:46">
      <c r="A1067" s="43" t="s">
        <v>47</v>
      </c>
      <c r="B1067" s="43" t="s">
        <v>114</v>
      </c>
      <c r="C1067" s="43" t="s">
        <v>109</v>
      </c>
      <c r="D1067" s="44" t="s">
        <v>252</v>
      </c>
      <c r="E1067" s="44">
        <v>18</v>
      </c>
      <c r="F1067" s="44" t="s">
        <v>2</v>
      </c>
      <c r="G1067" s="43" t="str">
        <f>IFERROR(VLOOKUP(A1067,'[1]MC Masterlist 2026-09-12'!$B:$M, 3, 0),"")</f>
        <v>YAMAHA</v>
      </c>
      <c r="H1067" s="45">
        <f>IFERROR(VLOOKUP(A1067,'[1]MC Masterlist 2026-09-12'!$B:$M, 6, 0),"")</f>
        <v>76167</v>
      </c>
      <c r="I1067" s="46">
        <v>0</v>
      </c>
      <c r="J1067" s="46">
        <v>2</v>
      </c>
      <c r="K1067" s="46">
        <v>1</v>
      </c>
      <c r="L1067" s="46">
        <f t="shared" si="240"/>
        <v>3</v>
      </c>
      <c r="M1067" s="46">
        <f t="shared" si="241"/>
        <v>1</v>
      </c>
      <c r="N1067" s="45">
        <f t="shared" si="242"/>
        <v>228501</v>
      </c>
      <c r="O1067" s="45">
        <f t="shared" si="243"/>
        <v>76167</v>
      </c>
      <c r="P1067" s="46">
        <f t="shared" si="244"/>
        <v>3.3333333333333333E-2</v>
      </c>
      <c r="Q1067" s="46"/>
      <c r="R1067" s="45">
        <f t="shared" si="245"/>
        <v>0</v>
      </c>
      <c r="S1067" s="46">
        <f t="shared" si="246"/>
        <v>0</v>
      </c>
      <c r="T1067" s="46">
        <f>IFERROR(VLOOKUP(A1067,'[1]Re-order'!$A:$Q,17,0),"")</f>
        <v>86.666666666666671</v>
      </c>
      <c r="U1067" s="46">
        <f>IFERROR(VLOOKUP(A1067,'[1]MC Masterlist 2026-09-12'!$B:$M, 10, 0),0)</f>
        <v>15</v>
      </c>
      <c r="V1067" s="46">
        <f>IFERROR(VLOOKUP(A1067,'[1]MC Masterlist 2026-09-12'!$B:$M, 11, 0),0)</f>
        <v>15</v>
      </c>
      <c r="W1067" s="46">
        <f t="shared" si="247"/>
        <v>30</v>
      </c>
      <c r="X1067" s="46">
        <f t="shared" si="248"/>
        <v>29.5</v>
      </c>
      <c r="Y1067" s="46">
        <f>IFERROR(IF(OR(C1067="AREA I",C1067="AREA V"),7,VLOOKUP(A1067,'[1]MC Masterlist 2026-09-12'!$B:$M, 12, 0)),0)</f>
        <v>30</v>
      </c>
      <c r="Z1067" s="46">
        <f t="shared" si="249"/>
        <v>0.5</v>
      </c>
      <c r="AA1067" s="46">
        <f t="shared" si="250"/>
        <v>1</v>
      </c>
      <c r="AB1067" s="46">
        <f t="shared" si="251"/>
        <v>0.98333333333333328</v>
      </c>
      <c r="AC1067" s="46">
        <f t="shared" si="252"/>
        <v>1</v>
      </c>
      <c r="AD1067" s="44" t="str">
        <f t="shared" si="253"/>
        <v>Stockout</v>
      </c>
      <c r="AE1067" s="44" t="str">
        <f>IFERROR(VLOOKUP(A1067,'[1]Re-order'!$A:$AA,27,0),"")</f>
        <v/>
      </c>
      <c r="AF1067" s="46">
        <f t="shared" si="254"/>
        <v>1</v>
      </c>
      <c r="AG1067" s="46">
        <f>SUMIFS('[1]Raw Inventory'!D:D,'[1]Raw Inventory'!C:C,"GREATWALL",'[1]Raw Inventory'!B:B,A1067)</f>
        <v>1</v>
      </c>
      <c r="AH1067" s="46">
        <f>SUMIFS('[1]Raw Inventory'!D:D,'[1]Raw Inventory'!C:C,"DUARTE",'[1]Raw Inventory'!B:B,A1067)</f>
        <v>0</v>
      </c>
      <c r="AI1067" s="46"/>
      <c r="AJ1067" s="46"/>
      <c r="AK1067" s="43"/>
      <c r="AL1067" s="43"/>
      <c r="AM1067" s="43"/>
      <c r="AN1067" s="43"/>
      <c r="AO1067" s="43"/>
      <c r="AP1067" s="43"/>
      <c r="AQ1067" s="43"/>
      <c r="AR1067" s="43"/>
      <c r="AS1067" s="43"/>
      <c r="AT1067" s="43"/>
    </row>
    <row r="1068" spans="1:46">
      <c r="A1068" s="43" t="s">
        <v>23</v>
      </c>
      <c r="B1068" s="43" t="s">
        <v>30</v>
      </c>
      <c r="C1068" s="43" t="s">
        <v>1</v>
      </c>
      <c r="D1068" s="44" t="s">
        <v>227</v>
      </c>
      <c r="E1068" s="44">
        <v>1</v>
      </c>
      <c r="F1068" s="44" t="s">
        <v>0</v>
      </c>
      <c r="G1068" s="43" t="str">
        <f>IFERROR(VLOOKUP(A1068,'[1]MC Masterlist 2026-09-12'!$B:$M, 3, 0),"")</f>
        <v>KAWASAKI</v>
      </c>
      <c r="H1068" s="45">
        <f>IFERROR(VLOOKUP(A1068,'[1]MC Masterlist 2026-09-12'!$B:$M, 6, 0),"")</f>
        <v>60656</v>
      </c>
      <c r="I1068" s="46">
        <v>25</v>
      </c>
      <c r="J1068" s="46">
        <v>18</v>
      </c>
      <c r="K1068" s="46">
        <v>17</v>
      </c>
      <c r="L1068" s="46">
        <f t="shared" si="240"/>
        <v>60</v>
      </c>
      <c r="M1068" s="46">
        <f t="shared" si="241"/>
        <v>20</v>
      </c>
      <c r="N1068" s="45">
        <f t="shared" si="242"/>
        <v>3639360</v>
      </c>
      <c r="O1068" s="45">
        <f t="shared" si="243"/>
        <v>1213120</v>
      </c>
      <c r="P1068" s="46">
        <f t="shared" si="244"/>
        <v>0.66666666666666663</v>
      </c>
      <c r="Q1068" s="46">
        <v>8</v>
      </c>
      <c r="R1068" s="45">
        <f t="shared" si="245"/>
        <v>485248</v>
      </c>
      <c r="S1068" s="46">
        <f t="shared" si="246"/>
        <v>12</v>
      </c>
      <c r="T1068" s="46">
        <f>IFERROR(VLOOKUP(A1068,'[1]Re-order'!$A:$Q,17,0),"")</f>
        <v>53.973412112259979</v>
      </c>
      <c r="U1068" s="46">
        <f>IFERROR(VLOOKUP(A1068,'[1]MC Masterlist 2026-09-12'!$B:$M, 10, 0),0)</f>
        <v>15</v>
      </c>
      <c r="V1068" s="46">
        <f>IFERROR(VLOOKUP(A1068,'[1]MC Masterlist 2026-09-12'!$B:$M, 11, 0),0)</f>
        <v>15</v>
      </c>
      <c r="W1068" s="46">
        <f t="shared" si="247"/>
        <v>30</v>
      </c>
      <c r="X1068" s="46">
        <f t="shared" si="248"/>
        <v>-3</v>
      </c>
      <c r="Y1068" s="46">
        <f>IFERROR(IF(OR(C1068="AREA I",C1068="AREA V"),7,VLOOKUP(A1068,'[1]MC Masterlist 2026-09-12'!$B:$M, 12, 0)),0)</f>
        <v>7</v>
      </c>
      <c r="Z1068" s="46">
        <f t="shared" si="249"/>
        <v>10</v>
      </c>
      <c r="AA1068" s="46">
        <f t="shared" si="250"/>
        <v>20</v>
      </c>
      <c r="AB1068" s="46">
        <f t="shared" si="251"/>
        <v>-2</v>
      </c>
      <c r="AC1068" s="46">
        <f t="shared" si="252"/>
        <v>4.6666666666666661</v>
      </c>
      <c r="AD1068" s="44" t="str">
        <f t="shared" si="253"/>
        <v>Over</v>
      </c>
      <c r="AE1068" s="44" t="str">
        <f>IFERROR(VLOOKUP(A1068,'[1]Re-order'!$A:$AA,27,0),"")</f>
        <v>Re-order</v>
      </c>
      <c r="AF1068" s="46">
        <f t="shared" si="254"/>
        <v>-3.3333333333333339</v>
      </c>
      <c r="AG1068" s="46">
        <f>SUMIFS('[1]Raw Inventory'!D:D,'[1]Raw Inventory'!C:C,"GREATWALL",'[1]Raw Inventory'!B:B,A1068)</f>
        <v>282</v>
      </c>
      <c r="AH1068" s="46">
        <f>SUMIFS('[1]Raw Inventory'!D:D,'[1]Raw Inventory'!C:C,"DUARTE",'[1]Raw Inventory'!B:B,A1068)</f>
        <v>0</v>
      </c>
      <c r="AI1068" s="46"/>
      <c r="AJ1068" s="46"/>
      <c r="AK1068" s="43"/>
      <c r="AL1068" s="43"/>
      <c r="AM1068" s="43"/>
      <c r="AN1068" s="43"/>
      <c r="AO1068" s="43"/>
      <c r="AP1068" s="43"/>
      <c r="AQ1068" s="43"/>
      <c r="AR1068" s="43"/>
      <c r="AS1068" s="43"/>
      <c r="AT1068" s="43"/>
    </row>
    <row r="1069" spans="1:46">
      <c r="A1069" s="43" t="s">
        <v>67</v>
      </c>
      <c r="B1069" s="43" t="s">
        <v>111</v>
      </c>
      <c r="C1069" s="43" t="s">
        <v>109</v>
      </c>
      <c r="D1069" s="44" t="s">
        <v>239</v>
      </c>
      <c r="E1069" s="44">
        <v>29</v>
      </c>
      <c r="F1069" s="44" t="s">
        <v>3</v>
      </c>
      <c r="G1069" s="43" t="str">
        <f>IFERROR(VLOOKUP(A1069,'[1]MC Masterlist 2026-09-12'!$B:$M, 3, 0),"")</f>
        <v>YAMAHA</v>
      </c>
      <c r="H1069" s="45">
        <f>IFERROR(VLOOKUP(A1069,'[1]MC Masterlist 2026-09-12'!$B:$M, 6, 0),"")</f>
        <v>86397</v>
      </c>
      <c r="I1069" s="46">
        <v>0</v>
      </c>
      <c r="J1069" s="46">
        <v>0</v>
      </c>
      <c r="K1069" s="46">
        <v>0</v>
      </c>
      <c r="L1069" s="46">
        <f t="shared" si="240"/>
        <v>0</v>
      </c>
      <c r="M1069" s="46">
        <f t="shared" si="241"/>
        <v>0</v>
      </c>
      <c r="N1069" s="45">
        <f t="shared" si="242"/>
        <v>0</v>
      </c>
      <c r="O1069" s="45">
        <f t="shared" si="243"/>
        <v>0</v>
      </c>
      <c r="P1069" s="46">
        <f t="shared" si="244"/>
        <v>0</v>
      </c>
      <c r="Q1069" s="46">
        <v>1</v>
      </c>
      <c r="R1069" s="45">
        <f t="shared" si="245"/>
        <v>86397</v>
      </c>
      <c r="S1069" s="46">
        <f t="shared" si="246"/>
        <v>0</v>
      </c>
      <c r="T1069" s="46">
        <f>IFERROR(VLOOKUP(A1069,'[1]Re-order'!$A:$Q,17,0),"")</f>
        <v>73.63636363636364</v>
      </c>
      <c r="U1069" s="46">
        <f>IFERROR(VLOOKUP(A1069,'[1]MC Masterlist 2026-09-12'!$B:$M, 10, 0),0)</f>
        <v>15</v>
      </c>
      <c r="V1069" s="46">
        <f>IFERROR(VLOOKUP(A1069,'[1]MC Masterlist 2026-09-12'!$B:$M, 11, 0),0)</f>
        <v>15</v>
      </c>
      <c r="W1069" s="46">
        <f t="shared" si="247"/>
        <v>30</v>
      </c>
      <c r="X1069" s="46">
        <f t="shared" si="248"/>
        <v>30</v>
      </c>
      <c r="Y1069" s="46">
        <f>IFERROR(IF(OR(C1069="AREA I",C1069="AREA V"),7,VLOOKUP(A1069,'[1]MC Masterlist 2026-09-12'!$B:$M, 12, 0)),0)</f>
        <v>30</v>
      </c>
      <c r="Z1069" s="46">
        <f t="shared" si="249"/>
        <v>0</v>
      </c>
      <c r="AA1069" s="46">
        <f t="shared" si="250"/>
        <v>0</v>
      </c>
      <c r="AB1069" s="46">
        <f t="shared" si="251"/>
        <v>0</v>
      </c>
      <c r="AC1069" s="46">
        <f t="shared" si="252"/>
        <v>0</v>
      </c>
      <c r="AD1069" s="44" t="str">
        <f t="shared" si="253"/>
        <v>Over</v>
      </c>
      <c r="AE1069" s="44" t="str">
        <f>IFERROR(VLOOKUP(A1069,'[1]Re-order'!$A:$AA,27,0),"")</f>
        <v>Re-order</v>
      </c>
      <c r="AF1069" s="46">
        <f t="shared" si="254"/>
        <v>-1</v>
      </c>
      <c r="AG1069" s="46">
        <f>SUMIFS('[1]Raw Inventory'!D:D,'[1]Raw Inventory'!C:C,"GREATWALL",'[1]Raw Inventory'!B:B,A1069)</f>
        <v>1</v>
      </c>
      <c r="AH1069" s="46">
        <f>SUMIFS('[1]Raw Inventory'!D:D,'[1]Raw Inventory'!C:C,"DUARTE",'[1]Raw Inventory'!B:B,A1069)</f>
        <v>0</v>
      </c>
      <c r="AI1069" s="46"/>
      <c r="AJ1069" s="46"/>
      <c r="AK1069" s="43"/>
      <c r="AL1069" s="43"/>
      <c r="AM1069" s="43"/>
      <c r="AN1069" s="43"/>
      <c r="AO1069" s="43"/>
      <c r="AP1069" s="43"/>
      <c r="AQ1069" s="43"/>
      <c r="AR1069" s="43"/>
      <c r="AS1069" s="43"/>
      <c r="AT1069" s="43"/>
    </row>
    <row r="1070" spans="1:46">
      <c r="A1070" s="43" t="s">
        <v>54</v>
      </c>
      <c r="B1070" s="43" t="s">
        <v>113</v>
      </c>
      <c r="C1070" s="43" t="s">
        <v>109</v>
      </c>
      <c r="D1070" s="44" t="s">
        <v>253</v>
      </c>
      <c r="E1070" s="44">
        <v>30</v>
      </c>
      <c r="F1070" s="44" t="s">
        <v>3</v>
      </c>
      <c r="G1070" s="43" t="str">
        <f>IFERROR(VLOOKUP(A1070,'[1]MC Masterlist 2026-09-12'!$B:$M, 3, 0),"")</f>
        <v>HONDA</v>
      </c>
      <c r="H1070" s="45">
        <f>IFERROR(VLOOKUP(A1070,'[1]MC Masterlist 2026-09-12'!$B:$M, 6, 0),"")</f>
        <v>70998</v>
      </c>
      <c r="I1070" s="46">
        <v>0</v>
      </c>
      <c r="J1070" s="46">
        <v>1</v>
      </c>
      <c r="K1070" s="46">
        <v>0</v>
      </c>
      <c r="L1070" s="46">
        <f t="shared" si="240"/>
        <v>1</v>
      </c>
      <c r="M1070" s="46">
        <f t="shared" si="241"/>
        <v>0.33333333333333331</v>
      </c>
      <c r="N1070" s="45">
        <f t="shared" si="242"/>
        <v>70998</v>
      </c>
      <c r="O1070" s="45">
        <f t="shared" si="243"/>
        <v>23666</v>
      </c>
      <c r="P1070" s="46">
        <f t="shared" si="244"/>
        <v>1.111111111111111E-2</v>
      </c>
      <c r="Q1070" s="46"/>
      <c r="R1070" s="45">
        <f t="shared" si="245"/>
        <v>0</v>
      </c>
      <c r="S1070" s="46">
        <f t="shared" si="246"/>
        <v>0</v>
      </c>
      <c r="T1070" s="46">
        <f>IFERROR(VLOOKUP(A1070,'[1]Re-order'!$A:$Q,17,0),"")</f>
        <v>114.54545454545455</v>
      </c>
      <c r="U1070" s="46">
        <f>IFERROR(VLOOKUP(A1070,'[1]MC Masterlist 2026-09-12'!$B:$M, 10, 0),0)</f>
        <v>15</v>
      </c>
      <c r="V1070" s="46">
        <f>IFERROR(VLOOKUP(A1070,'[1]MC Masterlist 2026-09-12'!$B:$M, 11, 0),0)</f>
        <v>15</v>
      </c>
      <c r="W1070" s="46">
        <f t="shared" si="247"/>
        <v>30</v>
      </c>
      <c r="X1070" s="46">
        <f t="shared" si="248"/>
        <v>29.833333333333332</v>
      </c>
      <c r="Y1070" s="46">
        <f>IFERROR(IF(OR(C1070="AREA I",C1070="AREA V"),7,VLOOKUP(A1070,'[1]MC Masterlist 2026-09-12'!$B:$M, 12, 0)),0)</f>
        <v>30</v>
      </c>
      <c r="Z1070" s="46">
        <f t="shared" si="249"/>
        <v>0.16666666666666666</v>
      </c>
      <c r="AA1070" s="46">
        <f t="shared" si="250"/>
        <v>0.33333333333333331</v>
      </c>
      <c r="AB1070" s="46">
        <f t="shared" si="251"/>
        <v>0.33148148148148143</v>
      </c>
      <c r="AC1070" s="46">
        <f t="shared" si="252"/>
        <v>0.33333333333333331</v>
      </c>
      <c r="AD1070" s="44" t="str">
        <f t="shared" si="253"/>
        <v>Stockout</v>
      </c>
      <c r="AE1070" s="44" t="str">
        <f>IFERROR(VLOOKUP(A1070,'[1]Re-order'!$A:$AA,27,0),"")</f>
        <v>Over</v>
      </c>
      <c r="AF1070" s="46">
        <f t="shared" si="254"/>
        <v>0.33333333333333331</v>
      </c>
      <c r="AG1070" s="46">
        <f>SUMIFS('[1]Raw Inventory'!D:D,'[1]Raw Inventory'!C:C,"GREATWALL",'[1]Raw Inventory'!B:B,A1070)</f>
        <v>0</v>
      </c>
      <c r="AH1070" s="46">
        <f>SUMIFS('[1]Raw Inventory'!D:D,'[1]Raw Inventory'!C:C,"DUARTE",'[1]Raw Inventory'!B:B,A1070)</f>
        <v>0</v>
      </c>
      <c r="AI1070" s="46"/>
      <c r="AJ1070" s="46"/>
      <c r="AK1070" s="43"/>
      <c r="AL1070" s="43"/>
      <c r="AM1070" s="43"/>
      <c r="AN1070" s="43"/>
      <c r="AO1070" s="43"/>
      <c r="AP1070" s="43"/>
      <c r="AQ1070" s="43"/>
      <c r="AR1070" s="43"/>
      <c r="AS1070" s="43"/>
      <c r="AT1070" s="43"/>
    </row>
    <row r="1071" spans="1:46">
      <c r="A1071" s="43" t="s">
        <v>33</v>
      </c>
      <c r="B1071" s="43" t="s">
        <v>114</v>
      </c>
      <c r="C1071" s="43" t="s">
        <v>109</v>
      </c>
      <c r="D1071" s="44" t="s">
        <v>266</v>
      </c>
      <c r="E1071" s="44">
        <v>17</v>
      </c>
      <c r="F1071" s="44" t="s">
        <v>2</v>
      </c>
      <c r="G1071" s="43" t="str">
        <f>IFERROR(VLOOKUP(A1071,'[1]MC Masterlist 2026-09-12'!$B:$M, 3, 0),"")</f>
        <v>HONDA</v>
      </c>
      <c r="H1071" s="45">
        <f>IFERROR(VLOOKUP(A1071,'[1]MC Masterlist 2026-09-12'!$B:$M, 6, 0),"")</f>
        <v>251318</v>
      </c>
      <c r="I1071" s="46">
        <v>0</v>
      </c>
      <c r="J1071" s="46">
        <v>0</v>
      </c>
      <c r="K1071" s="46">
        <v>1</v>
      </c>
      <c r="L1071" s="46">
        <f t="shared" si="240"/>
        <v>1</v>
      </c>
      <c r="M1071" s="46">
        <f t="shared" si="241"/>
        <v>0.33333333333333331</v>
      </c>
      <c r="N1071" s="45">
        <f t="shared" si="242"/>
        <v>251318</v>
      </c>
      <c r="O1071" s="45">
        <f t="shared" si="243"/>
        <v>83772.666666666657</v>
      </c>
      <c r="P1071" s="46">
        <f t="shared" si="244"/>
        <v>1.111111111111111E-2</v>
      </c>
      <c r="Q1071" s="46"/>
      <c r="R1071" s="45">
        <f t="shared" si="245"/>
        <v>0</v>
      </c>
      <c r="S1071" s="46">
        <f t="shared" si="246"/>
        <v>0</v>
      </c>
      <c r="T1071" s="46">
        <f>IFERROR(VLOOKUP(A1071,'[1]Re-order'!$A:$Q,17,0),"")</f>
        <v>10.588235294117647</v>
      </c>
      <c r="U1071" s="46">
        <f>IFERROR(VLOOKUP(A1071,'[1]MC Masterlist 2026-09-12'!$B:$M, 10, 0),0)</f>
        <v>15</v>
      </c>
      <c r="V1071" s="46">
        <f>IFERROR(VLOOKUP(A1071,'[1]MC Masterlist 2026-09-12'!$B:$M, 11, 0),0)</f>
        <v>15</v>
      </c>
      <c r="W1071" s="46">
        <f t="shared" si="247"/>
        <v>30</v>
      </c>
      <c r="X1071" s="46">
        <f t="shared" si="248"/>
        <v>29.833333333333332</v>
      </c>
      <c r="Y1071" s="46">
        <f>IFERROR(IF(OR(C1071="AREA I",C1071="AREA V"),7,VLOOKUP(A1071,'[1]MC Masterlist 2026-09-12'!$B:$M, 12, 0)),0)</f>
        <v>30</v>
      </c>
      <c r="Z1071" s="46">
        <f t="shared" si="249"/>
        <v>0.16666666666666666</v>
      </c>
      <c r="AA1071" s="46">
        <f t="shared" si="250"/>
        <v>0.33333333333333331</v>
      </c>
      <c r="AB1071" s="46">
        <f t="shared" si="251"/>
        <v>0.33148148148148143</v>
      </c>
      <c r="AC1071" s="46">
        <f t="shared" si="252"/>
        <v>0.33333333333333331</v>
      </c>
      <c r="AD1071" s="44" t="str">
        <f t="shared" si="253"/>
        <v>Stockout</v>
      </c>
      <c r="AE1071" s="44" t="str">
        <f>IFERROR(VLOOKUP(A1071,'[1]Re-order'!$A:$AA,27,0),"")</f>
        <v>Stockout</v>
      </c>
      <c r="AF1071" s="46">
        <f t="shared" si="254"/>
        <v>0.33333333333333331</v>
      </c>
      <c r="AG1071" s="46">
        <f>SUMIFS('[1]Raw Inventory'!D:D,'[1]Raw Inventory'!C:C,"GREATWALL",'[1]Raw Inventory'!B:B,A1071)</f>
        <v>0</v>
      </c>
      <c r="AH1071" s="46">
        <f>SUMIFS('[1]Raw Inventory'!D:D,'[1]Raw Inventory'!C:C,"DUARTE",'[1]Raw Inventory'!B:B,A1071)</f>
        <v>0</v>
      </c>
      <c r="AI1071" s="46"/>
      <c r="AJ1071" s="46"/>
      <c r="AK1071" s="43"/>
      <c r="AL1071" s="43"/>
      <c r="AM1071" s="43"/>
      <c r="AN1071" s="43"/>
      <c r="AO1071" s="43"/>
      <c r="AP1071" s="43"/>
      <c r="AQ1071" s="43"/>
      <c r="AR1071" s="43"/>
      <c r="AS1071" s="43"/>
      <c r="AT1071" s="43"/>
    </row>
    <row r="1072" spans="1:46">
      <c r="A1072" s="43" t="s">
        <v>59</v>
      </c>
      <c r="B1072" s="43" t="s">
        <v>112</v>
      </c>
      <c r="C1072" s="43" t="s">
        <v>109</v>
      </c>
      <c r="D1072" s="44" t="s">
        <v>246</v>
      </c>
      <c r="E1072" s="44">
        <v>11</v>
      </c>
      <c r="F1072" s="44" t="s">
        <v>2</v>
      </c>
      <c r="G1072" s="43" t="str">
        <f>IFERROR(VLOOKUP(A1072,'[1]MC Masterlist 2026-09-12'!$B:$M, 3, 0),"")</f>
        <v>HONDA</v>
      </c>
      <c r="H1072" s="45">
        <f>IFERROR(VLOOKUP(A1072,'[1]MC Masterlist 2026-09-12'!$B:$M, 6, 0),"")</f>
        <v>147230</v>
      </c>
      <c r="I1072" s="46">
        <v>0</v>
      </c>
      <c r="J1072" s="46">
        <v>1</v>
      </c>
      <c r="K1072" s="46">
        <v>0</v>
      </c>
      <c r="L1072" s="46">
        <f t="shared" si="240"/>
        <v>1</v>
      </c>
      <c r="M1072" s="46">
        <f t="shared" si="241"/>
        <v>0.33333333333333331</v>
      </c>
      <c r="N1072" s="45">
        <f t="shared" si="242"/>
        <v>147230</v>
      </c>
      <c r="O1072" s="45">
        <f t="shared" si="243"/>
        <v>49076.666666666664</v>
      </c>
      <c r="P1072" s="46">
        <f t="shared" si="244"/>
        <v>1.111111111111111E-2</v>
      </c>
      <c r="Q1072" s="46"/>
      <c r="R1072" s="45">
        <f t="shared" si="245"/>
        <v>0</v>
      </c>
      <c r="S1072" s="46">
        <f t="shared" si="246"/>
        <v>0</v>
      </c>
      <c r="T1072" s="46">
        <f>IFERROR(VLOOKUP(A1072,'[1]Re-order'!$A:$Q,17,0),"")</f>
        <v>101.25</v>
      </c>
      <c r="U1072" s="46">
        <f>IFERROR(VLOOKUP(A1072,'[1]MC Masterlist 2026-09-12'!$B:$M, 10, 0),0)</f>
        <v>15</v>
      </c>
      <c r="V1072" s="46">
        <f>IFERROR(VLOOKUP(A1072,'[1]MC Masterlist 2026-09-12'!$B:$M, 11, 0),0)</f>
        <v>15</v>
      </c>
      <c r="W1072" s="46">
        <f t="shared" si="247"/>
        <v>30</v>
      </c>
      <c r="X1072" s="46">
        <f t="shared" si="248"/>
        <v>29.833333333333332</v>
      </c>
      <c r="Y1072" s="46">
        <f>IFERROR(IF(OR(C1072="AREA I",C1072="AREA V"),7,VLOOKUP(A1072,'[1]MC Masterlist 2026-09-12'!$B:$M, 12, 0)),0)</f>
        <v>30</v>
      </c>
      <c r="Z1072" s="46">
        <f t="shared" si="249"/>
        <v>0.16666666666666666</v>
      </c>
      <c r="AA1072" s="46">
        <f t="shared" si="250"/>
        <v>0.33333333333333331</v>
      </c>
      <c r="AB1072" s="46">
        <f t="shared" si="251"/>
        <v>0.33148148148148143</v>
      </c>
      <c r="AC1072" s="46">
        <f t="shared" si="252"/>
        <v>0.33333333333333331</v>
      </c>
      <c r="AD1072" s="44" t="str">
        <f t="shared" si="253"/>
        <v>Stockout</v>
      </c>
      <c r="AE1072" s="44" t="str">
        <f>IFERROR(VLOOKUP(A1072,'[1]Re-order'!$A:$AA,27,0),"")</f>
        <v>Over</v>
      </c>
      <c r="AF1072" s="46">
        <f t="shared" si="254"/>
        <v>0.33333333333333331</v>
      </c>
      <c r="AG1072" s="46">
        <f>SUMIFS('[1]Raw Inventory'!D:D,'[1]Raw Inventory'!C:C,"GREATWALL",'[1]Raw Inventory'!B:B,A1072)</f>
        <v>0</v>
      </c>
      <c r="AH1072" s="46">
        <f>SUMIFS('[1]Raw Inventory'!D:D,'[1]Raw Inventory'!C:C,"DUARTE",'[1]Raw Inventory'!B:B,A1072)</f>
        <v>0</v>
      </c>
      <c r="AI1072" s="46"/>
      <c r="AJ1072" s="46"/>
      <c r="AK1072" s="43"/>
      <c r="AL1072" s="43"/>
      <c r="AM1072" s="43"/>
      <c r="AN1072" s="43"/>
      <c r="AO1072" s="43"/>
      <c r="AP1072" s="43"/>
      <c r="AQ1072" s="43"/>
      <c r="AR1072" s="43"/>
      <c r="AS1072" s="43"/>
      <c r="AT1072" s="43"/>
    </row>
    <row r="1073" spans="1:46">
      <c r="A1073" s="43" t="s">
        <v>16</v>
      </c>
      <c r="B1073" s="43" t="s">
        <v>146</v>
      </c>
      <c r="C1073" s="43" t="s">
        <v>137</v>
      </c>
      <c r="D1073" s="44" t="s">
        <v>234</v>
      </c>
      <c r="E1073" s="44">
        <v>4</v>
      </c>
      <c r="F1073" s="44" t="s">
        <v>0</v>
      </c>
      <c r="G1073" s="43" t="str">
        <f>IFERROR(VLOOKUP(A1073,'[1]MC Masterlist 2026-09-12'!$B:$M, 3, 0),"")</f>
        <v>HONDA</v>
      </c>
      <c r="H1073" s="45">
        <f>IFERROR(VLOOKUP(A1073,'[1]MC Masterlist 2026-09-12'!$B:$M, 6, 0),"")</f>
        <v>84394</v>
      </c>
      <c r="I1073" s="46">
        <v>1</v>
      </c>
      <c r="J1073" s="46">
        <v>2</v>
      </c>
      <c r="K1073" s="46">
        <v>5</v>
      </c>
      <c r="L1073" s="46">
        <f t="shared" si="240"/>
        <v>8</v>
      </c>
      <c r="M1073" s="46">
        <f t="shared" si="241"/>
        <v>2.6666666666666665</v>
      </c>
      <c r="N1073" s="45">
        <f t="shared" si="242"/>
        <v>675152</v>
      </c>
      <c r="O1073" s="45">
        <f t="shared" si="243"/>
        <v>225050.66666666666</v>
      </c>
      <c r="P1073" s="46">
        <f t="shared" si="244"/>
        <v>8.8888888888888878E-2</v>
      </c>
      <c r="Q1073" s="46">
        <v>3</v>
      </c>
      <c r="R1073" s="45">
        <f t="shared" si="245"/>
        <v>253182</v>
      </c>
      <c r="S1073" s="46">
        <f t="shared" si="246"/>
        <v>33.75</v>
      </c>
      <c r="T1073" s="46">
        <f>IFERROR(VLOOKUP(A1073,'[1]Re-order'!$A:$Q,17,0),"")</f>
        <v>26.332665330661321</v>
      </c>
      <c r="U1073" s="46">
        <f>IFERROR(VLOOKUP(A1073,'[1]MC Masterlist 2026-09-12'!$B:$M, 10, 0),0)</f>
        <v>15</v>
      </c>
      <c r="V1073" s="46">
        <f>IFERROR(VLOOKUP(A1073,'[1]MC Masterlist 2026-09-12'!$B:$M, 11, 0),0)</f>
        <v>15</v>
      </c>
      <c r="W1073" s="46">
        <f t="shared" si="247"/>
        <v>30</v>
      </c>
      <c r="X1073" s="46">
        <f t="shared" si="248"/>
        <v>5.666666666666667</v>
      </c>
      <c r="Y1073" s="46">
        <f>IFERROR(IF(OR(C1073="AREA I",C1073="AREA V"),7,VLOOKUP(A1073,'[1]MC Masterlist 2026-09-12'!$B:$M, 12, 0)),0)</f>
        <v>7</v>
      </c>
      <c r="Z1073" s="46">
        <f t="shared" si="249"/>
        <v>1.3333333333333333</v>
      </c>
      <c r="AA1073" s="46">
        <f t="shared" si="250"/>
        <v>2.6666666666666665</v>
      </c>
      <c r="AB1073" s="46">
        <f t="shared" si="251"/>
        <v>0.50370370370370365</v>
      </c>
      <c r="AC1073" s="46">
        <f t="shared" si="252"/>
        <v>0.62222222222222212</v>
      </c>
      <c r="AD1073" s="44" t="str">
        <f t="shared" si="253"/>
        <v>Over</v>
      </c>
      <c r="AE1073" s="44" t="str">
        <f>IFERROR(VLOOKUP(A1073,'[1]Re-order'!$A:$AA,27,0),"")</f>
        <v>Stockout</v>
      </c>
      <c r="AF1073" s="46">
        <f t="shared" si="254"/>
        <v>-2.3777777777777778</v>
      </c>
      <c r="AG1073" s="46">
        <f>SUMIFS('[1]Raw Inventory'!D:D,'[1]Raw Inventory'!C:C,"GREATWALL",'[1]Raw Inventory'!B:B,A1073)</f>
        <v>58</v>
      </c>
      <c r="AH1073" s="46">
        <f>SUMIFS('[1]Raw Inventory'!D:D,'[1]Raw Inventory'!C:C,"DUARTE",'[1]Raw Inventory'!B:B,A1073)</f>
        <v>0</v>
      </c>
      <c r="AI1073" s="46"/>
      <c r="AJ1073" s="46"/>
      <c r="AK1073" s="43"/>
      <c r="AL1073" s="43"/>
      <c r="AM1073" s="43"/>
      <c r="AN1073" s="43"/>
      <c r="AO1073" s="43"/>
      <c r="AP1073" s="43"/>
      <c r="AQ1073" s="43"/>
      <c r="AR1073" s="43"/>
      <c r="AS1073" s="43"/>
      <c r="AT1073" s="43"/>
    </row>
    <row r="1074" spans="1:46">
      <c r="A1074" s="43" t="s">
        <v>82</v>
      </c>
      <c r="B1074" s="43" t="s">
        <v>92</v>
      </c>
      <c r="C1074" s="43" t="s">
        <v>90</v>
      </c>
      <c r="D1074" s="44" t="s">
        <v>262</v>
      </c>
      <c r="E1074" s="44">
        <v>16</v>
      </c>
      <c r="F1074" s="44" t="s">
        <v>2</v>
      </c>
      <c r="G1074" s="43" t="str">
        <f>IFERROR(VLOOKUP(A1074,'[1]MC Masterlist 2026-09-12'!$B:$M, 3, 0),"")</f>
        <v>SUZUKI</v>
      </c>
      <c r="H1074" s="45">
        <f>IFERROR(VLOOKUP(A1074,'[1]MC Masterlist 2026-09-12'!$B:$M, 6, 0),"")</f>
        <v>67342</v>
      </c>
      <c r="I1074" s="46">
        <v>1</v>
      </c>
      <c r="J1074" s="46">
        <v>1</v>
      </c>
      <c r="K1074" s="46">
        <v>0</v>
      </c>
      <c r="L1074" s="46">
        <f t="shared" si="240"/>
        <v>2</v>
      </c>
      <c r="M1074" s="46">
        <f t="shared" si="241"/>
        <v>0.66666666666666663</v>
      </c>
      <c r="N1074" s="45">
        <f t="shared" si="242"/>
        <v>134684</v>
      </c>
      <c r="O1074" s="45">
        <f t="shared" si="243"/>
        <v>44894.666666666664</v>
      </c>
      <c r="P1074" s="46">
        <f t="shared" si="244"/>
        <v>2.222222222222222E-2</v>
      </c>
      <c r="Q1074" s="46"/>
      <c r="R1074" s="45">
        <f t="shared" si="245"/>
        <v>0</v>
      </c>
      <c r="S1074" s="46">
        <f t="shared" si="246"/>
        <v>0</v>
      </c>
      <c r="T1074" s="46">
        <f>IFERROR(VLOOKUP(A1074,'[1]Re-order'!$A:$Q,17,0),"")</f>
        <v>64.8</v>
      </c>
      <c r="U1074" s="46">
        <f>IFERROR(VLOOKUP(A1074,'[1]MC Masterlist 2026-09-12'!$B:$M, 10, 0),0)</f>
        <v>15</v>
      </c>
      <c r="V1074" s="46">
        <f>IFERROR(VLOOKUP(A1074,'[1]MC Masterlist 2026-09-12'!$B:$M, 11, 0),0)</f>
        <v>15</v>
      </c>
      <c r="W1074" s="46">
        <f t="shared" si="247"/>
        <v>30</v>
      </c>
      <c r="X1074" s="46">
        <f t="shared" si="248"/>
        <v>29.666666666666668</v>
      </c>
      <c r="Y1074" s="46">
        <f>IFERROR(IF(OR(C1074="AREA I",C1074="AREA V"),7,VLOOKUP(A1074,'[1]MC Masterlist 2026-09-12'!$B:$M, 12, 0)),0)</f>
        <v>30</v>
      </c>
      <c r="Z1074" s="46">
        <f t="shared" si="249"/>
        <v>0.33333333333333331</v>
      </c>
      <c r="AA1074" s="46">
        <f t="shared" si="250"/>
        <v>0.66666666666666663</v>
      </c>
      <c r="AB1074" s="46">
        <f t="shared" si="251"/>
        <v>0.65925925925925921</v>
      </c>
      <c r="AC1074" s="46">
        <f t="shared" si="252"/>
        <v>0.66666666666666663</v>
      </c>
      <c r="AD1074" s="44" t="str">
        <f t="shared" si="253"/>
        <v>Stockout</v>
      </c>
      <c r="AE1074" s="44" t="str">
        <f>IFERROR(VLOOKUP(A1074,'[1]Re-order'!$A:$AA,27,0),"")</f>
        <v>Re-order</v>
      </c>
      <c r="AF1074" s="46">
        <f t="shared" si="254"/>
        <v>0.66666666666666663</v>
      </c>
      <c r="AG1074" s="46">
        <f>SUMIFS('[1]Raw Inventory'!D:D,'[1]Raw Inventory'!C:C,"GREATWALL",'[1]Raw Inventory'!B:B,A1074)</f>
        <v>1</v>
      </c>
      <c r="AH1074" s="46">
        <f>SUMIFS('[1]Raw Inventory'!D:D,'[1]Raw Inventory'!C:C,"DUARTE",'[1]Raw Inventory'!B:B,A1074)</f>
        <v>0</v>
      </c>
      <c r="AI1074" s="46"/>
      <c r="AJ1074" s="46"/>
      <c r="AK1074" s="43"/>
      <c r="AL1074" s="43"/>
      <c r="AM1074" s="43"/>
      <c r="AN1074" s="43"/>
      <c r="AO1074" s="43"/>
      <c r="AP1074" s="43"/>
      <c r="AQ1074" s="43"/>
      <c r="AR1074" s="43"/>
      <c r="AS1074" s="43"/>
      <c r="AT1074" s="43"/>
    </row>
    <row r="1075" spans="1:46">
      <c r="A1075" s="43" t="s">
        <v>86</v>
      </c>
      <c r="B1075" s="43" t="s">
        <v>146</v>
      </c>
      <c r="C1075" s="43" t="s">
        <v>137</v>
      </c>
      <c r="D1075" s="44" t="s">
        <v>257</v>
      </c>
      <c r="E1075" s="44">
        <v>24</v>
      </c>
      <c r="F1075" s="44" t="s">
        <v>3</v>
      </c>
      <c r="G1075" s="43" t="str">
        <f>IFERROR(VLOOKUP(A1075,'[1]MC Masterlist 2026-09-12'!$B:$M, 3, 0),"")</f>
        <v>KAWASAKI</v>
      </c>
      <c r="H1075" s="45">
        <f>IFERROR(VLOOKUP(A1075,'[1]MC Masterlist 2026-09-12'!$B:$M, 6, 0),"")</f>
        <v>72500</v>
      </c>
      <c r="I1075" s="46">
        <v>0</v>
      </c>
      <c r="J1075" s="46">
        <v>1</v>
      </c>
      <c r="K1075" s="46">
        <v>0</v>
      </c>
      <c r="L1075" s="46">
        <f t="shared" si="240"/>
        <v>1</v>
      </c>
      <c r="M1075" s="46">
        <f t="shared" si="241"/>
        <v>0.33333333333333331</v>
      </c>
      <c r="N1075" s="45">
        <f t="shared" si="242"/>
        <v>72500</v>
      </c>
      <c r="O1075" s="45">
        <f t="shared" si="243"/>
        <v>24166.666666666664</v>
      </c>
      <c r="P1075" s="46">
        <f t="shared" si="244"/>
        <v>1.111111111111111E-2</v>
      </c>
      <c r="Q1075" s="46"/>
      <c r="R1075" s="45">
        <f t="shared" si="245"/>
        <v>0</v>
      </c>
      <c r="S1075" s="46">
        <f t="shared" si="246"/>
        <v>0</v>
      </c>
      <c r="T1075" s="46">
        <f>IFERROR(VLOOKUP(A1075,'[1]Re-order'!$A:$Q,17,0),"")</f>
        <v>150</v>
      </c>
      <c r="U1075" s="46">
        <f>IFERROR(VLOOKUP(A1075,'[1]MC Masterlist 2026-09-12'!$B:$M, 10, 0),0)</f>
        <v>15</v>
      </c>
      <c r="V1075" s="46">
        <f>IFERROR(VLOOKUP(A1075,'[1]MC Masterlist 2026-09-12'!$B:$M, 11, 0),0)</f>
        <v>15</v>
      </c>
      <c r="W1075" s="46">
        <f t="shared" si="247"/>
        <v>30</v>
      </c>
      <c r="X1075" s="46">
        <f t="shared" si="248"/>
        <v>6.833333333333333</v>
      </c>
      <c r="Y1075" s="46">
        <f>IFERROR(IF(OR(C1075="AREA I",C1075="AREA V"),7,VLOOKUP(A1075,'[1]MC Masterlist 2026-09-12'!$B:$M, 12, 0)),0)</f>
        <v>7</v>
      </c>
      <c r="Z1075" s="46">
        <f t="shared" si="249"/>
        <v>0.16666666666666666</v>
      </c>
      <c r="AA1075" s="46">
        <f t="shared" si="250"/>
        <v>0.33333333333333331</v>
      </c>
      <c r="AB1075" s="46">
        <f t="shared" si="251"/>
        <v>7.5925925925925911E-2</v>
      </c>
      <c r="AC1075" s="46">
        <f t="shared" si="252"/>
        <v>7.7777777777777765E-2</v>
      </c>
      <c r="AD1075" s="44" t="str">
        <f t="shared" si="253"/>
        <v>Stockout</v>
      </c>
      <c r="AE1075" s="44" t="str">
        <f>IFERROR(VLOOKUP(A1075,'[1]Re-order'!$A:$AA,27,0),"")</f>
        <v>Over</v>
      </c>
      <c r="AF1075" s="46">
        <f t="shared" si="254"/>
        <v>7.7777777777777765E-2</v>
      </c>
      <c r="AG1075" s="46">
        <f>SUMIFS('[1]Raw Inventory'!D:D,'[1]Raw Inventory'!C:C,"GREATWALL",'[1]Raw Inventory'!B:B,A1075)</f>
        <v>0</v>
      </c>
      <c r="AH1075" s="46">
        <f>SUMIFS('[1]Raw Inventory'!D:D,'[1]Raw Inventory'!C:C,"DUARTE",'[1]Raw Inventory'!B:B,A1075)</f>
        <v>0</v>
      </c>
      <c r="AI1075" s="46"/>
      <c r="AJ1075" s="46"/>
      <c r="AK1075" s="43"/>
      <c r="AL1075" s="43"/>
      <c r="AM1075" s="43"/>
      <c r="AN1075" s="43"/>
      <c r="AO1075" s="43"/>
      <c r="AP1075" s="43"/>
      <c r="AQ1075" s="43"/>
      <c r="AR1075" s="43"/>
      <c r="AS1075" s="43"/>
      <c r="AT1075" s="43"/>
    </row>
    <row r="1076" spans="1:46">
      <c r="A1076" s="43" t="s">
        <v>24</v>
      </c>
      <c r="B1076" s="43" t="s">
        <v>122</v>
      </c>
      <c r="C1076" s="43" t="s">
        <v>118</v>
      </c>
      <c r="D1076" s="44" t="s">
        <v>230</v>
      </c>
      <c r="E1076" s="44">
        <v>6</v>
      </c>
      <c r="F1076" s="44" t="s">
        <v>0</v>
      </c>
      <c r="G1076" s="43" t="str">
        <f>IFERROR(VLOOKUP(A1076,'[1]MC Masterlist 2026-09-12'!$B:$M, 3, 0),"")</f>
        <v>KAWASAKI</v>
      </c>
      <c r="H1076" s="45">
        <f>IFERROR(VLOOKUP(A1076,'[1]MC Masterlist 2026-09-12'!$B:$M, 6, 0),"")</f>
        <v>131626</v>
      </c>
      <c r="I1076" s="46">
        <v>3</v>
      </c>
      <c r="J1076" s="46">
        <v>3</v>
      </c>
      <c r="K1076" s="46">
        <v>4</v>
      </c>
      <c r="L1076" s="46">
        <f t="shared" si="240"/>
        <v>10</v>
      </c>
      <c r="M1076" s="46">
        <f t="shared" si="241"/>
        <v>3.3333333333333335</v>
      </c>
      <c r="N1076" s="45">
        <f t="shared" si="242"/>
        <v>1316260</v>
      </c>
      <c r="O1076" s="45">
        <f t="shared" si="243"/>
        <v>438753.33333333337</v>
      </c>
      <c r="P1076" s="46">
        <f t="shared" si="244"/>
        <v>0.11111111111111112</v>
      </c>
      <c r="Q1076" s="46">
        <v>4</v>
      </c>
      <c r="R1076" s="45">
        <f t="shared" si="245"/>
        <v>526504</v>
      </c>
      <c r="S1076" s="46">
        <f t="shared" si="246"/>
        <v>36</v>
      </c>
      <c r="T1076" s="46">
        <f>IFERROR(VLOOKUP(A1076,'[1]Re-order'!$A:$Q,17,0),"")</f>
        <v>40.677966101694913</v>
      </c>
      <c r="U1076" s="46">
        <f>IFERROR(VLOOKUP(A1076,'[1]MC Masterlist 2026-09-12'!$B:$M, 10, 0),0)</f>
        <v>15</v>
      </c>
      <c r="V1076" s="46">
        <f>IFERROR(VLOOKUP(A1076,'[1]MC Masterlist 2026-09-12'!$B:$M, 11, 0),0)</f>
        <v>15</v>
      </c>
      <c r="W1076" s="46">
        <f t="shared" si="247"/>
        <v>30</v>
      </c>
      <c r="X1076" s="46">
        <f t="shared" si="248"/>
        <v>28.333333333333332</v>
      </c>
      <c r="Y1076" s="46">
        <f>IFERROR(IF(OR(C1076="AREA I",C1076="AREA V"),7,VLOOKUP(A1076,'[1]MC Masterlist 2026-09-12'!$B:$M, 12, 0)),0)</f>
        <v>30</v>
      </c>
      <c r="Z1076" s="46">
        <f t="shared" si="249"/>
        <v>1.6666666666666667</v>
      </c>
      <c r="AA1076" s="46">
        <f t="shared" si="250"/>
        <v>3.3333333333333335</v>
      </c>
      <c r="AB1076" s="46">
        <f t="shared" si="251"/>
        <v>3.1481481481481484</v>
      </c>
      <c r="AC1076" s="46">
        <f t="shared" si="252"/>
        <v>3.3333333333333335</v>
      </c>
      <c r="AD1076" s="44" t="str">
        <f t="shared" si="253"/>
        <v>Over</v>
      </c>
      <c r="AE1076" s="44" t="str">
        <f>IFERROR(VLOOKUP(A1076,'[1]Re-order'!$A:$AA,27,0),"")</f>
        <v>Re-order</v>
      </c>
      <c r="AF1076" s="46">
        <f t="shared" si="254"/>
        <v>-0.66666666666666652</v>
      </c>
      <c r="AG1076" s="46">
        <f>SUMIFS('[1]Raw Inventory'!D:D,'[1]Raw Inventory'!C:C,"GREATWALL",'[1]Raw Inventory'!B:B,A1076)</f>
        <v>12</v>
      </c>
      <c r="AH1076" s="46">
        <f>SUMIFS('[1]Raw Inventory'!D:D,'[1]Raw Inventory'!C:C,"DUARTE",'[1]Raw Inventory'!B:B,A1076)</f>
        <v>0</v>
      </c>
      <c r="AI1076" s="46"/>
      <c r="AJ1076" s="46"/>
      <c r="AK1076" s="43"/>
      <c r="AL1076" s="43"/>
      <c r="AM1076" s="43"/>
      <c r="AN1076" s="43"/>
      <c r="AO1076" s="43"/>
      <c r="AP1076" s="43"/>
      <c r="AQ1076" s="43"/>
      <c r="AR1076" s="43"/>
      <c r="AS1076" s="43"/>
      <c r="AT1076" s="43"/>
    </row>
    <row r="1077" spans="1:46">
      <c r="A1077" s="43" t="s">
        <v>46</v>
      </c>
      <c r="B1077" s="43" t="s">
        <v>120</v>
      </c>
      <c r="C1077" s="43" t="s">
        <v>118</v>
      </c>
      <c r="D1077" s="44" t="s">
        <v>241</v>
      </c>
      <c r="E1077" s="44">
        <v>19</v>
      </c>
      <c r="F1077" s="44" t="s">
        <v>3</v>
      </c>
      <c r="G1077" s="43" t="str">
        <f>IFERROR(VLOOKUP(A1077,'[1]MC Masterlist 2026-09-12'!$B:$M, 3, 0),"")</f>
        <v>HONDA</v>
      </c>
      <c r="H1077" s="45">
        <f>IFERROR(VLOOKUP(A1077,'[1]MC Masterlist 2026-09-12'!$B:$M, 6, 0),"")</f>
        <v>73630</v>
      </c>
      <c r="I1077" s="46">
        <v>0</v>
      </c>
      <c r="J1077" s="46">
        <v>1</v>
      </c>
      <c r="K1077" s="46">
        <v>0</v>
      </c>
      <c r="L1077" s="46">
        <f t="shared" si="240"/>
        <v>1</v>
      </c>
      <c r="M1077" s="46">
        <f t="shared" si="241"/>
        <v>0.33333333333333331</v>
      </c>
      <c r="N1077" s="45">
        <f t="shared" si="242"/>
        <v>73630</v>
      </c>
      <c r="O1077" s="45">
        <f t="shared" si="243"/>
        <v>24543.333333333332</v>
      </c>
      <c r="P1077" s="46">
        <f t="shared" si="244"/>
        <v>1.111111111111111E-2</v>
      </c>
      <c r="Q1077" s="46">
        <v>1</v>
      </c>
      <c r="R1077" s="45">
        <f t="shared" si="245"/>
        <v>73630</v>
      </c>
      <c r="S1077" s="46">
        <f t="shared" si="246"/>
        <v>90</v>
      </c>
      <c r="T1077" s="46">
        <f>IFERROR(VLOOKUP(A1077,'[1]Re-order'!$A:$Q,17,0),"")</f>
        <v>51</v>
      </c>
      <c r="U1077" s="46">
        <f>IFERROR(VLOOKUP(A1077,'[1]MC Masterlist 2026-09-12'!$B:$M, 10, 0),0)</f>
        <v>15</v>
      </c>
      <c r="V1077" s="46">
        <f>IFERROR(VLOOKUP(A1077,'[1]MC Masterlist 2026-09-12'!$B:$M, 11, 0),0)</f>
        <v>15</v>
      </c>
      <c r="W1077" s="46">
        <f t="shared" si="247"/>
        <v>30</v>
      </c>
      <c r="X1077" s="46">
        <f t="shared" si="248"/>
        <v>29.833333333333332</v>
      </c>
      <c r="Y1077" s="46">
        <f>IFERROR(IF(OR(C1077="AREA I",C1077="AREA V"),7,VLOOKUP(A1077,'[1]MC Masterlist 2026-09-12'!$B:$M, 12, 0)),0)</f>
        <v>30</v>
      </c>
      <c r="Z1077" s="46">
        <f t="shared" si="249"/>
        <v>0.16666666666666666</v>
      </c>
      <c r="AA1077" s="46">
        <f t="shared" si="250"/>
        <v>0.33333333333333331</v>
      </c>
      <c r="AB1077" s="46">
        <f t="shared" si="251"/>
        <v>0.33148148148148143</v>
      </c>
      <c r="AC1077" s="46">
        <f t="shared" si="252"/>
        <v>0.33333333333333331</v>
      </c>
      <c r="AD1077" s="44" t="str">
        <f t="shared" si="253"/>
        <v>Over</v>
      </c>
      <c r="AE1077" s="44" t="str">
        <f>IFERROR(VLOOKUP(A1077,'[1]Re-order'!$A:$AA,27,0),"")</f>
        <v>Re-order</v>
      </c>
      <c r="AF1077" s="46">
        <f t="shared" si="254"/>
        <v>-0.66666666666666674</v>
      </c>
      <c r="AG1077" s="46">
        <f>SUMIFS('[1]Raw Inventory'!D:D,'[1]Raw Inventory'!C:C,"GREATWALL",'[1]Raw Inventory'!B:B,A1077)</f>
        <v>0</v>
      </c>
      <c r="AH1077" s="46">
        <f>SUMIFS('[1]Raw Inventory'!D:D,'[1]Raw Inventory'!C:C,"DUARTE",'[1]Raw Inventory'!B:B,A1077)</f>
        <v>0</v>
      </c>
      <c r="AI1077" s="46"/>
      <c r="AJ1077" s="46"/>
      <c r="AK1077" s="43"/>
      <c r="AL1077" s="43"/>
      <c r="AM1077" s="43"/>
      <c r="AN1077" s="43"/>
      <c r="AO1077" s="43"/>
      <c r="AP1077" s="43"/>
      <c r="AQ1077" s="43"/>
      <c r="AR1077" s="43"/>
      <c r="AS1077" s="43"/>
      <c r="AT1077" s="43"/>
    </row>
    <row r="1078" spans="1:46">
      <c r="A1078" s="43" t="s">
        <v>79</v>
      </c>
      <c r="B1078" s="43" t="s">
        <v>158</v>
      </c>
      <c r="C1078" s="43" t="s">
        <v>152</v>
      </c>
      <c r="D1078" s="44" t="s">
        <v>237</v>
      </c>
      <c r="E1078" s="44">
        <v>25</v>
      </c>
      <c r="F1078" s="44" t="s">
        <v>3</v>
      </c>
      <c r="G1078" s="43" t="str">
        <f>IFERROR(VLOOKUP(A1078,'[1]MC Masterlist 2026-09-12'!$B:$M, 3, 0),"")</f>
        <v>SUZUKI</v>
      </c>
      <c r="H1078" s="45">
        <f>IFERROR(VLOOKUP(A1078,'[1]MC Masterlist 2026-09-12'!$B:$M, 6, 0),"")</f>
        <v>78872</v>
      </c>
      <c r="I1078" s="46">
        <v>0</v>
      </c>
      <c r="J1078" s="46">
        <v>0</v>
      </c>
      <c r="K1078" s="46">
        <v>0</v>
      </c>
      <c r="L1078" s="46">
        <f t="shared" si="240"/>
        <v>0</v>
      </c>
      <c r="M1078" s="46">
        <f t="shared" si="241"/>
        <v>0</v>
      </c>
      <c r="N1078" s="45">
        <f t="shared" si="242"/>
        <v>0</v>
      </c>
      <c r="O1078" s="45">
        <f t="shared" si="243"/>
        <v>0</v>
      </c>
      <c r="P1078" s="46">
        <f t="shared" si="244"/>
        <v>0</v>
      </c>
      <c r="Q1078" s="46">
        <v>2</v>
      </c>
      <c r="R1078" s="45">
        <f t="shared" si="245"/>
        <v>157744</v>
      </c>
      <c r="S1078" s="46">
        <f t="shared" si="246"/>
        <v>0</v>
      </c>
      <c r="T1078" s="46">
        <f>IFERROR(VLOOKUP(A1078,'[1]Re-order'!$A:$Q,17,0),"")</f>
        <v>72</v>
      </c>
      <c r="U1078" s="46">
        <f>IFERROR(VLOOKUP(A1078,'[1]MC Masterlist 2026-09-12'!$B:$M, 10, 0),0)</f>
        <v>15</v>
      </c>
      <c r="V1078" s="46">
        <f>IFERROR(VLOOKUP(A1078,'[1]MC Masterlist 2026-09-12'!$B:$M, 11, 0),0)</f>
        <v>15</v>
      </c>
      <c r="W1078" s="46">
        <f t="shared" si="247"/>
        <v>30</v>
      </c>
      <c r="X1078" s="46">
        <f t="shared" si="248"/>
        <v>30</v>
      </c>
      <c r="Y1078" s="46">
        <f>IFERROR(IF(OR(C1078="AREA I",C1078="AREA V"),7,VLOOKUP(A1078,'[1]MC Masterlist 2026-09-12'!$B:$M, 12, 0)),0)</f>
        <v>30</v>
      </c>
      <c r="Z1078" s="46">
        <f t="shared" si="249"/>
        <v>0</v>
      </c>
      <c r="AA1078" s="46">
        <f t="shared" si="250"/>
        <v>0</v>
      </c>
      <c r="AB1078" s="46">
        <f t="shared" si="251"/>
        <v>0</v>
      </c>
      <c r="AC1078" s="46">
        <f t="shared" si="252"/>
        <v>0</v>
      </c>
      <c r="AD1078" s="44" t="str">
        <f t="shared" si="253"/>
        <v>Over</v>
      </c>
      <c r="AE1078" s="44" t="str">
        <f>IFERROR(VLOOKUP(A1078,'[1]Re-order'!$A:$AA,27,0),"")</f>
        <v>Re-order</v>
      </c>
      <c r="AF1078" s="46">
        <f t="shared" si="254"/>
        <v>-2</v>
      </c>
      <c r="AG1078" s="46">
        <f>SUMIFS('[1]Raw Inventory'!D:D,'[1]Raw Inventory'!C:C,"GREATWALL",'[1]Raw Inventory'!B:B,A1078)</f>
        <v>0</v>
      </c>
      <c r="AH1078" s="46">
        <f>SUMIFS('[1]Raw Inventory'!D:D,'[1]Raw Inventory'!C:C,"DUARTE",'[1]Raw Inventory'!B:B,A1078)</f>
        <v>0</v>
      </c>
      <c r="AI1078" s="46"/>
      <c r="AJ1078" s="46"/>
      <c r="AK1078" s="43"/>
      <c r="AL1078" s="43"/>
      <c r="AM1078" s="43"/>
      <c r="AN1078" s="43"/>
      <c r="AO1078" s="43"/>
      <c r="AP1078" s="43"/>
      <c r="AQ1078" s="43"/>
      <c r="AR1078" s="43"/>
      <c r="AS1078" s="43"/>
      <c r="AT1078" s="43"/>
    </row>
    <row r="1079" spans="1:46">
      <c r="A1079" s="43" t="s">
        <v>17</v>
      </c>
      <c r="B1079" s="43" t="s">
        <v>132</v>
      </c>
      <c r="C1079" s="43" t="s">
        <v>128</v>
      </c>
      <c r="D1079" s="44" t="s">
        <v>246</v>
      </c>
      <c r="E1079" s="44">
        <v>13</v>
      </c>
      <c r="F1079" s="44" t="s">
        <v>2</v>
      </c>
      <c r="G1079" s="43" t="str">
        <f>IFERROR(VLOOKUP(A1079,'[1]MC Masterlist 2026-09-12'!$B:$M, 3, 0),"")</f>
        <v>HONDA</v>
      </c>
      <c r="H1079" s="45">
        <f>IFERROR(VLOOKUP(A1079,'[1]MC Masterlist 2026-09-12'!$B:$M, 6, 0),"")</f>
        <v>140790</v>
      </c>
      <c r="I1079" s="46">
        <v>0</v>
      </c>
      <c r="J1079" s="46">
        <v>0</v>
      </c>
      <c r="K1079" s="46">
        <v>3</v>
      </c>
      <c r="L1079" s="46">
        <f t="shared" si="240"/>
        <v>3</v>
      </c>
      <c r="M1079" s="46">
        <f t="shared" si="241"/>
        <v>1</v>
      </c>
      <c r="N1079" s="45">
        <f t="shared" si="242"/>
        <v>422370</v>
      </c>
      <c r="O1079" s="45">
        <f t="shared" si="243"/>
        <v>140790</v>
      </c>
      <c r="P1079" s="46">
        <f t="shared" si="244"/>
        <v>3.3333333333333333E-2</v>
      </c>
      <c r="Q1079" s="46">
        <v>3</v>
      </c>
      <c r="R1079" s="45">
        <f t="shared" si="245"/>
        <v>422370</v>
      </c>
      <c r="S1079" s="46">
        <f t="shared" si="246"/>
        <v>90</v>
      </c>
      <c r="T1079" s="46">
        <f>IFERROR(VLOOKUP(A1079,'[1]Re-order'!$A:$Q,17,0),"")</f>
        <v>43.663366336633665</v>
      </c>
      <c r="U1079" s="46">
        <f>IFERROR(VLOOKUP(A1079,'[1]MC Masterlist 2026-09-12'!$B:$M, 10, 0),0)</f>
        <v>15</v>
      </c>
      <c r="V1079" s="46">
        <f>IFERROR(VLOOKUP(A1079,'[1]MC Masterlist 2026-09-12'!$B:$M, 11, 0),0)</f>
        <v>15</v>
      </c>
      <c r="W1079" s="46">
        <f t="shared" si="247"/>
        <v>30</v>
      </c>
      <c r="X1079" s="46">
        <f t="shared" si="248"/>
        <v>29.5</v>
      </c>
      <c r="Y1079" s="46">
        <f>IFERROR(IF(OR(C1079="AREA I",C1079="AREA V"),7,VLOOKUP(A1079,'[1]MC Masterlist 2026-09-12'!$B:$M, 12, 0)),0)</f>
        <v>30</v>
      </c>
      <c r="Z1079" s="46">
        <f t="shared" si="249"/>
        <v>0.5</v>
      </c>
      <c r="AA1079" s="46">
        <f t="shared" si="250"/>
        <v>1</v>
      </c>
      <c r="AB1079" s="46">
        <f t="shared" si="251"/>
        <v>0.98333333333333328</v>
      </c>
      <c r="AC1079" s="46">
        <f t="shared" si="252"/>
        <v>1</v>
      </c>
      <c r="AD1079" s="44" t="str">
        <f t="shared" si="253"/>
        <v>Over</v>
      </c>
      <c r="AE1079" s="44" t="str">
        <f>IFERROR(VLOOKUP(A1079,'[1]Re-order'!$A:$AA,27,0),"")</f>
        <v>Re-order</v>
      </c>
      <c r="AF1079" s="46">
        <f t="shared" si="254"/>
        <v>-2</v>
      </c>
      <c r="AG1079" s="46">
        <f>SUMIFS('[1]Raw Inventory'!D:D,'[1]Raw Inventory'!C:C,"GREATWALL",'[1]Raw Inventory'!B:B,A1079)</f>
        <v>12</v>
      </c>
      <c r="AH1079" s="46">
        <f>SUMIFS('[1]Raw Inventory'!D:D,'[1]Raw Inventory'!C:C,"DUARTE",'[1]Raw Inventory'!B:B,A1079)</f>
        <v>0</v>
      </c>
      <c r="AI1079" s="46"/>
      <c r="AJ1079" s="46"/>
      <c r="AK1079" s="43"/>
      <c r="AL1079" s="43"/>
      <c r="AM1079" s="43"/>
      <c r="AN1079" s="43"/>
      <c r="AO1079" s="43"/>
      <c r="AP1079" s="43"/>
      <c r="AQ1079" s="43"/>
      <c r="AR1079" s="43"/>
      <c r="AS1079" s="43"/>
      <c r="AT1079" s="43"/>
    </row>
    <row r="1080" spans="1:46">
      <c r="A1080" s="43" t="s">
        <v>14</v>
      </c>
      <c r="B1080" s="43" t="s">
        <v>144</v>
      </c>
      <c r="C1080" s="43" t="s">
        <v>137</v>
      </c>
      <c r="D1080" s="44" t="s">
        <v>234</v>
      </c>
      <c r="E1080" s="44">
        <v>4</v>
      </c>
      <c r="F1080" s="44" t="s">
        <v>0</v>
      </c>
      <c r="G1080" s="43" t="str">
        <f>IFERROR(VLOOKUP(A1080,'[1]MC Masterlist 2026-09-12'!$B:$M, 3, 0),"")</f>
        <v>HONDA</v>
      </c>
      <c r="H1080" s="45">
        <f>IFERROR(VLOOKUP(A1080,'[1]MC Masterlist 2026-09-12'!$B:$M, 6, 0),"")</f>
        <v>80070</v>
      </c>
      <c r="I1080" s="46">
        <v>10</v>
      </c>
      <c r="J1080" s="46">
        <v>11</v>
      </c>
      <c r="K1080" s="46">
        <v>5</v>
      </c>
      <c r="L1080" s="46">
        <f t="shared" si="240"/>
        <v>26</v>
      </c>
      <c r="M1080" s="46">
        <f t="shared" si="241"/>
        <v>8.6666666666666661</v>
      </c>
      <c r="N1080" s="45">
        <f t="shared" si="242"/>
        <v>2081820</v>
      </c>
      <c r="O1080" s="45">
        <f t="shared" si="243"/>
        <v>693940</v>
      </c>
      <c r="P1080" s="46">
        <f t="shared" si="244"/>
        <v>0.28888888888888886</v>
      </c>
      <c r="Q1080" s="46">
        <v>4</v>
      </c>
      <c r="R1080" s="45">
        <f t="shared" si="245"/>
        <v>320280</v>
      </c>
      <c r="S1080" s="46">
        <f t="shared" si="246"/>
        <v>13.846153846153847</v>
      </c>
      <c r="T1080" s="46">
        <f>IFERROR(VLOOKUP(A1080,'[1]Re-order'!$A:$Q,17,0),"")</f>
        <v>20.105787181082761</v>
      </c>
      <c r="U1080" s="46">
        <f>IFERROR(VLOOKUP(A1080,'[1]MC Masterlist 2026-09-12'!$B:$M, 10, 0),0)</f>
        <v>15</v>
      </c>
      <c r="V1080" s="46">
        <f>IFERROR(VLOOKUP(A1080,'[1]MC Masterlist 2026-09-12'!$B:$M, 11, 0),0)</f>
        <v>15</v>
      </c>
      <c r="W1080" s="46">
        <f t="shared" si="247"/>
        <v>30</v>
      </c>
      <c r="X1080" s="46">
        <f t="shared" si="248"/>
        <v>2.666666666666667</v>
      </c>
      <c r="Y1080" s="46">
        <f>IFERROR(IF(OR(C1080="AREA I",C1080="AREA V"),7,VLOOKUP(A1080,'[1]MC Masterlist 2026-09-12'!$B:$M, 12, 0)),0)</f>
        <v>7</v>
      </c>
      <c r="Z1080" s="46">
        <f t="shared" si="249"/>
        <v>4.333333333333333</v>
      </c>
      <c r="AA1080" s="46">
        <f t="shared" si="250"/>
        <v>8.6666666666666661</v>
      </c>
      <c r="AB1080" s="46">
        <f t="shared" si="251"/>
        <v>0.77037037037037037</v>
      </c>
      <c r="AC1080" s="46">
        <f t="shared" si="252"/>
        <v>2.0222222222222221</v>
      </c>
      <c r="AD1080" s="44" t="str">
        <f t="shared" si="253"/>
        <v>Over</v>
      </c>
      <c r="AE1080" s="44" t="str">
        <f>IFERROR(VLOOKUP(A1080,'[1]Re-order'!$A:$AA,27,0),"")</f>
        <v>Stockout</v>
      </c>
      <c r="AF1080" s="46">
        <f t="shared" si="254"/>
        <v>-1.9777777777777779</v>
      </c>
      <c r="AG1080" s="46">
        <f>SUMIFS('[1]Raw Inventory'!D:D,'[1]Raw Inventory'!C:C,"GREATWALL",'[1]Raw Inventory'!B:B,A1080)</f>
        <v>176</v>
      </c>
      <c r="AH1080" s="46">
        <f>SUMIFS('[1]Raw Inventory'!D:D,'[1]Raw Inventory'!C:C,"DUARTE",'[1]Raw Inventory'!B:B,A1080)</f>
        <v>0</v>
      </c>
      <c r="AI1080" s="46"/>
      <c r="AJ1080" s="46"/>
      <c r="AK1080" s="43"/>
      <c r="AL1080" s="43"/>
      <c r="AM1080" s="43"/>
      <c r="AN1080" s="43"/>
      <c r="AO1080" s="43"/>
      <c r="AP1080" s="43"/>
      <c r="AQ1080" s="43"/>
      <c r="AR1080" s="43"/>
      <c r="AS1080" s="43"/>
      <c r="AT1080" s="43"/>
    </row>
    <row r="1081" spans="1:46">
      <c r="A1081" s="43" t="s">
        <v>66</v>
      </c>
      <c r="B1081" s="43" t="s">
        <v>160</v>
      </c>
      <c r="C1081" s="43" t="s">
        <v>159</v>
      </c>
      <c r="D1081" s="44" t="s">
        <v>254</v>
      </c>
      <c r="E1081" s="44">
        <v>7</v>
      </c>
      <c r="F1081" s="44" t="s">
        <v>2</v>
      </c>
      <c r="G1081" s="43" t="str">
        <f>IFERROR(VLOOKUP(A1081,'[1]MC Masterlist 2026-09-12'!$B:$M, 3, 0),"")</f>
        <v>KAWASAKI</v>
      </c>
      <c r="H1081" s="45">
        <f>IFERROR(VLOOKUP(A1081,'[1]MC Masterlist 2026-09-12'!$B:$M, 6, 0),"")</f>
        <v>95530</v>
      </c>
      <c r="I1081" s="46">
        <v>4</v>
      </c>
      <c r="J1081" s="46">
        <v>1</v>
      </c>
      <c r="K1081" s="46">
        <v>0</v>
      </c>
      <c r="L1081" s="46">
        <f t="shared" si="240"/>
        <v>5</v>
      </c>
      <c r="M1081" s="46">
        <f t="shared" si="241"/>
        <v>1.6666666666666667</v>
      </c>
      <c r="N1081" s="45">
        <f t="shared" si="242"/>
        <v>477650</v>
      </c>
      <c r="O1081" s="45">
        <f t="shared" si="243"/>
        <v>159216.66666666669</v>
      </c>
      <c r="P1081" s="46">
        <f t="shared" si="244"/>
        <v>5.5555555555555559E-2</v>
      </c>
      <c r="Q1081" s="46">
        <v>5</v>
      </c>
      <c r="R1081" s="45">
        <f t="shared" si="245"/>
        <v>477650</v>
      </c>
      <c r="S1081" s="46">
        <f t="shared" si="246"/>
        <v>89.999999999999986</v>
      </c>
      <c r="T1081" s="46">
        <f>IFERROR(VLOOKUP(A1081,'[1]Re-order'!$A:$Q,17,0),"")</f>
        <v>112.7848101265823</v>
      </c>
      <c r="U1081" s="46">
        <f>IFERROR(VLOOKUP(A1081,'[1]MC Masterlist 2026-09-12'!$B:$M, 10, 0),0)</f>
        <v>15</v>
      </c>
      <c r="V1081" s="46">
        <f>IFERROR(VLOOKUP(A1081,'[1]MC Masterlist 2026-09-12'!$B:$M, 11, 0),0)</f>
        <v>15</v>
      </c>
      <c r="W1081" s="46">
        <f t="shared" si="247"/>
        <v>30</v>
      </c>
      <c r="X1081" s="46">
        <f t="shared" si="248"/>
        <v>29.166666666666668</v>
      </c>
      <c r="Y1081" s="46">
        <f>IFERROR(IF(OR(C1081="AREA I",C1081="AREA V"),7,VLOOKUP(A1081,'[1]MC Masterlist 2026-09-12'!$B:$M, 12, 0)),0)</f>
        <v>30</v>
      </c>
      <c r="Z1081" s="46">
        <f t="shared" si="249"/>
        <v>0.83333333333333337</v>
      </c>
      <c r="AA1081" s="46">
        <f t="shared" si="250"/>
        <v>1.6666666666666667</v>
      </c>
      <c r="AB1081" s="46">
        <f t="shared" si="251"/>
        <v>1.6203703703703705</v>
      </c>
      <c r="AC1081" s="46">
        <f t="shared" si="252"/>
        <v>1.6666666666666667</v>
      </c>
      <c r="AD1081" s="44" t="str">
        <f t="shared" si="253"/>
        <v>Over</v>
      </c>
      <c r="AE1081" s="44" t="str">
        <f>IFERROR(VLOOKUP(A1081,'[1]Re-order'!$A:$AA,27,0),"")</f>
        <v>Over</v>
      </c>
      <c r="AF1081" s="46">
        <f t="shared" si="254"/>
        <v>-3.333333333333333</v>
      </c>
      <c r="AG1081" s="46">
        <f>SUMIFS('[1]Raw Inventory'!D:D,'[1]Raw Inventory'!C:C,"GREATWALL",'[1]Raw Inventory'!B:B,A1081)</f>
        <v>64</v>
      </c>
      <c r="AH1081" s="46">
        <f>SUMIFS('[1]Raw Inventory'!D:D,'[1]Raw Inventory'!C:C,"DUARTE",'[1]Raw Inventory'!B:B,A1081)</f>
        <v>0</v>
      </c>
      <c r="AI1081" s="46"/>
      <c r="AJ1081" s="46"/>
      <c r="AK1081" s="43"/>
      <c r="AL1081" s="43"/>
      <c r="AM1081" s="43"/>
      <c r="AN1081" s="43"/>
      <c r="AO1081" s="43"/>
      <c r="AP1081" s="43"/>
      <c r="AQ1081" s="43"/>
      <c r="AR1081" s="43"/>
      <c r="AS1081" s="43"/>
      <c r="AT1081" s="43"/>
    </row>
    <row r="1082" spans="1:46">
      <c r="A1082" s="43" t="s">
        <v>25</v>
      </c>
      <c r="B1082" s="43" t="s">
        <v>120</v>
      </c>
      <c r="C1082" s="43" t="s">
        <v>118</v>
      </c>
      <c r="D1082" s="44" t="s">
        <v>238</v>
      </c>
      <c r="E1082" s="44">
        <v>2</v>
      </c>
      <c r="F1082" s="44" t="s">
        <v>0</v>
      </c>
      <c r="G1082" s="43" t="str">
        <f>IFERROR(VLOOKUP(A1082,'[1]MC Masterlist 2026-09-12'!$B:$M, 3, 0),"")</f>
        <v>YAMAHA</v>
      </c>
      <c r="H1082" s="45">
        <f>IFERROR(VLOOKUP(A1082,'[1]MC Masterlist 2026-09-12'!$B:$M, 6, 0),"")</f>
        <v>124527</v>
      </c>
      <c r="I1082" s="46">
        <v>5</v>
      </c>
      <c r="J1082" s="46">
        <v>6</v>
      </c>
      <c r="K1082" s="46">
        <v>0</v>
      </c>
      <c r="L1082" s="46">
        <f t="shared" si="240"/>
        <v>11</v>
      </c>
      <c r="M1082" s="46">
        <f t="shared" si="241"/>
        <v>3.6666666666666665</v>
      </c>
      <c r="N1082" s="45">
        <f t="shared" si="242"/>
        <v>1369797</v>
      </c>
      <c r="O1082" s="45">
        <f t="shared" si="243"/>
        <v>456599</v>
      </c>
      <c r="P1082" s="46">
        <f t="shared" si="244"/>
        <v>0.12222222222222222</v>
      </c>
      <c r="Q1082" s="46"/>
      <c r="R1082" s="45">
        <f t="shared" si="245"/>
        <v>0</v>
      </c>
      <c r="S1082" s="46">
        <f t="shared" si="246"/>
        <v>0</v>
      </c>
      <c r="T1082" s="46">
        <f>IFERROR(VLOOKUP(A1082,'[1]Re-order'!$A:$Q,17,0),"")</f>
        <v>5.1030927835051543</v>
      </c>
      <c r="U1082" s="46">
        <f>IFERROR(VLOOKUP(A1082,'[1]MC Masterlist 2026-09-12'!$B:$M, 10, 0),0)</f>
        <v>15</v>
      </c>
      <c r="V1082" s="46">
        <f>IFERROR(VLOOKUP(A1082,'[1]MC Masterlist 2026-09-12'!$B:$M, 11, 0),0)</f>
        <v>15</v>
      </c>
      <c r="W1082" s="46">
        <f t="shared" si="247"/>
        <v>30</v>
      </c>
      <c r="X1082" s="46">
        <f t="shared" si="248"/>
        <v>28.166666666666668</v>
      </c>
      <c r="Y1082" s="46">
        <f>IFERROR(IF(OR(C1082="AREA I",C1082="AREA V"),7,VLOOKUP(A1082,'[1]MC Masterlist 2026-09-12'!$B:$M, 12, 0)),0)</f>
        <v>30</v>
      </c>
      <c r="Z1082" s="46">
        <f t="shared" si="249"/>
        <v>1.8333333333333333</v>
      </c>
      <c r="AA1082" s="46">
        <f t="shared" si="250"/>
        <v>3.6666666666666665</v>
      </c>
      <c r="AB1082" s="46">
        <f t="shared" si="251"/>
        <v>3.4425925925925926</v>
      </c>
      <c r="AC1082" s="46">
        <f t="shared" si="252"/>
        <v>3.6666666666666665</v>
      </c>
      <c r="AD1082" s="44" t="str">
        <f t="shared" si="253"/>
        <v>Stockout</v>
      </c>
      <c r="AE1082" s="44" t="str">
        <f>IFERROR(VLOOKUP(A1082,'[1]Re-order'!$A:$AA,27,0),"")</f>
        <v>Stockout</v>
      </c>
      <c r="AF1082" s="46">
        <f t="shared" si="254"/>
        <v>3.6666666666666665</v>
      </c>
      <c r="AG1082" s="46">
        <f>SUMIFS('[1]Raw Inventory'!D:D,'[1]Raw Inventory'!C:C,"GREATWALL",'[1]Raw Inventory'!B:B,A1082)</f>
        <v>1</v>
      </c>
      <c r="AH1082" s="46">
        <f>SUMIFS('[1]Raw Inventory'!D:D,'[1]Raw Inventory'!C:C,"DUARTE",'[1]Raw Inventory'!B:B,A1082)</f>
        <v>0</v>
      </c>
      <c r="AI1082" s="46"/>
      <c r="AJ1082" s="46"/>
      <c r="AK1082" s="43"/>
      <c r="AL1082" s="43"/>
      <c r="AM1082" s="43"/>
      <c r="AN1082" s="43"/>
      <c r="AO1082" s="43"/>
      <c r="AP1082" s="43"/>
      <c r="AQ1082" s="43"/>
      <c r="AR1082" s="43"/>
      <c r="AS1082" s="43"/>
      <c r="AT1082" s="43"/>
    </row>
    <row r="1083" spans="1:46">
      <c r="A1083" s="43" t="s">
        <v>28</v>
      </c>
      <c r="B1083" s="43" t="s">
        <v>116</v>
      </c>
      <c r="C1083" s="43" t="s">
        <v>109</v>
      </c>
      <c r="D1083" s="44" t="s">
        <v>254</v>
      </c>
      <c r="E1083" s="44">
        <v>3</v>
      </c>
      <c r="F1083" s="44" t="s">
        <v>2</v>
      </c>
      <c r="G1083" s="43" t="str">
        <f>IFERROR(VLOOKUP(A1083,'[1]MC Masterlist 2026-09-12'!$B:$M, 3, 0),"")</f>
        <v>YAMAHA</v>
      </c>
      <c r="H1083" s="45">
        <f>IFERROR(VLOOKUP(A1083,'[1]MC Masterlist 2026-09-12'!$B:$M, 6, 0),"")</f>
        <v>147312</v>
      </c>
      <c r="I1083" s="46">
        <v>0</v>
      </c>
      <c r="J1083" s="46">
        <v>0</v>
      </c>
      <c r="K1083" s="46">
        <v>2</v>
      </c>
      <c r="L1083" s="46">
        <f t="shared" si="240"/>
        <v>2</v>
      </c>
      <c r="M1083" s="46">
        <f t="shared" si="241"/>
        <v>0.66666666666666663</v>
      </c>
      <c r="N1083" s="45">
        <f t="shared" si="242"/>
        <v>294624</v>
      </c>
      <c r="O1083" s="45">
        <f t="shared" si="243"/>
        <v>98208</v>
      </c>
      <c r="P1083" s="46">
        <f t="shared" si="244"/>
        <v>2.222222222222222E-2</v>
      </c>
      <c r="Q1083" s="46"/>
      <c r="R1083" s="45">
        <f t="shared" si="245"/>
        <v>0</v>
      </c>
      <c r="S1083" s="46">
        <f t="shared" si="246"/>
        <v>0</v>
      </c>
      <c r="T1083" s="46">
        <f>IFERROR(VLOOKUP(A1083,'[1]Re-order'!$A:$Q,17,0),"")</f>
        <v>8.2417582417582427</v>
      </c>
      <c r="U1083" s="46">
        <f>IFERROR(VLOOKUP(A1083,'[1]MC Masterlist 2026-09-12'!$B:$M, 10, 0),0)</f>
        <v>15</v>
      </c>
      <c r="V1083" s="46">
        <f>IFERROR(VLOOKUP(A1083,'[1]MC Masterlist 2026-09-12'!$B:$M, 11, 0),0)</f>
        <v>15</v>
      </c>
      <c r="W1083" s="46">
        <f t="shared" si="247"/>
        <v>30</v>
      </c>
      <c r="X1083" s="46">
        <f t="shared" si="248"/>
        <v>29.666666666666668</v>
      </c>
      <c r="Y1083" s="46">
        <f>IFERROR(IF(OR(C1083="AREA I",C1083="AREA V"),7,VLOOKUP(A1083,'[1]MC Masterlist 2026-09-12'!$B:$M, 12, 0)),0)</f>
        <v>30</v>
      </c>
      <c r="Z1083" s="46">
        <f t="shared" si="249"/>
        <v>0.33333333333333331</v>
      </c>
      <c r="AA1083" s="46">
        <f t="shared" si="250"/>
        <v>0.66666666666666663</v>
      </c>
      <c r="AB1083" s="46">
        <f t="shared" si="251"/>
        <v>0.65925925925925921</v>
      </c>
      <c r="AC1083" s="46">
        <f t="shared" si="252"/>
        <v>0.66666666666666663</v>
      </c>
      <c r="AD1083" s="44" t="str">
        <f t="shared" si="253"/>
        <v>Stockout</v>
      </c>
      <c r="AE1083" s="44" t="str">
        <f>IFERROR(VLOOKUP(A1083,'[1]Re-order'!$A:$AA,27,0),"")</f>
        <v>Stockout</v>
      </c>
      <c r="AF1083" s="46">
        <f t="shared" si="254"/>
        <v>0.66666666666666663</v>
      </c>
      <c r="AG1083" s="46">
        <f>SUMIFS('[1]Raw Inventory'!D:D,'[1]Raw Inventory'!C:C,"GREATWALL",'[1]Raw Inventory'!B:B,A1083)</f>
        <v>0</v>
      </c>
      <c r="AH1083" s="46">
        <f>SUMIFS('[1]Raw Inventory'!D:D,'[1]Raw Inventory'!C:C,"DUARTE",'[1]Raw Inventory'!B:B,A1083)</f>
        <v>0</v>
      </c>
      <c r="AI1083" s="46"/>
      <c r="AJ1083" s="46"/>
      <c r="AK1083" s="43"/>
      <c r="AL1083" s="43"/>
      <c r="AM1083" s="43"/>
      <c r="AN1083" s="43"/>
      <c r="AO1083" s="43"/>
      <c r="AP1083" s="43"/>
      <c r="AQ1083" s="43"/>
      <c r="AR1083" s="43"/>
      <c r="AS1083" s="43"/>
      <c r="AT1083" s="43"/>
    </row>
    <row r="1084" spans="1:46">
      <c r="A1084" s="43" t="s">
        <v>17</v>
      </c>
      <c r="B1084" s="43" t="s">
        <v>123</v>
      </c>
      <c r="C1084" s="43" t="s">
        <v>118</v>
      </c>
      <c r="D1084" s="44" t="s">
        <v>262</v>
      </c>
      <c r="E1084" s="44">
        <v>15</v>
      </c>
      <c r="F1084" s="44" t="s">
        <v>2</v>
      </c>
      <c r="G1084" s="43" t="str">
        <f>IFERROR(VLOOKUP(A1084,'[1]MC Masterlist 2026-09-12'!$B:$M, 3, 0),"")</f>
        <v>HONDA</v>
      </c>
      <c r="H1084" s="45">
        <f>IFERROR(VLOOKUP(A1084,'[1]MC Masterlist 2026-09-12'!$B:$M, 6, 0),"")</f>
        <v>140790</v>
      </c>
      <c r="I1084" s="46">
        <v>1</v>
      </c>
      <c r="J1084" s="46">
        <v>0</v>
      </c>
      <c r="K1084" s="46">
        <v>0</v>
      </c>
      <c r="L1084" s="46">
        <f t="shared" si="240"/>
        <v>1</v>
      </c>
      <c r="M1084" s="46">
        <f t="shared" si="241"/>
        <v>0.33333333333333331</v>
      </c>
      <c r="N1084" s="45">
        <f t="shared" si="242"/>
        <v>140790</v>
      </c>
      <c r="O1084" s="45">
        <f t="shared" si="243"/>
        <v>46930</v>
      </c>
      <c r="P1084" s="46">
        <f t="shared" si="244"/>
        <v>1.111111111111111E-2</v>
      </c>
      <c r="Q1084" s="46">
        <v>2</v>
      </c>
      <c r="R1084" s="45">
        <f t="shared" si="245"/>
        <v>281580</v>
      </c>
      <c r="S1084" s="46">
        <f t="shared" si="246"/>
        <v>180</v>
      </c>
      <c r="T1084" s="46">
        <f>IFERROR(VLOOKUP(A1084,'[1]Re-order'!$A:$Q,17,0),"")</f>
        <v>43.663366336633665</v>
      </c>
      <c r="U1084" s="46">
        <f>IFERROR(VLOOKUP(A1084,'[1]MC Masterlist 2026-09-12'!$B:$M, 10, 0),0)</f>
        <v>15</v>
      </c>
      <c r="V1084" s="46">
        <f>IFERROR(VLOOKUP(A1084,'[1]MC Masterlist 2026-09-12'!$B:$M, 11, 0),0)</f>
        <v>15</v>
      </c>
      <c r="W1084" s="46">
        <f t="shared" si="247"/>
        <v>30</v>
      </c>
      <c r="X1084" s="46">
        <f t="shared" si="248"/>
        <v>29.833333333333332</v>
      </c>
      <c r="Y1084" s="46">
        <f>IFERROR(IF(OR(C1084="AREA I",C1084="AREA V"),7,VLOOKUP(A1084,'[1]MC Masterlist 2026-09-12'!$B:$M, 12, 0)),0)</f>
        <v>30</v>
      </c>
      <c r="Z1084" s="46">
        <f t="shared" si="249"/>
        <v>0.16666666666666666</v>
      </c>
      <c r="AA1084" s="46">
        <f t="shared" si="250"/>
        <v>0.33333333333333331</v>
      </c>
      <c r="AB1084" s="46">
        <f t="shared" si="251"/>
        <v>0.33148148148148143</v>
      </c>
      <c r="AC1084" s="46">
        <f t="shared" si="252"/>
        <v>0.33333333333333331</v>
      </c>
      <c r="AD1084" s="44" t="str">
        <f t="shared" si="253"/>
        <v>Over</v>
      </c>
      <c r="AE1084" s="44" t="str">
        <f>IFERROR(VLOOKUP(A1084,'[1]Re-order'!$A:$AA,27,0),"")</f>
        <v>Re-order</v>
      </c>
      <c r="AF1084" s="46">
        <f t="shared" si="254"/>
        <v>-1.6666666666666667</v>
      </c>
      <c r="AG1084" s="46">
        <f>SUMIFS('[1]Raw Inventory'!D:D,'[1]Raw Inventory'!C:C,"GREATWALL",'[1]Raw Inventory'!B:B,A1084)</f>
        <v>12</v>
      </c>
      <c r="AH1084" s="46">
        <f>SUMIFS('[1]Raw Inventory'!D:D,'[1]Raw Inventory'!C:C,"DUARTE",'[1]Raw Inventory'!B:B,A1084)</f>
        <v>0</v>
      </c>
      <c r="AI1084" s="46"/>
      <c r="AJ1084" s="46"/>
      <c r="AK1084" s="43"/>
      <c r="AL1084" s="43"/>
      <c r="AM1084" s="43"/>
      <c r="AN1084" s="43"/>
      <c r="AO1084" s="43"/>
      <c r="AP1084" s="43"/>
      <c r="AQ1084" s="43"/>
      <c r="AR1084" s="43"/>
      <c r="AS1084" s="43"/>
      <c r="AT1084" s="43"/>
    </row>
    <row r="1085" spans="1:46">
      <c r="A1085" s="43" t="s">
        <v>64</v>
      </c>
      <c r="B1085" s="43" t="s">
        <v>155</v>
      </c>
      <c r="C1085" s="43" t="s">
        <v>152</v>
      </c>
      <c r="D1085" s="44" t="s">
        <v>257</v>
      </c>
      <c r="E1085" s="44">
        <v>23</v>
      </c>
      <c r="F1085" s="44" t="s">
        <v>3</v>
      </c>
      <c r="G1085" s="43" t="str">
        <f>IFERROR(VLOOKUP(A1085,'[1]MC Masterlist 2026-09-12'!$B:$M, 3, 0),"")</f>
        <v>HONDA</v>
      </c>
      <c r="H1085" s="45">
        <f>IFERROR(VLOOKUP(A1085,'[1]MC Masterlist 2026-09-12'!$B:$M, 6, 0),"")</f>
        <v>73170</v>
      </c>
      <c r="I1085" s="46">
        <v>0</v>
      </c>
      <c r="J1085" s="46">
        <v>0</v>
      </c>
      <c r="K1085" s="46">
        <v>1</v>
      </c>
      <c r="L1085" s="46">
        <f t="shared" si="240"/>
        <v>1</v>
      </c>
      <c r="M1085" s="46">
        <f t="shared" si="241"/>
        <v>0.33333333333333331</v>
      </c>
      <c r="N1085" s="45">
        <f t="shared" si="242"/>
        <v>73170</v>
      </c>
      <c r="O1085" s="45">
        <f t="shared" si="243"/>
        <v>24390</v>
      </c>
      <c r="P1085" s="46">
        <f t="shared" si="244"/>
        <v>1.111111111111111E-2</v>
      </c>
      <c r="Q1085" s="46">
        <v>3</v>
      </c>
      <c r="R1085" s="45">
        <f t="shared" si="245"/>
        <v>219510</v>
      </c>
      <c r="S1085" s="46">
        <f t="shared" si="246"/>
        <v>270</v>
      </c>
      <c r="T1085" s="46">
        <f>IFERROR(VLOOKUP(A1085,'[1]Re-order'!$A:$Q,17,0),"")</f>
        <v>76.153846153846146</v>
      </c>
      <c r="U1085" s="46">
        <f>IFERROR(VLOOKUP(A1085,'[1]MC Masterlist 2026-09-12'!$B:$M, 10, 0),0)</f>
        <v>15</v>
      </c>
      <c r="V1085" s="46">
        <f>IFERROR(VLOOKUP(A1085,'[1]MC Masterlist 2026-09-12'!$B:$M, 11, 0),0)</f>
        <v>15</v>
      </c>
      <c r="W1085" s="46">
        <f t="shared" si="247"/>
        <v>30</v>
      </c>
      <c r="X1085" s="46">
        <f t="shared" si="248"/>
        <v>29.833333333333332</v>
      </c>
      <c r="Y1085" s="46">
        <f>IFERROR(IF(OR(C1085="AREA I",C1085="AREA V"),7,VLOOKUP(A1085,'[1]MC Masterlist 2026-09-12'!$B:$M, 12, 0)),0)</f>
        <v>30</v>
      </c>
      <c r="Z1085" s="46">
        <f t="shared" si="249"/>
        <v>0.16666666666666666</v>
      </c>
      <c r="AA1085" s="46">
        <f t="shared" si="250"/>
        <v>0.33333333333333331</v>
      </c>
      <c r="AB1085" s="46">
        <f t="shared" si="251"/>
        <v>0.33148148148148143</v>
      </c>
      <c r="AC1085" s="46">
        <f t="shared" si="252"/>
        <v>0.33333333333333331</v>
      </c>
      <c r="AD1085" s="44" t="str">
        <f t="shared" si="253"/>
        <v>Over</v>
      </c>
      <c r="AE1085" s="44" t="str">
        <f>IFERROR(VLOOKUP(A1085,'[1]Re-order'!$A:$AA,27,0),"")</f>
        <v/>
      </c>
      <c r="AF1085" s="46">
        <f t="shared" si="254"/>
        <v>-2.6666666666666665</v>
      </c>
      <c r="AG1085" s="46">
        <f>SUMIFS('[1]Raw Inventory'!D:D,'[1]Raw Inventory'!C:C,"GREATWALL",'[1]Raw Inventory'!B:B,A1085)</f>
        <v>13</v>
      </c>
      <c r="AH1085" s="46">
        <f>SUMIFS('[1]Raw Inventory'!D:D,'[1]Raw Inventory'!C:C,"DUARTE",'[1]Raw Inventory'!B:B,A1085)</f>
        <v>0</v>
      </c>
      <c r="AI1085" s="46"/>
      <c r="AJ1085" s="46"/>
      <c r="AK1085" s="43"/>
      <c r="AL1085" s="43"/>
      <c r="AM1085" s="43"/>
      <c r="AN1085" s="43"/>
      <c r="AO1085" s="43"/>
      <c r="AP1085" s="43"/>
      <c r="AQ1085" s="43"/>
      <c r="AR1085" s="43"/>
      <c r="AS1085" s="43"/>
      <c r="AT1085" s="43"/>
    </row>
    <row r="1086" spans="1:46">
      <c r="A1086" s="43" t="s">
        <v>42</v>
      </c>
      <c r="B1086" s="43" t="s">
        <v>112</v>
      </c>
      <c r="C1086" s="43" t="s">
        <v>109</v>
      </c>
      <c r="D1086" s="44" t="s">
        <v>224</v>
      </c>
      <c r="E1086" s="44">
        <v>9</v>
      </c>
      <c r="F1086" s="44" t="s">
        <v>2</v>
      </c>
      <c r="G1086" s="43" t="str">
        <f>IFERROR(VLOOKUP(A1086,'[1]MC Masterlist 2026-09-12'!$B:$M, 3, 0),"")</f>
        <v>YAMAHA</v>
      </c>
      <c r="H1086" s="45">
        <f>IFERROR(VLOOKUP(A1086,'[1]MC Masterlist 2026-09-12'!$B:$M, 6, 0),"")</f>
        <v>152892</v>
      </c>
      <c r="I1086" s="46">
        <v>0</v>
      </c>
      <c r="J1086" s="46">
        <v>0</v>
      </c>
      <c r="K1086" s="46">
        <v>1</v>
      </c>
      <c r="L1086" s="46">
        <f t="shared" si="240"/>
        <v>1</v>
      </c>
      <c r="M1086" s="46">
        <f t="shared" si="241"/>
        <v>0.33333333333333331</v>
      </c>
      <c r="N1086" s="45">
        <f t="shared" si="242"/>
        <v>152892</v>
      </c>
      <c r="O1086" s="45">
        <f t="shared" si="243"/>
        <v>50964</v>
      </c>
      <c r="P1086" s="46">
        <f t="shared" si="244"/>
        <v>1.111111111111111E-2</v>
      </c>
      <c r="Q1086" s="46">
        <v>5</v>
      </c>
      <c r="R1086" s="45">
        <f t="shared" si="245"/>
        <v>764460</v>
      </c>
      <c r="S1086" s="46">
        <f t="shared" si="246"/>
        <v>450</v>
      </c>
      <c r="T1086" s="46">
        <f>IFERROR(VLOOKUP(A1086,'[1]Re-order'!$A:$Q,17,0),"")</f>
        <v>104.55882352941177</v>
      </c>
      <c r="U1086" s="46">
        <f>IFERROR(VLOOKUP(A1086,'[1]MC Masterlist 2026-09-12'!$B:$M, 10, 0),0)</f>
        <v>15</v>
      </c>
      <c r="V1086" s="46">
        <f>IFERROR(VLOOKUP(A1086,'[1]MC Masterlist 2026-09-12'!$B:$M, 11, 0),0)</f>
        <v>15</v>
      </c>
      <c r="W1086" s="46">
        <f t="shared" si="247"/>
        <v>30</v>
      </c>
      <c r="X1086" s="46">
        <f t="shared" si="248"/>
        <v>29.833333333333332</v>
      </c>
      <c r="Y1086" s="46">
        <f>IFERROR(IF(OR(C1086="AREA I",C1086="AREA V"),7,VLOOKUP(A1086,'[1]MC Masterlist 2026-09-12'!$B:$M, 12, 0)),0)</f>
        <v>30</v>
      </c>
      <c r="Z1086" s="46">
        <f t="shared" si="249"/>
        <v>0.16666666666666666</v>
      </c>
      <c r="AA1086" s="46">
        <f t="shared" si="250"/>
        <v>0.33333333333333331</v>
      </c>
      <c r="AB1086" s="46">
        <f t="shared" si="251"/>
        <v>0.33148148148148143</v>
      </c>
      <c r="AC1086" s="46">
        <f t="shared" si="252"/>
        <v>0.33333333333333331</v>
      </c>
      <c r="AD1086" s="44" t="str">
        <f t="shared" si="253"/>
        <v>Over</v>
      </c>
      <c r="AE1086" s="44" t="str">
        <f>IFERROR(VLOOKUP(A1086,'[1]Re-order'!$A:$AA,27,0),"")</f>
        <v>Over</v>
      </c>
      <c r="AF1086" s="46">
        <f t="shared" si="254"/>
        <v>-4.666666666666667</v>
      </c>
      <c r="AG1086" s="46">
        <f>SUMIFS('[1]Raw Inventory'!D:D,'[1]Raw Inventory'!C:C,"GREATWALL",'[1]Raw Inventory'!B:B,A1086)</f>
        <v>3</v>
      </c>
      <c r="AH1086" s="46">
        <f>SUMIFS('[1]Raw Inventory'!D:D,'[1]Raw Inventory'!C:C,"DUARTE",'[1]Raw Inventory'!B:B,A1086)</f>
        <v>0</v>
      </c>
      <c r="AI1086" s="46"/>
      <c r="AJ1086" s="46"/>
      <c r="AK1086" s="43"/>
      <c r="AL1086" s="43"/>
      <c r="AM1086" s="43"/>
      <c r="AN1086" s="43"/>
      <c r="AO1086" s="43"/>
      <c r="AP1086" s="43"/>
      <c r="AQ1086" s="43"/>
      <c r="AR1086" s="43"/>
      <c r="AS1086" s="43"/>
      <c r="AT1086" s="43"/>
    </row>
    <row r="1087" spans="1:46">
      <c r="A1087" s="43" t="s">
        <v>16</v>
      </c>
      <c r="B1087" s="43" t="s">
        <v>162</v>
      </c>
      <c r="C1087" s="43" t="s">
        <v>159</v>
      </c>
      <c r="D1087" s="44" t="s">
        <v>238</v>
      </c>
      <c r="E1087" s="44">
        <v>2</v>
      </c>
      <c r="F1087" s="44" t="s">
        <v>0</v>
      </c>
      <c r="G1087" s="43" t="str">
        <f>IFERROR(VLOOKUP(A1087,'[1]MC Masterlist 2026-09-12'!$B:$M, 3, 0),"")</f>
        <v>HONDA</v>
      </c>
      <c r="H1087" s="45">
        <f>IFERROR(VLOOKUP(A1087,'[1]MC Masterlist 2026-09-12'!$B:$M, 6, 0),"")</f>
        <v>84394</v>
      </c>
      <c r="I1087" s="46">
        <v>5</v>
      </c>
      <c r="J1087" s="46">
        <v>13</v>
      </c>
      <c r="K1087" s="46">
        <v>3</v>
      </c>
      <c r="L1087" s="46">
        <f t="shared" si="240"/>
        <v>21</v>
      </c>
      <c r="M1087" s="46">
        <f t="shared" si="241"/>
        <v>7</v>
      </c>
      <c r="N1087" s="45">
        <f t="shared" si="242"/>
        <v>1772274</v>
      </c>
      <c r="O1087" s="45">
        <f t="shared" si="243"/>
        <v>590758</v>
      </c>
      <c r="P1087" s="46">
        <f t="shared" si="244"/>
        <v>0.23333333333333334</v>
      </c>
      <c r="Q1087" s="46">
        <v>4</v>
      </c>
      <c r="R1087" s="45">
        <f t="shared" si="245"/>
        <v>337576</v>
      </c>
      <c r="S1087" s="46">
        <f t="shared" si="246"/>
        <v>17.142857142857142</v>
      </c>
      <c r="T1087" s="46">
        <f>IFERROR(VLOOKUP(A1087,'[1]Re-order'!$A:$Q,17,0),"")</f>
        <v>26.332665330661321</v>
      </c>
      <c r="U1087" s="46">
        <f>IFERROR(VLOOKUP(A1087,'[1]MC Masterlist 2026-09-12'!$B:$M, 10, 0),0)</f>
        <v>15</v>
      </c>
      <c r="V1087" s="46">
        <f>IFERROR(VLOOKUP(A1087,'[1]MC Masterlist 2026-09-12'!$B:$M, 11, 0),0)</f>
        <v>15</v>
      </c>
      <c r="W1087" s="46">
        <f t="shared" si="247"/>
        <v>30</v>
      </c>
      <c r="X1087" s="46">
        <f t="shared" si="248"/>
        <v>26.5</v>
      </c>
      <c r="Y1087" s="46">
        <f>IFERROR(IF(OR(C1087="AREA I",C1087="AREA V"),7,VLOOKUP(A1087,'[1]MC Masterlist 2026-09-12'!$B:$M, 12, 0)),0)</f>
        <v>30</v>
      </c>
      <c r="Z1087" s="46">
        <f t="shared" si="249"/>
        <v>3.5</v>
      </c>
      <c r="AA1087" s="46">
        <f t="shared" si="250"/>
        <v>7</v>
      </c>
      <c r="AB1087" s="46">
        <f t="shared" si="251"/>
        <v>6.1833333333333336</v>
      </c>
      <c r="AC1087" s="46">
        <f t="shared" si="252"/>
        <v>7</v>
      </c>
      <c r="AD1087" s="44" t="str">
        <f t="shared" si="253"/>
        <v>Re-order</v>
      </c>
      <c r="AE1087" s="44" t="str">
        <f>IFERROR(VLOOKUP(A1087,'[1]Re-order'!$A:$AA,27,0),"")</f>
        <v>Stockout</v>
      </c>
      <c r="AF1087" s="46">
        <f t="shared" si="254"/>
        <v>3</v>
      </c>
      <c r="AG1087" s="46">
        <f>SUMIFS('[1]Raw Inventory'!D:D,'[1]Raw Inventory'!C:C,"GREATWALL",'[1]Raw Inventory'!B:B,A1087)</f>
        <v>58</v>
      </c>
      <c r="AH1087" s="46">
        <f>SUMIFS('[1]Raw Inventory'!D:D,'[1]Raw Inventory'!C:C,"DUARTE",'[1]Raw Inventory'!B:B,A1087)</f>
        <v>0</v>
      </c>
      <c r="AI1087" s="46"/>
      <c r="AJ1087" s="46"/>
      <c r="AK1087" s="43"/>
      <c r="AL1087" s="43"/>
      <c r="AM1087" s="43"/>
      <c r="AN1087" s="43"/>
      <c r="AO1087" s="43"/>
      <c r="AP1087" s="43"/>
      <c r="AQ1087" s="43"/>
      <c r="AR1087" s="43"/>
      <c r="AS1087" s="43"/>
      <c r="AT1087" s="43"/>
    </row>
    <row r="1088" spans="1:46">
      <c r="A1088" s="43" t="s">
        <v>41</v>
      </c>
      <c r="B1088" s="43" t="s">
        <v>144</v>
      </c>
      <c r="C1088" s="43" t="s">
        <v>137</v>
      </c>
      <c r="D1088" s="44" t="s">
        <v>276</v>
      </c>
      <c r="E1088" s="44">
        <v>33</v>
      </c>
      <c r="F1088" s="44" t="s">
        <v>3</v>
      </c>
      <c r="G1088" s="43" t="str">
        <f>IFERROR(VLOOKUP(A1088,'[1]MC Masterlist 2026-09-12'!$B:$M, 3, 0),"")</f>
        <v>YAMAHA</v>
      </c>
      <c r="H1088" s="45">
        <f>IFERROR(VLOOKUP(A1088,'[1]MC Masterlist 2026-09-12'!$B:$M, 6, 0),"")</f>
        <v>92907</v>
      </c>
      <c r="I1088" s="46">
        <v>0</v>
      </c>
      <c r="J1088" s="46">
        <v>0</v>
      </c>
      <c r="K1088" s="46">
        <v>0</v>
      </c>
      <c r="L1088" s="46">
        <f t="shared" si="240"/>
        <v>0</v>
      </c>
      <c r="M1088" s="46">
        <f t="shared" si="241"/>
        <v>0</v>
      </c>
      <c r="N1088" s="45">
        <f t="shared" si="242"/>
        <v>0</v>
      </c>
      <c r="O1088" s="45">
        <f t="shared" si="243"/>
        <v>0</v>
      </c>
      <c r="P1088" s="46">
        <f t="shared" si="244"/>
        <v>0</v>
      </c>
      <c r="Q1088" s="46">
        <v>1</v>
      </c>
      <c r="R1088" s="45">
        <f t="shared" si="245"/>
        <v>92907</v>
      </c>
      <c r="S1088" s="46">
        <f t="shared" si="246"/>
        <v>0</v>
      </c>
      <c r="T1088" s="46">
        <f>IFERROR(VLOOKUP(A1088,'[1]Re-order'!$A:$Q,17,0),"")</f>
        <v>240</v>
      </c>
      <c r="U1088" s="46">
        <f>IFERROR(VLOOKUP(A1088,'[1]MC Masterlist 2026-09-12'!$B:$M, 10, 0),0)</f>
        <v>15</v>
      </c>
      <c r="V1088" s="46">
        <f>IFERROR(VLOOKUP(A1088,'[1]MC Masterlist 2026-09-12'!$B:$M, 11, 0),0)</f>
        <v>15</v>
      </c>
      <c r="W1088" s="46">
        <f t="shared" si="247"/>
        <v>30</v>
      </c>
      <c r="X1088" s="46">
        <f t="shared" si="248"/>
        <v>7</v>
      </c>
      <c r="Y1088" s="46">
        <f>IFERROR(IF(OR(C1088="AREA I",C1088="AREA V"),7,VLOOKUP(A1088,'[1]MC Masterlist 2026-09-12'!$B:$M, 12, 0)),0)</f>
        <v>7</v>
      </c>
      <c r="Z1088" s="46">
        <f t="shared" si="249"/>
        <v>0</v>
      </c>
      <c r="AA1088" s="46">
        <f t="shared" si="250"/>
        <v>0</v>
      </c>
      <c r="AB1088" s="46">
        <f t="shared" si="251"/>
        <v>0</v>
      </c>
      <c r="AC1088" s="46">
        <f t="shared" si="252"/>
        <v>0</v>
      </c>
      <c r="AD1088" s="44" t="str">
        <f t="shared" si="253"/>
        <v>Over</v>
      </c>
      <c r="AE1088" s="44" t="str">
        <f>IFERROR(VLOOKUP(A1088,'[1]Re-order'!$A:$AA,27,0),"")</f>
        <v>Over</v>
      </c>
      <c r="AF1088" s="46">
        <f t="shared" si="254"/>
        <v>-1</v>
      </c>
      <c r="AG1088" s="46">
        <f>SUMIFS('[1]Raw Inventory'!D:D,'[1]Raw Inventory'!C:C,"GREATWALL",'[1]Raw Inventory'!B:B,A1088)</f>
        <v>2</v>
      </c>
      <c r="AH1088" s="46">
        <f>SUMIFS('[1]Raw Inventory'!D:D,'[1]Raw Inventory'!C:C,"DUARTE",'[1]Raw Inventory'!B:B,A1088)</f>
        <v>0</v>
      </c>
      <c r="AI1088" s="46"/>
      <c r="AJ1088" s="46"/>
      <c r="AK1088" s="43"/>
      <c r="AL1088" s="43"/>
      <c r="AM1088" s="43"/>
      <c r="AN1088" s="43"/>
      <c r="AO1088" s="43"/>
      <c r="AP1088" s="43"/>
      <c r="AQ1088" s="43"/>
      <c r="AR1088" s="43"/>
      <c r="AS1088" s="43"/>
      <c r="AT1088" s="43"/>
    </row>
    <row r="1089" spans="1:46">
      <c r="A1089" s="43" t="s">
        <v>88</v>
      </c>
      <c r="B1089" s="43" t="s">
        <v>115</v>
      </c>
      <c r="C1089" s="43" t="s">
        <v>109</v>
      </c>
      <c r="D1089" s="44" t="s">
        <v>268</v>
      </c>
      <c r="E1089" s="44">
        <v>19</v>
      </c>
      <c r="F1089" s="44" t="s">
        <v>3</v>
      </c>
      <c r="G1089" s="43" t="str">
        <f>IFERROR(VLOOKUP(A1089,'[1]MC Masterlist 2026-09-12'!$B:$M, 3, 0),"")</f>
        <v>YAMAHA</v>
      </c>
      <c r="H1089" s="45">
        <f>IFERROR(VLOOKUP(A1089,'[1]MC Masterlist 2026-09-12'!$B:$M, 6, 0),"")</f>
        <v>74772</v>
      </c>
      <c r="I1089" s="46">
        <v>1</v>
      </c>
      <c r="J1089" s="46">
        <v>1</v>
      </c>
      <c r="K1089" s="46">
        <v>0</v>
      </c>
      <c r="L1089" s="46">
        <f t="shared" si="240"/>
        <v>2</v>
      </c>
      <c r="M1089" s="46">
        <f t="shared" si="241"/>
        <v>0.66666666666666663</v>
      </c>
      <c r="N1089" s="45">
        <f t="shared" si="242"/>
        <v>149544</v>
      </c>
      <c r="O1089" s="45">
        <f t="shared" si="243"/>
        <v>49848</v>
      </c>
      <c r="P1089" s="46">
        <f t="shared" si="244"/>
        <v>2.222222222222222E-2</v>
      </c>
      <c r="Q1089" s="46"/>
      <c r="R1089" s="45">
        <f t="shared" si="245"/>
        <v>0</v>
      </c>
      <c r="S1089" s="46">
        <f t="shared" si="246"/>
        <v>0</v>
      </c>
      <c r="T1089" s="46">
        <f>IFERROR(VLOOKUP(A1089,'[1]Re-order'!$A:$Q,17,0),"")</f>
        <v>90</v>
      </c>
      <c r="U1089" s="46">
        <f>IFERROR(VLOOKUP(A1089,'[1]MC Masterlist 2026-09-12'!$B:$M, 10, 0),0)</f>
        <v>15</v>
      </c>
      <c r="V1089" s="46">
        <f>IFERROR(VLOOKUP(A1089,'[1]MC Masterlist 2026-09-12'!$B:$M, 11, 0),0)</f>
        <v>15</v>
      </c>
      <c r="W1089" s="46">
        <f t="shared" si="247"/>
        <v>30</v>
      </c>
      <c r="X1089" s="46">
        <f t="shared" si="248"/>
        <v>29.666666666666668</v>
      </c>
      <c r="Y1089" s="46">
        <f>IFERROR(IF(OR(C1089="AREA I",C1089="AREA V"),7,VLOOKUP(A1089,'[1]MC Masterlist 2026-09-12'!$B:$M, 12, 0)),0)</f>
        <v>30</v>
      </c>
      <c r="Z1089" s="46">
        <f t="shared" si="249"/>
        <v>0.33333333333333331</v>
      </c>
      <c r="AA1089" s="46">
        <f t="shared" si="250"/>
        <v>0.66666666666666663</v>
      </c>
      <c r="AB1089" s="46">
        <f t="shared" si="251"/>
        <v>0.65925925925925921</v>
      </c>
      <c r="AC1089" s="46">
        <f t="shared" si="252"/>
        <v>0.66666666666666663</v>
      </c>
      <c r="AD1089" s="44" t="str">
        <f t="shared" si="253"/>
        <v>Stockout</v>
      </c>
      <c r="AE1089" s="44" t="str">
        <f>IFERROR(VLOOKUP(A1089,'[1]Re-order'!$A:$AA,27,0),"")</f>
        <v/>
      </c>
      <c r="AF1089" s="46">
        <f t="shared" si="254"/>
        <v>0.66666666666666663</v>
      </c>
      <c r="AG1089" s="46">
        <f>SUMIFS('[1]Raw Inventory'!D:D,'[1]Raw Inventory'!C:C,"GREATWALL",'[1]Raw Inventory'!B:B,A1089)</f>
        <v>0</v>
      </c>
      <c r="AH1089" s="46">
        <f>SUMIFS('[1]Raw Inventory'!D:D,'[1]Raw Inventory'!C:C,"DUARTE",'[1]Raw Inventory'!B:B,A1089)</f>
        <v>0</v>
      </c>
      <c r="AI1089" s="46"/>
      <c r="AJ1089" s="46"/>
      <c r="AK1089" s="43"/>
      <c r="AL1089" s="43"/>
      <c r="AM1089" s="43"/>
      <c r="AN1089" s="43"/>
      <c r="AO1089" s="43"/>
      <c r="AP1089" s="43"/>
      <c r="AQ1089" s="43"/>
      <c r="AR1089" s="43"/>
      <c r="AS1089" s="43"/>
      <c r="AT1089" s="43"/>
    </row>
    <row r="1090" spans="1:46">
      <c r="A1090" s="43" t="s">
        <v>39</v>
      </c>
      <c r="B1090" s="43" t="s">
        <v>130</v>
      </c>
      <c r="C1090" s="43" t="s">
        <v>128</v>
      </c>
      <c r="D1090" s="44" t="s">
        <v>233</v>
      </c>
      <c r="E1090" s="44">
        <v>11</v>
      </c>
      <c r="F1090" s="44" t="s">
        <v>2</v>
      </c>
      <c r="G1090" s="43" t="str">
        <f>IFERROR(VLOOKUP(A1090,'[1]MC Masterlist 2026-09-12'!$B:$M, 3, 0),"")</f>
        <v>HONDA</v>
      </c>
      <c r="H1090" s="45">
        <f>IFERROR(VLOOKUP(A1090,'[1]MC Masterlist 2026-09-12'!$B:$M, 6, 0),"")</f>
        <v>72434</v>
      </c>
      <c r="I1090" s="46">
        <v>2</v>
      </c>
      <c r="J1090" s="46">
        <v>4</v>
      </c>
      <c r="K1090" s="46">
        <v>1</v>
      </c>
      <c r="L1090" s="46">
        <f t="shared" si="240"/>
        <v>7</v>
      </c>
      <c r="M1090" s="46">
        <f t="shared" si="241"/>
        <v>2.3333333333333335</v>
      </c>
      <c r="N1090" s="45">
        <f t="shared" si="242"/>
        <v>507038</v>
      </c>
      <c r="O1090" s="45">
        <f t="shared" si="243"/>
        <v>169012.66666666669</v>
      </c>
      <c r="P1090" s="46">
        <f t="shared" si="244"/>
        <v>7.7777777777777779E-2</v>
      </c>
      <c r="Q1090" s="46"/>
      <c r="R1090" s="45">
        <f t="shared" si="245"/>
        <v>0</v>
      </c>
      <c r="S1090" s="46">
        <f t="shared" si="246"/>
        <v>0</v>
      </c>
      <c r="T1090" s="46">
        <f>IFERROR(VLOOKUP(A1090,'[1]Re-order'!$A:$Q,17,0),"")</f>
        <v>40.982142857142854</v>
      </c>
      <c r="U1090" s="46">
        <f>IFERROR(VLOOKUP(A1090,'[1]MC Masterlist 2026-09-12'!$B:$M, 10, 0),0)</f>
        <v>15</v>
      </c>
      <c r="V1090" s="46">
        <f>IFERROR(VLOOKUP(A1090,'[1]MC Masterlist 2026-09-12'!$B:$M, 11, 0),0)</f>
        <v>15</v>
      </c>
      <c r="W1090" s="46">
        <f t="shared" si="247"/>
        <v>30</v>
      </c>
      <c r="X1090" s="46">
        <f t="shared" si="248"/>
        <v>28.833333333333332</v>
      </c>
      <c r="Y1090" s="46">
        <f>IFERROR(IF(OR(C1090="AREA I",C1090="AREA V"),7,VLOOKUP(A1090,'[1]MC Masterlist 2026-09-12'!$B:$M, 12, 0)),0)</f>
        <v>30</v>
      </c>
      <c r="Z1090" s="46">
        <f t="shared" si="249"/>
        <v>1.1666666666666667</v>
      </c>
      <c r="AA1090" s="46">
        <f t="shared" si="250"/>
        <v>2.3333333333333335</v>
      </c>
      <c r="AB1090" s="46">
        <f t="shared" si="251"/>
        <v>2.2425925925925925</v>
      </c>
      <c r="AC1090" s="46">
        <f t="shared" si="252"/>
        <v>2.3333333333333335</v>
      </c>
      <c r="AD1090" s="44" t="str">
        <f t="shared" si="253"/>
        <v>Stockout</v>
      </c>
      <c r="AE1090" s="44" t="str">
        <f>IFERROR(VLOOKUP(A1090,'[1]Re-order'!$A:$AA,27,0),"")</f>
        <v>Re-order</v>
      </c>
      <c r="AF1090" s="46">
        <f t="shared" si="254"/>
        <v>2.3333333333333335</v>
      </c>
      <c r="AG1090" s="46">
        <f>SUMIFS('[1]Raw Inventory'!D:D,'[1]Raw Inventory'!C:C,"GREATWALL",'[1]Raw Inventory'!B:B,A1090)</f>
        <v>16</v>
      </c>
      <c r="AH1090" s="46">
        <f>SUMIFS('[1]Raw Inventory'!D:D,'[1]Raw Inventory'!C:C,"DUARTE",'[1]Raw Inventory'!B:B,A1090)</f>
        <v>0</v>
      </c>
      <c r="AI1090" s="46"/>
      <c r="AJ1090" s="46"/>
      <c r="AK1090" s="43"/>
      <c r="AL1090" s="43"/>
      <c r="AM1090" s="43"/>
      <c r="AN1090" s="43"/>
      <c r="AO1090" s="43"/>
      <c r="AP1090" s="43"/>
      <c r="AQ1090" s="43"/>
      <c r="AR1090" s="43"/>
      <c r="AS1090" s="43"/>
      <c r="AT1090" s="43"/>
    </row>
    <row r="1091" spans="1:46">
      <c r="A1091" s="43" t="s">
        <v>47</v>
      </c>
      <c r="B1091" s="43" t="s">
        <v>110</v>
      </c>
      <c r="C1091" s="43" t="s">
        <v>109</v>
      </c>
      <c r="D1091" s="44" t="s">
        <v>240</v>
      </c>
      <c r="E1091" s="44">
        <v>11</v>
      </c>
      <c r="F1091" s="44" t="s">
        <v>2</v>
      </c>
      <c r="G1091" s="43" t="str">
        <f>IFERROR(VLOOKUP(A1091,'[1]MC Masterlist 2026-09-12'!$B:$M, 3, 0),"")</f>
        <v>YAMAHA</v>
      </c>
      <c r="H1091" s="45">
        <f>IFERROR(VLOOKUP(A1091,'[1]MC Masterlist 2026-09-12'!$B:$M, 6, 0),"")</f>
        <v>76167</v>
      </c>
      <c r="I1091" s="46">
        <v>1</v>
      </c>
      <c r="J1091" s="46">
        <v>0</v>
      </c>
      <c r="K1091" s="46">
        <v>2</v>
      </c>
      <c r="L1091" s="46">
        <f t="shared" ref="L1091:L1154" si="255">I1091+J1091+K1091</f>
        <v>3</v>
      </c>
      <c r="M1091" s="46">
        <f t="shared" ref="M1091:M1154" si="256">AVERAGE(I1091,J1091,K1091)</f>
        <v>1</v>
      </c>
      <c r="N1091" s="45">
        <f t="shared" ref="N1091:N1154" si="257">L1091*H1091</f>
        <v>228501</v>
      </c>
      <c r="O1091" s="45">
        <f t="shared" ref="O1091:O1154" si="258">M1091*H1091</f>
        <v>76167</v>
      </c>
      <c r="P1091" s="46">
        <f t="shared" ref="P1091:P1154" si="259">M1091/30</f>
        <v>3.3333333333333333E-2</v>
      </c>
      <c r="Q1091" s="46"/>
      <c r="R1091" s="45">
        <f t="shared" ref="R1091:R1154" si="260">IFERROR(Q1091*H1091, 0)</f>
        <v>0</v>
      </c>
      <c r="S1091" s="46">
        <f t="shared" ref="S1091:S1154" si="261">IFERROR(R1091/(O1091)*30, 0)</f>
        <v>0</v>
      </c>
      <c r="T1091" s="46">
        <f>IFERROR(VLOOKUP(A1091,'[1]Re-order'!$A:$Q,17,0),"")</f>
        <v>86.666666666666671</v>
      </c>
      <c r="U1091" s="46">
        <f>IFERROR(VLOOKUP(A1091,'[1]MC Masterlist 2026-09-12'!$B:$M, 10, 0),0)</f>
        <v>15</v>
      </c>
      <c r="V1091" s="46">
        <f>IFERROR(VLOOKUP(A1091,'[1]MC Masterlist 2026-09-12'!$B:$M, 11, 0),0)</f>
        <v>15</v>
      </c>
      <c r="W1091" s="46">
        <f t="shared" ref="W1091:W1154" si="262">U1091+V1091</f>
        <v>30</v>
      </c>
      <c r="X1091" s="46">
        <f t="shared" ref="X1091:X1154" si="263">Y1091-Z1091</f>
        <v>29.5</v>
      </c>
      <c r="Y1091" s="46">
        <f>IFERROR(IF(OR(C1091="AREA I",C1091="AREA V"),7,VLOOKUP(A1091,'[1]MC Masterlist 2026-09-12'!$B:$M, 12, 0)),0)</f>
        <v>30</v>
      </c>
      <c r="Z1091" s="46">
        <f t="shared" ref="Z1091:Z1154" si="264">V1091*P1091</f>
        <v>0.5</v>
      </c>
      <c r="AA1091" s="46">
        <f t="shared" ref="AA1091:AA1154" si="265">W1091*P1091</f>
        <v>1</v>
      </c>
      <c r="AB1091" s="46">
        <f t="shared" ref="AB1091:AB1154" si="266">X1091*P1091</f>
        <v>0.98333333333333328</v>
      </c>
      <c r="AC1091" s="46">
        <f t="shared" ref="AC1091:AC1154" si="267">Y1091*P1091</f>
        <v>1</v>
      </c>
      <c r="AD1091" s="44" t="str">
        <f t="shared" ref="AD1091:AD1154" si="268">IFERROR(IF(Q1091&gt;AC1091, "Over", IF(Q1091&lt;=Z1091, "Stockout", IF(Q1091&lt;=AA1091, "Re-order",""))), "")</f>
        <v>Stockout</v>
      </c>
      <c r="AE1091" s="44" t="str">
        <f>IFERROR(VLOOKUP(A1091,'[1]Re-order'!$A:$AA,27,0),"")</f>
        <v/>
      </c>
      <c r="AF1091" s="46">
        <f t="shared" ref="AF1091:AF1154" si="269">AC1091-Q1091</f>
        <v>1</v>
      </c>
      <c r="AG1091" s="46">
        <f>SUMIFS('[1]Raw Inventory'!D:D,'[1]Raw Inventory'!C:C,"GREATWALL",'[1]Raw Inventory'!B:B,A1091)</f>
        <v>1</v>
      </c>
      <c r="AH1091" s="46">
        <f>SUMIFS('[1]Raw Inventory'!D:D,'[1]Raw Inventory'!C:C,"DUARTE",'[1]Raw Inventory'!B:B,A1091)</f>
        <v>0</v>
      </c>
      <c r="AI1091" s="46"/>
      <c r="AJ1091" s="46"/>
      <c r="AK1091" s="43"/>
      <c r="AL1091" s="43"/>
      <c r="AM1091" s="43"/>
      <c r="AN1091" s="43"/>
      <c r="AO1091" s="43"/>
      <c r="AP1091" s="43"/>
      <c r="AQ1091" s="43"/>
      <c r="AR1091" s="43"/>
      <c r="AS1091" s="43"/>
      <c r="AT1091" s="43"/>
    </row>
    <row r="1092" spans="1:46">
      <c r="A1092" s="43" t="s">
        <v>151</v>
      </c>
      <c r="B1092" s="43" t="s">
        <v>146</v>
      </c>
      <c r="C1092" s="43" t="s">
        <v>137</v>
      </c>
      <c r="D1092" s="44" t="s">
        <v>242</v>
      </c>
      <c r="E1092" s="44">
        <v>28</v>
      </c>
      <c r="F1092" s="44" t="s">
        <v>3</v>
      </c>
      <c r="G1092" s="43" t="str">
        <f>IFERROR(VLOOKUP(A1092,'[1]MC Masterlist 2026-09-12'!$B:$M, 3, 0),"")</f>
        <v>KAWASAKI</v>
      </c>
      <c r="H1092" s="45">
        <f>IFERROR(VLOOKUP(A1092,'[1]MC Masterlist 2026-09-12'!$B:$M, 6, 0),"")</f>
        <v>127866</v>
      </c>
      <c r="I1092" s="46">
        <v>0</v>
      </c>
      <c r="J1092" s="46">
        <v>0</v>
      </c>
      <c r="K1092" s="46">
        <v>0</v>
      </c>
      <c r="L1092" s="46">
        <f t="shared" si="255"/>
        <v>0</v>
      </c>
      <c r="M1092" s="46">
        <f t="shared" si="256"/>
        <v>0</v>
      </c>
      <c r="N1092" s="45">
        <f t="shared" si="257"/>
        <v>0</v>
      </c>
      <c r="O1092" s="45">
        <f t="shared" si="258"/>
        <v>0</v>
      </c>
      <c r="P1092" s="46">
        <f t="shared" si="259"/>
        <v>0</v>
      </c>
      <c r="Q1092" s="46">
        <v>1</v>
      </c>
      <c r="R1092" s="45">
        <f t="shared" si="260"/>
        <v>127866</v>
      </c>
      <c r="S1092" s="46">
        <f t="shared" si="261"/>
        <v>0</v>
      </c>
      <c r="T1092" s="46" t="str">
        <f>IFERROR(VLOOKUP(A1092,'[1]Re-order'!$A:$Q,17,0),"")</f>
        <v/>
      </c>
      <c r="U1092" s="46">
        <f>IFERROR(VLOOKUP(A1092,'[1]MC Masterlist 2026-09-12'!$B:$M, 10, 0),0)</f>
        <v>15</v>
      </c>
      <c r="V1092" s="46">
        <f>IFERROR(VLOOKUP(A1092,'[1]MC Masterlist 2026-09-12'!$B:$M, 11, 0),0)</f>
        <v>15</v>
      </c>
      <c r="W1092" s="46">
        <f t="shared" si="262"/>
        <v>30</v>
      </c>
      <c r="X1092" s="46">
        <f t="shared" si="263"/>
        <v>7</v>
      </c>
      <c r="Y1092" s="46">
        <f>IFERROR(IF(OR(C1092="AREA I",C1092="AREA V"),7,VLOOKUP(A1092,'[1]MC Masterlist 2026-09-12'!$B:$M, 12, 0)),0)</f>
        <v>7</v>
      </c>
      <c r="Z1092" s="46">
        <f t="shared" si="264"/>
        <v>0</v>
      </c>
      <c r="AA1092" s="46">
        <f t="shared" si="265"/>
        <v>0</v>
      </c>
      <c r="AB1092" s="46">
        <f t="shared" si="266"/>
        <v>0</v>
      </c>
      <c r="AC1092" s="46">
        <f t="shared" si="267"/>
        <v>0</v>
      </c>
      <c r="AD1092" s="44" t="str">
        <f t="shared" si="268"/>
        <v>Over</v>
      </c>
      <c r="AE1092" s="44" t="str">
        <f>IFERROR(VLOOKUP(A1092,'[1]Re-order'!$A:$AA,27,0),"")</f>
        <v>Over</v>
      </c>
      <c r="AF1092" s="46">
        <f t="shared" si="269"/>
        <v>-1</v>
      </c>
      <c r="AG1092" s="46">
        <f>SUMIFS('[1]Raw Inventory'!D:D,'[1]Raw Inventory'!C:C,"GREATWALL",'[1]Raw Inventory'!B:B,A1092)</f>
        <v>0</v>
      </c>
      <c r="AH1092" s="46">
        <f>SUMIFS('[1]Raw Inventory'!D:D,'[1]Raw Inventory'!C:C,"DUARTE",'[1]Raw Inventory'!B:B,A1092)</f>
        <v>0</v>
      </c>
      <c r="AI1092" s="46"/>
      <c r="AJ1092" s="46"/>
      <c r="AK1092" s="43"/>
      <c r="AL1092" s="43"/>
      <c r="AM1092" s="43"/>
      <c r="AN1092" s="43"/>
      <c r="AO1092" s="43"/>
      <c r="AP1092" s="43"/>
      <c r="AQ1092" s="43"/>
      <c r="AR1092" s="43"/>
      <c r="AS1092" s="43"/>
      <c r="AT1092" s="43"/>
    </row>
    <row r="1093" spans="1:46">
      <c r="A1093" s="43" t="s">
        <v>16</v>
      </c>
      <c r="B1093" s="43" t="s">
        <v>144</v>
      </c>
      <c r="C1093" s="43" t="s">
        <v>137</v>
      </c>
      <c r="D1093" s="44" t="s">
        <v>254</v>
      </c>
      <c r="E1093" s="44">
        <v>8</v>
      </c>
      <c r="F1093" s="44" t="s">
        <v>2</v>
      </c>
      <c r="G1093" s="43" t="str">
        <f>IFERROR(VLOOKUP(A1093,'[1]MC Masterlist 2026-09-12'!$B:$M, 3, 0),"")</f>
        <v>HONDA</v>
      </c>
      <c r="H1093" s="45">
        <f>IFERROR(VLOOKUP(A1093,'[1]MC Masterlist 2026-09-12'!$B:$M, 6, 0),"")</f>
        <v>84394</v>
      </c>
      <c r="I1093" s="46">
        <v>4</v>
      </c>
      <c r="J1093" s="46">
        <v>3</v>
      </c>
      <c r="K1093" s="46">
        <v>5</v>
      </c>
      <c r="L1093" s="46">
        <f t="shared" si="255"/>
        <v>12</v>
      </c>
      <c r="M1093" s="46">
        <f t="shared" si="256"/>
        <v>4</v>
      </c>
      <c r="N1093" s="45">
        <f t="shared" si="257"/>
        <v>1012728</v>
      </c>
      <c r="O1093" s="45">
        <f t="shared" si="258"/>
        <v>337576</v>
      </c>
      <c r="P1093" s="46">
        <f t="shared" si="259"/>
        <v>0.13333333333333333</v>
      </c>
      <c r="Q1093" s="46">
        <v>2</v>
      </c>
      <c r="R1093" s="45">
        <f t="shared" si="260"/>
        <v>168788</v>
      </c>
      <c r="S1093" s="46">
        <f t="shared" si="261"/>
        <v>15</v>
      </c>
      <c r="T1093" s="46">
        <f>IFERROR(VLOOKUP(A1093,'[1]Re-order'!$A:$Q,17,0),"")</f>
        <v>26.332665330661321</v>
      </c>
      <c r="U1093" s="46">
        <f>IFERROR(VLOOKUP(A1093,'[1]MC Masterlist 2026-09-12'!$B:$M, 10, 0),0)</f>
        <v>15</v>
      </c>
      <c r="V1093" s="46">
        <f>IFERROR(VLOOKUP(A1093,'[1]MC Masterlist 2026-09-12'!$B:$M, 11, 0),0)</f>
        <v>15</v>
      </c>
      <c r="W1093" s="46">
        <f t="shared" si="262"/>
        <v>30</v>
      </c>
      <c r="X1093" s="46">
        <f t="shared" si="263"/>
        <v>5</v>
      </c>
      <c r="Y1093" s="46">
        <f>IFERROR(IF(OR(C1093="AREA I",C1093="AREA V"),7,VLOOKUP(A1093,'[1]MC Masterlist 2026-09-12'!$B:$M, 12, 0)),0)</f>
        <v>7</v>
      </c>
      <c r="Z1093" s="46">
        <f t="shared" si="264"/>
        <v>2</v>
      </c>
      <c r="AA1093" s="46">
        <f t="shared" si="265"/>
        <v>4</v>
      </c>
      <c r="AB1093" s="46">
        <f t="shared" si="266"/>
        <v>0.66666666666666663</v>
      </c>
      <c r="AC1093" s="46">
        <f t="shared" si="267"/>
        <v>0.93333333333333335</v>
      </c>
      <c r="AD1093" s="44" t="str">
        <f t="shared" si="268"/>
        <v>Over</v>
      </c>
      <c r="AE1093" s="44" t="str">
        <f>IFERROR(VLOOKUP(A1093,'[1]Re-order'!$A:$AA,27,0),"")</f>
        <v>Stockout</v>
      </c>
      <c r="AF1093" s="46">
        <f t="shared" si="269"/>
        <v>-1.0666666666666667</v>
      </c>
      <c r="AG1093" s="46">
        <f>SUMIFS('[1]Raw Inventory'!D:D,'[1]Raw Inventory'!C:C,"GREATWALL",'[1]Raw Inventory'!B:B,A1093)</f>
        <v>58</v>
      </c>
      <c r="AH1093" s="46">
        <f>SUMIFS('[1]Raw Inventory'!D:D,'[1]Raw Inventory'!C:C,"DUARTE",'[1]Raw Inventory'!B:B,A1093)</f>
        <v>0</v>
      </c>
      <c r="AI1093" s="46"/>
      <c r="AJ1093" s="46"/>
      <c r="AK1093" s="43"/>
      <c r="AL1093" s="43"/>
      <c r="AM1093" s="43"/>
      <c r="AN1093" s="43"/>
      <c r="AO1093" s="43"/>
      <c r="AP1093" s="43"/>
      <c r="AQ1093" s="43"/>
      <c r="AR1093" s="43"/>
      <c r="AS1093" s="43"/>
      <c r="AT1093" s="43"/>
    </row>
    <row r="1094" spans="1:46">
      <c r="A1094" s="43" t="s">
        <v>28</v>
      </c>
      <c r="B1094" s="43" t="s">
        <v>114</v>
      </c>
      <c r="C1094" s="43" t="s">
        <v>109</v>
      </c>
      <c r="D1094" s="44" t="s">
        <v>225</v>
      </c>
      <c r="E1094" s="44">
        <v>3</v>
      </c>
      <c r="F1094" s="44" t="s">
        <v>0</v>
      </c>
      <c r="G1094" s="43" t="str">
        <f>IFERROR(VLOOKUP(A1094,'[1]MC Masterlist 2026-09-12'!$B:$M, 3, 0),"")</f>
        <v>YAMAHA</v>
      </c>
      <c r="H1094" s="45">
        <f>IFERROR(VLOOKUP(A1094,'[1]MC Masterlist 2026-09-12'!$B:$M, 6, 0),"")</f>
        <v>147312</v>
      </c>
      <c r="I1094" s="46">
        <v>2</v>
      </c>
      <c r="J1094" s="46">
        <v>4</v>
      </c>
      <c r="K1094" s="46">
        <v>4</v>
      </c>
      <c r="L1094" s="46">
        <f t="shared" si="255"/>
        <v>10</v>
      </c>
      <c r="M1094" s="46">
        <f t="shared" si="256"/>
        <v>3.3333333333333335</v>
      </c>
      <c r="N1094" s="45">
        <f t="shared" si="257"/>
        <v>1473120</v>
      </c>
      <c r="O1094" s="45">
        <f t="shared" si="258"/>
        <v>491040</v>
      </c>
      <c r="P1094" s="46">
        <f t="shared" si="259"/>
        <v>0.11111111111111112</v>
      </c>
      <c r="Q1094" s="46"/>
      <c r="R1094" s="45">
        <f t="shared" si="260"/>
        <v>0</v>
      </c>
      <c r="S1094" s="46">
        <f t="shared" si="261"/>
        <v>0</v>
      </c>
      <c r="T1094" s="46">
        <f>IFERROR(VLOOKUP(A1094,'[1]Re-order'!$A:$Q,17,0),"")</f>
        <v>8.2417582417582427</v>
      </c>
      <c r="U1094" s="46">
        <f>IFERROR(VLOOKUP(A1094,'[1]MC Masterlist 2026-09-12'!$B:$M, 10, 0),0)</f>
        <v>15</v>
      </c>
      <c r="V1094" s="46">
        <f>IFERROR(VLOOKUP(A1094,'[1]MC Masterlist 2026-09-12'!$B:$M, 11, 0),0)</f>
        <v>15</v>
      </c>
      <c r="W1094" s="46">
        <f t="shared" si="262"/>
        <v>30</v>
      </c>
      <c r="X1094" s="46">
        <f t="shared" si="263"/>
        <v>28.333333333333332</v>
      </c>
      <c r="Y1094" s="46">
        <f>IFERROR(IF(OR(C1094="AREA I",C1094="AREA V"),7,VLOOKUP(A1094,'[1]MC Masterlist 2026-09-12'!$B:$M, 12, 0)),0)</f>
        <v>30</v>
      </c>
      <c r="Z1094" s="46">
        <f t="shared" si="264"/>
        <v>1.6666666666666667</v>
      </c>
      <c r="AA1094" s="46">
        <f t="shared" si="265"/>
        <v>3.3333333333333335</v>
      </c>
      <c r="AB1094" s="46">
        <f t="shared" si="266"/>
        <v>3.1481481481481484</v>
      </c>
      <c r="AC1094" s="46">
        <f t="shared" si="267"/>
        <v>3.3333333333333335</v>
      </c>
      <c r="AD1094" s="44" t="str">
        <f t="shared" si="268"/>
        <v>Stockout</v>
      </c>
      <c r="AE1094" s="44" t="str">
        <f>IFERROR(VLOOKUP(A1094,'[1]Re-order'!$A:$AA,27,0),"")</f>
        <v>Stockout</v>
      </c>
      <c r="AF1094" s="46">
        <f t="shared" si="269"/>
        <v>3.3333333333333335</v>
      </c>
      <c r="AG1094" s="46">
        <f>SUMIFS('[1]Raw Inventory'!D:D,'[1]Raw Inventory'!C:C,"GREATWALL",'[1]Raw Inventory'!B:B,A1094)</f>
        <v>0</v>
      </c>
      <c r="AH1094" s="46">
        <f>SUMIFS('[1]Raw Inventory'!D:D,'[1]Raw Inventory'!C:C,"DUARTE",'[1]Raw Inventory'!B:B,A1094)</f>
        <v>0</v>
      </c>
      <c r="AI1094" s="46"/>
      <c r="AJ1094" s="46"/>
      <c r="AK1094" s="43"/>
      <c r="AL1094" s="43"/>
      <c r="AM1094" s="43"/>
      <c r="AN1094" s="43"/>
      <c r="AO1094" s="43"/>
      <c r="AP1094" s="43"/>
      <c r="AQ1094" s="43"/>
      <c r="AR1094" s="43"/>
      <c r="AS1094" s="43"/>
      <c r="AT1094" s="43"/>
    </row>
    <row r="1095" spans="1:46">
      <c r="A1095" s="43" t="s">
        <v>68</v>
      </c>
      <c r="B1095" s="43" t="s">
        <v>21</v>
      </c>
      <c r="C1095" s="43" t="s">
        <v>1</v>
      </c>
      <c r="D1095" s="44" t="s">
        <v>237</v>
      </c>
      <c r="E1095" s="44">
        <v>28</v>
      </c>
      <c r="F1095" s="44" t="s">
        <v>3</v>
      </c>
      <c r="G1095" s="43" t="str">
        <f>IFERROR(VLOOKUP(A1095,'[1]MC Masterlist 2026-09-12'!$B:$M, 3, 0),"")</f>
        <v>SUZUKI</v>
      </c>
      <c r="H1095" s="45">
        <f>IFERROR(VLOOKUP(A1095,'[1]MC Masterlist 2026-09-12'!$B:$M, 6, 0),"")</f>
        <v>70037</v>
      </c>
      <c r="I1095" s="46">
        <v>0</v>
      </c>
      <c r="J1095" s="46">
        <v>0</v>
      </c>
      <c r="K1095" s="46">
        <v>0</v>
      </c>
      <c r="L1095" s="46">
        <f t="shared" si="255"/>
        <v>0</v>
      </c>
      <c r="M1095" s="46">
        <f t="shared" si="256"/>
        <v>0</v>
      </c>
      <c r="N1095" s="45">
        <f t="shared" si="257"/>
        <v>0</v>
      </c>
      <c r="O1095" s="45">
        <f t="shared" si="258"/>
        <v>0</v>
      </c>
      <c r="P1095" s="46">
        <f t="shared" si="259"/>
        <v>0</v>
      </c>
      <c r="Q1095" s="46">
        <v>1</v>
      </c>
      <c r="R1095" s="45">
        <f t="shared" si="260"/>
        <v>70037</v>
      </c>
      <c r="S1095" s="46">
        <f t="shared" si="261"/>
        <v>0</v>
      </c>
      <c r="T1095" s="46" t="str">
        <f>IFERROR(VLOOKUP(A1095,'[1]Re-order'!$A:$Q,17,0),"")</f>
        <v/>
      </c>
      <c r="U1095" s="46">
        <f>IFERROR(VLOOKUP(A1095,'[1]MC Masterlist 2026-09-12'!$B:$M, 10, 0),0)</f>
        <v>15</v>
      </c>
      <c r="V1095" s="46">
        <f>IFERROR(VLOOKUP(A1095,'[1]MC Masterlist 2026-09-12'!$B:$M, 11, 0),0)</f>
        <v>15</v>
      </c>
      <c r="W1095" s="46">
        <f t="shared" si="262"/>
        <v>30</v>
      </c>
      <c r="X1095" s="46">
        <f t="shared" si="263"/>
        <v>7</v>
      </c>
      <c r="Y1095" s="46">
        <f>IFERROR(IF(OR(C1095="AREA I",C1095="AREA V"),7,VLOOKUP(A1095,'[1]MC Masterlist 2026-09-12'!$B:$M, 12, 0)),0)</f>
        <v>7</v>
      </c>
      <c r="Z1095" s="46">
        <f t="shared" si="264"/>
        <v>0</v>
      </c>
      <c r="AA1095" s="46">
        <f t="shared" si="265"/>
        <v>0</v>
      </c>
      <c r="AB1095" s="46">
        <f t="shared" si="266"/>
        <v>0</v>
      </c>
      <c r="AC1095" s="46">
        <f t="shared" si="267"/>
        <v>0</v>
      </c>
      <c r="AD1095" s="44" t="str">
        <f t="shared" si="268"/>
        <v>Over</v>
      </c>
      <c r="AE1095" s="44" t="str">
        <f>IFERROR(VLOOKUP(A1095,'[1]Re-order'!$A:$AA,27,0),"")</f>
        <v>Over</v>
      </c>
      <c r="AF1095" s="46">
        <f t="shared" si="269"/>
        <v>-1</v>
      </c>
      <c r="AG1095" s="46">
        <f>SUMIFS('[1]Raw Inventory'!D:D,'[1]Raw Inventory'!C:C,"GREATWALL",'[1]Raw Inventory'!B:B,A1095)</f>
        <v>0</v>
      </c>
      <c r="AH1095" s="46">
        <f>SUMIFS('[1]Raw Inventory'!D:D,'[1]Raw Inventory'!C:C,"DUARTE",'[1]Raw Inventory'!B:B,A1095)</f>
        <v>0</v>
      </c>
      <c r="AI1095" s="46"/>
      <c r="AJ1095" s="46"/>
      <c r="AK1095" s="43"/>
      <c r="AL1095" s="43"/>
      <c r="AM1095" s="43"/>
      <c r="AN1095" s="43"/>
      <c r="AO1095" s="43"/>
      <c r="AP1095" s="43"/>
      <c r="AQ1095" s="43"/>
      <c r="AR1095" s="43"/>
      <c r="AS1095" s="43"/>
      <c r="AT1095" s="43"/>
    </row>
    <row r="1096" spans="1:46">
      <c r="A1096" s="43" t="s">
        <v>22</v>
      </c>
      <c r="B1096" s="43" t="s">
        <v>162</v>
      </c>
      <c r="C1096" s="43" t="s">
        <v>159</v>
      </c>
      <c r="D1096" s="44" t="s">
        <v>236</v>
      </c>
      <c r="E1096" s="44">
        <v>6</v>
      </c>
      <c r="F1096" s="44" t="s">
        <v>2</v>
      </c>
      <c r="G1096" s="43" t="str">
        <f>IFERROR(VLOOKUP(A1096,'[1]MC Masterlist 2026-09-12'!$B:$M, 3, 0),"")</f>
        <v>HONDA</v>
      </c>
      <c r="H1096" s="45">
        <f>IFERROR(VLOOKUP(A1096,'[1]MC Masterlist 2026-09-12'!$B:$M, 6, 0),"")</f>
        <v>111258</v>
      </c>
      <c r="I1096" s="46">
        <v>1</v>
      </c>
      <c r="J1096" s="46">
        <v>0</v>
      </c>
      <c r="K1096" s="46">
        <v>3</v>
      </c>
      <c r="L1096" s="46">
        <f t="shared" si="255"/>
        <v>4</v>
      </c>
      <c r="M1096" s="46">
        <f t="shared" si="256"/>
        <v>1.3333333333333333</v>
      </c>
      <c r="N1096" s="45">
        <f t="shared" si="257"/>
        <v>445032</v>
      </c>
      <c r="O1096" s="45">
        <f t="shared" si="258"/>
        <v>148344</v>
      </c>
      <c r="P1096" s="46">
        <f t="shared" si="259"/>
        <v>4.4444444444444439E-2</v>
      </c>
      <c r="Q1096" s="46"/>
      <c r="R1096" s="45">
        <f t="shared" si="260"/>
        <v>0</v>
      </c>
      <c r="S1096" s="46">
        <f t="shared" si="261"/>
        <v>0</v>
      </c>
      <c r="T1096" s="46">
        <f>IFERROR(VLOOKUP(A1096,'[1]Re-order'!$A:$Q,17,0),"")</f>
        <v>41.339712918660283</v>
      </c>
      <c r="U1096" s="46">
        <f>IFERROR(VLOOKUP(A1096,'[1]MC Masterlist 2026-09-12'!$B:$M, 10, 0),0)</f>
        <v>15</v>
      </c>
      <c r="V1096" s="46">
        <f>IFERROR(VLOOKUP(A1096,'[1]MC Masterlist 2026-09-12'!$B:$M, 11, 0),0)</f>
        <v>15</v>
      </c>
      <c r="W1096" s="46">
        <f t="shared" si="262"/>
        <v>30</v>
      </c>
      <c r="X1096" s="46">
        <f t="shared" si="263"/>
        <v>29.333333333333332</v>
      </c>
      <c r="Y1096" s="46">
        <f>IFERROR(IF(OR(C1096="AREA I",C1096="AREA V"),7,VLOOKUP(A1096,'[1]MC Masterlist 2026-09-12'!$B:$M, 12, 0)),0)</f>
        <v>30</v>
      </c>
      <c r="Z1096" s="46">
        <f t="shared" si="264"/>
        <v>0.66666666666666663</v>
      </c>
      <c r="AA1096" s="46">
        <f t="shared" si="265"/>
        <v>1.3333333333333333</v>
      </c>
      <c r="AB1096" s="46">
        <f t="shared" si="266"/>
        <v>1.3037037037037036</v>
      </c>
      <c r="AC1096" s="46">
        <f t="shared" si="267"/>
        <v>1.3333333333333333</v>
      </c>
      <c r="AD1096" s="44" t="str">
        <f t="shared" si="268"/>
        <v>Stockout</v>
      </c>
      <c r="AE1096" s="44" t="str">
        <f>IFERROR(VLOOKUP(A1096,'[1]Re-order'!$A:$AA,27,0),"")</f>
        <v>Re-order</v>
      </c>
      <c r="AF1096" s="46">
        <f t="shared" si="269"/>
        <v>1.3333333333333333</v>
      </c>
      <c r="AG1096" s="46">
        <f>SUMIFS('[1]Raw Inventory'!D:D,'[1]Raw Inventory'!C:C,"GREATWALL",'[1]Raw Inventory'!B:B,A1096)</f>
        <v>4</v>
      </c>
      <c r="AH1096" s="46">
        <f>SUMIFS('[1]Raw Inventory'!D:D,'[1]Raw Inventory'!C:C,"DUARTE",'[1]Raw Inventory'!B:B,A1096)</f>
        <v>0</v>
      </c>
      <c r="AI1096" s="46"/>
      <c r="AJ1096" s="46"/>
      <c r="AK1096" s="43"/>
      <c r="AL1096" s="43"/>
      <c r="AM1096" s="43"/>
      <c r="AN1096" s="43"/>
      <c r="AO1096" s="43"/>
      <c r="AP1096" s="43"/>
      <c r="AQ1096" s="43"/>
      <c r="AR1096" s="43"/>
      <c r="AS1096" s="43"/>
      <c r="AT1096" s="43"/>
    </row>
    <row r="1097" spans="1:46">
      <c r="A1097" s="43" t="s">
        <v>64</v>
      </c>
      <c r="B1097" s="43" t="s">
        <v>30</v>
      </c>
      <c r="C1097" s="43" t="s">
        <v>1</v>
      </c>
      <c r="D1097" s="44" t="s">
        <v>280</v>
      </c>
      <c r="E1097" s="44">
        <v>23</v>
      </c>
      <c r="F1097" s="44" t="s">
        <v>2</v>
      </c>
      <c r="G1097" s="43" t="str">
        <f>IFERROR(VLOOKUP(A1097,'[1]MC Masterlist 2026-09-12'!$B:$M, 3, 0),"")</f>
        <v>HONDA</v>
      </c>
      <c r="H1097" s="45">
        <f>IFERROR(VLOOKUP(A1097,'[1]MC Masterlist 2026-09-12'!$B:$M, 6, 0),"")</f>
        <v>73170</v>
      </c>
      <c r="I1097" s="46">
        <v>0</v>
      </c>
      <c r="J1097" s="46">
        <v>0</v>
      </c>
      <c r="K1097" s="46">
        <v>2</v>
      </c>
      <c r="L1097" s="46">
        <f t="shared" si="255"/>
        <v>2</v>
      </c>
      <c r="M1097" s="46">
        <f t="shared" si="256"/>
        <v>0.66666666666666663</v>
      </c>
      <c r="N1097" s="45">
        <f t="shared" si="257"/>
        <v>146340</v>
      </c>
      <c r="O1097" s="45">
        <f t="shared" si="258"/>
        <v>48780</v>
      </c>
      <c r="P1097" s="46">
        <f t="shared" si="259"/>
        <v>2.222222222222222E-2</v>
      </c>
      <c r="Q1097" s="46">
        <v>3</v>
      </c>
      <c r="R1097" s="45">
        <f t="shared" si="260"/>
        <v>219510</v>
      </c>
      <c r="S1097" s="46">
        <f t="shared" si="261"/>
        <v>135</v>
      </c>
      <c r="T1097" s="46">
        <f>IFERROR(VLOOKUP(A1097,'[1]Re-order'!$A:$Q,17,0),"")</f>
        <v>76.153846153846146</v>
      </c>
      <c r="U1097" s="46">
        <f>IFERROR(VLOOKUP(A1097,'[1]MC Masterlist 2026-09-12'!$B:$M, 10, 0),0)</f>
        <v>15</v>
      </c>
      <c r="V1097" s="46">
        <f>IFERROR(VLOOKUP(A1097,'[1]MC Masterlist 2026-09-12'!$B:$M, 11, 0),0)</f>
        <v>15</v>
      </c>
      <c r="W1097" s="46">
        <f t="shared" si="262"/>
        <v>30</v>
      </c>
      <c r="X1097" s="46">
        <f t="shared" si="263"/>
        <v>6.666666666666667</v>
      </c>
      <c r="Y1097" s="46">
        <f>IFERROR(IF(OR(C1097="AREA I",C1097="AREA V"),7,VLOOKUP(A1097,'[1]MC Masterlist 2026-09-12'!$B:$M, 12, 0)),0)</f>
        <v>7</v>
      </c>
      <c r="Z1097" s="46">
        <f t="shared" si="264"/>
        <v>0.33333333333333331</v>
      </c>
      <c r="AA1097" s="46">
        <f t="shared" si="265"/>
        <v>0.66666666666666663</v>
      </c>
      <c r="AB1097" s="46">
        <f t="shared" si="266"/>
        <v>0.14814814814814814</v>
      </c>
      <c r="AC1097" s="46">
        <f t="shared" si="267"/>
        <v>0.15555555555555553</v>
      </c>
      <c r="AD1097" s="44" t="str">
        <f t="shared" si="268"/>
        <v>Over</v>
      </c>
      <c r="AE1097" s="44" t="str">
        <f>IFERROR(VLOOKUP(A1097,'[1]Re-order'!$A:$AA,27,0),"")</f>
        <v/>
      </c>
      <c r="AF1097" s="46">
        <f t="shared" si="269"/>
        <v>-2.8444444444444446</v>
      </c>
      <c r="AG1097" s="46">
        <f>SUMIFS('[1]Raw Inventory'!D:D,'[1]Raw Inventory'!C:C,"GREATWALL",'[1]Raw Inventory'!B:B,A1097)</f>
        <v>13</v>
      </c>
      <c r="AH1097" s="46">
        <f>SUMIFS('[1]Raw Inventory'!D:D,'[1]Raw Inventory'!C:C,"DUARTE",'[1]Raw Inventory'!B:B,A1097)</f>
        <v>0</v>
      </c>
      <c r="AI1097" s="46"/>
      <c r="AJ1097" s="46"/>
      <c r="AK1097" s="43"/>
      <c r="AL1097" s="43"/>
      <c r="AM1097" s="43"/>
      <c r="AN1097" s="43"/>
      <c r="AO1097" s="43"/>
      <c r="AP1097" s="43"/>
      <c r="AQ1097" s="43"/>
      <c r="AR1097" s="43"/>
      <c r="AS1097" s="43"/>
      <c r="AT1097" s="43"/>
    </row>
    <row r="1098" spans="1:46">
      <c r="A1098" s="43" t="s">
        <v>82</v>
      </c>
      <c r="B1098" s="43" t="s">
        <v>155</v>
      </c>
      <c r="C1098" s="43" t="s">
        <v>152</v>
      </c>
      <c r="D1098" s="44" t="s">
        <v>247</v>
      </c>
      <c r="E1098" s="44">
        <v>24</v>
      </c>
      <c r="F1098" s="44" t="s">
        <v>3</v>
      </c>
      <c r="G1098" s="43" t="str">
        <f>IFERROR(VLOOKUP(A1098,'[1]MC Masterlist 2026-09-12'!$B:$M, 3, 0),"")</f>
        <v>SUZUKI</v>
      </c>
      <c r="H1098" s="45">
        <f>IFERROR(VLOOKUP(A1098,'[1]MC Masterlist 2026-09-12'!$B:$M, 6, 0),"")</f>
        <v>67342</v>
      </c>
      <c r="I1098" s="46">
        <v>0</v>
      </c>
      <c r="J1098" s="46">
        <v>1</v>
      </c>
      <c r="K1098" s="46">
        <v>0</v>
      </c>
      <c r="L1098" s="46">
        <f t="shared" si="255"/>
        <v>1</v>
      </c>
      <c r="M1098" s="46">
        <f t="shared" si="256"/>
        <v>0.33333333333333331</v>
      </c>
      <c r="N1098" s="45">
        <f t="shared" si="257"/>
        <v>67342</v>
      </c>
      <c r="O1098" s="45">
        <f t="shared" si="258"/>
        <v>22447.333333333332</v>
      </c>
      <c r="P1098" s="46">
        <f t="shared" si="259"/>
        <v>1.111111111111111E-2</v>
      </c>
      <c r="Q1098" s="46">
        <v>1</v>
      </c>
      <c r="R1098" s="45">
        <f t="shared" si="260"/>
        <v>67342</v>
      </c>
      <c r="S1098" s="46">
        <f t="shared" si="261"/>
        <v>90</v>
      </c>
      <c r="T1098" s="46">
        <f>IFERROR(VLOOKUP(A1098,'[1]Re-order'!$A:$Q,17,0),"")</f>
        <v>64.8</v>
      </c>
      <c r="U1098" s="46">
        <f>IFERROR(VLOOKUP(A1098,'[1]MC Masterlist 2026-09-12'!$B:$M, 10, 0),0)</f>
        <v>15</v>
      </c>
      <c r="V1098" s="46">
        <f>IFERROR(VLOOKUP(A1098,'[1]MC Masterlist 2026-09-12'!$B:$M, 11, 0),0)</f>
        <v>15</v>
      </c>
      <c r="W1098" s="46">
        <f t="shared" si="262"/>
        <v>30</v>
      </c>
      <c r="X1098" s="46">
        <f t="shared" si="263"/>
        <v>29.833333333333332</v>
      </c>
      <c r="Y1098" s="46">
        <f>IFERROR(IF(OR(C1098="AREA I",C1098="AREA V"),7,VLOOKUP(A1098,'[1]MC Masterlist 2026-09-12'!$B:$M, 12, 0)),0)</f>
        <v>30</v>
      </c>
      <c r="Z1098" s="46">
        <f t="shared" si="264"/>
        <v>0.16666666666666666</v>
      </c>
      <c r="AA1098" s="46">
        <f t="shared" si="265"/>
        <v>0.33333333333333331</v>
      </c>
      <c r="AB1098" s="46">
        <f t="shared" si="266"/>
        <v>0.33148148148148143</v>
      </c>
      <c r="AC1098" s="46">
        <f t="shared" si="267"/>
        <v>0.33333333333333331</v>
      </c>
      <c r="AD1098" s="44" t="str">
        <f t="shared" si="268"/>
        <v>Over</v>
      </c>
      <c r="AE1098" s="44" t="str">
        <f>IFERROR(VLOOKUP(A1098,'[1]Re-order'!$A:$AA,27,0),"")</f>
        <v>Re-order</v>
      </c>
      <c r="AF1098" s="46">
        <f t="shared" si="269"/>
        <v>-0.66666666666666674</v>
      </c>
      <c r="AG1098" s="46">
        <f>SUMIFS('[1]Raw Inventory'!D:D,'[1]Raw Inventory'!C:C,"GREATWALL",'[1]Raw Inventory'!B:B,A1098)</f>
        <v>1</v>
      </c>
      <c r="AH1098" s="46">
        <f>SUMIFS('[1]Raw Inventory'!D:D,'[1]Raw Inventory'!C:C,"DUARTE",'[1]Raw Inventory'!B:B,A1098)</f>
        <v>0</v>
      </c>
      <c r="AI1098" s="46"/>
      <c r="AJ1098" s="46"/>
      <c r="AK1098" s="43"/>
      <c r="AL1098" s="43"/>
      <c r="AM1098" s="43"/>
      <c r="AN1098" s="43"/>
      <c r="AO1098" s="43"/>
      <c r="AP1098" s="43"/>
      <c r="AQ1098" s="43"/>
      <c r="AR1098" s="43"/>
      <c r="AS1098" s="43"/>
      <c r="AT1098" s="43"/>
    </row>
    <row r="1099" spans="1:46">
      <c r="A1099" s="43" t="s">
        <v>18</v>
      </c>
      <c r="B1099" s="43" t="s">
        <v>92</v>
      </c>
      <c r="C1099" s="43" t="s">
        <v>90</v>
      </c>
      <c r="D1099" s="44" t="s">
        <v>224</v>
      </c>
      <c r="E1099" s="44">
        <v>11</v>
      </c>
      <c r="F1099" s="44" t="s">
        <v>2</v>
      </c>
      <c r="G1099" s="43" t="str">
        <f>IFERROR(VLOOKUP(A1099,'[1]MC Masterlist 2026-09-12'!$B:$M, 3, 0),"")</f>
        <v>HONDA</v>
      </c>
      <c r="H1099" s="45">
        <f>IFERROR(VLOOKUP(A1099,'[1]MC Masterlist 2026-09-12'!$B:$M, 6, 0),"")</f>
        <v>94330</v>
      </c>
      <c r="I1099" s="46">
        <v>0</v>
      </c>
      <c r="J1099" s="46">
        <v>1</v>
      </c>
      <c r="K1099" s="46">
        <v>1</v>
      </c>
      <c r="L1099" s="46">
        <f t="shared" si="255"/>
        <v>2</v>
      </c>
      <c r="M1099" s="46">
        <f t="shared" si="256"/>
        <v>0.66666666666666663</v>
      </c>
      <c r="N1099" s="45">
        <f t="shared" si="257"/>
        <v>188660</v>
      </c>
      <c r="O1099" s="45">
        <f t="shared" si="258"/>
        <v>62886.666666666664</v>
      </c>
      <c r="P1099" s="46">
        <f t="shared" si="259"/>
        <v>2.222222222222222E-2</v>
      </c>
      <c r="Q1099" s="46">
        <v>1</v>
      </c>
      <c r="R1099" s="45">
        <f t="shared" si="260"/>
        <v>94330</v>
      </c>
      <c r="S1099" s="46">
        <f t="shared" si="261"/>
        <v>45</v>
      </c>
      <c r="T1099" s="46">
        <f>IFERROR(VLOOKUP(A1099,'[1]Re-order'!$A:$Q,17,0),"")</f>
        <v>113.9644970414201</v>
      </c>
      <c r="U1099" s="46">
        <f>IFERROR(VLOOKUP(A1099,'[1]MC Masterlist 2026-09-12'!$B:$M, 10, 0),0)</f>
        <v>15</v>
      </c>
      <c r="V1099" s="46">
        <f>IFERROR(VLOOKUP(A1099,'[1]MC Masterlist 2026-09-12'!$B:$M, 11, 0),0)</f>
        <v>15</v>
      </c>
      <c r="W1099" s="46">
        <f t="shared" si="262"/>
        <v>30</v>
      </c>
      <c r="X1099" s="46">
        <f t="shared" si="263"/>
        <v>29.666666666666668</v>
      </c>
      <c r="Y1099" s="46">
        <f>IFERROR(IF(OR(C1099="AREA I",C1099="AREA V"),7,VLOOKUP(A1099,'[1]MC Masterlist 2026-09-12'!$B:$M, 12, 0)),0)</f>
        <v>30</v>
      </c>
      <c r="Z1099" s="46">
        <f t="shared" si="264"/>
        <v>0.33333333333333331</v>
      </c>
      <c r="AA1099" s="46">
        <f t="shared" si="265"/>
        <v>0.66666666666666663</v>
      </c>
      <c r="AB1099" s="46">
        <f t="shared" si="266"/>
        <v>0.65925925925925921</v>
      </c>
      <c r="AC1099" s="46">
        <f t="shared" si="267"/>
        <v>0.66666666666666663</v>
      </c>
      <c r="AD1099" s="44" t="str">
        <f t="shared" si="268"/>
        <v>Over</v>
      </c>
      <c r="AE1099" s="44" t="str">
        <f>IFERROR(VLOOKUP(A1099,'[1]Re-order'!$A:$AA,27,0),"")</f>
        <v>Over</v>
      </c>
      <c r="AF1099" s="46">
        <f t="shared" si="269"/>
        <v>-0.33333333333333337</v>
      </c>
      <c r="AG1099" s="46">
        <f>SUMIFS('[1]Raw Inventory'!D:D,'[1]Raw Inventory'!C:C,"GREATWALL",'[1]Raw Inventory'!B:B,A1099)</f>
        <v>88</v>
      </c>
      <c r="AH1099" s="46">
        <f>SUMIFS('[1]Raw Inventory'!D:D,'[1]Raw Inventory'!C:C,"DUARTE",'[1]Raw Inventory'!B:B,A1099)</f>
        <v>0</v>
      </c>
      <c r="AI1099" s="46"/>
      <c r="AJ1099" s="46"/>
      <c r="AK1099" s="43"/>
      <c r="AL1099" s="43"/>
      <c r="AM1099" s="43"/>
      <c r="AN1099" s="43"/>
      <c r="AO1099" s="43"/>
      <c r="AP1099" s="43"/>
      <c r="AQ1099" s="43"/>
      <c r="AR1099" s="43"/>
      <c r="AS1099" s="43"/>
      <c r="AT1099" s="43"/>
    </row>
    <row r="1100" spans="1:46">
      <c r="A1100" s="43" t="s">
        <v>24</v>
      </c>
      <c r="B1100" s="43" t="s">
        <v>142</v>
      </c>
      <c r="C1100" s="43" t="s">
        <v>137</v>
      </c>
      <c r="D1100" s="44" t="s">
        <v>264</v>
      </c>
      <c r="E1100" s="44">
        <v>7</v>
      </c>
      <c r="F1100" s="44" t="s">
        <v>0</v>
      </c>
      <c r="G1100" s="43" t="str">
        <f>IFERROR(VLOOKUP(A1100,'[1]MC Masterlist 2026-09-12'!$B:$M, 3, 0),"")</f>
        <v>KAWASAKI</v>
      </c>
      <c r="H1100" s="45">
        <f>IFERROR(VLOOKUP(A1100,'[1]MC Masterlist 2026-09-12'!$B:$M, 6, 0),"")</f>
        <v>131626</v>
      </c>
      <c r="I1100" s="46">
        <v>1</v>
      </c>
      <c r="J1100" s="46">
        <v>0</v>
      </c>
      <c r="K1100" s="46">
        <v>2</v>
      </c>
      <c r="L1100" s="46">
        <f t="shared" si="255"/>
        <v>3</v>
      </c>
      <c r="M1100" s="46">
        <f t="shared" si="256"/>
        <v>1</v>
      </c>
      <c r="N1100" s="45">
        <f t="shared" si="257"/>
        <v>394878</v>
      </c>
      <c r="O1100" s="45">
        <f t="shared" si="258"/>
        <v>131626</v>
      </c>
      <c r="P1100" s="46">
        <f t="shared" si="259"/>
        <v>3.3333333333333333E-2</v>
      </c>
      <c r="Q1100" s="46">
        <v>1</v>
      </c>
      <c r="R1100" s="45">
        <f t="shared" si="260"/>
        <v>131626</v>
      </c>
      <c r="S1100" s="46">
        <f t="shared" si="261"/>
        <v>30</v>
      </c>
      <c r="T1100" s="46">
        <f>IFERROR(VLOOKUP(A1100,'[1]Re-order'!$A:$Q,17,0),"")</f>
        <v>40.677966101694913</v>
      </c>
      <c r="U1100" s="46">
        <f>IFERROR(VLOOKUP(A1100,'[1]MC Masterlist 2026-09-12'!$B:$M, 10, 0),0)</f>
        <v>15</v>
      </c>
      <c r="V1100" s="46">
        <f>IFERROR(VLOOKUP(A1100,'[1]MC Masterlist 2026-09-12'!$B:$M, 11, 0),0)</f>
        <v>15</v>
      </c>
      <c r="W1100" s="46">
        <f t="shared" si="262"/>
        <v>30</v>
      </c>
      <c r="X1100" s="46">
        <f t="shared" si="263"/>
        <v>6.5</v>
      </c>
      <c r="Y1100" s="46">
        <f>IFERROR(IF(OR(C1100="AREA I",C1100="AREA V"),7,VLOOKUP(A1100,'[1]MC Masterlist 2026-09-12'!$B:$M, 12, 0)),0)</f>
        <v>7</v>
      </c>
      <c r="Z1100" s="46">
        <f t="shared" si="264"/>
        <v>0.5</v>
      </c>
      <c r="AA1100" s="46">
        <f t="shared" si="265"/>
        <v>1</v>
      </c>
      <c r="AB1100" s="46">
        <f t="shared" si="266"/>
        <v>0.21666666666666667</v>
      </c>
      <c r="AC1100" s="46">
        <f t="shared" si="267"/>
        <v>0.23333333333333334</v>
      </c>
      <c r="AD1100" s="44" t="str">
        <f t="shared" si="268"/>
        <v>Over</v>
      </c>
      <c r="AE1100" s="44" t="str">
        <f>IFERROR(VLOOKUP(A1100,'[1]Re-order'!$A:$AA,27,0),"")</f>
        <v>Re-order</v>
      </c>
      <c r="AF1100" s="46">
        <f t="shared" si="269"/>
        <v>-0.76666666666666661</v>
      </c>
      <c r="AG1100" s="46">
        <f>SUMIFS('[1]Raw Inventory'!D:D,'[1]Raw Inventory'!C:C,"GREATWALL",'[1]Raw Inventory'!B:B,A1100)</f>
        <v>12</v>
      </c>
      <c r="AH1100" s="46">
        <f>SUMIFS('[1]Raw Inventory'!D:D,'[1]Raw Inventory'!C:C,"DUARTE",'[1]Raw Inventory'!B:B,A1100)</f>
        <v>0</v>
      </c>
      <c r="AI1100" s="46"/>
      <c r="AJ1100" s="46"/>
      <c r="AK1100" s="43"/>
      <c r="AL1100" s="43"/>
      <c r="AM1100" s="43"/>
      <c r="AN1100" s="43"/>
      <c r="AO1100" s="43"/>
      <c r="AP1100" s="43"/>
      <c r="AQ1100" s="43"/>
      <c r="AR1100" s="43"/>
      <c r="AS1100" s="43"/>
      <c r="AT1100" s="43"/>
    </row>
    <row r="1101" spans="1:46">
      <c r="A1101" s="43" t="s">
        <v>31</v>
      </c>
      <c r="B1101" s="43" t="s">
        <v>120</v>
      </c>
      <c r="C1101" s="43" t="s">
        <v>118</v>
      </c>
      <c r="D1101" s="44" t="s">
        <v>229</v>
      </c>
      <c r="E1101" s="44">
        <v>22</v>
      </c>
      <c r="F1101" s="44" t="s">
        <v>3</v>
      </c>
      <c r="G1101" s="43" t="str">
        <f>IFERROR(VLOOKUP(A1101,'[1]MC Masterlist 2026-09-12'!$B:$M, 3, 0),"")</f>
        <v>KAWASAKI</v>
      </c>
      <c r="H1101" s="45">
        <f>IFERROR(VLOOKUP(A1101,'[1]MC Masterlist 2026-09-12'!$B:$M, 6, 0),"")</f>
        <v>59528</v>
      </c>
      <c r="I1101" s="46">
        <v>0</v>
      </c>
      <c r="J1101" s="46">
        <v>0</v>
      </c>
      <c r="K1101" s="46">
        <v>1</v>
      </c>
      <c r="L1101" s="46">
        <f t="shared" si="255"/>
        <v>1</v>
      </c>
      <c r="M1101" s="46">
        <f t="shared" si="256"/>
        <v>0.33333333333333331</v>
      </c>
      <c r="N1101" s="45">
        <f t="shared" si="257"/>
        <v>59528</v>
      </c>
      <c r="O1101" s="45">
        <f t="shared" si="258"/>
        <v>19842.666666666664</v>
      </c>
      <c r="P1101" s="46">
        <f t="shared" si="259"/>
        <v>1.111111111111111E-2</v>
      </c>
      <c r="Q1101" s="46">
        <v>1</v>
      </c>
      <c r="R1101" s="45">
        <f t="shared" si="260"/>
        <v>59528</v>
      </c>
      <c r="S1101" s="46">
        <f t="shared" si="261"/>
        <v>90.000000000000014</v>
      </c>
      <c r="T1101" s="46">
        <f>IFERROR(VLOOKUP(A1101,'[1]Re-order'!$A:$Q,17,0),"")</f>
        <v>95.869565217391298</v>
      </c>
      <c r="U1101" s="46">
        <f>IFERROR(VLOOKUP(A1101,'[1]MC Masterlist 2026-09-12'!$B:$M, 10, 0),0)</f>
        <v>15</v>
      </c>
      <c r="V1101" s="46">
        <f>IFERROR(VLOOKUP(A1101,'[1]MC Masterlist 2026-09-12'!$B:$M, 11, 0),0)</f>
        <v>15</v>
      </c>
      <c r="W1101" s="46">
        <f t="shared" si="262"/>
        <v>30</v>
      </c>
      <c r="X1101" s="46">
        <f t="shared" si="263"/>
        <v>29.833333333333332</v>
      </c>
      <c r="Y1101" s="46">
        <f>IFERROR(IF(OR(C1101="AREA I",C1101="AREA V"),7,VLOOKUP(A1101,'[1]MC Masterlist 2026-09-12'!$B:$M, 12, 0)),0)</f>
        <v>30</v>
      </c>
      <c r="Z1101" s="46">
        <f t="shared" si="264"/>
        <v>0.16666666666666666</v>
      </c>
      <c r="AA1101" s="46">
        <f t="shared" si="265"/>
        <v>0.33333333333333331</v>
      </c>
      <c r="AB1101" s="46">
        <f t="shared" si="266"/>
        <v>0.33148148148148143</v>
      </c>
      <c r="AC1101" s="46">
        <f t="shared" si="267"/>
        <v>0.33333333333333331</v>
      </c>
      <c r="AD1101" s="44" t="str">
        <f t="shared" si="268"/>
        <v>Over</v>
      </c>
      <c r="AE1101" s="44" t="str">
        <f>IFERROR(VLOOKUP(A1101,'[1]Re-order'!$A:$AA,27,0),"")</f>
        <v>Over</v>
      </c>
      <c r="AF1101" s="46">
        <f t="shared" si="269"/>
        <v>-0.66666666666666674</v>
      </c>
      <c r="AG1101" s="46">
        <f>SUMIFS('[1]Raw Inventory'!D:D,'[1]Raw Inventory'!C:C,"GREATWALL",'[1]Raw Inventory'!B:B,A1101)</f>
        <v>79</v>
      </c>
      <c r="AH1101" s="46">
        <f>SUMIFS('[1]Raw Inventory'!D:D,'[1]Raw Inventory'!C:C,"DUARTE",'[1]Raw Inventory'!B:B,A1101)</f>
        <v>0</v>
      </c>
      <c r="AI1101" s="46"/>
      <c r="AJ1101" s="46"/>
      <c r="AK1101" s="43"/>
      <c r="AL1101" s="43"/>
      <c r="AM1101" s="43"/>
      <c r="AN1101" s="43"/>
      <c r="AO1101" s="43"/>
      <c r="AP1101" s="43"/>
      <c r="AQ1101" s="43"/>
      <c r="AR1101" s="43"/>
      <c r="AS1101" s="43"/>
      <c r="AT1101" s="43"/>
    </row>
    <row r="1102" spans="1:46">
      <c r="A1102" s="43" t="s">
        <v>64</v>
      </c>
      <c r="B1102" s="43" t="s">
        <v>131</v>
      </c>
      <c r="C1102" s="43" t="s">
        <v>128</v>
      </c>
      <c r="D1102" s="44" t="s">
        <v>223</v>
      </c>
      <c r="E1102" s="44">
        <v>15</v>
      </c>
      <c r="F1102" s="44" t="s">
        <v>3</v>
      </c>
      <c r="G1102" s="43" t="str">
        <f>IFERROR(VLOOKUP(A1102,'[1]MC Masterlist 2026-09-12'!$B:$M, 3, 0),"")</f>
        <v>HONDA</v>
      </c>
      <c r="H1102" s="45">
        <f>IFERROR(VLOOKUP(A1102,'[1]MC Masterlist 2026-09-12'!$B:$M, 6, 0),"")</f>
        <v>73170</v>
      </c>
      <c r="I1102" s="46">
        <v>0</v>
      </c>
      <c r="J1102" s="46">
        <v>2</v>
      </c>
      <c r="K1102" s="46">
        <v>1</v>
      </c>
      <c r="L1102" s="46">
        <f t="shared" si="255"/>
        <v>3</v>
      </c>
      <c r="M1102" s="46">
        <f t="shared" si="256"/>
        <v>1</v>
      </c>
      <c r="N1102" s="45">
        <f t="shared" si="257"/>
        <v>219510</v>
      </c>
      <c r="O1102" s="45">
        <f t="shared" si="258"/>
        <v>73170</v>
      </c>
      <c r="P1102" s="46">
        <f t="shared" si="259"/>
        <v>3.3333333333333333E-2</v>
      </c>
      <c r="Q1102" s="46">
        <v>2</v>
      </c>
      <c r="R1102" s="45">
        <f t="shared" si="260"/>
        <v>146340</v>
      </c>
      <c r="S1102" s="46">
        <f t="shared" si="261"/>
        <v>60</v>
      </c>
      <c r="T1102" s="46">
        <f>IFERROR(VLOOKUP(A1102,'[1]Re-order'!$A:$Q,17,0),"")</f>
        <v>76.153846153846146</v>
      </c>
      <c r="U1102" s="46">
        <f>IFERROR(VLOOKUP(A1102,'[1]MC Masterlist 2026-09-12'!$B:$M, 10, 0),0)</f>
        <v>15</v>
      </c>
      <c r="V1102" s="46">
        <f>IFERROR(VLOOKUP(A1102,'[1]MC Masterlist 2026-09-12'!$B:$M, 11, 0),0)</f>
        <v>15</v>
      </c>
      <c r="W1102" s="46">
        <f t="shared" si="262"/>
        <v>30</v>
      </c>
      <c r="X1102" s="46">
        <f t="shared" si="263"/>
        <v>29.5</v>
      </c>
      <c r="Y1102" s="46">
        <f>IFERROR(IF(OR(C1102="AREA I",C1102="AREA V"),7,VLOOKUP(A1102,'[1]MC Masterlist 2026-09-12'!$B:$M, 12, 0)),0)</f>
        <v>30</v>
      </c>
      <c r="Z1102" s="46">
        <f t="shared" si="264"/>
        <v>0.5</v>
      </c>
      <c r="AA1102" s="46">
        <f t="shared" si="265"/>
        <v>1</v>
      </c>
      <c r="AB1102" s="46">
        <f t="shared" si="266"/>
        <v>0.98333333333333328</v>
      </c>
      <c r="AC1102" s="46">
        <f t="shared" si="267"/>
        <v>1</v>
      </c>
      <c r="AD1102" s="44" t="str">
        <f t="shared" si="268"/>
        <v>Over</v>
      </c>
      <c r="AE1102" s="44" t="str">
        <f>IFERROR(VLOOKUP(A1102,'[1]Re-order'!$A:$AA,27,0),"")</f>
        <v/>
      </c>
      <c r="AF1102" s="46">
        <f t="shared" si="269"/>
        <v>-1</v>
      </c>
      <c r="AG1102" s="46">
        <f>SUMIFS('[1]Raw Inventory'!D:D,'[1]Raw Inventory'!C:C,"GREATWALL",'[1]Raw Inventory'!B:B,A1102)</f>
        <v>13</v>
      </c>
      <c r="AH1102" s="46">
        <f>SUMIFS('[1]Raw Inventory'!D:D,'[1]Raw Inventory'!C:C,"DUARTE",'[1]Raw Inventory'!B:B,A1102)</f>
        <v>0</v>
      </c>
      <c r="AI1102" s="46"/>
      <c r="AJ1102" s="46"/>
      <c r="AK1102" s="43"/>
      <c r="AL1102" s="43"/>
      <c r="AM1102" s="43"/>
      <c r="AN1102" s="43"/>
      <c r="AO1102" s="43"/>
      <c r="AP1102" s="43"/>
      <c r="AQ1102" s="43"/>
      <c r="AR1102" s="43"/>
      <c r="AS1102" s="43"/>
      <c r="AT1102" s="43"/>
    </row>
    <row r="1103" spans="1:46">
      <c r="A1103" s="43" t="s">
        <v>107</v>
      </c>
      <c r="B1103" s="43" t="s">
        <v>158</v>
      </c>
      <c r="C1103" s="43" t="s">
        <v>152</v>
      </c>
      <c r="D1103" s="44" t="s">
        <v>223</v>
      </c>
      <c r="E1103" s="44">
        <v>20</v>
      </c>
      <c r="F1103" s="44" t="s">
        <v>3</v>
      </c>
      <c r="G1103" s="43" t="str">
        <f>IFERROR(VLOOKUP(A1103,'[1]MC Masterlist 2026-09-12'!$B:$M, 3, 0),"")</f>
        <v>SUZUKI</v>
      </c>
      <c r="H1103" s="45">
        <f>IFERROR(VLOOKUP(A1103,'[1]MC Masterlist 2026-09-12'!$B:$M, 6, 0),"")</f>
        <v>89662</v>
      </c>
      <c r="I1103" s="46">
        <v>0</v>
      </c>
      <c r="J1103" s="46">
        <v>1</v>
      </c>
      <c r="K1103" s="46">
        <v>0</v>
      </c>
      <c r="L1103" s="46">
        <f t="shared" si="255"/>
        <v>1</v>
      </c>
      <c r="M1103" s="46">
        <f t="shared" si="256"/>
        <v>0.33333333333333331</v>
      </c>
      <c r="N1103" s="45">
        <f t="shared" si="257"/>
        <v>89662</v>
      </c>
      <c r="O1103" s="45">
        <f t="shared" si="258"/>
        <v>29887.333333333332</v>
      </c>
      <c r="P1103" s="46">
        <f t="shared" si="259"/>
        <v>1.111111111111111E-2</v>
      </c>
      <c r="Q1103" s="46">
        <v>1</v>
      </c>
      <c r="R1103" s="45">
        <f t="shared" si="260"/>
        <v>89662</v>
      </c>
      <c r="S1103" s="46">
        <f t="shared" si="261"/>
        <v>90</v>
      </c>
      <c r="T1103" s="46">
        <f>IFERROR(VLOOKUP(A1103,'[1]Re-order'!$A:$Q,17,0),"")</f>
        <v>112.5</v>
      </c>
      <c r="U1103" s="46">
        <f>IFERROR(VLOOKUP(A1103,'[1]MC Masterlist 2026-09-12'!$B:$M, 10, 0),0)</f>
        <v>15</v>
      </c>
      <c r="V1103" s="46">
        <f>IFERROR(VLOOKUP(A1103,'[1]MC Masterlist 2026-09-12'!$B:$M, 11, 0),0)</f>
        <v>15</v>
      </c>
      <c r="W1103" s="46">
        <f t="shared" si="262"/>
        <v>30</v>
      </c>
      <c r="X1103" s="46">
        <f t="shared" si="263"/>
        <v>29.833333333333332</v>
      </c>
      <c r="Y1103" s="46">
        <f>IFERROR(IF(OR(C1103="AREA I",C1103="AREA V"),7,VLOOKUP(A1103,'[1]MC Masterlist 2026-09-12'!$B:$M, 12, 0)),0)</f>
        <v>30</v>
      </c>
      <c r="Z1103" s="46">
        <f t="shared" si="264"/>
        <v>0.16666666666666666</v>
      </c>
      <c r="AA1103" s="46">
        <f t="shared" si="265"/>
        <v>0.33333333333333331</v>
      </c>
      <c r="AB1103" s="46">
        <f t="shared" si="266"/>
        <v>0.33148148148148143</v>
      </c>
      <c r="AC1103" s="46">
        <f t="shared" si="267"/>
        <v>0.33333333333333331</v>
      </c>
      <c r="AD1103" s="44" t="str">
        <f t="shared" si="268"/>
        <v>Over</v>
      </c>
      <c r="AE1103" s="44" t="str">
        <f>IFERROR(VLOOKUP(A1103,'[1]Re-order'!$A:$AA,27,0),"")</f>
        <v>Over</v>
      </c>
      <c r="AF1103" s="46">
        <f t="shared" si="269"/>
        <v>-0.66666666666666674</v>
      </c>
      <c r="AG1103" s="46">
        <f>SUMIFS('[1]Raw Inventory'!D:D,'[1]Raw Inventory'!C:C,"GREATWALL",'[1]Raw Inventory'!B:B,A1103)</f>
        <v>0</v>
      </c>
      <c r="AH1103" s="46">
        <f>SUMIFS('[1]Raw Inventory'!D:D,'[1]Raw Inventory'!C:C,"DUARTE",'[1]Raw Inventory'!B:B,A1103)</f>
        <v>0</v>
      </c>
      <c r="AI1103" s="46"/>
      <c r="AJ1103" s="46"/>
      <c r="AK1103" s="43"/>
      <c r="AL1103" s="43"/>
      <c r="AM1103" s="43"/>
      <c r="AN1103" s="43"/>
      <c r="AO1103" s="43"/>
      <c r="AP1103" s="43"/>
      <c r="AQ1103" s="43"/>
      <c r="AR1103" s="43"/>
      <c r="AS1103" s="43"/>
      <c r="AT1103" s="43"/>
    </row>
    <row r="1104" spans="1:46">
      <c r="A1104" s="43" t="s">
        <v>35</v>
      </c>
      <c r="B1104" s="43" t="s">
        <v>160</v>
      </c>
      <c r="C1104" s="43" t="s">
        <v>159</v>
      </c>
      <c r="D1104" s="44" t="s">
        <v>229</v>
      </c>
      <c r="E1104" s="44">
        <v>23</v>
      </c>
      <c r="F1104" s="44" t="s">
        <v>3</v>
      </c>
      <c r="G1104" s="43" t="str">
        <f>IFERROR(VLOOKUP(A1104,'[1]MC Masterlist 2026-09-12'!$B:$M, 3, 0),"")</f>
        <v>HONDA</v>
      </c>
      <c r="H1104" s="45">
        <f>IFERROR(VLOOKUP(A1104,'[1]MC Masterlist 2026-09-12'!$B:$M, 6, 0),"")</f>
        <v>57990</v>
      </c>
      <c r="I1104" s="46">
        <v>0</v>
      </c>
      <c r="J1104" s="46">
        <v>1</v>
      </c>
      <c r="K1104" s="46">
        <v>0</v>
      </c>
      <c r="L1104" s="46">
        <f t="shared" si="255"/>
        <v>1</v>
      </c>
      <c r="M1104" s="46">
        <f t="shared" si="256"/>
        <v>0.33333333333333331</v>
      </c>
      <c r="N1104" s="45">
        <f t="shared" si="257"/>
        <v>57990</v>
      </c>
      <c r="O1104" s="45">
        <f t="shared" si="258"/>
        <v>19330</v>
      </c>
      <c r="P1104" s="46">
        <f t="shared" si="259"/>
        <v>1.111111111111111E-2</v>
      </c>
      <c r="Q1104" s="46">
        <v>1</v>
      </c>
      <c r="R1104" s="45">
        <f t="shared" si="260"/>
        <v>57990</v>
      </c>
      <c r="S1104" s="46">
        <f t="shared" si="261"/>
        <v>90</v>
      </c>
      <c r="T1104" s="46">
        <f>IFERROR(VLOOKUP(A1104,'[1]Re-order'!$A:$Q,17,0),"")</f>
        <v>68.275862068965523</v>
      </c>
      <c r="U1104" s="46">
        <f>IFERROR(VLOOKUP(A1104,'[1]MC Masterlist 2026-09-12'!$B:$M, 10, 0),0)</f>
        <v>15</v>
      </c>
      <c r="V1104" s="46">
        <f>IFERROR(VLOOKUP(A1104,'[1]MC Masterlist 2026-09-12'!$B:$M, 11, 0),0)</f>
        <v>15</v>
      </c>
      <c r="W1104" s="46">
        <f t="shared" si="262"/>
        <v>30</v>
      </c>
      <c r="X1104" s="46">
        <f t="shared" si="263"/>
        <v>29.833333333333332</v>
      </c>
      <c r="Y1104" s="46">
        <f>IFERROR(IF(OR(C1104="AREA I",C1104="AREA V"),7,VLOOKUP(A1104,'[1]MC Masterlist 2026-09-12'!$B:$M, 12, 0)),0)</f>
        <v>30</v>
      </c>
      <c r="Z1104" s="46">
        <f t="shared" si="264"/>
        <v>0.16666666666666666</v>
      </c>
      <c r="AA1104" s="46">
        <f t="shared" si="265"/>
        <v>0.33333333333333331</v>
      </c>
      <c r="AB1104" s="46">
        <f t="shared" si="266"/>
        <v>0.33148148148148143</v>
      </c>
      <c r="AC1104" s="46">
        <f t="shared" si="267"/>
        <v>0.33333333333333331</v>
      </c>
      <c r="AD1104" s="44" t="str">
        <f t="shared" si="268"/>
        <v>Over</v>
      </c>
      <c r="AE1104" s="44" t="str">
        <f>IFERROR(VLOOKUP(A1104,'[1]Re-order'!$A:$AA,27,0),"")</f>
        <v>Re-order</v>
      </c>
      <c r="AF1104" s="46">
        <f t="shared" si="269"/>
        <v>-0.66666666666666674</v>
      </c>
      <c r="AG1104" s="46">
        <f>SUMIFS('[1]Raw Inventory'!D:D,'[1]Raw Inventory'!C:C,"GREATWALL",'[1]Raw Inventory'!B:B,A1104)</f>
        <v>29</v>
      </c>
      <c r="AH1104" s="46">
        <f>SUMIFS('[1]Raw Inventory'!D:D,'[1]Raw Inventory'!C:C,"DUARTE",'[1]Raw Inventory'!B:B,A1104)</f>
        <v>0</v>
      </c>
      <c r="AI1104" s="46"/>
      <c r="AJ1104" s="46"/>
      <c r="AK1104" s="43"/>
      <c r="AL1104" s="43"/>
      <c r="AM1104" s="43"/>
      <c r="AN1104" s="43"/>
      <c r="AO1104" s="43"/>
      <c r="AP1104" s="43"/>
      <c r="AQ1104" s="43"/>
      <c r="AR1104" s="43"/>
      <c r="AS1104" s="43"/>
      <c r="AT1104" s="43"/>
    </row>
    <row r="1105" spans="1:46">
      <c r="A1105" s="43" t="s">
        <v>23</v>
      </c>
      <c r="B1105" s="43" t="s">
        <v>120</v>
      </c>
      <c r="C1105" s="43" t="s">
        <v>118</v>
      </c>
      <c r="D1105" s="44" t="s">
        <v>236</v>
      </c>
      <c r="E1105" s="44">
        <v>7</v>
      </c>
      <c r="F1105" s="44" t="s">
        <v>2</v>
      </c>
      <c r="G1105" s="43" t="str">
        <f>IFERROR(VLOOKUP(A1105,'[1]MC Masterlist 2026-09-12'!$B:$M, 3, 0),"")</f>
        <v>KAWASAKI</v>
      </c>
      <c r="H1105" s="45">
        <f>IFERROR(VLOOKUP(A1105,'[1]MC Masterlist 2026-09-12'!$B:$M, 6, 0),"")</f>
        <v>60656</v>
      </c>
      <c r="I1105" s="46">
        <v>2</v>
      </c>
      <c r="J1105" s="46">
        <v>1</v>
      </c>
      <c r="K1105" s="46">
        <v>3</v>
      </c>
      <c r="L1105" s="46">
        <f t="shared" si="255"/>
        <v>6</v>
      </c>
      <c r="M1105" s="46">
        <f t="shared" si="256"/>
        <v>2</v>
      </c>
      <c r="N1105" s="45">
        <f t="shared" si="257"/>
        <v>363936</v>
      </c>
      <c r="O1105" s="45">
        <f t="shared" si="258"/>
        <v>121312</v>
      </c>
      <c r="P1105" s="46">
        <f t="shared" si="259"/>
        <v>6.6666666666666666E-2</v>
      </c>
      <c r="Q1105" s="46">
        <v>8</v>
      </c>
      <c r="R1105" s="45">
        <f t="shared" si="260"/>
        <v>485248</v>
      </c>
      <c r="S1105" s="46">
        <f t="shared" si="261"/>
        <v>120</v>
      </c>
      <c r="T1105" s="46">
        <f>IFERROR(VLOOKUP(A1105,'[1]Re-order'!$A:$Q,17,0),"")</f>
        <v>53.973412112259979</v>
      </c>
      <c r="U1105" s="46">
        <f>IFERROR(VLOOKUP(A1105,'[1]MC Masterlist 2026-09-12'!$B:$M, 10, 0),0)</f>
        <v>15</v>
      </c>
      <c r="V1105" s="46">
        <f>IFERROR(VLOOKUP(A1105,'[1]MC Masterlist 2026-09-12'!$B:$M, 11, 0),0)</f>
        <v>15</v>
      </c>
      <c r="W1105" s="46">
        <f t="shared" si="262"/>
        <v>30</v>
      </c>
      <c r="X1105" s="46">
        <f t="shared" si="263"/>
        <v>29</v>
      </c>
      <c r="Y1105" s="46">
        <f>IFERROR(IF(OR(C1105="AREA I",C1105="AREA V"),7,VLOOKUP(A1105,'[1]MC Masterlist 2026-09-12'!$B:$M, 12, 0)),0)</f>
        <v>30</v>
      </c>
      <c r="Z1105" s="46">
        <f t="shared" si="264"/>
        <v>1</v>
      </c>
      <c r="AA1105" s="46">
        <f t="shared" si="265"/>
        <v>2</v>
      </c>
      <c r="AB1105" s="46">
        <f t="shared" si="266"/>
        <v>1.9333333333333333</v>
      </c>
      <c r="AC1105" s="46">
        <f t="shared" si="267"/>
        <v>2</v>
      </c>
      <c r="AD1105" s="44" t="str">
        <f t="shared" si="268"/>
        <v>Over</v>
      </c>
      <c r="AE1105" s="44" t="str">
        <f>IFERROR(VLOOKUP(A1105,'[1]Re-order'!$A:$AA,27,0),"")</f>
        <v>Re-order</v>
      </c>
      <c r="AF1105" s="46">
        <f t="shared" si="269"/>
        <v>-6</v>
      </c>
      <c r="AG1105" s="46">
        <f>SUMIFS('[1]Raw Inventory'!D:D,'[1]Raw Inventory'!C:C,"GREATWALL",'[1]Raw Inventory'!B:B,A1105)</f>
        <v>282</v>
      </c>
      <c r="AH1105" s="46">
        <f>SUMIFS('[1]Raw Inventory'!D:D,'[1]Raw Inventory'!C:C,"DUARTE",'[1]Raw Inventory'!B:B,A1105)</f>
        <v>0</v>
      </c>
      <c r="AI1105" s="46"/>
      <c r="AJ1105" s="46"/>
      <c r="AK1105" s="43"/>
      <c r="AL1105" s="43"/>
      <c r="AM1105" s="43"/>
      <c r="AN1105" s="43"/>
      <c r="AO1105" s="43"/>
      <c r="AP1105" s="43"/>
      <c r="AQ1105" s="43"/>
      <c r="AR1105" s="43"/>
      <c r="AS1105" s="43"/>
      <c r="AT1105" s="43"/>
    </row>
    <row r="1106" spans="1:46">
      <c r="A1106" s="43" t="s">
        <v>25</v>
      </c>
      <c r="B1106" s="43" t="s">
        <v>121</v>
      </c>
      <c r="C1106" s="43" t="s">
        <v>118</v>
      </c>
      <c r="D1106" s="44" t="s">
        <v>241</v>
      </c>
      <c r="E1106" s="44">
        <v>22</v>
      </c>
      <c r="F1106" s="44" t="s">
        <v>3</v>
      </c>
      <c r="G1106" s="43" t="str">
        <f>IFERROR(VLOOKUP(A1106,'[1]MC Masterlist 2026-09-12'!$B:$M, 3, 0),"")</f>
        <v>YAMAHA</v>
      </c>
      <c r="H1106" s="45">
        <f>IFERROR(VLOOKUP(A1106,'[1]MC Masterlist 2026-09-12'!$B:$M, 6, 0),"")</f>
        <v>124527</v>
      </c>
      <c r="I1106" s="46">
        <v>0</v>
      </c>
      <c r="J1106" s="46">
        <v>1</v>
      </c>
      <c r="K1106" s="46">
        <v>0</v>
      </c>
      <c r="L1106" s="46">
        <f t="shared" si="255"/>
        <v>1</v>
      </c>
      <c r="M1106" s="46">
        <f t="shared" si="256"/>
        <v>0.33333333333333331</v>
      </c>
      <c r="N1106" s="45">
        <f t="shared" si="257"/>
        <v>124527</v>
      </c>
      <c r="O1106" s="45">
        <f t="shared" si="258"/>
        <v>41509</v>
      </c>
      <c r="P1106" s="46">
        <f t="shared" si="259"/>
        <v>1.111111111111111E-2</v>
      </c>
      <c r="Q1106" s="46"/>
      <c r="R1106" s="45">
        <f t="shared" si="260"/>
        <v>0</v>
      </c>
      <c r="S1106" s="46">
        <f t="shared" si="261"/>
        <v>0</v>
      </c>
      <c r="T1106" s="46">
        <f>IFERROR(VLOOKUP(A1106,'[1]Re-order'!$A:$Q,17,0),"")</f>
        <v>5.1030927835051543</v>
      </c>
      <c r="U1106" s="46">
        <f>IFERROR(VLOOKUP(A1106,'[1]MC Masterlist 2026-09-12'!$B:$M, 10, 0),0)</f>
        <v>15</v>
      </c>
      <c r="V1106" s="46">
        <f>IFERROR(VLOOKUP(A1106,'[1]MC Masterlist 2026-09-12'!$B:$M, 11, 0),0)</f>
        <v>15</v>
      </c>
      <c r="W1106" s="46">
        <f t="shared" si="262"/>
        <v>30</v>
      </c>
      <c r="X1106" s="46">
        <f t="shared" si="263"/>
        <v>29.833333333333332</v>
      </c>
      <c r="Y1106" s="46">
        <f>IFERROR(IF(OR(C1106="AREA I",C1106="AREA V"),7,VLOOKUP(A1106,'[1]MC Masterlist 2026-09-12'!$B:$M, 12, 0)),0)</f>
        <v>30</v>
      </c>
      <c r="Z1106" s="46">
        <f t="shared" si="264"/>
        <v>0.16666666666666666</v>
      </c>
      <c r="AA1106" s="46">
        <f t="shared" si="265"/>
        <v>0.33333333333333331</v>
      </c>
      <c r="AB1106" s="46">
        <f t="shared" si="266"/>
        <v>0.33148148148148143</v>
      </c>
      <c r="AC1106" s="46">
        <f t="shared" si="267"/>
        <v>0.33333333333333331</v>
      </c>
      <c r="AD1106" s="44" t="str">
        <f t="shared" si="268"/>
        <v>Stockout</v>
      </c>
      <c r="AE1106" s="44" t="str">
        <f>IFERROR(VLOOKUP(A1106,'[1]Re-order'!$A:$AA,27,0),"")</f>
        <v>Stockout</v>
      </c>
      <c r="AF1106" s="46">
        <f t="shared" si="269"/>
        <v>0.33333333333333331</v>
      </c>
      <c r="AG1106" s="46">
        <f>SUMIFS('[1]Raw Inventory'!D:D,'[1]Raw Inventory'!C:C,"GREATWALL",'[1]Raw Inventory'!B:B,A1106)</f>
        <v>1</v>
      </c>
      <c r="AH1106" s="46">
        <f>SUMIFS('[1]Raw Inventory'!D:D,'[1]Raw Inventory'!C:C,"DUARTE",'[1]Raw Inventory'!B:B,A1106)</f>
        <v>0</v>
      </c>
      <c r="AI1106" s="46"/>
      <c r="AJ1106" s="46"/>
      <c r="AK1106" s="43"/>
      <c r="AL1106" s="43"/>
      <c r="AM1106" s="43"/>
      <c r="AN1106" s="43"/>
      <c r="AO1106" s="43"/>
      <c r="AP1106" s="43"/>
      <c r="AQ1106" s="43"/>
      <c r="AR1106" s="43"/>
      <c r="AS1106" s="43"/>
      <c r="AT1106" s="43"/>
    </row>
    <row r="1107" spans="1:46">
      <c r="A1107" s="43" t="s">
        <v>40</v>
      </c>
      <c r="B1107" s="43" t="s">
        <v>154</v>
      </c>
      <c r="C1107" s="43" t="s">
        <v>152</v>
      </c>
      <c r="D1107" s="44" t="s">
        <v>265</v>
      </c>
      <c r="E1107" s="44">
        <v>28</v>
      </c>
      <c r="F1107" s="44" t="s">
        <v>3</v>
      </c>
      <c r="G1107" s="43" t="str">
        <f>IFERROR(VLOOKUP(A1107,'[1]MC Masterlist 2026-09-12'!$B:$M, 3, 0),"")</f>
        <v>HONDA</v>
      </c>
      <c r="H1107" s="45">
        <f>IFERROR(VLOOKUP(A1107,'[1]MC Masterlist 2026-09-12'!$B:$M, 6, 0),"")</f>
        <v>56426</v>
      </c>
      <c r="I1107" s="46">
        <v>0</v>
      </c>
      <c r="J1107" s="46">
        <v>0</v>
      </c>
      <c r="K1107" s="46">
        <v>0</v>
      </c>
      <c r="L1107" s="46">
        <f t="shared" si="255"/>
        <v>0</v>
      </c>
      <c r="M1107" s="46">
        <f t="shared" si="256"/>
        <v>0</v>
      </c>
      <c r="N1107" s="45">
        <f t="shared" si="257"/>
        <v>0</v>
      </c>
      <c r="O1107" s="45">
        <f t="shared" si="258"/>
        <v>0</v>
      </c>
      <c r="P1107" s="46">
        <f t="shared" si="259"/>
        <v>0</v>
      </c>
      <c r="Q1107" s="46">
        <v>4</v>
      </c>
      <c r="R1107" s="45">
        <f t="shared" si="260"/>
        <v>225704</v>
      </c>
      <c r="S1107" s="46">
        <f t="shared" si="261"/>
        <v>0</v>
      </c>
      <c r="T1107" s="46">
        <f>IFERROR(VLOOKUP(A1107,'[1]Re-order'!$A:$Q,17,0),"")</f>
        <v>139.56521739130434</v>
      </c>
      <c r="U1107" s="46">
        <f>IFERROR(VLOOKUP(A1107,'[1]MC Masterlist 2026-09-12'!$B:$M, 10, 0),0)</f>
        <v>15</v>
      </c>
      <c r="V1107" s="46">
        <f>IFERROR(VLOOKUP(A1107,'[1]MC Masterlist 2026-09-12'!$B:$M, 11, 0),0)</f>
        <v>15</v>
      </c>
      <c r="W1107" s="46">
        <f t="shared" si="262"/>
        <v>30</v>
      </c>
      <c r="X1107" s="46">
        <f t="shared" si="263"/>
        <v>30</v>
      </c>
      <c r="Y1107" s="46">
        <f>IFERROR(IF(OR(C1107="AREA I",C1107="AREA V"),7,VLOOKUP(A1107,'[1]MC Masterlist 2026-09-12'!$B:$M, 12, 0)),0)</f>
        <v>30</v>
      </c>
      <c r="Z1107" s="46">
        <f t="shared" si="264"/>
        <v>0</v>
      </c>
      <c r="AA1107" s="46">
        <f t="shared" si="265"/>
        <v>0</v>
      </c>
      <c r="AB1107" s="46">
        <f t="shared" si="266"/>
        <v>0</v>
      </c>
      <c r="AC1107" s="46">
        <f t="shared" si="267"/>
        <v>0</v>
      </c>
      <c r="AD1107" s="44" t="str">
        <f t="shared" si="268"/>
        <v>Over</v>
      </c>
      <c r="AE1107" s="44" t="str">
        <f>IFERROR(VLOOKUP(A1107,'[1]Re-order'!$A:$AA,27,0),"")</f>
        <v>Over</v>
      </c>
      <c r="AF1107" s="46">
        <f t="shared" si="269"/>
        <v>-4</v>
      </c>
      <c r="AG1107" s="46">
        <f>SUMIFS('[1]Raw Inventory'!D:D,'[1]Raw Inventory'!C:C,"GREATWALL",'[1]Raw Inventory'!B:B,A1107)</f>
        <v>45</v>
      </c>
      <c r="AH1107" s="46">
        <f>SUMIFS('[1]Raw Inventory'!D:D,'[1]Raw Inventory'!C:C,"DUARTE",'[1]Raw Inventory'!B:B,A1107)</f>
        <v>0</v>
      </c>
      <c r="AI1107" s="46"/>
      <c r="AJ1107" s="46"/>
      <c r="AK1107" s="43"/>
      <c r="AL1107" s="43"/>
      <c r="AM1107" s="43"/>
      <c r="AN1107" s="43"/>
      <c r="AO1107" s="43"/>
      <c r="AP1107" s="43"/>
      <c r="AQ1107" s="43"/>
      <c r="AR1107" s="43"/>
      <c r="AS1107" s="43"/>
      <c r="AT1107" s="43"/>
    </row>
    <row r="1108" spans="1:46">
      <c r="A1108" s="43" t="s">
        <v>24</v>
      </c>
      <c r="B1108" s="43" t="s">
        <v>95</v>
      </c>
      <c r="C1108" s="43" t="s">
        <v>90</v>
      </c>
      <c r="D1108" s="44" t="s">
        <v>262</v>
      </c>
      <c r="E1108" s="44">
        <v>15</v>
      </c>
      <c r="F1108" s="44" t="s">
        <v>2</v>
      </c>
      <c r="G1108" s="43" t="str">
        <f>IFERROR(VLOOKUP(A1108,'[1]MC Masterlist 2026-09-12'!$B:$M, 3, 0),"")</f>
        <v>KAWASAKI</v>
      </c>
      <c r="H1108" s="45">
        <f>IFERROR(VLOOKUP(A1108,'[1]MC Masterlist 2026-09-12'!$B:$M, 6, 0),"")</f>
        <v>131626</v>
      </c>
      <c r="I1108" s="46">
        <v>0</v>
      </c>
      <c r="J1108" s="46">
        <v>0</v>
      </c>
      <c r="K1108" s="46">
        <v>1</v>
      </c>
      <c r="L1108" s="46">
        <f t="shared" si="255"/>
        <v>1</v>
      </c>
      <c r="M1108" s="46">
        <f t="shared" si="256"/>
        <v>0.33333333333333331</v>
      </c>
      <c r="N1108" s="45">
        <f t="shared" si="257"/>
        <v>131626</v>
      </c>
      <c r="O1108" s="45">
        <f t="shared" si="258"/>
        <v>43875.333333333328</v>
      </c>
      <c r="P1108" s="46">
        <f t="shared" si="259"/>
        <v>1.111111111111111E-2</v>
      </c>
      <c r="Q1108" s="46">
        <v>1</v>
      </c>
      <c r="R1108" s="45">
        <f t="shared" si="260"/>
        <v>131626</v>
      </c>
      <c r="S1108" s="46">
        <f t="shared" si="261"/>
        <v>90.000000000000014</v>
      </c>
      <c r="T1108" s="46">
        <f>IFERROR(VLOOKUP(A1108,'[1]Re-order'!$A:$Q,17,0),"")</f>
        <v>40.677966101694913</v>
      </c>
      <c r="U1108" s="46">
        <f>IFERROR(VLOOKUP(A1108,'[1]MC Masterlist 2026-09-12'!$B:$M, 10, 0),0)</f>
        <v>15</v>
      </c>
      <c r="V1108" s="46">
        <f>IFERROR(VLOOKUP(A1108,'[1]MC Masterlist 2026-09-12'!$B:$M, 11, 0),0)</f>
        <v>15</v>
      </c>
      <c r="W1108" s="46">
        <f t="shared" si="262"/>
        <v>30</v>
      </c>
      <c r="X1108" s="46">
        <f t="shared" si="263"/>
        <v>29.833333333333332</v>
      </c>
      <c r="Y1108" s="46">
        <f>IFERROR(IF(OR(C1108="AREA I",C1108="AREA V"),7,VLOOKUP(A1108,'[1]MC Masterlist 2026-09-12'!$B:$M, 12, 0)),0)</f>
        <v>30</v>
      </c>
      <c r="Z1108" s="46">
        <f t="shared" si="264"/>
        <v>0.16666666666666666</v>
      </c>
      <c r="AA1108" s="46">
        <f t="shared" si="265"/>
        <v>0.33333333333333331</v>
      </c>
      <c r="AB1108" s="46">
        <f t="shared" si="266"/>
        <v>0.33148148148148143</v>
      </c>
      <c r="AC1108" s="46">
        <f t="shared" si="267"/>
        <v>0.33333333333333331</v>
      </c>
      <c r="AD1108" s="44" t="str">
        <f t="shared" si="268"/>
        <v>Over</v>
      </c>
      <c r="AE1108" s="44" t="str">
        <f>IFERROR(VLOOKUP(A1108,'[1]Re-order'!$A:$AA,27,0),"")</f>
        <v>Re-order</v>
      </c>
      <c r="AF1108" s="46">
        <f t="shared" si="269"/>
        <v>-0.66666666666666674</v>
      </c>
      <c r="AG1108" s="46">
        <f>SUMIFS('[1]Raw Inventory'!D:D,'[1]Raw Inventory'!C:C,"GREATWALL",'[1]Raw Inventory'!B:B,A1108)</f>
        <v>12</v>
      </c>
      <c r="AH1108" s="46">
        <f>SUMIFS('[1]Raw Inventory'!D:D,'[1]Raw Inventory'!C:C,"DUARTE",'[1]Raw Inventory'!B:B,A1108)</f>
        <v>0</v>
      </c>
      <c r="AI1108" s="46"/>
      <c r="AJ1108" s="46"/>
      <c r="AK1108" s="43"/>
      <c r="AL1108" s="43"/>
      <c r="AM1108" s="43"/>
      <c r="AN1108" s="43"/>
      <c r="AO1108" s="43"/>
      <c r="AP1108" s="43"/>
      <c r="AQ1108" s="43"/>
      <c r="AR1108" s="43"/>
      <c r="AS1108" s="43"/>
      <c r="AT1108" s="43"/>
    </row>
    <row r="1109" spans="1:46">
      <c r="A1109" s="43" t="s">
        <v>17</v>
      </c>
      <c r="B1109" s="43" t="s">
        <v>114</v>
      </c>
      <c r="C1109" s="43" t="s">
        <v>109</v>
      </c>
      <c r="D1109" s="44" t="s">
        <v>259</v>
      </c>
      <c r="E1109" s="44">
        <v>5</v>
      </c>
      <c r="F1109" s="44" t="s">
        <v>0</v>
      </c>
      <c r="G1109" s="43" t="str">
        <f>IFERROR(VLOOKUP(A1109,'[1]MC Masterlist 2026-09-12'!$B:$M, 3, 0),"")</f>
        <v>HONDA</v>
      </c>
      <c r="H1109" s="45">
        <f>IFERROR(VLOOKUP(A1109,'[1]MC Masterlist 2026-09-12'!$B:$M, 6, 0),"")</f>
        <v>140790</v>
      </c>
      <c r="I1109" s="46">
        <v>3</v>
      </c>
      <c r="J1109" s="46">
        <v>1</v>
      </c>
      <c r="K1109" s="46">
        <v>3</v>
      </c>
      <c r="L1109" s="46">
        <f t="shared" si="255"/>
        <v>7</v>
      </c>
      <c r="M1109" s="46">
        <f t="shared" si="256"/>
        <v>2.3333333333333335</v>
      </c>
      <c r="N1109" s="45">
        <f t="shared" si="257"/>
        <v>985530</v>
      </c>
      <c r="O1109" s="45">
        <f t="shared" si="258"/>
        <v>328510</v>
      </c>
      <c r="P1109" s="46">
        <f t="shared" si="259"/>
        <v>7.7777777777777779E-2</v>
      </c>
      <c r="Q1109" s="46">
        <v>3</v>
      </c>
      <c r="R1109" s="45">
        <f t="shared" si="260"/>
        <v>422370</v>
      </c>
      <c r="S1109" s="46">
        <f t="shared" si="261"/>
        <v>38.571428571428577</v>
      </c>
      <c r="T1109" s="46">
        <f>IFERROR(VLOOKUP(A1109,'[1]Re-order'!$A:$Q,17,0),"")</f>
        <v>43.663366336633665</v>
      </c>
      <c r="U1109" s="46">
        <f>IFERROR(VLOOKUP(A1109,'[1]MC Masterlist 2026-09-12'!$B:$M, 10, 0),0)</f>
        <v>15</v>
      </c>
      <c r="V1109" s="46">
        <f>IFERROR(VLOOKUP(A1109,'[1]MC Masterlist 2026-09-12'!$B:$M, 11, 0),0)</f>
        <v>15</v>
      </c>
      <c r="W1109" s="46">
        <f t="shared" si="262"/>
        <v>30</v>
      </c>
      <c r="X1109" s="46">
        <f t="shared" si="263"/>
        <v>28.833333333333332</v>
      </c>
      <c r="Y1109" s="46">
        <f>IFERROR(IF(OR(C1109="AREA I",C1109="AREA V"),7,VLOOKUP(A1109,'[1]MC Masterlist 2026-09-12'!$B:$M, 12, 0)),0)</f>
        <v>30</v>
      </c>
      <c r="Z1109" s="46">
        <f t="shared" si="264"/>
        <v>1.1666666666666667</v>
      </c>
      <c r="AA1109" s="46">
        <f t="shared" si="265"/>
        <v>2.3333333333333335</v>
      </c>
      <c r="AB1109" s="46">
        <f t="shared" si="266"/>
        <v>2.2425925925925925</v>
      </c>
      <c r="AC1109" s="46">
        <f t="shared" si="267"/>
        <v>2.3333333333333335</v>
      </c>
      <c r="AD1109" s="44" t="str">
        <f t="shared" si="268"/>
        <v>Over</v>
      </c>
      <c r="AE1109" s="44" t="str">
        <f>IFERROR(VLOOKUP(A1109,'[1]Re-order'!$A:$AA,27,0),"")</f>
        <v>Re-order</v>
      </c>
      <c r="AF1109" s="46">
        <f t="shared" si="269"/>
        <v>-0.66666666666666652</v>
      </c>
      <c r="AG1109" s="46">
        <f>SUMIFS('[1]Raw Inventory'!D:D,'[1]Raw Inventory'!C:C,"GREATWALL",'[1]Raw Inventory'!B:B,A1109)</f>
        <v>12</v>
      </c>
      <c r="AH1109" s="46">
        <f>SUMIFS('[1]Raw Inventory'!D:D,'[1]Raw Inventory'!C:C,"DUARTE",'[1]Raw Inventory'!B:B,A1109)</f>
        <v>0</v>
      </c>
      <c r="AI1109" s="46"/>
      <c r="AJ1109" s="46"/>
      <c r="AK1109" s="43"/>
      <c r="AL1109" s="43"/>
      <c r="AM1109" s="43"/>
      <c r="AN1109" s="43"/>
      <c r="AO1109" s="43"/>
      <c r="AP1109" s="43"/>
      <c r="AQ1109" s="43"/>
      <c r="AR1109" s="43"/>
      <c r="AS1109" s="43"/>
      <c r="AT1109" s="43"/>
    </row>
    <row r="1110" spans="1:46">
      <c r="A1110" s="43" t="s">
        <v>49</v>
      </c>
      <c r="B1110" s="43" t="s">
        <v>141</v>
      </c>
      <c r="C1110" s="43" t="s">
        <v>137</v>
      </c>
      <c r="D1110" s="44" t="s">
        <v>233</v>
      </c>
      <c r="E1110" s="44">
        <v>11</v>
      </c>
      <c r="F1110" s="44" t="s">
        <v>2</v>
      </c>
      <c r="G1110" s="43" t="str">
        <f>IFERROR(VLOOKUP(A1110,'[1]MC Masterlist 2026-09-12'!$B:$M, 3, 0),"")</f>
        <v>BAJAJ RE</v>
      </c>
      <c r="H1110" s="45">
        <f>IFERROR(VLOOKUP(A1110,'[1]MC Masterlist 2026-09-12'!$B:$M, 6, 0),"")</f>
        <v>191000</v>
      </c>
      <c r="I1110" s="46">
        <v>1</v>
      </c>
      <c r="J1110" s="46">
        <v>0</v>
      </c>
      <c r="K1110" s="46">
        <v>1</v>
      </c>
      <c r="L1110" s="46">
        <f t="shared" si="255"/>
        <v>2</v>
      </c>
      <c r="M1110" s="46">
        <f t="shared" si="256"/>
        <v>0.66666666666666663</v>
      </c>
      <c r="N1110" s="45">
        <f t="shared" si="257"/>
        <v>382000</v>
      </c>
      <c r="O1110" s="45">
        <f t="shared" si="258"/>
        <v>127333.33333333333</v>
      </c>
      <c r="P1110" s="46">
        <f t="shared" si="259"/>
        <v>2.222222222222222E-2</v>
      </c>
      <c r="Q1110" s="46">
        <v>0</v>
      </c>
      <c r="R1110" s="45">
        <f t="shared" si="260"/>
        <v>0</v>
      </c>
      <c r="S1110" s="46">
        <f t="shared" si="261"/>
        <v>0</v>
      </c>
      <c r="T1110" s="46">
        <f>IFERROR(VLOOKUP(A1110,'[1]Re-order'!$A:$Q,17,0),"")</f>
        <v>21.516709511568124</v>
      </c>
      <c r="U1110" s="46">
        <f>IFERROR(VLOOKUP(A1110,'[1]MC Masterlist 2026-09-12'!$B:$M, 10, 0),0)</f>
        <v>15</v>
      </c>
      <c r="V1110" s="46">
        <f>IFERROR(VLOOKUP(A1110,'[1]MC Masterlist 2026-09-12'!$B:$M, 11, 0),0)</f>
        <v>15</v>
      </c>
      <c r="W1110" s="46">
        <f t="shared" si="262"/>
        <v>30</v>
      </c>
      <c r="X1110" s="46">
        <f t="shared" si="263"/>
        <v>6.666666666666667</v>
      </c>
      <c r="Y1110" s="46">
        <f>IFERROR(IF(OR(C1110="AREA I",C1110="AREA V"),7,VLOOKUP(A1110,'[1]MC Masterlist 2026-09-12'!$B:$M, 12, 0)),0)</f>
        <v>7</v>
      </c>
      <c r="Z1110" s="46">
        <f t="shared" si="264"/>
        <v>0.33333333333333331</v>
      </c>
      <c r="AA1110" s="46">
        <f t="shared" si="265"/>
        <v>0.66666666666666663</v>
      </c>
      <c r="AB1110" s="46">
        <f t="shared" si="266"/>
        <v>0.14814814814814814</v>
      </c>
      <c r="AC1110" s="46">
        <f t="shared" si="267"/>
        <v>0.15555555555555553</v>
      </c>
      <c r="AD1110" s="44" t="str">
        <f t="shared" si="268"/>
        <v>Stockout</v>
      </c>
      <c r="AE1110" s="44" t="str">
        <f>IFERROR(VLOOKUP(A1110,'[1]Re-order'!$A:$AA,27,0),"")</f>
        <v>Stockout</v>
      </c>
      <c r="AF1110" s="46">
        <f t="shared" si="269"/>
        <v>0.15555555555555553</v>
      </c>
      <c r="AG1110" s="46">
        <f>SUMIFS('[1]Raw Inventory'!D:D,'[1]Raw Inventory'!C:C,"GREATWALL",'[1]Raw Inventory'!B:B,A1110)</f>
        <v>0</v>
      </c>
      <c r="AH1110" s="46">
        <f>SUMIFS('[1]Raw Inventory'!D:D,'[1]Raw Inventory'!C:C,"DUARTE",'[1]Raw Inventory'!B:B,A1110)</f>
        <v>0</v>
      </c>
      <c r="AI1110" s="46"/>
      <c r="AJ1110" s="46"/>
      <c r="AK1110" s="43"/>
      <c r="AL1110" s="43"/>
      <c r="AM1110" s="43"/>
      <c r="AN1110" s="43"/>
      <c r="AO1110" s="43"/>
      <c r="AP1110" s="43"/>
      <c r="AQ1110" s="43"/>
      <c r="AR1110" s="43"/>
      <c r="AS1110" s="43"/>
      <c r="AT1110" s="43"/>
    </row>
    <row r="1111" spans="1:46">
      <c r="A1111" s="43" t="s">
        <v>31</v>
      </c>
      <c r="B1111" s="43" t="s">
        <v>27</v>
      </c>
      <c r="C1111" s="43" t="s">
        <v>1</v>
      </c>
      <c r="D1111" s="44" t="s">
        <v>254</v>
      </c>
      <c r="E1111" s="44">
        <v>8</v>
      </c>
      <c r="F1111" s="44" t="s">
        <v>2</v>
      </c>
      <c r="G1111" s="43" t="str">
        <f>IFERROR(VLOOKUP(A1111,'[1]MC Masterlist 2026-09-12'!$B:$M, 3, 0),"")</f>
        <v>KAWASAKI</v>
      </c>
      <c r="H1111" s="45">
        <f>IFERROR(VLOOKUP(A1111,'[1]MC Masterlist 2026-09-12'!$B:$M, 6, 0),"")</f>
        <v>59528</v>
      </c>
      <c r="I1111" s="46">
        <v>9</v>
      </c>
      <c r="J1111" s="46">
        <v>6</v>
      </c>
      <c r="K1111" s="46">
        <v>4</v>
      </c>
      <c r="L1111" s="46">
        <f t="shared" si="255"/>
        <v>19</v>
      </c>
      <c r="M1111" s="46">
        <f t="shared" si="256"/>
        <v>6.333333333333333</v>
      </c>
      <c r="N1111" s="45">
        <f t="shared" si="257"/>
        <v>1131032</v>
      </c>
      <c r="O1111" s="45">
        <f t="shared" si="258"/>
        <v>377010.66666666663</v>
      </c>
      <c r="P1111" s="46">
        <f t="shared" si="259"/>
        <v>0.21111111111111111</v>
      </c>
      <c r="Q1111" s="46">
        <v>6</v>
      </c>
      <c r="R1111" s="45">
        <f t="shared" si="260"/>
        <v>357168</v>
      </c>
      <c r="S1111" s="46">
        <f t="shared" si="261"/>
        <v>28.421052631578949</v>
      </c>
      <c r="T1111" s="46">
        <f>IFERROR(VLOOKUP(A1111,'[1]Re-order'!$A:$Q,17,0),"")</f>
        <v>95.869565217391298</v>
      </c>
      <c r="U1111" s="46">
        <f>IFERROR(VLOOKUP(A1111,'[1]MC Masterlist 2026-09-12'!$B:$M, 10, 0),0)</f>
        <v>15</v>
      </c>
      <c r="V1111" s="46">
        <f>IFERROR(VLOOKUP(A1111,'[1]MC Masterlist 2026-09-12'!$B:$M, 11, 0),0)</f>
        <v>15</v>
      </c>
      <c r="W1111" s="46">
        <f t="shared" si="262"/>
        <v>30</v>
      </c>
      <c r="X1111" s="46">
        <f t="shared" si="263"/>
        <v>3.8333333333333335</v>
      </c>
      <c r="Y1111" s="46">
        <f>IFERROR(IF(OR(C1111="AREA I",C1111="AREA V"),7,VLOOKUP(A1111,'[1]MC Masterlist 2026-09-12'!$B:$M, 12, 0)),0)</f>
        <v>7</v>
      </c>
      <c r="Z1111" s="46">
        <f t="shared" si="264"/>
        <v>3.1666666666666665</v>
      </c>
      <c r="AA1111" s="46">
        <f t="shared" si="265"/>
        <v>6.333333333333333</v>
      </c>
      <c r="AB1111" s="46">
        <f t="shared" si="266"/>
        <v>0.80925925925925923</v>
      </c>
      <c r="AC1111" s="46">
        <f t="shared" si="267"/>
        <v>1.4777777777777779</v>
      </c>
      <c r="AD1111" s="44" t="str">
        <f t="shared" si="268"/>
        <v>Over</v>
      </c>
      <c r="AE1111" s="44" t="str">
        <f>IFERROR(VLOOKUP(A1111,'[1]Re-order'!$A:$AA,27,0),"")</f>
        <v>Over</v>
      </c>
      <c r="AF1111" s="46">
        <f t="shared" si="269"/>
        <v>-4.5222222222222221</v>
      </c>
      <c r="AG1111" s="46">
        <f>SUMIFS('[1]Raw Inventory'!D:D,'[1]Raw Inventory'!C:C,"GREATWALL",'[1]Raw Inventory'!B:B,A1111)</f>
        <v>79</v>
      </c>
      <c r="AH1111" s="46">
        <f>SUMIFS('[1]Raw Inventory'!D:D,'[1]Raw Inventory'!C:C,"DUARTE",'[1]Raw Inventory'!B:B,A1111)</f>
        <v>0</v>
      </c>
      <c r="AI1111" s="46"/>
      <c r="AJ1111" s="46"/>
      <c r="AK1111" s="43"/>
      <c r="AL1111" s="43"/>
      <c r="AM1111" s="43"/>
      <c r="AN1111" s="43"/>
      <c r="AO1111" s="43"/>
      <c r="AP1111" s="43"/>
      <c r="AQ1111" s="43"/>
      <c r="AR1111" s="43"/>
      <c r="AS1111" s="43"/>
      <c r="AT1111" s="43"/>
    </row>
    <row r="1112" spans="1:46">
      <c r="A1112" s="43" t="s">
        <v>35</v>
      </c>
      <c r="B1112" s="43" t="s">
        <v>92</v>
      </c>
      <c r="C1112" s="43" t="s">
        <v>90</v>
      </c>
      <c r="D1112" s="44" t="s">
        <v>235</v>
      </c>
      <c r="E1112" s="44">
        <v>29</v>
      </c>
      <c r="F1112" s="44" t="s">
        <v>3</v>
      </c>
      <c r="G1112" s="43" t="str">
        <f>IFERROR(VLOOKUP(A1112,'[1]MC Masterlist 2026-09-12'!$B:$M, 3, 0),"")</f>
        <v>HONDA</v>
      </c>
      <c r="H1112" s="45">
        <f>IFERROR(VLOOKUP(A1112,'[1]MC Masterlist 2026-09-12'!$B:$M, 6, 0),"")</f>
        <v>57990</v>
      </c>
      <c r="I1112" s="46">
        <v>0</v>
      </c>
      <c r="J1112" s="46">
        <v>0</v>
      </c>
      <c r="K1112" s="46">
        <v>0</v>
      </c>
      <c r="L1112" s="46">
        <f t="shared" si="255"/>
        <v>0</v>
      </c>
      <c r="M1112" s="46">
        <f t="shared" si="256"/>
        <v>0</v>
      </c>
      <c r="N1112" s="45">
        <f t="shared" si="257"/>
        <v>0</v>
      </c>
      <c r="O1112" s="45">
        <f t="shared" si="258"/>
        <v>0</v>
      </c>
      <c r="P1112" s="46">
        <f t="shared" si="259"/>
        <v>0</v>
      </c>
      <c r="Q1112" s="46">
        <v>2</v>
      </c>
      <c r="R1112" s="45">
        <f t="shared" si="260"/>
        <v>115980</v>
      </c>
      <c r="S1112" s="46">
        <f t="shared" si="261"/>
        <v>0</v>
      </c>
      <c r="T1112" s="46">
        <f>IFERROR(VLOOKUP(A1112,'[1]Re-order'!$A:$Q,17,0),"")</f>
        <v>68.275862068965523</v>
      </c>
      <c r="U1112" s="46">
        <f>IFERROR(VLOOKUP(A1112,'[1]MC Masterlist 2026-09-12'!$B:$M, 10, 0),0)</f>
        <v>15</v>
      </c>
      <c r="V1112" s="46">
        <f>IFERROR(VLOOKUP(A1112,'[1]MC Masterlist 2026-09-12'!$B:$M, 11, 0),0)</f>
        <v>15</v>
      </c>
      <c r="W1112" s="46">
        <f t="shared" si="262"/>
        <v>30</v>
      </c>
      <c r="X1112" s="46">
        <f t="shared" si="263"/>
        <v>30</v>
      </c>
      <c r="Y1112" s="46">
        <f>IFERROR(IF(OR(C1112="AREA I",C1112="AREA V"),7,VLOOKUP(A1112,'[1]MC Masterlist 2026-09-12'!$B:$M, 12, 0)),0)</f>
        <v>30</v>
      </c>
      <c r="Z1112" s="46">
        <f t="shared" si="264"/>
        <v>0</v>
      </c>
      <c r="AA1112" s="46">
        <f t="shared" si="265"/>
        <v>0</v>
      </c>
      <c r="AB1112" s="46">
        <f t="shared" si="266"/>
        <v>0</v>
      </c>
      <c r="AC1112" s="46">
        <f t="shared" si="267"/>
        <v>0</v>
      </c>
      <c r="AD1112" s="44" t="str">
        <f t="shared" si="268"/>
        <v>Over</v>
      </c>
      <c r="AE1112" s="44" t="str">
        <f>IFERROR(VLOOKUP(A1112,'[1]Re-order'!$A:$AA,27,0),"")</f>
        <v>Re-order</v>
      </c>
      <c r="AF1112" s="46">
        <f t="shared" si="269"/>
        <v>-2</v>
      </c>
      <c r="AG1112" s="46">
        <f>SUMIFS('[1]Raw Inventory'!D:D,'[1]Raw Inventory'!C:C,"GREATWALL",'[1]Raw Inventory'!B:B,A1112)</f>
        <v>29</v>
      </c>
      <c r="AH1112" s="46">
        <f>SUMIFS('[1]Raw Inventory'!D:D,'[1]Raw Inventory'!C:C,"DUARTE",'[1]Raw Inventory'!B:B,A1112)</f>
        <v>0</v>
      </c>
      <c r="AI1112" s="46"/>
      <c r="AJ1112" s="46"/>
      <c r="AK1112" s="43"/>
      <c r="AL1112" s="43"/>
      <c r="AM1112" s="43"/>
      <c r="AN1112" s="43"/>
      <c r="AO1112" s="43"/>
      <c r="AP1112" s="43"/>
      <c r="AQ1112" s="43"/>
      <c r="AR1112" s="43"/>
      <c r="AS1112" s="43"/>
      <c r="AT1112" s="43"/>
    </row>
    <row r="1113" spans="1:46">
      <c r="A1113" s="43" t="s">
        <v>68</v>
      </c>
      <c r="B1113" s="43" t="s">
        <v>129</v>
      </c>
      <c r="C1113" s="43" t="s">
        <v>128</v>
      </c>
      <c r="D1113" s="44" t="s">
        <v>253</v>
      </c>
      <c r="E1113" s="44">
        <v>24</v>
      </c>
      <c r="F1113" s="44" t="s">
        <v>3</v>
      </c>
      <c r="G1113" s="43" t="str">
        <f>IFERROR(VLOOKUP(A1113,'[1]MC Masterlist 2026-09-12'!$B:$M, 3, 0),"")</f>
        <v>SUZUKI</v>
      </c>
      <c r="H1113" s="45">
        <f>IFERROR(VLOOKUP(A1113,'[1]MC Masterlist 2026-09-12'!$B:$M, 6, 0),"")</f>
        <v>70037</v>
      </c>
      <c r="I1113" s="46">
        <v>0</v>
      </c>
      <c r="J1113" s="46">
        <v>0</v>
      </c>
      <c r="K1113" s="46">
        <v>0</v>
      </c>
      <c r="L1113" s="46">
        <f t="shared" si="255"/>
        <v>0</v>
      </c>
      <c r="M1113" s="46">
        <f t="shared" si="256"/>
        <v>0</v>
      </c>
      <c r="N1113" s="45">
        <f t="shared" si="257"/>
        <v>0</v>
      </c>
      <c r="O1113" s="45">
        <f t="shared" si="258"/>
        <v>0</v>
      </c>
      <c r="P1113" s="46">
        <f t="shared" si="259"/>
        <v>0</v>
      </c>
      <c r="Q1113" s="46">
        <v>1</v>
      </c>
      <c r="R1113" s="45">
        <f t="shared" si="260"/>
        <v>70037</v>
      </c>
      <c r="S1113" s="46">
        <f t="shared" si="261"/>
        <v>0</v>
      </c>
      <c r="T1113" s="46" t="str">
        <f>IFERROR(VLOOKUP(A1113,'[1]Re-order'!$A:$Q,17,0),"")</f>
        <v/>
      </c>
      <c r="U1113" s="46">
        <f>IFERROR(VLOOKUP(A1113,'[1]MC Masterlist 2026-09-12'!$B:$M, 10, 0),0)</f>
        <v>15</v>
      </c>
      <c r="V1113" s="46">
        <f>IFERROR(VLOOKUP(A1113,'[1]MC Masterlist 2026-09-12'!$B:$M, 11, 0),0)</f>
        <v>15</v>
      </c>
      <c r="W1113" s="46">
        <f t="shared" si="262"/>
        <v>30</v>
      </c>
      <c r="X1113" s="46">
        <f t="shared" si="263"/>
        <v>30</v>
      </c>
      <c r="Y1113" s="46">
        <f>IFERROR(IF(OR(C1113="AREA I",C1113="AREA V"),7,VLOOKUP(A1113,'[1]MC Masterlist 2026-09-12'!$B:$M, 12, 0)),0)</f>
        <v>30</v>
      </c>
      <c r="Z1113" s="46">
        <f t="shared" si="264"/>
        <v>0</v>
      </c>
      <c r="AA1113" s="46">
        <f t="shared" si="265"/>
        <v>0</v>
      </c>
      <c r="AB1113" s="46">
        <f t="shared" si="266"/>
        <v>0</v>
      </c>
      <c r="AC1113" s="46">
        <f t="shared" si="267"/>
        <v>0</v>
      </c>
      <c r="AD1113" s="44" t="str">
        <f t="shared" si="268"/>
        <v>Over</v>
      </c>
      <c r="AE1113" s="44" t="str">
        <f>IFERROR(VLOOKUP(A1113,'[1]Re-order'!$A:$AA,27,0),"")</f>
        <v>Over</v>
      </c>
      <c r="AF1113" s="46">
        <f t="shared" si="269"/>
        <v>-1</v>
      </c>
      <c r="AG1113" s="46">
        <f>SUMIFS('[1]Raw Inventory'!D:D,'[1]Raw Inventory'!C:C,"GREATWALL",'[1]Raw Inventory'!B:B,A1113)</f>
        <v>0</v>
      </c>
      <c r="AH1113" s="46">
        <f>SUMIFS('[1]Raw Inventory'!D:D,'[1]Raw Inventory'!C:C,"DUARTE",'[1]Raw Inventory'!B:B,A1113)</f>
        <v>0</v>
      </c>
      <c r="AI1113" s="46"/>
      <c r="AJ1113" s="46"/>
      <c r="AK1113" s="43"/>
      <c r="AL1113" s="43"/>
      <c r="AM1113" s="43"/>
      <c r="AN1113" s="43"/>
      <c r="AO1113" s="43"/>
      <c r="AP1113" s="43"/>
      <c r="AQ1113" s="43"/>
      <c r="AR1113" s="43"/>
      <c r="AS1113" s="43"/>
      <c r="AT1113" s="43"/>
    </row>
    <row r="1114" spans="1:46">
      <c r="A1114" s="43" t="s">
        <v>16</v>
      </c>
      <c r="B1114" s="43" t="s">
        <v>115</v>
      </c>
      <c r="C1114" s="43" t="s">
        <v>109</v>
      </c>
      <c r="D1114" s="44" t="s">
        <v>233</v>
      </c>
      <c r="E1114" s="44">
        <v>6</v>
      </c>
      <c r="F1114" s="44" t="s">
        <v>2</v>
      </c>
      <c r="G1114" s="43" t="str">
        <f>IFERROR(VLOOKUP(A1114,'[1]MC Masterlist 2026-09-12'!$B:$M, 3, 0),"")</f>
        <v>HONDA</v>
      </c>
      <c r="H1114" s="45">
        <f>IFERROR(VLOOKUP(A1114,'[1]MC Masterlist 2026-09-12'!$B:$M, 6, 0),"")</f>
        <v>84394</v>
      </c>
      <c r="I1114" s="46">
        <v>1</v>
      </c>
      <c r="J1114" s="46">
        <v>3</v>
      </c>
      <c r="K1114" s="46">
        <v>1</v>
      </c>
      <c r="L1114" s="46">
        <f t="shared" si="255"/>
        <v>5</v>
      </c>
      <c r="M1114" s="46">
        <f t="shared" si="256"/>
        <v>1.6666666666666667</v>
      </c>
      <c r="N1114" s="45">
        <f t="shared" si="257"/>
        <v>421970</v>
      </c>
      <c r="O1114" s="45">
        <f t="shared" si="258"/>
        <v>140656.66666666669</v>
      </c>
      <c r="P1114" s="46">
        <f t="shared" si="259"/>
        <v>5.5555555555555559E-2</v>
      </c>
      <c r="Q1114" s="46"/>
      <c r="R1114" s="45">
        <f t="shared" si="260"/>
        <v>0</v>
      </c>
      <c r="S1114" s="46">
        <f t="shared" si="261"/>
        <v>0</v>
      </c>
      <c r="T1114" s="46">
        <f>IFERROR(VLOOKUP(A1114,'[1]Re-order'!$A:$Q,17,0),"")</f>
        <v>26.332665330661321</v>
      </c>
      <c r="U1114" s="46">
        <f>IFERROR(VLOOKUP(A1114,'[1]MC Masterlist 2026-09-12'!$B:$M, 10, 0),0)</f>
        <v>15</v>
      </c>
      <c r="V1114" s="46">
        <f>IFERROR(VLOOKUP(A1114,'[1]MC Masterlist 2026-09-12'!$B:$M, 11, 0),0)</f>
        <v>15</v>
      </c>
      <c r="W1114" s="46">
        <f t="shared" si="262"/>
        <v>30</v>
      </c>
      <c r="X1114" s="46">
        <f t="shared" si="263"/>
        <v>29.166666666666668</v>
      </c>
      <c r="Y1114" s="46">
        <f>IFERROR(IF(OR(C1114="AREA I",C1114="AREA V"),7,VLOOKUP(A1114,'[1]MC Masterlist 2026-09-12'!$B:$M, 12, 0)),0)</f>
        <v>30</v>
      </c>
      <c r="Z1114" s="46">
        <f t="shared" si="264"/>
        <v>0.83333333333333337</v>
      </c>
      <c r="AA1114" s="46">
        <f t="shared" si="265"/>
        <v>1.6666666666666667</v>
      </c>
      <c r="AB1114" s="46">
        <f t="shared" si="266"/>
        <v>1.6203703703703705</v>
      </c>
      <c r="AC1114" s="46">
        <f t="shared" si="267"/>
        <v>1.6666666666666667</v>
      </c>
      <c r="AD1114" s="44" t="str">
        <f t="shared" si="268"/>
        <v>Stockout</v>
      </c>
      <c r="AE1114" s="44" t="str">
        <f>IFERROR(VLOOKUP(A1114,'[1]Re-order'!$A:$AA,27,0),"")</f>
        <v>Stockout</v>
      </c>
      <c r="AF1114" s="46">
        <f t="shared" si="269"/>
        <v>1.6666666666666667</v>
      </c>
      <c r="AG1114" s="46">
        <f>SUMIFS('[1]Raw Inventory'!D:D,'[1]Raw Inventory'!C:C,"GREATWALL",'[1]Raw Inventory'!B:B,A1114)</f>
        <v>58</v>
      </c>
      <c r="AH1114" s="46">
        <f>SUMIFS('[1]Raw Inventory'!D:D,'[1]Raw Inventory'!C:C,"DUARTE",'[1]Raw Inventory'!B:B,A1114)</f>
        <v>0</v>
      </c>
      <c r="AI1114" s="46"/>
      <c r="AJ1114" s="46"/>
      <c r="AK1114" s="43"/>
      <c r="AL1114" s="43"/>
      <c r="AM1114" s="43"/>
      <c r="AN1114" s="43"/>
      <c r="AO1114" s="43"/>
      <c r="AP1114" s="43"/>
      <c r="AQ1114" s="43"/>
      <c r="AR1114" s="43"/>
      <c r="AS1114" s="43"/>
      <c r="AT1114" s="43"/>
    </row>
    <row r="1115" spans="1:46">
      <c r="A1115" s="43" t="s">
        <v>23</v>
      </c>
      <c r="B1115" s="43" t="s">
        <v>27</v>
      </c>
      <c r="C1115" s="43" t="s">
        <v>1</v>
      </c>
      <c r="D1115" s="44" t="s">
        <v>227</v>
      </c>
      <c r="E1115" s="44">
        <v>1</v>
      </c>
      <c r="F1115" s="44" t="s">
        <v>0</v>
      </c>
      <c r="G1115" s="43" t="str">
        <f>IFERROR(VLOOKUP(A1115,'[1]MC Masterlist 2026-09-12'!$B:$M, 3, 0),"")</f>
        <v>KAWASAKI</v>
      </c>
      <c r="H1115" s="45">
        <f>IFERROR(VLOOKUP(A1115,'[1]MC Masterlist 2026-09-12'!$B:$M, 6, 0),"")</f>
        <v>60656</v>
      </c>
      <c r="I1115" s="46">
        <v>52</v>
      </c>
      <c r="J1115" s="46">
        <v>61</v>
      </c>
      <c r="K1115" s="46">
        <v>42</v>
      </c>
      <c r="L1115" s="46">
        <f t="shared" si="255"/>
        <v>155</v>
      </c>
      <c r="M1115" s="46">
        <f t="shared" si="256"/>
        <v>51.666666666666664</v>
      </c>
      <c r="N1115" s="45">
        <f t="shared" si="257"/>
        <v>9401680</v>
      </c>
      <c r="O1115" s="45">
        <f t="shared" si="258"/>
        <v>3133893.333333333</v>
      </c>
      <c r="P1115" s="46">
        <f t="shared" si="259"/>
        <v>1.7222222222222221</v>
      </c>
      <c r="Q1115" s="46">
        <v>20</v>
      </c>
      <c r="R1115" s="45">
        <f t="shared" si="260"/>
        <v>1213120</v>
      </c>
      <c r="S1115" s="46">
        <f t="shared" si="261"/>
        <v>11.612903225806454</v>
      </c>
      <c r="T1115" s="46">
        <f>IFERROR(VLOOKUP(A1115,'[1]Re-order'!$A:$Q,17,0),"")</f>
        <v>53.973412112259979</v>
      </c>
      <c r="U1115" s="46">
        <f>IFERROR(VLOOKUP(A1115,'[1]MC Masterlist 2026-09-12'!$B:$M, 10, 0),0)</f>
        <v>15</v>
      </c>
      <c r="V1115" s="46">
        <f>IFERROR(VLOOKUP(A1115,'[1]MC Masterlist 2026-09-12'!$B:$M, 11, 0),0)</f>
        <v>15</v>
      </c>
      <c r="W1115" s="46">
        <f t="shared" si="262"/>
        <v>30</v>
      </c>
      <c r="X1115" s="46">
        <f t="shared" si="263"/>
        <v>-18.833333333333332</v>
      </c>
      <c r="Y1115" s="46">
        <f>IFERROR(IF(OR(C1115="AREA I",C1115="AREA V"),7,VLOOKUP(A1115,'[1]MC Masterlist 2026-09-12'!$B:$M, 12, 0)),0)</f>
        <v>7</v>
      </c>
      <c r="Z1115" s="46">
        <f t="shared" si="264"/>
        <v>25.833333333333332</v>
      </c>
      <c r="AA1115" s="46">
        <f t="shared" si="265"/>
        <v>51.666666666666664</v>
      </c>
      <c r="AB1115" s="46">
        <f t="shared" si="266"/>
        <v>-32.435185185185183</v>
      </c>
      <c r="AC1115" s="46">
        <f t="shared" si="267"/>
        <v>12.055555555555555</v>
      </c>
      <c r="AD1115" s="44" t="str">
        <f t="shared" si="268"/>
        <v>Over</v>
      </c>
      <c r="AE1115" s="44" t="str">
        <f>IFERROR(VLOOKUP(A1115,'[1]Re-order'!$A:$AA,27,0),"")</f>
        <v>Re-order</v>
      </c>
      <c r="AF1115" s="46">
        <f t="shared" si="269"/>
        <v>-7.9444444444444446</v>
      </c>
      <c r="AG1115" s="46">
        <f>SUMIFS('[1]Raw Inventory'!D:D,'[1]Raw Inventory'!C:C,"GREATWALL",'[1]Raw Inventory'!B:B,A1115)</f>
        <v>282</v>
      </c>
      <c r="AH1115" s="46">
        <f>SUMIFS('[1]Raw Inventory'!D:D,'[1]Raw Inventory'!C:C,"DUARTE",'[1]Raw Inventory'!B:B,A1115)</f>
        <v>0</v>
      </c>
      <c r="AI1115" s="46"/>
      <c r="AJ1115" s="46"/>
      <c r="AK1115" s="43"/>
      <c r="AL1115" s="43"/>
      <c r="AM1115" s="43"/>
      <c r="AN1115" s="43"/>
      <c r="AO1115" s="43"/>
      <c r="AP1115" s="43"/>
      <c r="AQ1115" s="43"/>
      <c r="AR1115" s="43"/>
      <c r="AS1115" s="43"/>
      <c r="AT1115" s="43"/>
    </row>
    <row r="1116" spans="1:46">
      <c r="A1116" s="43" t="s">
        <v>64</v>
      </c>
      <c r="B1116" s="43" t="s">
        <v>27</v>
      </c>
      <c r="C1116" s="43" t="s">
        <v>1</v>
      </c>
      <c r="D1116" s="44" t="s">
        <v>268</v>
      </c>
      <c r="E1116" s="44">
        <v>18</v>
      </c>
      <c r="F1116" s="44" t="s">
        <v>3</v>
      </c>
      <c r="G1116" s="43" t="str">
        <f>IFERROR(VLOOKUP(A1116,'[1]MC Masterlist 2026-09-12'!$B:$M, 3, 0),"")</f>
        <v>HONDA</v>
      </c>
      <c r="H1116" s="45">
        <f>IFERROR(VLOOKUP(A1116,'[1]MC Masterlist 2026-09-12'!$B:$M, 6, 0),"")</f>
        <v>73170</v>
      </c>
      <c r="I1116" s="46">
        <v>0</v>
      </c>
      <c r="J1116" s="46">
        <v>1</v>
      </c>
      <c r="K1116" s="46">
        <v>3</v>
      </c>
      <c r="L1116" s="46">
        <f t="shared" si="255"/>
        <v>4</v>
      </c>
      <c r="M1116" s="46">
        <f t="shared" si="256"/>
        <v>1.3333333333333333</v>
      </c>
      <c r="N1116" s="45">
        <f t="shared" si="257"/>
        <v>292680</v>
      </c>
      <c r="O1116" s="45">
        <f t="shared" si="258"/>
        <v>97560</v>
      </c>
      <c r="P1116" s="46">
        <f t="shared" si="259"/>
        <v>4.4444444444444439E-2</v>
      </c>
      <c r="Q1116" s="46">
        <v>1</v>
      </c>
      <c r="R1116" s="45">
        <f t="shared" si="260"/>
        <v>73170</v>
      </c>
      <c r="S1116" s="46">
        <f t="shared" si="261"/>
        <v>22.5</v>
      </c>
      <c r="T1116" s="46">
        <f>IFERROR(VLOOKUP(A1116,'[1]Re-order'!$A:$Q,17,0),"")</f>
        <v>76.153846153846146</v>
      </c>
      <c r="U1116" s="46">
        <f>IFERROR(VLOOKUP(A1116,'[1]MC Masterlist 2026-09-12'!$B:$M, 10, 0),0)</f>
        <v>15</v>
      </c>
      <c r="V1116" s="46">
        <f>IFERROR(VLOOKUP(A1116,'[1]MC Masterlist 2026-09-12'!$B:$M, 11, 0),0)</f>
        <v>15</v>
      </c>
      <c r="W1116" s="46">
        <f t="shared" si="262"/>
        <v>30</v>
      </c>
      <c r="X1116" s="46">
        <f t="shared" si="263"/>
        <v>6.333333333333333</v>
      </c>
      <c r="Y1116" s="46">
        <f>IFERROR(IF(OR(C1116="AREA I",C1116="AREA V"),7,VLOOKUP(A1116,'[1]MC Masterlist 2026-09-12'!$B:$M, 12, 0)),0)</f>
        <v>7</v>
      </c>
      <c r="Z1116" s="46">
        <f t="shared" si="264"/>
        <v>0.66666666666666663</v>
      </c>
      <c r="AA1116" s="46">
        <f t="shared" si="265"/>
        <v>1.3333333333333333</v>
      </c>
      <c r="AB1116" s="46">
        <f t="shared" si="266"/>
        <v>0.28148148148148144</v>
      </c>
      <c r="AC1116" s="46">
        <f t="shared" si="267"/>
        <v>0.31111111111111106</v>
      </c>
      <c r="AD1116" s="44" t="str">
        <f t="shared" si="268"/>
        <v>Over</v>
      </c>
      <c r="AE1116" s="44" t="str">
        <f>IFERROR(VLOOKUP(A1116,'[1]Re-order'!$A:$AA,27,0),"")</f>
        <v/>
      </c>
      <c r="AF1116" s="46">
        <f t="shared" si="269"/>
        <v>-0.68888888888888888</v>
      </c>
      <c r="AG1116" s="46">
        <f>SUMIFS('[1]Raw Inventory'!D:D,'[1]Raw Inventory'!C:C,"GREATWALL",'[1]Raw Inventory'!B:B,A1116)</f>
        <v>13</v>
      </c>
      <c r="AH1116" s="46">
        <f>SUMIFS('[1]Raw Inventory'!D:D,'[1]Raw Inventory'!C:C,"DUARTE",'[1]Raw Inventory'!B:B,A1116)</f>
        <v>0</v>
      </c>
      <c r="AI1116" s="46"/>
      <c r="AJ1116" s="46"/>
      <c r="AK1116" s="43"/>
      <c r="AL1116" s="43"/>
      <c r="AM1116" s="43"/>
      <c r="AN1116" s="43"/>
      <c r="AO1116" s="43"/>
      <c r="AP1116" s="43"/>
      <c r="AQ1116" s="43"/>
      <c r="AR1116" s="43"/>
      <c r="AS1116" s="43"/>
      <c r="AT1116" s="43"/>
    </row>
    <row r="1117" spans="1:46">
      <c r="A1117" s="43" t="s">
        <v>39</v>
      </c>
      <c r="B1117" s="43" t="s">
        <v>145</v>
      </c>
      <c r="C1117" s="43" t="s">
        <v>137</v>
      </c>
      <c r="D1117" s="44" t="s">
        <v>232</v>
      </c>
      <c r="E1117" s="44">
        <v>28</v>
      </c>
      <c r="F1117" s="44" t="s">
        <v>3</v>
      </c>
      <c r="G1117" s="43" t="str">
        <f>IFERROR(VLOOKUP(A1117,'[1]MC Masterlist 2026-09-12'!$B:$M, 3, 0),"")</f>
        <v>HONDA</v>
      </c>
      <c r="H1117" s="45">
        <f>IFERROR(VLOOKUP(A1117,'[1]MC Masterlist 2026-09-12'!$B:$M, 6, 0),"")</f>
        <v>72434</v>
      </c>
      <c r="I1117" s="46">
        <v>0</v>
      </c>
      <c r="J1117" s="46">
        <v>0</v>
      </c>
      <c r="K1117" s="46">
        <v>0</v>
      </c>
      <c r="L1117" s="46">
        <f t="shared" si="255"/>
        <v>0</v>
      </c>
      <c r="M1117" s="46">
        <f t="shared" si="256"/>
        <v>0</v>
      </c>
      <c r="N1117" s="45">
        <f t="shared" si="257"/>
        <v>0</v>
      </c>
      <c r="O1117" s="45">
        <f t="shared" si="258"/>
        <v>0</v>
      </c>
      <c r="P1117" s="46">
        <f t="shared" si="259"/>
        <v>0</v>
      </c>
      <c r="Q1117" s="46">
        <v>1</v>
      </c>
      <c r="R1117" s="45">
        <f t="shared" si="260"/>
        <v>72434</v>
      </c>
      <c r="S1117" s="46">
        <f t="shared" si="261"/>
        <v>0</v>
      </c>
      <c r="T1117" s="46">
        <f>IFERROR(VLOOKUP(A1117,'[1]Re-order'!$A:$Q,17,0),"")</f>
        <v>40.982142857142854</v>
      </c>
      <c r="U1117" s="46">
        <f>IFERROR(VLOOKUP(A1117,'[1]MC Masterlist 2026-09-12'!$B:$M, 10, 0),0)</f>
        <v>15</v>
      </c>
      <c r="V1117" s="46">
        <f>IFERROR(VLOOKUP(A1117,'[1]MC Masterlist 2026-09-12'!$B:$M, 11, 0),0)</f>
        <v>15</v>
      </c>
      <c r="W1117" s="46">
        <f t="shared" si="262"/>
        <v>30</v>
      </c>
      <c r="X1117" s="46">
        <f t="shared" si="263"/>
        <v>7</v>
      </c>
      <c r="Y1117" s="46">
        <f>IFERROR(IF(OR(C1117="AREA I",C1117="AREA V"),7,VLOOKUP(A1117,'[1]MC Masterlist 2026-09-12'!$B:$M, 12, 0)),0)</f>
        <v>7</v>
      </c>
      <c r="Z1117" s="46">
        <f t="shared" si="264"/>
        <v>0</v>
      </c>
      <c r="AA1117" s="46">
        <f t="shared" si="265"/>
        <v>0</v>
      </c>
      <c r="AB1117" s="46">
        <f t="shared" si="266"/>
        <v>0</v>
      </c>
      <c r="AC1117" s="46">
        <f t="shared" si="267"/>
        <v>0</v>
      </c>
      <c r="AD1117" s="44" t="str">
        <f t="shared" si="268"/>
        <v>Over</v>
      </c>
      <c r="AE1117" s="44" t="str">
        <f>IFERROR(VLOOKUP(A1117,'[1]Re-order'!$A:$AA,27,0),"")</f>
        <v>Re-order</v>
      </c>
      <c r="AF1117" s="46">
        <f t="shared" si="269"/>
        <v>-1</v>
      </c>
      <c r="AG1117" s="46">
        <f>SUMIFS('[1]Raw Inventory'!D:D,'[1]Raw Inventory'!C:C,"GREATWALL",'[1]Raw Inventory'!B:B,A1117)</f>
        <v>16</v>
      </c>
      <c r="AH1117" s="46">
        <f>SUMIFS('[1]Raw Inventory'!D:D,'[1]Raw Inventory'!C:C,"DUARTE",'[1]Raw Inventory'!B:B,A1117)</f>
        <v>0</v>
      </c>
      <c r="AI1117" s="46"/>
      <c r="AJ1117" s="46"/>
      <c r="AK1117" s="43"/>
      <c r="AL1117" s="43"/>
      <c r="AM1117" s="43"/>
      <c r="AN1117" s="43"/>
      <c r="AO1117" s="43"/>
      <c r="AP1117" s="43"/>
      <c r="AQ1117" s="43"/>
      <c r="AR1117" s="43"/>
      <c r="AS1117" s="43"/>
      <c r="AT1117" s="43"/>
    </row>
    <row r="1118" spans="1:46">
      <c r="A1118" s="43" t="s">
        <v>75</v>
      </c>
      <c r="B1118" s="43" t="s">
        <v>27</v>
      </c>
      <c r="C1118" s="43" t="s">
        <v>1</v>
      </c>
      <c r="D1118" s="44" t="s">
        <v>247</v>
      </c>
      <c r="E1118" s="44">
        <v>23</v>
      </c>
      <c r="F1118" s="44" t="s">
        <v>3</v>
      </c>
      <c r="G1118" s="43" t="str">
        <f>IFERROR(VLOOKUP(A1118,'[1]MC Masterlist 2026-09-12'!$B:$M, 3, 0),"")</f>
        <v>SUZUKI</v>
      </c>
      <c r="H1118" s="45">
        <f>IFERROR(VLOOKUP(A1118,'[1]MC Masterlist 2026-09-12'!$B:$M, 6, 0),"")</f>
        <v>138952</v>
      </c>
      <c r="I1118" s="46">
        <v>0</v>
      </c>
      <c r="J1118" s="46">
        <v>1</v>
      </c>
      <c r="K1118" s="46">
        <v>0</v>
      </c>
      <c r="L1118" s="46">
        <f t="shared" si="255"/>
        <v>1</v>
      </c>
      <c r="M1118" s="46">
        <f t="shared" si="256"/>
        <v>0.33333333333333331</v>
      </c>
      <c r="N1118" s="45">
        <f t="shared" si="257"/>
        <v>138952</v>
      </c>
      <c r="O1118" s="45">
        <f t="shared" si="258"/>
        <v>46317.333333333328</v>
      </c>
      <c r="P1118" s="46">
        <f t="shared" si="259"/>
        <v>1.111111111111111E-2</v>
      </c>
      <c r="Q1118" s="46"/>
      <c r="R1118" s="45">
        <f t="shared" si="260"/>
        <v>0</v>
      </c>
      <c r="S1118" s="46">
        <f t="shared" si="261"/>
        <v>0</v>
      </c>
      <c r="T1118" s="46">
        <f>IFERROR(VLOOKUP(A1118,'[1]Re-order'!$A:$Q,17,0),"")</f>
        <v>855.00000000000011</v>
      </c>
      <c r="U1118" s="46">
        <f>IFERROR(VLOOKUP(A1118,'[1]MC Masterlist 2026-09-12'!$B:$M, 10, 0),0)</f>
        <v>15</v>
      </c>
      <c r="V1118" s="46">
        <f>IFERROR(VLOOKUP(A1118,'[1]MC Masterlist 2026-09-12'!$B:$M, 11, 0),0)</f>
        <v>15</v>
      </c>
      <c r="W1118" s="46">
        <f t="shared" si="262"/>
        <v>30</v>
      </c>
      <c r="X1118" s="46">
        <f t="shared" si="263"/>
        <v>6.833333333333333</v>
      </c>
      <c r="Y1118" s="46">
        <f>IFERROR(IF(OR(C1118="AREA I",C1118="AREA V"),7,VLOOKUP(A1118,'[1]MC Masterlist 2026-09-12'!$B:$M, 12, 0)),0)</f>
        <v>7</v>
      </c>
      <c r="Z1118" s="46">
        <f t="shared" si="264"/>
        <v>0.16666666666666666</v>
      </c>
      <c r="AA1118" s="46">
        <f t="shared" si="265"/>
        <v>0.33333333333333331</v>
      </c>
      <c r="AB1118" s="46">
        <f t="shared" si="266"/>
        <v>7.5925925925925911E-2</v>
      </c>
      <c r="AC1118" s="46">
        <f t="shared" si="267"/>
        <v>7.7777777777777765E-2</v>
      </c>
      <c r="AD1118" s="44" t="str">
        <f t="shared" si="268"/>
        <v>Stockout</v>
      </c>
      <c r="AE1118" s="44" t="str">
        <f>IFERROR(VLOOKUP(A1118,'[1]Re-order'!$A:$AA,27,0),"")</f>
        <v>Over</v>
      </c>
      <c r="AF1118" s="46">
        <f t="shared" si="269"/>
        <v>7.7777777777777765E-2</v>
      </c>
      <c r="AG1118" s="46">
        <f>SUMIFS('[1]Raw Inventory'!D:D,'[1]Raw Inventory'!C:C,"GREATWALL",'[1]Raw Inventory'!B:B,A1118)</f>
        <v>8</v>
      </c>
      <c r="AH1118" s="46">
        <f>SUMIFS('[1]Raw Inventory'!D:D,'[1]Raw Inventory'!C:C,"DUARTE",'[1]Raw Inventory'!B:B,A1118)</f>
        <v>0</v>
      </c>
      <c r="AI1118" s="46"/>
      <c r="AJ1118" s="46"/>
      <c r="AK1118" s="43"/>
      <c r="AL1118" s="43"/>
      <c r="AM1118" s="43"/>
      <c r="AN1118" s="43"/>
      <c r="AO1118" s="43"/>
      <c r="AP1118" s="43"/>
      <c r="AQ1118" s="43"/>
      <c r="AR1118" s="43"/>
      <c r="AS1118" s="43"/>
      <c r="AT1118" s="43"/>
    </row>
    <row r="1119" spans="1:46">
      <c r="A1119" s="43" t="s">
        <v>40</v>
      </c>
      <c r="B1119" s="43" t="s">
        <v>21</v>
      </c>
      <c r="C1119" s="43" t="s">
        <v>1</v>
      </c>
      <c r="D1119" s="44" t="s">
        <v>241</v>
      </c>
      <c r="E1119" s="44">
        <v>23</v>
      </c>
      <c r="F1119" s="44" t="s">
        <v>3</v>
      </c>
      <c r="G1119" s="43" t="str">
        <f>IFERROR(VLOOKUP(A1119,'[1]MC Masterlist 2026-09-12'!$B:$M, 3, 0),"")</f>
        <v>HONDA</v>
      </c>
      <c r="H1119" s="45">
        <f>IFERROR(VLOOKUP(A1119,'[1]MC Masterlist 2026-09-12'!$B:$M, 6, 0),"")</f>
        <v>56426</v>
      </c>
      <c r="I1119" s="46">
        <v>1</v>
      </c>
      <c r="J1119" s="46">
        <v>1</v>
      </c>
      <c r="K1119" s="46">
        <v>0</v>
      </c>
      <c r="L1119" s="46">
        <f t="shared" si="255"/>
        <v>2</v>
      </c>
      <c r="M1119" s="46">
        <f t="shared" si="256"/>
        <v>0.66666666666666663</v>
      </c>
      <c r="N1119" s="45">
        <f t="shared" si="257"/>
        <v>112852</v>
      </c>
      <c r="O1119" s="45">
        <f t="shared" si="258"/>
        <v>37617.333333333328</v>
      </c>
      <c r="P1119" s="46">
        <f t="shared" si="259"/>
        <v>2.222222222222222E-2</v>
      </c>
      <c r="Q1119" s="46"/>
      <c r="R1119" s="45">
        <f t="shared" si="260"/>
        <v>0</v>
      </c>
      <c r="S1119" s="46">
        <f t="shared" si="261"/>
        <v>0</v>
      </c>
      <c r="T1119" s="46">
        <f>IFERROR(VLOOKUP(A1119,'[1]Re-order'!$A:$Q,17,0),"")</f>
        <v>139.56521739130434</v>
      </c>
      <c r="U1119" s="46">
        <f>IFERROR(VLOOKUP(A1119,'[1]MC Masterlist 2026-09-12'!$B:$M, 10, 0),0)</f>
        <v>15</v>
      </c>
      <c r="V1119" s="46">
        <f>IFERROR(VLOOKUP(A1119,'[1]MC Masterlist 2026-09-12'!$B:$M, 11, 0),0)</f>
        <v>15</v>
      </c>
      <c r="W1119" s="46">
        <f t="shared" si="262"/>
        <v>30</v>
      </c>
      <c r="X1119" s="46">
        <f t="shared" si="263"/>
        <v>6.666666666666667</v>
      </c>
      <c r="Y1119" s="46">
        <f>IFERROR(IF(OR(C1119="AREA I",C1119="AREA V"),7,VLOOKUP(A1119,'[1]MC Masterlist 2026-09-12'!$B:$M, 12, 0)),0)</f>
        <v>7</v>
      </c>
      <c r="Z1119" s="46">
        <f t="shared" si="264"/>
        <v>0.33333333333333331</v>
      </c>
      <c r="AA1119" s="46">
        <f t="shared" si="265"/>
        <v>0.66666666666666663</v>
      </c>
      <c r="AB1119" s="46">
        <f t="shared" si="266"/>
        <v>0.14814814814814814</v>
      </c>
      <c r="AC1119" s="46">
        <f t="shared" si="267"/>
        <v>0.15555555555555553</v>
      </c>
      <c r="AD1119" s="44" t="str">
        <f t="shared" si="268"/>
        <v>Stockout</v>
      </c>
      <c r="AE1119" s="44" t="str">
        <f>IFERROR(VLOOKUP(A1119,'[1]Re-order'!$A:$AA,27,0),"")</f>
        <v>Over</v>
      </c>
      <c r="AF1119" s="46">
        <f t="shared" si="269"/>
        <v>0.15555555555555553</v>
      </c>
      <c r="AG1119" s="46">
        <f>SUMIFS('[1]Raw Inventory'!D:D,'[1]Raw Inventory'!C:C,"GREATWALL",'[1]Raw Inventory'!B:B,A1119)</f>
        <v>45</v>
      </c>
      <c r="AH1119" s="46">
        <f>SUMIFS('[1]Raw Inventory'!D:D,'[1]Raw Inventory'!C:C,"DUARTE",'[1]Raw Inventory'!B:B,A1119)</f>
        <v>0</v>
      </c>
      <c r="AI1119" s="46"/>
      <c r="AJ1119" s="46"/>
      <c r="AK1119" s="43"/>
      <c r="AL1119" s="43"/>
      <c r="AM1119" s="43"/>
      <c r="AN1119" s="43"/>
      <c r="AO1119" s="43"/>
      <c r="AP1119" s="43"/>
      <c r="AQ1119" s="43"/>
      <c r="AR1119" s="43"/>
      <c r="AS1119" s="43"/>
      <c r="AT1119" s="43"/>
    </row>
    <row r="1120" spans="1:46">
      <c r="A1120" s="43" t="s">
        <v>75</v>
      </c>
      <c r="B1120" s="43" t="s">
        <v>145</v>
      </c>
      <c r="C1120" s="43" t="s">
        <v>137</v>
      </c>
      <c r="D1120" s="44" t="s">
        <v>265</v>
      </c>
      <c r="E1120" s="44">
        <v>28</v>
      </c>
      <c r="F1120" s="44" t="s">
        <v>3</v>
      </c>
      <c r="G1120" s="43" t="str">
        <f>IFERROR(VLOOKUP(A1120,'[1]MC Masterlist 2026-09-12'!$B:$M, 3, 0),"")</f>
        <v>SUZUKI</v>
      </c>
      <c r="H1120" s="45">
        <f>IFERROR(VLOOKUP(A1120,'[1]MC Masterlist 2026-09-12'!$B:$M, 6, 0),"")</f>
        <v>138952</v>
      </c>
      <c r="I1120" s="46">
        <v>0</v>
      </c>
      <c r="J1120" s="46">
        <v>0</v>
      </c>
      <c r="K1120" s="46">
        <v>0</v>
      </c>
      <c r="L1120" s="46">
        <f t="shared" si="255"/>
        <v>0</v>
      </c>
      <c r="M1120" s="46">
        <f t="shared" si="256"/>
        <v>0</v>
      </c>
      <c r="N1120" s="45">
        <f t="shared" si="257"/>
        <v>0</v>
      </c>
      <c r="O1120" s="45">
        <f t="shared" si="258"/>
        <v>0</v>
      </c>
      <c r="P1120" s="46">
        <f t="shared" si="259"/>
        <v>0</v>
      </c>
      <c r="Q1120" s="46">
        <v>1</v>
      </c>
      <c r="R1120" s="45">
        <f t="shared" si="260"/>
        <v>138952</v>
      </c>
      <c r="S1120" s="46">
        <f t="shared" si="261"/>
        <v>0</v>
      </c>
      <c r="T1120" s="46">
        <f>IFERROR(VLOOKUP(A1120,'[1]Re-order'!$A:$Q,17,0),"")</f>
        <v>855.00000000000011</v>
      </c>
      <c r="U1120" s="46">
        <f>IFERROR(VLOOKUP(A1120,'[1]MC Masterlist 2026-09-12'!$B:$M, 10, 0),0)</f>
        <v>15</v>
      </c>
      <c r="V1120" s="46">
        <f>IFERROR(VLOOKUP(A1120,'[1]MC Masterlist 2026-09-12'!$B:$M, 11, 0),0)</f>
        <v>15</v>
      </c>
      <c r="W1120" s="46">
        <f t="shared" si="262"/>
        <v>30</v>
      </c>
      <c r="X1120" s="46">
        <f t="shared" si="263"/>
        <v>7</v>
      </c>
      <c r="Y1120" s="46">
        <f>IFERROR(IF(OR(C1120="AREA I",C1120="AREA V"),7,VLOOKUP(A1120,'[1]MC Masterlist 2026-09-12'!$B:$M, 12, 0)),0)</f>
        <v>7</v>
      </c>
      <c r="Z1120" s="46">
        <f t="shared" si="264"/>
        <v>0</v>
      </c>
      <c r="AA1120" s="46">
        <f t="shared" si="265"/>
        <v>0</v>
      </c>
      <c r="AB1120" s="46">
        <f t="shared" si="266"/>
        <v>0</v>
      </c>
      <c r="AC1120" s="46">
        <f t="shared" si="267"/>
        <v>0</v>
      </c>
      <c r="AD1120" s="44" t="str">
        <f t="shared" si="268"/>
        <v>Over</v>
      </c>
      <c r="AE1120" s="44" t="str">
        <f>IFERROR(VLOOKUP(A1120,'[1]Re-order'!$A:$AA,27,0),"")</f>
        <v>Over</v>
      </c>
      <c r="AF1120" s="46">
        <f t="shared" si="269"/>
        <v>-1</v>
      </c>
      <c r="AG1120" s="46">
        <f>SUMIFS('[1]Raw Inventory'!D:D,'[1]Raw Inventory'!C:C,"GREATWALL",'[1]Raw Inventory'!B:B,A1120)</f>
        <v>8</v>
      </c>
      <c r="AH1120" s="46">
        <f>SUMIFS('[1]Raw Inventory'!D:D,'[1]Raw Inventory'!C:C,"DUARTE",'[1]Raw Inventory'!B:B,A1120)</f>
        <v>0</v>
      </c>
      <c r="AI1120" s="46"/>
      <c r="AJ1120" s="46"/>
      <c r="AK1120" s="43"/>
      <c r="AL1120" s="43"/>
      <c r="AM1120" s="43"/>
      <c r="AN1120" s="43"/>
      <c r="AO1120" s="43"/>
      <c r="AP1120" s="43"/>
      <c r="AQ1120" s="43"/>
      <c r="AR1120" s="43"/>
      <c r="AS1120" s="43"/>
      <c r="AT1120" s="43"/>
    </row>
    <row r="1121" spans="1:46">
      <c r="A1121" s="43" t="s">
        <v>12</v>
      </c>
      <c r="B1121" s="43" t="s">
        <v>30</v>
      </c>
      <c r="C1121" s="43" t="s">
        <v>1</v>
      </c>
      <c r="D1121" s="44" t="s">
        <v>259</v>
      </c>
      <c r="E1121" s="44">
        <v>5</v>
      </c>
      <c r="F1121" s="44" t="s">
        <v>0</v>
      </c>
      <c r="G1121" s="43" t="str">
        <f>IFERROR(VLOOKUP(A1121,'[1]MC Masterlist 2026-09-12'!$B:$M, 3, 0),"")</f>
        <v>HONDA</v>
      </c>
      <c r="H1121" s="45">
        <f>IFERROR(VLOOKUP(A1121,'[1]MC Masterlist 2026-09-12'!$B:$M, 6, 0),"")</f>
        <v>158270</v>
      </c>
      <c r="I1121" s="46">
        <v>5</v>
      </c>
      <c r="J1121" s="46">
        <v>2</v>
      </c>
      <c r="K1121" s="46">
        <v>6</v>
      </c>
      <c r="L1121" s="46">
        <f t="shared" si="255"/>
        <v>13</v>
      </c>
      <c r="M1121" s="46">
        <f t="shared" si="256"/>
        <v>4.333333333333333</v>
      </c>
      <c r="N1121" s="45">
        <f t="shared" si="257"/>
        <v>2057510</v>
      </c>
      <c r="O1121" s="45">
        <f t="shared" si="258"/>
        <v>685836.66666666663</v>
      </c>
      <c r="P1121" s="46">
        <f t="shared" si="259"/>
        <v>0.14444444444444443</v>
      </c>
      <c r="Q1121" s="46">
        <v>2</v>
      </c>
      <c r="R1121" s="45">
        <f t="shared" si="260"/>
        <v>316540</v>
      </c>
      <c r="S1121" s="46">
        <f t="shared" si="261"/>
        <v>13.846153846153847</v>
      </c>
      <c r="T1121" s="46">
        <f>IFERROR(VLOOKUP(A1121,'[1]Re-order'!$A:$Q,17,0),"")</f>
        <v>46.461038961038959</v>
      </c>
      <c r="U1121" s="46">
        <f>IFERROR(VLOOKUP(A1121,'[1]MC Masterlist 2026-09-12'!$B:$M, 10, 0),0)</f>
        <v>15</v>
      </c>
      <c r="V1121" s="46">
        <f>IFERROR(VLOOKUP(A1121,'[1]MC Masterlist 2026-09-12'!$B:$M, 11, 0),0)</f>
        <v>15</v>
      </c>
      <c r="W1121" s="46">
        <f t="shared" si="262"/>
        <v>30</v>
      </c>
      <c r="X1121" s="46">
        <f t="shared" si="263"/>
        <v>4.8333333333333339</v>
      </c>
      <c r="Y1121" s="46">
        <f>IFERROR(IF(OR(C1121="AREA I",C1121="AREA V"),7,VLOOKUP(A1121,'[1]MC Masterlist 2026-09-12'!$B:$M, 12, 0)),0)</f>
        <v>7</v>
      </c>
      <c r="Z1121" s="46">
        <f t="shared" si="264"/>
        <v>2.1666666666666665</v>
      </c>
      <c r="AA1121" s="46">
        <f t="shared" si="265"/>
        <v>4.333333333333333</v>
      </c>
      <c r="AB1121" s="46">
        <f t="shared" si="266"/>
        <v>0.69814814814814818</v>
      </c>
      <c r="AC1121" s="46">
        <f t="shared" si="267"/>
        <v>1.0111111111111111</v>
      </c>
      <c r="AD1121" s="44" t="str">
        <f t="shared" si="268"/>
        <v>Over</v>
      </c>
      <c r="AE1121" s="44" t="str">
        <f>IFERROR(VLOOKUP(A1121,'[1]Re-order'!$A:$AA,27,0),"")</f>
        <v>Re-order</v>
      </c>
      <c r="AF1121" s="46">
        <f t="shared" si="269"/>
        <v>-0.98888888888888893</v>
      </c>
      <c r="AG1121" s="46">
        <f>SUMIFS('[1]Raw Inventory'!D:D,'[1]Raw Inventory'!C:C,"GREATWALL",'[1]Raw Inventory'!B:B,A1121)</f>
        <v>35</v>
      </c>
      <c r="AH1121" s="46">
        <f>SUMIFS('[1]Raw Inventory'!D:D,'[1]Raw Inventory'!C:C,"DUARTE",'[1]Raw Inventory'!B:B,A1121)</f>
        <v>0</v>
      </c>
      <c r="AI1121" s="46"/>
      <c r="AJ1121" s="46"/>
      <c r="AK1121" s="43"/>
      <c r="AL1121" s="43"/>
      <c r="AM1121" s="43"/>
      <c r="AN1121" s="43"/>
      <c r="AO1121" s="43"/>
      <c r="AP1121" s="43"/>
      <c r="AQ1121" s="43"/>
      <c r="AR1121" s="43"/>
      <c r="AS1121" s="43"/>
      <c r="AT1121" s="43"/>
    </row>
    <row r="1122" spans="1:46">
      <c r="A1122" s="43" t="s">
        <v>50</v>
      </c>
      <c r="B1122" s="43" t="s">
        <v>119</v>
      </c>
      <c r="C1122" s="43" t="s">
        <v>118</v>
      </c>
      <c r="D1122" s="44" t="s">
        <v>241</v>
      </c>
      <c r="E1122" s="44">
        <v>27</v>
      </c>
      <c r="F1122" s="44" t="s">
        <v>3</v>
      </c>
      <c r="G1122" s="43" t="str">
        <f>IFERROR(VLOOKUP(A1122,'[1]MC Masterlist 2026-09-12'!$B:$M, 3, 0),"")</f>
        <v>YAMAHA</v>
      </c>
      <c r="H1122" s="45">
        <f>IFERROR(VLOOKUP(A1122,'[1]MC Masterlist 2026-09-12'!$B:$M, 6, 0),"")</f>
        <v>78957</v>
      </c>
      <c r="I1122" s="46">
        <v>1</v>
      </c>
      <c r="J1122" s="46">
        <v>0</v>
      </c>
      <c r="K1122" s="46">
        <v>0</v>
      </c>
      <c r="L1122" s="46">
        <f t="shared" si="255"/>
        <v>1</v>
      </c>
      <c r="M1122" s="46">
        <f t="shared" si="256"/>
        <v>0.33333333333333331</v>
      </c>
      <c r="N1122" s="45">
        <f t="shared" si="257"/>
        <v>78957</v>
      </c>
      <c r="O1122" s="45">
        <f t="shared" si="258"/>
        <v>26319</v>
      </c>
      <c r="P1122" s="46">
        <f t="shared" si="259"/>
        <v>1.111111111111111E-2</v>
      </c>
      <c r="Q1122" s="46"/>
      <c r="R1122" s="45">
        <f t="shared" si="260"/>
        <v>0</v>
      </c>
      <c r="S1122" s="46">
        <f t="shared" si="261"/>
        <v>0</v>
      </c>
      <c r="T1122" s="46">
        <f>IFERROR(VLOOKUP(A1122,'[1]Re-order'!$A:$Q,17,0),"")</f>
        <v>118.125</v>
      </c>
      <c r="U1122" s="46">
        <f>IFERROR(VLOOKUP(A1122,'[1]MC Masterlist 2026-09-12'!$B:$M, 10, 0),0)</f>
        <v>15</v>
      </c>
      <c r="V1122" s="46">
        <f>IFERROR(VLOOKUP(A1122,'[1]MC Masterlist 2026-09-12'!$B:$M, 11, 0),0)</f>
        <v>15</v>
      </c>
      <c r="W1122" s="46">
        <f t="shared" si="262"/>
        <v>30</v>
      </c>
      <c r="X1122" s="46">
        <f t="shared" si="263"/>
        <v>29.833333333333332</v>
      </c>
      <c r="Y1122" s="46">
        <f>IFERROR(IF(OR(C1122="AREA I",C1122="AREA V"),7,VLOOKUP(A1122,'[1]MC Masterlist 2026-09-12'!$B:$M, 12, 0)),0)</f>
        <v>30</v>
      </c>
      <c r="Z1122" s="46">
        <f t="shared" si="264"/>
        <v>0.16666666666666666</v>
      </c>
      <c r="AA1122" s="46">
        <f t="shared" si="265"/>
        <v>0.33333333333333331</v>
      </c>
      <c r="AB1122" s="46">
        <f t="shared" si="266"/>
        <v>0.33148148148148143</v>
      </c>
      <c r="AC1122" s="46">
        <f t="shared" si="267"/>
        <v>0.33333333333333331</v>
      </c>
      <c r="AD1122" s="44" t="str">
        <f t="shared" si="268"/>
        <v>Stockout</v>
      </c>
      <c r="AE1122" s="44" t="str">
        <f>IFERROR(VLOOKUP(A1122,'[1]Re-order'!$A:$AA,27,0),"")</f>
        <v>Over</v>
      </c>
      <c r="AF1122" s="46">
        <f t="shared" si="269"/>
        <v>0.33333333333333331</v>
      </c>
      <c r="AG1122" s="46">
        <f>SUMIFS('[1]Raw Inventory'!D:D,'[1]Raw Inventory'!C:C,"GREATWALL",'[1]Raw Inventory'!B:B,A1122)</f>
        <v>23</v>
      </c>
      <c r="AH1122" s="46">
        <f>SUMIFS('[1]Raw Inventory'!D:D,'[1]Raw Inventory'!C:C,"DUARTE",'[1]Raw Inventory'!B:B,A1122)</f>
        <v>0</v>
      </c>
      <c r="AI1122" s="46"/>
      <c r="AJ1122" s="46"/>
      <c r="AK1122" s="43"/>
      <c r="AL1122" s="43"/>
      <c r="AM1122" s="43"/>
      <c r="AN1122" s="43"/>
      <c r="AO1122" s="43"/>
      <c r="AP1122" s="43"/>
      <c r="AQ1122" s="43"/>
      <c r="AR1122" s="43"/>
      <c r="AS1122" s="43"/>
      <c r="AT1122" s="43"/>
    </row>
    <row r="1123" spans="1:46">
      <c r="A1123" s="43" t="s">
        <v>14</v>
      </c>
      <c r="B1123" s="43" t="s">
        <v>91</v>
      </c>
      <c r="C1123" s="43" t="s">
        <v>90</v>
      </c>
      <c r="D1123" s="44" t="s">
        <v>227</v>
      </c>
      <c r="E1123" s="44">
        <v>1</v>
      </c>
      <c r="F1123" s="44" t="s">
        <v>0</v>
      </c>
      <c r="G1123" s="43" t="str">
        <f>IFERROR(VLOOKUP(A1123,'[1]MC Masterlist 2026-09-12'!$B:$M, 3, 0),"")</f>
        <v>HONDA</v>
      </c>
      <c r="H1123" s="45">
        <f>IFERROR(VLOOKUP(A1123,'[1]MC Masterlist 2026-09-12'!$B:$M, 6, 0),"")</f>
        <v>80070</v>
      </c>
      <c r="I1123" s="46">
        <v>3</v>
      </c>
      <c r="J1123" s="46">
        <v>3</v>
      </c>
      <c r="K1123" s="46">
        <v>5</v>
      </c>
      <c r="L1123" s="46">
        <f t="shared" si="255"/>
        <v>11</v>
      </c>
      <c r="M1123" s="46">
        <f t="shared" si="256"/>
        <v>3.6666666666666665</v>
      </c>
      <c r="N1123" s="45">
        <f t="shared" si="257"/>
        <v>880770</v>
      </c>
      <c r="O1123" s="45">
        <f t="shared" si="258"/>
        <v>293590</v>
      </c>
      <c r="P1123" s="46">
        <f t="shared" si="259"/>
        <v>0.12222222222222222</v>
      </c>
      <c r="Q1123" s="46">
        <v>2</v>
      </c>
      <c r="R1123" s="45">
        <f t="shared" si="260"/>
        <v>160140</v>
      </c>
      <c r="S1123" s="46">
        <f t="shared" si="261"/>
        <v>16.363636363636363</v>
      </c>
      <c r="T1123" s="46">
        <f>IFERROR(VLOOKUP(A1123,'[1]Re-order'!$A:$Q,17,0),"")</f>
        <v>20.105787181082761</v>
      </c>
      <c r="U1123" s="46">
        <f>IFERROR(VLOOKUP(A1123,'[1]MC Masterlist 2026-09-12'!$B:$M, 10, 0),0)</f>
        <v>15</v>
      </c>
      <c r="V1123" s="46">
        <f>IFERROR(VLOOKUP(A1123,'[1]MC Masterlist 2026-09-12'!$B:$M, 11, 0),0)</f>
        <v>15</v>
      </c>
      <c r="W1123" s="46">
        <f t="shared" si="262"/>
        <v>30</v>
      </c>
      <c r="X1123" s="46">
        <f t="shared" si="263"/>
        <v>28.166666666666668</v>
      </c>
      <c r="Y1123" s="46">
        <f>IFERROR(IF(OR(C1123="AREA I",C1123="AREA V"),7,VLOOKUP(A1123,'[1]MC Masterlist 2026-09-12'!$B:$M, 12, 0)),0)</f>
        <v>30</v>
      </c>
      <c r="Z1123" s="46">
        <f t="shared" si="264"/>
        <v>1.8333333333333333</v>
      </c>
      <c r="AA1123" s="46">
        <f t="shared" si="265"/>
        <v>3.6666666666666665</v>
      </c>
      <c r="AB1123" s="46">
        <f t="shared" si="266"/>
        <v>3.4425925925925926</v>
      </c>
      <c r="AC1123" s="46">
        <f t="shared" si="267"/>
        <v>3.6666666666666665</v>
      </c>
      <c r="AD1123" s="44" t="str">
        <f t="shared" si="268"/>
        <v>Re-order</v>
      </c>
      <c r="AE1123" s="44" t="str">
        <f>IFERROR(VLOOKUP(A1123,'[1]Re-order'!$A:$AA,27,0),"")</f>
        <v>Stockout</v>
      </c>
      <c r="AF1123" s="46">
        <f t="shared" si="269"/>
        <v>1.6666666666666665</v>
      </c>
      <c r="AG1123" s="46">
        <f>SUMIFS('[1]Raw Inventory'!D:D,'[1]Raw Inventory'!C:C,"GREATWALL",'[1]Raw Inventory'!B:B,A1123)</f>
        <v>176</v>
      </c>
      <c r="AH1123" s="46">
        <f>SUMIFS('[1]Raw Inventory'!D:D,'[1]Raw Inventory'!C:C,"DUARTE",'[1]Raw Inventory'!B:B,A1123)</f>
        <v>0</v>
      </c>
      <c r="AI1123" s="46"/>
      <c r="AJ1123" s="46"/>
      <c r="AK1123" s="43"/>
      <c r="AL1123" s="43"/>
      <c r="AM1123" s="43"/>
      <c r="AN1123" s="43"/>
      <c r="AO1123" s="43"/>
      <c r="AP1123" s="43"/>
      <c r="AQ1123" s="43"/>
      <c r="AR1123" s="43"/>
      <c r="AS1123" s="43"/>
      <c r="AT1123" s="43"/>
    </row>
    <row r="1124" spans="1:46">
      <c r="A1124" s="43" t="s">
        <v>37</v>
      </c>
      <c r="B1124" s="43" t="s">
        <v>113</v>
      </c>
      <c r="C1124" s="43" t="s">
        <v>109</v>
      </c>
      <c r="D1124" s="44" t="s">
        <v>256</v>
      </c>
      <c r="E1124" s="44">
        <v>14</v>
      </c>
      <c r="F1124" s="44" t="s">
        <v>2</v>
      </c>
      <c r="G1124" s="43" t="str">
        <f>IFERROR(VLOOKUP(A1124,'[1]MC Masterlist 2026-09-12'!$B:$M, 3, 0),"")</f>
        <v>HONDA</v>
      </c>
      <c r="H1124" s="45">
        <f>IFERROR(VLOOKUP(A1124,'[1]MC Masterlist 2026-09-12'!$B:$M, 6, 0),"")</f>
        <v>74550</v>
      </c>
      <c r="I1124" s="46">
        <v>4</v>
      </c>
      <c r="J1124" s="46">
        <v>0</v>
      </c>
      <c r="K1124" s="46">
        <v>1</v>
      </c>
      <c r="L1124" s="46">
        <f t="shared" si="255"/>
        <v>5</v>
      </c>
      <c r="M1124" s="46">
        <f t="shared" si="256"/>
        <v>1.6666666666666667</v>
      </c>
      <c r="N1124" s="45">
        <f t="shared" si="257"/>
        <v>372750</v>
      </c>
      <c r="O1124" s="45">
        <f t="shared" si="258"/>
        <v>124250</v>
      </c>
      <c r="P1124" s="46">
        <f t="shared" si="259"/>
        <v>5.5555555555555559E-2</v>
      </c>
      <c r="Q1124" s="46"/>
      <c r="R1124" s="45">
        <f t="shared" si="260"/>
        <v>0</v>
      </c>
      <c r="S1124" s="46">
        <f t="shared" si="261"/>
        <v>0</v>
      </c>
      <c r="T1124" s="46">
        <f>IFERROR(VLOOKUP(A1124,'[1]Re-order'!$A:$Q,17,0),"")</f>
        <v>33.652173913043477</v>
      </c>
      <c r="U1124" s="46">
        <f>IFERROR(VLOOKUP(A1124,'[1]MC Masterlist 2026-09-12'!$B:$M, 10, 0),0)</f>
        <v>15</v>
      </c>
      <c r="V1124" s="46">
        <f>IFERROR(VLOOKUP(A1124,'[1]MC Masterlist 2026-09-12'!$B:$M, 11, 0),0)</f>
        <v>15</v>
      </c>
      <c r="W1124" s="46">
        <f t="shared" si="262"/>
        <v>30</v>
      </c>
      <c r="X1124" s="46">
        <f t="shared" si="263"/>
        <v>29.166666666666668</v>
      </c>
      <c r="Y1124" s="46">
        <f>IFERROR(IF(OR(C1124="AREA I",C1124="AREA V"),7,VLOOKUP(A1124,'[1]MC Masterlist 2026-09-12'!$B:$M, 12, 0)),0)</f>
        <v>30</v>
      </c>
      <c r="Z1124" s="46">
        <f t="shared" si="264"/>
        <v>0.83333333333333337</v>
      </c>
      <c r="AA1124" s="46">
        <f t="shared" si="265"/>
        <v>1.6666666666666667</v>
      </c>
      <c r="AB1124" s="46">
        <f t="shared" si="266"/>
        <v>1.6203703703703705</v>
      </c>
      <c r="AC1124" s="46">
        <f t="shared" si="267"/>
        <v>1.6666666666666667</v>
      </c>
      <c r="AD1124" s="44" t="str">
        <f t="shared" si="268"/>
        <v>Stockout</v>
      </c>
      <c r="AE1124" s="44" t="str">
        <f>IFERROR(VLOOKUP(A1124,'[1]Re-order'!$A:$AA,27,0),"")</f>
        <v>Re-order</v>
      </c>
      <c r="AF1124" s="46">
        <f t="shared" si="269"/>
        <v>1.6666666666666667</v>
      </c>
      <c r="AG1124" s="46">
        <f>SUMIFS('[1]Raw Inventory'!D:D,'[1]Raw Inventory'!C:C,"GREATWALL",'[1]Raw Inventory'!B:B,A1124)</f>
        <v>28</v>
      </c>
      <c r="AH1124" s="46">
        <f>SUMIFS('[1]Raw Inventory'!D:D,'[1]Raw Inventory'!C:C,"DUARTE",'[1]Raw Inventory'!B:B,A1124)</f>
        <v>0</v>
      </c>
      <c r="AI1124" s="46"/>
      <c r="AJ1124" s="46"/>
      <c r="AK1124" s="43"/>
      <c r="AL1124" s="43"/>
      <c r="AM1124" s="43"/>
      <c r="AN1124" s="43"/>
      <c r="AO1124" s="43"/>
      <c r="AP1124" s="43"/>
      <c r="AQ1124" s="43"/>
      <c r="AR1124" s="43"/>
      <c r="AS1124" s="43"/>
      <c r="AT1124" s="43"/>
    </row>
    <row r="1125" spans="1:46">
      <c r="A1125" s="43" t="s">
        <v>64</v>
      </c>
      <c r="B1125" s="43" t="s">
        <v>21</v>
      </c>
      <c r="C1125" s="43" t="s">
        <v>1</v>
      </c>
      <c r="D1125" s="44" t="s">
        <v>268</v>
      </c>
      <c r="E1125" s="44">
        <v>20</v>
      </c>
      <c r="F1125" s="44" t="s">
        <v>3</v>
      </c>
      <c r="G1125" s="43" t="str">
        <f>IFERROR(VLOOKUP(A1125,'[1]MC Masterlist 2026-09-12'!$B:$M, 3, 0),"")</f>
        <v>HONDA</v>
      </c>
      <c r="H1125" s="45">
        <f>IFERROR(VLOOKUP(A1125,'[1]MC Masterlist 2026-09-12'!$B:$M, 6, 0),"")</f>
        <v>73170</v>
      </c>
      <c r="I1125" s="46">
        <v>0</v>
      </c>
      <c r="J1125" s="46">
        <v>1</v>
      </c>
      <c r="K1125" s="46">
        <v>1</v>
      </c>
      <c r="L1125" s="46">
        <f t="shared" si="255"/>
        <v>2</v>
      </c>
      <c r="M1125" s="46">
        <f t="shared" si="256"/>
        <v>0.66666666666666663</v>
      </c>
      <c r="N1125" s="45">
        <f t="shared" si="257"/>
        <v>146340</v>
      </c>
      <c r="O1125" s="45">
        <f t="shared" si="258"/>
        <v>48780</v>
      </c>
      <c r="P1125" s="46">
        <f t="shared" si="259"/>
        <v>2.222222222222222E-2</v>
      </c>
      <c r="Q1125" s="46"/>
      <c r="R1125" s="45">
        <f t="shared" si="260"/>
        <v>0</v>
      </c>
      <c r="S1125" s="46">
        <f t="shared" si="261"/>
        <v>0</v>
      </c>
      <c r="T1125" s="46">
        <f>IFERROR(VLOOKUP(A1125,'[1]Re-order'!$A:$Q,17,0),"")</f>
        <v>76.153846153846146</v>
      </c>
      <c r="U1125" s="46">
        <f>IFERROR(VLOOKUP(A1125,'[1]MC Masterlist 2026-09-12'!$B:$M, 10, 0),0)</f>
        <v>15</v>
      </c>
      <c r="V1125" s="46">
        <f>IFERROR(VLOOKUP(A1125,'[1]MC Masterlist 2026-09-12'!$B:$M, 11, 0),0)</f>
        <v>15</v>
      </c>
      <c r="W1125" s="46">
        <f t="shared" si="262"/>
        <v>30</v>
      </c>
      <c r="X1125" s="46">
        <f t="shared" si="263"/>
        <v>6.666666666666667</v>
      </c>
      <c r="Y1125" s="46">
        <f>IFERROR(IF(OR(C1125="AREA I",C1125="AREA V"),7,VLOOKUP(A1125,'[1]MC Masterlist 2026-09-12'!$B:$M, 12, 0)),0)</f>
        <v>7</v>
      </c>
      <c r="Z1125" s="46">
        <f t="shared" si="264"/>
        <v>0.33333333333333331</v>
      </c>
      <c r="AA1125" s="46">
        <f t="shared" si="265"/>
        <v>0.66666666666666663</v>
      </c>
      <c r="AB1125" s="46">
        <f t="shared" si="266"/>
        <v>0.14814814814814814</v>
      </c>
      <c r="AC1125" s="46">
        <f t="shared" si="267"/>
        <v>0.15555555555555553</v>
      </c>
      <c r="AD1125" s="44" t="str">
        <f t="shared" si="268"/>
        <v>Stockout</v>
      </c>
      <c r="AE1125" s="44" t="str">
        <f>IFERROR(VLOOKUP(A1125,'[1]Re-order'!$A:$AA,27,0),"")</f>
        <v/>
      </c>
      <c r="AF1125" s="46">
        <f t="shared" si="269"/>
        <v>0.15555555555555553</v>
      </c>
      <c r="AG1125" s="46">
        <f>SUMIFS('[1]Raw Inventory'!D:D,'[1]Raw Inventory'!C:C,"GREATWALL",'[1]Raw Inventory'!B:B,A1125)</f>
        <v>13</v>
      </c>
      <c r="AH1125" s="46">
        <f>SUMIFS('[1]Raw Inventory'!D:D,'[1]Raw Inventory'!C:C,"DUARTE",'[1]Raw Inventory'!B:B,A1125)</f>
        <v>0</v>
      </c>
      <c r="AI1125" s="46"/>
      <c r="AJ1125" s="46"/>
      <c r="AK1125" s="43"/>
      <c r="AL1125" s="43"/>
      <c r="AM1125" s="43"/>
      <c r="AN1125" s="43"/>
      <c r="AO1125" s="43"/>
      <c r="AP1125" s="43"/>
      <c r="AQ1125" s="43"/>
      <c r="AR1125" s="43"/>
      <c r="AS1125" s="43"/>
      <c r="AT1125" s="43"/>
    </row>
    <row r="1126" spans="1:46">
      <c r="A1126" s="43" t="s">
        <v>28</v>
      </c>
      <c r="B1126" s="43" t="s">
        <v>111</v>
      </c>
      <c r="C1126" s="43" t="s">
        <v>109</v>
      </c>
      <c r="D1126" s="44" t="s">
        <v>254</v>
      </c>
      <c r="E1126" s="44">
        <v>5</v>
      </c>
      <c r="F1126" s="44" t="s">
        <v>2</v>
      </c>
      <c r="G1126" s="43" t="str">
        <f>IFERROR(VLOOKUP(A1126,'[1]MC Masterlist 2026-09-12'!$B:$M, 3, 0),"")</f>
        <v>YAMAHA</v>
      </c>
      <c r="H1126" s="45">
        <f>IFERROR(VLOOKUP(A1126,'[1]MC Masterlist 2026-09-12'!$B:$M, 6, 0),"")</f>
        <v>147312</v>
      </c>
      <c r="I1126" s="46">
        <v>1</v>
      </c>
      <c r="J1126" s="46">
        <v>2</v>
      </c>
      <c r="K1126" s="46">
        <v>3</v>
      </c>
      <c r="L1126" s="46">
        <f t="shared" si="255"/>
        <v>6</v>
      </c>
      <c r="M1126" s="46">
        <f t="shared" si="256"/>
        <v>2</v>
      </c>
      <c r="N1126" s="45">
        <f t="shared" si="257"/>
        <v>883872</v>
      </c>
      <c r="O1126" s="45">
        <f t="shared" si="258"/>
        <v>294624</v>
      </c>
      <c r="P1126" s="46">
        <f t="shared" si="259"/>
        <v>6.6666666666666666E-2</v>
      </c>
      <c r="Q1126" s="46"/>
      <c r="R1126" s="45">
        <f t="shared" si="260"/>
        <v>0</v>
      </c>
      <c r="S1126" s="46">
        <f t="shared" si="261"/>
        <v>0</v>
      </c>
      <c r="T1126" s="46">
        <f>IFERROR(VLOOKUP(A1126,'[1]Re-order'!$A:$Q,17,0),"")</f>
        <v>8.2417582417582427</v>
      </c>
      <c r="U1126" s="46">
        <f>IFERROR(VLOOKUP(A1126,'[1]MC Masterlist 2026-09-12'!$B:$M, 10, 0),0)</f>
        <v>15</v>
      </c>
      <c r="V1126" s="46">
        <f>IFERROR(VLOOKUP(A1126,'[1]MC Masterlist 2026-09-12'!$B:$M, 11, 0),0)</f>
        <v>15</v>
      </c>
      <c r="W1126" s="46">
        <f t="shared" si="262"/>
        <v>30</v>
      </c>
      <c r="X1126" s="46">
        <f t="shared" si="263"/>
        <v>29</v>
      </c>
      <c r="Y1126" s="46">
        <f>IFERROR(IF(OR(C1126="AREA I",C1126="AREA V"),7,VLOOKUP(A1126,'[1]MC Masterlist 2026-09-12'!$B:$M, 12, 0)),0)</f>
        <v>30</v>
      </c>
      <c r="Z1126" s="46">
        <f t="shared" si="264"/>
        <v>1</v>
      </c>
      <c r="AA1126" s="46">
        <f t="shared" si="265"/>
        <v>2</v>
      </c>
      <c r="AB1126" s="46">
        <f t="shared" si="266"/>
        <v>1.9333333333333333</v>
      </c>
      <c r="AC1126" s="46">
        <f t="shared" si="267"/>
        <v>2</v>
      </c>
      <c r="AD1126" s="44" t="str">
        <f t="shared" si="268"/>
        <v>Stockout</v>
      </c>
      <c r="AE1126" s="44" t="str">
        <f>IFERROR(VLOOKUP(A1126,'[1]Re-order'!$A:$AA,27,0),"")</f>
        <v>Stockout</v>
      </c>
      <c r="AF1126" s="46">
        <f t="shared" si="269"/>
        <v>2</v>
      </c>
      <c r="AG1126" s="46">
        <f>SUMIFS('[1]Raw Inventory'!D:D,'[1]Raw Inventory'!C:C,"GREATWALL",'[1]Raw Inventory'!B:B,A1126)</f>
        <v>0</v>
      </c>
      <c r="AH1126" s="46">
        <f>SUMIFS('[1]Raw Inventory'!D:D,'[1]Raw Inventory'!C:C,"DUARTE",'[1]Raw Inventory'!B:B,A1126)</f>
        <v>0</v>
      </c>
      <c r="AI1126" s="46"/>
      <c r="AJ1126" s="46"/>
      <c r="AK1126" s="43"/>
      <c r="AL1126" s="43"/>
      <c r="AM1126" s="43"/>
      <c r="AN1126" s="43"/>
      <c r="AO1126" s="43"/>
      <c r="AP1126" s="43"/>
      <c r="AQ1126" s="43"/>
      <c r="AR1126" s="43"/>
      <c r="AS1126" s="43"/>
      <c r="AT1126" s="43"/>
    </row>
    <row r="1127" spans="1:46">
      <c r="A1127" s="43" t="s">
        <v>69</v>
      </c>
      <c r="B1127" s="43" t="s">
        <v>92</v>
      </c>
      <c r="C1127" s="43" t="s">
        <v>90</v>
      </c>
      <c r="D1127" s="44" t="s">
        <v>229</v>
      </c>
      <c r="E1127" s="44">
        <v>28</v>
      </c>
      <c r="F1127" s="44" t="s">
        <v>3</v>
      </c>
      <c r="G1127" s="43" t="str">
        <f>IFERROR(VLOOKUP(A1127,'[1]MC Masterlist 2026-09-12'!$B:$M, 3, 0),"")</f>
        <v>YAMAHA</v>
      </c>
      <c r="H1127" s="45">
        <f>IFERROR(VLOOKUP(A1127,'[1]MC Masterlist 2026-09-12'!$B:$M, 6, 0),"")</f>
        <v>54426</v>
      </c>
      <c r="I1127" s="46">
        <v>1</v>
      </c>
      <c r="J1127" s="46">
        <v>0</v>
      </c>
      <c r="K1127" s="46">
        <v>0</v>
      </c>
      <c r="L1127" s="46">
        <f t="shared" si="255"/>
        <v>1</v>
      </c>
      <c r="M1127" s="46">
        <f t="shared" si="256"/>
        <v>0.33333333333333331</v>
      </c>
      <c r="N1127" s="45">
        <f t="shared" si="257"/>
        <v>54426</v>
      </c>
      <c r="O1127" s="45">
        <f t="shared" si="258"/>
        <v>18142</v>
      </c>
      <c r="P1127" s="46">
        <f t="shared" si="259"/>
        <v>1.111111111111111E-2</v>
      </c>
      <c r="Q1127" s="46">
        <v>2</v>
      </c>
      <c r="R1127" s="45">
        <f t="shared" si="260"/>
        <v>108852</v>
      </c>
      <c r="S1127" s="46">
        <f t="shared" si="261"/>
        <v>180</v>
      </c>
      <c r="T1127" s="46">
        <f>IFERROR(VLOOKUP(A1127,'[1]Re-order'!$A:$Q,17,0),"")</f>
        <v>62.307692307692314</v>
      </c>
      <c r="U1127" s="46">
        <f>IFERROR(VLOOKUP(A1127,'[1]MC Masterlist 2026-09-12'!$B:$M, 10, 0),0)</f>
        <v>15</v>
      </c>
      <c r="V1127" s="46">
        <f>IFERROR(VLOOKUP(A1127,'[1]MC Masterlist 2026-09-12'!$B:$M, 11, 0),0)</f>
        <v>15</v>
      </c>
      <c r="W1127" s="46">
        <f t="shared" si="262"/>
        <v>30</v>
      </c>
      <c r="X1127" s="46">
        <f t="shared" si="263"/>
        <v>29.833333333333332</v>
      </c>
      <c r="Y1127" s="46">
        <f>IFERROR(IF(OR(C1127="AREA I",C1127="AREA V"),7,VLOOKUP(A1127,'[1]MC Masterlist 2026-09-12'!$B:$M, 12, 0)),0)</f>
        <v>30</v>
      </c>
      <c r="Z1127" s="46">
        <f t="shared" si="264"/>
        <v>0.16666666666666666</v>
      </c>
      <c r="AA1127" s="46">
        <f t="shared" si="265"/>
        <v>0.33333333333333331</v>
      </c>
      <c r="AB1127" s="46">
        <f t="shared" si="266"/>
        <v>0.33148148148148143</v>
      </c>
      <c r="AC1127" s="46">
        <f t="shared" si="267"/>
        <v>0.33333333333333331</v>
      </c>
      <c r="AD1127" s="44" t="str">
        <f t="shared" si="268"/>
        <v>Over</v>
      </c>
      <c r="AE1127" s="44" t="str">
        <f>IFERROR(VLOOKUP(A1127,'[1]Re-order'!$A:$AA,27,0),"")</f>
        <v>Re-order</v>
      </c>
      <c r="AF1127" s="46">
        <f t="shared" si="269"/>
        <v>-1.6666666666666667</v>
      </c>
      <c r="AG1127" s="46">
        <f>SUMIFS('[1]Raw Inventory'!D:D,'[1]Raw Inventory'!C:C,"GREATWALL",'[1]Raw Inventory'!B:B,A1127)</f>
        <v>1</v>
      </c>
      <c r="AH1127" s="46">
        <f>SUMIFS('[1]Raw Inventory'!D:D,'[1]Raw Inventory'!C:C,"DUARTE",'[1]Raw Inventory'!B:B,A1127)</f>
        <v>0</v>
      </c>
      <c r="AI1127" s="46"/>
      <c r="AJ1127" s="46"/>
      <c r="AK1127" s="43"/>
      <c r="AL1127" s="43"/>
      <c r="AM1127" s="43"/>
      <c r="AN1127" s="43"/>
      <c r="AO1127" s="43"/>
      <c r="AP1127" s="43"/>
      <c r="AQ1127" s="43"/>
      <c r="AR1127" s="43"/>
      <c r="AS1127" s="43"/>
      <c r="AT1127" s="43"/>
    </row>
    <row r="1128" spans="1:46">
      <c r="A1128" s="43" t="s">
        <v>44</v>
      </c>
      <c r="B1128" s="43" t="s">
        <v>115</v>
      </c>
      <c r="C1128" s="43" t="s">
        <v>109</v>
      </c>
      <c r="D1128" s="44" t="s">
        <v>280</v>
      </c>
      <c r="E1128" s="44">
        <v>18</v>
      </c>
      <c r="F1128" s="44" t="s">
        <v>2</v>
      </c>
      <c r="G1128" s="43" t="str">
        <f>IFERROR(VLOOKUP(A1128,'[1]MC Masterlist 2026-09-12'!$B:$M, 3, 0),"")</f>
        <v>YAMAHA</v>
      </c>
      <c r="H1128" s="45">
        <f>IFERROR(VLOOKUP(A1128,'[1]MC Masterlist 2026-09-12'!$B:$M, 6, 0),"")</f>
        <v>165912</v>
      </c>
      <c r="I1128" s="46">
        <v>0</v>
      </c>
      <c r="J1128" s="46">
        <v>0</v>
      </c>
      <c r="K1128" s="46">
        <v>1</v>
      </c>
      <c r="L1128" s="46">
        <f t="shared" si="255"/>
        <v>1</v>
      </c>
      <c r="M1128" s="46">
        <f t="shared" si="256"/>
        <v>0.33333333333333331</v>
      </c>
      <c r="N1128" s="45">
        <f t="shared" si="257"/>
        <v>165912</v>
      </c>
      <c r="O1128" s="45">
        <f t="shared" si="258"/>
        <v>55304</v>
      </c>
      <c r="P1128" s="46">
        <f t="shared" si="259"/>
        <v>1.111111111111111E-2</v>
      </c>
      <c r="Q1128" s="46"/>
      <c r="R1128" s="45">
        <f t="shared" si="260"/>
        <v>0</v>
      </c>
      <c r="S1128" s="46">
        <f t="shared" si="261"/>
        <v>0</v>
      </c>
      <c r="T1128" s="46">
        <f>IFERROR(VLOOKUP(A1128,'[1]Re-order'!$A:$Q,17,0),"")</f>
        <v>10.588235294117649</v>
      </c>
      <c r="U1128" s="46">
        <f>IFERROR(VLOOKUP(A1128,'[1]MC Masterlist 2026-09-12'!$B:$M, 10, 0),0)</f>
        <v>15</v>
      </c>
      <c r="V1128" s="46">
        <f>IFERROR(VLOOKUP(A1128,'[1]MC Masterlist 2026-09-12'!$B:$M, 11, 0),0)</f>
        <v>15</v>
      </c>
      <c r="W1128" s="46">
        <f t="shared" si="262"/>
        <v>30</v>
      </c>
      <c r="X1128" s="46">
        <f t="shared" si="263"/>
        <v>29.833333333333332</v>
      </c>
      <c r="Y1128" s="46">
        <f>IFERROR(IF(OR(C1128="AREA I",C1128="AREA V"),7,VLOOKUP(A1128,'[1]MC Masterlist 2026-09-12'!$B:$M, 12, 0)),0)</f>
        <v>30</v>
      </c>
      <c r="Z1128" s="46">
        <f t="shared" si="264"/>
        <v>0.16666666666666666</v>
      </c>
      <c r="AA1128" s="46">
        <f t="shared" si="265"/>
        <v>0.33333333333333331</v>
      </c>
      <c r="AB1128" s="46">
        <f t="shared" si="266"/>
        <v>0.33148148148148143</v>
      </c>
      <c r="AC1128" s="46">
        <f t="shared" si="267"/>
        <v>0.33333333333333331</v>
      </c>
      <c r="AD1128" s="44" t="str">
        <f t="shared" si="268"/>
        <v>Stockout</v>
      </c>
      <c r="AE1128" s="44" t="str">
        <f>IFERROR(VLOOKUP(A1128,'[1]Re-order'!$A:$AA,27,0),"")</f>
        <v>Stockout</v>
      </c>
      <c r="AF1128" s="46">
        <f t="shared" si="269"/>
        <v>0.33333333333333331</v>
      </c>
      <c r="AG1128" s="46">
        <f>SUMIFS('[1]Raw Inventory'!D:D,'[1]Raw Inventory'!C:C,"GREATWALL",'[1]Raw Inventory'!B:B,A1128)</f>
        <v>0</v>
      </c>
      <c r="AH1128" s="46">
        <f>SUMIFS('[1]Raw Inventory'!D:D,'[1]Raw Inventory'!C:C,"DUARTE",'[1]Raw Inventory'!B:B,A1128)</f>
        <v>0</v>
      </c>
      <c r="AI1128" s="46"/>
      <c r="AJ1128" s="46"/>
      <c r="AK1128" s="43"/>
      <c r="AL1128" s="43"/>
      <c r="AM1128" s="43"/>
      <c r="AN1128" s="43"/>
      <c r="AO1128" s="43"/>
      <c r="AP1128" s="43"/>
      <c r="AQ1128" s="43"/>
      <c r="AR1128" s="43"/>
      <c r="AS1128" s="43"/>
      <c r="AT1128" s="43"/>
    </row>
    <row r="1129" spans="1:46">
      <c r="A1129" s="43" t="s">
        <v>75</v>
      </c>
      <c r="B1129" s="43" t="s">
        <v>138</v>
      </c>
      <c r="C1129" s="43" t="s">
        <v>137</v>
      </c>
      <c r="D1129" s="44" t="s">
        <v>292</v>
      </c>
      <c r="E1129" s="44">
        <v>39</v>
      </c>
      <c r="F1129" s="44" t="s">
        <v>3</v>
      </c>
      <c r="G1129" s="43" t="str">
        <f>IFERROR(VLOOKUP(A1129,'[1]MC Masterlist 2026-09-12'!$B:$M, 3, 0),"")</f>
        <v>SUZUKI</v>
      </c>
      <c r="H1129" s="45">
        <f>IFERROR(VLOOKUP(A1129,'[1]MC Masterlist 2026-09-12'!$B:$M, 6, 0),"")</f>
        <v>138952</v>
      </c>
      <c r="I1129" s="46">
        <v>0</v>
      </c>
      <c r="J1129" s="46">
        <v>0</v>
      </c>
      <c r="K1129" s="46">
        <v>0</v>
      </c>
      <c r="L1129" s="46">
        <f t="shared" si="255"/>
        <v>0</v>
      </c>
      <c r="M1129" s="46">
        <f t="shared" si="256"/>
        <v>0</v>
      </c>
      <c r="N1129" s="45">
        <f t="shared" si="257"/>
        <v>0</v>
      </c>
      <c r="O1129" s="45">
        <f t="shared" si="258"/>
        <v>0</v>
      </c>
      <c r="P1129" s="46">
        <f t="shared" si="259"/>
        <v>0</v>
      </c>
      <c r="Q1129" s="46">
        <v>8</v>
      </c>
      <c r="R1129" s="45">
        <f t="shared" si="260"/>
        <v>1111616</v>
      </c>
      <c r="S1129" s="46">
        <f t="shared" si="261"/>
        <v>0</v>
      </c>
      <c r="T1129" s="46">
        <f>IFERROR(VLOOKUP(A1129,'[1]Re-order'!$A:$Q,17,0),"")</f>
        <v>855.00000000000011</v>
      </c>
      <c r="U1129" s="46">
        <f>IFERROR(VLOOKUP(A1129,'[1]MC Masterlist 2026-09-12'!$B:$M, 10, 0),0)</f>
        <v>15</v>
      </c>
      <c r="V1129" s="46">
        <f>IFERROR(VLOOKUP(A1129,'[1]MC Masterlist 2026-09-12'!$B:$M, 11, 0),0)</f>
        <v>15</v>
      </c>
      <c r="W1129" s="46">
        <f t="shared" si="262"/>
        <v>30</v>
      </c>
      <c r="X1129" s="46">
        <f t="shared" si="263"/>
        <v>7</v>
      </c>
      <c r="Y1129" s="46">
        <f>IFERROR(IF(OR(C1129="AREA I",C1129="AREA V"),7,VLOOKUP(A1129,'[1]MC Masterlist 2026-09-12'!$B:$M, 12, 0)),0)</f>
        <v>7</v>
      </c>
      <c r="Z1129" s="46">
        <f t="shared" si="264"/>
        <v>0</v>
      </c>
      <c r="AA1129" s="46">
        <f t="shared" si="265"/>
        <v>0</v>
      </c>
      <c r="AB1129" s="46">
        <f t="shared" si="266"/>
        <v>0</v>
      </c>
      <c r="AC1129" s="46">
        <f t="shared" si="267"/>
        <v>0</v>
      </c>
      <c r="AD1129" s="44" t="str">
        <f t="shared" si="268"/>
        <v>Over</v>
      </c>
      <c r="AE1129" s="44" t="str">
        <f>IFERROR(VLOOKUP(A1129,'[1]Re-order'!$A:$AA,27,0),"")</f>
        <v>Over</v>
      </c>
      <c r="AF1129" s="46">
        <f t="shared" si="269"/>
        <v>-8</v>
      </c>
      <c r="AG1129" s="46">
        <f>SUMIFS('[1]Raw Inventory'!D:D,'[1]Raw Inventory'!C:C,"GREATWALL",'[1]Raw Inventory'!B:B,A1129)</f>
        <v>8</v>
      </c>
      <c r="AH1129" s="46">
        <f>SUMIFS('[1]Raw Inventory'!D:D,'[1]Raw Inventory'!C:C,"DUARTE",'[1]Raw Inventory'!B:B,A1129)</f>
        <v>0</v>
      </c>
      <c r="AI1129" s="46"/>
      <c r="AJ1129" s="46"/>
      <c r="AK1129" s="43"/>
      <c r="AL1129" s="43"/>
      <c r="AM1129" s="43"/>
      <c r="AN1129" s="43"/>
      <c r="AO1129" s="43"/>
      <c r="AP1129" s="43"/>
      <c r="AQ1129" s="43"/>
      <c r="AR1129" s="43"/>
      <c r="AS1129" s="43"/>
      <c r="AT1129" s="43"/>
    </row>
    <row r="1130" spans="1:46">
      <c r="A1130" s="43" t="s">
        <v>55</v>
      </c>
      <c r="B1130" s="43" t="s">
        <v>122</v>
      </c>
      <c r="C1130" s="43" t="s">
        <v>118</v>
      </c>
      <c r="D1130" s="44" t="s">
        <v>260</v>
      </c>
      <c r="E1130" s="44">
        <v>32</v>
      </c>
      <c r="F1130" s="44" t="s">
        <v>3</v>
      </c>
      <c r="G1130" s="43" t="str">
        <f>IFERROR(VLOOKUP(A1130,'[1]MC Masterlist 2026-09-12'!$B:$M, 3, 0),"")</f>
        <v>HONDA</v>
      </c>
      <c r="H1130" s="45">
        <f>IFERROR(VLOOKUP(A1130,'[1]MC Masterlist 2026-09-12'!$B:$M, 6, 0),"")</f>
        <v>284880</v>
      </c>
      <c r="I1130" s="46">
        <v>0</v>
      </c>
      <c r="J1130" s="46">
        <v>0</v>
      </c>
      <c r="K1130" s="46">
        <v>0</v>
      </c>
      <c r="L1130" s="46">
        <f t="shared" si="255"/>
        <v>0</v>
      </c>
      <c r="M1130" s="46">
        <f t="shared" si="256"/>
        <v>0</v>
      </c>
      <c r="N1130" s="45">
        <f t="shared" si="257"/>
        <v>0</v>
      </c>
      <c r="O1130" s="45">
        <f t="shared" si="258"/>
        <v>0</v>
      </c>
      <c r="P1130" s="46">
        <f t="shared" si="259"/>
        <v>0</v>
      </c>
      <c r="Q1130" s="46">
        <v>1</v>
      </c>
      <c r="R1130" s="45">
        <f t="shared" si="260"/>
        <v>284880</v>
      </c>
      <c r="S1130" s="46">
        <f t="shared" si="261"/>
        <v>0</v>
      </c>
      <c r="T1130" s="46">
        <f>IFERROR(VLOOKUP(A1130,'[1]Re-order'!$A:$Q,17,0),"")</f>
        <v>720</v>
      </c>
      <c r="U1130" s="46">
        <f>IFERROR(VLOOKUP(A1130,'[1]MC Masterlist 2026-09-12'!$B:$M, 10, 0),0)</f>
        <v>15</v>
      </c>
      <c r="V1130" s="46">
        <f>IFERROR(VLOOKUP(A1130,'[1]MC Masterlist 2026-09-12'!$B:$M, 11, 0),0)</f>
        <v>15</v>
      </c>
      <c r="W1130" s="46">
        <f t="shared" si="262"/>
        <v>30</v>
      </c>
      <c r="X1130" s="46">
        <f t="shared" si="263"/>
        <v>30</v>
      </c>
      <c r="Y1130" s="46">
        <f>IFERROR(IF(OR(C1130="AREA I",C1130="AREA V"),7,VLOOKUP(A1130,'[1]MC Masterlist 2026-09-12'!$B:$M, 12, 0)),0)</f>
        <v>30</v>
      </c>
      <c r="Z1130" s="46">
        <f t="shared" si="264"/>
        <v>0</v>
      </c>
      <c r="AA1130" s="46">
        <f t="shared" si="265"/>
        <v>0</v>
      </c>
      <c r="AB1130" s="46">
        <f t="shared" si="266"/>
        <v>0</v>
      </c>
      <c r="AC1130" s="46">
        <f t="shared" si="267"/>
        <v>0</v>
      </c>
      <c r="AD1130" s="44" t="str">
        <f t="shared" si="268"/>
        <v>Over</v>
      </c>
      <c r="AE1130" s="44" t="str">
        <f>IFERROR(VLOOKUP(A1130,'[1]Re-order'!$A:$AA,27,0),"")</f>
        <v>Over</v>
      </c>
      <c r="AF1130" s="46">
        <f t="shared" si="269"/>
        <v>-1</v>
      </c>
      <c r="AG1130" s="46">
        <f>SUMIFS('[1]Raw Inventory'!D:D,'[1]Raw Inventory'!C:C,"GREATWALL",'[1]Raw Inventory'!B:B,A1130)</f>
        <v>0</v>
      </c>
      <c r="AH1130" s="46">
        <f>SUMIFS('[1]Raw Inventory'!D:D,'[1]Raw Inventory'!C:C,"DUARTE",'[1]Raw Inventory'!B:B,A1130)</f>
        <v>0</v>
      </c>
      <c r="AI1130" s="46"/>
      <c r="AJ1130" s="46"/>
      <c r="AK1130" s="43"/>
      <c r="AL1130" s="43"/>
      <c r="AM1130" s="43"/>
      <c r="AN1130" s="43"/>
      <c r="AO1130" s="43"/>
      <c r="AP1130" s="43"/>
      <c r="AQ1130" s="43"/>
      <c r="AR1130" s="43"/>
      <c r="AS1130" s="43"/>
      <c r="AT1130" s="43"/>
    </row>
    <row r="1131" spans="1:46">
      <c r="A1131" s="43" t="s">
        <v>26</v>
      </c>
      <c r="B1131" s="43" t="s">
        <v>92</v>
      </c>
      <c r="C1131" s="43" t="s">
        <v>90</v>
      </c>
      <c r="D1131" s="44" t="s">
        <v>225</v>
      </c>
      <c r="E1131" s="44">
        <v>3</v>
      </c>
      <c r="F1131" s="44" t="s">
        <v>0</v>
      </c>
      <c r="G1131" s="43" t="str">
        <f>IFERROR(VLOOKUP(A1131,'[1]MC Masterlist 2026-09-12'!$B:$M, 3, 0),"")</f>
        <v>SUZUKI</v>
      </c>
      <c r="H1131" s="45">
        <f>IFERROR(VLOOKUP(A1131,'[1]MC Masterlist 2026-09-12'!$B:$M, 6, 0),"")</f>
        <v>123700</v>
      </c>
      <c r="I1131" s="46">
        <v>3</v>
      </c>
      <c r="J1131" s="46">
        <v>1</v>
      </c>
      <c r="K1131" s="46">
        <v>3</v>
      </c>
      <c r="L1131" s="46">
        <f t="shared" si="255"/>
        <v>7</v>
      </c>
      <c r="M1131" s="46">
        <f t="shared" si="256"/>
        <v>2.3333333333333335</v>
      </c>
      <c r="N1131" s="45">
        <f t="shared" si="257"/>
        <v>865900</v>
      </c>
      <c r="O1131" s="45">
        <f t="shared" si="258"/>
        <v>288633.33333333337</v>
      </c>
      <c r="P1131" s="46">
        <f t="shared" si="259"/>
        <v>7.7777777777777779E-2</v>
      </c>
      <c r="Q1131" s="46">
        <v>2</v>
      </c>
      <c r="R1131" s="45">
        <f t="shared" si="260"/>
        <v>247400</v>
      </c>
      <c r="S1131" s="46">
        <f t="shared" si="261"/>
        <v>25.714285714285708</v>
      </c>
      <c r="T1131" s="46">
        <f>IFERROR(VLOOKUP(A1131,'[1]Re-order'!$A:$Q,17,0),"")</f>
        <v>71.470588235294116</v>
      </c>
      <c r="U1131" s="46">
        <f>IFERROR(VLOOKUP(A1131,'[1]MC Masterlist 2026-09-12'!$B:$M, 10, 0),0)</f>
        <v>15</v>
      </c>
      <c r="V1131" s="46">
        <f>IFERROR(VLOOKUP(A1131,'[1]MC Masterlist 2026-09-12'!$B:$M, 11, 0),0)</f>
        <v>15</v>
      </c>
      <c r="W1131" s="46">
        <f t="shared" si="262"/>
        <v>30</v>
      </c>
      <c r="X1131" s="46">
        <f t="shared" si="263"/>
        <v>28.833333333333332</v>
      </c>
      <c r="Y1131" s="46">
        <f>IFERROR(IF(OR(C1131="AREA I",C1131="AREA V"),7,VLOOKUP(A1131,'[1]MC Masterlist 2026-09-12'!$B:$M, 12, 0)),0)</f>
        <v>30</v>
      </c>
      <c r="Z1131" s="46">
        <f t="shared" si="264"/>
        <v>1.1666666666666667</v>
      </c>
      <c r="AA1131" s="46">
        <f t="shared" si="265"/>
        <v>2.3333333333333335</v>
      </c>
      <c r="AB1131" s="46">
        <f t="shared" si="266"/>
        <v>2.2425925925925925</v>
      </c>
      <c r="AC1131" s="46">
        <f t="shared" si="267"/>
        <v>2.3333333333333335</v>
      </c>
      <c r="AD1131" s="44" t="str">
        <f t="shared" si="268"/>
        <v>Re-order</v>
      </c>
      <c r="AE1131" s="44" t="str">
        <f>IFERROR(VLOOKUP(A1131,'[1]Re-order'!$A:$AA,27,0),"")</f>
        <v>Re-order</v>
      </c>
      <c r="AF1131" s="46">
        <f t="shared" si="269"/>
        <v>0.33333333333333348</v>
      </c>
      <c r="AG1131" s="46">
        <f>SUMIFS('[1]Raw Inventory'!D:D,'[1]Raw Inventory'!C:C,"GREATWALL",'[1]Raw Inventory'!B:B,A1131)</f>
        <v>30</v>
      </c>
      <c r="AH1131" s="46">
        <f>SUMIFS('[1]Raw Inventory'!D:D,'[1]Raw Inventory'!C:C,"DUARTE",'[1]Raw Inventory'!B:B,A1131)</f>
        <v>0</v>
      </c>
      <c r="AI1131" s="46"/>
      <c r="AJ1131" s="46"/>
      <c r="AK1131" s="43"/>
      <c r="AL1131" s="43"/>
      <c r="AM1131" s="43"/>
      <c r="AN1131" s="43"/>
      <c r="AO1131" s="43"/>
      <c r="AP1131" s="43"/>
      <c r="AQ1131" s="43"/>
      <c r="AR1131" s="43"/>
      <c r="AS1131" s="43"/>
      <c r="AT1131" s="43"/>
    </row>
    <row r="1132" spans="1:46">
      <c r="A1132" s="43" t="s">
        <v>71</v>
      </c>
      <c r="B1132" s="43" t="s">
        <v>141</v>
      </c>
      <c r="C1132" s="43" t="s">
        <v>137</v>
      </c>
      <c r="D1132" s="44" t="s">
        <v>267</v>
      </c>
      <c r="E1132" s="44">
        <v>28</v>
      </c>
      <c r="F1132" s="44" t="s">
        <v>3</v>
      </c>
      <c r="G1132" s="43" t="str">
        <f>IFERROR(VLOOKUP(A1132,'[1]MC Masterlist 2026-09-12'!$B:$M, 3, 0),"")</f>
        <v>SUZUKI</v>
      </c>
      <c r="H1132" s="45">
        <f>IFERROR(VLOOKUP(A1132,'[1]MC Masterlist 2026-09-12'!$B:$M, 6, 0),"")</f>
        <v>156250</v>
      </c>
      <c r="I1132" s="46">
        <v>0</v>
      </c>
      <c r="J1132" s="46">
        <v>0</v>
      </c>
      <c r="K1132" s="46">
        <v>0</v>
      </c>
      <c r="L1132" s="46">
        <f t="shared" si="255"/>
        <v>0</v>
      </c>
      <c r="M1132" s="46">
        <f t="shared" si="256"/>
        <v>0</v>
      </c>
      <c r="N1132" s="45">
        <f t="shared" si="257"/>
        <v>0</v>
      </c>
      <c r="O1132" s="45">
        <f t="shared" si="258"/>
        <v>0</v>
      </c>
      <c r="P1132" s="46">
        <f t="shared" si="259"/>
        <v>0</v>
      </c>
      <c r="Q1132" s="46">
        <v>3</v>
      </c>
      <c r="R1132" s="45">
        <f t="shared" si="260"/>
        <v>468750</v>
      </c>
      <c r="S1132" s="46">
        <f t="shared" si="261"/>
        <v>0</v>
      </c>
      <c r="T1132" s="46">
        <f>IFERROR(VLOOKUP(A1132,'[1]Re-order'!$A:$Q,17,0),"")</f>
        <v>612</v>
      </c>
      <c r="U1132" s="46">
        <f>IFERROR(VLOOKUP(A1132,'[1]MC Masterlist 2026-09-12'!$B:$M, 10, 0),0)</f>
        <v>15</v>
      </c>
      <c r="V1132" s="46">
        <f>IFERROR(VLOOKUP(A1132,'[1]MC Masterlist 2026-09-12'!$B:$M, 11, 0),0)</f>
        <v>15</v>
      </c>
      <c r="W1132" s="46">
        <f t="shared" si="262"/>
        <v>30</v>
      </c>
      <c r="X1132" s="46">
        <f t="shared" si="263"/>
        <v>7</v>
      </c>
      <c r="Y1132" s="46">
        <f>IFERROR(IF(OR(C1132="AREA I",C1132="AREA V"),7,VLOOKUP(A1132,'[1]MC Masterlist 2026-09-12'!$B:$M, 12, 0)),0)</f>
        <v>7</v>
      </c>
      <c r="Z1132" s="46">
        <f t="shared" si="264"/>
        <v>0</v>
      </c>
      <c r="AA1132" s="46">
        <f t="shared" si="265"/>
        <v>0</v>
      </c>
      <c r="AB1132" s="46">
        <f t="shared" si="266"/>
        <v>0</v>
      </c>
      <c r="AC1132" s="46">
        <f t="shared" si="267"/>
        <v>0</v>
      </c>
      <c r="AD1132" s="44" t="str">
        <f t="shared" si="268"/>
        <v>Over</v>
      </c>
      <c r="AE1132" s="44" t="str">
        <f>IFERROR(VLOOKUP(A1132,'[1]Re-order'!$A:$AA,27,0),"")</f>
        <v>Over</v>
      </c>
      <c r="AF1132" s="46">
        <f t="shared" si="269"/>
        <v>-3</v>
      </c>
      <c r="AG1132" s="46">
        <f>SUMIFS('[1]Raw Inventory'!D:D,'[1]Raw Inventory'!C:C,"GREATWALL",'[1]Raw Inventory'!B:B,A1132)</f>
        <v>13</v>
      </c>
      <c r="AH1132" s="46">
        <f>SUMIFS('[1]Raw Inventory'!D:D,'[1]Raw Inventory'!C:C,"DUARTE",'[1]Raw Inventory'!B:B,A1132)</f>
        <v>0</v>
      </c>
      <c r="AI1132" s="46"/>
      <c r="AJ1132" s="46"/>
      <c r="AK1132" s="43"/>
      <c r="AL1132" s="43"/>
      <c r="AM1132" s="43"/>
      <c r="AN1132" s="43"/>
      <c r="AO1132" s="43"/>
      <c r="AP1132" s="43"/>
      <c r="AQ1132" s="43"/>
      <c r="AR1132" s="43"/>
      <c r="AS1132" s="43"/>
      <c r="AT1132" s="43"/>
    </row>
    <row r="1133" spans="1:46">
      <c r="A1133" s="43" t="s">
        <v>34</v>
      </c>
      <c r="B1133" s="43" t="s">
        <v>30</v>
      </c>
      <c r="C1133" s="43" t="s">
        <v>1</v>
      </c>
      <c r="D1133" s="44" t="s">
        <v>266</v>
      </c>
      <c r="E1133" s="44">
        <v>20</v>
      </c>
      <c r="F1133" s="44" t="s">
        <v>2</v>
      </c>
      <c r="G1133" s="43" t="str">
        <f>IFERROR(VLOOKUP(A1133,'[1]MC Masterlist 2026-09-12'!$B:$M, 3, 0),"")</f>
        <v>HONDA</v>
      </c>
      <c r="H1133" s="45">
        <f>IFERROR(VLOOKUP(A1133,'[1]MC Masterlist 2026-09-12'!$B:$M, 6, 0),"")</f>
        <v>101230</v>
      </c>
      <c r="I1133" s="46">
        <v>2</v>
      </c>
      <c r="J1133" s="46">
        <v>0</v>
      </c>
      <c r="K1133" s="46">
        <v>0</v>
      </c>
      <c r="L1133" s="46">
        <f t="shared" si="255"/>
        <v>2</v>
      </c>
      <c r="M1133" s="46">
        <f t="shared" si="256"/>
        <v>0.66666666666666663</v>
      </c>
      <c r="N1133" s="45">
        <f t="shared" si="257"/>
        <v>202460</v>
      </c>
      <c r="O1133" s="45">
        <f t="shared" si="258"/>
        <v>67486.666666666657</v>
      </c>
      <c r="P1133" s="46">
        <f t="shared" si="259"/>
        <v>2.222222222222222E-2</v>
      </c>
      <c r="Q1133" s="46"/>
      <c r="R1133" s="45">
        <f t="shared" si="260"/>
        <v>0</v>
      </c>
      <c r="S1133" s="46">
        <f t="shared" si="261"/>
        <v>0</v>
      </c>
      <c r="T1133" s="46">
        <f>IFERROR(VLOOKUP(A1133,'[1]Re-order'!$A:$Q,17,0),"")</f>
        <v>8.4375000000000018</v>
      </c>
      <c r="U1133" s="46">
        <f>IFERROR(VLOOKUP(A1133,'[1]MC Masterlist 2026-09-12'!$B:$M, 10, 0),0)</f>
        <v>15</v>
      </c>
      <c r="V1133" s="46">
        <f>IFERROR(VLOOKUP(A1133,'[1]MC Masterlist 2026-09-12'!$B:$M, 11, 0),0)</f>
        <v>15</v>
      </c>
      <c r="W1133" s="46">
        <f t="shared" si="262"/>
        <v>30</v>
      </c>
      <c r="X1133" s="46">
        <f t="shared" si="263"/>
        <v>6.666666666666667</v>
      </c>
      <c r="Y1133" s="46">
        <f>IFERROR(IF(OR(C1133="AREA I",C1133="AREA V"),7,VLOOKUP(A1133,'[1]MC Masterlist 2026-09-12'!$B:$M, 12, 0)),0)</f>
        <v>7</v>
      </c>
      <c r="Z1133" s="46">
        <f t="shared" si="264"/>
        <v>0.33333333333333331</v>
      </c>
      <c r="AA1133" s="46">
        <f t="shared" si="265"/>
        <v>0.66666666666666663</v>
      </c>
      <c r="AB1133" s="46">
        <f t="shared" si="266"/>
        <v>0.14814814814814814</v>
      </c>
      <c r="AC1133" s="46">
        <f t="shared" si="267"/>
        <v>0.15555555555555553</v>
      </c>
      <c r="AD1133" s="44" t="str">
        <f t="shared" si="268"/>
        <v>Stockout</v>
      </c>
      <c r="AE1133" s="44" t="str">
        <f>IFERROR(VLOOKUP(A1133,'[1]Re-order'!$A:$AA,27,0),"")</f>
        <v>Stockout</v>
      </c>
      <c r="AF1133" s="46">
        <f t="shared" si="269"/>
        <v>0.15555555555555553</v>
      </c>
      <c r="AG1133" s="46">
        <f>SUMIFS('[1]Raw Inventory'!D:D,'[1]Raw Inventory'!C:C,"GREATWALL",'[1]Raw Inventory'!B:B,A1133)</f>
        <v>1</v>
      </c>
      <c r="AH1133" s="46">
        <f>SUMIFS('[1]Raw Inventory'!D:D,'[1]Raw Inventory'!C:C,"DUARTE",'[1]Raw Inventory'!B:B,A1133)</f>
        <v>0</v>
      </c>
      <c r="AI1133" s="46"/>
      <c r="AJ1133" s="46"/>
      <c r="AK1133" s="43"/>
      <c r="AL1133" s="43"/>
      <c r="AM1133" s="43"/>
      <c r="AN1133" s="43"/>
      <c r="AO1133" s="43"/>
      <c r="AP1133" s="43"/>
      <c r="AQ1133" s="43"/>
      <c r="AR1133" s="43"/>
      <c r="AS1133" s="43"/>
      <c r="AT1133" s="43"/>
    </row>
    <row r="1134" spans="1:46">
      <c r="A1134" s="43" t="s">
        <v>64</v>
      </c>
      <c r="B1134" s="43" t="s">
        <v>146</v>
      </c>
      <c r="C1134" s="43" t="s">
        <v>137</v>
      </c>
      <c r="D1134" s="44" t="s">
        <v>243</v>
      </c>
      <c r="E1134" s="44">
        <v>17</v>
      </c>
      <c r="F1134" s="44" t="s">
        <v>2</v>
      </c>
      <c r="G1134" s="43" t="str">
        <f>IFERROR(VLOOKUP(A1134,'[1]MC Masterlist 2026-09-12'!$B:$M, 3, 0),"")</f>
        <v>HONDA</v>
      </c>
      <c r="H1134" s="45">
        <f>IFERROR(VLOOKUP(A1134,'[1]MC Masterlist 2026-09-12'!$B:$M, 6, 0),"")</f>
        <v>73170</v>
      </c>
      <c r="I1134" s="46">
        <v>0</v>
      </c>
      <c r="J1134" s="46">
        <v>1</v>
      </c>
      <c r="K1134" s="46">
        <v>1</v>
      </c>
      <c r="L1134" s="46">
        <f t="shared" si="255"/>
        <v>2</v>
      </c>
      <c r="M1134" s="46">
        <f t="shared" si="256"/>
        <v>0.66666666666666663</v>
      </c>
      <c r="N1134" s="45">
        <f t="shared" si="257"/>
        <v>146340</v>
      </c>
      <c r="O1134" s="45">
        <f t="shared" si="258"/>
        <v>48780</v>
      </c>
      <c r="P1134" s="46">
        <f t="shared" si="259"/>
        <v>2.222222222222222E-2</v>
      </c>
      <c r="Q1134" s="46">
        <v>1</v>
      </c>
      <c r="R1134" s="45">
        <f t="shared" si="260"/>
        <v>73170</v>
      </c>
      <c r="S1134" s="46">
        <f t="shared" si="261"/>
        <v>45</v>
      </c>
      <c r="T1134" s="46">
        <f>IFERROR(VLOOKUP(A1134,'[1]Re-order'!$A:$Q,17,0),"")</f>
        <v>76.153846153846146</v>
      </c>
      <c r="U1134" s="46">
        <f>IFERROR(VLOOKUP(A1134,'[1]MC Masterlist 2026-09-12'!$B:$M, 10, 0),0)</f>
        <v>15</v>
      </c>
      <c r="V1134" s="46">
        <f>IFERROR(VLOOKUP(A1134,'[1]MC Masterlist 2026-09-12'!$B:$M, 11, 0),0)</f>
        <v>15</v>
      </c>
      <c r="W1134" s="46">
        <f t="shared" si="262"/>
        <v>30</v>
      </c>
      <c r="X1134" s="46">
        <f t="shared" si="263"/>
        <v>6.666666666666667</v>
      </c>
      <c r="Y1134" s="46">
        <f>IFERROR(IF(OR(C1134="AREA I",C1134="AREA V"),7,VLOOKUP(A1134,'[1]MC Masterlist 2026-09-12'!$B:$M, 12, 0)),0)</f>
        <v>7</v>
      </c>
      <c r="Z1134" s="46">
        <f t="shared" si="264"/>
        <v>0.33333333333333331</v>
      </c>
      <c r="AA1134" s="46">
        <f t="shared" si="265"/>
        <v>0.66666666666666663</v>
      </c>
      <c r="AB1134" s="46">
        <f t="shared" si="266"/>
        <v>0.14814814814814814</v>
      </c>
      <c r="AC1134" s="46">
        <f t="shared" si="267"/>
        <v>0.15555555555555553</v>
      </c>
      <c r="AD1134" s="44" t="str">
        <f t="shared" si="268"/>
        <v>Over</v>
      </c>
      <c r="AE1134" s="44" t="str">
        <f>IFERROR(VLOOKUP(A1134,'[1]Re-order'!$A:$AA,27,0),"")</f>
        <v/>
      </c>
      <c r="AF1134" s="46">
        <f t="shared" si="269"/>
        <v>-0.84444444444444444</v>
      </c>
      <c r="AG1134" s="46">
        <f>SUMIFS('[1]Raw Inventory'!D:D,'[1]Raw Inventory'!C:C,"GREATWALL",'[1]Raw Inventory'!B:B,A1134)</f>
        <v>13</v>
      </c>
      <c r="AH1134" s="46">
        <f>SUMIFS('[1]Raw Inventory'!D:D,'[1]Raw Inventory'!C:C,"DUARTE",'[1]Raw Inventory'!B:B,A1134)</f>
        <v>0</v>
      </c>
      <c r="AI1134" s="46"/>
      <c r="AJ1134" s="46"/>
      <c r="AK1134" s="43"/>
      <c r="AL1134" s="43"/>
      <c r="AM1134" s="43"/>
      <c r="AN1134" s="43"/>
      <c r="AO1134" s="43"/>
      <c r="AP1134" s="43"/>
      <c r="AQ1134" s="43"/>
      <c r="AR1134" s="43"/>
      <c r="AS1134" s="43"/>
      <c r="AT1134" s="43"/>
    </row>
    <row r="1135" spans="1:46">
      <c r="A1135" s="43" t="s">
        <v>47</v>
      </c>
      <c r="B1135" s="43" t="s">
        <v>120</v>
      </c>
      <c r="C1135" s="43" t="s">
        <v>118</v>
      </c>
      <c r="D1135" s="44" t="s">
        <v>223</v>
      </c>
      <c r="E1135" s="44">
        <v>17</v>
      </c>
      <c r="F1135" s="44" t="s">
        <v>3</v>
      </c>
      <c r="G1135" s="43" t="str">
        <f>IFERROR(VLOOKUP(A1135,'[1]MC Masterlist 2026-09-12'!$B:$M, 3, 0),"")</f>
        <v>YAMAHA</v>
      </c>
      <c r="H1135" s="45">
        <f>IFERROR(VLOOKUP(A1135,'[1]MC Masterlist 2026-09-12'!$B:$M, 6, 0),"")</f>
        <v>76167</v>
      </c>
      <c r="I1135" s="46">
        <v>0</v>
      </c>
      <c r="J1135" s="46">
        <v>1</v>
      </c>
      <c r="K1135" s="46">
        <v>0</v>
      </c>
      <c r="L1135" s="46">
        <f t="shared" si="255"/>
        <v>1</v>
      </c>
      <c r="M1135" s="46">
        <f t="shared" si="256"/>
        <v>0.33333333333333331</v>
      </c>
      <c r="N1135" s="45">
        <f t="shared" si="257"/>
        <v>76167</v>
      </c>
      <c r="O1135" s="45">
        <f t="shared" si="258"/>
        <v>25389</v>
      </c>
      <c r="P1135" s="46">
        <f t="shared" si="259"/>
        <v>1.111111111111111E-2</v>
      </c>
      <c r="Q1135" s="46">
        <v>1</v>
      </c>
      <c r="R1135" s="45">
        <f t="shared" si="260"/>
        <v>76167</v>
      </c>
      <c r="S1135" s="46">
        <f t="shared" si="261"/>
        <v>90</v>
      </c>
      <c r="T1135" s="46">
        <f>IFERROR(VLOOKUP(A1135,'[1]Re-order'!$A:$Q,17,0),"")</f>
        <v>86.666666666666671</v>
      </c>
      <c r="U1135" s="46">
        <f>IFERROR(VLOOKUP(A1135,'[1]MC Masterlist 2026-09-12'!$B:$M, 10, 0),0)</f>
        <v>15</v>
      </c>
      <c r="V1135" s="46">
        <f>IFERROR(VLOOKUP(A1135,'[1]MC Masterlist 2026-09-12'!$B:$M, 11, 0),0)</f>
        <v>15</v>
      </c>
      <c r="W1135" s="46">
        <f t="shared" si="262"/>
        <v>30</v>
      </c>
      <c r="X1135" s="46">
        <f t="shared" si="263"/>
        <v>29.833333333333332</v>
      </c>
      <c r="Y1135" s="46">
        <f>IFERROR(IF(OR(C1135="AREA I",C1135="AREA V"),7,VLOOKUP(A1135,'[1]MC Masterlist 2026-09-12'!$B:$M, 12, 0)),0)</f>
        <v>30</v>
      </c>
      <c r="Z1135" s="46">
        <f t="shared" si="264"/>
        <v>0.16666666666666666</v>
      </c>
      <c r="AA1135" s="46">
        <f t="shared" si="265"/>
        <v>0.33333333333333331</v>
      </c>
      <c r="AB1135" s="46">
        <f t="shared" si="266"/>
        <v>0.33148148148148143</v>
      </c>
      <c r="AC1135" s="46">
        <f t="shared" si="267"/>
        <v>0.33333333333333331</v>
      </c>
      <c r="AD1135" s="44" t="str">
        <f t="shared" si="268"/>
        <v>Over</v>
      </c>
      <c r="AE1135" s="44" t="str">
        <f>IFERROR(VLOOKUP(A1135,'[1]Re-order'!$A:$AA,27,0),"")</f>
        <v/>
      </c>
      <c r="AF1135" s="46">
        <f t="shared" si="269"/>
        <v>-0.66666666666666674</v>
      </c>
      <c r="AG1135" s="46">
        <f>SUMIFS('[1]Raw Inventory'!D:D,'[1]Raw Inventory'!C:C,"GREATWALL",'[1]Raw Inventory'!B:B,A1135)</f>
        <v>1</v>
      </c>
      <c r="AH1135" s="46">
        <f>SUMIFS('[1]Raw Inventory'!D:D,'[1]Raw Inventory'!C:C,"DUARTE",'[1]Raw Inventory'!B:B,A1135)</f>
        <v>0</v>
      </c>
      <c r="AI1135" s="46"/>
      <c r="AJ1135" s="46"/>
      <c r="AK1135" s="43"/>
      <c r="AL1135" s="43"/>
      <c r="AM1135" s="43"/>
      <c r="AN1135" s="43"/>
      <c r="AO1135" s="43"/>
      <c r="AP1135" s="43"/>
      <c r="AQ1135" s="43"/>
      <c r="AR1135" s="43"/>
      <c r="AS1135" s="43"/>
      <c r="AT1135" s="43"/>
    </row>
    <row r="1136" spans="1:46">
      <c r="A1136" s="43" t="s">
        <v>54</v>
      </c>
      <c r="B1136" s="43" t="s">
        <v>139</v>
      </c>
      <c r="C1136" s="43" t="s">
        <v>137</v>
      </c>
      <c r="D1136" s="44" t="s">
        <v>257</v>
      </c>
      <c r="E1136" s="44">
        <v>21</v>
      </c>
      <c r="F1136" s="44" t="s">
        <v>3</v>
      </c>
      <c r="G1136" s="43" t="str">
        <f>IFERROR(VLOOKUP(A1136,'[1]MC Masterlist 2026-09-12'!$B:$M, 3, 0),"")</f>
        <v>HONDA</v>
      </c>
      <c r="H1136" s="45">
        <f>IFERROR(VLOOKUP(A1136,'[1]MC Masterlist 2026-09-12'!$B:$M, 6, 0),"")</f>
        <v>70998</v>
      </c>
      <c r="I1136" s="46">
        <v>1</v>
      </c>
      <c r="J1136" s="46">
        <v>0</v>
      </c>
      <c r="K1136" s="46">
        <v>1</v>
      </c>
      <c r="L1136" s="46">
        <f t="shared" si="255"/>
        <v>2</v>
      </c>
      <c r="M1136" s="46">
        <f t="shared" si="256"/>
        <v>0.66666666666666663</v>
      </c>
      <c r="N1136" s="45">
        <f t="shared" si="257"/>
        <v>141996</v>
      </c>
      <c r="O1136" s="45">
        <f t="shared" si="258"/>
        <v>47332</v>
      </c>
      <c r="P1136" s="46">
        <f t="shared" si="259"/>
        <v>2.222222222222222E-2</v>
      </c>
      <c r="Q1136" s="46">
        <v>1</v>
      </c>
      <c r="R1136" s="45">
        <f t="shared" si="260"/>
        <v>70998</v>
      </c>
      <c r="S1136" s="46">
        <f t="shared" si="261"/>
        <v>45</v>
      </c>
      <c r="T1136" s="46">
        <f>IFERROR(VLOOKUP(A1136,'[1]Re-order'!$A:$Q,17,0),"")</f>
        <v>114.54545454545455</v>
      </c>
      <c r="U1136" s="46">
        <f>IFERROR(VLOOKUP(A1136,'[1]MC Masterlist 2026-09-12'!$B:$M, 10, 0),0)</f>
        <v>15</v>
      </c>
      <c r="V1136" s="46">
        <f>IFERROR(VLOOKUP(A1136,'[1]MC Masterlist 2026-09-12'!$B:$M, 11, 0),0)</f>
        <v>15</v>
      </c>
      <c r="W1136" s="46">
        <f t="shared" si="262"/>
        <v>30</v>
      </c>
      <c r="X1136" s="46">
        <f t="shared" si="263"/>
        <v>6.666666666666667</v>
      </c>
      <c r="Y1136" s="46">
        <f>IFERROR(IF(OR(C1136="AREA I",C1136="AREA V"),7,VLOOKUP(A1136,'[1]MC Masterlist 2026-09-12'!$B:$M, 12, 0)),0)</f>
        <v>7</v>
      </c>
      <c r="Z1136" s="46">
        <f t="shared" si="264"/>
        <v>0.33333333333333331</v>
      </c>
      <c r="AA1136" s="46">
        <f t="shared" si="265"/>
        <v>0.66666666666666663</v>
      </c>
      <c r="AB1136" s="46">
        <f t="shared" si="266"/>
        <v>0.14814814814814814</v>
      </c>
      <c r="AC1136" s="46">
        <f t="shared" si="267"/>
        <v>0.15555555555555553</v>
      </c>
      <c r="AD1136" s="44" t="str">
        <f t="shared" si="268"/>
        <v>Over</v>
      </c>
      <c r="AE1136" s="44" t="str">
        <f>IFERROR(VLOOKUP(A1136,'[1]Re-order'!$A:$AA,27,0),"")</f>
        <v>Over</v>
      </c>
      <c r="AF1136" s="46">
        <f t="shared" si="269"/>
        <v>-0.84444444444444444</v>
      </c>
      <c r="AG1136" s="46">
        <f>SUMIFS('[1]Raw Inventory'!D:D,'[1]Raw Inventory'!C:C,"GREATWALL",'[1]Raw Inventory'!B:B,A1136)</f>
        <v>0</v>
      </c>
      <c r="AH1136" s="46">
        <f>SUMIFS('[1]Raw Inventory'!D:D,'[1]Raw Inventory'!C:C,"DUARTE",'[1]Raw Inventory'!B:B,A1136)</f>
        <v>0</v>
      </c>
      <c r="AI1136" s="46"/>
      <c r="AJ1136" s="46"/>
      <c r="AK1136" s="43"/>
      <c r="AL1136" s="43"/>
      <c r="AM1136" s="43"/>
      <c r="AN1136" s="43"/>
      <c r="AO1136" s="43"/>
      <c r="AP1136" s="43"/>
      <c r="AQ1136" s="43"/>
      <c r="AR1136" s="43"/>
      <c r="AS1136" s="43"/>
      <c r="AT1136" s="43"/>
    </row>
    <row r="1137" spans="1:46">
      <c r="A1137" s="43" t="s">
        <v>49</v>
      </c>
      <c r="B1137" s="43" t="s">
        <v>155</v>
      </c>
      <c r="C1137" s="43" t="s">
        <v>152</v>
      </c>
      <c r="D1137" s="44" t="s">
        <v>264</v>
      </c>
      <c r="E1137" s="44">
        <v>7</v>
      </c>
      <c r="F1137" s="44" t="s">
        <v>0</v>
      </c>
      <c r="G1137" s="43" t="str">
        <f>IFERROR(VLOOKUP(A1137,'[1]MC Masterlist 2026-09-12'!$B:$M, 3, 0),"")</f>
        <v>BAJAJ RE</v>
      </c>
      <c r="H1137" s="45">
        <f>IFERROR(VLOOKUP(A1137,'[1]MC Masterlist 2026-09-12'!$B:$M, 6, 0),"")</f>
        <v>191000</v>
      </c>
      <c r="I1137" s="46">
        <v>1</v>
      </c>
      <c r="J1137" s="46">
        <v>1</v>
      </c>
      <c r="K1137" s="46">
        <v>1</v>
      </c>
      <c r="L1137" s="46">
        <f t="shared" si="255"/>
        <v>3</v>
      </c>
      <c r="M1137" s="46">
        <f t="shared" si="256"/>
        <v>1</v>
      </c>
      <c r="N1137" s="45">
        <f t="shared" si="257"/>
        <v>573000</v>
      </c>
      <c r="O1137" s="45">
        <f t="shared" si="258"/>
        <v>191000</v>
      </c>
      <c r="P1137" s="46">
        <f t="shared" si="259"/>
        <v>3.3333333333333333E-2</v>
      </c>
      <c r="Q1137" s="46">
        <v>3</v>
      </c>
      <c r="R1137" s="45">
        <f t="shared" si="260"/>
        <v>573000</v>
      </c>
      <c r="S1137" s="46">
        <f t="shared" si="261"/>
        <v>90</v>
      </c>
      <c r="T1137" s="46">
        <f>IFERROR(VLOOKUP(A1137,'[1]Re-order'!$A:$Q,17,0),"")</f>
        <v>21.516709511568124</v>
      </c>
      <c r="U1137" s="46">
        <f>IFERROR(VLOOKUP(A1137,'[1]MC Masterlist 2026-09-12'!$B:$M, 10, 0),0)</f>
        <v>15</v>
      </c>
      <c r="V1137" s="46">
        <f>IFERROR(VLOOKUP(A1137,'[1]MC Masterlist 2026-09-12'!$B:$M, 11, 0),0)</f>
        <v>15</v>
      </c>
      <c r="W1137" s="46">
        <f t="shared" si="262"/>
        <v>30</v>
      </c>
      <c r="X1137" s="46">
        <f t="shared" si="263"/>
        <v>29.5</v>
      </c>
      <c r="Y1137" s="46">
        <f>IFERROR(IF(OR(C1137="AREA I",C1137="AREA V"),7,VLOOKUP(A1137,'[1]MC Masterlist 2026-09-12'!$B:$M, 12, 0)),0)</f>
        <v>30</v>
      </c>
      <c r="Z1137" s="46">
        <f t="shared" si="264"/>
        <v>0.5</v>
      </c>
      <c r="AA1137" s="46">
        <f t="shared" si="265"/>
        <v>1</v>
      </c>
      <c r="AB1137" s="46">
        <f t="shared" si="266"/>
        <v>0.98333333333333328</v>
      </c>
      <c r="AC1137" s="46">
        <f t="shared" si="267"/>
        <v>1</v>
      </c>
      <c r="AD1137" s="44" t="str">
        <f t="shared" si="268"/>
        <v>Over</v>
      </c>
      <c r="AE1137" s="44" t="str">
        <f>IFERROR(VLOOKUP(A1137,'[1]Re-order'!$A:$AA,27,0),"")</f>
        <v>Stockout</v>
      </c>
      <c r="AF1137" s="46">
        <f t="shared" si="269"/>
        <v>-2</v>
      </c>
      <c r="AG1137" s="46">
        <f>SUMIFS('[1]Raw Inventory'!D:D,'[1]Raw Inventory'!C:C,"GREATWALL",'[1]Raw Inventory'!B:B,A1137)</f>
        <v>0</v>
      </c>
      <c r="AH1137" s="46">
        <f>SUMIFS('[1]Raw Inventory'!D:D,'[1]Raw Inventory'!C:C,"DUARTE",'[1]Raw Inventory'!B:B,A1137)</f>
        <v>0</v>
      </c>
      <c r="AI1137" s="46"/>
      <c r="AJ1137" s="46"/>
      <c r="AK1137" s="43"/>
      <c r="AL1137" s="43"/>
      <c r="AM1137" s="43"/>
      <c r="AN1137" s="43"/>
      <c r="AO1137" s="43"/>
      <c r="AP1137" s="43"/>
      <c r="AQ1137" s="43"/>
      <c r="AR1137" s="43"/>
      <c r="AS1137" s="43"/>
      <c r="AT1137" s="43"/>
    </row>
    <row r="1138" spans="1:46">
      <c r="A1138" s="43" t="s">
        <v>40</v>
      </c>
      <c r="B1138" s="43" t="s">
        <v>19</v>
      </c>
      <c r="C1138" s="43" t="s">
        <v>1</v>
      </c>
      <c r="D1138" s="44" t="s">
        <v>246</v>
      </c>
      <c r="E1138" s="44">
        <v>11</v>
      </c>
      <c r="F1138" s="44" t="s">
        <v>2</v>
      </c>
      <c r="G1138" s="43" t="str">
        <f>IFERROR(VLOOKUP(A1138,'[1]MC Masterlist 2026-09-12'!$B:$M, 3, 0),"")</f>
        <v>HONDA</v>
      </c>
      <c r="H1138" s="45">
        <f>IFERROR(VLOOKUP(A1138,'[1]MC Masterlist 2026-09-12'!$B:$M, 6, 0),"")</f>
        <v>56426</v>
      </c>
      <c r="I1138" s="46">
        <v>4</v>
      </c>
      <c r="J1138" s="46">
        <v>1</v>
      </c>
      <c r="K1138" s="46">
        <v>4</v>
      </c>
      <c r="L1138" s="46">
        <f t="shared" si="255"/>
        <v>9</v>
      </c>
      <c r="M1138" s="46">
        <f t="shared" si="256"/>
        <v>3</v>
      </c>
      <c r="N1138" s="45">
        <f t="shared" si="257"/>
        <v>507834</v>
      </c>
      <c r="O1138" s="45">
        <f t="shared" si="258"/>
        <v>169278</v>
      </c>
      <c r="P1138" s="46">
        <f t="shared" si="259"/>
        <v>0.1</v>
      </c>
      <c r="Q1138" s="46">
        <v>5</v>
      </c>
      <c r="R1138" s="45">
        <f t="shared" si="260"/>
        <v>282130</v>
      </c>
      <c r="S1138" s="46">
        <f t="shared" si="261"/>
        <v>50</v>
      </c>
      <c r="T1138" s="46">
        <f>IFERROR(VLOOKUP(A1138,'[1]Re-order'!$A:$Q,17,0),"")</f>
        <v>139.56521739130434</v>
      </c>
      <c r="U1138" s="46">
        <f>IFERROR(VLOOKUP(A1138,'[1]MC Masterlist 2026-09-12'!$B:$M, 10, 0),0)</f>
        <v>15</v>
      </c>
      <c r="V1138" s="46">
        <f>IFERROR(VLOOKUP(A1138,'[1]MC Masterlist 2026-09-12'!$B:$M, 11, 0),0)</f>
        <v>15</v>
      </c>
      <c r="W1138" s="46">
        <f t="shared" si="262"/>
        <v>30</v>
      </c>
      <c r="X1138" s="46">
        <f t="shared" si="263"/>
        <v>5.5</v>
      </c>
      <c r="Y1138" s="46">
        <f>IFERROR(IF(OR(C1138="AREA I",C1138="AREA V"),7,VLOOKUP(A1138,'[1]MC Masterlist 2026-09-12'!$B:$M, 12, 0)),0)</f>
        <v>7</v>
      </c>
      <c r="Z1138" s="46">
        <f t="shared" si="264"/>
        <v>1.5</v>
      </c>
      <c r="AA1138" s="46">
        <f t="shared" si="265"/>
        <v>3</v>
      </c>
      <c r="AB1138" s="46">
        <f t="shared" si="266"/>
        <v>0.55000000000000004</v>
      </c>
      <c r="AC1138" s="46">
        <f t="shared" si="267"/>
        <v>0.70000000000000007</v>
      </c>
      <c r="AD1138" s="44" t="str">
        <f t="shared" si="268"/>
        <v>Over</v>
      </c>
      <c r="AE1138" s="44" t="str">
        <f>IFERROR(VLOOKUP(A1138,'[1]Re-order'!$A:$AA,27,0),"")</f>
        <v>Over</v>
      </c>
      <c r="AF1138" s="46">
        <f t="shared" si="269"/>
        <v>-4.3</v>
      </c>
      <c r="AG1138" s="46">
        <f>SUMIFS('[1]Raw Inventory'!D:D,'[1]Raw Inventory'!C:C,"GREATWALL",'[1]Raw Inventory'!B:B,A1138)</f>
        <v>45</v>
      </c>
      <c r="AH1138" s="46">
        <f>SUMIFS('[1]Raw Inventory'!D:D,'[1]Raw Inventory'!C:C,"DUARTE",'[1]Raw Inventory'!B:B,A1138)</f>
        <v>0</v>
      </c>
      <c r="AI1138" s="46"/>
      <c r="AJ1138" s="46"/>
      <c r="AK1138" s="43"/>
      <c r="AL1138" s="43"/>
      <c r="AM1138" s="43"/>
      <c r="AN1138" s="43"/>
      <c r="AO1138" s="43"/>
      <c r="AP1138" s="43"/>
      <c r="AQ1138" s="43"/>
      <c r="AR1138" s="43"/>
      <c r="AS1138" s="43"/>
      <c r="AT1138" s="43"/>
    </row>
    <row r="1139" spans="1:46">
      <c r="A1139" s="43" t="s">
        <v>176</v>
      </c>
      <c r="B1139" s="43" t="s">
        <v>139</v>
      </c>
      <c r="C1139" s="43" t="s">
        <v>137</v>
      </c>
      <c r="D1139" s="44" t="s">
        <v>237</v>
      </c>
      <c r="E1139" s="44">
        <v>25</v>
      </c>
      <c r="F1139" s="44" t="s">
        <v>3</v>
      </c>
      <c r="G1139" s="43" t="str">
        <f>IFERROR(VLOOKUP(A1139,'[1]MC Masterlist 2026-09-12'!$B:$M, 3, 0),"")</f>
        <v>HONDA</v>
      </c>
      <c r="H1139" s="45">
        <f>IFERROR(VLOOKUP(A1139,'[1]MC Masterlist 2026-09-12'!$B:$M, 6, 0),"")</f>
        <v>86510</v>
      </c>
      <c r="I1139" s="46">
        <v>0</v>
      </c>
      <c r="J1139" s="46">
        <v>0</v>
      </c>
      <c r="K1139" s="46">
        <v>0</v>
      </c>
      <c r="L1139" s="46">
        <f t="shared" si="255"/>
        <v>0</v>
      </c>
      <c r="M1139" s="46">
        <f t="shared" si="256"/>
        <v>0</v>
      </c>
      <c r="N1139" s="45">
        <f t="shared" si="257"/>
        <v>0</v>
      </c>
      <c r="O1139" s="45">
        <f t="shared" si="258"/>
        <v>0</v>
      </c>
      <c r="P1139" s="46">
        <f t="shared" si="259"/>
        <v>0</v>
      </c>
      <c r="Q1139" s="46">
        <v>4</v>
      </c>
      <c r="R1139" s="45">
        <f t="shared" si="260"/>
        <v>346040</v>
      </c>
      <c r="S1139" s="46">
        <f t="shared" si="261"/>
        <v>0</v>
      </c>
      <c r="T1139" s="46" t="str">
        <f>IFERROR(VLOOKUP(A1139,'[1]Re-order'!$A:$Q,17,0),"")</f>
        <v/>
      </c>
      <c r="U1139" s="46">
        <f>IFERROR(VLOOKUP(A1139,'[1]MC Masterlist 2026-09-12'!$B:$M, 10, 0),0)</f>
        <v>15</v>
      </c>
      <c r="V1139" s="46">
        <f>IFERROR(VLOOKUP(A1139,'[1]MC Masterlist 2026-09-12'!$B:$M, 11, 0),0)</f>
        <v>15</v>
      </c>
      <c r="W1139" s="46">
        <f t="shared" si="262"/>
        <v>30</v>
      </c>
      <c r="X1139" s="46">
        <f t="shared" si="263"/>
        <v>7</v>
      </c>
      <c r="Y1139" s="46">
        <f>IFERROR(IF(OR(C1139="AREA I",C1139="AREA V"),7,VLOOKUP(A1139,'[1]MC Masterlist 2026-09-12'!$B:$M, 12, 0)),0)</f>
        <v>7</v>
      </c>
      <c r="Z1139" s="46">
        <f t="shared" si="264"/>
        <v>0</v>
      </c>
      <c r="AA1139" s="46">
        <f t="shared" si="265"/>
        <v>0</v>
      </c>
      <c r="AB1139" s="46">
        <f t="shared" si="266"/>
        <v>0</v>
      </c>
      <c r="AC1139" s="46">
        <f t="shared" si="267"/>
        <v>0</v>
      </c>
      <c r="AD1139" s="44" t="str">
        <f t="shared" si="268"/>
        <v>Over</v>
      </c>
      <c r="AE1139" s="44" t="str">
        <f>IFERROR(VLOOKUP(A1139,'[1]Re-order'!$A:$AA,27,0),"")</f>
        <v>Over</v>
      </c>
      <c r="AF1139" s="46">
        <f t="shared" si="269"/>
        <v>-4</v>
      </c>
      <c r="AG1139" s="46">
        <f>SUMIFS('[1]Raw Inventory'!D:D,'[1]Raw Inventory'!C:C,"GREATWALL",'[1]Raw Inventory'!B:B,A1139)</f>
        <v>25</v>
      </c>
      <c r="AH1139" s="46">
        <f>SUMIFS('[1]Raw Inventory'!D:D,'[1]Raw Inventory'!C:C,"DUARTE",'[1]Raw Inventory'!B:B,A1139)</f>
        <v>0</v>
      </c>
      <c r="AI1139" s="46"/>
      <c r="AJ1139" s="46"/>
      <c r="AK1139" s="43"/>
      <c r="AL1139" s="43"/>
      <c r="AM1139" s="43"/>
      <c r="AN1139" s="43"/>
      <c r="AO1139" s="43"/>
      <c r="AP1139" s="43"/>
      <c r="AQ1139" s="43"/>
      <c r="AR1139" s="43"/>
      <c r="AS1139" s="43"/>
      <c r="AT1139" s="43"/>
    </row>
    <row r="1140" spans="1:46">
      <c r="A1140" s="43" t="s">
        <v>82</v>
      </c>
      <c r="B1140" s="43" t="s">
        <v>145</v>
      </c>
      <c r="C1140" s="43" t="s">
        <v>137</v>
      </c>
      <c r="D1140" s="44" t="s">
        <v>272</v>
      </c>
      <c r="E1140" s="44">
        <v>28</v>
      </c>
      <c r="F1140" s="44" t="s">
        <v>3</v>
      </c>
      <c r="G1140" s="43" t="str">
        <f>IFERROR(VLOOKUP(A1140,'[1]MC Masterlist 2026-09-12'!$B:$M, 3, 0),"")</f>
        <v>SUZUKI</v>
      </c>
      <c r="H1140" s="45">
        <f>IFERROR(VLOOKUP(A1140,'[1]MC Masterlist 2026-09-12'!$B:$M, 6, 0),"")</f>
        <v>67342</v>
      </c>
      <c r="I1140" s="46">
        <v>0</v>
      </c>
      <c r="J1140" s="46">
        <v>0</v>
      </c>
      <c r="K1140" s="46">
        <v>0</v>
      </c>
      <c r="L1140" s="46">
        <f t="shared" si="255"/>
        <v>0</v>
      </c>
      <c r="M1140" s="46">
        <f t="shared" si="256"/>
        <v>0</v>
      </c>
      <c r="N1140" s="45">
        <f t="shared" si="257"/>
        <v>0</v>
      </c>
      <c r="O1140" s="45">
        <f t="shared" si="258"/>
        <v>0</v>
      </c>
      <c r="P1140" s="46">
        <f t="shared" si="259"/>
        <v>0</v>
      </c>
      <c r="Q1140" s="46">
        <v>2</v>
      </c>
      <c r="R1140" s="45">
        <f t="shared" si="260"/>
        <v>134684</v>
      </c>
      <c r="S1140" s="46">
        <f t="shared" si="261"/>
        <v>0</v>
      </c>
      <c r="T1140" s="46">
        <f>IFERROR(VLOOKUP(A1140,'[1]Re-order'!$A:$Q,17,0),"")</f>
        <v>64.8</v>
      </c>
      <c r="U1140" s="46">
        <f>IFERROR(VLOOKUP(A1140,'[1]MC Masterlist 2026-09-12'!$B:$M, 10, 0),0)</f>
        <v>15</v>
      </c>
      <c r="V1140" s="46">
        <f>IFERROR(VLOOKUP(A1140,'[1]MC Masterlist 2026-09-12'!$B:$M, 11, 0),0)</f>
        <v>15</v>
      </c>
      <c r="W1140" s="46">
        <f t="shared" si="262"/>
        <v>30</v>
      </c>
      <c r="X1140" s="46">
        <f t="shared" si="263"/>
        <v>7</v>
      </c>
      <c r="Y1140" s="46">
        <f>IFERROR(IF(OR(C1140="AREA I",C1140="AREA V"),7,VLOOKUP(A1140,'[1]MC Masterlist 2026-09-12'!$B:$M, 12, 0)),0)</f>
        <v>7</v>
      </c>
      <c r="Z1140" s="46">
        <f t="shared" si="264"/>
        <v>0</v>
      </c>
      <c r="AA1140" s="46">
        <f t="shared" si="265"/>
        <v>0</v>
      </c>
      <c r="AB1140" s="46">
        <f t="shared" si="266"/>
        <v>0</v>
      </c>
      <c r="AC1140" s="46">
        <f t="shared" si="267"/>
        <v>0</v>
      </c>
      <c r="AD1140" s="44" t="str">
        <f t="shared" si="268"/>
        <v>Over</v>
      </c>
      <c r="AE1140" s="44" t="str">
        <f>IFERROR(VLOOKUP(A1140,'[1]Re-order'!$A:$AA,27,0),"")</f>
        <v>Re-order</v>
      </c>
      <c r="AF1140" s="46">
        <f t="shared" si="269"/>
        <v>-2</v>
      </c>
      <c r="AG1140" s="46">
        <f>SUMIFS('[1]Raw Inventory'!D:D,'[1]Raw Inventory'!C:C,"GREATWALL",'[1]Raw Inventory'!B:B,A1140)</f>
        <v>1</v>
      </c>
      <c r="AH1140" s="46">
        <f>SUMIFS('[1]Raw Inventory'!D:D,'[1]Raw Inventory'!C:C,"DUARTE",'[1]Raw Inventory'!B:B,A1140)</f>
        <v>0</v>
      </c>
      <c r="AI1140" s="46"/>
      <c r="AJ1140" s="46"/>
      <c r="AK1140" s="43"/>
      <c r="AL1140" s="43"/>
      <c r="AM1140" s="43"/>
      <c r="AN1140" s="43"/>
      <c r="AO1140" s="43"/>
      <c r="AP1140" s="43"/>
      <c r="AQ1140" s="43"/>
      <c r="AR1140" s="43"/>
      <c r="AS1140" s="43"/>
      <c r="AT1140" s="43"/>
    </row>
    <row r="1141" spans="1:46">
      <c r="A1141" s="43" t="s">
        <v>50</v>
      </c>
      <c r="B1141" s="43" t="s">
        <v>29</v>
      </c>
      <c r="C1141" s="43" t="s">
        <v>1</v>
      </c>
      <c r="D1141" s="44" t="s">
        <v>293</v>
      </c>
      <c r="E1141" s="44">
        <v>24</v>
      </c>
      <c r="F1141" s="44" t="s">
        <v>2</v>
      </c>
      <c r="G1141" s="43" t="str">
        <f>IFERROR(VLOOKUP(A1141,'[1]MC Masterlist 2026-09-12'!$B:$M, 3, 0),"")</f>
        <v>YAMAHA</v>
      </c>
      <c r="H1141" s="45">
        <f>IFERROR(VLOOKUP(A1141,'[1]MC Masterlist 2026-09-12'!$B:$M, 6, 0),"")</f>
        <v>78957</v>
      </c>
      <c r="I1141" s="46">
        <v>0</v>
      </c>
      <c r="J1141" s="46">
        <v>1</v>
      </c>
      <c r="K1141" s="46">
        <v>1</v>
      </c>
      <c r="L1141" s="46">
        <f t="shared" si="255"/>
        <v>2</v>
      </c>
      <c r="M1141" s="46">
        <f t="shared" si="256"/>
        <v>0.66666666666666663</v>
      </c>
      <c r="N1141" s="45">
        <f t="shared" si="257"/>
        <v>157914</v>
      </c>
      <c r="O1141" s="45">
        <f t="shared" si="258"/>
        <v>52638</v>
      </c>
      <c r="P1141" s="46">
        <f t="shared" si="259"/>
        <v>2.222222222222222E-2</v>
      </c>
      <c r="Q1141" s="46"/>
      <c r="R1141" s="45">
        <f t="shared" si="260"/>
        <v>0</v>
      </c>
      <c r="S1141" s="46">
        <f t="shared" si="261"/>
        <v>0</v>
      </c>
      <c r="T1141" s="46">
        <f>IFERROR(VLOOKUP(A1141,'[1]Re-order'!$A:$Q,17,0),"")</f>
        <v>118.125</v>
      </c>
      <c r="U1141" s="46">
        <f>IFERROR(VLOOKUP(A1141,'[1]MC Masterlist 2026-09-12'!$B:$M, 10, 0),0)</f>
        <v>15</v>
      </c>
      <c r="V1141" s="46">
        <f>IFERROR(VLOOKUP(A1141,'[1]MC Masterlist 2026-09-12'!$B:$M, 11, 0),0)</f>
        <v>15</v>
      </c>
      <c r="W1141" s="46">
        <f t="shared" si="262"/>
        <v>30</v>
      </c>
      <c r="X1141" s="46">
        <f t="shared" si="263"/>
        <v>6.666666666666667</v>
      </c>
      <c r="Y1141" s="46">
        <f>IFERROR(IF(OR(C1141="AREA I",C1141="AREA V"),7,VLOOKUP(A1141,'[1]MC Masterlist 2026-09-12'!$B:$M, 12, 0)),0)</f>
        <v>7</v>
      </c>
      <c r="Z1141" s="46">
        <f t="shared" si="264"/>
        <v>0.33333333333333331</v>
      </c>
      <c r="AA1141" s="46">
        <f t="shared" si="265"/>
        <v>0.66666666666666663</v>
      </c>
      <c r="AB1141" s="46">
        <f t="shared" si="266"/>
        <v>0.14814814814814814</v>
      </c>
      <c r="AC1141" s="46">
        <f t="shared" si="267"/>
        <v>0.15555555555555553</v>
      </c>
      <c r="AD1141" s="44" t="str">
        <f t="shared" si="268"/>
        <v>Stockout</v>
      </c>
      <c r="AE1141" s="44" t="str">
        <f>IFERROR(VLOOKUP(A1141,'[1]Re-order'!$A:$AA,27,0),"")</f>
        <v>Over</v>
      </c>
      <c r="AF1141" s="46">
        <f t="shared" si="269"/>
        <v>0.15555555555555553</v>
      </c>
      <c r="AG1141" s="46">
        <f>SUMIFS('[1]Raw Inventory'!D:D,'[1]Raw Inventory'!C:C,"GREATWALL",'[1]Raw Inventory'!B:B,A1141)</f>
        <v>23</v>
      </c>
      <c r="AH1141" s="46">
        <f>SUMIFS('[1]Raw Inventory'!D:D,'[1]Raw Inventory'!C:C,"DUARTE",'[1]Raw Inventory'!B:B,A1141)</f>
        <v>0</v>
      </c>
      <c r="AI1141" s="46"/>
      <c r="AJ1141" s="46"/>
      <c r="AK1141" s="43"/>
      <c r="AL1141" s="43"/>
      <c r="AM1141" s="43"/>
      <c r="AN1141" s="43"/>
      <c r="AO1141" s="43"/>
      <c r="AP1141" s="43"/>
      <c r="AQ1141" s="43"/>
      <c r="AR1141" s="43"/>
      <c r="AS1141" s="43"/>
      <c r="AT1141" s="43"/>
    </row>
    <row r="1142" spans="1:46">
      <c r="A1142" s="43" t="s">
        <v>36</v>
      </c>
      <c r="B1142" s="43" t="s">
        <v>110</v>
      </c>
      <c r="C1142" s="43" t="s">
        <v>109</v>
      </c>
      <c r="D1142" s="44" t="s">
        <v>232</v>
      </c>
      <c r="E1142" s="44">
        <v>30</v>
      </c>
      <c r="F1142" s="44" t="s">
        <v>3</v>
      </c>
      <c r="G1142" s="43" t="str">
        <f>IFERROR(VLOOKUP(A1142,'[1]MC Masterlist 2026-09-12'!$B:$M, 3, 0),"")</f>
        <v>HONDA</v>
      </c>
      <c r="H1142" s="45">
        <f>IFERROR(VLOOKUP(A1142,'[1]MC Masterlist 2026-09-12'!$B:$M, 6, 0),"")</f>
        <v>76850</v>
      </c>
      <c r="I1142" s="46">
        <v>0</v>
      </c>
      <c r="J1142" s="46">
        <v>0</v>
      </c>
      <c r="K1142" s="46">
        <v>0</v>
      </c>
      <c r="L1142" s="46">
        <f t="shared" si="255"/>
        <v>0</v>
      </c>
      <c r="M1142" s="46">
        <f t="shared" si="256"/>
        <v>0</v>
      </c>
      <c r="N1142" s="45">
        <f t="shared" si="257"/>
        <v>0</v>
      </c>
      <c r="O1142" s="45">
        <f t="shared" si="258"/>
        <v>0</v>
      </c>
      <c r="P1142" s="46">
        <f t="shared" si="259"/>
        <v>0</v>
      </c>
      <c r="Q1142" s="46">
        <v>1</v>
      </c>
      <c r="R1142" s="45">
        <f t="shared" si="260"/>
        <v>76850</v>
      </c>
      <c r="S1142" s="46">
        <f t="shared" si="261"/>
        <v>0</v>
      </c>
      <c r="T1142" s="46">
        <f>IFERROR(VLOOKUP(A1142,'[1]Re-order'!$A:$Q,17,0),"")</f>
        <v>137.24999999999997</v>
      </c>
      <c r="U1142" s="46">
        <f>IFERROR(VLOOKUP(A1142,'[1]MC Masterlist 2026-09-12'!$B:$M, 10, 0),0)</f>
        <v>15</v>
      </c>
      <c r="V1142" s="46">
        <f>IFERROR(VLOOKUP(A1142,'[1]MC Masterlist 2026-09-12'!$B:$M, 11, 0),0)</f>
        <v>15</v>
      </c>
      <c r="W1142" s="46">
        <f t="shared" si="262"/>
        <v>30</v>
      </c>
      <c r="X1142" s="46">
        <f t="shared" si="263"/>
        <v>30</v>
      </c>
      <c r="Y1142" s="46">
        <f>IFERROR(IF(OR(C1142="AREA I",C1142="AREA V"),7,VLOOKUP(A1142,'[1]MC Masterlist 2026-09-12'!$B:$M, 12, 0)),0)</f>
        <v>30</v>
      </c>
      <c r="Z1142" s="46">
        <f t="shared" si="264"/>
        <v>0</v>
      </c>
      <c r="AA1142" s="46">
        <f t="shared" si="265"/>
        <v>0</v>
      </c>
      <c r="AB1142" s="46">
        <f t="shared" si="266"/>
        <v>0</v>
      </c>
      <c r="AC1142" s="46">
        <f t="shared" si="267"/>
        <v>0</v>
      </c>
      <c r="AD1142" s="44" t="str">
        <f t="shared" si="268"/>
        <v>Over</v>
      </c>
      <c r="AE1142" s="44" t="str">
        <f>IFERROR(VLOOKUP(A1142,'[1]Re-order'!$A:$AA,27,0),"")</f>
        <v>Over</v>
      </c>
      <c r="AF1142" s="46">
        <f t="shared" si="269"/>
        <v>-1</v>
      </c>
      <c r="AG1142" s="46">
        <f>SUMIFS('[1]Raw Inventory'!D:D,'[1]Raw Inventory'!C:C,"GREATWALL",'[1]Raw Inventory'!B:B,A1142)</f>
        <v>18</v>
      </c>
      <c r="AH1142" s="46">
        <f>SUMIFS('[1]Raw Inventory'!D:D,'[1]Raw Inventory'!C:C,"DUARTE",'[1]Raw Inventory'!B:B,A1142)</f>
        <v>0</v>
      </c>
      <c r="AI1142" s="46"/>
      <c r="AJ1142" s="46"/>
      <c r="AK1142" s="43"/>
      <c r="AL1142" s="43"/>
      <c r="AM1142" s="43"/>
      <c r="AN1142" s="43"/>
      <c r="AO1142" s="43"/>
      <c r="AP1142" s="43"/>
      <c r="AQ1142" s="43"/>
      <c r="AR1142" s="43"/>
      <c r="AS1142" s="43"/>
      <c r="AT1142" s="43"/>
    </row>
    <row r="1143" spans="1:46">
      <c r="A1143" s="43" t="s">
        <v>46</v>
      </c>
      <c r="B1143" s="43" t="s">
        <v>142</v>
      </c>
      <c r="C1143" s="43" t="s">
        <v>137</v>
      </c>
      <c r="D1143" s="44" t="s">
        <v>241</v>
      </c>
      <c r="E1143" s="44">
        <v>23</v>
      </c>
      <c r="F1143" s="44" t="s">
        <v>3</v>
      </c>
      <c r="G1143" s="43" t="str">
        <f>IFERROR(VLOOKUP(A1143,'[1]MC Masterlist 2026-09-12'!$B:$M, 3, 0),"")</f>
        <v>HONDA</v>
      </c>
      <c r="H1143" s="45">
        <f>IFERROR(VLOOKUP(A1143,'[1]MC Masterlist 2026-09-12'!$B:$M, 6, 0),"")</f>
        <v>73630</v>
      </c>
      <c r="I1143" s="46">
        <v>1</v>
      </c>
      <c r="J1143" s="46">
        <v>0</v>
      </c>
      <c r="K1143" s="46">
        <v>0</v>
      </c>
      <c r="L1143" s="46">
        <f t="shared" si="255"/>
        <v>1</v>
      </c>
      <c r="M1143" s="46">
        <f t="shared" si="256"/>
        <v>0.33333333333333331</v>
      </c>
      <c r="N1143" s="45">
        <f t="shared" si="257"/>
        <v>73630</v>
      </c>
      <c r="O1143" s="45">
        <f t="shared" si="258"/>
        <v>24543.333333333332</v>
      </c>
      <c r="P1143" s="46">
        <f t="shared" si="259"/>
        <v>1.111111111111111E-2</v>
      </c>
      <c r="Q1143" s="46">
        <v>1</v>
      </c>
      <c r="R1143" s="45">
        <f t="shared" si="260"/>
        <v>73630</v>
      </c>
      <c r="S1143" s="46">
        <f t="shared" si="261"/>
        <v>90</v>
      </c>
      <c r="T1143" s="46">
        <f>IFERROR(VLOOKUP(A1143,'[1]Re-order'!$A:$Q,17,0),"")</f>
        <v>51</v>
      </c>
      <c r="U1143" s="46">
        <f>IFERROR(VLOOKUP(A1143,'[1]MC Masterlist 2026-09-12'!$B:$M, 10, 0),0)</f>
        <v>15</v>
      </c>
      <c r="V1143" s="46">
        <f>IFERROR(VLOOKUP(A1143,'[1]MC Masterlist 2026-09-12'!$B:$M, 11, 0),0)</f>
        <v>15</v>
      </c>
      <c r="W1143" s="46">
        <f t="shared" si="262"/>
        <v>30</v>
      </c>
      <c r="X1143" s="46">
        <f t="shared" si="263"/>
        <v>6.833333333333333</v>
      </c>
      <c r="Y1143" s="46">
        <f>IFERROR(IF(OR(C1143="AREA I",C1143="AREA V"),7,VLOOKUP(A1143,'[1]MC Masterlist 2026-09-12'!$B:$M, 12, 0)),0)</f>
        <v>7</v>
      </c>
      <c r="Z1143" s="46">
        <f t="shared" si="264"/>
        <v>0.16666666666666666</v>
      </c>
      <c r="AA1143" s="46">
        <f t="shared" si="265"/>
        <v>0.33333333333333331</v>
      </c>
      <c r="AB1143" s="46">
        <f t="shared" si="266"/>
        <v>7.5925925925925911E-2</v>
      </c>
      <c r="AC1143" s="46">
        <f t="shared" si="267"/>
        <v>7.7777777777777765E-2</v>
      </c>
      <c r="AD1143" s="44" t="str">
        <f t="shared" si="268"/>
        <v>Over</v>
      </c>
      <c r="AE1143" s="44" t="str">
        <f>IFERROR(VLOOKUP(A1143,'[1]Re-order'!$A:$AA,27,0),"")</f>
        <v>Re-order</v>
      </c>
      <c r="AF1143" s="46">
        <f t="shared" si="269"/>
        <v>-0.92222222222222228</v>
      </c>
      <c r="AG1143" s="46">
        <f>SUMIFS('[1]Raw Inventory'!D:D,'[1]Raw Inventory'!C:C,"GREATWALL",'[1]Raw Inventory'!B:B,A1143)</f>
        <v>0</v>
      </c>
      <c r="AH1143" s="46">
        <f>SUMIFS('[1]Raw Inventory'!D:D,'[1]Raw Inventory'!C:C,"DUARTE",'[1]Raw Inventory'!B:B,A1143)</f>
        <v>0</v>
      </c>
      <c r="AI1143" s="46"/>
      <c r="AJ1143" s="46"/>
      <c r="AK1143" s="43"/>
      <c r="AL1143" s="43"/>
      <c r="AM1143" s="43"/>
      <c r="AN1143" s="43"/>
      <c r="AO1143" s="43"/>
      <c r="AP1143" s="43"/>
      <c r="AQ1143" s="43"/>
      <c r="AR1143" s="43"/>
      <c r="AS1143" s="43"/>
      <c r="AT1143" s="43"/>
    </row>
    <row r="1144" spans="1:46">
      <c r="A1144" s="43" t="s">
        <v>43</v>
      </c>
      <c r="B1144" s="43" t="s">
        <v>5</v>
      </c>
      <c r="C1144" s="43" t="s">
        <v>118</v>
      </c>
      <c r="D1144" s="44" t="s">
        <v>240</v>
      </c>
      <c r="E1144" s="44">
        <v>11</v>
      </c>
      <c r="F1144" s="44" t="s">
        <v>2</v>
      </c>
      <c r="G1144" s="43" t="str">
        <f>IFERROR(VLOOKUP(A1144,'[1]MC Masterlist 2026-09-12'!$B:$M, 3, 0),"")</f>
        <v>YAMAHA</v>
      </c>
      <c r="H1144" s="45">
        <f>IFERROR(VLOOKUP(A1144,'[1]MC Masterlist 2026-09-12'!$B:$M, 6, 0),"")</f>
        <v>70587</v>
      </c>
      <c r="I1144" s="46">
        <v>1</v>
      </c>
      <c r="J1144" s="46">
        <v>1</v>
      </c>
      <c r="K1144" s="46">
        <v>1</v>
      </c>
      <c r="L1144" s="46">
        <f t="shared" si="255"/>
        <v>3</v>
      </c>
      <c r="M1144" s="46">
        <f t="shared" si="256"/>
        <v>1</v>
      </c>
      <c r="N1144" s="45">
        <f t="shared" si="257"/>
        <v>211761</v>
      </c>
      <c r="O1144" s="45">
        <f t="shared" si="258"/>
        <v>70587</v>
      </c>
      <c r="P1144" s="46">
        <f t="shared" si="259"/>
        <v>3.3333333333333333E-2</v>
      </c>
      <c r="Q1144" s="46"/>
      <c r="R1144" s="45">
        <f t="shared" si="260"/>
        <v>0</v>
      </c>
      <c r="S1144" s="46">
        <f t="shared" si="261"/>
        <v>0</v>
      </c>
      <c r="T1144" s="46">
        <f>IFERROR(VLOOKUP(A1144,'[1]Re-order'!$A:$Q,17,0),"")</f>
        <v>43.578947368421055</v>
      </c>
      <c r="U1144" s="46">
        <f>IFERROR(VLOOKUP(A1144,'[1]MC Masterlist 2026-09-12'!$B:$M, 10, 0),0)</f>
        <v>15</v>
      </c>
      <c r="V1144" s="46">
        <f>IFERROR(VLOOKUP(A1144,'[1]MC Masterlist 2026-09-12'!$B:$M, 11, 0),0)</f>
        <v>15</v>
      </c>
      <c r="W1144" s="46">
        <f t="shared" si="262"/>
        <v>30</v>
      </c>
      <c r="X1144" s="46">
        <f t="shared" si="263"/>
        <v>29.5</v>
      </c>
      <c r="Y1144" s="46">
        <f>IFERROR(IF(OR(C1144="AREA I",C1144="AREA V"),7,VLOOKUP(A1144,'[1]MC Masterlist 2026-09-12'!$B:$M, 12, 0)),0)</f>
        <v>30</v>
      </c>
      <c r="Z1144" s="46">
        <f t="shared" si="264"/>
        <v>0.5</v>
      </c>
      <c r="AA1144" s="46">
        <f t="shared" si="265"/>
        <v>1</v>
      </c>
      <c r="AB1144" s="46">
        <f t="shared" si="266"/>
        <v>0.98333333333333328</v>
      </c>
      <c r="AC1144" s="46">
        <f t="shared" si="267"/>
        <v>1</v>
      </c>
      <c r="AD1144" s="44" t="str">
        <f t="shared" si="268"/>
        <v>Stockout</v>
      </c>
      <c r="AE1144" s="44" t="str">
        <f>IFERROR(VLOOKUP(A1144,'[1]Re-order'!$A:$AA,27,0),"")</f>
        <v>Re-order</v>
      </c>
      <c r="AF1144" s="46">
        <f t="shared" si="269"/>
        <v>1</v>
      </c>
      <c r="AG1144" s="46">
        <f>SUMIFS('[1]Raw Inventory'!D:D,'[1]Raw Inventory'!C:C,"GREATWALL",'[1]Raw Inventory'!B:B,A1144)</f>
        <v>0</v>
      </c>
      <c r="AH1144" s="46">
        <f>SUMIFS('[1]Raw Inventory'!D:D,'[1]Raw Inventory'!C:C,"DUARTE",'[1]Raw Inventory'!B:B,A1144)</f>
        <v>0</v>
      </c>
      <c r="AI1144" s="46"/>
      <c r="AJ1144" s="46"/>
      <c r="AK1144" s="43"/>
      <c r="AL1144" s="43"/>
      <c r="AM1144" s="43"/>
      <c r="AN1144" s="43"/>
      <c r="AO1144" s="43"/>
      <c r="AP1144" s="43"/>
      <c r="AQ1144" s="43"/>
      <c r="AR1144" s="43"/>
      <c r="AS1144" s="43"/>
      <c r="AT1144" s="43"/>
    </row>
    <row r="1145" spans="1:46">
      <c r="A1145" s="43" t="s">
        <v>89</v>
      </c>
      <c r="B1145" s="43" t="s">
        <v>138</v>
      </c>
      <c r="C1145" s="43" t="s">
        <v>137</v>
      </c>
      <c r="D1145" s="44" t="s">
        <v>294</v>
      </c>
      <c r="E1145" s="44">
        <v>39</v>
      </c>
      <c r="F1145" s="44" t="s">
        <v>3</v>
      </c>
      <c r="G1145" s="43" t="str">
        <f>IFERROR(VLOOKUP(A1145,'[1]MC Masterlist 2026-09-12'!$B:$M, 3, 0),"")</f>
        <v>HONDA</v>
      </c>
      <c r="H1145" s="45">
        <f>IFERROR(VLOOKUP(A1145,'[1]MC Masterlist 2026-09-12'!$B:$M, 6, 0),"")</f>
        <v>117790</v>
      </c>
      <c r="I1145" s="46">
        <v>0</v>
      </c>
      <c r="J1145" s="46">
        <v>0</v>
      </c>
      <c r="K1145" s="46">
        <v>0</v>
      </c>
      <c r="L1145" s="46">
        <f t="shared" si="255"/>
        <v>0</v>
      </c>
      <c r="M1145" s="46">
        <f t="shared" si="256"/>
        <v>0</v>
      </c>
      <c r="N1145" s="45">
        <f t="shared" si="257"/>
        <v>0</v>
      </c>
      <c r="O1145" s="45">
        <f t="shared" si="258"/>
        <v>0</v>
      </c>
      <c r="P1145" s="46">
        <f t="shared" si="259"/>
        <v>0</v>
      </c>
      <c r="Q1145" s="46">
        <v>5</v>
      </c>
      <c r="R1145" s="45">
        <f t="shared" si="260"/>
        <v>588950</v>
      </c>
      <c r="S1145" s="46">
        <f t="shared" si="261"/>
        <v>0</v>
      </c>
      <c r="T1145" s="46">
        <f>IFERROR(VLOOKUP(A1145,'[1]Re-order'!$A:$Q,17,0),"")</f>
        <v>81.818181818181827</v>
      </c>
      <c r="U1145" s="46">
        <f>IFERROR(VLOOKUP(A1145,'[1]MC Masterlist 2026-09-12'!$B:$M, 10, 0),0)</f>
        <v>15</v>
      </c>
      <c r="V1145" s="46">
        <f>IFERROR(VLOOKUP(A1145,'[1]MC Masterlist 2026-09-12'!$B:$M, 11, 0),0)</f>
        <v>15</v>
      </c>
      <c r="W1145" s="46">
        <f t="shared" si="262"/>
        <v>30</v>
      </c>
      <c r="X1145" s="46">
        <f t="shared" si="263"/>
        <v>7</v>
      </c>
      <c r="Y1145" s="46">
        <f>IFERROR(IF(OR(C1145="AREA I",C1145="AREA V"),7,VLOOKUP(A1145,'[1]MC Masterlist 2026-09-12'!$B:$M, 12, 0)),0)</f>
        <v>7</v>
      </c>
      <c r="Z1145" s="46">
        <f t="shared" si="264"/>
        <v>0</v>
      </c>
      <c r="AA1145" s="46">
        <f t="shared" si="265"/>
        <v>0</v>
      </c>
      <c r="AB1145" s="46">
        <f t="shared" si="266"/>
        <v>0</v>
      </c>
      <c r="AC1145" s="46">
        <f t="shared" si="267"/>
        <v>0</v>
      </c>
      <c r="AD1145" s="44" t="str">
        <f t="shared" si="268"/>
        <v>Over</v>
      </c>
      <c r="AE1145" s="44" t="str">
        <f>IFERROR(VLOOKUP(A1145,'[1]Re-order'!$A:$AA,27,0),"")</f>
        <v/>
      </c>
      <c r="AF1145" s="46">
        <f t="shared" si="269"/>
        <v>-5</v>
      </c>
      <c r="AG1145" s="46">
        <f>SUMIFS('[1]Raw Inventory'!D:D,'[1]Raw Inventory'!C:C,"GREATWALL",'[1]Raw Inventory'!B:B,A1145)</f>
        <v>5</v>
      </c>
      <c r="AH1145" s="46">
        <f>SUMIFS('[1]Raw Inventory'!D:D,'[1]Raw Inventory'!C:C,"DUARTE",'[1]Raw Inventory'!B:B,A1145)</f>
        <v>0</v>
      </c>
      <c r="AI1145" s="46"/>
      <c r="AJ1145" s="46"/>
      <c r="AK1145" s="43"/>
      <c r="AL1145" s="43"/>
      <c r="AM1145" s="43"/>
      <c r="AN1145" s="43"/>
      <c r="AO1145" s="43"/>
      <c r="AP1145" s="43"/>
      <c r="AQ1145" s="43"/>
      <c r="AR1145" s="43"/>
      <c r="AS1145" s="43"/>
      <c r="AT1145" s="43"/>
    </row>
    <row r="1146" spans="1:46">
      <c r="A1146" s="43" t="s">
        <v>22</v>
      </c>
      <c r="B1146" s="43" t="s">
        <v>112</v>
      </c>
      <c r="C1146" s="43" t="s">
        <v>109</v>
      </c>
      <c r="D1146" s="44" t="s">
        <v>234</v>
      </c>
      <c r="E1146" s="44">
        <v>4</v>
      </c>
      <c r="F1146" s="44" t="s">
        <v>0</v>
      </c>
      <c r="G1146" s="43" t="str">
        <f>IFERROR(VLOOKUP(A1146,'[1]MC Masterlist 2026-09-12'!$B:$M, 3, 0),"")</f>
        <v>HONDA</v>
      </c>
      <c r="H1146" s="45">
        <f>IFERROR(VLOOKUP(A1146,'[1]MC Masterlist 2026-09-12'!$B:$M, 6, 0),"")</f>
        <v>111258</v>
      </c>
      <c r="I1146" s="46">
        <v>1</v>
      </c>
      <c r="J1146" s="46">
        <v>4</v>
      </c>
      <c r="K1146" s="46">
        <v>0</v>
      </c>
      <c r="L1146" s="46">
        <f t="shared" si="255"/>
        <v>5</v>
      </c>
      <c r="M1146" s="46">
        <f t="shared" si="256"/>
        <v>1.6666666666666667</v>
      </c>
      <c r="N1146" s="45">
        <f t="shared" si="257"/>
        <v>556290</v>
      </c>
      <c r="O1146" s="45">
        <f t="shared" si="258"/>
        <v>185430</v>
      </c>
      <c r="P1146" s="46">
        <f t="shared" si="259"/>
        <v>5.5555555555555559E-2</v>
      </c>
      <c r="Q1146" s="46">
        <v>10</v>
      </c>
      <c r="R1146" s="45">
        <f t="shared" si="260"/>
        <v>1112580</v>
      </c>
      <c r="S1146" s="46">
        <f t="shared" si="261"/>
        <v>180</v>
      </c>
      <c r="T1146" s="46">
        <f>IFERROR(VLOOKUP(A1146,'[1]Re-order'!$A:$Q,17,0),"")</f>
        <v>41.339712918660283</v>
      </c>
      <c r="U1146" s="46">
        <f>IFERROR(VLOOKUP(A1146,'[1]MC Masterlist 2026-09-12'!$B:$M, 10, 0),0)</f>
        <v>15</v>
      </c>
      <c r="V1146" s="46">
        <f>IFERROR(VLOOKUP(A1146,'[1]MC Masterlist 2026-09-12'!$B:$M, 11, 0),0)</f>
        <v>15</v>
      </c>
      <c r="W1146" s="46">
        <f t="shared" si="262"/>
        <v>30</v>
      </c>
      <c r="X1146" s="46">
        <f t="shared" si="263"/>
        <v>29.166666666666668</v>
      </c>
      <c r="Y1146" s="46">
        <f>IFERROR(IF(OR(C1146="AREA I",C1146="AREA V"),7,VLOOKUP(A1146,'[1]MC Masterlist 2026-09-12'!$B:$M, 12, 0)),0)</f>
        <v>30</v>
      </c>
      <c r="Z1146" s="46">
        <f t="shared" si="264"/>
        <v>0.83333333333333337</v>
      </c>
      <c r="AA1146" s="46">
        <f t="shared" si="265"/>
        <v>1.6666666666666667</v>
      </c>
      <c r="AB1146" s="46">
        <f t="shared" si="266"/>
        <v>1.6203703703703705</v>
      </c>
      <c r="AC1146" s="46">
        <f t="shared" si="267"/>
        <v>1.6666666666666667</v>
      </c>
      <c r="AD1146" s="44" t="str">
        <f t="shared" si="268"/>
        <v>Over</v>
      </c>
      <c r="AE1146" s="44" t="str">
        <f>IFERROR(VLOOKUP(A1146,'[1]Re-order'!$A:$AA,27,0),"")</f>
        <v>Re-order</v>
      </c>
      <c r="AF1146" s="46">
        <f t="shared" si="269"/>
        <v>-8.3333333333333339</v>
      </c>
      <c r="AG1146" s="46">
        <f>SUMIFS('[1]Raw Inventory'!D:D,'[1]Raw Inventory'!C:C,"GREATWALL",'[1]Raw Inventory'!B:B,A1146)</f>
        <v>4</v>
      </c>
      <c r="AH1146" s="46">
        <f>SUMIFS('[1]Raw Inventory'!D:D,'[1]Raw Inventory'!C:C,"DUARTE",'[1]Raw Inventory'!B:B,A1146)</f>
        <v>0</v>
      </c>
      <c r="AI1146" s="46"/>
      <c r="AJ1146" s="46"/>
      <c r="AK1146" s="43"/>
      <c r="AL1146" s="43"/>
      <c r="AM1146" s="43"/>
      <c r="AN1146" s="43"/>
      <c r="AO1146" s="43"/>
      <c r="AP1146" s="43"/>
      <c r="AQ1146" s="43"/>
      <c r="AR1146" s="43"/>
      <c r="AS1146" s="43"/>
      <c r="AT1146" s="43"/>
    </row>
    <row r="1147" spans="1:46">
      <c r="A1147" s="43" t="s">
        <v>28</v>
      </c>
      <c r="B1147" s="43" t="s">
        <v>158</v>
      </c>
      <c r="C1147" s="43" t="s">
        <v>152</v>
      </c>
      <c r="D1147" s="44" t="s">
        <v>230</v>
      </c>
      <c r="E1147" s="44">
        <v>6</v>
      </c>
      <c r="F1147" s="44" t="s">
        <v>0</v>
      </c>
      <c r="G1147" s="43" t="str">
        <f>IFERROR(VLOOKUP(A1147,'[1]MC Masterlist 2026-09-12'!$B:$M, 3, 0),"")</f>
        <v>YAMAHA</v>
      </c>
      <c r="H1147" s="45">
        <f>IFERROR(VLOOKUP(A1147,'[1]MC Masterlist 2026-09-12'!$B:$M, 6, 0),"")</f>
        <v>147312</v>
      </c>
      <c r="I1147" s="46">
        <v>0</v>
      </c>
      <c r="J1147" s="46">
        <v>2</v>
      </c>
      <c r="K1147" s="46">
        <v>1</v>
      </c>
      <c r="L1147" s="46">
        <f t="shared" si="255"/>
        <v>3</v>
      </c>
      <c r="M1147" s="46">
        <f t="shared" si="256"/>
        <v>1</v>
      </c>
      <c r="N1147" s="45">
        <f t="shared" si="257"/>
        <v>441936</v>
      </c>
      <c r="O1147" s="45">
        <f t="shared" si="258"/>
        <v>147312</v>
      </c>
      <c r="P1147" s="46">
        <f t="shared" si="259"/>
        <v>3.3333333333333333E-2</v>
      </c>
      <c r="Q1147" s="46"/>
      <c r="R1147" s="45">
        <f t="shared" si="260"/>
        <v>0</v>
      </c>
      <c r="S1147" s="46">
        <f t="shared" si="261"/>
        <v>0</v>
      </c>
      <c r="T1147" s="46">
        <f>IFERROR(VLOOKUP(A1147,'[1]Re-order'!$A:$Q,17,0),"")</f>
        <v>8.2417582417582427</v>
      </c>
      <c r="U1147" s="46">
        <f>IFERROR(VLOOKUP(A1147,'[1]MC Masterlist 2026-09-12'!$B:$M, 10, 0),0)</f>
        <v>15</v>
      </c>
      <c r="V1147" s="46">
        <f>IFERROR(VLOOKUP(A1147,'[1]MC Masterlist 2026-09-12'!$B:$M, 11, 0),0)</f>
        <v>15</v>
      </c>
      <c r="W1147" s="46">
        <f t="shared" si="262"/>
        <v>30</v>
      </c>
      <c r="X1147" s="46">
        <f t="shared" si="263"/>
        <v>29.5</v>
      </c>
      <c r="Y1147" s="46">
        <f>IFERROR(IF(OR(C1147="AREA I",C1147="AREA V"),7,VLOOKUP(A1147,'[1]MC Masterlist 2026-09-12'!$B:$M, 12, 0)),0)</f>
        <v>30</v>
      </c>
      <c r="Z1147" s="46">
        <f t="shared" si="264"/>
        <v>0.5</v>
      </c>
      <c r="AA1147" s="46">
        <f t="shared" si="265"/>
        <v>1</v>
      </c>
      <c r="AB1147" s="46">
        <f t="shared" si="266"/>
        <v>0.98333333333333328</v>
      </c>
      <c r="AC1147" s="46">
        <f t="shared" si="267"/>
        <v>1</v>
      </c>
      <c r="AD1147" s="44" t="str">
        <f t="shared" si="268"/>
        <v>Stockout</v>
      </c>
      <c r="AE1147" s="44" t="str">
        <f>IFERROR(VLOOKUP(A1147,'[1]Re-order'!$A:$AA,27,0),"")</f>
        <v>Stockout</v>
      </c>
      <c r="AF1147" s="46">
        <f t="shared" si="269"/>
        <v>1</v>
      </c>
      <c r="AG1147" s="46">
        <f>SUMIFS('[1]Raw Inventory'!D:D,'[1]Raw Inventory'!C:C,"GREATWALL",'[1]Raw Inventory'!B:B,A1147)</f>
        <v>0</v>
      </c>
      <c r="AH1147" s="46">
        <f>SUMIFS('[1]Raw Inventory'!D:D,'[1]Raw Inventory'!C:C,"DUARTE",'[1]Raw Inventory'!B:B,A1147)</f>
        <v>0</v>
      </c>
      <c r="AI1147" s="46"/>
      <c r="AJ1147" s="46"/>
      <c r="AK1147" s="43"/>
      <c r="AL1147" s="43"/>
      <c r="AM1147" s="43"/>
      <c r="AN1147" s="43"/>
      <c r="AO1147" s="43"/>
      <c r="AP1147" s="43"/>
      <c r="AQ1147" s="43"/>
      <c r="AR1147" s="43"/>
      <c r="AS1147" s="43"/>
      <c r="AT1147" s="43"/>
    </row>
    <row r="1148" spans="1:46">
      <c r="A1148" s="43" t="s">
        <v>45</v>
      </c>
      <c r="B1148" s="43" t="s">
        <v>138</v>
      </c>
      <c r="C1148" s="43" t="s">
        <v>137</v>
      </c>
      <c r="D1148" s="44" t="s">
        <v>295</v>
      </c>
      <c r="E1148" s="44">
        <v>39</v>
      </c>
      <c r="F1148" s="44" t="s">
        <v>3</v>
      </c>
      <c r="G1148" s="43" t="str">
        <f>IFERROR(VLOOKUP(A1148,'[1]MC Masterlist 2026-09-12'!$B:$M, 3, 0),"")</f>
        <v>YAMAHA</v>
      </c>
      <c r="H1148" s="45">
        <f>IFERROR(VLOOKUP(A1148,'[1]MC Masterlist 2026-09-12'!$B:$M, 6, 0),"")</f>
        <v>117087</v>
      </c>
      <c r="I1148" s="46">
        <v>0</v>
      </c>
      <c r="J1148" s="46">
        <v>0</v>
      </c>
      <c r="K1148" s="46">
        <v>0</v>
      </c>
      <c r="L1148" s="46">
        <f t="shared" si="255"/>
        <v>0</v>
      </c>
      <c r="M1148" s="46">
        <f t="shared" si="256"/>
        <v>0</v>
      </c>
      <c r="N1148" s="45">
        <f t="shared" si="257"/>
        <v>0</v>
      </c>
      <c r="O1148" s="45">
        <f t="shared" si="258"/>
        <v>0</v>
      </c>
      <c r="P1148" s="46">
        <f t="shared" si="259"/>
        <v>0</v>
      </c>
      <c r="Q1148" s="46">
        <v>5</v>
      </c>
      <c r="R1148" s="45">
        <f t="shared" si="260"/>
        <v>585435</v>
      </c>
      <c r="S1148" s="46">
        <f t="shared" si="261"/>
        <v>0</v>
      </c>
      <c r="T1148" s="46">
        <f>IFERROR(VLOOKUP(A1148,'[1]Re-order'!$A:$Q,17,0),"")</f>
        <v>18.94736842105263</v>
      </c>
      <c r="U1148" s="46">
        <f>IFERROR(VLOOKUP(A1148,'[1]MC Masterlist 2026-09-12'!$B:$M, 10, 0),0)</f>
        <v>15</v>
      </c>
      <c r="V1148" s="46">
        <f>IFERROR(VLOOKUP(A1148,'[1]MC Masterlist 2026-09-12'!$B:$M, 11, 0),0)</f>
        <v>15</v>
      </c>
      <c r="W1148" s="46">
        <f t="shared" si="262"/>
        <v>30</v>
      </c>
      <c r="X1148" s="46">
        <f t="shared" si="263"/>
        <v>7</v>
      </c>
      <c r="Y1148" s="46">
        <f>IFERROR(IF(OR(C1148="AREA I",C1148="AREA V"),7,VLOOKUP(A1148,'[1]MC Masterlist 2026-09-12'!$B:$M, 12, 0)),0)</f>
        <v>7</v>
      </c>
      <c r="Z1148" s="46">
        <f t="shared" si="264"/>
        <v>0</v>
      </c>
      <c r="AA1148" s="46">
        <f t="shared" si="265"/>
        <v>0</v>
      </c>
      <c r="AB1148" s="46">
        <f t="shared" si="266"/>
        <v>0</v>
      </c>
      <c r="AC1148" s="46">
        <f t="shared" si="267"/>
        <v>0</v>
      </c>
      <c r="AD1148" s="44" t="str">
        <f t="shared" si="268"/>
        <v>Over</v>
      </c>
      <c r="AE1148" s="44" t="str">
        <f>IFERROR(VLOOKUP(A1148,'[1]Re-order'!$A:$AA,27,0),"")</f>
        <v>Stockout</v>
      </c>
      <c r="AF1148" s="46">
        <f t="shared" si="269"/>
        <v>-5</v>
      </c>
      <c r="AG1148" s="46">
        <f>SUMIFS('[1]Raw Inventory'!D:D,'[1]Raw Inventory'!C:C,"GREATWALL",'[1]Raw Inventory'!B:B,A1148)</f>
        <v>5</v>
      </c>
      <c r="AH1148" s="46">
        <f>SUMIFS('[1]Raw Inventory'!D:D,'[1]Raw Inventory'!C:C,"DUARTE",'[1]Raw Inventory'!B:B,A1148)</f>
        <v>0</v>
      </c>
      <c r="AI1148" s="46"/>
      <c r="AJ1148" s="46"/>
      <c r="AK1148" s="43"/>
      <c r="AL1148" s="43"/>
      <c r="AM1148" s="43"/>
      <c r="AN1148" s="43"/>
      <c r="AO1148" s="43"/>
      <c r="AP1148" s="43"/>
      <c r="AQ1148" s="43"/>
      <c r="AR1148" s="43"/>
      <c r="AS1148" s="43"/>
      <c r="AT1148" s="43"/>
    </row>
    <row r="1149" spans="1:46">
      <c r="A1149" s="43" t="s">
        <v>16</v>
      </c>
      <c r="B1149" s="43" t="s">
        <v>97</v>
      </c>
      <c r="C1149" s="43" t="s">
        <v>90</v>
      </c>
      <c r="D1149" s="44" t="s">
        <v>240</v>
      </c>
      <c r="E1149" s="44">
        <v>8</v>
      </c>
      <c r="F1149" s="44" t="s">
        <v>2</v>
      </c>
      <c r="G1149" s="43" t="str">
        <f>IFERROR(VLOOKUP(A1149,'[1]MC Masterlist 2026-09-12'!$B:$M, 3, 0),"")</f>
        <v>HONDA</v>
      </c>
      <c r="H1149" s="45">
        <f>IFERROR(VLOOKUP(A1149,'[1]MC Masterlist 2026-09-12'!$B:$M, 6, 0),"")</f>
        <v>84394</v>
      </c>
      <c r="I1149" s="46">
        <v>0</v>
      </c>
      <c r="J1149" s="46">
        <v>2</v>
      </c>
      <c r="K1149" s="46">
        <v>0</v>
      </c>
      <c r="L1149" s="46">
        <f t="shared" si="255"/>
        <v>2</v>
      </c>
      <c r="M1149" s="46">
        <f t="shared" si="256"/>
        <v>0.66666666666666663</v>
      </c>
      <c r="N1149" s="45">
        <f t="shared" si="257"/>
        <v>168788</v>
      </c>
      <c r="O1149" s="45">
        <f t="shared" si="258"/>
        <v>56262.666666666664</v>
      </c>
      <c r="P1149" s="46">
        <f t="shared" si="259"/>
        <v>2.222222222222222E-2</v>
      </c>
      <c r="Q1149" s="46">
        <v>2</v>
      </c>
      <c r="R1149" s="45">
        <f t="shared" si="260"/>
        <v>168788</v>
      </c>
      <c r="S1149" s="46">
        <f t="shared" si="261"/>
        <v>90</v>
      </c>
      <c r="T1149" s="46">
        <f>IFERROR(VLOOKUP(A1149,'[1]Re-order'!$A:$Q,17,0),"")</f>
        <v>26.332665330661321</v>
      </c>
      <c r="U1149" s="46">
        <f>IFERROR(VLOOKUP(A1149,'[1]MC Masterlist 2026-09-12'!$B:$M, 10, 0),0)</f>
        <v>15</v>
      </c>
      <c r="V1149" s="46">
        <f>IFERROR(VLOOKUP(A1149,'[1]MC Masterlist 2026-09-12'!$B:$M, 11, 0),0)</f>
        <v>15</v>
      </c>
      <c r="W1149" s="46">
        <f t="shared" si="262"/>
        <v>30</v>
      </c>
      <c r="X1149" s="46">
        <f t="shared" si="263"/>
        <v>29.666666666666668</v>
      </c>
      <c r="Y1149" s="46">
        <f>IFERROR(IF(OR(C1149="AREA I",C1149="AREA V"),7,VLOOKUP(A1149,'[1]MC Masterlist 2026-09-12'!$B:$M, 12, 0)),0)</f>
        <v>30</v>
      </c>
      <c r="Z1149" s="46">
        <f t="shared" si="264"/>
        <v>0.33333333333333331</v>
      </c>
      <c r="AA1149" s="46">
        <f t="shared" si="265"/>
        <v>0.66666666666666663</v>
      </c>
      <c r="AB1149" s="46">
        <f t="shared" si="266"/>
        <v>0.65925925925925921</v>
      </c>
      <c r="AC1149" s="46">
        <f t="shared" si="267"/>
        <v>0.66666666666666663</v>
      </c>
      <c r="AD1149" s="44" t="str">
        <f t="shared" si="268"/>
        <v>Over</v>
      </c>
      <c r="AE1149" s="44" t="str">
        <f>IFERROR(VLOOKUP(A1149,'[1]Re-order'!$A:$AA,27,0),"")</f>
        <v>Stockout</v>
      </c>
      <c r="AF1149" s="46">
        <f t="shared" si="269"/>
        <v>-1.3333333333333335</v>
      </c>
      <c r="AG1149" s="46">
        <f>SUMIFS('[1]Raw Inventory'!D:D,'[1]Raw Inventory'!C:C,"GREATWALL",'[1]Raw Inventory'!B:B,A1149)</f>
        <v>58</v>
      </c>
      <c r="AH1149" s="46">
        <f>SUMIFS('[1]Raw Inventory'!D:D,'[1]Raw Inventory'!C:C,"DUARTE",'[1]Raw Inventory'!B:B,A1149)</f>
        <v>0</v>
      </c>
      <c r="AI1149" s="46"/>
      <c r="AJ1149" s="46"/>
      <c r="AK1149" s="43"/>
      <c r="AL1149" s="43"/>
      <c r="AM1149" s="43"/>
      <c r="AN1149" s="43"/>
      <c r="AO1149" s="43"/>
      <c r="AP1149" s="43"/>
      <c r="AQ1149" s="43"/>
      <c r="AR1149" s="43"/>
      <c r="AS1149" s="43"/>
      <c r="AT1149" s="43"/>
    </row>
    <row r="1150" spans="1:46">
      <c r="A1150" s="43" t="s">
        <v>12</v>
      </c>
      <c r="B1150" s="43" t="s">
        <v>139</v>
      </c>
      <c r="C1150" s="43" t="s">
        <v>137</v>
      </c>
      <c r="D1150" s="44" t="s">
        <v>227</v>
      </c>
      <c r="E1150" s="44">
        <v>1</v>
      </c>
      <c r="F1150" s="44" t="s">
        <v>0</v>
      </c>
      <c r="G1150" s="43" t="str">
        <f>IFERROR(VLOOKUP(A1150,'[1]MC Masterlist 2026-09-12'!$B:$M, 3, 0),"")</f>
        <v>HONDA</v>
      </c>
      <c r="H1150" s="45">
        <f>IFERROR(VLOOKUP(A1150,'[1]MC Masterlist 2026-09-12'!$B:$M, 6, 0),"")</f>
        <v>158270</v>
      </c>
      <c r="I1150" s="46">
        <v>10</v>
      </c>
      <c r="J1150" s="46">
        <v>8</v>
      </c>
      <c r="K1150" s="46">
        <v>11</v>
      </c>
      <c r="L1150" s="46">
        <f t="shared" si="255"/>
        <v>29</v>
      </c>
      <c r="M1150" s="46">
        <f t="shared" si="256"/>
        <v>9.6666666666666661</v>
      </c>
      <c r="N1150" s="45">
        <f t="shared" si="257"/>
        <v>4589830</v>
      </c>
      <c r="O1150" s="45">
        <f t="shared" si="258"/>
        <v>1529943.3333333333</v>
      </c>
      <c r="P1150" s="46">
        <f t="shared" si="259"/>
        <v>0.32222222222222219</v>
      </c>
      <c r="Q1150" s="46">
        <v>2</v>
      </c>
      <c r="R1150" s="45">
        <f t="shared" si="260"/>
        <v>316540</v>
      </c>
      <c r="S1150" s="46">
        <f t="shared" si="261"/>
        <v>6.2068965517241379</v>
      </c>
      <c r="T1150" s="46">
        <f>IFERROR(VLOOKUP(A1150,'[1]Re-order'!$A:$Q,17,0),"")</f>
        <v>46.461038961038959</v>
      </c>
      <c r="U1150" s="46">
        <f>IFERROR(VLOOKUP(A1150,'[1]MC Masterlist 2026-09-12'!$B:$M, 10, 0),0)</f>
        <v>15</v>
      </c>
      <c r="V1150" s="46">
        <f>IFERROR(VLOOKUP(A1150,'[1]MC Masterlist 2026-09-12'!$B:$M, 11, 0),0)</f>
        <v>15</v>
      </c>
      <c r="W1150" s="46">
        <f t="shared" si="262"/>
        <v>30</v>
      </c>
      <c r="X1150" s="46">
        <f t="shared" si="263"/>
        <v>2.166666666666667</v>
      </c>
      <c r="Y1150" s="46">
        <f>IFERROR(IF(OR(C1150="AREA I",C1150="AREA V"),7,VLOOKUP(A1150,'[1]MC Masterlist 2026-09-12'!$B:$M, 12, 0)),0)</f>
        <v>7</v>
      </c>
      <c r="Z1150" s="46">
        <f t="shared" si="264"/>
        <v>4.833333333333333</v>
      </c>
      <c r="AA1150" s="46">
        <f t="shared" si="265"/>
        <v>9.6666666666666661</v>
      </c>
      <c r="AB1150" s="46">
        <f t="shared" si="266"/>
        <v>0.69814814814814818</v>
      </c>
      <c r="AC1150" s="46">
        <f t="shared" si="267"/>
        <v>2.2555555555555555</v>
      </c>
      <c r="AD1150" s="44" t="str">
        <f t="shared" si="268"/>
        <v>Stockout</v>
      </c>
      <c r="AE1150" s="44" t="str">
        <f>IFERROR(VLOOKUP(A1150,'[1]Re-order'!$A:$AA,27,0),"")</f>
        <v>Re-order</v>
      </c>
      <c r="AF1150" s="46">
        <f t="shared" si="269"/>
        <v>0.25555555555555554</v>
      </c>
      <c r="AG1150" s="46">
        <f>SUMIFS('[1]Raw Inventory'!D:D,'[1]Raw Inventory'!C:C,"GREATWALL",'[1]Raw Inventory'!B:B,A1150)</f>
        <v>35</v>
      </c>
      <c r="AH1150" s="46">
        <f>SUMIFS('[1]Raw Inventory'!D:D,'[1]Raw Inventory'!C:C,"DUARTE",'[1]Raw Inventory'!B:B,A1150)</f>
        <v>0</v>
      </c>
      <c r="AI1150" s="46"/>
      <c r="AJ1150" s="46"/>
      <c r="AK1150" s="43"/>
      <c r="AL1150" s="43"/>
      <c r="AM1150" s="43"/>
      <c r="AN1150" s="43"/>
      <c r="AO1150" s="43"/>
      <c r="AP1150" s="43"/>
      <c r="AQ1150" s="43"/>
      <c r="AR1150" s="43"/>
      <c r="AS1150" s="43"/>
      <c r="AT1150" s="43"/>
    </row>
    <row r="1151" spans="1:46">
      <c r="A1151" s="43" t="s">
        <v>61</v>
      </c>
      <c r="B1151" s="43" t="s">
        <v>146</v>
      </c>
      <c r="C1151" s="43" t="s">
        <v>137</v>
      </c>
      <c r="D1151" s="44" t="s">
        <v>272</v>
      </c>
      <c r="E1151" s="44">
        <v>28</v>
      </c>
      <c r="F1151" s="44" t="s">
        <v>3</v>
      </c>
      <c r="G1151" s="43" t="str">
        <f>IFERROR(VLOOKUP(A1151,'[1]MC Masterlist 2026-09-12'!$B:$M, 3, 0),"")</f>
        <v>HONDA</v>
      </c>
      <c r="H1151" s="45">
        <f>IFERROR(VLOOKUP(A1151,'[1]MC Masterlist 2026-09-12'!$B:$M, 6, 0),"")</f>
        <v>63510</v>
      </c>
      <c r="I1151" s="46">
        <v>0</v>
      </c>
      <c r="J1151" s="46">
        <v>0</v>
      </c>
      <c r="K1151" s="46">
        <v>0</v>
      </c>
      <c r="L1151" s="46">
        <f t="shared" si="255"/>
        <v>0</v>
      </c>
      <c r="M1151" s="46">
        <f t="shared" si="256"/>
        <v>0</v>
      </c>
      <c r="N1151" s="45">
        <f t="shared" si="257"/>
        <v>0</v>
      </c>
      <c r="O1151" s="45">
        <f t="shared" si="258"/>
        <v>0</v>
      </c>
      <c r="P1151" s="46">
        <f t="shared" si="259"/>
        <v>0</v>
      </c>
      <c r="Q1151" s="46">
        <v>2</v>
      </c>
      <c r="R1151" s="45">
        <f t="shared" si="260"/>
        <v>127020</v>
      </c>
      <c r="S1151" s="46">
        <f t="shared" si="261"/>
        <v>0</v>
      </c>
      <c r="T1151" s="46">
        <f>IFERROR(VLOOKUP(A1151,'[1]Re-order'!$A:$Q,17,0),"")</f>
        <v>135</v>
      </c>
      <c r="U1151" s="46">
        <f>IFERROR(VLOOKUP(A1151,'[1]MC Masterlist 2026-09-12'!$B:$M, 10, 0),0)</f>
        <v>15</v>
      </c>
      <c r="V1151" s="46">
        <f>IFERROR(VLOOKUP(A1151,'[1]MC Masterlist 2026-09-12'!$B:$M, 11, 0),0)</f>
        <v>15</v>
      </c>
      <c r="W1151" s="46">
        <f t="shared" si="262"/>
        <v>30</v>
      </c>
      <c r="X1151" s="46">
        <f t="shared" si="263"/>
        <v>7</v>
      </c>
      <c r="Y1151" s="46">
        <f>IFERROR(IF(OR(C1151="AREA I",C1151="AREA V"),7,VLOOKUP(A1151,'[1]MC Masterlist 2026-09-12'!$B:$M, 12, 0)),0)</f>
        <v>7</v>
      </c>
      <c r="Z1151" s="46">
        <f t="shared" si="264"/>
        <v>0</v>
      </c>
      <c r="AA1151" s="46">
        <f t="shared" si="265"/>
        <v>0</v>
      </c>
      <c r="AB1151" s="46">
        <f t="shared" si="266"/>
        <v>0</v>
      </c>
      <c r="AC1151" s="46">
        <f t="shared" si="267"/>
        <v>0</v>
      </c>
      <c r="AD1151" s="44" t="str">
        <f t="shared" si="268"/>
        <v>Over</v>
      </c>
      <c r="AE1151" s="44" t="str">
        <f>IFERROR(VLOOKUP(A1151,'[1]Re-order'!$A:$AA,27,0),"")</f>
        <v>Over</v>
      </c>
      <c r="AF1151" s="46">
        <f t="shared" si="269"/>
        <v>-2</v>
      </c>
      <c r="AG1151" s="46">
        <f>SUMIFS('[1]Raw Inventory'!D:D,'[1]Raw Inventory'!C:C,"GREATWALL",'[1]Raw Inventory'!B:B,A1151)</f>
        <v>1</v>
      </c>
      <c r="AH1151" s="46">
        <f>SUMIFS('[1]Raw Inventory'!D:D,'[1]Raw Inventory'!C:C,"DUARTE",'[1]Raw Inventory'!B:B,A1151)</f>
        <v>0</v>
      </c>
      <c r="AI1151" s="46"/>
      <c r="AJ1151" s="46"/>
      <c r="AK1151" s="43"/>
      <c r="AL1151" s="43"/>
      <c r="AM1151" s="43"/>
      <c r="AN1151" s="43"/>
      <c r="AO1151" s="43"/>
      <c r="AP1151" s="43"/>
      <c r="AQ1151" s="43"/>
      <c r="AR1151" s="43"/>
      <c r="AS1151" s="43"/>
      <c r="AT1151" s="43"/>
    </row>
    <row r="1152" spans="1:46">
      <c r="A1152" s="43" t="s">
        <v>32</v>
      </c>
      <c r="B1152" s="43" t="s">
        <v>30</v>
      </c>
      <c r="C1152" s="43" t="s">
        <v>1</v>
      </c>
      <c r="D1152" s="44" t="s">
        <v>262</v>
      </c>
      <c r="E1152" s="44">
        <v>17</v>
      </c>
      <c r="F1152" s="44" t="s">
        <v>2</v>
      </c>
      <c r="G1152" s="43" t="str">
        <f>IFERROR(VLOOKUP(A1152,'[1]MC Masterlist 2026-09-12'!$B:$M, 3, 0),"")</f>
        <v>HONDA</v>
      </c>
      <c r="H1152" s="45">
        <f>IFERROR(VLOOKUP(A1152,'[1]MC Masterlist 2026-09-12'!$B:$M, 6, 0),"")</f>
        <v>288910</v>
      </c>
      <c r="I1152" s="46">
        <v>1</v>
      </c>
      <c r="J1152" s="46">
        <v>0</v>
      </c>
      <c r="K1152" s="46">
        <v>0</v>
      </c>
      <c r="L1152" s="46">
        <f t="shared" si="255"/>
        <v>1</v>
      </c>
      <c r="M1152" s="46">
        <f t="shared" si="256"/>
        <v>0.33333333333333331</v>
      </c>
      <c r="N1152" s="45">
        <f t="shared" si="257"/>
        <v>288910</v>
      </c>
      <c r="O1152" s="45">
        <f t="shared" si="258"/>
        <v>96303.333333333328</v>
      </c>
      <c r="P1152" s="46">
        <f t="shared" si="259"/>
        <v>1.111111111111111E-2</v>
      </c>
      <c r="Q1152" s="46"/>
      <c r="R1152" s="45">
        <f t="shared" si="260"/>
        <v>0</v>
      </c>
      <c r="S1152" s="46">
        <f t="shared" si="261"/>
        <v>0</v>
      </c>
      <c r="T1152" s="46">
        <f>IFERROR(VLOOKUP(A1152,'[1]Re-order'!$A:$Q,17,0),"")</f>
        <v>97.5</v>
      </c>
      <c r="U1152" s="46">
        <f>IFERROR(VLOOKUP(A1152,'[1]MC Masterlist 2026-09-12'!$B:$M, 10, 0),0)</f>
        <v>15</v>
      </c>
      <c r="V1152" s="46">
        <f>IFERROR(VLOOKUP(A1152,'[1]MC Masterlist 2026-09-12'!$B:$M, 11, 0),0)</f>
        <v>15</v>
      </c>
      <c r="W1152" s="46">
        <f t="shared" si="262"/>
        <v>30</v>
      </c>
      <c r="X1152" s="46">
        <f t="shared" si="263"/>
        <v>6.833333333333333</v>
      </c>
      <c r="Y1152" s="46">
        <f>IFERROR(IF(OR(C1152="AREA I",C1152="AREA V"),7,VLOOKUP(A1152,'[1]MC Masterlist 2026-09-12'!$B:$M, 12, 0)),0)</f>
        <v>7</v>
      </c>
      <c r="Z1152" s="46">
        <f t="shared" si="264"/>
        <v>0.16666666666666666</v>
      </c>
      <c r="AA1152" s="46">
        <f t="shared" si="265"/>
        <v>0.33333333333333331</v>
      </c>
      <c r="AB1152" s="46">
        <f t="shared" si="266"/>
        <v>7.5925925925925911E-2</v>
      </c>
      <c r="AC1152" s="46">
        <f t="shared" si="267"/>
        <v>7.7777777777777765E-2</v>
      </c>
      <c r="AD1152" s="44" t="str">
        <f t="shared" si="268"/>
        <v>Stockout</v>
      </c>
      <c r="AE1152" s="44" t="str">
        <f>IFERROR(VLOOKUP(A1152,'[1]Re-order'!$A:$AA,27,0),"")</f>
        <v>Over</v>
      </c>
      <c r="AF1152" s="46">
        <f t="shared" si="269"/>
        <v>7.7777777777777765E-2</v>
      </c>
      <c r="AG1152" s="46">
        <f>SUMIFS('[1]Raw Inventory'!D:D,'[1]Raw Inventory'!C:C,"GREATWALL",'[1]Raw Inventory'!B:B,A1152)</f>
        <v>7</v>
      </c>
      <c r="AH1152" s="46">
        <f>SUMIFS('[1]Raw Inventory'!D:D,'[1]Raw Inventory'!C:C,"DUARTE",'[1]Raw Inventory'!B:B,A1152)</f>
        <v>0</v>
      </c>
      <c r="AI1152" s="46"/>
      <c r="AJ1152" s="46"/>
      <c r="AK1152" s="43"/>
      <c r="AL1152" s="43"/>
      <c r="AM1152" s="43"/>
      <c r="AN1152" s="43"/>
      <c r="AO1152" s="43"/>
      <c r="AP1152" s="43"/>
      <c r="AQ1152" s="43"/>
      <c r="AR1152" s="43"/>
      <c r="AS1152" s="43"/>
      <c r="AT1152" s="43"/>
    </row>
    <row r="1153" spans="1:46">
      <c r="A1153" s="43" t="s">
        <v>46</v>
      </c>
      <c r="B1153" s="43" t="s">
        <v>114</v>
      </c>
      <c r="C1153" s="43" t="s">
        <v>109</v>
      </c>
      <c r="D1153" s="44" t="s">
        <v>246</v>
      </c>
      <c r="E1153" s="44">
        <v>11</v>
      </c>
      <c r="F1153" s="44" t="s">
        <v>2</v>
      </c>
      <c r="G1153" s="43" t="str">
        <f>IFERROR(VLOOKUP(A1153,'[1]MC Masterlist 2026-09-12'!$B:$M, 3, 0),"")</f>
        <v>HONDA</v>
      </c>
      <c r="H1153" s="45">
        <f>IFERROR(VLOOKUP(A1153,'[1]MC Masterlist 2026-09-12'!$B:$M, 6, 0),"")</f>
        <v>73630</v>
      </c>
      <c r="I1153" s="46">
        <v>1</v>
      </c>
      <c r="J1153" s="46">
        <v>3</v>
      </c>
      <c r="K1153" s="46">
        <v>2</v>
      </c>
      <c r="L1153" s="46">
        <f t="shared" si="255"/>
        <v>6</v>
      </c>
      <c r="M1153" s="46">
        <f t="shared" si="256"/>
        <v>2</v>
      </c>
      <c r="N1153" s="45">
        <f t="shared" si="257"/>
        <v>441780</v>
      </c>
      <c r="O1153" s="45">
        <f t="shared" si="258"/>
        <v>147260</v>
      </c>
      <c r="P1153" s="46">
        <f t="shared" si="259"/>
        <v>6.6666666666666666E-2</v>
      </c>
      <c r="Q1153" s="46"/>
      <c r="R1153" s="45">
        <f t="shared" si="260"/>
        <v>0</v>
      </c>
      <c r="S1153" s="46">
        <f t="shared" si="261"/>
        <v>0</v>
      </c>
      <c r="T1153" s="46">
        <f>IFERROR(VLOOKUP(A1153,'[1]Re-order'!$A:$Q,17,0),"")</f>
        <v>51</v>
      </c>
      <c r="U1153" s="46">
        <f>IFERROR(VLOOKUP(A1153,'[1]MC Masterlist 2026-09-12'!$B:$M, 10, 0),0)</f>
        <v>15</v>
      </c>
      <c r="V1153" s="46">
        <f>IFERROR(VLOOKUP(A1153,'[1]MC Masterlist 2026-09-12'!$B:$M, 11, 0),0)</f>
        <v>15</v>
      </c>
      <c r="W1153" s="46">
        <f t="shared" si="262"/>
        <v>30</v>
      </c>
      <c r="X1153" s="46">
        <f t="shared" si="263"/>
        <v>29</v>
      </c>
      <c r="Y1153" s="46">
        <f>IFERROR(IF(OR(C1153="AREA I",C1153="AREA V"),7,VLOOKUP(A1153,'[1]MC Masterlist 2026-09-12'!$B:$M, 12, 0)),0)</f>
        <v>30</v>
      </c>
      <c r="Z1153" s="46">
        <f t="shared" si="264"/>
        <v>1</v>
      </c>
      <c r="AA1153" s="46">
        <f t="shared" si="265"/>
        <v>2</v>
      </c>
      <c r="AB1153" s="46">
        <f t="shared" si="266"/>
        <v>1.9333333333333333</v>
      </c>
      <c r="AC1153" s="46">
        <f t="shared" si="267"/>
        <v>2</v>
      </c>
      <c r="AD1153" s="44" t="str">
        <f t="shared" si="268"/>
        <v>Stockout</v>
      </c>
      <c r="AE1153" s="44" t="str">
        <f>IFERROR(VLOOKUP(A1153,'[1]Re-order'!$A:$AA,27,0),"")</f>
        <v>Re-order</v>
      </c>
      <c r="AF1153" s="46">
        <f t="shared" si="269"/>
        <v>2</v>
      </c>
      <c r="AG1153" s="46">
        <f>SUMIFS('[1]Raw Inventory'!D:D,'[1]Raw Inventory'!C:C,"GREATWALL",'[1]Raw Inventory'!B:B,A1153)</f>
        <v>0</v>
      </c>
      <c r="AH1153" s="46">
        <f>SUMIFS('[1]Raw Inventory'!D:D,'[1]Raw Inventory'!C:C,"DUARTE",'[1]Raw Inventory'!B:B,A1153)</f>
        <v>0</v>
      </c>
      <c r="AI1153" s="46"/>
      <c r="AJ1153" s="46"/>
      <c r="AK1153" s="43"/>
      <c r="AL1153" s="43"/>
      <c r="AM1153" s="43"/>
      <c r="AN1153" s="43"/>
      <c r="AO1153" s="43"/>
      <c r="AP1153" s="43"/>
      <c r="AQ1153" s="43"/>
      <c r="AR1153" s="43"/>
      <c r="AS1153" s="43"/>
      <c r="AT1153" s="43"/>
    </row>
    <row r="1154" spans="1:46">
      <c r="A1154" s="43" t="s">
        <v>17</v>
      </c>
      <c r="B1154" s="43" t="s">
        <v>19</v>
      </c>
      <c r="C1154" s="43" t="s">
        <v>1</v>
      </c>
      <c r="D1154" s="44" t="s">
        <v>225</v>
      </c>
      <c r="E1154" s="44">
        <v>3</v>
      </c>
      <c r="F1154" s="44" t="s">
        <v>0</v>
      </c>
      <c r="G1154" s="43" t="str">
        <f>IFERROR(VLOOKUP(A1154,'[1]MC Masterlist 2026-09-12'!$B:$M, 3, 0),"")</f>
        <v>HONDA</v>
      </c>
      <c r="H1154" s="45">
        <f>IFERROR(VLOOKUP(A1154,'[1]MC Masterlist 2026-09-12'!$B:$M, 6, 0),"")</f>
        <v>140790</v>
      </c>
      <c r="I1154" s="46">
        <v>9</v>
      </c>
      <c r="J1154" s="46">
        <v>5</v>
      </c>
      <c r="K1154" s="46">
        <v>9</v>
      </c>
      <c r="L1154" s="46">
        <f t="shared" si="255"/>
        <v>23</v>
      </c>
      <c r="M1154" s="46">
        <f t="shared" si="256"/>
        <v>7.666666666666667</v>
      </c>
      <c r="N1154" s="45">
        <f t="shared" si="257"/>
        <v>3238170</v>
      </c>
      <c r="O1154" s="45">
        <f t="shared" si="258"/>
        <v>1079390</v>
      </c>
      <c r="P1154" s="46">
        <f t="shared" si="259"/>
        <v>0.25555555555555559</v>
      </c>
      <c r="Q1154" s="46">
        <v>4</v>
      </c>
      <c r="R1154" s="45">
        <f t="shared" si="260"/>
        <v>563160</v>
      </c>
      <c r="S1154" s="46">
        <f t="shared" si="261"/>
        <v>15.652173913043478</v>
      </c>
      <c r="T1154" s="46">
        <f>IFERROR(VLOOKUP(A1154,'[1]Re-order'!$A:$Q,17,0),"")</f>
        <v>43.663366336633665</v>
      </c>
      <c r="U1154" s="46">
        <f>IFERROR(VLOOKUP(A1154,'[1]MC Masterlist 2026-09-12'!$B:$M, 10, 0),0)</f>
        <v>15</v>
      </c>
      <c r="V1154" s="46">
        <f>IFERROR(VLOOKUP(A1154,'[1]MC Masterlist 2026-09-12'!$B:$M, 11, 0),0)</f>
        <v>15</v>
      </c>
      <c r="W1154" s="46">
        <f t="shared" si="262"/>
        <v>30</v>
      </c>
      <c r="X1154" s="46">
        <f t="shared" si="263"/>
        <v>3.1666666666666661</v>
      </c>
      <c r="Y1154" s="46">
        <f>IFERROR(IF(OR(C1154="AREA I",C1154="AREA V"),7,VLOOKUP(A1154,'[1]MC Masterlist 2026-09-12'!$B:$M, 12, 0)),0)</f>
        <v>7</v>
      </c>
      <c r="Z1154" s="46">
        <f t="shared" si="264"/>
        <v>3.8333333333333339</v>
      </c>
      <c r="AA1154" s="46">
        <f t="shared" si="265"/>
        <v>7.6666666666666679</v>
      </c>
      <c r="AB1154" s="46">
        <f t="shared" si="266"/>
        <v>0.80925925925925923</v>
      </c>
      <c r="AC1154" s="46">
        <f t="shared" si="267"/>
        <v>1.7888888888888892</v>
      </c>
      <c r="AD1154" s="44" t="str">
        <f t="shared" si="268"/>
        <v>Over</v>
      </c>
      <c r="AE1154" s="44" t="str">
        <f>IFERROR(VLOOKUP(A1154,'[1]Re-order'!$A:$AA,27,0),"")</f>
        <v>Re-order</v>
      </c>
      <c r="AF1154" s="46">
        <f t="shared" si="269"/>
        <v>-2.2111111111111108</v>
      </c>
      <c r="AG1154" s="46">
        <f>SUMIFS('[1]Raw Inventory'!D:D,'[1]Raw Inventory'!C:C,"GREATWALL",'[1]Raw Inventory'!B:B,A1154)</f>
        <v>12</v>
      </c>
      <c r="AH1154" s="46">
        <f>SUMIFS('[1]Raw Inventory'!D:D,'[1]Raw Inventory'!C:C,"DUARTE",'[1]Raw Inventory'!B:B,A1154)</f>
        <v>0</v>
      </c>
      <c r="AI1154" s="46"/>
      <c r="AJ1154" s="46"/>
      <c r="AK1154" s="43"/>
      <c r="AL1154" s="43"/>
      <c r="AM1154" s="43"/>
      <c r="AN1154" s="43"/>
      <c r="AO1154" s="43"/>
      <c r="AP1154" s="43"/>
      <c r="AQ1154" s="43"/>
      <c r="AR1154" s="43"/>
      <c r="AS1154" s="43"/>
      <c r="AT1154" s="43"/>
    </row>
    <row r="1155" spans="1:46">
      <c r="A1155" s="43" t="s">
        <v>65</v>
      </c>
      <c r="B1155" s="43" t="s">
        <v>97</v>
      </c>
      <c r="C1155" s="43" t="s">
        <v>90</v>
      </c>
      <c r="D1155" s="44" t="s">
        <v>239</v>
      </c>
      <c r="E1155" s="44">
        <v>17</v>
      </c>
      <c r="F1155" s="44" t="s">
        <v>3</v>
      </c>
      <c r="G1155" s="43" t="str">
        <f>IFERROR(VLOOKUP(A1155,'[1]MC Masterlist 2026-09-12'!$B:$M, 3, 0),"")</f>
        <v>SUZUKI</v>
      </c>
      <c r="H1155" s="45">
        <f>IFERROR(VLOOKUP(A1155,'[1]MC Masterlist 2026-09-12'!$B:$M, 6, 0),"")</f>
        <v>77572</v>
      </c>
      <c r="I1155" s="46">
        <v>0</v>
      </c>
      <c r="J1155" s="46">
        <v>0</v>
      </c>
      <c r="K1155" s="46">
        <v>0</v>
      </c>
      <c r="L1155" s="46">
        <f t="shared" ref="L1155:L1218" si="270">I1155+J1155+K1155</f>
        <v>0</v>
      </c>
      <c r="M1155" s="46">
        <f t="shared" ref="M1155:M1218" si="271">AVERAGE(I1155,J1155,K1155)</f>
        <v>0</v>
      </c>
      <c r="N1155" s="45">
        <f t="shared" ref="N1155:N1218" si="272">L1155*H1155</f>
        <v>0</v>
      </c>
      <c r="O1155" s="45">
        <f t="shared" ref="O1155:O1218" si="273">M1155*H1155</f>
        <v>0</v>
      </c>
      <c r="P1155" s="46">
        <f t="shared" ref="P1155:P1218" si="274">M1155/30</f>
        <v>0</v>
      </c>
      <c r="Q1155" s="46">
        <v>1</v>
      </c>
      <c r="R1155" s="45">
        <f t="shared" ref="R1155:R1218" si="275">IFERROR(Q1155*H1155, 0)</f>
        <v>77572</v>
      </c>
      <c r="S1155" s="46">
        <f t="shared" ref="S1155:S1218" si="276">IFERROR(R1155/(O1155)*30, 0)</f>
        <v>0</v>
      </c>
      <c r="T1155" s="46">
        <f>IFERROR(VLOOKUP(A1155,'[1]Re-order'!$A:$Q,17,0),"")</f>
        <v>158.8235294117647</v>
      </c>
      <c r="U1155" s="46">
        <f>IFERROR(VLOOKUP(A1155,'[1]MC Masterlist 2026-09-12'!$B:$M, 10, 0),0)</f>
        <v>15</v>
      </c>
      <c r="V1155" s="46">
        <f>IFERROR(VLOOKUP(A1155,'[1]MC Masterlist 2026-09-12'!$B:$M, 11, 0),0)</f>
        <v>15</v>
      </c>
      <c r="W1155" s="46">
        <f t="shared" ref="W1155:W1218" si="277">U1155+V1155</f>
        <v>30</v>
      </c>
      <c r="X1155" s="46">
        <f t="shared" ref="X1155:X1218" si="278">Y1155-Z1155</f>
        <v>30</v>
      </c>
      <c r="Y1155" s="46">
        <f>IFERROR(IF(OR(C1155="AREA I",C1155="AREA V"),7,VLOOKUP(A1155,'[1]MC Masterlist 2026-09-12'!$B:$M, 12, 0)),0)</f>
        <v>30</v>
      </c>
      <c r="Z1155" s="46">
        <f t="shared" ref="Z1155:Z1218" si="279">V1155*P1155</f>
        <v>0</v>
      </c>
      <c r="AA1155" s="46">
        <f t="shared" ref="AA1155:AA1218" si="280">W1155*P1155</f>
        <v>0</v>
      </c>
      <c r="AB1155" s="46">
        <f t="shared" ref="AB1155:AB1218" si="281">X1155*P1155</f>
        <v>0</v>
      </c>
      <c r="AC1155" s="46">
        <f t="shared" ref="AC1155:AC1218" si="282">Y1155*P1155</f>
        <v>0</v>
      </c>
      <c r="AD1155" s="44" t="str">
        <f t="shared" ref="AD1155:AD1218" si="283">IFERROR(IF(Q1155&gt;AC1155, "Over", IF(Q1155&lt;=Z1155, "Stockout", IF(Q1155&lt;=AA1155, "Re-order",""))), "")</f>
        <v>Over</v>
      </c>
      <c r="AE1155" s="44" t="str">
        <f>IFERROR(VLOOKUP(A1155,'[1]Re-order'!$A:$AA,27,0),"")</f>
        <v>Over</v>
      </c>
      <c r="AF1155" s="46">
        <f t="shared" ref="AF1155:AF1218" si="284">AC1155-Q1155</f>
        <v>-1</v>
      </c>
      <c r="AG1155" s="46">
        <f>SUMIFS('[1]Raw Inventory'!D:D,'[1]Raw Inventory'!C:C,"GREATWALL",'[1]Raw Inventory'!B:B,A1155)</f>
        <v>4</v>
      </c>
      <c r="AH1155" s="46">
        <f>SUMIFS('[1]Raw Inventory'!D:D,'[1]Raw Inventory'!C:C,"DUARTE",'[1]Raw Inventory'!B:B,A1155)</f>
        <v>0</v>
      </c>
      <c r="AI1155" s="46"/>
      <c r="AJ1155" s="46"/>
      <c r="AK1155" s="43"/>
      <c r="AL1155" s="43"/>
      <c r="AM1155" s="43"/>
      <c r="AN1155" s="43"/>
      <c r="AO1155" s="43"/>
      <c r="AP1155" s="43"/>
      <c r="AQ1155" s="43"/>
      <c r="AR1155" s="43"/>
      <c r="AS1155" s="43"/>
      <c r="AT1155" s="43"/>
    </row>
    <row r="1156" spans="1:46">
      <c r="A1156" s="43" t="s">
        <v>41</v>
      </c>
      <c r="B1156" s="43" t="s">
        <v>115</v>
      </c>
      <c r="C1156" s="43" t="s">
        <v>109</v>
      </c>
      <c r="D1156" s="44" t="s">
        <v>232</v>
      </c>
      <c r="E1156" s="44">
        <v>28</v>
      </c>
      <c r="F1156" s="44" t="s">
        <v>3</v>
      </c>
      <c r="G1156" s="43" t="str">
        <f>IFERROR(VLOOKUP(A1156,'[1]MC Masterlist 2026-09-12'!$B:$M, 3, 0),"")</f>
        <v>YAMAHA</v>
      </c>
      <c r="H1156" s="45">
        <f>IFERROR(VLOOKUP(A1156,'[1]MC Masterlist 2026-09-12'!$B:$M, 6, 0),"")</f>
        <v>92907</v>
      </c>
      <c r="I1156" s="46">
        <v>0</v>
      </c>
      <c r="J1156" s="46">
        <v>0</v>
      </c>
      <c r="K1156" s="46">
        <v>0</v>
      </c>
      <c r="L1156" s="46">
        <f t="shared" si="270"/>
        <v>0</v>
      </c>
      <c r="M1156" s="46">
        <f t="shared" si="271"/>
        <v>0</v>
      </c>
      <c r="N1156" s="45">
        <f t="shared" si="272"/>
        <v>0</v>
      </c>
      <c r="O1156" s="45">
        <f t="shared" si="273"/>
        <v>0</v>
      </c>
      <c r="P1156" s="46">
        <f t="shared" si="274"/>
        <v>0</v>
      </c>
      <c r="Q1156" s="46">
        <v>1</v>
      </c>
      <c r="R1156" s="45">
        <f t="shared" si="275"/>
        <v>92907</v>
      </c>
      <c r="S1156" s="46">
        <f t="shared" si="276"/>
        <v>0</v>
      </c>
      <c r="T1156" s="46">
        <f>IFERROR(VLOOKUP(A1156,'[1]Re-order'!$A:$Q,17,0),"")</f>
        <v>240</v>
      </c>
      <c r="U1156" s="46">
        <f>IFERROR(VLOOKUP(A1156,'[1]MC Masterlist 2026-09-12'!$B:$M, 10, 0),0)</f>
        <v>15</v>
      </c>
      <c r="V1156" s="46">
        <f>IFERROR(VLOOKUP(A1156,'[1]MC Masterlist 2026-09-12'!$B:$M, 11, 0),0)</f>
        <v>15</v>
      </c>
      <c r="W1156" s="46">
        <f t="shared" si="277"/>
        <v>30</v>
      </c>
      <c r="X1156" s="46">
        <f t="shared" si="278"/>
        <v>30</v>
      </c>
      <c r="Y1156" s="46">
        <f>IFERROR(IF(OR(C1156="AREA I",C1156="AREA V"),7,VLOOKUP(A1156,'[1]MC Masterlist 2026-09-12'!$B:$M, 12, 0)),0)</f>
        <v>30</v>
      </c>
      <c r="Z1156" s="46">
        <f t="shared" si="279"/>
        <v>0</v>
      </c>
      <c r="AA1156" s="46">
        <f t="shared" si="280"/>
        <v>0</v>
      </c>
      <c r="AB1156" s="46">
        <f t="shared" si="281"/>
        <v>0</v>
      </c>
      <c r="AC1156" s="46">
        <f t="shared" si="282"/>
        <v>0</v>
      </c>
      <c r="AD1156" s="44" t="str">
        <f t="shared" si="283"/>
        <v>Over</v>
      </c>
      <c r="AE1156" s="44" t="str">
        <f>IFERROR(VLOOKUP(A1156,'[1]Re-order'!$A:$AA,27,0),"")</f>
        <v>Over</v>
      </c>
      <c r="AF1156" s="46">
        <f t="shared" si="284"/>
        <v>-1</v>
      </c>
      <c r="AG1156" s="46">
        <f>SUMIFS('[1]Raw Inventory'!D:D,'[1]Raw Inventory'!C:C,"GREATWALL",'[1]Raw Inventory'!B:B,A1156)</f>
        <v>2</v>
      </c>
      <c r="AH1156" s="46">
        <f>SUMIFS('[1]Raw Inventory'!D:D,'[1]Raw Inventory'!C:C,"DUARTE",'[1]Raw Inventory'!B:B,A1156)</f>
        <v>0</v>
      </c>
      <c r="AI1156" s="46"/>
      <c r="AJ1156" s="46"/>
      <c r="AK1156" s="43"/>
      <c r="AL1156" s="43"/>
      <c r="AM1156" s="43"/>
      <c r="AN1156" s="43"/>
      <c r="AO1156" s="43"/>
      <c r="AP1156" s="43"/>
      <c r="AQ1156" s="43"/>
      <c r="AR1156" s="43"/>
      <c r="AS1156" s="43"/>
      <c r="AT1156" s="43"/>
    </row>
    <row r="1157" spans="1:46">
      <c r="A1157" s="43" t="s">
        <v>73</v>
      </c>
      <c r="B1157" s="43" t="s">
        <v>138</v>
      </c>
      <c r="C1157" s="43" t="s">
        <v>137</v>
      </c>
      <c r="D1157" s="44" t="s">
        <v>289</v>
      </c>
      <c r="E1157" s="44">
        <v>39</v>
      </c>
      <c r="F1157" s="44" t="s">
        <v>3</v>
      </c>
      <c r="G1157" s="43" t="str">
        <f>IFERROR(VLOOKUP(A1157,'[1]MC Masterlist 2026-09-12'!$B:$M, 3, 0),"")</f>
        <v>SUZUKI</v>
      </c>
      <c r="H1157" s="45">
        <f>IFERROR(VLOOKUP(A1157,'[1]MC Masterlist 2026-09-12'!$B:$M, 6, 0),"")</f>
        <v>122770</v>
      </c>
      <c r="I1157" s="46">
        <v>0</v>
      </c>
      <c r="J1157" s="46">
        <v>0</v>
      </c>
      <c r="K1157" s="46">
        <v>0</v>
      </c>
      <c r="L1157" s="46">
        <f t="shared" si="270"/>
        <v>0</v>
      </c>
      <c r="M1157" s="46">
        <f t="shared" si="271"/>
        <v>0</v>
      </c>
      <c r="N1157" s="45">
        <f t="shared" si="272"/>
        <v>0</v>
      </c>
      <c r="O1157" s="45">
        <f t="shared" si="273"/>
        <v>0</v>
      </c>
      <c r="P1157" s="46">
        <f t="shared" si="274"/>
        <v>0</v>
      </c>
      <c r="Q1157" s="46">
        <v>9</v>
      </c>
      <c r="R1157" s="45">
        <f t="shared" si="275"/>
        <v>1104930</v>
      </c>
      <c r="S1157" s="46">
        <f t="shared" si="276"/>
        <v>0</v>
      </c>
      <c r="T1157" s="46">
        <f>IFERROR(VLOOKUP(A1157,'[1]Re-order'!$A:$Q,17,0),"")</f>
        <v>787.50000000000011</v>
      </c>
      <c r="U1157" s="46">
        <f>IFERROR(VLOOKUP(A1157,'[1]MC Masterlist 2026-09-12'!$B:$M, 10, 0),0)</f>
        <v>15</v>
      </c>
      <c r="V1157" s="46">
        <f>IFERROR(VLOOKUP(A1157,'[1]MC Masterlist 2026-09-12'!$B:$M, 11, 0),0)</f>
        <v>15</v>
      </c>
      <c r="W1157" s="46">
        <f t="shared" si="277"/>
        <v>30</v>
      </c>
      <c r="X1157" s="46">
        <f t="shared" si="278"/>
        <v>7</v>
      </c>
      <c r="Y1157" s="46">
        <f>IFERROR(IF(OR(C1157="AREA I",C1157="AREA V"),7,VLOOKUP(A1157,'[1]MC Masterlist 2026-09-12'!$B:$M, 12, 0)),0)</f>
        <v>7</v>
      </c>
      <c r="Z1157" s="46">
        <f t="shared" si="279"/>
        <v>0</v>
      </c>
      <c r="AA1157" s="46">
        <f t="shared" si="280"/>
        <v>0</v>
      </c>
      <c r="AB1157" s="46">
        <f t="shared" si="281"/>
        <v>0</v>
      </c>
      <c r="AC1157" s="46">
        <f t="shared" si="282"/>
        <v>0</v>
      </c>
      <c r="AD1157" s="44" t="str">
        <f t="shared" si="283"/>
        <v>Over</v>
      </c>
      <c r="AE1157" s="44" t="str">
        <f>IFERROR(VLOOKUP(A1157,'[1]Re-order'!$A:$AA,27,0),"")</f>
        <v>Over</v>
      </c>
      <c r="AF1157" s="46">
        <f t="shared" si="284"/>
        <v>-9</v>
      </c>
      <c r="AG1157" s="46">
        <f>SUMIFS('[1]Raw Inventory'!D:D,'[1]Raw Inventory'!C:C,"GREATWALL",'[1]Raw Inventory'!B:B,A1157)</f>
        <v>9</v>
      </c>
      <c r="AH1157" s="46">
        <f>SUMIFS('[1]Raw Inventory'!D:D,'[1]Raw Inventory'!C:C,"DUARTE",'[1]Raw Inventory'!B:B,A1157)</f>
        <v>0</v>
      </c>
      <c r="AI1157" s="46"/>
      <c r="AJ1157" s="46"/>
      <c r="AK1157" s="43"/>
      <c r="AL1157" s="43"/>
      <c r="AM1157" s="43"/>
      <c r="AN1157" s="43"/>
      <c r="AO1157" s="43"/>
      <c r="AP1157" s="43"/>
      <c r="AQ1157" s="43"/>
      <c r="AR1157" s="43"/>
      <c r="AS1157" s="43"/>
      <c r="AT1157" s="43"/>
    </row>
    <row r="1158" spans="1:46">
      <c r="A1158" s="43" t="s">
        <v>42</v>
      </c>
      <c r="B1158" s="43" t="s">
        <v>97</v>
      </c>
      <c r="C1158" s="43" t="s">
        <v>90</v>
      </c>
      <c r="D1158" s="44" t="s">
        <v>247</v>
      </c>
      <c r="E1158" s="44">
        <v>17</v>
      </c>
      <c r="F1158" s="44" t="s">
        <v>3</v>
      </c>
      <c r="G1158" s="43" t="str">
        <f>IFERROR(VLOOKUP(A1158,'[1]MC Masterlist 2026-09-12'!$B:$M, 3, 0),"")</f>
        <v>YAMAHA</v>
      </c>
      <c r="H1158" s="45">
        <f>IFERROR(VLOOKUP(A1158,'[1]MC Masterlist 2026-09-12'!$B:$M, 6, 0),"")</f>
        <v>152892</v>
      </c>
      <c r="I1158" s="46">
        <v>0</v>
      </c>
      <c r="J1158" s="46">
        <v>0</v>
      </c>
      <c r="K1158" s="46">
        <v>0</v>
      </c>
      <c r="L1158" s="46">
        <f t="shared" si="270"/>
        <v>0</v>
      </c>
      <c r="M1158" s="46">
        <f t="shared" si="271"/>
        <v>0</v>
      </c>
      <c r="N1158" s="45">
        <f t="shared" si="272"/>
        <v>0</v>
      </c>
      <c r="O1158" s="45">
        <f t="shared" si="273"/>
        <v>0</v>
      </c>
      <c r="P1158" s="46">
        <f t="shared" si="274"/>
        <v>0</v>
      </c>
      <c r="Q1158" s="46">
        <v>2</v>
      </c>
      <c r="R1158" s="45">
        <f t="shared" si="275"/>
        <v>305784</v>
      </c>
      <c r="S1158" s="46">
        <f t="shared" si="276"/>
        <v>0</v>
      </c>
      <c r="T1158" s="46">
        <f>IFERROR(VLOOKUP(A1158,'[1]Re-order'!$A:$Q,17,0),"")</f>
        <v>104.55882352941177</v>
      </c>
      <c r="U1158" s="46">
        <f>IFERROR(VLOOKUP(A1158,'[1]MC Masterlist 2026-09-12'!$B:$M, 10, 0),0)</f>
        <v>15</v>
      </c>
      <c r="V1158" s="46">
        <f>IFERROR(VLOOKUP(A1158,'[1]MC Masterlist 2026-09-12'!$B:$M, 11, 0),0)</f>
        <v>15</v>
      </c>
      <c r="W1158" s="46">
        <f t="shared" si="277"/>
        <v>30</v>
      </c>
      <c r="X1158" s="46">
        <f t="shared" si="278"/>
        <v>30</v>
      </c>
      <c r="Y1158" s="46">
        <f>IFERROR(IF(OR(C1158="AREA I",C1158="AREA V"),7,VLOOKUP(A1158,'[1]MC Masterlist 2026-09-12'!$B:$M, 12, 0)),0)</f>
        <v>30</v>
      </c>
      <c r="Z1158" s="46">
        <f t="shared" si="279"/>
        <v>0</v>
      </c>
      <c r="AA1158" s="46">
        <f t="shared" si="280"/>
        <v>0</v>
      </c>
      <c r="AB1158" s="46">
        <f t="shared" si="281"/>
        <v>0</v>
      </c>
      <c r="AC1158" s="46">
        <f t="shared" si="282"/>
        <v>0</v>
      </c>
      <c r="AD1158" s="44" t="str">
        <f t="shared" si="283"/>
        <v>Over</v>
      </c>
      <c r="AE1158" s="44" t="str">
        <f>IFERROR(VLOOKUP(A1158,'[1]Re-order'!$A:$AA,27,0),"")</f>
        <v>Over</v>
      </c>
      <c r="AF1158" s="46">
        <f t="shared" si="284"/>
        <v>-2</v>
      </c>
      <c r="AG1158" s="46">
        <f>SUMIFS('[1]Raw Inventory'!D:D,'[1]Raw Inventory'!C:C,"GREATWALL",'[1]Raw Inventory'!B:B,A1158)</f>
        <v>3</v>
      </c>
      <c r="AH1158" s="46">
        <f>SUMIFS('[1]Raw Inventory'!D:D,'[1]Raw Inventory'!C:C,"DUARTE",'[1]Raw Inventory'!B:B,A1158)</f>
        <v>0</v>
      </c>
      <c r="AI1158" s="46"/>
      <c r="AJ1158" s="46"/>
      <c r="AK1158" s="43"/>
      <c r="AL1158" s="43"/>
      <c r="AM1158" s="43"/>
      <c r="AN1158" s="43"/>
      <c r="AO1158" s="43"/>
      <c r="AP1158" s="43"/>
      <c r="AQ1158" s="43"/>
      <c r="AR1158" s="43"/>
      <c r="AS1158" s="43"/>
      <c r="AT1158" s="43"/>
    </row>
    <row r="1159" spans="1:46">
      <c r="A1159" s="43" t="s">
        <v>69</v>
      </c>
      <c r="B1159" s="43" t="s">
        <v>138</v>
      </c>
      <c r="C1159" s="43" t="s">
        <v>137</v>
      </c>
      <c r="D1159" s="44" t="s">
        <v>253</v>
      </c>
      <c r="E1159" s="44">
        <v>26</v>
      </c>
      <c r="F1159" s="44" t="s">
        <v>3</v>
      </c>
      <c r="G1159" s="43" t="str">
        <f>IFERROR(VLOOKUP(A1159,'[1]MC Masterlist 2026-09-12'!$B:$M, 3, 0),"")</f>
        <v>YAMAHA</v>
      </c>
      <c r="H1159" s="45">
        <f>IFERROR(VLOOKUP(A1159,'[1]MC Masterlist 2026-09-12'!$B:$M, 6, 0),"")</f>
        <v>54426</v>
      </c>
      <c r="I1159" s="46">
        <v>0</v>
      </c>
      <c r="J1159" s="46">
        <v>0</v>
      </c>
      <c r="K1159" s="46">
        <v>0</v>
      </c>
      <c r="L1159" s="46">
        <f t="shared" si="270"/>
        <v>0</v>
      </c>
      <c r="M1159" s="46">
        <f t="shared" si="271"/>
        <v>0</v>
      </c>
      <c r="N1159" s="45">
        <f t="shared" si="272"/>
        <v>0</v>
      </c>
      <c r="O1159" s="45">
        <f t="shared" si="273"/>
        <v>0</v>
      </c>
      <c r="P1159" s="46">
        <f t="shared" si="274"/>
        <v>0</v>
      </c>
      <c r="Q1159" s="46">
        <v>1</v>
      </c>
      <c r="R1159" s="45">
        <f t="shared" si="275"/>
        <v>54426</v>
      </c>
      <c r="S1159" s="46">
        <f t="shared" si="276"/>
        <v>0</v>
      </c>
      <c r="T1159" s="46">
        <f>IFERROR(VLOOKUP(A1159,'[1]Re-order'!$A:$Q,17,0),"")</f>
        <v>62.307692307692314</v>
      </c>
      <c r="U1159" s="46">
        <f>IFERROR(VLOOKUP(A1159,'[1]MC Masterlist 2026-09-12'!$B:$M, 10, 0),0)</f>
        <v>15</v>
      </c>
      <c r="V1159" s="46">
        <f>IFERROR(VLOOKUP(A1159,'[1]MC Masterlist 2026-09-12'!$B:$M, 11, 0),0)</f>
        <v>15</v>
      </c>
      <c r="W1159" s="46">
        <f t="shared" si="277"/>
        <v>30</v>
      </c>
      <c r="X1159" s="46">
        <f t="shared" si="278"/>
        <v>7</v>
      </c>
      <c r="Y1159" s="46">
        <f>IFERROR(IF(OR(C1159="AREA I",C1159="AREA V"),7,VLOOKUP(A1159,'[1]MC Masterlist 2026-09-12'!$B:$M, 12, 0)),0)</f>
        <v>7</v>
      </c>
      <c r="Z1159" s="46">
        <f t="shared" si="279"/>
        <v>0</v>
      </c>
      <c r="AA1159" s="46">
        <f t="shared" si="280"/>
        <v>0</v>
      </c>
      <c r="AB1159" s="46">
        <f t="shared" si="281"/>
        <v>0</v>
      </c>
      <c r="AC1159" s="46">
        <f t="shared" si="282"/>
        <v>0</v>
      </c>
      <c r="AD1159" s="44" t="str">
        <f t="shared" si="283"/>
        <v>Over</v>
      </c>
      <c r="AE1159" s="44" t="str">
        <f>IFERROR(VLOOKUP(A1159,'[1]Re-order'!$A:$AA,27,0),"")</f>
        <v>Re-order</v>
      </c>
      <c r="AF1159" s="46">
        <f t="shared" si="284"/>
        <v>-1</v>
      </c>
      <c r="AG1159" s="46">
        <f>SUMIFS('[1]Raw Inventory'!D:D,'[1]Raw Inventory'!C:C,"GREATWALL",'[1]Raw Inventory'!B:B,A1159)</f>
        <v>1</v>
      </c>
      <c r="AH1159" s="46">
        <f>SUMIFS('[1]Raw Inventory'!D:D,'[1]Raw Inventory'!C:C,"DUARTE",'[1]Raw Inventory'!B:B,A1159)</f>
        <v>0</v>
      </c>
      <c r="AI1159" s="46"/>
      <c r="AJ1159" s="46"/>
      <c r="AK1159" s="43"/>
      <c r="AL1159" s="43"/>
      <c r="AM1159" s="43"/>
      <c r="AN1159" s="43"/>
      <c r="AO1159" s="43"/>
      <c r="AP1159" s="43"/>
      <c r="AQ1159" s="43"/>
      <c r="AR1159" s="43"/>
      <c r="AS1159" s="43"/>
      <c r="AT1159" s="43"/>
    </row>
    <row r="1160" spans="1:46">
      <c r="A1160" s="43" t="s">
        <v>42</v>
      </c>
      <c r="B1160" s="43" t="s">
        <v>141</v>
      </c>
      <c r="C1160" s="43" t="s">
        <v>137</v>
      </c>
      <c r="D1160" s="44" t="s">
        <v>234</v>
      </c>
      <c r="E1160" s="44">
        <v>4</v>
      </c>
      <c r="F1160" s="44" t="s">
        <v>0</v>
      </c>
      <c r="G1160" s="43" t="str">
        <f>IFERROR(VLOOKUP(A1160,'[1]MC Masterlist 2026-09-12'!$B:$M, 3, 0),"")</f>
        <v>YAMAHA</v>
      </c>
      <c r="H1160" s="45">
        <f>IFERROR(VLOOKUP(A1160,'[1]MC Masterlist 2026-09-12'!$B:$M, 6, 0),"")</f>
        <v>152892</v>
      </c>
      <c r="I1160" s="46">
        <v>3</v>
      </c>
      <c r="J1160" s="46">
        <v>1</v>
      </c>
      <c r="K1160" s="46">
        <v>2</v>
      </c>
      <c r="L1160" s="46">
        <f t="shared" si="270"/>
        <v>6</v>
      </c>
      <c r="M1160" s="46">
        <f t="shared" si="271"/>
        <v>2</v>
      </c>
      <c r="N1160" s="45">
        <f t="shared" si="272"/>
        <v>917352</v>
      </c>
      <c r="O1160" s="45">
        <f t="shared" si="273"/>
        <v>305784</v>
      </c>
      <c r="P1160" s="46">
        <f t="shared" si="274"/>
        <v>6.6666666666666666E-2</v>
      </c>
      <c r="Q1160" s="46">
        <v>0</v>
      </c>
      <c r="R1160" s="45">
        <f t="shared" si="275"/>
        <v>0</v>
      </c>
      <c r="S1160" s="46">
        <f t="shared" si="276"/>
        <v>0</v>
      </c>
      <c r="T1160" s="46">
        <f>IFERROR(VLOOKUP(A1160,'[1]Re-order'!$A:$Q,17,0),"")</f>
        <v>104.55882352941177</v>
      </c>
      <c r="U1160" s="46">
        <f>IFERROR(VLOOKUP(A1160,'[1]MC Masterlist 2026-09-12'!$B:$M, 10, 0),0)</f>
        <v>15</v>
      </c>
      <c r="V1160" s="46">
        <f>IFERROR(VLOOKUP(A1160,'[1]MC Masterlist 2026-09-12'!$B:$M, 11, 0),0)</f>
        <v>15</v>
      </c>
      <c r="W1160" s="46">
        <f t="shared" si="277"/>
        <v>30</v>
      </c>
      <c r="X1160" s="46">
        <f t="shared" si="278"/>
        <v>6</v>
      </c>
      <c r="Y1160" s="46">
        <f>IFERROR(IF(OR(C1160="AREA I",C1160="AREA V"),7,VLOOKUP(A1160,'[1]MC Masterlist 2026-09-12'!$B:$M, 12, 0)),0)</f>
        <v>7</v>
      </c>
      <c r="Z1160" s="46">
        <f t="shared" si="279"/>
        <v>1</v>
      </c>
      <c r="AA1160" s="46">
        <f t="shared" si="280"/>
        <v>2</v>
      </c>
      <c r="AB1160" s="46">
        <f t="shared" si="281"/>
        <v>0.4</v>
      </c>
      <c r="AC1160" s="46">
        <f t="shared" si="282"/>
        <v>0.46666666666666667</v>
      </c>
      <c r="AD1160" s="44" t="str">
        <f t="shared" si="283"/>
        <v>Stockout</v>
      </c>
      <c r="AE1160" s="44" t="str">
        <f>IFERROR(VLOOKUP(A1160,'[1]Re-order'!$A:$AA,27,0),"")</f>
        <v>Over</v>
      </c>
      <c r="AF1160" s="46">
        <f t="shared" si="284"/>
        <v>0.46666666666666667</v>
      </c>
      <c r="AG1160" s="46">
        <f>SUMIFS('[1]Raw Inventory'!D:D,'[1]Raw Inventory'!C:C,"GREATWALL",'[1]Raw Inventory'!B:B,A1160)</f>
        <v>3</v>
      </c>
      <c r="AH1160" s="46">
        <f>SUMIFS('[1]Raw Inventory'!D:D,'[1]Raw Inventory'!C:C,"DUARTE",'[1]Raw Inventory'!B:B,A1160)</f>
        <v>0</v>
      </c>
      <c r="AI1160" s="46"/>
      <c r="AJ1160" s="46"/>
      <c r="AK1160" s="43"/>
      <c r="AL1160" s="43"/>
      <c r="AM1160" s="43"/>
      <c r="AN1160" s="43"/>
      <c r="AO1160" s="43"/>
      <c r="AP1160" s="43"/>
      <c r="AQ1160" s="43"/>
      <c r="AR1160" s="43"/>
      <c r="AS1160" s="43"/>
      <c r="AT1160" s="43"/>
    </row>
    <row r="1161" spans="1:46">
      <c r="A1161" s="43" t="s">
        <v>25</v>
      </c>
      <c r="B1161" s="43" t="s">
        <v>113</v>
      </c>
      <c r="C1161" s="43" t="s">
        <v>109</v>
      </c>
      <c r="D1161" s="44" t="s">
        <v>224</v>
      </c>
      <c r="E1161" s="44">
        <v>10</v>
      </c>
      <c r="F1161" s="44" t="s">
        <v>2</v>
      </c>
      <c r="G1161" s="43" t="str">
        <f>IFERROR(VLOOKUP(A1161,'[1]MC Masterlist 2026-09-12'!$B:$M, 3, 0),"")</f>
        <v>YAMAHA</v>
      </c>
      <c r="H1161" s="45">
        <f>IFERROR(VLOOKUP(A1161,'[1]MC Masterlist 2026-09-12'!$B:$M, 6, 0),"")</f>
        <v>124527</v>
      </c>
      <c r="I1161" s="46">
        <v>2</v>
      </c>
      <c r="J1161" s="46">
        <v>2</v>
      </c>
      <c r="K1161" s="46">
        <v>0</v>
      </c>
      <c r="L1161" s="46">
        <f t="shared" si="270"/>
        <v>4</v>
      </c>
      <c r="M1161" s="46">
        <f t="shared" si="271"/>
        <v>1.3333333333333333</v>
      </c>
      <c r="N1161" s="45">
        <f t="shared" si="272"/>
        <v>498108</v>
      </c>
      <c r="O1161" s="45">
        <f t="shared" si="273"/>
        <v>166036</v>
      </c>
      <c r="P1161" s="46">
        <f t="shared" si="274"/>
        <v>4.4444444444444439E-2</v>
      </c>
      <c r="Q1161" s="46"/>
      <c r="R1161" s="45">
        <f t="shared" si="275"/>
        <v>0</v>
      </c>
      <c r="S1161" s="46">
        <f t="shared" si="276"/>
        <v>0</v>
      </c>
      <c r="T1161" s="46">
        <f>IFERROR(VLOOKUP(A1161,'[1]Re-order'!$A:$Q,17,0),"")</f>
        <v>5.1030927835051543</v>
      </c>
      <c r="U1161" s="46">
        <f>IFERROR(VLOOKUP(A1161,'[1]MC Masterlist 2026-09-12'!$B:$M, 10, 0),0)</f>
        <v>15</v>
      </c>
      <c r="V1161" s="46">
        <f>IFERROR(VLOOKUP(A1161,'[1]MC Masterlist 2026-09-12'!$B:$M, 11, 0),0)</f>
        <v>15</v>
      </c>
      <c r="W1161" s="46">
        <f t="shared" si="277"/>
        <v>30</v>
      </c>
      <c r="X1161" s="46">
        <f t="shared" si="278"/>
        <v>29.333333333333332</v>
      </c>
      <c r="Y1161" s="46">
        <f>IFERROR(IF(OR(C1161="AREA I",C1161="AREA V"),7,VLOOKUP(A1161,'[1]MC Masterlist 2026-09-12'!$B:$M, 12, 0)),0)</f>
        <v>30</v>
      </c>
      <c r="Z1161" s="46">
        <f t="shared" si="279"/>
        <v>0.66666666666666663</v>
      </c>
      <c r="AA1161" s="46">
        <f t="shared" si="280"/>
        <v>1.3333333333333333</v>
      </c>
      <c r="AB1161" s="46">
        <f t="shared" si="281"/>
        <v>1.3037037037037036</v>
      </c>
      <c r="AC1161" s="46">
        <f t="shared" si="282"/>
        <v>1.3333333333333333</v>
      </c>
      <c r="AD1161" s="44" t="str">
        <f t="shared" si="283"/>
        <v>Stockout</v>
      </c>
      <c r="AE1161" s="44" t="str">
        <f>IFERROR(VLOOKUP(A1161,'[1]Re-order'!$A:$AA,27,0),"")</f>
        <v>Stockout</v>
      </c>
      <c r="AF1161" s="46">
        <f t="shared" si="284"/>
        <v>1.3333333333333333</v>
      </c>
      <c r="AG1161" s="46">
        <f>SUMIFS('[1]Raw Inventory'!D:D,'[1]Raw Inventory'!C:C,"GREATWALL",'[1]Raw Inventory'!B:B,A1161)</f>
        <v>1</v>
      </c>
      <c r="AH1161" s="46">
        <f>SUMIFS('[1]Raw Inventory'!D:D,'[1]Raw Inventory'!C:C,"DUARTE",'[1]Raw Inventory'!B:B,A1161)</f>
        <v>0</v>
      </c>
      <c r="AI1161" s="46"/>
      <c r="AJ1161" s="46"/>
      <c r="AK1161" s="43"/>
      <c r="AL1161" s="43"/>
      <c r="AM1161" s="43"/>
      <c r="AN1161" s="43"/>
      <c r="AO1161" s="43"/>
      <c r="AP1161" s="43"/>
      <c r="AQ1161" s="43"/>
      <c r="AR1161" s="43"/>
      <c r="AS1161" s="43"/>
      <c r="AT1161" s="43"/>
    </row>
    <row r="1162" spans="1:46">
      <c r="A1162" s="43" t="s">
        <v>82</v>
      </c>
      <c r="B1162" s="43" t="s">
        <v>93</v>
      </c>
      <c r="C1162" s="43" t="s">
        <v>90</v>
      </c>
      <c r="D1162" s="44" t="s">
        <v>242</v>
      </c>
      <c r="E1162" s="44">
        <v>21</v>
      </c>
      <c r="F1162" s="44" t="s">
        <v>3</v>
      </c>
      <c r="G1162" s="43" t="str">
        <f>IFERROR(VLOOKUP(A1162,'[1]MC Masterlist 2026-09-12'!$B:$M, 3, 0),"")</f>
        <v>SUZUKI</v>
      </c>
      <c r="H1162" s="45">
        <f>IFERROR(VLOOKUP(A1162,'[1]MC Masterlist 2026-09-12'!$B:$M, 6, 0),"")</f>
        <v>67342</v>
      </c>
      <c r="I1162" s="46">
        <v>0</v>
      </c>
      <c r="J1162" s="46">
        <v>0</v>
      </c>
      <c r="K1162" s="46">
        <v>0</v>
      </c>
      <c r="L1162" s="46">
        <f t="shared" si="270"/>
        <v>0</v>
      </c>
      <c r="M1162" s="46">
        <f t="shared" si="271"/>
        <v>0</v>
      </c>
      <c r="N1162" s="45">
        <f t="shared" si="272"/>
        <v>0</v>
      </c>
      <c r="O1162" s="45">
        <f t="shared" si="273"/>
        <v>0</v>
      </c>
      <c r="P1162" s="46">
        <f t="shared" si="274"/>
        <v>0</v>
      </c>
      <c r="Q1162" s="46">
        <v>1</v>
      </c>
      <c r="R1162" s="45">
        <f t="shared" si="275"/>
        <v>67342</v>
      </c>
      <c r="S1162" s="46">
        <f t="shared" si="276"/>
        <v>0</v>
      </c>
      <c r="T1162" s="46">
        <f>IFERROR(VLOOKUP(A1162,'[1]Re-order'!$A:$Q,17,0),"")</f>
        <v>64.8</v>
      </c>
      <c r="U1162" s="46">
        <f>IFERROR(VLOOKUP(A1162,'[1]MC Masterlist 2026-09-12'!$B:$M, 10, 0),0)</f>
        <v>15</v>
      </c>
      <c r="V1162" s="46">
        <f>IFERROR(VLOOKUP(A1162,'[1]MC Masterlist 2026-09-12'!$B:$M, 11, 0),0)</f>
        <v>15</v>
      </c>
      <c r="W1162" s="46">
        <f t="shared" si="277"/>
        <v>30</v>
      </c>
      <c r="X1162" s="46">
        <f t="shared" si="278"/>
        <v>30</v>
      </c>
      <c r="Y1162" s="46">
        <f>IFERROR(IF(OR(C1162="AREA I",C1162="AREA V"),7,VLOOKUP(A1162,'[1]MC Masterlist 2026-09-12'!$B:$M, 12, 0)),0)</f>
        <v>30</v>
      </c>
      <c r="Z1162" s="46">
        <f t="shared" si="279"/>
        <v>0</v>
      </c>
      <c r="AA1162" s="46">
        <f t="shared" si="280"/>
        <v>0</v>
      </c>
      <c r="AB1162" s="46">
        <f t="shared" si="281"/>
        <v>0</v>
      </c>
      <c r="AC1162" s="46">
        <f t="shared" si="282"/>
        <v>0</v>
      </c>
      <c r="AD1162" s="44" t="str">
        <f t="shared" si="283"/>
        <v>Over</v>
      </c>
      <c r="AE1162" s="44" t="str">
        <f>IFERROR(VLOOKUP(A1162,'[1]Re-order'!$A:$AA,27,0),"")</f>
        <v>Re-order</v>
      </c>
      <c r="AF1162" s="46">
        <f t="shared" si="284"/>
        <v>-1</v>
      </c>
      <c r="AG1162" s="46">
        <f>SUMIFS('[1]Raw Inventory'!D:D,'[1]Raw Inventory'!C:C,"GREATWALL",'[1]Raw Inventory'!B:B,A1162)</f>
        <v>1</v>
      </c>
      <c r="AH1162" s="46">
        <f>SUMIFS('[1]Raw Inventory'!D:D,'[1]Raw Inventory'!C:C,"DUARTE",'[1]Raw Inventory'!B:B,A1162)</f>
        <v>0</v>
      </c>
      <c r="AI1162" s="46"/>
      <c r="AJ1162" s="46"/>
      <c r="AK1162" s="43"/>
      <c r="AL1162" s="43"/>
      <c r="AM1162" s="43"/>
      <c r="AN1162" s="43"/>
      <c r="AO1162" s="43"/>
      <c r="AP1162" s="43"/>
      <c r="AQ1162" s="43"/>
      <c r="AR1162" s="43"/>
      <c r="AS1162" s="43"/>
      <c r="AT1162" s="43"/>
    </row>
    <row r="1163" spans="1:46">
      <c r="A1163" s="43" t="s">
        <v>22</v>
      </c>
      <c r="B1163" s="43" t="s">
        <v>92</v>
      </c>
      <c r="C1163" s="43" t="s">
        <v>90</v>
      </c>
      <c r="D1163" s="44" t="s">
        <v>261</v>
      </c>
      <c r="E1163" s="44">
        <v>18</v>
      </c>
      <c r="F1163" s="44" t="s">
        <v>2</v>
      </c>
      <c r="G1163" s="43" t="str">
        <f>IFERROR(VLOOKUP(A1163,'[1]MC Masterlist 2026-09-12'!$B:$M, 3, 0),"")</f>
        <v>HONDA</v>
      </c>
      <c r="H1163" s="45">
        <f>IFERROR(VLOOKUP(A1163,'[1]MC Masterlist 2026-09-12'!$B:$M, 6, 0),"")</f>
        <v>111258</v>
      </c>
      <c r="I1163" s="46">
        <v>0</v>
      </c>
      <c r="J1163" s="46">
        <v>1</v>
      </c>
      <c r="K1163" s="46">
        <v>0</v>
      </c>
      <c r="L1163" s="46">
        <f t="shared" si="270"/>
        <v>1</v>
      </c>
      <c r="M1163" s="46">
        <f t="shared" si="271"/>
        <v>0.33333333333333331</v>
      </c>
      <c r="N1163" s="45">
        <f t="shared" si="272"/>
        <v>111258</v>
      </c>
      <c r="O1163" s="45">
        <f t="shared" si="273"/>
        <v>37086</v>
      </c>
      <c r="P1163" s="46">
        <f t="shared" si="274"/>
        <v>1.111111111111111E-2</v>
      </c>
      <c r="Q1163" s="46">
        <v>2</v>
      </c>
      <c r="R1163" s="45">
        <f t="shared" si="275"/>
        <v>222516</v>
      </c>
      <c r="S1163" s="46">
        <f t="shared" si="276"/>
        <v>180</v>
      </c>
      <c r="T1163" s="46">
        <f>IFERROR(VLOOKUP(A1163,'[1]Re-order'!$A:$Q,17,0),"")</f>
        <v>41.339712918660283</v>
      </c>
      <c r="U1163" s="46">
        <f>IFERROR(VLOOKUP(A1163,'[1]MC Masterlist 2026-09-12'!$B:$M, 10, 0),0)</f>
        <v>15</v>
      </c>
      <c r="V1163" s="46">
        <f>IFERROR(VLOOKUP(A1163,'[1]MC Masterlist 2026-09-12'!$B:$M, 11, 0),0)</f>
        <v>15</v>
      </c>
      <c r="W1163" s="46">
        <f t="shared" si="277"/>
        <v>30</v>
      </c>
      <c r="X1163" s="46">
        <f t="shared" si="278"/>
        <v>29.833333333333332</v>
      </c>
      <c r="Y1163" s="46">
        <f>IFERROR(IF(OR(C1163="AREA I",C1163="AREA V"),7,VLOOKUP(A1163,'[1]MC Masterlist 2026-09-12'!$B:$M, 12, 0)),0)</f>
        <v>30</v>
      </c>
      <c r="Z1163" s="46">
        <f t="shared" si="279"/>
        <v>0.16666666666666666</v>
      </c>
      <c r="AA1163" s="46">
        <f t="shared" si="280"/>
        <v>0.33333333333333331</v>
      </c>
      <c r="AB1163" s="46">
        <f t="shared" si="281"/>
        <v>0.33148148148148143</v>
      </c>
      <c r="AC1163" s="46">
        <f t="shared" si="282"/>
        <v>0.33333333333333331</v>
      </c>
      <c r="AD1163" s="44" t="str">
        <f t="shared" si="283"/>
        <v>Over</v>
      </c>
      <c r="AE1163" s="44" t="str">
        <f>IFERROR(VLOOKUP(A1163,'[1]Re-order'!$A:$AA,27,0),"")</f>
        <v>Re-order</v>
      </c>
      <c r="AF1163" s="46">
        <f t="shared" si="284"/>
        <v>-1.6666666666666667</v>
      </c>
      <c r="AG1163" s="46">
        <f>SUMIFS('[1]Raw Inventory'!D:D,'[1]Raw Inventory'!C:C,"GREATWALL",'[1]Raw Inventory'!B:B,A1163)</f>
        <v>4</v>
      </c>
      <c r="AH1163" s="46">
        <f>SUMIFS('[1]Raw Inventory'!D:D,'[1]Raw Inventory'!C:C,"DUARTE",'[1]Raw Inventory'!B:B,A1163)</f>
        <v>0</v>
      </c>
      <c r="AI1163" s="46"/>
      <c r="AJ1163" s="46"/>
      <c r="AK1163" s="43"/>
      <c r="AL1163" s="43"/>
      <c r="AM1163" s="43"/>
      <c r="AN1163" s="43"/>
      <c r="AO1163" s="43"/>
      <c r="AP1163" s="43"/>
      <c r="AQ1163" s="43"/>
      <c r="AR1163" s="43"/>
      <c r="AS1163" s="43"/>
      <c r="AT1163" s="43"/>
    </row>
    <row r="1164" spans="1:46">
      <c r="A1164" s="43" t="s">
        <v>25</v>
      </c>
      <c r="B1164" s="43" t="s">
        <v>112</v>
      </c>
      <c r="C1164" s="43" t="s">
        <v>109</v>
      </c>
      <c r="D1164" s="44" t="s">
        <v>259</v>
      </c>
      <c r="E1164" s="44">
        <v>5</v>
      </c>
      <c r="F1164" s="44" t="s">
        <v>0</v>
      </c>
      <c r="G1164" s="43" t="str">
        <f>IFERROR(VLOOKUP(A1164,'[1]MC Masterlist 2026-09-12'!$B:$M, 3, 0),"")</f>
        <v>YAMAHA</v>
      </c>
      <c r="H1164" s="45">
        <f>IFERROR(VLOOKUP(A1164,'[1]MC Masterlist 2026-09-12'!$B:$M, 6, 0),"")</f>
        <v>124527</v>
      </c>
      <c r="I1164" s="46">
        <v>2</v>
      </c>
      <c r="J1164" s="46">
        <v>0</v>
      </c>
      <c r="K1164" s="46">
        <v>1</v>
      </c>
      <c r="L1164" s="46">
        <f t="shared" si="270"/>
        <v>3</v>
      </c>
      <c r="M1164" s="46">
        <f t="shared" si="271"/>
        <v>1</v>
      </c>
      <c r="N1164" s="45">
        <f t="shared" si="272"/>
        <v>373581</v>
      </c>
      <c r="O1164" s="45">
        <f t="shared" si="273"/>
        <v>124527</v>
      </c>
      <c r="P1164" s="46">
        <f t="shared" si="274"/>
        <v>3.3333333333333333E-2</v>
      </c>
      <c r="Q1164" s="46"/>
      <c r="R1164" s="45">
        <f t="shared" si="275"/>
        <v>0</v>
      </c>
      <c r="S1164" s="46">
        <f t="shared" si="276"/>
        <v>0</v>
      </c>
      <c r="T1164" s="46">
        <f>IFERROR(VLOOKUP(A1164,'[1]Re-order'!$A:$Q,17,0),"")</f>
        <v>5.1030927835051543</v>
      </c>
      <c r="U1164" s="46">
        <f>IFERROR(VLOOKUP(A1164,'[1]MC Masterlist 2026-09-12'!$B:$M, 10, 0),0)</f>
        <v>15</v>
      </c>
      <c r="V1164" s="46">
        <f>IFERROR(VLOOKUP(A1164,'[1]MC Masterlist 2026-09-12'!$B:$M, 11, 0),0)</f>
        <v>15</v>
      </c>
      <c r="W1164" s="46">
        <f t="shared" si="277"/>
        <v>30</v>
      </c>
      <c r="X1164" s="46">
        <f t="shared" si="278"/>
        <v>29.5</v>
      </c>
      <c r="Y1164" s="46">
        <f>IFERROR(IF(OR(C1164="AREA I",C1164="AREA V"),7,VLOOKUP(A1164,'[1]MC Masterlist 2026-09-12'!$B:$M, 12, 0)),0)</f>
        <v>30</v>
      </c>
      <c r="Z1164" s="46">
        <f t="shared" si="279"/>
        <v>0.5</v>
      </c>
      <c r="AA1164" s="46">
        <f t="shared" si="280"/>
        <v>1</v>
      </c>
      <c r="AB1164" s="46">
        <f t="shared" si="281"/>
        <v>0.98333333333333328</v>
      </c>
      <c r="AC1164" s="46">
        <f t="shared" si="282"/>
        <v>1</v>
      </c>
      <c r="AD1164" s="44" t="str">
        <f t="shared" si="283"/>
        <v>Stockout</v>
      </c>
      <c r="AE1164" s="44" t="str">
        <f>IFERROR(VLOOKUP(A1164,'[1]Re-order'!$A:$AA,27,0),"")</f>
        <v>Stockout</v>
      </c>
      <c r="AF1164" s="46">
        <f t="shared" si="284"/>
        <v>1</v>
      </c>
      <c r="AG1164" s="46">
        <f>SUMIFS('[1]Raw Inventory'!D:D,'[1]Raw Inventory'!C:C,"GREATWALL",'[1]Raw Inventory'!B:B,A1164)</f>
        <v>1</v>
      </c>
      <c r="AH1164" s="46">
        <f>SUMIFS('[1]Raw Inventory'!D:D,'[1]Raw Inventory'!C:C,"DUARTE",'[1]Raw Inventory'!B:B,A1164)</f>
        <v>0</v>
      </c>
      <c r="AI1164" s="46"/>
      <c r="AJ1164" s="46"/>
      <c r="AK1164" s="43"/>
      <c r="AL1164" s="43"/>
      <c r="AM1164" s="43"/>
      <c r="AN1164" s="43"/>
      <c r="AO1164" s="43"/>
      <c r="AP1164" s="43"/>
      <c r="AQ1164" s="43"/>
      <c r="AR1164" s="43"/>
      <c r="AS1164" s="43"/>
      <c r="AT1164" s="43"/>
    </row>
    <row r="1165" spans="1:46">
      <c r="A1165" s="43" t="s">
        <v>85</v>
      </c>
      <c r="B1165" s="43" t="s">
        <v>144</v>
      </c>
      <c r="C1165" s="43" t="s">
        <v>137</v>
      </c>
      <c r="D1165" s="44" t="s">
        <v>239</v>
      </c>
      <c r="E1165" s="44">
        <v>33</v>
      </c>
      <c r="F1165" s="44" t="s">
        <v>3</v>
      </c>
      <c r="G1165" s="43" t="str">
        <f>IFERROR(VLOOKUP(A1165,'[1]MC Masterlist 2026-09-12'!$B:$M, 3, 0),"")</f>
        <v>KAWASAKI</v>
      </c>
      <c r="H1165" s="45">
        <f>IFERROR(VLOOKUP(A1165,'[1]MC Masterlist 2026-09-12'!$B:$M, 6, 0),"")</f>
        <v>71560</v>
      </c>
      <c r="I1165" s="46">
        <v>0</v>
      </c>
      <c r="J1165" s="46">
        <v>0</v>
      </c>
      <c r="K1165" s="46">
        <v>0</v>
      </c>
      <c r="L1165" s="46">
        <f t="shared" si="270"/>
        <v>0</v>
      </c>
      <c r="M1165" s="46">
        <f t="shared" si="271"/>
        <v>0</v>
      </c>
      <c r="N1165" s="45">
        <f t="shared" si="272"/>
        <v>0</v>
      </c>
      <c r="O1165" s="45">
        <f t="shared" si="273"/>
        <v>0</v>
      </c>
      <c r="P1165" s="46">
        <f t="shared" si="274"/>
        <v>0</v>
      </c>
      <c r="Q1165" s="46">
        <v>1</v>
      </c>
      <c r="R1165" s="45">
        <f t="shared" si="275"/>
        <v>71560</v>
      </c>
      <c r="S1165" s="46">
        <f t="shared" si="276"/>
        <v>0</v>
      </c>
      <c r="T1165" s="46">
        <f>IFERROR(VLOOKUP(A1165,'[1]Re-order'!$A:$Q,17,0),"")</f>
        <v>157.5</v>
      </c>
      <c r="U1165" s="46">
        <f>IFERROR(VLOOKUP(A1165,'[1]MC Masterlist 2026-09-12'!$B:$M, 10, 0),0)</f>
        <v>15</v>
      </c>
      <c r="V1165" s="46">
        <f>IFERROR(VLOOKUP(A1165,'[1]MC Masterlist 2026-09-12'!$B:$M, 11, 0),0)</f>
        <v>15</v>
      </c>
      <c r="W1165" s="46">
        <f t="shared" si="277"/>
        <v>30</v>
      </c>
      <c r="X1165" s="46">
        <f t="shared" si="278"/>
        <v>7</v>
      </c>
      <c r="Y1165" s="46">
        <f>IFERROR(IF(OR(C1165="AREA I",C1165="AREA V"),7,VLOOKUP(A1165,'[1]MC Masterlist 2026-09-12'!$B:$M, 12, 0)),0)</f>
        <v>7</v>
      </c>
      <c r="Z1165" s="46">
        <f t="shared" si="279"/>
        <v>0</v>
      </c>
      <c r="AA1165" s="46">
        <f t="shared" si="280"/>
        <v>0</v>
      </c>
      <c r="AB1165" s="46">
        <f t="shared" si="281"/>
        <v>0</v>
      </c>
      <c r="AC1165" s="46">
        <f t="shared" si="282"/>
        <v>0</v>
      </c>
      <c r="AD1165" s="44" t="str">
        <f t="shared" si="283"/>
        <v>Over</v>
      </c>
      <c r="AE1165" s="44" t="str">
        <f>IFERROR(VLOOKUP(A1165,'[1]Re-order'!$A:$AA,27,0),"")</f>
        <v>Over</v>
      </c>
      <c r="AF1165" s="46">
        <f t="shared" si="284"/>
        <v>-1</v>
      </c>
      <c r="AG1165" s="46">
        <f>SUMIFS('[1]Raw Inventory'!D:D,'[1]Raw Inventory'!C:C,"GREATWALL",'[1]Raw Inventory'!B:B,A1165)</f>
        <v>0</v>
      </c>
      <c r="AH1165" s="46">
        <f>SUMIFS('[1]Raw Inventory'!D:D,'[1]Raw Inventory'!C:C,"DUARTE",'[1]Raw Inventory'!B:B,A1165)</f>
        <v>0</v>
      </c>
      <c r="AI1165" s="46"/>
      <c r="AJ1165" s="46"/>
      <c r="AK1165" s="43"/>
      <c r="AL1165" s="43"/>
      <c r="AM1165" s="43"/>
      <c r="AN1165" s="43"/>
      <c r="AO1165" s="43"/>
      <c r="AP1165" s="43"/>
      <c r="AQ1165" s="43"/>
      <c r="AR1165" s="43"/>
      <c r="AS1165" s="43"/>
      <c r="AT1165" s="43"/>
    </row>
    <row r="1166" spans="1:46">
      <c r="A1166" s="43" t="s">
        <v>86</v>
      </c>
      <c r="B1166" s="43" t="s">
        <v>30</v>
      </c>
      <c r="C1166" s="43" t="s">
        <v>1</v>
      </c>
      <c r="D1166" s="44" t="s">
        <v>245</v>
      </c>
      <c r="E1166" s="44">
        <v>37</v>
      </c>
      <c r="F1166" s="44" t="s">
        <v>3</v>
      </c>
      <c r="G1166" s="43" t="str">
        <f>IFERROR(VLOOKUP(A1166,'[1]MC Masterlist 2026-09-12'!$B:$M, 3, 0),"")</f>
        <v>KAWASAKI</v>
      </c>
      <c r="H1166" s="45">
        <f>IFERROR(VLOOKUP(A1166,'[1]MC Masterlist 2026-09-12'!$B:$M, 6, 0),"")</f>
        <v>72500</v>
      </c>
      <c r="I1166" s="46">
        <v>0</v>
      </c>
      <c r="J1166" s="46">
        <v>0</v>
      </c>
      <c r="K1166" s="46">
        <v>0</v>
      </c>
      <c r="L1166" s="46">
        <f t="shared" si="270"/>
        <v>0</v>
      </c>
      <c r="M1166" s="46">
        <f t="shared" si="271"/>
        <v>0</v>
      </c>
      <c r="N1166" s="45">
        <f t="shared" si="272"/>
        <v>0</v>
      </c>
      <c r="O1166" s="45">
        <f t="shared" si="273"/>
        <v>0</v>
      </c>
      <c r="P1166" s="46">
        <f t="shared" si="274"/>
        <v>0</v>
      </c>
      <c r="Q1166" s="46">
        <v>1</v>
      </c>
      <c r="R1166" s="45">
        <f t="shared" si="275"/>
        <v>72500</v>
      </c>
      <c r="S1166" s="46">
        <f t="shared" si="276"/>
        <v>0</v>
      </c>
      <c r="T1166" s="46">
        <f>IFERROR(VLOOKUP(A1166,'[1]Re-order'!$A:$Q,17,0),"")</f>
        <v>150</v>
      </c>
      <c r="U1166" s="46">
        <f>IFERROR(VLOOKUP(A1166,'[1]MC Masterlist 2026-09-12'!$B:$M, 10, 0),0)</f>
        <v>15</v>
      </c>
      <c r="V1166" s="46">
        <f>IFERROR(VLOOKUP(A1166,'[1]MC Masterlist 2026-09-12'!$B:$M, 11, 0),0)</f>
        <v>15</v>
      </c>
      <c r="W1166" s="46">
        <f t="shared" si="277"/>
        <v>30</v>
      </c>
      <c r="X1166" s="46">
        <f t="shared" si="278"/>
        <v>7</v>
      </c>
      <c r="Y1166" s="46">
        <f>IFERROR(IF(OR(C1166="AREA I",C1166="AREA V"),7,VLOOKUP(A1166,'[1]MC Masterlist 2026-09-12'!$B:$M, 12, 0)),0)</f>
        <v>7</v>
      </c>
      <c r="Z1166" s="46">
        <f t="shared" si="279"/>
        <v>0</v>
      </c>
      <c r="AA1166" s="46">
        <f t="shared" si="280"/>
        <v>0</v>
      </c>
      <c r="AB1166" s="46">
        <f t="shared" si="281"/>
        <v>0</v>
      </c>
      <c r="AC1166" s="46">
        <f t="shared" si="282"/>
        <v>0</v>
      </c>
      <c r="AD1166" s="44" t="str">
        <f t="shared" si="283"/>
        <v>Over</v>
      </c>
      <c r="AE1166" s="44" t="str">
        <f>IFERROR(VLOOKUP(A1166,'[1]Re-order'!$A:$AA,27,0),"")</f>
        <v>Over</v>
      </c>
      <c r="AF1166" s="46">
        <f t="shared" si="284"/>
        <v>-1</v>
      </c>
      <c r="AG1166" s="46">
        <f>SUMIFS('[1]Raw Inventory'!D:D,'[1]Raw Inventory'!C:C,"GREATWALL",'[1]Raw Inventory'!B:B,A1166)</f>
        <v>0</v>
      </c>
      <c r="AH1166" s="46">
        <f>SUMIFS('[1]Raw Inventory'!D:D,'[1]Raw Inventory'!C:C,"DUARTE",'[1]Raw Inventory'!B:B,A1166)</f>
        <v>0</v>
      </c>
      <c r="AI1166" s="46"/>
      <c r="AJ1166" s="46"/>
      <c r="AK1166" s="43"/>
      <c r="AL1166" s="43"/>
      <c r="AM1166" s="43"/>
      <c r="AN1166" s="43"/>
      <c r="AO1166" s="43"/>
      <c r="AP1166" s="43"/>
      <c r="AQ1166" s="43"/>
      <c r="AR1166" s="43"/>
      <c r="AS1166" s="43"/>
      <c r="AT1166" s="43"/>
    </row>
    <row r="1167" spans="1:46">
      <c r="A1167" s="43" t="s">
        <v>82</v>
      </c>
      <c r="B1167" s="43" t="s">
        <v>30</v>
      </c>
      <c r="C1167" s="43" t="s">
        <v>1</v>
      </c>
      <c r="D1167" s="44" t="s">
        <v>231</v>
      </c>
      <c r="E1167" s="44">
        <v>35</v>
      </c>
      <c r="F1167" s="44" t="s">
        <v>3</v>
      </c>
      <c r="G1167" s="43" t="str">
        <f>IFERROR(VLOOKUP(A1167,'[1]MC Masterlist 2026-09-12'!$B:$M, 3, 0),"")</f>
        <v>SUZUKI</v>
      </c>
      <c r="H1167" s="45">
        <f>IFERROR(VLOOKUP(A1167,'[1]MC Masterlist 2026-09-12'!$B:$M, 6, 0),"")</f>
        <v>67342</v>
      </c>
      <c r="I1167" s="46">
        <v>1</v>
      </c>
      <c r="J1167" s="46">
        <v>0</v>
      </c>
      <c r="K1167" s="46">
        <v>0</v>
      </c>
      <c r="L1167" s="46">
        <f t="shared" si="270"/>
        <v>1</v>
      </c>
      <c r="M1167" s="46">
        <f t="shared" si="271"/>
        <v>0.33333333333333331</v>
      </c>
      <c r="N1167" s="45">
        <f t="shared" si="272"/>
        <v>67342</v>
      </c>
      <c r="O1167" s="45">
        <f t="shared" si="273"/>
        <v>22447.333333333332</v>
      </c>
      <c r="P1167" s="46">
        <f t="shared" si="274"/>
        <v>1.111111111111111E-2</v>
      </c>
      <c r="Q1167" s="46">
        <v>1</v>
      </c>
      <c r="R1167" s="45">
        <f t="shared" si="275"/>
        <v>67342</v>
      </c>
      <c r="S1167" s="46">
        <f t="shared" si="276"/>
        <v>90</v>
      </c>
      <c r="T1167" s="46">
        <f>IFERROR(VLOOKUP(A1167,'[1]Re-order'!$A:$Q,17,0),"")</f>
        <v>64.8</v>
      </c>
      <c r="U1167" s="46">
        <f>IFERROR(VLOOKUP(A1167,'[1]MC Masterlist 2026-09-12'!$B:$M, 10, 0),0)</f>
        <v>15</v>
      </c>
      <c r="V1167" s="46">
        <f>IFERROR(VLOOKUP(A1167,'[1]MC Masterlist 2026-09-12'!$B:$M, 11, 0),0)</f>
        <v>15</v>
      </c>
      <c r="W1167" s="46">
        <f t="shared" si="277"/>
        <v>30</v>
      </c>
      <c r="X1167" s="46">
        <f t="shared" si="278"/>
        <v>6.833333333333333</v>
      </c>
      <c r="Y1167" s="46">
        <f>IFERROR(IF(OR(C1167="AREA I",C1167="AREA V"),7,VLOOKUP(A1167,'[1]MC Masterlist 2026-09-12'!$B:$M, 12, 0)),0)</f>
        <v>7</v>
      </c>
      <c r="Z1167" s="46">
        <f t="shared" si="279"/>
        <v>0.16666666666666666</v>
      </c>
      <c r="AA1167" s="46">
        <f t="shared" si="280"/>
        <v>0.33333333333333331</v>
      </c>
      <c r="AB1167" s="46">
        <f t="shared" si="281"/>
        <v>7.5925925925925911E-2</v>
      </c>
      <c r="AC1167" s="46">
        <f t="shared" si="282"/>
        <v>7.7777777777777765E-2</v>
      </c>
      <c r="AD1167" s="44" t="str">
        <f t="shared" si="283"/>
        <v>Over</v>
      </c>
      <c r="AE1167" s="44" t="str">
        <f>IFERROR(VLOOKUP(A1167,'[1]Re-order'!$A:$AA,27,0),"")</f>
        <v>Re-order</v>
      </c>
      <c r="AF1167" s="46">
        <f t="shared" si="284"/>
        <v>-0.92222222222222228</v>
      </c>
      <c r="AG1167" s="46">
        <f>SUMIFS('[1]Raw Inventory'!D:D,'[1]Raw Inventory'!C:C,"GREATWALL",'[1]Raw Inventory'!B:B,A1167)</f>
        <v>1</v>
      </c>
      <c r="AH1167" s="46">
        <f>SUMIFS('[1]Raw Inventory'!D:D,'[1]Raw Inventory'!C:C,"DUARTE",'[1]Raw Inventory'!B:B,A1167)</f>
        <v>0</v>
      </c>
      <c r="AI1167" s="46"/>
      <c r="AJ1167" s="46"/>
      <c r="AK1167" s="43"/>
      <c r="AL1167" s="43"/>
      <c r="AM1167" s="43"/>
      <c r="AN1167" s="43"/>
      <c r="AO1167" s="43"/>
      <c r="AP1167" s="43"/>
      <c r="AQ1167" s="43"/>
      <c r="AR1167" s="43"/>
      <c r="AS1167" s="43"/>
      <c r="AT1167" s="43"/>
    </row>
    <row r="1168" spans="1:46">
      <c r="A1168" s="43" t="s">
        <v>44</v>
      </c>
      <c r="B1168" s="43" t="s">
        <v>121</v>
      </c>
      <c r="C1168" s="43" t="s">
        <v>118</v>
      </c>
      <c r="D1168" s="44" t="s">
        <v>262</v>
      </c>
      <c r="E1168" s="44">
        <v>16</v>
      </c>
      <c r="F1168" s="44" t="s">
        <v>2</v>
      </c>
      <c r="G1168" s="43" t="str">
        <f>IFERROR(VLOOKUP(A1168,'[1]MC Masterlist 2026-09-12'!$B:$M, 3, 0),"")</f>
        <v>YAMAHA</v>
      </c>
      <c r="H1168" s="45">
        <f>IFERROR(VLOOKUP(A1168,'[1]MC Masterlist 2026-09-12'!$B:$M, 6, 0),"")</f>
        <v>165912</v>
      </c>
      <c r="I1168" s="46">
        <v>1</v>
      </c>
      <c r="J1168" s="46">
        <v>0</v>
      </c>
      <c r="K1168" s="46">
        <v>0</v>
      </c>
      <c r="L1168" s="46">
        <f t="shared" si="270"/>
        <v>1</v>
      </c>
      <c r="M1168" s="46">
        <f t="shared" si="271"/>
        <v>0.33333333333333331</v>
      </c>
      <c r="N1168" s="45">
        <f t="shared" si="272"/>
        <v>165912</v>
      </c>
      <c r="O1168" s="45">
        <f t="shared" si="273"/>
        <v>55304</v>
      </c>
      <c r="P1168" s="46">
        <f t="shared" si="274"/>
        <v>1.111111111111111E-2</v>
      </c>
      <c r="Q1168" s="46"/>
      <c r="R1168" s="45">
        <f t="shared" si="275"/>
        <v>0</v>
      </c>
      <c r="S1168" s="46">
        <f t="shared" si="276"/>
        <v>0</v>
      </c>
      <c r="T1168" s="46">
        <f>IFERROR(VLOOKUP(A1168,'[1]Re-order'!$A:$Q,17,0),"")</f>
        <v>10.588235294117649</v>
      </c>
      <c r="U1168" s="46">
        <f>IFERROR(VLOOKUP(A1168,'[1]MC Masterlist 2026-09-12'!$B:$M, 10, 0),0)</f>
        <v>15</v>
      </c>
      <c r="V1168" s="46">
        <f>IFERROR(VLOOKUP(A1168,'[1]MC Masterlist 2026-09-12'!$B:$M, 11, 0),0)</f>
        <v>15</v>
      </c>
      <c r="W1168" s="46">
        <f t="shared" si="277"/>
        <v>30</v>
      </c>
      <c r="X1168" s="46">
        <f t="shared" si="278"/>
        <v>29.833333333333332</v>
      </c>
      <c r="Y1168" s="46">
        <f>IFERROR(IF(OR(C1168="AREA I",C1168="AREA V"),7,VLOOKUP(A1168,'[1]MC Masterlist 2026-09-12'!$B:$M, 12, 0)),0)</f>
        <v>30</v>
      </c>
      <c r="Z1168" s="46">
        <f t="shared" si="279"/>
        <v>0.16666666666666666</v>
      </c>
      <c r="AA1168" s="46">
        <f t="shared" si="280"/>
        <v>0.33333333333333331</v>
      </c>
      <c r="AB1168" s="46">
        <f t="shared" si="281"/>
        <v>0.33148148148148143</v>
      </c>
      <c r="AC1168" s="46">
        <f t="shared" si="282"/>
        <v>0.33333333333333331</v>
      </c>
      <c r="AD1168" s="44" t="str">
        <f t="shared" si="283"/>
        <v>Stockout</v>
      </c>
      <c r="AE1168" s="44" t="str">
        <f>IFERROR(VLOOKUP(A1168,'[1]Re-order'!$A:$AA,27,0),"")</f>
        <v>Stockout</v>
      </c>
      <c r="AF1168" s="46">
        <f t="shared" si="284"/>
        <v>0.33333333333333331</v>
      </c>
      <c r="AG1168" s="46">
        <f>SUMIFS('[1]Raw Inventory'!D:D,'[1]Raw Inventory'!C:C,"GREATWALL",'[1]Raw Inventory'!B:B,A1168)</f>
        <v>0</v>
      </c>
      <c r="AH1168" s="46">
        <f>SUMIFS('[1]Raw Inventory'!D:D,'[1]Raw Inventory'!C:C,"DUARTE",'[1]Raw Inventory'!B:B,A1168)</f>
        <v>0</v>
      </c>
      <c r="AI1168" s="46"/>
      <c r="AJ1168" s="46"/>
      <c r="AK1168" s="43"/>
      <c r="AL1168" s="43"/>
      <c r="AM1168" s="43"/>
      <c r="AN1168" s="43"/>
      <c r="AO1168" s="43"/>
      <c r="AP1168" s="43"/>
      <c r="AQ1168" s="43"/>
      <c r="AR1168" s="43"/>
      <c r="AS1168" s="43"/>
      <c r="AT1168" s="43"/>
    </row>
    <row r="1169" spans="1:46">
      <c r="A1169" s="43" t="s">
        <v>31</v>
      </c>
      <c r="B1169" s="43" t="s">
        <v>143</v>
      </c>
      <c r="C1169" s="43" t="s">
        <v>137</v>
      </c>
      <c r="D1169" s="44" t="s">
        <v>229</v>
      </c>
      <c r="E1169" s="44">
        <v>24</v>
      </c>
      <c r="F1169" s="44" t="s">
        <v>3</v>
      </c>
      <c r="G1169" s="43" t="str">
        <f>IFERROR(VLOOKUP(A1169,'[1]MC Masterlist 2026-09-12'!$B:$M, 3, 0),"")</f>
        <v>KAWASAKI</v>
      </c>
      <c r="H1169" s="45">
        <f>IFERROR(VLOOKUP(A1169,'[1]MC Masterlist 2026-09-12'!$B:$M, 6, 0),"")</f>
        <v>59528</v>
      </c>
      <c r="I1169" s="46">
        <v>1</v>
      </c>
      <c r="J1169" s="46">
        <v>0</v>
      </c>
      <c r="K1169" s="46">
        <v>0</v>
      </c>
      <c r="L1169" s="46">
        <f t="shared" si="270"/>
        <v>1</v>
      </c>
      <c r="M1169" s="46">
        <f t="shared" si="271"/>
        <v>0.33333333333333331</v>
      </c>
      <c r="N1169" s="45">
        <f t="shared" si="272"/>
        <v>59528</v>
      </c>
      <c r="O1169" s="45">
        <f t="shared" si="273"/>
        <v>19842.666666666664</v>
      </c>
      <c r="P1169" s="46">
        <f t="shared" si="274"/>
        <v>1.111111111111111E-2</v>
      </c>
      <c r="Q1169" s="46">
        <v>2</v>
      </c>
      <c r="R1169" s="45">
        <f t="shared" si="275"/>
        <v>119056</v>
      </c>
      <c r="S1169" s="46">
        <f t="shared" si="276"/>
        <v>180.00000000000003</v>
      </c>
      <c r="T1169" s="46">
        <f>IFERROR(VLOOKUP(A1169,'[1]Re-order'!$A:$Q,17,0),"")</f>
        <v>95.869565217391298</v>
      </c>
      <c r="U1169" s="46">
        <f>IFERROR(VLOOKUP(A1169,'[1]MC Masterlist 2026-09-12'!$B:$M, 10, 0),0)</f>
        <v>15</v>
      </c>
      <c r="V1169" s="46">
        <f>IFERROR(VLOOKUP(A1169,'[1]MC Masterlist 2026-09-12'!$B:$M, 11, 0),0)</f>
        <v>15</v>
      </c>
      <c r="W1169" s="46">
        <f t="shared" si="277"/>
        <v>30</v>
      </c>
      <c r="X1169" s="46">
        <f t="shared" si="278"/>
        <v>6.833333333333333</v>
      </c>
      <c r="Y1169" s="46">
        <f>IFERROR(IF(OR(C1169="AREA I",C1169="AREA V"),7,VLOOKUP(A1169,'[1]MC Masterlist 2026-09-12'!$B:$M, 12, 0)),0)</f>
        <v>7</v>
      </c>
      <c r="Z1169" s="46">
        <f t="shared" si="279"/>
        <v>0.16666666666666666</v>
      </c>
      <c r="AA1169" s="46">
        <f t="shared" si="280"/>
        <v>0.33333333333333331</v>
      </c>
      <c r="AB1169" s="46">
        <f t="shared" si="281"/>
        <v>7.5925925925925911E-2</v>
      </c>
      <c r="AC1169" s="46">
        <f t="shared" si="282"/>
        <v>7.7777777777777765E-2</v>
      </c>
      <c r="AD1169" s="44" t="str">
        <f t="shared" si="283"/>
        <v>Over</v>
      </c>
      <c r="AE1169" s="44" t="str">
        <f>IFERROR(VLOOKUP(A1169,'[1]Re-order'!$A:$AA,27,0),"")</f>
        <v>Over</v>
      </c>
      <c r="AF1169" s="46">
        <f t="shared" si="284"/>
        <v>-1.9222222222222223</v>
      </c>
      <c r="AG1169" s="46">
        <f>SUMIFS('[1]Raw Inventory'!D:D,'[1]Raw Inventory'!C:C,"GREATWALL",'[1]Raw Inventory'!B:B,A1169)</f>
        <v>79</v>
      </c>
      <c r="AH1169" s="46">
        <f>SUMIFS('[1]Raw Inventory'!D:D,'[1]Raw Inventory'!C:C,"DUARTE",'[1]Raw Inventory'!B:B,A1169)</f>
        <v>0</v>
      </c>
      <c r="AI1169" s="46"/>
      <c r="AJ1169" s="46"/>
      <c r="AK1169" s="43"/>
      <c r="AL1169" s="43"/>
      <c r="AM1169" s="43"/>
      <c r="AN1169" s="43"/>
      <c r="AO1169" s="43"/>
      <c r="AP1169" s="43"/>
      <c r="AQ1169" s="43"/>
      <c r="AR1169" s="43"/>
      <c r="AS1169" s="43"/>
      <c r="AT1169" s="43"/>
    </row>
    <row r="1170" spans="1:46">
      <c r="A1170" s="43" t="s">
        <v>46</v>
      </c>
      <c r="B1170" s="43" t="s">
        <v>158</v>
      </c>
      <c r="C1170" s="43" t="s">
        <v>152</v>
      </c>
      <c r="D1170" s="44" t="s">
        <v>231</v>
      </c>
      <c r="E1170" s="44">
        <v>25</v>
      </c>
      <c r="F1170" s="44" t="s">
        <v>3</v>
      </c>
      <c r="G1170" s="43" t="str">
        <f>IFERROR(VLOOKUP(A1170,'[1]MC Masterlist 2026-09-12'!$B:$M, 3, 0),"")</f>
        <v>HONDA</v>
      </c>
      <c r="H1170" s="45">
        <f>IFERROR(VLOOKUP(A1170,'[1]MC Masterlist 2026-09-12'!$B:$M, 6, 0),"")</f>
        <v>73630</v>
      </c>
      <c r="I1170" s="46">
        <v>0</v>
      </c>
      <c r="J1170" s="46">
        <v>0</v>
      </c>
      <c r="K1170" s="46">
        <v>0</v>
      </c>
      <c r="L1170" s="46">
        <f t="shared" si="270"/>
        <v>0</v>
      </c>
      <c r="M1170" s="46">
        <f t="shared" si="271"/>
        <v>0</v>
      </c>
      <c r="N1170" s="45">
        <f t="shared" si="272"/>
        <v>0</v>
      </c>
      <c r="O1170" s="45">
        <f t="shared" si="273"/>
        <v>0</v>
      </c>
      <c r="P1170" s="46">
        <f t="shared" si="274"/>
        <v>0</v>
      </c>
      <c r="Q1170" s="46">
        <v>2</v>
      </c>
      <c r="R1170" s="45">
        <f t="shared" si="275"/>
        <v>147260</v>
      </c>
      <c r="S1170" s="46">
        <f t="shared" si="276"/>
        <v>0</v>
      </c>
      <c r="T1170" s="46">
        <f>IFERROR(VLOOKUP(A1170,'[1]Re-order'!$A:$Q,17,0),"")</f>
        <v>51</v>
      </c>
      <c r="U1170" s="46">
        <f>IFERROR(VLOOKUP(A1170,'[1]MC Masterlist 2026-09-12'!$B:$M, 10, 0),0)</f>
        <v>15</v>
      </c>
      <c r="V1170" s="46">
        <f>IFERROR(VLOOKUP(A1170,'[1]MC Masterlist 2026-09-12'!$B:$M, 11, 0),0)</f>
        <v>15</v>
      </c>
      <c r="W1170" s="46">
        <f t="shared" si="277"/>
        <v>30</v>
      </c>
      <c r="X1170" s="46">
        <f t="shared" si="278"/>
        <v>30</v>
      </c>
      <c r="Y1170" s="46">
        <f>IFERROR(IF(OR(C1170="AREA I",C1170="AREA V"),7,VLOOKUP(A1170,'[1]MC Masterlist 2026-09-12'!$B:$M, 12, 0)),0)</f>
        <v>30</v>
      </c>
      <c r="Z1170" s="46">
        <f t="shared" si="279"/>
        <v>0</v>
      </c>
      <c r="AA1170" s="46">
        <f t="shared" si="280"/>
        <v>0</v>
      </c>
      <c r="AB1170" s="46">
        <f t="shared" si="281"/>
        <v>0</v>
      </c>
      <c r="AC1170" s="46">
        <f t="shared" si="282"/>
        <v>0</v>
      </c>
      <c r="AD1170" s="44" t="str">
        <f t="shared" si="283"/>
        <v>Over</v>
      </c>
      <c r="AE1170" s="44" t="str">
        <f>IFERROR(VLOOKUP(A1170,'[1]Re-order'!$A:$AA,27,0),"")</f>
        <v>Re-order</v>
      </c>
      <c r="AF1170" s="46">
        <f t="shared" si="284"/>
        <v>-2</v>
      </c>
      <c r="AG1170" s="46">
        <f>SUMIFS('[1]Raw Inventory'!D:D,'[1]Raw Inventory'!C:C,"GREATWALL",'[1]Raw Inventory'!B:B,A1170)</f>
        <v>0</v>
      </c>
      <c r="AH1170" s="46">
        <f>SUMIFS('[1]Raw Inventory'!D:D,'[1]Raw Inventory'!C:C,"DUARTE",'[1]Raw Inventory'!B:B,A1170)</f>
        <v>0</v>
      </c>
      <c r="AI1170" s="46"/>
      <c r="AJ1170" s="46"/>
      <c r="AK1170" s="43"/>
      <c r="AL1170" s="43"/>
      <c r="AM1170" s="43"/>
      <c r="AN1170" s="43"/>
      <c r="AO1170" s="43"/>
      <c r="AP1170" s="43"/>
      <c r="AQ1170" s="43"/>
      <c r="AR1170" s="43"/>
      <c r="AS1170" s="43"/>
      <c r="AT1170" s="43"/>
    </row>
    <row r="1171" spans="1:46">
      <c r="A1171" s="43" t="s">
        <v>16</v>
      </c>
      <c r="B1171" s="43" t="s">
        <v>122</v>
      </c>
      <c r="C1171" s="43" t="s">
        <v>118</v>
      </c>
      <c r="D1171" s="44" t="s">
        <v>251</v>
      </c>
      <c r="E1171" s="44">
        <v>8</v>
      </c>
      <c r="F1171" s="44" t="s">
        <v>0</v>
      </c>
      <c r="G1171" s="43" t="str">
        <f>IFERROR(VLOOKUP(A1171,'[1]MC Masterlist 2026-09-12'!$B:$M, 3, 0),"")</f>
        <v>HONDA</v>
      </c>
      <c r="H1171" s="45">
        <f>IFERROR(VLOOKUP(A1171,'[1]MC Masterlist 2026-09-12'!$B:$M, 6, 0),"")</f>
        <v>84394</v>
      </c>
      <c r="I1171" s="46">
        <v>0</v>
      </c>
      <c r="J1171" s="46">
        <v>9</v>
      </c>
      <c r="K1171" s="46">
        <v>3</v>
      </c>
      <c r="L1171" s="46">
        <f t="shared" si="270"/>
        <v>12</v>
      </c>
      <c r="M1171" s="46">
        <f t="shared" si="271"/>
        <v>4</v>
      </c>
      <c r="N1171" s="45">
        <f t="shared" si="272"/>
        <v>1012728</v>
      </c>
      <c r="O1171" s="45">
        <f t="shared" si="273"/>
        <v>337576</v>
      </c>
      <c r="P1171" s="46">
        <f t="shared" si="274"/>
        <v>0.13333333333333333</v>
      </c>
      <c r="Q1171" s="46">
        <v>3</v>
      </c>
      <c r="R1171" s="45">
        <f t="shared" si="275"/>
        <v>253182</v>
      </c>
      <c r="S1171" s="46">
        <f t="shared" si="276"/>
        <v>22.5</v>
      </c>
      <c r="T1171" s="46">
        <f>IFERROR(VLOOKUP(A1171,'[1]Re-order'!$A:$Q,17,0),"")</f>
        <v>26.332665330661321</v>
      </c>
      <c r="U1171" s="46">
        <f>IFERROR(VLOOKUP(A1171,'[1]MC Masterlist 2026-09-12'!$B:$M, 10, 0),0)</f>
        <v>15</v>
      </c>
      <c r="V1171" s="46">
        <f>IFERROR(VLOOKUP(A1171,'[1]MC Masterlist 2026-09-12'!$B:$M, 11, 0),0)</f>
        <v>15</v>
      </c>
      <c r="W1171" s="46">
        <f t="shared" si="277"/>
        <v>30</v>
      </c>
      <c r="X1171" s="46">
        <f t="shared" si="278"/>
        <v>28</v>
      </c>
      <c r="Y1171" s="46">
        <f>IFERROR(IF(OR(C1171="AREA I",C1171="AREA V"),7,VLOOKUP(A1171,'[1]MC Masterlist 2026-09-12'!$B:$M, 12, 0)),0)</f>
        <v>30</v>
      </c>
      <c r="Z1171" s="46">
        <f t="shared" si="279"/>
        <v>2</v>
      </c>
      <c r="AA1171" s="46">
        <f t="shared" si="280"/>
        <v>4</v>
      </c>
      <c r="AB1171" s="46">
        <f t="shared" si="281"/>
        <v>3.7333333333333334</v>
      </c>
      <c r="AC1171" s="46">
        <f t="shared" si="282"/>
        <v>4</v>
      </c>
      <c r="AD1171" s="44" t="str">
        <f t="shared" si="283"/>
        <v>Re-order</v>
      </c>
      <c r="AE1171" s="44" t="str">
        <f>IFERROR(VLOOKUP(A1171,'[1]Re-order'!$A:$AA,27,0),"")</f>
        <v>Stockout</v>
      </c>
      <c r="AF1171" s="46">
        <f t="shared" si="284"/>
        <v>1</v>
      </c>
      <c r="AG1171" s="46">
        <f>SUMIFS('[1]Raw Inventory'!D:D,'[1]Raw Inventory'!C:C,"GREATWALL",'[1]Raw Inventory'!B:B,A1171)</f>
        <v>58</v>
      </c>
      <c r="AH1171" s="46">
        <f>SUMIFS('[1]Raw Inventory'!D:D,'[1]Raw Inventory'!C:C,"DUARTE",'[1]Raw Inventory'!B:B,A1171)</f>
        <v>0</v>
      </c>
      <c r="AI1171" s="46"/>
      <c r="AJ1171" s="46"/>
      <c r="AK1171" s="43"/>
      <c r="AL1171" s="43"/>
      <c r="AM1171" s="43"/>
      <c r="AN1171" s="43"/>
      <c r="AO1171" s="43"/>
      <c r="AP1171" s="43"/>
      <c r="AQ1171" s="43"/>
      <c r="AR1171" s="43"/>
      <c r="AS1171" s="43"/>
      <c r="AT1171" s="43"/>
    </row>
    <row r="1172" spans="1:46">
      <c r="A1172" s="43" t="s">
        <v>65</v>
      </c>
      <c r="B1172" s="43" t="s">
        <v>154</v>
      </c>
      <c r="C1172" s="43" t="s">
        <v>152</v>
      </c>
      <c r="D1172" s="44" t="s">
        <v>258</v>
      </c>
      <c r="E1172" s="44">
        <v>28</v>
      </c>
      <c r="F1172" s="44" t="s">
        <v>3</v>
      </c>
      <c r="G1172" s="43" t="str">
        <f>IFERROR(VLOOKUP(A1172,'[1]MC Masterlist 2026-09-12'!$B:$M, 3, 0),"")</f>
        <v>SUZUKI</v>
      </c>
      <c r="H1172" s="45">
        <f>IFERROR(VLOOKUP(A1172,'[1]MC Masterlist 2026-09-12'!$B:$M, 6, 0),"")</f>
        <v>77572</v>
      </c>
      <c r="I1172" s="46">
        <v>0</v>
      </c>
      <c r="J1172" s="46">
        <v>0</v>
      </c>
      <c r="K1172" s="46">
        <v>0</v>
      </c>
      <c r="L1172" s="46">
        <f t="shared" si="270"/>
        <v>0</v>
      </c>
      <c r="M1172" s="46">
        <f t="shared" si="271"/>
        <v>0</v>
      </c>
      <c r="N1172" s="45">
        <f t="shared" si="272"/>
        <v>0</v>
      </c>
      <c r="O1172" s="45">
        <f t="shared" si="273"/>
        <v>0</v>
      </c>
      <c r="P1172" s="46">
        <f t="shared" si="274"/>
        <v>0</v>
      </c>
      <c r="Q1172" s="46">
        <v>1</v>
      </c>
      <c r="R1172" s="45">
        <f t="shared" si="275"/>
        <v>77572</v>
      </c>
      <c r="S1172" s="46">
        <f t="shared" si="276"/>
        <v>0</v>
      </c>
      <c r="T1172" s="46">
        <f>IFERROR(VLOOKUP(A1172,'[1]Re-order'!$A:$Q,17,0),"")</f>
        <v>158.8235294117647</v>
      </c>
      <c r="U1172" s="46">
        <f>IFERROR(VLOOKUP(A1172,'[1]MC Masterlist 2026-09-12'!$B:$M, 10, 0),0)</f>
        <v>15</v>
      </c>
      <c r="V1172" s="46">
        <f>IFERROR(VLOOKUP(A1172,'[1]MC Masterlist 2026-09-12'!$B:$M, 11, 0),0)</f>
        <v>15</v>
      </c>
      <c r="W1172" s="46">
        <f t="shared" si="277"/>
        <v>30</v>
      </c>
      <c r="X1172" s="46">
        <f t="shared" si="278"/>
        <v>30</v>
      </c>
      <c r="Y1172" s="46">
        <f>IFERROR(IF(OR(C1172="AREA I",C1172="AREA V"),7,VLOOKUP(A1172,'[1]MC Masterlist 2026-09-12'!$B:$M, 12, 0)),0)</f>
        <v>30</v>
      </c>
      <c r="Z1172" s="46">
        <f t="shared" si="279"/>
        <v>0</v>
      </c>
      <c r="AA1172" s="46">
        <f t="shared" si="280"/>
        <v>0</v>
      </c>
      <c r="AB1172" s="46">
        <f t="shared" si="281"/>
        <v>0</v>
      </c>
      <c r="AC1172" s="46">
        <f t="shared" si="282"/>
        <v>0</v>
      </c>
      <c r="AD1172" s="44" t="str">
        <f t="shared" si="283"/>
        <v>Over</v>
      </c>
      <c r="AE1172" s="44" t="str">
        <f>IFERROR(VLOOKUP(A1172,'[1]Re-order'!$A:$AA,27,0),"")</f>
        <v>Over</v>
      </c>
      <c r="AF1172" s="46">
        <f t="shared" si="284"/>
        <v>-1</v>
      </c>
      <c r="AG1172" s="46">
        <f>SUMIFS('[1]Raw Inventory'!D:D,'[1]Raw Inventory'!C:C,"GREATWALL",'[1]Raw Inventory'!B:B,A1172)</f>
        <v>4</v>
      </c>
      <c r="AH1172" s="46">
        <f>SUMIFS('[1]Raw Inventory'!D:D,'[1]Raw Inventory'!C:C,"DUARTE",'[1]Raw Inventory'!B:B,A1172)</f>
        <v>0</v>
      </c>
      <c r="AI1172" s="46"/>
      <c r="AJ1172" s="46"/>
      <c r="AK1172" s="43"/>
      <c r="AL1172" s="43"/>
      <c r="AM1172" s="43"/>
      <c r="AN1172" s="43"/>
      <c r="AO1172" s="43"/>
      <c r="AP1172" s="43"/>
      <c r="AQ1172" s="43"/>
      <c r="AR1172" s="43"/>
      <c r="AS1172" s="43"/>
      <c r="AT1172" s="43"/>
    </row>
    <row r="1173" spans="1:46">
      <c r="A1173" s="43" t="s">
        <v>72</v>
      </c>
      <c r="B1173" s="43" t="s">
        <v>30</v>
      </c>
      <c r="C1173" s="43" t="s">
        <v>1</v>
      </c>
      <c r="D1173" s="44" t="s">
        <v>247</v>
      </c>
      <c r="E1173" s="44">
        <v>30</v>
      </c>
      <c r="F1173" s="44" t="s">
        <v>3</v>
      </c>
      <c r="G1173" s="43" t="str">
        <f>IFERROR(VLOOKUP(A1173,'[1]MC Masterlist 2026-09-12'!$B:$M, 3, 0),"")</f>
        <v>KAWASAKI</v>
      </c>
      <c r="H1173" s="45">
        <f>IFERROR(VLOOKUP(A1173,'[1]MC Masterlist 2026-09-12'!$B:$M, 6, 0),"")</f>
        <v>52948</v>
      </c>
      <c r="I1173" s="46">
        <v>0</v>
      </c>
      <c r="J1173" s="46">
        <v>0</v>
      </c>
      <c r="K1173" s="46">
        <v>2</v>
      </c>
      <c r="L1173" s="46">
        <f t="shared" si="270"/>
        <v>2</v>
      </c>
      <c r="M1173" s="46">
        <f t="shared" si="271"/>
        <v>0.66666666666666663</v>
      </c>
      <c r="N1173" s="45">
        <f t="shared" si="272"/>
        <v>105896</v>
      </c>
      <c r="O1173" s="45">
        <f t="shared" si="273"/>
        <v>35298.666666666664</v>
      </c>
      <c r="P1173" s="46">
        <f t="shared" si="274"/>
        <v>2.222222222222222E-2</v>
      </c>
      <c r="Q1173" s="46">
        <v>2</v>
      </c>
      <c r="R1173" s="45">
        <f t="shared" si="275"/>
        <v>105896</v>
      </c>
      <c r="S1173" s="46">
        <f t="shared" si="276"/>
        <v>90</v>
      </c>
      <c r="T1173" s="46">
        <f>IFERROR(VLOOKUP(A1173,'[1]Re-order'!$A:$Q,17,0),"")</f>
        <v>378</v>
      </c>
      <c r="U1173" s="46">
        <f>IFERROR(VLOOKUP(A1173,'[1]MC Masterlist 2026-09-12'!$B:$M, 10, 0),0)</f>
        <v>15</v>
      </c>
      <c r="V1173" s="46">
        <f>IFERROR(VLOOKUP(A1173,'[1]MC Masterlist 2026-09-12'!$B:$M, 11, 0),0)</f>
        <v>15</v>
      </c>
      <c r="W1173" s="46">
        <f t="shared" si="277"/>
        <v>30</v>
      </c>
      <c r="X1173" s="46">
        <f t="shared" si="278"/>
        <v>6.666666666666667</v>
      </c>
      <c r="Y1173" s="46">
        <f>IFERROR(IF(OR(C1173="AREA I",C1173="AREA V"),7,VLOOKUP(A1173,'[1]MC Masterlist 2026-09-12'!$B:$M, 12, 0)),0)</f>
        <v>7</v>
      </c>
      <c r="Z1173" s="46">
        <f t="shared" si="279"/>
        <v>0.33333333333333331</v>
      </c>
      <c r="AA1173" s="46">
        <f t="shared" si="280"/>
        <v>0.66666666666666663</v>
      </c>
      <c r="AB1173" s="46">
        <f t="shared" si="281"/>
        <v>0.14814814814814814</v>
      </c>
      <c r="AC1173" s="46">
        <f t="shared" si="282"/>
        <v>0.15555555555555553</v>
      </c>
      <c r="AD1173" s="44" t="str">
        <f t="shared" si="283"/>
        <v>Over</v>
      </c>
      <c r="AE1173" s="44" t="str">
        <f>IFERROR(VLOOKUP(A1173,'[1]Re-order'!$A:$AA,27,0),"")</f>
        <v>Over</v>
      </c>
      <c r="AF1173" s="46">
        <f t="shared" si="284"/>
        <v>-1.8444444444444446</v>
      </c>
      <c r="AG1173" s="46">
        <f>SUMIFS('[1]Raw Inventory'!D:D,'[1]Raw Inventory'!C:C,"GREATWALL",'[1]Raw Inventory'!B:B,A1173)</f>
        <v>15</v>
      </c>
      <c r="AH1173" s="46">
        <f>SUMIFS('[1]Raw Inventory'!D:D,'[1]Raw Inventory'!C:C,"DUARTE",'[1]Raw Inventory'!B:B,A1173)</f>
        <v>0</v>
      </c>
      <c r="AI1173" s="46"/>
      <c r="AJ1173" s="46"/>
      <c r="AK1173" s="43"/>
      <c r="AL1173" s="43"/>
      <c r="AM1173" s="43"/>
      <c r="AN1173" s="43"/>
      <c r="AO1173" s="43"/>
      <c r="AP1173" s="43"/>
      <c r="AQ1173" s="43"/>
      <c r="AR1173" s="43"/>
      <c r="AS1173" s="43"/>
      <c r="AT1173" s="43"/>
    </row>
    <row r="1174" spans="1:46">
      <c r="A1174" s="43" t="s">
        <v>39</v>
      </c>
      <c r="B1174" s="43" t="s">
        <v>11</v>
      </c>
      <c r="C1174" s="43" t="s">
        <v>1</v>
      </c>
      <c r="D1174" s="44" t="s">
        <v>257</v>
      </c>
      <c r="E1174" s="44">
        <v>18</v>
      </c>
      <c r="F1174" s="44" t="s">
        <v>3</v>
      </c>
      <c r="G1174" s="43" t="str">
        <f>IFERROR(VLOOKUP(A1174,'[1]MC Masterlist 2026-09-12'!$B:$M, 3, 0),"")</f>
        <v>HONDA</v>
      </c>
      <c r="H1174" s="45">
        <f>IFERROR(VLOOKUP(A1174,'[1]MC Masterlist 2026-09-12'!$B:$M, 6, 0),"")</f>
        <v>72434</v>
      </c>
      <c r="I1174" s="46">
        <v>0</v>
      </c>
      <c r="J1174" s="46">
        <v>0</v>
      </c>
      <c r="K1174" s="46">
        <v>2</v>
      </c>
      <c r="L1174" s="46">
        <f t="shared" si="270"/>
        <v>2</v>
      </c>
      <c r="M1174" s="46">
        <f t="shared" si="271"/>
        <v>0.66666666666666663</v>
      </c>
      <c r="N1174" s="45">
        <f t="shared" si="272"/>
        <v>144868</v>
      </c>
      <c r="O1174" s="45">
        <f t="shared" si="273"/>
        <v>48289.333333333328</v>
      </c>
      <c r="P1174" s="46">
        <f t="shared" si="274"/>
        <v>2.222222222222222E-2</v>
      </c>
      <c r="Q1174" s="46">
        <v>4</v>
      </c>
      <c r="R1174" s="45">
        <f t="shared" si="275"/>
        <v>289736</v>
      </c>
      <c r="S1174" s="46">
        <f t="shared" si="276"/>
        <v>180.00000000000003</v>
      </c>
      <c r="T1174" s="46">
        <f>IFERROR(VLOOKUP(A1174,'[1]Re-order'!$A:$Q,17,0),"")</f>
        <v>40.982142857142854</v>
      </c>
      <c r="U1174" s="46">
        <f>IFERROR(VLOOKUP(A1174,'[1]MC Masterlist 2026-09-12'!$B:$M, 10, 0),0)</f>
        <v>15</v>
      </c>
      <c r="V1174" s="46">
        <f>IFERROR(VLOOKUP(A1174,'[1]MC Masterlist 2026-09-12'!$B:$M, 11, 0),0)</f>
        <v>15</v>
      </c>
      <c r="W1174" s="46">
        <f t="shared" si="277"/>
        <v>30</v>
      </c>
      <c r="X1174" s="46">
        <f t="shared" si="278"/>
        <v>6.666666666666667</v>
      </c>
      <c r="Y1174" s="46">
        <f>IFERROR(IF(OR(C1174="AREA I",C1174="AREA V"),7,VLOOKUP(A1174,'[1]MC Masterlist 2026-09-12'!$B:$M, 12, 0)),0)</f>
        <v>7</v>
      </c>
      <c r="Z1174" s="46">
        <f t="shared" si="279"/>
        <v>0.33333333333333331</v>
      </c>
      <c r="AA1174" s="46">
        <f t="shared" si="280"/>
        <v>0.66666666666666663</v>
      </c>
      <c r="AB1174" s="46">
        <f t="shared" si="281"/>
        <v>0.14814814814814814</v>
      </c>
      <c r="AC1174" s="46">
        <f t="shared" si="282"/>
        <v>0.15555555555555553</v>
      </c>
      <c r="AD1174" s="44" t="str">
        <f t="shared" si="283"/>
        <v>Over</v>
      </c>
      <c r="AE1174" s="44" t="str">
        <f>IFERROR(VLOOKUP(A1174,'[1]Re-order'!$A:$AA,27,0),"")</f>
        <v>Re-order</v>
      </c>
      <c r="AF1174" s="46">
        <f t="shared" si="284"/>
        <v>-3.8444444444444446</v>
      </c>
      <c r="AG1174" s="46">
        <f>SUMIFS('[1]Raw Inventory'!D:D,'[1]Raw Inventory'!C:C,"GREATWALL",'[1]Raw Inventory'!B:B,A1174)</f>
        <v>16</v>
      </c>
      <c r="AH1174" s="46">
        <f>SUMIFS('[1]Raw Inventory'!D:D,'[1]Raw Inventory'!C:C,"DUARTE",'[1]Raw Inventory'!B:B,A1174)</f>
        <v>0</v>
      </c>
      <c r="AI1174" s="46"/>
      <c r="AJ1174" s="46"/>
      <c r="AK1174" s="43"/>
      <c r="AL1174" s="43"/>
      <c r="AM1174" s="43"/>
      <c r="AN1174" s="43"/>
      <c r="AO1174" s="43"/>
      <c r="AP1174" s="43"/>
      <c r="AQ1174" s="43"/>
      <c r="AR1174" s="43"/>
      <c r="AS1174" s="43"/>
      <c r="AT1174" s="43"/>
    </row>
    <row r="1175" spans="1:46">
      <c r="A1175" s="43" t="s">
        <v>81</v>
      </c>
      <c r="B1175" s="43" t="s">
        <v>121</v>
      </c>
      <c r="C1175" s="43" t="s">
        <v>118</v>
      </c>
      <c r="D1175" s="44" t="s">
        <v>221</v>
      </c>
      <c r="E1175" s="44">
        <v>21</v>
      </c>
      <c r="F1175" s="44" t="s">
        <v>3</v>
      </c>
      <c r="G1175" s="43" t="str">
        <f>IFERROR(VLOOKUP(A1175,'[1]MC Masterlist 2026-09-12'!$B:$M, 3, 0),"")</f>
        <v>HONDA</v>
      </c>
      <c r="H1175" s="45">
        <f>IFERROR(VLOOKUP(A1175,'[1]MC Masterlist 2026-09-12'!$B:$M, 6, 0),"")</f>
        <v>126198</v>
      </c>
      <c r="I1175" s="46">
        <v>0</v>
      </c>
      <c r="J1175" s="46">
        <v>1</v>
      </c>
      <c r="K1175" s="46">
        <v>0</v>
      </c>
      <c r="L1175" s="46">
        <f t="shared" si="270"/>
        <v>1</v>
      </c>
      <c r="M1175" s="46">
        <f t="shared" si="271"/>
        <v>0.33333333333333331</v>
      </c>
      <c r="N1175" s="45">
        <f t="shared" si="272"/>
        <v>126198</v>
      </c>
      <c r="O1175" s="45">
        <f t="shared" si="273"/>
        <v>42066</v>
      </c>
      <c r="P1175" s="46">
        <f t="shared" si="274"/>
        <v>1.111111111111111E-2</v>
      </c>
      <c r="Q1175" s="46"/>
      <c r="R1175" s="45">
        <f t="shared" si="275"/>
        <v>0</v>
      </c>
      <c r="S1175" s="46">
        <f t="shared" si="276"/>
        <v>0</v>
      </c>
      <c r="T1175" s="46">
        <f>IFERROR(VLOOKUP(A1175,'[1]Re-order'!$A:$Q,17,0),"")</f>
        <v>22.5</v>
      </c>
      <c r="U1175" s="46">
        <f>IFERROR(VLOOKUP(A1175,'[1]MC Masterlist 2026-09-12'!$B:$M, 10, 0),0)</f>
        <v>15</v>
      </c>
      <c r="V1175" s="46">
        <f>IFERROR(VLOOKUP(A1175,'[1]MC Masterlist 2026-09-12'!$B:$M, 11, 0),0)</f>
        <v>15</v>
      </c>
      <c r="W1175" s="46">
        <f t="shared" si="277"/>
        <v>30</v>
      </c>
      <c r="X1175" s="46">
        <f t="shared" si="278"/>
        <v>29.833333333333332</v>
      </c>
      <c r="Y1175" s="46">
        <f>IFERROR(IF(OR(C1175="AREA I",C1175="AREA V"),7,VLOOKUP(A1175,'[1]MC Masterlist 2026-09-12'!$B:$M, 12, 0)),0)</f>
        <v>30</v>
      </c>
      <c r="Z1175" s="46">
        <f t="shared" si="279"/>
        <v>0.16666666666666666</v>
      </c>
      <c r="AA1175" s="46">
        <f t="shared" si="280"/>
        <v>0.33333333333333331</v>
      </c>
      <c r="AB1175" s="46">
        <f t="shared" si="281"/>
        <v>0.33148148148148143</v>
      </c>
      <c r="AC1175" s="46">
        <f t="shared" si="282"/>
        <v>0.33333333333333331</v>
      </c>
      <c r="AD1175" s="44" t="str">
        <f t="shared" si="283"/>
        <v>Stockout</v>
      </c>
      <c r="AE1175" s="44" t="str">
        <f>IFERROR(VLOOKUP(A1175,'[1]Re-order'!$A:$AA,27,0),"")</f>
        <v>Stockout</v>
      </c>
      <c r="AF1175" s="46">
        <f t="shared" si="284"/>
        <v>0.33333333333333331</v>
      </c>
      <c r="AG1175" s="46">
        <f>SUMIFS('[1]Raw Inventory'!D:D,'[1]Raw Inventory'!C:C,"GREATWALL",'[1]Raw Inventory'!B:B,A1175)</f>
        <v>0</v>
      </c>
      <c r="AH1175" s="46">
        <f>SUMIFS('[1]Raw Inventory'!D:D,'[1]Raw Inventory'!C:C,"DUARTE",'[1]Raw Inventory'!B:B,A1175)</f>
        <v>0</v>
      </c>
      <c r="AI1175" s="46"/>
      <c r="AJ1175" s="46"/>
      <c r="AK1175" s="43"/>
      <c r="AL1175" s="43"/>
      <c r="AM1175" s="43"/>
      <c r="AN1175" s="43"/>
      <c r="AO1175" s="43"/>
      <c r="AP1175" s="43"/>
      <c r="AQ1175" s="43"/>
      <c r="AR1175" s="43"/>
      <c r="AS1175" s="43"/>
      <c r="AT1175" s="43"/>
    </row>
    <row r="1176" spans="1:46">
      <c r="A1176" s="43" t="s">
        <v>17</v>
      </c>
      <c r="B1176" s="43" t="s">
        <v>130</v>
      </c>
      <c r="C1176" s="43" t="s">
        <v>128</v>
      </c>
      <c r="D1176" s="44" t="s">
        <v>254</v>
      </c>
      <c r="E1176" s="44">
        <v>9</v>
      </c>
      <c r="F1176" s="44" t="s">
        <v>2</v>
      </c>
      <c r="G1176" s="43" t="str">
        <f>IFERROR(VLOOKUP(A1176,'[1]MC Masterlist 2026-09-12'!$B:$M, 3, 0),"")</f>
        <v>HONDA</v>
      </c>
      <c r="H1176" s="45">
        <f>IFERROR(VLOOKUP(A1176,'[1]MC Masterlist 2026-09-12'!$B:$M, 6, 0),"")</f>
        <v>140790</v>
      </c>
      <c r="I1176" s="46">
        <v>2</v>
      </c>
      <c r="J1176" s="46">
        <v>2</v>
      </c>
      <c r="K1176" s="46">
        <v>0</v>
      </c>
      <c r="L1176" s="46">
        <f t="shared" si="270"/>
        <v>4</v>
      </c>
      <c r="M1176" s="46">
        <f t="shared" si="271"/>
        <v>1.3333333333333333</v>
      </c>
      <c r="N1176" s="45">
        <f t="shared" si="272"/>
        <v>563160</v>
      </c>
      <c r="O1176" s="45">
        <f t="shared" si="273"/>
        <v>187720</v>
      </c>
      <c r="P1176" s="46">
        <f t="shared" si="274"/>
        <v>4.4444444444444439E-2</v>
      </c>
      <c r="Q1176" s="46">
        <v>4</v>
      </c>
      <c r="R1176" s="45">
        <f t="shared" si="275"/>
        <v>563160</v>
      </c>
      <c r="S1176" s="46">
        <f t="shared" si="276"/>
        <v>90</v>
      </c>
      <c r="T1176" s="46">
        <f>IFERROR(VLOOKUP(A1176,'[1]Re-order'!$A:$Q,17,0),"")</f>
        <v>43.663366336633665</v>
      </c>
      <c r="U1176" s="46">
        <f>IFERROR(VLOOKUP(A1176,'[1]MC Masterlist 2026-09-12'!$B:$M, 10, 0),0)</f>
        <v>15</v>
      </c>
      <c r="V1176" s="46">
        <f>IFERROR(VLOOKUP(A1176,'[1]MC Masterlist 2026-09-12'!$B:$M, 11, 0),0)</f>
        <v>15</v>
      </c>
      <c r="W1176" s="46">
        <f t="shared" si="277"/>
        <v>30</v>
      </c>
      <c r="X1176" s="46">
        <f t="shared" si="278"/>
        <v>29.333333333333332</v>
      </c>
      <c r="Y1176" s="46">
        <f>IFERROR(IF(OR(C1176="AREA I",C1176="AREA V"),7,VLOOKUP(A1176,'[1]MC Masterlist 2026-09-12'!$B:$M, 12, 0)),0)</f>
        <v>30</v>
      </c>
      <c r="Z1176" s="46">
        <f t="shared" si="279"/>
        <v>0.66666666666666663</v>
      </c>
      <c r="AA1176" s="46">
        <f t="shared" si="280"/>
        <v>1.3333333333333333</v>
      </c>
      <c r="AB1176" s="46">
        <f t="shared" si="281"/>
        <v>1.3037037037037036</v>
      </c>
      <c r="AC1176" s="46">
        <f t="shared" si="282"/>
        <v>1.3333333333333333</v>
      </c>
      <c r="AD1176" s="44" t="str">
        <f t="shared" si="283"/>
        <v>Over</v>
      </c>
      <c r="AE1176" s="44" t="str">
        <f>IFERROR(VLOOKUP(A1176,'[1]Re-order'!$A:$AA,27,0),"")</f>
        <v>Re-order</v>
      </c>
      <c r="AF1176" s="46">
        <f t="shared" si="284"/>
        <v>-2.666666666666667</v>
      </c>
      <c r="AG1176" s="46">
        <f>SUMIFS('[1]Raw Inventory'!D:D,'[1]Raw Inventory'!C:C,"GREATWALL",'[1]Raw Inventory'!B:B,A1176)</f>
        <v>12</v>
      </c>
      <c r="AH1176" s="46">
        <f>SUMIFS('[1]Raw Inventory'!D:D,'[1]Raw Inventory'!C:C,"DUARTE",'[1]Raw Inventory'!B:B,A1176)</f>
        <v>0</v>
      </c>
      <c r="AI1176" s="46"/>
      <c r="AJ1176" s="46"/>
      <c r="AK1176" s="43"/>
      <c r="AL1176" s="43"/>
      <c r="AM1176" s="43"/>
      <c r="AN1176" s="43"/>
      <c r="AO1176" s="43"/>
      <c r="AP1176" s="43"/>
      <c r="AQ1176" s="43"/>
      <c r="AR1176" s="43"/>
      <c r="AS1176" s="43"/>
      <c r="AT1176" s="43"/>
    </row>
    <row r="1177" spans="1:46">
      <c r="A1177" s="43" t="s">
        <v>41</v>
      </c>
      <c r="B1177" s="43" t="s">
        <v>29</v>
      </c>
      <c r="C1177" s="43" t="s">
        <v>1</v>
      </c>
      <c r="D1177" s="44" t="s">
        <v>229</v>
      </c>
      <c r="E1177" s="44">
        <v>31</v>
      </c>
      <c r="F1177" s="44" t="s">
        <v>3</v>
      </c>
      <c r="G1177" s="43" t="str">
        <f>IFERROR(VLOOKUP(A1177,'[1]MC Masterlist 2026-09-12'!$B:$M, 3, 0),"")</f>
        <v>YAMAHA</v>
      </c>
      <c r="H1177" s="45">
        <f>IFERROR(VLOOKUP(A1177,'[1]MC Masterlist 2026-09-12'!$B:$M, 6, 0),"")</f>
        <v>92907</v>
      </c>
      <c r="I1177" s="46">
        <v>0</v>
      </c>
      <c r="J1177" s="46">
        <v>1</v>
      </c>
      <c r="K1177" s="46">
        <v>0</v>
      </c>
      <c r="L1177" s="46">
        <f t="shared" si="270"/>
        <v>1</v>
      </c>
      <c r="M1177" s="46">
        <f t="shared" si="271"/>
        <v>0.33333333333333331</v>
      </c>
      <c r="N1177" s="45">
        <f t="shared" si="272"/>
        <v>92907</v>
      </c>
      <c r="O1177" s="45">
        <f t="shared" si="273"/>
        <v>30969</v>
      </c>
      <c r="P1177" s="46">
        <f t="shared" si="274"/>
        <v>1.111111111111111E-2</v>
      </c>
      <c r="Q1177" s="46">
        <v>1</v>
      </c>
      <c r="R1177" s="45">
        <f t="shared" si="275"/>
        <v>92907</v>
      </c>
      <c r="S1177" s="46">
        <f t="shared" si="276"/>
        <v>90</v>
      </c>
      <c r="T1177" s="46">
        <f>IFERROR(VLOOKUP(A1177,'[1]Re-order'!$A:$Q,17,0),"")</f>
        <v>240</v>
      </c>
      <c r="U1177" s="46">
        <f>IFERROR(VLOOKUP(A1177,'[1]MC Masterlist 2026-09-12'!$B:$M, 10, 0),0)</f>
        <v>15</v>
      </c>
      <c r="V1177" s="46">
        <f>IFERROR(VLOOKUP(A1177,'[1]MC Masterlist 2026-09-12'!$B:$M, 11, 0),0)</f>
        <v>15</v>
      </c>
      <c r="W1177" s="46">
        <f t="shared" si="277"/>
        <v>30</v>
      </c>
      <c r="X1177" s="46">
        <f t="shared" si="278"/>
        <v>6.833333333333333</v>
      </c>
      <c r="Y1177" s="46">
        <f>IFERROR(IF(OR(C1177="AREA I",C1177="AREA V"),7,VLOOKUP(A1177,'[1]MC Masterlist 2026-09-12'!$B:$M, 12, 0)),0)</f>
        <v>7</v>
      </c>
      <c r="Z1177" s="46">
        <f t="shared" si="279"/>
        <v>0.16666666666666666</v>
      </c>
      <c r="AA1177" s="46">
        <f t="shared" si="280"/>
        <v>0.33333333333333331</v>
      </c>
      <c r="AB1177" s="46">
        <f t="shared" si="281"/>
        <v>7.5925925925925911E-2</v>
      </c>
      <c r="AC1177" s="46">
        <f t="shared" si="282"/>
        <v>7.7777777777777765E-2</v>
      </c>
      <c r="AD1177" s="44" t="str">
        <f t="shared" si="283"/>
        <v>Over</v>
      </c>
      <c r="AE1177" s="44" t="str">
        <f>IFERROR(VLOOKUP(A1177,'[1]Re-order'!$A:$AA,27,0),"")</f>
        <v>Over</v>
      </c>
      <c r="AF1177" s="46">
        <f t="shared" si="284"/>
        <v>-0.92222222222222228</v>
      </c>
      <c r="AG1177" s="46">
        <f>SUMIFS('[1]Raw Inventory'!D:D,'[1]Raw Inventory'!C:C,"GREATWALL",'[1]Raw Inventory'!B:B,A1177)</f>
        <v>2</v>
      </c>
      <c r="AH1177" s="46">
        <f>SUMIFS('[1]Raw Inventory'!D:D,'[1]Raw Inventory'!C:C,"DUARTE",'[1]Raw Inventory'!B:B,A1177)</f>
        <v>0</v>
      </c>
      <c r="AI1177" s="46"/>
      <c r="AJ1177" s="46"/>
      <c r="AK1177" s="43"/>
      <c r="AL1177" s="43"/>
      <c r="AM1177" s="43"/>
      <c r="AN1177" s="43"/>
      <c r="AO1177" s="43"/>
      <c r="AP1177" s="43"/>
      <c r="AQ1177" s="43"/>
      <c r="AR1177" s="43"/>
      <c r="AS1177" s="43"/>
      <c r="AT1177" s="43"/>
    </row>
    <row r="1178" spans="1:46">
      <c r="A1178" s="43" t="s">
        <v>35</v>
      </c>
      <c r="B1178" s="43" t="s">
        <v>153</v>
      </c>
      <c r="C1178" s="43" t="s">
        <v>152</v>
      </c>
      <c r="D1178" s="44" t="s">
        <v>247</v>
      </c>
      <c r="E1178" s="44">
        <v>18</v>
      </c>
      <c r="F1178" s="44" t="s">
        <v>3</v>
      </c>
      <c r="G1178" s="43" t="str">
        <f>IFERROR(VLOOKUP(A1178,'[1]MC Masterlist 2026-09-12'!$B:$M, 3, 0),"")</f>
        <v>HONDA</v>
      </c>
      <c r="H1178" s="45">
        <f>IFERROR(VLOOKUP(A1178,'[1]MC Masterlist 2026-09-12'!$B:$M, 6, 0),"")</f>
        <v>57990</v>
      </c>
      <c r="I1178" s="46">
        <v>0</v>
      </c>
      <c r="J1178" s="46">
        <v>0</v>
      </c>
      <c r="K1178" s="46">
        <v>1</v>
      </c>
      <c r="L1178" s="46">
        <f t="shared" si="270"/>
        <v>1</v>
      </c>
      <c r="M1178" s="46">
        <f t="shared" si="271"/>
        <v>0.33333333333333331</v>
      </c>
      <c r="N1178" s="45">
        <f t="shared" si="272"/>
        <v>57990</v>
      </c>
      <c r="O1178" s="45">
        <f t="shared" si="273"/>
        <v>19330</v>
      </c>
      <c r="P1178" s="46">
        <f t="shared" si="274"/>
        <v>1.111111111111111E-2</v>
      </c>
      <c r="Q1178" s="46">
        <v>1</v>
      </c>
      <c r="R1178" s="45">
        <f t="shared" si="275"/>
        <v>57990</v>
      </c>
      <c r="S1178" s="46">
        <f t="shared" si="276"/>
        <v>90</v>
      </c>
      <c r="T1178" s="46">
        <f>IFERROR(VLOOKUP(A1178,'[1]Re-order'!$A:$Q,17,0),"")</f>
        <v>68.275862068965523</v>
      </c>
      <c r="U1178" s="46">
        <f>IFERROR(VLOOKUP(A1178,'[1]MC Masterlist 2026-09-12'!$B:$M, 10, 0),0)</f>
        <v>15</v>
      </c>
      <c r="V1178" s="46">
        <f>IFERROR(VLOOKUP(A1178,'[1]MC Masterlist 2026-09-12'!$B:$M, 11, 0),0)</f>
        <v>15</v>
      </c>
      <c r="W1178" s="46">
        <f t="shared" si="277"/>
        <v>30</v>
      </c>
      <c r="X1178" s="46">
        <f t="shared" si="278"/>
        <v>29.833333333333332</v>
      </c>
      <c r="Y1178" s="46">
        <f>IFERROR(IF(OR(C1178="AREA I",C1178="AREA V"),7,VLOOKUP(A1178,'[1]MC Masterlist 2026-09-12'!$B:$M, 12, 0)),0)</f>
        <v>30</v>
      </c>
      <c r="Z1178" s="46">
        <f t="shared" si="279"/>
        <v>0.16666666666666666</v>
      </c>
      <c r="AA1178" s="46">
        <f t="shared" si="280"/>
        <v>0.33333333333333331</v>
      </c>
      <c r="AB1178" s="46">
        <f t="shared" si="281"/>
        <v>0.33148148148148143</v>
      </c>
      <c r="AC1178" s="46">
        <f t="shared" si="282"/>
        <v>0.33333333333333331</v>
      </c>
      <c r="AD1178" s="44" t="str">
        <f t="shared" si="283"/>
        <v>Over</v>
      </c>
      <c r="AE1178" s="44" t="str">
        <f>IFERROR(VLOOKUP(A1178,'[1]Re-order'!$A:$AA,27,0),"")</f>
        <v>Re-order</v>
      </c>
      <c r="AF1178" s="46">
        <f t="shared" si="284"/>
        <v>-0.66666666666666674</v>
      </c>
      <c r="AG1178" s="46">
        <f>SUMIFS('[1]Raw Inventory'!D:D,'[1]Raw Inventory'!C:C,"GREATWALL",'[1]Raw Inventory'!B:B,A1178)</f>
        <v>29</v>
      </c>
      <c r="AH1178" s="46">
        <f>SUMIFS('[1]Raw Inventory'!D:D,'[1]Raw Inventory'!C:C,"DUARTE",'[1]Raw Inventory'!B:B,A1178)</f>
        <v>0</v>
      </c>
      <c r="AI1178" s="46"/>
      <c r="AJ1178" s="46"/>
      <c r="AK1178" s="43"/>
      <c r="AL1178" s="43"/>
      <c r="AM1178" s="43"/>
      <c r="AN1178" s="43"/>
      <c r="AO1178" s="43"/>
      <c r="AP1178" s="43"/>
      <c r="AQ1178" s="43"/>
      <c r="AR1178" s="43"/>
      <c r="AS1178" s="43"/>
      <c r="AT1178" s="43"/>
    </row>
    <row r="1179" spans="1:46">
      <c r="A1179" s="43" t="s">
        <v>17</v>
      </c>
      <c r="B1179" s="43" t="s">
        <v>131</v>
      </c>
      <c r="C1179" s="43" t="s">
        <v>128</v>
      </c>
      <c r="D1179" s="44" t="s">
        <v>236</v>
      </c>
      <c r="E1179" s="44">
        <v>6</v>
      </c>
      <c r="F1179" s="44" t="s">
        <v>2</v>
      </c>
      <c r="G1179" s="43" t="str">
        <f>IFERROR(VLOOKUP(A1179,'[1]MC Masterlist 2026-09-12'!$B:$M, 3, 0),"")</f>
        <v>HONDA</v>
      </c>
      <c r="H1179" s="45">
        <f>IFERROR(VLOOKUP(A1179,'[1]MC Masterlist 2026-09-12'!$B:$M, 6, 0),"")</f>
        <v>140790</v>
      </c>
      <c r="I1179" s="46">
        <v>2</v>
      </c>
      <c r="J1179" s="46">
        <v>2</v>
      </c>
      <c r="K1179" s="46">
        <v>6</v>
      </c>
      <c r="L1179" s="46">
        <f t="shared" si="270"/>
        <v>10</v>
      </c>
      <c r="M1179" s="46">
        <f t="shared" si="271"/>
        <v>3.3333333333333335</v>
      </c>
      <c r="N1179" s="45">
        <f t="shared" si="272"/>
        <v>1407900</v>
      </c>
      <c r="O1179" s="45">
        <f t="shared" si="273"/>
        <v>469300</v>
      </c>
      <c r="P1179" s="46">
        <f t="shared" si="274"/>
        <v>0.11111111111111112</v>
      </c>
      <c r="Q1179" s="46">
        <v>5</v>
      </c>
      <c r="R1179" s="45">
        <f t="shared" si="275"/>
        <v>703950</v>
      </c>
      <c r="S1179" s="46">
        <f t="shared" si="276"/>
        <v>45</v>
      </c>
      <c r="T1179" s="46">
        <f>IFERROR(VLOOKUP(A1179,'[1]Re-order'!$A:$Q,17,0),"")</f>
        <v>43.663366336633665</v>
      </c>
      <c r="U1179" s="46">
        <f>IFERROR(VLOOKUP(A1179,'[1]MC Masterlist 2026-09-12'!$B:$M, 10, 0),0)</f>
        <v>15</v>
      </c>
      <c r="V1179" s="46">
        <f>IFERROR(VLOOKUP(A1179,'[1]MC Masterlist 2026-09-12'!$B:$M, 11, 0),0)</f>
        <v>15</v>
      </c>
      <c r="W1179" s="46">
        <f t="shared" si="277"/>
        <v>30</v>
      </c>
      <c r="X1179" s="46">
        <f t="shared" si="278"/>
        <v>28.333333333333332</v>
      </c>
      <c r="Y1179" s="46">
        <f>IFERROR(IF(OR(C1179="AREA I",C1179="AREA V"),7,VLOOKUP(A1179,'[1]MC Masterlist 2026-09-12'!$B:$M, 12, 0)),0)</f>
        <v>30</v>
      </c>
      <c r="Z1179" s="46">
        <f t="shared" si="279"/>
        <v>1.6666666666666667</v>
      </c>
      <c r="AA1179" s="46">
        <f t="shared" si="280"/>
        <v>3.3333333333333335</v>
      </c>
      <c r="AB1179" s="46">
        <f t="shared" si="281"/>
        <v>3.1481481481481484</v>
      </c>
      <c r="AC1179" s="46">
        <f t="shared" si="282"/>
        <v>3.3333333333333335</v>
      </c>
      <c r="AD1179" s="44" t="str">
        <f t="shared" si="283"/>
        <v>Over</v>
      </c>
      <c r="AE1179" s="44" t="str">
        <f>IFERROR(VLOOKUP(A1179,'[1]Re-order'!$A:$AA,27,0),"")</f>
        <v>Re-order</v>
      </c>
      <c r="AF1179" s="46">
        <f t="shared" si="284"/>
        <v>-1.6666666666666665</v>
      </c>
      <c r="AG1179" s="46">
        <f>SUMIFS('[1]Raw Inventory'!D:D,'[1]Raw Inventory'!C:C,"GREATWALL",'[1]Raw Inventory'!B:B,A1179)</f>
        <v>12</v>
      </c>
      <c r="AH1179" s="46">
        <f>SUMIFS('[1]Raw Inventory'!D:D,'[1]Raw Inventory'!C:C,"DUARTE",'[1]Raw Inventory'!B:B,A1179)</f>
        <v>0</v>
      </c>
      <c r="AI1179" s="46"/>
      <c r="AJ1179" s="46"/>
      <c r="AK1179" s="43"/>
      <c r="AL1179" s="43"/>
      <c r="AM1179" s="43"/>
      <c r="AN1179" s="43"/>
      <c r="AO1179" s="43"/>
      <c r="AP1179" s="43"/>
      <c r="AQ1179" s="43"/>
      <c r="AR1179" s="43"/>
      <c r="AS1179" s="43"/>
      <c r="AT1179" s="43"/>
    </row>
    <row r="1180" spans="1:46">
      <c r="A1180" s="43" t="s">
        <v>64</v>
      </c>
      <c r="B1180" s="43" t="s">
        <v>91</v>
      </c>
      <c r="C1180" s="43" t="s">
        <v>90</v>
      </c>
      <c r="D1180" s="44" t="s">
        <v>236</v>
      </c>
      <c r="E1180" s="44">
        <v>7</v>
      </c>
      <c r="F1180" s="44" t="s">
        <v>2</v>
      </c>
      <c r="G1180" s="43" t="str">
        <f>IFERROR(VLOOKUP(A1180,'[1]MC Masterlist 2026-09-12'!$B:$M, 3, 0),"")</f>
        <v>HONDA</v>
      </c>
      <c r="H1180" s="45">
        <f>IFERROR(VLOOKUP(A1180,'[1]MC Masterlist 2026-09-12'!$B:$M, 6, 0),"")</f>
        <v>73170</v>
      </c>
      <c r="I1180" s="46">
        <v>1</v>
      </c>
      <c r="J1180" s="46">
        <v>3</v>
      </c>
      <c r="K1180" s="46">
        <v>1</v>
      </c>
      <c r="L1180" s="46">
        <f t="shared" si="270"/>
        <v>5</v>
      </c>
      <c r="M1180" s="46">
        <f t="shared" si="271"/>
        <v>1.6666666666666667</v>
      </c>
      <c r="N1180" s="45">
        <f t="shared" si="272"/>
        <v>365850</v>
      </c>
      <c r="O1180" s="45">
        <f t="shared" si="273"/>
        <v>121950</v>
      </c>
      <c r="P1180" s="46">
        <f t="shared" si="274"/>
        <v>5.5555555555555559E-2</v>
      </c>
      <c r="Q1180" s="46">
        <v>3</v>
      </c>
      <c r="R1180" s="45">
        <f t="shared" si="275"/>
        <v>219510</v>
      </c>
      <c r="S1180" s="46">
        <f t="shared" si="276"/>
        <v>54</v>
      </c>
      <c r="T1180" s="46">
        <f>IFERROR(VLOOKUP(A1180,'[1]Re-order'!$A:$Q,17,0),"")</f>
        <v>76.153846153846146</v>
      </c>
      <c r="U1180" s="46">
        <f>IFERROR(VLOOKUP(A1180,'[1]MC Masterlist 2026-09-12'!$B:$M, 10, 0),0)</f>
        <v>15</v>
      </c>
      <c r="V1180" s="46">
        <f>IFERROR(VLOOKUP(A1180,'[1]MC Masterlist 2026-09-12'!$B:$M, 11, 0),0)</f>
        <v>15</v>
      </c>
      <c r="W1180" s="46">
        <f t="shared" si="277"/>
        <v>30</v>
      </c>
      <c r="X1180" s="46">
        <f t="shared" si="278"/>
        <v>29.166666666666668</v>
      </c>
      <c r="Y1180" s="46">
        <f>IFERROR(IF(OR(C1180="AREA I",C1180="AREA V"),7,VLOOKUP(A1180,'[1]MC Masterlist 2026-09-12'!$B:$M, 12, 0)),0)</f>
        <v>30</v>
      </c>
      <c r="Z1180" s="46">
        <f t="shared" si="279"/>
        <v>0.83333333333333337</v>
      </c>
      <c r="AA1180" s="46">
        <f t="shared" si="280"/>
        <v>1.6666666666666667</v>
      </c>
      <c r="AB1180" s="46">
        <f t="shared" si="281"/>
        <v>1.6203703703703705</v>
      </c>
      <c r="AC1180" s="46">
        <f t="shared" si="282"/>
        <v>1.6666666666666667</v>
      </c>
      <c r="AD1180" s="44" t="str">
        <f t="shared" si="283"/>
        <v>Over</v>
      </c>
      <c r="AE1180" s="44" t="str">
        <f>IFERROR(VLOOKUP(A1180,'[1]Re-order'!$A:$AA,27,0),"")</f>
        <v/>
      </c>
      <c r="AF1180" s="46">
        <f t="shared" si="284"/>
        <v>-1.3333333333333333</v>
      </c>
      <c r="AG1180" s="46">
        <f>SUMIFS('[1]Raw Inventory'!D:D,'[1]Raw Inventory'!C:C,"GREATWALL",'[1]Raw Inventory'!B:B,A1180)</f>
        <v>13</v>
      </c>
      <c r="AH1180" s="46">
        <f>SUMIFS('[1]Raw Inventory'!D:D,'[1]Raw Inventory'!C:C,"DUARTE",'[1]Raw Inventory'!B:B,A1180)</f>
        <v>0</v>
      </c>
      <c r="AI1180" s="46"/>
      <c r="AJ1180" s="46"/>
      <c r="AK1180" s="43"/>
      <c r="AL1180" s="43"/>
      <c r="AM1180" s="43"/>
      <c r="AN1180" s="43"/>
      <c r="AO1180" s="43"/>
      <c r="AP1180" s="43"/>
      <c r="AQ1180" s="43"/>
      <c r="AR1180" s="43"/>
      <c r="AS1180" s="43"/>
      <c r="AT1180" s="43"/>
    </row>
    <row r="1181" spans="1:46">
      <c r="A1181" s="43" t="s">
        <v>23</v>
      </c>
      <c r="B1181" s="43" t="s">
        <v>160</v>
      </c>
      <c r="C1181" s="43" t="s">
        <v>159</v>
      </c>
      <c r="D1181" s="44" t="s">
        <v>265</v>
      </c>
      <c r="E1181" s="44">
        <v>24</v>
      </c>
      <c r="F1181" s="44" t="s">
        <v>3</v>
      </c>
      <c r="G1181" s="43" t="str">
        <f>IFERROR(VLOOKUP(A1181,'[1]MC Masterlist 2026-09-12'!$B:$M, 3, 0),"")</f>
        <v>KAWASAKI</v>
      </c>
      <c r="H1181" s="45">
        <f>IFERROR(VLOOKUP(A1181,'[1]MC Masterlist 2026-09-12'!$B:$M, 6, 0),"")</f>
        <v>60656</v>
      </c>
      <c r="I1181" s="46">
        <v>0</v>
      </c>
      <c r="J1181" s="46">
        <v>0</v>
      </c>
      <c r="K1181" s="46">
        <v>0</v>
      </c>
      <c r="L1181" s="46">
        <f t="shared" si="270"/>
        <v>0</v>
      </c>
      <c r="M1181" s="46">
        <f t="shared" si="271"/>
        <v>0</v>
      </c>
      <c r="N1181" s="45">
        <f t="shared" si="272"/>
        <v>0</v>
      </c>
      <c r="O1181" s="45">
        <f t="shared" si="273"/>
        <v>0</v>
      </c>
      <c r="P1181" s="46">
        <f t="shared" si="274"/>
        <v>0</v>
      </c>
      <c r="Q1181" s="46">
        <v>1</v>
      </c>
      <c r="R1181" s="45">
        <f t="shared" si="275"/>
        <v>60656</v>
      </c>
      <c r="S1181" s="46">
        <f t="shared" si="276"/>
        <v>0</v>
      </c>
      <c r="T1181" s="46">
        <f>IFERROR(VLOOKUP(A1181,'[1]Re-order'!$A:$Q,17,0),"")</f>
        <v>53.973412112259979</v>
      </c>
      <c r="U1181" s="46">
        <f>IFERROR(VLOOKUP(A1181,'[1]MC Masterlist 2026-09-12'!$B:$M, 10, 0),0)</f>
        <v>15</v>
      </c>
      <c r="V1181" s="46">
        <f>IFERROR(VLOOKUP(A1181,'[1]MC Masterlist 2026-09-12'!$B:$M, 11, 0),0)</f>
        <v>15</v>
      </c>
      <c r="W1181" s="46">
        <f t="shared" si="277"/>
        <v>30</v>
      </c>
      <c r="X1181" s="46">
        <f t="shared" si="278"/>
        <v>30</v>
      </c>
      <c r="Y1181" s="46">
        <f>IFERROR(IF(OR(C1181="AREA I",C1181="AREA V"),7,VLOOKUP(A1181,'[1]MC Masterlist 2026-09-12'!$B:$M, 12, 0)),0)</f>
        <v>30</v>
      </c>
      <c r="Z1181" s="46">
        <f t="shared" si="279"/>
        <v>0</v>
      </c>
      <c r="AA1181" s="46">
        <f t="shared" si="280"/>
        <v>0</v>
      </c>
      <c r="AB1181" s="46">
        <f t="shared" si="281"/>
        <v>0</v>
      </c>
      <c r="AC1181" s="46">
        <f t="shared" si="282"/>
        <v>0</v>
      </c>
      <c r="AD1181" s="44" t="str">
        <f t="shared" si="283"/>
        <v>Over</v>
      </c>
      <c r="AE1181" s="44" t="str">
        <f>IFERROR(VLOOKUP(A1181,'[1]Re-order'!$A:$AA,27,0),"")</f>
        <v>Re-order</v>
      </c>
      <c r="AF1181" s="46">
        <f t="shared" si="284"/>
        <v>-1</v>
      </c>
      <c r="AG1181" s="46">
        <f>SUMIFS('[1]Raw Inventory'!D:D,'[1]Raw Inventory'!C:C,"GREATWALL",'[1]Raw Inventory'!B:B,A1181)</f>
        <v>282</v>
      </c>
      <c r="AH1181" s="46">
        <f>SUMIFS('[1]Raw Inventory'!D:D,'[1]Raw Inventory'!C:C,"DUARTE",'[1]Raw Inventory'!B:B,A1181)</f>
        <v>0</v>
      </c>
      <c r="AI1181" s="46"/>
      <c r="AJ1181" s="46"/>
      <c r="AK1181" s="43"/>
      <c r="AL1181" s="43"/>
      <c r="AM1181" s="43"/>
      <c r="AN1181" s="43"/>
      <c r="AO1181" s="43"/>
      <c r="AP1181" s="43"/>
      <c r="AQ1181" s="43"/>
      <c r="AR1181" s="43"/>
      <c r="AS1181" s="43"/>
      <c r="AT1181" s="43"/>
    </row>
    <row r="1182" spans="1:46">
      <c r="A1182" s="43" t="s">
        <v>18</v>
      </c>
      <c r="B1182" s="43" t="s">
        <v>156</v>
      </c>
      <c r="C1182" s="43" t="s">
        <v>152</v>
      </c>
      <c r="D1182" s="44" t="s">
        <v>267</v>
      </c>
      <c r="E1182" s="44">
        <v>27</v>
      </c>
      <c r="F1182" s="44" t="s">
        <v>3</v>
      </c>
      <c r="G1182" s="43" t="str">
        <f>IFERROR(VLOOKUP(A1182,'[1]MC Masterlist 2026-09-12'!$B:$M, 3, 0),"")</f>
        <v>HONDA</v>
      </c>
      <c r="H1182" s="45">
        <f>IFERROR(VLOOKUP(A1182,'[1]MC Masterlist 2026-09-12'!$B:$M, 6, 0),"")</f>
        <v>94330</v>
      </c>
      <c r="I1182" s="46">
        <v>0</v>
      </c>
      <c r="J1182" s="46">
        <v>0</v>
      </c>
      <c r="K1182" s="46">
        <v>0</v>
      </c>
      <c r="L1182" s="46">
        <f t="shared" si="270"/>
        <v>0</v>
      </c>
      <c r="M1182" s="46">
        <f t="shared" si="271"/>
        <v>0</v>
      </c>
      <c r="N1182" s="45">
        <f t="shared" si="272"/>
        <v>0</v>
      </c>
      <c r="O1182" s="45">
        <f t="shared" si="273"/>
        <v>0</v>
      </c>
      <c r="P1182" s="46">
        <f t="shared" si="274"/>
        <v>0</v>
      </c>
      <c r="Q1182" s="46">
        <v>5</v>
      </c>
      <c r="R1182" s="45">
        <f t="shared" si="275"/>
        <v>471650</v>
      </c>
      <c r="S1182" s="46">
        <f t="shared" si="276"/>
        <v>0</v>
      </c>
      <c r="T1182" s="46">
        <f>IFERROR(VLOOKUP(A1182,'[1]Re-order'!$A:$Q,17,0),"")</f>
        <v>113.9644970414201</v>
      </c>
      <c r="U1182" s="46">
        <f>IFERROR(VLOOKUP(A1182,'[1]MC Masterlist 2026-09-12'!$B:$M, 10, 0),0)</f>
        <v>15</v>
      </c>
      <c r="V1182" s="46">
        <f>IFERROR(VLOOKUP(A1182,'[1]MC Masterlist 2026-09-12'!$B:$M, 11, 0),0)</f>
        <v>15</v>
      </c>
      <c r="W1182" s="46">
        <f t="shared" si="277"/>
        <v>30</v>
      </c>
      <c r="X1182" s="46">
        <f t="shared" si="278"/>
        <v>30</v>
      </c>
      <c r="Y1182" s="46">
        <f>IFERROR(IF(OR(C1182="AREA I",C1182="AREA V"),7,VLOOKUP(A1182,'[1]MC Masterlist 2026-09-12'!$B:$M, 12, 0)),0)</f>
        <v>30</v>
      </c>
      <c r="Z1182" s="46">
        <f t="shared" si="279"/>
        <v>0</v>
      </c>
      <c r="AA1182" s="46">
        <f t="shared" si="280"/>
        <v>0</v>
      </c>
      <c r="AB1182" s="46">
        <f t="shared" si="281"/>
        <v>0</v>
      </c>
      <c r="AC1182" s="46">
        <f t="shared" si="282"/>
        <v>0</v>
      </c>
      <c r="AD1182" s="44" t="str">
        <f t="shared" si="283"/>
        <v>Over</v>
      </c>
      <c r="AE1182" s="44" t="str">
        <f>IFERROR(VLOOKUP(A1182,'[1]Re-order'!$A:$AA,27,0),"")</f>
        <v>Over</v>
      </c>
      <c r="AF1182" s="46">
        <f t="shared" si="284"/>
        <v>-5</v>
      </c>
      <c r="AG1182" s="46">
        <f>SUMIFS('[1]Raw Inventory'!D:D,'[1]Raw Inventory'!C:C,"GREATWALL",'[1]Raw Inventory'!B:B,A1182)</f>
        <v>88</v>
      </c>
      <c r="AH1182" s="46">
        <f>SUMIFS('[1]Raw Inventory'!D:D,'[1]Raw Inventory'!C:C,"DUARTE",'[1]Raw Inventory'!B:B,A1182)</f>
        <v>0</v>
      </c>
      <c r="AI1182" s="46"/>
      <c r="AJ1182" s="46"/>
      <c r="AK1182" s="43"/>
      <c r="AL1182" s="43"/>
      <c r="AM1182" s="43"/>
      <c r="AN1182" s="43"/>
      <c r="AO1182" s="43"/>
      <c r="AP1182" s="43"/>
      <c r="AQ1182" s="43"/>
      <c r="AR1182" s="43"/>
      <c r="AS1182" s="43"/>
      <c r="AT1182" s="43"/>
    </row>
    <row r="1183" spans="1:46">
      <c r="A1183" s="43" t="s">
        <v>40</v>
      </c>
      <c r="B1183" s="43" t="s">
        <v>161</v>
      </c>
      <c r="C1183" s="43" t="s">
        <v>159</v>
      </c>
      <c r="D1183" s="44" t="s">
        <v>274</v>
      </c>
      <c r="E1183" s="44">
        <v>1</v>
      </c>
      <c r="F1183" s="44" t="s">
        <v>0</v>
      </c>
      <c r="G1183" s="43" t="str">
        <f>IFERROR(VLOOKUP(A1183,'[1]MC Masterlist 2026-09-12'!$B:$M, 3, 0),"")</f>
        <v>HONDA</v>
      </c>
      <c r="H1183" s="45">
        <f>IFERROR(VLOOKUP(A1183,'[1]MC Masterlist 2026-09-12'!$B:$M, 6, 0),"")</f>
        <v>56426</v>
      </c>
      <c r="I1183" s="46">
        <v>0</v>
      </c>
      <c r="J1183" s="46">
        <v>0</v>
      </c>
      <c r="K1183" s="46">
        <v>0</v>
      </c>
      <c r="L1183" s="46">
        <f t="shared" si="270"/>
        <v>0</v>
      </c>
      <c r="M1183" s="46">
        <f t="shared" si="271"/>
        <v>0</v>
      </c>
      <c r="N1183" s="45">
        <f t="shared" si="272"/>
        <v>0</v>
      </c>
      <c r="O1183" s="45">
        <f t="shared" si="273"/>
        <v>0</v>
      </c>
      <c r="P1183" s="46">
        <f t="shared" si="274"/>
        <v>0</v>
      </c>
      <c r="Q1183" s="46">
        <v>1</v>
      </c>
      <c r="R1183" s="45">
        <f t="shared" si="275"/>
        <v>56426</v>
      </c>
      <c r="S1183" s="46">
        <f t="shared" si="276"/>
        <v>0</v>
      </c>
      <c r="T1183" s="46">
        <f>IFERROR(VLOOKUP(A1183,'[1]Re-order'!$A:$Q,17,0),"")</f>
        <v>139.56521739130434</v>
      </c>
      <c r="U1183" s="46">
        <f>IFERROR(VLOOKUP(A1183,'[1]MC Masterlist 2026-09-12'!$B:$M, 10, 0),0)</f>
        <v>15</v>
      </c>
      <c r="V1183" s="46">
        <f>IFERROR(VLOOKUP(A1183,'[1]MC Masterlist 2026-09-12'!$B:$M, 11, 0),0)</f>
        <v>15</v>
      </c>
      <c r="W1183" s="46">
        <f t="shared" si="277"/>
        <v>30</v>
      </c>
      <c r="X1183" s="46">
        <f t="shared" si="278"/>
        <v>30</v>
      </c>
      <c r="Y1183" s="46">
        <f>IFERROR(IF(OR(C1183="AREA I",C1183="AREA V"),7,VLOOKUP(A1183,'[1]MC Masterlist 2026-09-12'!$B:$M, 12, 0)),0)</f>
        <v>30</v>
      </c>
      <c r="Z1183" s="46">
        <f t="shared" si="279"/>
        <v>0</v>
      </c>
      <c r="AA1183" s="46">
        <f t="shared" si="280"/>
        <v>0</v>
      </c>
      <c r="AB1183" s="46">
        <f t="shared" si="281"/>
        <v>0</v>
      </c>
      <c r="AC1183" s="46">
        <f t="shared" si="282"/>
        <v>0</v>
      </c>
      <c r="AD1183" s="44" t="str">
        <f t="shared" si="283"/>
        <v>Over</v>
      </c>
      <c r="AE1183" s="44" t="str">
        <f>IFERROR(VLOOKUP(A1183,'[1]Re-order'!$A:$AA,27,0),"")</f>
        <v>Over</v>
      </c>
      <c r="AF1183" s="46">
        <f t="shared" si="284"/>
        <v>-1</v>
      </c>
      <c r="AG1183" s="46">
        <f>SUMIFS('[1]Raw Inventory'!D:D,'[1]Raw Inventory'!C:C,"GREATWALL",'[1]Raw Inventory'!B:B,A1183)</f>
        <v>45</v>
      </c>
      <c r="AH1183" s="46">
        <f>SUMIFS('[1]Raw Inventory'!D:D,'[1]Raw Inventory'!C:C,"DUARTE",'[1]Raw Inventory'!B:B,A1183)</f>
        <v>0</v>
      </c>
      <c r="AI1183" s="46"/>
      <c r="AJ1183" s="46"/>
      <c r="AK1183" s="43"/>
      <c r="AL1183" s="43"/>
      <c r="AM1183" s="43"/>
      <c r="AN1183" s="43"/>
      <c r="AO1183" s="43"/>
      <c r="AP1183" s="43"/>
      <c r="AQ1183" s="43"/>
      <c r="AR1183" s="43"/>
      <c r="AS1183" s="43"/>
      <c r="AT1183" s="43"/>
    </row>
    <row r="1184" spans="1:46">
      <c r="A1184" s="43" t="s">
        <v>18</v>
      </c>
      <c r="B1184" s="43" t="s">
        <v>158</v>
      </c>
      <c r="C1184" s="43" t="s">
        <v>152</v>
      </c>
      <c r="D1184" s="44" t="s">
        <v>268</v>
      </c>
      <c r="E1184" s="44">
        <v>19</v>
      </c>
      <c r="F1184" s="44" t="s">
        <v>3</v>
      </c>
      <c r="G1184" s="43" t="str">
        <f>IFERROR(VLOOKUP(A1184,'[1]MC Masterlist 2026-09-12'!$B:$M, 3, 0),"")</f>
        <v>HONDA</v>
      </c>
      <c r="H1184" s="45">
        <f>IFERROR(VLOOKUP(A1184,'[1]MC Masterlist 2026-09-12'!$B:$M, 6, 0),"")</f>
        <v>94330</v>
      </c>
      <c r="I1184" s="46">
        <v>0</v>
      </c>
      <c r="J1184" s="46">
        <v>1</v>
      </c>
      <c r="K1184" s="46">
        <v>0</v>
      </c>
      <c r="L1184" s="46">
        <f t="shared" si="270"/>
        <v>1</v>
      </c>
      <c r="M1184" s="46">
        <f t="shared" si="271"/>
        <v>0.33333333333333331</v>
      </c>
      <c r="N1184" s="45">
        <f t="shared" si="272"/>
        <v>94330</v>
      </c>
      <c r="O1184" s="45">
        <f t="shared" si="273"/>
        <v>31443.333333333332</v>
      </c>
      <c r="P1184" s="46">
        <f t="shared" si="274"/>
        <v>1.111111111111111E-2</v>
      </c>
      <c r="Q1184" s="46">
        <v>3</v>
      </c>
      <c r="R1184" s="45">
        <f t="shared" si="275"/>
        <v>282990</v>
      </c>
      <c r="S1184" s="46">
        <f t="shared" si="276"/>
        <v>270</v>
      </c>
      <c r="T1184" s="46">
        <f>IFERROR(VLOOKUP(A1184,'[1]Re-order'!$A:$Q,17,0),"")</f>
        <v>113.9644970414201</v>
      </c>
      <c r="U1184" s="46">
        <f>IFERROR(VLOOKUP(A1184,'[1]MC Masterlist 2026-09-12'!$B:$M, 10, 0),0)</f>
        <v>15</v>
      </c>
      <c r="V1184" s="46">
        <f>IFERROR(VLOOKUP(A1184,'[1]MC Masterlist 2026-09-12'!$B:$M, 11, 0),0)</f>
        <v>15</v>
      </c>
      <c r="W1184" s="46">
        <f t="shared" si="277"/>
        <v>30</v>
      </c>
      <c r="X1184" s="46">
        <f t="shared" si="278"/>
        <v>29.833333333333332</v>
      </c>
      <c r="Y1184" s="46">
        <f>IFERROR(IF(OR(C1184="AREA I",C1184="AREA V"),7,VLOOKUP(A1184,'[1]MC Masterlist 2026-09-12'!$B:$M, 12, 0)),0)</f>
        <v>30</v>
      </c>
      <c r="Z1184" s="46">
        <f t="shared" si="279"/>
        <v>0.16666666666666666</v>
      </c>
      <c r="AA1184" s="46">
        <f t="shared" si="280"/>
        <v>0.33333333333333331</v>
      </c>
      <c r="AB1184" s="46">
        <f t="shared" si="281"/>
        <v>0.33148148148148143</v>
      </c>
      <c r="AC1184" s="46">
        <f t="shared" si="282"/>
        <v>0.33333333333333331</v>
      </c>
      <c r="AD1184" s="44" t="str">
        <f t="shared" si="283"/>
        <v>Over</v>
      </c>
      <c r="AE1184" s="44" t="str">
        <f>IFERROR(VLOOKUP(A1184,'[1]Re-order'!$A:$AA,27,0),"")</f>
        <v>Over</v>
      </c>
      <c r="AF1184" s="46">
        <f t="shared" si="284"/>
        <v>-2.6666666666666665</v>
      </c>
      <c r="AG1184" s="46">
        <f>SUMIFS('[1]Raw Inventory'!D:D,'[1]Raw Inventory'!C:C,"GREATWALL",'[1]Raw Inventory'!B:B,A1184)</f>
        <v>88</v>
      </c>
      <c r="AH1184" s="46">
        <f>SUMIFS('[1]Raw Inventory'!D:D,'[1]Raw Inventory'!C:C,"DUARTE",'[1]Raw Inventory'!B:B,A1184)</f>
        <v>0</v>
      </c>
      <c r="AI1184" s="46"/>
      <c r="AJ1184" s="46"/>
      <c r="AK1184" s="43"/>
      <c r="AL1184" s="43"/>
      <c r="AM1184" s="43"/>
      <c r="AN1184" s="43"/>
      <c r="AO1184" s="43"/>
      <c r="AP1184" s="43"/>
      <c r="AQ1184" s="43"/>
      <c r="AR1184" s="43"/>
      <c r="AS1184" s="43"/>
      <c r="AT1184" s="43"/>
    </row>
    <row r="1185" spans="1:46">
      <c r="A1185" s="43" t="s">
        <v>47</v>
      </c>
      <c r="B1185" s="43" t="s">
        <v>130</v>
      </c>
      <c r="C1185" s="43" t="s">
        <v>128</v>
      </c>
      <c r="D1185" s="44" t="s">
        <v>229</v>
      </c>
      <c r="E1185" s="44">
        <v>27</v>
      </c>
      <c r="F1185" s="44" t="s">
        <v>3</v>
      </c>
      <c r="G1185" s="43" t="str">
        <f>IFERROR(VLOOKUP(A1185,'[1]MC Masterlist 2026-09-12'!$B:$M, 3, 0),"")</f>
        <v>YAMAHA</v>
      </c>
      <c r="H1185" s="45">
        <f>IFERROR(VLOOKUP(A1185,'[1]MC Masterlist 2026-09-12'!$B:$M, 6, 0),"")</f>
        <v>76167</v>
      </c>
      <c r="I1185" s="46">
        <v>0</v>
      </c>
      <c r="J1185" s="46">
        <v>1</v>
      </c>
      <c r="K1185" s="46">
        <v>0</v>
      </c>
      <c r="L1185" s="46">
        <f t="shared" si="270"/>
        <v>1</v>
      </c>
      <c r="M1185" s="46">
        <f t="shared" si="271"/>
        <v>0.33333333333333331</v>
      </c>
      <c r="N1185" s="45">
        <f t="shared" si="272"/>
        <v>76167</v>
      </c>
      <c r="O1185" s="45">
        <f t="shared" si="273"/>
        <v>25389</v>
      </c>
      <c r="P1185" s="46">
        <f t="shared" si="274"/>
        <v>1.111111111111111E-2</v>
      </c>
      <c r="Q1185" s="46"/>
      <c r="R1185" s="45">
        <f t="shared" si="275"/>
        <v>0</v>
      </c>
      <c r="S1185" s="46">
        <f t="shared" si="276"/>
        <v>0</v>
      </c>
      <c r="T1185" s="46">
        <f>IFERROR(VLOOKUP(A1185,'[1]Re-order'!$A:$Q,17,0),"")</f>
        <v>86.666666666666671</v>
      </c>
      <c r="U1185" s="46">
        <f>IFERROR(VLOOKUP(A1185,'[1]MC Masterlist 2026-09-12'!$B:$M, 10, 0),0)</f>
        <v>15</v>
      </c>
      <c r="V1185" s="46">
        <f>IFERROR(VLOOKUP(A1185,'[1]MC Masterlist 2026-09-12'!$B:$M, 11, 0),0)</f>
        <v>15</v>
      </c>
      <c r="W1185" s="46">
        <f t="shared" si="277"/>
        <v>30</v>
      </c>
      <c r="X1185" s="46">
        <f t="shared" si="278"/>
        <v>29.833333333333332</v>
      </c>
      <c r="Y1185" s="46">
        <f>IFERROR(IF(OR(C1185="AREA I",C1185="AREA V"),7,VLOOKUP(A1185,'[1]MC Masterlist 2026-09-12'!$B:$M, 12, 0)),0)</f>
        <v>30</v>
      </c>
      <c r="Z1185" s="46">
        <f t="shared" si="279"/>
        <v>0.16666666666666666</v>
      </c>
      <c r="AA1185" s="46">
        <f t="shared" si="280"/>
        <v>0.33333333333333331</v>
      </c>
      <c r="AB1185" s="46">
        <f t="shared" si="281"/>
        <v>0.33148148148148143</v>
      </c>
      <c r="AC1185" s="46">
        <f t="shared" si="282"/>
        <v>0.33333333333333331</v>
      </c>
      <c r="AD1185" s="44" t="str">
        <f t="shared" si="283"/>
        <v>Stockout</v>
      </c>
      <c r="AE1185" s="44" t="str">
        <f>IFERROR(VLOOKUP(A1185,'[1]Re-order'!$A:$AA,27,0),"")</f>
        <v/>
      </c>
      <c r="AF1185" s="46">
        <f t="shared" si="284"/>
        <v>0.33333333333333331</v>
      </c>
      <c r="AG1185" s="46">
        <f>SUMIFS('[1]Raw Inventory'!D:D,'[1]Raw Inventory'!C:C,"GREATWALL",'[1]Raw Inventory'!B:B,A1185)</f>
        <v>1</v>
      </c>
      <c r="AH1185" s="46">
        <f>SUMIFS('[1]Raw Inventory'!D:D,'[1]Raw Inventory'!C:C,"DUARTE",'[1]Raw Inventory'!B:B,A1185)</f>
        <v>0</v>
      </c>
      <c r="AI1185" s="46"/>
      <c r="AJ1185" s="46"/>
      <c r="AK1185" s="43"/>
      <c r="AL1185" s="43"/>
      <c r="AM1185" s="43"/>
      <c r="AN1185" s="43"/>
      <c r="AO1185" s="43"/>
      <c r="AP1185" s="43"/>
      <c r="AQ1185" s="43"/>
      <c r="AR1185" s="43"/>
      <c r="AS1185" s="43"/>
      <c r="AT1185" s="43"/>
    </row>
    <row r="1186" spans="1:46">
      <c r="A1186" s="43" t="s">
        <v>72</v>
      </c>
      <c r="B1186" s="43" t="s">
        <v>145</v>
      </c>
      <c r="C1186" s="43" t="s">
        <v>137</v>
      </c>
      <c r="D1186" s="44" t="s">
        <v>235</v>
      </c>
      <c r="E1186" s="44">
        <v>27</v>
      </c>
      <c r="F1186" s="44" t="s">
        <v>3</v>
      </c>
      <c r="G1186" s="43" t="str">
        <f>IFERROR(VLOOKUP(A1186,'[1]MC Masterlist 2026-09-12'!$B:$M, 3, 0),"")</f>
        <v>KAWASAKI</v>
      </c>
      <c r="H1186" s="45">
        <f>IFERROR(VLOOKUP(A1186,'[1]MC Masterlist 2026-09-12'!$B:$M, 6, 0),"")</f>
        <v>52948</v>
      </c>
      <c r="I1186" s="46">
        <v>0</v>
      </c>
      <c r="J1186" s="46">
        <v>1</v>
      </c>
      <c r="K1186" s="46">
        <v>0</v>
      </c>
      <c r="L1186" s="46">
        <f t="shared" si="270"/>
        <v>1</v>
      </c>
      <c r="M1186" s="46">
        <f t="shared" si="271"/>
        <v>0.33333333333333331</v>
      </c>
      <c r="N1186" s="45">
        <f t="shared" si="272"/>
        <v>52948</v>
      </c>
      <c r="O1186" s="45">
        <f t="shared" si="273"/>
        <v>17649.333333333332</v>
      </c>
      <c r="P1186" s="46">
        <f t="shared" si="274"/>
        <v>1.111111111111111E-2</v>
      </c>
      <c r="Q1186" s="46"/>
      <c r="R1186" s="45">
        <f t="shared" si="275"/>
        <v>0</v>
      </c>
      <c r="S1186" s="46">
        <f t="shared" si="276"/>
        <v>0</v>
      </c>
      <c r="T1186" s="46">
        <f>IFERROR(VLOOKUP(A1186,'[1]Re-order'!$A:$Q,17,0),"")</f>
        <v>378</v>
      </c>
      <c r="U1186" s="46">
        <f>IFERROR(VLOOKUP(A1186,'[1]MC Masterlist 2026-09-12'!$B:$M, 10, 0),0)</f>
        <v>15</v>
      </c>
      <c r="V1186" s="46">
        <f>IFERROR(VLOOKUP(A1186,'[1]MC Masterlist 2026-09-12'!$B:$M, 11, 0),0)</f>
        <v>15</v>
      </c>
      <c r="W1186" s="46">
        <f t="shared" si="277"/>
        <v>30</v>
      </c>
      <c r="X1186" s="46">
        <f t="shared" si="278"/>
        <v>6.833333333333333</v>
      </c>
      <c r="Y1186" s="46">
        <f>IFERROR(IF(OR(C1186="AREA I",C1186="AREA V"),7,VLOOKUP(A1186,'[1]MC Masterlist 2026-09-12'!$B:$M, 12, 0)),0)</f>
        <v>7</v>
      </c>
      <c r="Z1186" s="46">
        <f t="shared" si="279"/>
        <v>0.16666666666666666</v>
      </c>
      <c r="AA1186" s="46">
        <f t="shared" si="280"/>
        <v>0.33333333333333331</v>
      </c>
      <c r="AB1186" s="46">
        <f t="shared" si="281"/>
        <v>7.5925925925925911E-2</v>
      </c>
      <c r="AC1186" s="46">
        <f t="shared" si="282"/>
        <v>7.7777777777777765E-2</v>
      </c>
      <c r="AD1186" s="44" t="str">
        <f t="shared" si="283"/>
        <v>Stockout</v>
      </c>
      <c r="AE1186" s="44" t="str">
        <f>IFERROR(VLOOKUP(A1186,'[1]Re-order'!$A:$AA,27,0),"")</f>
        <v>Over</v>
      </c>
      <c r="AF1186" s="46">
        <f t="shared" si="284"/>
        <v>7.7777777777777765E-2</v>
      </c>
      <c r="AG1186" s="46">
        <f>SUMIFS('[1]Raw Inventory'!D:D,'[1]Raw Inventory'!C:C,"GREATWALL",'[1]Raw Inventory'!B:B,A1186)</f>
        <v>15</v>
      </c>
      <c r="AH1186" s="46">
        <f>SUMIFS('[1]Raw Inventory'!D:D,'[1]Raw Inventory'!C:C,"DUARTE",'[1]Raw Inventory'!B:B,A1186)</f>
        <v>0</v>
      </c>
      <c r="AI1186" s="46"/>
      <c r="AJ1186" s="46"/>
      <c r="AK1186" s="43"/>
      <c r="AL1186" s="43"/>
      <c r="AM1186" s="43"/>
      <c r="AN1186" s="43"/>
      <c r="AO1186" s="43"/>
      <c r="AP1186" s="43"/>
      <c r="AQ1186" s="43"/>
      <c r="AR1186" s="43"/>
      <c r="AS1186" s="43"/>
      <c r="AT1186" s="43"/>
    </row>
    <row r="1187" spans="1:46">
      <c r="A1187" s="43" t="s">
        <v>49</v>
      </c>
      <c r="B1187" s="43" t="s">
        <v>156</v>
      </c>
      <c r="C1187" s="43" t="s">
        <v>152</v>
      </c>
      <c r="D1187" s="44" t="s">
        <v>227</v>
      </c>
      <c r="E1187" s="44">
        <v>1</v>
      </c>
      <c r="F1187" s="44" t="s">
        <v>0</v>
      </c>
      <c r="G1187" s="43" t="str">
        <f>IFERROR(VLOOKUP(A1187,'[1]MC Masterlist 2026-09-12'!$B:$M, 3, 0),"")</f>
        <v>BAJAJ RE</v>
      </c>
      <c r="H1187" s="45">
        <f>IFERROR(VLOOKUP(A1187,'[1]MC Masterlist 2026-09-12'!$B:$M, 6, 0),"")</f>
        <v>191000</v>
      </c>
      <c r="I1187" s="46">
        <v>14</v>
      </c>
      <c r="J1187" s="46">
        <v>12</v>
      </c>
      <c r="K1187" s="46">
        <v>18</v>
      </c>
      <c r="L1187" s="46">
        <f t="shared" si="270"/>
        <v>44</v>
      </c>
      <c r="M1187" s="46">
        <f t="shared" si="271"/>
        <v>14.666666666666666</v>
      </c>
      <c r="N1187" s="45">
        <f t="shared" si="272"/>
        <v>8404000</v>
      </c>
      <c r="O1187" s="45">
        <f t="shared" si="273"/>
        <v>2801333.333333333</v>
      </c>
      <c r="P1187" s="46">
        <f t="shared" si="274"/>
        <v>0.48888888888888887</v>
      </c>
      <c r="Q1187" s="46">
        <v>6</v>
      </c>
      <c r="R1187" s="45">
        <f t="shared" si="275"/>
        <v>1146000</v>
      </c>
      <c r="S1187" s="46">
        <f t="shared" si="276"/>
        <v>12.272727272727273</v>
      </c>
      <c r="T1187" s="46">
        <f>IFERROR(VLOOKUP(A1187,'[1]Re-order'!$A:$Q,17,0),"")</f>
        <v>21.516709511568124</v>
      </c>
      <c r="U1187" s="46">
        <f>IFERROR(VLOOKUP(A1187,'[1]MC Masterlist 2026-09-12'!$B:$M, 10, 0),0)</f>
        <v>15</v>
      </c>
      <c r="V1187" s="46">
        <f>IFERROR(VLOOKUP(A1187,'[1]MC Masterlist 2026-09-12'!$B:$M, 11, 0),0)</f>
        <v>15</v>
      </c>
      <c r="W1187" s="46">
        <f t="shared" si="277"/>
        <v>30</v>
      </c>
      <c r="X1187" s="46">
        <f t="shared" si="278"/>
        <v>22.666666666666668</v>
      </c>
      <c r="Y1187" s="46">
        <f>IFERROR(IF(OR(C1187="AREA I",C1187="AREA V"),7,VLOOKUP(A1187,'[1]MC Masterlist 2026-09-12'!$B:$M, 12, 0)),0)</f>
        <v>30</v>
      </c>
      <c r="Z1187" s="46">
        <f t="shared" si="279"/>
        <v>7.333333333333333</v>
      </c>
      <c r="AA1187" s="46">
        <f t="shared" si="280"/>
        <v>14.666666666666666</v>
      </c>
      <c r="AB1187" s="46">
        <f t="shared" si="281"/>
        <v>11.081481481481482</v>
      </c>
      <c r="AC1187" s="46">
        <f t="shared" si="282"/>
        <v>14.666666666666666</v>
      </c>
      <c r="AD1187" s="44" t="str">
        <f t="shared" si="283"/>
        <v>Stockout</v>
      </c>
      <c r="AE1187" s="44" t="str">
        <f>IFERROR(VLOOKUP(A1187,'[1]Re-order'!$A:$AA,27,0),"")</f>
        <v>Stockout</v>
      </c>
      <c r="AF1187" s="46">
        <f t="shared" si="284"/>
        <v>8.6666666666666661</v>
      </c>
      <c r="AG1187" s="46">
        <f>SUMIFS('[1]Raw Inventory'!D:D,'[1]Raw Inventory'!C:C,"GREATWALL",'[1]Raw Inventory'!B:B,A1187)</f>
        <v>0</v>
      </c>
      <c r="AH1187" s="46">
        <f>SUMIFS('[1]Raw Inventory'!D:D,'[1]Raw Inventory'!C:C,"DUARTE",'[1]Raw Inventory'!B:B,A1187)</f>
        <v>0</v>
      </c>
      <c r="AI1187" s="46"/>
      <c r="AJ1187" s="46"/>
      <c r="AK1187" s="43"/>
      <c r="AL1187" s="43"/>
      <c r="AM1187" s="43"/>
      <c r="AN1187" s="43"/>
      <c r="AO1187" s="43"/>
      <c r="AP1187" s="43"/>
      <c r="AQ1187" s="43"/>
      <c r="AR1187" s="43"/>
      <c r="AS1187" s="43"/>
      <c r="AT1187" s="43"/>
    </row>
    <row r="1188" spans="1:46">
      <c r="A1188" s="43" t="s">
        <v>17</v>
      </c>
      <c r="B1188" s="43" t="s">
        <v>116</v>
      </c>
      <c r="C1188" s="43" t="s">
        <v>109</v>
      </c>
      <c r="D1188" s="44" t="s">
        <v>229</v>
      </c>
      <c r="E1188" s="44">
        <v>7</v>
      </c>
      <c r="F1188" s="44" t="s">
        <v>3</v>
      </c>
      <c r="G1188" s="43" t="str">
        <f>IFERROR(VLOOKUP(A1188,'[1]MC Masterlist 2026-09-12'!$B:$M, 3, 0),"")</f>
        <v>HONDA</v>
      </c>
      <c r="H1188" s="45">
        <f>IFERROR(VLOOKUP(A1188,'[1]MC Masterlist 2026-09-12'!$B:$M, 6, 0),"")</f>
        <v>140790</v>
      </c>
      <c r="I1188" s="46">
        <v>0</v>
      </c>
      <c r="J1188" s="46">
        <v>0</v>
      </c>
      <c r="K1188" s="46">
        <v>0</v>
      </c>
      <c r="L1188" s="46">
        <f t="shared" si="270"/>
        <v>0</v>
      </c>
      <c r="M1188" s="46">
        <f t="shared" si="271"/>
        <v>0</v>
      </c>
      <c r="N1188" s="45">
        <f t="shared" si="272"/>
        <v>0</v>
      </c>
      <c r="O1188" s="45">
        <f t="shared" si="273"/>
        <v>0</v>
      </c>
      <c r="P1188" s="46">
        <f t="shared" si="274"/>
        <v>0</v>
      </c>
      <c r="Q1188" s="46">
        <v>1</v>
      </c>
      <c r="R1188" s="45">
        <f t="shared" si="275"/>
        <v>140790</v>
      </c>
      <c r="S1188" s="46">
        <f t="shared" si="276"/>
        <v>0</v>
      </c>
      <c r="T1188" s="46">
        <f>IFERROR(VLOOKUP(A1188,'[1]Re-order'!$A:$Q,17,0),"")</f>
        <v>43.663366336633665</v>
      </c>
      <c r="U1188" s="46">
        <f>IFERROR(VLOOKUP(A1188,'[1]MC Masterlist 2026-09-12'!$B:$M, 10, 0),0)</f>
        <v>15</v>
      </c>
      <c r="V1188" s="46">
        <f>IFERROR(VLOOKUP(A1188,'[1]MC Masterlist 2026-09-12'!$B:$M, 11, 0),0)</f>
        <v>15</v>
      </c>
      <c r="W1188" s="46">
        <f t="shared" si="277"/>
        <v>30</v>
      </c>
      <c r="X1188" s="46">
        <f t="shared" si="278"/>
        <v>30</v>
      </c>
      <c r="Y1188" s="46">
        <f>IFERROR(IF(OR(C1188="AREA I",C1188="AREA V"),7,VLOOKUP(A1188,'[1]MC Masterlist 2026-09-12'!$B:$M, 12, 0)),0)</f>
        <v>30</v>
      </c>
      <c r="Z1188" s="46">
        <f t="shared" si="279"/>
        <v>0</v>
      </c>
      <c r="AA1188" s="46">
        <f t="shared" si="280"/>
        <v>0</v>
      </c>
      <c r="AB1188" s="46">
        <f t="shared" si="281"/>
        <v>0</v>
      </c>
      <c r="AC1188" s="46">
        <f t="shared" si="282"/>
        <v>0</v>
      </c>
      <c r="AD1188" s="44" t="str">
        <f t="shared" si="283"/>
        <v>Over</v>
      </c>
      <c r="AE1188" s="44" t="str">
        <f>IFERROR(VLOOKUP(A1188,'[1]Re-order'!$A:$AA,27,0),"")</f>
        <v>Re-order</v>
      </c>
      <c r="AF1188" s="46">
        <f t="shared" si="284"/>
        <v>-1</v>
      </c>
      <c r="AG1188" s="46">
        <f>SUMIFS('[1]Raw Inventory'!D:D,'[1]Raw Inventory'!C:C,"GREATWALL",'[1]Raw Inventory'!B:B,A1188)</f>
        <v>12</v>
      </c>
      <c r="AH1188" s="46">
        <f>SUMIFS('[1]Raw Inventory'!D:D,'[1]Raw Inventory'!C:C,"DUARTE",'[1]Raw Inventory'!B:B,A1188)</f>
        <v>0</v>
      </c>
      <c r="AI1188" s="46"/>
      <c r="AJ1188" s="46"/>
      <c r="AK1188" s="43"/>
      <c r="AL1188" s="43"/>
      <c r="AM1188" s="43"/>
      <c r="AN1188" s="43"/>
      <c r="AO1188" s="43"/>
      <c r="AP1188" s="43"/>
      <c r="AQ1188" s="43"/>
      <c r="AR1188" s="43"/>
      <c r="AS1188" s="43"/>
      <c r="AT1188" s="43"/>
    </row>
    <row r="1189" spans="1:46">
      <c r="A1189" s="43" t="s">
        <v>62</v>
      </c>
      <c r="B1189" s="43" t="s">
        <v>91</v>
      </c>
      <c r="C1189" s="43" t="s">
        <v>90</v>
      </c>
      <c r="D1189" s="44" t="s">
        <v>268</v>
      </c>
      <c r="E1189" s="44">
        <v>10</v>
      </c>
      <c r="F1189" s="44" t="s">
        <v>3</v>
      </c>
      <c r="G1189" s="43" t="str">
        <f>IFERROR(VLOOKUP(A1189,'[1]MC Masterlist 2026-09-12'!$B:$M, 3, 0),"")</f>
        <v>HONDA</v>
      </c>
      <c r="H1189" s="45">
        <f>IFERROR(VLOOKUP(A1189,'[1]MC Masterlist 2026-09-12'!$B:$M, 6, 0),"")</f>
        <v>123310</v>
      </c>
      <c r="I1189" s="46">
        <v>1</v>
      </c>
      <c r="J1189" s="46">
        <v>0</v>
      </c>
      <c r="K1189" s="46">
        <v>0</v>
      </c>
      <c r="L1189" s="46">
        <f t="shared" si="270"/>
        <v>1</v>
      </c>
      <c r="M1189" s="46">
        <f t="shared" si="271"/>
        <v>0.33333333333333331</v>
      </c>
      <c r="N1189" s="45">
        <f t="shared" si="272"/>
        <v>123310</v>
      </c>
      <c r="O1189" s="45">
        <f t="shared" si="273"/>
        <v>41103.333333333328</v>
      </c>
      <c r="P1189" s="46">
        <f t="shared" si="274"/>
        <v>1.111111111111111E-2</v>
      </c>
      <c r="Q1189" s="46"/>
      <c r="R1189" s="45">
        <f t="shared" si="275"/>
        <v>0</v>
      </c>
      <c r="S1189" s="46">
        <f t="shared" si="276"/>
        <v>0</v>
      </c>
      <c r="T1189" s="46">
        <f>IFERROR(VLOOKUP(A1189,'[1]Re-order'!$A:$Q,17,0),"")</f>
        <v>165</v>
      </c>
      <c r="U1189" s="46">
        <f>IFERROR(VLOOKUP(A1189,'[1]MC Masterlist 2026-09-12'!$B:$M, 10, 0),0)</f>
        <v>15</v>
      </c>
      <c r="V1189" s="46">
        <f>IFERROR(VLOOKUP(A1189,'[1]MC Masterlist 2026-09-12'!$B:$M, 11, 0),0)</f>
        <v>15</v>
      </c>
      <c r="W1189" s="46">
        <f t="shared" si="277"/>
        <v>30</v>
      </c>
      <c r="X1189" s="46">
        <f t="shared" si="278"/>
        <v>29.833333333333332</v>
      </c>
      <c r="Y1189" s="46">
        <f>IFERROR(IF(OR(C1189="AREA I",C1189="AREA V"),7,VLOOKUP(A1189,'[1]MC Masterlist 2026-09-12'!$B:$M, 12, 0)),0)</f>
        <v>30</v>
      </c>
      <c r="Z1189" s="46">
        <f t="shared" si="279"/>
        <v>0.16666666666666666</v>
      </c>
      <c r="AA1189" s="46">
        <f t="shared" si="280"/>
        <v>0.33333333333333331</v>
      </c>
      <c r="AB1189" s="46">
        <f t="shared" si="281"/>
        <v>0.33148148148148143</v>
      </c>
      <c r="AC1189" s="46">
        <f t="shared" si="282"/>
        <v>0.33333333333333331</v>
      </c>
      <c r="AD1189" s="44" t="str">
        <f t="shared" si="283"/>
        <v>Stockout</v>
      </c>
      <c r="AE1189" s="44" t="str">
        <f>IFERROR(VLOOKUP(A1189,'[1]Re-order'!$A:$AA,27,0),"")</f>
        <v>Over</v>
      </c>
      <c r="AF1189" s="46">
        <f t="shared" si="284"/>
        <v>0.33333333333333331</v>
      </c>
      <c r="AG1189" s="46">
        <f>SUMIFS('[1]Raw Inventory'!D:D,'[1]Raw Inventory'!C:C,"GREATWALL",'[1]Raw Inventory'!B:B,A1189)</f>
        <v>4</v>
      </c>
      <c r="AH1189" s="46">
        <f>SUMIFS('[1]Raw Inventory'!D:D,'[1]Raw Inventory'!C:C,"DUARTE",'[1]Raw Inventory'!B:B,A1189)</f>
        <v>0</v>
      </c>
      <c r="AI1189" s="46"/>
      <c r="AJ1189" s="46"/>
      <c r="AK1189" s="43"/>
      <c r="AL1189" s="43"/>
      <c r="AM1189" s="43"/>
      <c r="AN1189" s="43"/>
      <c r="AO1189" s="43"/>
      <c r="AP1189" s="43"/>
      <c r="AQ1189" s="43"/>
      <c r="AR1189" s="43"/>
      <c r="AS1189" s="43"/>
      <c r="AT1189" s="43"/>
    </row>
    <row r="1190" spans="1:46">
      <c r="A1190" s="43" t="s">
        <v>78</v>
      </c>
      <c r="B1190" s="43" t="s">
        <v>161</v>
      </c>
      <c r="C1190" s="43" t="s">
        <v>159</v>
      </c>
      <c r="D1190" s="44" t="s">
        <v>230</v>
      </c>
      <c r="E1190" s="44">
        <v>1</v>
      </c>
      <c r="F1190" s="44" t="s">
        <v>0</v>
      </c>
      <c r="G1190" s="43" t="str">
        <f>IFERROR(VLOOKUP(A1190,'[1]MC Masterlist 2026-09-12'!$B:$M, 3, 0),"")</f>
        <v>KAWASAKI</v>
      </c>
      <c r="H1190" s="45">
        <f>IFERROR(VLOOKUP(A1190,'[1]MC Masterlist 2026-09-12'!$B:$M, 6, 0),"")</f>
        <v>100700</v>
      </c>
      <c r="I1190" s="46">
        <v>0</v>
      </c>
      <c r="J1190" s="46">
        <v>0</v>
      </c>
      <c r="K1190" s="46">
        <v>0</v>
      </c>
      <c r="L1190" s="46">
        <f t="shared" si="270"/>
        <v>0</v>
      </c>
      <c r="M1190" s="46">
        <f t="shared" si="271"/>
        <v>0</v>
      </c>
      <c r="N1190" s="45">
        <f t="shared" si="272"/>
        <v>0</v>
      </c>
      <c r="O1190" s="45">
        <f t="shared" si="273"/>
        <v>0</v>
      </c>
      <c r="P1190" s="46">
        <f t="shared" si="274"/>
        <v>0</v>
      </c>
      <c r="Q1190" s="46">
        <v>1</v>
      </c>
      <c r="R1190" s="45">
        <f t="shared" si="275"/>
        <v>100700</v>
      </c>
      <c r="S1190" s="46">
        <f t="shared" si="276"/>
        <v>0</v>
      </c>
      <c r="T1190" s="46">
        <f>IFERROR(VLOOKUP(A1190,'[1]Re-order'!$A:$Q,17,0),"")</f>
        <v>438.75000000000006</v>
      </c>
      <c r="U1190" s="46">
        <f>IFERROR(VLOOKUP(A1190,'[1]MC Masterlist 2026-09-12'!$B:$M, 10, 0),0)</f>
        <v>15</v>
      </c>
      <c r="V1190" s="46">
        <f>IFERROR(VLOOKUP(A1190,'[1]MC Masterlist 2026-09-12'!$B:$M, 11, 0),0)</f>
        <v>15</v>
      </c>
      <c r="W1190" s="46">
        <f t="shared" si="277"/>
        <v>30</v>
      </c>
      <c r="X1190" s="46">
        <f t="shared" si="278"/>
        <v>30</v>
      </c>
      <c r="Y1190" s="46">
        <f>IFERROR(IF(OR(C1190="AREA I",C1190="AREA V"),7,VLOOKUP(A1190,'[1]MC Masterlist 2026-09-12'!$B:$M, 12, 0)),0)</f>
        <v>30</v>
      </c>
      <c r="Z1190" s="46">
        <f t="shared" si="279"/>
        <v>0</v>
      </c>
      <c r="AA1190" s="46">
        <f t="shared" si="280"/>
        <v>0</v>
      </c>
      <c r="AB1190" s="46">
        <f t="shared" si="281"/>
        <v>0</v>
      </c>
      <c r="AC1190" s="46">
        <f t="shared" si="282"/>
        <v>0</v>
      </c>
      <c r="AD1190" s="44" t="str">
        <f t="shared" si="283"/>
        <v>Over</v>
      </c>
      <c r="AE1190" s="44" t="str">
        <f>IFERROR(VLOOKUP(A1190,'[1]Re-order'!$A:$AA,27,0),"")</f>
        <v>Over</v>
      </c>
      <c r="AF1190" s="46">
        <f t="shared" si="284"/>
        <v>-1</v>
      </c>
      <c r="AG1190" s="46">
        <f>SUMIFS('[1]Raw Inventory'!D:D,'[1]Raw Inventory'!C:C,"GREATWALL",'[1]Raw Inventory'!B:B,A1190)</f>
        <v>26</v>
      </c>
      <c r="AH1190" s="46">
        <f>SUMIFS('[1]Raw Inventory'!D:D,'[1]Raw Inventory'!C:C,"DUARTE",'[1]Raw Inventory'!B:B,A1190)</f>
        <v>0</v>
      </c>
      <c r="AI1190" s="46"/>
      <c r="AJ1190" s="46"/>
      <c r="AK1190" s="43"/>
      <c r="AL1190" s="43"/>
      <c r="AM1190" s="43"/>
      <c r="AN1190" s="43"/>
      <c r="AO1190" s="43"/>
      <c r="AP1190" s="43"/>
      <c r="AQ1190" s="43"/>
      <c r="AR1190" s="43"/>
      <c r="AS1190" s="43"/>
      <c r="AT1190" s="43"/>
    </row>
    <row r="1191" spans="1:46">
      <c r="A1191" s="43" t="s">
        <v>147</v>
      </c>
      <c r="B1191" s="43" t="s">
        <v>142</v>
      </c>
      <c r="C1191" s="43" t="s">
        <v>137</v>
      </c>
      <c r="D1191" s="44" t="s">
        <v>233</v>
      </c>
      <c r="E1191" s="44">
        <v>10</v>
      </c>
      <c r="F1191" s="44" t="s">
        <v>2</v>
      </c>
      <c r="G1191" s="43" t="str">
        <f>IFERROR(VLOOKUP(A1191,'[1]MC Masterlist 2026-09-12'!$B:$M, 3, 0),"")</f>
        <v>YAMAHA</v>
      </c>
      <c r="H1191" s="45">
        <f>IFERROR(VLOOKUP(A1191,'[1]MC Masterlist 2026-09-12'!$B:$M, 6, 0),"")</f>
        <v>278535</v>
      </c>
      <c r="I1191" s="46">
        <v>0</v>
      </c>
      <c r="J1191" s="46">
        <v>1</v>
      </c>
      <c r="K1191" s="46">
        <v>0</v>
      </c>
      <c r="L1191" s="46">
        <f t="shared" si="270"/>
        <v>1</v>
      </c>
      <c r="M1191" s="46">
        <f t="shared" si="271"/>
        <v>0.33333333333333331</v>
      </c>
      <c r="N1191" s="45">
        <f t="shared" si="272"/>
        <v>278535</v>
      </c>
      <c r="O1191" s="45">
        <f t="shared" si="273"/>
        <v>92845</v>
      </c>
      <c r="P1191" s="46">
        <f t="shared" si="274"/>
        <v>1.111111111111111E-2</v>
      </c>
      <c r="Q1191" s="46"/>
      <c r="R1191" s="45">
        <f t="shared" si="275"/>
        <v>0</v>
      </c>
      <c r="S1191" s="46">
        <f t="shared" si="276"/>
        <v>0</v>
      </c>
      <c r="T1191" s="46">
        <f>IFERROR(VLOOKUP(A1191,'[1]Re-order'!$A:$Q,17,0),"")</f>
        <v>45</v>
      </c>
      <c r="U1191" s="46">
        <f>IFERROR(VLOOKUP(A1191,'[1]MC Masterlist 2026-09-12'!$B:$M, 10, 0),0)</f>
        <v>15</v>
      </c>
      <c r="V1191" s="46">
        <f>IFERROR(VLOOKUP(A1191,'[1]MC Masterlist 2026-09-12'!$B:$M, 11, 0),0)</f>
        <v>15</v>
      </c>
      <c r="W1191" s="46">
        <f t="shared" si="277"/>
        <v>30</v>
      </c>
      <c r="X1191" s="46">
        <f t="shared" si="278"/>
        <v>6.833333333333333</v>
      </c>
      <c r="Y1191" s="46">
        <f>IFERROR(IF(OR(C1191="AREA I",C1191="AREA V"),7,VLOOKUP(A1191,'[1]MC Masterlist 2026-09-12'!$B:$M, 12, 0)),0)</f>
        <v>7</v>
      </c>
      <c r="Z1191" s="46">
        <f t="shared" si="279"/>
        <v>0.16666666666666666</v>
      </c>
      <c r="AA1191" s="46">
        <f t="shared" si="280"/>
        <v>0.33333333333333331</v>
      </c>
      <c r="AB1191" s="46">
        <f t="shared" si="281"/>
        <v>7.5925925925925911E-2</v>
      </c>
      <c r="AC1191" s="46">
        <f t="shared" si="282"/>
        <v>7.7777777777777765E-2</v>
      </c>
      <c r="AD1191" s="44" t="str">
        <f t="shared" si="283"/>
        <v>Stockout</v>
      </c>
      <c r="AE1191" s="44" t="str">
        <f>IFERROR(VLOOKUP(A1191,'[1]Re-order'!$A:$AA,27,0),"")</f>
        <v>Re-order</v>
      </c>
      <c r="AF1191" s="46">
        <f t="shared" si="284"/>
        <v>7.7777777777777765E-2</v>
      </c>
      <c r="AG1191" s="46">
        <f>SUMIFS('[1]Raw Inventory'!D:D,'[1]Raw Inventory'!C:C,"GREATWALL",'[1]Raw Inventory'!B:B,A1191)</f>
        <v>1</v>
      </c>
      <c r="AH1191" s="46">
        <f>SUMIFS('[1]Raw Inventory'!D:D,'[1]Raw Inventory'!C:C,"DUARTE",'[1]Raw Inventory'!B:B,A1191)</f>
        <v>0</v>
      </c>
      <c r="AI1191" s="46"/>
      <c r="AJ1191" s="46"/>
      <c r="AK1191" s="43"/>
      <c r="AL1191" s="43"/>
      <c r="AM1191" s="43"/>
      <c r="AN1191" s="43"/>
      <c r="AO1191" s="43"/>
      <c r="AP1191" s="43"/>
      <c r="AQ1191" s="43"/>
      <c r="AR1191" s="43"/>
      <c r="AS1191" s="43"/>
      <c r="AT1191" s="43"/>
    </row>
    <row r="1192" spans="1:46">
      <c r="A1192" s="43" t="s">
        <v>23</v>
      </c>
      <c r="B1192" s="43" t="s">
        <v>115</v>
      </c>
      <c r="C1192" s="43" t="s">
        <v>109</v>
      </c>
      <c r="D1192" s="44" t="s">
        <v>261</v>
      </c>
      <c r="E1192" s="44">
        <v>14</v>
      </c>
      <c r="F1192" s="44" t="s">
        <v>2</v>
      </c>
      <c r="G1192" s="43" t="str">
        <f>IFERROR(VLOOKUP(A1192,'[1]MC Masterlist 2026-09-12'!$B:$M, 3, 0),"")</f>
        <v>KAWASAKI</v>
      </c>
      <c r="H1192" s="45">
        <f>IFERROR(VLOOKUP(A1192,'[1]MC Masterlist 2026-09-12'!$B:$M, 6, 0),"")</f>
        <v>60656</v>
      </c>
      <c r="I1192" s="46">
        <v>1</v>
      </c>
      <c r="J1192" s="46">
        <v>2</v>
      </c>
      <c r="K1192" s="46">
        <v>1</v>
      </c>
      <c r="L1192" s="46">
        <f t="shared" si="270"/>
        <v>4</v>
      </c>
      <c r="M1192" s="46">
        <f t="shared" si="271"/>
        <v>1.3333333333333333</v>
      </c>
      <c r="N1192" s="45">
        <f t="shared" si="272"/>
        <v>242624</v>
      </c>
      <c r="O1192" s="45">
        <f t="shared" si="273"/>
        <v>80874.666666666657</v>
      </c>
      <c r="P1192" s="46">
        <f t="shared" si="274"/>
        <v>4.4444444444444439E-2</v>
      </c>
      <c r="Q1192" s="46">
        <v>14</v>
      </c>
      <c r="R1192" s="45">
        <f t="shared" si="275"/>
        <v>849184</v>
      </c>
      <c r="S1192" s="46">
        <f t="shared" si="276"/>
        <v>315.00000000000006</v>
      </c>
      <c r="T1192" s="46">
        <f>IFERROR(VLOOKUP(A1192,'[1]Re-order'!$A:$Q,17,0),"")</f>
        <v>53.973412112259979</v>
      </c>
      <c r="U1192" s="46">
        <f>IFERROR(VLOOKUP(A1192,'[1]MC Masterlist 2026-09-12'!$B:$M, 10, 0),0)</f>
        <v>15</v>
      </c>
      <c r="V1192" s="46">
        <f>IFERROR(VLOOKUP(A1192,'[1]MC Masterlist 2026-09-12'!$B:$M, 11, 0),0)</f>
        <v>15</v>
      </c>
      <c r="W1192" s="46">
        <f t="shared" si="277"/>
        <v>30</v>
      </c>
      <c r="X1192" s="46">
        <f t="shared" si="278"/>
        <v>29.333333333333332</v>
      </c>
      <c r="Y1192" s="46">
        <f>IFERROR(IF(OR(C1192="AREA I",C1192="AREA V"),7,VLOOKUP(A1192,'[1]MC Masterlist 2026-09-12'!$B:$M, 12, 0)),0)</f>
        <v>30</v>
      </c>
      <c r="Z1192" s="46">
        <f t="shared" si="279"/>
        <v>0.66666666666666663</v>
      </c>
      <c r="AA1192" s="46">
        <f t="shared" si="280"/>
        <v>1.3333333333333333</v>
      </c>
      <c r="AB1192" s="46">
        <f t="shared" si="281"/>
        <v>1.3037037037037036</v>
      </c>
      <c r="AC1192" s="46">
        <f t="shared" si="282"/>
        <v>1.3333333333333333</v>
      </c>
      <c r="AD1192" s="44" t="str">
        <f t="shared" si="283"/>
        <v>Over</v>
      </c>
      <c r="AE1192" s="44" t="str">
        <f>IFERROR(VLOOKUP(A1192,'[1]Re-order'!$A:$AA,27,0),"")</f>
        <v>Re-order</v>
      </c>
      <c r="AF1192" s="46">
        <f t="shared" si="284"/>
        <v>-12.666666666666666</v>
      </c>
      <c r="AG1192" s="46">
        <f>SUMIFS('[1]Raw Inventory'!D:D,'[1]Raw Inventory'!C:C,"GREATWALL",'[1]Raw Inventory'!B:B,A1192)</f>
        <v>282</v>
      </c>
      <c r="AH1192" s="46">
        <f>SUMIFS('[1]Raw Inventory'!D:D,'[1]Raw Inventory'!C:C,"DUARTE",'[1]Raw Inventory'!B:B,A1192)</f>
        <v>0</v>
      </c>
      <c r="AI1192" s="46"/>
      <c r="AJ1192" s="46"/>
      <c r="AK1192" s="43"/>
      <c r="AL1192" s="43"/>
      <c r="AM1192" s="43"/>
      <c r="AN1192" s="43"/>
      <c r="AO1192" s="43"/>
      <c r="AP1192" s="43"/>
      <c r="AQ1192" s="43"/>
      <c r="AR1192" s="43"/>
      <c r="AS1192" s="43"/>
      <c r="AT1192" s="43"/>
    </row>
    <row r="1193" spans="1:46">
      <c r="A1193" s="43" t="s">
        <v>99</v>
      </c>
      <c r="B1193" s="43" t="s">
        <v>120</v>
      </c>
      <c r="C1193" s="43" t="s">
        <v>118</v>
      </c>
      <c r="D1193" s="44" t="s">
        <v>243</v>
      </c>
      <c r="E1193" s="44">
        <v>15</v>
      </c>
      <c r="F1193" s="44" t="s">
        <v>2</v>
      </c>
      <c r="G1193" s="43" t="str">
        <f>IFERROR(VLOOKUP(A1193,'[1]MC Masterlist 2026-09-12'!$B:$M, 3, 0),"")</f>
        <v>YAMAHA</v>
      </c>
      <c r="H1193" s="45">
        <f>IFERROR(VLOOKUP(A1193,'[1]MC Masterlist 2026-09-12'!$B:$M, 6, 0),"")</f>
        <v>86397</v>
      </c>
      <c r="I1193" s="46">
        <v>0</v>
      </c>
      <c r="J1193" s="46">
        <v>0</v>
      </c>
      <c r="K1193" s="46">
        <v>1</v>
      </c>
      <c r="L1193" s="46">
        <f t="shared" si="270"/>
        <v>1</v>
      </c>
      <c r="M1193" s="46">
        <f t="shared" si="271"/>
        <v>0.33333333333333331</v>
      </c>
      <c r="N1193" s="45">
        <f t="shared" si="272"/>
        <v>86397</v>
      </c>
      <c r="O1193" s="45">
        <f t="shared" si="273"/>
        <v>28799</v>
      </c>
      <c r="P1193" s="46">
        <f t="shared" si="274"/>
        <v>1.111111111111111E-2</v>
      </c>
      <c r="Q1193" s="46"/>
      <c r="R1193" s="45">
        <f t="shared" si="275"/>
        <v>0</v>
      </c>
      <c r="S1193" s="46">
        <f t="shared" si="276"/>
        <v>0</v>
      </c>
      <c r="T1193" s="46">
        <f>IFERROR(VLOOKUP(A1193,'[1]Re-order'!$A:$Q,17,0),"")</f>
        <v>72</v>
      </c>
      <c r="U1193" s="46">
        <f>IFERROR(VLOOKUP(A1193,'[1]MC Masterlist 2026-09-12'!$B:$M, 10, 0),0)</f>
        <v>15</v>
      </c>
      <c r="V1193" s="46">
        <f>IFERROR(VLOOKUP(A1193,'[1]MC Masterlist 2026-09-12'!$B:$M, 11, 0),0)</f>
        <v>15</v>
      </c>
      <c r="W1193" s="46">
        <f t="shared" si="277"/>
        <v>30</v>
      </c>
      <c r="X1193" s="46">
        <f t="shared" si="278"/>
        <v>29.833333333333332</v>
      </c>
      <c r="Y1193" s="46">
        <f>IFERROR(IF(OR(C1193="AREA I",C1193="AREA V"),7,VLOOKUP(A1193,'[1]MC Masterlist 2026-09-12'!$B:$M, 12, 0)),0)</f>
        <v>30</v>
      </c>
      <c r="Z1193" s="46">
        <f t="shared" si="279"/>
        <v>0.16666666666666666</v>
      </c>
      <c r="AA1193" s="46">
        <f t="shared" si="280"/>
        <v>0.33333333333333331</v>
      </c>
      <c r="AB1193" s="46">
        <f t="shared" si="281"/>
        <v>0.33148148148148143</v>
      </c>
      <c r="AC1193" s="46">
        <f t="shared" si="282"/>
        <v>0.33333333333333331</v>
      </c>
      <c r="AD1193" s="44" t="str">
        <f t="shared" si="283"/>
        <v>Stockout</v>
      </c>
      <c r="AE1193" s="44" t="str">
        <f>IFERROR(VLOOKUP(A1193,'[1]Re-order'!$A:$AA,27,0),"")</f>
        <v>Re-order</v>
      </c>
      <c r="AF1193" s="46">
        <f t="shared" si="284"/>
        <v>0.33333333333333331</v>
      </c>
      <c r="AG1193" s="46">
        <f>SUMIFS('[1]Raw Inventory'!D:D,'[1]Raw Inventory'!C:C,"GREATWALL",'[1]Raw Inventory'!B:B,A1193)</f>
        <v>1</v>
      </c>
      <c r="AH1193" s="46">
        <f>SUMIFS('[1]Raw Inventory'!D:D,'[1]Raw Inventory'!C:C,"DUARTE",'[1]Raw Inventory'!B:B,A1193)</f>
        <v>0</v>
      </c>
      <c r="AI1193" s="46"/>
      <c r="AJ1193" s="46"/>
      <c r="AK1193" s="43"/>
      <c r="AL1193" s="43"/>
      <c r="AM1193" s="43"/>
      <c r="AN1193" s="43"/>
      <c r="AO1193" s="43"/>
      <c r="AP1193" s="43"/>
      <c r="AQ1193" s="43"/>
      <c r="AR1193" s="43"/>
      <c r="AS1193" s="43"/>
      <c r="AT1193" s="43"/>
    </row>
    <row r="1194" spans="1:46">
      <c r="A1194" s="43" t="s">
        <v>18</v>
      </c>
      <c r="B1194" s="43" t="s">
        <v>116</v>
      </c>
      <c r="C1194" s="43" t="s">
        <v>109</v>
      </c>
      <c r="D1194" s="44" t="s">
        <v>257</v>
      </c>
      <c r="E1194" s="44">
        <v>7</v>
      </c>
      <c r="F1194" s="44" t="s">
        <v>3</v>
      </c>
      <c r="G1194" s="43" t="str">
        <f>IFERROR(VLOOKUP(A1194,'[1]MC Masterlist 2026-09-12'!$B:$M, 3, 0),"")</f>
        <v>HONDA</v>
      </c>
      <c r="H1194" s="45">
        <f>IFERROR(VLOOKUP(A1194,'[1]MC Masterlist 2026-09-12'!$B:$M, 6, 0),"")</f>
        <v>94330</v>
      </c>
      <c r="I1194" s="46">
        <v>0</v>
      </c>
      <c r="J1194" s="46">
        <v>0</v>
      </c>
      <c r="K1194" s="46">
        <v>0</v>
      </c>
      <c r="L1194" s="46">
        <f t="shared" si="270"/>
        <v>0</v>
      </c>
      <c r="M1194" s="46">
        <f t="shared" si="271"/>
        <v>0</v>
      </c>
      <c r="N1194" s="45">
        <f t="shared" si="272"/>
        <v>0</v>
      </c>
      <c r="O1194" s="45">
        <f t="shared" si="273"/>
        <v>0</v>
      </c>
      <c r="P1194" s="46">
        <f t="shared" si="274"/>
        <v>0</v>
      </c>
      <c r="Q1194" s="46">
        <v>1</v>
      </c>
      <c r="R1194" s="45">
        <f t="shared" si="275"/>
        <v>94330</v>
      </c>
      <c r="S1194" s="46">
        <f t="shared" si="276"/>
        <v>0</v>
      </c>
      <c r="T1194" s="46">
        <f>IFERROR(VLOOKUP(A1194,'[1]Re-order'!$A:$Q,17,0),"")</f>
        <v>113.9644970414201</v>
      </c>
      <c r="U1194" s="46">
        <f>IFERROR(VLOOKUP(A1194,'[1]MC Masterlist 2026-09-12'!$B:$M, 10, 0),0)</f>
        <v>15</v>
      </c>
      <c r="V1194" s="46">
        <f>IFERROR(VLOOKUP(A1194,'[1]MC Masterlist 2026-09-12'!$B:$M, 11, 0),0)</f>
        <v>15</v>
      </c>
      <c r="W1194" s="46">
        <f t="shared" si="277"/>
        <v>30</v>
      </c>
      <c r="X1194" s="46">
        <f t="shared" si="278"/>
        <v>30</v>
      </c>
      <c r="Y1194" s="46">
        <f>IFERROR(IF(OR(C1194="AREA I",C1194="AREA V"),7,VLOOKUP(A1194,'[1]MC Masterlist 2026-09-12'!$B:$M, 12, 0)),0)</f>
        <v>30</v>
      </c>
      <c r="Z1194" s="46">
        <f t="shared" si="279"/>
        <v>0</v>
      </c>
      <c r="AA1194" s="46">
        <f t="shared" si="280"/>
        <v>0</v>
      </c>
      <c r="AB1194" s="46">
        <f t="shared" si="281"/>
        <v>0</v>
      </c>
      <c r="AC1194" s="46">
        <f t="shared" si="282"/>
        <v>0</v>
      </c>
      <c r="AD1194" s="44" t="str">
        <f t="shared" si="283"/>
        <v>Over</v>
      </c>
      <c r="AE1194" s="44" t="str">
        <f>IFERROR(VLOOKUP(A1194,'[1]Re-order'!$A:$AA,27,0),"")</f>
        <v>Over</v>
      </c>
      <c r="AF1194" s="46">
        <f t="shared" si="284"/>
        <v>-1</v>
      </c>
      <c r="AG1194" s="46">
        <f>SUMIFS('[1]Raw Inventory'!D:D,'[1]Raw Inventory'!C:C,"GREATWALL",'[1]Raw Inventory'!B:B,A1194)</f>
        <v>88</v>
      </c>
      <c r="AH1194" s="46">
        <f>SUMIFS('[1]Raw Inventory'!D:D,'[1]Raw Inventory'!C:C,"DUARTE",'[1]Raw Inventory'!B:B,A1194)</f>
        <v>0</v>
      </c>
      <c r="AI1194" s="46"/>
      <c r="AJ1194" s="46"/>
      <c r="AK1194" s="43"/>
      <c r="AL1194" s="43"/>
      <c r="AM1194" s="43"/>
      <c r="AN1194" s="43"/>
      <c r="AO1194" s="43"/>
      <c r="AP1194" s="43"/>
      <c r="AQ1194" s="43"/>
      <c r="AR1194" s="43"/>
      <c r="AS1194" s="43"/>
      <c r="AT1194" s="43"/>
    </row>
    <row r="1195" spans="1:46">
      <c r="A1195" s="43" t="s">
        <v>64</v>
      </c>
      <c r="B1195" s="43" t="s">
        <v>11</v>
      </c>
      <c r="C1195" s="43" t="s">
        <v>1</v>
      </c>
      <c r="D1195" s="44" t="s">
        <v>229</v>
      </c>
      <c r="E1195" s="44">
        <v>20</v>
      </c>
      <c r="F1195" s="44" t="s">
        <v>3</v>
      </c>
      <c r="G1195" s="43" t="str">
        <f>IFERROR(VLOOKUP(A1195,'[1]MC Masterlist 2026-09-12'!$B:$M, 3, 0),"")</f>
        <v>HONDA</v>
      </c>
      <c r="H1195" s="45">
        <f>IFERROR(VLOOKUP(A1195,'[1]MC Masterlist 2026-09-12'!$B:$M, 6, 0),"")</f>
        <v>73170</v>
      </c>
      <c r="I1195" s="46">
        <v>0</v>
      </c>
      <c r="J1195" s="46">
        <v>0</v>
      </c>
      <c r="K1195" s="46">
        <v>1</v>
      </c>
      <c r="L1195" s="46">
        <f t="shared" si="270"/>
        <v>1</v>
      </c>
      <c r="M1195" s="46">
        <f t="shared" si="271"/>
        <v>0.33333333333333331</v>
      </c>
      <c r="N1195" s="45">
        <f t="shared" si="272"/>
        <v>73170</v>
      </c>
      <c r="O1195" s="45">
        <f t="shared" si="273"/>
        <v>24390</v>
      </c>
      <c r="P1195" s="46">
        <f t="shared" si="274"/>
        <v>1.111111111111111E-2</v>
      </c>
      <c r="Q1195" s="46">
        <v>2</v>
      </c>
      <c r="R1195" s="45">
        <f t="shared" si="275"/>
        <v>146340</v>
      </c>
      <c r="S1195" s="46">
        <f t="shared" si="276"/>
        <v>180</v>
      </c>
      <c r="T1195" s="46">
        <f>IFERROR(VLOOKUP(A1195,'[1]Re-order'!$A:$Q,17,0),"")</f>
        <v>76.153846153846146</v>
      </c>
      <c r="U1195" s="46">
        <f>IFERROR(VLOOKUP(A1195,'[1]MC Masterlist 2026-09-12'!$B:$M, 10, 0),0)</f>
        <v>15</v>
      </c>
      <c r="V1195" s="46">
        <f>IFERROR(VLOOKUP(A1195,'[1]MC Masterlist 2026-09-12'!$B:$M, 11, 0),0)</f>
        <v>15</v>
      </c>
      <c r="W1195" s="46">
        <f t="shared" si="277"/>
        <v>30</v>
      </c>
      <c r="X1195" s="46">
        <f t="shared" si="278"/>
        <v>6.833333333333333</v>
      </c>
      <c r="Y1195" s="46">
        <f>IFERROR(IF(OR(C1195="AREA I",C1195="AREA V"),7,VLOOKUP(A1195,'[1]MC Masterlist 2026-09-12'!$B:$M, 12, 0)),0)</f>
        <v>7</v>
      </c>
      <c r="Z1195" s="46">
        <f t="shared" si="279"/>
        <v>0.16666666666666666</v>
      </c>
      <c r="AA1195" s="46">
        <f t="shared" si="280"/>
        <v>0.33333333333333331</v>
      </c>
      <c r="AB1195" s="46">
        <f t="shared" si="281"/>
        <v>7.5925925925925911E-2</v>
      </c>
      <c r="AC1195" s="46">
        <f t="shared" si="282"/>
        <v>7.7777777777777765E-2</v>
      </c>
      <c r="AD1195" s="44" t="str">
        <f t="shared" si="283"/>
        <v>Over</v>
      </c>
      <c r="AE1195" s="44" t="str">
        <f>IFERROR(VLOOKUP(A1195,'[1]Re-order'!$A:$AA,27,0),"")</f>
        <v/>
      </c>
      <c r="AF1195" s="46">
        <f t="shared" si="284"/>
        <v>-1.9222222222222223</v>
      </c>
      <c r="AG1195" s="46">
        <f>SUMIFS('[1]Raw Inventory'!D:D,'[1]Raw Inventory'!C:C,"GREATWALL",'[1]Raw Inventory'!B:B,A1195)</f>
        <v>13</v>
      </c>
      <c r="AH1195" s="46">
        <f>SUMIFS('[1]Raw Inventory'!D:D,'[1]Raw Inventory'!C:C,"DUARTE",'[1]Raw Inventory'!B:B,A1195)</f>
        <v>0</v>
      </c>
      <c r="AI1195" s="46"/>
      <c r="AJ1195" s="46"/>
      <c r="AK1195" s="43"/>
      <c r="AL1195" s="43"/>
      <c r="AM1195" s="43"/>
      <c r="AN1195" s="43"/>
      <c r="AO1195" s="43"/>
      <c r="AP1195" s="43"/>
      <c r="AQ1195" s="43"/>
      <c r="AR1195" s="43"/>
      <c r="AS1195" s="43"/>
      <c r="AT1195" s="43"/>
    </row>
    <row r="1196" spans="1:46">
      <c r="A1196" s="43" t="s">
        <v>46</v>
      </c>
      <c r="B1196" s="43" t="s">
        <v>98</v>
      </c>
      <c r="C1196" s="43" t="s">
        <v>90</v>
      </c>
      <c r="D1196" s="44" t="s">
        <v>229</v>
      </c>
      <c r="E1196" s="44">
        <v>22</v>
      </c>
      <c r="F1196" s="44" t="s">
        <v>3</v>
      </c>
      <c r="G1196" s="43" t="str">
        <f>IFERROR(VLOOKUP(A1196,'[1]MC Masterlist 2026-09-12'!$B:$M, 3, 0),"")</f>
        <v>HONDA</v>
      </c>
      <c r="H1196" s="45">
        <f>IFERROR(VLOOKUP(A1196,'[1]MC Masterlist 2026-09-12'!$B:$M, 6, 0),"")</f>
        <v>73630</v>
      </c>
      <c r="I1196" s="46">
        <v>0</v>
      </c>
      <c r="J1196" s="46">
        <v>0</v>
      </c>
      <c r="K1196" s="46">
        <v>0</v>
      </c>
      <c r="L1196" s="46">
        <f t="shared" si="270"/>
        <v>0</v>
      </c>
      <c r="M1196" s="46">
        <f t="shared" si="271"/>
        <v>0</v>
      </c>
      <c r="N1196" s="45">
        <f t="shared" si="272"/>
        <v>0</v>
      </c>
      <c r="O1196" s="45">
        <f t="shared" si="273"/>
        <v>0</v>
      </c>
      <c r="P1196" s="46">
        <f t="shared" si="274"/>
        <v>0</v>
      </c>
      <c r="Q1196" s="46">
        <v>1</v>
      </c>
      <c r="R1196" s="45">
        <f t="shared" si="275"/>
        <v>73630</v>
      </c>
      <c r="S1196" s="46">
        <f t="shared" si="276"/>
        <v>0</v>
      </c>
      <c r="T1196" s="46">
        <f>IFERROR(VLOOKUP(A1196,'[1]Re-order'!$A:$Q,17,0),"")</f>
        <v>51</v>
      </c>
      <c r="U1196" s="46">
        <f>IFERROR(VLOOKUP(A1196,'[1]MC Masterlist 2026-09-12'!$B:$M, 10, 0),0)</f>
        <v>15</v>
      </c>
      <c r="V1196" s="46">
        <f>IFERROR(VLOOKUP(A1196,'[1]MC Masterlist 2026-09-12'!$B:$M, 11, 0),0)</f>
        <v>15</v>
      </c>
      <c r="W1196" s="46">
        <f t="shared" si="277"/>
        <v>30</v>
      </c>
      <c r="X1196" s="46">
        <f t="shared" si="278"/>
        <v>30</v>
      </c>
      <c r="Y1196" s="46">
        <f>IFERROR(IF(OR(C1196="AREA I",C1196="AREA V"),7,VLOOKUP(A1196,'[1]MC Masterlist 2026-09-12'!$B:$M, 12, 0)),0)</f>
        <v>30</v>
      </c>
      <c r="Z1196" s="46">
        <f t="shared" si="279"/>
        <v>0</v>
      </c>
      <c r="AA1196" s="46">
        <f t="shared" si="280"/>
        <v>0</v>
      </c>
      <c r="AB1196" s="46">
        <f t="shared" si="281"/>
        <v>0</v>
      </c>
      <c r="AC1196" s="46">
        <f t="shared" si="282"/>
        <v>0</v>
      </c>
      <c r="AD1196" s="44" t="str">
        <f t="shared" si="283"/>
        <v>Over</v>
      </c>
      <c r="AE1196" s="44" t="str">
        <f>IFERROR(VLOOKUP(A1196,'[1]Re-order'!$A:$AA,27,0),"")</f>
        <v>Re-order</v>
      </c>
      <c r="AF1196" s="46">
        <f t="shared" si="284"/>
        <v>-1</v>
      </c>
      <c r="AG1196" s="46">
        <f>SUMIFS('[1]Raw Inventory'!D:D,'[1]Raw Inventory'!C:C,"GREATWALL",'[1]Raw Inventory'!B:B,A1196)</f>
        <v>0</v>
      </c>
      <c r="AH1196" s="46">
        <f>SUMIFS('[1]Raw Inventory'!D:D,'[1]Raw Inventory'!C:C,"DUARTE",'[1]Raw Inventory'!B:B,A1196)</f>
        <v>0</v>
      </c>
      <c r="AI1196" s="46"/>
      <c r="AJ1196" s="46"/>
      <c r="AK1196" s="43"/>
      <c r="AL1196" s="43"/>
      <c r="AM1196" s="43"/>
      <c r="AN1196" s="43"/>
      <c r="AO1196" s="43"/>
      <c r="AP1196" s="43"/>
      <c r="AQ1196" s="43"/>
      <c r="AR1196" s="43"/>
      <c r="AS1196" s="43"/>
      <c r="AT1196" s="43"/>
    </row>
    <row r="1197" spans="1:46">
      <c r="A1197" s="43" t="s">
        <v>66</v>
      </c>
      <c r="B1197" s="43" t="s">
        <v>132</v>
      </c>
      <c r="C1197" s="43" t="s">
        <v>128</v>
      </c>
      <c r="D1197" s="44" t="s">
        <v>236</v>
      </c>
      <c r="E1197" s="44">
        <v>9</v>
      </c>
      <c r="F1197" s="44" t="s">
        <v>2</v>
      </c>
      <c r="G1197" s="43" t="str">
        <f>IFERROR(VLOOKUP(A1197,'[1]MC Masterlist 2026-09-12'!$B:$M, 3, 0),"")</f>
        <v>KAWASAKI</v>
      </c>
      <c r="H1197" s="45">
        <f>IFERROR(VLOOKUP(A1197,'[1]MC Masterlist 2026-09-12'!$B:$M, 6, 0),"")</f>
        <v>95530</v>
      </c>
      <c r="I1197" s="46">
        <v>1</v>
      </c>
      <c r="J1197" s="46">
        <v>4</v>
      </c>
      <c r="K1197" s="46">
        <v>1</v>
      </c>
      <c r="L1197" s="46">
        <f t="shared" si="270"/>
        <v>6</v>
      </c>
      <c r="M1197" s="46">
        <f t="shared" si="271"/>
        <v>2</v>
      </c>
      <c r="N1197" s="45">
        <f t="shared" si="272"/>
        <v>573180</v>
      </c>
      <c r="O1197" s="45">
        <f t="shared" si="273"/>
        <v>191060</v>
      </c>
      <c r="P1197" s="46">
        <f t="shared" si="274"/>
        <v>6.6666666666666666E-2</v>
      </c>
      <c r="Q1197" s="46">
        <v>2</v>
      </c>
      <c r="R1197" s="45">
        <f t="shared" si="275"/>
        <v>191060</v>
      </c>
      <c r="S1197" s="46">
        <f t="shared" si="276"/>
        <v>30</v>
      </c>
      <c r="T1197" s="46">
        <f>IFERROR(VLOOKUP(A1197,'[1]Re-order'!$A:$Q,17,0),"")</f>
        <v>112.7848101265823</v>
      </c>
      <c r="U1197" s="46">
        <f>IFERROR(VLOOKUP(A1197,'[1]MC Masterlist 2026-09-12'!$B:$M, 10, 0),0)</f>
        <v>15</v>
      </c>
      <c r="V1197" s="46">
        <f>IFERROR(VLOOKUP(A1197,'[1]MC Masterlist 2026-09-12'!$B:$M, 11, 0),0)</f>
        <v>15</v>
      </c>
      <c r="W1197" s="46">
        <f t="shared" si="277"/>
        <v>30</v>
      </c>
      <c r="X1197" s="46">
        <f t="shared" si="278"/>
        <v>29</v>
      </c>
      <c r="Y1197" s="46">
        <f>IFERROR(IF(OR(C1197="AREA I",C1197="AREA V"),7,VLOOKUP(A1197,'[1]MC Masterlist 2026-09-12'!$B:$M, 12, 0)),0)</f>
        <v>30</v>
      </c>
      <c r="Z1197" s="46">
        <f t="shared" si="279"/>
        <v>1</v>
      </c>
      <c r="AA1197" s="46">
        <f t="shared" si="280"/>
        <v>2</v>
      </c>
      <c r="AB1197" s="46">
        <f t="shared" si="281"/>
        <v>1.9333333333333333</v>
      </c>
      <c r="AC1197" s="46">
        <f t="shared" si="282"/>
        <v>2</v>
      </c>
      <c r="AD1197" s="44" t="str">
        <f t="shared" si="283"/>
        <v>Re-order</v>
      </c>
      <c r="AE1197" s="44" t="str">
        <f>IFERROR(VLOOKUP(A1197,'[1]Re-order'!$A:$AA,27,0),"")</f>
        <v>Over</v>
      </c>
      <c r="AF1197" s="46">
        <f t="shared" si="284"/>
        <v>0</v>
      </c>
      <c r="AG1197" s="46">
        <f>SUMIFS('[1]Raw Inventory'!D:D,'[1]Raw Inventory'!C:C,"GREATWALL",'[1]Raw Inventory'!B:B,A1197)</f>
        <v>64</v>
      </c>
      <c r="AH1197" s="46">
        <f>SUMIFS('[1]Raw Inventory'!D:D,'[1]Raw Inventory'!C:C,"DUARTE",'[1]Raw Inventory'!B:B,A1197)</f>
        <v>0</v>
      </c>
      <c r="AI1197" s="46"/>
      <c r="AJ1197" s="46"/>
      <c r="AK1197" s="43"/>
      <c r="AL1197" s="43"/>
      <c r="AM1197" s="43"/>
      <c r="AN1197" s="43"/>
      <c r="AO1197" s="43"/>
      <c r="AP1197" s="43"/>
      <c r="AQ1197" s="43"/>
      <c r="AR1197" s="43"/>
      <c r="AS1197" s="43"/>
      <c r="AT1197" s="43"/>
    </row>
    <row r="1198" spans="1:46">
      <c r="A1198" s="43" t="s">
        <v>26</v>
      </c>
      <c r="B1198" s="43" t="s">
        <v>157</v>
      </c>
      <c r="C1198" s="43" t="s">
        <v>152</v>
      </c>
      <c r="D1198" s="44" t="s">
        <v>246</v>
      </c>
      <c r="E1198" s="44">
        <v>10</v>
      </c>
      <c r="F1198" s="44" t="s">
        <v>2</v>
      </c>
      <c r="G1198" s="43" t="str">
        <f>IFERROR(VLOOKUP(A1198,'[1]MC Masterlist 2026-09-12'!$B:$M, 3, 0),"")</f>
        <v>SUZUKI</v>
      </c>
      <c r="H1198" s="45">
        <f>IFERROR(VLOOKUP(A1198,'[1]MC Masterlist 2026-09-12'!$B:$M, 6, 0),"")</f>
        <v>123700</v>
      </c>
      <c r="I1198" s="46">
        <v>1</v>
      </c>
      <c r="J1198" s="46">
        <v>1</v>
      </c>
      <c r="K1198" s="46">
        <v>2</v>
      </c>
      <c r="L1198" s="46">
        <f t="shared" si="270"/>
        <v>4</v>
      </c>
      <c r="M1198" s="46">
        <f t="shared" si="271"/>
        <v>1.3333333333333333</v>
      </c>
      <c r="N1198" s="45">
        <f t="shared" si="272"/>
        <v>494800</v>
      </c>
      <c r="O1198" s="45">
        <f t="shared" si="273"/>
        <v>164933.33333333331</v>
      </c>
      <c r="P1198" s="46">
        <f t="shared" si="274"/>
        <v>4.4444444444444439E-2</v>
      </c>
      <c r="Q1198" s="46">
        <v>3</v>
      </c>
      <c r="R1198" s="45">
        <f t="shared" si="275"/>
        <v>371100</v>
      </c>
      <c r="S1198" s="46">
        <f t="shared" si="276"/>
        <v>67.500000000000014</v>
      </c>
      <c r="T1198" s="46">
        <f>IFERROR(VLOOKUP(A1198,'[1]Re-order'!$A:$Q,17,0),"")</f>
        <v>71.470588235294116</v>
      </c>
      <c r="U1198" s="46">
        <f>IFERROR(VLOOKUP(A1198,'[1]MC Masterlist 2026-09-12'!$B:$M, 10, 0),0)</f>
        <v>15</v>
      </c>
      <c r="V1198" s="46">
        <f>IFERROR(VLOOKUP(A1198,'[1]MC Masterlist 2026-09-12'!$B:$M, 11, 0),0)</f>
        <v>15</v>
      </c>
      <c r="W1198" s="46">
        <f t="shared" si="277"/>
        <v>30</v>
      </c>
      <c r="X1198" s="46">
        <f t="shared" si="278"/>
        <v>29.333333333333332</v>
      </c>
      <c r="Y1198" s="46">
        <f>IFERROR(IF(OR(C1198="AREA I",C1198="AREA V"),7,VLOOKUP(A1198,'[1]MC Masterlist 2026-09-12'!$B:$M, 12, 0)),0)</f>
        <v>30</v>
      </c>
      <c r="Z1198" s="46">
        <f t="shared" si="279"/>
        <v>0.66666666666666663</v>
      </c>
      <c r="AA1198" s="46">
        <f t="shared" si="280"/>
        <v>1.3333333333333333</v>
      </c>
      <c r="AB1198" s="46">
        <f t="shared" si="281"/>
        <v>1.3037037037037036</v>
      </c>
      <c r="AC1198" s="46">
        <f t="shared" si="282"/>
        <v>1.3333333333333333</v>
      </c>
      <c r="AD1198" s="44" t="str">
        <f t="shared" si="283"/>
        <v>Over</v>
      </c>
      <c r="AE1198" s="44" t="str">
        <f>IFERROR(VLOOKUP(A1198,'[1]Re-order'!$A:$AA,27,0),"")</f>
        <v>Re-order</v>
      </c>
      <c r="AF1198" s="46">
        <f t="shared" si="284"/>
        <v>-1.6666666666666667</v>
      </c>
      <c r="AG1198" s="46">
        <f>SUMIFS('[1]Raw Inventory'!D:D,'[1]Raw Inventory'!C:C,"GREATWALL",'[1]Raw Inventory'!B:B,A1198)</f>
        <v>30</v>
      </c>
      <c r="AH1198" s="46">
        <f>SUMIFS('[1]Raw Inventory'!D:D,'[1]Raw Inventory'!C:C,"DUARTE",'[1]Raw Inventory'!B:B,A1198)</f>
        <v>0</v>
      </c>
      <c r="AI1198" s="46"/>
      <c r="AJ1198" s="46"/>
      <c r="AK1198" s="43"/>
      <c r="AL1198" s="43"/>
      <c r="AM1198" s="43"/>
      <c r="AN1198" s="43"/>
      <c r="AO1198" s="43"/>
      <c r="AP1198" s="43"/>
      <c r="AQ1198" s="43"/>
      <c r="AR1198" s="43"/>
      <c r="AS1198" s="43"/>
      <c r="AT1198" s="43"/>
    </row>
    <row r="1199" spans="1:46">
      <c r="A1199" s="43" t="s">
        <v>14</v>
      </c>
      <c r="B1199" s="43" t="s">
        <v>92</v>
      </c>
      <c r="C1199" s="43" t="s">
        <v>90</v>
      </c>
      <c r="D1199" s="44" t="s">
        <v>227</v>
      </c>
      <c r="E1199" s="44">
        <v>1</v>
      </c>
      <c r="F1199" s="44" t="s">
        <v>0</v>
      </c>
      <c r="G1199" s="43" t="str">
        <f>IFERROR(VLOOKUP(A1199,'[1]MC Masterlist 2026-09-12'!$B:$M, 3, 0),"")</f>
        <v>HONDA</v>
      </c>
      <c r="H1199" s="45">
        <f>IFERROR(VLOOKUP(A1199,'[1]MC Masterlist 2026-09-12'!$B:$M, 6, 0),"")</f>
        <v>80070</v>
      </c>
      <c r="I1199" s="46">
        <v>7</v>
      </c>
      <c r="J1199" s="46">
        <v>6</v>
      </c>
      <c r="K1199" s="46">
        <v>10</v>
      </c>
      <c r="L1199" s="46">
        <f t="shared" si="270"/>
        <v>23</v>
      </c>
      <c r="M1199" s="46">
        <f t="shared" si="271"/>
        <v>7.666666666666667</v>
      </c>
      <c r="N1199" s="45">
        <f t="shared" si="272"/>
        <v>1841610</v>
      </c>
      <c r="O1199" s="45">
        <f t="shared" si="273"/>
        <v>613870</v>
      </c>
      <c r="P1199" s="46">
        <f t="shared" si="274"/>
        <v>0.25555555555555559</v>
      </c>
      <c r="Q1199" s="46">
        <v>1</v>
      </c>
      <c r="R1199" s="45">
        <f t="shared" si="275"/>
        <v>80070</v>
      </c>
      <c r="S1199" s="46">
        <f t="shared" si="276"/>
        <v>3.9130434782608696</v>
      </c>
      <c r="T1199" s="46">
        <f>IFERROR(VLOOKUP(A1199,'[1]Re-order'!$A:$Q,17,0),"")</f>
        <v>20.105787181082761</v>
      </c>
      <c r="U1199" s="46">
        <f>IFERROR(VLOOKUP(A1199,'[1]MC Masterlist 2026-09-12'!$B:$M, 10, 0),0)</f>
        <v>15</v>
      </c>
      <c r="V1199" s="46">
        <f>IFERROR(VLOOKUP(A1199,'[1]MC Masterlist 2026-09-12'!$B:$M, 11, 0),0)</f>
        <v>15</v>
      </c>
      <c r="W1199" s="46">
        <f t="shared" si="277"/>
        <v>30</v>
      </c>
      <c r="X1199" s="46">
        <f t="shared" si="278"/>
        <v>26.166666666666664</v>
      </c>
      <c r="Y1199" s="46">
        <f>IFERROR(IF(OR(C1199="AREA I",C1199="AREA V"),7,VLOOKUP(A1199,'[1]MC Masterlist 2026-09-12'!$B:$M, 12, 0)),0)</f>
        <v>30</v>
      </c>
      <c r="Z1199" s="46">
        <f t="shared" si="279"/>
        <v>3.8333333333333339</v>
      </c>
      <c r="AA1199" s="46">
        <f t="shared" si="280"/>
        <v>7.6666666666666679</v>
      </c>
      <c r="AB1199" s="46">
        <f t="shared" si="281"/>
        <v>6.6870370370370376</v>
      </c>
      <c r="AC1199" s="46">
        <f t="shared" si="282"/>
        <v>7.6666666666666679</v>
      </c>
      <c r="AD1199" s="44" t="str">
        <f t="shared" si="283"/>
        <v>Stockout</v>
      </c>
      <c r="AE1199" s="44" t="str">
        <f>IFERROR(VLOOKUP(A1199,'[1]Re-order'!$A:$AA,27,0),"")</f>
        <v>Stockout</v>
      </c>
      <c r="AF1199" s="46">
        <f t="shared" si="284"/>
        <v>6.6666666666666679</v>
      </c>
      <c r="AG1199" s="46">
        <f>SUMIFS('[1]Raw Inventory'!D:D,'[1]Raw Inventory'!C:C,"GREATWALL",'[1]Raw Inventory'!B:B,A1199)</f>
        <v>176</v>
      </c>
      <c r="AH1199" s="46">
        <f>SUMIFS('[1]Raw Inventory'!D:D,'[1]Raw Inventory'!C:C,"DUARTE",'[1]Raw Inventory'!B:B,A1199)</f>
        <v>0</v>
      </c>
      <c r="AI1199" s="46"/>
      <c r="AJ1199" s="46"/>
      <c r="AK1199" s="43"/>
      <c r="AL1199" s="43"/>
      <c r="AM1199" s="43"/>
      <c r="AN1199" s="43"/>
      <c r="AO1199" s="43"/>
      <c r="AP1199" s="43"/>
      <c r="AQ1199" s="43"/>
      <c r="AR1199" s="43"/>
      <c r="AS1199" s="43"/>
      <c r="AT1199" s="43"/>
    </row>
    <row r="1200" spans="1:46">
      <c r="A1200" s="43" t="s">
        <v>148</v>
      </c>
      <c r="B1200" s="43" t="s">
        <v>146</v>
      </c>
      <c r="C1200" s="43" t="s">
        <v>137</v>
      </c>
      <c r="D1200" s="44" t="s">
        <v>223</v>
      </c>
      <c r="E1200" s="44">
        <v>21</v>
      </c>
      <c r="F1200" s="44" t="s">
        <v>3</v>
      </c>
      <c r="G1200" s="43" t="str">
        <f>IFERROR(VLOOKUP(A1200,'[1]MC Masterlist 2026-09-12'!$B:$M, 3, 0),"")</f>
        <v>SUZUKI</v>
      </c>
      <c r="H1200" s="45">
        <f>IFERROR(VLOOKUP(A1200,'[1]MC Masterlist 2026-09-12'!$B:$M, 6, 0),"")</f>
        <v>101752</v>
      </c>
      <c r="I1200" s="46">
        <v>0</v>
      </c>
      <c r="J1200" s="46">
        <v>0</v>
      </c>
      <c r="K1200" s="46">
        <v>1</v>
      </c>
      <c r="L1200" s="46">
        <f t="shared" si="270"/>
        <v>1</v>
      </c>
      <c r="M1200" s="46">
        <f t="shared" si="271"/>
        <v>0.33333333333333331</v>
      </c>
      <c r="N1200" s="45">
        <f t="shared" si="272"/>
        <v>101752</v>
      </c>
      <c r="O1200" s="45">
        <f t="shared" si="273"/>
        <v>33917.333333333328</v>
      </c>
      <c r="P1200" s="46">
        <f t="shared" si="274"/>
        <v>1.111111111111111E-2</v>
      </c>
      <c r="Q1200" s="46"/>
      <c r="R1200" s="45">
        <f t="shared" si="275"/>
        <v>0</v>
      </c>
      <c r="S1200" s="46">
        <f t="shared" si="276"/>
        <v>0</v>
      </c>
      <c r="T1200" s="46">
        <f>IFERROR(VLOOKUP(A1200,'[1]Re-order'!$A:$Q,17,0),"")</f>
        <v>0</v>
      </c>
      <c r="U1200" s="46">
        <f>IFERROR(VLOOKUP(A1200,'[1]MC Masterlist 2026-09-12'!$B:$M, 10, 0),0)</f>
        <v>15</v>
      </c>
      <c r="V1200" s="46">
        <f>IFERROR(VLOOKUP(A1200,'[1]MC Masterlist 2026-09-12'!$B:$M, 11, 0),0)</f>
        <v>15</v>
      </c>
      <c r="W1200" s="46">
        <f t="shared" si="277"/>
        <v>30</v>
      </c>
      <c r="X1200" s="46">
        <f t="shared" si="278"/>
        <v>6.833333333333333</v>
      </c>
      <c r="Y1200" s="46">
        <f>IFERROR(IF(OR(C1200="AREA I",C1200="AREA V"),7,VLOOKUP(A1200,'[1]MC Masterlist 2026-09-12'!$B:$M, 12, 0)),0)</f>
        <v>7</v>
      </c>
      <c r="Z1200" s="46">
        <f t="shared" si="279"/>
        <v>0.16666666666666666</v>
      </c>
      <c r="AA1200" s="46">
        <f t="shared" si="280"/>
        <v>0.33333333333333331</v>
      </c>
      <c r="AB1200" s="46">
        <f t="shared" si="281"/>
        <v>7.5925925925925911E-2</v>
      </c>
      <c r="AC1200" s="46">
        <f t="shared" si="282"/>
        <v>7.7777777777777765E-2</v>
      </c>
      <c r="AD1200" s="44" t="str">
        <f t="shared" si="283"/>
        <v>Stockout</v>
      </c>
      <c r="AE1200" s="44" t="str">
        <f>IFERROR(VLOOKUP(A1200,'[1]Re-order'!$A:$AA,27,0),"")</f>
        <v>Stockout</v>
      </c>
      <c r="AF1200" s="46">
        <f t="shared" si="284"/>
        <v>7.7777777777777765E-2</v>
      </c>
      <c r="AG1200" s="46">
        <f>SUMIFS('[1]Raw Inventory'!D:D,'[1]Raw Inventory'!C:C,"GREATWALL",'[1]Raw Inventory'!B:B,A1200)</f>
        <v>0</v>
      </c>
      <c r="AH1200" s="46">
        <f>SUMIFS('[1]Raw Inventory'!D:D,'[1]Raw Inventory'!C:C,"DUARTE",'[1]Raw Inventory'!B:B,A1200)</f>
        <v>0</v>
      </c>
      <c r="AI1200" s="46"/>
      <c r="AJ1200" s="46"/>
      <c r="AK1200" s="43"/>
      <c r="AL1200" s="43"/>
      <c r="AM1200" s="43"/>
      <c r="AN1200" s="43"/>
      <c r="AO1200" s="43"/>
      <c r="AP1200" s="43"/>
      <c r="AQ1200" s="43"/>
      <c r="AR1200" s="43"/>
      <c r="AS1200" s="43"/>
      <c r="AT1200" s="43"/>
    </row>
    <row r="1201" spans="1:46">
      <c r="A1201" s="43" t="s">
        <v>50</v>
      </c>
      <c r="B1201" s="43" t="s">
        <v>94</v>
      </c>
      <c r="C1201" s="43" t="s">
        <v>90</v>
      </c>
      <c r="D1201" s="44" t="s">
        <v>252</v>
      </c>
      <c r="E1201" s="44">
        <v>19</v>
      </c>
      <c r="F1201" s="44" t="s">
        <v>2</v>
      </c>
      <c r="G1201" s="43" t="str">
        <f>IFERROR(VLOOKUP(A1201,'[1]MC Masterlist 2026-09-12'!$B:$M, 3, 0),"")</f>
        <v>YAMAHA</v>
      </c>
      <c r="H1201" s="45">
        <f>IFERROR(VLOOKUP(A1201,'[1]MC Masterlist 2026-09-12'!$B:$M, 6, 0),"")</f>
        <v>78957</v>
      </c>
      <c r="I1201" s="46">
        <v>0</v>
      </c>
      <c r="J1201" s="46">
        <v>0</v>
      </c>
      <c r="K1201" s="46">
        <v>1</v>
      </c>
      <c r="L1201" s="46">
        <f t="shared" si="270"/>
        <v>1</v>
      </c>
      <c r="M1201" s="46">
        <f t="shared" si="271"/>
        <v>0.33333333333333331</v>
      </c>
      <c r="N1201" s="45">
        <f t="shared" si="272"/>
        <v>78957</v>
      </c>
      <c r="O1201" s="45">
        <f t="shared" si="273"/>
        <v>26319</v>
      </c>
      <c r="P1201" s="46">
        <f t="shared" si="274"/>
        <v>1.111111111111111E-2</v>
      </c>
      <c r="Q1201" s="46">
        <v>1</v>
      </c>
      <c r="R1201" s="45">
        <f t="shared" si="275"/>
        <v>78957</v>
      </c>
      <c r="S1201" s="46">
        <f t="shared" si="276"/>
        <v>90</v>
      </c>
      <c r="T1201" s="46">
        <f>IFERROR(VLOOKUP(A1201,'[1]Re-order'!$A:$Q,17,0),"")</f>
        <v>118.125</v>
      </c>
      <c r="U1201" s="46">
        <f>IFERROR(VLOOKUP(A1201,'[1]MC Masterlist 2026-09-12'!$B:$M, 10, 0),0)</f>
        <v>15</v>
      </c>
      <c r="V1201" s="46">
        <f>IFERROR(VLOOKUP(A1201,'[1]MC Masterlist 2026-09-12'!$B:$M, 11, 0),0)</f>
        <v>15</v>
      </c>
      <c r="W1201" s="46">
        <f t="shared" si="277"/>
        <v>30</v>
      </c>
      <c r="X1201" s="46">
        <f t="shared" si="278"/>
        <v>29.833333333333332</v>
      </c>
      <c r="Y1201" s="46">
        <f>IFERROR(IF(OR(C1201="AREA I",C1201="AREA V"),7,VLOOKUP(A1201,'[1]MC Masterlist 2026-09-12'!$B:$M, 12, 0)),0)</f>
        <v>30</v>
      </c>
      <c r="Z1201" s="46">
        <f t="shared" si="279"/>
        <v>0.16666666666666666</v>
      </c>
      <c r="AA1201" s="46">
        <f t="shared" si="280"/>
        <v>0.33333333333333331</v>
      </c>
      <c r="AB1201" s="46">
        <f t="shared" si="281"/>
        <v>0.33148148148148143</v>
      </c>
      <c r="AC1201" s="46">
        <f t="shared" si="282"/>
        <v>0.33333333333333331</v>
      </c>
      <c r="AD1201" s="44" t="str">
        <f t="shared" si="283"/>
        <v>Over</v>
      </c>
      <c r="AE1201" s="44" t="str">
        <f>IFERROR(VLOOKUP(A1201,'[1]Re-order'!$A:$AA,27,0),"")</f>
        <v>Over</v>
      </c>
      <c r="AF1201" s="46">
        <f t="shared" si="284"/>
        <v>-0.66666666666666674</v>
      </c>
      <c r="AG1201" s="46">
        <f>SUMIFS('[1]Raw Inventory'!D:D,'[1]Raw Inventory'!C:C,"GREATWALL",'[1]Raw Inventory'!B:B,A1201)</f>
        <v>23</v>
      </c>
      <c r="AH1201" s="46">
        <f>SUMIFS('[1]Raw Inventory'!D:D,'[1]Raw Inventory'!C:C,"DUARTE",'[1]Raw Inventory'!B:B,A1201)</f>
        <v>0</v>
      </c>
      <c r="AI1201" s="46"/>
      <c r="AJ1201" s="46"/>
      <c r="AK1201" s="43"/>
      <c r="AL1201" s="43"/>
      <c r="AM1201" s="43"/>
      <c r="AN1201" s="43"/>
      <c r="AO1201" s="43"/>
      <c r="AP1201" s="43"/>
      <c r="AQ1201" s="43"/>
      <c r="AR1201" s="43"/>
      <c r="AS1201" s="43"/>
      <c r="AT1201" s="43"/>
    </row>
    <row r="1202" spans="1:46">
      <c r="A1202" s="43" t="s">
        <v>49</v>
      </c>
      <c r="B1202" s="43" t="s">
        <v>97</v>
      </c>
      <c r="C1202" s="43" t="s">
        <v>90</v>
      </c>
      <c r="D1202" s="44" t="s">
        <v>227</v>
      </c>
      <c r="E1202" s="44">
        <v>1</v>
      </c>
      <c r="F1202" s="44" t="s">
        <v>0</v>
      </c>
      <c r="G1202" s="43" t="str">
        <f>IFERROR(VLOOKUP(A1202,'[1]MC Masterlist 2026-09-12'!$B:$M, 3, 0),"")</f>
        <v>BAJAJ RE</v>
      </c>
      <c r="H1202" s="45">
        <f>IFERROR(VLOOKUP(A1202,'[1]MC Masterlist 2026-09-12'!$B:$M, 6, 0),"")</f>
        <v>191000</v>
      </c>
      <c r="I1202" s="46">
        <v>3</v>
      </c>
      <c r="J1202" s="46">
        <v>8</v>
      </c>
      <c r="K1202" s="46">
        <v>3</v>
      </c>
      <c r="L1202" s="46">
        <f t="shared" si="270"/>
        <v>14</v>
      </c>
      <c r="M1202" s="46">
        <f t="shared" si="271"/>
        <v>4.666666666666667</v>
      </c>
      <c r="N1202" s="45">
        <f t="shared" si="272"/>
        <v>2674000</v>
      </c>
      <c r="O1202" s="45">
        <f t="shared" si="273"/>
        <v>891333.33333333337</v>
      </c>
      <c r="P1202" s="46">
        <f t="shared" si="274"/>
        <v>0.15555555555555556</v>
      </c>
      <c r="Q1202" s="46"/>
      <c r="R1202" s="45">
        <f t="shared" si="275"/>
        <v>0</v>
      </c>
      <c r="S1202" s="46">
        <f t="shared" si="276"/>
        <v>0</v>
      </c>
      <c r="T1202" s="46">
        <f>IFERROR(VLOOKUP(A1202,'[1]Re-order'!$A:$Q,17,0),"")</f>
        <v>21.516709511568124</v>
      </c>
      <c r="U1202" s="46">
        <f>IFERROR(VLOOKUP(A1202,'[1]MC Masterlist 2026-09-12'!$B:$M, 10, 0),0)</f>
        <v>15</v>
      </c>
      <c r="V1202" s="46">
        <f>IFERROR(VLOOKUP(A1202,'[1]MC Masterlist 2026-09-12'!$B:$M, 11, 0),0)</f>
        <v>15</v>
      </c>
      <c r="W1202" s="46">
        <f t="shared" si="277"/>
        <v>30</v>
      </c>
      <c r="X1202" s="46">
        <f t="shared" si="278"/>
        <v>27.666666666666668</v>
      </c>
      <c r="Y1202" s="46">
        <f>IFERROR(IF(OR(C1202="AREA I",C1202="AREA V"),7,VLOOKUP(A1202,'[1]MC Masterlist 2026-09-12'!$B:$M, 12, 0)),0)</f>
        <v>30</v>
      </c>
      <c r="Z1202" s="46">
        <f t="shared" si="279"/>
        <v>2.3333333333333335</v>
      </c>
      <c r="AA1202" s="46">
        <f t="shared" si="280"/>
        <v>4.666666666666667</v>
      </c>
      <c r="AB1202" s="46">
        <f t="shared" si="281"/>
        <v>4.3037037037037038</v>
      </c>
      <c r="AC1202" s="46">
        <f t="shared" si="282"/>
        <v>4.666666666666667</v>
      </c>
      <c r="AD1202" s="44" t="str">
        <f t="shared" si="283"/>
        <v>Stockout</v>
      </c>
      <c r="AE1202" s="44" t="str">
        <f>IFERROR(VLOOKUP(A1202,'[1]Re-order'!$A:$AA,27,0),"")</f>
        <v>Stockout</v>
      </c>
      <c r="AF1202" s="46">
        <f t="shared" si="284"/>
        <v>4.666666666666667</v>
      </c>
      <c r="AG1202" s="46">
        <f>SUMIFS('[1]Raw Inventory'!D:D,'[1]Raw Inventory'!C:C,"GREATWALL",'[1]Raw Inventory'!B:B,A1202)</f>
        <v>0</v>
      </c>
      <c r="AH1202" s="46">
        <f>SUMIFS('[1]Raw Inventory'!D:D,'[1]Raw Inventory'!C:C,"DUARTE",'[1]Raw Inventory'!B:B,A1202)</f>
        <v>0</v>
      </c>
      <c r="AI1202" s="46"/>
      <c r="AJ1202" s="46"/>
      <c r="AK1202" s="43"/>
      <c r="AL1202" s="43"/>
      <c r="AM1202" s="43"/>
      <c r="AN1202" s="43"/>
      <c r="AO1202" s="43"/>
      <c r="AP1202" s="43"/>
      <c r="AQ1202" s="43"/>
      <c r="AR1202" s="43"/>
      <c r="AS1202" s="43"/>
      <c r="AT1202" s="43"/>
    </row>
    <row r="1203" spans="1:46">
      <c r="A1203" s="43" t="s">
        <v>16</v>
      </c>
      <c r="B1203" s="43" t="s">
        <v>143</v>
      </c>
      <c r="C1203" s="43" t="s">
        <v>137</v>
      </c>
      <c r="D1203" s="44" t="s">
        <v>255</v>
      </c>
      <c r="E1203" s="44">
        <v>14</v>
      </c>
      <c r="F1203" s="44" t="s">
        <v>2</v>
      </c>
      <c r="G1203" s="43" t="str">
        <f>IFERROR(VLOOKUP(A1203,'[1]MC Masterlist 2026-09-12'!$B:$M, 3, 0),"")</f>
        <v>HONDA</v>
      </c>
      <c r="H1203" s="45">
        <f>IFERROR(VLOOKUP(A1203,'[1]MC Masterlist 2026-09-12'!$B:$M, 6, 0),"")</f>
        <v>84394</v>
      </c>
      <c r="I1203" s="46">
        <v>1</v>
      </c>
      <c r="J1203" s="46">
        <v>0</v>
      </c>
      <c r="K1203" s="46">
        <v>1</v>
      </c>
      <c r="L1203" s="46">
        <f t="shared" si="270"/>
        <v>2</v>
      </c>
      <c r="M1203" s="46">
        <f t="shared" si="271"/>
        <v>0.66666666666666663</v>
      </c>
      <c r="N1203" s="45">
        <f t="shared" si="272"/>
        <v>168788</v>
      </c>
      <c r="O1203" s="45">
        <f t="shared" si="273"/>
        <v>56262.666666666664</v>
      </c>
      <c r="P1203" s="46">
        <f t="shared" si="274"/>
        <v>2.222222222222222E-2</v>
      </c>
      <c r="Q1203" s="46"/>
      <c r="R1203" s="45">
        <f t="shared" si="275"/>
        <v>0</v>
      </c>
      <c r="S1203" s="46">
        <f t="shared" si="276"/>
        <v>0</v>
      </c>
      <c r="T1203" s="46">
        <f>IFERROR(VLOOKUP(A1203,'[1]Re-order'!$A:$Q,17,0),"")</f>
        <v>26.332665330661321</v>
      </c>
      <c r="U1203" s="46">
        <f>IFERROR(VLOOKUP(A1203,'[1]MC Masterlist 2026-09-12'!$B:$M, 10, 0),0)</f>
        <v>15</v>
      </c>
      <c r="V1203" s="46">
        <f>IFERROR(VLOOKUP(A1203,'[1]MC Masterlist 2026-09-12'!$B:$M, 11, 0),0)</f>
        <v>15</v>
      </c>
      <c r="W1203" s="46">
        <f t="shared" si="277"/>
        <v>30</v>
      </c>
      <c r="X1203" s="46">
        <f t="shared" si="278"/>
        <v>6.666666666666667</v>
      </c>
      <c r="Y1203" s="46">
        <f>IFERROR(IF(OR(C1203="AREA I",C1203="AREA V"),7,VLOOKUP(A1203,'[1]MC Masterlist 2026-09-12'!$B:$M, 12, 0)),0)</f>
        <v>7</v>
      </c>
      <c r="Z1203" s="46">
        <f t="shared" si="279"/>
        <v>0.33333333333333331</v>
      </c>
      <c r="AA1203" s="46">
        <f t="shared" si="280"/>
        <v>0.66666666666666663</v>
      </c>
      <c r="AB1203" s="46">
        <f t="shared" si="281"/>
        <v>0.14814814814814814</v>
      </c>
      <c r="AC1203" s="46">
        <f t="shared" si="282"/>
        <v>0.15555555555555553</v>
      </c>
      <c r="AD1203" s="44" t="str">
        <f t="shared" si="283"/>
        <v>Stockout</v>
      </c>
      <c r="AE1203" s="44" t="str">
        <f>IFERROR(VLOOKUP(A1203,'[1]Re-order'!$A:$AA,27,0),"")</f>
        <v>Stockout</v>
      </c>
      <c r="AF1203" s="46">
        <f t="shared" si="284"/>
        <v>0.15555555555555553</v>
      </c>
      <c r="AG1203" s="46">
        <f>SUMIFS('[1]Raw Inventory'!D:D,'[1]Raw Inventory'!C:C,"GREATWALL",'[1]Raw Inventory'!B:B,A1203)</f>
        <v>58</v>
      </c>
      <c r="AH1203" s="46">
        <f>SUMIFS('[1]Raw Inventory'!D:D,'[1]Raw Inventory'!C:C,"DUARTE",'[1]Raw Inventory'!B:B,A1203)</f>
        <v>0</v>
      </c>
      <c r="AI1203" s="46"/>
      <c r="AJ1203" s="46"/>
      <c r="AK1203" s="43"/>
      <c r="AL1203" s="43"/>
      <c r="AM1203" s="43"/>
      <c r="AN1203" s="43"/>
      <c r="AO1203" s="43"/>
      <c r="AP1203" s="43"/>
      <c r="AQ1203" s="43"/>
      <c r="AR1203" s="43"/>
      <c r="AS1203" s="43"/>
      <c r="AT1203" s="43"/>
    </row>
    <row r="1204" spans="1:46">
      <c r="A1204" s="43" t="s">
        <v>35</v>
      </c>
      <c r="B1204" s="43" t="s">
        <v>11</v>
      </c>
      <c r="C1204" s="43" t="s">
        <v>1</v>
      </c>
      <c r="D1204" s="44" t="s">
        <v>256</v>
      </c>
      <c r="E1204" s="44">
        <v>13</v>
      </c>
      <c r="F1204" s="44" t="s">
        <v>2</v>
      </c>
      <c r="G1204" s="43" t="str">
        <f>IFERROR(VLOOKUP(A1204,'[1]MC Masterlist 2026-09-12'!$B:$M, 3, 0),"")</f>
        <v>HONDA</v>
      </c>
      <c r="H1204" s="45">
        <f>IFERROR(VLOOKUP(A1204,'[1]MC Masterlist 2026-09-12'!$B:$M, 6, 0),"")</f>
        <v>57990</v>
      </c>
      <c r="I1204" s="46">
        <v>3</v>
      </c>
      <c r="J1204" s="46">
        <v>1</v>
      </c>
      <c r="K1204" s="46">
        <v>2</v>
      </c>
      <c r="L1204" s="46">
        <f t="shared" si="270"/>
        <v>6</v>
      </c>
      <c r="M1204" s="46">
        <f t="shared" si="271"/>
        <v>2</v>
      </c>
      <c r="N1204" s="45">
        <f t="shared" si="272"/>
        <v>347940</v>
      </c>
      <c r="O1204" s="45">
        <f t="shared" si="273"/>
        <v>115980</v>
      </c>
      <c r="P1204" s="46">
        <f t="shared" si="274"/>
        <v>6.6666666666666666E-2</v>
      </c>
      <c r="Q1204" s="46">
        <v>2</v>
      </c>
      <c r="R1204" s="45">
        <f t="shared" si="275"/>
        <v>115980</v>
      </c>
      <c r="S1204" s="46">
        <f t="shared" si="276"/>
        <v>30</v>
      </c>
      <c r="T1204" s="46">
        <f>IFERROR(VLOOKUP(A1204,'[1]Re-order'!$A:$Q,17,0),"")</f>
        <v>68.275862068965523</v>
      </c>
      <c r="U1204" s="46">
        <f>IFERROR(VLOOKUP(A1204,'[1]MC Masterlist 2026-09-12'!$B:$M, 10, 0),0)</f>
        <v>15</v>
      </c>
      <c r="V1204" s="46">
        <f>IFERROR(VLOOKUP(A1204,'[1]MC Masterlist 2026-09-12'!$B:$M, 11, 0),0)</f>
        <v>15</v>
      </c>
      <c r="W1204" s="46">
        <f t="shared" si="277"/>
        <v>30</v>
      </c>
      <c r="X1204" s="46">
        <f t="shared" si="278"/>
        <v>6</v>
      </c>
      <c r="Y1204" s="46">
        <f>IFERROR(IF(OR(C1204="AREA I",C1204="AREA V"),7,VLOOKUP(A1204,'[1]MC Masterlist 2026-09-12'!$B:$M, 12, 0)),0)</f>
        <v>7</v>
      </c>
      <c r="Z1204" s="46">
        <f t="shared" si="279"/>
        <v>1</v>
      </c>
      <c r="AA1204" s="46">
        <f t="shared" si="280"/>
        <v>2</v>
      </c>
      <c r="AB1204" s="46">
        <f t="shared" si="281"/>
        <v>0.4</v>
      </c>
      <c r="AC1204" s="46">
        <f t="shared" si="282"/>
        <v>0.46666666666666667</v>
      </c>
      <c r="AD1204" s="44" t="str">
        <f t="shared" si="283"/>
        <v>Over</v>
      </c>
      <c r="AE1204" s="44" t="str">
        <f>IFERROR(VLOOKUP(A1204,'[1]Re-order'!$A:$AA,27,0),"")</f>
        <v>Re-order</v>
      </c>
      <c r="AF1204" s="46">
        <f t="shared" si="284"/>
        <v>-1.5333333333333332</v>
      </c>
      <c r="AG1204" s="46">
        <f>SUMIFS('[1]Raw Inventory'!D:D,'[1]Raw Inventory'!C:C,"GREATWALL",'[1]Raw Inventory'!B:B,A1204)</f>
        <v>29</v>
      </c>
      <c r="AH1204" s="46">
        <f>SUMIFS('[1]Raw Inventory'!D:D,'[1]Raw Inventory'!C:C,"DUARTE",'[1]Raw Inventory'!B:B,A1204)</f>
        <v>0</v>
      </c>
      <c r="AI1204" s="46"/>
      <c r="AJ1204" s="46"/>
      <c r="AK1204" s="43"/>
      <c r="AL1204" s="43"/>
      <c r="AM1204" s="43"/>
      <c r="AN1204" s="43"/>
      <c r="AO1204" s="43"/>
      <c r="AP1204" s="43"/>
      <c r="AQ1204" s="43"/>
      <c r="AR1204" s="43"/>
      <c r="AS1204" s="43"/>
      <c r="AT1204" s="43"/>
    </row>
    <row r="1205" spans="1:46">
      <c r="A1205" s="43" t="s">
        <v>44</v>
      </c>
      <c r="B1205" s="43" t="s">
        <v>154</v>
      </c>
      <c r="C1205" s="43" t="s">
        <v>152</v>
      </c>
      <c r="D1205" s="44" t="s">
        <v>226</v>
      </c>
      <c r="E1205" s="44">
        <v>28</v>
      </c>
      <c r="F1205" s="44" t="s">
        <v>3</v>
      </c>
      <c r="G1205" s="43" t="str">
        <f>IFERROR(VLOOKUP(A1205,'[1]MC Masterlist 2026-09-12'!$B:$M, 3, 0),"")</f>
        <v>YAMAHA</v>
      </c>
      <c r="H1205" s="45">
        <f>IFERROR(VLOOKUP(A1205,'[1]MC Masterlist 2026-09-12'!$B:$M, 6, 0),"")</f>
        <v>165912</v>
      </c>
      <c r="I1205" s="46">
        <v>0</v>
      </c>
      <c r="J1205" s="46">
        <v>0</v>
      </c>
      <c r="K1205" s="46">
        <v>0</v>
      </c>
      <c r="L1205" s="46">
        <f t="shared" si="270"/>
        <v>0</v>
      </c>
      <c r="M1205" s="46">
        <f t="shared" si="271"/>
        <v>0</v>
      </c>
      <c r="N1205" s="45">
        <f t="shared" si="272"/>
        <v>0</v>
      </c>
      <c r="O1205" s="45">
        <f t="shared" si="273"/>
        <v>0</v>
      </c>
      <c r="P1205" s="46">
        <f t="shared" si="274"/>
        <v>0</v>
      </c>
      <c r="Q1205" s="46">
        <v>1</v>
      </c>
      <c r="R1205" s="45">
        <f t="shared" si="275"/>
        <v>165912</v>
      </c>
      <c r="S1205" s="46">
        <f t="shared" si="276"/>
        <v>0</v>
      </c>
      <c r="T1205" s="46">
        <f>IFERROR(VLOOKUP(A1205,'[1]Re-order'!$A:$Q,17,0),"")</f>
        <v>10.588235294117649</v>
      </c>
      <c r="U1205" s="46">
        <f>IFERROR(VLOOKUP(A1205,'[1]MC Masterlist 2026-09-12'!$B:$M, 10, 0),0)</f>
        <v>15</v>
      </c>
      <c r="V1205" s="46">
        <f>IFERROR(VLOOKUP(A1205,'[1]MC Masterlist 2026-09-12'!$B:$M, 11, 0),0)</f>
        <v>15</v>
      </c>
      <c r="W1205" s="46">
        <f t="shared" si="277"/>
        <v>30</v>
      </c>
      <c r="X1205" s="46">
        <f t="shared" si="278"/>
        <v>30</v>
      </c>
      <c r="Y1205" s="46">
        <f>IFERROR(IF(OR(C1205="AREA I",C1205="AREA V"),7,VLOOKUP(A1205,'[1]MC Masterlist 2026-09-12'!$B:$M, 12, 0)),0)</f>
        <v>30</v>
      </c>
      <c r="Z1205" s="46">
        <f t="shared" si="279"/>
        <v>0</v>
      </c>
      <c r="AA1205" s="46">
        <f t="shared" si="280"/>
        <v>0</v>
      </c>
      <c r="AB1205" s="46">
        <f t="shared" si="281"/>
        <v>0</v>
      </c>
      <c r="AC1205" s="46">
        <f t="shared" si="282"/>
        <v>0</v>
      </c>
      <c r="AD1205" s="44" t="str">
        <f t="shared" si="283"/>
        <v>Over</v>
      </c>
      <c r="AE1205" s="44" t="str">
        <f>IFERROR(VLOOKUP(A1205,'[1]Re-order'!$A:$AA,27,0),"")</f>
        <v>Stockout</v>
      </c>
      <c r="AF1205" s="46">
        <f t="shared" si="284"/>
        <v>-1</v>
      </c>
      <c r="AG1205" s="46">
        <f>SUMIFS('[1]Raw Inventory'!D:D,'[1]Raw Inventory'!C:C,"GREATWALL",'[1]Raw Inventory'!B:B,A1205)</f>
        <v>0</v>
      </c>
      <c r="AH1205" s="46">
        <f>SUMIFS('[1]Raw Inventory'!D:D,'[1]Raw Inventory'!C:C,"DUARTE",'[1]Raw Inventory'!B:B,A1205)</f>
        <v>0</v>
      </c>
      <c r="AI1205" s="46"/>
      <c r="AJ1205" s="46"/>
      <c r="AK1205" s="43"/>
      <c r="AL1205" s="43"/>
      <c r="AM1205" s="43"/>
      <c r="AN1205" s="43"/>
      <c r="AO1205" s="43"/>
      <c r="AP1205" s="43"/>
      <c r="AQ1205" s="43"/>
      <c r="AR1205" s="43"/>
      <c r="AS1205" s="43"/>
      <c r="AT1205" s="43"/>
    </row>
    <row r="1206" spans="1:46">
      <c r="A1206" s="43" t="s">
        <v>44</v>
      </c>
      <c r="B1206" s="43" t="s">
        <v>162</v>
      </c>
      <c r="C1206" s="43" t="s">
        <v>159</v>
      </c>
      <c r="D1206" s="44" t="s">
        <v>240</v>
      </c>
      <c r="E1206" s="44">
        <v>9</v>
      </c>
      <c r="F1206" s="44" t="s">
        <v>2</v>
      </c>
      <c r="G1206" s="43" t="str">
        <f>IFERROR(VLOOKUP(A1206,'[1]MC Masterlist 2026-09-12'!$B:$M, 3, 0),"")</f>
        <v>YAMAHA</v>
      </c>
      <c r="H1206" s="45">
        <f>IFERROR(VLOOKUP(A1206,'[1]MC Masterlist 2026-09-12'!$B:$M, 6, 0),"")</f>
        <v>165912</v>
      </c>
      <c r="I1206" s="46">
        <v>0</v>
      </c>
      <c r="J1206" s="46">
        <v>1</v>
      </c>
      <c r="K1206" s="46">
        <v>1</v>
      </c>
      <c r="L1206" s="46">
        <f t="shared" si="270"/>
        <v>2</v>
      </c>
      <c r="M1206" s="46">
        <f t="shared" si="271"/>
        <v>0.66666666666666663</v>
      </c>
      <c r="N1206" s="45">
        <f t="shared" si="272"/>
        <v>331824</v>
      </c>
      <c r="O1206" s="45">
        <f t="shared" si="273"/>
        <v>110608</v>
      </c>
      <c r="P1206" s="46">
        <f t="shared" si="274"/>
        <v>2.222222222222222E-2</v>
      </c>
      <c r="Q1206" s="46"/>
      <c r="R1206" s="45">
        <f t="shared" si="275"/>
        <v>0</v>
      </c>
      <c r="S1206" s="46">
        <f t="shared" si="276"/>
        <v>0</v>
      </c>
      <c r="T1206" s="46">
        <f>IFERROR(VLOOKUP(A1206,'[1]Re-order'!$A:$Q,17,0),"")</f>
        <v>10.588235294117649</v>
      </c>
      <c r="U1206" s="46">
        <f>IFERROR(VLOOKUP(A1206,'[1]MC Masterlist 2026-09-12'!$B:$M, 10, 0),0)</f>
        <v>15</v>
      </c>
      <c r="V1206" s="46">
        <f>IFERROR(VLOOKUP(A1206,'[1]MC Masterlist 2026-09-12'!$B:$M, 11, 0),0)</f>
        <v>15</v>
      </c>
      <c r="W1206" s="46">
        <f t="shared" si="277"/>
        <v>30</v>
      </c>
      <c r="X1206" s="46">
        <f t="shared" si="278"/>
        <v>29.666666666666668</v>
      </c>
      <c r="Y1206" s="46">
        <f>IFERROR(IF(OR(C1206="AREA I",C1206="AREA V"),7,VLOOKUP(A1206,'[1]MC Masterlist 2026-09-12'!$B:$M, 12, 0)),0)</f>
        <v>30</v>
      </c>
      <c r="Z1206" s="46">
        <f t="shared" si="279"/>
        <v>0.33333333333333331</v>
      </c>
      <c r="AA1206" s="46">
        <f t="shared" si="280"/>
        <v>0.66666666666666663</v>
      </c>
      <c r="AB1206" s="46">
        <f t="shared" si="281"/>
        <v>0.65925925925925921</v>
      </c>
      <c r="AC1206" s="46">
        <f t="shared" si="282"/>
        <v>0.66666666666666663</v>
      </c>
      <c r="AD1206" s="44" t="str">
        <f t="shared" si="283"/>
        <v>Stockout</v>
      </c>
      <c r="AE1206" s="44" t="str">
        <f>IFERROR(VLOOKUP(A1206,'[1]Re-order'!$A:$AA,27,0),"")</f>
        <v>Stockout</v>
      </c>
      <c r="AF1206" s="46">
        <f t="shared" si="284"/>
        <v>0.66666666666666663</v>
      </c>
      <c r="AG1206" s="46">
        <f>SUMIFS('[1]Raw Inventory'!D:D,'[1]Raw Inventory'!C:C,"GREATWALL",'[1]Raw Inventory'!B:B,A1206)</f>
        <v>0</v>
      </c>
      <c r="AH1206" s="46">
        <f>SUMIFS('[1]Raw Inventory'!D:D,'[1]Raw Inventory'!C:C,"DUARTE",'[1]Raw Inventory'!B:B,A1206)</f>
        <v>0</v>
      </c>
      <c r="AI1206" s="46"/>
      <c r="AJ1206" s="46"/>
      <c r="AK1206" s="43"/>
      <c r="AL1206" s="43"/>
      <c r="AM1206" s="43"/>
      <c r="AN1206" s="43"/>
      <c r="AO1206" s="43"/>
      <c r="AP1206" s="43"/>
      <c r="AQ1206" s="43"/>
      <c r="AR1206" s="43"/>
      <c r="AS1206" s="43"/>
      <c r="AT1206" s="43"/>
    </row>
    <row r="1207" spans="1:46">
      <c r="A1207" s="43" t="s">
        <v>24</v>
      </c>
      <c r="B1207" s="43" t="s">
        <v>119</v>
      </c>
      <c r="C1207" s="43" t="s">
        <v>118</v>
      </c>
      <c r="D1207" s="44" t="s">
        <v>259</v>
      </c>
      <c r="E1207" s="44">
        <v>5</v>
      </c>
      <c r="F1207" s="44" t="s">
        <v>0</v>
      </c>
      <c r="G1207" s="43" t="str">
        <f>IFERROR(VLOOKUP(A1207,'[1]MC Masterlist 2026-09-12'!$B:$M, 3, 0),"")</f>
        <v>KAWASAKI</v>
      </c>
      <c r="H1207" s="45">
        <f>IFERROR(VLOOKUP(A1207,'[1]MC Masterlist 2026-09-12'!$B:$M, 6, 0),"")</f>
        <v>131626</v>
      </c>
      <c r="I1207" s="46">
        <v>3</v>
      </c>
      <c r="J1207" s="46">
        <v>2</v>
      </c>
      <c r="K1207" s="46">
        <v>2</v>
      </c>
      <c r="L1207" s="46">
        <f t="shared" si="270"/>
        <v>7</v>
      </c>
      <c r="M1207" s="46">
        <f t="shared" si="271"/>
        <v>2.3333333333333335</v>
      </c>
      <c r="N1207" s="45">
        <f t="shared" si="272"/>
        <v>921382</v>
      </c>
      <c r="O1207" s="45">
        <f t="shared" si="273"/>
        <v>307127.33333333337</v>
      </c>
      <c r="P1207" s="46">
        <f t="shared" si="274"/>
        <v>7.7777777777777779E-2</v>
      </c>
      <c r="Q1207" s="46">
        <v>3</v>
      </c>
      <c r="R1207" s="45">
        <f t="shared" si="275"/>
        <v>394878</v>
      </c>
      <c r="S1207" s="46">
        <f t="shared" si="276"/>
        <v>38.571428571428569</v>
      </c>
      <c r="T1207" s="46">
        <f>IFERROR(VLOOKUP(A1207,'[1]Re-order'!$A:$Q,17,0),"")</f>
        <v>40.677966101694913</v>
      </c>
      <c r="U1207" s="46">
        <f>IFERROR(VLOOKUP(A1207,'[1]MC Masterlist 2026-09-12'!$B:$M, 10, 0),0)</f>
        <v>15</v>
      </c>
      <c r="V1207" s="46">
        <f>IFERROR(VLOOKUP(A1207,'[1]MC Masterlist 2026-09-12'!$B:$M, 11, 0),0)</f>
        <v>15</v>
      </c>
      <c r="W1207" s="46">
        <f t="shared" si="277"/>
        <v>30</v>
      </c>
      <c r="X1207" s="46">
        <f t="shared" si="278"/>
        <v>28.833333333333332</v>
      </c>
      <c r="Y1207" s="46">
        <f>IFERROR(IF(OR(C1207="AREA I",C1207="AREA V"),7,VLOOKUP(A1207,'[1]MC Masterlist 2026-09-12'!$B:$M, 12, 0)),0)</f>
        <v>30</v>
      </c>
      <c r="Z1207" s="46">
        <f t="shared" si="279"/>
        <v>1.1666666666666667</v>
      </c>
      <c r="AA1207" s="46">
        <f t="shared" si="280"/>
        <v>2.3333333333333335</v>
      </c>
      <c r="AB1207" s="46">
        <f t="shared" si="281"/>
        <v>2.2425925925925925</v>
      </c>
      <c r="AC1207" s="46">
        <f t="shared" si="282"/>
        <v>2.3333333333333335</v>
      </c>
      <c r="AD1207" s="44" t="str">
        <f t="shared" si="283"/>
        <v>Over</v>
      </c>
      <c r="AE1207" s="44" t="str">
        <f>IFERROR(VLOOKUP(A1207,'[1]Re-order'!$A:$AA,27,0),"")</f>
        <v>Re-order</v>
      </c>
      <c r="AF1207" s="46">
        <f t="shared" si="284"/>
        <v>-0.66666666666666652</v>
      </c>
      <c r="AG1207" s="46">
        <f>SUMIFS('[1]Raw Inventory'!D:D,'[1]Raw Inventory'!C:C,"GREATWALL",'[1]Raw Inventory'!B:B,A1207)</f>
        <v>12</v>
      </c>
      <c r="AH1207" s="46">
        <f>SUMIFS('[1]Raw Inventory'!D:D,'[1]Raw Inventory'!C:C,"DUARTE",'[1]Raw Inventory'!B:B,A1207)</f>
        <v>0</v>
      </c>
      <c r="AI1207" s="46"/>
      <c r="AJ1207" s="46"/>
      <c r="AK1207" s="43"/>
      <c r="AL1207" s="43"/>
      <c r="AM1207" s="43"/>
      <c r="AN1207" s="43"/>
      <c r="AO1207" s="43"/>
      <c r="AP1207" s="43"/>
      <c r="AQ1207" s="43"/>
      <c r="AR1207" s="43"/>
      <c r="AS1207" s="43"/>
      <c r="AT1207" s="43"/>
    </row>
    <row r="1208" spans="1:46">
      <c r="A1208" s="43" t="s">
        <v>103</v>
      </c>
      <c r="B1208" s="43" t="s">
        <v>92</v>
      </c>
      <c r="C1208" s="43" t="s">
        <v>90</v>
      </c>
      <c r="D1208" s="44" t="s">
        <v>242</v>
      </c>
      <c r="E1208" s="44">
        <v>29</v>
      </c>
      <c r="F1208" s="44" t="s">
        <v>3</v>
      </c>
      <c r="G1208" s="43" t="str">
        <f>IFERROR(VLOOKUP(A1208,'[1]MC Masterlist 2026-09-12'!$B:$M, 3, 0),"")</f>
        <v>SUZUKI</v>
      </c>
      <c r="H1208" s="45">
        <f>IFERROR(VLOOKUP(A1208,'[1]MC Masterlist 2026-09-12'!$B:$M, 6, 0),"")</f>
        <v>172897</v>
      </c>
      <c r="I1208" s="46">
        <v>0</v>
      </c>
      <c r="J1208" s="46">
        <v>0</v>
      </c>
      <c r="K1208" s="46">
        <v>0</v>
      </c>
      <c r="L1208" s="46">
        <f t="shared" si="270"/>
        <v>0</v>
      </c>
      <c r="M1208" s="46">
        <f t="shared" si="271"/>
        <v>0</v>
      </c>
      <c r="N1208" s="45">
        <f t="shared" si="272"/>
        <v>0</v>
      </c>
      <c r="O1208" s="45">
        <f t="shared" si="273"/>
        <v>0</v>
      </c>
      <c r="P1208" s="46">
        <f t="shared" si="274"/>
        <v>0</v>
      </c>
      <c r="Q1208" s="46">
        <v>1</v>
      </c>
      <c r="R1208" s="45">
        <f t="shared" si="275"/>
        <v>172897</v>
      </c>
      <c r="S1208" s="46">
        <f t="shared" si="276"/>
        <v>0</v>
      </c>
      <c r="T1208" s="46" t="str">
        <f>IFERROR(VLOOKUP(A1208,'[1]Re-order'!$A:$Q,17,0),"")</f>
        <v/>
      </c>
      <c r="U1208" s="46">
        <f>IFERROR(VLOOKUP(A1208,'[1]MC Masterlist 2026-09-12'!$B:$M, 10, 0),0)</f>
        <v>15</v>
      </c>
      <c r="V1208" s="46">
        <f>IFERROR(VLOOKUP(A1208,'[1]MC Masterlist 2026-09-12'!$B:$M, 11, 0),0)</f>
        <v>15</v>
      </c>
      <c r="W1208" s="46">
        <f t="shared" si="277"/>
        <v>30</v>
      </c>
      <c r="X1208" s="46">
        <f t="shared" si="278"/>
        <v>30</v>
      </c>
      <c r="Y1208" s="46">
        <f>IFERROR(IF(OR(C1208="AREA I",C1208="AREA V"),7,VLOOKUP(A1208,'[1]MC Masterlist 2026-09-12'!$B:$M, 12, 0)),0)</f>
        <v>30</v>
      </c>
      <c r="Z1208" s="46">
        <f t="shared" si="279"/>
        <v>0</v>
      </c>
      <c r="AA1208" s="46">
        <f t="shared" si="280"/>
        <v>0</v>
      </c>
      <c r="AB1208" s="46">
        <f t="shared" si="281"/>
        <v>0</v>
      </c>
      <c r="AC1208" s="46">
        <f t="shared" si="282"/>
        <v>0</v>
      </c>
      <c r="AD1208" s="44" t="str">
        <f t="shared" si="283"/>
        <v>Over</v>
      </c>
      <c r="AE1208" s="44" t="str">
        <f>IFERROR(VLOOKUP(A1208,'[1]Re-order'!$A:$AA,27,0),"")</f>
        <v>Over</v>
      </c>
      <c r="AF1208" s="46">
        <f t="shared" si="284"/>
        <v>-1</v>
      </c>
      <c r="AG1208" s="46">
        <f>SUMIFS('[1]Raw Inventory'!D:D,'[1]Raw Inventory'!C:C,"GREATWALL",'[1]Raw Inventory'!B:B,A1208)</f>
        <v>0</v>
      </c>
      <c r="AH1208" s="46">
        <f>SUMIFS('[1]Raw Inventory'!D:D,'[1]Raw Inventory'!C:C,"DUARTE",'[1]Raw Inventory'!B:B,A1208)</f>
        <v>0</v>
      </c>
      <c r="AI1208" s="46"/>
      <c r="AJ1208" s="46"/>
      <c r="AK1208" s="43"/>
      <c r="AL1208" s="43"/>
      <c r="AM1208" s="43"/>
      <c r="AN1208" s="43"/>
      <c r="AO1208" s="43"/>
      <c r="AP1208" s="43"/>
      <c r="AQ1208" s="43"/>
      <c r="AR1208" s="43"/>
      <c r="AS1208" s="43"/>
      <c r="AT1208" s="43"/>
    </row>
    <row r="1209" spans="1:46">
      <c r="A1209" s="43" t="s">
        <v>46</v>
      </c>
      <c r="B1209" s="43" t="s">
        <v>116</v>
      </c>
      <c r="C1209" s="43" t="s">
        <v>109</v>
      </c>
      <c r="D1209" s="44" t="s">
        <v>268</v>
      </c>
      <c r="E1209" s="44">
        <v>5</v>
      </c>
      <c r="F1209" s="44" t="s">
        <v>3</v>
      </c>
      <c r="G1209" s="43" t="str">
        <f>IFERROR(VLOOKUP(A1209,'[1]MC Masterlist 2026-09-12'!$B:$M, 3, 0),"")</f>
        <v>HONDA</v>
      </c>
      <c r="H1209" s="45">
        <f>IFERROR(VLOOKUP(A1209,'[1]MC Masterlist 2026-09-12'!$B:$M, 6, 0),"")</f>
        <v>73630</v>
      </c>
      <c r="I1209" s="46">
        <v>0</v>
      </c>
      <c r="J1209" s="46">
        <v>0</v>
      </c>
      <c r="K1209" s="46">
        <v>1</v>
      </c>
      <c r="L1209" s="46">
        <f t="shared" si="270"/>
        <v>1</v>
      </c>
      <c r="M1209" s="46">
        <f t="shared" si="271"/>
        <v>0.33333333333333331</v>
      </c>
      <c r="N1209" s="45">
        <f t="shared" si="272"/>
        <v>73630</v>
      </c>
      <c r="O1209" s="45">
        <f t="shared" si="273"/>
        <v>24543.333333333332</v>
      </c>
      <c r="P1209" s="46">
        <f t="shared" si="274"/>
        <v>1.111111111111111E-2</v>
      </c>
      <c r="Q1209" s="46"/>
      <c r="R1209" s="45">
        <f t="shared" si="275"/>
        <v>0</v>
      </c>
      <c r="S1209" s="46">
        <f t="shared" si="276"/>
        <v>0</v>
      </c>
      <c r="T1209" s="46">
        <f>IFERROR(VLOOKUP(A1209,'[1]Re-order'!$A:$Q,17,0),"")</f>
        <v>51</v>
      </c>
      <c r="U1209" s="46">
        <f>IFERROR(VLOOKUP(A1209,'[1]MC Masterlist 2026-09-12'!$B:$M, 10, 0),0)</f>
        <v>15</v>
      </c>
      <c r="V1209" s="46">
        <f>IFERROR(VLOOKUP(A1209,'[1]MC Masterlist 2026-09-12'!$B:$M, 11, 0),0)</f>
        <v>15</v>
      </c>
      <c r="W1209" s="46">
        <f t="shared" si="277"/>
        <v>30</v>
      </c>
      <c r="X1209" s="46">
        <f t="shared" si="278"/>
        <v>29.833333333333332</v>
      </c>
      <c r="Y1209" s="46">
        <f>IFERROR(IF(OR(C1209="AREA I",C1209="AREA V"),7,VLOOKUP(A1209,'[1]MC Masterlist 2026-09-12'!$B:$M, 12, 0)),0)</f>
        <v>30</v>
      </c>
      <c r="Z1209" s="46">
        <f t="shared" si="279"/>
        <v>0.16666666666666666</v>
      </c>
      <c r="AA1209" s="46">
        <f t="shared" si="280"/>
        <v>0.33333333333333331</v>
      </c>
      <c r="AB1209" s="46">
        <f t="shared" si="281"/>
        <v>0.33148148148148143</v>
      </c>
      <c r="AC1209" s="46">
        <f t="shared" si="282"/>
        <v>0.33333333333333331</v>
      </c>
      <c r="AD1209" s="44" t="str">
        <f t="shared" si="283"/>
        <v>Stockout</v>
      </c>
      <c r="AE1209" s="44" t="str">
        <f>IFERROR(VLOOKUP(A1209,'[1]Re-order'!$A:$AA,27,0),"")</f>
        <v>Re-order</v>
      </c>
      <c r="AF1209" s="46">
        <f t="shared" si="284"/>
        <v>0.33333333333333331</v>
      </c>
      <c r="AG1209" s="46">
        <f>SUMIFS('[1]Raw Inventory'!D:D,'[1]Raw Inventory'!C:C,"GREATWALL",'[1]Raw Inventory'!B:B,A1209)</f>
        <v>0</v>
      </c>
      <c r="AH1209" s="46">
        <f>SUMIFS('[1]Raw Inventory'!D:D,'[1]Raw Inventory'!C:C,"DUARTE",'[1]Raw Inventory'!B:B,A1209)</f>
        <v>0</v>
      </c>
      <c r="AI1209" s="46"/>
      <c r="AJ1209" s="46"/>
      <c r="AK1209" s="43"/>
      <c r="AL1209" s="43"/>
      <c r="AM1209" s="43"/>
      <c r="AN1209" s="43"/>
      <c r="AO1209" s="43"/>
      <c r="AP1209" s="43"/>
      <c r="AQ1209" s="43"/>
      <c r="AR1209" s="43"/>
      <c r="AS1209" s="43"/>
      <c r="AT1209" s="43"/>
    </row>
    <row r="1210" spans="1:46">
      <c r="A1210" s="43" t="s">
        <v>39</v>
      </c>
      <c r="B1210" s="43" t="s">
        <v>98</v>
      </c>
      <c r="C1210" s="43" t="s">
        <v>90</v>
      </c>
      <c r="D1210" s="44" t="s">
        <v>233</v>
      </c>
      <c r="E1210" s="44">
        <v>9</v>
      </c>
      <c r="F1210" s="44" t="s">
        <v>2</v>
      </c>
      <c r="G1210" s="43" t="str">
        <f>IFERROR(VLOOKUP(A1210,'[1]MC Masterlist 2026-09-12'!$B:$M, 3, 0),"")</f>
        <v>HONDA</v>
      </c>
      <c r="H1210" s="45">
        <f>IFERROR(VLOOKUP(A1210,'[1]MC Masterlist 2026-09-12'!$B:$M, 6, 0),"")</f>
        <v>72434</v>
      </c>
      <c r="I1210" s="46">
        <v>2</v>
      </c>
      <c r="J1210" s="46">
        <v>0</v>
      </c>
      <c r="K1210" s="46">
        <v>2</v>
      </c>
      <c r="L1210" s="46">
        <f t="shared" si="270"/>
        <v>4</v>
      </c>
      <c r="M1210" s="46">
        <f t="shared" si="271"/>
        <v>1.3333333333333333</v>
      </c>
      <c r="N1210" s="45">
        <f t="shared" si="272"/>
        <v>289736</v>
      </c>
      <c r="O1210" s="45">
        <f t="shared" si="273"/>
        <v>96578.666666666657</v>
      </c>
      <c r="P1210" s="46">
        <f t="shared" si="274"/>
        <v>4.4444444444444439E-2</v>
      </c>
      <c r="Q1210" s="46"/>
      <c r="R1210" s="45">
        <f t="shared" si="275"/>
        <v>0</v>
      </c>
      <c r="S1210" s="46">
        <f t="shared" si="276"/>
        <v>0</v>
      </c>
      <c r="T1210" s="46">
        <f>IFERROR(VLOOKUP(A1210,'[1]Re-order'!$A:$Q,17,0),"")</f>
        <v>40.982142857142854</v>
      </c>
      <c r="U1210" s="46">
        <f>IFERROR(VLOOKUP(A1210,'[1]MC Masterlist 2026-09-12'!$B:$M, 10, 0),0)</f>
        <v>15</v>
      </c>
      <c r="V1210" s="46">
        <f>IFERROR(VLOOKUP(A1210,'[1]MC Masterlist 2026-09-12'!$B:$M, 11, 0),0)</f>
        <v>15</v>
      </c>
      <c r="W1210" s="46">
        <f t="shared" si="277"/>
        <v>30</v>
      </c>
      <c r="X1210" s="46">
        <f t="shared" si="278"/>
        <v>29.333333333333332</v>
      </c>
      <c r="Y1210" s="46">
        <f>IFERROR(IF(OR(C1210="AREA I",C1210="AREA V"),7,VLOOKUP(A1210,'[1]MC Masterlist 2026-09-12'!$B:$M, 12, 0)),0)</f>
        <v>30</v>
      </c>
      <c r="Z1210" s="46">
        <f t="shared" si="279"/>
        <v>0.66666666666666663</v>
      </c>
      <c r="AA1210" s="46">
        <f t="shared" si="280"/>
        <v>1.3333333333333333</v>
      </c>
      <c r="AB1210" s="46">
        <f t="shared" si="281"/>
        <v>1.3037037037037036</v>
      </c>
      <c r="AC1210" s="46">
        <f t="shared" si="282"/>
        <v>1.3333333333333333</v>
      </c>
      <c r="AD1210" s="44" t="str">
        <f t="shared" si="283"/>
        <v>Stockout</v>
      </c>
      <c r="AE1210" s="44" t="str">
        <f>IFERROR(VLOOKUP(A1210,'[1]Re-order'!$A:$AA,27,0),"")</f>
        <v>Re-order</v>
      </c>
      <c r="AF1210" s="46">
        <f t="shared" si="284"/>
        <v>1.3333333333333333</v>
      </c>
      <c r="AG1210" s="46">
        <f>SUMIFS('[1]Raw Inventory'!D:D,'[1]Raw Inventory'!C:C,"GREATWALL",'[1]Raw Inventory'!B:B,A1210)</f>
        <v>16</v>
      </c>
      <c r="AH1210" s="46">
        <f>SUMIFS('[1]Raw Inventory'!D:D,'[1]Raw Inventory'!C:C,"DUARTE",'[1]Raw Inventory'!B:B,A1210)</f>
        <v>0</v>
      </c>
      <c r="AI1210" s="46"/>
      <c r="AJ1210" s="46"/>
      <c r="AK1210" s="43"/>
      <c r="AL1210" s="43"/>
      <c r="AM1210" s="43"/>
      <c r="AN1210" s="43"/>
      <c r="AO1210" s="43"/>
      <c r="AP1210" s="43"/>
      <c r="AQ1210" s="43"/>
      <c r="AR1210" s="43"/>
      <c r="AS1210" s="43"/>
      <c r="AT1210" s="43"/>
    </row>
    <row r="1211" spans="1:46">
      <c r="A1211" s="43" t="s">
        <v>39</v>
      </c>
      <c r="B1211" s="43" t="s">
        <v>138</v>
      </c>
      <c r="C1211" s="43" t="s">
        <v>137</v>
      </c>
      <c r="D1211" s="44" t="s">
        <v>261</v>
      </c>
      <c r="E1211" s="44">
        <v>16</v>
      </c>
      <c r="F1211" s="44" t="s">
        <v>2</v>
      </c>
      <c r="G1211" s="43" t="str">
        <f>IFERROR(VLOOKUP(A1211,'[1]MC Masterlist 2026-09-12'!$B:$M, 3, 0),"")</f>
        <v>HONDA</v>
      </c>
      <c r="H1211" s="45">
        <f>IFERROR(VLOOKUP(A1211,'[1]MC Masterlist 2026-09-12'!$B:$M, 6, 0),"")</f>
        <v>72434</v>
      </c>
      <c r="I1211" s="46">
        <v>0</v>
      </c>
      <c r="J1211" s="46">
        <v>0</v>
      </c>
      <c r="K1211" s="46">
        <v>0</v>
      </c>
      <c r="L1211" s="46">
        <f t="shared" si="270"/>
        <v>0</v>
      </c>
      <c r="M1211" s="46">
        <f t="shared" si="271"/>
        <v>0</v>
      </c>
      <c r="N1211" s="45">
        <f t="shared" si="272"/>
        <v>0</v>
      </c>
      <c r="O1211" s="45">
        <f t="shared" si="273"/>
        <v>0</v>
      </c>
      <c r="P1211" s="46">
        <f t="shared" si="274"/>
        <v>0</v>
      </c>
      <c r="Q1211" s="46">
        <v>16</v>
      </c>
      <c r="R1211" s="45">
        <f t="shared" si="275"/>
        <v>1158944</v>
      </c>
      <c r="S1211" s="46">
        <f t="shared" si="276"/>
        <v>0</v>
      </c>
      <c r="T1211" s="46">
        <f>IFERROR(VLOOKUP(A1211,'[1]Re-order'!$A:$Q,17,0),"")</f>
        <v>40.982142857142854</v>
      </c>
      <c r="U1211" s="46">
        <f>IFERROR(VLOOKUP(A1211,'[1]MC Masterlist 2026-09-12'!$B:$M, 10, 0),0)</f>
        <v>15</v>
      </c>
      <c r="V1211" s="46">
        <f>IFERROR(VLOOKUP(A1211,'[1]MC Masterlist 2026-09-12'!$B:$M, 11, 0),0)</f>
        <v>15</v>
      </c>
      <c r="W1211" s="46">
        <f t="shared" si="277"/>
        <v>30</v>
      </c>
      <c r="X1211" s="46">
        <f t="shared" si="278"/>
        <v>7</v>
      </c>
      <c r="Y1211" s="46">
        <f>IFERROR(IF(OR(C1211="AREA I",C1211="AREA V"),7,VLOOKUP(A1211,'[1]MC Masterlist 2026-09-12'!$B:$M, 12, 0)),0)</f>
        <v>7</v>
      </c>
      <c r="Z1211" s="46">
        <f t="shared" si="279"/>
        <v>0</v>
      </c>
      <c r="AA1211" s="46">
        <f t="shared" si="280"/>
        <v>0</v>
      </c>
      <c r="AB1211" s="46">
        <f t="shared" si="281"/>
        <v>0</v>
      </c>
      <c r="AC1211" s="46">
        <f t="shared" si="282"/>
        <v>0</v>
      </c>
      <c r="AD1211" s="44" t="str">
        <f t="shared" si="283"/>
        <v>Over</v>
      </c>
      <c r="AE1211" s="44" t="str">
        <f>IFERROR(VLOOKUP(A1211,'[1]Re-order'!$A:$AA,27,0),"")</f>
        <v>Re-order</v>
      </c>
      <c r="AF1211" s="46">
        <f t="shared" si="284"/>
        <v>-16</v>
      </c>
      <c r="AG1211" s="46">
        <f>SUMIFS('[1]Raw Inventory'!D:D,'[1]Raw Inventory'!C:C,"GREATWALL",'[1]Raw Inventory'!B:B,A1211)</f>
        <v>16</v>
      </c>
      <c r="AH1211" s="46">
        <f>SUMIFS('[1]Raw Inventory'!D:D,'[1]Raw Inventory'!C:C,"DUARTE",'[1]Raw Inventory'!B:B,A1211)</f>
        <v>0</v>
      </c>
      <c r="AI1211" s="46"/>
      <c r="AJ1211" s="46"/>
      <c r="AK1211" s="43"/>
      <c r="AL1211" s="43"/>
      <c r="AM1211" s="43"/>
      <c r="AN1211" s="43"/>
      <c r="AO1211" s="43"/>
      <c r="AP1211" s="43"/>
      <c r="AQ1211" s="43"/>
      <c r="AR1211" s="43"/>
      <c r="AS1211" s="43"/>
      <c r="AT1211" s="43"/>
    </row>
    <row r="1212" spans="1:46">
      <c r="A1212" s="43" t="s">
        <v>18</v>
      </c>
      <c r="B1212" s="43" t="s">
        <v>141</v>
      </c>
      <c r="C1212" s="43" t="s">
        <v>137</v>
      </c>
      <c r="D1212" s="44" t="s">
        <v>262</v>
      </c>
      <c r="E1212" s="44">
        <v>17</v>
      </c>
      <c r="F1212" s="44" t="s">
        <v>2</v>
      </c>
      <c r="G1212" s="43" t="str">
        <f>IFERROR(VLOOKUP(A1212,'[1]MC Masterlist 2026-09-12'!$B:$M, 3, 0),"")</f>
        <v>HONDA</v>
      </c>
      <c r="H1212" s="45">
        <f>IFERROR(VLOOKUP(A1212,'[1]MC Masterlist 2026-09-12'!$B:$M, 6, 0),"")</f>
        <v>94330</v>
      </c>
      <c r="I1212" s="46">
        <v>0</v>
      </c>
      <c r="J1212" s="46">
        <v>0</v>
      </c>
      <c r="K1212" s="46">
        <v>4</v>
      </c>
      <c r="L1212" s="46">
        <f t="shared" si="270"/>
        <v>4</v>
      </c>
      <c r="M1212" s="46">
        <f t="shared" si="271"/>
        <v>1.3333333333333333</v>
      </c>
      <c r="N1212" s="45">
        <f t="shared" si="272"/>
        <v>377320</v>
      </c>
      <c r="O1212" s="45">
        <f t="shared" si="273"/>
        <v>125773.33333333333</v>
      </c>
      <c r="P1212" s="46">
        <f t="shared" si="274"/>
        <v>4.4444444444444439E-2</v>
      </c>
      <c r="Q1212" s="46">
        <v>1</v>
      </c>
      <c r="R1212" s="45">
        <f t="shared" si="275"/>
        <v>94330</v>
      </c>
      <c r="S1212" s="46">
        <f t="shared" si="276"/>
        <v>22.5</v>
      </c>
      <c r="T1212" s="46">
        <f>IFERROR(VLOOKUP(A1212,'[1]Re-order'!$A:$Q,17,0),"")</f>
        <v>113.9644970414201</v>
      </c>
      <c r="U1212" s="46">
        <f>IFERROR(VLOOKUP(A1212,'[1]MC Masterlist 2026-09-12'!$B:$M, 10, 0),0)</f>
        <v>15</v>
      </c>
      <c r="V1212" s="46">
        <f>IFERROR(VLOOKUP(A1212,'[1]MC Masterlist 2026-09-12'!$B:$M, 11, 0),0)</f>
        <v>15</v>
      </c>
      <c r="W1212" s="46">
        <f t="shared" si="277"/>
        <v>30</v>
      </c>
      <c r="X1212" s="46">
        <f t="shared" si="278"/>
        <v>6.333333333333333</v>
      </c>
      <c r="Y1212" s="46">
        <f>IFERROR(IF(OR(C1212="AREA I",C1212="AREA V"),7,VLOOKUP(A1212,'[1]MC Masterlist 2026-09-12'!$B:$M, 12, 0)),0)</f>
        <v>7</v>
      </c>
      <c r="Z1212" s="46">
        <f t="shared" si="279"/>
        <v>0.66666666666666663</v>
      </c>
      <c r="AA1212" s="46">
        <f t="shared" si="280"/>
        <v>1.3333333333333333</v>
      </c>
      <c r="AB1212" s="46">
        <f t="shared" si="281"/>
        <v>0.28148148148148144</v>
      </c>
      <c r="AC1212" s="46">
        <f t="shared" si="282"/>
        <v>0.31111111111111106</v>
      </c>
      <c r="AD1212" s="44" t="str">
        <f t="shared" si="283"/>
        <v>Over</v>
      </c>
      <c r="AE1212" s="44" t="str">
        <f>IFERROR(VLOOKUP(A1212,'[1]Re-order'!$A:$AA,27,0),"")</f>
        <v>Over</v>
      </c>
      <c r="AF1212" s="46">
        <f t="shared" si="284"/>
        <v>-0.68888888888888888</v>
      </c>
      <c r="AG1212" s="46">
        <f>SUMIFS('[1]Raw Inventory'!D:D,'[1]Raw Inventory'!C:C,"GREATWALL",'[1]Raw Inventory'!B:B,A1212)</f>
        <v>88</v>
      </c>
      <c r="AH1212" s="46">
        <f>SUMIFS('[1]Raw Inventory'!D:D,'[1]Raw Inventory'!C:C,"DUARTE",'[1]Raw Inventory'!B:B,A1212)</f>
        <v>0</v>
      </c>
      <c r="AI1212" s="46"/>
      <c r="AJ1212" s="46"/>
      <c r="AK1212" s="43"/>
      <c r="AL1212" s="43"/>
      <c r="AM1212" s="43"/>
      <c r="AN1212" s="43"/>
      <c r="AO1212" s="43"/>
      <c r="AP1212" s="43"/>
      <c r="AQ1212" s="43"/>
      <c r="AR1212" s="43"/>
      <c r="AS1212" s="43"/>
      <c r="AT1212" s="43"/>
    </row>
    <row r="1213" spans="1:46">
      <c r="A1213" s="43" t="s">
        <v>40</v>
      </c>
      <c r="B1213" s="43" t="s">
        <v>113</v>
      </c>
      <c r="C1213" s="43" t="s">
        <v>109</v>
      </c>
      <c r="D1213" s="44" t="s">
        <v>226</v>
      </c>
      <c r="E1213" s="44">
        <v>32</v>
      </c>
      <c r="F1213" s="44" t="s">
        <v>3</v>
      </c>
      <c r="G1213" s="43" t="str">
        <f>IFERROR(VLOOKUP(A1213,'[1]MC Masterlist 2026-09-12'!$B:$M, 3, 0),"")</f>
        <v>HONDA</v>
      </c>
      <c r="H1213" s="45">
        <f>IFERROR(VLOOKUP(A1213,'[1]MC Masterlist 2026-09-12'!$B:$M, 6, 0),"")</f>
        <v>56426</v>
      </c>
      <c r="I1213" s="46">
        <v>0</v>
      </c>
      <c r="J1213" s="46">
        <v>1</v>
      </c>
      <c r="K1213" s="46">
        <v>0</v>
      </c>
      <c r="L1213" s="46">
        <f t="shared" si="270"/>
        <v>1</v>
      </c>
      <c r="M1213" s="46">
        <f t="shared" si="271"/>
        <v>0.33333333333333331</v>
      </c>
      <c r="N1213" s="45">
        <f t="shared" si="272"/>
        <v>56426</v>
      </c>
      <c r="O1213" s="45">
        <f t="shared" si="273"/>
        <v>18808.666666666664</v>
      </c>
      <c r="P1213" s="46">
        <f t="shared" si="274"/>
        <v>1.111111111111111E-2</v>
      </c>
      <c r="Q1213" s="46">
        <v>2</v>
      </c>
      <c r="R1213" s="45">
        <f t="shared" si="275"/>
        <v>112852</v>
      </c>
      <c r="S1213" s="46">
        <f t="shared" si="276"/>
        <v>180.00000000000003</v>
      </c>
      <c r="T1213" s="46">
        <f>IFERROR(VLOOKUP(A1213,'[1]Re-order'!$A:$Q,17,0),"")</f>
        <v>139.56521739130434</v>
      </c>
      <c r="U1213" s="46">
        <f>IFERROR(VLOOKUP(A1213,'[1]MC Masterlist 2026-09-12'!$B:$M, 10, 0),0)</f>
        <v>15</v>
      </c>
      <c r="V1213" s="46">
        <f>IFERROR(VLOOKUP(A1213,'[1]MC Masterlist 2026-09-12'!$B:$M, 11, 0),0)</f>
        <v>15</v>
      </c>
      <c r="W1213" s="46">
        <f t="shared" si="277"/>
        <v>30</v>
      </c>
      <c r="X1213" s="46">
        <f t="shared" si="278"/>
        <v>29.833333333333332</v>
      </c>
      <c r="Y1213" s="46">
        <f>IFERROR(IF(OR(C1213="AREA I",C1213="AREA V"),7,VLOOKUP(A1213,'[1]MC Masterlist 2026-09-12'!$B:$M, 12, 0)),0)</f>
        <v>30</v>
      </c>
      <c r="Z1213" s="46">
        <f t="shared" si="279"/>
        <v>0.16666666666666666</v>
      </c>
      <c r="AA1213" s="46">
        <f t="shared" si="280"/>
        <v>0.33333333333333331</v>
      </c>
      <c r="AB1213" s="46">
        <f t="shared" si="281"/>
        <v>0.33148148148148143</v>
      </c>
      <c r="AC1213" s="46">
        <f t="shared" si="282"/>
        <v>0.33333333333333331</v>
      </c>
      <c r="AD1213" s="44" t="str">
        <f t="shared" si="283"/>
        <v>Over</v>
      </c>
      <c r="AE1213" s="44" t="str">
        <f>IFERROR(VLOOKUP(A1213,'[1]Re-order'!$A:$AA,27,0),"")</f>
        <v>Over</v>
      </c>
      <c r="AF1213" s="46">
        <f t="shared" si="284"/>
        <v>-1.6666666666666667</v>
      </c>
      <c r="AG1213" s="46">
        <f>SUMIFS('[1]Raw Inventory'!D:D,'[1]Raw Inventory'!C:C,"GREATWALL",'[1]Raw Inventory'!B:B,A1213)</f>
        <v>45</v>
      </c>
      <c r="AH1213" s="46">
        <f>SUMIFS('[1]Raw Inventory'!D:D,'[1]Raw Inventory'!C:C,"DUARTE",'[1]Raw Inventory'!B:B,A1213)</f>
        <v>0</v>
      </c>
      <c r="AI1213" s="46"/>
      <c r="AJ1213" s="46"/>
      <c r="AK1213" s="43"/>
      <c r="AL1213" s="43"/>
      <c r="AM1213" s="43"/>
      <c r="AN1213" s="43"/>
      <c r="AO1213" s="43"/>
      <c r="AP1213" s="43"/>
      <c r="AQ1213" s="43"/>
      <c r="AR1213" s="43"/>
      <c r="AS1213" s="43"/>
      <c r="AT1213" s="43"/>
    </row>
    <row r="1214" spans="1:46">
      <c r="A1214" s="43" t="s">
        <v>48</v>
      </c>
      <c r="B1214" s="43" t="s">
        <v>138</v>
      </c>
      <c r="C1214" s="43" t="s">
        <v>137</v>
      </c>
      <c r="D1214" s="44" t="s">
        <v>276</v>
      </c>
      <c r="E1214" s="44">
        <v>39</v>
      </c>
      <c r="F1214" s="44" t="s">
        <v>3</v>
      </c>
      <c r="G1214" s="43" t="str">
        <f>IFERROR(VLOOKUP(A1214,'[1]MC Masterlist 2026-09-12'!$B:$M, 3, 0),"")</f>
        <v>SUZUKI</v>
      </c>
      <c r="H1214" s="45">
        <f>IFERROR(VLOOKUP(A1214,'[1]MC Masterlist 2026-09-12'!$B:$M, 6, 0),"")</f>
        <v>82687</v>
      </c>
      <c r="I1214" s="46">
        <v>0</v>
      </c>
      <c r="J1214" s="46">
        <v>0</v>
      </c>
      <c r="K1214" s="46">
        <v>0</v>
      </c>
      <c r="L1214" s="46">
        <f t="shared" si="270"/>
        <v>0</v>
      </c>
      <c r="M1214" s="46">
        <f t="shared" si="271"/>
        <v>0</v>
      </c>
      <c r="N1214" s="45">
        <f t="shared" si="272"/>
        <v>0</v>
      </c>
      <c r="O1214" s="45">
        <f t="shared" si="273"/>
        <v>0</v>
      </c>
      <c r="P1214" s="46">
        <f t="shared" si="274"/>
        <v>0</v>
      </c>
      <c r="Q1214" s="46">
        <v>10</v>
      </c>
      <c r="R1214" s="45">
        <f t="shared" si="275"/>
        <v>826870</v>
      </c>
      <c r="S1214" s="46">
        <f t="shared" si="276"/>
        <v>0</v>
      </c>
      <c r="T1214" s="46">
        <f>IFERROR(VLOOKUP(A1214,'[1]Re-order'!$A:$Q,17,0),"")</f>
        <v>303.75</v>
      </c>
      <c r="U1214" s="46">
        <f>IFERROR(VLOOKUP(A1214,'[1]MC Masterlist 2026-09-12'!$B:$M, 10, 0),0)</f>
        <v>15</v>
      </c>
      <c r="V1214" s="46">
        <f>IFERROR(VLOOKUP(A1214,'[1]MC Masterlist 2026-09-12'!$B:$M, 11, 0),0)</f>
        <v>15</v>
      </c>
      <c r="W1214" s="46">
        <f t="shared" si="277"/>
        <v>30</v>
      </c>
      <c r="X1214" s="46">
        <f t="shared" si="278"/>
        <v>7</v>
      </c>
      <c r="Y1214" s="46">
        <f>IFERROR(IF(OR(C1214="AREA I",C1214="AREA V"),7,VLOOKUP(A1214,'[1]MC Masterlist 2026-09-12'!$B:$M, 12, 0)),0)</f>
        <v>7</v>
      </c>
      <c r="Z1214" s="46">
        <f t="shared" si="279"/>
        <v>0</v>
      </c>
      <c r="AA1214" s="46">
        <f t="shared" si="280"/>
        <v>0</v>
      </c>
      <c r="AB1214" s="46">
        <f t="shared" si="281"/>
        <v>0</v>
      </c>
      <c r="AC1214" s="46">
        <f t="shared" si="282"/>
        <v>0</v>
      </c>
      <c r="AD1214" s="44" t="str">
        <f t="shared" si="283"/>
        <v>Over</v>
      </c>
      <c r="AE1214" s="44" t="str">
        <f>IFERROR(VLOOKUP(A1214,'[1]Re-order'!$A:$AA,27,0),"")</f>
        <v>Over</v>
      </c>
      <c r="AF1214" s="46">
        <f t="shared" si="284"/>
        <v>-10</v>
      </c>
      <c r="AG1214" s="46">
        <f>SUMIFS('[1]Raw Inventory'!D:D,'[1]Raw Inventory'!C:C,"GREATWALL",'[1]Raw Inventory'!B:B,A1214)</f>
        <v>10</v>
      </c>
      <c r="AH1214" s="46">
        <f>SUMIFS('[1]Raw Inventory'!D:D,'[1]Raw Inventory'!C:C,"DUARTE",'[1]Raw Inventory'!B:B,A1214)</f>
        <v>0</v>
      </c>
      <c r="AI1214" s="46"/>
      <c r="AJ1214" s="46"/>
      <c r="AK1214" s="43"/>
      <c r="AL1214" s="43"/>
      <c r="AM1214" s="43"/>
      <c r="AN1214" s="43"/>
      <c r="AO1214" s="43"/>
      <c r="AP1214" s="43"/>
      <c r="AQ1214" s="43"/>
      <c r="AR1214" s="43"/>
      <c r="AS1214" s="43"/>
      <c r="AT1214" s="43"/>
    </row>
    <row r="1215" spans="1:46">
      <c r="A1215" s="43" t="s">
        <v>55</v>
      </c>
      <c r="B1215" s="43" t="s">
        <v>11</v>
      </c>
      <c r="C1215" s="43" t="s">
        <v>1</v>
      </c>
      <c r="D1215" s="44" t="s">
        <v>242</v>
      </c>
      <c r="E1215" s="44">
        <v>23</v>
      </c>
      <c r="F1215" s="44" t="s">
        <v>3</v>
      </c>
      <c r="G1215" s="43" t="str">
        <f>IFERROR(VLOOKUP(A1215,'[1]MC Masterlist 2026-09-12'!$B:$M, 3, 0),"")</f>
        <v>HONDA</v>
      </c>
      <c r="H1215" s="45">
        <f>IFERROR(VLOOKUP(A1215,'[1]MC Masterlist 2026-09-12'!$B:$M, 6, 0),"")</f>
        <v>284880</v>
      </c>
      <c r="I1215" s="46">
        <v>0</v>
      </c>
      <c r="J1215" s="46">
        <v>0</v>
      </c>
      <c r="K1215" s="46">
        <v>0</v>
      </c>
      <c r="L1215" s="46">
        <f t="shared" si="270"/>
        <v>0</v>
      </c>
      <c r="M1215" s="46">
        <f t="shared" si="271"/>
        <v>0</v>
      </c>
      <c r="N1215" s="45">
        <f t="shared" si="272"/>
        <v>0</v>
      </c>
      <c r="O1215" s="45">
        <f t="shared" si="273"/>
        <v>0</v>
      </c>
      <c r="P1215" s="46">
        <f t="shared" si="274"/>
        <v>0</v>
      </c>
      <c r="Q1215" s="46">
        <v>1</v>
      </c>
      <c r="R1215" s="45">
        <f t="shared" si="275"/>
        <v>284880</v>
      </c>
      <c r="S1215" s="46">
        <f t="shared" si="276"/>
        <v>0</v>
      </c>
      <c r="T1215" s="46">
        <f>IFERROR(VLOOKUP(A1215,'[1]Re-order'!$A:$Q,17,0),"")</f>
        <v>720</v>
      </c>
      <c r="U1215" s="46">
        <f>IFERROR(VLOOKUP(A1215,'[1]MC Masterlist 2026-09-12'!$B:$M, 10, 0),0)</f>
        <v>15</v>
      </c>
      <c r="V1215" s="46">
        <f>IFERROR(VLOOKUP(A1215,'[1]MC Masterlist 2026-09-12'!$B:$M, 11, 0),0)</f>
        <v>15</v>
      </c>
      <c r="W1215" s="46">
        <f t="shared" si="277"/>
        <v>30</v>
      </c>
      <c r="X1215" s="46">
        <f t="shared" si="278"/>
        <v>7</v>
      </c>
      <c r="Y1215" s="46">
        <f>IFERROR(IF(OR(C1215="AREA I",C1215="AREA V"),7,VLOOKUP(A1215,'[1]MC Masterlist 2026-09-12'!$B:$M, 12, 0)),0)</f>
        <v>7</v>
      </c>
      <c r="Z1215" s="46">
        <f t="shared" si="279"/>
        <v>0</v>
      </c>
      <c r="AA1215" s="46">
        <f t="shared" si="280"/>
        <v>0</v>
      </c>
      <c r="AB1215" s="46">
        <f t="shared" si="281"/>
        <v>0</v>
      </c>
      <c r="AC1215" s="46">
        <f t="shared" si="282"/>
        <v>0</v>
      </c>
      <c r="AD1215" s="44" t="str">
        <f t="shared" si="283"/>
        <v>Over</v>
      </c>
      <c r="AE1215" s="44" t="str">
        <f>IFERROR(VLOOKUP(A1215,'[1]Re-order'!$A:$AA,27,0),"")</f>
        <v>Over</v>
      </c>
      <c r="AF1215" s="46">
        <f t="shared" si="284"/>
        <v>-1</v>
      </c>
      <c r="AG1215" s="46">
        <f>SUMIFS('[1]Raw Inventory'!D:D,'[1]Raw Inventory'!C:C,"GREATWALL",'[1]Raw Inventory'!B:B,A1215)</f>
        <v>0</v>
      </c>
      <c r="AH1215" s="46">
        <f>SUMIFS('[1]Raw Inventory'!D:D,'[1]Raw Inventory'!C:C,"DUARTE",'[1]Raw Inventory'!B:B,A1215)</f>
        <v>0</v>
      </c>
      <c r="AI1215" s="46"/>
      <c r="AJ1215" s="46"/>
      <c r="AK1215" s="43"/>
      <c r="AL1215" s="43"/>
      <c r="AM1215" s="43"/>
      <c r="AN1215" s="43"/>
      <c r="AO1215" s="43"/>
      <c r="AP1215" s="43"/>
      <c r="AQ1215" s="43"/>
      <c r="AR1215" s="43"/>
      <c r="AS1215" s="43"/>
      <c r="AT1215" s="43"/>
    </row>
    <row r="1216" spans="1:46">
      <c r="A1216" s="43" t="s">
        <v>20</v>
      </c>
      <c r="B1216" s="43" t="s">
        <v>27</v>
      </c>
      <c r="C1216" s="43" t="s">
        <v>1</v>
      </c>
      <c r="D1216" s="44" t="s">
        <v>240</v>
      </c>
      <c r="E1216" s="44">
        <v>12</v>
      </c>
      <c r="F1216" s="44" t="s">
        <v>2</v>
      </c>
      <c r="G1216" s="43" t="str">
        <f>IFERROR(VLOOKUP(A1216,'[1]MC Masterlist 2026-09-12'!$B:$M, 3, 0),"")</f>
        <v>HONDA</v>
      </c>
      <c r="H1216" s="45">
        <f>IFERROR(VLOOKUP(A1216,'[1]MC Masterlist 2026-09-12'!$B:$M, 6, 0),"")</f>
        <v>69950</v>
      </c>
      <c r="I1216" s="46">
        <v>8</v>
      </c>
      <c r="J1216" s="46">
        <v>1</v>
      </c>
      <c r="K1216" s="46">
        <v>4</v>
      </c>
      <c r="L1216" s="46">
        <f t="shared" si="270"/>
        <v>13</v>
      </c>
      <c r="M1216" s="46">
        <f t="shared" si="271"/>
        <v>4.333333333333333</v>
      </c>
      <c r="N1216" s="45">
        <f t="shared" si="272"/>
        <v>909350</v>
      </c>
      <c r="O1216" s="45">
        <f t="shared" si="273"/>
        <v>303116.66666666663</v>
      </c>
      <c r="P1216" s="46">
        <f t="shared" si="274"/>
        <v>0.14444444444444443</v>
      </c>
      <c r="Q1216" s="46">
        <v>4</v>
      </c>
      <c r="R1216" s="45">
        <f t="shared" si="275"/>
        <v>279800</v>
      </c>
      <c r="S1216" s="46">
        <f t="shared" si="276"/>
        <v>27.692307692307697</v>
      </c>
      <c r="T1216" s="46">
        <f>IFERROR(VLOOKUP(A1216,'[1]Re-order'!$A:$Q,17,0),"")</f>
        <v>75.775862068965523</v>
      </c>
      <c r="U1216" s="46">
        <f>IFERROR(VLOOKUP(A1216,'[1]MC Masterlist 2026-09-12'!$B:$M, 10, 0),0)</f>
        <v>15</v>
      </c>
      <c r="V1216" s="46">
        <f>IFERROR(VLOOKUP(A1216,'[1]MC Masterlist 2026-09-12'!$B:$M, 11, 0),0)</f>
        <v>15</v>
      </c>
      <c r="W1216" s="46">
        <f t="shared" si="277"/>
        <v>30</v>
      </c>
      <c r="X1216" s="46">
        <f t="shared" si="278"/>
        <v>4.8333333333333339</v>
      </c>
      <c r="Y1216" s="46">
        <f>IFERROR(IF(OR(C1216="AREA I",C1216="AREA V"),7,VLOOKUP(A1216,'[1]MC Masterlist 2026-09-12'!$B:$M, 12, 0)),0)</f>
        <v>7</v>
      </c>
      <c r="Z1216" s="46">
        <f t="shared" si="279"/>
        <v>2.1666666666666665</v>
      </c>
      <c r="AA1216" s="46">
        <f t="shared" si="280"/>
        <v>4.333333333333333</v>
      </c>
      <c r="AB1216" s="46">
        <f t="shared" si="281"/>
        <v>0.69814814814814818</v>
      </c>
      <c r="AC1216" s="46">
        <f t="shared" si="282"/>
        <v>1.0111111111111111</v>
      </c>
      <c r="AD1216" s="44" t="str">
        <f t="shared" si="283"/>
        <v>Over</v>
      </c>
      <c r="AE1216" s="44" t="str">
        <f>IFERROR(VLOOKUP(A1216,'[1]Re-order'!$A:$AA,27,0),"")</f>
        <v/>
      </c>
      <c r="AF1216" s="46">
        <f t="shared" si="284"/>
        <v>-2.9888888888888889</v>
      </c>
      <c r="AG1216" s="46">
        <f>SUMIFS('[1]Raw Inventory'!D:D,'[1]Raw Inventory'!C:C,"GREATWALL",'[1]Raw Inventory'!B:B,A1216)</f>
        <v>110</v>
      </c>
      <c r="AH1216" s="46">
        <f>SUMIFS('[1]Raw Inventory'!D:D,'[1]Raw Inventory'!C:C,"DUARTE",'[1]Raw Inventory'!B:B,A1216)</f>
        <v>0</v>
      </c>
      <c r="AI1216" s="46"/>
      <c r="AJ1216" s="46"/>
      <c r="AK1216" s="43"/>
      <c r="AL1216" s="43"/>
      <c r="AM1216" s="43"/>
      <c r="AN1216" s="43"/>
      <c r="AO1216" s="43"/>
      <c r="AP1216" s="43"/>
      <c r="AQ1216" s="43"/>
      <c r="AR1216" s="43"/>
      <c r="AS1216" s="43"/>
      <c r="AT1216" s="43"/>
    </row>
    <row r="1217" spans="1:46">
      <c r="A1217" s="43" t="s">
        <v>46</v>
      </c>
      <c r="B1217" s="43" t="s">
        <v>153</v>
      </c>
      <c r="C1217" s="43" t="s">
        <v>152</v>
      </c>
      <c r="D1217" s="44" t="s">
        <v>265</v>
      </c>
      <c r="E1217" s="44">
        <v>20</v>
      </c>
      <c r="F1217" s="44" t="s">
        <v>3</v>
      </c>
      <c r="G1217" s="43" t="str">
        <f>IFERROR(VLOOKUP(A1217,'[1]MC Masterlist 2026-09-12'!$B:$M, 3, 0),"")</f>
        <v>HONDA</v>
      </c>
      <c r="H1217" s="45">
        <f>IFERROR(VLOOKUP(A1217,'[1]MC Masterlist 2026-09-12'!$B:$M, 6, 0),"")</f>
        <v>73630</v>
      </c>
      <c r="I1217" s="46">
        <v>0</v>
      </c>
      <c r="J1217" s="46">
        <v>0</v>
      </c>
      <c r="K1217" s="46">
        <v>0</v>
      </c>
      <c r="L1217" s="46">
        <f t="shared" si="270"/>
        <v>0</v>
      </c>
      <c r="M1217" s="46">
        <f t="shared" si="271"/>
        <v>0</v>
      </c>
      <c r="N1217" s="45">
        <f t="shared" si="272"/>
        <v>0</v>
      </c>
      <c r="O1217" s="45">
        <f t="shared" si="273"/>
        <v>0</v>
      </c>
      <c r="P1217" s="46">
        <f t="shared" si="274"/>
        <v>0</v>
      </c>
      <c r="Q1217" s="46">
        <v>1</v>
      </c>
      <c r="R1217" s="45">
        <f t="shared" si="275"/>
        <v>73630</v>
      </c>
      <c r="S1217" s="46">
        <f t="shared" si="276"/>
        <v>0</v>
      </c>
      <c r="T1217" s="46">
        <f>IFERROR(VLOOKUP(A1217,'[1]Re-order'!$A:$Q,17,0),"")</f>
        <v>51</v>
      </c>
      <c r="U1217" s="46">
        <f>IFERROR(VLOOKUP(A1217,'[1]MC Masterlist 2026-09-12'!$B:$M, 10, 0),0)</f>
        <v>15</v>
      </c>
      <c r="V1217" s="46">
        <f>IFERROR(VLOOKUP(A1217,'[1]MC Masterlist 2026-09-12'!$B:$M, 11, 0),0)</f>
        <v>15</v>
      </c>
      <c r="W1217" s="46">
        <f t="shared" si="277"/>
        <v>30</v>
      </c>
      <c r="X1217" s="46">
        <f t="shared" si="278"/>
        <v>30</v>
      </c>
      <c r="Y1217" s="46">
        <f>IFERROR(IF(OR(C1217="AREA I",C1217="AREA V"),7,VLOOKUP(A1217,'[1]MC Masterlist 2026-09-12'!$B:$M, 12, 0)),0)</f>
        <v>30</v>
      </c>
      <c r="Z1217" s="46">
        <f t="shared" si="279"/>
        <v>0</v>
      </c>
      <c r="AA1217" s="46">
        <f t="shared" si="280"/>
        <v>0</v>
      </c>
      <c r="AB1217" s="46">
        <f t="shared" si="281"/>
        <v>0</v>
      </c>
      <c r="AC1217" s="46">
        <f t="shared" si="282"/>
        <v>0</v>
      </c>
      <c r="AD1217" s="44" t="str">
        <f t="shared" si="283"/>
        <v>Over</v>
      </c>
      <c r="AE1217" s="44" t="str">
        <f>IFERROR(VLOOKUP(A1217,'[1]Re-order'!$A:$AA,27,0),"")</f>
        <v>Re-order</v>
      </c>
      <c r="AF1217" s="46">
        <f t="shared" si="284"/>
        <v>-1</v>
      </c>
      <c r="AG1217" s="46">
        <f>SUMIFS('[1]Raw Inventory'!D:D,'[1]Raw Inventory'!C:C,"GREATWALL",'[1]Raw Inventory'!B:B,A1217)</f>
        <v>0</v>
      </c>
      <c r="AH1217" s="46">
        <f>SUMIFS('[1]Raw Inventory'!D:D,'[1]Raw Inventory'!C:C,"DUARTE",'[1]Raw Inventory'!B:B,A1217)</f>
        <v>0</v>
      </c>
      <c r="AI1217" s="46"/>
      <c r="AJ1217" s="46"/>
      <c r="AK1217" s="43"/>
      <c r="AL1217" s="43"/>
      <c r="AM1217" s="43"/>
      <c r="AN1217" s="43"/>
      <c r="AO1217" s="43"/>
      <c r="AP1217" s="43"/>
      <c r="AQ1217" s="43"/>
      <c r="AR1217" s="43"/>
      <c r="AS1217" s="43"/>
      <c r="AT1217" s="43"/>
    </row>
    <row r="1218" spans="1:46">
      <c r="A1218" s="43" t="s">
        <v>73</v>
      </c>
      <c r="B1218" s="43" t="s">
        <v>141</v>
      </c>
      <c r="C1218" s="43" t="s">
        <v>137</v>
      </c>
      <c r="D1218" s="44" t="s">
        <v>246</v>
      </c>
      <c r="E1218" s="44">
        <v>14</v>
      </c>
      <c r="F1218" s="44" t="s">
        <v>2</v>
      </c>
      <c r="G1218" s="43" t="str">
        <f>IFERROR(VLOOKUP(A1218,'[1]MC Masterlist 2026-09-12'!$B:$M, 3, 0),"")</f>
        <v>SUZUKI</v>
      </c>
      <c r="H1218" s="45">
        <f>IFERROR(VLOOKUP(A1218,'[1]MC Masterlist 2026-09-12'!$B:$M, 6, 0),"")</f>
        <v>122770</v>
      </c>
      <c r="I1218" s="46">
        <v>0</v>
      </c>
      <c r="J1218" s="46">
        <v>2</v>
      </c>
      <c r="K1218" s="46">
        <v>2</v>
      </c>
      <c r="L1218" s="46">
        <f t="shared" si="270"/>
        <v>4</v>
      </c>
      <c r="M1218" s="46">
        <f t="shared" si="271"/>
        <v>1.3333333333333333</v>
      </c>
      <c r="N1218" s="45">
        <f t="shared" si="272"/>
        <v>491080</v>
      </c>
      <c r="O1218" s="45">
        <f t="shared" si="273"/>
        <v>163693.33333333331</v>
      </c>
      <c r="P1218" s="46">
        <f t="shared" si="274"/>
        <v>4.4444444444444439E-2</v>
      </c>
      <c r="Q1218" s="46">
        <v>3</v>
      </c>
      <c r="R1218" s="45">
        <f t="shared" si="275"/>
        <v>368310</v>
      </c>
      <c r="S1218" s="46">
        <f t="shared" si="276"/>
        <v>67.500000000000014</v>
      </c>
      <c r="T1218" s="46">
        <f>IFERROR(VLOOKUP(A1218,'[1]Re-order'!$A:$Q,17,0),"")</f>
        <v>787.50000000000011</v>
      </c>
      <c r="U1218" s="46">
        <f>IFERROR(VLOOKUP(A1218,'[1]MC Masterlist 2026-09-12'!$B:$M, 10, 0),0)</f>
        <v>15</v>
      </c>
      <c r="V1218" s="46">
        <f>IFERROR(VLOOKUP(A1218,'[1]MC Masterlist 2026-09-12'!$B:$M, 11, 0),0)</f>
        <v>15</v>
      </c>
      <c r="W1218" s="46">
        <f t="shared" si="277"/>
        <v>30</v>
      </c>
      <c r="X1218" s="46">
        <f t="shared" si="278"/>
        <v>6.333333333333333</v>
      </c>
      <c r="Y1218" s="46">
        <f>IFERROR(IF(OR(C1218="AREA I",C1218="AREA V"),7,VLOOKUP(A1218,'[1]MC Masterlist 2026-09-12'!$B:$M, 12, 0)),0)</f>
        <v>7</v>
      </c>
      <c r="Z1218" s="46">
        <f t="shared" si="279"/>
        <v>0.66666666666666663</v>
      </c>
      <c r="AA1218" s="46">
        <f t="shared" si="280"/>
        <v>1.3333333333333333</v>
      </c>
      <c r="AB1218" s="46">
        <f t="shared" si="281"/>
        <v>0.28148148148148144</v>
      </c>
      <c r="AC1218" s="46">
        <f t="shared" si="282"/>
        <v>0.31111111111111106</v>
      </c>
      <c r="AD1218" s="44" t="str">
        <f t="shared" si="283"/>
        <v>Over</v>
      </c>
      <c r="AE1218" s="44" t="str">
        <f>IFERROR(VLOOKUP(A1218,'[1]Re-order'!$A:$AA,27,0),"")</f>
        <v>Over</v>
      </c>
      <c r="AF1218" s="46">
        <f t="shared" si="284"/>
        <v>-2.6888888888888891</v>
      </c>
      <c r="AG1218" s="46">
        <f>SUMIFS('[1]Raw Inventory'!D:D,'[1]Raw Inventory'!C:C,"GREATWALL",'[1]Raw Inventory'!B:B,A1218)</f>
        <v>9</v>
      </c>
      <c r="AH1218" s="46">
        <f>SUMIFS('[1]Raw Inventory'!D:D,'[1]Raw Inventory'!C:C,"DUARTE",'[1]Raw Inventory'!B:B,A1218)</f>
        <v>0</v>
      </c>
      <c r="AI1218" s="46"/>
      <c r="AJ1218" s="46"/>
      <c r="AK1218" s="43"/>
      <c r="AL1218" s="43"/>
      <c r="AM1218" s="43"/>
      <c r="AN1218" s="43"/>
      <c r="AO1218" s="43"/>
      <c r="AP1218" s="43"/>
      <c r="AQ1218" s="43"/>
      <c r="AR1218" s="43"/>
      <c r="AS1218" s="43"/>
      <c r="AT1218" s="43"/>
    </row>
    <row r="1219" spans="1:46">
      <c r="A1219" s="43" t="s">
        <v>77</v>
      </c>
      <c r="B1219" s="43" t="s">
        <v>162</v>
      </c>
      <c r="C1219" s="43" t="s">
        <v>159</v>
      </c>
      <c r="D1219" s="44" t="s">
        <v>272</v>
      </c>
      <c r="E1219" s="44">
        <v>26</v>
      </c>
      <c r="F1219" s="44" t="s">
        <v>3</v>
      </c>
      <c r="G1219" s="43" t="str">
        <f>IFERROR(VLOOKUP(A1219,'[1]MC Masterlist 2026-09-12'!$B:$M, 3, 0),"")</f>
        <v>SUZUKI</v>
      </c>
      <c r="H1219" s="45">
        <f>IFERROR(VLOOKUP(A1219,'[1]MC Masterlist 2026-09-12'!$B:$M, 6, 0),"")</f>
        <v>91057</v>
      </c>
      <c r="I1219" s="46">
        <v>0</v>
      </c>
      <c r="J1219" s="46">
        <v>0</v>
      </c>
      <c r="K1219" s="46">
        <v>0</v>
      </c>
      <c r="L1219" s="46">
        <f t="shared" ref="L1219:L1282" si="285">I1219+J1219+K1219</f>
        <v>0</v>
      </c>
      <c r="M1219" s="46">
        <f t="shared" ref="M1219:M1282" si="286">AVERAGE(I1219,J1219,K1219)</f>
        <v>0</v>
      </c>
      <c r="N1219" s="45">
        <f t="shared" ref="N1219:N1282" si="287">L1219*H1219</f>
        <v>0</v>
      </c>
      <c r="O1219" s="45">
        <f t="shared" ref="O1219:O1282" si="288">M1219*H1219</f>
        <v>0</v>
      </c>
      <c r="P1219" s="46">
        <f t="shared" ref="P1219:P1282" si="289">M1219/30</f>
        <v>0</v>
      </c>
      <c r="Q1219" s="46">
        <v>2</v>
      </c>
      <c r="R1219" s="45">
        <f t="shared" ref="R1219:R1282" si="290">IFERROR(Q1219*H1219, 0)</f>
        <v>182114</v>
      </c>
      <c r="S1219" s="46">
        <f t="shared" ref="S1219:S1282" si="291">IFERROR(R1219/(O1219)*30, 0)</f>
        <v>0</v>
      </c>
      <c r="T1219" s="46">
        <f>IFERROR(VLOOKUP(A1219,'[1]Re-order'!$A:$Q,17,0),"")</f>
        <v>1125</v>
      </c>
      <c r="U1219" s="46">
        <f>IFERROR(VLOOKUP(A1219,'[1]MC Masterlist 2026-09-12'!$B:$M, 10, 0),0)</f>
        <v>15</v>
      </c>
      <c r="V1219" s="46">
        <f>IFERROR(VLOOKUP(A1219,'[1]MC Masterlist 2026-09-12'!$B:$M, 11, 0),0)</f>
        <v>15</v>
      </c>
      <c r="W1219" s="46">
        <f t="shared" ref="W1219:W1282" si="292">U1219+V1219</f>
        <v>30</v>
      </c>
      <c r="X1219" s="46">
        <f t="shared" ref="X1219:X1282" si="293">Y1219-Z1219</f>
        <v>30</v>
      </c>
      <c r="Y1219" s="46">
        <f>IFERROR(IF(OR(C1219="AREA I",C1219="AREA V"),7,VLOOKUP(A1219,'[1]MC Masterlist 2026-09-12'!$B:$M, 12, 0)),0)</f>
        <v>30</v>
      </c>
      <c r="Z1219" s="46">
        <f t="shared" ref="Z1219:Z1282" si="294">V1219*P1219</f>
        <v>0</v>
      </c>
      <c r="AA1219" s="46">
        <f t="shared" ref="AA1219:AA1282" si="295">W1219*P1219</f>
        <v>0</v>
      </c>
      <c r="AB1219" s="46">
        <f t="shared" ref="AB1219:AB1282" si="296">X1219*P1219</f>
        <v>0</v>
      </c>
      <c r="AC1219" s="46">
        <f t="shared" ref="AC1219:AC1282" si="297">Y1219*P1219</f>
        <v>0</v>
      </c>
      <c r="AD1219" s="44" t="str">
        <f t="shared" ref="AD1219:AD1282" si="298">IFERROR(IF(Q1219&gt;AC1219, "Over", IF(Q1219&lt;=Z1219, "Stockout", IF(Q1219&lt;=AA1219, "Re-order",""))), "")</f>
        <v>Over</v>
      </c>
      <c r="AE1219" s="44" t="str">
        <f>IFERROR(VLOOKUP(A1219,'[1]Re-order'!$A:$AA,27,0),"")</f>
        <v>Over</v>
      </c>
      <c r="AF1219" s="46">
        <f t="shared" ref="AF1219:AF1282" si="299">AC1219-Q1219</f>
        <v>-2</v>
      </c>
      <c r="AG1219" s="46">
        <f>SUMIFS('[1]Raw Inventory'!D:D,'[1]Raw Inventory'!C:C,"GREATWALL",'[1]Raw Inventory'!B:B,A1219)</f>
        <v>13</v>
      </c>
      <c r="AH1219" s="46">
        <f>SUMIFS('[1]Raw Inventory'!D:D,'[1]Raw Inventory'!C:C,"DUARTE",'[1]Raw Inventory'!B:B,A1219)</f>
        <v>0</v>
      </c>
      <c r="AI1219" s="46"/>
      <c r="AJ1219" s="46"/>
      <c r="AK1219" s="43"/>
      <c r="AL1219" s="43"/>
      <c r="AM1219" s="43"/>
      <c r="AN1219" s="43"/>
      <c r="AO1219" s="43"/>
      <c r="AP1219" s="43"/>
      <c r="AQ1219" s="43"/>
      <c r="AR1219" s="43"/>
      <c r="AS1219" s="43"/>
      <c r="AT1219" s="43"/>
    </row>
    <row r="1220" spans="1:46">
      <c r="A1220" s="43" t="s">
        <v>38</v>
      </c>
      <c r="B1220" s="43" t="s">
        <v>160</v>
      </c>
      <c r="C1220" s="43" t="s">
        <v>159</v>
      </c>
      <c r="D1220" s="44" t="s">
        <v>230</v>
      </c>
      <c r="E1220" s="44">
        <v>6</v>
      </c>
      <c r="F1220" s="44" t="s">
        <v>0</v>
      </c>
      <c r="G1220" s="43" t="str">
        <f>IFERROR(VLOOKUP(A1220,'[1]MC Masterlist 2026-09-12'!$B:$M, 3, 0),"")</f>
        <v>HONDA</v>
      </c>
      <c r="H1220" s="45">
        <f>IFERROR(VLOOKUP(A1220,'[1]MC Masterlist 2026-09-12'!$B:$M, 6, 0),"")</f>
        <v>165630</v>
      </c>
      <c r="I1220" s="46">
        <v>1</v>
      </c>
      <c r="J1220" s="46">
        <v>2</v>
      </c>
      <c r="K1220" s="46">
        <v>0</v>
      </c>
      <c r="L1220" s="46">
        <f t="shared" si="285"/>
        <v>3</v>
      </c>
      <c r="M1220" s="46">
        <f t="shared" si="286"/>
        <v>1</v>
      </c>
      <c r="N1220" s="45">
        <f t="shared" si="287"/>
        <v>496890</v>
      </c>
      <c r="O1220" s="45">
        <f t="shared" si="288"/>
        <v>165630</v>
      </c>
      <c r="P1220" s="46">
        <f t="shared" si="289"/>
        <v>3.3333333333333333E-2</v>
      </c>
      <c r="Q1220" s="46"/>
      <c r="R1220" s="45">
        <f t="shared" si="290"/>
        <v>0</v>
      </c>
      <c r="S1220" s="46">
        <f t="shared" si="291"/>
        <v>0</v>
      </c>
      <c r="T1220" s="46">
        <f>IFERROR(VLOOKUP(A1220,'[1]Re-order'!$A:$Q,17,0),"")</f>
        <v>60</v>
      </c>
      <c r="U1220" s="46">
        <f>IFERROR(VLOOKUP(A1220,'[1]MC Masterlist 2026-09-12'!$B:$M, 10, 0),0)</f>
        <v>15</v>
      </c>
      <c r="V1220" s="46">
        <f>IFERROR(VLOOKUP(A1220,'[1]MC Masterlist 2026-09-12'!$B:$M, 11, 0),0)</f>
        <v>15</v>
      </c>
      <c r="W1220" s="46">
        <f t="shared" si="292"/>
        <v>30</v>
      </c>
      <c r="X1220" s="46">
        <f t="shared" si="293"/>
        <v>29.5</v>
      </c>
      <c r="Y1220" s="46">
        <f>IFERROR(IF(OR(C1220="AREA I",C1220="AREA V"),7,VLOOKUP(A1220,'[1]MC Masterlist 2026-09-12'!$B:$M, 12, 0)),0)</f>
        <v>30</v>
      </c>
      <c r="Z1220" s="46">
        <f t="shared" si="294"/>
        <v>0.5</v>
      </c>
      <c r="AA1220" s="46">
        <f t="shared" si="295"/>
        <v>1</v>
      </c>
      <c r="AB1220" s="46">
        <f t="shared" si="296"/>
        <v>0.98333333333333328</v>
      </c>
      <c r="AC1220" s="46">
        <f t="shared" si="297"/>
        <v>1</v>
      </c>
      <c r="AD1220" s="44" t="str">
        <f t="shared" si="298"/>
        <v>Stockout</v>
      </c>
      <c r="AE1220" s="44" t="str">
        <f>IFERROR(VLOOKUP(A1220,'[1]Re-order'!$A:$AA,27,0),"")</f>
        <v>Re-order</v>
      </c>
      <c r="AF1220" s="46">
        <f t="shared" si="299"/>
        <v>1</v>
      </c>
      <c r="AG1220" s="46">
        <f>SUMIFS('[1]Raw Inventory'!D:D,'[1]Raw Inventory'!C:C,"GREATWALL",'[1]Raw Inventory'!B:B,A1220)</f>
        <v>6</v>
      </c>
      <c r="AH1220" s="46">
        <f>SUMIFS('[1]Raw Inventory'!D:D,'[1]Raw Inventory'!C:C,"DUARTE",'[1]Raw Inventory'!B:B,A1220)</f>
        <v>0</v>
      </c>
      <c r="AI1220" s="46"/>
      <c r="AJ1220" s="46"/>
      <c r="AK1220" s="43"/>
      <c r="AL1220" s="43"/>
      <c r="AM1220" s="43"/>
      <c r="AN1220" s="43"/>
      <c r="AO1220" s="43"/>
      <c r="AP1220" s="43"/>
      <c r="AQ1220" s="43"/>
      <c r="AR1220" s="43"/>
      <c r="AS1220" s="43"/>
      <c r="AT1220" s="43"/>
    </row>
    <row r="1221" spans="1:46">
      <c r="A1221" s="43" t="s">
        <v>71</v>
      </c>
      <c r="B1221" s="43" t="s">
        <v>130</v>
      </c>
      <c r="C1221" s="43" t="s">
        <v>128</v>
      </c>
      <c r="D1221" s="44" t="s">
        <v>242</v>
      </c>
      <c r="E1221" s="44">
        <v>30</v>
      </c>
      <c r="F1221" s="44" t="s">
        <v>3</v>
      </c>
      <c r="G1221" s="43" t="str">
        <f>IFERROR(VLOOKUP(A1221,'[1]MC Masterlist 2026-09-12'!$B:$M, 3, 0),"")</f>
        <v>SUZUKI</v>
      </c>
      <c r="H1221" s="45">
        <f>IFERROR(VLOOKUP(A1221,'[1]MC Masterlist 2026-09-12'!$B:$M, 6, 0),"")</f>
        <v>156250</v>
      </c>
      <c r="I1221" s="46">
        <v>0</v>
      </c>
      <c r="J1221" s="46">
        <v>0</v>
      </c>
      <c r="K1221" s="46">
        <v>0</v>
      </c>
      <c r="L1221" s="46">
        <f t="shared" si="285"/>
        <v>0</v>
      </c>
      <c r="M1221" s="46">
        <f t="shared" si="286"/>
        <v>0</v>
      </c>
      <c r="N1221" s="45">
        <f t="shared" si="287"/>
        <v>0</v>
      </c>
      <c r="O1221" s="45">
        <f t="shared" si="288"/>
        <v>0</v>
      </c>
      <c r="P1221" s="46">
        <f t="shared" si="289"/>
        <v>0</v>
      </c>
      <c r="Q1221" s="46">
        <v>1</v>
      </c>
      <c r="R1221" s="45">
        <f t="shared" si="290"/>
        <v>156250</v>
      </c>
      <c r="S1221" s="46">
        <f t="shared" si="291"/>
        <v>0</v>
      </c>
      <c r="T1221" s="46">
        <f>IFERROR(VLOOKUP(A1221,'[1]Re-order'!$A:$Q,17,0),"")</f>
        <v>612</v>
      </c>
      <c r="U1221" s="46">
        <f>IFERROR(VLOOKUP(A1221,'[1]MC Masterlist 2026-09-12'!$B:$M, 10, 0),0)</f>
        <v>15</v>
      </c>
      <c r="V1221" s="46">
        <f>IFERROR(VLOOKUP(A1221,'[1]MC Masterlist 2026-09-12'!$B:$M, 11, 0),0)</f>
        <v>15</v>
      </c>
      <c r="W1221" s="46">
        <f t="shared" si="292"/>
        <v>30</v>
      </c>
      <c r="X1221" s="46">
        <f t="shared" si="293"/>
        <v>30</v>
      </c>
      <c r="Y1221" s="46">
        <f>IFERROR(IF(OR(C1221="AREA I",C1221="AREA V"),7,VLOOKUP(A1221,'[1]MC Masterlist 2026-09-12'!$B:$M, 12, 0)),0)</f>
        <v>30</v>
      </c>
      <c r="Z1221" s="46">
        <f t="shared" si="294"/>
        <v>0</v>
      </c>
      <c r="AA1221" s="46">
        <f t="shared" si="295"/>
        <v>0</v>
      </c>
      <c r="AB1221" s="46">
        <f t="shared" si="296"/>
        <v>0</v>
      </c>
      <c r="AC1221" s="46">
        <f t="shared" si="297"/>
        <v>0</v>
      </c>
      <c r="AD1221" s="44" t="str">
        <f t="shared" si="298"/>
        <v>Over</v>
      </c>
      <c r="AE1221" s="44" t="str">
        <f>IFERROR(VLOOKUP(A1221,'[1]Re-order'!$A:$AA,27,0),"")</f>
        <v>Over</v>
      </c>
      <c r="AF1221" s="46">
        <f t="shared" si="299"/>
        <v>-1</v>
      </c>
      <c r="AG1221" s="46">
        <f>SUMIFS('[1]Raw Inventory'!D:D,'[1]Raw Inventory'!C:C,"GREATWALL",'[1]Raw Inventory'!B:B,A1221)</f>
        <v>13</v>
      </c>
      <c r="AH1221" s="46">
        <f>SUMIFS('[1]Raw Inventory'!D:D,'[1]Raw Inventory'!C:C,"DUARTE",'[1]Raw Inventory'!B:B,A1221)</f>
        <v>0</v>
      </c>
      <c r="AI1221" s="46"/>
      <c r="AJ1221" s="46"/>
      <c r="AK1221" s="43"/>
      <c r="AL1221" s="43"/>
      <c r="AM1221" s="43"/>
      <c r="AN1221" s="43"/>
      <c r="AO1221" s="43"/>
      <c r="AP1221" s="43"/>
      <c r="AQ1221" s="43"/>
      <c r="AR1221" s="43"/>
      <c r="AS1221" s="43"/>
      <c r="AT1221" s="43"/>
    </row>
    <row r="1222" spans="1:46">
      <c r="A1222" s="43" t="s">
        <v>66</v>
      </c>
      <c r="B1222" s="43" t="s">
        <v>119</v>
      </c>
      <c r="C1222" s="43" t="s">
        <v>118</v>
      </c>
      <c r="D1222" s="44" t="s">
        <v>243</v>
      </c>
      <c r="E1222" s="44">
        <v>19</v>
      </c>
      <c r="F1222" s="44" t="s">
        <v>2</v>
      </c>
      <c r="G1222" s="43" t="str">
        <f>IFERROR(VLOOKUP(A1222,'[1]MC Masterlist 2026-09-12'!$B:$M, 3, 0),"")</f>
        <v>KAWASAKI</v>
      </c>
      <c r="H1222" s="45">
        <f>IFERROR(VLOOKUP(A1222,'[1]MC Masterlist 2026-09-12'!$B:$M, 6, 0),"")</f>
        <v>95530</v>
      </c>
      <c r="I1222" s="46">
        <v>1</v>
      </c>
      <c r="J1222" s="46">
        <v>0</v>
      </c>
      <c r="K1222" s="46">
        <v>1</v>
      </c>
      <c r="L1222" s="46">
        <f t="shared" si="285"/>
        <v>2</v>
      </c>
      <c r="M1222" s="46">
        <f t="shared" si="286"/>
        <v>0.66666666666666663</v>
      </c>
      <c r="N1222" s="45">
        <f t="shared" si="287"/>
        <v>191060</v>
      </c>
      <c r="O1222" s="45">
        <f t="shared" si="288"/>
        <v>63686.666666666664</v>
      </c>
      <c r="P1222" s="46">
        <f t="shared" si="289"/>
        <v>2.222222222222222E-2</v>
      </c>
      <c r="Q1222" s="46">
        <v>2</v>
      </c>
      <c r="R1222" s="45">
        <f t="shared" si="290"/>
        <v>191060</v>
      </c>
      <c r="S1222" s="46">
        <f t="shared" si="291"/>
        <v>90</v>
      </c>
      <c r="T1222" s="46">
        <f>IFERROR(VLOOKUP(A1222,'[1]Re-order'!$A:$Q,17,0),"")</f>
        <v>112.7848101265823</v>
      </c>
      <c r="U1222" s="46">
        <f>IFERROR(VLOOKUP(A1222,'[1]MC Masterlist 2026-09-12'!$B:$M, 10, 0),0)</f>
        <v>15</v>
      </c>
      <c r="V1222" s="46">
        <f>IFERROR(VLOOKUP(A1222,'[1]MC Masterlist 2026-09-12'!$B:$M, 11, 0),0)</f>
        <v>15</v>
      </c>
      <c r="W1222" s="46">
        <f t="shared" si="292"/>
        <v>30</v>
      </c>
      <c r="X1222" s="46">
        <f t="shared" si="293"/>
        <v>29.666666666666668</v>
      </c>
      <c r="Y1222" s="46">
        <f>IFERROR(IF(OR(C1222="AREA I",C1222="AREA V"),7,VLOOKUP(A1222,'[1]MC Masterlist 2026-09-12'!$B:$M, 12, 0)),0)</f>
        <v>30</v>
      </c>
      <c r="Z1222" s="46">
        <f t="shared" si="294"/>
        <v>0.33333333333333331</v>
      </c>
      <c r="AA1222" s="46">
        <f t="shared" si="295"/>
        <v>0.66666666666666663</v>
      </c>
      <c r="AB1222" s="46">
        <f t="shared" si="296"/>
        <v>0.65925925925925921</v>
      </c>
      <c r="AC1222" s="46">
        <f t="shared" si="297"/>
        <v>0.66666666666666663</v>
      </c>
      <c r="AD1222" s="44" t="str">
        <f t="shared" si="298"/>
        <v>Over</v>
      </c>
      <c r="AE1222" s="44" t="str">
        <f>IFERROR(VLOOKUP(A1222,'[1]Re-order'!$A:$AA,27,0),"")</f>
        <v>Over</v>
      </c>
      <c r="AF1222" s="46">
        <f t="shared" si="299"/>
        <v>-1.3333333333333335</v>
      </c>
      <c r="AG1222" s="46">
        <f>SUMIFS('[1]Raw Inventory'!D:D,'[1]Raw Inventory'!C:C,"GREATWALL",'[1]Raw Inventory'!B:B,A1222)</f>
        <v>64</v>
      </c>
      <c r="AH1222" s="46">
        <f>SUMIFS('[1]Raw Inventory'!D:D,'[1]Raw Inventory'!C:C,"DUARTE",'[1]Raw Inventory'!B:B,A1222)</f>
        <v>0</v>
      </c>
      <c r="AI1222" s="46"/>
      <c r="AJ1222" s="46"/>
      <c r="AK1222" s="43"/>
      <c r="AL1222" s="43"/>
      <c r="AM1222" s="43"/>
      <c r="AN1222" s="43"/>
      <c r="AO1222" s="43"/>
      <c r="AP1222" s="43"/>
      <c r="AQ1222" s="43"/>
      <c r="AR1222" s="43"/>
      <c r="AS1222" s="43"/>
      <c r="AT1222" s="43"/>
    </row>
    <row r="1223" spans="1:46">
      <c r="A1223" s="43" t="s">
        <v>104</v>
      </c>
      <c r="B1223" s="43" t="s">
        <v>96</v>
      </c>
      <c r="C1223" s="43" t="s">
        <v>90</v>
      </c>
      <c r="D1223" s="44" t="s">
        <v>229</v>
      </c>
      <c r="E1223" s="44">
        <v>7</v>
      </c>
      <c r="F1223" s="44" t="s">
        <v>3</v>
      </c>
      <c r="G1223" s="43" t="str">
        <f>IFERROR(VLOOKUP(A1223,'[1]MC Masterlist 2026-09-12'!$B:$M, 3, 0),"")</f>
        <v>SUZUKI</v>
      </c>
      <c r="H1223" s="45">
        <f>IFERROR(VLOOKUP(A1223,'[1]MC Masterlist 2026-09-12'!$B:$M, 6, 0),"")</f>
        <v>71062</v>
      </c>
      <c r="I1223" s="46">
        <v>0</v>
      </c>
      <c r="J1223" s="46">
        <v>0</v>
      </c>
      <c r="K1223" s="46">
        <v>0</v>
      </c>
      <c r="L1223" s="46">
        <f t="shared" si="285"/>
        <v>0</v>
      </c>
      <c r="M1223" s="46">
        <f t="shared" si="286"/>
        <v>0</v>
      </c>
      <c r="N1223" s="45">
        <f t="shared" si="287"/>
        <v>0</v>
      </c>
      <c r="O1223" s="45">
        <f t="shared" si="288"/>
        <v>0</v>
      </c>
      <c r="P1223" s="46">
        <f t="shared" si="289"/>
        <v>0</v>
      </c>
      <c r="Q1223" s="46">
        <v>1</v>
      </c>
      <c r="R1223" s="45">
        <f t="shared" si="290"/>
        <v>71062</v>
      </c>
      <c r="S1223" s="46">
        <f t="shared" si="291"/>
        <v>0</v>
      </c>
      <c r="T1223" s="46">
        <f>IFERROR(VLOOKUP(A1223,'[1]Re-order'!$A:$Q,17,0),"")</f>
        <v>225</v>
      </c>
      <c r="U1223" s="46">
        <f>IFERROR(VLOOKUP(A1223,'[1]MC Masterlist 2026-09-12'!$B:$M, 10, 0),0)</f>
        <v>15</v>
      </c>
      <c r="V1223" s="46">
        <f>IFERROR(VLOOKUP(A1223,'[1]MC Masterlist 2026-09-12'!$B:$M, 11, 0),0)</f>
        <v>15</v>
      </c>
      <c r="W1223" s="46">
        <f t="shared" si="292"/>
        <v>30</v>
      </c>
      <c r="X1223" s="46">
        <f t="shared" si="293"/>
        <v>30</v>
      </c>
      <c r="Y1223" s="46">
        <f>IFERROR(IF(OR(C1223="AREA I",C1223="AREA V"),7,VLOOKUP(A1223,'[1]MC Masterlist 2026-09-12'!$B:$M, 12, 0)),0)</f>
        <v>30</v>
      </c>
      <c r="Z1223" s="46">
        <f t="shared" si="294"/>
        <v>0</v>
      </c>
      <c r="AA1223" s="46">
        <f t="shared" si="295"/>
        <v>0</v>
      </c>
      <c r="AB1223" s="46">
        <f t="shared" si="296"/>
        <v>0</v>
      </c>
      <c r="AC1223" s="46">
        <f t="shared" si="297"/>
        <v>0</v>
      </c>
      <c r="AD1223" s="44" t="str">
        <f t="shared" si="298"/>
        <v>Over</v>
      </c>
      <c r="AE1223" s="44" t="str">
        <f>IFERROR(VLOOKUP(A1223,'[1]Re-order'!$A:$AA,27,0),"")</f>
        <v>Over</v>
      </c>
      <c r="AF1223" s="46">
        <f t="shared" si="299"/>
        <v>-1</v>
      </c>
      <c r="AG1223" s="46">
        <f>SUMIFS('[1]Raw Inventory'!D:D,'[1]Raw Inventory'!C:C,"GREATWALL",'[1]Raw Inventory'!B:B,A1223)</f>
        <v>0</v>
      </c>
      <c r="AH1223" s="46">
        <f>SUMIFS('[1]Raw Inventory'!D:D,'[1]Raw Inventory'!C:C,"DUARTE",'[1]Raw Inventory'!B:B,A1223)</f>
        <v>0</v>
      </c>
      <c r="AI1223" s="46"/>
      <c r="AJ1223" s="46"/>
      <c r="AK1223" s="43"/>
      <c r="AL1223" s="43"/>
      <c r="AM1223" s="43"/>
      <c r="AN1223" s="43"/>
      <c r="AO1223" s="43"/>
      <c r="AP1223" s="43"/>
      <c r="AQ1223" s="43"/>
      <c r="AR1223" s="43"/>
      <c r="AS1223" s="43"/>
      <c r="AT1223" s="43"/>
    </row>
    <row r="1224" spans="1:46">
      <c r="A1224" s="43" t="s">
        <v>71</v>
      </c>
      <c r="B1224" s="43" t="s">
        <v>160</v>
      </c>
      <c r="C1224" s="43" t="s">
        <v>159</v>
      </c>
      <c r="D1224" s="44" t="s">
        <v>242</v>
      </c>
      <c r="E1224" s="44">
        <v>24</v>
      </c>
      <c r="F1224" s="44" t="s">
        <v>3</v>
      </c>
      <c r="G1224" s="43" t="str">
        <f>IFERROR(VLOOKUP(A1224,'[1]MC Masterlist 2026-09-12'!$B:$M, 3, 0),"")</f>
        <v>SUZUKI</v>
      </c>
      <c r="H1224" s="45">
        <f>IFERROR(VLOOKUP(A1224,'[1]MC Masterlist 2026-09-12'!$B:$M, 6, 0),"")</f>
        <v>156250</v>
      </c>
      <c r="I1224" s="46">
        <v>0</v>
      </c>
      <c r="J1224" s="46">
        <v>0</v>
      </c>
      <c r="K1224" s="46">
        <v>0</v>
      </c>
      <c r="L1224" s="46">
        <f t="shared" si="285"/>
        <v>0</v>
      </c>
      <c r="M1224" s="46">
        <f t="shared" si="286"/>
        <v>0</v>
      </c>
      <c r="N1224" s="45">
        <f t="shared" si="287"/>
        <v>0</v>
      </c>
      <c r="O1224" s="45">
        <f t="shared" si="288"/>
        <v>0</v>
      </c>
      <c r="P1224" s="46">
        <f t="shared" si="289"/>
        <v>0</v>
      </c>
      <c r="Q1224" s="46">
        <v>5</v>
      </c>
      <c r="R1224" s="45">
        <f t="shared" si="290"/>
        <v>781250</v>
      </c>
      <c r="S1224" s="46">
        <f t="shared" si="291"/>
        <v>0</v>
      </c>
      <c r="T1224" s="46">
        <f>IFERROR(VLOOKUP(A1224,'[1]Re-order'!$A:$Q,17,0),"")</f>
        <v>612</v>
      </c>
      <c r="U1224" s="46">
        <f>IFERROR(VLOOKUP(A1224,'[1]MC Masterlist 2026-09-12'!$B:$M, 10, 0),0)</f>
        <v>15</v>
      </c>
      <c r="V1224" s="46">
        <f>IFERROR(VLOOKUP(A1224,'[1]MC Masterlist 2026-09-12'!$B:$M, 11, 0),0)</f>
        <v>15</v>
      </c>
      <c r="W1224" s="46">
        <f t="shared" si="292"/>
        <v>30</v>
      </c>
      <c r="X1224" s="46">
        <f t="shared" si="293"/>
        <v>30</v>
      </c>
      <c r="Y1224" s="46">
        <f>IFERROR(IF(OR(C1224="AREA I",C1224="AREA V"),7,VLOOKUP(A1224,'[1]MC Masterlist 2026-09-12'!$B:$M, 12, 0)),0)</f>
        <v>30</v>
      </c>
      <c r="Z1224" s="46">
        <f t="shared" si="294"/>
        <v>0</v>
      </c>
      <c r="AA1224" s="46">
        <f t="shared" si="295"/>
        <v>0</v>
      </c>
      <c r="AB1224" s="46">
        <f t="shared" si="296"/>
        <v>0</v>
      </c>
      <c r="AC1224" s="46">
        <f t="shared" si="297"/>
        <v>0</v>
      </c>
      <c r="AD1224" s="44" t="str">
        <f t="shared" si="298"/>
        <v>Over</v>
      </c>
      <c r="AE1224" s="44" t="str">
        <f>IFERROR(VLOOKUP(A1224,'[1]Re-order'!$A:$AA,27,0),"")</f>
        <v>Over</v>
      </c>
      <c r="AF1224" s="46">
        <f t="shared" si="299"/>
        <v>-5</v>
      </c>
      <c r="AG1224" s="46">
        <f>SUMIFS('[1]Raw Inventory'!D:D,'[1]Raw Inventory'!C:C,"GREATWALL",'[1]Raw Inventory'!B:B,A1224)</f>
        <v>13</v>
      </c>
      <c r="AH1224" s="46">
        <f>SUMIFS('[1]Raw Inventory'!D:D,'[1]Raw Inventory'!C:C,"DUARTE",'[1]Raw Inventory'!B:B,A1224)</f>
        <v>0</v>
      </c>
      <c r="AI1224" s="46"/>
      <c r="AJ1224" s="46"/>
      <c r="AK1224" s="43"/>
      <c r="AL1224" s="43"/>
      <c r="AM1224" s="43"/>
      <c r="AN1224" s="43"/>
      <c r="AO1224" s="43"/>
      <c r="AP1224" s="43"/>
      <c r="AQ1224" s="43"/>
      <c r="AR1224" s="43"/>
      <c r="AS1224" s="43"/>
      <c r="AT1224" s="43"/>
    </row>
    <row r="1225" spans="1:46">
      <c r="A1225" s="43" t="s">
        <v>67</v>
      </c>
      <c r="B1225" s="43" t="s">
        <v>142</v>
      </c>
      <c r="C1225" s="43" t="s">
        <v>137</v>
      </c>
      <c r="D1225" s="44" t="s">
        <v>266</v>
      </c>
      <c r="E1225" s="44">
        <v>19</v>
      </c>
      <c r="F1225" s="44" t="s">
        <v>2</v>
      </c>
      <c r="G1225" s="43" t="str">
        <f>IFERROR(VLOOKUP(A1225,'[1]MC Masterlist 2026-09-12'!$B:$M, 3, 0),"")</f>
        <v>YAMAHA</v>
      </c>
      <c r="H1225" s="45">
        <f>IFERROR(VLOOKUP(A1225,'[1]MC Masterlist 2026-09-12'!$B:$M, 6, 0),"")</f>
        <v>86397</v>
      </c>
      <c r="I1225" s="46">
        <v>0</v>
      </c>
      <c r="J1225" s="46">
        <v>0</v>
      </c>
      <c r="K1225" s="46">
        <v>1</v>
      </c>
      <c r="L1225" s="46">
        <f t="shared" si="285"/>
        <v>1</v>
      </c>
      <c r="M1225" s="46">
        <f t="shared" si="286"/>
        <v>0.33333333333333331</v>
      </c>
      <c r="N1225" s="45">
        <f t="shared" si="287"/>
        <v>86397</v>
      </c>
      <c r="O1225" s="45">
        <f t="shared" si="288"/>
        <v>28799</v>
      </c>
      <c r="P1225" s="46">
        <f t="shared" si="289"/>
        <v>1.111111111111111E-2</v>
      </c>
      <c r="Q1225" s="46">
        <v>2</v>
      </c>
      <c r="R1225" s="45">
        <f t="shared" si="290"/>
        <v>172794</v>
      </c>
      <c r="S1225" s="46">
        <f t="shared" si="291"/>
        <v>180</v>
      </c>
      <c r="T1225" s="46">
        <f>IFERROR(VLOOKUP(A1225,'[1]Re-order'!$A:$Q,17,0),"")</f>
        <v>73.63636363636364</v>
      </c>
      <c r="U1225" s="46">
        <f>IFERROR(VLOOKUP(A1225,'[1]MC Masterlist 2026-09-12'!$B:$M, 10, 0),0)</f>
        <v>15</v>
      </c>
      <c r="V1225" s="46">
        <f>IFERROR(VLOOKUP(A1225,'[1]MC Masterlist 2026-09-12'!$B:$M, 11, 0),0)</f>
        <v>15</v>
      </c>
      <c r="W1225" s="46">
        <f t="shared" si="292"/>
        <v>30</v>
      </c>
      <c r="X1225" s="46">
        <f t="shared" si="293"/>
        <v>6.833333333333333</v>
      </c>
      <c r="Y1225" s="46">
        <f>IFERROR(IF(OR(C1225="AREA I",C1225="AREA V"),7,VLOOKUP(A1225,'[1]MC Masterlist 2026-09-12'!$B:$M, 12, 0)),0)</f>
        <v>7</v>
      </c>
      <c r="Z1225" s="46">
        <f t="shared" si="294"/>
        <v>0.16666666666666666</v>
      </c>
      <c r="AA1225" s="46">
        <f t="shared" si="295"/>
        <v>0.33333333333333331</v>
      </c>
      <c r="AB1225" s="46">
        <f t="shared" si="296"/>
        <v>7.5925925925925911E-2</v>
      </c>
      <c r="AC1225" s="46">
        <f t="shared" si="297"/>
        <v>7.7777777777777765E-2</v>
      </c>
      <c r="AD1225" s="44" t="str">
        <f t="shared" si="298"/>
        <v>Over</v>
      </c>
      <c r="AE1225" s="44" t="str">
        <f>IFERROR(VLOOKUP(A1225,'[1]Re-order'!$A:$AA,27,0),"")</f>
        <v>Re-order</v>
      </c>
      <c r="AF1225" s="46">
        <f t="shared" si="299"/>
        <v>-1.9222222222222223</v>
      </c>
      <c r="AG1225" s="46">
        <f>SUMIFS('[1]Raw Inventory'!D:D,'[1]Raw Inventory'!C:C,"GREATWALL",'[1]Raw Inventory'!B:B,A1225)</f>
        <v>1</v>
      </c>
      <c r="AH1225" s="46">
        <f>SUMIFS('[1]Raw Inventory'!D:D,'[1]Raw Inventory'!C:C,"DUARTE",'[1]Raw Inventory'!B:B,A1225)</f>
        <v>0</v>
      </c>
      <c r="AI1225" s="46"/>
      <c r="AJ1225" s="46"/>
      <c r="AK1225" s="43"/>
      <c r="AL1225" s="43"/>
      <c r="AM1225" s="43"/>
      <c r="AN1225" s="43"/>
      <c r="AO1225" s="43"/>
      <c r="AP1225" s="43"/>
      <c r="AQ1225" s="43"/>
      <c r="AR1225" s="43"/>
      <c r="AS1225" s="43"/>
      <c r="AT1225" s="43"/>
    </row>
    <row r="1226" spans="1:46">
      <c r="A1226" s="43" t="s">
        <v>76</v>
      </c>
      <c r="B1226" s="43" t="s">
        <v>122</v>
      </c>
      <c r="C1226" s="43" t="s">
        <v>118</v>
      </c>
      <c r="D1226" s="44" t="s">
        <v>237</v>
      </c>
      <c r="E1226" s="44">
        <v>29</v>
      </c>
      <c r="F1226" s="44" t="s">
        <v>3</v>
      </c>
      <c r="G1226" s="43" t="str">
        <f>IFERROR(VLOOKUP(A1226,'[1]MC Masterlist 2026-09-12'!$B:$M, 3, 0),"")</f>
        <v>SUZUKI</v>
      </c>
      <c r="H1226" s="45">
        <f>IFERROR(VLOOKUP(A1226,'[1]MC Masterlist 2026-09-12'!$B:$M, 6, 0),"")</f>
        <v>62692</v>
      </c>
      <c r="I1226" s="46">
        <v>1</v>
      </c>
      <c r="J1226" s="46">
        <v>0</v>
      </c>
      <c r="K1226" s="46">
        <v>0</v>
      </c>
      <c r="L1226" s="46">
        <f t="shared" si="285"/>
        <v>1</v>
      </c>
      <c r="M1226" s="46">
        <f t="shared" si="286"/>
        <v>0.33333333333333331</v>
      </c>
      <c r="N1226" s="45">
        <f t="shared" si="287"/>
        <v>62692</v>
      </c>
      <c r="O1226" s="45">
        <f t="shared" si="288"/>
        <v>20897.333333333332</v>
      </c>
      <c r="P1226" s="46">
        <f t="shared" si="289"/>
        <v>1.111111111111111E-2</v>
      </c>
      <c r="Q1226" s="46">
        <v>2</v>
      </c>
      <c r="R1226" s="45">
        <f t="shared" si="290"/>
        <v>125384</v>
      </c>
      <c r="S1226" s="46">
        <f t="shared" si="291"/>
        <v>180</v>
      </c>
      <c r="T1226" s="46">
        <f>IFERROR(VLOOKUP(A1226,'[1]Re-order'!$A:$Q,17,0),"")</f>
        <v>106.36363636363636</v>
      </c>
      <c r="U1226" s="46">
        <f>IFERROR(VLOOKUP(A1226,'[1]MC Masterlist 2026-09-12'!$B:$M, 10, 0),0)</f>
        <v>15</v>
      </c>
      <c r="V1226" s="46">
        <f>IFERROR(VLOOKUP(A1226,'[1]MC Masterlist 2026-09-12'!$B:$M, 11, 0),0)</f>
        <v>15</v>
      </c>
      <c r="W1226" s="46">
        <f t="shared" si="292"/>
        <v>30</v>
      </c>
      <c r="X1226" s="46">
        <f t="shared" si="293"/>
        <v>29.833333333333332</v>
      </c>
      <c r="Y1226" s="46">
        <f>IFERROR(IF(OR(C1226="AREA I",C1226="AREA V"),7,VLOOKUP(A1226,'[1]MC Masterlist 2026-09-12'!$B:$M, 12, 0)),0)</f>
        <v>30</v>
      </c>
      <c r="Z1226" s="46">
        <f t="shared" si="294"/>
        <v>0.16666666666666666</v>
      </c>
      <c r="AA1226" s="46">
        <f t="shared" si="295"/>
        <v>0.33333333333333331</v>
      </c>
      <c r="AB1226" s="46">
        <f t="shared" si="296"/>
        <v>0.33148148148148143</v>
      </c>
      <c r="AC1226" s="46">
        <f t="shared" si="297"/>
        <v>0.33333333333333331</v>
      </c>
      <c r="AD1226" s="44" t="str">
        <f t="shared" si="298"/>
        <v>Over</v>
      </c>
      <c r="AE1226" s="44" t="str">
        <f>IFERROR(VLOOKUP(A1226,'[1]Re-order'!$A:$AA,27,0),"")</f>
        <v>Over</v>
      </c>
      <c r="AF1226" s="46">
        <f t="shared" si="299"/>
        <v>-1.6666666666666667</v>
      </c>
      <c r="AG1226" s="46">
        <f>SUMIFS('[1]Raw Inventory'!D:D,'[1]Raw Inventory'!C:C,"GREATWALL",'[1]Raw Inventory'!B:B,A1226)</f>
        <v>1</v>
      </c>
      <c r="AH1226" s="46">
        <f>SUMIFS('[1]Raw Inventory'!D:D,'[1]Raw Inventory'!C:C,"DUARTE",'[1]Raw Inventory'!B:B,A1226)</f>
        <v>0</v>
      </c>
      <c r="AI1226" s="46"/>
      <c r="AJ1226" s="46"/>
      <c r="AK1226" s="43"/>
      <c r="AL1226" s="43"/>
      <c r="AM1226" s="43"/>
      <c r="AN1226" s="43"/>
      <c r="AO1226" s="43"/>
      <c r="AP1226" s="43"/>
      <c r="AQ1226" s="43"/>
      <c r="AR1226" s="43"/>
      <c r="AS1226" s="43"/>
      <c r="AT1226" s="43"/>
    </row>
    <row r="1227" spans="1:46">
      <c r="A1227" s="43" t="s">
        <v>53</v>
      </c>
      <c r="B1227" s="43" t="s">
        <v>11</v>
      </c>
      <c r="C1227" s="43" t="s">
        <v>1</v>
      </c>
      <c r="D1227" s="44" t="s">
        <v>232</v>
      </c>
      <c r="E1227" s="44">
        <v>23</v>
      </c>
      <c r="F1227" s="44" t="s">
        <v>3</v>
      </c>
      <c r="G1227" s="43" t="str">
        <f>IFERROR(VLOOKUP(A1227,'[1]MC Masterlist 2026-09-12'!$B:$M, 3, 0),"")</f>
        <v>HONDA</v>
      </c>
      <c r="H1227" s="45">
        <f>IFERROR(VLOOKUP(A1227,'[1]MC Masterlist 2026-09-12'!$B:$M, 6, 0),"")</f>
        <v>118838</v>
      </c>
      <c r="I1227" s="46">
        <v>0</v>
      </c>
      <c r="J1227" s="46">
        <v>0</v>
      </c>
      <c r="K1227" s="46">
        <v>0</v>
      </c>
      <c r="L1227" s="46">
        <f t="shared" si="285"/>
        <v>0</v>
      </c>
      <c r="M1227" s="46">
        <f t="shared" si="286"/>
        <v>0</v>
      </c>
      <c r="N1227" s="45">
        <f t="shared" si="287"/>
        <v>0</v>
      </c>
      <c r="O1227" s="45">
        <f t="shared" si="288"/>
        <v>0</v>
      </c>
      <c r="P1227" s="46">
        <f t="shared" si="289"/>
        <v>0</v>
      </c>
      <c r="Q1227" s="46">
        <v>1</v>
      </c>
      <c r="R1227" s="45">
        <f t="shared" si="290"/>
        <v>118838</v>
      </c>
      <c r="S1227" s="46">
        <f t="shared" si="291"/>
        <v>0</v>
      </c>
      <c r="T1227" s="46">
        <f>IFERROR(VLOOKUP(A1227,'[1]Re-order'!$A:$Q,17,0),"")</f>
        <v>360</v>
      </c>
      <c r="U1227" s="46">
        <f>IFERROR(VLOOKUP(A1227,'[1]MC Masterlist 2026-09-12'!$B:$M, 10, 0),0)</f>
        <v>15</v>
      </c>
      <c r="V1227" s="46">
        <f>IFERROR(VLOOKUP(A1227,'[1]MC Masterlist 2026-09-12'!$B:$M, 11, 0),0)</f>
        <v>15</v>
      </c>
      <c r="W1227" s="46">
        <f t="shared" si="292"/>
        <v>30</v>
      </c>
      <c r="X1227" s="46">
        <f t="shared" si="293"/>
        <v>7</v>
      </c>
      <c r="Y1227" s="46">
        <f>IFERROR(IF(OR(C1227="AREA I",C1227="AREA V"),7,VLOOKUP(A1227,'[1]MC Masterlist 2026-09-12'!$B:$M, 12, 0)),0)</f>
        <v>7</v>
      </c>
      <c r="Z1227" s="46">
        <f t="shared" si="294"/>
        <v>0</v>
      </c>
      <c r="AA1227" s="46">
        <f t="shared" si="295"/>
        <v>0</v>
      </c>
      <c r="AB1227" s="46">
        <f t="shared" si="296"/>
        <v>0</v>
      </c>
      <c r="AC1227" s="46">
        <f t="shared" si="297"/>
        <v>0</v>
      </c>
      <c r="AD1227" s="44" t="str">
        <f t="shared" si="298"/>
        <v>Over</v>
      </c>
      <c r="AE1227" s="44" t="str">
        <f>IFERROR(VLOOKUP(A1227,'[1]Re-order'!$A:$AA,27,0),"")</f>
        <v>Over</v>
      </c>
      <c r="AF1227" s="46">
        <f t="shared" si="299"/>
        <v>-1</v>
      </c>
      <c r="AG1227" s="46">
        <f>SUMIFS('[1]Raw Inventory'!D:D,'[1]Raw Inventory'!C:C,"GREATWALL",'[1]Raw Inventory'!B:B,A1227)</f>
        <v>0</v>
      </c>
      <c r="AH1227" s="46">
        <f>SUMIFS('[1]Raw Inventory'!D:D,'[1]Raw Inventory'!C:C,"DUARTE",'[1]Raw Inventory'!B:B,A1227)</f>
        <v>0</v>
      </c>
      <c r="AI1227" s="46"/>
      <c r="AJ1227" s="46"/>
      <c r="AK1227" s="43"/>
      <c r="AL1227" s="43"/>
      <c r="AM1227" s="43"/>
      <c r="AN1227" s="43"/>
      <c r="AO1227" s="43"/>
      <c r="AP1227" s="43"/>
      <c r="AQ1227" s="43"/>
      <c r="AR1227" s="43"/>
      <c r="AS1227" s="43"/>
      <c r="AT1227" s="43"/>
    </row>
    <row r="1228" spans="1:46">
      <c r="A1228" s="43" t="s">
        <v>46</v>
      </c>
      <c r="B1228" s="43" t="s">
        <v>30</v>
      </c>
      <c r="C1228" s="43" t="s">
        <v>1</v>
      </c>
      <c r="D1228" s="44" t="s">
        <v>237</v>
      </c>
      <c r="E1228" s="44">
        <v>33</v>
      </c>
      <c r="F1228" s="44" t="s">
        <v>3</v>
      </c>
      <c r="G1228" s="43" t="str">
        <f>IFERROR(VLOOKUP(A1228,'[1]MC Masterlist 2026-09-12'!$B:$M, 3, 0),"")</f>
        <v>HONDA</v>
      </c>
      <c r="H1228" s="45">
        <f>IFERROR(VLOOKUP(A1228,'[1]MC Masterlist 2026-09-12'!$B:$M, 6, 0),"")</f>
        <v>73630</v>
      </c>
      <c r="I1228" s="46">
        <v>1</v>
      </c>
      <c r="J1228" s="46">
        <v>0</v>
      </c>
      <c r="K1228" s="46">
        <v>0</v>
      </c>
      <c r="L1228" s="46">
        <f t="shared" si="285"/>
        <v>1</v>
      </c>
      <c r="M1228" s="46">
        <f t="shared" si="286"/>
        <v>0.33333333333333331</v>
      </c>
      <c r="N1228" s="45">
        <f t="shared" si="287"/>
        <v>73630</v>
      </c>
      <c r="O1228" s="45">
        <f t="shared" si="288"/>
        <v>24543.333333333332</v>
      </c>
      <c r="P1228" s="46">
        <f t="shared" si="289"/>
        <v>1.111111111111111E-2</v>
      </c>
      <c r="Q1228" s="46"/>
      <c r="R1228" s="45">
        <f t="shared" si="290"/>
        <v>0</v>
      </c>
      <c r="S1228" s="46">
        <f t="shared" si="291"/>
        <v>0</v>
      </c>
      <c r="T1228" s="46">
        <f>IFERROR(VLOOKUP(A1228,'[1]Re-order'!$A:$Q,17,0),"")</f>
        <v>51</v>
      </c>
      <c r="U1228" s="46">
        <f>IFERROR(VLOOKUP(A1228,'[1]MC Masterlist 2026-09-12'!$B:$M, 10, 0),0)</f>
        <v>15</v>
      </c>
      <c r="V1228" s="46">
        <f>IFERROR(VLOOKUP(A1228,'[1]MC Masterlist 2026-09-12'!$B:$M, 11, 0),0)</f>
        <v>15</v>
      </c>
      <c r="W1228" s="46">
        <f t="shared" si="292"/>
        <v>30</v>
      </c>
      <c r="X1228" s="46">
        <f t="shared" si="293"/>
        <v>6.833333333333333</v>
      </c>
      <c r="Y1228" s="46">
        <f>IFERROR(IF(OR(C1228="AREA I",C1228="AREA V"),7,VLOOKUP(A1228,'[1]MC Masterlist 2026-09-12'!$B:$M, 12, 0)),0)</f>
        <v>7</v>
      </c>
      <c r="Z1228" s="46">
        <f t="shared" si="294"/>
        <v>0.16666666666666666</v>
      </c>
      <c r="AA1228" s="46">
        <f t="shared" si="295"/>
        <v>0.33333333333333331</v>
      </c>
      <c r="AB1228" s="46">
        <f t="shared" si="296"/>
        <v>7.5925925925925911E-2</v>
      </c>
      <c r="AC1228" s="46">
        <f t="shared" si="297"/>
        <v>7.7777777777777765E-2</v>
      </c>
      <c r="AD1228" s="44" t="str">
        <f t="shared" si="298"/>
        <v>Stockout</v>
      </c>
      <c r="AE1228" s="44" t="str">
        <f>IFERROR(VLOOKUP(A1228,'[1]Re-order'!$A:$AA,27,0),"")</f>
        <v>Re-order</v>
      </c>
      <c r="AF1228" s="46">
        <f t="shared" si="299"/>
        <v>7.7777777777777765E-2</v>
      </c>
      <c r="AG1228" s="46">
        <f>SUMIFS('[1]Raw Inventory'!D:D,'[1]Raw Inventory'!C:C,"GREATWALL",'[1]Raw Inventory'!B:B,A1228)</f>
        <v>0</v>
      </c>
      <c r="AH1228" s="46">
        <f>SUMIFS('[1]Raw Inventory'!D:D,'[1]Raw Inventory'!C:C,"DUARTE",'[1]Raw Inventory'!B:B,A1228)</f>
        <v>0</v>
      </c>
      <c r="AI1228" s="46"/>
      <c r="AJ1228" s="46"/>
      <c r="AK1228" s="43"/>
      <c r="AL1228" s="43"/>
      <c r="AM1228" s="43"/>
      <c r="AN1228" s="43"/>
      <c r="AO1228" s="43"/>
      <c r="AP1228" s="43"/>
      <c r="AQ1228" s="43"/>
      <c r="AR1228" s="43"/>
      <c r="AS1228" s="43"/>
      <c r="AT1228" s="43"/>
    </row>
    <row r="1229" spans="1:46">
      <c r="A1229" s="43" t="s">
        <v>17</v>
      </c>
      <c r="B1229" s="43" t="s">
        <v>157</v>
      </c>
      <c r="C1229" s="43" t="s">
        <v>152</v>
      </c>
      <c r="D1229" s="44" t="s">
        <v>225</v>
      </c>
      <c r="E1229" s="44">
        <v>3</v>
      </c>
      <c r="F1229" s="44" t="s">
        <v>0</v>
      </c>
      <c r="G1229" s="43" t="str">
        <f>IFERROR(VLOOKUP(A1229,'[1]MC Masterlist 2026-09-12'!$B:$M, 3, 0),"")</f>
        <v>HONDA</v>
      </c>
      <c r="H1229" s="45">
        <f>IFERROR(VLOOKUP(A1229,'[1]MC Masterlist 2026-09-12'!$B:$M, 6, 0),"")</f>
        <v>140790</v>
      </c>
      <c r="I1229" s="46">
        <v>3</v>
      </c>
      <c r="J1229" s="46">
        <v>1</v>
      </c>
      <c r="K1229" s="46">
        <v>4</v>
      </c>
      <c r="L1229" s="46">
        <f t="shared" si="285"/>
        <v>8</v>
      </c>
      <c r="M1229" s="46">
        <f t="shared" si="286"/>
        <v>2.6666666666666665</v>
      </c>
      <c r="N1229" s="45">
        <f t="shared" si="287"/>
        <v>1126320</v>
      </c>
      <c r="O1229" s="45">
        <f t="shared" si="288"/>
        <v>375440</v>
      </c>
      <c r="P1229" s="46">
        <f t="shared" si="289"/>
        <v>8.8888888888888878E-2</v>
      </c>
      <c r="Q1229" s="46">
        <v>3</v>
      </c>
      <c r="R1229" s="45">
        <f t="shared" si="290"/>
        <v>422370</v>
      </c>
      <c r="S1229" s="46">
        <f t="shared" si="291"/>
        <v>33.75</v>
      </c>
      <c r="T1229" s="46">
        <f>IFERROR(VLOOKUP(A1229,'[1]Re-order'!$A:$Q,17,0),"")</f>
        <v>43.663366336633665</v>
      </c>
      <c r="U1229" s="46">
        <f>IFERROR(VLOOKUP(A1229,'[1]MC Masterlist 2026-09-12'!$B:$M, 10, 0),0)</f>
        <v>15</v>
      </c>
      <c r="V1229" s="46">
        <f>IFERROR(VLOOKUP(A1229,'[1]MC Masterlist 2026-09-12'!$B:$M, 11, 0),0)</f>
        <v>15</v>
      </c>
      <c r="W1229" s="46">
        <f t="shared" si="292"/>
        <v>30</v>
      </c>
      <c r="X1229" s="46">
        <f t="shared" si="293"/>
        <v>28.666666666666668</v>
      </c>
      <c r="Y1229" s="46">
        <f>IFERROR(IF(OR(C1229="AREA I",C1229="AREA V"),7,VLOOKUP(A1229,'[1]MC Masterlist 2026-09-12'!$B:$M, 12, 0)),0)</f>
        <v>30</v>
      </c>
      <c r="Z1229" s="46">
        <f t="shared" si="294"/>
        <v>1.3333333333333333</v>
      </c>
      <c r="AA1229" s="46">
        <f t="shared" si="295"/>
        <v>2.6666666666666665</v>
      </c>
      <c r="AB1229" s="46">
        <f t="shared" si="296"/>
        <v>2.5481481481481478</v>
      </c>
      <c r="AC1229" s="46">
        <f t="shared" si="297"/>
        <v>2.6666666666666665</v>
      </c>
      <c r="AD1229" s="44" t="str">
        <f t="shared" si="298"/>
        <v>Over</v>
      </c>
      <c r="AE1229" s="44" t="str">
        <f>IFERROR(VLOOKUP(A1229,'[1]Re-order'!$A:$AA,27,0),"")</f>
        <v>Re-order</v>
      </c>
      <c r="AF1229" s="46">
        <f t="shared" si="299"/>
        <v>-0.33333333333333348</v>
      </c>
      <c r="AG1229" s="46">
        <f>SUMIFS('[1]Raw Inventory'!D:D,'[1]Raw Inventory'!C:C,"GREATWALL",'[1]Raw Inventory'!B:B,A1229)</f>
        <v>12</v>
      </c>
      <c r="AH1229" s="46">
        <f>SUMIFS('[1]Raw Inventory'!D:D,'[1]Raw Inventory'!C:C,"DUARTE",'[1]Raw Inventory'!B:B,A1229)</f>
        <v>0</v>
      </c>
      <c r="AI1229" s="46"/>
      <c r="AJ1229" s="46"/>
      <c r="AK1229" s="43"/>
      <c r="AL1229" s="43"/>
      <c r="AM1229" s="43"/>
      <c r="AN1229" s="43"/>
      <c r="AO1229" s="43"/>
      <c r="AP1229" s="43"/>
      <c r="AQ1229" s="43"/>
      <c r="AR1229" s="43"/>
      <c r="AS1229" s="43"/>
      <c r="AT1229" s="43"/>
    </row>
    <row r="1230" spans="1:46">
      <c r="A1230" s="43" t="s">
        <v>52</v>
      </c>
      <c r="B1230" s="43" t="s">
        <v>97</v>
      </c>
      <c r="C1230" s="43" t="s">
        <v>90</v>
      </c>
      <c r="D1230" s="44" t="s">
        <v>221</v>
      </c>
      <c r="E1230" s="44">
        <v>14</v>
      </c>
      <c r="F1230" s="44" t="s">
        <v>3</v>
      </c>
      <c r="G1230" s="43" t="str">
        <f>IFERROR(VLOOKUP(A1230,'[1]MC Masterlist 2026-09-12'!$B:$M, 3, 0),"")</f>
        <v>YAMAHA</v>
      </c>
      <c r="H1230" s="45">
        <f>IFERROR(VLOOKUP(A1230,'[1]MC Masterlist 2026-09-12'!$B:$M, 6, 0),"")</f>
        <v>85446</v>
      </c>
      <c r="I1230" s="46">
        <v>1</v>
      </c>
      <c r="J1230" s="46">
        <v>0</v>
      </c>
      <c r="K1230" s="46">
        <v>0</v>
      </c>
      <c r="L1230" s="46">
        <f t="shared" si="285"/>
        <v>1</v>
      </c>
      <c r="M1230" s="46">
        <f t="shared" si="286"/>
        <v>0.33333333333333331</v>
      </c>
      <c r="N1230" s="45">
        <f t="shared" si="287"/>
        <v>85446</v>
      </c>
      <c r="O1230" s="45">
        <f t="shared" si="288"/>
        <v>28482</v>
      </c>
      <c r="P1230" s="46">
        <f t="shared" si="289"/>
        <v>1.111111111111111E-2</v>
      </c>
      <c r="Q1230" s="46">
        <v>1</v>
      </c>
      <c r="R1230" s="45">
        <f t="shared" si="290"/>
        <v>85446</v>
      </c>
      <c r="S1230" s="46">
        <f t="shared" si="291"/>
        <v>90</v>
      </c>
      <c r="T1230" s="46">
        <f>IFERROR(VLOOKUP(A1230,'[1]Re-order'!$A:$Q,17,0),"")</f>
        <v>95.454545454545453</v>
      </c>
      <c r="U1230" s="46">
        <f>IFERROR(VLOOKUP(A1230,'[1]MC Masterlist 2026-09-12'!$B:$M, 10, 0),0)</f>
        <v>15</v>
      </c>
      <c r="V1230" s="46">
        <f>IFERROR(VLOOKUP(A1230,'[1]MC Masterlist 2026-09-12'!$B:$M, 11, 0),0)</f>
        <v>15</v>
      </c>
      <c r="W1230" s="46">
        <f t="shared" si="292"/>
        <v>30</v>
      </c>
      <c r="X1230" s="46">
        <f t="shared" si="293"/>
        <v>29.833333333333332</v>
      </c>
      <c r="Y1230" s="46">
        <f>IFERROR(IF(OR(C1230="AREA I",C1230="AREA V"),7,VLOOKUP(A1230,'[1]MC Masterlist 2026-09-12'!$B:$M, 12, 0)),0)</f>
        <v>30</v>
      </c>
      <c r="Z1230" s="46">
        <f t="shared" si="294"/>
        <v>0.16666666666666666</v>
      </c>
      <c r="AA1230" s="46">
        <f t="shared" si="295"/>
        <v>0.33333333333333331</v>
      </c>
      <c r="AB1230" s="46">
        <f t="shared" si="296"/>
        <v>0.33148148148148143</v>
      </c>
      <c r="AC1230" s="46">
        <f t="shared" si="297"/>
        <v>0.33333333333333331</v>
      </c>
      <c r="AD1230" s="44" t="str">
        <f t="shared" si="298"/>
        <v>Over</v>
      </c>
      <c r="AE1230" s="44" t="str">
        <f>IFERROR(VLOOKUP(A1230,'[1]Re-order'!$A:$AA,27,0),"")</f>
        <v>Over</v>
      </c>
      <c r="AF1230" s="46">
        <f t="shared" si="299"/>
        <v>-0.66666666666666674</v>
      </c>
      <c r="AG1230" s="46">
        <f>SUMIFS('[1]Raw Inventory'!D:D,'[1]Raw Inventory'!C:C,"GREATWALL",'[1]Raw Inventory'!B:B,A1230)</f>
        <v>0</v>
      </c>
      <c r="AH1230" s="46">
        <f>SUMIFS('[1]Raw Inventory'!D:D,'[1]Raw Inventory'!C:C,"DUARTE",'[1]Raw Inventory'!B:B,A1230)</f>
        <v>0</v>
      </c>
      <c r="AI1230" s="46"/>
      <c r="AJ1230" s="46"/>
      <c r="AK1230" s="43"/>
      <c r="AL1230" s="43"/>
      <c r="AM1230" s="43"/>
      <c r="AN1230" s="43"/>
      <c r="AO1230" s="43"/>
      <c r="AP1230" s="43"/>
      <c r="AQ1230" s="43"/>
      <c r="AR1230" s="43"/>
      <c r="AS1230" s="43"/>
      <c r="AT1230" s="43"/>
    </row>
    <row r="1231" spans="1:46">
      <c r="A1231" s="43" t="s">
        <v>37</v>
      </c>
      <c r="B1231" s="43" t="s">
        <v>162</v>
      </c>
      <c r="C1231" s="43" t="s">
        <v>159</v>
      </c>
      <c r="D1231" s="44" t="s">
        <v>260</v>
      </c>
      <c r="E1231" s="44">
        <v>26</v>
      </c>
      <c r="F1231" s="44" t="s">
        <v>3</v>
      </c>
      <c r="G1231" s="43" t="str">
        <f>IFERROR(VLOOKUP(A1231,'[1]MC Masterlist 2026-09-12'!$B:$M, 3, 0),"")</f>
        <v>HONDA</v>
      </c>
      <c r="H1231" s="45">
        <f>IFERROR(VLOOKUP(A1231,'[1]MC Masterlist 2026-09-12'!$B:$M, 6, 0),"")</f>
        <v>74550</v>
      </c>
      <c r="I1231" s="46">
        <v>0</v>
      </c>
      <c r="J1231" s="46">
        <v>0</v>
      </c>
      <c r="K1231" s="46">
        <v>0</v>
      </c>
      <c r="L1231" s="46">
        <f t="shared" si="285"/>
        <v>0</v>
      </c>
      <c r="M1231" s="46">
        <f t="shared" si="286"/>
        <v>0</v>
      </c>
      <c r="N1231" s="45">
        <f t="shared" si="287"/>
        <v>0</v>
      </c>
      <c r="O1231" s="45">
        <f t="shared" si="288"/>
        <v>0</v>
      </c>
      <c r="P1231" s="46">
        <f t="shared" si="289"/>
        <v>0</v>
      </c>
      <c r="Q1231" s="46">
        <v>2</v>
      </c>
      <c r="R1231" s="45">
        <f t="shared" si="290"/>
        <v>149100</v>
      </c>
      <c r="S1231" s="46">
        <f t="shared" si="291"/>
        <v>0</v>
      </c>
      <c r="T1231" s="46">
        <f>IFERROR(VLOOKUP(A1231,'[1]Re-order'!$A:$Q,17,0),"")</f>
        <v>33.652173913043477</v>
      </c>
      <c r="U1231" s="46">
        <f>IFERROR(VLOOKUP(A1231,'[1]MC Masterlist 2026-09-12'!$B:$M, 10, 0),0)</f>
        <v>15</v>
      </c>
      <c r="V1231" s="46">
        <f>IFERROR(VLOOKUP(A1231,'[1]MC Masterlist 2026-09-12'!$B:$M, 11, 0),0)</f>
        <v>15</v>
      </c>
      <c r="W1231" s="46">
        <f t="shared" si="292"/>
        <v>30</v>
      </c>
      <c r="X1231" s="46">
        <f t="shared" si="293"/>
        <v>30</v>
      </c>
      <c r="Y1231" s="46">
        <f>IFERROR(IF(OR(C1231="AREA I",C1231="AREA V"),7,VLOOKUP(A1231,'[1]MC Masterlist 2026-09-12'!$B:$M, 12, 0)),0)</f>
        <v>30</v>
      </c>
      <c r="Z1231" s="46">
        <f t="shared" si="294"/>
        <v>0</v>
      </c>
      <c r="AA1231" s="46">
        <f t="shared" si="295"/>
        <v>0</v>
      </c>
      <c r="AB1231" s="46">
        <f t="shared" si="296"/>
        <v>0</v>
      </c>
      <c r="AC1231" s="46">
        <f t="shared" si="297"/>
        <v>0</v>
      </c>
      <c r="AD1231" s="44" t="str">
        <f t="shared" si="298"/>
        <v>Over</v>
      </c>
      <c r="AE1231" s="44" t="str">
        <f>IFERROR(VLOOKUP(A1231,'[1]Re-order'!$A:$AA,27,0),"")</f>
        <v>Re-order</v>
      </c>
      <c r="AF1231" s="46">
        <f t="shared" si="299"/>
        <v>-2</v>
      </c>
      <c r="AG1231" s="46">
        <f>SUMIFS('[1]Raw Inventory'!D:D,'[1]Raw Inventory'!C:C,"GREATWALL",'[1]Raw Inventory'!B:B,A1231)</f>
        <v>28</v>
      </c>
      <c r="AH1231" s="46">
        <f>SUMIFS('[1]Raw Inventory'!D:D,'[1]Raw Inventory'!C:C,"DUARTE",'[1]Raw Inventory'!B:B,A1231)</f>
        <v>0</v>
      </c>
      <c r="AI1231" s="46"/>
      <c r="AJ1231" s="46"/>
      <c r="AK1231" s="43"/>
      <c r="AL1231" s="43"/>
      <c r="AM1231" s="43"/>
      <c r="AN1231" s="43"/>
      <c r="AO1231" s="43"/>
      <c r="AP1231" s="43"/>
      <c r="AQ1231" s="43"/>
      <c r="AR1231" s="43"/>
      <c r="AS1231" s="43"/>
      <c r="AT1231" s="43"/>
    </row>
    <row r="1232" spans="1:46">
      <c r="A1232" s="43" t="s">
        <v>28</v>
      </c>
      <c r="B1232" s="43" t="s">
        <v>146</v>
      </c>
      <c r="C1232" s="43" t="s">
        <v>137</v>
      </c>
      <c r="D1232" s="44" t="s">
        <v>225</v>
      </c>
      <c r="E1232" s="44">
        <v>3</v>
      </c>
      <c r="F1232" s="44" t="s">
        <v>0</v>
      </c>
      <c r="G1232" s="43" t="str">
        <f>IFERROR(VLOOKUP(A1232,'[1]MC Masterlist 2026-09-12'!$B:$M, 3, 0),"")</f>
        <v>YAMAHA</v>
      </c>
      <c r="H1232" s="45">
        <f>IFERROR(VLOOKUP(A1232,'[1]MC Masterlist 2026-09-12'!$B:$M, 6, 0),"")</f>
        <v>147312</v>
      </c>
      <c r="I1232" s="46">
        <v>2</v>
      </c>
      <c r="J1232" s="46">
        <v>6</v>
      </c>
      <c r="K1232" s="46">
        <v>1</v>
      </c>
      <c r="L1232" s="46">
        <f t="shared" si="285"/>
        <v>9</v>
      </c>
      <c r="M1232" s="46">
        <f t="shared" si="286"/>
        <v>3</v>
      </c>
      <c r="N1232" s="45">
        <f t="shared" si="287"/>
        <v>1325808</v>
      </c>
      <c r="O1232" s="45">
        <f t="shared" si="288"/>
        <v>441936</v>
      </c>
      <c r="P1232" s="46">
        <f t="shared" si="289"/>
        <v>0.1</v>
      </c>
      <c r="Q1232" s="46"/>
      <c r="R1232" s="45">
        <f t="shared" si="290"/>
        <v>0</v>
      </c>
      <c r="S1232" s="46">
        <f t="shared" si="291"/>
        <v>0</v>
      </c>
      <c r="T1232" s="46">
        <f>IFERROR(VLOOKUP(A1232,'[1]Re-order'!$A:$Q,17,0),"")</f>
        <v>8.2417582417582427</v>
      </c>
      <c r="U1232" s="46">
        <f>IFERROR(VLOOKUP(A1232,'[1]MC Masterlist 2026-09-12'!$B:$M, 10, 0),0)</f>
        <v>15</v>
      </c>
      <c r="V1232" s="46">
        <f>IFERROR(VLOOKUP(A1232,'[1]MC Masterlist 2026-09-12'!$B:$M, 11, 0),0)</f>
        <v>15</v>
      </c>
      <c r="W1232" s="46">
        <f t="shared" si="292"/>
        <v>30</v>
      </c>
      <c r="X1232" s="46">
        <f t="shared" si="293"/>
        <v>5.5</v>
      </c>
      <c r="Y1232" s="46">
        <f>IFERROR(IF(OR(C1232="AREA I",C1232="AREA V"),7,VLOOKUP(A1232,'[1]MC Masterlist 2026-09-12'!$B:$M, 12, 0)),0)</f>
        <v>7</v>
      </c>
      <c r="Z1232" s="46">
        <f t="shared" si="294"/>
        <v>1.5</v>
      </c>
      <c r="AA1232" s="46">
        <f t="shared" si="295"/>
        <v>3</v>
      </c>
      <c r="AB1232" s="46">
        <f t="shared" si="296"/>
        <v>0.55000000000000004</v>
      </c>
      <c r="AC1232" s="46">
        <f t="shared" si="297"/>
        <v>0.70000000000000007</v>
      </c>
      <c r="AD1232" s="44" t="str">
        <f t="shared" si="298"/>
        <v>Stockout</v>
      </c>
      <c r="AE1232" s="44" t="str">
        <f>IFERROR(VLOOKUP(A1232,'[1]Re-order'!$A:$AA,27,0),"")</f>
        <v>Stockout</v>
      </c>
      <c r="AF1232" s="46">
        <f t="shared" si="299"/>
        <v>0.70000000000000007</v>
      </c>
      <c r="AG1232" s="46">
        <f>SUMIFS('[1]Raw Inventory'!D:D,'[1]Raw Inventory'!C:C,"GREATWALL",'[1]Raw Inventory'!B:B,A1232)</f>
        <v>0</v>
      </c>
      <c r="AH1232" s="46">
        <f>SUMIFS('[1]Raw Inventory'!D:D,'[1]Raw Inventory'!C:C,"DUARTE",'[1]Raw Inventory'!B:B,A1232)</f>
        <v>0</v>
      </c>
      <c r="AI1232" s="46"/>
      <c r="AJ1232" s="46"/>
      <c r="AK1232" s="43"/>
      <c r="AL1232" s="43"/>
      <c r="AM1232" s="43"/>
      <c r="AN1232" s="43"/>
      <c r="AO1232" s="43"/>
      <c r="AP1232" s="43"/>
      <c r="AQ1232" s="43"/>
      <c r="AR1232" s="43"/>
      <c r="AS1232" s="43"/>
      <c r="AT1232" s="43"/>
    </row>
    <row r="1233" spans="1:46">
      <c r="A1233" s="43" t="s">
        <v>24</v>
      </c>
      <c r="B1233" s="43" t="s">
        <v>144</v>
      </c>
      <c r="C1233" s="43" t="s">
        <v>137</v>
      </c>
      <c r="D1233" s="44" t="s">
        <v>264</v>
      </c>
      <c r="E1233" s="44">
        <v>7</v>
      </c>
      <c r="F1233" s="44" t="s">
        <v>0</v>
      </c>
      <c r="G1233" s="43" t="str">
        <f>IFERROR(VLOOKUP(A1233,'[1]MC Masterlist 2026-09-12'!$B:$M, 3, 0),"")</f>
        <v>KAWASAKI</v>
      </c>
      <c r="H1233" s="45">
        <f>IFERROR(VLOOKUP(A1233,'[1]MC Masterlist 2026-09-12'!$B:$M, 6, 0),"")</f>
        <v>131626</v>
      </c>
      <c r="I1233" s="46">
        <v>3</v>
      </c>
      <c r="J1233" s="46">
        <v>4</v>
      </c>
      <c r="K1233" s="46">
        <v>3</v>
      </c>
      <c r="L1233" s="46">
        <f t="shared" si="285"/>
        <v>10</v>
      </c>
      <c r="M1233" s="46">
        <f t="shared" si="286"/>
        <v>3.3333333333333335</v>
      </c>
      <c r="N1233" s="45">
        <f t="shared" si="287"/>
        <v>1316260</v>
      </c>
      <c r="O1233" s="45">
        <f t="shared" si="288"/>
        <v>438753.33333333337</v>
      </c>
      <c r="P1233" s="46">
        <f t="shared" si="289"/>
        <v>0.11111111111111112</v>
      </c>
      <c r="Q1233" s="46">
        <v>1</v>
      </c>
      <c r="R1233" s="45">
        <f t="shared" si="290"/>
        <v>131626</v>
      </c>
      <c r="S1233" s="46">
        <f t="shared" si="291"/>
        <v>9</v>
      </c>
      <c r="T1233" s="46">
        <f>IFERROR(VLOOKUP(A1233,'[1]Re-order'!$A:$Q,17,0),"")</f>
        <v>40.677966101694913</v>
      </c>
      <c r="U1233" s="46">
        <f>IFERROR(VLOOKUP(A1233,'[1]MC Masterlist 2026-09-12'!$B:$M, 10, 0),0)</f>
        <v>15</v>
      </c>
      <c r="V1233" s="46">
        <f>IFERROR(VLOOKUP(A1233,'[1]MC Masterlist 2026-09-12'!$B:$M, 11, 0),0)</f>
        <v>15</v>
      </c>
      <c r="W1233" s="46">
        <f t="shared" si="292"/>
        <v>30</v>
      </c>
      <c r="X1233" s="46">
        <f t="shared" si="293"/>
        <v>5.333333333333333</v>
      </c>
      <c r="Y1233" s="46">
        <f>IFERROR(IF(OR(C1233="AREA I",C1233="AREA V"),7,VLOOKUP(A1233,'[1]MC Masterlist 2026-09-12'!$B:$M, 12, 0)),0)</f>
        <v>7</v>
      </c>
      <c r="Z1233" s="46">
        <f t="shared" si="294"/>
        <v>1.6666666666666667</v>
      </c>
      <c r="AA1233" s="46">
        <f t="shared" si="295"/>
        <v>3.3333333333333335</v>
      </c>
      <c r="AB1233" s="46">
        <f t="shared" si="296"/>
        <v>0.59259259259259256</v>
      </c>
      <c r="AC1233" s="46">
        <f t="shared" si="297"/>
        <v>0.77777777777777779</v>
      </c>
      <c r="AD1233" s="44" t="str">
        <f t="shared" si="298"/>
        <v>Over</v>
      </c>
      <c r="AE1233" s="44" t="str">
        <f>IFERROR(VLOOKUP(A1233,'[1]Re-order'!$A:$AA,27,0),"")</f>
        <v>Re-order</v>
      </c>
      <c r="AF1233" s="46">
        <f t="shared" si="299"/>
        <v>-0.22222222222222221</v>
      </c>
      <c r="AG1233" s="46">
        <f>SUMIFS('[1]Raw Inventory'!D:D,'[1]Raw Inventory'!C:C,"GREATWALL",'[1]Raw Inventory'!B:B,A1233)</f>
        <v>12</v>
      </c>
      <c r="AH1233" s="46">
        <f>SUMIFS('[1]Raw Inventory'!D:D,'[1]Raw Inventory'!C:C,"DUARTE",'[1]Raw Inventory'!B:B,A1233)</f>
        <v>0</v>
      </c>
      <c r="AI1233" s="46"/>
      <c r="AJ1233" s="46"/>
      <c r="AK1233" s="43"/>
      <c r="AL1233" s="43"/>
      <c r="AM1233" s="43"/>
      <c r="AN1233" s="43"/>
      <c r="AO1233" s="43"/>
      <c r="AP1233" s="43"/>
      <c r="AQ1233" s="43"/>
      <c r="AR1233" s="43"/>
      <c r="AS1233" s="43"/>
      <c r="AT1233" s="43"/>
    </row>
    <row r="1234" spans="1:46">
      <c r="A1234" s="43" t="s">
        <v>14</v>
      </c>
      <c r="B1234" s="43" t="s">
        <v>160</v>
      </c>
      <c r="C1234" s="43" t="s">
        <v>159</v>
      </c>
      <c r="D1234" s="44" t="s">
        <v>227</v>
      </c>
      <c r="E1234" s="44">
        <v>1</v>
      </c>
      <c r="F1234" s="44" t="s">
        <v>0</v>
      </c>
      <c r="G1234" s="43" t="str">
        <f>IFERROR(VLOOKUP(A1234,'[1]MC Masterlist 2026-09-12'!$B:$M, 3, 0),"")</f>
        <v>HONDA</v>
      </c>
      <c r="H1234" s="45">
        <f>IFERROR(VLOOKUP(A1234,'[1]MC Masterlist 2026-09-12'!$B:$M, 6, 0),"")</f>
        <v>80070</v>
      </c>
      <c r="I1234" s="46">
        <v>13</v>
      </c>
      <c r="J1234" s="46">
        <v>16</v>
      </c>
      <c r="K1234" s="46">
        <v>6</v>
      </c>
      <c r="L1234" s="46">
        <f t="shared" si="285"/>
        <v>35</v>
      </c>
      <c r="M1234" s="46">
        <f t="shared" si="286"/>
        <v>11.666666666666666</v>
      </c>
      <c r="N1234" s="45">
        <f t="shared" si="287"/>
        <v>2802450</v>
      </c>
      <c r="O1234" s="45">
        <f t="shared" si="288"/>
        <v>934150</v>
      </c>
      <c r="P1234" s="46">
        <f t="shared" si="289"/>
        <v>0.3888888888888889</v>
      </c>
      <c r="Q1234" s="46">
        <v>4</v>
      </c>
      <c r="R1234" s="45">
        <f t="shared" si="290"/>
        <v>320280</v>
      </c>
      <c r="S1234" s="46">
        <f t="shared" si="291"/>
        <v>10.285714285714286</v>
      </c>
      <c r="T1234" s="46">
        <f>IFERROR(VLOOKUP(A1234,'[1]Re-order'!$A:$Q,17,0),"")</f>
        <v>20.105787181082761</v>
      </c>
      <c r="U1234" s="46">
        <f>IFERROR(VLOOKUP(A1234,'[1]MC Masterlist 2026-09-12'!$B:$M, 10, 0),0)</f>
        <v>15</v>
      </c>
      <c r="V1234" s="46">
        <f>IFERROR(VLOOKUP(A1234,'[1]MC Masterlist 2026-09-12'!$B:$M, 11, 0),0)</f>
        <v>15</v>
      </c>
      <c r="W1234" s="46">
        <f t="shared" si="292"/>
        <v>30</v>
      </c>
      <c r="X1234" s="46">
        <f t="shared" si="293"/>
        <v>24.166666666666668</v>
      </c>
      <c r="Y1234" s="46">
        <f>IFERROR(IF(OR(C1234="AREA I",C1234="AREA V"),7,VLOOKUP(A1234,'[1]MC Masterlist 2026-09-12'!$B:$M, 12, 0)),0)</f>
        <v>30</v>
      </c>
      <c r="Z1234" s="46">
        <f t="shared" si="294"/>
        <v>5.833333333333333</v>
      </c>
      <c r="AA1234" s="46">
        <f t="shared" si="295"/>
        <v>11.666666666666666</v>
      </c>
      <c r="AB1234" s="46">
        <f t="shared" si="296"/>
        <v>9.3981481481481488</v>
      </c>
      <c r="AC1234" s="46">
        <f t="shared" si="297"/>
        <v>11.666666666666666</v>
      </c>
      <c r="AD1234" s="44" t="str">
        <f t="shared" si="298"/>
        <v>Stockout</v>
      </c>
      <c r="AE1234" s="44" t="str">
        <f>IFERROR(VLOOKUP(A1234,'[1]Re-order'!$A:$AA,27,0),"")</f>
        <v>Stockout</v>
      </c>
      <c r="AF1234" s="46">
        <f t="shared" si="299"/>
        <v>7.6666666666666661</v>
      </c>
      <c r="AG1234" s="46">
        <f>SUMIFS('[1]Raw Inventory'!D:D,'[1]Raw Inventory'!C:C,"GREATWALL",'[1]Raw Inventory'!B:B,A1234)</f>
        <v>176</v>
      </c>
      <c r="AH1234" s="46">
        <f>SUMIFS('[1]Raw Inventory'!D:D,'[1]Raw Inventory'!C:C,"DUARTE",'[1]Raw Inventory'!B:B,A1234)</f>
        <v>0</v>
      </c>
      <c r="AI1234" s="46"/>
      <c r="AJ1234" s="46"/>
      <c r="AK1234" s="43"/>
      <c r="AL1234" s="43"/>
      <c r="AM1234" s="43"/>
      <c r="AN1234" s="43"/>
      <c r="AO1234" s="43"/>
      <c r="AP1234" s="43"/>
      <c r="AQ1234" s="43"/>
      <c r="AR1234" s="43"/>
      <c r="AS1234" s="43"/>
      <c r="AT1234" s="43"/>
    </row>
    <row r="1235" spans="1:46">
      <c r="A1235" s="43" t="s">
        <v>34</v>
      </c>
      <c r="B1235" s="43" t="s">
        <v>144</v>
      </c>
      <c r="C1235" s="43" t="s">
        <v>137</v>
      </c>
      <c r="D1235" s="44" t="s">
        <v>256</v>
      </c>
      <c r="E1235" s="44">
        <v>15</v>
      </c>
      <c r="F1235" s="44" t="s">
        <v>2</v>
      </c>
      <c r="G1235" s="43" t="str">
        <f>IFERROR(VLOOKUP(A1235,'[1]MC Masterlist 2026-09-12'!$B:$M, 3, 0),"")</f>
        <v>HONDA</v>
      </c>
      <c r="H1235" s="45">
        <f>IFERROR(VLOOKUP(A1235,'[1]MC Masterlist 2026-09-12'!$B:$M, 6, 0),"")</f>
        <v>101230</v>
      </c>
      <c r="I1235" s="46">
        <v>3</v>
      </c>
      <c r="J1235" s="46">
        <v>0</v>
      </c>
      <c r="K1235" s="46">
        <v>0</v>
      </c>
      <c r="L1235" s="46">
        <f t="shared" si="285"/>
        <v>3</v>
      </c>
      <c r="M1235" s="46">
        <f t="shared" si="286"/>
        <v>1</v>
      </c>
      <c r="N1235" s="45">
        <f t="shared" si="287"/>
        <v>303690</v>
      </c>
      <c r="O1235" s="45">
        <f t="shared" si="288"/>
        <v>101230</v>
      </c>
      <c r="P1235" s="46">
        <f t="shared" si="289"/>
        <v>3.3333333333333333E-2</v>
      </c>
      <c r="Q1235" s="46"/>
      <c r="R1235" s="45">
        <f t="shared" si="290"/>
        <v>0</v>
      </c>
      <c r="S1235" s="46">
        <f t="shared" si="291"/>
        <v>0</v>
      </c>
      <c r="T1235" s="46">
        <f>IFERROR(VLOOKUP(A1235,'[1]Re-order'!$A:$Q,17,0),"")</f>
        <v>8.4375000000000018</v>
      </c>
      <c r="U1235" s="46">
        <f>IFERROR(VLOOKUP(A1235,'[1]MC Masterlist 2026-09-12'!$B:$M, 10, 0),0)</f>
        <v>15</v>
      </c>
      <c r="V1235" s="46">
        <f>IFERROR(VLOOKUP(A1235,'[1]MC Masterlist 2026-09-12'!$B:$M, 11, 0),0)</f>
        <v>15</v>
      </c>
      <c r="W1235" s="46">
        <f t="shared" si="292"/>
        <v>30</v>
      </c>
      <c r="X1235" s="46">
        <f t="shared" si="293"/>
        <v>6.5</v>
      </c>
      <c r="Y1235" s="46">
        <f>IFERROR(IF(OR(C1235="AREA I",C1235="AREA V"),7,VLOOKUP(A1235,'[1]MC Masterlist 2026-09-12'!$B:$M, 12, 0)),0)</f>
        <v>7</v>
      </c>
      <c r="Z1235" s="46">
        <f t="shared" si="294"/>
        <v>0.5</v>
      </c>
      <c r="AA1235" s="46">
        <f t="shared" si="295"/>
        <v>1</v>
      </c>
      <c r="AB1235" s="46">
        <f t="shared" si="296"/>
        <v>0.21666666666666667</v>
      </c>
      <c r="AC1235" s="46">
        <f t="shared" si="297"/>
        <v>0.23333333333333334</v>
      </c>
      <c r="AD1235" s="44" t="str">
        <f t="shared" si="298"/>
        <v>Stockout</v>
      </c>
      <c r="AE1235" s="44" t="str">
        <f>IFERROR(VLOOKUP(A1235,'[1]Re-order'!$A:$AA,27,0),"")</f>
        <v>Stockout</v>
      </c>
      <c r="AF1235" s="46">
        <f t="shared" si="299"/>
        <v>0.23333333333333334</v>
      </c>
      <c r="AG1235" s="46">
        <f>SUMIFS('[1]Raw Inventory'!D:D,'[1]Raw Inventory'!C:C,"GREATWALL",'[1]Raw Inventory'!B:B,A1235)</f>
        <v>1</v>
      </c>
      <c r="AH1235" s="46">
        <f>SUMIFS('[1]Raw Inventory'!D:D,'[1]Raw Inventory'!C:C,"DUARTE",'[1]Raw Inventory'!B:B,A1235)</f>
        <v>0</v>
      </c>
      <c r="AI1235" s="46"/>
      <c r="AJ1235" s="46"/>
      <c r="AK1235" s="43"/>
      <c r="AL1235" s="43"/>
      <c r="AM1235" s="43"/>
      <c r="AN1235" s="43"/>
      <c r="AO1235" s="43"/>
      <c r="AP1235" s="43"/>
      <c r="AQ1235" s="43"/>
      <c r="AR1235" s="43"/>
      <c r="AS1235" s="43"/>
      <c r="AT1235" s="43"/>
    </row>
    <row r="1236" spans="1:46">
      <c r="A1236" s="43" t="s">
        <v>73</v>
      </c>
      <c r="B1236" s="43" t="s">
        <v>157</v>
      </c>
      <c r="C1236" s="43" t="s">
        <v>152</v>
      </c>
      <c r="D1236" s="44" t="s">
        <v>226</v>
      </c>
      <c r="E1236" s="44">
        <v>24</v>
      </c>
      <c r="F1236" s="44" t="s">
        <v>3</v>
      </c>
      <c r="G1236" s="43" t="str">
        <f>IFERROR(VLOOKUP(A1236,'[1]MC Masterlist 2026-09-12'!$B:$M, 3, 0),"")</f>
        <v>SUZUKI</v>
      </c>
      <c r="H1236" s="45">
        <f>IFERROR(VLOOKUP(A1236,'[1]MC Masterlist 2026-09-12'!$B:$M, 6, 0),"")</f>
        <v>122770</v>
      </c>
      <c r="I1236" s="46">
        <v>0</v>
      </c>
      <c r="J1236" s="46">
        <v>0</v>
      </c>
      <c r="K1236" s="46">
        <v>0</v>
      </c>
      <c r="L1236" s="46">
        <f t="shared" si="285"/>
        <v>0</v>
      </c>
      <c r="M1236" s="46">
        <f t="shared" si="286"/>
        <v>0</v>
      </c>
      <c r="N1236" s="45">
        <f t="shared" si="287"/>
        <v>0</v>
      </c>
      <c r="O1236" s="45">
        <f t="shared" si="288"/>
        <v>0</v>
      </c>
      <c r="P1236" s="46">
        <f t="shared" si="289"/>
        <v>0</v>
      </c>
      <c r="Q1236" s="46">
        <v>1</v>
      </c>
      <c r="R1236" s="45">
        <f t="shared" si="290"/>
        <v>122770</v>
      </c>
      <c r="S1236" s="46">
        <f t="shared" si="291"/>
        <v>0</v>
      </c>
      <c r="T1236" s="46">
        <f>IFERROR(VLOOKUP(A1236,'[1]Re-order'!$A:$Q,17,0),"")</f>
        <v>787.50000000000011</v>
      </c>
      <c r="U1236" s="46">
        <f>IFERROR(VLOOKUP(A1236,'[1]MC Masterlist 2026-09-12'!$B:$M, 10, 0),0)</f>
        <v>15</v>
      </c>
      <c r="V1236" s="46">
        <f>IFERROR(VLOOKUP(A1236,'[1]MC Masterlist 2026-09-12'!$B:$M, 11, 0),0)</f>
        <v>15</v>
      </c>
      <c r="W1236" s="46">
        <f t="shared" si="292"/>
        <v>30</v>
      </c>
      <c r="X1236" s="46">
        <f t="shared" si="293"/>
        <v>30</v>
      </c>
      <c r="Y1236" s="46">
        <f>IFERROR(IF(OR(C1236="AREA I",C1236="AREA V"),7,VLOOKUP(A1236,'[1]MC Masterlist 2026-09-12'!$B:$M, 12, 0)),0)</f>
        <v>30</v>
      </c>
      <c r="Z1236" s="46">
        <f t="shared" si="294"/>
        <v>0</v>
      </c>
      <c r="AA1236" s="46">
        <f t="shared" si="295"/>
        <v>0</v>
      </c>
      <c r="AB1236" s="46">
        <f t="shared" si="296"/>
        <v>0</v>
      </c>
      <c r="AC1236" s="46">
        <f t="shared" si="297"/>
        <v>0</v>
      </c>
      <c r="AD1236" s="44" t="str">
        <f t="shared" si="298"/>
        <v>Over</v>
      </c>
      <c r="AE1236" s="44" t="str">
        <f>IFERROR(VLOOKUP(A1236,'[1]Re-order'!$A:$AA,27,0),"")</f>
        <v>Over</v>
      </c>
      <c r="AF1236" s="46">
        <f t="shared" si="299"/>
        <v>-1</v>
      </c>
      <c r="AG1236" s="46">
        <f>SUMIFS('[1]Raw Inventory'!D:D,'[1]Raw Inventory'!C:C,"GREATWALL",'[1]Raw Inventory'!B:B,A1236)</f>
        <v>9</v>
      </c>
      <c r="AH1236" s="46">
        <f>SUMIFS('[1]Raw Inventory'!D:D,'[1]Raw Inventory'!C:C,"DUARTE",'[1]Raw Inventory'!B:B,A1236)</f>
        <v>0</v>
      </c>
      <c r="AI1236" s="46"/>
      <c r="AJ1236" s="46"/>
      <c r="AK1236" s="43"/>
      <c r="AL1236" s="43"/>
      <c r="AM1236" s="43"/>
      <c r="AN1236" s="43"/>
      <c r="AO1236" s="43"/>
      <c r="AP1236" s="43"/>
      <c r="AQ1236" s="43"/>
      <c r="AR1236" s="43"/>
      <c r="AS1236" s="43"/>
      <c r="AT1236" s="43"/>
    </row>
    <row r="1237" spans="1:46">
      <c r="A1237" s="43" t="s">
        <v>25</v>
      </c>
      <c r="B1237" s="43" t="s">
        <v>30</v>
      </c>
      <c r="C1237" s="43" t="s">
        <v>1</v>
      </c>
      <c r="D1237" s="44" t="s">
        <v>243</v>
      </c>
      <c r="E1237" s="44">
        <v>18</v>
      </c>
      <c r="F1237" s="44" t="s">
        <v>2</v>
      </c>
      <c r="G1237" s="43" t="str">
        <f>IFERROR(VLOOKUP(A1237,'[1]MC Masterlist 2026-09-12'!$B:$M, 3, 0),"")</f>
        <v>YAMAHA</v>
      </c>
      <c r="H1237" s="45">
        <f>IFERROR(VLOOKUP(A1237,'[1]MC Masterlist 2026-09-12'!$B:$M, 6, 0),"")</f>
        <v>124527</v>
      </c>
      <c r="I1237" s="46">
        <v>1</v>
      </c>
      <c r="J1237" s="46">
        <v>1</v>
      </c>
      <c r="K1237" s="46">
        <v>0</v>
      </c>
      <c r="L1237" s="46">
        <f t="shared" si="285"/>
        <v>2</v>
      </c>
      <c r="M1237" s="46">
        <f t="shared" si="286"/>
        <v>0.66666666666666663</v>
      </c>
      <c r="N1237" s="45">
        <f t="shared" si="287"/>
        <v>249054</v>
      </c>
      <c r="O1237" s="45">
        <f t="shared" si="288"/>
        <v>83018</v>
      </c>
      <c r="P1237" s="46">
        <f t="shared" si="289"/>
        <v>2.222222222222222E-2</v>
      </c>
      <c r="Q1237" s="46"/>
      <c r="R1237" s="45">
        <f t="shared" si="290"/>
        <v>0</v>
      </c>
      <c r="S1237" s="46">
        <f t="shared" si="291"/>
        <v>0</v>
      </c>
      <c r="T1237" s="46">
        <f>IFERROR(VLOOKUP(A1237,'[1]Re-order'!$A:$Q,17,0),"")</f>
        <v>5.1030927835051543</v>
      </c>
      <c r="U1237" s="46">
        <f>IFERROR(VLOOKUP(A1237,'[1]MC Masterlist 2026-09-12'!$B:$M, 10, 0),0)</f>
        <v>15</v>
      </c>
      <c r="V1237" s="46">
        <f>IFERROR(VLOOKUP(A1237,'[1]MC Masterlist 2026-09-12'!$B:$M, 11, 0),0)</f>
        <v>15</v>
      </c>
      <c r="W1237" s="46">
        <f t="shared" si="292"/>
        <v>30</v>
      </c>
      <c r="X1237" s="46">
        <f t="shared" si="293"/>
        <v>6.666666666666667</v>
      </c>
      <c r="Y1237" s="46">
        <f>IFERROR(IF(OR(C1237="AREA I",C1237="AREA V"),7,VLOOKUP(A1237,'[1]MC Masterlist 2026-09-12'!$B:$M, 12, 0)),0)</f>
        <v>7</v>
      </c>
      <c r="Z1237" s="46">
        <f t="shared" si="294"/>
        <v>0.33333333333333331</v>
      </c>
      <c r="AA1237" s="46">
        <f t="shared" si="295"/>
        <v>0.66666666666666663</v>
      </c>
      <c r="AB1237" s="46">
        <f t="shared" si="296"/>
        <v>0.14814814814814814</v>
      </c>
      <c r="AC1237" s="46">
        <f t="shared" si="297"/>
        <v>0.15555555555555553</v>
      </c>
      <c r="AD1237" s="44" t="str">
        <f t="shared" si="298"/>
        <v>Stockout</v>
      </c>
      <c r="AE1237" s="44" t="str">
        <f>IFERROR(VLOOKUP(A1237,'[1]Re-order'!$A:$AA,27,0),"")</f>
        <v>Stockout</v>
      </c>
      <c r="AF1237" s="46">
        <f t="shared" si="299"/>
        <v>0.15555555555555553</v>
      </c>
      <c r="AG1237" s="46">
        <f>SUMIFS('[1]Raw Inventory'!D:D,'[1]Raw Inventory'!C:C,"GREATWALL",'[1]Raw Inventory'!B:B,A1237)</f>
        <v>1</v>
      </c>
      <c r="AH1237" s="46">
        <f>SUMIFS('[1]Raw Inventory'!D:D,'[1]Raw Inventory'!C:C,"DUARTE",'[1]Raw Inventory'!B:B,A1237)</f>
        <v>0</v>
      </c>
      <c r="AI1237" s="46"/>
      <c r="AJ1237" s="46"/>
      <c r="AK1237" s="43"/>
      <c r="AL1237" s="43"/>
      <c r="AM1237" s="43"/>
      <c r="AN1237" s="43"/>
      <c r="AO1237" s="43"/>
      <c r="AP1237" s="43"/>
      <c r="AQ1237" s="43"/>
      <c r="AR1237" s="43"/>
      <c r="AS1237" s="43"/>
      <c r="AT1237" s="43"/>
    </row>
    <row r="1238" spans="1:46">
      <c r="A1238" s="43" t="s">
        <v>86</v>
      </c>
      <c r="B1238" s="43" t="s">
        <v>130</v>
      </c>
      <c r="C1238" s="43" t="s">
        <v>128</v>
      </c>
      <c r="D1238" s="44" t="s">
        <v>239</v>
      </c>
      <c r="E1238" s="44">
        <v>30</v>
      </c>
      <c r="F1238" s="44" t="s">
        <v>3</v>
      </c>
      <c r="G1238" s="43" t="str">
        <f>IFERROR(VLOOKUP(A1238,'[1]MC Masterlist 2026-09-12'!$B:$M, 3, 0),"")</f>
        <v>KAWASAKI</v>
      </c>
      <c r="H1238" s="45">
        <f>IFERROR(VLOOKUP(A1238,'[1]MC Masterlist 2026-09-12'!$B:$M, 6, 0),"")</f>
        <v>72500</v>
      </c>
      <c r="I1238" s="46">
        <v>0</v>
      </c>
      <c r="J1238" s="46">
        <v>0</v>
      </c>
      <c r="K1238" s="46">
        <v>0</v>
      </c>
      <c r="L1238" s="46">
        <f t="shared" si="285"/>
        <v>0</v>
      </c>
      <c r="M1238" s="46">
        <f t="shared" si="286"/>
        <v>0</v>
      </c>
      <c r="N1238" s="45">
        <f t="shared" si="287"/>
        <v>0</v>
      </c>
      <c r="O1238" s="45">
        <f t="shared" si="288"/>
        <v>0</v>
      </c>
      <c r="P1238" s="46">
        <f t="shared" si="289"/>
        <v>0</v>
      </c>
      <c r="Q1238" s="46">
        <v>1</v>
      </c>
      <c r="R1238" s="45">
        <f t="shared" si="290"/>
        <v>72500</v>
      </c>
      <c r="S1238" s="46">
        <f t="shared" si="291"/>
        <v>0</v>
      </c>
      <c r="T1238" s="46">
        <f>IFERROR(VLOOKUP(A1238,'[1]Re-order'!$A:$Q,17,0),"")</f>
        <v>150</v>
      </c>
      <c r="U1238" s="46">
        <f>IFERROR(VLOOKUP(A1238,'[1]MC Masterlist 2026-09-12'!$B:$M, 10, 0),0)</f>
        <v>15</v>
      </c>
      <c r="V1238" s="46">
        <f>IFERROR(VLOOKUP(A1238,'[1]MC Masterlist 2026-09-12'!$B:$M, 11, 0),0)</f>
        <v>15</v>
      </c>
      <c r="W1238" s="46">
        <f t="shared" si="292"/>
        <v>30</v>
      </c>
      <c r="X1238" s="46">
        <f t="shared" si="293"/>
        <v>30</v>
      </c>
      <c r="Y1238" s="46">
        <f>IFERROR(IF(OR(C1238="AREA I",C1238="AREA V"),7,VLOOKUP(A1238,'[1]MC Masterlist 2026-09-12'!$B:$M, 12, 0)),0)</f>
        <v>30</v>
      </c>
      <c r="Z1238" s="46">
        <f t="shared" si="294"/>
        <v>0</v>
      </c>
      <c r="AA1238" s="46">
        <f t="shared" si="295"/>
        <v>0</v>
      </c>
      <c r="AB1238" s="46">
        <f t="shared" si="296"/>
        <v>0</v>
      </c>
      <c r="AC1238" s="46">
        <f t="shared" si="297"/>
        <v>0</v>
      </c>
      <c r="AD1238" s="44" t="str">
        <f t="shared" si="298"/>
        <v>Over</v>
      </c>
      <c r="AE1238" s="44" t="str">
        <f>IFERROR(VLOOKUP(A1238,'[1]Re-order'!$A:$AA,27,0),"")</f>
        <v>Over</v>
      </c>
      <c r="AF1238" s="46">
        <f t="shared" si="299"/>
        <v>-1</v>
      </c>
      <c r="AG1238" s="46">
        <f>SUMIFS('[1]Raw Inventory'!D:D,'[1]Raw Inventory'!C:C,"GREATWALL",'[1]Raw Inventory'!B:B,A1238)</f>
        <v>0</v>
      </c>
      <c r="AH1238" s="46">
        <f>SUMIFS('[1]Raw Inventory'!D:D,'[1]Raw Inventory'!C:C,"DUARTE",'[1]Raw Inventory'!B:B,A1238)</f>
        <v>0</v>
      </c>
      <c r="AI1238" s="46"/>
      <c r="AJ1238" s="46"/>
      <c r="AK1238" s="43"/>
      <c r="AL1238" s="43"/>
      <c r="AM1238" s="43"/>
      <c r="AN1238" s="43"/>
      <c r="AO1238" s="43"/>
      <c r="AP1238" s="43"/>
      <c r="AQ1238" s="43"/>
      <c r="AR1238" s="43"/>
      <c r="AS1238" s="43"/>
      <c r="AT1238" s="43"/>
    </row>
    <row r="1239" spans="1:46">
      <c r="A1239" s="43" t="s">
        <v>22</v>
      </c>
      <c r="B1239" s="43" t="s">
        <v>11</v>
      </c>
      <c r="C1239" s="43" t="s">
        <v>1</v>
      </c>
      <c r="D1239" s="44" t="s">
        <v>254</v>
      </c>
      <c r="E1239" s="44">
        <v>6</v>
      </c>
      <c r="F1239" s="44" t="s">
        <v>2</v>
      </c>
      <c r="G1239" s="43" t="str">
        <f>IFERROR(VLOOKUP(A1239,'[1]MC Masterlist 2026-09-12'!$B:$M, 3, 0),"")</f>
        <v>HONDA</v>
      </c>
      <c r="H1239" s="45">
        <f>IFERROR(VLOOKUP(A1239,'[1]MC Masterlist 2026-09-12'!$B:$M, 6, 0),"")</f>
        <v>111258</v>
      </c>
      <c r="I1239" s="46">
        <v>6</v>
      </c>
      <c r="J1239" s="46">
        <v>5</v>
      </c>
      <c r="K1239" s="46">
        <v>3</v>
      </c>
      <c r="L1239" s="46">
        <f t="shared" si="285"/>
        <v>14</v>
      </c>
      <c r="M1239" s="46">
        <f t="shared" si="286"/>
        <v>4.666666666666667</v>
      </c>
      <c r="N1239" s="45">
        <f t="shared" si="287"/>
        <v>1557612</v>
      </c>
      <c r="O1239" s="45">
        <f t="shared" si="288"/>
        <v>519204.00000000006</v>
      </c>
      <c r="P1239" s="46">
        <f t="shared" si="289"/>
        <v>0.15555555555555556</v>
      </c>
      <c r="Q1239" s="46"/>
      <c r="R1239" s="45">
        <f t="shared" si="290"/>
        <v>0</v>
      </c>
      <c r="S1239" s="46">
        <f t="shared" si="291"/>
        <v>0</v>
      </c>
      <c r="T1239" s="46">
        <f>IFERROR(VLOOKUP(A1239,'[1]Re-order'!$A:$Q,17,0),"")</f>
        <v>41.339712918660283</v>
      </c>
      <c r="U1239" s="46">
        <f>IFERROR(VLOOKUP(A1239,'[1]MC Masterlist 2026-09-12'!$B:$M, 10, 0),0)</f>
        <v>15</v>
      </c>
      <c r="V1239" s="46">
        <f>IFERROR(VLOOKUP(A1239,'[1]MC Masterlist 2026-09-12'!$B:$M, 11, 0),0)</f>
        <v>15</v>
      </c>
      <c r="W1239" s="46">
        <f t="shared" si="292"/>
        <v>30</v>
      </c>
      <c r="X1239" s="46">
        <f t="shared" si="293"/>
        <v>4.6666666666666661</v>
      </c>
      <c r="Y1239" s="46">
        <f>IFERROR(IF(OR(C1239="AREA I",C1239="AREA V"),7,VLOOKUP(A1239,'[1]MC Masterlist 2026-09-12'!$B:$M, 12, 0)),0)</f>
        <v>7</v>
      </c>
      <c r="Z1239" s="46">
        <f t="shared" si="294"/>
        <v>2.3333333333333335</v>
      </c>
      <c r="AA1239" s="46">
        <f t="shared" si="295"/>
        <v>4.666666666666667</v>
      </c>
      <c r="AB1239" s="46">
        <f t="shared" si="296"/>
        <v>0.72592592592592586</v>
      </c>
      <c r="AC1239" s="46">
        <f t="shared" si="297"/>
        <v>1.088888888888889</v>
      </c>
      <c r="AD1239" s="44" t="str">
        <f t="shared" si="298"/>
        <v>Stockout</v>
      </c>
      <c r="AE1239" s="44" t="str">
        <f>IFERROR(VLOOKUP(A1239,'[1]Re-order'!$A:$AA,27,0),"")</f>
        <v>Re-order</v>
      </c>
      <c r="AF1239" s="46">
        <f t="shared" si="299"/>
        <v>1.088888888888889</v>
      </c>
      <c r="AG1239" s="46">
        <f>SUMIFS('[1]Raw Inventory'!D:D,'[1]Raw Inventory'!C:C,"GREATWALL",'[1]Raw Inventory'!B:B,A1239)</f>
        <v>4</v>
      </c>
      <c r="AH1239" s="46">
        <f>SUMIFS('[1]Raw Inventory'!D:D,'[1]Raw Inventory'!C:C,"DUARTE",'[1]Raw Inventory'!B:B,A1239)</f>
        <v>0</v>
      </c>
      <c r="AI1239" s="46"/>
      <c r="AJ1239" s="46"/>
      <c r="AK1239" s="43"/>
      <c r="AL1239" s="43"/>
      <c r="AM1239" s="43"/>
      <c r="AN1239" s="43"/>
      <c r="AO1239" s="43"/>
      <c r="AP1239" s="43"/>
      <c r="AQ1239" s="43"/>
      <c r="AR1239" s="43"/>
      <c r="AS1239" s="43"/>
      <c r="AT1239" s="43"/>
    </row>
    <row r="1240" spans="1:46">
      <c r="A1240" s="43" t="s">
        <v>77</v>
      </c>
      <c r="B1240" s="43" t="s">
        <v>138</v>
      </c>
      <c r="C1240" s="43" t="s">
        <v>137</v>
      </c>
      <c r="D1240" s="44" t="s">
        <v>296</v>
      </c>
      <c r="E1240" s="44">
        <v>39</v>
      </c>
      <c r="F1240" s="44" t="s">
        <v>3</v>
      </c>
      <c r="G1240" s="43" t="str">
        <f>IFERROR(VLOOKUP(A1240,'[1]MC Masterlist 2026-09-12'!$B:$M, 3, 0),"")</f>
        <v>SUZUKI</v>
      </c>
      <c r="H1240" s="45">
        <f>IFERROR(VLOOKUP(A1240,'[1]MC Masterlist 2026-09-12'!$B:$M, 6, 0),"")</f>
        <v>91057</v>
      </c>
      <c r="I1240" s="46">
        <v>0</v>
      </c>
      <c r="J1240" s="46">
        <v>0</v>
      </c>
      <c r="K1240" s="46">
        <v>0</v>
      </c>
      <c r="L1240" s="46">
        <f t="shared" si="285"/>
        <v>0</v>
      </c>
      <c r="M1240" s="46">
        <f t="shared" si="286"/>
        <v>0</v>
      </c>
      <c r="N1240" s="45">
        <f t="shared" si="287"/>
        <v>0</v>
      </c>
      <c r="O1240" s="45">
        <f t="shared" si="288"/>
        <v>0</v>
      </c>
      <c r="P1240" s="46">
        <f t="shared" si="289"/>
        <v>0</v>
      </c>
      <c r="Q1240" s="46">
        <v>13</v>
      </c>
      <c r="R1240" s="45">
        <f t="shared" si="290"/>
        <v>1183741</v>
      </c>
      <c r="S1240" s="46">
        <f t="shared" si="291"/>
        <v>0</v>
      </c>
      <c r="T1240" s="46">
        <f>IFERROR(VLOOKUP(A1240,'[1]Re-order'!$A:$Q,17,0),"")</f>
        <v>1125</v>
      </c>
      <c r="U1240" s="46">
        <f>IFERROR(VLOOKUP(A1240,'[1]MC Masterlist 2026-09-12'!$B:$M, 10, 0),0)</f>
        <v>15</v>
      </c>
      <c r="V1240" s="46">
        <f>IFERROR(VLOOKUP(A1240,'[1]MC Masterlist 2026-09-12'!$B:$M, 11, 0),0)</f>
        <v>15</v>
      </c>
      <c r="W1240" s="46">
        <f t="shared" si="292"/>
        <v>30</v>
      </c>
      <c r="X1240" s="46">
        <f t="shared" si="293"/>
        <v>7</v>
      </c>
      <c r="Y1240" s="46">
        <f>IFERROR(IF(OR(C1240="AREA I",C1240="AREA V"),7,VLOOKUP(A1240,'[1]MC Masterlist 2026-09-12'!$B:$M, 12, 0)),0)</f>
        <v>7</v>
      </c>
      <c r="Z1240" s="46">
        <f t="shared" si="294"/>
        <v>0</v>
      </c>
      <c r="AA1240" s="46">
        <f t="shared" si="295"/>
        <v>0</v>
      </c>
      <c r="AB1240" s="46">
        <f t="shared" si="296"/>
        <v>0</v>
      </c>
      <c r="AC1240" s="46">
        <f t="shared" si="297"/>
        <v>0</v>
      </c>
      <c r="AD1240" s="44" t="str">
        <f t="shared" si="298"/>
        <v>Over</v>
      </c>
      <c r="AE1240" s="44" t="str">
        <f>IFERROR(VLOOKUP(A1240,'[1]Re-order'!$A:$AA,27,0),"")</f>
        <v>Over</v>
      </c>
      <c r="AF1240" s="46">
        <f t="shared" si="299"/>
        <v>-13</v>
      </c>
      <c r="AG1240" s="46">
        <f>SUMIFS('[1]Raw Inventory'!D:D,'[1]Raw Inventory'!C:C,"GREATWALL",'[1]Raw Inventory'!B:B,A1240)</f>
        <v>13</v>
      </c>
      <c r="AH1240" s="46">
        <f>SUMIFS('[1]Raw Inventory'!D:D,'[1]Raw Inventory'!C:C,"DUARTE",'[1]Raw Inventory'!B:B,A1240)</f>
        <v>0</v>
      </c>
      <c r="AI1240" s="46"/>
      <c r="AJ1240" s="46"/>
      <c r="AK1240" s="43"/>
      <c r="AL1240" s="43"/>
      <c r="AM1240" s="43"/>
      <c r="AN1240" s="43"/>
      <c r="AO1240" s="43"/>
      <c r="AP1240" s="43"/>
      <c r="AQ1240" s="43"/>
      <c r="AR1240" s="43"/>
      <c r="AS1240" s="43"/>
      <c r="AT1240" s="43"/>
    </row>
    <row r="1241" spans="1:46">
      <c r="A1241" s="43" t="s">
        <v>39</v>
      </c>
      <c r="B1241" s="43" t="s">
        <v>161</v>
      </c>
      <c r="C1241" s="43" t="s">
        <v>159</v>
      </c>
      <c r="D1241" s="44" t="s">
        <v>284</v>
      </c>
      <c r="E1241" s="44">
        <v>1</v>
      </c>
      <c r="F1241" s="44" t="s">
        <v>0</v>
      </c>
      <c r="G1241" s="43" t="str">
        <f>IFERROR(VLOOKUP(A1241,'[1]MC Masterlist 2026-09-12'!$B:$M, 3, 0),"")</f>
        <v>HONDA</v>
      </c>
      <c r="H1241" s="45">
        <f>IFERROR(VLOOKUP(A1241,'[1]MC Masterlist 2026-09-12'!$B:$M, 6, 0),"")</f>
        <v>72434</v>
      </c>
      <c r="I1241" s="46">
        <v>0</v>
      </c>
      <c r="J1241" s="46">
        <v>0</v>
      </c>
      <c r="K1241" s="46">
        <v>0</v>
      </c>
      <c r="L1241" s="46">
        <f t="shared" si="285"/>
        <v>0</v>
      </c>
      <c r="M1241" s="46">
        <f t="shared" si="286"/>
        <v>0</v>
      </c>
      <c r="N1241" s="45">
        <f t="shared" si="287"/>
        <v>0</v>
      </c>
      <c r="O1241" s="45">
        <f t="shared" si="288"/>
        <v>0</v>
      </c>
      <c r="P1241" s="46">
        <f t="shared" si="289"/>
        <v>0</v>
      </c>
      <c r="Q1241" s="46">
        <v>1</v>
      </c>
      <c r="R1241" s="45">
        <f t="shared" si="290"/>
        <v>72434</v>
      </c>
      <c r="S1241" s="46">
        <f t="shared" si="291"/>
        <v>0</v>
      </c>
      <c r="T1241" s="46">
        <f>IFERROR(VLOOKUP(A1241,'[1]Re-order'!$A:$Q,17,0),"")</f>
        <v>40.982142857142854</v>
      </c>
      <c r="U1241" s="46">
        <f>IFERROR(VLOOKUP(A1241,'[1]MC Masterlist 2026-09-12'!$B:$M, 10, 0),0)</f>
        <v>15</v>
      </c>
      <c r="V1241" s="46">
        <f>IFERROR(VLOOKUP(A1241,'[1]MC Masterlist 2026-09-12'!$B:$M, 11, 0),0)</f>
        <v>15</v>
      </c>
      <c r="W1241" s="46">
        <f t="shared" si="292"/>
        <v>30</v>
      </c>
      <c r="X1241" s="46">
        <f t="shared" si="293"/>
        <v>30</v>
      </c>
      <c r="Y1241" s="46">
        <f>IFERROR(IF(OR(C1241="AREA I",C1241="AREA V"),7,VLOOKUP(A1241,'[1]MC Masterlist 2026-09-12'!$B:$M, 12, 0)),0)</f>
        <v>30</v>
      </c>
      <c r="Z1241" s="46">
        <f t="shared" si="294"/>
        <v>0</v>
      </c>
      <c r="AA1241" s="46">
        <f t="shared" si="295"/>
        <v>0</v>
      </c>
      <c r="AB1241" s="46">
        <f t="shared" si="296"/>
        <v>0</v>
      </c>
      <c r="AC1241" s="46">
        <f t="shared" si="297"/>
        <v>0</v>
      </c>
      <c r="AD1241" s="44" t="str">
        <f t="shared" si="298"/>
        <v>Over</v>
      </c>
      <c r="AE1241" s="44" t="str">
        <f>IFERROR(VLOOKUP(A1241,'[1]Re-order'!$A:$AA,27,0),"")</f>
        <v>Re-order</v>
      </c>
      <c r="AF1241" s="46">
        <f t="shared" si="299"/>
        <v>-1</v>
      </c>
      <c r="AG1241" s="46">
        <f>SUMIFS('[1]Raw Inventory'!D:D,'[1]Raw Inventory'!C:C,"GREATWALL",'[1]Raw Inventory'!B:B,A1241)</f>
        <v>16</v>
      </c>
      <c r="AH1241" s="46">
        <f>SUMIFS('[1]Raw Inventory'!D:D,'[1]Raw Inventory'!C:C,"DUARTE",'[1]Raw Inventory'!B:B,A1241)</f>
        <v>0</v>
      </c>
      <c r="AI1241" s="46"/>
      <c r="AJ1241" s="46"/>
      <c r="AK1241" s="43"/>
      <c r="AL1241" s="43"/>
      <c r="AM1241" s="43"/>
      <c r="AN1241" s="43"/>
      <c r="AO1241" s="43"/>
      <c r="AP1241" s="43"/>
      <c r="AQ1241" s="43"/>
      <c r="AR1241" s="43"/>
      <c r="AS1241" s="43"/>
      <c r="AT1241" s="43"/>
    </row>
    <row r="1242" spans="1:46">
      <c r="A1242" s="43" t="s">
        <v>44</v>
      </c>
      <c r="B1242" s="43" t="s">
        <v>146</v>
      </c>
      <c r="C1242" s="43" t="s">
        <v>137</v>
      </c>
      <c r="D1242" s="44" t="s">
        <v>259</v>
      </c>
      <c r="E1242" s="44">
        <v>5</v>
      </c>
      <c r="F1242" s="44" t="s">
        <v>0</v>
      </c>
      <c r="G1242" s="43" t="str">
        <f>IFERROR(VLOOKUP(A1242,'[1]MC Masterlist 2026-09-12'!$B:$M, 3, 0),"")</f>
        <v>YAMAHA</v>
      </c>
      <c r="H1242" s="45">
        <f>IFERROR(VLOOKUP(A1242,'[1]MC Masterlist 2026-09-12'!$B:$M, 6, 0),"")</f>
        <v>165912</v>
      </c>
      <c r="I1242" s="46">
        <v>1</v>
      </c>
      <c r="J1242" s="46">
        <v>3</v>
      </c>
      <c r="K1242" s="46">
        <v>0</v>
      </c>
      <c r="L1242" s="46">
        <f t="shared" si="285"/>
        <v>4</v>
      </c>
      <c r="M1242" s="46">
        <f t="shared" si="286"/>
        <v>1.3333333333333333</v>
      </c>
      <c r="N1242" s="45">
        <f t="shared" si="287"/>
        <v>663648</v>
      </c>
      <c r="O1242" s="45">
        <f t="shared" si="288"/>
        <v>221216</v>
      </c>
      <c r="P1242" s="46">
        <f t="shared" si="289"/>
        <v>4.4444444444444439E-2</v>
      </c>
      <c r="Q1242" s="46"/>
      <c r="R1242" s="45">
        <f t="shared" si="290"/>
        <v>0</v>
      </c>
      <c r="S1242" s="46">
        <f t="shared" si="291"/>
        <v>0</v>
      </c>
      <c r="T1242" s="46">
        <f>IFERROR(VLOOKUP(A1242,'[1]Re-order'!$A:$Q,17,0),"")</f>
        <v>10.588235294117649</v>
      </c>
      <c r="U1242" s="46">
        <f>IFERROR(VLOOKUP(A1242,'[1]MC Masterlist 2026-09-12'!$B:$M, 10, 0),0)</f>
        <v>15</v>
      </c>
      <c r="V1242" s="46">
        <f>IFERROR(VLOOKUP(A1242,'[1]MC Masterlist 2026-09-12'!$B:$M, 11, 0),0)</f>
        <v>15</v>
      </c>
      <c r="W1242" s="46">
        <f t="shared" si="292"/>
        <v>30</v>
      </c>
      <c r="X1242" s="46">
        <f t="shared" si="293"/>
        <v>6.333333333333333</v>
      </c>
      <c r="Y1242" s="46">
        <f>IFERROR(IF(OR(C1242="AREA I",C1242="AREA V"),7,VLOOKUP(A1242,'[1]MC Masterlist 2026-09-12'!$B:$M, 12, 0)),0)</f>
        <v>7</v>
      </c>
      <c r="Z1242" s="46">
        <f t="shared" si="294"/>
        <v>0.66666666666666663</v>
      </c>
      <c r="AA1242" s="46">
        <f t="shared" si="295"/>
        <v>1.3333333333333333</v>
      </c>
      <c r="AB1242" s="46">
        <f t="shared" si="296"/>
        <v>0.28148148148148144</v>
      </c>
      <c r="AC1242" s="46">
        <f t="shared" si="297"/>
        <v>0.31111111111111106</v>
      </c>
      <c r="AD1242" s="44" t="str">
        <f t="shared" si="298"/>
        <v>Stockout</v>
      </c>
      <c r="AE1242" s="44" t="str">
        <f>IFERROR(VLOOKUP(A1242,'[1]Re-order'!$A:$AA,27,0),"")</f>
        <v>Stockout</v>
      </c>
      <c r="AF1242" s="46">
        <f t="shared" si="299"/>
        <v>0.31111111111111106</v>
      </c>
      <c r="AG1242" s="46">
        <f>SUMIFS('[1]Raw Inventory'!D:D,'[1]Raw Inventory'!C:C,"GREATWALL",'[1]Raw Inventory'!B:B,A1242)</f>
        <v>0</v>
      </c>
      <c r="AH1242" s="46">
        <f>SUMIFS('[1]Raw Inventory'!D:D,'[1]Raw Inventory'!C:C,"DUARTE",'[1]Raw Inventory'!B:B,A1242)</f>
        <v>0</v>
      </c>
      <c r="AI1242" s="46"/>
      <c r="AJ1242" s="46"/>
      <c r="AK1242" s="43"/>
      <c r="AL1242" s="43"/>
      <c r="AM1242" s="43"/>
      <c r="AN1242" s="43"/>
      <c r="AO1242" s="43"/>
      <c r="AP1242" s="43"/>
      <c r="AQ1242" s="43"/>
      <c r="AR1242" s="43"/>
      <c r="AS1242" s="43"/>
      <c r="AT1242" s="43"/>
    </row>
    <row r="1243" spans="1:46">
      <c r="A1243" s="43" t="s">
        <v>43</v>
      </c>
      <c r="B1243" s="43" t="s">
        <v>122</v>
      </c>
      <c r="C1243" s="43" t="s">
        <v>118</v>
      </c>
      <c r="D1243" s="44" t="s">
        <v>246</v>
      </c>
      <c r="E1243" s="44">
        <v>14</v>
      </c>
      <c r="F1243" s="44" t="s">
        <v>2</v>
      </c>
      <c r="G1243" s="43" t="str">
        <f>IFERROR(VLOOKUP(A1243,'[1]MC Masterlist 2026-09-12'!$B:$M, 3, 0),"")</f>
        <v>YAMAHA</v>
      </c>
      <c r="H1243" s="45">
        <f>IFERROR(VLOOKUP(A1243,'[1]MC Masterlist 2026-09-12'!$B:$M, 6, 0),"")</f>
        <v>70587</v>
      </c>
      <c r="I1243" s="46">
        <v>3</v>
      </c>
      <c r="J1243" s="46">
        <v>2</v>
      </c>
      <c r="K1243" s="46">
        <v>1</v>
      </c>
      <c r="L1243" s="46">
        <f t="shared" si="285"/>
        <v>6</v>
      </c>
      <c r="M1243" s="46">
        <f t="shared" si="286"/>
        <v>2</v>
      </c>
      <c r="N1243" s="45">
        <f t="shared" si="287"/>
        <v>423522</v>
      </c>
      <c r="O1243" s="45">
        <f t="shared" si="288"/>
        <v>141174</v>
      </c>
      <c r="P1243" s="46">
        <f t="shared" si="289"/>
        <v>6.6666666666666666E-2</v>
      </c>
      <c r="Q1243" s="46"/>
      <c r="R1243" s="45">
        <f t="shared" si="290"/>
        <v>0</v>
      </c>
      <c r="S1243" s="46">
        <f t="shared" si="291"/>
        <v>0</v>
      </c>
      <c r="T1243" s="46">
        <f>IFERROR(VLOOKUP(A1243,'[1]Re-order'!$A:$Q,17,0),"")</f>
        <v>43.578947368421055</v>
      </c>
      <c r="U1243" s="46">
        <f>IFERROR(VLOOKUP(A1243,'[1]MC Masterlist 2026-09-12'!$B:$M, 10, 0),0)</f>
        <v>15</v>
      </c>
      <c r="V1243" s="46">
        <f>IFERROR(VLOOKUP(A1243,'[1]MC Masterlist 2026-09-12'!$B:$M, 11, 0),0)</f>
        <v>15</v>
      </c>
      <c r="W1243" s="46">
        <f t="shared" si="292"/>
        <v>30</v>
      </c>
      <c r="X1243" s="46">
        <f t="shared" si="293"/>
        <v>29</v>
      </c>
      <c r="Y1243" s="46">
        <f>IFERROR(IF(OR(C1243="AREA I",C1243="AREA V"),7,VLOOKUP(A1243,'[1]MC Masterlist 2026-09-12'!$B:$M, 12, 0)),0)</f>
        <v>30</v>
      </c>
      <c r="Z1243" s="46">
        <f t="shared" si="294"/>
        <v>1</v>
      </c>
      <c r="AA1243" s="46">
        <f t="shared" si="295"/>
        <v>2</v>
      </c>
      <c r="AB1243" s="46">
        <f t="shared" si="296"/>
        <v>1.9333333333333333</v>
      </c>
      <c r="AC1243" s="46">
        <f t="shared" si="297"/>
        <v>2</v>
      </c>
      <c r="AD1243" s="44" t="str">
        <f t="shared" si="298"/>
        <v>Stockout</v>
      </c>
      <c r="AE1243" s="44" t="str">
        <f>IFERROR(VLOOKUP(A1243,'[1]Re-order'!$A:$AA,27,0),"")</f>
        <v>Re-order</v>
      </c>
      <c r="AF1243" s="46">
        <f t="shared" si="299"/>
        <v>2</v>
      </c>
      <c r="AG1243" s="46">
        <f>SUMIFS('[1]Raw Inventory'!D:D,'[1]Raw Inventory'!C:C,"GREATWALL",'[1]Raw Inventory'!B:B,A1243)</f>
        <v>0</v>
      </c>
      <c r="AH1243" s="46">
        <f>SUMIFS('[1]Raw Inventory'!D:D,'[1]Raw Inventory'!C:C,"DUARTE",'[1]Raw Inventory'!B:B,A1243)</f>
        <v>0</v>
      </c>
      <c r="AI1243" s="46"/>
      <c r="AJ1243" s="46"/>
      <c r="AK1243" s="43"/>
      <c r="AL1243" s="43"/>
      <c r="AM1243" s="43"/>
      <c r="AN1243" s="43"/>
      <c r="AO1243" s="43"/>
      <c r="AP1243" s="43"/>
      <c r="AQ1243" s="43"/>
      <c r="AR1243" s="43"/>
      <c r="AS1243" s="43"/>
      <c r="AT1243" s="43"/>
    </row>
    <row r="1244" spans="1:46">
      <c r="A1244" s="43" t="s">
        <v>42</v>
      </c>
      <c r="B1244" s="43" t="s">
        <v>21</v>
      </c>
      <c r="C1244" s="43" t="s">
        <v>1</v>
      </c>
      <c r="D1244" s="44" t="s">
        <v>251</v>
      </c>
      <c r="E1244" s="44">
        <v>8</v>
      </c>
      <c r="F1244" s="44" t="s">
        <v>0</v>
      </c>
      <c r="G1244" s="43" t="str">
        <f>IFERROR(VLOOKUP(A1244,'[1]MC Masterlist 2026-09-12'!$B:$M, 3, 0),"")</f>
        <v>YAMAHA</v>
      </c>
      <c r="H1244" s="45">
        <f>IFERROR(VLOOKUP(A1244,'[1]MC Masterlist 2026-09-12'!$B:$M, 6, 0),"")</f>
        <v>152892</v>
      </c>
      <c r="I1244" s="46">
        <v>0</v>
      </c>
      <c r="J1244" s="46">
        <v>1</v>
      </c>
      <c r="K1244" s="46">
        <v>3</v>
      </c>
      <c r="L1244" s="46">
        <f t="shared" si="285"/>
        <v>4</v>
      </c>
      <c r="M1244" s="46">
        <f t="shared" si="286"/>
        <v>1.3333333333333333</v>
      </c>
      <c r="N1244" s="45">
        <f t="shared" si="287"/>
        <v>611568</v>
      </c>
      <c r="O1244" s="45">
        <f t="shared" si="288"/>
        <v>203856</v>
      </c>
      <c r="P1244" s="46">
        <f t="shared" si="289"/>
        <v>4.4444444444444439E-2</v>
      </c>
      <c r="Q1244" s="46"/>
      <c r="R1244" s="45">
        <f t="shared" si="290"/>
        <v>0</v>
      </c>
      <c r="S1244" s="46">
        <f t="shared" si="291"/>
        <v>0</v>
      </c>
      <c r="T1244" s="46">
        <f>IFERROR(VLOOKUP(A1244,'[1]Re-order'!$A:$Q,17,0),"")</f>
        <v>104.55882352941177</v>
      </c>
      <c r="U1244" s="46">
        <f>IFERROR(VLOOKUP(A1244,'[1]MC Masterlist 2026-09-12'!$B:$M, 10, 0),0)</f>
        <v>15</v>
      </c>
      <c r="V1244" s="46">
        <f>IFERROR(VLOOKUP(A1244,'[1]MC Masterlist 2026-09-12'!$B:$M, 11, 0),0)</f>
        <v>15</v>
      </c>
      <c r="W1244" s="46">
        <f t="shared" si="292"/>
        <v>30</v>
      </c>
      <c r="X1244" s="46">
        <f t="shared" si="293"/>
        <v>6.333333333333333</v>
      </c>
      <c r="Y1244" s="46">
        <f>IFERROR(IF(OR(C1244="AREA I",C1244="AREA V"),7,VLOOKUP(A1244,'[1]MC Masterlist 2026-09-12'!$B:$M, 12, 0)),0)</f>
        <v>7</v>
      </c>
      <c r="Z1244" s="46">
        <f t="shared" si="294"/>
        <v>0.66666666666666663</v>
      </c>
      <c r="AA1244" s="46">
        <f t="shared" si="295"/>
        <v>1.3333333333333333</v>
      </c>
      <c r="AB1244" s="46">
        <f t="shared" si="296"/>
        <v>0.28148148148148144</v>
      </c>
      <c r="AC1244" s="46">
        <f t="shared" si="297"/>
        <v>0.31111111111111106</v>
      </c>
      <c r="AD1244" s="44" t="str">
        <f t="shared" si="298"/>
        <v>Stockout</v>
      </c>
      <c r="AE1244" s="44" t="str">
        <f>IFERROR(VLOOKUP(A1244,'[1]Re-order'!$A:$AA,27,0),"")</f>
        <v>Over</v>
      </c>
      <c r="AF1244" s="46">
        <f t="shared" si="299"/>
        <v>0.31111111111111106</v>
      </c>
      <c r="AG1244" s="46">
        <f>SUMIFS('[1]Raw Inventory'!D:D,'[1]Raw Inventory'!C:C,"GREATWALL",'[1]Raw Inventory'!B:B,A1244)</f>
        <v>3</v>
      </c>
      <c r="AH1244" s="46">
        <f>SUMIFS('[1]Raw Inventory'!D:D,'[1]Raw Inventory'!C:C,"DUARTE",'[1]Raw Inventory'!B:B,A1244)</f>
        <v>0</v>
      </c>
      <c r="AI1244" s="46"/>
      <c r="AJ1244" s="46"/>
      <c r="AK1244" s="43"/>
      <c r="AL1244" s="43"/>
      <c r="AM1244" s="43"/>
      <c r="AN1244" s="43"/>
      <c r="AO1244" s="43"/>
      <c r="AP1244" s="43"/>
      <c r="AQ1244" s="43"/>
      <c r="AR1244" s="43"/>
      <c r="AS1244" s="43"/>
      <c r="AT1244" s="43"/>
    </row>
    <row r="1245" spans="1:46">
      <c r="A1245" s="43" t="s">
        <v>35</v>
      </c>
      <c r="B1245" s="43" t="s">
        <v>29</v>
      </c>
      <c r="C1245" s="43" t="s">
        <v>1</v>
      </c>
      <c r="D1245" s="44" t="s">
        <v>226</v>
      </c>
      <c r="E1245" s="44">
        <v>36</v>
      </c>
      <c r="F1245" s="44" t="s">
        <v>3</v>
      </c>
      <c r="G1245" s="43" t="str">
        <f>IFERROR(VLOOKUP(A1245,'[1]MC Masterlist 2026-09-12'!$B:$M, 3, 0),"")</f>
        <v>HONDA</v>
      </c>
      <c r="H1245" s="45">
        <f>IFERROR(VLOOKUP(A1245,'[1]MC Masterlist 2026-09-12'!$B:$M, 6, 0),"")</f>
        <v>57990</v>
      </c>
      <c r="I1245" s="46">
        <v>0</v>
      </c>
      <c r="J1245" s="46">
        <v>0</v>
      </c>
      <c r="K1245" s="46">
        <v>1</v>
      </c>
      <c r="L1245" s="46">
        <f t="shared" si="285"/>
        <v>1</v>
      </c>
      <c r="M1245" s="46">
        <f t="shared" si="286"/>
        <v>0.33333333333333331</v>
      </c>
      <c r="N1245" s="45">
        <f t="shared" si="287"/>
        <v>57990</v>
      </c>
      <c r="O1245" s="45">
        <f t="shared" si="288"/>
        <v>19330</v>
      </c>
      <c r="P1245" s="46">
        <f t="shared" si="289"/>
        <v>1.111111111111111E-2</v>
      </c>
      <c r="Q1245" s="46"/>
      <c r="R1245" s="45">
        <f t="shared" si="290"/>
        <v>0</v>
      </c>
      <c r="S1245" s="46">
        <f t="shared" si="291"/>
        <v>0</v>
      </c>
      <c r="T1245" s="46">
        <f>IFERROR(VLOOKUP(A1245,'[1]Re-order'!$A:$Q,17,0),"")</f>
        <v>68.275862068965523</v>
      </c>
      <c r="U1245" s="46">
        <f>IFERROR(VLOOKUP(A1245,'[1]MC Masterlist 2026-09-12'!$B:$M, 10, 0),0)</f>
        <v>15</v>
      </c>
      <c r="V1245" s="46">
        <f>IFERROR(VLOOKUP(A1245,'[1]MC Masterlist 2026-09-12'!$B:$M, 11, 0),0)</f>
        <v>15</v>
      </c>
      <c r="W1245" s="46">
        <f t="shared" si="292"/>
        <v>30</v>
      </c>
      <c r="X1245" s="46">
        <f t="shared" si="293"/>
        <v>6.833333333333333</v>
      </c>
      <c r="Y1245" s="46">
        <f>IFERROR(IF(OR(C1245="AREA I",C1245="AREA V"),7,VLOOKUP(A1245,'[1]MC Masterlist 2026-09-12'!$B:$M, 12, 0)),0)</f>
        <v>7</v>
      </c>
      <c r="Z1245" s="46">
        <f t="shared" si="294"/>
        <v>0.16666666666666666</v>
      </c>
      <c r="AA1245" s="46">
        <f t="shared" si="295"/>
        <v>0.33333333333333331</v>
      </c>
      <c r="AB1245" s="46">
        <f t="shared" si="296"/>
        <v>7.5925925925925911E-2</v>
      </c>
      <c r="AC1245" s="46">
        <f t="shared" si="297"/>
        <v>7.7777777777777765E-2</v>
      </c>
      <c r="AD1245" s="44" t="str">
        <f t="shared" si="298"/>
        <v>Stockout</v>
      </c>
      <c r="AE1245" s="44" t="str">
        <f>IFERROR(VLOOKUP(A1245,'[1]Re-order'!$A:$AA,27,0),"")</f>
        <v>Re-order</v>
      </c>
      <c r="AF1245" s="46">
        <f t="shared" si="299"/>
        <v>7.7777777777777765E-2</v>
      </c>
      <c r="AG1245" s="46">
        <f>SUMIFS('[1]Raw Inventory'!D:D,'[1]Raw Inventory'!C:C,"GREATWALL",'[1]Raw Inventory'!B:B,A1245)</f>
        <v>29</v>
      </c>
      <c r="AH1245" s="46">
        <f>SUMIFS('[1]Raw Inventory'!D:D,'[1]Raw Inventory'!C:C,"DUARTE",'[1]Raw Inventory'!B:B,A1245)</f>
        <v>0</v>
      </c>
      <c r="AI1245" s="46"/>
      <c r="AJ1245" s="46"/>
      <c r="AK1245" s="43"/>
      <c r="AL1245" s="43"/>
      <c r="AM1245" s="43"/>
      <c r="AN1245" s="43"/>
      <c r="AO1245" s="43"/>
      <c r="AP1245" s="43"/>
      <c r="AQ1245" s="43"/>
      <c r="AR1245" s="43"/>
      <c r="AS1245" s="43"/>
      <c r="AT1245" s="43"/>
    </row>
    <row r="1246" spans="1:46">
      <c r="A1246" s="43" t="s">
        <v>69</v>
      </c>
      <c r="B1246" s="43" t="s">
        <v>5</v>
      </c>
      <c r="C1246" s="43" t="s">
        <v>118</v>
      </c>
      <c r="D1246" s="44" t="s">
        <v>247</v>
      </c>
      <c r="E1246" s="44">
        <v>22</v>
      </c>
      <c r="F1246" s="44" t="s">
        <v>3</v>
      </c>
      <c r="G1246" s="43" t="str">
        <f>IFERROR(VLOOKUP(A1246,'[1]MC Masterlist 2026-09-12'!$B:$M, 3, 0),"")</f>
        <v>YAMAHA</v>
      </c>
      <c r="H1246" s="45">
        <f>IFERROR(VLOOKUP(A1246,'[1]MC Masterlist 2026-09-12'!$B:$M, 6, 0),"")</f>
        <v>54426</v>
      </c>
      <c r="I1246" s="46">
        <v>0</v>
      </c>
      <c r="J1246" s="46">
        <v>1</v>
      </c>
      <c r="K1246" s="46">
        <v>0</v>
      </c>
      <c r="L1246" s="46">
        <f t="shared" si="285"/>
        <v>1</v>
      </c>
      <c r="M1246" s="46">
        <f t="shared" si="286"/>
        <v>0.33333333333333331</v>
      </c>
      <c r="N1246" s="45">
        <f t="shared" si="287"/>
        <v>54426</v>
      </c>
      <c r="O1246" s="45">
        <f t="shared" si="288"/>
        <v>18142</v>
      </c>
      <c r="P1246" s="46">
        <f t="shared" si="289"/>
        <v>1.111111111111111E-2</v>
      </c>
      <c r="Q1246" s="46"/>
      <c r="R1246" s="45">
        <f t="shared" si="290"/>
        <v>0</v>
      </c>
      <c r="S1246" s="46">
        <f t="shared" si="291"/>
        <v>0</v>
      </c>
      <c r="T1246" s="46">
        <f>IFERROR(VLOOKUP(A1246,'[1]Re-order'!$A:$Q,17,0),"")</f>
        <v>62.307692307692314</v>
      </c>
      <c r="U1246" s="46">
        <f>IFERROR(VLOOKUP(A1246,'[1]MC Masterlist 2026-09-12'!$B:$M, 10, 0),0)</f>
        <v>15</v>
      </c>
      <c r="V1246" s="46">
        <f>IFERROR(VLOOKUP(A1246,'[1]MC Masterlist 2026-09-12'!$B:$M, 11, 0),0)</f>
        <v>15</v>
      </c>
      <c r="W1246" s="46">
        <f t="shared" si="292"/>
        <v>30</v>
      </c>
      <c r="X1246" s="46">
        <f t="shared" si="293"/>
        <v>29.833333333333332</v>
      </c>
      <c r="Y1246" s="46">
        <f>IFERROR(IF(OR(C1246="AREA I",C1246="AREA V"),7,VLOOKUP(A1246,'[1]MC Masterlist 2026-09-12'!$B:$M, 12, 0)),0)</f>
        <v>30</v>
      </c>
      <c r="Z1246" s="46">
        <f t="shared" si="294"/>
        <v>0.16666666666666666</v>
      </c>
      <c r="AA1246" s="46">
        <f t="shared" si="295"/>
        <v>0.33333333333333331</v>
      </c>
      <c r="AB1246" s="46">
        <f t="shared" si="296"/>
        <v>0.33148148148148143</v>
      </c>
      <c r="AC1246" s="46">
        <f t="shared" si="297"/>
        <v>0.33333333333333331</v>
      </c>
      <c r="AD1246" s="44" t="str">
        <f t="shared" si="298"/>
        <v>Stockout</v>
      </c>
      <c r="AE1246" s="44" t="str">
        <f>IFERROR(VLOOKUP(A1246,'[1]Re-order'!$A:$AA,27,0),"")</f>
        <v>Re-order</v>
      </c>
      <c r="AF1246" s="46">
        <f t="shared" si="299"/>
        <v>0.33333333333333331</v>
      </c>
      <c r="AG1246" s="46">
        <f>SUMIFS('[1]Raw Inventory'!D:D,'[1]Raw Inventory'!C:C,"GREATWALL",'[1]Raw Inventory'!B:B,A1246)</f>
        <v>1</v>
      </c>
      <c r="AH1246" s="46">
        <f>SUMIFS('[1]Raw Inventory'!D:D,'[1]Raw Inventory'!C:C,"DUARTE",'[1]Raw Inventory'!B:B,A1246)</f>
        <v>0</v>
      </c>
      <c r="AI1246" s="46"/>
      <c r="AJ1246" s="46"/>
      <c r="AK1246" s="43"/>
      <c r="AL1246" s="43"/>
      <c r="AM1246" s="43"/>
      <c r="AN1246" s="43"/>
      <c r="AO1246" s="43"/>
      <c r="AP1246" s="43"/>
      <c r="AQ1246" s="43"/>
      <c r="AR1246" s="43"/>
      <c r="AS1246" s="43"/>
      <c r="AT1246" s="43"/>
    </row>
    <row r="1247" spans="1:46">
      <c r="A1247" s="43" t="s">
        <v>69</v>
      </c>
      <c r="B1247" s="43" t="s">
        <v>156</v>
      </c>
      <c r="C1247" s="43" t="s">
        <v>152</v>
      </c>
      <c r="D1247" s="44" t="s">
        <v>246</v>
      </c>
      <c r="E1247" s="44">
        <v>8</v>
      </c>
      <c r="F1247" s="44" t="s">
        <v>2</v>
      </c>
      <c r="G1247" s="43" t="str">
        <f>IFERROR(VLOOKUP(A1247,'[1]MC Masterlist 2026-09-12'!$B:$M, 3, 0),"")</f>
        <v>YAMAHA</v>
      </c>
      <c r="H1247" s="45">
        <f>IFERROR(VLOOKUP(A1247,'[1]MC Masterlist 2026-09-12'!$B:$M, 6, 0),"")</f>
        <v>54426</v>
      </c>
      <c r="I1247" s="46">
        <v>1</v>
      </c>
      <c r="J1247" s="46">
        <v>1</v>
      </c>
      <c r="K1247" s="46">
        <v>3</v>
      </c>
      <c r="L1247" s="46">
        <f t="shared" si="285"/>
        <v>5</v>
      </c>
      <c r="M1247" s="46">
        <f t="shared" si="286"/>
        <v>1.6666666666666667</v>
      </c>
      <c r="N1247" s="45">
        <f t="shared" si="287"/>
        <v>272130</v>
      </c>
      <c r="O1247" s="45">
        <f t="shared" si="288"/>
        <v>90710</v>
      </c>
      <c r="P1247" s="46">
        <f t="shared" si="289"/>
        <v>5.5555555555555559E-2</v>
      </c>
      <c r="Q1247" s="46"/>
      <c r="R1247" s="45">
        <f t="shared" si="290"/>
        <v>0</v>
      </c>
      <c r="S1247" s="46">
        <f t="shared" si="291"/>
        <v>0</v>
      </c>
      <c r="T1247" s="46">
        <f>IFERROR(VLOOKUP(A1247,'[1]Re-order'!$A:$Q,17,0),"")</f>
        <v>62.307692307692314</v>
      </c>
      <c r="U1247" s="46">
        <f>IFERROR(VLOOKUP(A1247,'[1]MC Masterlist 2026-09-12'!$B:$M, 10, 0),0)</f>
        <v>15</v>
      </c>
      <c r="V1247" s="46">
        <f>IFERROR(VLOOKUP(A1247,'[1]MC Masterlist 2026-09-12'!$B:$M, 11, 0),0)</f>
        <v>15</v>
      </c>
      <c r="W1247" s="46">
        <f t="shared" si="292"/>
        <v>30</v>
      </c>
      <c r="X1247" s="46">
        <f t="shared" si="293"/>
        <v>29.166666666666668</v>
      </c>
      <c r="Y1247" s="46">
        <f>IFERROR(IF(OR(C1247="AREA I",C1247="AREA V"),7,VLOOKUP(A1247,'[1]MC Masterlist 2026-09-12'!$B:$M, 12, 0)),0)</f>
        <v>30</v>
      </c>
      <c r="Z1247" s="46">
        <f t="shared" si="294"/>
        <v>0.83333333333333337</v>
      </c>
      <c r="AA1247" s="46">
        <f t="shared" si="295"/>
        <v>1.6666666666666667</v>
      </c>
      <c r="AB1247" s="46">
        <f t="shared" si="296"/>
        <v>1.6203703703703705</v>
      </c>
      <c r="AC1247" s="46">
        <f t="shared" si="297"/>
        <v>1.6666666666666667</v>
      </c>
      <c r="AD1247" s="44" t="str">
        <f t="shared" si="298"/>
        <v>Stockout</v>
      </c>
      <c r="AE1247" s="44" t="str">
        <f>IFERROR(VLOOKUP(A1247,'[1]Re-order'!$A:$AA,27,0),"")</f>
        <v>Re-order</v>
      </c>
      <c r="AF1247" s="46">
        <f t="shared" si="299"/>
        <v>1.6666666666666667</v>
      </c>
      <c r="AG1247" s="46">
        <f>SUMIFS('[1]Raw Inventory'!D:D,'[1]Raw Inventory'!C:C,"GREATWALL",'[1]Raw Inventory'!B:B,A1247)</f>
        <v>1</v>
      </c>
      <c r="AH1247" s="46">
        <f>SUMIFS('[1]Raw Inventory'!D:D,'[1]Raw Inventory'!C:C,"DUARTE",'[1]Raw Inventory'!B:B,A1247)</f>
        <v>0</v>
      </c>
      <c r="AI1247" s="46"/>
      <c r="AJ1247" s="46"/>
      <c r="AK1247" s="43"/>
      <c r="AL1247" s="43"/>
      <c r="AM1247" s="43"/>
      <c r="AN1247" s="43"/>
      <c r="AO1247" s="43"/>
      <c r="AP1247" s="43"/>
      <c r="AQ1247" s="43"/>
      <c r="AR1247" s="43"/>
      <c r="AS1247" s="43"/>
      <c r="AT1247" s="43"/>
    </row>
    <row r="1248" spans="1:46">
      <c r="A1248" s="43" t="s">
        <v>18</v>
      </c>
      <c r="B1248" s="43" t="s">
        <v>157</v>
      </c>
      <c r="C1248" s="43" t="s">
        <v>152</v>
      </c>
      <c r="D1248" s="44" t="s">
        <v>221</v>
      </c>
      <c r="E1248" s="44">
        <v>17</v>
      </c>
      <c r="F1248" s="44" t="s">
        <v>3</v>
      </c>
      <c r="G1248" s="43" t="str">
        <f>IFERROR(VLOOKUP(A1248,'[1]MC Masterlist 2026-09-12'!$B:$M, 3, 0),"")</f>
        <v>HONDA</v>
      </c>
      <c r="H1248" s="45">
        <f>IFERROR(VLOOKUP(A1248,'[1]MC Masterlist 2026-09-12'!$B:$M, 6, 0),"")</f>
        <v>94330</v>
      </c>
      <c r="I1248" s="46">
        <v>0</v>
      </c>
      <c r="J1248" s="46">
        <v>1</v>
      </c>
      <c r="K1248" s="46">
        <v>1</v>
      </c>
      <c r="L1248" s="46">
        <f t="shared" si="285"/>
        <v>2</v>
      </c>
      <c r="M1248" s="46">
        <f t="shared" si="286"/>
        <v>0.66666666666666663</v>
      </c>
      <c r="N1248" s="45">
        <f t="shared" si="287"/>
        <v>188660</v>
      </c>
      <c r="O1248" s="45">
        <f t="shared" si="288"/>
        <v>62886.666666666664</v>
      </c>
      <c r="P1248" s="46">
        <f t="shared" si="289"/>
        <v>2.222222222222222E-2</v>
      </c>
      <c r="Q1248" s="46">
        <v>7</v>
      </c>
      <c r="R1248" s="45">
        <f t="shared" si="290"/>
        <v>660310</v>
      </c>
      <c r="S1248" s="46">
        <f t="shared" si="291"/>
        <v>315</v>
      </c>
      <c r="T1248" s="46">
        <f>IFERROR(VLOOKUP(A1248,'[1]Re-order'!$A:$Q,17,0),"")</f>
        <v>113.9644970414201</v>
      </c>
      <c r="U1248" s="46">
        <f>IFERROR(VLOOKUP(A1248,'[1]MC Masterlist 2026-09-12'!$B:$M, 10, 0),0)</f>
        <v>15</v>
      </c>
      <c r="V1248" s="46">
        <f>IFERROR(VLOOKUP(A1248,'[1]MC Masterlist 2026-09-12'!$B:$M, 11, 0),0)</f>
        <v>15</v>
      </c>
      <c r="W1248" s="46">
        <f t="shared" si="292"/>
        <v>30</v>
      </c>
      <c r="X1248" s="46">
        <f t="shared" si="293"/>
        <v>29.666666666666668</v>
      </c>
      <c r="Y1248" s="46">
        <f>IFERROR(IF(OR(C1248="AREA I",C1248="AREA V"),7,VLOOKUP(A1248,'[1]MC Masterlist 2026-09-12'!$B:$M, 12, 0)),0)</f>
        <v>30</v>
      </c>
      <c r="Z1248" s="46">
        <f t="shared" si="294"/>
        <v>0.33333333333333331</v>
      </c>
      <c r="AA1248" s="46">
        <f t="shared" si="295"/>
        <v>0.66666666666666663</v>
      </c>
      <c r="AB1248" s="46">
        <f t="shared" si="296"/>
        <v>0.65925925925925921</v>
      </c>
      <c r="AC1248" s="46">
        <f t="shared" si="297"/>
        <v>0.66666666666666663</v>
      </c>
      <c r="AD1248" s="44" t="str">
        <f t="shared" si="298"/>
        <v>Over</v>
      </c>
      <c r="AE1248" s="44" t="str">
        <f>IFERROR(VLOOKUP(A1248,'[1]Re-order'!$A:$AA,27,0),"")</f>
        <v>Over</v>
      </c>
      <c r="AF1248" s="46">
        <f t="shared" si="299"/>
        <v>-6.333333333333333</v>
      </c>
      <c r="AG1248" s="46">
        <f>SUMIFS('[1]Raw Inventory'!D:D,'[1]Raw Inventory'!C:C,"GREATWALL",'[1]Raw Inventory'!B:B,A1248)</f>
        <v>88</v>
      </c>
      <c r="AH1248" s="46">
        <f>SUMIFS('[1]Raw Inventory'!D:D,'[1]Raw Inventory'!C:C,"DUARTE",'[1]Raw Inventory'!B:B,A1248)</f>
        <v>0</v>
      </c>
      <c r="AI1248" s="46"/>
      <c r="AJ1248" s="46"/>
      <c r="AK1248" s="43"/>
      <c r="AL1248" s="43"/>
      <c r="AM1248" s="43"/>
      <c r="AN1248" s="43"/>
      <c r="AO1248" s="43"/>
      <c r="AP1248" s="43"/>
      <c r="AQ1248" s="43"/>
      <c r="AR1248" s="43"/>
      <c r="AS1248" s="43"/>
      <c r="AT1248" s="43"/>
    </row>
    <row r="1249" spans="1:46">
      <c r="A1249" s="43" t="s">
        <v>12</v>
      </c>
      <c r="B1249" s="43" t="s">
        <v>110</v>
      </c>
      <c r="C1249" s="43" t="s">
        <v>109</v>
      </c>
      <c r="D1249" s="44" t="s">
        <v>225</v>
      </c>
      <c r="E1249" s="44">
        <v>3</v>
      </c>
      <c r="F1249" s="44" t="s">
        <v>0</v>
      </c>
      <c r="G1249" s="43" t="str">
        <f>IFERROR(VLOOKUP(A1249,'[1]MC Masterlist 2026-09-12'!$B:$M, 3, 0),"")</f>
        <v>HONDA</v>
      </c>
      <c r="H1249" s="45">
        <f>IFERROR(VLOOKUP(A1249,'[1]MC Masterlist 2026-09-12'!$B:$M, 6, 0),"")</f>
        <v>158270</v>
      </c>
      <c r="I1249" s="46">
        <v>3</v>
      </c>
      <c r="J1249" s="46">
        <v>0</v>
      </c>
      <c r="K1249" s="46">
        <v>4</v>
      </c>
      <c r="L1249" s="46">
        <f t="shared" si="285"/>
        <v>7</v>
      </c>
      <c r="M1249" s="46">
        <f t="shared" si="286"/>
        <v>2.3333333333333335</v>
      </c>
      <c r="N1249" s="45">
        <f t="shared" si="287"/>
        <v>1107890</v>
      </c>
      <c r="O1249" s="45">
        <f t="shared" si="288"/>
        <v>369296.66666666669</v>
      </c>
      <c r="P1249" s="46">
        <f t="shared" si="289"/>
        <v>7.7777777777777779E-2</v>
      </c>
      <c r="Q1249" s="46">
        <v>2</v>
      </c>
      <c r="R1249" s="45">
        <f t="shared" si="290"/>
        <v>316540</v>
      </c>
      <c r="S1249" s="46">
        <f t="shared" si="291"/>
        <v>25.714285714285712</v>
      </c>
      <c r="T1249" s="46">
        <f>IFERROR(VLOOKUP(A1249,'[1]Re-order'!$A:$Q,17,0),"")</f>
        <v>46.461038961038959</v>
      </c>
      <c r="U1249" s="46">
        <f>IFERROR(VLOOKUP(A1249,'[1]MC Masterlist 2026-09-12'!$B:$M, 10, 0),0)</f>
        <v>15</v>
      </c>
      <c r="V1249" s="46">
        <f>IFERROR(VLOOKUP(A1249,'[1]MC Masterlist 2026-09-12'!$B:$M, 11, 0),0)</f>
        <v>15</v>
      </c>
      <c r="W1249" s="46">
        <f t="shared" si="292"/>
        <v>30</v>
      </c>
      <c r="X1249" s="46">
        <f t="shared" si="293"/>
        <v>28.833333333333332</v>
      </c>
      <c r="Y1249" s="46">
        <f>IFERROR(IF(OR(C1249="AREA I",C1249="AREA V"),7,VLOOKUP(A1249,'[1]MC Masterlist 2026-09-12'!$B:$M, 12, 0)),0)</f>
        <v>30</v>
      </c>
      <c r="Z1249" s="46">
        <f t="shared" si="294"/>
        <v>1.1666666666666667</v>
      </c>
      <c r="AA1249" s="46">
        <f t="shared" si="295"/>
        <v>2.3333333333333335</v>
      </c>
      <c r="AB1249" s="46">
        <f t="shared" si="296"/>
        <v>2.2425925925925925</v>
      </c>
      <c r="AC1249" s="46">
        <f t="shared" si="297"/>
        <v>2.3333333333333335</v>
      </c>
      <c r="AD1249" s="44" t="str">
        <f t="shared" si="298"/>
        <v>Re-order</v>
      </c>
      <c r="AE1249" s="44" t="str">
        <f>IFERROR(VLOOKUP(A1249,'[1]Re-order'!$A:$AA,27,0),"")</f>
        <v>Re-order</v>
      </c>
      <c r="AF1249" s="46">
        <f t="shared" si="299"/>
        <v>0.33333333333333348</v>
      </c>
      <c r="AG1249" s="46">
        <f>SUMIFS('[1]Raw Inventory'!D:D,'[1]Raw Inventory'!C:C,"GREATWALL",'[1]Raw Inventory'!B:B,A1249)</f>
        <v>35</v>
      </c>
      <c r="AH1249" s="46">
        <f>SUMIFS('[1]Raw Inventory'!D:D,'[1]Raw Inventory'!C:C,"DUARTE",'[1]Raw Inventory'!B:B,A1249)</f>
        <v>0</v>
      </c>
      <c r="AI1249" s="46"/>
      <c r="AJ1249" s="46"/>
      <c r="AK1249" s="43"/>
      <c r="AL1249" s="43"/>
      <c r="AM1249" s="43"/>
      <c r="AN1249" s="43"/>
      <c r="AO1249" s="43"/>
      <c r="AP1249" s="43"/>
      <c r="AQ1249" s="43"/>
      <c r="AR1249" s="43"/>
      <c r="AS1249" s="43"/>
      <c r="AT1249" s="43"/>
    </row>
    <row r="1250" spans="1:46">
      <c r="A1250" s="43" t="s">
        <v>50</v>
      </c>
      <c r="B1250" s="43" t="s">
        <v>123</v>
      </c>
      <c r="C1250" s="43" t="s">
        <v>118</v>
      </c>
      <c r="D1250" s="44" t="s">
        <v>240</v>
      </c>
      <c r="E1250" s="44">
        <v>11</v>
      </c>
      <c r="F1250" s="44" t="s">
        <v>2</v>
      </c>
      <c r="G1250" s="43" t="str">
        <f>IFERROR(VLOOKUP(A1250,'[1]MC Masterlist 2026-09-12'!$B:$M, 3, 0),"")</f>
        <v>YAMAHA</v>
      </c>
      <c r="H1250" s="45">
        <f>IFERROR(VLOOKUP(A1250,'[1]MC Masterlist 2026-09-12'!$B:$M, 6, 0),"")</f>
        <v>78957</v>
      </c>
      <c r="I1250" s="46">
        <v>0</v>
      </c>
      <c r="J1250" s="46">
        <v>1</v>
      </c>
      <c r="K1250" s="46">
        <v>1</v>
      </c>
      <c r="L1250" s="46">
        <f t="shared" si="285"/>
        <v>2</v>
      </c>
      <c r="M1250" s="46">
        <f t="shared" si="286"/>
        <v>0.66666666666666663</v>
      </c>
      <c r="N1250" s="45">
        <f t="shared" si="287"/>
        <v>157914</v>
      </c>
      <c r="O1250" s="45">
        <f t="shared" si="288"/>
        <v>52638</v>
      </c>
      <c r="P1250" s="46">
        <f t="shared" si="289"/>
        <v>2.222222222222222E-2</v>
      </c>
      <c r="Q1250" s="46"/>
      <c r="R1250" s="45">
        <f t="shared" si="290"/>
        <v>0</v>
      </c>
      <c r="S1250" s="46">
        <f t="shared" si="291"/>
        <v>0</v>
      </c>
      <c r="T1250" s="46">
        <f>IFERROR(VLOOKUP(A1250,'[1]Re-order'!$A:$Q,17,0),"")</f>
        <v>118.125</v>
      </c>
      <c r="U1250" s="46">
        <f>IFERROR(VLOOKUP(A1250,'[1]MC Masterlist 2026-09-12'!$B:$M, 10, 0),0)</f>
        <v>15</v>
      </c>
      <c r="V1250" s="46">
        <f>IFERROR(VLOOKUP(A1250,'[1]MC Masterlist 2026-09-12'!$B:$M, 11, 0),0)</f>
        <v>15</v>
      </c>
      <c r="W1250" s="46">
        <f t="shared" si="292"/>
        <v>30</v>
      </c>
      <c r="X1250" s="46">
        <f t="shared" si="293"/>
        <v>29.666666666666668</v>
      </c>
      <c r="Y1250" s="46">
        <f>IFERROR(IF(OR(C1250="AREA I",C1250="AREA V"),7,VLOOKUP(A1250,'[1]MC Masterlist 2026-09-12'!$B:$M, 12, 0)),0)</f>
        <v>30</v>
      </c>
      <c r="Z1250" s="46">
        <f t="shared" si="294"/>
        <v>0.33333333333333331</v>
      </c>
      <c r="AA1250" s="46">
        <f t="shared" si="295"/>
        <v>0.66666666666666663</v>
      </c>
      <c r="AB1250" s="46">
        <f t="shared" si="296"/>
        <v>0.65925925925925921</v>
      </c>
      <c r="AC1250" s="46">
        <f t="shared" si="297"/>
        <v>0.66666666666666663</v>
      </c>
      <c r="AD1250" s="44" t="str">
        <f t="shared" si="298"/>
        <v>Stockout</v>
      </c>
      <c r="AE1250" s="44" t="str">
        <f>IFERROR(VLOOKUP(A1250,'[1]Re-order'!$A:$AA,27,0),"")</f>
        <v>Over</v>
      </c>
      <c r="AF1250" s="46">
        <f t="shared" si="299"/>
        <v>0.66666666666666663</v>
      </c>
      <c r="AG1250" s="46">
        <f>SUMIFS('[1]Raw Inventory'!D:D,'[1]Raw Inventory'!C:C,"GREATWALL",'[1]Raw Inventory'!B:B,A1250)</f>
        <v>23</v>
      </c>
      <c r="AH1250" s="46">
        <f>SUMIFS('[1]Raw Inventory'!D:D,'[1]Raw Inventory'!C:C,"DUARTE",'[1]Raw Inventory'!B:B,A1250)</f>
        <v>0</v>
      </c>
      <c r="AI1250" s="46"/>
      <c r="AJ1250" s="46"/>
      <c r="AK1250" s="43"/>
      <c r="AL1250" s="43"/>
      <c r="AM1250" s="43"/>
      <c r="AN1250" s="43"/>
      <c r="AO1250" s="43"/>
      <c r="AP1250" s="43"/>
      <c r="AQ1250" s="43"/>
      <c r="AR1250" s="43"/>
      <c r="AS1250" s="43"/>
      <c r="AT1250" s="43"/>
    </row>
    <row r="1251" spans="1:46">
      <c r="A1251" s="43" t="s">
        <v>50</v>
      </c>
      <c r="B1251" s="43" t="s">
        <v>112</v>
      </c>
      <c r="C1251" s="43" t="s">
        <v>109</v>
      </c>
      <c r="D1251" s="44" t="s">
        <v>223</v>
      </c>
      <c r="E1251" s="44">
        <v>18</v>
      </c>
      <c r="F1251" s="44" t="s">
        <v>3</v>
      </c>
      <c r="G1251" s="43" t="str">
        <f>IFERROR(VLOOKUP(A1251,'[1]MC Masterlist 2026-09-12'!$B:$M, 3, 0),"")</f>
        <v>YAMAHA</v>
      </c>
      <c r="H1251" s="45">
        <f>IFERROR(VLOOKUP(A1251,'[1]MC Masterlist 2026-09-12'!$B:$M, 6, 0),"")</f>
        <v>78957</v>
      </c>
      <c r="I1251" s="46">
        <v>1</v>
      </c>
      <c r="J1251" s="46">
        <v>0</v>
      </c>
      <c r="K1251" s="46">
        <v>0</v>
      </c>
      <c r="L1251" s="46">
        <f t="shared" si="285"/>
        <v>1</v>
      </c>
      <c r="M1251" s="46">
        <f t="shared" si="286"/>
        <v>0.33333333333333331</v>
      </c>
      <c r="N1251" s="45">
        <f t="shared" si="287"/>
        <v>78957</v>
      </c>
      <c r="O1251" s="45">
        <f t="shared" si="288"/>
        <v>26319</v>
      </c>
      <c r="P1251" s="46">
        <f t="shared" si="289"/>
        <v>1.111111111111111E-2</v>
      </c>
      <c r="Q1251" s="46"/>
      <c r="R1251" s="45">
        <f t="shared" si="290"/>
        <v>0</v>
      </c>
      <c r="S1251" s="46">
        <f t="shared" si="291"/>
        <v>0</v>
      </c>
      <c r="T1251" s="46">
        <f>IFERROR(VLOOKUP(A1251,'[1]Re-order'!$A:$Q,17,0),"")</f>
        <v>118.125</v>
      </c>
      <c r="U1251" s="46">
        <f>IFERROR(VLOOKUP(A1251,'[1]MC Masterlist 2026-09-12'!$B:$M, 10, 0),0)</f>
        <v>15</v>
      </c>
      <c r="V1251" s="46">
        <f>IFERROR(VLOOKUP(A1251,'[1]MC Masterlist 2026-09-12'!$B:$M, 11, 0),0)</f>
        <v>15</v>
      </c>
      <c r="W1251" s="46">
        <f t="shared" si="292"/>
        <v>30</v>
      </c>
      <c r="X1251" s="46">
        <f t="shared" si="293"/>
        <v>29.833333333333332</v>
      </c>
      <c r="Y1251" s="46">
        <f>IFERROR(IF(OR(C1251="AREA I",C1251="AREA V"),7,VLOOKUP(A1251,'[1]MC Masterlist 2026-09-12'!$B:$M, 12, 0)),0)</f>
        <v>30</v>
      </c>
      <c r="Z1251" s="46">
        <f t="shared" si="294"/>
        <v>0.16666666666666666</v>
      </c>
      <c r="AA1251" s="46">
        <f t="shared" si="295"/>
        <v>0.33333333333333331</v>
      </c>
      <c r="AB1251" s="46">
        <f t="shared" si="296"/>
        <v>0.33148148148148143</v>
      </c>
      <c r="AC1251" s="46">
        <f t="shared" si="297"/>
        <v>0.33333333333333331</v>
      </c>
      <c r="AD1251" s="44" t="str">
        <f t="shared" si="298"/>
        <v>Stockout</v>
      </c>
      <c r="AE1251" s="44" t="str">
        <f>IFERROR(VLOOKUP(A1251,'[1]Re-order'!$A:$AA,27,0),"")</f>
        <v>Over</v>
      </c>
      <c r="AF1251" s="46">
        <f t="shared" si="299"/>
        <v>0.33333333333333331</v>
      </c>
      <c r="AG1251" s="46">
        <f>SUMIFS('[1]Raw Inventory'!D:D,'[1]Raw Inventory'!C:C,"GREATWALL",'[1]Raw Inventory'!B:B,A1251)</f>
        <v>23</v>
      </c>
      <c r="AH1251" s="46">
        <f>SUMIFS('[1]Raw Inventory'!D:D,'[1]Raw Inventory'!C:C,"DUARTE",'[1]Raw Inventory'!B:B,A1251)</f>
        <v>0</v>
      </c>
      <c r="AI1251" s="46"/>
      <c r="AJ1251" s="46"/>
      <c r="AK1251" s="43"/>
      <c r="AL1251" s="43"/>
      <c r="AM1251" s="43"/>
      <c r="AN1251" s="43"/>
      <c r="AO1251" s="43"/>
      <c r="AP1251" s="43"/>
      <c r="AQ1251" s="43"/>
      <c r="AR1251" s="43"/>
      <c r="AS1251" s="43"/>
      <c r="AT1251" s="43"/>
    </row>
    <row r="1252" spans="1:46">
      <c r="A1252" s="43" t="s">
        <v>108</v>
      </c>
      <c r="B1252" s="43" t="s">
        <v>98</v>
      </c>
      <c r="C1252" s="43" t="s">
        <v>90</v>
      </c>
      <c r="D1252" s="44" t="s">
        <v>242</v>
      </c>
      <c r="E1252" s="44">
        <v>22</v>
      </c>
      <c r="F1252" s="44" t="s">
        <v>3</v>
      </c>
      <c r="G1252" s="43" t="str">
        <f>IFERROR(VLOOKUP(A1252,'[1]MC Masterlist 2026-09-12'!$B:$M, 3, 0),"")</f>
        <v>SUZUKI</v>
      </c>
      <c r="H1252" s="45">
        <f>IFERROR(VLOOKUP(A1252,'[1]MC Masterlist 2026-09-12'!$B:$M, 6, 0),"")</f>
        <v>66412</v>
      </c>
      <c r="I1252" s="46">
        <v>0</v>
      </c>
      <c r="J1252" s="46">
        <v>0</v>
      </c>
      <c r="K1252" s="46">
        <v>0</v>
      </c>
      <c r="L1252" s="46">
        <f t="shared" si="285"/>
        <v>0</v>
      </c>
      <c r="M1252" s="46">
        <f t="shared" si="286"/>
        <v>0</v>
      </c>
      <c r="N1252" s="45">
        <f t="shared" si="287"/>
        <v>0</v>
      </c>
      <c r="O1252" s="45">
        <f t="shared" si="288"/>
        <v>0</v>
      </c>
      <c r="P1252" s="46">
        <f t="shared" si="289"/>
        <v>0</v>
      </c>
      <c r="Q1252" s="46">
        <v>1</v>
      </c>
      <c r="R1252" s="45">
        <f t="shared" si="290"/>
        <v>66412</v>
      </c>
      <c r="S1252" s="46">
        <f t="shared" si="291"/>
        <v>0</v>
      </c>
      <c r="T1252" s="46">
        <f>IFERROR(VLOOKUP(A1252,'[1]Re-order'!$A:$Q,17,0),"")</f>
        <v>540</v>
      </c>
      <c r="U1252" s="46">
        <f>IFERROR(VLOOKUP(A1252,'[1]MC Masterlist 2026-09-12'!$B:$M, 10, 0),0)</f>
        <v>15</v>
      </c>
      <c r="V1252" s="46">
        <f>IFERROR(VLOOKUP(A1252,'[1]MC Masterlist 2026-09-12'!$B:$M, 11, 0),0)</f>
        <v>15</v>
      </c>
      <c r="W1252" s="46">
        <f t="shared" si="292"/>
        <v>30</v>
      </c>
      <c r="X1252" s="46">
        <f t="shared" si="293"/>
        <v>30</v>
      </c>
      <c r="Y1252" s="46">
        <f>IFERROR(IF(OR(C1252="AREA I",C1252="AREA V"),7,VLOOKUP(A1252,'[1]MC Masterlist 2026-09-12'!$B:$M, 12, 0)),0)</f>
        <v>30</v>
      </c>
      <c r="Z1252" s="46">
        <f t="shared" si="294"/>
        <v>0</v>
      </c>
      <c r="AA1252" s="46">
        <f t="shared" si="295"/>
        <v>0</v>
      </c>
      <c r="AB1252" s="46">
        <f t="shared" si="296"/>
        <v>0</v>
      </c>
      <c r="AC1252" s="46">
        <f t="shared" si="297"/>
        <v>0</v>
      </c>
      <c r="AD1252" s="44" t="str">
        <f t="shared" si="298"/>
        <v>Over</v>
      </c>
      <c r="AE1252" s="44" t="str">
        <f>IFERROR(VLOOKUP(A1252,'[1]Re-order'!$A:$AA,27,0),"")</f>
        <v>Over</v>
      </c>
      <c r="AF1252" s="46">
        <f t="shared" si="299"/>
        <v>-1</v>
      </c>
      <c r="AG1252" s="46">
        <f>SUMIFS('[1]Raw Inventory'!D:D,'[1]Raw Inventory'!C:C,"GREATWALL",'[1]Raw Inventory'!B:B,A1252)</f>
        <v>0</v>
      </c>
      <c r="AH1252" s="46">
        <f>SUMIFS('[1]Raw Inventory'!D:D,'[1]Raw Inventory'!C:C,"DUARTE",'[1]Raw Inventory'!B:B,A1252)</f>
        <v>0</v>
      </c>
      <c r="AI1252" s="46"/>
      <c r="AJ1252" s="46"/>
      <c r="AK1252" s="43"/>
      <c r="AL1252" s="43"/>
      <c r="AM1252" s="43"/>
      <c r="AN1252" s="43"/>
      <c r="AO1252" s="43"/>
      <c r="AP1252" s="43"/>
      <c r="AQ1252" s="43"/>
      <c r="AR1252" s="43"/>
      <c r="AS1252" s="43"/>
      <c r="AT1252" s="43"/>
    </row>
    <row r="1253" spans="1:46">
      <c r="A1253" s="43" t="s">
        <v>47</v>
      </c>
      <c r="B1253" s="43" t="s">
        <v>30</v>
      </c>
      <c r="C1253" s="43" t="s">
        <v>1</v>
      </c>
      <c r="D1253" s="44" t="s">
        <v>273</v>
      </c>
      <c r="E1253" s="44">
        <v>37</v>
      </c>
      <c r="F1253" s="44" t="s">
        <v>3</v>
      </c>
      <c r="G1253" s="43" t="str">
        <f>IFERROR(VLOOKUP(A1253,'[1]MC Masterlist 2026-09-12'!$B:$M, 3, 0),"")</f>
        <v>YAMAHA</v>
      </c>
      <c r="H1253" s="45">
        <f>IFERROR(VLOOKUP(A1253,'[1]MC Masterlist 2026-09-12'!$B:$M, 6, 0),"")</f>
        <v>76167</v>
      </c>
      <c r="I1253" s="46">
        <v>0</v>
      </c>
      <c r="J1253" s="46">
        <v>0</v>
      </c>
      <c r="K1253" s="46">
        <v>0</v>
      </c>
      <c r="L1253" s="46">
        <f t="shared" si="285"/>
        <v>0</v>
      </c>
      <c r="M1253" s="46">
        <f t="shared" si="286"/>
        <v>0</v>
      </c>
      <c r="N1253" s="45">
        <f t="shared" si="287"/>
        <v>0</v>
      </c>
      <c r="O1253" s="45">
        <f t="shared" si="288"/>
        <v>0</v>
      </c>
      <c r="P1253" s="46">
        <f t="shared" si="289"/>
        <v>0</v>
      </c>
      <c r="Q1253" s="46">
        <v>1</v>
      </c>
      <c r="R1253" s="45">
        <f t="shared" si="290"/>
        <v>76167</v>
      </c>
      <c r="S1253" s="46">
        <f t="shared" si="291"/>
        <v>0</v>
      </c>
      <c r="T1253" s="46">
        <f>IFERROR(VLOOKUP(A1253,'[1]Re-order'!$A:$Q,17,0),"")</f>
        <v>86.666666666666671</v>
      </c>
      <c r="U1253" s="46">
        <f>IFERROR(VLOOKUP(A1253,'[1]MC Masterlist 2026-09-12'!$B:$M, 10, 0),0)</f>
        <v>15</v>
      </c>
      <c r="V1253" s="46">
        <f>IFERROR(VLOOKUP(A1253,'[1]MC Masterlist 2026-09-12'!$B:$M, 11, 0),0)</f>
        <v>15</v>
      </c>
      <c r="W1253" s="46">
        <f t="shared" si="292"/>
        <v>30</v>
      </c>
      <c r="X1253" s="46">
        <f t="shared" si="293"/>
        <v>7</v>
      </c>
      <c r="Y1253" s="46">
        <f>IFERROR(IF(OR(C1253="AREA I",C1253="AREA V"),7,VLOOKUP(A1253,'[1]MC Masterlist 2026-09-12'!$B:$M, 12, 0)),0)</f>
        <v>7</v>
      </c>
      <c r="Z1253" s="46">
        <f t="shared" si="294"/>
        <v>0</v>
      </c>
      <c r="AA1253" s="46">
        <f t="shared" si="295"/>
        <v>0</v>
      </c>
      <c r="AB1253" s="46">
        <f t="shared" si="296"/>
        <v>0</v>
      </c>
      <c r="AC1253" s="46">
        <f t="shared" si="297"/>
        <v>0</v>
      </c>
      <c r="AD1253" s="44" t="str">
        <f t="shared" si="298"/>
        <v>Over</v>
      </c>
      <c r="AE1253" s="44" t="str">
        <f>IFERROR(VLOOKUP(A1253,'[1]Re-order'!$A:$AA,27,0),"")</f>
        <v/>
      </c>
      <c r="AF1253" s="46">
        <f t="shared" si="299"/>
        <v>-1</v>
      </c>
      <c r="AG1253" s="46">
        <f>SUMIFS('[1]Raw Inventory'!D:D,'[1]Raw Inventory'!C:C,"GREATWALL",'[1]Raw Inventory'!B:B,A1253)</f>
        <v>1</v>
      </c>
      <c r="AH1253" s="46">
        <f>SUMIFS('[1]Raw Inventory'!D:D,'[1]Raw Inventory'!C:C,"DUARTE",'[1]Raw Inventory'!B:B,A1253)</f>
        <v>0</v>
      </c>
      <c r="AI1253" s="46"/>
      <c r="AJ1253" s="46"/>
      <c r="AK1253" s="43"/>
      <c r="AL1253" s="43"/>
      <c r="AM1253" s="43"/>
      <c r="AN1253" s="43"/>
      <c r="AO1253" s="43"/>
      <c r="AP1253" s="43"/>
      <c r="AQ1253" s="43"/>
      <c r="AR1253" s="43"/>
      <c r="AS1253" s="43"/>
      <c r="AT1253" s="43"/>
    </row>
    <row r="1254" spans="1:46">
      <c r="A1254" s="43" t="s">
        <v>18</v>
      </c>
      <c r="B1254" s="43" t="s">
        <v>131</v>
      </c>
      <c r="C1254" s="43" t="s">
        <v>128</v>
      </c>
      <c r="D1254" s="44" t="s">
        <v>241</v>
      </c>
      <c r="E1254" s="44">
        <v>17</v>
      </c>
      <c r="F1254" s="44" t="s">
        <v>3</v>
      </c>
      <c r="G1254" s="43" t="str">
        <f>IFERROR(VLOOKUP(A1254,'[1]MC Masterlist 2026-09-12'!$B:$M, 3, 0),"")</f>
        <v>HONDA</v>
      </c>
      <c r="H1254" s="45">
        <f>IFERROR(VLOOKUP(A1254,'[1]MC Masterlist 2026-09-12'!$B:$M, 6, 0),"")</f>
        <v>94330</v>
      </c>
      <c r="I1254" s="46">
        <v>0</v>
      </c>
      <c r="J1254" s="46">
        <v>0</v>
      </c>
      <c r="K1254" s="46">
        <v>1</v>
      </c>
      <c r="L1254" s="46">
        <f t="shared" si="285"/>
        <v>1</v>
      </c>
      <c r="M1254" s="46">
        <f t="shared" si="286"/>
        <v>0.33333333333333331</v>
      </c>
      <c r="N1254" s="45">
        <f t="shared" si="287"/>
        <v>94330</v>
      </c>
      <c r="O1254" s="45">
        <f t="shared" si="288"/>
        <v>31443.333333333332</v>
      </c>
      <c r="P1254" s="46">
        <f t="shared" si="289"/>
        <v>1.111111111111111E-2</v>
      </c>
      <c r="Q1254" s="46">
        <v>2</v>
      </c>
      <c r="R1254" s="45">
        <f t="shared" si="290"/>
        <v>188660</v>
      </c>
      <c r="S1254" s="46">
        <f t="shared" si="291"/>
        <v>180</v>
      </c>
      <c r="T1254" s="46">
        <f>IFERROR(VLOOKUP(A1254,'[1]Re-order'!$A:$Q,17,0),"")</f>
        <v>113.9644970414201</v>
      </c>
      <c r="U1254" s="46">
        <f>IFERROR(VLOOKUP(A1254,'[1]MC Masterlist 2026-09-12'!$B:$M, 10, 0),0)</f>
        <v>15</v>
      </c>
      <c r="V1254" s="46">
        <f>IFERROR(VLOOKUP(A1254,'[1]MC Masterlist 2026-09-12'!$B:$M, 11, 0),0)</f>
        <v>15</v>
      </c>
      <c r="W1254" s="46">
        <f t="shared" si="292"/>
        <v>30</v>
      </c>
      <c r="X1254" s="46">
        <f t="shared" si="293"/>
        <v>29.833333333333332</v>
      </c>
      <c r="Y1254" s="46">
        <f>IFERROR(IF(OR(C1254="AREA I",C1254="AREA V"),7,VLOOKUP(A1254,'[1]MC Masterlist 2026-09-12'!$B:$M, 12, 0)),0)</f>
        <v>30</v>
      </c>
      <c r="Z1254" s="46">
        <f t="shared" si="294"/>
        <v>0.16666666666666666</v>
      </c>
      <c r="AA1254" s="46">
        <f t="shared" si="295"/>
        <v>0.33333333333333331</v>
      </c>
      <c r="AB1254" s="46">
        <f t="shared" si="296"/>
        <v>0.33148148148148143</v>
      </c>
      <c r="AC1254" s="46">
        <f t="shared" si="297"/>
        <v>0.33333333333333331</v>
      </c>
      <c r="AD1254" s="44" t="str">
        <f t="shared" si="298"/>
        <v>Over</v>
      </c>
      <c r="AE1254" s="44" t="str">
        <f>IFERROR(VLOOKUP(A1254,'[1]Re-order'!$A:$AA,27,0),"")</f>
        <v>Over</v>
      </c>
      <c r="AF1254" s="46">
        <f t="shared" si="299"/>
        <v>-1.6666666666666667</v>
      </c>
      <c r="AG1254" s="46">
        <f>SUMIFS('[1]Raw Inventory'!D:D,'[1]Raw Inventory'!C:C,"GREATWALL",'[1]Raw Inventory'!B:B,A1254)</f>
        <v>88</v>
      </c>
      <c r="AH1254" s="46">
        <f>SUMIFS('[1]Raw Inventory'!D:D,'[1]Raw Inventory'!C:C,"DUARTE",'[1]Raw Inventory'!B:B,A1254)</f>
        <v>0</v>
      </c>
      <c r="AI1254" s="46"/>
      <c r="AJ1254" s="46"/>
      <c r="AK1254" s="43"/>
      <c r="AL1254" s="43"/>
      <c r="AM1254" s="43"/>
      <c r="AN1254" s="43"/>
      <c r="AO1254" s="43"/>
      <c r="AP1254" s="43"/>
      <c r="AQ1254" s="43"/>
      <c r="AR1254" s="43"/>
      <c r="AS1254" s="43"/>
      <c r="AT1254" s="43"/>
    </row>
    <row r="1255" spans="1:46">
      <c r="A1255" s="43" t="s">
        <v>76</v>
      </c>
      <c r="B1255" s="43" t="s">
        <v>98</v>
      </c>
      <c r="C1255" s="43" t="s">
        <v>90</v>
      </c>
      <c r="D1255" s="44" t="s">
        <v>226</v>
      </c>
      <c r="E1255" s="44">
        <v>22</v>
      </c>
      <c r="F1255" s="44" t="s">
        <v>3</v>
      </c>
      <c r="G1255" s="43" t="str">
        <f>IFERROR(VLOOKUP(A1255,'[1]MC Masterlist 2026-09-12'!$B:$M, 3, 0),"")</f>
        <v>SUZUKI</v>
      </c>
      <c r="H1255" s="45">
        <f>IFERROR(VLOOKUP(A1255,'[1]MC Masterlist 2026-09-12'!$B:$M, 6, 0),"")</f>
        <v>62692</v>
      </c>
      <c r="I1255" s="46">
        <v>0</v>
      </c>
      <c r="J1255" s="46">
        <v>0</v>
      </c>
      <c r="K1255" s="46">
        <v>0</v>
      </c>
      <c r="L1255" s="46">
        <f t="shared" si="285"/>
        <v>0</v>
      </c>
      <c r="M1255" s="46">
        <f t="shared" si="286"/>
        <v>0</v>
      </c>
      <c r="N1255" s="45">
        <f t="shared" si="287"/>
        <v>0</v>
      </c>
      <c r="O1255" s="45">
        <f t="shared" si="288"/>
        <v>0</v>
      </c>
      <c r="P1255" s="46">
        <f t="shared" si="289"/>
        <v>0</v>
      </c>
      <c r="Q1255" s="46">
        <v>1</v>
      </c>
      <c r="R1255" s="45">
        <f t="shared" si="290"/>
        <v>62692</v>
      </c>
      <c r="S1255" s="46">
        <f t="shared" si="291"/>
        <v>0</v>
      </c>
      <c r="T1255" s="46">
        <f>IFERROR(VLOOKUP(A1255,'[1]Re-order'!$A:$Q,17,0),"")</f>
        <v>106.36363636363636</v>
      </c>
      <c r="U1255" s="46">
        <f>IFERROR(VLOOKUP(A1255,'[1]MC Masterlist 2026-09-12'!$B:$M, 10, 0),0)</f>
        <v>15</v>
      </c>
      <c r="V1255" s="46">
        <f>IFERROR(VLOOKUP(A1255,'[1]MC Masterlist 2026-09-12'!$B:$M, 11, 0),0)</f>
        <v>15</v>
      </c>
      <c r="W1255" s="46">
        <f t="shared" si="292"/>
        <v>30</v>
      </c>
      <c r="X1255" s="46">
        <f t="shared" si="293"/>
        <v>30</v>
      </c>
      <c r="Y1255" s="46">
        <f>IFERROR(IF(OR(C1255="AREA I",C1255="AREA V"),7,VLOOKUP(A1255,'[1]MC Masterlist 2026-09-12'!$B:$M, 12, 0)),0)</f>
        <v>30</v>
      </c>
      <c r="Z1255" s="46">
        <f t="shared" si="294"/>
        <v>0</v>
      </c>
      <c r="AA1255" s="46">
        <f t="shared" si="295"/>
        <v>0</v>
      </c>
      <c r="AB1255" s="46">
        <f t="shared" si="296"/>
        <v>0</v>
      </c>
      <c r="AC1255" s="46">
        <f t="shared" si="297"/>
        <v>0</v>
      </c>
      <c r="AD1255" s="44" t="str">
        <f t="shared" si="298"/>
        <v>Over</v>
      </c>
      <c r="AE1255" s="44" t="str">
        <f>IFERROR(VLOOKUP(A1255,'[1]Re-order'!$A:$AA,27,0),"")</f>
        <v>Over</v>
      </c>
      <c r="AF1255" s="46">
        <f t="shared" si="299"/>
        <v>-1</v>
      </c>
      <c r="AG1255" s="46">
        <f>SUMIFS('[1]Raw Inventory'!D:D,'[1]Raw Inventory'!C:C,"GREATWALL",'[1]Raw Inventory'!B:B,A1255)</f>
        <v>1</v>
      </c>
      <c r="AH1255" s="46">
        <f>SUMIFS('[1]Raw Inventory'!D:D,'[1]Raw Inventory'!C:C,"DUARTE",'[1]Raw Inventory'!B:B,A1255)</f>
        <v>0</v>
      </c>
      <c r="AI1255" s="46"/>
      <c r="AJ1255" s="46"/>
      <c r="AK1255" s="43"/>
      <c r="AL1255" s="43"/>
      <c r="AM1255" s="43"/>
      <c r="AN1255" s="43"/>
      <c r="AO1255" s="43"/>
      <c r="AP1255" s="43"/>
      <c r="AQ1255" s="43"/>
      <c r="AR1255" s="43"/>
      <c r="AS1255" s="43"/>
      <c r="AT1255" s="43"/>
    </row>
    <row r="1256" spans="1:46">
      <c r="A1256" s="43" t="s">
        <v>66</v>
      </c>
      <c r="B1256" s="43" t="s">
        <v>111</v>
      </c>
      <c r="C1256" s="43" t="s">
        <v>109</v>
      </c>
      <c r="D1256" s="44" t="s">
        <v>223</v>
      </c>
      <c r="E1256" s="44">
        <v>20</v>
      </c>
      <c r="F1256" s="44" t="s">
        <v>3</v>
      </c>
      <c r="G1256" s="43" t="str">
        <f>IFERROR(VLOOKUP(A1256,'[1]MC Masterlist 2026-09-12'!$B:$M, 3, 0),"")</f>
        <v>KAWASAKI</v>
      </c>
      <c r="H1256" s="45">
        <f>IFERROR(VLOOKUP(A1256,'[1]MC Masterlist 2026-09-12'!$B:$M, 6, 0),"")</f>
        <v>95530</v>
      </c>
      <c r="I1256" s="46">
        <v>0</v>
      </c>
      <c r="J1256" s="46">
        <v>0</v>
      </c>
      <c r="K1256" s="46">
        <v>1</v>
      </c>
      <c r="L1256" s="46">
        <f t="shared" si="285"/>
        <v>1</v>
      </c>
      <c r="M1256" s="46">
        <f t="shared" si="286"/>
        <v>0.33333333333333331</v>
      </c>
      <c r="N1256" s="45">
        <f t="shared" si="287"/>
        <v>95530</v>
      </c>
      <c r="O1256" s="45">
        <f t="shared" si="288"/>
        <v>31843.333333333332</v>
      </c>
      <c r="P1256" s="46">
        <f t="shared" si="289"/>
        <v>1.111111111111111E-2</v>
      </c>
      <c r="Q1256" s="46">
        <v>3</v>
      </c>
      <c r="R1256" s="45">
        <f t="shared" si="290"/>
        <v>286590</v>
      </c>
      <c r="S1256" s="46">
        <f t="shared" si="291"/>
        <v>270</v>
      </c>
      <c r="T1256" s="46">
        <f>IFERROR(VLOOKUP(A1256,'[1]Re-order'!$A:$Q,17,0),"")</f>
        <v>112.7848101265823</v>
      </c>
      <c r="U1256" s="46">
        <f>IFERROR(VLOOKUP(A1256,'[1]MC Masterlist 2026-09-12'!$B:$M, 10, 0),0)</f>
        <v>15</v>
      </c>
      <c r="V1256" s="46">
        <f>IFERROR(VLOOKUP(A1256,'[1]MC Masterlist 2026-09-12'!$B:$M, 11, 0),0)</f>
        <v>15</v>
      </c>
      <c r="W1256" s="46">
        <f t="shared" si="292"/>
        <v>30</v>
      </c>
      <c r="X1256" s="46">
        <f t="shared" si="293"/>
        <v>29.833333333333332</v>
      </c>
      <c r="Y1256" s="46">
        <f>IFERROR(IF(OR(C1256="AREA I",C1256="AREA V"),7,VLOOKUP(A1256,'[1]MC Masterlist 2026-09-12'!$B:$M, 12, 0)),0)</f>
        <v>30</v>
      </c>
      <c r="Z1256" s="46">
        <f t="shared" si="294"/>
        <v>0.16666666666666666</v>
      </c>
      <c r="AA1256" s="46">
        <f t="shared" si="295"/>
        <v>0.33333333333333331</v>
      </c>
      <c r="AB1256" s="46">
        <f t="shared" si="296"/>
        <v>0.33148148148148143</v>
      </c>
      <c r="AC1256" s="46">
        <f t="shared" si="297"/>
        <v>0.33333333333333331</v>
      </c>
      <c r="AD1256" s="44" t="str">
        <f t="shared" si="298"/>
        <v>Over</v>
      </c>
      <c r="AE1256" s="44" t="str">
        <f>IFERROR(VLOOKUP(A1256,'[1]Re-order'!$A:$AA,27,0),"")</f>
        <v>Over</v>
      </c>
      <c r="AF1256" s="46">
        <f t="shared" si="299"/>
        <v>-2.6666666666666665</v>
      </c>
      <c r="AG1256" s="46">
        <f>SUMIFS('[1]Raw Inventory'!D:D,'[1]Raw Inventory'!C:C,"GREATWALL",'[1]Raw Inventory'!B:B,A1256)</f>
        <v>64</v>
      </c>
      <c r="AH1256" s="46">
        <f>SUMIFS('[1]Raw Inventory'!D:D,'[1]Raw Inventory'!C:C,"DUARTE",'[1]Raw Inventory'!B:B,A1256)</f>
        <v>0</v>
      </c>
      <c r="AI1256" s="46"/>
      <c r="AJ1256" s="46"/>
      <c r="AK1256" s="43"/>
      <c r="AL1256" s="43"/>
      <c r="AM1256" s="43"/>
      <c r="AN1256" s="43"/>
      <c r="AO1256" s="43"/>
      <c r="AP1256" s="43"/>
      <c r="AQ1256" s="43"/>
      <c r="AR1256" s="43"/>
      <c r="AS1256" s="43"/>
      <c r="AT1256" s="43"/>
    </row>
    <row r="1257" spans="1:46">
      <c r="A1257" s="43" t="s">
        <v>61</v>
      </c>
      <c r="B1257" s="43" t="s">
        <v>154</v>
      </c>
      <c r="C1257" s="43" t="s">
        <v>152</v>
      </c>
      <c r="D1257" s="44" t="s">
        <v>245</v>
      </c>
      <c r="E1257" s="44">
        <v>28</v>
      </c>
      <c r="F1257" s="44" t="s">
        <v>3</v>
      </c>
      <c r="G1257" s="43" t="str">
        <f>IFERROR(VLOOKUP(A1257,'[1]MC Masterlist 2026-09-12'!$B:$M, 3, 0),"")</f>
        <v>HONDA</v>
      </c>
      <c r="H1257" s="45">
        <f>IFERROR(VLOOKUP(A1257,'[1]MC Masterlist 2026-09-12'!$B:$M, 6, 0),"")</f>
        <v>63510</v>
      </c>
      <c r="I1257" s="46">
        <v>0</v>
      </c>
      <c r="J1257" s="46">
        <v>0</v>
      </c>
      <c r="K1257" s="46">
        <v>0</v>
      </c>
      <c r="L1257" s="46">
        <f t="shared" si="285"/>
        <v>0</v>
      </c>
      <c r="M1257" s="46">
        <f t="shared" si="286"/>
        <v>0</v>
      </c>
      <c r="N1257" s="45">
        <f t="shared" si="287"/>
        <v>0</v>
      </c>
      <c r="O1257" s="45">
        <f t="shared" si="288"/>
        <v>0</v>
      </c>
      <c r="P1257" s="46">
        <f t="shared" si="289"/>
        <v>0</v>
      </c>
      <c r="Q1257" s="46">
        <v>1</v>
      </c>
      <c r="R1257" s="45">
        <f t="shared" si="290"/>
        <v>63510</v>
      </c>
      <c r="S1257" s="46">
        <f t="shared" si="291"/>
        <v>0</v>
      </c>
      <c r="T1257" s="46">
        <f>IFERROR(VLOOKUP(A1257,'[1]Re-order'!$A:$Q,17,0),"")</f>
        <v>135</v>
      </c>
      <c r="U1257" s="46">
        <f>IFERROR(VLOOKUP(A1257,'[1]MC Masterlist 2026-09-12'!$B:$M, 10, 0),0)</f>
        <v>15</v>
      </c>
      <c r="V1257" s="46">
        <f>IFERROR(VLOOKUP(A1257,'[1]MC Masterlist 2026-09-12'!$B:$M, 11, 0),0)</f>
        <v>15</v>
      </c>
      <c r="W1257" s="46">
        <f t="shared" si="292"/>
        <v>30</v>
      </c>
      <c r="X1257" s="46">
        <f t="shared" si="293"/>
        <v>30</v>
      </c>
      <c r="Y1257" s="46">
        <f>IFERROR(IF(OR(C1257="AREA I",C1257="AREA V"),7,VLOOKUP(A1257,'[1]MC Masterlist 2026-09-12'!$B:$M, 12, 0)),0)</f>
        <v>30</v>
      </c>
      <c r="Z1257" s="46">
        <f t="shared" si="294"/>
        <v>0</v>
      </c>
      <c r="AA1257" s="46">
        <f t="shared" si="295"/>
        <v>0</v>
      </c>
      <c r="AB1257" s="46">
        <f t="shared" si="296"/>
        <v>0</v>
      </c>
      <c r="AC1257" s="46">
        <f t="shared" si="297"/>
        <v>0</v>
      </c>
      <c r="AD1257" s="44" t="str">
        <f t="shared" si="298"/>
        <v>Over</v>
      </c>
      <c r="AE1257" s="44" t="str">
        <f>IFERROR(VLOOKUP(A1257,'[1]Re-order'!$A:$AA,27,0),"")</f>
        <v>Over</v>
      </c>
      <c r="AF1257" s="46">
        <f t="shared" si="299"/>
        <v>-1</v>
      </c>
      <c r="AG1257" s="46">
        <f>SUMIFS('[1]Raw Inventory'!D:D,'[1]Raw Inventory'!C:C,"GREATWALL",'[1]Raw Inventory'!B:B,A1257)</f>
        <v>1</v>
      </c>
      <c r="AH1257" s="46">
        <f>SUMIFS('[1]Raw Inventory'!D:D,'[1]Raw Inventory'!C:C,"DUARTE",'[1]Raw Inventory'!B:B,A1257)</f>
        <v>0</v>
      </c>
      <c r="AI1257" s="46"/>
      <c r="AJ1257" s="46"/>
      <c r="AK1257" s="43"/>
      <c r="AL1257" s="43"/>
      <c r="AM1257" s="43"/>
      <c r="AN1257" s="43"/>
      <c r="AO1257" s="43"/>
      <c r="AP1257" s="43"/>
      <c r="AQ1257" s="43"/>
      <c r="AR1257" s="43"/>
      <c r="AS1257" s="43"/>
      <c r="AT1257" s="43"/>
    </row>
    <row r="1258" spans="1:46">
      <c r="A1258" s="43" t="s">
        <v>20</v>
      </c>
      <c r="B1258" s="43" t="s">
        <v>121</v>
      </c>
      <c r="C1258" s="43" t="s">
        <v>118</v>
      </c>
      <c r="D1258" s="44" t="s">
        <v>225</v>
      </c>
      <c r="E1258" s="44">
        <v>3</v>
      </c>
      <c r="F1258" s="44" t="s">
        <v>0</v>
      </c>
      <c r="G1258" s="43" t="str">
        <f>IFERROR(VLOOKUP(A1258,'[1]MC Masterlist 2026-09-12'!$B:$M, 3, 0),"")</f>
        <v>HONDA</v>
      </c>
      <c r="H1258" s="45">
        <f>IFERROR(VLOOKUP(A1258,'[1]MC Masterlist 2026-09-12'!$B:$M, 6, 0),"")</f>
        <v>69950</v>
      </c>
      <c r="I1258" s="46">
        <v>9</v>
      </c>
      <c r="J1258" s="46">
        <v>5</v>
      </c>
      <c r="K1258" s="46">
        <v>3</v>
      </c>
      <c r="L1258" s="46">
        <f t="shared" si="285"/>
        <v>17</v>
      </c>
      <c r="M1258" s="46">
        <f t="shared" si="286"/>
        <v>5.666666666666667</v>
      </c>
      <c r="N1258" s="45">
        <f t="shared" si="287"/>
        <v>1189150</v>
      </c>
      <c r="O1258" s="45">
        <f t="shared" si="288"/>
        <v>396383.33333333337</v>
      </c>
      <c r="P1258" s="46">
        <f t="shared" si="289"/>
        <v>0.18888888888888891</v>
      </c>
      <c r="Q1258" s="46"/>
      <c r="R1258" s="45">
        <f t="shared" si="290"/>
        <v>0</v>
      </c>
      <c r="S1258" s="46">
        <f t="shared" si="291"/>
        <v>0</v>
      </c>
      <c r="T1258" s="46">
        <f>IFERROR(VLOOKUP(A1258,'[1]Re-order'!$A:$Q,17,0),"")</f>
        <v>75.775862068965523</v>
      </c>
      <c r="U1258" s="46">
        <f>IFERROR(VLOOKUP(A1258,'[1]MC Masterlist 2026-09-12'!$B:$M, 10, 0),0)</f>
        <v>15</v>
      </c>
      <c r="V1258" s="46">
        <f>IFERROR(VLOOKUP(A1258,'[1]MC Masterlist 2026-09-12'!$B:$M, 11, 0),0)</f>
        <v>15</v>
      </c>
      <c r="W1258" s="46">
        <f t="shared" si="292"/>
        <v>30</v>
      </c>
      <c r="X1258" s="46">
        <f t="shared" si="293"/>
        <v>27.166666666666668</v>
      </c>
      <c r="Y1258" s="46">
        <f>IFERROR(IF(OR(C1258="AREA I",C1258="AREA V"),7,VLOOKUP(A1258,'[1]MC Masterlist 2026-09-12'!$B:$M, 12, 0)),0)</f>
        <v>30</v>
      </c>
      <c r="Z1258" s="46">
        <f t="shared" si="294"/>
        <v>2.8333333333333335</v>
      </c>
      <c r="AA1258" s="46">
        <f t="shared" si="295"/>
        <v>5.666666666666667</v>
      </c>
      <c r="AB1258" s="46">
        <f t="shared" si="296"/>
        <v>5.1314814814814822</v>
      </c>
      <c r="AC1258" s="46">
        <f t="shared" si="297"/>
        <v>5.666666666666667</v>
      </c>
      <c r="AD1258" s="44" t="str">
        <f t="shared" si="298"/>
        <v>Stockout</v>
      </c>
      <c r="AE1258" s="44" t="str">
        <f>IFERROR(VLOOKUP(A1258,'[1]Re-order'!$A:$AA,27,0),"")</f>
        <v/>
      </c>
      <c r="AF1258" s="46">
        <f t="shared" si="299"/>
        <v>5.666666666666667</v>
      </c>
      <c r="AG1258" s="46">
        <f>SUMIFS('[1]Raw Inventory'!D:D,'[1]Raw Inventory'!C:C,"GREATWALL",'[1]Raw Inventory'!B:B,A1258)</f>
        <v>110</v>
      </c>
      <c r="AH1258" s="46">
        <f>SUMIFS('[1]Raw Inventory'!D:D,'[1]Raw Inventory'!C:C,"DUARTE",'[1]Raw Inventory'!B:B,A1258)</f>
        <v>0</v>
      </c>
      <c r="AI1258" s="46"/>
      <c r="AJ1258" s="46"/>
      <c r="AK1258" s="43"/>
      <c r="AL1258" s="43"/>
      <c r="AM1258" s="43"/>
      <c r="AN1258" s="43"/>
      <c r="AO1258" s="43"/>
      <c r="AP1258" s="43"/>
      <c r="AQ1258" s="43"/>
      <c r="AR1258" s="43"/>
      <c r="AS1258" s="43"/>
      <c r="AT1258" s="43"/>
    </row>
    <row r="1259" spans="1:46">
      <c r="A1259" s="43" t="s">
        <v>40</v>
      </c>
      <c r="B1259" s="43" t="s">
        <v>155</v>
      </c>
      <c r="C1259" s="43" t="s">
        <v>152</v>
      </c>
      <c r="D1259" s="44" t="s">
        <v>235</v>
      </c>
      <c r="E1259" s="44">
        <v>26</v>
      </c>
      <c r="F1259" s="44" t="s">
        <v>3</v>
      </c>
      <c r="G1259" s="43" t="str">
        <f>IFERROR(VLOOKUP(A1259,'[1]MC Masterlist 2026-09-12'!$B:$M, 3, 0),"")</f>
        <v>HONDA</v>
      </c>
      <c r="H1259" s="45">
        <f>IFERROR(VLOOKUP(A1259,'[1]MC Masterlist 2026-09-12'!$B:$M, 6, 0),"")</f>
        <v>56426</v>
      </c>
      <c r="I1259" s="46">
        <v>0</v>
      </c>
      <c r="J1259" s="46">
        <v>0</v>
      </c>
      <c r="K1259" s="46">
        <v>1</v>
      </c>
      <c r="L1259" s="46">
        <f t="shared" si="285"/>
        <v>1</v>
      </c>
      <c r="M1259" s="46">
        <f t="shared" si="286"/>
        <v>0.33333333333333331</v>
      </c>
      <c r="N1259" s="45">
        <f t="shared" si="287"/>
        <v>56426</v>
      </c>
      <c r="O1259" s="45">
        <f t="shared" si="288"/>
        <v>18808.666666666664</v>
      </c>
      <c r="P1259" s="46">
        <f t="shared" si="289"/>
        <v>1.111111111111111E-2</v>
      </c>
      <c r="Q1259" s="46">
        <v>4</v>
      </c>
      <c r="R1259" s="45">
        <f t="shared" si="290"/>
        <v>225704</v>
      </c>
      <c r="S1259" s="46">
        <f t="shared" si="291"/>
        <v>360.00000000000006</v>
      </c>
      <c r="T1259" s="46">
        <f>IFERROR(VLOOKUP(A1259,'[1]Re-order'!$A:$Q,17,0),"")</f>
        <v>139.56521739130434</v>
      </c>
      <c r="U1259" s="46">
        <f>IFERROR(VLOOKUP(A1259,'[1]MC Masterlist 2026-09-12'!$B:$M, 10, 0),0)</f>
        <v>15</v>
      </c>
      <c r="V1259" s="46">
        <f>IFERROR(VLOOKUP(A1259,'[1]MC Masterlist 2026-09-12'!$B:$M, 11, 0),0)</f>
        <v>15</v>
      </c>
      <c r="W1259" s="46">
        <f t="shared" si="292"/>
        <v>30</v>
      </c>
      <c r="X1259" s="46">
        <f t="shared" si="293"/>
        <v>29.833333333333332</v>
      </c>
      <c r="Y1259" s="46">
        <f>IFERROR(IF(OR(C1259="AREA I",C1259="AREA V"),7,VLOOKUP(A1259,'[1]MC Masterlist 2026-09-12'!$B:$M, 12, 0)),0)</f>
        <v>30</v>
      </c>
      <c r="Z1259" s="46">
        <f t="shared" si="294"/>
        <v>0.16666666666666666</v>
      </c>
      <c r="AA1259" s="46">
        <f t="shared" si="295"/>
        <v>0.33333333333333331</v>
      </c>
      <c r="AB1259" s="46">
        <f t="shared" si="296"/>
        <v>0.33148148148148143</v>
      </c>
      <c r="AC1259" s="46">
        <f t="shared" si="297"/>
        <v>0.33333333333333331</v>
      </c>
      <c r="AD1259" s="44" t="str">
        <f t="shared" si="298"/>
        <v>Over</v>
      </c>
      <c r="AE1259" s="44" t="str">
        <f>IFERROR(VLOOKUP(A1259,'[1]Re-order'!$A:$AA,27,0),"")</f>
        <v>Over</v>
      </c>
      <c r="AF1259" s="46">
        <f t="shared" si="299"/>
        <v>-3.6666666666666665</v>
      </c>
      <c r="AG1259" s="46">
        <f>SUMIFS('[1]Raw Inventory'!D:D,'[1]Raw Inventory'!C:C,"GREATWALL",'[1]Raw Inventory'!B:B,A1259)</f>
        <v>45</v>
      </c>
      <c r="AH1259" s="46">
        <f>SUMIFS('[1]Raw Inventory'!D:D,'[1]Raw Inventory'!C:C,"DUARTE",'[1]Raw Inventory'!B:B,A1259)</f>
        <v>0</v>
      </c>
      <c r="AI1259" s="46"/>
      <c r="AJ1259" s="46"/>
      <c r="AK1259" s="43"/>
      <c r="AL1259" s="43"/>
      <c r="AM1259" s="43"/>
      <c r="AN1259" s="43"/>
      <c r="AO1259" s="43"/>
      <c r="AP1259" s="43"/>
      <c r="AQ1259" s="43"/>
      <c r="AR1259" s="43"/>
      <c r="AS1259" s="43"/>
      <c r="AT1259" s="43"/>
    </row>
    <row r="1260" spans="1:46">
      <c r="A1260" s="43" t="s">
        <v>83</v>
      </c>
      <c r="B1260" s="43" t="s">
        <v>122</v>
      </c>
      <c r="C1260" s="43" t="s">
        <v>118</v>
      </c>
      <c r="D1260" s="44" t="s">
        <v>229</v>
      </c>
      <c r="E1260" s="44">
        <v>27</v>
      </c>
      <c r="F1260" s="44" t="s">
        <v>3</v>
      </c>
      <c r="G1260" s="43" t="str">
        <f>IFERROR(VLOOKUP(A1260,'[1]MC Masterlist 2026-09-12'!$B:$M, 3, 0),"")</f>
        <v>SKYGO</v>
      </c>
      <c r="H1260" s="45">
        <f>IFERROR(VLOOKUP(A1260,'[1]MC Masterlist 2026-09-12'!$B:$M, 6, 0),"")</f>
        <v>35055</v>
      </c>
      <c r="I1260" s="46">
        <v>0</v>
      </c>
      <c r="J1260" s="46">
        <v>0</v>
      </c>
      <c r="K1260" s="46">
        <v>2</v>
      </c>
      <c r="L1260" s="46">
        <f t="shared" si="285"/>
        <v>2</v>
      </c>
      <c r="M1260" s="46">
        <f t="shared" si="286"/>
        <v>0.66666666666666663</v>
      </c>
      <c r="N1260" s="45">
        <f t="shared" si="287"/>
        <v>70110</v>
      </c>
      <c r="O1260" s="45">
        <f t="shared" si="288"/>
        <v>23370</v>
      </c>
      <c r="P1260" s="46">
        <f t="shared" si="289"/>
        <v>2.222222222222222E-2</v>
      </c>
      <c r="Q1260" s="46">
        <v>3</v>
      </c>
      <c r="R1260" s="45">
        <f t="shared" si="290"/>
        <v>105165</v>
      </c>
      <c r="S1260" s="46">
        <f t="shared" si="291"/>
        <v>135</v>
      </c>
      <c r="T1260" s="46">
        <f>IFERROR(VLOOKUP(A1260,'[1]Re-order'!$A:$Q,17,0),"")</f>
        <v>313.2</v>
      </c>
      <c r="U1260" s="46">
        <f>IFERROR(VLOOKUP(A1260,'[1]MC Masterlist 2026-09-12'!$B:$M, 10, 0),0)</f>
        <v>15</v>
      </c>
      <c r="V1260" s="46">
        <f>IFERROR(VLOOKUP(A1260,'[1]MC Masterlist 2026-09-12'!$B:$M, 11, 0),0)</f>
        <v>15</v>
      </c>
      <c r="W1260" s="46">
        <f t="shared" si="292"/>
        <v>30</v>
      </c>
      <c r="X1260" s="46">
        <f t="shared" si="293"/>
        <v>29.666666666666668</v>
      </c>
      <c r="Y1260" s="46">
        <f>IFERROR(IF(OR(C1260="AREA I",C1260="AREA V"),7,VLOOKUP(A1260,'[1]MC Masterlist 2026-09-12'!$B:$M, 12, 0)),0)</f>
        <v>30</v>
      </c>
      <c r="Z1260" s="46">
        <f t="shared" si="294"/>
        <v>0.33333333333333331</v>
      </c>
      <c r="AA1260" s="46">
        <f t="shared" si="295"/>
        <v>0.66666666666666663</v>
      </c>
      <c r="AB1260" s="46">
        <f t="shared" si="296"/>
        <v>0.65925925925925921</v>
      </c>
      <c r="AC1260" s="46">
        <f t="shared" si="297"/>
        <v>0.66666666666666663</v>
      </c>
      <c r="AD1260" s="44" t="str">
        <f t="shared" si="298"/>
        <v>Over</v>
      </c>
      <c r="AE1260" s="44" t="str">
        <f>IFERROR(VLOOKUP(A1260,'[1]Re-order'!$A:$AA,27,0),"")</f>
        <v>Over</v>
      </c>
      <c r="AF1260" s="46">
        <f t="shared" si="299"/>
        <v>-2.3333333333333335</v>
      </c>
      <c r="AG1260" s="46">
        <f>SUMIFS('[1]Raw Inventory'!D:D,'[1]Raw Inventory'!C:C,"GREATWALL",'[1]Raw Inventory'!B:B,A1260)</f>
        <v>33</v>
      </c>
      <c r="AH1260" s="46">
        <f>SUMIFS('[1]Raw Inventory'!D:D,'[1]Raw Inventory'!C:C,"DUARTE",'[1]Raw Inventory'!B:B,A1260)</f>
        <v>0</v>
      </c>
      <c r="AI1260" s="46"/>
      <c r="AJ1260" s="46"/>
      <c r="AK1260" s="43"/>
      <c r="AL1260" s="43"/>
      <c r="AM1260" s="43"/>
      <c r="AN1260" s="43"/>
      <c r="AO1260" s="43"/>
      <c r="AP1260" s="43"/>
      <c r="AQ1260" s="43"/>
      <c r="AR1260" s="43"/>
      <c r="AS1260" s="43"/>
      <c r="AT1260" s="43"/>
    </row>
    <row r="1261" spans="1:46">
      <c r="A1261" s="43" t="s">
        <v>20</v>
      </c>
      <c r="B1261" s="43" t="s">
        <v>140</v>
      </c>
      <c r="C1261" s="43" t="s">
        <v>137</v>
      </c>
      <c r="D1261" s="44" t="s">
        <v>259</v>
      </c>
      <c r="E1261" s="44">
        <v>5</v>
      </c>
      <c r="F1261" s="44" t="s">
        <v>0</v>
      </c>
      <c r="G1261" s="43" t="str">
        <f>IFERROR(VLOOKUP(A1261,'[1]MC Masterlist 2026-09-12'!$B:$M, 3, 0),"")</f>
        <v>HONDA</v>
      </c>
      <c r="H1261" s="45">
        <f>IFERROR(VLOOKUP(A1261,'[1]MC Masterlist 2026-09-12'!$B:$M, 6, 0),"")</f>
        <v>69950</v>
      </c>
      <c r="I1261" s="46">
        <v>2</v>
      </c>
      <c r="J1261" s="46">
        <v>7</v>
      </c>
      <c r="K1261" s="46">
        <v>5</v>
      </c>
      <c r="L1261" s="46">
        <f t="shared" si="285"/>
        <v>14</v>
      </c>
      <c r="M1261" s="46">
        <f t="shared" si="286"/>
        <v>4.666666666666667</v>
      </c>
      <c r="N1261" s="45">
        <f t="shared" si="287"/>
        <v>979300</v>
      </c>
      <c r="O1261" s="45">
        <f t="shared" si="288"/>
        <v>326433.33333333337</v>
      </c>
      <c r="P1261" s="46">
        <f t="shared" si="289"/>
        <v>0.15555555555555556</v>
      </c>
      <c r="Q1261" s="46">
        <v>4</v>
      </c>
      <c r="R1261" s="45">
        <f t="shared" si="290"/>
        <v>279800</v>
      </c>
      <c r="S1261" s="46">
        <f t="shared" si="291"/>
        <v>25.714285714285712</v>
      </c>
      <c r="T1261" s="46">
        <f>IFERROR(VLOOKUP(A1261,'[1]Re-order'!$A:$Q,17,0),"")</f>
        <v>75.775862068965523</v>
      </c>
      <c r="U1261" s="46">
        <f>IFERROR(VLOOKUP(A1261,'[1]MC Masterlist 2026-09-12'!$B:$M, 10, 0),0)</f>
        <v>15</v>
      </c>
      <c r="V1261" s="46">
        <f>IFERROR(VLOOKUP(A1261,'[1]MC Masterlist 2026-09-12'!$B:$M, 11, 0),0)</f>
        <v>15</v>
      </c>
      <c r="W1261" s="46">
        <f t="shared" si="292"/>
        <v>30</v>
      </c>
      <c r="X1261" s="46">
        <f t="shared" si="293"/>
        <v>4.6666666666666661</v>
      </c>
      <c r="Y1261" s="46">
        <f>IFERROR(IF(OR(C1261="AREA I",C1261="AREA V"),7,VLOOKUP(A1261,'[1]MC Masterlist 2026-09-12'!$B:$M, 12, 0)),0)</f>
        <v>7</v>
      </c>
      <c r="Z1261" s="46">
        <f t="shared" si="294"/>
        <v>2.3333333333333335</v>
      </c>
      <c r="AA1261" s="46">
        <f t="shared" si="295"/>
        <v>4.666666666666667</v>
      </c>
      <c r="AB1261" s="46">
        <f t="shared" si="296"/>
        <v>0.72592592592592586</v>
      </c>
      <c r="AC1261" s="46">
        <f t="shared" si="297"/>
        <v>1.088888888888889</v>
      </c>
      <c r="AD1261" s="44" t="str">
        <f t="shared" si="298"/>
        <v>Over</v>
      </c>
      <c r="AE1261" s="44" t="str">
        <f>IFERROR(VLOOKUP(A1261,'[1]Re-order'!$A:$AA,27,0),"")</f>
        <v/>
      </c>
      <c r="AF1261" s="46">
        <f t="shared" si="299"/>
        <v>-2.911111111111111</v>
      </c>
      <c r="AG1261" s="46">
        <f>SUMIFS('[1]Raw Inventory'!D:D,'[1]Raw Inventory'!C:C,"GREATWALL",'[1]Raw Inventory'!B:B,A1261)</f>
        <v>110</v>
      </c>
      <c r="AH1261" s="46">
        <f>SUMIFS('[1]Raw Inventory'!D:D,'[1]Raw Inventory'!C:C,"DUARTE",'[1]Raw Inventory'!B:B,A1261)</f>
        <v>0</v>
      </c>
      <c r="AI1261" s="46"/>
      <c r="AJ1261" s="46"/>
      <c r="AK1261" s="43"/>
      <c r="AL1261" s="43"/>
      <c r="AM1261" s="43"/>
      <c r="AN1261" s="43"/>
      <c r="AO1261" s="43"/>
      <c r="AP1261" s="43"/>
      <c r="AQ1261" s="43"/>
      <c r="AR1261" s="43"/>
      <c r="AS1261" s="43"/>
      <c r="AT1261" s="43"/>
    </row>
    <row r="1262" spans="1:46">
      <c r="A1262" s="43" t="s">
        <v>16</v>
      </c>
      <c r="B1262" s="43" t="s">
        <v>11</v>
      </c>
      <c r="C1262" s="43" t="s">
        <v>1</v>
      </c>
      <c r="D1262" s="44" t="s">
        <v>238</v>
      </c>
      <c r="E1262" s="44">
        <v>2</v>
      </c>
      <c r="F1262" s="44" t="s">
        <v>0</v>
      </c>
      <c r="G1262" s="43" t="str">
        <f>IFERROR(VLOOKUP(A1262,'[1]MC Masterlist 2026-09-12'!$B:$M, 3, 0),"")</f>
        <v>HONDA</v>
      </c>
      <c r="H1262" s="45">
        <f>IFERROR(VLOOKUP(A1262,'[1]MC Masterlist 2026-09-12'!$B:$M, 6, 0),"")</f>
        <v>84394</v>
      </c>
      <c r="I1262" s="46">
        <v>13</v>
      </c>
      <c r="J1262" s="46">
        <v>20</v>
      </c>
      <c r="K1262" s="46">
        <v>12</v>
      </c>
      <c r="L1262" s="46">
        <f t="shared" si="285"/>
        <v>45</v>
      </c>
      <c r="M1262" s="46">
        <f t="shared" si="286"/>
        <v>15</v>
      </c>
      <c r="N1262" s="45">
        <f t="shared" si="287"/>
        <v>3797730</v>
      </c>
      <c r="O1262" s="45">
        <f t="shared" si="288"/>
        <v>1265910</v>
      </c>
      <c r="P1262" s="46">
        <f t="shared" si="289"/>
        <v>0.5</v>
      </c>
      <c r="Q1262" s="46">
        <v>6</v>
      </c>
      <c r="R1262" s="45">
        <f t="shared" si="290"/>
        <v>506364</v>
      </c>
      <c r="S1262" s="46">
        <f t="shared" si="291"/>
        <v>12</v>
      </c>
      <c r="T1262" s="46">
        <f>IFERROR(VLOOKUP(A1262,'[1]Re-order'!$A:$Q,17,0),"")</f>
        <v>26.332665330661321</v>
      </c>
      <c r="U1262" s="46">
        <f>IFERROR(VLOOKUP(A1262,'[1]MC Masterlist 2026-09-12'!$B:$M, 10, 0),0)</f>
        <v>15</v>
      </c>
      <c r="V1262" s="46">
        <f>IFERROR(VLOOKUP(A1262,'[1]MC Masterlist 2026-09-12'!$B:$M, 11, 0),0)</f>
        <v>15</v>
      </c>
      <c r="W1262" s="46">
        <f t="shared" si="292"/>
        <v>30</v>
      </c>
      <c r="X1262" s="46">
        <f t="shared" si="293"/>
        <v>-0.5</v>
      </c>
      <c r="Y1262" s="46">
        <f>IFERROR(IF(OR(C1262="AREA I",C1262="AREA V"),7,VLOOKUP(A1262,'[1]MC Masterlist 2026-09-12'!$B:$M, 12, 0)),0)</f>
        <v>7</v>
      </c>
      <c r="Z1262" s="46">
        <f t="shared" si="294"/>
        <v>7.5</v>
      </c>
      <c r="AA1262" s="46">
        <f t="shared" si="295"/>
        <v>15</v>
      </c>
      <c r="AB1262" s="46">
        <f t="shared" si="296"/>
        <v>-0.25</v>
      </c>
      <c r="AC1262" s="46">
        <f t="shared" si="297"/>
        <v>3.5</v>
      </c>
      <c r="AD1262" s="44" t="str">
        <f t="shared" si="298"/>
        <v>Over</v>
      </c>
      <c r="AE1262" s="44" t="str">
        <f>IFERROR(VLOOKUP(A1262,'[1]Re-order'!$A:$AA,27,0),"")</f>
        <v>Stockout</v>
      </c>
      <c r="AF1262" s="46">
        <f t="shared" si="299"/>
        <v>-2.5</v>
      </c>
      <c r="AG1262" s="46">
        <f>SUMIFS('[1]Raw Inventory'!D:D,'[1]Raw Inventory'!C:C,"GREATWALL",'[1]Raw Inventory'!B:B,A1262)</f>
        <v>58</v>
      </c>
      <c r="AH1262" s="46">
        <f>SUMIFS('[1]Raw Inventory'!D:D,'[1]Raw Inventory'!C:C,"DUARTE",'[1]Raw Inventory'!B:B,A1262)</f>
        <v>0</v>
      </c>
      <c r="AI1262" s="46"/>
      <c r="AJ1262" s="46"/>
      <c r="AK1262" s="43"/>
      <c r="AL1262" s="43"/>
      <c r="AM1262" s="43"/>
      <c r="AN1262" s="43"/>
      <c r="AO1262" s="43"/>
      <c r="AP1262" s="43"/>
      <c r="AQ1262" s="43"/>
      <c r="AR1262" s="43"/>
      <c r="AS1262" s="43"/>
      <c r="AT1262" s="43"/>
    </row>
    <row r="1263" spans="1:46">
      <c r="A1263" s="43" t="s">
        <v>22</v>
      </c>
      <c r="B1263" s="43" t="s">
        <v>91</v>
      </c>
      <c r="C1263" s="43" t="s">
        <v>90</v>
      </c>
      <c r="D1263" s="44" t="s">
        <v>233</v>
      </c>
      <c r="E1263" s="44">
        <v>8</v>
      </c>
      <c r="F1263" s="44" t="s">
        <v>2</v>
      </c>
      <c r="G1263" s="43" t="str">
        <f>IFERROR(VLOOKUP(A1263,'[1]MC Masterlist 2026-09-12'!$B:$M, 3, 0),"")</f>
        <v>HONDA</v>
      </c>
      <c r="H1263" s="45">
        <f>IFERROR(VLOOKUP(A1263,'[1]MC Masterlist 2026-09-12'!$B:$M, 6, 0),"")</f>
        <v>111258</v>
      </c>
      <c r="I1263" s="46">
        <v>1</v>
      </c>
      <c r="J1263" s="46">
        <v>1</v>
      </c>
      <c r="K1263" s="46">
        <v>1</v>
      </c>
      <c r="L1263" s="46">
        <f t="shared" si="285"/>
        <v>3</v>
      </c>
      <c r="M1263" s="46">
        <f t="shared" si="286"/>
        <v>1</v>
      </c>
      <c r="N1263" s="45">
        <f t="shared" si="287"/>
        <v>333774</v>
      </c>
      <c r="O1263" s="45">
        <f t="shared" si="288"/>
        <v>111258</v>
      </c>
      <c r="P1263" s="46">
        <f t="shared" si="289"/>
        <v>3.3333333333333333E-2</v>
      </c>
      <c r="Q1263" s="46">
        <v>4</v>
      </c>
      <c r="R1263" s="45">
        <f t="shared" si="290"/>
        <v>445032</v>
      </c>
      <c r="S1263" s="46">
        <f t="shared" si="291"/>
        <v>120</v>
      </c>
      <c r="T1263" s="46">
        <f>IFERROR(VLOOKUP(A1263,'[1]Re-order'!$A:$Q,17,0),"")</f>
        <v>41.339712918660283</v>
      </c>
      <c r="U1263" s="46">
        <f>IFERROR(VLOOKUP(A1263,'[1]MC Masterlist 2026-09-12'!$B:$M, 10, 0),0)</f>
        <v>15</v>
      </c>
      <c r="V1263" s="46">
        <f>IFERROR(VLOOKUP(A1263,'[1]MC Masterlist 2026-09-12'!$B:$M, 11, 0),0)</f>
        <v>15</v>
      </c>
      <c r="W1263" s="46">
        <f t="shared" si="292"/>
        <v>30</v>
      </c>
      <c r="X1263" s="46">
        <f t="shared" si="293"/>
        <v>29.5</v>
      </c>
      <c r="Y1263" s="46">
        <f>IFERROR(IF(OR(C1263="AREA I",C1263="AREA V"),7,VLOOKUP(A1263,'[1]MC Masterlist 2026-09-12'!$B:$M, 12, 0)),0)</f>
        <v>30</v>
      </c>
      <c r="Z1263" s="46">
        <f t="shared" si="294"/>
        <v>0.5</v>
      </c>
      <c r="AA1263" s="46">
        <f t="shared" si="295"/>
        <v>1</v>
      </c>
      <c r="AB1263" s="46">
        <f t="shared" si="296"/>
        <v>0.98333333333333328</v>
      </c>
      <c r="AC1263" s="46">
        <f t="shared" si="297"/>
        <v>1</v>
      </c>
      <c r="AD1263" s="44" t="str">
        <f t="shared" si="298"/>
        <v>Over</v>
      </c>
      <c r="AE1263" s="44" t="str">
        <f>IFERROR(VLOOKUP(A1263,'[1]Re-order'!$A:$AA,27,0),"")</f>
        <v>Re-order</v>
      </c>
      <c r="AF1263" s="46">
        <f t="shared" si="299"/>
        <v>-3</v>
      </c>
      <c r="AG1263" s="46">
        <f>SUMIFS('[1]Raw Inventory'!D:D,'[1]Raw Inventory'!C:C,"GREATWALL",'[1]Raw Inventory'!B:B,A1263)</f>
        <v>4</v>
      </c>
      <c r="AH1263" s="46">
        <f>SUMIFS('[1]Raw Inventory'!D:D,'[1]Raw Inventory'!C:C,"DUARTE",'[1]Raw Inventory'!B:B,A1263)</f>
        <v>0</v>
      </c>
      <c r="AI1263" s="46"/>
      <c r="AJ1263" s="46"/>
      <c r="AK1263" s="43"/>
      <c r="AL1263" s="43"/>
      <c r="AM1263" s="43"/>
      <c r="AN1263" s="43"/>
      <c r="AO1263" s="43"/>
      <c r="AP1263" s="43"/>
      <c r="AQ1263" s="43"/>
      <c r="AR1263" s="43"/>
      <c r="AS1263" s="43"/>
      <c r="AT1263" s="43"/>
    </row>
    <row r="1264" spans="1:46">
      <c r="A1264" s="43" t="s">
        <v>14</v>
      </c>
      <c r="B1264" s="43" t="s">
        <v>154</v>
      </c>
      <c r="C1264" s="43" t="s">
        <v>152</v>
      </c>
      <c r="D1264" s="44" t="s">
        <v>238</v>
      </c>
      <c r="E1264" s="44">
        <v>2</v>
      </c>
      <c r="F1264" s="44" t="s">
        <v>0</v>
      </c>
      <c r="G1264" s="43" t="str">
        <f>IFERROR(VLOOKUP(A1264,'[1]MC Masterlist 2026-09-12'!$B:$M, 3, 0),"")</f>
        <v>HONDA</v>
      </c>
      <c r="H1264" s="45">
        <f>IFERROR(VLOOKUP(A1264,'[1]MC Masterlist 2026-09-12'!$B:$M, 6, 0),"")</f>
        <v>80070</v>
      </c>
      <c r="I1264" s="46">
        <v>11</v>
      </c>
      <c r="J1264" s="46">
        <v>5</v>
      </c>
      <c r="K1264" s="46">
        <v>9</v>
      </c>
      <c r="L1264" s="46">
        <f t="shared" si="285"/>
        <v>25</v>
      </c>
      <c r="M1264" s="46">
        <f t="shared" si="286"/>
        <v>8.3333333333333339</v>
      </c>
      <c r="N1264" s="45">
        <f t="shared" si="287"/>
        <v>2001750</v>
      </c>
      <c r="O1264" s="45">
        <f t="shared" si="288"/>
        <v>667250</v>
      </c>
      <c r="P1264" s="46">
        <f t="shared" si="289"/>
        <v>0.27777777777777779</v>
      </c>
      <c r="Q1264" s="46">
        <v>5</v>
      </c>
      <c r="R1264" s="45">
        <f t="shared" si="290"/>
        <v>400350</v>
      </c>
      <c r="S1264" s="46">
        <f t="shared" si="291"/>
        <v>18</v>
      </c>
      <c r="T1264" s="46">
        <f>IFERROR(VLOOKUP(A1264,'[1]Re-order'!$A:$Q,17,0),"")</f>
        <v>20.105787181082761</v>
      </c>
      <c r="U1264" s="46">
        <f>IFERROR(VLOOKUP(A1264,'[1]MC Masterlist 2026-09-12'!$B:$M, 10, 0),0)</f>
        <v>15</v>
      </c>
      <c r="V1264" s="46">
        <f>IFERROR(VLOOKUP(A1264,'[1]MC Masterlist 2026-09-12'!$B:$M, 11, 0),0)</f>
        <v>15</v>
      </c>
      <c r="W1264" s="46">
        <f t="shared" si="292"/>
        <v>30</v>
      </c>
      <c r="X1264" s="46">
        <f t="shared" si="293"/>
        <v>25.833333333333332</v>
      </c>
      <c r="Y1264" s="46">
        <f>IFERROR(IF(OR(C1264="AREA I",C1264="AREA V"),7,VLOOKUP(A1264,'[1]MC Masterlist 2026-09-12'!$B:$M, 12, 0)),0)</f>
        <v>30</v>
      </c>
      <c r="Z1264" s="46">
        <f t="shared" si="294"/>
        <v>4.166666666666667</v>
      </c>
      <c r="AA1264" s="46">
        <f t="shared" si="295"/>
        <v>8.3333333333333339</v>
      </c>
      <c r="AB1264" s="46">
        <f t="shared" si="296"/>
        <v>7.1759259259259256</v>
      </c>
      <c r="AC1264" s="46">
        <f t="shared" si="297"/>
        <v>8.3333333333333339</v>
      </c>
      <c r="AD1264" s="44" t="str">
        <f t="shared" si="298"/>
        <v>Re-order</v>
      </c>
      <c r="AE1264" s="44" t="str">
        <f>IFERROR(VLOOKUP(A1264,'[1]Re-order'!$A:$AA,27,0),"")</f>
        <v>Stockout</v>
      </c>
      <c r="AF1264" s="46">
        <f t="shared" si="299"/>
        <v>3.3333333333333339</v>
      </c>
      <c r="AG1264" s="46">
        <f>SUMIFS('[1]Raw Inventory'!D:D,'[1]Raw Inventory'!C:C,"GREATWALL",'[1]Raw Inventory'!B:B,A1264)</f>
        <v>176</v>
      </c>
      <c r="AH1264" s="46">
        <f>SUMIFS('[1]Raw Inventory'!D:D,'[1]Raw Inventory'!C:C,"DUARTE",'[1]Raw Inventory'!B:B,A1264)</f>
        <v>0</v>
      </c>
      <c r="AI1264" s="46"/>
      <c r="AJ1264" s="46"/>
      <c r="AK1264" s="43"/>
      <c r="AL1264" s="43"/>
      <c r="AM1264" s="43"/>
      <c r="AN1264" s="43"/>
      <c r="AO1264" s="43"/>
      <c r="AP1264" s="43"/>
      <c r="AQ1264" s="43"/>
      <c r="AR1264" s="43"/>
      <c r="AS1264" s="43"/>
      <c r="AT1264" s="43"/>
    </row>
    <row r="1265" spans="1:46">
      <c r="A1265" s="43" t="s">
        <v>72</v>
      </c>
      <c r="B1265" s="43" t="s">
        <v>138</v>
      </c>
      <c r="C1265" s="43" t="s">
        <v>137</v>
      </c>
      <c r="D1265" s="44" t="s">
        <v>265</v>
      </c>
      <c r="E1265" s="44">
        <v>33</v>
      </c>
      <c r="F1265" s="44" t="s">
        <v>3</v>
      </c>
      <c r="G1265" s="43" t="str">
        <f>IFERROR(VLOOKUP(A1265,'[1]MC Masterlist 2026-09-12'!$B:$M, 3, 0),"")</f>
        <v>KAWASAKI</v>
      </c>
      <c r="H1265" s="45">
        <f>IFERROR(VLOOKUP(A1265,'[1]MC Masterlist 2026-09-12'!$B:$M, 6, 0),"")</f>
        <v>52948</v>
      </c>
      <c r="I1265" s="46">
        <v>0</v>
      </c>
      <c r="J1265" s="46">
        <v>0</v>
      </c>
      <c r="K1265" s="46">
        <v>0</v>
      </c>
      <c r="L1265" s="46">
        <f t="shared" si="285"/>
        <v>0</v>
      </c>
      <c r="M1265" s="46">
        <f t="shared" si="286"/>
        <v>0</v>
      </c>
      <c r="N1265" s="45">
        <f t="shared" si="287"/>
        <v>0</v>
      </c>
      <c r="O1265" s="45">
        <f t="shared" si="288"/>
        <v>0</v>
      </c>
      <c r="P1265" s="46">
        <f t="shared" si="289"/>
        <v>0</v>
      </c>
      <c r="Q1265" s="46">
        <v>15</v>
      </c>
      <c r="R1265" s="45">
        <f t="shared" si="290"/>
        <v>794220</v>
      </c>
      <c r="S1265" s="46">
        <f t="shared" si="291"/>
        <v>0</v>
      </c>
      <c r="T1265" s="46">
        <f>IFERROR(VLOOKUP(A1265,'[1]Re-order'!$A:$Q,17,0),"")</f>
        <v>378</v>
      </c>
      <c r="U1265" s="46">
        <f>IFERROR(VLOOKUP(A1265,'[1]MC Masterlist 2026-09-12'!$B:$M, 10, 0),0)</f>
        <v>15</v>
      </c>
      <c r="V1265" s="46">
        <f>IFERROR(VLOOKUP(A1265,'[1]MC Masterlist 2026-09-12'!$B:$M, 11, 0),0)</f>
        <v>15</v>
      </c>
      <c r="W1265" s="46">
        <f t="shared" si="292"/>
        <v>30</v>
      </c>
      <c r="X1265" s="46">
        <f t="shared" si="293"/>
        <v>7</v>
      </c>
      <c r="Y1265" s="46">
        <f>IFERROR(IF(OR(C1265="AREA I",C1265="AREA V"),7,VLOOKUP(A1265,'[1]MC Masterlist 2026-09-12'!$B:$M, 12, 0)),0)</f>
        <v>7</v>
      </c>
      <c r="Z1265" s="46">
        <f t="shared" si="294"/>
        <v>0</v>
      </c>
      <c r="AA1265" s="46">
        <f t="shared" si="295"/>
        <v>0</v>
      </c>
      <c r="AB1265" s="46">
        <f t="shared" si="296"/>
        <v>0</v>
      </c>
      <c r="AC1265" s="46">
        <f t="shared" si="297"/>
        <v>0</v>
      </c>
      <c r="AD1265" s="44" t="str">
        <f t="shared" si="298"/>
        <v>Over</v>
      </c>
      <c r="AE1265" s="44" t="str">
        <f>IFERROR(VLOOKUP(A1265,'[1]Re-order'!$A:$AA,27,0),"")</f>
        <v>Over</v>
      </c>
      <c r="AF1265" s="46">
        <f t="shared" si="299"/>
        <v>-15</v>
      </c>
      <c r="AG1265" s="46">
        <f>SUMIFS('[1]Raw Inventory'!D:D,'[1]Raw Inventory'!C:C,"GREATWALL",'[1]Raw Inventory'!B:B,A1265)</f>
        <v>15</v>
      </c>
      <c r="AH1265" s="46">
        <f>SUMIFS('[1]Raw Inventory'!D:D,'[1]Raw Inventory'!C:C,"DUARTE",'[1]Raw Inventory'!B:B,A1265)</f>
        <v>0</v>
      </c>
      <c r="AI1265" s="46"/>
      <c r="AJ1265" s="46"/>
      <c r="AK1265" s="43"/>
      <c r="AL1265" s="43"/>
      <c r="AM1265" s="43"/>
      <c r="AN1265" s="43"/>
      <c r="AO1265" s="43"/>
      <c r="AP1265" s="43"/>
      <c r="AQ1265" s="43"/>
      <c r="AR1265" s="43"/>
      <c r="AS1265" s="43"/>
      <c r="AT1265" s="43"/>
    </row>
    <row r="1266" spans="1:46">
      <c r="A1266" s="43" t="s">
        <v>43</v>
      </c>
      <c r="B1266" s="43" t="s">
        <v>130</v>
      </c>
      <c r="C1266" s="43" t="s">
        <v>128</v>
      </c>
      <c r="D1266" s="44" t="s">
        <v>243</v>
      </c>
      <c r="E1266" s="44">
        <v>18</v>
      </c>
      <c r="F1266" s="44" t="s">
        <v>2</v>
      </c>
      <c r="G1266" s="43" t="str">
        <f>IFERROR(VLOOKUP(A1266,'[1]MC Masterlist 2026-09-12'!$B:$M, 3, 0),"")</f>
        <v>YAMAHA</v>
      </c>
      <c r="H1266" s="45">
        <f>IFERROR(VLOOKUP(A1266,'[1]MC Masterlist 2026-09-12'!$B:$M, 6, 0),"")</f>
        <v>70587</v>
      </c>
      <c r="I1266" s="46">
        <v>3</v>
      </c>
      <c r="J1266" s="46">
        <v>1</v>
      </c>
      <c r="K1266" s="46">
        <v>0</v>
      </c>
      <c r="L1266" s="46">
        <f t="shared" si="285"/>
        <v>4</v>
      </c>
      <c r="M1266" s="46">
        <f t="shared" si="286"/>
        <v>1.3333333333333333</v>
      </c>
      <c r="N1266" s="45">
        <f t="shared" si="287"/>
        <v>282348</v>
      </c>
      <c r="O1266" s="45">
        <f t="shared" si="288"/>
        <v>94116</v>
      </c>
      <c r="P1266" s="46">
        <f t="shared" si="289"/>
        <v>4.4444444444444439E-2</v>
      </c>
      <c r="Q1266" s="46"/>
      <c r="R1266" s="45">
        <f t="shared" si="290"/>
        <v>0</v>
      </c>
      <c r="S1266" s="46">
        <f t="shared" si="291"/>
        <v>0</v>
      </c>
      <c r="T1266" s="46">
        <f>IFERROR(VLOOKUP(A1266,'[1]Re-order'!$A:$Q,17,0),"")</f>
        <v>43.578947368421055</v>
      </c>
      <c r="U1266" s="46">
        <f>IFERROR(VLOOKUP(A1266,'[1]MC Masterlist 2026-09-12'!$B:$M, 10, 0),0)</f>
        <v>15</v>
      </c>
      <c r="V1266" s="46">
        <f>IFERROR(VLOOKUP(A1266,'[1]MC Masterlist 2026-09-12'!$B:$M, 11, 0),0)</f>
        <v>15</v>
      </c>
      <c r="W1266" s="46">
        <f t="shared" si="292"/>
        <v>30</v>
      </c>
      <c r="X1266" s="46">
        <f t="shared" si="293"/>
        <v>29.333333333333332</v>
      </c>
      <c r="Y1266" s="46">
        <f>IFERROR(IF(OR(C1266="AREA I",C1266="AREA V"),7,VLOOKUP(A1266,'[1]MC Masterlist 2026-09-12'!$B:$M, 12, 0)),0)</f>
        <v>30</v>
      </c>
      <c r="Z1266" s="46">
        <f t="shared" si="294"/>
        <v>0.66666666666666663</v>
      </c>
      <c r="AA1266" s="46">
        <f t="shared" si="295"/>
        <v>1.3333333333333333</v>
      </c>
      <c r="AB1266" s="46">
        <f t="shared" si="296"/>
        <v>1.3037037037037036</v>
      </c>
      <c r="AC1266" s="46">
        <f t="shared" si="297"/>
        <v>1.3333333333333333</v>
      </c>
      <c r="AD1266" s="44" t="str">
        <f t="shared" si="298"/>
        <v>Stockout</v>
      </c>
      <c r="AE1266" s="44" t="str">
        <f>IFERROR(VLOOKUP(A1266,'[1]Re-order'!$A:$AA,27,0),"")</f>
        <v>Re-order</v>
      </c>
      <c r="AF1266" s="46">
        <f t="shared" si="299"/>
        <v>1.3333333333333333</v>
      </c>
      <c r="AG1266" s="46">
        <f>SUMIFS('[1]Raw Inventory'!D:D,'[1]Raw Inventory'!C:C,"GREATWALL",'[1]Raw Inventory'!B:B,A1266)</f>
        <v>0</v>
      </c>
      <c r="AH1266" s="46">
        <f>SUMIFS('[1]Raw Inventory'!D:D,'[1]Raw Inventory'!C:C,"DUARTE",'[1]Raw Inventory'!B:B,A1266)</f>
        <v>0</v>
      </c>
      <c r="AI1266" s="46"/>
      <c r="AJ1266" s="46"/>
      <c r="AK1266" s="43"/>
      <c r="AL1266" s="43"/>
      <c r="AM1266" s="43"/>
      <c r="AN1266" s="43"/>
      <c r="AO1266" s="43"/>
      <c r="AP1266" s="43"/>
      <c r="AQ1266" s="43"/>
      <c r="AR1266" s="43"/>
      <c r="AS1266" s="43"/>
      <c r="AT1266" s="43"/>
    </row>
    <row r="1267" spans="1:46">
      <c r="A1267" s="43" t="s">
        <v>47</v>
      </c>
      <c r="B1267" s="43" t="s">
        <v>144</v>
      </c>
      <c r="C1267" s="43" t="s">
        <v>137</v>
      </c>
      <c r="D1267" s="44" t="s">
        <v>265</v>
      </c>
      <c r="E1267" s="44">
        <v>33</v>
      </c>
      <c r="F1267" s="44" t="s">
        <v>3</v>
      </c>
      <c r="G1267" s="43" t="str">
        <f>IFERROR(VLOOKUP(A1267,'[1]MC Masterlist 2026-09-12'!$B:$M, 3, 0),"")</f>
        <v>YAMAHA</v>
      </c>
      <c r="H1267" s="45">
        <f>IFERROR(VLOOKUP(A1267,'[1]MC Masterlist 2026-09-12'!$B:$M, 6, 0),"")</f>
        <v>76167</v>
      </c>
      <c r="I1267" s="46">
        <v>0</v>
      </c>
      <c r="J1267" s="46">
        <v>0</v>
      </c>
      <c r="K1267" s="46">
        <v>0</v>
      </c>
      <c r="L1267" s="46">
        <f t="shared" si="285"/>
        <v>0</v>
      </c>
      <c r="M1267" s="46">
        <f t="shared" si="286"/>
        <v>0</v>
      </c>
      <c r="N1267" s="45">
        <f t="shared" si="287"/>
        <v>0</v>
      </c>
      <c r="O1267" s="45">
        <f t="shared" si="288"/>
        <v>0</v>
      </c>
      <c r="P1267" s="46">
        <f t="shared" si="289"/>
        <v>0</v>
      </c>
      <c r="Q1267" s="46">
        <v>1</v>
      </c>
      <c r="R1267" s="45">
        <f t="shared" si="290"/>
        <v>76167</v>
      </c>
      <c r="S1267" s="46">
        <f t="shared" si="291"/>
        <v>0</v>
      </c>
      <c r="T1267" s="46">
        <f>IFERROR(VLOOKUP(A1267,'[1]Re-order'!$A:$Q,17,0),"")</f>
        <v>86.666666666666671</v>
      </c>
      <c r="U1267" s="46">
        <f>IFERROR(VLOOKUP(A1267,'[1]MC Masterlist 2026-09-12'!$B:$M, 10, 0),0)</f>
        <v>15</v>
      </c>
      <c r="V1267" s="46">
        <f>IFERROR(VLOOKUP(A1267,'[1]MC Masterlist 2026-09-12'!$B:$M, 11, 0),0)</f>
        <v>15</v>
      </c>
      <c r="W1267" s="46">
        <f t="shared" si="292"/>
        <v>30</v>
      </c>
      <c r="X1267" s="46">
        <f t="shared" si="293"/>
        <v>7</v>
      </c>
      <c r="Y1267" s="46">
        <f>IFERROR(IF(OR(C1267="AREA I",C1267="AREA V"),7,VLOOKUP(A1267,'[1]MC Masterlist 2026-09-12'!$B:$M, 12, 0)),0)</f>
        <v>7</v>
      </c>
      <c r="Z1267" s="46">
        <f t="shared" si="294"/>
        <v>0</v>
      </c>
      <c r="AA1267" s="46">
        <f t="shared" si="295"/>
        <v>0</v>
      </c>
      <c r="AB1267" s="46">
        <f t="shared" si="296"/>
        <v>0</v>
      </c>
      <c r="AC1267" s="46">
        <f t="shared" si="297"/>
        <v>0</v>
      </c>
      <c r="AD1267" s="44" t="str">
        <f t="shared" si="298"/>
        <v>Over</v>
      </c>
      <c r="AE1267" s="44" t="str">
        <f>IFERROR(VLOOKUP(A1267,'[1]Re-order'!$A:$AA,27,0),"")</f>
        <v/>
      </c>
      <c r="AF1267" s="46">
        <f t="shared" si="299"/>
        <v>-1</v>
      </c>
      <c r="AG1267" s="46">
        <f>SUMIFS('[1]Raw Inventory'!D:D,'[1]Raw Inventory'!C:C,"GREATWALL",'[1]Raw Inventory'!B:B,A1267)</f>
        <v>1</v>
      </c>
      <c r="AH1267" s="46">
        <f>SUMIFS('[1]Raw Inventory'!D:D,'[1]Raw Inventory'!C:C,"DUARTE",'[1]Raw Inventory'!B:B,A1267)</f>
        <v>0</v>
      </c>
      <c r="AI1267" s="46"/>
      <c r="AJ1267" s="46"/>
      <c r="AK1267" s="43"/>
      <c r="AL1267" s="43"/>
      <c r="AM1267" s="43"/>
      <c r="AN1267" s="43"/>
      <c r="AO1267" s="43"/>
      <c r="AP1267" s="43"/>
      <c r="AQ1267" s="43"/>
      <c r="AR1267" s="43"/>
      <c r="AS1267" s="43"/>
      <c r="AT1267" s="43"/>
    </row>
    <row r="1268" spans="1:46">
      <c r="A1268" s="43" t="s">
        <v>83</v>
      </c>
      <c r="B1268" s="43" t="s">
        <v>121</v>
      </c>
      <c r="C1268" s="43" t="s">
        <v>118</v>
      </c>
      <c r="D1268" s="44" t="s">
        <v>226</v>
      </c>
      <c r="E1268" s="44">
        <v>28</v>
      </c>
      <c r="F1268" s="44" t="s">
        <v>3</v>
      </c>
      <c r="G1268" s="43" t="str">
        <f>IFERROR(VLOOKUP(A1268,'[1]MC Masterlist 2026-09-12'!$B:$M, 3, 0),"")</f>
        <v>SKYGO</v>
      </c>
      <c r="H1268" s="45">
        <f>IFERROR(VLOOKUP(A1268,'[1]MC Masterlist 2026-09-12'!$B:$M, 6, 0),"")</f>
        <v>35055</v>
      </c>
      <c r="I1268" s="46">
        <v>0</v>
      </c>
      <c r="J1268" s="46">
        <v>0</v>
      </c>
      <c r="K1268" s="46">
        <v>0</v>
      </c>
      <c r="L1268" s="46">
        <f t="shared" si="285"/>
        <v>0</v>
      </c>
      <c r="M1268" s="46">
        <f t="shared" si="286"/>
        <v>0</v>
      </c>
      <c r="N1268" s="45">
        <f t="shared" si="287"/>
        <v>0</v>
      </c>
      <c r="O1268" s="45">
        <f t="shared" si="288"/>
        <v>0</v>
      </c>
      <c r="P1268" s="46">
        <f t="shared" si="289"/>
        <v>0</v>
      </c>
      <c r="Q1268" s="46">
        <v>3</v>
      </c>
      <c r="R1268" s="45">
        <f t="shared" si="290"/>
        <v>105165</v>
      </c>
      <c r="S1268" s="46">
        <f t="shared" si="291"/>
        <v>0</v>
      </c>
      <c r="T1268" s="46">
        <f>IFERROR(VLOOKUP(A1268,'[1]Re-order'!$A:$Q,17,0),"")</f>
        <v>313.2</v>
      </c>
      <c r="U1268" s="46">
        <f>IFERROR(VLOOKUP(A1268,'[1]MC Masterlist 2026-09-12'!$B:$M, 10, 0),0)</f>
        <v>15</v>
      </c>
      <c r="V1268" s="46">
        <f>IFERROR(VLOOKUP(A1268,'[1]MC Masterlist 2026-09-12'!$B:$M, 11, 0),0)</f>
        <v>15</v>
      </c>
      <c r="W1268" s="46">
        <f t="shared" si="292"/>
        <v>30</v>
      </c>
      <c r="X1268" s="46">
        <f t="shared" si="293"/>
        <v>30</v>
      </c>
      <c r="Y1268" s="46">
        <f>IFERROR(IF(OR(C1268="AREA I",C1268="AREA V"),7,VLOOKUP(A1268,'[1]MC Masterlist 2026-09-12'!$B:$M, 12, 0)),0)</f>
        <v>30</v>
      </c>
      <c r="Z1268" s="46">
        <f t="shared" si="294"/>
        <v>0</v>
      </c>
      <c r="AA1268" s="46">
        <f t="shared" si="295"/>
        <v>0</v>
      </c>
      <c r="AB1268" s="46">
        <f t="shared" si="296"/>
        <v>0</v>
      </c>
      <c r="AC1268" s="46">
        <f t="shared" si="297"/>
        <v>0</v>
      </c>
      <c r="AD1268" s="44" t="str">
        <f t="shared" si="298"/>
        <v>Over</v>
      </c>
      <c r="AE1268" s="44" t="str">
        <f>IFERROR(VLOOKUP(A1268,'[1]Re-order'!$A:$AA,27,0),"")</f>
        <v>Over</v>
      </c>
      <c r="AF1268" s="46">
        <f t="shared" si="299"/>
        <v>-3</v>
      </c>
      <c r="AG1268" s="46">
        <f>SUMIFS('[1]Raw Inventory'!D:D,'[1]Raw Inventory'!C:C,"GREATWALL",'[1]Raw Inventory'!B:B,A1268)</f>
        <v>33</v>
      </c>
      <c r="AH1268" s="46">
        <f>SUMIFS('[1]Raw Inventory'!D:D,'[1]Raw Inventory'!C:C,"DUARTE",'[1]Raw Inventory'!B:B,A1268)</f>
        <v>0</v>
      </c>
      <c r="AI1268" s="46"/>
      <c r="AJ1268" s="46"/>
      <c r="AK1268" s="43"/>
      <c r="AL1268" s="43"/>
      <c r="AM1268" s="43"/>
      <c r="AN1268" s="43"/>
      <c r="AO1268" s="43"/>
      <c r="AP1268" s="43"/>
      <c r="AQ1268" s="43"/>
      <c r="AR1268" s="43"/>
      <c r="AS1268" s="43"/>
      <c r="AT1268" s="43"/>
    </row>
    <row r="1269" spans="1:46">
      <c r="A1269" s="43" t="s">
        <v>26</v>
      </c>
      <c r="B1269" s="43" t="s">
        <v>98</v>
      </c>
      <c r="C1269" s="43" t="s">
        <v>90</v>
      </c>
      <c r="D1269" s="44" t="s">
        <v>230</v>
      </c>
      <c r="E1269" s="44">
        <v>6</v>
      </c>
      <c r="F1269" s="44" t="s">
        <v>0</v>
      </c>
      <c r="G1269" s="43" t="str">
        <f>IFERROR(VLOOKUP(A1269,'[1]MC Masterlist 2026-09-12'!$B:$M, 3, 0),"")</f>
        <v>SUZUKI</v>
      </c>
      <c r="H1269" s="45">
        <f>IFERROR(VLOOKUP(A1269,'[1]MC Masterlist 2026-09-12'!$B:$M, 6, 0),"")</f>
        <v>123700</v>
      </c>
      <c r="I1269" s="46">
        <v>1</v>
      </c>
      <c r="J1269" s="46">
        <v>0</v>
      </c>
      <c r="K1269" s="46">
        <v>3</v>
      </c>
      <c r="L1269" s="46">
        <f t="shared" si="285"/>
        <v>4</v>
      </c>
      <c r="M1269" s="46">
        <f t="shared" si="286"/>
        <v>1.3333333333333333</v>
      </c>
      <c r="N1269" s="45">
        <f t="shared" si="287"/>
        <v>494800</v>
      </c>
      <c r="O1269" s="45">
        <f t="shared" si="288"/>
        <v>164933.33333333331</v>
      </c>
      <c r="P1269" s="46">
        <f t="shared" si="289"/>
        <v>4.4444444444444439E-2</v>
      </c>
      <c r="Q1269" s="46">
        <v>1</v>
      </c>
      <c r="R1269" s="45">
        <f t="shared" si="290"/>
        <v>123700</v>
      </c>
      <c r="S1269" s="46">
        <f t="shared" si="291"/>
        <v>22.500000000000004</v>
      </c>
      <c r="T1269" s="46">
        <f>IFERROR(VLOOKUP(A1269,'[1]Re-order'!$A:$Q,17,0),"")</f>
        <v>71.470588235294116</v>
      </c>
      <c r="U1269" s="46">
        <f>IFERROR(VLOOKUP(A1269,'[1]MC Masterlist 2026-09-12'!$B:$M, 10, 0),0)</f>
        <v>15</v>
      </c>
      <c r="V1269" s="46">
        <f>IFERROR(VLOOKUP(A1269,'[1]MC Masterlist 2026-09-12'!$B:$M, 11, 0),0)</f>
        <v>15</v>
      </c>
      <c r="W1269" s="46">
        <f t="shared" si="292"/>
        <v>30</v>
      </c>
      <c r="X1269" s="46">
        <f t="shared" si="293"/>
        <v>29.333333333333332</v>
      </c>
      <c r="Y1269" s="46">
        <f>IFERROR(IF(OR(C1269="AREA I",C1269="AREA V"),7,VLOOKUP(A1269,'[1]MC Masterlist 2026-09-12'!$B:$M, 12, 0)),0)</f>
        <v>30</v>
      </c>
      <c r="Z1269" s="46">
        <f t="shared" si="294"/>
        <v>0.66666666666666663</v>
      </c>
      <c r="AA1269" s="46">
        <f t="shared" si="295"/>
        <v>1.3333333333333333</v>
      </c>
      <c r="AB1269" s="46">
        <f t="shared" si="296"/>
        <v>1.3037037037037036</v>
      </c>
      <c r="AC1269" s="46">
        <f t="shared" si="297"/>
        <v>1.3333333333333333</v>
      </c>
      <c r="AD1269" s="44" t="str">
        <f t="shared" si="298"/>
        <v>Re-order</v>
      </c>
      <c r="AE1269" s="44" t="str">
        <f>IFERROR(VLOOKUP(A1269,'[1]Re-order'!$A:$AA,27,0),"")</f>
        <v>Re-order</v>
      </c>
      <c r="AF1269" s="46">
        <f t="shared" si="299"/>
        <v>0.33333333333333326</v>
      </c>
      <c r="AG1269" s="46">
        <f>SUMIFS('[1]Raw Inventory'!D:D,'[1]Raw Inventory'!C:C,"GREATWALL",'[1]Raw Inventory'!B:B,A1269)</f>
        <v>30</v>
      </c>
      <c r="AH1269" s="46">
        <f>SUMIFS('[1]Raw Inventory'!D:D,'[1]Raw Inventory'!C:C,"DUARTE",'[1]Raw Inventory'!B:B,A1269)</f>
        <v>0</v>
      </c>
      <c r="AI1269" s="46"/>
      <c r="AJ1269" s="46"/>
      <c r="AK1269" s="43"/>
      <c r="AL1269" s="43"/>
      <c r="AM1269" s="43"/>
      <c r="AN1269" s="43"/>
      <c r="AO1269" s="43"/>
      <c r="AP1269" s="43"/>
      <c r="AQ1269" s="43"/>
      <c r="AR1269" s="43"/>
      <c r="AS1269" s="43"/>
      <c r="AT1269" s="43"/>
    </row>
    <row r="1270" spans="1:46">
      <c r="A1270" s="43" t="s">
        <v>82</v>
      </c>
      <c r="B1270" s="43" t="s">
        <v>121</v>
      </c>
      <c r="C1270" s="43" t="s">
        <v>118</v>
      </c>
      <c r="D1270" s="44" t="s">
        <v>223</v>
      </c>
      <c r="E1270" s="44">
        <v>20</v>
      </c>
      <c r="F1270" s="44" t="s">
        <v>3</v>
      </c>
      <c r="G1270" s="43" t="str">
        <f>IFERROR(VLOOKUP(A1270,'[1]MC Masterlist 2026-09-12'!$B:$M, 3, 0),"")</f>
        <v>SUZUKI</v>
      </c>
      <c r="H1270" s="45">
        <f>IFERROR(VLOOKUP(A1270,'[1]MC Masterlist 2026-09-12'!$B:$M, 6, 0),"")</f>
        <v>67342</v>
      </c>
      <c r="I1270" s="46">
        <v>1</v>
      </c>
      <c r="J1270" s="46">
        <v>1</v>
      </c>
      <c r="K1270" s="46">
        <v>0</v>
      </c>
      <c r="L1270" s="46">
        <f t="shared" si="285"/>
        <v>2</v>
      </c>
      <c r="M1270" s="46">
        <f t="shared" si="286"/>
        <v>0.66666666666666663</v>
      </c>
      <c r="N1270" s="45">
        <f t="shared" si="287"/>
        <v>134684</v>
      </c>
      <c r="O1270" s="45">
        <f t="shared" si="288"/>
        <v>44894.666666666664</v>
      </c>
      <c r="P1270" s="46">
        <f t="shared" si="289"/>
        <v>2.222222222222222E-2</v>
      </c>
      <c r="Q1270" s="46"/>
      <c r="R1270" s="45">
        <f t="shared" si="290"/>
        <v>0</v>
      </c>
      <c r="S1270" s="46">
        <f t="shared" si="291"/>
        <v>0</v>
      </c>
      <c r="T1270" s="46">
        <f>IFERROR(VLOOKUP(A1270,'[1]Re-order'!$A:$Q,17,0),"")</f>
        <v>64.8</v>
      </c>
      <c r="U1270" s="46">
        <f>IFERROR(VLOOKUP(A1270,'[1]MC Masterlist 2026-09-12'!$B:$M, 10, 0),0)</f>
        <v>15</v>
      </c>
      <c r="V1270" s="46">
        <f>IFERROR(VLOOKUP(A1270,'[1]MC Masterlist 2026-09-12'!$B:$M, 11, 0),0)</f>
        <v>15</v>
      </c>
      <c r="W1270" s="46">
        <f t="shared" si="292"/>
        <v>30</v>
      </c>
      <c r="X1270" s="46">
        <f t="shared" si="293"/>
        <v>29.666666666666668</v>
      </c>
      <c r="Y1270" s="46">
        <f>IFERROR(IF(OR(C1270="AREA I",C1270="AREA V"),7,VLOOKUP(A1270,'[1]MC Masterlist 2026-09-12'!$B:$M, 12, 0)),0)</f>
        <v>30</v>
      </c>
      <c r="Z1270" s="46">
        <f t="shared" si="294"/>
        <v>0.33333333333333331</v>
      </c>
      <c r="AA1270" s="46">
        <f t="shared" si="295"/>
        <v>0.66666666666666663</v>
      </c>
      <c r="AB1270" s="46">
        <f t="shared" si="296"/>
        <v>0.65925925925925921</v>
      </c>
      <c r="AC1270" s="46">
        <f t="shared" si="297"/>
        <v>0.66666666666666663</v>
      </c>
      <c r="AD1270" s="44" t="str">
        <f t="shared" si="298"/>
        <v>Stockout</v>
      </c>
      <c r="AE1270" s="44" t="str">
        <f>IFERROR(VLOOKUP(A1270,'[1]Re-order'!$A:$AA,27,0),"")</f>
        <v>Re-order</v>
      </c>
      <c r="AF1270" s="46">
        <f t="shared" si="299"/>
        <v>0.66666666666666663</v>
      </c>
      <c r="AG1270" s="46">
        <f>SUMIFS('[1]Raw Inventory'!D:D,'[1]Raw Inventory'!C:C,"GREATWALL",'[1]Raw Inventory'!B:B,A1270)</f>
        <v>1</v>
      </c>
      <c r="AH1270" s="46">
        <f>SUMIFS('[1]Raw Inventory'!D:D,'[1]Raw Inventory'!C:C,"DUARTE",'[1]Raw Inventory'!B:B,A1270)</f>
        <v>0</v>
      </c>
      <c r="AI1270" s="46"/>
      <c r="AJ1270" s="46"/>
      <c r="AK1270" s="43"/>
      <c r="AL1270" s="43"/>
      <c r="AM1270" s="43"/>
      <c r="AN1270" s="43"/>
      <c r="AO1270" s="43"/>
      <c r="AP1270" s="43"/>
      <c r="AQ1270" s="43"/>
      <c r="AR1270" s="43"/>
      <c r="AS1270" s="43"/>
      <c r="AT1270" s="43"/>
    </row>
    <row r="1271" spans="1:46">
      <c r="A1271" s="43" t="s">
        <v>76</v>
      </c>
      <c r="B1271" s="43" t="s">
        <v>110</v>
      </c>
      <c r="C1271" s="43" t="s">
        <v>109</v>
      </c>
      <c r="D1271" s="44" t="s">
        <v>262</v>
      </c>
      <c r="E1271" s="44">
        <v>15</v>
      </c>
      <c r="F1271" s="44" t="s">
        <v>2</v>
      </c>
      <c r="G1271" s="43" t="str">
        <f>IFERROR(VLOOKUP(A1271,'[1]MC Masterlist 2026-09-12'!$B:$M, 3, 0),"")</f>
        <v>SUZUKI</v>
      </c>
      <c r="H1271" s="45">
        <f>IFERROR(VLOOKUP(A1271,'[1]MC Masterlist 2026-09-12'!$B:$M, 6, 0),"")</f>
        <v>62692</v>
      </c>
      <c r="I1271" s="46">
        <v>0</v>
      </c>
      <c r="J1271" s="46">
        <v>2</v>
      </c>
      <c r="K1271" s="46">
        <v>1</v>
      </c>
      <c r="L1271" s="46">
        <f t="shared" si="285"/>
        <v>3</v>
      </c>
      <c r="M1271" s="46">
        <f t="shared" si="286"/>
        <v>1</v>
      </c>
      <c r="N1271" s="45">
        <f t="shared" si="287"/>
        <v>188076</v>
      </c>
      <c r="O1271" s="45">
        <f t="shared" si="288"/>
        <v>62692</v>
      </c>
      <c r="P1271" s="46">
        <f t="shared" si="289"/>
        <v>3.3333333333333333E-2</v>
      </c>
      <c r="Q1271" s="46">
        <v>1</v>
      </c>
      <c r="R1271" s="45">
        <f t="shared" si="290"/>
        <v>62692</v>
      </c>
      <c r="S1271" s="46">
        <f t="shared" si="291"/>
        <v>30</v>
      </c>
      <c r="T1271" s="46">
        <f>IFERROR(VLOOKUP(A1271,'[1]Re-order'!$A:$Q,17,0),"")</f>
        <v>106.36363636363636</v>
      </c>
      <c r="U1271" s="46">
        <f>IFERROR(VLOOKUP(A1271,'[1]MC Masterlist 2026-09-12'!$B:$M, 10, 0),0)</f>
        <v>15</v>
      </c>
      <c r="V1271" s="46">
        <f>IFERROR(VLOOKUP(A1271,'[1]MC Masterlist 2026-09-12'!$B:$M, 11, 0),0)</f>
        <v>15</v>
      </c>
      <c r="W1271" s="46">
        <f t="shared" si="292"/>
        <v>30</v>
      </c>
      <c r="X1271" s="46">
        <f t="shared" si="293"/>
        <v>29.5</v>
      </c>
      <c r="Y1271" s="46">
        <f>IFERROR(IF(OR(C1271="AREA I",C1271="AREA V"),7,VLOOKUP(A1271,'[1]MC Masterlist 2026-09-12'!$B:$M, 12, 0)),0)</f>
        <v>30</v>
      </c>
      <c r="Z1271" s="46">
        <f t="shared" si="294"/>
        <v>0.5</v>
      </c>
      <c r="AA1271" s="46">
        <f t="shared" si="295"/>
        <v>1</v>
      </c>
      <c r="AB1271" s="46">
        <f t="shared" si="296"/>
        <v>0.98333333333333328</v>
      </c>
      <c r="AC1271" s="46">
        <f t="shared" si="297"/>
        <v>1</v>
      </c>
      <c r="AD1271" s="44" t="str">
        <f t="shared" si="298"/>
        <v>Re-order</v>
      </c>
      <c r="AE1271" s="44" t="str">
        <f>IFERROR(VLOOKUP(A1271,'[1]Re-order'!$A:$AA,27,0),"")</f>
        <v>Over</v>
      </c>
      <c r="AF1271" s="46">
        <f t="shared" si="299"/>
        <v>0</v>
      </c>
      <c r="AG1271" s="46">
        <f>SUMIFS('[1]Raw Inventory'!D:D,'[1]Raw Inventory'!C:C,"GREATWALL",'[1]Raw Inventory'!B:B,A1271)</f>
        <v>1</v>
      </c>
      <c r="AH1271" s="46">
        <f>SUMIFS('[1]Raw Inventory'!D:D,'[1]Raw Inventory'!C:C,"DUARTE",'[1]Raw Inventory'!B:B,A1271)</f>
        <v>0</v>
      </c>
      <c r="AI1271" s="46"/>
      <c r="AJ1271" s="46"/>
      <c r="AK1271" s="43"/>
      <c r="AL1271" s="43"/>
      <c r="AM1271" s="43"/>
      <c r="AN1271" s="43"/>
      <c r="AO1271" s="43"/>
      <c r="AP1271" s="43"/>
      <c r="AQ1271" s="43"/>
      <c r="AR1271" s="43"/>
      <c r="AS1271" s="43"/>
      <c r="AT1271" s="43"/>
    </row>
    <row r="1272" spans="1:46">
      <c r="A1272" s="43" t="s">
        <v>108</v>
      </c>
      <c r="B1272" s="43" t="s">
        <v>141</v>
      </c>
      <c r="C1272" s="43" t="s">
        <v>137</v>
      </c>
      <c r="D1272" s="44" t="s">
        <v>242</v>
      </c>
      <c r="E1272" s="44">
        <v>28</v>
      </c>
      <c r="F1272" s="44" t="s">
        <v>3</v>
      </c>
      <c r="G1272" s="43" t="str">
        <f>IFERROR(VLOOKUP(A1272,'[1]MC Masterlist 2026-09-12'!$B:$M, 3, 0),"")</f>
        <v>SUZUKI</v>
      </c>
      <c r="H1272" s="45">
        <f>IFERROR(VLOOKUP(A1272,'[1]MC Masterlist 2026-09-12'!$B:$M, 6, 0),"")</f>
        <v>66412</v>
      </c>
      <c r="I1272" s="46">
        <v>0</v>
      </c>
      <c r="J1272" s="46">
        <v>0</v>
      </c>
      <c r="K1272" s="46">
        <v>0</v>
      </c>
      <c r="L1272" s="46">
        <f t="shared" si="285"/>
        <v>0</v>
      </c>
      <c r="M1272" s="46">
        <f t="shared" si="286"/>
        <v>0</v>
      </c>
      <c r="N1272" s="45">
        <f t="shared" si="287"/>
        <v>0</v>
      </c>
      <c r="O1272" s="45">
        <f t="shared" si="288"/>
        <v>0</v>
      </c>
      <c r="P1272" s="46">
        <f t="shared" si="289"/>
        <v>0</v>
      </c>
      <c r="Q1272" s="46">
        <v>1</v>
      </c>
      <c r="R1272" s="45">
        <f t="shared" si="290"/>
        <v>66412</v>
      </c>
      <c r="S1272" s="46">
        <f t="shared" si="291"/>
        <v>0</v>
      </c>
      <c r="T1272" s="46">
        <f>IFERROR(VLOOKUP(A1272,'[1]Re-order'!$A:$Q,17,0),"")</f>
        <v>540</v>
      </c>
      <c r="U1272" s="46">
        <f>IFERROR(VLOOKUP(A1272,'[1]MC Masterlist 2026-09-12'!$B:$M, 10, 0),0)</f>
        <v>15</v>
      </c>
      <c r="V1272" s="46">
        <f>IFERROR(VLOOKUP(A1272,'[1]MC Masterlist 2026-09-12'!$B:$M, 11, 0),0)</f>
        <v>15</v>
      </c>
      <c r="W1272" s="46">
        <f t="shared" si="292"/>
        <v>30</v>
      </c>
      <c r="X1272" s="46">
        <f t="shared" si="293"/>
        <v>7</v>
      </c>
      <c r="Y1272" s="46">
        <f>IFERROR(IF(OR(C1272="AREA I",C1272="AREA V"),7,VLOOKUP(A1272,'[1]MC Masterlist 2026-09-12'!$B:$M, 12, 0)),0)</f>
        <v>7</v>
      </c>
      <c r="Z1272" s="46">
        <f t="shared" si="294"/>
        <v>0</v>
      </c>
      <c r="AA1272" s="46">
        <f t="shared" si="295"/>
        <v>0</v>
      </c>
      <c r="AB1272" s="46">
        <f t="shared" si="296"/>
        <v>0</v>
      </c>
      <c r="AC1272" s="46">
        <f t="shared" si="297"/>
        <v>0</v>
      </c>
      <c r="AD1272" s="44" t="str">
        <f t="shared" si="298"/>
        <v>Over</v>
      </c>
      <c r="AE1272" s="44" t="str">
        <f>IFERROR(VLOOKUP(A1272,'[1]Re-order'!$A:$AA,27,0),"")</f>
        <v>Over</v>
      </c>
      <c r="AF1272" s="46">
        <f t="shared" si="299"/>
        <v>-1</v>
      </c>
      <c r="AG1272" s="46">
        <f>SUMIFS('[1]Raw Inventory'!D:D,'[1]Raw Inventory'!C:C,"GREATWALL",'[1]Raw Inventory'!B:B,A1272)</f>
        <v>0</v>
      </c>
      <c r="AH1272" s="46">
        <f>SUMIFS('[1]Raw Inventory'!D:D,'[1]Raw Inventory'!C:C,"DUARTE",'[1]Raw Inventory'!B:B,A1272)</f>
        <v>0</v>
      </c>
      <c r="AI1272" s="46"/>
      <c r="AJ1272" s="46"/>
      <c r="AK1272" s="43"/>
      <c r="AL1272" s="43"/>
      <c r="AM1272" s="43"/>
      <c r="AN1272" s="43"/>
      <c r="AO1272" s="43"/>
      <c r="AP1272" s="43"/>
      <c r="AQ1272" s="43"/>
      <c r="AR1272" s="43"/>
      <c r="AS1272" s="43"/>
      <c r="AT1272" s="43"/>
    </row>
    <row r="1273" spans="1:46">
      <c r="A1273" s="43" t="s">
        <v>106</v>
      </c>
      <c r="B1273" s="43" t="s">
        <v>160</v>
      </c>
      <c r="C1273" s="43" t="s">
        <v>159</v>
      </c>
      <c r="D1273" s="44" t="s">
        <v>255</v>
      </c>
      <c r="E1273" s="44">
        <v>13</v>
      </c>
      <c r="F1273" s="44" t="s">
        <v>2</v>
      </c>
      <c r="G1273" s="43" t="str">
        <f>IFERROR(VLOOKUP(A1273,'[1]MC Masterlist 2026-09-12'!$B:$M, 3, 0),"")</f>
        <v>SUZUKI</v>
      </c>
      <c r="H1273" s="45">
        <f>IFERROR(VLOOKUP(A1273,'[1]MC Masterlist 2026-09-12'!$B:$M, 6, 0),"")</f>
        <v>104077</v>
      </c>
      <c r="I1273" s="46">
        <v>0</v>
      </c>
      <c r="J1273" s="46">
        <v>2</v>
      </c>
      <c r="K1273" s="46">
        <v>0</v>
      </c>
      <c r="L1273" s="46">
        <f t="shared" si="285"/>
        <v>2</v>
      </c>
      <c r="M1273" s="46">
        <f t="shared" si="286"/>
        <v>0.66666666666666663</v>
      </c>
      <c r="N1273" s="45">
        <f t="shared" si="287"/>
        <v>208154</v>
      </c>
      <c r="O1273" s="45">
        <f t="shared" si="288"/>
        <v>69384.666666666657</v>
      </c>
      <c r="P1273" s="46">
        <f t="shared" si="289"/>
        <v>2.222222222222222E-2</v>
      </c>
      <c r="Q1273" s="46"/>
      <c r="R1273" s="45">
        <f t="shared" si="290"/>
        <v>0</v>
      </c>
      <c r="S1273" s="46">
        <f t="shared" si="291"/>
        <v>0</v>
      </c>
      <c r="T1273" s="46">
        <f>IFERROR(VLOOKUP(A1273,'[1]Re-order'!$A:$Q,17,0),"")</f>
        <v>45.000000000000007</v>
      </c>
      <c r="U1273" s="46">
        <f>IFERROR(VLOOKUP(A1273,'[1]MC Masterlist 2026-09-12'!$B:$M, 10, 0),0)</f>
        <v>15</v>
      </c>
      <c r="V1273" s="46">
        <f>IFERROR(VLOOKUP(A1273,'[1]MC Masterlist 2026-09-12'!$B:$M, 11, 0),0)</f>
        <v>15</v>
      </c>
      <c r="W1273" s="46">
        <f t="shared" si="292"/>
        <v>30</v>
      </c>
      <c r="X1273" s="46">
        <f t="shared" si="293"/>
        <v>29.666666666666668</v>
      </c>
      <c r="Y1273" s="46">
        <f>IFERROR(IF(OR(C1273="AREA I",C1273="AREA V"),7,VLOOKUP(A1273,'[1]MC Masterlist 2026-09-12'!$B:$M, 12, 0)),0)</f>
        <v>30</v>
      </c>
      <c r="Z1273" s="46">
        <f t="shared" si="294"/>
        <v>0.33333333333333331</v>
      </c>
      <c r="AA1273" s="46">
        <f t="shared" si="295"/>
        <v>0.66666666666666663</v>
      </c>
      <c r="AB1273" s="46">
        <f t="shared" si="296"/>
        <v>0.65925925925925921</v>
      </c>
      <c r="AC1273" s="46">
        <f t="shared" si="297"/>
        <v>0.66666666666666663</v>
      </c>
      <c r="AD1273" s="44" t="str">
        <f t="shared" si="298"/>
        <v>Stockout</v>
      </c>
      <c r="AE1273" s="44" t="str">
        <f>IFERROR(VLOOKUP(A1273,'[1]Re-order'!$A:$AA,27,0),"")</f>
        <v>Re-order</v>
      </c>
      <c r="AF1273" s="46">
        <f t="shared" si="299"/>
        <v>0.66666666666666663</v>
      </c>
      <c r="AG1273" s="46">
        <f>SUMIFS('[1]Raw Inventory'!D:D,'[1]Raw Inventory'!C:C,"GREATWALL",'[1]Raw Inventory'!B:B,A1273)</f>
        <v>0</v>
      </c>
      <c r="AH1273" s="46">
        <f>SUMIFS('[1]Raw Inventory'!D:D,'[1]Raw Inventory'!C:C,"DUARTE",'[1]Raw Inventory'!B:B,A1273)</f>
        <v>0</v>
      </c>
      <c r="AI1273" s="46"/>
      <c r="AJ1273" s="46"/>
      <c r="AK1273" s="43"/>
      <c r="AL1273" s="43"/>
      <c r="AM1273" s="43"/>
      <c r="AN1273" s="43"/>
      <c r="AO1273" s="43"/>
      <c r="AP1273" s="43"/>
      <c r="AQ1273" s="43"/>
      <c r="AR1273" s="43"/>
      <c r="AS1273" s="43"/>
      <c r="AT1273" s="43"/>
    </row>
    <row r="1274" spans="1:46">
      <c r="A1274" s="43" t="s">
        <v>89</v>
      </c>
      <c r="B1274" s="43" t="s">
        <v>114</v>
      </c>
      <c r="C1274" s="43" t="s">
        <v>109</v>
      </c>
      <c r="D1274" s="44" t="s">
        <v>241</v>
      </c>
      <c r="E1274" s="44">
        <v>22</v>
      </c>
      <c r="F1274" s="44" t="s">
        <v>3</v>
      </c>
      <c r="G1274" s="43" t="str">
        <f>IFERROR(VLOOKUP(A1274,'[1]MC Masterlist 2026-09-12'!$B:$M, 3, 0),"")</f>
        <v>HONDA</v>
      </c>
      <c r="H1274" s="45">
        <f>IFERROR(VLOOKUP(A1274,'[1]MC Masterlist 2026-09-12'!$B:$M, 6, 0),"")</f>
        <v>117790</v>
      </c>
      <c r="I1274" s="46">
        <v>1</v>
      </c>
      <c r="J1274" s="46">
        <v>0</v>
      </c>
      <c r="K1274" s="46">
        <v>0</v>
      </c>
      <c r="L1274" s="46">
        <f t="shared" si="285"/>
        <v>1</v>
      </c>
      <c r="M1274" s="46">
        <f t="shared" si="286"/>
        <v>0.33333333333333331</v>
      </c>
      <c r="N1274" s="45">
        <f t="shared" si="287"/>
        <v>117790</v>
      </c>
      <c r="O1274" s="45">
        <f t="shared" si="288"/>
        <v>39263.333333333328</v>
      </c>
      <c r="P1274" s="46">
        <f t="shared" si="289"/>
        <v>1.111111111111111E-2</v>
      </c>
      <c r="Q1274" s="46"/>
      <c r="R1274" s="45">
        <f t="shared" si="290"/>
        <v>0</v>
      </c>
      <c r="S1274" s="46">
        <f t="shared" si="291"/>
        <v>0</v>
      </c>
      <c r="T1274" s="46">
        <f>IFERROR(VLOOKUP(A1274,'[1]Re-order'!$A:$Q,17,0),"")</f>
        <v>81.818181818181827</v>
      </c>
      <c r="U1274" s="46">
        <f>IFERROR(VLOOKUP(A1274,'[1]MC Masterlist 2026-09-12'!$B:$M, 10, 0),0)</f>
        <v>15</v>
      </c>
      <c r="V1274" s="46">
        <f>IFERROR(VLOOKUP(A1274,'[1]MC Masterlist 2026-09-12'!$B:$M, 11, 0),0)</f>
        <v>15</v>
      </c>
      <c r="W1274" s="46">
        <f t="shared" si="292"/>
        <v>30</v>
      </c>
      <c r="X1274" s="46">
        <f t="shared" si="293"/>
        <v>29.833333333333332</v>
      </c>
      <c r="Y1274" s="46">
        <f>IFERROR(IF(OR(C1274="AREA I",C1274="AREA V"),7,VLOOKUP(A1274,'[1]MC Masterlist 2026-09-12'!$B:$M, 12, 0)),0)</f>
        <v>30</v>
      </c>
      <c r="Z1274" s="46">
        <f t="shared" si="294"/>
        <v>0.16666666666666666</v>
      </c>
      <c r="AA1274" s="46">
        <f t="shared" si="295"/>
        <v>0.33333333333333331</v>
      </c>
      <c r="AB1274" s="46">
        <f t="shared" si="296"/>
        <v>0.33148148148148143</v>
      </c>
      <c r="AC1274" s="46">
        <f t="shared" si="297"/>
        <v>0.33333333333333331</v>
      </c>
      <c r="AD1274" s="44" t="str">
        <f t="shared" si="298"/>
        <v>Stockout</v>
      </c>
      <c r="AE1274" s="44" t="str">
        <f>IFERROR(VLOOKUP(A1274,'[1]Re-order'!$A:$AA,27,0),"")</f>
        <v/>
      </c>
      <c r="AF1274" s="46">
        <f t="shared" si="299"/>
        <v>0.33333333333333331</v>
      </c>
      <c r="AG1274" s="46">
        <f>SUMIFS('[1]Raw Inventory'!D:D,'[1]Raw Inventory'!C:C,"GREATWALL",'[1]Raw Inventory'!B:B,A1274)</f>
        <v>5</v>
      </c>
      <c r="AH1274" s="46">
        <f>SUMIFS('[1]Raw Inventory'!D:D,'[1]Raw Inventory'!C:C,"DUARTE",'[1]Raw Inventory'!B:B,A1274)</f>
        <v>0</v>
      </c>
      <c r="AI1274" s="46"/>
      <c r="AJ1274" s="46"/>
      <c r="AK1274" s="43"/>
      <c r="AL1274" s="43"/>
      <c r="AM1274" s="43"/>
      <c r="AN1274" s="43"/>
      <c r="AO1274" s="43"/>
      <c r="AP1274" s="43"/>
      <c r="AQ1274" s="43"/>
      <c r="AR1274" s="43"/>
      <c r="AS1274" s="43"/>
      <c r="AT1274" s="43"/>
    </row>
    <row r="1275" spans="1:46">
      <c r="A1275" s="43" t="s">
        <v>76</v>
      </c>
      <c r="B1275" s="43" t="s">
        <v>153</v>
      </c>
      <c r="C1275" s="43" t="s">
        <v>152</v>
      </c>
      <c r="D1275" s="44" t="s">
        <v>237</v>
      </c>
      <c r="E1275" s="44">
        <v>20</v>
      </c>
      <c r="F1275" s="44" t="s">
        <v>3</v>
      </c>
      <c r="G1275" s="43" t="str">
        <f>IFERROR(VLOOKUP(A1275,'[1]MC Masterlist 2026-09-12'!$B:$M, 3, 0),"")</f>
        <v>SUZUKI</v>
      </c>
      <c r="H1275" s="45">
        <f>IFERROR(VLOOKUP(A1275,'[1]MC Masterlist 2026-09-12'!$B:$M, 6, 0),"")</f>
        <v>62692</v>
      </c>
      <c r="I1275" s="46">
        <v>0</v>
      </c>
      <c r="J1275" s="46">
        <v>0</v>
      </c>
      <c r="K1275" s="46">
        <v>0</v>
      </c>
      <c r="L1275" s="46">
        <f t="shared" si="285"/>
        <v>0</v>
      </c>
      <c r="M1275" s="46">
        <f t="shared" si="286"/>
        <v>0</v>
      </c>
      <c r="N1275" s="45">
        <f t="shared" si="287"/>
        <v>0</v>
      </c>
      <c r="O1275" s="45">
        <f t="shared" si="288"/>
        <v>0</v>
      </c>
      <c r="P1275" s="46">
        <f t="shared" si="289"/>
        <v>0</v>
      </c>
      <c r="Q1275" s="46">
        <v>3</v>
      </c>
      <c r="R1275" s="45">
        <f t="shared" si="290"/>
        <v>188076</v>
      </c>
      <c r="S1275" s="46">
        <f t="shared" si="291"/>
        <v>0</v>
      </c>
      <c r="T1275" s="46">
        <f>IFERROR(VLOOKUP(A1275,'[1]Re-order'!$A:$Q,17,0),"")</f>
        <v>106.36363636363636</v>
      </c>
      <c r="U1275" s="46">
        <f>IFERROR(VLOOKUP(A1275,'[1]MC Masterlist 2026-09-12'!$B:$M, 10, 0),0)</f>
        <v>15</v>
      </c>
      <c r="V1275" s="46">
        <f>IFERROR(VLOOKUP(A1275,'[1]MC Masterlist 2026-09-12'!$B:$M, 11, 0),0)</f>
        <v>15</v>
      </c>
      <c r="W1275" s="46">
        <f t="shared" si="292"/>
        <v>30</v>
      </c>
      <c r="X1275" s="46">
        <f t="shared" si="293"/>
        <v>30</v>
      </c>
      <c r="Y1275" s="46">
        <f>IFERROR(IF(OR(C1275="AREA I",C1275="AREA V"),7,VLOOKUP(A1275,'[1]MC Masterlist 2026-09-12'!$B:$M, 12, 0)),0)</f>
        <v>30</v>
      </c>
      <c r="Z1275" s="46">
        <f t="shared" si="294"/>
        <v>0</v>
      </c>
      <c r="AA1275" s="46">
        <f t="shared" si="295"/>
        <v>0</v>
      </c>
      <c r="AB1275" s="46">
        <f t="shared" si="296"/>
        <v>0</v>
      </c>
      <c r="AC1275" s="46">
        <f t="shared" si="297"/>
        <v>0</v>
      </c>
      <c r="AD1275" s="44" t="str">
        <f t="shared" si="298"/>
        <v>Over</v>
      </c>
      <c r="AE1275" s="44" t="str">
        <f>IFERROR(VLOOKUP(A1275,'[1]Re-order'!$A:$AA,27,0),"")</f>
        <v>Over</v>
      </c>
      <c r="AF1275" s="46">
        <f t="shared" si="299"/>
        <v>-3</v>
      </c>
      <c r="AG1275" s="46">
        <f>SUMIFS('[1]Raw Inventory'!D:D,'[1]Raw Inventory'!C:C,"GREATWALL",'[1]Raw Inventory'!B:B,A1275)</f>
        <v>1</v>
      </c>
      <c r="AH1275" s="46">
        <f>SUMIFS('[1]Raw Inventory'!D:D,'[1]Raw Inventory'!C:C,"DUARTE",'[1]Raw Inventory'!B:B,A1275)</f>
        <v>0</v>
      </c>
      <c r="AI1275" s="46"/>
      <c r="AJ1275" s="46"/>
      <c r="AK1275" s="43"/>
      <c r="AL1275" s="43"/>
      <c r="AM1275" s="43"/>
      <c r="AN1275" s="43"/>
      <c r="AO1275" s="43"/>
      <c r="AP1275" s="43"/>
      <c r="AQ1275" s="43"/>
      <c r="AR1275" s="43"/>
      <c r="AS1275" s="43"/>
      <c r="AT1275" s="43"/>
    </row>
    <row r="1276" spans="1:46">
      <c r="A1276" s="43" t="s">
        <v>63</v>
      </c>
      <c r="B1276" s="43" t="s">
        <v>139</v>
      </c>
      <c r="C1276" s="43" t="s">
        <v>137</v>
      </c>
      <c r="D1276" s="44" t="s">
        <v>229</v>
      </c>
      <c r="E1276" s="44">
        <v>23</v>
      </c>
      <c r="F1276" s="44" t="s">
        <v>3</v>
      </c>
      <c r="G1276" s="43" t="str">
        <f>IFERROR(VLOOKUP(A1276,'[1]MC Masterlist 2026-09-12'!$B:$M, 3, 0),"")</f>
        <v>HONDA</v>
      </c>
      <c r="H1276" s="45">
        <f>IFERROR(VLOOKUP(A1276,'[1]MC Masterlist 2026-09-12'!$B:$M, 6, 0),"")</f>
        <v>125150</v>
      </c>
      <c r="I1276" s="46">
        <v>0</v>
      </c>
      <c r="J1276" s="46">
        <v>0</v>
      </c>
      <c r="K1276" s="46">
        <v>1</v>
      </c>
      <c r="L1276" s="46">
        <f t="shared" si="285"/>
        <v>1</v>
      </c>
      <c r="M1276" s="46">
        <f t="shared" si="286"/>
        <v>0.33333333333333331</v>
      </c>
      <c r="N1276" s="45">
        <f t="shared" si="287"/>
        <v>125150</v>
      </c>
      <c r="O1276" s="45">
        <f t="shared" si="288"/>
        <v>41716.666666666664</v>
      </c>
      <c r="P1276" s="46">
        <f t="shared" si="289"/>
        <v>1.111111111111111E-2</v>
      </c>
      <c r="Q1276" s="46">
        <v>0</v>
      </c>
      <c r="R1276" s="45">
        <f t="shared" si="290"/>
        <v>0</v>
      </c>
      <c r="S1276" s="46">
        <f t="shared" si="291"/>
        <v>0</v>
      </c>
      <c r="T1276" s="46">
        <f>IFERROR(VLOOKUP(A1276,'[1]Re-order'!$A:$Q,17,0),"")</f>
        <v>0</v>
      </c>
      <c r="U1276" s="46">
        <f>IFERROR(VLOOKUP(A1276,'[1]MC Masterlist 2026-09-12'!$B:$M, 10, 0),0)</f>
        <v>15</v>
      </c>
      <c r="V1276" s="46">
        <f>IFERROR(VLOOKUP(A1276,'[1]MC Masterlist 2026-09-12'!$B:$M, 11, 0),0)</f>
        <v>15</v>
      </c>
      <c r="W1276" s="46">
        <f t="shared" si="292"/>
        <v>30</v>
      </c>
      <c r="X1276" s="46">
        <f t="shared" si="293"/>
        <v>6.833333333333333</v>
      </c>
      <c r="Y1276" s="46">
        <f>IFERROR(IF(OR(C1276="AREA I",C1276="AREA V"),7,VLOOKUP(A1276,'[1]MC Masterlist 2026-09-12'!$B:$M, 12, 0)),0)</f>
        <v>7</v>
      </c>
      <c r="Z1276" s="46">
        <f t="shared" si="294"/>
        <v>0.16666666666666666</v>
      </c>
      <c r="AA1276" s="46">
        <f t="shared" si="295"/>
        <v>0.33333333333333331</v>
      </c>
      <c r="AB1276" s="46">
        <f t="shared" si="296"/>
        <v>7.5925925925925911E-2</v>
      </c>
      <c r="AC1276" s="46">
        <f t="shared" si="297"/>
        <v>7.7777777777777765E-2</v>
      </c>
      <c r="AD1276" s="44" t="str">
        <f t="shared" si="298"/>
        <v>Stockout</v>
      </c>
      <c r="AE1276" s="44" t="str">
        <f>IFERROR(VLOOKUP(A1276,'[1]Re-order'!$A:$AA,27,0),"")</f>
        <v>Stockout</v>
      </c>
      <c r="AF1276" s="46">
        <f t="shared" si="299"/>
        <v>7.7777777777777765E-2</v>
      </c>
      <c r="AG1276" s="46">
        <f>SUMIFS('[1]Raw Inventory'!D:D,'[1]Raw Inventory'!C:C,"GREATWALL",'[1]Raw Inventory'!B:B,A1276)</f>
        <v>0</v>
      </c>
      <c r="AH1276" s="46">
        <f>SUMIFS('[1]Raw Inventory'!D:D,'[1]Raw Inventory'!C:C,"DUARTE",'[1]Raw Inventory'!B:B,A1276)</f>
        <v>0</v>
      </c>
      <c r="AI1276" s="46"/>
      <c r="AJ1276" s="46"/>
      <c r="AK1276" s="43"/>
      <c r="AL1276" s="43"/>
      <c r="AM1276" s="43"/>
      <c r="AN1276" s="43"/>
      <c r="AO1276" s="43"/>
      <c r="AP1276" s="43"/>
      <c r="AQ1276" s="43"/>
      <c r="AR1276" s="43"/>
      <c r="AS1276" s="43"/>
      <c r="AT1276" s="43"/>
    </row>
    <row r="1277" spans="1:46">
      <c r="A1277" s="43" t="s">
        <v>64</v>
      </c>
      <c r="B1277" s="43" t="s">
        <v>29</v>
      </c>
      <c r="C1277" s="43" t="s">
        <v>1</v>
      </c>
      <c r="D1277" s="44" t="s">
        <v>255</v>
      </c>
      <c r="E1277" s="44">
        <v>14</v>
      </c>
      <c r="F1277" s="44" t="s">
        <v>2</v>
      </c>
      <c r="G1277" s="43" t="str">
        <f>IFERROR(VLOOKUP(A1277,'[1]MC Masterlist 2026-09-12'!$B:$M, 3, 0),"")</f>
        <v>HONDA</v>
      </c>
      <c r="H1277" s="45">
        <f>IFERROR(VLOOKUP(A1277,'[1]MC Masterlist 2026-09-12'!$B:$M, 6, 0),"")</f>
        <v>73170</v>
      </c>
      <c r="I1277" s="46">
        <v>0</v>
      </c>
      <c r="J1277" s="46">
        <v>2</v>
      </c>
      <c r="K1277" s="46">
        <v>3</v>
      </c>
      <c r="L1277" s="46">
        <f t="shared" si="285"/>
        <v>5</v>
      </c>
      <c r="M1277" s="46">
        <f t="shared" si="286"/>
        <v>1.6666666666666667</v>
      </c>
      <c r="N1277" s="45">
        <f t="shared" si="287"/>
        <v>365850</v>
      </c>
      <c r="O1277" s="45">
        <f t="shared" si="288"/>
        <v>121950</v>
      </c>
      <c r="P1277" s="46">
        <f t="shared" si="289"/>
        <v>5.5555555555555559E-2</v>
      </c>
      <c r="Q1277" s="46">
        <v>2</v>
      </c>
      <c r="R1277" s="45">
        <f t="shared" si="290"/>
        <v>146340</v>
      </c>
      <c r="S1277" s="46">
        <f t="shared" si="291"/>
        <v>36</v>
      </c>
      <c r="T1277" s="46">
        <f>IFERROR(VLOOKUP(A1277,'[1]Re-order'!$A:$Q,17,0),"")</f>
        <v>76.153846153846146</v>
      </c>
      <c r="U1277" s="46">
        <f>IFERROR(VLOOKUP(A1277,'[1]MC Masterlist 2026-09-12'!$B:$M, 10, 0),0)</f>
        <v>15</v>
      </c>
      <c r="V1277" s="46">
        <f>IFERROR(VLOOKUP(A1277,'[1]MC Masterlist 2026-09-12'!$B:$M, 11, 0),0)</f>
        <v>15</v>
      </c>
      <c r="W1277" s="46">
        <f t="shared" si="292"/>
        <v>30</v>
      </c>
      <c r="X1277" s="46">
        <f t="shared" si="293"/>
        <v>6.166666666666667</v>
      </c>
      <c r="Y1277" s="46">
        <f>IFERROR(IF(OR(C1277="AREA I",C1277="AREA V"),7,VLOOKUP(A1277,'[1]MC Masterlist 2026-09-12'!$B:$M, 12, 0)),0)</f>
        <v>7</v>
      </c>
      <c r="Z1277" s="46">
        <f t="shared" si="294"/>
        <v>0.83333333333333337</v>
      </c>
      <c r="AA1277" s="46">
        <f t="shared" si="295"/>
        <v>1.6666666666666667</v>
      </c>
      <c r="AB1277" s="46">
        <f t="shared" si="296"/>
        <v>0.34259259259259262</v>
      </c>
      <c r="AC1277" s="46">
        <f t="shared" si="297"/>
        <v>0.3888888888888889</v>
      </c>
      <c r="AD1277" s="44" t="str">
        <f t="shared" si="298"/>
        <v>Over</v>
      </c>
      <c r="AE1277" s="44" t="str">
        <f>IFERROR(VLOOKUP(A1277,'[1]Re-order'!$A:$AA,27,0),"")</f>
        <v/>
      </c>
      <c r="AF1277" s="46">
        <f t="shared" si="299"/>
        <v>-1.6111111111111112</v>
      </c>
      <c r="AG1277" s="46">
        <f>SUMIFS('[1]Raw Inventory'!D:D,'[1]Raw Inventory'!C:C,"GREATWALL",'[1]Raw Inventory'!B:B,A1277)</f>
        <v>13</v>
      </c>
      <c r="AH1277" s="46">
        <f>SUMIFS('[1]Raw Inventory'!D:D,'[1]Raw Inventory'!C:C,"DUARTE",'[1]Raw Inventory'!B:B,A1277)</f>
        <v>0</v>
      </c>
      <c r="AI1277" s="46"/>
      <c r="AJ1277" s="46"/>
      <c r="AK1277" s="43"/>
      <c r="AL1277" s="43"/>
      <c r="AM1277" s="43"/>
      <c r="AN1277" s="43"/>
      <c r="AO1277" s="43"/>
      <c r="AP1277" s="43"/>
      <c r="AQ1277" s="43"/>
      <c r="AR1277" s="43"/>
      <c r="AS1277" s="43"/>
      <c r="AT1277" s="43"/>
    </row>
    <row r="1278" spans="1:46">
      <c r="A1278" s="43" t="s">
        <v>23</v>
      </c>
      <c r="B1278" s="43" t="s">
        <v>158</v>
      </c>
      <c r="C1278" s="43" t="s">
        <v>152</v>
      </c>
      <c r="D1278" s="44" t="s">
        <v>225</v>
      </c>
      <c r="E1278" s="44">
        <v>3</v>
      </c>
      <c r="F1278" s="44" t="s">
        <v>0</v>
      </c>
      <c r="G1278" s="43" t="str">
        <f>IFERROR(VLOOKUP(A1278,'[1]MC Masterlist 2026-09-12'!$B:$M, 3, 0),"")</f>
        <v>KAWASAKI</v>
      </c>
      <c r="H1278" s="45">
        <f>IFERROR(VLOOKUP(A1278,'[1]MC Masterlist 2026-09-12'!$B:$M, 6, 0),"")</f>
        <v>60656</v>
      </c>
      <c r="I1278" s="46">
        <v>6</v>
      </c>
      <c r="J1278" s="46">
        <v>1</v>
      </c>
      <c r="K1278" s="46">
        <v>4</v>
      </c>
      <c r="L1278" s="46">
        <f t="shared" si="285"/>
        <v>11</v>
      </c>
      <c r="M1278" s="46">
        <f t="shared" si="286"/>
        <v>3.6666666666666665</v>
      </c>
      <c r="N1278" s="45">
        <f t="shared" si="287"/>
        <v>667216</v>
      </c>
      <c r="O1278" s="45">
        <f t="shared" si="288"/>
        <v>222405.33333333331</v>
      </c>
      <c r="P1278" s="46">
        <f t="shared" si="289"/>
        <v>0.12222222222222222</v>
      </c>
      <c r="Q1278" s="46">
        <v>16</v>
      </c>
      <c r="R1278" s="45">
        <f t="shared" si="290"/>
        <v>970496</v>
      </c>
      <c r="S1278" s="46">
        <f t="shared" si="291"/>
        <v>130.90909090909093</v>
      </c>
      <c r="T1278" s="46">
        <f>IFERROR(VLOOKUP(A1278,'[1]Re-order'!$A:$Q,17,0),"")</f>
        <v>53.973412112259979</v>
      </c>
      <c r="U1278" s="46">
        <f>IFERROR(VLOOKUP(A1278,'[1]MC Masterlist 2026-09-12'!$B:$M, 10, 0),0)</f>
        <v>15</v>
      </c>
      <c r="V1278" s="46">
        <f>IFERROR(VLOOKUP(A1278,'[1]MC Masterlist 2026-09-12'!$B:$M, 11, 0),0)</f>
        <v>15</v>
      </c>
      <c r="W1278" s="46">
        <f t="shared" si="292"/>
        <v>30</v>
      </c>
      <c r="X1278" s="46">
        <f t="shared" si="293"/>
        <v>28.166666666666668</v>
      </c>
      <c r="Y1278" s="46">
        <f>IFERROR(IF(OR(C1278="AREA I",C1278="AREA V"),7,VLOOKUP(A1278,'[1]MC Masterlist 2026-09-12'!$B:$M, 12, 0)),0)</f>
        <v>30</v>
      </c>
      <c r="Z1278" s="46">
        <f t="shared" si="294"/>
        <v>1.8333333333333333</v>
      </c>
      <c r="AA1278" s="46">
        <f t="shared" si="295"/>
        <v>3.6666666666666665</v>
      </c>
      <c r="AB1278" s="46">
        <f t="shared" si="296"/>
        <v>3.4425925925925926</v>
      </c>
      <c r="AC1278" s="46">
        <f t="shared" si="297"/>
        <v>3.6666666666666665</v>
      </c>
      <c r="AD1278" s="44" t="str">
        <f t="shared" si="298"/>
        <v>Over</v>
      </c>
      <c r="AE1278" s="44" t="str">
        <f>IFERROR(VLOOKUP(A1278,'[1]Re-order'!$A:$AA,27,0),"")</f>
        <v>Re-order</v>
      </c>
      <c r="AF1278" s="46">
        <f t="shared" si="299"/>
        <v>-12.333333333333334</v>
      </c>
      <c r="AG1278" s="46">
        <f>SUMIFS('[1]Raw Inventory'!D:D,'[1]Raw Inventory'!C:C,"GREATWALL",'[1]Raw Inventory'!B:B,A1278)</f>
        <v>282</v>
      </c>
      <c r="AH1278" s="46">
        <f>SUMIFS('[1]Raw Inventory'!D:D,'[1]Raw Inventory'!C:C,"DUARTE",'[1]Raw Inventory'!B:B,A1278)</f>
        <v>0</v>
      </c>
      <c r="AI1278" s="46"/>
      <c r="AJ1278" s="46"/>
      <c r="AK1278" s="43"/>
      <c r="AL1278" s="43"/>
      <c r="AM1278" s="43"/>
      <c r="AN1278" s="43"/>
      <c r="AO1278" s="43"/>
      <c r="AP1278" s="43"/>
      <c r="AQ1278" s="43"/>
      <c r="AR1278" s="43"/>
      <c r="AS1278" s="43"/>
      <c r="AT1278" s="43"/>
    </row>
    <row r="1279" spans="1:46">
      <c r="A1279" s="43" t="s">
        <v>69</v>
      </c>
      <c r="B1279" s="43" t="s">
        <v>144</v>
      </c>
      <c r="C1279" s="43" t="s">
        <v>137</v>
      </c>
      <c r="D1279" s="44" t="s">
        <v>258</v>
      </c>
      <c r="E1279" s="44">
        <v>33</v>
      </c>
      <c r="F1279" s="44" t="s">
        <v>3</v>
      </c>
      <c r="G1279" s="43" t="str">
        <f>IFERROR(VLOOKUP(A1279,'[1]MC Masterlist 2026-09-12'!$B:$M, 3, 0),"")</f>
        <v>YAMAHA</v>
      </c>
      <c r="H1279" s="45">
        <f>IFERROR(VLOOKUP(A1279,'[1]MC Masterlist 2026-09-12'!$B:$M, 6, 0),"")</f>
        <v>54426</v>
      </c>
      <c r="I1279" s="46">
        <v>0</v>
      </c>
      <c r="J1279" s="46">
        <v>0</v>
      </c>
      <c r="K1279" s="46">
        <v>0</v>
      </c>
      <c r="L1279" s="46">
        <f t="shared" si="285"/>
        <v>0</v>
      </c>
      <c r="M1279" s="46">
        <f t="shared" si="286"/>
        <v>0</v>
      </c>
      <c r="N1279" s="45">
        <f t="shared" si="287"/>
        <v>0</v>
      </c>
      <c r="O1279" s="45">
        <f t="shared" si="288"/>
        <v>0</v>
      </c>
      <c r="P1279" s="46">
        <f t="shared" si="289"/>
        <v>0</v>
      </c>
      <c r="Q1279" s="46">
        <v>2</v>
      </c>
      <c r="R1279" s="45">
        <f t="shared" si="290"/>
        <v>108852</v>
      </c>
      <c r="S1279" s="46">
        <f t="shared" si="291"/>
        <v>0</v>
      </c>
      <c r="T1279" s="46">
        <f>IFERROR(VLOOKUP(A1279,'[1]Re-order'!$A:$Q,17,0),"")</f>
        <v>62.307692307692314</v>
      </c>
      <c r="U1279" s="46">
        <f>IFERROR(VLOOKUP(A1279,'[1]MC Masterlist 2026-09-12'!$B:$M, 10, 0),0)</f>
        <v>15</v>
      </c>
      <c r="V1279" s="46">
        <f>IFERROR(VLOOKUP(A1279,'[1]MC Masterlist 2026-09-12'!$B:$M, 11, 0),0)</f>
        <v>15</v>
      </c>
      <c r="W1279" s="46">
        <f t="shared" si="292"/>
        <v>30</v>
      </c>
      <c r="X1279" s="46">
        <f t="shared" si="293"/>
        <v>7</v>
      </c>
      <c r="Y1279" s="46">
        <f>IFERROR(IF(OR(C1279="AREA I",C1279="AREA V"),7,VLOOKUP(A1279,'[1]MC Masterlist 2026-09-12'!$B:$M, 12, 0)),0)</f>
        <v>7</v>
      </c>
      <c r="Z1279" s="46">
        <f t="shared" si="294"/>
        <v>0</v>
      </c>
      <c r="AA1279" s="46">
        <f t="shared" si="295"/>
        <v>0</v>
      </c>
      <c r="AB1279" s="46">
        <f t="shared" si="296"/>
        <v>0</v>
      </c>
      <c r="AC1279" s="46">
        <f t="shared" si="297"/>
        <v>0</v>
      </c>
      <c r="AD1279" s="44" t="str">
        <f t="shared" si="298"/>
        <v>Over</v>
      </c>
      <c r="AE1279" s="44" t="str">
        <f>IFERROR(VLOOKUP(A1279,'[1]Re-order'!$A:$AA,27,0),"")</f>
        <v>Re-order</v>
      </c>
      <c r="AF1279" s="46">
        <f t="shared" si="299"/>
        <v>-2</v>
      </c>
      <c r="AG1279" s="46">
        <f>SUMIFS('[1]Raw Inventory'!D:D,'[1]Raw Inventory'!C:C,"GREATWALL",'[1]Raw Inventory'!B:B,A1279)</f>
        <v>1</v>
      </c>
      <c r="AH1279" s="46">
        <f>SUMIFS('[1]Raw Inventory'!D:D,'[1]Raw Inventory'!C:C,"DUARTE",'[1]Raw Inventory'!B:B,A1279)</f>
        <v>0</v>
      </c>
      <c r="AI1279" s="46"/>
      <c r="AJ1279" s="46"/>
      <c r="AK1279" s="43"/>
      <c r="AL1279" s="43"/>
      <c r="AM1279" s="43"/>
      <c r="AN1279" s="43"/>
      <c r="AO1279" s="43"/>
      <c r="AP1279" s="43"/>
      <c r="AQ1279" s="43"/>
      <c r="AR1279" s="43"/>
      <c r="AS1279" s="43"/>
      <c r="AT1279" s="43"/>
    </row>
    <row r="1280" spans="1:46">
      <c r="A1280" s="43" t="s">
        <v>44</v>
      </c>
      <c r="B1280" s="43" t="s">
        <v>120</v>
      </c>
      <c r="C1280" s="43" t="s">
        <v>118</v>
      </c>
      <c r="D1280" s="44" t="s">
        <v>246</v>
      </c>
      <c r="E1280" s="44">
        <v>11</v>
      </c>
      <c r="F1280" s="44" t="s">
        <v>2</v>
      </c>
      <c r="G1280" s="43" t="str">
        <f>IFERROR(VLOOKUP(A1280,'[1]MC Masterlist 2026-09-12'!$B:$M, 3, 0),"")</f>
        <v>YAMAHA</v>
      </c>
      <c r="H1280" s="45">
        <f>IFERROR(VLOOKUP(A1280,'[1]MC Masterlist 2026-09-12'!$B:$M, 6, 0),"")</f>
        <v>165912</v>
      </c>
      <c r="I1280" s="46">
        <v>0</v>
      </c>
      <c r="J1280" s="46">
        <v>0</v>
      </c>
      <c r="K1280" s="46">
        <v>1</v>
      </c>
      <c r="L1280" s="46">
        <f t="shared" si="285"/>
        <v>1</v>
      </c>
      <c r="M1280" s="46">
        <f t="shared" si="286"/>
        <v>0.33333333333333331</v>
      </c>
      <c r="N1280" s="45">
        <f t="shared" si="287"/>
        <v>165912</v>
      </c>
      <c r="O1280" s="45">
        <f t="shared" si="288"/>
        <v>55304</v>
      </c>
      <c r="P1280" s="46">
        <f t="shared" si="289"/>
        <v>1.111111111111111E-2</v>
      </c>
      <c r="Q1280" s="46"/>
      <c r="R1280" s="45">
        <f t="shared" si="290"/>
        <v>0</v>
      </c>
      <c r="S1280" s="46">
        <f t="shared" si="291"/>
        <v>0</v>
      </c>
      <c r="T1280" s="46">
        <f>IFERROR(VLOOKUP(A1280,'[1]Re-order'!$A:$Q,17,0),"")</f>
        <v>10.588235294117649</v>
      </c>
      <c r="U1280" s="46">
        <f>IFERROR(VLOOKUP(A1280,'[1]MC Masterlist 2026-09-12'!$B:$M, 10, 0),0)</f>
        <v>15</v>
      </c>
      <c r="V1280" s="46">
        <f>IFERROR(VLOOKUP(A1280,'[1]MC Masterlist 2026-09-12'!$B:$M, 11, 0),0)</f>
        <v>15</v>
      </c>
      <c r="W1280" s="46">
        <f t="shared" si="292"/>
        <v>30</v>
      </c>
      <c r="X1280" s="46">
        <f t="shared" si="293"/>
        <v>29.833333333333332</v>
      </c>
      <c r="Y1280" s="46">
        <f>IFERROR(IF(OR(C1280="AREA I",C1280="AREA V"),7,VLOOKUP(A1280,'[1]MC Masterlist 2026-09-12'!$B:$M, 12, 0)),0)</f>
        <v>30</v>
      </c>
      <c r="Z1280" s="46">
        <f t="shared" si="294"/>
        <v>0.16666666666666666</v>
      </c>
      <c r="AA1280" s="46">
        <f t="shared" si="295"/>
        <v>0.33333333333333331</v>
      </c>
      <c r="AB1280" s="46">
        <f t="shared" si="296"/>
        <v>0.33148148148148143</v>
      </c>
      <c r="AC1280" s="46">
        <f t="shared" si="297"/>
        <v>0.33333333333333331</v>
      </c>
      <c r="AD1280" s="44" t="str">
        <f t="shared" si="298"/>
        <v>Stockout</v>
      </c>
      <c r="AE1280" s="44" t="str">
        <f>IFERROR(VLOOKUP(A1280,'[1]Re-order'!$A:$AA,27,0),"")</f>
        <v>Stockout</v>
      </c>
      <c r="AF1280" s="46">
        <f t="shared" si="299"/>
        <v>0.33333333333333331</v>
      </c>
      <c r="AG1280" s="46">
        <f>SUMIFS('[1]Raw Inventory'!D:D,'[1]Raw Inventory'!C:C,"GREATWALL",'[1]Raw Inventory'!B:B,A1280)</f>
        <v>0</v>
      </c>
      <c r="AH1280" s="46">
        <f>SUMIFS('[1]Raw Inventory'!D:D,'[1]Raw Inventory'!C:C,"DUARTE",'[1]Raw Inventory'!B:B,A1280)</f>
        <v>0</v>
      </c>
      <c r="AI1280" s="46"/>
      <c r="AJ1280" s="46"/>
      <c r="AK1280" s="43"/>
      <c r="AL1280" s="43"/>
      <c r="AM1280" s="43"/>
      <c r="AN1280" s="43"/>
      <c r="AO1280" s="43"/>
      <c r="AP1280" s="43"/>
      <c r="AQ1280" s="43"/>
      <c r="AR1280" s="43"/>
      <c r="AS1280" s="43"/>
      <c r="AT1280" s="43"/>
    </row>
    <row r="1281" spans="1:46">
      <c r="A1281" s="43" t="s">
        <v>64</v>
      </c>
      <c r="B1281" s="43" t="s">
        <v>122</v>
      </c>
      <c r="C1281" s="43" t="s">
        <v>118</v>
      </c>
      <c r="D1281" s="44" t="s">
        <v>255</v>
      </c>
      <c r="E1281" s="44">
        <v>15</v>
      </c>
      <c r="F1281" s="44" t="s">
        <v>2</v>
      </c>
      <c r="G1281" s="43" t="str">
        <f>IFERROR(VLOOKUP(A1281,'[1]MC Masterlist 2026-09-12'!$B:$M, 3, 0),"")</f>
        <v>HONDA</v>
      </c>
      <c r="H1281" s="45">
        <f>IFERROR(VLOOKUP(A1281,'[1]MC Masterlist 2026-09-12'!$B:$M, 6, 0),"")</f>
        <v>73170</v>
      </c>
      <c r="I1281" s="46">
        <v>0</v>
      </c>
      <c r="J1281" s="46">
        <v>5</v>
      </c>
      <c r="K1281" s="46">
        <v>0</v>
      </c>
      <c r="L1281" s="46">
        <f t="shared" si="285"/>
        <v>5</v>
      </c>
      <c r="M1281" s="46">
        <f t="shared" si="286"/>
        <v>1.6666666666666667</v>
      </c>
      <c r="N1281" s="45">
        <f t="shared" si="287"/>
        <v>365850</v>
      </c>
      <c r="O1281" s="45">
        <f t="shared" si="288"/>
        <v>121950</v>
      </c>
      <c r="P1281" s="46">
        <f t="shared" si="289"/>
        <v>5.5555555555555559E-2</v>
      </c>
      <c r="Q1281" s="46">
        <v>3</v>
      </c>
      <c r="R1281" s="45">
        <f t="shared" si="290"/>
        <v>219510</v>
      </c>
      <c r="S1281" s="46">
        <f t="shared" si="291"/>
        <v>54</v>
      </c>
      <c r="T1281" s="46">
        <f>IFERROR(VLOOKUP(A1281,'[1]Re-order'!$A:$Q,17,0),"")</f>
        <v>76.153846153846146</v>
      </c>
      <c r="U1281" s="46">
        <f>IFERROR(VLOOKUP(A1281,'[1]MC Masterlist 2026-09-12'!$B:$M, 10, 0),0)</f>
        <v>15</v>
      </c>
      <c r="V1281" s="46">
        <f>IFERROR(VLOOKUP(A1281,'[1]MC Masterlist 2026-09-12'!$B:$M, 11, 0),0)</f>
        <v>15</v>
      </c>
      <c r="W1281" s="46">
        <f t="shared" si="292"/>
        <v>30</v>
      </c>
      <c r="X1281" s="46">
        <f t="shared" si="293"/>
        <v>29.166666666666668</v>
      </c>
      <c r="Y1281" s="46">
        <f>IFERROR(IF(OR(C1281="AREA I",C1281="AREA V"),7,VLOOKUP(A1281,'[1]MC Masterlist 2026-09-12'!$B:$M, 12, 0)),0)</f>
        <v>30</v>
      </c>
      <c r="Z1281" s="46">
        <f t="shared" si="294"/>
        <v>0.83333333333333337</v>
      </c>
      <c r="AA1281" s="46">
        <f t="shared" si="295"/>
        <v>1.6666666666666667</v>
      </c>
      <c r="AB1281" s="46">
        <f t="shared" si="296"/>
        <v>1.6203703703703705</v>
      </c>
      <c r="AC1281" s="46">
        <f t="shared" si="297"/>
        <v>1.6666666666666667</v>
      </c>
      <c r="AD1281" s="44" t="str">
        <f t="shared" si="298"/>
        <v>Over</v>
      </c>
      <c r="AE1281" s="44" t="str">
        <f>IFERROR(VLOOKUP(A1281,'[1]Re-order'!$A:$AA,27,0),"")</f>
        <v/>
      </c>
      <c r="AF1281" s="46">
        <f t="shared" si="299"/>
        <v>-1.3333333333333333</v>
      </c>
      <c r="AG1281" s="46">
        <f>SUMIFS('[1]Raw Inventory'!D:D,'[1]Raw Inventory'!C:C,"GREATWALL",'[1]Raw Inventory'!B:B,A1281)</f>
        <v>13</v>
      </c>
      <c r="AH1281" s="46">
        <f>SUMIFS('[1]Raw Inventory'!D:D,'[1]Raw Inventory'!C:C,"DUARTE",'[1]Raw Inventory'!B:B,A1281)</f>
        <v>0</v>
      </c>
      <c r="AI1281" s="46"/>
      <c r="AJ1281" s="46"/>
      <c r="AK1281" s="43"/>
      <c r="AL1281" s="43"/>
      <c r="AM1281" s="43"/>
      <c r="AN1281" s="43"/>
      <c r="AO1281" s="43"/>
      <c r="AP1281" s="43"/>
      <c r="AQ1281" s="43"/>
      <c r="AR1281" s="43"/>
      <c r="AS1281" s="43"/>
      <c r="AT1281" s="43"/>
    </row>
    <row r="1282" spans="1:46">
      <c r="A1282" s="43" t="s">
        <v>75</v>
      </c>
      <c r="B1282" s="43" t="s">
        <v>161</v>
      </c>
      <c r="C1282" s="43" t="s">
        <v>159</v>
      </c>
      <c r="D1282" s="44" t="s">
        <v>251</v>
      </c>
      <c r="E1282" s="44">
        <v>1</v>
      </c>
      <c r="F1282" s="44" t="s">
        <v>0</v>
      </c>
      <c r="G1282" s="43" t="str">
        <f>IFERROR(VLOOKUP(A1282,'[1]MC Masterlist 2026-09-12'!$B:$M, 3, 0),"")</f>
        <v>SUZUKI</v>
      </c>
      <c r="H1282" s="45">
        <f>IFERROR(VLOOKUP(A1282,'[1]MC Masterlist 2026-09-12'!$B:$M, 6, 0),"")</f>
        <v>138952</v>
      </c>
      <c r="I1282" s="46">
        <v>0</v>
      </c>
      <c r="J1282" s="46">
        <v>0</v>
      </c>
      <c r="K1282" s="46">
        <v>0</v>
      </c>
      <c r="L1282" s="46">
        <f t="shared" si="285"/>
        <v>0</v>
      </c>
      <c r="M1282" s="46">
        <f t="shared" si="286"/>
        <v>0</v>
      </c>
      <c r="N1282" s="45">
        <f t="shared" si="287"/>
        <v>0</v>
      </c>
      <c r="O1282" s="45">
        <f t="shared" si="288"/>
        <v>0</v>
      </c>
      <c r="P1282" s="46">
        <f t="shared" si="289"/>
        <v>0</v>
      </c>
      <c r="Q1282" s="46">
        <v>1</v>
      </c>
      <c r="R1282" s="45">
        <f t="shared" si="290"/>
        <v>138952</v>
      </c>
      <c r="S1282" s="46">
        <f t="shared" si="291"/>
        <v>0</v>
      </c>
      <c r="T1282" s="46">
        <f>IFERROR(VLOOKUP(A1282,'[1]Re-order'!$A:$Q,17,0),"")</f>
        <v>855.00000000000011</v>
      </c>
      <c r="U1282" s="46">
        <f>IFERROR(VLOOKUP(A1282,'[1]MC Masterlist 2026-09-12'!$B:$M, 10, 0),0)</f>
        <v>15</v>
      </c>
      <c r="V1282" s="46">
        <f>IFERROR(VLOOKUP(A1282,'[1]MC Masterlist 2026-09-12'!$B:$M, 11, 0),0)</f>
        <v>15</v>
      </c>
      <c r="W1282" s="46">
        <f t="shared" si="292"/>
        <v>30</v>
      </c>
      <c r="X1282" s="46">
        <f t="shared" si="293"/>
        <v>30</v>
      </c>
      <c r="Y1282" s="46">
        <f>IFERROR(IF(OR(C1282="AREA I",C1282="AREA V"),7,VLOOKUP(A1282,'[1]MC Masterlist 2026-09-12'!$B:$M, 12, 0)),0)</f>
        <v>30</v>
      </c>
      <c r="Z1282" s="46">
        <f t="shared" si="294"/>
        <v>0</v>
      </c>
      <c r="AA1282" s="46">
        <f t="shared" si="295"/>
        <v>0</v>
      </c>
      <c r="AB1282" s="46">
        <f t="shared" si="296"/>
        <v>0</v>
      </c>
      <c r="AC1282" s="46">
        <f t="shared" si="297"/>
        <v>0</v>
      </c>
      <c r="AD1282" s="44" t="str">
        <f t="shared" si="298"/>
        <v>Over</v>
      </c>
      <c r="AE1282" s="44" t="str">
        <f>IFERROR(VLOOKUP(A1282,'[1]Re-order'!$A:$AA,27,0),"")</f>
        <v>Over</v>
      </c>
      <c r="AF1282" s="46">
        <f t="shared" si="299"/>
        <v>-1</v>
      </c>
      <c r="AG1282" s="46">
        <f>SUMIFS('[1]Raw Inventory'!D:D,'[1]Raw Inventory'!C:C,"GREATWALL",'[1]Raw Inventory'!B:B,A1282)</f>
        <v>8</v>
      </c>
      <c r="AH1282" s="46">
        <f>SUMIFS('[1]Raw Inventory'!D:D,'[1]Raw Inventory'!C:C,"DUARTE",'[1]Raw Inventory'!B:B,A1282)</f>
        <v>0</v>
      </c>
      <c r="AI1282" s="46"/>
      <c r="AJ1282" s="46"/>
      <c r="AK1282" s="43"/>
      <c r="AL1282" s="43"/>
      <c r="AM1282" s="43"/>
      <c r="AN1282" s="43"/>
      <c r="AO1282" s="43"/>
      <c r="AP1282" s="43"/>
      <c r="AQ1282" s="43"/>
      <c r="AR1282" s="43"/>
      <c r="AS1282" s="43"/>
      <c r="AT1282" s="43"/>
    </row>
    <row r="1283" spans="1:46">
      <c r="A1283" s="43" t="s">
        <v>16</v>
      </c>
      <c r="B1283" s="43" t="s">
        <v>93</v>
      </c>
      <c r="C1283" s="43" t="s">
        <v>90</v>
      </c>
      <c r="D1283" s="44" t="s">
        <v>233</v>
      </c>
      <c r="E1283" s="44">
        <v>9</v>
      </c>
      <c r="F1283" s="44" t="s">
        <v>2</v>
      </c>
      <c r="G1283" s="43" t="str">
        <f>IFERROR(VLOOKUP(A1283,'[1]MC Masterlist 2026-09-12'!$B:$M, 3, 0),"")</f>
        <v>HONDA</v>
      </c>
      <c r="H1283" s="45">
        <f>IFERROR(VLOOKUP(A1283,'[1]MC Masterlist 2026-09-12'!$B:$M, 6, 0),"")</f>
        <v>84394</v>
      </c>
      <c r="I1283" s="46">
        <v>2</v>
      </c>
      <c r="J1283" s="46">
        <v>1</v>
      </c>
      <c r="K1283" s="46">
        <v>1</v>
      </c>
      <c r="L1283" s="46">
        <f t="shared" ref="L1283:L1346" si="300">I1283+J1283+K1283</f>
        <v>4</v>
      </c>
      <c r="M1283" s="46">
        <f t="shared" ref="M1283:M1346" si="301">AVERAGE(I1283,J1283,K1283)</f>
        <v>1.3333333333333333</v>
      </c>
      <c r="N1283" s="45">
        <f t="shared" ref="N1283:N1346" si="302">L1283*H1283</f>
        <v>337576</v>
      </c>
      <c r="O1283" s="45">
        <f t="shared" ref="O1283:O1346" si="303">M1283*H1283</f>
        <v>112525.33333333333</v>
      </c>
      <c r="P1283" s="46">
        <f t="shared" ref="P1283:P1346" si="304">M1283/30</f>
        <v>4.4444444444444439E-2</v>
      </c>
      <c r="Q1283" s="46">
        <v>3</v>
      </c>
      <c r="R1283" s="45">
        <f t="shared" ref="R1283:R1346" si="305">IFERROR(Q1283*H1283, 0)</f>
        <v>253182</v>
      </c>
      <c r="S1283" s="46">
        <f t="shared" ref="S1283:S1346" si="306">IFERROR(R1283/(O1283)*30, 0)</f>
        <v>67.5</v>
      </c>
      <c r="T1283" s="46">
        <f>IFERROR(VLOOKUP(A1283,'[1]Re-order'!$A:$Q,17,0),"")</f>
        <v>26.332665330661321</v>
      </c>
      <c r="U1283" s="46">
        <f>IFERROR(VLOOKUP(A1283,'[1]MC Masterlist 2026-09-12'!$B:$M, 10, 0),0)</f>
        <v>15</v>
      </c>
      <c r="V1283" s="46">
        <f>IFERROR(VLOOKUP(A1283,'[1]MC Masterlist 2026-09-12'!$B:$M, 11, 0),0)</f>
        <v>15</v>
      </c>
      <c r="W1283" s="46">
        <f t="shared" ref="W1283:W1346" si="307">U1283+V1283</f>
        <v>30</v>
      </c>
      <c r="X1283" s="46">
        <f t="shared" ref="X1283:X1346" si="308">Y1283-Z1283</f>
        <v>29.333333333333332</v>
      </c>
      <c r="Y1283" s="46">
        <f>IFERROR(IF(OR(C1283="AREA I",C1283="AREA V"),7,VLOOKUP(A1283,'[1]MC Masterlist 2026-09-12'!$B:$M, 12, 0)),0)</f>
        <v>30</v>
      </c>
      <c r="Z1283" s="46">
        <f t="shared" ref="Z1283:Z1346" si="309">V1283*P1283</f>
        <v>0.66666666666666663</v>
      </c>
      <c r="AA1283" s="46">
        <f t="shared" ref="AA1283:AA1346" si="310">W1283*P1283</f>
        <v>1.3333333333333333</v>
      </c>
      <c r="AB1283" s="46">
        <f t="shared" ref="AB1283:AB1346" si="311">X1283*P1283</f>
        <v>1.3037037037037036</v>
      </c>
      <c r="AC1283" s="46">
        <f t="shared" ref="AC1283:AC1346" si="312">Y1283*P1283</f>
        <v>1.3333333333333333</v>
      </c>
      <c r="AD1283" s="44" t="str">
        <f t="shared" ref="AD1283:AD1346" si="313">IFERROR(IF(Q1283&gt;AC1283, "Over", IF(Q1283&lt;=Z1283, "Stockout", IF(Q1283&lt;=AA1283, "Re-order",""))), "")</f>
        <v>Over</v>
      </c>
      <c r="AE1283" s="44" t="str">
        <f>IFERROR(VLOOKUP(A1283,'[1]Re-order'!$A:$AA,27,0),"")</f>
        <v>Stockout</v>
      </c>
      <c r="AF1283" s="46">
        <f t="shared" ref="AF1283:AF1346" si="314">AC1283-Q1283</f>
        <v>-1.6666666666666667</v>
      </c>
      <c r="AG1283" s="46">
        <f>SUMIFS('[1]Raw Inventory'!D:D,'[1]Raw Inventory'!C:C,"GREATWALL",'[1]Raw Inventory'!B:B,A1283)</f>
        <v>58</v>
      </c>
      <c r="AH1283" s="46">
        <f>SUMIFS('[1]Raw Inventory'!D:D,'[1]Raw Inventory'!C:C,"DUARTE",'[1]Raw Inventory'!B:B,A1283)</f>
        <v>0</v>
      </c>
      <c r="AI1283" s="46"/>
      <c r="AJ1283" s="46"/>
      <c r="AK1283" s="43"/>
      <c r="AL1283" s="43"/>
      <c r="AM1283" s="43"/>
      <c r="AN1283" s="43"/>
      <c r="AO1283" s="43"/>
      <c r="AP1283" s="43"/>
      <c r="AQ1283" s="43"/>
      <c r="AR1283" s="43"/>
      <c r="AS1283" s="43"/>
      <c r="AT1283" s="43"/>
    </row>
    <row r="1284" spans="1:46">
      <c r="A1284" s="43" t="s">
        <v>14</v>
      </c>
      <c r="B1284" s="43" t="s">
        <v>131</v>
      </c>
      <c r="C1284" s="43" t="s">
        <v>128</v>
      </c>
      <c r="D1284" s="44" t="s">
        <v>227</v>
      </c>
      <c r="E1284" s="44">
        <v>1</v>
      </c>
      <c r="F1284" s="44" t="s">
        <v>0</v>
      </c>
      <c r="G1284" s="43" t="str">
        <f>IFERROR(VLOOKUP(A1284,'[1]MC Masterlist 2026-09-12'!$B:$M, 3, 0),"")</f>
        <v>HONDA</v>
      </c>
      <c r="H1284" s="45">
        <f>IFERROR(VLOOKUP(A1284,'[1]MC Masterlist 2026-09-12'!$B:$M, 6, 0),"")</f>
        <v>80070</v>
      </c>
      <c r="I1284" s="46">
        <v>24</v>
      </c>
      <c r="J1284" s="46">
        <v>18</v>
      </c>
      <c r="K1284" s="46">
        <v>41</v>
      </c>
      <c r="L1284" s="46">
        <f t="shared" si="300"/>
        <v>83</v>
      </c>
      <c r="M1284" s="46">
        <f t="shared" si="301"/>
        <v>27.666666666666668</v>
      </c>
      <c r="N1284" s="45">
        <f t="shared" si="302"/>
        <v>6645810</v>
      </c>
      <c r="O1284" s="45">
        <f t="shared" si="303"/>
        <v>2215270</v>
      </c>
      <c r="P1284" s="46">
        <f t="shared" si="304"/>
        <v>0.92222222222222228</v>
      </c>
      <c r="Q1284" s="46">
        <v>2</v>
      </c>
      <c r="R1284" s="45">
        <f t="shared" si="305"/>
        <v>160140</v>
      </c>
      <c r="S1284" s="46">
        <f t="shared" si="306"/>
        <v>2.1686746987951806</v>
      </c>
      <c r="T1284" s="46">
        <f>IFERROR(VLOOKUP(A1284,'[1]Re-order'!$A:$Q,17,0),"")</f>
        <v>20.105787181082761</v>
      </c>
      <c r="U1284" s="46">
        <f>IFERROR(VLOOKUP(A1284,'[1]MC Masterlist 2026-09-12'!$B:$M, 10, 0),0)</f>
        <v>15</v>
      </c>
      <c r="V1284" s="46">
        <f>IFERROR(VLOOKUP(A1284,'[1]MC Masterlist 2026-09-12'!$B:$M, 11, 0),0)</f>
        <v>15</v>
      </c>
      <c r="W1284" s="46">
        <f t="shared" si="307"/>
        <v>30</v>
      </c>
      <c r="X1284" s="46">
        <f t="shared" si="308"/>
        <v>16.166666666666664</v>
      </c>
      <c r="Y1284" s="46">
        <f>IFERROR(IF(OR(C1284="AREA I",C1284="AREA V"),7,VLOOKUP(A1284,'[1]MC Masterlist 2026-09-12'!$B:$M, 12, 0)),0)</f>
        <v>30</v>
      </c>
      <c r="Z1284" s="46">
        <f t="shared" si="309"/>
        <v>13.833333333333334</v>
      </c>
      <c r="AA1284" s="46">
        <f t="shared" si="310"/>
        <v>27.666666666666668</v>
      </c>
      <c r="AB1284" s="46">
        <f t="shared" si="311"/>
        <v>14.909259259259258</v>
      </c>
      <c r="AC1284" s="46">
        <f t="shared" si="312"/>
        <v>27.666666666666668</v>
      </c>
      <c r="AD1284" s="44" t="str">
        <f t="shared" si="313"/>
        <v>Stockout</v>
      </c>
      <c r="AE1284" s="44" t="str">
        <f>IFERROR(VLOOKUP(A1284,'[1]Re-order'!$A:$AA,27,0),"")</f>
        <v>Stockout</v>
      </c>
      <c r="AF1284" s="46">
        <f t="shared" si="314"/>
        <v>25.666666666666668</v>
      </c>
      <c r="AG1284" s="46">
        <f>SUMIFS('[1]Raw Inventory'!D:D,'[1]Raw Inventory'!C:C,"GREATWALL",'[1]Raw Inventory'!B:B,A1284)</f>
        <v>176</v>
      </c>
      <c r="AH1284" s="46">
        <f>SUMIFS('[1]Raw Inventory'!D:D,'[1]Raw Inventory'!C:C,"DUARTE",'[1]Raw Inventory'!B:B,A1284)</f>
        <v>0</v>
      </c>
      <c r="AI1284" s="46"/>
      <c r="AJ1284" s="46"/>
      <c r="AK1284" s="43"/>
      <c r="AL1284" s="43"/>
      <c r="AM1284" s="43"/>
      <c r="AN1284" s="43"/>
      <c r="AO1284" s="43"/>
      <c r="AP1284" s="43"/>
      <c r="AQ1284" s="43"/>
      <c r="AR1284" s="43"/>
      <c r="AS1284" s="43"/>
      <c r="AT1284" s="43"/>
    </row>
    <row r="1285" spans="1:46">
      <c r="A1285" s="43" t="s">
        <v>46</v>
      </c>
      <c r="B1285" s="43" t="s">
        <v>145</v>
      </c>
      <c r="C1285" s="43" t="s">
        <v>137</v>
      </c>
      <c r="D1285" s="44" t="s">
        <v>255</v>
      </c>
      <c r="E1285" s="44">
        <v>14</v>
      </c>
      <c r="F1285" s="44" t="s">
        <v>2</v>
      </c>
      <c r="G1285" s="43" t="str">
        <f>IFERROR(VLOOKUP(A1285,'[1]MC Masterlist 2026-09-12'!$B:$M, 3, 0),"")</f>
        <v>HONDA</v>
      </c>
      <c r="H1285" s="45">
        <f>IFERROR(VLOOKUP(A1285,'[1]MC Masterlist 2026-09-12'!$B:$M, 6, 0),"")</f>
        <v>73630</v>
      </c>
      <c r="I1285" s="46">
        <v>1</v>
      </c>
      <c r="J1285" s="46">
        <v>1</v>
      </c>
      <c r="K1285" s="46">
        <v>1</v>
      </c>
      <c r="L1285" s="46">
        <f t="shared" si="300"/>
        <v>3</v>
      </c>
      <c r="M1285" s="46">
        <f t="shared" si="301"/>
        <v>1</v>
      </c>
      <c r="N1285" s="45">
        <f t="shared" si="302"/>
        <v>220890</v>
      </c>
      <c r="O1285" s="45">
        <f t="shared" si="303"/>
        <v>73630</v>
      </c>
      <c r="P1285" s="46">
        <f t="shared" si="304"/>
        <v>3.3333333333333333E-2</v>
      </c>
      <c r="Q1285" s="46"/>
      <c r="R1285" s="45">
        <f t="shared" si="305"/>
        <v>0</v>
      </c>
      <c r="S1285" s="46">
        <f t="shared" si="306"/>
        <v>0</v>
      </c>
      <c r="T1285" s="46">
        <f>IFERROR(VLOOKUP(A1285,'[1]Re-order'!$A:$Q,17,0),"")</f>
        <v>51</v>
      </c>
      <c r="U1285" s="46">
        <f>IFERROR(VLOOKUP(A1285,'[1]MC Masterlist 2026-09-12'!$B:$M, 10, 0),0)</f>
        <v>15</v>
      </c>
      <c r="V1285" s="46">
        <f>IFERROR(VLOOKUP(A1285,'[1]MC Masterlist 2026-09-12'!$B:$M, 11, 0),0)</f>
        <v>15</v>
      </c>
      <c r="W1285" s="46">
        <f t="shared" si="307"/>
        <v>30</v>
      </c>
      <c r="X1285" s="46">
        <f t="shared" si="308"/>
        <v>6.5</v>
      </c>
      <c r="Y1285" s="46">
        <f>IFERROR(IF(OR(C1285="AREA I",C1285="AREA V"),7,VLOOKUP(A1285,'[1]MC Masterlist 2026-09-12'!$B:$M, 12, 0)),0)</f>
        <v>7</v>
      </c>
      <c r="Z1285" s="46">
        <f t="shared" si="309"/>
        <v>0.5</v>
      </c>
      <c r="AA1285" s="46">
        <f t="shared" si="310"/>
        <v>1</v>
      </c>
      <c r="AB1285" s="46">
        <f t="shared" si="311"/>
        <v>0.21666666666666667</v>
      </c>
      <c r="AC1285" s="46">
        <f t="shared" si="312"/>
        <v>0.23333333333333334</v>
      </c>
      <c r="AD1285" s="44" t="str">
        <f t="shared" si="313"/>
        <v>Stockout</v>
      </c>
      <c r="AE1285" s="44" t="str">
        <f>IFERROR(VLOOKUP(A1285,'[1]Re-order'!$A:$AA,27,0),"")</f>
        <v>Re-order</v>
      </c>
      <c r="AF1285" s="46">
        <f t="shared" si="314"/>
        <v>0.23333333333333334</v>
      </c>
      <c r="AG1285" s="46">
        <f>SUMIFS('[1]Raw Inventory'!D:D,'[1]Raw Inventory'!C:C,"GREATWALL",'[1]Raw Inventory'!B:B,A1285)</f>
        <v>0</v>
      </c>
      <c r="AH1285" s="46">
        <f>SUMIFS('[1]Raw Inventory'!D:D,'[1]Raw Inventory'!C:C,"DUARTE",'[1]Raw Inventory'!B:B,A1285)</f>
        <v>0</v>
      </c>
      <c r="AI1285" s="46"/>
      <c r="AJ1285" s="46"/>
      <c r="AK1285" s="43"/>
      <c r="AL1285" s="43"/>
      <c r="AM1285" s="43"/>
      <c r="AN1285" s="43"/>
      <c r="AO1285" s="43"/>
      <c r="AP1285" s="43"/>
      <c r="AQ1285" s="43"/>
      <c r="AR1285" s="43"/>
      <c r="AS1285" s="43"/>
      <c r="AT1285" s="43"/>
    </row>
    <row r="1286" spans="1:46">
      <c r="A1286" s="43" t="s">
        <v>45</v>
      </c>
      <c r="B1286" s="43" t="s">
        <v>143</v>
      </c>
      <c r="C1286" s="43" t="s">
        <v>137</v>
      </c>
      <c r="D1286" s="44" t="s">
        <v>223</v>
      </c>
      <c r="E1286" s="44">
        <v>19</v>
      </c>
      <c r="F1286" s="44" t="s">
        <v>3</v>
      </c>
      <c r="G1286" s="43" t="str">
        <f>IFERROR(VLOOKUP(A1286,'[1]MC Masterlist 2026-09-12'!$B:$M, 3, 0),"")</f>
        <v>YAMAHA</v>
      </c>
      <c r="H1286" s="45">
        <f>IFERROR(VLOOKUP(A1286,'[1]MC Masterlist 2026-09-12'!$B:$M, 6, 0),"")</f>
        <v>117087</v>
      </c>
      <c r="I1286" s="46">
        <v>1</v>
      </c>
      <c r="J1286" s="46">
        <v>0</v>
      </c>
      <c r="K1286" s="46">
        <v>0</v>
      </c>
      <c r="L1286" s="46">
        <f t="shared" si="300"/>
        <v>1</v>
      </c>
      <c r="M1286" s="46">
        <f t="shared" si="301"/>
        <v>0.33333333333333331</v>
      </c>
      <c r="N1286" s="45">
        <f t="shared" si="302"/>
        <v>117087</v>
      </c>
      <c r="O1286" s="45">
        <f t="shared" si="303"/>
        <v>39029</v>
      </c>
      <c r="P1286" s="46">
        <f t="shared" si="304"/>
        <v>1.111111111111111E-2</v>
      </c>
      <c r="Q1286" s="46"/>
      <c r="R1286" s="45">
        <f t="shared" si="305"/>
        <v>0</v>
      </c>
      <c r="S1286" s="46">
        <f t="shared" si="306"/>
        <v>0</v>
      </c>
      <c r="T1286" s="46">
        <f>IFERROR(VLOOKUP(A1286,'[1]Re-order'!$A:$Q,17,0),"")</f>
        <v>18.94736842105263</v>
      </c>
      <c r="U1286" s="46">
        <f>IFERROR(VLOOKUP(A1286,'[1]MC Masterlist 2026-09-12'!$B:$M, 10, 0),0)</f>
        <v>15</v>
      </c>
      <c r="V1286" s="46">
        <f>IFERROR(VLOOKUP(A1286,'[1]MC Masterlist 2026-09-12'!$B:$M, 11, 0),0)</f>
        <v>15</v>
      </c>
      <c r="W1286" s="46">
        <f t="shared" si="307"/>
        <v>30</v>
      </c>
      <c r="X1286" s="46">
        <f t="shared" si="308"/>
        <v>6.833333333333333</v>
      </c>
      <c r="Y1286" s="46">
        <f>IFERROR(IF(OR(C1286="AREA I",C1286="AREA V"),7,VLOOKUP(A1286,'[1]MC Masterlist 2026-09-12'!$B:$M, 12, 0)),0)</f>
        <v>7</v>
      </c>
      <c r="Z1286" s="46">
        <f t="shared" si="309"/>
        <v>0.16666666666666666</v>
      </c>
      <c r="AA1286" s="46">
        <f t="shared" si="310"/>
        <v>0.33333333333333331</v>
      </c>
      <c r="AB1286" s="46">
        <f t="shared" si="311"/>
        <v>7.5925925925925911E-2</v>
      </c>
      <c r="AC1286" s="46">
        <f t="shared" si="312"/>
        <v>7.7777777777777765E-2</v>
      </c>
      <c r="AD1286" s="44" t="str">
        <f t="shared" si="313"/>
        <v>Stockout</v>
      </c>
      <c r="AE1286" s="44" t="str">
        <f>IFERROR(VLOOKUP(A1286,'[1]Re-order'!$A:$AA,27,0),"")</f>
        <v>Stockout</v>
      </c>
      <c r="AF1286" s="46">
        <f t="shared" si="314"/>
        <v>7.7777777777777765E-2</v>
      </c>
      <c r="AG1286" s="46">
        <f>SUMIFS('[1]Raw Inventory'!D:D,'[1]Raw Inventory'!C:C,"GREATWALL",'[1]Raw Inventory'!B:B,A1286)</f>
        <v>5</v>
      </c>
      <c r="AH1286" s="46">
        <f>SUMIFS('[1]Raw Inventory'!D:D,'[1]Raw Inventory'!C:C,"DUARTE",'[1]Raw Inventory'!B:B,A1286)</f>
        <v>0</v>
      </c>
      <c r="AI1286" s="46"/>
      <c r="AJ1286" s="46"/>
      <c r="AK1286" s="43"/>
      <c r="AL1286" s="43"/>
      <c r="AM1286" s="43"/>
      <c r="AN1286" s="43"/>
      <c r="AO1286" s="43"/>
      <c r="AP1286" s="43"/>
      <c r="AQ1286" s="43"/>
      <c r="AR1286" s="43"/>
      <c r="AS1286" s="43"/>
      <c r="AT1286" s="43"/>
    </row>
    <row r="1287" spans="1:46">
      <c r="A1287" s="43" t="s">
        <v>17</v>
      </c>
      <c r="B1287" s="43" t="s">
        <v>115</v>
      </c>
      <c r="C1287" s="43" t="s">
        <v>109</v>
      </c>
      <c r="D1287" s="44" t="s">
        <v>225</v>
      </c>
      <c r="E1287" s="44">
        <v>3</v>
      </c>
      <c r="F1287" s="44" t="s">
        <v>0</v>
      </c>
      <c r="G1287" s="43" t="str">
        <f>IFERROR(VLOOKUP(A1287,'[1]MC Masterlist 2026-09-12'!$B:$M, 3, 0),"")</f>
        <v>HONDA</v>
      </c>
      <c r="H1287" s="45">
        <f>IFERROR(VLOOKUP(A1287,'[1]MC Masterlist 2026-09-12'!$B:$M, 6, 0),"")</f>
        <v>140790</v>
      </c>
      <c r="I1287" s="46">
        <v>7</v>
      </c>
      <c r="J1287" s="46">
        <v>2</v>
      </c>
      <c r="K1287" s="46">
        <v>3</v>
      </c>
      <c r="L1287" s="46">
        <f t="shared" si="300"/>
        <v>12</v>
      </c>
      <c r="M1287" s="46">
        <f t="shared" si="301"/>
        <v>4</v>
      </c>
      <c r="N1287" s="45">
        <f t="shared" si="302"/>
        <v>1689480</v>
      </c>
      <c r="O1287" s="45">
        <f t="shared" si="303"/>
        <v>563160</v>
      </c>
      <c r="P1287" s="46">
        <f t="shared" si="304"/>
        <v>0.13333333333333333</v>
      </c>
      <c r="Q1287" s="46">
        <v>5</v>
      </c>
      <c r="R1287" s="45">
        <f t="shared" si="305"/>
        <v>703950</v>
      </c>
      <c r="S1287" s="46">
        <f t="shared" si="306"/>
        <v>37.5</v>
      </c>
      <c r="T1287" s="46">
        <f>IFERROR(VLOOKUP(A1287,'[1]Re-order'!$A:$Q,17,0),"")</f>
        <v>43.663366336633665</v>
      </c>
      <c r="U1287" s="46">
        <f>IFERROR(VLOOKUP(A1287,'[1]MC Masterlist 2026-09-12'!$B:$M, 10, 0),0)</f>
        <v>15</v>
      </c>
      <c r="V1287" s="46">
        <f>IFERROR(VLOOKUP(A1287,'[1]MC Masterlist 2026-09-12'!$B:$M, 11, 0),0)</f>
        <v>15</v>
      </c>
      <c r="W1287" s="46">
        <f t="shared" si="307"/>
        <v>30</v>
      </c>
      <c r="X1287" s="46">
        <f t="shared" si="308"/>
        <v>28</v>
      </c>
      <c r="Y1287" s="46">
        <f>IFERROR(IF(OR(C1287="AREA I",C1287="AREA V"),7,VLOOKUP(A1287,'[1]MC Masterlist 2026-09-12'!$B:$M, 12, 0)),0)</f>
        <v>30</v>
      </c>
      <c r="Z1287" s="46">
        <f t="shared" si="309"/>
        <v>2</v>
      </c>
      <c r="AA1287" s="46">
        <f t="shared" si="310"/>
        <v>4</v>
      </c>
      <c r="AB1287" s="46">
        <f t="shared" si="311"/>
        <v>3.7333333333333334</v>
      </c>
      <c r="AC1287" s="46">
        <f t="shared" si="312"/>
        <v>4</v>
      </c>
      <c r="AD1287" s="44" t="str">
        <f t="shared" si="313"/>
        <v>Over</v>
      </c>
      <c r="AE1287" s="44" t="str">
        <f>IFERROR(VLOOKUP(A1287,'[1]Re-order'!$A:$AA,27,0),"")</f>
        <v>Re-order</v>
      </c>
      <c r="AF1287" s="46">
        <f t="shared" si="314"/>
        <v>-1</v>
      </c>
      <c r="AG1287" s="46">
        <f>SUMIFS('[1]Raw Inventory'!D:D,'[1]Raw Inventory'!C:C,"GREATWALL",'[1]Raw Inventory'!B:B,A1287)</f>
        <v>12</v>
      </c>
      <c r="AH1287" s="46">
        <f>SUMIFS('[1]Raw Inventory'!D:D,'[1]Raw Inventory'!C:C,"DUARTE",'[1]Raw Inventory'!B:B,A1287)</f>
        <v>0</v>
      </c>
      <c r="AI1287" s="46"/>
      <c r="AJ1287" s="46"/>
      <c r="AK1287" s="43"/>
      <c r="AL1287" s="43"/>
      <c r="AM1287" s="43"/>
      <c r="AN1287" s="43"/>
      <c r="AO1287" s="43"/>
      <c r="AP1287" s="43"/>
      <c r="AQ1287" s="43"/>
      <c r="AR1287" s="43"/>
      <c r="AS1287" s="43"/>
      <c r="AT1287" s="43"/>
    </row>
    <row r="1288" spans="1:46">
      <c r="A1288" s="43" t="s">
        <v>24</v>
      </c>
      <c r="B1288" s="43" t="s">
        <v>96</v>
      </c>
      <c r="C1288" s="43" t="s">
        <v>90</v>
      </c>
      <c r="D1288" s="44" t="s">
        <v>233</v>
      </c>
      <c r="E1288" s="44">
        <v>4</v>
      </c>
      <c r="F1288" s="44" t="s">
        <v>2</v>
      </c>
      <c r="G1288" s="43" t="str">
        <f>IFERROR(VLOOKUP(A1288,'[1]MC Masterlist 2026-09-12'!$B:$M, 3, 0),"")</f>
        <v>KAWASAKI</v>
      </c>
      <c r="H1288" s="45">
        <f>IFERROR(VLOOKUP(A1288,'[1]MC Masterlist 2026-09-12'!$B:$M, 6, 0),"")</f>
        <v>131626</v>
      </c>
      <c r="I1288" s="46">
        <v>1</v>
      </c>
      <c r="J1288" s="46">
        <v>0</v>
      </c>
      <c r="K1288" s="46">
        <v>0</v>
      </c>
      <c r="L1288" s="46">
        <f t="shared" si="300"/>
        <v>1</v>
      </c>
      <c r="M1288" s="46">
        <f t="shared" si="301"/>
        <v>0.33333333333333331</v>
      </c>
      <c r="N1288" s="45">
        <f t="shared" si="302"/>
        <v>131626</v>
      </c>
      <c r="O1288" s="45">
        <f t="shared" si="303"/>
        <v>43875.333333333328</v>
      </c>
      <c r="P1288" s="46">
        <f t="shared" si="304"/>
        <v>1.111111111111111E-2</v>
      </c>
      <c r="Q1288" s="46"/>
      <c r="R1288" s="45">
        <f t="shared" si="305"/>
        <v>0</v>
      </c>
      <c r="S1288" s="46">
        <f t="shared" si="306"/>
        <v>0</v>
      </c>
      <c r="T1288" s="46">
        <f>IFERROR(VLOOKUP(A1288,'[1]Re-order'!$A:$Q,17,0),"")</f>
        <v>40.677966101694913</v>
      </c>
      <c r="U1288" s="46">
        <f>IFERROR(VLOOKUP(A1288,'[1]MC Masterlist 2026-09-12'!$B:$M, 10, 0),0)</f>
        <v>15</v>
      </c>
      <c r="V1288" s="46">
        <f>IFERROR(VLOOKUP(A1288,'[1]MC Masterlist 2026-09-12'!$B:$M, 11, 0),0)</f>
        <v>15</v>
      </c>
      <c r="W1288" s="46">
        <f t="shared" si="307"/>
        <v>30</v>
      </c>
      <c r="X1288" s="46">
        <f t="shared" si="308"/>
        <v>29.833333333333332</v>
      </c>
      <c r="Y1288" s="46">
        <f>IFERROR(IF(OR(C1288="AREA I",C1288="AREA V"),7,VLOOKUP(A1288,'[1]MC Masterlist 2026-09-12'!$B:$M, 12, 0)),0)</f>
        <v>30</v>
      </c>
      <c r="Z1288" s="46">
        <f t="shared" si="309"/>
        <v>0.16666666666666666</v>
      </c>
      <c r="AA1288" s="46">
        <f t="shared" si="310"/>
        <v>0.33333333333333331</v>
      </c>
      <c r="AB1288" s="46">
        <f t="shared" si="311"/>
        <v>0.33148148148148143</v>
      </c>
      <c r="AC1288" s="46">
        <f t="shared" si="312"/>
        <v>0.33333333333333331</v>
      </c>
      <c r="AD1288" s="44" t="str">
        <f t="shared" si="313"/>
        <v>Stockout</v>
      </c>
      <c r="AE1288" s="44" t="str">
        <f>IFERROR(VLOOKUP(A1288,'[1]Re-order'!$A:$AA,27,0),"")</f>
        <v>Re-order</v>
      </c>
      <c r="AF1288" s="46">
        <f t="shared" si="314"/>
        <v>0.33333333333333331</v>
      </c>
      <c r="AG1288" s="46">
        <f>SUMIFS('[1]Raw Inventory'!D:D,'[1]Raw Inventory'!C:C,"GREATWALL",'[1]Raw Inventory'!B:B,A1288)</f>
        <v>12</v>
      </c>
      <c r="AH1288" s="46">
        <f>SUMIFS('[1]Raw Inventory'!D:D,'[1]Raw Inventory'!C:C,"DUARTE",'[1]Raw Inventory'!B:B,A1288)</f>
        <v>0</v>
      </c>
      <c r="AI1288" s="46"/>
      <c r="AJ1288" s="46"/>
      <c r="AK1288" s="43"/>
      <c r="AL1288" s="43"/>
      <c r="AM1288" s="43"/>
      <c r="AN1288" s="43"/>
      <c r="AO1288" s="43"/>
      <c r="AP1288" s="43"/>
      <c r="AQ1288" s="43"/>
      <c r="AR1288" s="43"/>
      <c r="AS1288" s="43"/>
      <c r="AT1288" s="43"/>
    </row>
    <row r="1289" spans="1:46">
      <c r="A1289" s="43" t="s">
        <v>149</v>
      </c>
      <c r="B1289" s="43" t="s">
        <v>139</v>
      </c>
      <c r="C1289" s="43" t="s">
        <v>137</v>
      </c>
      <c r="D1289" s="44" t="s">
        <v>253</v>
      </c>
      <c r="E1289" s="44">
        <v>25</v>
      </c>
      <c r="F1289" s="44" t="s">
        <v>3</v>
      </c>
      <c r="G1289" s="43" t="str">
        <f>IFERROR(VLOOKUP(A1289,'[1]MC Masterlist 2026-09-12'!$B:$M, 3, 0),"")</f>
        <v>HONDA</v>
      </c>
      <c r="H1289" s="45">
        <f>IFERROR(VLOOKUP(A1289,'[1]MC Masterlist 2026-09-12'!$B:$M, 6, 0),"")</f>
        <v>254520</v>
      </c>
      <c r="I1289" s="46">
        <v>0</v>
      </c>
      <c r="J1289" s="46">
        <v>0</v>
      </c>
      <c r="K1289" s="46">
        <v>0</v>
      </c>
      <c r="L1289" s="46">
        <f t="shared" si="300"/>
        <v>0</v>
      </c>
      <c r="M1289" s="46">
        <f t="shared" si="301"/>
        <v>0</v>
      </c>
      <c r="N1289" s="45">
        <f t="shared" si="302"/>
        <v>0</v>
      </c>
      <c r="O1289" s="45">
        <f t="shared" si="303"/>
        <v>0</v>
      </c>
      <c r="P1289" s="46">
        <f t="shared" si="304"/>
        <v>0</v>
      </c>
      <c r="Q1289" s="46">
        <v>1</v>
      </c>
      <c r="R1289" s="45">
        <f t="shared" si="305"/>
        <v>254520</v>
      </c>
      <c r="S1289" s="46">
        <f t="shared" si="306"/>
        <v>0</v>
      </c>
      <c r="T1289" s="46" t="str">
        <f>IFERROR(VLOOKUP(A1289,'[1]Re-order'!$A:$Q,17,0),"")</f>
        <v/>
      </c>
      <c r="U1289" s="46">
        <f>IFERROR(VLOOKUP(A1289,'[1]MC Masterlist 2026-09-12'!$B:$M, 10, 0),0)</f>
        <v>15</v>
      </c>
      <c r="V1289" s="46">
        <f>IFERROR(VLOOKUP(A1289,'[1]MC Masterlist 2026-09-12'!$B:$M, 11, 0),0)</f>
        <v>15</v>
      </c>
      <c r="W1289" s="46">
        <f t="shared" si="307"/>
        <v>30</v>
      </c>
      <c r="X1289" s="46">
        <f t="shared" si="308"/>
        <v>7</v>
      </c>
      <c r="Y1289" s="46">
        <f>IFERROR(IF(OR(C1289="AREA I",C1289="AREA V"),7,VLOOKUP(A1289,'[1]MC Masterlist 2026-09-12'!$B:$M, 12, 0)),0)</f>
        <v>7</v>
      </c>
      <c r="Z1289" s="46">
        <f t="shared" si="309"/>
        <v>0</v>
      </c>
      <c r="AA1289" s="46">
        <f t="shared" si="310"/>
        <v>0</v>
      </c>
      <c r="AB1289" s="46">
        <f t="shared" si="311"/>
        <v>0</v>
      </c>
      <c r="AC1289" s="46">
        <f t="shared" si="312"/>
        <v>0</v>
      </c>
      <c r="AD1289" s="44" t="str">
        <f t="shared" si="313"/>
        <v>Over</v>
      </c>
      <c r="AE1289" s="44" t="str">
        <f>IFERROR(VLOOKUP(A1289,'[1]Re-order'!$A:$AA,27,0),"")</f>
        <v>Over</v>
      </c>
      <c r="AF1289" s="46">
        <f t="shared" si="314"/>
        <v>-1</v>
      </c>
      <c r="AG1289" s="46">
        <f>SUMIFS('[1]Raw Inventory'!D:D,'[1]Raw Inventory'!C:C,"GREATWALL",'[1]Raw Inventory'!B:B,A1289)</f>
        <v>0</v>
      </c>
      <c r="AH1289" s="46">
        <f>SUMIFS('[1]Raw Inventory'!D:D,'[1]Raw Inventory'!C:C,"DUARTE",'[1]Raw Inventory'!B:B,A1289)</f>
        <v>0</v>
      </c>
      <c r="AI1289" s="46"/>
      <c r="AJ1289" s="46"/>
      <c r="AK1289" s="43"/>
      <c r="AL1289" s="43"/>
      <c r="AM1289" s="43"/>
      <c r="AN1289" s="43"/>
      <c r="AO1289" s="43"/>
      <c r="AP1289" s="43"/>
      <c r="AQ1289" s="43"/>
      <c r="AR1289" s="43"/>
      <c r="AS1289" s="43"/>
      <c r="AT1289" s="43"/>
    </row>
    <row r="1290" spans="1:46">
      <c r="A1290" s="43" t="s">
        <v>31</v>
      </c>
      <c r="B1290" s="43" t="s">
        <v>113</v>
      </c>
      <c r="C1290" s="43" t="s">
        <v>109</v>
      </c>
      <c r="D1290" s="44" t="s">
        <v>243</v>
      </c>
      <c r="E1290" s="44">
        <v>16</v>
      </c>
      <c r="F1290" s="44" t="s">
        <v>2</v>
      </c>
      <c r="G1290" s="43" t="str">
        <f>IFERROR(VLOOKUP(A1290,'[1]MC Masterlist 2026-09-12'!$B:$M, 3, 0),"")</f>
        <v>KAWASAKI</v>
      </c>
      <c r="H1290" s="45">
        <f>IFERROR(VLOOKUP(A1290,'[1]MC Masterlist 2026-09-12'!$B:$M, 6, 0),"")</f>
        <v>59528</v>
      </c>
      <c r="I1290" s="46">
        <v>5</v>
      </c>
      <c r="J1290" s="46">
        <v>0</v>
      </c>
      <c r="K1290" s="46">
        <v>0</v>
      </c>
      <c r="L1290" s="46">
        <f t="shared" si="300"/>
        <v>5</v>
      </c>
      <c r="M1290" s="46">
        <f t="shared" si="301"/>
        <v>1.6666666666666667</v>
      </c>
      <c r="N1290" s="45">
        <f t="shared" si="302"/>
        <v>297640</v>
      </c>
      <c r="O1290" s="45">
        <f t="shared" si="303"/>
        <v>99213.333333333343</v>
      </c>
      <c r="P1290" s="46">
        <f t="shared" si="304"/>
        <v>5.5555555555555559E-2</v>
      </c>
      <c r="Q1290" s="46"/>
      <c r="R1290" s="45">
        <f t="shared" si="305"/>
        <v>0</v>
      </c>
      <c r="S1290" s="46">
        <f t="shared" si="306"/>
        <v>0</v>
      </c>
      <c r="T1290" s="46">
        <f>IFERROR(VLOOKUP(A1290,'[1]Re-order'!$A:$Q,17,0),"")</f>
        <v>95.869565217391298</v>
      </c>
      <c r="U1290" s="46">
        <f>IFERROR(VLOOKUP(A1290,'[1]MC Masterlist 2026-09-12'!$B:$M, 10, 0),0)</f>
        <v>15</v>
      </c>
      <c r="V1290" s="46">
        <f>IFERROR(VLOOKUP(A1290,'[1]MC Masterlist 2026-09-12'!$B:$M, 11, 0),0)</f>
        <v>15</v>
      </c>
      <c r="W1290" s="46">
        <f t="shared" si="307"/>
        <v>30</v>
      </c>
      <c r="X1290" s="46">
        <f t="shared" si="308"/>
        <v>29.166666666666668</v>
      </c>
      <c r="Y1290" s="46">
        <f>IFERROR(IF(OR(C1290="AREA I",C1290="AREA V"),7,VLOOKUP(A1290,'[1]MC Masterlist 2026-09-12'!$B:$M, 12, 0)),0)</f>
        <v>30</v>
      </c>
      <c r="Z1290" s="46">
        <f t="shared" si="309"/>
        <v>0.83333333333333337</v>
      </c>
      <c r="AA1290" s="46">
        <f t="shared" si="310"/>
        <v>1.6666666666666667</v>
      </c>
      <c r="AB1290" s="46">
        <f t="shared" si="311"/>
        <v>1.6203703703703705</v>
      </c>
      <c r="AC1290" s="46">
        <f t="shared" si="312"/>
        <v>1.6666666666666667</v>
      </c>
      <c r="AD1290" s="44" t="str">
        <f t="shared" si="313"/>
        <v>Stockout</v>
      </c>
      <c r="AE1290" s="44" t="str">
        <f>IFERROR(VLOOKUP(A1290,'[1]Re-order'!$A:$AA,27,0),"")</f>
        <v>Over</v>
      </c>
      <c r="AF1290" s="46">
        <f t="shared" si="314"/>
        <v>1.6666666666666667</v>
      </c>
      <c r="AG1290" s="46">
        <f>SUMIFS('[1]Raw Inventory'!D:D,'[1]Raw Inventory'!C:C,"GREATWALL",'[1]Raw Inventory'!B:B,A1290)</f>
        <v>79</v>
      </c>
      <c r="AH1290" s="46">
        <f>SUMIFS('[1]Raw Inventory'!D:D,'[1]Raw Inventory'!C:C,"DUARTE",'[1]Raw Inventory'!B:B,A1290)</f>
        <v>0</v>
      </c>
      <c r="AI1290" s="46"/>
      <c r="AJ1290" s="46"/>
      <c r="AK1290" s="43"/>
      <c r="AL1290" s="43"/>
      <c r="AM1290" s="43"/>
      <c r="AN1290" s="43"/>
      <c r="AO1290" s="43"/>
      <c r="AP1290" s="43"/>
      <c r="AQ1290" s="43"/>
      <c r="AR1290" s="43"/>
      <c r="AS1290" s="43"/>
      <c r="AT1290" s="43"/>
    </row>
    <row r="1291" spans="1:46">
      <c r="A1291" s="43" t="s">
        <v>22</v>
      </c>
      <c r="B1291" s="43" t="s">
        <v>123</v>
      </c>
      <c r="C1291" s="43" t="s">
        <v>118</v>
      </c>
      <c r="D1291" s="44" t="s">
        <v>266</v>
      </c>
      <c r="E1291" s="44">
        <v>18</v>
      </c>
      <c r="F1291" s="44" t="s">
        <v>2</v>
      </c>
      <c r="G1291" s="43" t="str">
        <f>IFERROR(VLOOKUP(A1291,'[1]MC Masterlist 2026-09-12'!$B:$M, 3, 0),"")</f>
        <v>HONDA</v>
      </c>
      <c r="H1291" s="45">
        <f>IFERROR(VLOOKUP(A1291,'[1]MC Masterlist 2026-09-12'!$B:$M, 6, 0),"")</f>
        <v>111258</v>
      </c>
      <c r="I1291" s="46">
        <v>0</v>
      </c>
      <c r="J1291" s="46">
        <v>0</v>
      </c>
      <c r="K1291" s="46">
        <v>1</v>
      </c>
      <c r="L1291" s="46">
        <f t="shared" si="300"/>
        <v>1</v>
      </c>
      <c r="M1291" s="46">
        <f t="shared" si="301"/>
        <v>0.33333333333333331</v>
      </c>
      <c r="N1291" s="45">
        <f t="shared" si="302"/>
        <v>111258</v>
      </c>
      <c r="O1291" s="45">
        <f t="shared" si="303"/>
        <v>37086</v>
      </c>
      <c r="P1291" s="46">
        <f t="shared" si="304"/>
        <v>1.111111111111111E-2</v>
      </c>
      <c r="Q1291" s="46">
        <v>3</v>
      </c>
      <c r="R1291" s="45">
        <f t="shared" si="305"/>
        <v>333774</v>
      </c>
      <c r="S1291" s="46">
        <f t="shared" si="306"/>
        <v>270</v>
      </c>
      <c r="T1291" s="46">
        <f>IFERROR(VLOOKUP(A1291,'[1]Re-order'!$A:$Q,17,0),"")</f>
        <v>41.339712918660283</v>
      </c>
      <c r="U1291" s="46">
        <f>IFERROR(VLOOKUP(A1291,'[1]MC Masterlist 2026-09-12'!$B:$M, 10, 0),0)</f>
        <v>15</v>
      </c>
      <c r="V1291" s="46">
        <f>IFERROR(VLOOKUP(A1291,'[1]MC Masterlist 2026-09-12'!$B:$M, 11, 0),0)</f>
        <v>15</v>
      </c>
      <c r="W1291" s="46">
        <f t="shared" si="307"/>
        <v>30</v>
      </c>
      <c r="X1291" s="46">
        <f t="shared" si="308"/>
        <v>29.833333333333332</v>
      </c>
      <c r="Y1291" s="46">
        <f>IFERROR(IF(OR(C1291="AREA I",C1291="AREA V"),7,VLOOKUP(A1291,'[1]MC Masterlist 2026-09-12'!$B:$M, 12, 0)),0)</f>
        <v>30</v>
      </c>
      <c r="Z1291" s="46">
        <f t="shared" si="309"/>
        <v>0.16666666666666666</v>
      </c>
      <c r="AA1291" s="46">
        <f t="shared" si="310"/>
        <v>0.33333333333333331</v>
      </c>
      <c r="AB1291" s="46">
        <f t="shared" si="311"/>
        <v>0.33148148148148143</v>
      </c>
      <c r="AC1291" s="46">
        <f t="shared" si="312"/>
        <v>0.33333333333333331</v>
      </c>
      <c r="AD1291" s="44" t="str">
        <f t="shared" si="313"/>
        <v>Over</v>
      </c>
      <c r="AE1291" s="44" t="str">
        <f>IFERROR(VLOOKUP(A1291,'[1]Re-order'!$A:$AA,27,0),"")</f>
        <v>Re-order</v>
      </c>
      <c r="AF1291" s="46">
        <f t="shared" si="314"/>
        <v>-2.6666666666666665</v>
      </c>
      <c r="AG1291" s="46">
        <f>SUMIFS('[1]Raw Inventory'!D:D,'[1]Raw Inventory'!C:C,"GREATWALL",'[1]Raw Inventory'!B:B,A1291)</f>
        <v>4</v>
      </c>
      <c r="AH1291" s="46">
        <f>SUMIFS('[1]Raw Inventory'!D:D,'[1]Raw Inventory'!C:C,"DUARTE",'[1]Raw Inventory'!B:B,A1291)</f>
        <v>0</v>
      </c>
      <c r="AI1291" s="46"/>
      <c r="AJ1291" s="46"/>
      <c r="AK1291" s="43"/>
      <c r="AL1291" s="43"/>
      <c r="AM1291" s="43"/>
      <c r="AN1291" s="43"/>
      <c r="AO1291" s="43"/>
      <c r="AP1291" s="43"/>
      <c r="AQ1291" s="43"/>
      <c r="AR1291" s="43"/>
      <c r="AS1291" s="43"/>
      <c r="AT1291" s="43"/>
    </row>
    <row r="1292" spans="1:46">
      <c r="A1292" s="43" t="s">
        <v>54</v>
      </c>
      <c r="B1292" s="43" t="s">
        <v>146</v>
      </c>
      <c r="C1292" s="43" t="s">
        <v>137</v>
      </c>
      <c r="D1292" s="44" t="s">
        <v>258</v>
      </c>
      <c r="E1292" s="44">
        <v>28</v>
      </c>
      <c r="F1292" s="44" t="s">
        <v>3</v>
      </c>
      <c r="G1292" s="43" t="str">
        <f>IFERROR(VLOOKUP(A1292,'[1]MC Masterlist 2026-09-12'!$B:$M, 3, 0),"")</f>
        <v>HONDA</v>
      </c>
      <c r="H1292" s="45">
        <f>IFERROR(VLOOKUP(A1292,'[1]MC Masterlist 2026-09-12'!$B:$M, 6, 0),"")</f>
        <v>70998</v>
      </c>
      <c r="I1292" s="46">
        <v>0</v>
      </c>
      <c r="J1292" s="46">
        <v>0</v>
      </c>
      <c r="K1292" s="46">
        <v>0</v>
      </c>
      <c r="L1292" s="46">
        <f t="shared" si="300"/>
        <v>0</v>
      </c>
      <c r="M1292" s="46">
        <f t="shared" si="301"/>
        <v>0</v>
      </c>
      <c r="N1292" s="45">
        <f t="shared" si="302"/>
        <v>0</v>
      </c>
      <c r="O1292" s="45">
        <f t="shared" si="303"/>
        <v>0</v>
      </c>
      <c r="P1292" s="46">
        <f t="shared" si="304"/>
        <v>0</v>
      </c>
      <c r="Q1292" s="46">
        <v>1</v>
      </c>
      <c r="R1292" s="45">
        <f t="shared" si="305"/>
        <v>70998</v>
      </c>
      <c r="S1292" s="46">
        <f t="shared" si="306"/>
        <v>0</v>
      </c>
      <c r="T1292" s="46">
        <f>IFERROR(VLOOKUP(A1292,'[1]Re-order'!$A:$Q,17,0),"")</f>
        <v>114.54545454545455</v>
      </c>
      <c r="U1292" s="46">
        <f>IFERROR(VLOOKUP(A1292,'[1]MC Masterlist 2026-09-12'!$B:$M, 10, 0),0)</f>
        <v>15</v>
      </c>
      <c r="V1292" s="46">
        <f>IFERROR(VLOOKUP(A1292,'[1]MC Masterlist 2026-09-12'!$B:$M, 11, 0),0)</f>
        <v>15</v>
      </c>
      <c r="W1292" s="46">
        <f t="shared" si="307"/>
        <v>30</v>
      </c>
      <c r="X1292" s="46">
        <f t="shared" si="308"/>
        <v>7</v>
      </c>
      <c r="Y1292" s="46">
        <f>IFERROR(IF(OR(C1292="AREA I",C1292="AREA V"),7,VLOOKUP(A1292,'[1]MC Masterlist 2026-09-12'!$B:$M, 12, 0)),0)</f>
        <v>7</v>
      </c>
      <c r="Z1292" s="46">
        <f t="shared" si="309"/>
        <v>0</v>
      </c>
      <c r="AA1292" s="46">
        <f t="shared" si="310"/>
        <v>0</v>
      </c>
      <c r="AB1292" s="46">
        <f t="shared" si="311"/>
        <v>0</v>
      </c>
      <c r="AC1292" s="46">
        <f t="shared" si="312"/>
        <v>0</v>
      </c>
      <c r="AD1292" s="44" t="str">
        <f t="shared" si="313"/>
        <v>Over</v>
      </c>
      <c r="AE1292" s="44" t="str">
        <f>IFERROR(VLOOKUP(A1292,'[1]Re-order'!$A:$AA,27,0),"")</f>
        <v>Over</v>
      </c>
      <c r="AF1292" s="46">
        <f t="shared" si="314"/>
        <v>-1</v>
      </c>
      <c r="AG1292" s="46">
        <f>SUMIFS('[1]Raw Inventory'!D:D,'[1]Raw Inventory'!C:C,"GREATWALL",'[1]Raw Inventory'!B:B,A1292)</f>
        <v>0</v>
      </c>
      <c r="AH1292" s="46">
        <f>SUMIFS('[1]Raw Inventory'!D:D,'[1]Raw Inventory'!C:C,"DUARTE",'[1]Raw Inventory'!B:B,A1292)</f>
        <v>0</v>
      </c>
      <c r="AI1292" s="46"/>
      <c r="AJ1292" s="46"/>
      <c r="AK1292" s="43"/>
      <c r="AL1292" s="43"/>
      <c r="AM1292" s="43"/>
      <c r="AN1292" s="43"/>
      <c r="AO1292" s="43"/>
      <c r="AP1292" s="43"/>
      <c r="AQ1292" s="43"/>
      <c r="AR1292" s="43"/>
      <c r="AS1292" s="43"/>
      <c r="AT1292" s="43"/>
    </row>
    <row r="1293" spans="1:46">
      <c r="A1293" s="43" t="s">
        <v>37</v>
      </c>
      <c r="B1293" s="43" t="s">
        <v>120</v>
      </c>
      <c r="C1293" s="43" t="s">
        <v>118</v>
      </c>
      <c r="D1293" s="44" t="s">
        <v>221</v>
      </c>
      <c r="E1293" s="44">
        <v>18</v>
      </c>
      <c r="F1293" s="44" t="s">
        <v>3</v>
      </c>
      <c r="G1293" s="43" t="str">
        <f>IFERROR(VLOOKUP(A1293,'[1]MC Masterlist 2026-09-12'!$B:$M, 3, 0),"")</f>
        <v>HONDA</v>
      </c>
      <c r="H1293" s="45">
        <f>IFERROR(VLOOKUP(A1293,'[1]MC Masterlist 2026-09-12'!$B:$M, 6, 0),"")</f>
        <v>74550</v>
      </c>
      <c r="I1293" s="46">
        <v>0</v>
      </c>
      <c r="J1293" s="46">
        <v>1</v>
      </c>
      <c r="K1293" s="46">
        <v>0</v>
      </c>
      <c r="L1293" s="46">
        <f t="shared" si="300"/>
        <v>1</v>
      </c>
      <c r="M1293" s="46">
        <f t="shared" si="301"/>
        <v>0.33333333333333331</v>
      </c>
      <c r="N1293" s="45">
        <f t="shared" si="302"/>
        <v>74550</v>
      </c>
      <c r="O1293" s="45">
        <f t="shared" si="303"/>
        <v>24850</v>
      </c>
      <c r="P1293" s="46">
        <f t="shared" si="304"/>
        <v>1.111111111111111E-2</v>
      </c>
      <c r="Q1293" s="46">
        <v>2</v>
      </c>
      <c r="R1293" s="45">
        <f t="shared" si="305"/>
        <v>149100</v>
      </c>
      <c r="S1293" s="46">
        <f t="shared" si="306"/>
        <v>180</v>
      </c>
      <c r="T1293" s="46">
        <f>IFERROR(VLOOKUP(A1293,'[1]Re-order'!$A:$Q,17,0),"")</f>
        <v>33.652173913043477</v>
      </c>
      <c r="U1293" s="46">
        <f>IFERROR(VLOOKUP(A1293,'[1]MC Masterlist 2026-09-12'!$B:$M, 10, 0),0)</f>
        <v>15</v>
      </c>
      <c r="V1293" s="46">
        <f>IFERROR(VLOOKUP(A1293,'[1]MC Masterlist 2026-09-12'!$B:$M, 11, 0),0)</f>
        <v>15</v>
      </c>
      <c r="W1293" s="46">
        <f t="shared" si="307"/>
        <v>30</v>
      </c>
      <c r="X1293" s="46">
        <f t="shared" si="308"/>
        <v>29.833333333333332</v>
      </c>
      <c r="Y1293" s="46">
        <f>IFERROR(IF(OR(C1293="AREA I",C1293="AREA V"),7,VLOOKUP(A1293,'[1]MC Masterlist 2026-09-12'!$B:$M, 12, 0)),0)</f>
        <v>30</v>
      </c>
      <c r="Z1293" s="46">
        <f t="shared" si="309"/>
        <v>0.16666666666666666</v>
      </c>
      <c r="AA1293" s="46">
        <f t="shared" si="310"/>
        <v>0.33333333333333331</v>
      </c>
      <c r="AB1293" s="46">
        <f t="shared" si="311"/>
        <v>0.33148148148148143</v>
      </c>
      <c r="AC1293" s="46">
        <f t="shared" si="312"/>
        <v>0.33333333333333331</v>
      </c>
      <c r="AD1293" s="44" t="str">
        <f t="shared" si="313"/>
        <v>Over</v>
      </c>
      <c r="AE1293" s="44" t="str">
        <f>IFERROR(VLOOKUP(A1293,'[1]Re-order'!$A:$AA,27,0),"")</f>
        <v>Re-order</v>
      </c>
      <c r="AF1293" s="46">
        <f t="shared" si="314"/>
        <v>-1.6666666666666667</v>
      </c>
      <c r="AG1293" s="46">
        <f>SUMIFS('[1]Raw Inventory'!D:D,'[1]Raw Inventory'!C:C,"GREATWALL",'[1]Raw Inventory'!B:B,A1293)</f>
        <v>28</v>
      </c>
      <c r="AH1293" s="46">
        <f>SUMIFS('[1]Raw Inventory'!D:D,'[1]Raw Inventory'!C:C,"DUARTE",'[1]Raw Inventory'!B:B,A1293)</f>
        <v>0</v>
      </c>
      <c r="AI1293" s="46"/>
      <c r="AJ1293" s="46"/>
      <c r="AK1293" s="43"/>
      <c r="AL1293" s="43"/>
      <c r="AM1293" s="43"/>
      <c r="AN1293" s="43"/>
      <c r="AO1293" s="43"/>
      <c r="AP1293" s="43"/>
      <c r="AQ1293" s="43"/>
      <c r="AR1293" s="43"/>
      <c r="AS1293" s="43"/>
      <c r="AT1293" s="43"/>
    </row>
    <row r="1294" spans="1:46">
      <c r="A1294" s="43" t="s">
        <v>17</v>
      </c>
      <c r="B1294" s="43" t="s">
        <v>91</v>
      </c>
      <c r="C1294" s="43" t="s">
        <v>90</v>
      </c>
      <c r="D1294" s="44" t="s">
        <v>234</v>
      </c>
      <c r="E1294" s="44">
        <v>4</v>
      </c>
      <c r="F1294" s="44" t="s">
        <v>0</v>
      </c>
      <c r="G1294" s="43" t="str">
        <f>IFERROR(VLOOKUP(A1294,'[1]MC Masterlist 2026-09-12'!$B:$M, 3, 0),"")</f>
        <v>HONDA</v>
      </c>
      <c r="H1294" s="45">
        <f>IFERROR(VLOOKUP(A1294,'[1]MC Masterlist 2026-09-12'!$B:$M, 6, 0),"")</f>
        <v>140790</v>
      </c>
      <c r="I1294" s="46">
        <v>3</v>
      </c>
      <c r="J1294" s="46">
        <v>1</v>
      </c>
      <c r="K1294" s="46">
        <v>1</v>
      </c>
      <c r="L1294" s="46">
        <f t="shared" si="300"/>
        <v>5</v>
      </c>
      <c r="M1294" s="46">
        <f t="shared" si="301"/>
        <v>1.6666666666666667</v>
      </c>
      <c r="N1294" s="45">
        <f t="shared" si="302"/>
        <v>703950</v>
      </c>
      <c r="O1294" s="45">
        <f t="shared" si="303"/>
        <v>234650</v>
      </c>
      <c r="P1294" s="46">
        <f t="shared" si="304"/>
        <v>5.5555555555555559E-2</v>
      </c>
      <c r="Q1294" s="46">
        <v>3</v>
      </c>
      <c r="R1294" s="45">
        <f t="shared" si="305"/>
        <v>422370</v>
      </c>
      <c r="S1294" s="46">
        <f t="shared" si="306"/>
        <v>54</v>
      </c>
      <c r="T1294" s="46">
        <f>IFERROR(VLOOKUP(A1294,'[1]Re-order'!$A:$Q,17,0),"")</f>
        <v>43.663366336633665</v>
      </c>
      <c r="U1294" s="46">
        <f>IFERROR(VLOOKUP(A1294,'[1]MC Masterlist 2026-09-12'!$B:$M, 10, 0),0)</f>
        <v>15</v>
      </c>
      <c r="V1294" s="46">
        <f>IFERROR(VLOOKUP(A1294,'[1]MC Masterlist 2026-09-12'!$B:$M, 11, 0),0)</f>
        <v>15</v>
      </c>
      <c r="W1294" s="46">
        <f t="shared" si="307"/>
        <v>30</v>
      </c>
      <c r="X1294" s="46">
        <f t="shared" si="308"/>
        <v>29.166666666666668</v>
      </c>
      <c r="Y1294" s="46">
        <f>IFERROR(IF(OR(C1294="AREA I",C1294="AREA V"),7,VLOOKUP(A1294,'[1]MC Masterlist 2026-09-12'!$B:$M, 12, 0)),0)</f>
        <v>30</v>
      </c>
      <c r="Z1294" s="46">
        <f t="shared" si="309"/>
        <v>0.83333333333333337</v>
      </c>
      <c r="AA1294" s="46">
        <f t="shared" si="310"/>
        <v>1.6666666666666667</v>
      </c>
      <c r="AB1294" s="46">
        <f t="shared" si="311"/>
        <v>1.6203703703703705</v>
      </c>
      <c r="AC1294" s="46">
        <f t="shared" si="312"/>
        <v>1.6666666666666667</v>
      </c>
      <c r="AD1294" s="44" t="str">
        <f t="shared" si="313"/>
        <v>Over</v>
      </c>
      <c r="AE1294" s="44" t="str">
        <f>IFERROR(VLOOKUP(A1294,'[1]Re-order'!$A:$AA,27,0),"")</f>
        <v>Re-order</v>
      </c>
      <c r="AF1294" s="46">
        <f t="shared" si="314"/>
        <v>-1.3333333333333333</v>
      </c>
      <c r="AG1294" s="46">
        <f>SUMIFS('[1]Raw Inventory'!D:D,'[1]Raw Inventory'!C:C,"GREATWALL",'[1]Raw Inventory'!B:B,A1294)</f>
        <v>12</v>
      </c>
      <c r="AH1294" s="46">
        <f>SUMIFS('[1]Raw Inventory'!D:D,'[1]Raw Inventory'!C:C,"DUARTE",'[1]Raw Inventory'!B:B,A1294)</f>
        <v>0</v>
      </c>
      <c r="AI1294" s="46"/>
      <c r="AJ1294" s="46"/>
      <c r="AK1294" s="43"/>
      <c r="AL1294" s="43"/>
      <c r="AM1294" s="43"/>
      <c r="AN1294" s="43"/>
      <c r="AO1294" s="43"/>
      <c r="AP1294" s="43"/>
      <c r="AQ1294" s="43"/>
      <c r="AR1294" s="43"/>
      <c r="AS1294" s="43"/>
      <c r="AT1294" s="43"/>
    </row>
    <row r="1295" spans="1:46">
      <c r="A1295" s="43" t="s">
        <v>44</v>
      </c>
      <c r="B1295" s="43" t="s">
        <v>97</v>
      </c>
      <c r="C1295" s="43" t="s">
        <v>90</v>
      </c>
      <c r="D1295" s="44" t="s">
        <v>246</v>
      </c>
      <c r="E1295" s="44">
        <v>9</v>
      </c>
      <c r="F1295" s="44" t="s">
        <v>2</v>
      </c>
      <c r="G1295" s="43" t="str">
        <f>IFERROR(VLOOKUP(A1295,'[1]MC Masterlist 2026-09-12'!$B:$M, 3, 0),"")</f>
        <v>YAMAHA</v>
      </c>
      <c r="H1295" s="45">
        <f>IFERROR(VLOOKUP(A1295,'[1]MC Masterlist 2026-09-12'!$B:$M, 6, 0),"")</f>
        <v>165912</v>
      </c>
      <c r="I1295" s="46">
        <v>1</v>
      </c>
      <c r="J1295" s="46">
        <v>0</v>
      </c>
      <c r="K1295" s="46">
        <v>0</v>
      </c>
      <c r="L1295" s="46">
        <f t="shared" si="300"/>
        <v>1</v>
      </c>
      <c r="M1295" s="46">
        <f t="shared" si="301"/>
        <v>0.33333333333333331</v>
      </c>
      <c r="N1295" s="45">
        <f t="shared" si="302"/>
        <v>165912</v>
      </c>
      <c r="O1295" s="45">
        <f t="shared" si="303"/>
        <v>55304</v>
      </c>
      <c r="P1295" s="46">
        <f t="shared" si="304"/>
        <v>1.111111111111111E-2</v>
      </c>
      <c r="Q1295" s="46"/>
      <c r="R1295" s="45">
        <f t="shared" si="305"/>
        <v>0</v>
      </c>
      <c r="S1295" s="46">
        <f t="shared" si="306"/>
        <v>0</v>
      </c>
      <c r="T1295" s="46">
        <f>IFERROR(VLOOKUP(A1295,'[1]Re-order'!$A:$Q,17,0),"")</f>
        <v>10.588235294117649</v>
      </c>
      <c r="U1295" s="46">
        <f>IFERROR(VLOOKUP(A1295,'[1]MC Masterlist 2026-09-12'!$B:$M, 10, 0),0)</f>
        <v>15</v>
      </c>
      <c r="V1295" s="46">
        <f>IFERROR(VLOOKUP(A1295,'[1]MC Masterlist 2026-09-12'!$B:$M, 11, 0),0)</f>
        <v>15</v>
      </c>
      <c r="W1295" s="46">
        <f t="shared" si="307"/>
        <v>30</v>
      </c>
      <c r="X1295" s="46">
        <f t="shared" si="308"/>
        <v>29.833333333333332</v>
      </c>
      <c r="Y1295" s="46">
        <f>IFERROR(IF(OR(C1295="AREA I",C1295="AREA V"),7,VLOOKUP(A1295,'[1]MC Masterlist 2026-09-12'!$B:$M, 12, 0)),0)</f>
        <v>30</v>
      </c>
      <c r="Z1295" s="46">
        <f t="shared" si="309"/>
        <v>0.16666666666666666</v>
      </c>
      <c r="AA1295" s="46">
        <f t="shared" si="310"/>
        <v>0.33333333333333331</v>
      </c>
      <c r="AB1295" s="46">
        <f t="shared" si="311"/>
        <v>0.33148148148148143</v>
      </c>
      <c r="AC1295" s="46">
        <f t="shared" si="312"/>
        <v>0.33333333333333331</v>
      </c>
      <c r="AD1295" s="44" t="str">
        <f t="shared" si="313"/>
        <v>Stockout</v>
      </c>
      <c r="AE1295" s="44" t="str">
        <f>IFERROR(VLOOKUP(A1295,'[1]Re-order'!$A:$AA,27,0),"")</f>
        <v>Stockout</v>
      </c>
      <c r="AF1295" s="46">
        <f t="shared" si="314"/>
        <v>0.33333333333333331</v>
      </c>
      <c r="AG1295" s="46">
        <f>SUMIFS('[1]Raw Inventory'!D:D,'[1]Raw Inventory'!C:C,"GREATWALL",'[1]Raw Inventory'!B:B,A1295)</f>
        <v>0</v>
      </c>
      <c r="AH1295" s="46">
        <f>SUMIFS('[1]Raw Inventory'!D:D,'[1]Raw Inventory'!C:C,"DUARTE",'[1]Raw Inventory'!B:B,A1295)</f>
        <v>0</v>
      </c>
      <c r="AI1295" s="46"/>
      <c r="AJ1295" s="46"/>
      <c r="AK1295" s="43"/>
      <c r="AL1295" s="43"/>
      <c r="AM1295" s="43"/>
      <c r="AN1295" s="43"/>
      <c r="AO1295" s="43"/>
      <c r="AP1295" s="43"/>
      <c r="AQ1295" s="43"/>
      <c r="AR1295" s="43"/>
      <c r="AS1295" s="43"/>
      <c r="AT1295" s="43"/>
    </row>
    <row r="1296" spans="1:46">
      <c r="A1296" s="43" t="s">
        <v>50</v>
      </c>
      <c r="B1296" s="43" t="s">
        <v>21</v>
      </c>
      <c r="C1296" s="43" t="s">
        <v>1</v>
      </c>
      <c r="D1296" s="44" t="s">
        <v>253</v>
      </c>
      <c r="E1296" s="44">
        <v>28</v>
      </c>
      <c r="F1296" s="44" t="s">
        <v>3</v>
      </c>
      <c r="G1296" s="43" t="str">
        <f>IFERROR(VLOOKUP(A1296,'[1]MC Masterlist 2026-09-12'!$B:$M, 3, 0),"")</f>
        <v>YAMAHA</v>
      </c>
      <c r="H1296" s="45">
        <f>IFERROR(VLOOKUP(A1296,'[1]MC Masterlist 2026-09-12'!$B:$M, 6, 0),"")</f>
        <v>78957</v>
      </c>
      <c r="I1296" s="46">
        <v>0</v>
      </c>
      <c r="J1296" s="46">
        <v>0</v>
      </c>
      <c r="K1296" s="46">
        <v>0</v>
      </c>
      <c r="L1296" s="46">
        <f t="shared" si="300"/>
        <v>0</v>
      </c>
      <c r="M1296" s="46">
        <f t="shared" si="301"/>
        <v>0</v>
      </c>
      <c r="N1296" s="45">
        <f t="shared" si="302"/>
        <v>0</v>
      </c>
      <c r="O1296" s="45">
        <f t="shared" si="303"/>
        <v>0</v>
      </c>
      <c r="P1296" s="46">
        <f t="shared" si="304"/>
        <v>0</v>
      </c>
      <c r="Q1296" s="46">
        <v>4</v>
      </c>
      <c r="R1296" s="45">
        <f t="shared" si="305"/>
        <v>315828</v>
      </c>
      <c r="S1296" s="46">
        <f t="shared" si="306"/>
        <v>0</v>
      </c>
      <c r="T1296" s="46">
        <f>IFERROR(VLOOKUP(A1296,'[1]Re-order'!$A:$Q,17,0),"")</f>
        <v>118.125</v>
      </c>
      <c r="U1296" s="46">
        <f>IFERROR(VLOOKUP(A1296,'[1]MC Masterlist 2026-09-12'!$B:$M, 10, 0),0)</f>
        <v>15</v>
      </c>
      <c r="V1296" s="46">
        <f>IFERROR(VLOOKUP(A1296,'[1]MC Masterlist 2026-09-12'!$B:$M, 11, 0),0)</f>
        <v>15</v>
      </c>
      <c r="W1296" s="46">
        <f t="shared" si="307"/>
        <v>30</v>
      </c>
      <c r="X1296" s="46">
        <f t="shared" si="308"/>
        <v>7</v>
      </c>
      <c r="Y1296" s="46">
        <f>IFERROR(IF(OR(C1296="AREA I",C1296="AREA V"),7,VLOOKUP(A1296,'[1]MC Masterlist 2026-09-12'!$B:$M, 12, 0)),0)</f>
        <v>7</v>
      </c>
      <c r="Z1296" s="46">
        <f t="shared" si="309"/>
        <v>0</v>
      </c>
      <c r="AA1296" s="46">
        <f t="shared" si="310"/>
        <v>0</v>
      </c>
      <c r="AB1296" s="46">
        <f t="shared" si="311"/>
        <v>0</v>
      </c>
      <c r="AC1296" s="46">
        <f t="shared" si="312"/>
        <v>0</v>
      </c>
      <c r="AD1296" s="44" t="str">
        <f t="shared" si="313"/>
        <v>Over</v>
      </c>
      <c r="AE1296" s="44" t="str">
        <f>IFERROR(VLOOKUP(A1296,'[1]Re-order'!$A:$AA,27,0),"")</f>
        <v>Over</v>
      </c>
      <c r="AF1296" s="46">
        <f t="shared" si="314"/>
        <v>-4</v>
      </c>
      <c r="AG1296" s="46">
        <f>SUMIFS('[1]Raw Inventory'!D:D,'[1]Raw Inventory'!C:C,"GREATWALL",'[1]Raw Inventory'!B:B,A1296)</f>
        <v>23</v>
      </c>
      <c r="AH1296" s="46">
        <f>SUMIFS('[1]Raw Inventory'!D:D,'[1]Raw Inventory'!C:C,"DUARTE",'[1]Raw Inventory'!B:B,A1296)</f>
        <v>0</v>
      </c>
      <c r="AI1296" s="46"/>
      <c r="AJ1296" s="46"/>
      <c r="AK1296" s="43"/>
      <c r="AL1296" s="43"/>
      <c r="AM1296" s="43"/>
      <c r="AN1296" s="43"/>
      <c r="AO1296" s="43"/>
      <c r="AP1296" s="43"/>
      <c r="AQ1296" s="43"/>
      <c r="AR1296" s="43"/>
      <c r="AS1296" s="43"/>
      <c r="AT1296" s="43"/>
    </row>
    <row r="1297" spans="1:46">
      <c r="A1297" s="43" t="s">
        <v>12</v>
      </c>
      <c r="B1297" s="43" t="s">
        <v>144</v>
      </c>
      <c r="C1297" s="43" t="s">
        <v>137</v>
      </c>
      <c r="D1297" s="44" t="s">
        <v>238</v>
      </c>
      <c r="E1297" s="44">
        <v>2</v>
      </c>
      <c r="F1297" s="44" t="s">
        <v>0</v>
      </c>
      <c r="G1297" s="43" t="str">
        <f>IFERROR(VLOOKUP(A1297,'[1]MC Masterlist 2026-09-12'!$B:$M, 3, 0),"")</f>
        <v>HONDA</v>
      </c>
      <c r="H1297" s="45">
        <f>IFERROR(VLOOKUP(A1297,'[1]MC Masterlist 2026-09-12'!$B:$M, 6, 0),"")</f>
        <v>158270</v>
      </c>
      <c r="I1297" s="46">
        <v>5</v>
      </c>
      <c r="J1297" s="46">
        <v>12</v>
      </c>
      <c r="K1297" s="46">
        <v>4</v>
      </c>
      <c r="L1297" s="46">
        <f t="shared" si="300"/>
        <v>21</v>
      </c>
      <c r="M1297" s="46">
        <f t="shared" si="301"/>
        <v>7</v>
      </c>
      <c r="N1297" s="45">
        <f t="shared" si="302"/>
        <v>3323670</v>
      </c>
      <c r="O1297" s="45">
        <f t="shared" si="303"/>
        <v>1107890</v>
      </c>
      <c r="P1297" s="46">
        <f t="shared" si="304"/>
        <v>0.23333333333333334</v>
      </c>
      <c r="Q1297" s="46">
        <v>4</v>
      </c>
      <c r="R1297" s="45">
        <f t="shared" si="305"/>
        <v>633080</v>
      </c>
      <c r="S1297" s="46">
        <f t="shared" si="306"/>
        <v>17.142857142857142</v>
      </c>
      <c r="T1297" s="46">
        <f>IFERROR(VLOOKUP(A1297,'[1]Re-order'!$A:$Q,17,0),"")</f>
        <v>46.461038961038959</v>
      </c>
      <c r="U1297" s="46">
        <f>IFERROR(VLOOKUP(A1297,'[1]MC Masterlist 2026-09-12'!$B:$M, 10, 0),0)</f>
        <v>15</v>
      </c>
      <c r="V1297" s="46">
        <f>IFERROR(VLOOKUP(A1297,'[1]MC Masterlist 2026-09-12'!$B:$M, 11, 0),0)</f>
        <v>15</v>
      </c>
      <c r="W1297" s="46">
        <f t="shared" si="307"/>
        <v>30</v>
      </c>
      <c r="X1297" s="46">
        <f t="shared" si="308"/>
        <v>3.5</v>
      </c>
      <c r="Y1297" s="46">
        <f>IFERROR(IF(OR(C1297="AREA I",C1297="AREA V"),7,VLOOKUP(A1297,'[1]MC Masterlist 2026-09-12'!$B:$M, 12, 0)),0)</f>
        <v>7</v>
      </c>
      <c r="Z1297" s="46">
        <f t="shared" si="309"/>
        <v>3.5</v>
      </c>
      <c r="AA1297" s="46">
        <f t="shared" si="310"/>
        <v>7</v>
      </c>
      <c r="AB1297" s="46">
        <f t="shared" si="311"/>
        <v>0.81666666666666665</v>
      </c>
      <c r="AC1297" s="46">
        <f t="shared" si="312"/>
        <v>1.6333333333333333</v>
      </c>
      <c r="AD1297" s="44" t="str">
        <f t="shared" si="313"/>
        <v>Over</v>
      </c>
      <c r="AE1297" s="44" t="str">
        <f>IFERROR(VLOOKUP(A1297,'[1]Re-order'!$A:$AA,27,0),"")</f>
        <v>Re-order</v>
      </c>
      <c r="AF1297" s="46">
        <f t="shared" si="314"/>
        <v>-2.3666666666666667</v>
      </c>
      <c r="AG1297" s="46">
        <f>SUMIFS('[1]Raw Inventory'!D:D,'[1]Raw Inventory'!C:C,"GREATWALL",'[1]Raw Inventory'!B:B,A1297)</f>
        <v>35</v>
      </c>
      <c r="AH1297" s="46">
        <f>SUMIFS('[1]Raw Inventory'!D:D,'[1]Raw Inventory'!C:C,"DUARTE",'[1]Raw Inventory'!B:B,A1297)</f>
        <v>0</v>
      </c>
      <c r="AI1297" s="46"/>
      <c r="AJ1297" s="46"/>
      <c r="AK1297" s="43"/>
      <c r="AL1297" s="43"/>
      <c r="AM1297" s="43"/>
      <c r="AN1297" s="43"/>
      <c r="AO1297" s="43"/>
      <c r="AP1297" s="43"/>
      <c r="AQ1297" s="43"/>
      <c r="AR1297" s="43"/>
      <c r="AS1297" s="43"/>
      <c r="AT1297" s="43"/>
    </row>
    <row r="1298" spans="1:46">
      <c r="A1298" s="43" t="s">
        <v>76</v>
      </c>
      <c r="B1298" s="43" t="s">
        <v>132</v>
      </c>
      <c r="C1298" s="43" t="s">
        <v>128</v>
      </c>
      <c r="D1298" s="44" t="s">
        <v>235</v>
      </c>
      <c r="E1298" s="44">
        <v>27</v>
      </c>
      <c r="F1298" s="44" t="s">
        <v>3</v>
      </c>
      <c r="G1298" s="43" t="str">
        <f>IFERROR(VLOOKUP(A1298,'[1]MC Masterlist 2026-09-12'!$B:$M, 3, 0),"")</f>
        <v>SUZUKI</v>
      </c>
      <c r="H1298" s="45">
        <f>IFERROR(VLOOKUP(A1298,'[1]MC Masterlist 2026-09-12'!$B:$M, 6, 0),"")</f>
        <v>62692</v>
      </c>
      <c r="I1298" s="46">
        <v>0</v>
      </c>
      <c r="J1298" s="46">
        <v>1</v>
      </c>
      <c r="K1298" s="46">
        <v>0</v>
      </c>
      <c r="L1298" s="46">
        <f t="shared" si="300"/>
        <v>1</v>
      </c>
      <c r="M1298" s="46">
        <f t="shared" si="301"/>
        <v>0.33333333333333331</v>
      </c>
      <c r="N1298" s="45">
        <f t="shared" si="302"/>
        <v>62692</v>
      </c>
      <c r="O1298" s="45">
        <f t="shared" si="303"/>
        <v>20897.333333333332</v>
      </c>
      <c r="P1298" s="46">
        <f t="shared" si="304"/>
        <v>1.111111111111111E-2</v>
      </c>
      <c r="Q1298" s="46"/>
      <c r="R1298" s="45">
        <f t="shared" si="305"/>
        <v>0</v>
      </c>
      <c r="S1298" s="46">
        <f t="shared" si="306"/>
        <v>0</v>
      </c>
      <c r="T1298" s="46">
        <f>IFERROR(VLOOKUP(A1298,'[1]Re-order'!$A:$Q,17,0),"")</f>
        <v>106.36363636363636</v>
      </c>
      <c r="U1298" s="46">
        <f>IFERROR(VLOOKUP(A1298,'[1]MC Masterlist 2026-09-12'!$B:$M, 10, 0),0)</f>
        <v>15</v>
      </c>
      <c r="V1298" s="46">
        <f>IFERROR(VLOOKUP(A1298,'[1]MC Masterlist 2026-09-12'!$B:$M, 11, 0),0)</f>
        <v>15</v>
      </c>
      <c r="W1298" s="46">
        <f t="shared" si="307"/>
        <v>30</v>
      </c>
      <c r="X1298" s="46">
        <f t="shared" si="308"/>
        <v>29.833333333333332</v>
      </c>
      <c r="Y1298" s="46">
        <f>IFERROR(IF(OR(C1298="AREA I",C1298="AREA V"),7,VLOOKUP(A1298,'[1]MC Masterlist 2026-09-12'!$B:$M, 12, 0)),0)</f>
        <v>30</v>
      </c>
      <c r="Z1298" s="46">
        <f t="shared" si="309"/>
        <v>0.16666666666666666</v>
      </c>
      <c r="AA1298" s="46">
        <f t="shared" si="310"/>
        <v>0.33333333333333331</v>
      </c>
      <c r="AB1298" s="46">
        <f t="shared" si="311"/>
        <v>0.33148148148148143</v>
      </c>
      <c r="AC1298" s="46">
        <f t="shared" si="312"/>
        <v>0.33333333333333331</v>
      </c>
      <c r="AD1298" s="44" t="str">
        <f t="shared" si="313"/>
        <v>Stockout</v>
      </c>
      <c r="AE1298" s="44" t="str">
        <f>IFERROR(VLOOKUP(A1298,'[1]Re-order'!$A:$AA,27,0),"")</f>
        <v>Over</v>
      </c>
      <c r="AF1298" s="46">
        <f t="shared" si="314"/>
        <v>0.33333333333333331</v>
      </c>
      <c r="AG1298" s="46">
        <f>SUMIFS('[1]Raw Inventory'!D:D,'[1]Raw Inventory'!C:C,"GREATWALL",'[1]Raw Inventory'!B:B,A1298)</f>
        <v>1</v>
      </c>
      <c r="AH1298" s="46">
        <f>SUMIFS('[1]Raw Inventory'!D:D,'[1]Raw Inventory'!C:C,"DUARTE",'[1]Raw Inventory'!B:B,A1298)</f>
        <v>0</v>
      </c>
      <c r="AI1298" s="46"/>
      <c r="AJ1298" s="46"/>
      <c r="AK1298" s="43"/>
      <c r="AL1298" s="43"/>
      <c r="AM1298" s="43"/>
      <c r="AN1298" s="43"/>
      <c r="AO1298" s="43"/>
      <c r="AP1298" s="43"/>
      <c r="AQ1298" s="43"/>
      <c r="AR1298" s="43"/>
      <c r="AS1298" s="43"/>
      <c r="AT1298" s="43"/>
    </row>
    <row r="1299" spans="1:46">
      <c r="A1299" s="43" t="s">
        <v>42</v>
      </c>
      <c r="B1299" s="43" t="s">
        <v>144</v>
      </c>
      <c r="C1299" s="43" t="s">
        <v>137</v>
      </c>
      <c r="D1299" s="44" t="s">
        <v>246</v>
      </c>
      <c r="E1299" s="44">
        <v>13</v>
      </c>
      <c r="F1299" s="44" t="s">
        <v>2</v>
      </c>
      <c r="G1299" s="43" t="str">
        <f>IFERROR(VLOOKUP(A1299,'[1]MC Masterlist 2026-09-12'!$B:$M, 3, 0),"")</f>
        <v>YAMAHA</v>
      </c>
      <c r="H1299" s="45">
        <f>IFERROR(VLOOKUP(A1299,'[1]MC Masterlist 2026-09-12'!$B:$M, 6, 0),"")</f>
        <v>152892</v>
      </c>
      <c r="I1299" s="46">
        <v>0</v>
      </c>
      <c r="J1299" s="46">
        <v>3</v>
      </c>
      <c r="K1299" s="46">
        <v>1</v>
      </c>
      <c r="L1299" s="46">
        <f t="shared" si="300"/>
        <v>4</v>
      </c>
      <c r="M1299" s="46">
        <f t="shared" si="301"/>
        <v>1.3333333333333333</v>
      </c>
      <c r="N1299" s="45">
        <f t="shared" si="302"/>
        <v>611568</v>
      </c>
      <c r="O1299" s="45">
        <f t="shared" si="303"/>
        <v>203856</v>
      </c>
      <c r="P1299" s="46">
        <f t="shared" si="304"/>
        <v>4.4444444444444439E-2</v>
      </c>
      <c r="Q1299" s="46">
        <v>1</v>
      </c>
      <c r="R1299" s="45">
        <f t="shared" si="305"/>
        <v>152892</v>
      </c>
      <c r="S1299" s="46">
        <f t="shared" si="306"/>
        <v>22.5</v>
      </c>
      <c r="T1299" s="46">
        <f>IFERROR(VLOOKUP(A1299,'[1]Re-order'!$A:$Q,17,0),"")</f>
        <v>104.55882352941177</v>
      </c>
      <c r="U1299" s="46">
        <f>IFERROR(VLOOKUP(A1299,'[1]MC Masterlist 2026-09-12'!$B:$M, 10, 0),0)</f>
        <v>15</v>
      </c>
      <c r="V1299" s="46">
        <f>IFERROR(VLOOKUP(A1299,'[1]MC Masterlist 2026-09-12'!$B:$M, 11, 0),0)</f>
        <v>15</v>
      </c>
      <c r="W1299" s="46">
        <f t="shared" si="307"/>
        <v>30</v>
      </c>
      <c r="X1299" s="46">
        <f t="shared" si="308"/>
        <v>6.333333333333333</v>
      </c>
      <c r="Y1299" s="46">
        <f>IFERROR(IF(OR(C1299="AREA I",C1299="AREA V"),7,VLOOKUP(A1299,'[1]MC Masterlist 2026-09-12'!$B:$M, 12, 0)),0)</f>
        <v>7</v>
      </c>
      <c r="Z1299" s="46">
        <f t="shared" si="309"/>
        <v>0.66666666666666663</v>
      </c>
      <c r="AA1299" s="46">
        <f t="shared" si="310"/>
        <v>1.3333333333333333</v>
      </c>
      <c r="AB1299" s="46">
        <f t="shared" si="311"/>
        <v>0.28148148148148144</v>
      </c>
      <c r="AC1299" s="46">
        <f t="shared" si="312"/>
        <v>0.31111111111111106</v>
      </c>
      <c r="AD1299" s="44" t="str">
        <f t="shared" si="313"/>
        <v>Over</v>
      </c>
      <c r="AE1299" s="44" t="str">
        <f>IFERROR(VLOOKUP(A1299,'[1]Re-order'!$A:$AA,27,0),"")</f>
        <v>Over</v>
      </c>
      <c r="AF1299" s="46">
        <f t="shared" si="314"/>
        <v>-0.68888888888888888</v>
      </c>
      <c r="AG1299" s="46">
        <f>SUMIFS('[1]Raw Inventory'!D:D,'[1]Raw Inventory'!C:C,"GREATWALL",'[1]Raw Inventory'!B:B,A1299)</f>
        <v>3</v>
      </c>
      <c r="AH1299" s="46">
        <f>SUMIFS('[1]Raw Inventory'!D:D,'[1]Raw Inventory'!C:C,"DUARTE",'[1]Raw Inventory'!B:B,A1299)</f>
        <v>0</v>
      </c>
      <c r="AI1299" s="46"/>
      <c r="AJ1299" s="46"/>
      <c r="AK1299" s="43"/>
      <c r="AL1299" s="43"/>
      <c r="AM1299" s="43"/>
      <c r="AN1299" s="43"/>
      <c r="AO1299" s="43"/>
      <c r="AP1299" s="43"/>
      <c r="AQ1299" s="43"/>
      <c r="AR1299" s="43"/>
      <c r="AS1299" s="43"/>
      <c r="AT1299" s="43"/>
    </row>
    <row r="1300" spans="1:46">
      <c r="A1300" s="43" t="s">
        <v>66</v>
      </c>
      <c r="B1300" s="43" t="s">
        <v>141</v>
      </c>
      <c r="C1300" s="43" t="s">
        <v>137</v>
      </c>
      <c r="D1300" s="44" t="s">
        <v>273</v>
      </c>
      <c r="E1300" s="44">
        <v>28</v>
      </c>
      <c r="F1300" s="44" t="s">
        <v>3</v>
      </c>
      <c r="G1300" s="43" t="str">
        <f>IFERROR(VLOOKUP(A1300,'[1]MC Masterlist 2026-09-12'!$B:$M, 3, 0),"")</f>
        <v>KAWASAKI</v>
      </c>
      <c r="H1300" s="45">
        <f>IFERROR(VLOOKUP(A1300,'[1]MC Masterlist 2026-09-12'!$B:$M, 6, 0),"")</f>
        <v>95530</v>
      </c>
      <c r="I1300" s="46">
        <v>0</v>
      </c>
      <c r="J1300" s="46">
        <v>0</v>
      </c>
      <c r="K1300" s="46">
        <v>0</v>
      </c>
      <c r="L1300" s="46">
        <f t="shared" si="300"/>
        <v>0</v>
      </c>
      <c r="M1300" s="46">
        <f t="shared" si="301"/>
        <v>0</v>
      </c>
      <c r="N1300" s="45">
        <f t="shared" si="302"/>
        <v>0</v>
      </c>
      <c r="O1300" s="45">
        <f t="shared" si="303"/>
        <v>0</v>
      </c>
      <c r="P1300" s="46">
        <f t="shared" si="304"/>
        <v>0</v>
      </c>
      <c r="Q1300" s="46">
        <v>1</v>
      </c>
      <c r="R1300" s="45">
        <f t="shared" si="305"/>
        <v>95530</v>
      </c>
      <c r="S1300" s="46">
        <f t="shared" si="306"/>
        <v>0</v>
      </c>
      <c r="T1300" s="46">
        <f>IFERROR(VLOOKUP(A1300,'[1]Re-order'!$A:$Q,17,0),"")</f>
        <v>112.7848101265823</v>
      </c>
      <c r="U1300" s="46">
        <f>IFERROR(VLOOKUP(A1300,'[1]MC Masterlist 2026-09-12'!$B:$M, 10, 0),0)</f>
        <v>15</v>
      </c>
      <c r="V1300" s="46">
        <f>IFERROR(VLOOKUP(A1300,'[1]MC Masterlist 2026-09-12'!$B:$M, 11, 0),0)</f>
        <v>15</v>
      </c>
      <c r="W1300" s="46">
        <f t="shared" si="307"/>
        <v>30</v>
      </c>
      <c r="X1300" s="46">
        <f t="shared" si="308"/>
        <v>7</v>
      </c>
      <c r="Y1300" s="46">
        <f>IFERROR(IF(OR(C1300="AREA I",C1300="AREA V"),7,VLOOKUP(A1300,'[1]MC Masterlist 2026-09-12'!$B:$M, 12, 0)),0)</f>
        <v>7</v>
      </c>
      <c r="Z1300" s="46">
        <f t="shared" si="309"/>
        <v>0</v>
      </c>
      <c r="AA1300" s="46">
        <f t="shared" si="310"/>
        <v>0</v>
      </c>
      <c r="AB1300" s="46">
        <f t="shared" si="311"/>
        <v>0</v>
      </c>
      <c r="AC1300" s="46">
        <f t="shared" si="312"/>
        <v>0</v>
      </c>
      <c r="AD1300" s="44" t="str">
        <f t="shared" si="313"/>
        <v>Over</v>
      </c>
      <c r="AE1300" s="44" t="str">
        <f>IFERROR(VLOOKUP(A1300,'[1]Re-order'!$A:$AA,27,0),"")</f>
        <v>Over</v>
      </c>
      <c r="AF1300" s="46">
        <f t="shared" si="314"/>
        <v>-1</v>
      </c>
      <c r="AG1300" s="46">
        <f>SUMIFS('[1]Raw Inventory'!D:D,'[1]Raw Inventory'!C:C,"GREATWALL",'[1]Raw Inventory'!B:B,A1300)</f>
        <v>64</v>
      </c>
      <c r="AH1300" s="46">
        <f>SUMIFS('[1]Raw Inventory'!D:D,'[1]Raw Inventory'!C:C,"DUARTE",'[1]Raw Inventory'!B:B,A1300)</f>
        <v>0</v>
      </c>
      <c r="AI1300" s="46"/>
      <c r="AJ1300" s="46"/>
      <c r="AK1300" s="43"/>
      <c r="AL1300" s="43"/>
      <c r="AM1300" s="43"/>
      <c r="AN1300" s="43"/>
      <c r="AO1300" s="43"/>
      <c r="AP1300" s="43"/>
      <c r="AQ1300" s="43"/>
      <c r="AR1300" s="43"/>
      <c r="AS1300" s="43"/>
      <c r="AT1300" s="43"/>
    </row>
    <row r="1301" spans="1:46">
      <c r="A1301" s="43" t="s">
        <v>75</v>
      </c>
      <c r="B1301" s="43" t="s">
        <v>111</v>
      </c>
      <c r="C1301" s="43" t="s">
        <v>109</v>
      </c>
      <c r="D1301" s="44" t="s">
        <v>226</v>
      </c>
      <c r="E1301" s="44">
        <v>29</v>
      </c>
      <c r="F1301" s="44" t="s">
        <v>3</v>
      </c>
      <c r="G1301" s="43" t="str">
        <f>IFERROR(VLOOKUP(A1301,'[1]MC Masterlist 2026-09-12'!$B:$M, 3, 0),"")</f>
        <v>SUZUKI</v>
      </c>
      <c r="H1301" s="45">
        <f>IFERROR(VLOOKUP(A1301,'[1]MC Masterlist 2026-09-12'!$B:$M, 6, 0),"")</f>
        <v>138952</v>
      </c>
      <c r="I1301" s="46">
        <v>0</v>
      </c>
      <c r="J1301" s="46">
        <v>0</v>
      </c>
      <c r="K1301" s="46">
        <v>0</v>
      </c>
      <c r="L1301" s="46">
        <f t="shared" si="300"/>
        <v>0</v>
      </c>
      <c r="M1301" s="46">
        <f t="shared" si="301"/>
        <v>0</v>
      </c>
      <c r="N1301" s="45">
        <f t="shared" si="302"/>
        <v>0</v>
      </c>
      <c r="O1301" s="45">
        <f t="shared" si="303"/>
        <v>0</v>
      </c>
      <c r="P1301" s="46">
        <f t="shared" si="304"/>
        <v>0</v>
      </c>
      <c r="Q1301" s="46">
        <v>1</v>
      </c>
      <c r="R1301" s="45">
        <f t="shared" si="305"/>
        <v>138952</v>
      </c>
      <c r="S1301" s="46">
        <f t="shared" si="306"/>
        <v>0</v>
      </c>
      <c r="T1301" s="46">
        <f>IFERROR(VLOOKUP(A1301,'[1]Re-order'!$A:$Q,17,0),"")</f>
        <v>855.00000000000011</v>
      </c>
      <c r="U1301" s="46">
        <f>IFERROR(VLOOKUP(A1301,'[1]MC Masterlist 2026-09-12'!$B:$M, 10, 0),0)</f>
        <v>15</v>
      </c>
      <c r="V1301" s="46">
        <f>IFERROR(VLOOKUP(A1301,'[1]MC Masterlist 2026-09-12'!$B:$M, 11, 0),0)</f>
        <v>15</v>
      </c>
      <c r="W1301" s="46">
        <f t="shared" si="307"/>
        <v>30</v>
      </c>
      <c r="X1301" s="46">
        <f t="shared" si="308"/>
        <v>30</v>
      </c>
      <c r="Y1301" s="46">
        <f>IFERROR(IF(OR(C1301="AREA I",C1301="AREA V"),7,VLOOKUP(A1301,'[1]MC Masterlist 2026-09-12'!$B:$M, 12, 0)),0)</f>
        <v>30</v>
      </c>
      <c r="Z1301" s="46">
        <f t="shared" si="309"/>
        <v>0</v>
      </c>
      <c r="AA1301" s="46">
        <f t="shared" si="310"/>
        <v>0</v>
      </c>
      <c r="AB1301" s="46">
        <f t="shared" si="311"/>
        <v>0</v>
      </c>
      <c r="AC1301" s="46">
        <f t="shared" si="312"/>
        <v>0</v>
      </c>
      <c r="AD1301" s="44" t="str">
        <f t="shared" si="313"/>
        <v>Over</v>
      </c>
      <c r="AE1301" s="44" t="str">
        <f>IFERROR(VLOOKUP(A1301,'[1]Re-order'!$A:$AA,27,0),"")</f>
        <v>Over</v>
      </c>
      <c r="AF1301" s="46">
        <f t="shared" si="314"/>
        <v>-1</v>
      </c>
      <c r="AG1301" s="46">
        <f>SUMIFS('[1]Raw Inventory'!D:D,'[1]Raw Inventory'!C:C,"GREATWALL",'[1]Raw Inventory'!B:B,A1301)</f>
        <v>8</v>
      </c>
      <c r="AH1301" s="46">
        <f>SUMIFS('[1]Raw Inventory'!D:D,'[1]Raw Inventory'!C:C,"DUARTE",'[1]Raw Inventory'!B:B,A1301)</f>
        <v>0</v>
      </c>
      <c r="AI1301" s="46"/>
      <c r="AJ1301" s="46"/>
      <c r="AK1301" s="43"/>
      <c r="AL1301" s="43"/>
      <c r="AM1301" s="43"/>
      <c r="AN1301" s="43"/>
      <c r="AO1301" s="43"/>
      <c r="AP1301" s="43"/>
      <c r="AQ1301" s="43"/>
      <c r="AR1301" s="43"/>
      <c r="AS1301" s="43"/>
      <c r="AT1301" s="43"/>
    </row>
    <row r="1302" spans="1:46">
      <c r="A1302" s="43" t="s">
        <v>22</v>
      </c>
      <c r="B1302" s="43" t="s">
        <v>138</v>
      </c>
      <c r="C1302" s="43" t="s">
        <v>137</v>
      </c>
      <c r="D1302" s="44" t="s">
        <v>259</v>
      </c>
      <c r="E1302" s="44">
        <v>5</v>
      </c>
      <c r="F1302" s="44" t="s">
        <v>0</v>
      </c>
      <c r="G1302" s="43" t="str">
        <f>IFERROR(VLOOKUP(A1302,'[1]MC Masterlist 2026-09-12'!$B:$M, 3, 0),"")</f>
        <v>HONDA</v>
      </c>
      <c r="H1302" s="45">
        <f>IFERROR(VLOOKUP(A1302,'[1]MC Masterlist 2026-09-12'!$B:$M, 6, 0),"")</f>
        <v>111258</v>
      </c>
      <c r="I1302" s="46">
        <v>0</v>
      </c>
      <c r="J1302" s="46">
        <v>0</v>
      </c>
      <c r="K1302" s="46">
        <v>0</v>
      </c>
      <c r="L1302" s="46">
        <f t="shared" si="300"/>
        <v>0</v>
      </c>
      <c r="M1302" s="46">
        <f t="shared" si="301"/>
        <v>0</v>
      </c>
      <c r="N1302" s="45">
        <f t="shared" si="302"/>
        <v>0</v>
      </c>
      <c r="O1302" s="45">
        <f t="shared" si="303"/>
        <v>0</v>
      </c>
      <c r="P1302" s="46">
        <f t="shared" si="304"/>
        <v>0</v>
      </c>
      <c r="Q1302" s="46">
        <v>4</v>
      </c>
      <c r="R1302" s="45">
        <f t="shared" si="305"/>
        <v>445032</v>
      </c>
      <c r="S1302" s="46">
        <f t="shared" si="306"/>
        <v>0</v>
      </c>
      <c r="T1302" s="46">
        <f>IFERROR(VLOOKUP(A1302,'[1]Re-order'!$A:$Q,17,0),"")</f>
        <v>41.339712918660283</v>
      </c>
      <c r="U1302" s="46">
        <f>IFERROR(VLOOKUP(A1302,'[1]MC Masterlist 2026-09-12'!$B:$M, 10, 0),0)</f>
        <v>15</v>
      </c>
      <c r="V1302" s="46">
        <f>IFERROR(VLOOKUP(A1302,'[1]MC Masterlist 2026-09-12'!$B:$M, 11, 0),0)</f>
        <v>15</v>
      </c>
      <c r="W1302" s="46">
        <f t="shared" si="307"/>
        <v>30</v>
      </c>
      <c r="X1302" s="46">
        <f t="shared" si="308"/>
        <v>7</v>
      </c>
      <c r="Y1302" s="46">
        <f>IFERROR(IF(OR(C1302="AREA I",C1302="AREA V"),7,VLOOKUP(A1302,'[1]MC Masterlist 2026-09-12'!$B:$M, 12, 0)),0)</f>
        <v>7</v>
      </c>
      <c r="Z1302" s="46">
        <f t="shared" si="309"/>
        <v>0</v>
      </c>
      <c r="AA1302" s="46">
        <f t="shared" si="310"/>
        <v>0</v>
      </c>
      <c r="AB1302" s="46">
        <f t="shared" si="311"/>
        <v>0</v>
      </c>
      <c r="AC1302" s="46">
        <f t="shared" si="312"/>
        <v>0</v>
      </c>
      <c r="AD1302" s="44" t="str">
        <f t="shared" si="313"/>
        <v>Over</v>
      </c>
      <c r="AE1302" s="44" t="str">
        <f>IFERROR(VLOOKUP(A1302,'[1]Re-order'!$A:$AA,27,0),"")</f>
        <v>Re-order</v>
      </c>
      <c r="AF1302" s="46">
        <f t="shared" si="314"/>
        <v>-4</v>
      </c>
      <c r="AG1302" s="46">
        <f>SUMIFS('[1]Raw Inventory'!D:D,'[1]Raw Inventory'!C:C,"GREATWALL",'[1]Raw Inventory'!B:B,A1302)</f>
        <v>4</v>
      </c>
      <c r="AH1302" s="46">
        <f>SUMIFS('[1]Raw Inventory'!D:D,'[1]Raw Inventory'!C:C,"DUARTE",'[1]Raw Inventory'!B:B,A1302)</f>
        <v>0</v>
      </c>
      <c r="AI1302" s="46"/>
      <c r="AJ1302" s="46"/>
      <c r="AK1302" s="43"/>
      <c r="AL1302" s="43"/>
      <c r="AM1302" s="43"/>
      <c r="AN1302" s="43"/>
      <c r="AO1302" s="43"/>
      <c r="AP1302" s="43"/>
      <c r="AQ1302" s="43"/>
      <c r="AR1302" s="43"/>
      <c r="AS1302" s="43"/>
      <c r="AT1302" s="43"/>
    </row>
    <row r="1303" spans="1:46">
      <c r="A1303" s="43" t="s">
        <v>17</v>
      </c>
      <c r="B1303" s="43" t="s">
        <v>144</v>
      </c>
      <c r="C1303" s="43" t="s">
        <v>137</v>
      </c>
      <c r="D1303" s="44" t="s">
        <v>225</v>
      </c>
      <c r="E1303" s="44">
        <v>3</v>
      </c>
      <c r="F1303" s="44" t="s">
        <v>0</v>
      </c>
      <c r="G1303" s="43" t="str">
        <f>IFERROR(VLOOKUP(A1303,'[1]MC Masterlist 2026-09-12'!$B:$M, 3, 0),"")</f>
        <v>HONDA</v>
      </c>
      <c r="H1303" s="45">
        <f>IFERROR(VLOOKUP(A1303,'[1]MC Masterlist 2026-09-12'!$B:$M, 6, 0),"")</f>
        <v>140790</v>
      </c>
      <c r="I1303" s="46">
        <v>3</v>
      </c>
      <c r="J1303" s="46">
        <v>13</v>
      </c>
      <c r="K1303" s="46">
        <v>2</v>
      </c>
      <c r="L1303" s="46">
        <f t="shared" si="300"/>
        <v>18</v>
      </c>
      <c r="M1303" s="46">
        <f t="shared" si="301"/>
        <v>6</v>
      </c>
      <c r="N1303" s="45">
        <f t="shared" si="302"/>
        <v>2534220</v>
      </c>
      <c r="O1303" s="45">
        <f t="shared" si="303"/>
        <v>844740</v>
      </c>
      <c r="P1303" s="46">
        <f t="shared" si="304"/>
        <v>0.2</v>
      </c>
      <c r="Q1303" s="46">
        <v>2</v>
      </c>
      <c r="R1303" s="45">
        <f t="shared" si="305"/>
        <v>281580</v>
      </c>
      <c r="S1303" s="46">
        <f t="shared" si="306"/>
        <v>10</v>
      </c>
      <c r="T1303" s="46">
        <f>IFERROR(VLOOKUP(A1303,'[1]Re-order'!$A:$Q,17,0),"")</f>
        <v>43.663366336633665</v>
      </c>
      <c r="U1303" s="46">
        <f>IFERROR(VLOOKUP(A1303,'[1]MC Masterlist 2026-09-12'!$B:$M, 10, 0),0)</f>
        <v>15</v>
      </c>
      <c r="V1303" s="46">
        <f>IFERROR(VLOOKUP(A1303,'[1]MC Masterlist 2026-09-12'!$B:$M, 11, 0),0)</f>
        <v>15</v>
      </c>
      <c r="W1303" s="46">
        <f t="shared" si="307"/>
        <v>30</v>
      </c>
      <c r="X1303" s="46">
        <f t="shared" si="308"/>
        <v>4</v>
      </c>
      <c r="Y1303" s="46">
        <f>IFERROR(IF(OR(C1303="AREA I",C1303="AREA V"),7,VLOOKUP(A1303,'[1]MC Masterlist 2026-09-12'!$B:$M, 12, 0)),0)</f>
        <v>7</v>
      </c>
      <c r="Z1303" s="46">
        <f t="shared" si="309"/>
        <v>3</v>
      </c>
      <c r="AA1303" s="46">
        <f t="shared" si="310"/>
        <v>6</v>
      </c>
      <c r="AB1303" s="46">
        <f t="shared" si="311"/>
        <v>0.8</v>
      </c>
      <c r="AC1303" s="46">
        <f t="shared" si="312"/>
        <v>1.4000000000000001</v>
      </c>
      <c r="AD1303" s="44" t="str">
        <f t="shared" si="313"/>
        <v>Over</v>
      </c>
      <c r="AE1303" s="44" t="str">
        <f>IFERROR(VLOOKUP(A1303,'[1]Re-order'!$A:$AA,27,0),"")</f>
        <v>Re-order</v>
      </c>
      <c r="AF1303" s="46">
        <f t="shared" si="314"/>
        <v>-0.59999999999999987</v>
      </c>
      <c r="AG1303" s="46">
        <f>SUMIFS('[1]Raw Inventory'!D:D,'[1]Raw Inventory'!C:C,"GREATWALL",'[1]Raw Inventory'!B:B,A1303)</f>
        <v>12</v>
      </c>
      <c r="AH1303" s="46">
        <f>SUMIFS('[1]Raw Inventory'!D:D,'[1]Raw Inventory'!C:C,"DUARTE",'[1]Raw Inventory'!B:B,A1303)</f>
        <v>0</v>
      </c>
      <c r="AI1303" s="46"/>
      <c r="AJ1303" s="46"/>
      <c r="AK1303" s="43"/>
      <c r="AL1303" s="43"/>
      <c r="AM1303" s="43"/>
      <c r="AN1303" s="43"/>
      <c r="AO1303" s="43"/>
      <c r="AP1303" s="43"/>
      <c r="AQ1303" s="43"/>
      <c r="AR1303" s="43"/>
      <c r="AS1303" s="43"/>
      <c r="AT1303" s="43"/>
    </row>
    <row r="1304" spans="1:46">
      <c r="A1304" s="43" t="s">
        <v>23</v>
      </c>
      <c r="B1304" s="43" t="s">
        <v>29</v>
      </c>
      <c r="C1304" s="43" t="s">
        <v>1</v>
      </c>
      <c r="D1304" s="44" t="s">
        <v>227</v>
      </c>
      <c r="E1304" s="44">
        <v>1</v>
      </c>
      <c r="F1304" s="44" t="s">
        <v>0</v>
      </c>
      <c r="G1304" s="43" t="str">
        <f>IFERROR(VLOOKUP(A1304,'[1]MC Masterlist 2026-09-12'!$B:$M, 3, 0),"")</f>
        <v>KAWASAKI</v>
      </c>
      <c r="H1304" s="45">
        <f>IFERROR(VLOOKUP(A1304,'[1]MC Masterlist 2026-09-12'!$B:$M, 6, 0),"")</f>
        <v>60656</v>
      </c>
      <c r="I1304" s="46">
        <v>34</v>
      </c>
      <c r="J1304" s="46">
        <v>29</v>
      </c>
      <c r="K1304" s="46">
        <v>26</v>
      </c>
      <c r="L1304" s="46">
        <f t="shared" si="300"/>
        <v>89</v>
      </c>
      <c r="M1304" s="46">
        <f t="shared" si="301"/>
        <v>29.666666666666668</v>
      </c>
      <c r="N1304" s="45">
        <f t="shared" si="302"/>
        <v>5398384</v>
      </c>
      <c r="O1304" s="45">
        <f t="shared" si="303"/>
        <v>1799461.3333333335</v>
      </c>
      <c r="P1304" s="46">
        <f t="shared" si="304"/>
        <v>0.98888888888888893</v>
      </c>
      <c r="Q1304" s="46">
        <v>19</v>
      </c>
      <c r="R1304" s="45">
        <f t="shared" si="305"/>
        <v>1152464</v>
      </c>
      <c r="S1304" s="46">
        <f t="shared" si="306"/>
        <v>19.213483146067414</v>
      </c>
      <c r="T1304" s="46">
        <f>IFERROR(VLOOKUP(A1304,'[1]Re-order'!$A:$Q,17,0),"")</f>
        <v>53.973412112259979</v>
      </c>
      <c r="U1304" s="46">
        <f>IFERROR(VLOOKUP(A1304,'[1]MC Masterlist 2026-09-12'!$B:$M, 10, 0),0)</f>
        <v>15</v>
      </c>
      <c r="V1304" s="46">
        <f>IFERROR(VLOOKUP(A1304,'[1]MC Masterlist 2026-09-12'!$B:$M, 11, 0),0)</f>
        <v>15</v>
      </c>
      <c r="W1304" s="46">
        <f t="shared" si="307"/>
        <v>30</v>
      </c>
      <c r="X1304" s="46">
        <f t="shared" si="308"/>
        <v>-7.8333333333333339</v>
      </c>
      <c r="Y1304" s="46">
        <f>IFERROR(IF(OR(C1304="AREA I",C1304="AREA V"),7,VLOOKUP(A1304,'[1]MC Masterlist 2026-09-12'!$B:$M, 12, 0)),0)</f>
        <v>7</v>
      </c>
      <c r="Z1304" s="46">
        <f t="shared" si="309"/>
        <v>14.833333333333334</v>
      </c>
      <c r="AA1304" s="46">
        <f t="shared" si="310"/>
        <v>29.666666666666668</v>
      </c>
      <c r="AB1304" s="46">
        <f t="shared" si="311"/>
        <v>-7.7462962962962969</v>
      </c>
      <c r="AC1304" s="46">
        <f t="shared" si="312"/>
        <v>6.9222222222222225</v>
      </c>
      <c r="AD1304" s="44" t="str">
        <f t="shared" si="313"/>
        <v>Over</v>
      </c>
      <c r="AE1304" s="44" t="str">
        <f>IFERROR(VLOOKUP(A1304,'[1]Re-order'!$A:$AA,27,0),"")</f>
        <v>Re-order</v>
      </c>
      <c r="AF1304" s="46">
        <f t="shared" si="314"/>
        <v>-12.077777777777778</v>
      </c>
      <c r="AG1304" s="46">
        <f>SUMIFS('[1]Raw Inventory'!D:D,'[1]Raw Inventory'!C:C,"GREATWALL",'[1]Raw Inventory'!B:B,A1304)</f>
        <v>282</v>
      </c>
      <c r="AH1304" s="46">
        <f>SUMIFS('[1]Raw Inventory'!D:D,'[1]Raw Inventory'!C:C,"DUARTE",'[1]Raw Inventory'!B:B,A1304)</f>
        <v>0</v>
      </c>
      <c r="AI1304" s="46"/>
      <c r="AJ1304" s="46"/>
      <c r="AK1304" s="43"/>
      <c r="AL1304" s="43"/>
      <c r="AM1304" s="43"/>
      <c r="AN1304" s="43"/>
      <c r="AO1304" s="43"/>
      <c r="AP1304" s="43"/>
      <c r="AQ1304" s="43"/>
      <c r="AR1304" s="43"/>
      <c r="AS1304" s="43"/>
      <c r="AT1304" s="43"/>
    </row>
    <row r="1305" spans="1:46">
      <c r="A1305" s="43" t="s">
        <v>31</v>
      </c>
      <c r="B1305" s="43" t="s">
        <v>92</v>
      </c>
      <c r="C1305" s="43" t="s">
        <v>90</v>
      </c>
      <c r="D1305" s="44" t="s">
        <v>231</v>
      </c>
      <c r="E1305" s="44">
        <v>29</v>
      </c>
      <c r="F1305" s="44" t="s">
        <v>3</v>
      </c>
      <c r="G1305" s="43" t="str">
        <f>IFERROR(VLOOKUP(A1305,'[1]MC Masterlist 2026-09-12'!$B:$M, 3, 0),"")</f>
        <v>KAWASAKI</v>
      </c>
      <c r="H1305" s="45">
        <f>IFERROR(VLOOKUP(A1305,'[1]MC Masterlist 2026-09-12'!$B:$M, 6, 0),"")</f>
        <v>59528</v>
      </c>
      <c r="I1305" s="46">
        <v>0</v>
      </c>
      <c r="J1305" s="46">
        <v>0</v>
      </c>
      <c r="K1305" s="46">
        <v>0</v>
      </c>
      <c r="L1305" s="46">
        <f t="shared" si="300"/>
        <v>0</v>
      </c>
      <c r="M1305" s="46">
        <f t="shared" si="301"/>
        <v>0</v>
      </c>
      <c r="N1305" s="45">
        <f t="shared" si="302"/>
        <v>0</v>
      </c>
      <c r="O1305" s="45">
        <f t="shared" si="303"/>
        <v>0</v>
      </c>
      <c r="P1305" s="46">
        <f t="shared" si="304"/>
        <v>0</v>
      </c>
      <c r="Q1305" s="46">
        <v>1</v>
      </c>
      <c r="R1305" s="45">
        <f t="shared" si="305"/>
        <v>59528</v>
      </c>
      <c r="S1305" s="46">
        <f t="shared" si="306"/>
        <v>0</v>
      </c>
      <c r="T1305" s="46">
        <f>IFERROR(VLOOKUP(A1305,'[1]Re-order'!$A:$Q,17,0),"")</f>
        <v>95.869565217391298</v>
      </c>
      <c r="U1305" s="46">
        <f>IFERROR(VLOOKUP(A1305,'[1]MC Masterlist 2026-09-12'!$B:$M, 10, 0),0)</f>
        <v>15</v>
      </c>
      <c r="V1305" s="46">
        <f>IFERROR(VLOOKUP(A1305,'[1]MC Masterlist 2026-09-12'!$B:$M, 11, 0),0)</f>
        <v>15</v>
      </c>
      <c r="W1305" s="46">
        <f t="shared" si="307"/>
        <v>30</v>
      </c>
      <c r="X1305" s="46">
        <f t="shared" si="308"/>
        <v>30</v>
      </c>
      <c r="Y1305" s="46">
        <f>IFERROR(IF(OR(C1305="AREA I",C1305="AREA V"),7,VLOOKUP(A1305,'[1]MC Masterlist 2026-09-12'!$B:$M, 12, 0)),0)</f>
        <v>30</v>
      </c>
      <c r="Z1305" s="46">
        <f t="shared" si="309"/>
        <v>0</v>
      </c>
      <c r="AA1305" s="46">
        <f t="shared" si="310"/>
        <v>0</v>
      </c>
      <c r="AB1305" s="46">
        <f t="shared" si="311"/>
        <v>0</v>
      </c>
      <c r="AC1305" s="46">
        <f t="shared" si="312"/>
        <v>0</v>
      </c>
      <c r="AD1305" s="44" t="str">
        <f t="shared" si="313"/>
        <v>Over</v>
      </c>
      <c r="AE1305" s="44" t="str">
        <f>IFERROR(VLOOKUP(A1305,'[1]Re-order'!$A:$AA,27,0),"")</f>
        <v>Over</v>
      </c>
      <c r="AF1305" s="46">
        <f t="shared" si="314"/>
        <v>-1</v>
      </c>
      <c r="AG1305" s="46">
        <f>SUMIFS('[1]Raw Inventory'!D:D,'[1]Raw Inventory'!C:C,"GREATWALL",'[1]Raw Inventory'!B:B,A1305)</f>
        <v>79</v>
      </c>
      <c r="AH1305" s="46">
        <f>SUMIFS('[1]Raw Inventory'!D:D,'[1]Raw Inventory'!C:C,"DUARTE",'[1]Raw Inventory'!B:B,A1305)</f>
        <v>0</v>
      </c>
      <c r="AI1305" s="46"/>
      <c r="AJ1305" s="46"/>
      <c r="AK1305" s="43"/>
      <c r="AL1305" s="43"/>
      <c r="AM1305" s="43"/>
      <c r="AN1305" s="43"/>
      <c r="AO1305" s="43"/>
      <c r="AP1305" s="43"/>
      <c r="AQ1305" s="43"/>
      <c r="AR1305" s="43"/>
      <c r="AS1305" s="43"/>
      <c r="AT1305" s="43"/>
    </row>
    <row r="1306" spans="1:46">
      <c r="A1306" s="43" t="s">
        <v>52</v>
      </c>
      <c r="B1306" s="43" t="s">
        <v>114</v>
      </c>
      <c r="C1306" s="43" t="s">
        <v>109</v>
      </c>
      <c r="D1306" s="44" t="s">
        <v>257</v>
      </c>
      <c r="E1306" s="44">
        <v>23</v>
      </c>
      <c r="F1306" s="44" t="s">
        <v>3</v>
      </c>
      <c r="G1306" s="43" t="str">
        <f>IFERROR(VLOOKUP(A1306,'[1]MC Masterlist 2026-09-12'!$B:$M, 3, 0),"")</f>
        <v>YAMAHA</v>
      </c>
      <c r="H1306" s="45">
        <f>IFERROR(VLOOKUP(A1306,'[1]MC Masterlist 2026-09-12'!$B:$M, 6, 0),"")</f>
        <v>85446</v>
      </c>
      <c r="I1306" s="46">
        <v>0</v>
      </c>
      <c r="J1306" s="46">
        <v>1</v>
      </c>
      <c r="K1306" s="46">
        <v>0</v>
      </c>
      <c r="L1306" s="46">
        <f t="shared" si="300"/>
        <v>1</v>
      </c>
      <c r="M1306" s="46">
        <f t="shared" si="301"/>
        <v>0.33333333333333331</v>
      </c>
      <c r="N1306" s="45">
        <f t="shared" si="302"/>
        <v>85446</v>
      </c>
      <c r="O1306" s="45">
        <f t="shared" si="303"/>
        <v>28482</v>
      </c>
      <c r="P1306" s="46">
        <f t="shared" si="304"/>
        <v>1.111111111111111E-2</v>
      </c>
      <c r="Q1306" s="46">
        <v>1</v>
      </c>
      <c r="R1306" s="45">
        <f t="shared" si="305"/>
        <v>85446</v>
      </c>
      <c r="S1306" s="46">
        <f t="shared" si="306"/>
        <v>90</v>
      </c>
      <c r="T1306" s="46">
        <f>IFERROR(VLOOKUP(A1306,'[1]Re-order'!$A:$Q,17,0),"")</f>
        <v>95.454545454545453</v>
      </c>
      <c r="U1306" s="46">
        <f>IFERROR(VLOOKUP(A1306,'[1]MC Masterlist 2026-09-12'!$B:$M, 10, 0),0)</f>
        <v>15</v>
      </c>
      <c r="V1306" s="46">
        <f>IFERROR(VLOOKUP(A1306,'[1]MC Masterlist 2026-09-12'!$B:$M, 11, 0),0)</f>
        <v>15</v>
      </c>
      <c r="W1306" s="46">
        <f t="shared" si="307"/>
        <v>30</v>
      </c>
      <c r="X1306" s="46">
        <f t="shared" si="308"/>
        <v>29.833333333333332</v>
      </c>
      <c r="Y1306" s="46">
        <f>IFERROR(IF(OR(C1306="AREA I",C1306="AREA V"),7,VLOOKUP(A1306,'[1]MC Masterlist 2026-09-12'!$B:$M, 12, 0)),0)</f>
        <v>30</v>
      </c>
      <c r="Z1306" s="46">
        <f t="shared" si="309"/>
        <v>0.16666666666666666</v>
      </c>
      <c r="AA1306" s="46">
        <f t="shared" si="310"/>
        <v>0.33333333333333331</v>
      </c>
      <c r="AB1306" s="46">
        <f t="shared" si="311"/>
        <v>0.33148148148148143</v>
      </c>
      <c r="AC1306" s="46">
        <f t="shared" si="312"/>
        <v>0.33333333333333331</v>
      </c>
      <c r="AD1306" s="44" t="str">
        <f t="shared" si="313"/>
        <v>Over</v>
      </c>
      <c r="AE1306" s="44" t="str">
        <f>IFERROR(VLOOKUP(A1306,'[1]Re-order'!$A:$AA,27,0),"")</f>
        <v>Over</v>
      </c>
      <c r="AF1306" s="46">
        <f t="shared" si="314"/>
        <v>-0.66666666666666674</v>
      </c>
      <c r="AG1306" s="46">
        <f>SUMIFS('[1]Raw Inventory'!D:D,'[1]Raw Inventory'!C:C,"GREATWALL",'[1]Raw Inventory'!B:B,A1306)</f>
        <v>0</v>
      </c>
      <c r="AH1306" s="46">
        <f>SUMIFS('[1]Raw Inventory'!D:D,'[1]Raw Inventory'!C:C,"DUARTE",'[1]Raw Inventory'!B:B,A1306)</f>
        <v>0</v>
      </c>
      <c r="AI1306" s="46"/>
      <c r="AJ1306" s="46"/>
      <c r="AK1306" s="43"/>
      <c r="AL1306" s="43"/>
      <c r="AM1306" s="43"/>
      <c r="AN1306" s="43"/>
      <c r="AO1306" s="43"/>
      <c r="AP1306" s="43"/>
      <c r="AQ1306" s="43"/>
      <c r="AR1306" s="43"/>
      <c r="AS1306" s="43"/>
      <c r="AT1306" s="43"/>
    </row>
    <row r="1307" spans="1:46">
      <c r="A1307" s="43" t="s">
        <v>62</v>
      </c>
      <c r="B1307" s="43" t="s">
        <v>139</v>
      </c>
      <c r="C1307" s="43" t="s">
        <v>137</v>
      </c>
      <c r="D1307" s="44" t="s">
        <v>235</v>
      </c>
      <c r="E1307" s="44">
        <v>24</v>
      </c>
      <c r="F1307" s="44" t="s">
        <v>3</v>
      </c>
      <c r="G1307" s="43" t="str">
        <f>IFERROR(VLOOKUP(A1307,'[1]MC Masterlist 2026-09-12'!$B:$M, 3, 0),"")</f>
        <v>HONDA</v>
      </c>
      <c r="H1307" s="45">
        <f>IFERROR(VLOOKUP(A1307,'[1]MC Masterlist 2026-09-12'!$B:$M, 6, 0),"")</f>
        <v>123310</v>
      </c>
      <c r="I1307" s="46">
        <v>1</v>
      </c>
      <c r="J1307" s="46">
        <v>0</v>
      </c>
      <c r="K1307" s="46">
        <v>0</v>
      </c>
      <c r="L1307" s="46">
        <f t="shared" si="300"/>
        <v>1</v>
      </c>
      <c r="M1307" s="46">
        <f t="shared" si="301"/>
        <v>0.33333333333333331</v>
      </c>
      <c r="N1307" s="45">
        <f t="shared" si="302"/>
        <v>123310</v>
      </c>
      <c r="O1307" s="45">
        <f t="shared" si="303"/>
        <v>41103.333333333328</v>
      </c>
      <c r="P1307" s="46">
        <f t="shared" si="304"/>
        <v>1.111111111111111E-2</v>
      </c>
      <c r="Q1307" s="46">
        <v>0</v>
      </c>
      <c r="R1307" s="45">
        <f t="shared" si="305"/>
        <v>0</v>
      </c>
      <c r="S1307" s="46">
        <f t="shared" si="306"/>
        <v>0</v>
      </c>
      <c r="T1307" s="46">
        <f>IFERROR(VLOOKUP(A1307,'[1]Re-order'!$A:$Q,17,0),"")</f>
        <v>165</v>
      </c>
      <c r="U1307" s="46">
        <f>IFERROR(VLOOKUP(A1307,'[1]MC Masterlist 2026-09-12'!$B:$M, 10, 0),0)</f>
        <v>15</v>
      </c>
      <c r="V1307" s="46">
        <f>IFERROR(VLOOKUP(A1307,'[1]MC Masterlist 2026-09-12'!$B:$M, 11, 0),0)</f>
        <v>15</v>
      </c>
      <c r="W1307" s="46">
        <f t="shared" si="307"/>
        <v>30</v>
      </c>
      <c r="X1307" s="46">
        <f t="shared" si="308"/>
        <v>6.833333333333333</v>
      </c>
      <c r="Y1307" s="46">
        <f>IFERROR(IF(OR(C1307="AREA I",C1307="AREA V"),7,VLOOKUP(A1307,'[1]MC Masterlist 2026-09-12'!$B:$M, 12, 0)),0)</f>
        <v>7</v>
      </c>
      <c r="Z1307" s="46">
        <f t="shared" si="309"/>
        <v>0.16666666666666666</v>
      </c>
      <c r="AA1307" s="46">
        <f t="shared" si="310"/>
        <v>0.33333333333333331</v>
      </c>
      <c r="AB1307" s="46">
        <f t="shared" si="311"/>
        <v>7.5925925925925911E-2</v>
      </c>
      <c r="AC1307" s="46">
        <f t="shared" si="312"/>
        <v>7.7777777777777765E-2</v>
      </c>
      <c r="AD1307" s="44" t="str">
        <f t="shared" si="313"/>
        <v>Stockout</v>
      </c>
      <c r="AE1307" s="44" t="str">
        <f>IFERROR(VLOOKUP(A1307,'[1]Re-order'!$A:$AA,27,0),"")</f>
        <v>Over</v>
      </c>
      <c r="AF1307" s="46">
        <f t="shared" si="314"/>
        <v>7.7777777777777765E-2</v>
      </c>
      <c r="AG1307" s="46">
        <f>SUMIFS('[1]Raw Inventory'!D:D,'[1]Raw Inventory'!C:C,"GREATWALL",'[1]Raw Inventory'!B:B,A1307)</f>
        <v>4</v>
      </c>
      <c r="AH1307" s="46">
        <f>SUMIFS('[1]Raw Inventory'!D:D,'[1]Raw Inventory'!C:C,"DUARTE",'[1]Raw Inventory'!B:B,A1307)</f>
        <v>0</v>
      </c>
      <c r="AI1307" s="46"/>
      <c r="AJ1307" s="46"/>
      <c r="AK1307" s="43"/>
      <c r="AL1307" s="43"/>
      <c r="AM1307" s="43"/>
      <c r="AN1307" s="43"/>
      <c r="AO1307" s="43"/>
      <c r="AP1307" s="43"/>
      <c r="AQ1307" s="43"/>
      <c r="AR1307" s="43"/>
      <c r="AS1307" s="43"/>
      <c r="AT1307" s="43"/>
    </row>
    <row r="1308" spans="1:46">
      <c r="A1308" s="43" t="s">
        <v>20</v>
      </c>
      <c r="B1308" s="43" t="s">
        <v>130</v>
      </c>
      <c r="C1308" s="43" t="s">
        <v>128</v>
      </c>
      <c r="D1308" s="44" t="s">
        <v>256</v>
      </c>
      <c r="E1308" s="44">
        <v>16</v>
      </c>
      <c r="F1308" s="44" t="s">
        <v>2</v>
      </c>
      <c r="G1308" s="43" t="str">
        <f>IFERROR(VLOOKUP(A1308,'[1]MC Masterlist 2026-09-12'!$B:$M, 3, 0),"")</f>
        <v>HONDA</v>
      </c>
      <c r="H1308" s="45">
        <f>IFERROR(VLOOKUP(A1308,'[1]MC Masterlist 2026-09-12'!$B:$M, 6, 0),"")</f>
        <v>69950</v>
      </c>
      <c r="I1308" s="46">
        <v>1</v>
      </c>
      <c r="J1308" s="46">
        <v>2</v>
      </c>
      <c r="K1308" s="46">
        <v>2</v>
      </c>
      <c r="L1308" s="46">
        <f t="shared" si="300"/>
        <v>5</v>
      </c>
      <c r="M1308" s="46">
        <f t="shared" si="301"/>
        <v>1.6666666666666667</v>
      </c>
      <c r="N1308" s="45">
        <f t="shared" si="302"/>
        <v>349750</v>
      </c>
      <c r="O1308" s="45">
        <f t="shared" si="303"/>
        <v>116583.33333333334</v>
      </c>
      <c r="P1308" s="46">
        <f t="shared" si="304"/>
        <v>5.5555555555555559E-2</v>
      </c>
      <c r="Q1308" s="46">
        <v>3</v>
      </c>
      <c r="R1308" s="45">
        <f t="shared" si="305"/>
        <v>209850</v>
      </c>
      <c r="S1308" s="46">
        <f t="shared" si="306"/>
        <v>53.999999999999993</v>
      </c>
      <c r="T1308" s="46">
        <f>IFERROR(VLOOKUP(A1308,'[1]Re-order'!$A:$Q,17,0),"")</f>
        <v>75.775862068965523</v>
      </c>
      <c r="U1308" s="46">
        <f>IFERROR(VLOOKUP(A1308,'[1]MC Masterlist 2026-09-12'!$B:$M, 10, 0),0)</f>
        <v>15</v>
      </c>
      <c r="V1308" s="46">
        <f>IFERROR(VLOOKUP(A1308,'[1]MC Masterlist 2026-09-12'!$B:$M, 11, 0),0)</f>
        <v>15</v>
      </c>
      <c r="W1308" s="46">
        <f t="shared" si="307"/>
        <v>30</v>
      </c>
      <c r="X1308" s="46">
        <f t="shared" si="308"/>
        <v>29.166666666666668</v>
      </c>
      <c r="Y1308" s="46">
        <f>IFERROR(IF(OR(C1308="AREA I",C1308="AREA V"),7,VLOOKUP(A1308,'[1]MC Masterlist 2026-09-12'!$B:$M, 12, 0)),0)</f>
        <v>30</v>
      </c>
      <c r="Z1308" s="46">
        <f t="shared" si="309"/>
        <v>0.83333333333333337</v>
      </c>
      <c r="AA1308" s="46">
        <f t="shared" si="310"/>
        <v>1.6666666666666667</v>
      </c>
      <c r="AB1308" s="46">
        <f t="shared" si="311"/>
        <v>1.6203703703703705</v>
      </c>
      <c r="AC1308" s="46">
        <f t="shared" si="312"/>
        <v>1.6666666666666667</v>
      </c>
      <c r="AD1308" s="44" t="str">
        <f t="shared" si="313"/>
        <v>Over</v>
      </c>
      <c r="AE1308" s="44" t="str">
        <f>IFERROR(VLOOKUP(A1308,'[1]Re-order'!$A:$AA,27,0),"")</f>
        <v/>
      </c>
      <c r="AF1308" s="46">
        <f t="shared" si="314"/>
        <v>-1.3333333333333333</v>
      </c>
      <c r="AG1308" s="46">
        <f>SUMIFS('[1]Raw Inventory'!D:D,'[1]Raw Inventory'!C:C,"GREATWALL",'[1]Raw Inventory'!B:B,A1308)</f>
        <v>110</v>
      </c>
      <c r="AH1308" s="46">
        <f>SUMIFS('[1]Raw Inventory'!D:D,'[1]Raw Inventory'!C:C,"DUARTE",'[1]Raw Inventory'!B:B,A1308)</f>
        <v>0</v>
      </c>
      <c r="AI1308" s="46"/>
      <c r="AJ1308" s="46"/>
      <c r="AK1308" s="43"/>
      <c r="AL1308" s="43"/>
      <c r="AM1308" s="43"/>
      <c r="AN1308" s="43"/>
      <c r="AO1308" s="43"/>
      <c r="AP1308" s="43"/>
      <c r="AQ1308" s="43"/>
      <c r="AR1308" s="43"/>
      <c r="AS1308" s="43"/>
      <c r="AT1308" s="43"/>
    </row>
    <row r="1309" spans="1:46">
      <c r="A1309" s="43" t="s">
        <v>12</v>
      </c>
      <c r="B1309" s="43" t="s">
        <v>131</v>
      </c>
      <c r="C1309" s="43" t="s">
        <v>128</v>
      </c>
      <c r="D1309" s="44" t="s">
        <v>238</v>
      </c>
      <c r="E1309" s="44">
        <v>2</v>
      </c>
      <c r="F1309" s="44" t="s">
        <v>0</v>
      </c>
      <c r="G1309" s="43" t="str">
        <f>IFERROR(VLOOKUP(A1309,'[1]MC Masterlist 2026-09-12'!$B:$M, 3, 0),"")</f>
        <v>HONDA</v>
      </c>
      <c r="H1309" s="45">
        <f>IFERROR(VLOOKUP(A1309,'[1]MC Masterlist 2026-09-12'!$B:$M, 6, 0),"")</f>
        <v>158270</v>
      </c>
      <c r="I1309" s="46">
        <v>8</v>
      </c>
      <c r="J1309" s="46">
        <v>3</v>
      </c>
      <c r="K1309" s="46">
        <v>7</v>
      </c>
      <c r="L1309" s="46">
        <f t="shared" si="300"/>
        <v>18</v>
      </c>
      <c r="M1309" s="46">
        <f t="shared" si="301"/>
        <v>6</v>
      </c>
      <c r="N1309" s="45">
        <f t="shared" si="302"/>
        <v>2848860</v>
      </c>
      <c r="O1309" s="45">
        <f t="shared" si="303"/>
        <v>949620</v>
      </c>
      <c r="P1309" s="46">
        <f t="shared" si="304"/>
        <v>0.2</v>
      </c>
      <c r="Q1309" s="46">
        <v>1</v>
      </c>
      <c r="R1309" s="45">
        <f t="shared" si="305"/>
        <v>158270</v>
      </c>
      <c r="S1309" s="46">
        <f t="shared" si="306"/>
        <v>5</v>
      </c>
      <c r="T1309" s="46">
        <f>IFERROR(VLOOKUP(A1309,'[1]Re-order'!$A:$Q,17,0),"")</f>
        <v>46.461038961038959</v>
      </c>
      <c r="U1309" s="46">
        <f>IFERROR(VLOOKUP(A1309,'[1]MC Masterlist 2026-09-12'!$B:$M, 10, 0),0)</f>
        <v>15</v>
      </c>
      <c r="V1309" s="46">
        <f>IFERROR(VLOOKUP(A1309,'[1]MC Masterlist 2026-09-12'!$B:$M, 11, 0),0)</f>
        <v>15</v>
      </c>
      <c r="W1309" s="46">
        <f t="shared" si="307"/>
        <v>30</v>
      </c>
      <c r="X1309" s="46">
        <f t="shared" si="308"/>
        <v>27</v>
      </c>
      <c r="Y1309" s="46">
        <f>IFERROR(IF(OR(C1309="AREA I",C1309="AREA V"),7,VLOOKUP(A1309,'[1]MC Masterlist 2026-09-12'!$B:$M, 12, 0)),0)</f>
        <v>30</v>
      </c>
      <c r="Z1309" s="46">
        <f t="shared" si="309"/>
        <v>3</v>
      </c>
      <c r="AA1309" s="46">
        <f t="shared" si="310"/>
        <v>6</v>
      </c>
      <c r="AB1309" s="46">
        <f t="shared" si="311"/>
        <v>5.4</v>
      </c>
      <c r="AC1309" s="46">
        <f t="shared" si="312"/>
        <v>6</v>
      </c>
      <c r="AD1309" s="44" t="str">
        <f t="shared" si="313"/>
        <v>Stockout</v>
      </c>
      <c r="AE1309" s="44" t="str">
        <f>IFERROR(VLOOKUP(A1309,'[1]Re-order'!$A:$AA,27,0),"")</f>
        <v>Re-order</v>
      </c>
      <c r="AF1309" s="46">
        <f t="shared" si="314"/>
        <v>5</v>
      </c>
      <c r="AG1309" s="46">
        <f>SUMIFS('[1]Raw Inventory'!D:D,'[1]Raw Inventory'!C:C,"GREATWALL",'[1]Raw Inventory'!B:B,A1309)</f>
        <v>35</v>
      </c>
      <c r="AH1309" s="46">
        <f>SUMIFS('[1]Raw Inventory'!D:D,'[1]Raw Inventory'!C:C,"DUARTE",'[1]Raw Inventory'!B:B,A1309)</f>
        <v>0</v>
      </c>
      <c r="AI1309" s="46"/>
      <c r="AJ1309" s="46"/>
      <c r="AK1309" s="43"/>
      <c r="AL1309" s="43"/>
      <c r="AM1309" s="43"/>
      <c r="AN1309" s="43"/>
      <c r="AO1309" s="43"/>
      <c r="AP1309" s="43"/>
      <c r="AQ1309" s="43"/>
      <c r="AR1309" s="43"/>
      <c r="AS1309" s="43"/>
      <c r="AT1309" s="43"/>
    </row>
    <row r="1310" spans="1:46">
      <c r="A1310" s="43" t="s">
        <v>70</v>
      </c>
      <c r="B1310" s="43" t="s">
        <v>97</v>
      </c>
      <c r="C1310" s="43" t="s">
        <v>90</v>
      </c>
      <c r="D1310" s="44" t="s">
        <v>235</v>
      </c>
      <c r="E1310" s="44">
        <v>17</v>
      </c>
      <c r="F1310" s="44" t="s">
        <v>3</v>
      </c>
      <c r="G1310" s="43" t="str">
        <f>IFERROR(VLOOKUP(A1310,'[1]MC Masterlist 2026-09-12'!$B:$M, 3, 0),"")</f>
        <v>KAWASAKI</v>
      </c>
      <c r="H1310" s="45">
        <f>IFERROR(VLOOKUP(A1310,'[1]MC Masterlist 2026-09-12'!$B:$M, 6, 0),"")</f>
        <v>91770</v>
      </c>
      <c r="I1310" s="46">
        <v>0</v>
      </c>
      <c r="J1310" s="46">
        <v>0</v>
      </c>
      <c r="K1310" s="46">
        <v>0</v>
      </c>
      <c r="L1310" s="46">
        <f t="shared" si="300"/>
        <v>0</v>
      </c>
      <c r="M1310" s="46">
        <f t="shared" si="301"/>
        <v>0</v>
      </c>
      <c r="N1310" s="45">
        <f t="shared" si="302"/>
        <v>0</v>
      </c>
      <c r="O1310" s="45">
        <f t="shared" si="303"/>
        <v>0</v>
      </c>
      <c r="P1310" s="46">
        <f t="shared" si="304"/>
        <v>0</v>
      </c>
      <c r="Q1310" s="46">
        <v>1</v>
      </c>
      <c r="R1310" s="45">
        <f t="shared" si="305"/>
        <v>91770</v>
      </c>
      <c r="S1310" s="46">
        <f t="shared" si="306"/>
        <v>0</v>
      </c>
      <c r="T1310" s="46">
        <f>IFERROR(VLOOKUP(A1310,'[1]Re-order'!$A:$Q,17,0),"")</f>
        <v>255</v>
      </c>
      <c r="U1310" s="46">
        <f>IFERROR(VLOOKUP(A1310,'[1]MC Masterlist 2026-09-12'!$B:$M, 10, 0),0)</f>
        <v>15</v>
      </c>
      <c r="V1310" s="46">
        <f>IFERROR(VLOOKUP(A1310,'[1]MC Masterlist 2026-09-12'!$B:$M, 11, 0),0)</f>
        <v>15</v>
      </c>
      <c r="W1310" s="46">
        <f t="shared" si="307"/>
        <v>30</v>
      </c>
      <c r="X1310" s="46">
        <f t="shared" si="308"/>
        <v>30</v>
      </c>
      <c r="Y1310" s="46">
        <f>IFERROR(IF(OR(C1310="AREA I",C1310="AREA V"),7,VLOOKUP(A1310,'[1]MC Masterlist 2026-09-12'!$B:$M, 12, 0)),0)</f>
        <v>30</v>
      </c>
      <c r="Z1310" s="46">
        <f t="shared" si="309"/>
        <v>0</v>
      </c>
      <c r="AA1310" s="46">
        <f t="shared" si="310"/>
        <v>0</v>
      </c>
      <c r="AB1310" s="46">
        <f t="shared" si="311"/>
        <v>0</v>
      </c>
      <c r="AC1310" s="46">
        <f t="shared" si="312"/>
        <v>0</v>
      </c>
      <c r="AD1310" s="44" t="str">
        <f t="shared" si="313"/>
        <v>Over</v>
      </c>
      <c r="AE1310" s="44" t="str">
        <f>IFERROR(VLOOKUP(A1310,'[1]Re-order'!$A:$AA,27,0),"")</f>
        <v>Over</v>
      </c>
      <c r="AF1310" s="46">
        <f t="shared" si="314"/>
        <v>-1</v>
      </c>
      <c r="AG1310" s="46">
        <f>SUMIFS('[1]Raw Inventory'!D:D,'[1]Raw Inventory'!C:C,"GREATWALL",'[1]Raw Inventory'!B:B,A1310)</f>
        <v>4</v>
      </c>
      <c r="AH1310" s="46">
        <f>SUMIFS('[1]Raw Inventory'!D:D,'[1]Raw Inventory'!C:C,"DUARTE",'[1]Raw Inventory'!B:B,A1310)</f>
        <v>0</v>
      </c>
      <c r="AI1310" s="46"/>
      <c r="AJ1310" s="46"/>
      <c r="AK1310" s="43"/>
      <c r="AL1310" s="43"/>
      <c r="AM1310" s="43"/>
      <c r="AN1310" s="43"/>
      <c r="AO1310" s="43"/>
      <c r="AP1310" s="43"/>
      <c r="AQ1310" s="43"/>
      <c r="AR1310" s="43"/>
      <c r="AS1310" s="43"/>
      <c r="AT1310" s="43"/>
    </row>
    <row r="1311" spans="1:46">
      <c r="A1311" s="43" t="s">
        <v>20</v>
      </c>
      <c r="B1311" s="43" t="s">
        <v>91</v>
      </c>
      <c r="C1311" s="43" t="s">
        <v>90</v>
      </c>
      <c r="D1311" s="44" t="s">
        <v>254</v>
      </c>
      <c r="E1311" s="44">
        <v>6</v>
      </c>
      <c r="F1311" s="44" t="s">
        <v>2</v>
      </c>
      <c r="G1311" s="43" t="str">
        <f>IFERROR(VLOOKUP(A1311,'[1]MC Masterlist 2026-09-12'!$B:$M, 3, 0),"")</f>
        <v>HONDA</v>
      </c>
      <c r="H1311" s="45">
        <f>IFERROR(VLOOKUP(A1311,'[1]MC Masterlist 2026-09-12'!$B:$M, 6, 0),"")</f>
        <v>69950</v>
      </c>
      <c r="I1311" s="46">
        <v>1</v>
      </c>
      <c r="J1311" s="46">
        <v>3</v>
      </c>
      <c r="K1311" s="46">
        <v>2</v>
      </c>
      <c r="L1311" s="46">
        <f t="shared" si="300"/>
        <v>6</v>
      </c>
      <c r="M1311" s="46">
        <f t="shared" si="301"/>
        <v>2</v>
      </c>
      <c r="N1311" s="45">
        <f t="shared" si="302"/>
        <v>419700</v>
      </c>
      <c r="O1311" s="45">
        <f t="shared" si="303"/>
        <v>139900</v>
      </c>
      <c r="P1311" s="46">
        <f t="shared" si="304"/>
        <v>6.6666666666666666E-2</v>
      </c>
      <c r="Q1311" s="46">
        <v>5</v>
      </c>
      <c r="R1311" s="45">
        <f t="shared" si="305"/>
        <v>349750</v>
      </c>
      <c r="S1311" s="46">
        <f t="shared" si="306"/>
        <v>75</v>
      </c>
      <c r="T1311" s="46">
        <f>IFERROR(VLOOKUP(A1311,'[1]Re-order'!$A:$Q,17,0),"")</f>
        <v>75.775862068965523</v>
      </c>
      <c r="U1311" s="46">
        <f>IFERROR(VLOOKUP(A1311,'[1]MC Masterlist 2026-09-12'!$B:$M, 10, 0),0)</f>
        <v>15</v>
      </c>
      <c r="V1311" s="46">
        <f>IFERROR(VLOOKUP(A1311,'[1]MC Masterlist 2026-09-12'!$B:$M, 11, 0),0)</f>
        <v>15</v>
      </c>
      <c r="W1311" s="46">
        <f t="shared" si="307"/>
        <v>30</v>
      </c>
      <c r="X1311" s="46">
        <f t="shared" si="308"/>
        <v>29</v>
      </c>
      <c r="Y1311" s="46">
        <f>IFERROR(IF(OR(C1311="AREA I",C1311="AREA V"),7,VLOOKUP(A1311,'[1]MC Masterlist 2026-09-12'!$B:$M, 12, 0)),0)</f>
        <v>30</v>
      </c>
      <c r="Z1311" s="46">
        <f t="shared" si="309"/>
        <v>1</v>
      </c>
      <c r="AA1311" s="46">
        <f t="shared" si="310"/>
        <v>2</v>
      </c>
      <c r="AB1311" s="46">
        <f t="shared" si="311"/>
        <v>1.9333333333333333</v>
      </c>
      <c r="AC1311" s="46">
        <f t="shared" si="312"/>
        <v>2</v>
      </c>
      <c r="AD1311" s="44" t="str">
        <f t="shared" si="313"/>
        <v>Over</v>
      </c>
      <c r="AE1311" s="44" t="str">
        <f>IFERROR(VLOOKUP(A1311,'[1]Re-order'!$A:$AA,27,0),"")</f>
        <v/>
      </c>
      <c r="AF1311" s="46">
        <f t="shared" si="314"/>
        <v>-3</v>
      </c>
      <c r="AG1311" s="46">
        <f>SUMIFS('[1]Raw Inventory'!D:D,'[1]Raw Inventory'!C:C,"GREATWALL",'[1]Raw Inventory'!B:B,A1311)</f>
        <v>110</v>
      </c>
      <c r="AH1311" s="46">
        <f>SUMIFS('[1]Raw Inventory'!D:D,'[1]Raw Inventory'!C:C,"DUARTE",'[1]Raw Inventory'!B:B,A1311)</f>
        <v>0</v>
      </c>
      <c r="AI1311" s="46"/>
      <c r="AJ1311" s="46"/>
      <c r="AK1311" s="43"/>
      <c r="AL1311" s="43"/>
      <c r="AM1311" s="43"/>
      <c r="AN1311" s="43"/>
      <c r="AO1311" s="43"/>
      <c r="AP1311" s="43"/>
      <c r="AQ1311" s="43"/>
      <c r="AR1311" s="43"/>
      <c r="AS1311" s="43"/>
      <c r="AT1311" s="43"/>
    </row>
    <row r="1312" spans="1:46">
      <c r="A1312" s="43" t="s">
        <v>50</v>
      </c>
      <c r="B1312" s="43" t="s">
        <v>146</v>
      </c>
      <c r="C1312" s="43" t="s">
        <v>137</v>
      </c>
      <c r="D1312" s="44" t="s">
        <v>241</v>
      </c>
      <c r="E1312" s="44">
        <v>23</v>
      </c>
      <c r="F1312" s="44" t="s">
        <v>3</v>
      </c>
      <c r="G1312" s="43" t="str">
        <f>IFERROR(VLOOKUP(A1312,'[1]MC Masterlist 2026-09-12'!$B:$M, 3, 0),"")</f>
        <v>YAMAHA</v>
      </c>
      <c r="H1312" s="45">
        <f>IFERROR(VLOOKUP(A1312,'[1]MC Masterlist 2026-09-12'!$B:$M, 6, 0),"")</f>
        <v>78957</v>
      </c>
      <c r="I1312" s="46">
        <v>1</v>
      </c>
      <c r="J1312" s="46">
        <v>0</v>
      </c>
      <c r="K1312" s="46">
        <v>0</v>
      </c>
      <c r="L1312" s="46">
        <f t="shared" si="300"/>
        <v>1</v>
      </c>
      <c r="M1312" s="46">
        <f t="shared" si="301"/>
        <v>0.33333333333333331</v>
      </c>
      <c r="N1312" s="45">
        <f t="shared" si="302"/>
        <v>78957</v>
      </c>
      <c r="O1312" s="45">
        <f t="shared" si="303"/>
        <v>26319</v>
      </c>
      <c r="P1312" s="46">
        <f t="shared" si="304"/>
        <v>1.111111111111111E-2</v>
      </c>
      <c r="Q1312" s="46">
        <v>1</v>
      </c>
      <c r="R1312" s="45">
        <f t="shared" si="305"/>
        <v>78957</v>
      </c>
      <c r="S1312" s="46">
        <f t="shared" si="306"/>
        <v>90</v>
      </c>
      <c r="T1312" s="46">
        <f>IFERROR(VLOOKUP(A1312,'[1]Re-order'!$A:$Q,17,0),"")</f>
        <v>118.125</v>
      </c>
      <c r="U1312" s="46">
        <f>IFERROR(VLOOKUP(A1312,'[1]MC Masterlist 2026-09-12'!$B:$M, 10, 0),0)</f>
        <v>15</v>
      </c>
      <c r="V1312" s="46">
        <f>IFERROR(VLOOKUP(A1312,'[1]MC Masterlist 2026-09-12'!$B:$M, 11, 0),0)</f>
        <v>15</v>
      </c>
      <c r="W1312" s="46">
        <f t="shared" si="307"/>
        <v>30</v>
      </c>
      <c r="X1312" s="46">
        <f t="shared" si="308"/>
        <v>6.833333333333333</v>
      </c>
      <c r="Y1312" s="46">
        <f>IFERROR(IF(OR(C1312="AREA I",C1312="AREA V"),7,VLOOKUP(A1312,'[1]MC Masterlist 2026-09-12'!$B:$M, 12, 0)),0)</f>
        <v>7</v>
      </c>
      <c r="Z1312" s="46">
        <f t="shared" si="309"/>
        <v>0.16666666666666666</v>
      </c>
      <c r="AA1312" s="46">
        <f t="shared" si="310"/>
        <v>0.33333333333333331</v>
      </c>
      <c r="AB1312" s="46">
        <f t="shared" si="311"/>
        <v>7.5925925925925911E-2</v>
      </c>
      <c r="AC1312" s="46">
        <f t="shared" si="312"/>
        <v>7.7777777777777765E-2</v>
      </c>
      <c r="AD1312" s="44" t="str">
        <f t="shared" si="313"/>
        <v>Over</v>
      </c>
      <c r="AE1312" s="44" t="str">
        <f>IFERROR(VLOOKUP(A1312,'[1]Re-order'!$A:$AA,27,0),"")</f>
        <v>Over</v>
      </c>
      <c r="AF1312" s="46">
        <f t="shared" si="314"/>
        <v>-0.92222222222222228</v>
      </c>
      <c r="AG1312" s="46">
        <f>SUMIFS('[1]Raw Inventory'!D:D,'[1]Raw Inventory'!C:C,"GREATWALL",'[1]Raw Inventory'!B:B,A1312)</f>
        <v>23</v>
      </c>
      <c r="AH1312" s="46">
        <f>SUMIFS('[1]Raw Inventory'!D:D,'[1]Raw Inventory'!C:C,"DUARTE",'[1]Raw Inventory'!B:B,A1312)</f>
        <v>0</v>
      </c>
      <c r="AI1312" s="46"/>
      <c r="AJ1312" s="46"/>
      <c r="AK1312" s="43"/>
      <c r="AL1312" s="43"/>
      <c r="AM1312" s="43"/>
      <c r="AN1312" s="43"/>
      <c r="AO1312" s="43"/>
      <c r="AP1312" s="43"/>
      <c r="AQ1312" s="43"/>
      <c r="AR1312" s="43"/>
      <c r="AS1312" s="43"/>
      <c r="AT1312" s="43"/>
    </row>
    <row r="1313" spans="1:46">
      <c r="A1313" s="43" t="s">
        <v>42</v>
      </c>
      <c r="B1313" s="43" t="s">
        <v>142</v>
      </c>
      <c r="C1313" s="43" t="s">
        <v>137</v>
      </c>
      <c r="D1313" s="44" t="s">
        <v>237</v>
      </c>
      <c r="E1313" s="44">
        <v>26</v>
      </c>
      <c r="F1313" s="44" t="s">
        <v>3</v>
      </c>
      <c r="G1313" s="43" t="str">
        <f>IFERROR(VLOOKUP(A1313,'[1]MC Masterlist 2026-09-12'!$B:$M, 3, 0),"")</f>
        <v>YAMAHA</v>
      </c>
      <c r="H1313" s="45">
        <f>IFERROR(VLOOKUP(A1313,'[1]MC Masterlist 2026-09-12'!$B:$M, 6, 0),"")</f>
        <v>152892</v>
      </c>
      <c r="I1313" s="46">
        <v>0</v>
      </c>
      <c r="J1313" s="46">
        <v>0</v>
      </c>
      <c r="K1313" s="46">
        <v>0</v>
      </c>
      <c r="L1313" s="46">
        <f t="shared" si="300"/>
        <v>0</v>
      </c>
      <c r="M1313" s="46">
        <f t="shared" si="301"/>
        <v>0</v>
      </c>
      <c r="N1313" s="45">
        <f t="shared" si="302"/>
        <v>0</v>
      </c>
      <c r="O1313" s="45">
        <f t="shared" si="303"/>
        <v>0</v>
      </c>
      <c r="P1313" s="46">
        <f t="shared" si="304"/>
        <v>0</v>
      </c>
      <c r="Q1313" s="46">
        <v>4</v>
      </c>
      <c r="R1313" s="45">
        <f t="shared" si="305"/>
        <v>611568</v>
      </c>
      <c r="S1313" s="46">
        <f t="shared" si="306"/>
        <v>0</v>
      </c>
      <c r="T1313" s="46">
        <f>IFERROR(VLOOKUP(A1313,'[1]Re-order'!$A:$Q,17,0),"")</f>
        <v>104.55882352941177</v>
      </c>
      <c r="U1313" s="46">
        <f>IFERROR(VLOOKUP(A1313,'[1]MC Masterlist 2026-09-12'!$B:$M, 10, 0),0)</f>
        <v>15</v>
      </c>
      <c r="V1313" s="46">
        <f>IFERROR(VLOOKUP(A1313,'[1]MC Masterlist 2026-09-12'!$B:$M, 11, 0),0)</f>
        <v>15</v>
      </c>
      <c r="W1313" s="46">
        <f t="shared" si="307"/>
        <v>30</v>
      </c>
      <c r="X1313" s="46">
        <f t="shared" si="308"/>
        <v>7</v>
      </c>
      <c r="Y1313" s="46">
        <f>IFERROR(IF(OR(C1313="AREA I",C1313="AREA V"),7,VLOOKUP(A1313,'[1]MC Masterlist 2026-09-12'!$B:$M, 12, 0)),0)</f>
        <v>7</v>
      </c>
      <c r="Z1313" s="46">
        <f t="shared" si="309"/>
        <v>0</v>
      </c>
      <c r="AA1313" s="46">
        <f t="shared" si="310"/>
        <v>0</v>
      </c>
      <c r="AB1313" s="46">
        <f t="shared" si="311"/>
        <v>0</v>
      </c>
      <c r="AC1313" s="46">
        <f t="shared" si="312"/>
        <v>0</v>
      </c>
      <c r="AD1313" s="44" t="str">
        <f t="shared" si="313"/>
        <v>Over</v>
      </c>
      <c r="AE1313" s="44" t="str">
        <f>IFERROR(VLOOKUP(A1313,'[1]Re-order'!$A:$AA,27,0),"")</f>
        <v>Over</v>
      </c>
      <c r="AF1313" s="46">
        <f t="shared" si="314"/>
        <v>-4</v>
      </c>
      <c r="AG1313" s="46">
        <f>SUMIFS('[1]Raw Inventory'!D:D,'[1]Raw Inventory'!C:C,"GREATWALL",'[1]Raw Inventory'!B:B,A1313)</f>
        <v>3</v>
      </c>
      <c r="AH1313" s="46">
        <f>SUMIFS('[1]Raw Inventory'!D:D,'[1]Raw Inventory'!C:C,"DUARTE",'[1]Raw Inventory'!B:B,A1313)</f>
        <v>0</v>
      </c>
      <c r="AI1313" s="46"/>
      <c r="AJ1313" s="46"/>
      <c r="AK1313" s="43"/>
      <c r="AL1313" s="43"/>
      <c r="AM1313" s="43"/>
      <c r="AN1313" s="43"/>
      <c r="AO1313" s="43"/>
      <c r="AP1313" s="43"/>
      <c r="AQ1313" s="43"/>
      <c r="AR1313" s="43"/>
      <c r="AS1313" s="43"/>
      <c r="AT1313" s="43"/>
    </row>
    <row r="1314" spans="1:46">
      <c r="A1314" s="43" t="s">
        <v>44</v>
      </c>
      <c r="B1314" s="43" t="s">
        <v>160</v>
      </c>
      <c r="C1314" s="43" t="s">
        <v>159</v>
      </c>
      <c r="D1314" s="44" t="s">
        <v>224</v>
      </c>
      <c r="E1314" s="44">
        <v>10</v>
      </c>
      <c r="F1314" s="44" t="s">
        <v>2</v>
      </c>
      <c r="G1314" s="43" t="str">
        <f>IFERROR(VLOOKUP(A1314,'[1]MC Masterlist 2026-09-12'!$B:$M, 3, 0),"")</f>
        <v>YAMAHA</v>
      </c>
      <c r="H1314" s="45">
        <f>IFERROR(VLOOKUP(A1314,'[1]MC Masterlist 2026-09-12'!$B:$M, 6, 0),"")</f>
        <v>165912</v>
      </c>
      <c r="I1314" s="46">
        <v>0</v>
      </c>
      <c r="J1314" s="46">
        <v>0</v>
      </c>
      <c r="K1314" s="46">
        <v>2</v>
      </c>
      <c r="L1314" s="46">
        <f t="shared" si="300"/>
        <v>2</v>
      </c>
      <c r="M1314" s="46">
        <f t="shared" si="301"/>
        <v>0.66666666666666663</v>
      </c>
      <c r="N1314" s="45">
        <f t="shared" si="302"/>
        <v>331824</v>
      </c>
      <c r="O1314" s="45">
        <f t="shared" si="303"/>
        <v>110608</v>
      </c>
      <c r="P1314" s="46">
        <f t="shared" si="304"/>
        <v>2.222222222222222E-2</v>
      </c>
      <c r="Q1314" s="46">
        <v>1</v>
      </c>
      <c r="R1314" s="45">
        <f t="shared" si="305"/>
        <v>165912</v>
      </c>
      <c r="S1314" s="46">
        <f t="shared" si="306"/>
        <v>45</v>
      </c>
      <c r="T1314" s="46">
        <f>IFERROR(VLOOKUP(A1314,'[1]Re-order'!$A:$Q,17,0),"")</f>
        <v>10.588235294117649</v>
      </c>
      <c r="U1314" s="46">
        <f>IFERROR(VLOOKUP(A1314,'[1]MC Masterlist 2026-09-12'!$B:$M, 10, 0),0)</f>
        <v>15</v>
      </c>
      <c r="V1314" s="46">
        <f>IFERROR(VLOOKUP(A1314,'[1]MC Masterlist 2026-09-12'!$B:$M, 11, 0),0)</f>
        <v>15</v>
      </c>
      <c r="W1314" s="46">
        <f t="shared" si="307"/>
        <v>30</v>
      </c>
      <c r="X1314" s="46">
        <f t="shared" si="308"/>
        <v>29.666666666666668</v>
      </c>
      <c r="Y1314" s="46">
        <f>IFERROR(IF(OR(C1314="AREA I",C1314="AREA V"),7,VLOOKUP(A1314,'[1]MC Masterlist 2026-09-12'!$B:$M, 12, 0)),0)</f>
        <v>30</v>
      </c>
      <c r="Z1314" s="46">
        <f t="shared" si="309"/>
        <v>0.33333333333333331</v>
      </c>
      <c r="AA1314" s="46">
        <f t="shared" si="310"/>
        <v>0.66666666666666663</v>
      </c>
      <c r="AB1314" s="46">
        <f t="shared" si="311"/>
        <v>0.65925925925925921</v>
      </c>
      <c r="AC1314" s="46">
        <f t="shared" si="312"/>
        <v>0.66666666666666663</v>
      </c>
      <c r="AD1314" s="44" t="str">
        <f t="shared" si="313"/>
        <v>Over</v>
      </c>
      <c r="AE1314" s="44" t="str">
        <f>IFERROR(VLOOKUP(A1314,'[1]Re-order'!$A:$AA,27,0),"")</f>
        <v>Stockout</v>
      </c>
      <c r="AF1314" s="46">
        <f t="shared" si="314"/>
        <v>-0.33333333333333337</v>
      </c>
      <c r="AG1314" s="46">
        <f>SUMIFS('[1]Raw Inventory'!D:D,'[1]Raw Inventory'!C:C,"GREATWALL",'[1]Raw Inventory'!B:B,A1314)</f>
        <v>0</v>
      </c>
      <c r="AH1314" s="46">
        <f>SUMIFS('[1]Raw Inventory'!D:D,'[1]Raw Inventory'!C:C,"DUARTE",'[1]Raw Inventory'!B:B,A1314)</f>
        <v>0</v>
      </c>
      <c r="AI1314" s="46"/>
      <c r="AJ1314" s="46"/>
      <c r="AK1314" s="43"/>
      <c r="AL1314" s="43"/>
      <c r="AM1314" s="43"/>
      <c r="AN1314" s="43"/>
      <c r="AO1314" s="43"/>
      <c r="AP1314" s="43"/>
      <c r="AQ1314" s="43"/>
      <c r="AR1314" s="43"/>
      <c r="AS1314" s="43"/>
      <c r="AT1314" s="43"/>
    </row>
    <row r="1315" spans="1:46">
      <c r="A1315" s="43" t="s">
        <v>85</v>
      </c>
      <c r="B1315" s="43" t="s">
        <v>30</v>
      </c>
      <c r="C1315" s="43" t="s">
        <v>1</v>
      </c>
      <c r="D1315" s="44" t="s">
        <v>253</v>
      </c>
      <c r="E1315" s="44">
        <v>34</v>
      </c>
      <c r="F1315" s="44" t="s">
        <v>3</v>
      </c>
      <c r="G1315" s="43" t="str">
        <f>IFERROR(VLOOKUP(A1315,'[1]MC Masterlist 2026-09-12'!$B:$M, 3, 0),"")</f>
        <v>KAWASAKI</v>
      </c>
      <c r="H1315" s="45">
        <f>IFERROR(VLOOKUP(A1315,'[1]MC Masterlist 2026-09-12'!$B:$M, 6, 0),"")</f>
        <v>71560</v>
      </c>
      <c r="I1315" s="46">
        <v>0</v>
      </c>
      <c r="J1315" s="46">
        <v>0</v>
      </c>
      <c r="K1315" s="46">
        <v>1</v>
      </c>
      <c r="L1315" s="46">
        <f t="shared" si="300"/>
        <v>1</v>
      </c>
      <c r="M1315" s="46">
        <f t="shared" si="301"/>
        <v>0.33333333333333331</v>
      </c>
      <c r="N1315" s="45">
        <f t="shared" si="302"/>
        <v>71560</v>
      </c>
      <c r="O1315" s="45">
        <f t="shared" si="303"/>
        <v>23853.333333333332</v>
      </c>
      <c r="P1315" s="46">
        <f t="shared" si="304"/>
        <v>1.111111111111111E-2</v>
      </c>
      <c r="Q1315" s="46"/>
      <c r="R1315" s="45">
        <f t="shared" si="305"/>
        <v>0</v>
      </c>
      <c r="S1315" s="46">
        <f t="shared" si="306"/>
        <v>0</v>
      </c>
      <c r="T1315" s="46">
        <f>IFERROR(VLOOKUP(A1315,'[1]Re-order'!$A:$Q,17,0),"")</f>
        <v>157.5</v>
      </c>
      <c r="U1315" s="46">
        <f>IFERROR(VLOOKUP(A1315,'[1]MC Masterlist 2026-09-12'!$B:$M, 10, 0),0)</f>
        <v>15</v>
      </c>
      <c r="V1315" s="46">
        <f>IFERROR(VLOOKUP(A1315,'[1]MC Masterlist 2026-09-12'!$B:$M, 11, 0),0)</f>
        <v>15</v>
      </c>
      <c r="W1315" s="46">
        <f t="shared" si="307"/>
        <v>30</v>
      </c>
      <c r="X1315" s="46">
        <f t="shared" si="308"/>
        <v>6.833333333333333</v>
      </c>
      <c r="Y1315" s="46">
        <f>IFERROR(IF(OR(C1315="AREA I",C1315="AREA V"),7,VLOOKUP(A1315,'[1]MC Masterlist 2026-09-12'!$B:$M, 12, 0)),0)</f>
        <v>7</v>
      </c>
      <c r="Z1315" s="46">
        <f t="shared" si="309"/>
        <v>0.16666666666666666</v>
      </c>
      <c r="AA1315" s="46">
        <f t="shared" si="310"/>
        <v>0.33333333333333331</v>
      </c>
      <c r="AB1315" s="46">
        <f t="shared" si="311"/>
        <v>7.5925925925925911E-2</v>
      </c>
      <c r="AC1315" s="46">
        <f t="shared" si="312"/>
        <v>7.7777777777777765E-2</v>
      </c>
      <c r="AD1315" s="44" t="str">
        <f t="shared" si="313"/>
        <v>Stockout</v>
      </c>
      <c r="AE1315" s="44" t="str">
        <f>IFERROR(VLOOKUP(A1315,'[1]Re-order'!$A:$AA,27,0),"")</f>
        <v>Over</v>
      </c>
      <c r="AF1315" s="46">
        <f t="shared" si="314"/>
        <v>7.7777777777777765E-2</v>
      </c>
      <c r="AG1315" s="46">
        <f>SUMIFS('[1]Raw Inventory'!D:D,'[1]Raw Inventory'!C:C,"GREATWALL",'[1]Raw Inventory'!B:B,A1315)</f>
        <v>0</v>
      </c>
      <c r="AH1315" s="46">
        <f>SUMIFS('[1]Raw Inventory'!D:D,'[1]Raw Inventory'!C:C,"DUARTE",'[1]Raw Inventory'!B:B,A1315)</f>
        <v>0</v>
      </c>
      <c r="AI1315" s="46"/>
      <c r="AJ1315" s="46"/>
      <c r="AK1315" s="43"/>
      <c r="AL1315" s="43"/>
      <c r="AM1315" s="43"/>
      <c r="AN1315" s="43"/>
      <c r="AO1315" s="43"/>
      <c r="AP1315" s="43"/>
      <c r="AQ1315" s="43"/>
      <c r="AR1315" s="43"/>
      <c r="AS1315" s="43"/>
      <c r="AT1315" s="43"/>
    </row>
    <row r="1316" spans="1:46">
      <c r="A1316" s="43" t="s">
        <v>76</v>
      </c>
      <c r="B1316" s="43" t="s">
        <v>113</v>
      </c>
      <c r="C1316" s="43" t="s">
        <v>109</v>
      </c>
      <c r="D1316" s="44" t="s">
        <v>252</v>
      </c>
      <c r="E1316" s="44">
        <v>19</v>
      </c>
      <c r="F1316" s="44" t="s">
        <v>2</v>
      </c>
      <c r="G1316" s="43" t="str">
        <f>IFERROR(VLOOKUP(A1316,'[1]MC Masterlist 2026-09-12'!$B:$M, 3, 0),"")</f>
        <v>SUZUKI</v>
      </c>
      <c r="H1316" s="45">
        <f>IFERROR(VLOOKUP(A1316,'[1]MC Masterlist 2026-09-12'!$B:$M, 6, 0),"")</f>
        <v>62692</v>
      </c>
      <c r="I1316" s="46">
        <v>1</v>
      </c>
      <c r="J1316" s="46">
        <v>2</v>
      </c>
      <c r="K1316" s="46">
        <v>1</v>
      </c>
      <c r="L1316" s="46">
        <f t="shared" si="300"/>
        <v>4</v>
      </c>
      <c r="M1316" s="46">
        <f t="shared" si="301"/>
        <v>1.3333333333333333</v>
      </c>
      <c r="N1316" s="45">
        <f t="shared" si="302"/>
        <v>250768</v>
      </c>
      <c r="O1316" s="45">
        <f t="shared" si="303"/>
        <v>83589.333333333328</v>
      </c>
      <c r="P1316" s="46">
        <f t="shared" si="304"/>
        <v>4.4444444444444439E-2</v>
      </c>
      <c r="Q1316" s="46">
        <v>5</v>
      </c>
      <c r="R1316" s="45">
        <f t="shared" si="305"/>
        <v>313460</v>
      </c>
      <c r="S1316" s="46">
        <f t="shared" si="306"/>
        <v>112.5</v>
      </c>
      <c r="T1316" s="46">
        <f>IFERROR(VLOOKUP(A1316,'[1]Re-order'!$A:$Q,17,0),"")</f>
        <v>106.36363636363636</v>
      </c>
      <c r="U1316" s="46">
        <f>IFERROR(VLOOKUP(A1316,'[1]MC Masterlist 2026-09-12'!$B:$M, 10, 0),0)</f>
        <v>15</v>
      </c>
      <c r="V1316" s="46">
        <f>IFERROR(VLOOKUP(A1316,'[1]MC Masterlist 2026-09-12'!$B:$M, 11, 0),0)</f>
        <v>15</v>
      </c>
      <c r="W1316" s="46">
        <f t="shared" si="307"/>
        <v>30</v>
      </c>
      <c r="X1316" s="46">
        <f t="shared" si="308"/>
        <v>29.333333333333332</v>
      </c>
      <c r="Y1316" s="46">
        <f>IFERROR(IF(OR(C1316="AREA I",C1316="AREA V"),7,VLOOKUP(A1316,'[1]MC Masterlist 2026-09-12'!$B:$M, 12, 0)),0)</f>
        <v>30</v>
      </c>
      <c r="Z1316" s="46">
        <f t="shared" si="309"/>
        <v>0.66666666666666663</v>
      </c>
      <c r="AA1316" s="46">
        <f t="shared" si="310"/>
        <v>1.3333333333333333</v>
      </c>
      <c r="AB1316" s="46">
        <f t="shared" si="311"/>
        <v>1.3037037037037036</v>
      </c>
      <c r="AC1316" s="46">
        <f t="shared" si="312"/>
        <v>1.3333333333333333</v>
      </c>
      <c r="AD1316" s="44" t="str">
        <f t="shared" si="313"/>
        <v>Over</v>
      </c>
      <c r="AE1316" s="44" t="str">
        <f>IFERROR(VLOOKUP(A1316,'[1]Re-order'!$A:$AA,27,0),"")</f>
        <v>Over</v>
      </c>
      <c r="AF1316" s="46">
        <f t="shared" si="314"/>
        <v>-3.666666666666667</v>
      </c>
      <c r="AG1316" s="46">
        <f>SUMIFS('[1]Raw Inventory'!D:D,'[1]Raw Inventory'!C:C,"GREATWALL",'[1]Raw Inventory'!B:B,A1316)</f>
        <v>1</v>
      </c>
      <c r="AH1316" s="46">
        <f>SUMIFS('[1]Raw Inventory'!D:D,'[1]Raw Inventory'!C:C,"DUARTE",'[1]Raw Inventory'!B:B,A1316)</f>
        <v>0</v>
      </c>
      <c r="AI1316" s="46"/>
      <c r="AJ1316" s="46"/>
      <c r="AK1316" s="43"/>
      <c r="AL1316" s="43"/>
      <c r="AM1316" s="43"/>
      <c r="AN1316" s="43"/>
      <c r="AO1316" s="43"/>
      <c r="AP1316" s="43"/>
      <c r="AQ1316" s="43"/>
      <c r="AR1316" s="43"/>
      <c r="AS1316" s="43"/>
      <c r="AT1316" s="43"/>
    </row>
    <row r="1317" spans="1:46">
      <c r="A1317" s="43" t="s">
        <v>43</v>
      </c>
      <c r="B1317" s="43" t="s">
        <v>158</v>
      </c>
      <c r="C1317" s="43" t="s">
        <v>152</v>
      </c>
      <c r="D1317" s="44" t="s">
        <v>255</v>
      </c>
      <c r="E1317" s="44">
        <v>14</v>
      </c>
      <c r="F1317" s="44" t="s">
        <v>2</v>
      </c>
      <c r="G1317" s="43" t="str">
        <f>IFERROR(VLOOKUP(A1317,'[1]MC Masterlist 2026-09-12'!$B:$M, 3, 0),"")</f>
        <v>YAMAHA</v>
      </c>
      <c r="H1317" s="45">
        <f>IFERROR(VLOOKUP(A1317,'[1]MC Masterlist 2026-09-12'!$B:$M, 6, 0),"")</f>
        <v>70587</v>
      </c>
      <c r="I1317" s="46">
        <v>2</v>
      </c>
      <c r="J1317" s="46">
        <v>0</v>
      </c>
      <c r="K1317" s="46">
        <v>1</v>
      </c>
      <c r="L1317" s="46">
        <f t="shared" si="300"/>
        <v>3</v>
      </c>
      <c r="M1317" s="46">
        <f t="shared" si="301"/>
        <v>1</v>
      </c>
      <c r="N1317" s="45">
        <f t="shared" si="302"/>
        <v>211761</v>
      </c>
      <c r="O1317" s="45">
        <f t="shared" si="303"/>
        <v>70587</v>
      </c>
      <c r="P1317" s="46">
        <f t="shared" si="304"/>
        <v>3.3333333333333333E-2</v>
      </c>
      <c r="Q1317" s="46"/>
      <c r="R1317" s="45">
        <f t="shared" si="305"/>
        <v>0</v>
      </c>
      <c r="S1317" s="46">
        <f t="shared" si="306"/>
        <v>0</v>
      </c>
      <c r="T1317" s="46">
        <f>IFERROR(VLOOKUP(A1317,'[1]Re-order'!$A:$Q,17,0),"")</f>
        <v>43.578947368421055</v>
      </c>
      <c r="U1317" s="46">
        <f>IFERROR(VLOOKUP(A1317,'[1]MC Masterlist 2026-09-12'!$B:$M, 10, 0),0)</f>
        <v>15</v>
      </c>
      <c r="V1317" s="46">
        <f>IFERROR(VLOOKUP(A1317,'[1]MC Masterlist 2026-09-12'!$B:$M, 11, 0),0)</f>
        <v>15</v>
      </c>
      <c r="W1317" s="46">
        <f t="shared" si="307"/>
        <v>30</v>
      </c>
      <c r="X1317" s="46">
        <f t="shared" si="308"/>
        <v>29.5</v>
      </c>
      <c r="Y1317" s="46">
        <f>IFERROR(IF(OR(C1317="AREA I",C1317="AREA V"),7,VLOOKUP(A1317,'[1]MC Masterlist 2026-09-12'!$B:$M, 12, 0)),0)</f>
        <v>30</v>
      </c>
      <c r="Z1317" s="46">
        <f t="shared" si="309"/>
        <v>0.5</v>
      </c>
      <c r="AA1317" s="46">
        <f t="shared" si="310"/>
        <v>1</v>
      </c>
      <c r="AB1317" s="46">
        <f t="shared" si="311"/>
        <v>0.98333333333333328</v>
      </c>
      <c r="AC1317" s="46">
        <f t="shared" si="312"/>
        <v>1</v>
      </c>
      <c r="AD1317" s="44" t="str">
        <f t="shared" si="313"/>
        <v>Stockout</v>
      </c>
      <c r="AE1317" s="44" t="str">
        <f>IFERROR(VLOOKUP(A1317,'[1]Re-order'!$A:$AA,27,0),"")</f>
        <v>Re-order</v>
      </c>
      <c r="AF1317" s="46">
        <f t="shared" si="314"/>
        <v>1</v>
      </c>
      <c r="AG1317" s="46">
        <f>SUMIFS('[1]Raw Inventory'!D:D,'[1]Raw Inventory'!C:C,"GREATWALL",'[1]Raw Inventory'!B:B,A1317)</f>
        <v>0</v>
      </c>
      <c r="AH1317" s="46">
        <f>SUMIFS('[1]Raw Inventory'!D:D,'[1]Raw Inventory'!C:C,"DUARTE",'[1]Raw Inventory'!B:B,A1317)</f>
        <v>0</v>
      </c>
      <c r="AI1317" s="46"/>
      <c r="AJ1317" s="46"/>
      <c r="AK1317" s="43"/>
      <c r="AL1317" s="43"/>
      <c r="AM1317" s="43"/>
      <c r="AN1317" s="43"/>
      <c r="AO1317" s="43"/>
      <c r="AP1317" s="43"/>
      <c r="AQ1317" s="43"/>
      <c r="AR1317" s="43"/>
      <c r="AS1317" s="43"/>
      <c r="AT1317" s="43"/>
    </row>
    <row r="1318" spans="1:46">
      <c r="A1318" s="43" t="s">
        <v>28</v>
      </c>
      <c r="B1318" s="43" t="s">
        <v>145</v>
      </c>
      <c r="C1318" s="43" t="s">
        <v>137</v>
      </c>
      <c r="D1318" s="44" t="s">
        <v>259</v>
      </c>
      <c r="E1318" s="44">
        <v>5</v>
      </c>
      <c r="F1318" s="44" t="s">
        <v>0</v>
      </c>
      <c r="G1318" s="43" t="str">
        <f>IFERROR(VLOOKUP(A1318,'[1]MC Masterlist 2026-09-12'!$B:$M, 3, 0),"")</f>
        <v>YAMAHA</v>
      </c>
      <c r="H1318" s="45">
        <f>IFERROR(VLOOKUP(A1318,'[1]MC Masterlist 2026-09-12'!$B:$M, 6, 0),"")</f>
        <v>147312</v>
      </c>
      <c r="I1318" s="46">
        <v>0</v>
      </c>
      <c r="J1318" s="46">
        <v>1</v>
      </c>
      <c r="K1318" s="46">
        <v>2</v>
      </c>
      <c r="L1318" s="46">
        <f t="shared" si="300"/>
        <v>3</v>
      </c>
      <c r="M1318" s="46">
        <f t="shared" si="301"/>
        <v>1</v>
      </c>
      <c r="N1318" s="45">
        <f t="shared" si="302"/>
        <v>441936</v>
      </c>
      <c r="O1318" s="45">
        <f t="shared" si="303"/>
        <v>147312</v>
      </c>
      <c r="P1318" s="46">
        <f t="shared" si="304"/>
        <v>3.3333333333333333E-2</v>
      </c>
      <c r="Q1318" s="46">
        <v>1</v>
      </c>
      <c r="R1318" s="45">
        <f t="shared" si="305"/>
        <v>147312</v>
      </c>
      <c r="S1318" s="46">
        <f t="shared" si="306"/>
        <v>30</v>
      </c>
      <c r="T1318" s="46">
        <f>IFERROR(VLOOKUP(A1318,'[1]Re-order'!$A:$Q,17,0),"")</f>
        <v>8.2417582417582427</v>
      </c>
      <c r="U1318" s="46">
        <f>IFERROR(VLOOKUP(A1318,'[1]MC Masterlist 2026-09-12'!$B:$M, 10, 0),0)</f>
        <v>15</v>
      </c>
      <c r="V1318" s="46">
        <f>IFERROR(VLOOKUP(A1318,'[1]MC Masterlist 2026-09-12'!$B:$M, 11, 0),0)</f>
        <v>15</v>
      </c>
      <c r="W1318" s="46">
        <f t="shared" si="307"/>
        <v>30</v>
      </c>
      <c r="X1318" s="46">
        <f t="shared" si="308"/>
        <v>6.5</v>
      </c>
      <c r="Y1318" s="46">
        <f>IFERROR(IF(OR(C1318="AREA I",C1318="AREA V"),7,VLOOKUP(A1318,'[1]MC Masterlist 2026-09-12'!$B:$M, 12, 0)),0)</f>
        <v>7</v>
      </c>
      <c r="Z1318" s="46">
        <f t="shared" si="309"/>
        <v>0.5</v>
      </c>
      <c r="AA1318" s="46">
        <f t="shared" si="310"/>
        <v>1</v>
      </c>
      <c r="AB1318" s="46">
        <f t="shared" si="311"/>
        <v>0.21666666666666667</v>
      </c>
      <c r="AC1318" s="46">
        <f t="shared" si="312"/>
        <v>0.23333333333333334</v>
      </c>
      <c r="AD1318" s="44" t="str">
        <f t="shared" si="313"/>
        <v>Over</v>
      </c>
      <c r="AE1318" s="44" t="str">
        <f>IFERROR(VLOOKUP(A1318,'[1]Re-order'!$A:$AA,27,0),"")</f>
        <v>Stockout</v>
      </c>
      <c r="AF1318" s="46">
        <f t="shared" si="314"/>
        <v>-0.76666666666666661</v>
      </c>
      <c r="AG1318" s="46">
        <f>SUMIFS('[1]Raw Inventory'!D:D,'[1]Raw Inventory'!C:C,"GREATWALL",'[1]Raw Inventory'!B:B,A1318)</f>
        <v>0</v>
      </c>
      <c r="AH1318" s="46">
        <f>SUMIFS('[1]Raw Inventory'!D:D,'[1]Raw Inventory'!C:C,"DUARTE",'[1]Raw Inventory'!B:B,A1318)</f>
        <v>0</v>
      </c>
      <c r="AI1318" s="46"/>
      <c r="AJ1318" s="46"/>
      <c r="AK1318" s="43"/>
      <c r="AL1318" s="43"/>
      <c r="AM1318" s="43"/>
      <c r="AN1318" s="43"/>
      <c r="AO1318" s="43"/>
      <c r="AP1318" s="43"/>
      <c r="AQ1318" s="43"/>
      <c r="AR1318" s="43"/>
      <c r="AS1318" s="43"/>
      <c r="AT1318" s="43"/>
    </row>
    <row r="1319" spans="1:46">
      <c r="A1319" s="43" t="s">
        <v>53</v>
      </c>
      <c r="B1319" s="43" t="s">
        <v>97</v>
      </c>
      <c r="C1319" s="43" t="s">
        <v>90</v>
      </c>
      <c r="D1319" s="44" t="s">
        <v>267</v>
      </c>
      <c r="E1319" s="44">
        <v>17</v>
      </c>
      <c r="F1319" s="44" t="s">
        <v>3</v>
      </c>
      <c r="G1319" s="43" t="str">
        <f>IFERROR(VLOOKUP(A1319,'[1]MC Masterlist 2026-09-12'!$B:$M, 3, 0),"")</f>
        <v>HONDA</v>
      </c>
      <c r="H1319" s="45">
        <f>IFERROR(VLOOKUP(A1319,'[1]MC Masterlist 2026-09-12'!$B:$M, 6, 0),"")</f>
        <v>118838</v>
      </c>
      <c r="I1319" s="46">
        <v>0</v>
      </c>
      <c r="J1319" s="46">
        <v>0</v>
      </c>
      <c r="K1319" s="46">
        <v>0</v>
      </c>
      <c r="L1319" s="46">
        <f t="shared" si="300"/>
        <v>0</v>
      </c>
      <c r="M1319" s="46">
        <f t="shared" si="301"/>
        <v>0</v>
      </c>
      <c r="N1319" s="45">
        <f t="shared" si="302"/>
        <v>0</v>
      </c>
      <c r="O1319" s="45">
        <f t="shared" si="303"/>
        <v>0</v>
      </c>
      <c r="P1319" s="46">
        <f t="shared" si="304"/>
        <v>0</v>
      </c>
      <c r="Q1319" s="46">
        <v>1</v>
      </c>
      <c r="R1319" s="45">
        <f t="shared" si="305"/>
        <v>118838</v>
      </c>
      <c r="S1319" s="46">
        <f t="shared" si="306"/>
        <v>0</v>
      </c>
      <c r="T1319" s="46">
        <f>IFERROR(VLOOKUP(A1319,'[1]Re-order'!$A:$Q,17,0),"")</f>
        <v>360</v>
      </c>
      <c r="U1319" s="46">
        <f>IFERROR(VLOOKUP(A1319,'[1]MC Masterlist 2026-09-12'!$B:$M, 10, 0),0)</f>
        <v>15</v>
      </c>
      <c r="V1319" s="46">
        <f>IFERROR(VLOOKUP(A1319,'[1]MC Masterlist 2026-09-12'!$B:$M, 11, 0),0)</f>
        <v>15</v>
      </c>
      <c r="W1319" s="46">
        <f t="shared" si="307"/>
        <v>30</v>
      </c>
      <c r="X1319" s="46">
        <f t="shared" si="308"/>
        <v>30</v>
      </c>
      <c r="Y1319" s="46">
        <f>IFERROR(IF(OR(C1319="AREA I",C1319="AREA V"),7,VLOOKUP(A1319,'[1]MC Masterlist 2026-09-12'!$B:$M, 12, 0)),0)</f>
        <v>30</v>
      </c>
      <c r="Z1319" s="46">
        <f t="shared" si="309"/>
        <v>0</v>
      </c>
      <c r="AA1319" s="46">
        <f t="shared" si="310"/>
        <v>0</v>
      </c>
      <c r="AB1319" s="46">
        <f t="shared" si="311"/>
        <v>0</v>
      </c>
      <c r="AC1319" s="46">
        <f t="shared" si="312"/>
        <v>0</v>
      </c>
      <c r="AD1319" s="44" t="str">
        <f t="shared" si="313"/>
        <v>Over</v>
      </c>
      <c r="AE1319" s="44" t="str">
        <f>IFERROR(VLOOKUP(A1319,'[1]Re-order'!$A:$AA,27,0),"")</f>
        <v>Over</v>
      </c>
      <c r="AF1319" s="46">
        <f t="shared" si="314"/>
        <v>-1</v>
      </c>
      <c r="AG1319" s="46">
        <f>SUMIFS('[1]Raw Inventory'!D:D,'[1]Raw Inventory'!C:C,"GREATWALL",'[1]Raw Inventory'!B:B,A1319)</f>
        <v>0</v>
      </c>
      <c r="AH1319" s="46">
        <f>SUMIFS('[1]Raw Inventory'!D:D,'[1]Raw Inventory'!C:C,"DUARTE",'[1]Raw Inventory'!B:B,A1319)</f>
        <v>0</v>
      </c>
      <c r="AI1319" s="46"/>
      <c r="AJ1319" s="46"/>
      <c r="AK1319" s="43"/>
      <c r="AL1319" s="43"/>
      <c r="AM1319" s="43"/>
      <c r="AN1319" s="43"/>
      <c r="AO1319" s="43"/>
      <c r="AP1319" s="43"/>
      <c r="AQ1319" s="43"/>
      <c r="AR1319" s="43"/>
      <c r="AS1319" s="43"/>
      <c r="AT1319" s="43"/>
    </row>
    <row r="1320" spans="1:46">
      <c r="A1320" s="43" t="s">
        <v>77</v>
      </c>
      <c r="B1320" s="43" t="s">
        <v>141</v>
      </c>
      <c r="C1320" s="43" t="s">
        <v>137</v>
      </c>
      <c r="D1320" s="44" t="s">
        <v>258</v>
      </c>
      <c r="E1320" s="44">
        <v>28</v>
      </c>
      <c r="F1320" s="44" t="s">
        <v>3</v>
      </c>
      <c r="G1320" s="43" t="str">
        <f>IFERROR(VLOOKUP(A1320,'[1]MC Masterlist 2026-09-12'!$B:$M, 3, 0),"")</f>
        <v>SUZUKI</v>
      </c>
      <c r="H1320" s="45">
        <f>IFERROR(VLOOKUP(A1320,'[1]MC Masterlist 2026-09-12'!$B:$M, 6, 0),"")</f>
        <v>91057</v>
      </c>
      <c r="I1320" s="46">
        <v>0</v>
      </c>
      <c r="J1320" s="46">
        <v>0</v>
      </c>
      <c r="K1320" s="46">
        <v>0</v>
      </c>
      <c r="L1320" s="46">
        <f t="shared" si="300"/>
        <v>0</v>
      </c>
      <c r="M1320" s="46">
        <f t="shared" si="301"/>
        <v>0</v>
      </c>
      <c r="N1320" s="45">
        <f t="shared" si="302"/>
        <v>0</v>
      </c>
      <c r="O1320" s="45">
        <f t="shared" si="303"/>
        <v>0</v>
      </c>
      <c r="P1320" s="46">
        <f t="shared" si="304"/>
        <v>0</v>
      </c>
      <c r="Q1320" s="46">
        <v>2</v>
      </c>
      <c r="R1320" s="45">
        <f t="shared" si="305"/>
        <v>182114</v>
      </c>
      <c r="S1320" s="46">
        <f t="shared" si="306"/>
        <v>0</v>
      </c>
      <c r="T1320" s="46">
        <f>IFERROR(VLOOKUP(A1320,'[1]Re-order'!$A:$Q,17,0),"")</f>
        <v>1125</v>
      </c>
      <c r="U1320" s="46">
        <f>IFERROR(VLOOKUP(A1320,'[1]MC Masterlist 2026-09-12'!$B:$M, 10, 0),0)</f>
        <v>15</v>
      </c>
      <c r="V1320" s="46">
        <f>IFERROR(VLOOKUP(A1320,'[1]MC Masterlist 2026-09-12'!$B:$M, 11, 0),0)</f>
        <v>15</v>
      </c>
      <c r="W1320" s="46">
        <f t="shared" si="307"/>
        <v>30</v>
      </c>
      <c r="X1320" s="46">
        <f t="shared" si="308"/>
        <v>7</v>
      </c>
      <c r="Y1320" s="46">
        <f>IFERROR(IF(OR(C1320="AREA I",C1320="AREA V"),7,VLOOKUP(A1320,'[1]MC Masterlist 2026-09-12'!$B:$M, 12, 0)),0)</f>
        <v>7</v>
      </c>
      <c r="Z1320" s="46">
        <f t="shared" si="309"/>
        <v>0</v>
      </c>
      <c r="AA1320" s="46">
        <f t="shared" si="310"/>
        <v>0</v>
      </c>
      <c r="AB1320" s="46">
        <f t="shared" si="311"/>
        <v>0</v>
      </c>
      <c r="AC1320" s="46">
        <f t="shared" si="312"/>
        <v>0</v>
      </c>
      <c r="AD1320" s="44" t="str">
        <f t="shared" si="313"/>
        <v>Over</v>
      </c>
      <c r="AE1320" s="44" t="str">
        <f>IFERROR(VLOOKUP(A1320,'[1]Re-order'!$A:$AA,27,0),"")</f>
        <v>Over</v>
      </c>
      <c r="AF1320" s="46">
        <f t="shared" si="314"/>
        <v>-2</v>
      </c>
      <c r="AG1320" s="46">
        <f>SUMIFS('[1]Raw Inventory'!D:D,'[1]Raw Inventory'!C:C,"GREATWALL",'[1]Raw Inventory'!B:B,A1320)</f>
        <v>13</v>
      </c>
      <c r="AH1320" s="46">
        <f>SUMIFS('[1]Raw Inventory'!D:D,'[1]Raw Inventory'!C:C,"DUARTE",'[1]Raw Inventory'!B:B,A1320)</f>
        <v>0</v>
      </c>
      <c r="AI1320" s="46"/>
      <c r="AJ1320" s="46"/>
      <c r="AK1320" s="43"/>
      <c r="AL1320" s="43"/>
      <c r="AM1320" s="43"/>
      <c r="AN1320" s="43"/>
      <c r="AO1320" s="43"/>
      <c r="AP1320" s="43"/>
      <c r="AQ1320" s="43"/>
      <c r="AR1320" s="43"/>
      <c r="AS1320" s="43"/>
      <c r="AT1320" s="43"/>
    </row>
    <row r="1321" spans="1:46">
      <c r="A1321" s="43" t="s">
        <v>70</v>
      </c>
      <c r="B1321" s="43" t="s">
        <v>144</v>
      </c>
      <c r="C1321" s="43" t="s">
        <v>137</v>
      </c>
      <c r="D1321" s="44" t="s">
        <v>235</v>
      </c>
      <c r="E1321" s="44">
        <v>28</v>
      </c>
      <c r="F1321" s="44" t="s">
        <v>3</v>
      </c>
      <c r="G1321" s="43" t="str">
        <f>IFERROR(VLOOKUP(A1321,'[1]MC Masterlist 2026-09-12'!$B:$M, 3, 0),"")</f>
        <v>KAWASAKI</v>
      </c>
      <c r="H1321" s="45">
        <f>IFERROR(VLOOKUP(A1321,'[1]MC Masterlist 2026-09-12'!$B:$M, 6, 0),"")</f>
        <v>91770</v>
      </c>
      <c r="I1321" s="46">
        <v>0</v>
      </c>
      <c r="J1321" s="46">
        <v>0</v>
      </c>
      <c r="K1321" s="46">
        <v>1</v>
      </c>
      <c r="L1321" s="46">
        <f t="shared" si="300"/>
        <v>1</v>
      </c>
      <c r="M1321" s="46">
        <f t="shared" si="301"/>
        <v>0.33333333333333331</v>
      </c>
      <c r="N1321" s="45">
        <f t="shared" si="302"/>
        <v>91770</v>
      </c>
      <c r="O1321" s="45">
        <f t="shared" si="303"/>
        <v>30590</v>
      </c>
      <c r="P1321" s="46">
        <f t="shared" si="304"/>
        <v>1.111111111111111E-2</v>
      </c>
      <c r="Q1321" s="46"/>
      <c r="R1321" s="45">
        <f t="shared" si="305"/>
        <v>0</v>
      </c>
      <c r="S1321" s="46">
        <f t="shared" si="306"/>
        <v>0</v>
      </c>
      <c r="T1321" s="46">
        <f>IFERROR(VLOOKUP(A1321,'[1]Re-order'!$A:$Q,17,0),"")</f>
        <v>255</v>
      </c>
      <c r="U1321" s="46">
        <f>IFERROR(VLOOKUP(A1321,'[1]MC Masterlist 2026-09-12'!$B:$M, 10, 0),0)</f>
        <v>15</v>
      </c>
      <c r="V1321" s="46">
        <f>IFERROR(VLOOKUP(A1321,'[1]MC Masterlist 2026-09-12'!$B:$M, 11, 0),0)</f>
        <v>15</v>
      </c>
      <c r="W1321" s="46">
        <f t="shared" si="307"/>
        <v>30</v>
      </c>
      <c r="X1321" s="46">
        <f t="shared" si="308"/>
        <v>6.833333333333333</v>
      </c>
      <c r="Y1321" s="46">
        <f>IFERROR(IF(OR(C1321="AREA I",C1321="AREA V"),7,VLOOKUP(A1321,'[1]MC Masterlist 2026-09-12'!$B:$M, 12, 0)),0)</f>
        <v>7</v>
      </c>
      <c r="Z1321" s="46">
        <f t="shared" si="309"/>
        <v>0.16666666666666666</v>
      </c>
      <c r="AA1321" s="46">
        <f t="shared" si="310"/>
        <v>0.33333333333333331</v>
      </c>
      <c r="AB1321" s="46">
        <f t="shared" si="311"/>
        <v>7.5925925925925911E-2</v>
      </c>
      <c r="AC1321" s="46">
        <f t="shared" si="312"/>
        <v>7.7777777777777765E-2</v>
      </c>
      <c r="AD1321" s="44" t="str">
        <f t="shared" si="313"/>
        <v>Stockout</v>
      </c>
      <c r="AE1321" s="44" t="str">
        <f>IFERROR(VLOOKUP(A1321,'[1]Re-order'!$A:$AA,27,0),"")</f>
        <v>Over</v>
      </c>
      <c r="AF1321" s="46">
        <f t="shared" si="314"/>
        <v>7.7777777777777765E-2</v>
      </c>
      <c r="AG1321" s="46">
        <f>SUMIFS('[1]Raw Inventory'!D:D,'[1]Raw Inventory'!C:C,"GREATWALL",'[1]Raw Inventory'!B:B,A1321)</f>
        <v>4</v>
      </c>
      <c r="AH1321" s="46">
        <f>SUMIFS('[1]Raw Inventory'!D:D,'[1]Raw Inventory'!C:C,"DUARTE",'[1]Raw Inventory'!B:B,A1321)</f>
        <v>0</v>
      </c>
      <c r="AI1321" s="46"/>
      <c r="AJ1321" s="46"/>
      <c r="AK1321" s="43"/>
      <c r="AL1321" s="43"/>
      <c r="AM1321" s="43"/>
      <c r="AN1321" s="43"/>
      <c r="AO1321" s="43"/>
      <c r="AP1321" s="43"/>
      <c r="AQ1321" s="43"/>
      <c r="AR1321" s="43"/>
      <c r="AS1321" s="43"/>
      <c r="AT1321" s="43"/>
    </row>
    <row r="1322" spans="1:46">
      <c r="A1322" s="43" t="s">
        <v>62</v>
      </c>
      <c r="B1322" s="43" t="s">
        <v>111</v>
      </c>
      <c r="C1322" s="43" t="s">
        <v>109</v>
      </c>
      <c r="D1322" s="44" t="s">
        <v>228</v>
      </c>
      <c r="E1322" s="44">
        <v>18</v>
      </c>
      <c r="F1322" s="44" t="s">
        <v>2</v>
      </c>
      <c r="G1322" s="43" t="str">
        <f>IFERROR(VLOOKUP(A1322,'[1]MC Masterlist 2026-09-12'!$B:$M, 3, 0),"")</f>
        <v>HONDA</v>
      </c>
      <c r="H1322" s="45">
        <f>IFERROR(VLOOKUP(A1322,'[1]MC Masterlist 2026-09-12'!$B:$M, 6, 0),"")</f>
        <v>123310</v>
      </c>
      <c r="I1322" s="46">
        <v>1</v>
      </c>
      <c r="J1322" s="46">
        <v>0</v>
      </c>
      <c r="K1322" s="46">
        <v>0</v>
      </c>
      <c r="L1322" s="46">
        <f t="shared" si="300"/>
        <v>1</v>
      </c>
      <c r="M1322" s="46">
        <f t="shared" si="301"/>
        <v>0.33333333333333331</v>
      </c>
      <c r="N1322" s="45">
        <f t="shared" si="302"/>
        <v>123310</v>
      </c>
      <c r="O1322" s="45">
        <f t="shared" si="303"/>
        <v>41103.333333333328</v>
      </c>
      <c r="P1322" s="46">
        <f t="shared" si="304"/>
        <v>1.111111111111111E-2</v>
      </c>
      <c r="Q1322" s="46"/>
      <c r="R1322" s="45">
        <f t="shared" si="305"/>
        <v>0</v>
      </c>
      <c r="S1322" s="46">
        <f t="shared" si="306"/>
        <v>0</v>
      </c>
      <c r="T1322" s="46">
        <f>IFERROR(VLOOKUP(A1322,'[1]Re-order'!$A:$Q,17,0),"")</f>
        <v>165</v>
      </c>
      <c r="U1322" s="46">
        <f>IFERROR(VLOOKUP(A1322,'[1]MC Masterlist 2026-09-12'!$B:$M, 10, 0),0)</f>
        <v>15</v>
      </c>
      <c r="V1322" s="46">
        <f>IFERROR(VLOOKUP(A1322,'[1]MC Masterlist 2026-09-12'!$B:$M, 11, 0),0)</f>
        <v>15</v>
      </c>
      <c r="W1322" s="46">
        <f t="shared" si="307"/>
        <v>30</v>
      </c>
      <c r="X1322" s="46">
        <f t="shared" si="308"/>
        <v>29.833333333333332</v>
      </c>
      <c r="Y1322" s="46">
        <f>IFERROR(IF(OR(C1322="AREA I",C1322="AREA V"),7,VLOOKUP(A1322,'[1]MC Masterlist 2026-09-12'!$B:$M, 12, 0)),0)</f>
        <v>30</v>
      </c>
      <c r="Z1322" s="46">
        <f t="shared" si="309"/>
        <v>0.16666666666666666</v>
      </c>
      <c r="AA1322" s="46">
        <f t="shared" si="310"/>
        <v>0.33333333333333331</v>
      </c>
      <c r="AB1322" s="46">
        <f t="shared" si="311"/>
        <v>0.33148148148148143</v>
      </c>
      <c r="AC1322" s="46">
        <f t="shared" si="312"/>
        <v>0.33333333333333331</v>
      </c>
      <c r="AD1322" s="44" t="str">
        <f t="shared" si="313"/>
        <v>Stockout</v>
      </c>
      <c r="AE1322" s="44" t="str">
        <f>IFERROR(VLOOKUP(A1322,'[1]Re-order'!$A:$AA,27,0),"")</f>
        <v>Over</v>
      </c>
      <c r="AF1322" s="46">
        <f t="shared" si="314"/>
        <v>0.33333333333333331</v>
      </c>
      <c r="AG1322" s="46">
        <f>SUMIFS('[1]Raw Inventory'!D:D,'[1]Raw Inventory'!C:C,"GREATWALL",'[1]Raw Inventory'!B:B,A1322)</f>
        <v>4</v>
      </c>
      <c r="AH1322" s="46">
        <f>SUMIFS('[1]Raw Inventory'!D:D,'[1]Raw Inventory'!C:C,"DUARTE",'[1]Raw Inventory'!B:B,A1322)</f>
        <v>0</v>
      </c>
      <c r="AI1322" s="46"/>
      <c r="AJ1322" s="46"/>
      <c r="AK1322" s="43"/>
      <c r="AL1322" s="43"/>
      <c r="AM1322" s="43"/>
      <c r="AN1322" s="43"/>
      <c r="AO1322" s="43"/>
      <c r="AP1322" s="43"/>
      <c r="AQ1322" s="43"/>
      <c r="AR1322" s="43"/>
      <c r="AS1322" s="43"/>
      <c r="AT1322" s="43"/>
    </row>
    <row r="1323" spans="1:46">
      <c r="A1323" s="43" t="s">
        <v>67</v>
      </c>
      <c r="B1323" s="43" t="s">
        <v>160</v>
      </c>
      <c r="C1323" s="43" t="s">
        <v>159</v>
      </c>
      <c r="D1323" s="44" t="s">
        <v>243</v>
      </c>
      <c r="E1323" s="44">
        <v>16</v>
      </c>
      <c r="F1323" s="44" t="s">
        <v>2</v>
      </c>
      <c r="G1323" s="43" t="str">
        <f>IFERROR(VLOOKUP(A1323,'[1]MC Masterlist 2026-09-12'!$B:$M, 3, 0),"")</f>
        <v>YAMAHA</v>
      </c>
      <c r="H1323" s="45">
        <f>IFERROR(VLOOKUP(A1323,'[1]MC Masterlist 2026-09-12'!$B:$M, 6, 0),"")</f>
        <v>86397</v>
      </c>
      <c r="I1323" s="46">
        <v>1</v>
      </c>
      <c r="J1323" s="46">
        <v>1</v>
      </c>
      <c r="K1323" s="46">
        <v>0</v>
      </c>
      <c r="L1323" s="46">
        <f t="shared" si="300"/>
        <v>2</v>
      </c>
      <c r="M1323" s="46">
        <f t="shared" si="301"/>
        <v>0.66666666666666663</v>
      </c>
      <c r="N1323" s="45">
        <f t="shared" si="302"/>
        <v>172794</v>
      </c>
      <c r="O1323" s="45">
        <f t="shared" si="303"/>
        <v>57598</v>
      </c>
      <c r="P1323" s="46">
        <f t="shared" si="304"/>
        <v>2.222222222222222E-2</v>
      </c>
      <c r="Q1323" s="46"/>
      <c r="R1323" s="45">
        <f t="shared" si="305"/>
        <v>0</v>
      </c>
      <c r="S1323" s="46">
        <f t="shared" si="306"/>
        <v>0</v>
      </c>
      <c r="T1323" s="46">
        <f>IFERROR(VLOOKUP(A1323,'[1]Re-order'!$A:$Q,17,0),"")</f>
        <v>73.63636363636364</v>
      </c>
      <c r="U1323" s="46">
        <f>IFERROR(VLOOKUP(A1323,'[1]MC Masterlist 2026-09-12'!$B:$M, 10, 0),0)</f>
        <v>15</v>
      </c>
      <c r="V1323" s="46">
        <f>IFERROR(VLOOKUP(A1323,'[1]MC Masterlist 2026-09-12'!$B:$M, 11, 0),0)</f>
        <v>15</v>
      </c>
      <c r="W1323" s="46">
        <f t="shared" si="307"/>
        <v>30</v>
      </c>
      <c r="X1323" s="46">
        <f t="shared" si="308"/>
        <v>29.666666666666668</v>
      </c>
      <c r="Y1323" s="46">
        <f>IFERROR(IF(OR(C1323="AREA I",C1323="AREA V"),7,VLOOKUP(A1323,'[1]MC Masterlist 2026-09-12'!$B:$M, 12, 0)),0)</f>
        <v>30</v>
      </c>
      <c r="Z1323" s="46">
        <f t="shared" si="309"/>
        <v>0.33333333333333331</v>
      </c>
      <c r="AA1323" s="46">
        <f t="shared" si="310"/>
        <v>0.66666666666666663</v>
      </c>
      <c r="AB1323" s="46">
        <f t="shared" si="311"/>
        <v>0.65925925925925921</v>
      </c>
      <c r="AC1323" s="46">
        <f t="shared" si="312"/>
        <v>0.66666666666666663</v>
      </c>
      <c r="AD1323" s="44" t="str">
        <f t="shared" si="313"/>
        <v>Stockout</v>
      </c>
      <c r="AE1323" s="44" t="str">
        <f>IFERROR(VLOOKUP(A1323,'[1]Re-order'!$A:$AA,27,0),"")</f>
        <v>Re-order</v>
      </c>
      <c r="AF1323" s="46">
        <f t="shared" si="314"/>
        <v>0.66666666666666663</v>
      </c>
      <c r="AG1323" s="46">
        <f>SUMIFS('[1]Raw Inventory'!D:D,'[1]Raw Inventory'!C:C,"GREATWALL",'[1]Raw Inventory'!B:B,A1323)</f>
        <v>1</v>
      </c>
      <c r="AH1323" s="46">
        <f>SUMIFS('[1]Raw Inventory'!D:D,'[1]Raw Inventory'!C:C,"DUARTE",'[1]Raw Inventory'!B:B,A1323)</f>
        <v>0</v>
      </c>
      <c r="AI1323" s="46"/>
      <c r="AJ1323" s="46"/>
      <c r="AK1323" s="43"/>
      <c r="AL1323" s="43"/>
      <c r="AM1323" s="43"/>
      <c r="AN1323" s="43"/>
      <c r="AO1323" s="43"/>
      <c r="AP1323" s="43"/>
      <c r="AQ1323" s="43"/>
      <c r="AR1323" s="43"/>
      <c r="AS1323" s="43"/>
      <c r="AT1323" s="43"/>
    </row>
    <row r="1324" spans="1:46">
      <c r="A1324" s="43" t="s">
        <v>26</v>
      </c>
      <c r="B1324" s="43" t="s">
        <v>144</v>
      </c>
      <c r="C1324" s="43" t="s">
        <v>137</v>
      </c>
      <c r="D1324" s="44" t="s">
        <v>236</v>
      </c>
      <c r="E1324" s="44">
        <v>9</v>
      </c>
      <c r="F1324" s="44" t="s">
        <v>2</v>
      </c>
      <c r="G1324" s="43" t="str">
        <f>IFERROR(VLOOKUP(A1324,'[1]MC Masterlist 2026-09-12'!$B:$M, 3, 0),"")</f>
        <v>SUZUKI</v>
      </c>
      <c r="H1324" s="45">
        <f>IFERROR(VLOOKUP(A1324,'[1]MC Masterlist 2026-09-12'!$B:$M, 6, 0),"")</f>
        <v>123700</v>
      </c>
      <c r="I1324" s="46">
        <v>2</v>
      </c>
      <c r="J1324" s="46">
        <v>4</v>
      </c>
      <c r="K1324" s="46">
        <v>2</v>
      </c>
      <c r="L1324" s="46">
        <f t="shared" si="300"/>
        <v>8</v>
      </c>
      <c r="M1324" s="46">
        <f t="shared" si="301"/>
        <v>2.6666666666666665</v>
      </c>
      <c r="N1324" s="45">
        <f t="shared" si="302"/>
        <v>989600</v>
      </c>
      <c r="O1324" s="45">
        <f t="shared" si="303"/>
        <v>329866.66666666663</v>
      </c>
      <c r="P1324" s="46">
        <f t="shared" si="304"/>
        <v>8.8888888888888878E-2</v>
      </c>
      <c r="Q1324" s="46">
        <v>3</v>
      </c>
      <c r="R1324" s="45">
        <f t="shared" si="305"/>
        <v>371100</v>
      </c>
      <c r="S1324" s="46">
        <f t="shared" si="306"/>
        <v>33.750000000000007</v>
      </c>
      <c r="T1324" s="46">
        <f>IFERROR(VLOOKUP(A1324,'[1]Re-order'!$A:$Q,17,0),"")</f>
        <v>71.470588235294116</v>
      </c>
      <c r="U1324" s="46">
        <f>IFERROR(VLOOKUP(A1324,'[1]MC Masterlist 2026-09-12'!$B:$M, 10, 0),0)</f>
        <v>15</v>
      </c>
      <c r="V1324" s="46">
        <f>IFERROR(VLOOKUP(A1324,'[1]MC Masterlist 2026-09-12'!$B:$M, 11, 0),0)</f>
        <v>15</v>
      </c>
      <c r="W1324" s="46">
        <f t="shared" si="307"/>
        <v>30</v>
      </c>
      <c r="X1324" s="46">
        <f t="shared" si="308"/>
        <v>5.666666666666667</v>
      </c>
      <c r="Y1324" s="46">
        <f>IFERROR(IF(OR(C1324="AREA I",C1324="AREA V"),7,VLOOKUP(A1324,'[1]MC Masterlist 2026-09-12'!$B:$M, 12, 0)),0)</f>
        <v>7</v>
      </c>
      <c r="Z1324" s="46">
        <f t="shared" si="309"/>
        <v>1.3333333333333333</v>
      </c>
      <c r="AA1324" s="46">
        <f t="shared" si="310"/>
        <v>2.6666666666666665</v>
      </c>
      <c r="AB1324" s="46">
        <f t="shared" si="311"/>
        <v>0.50370370370370365</v>
      </c>
      <c r="AC1324" s="46">
        <f t="shared" si="312"/>
        <v>0.62222222222222212</v>
      </c>
      <c r="AD1324" s="44" t="str">
        <f t="shared" si="313"/>
        <v>Over</v>
      </c>
      <c r="AE1324" s="44" t="str">
        <f>IFERROR(VLOOKUP(A1324,'[1]Re-order'!$A:$AA,27,0),"")</f>
        <v>Re-order</v>
      </c>
      <c r="AF1324" s="46">
        <f t="shared" si="314"/>
        <v>-2.3777777777777778</v>
      </c>
      <c r="AG1324" s="46">
        <f>SUMIFS('[1]Raw Inventory'!D:D,'[1]Raw Inventory'!C:C,"GREATWALL",'[1]Raw Inventory'!B:B,A1324)</f>
        <v>30</v>
      </c>
      <c r="AH1324" s="46">
        <f>SUMIFS('[1]Raw Inventory'!D:D,'[1]Raw Inventory'!C:C,"DUARTE",'[1]Raw Inventory'!B:B,A1324)</f>
        <v>0</v>
      </c>
      <c r="AI1324" s="46"/>
      <c r="AJ1324" s="46"/>
      <c r="AK1324" s="43"/>
      <c r="AL1324" s="43"/>
      <c r="AM1324" s="43"/>
      <c r="AN1324" s="43"/>
      <c r="AO1324" s="43"/>
      <c r="AP1324" s="43"/>
      <c r="AQ1324" s="43"/>
      <c r="AR1324" s="43"/>
      <c r="AS1324" s="43"/>
      <c r="AT1324" s="43"/>
    </row>
    <row r="1325" spans="1:46">
      <c r="A1325" s="43" t="s">
        <v>16</v>
      </c>
      <c r="B1325" s="43" t="s">
        <v>123</v>
      </c>
      <c r="C1325" s="43" t="s">
        <v>118</v>
      </c>
      <c r="D1325" s="44" t="s">
        <v>234</v>
      </c>
      <c r="E1325" s="44">
        <v>4</v>
      </c>
      <c r="F1325" s="44" t="s">
        <v>0</v>
      </c>
      <c r="G1325" s="43" t="str">
        <f>IFERROR(VLOOKUP(A1325,'[1]MC Masterlist 2026-09-12'!$B:$M, 3, 0),"")</f>
        <v>HONDA</v>
      </c>
      <c r="H1325" s="45">
        <f>IFERROR(VLOOKUP(A1325,'[1]MC Masterlist 2026-09-12'!$B:$M, 6, 0),"")</f>
        <v>84394</v>
      </c>
      <c r="I1325" s="46">
        <v>1</v>
      </c>
      <c r="J1325" s="46">
        <v>4</v>
      </c>
      <c r="K1325" s="46">
        <v>0</v>
      </c>
      <c r="L1325" s="46">
        <f t="shared" si="300"/>
        <v>5</v>
      </c>
      <c r="M1325" s="46">
        <f t="shared" si="301"/>
        <v>1.6666666666666667</v>
      </c>
      <c r="N1325" s="45">
        <f t="shared" si="302"/>
        <v>421970</v>
      </c>
      <c r="O1325" s="45">
        <f t="shared" si="303"/>
        <v>140656.66666666669</v>
      </c>
      <c r="P1325" s="46">
        <f t="shared" si="304"/>
        <v>5.5555555555555559E-2</v>
      </c>
      <c r="Q1325" s="46">
        <v>3</v>
      </c>
      <c r="R1325" s="45">
        <f t="shared" si="305"/>
        <v>253182</v>
      </c>
      <c r="S1325" s="46">
        <f t="shared" si="306"/>
        <v>53.999999999999993</v>
      </c>
      <c r="T1325" s="46">
        <f>IFERROR(VLOOKUP(A1325,'[1]Re-order'!$A:$Q,17,0),"")</f>
        <v>26.332665330661321</v>
      </c>
      <c r="U1325" s="46">
        <f>IFERROR(VLOOKUP(A1325,'[1]MC Masterlist 2026-09-12'!$B:$M, 10, 0),0)</f>
        <v>15</v>
      </c>
      <c r="V1325" s="46">
        <f>IFERROR(VLOOKUP(A1325,'[1]MC Masterlist 2026-09-12'!$B:$M, 11, 0),0)</f>
        <v>15</v>
      </c>
      <c r="W1325" s="46">
        <f t="shared" si="307"/>
        <v>30</v>
      </c>
      <c r="X1325" s="46">
        <f t="shared" si="308"/>
        <v>29.166666666666668</v>
      </c>
      <c r="Y1325" s="46">
        <f>IFERROR(IF(OR(C1325="AREA I",C1325="AREA V"),7,VLOOKUP(A1325,'[1]MC Masterlist 2026-09-12'!$B:$M, 12, 0)),0)</f>
        <v>30</v>
      </c>
      <c r="Z1325" s="46">
        <f t="shared" si="309"/>
        <v>0.83333333333333337</v>
      </c>
      <c r="AA1325" s="46">
        <f t="shared" si="310"/>
        <v>1.6666666666666667</v>
      </c>
      <c r="AB1325" s="46">
        <f t="shared" si="311"/>
        <v>1.6203703703703705</v>
      </c>
      <c r="AC1325" s="46">
        <f t="shared" si="312"/>
        <v>1.6666666666666667</v>
      </c>
      <c r="AD1325" s="44" t="str">
        <f t="shared" si="313"/>
        <v>Over</v>
      </c>
      <c r="AE1325" s="44" t="str">
        <f>IFERROR(VLOOKUP(A1325,'[1]Re-order'!$A:$AA,27,0),"")</f>
        <v>Stockout</v>
      </c>
      <c r="AF1325" s="46">
        <f t="shared" si="314"/>
        <v>-1.3333333333333333</v>
      </c>
      <c r="AG1325" s="46">
        <f>SUMIFS('[1]Raw Inventory'!D:D,'[1]Raw Inventory'!C:C,"GREATWALL",'[1]Raw Inventory'!B:B,A1325)</f>
        <v>58</v>
      </c>
      <c r="AH1325" s="46">
        <f>SUMIFS('[1]Raw Inventory'!D:D,'[1]Raw Inventory'!C:C,"DUARTE",'[1]Raw Inventory'!B:B,A1325)</f>
        <v>0</v>
      </c>
      <c r="AI1325" s="46"/>
      <c r="AJ1325" s="46"/>
      <c r="AK1325" s="43"/>
      <c r="AL1325" s="43"/>
      <c r="AM1325" s="43"/>
      <c r="AN1325" s="43"/>
      <c r="AO1325" s="43"/>
      <c r="AP1325" s="43"/>
      <c r="AQ1325" s="43"/>
      <c r="AR1325" s="43"/>
      <c r="AS1325" s="43"/>
      <c r="AT1325" s="43"/>
    </row>
    <row r="1326" spans="1:46">
      <c r="A1326" s="43" t="s">
        <v>31</v>
      </c>
      <c r="B1326" s="43" t="s">
        <v>144</v>
      </c>
      <c r="C1326" s="43" t="s">
        <v>137</v>
      </c>
      <c r="D1326" s="44" t="s">
        <v>240</v>
      </c>
      <c r="E1326" s="44">
        <v>12</v>
      </c>
      <c r="F1326" s="44" t="s">
        <v>2</v>
      </c>
      <c r="G1326" s="43" t="str">
        <f>IFERROR(VLOOKUP(A1326,'[1]MC Masterlist 2026-09-12'!$B:$M, 3, 0),"")</f>
        <v>KAWASAKI</v>
      </c>
      <c r="H1326" s="45">
        <f>IFERROR(VLOOKUP(A1326,'[1]MC Masterlist 2026-09-12'!$B:$M, 6, 0),"")</f>
        <v>59528</v>
      </c>
      <c r="I1326" s="46">
        <v>7</v>
      </c>
      <c r="J1326" s="46">
        <v>2</v>
      </c>
      <c r="K1326" s="46">
        <v>2</v>
      </c>
      <c r="L1326" s="46">
        <f t="shared" si="300"/>
        <v>11</v>
      </c>
      <c r="M1326" s="46">
        <f t="shared" si="301"/>
        <v>3.6666666666666665</v>
      </c>
      <c r="N1326" s="45">
        <f t="shared" si="302"/>
        <v>654808</v>
      </c>
      <c r="O1326" s="45">
        <f t="shared" si="303"/>
        <v>218269.33333333331</v>
      </c>
      <c r="P1326" s="46">
        <f t="shared" si="304"/>
        <v>0.12222222222222222</v>
      </c>
      <c r="Q1326" s="46"/>
      <c r="R1326" s="45">
        <f t="shared" si="305"/>
        <v>0</v>
      </c>
      <c r="S1326" s="46">
        <f t="shared" si="306"/>
        <v>0</v>
      </c>
      <c r="T1326" s="46">
        <f>IFERROR(VLOOKUP(A1326,'[1]Re-order'!$A:$Q,17,0),"")</f>
        <v>95.869565217391298</v>
      </c>
      <c r="U1326" s="46">
        <f>IFERROR(VLOOKUP(A1326,'[1]MC Masterlist 2026-09-12'!$B:$M, 10, 0),0)</f>
        <v>15</v>
      </c>
      <c r="V1326" s="46">
        <f>IFERROR(VLOOKUP(A1326,'[1]MC Masterlist 2026-09-12'!$B:$M, 11, 0),0)</f>
        <v>15</v>
      </c>
      <c r="W1326" s="46">
        <f t="shared" si="307"/>
        <v>30</v>
      </c>
      <c r="X1326" s="46">
        <f t="shared" si="308"/>
        <v>5.166666666666667</v>
      </c>
      <c r="Y1326" s="46">
        <f>IFERROR(IF(OR(C1326="AREA I",C1326="AREA V"),7,VLOOKUP(A1326,'[1]MC Masterlist 2026-09-12'!$B:$M, 12, 0)),0)</f>
        <v>7</v>
      </c>
      <c r="Z1326" s="46">
        <f t="shared" si="309"/>
        <v>1.8333333333333333</v>
      </c>
      <c r="AA1326" s="46">
        <f t="shared" si="310"/>
        <v>3.6666666666666665</v>
      </c>
      <c r="AB1326" s="46">
        <f t="shared" si="311"/>
        <v>0.63148148148148153</v>
      </c>
      <c r="AC1326" s="46">
        <f t="shared" si="312"/>
        <v>0.85555555555555551</v>
      </c>
      <c r="AD1326" s="44" t="str">
        <f t="shared" si="313"/>
        <v>Stockout</v>
      </c>
      <c r="AE1326" s="44" t="str">
        <f>IFERROR(VLOOKUP(A1326,'[1]Re-order'!$A:$AA,27,0),"")</f>
        <v>Over</v>
      </c>
      <c r="AF1326" s="46">
        <f t="shared" si="314"/>
        <v>0.85555555555555551</v>
      </c>
      <c r="AG1326" s="46">
        <f>SUMIFS('[1]Raw Inventory'!D:D,'[1]Raw Inventory'!C:C,"GREATWALL",'[1]Raw Inventory'!B:B,A1326)</f>
        <v>79</v>
      </c>
      <c r="AH1326" s="46">
        <f>SUMIFS('[1]Raw Inventory'!D:D,'[1]Raw Inventory'!C:C,"DUARTE",'[1]Raw Inventory'!B:B,A1326)</f>
        <v>0</v>
      </c>
      <c r="AI1326" s="46"/>
      <c r="AJ1326" s="46"/>
      <c r="AK1326" s="43"/>
      <c r="AL1326" s="43"/>
      <c r="AM1326" s="43"/>
      <c r="AN1326" s="43"/>
      <c r="AO1326" s="43"/>
      <c r="AP1326" s="43"/>
      <c r="AQ1326" s="43"/>
      <c r="AR1326" s="43"/>
      <c r="AS1326" s="43"/>
      <c r="AT1326" s="43"/>
    </row>
    <row r="1327" spans="1:46">
      <c r="A1327" s="43" t="s">
        <v>44</v>
      </c>
      <c r="B1327" s="43" t="s">
        <v>157</v>
      </c>
      <c r="C1327" s="43" t="s">
        <v>152</v>
      </c>
      <c r="D1327" s="44" t="s">
        <v>253</v>
      </c>
      <c r="E1327" s="44">
        <v>24</v>
      </c>
      <c r="F1327" s="44" t="s">
        <v>3</v>
      </c>
      <c r="G1327" s="43" t="str">
        <f>IFERROR(VLOOKUP(A1327,'[1]MC Masterlist 2026-09-12'!$B:$M, 3, 0),"")</f>
        <v>YAMAHA</v>
      </c>
      <c r="H1327" s="45">
        <f>IFERROR(VLOOKUP(A1327,'[1]MC Masterlist 2026-09-12'!$B:$M, 6, 0),"")</f>
        <v>165912</v>
      </c>
      <c r="I1327" s="46">
        <v>0</v>
      </c>
      <c r="J1327" s="46">
        <v>0</v>
      </c>
      <c r="K1327" s="46">
        <v>0</v>
      </c>
      <c r="L1327" s="46">
        <f t="shared" si="300"/>
        <v>0</v>
      </c>
      <c r="M1327" s="46">
        <f t="shared" si="301"/>
        <v>0</v>
      </c>
      <c r="N1327" s="45">
        <f t="shared" si="302"/>
        <v>0</v>
      </c>
      <c r="O1327" s="45">
        <f t="shared" si="303"/>
        <v>0</v>
      </c>
      <c r="P1327" s="46">
        <f t="shared" si="304"/>
        <v>0</v>
      </c>
      <c r="Q1327" s="46">
        <v>1</v>
      </c>
      <c r="R1327" s="45">
        <f t="shared" si="305"/>
        <v>165912</v>
      </c>
      <c r="S1327" s="46">
        <f t="shared" si="306"/>
        <v>0</v>
      </c>
      <c r="T1327" s="46">
        <f>IFERROR(VLOOKUP(A1327,'[1]Re-order'!$A:$Q,17,0),"")</f>
        <v>10.588235294117649</v>
      </c>
      <c r="U1327" s="46">
        <f>IFERROR(VLOOKUP(A1327,'[1]MC Masterlist 2026-09-12'!$B:$M, 10, 0),0)</f>
        <v>15</v>
      </c>
      <c r="V1327" s="46">
        <f>IFERROR(VLOOKUP(A1327,'[1]MC Masterlist 2026-09-12'!$B:$M, 11, 0),0)</f>
        <v>15</v>
      </c>
      <c r="W1327" s="46">
        <f t="shared" si="307"/>
        <v>30</v>
      </c>
      <c r="X1327" s="46">
        <f t="shared" si="308"/>
        <v>30</v>
      </c>
      <c r="Y1327" s="46">
        <f>IFERROR(IF(OR(C1327="AREA I",C1327="AREA V"),7,VLOOKUP(A1327,'[1]MC Masterlist 2026-09-12'!$B:$M, 12, 0)),0)</f>
        <v>30</v>
      </c>
      <c r="Z1327" s="46">
        <f t="shared" si="309"/>
        <v>0</v>
      </c>
      <c r="AA1327" s="46">
        <f t="shared" si="310"/>
        <v>0</v>
      </c>
      <c r="AB1327" s="46">
        <f t="shared" si="311"/>
        <v>0</v>
      </c>
      <c r="AC1327" s="46">
        <f t="shared" si="312"/>
        <v>0</v>
      </c>
      <c r="AD1327" s="44" t="str">
        <f t="shared" si="313"/>
        <v>Over</v>
      </c>
      <c r="AE1327" s="44" t="str">
        <f>IFERROR(VLOOKUP(A1327,'[1]Re-order'!$A:$AA,27,0),"")</f>
        <v>Stockout</v>
      </c>
      <c r="AF1327" s="46">
        <f t="shared" si="314"/>
        <v>-1</v>
      </c>
      <c r="AG1327" s="46">
        <f>SUMIFS('[1]Raw Inventory'!D:D,'[1]Raw Inventory'!C:C,"GREATWALL",'[1]Raw Inventory'!B:B,A1327)</f>
        <v>0</v>
      </c>
      <c r="AH1327" s="46">
        <f>SUMIFS('[1]Raw Inventory'!D:D,'[1]Raw Inventory'!C:C,"DUARTE",'[1]Raw Inventory'!B:B,A1327)</f>
        <v>0</v>
      </c>
      <c r="AI1327" s="46"/>
      <c r="AJ1327" s="46"/>
      <c r="AK1327" s="43"/>
      <c r="AL1327" s="43"/>
      <c r="AM1327" s="43"/>
      <c r="AN1327" s="43"/>
      <c r="AO1327" s="43"/>
      <c r="AP1327" s="43"/>
      <c r="AQ1327" s="43"/>
      <c r="AR1327" s="43"/>
      <c r="AS1327" s="43"/>
      <c r="AT1327" s="43"/>
    </row>
    <row r="1328" spans="1:46">
      <c r="A1328" s="43" t="s">
        <v>49</v>
      </c>
      <c r="B1328" s="43" t="s">
        <v>27</v>
      </c>
      <c r="C1328" s="43" t="s">
        <v>1</v>
      </c>
      <c r="D1328" s="44" t="s">
        <v>260</v>
      </c>
      <c r="E1328" s="44">
        <v>30</v>
      </c>
      <c r="F1328" s="44" t="s">
        <v>3</v>
      </c>
      <c r="G1328" s="43" t="str">
        <f>IFERROR(VLOOKUP(A1328,'[1]MC Masterlist 2026-09-12'!$B:$M, 3, 0),"")</f>
        <v>BAJAJ RE</v>
      </c>
      <c r="H1328" s="45">
        <f>IFERROR(VLOOKUP(A1328,'[1]MC Masterlist 2026-09-12'!$B:$M, 6, 0),"")</f>
        <v>191000</v>
      </c>
      <c r="I1328" s="46">
        <v>0</v>
      </c>
      <c r="J1328" s="46">
        <v>0</v>
      </c>
      <c r="K1328" s="46">
        <v>0</v>
      </c>
      <c r="L1328" s="46">
        <f t="shared" si="300"/>
        <v>0</v>
      </c>
      <c r="M1328" s="46">
        <f t="shared" si="301"/>
        <v>0</v>
      </c>
      <c r="N1328" s="45">
        <f t="shared" si="302"/>
        <v>0</v>
      </c>
      <c r="O1328" s="45">
        <f t="shared" si="303"/>
        <v>0</v>
      </c>
      <c r="P1328" s="46">
        <f t="shared" si="304"/>
        <v>0</v>
      </c>
      <c r="Q1328" s="46">
        <v>1</v>
      </c>
      <c r="R1328" s="45">
        <f t="shared" si="305"/>
        <v>191000</v>
      </c>
      <c r="S1328" s="46">
        <f t="shared" si="306"/>
        <v>0</v>
      </c>
      <c r="T1328" s="46">
        <f>IFERROR(VLOOKUP(A1328,'[1]Re-order'!$A:$Q,17,0),"")</f>
        <v>21.516709511568124</v>
      </c>
      <c r="U1328" s="46">
        <f>IFERROR(VLOOKUP(A1328,'[1]MC Masterlist 2026-09-12'!$B:$M, 10, 0),0)</f>
        <v>15</v>
      </c>
      <c r="V1328" s="46">
        <f>IFERROR(VLOOKUP(A1328,'[1]MC Masterlist 2026-09-12'!$B:$M, 11, 0),0)</f>
        <v>15</v>
      </c>
      <c r="W1328" s="46">
        <f t="shared" si="307"/>
        <v>30</v>
      </c>
      <c r="X1328" s="46">
        <f t="shared" si="308"/>
        <v>7</v>
      </c>
      <c r="Y1328" s="46">
        <f>IFERROR(IF(OR(C1328="AREA I",C1328="AREA V"),7,VLOOKUP(A1328,'[1]MC Masterlist 2026-09-12'!$B:$M, 12, 0)),0)</f>
        <v>7</v>
      </c>
      <c r="Z1328" s="46">
        <f t="shared" si="309"/>
        <v>0</v>
      </c>
      <c r="AA1328" s="46">
        <f t="shared" si="310"/>
        <v>0</v>
      </c>
      <c r="AB1328" s="46">
        <f t="shared" si="311"/>
        <v>0</v>
      </c>
      <c r="AC1328" s="46">
        <f t="shared" si="312"/>
        <v>0</v>
      </c>
      <c r="AD1328" s="44" t="str">
        <f t="shared" si="313"/>
        <v>Over</v>
      </c>
      <c r="AE1328" s="44" t="str">
        <f>IFERROR(VLOOKUP(A1328,'[1]Re-order'!$A:$AA,27,0),"")</f>
        <v>Stockout</v>
      </c>
      <c r="AF1328" s="46">
        <f t="shared" si="314"/>
        <v>-1</v>
      </c>
      <c r="AG1328" s="46">
        <f>SUMIFS('[1]Raw Inventory'!D:D,'[1]Raw Inventory'!C:C,"GREATWALL",'[1]Raw Inventory'!B:B,A1328)</f>
        <v>0</v>
      </c>
      <c r="AH1328" s="46">
        <f>SUMIFS('[1]Raw Inventory'!D:D,'[1]Raw Inventory'!C:C,"DUARTE",'[1]Raw Inventory'!B:B,A1328)</f>
        <v>0</v>
      </c>
      <c r="AI1328" s="46"/>
      <c r="AJ1328" s="46"/>
      <c r="AK1328" s="43"/>
      <c r="AL1328" s="43"/>
      <c r="AM1328" s="43"/>
      <c r="AN1328" s="43"/>
      <c r="AO1328" s="43"/>
      <c r="AP1328" s="43"/>
      <c r="AQ1328" s="43"/>
      <c r="AR1328" s="43"/>
      <c r="AS1328" s="43"/>
      <c r="AT1328" s="43"/>
    </row>
    <row r="1329" spans="1:46">
      <c r="A1329" s="43" t="s">
        <v>59</v>
      </c>
      <c r="B1329" s="43" t="s">
        <v>139</v>
      </c>
      <c r="C1329" s="43" t="s">
        <v>137</v>
      </c>
      <c r="D1329" s="44" t="s">
        <v>256</v>
      </c>
      <c r="E1329" s="44">
        <v>15</v>
      </c>
      <c r="F1329" s="44" t="s">
        <v>2</v>
      </c>
      <c r="G1329" s="43" t="str">
        <f>IFERROR(VLOOKUP(A1329,'[1]MC Masterlist 2026-09-12'!$B:$M, 3, 0),"")</f>
        <v>HONDA</v>
      </c>
      <c r="H1329" s="45">
        <f>IFERROR(VLOOKUP(A1329,'[1]MC Masterlist 2026-09-12'!$B:$M, 6, 0),"")</f>
        <v>147230</v>
      </c>
      <c r="I1329" s="46">
        <v>0</v>
      </c>
      <c r="J1329" s="46">
        <v>2</v>
      </c>
      <c r="K1329" s="46">
        <v>2</v>
      </c>
      <c r="L1329" s="46">
        <f t="shared" si="300"/>
        <v>4</v>
      </c>
      <c r="M1329" s="46">
        <f t="shared" si="301"/>
        <v>1.3333333333333333</v>
      </c>
      <c r="N1329" s="45">
        <f t="shared" si="302"/>
        <v>588920</v>
      </c>
      <c r="O1329" s="45">
        <f t="shared" si="303"/>
        <v>196306.66666666666</v>
      </c>
      <c r="P1329" s="46">
        <f t="shared" si="304"/>
        <v>4.4444444444444439E-2</v>
      </c>
      <c r="Q1329" s="46">
        <v>2</v>
      </c>
      <c r="R1329" s="45">
        <f t="shared" si="305"/>
        <v>294460</v>
      </c>
      <c r="S1329" s="46">
        <f t="shared" si="306"/>
        <v>45</v>
      </c>
      <c r="T1329" s="46">
        <f>IFERROR(VLOOKUP(A1329,'[1]Re-order'!$A:$Q,17,0),"")</f>
        <v>101.25</v>
      </c>
      <c r="U1329" s="46">
        <f>IFERROR(VLOOKUP(A1329,'[1]MC Masterlist 2026-09-12'!$B:$M, 10, 0),0)</f>
        <v>15</v>
      </c>
      <c r="V1329" s="46">
        <f>IFERROR(VLOOKUP(A1329,'[1]MC Masterlist 2026-09-12'!$B:$M, 11, 0),0)</f>
        <v>15</v>
      </c>
      <c r="W1329" s="46">
        <f t="shared" si="307"/>
        <v>30</v>
      </c>
      <c r="X1329" s="46">
        <f t="shared" si="308"/>
        <v>6.333333333333333</v>
      </c>
      <c r="Y1329" s="46">
        <f>IFERROR(IF(OR(C1329="AREA I",C1329="AREA V"),7,VLOOKUP(A1329,'[1]MC Masterlist 2026-09-12'!$B:$M, 12, 0)),0)</f>
        <v>7</v>
      </c>
      <c r="Z1329" s="46">
        <f t="shared" si="309"/>
        <v>0.66666666666666663</v>
      </c>
      <c r="AA1329" s="46">
        <f t="shared" si="310"/>
        <v>1.3333333333333333</v>
      </c>
      <c r="AB1329" s="46">
        <f t="shared" si="311"/>
        <v>0.28148148148148144</v>
      </c>
      <c r="AC1329" s="46">
        <f t="shared" si="312"/>
        <v>0.31111111111111106</v>
      </c>
      <c r="AD1329" s="44" t="str">
        <f t="shared" si="313"/>
        <v>Over</v>
      </c>
      <c r="AE1329" s="44" t="str">
        <f>IFERROR(VLOOKUP(A1329,'[1]Re-order'!$A:$AA,27,0),"")</f>
        <v>Over</v>
      </c>
      <c r="AF1329" s="46">
        <f t="shared" si="314"/>
        <v>-1.6888888888888889</v>
      </c>
      <c r="AG1329" s="46">
        <f>SUMIFS('[1]Raw Inventory'!D:D,'[1]Raw Inventory'!C:C,"GREATWALL",'[1]Raw Inventory'!B:B,A1329)</f>
        <v>0</v>
      </c>
      <c r="AH1329" s="46">
        <f>SUMIFS('[1]Raw Inventory'!D:D,'[1]Raw Inventory'!C:C,"DUARTE",'[1]Raw Inventory'!B:B,A1329)</f>
        <v>0</v>
      </c>
      <c r="AI1329" s="46"/>
      <c r="AJ1329" s="46"/>
      <c r="AK1329" s="43"/>
      <c r="AL1329" s="43"/>
      <c r="AM1329" s="43"/>
      <c r="AN1329" s="43"/>
      <c r="AO1329" s="43"/>
      <c r="AP1329" s="43"/>
      <c r="AQ1329" s="43"/>
      <c r="AR1329" s="43"/>
      <c r="AS1329" s="43"/>
      <c r="AT1329" s="43"/>
    </row>
    <row r="1330" spans="1:46">
      <c r="A1330" s="43" t="s">
        <v>36</v>
      </c>
      <c r="B1330" s="43" t="s">
        <v>95</v>
      </c>
      <c r="C1330" s="43" t="s">
        <v>90</v>
      </c>
      <c r="D1330" s="44" t="s">
        <v>221</v>
      </c>
      <c r="E1330" s="44">
        <v>18</v>
      </c>
      <c r="F1330" s="44" t="s">
        <v>3</v>
      </c>
      <c r="G1330" s="43" t="str">
        <f>IFERROR(VLOOKUP(A1330,'[1]MC Masterlist 2026-09-12'!$B:$M, 3, 0),"")</f>
        <v>HONDA</v>
      </c>
      <c r="H1330" s="45">
        <f>IFERROR(VLOOKUP(A1330,'[1]MC Masterlist 2026-09-12'!$B:$M, 6, 0),"")</f>
        <v>76850</v>
      </c>
      <c r="I1330" s="46">
        <v>1</v>
      </c>
      <c r="J1330" s="46">
        <v>0</v>
      </c>
      <c r="K1330" s="46">
        <v>0</v>
      </c>
      <c r="L1330" s="46">
        <f t="shared" si="300"/>
        <v>1</v>
      </c>
      <c r="M1330" s="46">
        <f t="shared" si="301"/>
        <v>0.33333333333333331</v>
      </c>
      <c r="N1330" s="45">
        <f t="shared" si="302"/>
        <v>76850</v>
      </c>
      <c r="O1330" s="45">
        <f t="shared" si="303"/>
        <v>25616.666666666664</v>
      </c>
      <c r="P1330" s="46">
        <f t="shared" si="304"/>
        <v>1.111111111111111E-2</v>
      </c>
      <c r="Q1330" s="46">
        <v>1</v>
      </c>
      <c r="R1330" s="45">
        <f t="shared" si="305"/>
        <v>76850</v>
      </c>
      <c r="S1330" s="46">
        <f t="shared" si="306"/>
        <v>90.000000000000014</v>
      </c>
      <c r="T1330" s="46">
        <f>IFERROR(VLOOKUP(A1330,'[1]Re-order'!$A:$Q,17,0),"")</f>
        <v>137.24999999999997</v>
      </c>
      <c r="U1330" s="46">
        <f>IFERROR(VLOOKUP(A1330,'[1]MC Masterlist 2026-09-12'!$B:$M, 10, 0),0)</f>
        <v>15</v>
      </c>
      <c r="V1330" s="46">
        <f>IFERROR(VLOOKUP(A1330,'[1]MC Masterlist 2026-09-12'!$B:$M, 11, 0),0)</f>
        <v>15</v>
      </c>
      <c r="W1330" s="46">
        <f t="shared" si="307"/>
        <v>30</v>
      </c>
      <c r="X1330" s="46">
        <f t="shared" si="308"/>
        <v>29.833333333333332</v>
      </c>
      <c r="Y1330" s="46">
        <f>IFERROR(IF(OR(C1330="AREA I",C1330="AREA V"),7,VLOOKUP(A1330,'[1]MC Masterlist 2026-09-12'!$B:$M, 12, 0)),0)</f>
        <v>30</v>
      </c>
      <c r="Z1330" s="46">
        <f t="shared" si="309"/>
        <v>0.16666666666666666</v>
      </c>
      <c r="AA1330" s="46">
        <f t="shared" si="310"/>
        <v>0.33333333333333331</v>
      </c>
      <c r="AB1330" s="46">
        <f t="shared" si="311"/>
        <v>0.33148148148148143</v>
      </c>
      <c r="AC1330" s="46">
        <f t="shared" si="312"/>
        <v>0.33333333333333331</v>
      </c>
      <c r="AD1330" s="44" t="str">
        <f t="shared" si="313"/>
        <v>Over</v>
      </c>
      <c r="AE1330" s="44" t="str">
        <f>IFERROR(VLOOKUP(A1330,'[1]Re-order'!$A:$AA,27,0),"")</f>
        <v>Over</v>
      </c>
      <c r="AF1330" s="46">
        <f t="shared" si="314"/>
        <v>-0.66666666666666674</v>
      </c>
      <c r="AG1330" s="46">
        <f>SUMIFS('[1]Raw Inventory'!D:D,'[1]Raw Inventory'!C:C,"GREATWALL",'[1]Raw Inventory'!B:B,A1330)</f>
        <v>18</v>
      </c>
      <c r="AH1330" s="46">
        <f>SUMIFS('[1]Raw Inventory'!D:D,'[1]Raw Inventory'!C:C,"DUARTE",'[1]Raw Inventory'!B:B,A1330)</f>
        <v>0</v>
      </c>
      <c r="AI1330" s="46"/>
      <c r="AJ1330" s="46"/>
      <c r="AK1330" s="43"/>
      <c r="AL1330" s="43"/>
      <c r="AM1330" s="43"/>
      <c r="AN1330" s="43"/>
      <c r="AO1330" s="43"/>
      <c r="AP1330" s="43"/>
      <c r="AQ1330" s="43"/>
      <c r="AR1330" s="43"/>
      <c r="AS1330" s="43"/>
      <c r="AT1330" s="43"/>
    </row>
    <row r="1331" spans="1:46">
      <c r="A1331" s="43" t="s">
        <v>57</v>
      </c>
      <c r="B1331" s="43" t="s">
        <v>91</v>
      </c>
      <c r="C1331" s="43" t="s">
        <v>90</v>
      </c>
      <c r="D1331" s="44" t="s">
        <v>226</v>
      </c>
      <c r="E1331" s="44">
        <v>14</v>
      </c>
      <c r="F1331" s="44" t="s">
        <v>3</v>
      </c>
      <c r="G1331" s="43" t="str">
        <f>IFERROR(VLOOKUP(A1331,'[1]MC Masterlist 2026-09-12'!$B:$M, 3, 0),"")</f>
        <v>HONDA</v>
      </c>
      <c r="H1331" s="45">
        <f>IFERROR(VLOOKUP(A1331,'[1]MC Masterlist 2026-09-12'!$B:$M, 6, 0),"")</f>
        <v>146328</v>
      </c>
      <c r="I1331" s="46">
        <v>0</v>
      </c>
      <c r="J1331" s="46">
        <v>0</v>
      </c>
      <c r="K1331" s="46">
        <v>0</v>
      </c>
      <c r="L1331" s="46">
        <f t="shared" si="300"/>
        <v>0</v>
      </c>
      <c r="M1331" s="46">
        <f t="shared" si="301"/>
        <v>0</v>
      </c>
      <c r="N1331" s="45">
        <f t="shared" si="302"/>
        <v>0</v>
      </c>
      <c r="O1331" s="45">
        <f t="shared" si="303"/>
        <v>0</v>
      </c>
      <c r="P1331" s="46">
        <f t="shared" si="304"/>
        <v>0</v>
      </c>
      <c r="Q1331" s="46">
        <v>1</v>
      </c>
      <c r="R1331" s="45">
        <f t="shared" si="305"/>
        <v>146328</v>
      </c>
      <c r="S1331" s="46">
        <f t="shared" si="306"/>
        <v>0</v>
      </c>
      <c r="T1331" s="46" t="str">
        <f>IFERROR(VLOOKUP(A1331,'[1]Re-order'!$A:$Q,17,0),"")</f>
        <v/>
      </c>
      <c r="U1331" s="46">
        <f>IFERROR(VLOOKUP(A1331,'[1]MC Masterlist 2026-09-12'!$B:$M, 10, 0),0)</f>
        <v>15</v>
      </c>
      <c r="V1331" s="46">
        <f>IFERROR(VLOOKUP(A1331,'[1]MC Masterlist 2026-09-12'!$B:$M, 11, 0),0)</f>
        <v>15</v>
      </c>
      <c r="W1331" s="46">
        <f t="shared" si="307"/>
        <v>30</v>
      </c>
      <c r="X1331" s="46">
        <f t="shared" si="308"/>
        <v>30</v>
      </c>
      <c r="Y1331" s="46">
        <f>IFERROR(IF(OR(C1331="AREA I",C1331="AREA V"),7,VLOOKUP(A1331,'[1]MC Masterlist 2026-09-12'!$B:$M, 12, 0)),0)</f>
        <v>30</v>
      </c>
      <c r="Z1331" s="46">
        <f t="shared" si="309"/>
        <v>0</v>
      </c>
      <c r="AA1331" s="46">
        <f t="shared" si="310"/>
        <v>0</v>
      </c>
      <c r="AB1331" s="46">
        <f t="shared" si="311"/>
        <v>0</v>
      </c>
      <c r="AC1331" s="46">
        <f t="shared" si="312"/>
        <v>0</v>
      </c>
      <c r="AD1331" s="44" t="str">
        <f t="shared" si="313"/>
        <v>Over</v>
      </c>
      <c r="AE1331" s="44" t="str">
        <f>IFERROR(VLOOKUP(A1331,'[1]Re-order'!$A:$AA,27,0),"")</f>
        <v>Over</v>
      </c>
      <c r="AF1331" s="46">
        <f t="shared" si="314"/>
        <v>-1</v>
      </c>
      <c r="AG1331" s="46">
        <f>SUMIFS('[1]Raw Inventory'!D:D,'[1]Raw Inventory'!C:C,"GREATWALL",'[1]Raw Inventory'!B:B,A1331)</f>
        <v>0</v>
      </c>
      <c r="AH1331" s="46">
        <f>SUMIFS('[1]Raw Inventory'!D:D,'[1]Raw Inventory'!C:C,"DUARTE",'[1]Raw Inventory'!B:B,A1331)</f>
        <v>0</v>
      </c>
      <c r="AI1331" s="46"/>
      <c r="AJ1331" s="46"/>
      <c r="AK1331" s="43"/>
      <c r="AL1331" s="43"/>
      <c r="AM1331" s="43"/>
      <c r="AN1331" s="43"/>
      <c r="AO1331" s="43"/>
      <c r="AP1331" s="43"/>
      <c r="AQ1331" s="43"/>
      <c r="AR1331" s="43"/>
      <c r="AS1331" s="43"/>
      <c r="AT1331" s="43"/>
    </row>
    <row r="1332" spans="1:46">
      <c r="A1332" s="43" t="s">
        <v>82</v>
      </c>
      <c r="B1332" s="43" t="s">
        <v>153</v>
      </c>
      <c r="C1332" s="43" t="s">
        <v>152</v>
      </c>
      <c r="D1332" s="44" t="s">
        <v>241</v>
      </c>
      <c r="E1332" s="44">
        <v>16</v>
      </c>
      <c r="F1332" s="44" t="s">
        <v>3</v>
      </c>
      <c r="G1332" s="43" t="str">
        <f>IFERROR(VLOOKUP(A1332,'[1]MC Masterlist 2026-09-12'!$B:$M, 3, 0),"")</f>
        <v>SUZUKI</v>
      </c>
      <c r="H1332" s="45">
        <f>IFERROR(VLOOKUP(A1332,'[1]MC Masterlist 2026-09-12'!$B:$M, 6, 0),"")</f>
        <v>67342</v>
      </c>
      <c r="I1332" s="46">
        <v>1</v>
      </c>
      <c r="J1332" s="46">
        <v>0</v>
      </c>
      <c r="K1332" s="46">
        <v>0</v>
      </c>
      <c r="L1332" s="46">
        <f t="shared" si="300"/>
        <v>1</v>
      </c>
      <c r="M1332" s="46">
        <f t="shared" si="301"/>
        <v>0.33333333333333331</v>
      </c>
      <c r="N1332" s="45">
        <f t="shared" si="302"/>
        <v>67342</v>
      </c>
      <c r="O1332" s="45">
        <f t="shared" si="303"/>
        <v>22447.333333333332</v>
      </c>
      <c r="P1332" s="46">
        <f t="shared" si="304"/>
        <v>1.111111111111111E-2</v>
      </c>
      <c r="Q1332" s="46"/>
      <c r="R1332" s="45">
        <f t="shared" si="305"/>
        <v>0</v>
      </c>
      <c r="S1332" s="46">
        <f t="shared" si="306"/>
        <v>0</v>
      </c>
      <c r="T1332" s="46">
        <f>IFERROR(VLOOKUP(A1332,'[1]Re-order'!$A:$Q,17,0),"")</f>
        <v>64.8</v>
      </c>
      <c r="U1332" s="46">
        <f>IFERROR(VLOOKUP(A1332,'[1]MC Masterlist 2026-09-12'!$B:$M, 10, 0),0)</f>
        <v>15</v>
      </c>
      <c r="V1332" s="46">
        <f>IFERROR(VLOOKUP(A1332,'[1]MC Masterlist 2026-09-12'!$B:$M, 11, 0),0)</f>
        <v>15</v>
      </c>
      <c r="W1332" s="46">
        <f t="shared" si="307"/>
        <v>30</v>
      </c>
      <c r="X1332" s="46">
        <f t="shared" si="308"/>
        <v>29.833333333333332</v>
      </c>
      <c r="Y1332" s="46">
        <f>IFERROR(IF(OR(C1332="AREA I",C1332="AREA V"),7,VLOOKUP(A1332,'[1]MC Masterlist 2026-09-12'!$B:$M, 12, 0)),0)</f>
        <v>30</v>
      </c>
      <c r="Z1332" s="46">
        <f t="shared" si="309"/>
        <v>0.16666666666666666</v>
      </c>
      <c r="AA1332" s="46">
        <f t="shared" si="310"/>
        <v>0.33333333333333331</v>
      </c>
      <c r="AB1332" s="46">
        <f t="shared" si="311"/>
        <v>0.33148148148148143</v>
      </c>
      <c r="AC1332" s="46">
        <f t="shared" si="312"/>
        <v>0.33333333333333331</v>
      </c>
      <c r="AD1332" s="44" t="str">
        <f t="shared" si="313"/>
        <v>Stockout</v>
      </c>
      <c r="AE1332" s="44" t="str">
        <f>IFERROR(VLOOKUP(A1332,'[1]Re-order'!$A:$AA,27,0),"")</f>
        <v>Re-order</v>
      </c>
      <c r="AF1332" s="46">
        <f t="shared" si="314"/>
        <v>0.33333333333333331</v>
      </c>
      <c r="AG1332" s="46">
        <f>SUMIFS('[1]Raw Inventory'!D:D,'[1]Raw Inventory'!C:C,"GREATWALL",'[1]Raw Inventory'!B:B,A1332)</f>
        <v>1</v>
      </c>
      <c r="AH1332" s="46">
        <f>SUMIFS('[1]Raw Inventory'!D:D,'[1]Raw Inventory'!C:C,"DUARTE",'[1]Raw Inventory'!B:B,A1332)</f>
        <v>0</v>
      </c>
      <c r="AI1332" s="46"/>
      <c r="AJ1332" s="46"/>
      <c r="AK1332" s="43"/>
      <c r="AL1332" s="43"/>
      <c r="AM1332" s="43"/>
      <c r="AN1332" s="43"/>
      <c r="AO1332" s="43"/>
      <c r="AP1332" s="43"/>
      <c r="AQ1332" s="43"/>
      <c r="AR1332" s="43"/>
      <c r="AS1332" s="43"/>
      <c r="AT1332" s="43"/>
    </row>
    <row r="1333" spans="1:46">
      <c r="A1333" s="43" t="s">
        <v>82</v>
      </c>
      <c r="B1333" s="43" t="s">
        <v>119</v>
      </c>
      <c r="C1333" s="43" t="s">
        <v>118</v>
      </c>
      <c r="D1333" s="44" t="s">
        <v>235</v>
      </c>
      <c r="E1333" s="44">
        <v>31</v>
      </c>
      <c r="F1333" s="44" t="s">
        <v>3</v>
      </c>
      <c r="G1333" s="43" t="str">
        <f>IFERROR(VLOOKUP(A1333,'[1]MC Masterlist 2026-09-12'!$B:$M, 3, 0),"")</f>
        <v>SUZUKI</v>
      </c>
      <c r="H1333" s="45">
        <f>IFERROR(VLOOKUP(A1333,'[1]MC Masterlist 2026-09-12'!$B:$M, 6, 0),"")</f>
        <v>67342</v>
      </c>
      <c r="I1333" s="46">
        <v>1</v>
      </c>
      <c r="J1333" s="46">
        <v>0</v>
      </c>
      <c r="K1333" s="46">
        <v>0</v>
      </c>
      <c r="L1333" s="46">
        <f t="shared" si="300"/>
        <v>1</v>
      </c>
      <c r="M1333" s="46">
        <f t="shared" si="301"/>
        <v>0.33333333333333331</v>
      </c>
      <c r="N1333" s="45">
        <f t="shared" si="302"/>
        <v>67342</v>
      </c>
      <c r="O1333" s="45">
        <f t="shared" si="303"/>
        <v>22447.333333333332</v>
      </c>
      <c r="P1333" s="46">
        <f t="shared" si="304"/>
        <v>1.111111111111111E-2</v>
      </c>
      <c r="Q1333" s="46"/>
      <c r="R1333" s="45">
        <f t="shared" si="305"/>
        <v>0</v>
      </c>
      <c r="S1333" s="46">
        <f t="shared" si="306"/>
        <v>0</v>
      </c>
      <c r="T1333" s="46">
        <f>IFERROR(VLOOKUP(A1333,'[1]Re-order'!$A:$Q,17,0),"")</f>
        <v>64.8</v>
      </c>
      <c r="U1333" s="46">
        <f>IFERROR(VLOOKUP(A1333,'[1]MC Masterlist 2026-09-12'!$B:$M, 10, 0),0)</f>
        <v>15</v>
      </c>
      <c r="V1333" s="46">
        <f>IFERROR(VLOOKUP(A1333,'[1]MC Masterlist 2026-09-12'!$B:$M, 11, 0),0)</f>
        <v>15</v>
      </c>
      <c r="W1333" s="46">
        <f t="shared" si="307"/>
        <v>30</v>
      </c>
      <c r="X1333" s="46">
        <f t="shared" si="308"/>
        <v>29.833333333333332</v>
      </c>
      <c r="Y1333" s="46">
        <f>IFERROR(IF(OR(C1333="AREA I",C1333="AREA V"),7,VLOOKUP(A1333,'[1]MC Masterlist 2026-09-12'!$B:$M, 12, 0)),0)</f>
        <v>30</v>
      </c>
      <c r="Z1333" s="46">
        <f t="shared" si="309"/>
        <v>0.16666666666666666</v>
      </c>
      <c r="AA1333" s="46">
        <f t="shared" si="310"/>
        <v>0.33333333333333331</v>
      </c>
      <c r="AB1333" s="46">
        <f t="shared" si="311"/>
        <v>0.33148148148148143</v>
      </c>
      <c r="AC1333" s="46">
        <f t="shared" si="312"/>
        <v>0.33333333333333331</v>
      </c>
      <c r="AD1333" s="44" t="str">
        <f t="shared" si="313"/>
        <v>Stockout</v>
      </c>
      <c r="AE1333" s="44" t="str">
        <f>IFERROR(VLOOKUP(A1333,'[1]Re-order'!$A:$AA,27,0),"")</f>
        <v>Re-order</v>
      </c>
      <c r="AF1333" s="46">
        <f t="shared" si="314"/>
        <v>0.33333333333333331</v>
      </c>
      <c r="AG1333" s="46">
        <f>SUMIFS('[1]Raw Inventory'!D:D,'[1]Raw Inventory'!C:C,"GREATWALL",'[1]Raw Inventory'!B:B,A1333)</f>
        <v>1</v>
      </c>
      <c r="AH1333" s="46">
        <f>SUMIFS('[1]Raw Inventory'!D:D,'[1]Raw Inventory'!C:C,"DUARTE",'[1]Raw Inventory'!B:B,A1333)</f>
        <v>0</v>
      </c>
      <c r="AI1333" s="46"/>
      <c r="AJ1333" s="46"/>
      <c r="AK1333" s="43"/>
      <c r="AL1333" s="43"/>
      <c r="AM1333" s="43"/>
      <c r="AN1333" s="43"/>
      <c r="AO1333" s="43"/>
      <c r="AP1333" s="43"/>
      <c r="AQ1333" s="43"/>
      <c r="AR1333" s="43"/>
      <c r="AS1333" s="43"/>
      <c r="AT1333" s="43"/>
    </row>
    <row r="1334" spans="1:46">
      <c r="A1334" s="43" t="s">
        <v>35</v>
      </c>
      <c r="B1334" s="43" t="s">
        <v>162</v>
      </c>
      <c r="C1334" s="43" t="s">
        <v>159</v>
      </c>
      <c r="D1334" s="44" t="s">
        <v>243</v>
      </c>
      <c r="E1334" s="44">
        <v>14</v>
      </c>
      <c r="F1334" s="44" t="s">
        <v>2</v>
      </c>
      <c r="G1334" s="43" t="str">
        <f>IFERROR(VLOOKUP(A1334,'[1]MC Masterlist 2026-09-12'!$B:$M, 3, 0),"")</f>
        <v>HONDA</v>
      </c>
      <c r="H1334" s="45">
        <f>IFERROR(VLOOKUP(A1334,'[1]MC Masterlist 2026-09-12'!$B:$M, 6, 0),"")</f>
        <v>57990</v>
      </c>
      <c r="I1334" s="46">
        <v>0</v>
      </c>
      <c r="J1334" s="46">
        <v>1</v>
      </c>
      <c r="K1334" s="46">
        <v>1</v>
      </c>
      <c r="L1334" s="46">
        <f t="shared" si="300"/>
        <v>2</v>
      </c>
      <c r="M1334" s="46">
        <f t="shared" si="301"/>
        <v>0.66666666666666663</v>
      </c>
      <c r="N1334" s="45">
        <f t="shared" si="302"/>
        <v>115980</v>
      </c>
      <c r="O1334" s="45">
        <f t="shared" si="303"/>
        <v>38660</v>
      </c>
      <c r="P1334" s="46">
        <f t="shared" si="304"/>
        <v>2.222222222222222E-2</v>
      </c>
      <c r="Q1334" s="46">
        <v>1</v>
      </c>
      <c r="R1334" s="45">
        <f t="shared" si="305"/>
        <v>57990</v>
      </c>
      <c r="S1334" s="46">
        <f t="shared" si="306"/>
        <v>45</v>
      </c>
      <c r="T1334" s="46">
        <f>IFERROR(VLOOKUP(A1334,'[1]Re-order'!$A:$Q,17,0),"")</f>
        <v>68.275862068965523</v>
      </c>
      <c r="U1334" s="46">
        <f>IFERROR(VLOOKUP(A1334,'[1]MC Masterlist 2026-09-12'!$B:$M, 10, 0),0)</f>
        <v>15</v>
      </c>
      <c r="V1334" s="46">
        <f>IFERROR(VLOOKUP(A1334,'[1]MC Masterlist 2026-09-12'!$B:$M, 11, 0),0)</f>
        <v>15</v>
      </c>
      <c r="W1334" s="46">
        <f t="shared" si="307"/>
        <v>30</v>
      </c>
      <c r="X1334" s="46">
        <f t="shared" si="308"/>
        <v>29.666666666666668</v>
      </c>
      <c r="Y1334" s="46">
        <f>IFERROR(IF(OR(C1334="AREA I",C1334="AREA V"),7,VLOOKUP(A1334,'[1]MC Masterlist 2026-09-12'!$B:$M, 12, 0)),0)</f>
        <v>30</v>
      </c>
      <c r="Z1334" s="46">
        <f t="shared" si="309"/>
        <v>0.33333333333333331</v>
      </c>
      <c r="AA1334" s="46">
        <f t="shared" si="310"/>
        <v>0.66666666666666663</v>
      </c>
      <c r="AB1334" s="46">
        <f t="shared" si="311"/>
        <v>0.65925925925925921</v>
      </c>
      <c r="AC1334" s="46">
        <f t="shared" si="312"/>
        <v>0.66666666666666663</v>
      </c>
      <c r="AD1334" s="44" t="str">
        <f t="shared" si="313"/>
        <v>Over</v>
      </c>
      <c r="AE1334" s="44" t="str">
        <f>IFERROR(VLOOKUP(A1334,'[1]Re-order'!$A:$AA,27,0),"")</f>
        <v>Re-order</v>
      </c>
      <c r="AF1334" s="46">
        <f t="shared" si="314"/>
        <v>-0.33333333333333337</v>
      </c>
      <c r="AG1334" s="46">
        <f>SUMIFS('[1]Raw Inventory'!D:D,'[1]Raw Inventory'!C:C,"GREATWALL",'[1]Raw Inventory'!B:B,A1334)</f>
        <v>29</v>
      </c>
      <c r="AH1334" s="46">
        <f>SUMIFS('[1]Raw Inventory'!D:D,'[1]Raw Inventory'!C:C,"DUARTE",'[1]Raw Inventory'!B:B,A1334)</f>
        <v>0</v>
      </c>
      <c r="AI1334" s="46"/>
      <c r="AJ1334" s="46"/>
      <c r="AK1334" s="43"/>
      <c r="AL1334" s="43"/>
      <c r="AM1334" s="43"/>
      <c r="AN1334" s="43"/>
      <c r="AO1334" s="43"/>
      <c r="AP1334" s="43"/>
      <c r="AQ1334" s="43"/>
      <c r="AR1334" s="43"/>
      <c r="AS1334" s="43"/>
      <c r="AT1334" s="43"/>
    </row>
    <row r="1335" spans="1:46">
      <c r="A1335" s="43" t="s">
        <v>26</v>
      </c>
      <c r="B1335" s="43" t="s">
        <v>130</v>
      </c>
      <c r="C1335" s="43" t="s">
        <v>128</v>
      </c>
      <c r="D1335" s="44" t="s">
        <v>259</v>
      </c>
      <c r="E1335" s="44">
        <v>5</v>
      </c>
      <c r="F1335" s="44" t="s">
        <v>0</v>
      </c>
      <c r="G1335" s="43" t="str">
        <f>IFERROR(VLOOKUP(A1335,'[1]MC Masterlist 2026-09-12'!$B:$M, 3, 0),"")</f>
        <v>SUZUKI</v>
      </c>
      <c r="H1335" s="45">
        <f>IFERROR(VLOOKUP(A1335,'[1]MC Masterlist 2026-09-12'!$B:$M, 6, 0),"")</f>
        <v>123700</v>
      </c>
      <c r="I1335" s="46">
        <v>3</v>
      </c>
      <c r="J1335" s="46">
        <v>3</v>
      </c>
      <c r="K1335" s="46">
        <v>3</v>
      </c>
      <c r="L1335" s="46">
        <f t="shared" si="300"/>
        <v>9</v>
      </c>
      <c r="M1335" s="46">
        <f t="shared" si="301"/>
        <v>3</v>
      </c>
      <c r="N1335" s="45">
        <f t="shared" si="302"/>
        <v>1113300</v>
      </c>
      <c r="O1335" s="45">
        <f t="shared" si="303"/>
        <v>371100</v>
      </c>
      <c r="P1335" s="46">
        <f t="shared" si="304"/>
        <v>0.1</v>
      </c>
      <c r="Q1335" s="46">
        <v>3</v>
      </c>
      <c r="R1335" s="45">
        <f t="shared" si="305"/>
        <v>371100</v>
      </c>
      <c r="S1335" s="46">
        <f t="shared" si="306"/>
        <v>30</v>
      </c>
      <c r="T1335" s="46">
        <f>IFERROR(VLOOKUP(A1335,'[1]Re-order'!$A:$Q,17,0),"")</f>
        <v>71.470588235294116</v>
      </c>
      <c r="U1335" s="46">
        <f>IFERROR(VLOOKUP(A1335,'[1]MC Masterlist 2026-09-12'!$B:$M, 10, 0),0)</f>
        <v>15</v>
      </c>
      <c r="V1335" s="46">
        <f>IFERROR(VLOOKUP(A1335,'[1]MC Masterlist 2026-09-12'!$B:$M, 11, 0),0)</f>
        <v>15</v>
      </c>
      <c r="W1335" s="46">
        <f t="shared" si="307"/>
        <v>30</v>
      </c>
      <c r="X1335" s="46">
        <f t="shared" si="308"/>
        <v>28.5</v>
      </c>
      <c r="Y1335" s="46">
        <f>IFERROR(IF(OR(C1335="AREA I",C1335="AREA V"),7,VLOOKUP(A1335,'[1]MC Masterlist 2026-09-12'!$B:$M, 12, 0)),0)</f>
        <v>30</v>
      </c>
      <c r="Z1335" s="46">
        <f t="shared" si="309"/>
        <v>1.5</v>
      </c>
      <c r="AA1335" s="46">
        <f t="shared" si="310"/>
        <v>3</v>
      </c>
      <c r="AB1335" s="46">
        <f t="shared" si="311"/>
        <v>2.85</v>
      </c>
      <c r="AC1335" s="46">
        <f t="shared" si="312"/>
        <v>3</v>
      </c>
      <c r="AD1335" s="44" t="str">
        <f t="shared" si="313"/>
        <v>Re-order</v>
      </c>
      <c r="AE1335" s="44" t="str">
        <f>IFERROR(VLOOKUP(A1335,'[1]Re-order'!$A:$AA,27,0),"")</f>
        <v>Re-order</v>
      </c>
      <c r="AF1335" s="46">
        <f t="shared" si="314"/>
        <v>0</v>
      </c>
      <c r="AG1335" s="46">
        <f>SUMIFS('[1]Raw Inventory'!D:D,'[1]Raw Inventory'!C:C,"GREATWALL",'[1]Raw Inventory'!B:B,A1335)</f>
        <v>30</v>
      </c>
      <c r="AH1335" s="46">
        <f>SUMIFS('[1]Raw Inventory'!D:D,'[1]Raw Inventory'!C:C,"DUARTE",'[1]Raw Inventory'!B:B,A1335)</f>
        <v>0</v>
      </c>
      <c r="AI1335" s="46"/>
      <c r="AJ1335" s="46"/>
      <c r="AK1335" s="43"/>
      <c r="AL1335" s="43"/>
      <c r="AM1335" s="43"/>
      <c r="AN1335" s="43"/>
      <c r="AO1335" s="43"/>
      <c r="AP1335" s="43"/>
      <c r="AQ1335" s="43"/>
      <c r="AR1335" s="43"/>
      <c r="AS1335" s="43"/>
      <c r="AT1335" s="43"/>
    </row>
    <row r="1336" spans="1:46">
      <c r="A1336" s="43" t="s">
        <v>22</v>
      </c>
      <c r="B1336" s="43" t="s">
        <v>139</v>
      </c>
      <c r="C1336" s="43" t="s">
        <v>137</v>
      </c>
      <c r="D1336" s="44" t="s">
        <v>254</v>
      </c>
      <c r="E1336" s="44">
        <v>8</v>
      </c>
      <c r="F1336" s="44" t="s">
        <v>2</v>
      </c>
      <c r="G1336" s="43" t="str">
        <f>IFERROR(VLOOKUP(A1336,'[1]MC Masterlist 2026-09-12'!$B:$M, 3, 0),"")</f>
        <v>HONDA</v>
      </c>
      <c r="H1336" s="45">
        <f>IFERROR(VLOOKUP(A1336,'[1]MC Masterlist 2026-09-12'!$B:$M, 6, 0),"")</f>
        <v>111258</v>
      </c>
      <c r="I1336" s="46">
        <v>3</v>
      </c>
      <c r="J1336" s="46">
        <v>5</v>
      </c>
      <c r="K1336" s="46">
        <v>1</v>
      </c>
      <c r="L1336" s="46">
        <f t="shared" si="300"/>
        <v>9</v>
      </c>
      <c r="M1336" s="46">
        <f t="shared" si="301"/>
        <v>3</v>
      </c>
      <c r="N1336" s="45">
        <f t="shared" si="302"/>
        <v>1001322</v>
      </c>
      <c r="O1336" s="45">
        <f t="shared" si="303"/>
        <v>333774</v>
      </c>
      <c r="P1336" s="46">
        <f t="shared" si="304"/>
        <v>0.1</v>
      </c>
      <c r="Q1336" s="46">
        <v>1</v>
      </c>
      <c r="R1336" s="45">
        <f t="shared" si="305"/>
        <v>111258</v>
      </c>
      <c r="S1336" s="46">
        <f t="shared" si="306"/>
        <v>10</v>
      </c>
      <c r="T1336" s="46">
        <f>IFERROR(VLOOKUP(A1336,'[1]Re-order'!$A:$Q,17,0),"")</f>
        <v>41.339712918660283</v>
      </c>
      <c r="U1336" s="46">
        <f>IFERROR(VLOOKUP(A1336,'[1]MC Masterlist 2026-09-12'!$B:$M, 10, 0),0)</f>
        <v>15</v>
      </c>
      <c r="V1336" s="46">
        <f>IFERROR(VLOOKUP(A1336,'[1]MC Masterlist 2026-09-12'!$B:$M, 11, 0),0)</f>
        <v>15</v>
      </c>
      <c r="W1336" s="46">
        <f t="shared" si="307"/>
        <v>30</v>
      </c>
      <c r="X1336" s="46">
        <f t="shared" si="308"/>
        <v>5.5</v>
      </c>
      <c r="Y1336" s="46">
        <f>IFERROR(IF(OR(C1336="AREA I",C1336="AREA V"),7,VLOOKUP(A1336,'[1]MC Masterlist 2026-09-12'!$B:$M, 12, 0)),0)</f>
        <v>7</v>
      </c>
      <c r="Z1336" s="46">
        <f t="shared" si="309"/>
        <v>1.5</v>
      </c>
      <c r="AA1336" s="46">
        <f t="shared" si="310"/>
        <v>3</v>
      </c>
      <c r="AB1336" s="46">
        <f t="shared" si="311"/>
        <v>0.55000000000000004</v>
      </c>
      <c r="AC1336" s="46">
        <f t="shared" si="312"/>
        <v>0.70000000000000007</v>
      </c>
      <c r="AD1336" s="44" t="str">
        <f t="shared" si="313"/>
        <v>Over</v>
      </c>
      <c r="AE1336" s="44" t="str">
        <f>IFERROR(VLOOKUP(A1336,'[1]Re-order'!$A:$AA,27,0),"")</f>
        <v>Re-order</v>
      </c>
      <c r="AF1336" s="46">
        <f t="shared" si="314"/>
        <v>-0.29999999999999993</v>
      </c>
      <c r="AG1336" s="46">
        <f>SUMIFS('[1]Raw Inventory'!D:D,'[1]Raw Inventory'!C:C,"GREATWALL",'[1]Raw Inventory'!B:B,A1336)</f>
        <v>4</v>
      </c>
      <c r="AH1336" s="46">
        <f>SUMIFS('[1]Raw Inventory'!D:D,'[1]Raw Inventory'!C:C,"DUARTE",'[1]Raw Inventory'!B:B,A1336)</f>
        <v>0</v>
      </c>
      <c r="AI1336" s="46"/>
      <c r="AJ1336" s="46"/>
      <c r="AK1336" s="43"/>
      <c r="AL1336" s="43"/>
      <c r="AM1336" s="43"/>
      <c r="AN1336" s="43"/>
      <c r="AO1336" s="43"/>
      <c r="AP1336" s="43"/>
      <c r="AQ1336" s="43"/>
      <c r="AR1336" s="43"/>
      <c r="AS1336" s="43"/>
      <c r="AT1336" s="43"/>
    </row>
    <row r="1337" spans="1:46">
      <c r="A1337" s="43" t="s">
        <v>40</v>
      </c>
      <c r="B1337" s="43" t="s">
        <v>91</v>
      </c>
      <c r="C1337" s="43" t="s">
        <v>90</v>
      </c>
      <c r="D1337" s="44" t="s">
        <v>247</v>
      </c>
      <c r="E1337" s="44">
        <v>14</v>
      </c>
      <c r="F1337" s="44" t="s">
        <v>3</v>
      </c>
      <c r="G1337" s="43" t="str">
        <f>IFERROR(VLOOKUP(A1337,'[1]MC Masterlist 2026-09-12'!$B:$M, 3, 0),"")</f>
        <v>HONDA</v>
      </c>
      <c r="H1337" s="45">
        <f>IFERROR(VLOOKUP(A1337,'[1]MC Masterlist 2026-09-12'!$B:$M, 6, 0),"")</f>
        <v>56426</v>
      </c>
      <c r="I1337" s="46">
        <v>0</v>
      </c>
      <c r="J1337" s="46">
        <v>0</v>
      </c>
      <c r="K1337" s="46">
        <v>0</v>
      </c>
      <c r="L1337" s="46">
        <f t="shared" si="300"/>
        <v>0</v>
      </c>
      <c r="M1337" s="46">
        <f t="shared" si="301"/>
        <v>0</v>
      </c>
      <c r="N1337" s="45">
        <f t="shared" si="302"/>
        <v>0</v>
      </c>
      <c r="O1337" s="45">
        <f t="shared" si="303"/>
        <v>0</v>
      </c>
      <c r="P1337" s="46">
        <f t="shared" si="304"/>
        <v>0</v>
      </c>
      <c r="Q1337" s="46">
        <v>2</v>
      </c>
      <c r="R1337" s="45">
        <f t="shared" si="305"/>
        <v>112852</v>
      </c>
      <c r="S1337" s="46">
        <f t="shared" si="306"/>
        <v>0</v>
      </c>
      <c r="T1337" s="46">
        <f>IFERROR(VLOOKUP(A1337,'[1]Re-order'!$A:$Q,17,0),"")</f>
        <v>139.56521739130434</v>
      </c>
      <c r="U1337" s="46">
        <f>IFERROR(VLOOKUP(A1337,'[1]MC Masterlist 2026-09-12'!$B:$M, 10, 0),0)</f>
        <v>15</v>
      </c>
      <c r="V1337" s="46">
        <f>IFERROR(VLOOKUP(A1337,'[1]MC Masterlist 2026-09-12'!$B:$M, 11, 0),0)</f>
        <v>15</v>
      </c>
      <c r="W1337" s="46">
        <f t="shared" si="307"/>
        <v>30</v>
      </c>
      <c r="X1337" s="46">
        <f t="shared" si="308"/>
        <v>30</v>
      </c>
      <c r="Y1337" s="46">
        <f>IFERROR(IF(OR(C1337="AREA I",C1337="AREA V"),7,VLOOKUP(A1337,'[1]MC Masterlist 2026-09-12'!$B:$M, 12, 0)),0)</f>
        <v>30</v>
      </c>
      <c r="Z1337" s="46">
        <f t="shared" si="309"/>
        <v>0</v>
      </c>
      <c r="AA1337" s="46">
        <f t="shared" si="310"/>
        <v>0</v>
      </c>
      <c r="AB1337" s="46">
        <f t="shared" si="311"/>
        <v>0</v>
      </c>
      <c r="AC1337" s="46">
        <f t="shared" si="312"/>
        <v>0</v>
      </c>
      <c r="AD1337" s="44" t="str">
        <f t="shared" si="313"/>
        <v>Over</v>
      </c>
      <c r="AE1337" s="44" t="str">
        <f>IFERROR(VLOOKUP(A1337,'[1]Re-order'!$A:$AA,27,0),"")</f>
        <v>Over</v>
      </c>
      <c r="AF1337" s="46">
        <f t="shared" si="314"/>
        <v>-2</v>
      </c>
      <c r="AG1337" s="46">
        <f>SUMIFS('[1]Raw Inventory'!D:D,'[1]Raw Inventory'!C:C,"GREATWALL",'[1]Raw Inventory'!B:B,A1337)</f>
        <v>45</v>
      </c>
      <c r="AH1337" s="46">
        <f>SUMIFS('[1]Raw Inventory'!D:D,'[1]Raw Inventory'!C:C,"DUARTE",'[1]Raw Inventory'!B:B,A1337)</f>
        <v>0</v>
      </c>
      <c r="AI1337" s="46"/>
      <c r="AJ1337" s="46"/>
      <c r="AK1337" s="43"/>
      <c r="AL1337" s="43"/>
      <c r="AM1337" s="43"/>
      <c r="AN1337" s="43"/>
      <c r="AO1337" s="43"/>
      <c r="AP1337" s="43"/>
      <c r="AQ1337" s="43"/>
      <c r="AR1337" s="43"/>
      <c r="AS1337" s="43"/>
      <c r="AT1337" s="43"/>
    </row>
    <row r="1338" spans="1:46">
      <c r="A1338" s="43" t="s">
        <v>22</v>
      </c>
      <c r="B1338" s="43" t="s">
        <v>153</v>
      </c>
      <c r="C1338" s="43" t="s">
        <v>152</v>
      </c>
      <c r="D1338" s="44" t="s">
        <v>262</v>
      </c>
      <c r="E1338" s="44">
        <v>12</v>
      </c>
      <c r="F1338" s="44" t="s">
        <v>2</v>
      </c>
      <c r="G1338" s="43" t="str">
        <f>IFERROR(VLOOKUP(A1338,'[1]MC Masterlist 2026-09-12'!$B:$M, 3, 0),"")</f>
        <v>HONDA</v>
      </c>
      <c r="H1338" s="45">
        <f>IFERROR(VLOOKUP(A1338,'[1]MC Masterlist 2026-09-12'!$B:$M, 6, 0),"")</f>
        <v>111258</v>
      </c>
      <c r="I1338" s="46">
        <v>0</v>
      </c>
      <c r="J1338" s="46">
        <v>0</v>
      </c>
      <c r="K1338" s="46">
        <v>1</v>
      </c>
      <c r="L1338" s="46">
        <f t="shared" si="300"/>
        <v>1</v>
      </c>
      <c r="M1338" s="46">
        <f t="shared" si="301"/>
        <v>0.33333333333333331</v>
      </c>
      <c r="N1338" s="45">
        <f t="shared" si="302"/>
        <v>111258</v>
      </c>
      <c r="O1338" s="45">
        <f t="shared" si="303"/>
        <v>37086</v>
      </c>
      <c r="P1338" s="46">
        <f t="shared" si="304"/>
        <v>1.111111111111111E-2</v>
      </c>
      <c r="Q1338" s="46">
        <v>2</v>
      </c>
      <c r="R1338" s="45">
        <f t="shared" si="305"/>
        <v>222516</v>
      </c>
      <c r="S1338" s="46">
        <f t="shared" si="306"/>
        <v>180</v>
      </c>
      <c r="T1338" s="46">
        <f>IFERROR(VLOOKUP(A1338,'[1]Re-order'!$A:$Q,17,0),"")</f>
        <v>41.339712918660283</v>
      </c>
      <c r="U1338" s="46">
        <f>IFERROR(VLOOKUP(A1338,'[1]MC Masterlist 2026-09-12'!$B:$M, 10, 0),0)</f>
        <v>15</v>
      </c>
      <c r="V1338" s="46">
        <f>IFERROR(VLOOKUP(A1338,'[1]MC Masterlist 2026-09-12'!$B:$M, 11, 0),0)</f>
        <v>15</v>
      </c>
      <c r="W1338" s="46">
        <f t="shared" si="307"/>
        <v>30</v>
      </c>
      <c r="X1338" s="46">
        <f t="shared" si="308"/>
        <v>29.833333333333332</v>
      </c>
      <c r="Y1338" s="46">
        <f>IFERROR(IF(OR(C1338="AREA I",C1338="AREA V"),7,VLOOKUP(A1338,'[1]MC Masterlist 2026-09-12'!$B:$M, 12, 0)),0)</f>
        <v>30</v>
      </c>
      <c r="Z1338" s="46">
        <f t="shared" si="309"/>
        <v>0.16666666666666666</v>
      </c>
      <c r="AA1338" s="46">
        <f t="shared" si="310"/>
        <v>0.33333333333333331</v>
      </c>
      <c r="AB1338" s="46">
        <f t="shared" si="311"/>
        <v>0.33148148148148143</v>
      </c>
      <c r="AC1338" s="46">
        <f t="shared" si="312"/>
        <v>0.33333333333333331</v>
      </c>
      <c r="AD1338" s="44" t="str">
        <f t="shared" si="313"/>
        <v>Over</v>
      </c>
      <c r="AE1338" s="44" t="str">
        <f>IFERROR(VLOOKUP(A1338,'[1]Re-order'!$A:$AA,27,0),"")</f>
        <v>Re-order</v>
      </c>
      <c r="AF1338" s="46">
        <f t="shared" si="314"/>
        <v>-1.6666666666666667</v>
      </c>
      <c r="AG1338" s="46">
        <f>SUMIFS('[1]Raw Inventory'!D:D,'[1]Raw Inventory'!C:C,"GREATWALL",'[1]Raw Inventory'!B:B,A1338)</f>
        <v>4</v>
      </c>
      <c r="AH1338" s="46">
        <f>SUMIFS('[1]Raw Inventory'!D:D,'[1]Raw Inventory'!C:C,"DUARTE",'[1]Raw Inventory'!B:B,A1338)</f>
        <v>0</v>
      </c>
      <c r="AI1338" s="46"/>
      <c r="AJ1338" s="46"/>
      <c r="AK1338" s="43"/>
      <c r="AL1338" s="43"/>
      <c r="AM1338" s="43"/>
      <c r="AN1338" s="43"/>
      <c r="AO1338" s="43"/>
      <c r="AP1338" s="43"/>
      <c r="AQ1338" s="43"/>
      <c r="AR1338" s="43"/>
      <c r="AS1338" s="43"/>
      <c r="AT1338" s="43"/>
    </row>
    <row r="1339" spans="1:46">
      <c r="A1339" s="43" t="s">
        <v>17</v>
      </c>
      <c r="B1339" s="43" t="s">
        <v>27</v>
      </c>
      <c r="C1339" s="43" t="s">
        <v>1</v>
      </c>
      <c r="D1339" s="44" t="s">
        <v>224</v>
      </c>
      <c r="E1339" s="44">
        <v>11</v>
      </c>
      <c r="F1339" s="44" t="s">
        <v>2</v>
      </c>
      <c r="G1339" s="43" t="str">
        <f>IFERROR(VLOOKUP(A1339,'[1]MC Masterlist 2026-09-12'!$B:$M, 3, 0),"")</f>
        <v>HONDA</v>
      </c>
      <c r="H1339" s="45">
        <f>IFERROR(VLOOKUP(A1339,'[1]MC Masterlist 2026-09-12'!$B:$M, 6, 0),"")</f>
        <v>140790</v>
      </c>
      <c r="I1339" s="46">
        <v>3</v>
      </c>
      <c r="J1339" s="46">
        <v>1</v>
      </c>
      <c r="K1339" s="46">
        <v>3</v>
      </c>
      <c r="L1339" s="46">
        <f t="shared" si="300"/>
        <v>7</v>
      </c>
      <c r="M1339" s="46">
        <f t="shared" si="301"/>
        <v>2.3333333333333335</v>
      </c>
      <c r="N1339" s="45">
        <f t="shared" si="302"/>
        <v>985530</v>
      </c>
      <c r="O1339" s="45">
        <f t="shared" si="303"/>
        <v>328510</v>
      </c>
      <c r="P1339" s="46">
        <f t="shared" si="304"/>
        <v>7.7777777777777779E-2</v>
      </c>
      <c r="Q1339" s="46">
        <v>2</v>
      </c>
      <c r="R1339" s="45">
        <f t="shared" si="305"/>
        <v>281580</v>
      </c>
      <c r="S1339" s="46">
        <f t="shared" si="306"/>
        <v>25.714285714285712</v>
      </c>
      <c r="T1339" s="46">
        <f>IFERROR(VLOOKUP(A1339,'[1]Re-order'!$A:$Q,17,0),"")</f>
        <v>43.663366336633665</v>
      </c>
      <c r="U1339" s="46">
        <f>IFERROR(VLOOKUP(A1339,'[1]MC Masterlist 2026-09-12'!$B:$M, 10, 0),0)</f>
        <v>15</v>
      </c>
      <c r="V1339" s="46">
        <f>IFERROR(VLOOKUP(A1339,'[1]MC Masterlist 2026-09-12'!$B:$M, 11, 0),0)</f>
        <v>15</v>
      </c>
      <c r="W1339" s="46">
        <f t="shared" si="307"/>
        <v>30</v>
      </c>
      <c r="X1339" s="46">
        <f t="shared" si="308"/>
        <v>5.833333333333333</v>
      </c>
      <c r="Y1339" s="46">
        <f>IFERROR(IF(OR(C1339="AREA I",C1339="AREA V"),7,VLOOKUP(A1339,'[1]MC Masterlist 2026-09-12'!$B:$M, 12, 0)),0)</f>
        <v>7</v>
      </c>
      <c r="Z1339" s="46">
        <f t="shared" si="309"/>
        <v>1.1666666666666667</v>
      </c>
      <c r="AA1339" s="46">
        <f t="shared" si="310"/>
        <v>2.3333333333333335</v>
      </c>
      <c r="AB1339" s="46">
        <f t="shared" si="311"/>
        <v>0.45370370370370366</v>
      </c>
      <c r="AC1339" s="46">
        <f t="shared" si="312"/>
        <v>0.54444444444444451</v>
      </c>
      <c r="AD1339" s="44" t="str">
        <f t="shared" si="313"/>
        <v>Over</v>
      </c>
      <c r="AE1339" s="44" t="str">
        <f>IFERROR(VLOOKUP(A1339,'[1]Re-order'!$A:$AA,27,0),"")</f>
        <v>Re-order</v>
      </c>
      <c r="AF1339" s="46">
        <f t="shared" si="314"/>
        <v>-1.4555555555555555</v>
      </c>
      <c r="AG1339" s="46">
        <f>SUMIFS('[1]Raw Inventory'!D:D,'[1]Raw Inventory'!C:C,"GREATWALL",'[1]Raw Inventory'!B:B,A1339)</f>
        <v>12</v>
      </c>
      <c r="AH1339" s="46">
        <f>SUMIFS('[1]Raw Inventory'!D:D,'[1]Raw Inventory'!C:C,"DUARTE",'[1]Raw Inventory'!B:B,A1339)</f>
        <v>0</v>
      </c>
      <c r="AI1339" s="46"/>
      <c r="AJ1339" s="46"/>
      <c r="AK1339" s="43"/>
      <c r="AL1339" s="43"/>
      <c r="AM1339" s="43"/>
      <c r="AN1339" s="43"/>
      <c r="AO1339" s="43"/>
      <c r="AP1339" s="43"/>
      <c r="AQ1339" s="43"/>
      <c r="AR1339" s="43"/>
      <c r="AS1339" s="43"/>
      <c r="AT1339" s="43"/>
    </row>
    <row r="1340" spans="1:46">
      <c r="A1340" s="43" t="s">
        <v>36</v>
      </c>
      <c r="B1340" s="43" t="s">
        <v>138</v>
      </c>
      <c r="C1340" s="43" t="s">
        <v>137</v>
      </c>
      <c r="D1340" s="44" t="s">
        <v>297</v>
      </c>
      <c r="E1340" s="44">
        <v>39</v>
      </c>
      <c r="F1340" s="44" t="s">
        <v>3</v>
      </c>
      <c r="G1340" s="43" t="str">
        <f>IFERROR(VLOOKUP(A1340,'[1]MC Masterlist 2026-09-12'!$B:$M, 3, 0),"")</f>
        <v>HONDA</v>
      </c>
      <c r="H1340" s="45">
        <f>IFERROR(VLOOKUP(A1340,'[1]MC Masterlist 2026-09-12'!$B:$M, 6, 0),"")</f>
        <v>76850</v>
      </c>
      <c r="I1340" s="46">
        <v>0</v>
      </c>
      <c r="J1340" s="46">
        <v>0</v>
      </c>
      <c r="K1340" s="46">
        <v>0</v>
      </c>
      <c r="L1340" s="46">
        <f t="shared" si="300"/>
        <v>0</v>
      </c>
      <c r="M1340" s="46">
        <f t="shared" si="301"/>
        <v>0</v>
      </c>
      <c r="N1340" s="45">
        <f t="shared" si="302"/>
        <v>0</v>
      </c>
      <c r="O1340" s="45">
        <f t="shared" si="303"/>
        <v>0</v>
      </c>
      <c r="P1340" s="46">
        <f t="shared" si="304"/>
        <v>0</v>
      </c>
      <c r="Q1340" s="46">
        <v>18</v>
      </c>
      <c r="R1340" s="45">
        <f t="shared" si="305"/>
        <v>1383300</v>
      </c>
      <c r="S1340" s="46">
        <f t="shared" si="306"/>
        <v>0</v>
      </c>
      <c r="T1340" s="46">
        <f>IFERROR(VLOOKUP(A1340,'[1]Re-order'!$A:$Q,17,0),"")</f>
        <v>137.24999999999997</v>
      </c>
      <c r="U1340" s="46">
        <f>IFERROR(VLOOKUP(A1340,'[1]MC Masterlist 2026-09-12'!$B:$M, 10, 0),0)</f>
        <v>15</v>
      </c>
      <c r="V1340" s="46">
        <f>IFERROR(VLOOKUP(A1340,'[1]MC Masterlist 2026-09-12'!$B:$M, 11, 0),0)</f>
        <v>15</v>
      </c>
      <c r="W1340" s="46">
        <f t="shared" si="307"/>
        <v>30</v>
      </c>
      <c r="X1340" s="46">
        <f t="shared" si="308"/>
        <v>7</v>
      </c>
      <c r="Y1340" s="46">
        <f>IFERROR(IF(OR(C1340="AREA I",C1340="AREA V"),7,VLOOKUP(A1340,'[1]MC Masterlist 2026-09-12'!$B:$M, 12, 0)),0)</f>
        <v>7</v>
      </c>
      <c r="Z1340" s="46">
        <f t="shared" si="309"/>
        <v>0</v>
      </c>
      <c r="AA1340" s="46">
        <f t="shared" si="310"/>
        <v>0</v>
      </c>
      <c r="AB1340" s="46">
        <f t="shared" si="311"/>
        <v>0</v>
      </c>
      <c r="AC1340" s="46">
        <f t="shared" si="312"/>
        <v>0</v>
      </c>
      <c r="AD1340" s="44" t="str">
        <f t="shared" si="313"/>
        <v>Over</v>
      </c>
      <c r="AE1340" s="44" t="str">
        <f>IFERROR(VLOOKUP(A1340,'[1]Re-order'!$A:$AA,27,0),"")</f>
        <v>Over</v>
      </c>
      <c r="AF1340" s="46">
        <f t="shared" si="314"/>
        <v>-18</v>
      </c>
      <c r="AG1340" s="46">
        <f>SUMIFS('[1]Raw Inventory'!D:D,'[1]Raw Inventory'!C:C,"GREATWALL",'[1]Raw Inventory'!B:B,A1340)</f>
        <v>18</v>
      </c>
      <c r="AH1340" s="46">
        <f>SUMIFS('[1]Raw Inventory'!D:D,'[1]Raw Inventory'!C:C,"DUARTE",'[1]Raw Inventory'!B:B,A1340)</f>
        <v>0</v>
      </c>
      <c r="AI1340" s="46"/>
      <c r="AJ1340" s="46"/>
      <c r="AK1340" s="43"/>
      <c r="AL1340" s="43"/>
      <c r="AM1340" s="43"/>
      <c r="AN1340" s="43"/>
      <c r="AO1340" s="43"/>
      <c r="AP1340" s="43"/>
      <c r="AQ1340" s="43"/>
      <c r="AR1340" s="43"/>
      <c r="AS1340" s="43"/>
      <c r="AT1340" s="43"/>
    </row>
    <row r="1341" spans="1:46">
      <c r="A1341" s="43" t="s">
        <v>73</v>
      </c>
      <c r="B1341" s="43" t="s">
        <v>122</v>
      </c>
      <c r="C1341" s="43" t="s">
        <v>118</v>
      </c>
      <c r="D1341" s="44" t="s">
        <v>267</v>
      </c>
      <c r="E1341" s="44">
        <v>32</v>
      </c>
      <c r="F1341" s="44" t="s">
        <v>3</v>
      </c>
      <c r="G1341" s="43" t="str">
        <f>IFERROR(VLOOKUP(A1341,'[1]MC Masterlist 2026-09-12'!$B:$M, 3, 0),"")</f>
        <v>SUZUKI</v>
      </c>
      <c r="H1341" s="45">
        <f>IFERROR(VLOOKUP(A1341,'[1]MC Masterlist 2026-09-12'!$B:$M, 6, 0),"")</f>
        <v>122770</v>
      </c>
      <c r="I1341" s="46">
        <v>0</v>
      </c>
      <c r="J1341" s="46">
        <v>0</v>
      </c>
      <c r="K1341" s="46">
        <v>0</v>
      </c>
      <c r="L1341" s="46">
        <f t="shared" si="300"/>
        <v>0</v>
      </c>
      <c r="M1341" s="46">
        <f t="shared" si="301"/>
        <v>0</v>
      </c>
      <c r="N1341" s="45">
        <f t="shared" si="302"/>
        <v>0</v>
      </c>
      <c r="O1341" s="45">
        <f t="shared" si="303"/>
        <v>0</v>
      </c>
      <c r="P1341" s="46">
        <f t="shared" si="304"/>
        <v>0</v>
      </c>
      <c r="Q1341" s="46">
        <v>1</v>
      </c>
      <c r="R1341" s="45">
        <f t="shared" si="305"/>
        <v>122770</v>
      </c>
      <c r="S1341" s="46">
        <f t="shared" si="306"/>
        <v>0</v>
      </c>
      <c r="T1341" s="46">
        <f>IFERROR(VLOOKUP(A1341,'[1]Re-order'!$A:$Q,17,0),"")</f>
        <v>787.50000000000011</v>
      </c>
      <c r="U1341" s="46">
        <f>IFERROR(VLOOKUP(A1341,'[1]MC Masterlist 2026-09-12'!$B:$M, 10, 0),0)</f>
        <v>15</v>
      </c>
      <c r="V1341" s="46">
        <f>IFERROR(VLOOKUP(A1341,'[1]MC Masterlist 2026-09-12'!$B:$M, 11, 0),0)</f>
        <v>15</v>
      </c>
      <c r="W1341" s="46">
        <f t="shared" si="307"/>
        <v>30</v>
      </c>
      <c r="X1341" s="46">
        <f t="shared" si="308"/>
        <v>30</v>
      </c>
      <c r="Y1341" s="46">
        <f>IFERROR(IF(OR(C1341="AREA I",C1341="AREA V"),7,VLOOKUP(A1341,'[1]MC Masterlist 2026-09-12'!$B:$M, 12, 0)),0)</f>
        <v>30</v>
      </c>
      <c r="Z1341" s="46">
        <f t="shared" si="309"/>
        <v>0</v>
      </c>
      <c r="AA1341" s="46">
        <f t="shared" si="310"/>
        <v>0</v>
      </c>
      <c r="AB1341" s="46">
        <f t="shared" si="311"/>
        <v>0</v>
      </c>
      <c r="AC1341" s="46">
        <f t="shared" si="312"/>
        <v>0</v>
      </c>
      <c r="AD1341" s="44" t="str">
        <f t="shared" si="313"/>
        <v>Over</v>
      </c>
      <c r="AE1341" s="44" t="str">
        <f>IFERROR(VLOOKUP(A1341,'[1]Re-order'!$A:$AA,27,0),"")</f>
        <v>Over</v>
      </c>
      <c r="AF1341" s="46">
        <f t="shared" si="314"/>
        <v>-1</v>
      </c>
      <c r="AG1341" s="46">
        <f>SUMIFS('[1]Raw Inventory'!D:D,'[1]Raw Inventory'!C:C,"GREATWALL",'[1]Raw Inventory'!B:B,A1341)</f>
        <v>9</v>
      </c>
      <c r="AH1341" s="46">
        <f>SUMIFS('[1]Raw Inventory'!D:D,'[1]Raw Inventory'!C:C,"DUARTE",'[1]Raw Inventory'!B:B,A1341)</f>
        <v>0</v>
      </c>
      <c r="AI1341" s="46"/>
      <c r="AJ1341" s="46"/>
      <c r="AK1341" s="43"/>
      <c r="AL1341" s="43"/>
      <c r="AM1341" s="43"/>
      <c r="AN1341" s="43"/>
      <c r="AO1341" s="43"/>
      <c r="AP1341" s="43"/>
      <c r="AQ1341" s="43"/>
      <c r="AR1341" s="43"/>
      <c r="AS1341" s="43"/>
      <c r="AT1341" s="43"/>
    </row>
    <row r="1342" spans="1:46">
      <c r="A1342" s="43" t="s">
        <v>17</v>
      </c>
      <c r="B1342" s="43" t="s">
        <v>129</v>
      </c>
      <c r="C1342" s="43" t="s">
        <v>128</v>
      </c>
      <c r="D1342" s="44" t="s">
        <v>234</v>
      </c>
      <c r="E1342" s="44">
        <v>4</v>
      </c>
      <c r="F1342" s="44" t="s">
        <v>0</v>
      </c>
      <c r="G1342" s="43" t="str">
        <f>IFERROR(VLOOKUP(A1342,'[1]MC Masterlist 2026-09-12'!$B:$M, 3, 0),"")</f>
        <v>HONDA</v>
      </c>
      <c r="H1342" s="45">
        <f>IFERROR(VLOOKUP(A1342,'[1]MC Masterlist 2026-09-12'!$B:$M, 6, 0),"")</f>
        <v>140790</v>
      </c>
      <c r="I1342" s="46">
        <v>4</v>
      </c>
      <c r="J1342" s="46">
        <v>3</v>
      </c>
      <c r="K1342" s="46">
        <v>3</v>
      </c>
      <c r="L1342" s="46">
        <f t="shared" si="300"/>
        <v>10</v>
      </c>
      <c r="M1342" s="46">
        <f t="shared" si="301"/>
        <v>3.3333333333333335</v>
      </c>
      <c r="N1342" s="45">
        <f t="shared" si="302"/>
        <v>1407900</v>
      </c>
      <c r="O1342" s="45">
        <f t="shared" si="303"/>
        <v>469300</v>
      </c>
      <c r="P1342" s="46">
        <f t="shared" si="304"/>
        <v>0.11111111111111112</v>
      </c>
      <c r="Q1342" s="46">
        <v>6</v>
      </c>
      <c r="R1342" s="45">
        <f t="shared" si="305"/>
        <v>844740</v>
      </c>
      <c r="S1342" s="46">
        <f t="shared" si="306"/>
        <v>54</v>
      </c>
      <c r="T1342" s="46">
        <f>IFERROR(VLOOKUP(A1342,'[1]Re-order'!$A:$Q,17,0),"")</f>
        <v>43.663366336633665</v>
      </c>
      <c r="U1342" s="46">
        <f>IFERROR(VLOOKUP(A1342,'[1]MC Masterlist 2026-09-12'!$B:$M, 10, 0),0)</f>
        <v>15</v>
      </c>
      <c r="V1342" s="46">
        <f>IFERROR(VLOOKUP(A1342,'[1]MC Masterlist 2026-09-12'!$B:$M, 11, 0),0)</f>
        <v>15</v>
      </c>
      <c r="W1342" s="46">
        <f t="shared" si="307"/>
        <v>30</v>
      </c>
      <c r="X1342" s="46">
        <f t="shared" si="308"/>
        <v>28.333333333333332</v>
      </c>
      <c r="Y1342" s="46">
        <f>IFERROR(IF(OR(C1342="AREA I",C1342="AREA V"),7,VLOOKUP(A1342,'[1]MC Masterlist 2026-09-12'!$B:$M, 12, 0)),0)</f>
        <v>30</v>
      </c>
      <c r="Z1342" s="46">
        <f t="shared" si="309"/>
        <v>1.6666666666666667</v>
      </c>
      <c r="AA1342" s="46">
        <f t="shared" si="310"/>
        <v>3.3333333333333335</v>
      </c>
      <c r="AB1342" s="46">
        <f t="shared" si="311"/>
        <v>3.1481481481481484</v>
      </c>
      <c r="AC1342" s="46">
        <f t="shared" si="312"/>
        <v>3.3333333333333335</v>
      </c>
      <c r="AD1342" s="44" t="str">
        <f t="shared" si="313"/>
        <v>Over</v>
      </c>
      <c r="AE1342" s="44" t="str">
        <f>IFERROR(VLOOKUP(A1342,'[1]Re-order'!$A:$AA,27,0),"")</f>
        <v>Re-order</v>
      </c>
      <c r="AF1342" s="46">
        <f t="shared" si="314"/>
        <v>-2.6666666666666665</v>
      </c>
      <c r="AG1342" s="46">
        <f>SUMIFS('[1]Raw Inventory'!D:D,'[1]Raw Inventory'!C:C,"GREATWALL",'[1]Raw Inventory'!B:B,A1342)</f>
        <v>12</v>
      </c>
      <c r="AH1342" s="46">
        <f>SUMIFS('[1]Raw Inventory'!D:D,'[1]Raw Inventory'!C:C,"DUARTE",'[1]Raw Inventory'!B:B,A1342)</f>
        <v>0</v>
      </c>
      <c r="AI1342" s="46"/>
      <c r="AJ1342" s="46"/>
      <c r="AK1342" s="43"/>
      <c r="AL1342" s="43"/>
      <c r="AM1342" s="43"/>
      <c r="AN1342" s="43"/>
      <c r="AO1342" s="43"/>
      <c r="AP1342" s="43"/>
      <c r="AQ1342" s="43"/>
      <c r="AR1342" s="43"/>
      <c r="AS1342" s="43"/>
      <c r="AT1342" s="43"/>
    </row>
    <row r="1343" spans="1:46">
      <c r="A1343" s="43" t="s">
        <v>20</v>
      </c>
      <c r="B1343" s="43" t="s">
        <v>95</v>
      </c>
      <c r="C1343" s="43" t="s">
        <v>90</v>
      </c>
      <c r="D1343" s="44" t="s">
        <v>259</v>
      </c>
      <c r="E1343" s="44">
        <v>5</v>
      </c>
      <c r="F1343" s="44" t="s">
        <v>0</v>
      </c>
      <c r="G1343" s="43" t="str">
        <f>IFERROR(VLOOKUP(A1343,'[1]MC Masterlist 2026-09-12'!$B:$M, 3, 0),"")</f>
        <v>HONDA</v>
      </c>
      <c r="H1343" s="45">
        <f>IFERROR(VLOOKUP(A1343,'[1]MC Masterlist 2026-09-12'!$B:$M, 6, 0),"")</f>
        <v>69950</v>
      </c>
      <c r="I1343" s="46">
        <v>2</v>
      </c>
      <c r="J1343" s="46">
        <v>4</v>
      </c>
      <c r="K1343" s="46">
        <v>2</v>
      </c>
      <c r="L1343" s="46">
        <f t="shared" si="300"/>
        <v>8</v>
      </c>
      <c r="M1343" s="46">
        <f t="shared" si="301"/>
        <v>2.6666666666666665</v>
      </c>
      <c r="N1343" s="45">
        <f t="shared" si="302"/>
        <v>559600</v>
      </c>
      <c r="O1343" s="45">
        <f t="shared" si="303"/>
        <v>186533.33333333331</v>
      </c>
      <c r="P1343" s="46">
        <f t="shared" si="304"/>
        <v>8.8888888888888878E-2</v>
      </c>
      <c r="Q1343" s="46">
        <v>6</v>
      </c>
      <c r="R1343" s="45">
        <f t="shared" si="305"/>
        <v>419700</v>
      </c>
      <c r="S1343" s="46">
        <f t="shared" si="306"/>
        <v>67.500000000000014</v>
      </c>
      <c r="T1343" s="46">
        <f>IFERROR(VLOOKUP(A1343,'[1]Re-order'!$A:$Q,17,0),"")</f>
        <v>75.775862068965523</v>
      </c>
      <c r="U1343" s="46">
        <f>IFERROR(VLOOKUP(A1343,'[1]MC Masterlist 2026-09-12'!$B:$M, 10, 0),0)</f>
        <v>15</v>
      </c>
      <c r="V1343" s="46">
        <f>IFERROR(VLOOKUP(A1343,'[1]MC Masterlist 2026-09-12'!$B:$M, 11, 0),0)</f>
        <v>15</v>
      </c>
      <c r="W1343" s="46">
        <f t="shared" si="307"/>
        <v>30</v>
      </c>
      <c r="X1343" s="46">
        <f t="shared" si="308"/>
        <v>28.666666666666668</v>
      </c>
      <c r="Y1343" s="46">
        <f>IFERROR(IF(OR(C1343="AREA I",C1343="AREA V"),7,VLOOKUP(A1343,'[1]MC Masterlist 2026-09-12'!$B:$M, 12, 0)),0)</f>
        <v>30</v>
      </c>
      <c r="Z1343" s="46">
        <f t="shared" si="309"/>
        <v>1.3333333333333333</v>
      </c>
      <c r="AA1343" s="46">
        <f t="shared" si="310"/>
        <v>2.6666666666666665</v>
      </c>
      <c r="AB1343" s="46">
        <f t="shared" si="311"/>
        <v>2.5481481481481478</v>
      </c>
      <c r="AC1343" s="46">
        <f t="shared" si="312"/>
        <v>2.6666666666666665</v>
      </c>
      <c r="AD1343" s="44" t="str">
        <f t="shared" si="313"/>
        <v>Over</v>
      </c>
      <c r="AE1343" s="44" t="str">
        <f>IFERROR(VLOOKUP(A1343,'[1]Re-order'!$A:$AA,27,0),"")</f>
        <v/>
      </c>
      <c r="AF1343" s="46">
        <f t="shared" si="314"/>
        <v>-3.3333333333333335</v>
      </c>
      <c r="AG1343" s="46">
        <f>SUMIFS('[1]Raw Inventory'!D:D,'[1]Raw Inventory'!C:C,"GREATWALL",'[1]Raw Inventory'!B:B,A1343)</f>
        <v>110</v>
      </c>
      <c r="AH1343" s="46">
        <f>SUMIFS('[1]Raw Inventory'!D:D,'[1]Raw Inventory'!C:C,"DUARTE",'[1]Raw Inventory'!B:B,A1343)</f>
        <v>0</v>
      </c>
      <c r="AI1343" s="46"/>
      <c r="AJ1343" s="46"/>
      <c r="AK1343" s="43"/>
      <c r="AL1343" s="43"/>
      <c r="AM1343" s="43"/>
      <c r="AN1343" s="43"/>
      <c r="AO1343" s="43"/>
      <c r="AP1343" s="43"/>
      <c r="AQ1343" s="43"/>
      <c r="AR1343" s="43"/>
      <c r="AS1343" s="43"/>
      <c r="AT1343" s="43"/>
    </row>
    <row r="1344" spans="1:46">
      <c r="A1344" s="43" t="s">
        <v>35</v>
      </c>
      <c r="B1344" s="43" t="s">
        <v>114</v>
      </c>
      <c r="C1344" s="43" t="s">
        <v>109</v>
      </c>
      <c r="D1344" s="44" t="s">
        <v>231</v>
      </c>
      <c r="E1344" s="44">
        <v>29</v>
      </c>
      <c r="F1344" s="44" t="s">
        <v>3</v>
      </c>
      <c r="G1344" s="43" t="str">
        <f>IFERROR(VLOOKUP(A1344,'[1]MC Masterlist 2026-09-12'!$B:$M, 3, 0),"")</f>
        <v>HONDA</v>
      </c>
      <c r="H1344" s="45">
        <f>IFERROR(VLOOKUP(A1344,'[1]MC Masterlist 2026-09-12'!$B:$M, 6, 0),"")</f>
        <v>57990</v>
      </c>
      <c r="I1344" s="46">
        <v>0</v>
      </c>
      <c r="J1344" s="46">
        <v>0</v>
      </c>
      <c r="K1344" s="46">
        <v>1</v>
      </c>
      <c r="L1344" s="46">
        <f t="shared" si="300"/>
        <v>1</v>
      </c>
      <c r="M1344" s="46">
        <f t="shared" si="301"/>
        <v>0.33333333333333331</v>
      </c>
      <c r="N1344" s="45">
        <f t="shared" si="302"/>
        <v>57990</v>
      </c>
      <c r="O1344" s="45">
        <f t="shared" si="303"/>
        <v>19330</v>
      </c>
      <c r="P1344" s="46">
        <f t="shared" si="304"/>
        <v>1.111111111111111E-2</v>
      </c>
      <c r="Q1344" s="46">
        <v>1</v>
      </c>
      <c r="R1344" s="45">
        <f t="shared" si="305"/>
        <v>57990</v>
      </c>
      <c r="S1344" s="46">
        <f t="shared" si="306"/>
        <v>90</v>
      </c>
      <c r="T1344" s="46">
        <f>IFERROR(VLOOKUP(A1344,'[1]Re-order'!$A:$Q,17,0),"")</f>
        <v>68.275862068965523</v>
      </c>
      <c r="U1344" s="46">
        <f>IFERROR(VLOOKUP(A1344,'[1]MC Masterlist 2026-09-12'!$B:$M, 10, 0),0)</f>
        <v>15</v>
      </c>
      <c r="V1344" s="46">
        <f>IFERROR(VLOOKUP(A1344,'[1]MC Masterlist 2026-09-12'!$B:$M, 11, 0),0)</f>
        <v>15</v>
      </c>
      <c r="W1344" s="46">
        <f t="shared" si="307"/>
        <v>30</v>
      </c>
      <c r="X1344" s="46">
        <f t="shared" si="308"/>
        <v>29.833333333333332</v>
      </c>
      <c r="Y1344" s="46">
        <f>IFERROR(IF(OR(C1344="AREA I",C1344="AREA V"),7,VLOOKUP(A1344,'[1]MC Masterlist 2026-09-12'!$B:$M, 12, 0)),0)</f>
        <v>30</v>
      </c>
      <c r="Z1344" s="46">
        <f t="shared" si="309"/>
        <v>0.16666666666666666</v>
      </c>
      <c r="AA1344" s="46">
        <f t="shared" si="310"/>
        <v>0.33333333333333331</v>
      </c>
      <c r="AB1344" s="46">
        <f t="shared" si="311"/>
        <v>0.33148148148148143</v>
      </c>
      <c r="AC1344" s="46">
        <f t="shared" si="312"/>
        <v>0.33333333333333331</v>
      </c>
      <c r="AD1344" s="44" t="str">
        <f t="shared" si="313"/>
        <v>Over</v>
      </c>
      <c r="AE1344" s="44" t="str">
        <f>IFERROR(VLOOKUP(A1344,'[1]Re-order'!$A:$AA,27,0),"")</f>
        <v>Re-order</v>
      </c>
      <c r="AF1344" s="46">
        <f t="shared" si="314"/>
        <v>-0.66666666666666674</v>
      </c>
      <c r="AG1344" s="46">
        <f>SUMIFS('[1]Raw Inventory'!D:D,'[1]Raw Inventory'!C:C,"GREATWALL",'[1]Raw Inventory'!B:B,A1344)</f>
        <v>29</v>
      </c>
      <c r="AH1344" s="46">
        <f>SUMIFS('[1]Raw Inventory'!D:D,'[1]Raw Inventory'!C:C,"DUARTE",'[1]Raw Inventory'!B:B,A1344)</f>
        <v>0</v>
      </c>
      <c r="AI1344" s="46"/>
      <c r="AJ1344" s="46"/>
      <c r="AK1344" s="43"/>
      <c r="AL1344" s="43"/>
      <c r="AM1344" s="43"/>
      <c r="AN1344" s="43"/>
      <c r="AO1344" s="43"/>
      <c r="AP1344" s="43"/>
      <c r="AQ1344" s="43"/>
      <c r="AR1344" s="43"/>
      <c r="AS1344" s="43"/>
      <c r="AT1344" s="43"/>
    </row>
    <row r="1345" spans="1:46">
      <c r="A1345" s="43" t="s">
        <v>31</v>
      </c>
      <c r="B1345" s="43" t="s">
        <v>154</v>
      </c>
      <c r="C1345" s="43" t="s">
        <v>152</v>
      </c>
      <c r="D1345" s="44" t="s">
        <v>267</v>
      </c>
      <c r="E1345" s="44">
        <v>28</v>
      </c>
      <c r="F1345" s="44" t="s">
        <v>3</v>
      </c>
      <c r="G1345" s="43" t="str">
        <f>IFERROR(VLOOKUP(A1345,'[1]MC Masterlist 2026-09-12'!$B:$M, 3, 0),"")</f>
        <v>KAWASAKI</v>
      </c>
      <c r="H1345" s="45">
        <f>IFERROR(VLOOKUP(A1345,'[1]MC Masterlist 2026-09-12'!$B:$M, 6, 0),"")</f>
        <v>59528</v>
      </c>
      <c r="I1345" s="46">
        <v>0</v>
      </c>
      <c r="J1345" s="46">
        <v>0</v>
      </c>
      <c r="K1345" s="46">
        <v>0</v>
      </c>
      <c r="L1345" s="46">
        <f t="shared" si="300"/>
        <v>0</v>
      </c>
      <c r="M1345" s="46">
        <f t="shared" si="301"/>
        <v>0</v>
      </c>
      <c r="N1345" s="45">
        <f t="shared" si="302"/>
        <v>0</v>
      </c>
      <c r="O1345" s="45">
        <f t="shared" si="303"/>
        <v>0</v>
      </c>
      <c r="P1345" s="46">
        <f t="shared" si="304"/>
        <v>0</v>
      </c>
      <c r="Q1345" s="46">
        <v>1</v>
      </c>
      <c r="R1345" s="45">
        <f t="shared" si="305"/>
        <v>59528</v>
      </c>
      <c r="S1345" s="46">
        <f t="shared" si="306"/>
        <v>0</v>
      </c>
      <c r="T1345" s="46">
        <f>IFERROR(VLOOKUP(A1345,'[1]Re-order'!$A:$Q,17,0),"")</f>
        <v>95.869565217391298</v>
      </c>
      <c r="U1345" s="46">
        <f>IFERROR(VLOOKUP(A1345,'[1]MC Masterlist 2026-09-12'!$B:$M, 10, 0),0)</f>
        <v>15</v>
      </c>
      <c r="V1345" s="46">
        <f>IFERROR(VLOOKUP(A1345,'[1]MC Masterlist 2026-09-12'!$B:$M, 11, 0),0)</f>
        <v>15</v>
      </c>
      <c r="W1345" s="46">
        <f t="shared" si="307"/>
        <v>30</v>
      </c>
      <c r="X1345" s="46">
        <f t="shared" si="308"/>
        <v>30</v>
      </c>
      <c r="Y1345" s="46">
        <f>IFERROR(IF(OR(C1345="AREA I",C1345="AREA V"),7,VLOOKUP(A1345,'[1]MC Masterlist 2026-09-12'!$B:$M, 12, 0)),0)</f>
        <v>30</v>
      </c>
      <c r="Z1345" s="46">
        <f t="shared" si="309"/>
        <v>0</v>
      </c>
      <c r="AA1345" s="46">
        <f t="shared" si="310"/>
        <v>0</v>
      </c>
      <c r="AB1345" s="46">
        <f t="shared" si="311"/>
        <v>0</v>
      </c>
      <c r="AC1345" s="46">
        <f t="shared" si="312"/>
        <v>0</v>
      </c>
      <c r="AD1345" s="44" t="str">
        <f t="shared" si="313"/>
        <v>Over</v>
      </c>
      <c r="AE1345" s="44" t="str">
        <f>IFERROR(VLOOKUP(A1345,'[1]Re-order'!$A:$AA,27,0),"")</f>
        <v>Over</v>
      </c>
      <c r="AF1345" s="46">
        <f t="shared" si="314"/>
        <v>-1</v>
      </c>
      <c r="AG1345" s="46">
        <f>SUMIFS('[1]Raw Inventory'!D:D,'[1]Raw Inventory'!C:C,"GREATWALL",'[1]Raw Inventory'!B:B,A1345)</f>
        <v>79</v>
      </c>
      <c r="AH1345" s="46">
        <f>SUMIFS('[1]Raw Inventory'!D:D,'[1]Raw Inventory'!C:C,"DUARTE",'[1]Raw Inventory'!B:B,A1345)</f>
        <v>0</v>
      </c>
      <c r="AI1345" s="46"/>
      <c r="AJ1345" s="46"/>
      <c r="AK1345" s="43"/>
      <c r="AL1345" s="43"/>
      <c r="AM1345" s="43"/>
      <c r="AN1345" s="43"/>
      <c r="AO1345" s="43"/>
      <c r="AP1345" s="43"/>
      <c r="AQ1345" s="43"/>
      <c r="AR1345" s="43"/>
      <c r="AS1345" s="43"/>
      <c r="AT1345" s="43"/>
    </row>
    <row r="1346" spans="1:46">
      <c r="A1346" s="43" t="s">
        <v>18</v>
      </c>
      <c r="B1346" s="43" t="s">
        <v>142</v>
      </c>
      <c r="C1346" s="43" t="s">
        <v>137</v>
      </c>
      <c r="D1346" s="44" t="s">
        <v>235</v>
      </c>
      <c r="E1346" s="44">
        <v>26</v>
      </c>
      <c r="F1346" s="44" t="s">
        <v>3</v>
      </c>
      <c r="G1346" s="43" t="str">
        <f>IFERROR(VLOOKUP(A1346,'[1]MC Masterlist 2026-09-12'!$B:$M, 3, 0),"")</f>
        <v>HONDA</v>
      </c>
      <c r="H1346" s="45">
        <f>IFERROR(VLOOKUP(A1346,'[1]MC Masterlist 2026-09-12'!$B:$M, 6, 0),"")</f>
        <v>94330</v>
      </c>
      <c r="I1346" s="46">
        <v>0</v>
      </c>
      <c r="J1346" s="46">
        <v>0</v>
      </c>
      <c r="K1346" s="46">
        <v>0</v>
      </c>
      <c r="L1346" s="46">
        <f t="shared" si="300"/>
        <v>0</v>
      </c>
      <c r="M1346" s="46">
        <f t="shared" si="301"/>
        <v>0</v>
      </c>
      <c r="N1346" s="45">
        <f t="shared" si="302"/>
        <v>0</v>
      </c>
      <c r="O1346" s="45">
        <f t="shared" si="303"/>
        <v>0</v>
      </c>
      <c r="P1346" s="46">
        <f t="shared" si="304"/>
        <v>0</v>
      </c>
      <c r="Q1346" s="46">
        <v>3</v>
      </c>
      <c r="R1346" s="45">
        <f t="shared" si="305"/>
        <v>282990</v>
      </c>
      <c r="S1346" s="46">
        <f t="shared" si="306"/>
        <v>0</v>
      </c>
      <c r="T1346" s="46">
        <f>IFERROR(VLOOKUP(A1346,'[1]Re-order'!$A:$Q,17,0),"")</f>
        <v>113.9644970414201</v>
      </c>
      <c r="U1346" s="46">
        <f>IFERROR(VLOOKUP(A1346,'[1]MC Masterlist 2026-09-12'!$B:$M, 10, 0),0)</f>
        <v>15</v>
      </c>
      <c r="V1346" s="46">
        <f>IFERROR(VLOOKUP(A1346,'[1]MC Masterlist 2026-09-12'!$B:$M, 11, 0),0)</f>
        <v>15</v>
      </c>
      <c r="W1346" s="46">
        <f t="shared" si="307"/>
        <v>30</v>
      </c>
      <c r="X1346" s="46">
        <f t="shared" si="308"/>
        <v>7</v>
      </c>
      <c r="Y1346" s="46">
        <f>IFERROR(IF(OR(C1346="AREA I",C1346="AREA V"),7,VLOOKUP(A1346,'[1]MC Masterlist 2026-09-12'!$B:$M, 12, 0)),0)</f>
        <v>7</v>
      </c>
      <c r="Z1346" s="46">
        <f t="shared" si="309"/>
        <v>0</v>
      </c>
      <c r="AA1346" s="46">
        <f t="shared" si="310"/>
        <v>0</v>
      </c>
      <c r="AB1346" s="46">
        <f t="shared" si="311"/>
        <v>0</v>
      </c>
      <c r="AC1346" s="46">
        <f t="shared" si="312"/>
        <v>0</v>
      </c>
      <c r="AD1346" s="44" t="str">
        <f t="shared" si="313"/>
        <v>Over</v>
      </c>
      <c r="AE1346" s="44" t="str">
        <f>IFERROR(VLOOKUP(A1346,'[1]Re-order'!$A:$AA,27,0),"")</f>
        <v>Over</v>
      </c>
      <c r="AF1346" s="46">
        <f t="shared" si="314"/>
        <v>-3</v>
      </c>
      <c r="AG1346" s="46">
        <f>SUMIFS('[1]Raw Inventory'!D:D,'[1]Raw Inventory'!C:C,"GREATWALL",'[1]Raw Inventory'!B:B,A1346)</f>
        <v>88</v>
      </c>
      <c r="AH1346" s="46">
        <f>SUMIFS('[1]Raw Inventory'!D:D,'[1]Raw Inventory'!C:C,"DUARTE",'[1]Raw Inventory'!B:B,A1346)</f>
        <v>0</v>
      </c>
      <c r="AI1346" s="46"/>
      <c r="AJ1346" s="46"/>
      <c r="AK1346" s="43"/>
      <c r="AL1346" s="43"/>
      <c r="AM1346" s="43"/>
      <c r="AN1346" s="43"/>
      <c r="AO1346" s="43"/>
      <c r="AP1346" s="43"/>
      <c r="AQ1346" s="43"/>
      <c r="AR1346" s="43"/>
      <c r="AS1346" s="43"/>
      <c r="AT1346" s="43"/>
    </row>
    <row r="1347" spans="1:46">
      <c r="A1347" s="43" t="s">
        <v>78</v>
      </c>
      <c r="B1347" s="43" t="s">
        <v>160</v>
      </c>
      <c r="C1347" s="43" t="s">
        <v>159</v>
      </c>
      <c r="D1347" s="44" t="s">
        <v>256</v>
      </c>
      <c r="E1347" s="44">
        <v>14</v>
      </c>
      <c r="F1347" s="44" t="s">
        <v>2</v>
      </c>
      <c r="G1347" s="43" t="str">
        <f>IFERROR(VLOOKUP(A1347,'[1]MC Masterlist 2026-09-12'!$B:$M, 3, 0),"")</f>
        <v>KAWASAKI</v>
      </c>
      <c r="H1347" s="45">
        <f>IFERROR(VLOOKUP(A1347,'[1]MC Masterlist 2026-09-12'!$B:$M, 6, 0),"")</f>
        <v>100700</v>
      </c>
      <c r="I1347" s="46">
        <v>1</v>
      </c>
      <c r="J1347" s="46">
        <v>0</v>
      </c>
      <c r="K1347" s="46">
        <v>1</v>
      </c>
      <c r="L1347" s="46">
        <f t="shared" ref="L1347:L1410" si="315">I1347+J1347+K1347</f>
        <v>2</v>
      </c>
      <c r="M1347" s="46">
        <f t="shared" ref="M1347:M1410" si="316">AVERAGE(I1347,J1347,K1347)</f>
        <v>0.66666666666666663</v>
      </c>
      <c r="N1347" s="45">
        <f t="shared" ref="N1347:N1410" si="317">L1347*H1347</f>
        <v>201400</v>
      </c>
      <c r="O1347" s="45">
        <f t="shared" ref="O1347:O1410" si="318">M1347*H1347</f>
        <v>67133.333333333328</v>
      </c>
      <c r="P1347" s="46">
        <f t="shared" ref="P1347:P1410" si="319">M1347/30</f>
        <v>2.222222222222222E-2</v>
      </c>
      <c r="Q1347" s="46">
        <v>3</v>
      </c>
      <c r="R1347" s="45">
        <f t="shared" ref="R1347:R1410" si="320">IFERROR(Q1347*H1347, 0)</f>
        <v>302100</v>
      </c>
      <c r="S1347" s="46">
        <f t="shared" ref="S1347:S1410" si="321">IFERROR(R1347/(O1347)*30, 0)</f>
        <v>135</v>
      </c>
      <c r="T1347" s="46">
        <f>IFERROR(VLOOKUP(A1347,'[1]Re-order'!$A:$Q,17,0),"")</f>
        <v>438.75000000000006</v>
      </c>
      <c r="U1347" s="46">
        <f>IFERROR(VLOOKUP(A1347,'[1]MC Masterlist 2026-09-12'!$B:$M, 10, 0),0)</f>
        <v>15</v>
      </c>
      <c r="V1347" s="46">
        <f>IFERROR(VLOOKUP(A1347,'[1]MC Masterlist 2026-09-12'!$B:$M, 11, 0),0)</f>
        <v>15</v>
      </c>
      <c r="W1347" s="46">
        <f t="shared" ref="W1347:W1410" si="322">U1347+V1347</f>
        <v>30</v>
      </c>
      <c r="X1347" s="46">
        <f t="shared" ref="X1347:X1410" si="323">Y1347-Z1347</f>
        <v>29.666666666666668</v>
      </c>
      <c r="Y1347" s="46">
        <f>IFERROR(IF(OR(C1347="AREA I",C1347="AREA V"),7,VLOOKUP(A1347,'[1]MC Masterlist 2026-09-12'!$B:$M, 12, 0)),0)</f>
        <v>30</v>
      </c>
      <c r="Z1347" s="46">
        <f t="shared" ref="Z1347:Z1410" si="324">V1347*P1347</f>
        <v>0.33333333333333331</v>
      </c>
      <c r="AA1347" s="46">
        <f t="shared" ref="AA1347:AA1410" si="325">W1347*P1347</f>
        <v>0.66666666666666663</v>
      </c>
      <c r="AB1347" s="46">
        <f t="shared" ref="AB1347:AB1410" si="326">X1347*P1347</f>
        <v>0.65925925925925921</v>
      </c>
      <c r="AC1347" s="46">
        <f t="shared" ref="AC1347:AC1410" si="327">Y1347*P1347</f>
        <v>0.66666666666666663</v>
      </c>
      <c r="AD1347" s="44" t="str">
        <f t="shared" ref="AD1347:AD1410" si="328">IFERROR(IF(Q1347&gt;AC1347, "Over", IF(Q1347&lt;=Z1347, "Stockout", IF(Q1347&lt;=AA1347, "Re-order",""))), "")</f>
        <v>Over</v>
      </c>
      <c r="AE1347" s="44" t="str">
        <f>IFERROR(VLOOKUP(A1347,'[1]Re-order'!$A:$AA,27,0),"")</f>
        <v>Over</v>
      </c>
      <c r="AF1347" s="46">
        <f t="shared" ref="AF1347:AF1410" si="329">AC1347-Q1347</f>
        <v>-2.3333333333333335</v>
      </c>
      <c r="AG1347" s="46">
        <f>SUMIFS('[1]Raw Inventory'!D:D,'[1]Raw Inventory'!C:C,"GREATWALL",'[1]Raw Inventory'!B:B,A1347)</f>
        <v>26</v>
      </c>
      <c r="AH1347" s="46">
        <f>SUMIFS('[1]Raw Inventory'!D:D,'[1]Raw Inventory'!C:C,"DUARTE",'[1]Raw Inventory'!B:B,A1347)</f>
        <v>0</v>
      </c>
      <c r="AI1347" s="46"/>
      <c r="AJ1347" s="46"/>
      <c r="AK1347" s="43"/>
      <c r="AL1347" s="43"/>
      <c r="AM1347" s="43"/>
      <c r="AN1347" s="43"/>
      <c r="AO1347" s="43"/>
      <c r="AP1347" s="43"/>
      <c r="AQ1347" s="43"/>
      <c r="AR1347" s="43"/>
      <c r="AS1347" s="43"/>
      <c r="AT1347" s="43"/>
    </row>
    <row r="1348" spans="1:46">
      <c r="A1348" s="43" t="s">
        <v>16</v>
      </c>
      <c r="B1348" s="43" t="s">
        <v>145</v>
      </c>
      <c r="C1348" s="43" t="s">
        <v>137</v>
      </c>
      <c r="D1348" s="44" t="s">
        <v>225</v>
      </c>
      <c r="E1348" s="44">
        <v>3</v>
      </c>
      <c r="F1348" s="44" t="s">
        <v>0</v>
      </c>
      <c r="G1348" s="43" t="str">
        <f>IFERROR(VLOOKUP(A1348,'[1]MC Masterlist 2026-09-12'!$B:$M, 3, 0),"")</f>
        <v>HONDA</v>
      </c>
      <c r="H1348" s="45">
        <f>IFERROR(VLOOKUP(A1348,'[1]MC Masterlist 2026-09-12'!$B:$M, 6, 0),"")</f>
        <v>84394</v>
      </c>
      <c r="I1348" s="46">
        <v>1</v>
      </c>
      <c r="J1348" s="46">
        <v>5</v>
      </c>
      <c r="K1348" s="46">
        <v>3</v>
      </c>
      <c r="L1348" s="46">
        <f t="shared" si="315"/>
        <v>9</v>
      </c>
      <c r="M1348" s="46">
        <f t="shared" si="316"/>
        <v>3</v>
      </c>
      <c r="N1348" s="45">
        <f t="shared" si="317"/>
        <v>759546</v>
      </c>
      <c r="O1348" s="45">
        <f t="shared" si="318"/>
        <v>253182</v>
      </c>
      <c r="P1348" s="46">
        <f t="shared" si="319"/>
        <v>0.1</v>
      </c>
      <c r="Q1348" s="46">
        <v>2</v>
      </c>
      <c r="R1348" s="45">
        <f t="shared" si="320"/>
        <v>168788</v>
      </c>
      <c r="S1348" s="46">
        <f t="shared" si="321"/>
        <v>20</v>
      </c>
      <c r="T1348" s="46">
        <f>IFERROR(VLOOKUP(A1348,'[1]Re-order'!$A:$Q,17,0),"")</f>
        <v>26.332665330661321</v>
      </c>
      <c r="U1348" s="46">
        <f>IFERROR(VLOOKUP(A1348,'[1]MC Masterlist 2026-09-12'!$B:$M, 10, 0),0)</f>
        <v>15</v>
      </c>
      <c r="V1348" s="46">
        <f>IFERROR(VLOOKUP(A1348,'[1]MC Masterlist 2026-09-12'!$B:$M, 11, 0),0)</f>
        <v>15</v>
      </c>
      <c r="W1348" s="46">
        <f t="shared" si="322"/>
        <v>30</v>
      </c>
      <c r="X1348" s="46">
        <f t="shared" si="323"/>
        <v>5.5</v>
      </c>
      <c r="Y1348" s="46">
        <f>IFERROR(IF(OR(C1348="AREA I",C1348="AREA V"),7,VLOOKUP(A1348,'[1]MC Masterlist 2026-09-12'!$B:$M, 12, 0)),0)</f>
        <v>7</v>
      </c>
      <c r="Z1348" s="46">
        <f t="shared" si="324"/>
        <v>1.5</v>
      </c>
      <c r="AA1348" s="46">
        <f t="shared" si="325"/>
        <v>3</v>
      </c>
      <c r="AB1348" s="46">
        <f t="shared" si="326"/>
        <v>0.55000000000000004</v>
      </c>
      <c r="AC1348" s="46">
        <f t="shared" si="327"/>
        <v>0.70000000000000007</v>
      </c>
      <c r="AD1348" s="44" t="str">
        <f t="shared" si="328"/>
        <v>Over</v>
      </c>
      <c r="AE1348" s="44" t="str">
        <f>IFERROR(VLOOKUP(A1348,'[1]Re-order'!$A:$AA,27,0),"")</f>
        <v>Stockout</v>
      </c>
      <c r="AF1348" s="46">
        <f t="shared" si="329"/>
        <v>-1.2999999999999998</v>
      </c>
      <c r="AG1348" s="46">
        <f>SUMIFS('[1]Raw Inventory'!D:D,'[1]Raw Inventory'!C:C,"GREATWALL",'[1]Raw Inventory'!B:B,A1348)</f>
        <v>58</v>
      </c>
      <c r="AH1348" s="46">
        <f>SUMIFS('[1]Raw Inventory'!D:D,'[1]Raw Inventory'!C:C,"DUARTE",'[1]Raw Inventory'!B:B,A1348)</f>
        <v>0</v>
      </c>
      <c r="AI1348" s="46"/>
      <c r="AJ1348" s="46"/>
      <c r="AK1348" s="43"/>
      <c r="AL1348" s="43"/>
      <c r="AM1348" s="43"/>
      <c r="AN1348" s="43"/>
      <c r="AO1348" s="43"/>
      <c r="AP1348" s="43"/>
      <c r="AQ1348" s="43"/>
      <c r="AR1348" s="43"/>
      <c r="AS1348" s="43"/>
      <c r="AT1348" s="43"/>
    </row>
    <row r="1349" spans="1:46">
      <c r="A1349" s="43" t="s">
        <v>32</v>
      </c>
      <c r="B1349" s="43" t="s">
        <v>138</v>
      </c>
      <c r="C1349" s="43" t="s">
        <v>137</v>
      </c>
      <c r="D1349" s="44" t="s">
        <v>298</v>
      </c>
      <c r="E1349" s="44">
        <v>39</v>
      </c>
      <c r="F1349" s="44" t="s">
        <v>3</v>
      </c>
      <c r="G1349" s="43" t="str">
        <f>IFERROR(VLOOKUP(A1349,'[1]MC Masterlist 2026-09-12'!$B:$M, 3, 0),"")</f>
        <v>HONDA</v>
      </c>
      <c r="H1349" s="45">
        <f>IFERROR(VLOOKUP(A1349,'[1]MC Masterlist 2026-09-12'!$B:$M, 6, 0),"")</f>
        <v>288910</v>
      </c>
      <c r="I1349" s="46">
        <v>0</v>
      </c>
      <c r="J1349" s="46">
        <v>0</v>
      </c>
      <c r="K1349" s="46">
        <v>0</v>
      </c>
      <c r="L1349" s="46">
        <f t="shared" si="315"/>
        <v>0</v>
      </c>
      <c r="M1349" s="46">
        <f t="shared" si="316"/>
        <v>0</v>
      </c>
      <c r="N1349" s="45">
        <f t="shared" si="317"/>
        <v>0</v>
      </c>
      <c r="O1349" s="45">
        <f t="shared" si="318"/>
        <v>0</v>
      </c>
      <c r="P1349" s="46">
        <f t="shared" si="319"/>
        <v>0</v>
      </c>
      <c r="Q1349" s="46">
        <v>7</v>
      </c>
      <c r="R1349" s="45">
        <f t="shared" si="320"/>
        <v>2022370</v>
      </c>
      <c r="S1349" s="46">
        <f t="shared" si="321"/>
        <v>0</v>
      </c>
      <c r="T1349" s="46">
        <f>IFERROR(VLOOKUP(A1349,'[1]Re-order'!$A:$Q,17,0),"")</f>
        <v>97.5</v>
      </c>
      <c r="U1349" s="46">
        <f>IFERROR(VLOOKUP(A1349,'[1]MC Masterlist 2026-09-12'!$B:$M, 10, 0),0)</f>
        <v>15</v>
      </c>
      <c r="V1349" s="46">
        <f>IFERROR(VLOOKUP(A1349,'[1]MC Masterlist 2026-09-12'!$B:$M, 11, 0),0)</f>
        <v>15</v>
      </c>
      <c r="W1349" s="46">
        <f t="shared" si="322"/>
        <v>30</v>
      </c>
      <c r="X1349" s="46">
        <f t="shared" si="323"/>
        <v>7</v>
      </c>
      <c r="Y1349" s="46">
        <f>IFERROR(IF(OR(C1349="AREA I",C1349="AREA V"),7,VLOOKUP(A1349,'[1]MC Masterlist 2026-09-12'!$B:$M, 12, 0)),0)</f>
        <v>7</v>
      </c>
      <c r="Z1349" s="46">
        <f t="shared" si="324"/>
        <v>0</v>
      </c>
      <c r="AA1349" s="46">
        <f t="shared" si="325"/>
        <v>0</v>
      </c>
      <c r="AB1349" s="46">
        <f t="shared" si="326"/>
        <v>0</v>
      </c>
      <c r="AC1349" s="46">
        <f t="shared" si="327"/>
        <v>0</v>
      </c>
      <c r="AD1349" s="44" t="str">
        <f t="shared" si="328"/>
        <v>Over</v>
      </c>
      <c r="AE1349" s="44" t="str">
        <f>IFERROR(VLOOKUP(A1349,'[1]Re-order'!$A:$AA,27,0),"")</f>
        <v>Over</v>
      </c>
      <c r="AF1349" s="46">
        <f t="shared" si="329"/>
        <v>-7</v>
      </c>
      <c r="AG1349" s="46">
        <f>SUMIFS('[1]Raw Inventory'!D:D,'[1]Raw Inventory'!C:C,"GREATWALL",'[1]Raw Inventory'!B:B,A1349)</f>
        <v>7</v>
      </c>
      <c r="AH1349" s="46">
        <f>SUMIFS('[1]Raw Inventory'!D:D,'[1]Raw Inventory'!C:C,"DUARTE",'[1]Raw Inventory'!B:B,A1349)</f>
        <v>0</v>
      </c>
      <c r="AI1349" s="46"/>
      <c r="AJ1349" s="46"/>
      <c r="AK1349" s="43"/>
      <c r="AL1349" s="43"/>
      <c r="AM1349" s="43"/>
      <c r="AN1349" s="43"/>
      <c r="AO1349" s="43"/>
      <c r="AP1349" s="43"/>
      <c r="AQ1349" s="43"/>
      <c r="AR1349" s="43"/>
      <c r="AS1349" s="43"/>
      <c r="AT1349" s="43"/>
    </row>
    <row r="1350" spans="1:46">
      <c r="A1350" s="43" t="s">
        <v>44</v>
      </c>
      <c r="B1350" s="43" t="s">
        <v>110</v>
      </c>
      <c r="C1350" s="43" t="s">
        <v>109</v>
      </c>
      <c r="D1350" s="44" t="s">
        <v>243</v>
      </c>
      <c r="E1350" s="44">
        <v>16</v>
      </c>
      <c r="F1350" s="44" t="s">
        <v>2</v>
      </c>
      <c r="G1350" s="43" t="str">
        <f>IFERROR(VLOOKUP(A1350,'[1]MC Masterlist 2026-09-12'!$B:$M, 3, 0),"")</f>
        <v>YAMAHA</v>
      </c>
      <c r="H1350" s="45">
        <f>IFERROR(VLOOKUP(A1350,'[1]MC Masterlist 2026-09-12'!$B:$M, 6, 0),"")</f>
        <v>165912</v>
      </c>
      <c r="I1350" s="46">
        <v>0</v>
      </c>
      <c r="J1350" s="46">
        <v>0</v>
      </c>
      <c r="K1350" s="46">
        <v>1</v>
      </c>
      <c r="L1350" s="46">
        <f t="shared" si="315"/>
        <v>1</v>
      </c>
      <c r="M1350" s="46">
        <f t="shared" si="316"/>
        <v>0.33333333333333331</v>
      </c>
      <c r="N1350" s="45">
        <f t="shared" si="317"/>
        <v>165912</v>
      </c>
      <c r="O1350" s="45">
        <f t="shared" si="318"/>
        <v>55304</v>
      </c>
      <c r="P1350" s="46">
        <f t="shared" si="319"/>
        <v>1.111111111111111E-2</v>
      </c>
      <c r="Q1350" s="46"/>
      <c r="R1350" s="45">
        <f t="shared" si="320"/>
        <v>0</v>
      </c>
      <c r="S1350" s="46">
        <f t="shared" si="321"/>
        <v>0</v>
      </c>
      <c r="T1350" s="46">
        <f>IFERROR(VLOOKUP(A1350,'[1]Re-order'!$A:$Q,17,0),"")</f>
        <v>10.588235294117649</v>
      </c>
      <c r="U1350" s="46">
        <f>IFERROR(VLOOKUP(A1350,'[1]MC Masterlist 2026-09-12'!$B:$M, 10, 0),0)</f>
        <v>15</v>
      </c>
      <c r="V1350" s="46">
        <f>IFERROR(VLOOKUP(A1350,'[1]MC Masterlist 2026-09-12'!$B:$M, 11, 0),0)</f>
        <v>15</v>
      </c>
      <c r="W1350" s="46">
        <f t="shared" si="322"/>
        <v>30</v>
      </c>
      <c r="X1350" s="46">
        <f t="shared" si="323"/>
        <v>29.833333333333332</v>
      </c>
      <c r="Y1350" s="46">
        <f>IFERROR(IF(OR(C1350="AREA I",C1350="AREA V"),7,VLOOKUP(A1350,'[1]MC Masterlist 2026-09-12'!$B:$M, 12, 0)),0)</f>
        <v>30</v>
      </c>
      <c r="Z1350" s="46">
        <f t="shared" si="324"/>
        <v>0.16666666666666666</v>
      </c>
      <c r="AA1350" s="46">
        <f t="shared" si="325"/>
        <v>0.33333333333333331</v>
      </c>
      <c r="AB1350" s="46">
        <f t="shared" si="326"/>
        <v>0.33148148148148143</v>
      </c>
      <c r="AC1350" s="46">
        <f t="shared" si="327"/>
        <v>0.33333333333333331</v>
      </c>
      <c r="AD1350" s="44" t="str">
        <f t="shared" si="328"/>
        <v>Stockout</v>
      </c>
      <c r="AE1350" s="44" t="str">
        <f>IFERROR(VLOOKUP(A1350,'[1]Re-order'!$A:$AA,27,0),"")</f>
        <v>Stockout</v>
      </c>
      <c r="AF1350" s="46">
        <f t="shared" si="329"/>
        <v>0.33333333333333331</v>
      </c>
      <c r="AG1350" s="46">
        <f>SUMIFS('[1]Raw Inventory'!D:D,'[1]Raw Inventory'!C:C,"GREATWALL",'[1]Raw Inventory'!B:B,A1350)</f>
        <v>0</v>
      </c>
      <c r="AH1350" s="46">
        <f>SUMIFS('[1]Raw Inventory'!D:D,'[1]Raw Inventory'!C:C,"DUARTE",'[1]Raw Inventory'!B:B,A1350)</f>
        <v>0</v>
      </c>
      <c r="AI1350" s="46"/>
      <c r="AJ1350" s="46"/>
      <c r="AK1350" s="43"/>
      <c r="AL1350" s="43"/>
      <c r="AM1350" s="43"/>
      <c r="AN1350" s="43"/>
      <c r="AO1350" s="43"/>
      <c r="AP1350" s="43"/>
      <c r="AQ1350" s="43"/>
      <c r="AR1350" s="43"/>
      <c r="AS1350" s="43"/>
      <c r="AT1350" s="43"/>
    </row>
    <row r="1351" spans="1:46">
      <c r="A1351" s="43" t="s">
        <v>84</v>
      </c>
      <c r="B1351" s="43" t="s">
        <v>153</v>
      </c>
      <c r="C1351" s="43" t="s">
        <v>152</v>
      </c>
      <c r="D1351" s="44" t="s">
        <v>242</v>
      </c>
      <c r="E1351" s="44">
        <v>20</v>
      </c>
      <c r="F1351" s="44" t="s">
        <v>3</v>
      </c>
      <c r="G1351" s="43" t="str">
        <f>IFERROR(VLOOKUP(A1351,'[1]MC Masterlist 2026-09-12'!$B:$M, 3, 0),"")</f>
        <v>SKYGO</v>
      </c>
      <c r="H1351" s="45">
        <f>IFERROR(VLOOKUP(A1351,'[1]MC Masterlist 2026-09-12'!$B:$M, 6, 0),"")</f>
        <v>98325</v>
      </c>
      <c r="I1351" s="46">
        <v>0</v>
      </c>
      <c r="J1351" s="46">
        <v>0</v>
      </c>
      <c r="K1351" s="46">
        <v>0</v>
      </c>
      <c r="L1351" s="46">
        <f t="shared" si="315"/>
        <v>0</v>
      </c>
      <c r="M1351" s="46">
        <f t="shared" si="316"/>
        <v>0</v>
      </c>
      <c r="N1351" s="45">
        <f t="shared" si="317"/>
        <v>0</v>
      </c>
      <c r="O1351" s="45">
        <f t="shared" si="318"/>
        <v>0</v>
      </c>
      <c r="P1351" s="46">
        <f t="shared" si="319"/>
        <v>0</v>
      </c>
      <c r="Q1351" s="46">
        <v>1</v>
      </c>
      <c r="R1351" s="45">
        <f t="shared" si="320"/>
        <v>98325</v>
      </c>
      <c r="S1351" s="46">
        <f t="shared" si="321"/>
        <v>0</v>
      </c>
      <c r="T1351" s="46">
        <f>IFERROR(VLOOKUP(A1351,'[1]Re-order'!$A:$Q,17,0),"")</f>
        <v>360</v>
      </c>
      <c r="U1351" s="46">
        <f>IFERROR(VLOOKUP(A1351,'[1]MC Masterlist 2026-09-12'!$B:$M, 10, 0),0)</f>
        <v>15</v>
      </c>
      <c r="V1351" s="46">
        <f>IFERROR(VLOOKUP(A1351,'[1]MC Masterlist 2026-09-12'!$B:$M, 11, 0),0)</f>
        <v>15</v>
      </c>
      <c r="W1351" s="46">
        <f t="shared" si="322"/>
        <v>30</v>
      </c>
      <c r="X1351" s="46">
        <f t="shared" si="323"/>
        <v>30</v>
      </c>
      <c r="Y1351" s="46">
        <f>IFERROR(IF(OR(C1351="AREA I",C1351="AREA V"),7,VLOOKUP(A1351,'[1]MC Masterlist 2026-09-12'!$B:$M, 12, 0)),0)</f>
        <v>30</v>
      </c>
      <c r="Z1351" s="46">
        <f t="shared" si="324"/>
        <v>0</v>
      </c>
      <c r="AA1351" s="46">
        <f t="shared" si="325"/>
        <v>0</v>
      </c>
      <c r="AB1351" s="46">
        <f t="shared" si="326"/>
        <v>0</v>
      </c>
      <c r="AC1351" s="46">
        <f t="shared" si="327"/>
        <v>0</v>
      </c>
      <c r="AD1351" s="44" t="str">
        <f t="shared" si="328"/>
        <v>Over</v>
      </c>
      <c r="AE1351" s="44" t="str">
        <f>IFERROR(VLOOKUP(A1351,'[1]Re-order'!$A:$AA,27,0),"")</f>
        <v>Over</v>
      </c>
      <c r="AF1351" s="46">
        <f t="shared" si="329"/>
        <v>-1</v>
      </c>
      <c r="AG1351" s="46">
        <f>SUMIFS('[1]Raw Inventory'!D:D,'[1]Raw Inventory'!C:C,"GREATWALL",'[1]Raw Inventory'!B:B,A1351)</f>
        <v>0</v>
      </c>
      <c r="AH1351" s="46">
        <f>SUMIFS('[1]Raw Inventory'!D:D,'[1]Raw Inventory'!C:C,"DUARTE",'[1]Raw Inventory'!B:B,A1351)</f>
        <v>0</v>
      </c>
      <c r="AI1351" s="46"/>
      <c r="AJ1351" s="46"/>
      <c r="AK1351" s="43"/>
      <c r="AL1351" s="43"/>
      <c r="AM1351" s="43"/>
      <c r="AN1351" s="43"/>
      <c r="AO1351" s="43"/>
      <c r="AP1351" s="43"/>
      <c r="AQ1351" s="43"/>
      <c r="AR1351" s="43"/>
      <c r="AS1351" s="43"/>
      <c r="AT1351" s="43"/>
    </row>
    <row r="1352" spans="1:46">
      <c r="A1352" s="43" t="s">
        <v>63</v>
      </c>
      <c r="B1352" s="43" t="s">
        <v>154</v>
      </c>
      <c r="C1352" s="43" t="s">
        <v>152</v>
      </c>
      <c r="D1352" s="44" t="s">
        <v>223</v>
      </c>
      <c r="E1352" s="44">
        <v>21</v>
      </c>
      <c r="F1352" s="44" t="s">
        <v>3</v>
      </c>
      <c r="G1352" s="43" t="str">
        <f>IFERROR(VLOOKUP(A1352,'[1]MC Masterlist 2026-09-12'!$B:$M, 3, 0),"")</f>
        <v>HONDA</v>
      </c>
      <c r="H1352" s="45">
        <f>IFERROR(VLOOKUP(A1352,'[1]MC Masterlist 2026-09-12'!$B:$M, 6, 0),"")</f>
        <v>125150</v>
      </c>
      <c r="I1352" s="46">
        <v>0</v>
      </c>
      <c r="J1352" s="46">
        <v>1</v>
      </c>
      <c r="K1352" s="46">
        <v>0</v>
      </c>
      <c r="L1352" s="46">
        <f t="shared" si="315"/>
        <v>1</v>
      </c>
      <c r="M1352" s="46">
        <f t="shared" si="316"/>
        <v>0.33333333333333331</v>
      </c>
      <c r="N1352" s="45">
        <f t="shared" si="317"/>
        <v>125150</v>
      </c>
      <c r="O1352" s="45">
        <f t="shared" si="318"/>
        <v>41716.666666666664</v>
      </c>
      <c r="P1352" s="46">
        <f t="shared" si="319"/>
        <v>1.111111111111111E-2</v>
      </c>
      <c r="Q1352" s="46"/>
      <c r="R1352" s="45">
        <f t="shared" si="320"/>
        <v>0</v>
      </c>
      <c r="S1352" s="46">
        <f t="shared" si="321"/>
        <v>0</v>
      </c>
      <c r="T1352" s="46">
        <f>IFERROR(VLOOKUP(A1352,'[1]Re-order'!$A:$Q,17,0),"")</f>
        <v>0</v>
      </c>
      <c r="U1352" s="46">
        <f>IFERROR(VLOOKUP(A1352,'[1]MC Masterlist 2026-09-12'!$B:$M, 10, 0),0)</f>
        <v>15</v>
      </c>
      <c r="V1352" s="46">
        <f>IFERROR(VLOOKUP(A1352,'[1]MC Masterlist 2026-09-12'!$B:$M, 11, 0),0)</f>
        <v>15</v>
      </c>
      <c r="W1352" s="46">
        <f t="shared" si="322"/>
        <v>30</v>
      </c>
      <c r="X1352" s="46">
        <f t="shared" si="323"/>
        <v>29.833333333333332</v>
      </c>
      <c r="Y1352" s="46">
        <f>IFERROR(IF(OR(C1352="AREA I",C1352="AREA V"),7,VLOOKUP(A1352,'[1]MC Masterlist 2026-09-12'!$B:$M, 12, 0)),0)</f>
        <v>30</v>
      </c>
      <c r="Z1352" s="46">
        <f t="shared" si="324"/>
        <v>0.16666666666666666</v>
      </c>
      <c r="AA1352" s="46">
        <f t="shared" si="325"/>
        <v>0.33333333333333331</v>
      </c>
      <c r="AB1352" s="46">
        <f t="shared" si="326"/>
        <v>0.33148148148148143</v>
      </c>
      <c r="AC1352" s="46">
        <f t="shared" si="327"/>
        <v>0.33333333333333331</v>
      </c>
      <c r="AD1352" s="44" t="str">
        <f t="shared" si="328"/>
        <v>Stockout</v>
      </c>
      <c r="AE1352" s="44" t="str">
        <f>IFERROR(VLOOKUP(A1352,'[1]Re-order'!$A:$AA,27,0),"")</f>
        <v>Stockout</v>
      </c>
      <c r="AF1352" s="46">
        <f t="shared" si="329"/>
        <v>0.33333333333333331</v>
      </c>
      <c r="AG1352" s="46">
        <f>SUMIFS('[1]Raw Inventory'!D:D,'[1]Raw Inventory'!C:C,"GREATWALL",'[1]Raw Inventory'!B:B,A1352)</f>
        <v>0</v>
      </c>
      <c r="AH1352" s="46">
        <f>SUMIFS('[1]Raw Inventory'!D:D,'[1]Raw Inventory'!C:C,"DUARTE",'[1]Raw Inventory'!B:B,A1352)</f>
        <v>0</v>
      </c>
      <c r="AI1352" s="46"/>
      <c r="AJ1352" s="46"/>
      <c r="AK1352" s="43"/>
      <c r="AL1352" s="43"/>
      <c r="AM1352" s="43"/>
      <c r="AN1352" s="43"/>
      <c r="AO1352" s="43"/>
      <c r="AP1352" s="43"/>
      <c r="AQ1352" s="43"/>
      <c r="AR1352" s="43"/>
      <c r="AS1352" s="43"/>
      <c r="AT1352" s="43"/>
    </row>
    <row r="1353" spans="1:46">
      <c r="A1353" s="43" t="s">
        <v>31</v>
      </c>
      <c r="B1353" s="43" t="s">
        <v>146</v>
      </c>
      <c r="C1353" s="43" t="s">
        <v>137</v>
      </c>
      <c r="D1353" s="44" t="s">
        <v>229</v>
      </c>
      <c r="E1353" s="44">
        <v>26</v>
      </c>
      <c r="F1353" s="44" t="s">
        <v>3</v>
      </c>
      <c r="G1353" s="43" t="str">
        <f>IFERROR(VLOOKUP(A1353,'[1]MC Masterlist 2026-09-12'!$B:$M, 3, 0),"")</f>
        <v>KAWASAKI</v>
      </c>
      <c r="H1353" s="45">
        <f>IFERROR(VLOOKUP(A1353,'[1]MC Masterlist 2026-09-12'!$B:$M, 6, 0),"")</f>
        <v>59528</v>
      </c>
      <c r="I1353" s="46">
        <v>1</v>
      </c>
      <c r="J1353" s="46">
        <v>0</v>
      </c>
      <c r="K1353" s="46">
        <v>0</v>
      </c>
      <c r="L1353" s="46">
        <f t="shared" si="315"/>
        <v>1</v>
      </c>
      <c r="M1353" s="46">
        <f t="shared" si="316"/>
        <v>0.33333333333333331</v>
      </c>
      <c r="N1353" s="45">
        <f t="shared" si="317"/>
        <v>59528</v>
      </c>
      <c r="O1353" s="45">
        <f t="shared" si="318"/>
        <v>19842.666666666664</v>
      </c>
      <c r="P1353" s="46">
        <f t="shared" si="319"/>
        <v>1.111111111111111E-2</v>
      </c>
      <c r="Q1353" s="46">
        <v>1</v>
      </c>
      <c r="R1353" s="45">
        <f t="shared" si="320"/>
        <v>59528</v>
      </c>
      <c r="S1353" s="46">
        <f t="shared" si="321"/>
        <v>90.000000000000014</v>
      </c>
      <c r="T1353" s="46">
        <f>IFERROR(VLOOKUP(A1353,'[1]Re-order'!$A:$Q,17,0),"")</f>
        <v>95.869565217391298</v>
      </c>
      <c r="U1353" s="46">
        <f>IFERROR(VLOOKUP(A1353,'[1]MC Masterlist 2026-09-12'!$B:$M, 10, 0),0)</f>
        <v>15</v>
      </c>
      <c r="V1353" s="46">
        <f>IFERROR(VLOOKUP(A1353,'[1]MC Masterlist 2026-09-12'!$B:$M, 11, 0),0)</f>
        <v>15</v>
      </c>
      <c r="W1353" s="46">
        <f t="shared" si="322"/>
        <v>30</v>
      </c>
      <c r="X1353" s="46">
        <f t="shared" si="323"/>
        <v>6.833333333333333</v>
      </c>
      <c r="Y1353" s="46">
        <f>IFERROR(IF(OR(C1353="AREA I",C1353="AREA V"),7,VLOOKUP(A1353,'[1]MC Masterlist 2026-09-12'!$B:$M, 12, 0)),0)</f>
        <v>7</v>
      </c>
      <c r="Z1353" s="46">
        <f t="shared" si="324"/>
        <v>0.16666666666666666</v>
      </c>
      <c r="AA1353" s="46">
        <f t="shared" si="325"/>
        <v>0.33333333333333331</v>
      </c>
      <c r="AB1353" s="46">
        <f t="shared" si="326"/>
        <v>7.5925925925925911E-2</v>
      </c>
      <c r="AC1353" s="46">
        <f t="shared" si="327"/>
        <v>7.7777777777777765E-2</v>
      </c>
      <c r="AD1353" s="44" t="str">
        <f t="shared" si="328"/>
        <v>Over</v>
      </c>
      <c r="AE1353" s="44" t="str">
        <f>IFERROR(VLOOKUP(A1353,'[1]Re-order'!$A:$AA,27,0),"")</f>
        <v>Over</v>
      </c>
      <c r="AF1353" s="46">
        <f t="shared" si="329"/>
        <v>-0.92222222222222228</v>
      </c>
      <c r="AG1353" s="46">
        <f>SUMIFS('[1]Raw Inventory'!D:D,'[1]Raw Inventory'!C:C,"GREATWALL",'[1]Raw Inventory'!B:B,A1353)</f>
        <v>79</v>
      </c>
      <c r="AH1353" s="46">
        <f>SUMIFS('[1]Raw Inventory'!D:D,'[1]Raw Inventory'!C:C,"DUARTE",'[1]Raw Inventory'!B:B,A1353)</f>
        <v>0</v>
      </c>
      <c r="AI1353" s="46"/>
      <c r="AJ1353" s="46"/>
      <c r="AK1353" s="43"/>
      <c r="AL1353" s="43"/>
      <c r="AM1353" s="43"/>
      <c r="AN1353" s="43"/>
      <c r="AO1353" s="43"/>
      <c r="AP1353" s="43"/>
      <c r="AQ1353" s="43"/>
      <c r="AR1353" s="43"/>
      <c r="AS1353" s="43"/>
      <c r="AT1353" s="43"/>
    </row>
    <row r="1354" spans="1:46">
      <c r="A1354" s="43" t="s">
        <v>43</v>
      </c>
      <c r="B1354" s="43" t="s">
        <v>142</v>
      </c>
      <c r="C1354" s="43" t="s">
        <v>137</v>
      </c>
      <c r="D1354" s="44" t="s">
        <v>257</v>
      </c>
      <c r="E1354" s="44">
        <v>24</v>
      </c>
      <c r="F1354" s="44" t="s">
        <v>3</v>
      </c>
      <c r="G1354" s="43" t="str">
        <f>IFERROR(VLOOKUP(A1354,'[1]MC Masterlist 2026-09-12'!$B:$M, 3, 0),"")</f>
        <v>YAMAHA</v>
      </c>
      <c r="H1354" s="45">
        <f>IFERROR(VLOOKUP(A1354,'[1]MC Masterlist 2026-09-12'!$B:$M, 6, 0),"")</f>
        <v>70587</v>
      </c>
      <c r="I1354" s="46">
        <v>0</v>
      </c>
      <c r="J1354" s="46">
        <v>1</v>
      </c>
      <c r="K1354" s="46">
        <v>0</v>
      </c>
      <c r="L1354" s="46">
        <f t="shared" si="315"/>
        <v>1</v>
      </c>
      <c r="M1354" s="46">
        <f t="shared" si="316"/>
        <v>0.33333333333333331</v>
      </c>
      <c r="N1354" s="45">
        <f t="shared" si="317"/>
        <v>70587</v>
      </c>
      <c r="O1354" s="45">
        <f t="shared" si="318"/>
        <v>23529</v>
      </c>
      <c r="P1354" s="46">
        <f t="shared" si="319"/>
        <v>1.111111111111111E-2</v>
      </c>
      <c r="Q1354" s="46">
        <v>4</v>
      </c>
      <c r="R1354" s="45">
        <f t="shared" si="320"/>
        <v>282348</v>
      </c>
      <c r="S1354" s="46">
        <f t="shared" si="321"/>
        <v>360</v>
      </c>
      <c r="T1354" s="46">
        <f>IFERROR(VLOOKUP(A1354,'[1]Re-order'!$A:$Q,17,0),"")</f>
        <v>43.578947368421055</v>
      </c>
      <c r="U1354" s="46">
        <f>IFERROR(VLOOKUP(A1354,'[1]MC Masterlist 2026-09-12'!$B:$M, 10, 0),0)</f>
        <v>15</v>
      </c>
      <c r="V1354" s="46">
        <f>IFERROR(VLOOKUP(A1354,'[1]MC Masterlist 2026-09-12'!$B:$M, 11, 0),0)</f>
        <v>15</v>
      </c>
      <c r="W1354" s="46">
        <f t="shared" si="322"/>
        <v>30</v>
      </c>
      <c r="X1354" s="46">
        <f t="shared" si="323"/>
        <v>6.833333333333333</v>
      </c>
      <c r="Y1354" s="46">
        <f>IFERROR(IF(OR(C1354="AREA I",C1354="AREA V"),7,VLOOKUP(A1354,'[1]MC Masterlist 2026-09-12'!$B:$M, 12, 0)),0)</f>
        <v>7</v>
      </c>
      <c r="Z1354" s="46">
        <f t="shared" si="324"/>
        <v>0.16666666666666666</v>
      </c>
      <c r="AA1354" s="46">
        <f t="shared" si="325"/>
        <v>0.33333333333333331</v>
      </c>
      <c r="AB1354" s="46">
        <f t="shared" si="326"/>
        <v>7.5925925925925911E-2</v>
      </c>
      <c r="AC1354" s="46">
        <f t="shared" si="327"/>
        <v>7.7777777777777765E-2</v>
      </c>
      <c r="AD1354" s="44" t="str">
        <f t="shared" si="328"/>
        <v>Over</v>
      </c>
      <c r="AE1354" s="44" t="str">
        <f>IFERROR(VLOOKUP(A1354,'[1]Re-order'!$A:$AA,27,0),"")</f>
        <v>Re-order</v>
      </c>
      <c r="AF1354" s="46">
        <f t="shared" si="329"/>
        <v>-3.9222222222222221</v>
      </c>
      <c r="AG1354" s="46">
        <f>SUMIFS('[1]Raw Inventory'!D:D,'[1]Raw Inventory'!C:C,"GREATWALL",'[1]Raw Inventory'!B:B,A1354)</f>
        <v>0</v>
      </c>
      <c r="AH1354" s="46">
        <f>SUMIFS('[1]Raw Inventory'!D:D,'[1]Raw Inventory'!C:C,"DUARTE",'[1]Raw Inventory'!B:B,A1354)</f>
        <v>0</v>
      </c>
      <c r="AI1354" s="46"/>
      <c r="AJ1354" s="46"/>
      <c r="AK1354" s="43"/>
      <c r="AL1354" s="43"/>
      <c r="AM1354" s="43"/>
      <c r="AN1354" s="43"/>
      <c r="AO1354" s="43"/>
      <c r="AP1354" s="43"/>
      <c r="AQ1354" s="43"/>
      <c r="AR1354" s="43"/>
      <c r="AS1354" s="43"/>
      <c r="AT1354" s="43"/>
    </row>
    <row r="1355" spans="1:46">
      <c r="A1355" s="43" t="s">
        <v>25</v>
      </c>
      <c r="B1355" s="43" t="s">
        <v>131</v>
      </c>
      <c r="C1355" s="43" t="s">
        <v>128</v>
      </c>
      <c r="D1355" s="44" t="s">
        <v>262</v>
      </c>
      <c r="E1355" s="44">
        <v>13</v>
      </c>
      <c r="F1355" s="44" t="s">
        <v>2</v>
      </c>
      <c r="G1355" s="43" t="str">
        <f>IFERROR(VLOOKUP(A1355,'[1]MC Masterlist 2026-09-12'!$B:$M, 3, 0),"")</f>
        <v>YAMAHA</v>
      </c>
      <c r="H1355" s="45">
        <f>IFERROR(VLOOKUP(A1355,'[1]MC Masterlist 2026-09-12'!$B:$M, 6, 0),"")</f>
        <v>124527</v>
      </c>
      <c r="I1355" s="46">
        <v>1</v>
      </c>
      <c r="J1355" s="46">
        <v>0</v>
      </c>
      <c r="K1355" s="46">
        <v>1</v>
      </c>
      <c r="L1355" s="46">
        <f t="shared" si="315"/>
        <v>2</v>
      </c>
      <c r="M1355" s="46">
        <f t="shared" si="316"/>
        <v>0.66666666666666663</v>
      </c>
      <c r="N1355" s="45">
        <f t="shared" si="317"/>
        <v>249054</v>
      </c>
      <c r="O1355" s="45">
        <f t="shared" si="318"/>
        <v>83018</v>
      </c>
      <c r="P1355" s="46">
        <f t="shared" si="319"/>
        <v>2.222222222222222E-2</v>
      </c>
      <c r="Q1355" s="46"/>
      <c r="R1355" s="45">
        <f t="shared" si="320"/>
        <v>0</v>
      </c>
      <c r="S1355" s="46">
        <f t="shared" si="321"/>
        <v>0</v>
      </c>
      <c r="T1355" s="46">
        <f>IFERROR(VLOOKUP(A1355,'[1]Re-order'!$A:$Q,17,0),"")</f>
        <v>5.1030927835051543</v>
      </c>
      <c r="U1355" s="46">
        <f>IFERROR(VLOOKUP(A1355,'[1]MC Masterlist 2026-09-12'!$B:$M, 10, 0),0)</f>
        <v>15</v>
      </c>
      <c r="V1355" s="46">
        <f>IFERROR(VLOOKUP(A1355,'[1]MC Masterlist 2026-09-12'!$B:$M, 11, 0),0)</f>
        <v>15</v>
      </c>
      <c r="W1355" s="46">
        <f t="shared" si="322"/>
        <v>30</v>
      </c>
      <c r="X1355" s="46">
        <f t="shared" si="323"/>
        <v>29.666666666666668</v>
      </c>
      <c r="Y1355" s="46">
        <f>IFERROR(IF(OR(C1355="AREA I",C1355="AREA V"),7,VLOOKUP(A1355,'[1]MC Masterlist 2026-09-12'!$B:$M, 12, 0)),0)</f>
        <v>30</v>
      </c>
      <c r="Z1355" s="46">
        <f t="shared" si="324"/>
        <v>0.33333333333333331</v>
      </c>
      <c r="AA1355" s="46">
        <f t="shared" si="325"/>
        <v>0.66666666666666663</v>
      </c>
      <c r="AB1355" s="46">
        <f t="shared" si="326"/>
        <v>0.65925925925925921</v>
      </c>
      <c r="AC1355" s="46">
        <f t="shared" si="327"/>
        <v>0.66666666666666663</v>
      </c>
      <c r="AD1355" s="44" t="str">
        <f t="shared" si="328"/>
        <v>Stockout</v>
      </c>
      <c r="AE1355" s="44" t="str">
        <f>IFERROR(VLOOKUP(A1355,'[1]Re-order'!$A:$AA,27,0),"")</f>
        <v>Stockout</v>
      </c>
      <c r="AF1355" s="46">
        <f t="shared" si="329"/>
        <v>0.66666666666666663</v>
      </c>
      <c r="AG1355" s="46">
        <f>SUMIFS('[1]Raw Inventory'!D:D,'[1]Raw Inventory'!C:C,"GREATWALL",'[1]Raw Inventory'!B:B,A1355)</f>
        <v>1</v>
      </c>
      <c r="AH1355" s="46">
        <f>SUMIFS('[1]Raw Inventory'!D:D,'[1]Raw Inventory'!C:C,"DUARTE",'[1]Raw Inventory'!B:B,A1355)</f>
        <v>0</v>
      </c>
      <c r="AI1355" s="46"/>
      <c r="AJ1355" s="46"/>
      <c r="AK1355" s="43"/>
      <c r="AL1355" s="43"/>
      <c r="AM1355" s="43"/>
      <c r="AN1355" s="43"/>
      <c r="AO1355" s="43"/>
      <c r="AP1355" s="43"/>
      <c r="AQ1355" s="43"/>
      <c r="AR1355" s="43"/>
      <c r="AS1355" s="43"/>
      <c r="AT1355" s="43"/>
    </row>
    <row r="1356" spans="1:46">
      <c r="A1356" s="43" t="s">
        <v>83</v>
      </c>
      <c r="B1356" s="43" t="s">
        <v>144</v>
      </c>
      <c r="C1356" s="43" t="s">
        <v>137</v>
      </c>
      <c r="D1356" s="44" t="s">
        <v>247</v>
      </c>
      <c r="E1356" s="44">
        <v>26</v>
      </c>
      <c r="F1356" s="44" t="s">
        <v>3</v>
      </c>
      <c r="G1356" s="43" t="str">
        <f>IFERROR(VLOOKUP(A1356,'[1]MC Masterlist 2026-09-12'!$B:$M, 3, 0),"")</f>
        <v>SKYGO</v>
      </c>
      <c r="H1356" s="45">
        <f>IFERROR(VLOOKUP(A1356,'[1]MC Masterlist 2026-09-12'!$B:$M, 6, 0),"")</f>
        <v>35055</v>
      </c>
      <c r="I1356" s="46">
        <v>1</v>
      </c>
      <c r="J1356" s="46">
        <v>1</v>
      </c>
      <c r="K1356" s="46">
        <v>2</v>
      </c>
      <c r="L1356" s="46">
        <f t="shared" si="315"/>
        <v>4</v>
      </c>
      <c r="M1356" s="46">
        <f t="shared" si="316"/>
        <v>1.3333333333333333</v>
      </c>
      <c r="N1356" s="45">
        <f t="shared" si="317"/>
        <v>140220</v>
      </c>
      <c r="O1356" s="45">
        <f t="shared" si="318"/>
        <v>46740</v>
      </c>
      <c r="P1356" s="46">
        <f t="shared" si="319"/>
        <v>4.4444444444444439E-2</v>
      </c>
      <c r="Q1356" s="46">
        <v>3</v>
      </c>
      <c r="R1356" s="45">
        <f t="shared" si="320"/>
        <v>105165</v>
      </c>
      <c r="S1356" s="46">
        <f t="shared" si="321"/>
        <v>67.5</v>
      </c>
      <c r="T1356" s="46">
        <f>IFERROR(VLOOKUP(A1356,'[1]Re-order'!$A:$Q,17,0),"")</f>
        <v>313.2</v>
      </c>
      <c r="U1356" s="46">
        <f>IFERROR(VLOOKUP(A1356,'[1]MC Masterlist 2026-09-12'!$B:$M, 10, 0),0)</f>
        <v>15</v>
      </c>
      <c r="V1356" s="46">
        <f>IFERROR(VLOOKUP(A1356,'[1]MC Masterlist 2026-09-12'!$B:$M, 11, 0),0)</f>
        <v>15</v>
      </c>
      <c r="W1356" s="46">
        <f t="shared" si="322"/>
        <v>30</v>
      </c>
      <c r="X1356" s="46">
        <f t="shared" si="323"/>
        <v>6.333333333333333</v>
      </c>
      <c r="Y1356" s="46">
        <f>IFERROR(IF(OR(C1356="AREA I",C1356="AREA V"),7,VLOOKUP(A1356,'[1]MC Masterlist 2026-09-12'!$B:$M, 12, 0)),0)</f>
        <v>7</v>
      </c>
      <c r="Z1356" s="46">
        <f t="shared" si="324"/>
        <v>0.66666666666666663</v>
      </c>
      <c r="AA1356" s="46">
        <f t="shared" si="325"/>
        <v>1.3333333333333333</v>
      </c>
      <c r="AB1356" s="46">
        <f t="shared" si="326"/>
        <v>0.28148148148148144</v>
      </c>
      <c r="AC1356" s="46">
        <f t="shared" si="327"/>
        <v>0.31111111111111106</v>
      </c>
      <c r="AD1356" s="44" t="str">
        <f t="shared" si="328"/>
        <v>Over</v>
      </c>
      <c r="AE1356" s="44" t="str">
        <f>IFERROR(VLOOKUP(A1356,'[1]Re-order'!$A:$AA,27,0),"")</f>
        <v>Over</v>
      </c>
      <c r="AF1356" s="46">
        <f t="shared" si="329"/>
        <v>-2.6888888888888891</v>
      </c>
      <c r="AG1356" s="46">
        <f>SUMIFS('[1]Raw Inventory'!D:D,'[1]Raw Inventory'!C:C,"GREATWALL",'[1]Raw Inventory'!B:B,A1356)</f>
        <v>33</v>
      </c>
      <c r="AH1356" s="46">
        <f>SUMIFS('[1]Raw Inventory'!D:D,'[1]Raw Inventory'!C:C,"DUARTE",'[1]Raw Inventory'!B:B,A1356)</f>
        <v>0</v>
      </c>
      <c r="AI1356" s="46"/>
      <c r="AJ1356" s="46"/>
      <c r="AK1356" s="43"/>
      <c r="AL1356" s="43"/>
      <c r="AM1356" s="43"/>
      <c r="AN1356" s="43"/>
      <c r="AO1356" s="43"/>
      <c r="AP1356" s="43"/>
      <c r="AQ1356" s="43"/>
      <c r="AR1356" s="43"/>
      <c r="AS1356" s="43"/>
      <c r="AT1356" s="43"/>
    </row>
    <row r="1357" spans="1:46">
      <c r="A1357" s="43" t="s">
        <v>43</v>
      </c>
      <c r="B1357" s="43" t="s">
        <v>93</v>
      </c>
      <c r="C1357" s="43" t="s">
        <v>90</v>
      </c>
      <c r="D1357" s="44" t="s">
        <v>257</v>
      </c>
      <c r="E1357" s="44">
        <v>19</v>
      </c>
      <c r="F1357" s="44" t="s">
        <v>3</v>
      </c>
      <c r="G1357" s="43" t="str">
        <f>IFERROR(VLOOKUP(A1357,'[1]MC Masterlist 2026-09-12'!$B:$M, 3, 0),"")</f>
        <v>YAMAHA</v>
      </c>
      <c r="H1357" s="45">
        <f>IFERROR(VLOOKUP(A1357,'[1]MC Masterlist 2026-09-12'!$B:$M, 6, 0),"")</f>
        <v>70587</v>
      </c>
      <c r="I1357" s="46">
        <v>0</v>
      </c>
      <c r="J1357" s="46">
        <v>1</v>
      </c>
      <c r="K1357" s="46">
        <v>0</v>
      </c>
      <c r="L1357" s="46">
        <f t="shared" si="315"/>
        <v>1</v>
      </c>
      <c r="M1357" s="46">
        <f t="shared" si="316"/>
        <v>0.33333333333333331</v>
      </c>
      <c r="N1357" s="45">
        <f t="shared" si="317"/>
        <v>70587</v>
      </c>
      <c r="O1357" s="45">
        <f t="shared" si="318"/>
        <v>23529</v>
      </c>
      <c r="P1357" s="46">
        <f t="shared" si="319"/>
        <v>1.111111111111111E-2</v>
      </c>
      <c r="Q1357" s="46"/>
      <c r="R1357" s="45">
        <f t="shared" si="320"/>
        <v>0</v>
      </c>
      <c r="S1357" s="46">
        <f t="shared" si="321"/>
        <v>0</v>
      </c>
      <c r="T1357" s="46">
        <f>IFERROR(VLOOKUP(A1357,'[1]Re-order'!$A:$Q,17,0),"")</f>
        <v>43.578947368421055</v>
      </c>
      <c r="U1357" s="46">
        <f>IFERROR(VLOOKUP(A1357,'[1]MC Masterlist 2026-09-12'!$B:$M, 10, 0),0)</f>
        <v>15</v>
      </c>
      <c r="V1357" s="46">
        <f>IFERROR(VLOOKUP(A1357,'[1]MC Masterlist 2026-09-12'!$B:$M, 11, 0),0)</f>
        <v>15</v>
      </c>
      <c r="W1357" s="46">
        <f t="shared" si="322"/>
        <v>30</v>
      </c>
      <c r="X1357" s="46">
        <f t="shared" si="323"/>
        <v>29.833333333333332</v>
      </c>
      <c r="Y1357" s="46">
        <f>IFERROR(IF(OR(C1357="AREA I",C1357="AREA V"),7,VLOOKUP(A1357,'[1]MC Masterlist 2026-09-12'!$B:$M, 12, 0)),0)</f>
        <v>30</v>
      </c>
      <c r="Z1357" s="46">
        <f t="shared" si="324"/>
        <v>0.16666666666666666</v>
      </c>
      <c r="AA1357" s="46">
        <f t="shared" si="325"/>
        <v>0.33333333333333331</v>
      </c>
      <c r="AB1357" s="46">
        <f t="shared" si="326"/>
        <v>0.33148148148148143</v>
      </c>
      <c r="AC1357" s="46">
        <f t="shared" si="327"/>
        <v>0.33333333333333331</v>
      </c>
      <c r="AD1357" s="44" t="str">
        <f t="shared" si="328"/>
        <v>Stockout</v>
      </c>
      <c r="AE1357" s="44" t="str">
        <f>IFERROR(VLOOKUP(A1357,'[1]Re-order'!$A:$AA,27,0),"")</f>
        <v>Re-order</v>
      </c>
      <c r="AF1357" s="46">
        <f t="shared" si="329"/>
        <v>0.33333333333333331</v>
      </c>
      <c r="AG1357" s="46">
        <f>SUMIFS('[1]Raw Inventory'!D:D,'[1]Raw Inventory'!C:C,"GREATWALL",'[1]Raw Inventory'!B:B,A1357)</f>
        <v>0</v>
      </c>
      <c r="AH1357" s="46">
        <f>SUMIFS('[1]Raw Inventory'!D:D,'[1]Raw Inventory'!C:C,"DUARTE",'[1]Raw Inventory'!B:B,A1357)</f>
        <v>0</v>
      </c>
      <c r="AI1357" s="46"/>
      <c r="AJ1357" s="46"/>
      <c r="AK1357" s="43"/>
      <c r="AL1357" s="43"/>
      <c r="AM1357" s="43"/>
      <c r="AN1357" s="43"/>
      <c r="AO1357" s="43"/>
      <c r="AP1357" s="43"/>
      <c r="AQ1357" s="43"/>
      <c r="AR1357" s="43"/>
      <c r="AS1357" s="43"/>
      <c r="AT1357" s="43"/>
    </row>
    <row r="1358" spans="1:46">
      <c r="A1358" s="43" t="s">
        <v>25</v>
      </c>
      <c r="B1358" s="43" t="s">
        <v>144</v>
      </c>
      <c r="C1358" s="43" t="s">
        <v>137</v>
      </c>
      <c r="D1358" s="44" t="s">
        <v>230</v>
      </c>
      <c r="E1358" s="44">
        <v>6</v>
      </c>
      <c r="F1358" s="44" t="s">
        <v>0</v>
      </c>
      <c r="G1358" s="43" t="str">
        <f>IFERROR(VLOOKUP(A1358,'[1]MC Masterlist 2026-09-12'!$B:$M, 3, 0),"")</f>
        <v>YAMAHA</v>
      </c>
      <c r="H1358" s="45">
        <f>IFERROR(VLOOKUP(A1358,'[1]MC Masterlist 2026-09-12'!$B:$M, 6, 0),"")</f>
        <v>124527</v>
      </c>
      <c r="I1358" s="46">
        <v>6</v>
      </c>
      <c r="J1358" s="46">
        <v>5</v>
      </c>
      <c r="K1358" s="46">
        <v>2</v>
      </c>
      <c r="L1358" s="46">
        <f t="shared" si="315"/>
        <v>13</v>
      </c>
      <c r="M1358" s="46">
        <f t="shared" si="316"/>
        <v>4.333333333333333</v>
      </c>
      <c r="N1358" s="45">
        <f t="shared" si="317"/>
        <v>1618851</v>
      </c>
      <c r="O1358" s="45">
        <f t="shared" si="318"/>
        <v>539617</v>
      </c>
      <c r="P1358" s="46">
        <f t="shared" si="319"/>
        <v>0.14444444444444443</v>
      </c>
      <c r="Q1358" s="46"/>
      <c r="R1358" s="45">
        <f t="shared" si="320"/>
        <v>0</v>
      </c>
      <c r="S1358" s="46">
        <f t="shared" si="321"/>
        <v>0</v>
      </c>
      <c r="T1358" s="46">
        <f>IFERROR(VLOOKUP(A1358,'[1]Re-order'!$A:$Q,17,0),"")</f>
        <v>5.1030927835051543</v>
      </c>
      <c r="U1358" s="46">
        <f>IFERROR(VLOOKUP(A1358,'[1]MC Masterlist 2026-09-12'!$B:$M, 10, 0),0)</f>
        <v>15</v>
      </c>
      <c r="V1358" s="46">
        <f>IFERROR(VLOOKUP(A1358,'[1]MC Masterlist 2026-09-12'!$B:$M, 11, 0),0)</f>
        <v>15</v>
      </c>
      <c r="W1358" s="46">
        <f t="shared" si="322"/>
        <v>30</v>
      </c>
      <c r="X1358" s="46">
        <f t="shared" si="323"/>
        <v>4.8333333333333339</v>
      </c>
      <c r="Y1358" s="46">
        <f>IFERROR(IF(OR(C1358="AREA I",C1358="AREA V"),7,VLOOKUP(A1358,'[1]MC Masterlist 2026-09-12'!$B:$M, 12, 0)),0)</f>
        <v>7</v>
      </c>
      <c r="Z1358" s="46">
        <f t="shared" si="324"/>
        <v>2.1666666666666665</v>
      </c>
      <c r="AA1358" s="46">
        <f t="shared" si="325"/>
        <v>4.333333333333333</v>
      </c>
      <c r="AB1358" s="46">
        <f t="shared" si="326"/>
        <v>0.69814814814814818</v>
      </c>
      <c r="AC1358" s="46">
        <f t="shared" si="327"/>
        <v>1.0111111111111111</v>
      </c>
      <c r="AD1358" s="44" t="str">
        <f t="shared" si="328"/>
        <v>Stockout</v>
      </c>
      <c r="AE1358" s="44" t="str">
        <f>IFERROR(VLOOKUP(A1358,'[1]Re-order'!$A:$AA,27,0),"")</f>
        <v>Stockout</v>
      </c>
      <c r="AF1358" s="46">
        <f t="shared" si="329"/>
        <v>1.0111111111111111</v>
      </c>
      <c r="AG1358" s="46">
        <f>SUMIFS('[1]Raw Inventory'!D:D,'[1]Raw Inventory'!C:C,"GREATWALL",'[1]Raw Inventory'!B:B,A1358)</f>
        <v>1</v>
      </c>
      <c r="AH1358" s="46">
        <f>SUMIFS('[1]Raw Inventory'!D:D,'[1]Raw Inventory'!C:C,"DUARTE",'[1]Raw Inventory'!B:B,A1358)</f>
        <v>0</v>
      </c>
      <c r="AI1358" s="46"/>
      <c r="AJ1358" s="46"/>
      <c r="AK1358" s="43"/>
      <c r="AL1358" s="43"/>
      <c r="AM1358" s="43"/>
      <c r="AN1358" s="43"/>
      <c r="AO1358" s="43"/>
      <c r="AP1358" s="43"/>
      <c r="AQ1358" s="43"/>
      <c r="AR1358" s="43"/>
      <c r="AS1358" s="43"/>
      <c r="AT1358" s="43"/>
    </row>
    <row r="1359" spans="1:46">
      <c r="A1359" s="43" t="s">
        <v>60</v>
      </c>
      <c r="B1359" s="43" t="s">
        <v>91</v>
      </c>
      <c r="C1359" s="43" t="s">
        <v>90</v>
      </c>
      <c r="D1359" s="44" t="s">
        <v>231</v>
      </c>
      <c r="E1359" s="44">
        <v>14</v>
      </c>
      <c r="F1359" s="44" t="s">
        <v>3</v>
      </c>
      <c r="G1359" s="43" t="str">
        <f>IFERROR(VLOOKUP(A1359,'[1]MC Masterlist 2026-09-12'!$B:$M, 3, 0),"")</f>
        <v>HONDA</v>
      </c>
      <c r="H1359" s="45">
        <f>IFERROR(VLOOKUP(A1359,'[1]MC Masterlist 2026-09-12'!$B:$M, 6, 0),"")</f>
        <v>61670</v>
      </c>
      <c r="I1359" s="46">
        <v>0</v>
      </c>
      <c r="J1359" s="46">
        <v>0</v>
      </c>
      <c r="K1359" s="46">
        <v>0</v>
      </c>
      <c r="L1359" s="46">
        <f t="shared" si="315"/>
        <v>0</v>
      </c>
      <c r="M1359" s="46">
        <f t="shared" si="316"/>
        <v>0</v>
      </c>
      <c r="N1359" s="45">
        <f t="shared" si="317"/>
        <v>0</v>
      </c>
      <c r="O1359" s="45">
        <f t="shared" si="318"/>
        <v>0</v>
      </c>
      <c r="P1359" s="46">
        <f t="shared" si="319"/>
        <v>0</v>
      </c>
      <c r="Q1359" s="46">
        <v>1</v>
      </c>
      <c r="R1359" s="45">
        <f t="shared" si="320"/>
        <v>61670</v>
      </c>
      <c r="S1359" s="46">
        <f t="shared" si="321"/>
        <v>0</v>
      </c>
      <c r="T1359" s="46">
        <f>IFERROR(VLOOKUP(A1359,'[1]Re-order'!$A:$Q,17,0),"")</f>
        <v>300</v>
      </c>
      <c r="U1359" s="46">
        <f>IFERROR(VLOOKUP(A1359,'[1]MC Masterlist 2026-09-12'!$B:$M, 10, 0),0)</f>
        <v>15</v>
      </c>
      <c r="V1359" s="46">
        <f>IFERROR(VLOOKUP(A1359,'[1]MC Masterlist 2026-09-12'!$B:$M, 11, 0),0)</f>
        <v>15</v>
      </c>
      <c r="W1359" s="46">
        <f t="shared" si="322"/>
        <v>30</v>
      </c>
      <c r="X1359" s="46">
        <f t="shared" si="323"/>
        <v>30</v>
      </c>
      <c r="Y1359" s="46">
        <f>IFERROR(IF(OR(C1359="AREA I",C1359="AREA V"),7,VLOOKUP(A1359,'[1]MC Masterlist 2026-09-12'!$B:$M, 12, 0)),0)</f>
        <v>30</v>
      </c>
      <c r="Z1359" s="46">
        <f t="shared" si="324"/>
        <v>0</v>
      </c>
      <c r="AA1359" s="46">
        <f t="shared" si="325"/>
        <v>0</v>
      </c>
      <c r="AB1359" s="46">
        <f t="shared" si="326"/>
        <v>0</v>
      </c>
      <c r="AC1359" s="46">
        <f t="shared" si="327"/>
        <v>0</v>
      </c>
      <c r="AD1359" s="44" t="str">
        <f t="shared" si="328"/>
        <v>Over</v>
      </c>
      <c r="AE1359" s="44" t="str">
        <f>IFERROR(VLOOKUP(A1359,'[1]Re-order'!$A:$AA,27,0),"")</f>
        <v>Over</v>
      </c>
      <c r="AF1359" s="46">
        <f t="shared" si="329"/>
        <v>-1</v>
      </c>
      <c r="AG1359" s="46">
        <f>SUMIFS('[1]Raw Inventory'!D:D,'[1]Raw Inventory'!C:C,"GREATWALL",'[1]Raw Inventory'!B:B,A1359)</f>
        <v>0</v>
      </c>
      <c r="AH1359" s="46">
        <f>SUMIFS('[1]Raw Inventory'!D:D,'[1]Raw Inventory'!C:C,"DUARTE",'[1]Raw Inventory'!B:B,A1359)</f>
        <v>0</v>
      </c>
      <c r="AI1359" s="46"/>
      <c r="AJ1359" s="46"/>
      <c r="AK1359" s="43"/>
      <c r="AL1359" s="43"/>
      <c r="AM1359" s="43"/>
      <c r="AN1359" s="43"/>
      <c r="AO1359" s="43"/>
      <c r="AP1359" s="43"/>
      <c r="AQ1359" s="43"/>
      <c r="AR1359" s="43"/>
      <c r="AS1359" s="43"/>
      <c r="AT1359" s="43"/>
    </row>
    <row r="1360" spans="1:46">
      <c r="A1360" s="43" t="s">
        <v>24</v>
      </c>
      <c r="B1360" s="43" t="s">
        <v>130</v>
      </c>
      <c r="C1360" s="43" t="s">
        <v>128</v>
      </c>
      <c r="D1360" s="44" t="s">
        <v>234</v>
      </c>
      <c r="E1360" s="44">
        <v>4</v>
      </c>
      <c r="F1360" s="44" t="s">
        <v>0</v>
      </c>
      <c r="G1360" s="43" t="str">
        <f>IFERROR(VLOOKUP(A1360,'[1]MC Masterlist 2026-09-12'!$B:$M, 3, 0),"")</f>
        <v>KAWASAKI</v>
      </c>
      <c r="H1360" s="45">
        <f>IFERROR(VLOOKUP(A1360,'[1]MC Masterlist 2026-09-12'!$B:$M, 6, 0),"")</f>
        <v>131626</v>
      </c>
      <c r="I1360" s="46">
        <v>3</v>
      </c>
      <c r="J1360" s="46">
        <v>2</v>
      </c>
      <c r="K1360" s="46">
        <v>5</v>
      </c>
      <c r="L1360" s="46">
        <f t="shared" si="315"/>
        <v>10</v>
      </c>
      <c r="M1360" s="46">
        <f t="shared" si="316"/>
        <v>3.3333333333333335</v>
      </c>
      <c r="N1360" s="45">
        <f t="shared" si="317"/>
        <v>1316260</v>
      </c>
      <c r="O1360" s="45">
        <f t="shared" si="318"/>
        <v>438753.33333333337</v>
      </c>
      <c r="P1360" s="46">
        <f t="shared" si="319"/>
        <v>0.11111111111111112</v>
      </c>
      <c r="Q1360" s="46"/>
      <c r="R1360" s="45">
        <f t="shared" si="320"/>
        <v>0</v>
      </c>
      <c r="S1360" s="46">
        <f t="shared" si="321"/>
        <v>0</v>
      </c>
      <c r="T1360" s="46">
        <f>IFERROR(VLOOKUP(A1360,'[1]Re-order'!$A:$Q,17,0),"")</f>
        <v>40.677966101694913</v>
      </c>
      <c r="U1360" s="46">
        <f>IFERROR(VLOOKUP(A1360,'[1]MC Masterlist 2026-09-12'!$B:$M, 10, 0),0)</f>
        <v>15</v>
      </c>
      <c r="V1360" s="46">
        <f>IFERROR(VLOOKUP(A1360,'[1]MC Masterlist 2026-09-12'!$B:$M, 11, 0),0)</f>
        <v>15</v>
      </c>
      <c r="W1360" s="46">
        <f t="shared" si="322"/>
        <v>30</v>
      </c>
      <c r="X1360" s="46">
        <f t="shared" si="323"/>
        <v>28.333333333333332</v>
      </c>
      <c r="Y1360" s="46">
        <f>IFERROR(IF(OR(C1360="AREA I",C1360="AREA V"),7,VLOOKUP(A1360,'[1]MC Masterlist 2026-09-12'!$B:$M, 12, 0)),0)</f>
        <v>30</v>
      </c>
      <c r="Z1360" s="46">
        <f t="shared" si="324"/>
        <v>1.6666666666666667</v>
      </c>
      <c r="AA1360" s="46">
        <f t="shared" si="325"/>
        <v>3.3333333333333335</v>
      </c>
      <c r="AB1360" s="46">
        <f t="shared" si="326"/>
        <v>3.1481481481481484</v>
      </c>
      <c r="AC1360" s="46">
        <f t="shared" si="327"/>
        <v>3.3333333333333335</v>
      </c>
      <c r="AD1360" s="44" t="str">
        <f t="shared" si="328"/>
        <v>Stockout</v>
      </c>
      <c r="AE1360" s="44" t="str">
        <f>IFERROR(VLOOKUP(A1360,'[1]Re-order'!$A:$AA,27,0),"")</f>
        <v>Re-order</v>
      </c>
      <c r="AF1360" s="46">
        <f t="shared" si="329"/>
        <v>3.3333333333333335</v>
      </c>
      <c r="AG1360" s="46">
        <f>SUMIFS('[1]Raw Inventory'!D:D,'[1]Raw Inventory'!C:C,"GREATWALL",'[1]Raw Inventory'!B:B,A1360)</f>
        <v>12</v>
      </c>
      <c r="AH1360" s="46">
        <f>SUMIFS('[1]Raw Inventory'!D:D,'[1]Raw Inventory'!C:C,"DUARTE",'[1]Raw Inventory'!B:B,A1360)</f>
        <v>0</v>
      </c>
      <c r="AI1360" s="46"/>
      <c r="AJ1360" s="46"/>
      <c r="AK1360" s="43"/>
      <c r="AL1360" s="43"/>
      <c r="AM1360" s="43"/>
      <c r="AN1360" s="43"/>
      <c r="AO1360" s="43"/>
      <c r="AP1360" s="43"/>
      <c r="AQ1360" s="43"/>
      <c r="AR1360" s="43"/>
      <c r="AS1360" s="43"/>
      <c r="AT1360" s="43"/>
    </row>
    <row r="1361" spans="1:46">
      <c r="A1361" s="43" t="s">
        <v>14</v>
      </c>
      <c r="B1361" s="43" t="s">
        <v>11</v>
      </c>
      <c r="C1361" s="43" t="s">
        <v>1</v>
      </c>
      <c r="D1361" s="44" t="s">
        <v>227</v>
      </c>
      <c r="E1361" s="44">
        <v>1</v>
      </c>
      <c r="F1361" s="44" t="s">
        <v>0</v>
      </c>
      <c r="G1361" s="43" t="str">
        <f>IFERROR(VLOOKUP(A1361,'[1]MC Masterlist 2026-09-12'!$B:$M, 3, 0),"")</f>
        <v>HONDA</v>
      </c>
      <c r="H1361" s="45">
        <f>IFERROR(VLOOKUP(A1361,'[1]MC Masterlist 2026-09-12'!$B:$M, 6, 0),"")</f>
        <v>80070</v>
      </c>
      <c r="I1361" s="46">
        <v>16</v>
      </c>
      <c r="J1361" s="46">
        <v>19</v>
      </c>
      <c r="K1361" s="46">
        <v>20</v>
      </c>
      <c r="L1361" s="46">
        <f t="shared" si="315"/>
        <v>55</v>
      </c>
      <c r="M1361" s="46">
        <f t="shared" si="316"/>
        <v>18.333333333333332</v>
      </c>
      <c r="N1361" s="45">
        <f t="shared" si="317"/>
        <v>4403850</v>
      </c>
      <c r="O1361" s="45">
        <f t="shared" si="318"/>
        <v>1467950</v>
      </c>
      <c r="P1361" s="46">
        <f t="shared" si="319"/>
        <v>0.61111111111111105</v>
      </c>
      <c r="Q1361" s="46">
        <v>1</v>
      </c>
      <c r="R1361" s="45">
        <f t="shared" si="320"/>
        <v>80070</v>
      </c>
      <c r="S1361" s="46">
        <f t="shared" si="321"/>
        <v>1.6363636363636362</v>
      </c>
      <c r="T1361" s="46">
        <f>IFERROR(VLOOKUP(A1361,'[1]Re-order'!$A:$Q,17,0),"")</f>
        <v>20.105787181082761</v>
      </c>
      <c r="U1361" s="46">
        <f>IFERROR(VLOOKUP(A1361,'[1]MC Masterlist 2026-09-12'!$B:$M, 10, 0),0)</f>
        <v>15</v>
      </c>
      <c r="V1361" s="46">
        <f>IFERROR(VLOOKUP(A1361,'[1]MC Masterlist 2026-09-12'!$B:$M, 11, 0),0)</f>
        <v>15</v>
      </c>
      <c r="W1361" s="46">
        <f t="shared" si="322"/>
        <v>30</v>
      </c>
      <c r="X1361" s="46">
        <f t="shared" si="323"/>
        <v>-2.1666666666666661</v>
      </c>
      <c r="Y1361" s="46">
        <f>IFERROR(IF(OR(C1361="AREA I",C1361="AREA V"),7,VLOOKUP(A1361,'[1]MC Masterlist 2026-09-12'!$B:$M, 12, 0)),0)</f>
        <v>7</v>
      </c>
      <c r="Z1361" s="46">
        <f t="shared" si="324"/>
        <v>9.1666666666666661</v>
      </c>
      <c r="AA1361" s="46">
        <f t="shared" si="325"/>
        <v>18.333333333333332</v>
      </c>
      <c r="AB1361" s="46">
        <f t="shared" si="326"/>
        <v>-1.3240740740740735</v>
      </c>
      <c r="AC1361" s="46">
        <f t="shared" si="327"/>
        <v>4.2777777777777777</v>
      </c>
      <c r="AD1361" s="44" t="str">
        <f t="shared" si="328"/>
        <v>Stockout</v>
      </c>
      <c r="AE1361" s="44" t="str">
        <f>IFERROR(VLOOKUP(A1361,'[1]Re-order'!$A:$AA,27,0),"")</f>
        <v>Stockout</v>
      </c>
      <c r="AF1361" s="46">
        <f t="shared" si="329"/>
        <v>3.2777777777777777</v>
      </c>
      <c r="AG1361" s="46">
        <f>SUMIFS('[1]Raw Inventory'!D:D,'[1]Raw Inventory'!C:C,"GREATWALL",'[1]Raw Inventory'!B:B,A1361)</f>
        <v>176</v>
      </c>
      <c r="AH1361" s="46">
        <f>SUMIFS('[1]Raw Inventory'!D:D,'[1]Raw Inventory'!C:C,"DUARTE",'[1]Raw Inventory'!B:B,A1361)</f>
        <v>0</v>
      </c>
      <c r="AI1361" s="46"/>
      <c r="AJ1361" s="46"/>
      <c r="AK1361" s="43"/>
      <c r="AL1361" s="43"/>
      <c r="AM1361" s="43"/>
      <c r="AN1361" s="43"/>
      <c r="AO1361" s="43"/>
      <c r="AP1361" s="43"/>
      <c r="AQ1361" s="43"/>
      <c r="AR1361" s="43"/>
      <c r="AS1361" s="43"/>
      <c r="AT1361" s="43"/>
    </row>
    <row r="1362" spans="1:46">
      <c r="A1362" s="43" t="s">
        <v>24</v>
      </c>
      <c r="B1362" s="43" t="s">
        <v>92</v>
      </c>
      <c r="C1362" s="43" t="s">
        <v>90</v>
      </c>
      <c r="D1362" s="44" t="s">
        <v>243</v>
      </c>
      <c r="E1362" s="44">
        <v>17</v>
      </c>
      <c r="F1362" s="44" t="s">
        <v>2</v>
      </c>
      <c r="G1362" s="43" t="str">
        <f>IFERROR(VLOOKUP(A1362,'[1]MC Masterlist 2026-09-12'!$B:$M, 3, 0),"")</f>
        <v>KAWASAKI</v>
      </c>
      <c r="H1362" s="45">
        <f>IFERROR(VLOOKUP(A1362,'[1]MC Masterlist 2026-09-12'!$B:$M, 6, 0),"")</f>
        <v>131626</v>
      </c>
      <c r="I1362" s="46">
        <v>0</v>
      </c>
      <c r="J1362" s="46">
        <v>0</v>
      </c>
      <c r="K1362" s="46">
        <v>1</v>
      </c>
      <c r="L1362" s="46">
        <f t="shared" si="315"/>
        <v>1</v>
      </c>
      <c r="M1362" s="46">
        <f t="shared" si="316"/>
        <v>0.33333333333333331</v>
      </c>
      <c r="N1362" s="45">
        <f t="shared" si="317"/>
        <v>131626</v>
      </c>
      <c r="O1362" s="45">
        <f t="shared" si="318"/>
        <v>43875.333333333328</v>
      </c>
      <c r="P1362" s="46">
        <f t="shared" si="319"/>
        <v>1.111111111111111E-2</v>
      </c>
      <c r="Q1362" s="46">
        <v>1</v>
      </c>
      <c r="R1362" s="45">
        <f t="shared" si="320"/>
        <v>131626</v>
      </c>
      <c r="S1362" s="46">
        <f t="shared" si="321"/>
        <v>90.000000000000014</v>
      </c>
      <c r="T1362" s="46">
        <f>IFERROR(VLOOKUP(A1362,'[1]Re-order'!$A:$Q,17,0),"")</f>
        <v>40.677966101694913</v>
      </c>
      <c r="U1362" s="46">
        <f>IFERROR(VLOOKUP(A1362,'[1]MC Masterlist 2026-09-12'!$B:$M, 10, 0),0)</f>
        <v>15</v>
      </c>
      <c r="V1362" s="46">
        <f>IFERROR(VLOOKUP(A1362,'[1]MC Masterlist 2026-09-12'!$B:$M, 11, 0),0)</f>
        <v>15</v>
      </c>
      <c r="W1362" s="46">
        <f t="shared" si="322"/>
        <v>30</v>
      </c>
      <c r="X1362" s="46">
        <f t="shared" si="323"/>
        <v>29.833333333333332</v>
      </c>
      <c r="Y1362" s="46">
        <f>IFERROR(IF(OR(C1362="AREA I",C1362="AREA V"),7,VLOOKUP(A1362,'[1]MC Masterlist 2026-09-12'!$B:$M, 12, 0)),0)</f>
        <v>30</v>
      </c>
      <c r="Z1362" s="46">
        <f t="shared" si="324"/>
        <v>0.16666666666666666</v>
      </c>
      <c r="AA1362" s="46">
        <f t="shared" si="325"/>
        <v>0.33333333333333331</v>
      </c>
      <c r="AB1362" s="46">
        <f t="shared" si="326"/>
        <v>0.33148148148148143</v>
      </c>
      <c r="AC1362" s="46">
        <f t="shared" si="327"/>
        <v>0.33333333333333331</v>
      </c>
      <c r="AD1362" s="44" t="str">
        <f t="shared" si="328"/>
        <v>Over</v>
      </c>
      <c r="AE1362" s="44" t="str">
        <f>IFERROR(VLOOKUP(A1362,'[1]Re-order'!$A:$AA,27,0),"")</f>
        <v>Re-order</v>
      </c>
      <c r="AF1362" s="46">
        <f t="shared" si="329"/>
        <v>-0.66666666666666674</v>
      </c>
      <c r="AG1362" s="46">
        <f>SUMIFS('[1]Raw Inventory'!D:D,'[1]Raw Inventory'!C:C,"GREATWALL",'[1]Raw Inventory'!B:B,A1362)</f>
        <v>12</v>
      </c>
      <c r="AH1362" s="46">
        <f>SUMIFS('[1]Raw Inventory'!D:D,'[1]Raw Inventory'!C:C,"DUARTE",'[1]Raw Inventory'!B:B,A1362)</f>
        <v>0</v>
      </c>
      <c r="AI1362" s="46"/>
      <c r="AJ1362" s="46"/>
      <c r="AK1362" s="43"/>
      <c r="AL1362" s="43"/>
      <c r="AM1362" s="43"/>
      <c r="AN1362" s="43"/>
      <c r="AO1362" s="43"/>
      <c r="AP1362" s="43"/>
      <c r="AQ1362" s="43"/>
      <c r="AR1362" s="43"/>
      <c r="AS1362" s="43"/>
      <c r="AT1362" s="43"/>
    </row>
    <row r="1363" spans="1:46">
      <c r="A1363" s="43" t="s">
        <v>67</v>
      </c>
      <c r="B1363" s="43" t="s">
        <v>30</v>
      </c>
      <c r="C1363" s="43" t="s">
        <v>1</v>
      </c>
      <c r="D1363" s="44" t="s">
        <v>260</v>
      </c>
      <c r="E1363" s="44">
        <v>37</v>
      </c>
      <c r="F1363" s="44" t="s">
        <v>3</v>
      </c>
      <c r="G1363" s="43" t="str">
        <f>IFERROR(VLOOKUP(A1363,'[1]MC Masterlist 2026-09-12'!$B:$M, 3, 0),"")</f>
        <v>YAMAHA</v>
      </c>
      <c r="H1363" s="45">
        <f>IFERROR(VLOOKUP(A1363,'[1]MC Masterlist 2026-09-12'!$B:$M, 6, 0),"")</f>
        <v>86397</v>
      </c>
      <c r="I1363" s="46">
        <v>0</v>
      </c>
      <c r="J1363" s="46">
        <v>0</v>
      </c>
      <c r="K1363" s="46">
        <v>0</v>
      </c>
      <c r="L1363" s="46">
        <f t="shared" si="315"/>
        <v>0</v>
      </c>
      <c r="M1363" s="46">
        <f t="shared" si="316"/>
        <v>0</v>
      </c>
      <c r="N1363" s="45">
        <f t="shared" si="317"/>
        <v>0</v>
      </c>
      <c r="O1363" s="45">
        <f t="shared" si="318"/>
        <v>0</v>
      </c>
      <c r="P1363" s="46">
        <f t="shared" si="319"/>
        <v>0</v>
      </c>
      <c r="Q1363" s="46">
        <v>1</v>
      </c>
      <c r="R1363" s="45">
        <f t="shared" si="320"/>
        <v>86397</v>
      </c>
      <c r="S1363" s="46">
        <f t="shared" si="321"/>
        <v>0</v>
      </c>
      <c r="T1363" s="46">
        <f>IFERROR(VLOOKUP(A1363,'[1]Re-order'!$A:$Q,17,0),"")</f>
        <v>73.63636363636364</v>
      </c>
      <c r="U1363" s="46">
        <f>IFERROR(VLOOKUP(A1363,'[1]MC Masterlist 2026-09-12'!$B:$M, 10, 0),0)</f>
        <v>15</v>
      </c>
      <c r="V1363" s="46">
        <f>IFERROR(VLOOKUP(A1363,'[1]MC Masterlist 2026-09-12'!$B:$M, 11, 0),0)</f>
        <v>15</v>
      </c>
      <c r="W1363" s="46">
        <f t="shared" si="322"/>
        <v>30</v>
      </c>
      <c r="X1363" s="46">
        <f t="shared" si="323"/>
        <v>7</v>
      </c>
      <c r="Y1363" s="46">
        <f>IFERROR(IF(OR(C1363="AREA I",C1363="AREA V"),7,VLOOKUP(A1363,'[1]MC Masterlist 2026-09-12'!$B:$M, 12, 0)),0)</f>
        <v>7</v>
      </c>
      <c r="Z1363" s="46">
        <f t="shared" si="324"/>
        <v>0</v>
      </c>
      <c r="AA1363" s="46">
        <f t="shared" si="325"/>
        <v>0</v>
      </c>
      <c r="AB1363" s="46">
        <f t="shared" si="326"/>
        <v>0</v>
      </c>
      <c r="AC1363" s="46">
        <f t="shared" si="327"/>
        <v>0</v>
      </c>
      <c r="AD1363" s="44" t="str">
        <f t="shared" si="328"/>
        <v>Over</v>
      </c>
      <c r="AE1363" s="44" t="str">
        <f>IFERROR(VLOOKUP(A1363,'[1]Re-order'!$A:$AA,27,0),"")</f>
        <v>Re-order</v>
      </c>
      <c r="AF1363" s="46">
        <f t="shared" si="329"/>
        <v>-1</v>
      </c>
      <c r="AG1363" s="46">
        <f>SUMIFS('[1]Raw Inventory'!D:D,'[1]Raw Inventory'!C:C,"GREATWALL",'[1]Raw Inventory'!B:B,A1363)</f>
        <v>1</v>
      </c>
      <c r="AH1363" s="46">
        <f>SUMIFS('[1]Raw Inventory'!D:D,'[1]Raw Inventory'!C:C,"DUARTE",'[1]Raw Inventory'!B:B,A1363)</f>
        <v>0</v>
      </c>
      <c r="AI1363" s="46"/>
      <c r="AJ1363" s="46"/>
      <c r="AK1363" s="43"/>
      <c r="AL1363" s="43"/>
      <c r="AM1363" s="43"/>
      <c r="AN1363" s="43"/>
      <c r="AO1363" s="43"/>
      <c r="AP1363" s="43"/>
      <c r="AQ1363" s="43"/>
      <c r="AR1363" s="43"/>
      <c r="AS1363" s="43"/>
      <c r="AT1363" s="43"/>
    </row>
    <row r="1364" spans="1:46">
      <c r="A1364" s="43" t="s">
        <v>12</v>
      </c>
      <c r="B1364" s="43" t="s">
        <v>121</v>
      </c>
      <c r="C1364" s="43" t="s">
        <v>118</v>
      </c>
      <c r="D1364" s="44" t="s">
        <v>236</v>
      </c>
      <c r="E1364" s="44">
        <v>9</v>
      </c>
      <c r="F1364" s="44" t="s">
        <v>2</v>
      </c>
      <c r="G1364" s="43" t="str">
        <f>IFERROR(VLOOKUP(A1364,'[1]MC Masterlist 2026-09-12'!$B:$M, 3, 0),"")</f>
        <v>HONDA</v>
      </c>
      <c r="H1364" s="45">
        <f>IFERROR(VLOOKUP(A1364,'[1]MC Masterlist 2026-09-12'!$B:$M, 6, 0),"")</f>
        <v>158270</v>
      </c>
      <c r="I1364" s="46">
        <v>2</v>
      </c>
      <c r="J1364" s="46">
        <v>1</v>
      </c>
      <c r="K1364" s="46">
        <v>1</v>
      </c>
      <c r="L1364" s="46">
        <f t="shared" si="315"/>
        <v>4</v>
      </c>
      <c r="M1364" s="46">
        <f t="shared" si="316"/>
        <v>1.3333333333333333</v>
      </c>
      <c r="N1364" s="45">
        <f t="shared" si="317"/>
        <v>633080</v>
      </c>
      <c r="O1364" s="45">
        <f t="shared" si="318"/>
        <v>211026.66666666666</v>
      </c>
      <c r="P1364" s="46">
        <f t="shared" si="319"/>
        <v>4.4444444444444439E-2</v>
      </c>
      <c r="Q1364" s="46">
        <v>4</v>
      </c>
      <c r="R1364" s="45">
        <f t="shared" si="320"/>
        <v>633080</v>
      </c>
      <c r="S1364" s="46">
        <f t="shared" si="321"/>
        <v>90</v>
      </c>
      <c r="T1364" s="46">
        <f>IFERROR(VLOOKUP(A1364,'[1]Re-order'!$A:$Q,17,0),"")</f>
        <v>46.461038961038959</v>
      </c>
      <c r="U1364" s="46">
        <f>IFERROR(VLOOKUP(A1364,'[1]MC Masterlist 2026-09-12'!$B:$M, 10, 0),0)</f>
        <v>15</v>
      </c>
      <c r="V1364" s="46">
        <f>IFERROR(VLOOKUP(A1364,'[1]MC Masterlist 2026-09-12'!$B:$M, 11, 0),0)</f>
        <v>15</v>
      </c>
      <c r="W1364" s="46">
        <f t="shared" si="322"/>
        <v>30</v>
      </c>
      <c r="X1364" s="46">
        <f t="shared" si="323"/>
        <v>29.333333333333332</v>
      </c>
      <c r="Y1364" s="46">
        <f>IFERROR(IF(OR(C1364="AREA I",C1364="AREA V"),7,VLOOKUP(A1364,'[1]MC Masterlist 2026-09-12'!$B:$M, 12, 0)),0)</f>
        <v>30</v>
      </c>
      <c r="Z1364" s="46">
        <f t="shared" si="324"/>
        <v>0.66666666666666663</v>
      </c>
      <c r="AA1364" s="46">
        <f t="shared" si="325"/>
        <v>1.3333333333333333</v>
      </c>
      <c r="AB1364" s="46">
        <f t="shared" si="326"/>
        <v>1.3037037037037036</v>
      </c>
      <c r="AC1364" s="46">
        <f t="shared" si="327"/>
        <v>1.3333333333333333</v>
      </c>
      <c r="AD1364" s="44" t="str">
        <f t="shared" si="328"/>
        <v>Over</v>
      </c>
      <c r="AE1364" s="44" t="str">
        <f>IFERROR(VLOOKUP(A1364,'[1]Re-order'!$A:$AA,27,0),"")</f>
        <v>Re-order</v>
      </c>
      <c r="AF1364" s="46">
        <f t="shared" si="329"/>
        <v>-2.666666666666667</v>
      </c>
      <c r="AG1364" s="46">
        <f>SUMIFS('[1]Raw Inventory'!D:D,'[1]Raw Inventory'!C:C,"GREATWALL",'[1]Raw Inventory'!B:B,A1364)</f>
        <v>35</v>
      </c>
      <c r="AH1364" s="46">
        <f>SUMIFS('[1]Raw Inventory'!D:D,'[1]Raw Inventory'!C:C,"DUARTE",'[1]Raw Inventory'!B:B,A1364)</f>
        <v>0</v>
      </c>
      <c r="AI1364" s="46"/>
      <c r="AJ1364" s="46"/>
      <c r="AK1364" s="43"/>
      <c r="AL1364" s="43"/>
      <c r="AM1364" s="43"/>
      <c r="AN1364" s="43"/>
      <c r="AO1364" s="43"/>
      <c r="AP1364" s="43"/>
      <c r="AQ1364" s="43"/>
      <c r="AR1364" s="43"/>
      <c r="AS1364" s="43"/>
      <c r="AT1364" s="43"/>
    </row>
    <row r="1365" spans="1:46">
      <c r="A1365" s="43" t="s">
        <v>37</v>
      </c>
      <c r="B1365" s="43" t="s">
        <v>27</v>
      </c>
      <c r="C1365" s="43" t="s">
        <v>1</v>
      </c>
      <c r="D1365" s="44" t="s">
        <v>255</v>
      </c>
      <c r="E1365" s="44">
        <v>14</v>
      </c>
      <c r="F1365" s="44" t="s">
        <v>2</v>
      </c>
      <c r="G1365" s="43" t="str">
        <f>IFERROR(VLOOKUP(A1365,'[1]MC Masterlist 2026-09-12'!$B:$M, 3, 0),"")</f>
        <v>HONDA</v>
      </c>
      <c r="H1365" s="45">
        <f>IFERROR(VLOOKUP(A1365,'[1]MC Masterlist 2026-09-12'!$B:$M, 6, 0),"")</f>
        <v>74550</v>
      </c>
      <c r="I1365" s="46">
        <v>1</v>
      </c>
      <c r="J1365" s="46">
        <v>3</v>
      </c>
      <c r="K1365" s="46">
        <v>4</v>
      </c>
      <c r="L1365" s="46">
        <f t="shared" si="315"/>
        <v>8</v>
      </c>
      <c r="M1365" s="46">
        <f t="shared" si="316"/>
        <v>2.6666666666666665</v>
      </c>
      <c r="N1365" s="45">
        <f t="shared" si="317"/>
        <v>596400</v>
      </c>
      <c r="O1365" s="45">
        <f t="shared" si="318"/>
        <v>198800</v>
      </c>
      <c r="P1365" s="46">
        <f t="shared" si="319"/>
        <v>8.8888888888888878E-2</v>
      </c>
      <c r="Q1365" s="46"/>
      <c r="R1365" s="45">
        <f t="shared" si="320"/>
        <v>0</v>
      </c>
      <c r="S1365" s="46">
        <f t="shared" si="321"/>
        <v>0</v>
      </c>
      <c r="T1365" s="46">
        <f>IFERROR(VLOOKUP(A1365,'[1]Re-order'!$A:$Q,17,0),"")</f>
        <v>33.652173913043477</v>
      </c>
      <c r="U1365" s="46">
        <f>IFERROR(VLOOKUP(A1365,'[1]MC Masterlist 2026-09-12'!$B:$M, 10, 0),0)</f>
        <v>15</v>
      </c>
      <c r="V1365" s="46">
        <f>IFERROR(VLOOKUP(A1365,'[1]MC Masterlist 2026-09-12'!$B:$M, 11, 0),0)</f>
        <v>15</v>
      </c>
      <c r="W1365" s="46">
        <f t="shared" si="322"/>
        <v>30</v>
      </c>
      <c r="X1365" s="46">
        <f t="shared" si="323"/>
        <v>5.666666666666667</v>
      </c>
      <c r="Y1365" s="46">
        <f>IFERROR(IF(OR(C1365="AREA I",C1365="AREA V"),7,VLOOKUP(A1365,'[1]MC Masterlist 2026-09-12'!$B:$M, 12, 0)),0)</f>
        <v>7</v>
      </c>
      <c r="Z1365" s="46">
        <f t="shared" si="324"/>
        <v>1.3333333333333333</v>
      </c>
      <c r="AA1365" s="46">
        <f t="shared" si="325"/>
        <v>2.6666666666666665</v>
      </c>
      <c r="AB1365" s="46">
        <f t="shared" si="326"/>
        <v>0.50370370370370365</v>
      </c>
      <c r="AC1365" s="46">
        <f t="shared" si="327"/>
        <v>0.62222222222222212</v>
      </c>
      <c r="AD1365" s="44" t="str">
        <f t="shared" si="328"/>
        <v>Stockout</v>
      </c>
      <c r="AE1365" s="44" t="str">
        <f>IFERROR(VLOOKUP(A1365,'[1]Re-order'!$A:$AA,27,0),"")</f>
        <v>Re-order</v>
      </c>
      <c r="AF1365" s="46">
        <f t="shared" si="329"/>
        <v>0.62222222222222212</v>
      </c>
      <c r="AG1365" s="46">
        <f>SUMIFS('[1]Raw Inventory'!D:D,'[1]Raw Inventory'!C:C,"GREATWALL",'[1]Raw Inventory'!B:B,A1365)</f>
        <v>28</v>
      </c>
      <c r="AH1365" s="46">
        <f>SUMIFS('[1]Raw Inventory'!D:D,'[1]Raw Inventory'!C:C,"DUARTE",'[1]Raw Inventory'!B:B,A1365)</f>
        <v>0</v>
      </c>
      <c r="AI1365" s="46"/>
      <c r="AJ1365" s="46"/>
      <c r="AK1365" s="43"/>
      <c r="AL1365" s="43"/>
      <c r="AM1365" s="43"/>
      <c r="AN1365" s="43"/>
      <c r="AO1365" s="43"/>
      <c r="AP1365" s="43"/>
      <c r="AQ1365" s="43"/>
      <c r="AR1365" s="43"/>
      <c r="AS1365" s="43"/>
      <c r="AT1365" s="43"/>
    </row>
    <row r="1366" spans="1:46">
      <c r="A1366" s="43" t="s">
        <v>43</v>
      </c>
      <c r="B1366" s="43" t="s">
        <v>95</v>
      </c>
      <c r="C1366" s="43" t="s">
        <v>90</v>
      </c>
      <c r="D1366" s="44" t="s">
        <v>241</v>
      </c>
      <c r="E1366" s="44">
        <v>19</v>
      </c>
      <c r="F1366" s="44" t="s">
        <v>3</v>
      </c>
      <c r="G1366" s="43" t="str">
        <f>IFERROR(VLOOKUP(A1366,'[1]MC Masterlist 2026-09-12'!$B:$M, 3, 0),"")</f>
        <v>YAMAHA</v>
      </c>
      <c r="H1366" s="45">
        <f>IFERROR(VLOOKUP(A1366,'[1]MC Masterlist 2026-09-12'!$B:$M, 6, 0),"")</f>
        <v>70587</v>
      </c>
      <c r="I1366" s="46">
        <v>1</v>
      </c>
      <c r="J1366" s="46">
        <v>0</v>
      </c>
      <c r="K1366" s="46">
        <v>0</v>
      </c>
      <c r="L1366" s="46">
        <f t="shared" si="315"/>
        <v>1</v>
      </c>
      <c r="M1366" s="46">
        <f t="shared" si="316"/>
        <v>0.33333333333333331</v>
      </c>
      <c r="N1366" s="45">
        <f t="shared" si="317"/>
        <v>70587</v>
      </c>
      <c r="O1366" s="45">
        <f t="shared" si="318"/>
        <v>23529</v>
      </c>
      <c r="P1366" s="46">
        <f t="shared" si="319"/>
        <v>1.111111111111111E-2</v>
      </c>
      <c r="Q1366" s="46"/>
      <c r="R1366" s="45">
        <f t="shared" si="320"/>
        <v>0</v>
      </c>
      <c r="S1366" s="46">
        <f t="shared" si="321"/>
        <v>0</v>
      </c>
      <c r="T1366" s="46">
        <f>IFERROR(VLOOKUP(A1366,'[1]Re-order'!$A:$Q,17,0),"")</f>
        <v>43.578947368421055</v>
      </c>
      <c r="U1366" s="46">
        <f>IFERROR(VLOOKUP(A1366,'[1]MC Masterlist 2026-09-12'!$B:$M, 10, 0),0)</f>
        <v>15</v>
      </c>
      <c r="V1366" s="46">
        <f>IFERROR(VLOOKUP(A1366,'[1]MC Masterlist 2026-09-12'!$B:$M, 11, 0),0)</f>
        <v>15</v>
      </c>
      <c r="W1366" s="46">
        <f t="shared" si="322"/>
        <v>30</v>
      </c>
      <c r="X1366" s="46">
        <f t="shared" si="323"/>
        <v>29.833333333333332</v>
      </c>
      <c r="Y1366" s="46">
        <f>IFERROR(IF(OR(C1366="AREA I",C1366="AREA V"),7,VLOOKUP(A1366,'[1]MC Masterlist 2026-09-12'!$B:$M, 12, 0)),0)</f>
        <v>30</v>
      </c>
      <c r="Z1366" s="46">
        <f t="shared" si="324"/>
        <v>0.16666666666666666</v>
      </c>
      <c r="AA1366" s="46">
        <f t="shared" si="325"/>
        <v>0.33333333333333331</v>
      </c>
      <c r="AB1366" s="46">
        <f t="shared" si="326"/>
        <v>0.33148148148148143</v>
      </c>
      <c r="AC1366" s="46">
        <f t="shared" si="327"/>
        <v>0.33333333333333331</v>
      </c>
      <c r="AD1366" s="44" t="str">
        <f t="shared" si="328"/>
        <v>Stockout</v>
      </c>
      <c r="AE1366" s="44" t="str">
        <f>IFERROR(VLOOKUP(A1366,'[1]Re-order'!$A:$AA,27,0),"")</f>
        <v>Re-order</v>
      </c>
      <c r="AF1366" s="46">
        <f t="shared" si="329"/>
        <v>0.33333333333333331</v>
      </c>
      <c r="AG1366" s="46">
        <f>SUMIFS('[1]Raw Inventory'!D:D,'[1]Raw Inventory'!C:C,"GREATWALL",'[1]Raw Inventory'!B:B,A1366)</f>
        <v>0</v>
      </c>
      <c r="AH1366" s="46">
        <f>SUMIFS('[1]Raw Inventory'!D:D,'[1]Raw Inventory'!C:C,"DUARTE",'[1]Raw Inventory'!B:B,A1366)</f>
        <v>0</v>
      </c>
      <c r="AI1366" s="46"/>
      <c r="AJ1366" s="46"/>
      <c r="AK1366" s="43"/>
      <c r="AL1366" s="43"/>
      <c r="AM1366" s="43"/>
      <c r="AN1366" s="43"/>
      <c r="AO1366" s="43"/>
      <c r="AP1366" s="43"/>
      <c r="AQ1366" s="43"/>
      <c r="AR1366" s="43"/>
      <c r="AS1366" s="43"/>
      <c r="AT1366" s="43"/>
    </row>
    <row r="1367" spans="1:46">
      <c r="A1367" s="43" t="s">
        <v>12</v>
      </c>
      <c r="B1367" s="43" t="s">
        <v>138</v>
      </c>
      <c r="C1367" s="43" t="s">
        <v>137</v>
      </c>
      <c r="D1367" s="44" t="s">
        <v>236</v>
      </c>
      <c r="E1367" s="44">
        <v>7</v>
      </c>
      <c r="F1367" s="44" t="s">
        <v>2</v>
      </c>
      <c r="G1367" s="43" t="str">
        <f>IFERROR(VLOOKUP(A1367,'[1]MC Masterlist 2026-09-12'!$B:$M, 3, 0),"")</f>
        <v>HONDA</v>
      </c>
      <c r="H1367" s="45">
        <f>IFERROR(VLOOKUP(A1367,'[1]MC Masterlist 2026-09-12'!$B:$M, 6, 0),"")</f>
        <v>158270</v>
      </c>
      <c r="I1367" s="46">
        <v>0</v>
      </c>
      <c r="J1367" s="46">
        <v>0</v>
      </c>
      <c r="K1367" s="46">
        <v>0</v>
      </c>
      <c r="L1367" s="46">
        <f t="shared" si="315"/>
        <v>0</v>
      </c>
      <c r="M1367" s="46">
        <f t="shared" si="316"/>
        <v>0</v>
      </c>
      <c r="N1367" s="45">
        <f t="shared" si="317"/>
        <v>0</v>
      </c>
      <c r="O1367" s="45">
        <f t="shared" si="318"/>
        <v>0</v>
      </c>
      <c r="P1367" s="46">
        <f t="shared" si="319"/>
        <v>0</v>
      </c>
      <c r="Q1367" s="46">
        <v>35</v>
      </c>
      <c r="R1367" s="45">
        <f t="shared" si="320"/>
        <v>5539450</v>
      </c>
      <c r="S1367" s="46">
        <f t="shared" si="321"/>
        <v>0</v>
      </c>
      <c r="T1367" s="46">
        <f>IFERROR(VLOOKUP(A1367,'[1]Re-order'!$A:$Q,17,0),"")</f>
        <v>46.461038961038959</v>
      </c>
      <c r="U1367" s="46">
        <f>IFERROR(VLOOKUP(A1367,'[1]MC Masterlist 2026-09-12'!$B:$M, 10, 0),0)</f>
        <v>15</v>
      </c>
      <c r="V1367" s="46">
        <f>IFERROR(VLOOKUP(A1367,'[1]MC Masterlist 2026-09-12'!$B:$M, 11, 0),0)</f>
        <v>15</v>
      </c>
      <c r="W1367" s="46">
        <f t="shared" si="322"/>
        <v>30</v>
      </c>
      <c r="X1367" s="46">
        <f t="shared" si="323"/>
        <v>7</v>
      </c>
      <c r="Y1367" s="46">
        <f>IFERROR(IF(OR(C1367="AREA I",C1367="AREA V"),7,VLOOKUP(A1367,'[1]MC Masterlist 2026-09-12'!$B:$M, 12, 0)),0)</f>
        <v>7</v>
      </c>
      <c r="Z1367" s="46">
        <f t="shared" si="324"/>
        <v>0</v>
      </c>
      <c r="AA1367" s="46">
        <f t="shared" si="325"/>
        <v>0</v>
      </c>
      <c r="AB1367" s="46">
        <f t="shared" si="326"/>
        <v>0</v>
      </c>
      <c r="AC1367" s="46">
        <f t="shared" si="327"/>
        <v>0</v>
      </c>
      <c r="AD1367" s="44" t="str">
        <f t="shared" si="328"/>
        <v>Over</v>
      </c>
      <c r="AE1367" s="44" t="str">
        <f>IFERROR(VLOOKUP(A1367,'[1]Re-order'!$A:$AA,27,0),"")</f>
        <v>Re-order</v>
      </c>
      <c r="AF1367" s="46">
        <f t="shared" si="329"/>
        <v>-35</v>
      </c>
      <c r="AG1367" s="46">
        <f>SUMIFS('[1]Raw Inventory'!D:D,'[1]Raw Inventory'!C:C,"GREATWALL",'[1]Raw Inventory'!B:B,A1367)</f>
        <v>35</v>
      </c>
      <c r="AH1367" s="46">
        <f>SUMIFS('[1]Raw Inventory'!D:D,'[1]Raw Inventory'!C:C,"DUARTE",'[1]Raw Inventory'!B:B,A1367)</f>
        <v>0</v>
      </c>
      <c r="AI1367" s="46"/>
      <c r="AJ1367" s="46"/>
      <c r="AK1367" s="43"/>
      <c r="AL1367" s="43"/>
      <c r="AM1367" s="43"/>
      <c r="AN1367" s="43"/>
      <c r="AO1367" s="43"/>
      <c r="AP1367" s="43"/>
      <c r="AQ1367" s="43"/>
      <c r="AR1367" s="43"/>
      <c r="AS1367" s="43"/>
      <c r="AT1367" s="43"/>
    </row>
    <row r="1368" spans="1:46">
      <c r="A1368" s="43" t="s">
        <v>52</v>
      </c>
      <c r="B1368" s="43" t="s">
        <v>27</v>
      </c>
      <c r="C1368" s="43" t="s">
        <v>1</v>
      </c>
      <c r="D1368" s="44" t="s">
        <v>253</v>
      </c>
      <c r="E1368" s="44">
        <v>27</v>
      </c>
      <c r="F1368" s="44" t="s">
        <v>3</v>
      </c>
      <c r="G1368" s="43" t="str">
        <f>IFERROR(VLOOKUP(A1368,'[1]MC Masterlist 2026-09-12'!$B:$M, 3, 0),"")</f>
        <v>YAMAHA</v>
      </c>
      <c r="H1368" s="45">
        <f>IFERROR(VLOOKUP(A1368,'[1]MC Masterlist 2026-09-12'!$B:$M, 6, 0),"")</f>
        <v>85446</v>
      </c>
      <c r="I1368" s="46">
        <v>0</v>
      </c>
      <c r="J1368" s="46">
        <v>1</v>
      </c>
      <c r="K1368" s="46">
        <v>0</v>
      </c>
      <c r="L1368" s="46">
        <f t="shared" si="315"/>
        <v>1</v>
      </c>
      <c r="M1368" s="46">
        <f t="shared" si="316"/>
        <v>0.33333333333333331</v>
      </c>
      <c r="N1368" s="45">
        <f t="shared" si="317"/>
        <v>85446</v>
      </c>
      <c r="O1368" s="45">
        <f t="shared" si="318"/>
        <v>28482</v>
      </c>
      <c r="P1368" s="46">
        <f t="shared" si="319"/>
        <v>1.111111111111111E-2</v>
      </c>
      <c r="Q1368" s="46">
        <v>3</v>
      </c>
      <c r="R1368" s="45">
        <f t="shared" si="320"/>
        <v>256338</v>
      </c>
      <c r="S1368" s="46">
        <f t="shared" si="321"/>
        <v>270</v>
      </c>
      <c r="T1368" s="46">
        <f>IFERROR(VLOOKUP(A1368,'[1]Re-order'!$A:$Q,17,0),"")</f>
        <v>95.454545454545453</v>
      </c>
      <c r="U1368" s="46">
        <f>IFERROR(VLOOKUP(A1368,'[1]MC Masterlist 2026-09-12'!$B:$M, 10, 0),0)</f>
        <v>15</v>
      </c>
      <c r="V1368" s="46">
        <f>IFERROR(VLOOKUP(A1368,'[1]MC Masterlist 2026-09-12'!$B:$M, 11, 0),0)</f>
        <v>15</v>
      </c>
      <c r="W1368" s="46">
        <f t="shared" si="322"/>
        <v>30</v>
      </c>
      <c r="X1368" s="46">
        <f t="shared" si="323"/>
        <v>6.833333333333333</v>
      </c>
      <c r="Y1368" s="46">
        <f>IFERROR(IF(OR(C1368="AREA I",C1368="AREA V"),7,VLOOKUP(A1368,'[1]MC Masterlist 2026-09-12'!$B:$M, 12, 0)),0)</f>
        <v>7</v>
      </c>
      <c r="Z1368" s="46">
        <f t="shared" si="324"/>
        <v>0.16666666666666666</v>
      </c>
      <c r="AA1368" s="46">
        <f t="shared" si="325"/>
        <v>0.33333333333333331</v>
      </c>
      <c r="AB1368" s="46">
        <f t="shared" si="326"/>
        <v>7.5925925925925911E-2</v>
      </c>
      <c r="AC1368" s="46">
        <f t="shared" si="327"/>
        <v>7.7777777777777765E-2</v>
      </c>
      <c r="AD1368" s="44" t="str">
        <f t="shared" si="328"/>
        <v>Over</v>
      </c>
      <c r="AE1368" s="44" t="str">
        <f>IFERROR(VLOOKUP(A1368,'[1]Re-order'!$A:$AA,27,0),"")</f>
        <v>Over</v>
      </c>
      <c r="AF1368" s="46">
        <f t="shared" si="329"/>
        <v>-2.9222222222222221</v>
      </c>
      <c r="AG1368" s="46">
        <f>SUMIFS('[1]Raw Inventory'!D:D,'[1]Raw Inventory'!C:C,"GREATWALL",'[1]Raw Inventory'!B:B,A1368)</f>
        <v>0</v>
      </c>
      <c r="AH1368" s="46">
        <f>SUMIFS('[1]Raw Inventory'!D:D,'[1]Raw Inventory'!C:C,"DUARTE",'[1]Raw Inventory'!B:B,A1368)</f>
        <v>0</v>
      </c>
      <c r="AI1368" s="46"/>
      <c r="AJ1368" s="46"/>
      <c r="AK1368" s="43"/>
      <c r="AL1368" s="43"/>
      <c r="AM1368" s="43"/>
      <c r="AN1368" s="43"/>
      <c r="AO1368" s="43"/>
      <c r="AP1368" s="43"/>
      <c r="AQ1368" s="43"/>
      <c r="AR1368" s="43"/>
      <c r="AS1368" s="43"/>
      <c r="AT1368" s="43"/>
    </row>
    <row r="1369" spans="1:46">
      <c r="A1369" s="43" t="s">
        <v>101</v>
      </c>
      <c r="B1369" s="43" t="s">
        <v>144</v>
      </c>
      <c r="C1369" s="43" t="s">
        <v>137</v>
      </c>
      <c r="D1369" s="44" t="s">
        <v>289</v>
      </c>
      <c r="E1369" s="44">
        <v>33</v>
      </c>
      <c r="F1369" s="44" t="s">
        <v>3</v>
      </c>
      <c r="G1369" s="43" t="str">
        <f>IFERROR(VLOOKUP(A1369,'[1]MC Masterlist 2026-09-12'!$B:$M, 3, 0),"")</f>
        <v>BAJAJ RE</v>
      </c>
      <c r="H1369" s="45">
        <f>IFERROR(VLOOKUP(A1369,'[1]MC Masterlist 2026-09-12'!$B:$M, 6, 0),"")</f>
        <v>221800</v>
      </c>
      <c r="I1369" s="46">
        <v>0</v>
      </c>
      <c r="J1369" s="46">
        <v>0</v>
      </c>
      <c r="K1369" s="46">
        <v>0</v>
      </c>
      <c r="L1369" s="46">
        <f t="shared" si="315"/>
        <v>0</v>
      </c>
      <c r="M1369" s="46">
        <f t="shared" si="316"/>
        <v>0</v>
      </c>
      <c r="N1369" s="45">
        <f t="shared" si="317"/>
        <v>0</v>
      </c>
      <c r="O1369" s="45">
        <f t="shared" si="318"/>
        <v>0</v>
      </c>
      <c r="P1369" s="46">
        <f t="shared" si="319"/>
        <v>0</v>
      </c>
      <c r="Q1369" s="46">
        <v>1</v>
      </c>
      <c r="R1369" s="45">
        <f t="shared" si="320"/>
        <v>221800</v>
      </c>
      <c r="S1369" s="46">
        <f t="shared" si="321"/>
        <v>0</v>
      </c>
      <c r="T1369" s="46">
        <f>IFERROR(VLOOKUP(A1369,'[1]Re-order'!$A:$Q,17,0),"")</f>
        <v>90</v>
      </c>
      <c r="U1369" s="46">
        <f>IFERROR(VLOOKUP(A1369,'[1]MC Masterlist 2026-09-12'!$B:$M, 10, 0),0)</f>
        <v>15</v>
      </c>
      <c r="V1369" s="46">
        <f>IFERROR(VLOOKUP(A1369,'[1]MC Masterlist 2026-09-12'!$B:$M, 11, 0),0)</f>
        <v>15</v>
      </c>
      <c r="W1369" s="46">
        <f t="shared" si="322"/>
        <v>30</v>
      </c>
      <c r="X1369" s="46">
        <f t="shared" si="323"/>
        <v>7</v>
      </c>
      <c r="Y1369" s="46">
        <f>IFERROR(IF(OR(C1369="AREA I",C1369="AREA V"),7,VLOOKUP(A1369,'[1]MC Masterlist 2026-09-12'!$B:$M, 12, 0)),0)</f>
        <v>7</v>
      </c>
      <c r="Z1369" s="46">
        <f t="shared" si="324"/>
        <v>0</v>
      </c>
      <c r="AA1369" s="46">
        <f t="shared" si="325"/>
        <v>0</v>
      </c>
      <c r="AB1369" s="46">
        <f t="shared" si="326"/>
        <v>0</v>
      </c>
      <c r="AC1369" s="46">
        <f t="shared" si="327"/>
        <v>0</v>
      </c>
      <c r="AD1369" s="44" t="str">
        <f t="shared" si="328"/>
        <v>Over</v>
      </c>
      <c r="AE1369" s="44" t="str">
        <f>IFERROR(VLOOKUP(A1369,'[1]Re-order'!$A:$AA,27,0),"")</f>
        <v/>
      </c>
      <c r="AF1369" s="46">
        <f t="shared" si="329"/>
        <v>-1</v>
      </c>
      <c r="AG1369" s="46">
        <f>SUMIFS('[1]Raw Inventory'!D:D,'[1]Raw Inventory'!C:C,"GREATWALL",'[1]Raw Inventory'!B:B,A1369)</f>
        <v>0</v>
      </c>
      <c r="AH1369" s="46">
        <f>SUMIFS('[1]Raw Inventory'!D:D,'[1]Raw Inventory'!C:C,"DUARTE",'[1]Raw Inventory'!B:B,A1369)</f>
        <v>0</v>
      </c>
      <c r="AI1369" s="46"/>
      <c r="AJ1369" s="46"/>
      <c r="AK1369" s="43"/>
      <c r="AL1369" s="43"/>
      <c r="AM1369" s="43"/>
      <c r="AN1369" s="43"/>
      <c r="AO1369" s="43"/>
      <c r="AP1369" s="43"/>
      <c r="AQ1369" s="43"/>
      <c r="AR1369" s="43"/>
      <c r="AS1369" s="43"/>
      <c r="AT1369" s="43"/>
    </row>
    <row r="1370" spans="1:46">
      <c r="A1370" s="43" t="s">
        <v>43</v>
      </c>
      <c r="B1370" s="43" t="s">
        <v>146</v>
      </c>
      <c r="C1370" s="43" t="s">
        <v>137</v>
      </c>
      <c r="D1370" s="44" t="s">
        <v>247</v>
      </c>
      <c r="E1370" s="44">
        <v>25</v>
      </c>
      <c r="F1370" s="44" t="s">
        <v>3</v>
      </c>
      <c r="G1370" s="43" t="str">
        <f>IFERROR(VLOOKUP(A1370,'[1]MC Masterlist 2026-09-12'!$B:$M, 3, 0),"")</f>
        <v>YAMAHA</v>
      </c>
      <c r="H1370" s="45">
        <f>IFERROR(VLOOKUP(A1370,'[1]MC Masterlist 2026-09-12'!$B:$M, 6, 0),"")</f>
        <v>70587</v>
      </c>
      <c r="I1370" s="46">
        <v>0</v>
      </c>
      <c r="J1370" s="46">
        <v>1</v>
      </c>
      <c r="K1370" s="46">
        <v>0</v>
      </c>
      <c r="L1370" s="46">
        <f t="shared" si="315"/>
        <v>1</v>
      </c>
      <c r="M1370" s="46">
        <f t="shared" si="316"/>
        <v>0.33333333333333331</v>
      </c>
      <c r="N1370" s="45">
        <f t="shared" si="317"/>
        <v>70587</v>
      </c>
      <c r="O1370" s="45">
        <f t="shared" si="318"/>
        <v>23529</v>
      </c>
      <c r="P1370" s="46">
        <f t="shared" si="319"/>
        <v>1.111111111111111E-2</v>
      </c>
      <c r="Q1370" s="46"/>
      <c r="R1370" s="45">
        <f t="shared" si="320"/>
        <v>0</v>
      </c>
      <c r="S1370" s="46">
        <f t="shared" si="321"/>
        <v>0</v>
      </c>
      <c r="T1370" s="46">
        <f>IFERROR(VLOOKUP(A1370,'[1]Re-order'!$A:$Q,17,0),"")</f>
        <v>43.578947368421055</v>
      </c>
      <c r="U1370" s="46">
        <f>IFERROR(VLOOKUP(A1370,'[1]MC Masterlist 2026-09-12'!$B:$M, 10, 0),0)</f>
        <v>15</v>
      </c>
      <c r="V1370" s="46">
        <f>IFERROR(VLOOKUP(A1370,'[1]MC Masterlist 2026-09-12'!$B:$M, 11, 0),0)</f>
        <v>15</v>
      </c>
      <c r="W1370" s="46">
        <f t="shared" si="322"/>
        <v>30</v>
      </c>
      <c r="X1370" s="46">
        <f t="shared" si="323"/>
        <v>6.833333333333333</v>
      </c>
      <c r="Y1370" s="46">
        <f>IFERROR(IF(OR(C1370="AREA I",C1370="AREA V"),7,VLOOKUP(A1370,'[1]MC Masterlist 2026-09-12'!$B:$M, 12, 0)),0)</f>
        <v>7</v>
      </c>
      <c r="Z1370" s="46">
        <f t="shared" si="324"/>
        <v>0.16666666666666666</v>
      </c>
      <c r="AA1370" s="46">
        <f t="shared" si="325"/>
        <v>0.33333333333333331</v>
      </c>
      <c r="AB1370" s="46">
        <f t="shared" si="326"/>
        <v>7.5925925925925911E-2</v>
      </c>
      <c r="AC1370" s="46">
        <f t="shared" si="327"/>
        <v>7.7777777777777765E-2</v>
      </c>
      <c r="AD1370" s="44" t="str">
        <f t="shared" si="328"/>
        <v>Stockout</v>
      </c>
      <c r="AE1370" s="44" t="str">
        <f>IFERROR(VLOOKUP(A1370,'[1]Re-order'!$A:$AA,27,0),"")</f>
        <v>Re-order</v>
      </c>
      <c r="AF1370" s="46">
        <f t="shared" si="329"/>
        <v>7.7777777777777765E-2</v>
      </c>
      <c r="AG1370" s="46">
        <f>SUMIFS('[1]Raw Inventory'!D:D,'[1]Raw Inventory'!C:C,"GREATWALL",'[1]Raw Inventory'!B:B,A1370)</f>
        <v>0</v>
      </c>
      <c r="AH1370" s="46">
        <f>SUMIFS('[1]Raw Inventory'!D:D,'[1]Raw Inventory'!C:C,"DUARTE",'[1]Raw Inventory'!B:B,A1370)</f>
        <v>0</v>
      </c>
      <c r="AI1370" s="46"/>
      <c r="AJ1370" s="46"/>
      <c r="AK1370" s="43"/>
      <c r="AL1370" s="43"/>
      <c r="AM1370" s="43"/>
      <c r="AN1370" s="43"/>
      <c r="AO1370" s="43"/>
      <c r="AP1370" s="43"/>
      <c r="AQ1370" s="43"/>
      <c r="AR1370" s="43"/>
      <c r="AS1370" s="43"/>
      <c r="AT1370" s="43"/>
    </row>
    <row r="1371" spans="1:46">
      <c r="A1371" s="43" t="s">
        <v>24</v>
      </c>
      <c r="B1371" s="43" t="s">
        <v>146</v>
      </c>
      <c r="C1371" s="43" t="s">
        <v>137</v>
      </c>
      <c r="D1371" s="44" t="s">
        <v>230</v>
      </c>
      <c r="E1371" s="44">
        <v>6</v>
      </c>
      <c r="F1371" s="44" t="s">
        <v>0</v>
      </c>
      <c r="G1371" s="43" t="str">
        <f>IFERROR(VLOOKUP(A1371,'[1]MC Masterlist 2026-09-12'!$B:$M, 3, 0),"")</f>
        <v>KAWASAKI</v>
      </c>
      <c r="H1371" s="45">
        <f>IFERROR(VLOOKUP(A1371,'[1]MC Masterlist 2026-09-12'!$B:$M, 6, 0),"")</f>
        <v>131626</v>
      </c>
      <c r="I1371" s="46">
        <v>0</v>
      </c>
      <c r="J1371" s="46">
        <v>2</v>
      </c>
      <c r="K1371" s="46">
        <v>2</v>
      </c>
      <c r="L1371" s="46">
        <f t="shared" si="315"/>
        <v>4</v>
      </c>
      <c r="M1371" s="46">
        <f t="shared" si="316"/>
        <v>1.3333333333333333</v>
      </c>
      <c r="N1371" s="45">
        <f t="shared" si="317"/>
        <v>526504</v>
      </c>
      <c r="O1371" s="45">
        <f t="shared" si="318"/>
        <v>175501.33333333331</v>
      </c>
      <c r="P1371" s="46">
        <f t="shared" si="319"/>
        <v>4.4444444444444439E-2</v>
      </c>
      <c r="Q1371" s="46"/>
      <c r="R1371" s="45">
        <f t="shared" si="320"/>
        <v>0</v>
      </c>
      <c r="S1371" s="46">
        <f t="shared" si="321"/>
        <v>0</v>
      </c>
      <c r="T1371" s="46">
        <f>IFERROR(VLOOKUP(A1371,'[1]Re-order'!$A:$Q,17,0),"")</f>
        <v>40.677966101694913</v>
      </c>
      <c r="U1371" s="46">
        <f>IFERROR(VLOOKUP(A1371,'[1]MC Masterlist 2026-09-12'!$B:$M, 10, 0),0)</f>
        <v>15</v>
      </c>
      <c r="V1371" s="46">
        <f>IFERROR(VLOOKUP(A1371,'[1]MC Masterlist 2026-09-12'!$B:$M, 11, 0),0)</f>
        <v>15</v>
      </c>
      <c r="W1371" s="46">
        <f t="shared" si="322"/>
        <v>30</v>
      </c>
      <c r="X1371" s="46">
        <f t="shared" si="323"/>
        <v>6.333333333333333</v>
      </c>
      <c r="Y1371" s="46">
        <f>IFERROR(IF(OR(C1371="AREA I",C1371="AREA V"),7,VLOOKUP(A1371,'[1]MC Masterlist 2026-09-12'!$B:$M, 12, 0)),0)</f>
        <v>7</v>
      </c>
      <c r="Z1371" s="46">
        <f t="shared" si="324"/>
        <v>0.66666666666666663</v>
      </c>
      <c r="AA1371" s="46">
        <f t="shared" si="325"/>
        <v>1.3333333333333333</v>
      </c>
      <c r="AB1371" s="46">
        <f t="shared" si="326"/>
        <v>0.28148148148148144</v>
      </c>
      <c r="AC1371" s="46">
        <f t="shared" si="327"/>
        <v>0.31111111111111106</v>
      </c>
      <c r="AD1371" s="44" t="str">
        <f t="shared" si="328"/>
        <v>Stockout</v>
      </c>
      <c r="AE1371" s="44" t="str">
        <f>IFERROR(VLOOKUP(A1371,'[1]Re-order'!$A:$AA,27,0),"")</f>
        <v>Re-order</v>
      </c>
      <c r="AF1371" s="46">
        <f t="shared" si="329"/>
        <v>0.31111111111111106</v>
      </c>
      <c r="AG1371" s="46">
        <f>SUMIFS('[1]Raw Inventory'!D:D,'[1]Raw Inventory'!C:C,"GREATWALL",'[1]Raw Inventory'!B:B,A1371)</f>
        <v>12</v>
      </c>
      <c r="AH1371" s="46">
        <f>SUMIFS('[1]Raw Inventory'!D:D,'[1]Raw Inventory'!C:C,"DUARTE",'[1]Raw Inventory'!B:B,A1371)</f>
        <v>0</v>
      </c>
      <c r="AI1371" s="46"/>
      <c r="AJ1371" s="46"/>
      <c r="AK1371" s="43"/>
      <c r="AL1371" s="43"/>
      <c r="AM1371" s="43"/>
      <c r="AN1371" s="43"/>
      <c r="AO1371" s="43"/>
      <c r="AP1371" s="43"/>
      <c r="AQ1371" s="43"/>
      <c r="AR1371" s="43"/>
      <c r="AS1371" s="43"/>
      <c r="AT1371" s="43"/>
    </row>
    <row r="1372" spans="1:46">
      <c r="A1372" s="43" t="s">
        <v>33</v>
      </c>
      <c r="B1372" s="43" t="s">
        <v>27</v>
      </c>
      <c r="C1372" s="43" t="s">
        <v>1</v>
      </c>
      <c r="D1372" s="44" t="s">
        <v>246</v>
      </c>
      <c r="E1372" s="44">
        <v>13</v>
      </c>
      <c r="F1372" s="44" t="s">
        <v>2</v>
      </c>
      <c r="G1372" s="43" t="str">
        <f>IFERROR(VLOOKUP(A1372,'[1]MC Masterlist 2026-09-12'!$B:$M, 3, 0),"")</f>
        <v>HONDA</v>
      </c>
      <c r="H1372" s="45">
        <f>IFERROR(VLOOKUP(A1372,'[1]MC Masterlist 2026-09-12'!$B:$M, 6, 0),"")</f>
        <v>251318</v>
      </c>
      <c r="I1372" s="46">
        <v>0</v>
      </c>
      <c r="J1372" s="46">
        <v>2</v>
      </c>
      <c r="K1372" s="46">
        <v>1</v>
      </c>
      <c r="L1372" s="46">
        <f t="shared" si="315"/>
        <v>3</v>
      </c>
      <c r="M1372" s="46">
        <f t="shared" si="316"/>
        <v>1</v>
      </c>
      <c r="N1372" s="45">
        <f t="shared" si="317"/>
        <v>753954</v>
      </c>
      <c r="O1372" s="45">
        <f t="shared" si="318"/>
        <v>251318</v>
      </c>
      <c r="P1372" s="46">
        <f t="shared" si="319"/>
        <v>3.3333333333333333E-2</v>
      </c>
      <c r="Q1372" s="46"/>
      <c r="R1372" s="45">
        <f t="shared" si="320"/>
        <v>0</v>
      </c>
      <c r="S1372" s="46">
        <f t="shared" si="321"/>
        <v>0</v>
      </c>
      <c r="T1372" s="46">
        <f>IFERROR(VLOOKUP(A1372,'[1]Re-order'!$A:$Q,17,0),"")</f>
        <v>10.588235294117647</v>
      </c>
      <c r="U1372" s="46">
        <f>IFERROR(VLOOKUP(A1372,'[1]MC Masterlist 2026-09-12'!$B:$M, 10, 0),0)</f>
        <v>15</v>
      </c>
      <c r="V1372" s="46">
        <f>IFERROR(VLOOKUP(A1372,'[1]MC Masterlist 2026-09-12'!$B:$M, 11, 0),0)</f>
        <v>15</v>
      </c>
      <c r="W1372" s="46">
        <f t="shared" si="322"/>
        <v>30</v>
      </c>
      <c r="X1372" s="46">
        <f t="shared" si="323"/>
        <v>6.5</v>
      </c>
      <c r="Y1372" s="46">
        <f>IFERROR(IF(OR(C1372="AREA I",C1372="AREA V"),7,VLOOKUP(A1372,'[1]MC Masterlist 2026-09-12'!$B:$M, 12, 0)),0)</f>
        <v>7</v>
      </c>
      <c r="Z1372" s="46">
        <f t="shared" si="324"/>
        <v>0.5</v>
      </c>
      <c r="AA1372" s="46">
        <f t="shared" si="325"/>
        <v>1</v>
      </c>
      <c r="AB1372" s="46">
        <f t="shared" si="326"/>
        <v>0.21666666666666667</v>
      </c>
      <c r="AC1372" s="46">
        <f t="shared" si="327"/>
        <v>0.23333333333333334</v>
      </c>
      <c r="AD1372" s="44" t="str">
        <f t="shared" si="328"/>
        <v>Stockout</v>
      </c>
      <c r="AE1372" s="44" t="str">
        <f>IFERROR(VLOOKUP(A1372,'[1]Re-order'!$A:$AA,27,0),"")</f>
        <v>Stockout</v>
      </c>
      <c r="AF1372" s="46">
        <f t="shared" si="329"/>
        <v>0.23333333333333334</v>
      </c>
      <c r="AG1372" s="46">
        <f>SUMIFS('[1]Raw Inventory'!D:D,'[1]Raw Inventory'!C:C,"GREATWALL",'[1]Raw Inventory'!B:B,A1372)</f>
        <v>0</v>
      </c>
      <c r="AH1372" s="46">
        <f>SUMIFS('[1]Raw Inventory'!D:D,'[1]Raw Inventory'!C:C,"DUARTE",'[1]Raw Inventory'!B:B,A1372)</f>
        <v>0</v>
      </c>
      <c r="AI1372" s="46"/>
      <c r="AJ1372" s="46"/>
      <c r="AK1372" s="43"/>
      <c r="AL1372" s="43"/>
      <c r="AM1372" s="43"/>
      <c r="AN1372" s="43"/>
      <c r="AO1372" s="43"/>
      <c r="AP1372" s="43"/>
      <c r="AQ1372" s="43"/>
      <c r="AR1372" s="43"/>
      <c r="AS1372" s="43"/>
      <c r="AT1372" s="43"/>
    </row>
    <row r="1373" spans="1:46">
      <c r="A1373" s="43" t="s">
        <v>41</v>
      </c>
      <c r="B1373" s="43" t="s">
        <v>138</v>
      </c>
      <c r="C1373" s="43" t="s">
        <v>137</v>
      </c>
      <c r="D1373" s="44" t="s">
        <v>299</v>
      </c>
      <c r="E1373" s="44">
        <v>39</v>
      </c>
      <c r="F1373" s="44" t="s">
        <v>3</v>
      </c>
      <c r="G1373" s="43" t="str">
        <f>IFERROR(VLOOKUP(A1373,'[1]MC Masterlist 2026-09-12'!$B:$M, 3, 0),"")</f>
        <v>YAMAHA</v>
      </c>
      <c r="H1373" s="45">
        <f>IFERROR(VLOOKUP(A1373,'[1]MC Masterlist 2026-09-12'!$B:$M, 6, 0),"")</f>
        <v>92907</v>
      </c>
      <c r="I1373" s="46">
        <v>0</v>
      </c>
      <c r="J1373" s="46">
        <v>0</v>
      </c>
      <c r="K1373" s="46">
        <v>0</v>
      </c>
      <c r="L1373" s="46">
        <f t="shared" si="315"/>
        <v>0</v>
      </c>
      <c r="M1373" s="46">
        <f t="shared" si="316"/>
        <v>0</v>
      </c>
      <c r="N1373" s="45">
        <f t="shared" si="317"/>
        <v>0</v>
      </c>
      <c r="O1373" s="45">
        <f t="shared" si="318"/>
        <v>0</v>
      </c>
      <c r="P1373" s="46">
        <f t="shared" si="319"/>
        <v>0</v>
      </c>
      <c r="Q1373" s="46">
        <v>2</v>
      </c>
      <c r="R1373" s="45">
        <f t="shared" si="320"/>
        <v>185814</v>
      </c>
      <c r="S1373" s="46">
        <f t="shared" si="321"/>
        <v>0</v>
      </c>
      <c r="T1373" s="46">
        <f>IFERROR(VLOOKUP(A1373,'[1]Re-order'!$A:$Q,17,0),"")</f>
        <v>240</v>
      </c>
      <c r="U1373" s="46">
        <f>IFERROR(VLOOKUP(A1373,'[1]MC Masterlist 2026-09-12'!$B:$M, 10, 0),0)</f>
        <v>15</v>
      </c>
      <c r="V1373" s="46">
        <f>IFERROR(VLOOKUP(A1373,'[1]MC Masterlist 2026-09-12'!$B:$M, 11, 0),0)</f>
        <v>15</v>
      </c>
      <c r="W1373" s="46">
        <f t="shared" si="322"/>
        <v>30</v>
      </c>
      <c r="X1373" s="46">
        <f t="shared" si="323"/>
        <v>7</v>
      </c>
      <c r="Y1373" s="46">
        <f>IFERROR(IF(OR(C1373="AREA I",C1373="AREA V"),7,VLOOKUP(A1373,'[1]MC Masterlist 2026-09-12'!$B:$M, 12, 0)),0)</f>
        <v>7</v>
      </c>
      <c r="Z1373" s="46">
        <f t="shared" si="324"/>
        <v>0</v>
      </c>
      <c r="AA1373" s="46">
        <f t="shared" si="325"/>
        <v>0</v>
      </c>
      <c r="AB1373" s="46">
        <f t="shared" si="326"/>
        <v>0</v>
      </c>
      <c r="AC1373" s="46">
        <f t="shared" si="327"/>
        <v>0</v>
      </c>
      <c r="AD1373" s="44" t="str">
        <f t="shared" si="328"/>
        <v>Over</v>
      </c>
      <c r="AE1373" s="44" t="str">
        <f>IFERROR(VLOOKUP(A1373,'[1]Re-order'!$A:$AA,27,0),"")</f>
        <v>Over</v>
      </c>
      <c r="AF1373" s="46">
        <f t="shared" si="329"/>
        <v>-2</v>
      </c>
      <c r="AG1373" s="46">
        <f>SUMIFS('[1]Raw Inventory'!D:D,'[1]Raw Inventory'!C:C,"GREATWALL",'[1]Raw Inventory'!B:B,A1373)</f>
        <v>2</v>
      </c>
      <c r="AH1373" s="46">
        <f>SUMIFS('[1]Raw Inventory'!D:D,'[1]Raw Inventory'!C:C,"DUARTE",'[1]Raw Inventory'!B:B,A1373)</f>
        <v>0</v>
      </c>
      <c r="AI1373" s="46"/>
      <c r="AJ1373" s="46"/>
      <c r="AK1373" s="43"/>
      <c r="AL1373" s="43"/>
      <c r="AM1373" s="43"/>
      <c r="AN1373" s="43"/>
      <c r="AO1373" s="43"/>
      <c r="AP1373" s="43"/>
      <c r="AQ1373" s="43"/>
      <c r="AR1373" s="43"/>
      <c r="AS1373" s="43"/>
      <c r="AT1373" s="43"/>
    </row>
    <row r="1374" spans="1:46">
      <c r="A1374" s="43" t="s">
        <v>42</v>
      </c>
      <c r="B1374" s="43" t="s">
        <v>153</v>
      </c>
      <c r="C1374" s="43" t="s">
        <v>152</v>
      </c>
      <c r="D1374" s="44" t="s">
        <v>255</v>
      </c>
      <c r="E1374" s="44">
        <v>10</v>
      </c>
      <c r="F1374" s="44" t="s">
        <v>2</v>
      </c>
      <c r="G1374" s="43" t="str">
        <f>IFERROR(VLOOKUP(A1374,'[1]MC Masterlist 2026-09-12'!$B:$M, 3, 0),"")</f>
        <v>YAMAHA</v>
      </c>
      <c r="H1374" s="45">
        <f>IFERROR(VLOOKUP(A1374,'[1]MC Masterlist 2026-09-12'!$B:$M, 6, 0),"")</f>
        <v>152892</v>
      </c>
      <c r="I1374" s="46">
        <v>0</v>
      </c>
      <c r="J1374" s="46">
        <v>1</v>
      </c>
      <c r="K1374" s="46">
        <v>0</v>
      </c>
      <c r="L1374" s="46">
        <f t="shared" si="315"/>
        <v>1</v>
      </c>
      <c r="M1374" s="46">
        <f t="shared" si="316"/>
        <v>0.33333333333333331</v>
      </c>
      <c r="N1374" s="45">
        <f t="shared" si="317"/>
        <v>152892</v>
      </c>
      <c r="O1374" s="45">
        <f t="shared" si="318"/>
        <v>50964</v>
      </c>
      <c r="P1374" s="46">
        <f t="shared" si="319"/>
        <v>1.111111111111111E-2</v>
      </c>
      <c r="Q1374" s="46">
        <v>2</v>
      </c>
      <c r="R1374" s="45">
        <f t="shared" si="320"/>
        <v>305784</v>
      </c>
      <c r="S1374" s="46">
        <f t="shared" si="321"/>
        <v>180</v>
      </c>
      <c r="T1374" s="46">
        <f>IFERROR(VLOOKUP(A1374,'[1]Re-order'!$A:$Q,17,0),"")</f>
        <v>104.55882352941177</v>
      </c>
      <c r="U1374" s="46">
        <f>IFERROR(VLOOKUP(A1374,'[1]MC Masterlist 2026-09-12'!$B:$M, 10, 0),0)</f>
        <v>15</v>
      </c>
      <c r="V1374" s="46">
        <f>IFERROR(VLOOKUP(A1374,'[1]MC Masterlist 2026-09-12'!$B:$M, 11, 0),0)</f>
        <v>15</v>
      </c>
      <c r="W1374" s="46">
        <f t="shared" si="322"/>
        <v>30</v>
      </c>
      <c r="X1374" s="46">
        <f t="shared" si="323"/>
        <v>29.833333333333332</v>
      </c>
      <c r="Y1374" s="46">
        <f>IFERROR(IF(OR(C1374="AREA I",C1374="AREA V"),7,VLOOKUP(A1374,'[1]MC Masterlist 2026-09-12'!$B:$M, 12, 0)),0)</f>
        <v>30</v>
      </c>
      <c r="Z1374" s="46">
        <f t="shared" si="324"/>
        <v>0.16666666666666666</v>
      </c>
      <c r="AA1374" s="46">
        <f t="shared" si="325"/>
        <v>0.33333333333333331</v>
      </c>
      <c r="AB1374" s="46">
        <f t="shared" si="326"/>
        <v>0.33148148148148143</v>
      </c>
      <c r="AC1374" s="46">
        <f t="shared" si="327"/>
        <v>0.33333333333333331</v>
      </c>
      <c r="AD1374" s="44" t="str">
        <f t="shared" si="328"/>
        <v>Over</v>
      </c>
      <c r="AE1374" s="44" t="str">
        <f>IFERROR(VLOOKUP(A1374,'[1]Re-order'!$A:$AA,27,0),"")</f>
        <v>Over</v>
      </c>
      <c r="AF1374" s="46">
        <f t="shared" si="329"/>
        <v>-1.6666666666666667</v>
      </c>
      <c r="AG1374" s="46">
        <f>SUMIFS('[1]Raw Inventory'!D:D,'[1]Raw Inventory'!C:C,"GREATWALL",'[1]Raw Inventory'!B:B,A1374)</f>
        <v>3</v>
      </c>
      <c r="AH1374" s="46">
        <f>SUMIFS('[1]Raw Inventory'!D:D,'[1]Raw Inventory'!C:C,"DUARTE",'[1]Raw Inventory'!B:B,A1374)</f>
        <v>0</v>
      </c>
      <c r="AI1374" s="46"/>
      <c r="AJ1374" s="46"/>
      <c r="AK1374" s="43"/>
      <c r="AL1374" s="43"/>
      <c r="AM1374" s="43"/>
      <c r="AN1374" s="43"/>
      <c r="AO1374" s="43"/>
      <c r="AP1374" s="43"/>
      <c r="AQ1374" s="43"/>
      <c r="AR1374" s="43"/>
      <c r="AS1374" s="43"/>
      <c r="AT1374" s="43"/>
    </row>
    <row r="1375" spans="1:46">
      <c r="A1375" s="43" t="s">
        <v>70</v>
      </c>
      <c r="B1375" s="43" t="s">
        <v>130</v>
      </c>
      <c r="C1375" s="43" t="s">
        <v>128</v>
      </c>
      <c r="D1375" s="44" t="s">
        <v>246</v>
      </c>
      <c r="E1375" s="44">
        <v>14</v>
      </c>
      <c r="F1375" s="44" t="s">
        <v>2</v>
      </c>
      <c r="G1375" s="43" t="str">
        <f>IFERROR(VLOOKUP(A1375,'[1]MC Masterlist 2026-09-12'!$B:$M, 3, 0),"")</f>
        <v>KAWASAKI</v>
      </c>
      <c r="H1375" s="45">
        <f>IFERROR(VLOOKUP(A1375,'[1]MC Masterlist 2026-09-12'!$B:$M, 6, 0),"")</f>
        <v>91770</v>
      </c>
      <c r="I1375" s="46">
        <v>1</v>
      </c>
      <c r="J1375" s="46">
        <v>2</v>
      </c>
      <c r="K1375" s="46">
        <v>1</v>
      </c>
      <c r="L1375" s="46">
        <f t="shared" si="315"/>
        <v>4</v>
      </c>
      <c r="M1375" s="46">
        <f t="shared" si="316"/>
        <v>1.3333333333333333</v>
      </c>
      <c r="N1375" s="45">
        <f t="shared" si="317"/>
        <v>367080</v>
      </c>
      <c r="O1375" s="45">
        <f t="shared" si="318"/>
        <v>122360</v>
      </c>
      <c r="P1375" s="46">
        <f t="shared" si="319"/>
        <v>4.4444444444444439E-2</v>
      </c>
      <c r="Q1375" s="46">
        <v>6</v>
      </c>
      <c r="R1375" s="45">
        <f t="shared" si="320"/>
        <v>550620</v>
      </c>
      <c r="S1375" s="46">
        <f t="shared" si="321"/>
        <v>135</v>
      </c>
      <c r="T1375" s="46">
        <f>IFERROR(VLOOKUP(A1375,'[1]Re-order'!$A:$Q,17,0),"")</f>
        <v>255</v>
      </c>
      <c r="U1375" s="46">
        <f>IFERROR(VLOOKUP(A1375,'[1]MC Masterlist 2026-09-12'!$B:$M, 10, 0),0)</f>
        <v>15</v>
      </c>
      <c r="V1375" s="46">
        <f>IFERROR(VLOOKUP(A1375,'[1]MC Masterlist 2026-09-12'!$B:$M, 11, 0),0)</f>
        <v>15</v>
      </c>
      <c r="W1375" s="46">
        <f t="shared" si="322"/>
        <v>30</v>
      </c>
      <c r="X1375" s="46">
        <f t="shared" si="323"/>
        <v>29.333333333333332</v>
      </c>
      <c r="Y1375" s="46">
        <f>IFERROR(IF(OR(C1375="AREA I",C1375="AREA V"),7,VLOOKUP(A1375,'[1]MC Masterlist 2026-09-12'!$B:$M, 12, 0)),0)</f>
        <v>30</v>
      </c>
      <c r="Z1375" s="46">
        <f t="shared" si="324"/>
        <v>0.66666666666666663</v>
      </c>
      <c r="AA1375" s="46">
        <f t="shared" si="325"/>
        <v>1.3333333333333333</v>
      </c>
      <c r="AB1375" s="46">
        <f t="shared" si="326"/>
        <v>1.3037037037037036</v>
      </c>
      <c r="AC1375" s="46">
        <f t="shared" si="327"/>
        <v>1.3333333333333333</v>
      </c>
      <c r="AD1375" s="44" t="str">
        <f t="shared" si="328"/>
        <v>Over</v>
      </c>
      <c r="AE1375" s="44" t="str">
        <f>IFERROR(VLOOKUP(A1375,'[1]Re-order'!$A:$AA,27,0),"")</f>
        <v>Over</v>
      </c>
      <c r="AF1375" s="46">
        <f t="shared" si="329"/>
        <v>-4.666666666666667</v>
      </c>
      <c r="AG1375" s="46">
        <f>SUMIFS('[1]Raw Inventory'!D:D,'[1]Raw Inventory'!C:C,"GREATWALL",'[1]Raw Inventory'!B:B,A1375)</f>
        <v>4</v>
      </c>
      <c r="AH1375" s="46">
        <f>SUMIFS('[1]Raw Inventory'!D:D,'[1]Raw Inventory'!C:C,"DUARTE",'[1]Raw Inventory'!B:B,A1375)</f>
        <v>0</v>
      </c>
      <c r="AI1375" s="46"/>
      <c r="AJ1375" s="46"/>
      <c r="AK1375" s="43"/>
      <c r="AL1375" s="43"/>
      <c r="AM1375" s="43"/>
      <c r="AN1375" s="43"/>
      <c r="AO1375" s="43"/>
      <c r="AP1375" s="43"/>
      <c r="AQ1375" s="43"/>
      <c r="AR1375" s="43"/>
      <c r="AS1375" s="43"/>
      <c r="AT1375" s="43"/>
    </row>
    <row r="1376" spans="1:46">
      <c r="A1376" s="43" t="s">
        <v>86</v>
      </c>
      <c r="B1376" s="43" t="s">
        <v>110</v>
      </c>
      <c r="C1376" s="43" t="s">
        <v>109</v>
      </c>
      <c r="D1376" s="44" t="s">
        <v>253</v>
      </c>
      <c r="E1376" s="44">
        <v>30</v>
      </c>
      <c r="F1376" s="44" t="s">
        <v>3</v>
      </c>
      <c r="G1376" s="43" t="str">
        <f>IFERROR(VLOOKUP(A1376,'[1]MC Masterlist 2026-09-12'!$B:$M, 3, 0),"")</f>
        <v>KAWASAKI</v>
      </c>
      <c r="H1376" s="45">
        <f>IFERROR(VLOOKUP(A1376,'[1]MC Masterlist 2026-09-12'!$B:$M, 6, 0),"")</f>
        <v>72500</v>
      </c>
      <c r="I1376" s="46">
        <v>0</v>
      </c>
      <c r="J1376" s="46">
        <v>0</v>
      </c>
      <c r="K1376" s="46">
        <v>0</v>
      </c>
      <c r="L1376" s="46">
        <f t="shared" si="315"/>
        <v>0</v>
      </c>
      <c r="M1376" s="46">
        <f t="shared" si="316"/>
        <v>0</v>
      </c>
      <c r="N1376" s="45">
        <f t="shared" si="317"/>
        <v>0</v>
      </c>
      <c r="O1376" s="45">
        <f t="shared" si="318"/>
        <v>0</v>
      </c>
      <c r="P1376" s="46">
        <f t="shared" si="319"/>
        <v>0</v>
      </c>
      <c r="Q1376" s="46">
        <v>2</v>
      </c>
      <c r="R1376" s="45">
        <f t="shared" si="320"/>
        <v>145000</v>
      </c>
      <c r="S1376" s="46">
        <f t="shared" si="321"/>
        <v>0</v>
      </c>
      <c r="T1376" s="46">
        <f>IFERROR(VLOOKUP(A1376,'[1]Re-order'!$A:$Q,17,0),"")</f>
        <v>150</v>
      </c>
      <c r="U1376" s="46">
        <f>IFERROR(VLOOKUP(A1376,'[1]MC Masterlist 2026-09-12'!$B:$M, 10, 0),0)</f>
        <v>15</v>
      </c>
      <c r="V1376" s="46">
        <f>IFERROR(VLOOKUP(A1376,'[1]MC Masterlist 2026-09-12'!$B:$M, 11, 0),0)</f>
        <v>15</v>
      </c>
      <c r="W1376" s="46">
        <f t="shared" si="322"/>
        <v>30</v>
      </c>
      <c r="X1376" s="46">
        <f t="shared" si="323"/>
        <v>30</v>
      </c>
      <c r="Y1376" s="46">
        <f>IFERROR(IF(OR(C1376="AREA I",C1376="AREA V"),7,VLOOKUP(A1376,'[1]MC Masterlist 2026-09-12'!$B:$M, 12, 0)),0)</f>
        <v>30</v>
      </c>
      <c r="Z1376" s="46">
        <f t="shared" si="324"/>
        <v>0</v>
      </c>
      <c r="AA1376" s="46">
        <f t="shared" si="325"/>
        <v>0</v>
      </c>
      <c r="AB1376" s="46">
        <f t="shared" si="326"/>
        <v>0</v>
      </c>
      <c r="AC1376" s="46">
        <f t="shared" si="327"/>
        <v>0</v>
      </c>
      <c r="AD1376" s="44" t="str">
        <f t="shared" si="328"/>
        <v>Over</v>
      </c>
      <c r="AE1376" s="44" t="str">
        <f>IFERROR(VLOOKUP(A1376,'[1]Re-order'!$A:$AA,27,0),"")</f>
        <v>Over</v>
      </c>
      <c r="AF1376" s="46">
        <f t="shared" si="329"/>
        <v>-2</v>
      </c>
      <c r="AG1376" s="46">
        <f>SUMIFS('[1]Raw Inventory'!D:D,'[1]Raw Inventory'!C:C,"GREATWALL",'[1]Raw Inventory'!B:B,A1376)</f>
        <v>0</v>
      </c>
      <c r="AH1376" s="46">
        <f>SUMIFS('[1]Raw Inventory'!D:D,'[1]Raw Inventory'!C:C,"DUARTE",'[1]Raw Inventory'!B:B,A1376)</f>
        <v>0</v>
      </c>
      <c r="AI1376" s="46"/>
      <c r="AJ1376" s="46"/>
      <c r="AK1376" s="43"/>
      <c r="AL1376" s="43"/>
      <c r="AM1376" s="43"/>
      <c r="AN1376" s="43"/>
      <c r="AO1376" s="43"/>
      <c r="AP1376" s="43"/>
      <c r="AQ1376" s="43"/>
      <c r="AR1376" s="43"/>
      <c r="AS1376" s="43"/>
      <c r="AT1376" s="43"/>
    </row>
    <row r="1377" spans="1:46">
      <c r="A1377" s="43" t="s">
        <v>12</v>
      </c>
      <c r="B1377" s="43" t="s">
        <v>11</v>
      </c>
      <c r="C1377" s="43" t="s">
        <v>1</v>
      </c>
      <c r="D1377" s="44" t="s">
        <v>225</v>
      </c>
      <c r="E1377" s="44">
        <v>3</v>
      </c>
      <c r="F1377" s="44" t="s">
        <v>0</v>
      </c>
      <c r="G1377" s="43" t="str">
        <f>IFERROR(VLOOKUP(A1377,'[1]MC Masterlist 2026-09-12'!$B:$M, 3, 0),"")</f>
        <v>HONDA</v>
      </c>
      <c r="H1377" s="45">
        <f>IFERROR(VLOOKUP(A1377,'[1]MC Masterlist 2026-09-12'!$B:$M, 6, 0),"")</f>
        <v>158270</v>
      </c>
      <c r="I1377" s="46">
        <v>6</v>
      </c>
      <c r="J1377" s="46">
        <v>8</v>
      </c>
      <c r="K1377" s="46">
        <v>4</v>
      </c>
      <c r="L1377" s="46">
        <f t="shared" si="315"/>
        <v>18</v>
      </c>
      <c r="M1377" s="46">
        <f t="shared" si="316"/>
        <v>6</v>
      </c>
      <c r="N1377" s="45">
        <f t="shared" si="317"/>
        <v>2848860</v>
      </c>
      <c r="O1377" s="45">
        <f t="shared" si="318"/>
        <v>949620</v>
      </c>
      <c r="P1377" s="46">
        <f t="shared" si="319"/>
        <v>0.2</v>
      </c>
      <c r="Q1377" s="46">
        <v>3</v>
      </c>
      <c r="R1377" s="45">
        <f t="shared" si="320"/>
        <v>474810</v>
      </c>
      <c r="S1377" s="46">
        <f t="shared" si="321"/>
        <v>15</v>
      </c>
      <c r="T1377" s="46">
        <f>IFERROR(VLOOKUP(A1377,'[1]Re-order'!$A:$Q,17,0),"")</f>
        <v>46.461038961038959</v>
      </c>
      <c r="U1377" s="46">
        <f>IFERROR(VLOOKUP(A1377,'[1]MC Masterlist 2026-09-12'!$B:$M, 10, 0),0)</f>
        <v>15</v>
      </c>
      <c r="V1377" s="46">
        <f>IFERROR(VLOOKUP(A1377,'[1]MC Masterlist 2026-09-12'!$B:$M, 11, 0),0)</f>
        <v>15</v>
      </c>
      <c r="W1377" s="46">
        <f t="shared" si="322"/>
        <v>30</v>
      </c>
      <c r="X1377" s="46">
        <f t="shared" si="323"/>
        <v>4</v>
      </c>
      <c r="Y1377" s="46">
        <f>IFERROR(IF(OR(C1377="AREA I",C1377="AREA V"),7,VLOOKUP(A1377,'[1]MC Masterlist 2026-09-12'!$B:$M, 12, 0)),0)</f>
        <v>7</v>
      </c>
      <c r="Z1377" s="46">
        <f t="shared" si="324"/>
        <v>3</v>
      </c>
      <c r="AA1377" s="46">
        <f t="shared" si="325"/>
        <v>6</v>
      </c>
      <c r="AB1377" s="46">
        <f t="shared" si="326"/>
        <v>0.8</v>
      </c>
      <c r="AC1377" s="46">
        <f t="shared" si="327"/>
        <v>1.4000000000000001</v>
      </c>
      <c r="AD1377" s="44" t="str">
        <f t="shared" si="328"/>
        <v>Over</v>
      </c>
      <c r="AE1377" s="44" t="str">
        <f>IFERROR(VLOOKUP(A1377,'[1]Re-order'!$A:$AA,27,0),"")</f>
        <v>Re-order</v>
      </c>
      <c r="AF1377" s="46">
        <f t="shared" si="329"/>
        <v>-1.5999999999999999</v>
      </c>
      <c r="AG1377" s="46">
        <f>SUMIFS('[1]Raw Inventory'!D:D,'[1]Raw Inventory'!C:C,"GREATWALL",'[1]Raw Inventory'!B:B,A1377)</f>
        <v>35</v>
      </c>
      <c r="AH1377" s="46">
        <f>SUMIFS('[1]Raw Inventory'!D:D,'[1]Raw Inventory'!C:C,"DUARTE",'[1]Raw Inventory'!B:B,A1377)</f>
        <v>0</v>
      </c>
      <c r="AI1377" s="46"/>
      <c r="AJ1377" s="46"/>
      <c r="AK1377" s="43"/>
      <c r="AL1377" s="43"/>
      <c r="AM1377" s="43"/>
      <c r="AN1377" s="43"/>
      <c r="AO1377" s="43"/>
      <c r="AP1377" s="43"/>
      <c r="AQ1377" s="43"/>
      <c r="AR1377" s="43"/>
      <c r="AS1377" s="43"/>
      <c r="AT1377" s="43"/>
    </row>
    <row r="1378" spans="1:46">
      <c r="A1378" s="43" t="s">
        <v>14</v>
      </c>
      <c r="B1378" s="43" t="s">
        <v>27</v>
      </c>
      <c r="C1378" s="43" t="s">
        <v>1</v>
      </c>
      <c r="D1378" s="44" t="s">
        <v>238</v>
      </c>
      <c r="E1378" s="44">
        <v>2</v>
      </c>
      <c r="F1378" s="44" t="s">
        <v>0</v>
      </c>
      <c r="G1378" s="43" t="str">
        <f>IFERROR(VLOOKUP(A1378,'[1]MC Masterlist 2026-09-12'!$B:$M, 3, 0),"")</f>
        <v>HONDA</v>
      </c>
      <c r="H1378" s="45">
        <f>IFERROR(VLOOKUP(A1378,'[1]MC Masterlist 2026-09-12'!$B:$M, 6, 0),"")</f>
        <v>80070</v>
      </c>
      <c r="I1378" s="46">
        <v>8</v>
      </c>
      <c r="J1378" s="46">
        <v>21</v>
      </c>
      <c r="K1378" s="46">
        <v>10</v>
      </c>
      <c r="L1378" s="46">
        <f t="shared" si="315"/>
        <v>39</v>
      </c>
      <c r="M1378" s="46">
        <f t="shared" si="316"/>
        <v>13</v>
      </c>
      <c r="N1378" s="45">
        <f t="shared" si="317"/>
        <v>3122730</v>
      </c>
      <c r="O1378" s="45">
        <f t="shared" si="318"/>
        <v>1040910</v>
      </c>
      <c r="P1378" s="46">
        <f t="shared" si="319"/>
        <v>0.43333333333333335</v>
      </c>
      <c r="Q1378" s="46">
        <v>10</v>
      </c>
      <c r="R1378" s="45">
        <f t="shared" si="320"/>
        <v>800700</v>
      </c>
      <c r="S1378" s="46">
        <f t="shared" si="321"/>
        <v>23.076923076923077</v>
      </c>
      <c r="T1378" s="46">
        <f>IFERROR(VLOOKUP(A1378,'[1]Re-order'!$A:$Q,17,0),"")</f>
        <v>20.105787181082761</v>
      </c>
      <c r="U1378" s="46">
        <f>IFERROR(VLOOKUP(A1378,'[1]MC Masterlist 2026-09-12'!$B:$M, 10, 0),0)</f>
        <v>15</v>
      </c>
      <c r="V1378" s="46">
        <f>IFERROR(VLOOKUP(A1378,'[1]MC Masterlist 2026-09-12'!$B:$M, 11, 0),0)</f>
        <v>15</v>
      </c>
      <c r="W1378" s="46">
        <f t="shared" si="322"/>
        <v>30</v>
      </c>
      <c r="X1378" s="46">
        <f t="shared" si="323"/>
        <v>0.5</v>
      </c>
      <c r="Y1378" s="46">
        <f>IFERROR(IF(OR(C1378="AREA I",C1378="AREA V"),7,VLOOKUP(A1378,'[1]MC Masterlist 2026-09-12'!$B:$M, 12, 0)),0)</f>
        <v>7</v>
      </c>
      <c r="Z1378" s="46">
        <f t="shared" si="324"/>
        <v>6.5</v>
      </c>
      <c r="AA1378" s="46">
        <f t="shared" si="325"/>
        <v>13</v>
      </c>
      <c r="AB1378" s="46">
        <f t="shared" si="326"/>
        <v>0.21666666666666667</v>
      </c>
      <c r="AC1378" s="46">
        <f t="shared" si="327"/>
        <v>3.0333333333333332</v>
      </c>
      <c r="AD1378" s="44" t="str">
        <f t="shared" si="328"/>
        <v>Over</v>
      </c>
      <c r="AE1378" s="44" t="str">
        <f>IFERROR(VLOOKUP(A1378,'[1]Re-order'!$A:$AA,27,0),"")</f>
        <v>Stockout</v>
      </c>
      <c r="AF1378" s="46">
        <f t="shared" si="329"/>
        <v>-6.9666666666666668</v>
      </c>
      <c r="AG1378" s="46">
        <f>SUMIFS('[1]Raw Inventory'!D:D,'[1]Raw Inventory'!C:C,"GREATWALL",'[1]Raw Inventory'!B:B,A1378)</f>
        <v>176</v>
      </c>
      <c r="AH1378" s="46">
        <f>SUMIFS('[1]Raw Inventory'!D:D,'[1]Raw Inventory'!C:C,"DUARTE",'[1]Raw Inventory'!B:B,A1378)</f>
        <v>0</v>
      </c>
      <c r="AI1378" s="46"/>
      <c r="AJ1378" s="46"/>
      <c r="AK1378" s="43"/>
      <c r="AL1378" s="43"/>
      <c r="AM1378" s="43"/>
      <c r="AN1378" s="43"/>
      <c r="AO1378" s="43"/>
      <c r="AP1378" s="43"/>
      <c r="AQ1378" s="43"/>
      <c r="AR1378" s="43"/>
      <c r="AS1378" s="43"/>
      <c r="AT1378" s="43"/>
    </row>
    <row r="1379" spans="1:46">
      <c r="A1379" s="43" t="s">
        <v>16</v>
      </c>
      <c r="B1379" s="43" t="s">
        <v>139</v>
      </c>
      <c r="C1379" s="43" t="s">
        <v>137</v>
      </c>
      <c r="D1379" s="44" t="s">
        <v>238</v>
      </c>
      <c r="E1379" s="44">
        <v>2</v>
      </c>
      <c r="F1379" s="44" t="s">
        <v>0</v>
      </c>
      <c r="G1379" s="43" t="str">
        <f>IFERROR(VLOOKUP(A1379,'[1]MC Masterlist 2026-09-12'!$B:$M, 3, 0),"")</f>
        <v>HONDA</v>
      </c>
      <c r="H1379" s="45">
        <f>IFERROR(VLOOKUP(A1379,'[1]MC Masterlist 2026-09-12'!$B:$M, 6, 0),"")</f>
        <v>84394</v>
      </c>
      <c r="I1379" s="46">
        <v>10</v>
      </c>
      <c r="J1379" s="46">
        <v>16</v>
      </c>
      <c r="K1379" s="46">
        <v>17</v>
      </c>
      <c r="L1379" s="46">
        <f t="shared" si="315"/>
        <v>43</v>
      </c>
      <c r="M1379" s="46">
        <f t="shared" si="316"/>
        <v>14.333333333333334</v>
      </c>
      <c r="N1379" s="45">
        <f t="shared" si="317"/>
        <v>3628942</v>
      </c>
      <c r="O1379" s="45">
        <f t="shared" si="318"/>
        <v>1209647.3333333335</v>
      </c>
      <c r="P1379" s="46">
        <f t="shared" si="319"/>
        <v>0.4777777777777778</v>
      </c>
      <c r="Q1379" s="46">
        <v>4</v>
      </c>
      <c r="R1379" s="45">
        <f t="shared" si="320"/>
        <v>337576</v>
      </c>
      <c r="S1379" s="46">
        <f t="shared" si="321"/>
        <v>8.3720930232558128</v>
      </c>
      <c r="T1379" s="46">
        <f>IFERROR(VLOOKUP(A1379,'[1]Re-order'!$A:$Q,17,0),"")</f>
        <v>26.332665330661321</v>
      </c>
      <c r="U1379" s="46">
        <f>IFERROR(VLOOKUP(A1379,'[1]MC Masterlist 2026-09-12'!$B:$M, 10, 0),0)</f>
        <v>15</v>
      </c>
      <c r="V1379" s="46">
        <f>IFERROR(VLOOKUP(A1379,'[1]MC Masterlist 2026-09-12'!$B:$M, 11, 0),0)</f>
        <v>15</v>
      </c>
      <c r="W1379" s="46">
        <f t="shared" si="322"/>
        <v>30</v>
      </c>
      <c r="X1379" s="46">
        <f t="shared" si="323"/>
        <v>-0.16666666666666696</v>
      </c>
      <c r="Y1379" s="46">
        <f>IFERROR(IF(OR(C1379="AREA I",C1379="AREA V"),7,VLOOKUP(A1379,'[1]MC Masterlist 2026-09-12'!$B:$M, 12, 0)),0)</f>
        <v>7</v>
      </c>
      <c r="Z1379" s="46">
        <f t="shared" si="324"/>
        <v>7.166666666666667</v>
      </c>
      <c r="AA1379" s="46">
        <f t="shared" si="325"/>
        <v>14.333333333333334</v>
      </c>
      <c r="AB1379" s="46">
        <f t="shared" si="326"/>
        <v>-7.9629629629629772E-2</v>
      </c>
      <c r="AC1379" s="46">
        <f t="shared" si="327"/>
        <v>3.3444444444444446</v>
      </c>
      <c r="AD1379" s="44" t="str">
        <f t="shared" si="328"/>
        <v>Over</v>
      </c>
      <c r="AE1379" s="44" t="str">
        <f>IFERROR(VLOOKUP(A1379,'[1]Re-order'!$A:$AA,27,0),"")</f>
        <v>Stockout</v>
      </c>
      <c r="AF1379" s="46">
        <f t="shared" si="329"/>
        <v>-0.65555555555555545</v>
      </c>
      <c r="AG1379" s="46">
        <f>SUMIFS('[1]Raw Inventory'!D:D,'[1]Raw Inventory'!C:C,"GREATWALL",'[1]Raw Inventory'!B:B,A1379)</f>
        <v>58</v>
      </c>
      <c r="AH1379" s="46">
        <f>SUMIFS('[1]Raw Inventory'!D:D,'[1]Raw Inventory'!C:C,"DUARTE",'[1]Raw Inventory'!B:B,A1379)</f>
        <v>0</v>
      </c>
      <c r="AI1379" s="46"/>
      <c r="AJ1379" s="46"/>
      <c r="AK1379" s="43"/>
      <c r="AL1379" s="43"/>
      <c r="AM1379" s="43"/>
      <c r="AN1379" s="43"/>
      <c r="AO1379" s="43"/>
      <c r="AP1379" s="43"/>
      <c r="AQ1379" s="43"/>
      <c r="AR1379" s="43"/>
      <c r="AS1379" s="43"/>
      <c r="AT1379" s="43"/>
    </row>
    <row r="1380" spans="1:46">
      <c r="A1380" s="43" t="s">
        <v>76</v>
      </c>
      <c r="B1380" s="43" t="s">
        <v>119</v>
      </c>
      <c r="C1380" s="43" t="s">
        <v>118</v>
      </c>
      <c r="D1380" s="44" t="s">
        <v>232</v>
      </c>
      <c r="E1380" s="44">
        <v>35</v>
      </c>
      <c r="F1380" s="44" t="s">
        <v>3</v>
      </c>
      <c r="G1380" s="43" t="str">
        <f>IFERROR(VLOOKUP(A1380,'[1]MC Masterlist 2026-09-12'!$B:$M, 3, 0),"")</f>
        <v>SUZUKI</v>
      </c>
      <c r="H1380" s="45">
        <f>IFERROR(VLOOKUP(A1380,'[1]MC Masterlist 2026-09-12'!$B:$M, 6, 0),"")</f>
        <v>62692</v>
      </c>
      <c r="I1380" s="46">
        <v>0</v>
      </c>
      <c r="J1380" s="46">
        <v>0</v>
      </c>
      <c r="K1380" s="46">
        <v>0</v>
      </c>
      <c r="L1380" s="46">
        <f t="shared" si="315"/>
        <v>0</v>
      </c>
      <c r="M1380" s="46">
        <f t="shared" si="316"/>
        <v>0</v>
      </c>
      <c r="N1380" s="45">
        <f t="shared" si="317"/>
        <v>0</v>
      </c>
      <c r="O1380" s="45">
        <f t="shared" si="318"/>
        <v>0</v>
      </c>
      <c r="P1380" s="46">
        <f t="shared" si="319"/>
        <v>0</v>
      </c>
      <c r="Q1380" s="46">
        <v>1</v>
      </c>
      <c r="R1380" s="45">
        <f t="shared" si="320"/>
        <v>62692</v>
      </c>
      <c r="S1380" s="46">
        <f t="shared" si="321"/>
        <v>0</v>
      </c>
      <c r="T1380" s="46">
        <f>IFERROR(VLOOKUP(A1380,'[1]Re-order'!$A:$Q,17,0),"")</f>
        <v>106.36363636363636</v>
      </c>
      <c r="U1380" s="46">
        <f>IFERROR(VLOOKUP(A1380,'[1]MC Masterlist 2026-09-12'!$B:$M, 10, 0),0)</f>
        <v>15</v>
      </c>
      <c r="V1380" s="46">
        <f>IFERROR(VLOOKUP(A1380,'[1]MC Masterlist 2026-09-12'!$B:$M, 11, 0),0)</f>
        <v>15</v>
      </c>
      <c r="W1380" s="46">
        <f t="shared" si="322"/>
        <v>30</v>
      </c>
      <c r="X1380" s="46">
        <f t="shared" si="323"/>
        <v>30</v>
      </c>
      <c r="Y1380" s="46">
        <f>IFERROR(IF(OR(C1380="AREA I",C1380="AREA V"),7,VLOOKUP(A1380,'[1]MC Masterlist 2026-09-12'!$B:$M, 12, 0)),0)</f>
        <v>30</v>
      </c>
      <c r="Z1380" s="46">
        <f t="shared" si="324"/>
        <v>0</v>
      </c>
      <c r="AA1380" s="46">
        <f t="shared" si="325"/>
        <v>0</v>
      </c>
      <c r="AB1380" s="46">
        <f t="shared" si="326"/>
        <v>0</v>
      </c>
      <c r="AC1380" s="46">
        <f t="shared" si="327"/>
        <v>0</v>
      </c>
      <c r="AD1380" s="44" t="str">
        <f t="shared" si="328"/>
        <v>Over</v>
      </c>
      <c r="AE1380" s="44" t="str">
        <f>IFERROR(VLOOKUP(A1380,'[1]Re-order'!$A:$AA,27,0),"")</f>
        <v>Over</v>
      </c>
      <c r="AF1380" s="46">
        <f t="shared" si="329"/>
        <v>-1</v>
      </c>
      <c r="AG1380" s="46">
        <f>SUMIFS('[1]Raw Inventory'!D:D,'[1]Raw Inventory'!C:C,"GREATWALL",'[1]Raw Inventory'!B:B,A1380)</f>
        <v>1</v>
      </c>
      <c r="AH1380" s="46">
        <f>SUMIFS('[1]Raw Inventory'!D:D,'[1]Raw Inventory'!C:C,"DUARTE",'[1]Raw Inventory'!B:B,A1380)</f>
        <v>0</v>
      </c>
      <c r="AI1380" s="46"/>
      <c r="AJ1380" s="46"/>
      <c r="AK1380" s="43"/>
      <c r="AL1380" s="43"/>
      <c r="AM1380" s="43"/>
      <c r="AN1380" s="43"/>
      <c r="AO1380" s="43"/>
      <c r="AP1380" s="43"/>
      <c r="AQ1380" s="43"/>
      <c r="AR1380" s="43"/>
      <c r="AS1380" s="43"/>
      <c r="AT1380" s="43"/>
    </row>
    <row r="1381" spans="1:46">
      <c r="A1381" s="43" t="s">
        <v>49</v>
      </c>
      <c r="B1381" s="43" t="s">
        <v>153</v>
      </c>
      <c r="C1381" s="43" t="s">
        <v>152</v>
      </c>
      <c r="D1381" s="44" t="s">
        <v>227</v>
      </c>
      <c r="E1381" s="44">
        <v>1</v>
      </c>
      <c r="F1381" s="44" t="s">
        <v>0</v>
      </c>
      <c r="G1381" s="43" t="str">
        <f>IFERROR(VLOOKUP(A1381,'[1]MC Masterlist 2026-09-12'!$B:$M, 3, 0),"")</f>
        <v>BAJAJ RE</v>
      </c>
      <c r="H1381" s="45">
        <f>IFERROR(VLOOKUP(A1381,'[1]MC Masterlist 2026-09-12'!$B:$M, 6, 0),"")</f>
        <v>191000</v>
      </c>
      <c r="I1381" s="46">
        <v>5</v>
      </c>
      <c r="J1381" s="46">
        <v>7</v>
      </c>
      <c r="K1381" s="46">
        <v>3</v>
      </c>
      <c r="L1381" s="46">
        <f t="shared" si="315"/>
        <v>15</v>
      </c>
      <c r="M1381" s="46">
        <f t="shared" si="316"/>
        <v>5</v>
      </c>
      <c r="N1381" s="45">
        <f t="shared" si="317"/>
        <v>2865000</v>
      </c>
      <c r="O1381" s="45">
        <f t="shared" si="318"/>
        <v>955000</v>
      </c>
      <c r="P1381" s="46">
        <f t="shared" si="319"/>
        <v>0.16666666666666666</v>
      </c>
      <c r="Q1381" s="46">
        <v>4</v>
      </c>
      <c r="R1381" s="45">
        <f t="shared" si="320"/>
        <v>764000</v>
      </c>
      <c r="S1381" s="46">
        <f t="shared" si="321"/>
        <v>24</v>
      </c>
      <c r="T1381" s="46">
        <f>IFERROR(VLOOKUP(A1381,'[1]Re-order'!$A:$Q,17,0),"")</f>
        <v>21.516709511568124</v>
      </c>
      <c r="U1381" s="46">
        <f>IFERROR(VLOOKUP(A1381,'[1]MC Masterlist 2026-09-12'!$B:$M, 10, 0),0)</f>
        <v>15</v>
      </c>
      <c r="V1381" s="46">
        <f>IFERROR(VLOOKUP(A1381,'[1]MC Masterlist 2026-09-12'!$B:$M, 11, 0),0)</f>
        <v>15</v>
      </c>
      <c r="W1381" s="46">
        <f t="shared" si="322"/>
        <v>30</v>
      </c>
      <c r="X1381" s="46">
        <f t="shared" si="323"/>
        <v>27.5</v>
      </c>
      <c r="Y1381" s="46">
        <f>IFERROR(IF(OR(C1381="AREA I",C1381="AREA V"),7,VLOOKUP(A1381,'[1]MC Masterlist 2026-09-12'!$B:$M, 12, 0)),0)</f>
        <v>30</v>
      </c>
      <c r="Z1381" s="46">
        <f t="shared" si="324"/>
        <v>2.5</v>
      </c>
      <c r="AA1381" s="46">
        <f t="shared" si="325"/>
        <v>5</v>
      </c>
      <c r="AB1381" s="46">
        <f t="shared" si="326"/>
        <v>4.583333333333333</v>
      </c>
      <c r="AC1381" s="46">
        <f t="shared" si="327"/>
        <v>5</v>
      </c>
      <c r="AD1381" s="44" t="str">
        <f t="shared" si="328"/>
        <v>Re-order</v>
      </c>
      <c r="AE1381" s="44" t="str">
        <f>IFERROR(VLOOKUP(A1381,'[1]Re-order'!$A:$AA,27,0),"")</f>
        <v>Stockout</v>
      </c>
      <c r="AF1381" s="46">
        <f t="shared" si="329"/>
        <v>1</v>
      </c>
      <c r="AG1381" s="46">
        <f>SUMIFS('[1]Raw Inventory'!D:D,'[1]Raw Inventory'!C:C,"GREATWALL",'[1]Raw Inventory'!B:B,A1381)</f>
        <v>0</v>
      </c>
      <c r="AH1381" s="46">
        <f>SUMIFS('[1]Raw Inventory'!D:D,'[1]Raw Inventory'!C:C,"DUARTE",'[1]Raw Inventory'!B:B,A1381)</f>
        <v>0</v>
      </c>
      <c r="AI1381" s="46"/>
      <c r="AJ1381" s="46"/>
      <c r="AK1381" s="43"/>
      <c r="AL1381" s="43"/>
      <c r="AM1381" s="43"/>
      <c r="AN1381" s="43"/>
      <c r="AO1381" s="43"/>
      <c r="AP1381" s="43"/>
      <c r="AQ1381" s="43"/>
      <c r="AR1381" s="43"/>
      <c r="AS1381" s="43"/>
      <c r="AT1381" s="43"/>
    </row>
    <row r="1382" spans="1:46">
      <c r="A1382" s="43" t="s">
        <v>34</v>
      </c>
      <c r="B1382" s="43" t="s">
        <v>19</v>
      </c>
      <c r="C1382" s="43" t="s">
        <v>1</v>
      </c>
      <c r="D1382" s="44" t="s">
        <v>240</v>
      </c>
      <c r="E1382" s="44">
        <v>10</v>
      </c>
      <c r="F1382" s="44" t="s">
        <v>2</v>
      </c>
      <c r="G1382" s="43" t="str">
        <f>IFERROR(VLOOKUP(A1382,'[1]MC Masterlist 2026-09-12'!$B:$M, 3, 0),"")</f>
        <v>HONDA</v>
      </c>
      <c r="H1382" s="45">
        <f>IFERROR(VLOOKUP(A1382,'[1]MC Masterlist 2026-09-12'!$B:$M, 6, 0),"")</f>
        <v>101230</v>
      </c>
      <c r="I1382" s="46">
        <v>3</v>
      </c>
      <c r="J1382" s="46">
        <v>2</v>
      </c>
      <c r="K1382" s="46">
        <v>1</v>
      </c>
      <c r="L1382" s="46">
        <f t="shared" si="315"/>
        <v>6</v>
      </c>
      <c r="M1382" s="46">
        <f t="shared" si="316"/>
        <v>2</v>
      </c>
      <c r="N1382" s="45">
        <f t="shared" si="317"/>
        <v>607380</v>
      </c>
      <c r="O1382" s="45">
        <f t="shared" si="318"/>
        <v>202460</v>
      </c>
      <c r="P1382" s="46">
        <f t="shared" si="319"/>
        <v>6.6666666666666666E-2</v>
      </c>
      <c r="Q1382" s="46"/>
      <c r="R1382" s="45">
        <f t="shared" si="320"/>
        <v>0</v>
      </c>
      <c r="S1382" s="46">
        <f t="shared" si="321"/>
        <v>0</v>
      </c>
      <c r="T1382" s="46">
        <f>IFERROR(VLOOKUP(A1382,'[1]Re-order'!$A:$Q,17,0),"")</f>
        <v>8.4375000000000018</v>
      </c>
      <c r="U1382" s="46">
        <f>IFERROR(VLOOKUP(A1382,'[1]MC Masterlist 2026-09-12'!$B:$M, 10, 0),0)</f>
        <v>15</v>
      </c>
      <c r="V1382" s="46">
        <f>IFERROR(VLOOKUP(A1382,'[1]MC Masterlist 2026-09-12'!$B:$M, 11, 0),0)</f>
        <v>15</v>
      </c>
      <c r="W1382" s="46">
        <f t="shared" si="322"/>
        <v>30</v>
      </c>
      <c r="X1382" s="46">
        <f t="shared" si="323"/>
        <v>6</v>
      </c>
      <c r="Y1382" s="46">
        <f>IFERROR(IF(OR(C1382="AREA I",C1382="AREA V"),7,VLOOKUP(A1382,'[1]MC Masterlist 2026-09-12'!$B:$M, 12, 0)),0)</f>
        <v>7</v>
      </c>
      <c r="Z1382" s="46">
        <f t="shared" si="324"/>
        <v>1</v>
      </c>
      <c r="AA1382" s="46">
        <f t="shared" si="325"/>
        <v>2</v>
      </c>
      <c r="AB1382" s="46">
        <f t="shared" si="326"/>
        <v>0.4</v>
      </c>
      <c r="AC1382" s="46">
        <f t="shared" si="327"/>
        <v>0.46666666666666667</v>
      </c>
      <c r="AD1382" s="44" t="str">
        <f t="shared" si="328"/>
        <v>Stockout</v>
      </c>
      <c r="AE1382" s="44" t="str">
        <f>IFERROR(VLOOKUP(A1382,'[1]Re-order'!$A:$AA,27,0),"")</f>
        <v>Stockout</v>
      </c>
      <c r="AF1382" s="46">
        <f t="shared" si="329"/>
        <v>0.46666666666666667</v>
      </c>
      <c r="AG1382" s="46">
        <f>SUMIFS('[1]Raw Inventory'!D:D,'[1]Raw Inventory'!C:C,"GREATWALL",'[1]Raw Inventory'!B:B,A1382)</f>
        <v>1</v>
      </c>
      <c r="AH1382" s="46">
        <f>SUMIFS('[1]Raw Inventory'!D:D,'[1]Raw Inventory'!C:C,"DUARTE",'[1]Raw Inventory'!B:B,A1382)</f>
        <v>0</v>
      </c>
      <c r="AI1382" s="46"/>
      <c r="AJ1382" s="46"/>
      <c r="AK1382" s="43"/>
      <c r="AL1382" s="43"/>
      <c r="AM1382" s="43"/>
      <c r="AN1382" s="43"/>
      <c r="AO1382" s="43"/>
      <c r="AP1382" s="43"/>
      <c r="AQ1382" s="43"/>
      <c r="AR1382" s="43"/>
      <c r="AS1382" s="43"/>
      <c r="AT1382" s="43"/>
    </row>
    <row r="1383" spans="1:46">
      <c r="A1383" s="43" t="s">
        <v>34</v>
      </c>
      <c r="B1383" s="43" t="s">
        <v>139</v>
      </c>
      <c r="C1383" s="43" t="s">
        <v>137</v>
      </c>
      <c r="D1383" s="44" t="s">
        <v>246</v>
      </c>
      <c r="E1383" s="44">
        <v>13</v>
      </c>
      <c r="F1383" s="44" t="s">
        <v>2</v>
      </c>
      <c r="G1383" s="43" t="str">
        <f>IFERROR(VLOOKUP(A1383,'[1]MC Masterlist 2026-09-12'!$B:$M, 3, 0),"")</f>
        <v>HONDA</v>
      </c>
      <c r="H1383" s="45">
        <f>IFERROR(VLOOKUP(A1383,'[1]MC Masterlist 2026-09-12'!$B:$M, 6, 0),"")</f>
        <v>101230</v>
      </c>
      <c r="I1383" s="46">
        <v>2</v>
      </c>
      <c r="J1383" s="46">
        <v>0</v>
      </c>
      <c r="K1383" s="46">
        <v>5</v>
      </c>
      <c r="L1383" s="46">
        <f t="shared" si="315"/>
        <v>7</v>
      </c>
      <c r="M1383" s="46">
        <f t="shared" si="316"/>
        <v>2.3333333333333335</v>
      </c>
      <c r="N1383" s="45">
        <f t="shared" si="317"/>
        <v>708610</v>
      </c>
      <c r="O1383" s="45">
        <f t="shared" si="318"/>
        <v>236203.33333333334</v>
      </c>
      <c r="P1383" s="46">
        <f t="shared" si="319"/>
        <v>7.7777777777777779E-2</v>
      </c>
      <c r="Q1383" s="46">
        <v>1</v>
      </c>
      <c r="R1383" s="45">
        <f t="shared" si="320"/>
        <v>101230</v>
      </c>
      <c r="S1383" s="46">
        <f t="shared" si="321"/>
        <v>12.857142857142856</v>
      </c>
      <c r="T1383" s="46">
        <f>IFERROR(VLOOKUP(A1383,'[1]Re-order'!$A:$Q,17,0),"")</f>
        <v>8.4375000000000018</v>
      </c>
      <c r="U1383" s="46">
        <f>IFERROR(VLOOKUP(A1383,'[1]MC Masterlist 2026-09-12'!$B:$M, 10, 0),0)</f>
        <v>15</v>
      </c>
      <c r="V1383" s="46">
        <f>IFERROR(VLOOKUP(A1383,'[1]MC Masterlist 2026-09-12'!$B:$M, 11, 0),0)</f>
        <v>15</v>
      </c>
      <c r="W1383" s="46">
        <f t="shared" si="322"/>
        <v>30</v>
      </c>
      <c r="X1383" s="46">
        <f t="shared" si="323"/>
        <v>5.833333333333333</v>
      </c>
      <c r="Y1383" s="46">
        <f>IFERROR(IF(OR(C1383="AREA I",C1383="AREA V"),7,VLOOKUP(A1383,'[1]MC Masterlist 2026-09-12'!$B:$M, 12, 0)),0)</f>
        <v>7</v>
      </c>
      <c r="Z1383" s="46">
        <f t="shared" si="324"/>
        <v>1.1666666666666667</v>
      </c>
      <c r="AA1383" s="46">
        <f t="shared" si="325"/>
        <v>2.3333333333333335</v>
      </c>
      <c r="AB1383" s="46">
        <f t="shared" si="326"/>
        <v>0.45370370370370366</v>
      </c>
      <c r="AC1383" s="46">
        <f t="shared" si="327"/>
        <v>0.54444444444444451</v>
      </c>
      <c r="AD1383" s="44" t="str">
        <f t="shared" si="328"/>
        <v>Over</v>
      </c>
      <c r="AE1383" s="44" t="str">
        <f>IFERROR(VLOOKUP(A1383,'[1]Re-order'!$A:$AA,27,0),"")</f>
        <v>Stockout</v>
      </c>
      <c r="AF1383" s="46">
        <f t="shared" si="329"/>
        <v>-0.45555555555555549</v>
      </c>
      <c r="AG1383" s="46">
        <f>SUMIFS('[1]Raw Inventory'!D:D,'[1]Raw Inventory'!C:C,"GREATWALL",'[1]Raw Inventory'!B:B,A1383)</f>
        <v>1</v>
      </c>
      <c r="AH1383" s="46">
        <f>SUMIFS('[1]Raw Inventory'!D:D,'[1]Raw Inventory'!C:C,"DUARTE",'[1]Raw Inventory'!B:B,A1383)</f>
        <v>0</v>
      </c>
      <c r="AI1383" s="46"/>
      <c r="AJ1383" s="46"/>
      <c r="AK1383" s="43"/>
      <c r="AL1383" s="43"/>
      <c r="AM1383" s="43"/>
      <c r="AN1383" s="43"/>
      <c r="AO1383" s="43"/>
      <c r="AP1383" s="43"/>
      <c r="AQ1383" s="43"/>
      <c r="AR1383" s="43"/>
      <c r="AS1383" s="43"/>
      <c r="AT1383" s="43"/>
    </row>
    <row r="1384" spans="1:46">
      <c r="A1384" s="43" t="s">
        <v>20</v>
      </c>
      <c r="B1384" s="43" t="s">
        <v>160</v>
      </c>
      <c r="C1384" s="43" t="s">
        <v>159</v>
      </c>
      <c r="D1384" s="44" t="s">
        <v>267</v>
      </c>
      <c r="E1384" s="44">
        <v>24</v>
      </c>
      <c r="F1384" s="44" t="s">
        <v>3</v>
      </c>
      <c r="G1384" s="43" t="str">
        <f>IFERROR(VLOOKUP(A1384,'[1]MC Masterlist 2026-09-12'!$B:$M, 3, 0),"")</f>
        <v>HONDA</v>
      </c>
      <c r="H1384" s="45">
        <f>IFERROR(VLOOKUP(A1384,'[1]MC Masterlist 2026-09-12'!$B:$M, 6, 0),"")</f>
        <v>69950</v>
      </c>
      <c r="I1384" s="46">
        <v>0</v>
      </c>
      <c r="J1384" s="46">
        <v>0</v>
      </c>
      <c r="K1384" s="46">
        <v>0</v>
      </c>
      <c r="L1384" s="46">
        <f t="shared" si="315"/>
        <v>0</v>
      </c>
      <c r="M1384" s="46">
        <f t="shared" si="316"/>
        <v>0</v>
      </c>
      <c r="N1384" s="45">
        <f t="shared" si="317"/>
        <v>0</v>
      </c>
      <c r="O1384" s="45">
        <f t="shared" si="318"/>
        <v>0</v>
      </c>
      <c r="P1384" s="46">
        <f t="shared" si="319"/>
        <v>0</v>
      </c>
      <c r="Q1384" s="46">
        <v>3</v>
      </c>
      <c r="R1384" s="45">
        <f t="shared" si="320"/>
        <v>209850</v>
      </c>
      <c r="S1384" s="46">
        <f t="shared" si="321"/>
        <v>0</v>
      </c>
      <c r="T1384" s="46">
        <f>IFERROR(VLOOKUP(A1384,'[1]Re-order'!$A:$Q,17,0),"")</f>
        <v>75.775862068965523</v>
      </c>
      <c r="U1384" s="46">
        <f>IFERROR(VLOOKUP(A1384,'[1]MC Masterlist 2026-09-12'!$B:$M, 10, 0),0)</f>
        <v>15</v>
      </c>
      <c r="V1384" s="46">
        <f>IFERROR(VLOOKUP(A1384,'[1]MC Masterlist 2026-09-12'!$B:$M, 11, 0),0)</f>
        <v>15</v>
      </c>
      <c r="W1384" s="46">
        <f t="shared" si="322"/>
        <v>30</v>
      </c>
      <c r="X1384" s="46">
        <f t="shared" si="323"/>
        <v>30</v>
      </c>
      <c r="Y1384" s="46">
        <f>IFERROR(IF(OR(C1384="AREA I",C1384="AREA V"),7,VLOOKUP(A1384,'[1]MC Masterlist 2026-09-12'!$B:$M, 12, 0)),0)</f>
        <v>30</v>
      </c>
      <c r="Z1384" s="46">
        <f t="shared" si="324"/>
        <v>0</v>
      </c>
      <c r="AA1384" s="46">
        <f t="shared" si="325"/>
        <v>0</v>
      </c>
      <c r="AB1384" s="46">
        <f t="shared" si="326"/>
        <v>0</v>
      </c>
      <c r="AC1384" s="46">
        <f t="shared" si="327"/>
        <v>0</v>
      </c>
      <c r="AD1384" s="44" t="str">
        <f t="shared" si="328"/>
        <v>Over</v>
      </c>
      <c r="AE1384" s="44" t="str">
        <f>IFERROR(VLOOKUP(A1384,'[1]Re-order'!$A:$AA,27,0),"")</f>
        <v/>
      </c>
      <c r="AF1384" s="46">
        <f t="shared" si="329"/>
        <v>-3</v>
      </c>
      <c r="AG1384" s="46">
        <f>SUMIFS('[1]Raw Inventory'!D:D,'[1]Raw Inventory'!C:C,"GREATWALL",'[1]Raw Inventory'!B:B,A1384)</f>
        <v>110</v>
      </c>
      <c r="AH1384" s="46">
        <f>SUMIFS('[1]Raw Inventory'!D:D,'[1]Raw Inventory'!C:C,"DUARTE",'[1]Raw Inventory'!B:B,A1384)</f>
        <v>0</v>
      </c>
      <c r="AI1384" s="46"/>
      <c r="AJ1384" s="46"/>
      <c r="AK1384" s="43"/>
      <c r="AL1384" s="43"/>
      <c r="AM1384" s="43"/>
      <c r="AN1384" s="43"/>
      <c r="AO1384" s="43"/>
      <c r="AP1384" s="43"/>
      <c r="AQ1384" s="43"/>
      <c r="AR1384" s="43"/>
      <c r="AS1384" s="43"/>
      <c r="AT1384" s="43"/>
    </row>
    <row r="1385" spans="1:46">
      <c r="A1385" s="43" t="s">
        <v>45</v>
      </c>
      <c r="B1385" s="43" t="s">
        <v>157</v>
      </c>
      <c r="C1385" s="43" t="s">
        <v>152</v>
      </c>
      <c r="D1385" s="44" t="s">
        <v>257</v>
      </c>
      <c r="E1385" s="44">
        <v>19</v>
      </c>
      <c r="F1385" s="44" t="s">
        <v>3</v>
      </c>
      <c r="G1385" s="43" t="str">
        <f>IFERROR(VLOOKUP(A1385,'[1]MC Masterlist 2026-09-12'!$B:$M, 3, 0),"")</f>
        <v>YAMAHA</v>
      </c>
      <c r="H1385" s="45">
        <f>IFERROR(VLOOKUP(A1385,'[1]MC Masterlist 2026-09-12'!$B:$M, 6, 0),"")</f>
        <v>117087</v>
      </c>
      <c r="I1385" s="46">
        <v>0</v>
      </c>
      <c r="J1385" s="46">
        <v>1</v>
      </c>
      <c r="K1385" s="46">
        <v>0</v>
      </c>
      <c r="L1385" s="46">
        <f t="shared" si="315"/>
        <v>1</v>
      </c>
      <c r="M1385" s="46">
        <f t="shared" si="316"/>
        <v>0.33333333333333331</v>
      </c>
      <c r="N1385" s="45">
        <f t="shared" si="317"/>
        <v>117087</v>
      </c>
      <c r="O1385" s="45">
        <f t="shared" si="318"/>
        <v>39029</v>
      </c>
      <c r="P1385" s="46">
        <f t="shared" si="319"/>
        <v>1.111111111111111E-2</v>
      </c>
      <c r="Q1385" s="46"/>
      <c r="R1385" s="45">
        <f t="shared" si="320"/>
        <v>0</v>
      </c>
      <c r="S1385" s="46">
        <f t="shared" si="321"/>
        <v>0</v>
      </c>
      <c r="T1385" s="46">
        <f>IFERROR(VLOOKUP(A1385,'[1]Re-order'!$A:$Q,17,0),"")</f>
        <v>18.94736842105263</v>
      </c>
      <c r="U1385" s="46">
        <f>IFERROR(VLOOKUP(A1385,'[1]MC Masterlist 2026-09-12'!$B:$M, 10, 0),0)</f>
        <v>15</v>
      </c>
      <c r="V1385" s="46">
        <f>IFERROR(VLOOKUP(A1385,'[1]MC Masterlist 2026-09-12'!$B:$M, 11, 0),0)</f>
        <v>15</v>
      </c>
      <c r="W1385" s="46">
        <f t="shared" si="322"/>
        <v>30</v>
      </c>
      <c r="X1385" s="46">
        <f t="shared" si="323"/>
        <v>29.833333333333332</v>
      </c>
      <c r="Y1385" s="46">
        <f>IFERROR(IF(OR(C1385="AREA I",C1385="AREA V"),7,VLOOKUP(A1385,'[1]MC Masterlist 2026-09-12'!$B:$M, 12, 0)),0)</f>
        <v>30</v>
      </c>
      <c r="Z1385" s="46">
        <f t="shared" si="324"/>
        <v>0.16666666666666666</v>
      </c>
      <c r="AA1385" s="46">
        <f t="shared" si="325"/>
        <v>0.33333333333333331</v>
      </c>
      <c r="AB1385" s="46">
        <f t="shared" si="326"/>
        <v>0.33148148148148143</v>
      </c>
      <c r="AC1385" s="46">
        <f t="shared" si="327"/>
        <v>0.33333333333333331</v>
      </c>
      <c r="AD1385" s="44" t="str">
        <f t="shared" si="328"/>
        <v>Stockout</v>
      </c>
      <c r="AE1385" s="44" t="str">
        <f>IFERROR(VLOOKUP(A1385,'[1]Re-order'!$A:$AA,27,0),"")</f>
        <v>Stockout</v>
      </c>
      <c r="AF1385" s="46">
        <f t="shared" si="329"/>
        <v>0.33333333333333331</v>
      </c>
      <c r="AG1385" s="46">
        <f>SUMIFS('[1]Raw Inventory'!D:D,'[1]Raw Inventory'!C:C,"GREATWALL",'[1]Raw Inventory'!B:B,A1385)</f>
        <v>5</v>
      </c>
      <c r="AH1385" s="46">
        <f>SUMIFS('[1]Raw Inventory'!D:D,'[1]Raw Inventory'!C:C,"DUARTE",'[1]Raw Inventory'!B:B,A1385)</f>
        <v>0</v>
      </c>
      <c r="AI1385" s="46"/>
      <c r="AJ1385" s="46"/>
      <c r="AK1385" s="43"/>
      <c r="AL1385" s="43"/>
      <c r="AM1385" s="43"/>
      <c r="AN1385" s="43"/>
      <c r="AO1385" s="43"/>
      <c r="AP1385" s="43"/>
      <c r="AQ1385" s="43"/>
      <c r="AR1385" s="43"/>
      <c r="AS1385" s="43"/>
      <c r="AT1385" s="43"/>
    </row>
    <row r="1386" spans="1:46">
      <c r="A1386" s="43" t="s">
        <v>32</v>
      </c>
      <c r="B1386" s="43" t="s">
        <v>112</v>
      </c>
      <c r="C1386" s="43" t="s">
        <v>109</v>
      </c>
      <c r="D1386" s="44" t="s">
        <v>253</v>
      </c>
      <c r="E1386" s="44">
        <v>23</v>
      </c>
      <c r="F1386" s="44" t="s">
        <v>3</v>
      </c>
      <c r="G1386" s="43" t="str">
        <f>IFERROR(VLOOKUP(A1386,'[1]MC Masterlist 2026-09-12'!$B:$M, 3, 0),"")</f>
        <v>HONDA</v>
      </c>
      <c r="H1386" s="45">
        <f>IFERROR(VLOOKUP(A1386,'[1]MC Masterlist 2026-09-12'!$B:$M, 6, 0),"")</f>
        <v>288910</v>
      </c>
      <c r="I1386" s="46">
        <v>0</v>
      </c>
      <c r="J1386" s="46">
        <v>0</v>
      </c>
      <c r="K1386" s="46">
        <v>0</v>
      </c>
      <c r="L1386" s="46">
        <f t="shared" si="315"/>
        <v>0</v>
      </c>
      <c r="M1386" s="46">
        <f t="shared" si="316"/>
        <v>0</v>
      </c>
      <c r="N1386" s="45">
        <f t="shared" si="317"/>
        <v>0</v>
      </c>
      <c r="O1386" s="45">
        <f t="shared" si="318"/>
        <v>0</v>
      </c>
      <c r="P1386" s="46">
        <f t="shared" si="319"/>
        <v>0</v>
      </c>
      <c r="Q1386" s="46">
        <v>1</v>
      </c>
      <c r="R1386" s="45">
        <f t="shared" si="320"/>
        <v>288910</v>
      </c>
      <c r="S1386" s="46">
        <f t="shared" si="321"/>
        <v>0</v>
      </c>
      <c r="T1386" s="46">
        <f>IFERROR(VLOOKUP(A1386,'[1]Re-order'!$A:$Q,17,0),"")</f>
        <v>97.5</v>
      </c>
      <c r="U1386" s="46">
        <f>IFERROR(VLOOKUP(A1386,'[1]MC Masterlist 2026-09-12'!$B:$M, 10, 0),0)</f>
        <v>15</v>
      </c>
      <c r="V1386" s="46">
        <f>IFERROR(VLOOKUP(A1386,'[1]MC Masterlist 2026-09-12'!$B:$M, 11, 0),0)</f>
        <v>15</v>
      </c>
      <c r="W1386" s="46">
        <f t="shared" si="322"/>
        <v>30</v>
      </c>
      <c r="X1386" s="46">
        <f t="shared" si="323"/>
        <v>30</v>
      </c>
      <c r="Y1386" s="46">
        <f>IFERROR(IF(OR(C1386="AREA I",C1386="AREA V"),7,VLOOKUP(A1386,'[1]MC Masterlist 2026-09-12'!$B:$M, 12, 0)),0)</f>
        <v>30</v>
      </c>
      <c r="Z1386" s="46">
        <f t="shared" si="324"/>
        <v>0</v>
      </c>
      <c r="AA1386" s="46">
        <f t="shared" si="325"/>
        <v>0</v>
      </c>
      <c r="AB1386" s="46">
        <f t="shared" si="326"/>
        <v>0</v>
      </c>
      <c r="AC1386" s="46">
        <f t="shared" si="327"/>
        <v>0</v>
      </c>
      <c r="AD1386" s="44" t="str">
        <f t="shared" si="328"/>
        <v>Over</v>
      </c>
      <c r="AE1386" s="44" t="str">
        <f>IFERROR(VLOOKUP(A1386,'[1]Re-order'!$A:$AA,27,0),"")</f>
        <v>Over</v>
      </c>
      <c r="AF1386" s="46">
        <f t="shared" si="329"/>
        <v>-1</v>
      </c>
      <c r="AG1386" s="46">
        <f>SUMIFS('[1]Raw Inventory'!D:D,'[1]Raw Inventory'!C:C,"GREATWALL",'[1]Raw Inventory'!B:B,A1386)</f>
        <v>7</v>
      </c>
      <c r="AH1386" s="46">
        <f>SUMIFS('[1]Raw Inventory'!D:D,'[1]Raw Inventory'!C:C,"DUARTE",'[1]Raw Inventory'!B:B,A1386)</f>
        <v>0</v>
      </c>
      <c r="AI1386" s="46"/>
      <c r="AJ1386" s="46"/>
      <c r="AK1386" s="43"/>
      <c r="AL1386" s="43"/>
      <c r="AM1386" s="43"/>
      <c r="AN1386" s="43"/>
      <c r="AO1386" s="43"/>
      <c r="AP1386" s="43"/>
      <c r="AQ1386" s="43"/>
      <c r="AR1386" s="43"/>
      <c r="AS1386" s="43"/>
      <c r="AT1386" s="43"/>
    </row>
    <row r="1387" spans="1:46">
      <c r="A1387" s="43" t="s">
        <v>16</v>
      </c>
      <c r="B1387" s="43" t="s">
        <v>114</v>
      </c>
      <c r="C1387" s="43" t="s">
        <v>109</v>
      </c>
      <c r="D1387" s="44" t="s">
        <v>262</v>
      </c>
      <c r="E1387" s="44">
        <v>14</v>
      </c>
      <c r="F1387" s="44" t="s">
        <v>2</v>
      </c>
      <c r="G1387" s="43" t="str">
        <f>IFERROR(VLOOKUP(A1387,'[1]MC Masterlist 2026-09-12'!$B:$M, 3, 0),"")</f>
        <v>HONDA</v>
      </c>
      <c r="H1387" s="45">
        <f>IFERROR(VLOOKUP(A1387,'[1]MC Masterlist 2026-09-12'!$B:$M, 6, 0),"")</f>
        <v>84394</v>
      </c>
      <c r="I1387" s="46">
        <v>1</v>
      </c>
      <c r="J1387" s="46">
        <v>3</v>
      </c>
      <c r="K1387" s="46">
        <v>0</v>
      </c>
      <c r="L1387" s="46">
        <f t="shared" si="315"/>
        <v>4</v>
      </c>
      <c r="M1387" s="46">
        <f t="shared" si="316"/>
        <v>1.3333333333333333</v>
      </c>
      <c r="N1387" s="45">
        <f t="shared" si="317"/>
        <v>337576</v>
      </c>
      <c r="O1387" s="45">
        <f t="shared" si="318"/>
        <v>112525.33333333333</v>
      </c>
      <c r="P1387" s="46">
        <f t="shared" si="319"/>
        <v>4.4444444444444439E-2</v>
      </c>
      <c r="Q1387" s="46">
        <v>2</v>
      </c>
      <c r="R1387" s="45">
        <f t="shared" si="320"/>
        <v>168788</v>
      </c>
      <c r="S1387" s="46">
        <f t="shared" si="321"/>
        <v>45</v>
      </c>
      <c r="T1387" s="46">
        <f>IFERROR(VLOOKUP(A1387,'[1]Re-order'!$A:$Q,17,0),"")</f>
        <v>26.332665330661321</v>
      </c>
      <c r="U1387" s="46">
        <f>IFERROR(VLOOKUP(A1387,'[1]MC Masterlist 2026-09-12'!$B:$M, 10, 0),0)</f>
        <v>15</v>
      </c>
      <c r="V1387" s="46">
        <f>IFERROR(VLOOKUP(A1387,'[1]MC Masterlist 2026-09-12'!$B:$M, 11, 0),0)</f>
        <v>15</v>
      </c>
      <c r="W1387" s="46">
        <f t="shared" si="322"/>
        <v>30</v>
      </c>
      <c r="X1387" s="46">
        <f t="shared" si="323"/>
        <v>29.333333333333332</v>
      </c>
      <c r="Y1387" s="46">
        <f>IFERROR(IF(OR(C1387="AREA I",C1387="AREA V"),7,VLOOKUP(A1387,'[1]MC Masterlist 2026-09-12'!$B:$M, 12, 0)),0)</f>
        <v>30</v>
      </c>
      <c r="Z1387" s="46">
        <f t="shared" si="324"/>
        <v>0.66666666666666663</v>
      </c>
      <c r="AA1387" s="46">
        <f t="shared" si="325"/>
        <v>1.3333333333333333</v>
      </c>
      <c r="AB1387" s="46">
        <f t="shared" si="326"/>
        <v>1.3037037037037036</v>
      </c>
      <c r="AC1387" s="46">
        <f t="shared" si="327"/>
        <v>1.3333333333333333</v>
      </c>
      <c r="AD1387" s="44" t="str">
        <f t="shared" si="328"/>
        <v>Over</v>
      </c>
      <c r="AE1387" s="44" t="str">
        <f>IFERROR(VLOOKUP(A1387,'[1]Re-order'!$A:$AA,27,0),"")</f>
        <v>Stockout</v>
      </c>
      <c r="AF1387" s="46">
        <f t="shared" si="329"/>
        <v>-0.66666666666666674</v>
      </c>
      <c r="AG1387" s="46">
        <f>SUMIFS('[1]Raw Inventory'!D:D,'[1]Raw Inventory'!C:C,"GREATWALL",'[1]Raw Inventory'!B:B,A1387)</f>
        <v>58</v>
      </c>
      <c r="AH1387" s="46">
        <f>SUMIFS('[1]Raw Inventory'!D:D,'[1]Raw Inventory'!C:C,"DUARTE",'[1]Raw Inventory'!B:B,A1387)</f>
        <v>0</v>
      </c>
      <c r="AI1387" s="46"/>
      <c r="AJ1387" s="46"/>
      <c r="AK1387" s="43"/>
      <c r="AL1387" s="43"/>
      <c r="AM1387" s="43"/>
      <c r="AN1387" s="43"/>
      <c r="AO1387" s="43"/>
      <c r="AP1387" s="43"/>
      <c r="AQ1387" s="43"/>
      <c r="AR1387" s="43"/>
      <c r="AS1387" s="43"/>
      <c r="AT1387" s="43"/>
    </row>
    <row r="1388" spans="1:46">
      <c r="A1388" s="43" t="s">
        <v>124</v>
      </c>
      <c r="B1388" s="43" t="s">
        <v>119</v>
      </c>
      <c r="C1388" s="43" t="s">
        <v>118</v>
      </c>
      <c r="D1388" s="44" t="s">
        <v>242</v>
      </c>
      <c r="E1388" s="44">
        <v>35</v>
      </c>
      <c r="F1388" s="44" t="s">
        <v>3</v>
      </c>
      <c r="G1388" s="43" t="str">
        <f>IFERROR(VLOOKUP(A1388,'[1]MC Masterlist 2026-09-12'!$B:$M, 3, 0),"")</f>
        <v>SKYGO</v>
      </c>
      <c r="H1388" s="45">
        <f>IFERROR(VLOOKUP(A1388,'[1]MC Masterlist 2026-09-12'!$B:$M, 6, 0),"")</f>
        <v>36765</v>
      </c>
      <c r="I1388" s="46">
        <v>0</v>
      </c>
      <c r="J1388" s="46">
        <v>0</v>
      </c>
      <c r="K1388" s="46">
        <v>0</v>
      </c>
      <c r="L1388" s="46">
        <f t="shared" si="315"/>
        <v>0</v>
      </c>
      <c r="M1388" s="46">
        <f t="shared" si="316"/>
        <v>0</v>
      </c>
      <c r="N1388" s="45">
        <f t="shared" si="317"/>
        <v>0</v>
      </c>
      <c r="O1388" s="45">
        <f t="shared" si="318"/>
        <v>0</v>
      </c>
      <c r="P1388" s="46">
        <f t="shared" si="319"/>
        <v>0</v>
      </c>
      <c r="Q1388" s="46">
        <v>1</v>
      </c>
      <c r="R1388" s="45">
        <f t="shared" si="320"/>
        <v>36765</v>
      </c>
      <c r="S1388" s="46">
        <f t="shared" si="321"/>
        <v>0</v>
      </c>
      <c r="T1388" s="46">
        <f>IFERROR(VLOOKUP(A1388,'[1]Re-order'!$A:$Q,17,0),"")</f>
        <v>180</v>
      </c>
      <c r="U1388" s="46">
        <f>IFERROR(VLOOKUP(A1388,'[1]MC Masterlist 2026-09-12'!$B:$M, 10, 0),0)</f>
        <v>15</v>
      </c>
      <c r="V1388" s="46">
        <f>IFERROR(VLOOKUP(A1388,'[1]MC Masterlist 2026-09-12'!$B:$M, 11, 0),0)</f>
        <v>15</v>
      </c>
      <c r="W1388" s="46">
        <f t="shared" si="322"/>
        <v>30</v>
      </c>
      <c r="X1388" s="46">
        <f t="shared" si="323"/>
        <v>30</v>
      </c>
      <c r="Y1388" s="46">
        <f>IFERROR(IF(OR(C1388="AREA I",C1388="AREA V"),7,VLOOKUP(A1388,'[1]MC Masterlist 2026-09-12'!$B:$M, 12, 0)),0)</f>
        <v>30</v>
      </c>
      <c r="Z1388" s="46">
        <f t="shared" si="324"/>
        <v>0</v>
      </c>
      <c r="AA1388" s="46">
        <f t="shared" si="325"/>
        <v>0</v>
      </c>
      <c r="AB1388" s="46">
        <f t="shared" si="326"/>
        <v>0</v>
      </c>
      <c r="AC1388" s="46">
        <f t="shared" si="327"/>
        <v>0</v>
      </c>
      <c r="AD1388" s="44" t="str">
        <f t="shared" si="328"/>
        <v>Over</v>
      </c>
      <c r="AE1388" s="44" t="str">
        <f>IFERROR(VLOOKUP(A1388,'[1]Re-order'!$A:$AA,27,0),"")</f>
        <v>Over</v>
      </c>
      <c r="AF1388" s="46">
        <f t="shared" si="329"/>
        <v>-1</v>
      </c>
      <c r="AG1388" s="46">
        <f>SUMIFS('[1]Raw Inventory'!D:D,'[1]Raw Inventory'!C:C,"GREATWALL",'[1]Raw Inventory'!B:B,A1388)</f>
        <v>0</v>
      </c>
      <c r="AH1388" s="46">
        <f>SUMIFS('[1]Raw Inventory'!D:D,'[1]Raw Inventory'!C:C,"DUARTE",'[1]Raw Inventory'!B:B,A1388)</f>
        <v>0</v>
      </c>
      <c r="AI1388" s="46"/>
      <c r="AJ1388" s="46"/>
      <c r="AK1388" s="43"/>
      <c r="AL1388" s="43"/>
      <c r="AM1388" s="43"/>
      <c r="AN1388" s="43"/>
      <c r="AO1388" s="43"/>
      <c r="AP1388" s="43"/>
      <c r="AQ1388" s="43"/>
      <c r="AR1388" s="43"/>
      <c r="AS1388" s="43"/>
      <c r="AT1388" s="43"/>
    </row>
    <row r="1389" spans="1:46">
      <c r="A1389" s="43" t="s">
        <v>20</v>
      </c>
      <c r="B1389" s="43" t="s">
        <v>141</v>
      </c>
      <c r="C1389" s="43" t="s">
        <v>137</v>
      </c>
      <c r="D1389" s="44" t="s">
        <v>254</v>
      </c>
      <c r="E1389" s="44">
        <v>9</v>
      </c>
      <c r="F1389" s="44" t="s">
        <v>2</v>
      </c>
      <c r="G1389" s="43" t="str">
        <f>IFERROR(VLOOKUP(A1389,'[1]MC Masterlist 2026-09-12'!$B:$M, 3, 0),"")</f>
        <v>HONDA</v>
      </c>
      <c r="H1389" s="45">
        <f>IFERROR(VLOOKUP(A1389,'[1]MC Masterlist 2026-09-12'!$B:$M, 6, 0),"")</f>
        <v>69950</v>
      </c>
      <c r="I1389" s="46">
        <v>5</v>
      </c>
      <c r="J1389" s="46">
        <v>2</v>
      </c>
      <c r="K1389" s="46">
        <v>2</v>
      </c>
      <c r="L1389" s="46">
        <f t="shared" si="315"/>
        <v>9</v>
      </c>
      <c r="M1389" s="46">
        <f t="shared" si="316"/>
        <v>3</v>
      </c>
      <c r="N1389" s="45">
        <f t="shared" si="317"/>
        <v>629550</v>
      </c>
      <c r="O1389" s="45">
        <f t="shared" si="318"/>
        <v>209850</v>
      </c>
      <c r="P1389" s="46">
        <f t="shared" si="319"/>
        <v>0.1</v>
      </c>
      <c r="Q1389" s="46">
        <v>0</v>
      </c>
      <c r="R1389" s="45">
        <f t="shared" si="320"/>
        <v>0</v>
      </c>
      <c r="S1389" s="46">
        <f t="shared" si="321"/>
        <v>0</v>
      </c>
      <c r="T1389" s="46">
        <f>IFERROR(VLOOKUP(A1389,'[1]Re-order'!$A:$Q,17,0),"")</f>
        <v>75.775862068965523</v>
      </c>
      <c r="U1389" s="46">
        <f>IFERROR(VLOOKUP(A1389,'[1]MC Masterlist 2026-09-12'!$B:$M, 10, 0),0)</f>
        <v>15</v>
      </c>
      <c r="V1389" s="46">
        <f>IFERROR(VLOOKUP(A1389,'[1]MC Masterlist 2026-09-12'!$B:$M, 11, 0),0)</f>
        <v>15</v>
      </c>
      <c r="W1389" s="46">
        <f t="shared" si="322"/>
        <v>30</v>
      </c>
      <c r="X1389" s="46">
        <f t="shared" si="323"/>
        <v>5.5</v>
      </c>
      <c r="Y1389" s="46">
        <f>IFERROR(IF(OR(C1389="AREA I",C1389="AREA V"),7,VLOOKUP(A1389,'[1]MC Masterlist 2026-09-12'!$B:$M, 12, 0)),0)</f>
        <v>7</v>
      </c>
      <c r="Z1389" s="46">
        <f t="shared" si="324"/>
        <v>1.5</v>
      </c>
      <c r="AA1389" s="46">
        <f t="shared" si="325"/>
        <v>3</v>
      </c>
      <c r="AB1389" s="46">
        <f t="shared" si="326"/>
        <v>0.55000000000000004</v>
      </c>
      <c r="AC1389" s="46">
        <f t="shared" si="327"/>
        <v>0.70000000000000007</v>
      </c>
      <c r="AD1389" s="44" t="str">
        <f t="shared" si="328"/>
        <v>Stockout</v>
      </c>
      <c r="AE1389" s="44" t="str">
        <f>IFERROR(VLOOKUP(A1389,'[1]Re-order'!$A:$AA,27,0),"")</f>
        <v/>
      </c>
      <c r="AF1389" s="46">
        <f t="shared" si="329"/>
        <v>0.70000000000000007</v>
      </c>
      <c r="AG1389" s="46">
        <f>SUMIFS('[1]Raw Inventory'!D:D,'[1]Raw Inventory'!C:C,"GREATWALL",'[1]Raw Inventory'!B:B,A1389)</f>
        <v>110</v>
      </c>
      <c r="AH1389" s="46">
        <f>SUMIFS('[1]Raw Inventory'!D:D,'[1]Raw Inventory'!C:C,"DUARTE",'[1]Raw Inventory'!B:B,A1389)</f>
        <v>0</v>
      </c>
      <c r="AI1389" s="46"/>
      <c r="AJ1389" s="46"/>
      <c r="AK1389" s="43"/>
      <c r="AL1389" s="43"/>
      <c r="AM1389" s="43"/>
      <c r="AN1389" s="43"/>
      <c r="AO1389" s="43"/>
      <c r="AP1389" s="43"/>
      <c r="AQ1389" s="43"/>
      <c r="AR1389" s="43"/>
      <c r="AS1389" s="43"/>
      <c r="AT1389" s="43"/>
    </row>
    <row r="1390" spans="1:46">
      <c r="A1390" s="43" t="s">
        <v>52</v>
      </c>
      <c r="B1390" s="43" t="s">
        <v>156</v>
      </c>
      <c r="C1390" s="43" t="s">
        <v>152</v>
      </c>
      <c r="D1390" s="44" t="s">
        <v>262</v>
      </c>
      <c r="E1390" s="44">
        <v>11</v>
      </c>
      <c r="F1390" s="44" t="s">
        <v>2</v>
      </c>
      <c r="G1390" s="43" t="str">
        <f>IFERROR(VLOOKUP(A1390,'[1]MC Masterlist 2026-09-12'!$B:$M, 3, 0),"")</f>
        <v>YAMAHA</v>
      </c>
      <c r="H1390" s="45">
        <f>IFERROR(VLOOKUP(A1390,'[1]MC Masterlist 2026-09-12'!$B:$M, 6, 0),"")</f>
        <v>85446</v>
      </c>
      <c r="I1390" s="46">
        <v>0</v>
      </c>
      <c r="J1390" s="46">
        <v>1</v>
      </c>
      <c r="K1390" s="46">
        <v>1</v>
      </c>
      <c r="L1390" s="46">
        <f t="shared" si="315"/>
        <v>2</v>
      </c>
      <c r="M1390" s="46">
        <f t="shared" si="316"/>
        <v>0.66666666666666663</v>
      </c>
      <c r="N1390" s="45">
        <f t="shared" si="317"/>
        <v>170892</v>
      </c>
      <c r="O1390" s="45">
        <f t="shared" si="318"/>
        <v>56964</v>
      </c>
      <c r="P1390" s="46">
        <f t="shared" si="319"/>
        <v>2.222222222222222E-2</v>
      </c>
      <c r="Q1390" s="46"/>
      <c r="R1390" s="45">
        <f t="shared" si="320"/>
        <v>0</v>
      </c>
      <c r="S1390" s="46">
        <f t="shared" si="321"/>
        <v>0</v>
      </c>
      <c r="T1390" s="46">
        <f>IFERROR(VLOOKUP(A1390,'[1]Re-order'!$A:$Q,17,0),"")</f>
        <v>95.454545454545453</v>
      </c>
      <c r="U1390" s="46">
        <f>IFERROR(VLOOKUP(A1390,'[1]MC Masterlist 2026-09-12'!$B:$M, 10, 0),0)</f>
        <v>15</v>
      </c>
      <c r="V1390" s="46">
        <f>IFERROR(VLOOKUP(A1390,'[1]MC Masterlist 2026-09-12'!$B:$M, 11, 0),0)</f>
        <v>15</v>
      </c>
      <c r="W1390" s="46">
        <f t="shared" si="322"/>
        <v>30</v>
      </c>
      <c r="X1390" s="46">
        <f t="shared" si="323"/>
        <v>29.666666666666668</v>
      </c>
      <c r="Y1390" s="46">
        <f>IFERROR(IF(OR(C1390="AREA I",C1390="AREA V"),7,VLOOKUP(A1390,'[1]MC Masterlist 2026-09-12'!$B:$M, 12, 0)),0)</f>
        <v>30</v>
      </c>
      <c r="Z1390" s="46">
        <f t="shared" si="324"/>
        <v>0.33333333333333331</v>
      </c>
      <c r="AA1390" s="46">
        <f t="shared" si="325"/>
        <v>0.66666666666666663</v>
      </c>
      <c r="AB1390" s="46">
        <f t="shared" si="326"/>
        <v>0.65925925925925921</v>
      </c>
      <c r="AC1390" s="46">
        <f t="shared" si="327"/>
        <v>0.66666666666666663</v>
      </c>
      <c r="AD1390" s="44" t="str">
        <f t="shared" si="328"/>
        <v>Stockout</v>
      </c>
      <c r="AE1390" s="44" t="str">
        <f>IFERROR(VLOOKUP(A1390,'[1]Re-order'!$A:$AA,27,0),"")</f>
        <v>Over</v>
      </c>
      <c r="AF1390" s="46">
        <f t="shared" si="329"/>
        <v>0.66666666666666663</v>
      </c>
      <c r="AG1390" s="46">
        <f>SUMIFS('[1]Raw Inventory'!D:D,'[1]Raw Inventory'!C:C,"GREATWALL",'[1]Raw Inventory'!B:B,A1390)</f>
        <v>0</v>
      </c>
      <c r="AH1390" s="46">
        <f>SUMIFS('[1]Raw Inventory'!D:D,'[1]Raw Inventory'!C:C,"DUARTE",'[1]Raw Inventory'!B:B,A1390)</f>
        <v>0</v>
      </c>
      <c r="AI1390" s="46"/>
      <c r="AJ1390" s="46"/>
      <c r="AK1390" s="43"/>
      <c r="AL1390" s="43"/>
      <c r="AM1390" s="43"/>
      <c r="AN1390" s="43"/>
      <c r="AO1390" s="43"/>
      <c r="AP1390" s="43"/>
      <c r="AQ1390" s="43"/>
      <c r="AR1390" s="43"/>
      <c r="AS1390" s="43"/>
      <c r="AT1390" s="43"/>
    </row>
    <row r="1391" spans="1:46">
      <c r="A1391" s="43" t="s">
        <v>86</v>
      </c>
      <c r="B1391" s="43" t="s">
        <v>97</v>
      </c>
      <c r="C1391" s="43" t="s">
        <v>90</v>
      </c>
      <c r="D1391" s="44" t="s">
        <v>241</v>
      </c>
      <c r="E1391" s="44">
        <v>15</v>
      </c>
      <c r="F1391" s="44" t="s">
        <v>3</v>
      </c>
      <c r="G1391" s="43" t="str">
        <f>IFERROR(VLOOKUP(A1391,'[1]MC Masterlist 2026-09-12'!$B:$M, 3, 0),"")</f>
        <v>KAWASAKI</v>
      </c>
      <c r="H1391" s="45">
        <f>IFERROR(VLOOKUP(A1391,'[1]MC Masterlist 2026-09-12'!$B:$M, 6, 0),"")</f>
        <v>72500</v>
      </c>
      <c r="I1391" s="46">
        <v>0</v>
      </c>
      <c r="J1391" s="46">
        <v>0</v>
      </c>
      <c r="K1391" s="46">
        <v>1</v>
      </c>
      <c r="L1391" s="46">
        <f t="shared" si="315"/>
        <v>1</v>
      </c>
      <c r="M1391" s="46">
        <f t="shared" si="316"/>
        <v>0.33333333333333331</v>
      </c>
      <c r="N1391" s="45">
        <f t="shared" si="317"/>
        <v>72500</v>
      </c>
      <c r="O1391" s="45">
        <f t="shared" si="318"/>
        <v>24166.666666666664</v>
      </c>
      <c r="P1391" s="46">
        <f t="shared" si="319"/>
        <v>1.111111111111111E-2</v>
      </c>
      <c r="Q1391" s="46"/>
      <c r="R1391" s="45">
        <f t="shared" si="320"/>
        <v>0</v>
      </c>
      <c r="S1391" s="46">
        <f t="shared" si="321"/>
        <v>0</v>
      </c>
      <c r="T1391" s="46">
        <f>IFERROR(VLOOKUP(A1391,'[1]Re-order'!$A:$Q,17,0),"")</f>
        <v>150</v>
      </c>
      <c r="U1391" s="46">
        <f>IFERROR(VLOOKUP(A1391,'[1]MC Masterlist 2026-09-12'!$B:$M, 10, 0),0)</f>
        <v>15</v>
      </c>
      <c r="V1391" s="46">
        <f>IFERROR(VLOOKUP(A1391,'[1]MC Masterlist 2026-09-12'!$B:$M, 11, 0),0)</f>
        <v>15</v>
      </c>
      <c r="W1391" s="46">
        <f t="shared" si="322"/>
        <v>30</v>
      </c>
      <c r="X1391" s="46">
        <f t="shared" si="323"/>
        <v>29.833333333333332</v>
      </c>
      <c r="Y1391" s="46">
        <f>IFERROR(IF(OR(C1391="AREA I",C1391="AREA V"),7,VLOOKUP(A1391,'[1]MC Masterlist 2026-09-12'!$B:$M, 12, 0)),0)</f>
        <v>30</v>
      </c>
      <c r="Z1391" s="46">
        <f t="shared" si="324"/>
        <v>0.16666666666666666</v>
      </c>
      <c r="AA1391" s="46">
        <f t="shared" si="325"/>
        <v>0.33333333333333331</v>
      </c>
      <c r="AB1391" s="46">
        <f t="shared" si="326"/>
        <v>0.33148148148148143</v>
      </c>
      <c r="AC1391" s="46">
        <f t="shared" si="327"/>
        <v>0.33333333333333331</v>
      </c>
      <c r="AD1391" s="44" t="str">
        <f t="shared" si="328"/>
        <v>Stockout</v>
      </c>
      <c r="AE1391" s="44" t="str">
        <f>IFERROR(VLOOKUP(A1391,'[1]Re-order'!$A:$AA,27,0),"")</f>
        <v>Over</v>
      </c>
      <c r="AF1391" s="46">
        <f t="shared" si="329"/>
        <v>0.33333333333333331</v>
      </c>
      <c r="AG1391" s="46">
        <f>SUMIFS('[1]Raw Inventory'!D:D,'[1]Raw Inventory'!C:C,"GREATWALL",'[1]Raw Inventory'!B:B,A1391)</f>
        <v>0</v>
      </c>
      <c r="AH1391" s="46">
        <f>SUMIFS('[1]Raw Inventory'!D:D,'[1]Raw Inventory'!C:C,"DUARTE",'[1]Raw Inventory'!B:B,A1391)</f>
        <v>0</v>
      </c>
      <c r="AI1391" s="46"/>
      <c r="AJ1391" s="46"/>
      <c r="AK1391" s="43"/>
      <c r="AL1391" s="43"/>
      <c r="AM1391" s="43"/>
      <c r="AN1391" s="43"/>
      <c r="AO1391" s="43"/>
      <c r="AP1391" s="43"/>
      <c r="AQ1391" s="43"/>
      <c r="AR1391" s="43"/>
      <c r="AS1391" s="43"/>
      <c r="AT1391" s="43"/>
    </row>
    <row r="1392" spans="1:46">
      <c r="A1392" s="43" t="s">
        <v>14</v>
      </c>
      <c r="B1392" s="43" t="s">
        <v>138</v>
      </c>
      <c r="C1392" s="43" t="s">
        <v>137</v>
      </c>
      <c r="D1392" s="44" t="s">
        <v>227</v>
      </c>
      <c r="E1392" s="44">
        <v>1</v>
      </c>
      <c r="F1392" s="44" t="s">
        <v>0</v>
      </c>
      <c r="G1392" s="43" t="str">
        <f>IFERROR(VLOOKUP(A1392,'[1]MC Masterlist 2026-09-12'!$B:$M, 3, 0),"")</f>
        <v>HONDA</v>
      </c>
      <c r="H1392" s="45">
        <f>IFERROR(VLOOKUP(A1392,'[1]MC Masterlist 2026-09-12'!$B:$M, 6, 0),"")</f>
        <v>80070</v>
      </c>
      <c r="I1392" s="46">
        <v>0</v>
      </c>
      <c r="J1392" s="46">
        <v>0</v>
      </c>
      <c r="K1392" s="46">
        <v>0</v>
      </c>
      <c r="L1392" s="46">
        <f t="shared" si="315"/>
        <v>0</v>
      </c>
      <c r="M1392" s="46">
        <f t="shared" si="316"/>
        <v>0</v>
      </c>
      <c r="N1392" s="45">
        <f t="shared" si="317"/>
        <v>0</v>
      </c>
      <c r="O1392" s="45">
        <f t="shared" si="318"/>
        <v>0</v>
      </c>
      <c r="P1392" s="46">
        <f t="shared" si="319"/>
        <v>0</v>
      </c>
      <c r="Q1392" s="46">
        <v>176</v>
      </c>
      <c r="R1392" s="45">
        <f t="shared" si="320"/>
        <v>14092320</v>
      </c>
      <c r="S1392" s="46">
        <f t="shared" si="321"/>
        <v>0</v>
      </c>
      <c r="T1392" s="46">
        <f>IFERROR(VLOOKUP(A1392,'[1]Re-order'!$A:$Q,17,0),"")</f>
        <v>20.105787181082761</v>
      </c>
      <c r="U1392" s="46">
        <f>IFERROR(VLOOKUP(A1392,'[1]MC Masterlist 2026-09-12'!$B:$M, 10, 0),0)</f>
        <v>15</v>
      </c>
      <c r="V1392" s="46">
        <f>IFERROR(VLOOKUP(A1392,'[1]MC Masterlist 2026-09-12'!$B:$M, 11, 0),0)</f>
        <v>15</v>
      </c>
      <c r="W1392" s="46">
        <f t="shared" si="322"/>
        <v>30</v>
      </c>
      <c r="X1392" s="46">
        <f t="shared" si="323"/>
        <v>7</v>
      </c>
      <c r="Y1392" s="46">
        <f>IFERROR(IF(OR(C1392="AREA I",C1392="AREA V"),7,VLOOKUP(A1392,'[1]MC Masterlist 2026-09-12'!$B:$M, 12, 0)),0)</f>
        <v>7</v>
      </c>
      <c r="Z1392" s="46">
        <f t="shared" si="324"/>
        <v>0</v>
      </c>
      <c r="AA1392" s="46">
        <f t="shared" si="325"/>
        <v>0</v>
      </c>
      <c r="AB1392" s="46">
        <f t="shared" si="326"/>
        <v>0</v>
      </c>
      <c r="AC1392" s="46">
        <f t="shared" si="327"/>
        <v>0</v>
      </c>
      <c r="AD1392" s="44" t="str">
        <f t="shared" si="328"/>
        <v>Over</v>
      </c>
      <c r="AE1392" s="44" t="str">
        <f>IFERROR(VLOOKUP(A1392,'[1]Re-order'!$A:$AA,27,0),"")</f>
        <v>Stockout</v>
      </c>
      <c r="AF1392" s="46">
        <f t="shared" si="329"/>
        <v>-176</v>
      </c>
      <c r="AG1392" s="46">
        <f>SUMIFS('[1]Raw Inventory'!D:D,'[1]Raw Inventory'!C:C,"GREATWALL",'[1]Raw Inventory'!B:B,A1392)</f>
        <v>176</v>
      </c>
      <c r="AH1392" s="46">
        <f>SUMIFS('[1]Raw Inventory'!D:D,'[1]Raw Inventory'!C:C,"DUARTE",'[1]Raw Inventory'!B:B,A1392)</f>
        <v>0</v>
      </c>
      <c r="AI1392" s="46"/>
      <c r="AJ1392" s="46"/>
      <c r="AK1392" s="43"/>
      <c r="AL1392" s="43"/>
      <c r="AM1392" s="43"/>
      <c r="AN1392" s="43"/>
      <c r="AO1392" s="43"/>
      <c r="AP1392" s="43"/>
      <c r="AQ1392" s="43"/>
      <c r="AR1392" s="43"/>
      <c r="AS1392" s="43"/>
      <c r="AT1392" s="43"/>
    </row>
    <row r="1393" spans="1:46">
      <c r="A1393" s="43" t="s">
        <v>12</v>
      </c>
      <c r="B1393" s="43" t="s">
        <v>95</v>
      </c>
      <c r="C1393" s="43" t="s">
        <v>90</v>
      </c>
      <c r="D1393" s="44" t="s">
        <v>230</v>
      </c>
      <c r="E1393" s="44">
        <v>6</v>
      </c>
      <c r="F1393" s="44" t="s">
        <v>0</v>
      </c>
      <c r="G1393" s="43" t="str">
        <f>IFERROR(VLOOKUP(A1393,'[1]MC Masterlist 2026-09-12'!$B:$M, 3, 0),"")</f>
        <v>HONDA</v>
      </c>
      <c r="H1393" s="45">
        <f>IFERROR(VLOOKUP(A1393,'[1]MC Masterlist 2026-09-12'!$B:$M, 6, 0),"")</f>
        <v>158270</v>
      </c>
      <c r="I1393" s="46">
        <v>2</v>
      </c>
      <c r="J1393" s="46">
        <v>0</v>
      </c>
      <c r="K1393" s="46">
        <v>0</v>
      </c>
      <c r="L1393" s="46">
        <f t="shared" si="315"/>
        <v>2</v>
      </c>
      <c r="M1393" s="46">
        <f t="shared" si="316"/>
        <v>0.66666666666666663</v>
      </c>
      <c r="N1393" s="45">
        <f t="shared" si="317"/>
        <v>316540</v>
      </c>
      <c r="O1393" s="45">
        <f t="shared" si="318"/>
        <v>105513.33333333333</v>
      </c>
      <c r="P1393" s="46">
        <f t="shared" si="319"/>
        <v>2.222222222222222E-2</v>
      </c>
      <c r="Q1393" s="46">
        <v>3</v>
      </c>
      <c r="R1393" s="45">
        <f t="shared" si="320"/>
        <v>474810</v>
      </c>
      <c r="S1393" s="46">
        <f t="shared" si="321"/>
        <v>135</v>
      </c>
      <c r="T1393" s="46">
        <f>IFERROR(VLOOKUP(A1393,'[1]Re-order'!$A:$Q,17,0),"")</f>
        <v>46.461038961038959</v>
      </c>
      <c r="U1393" s="46">
        <f>IFERROR(VLOOKUP(A1393,'[1]MC Masterlist 2026-09-12'!$B:$M, 10, 0),0)</f>
        <v>15</v>
      </c>
      <c r="V1393" s="46">
        <f>IFERROR(VLOOKUP(A1393,'[1]MC Masterlist 2026-09-12'!$B:$M, 11, 0),0)</f>
        <v>15</v>
      </c>
      <c r="W1393" s="46">
        <f t="shared" si="322"/>
        <v>30</v>
      </c>
      <c r="X1393" s="46">
        <f t="shared" si="323"/>
        <v>29.666666666666668</v>
      </c>
      <c r="Y1393" s="46">
        <f>IFERROR(IF(OR(C1393="AREA I",C1393="AREA V"),7,VLOOKUP(A1393,'[1]MC Masterlist 2026-09-12'!$B:$M, 12, 0)),0)</f>
        <v>30</v>
      </c>
      <c r="Z1393" s="46">
        <f t="shared" si="324"/>
        <v>0.33333333333333331</v>
      </c>
      <c r="AA1393" s="46">
        <f t="shared" si="325"/>
        <v>0.66666666666666663</v>
      </c>
      <c r="AB1393" s="46">
        <f t="shared" si="326"/>
        <v>0.65925925925925921</v>
      </c>
      <c r="AC1393" s="46">
        <f t="shared" si="327"/>
        <v>0.66666666666666663</v>
      </c>
      <c r="AD1393" s="44" t="str">
        <f t="shared" si="328"/>
        <v>Over</v>
      </c>
      <c r="AE1393" s="44" t="str">
        <f>IFERROR(VLOOKUP(A1393,'[1]Re-order'!$A:$AA,27,0),"")</f>
        <v>Re-order</v>
      </c>
      <c r="AF1393" s="46">
        <f t="shared" si="329"/>
        <v>-2.3333333333333335</v>
      </c>
      <c r="AG1393" s="46">
        <f>SUMIFS('[1]Raw Inventory'!D:D,'[1]Raw Inventory'!C:C,"GREATWALL",'[1]Raw Inventory'!B:B,A1393)</f>
        <v>35</v>
      </c>
      <c r="AH1393" s="46">
        <f>SUMIFS('[1]Raw Inventory'!D:D,'[1]Raw Inventory'!C:C,"DUARTE",'[1]Raw Inventory'!B:B,A1393)</f>
        <v>0</v>
      </c>
      <c r="AI1393" s="46"/>
      <c r="AJ1393" s="46"/>
      <c r="AK1393" s="43"/>
      <c r="AL1393" s="43"/>
      <c r="AM1393" s="43"/>
      <c r="AN1393" s="43"/>
      <c r="AO1393" s="43"/>
      <c r="AP1393" s="43"/>
      <c r="AQ1393" s="43"/>
      <c r="AR1393" s="43"/>
      <c r="AS1393" s="43"/>
      <c r="AT1393" s="43"/>
    </row>
    <row r="1394" spans="1:46">
      <c r="A1394" s="43" t="s">
        <v>12</v>
      </c>
      <c r="B1394" s="43" t="s">
        <v>142</v>
      </c>
      <c r="C1394" s="43" t="s">
        <v>137</v>
      </c>
      <c r="D1394" s="44" t="s">
        <v>229</v>
      </c>
      <c r="E1394" s="44">
        <v>26</v>
      </c>
      <c r="F1394" s="44" t="s">
        <v>3</v>
      </c>
      <c r="G1394" s="43" t="str">
        <f>IFERROR(VLOOKUP(A1394,'[1]MC Masterlist 2026-09-12'!$B:$M, 3, 0),"")</f>
        <v>HONDA</v>
      </c>
      <c r="H1394" s="45">
        <f>IFERROR(VLOOKUP(A1394,'[1]MC Masterlist 2026-09-12'!$B:$M, 6, 0),"")</f>
        <v>158270</v>
      </c>
      <c r="I1394" s="46">
        <v>0</v>
      </c>
      <c r="J1394" s="46">
        <v>0</v>
      </c>
      <c r="K1394" s="46">
        <v>0</v>
      </c>
      <c r="L1394" s="46">
        <f t="shared" si="315"/>
        <v>0</v>
      </c>
      <c r="M1394" s="46">
        <f t="shared" si="316"/>
        <v>0</v>
      </c>
      <c r="N1394" s="45">
        <f t="shared" si="317"/>
        <v>0</v>
      </c>
      <c r="O1394" s="45">
        <f t="shared" si="318"/>
        <v>0</v>
      </c>
      <c r="P1394" s="46">
        <f t="shared" si="319"/>
        <v>0</v>
      </c>
      <c r="Q1394" s="46">
        <v>1</v>
      </c>
      <c r="R1394" s="45">
        <f t="shared" si="320"/>
        <v>158270</v>
      </c>
      <c r="S1394" s="46">
        <f t="shared" si="321"/>
        <v>0</v>
      </c>
      <c r="T1394" s="46">
        <f>IFERROR(VLOOKUP(A1394,'[1]Re-order'!$A:$Q,17,0),"")</f>
        <v>46.461038961038959</v>
      </c>
      <c r="U1394" s="46">
        <f>IFERROR(VLOOKUP(A1394,'[1]MC Masterlist 2026-09-12'!$B:$M, 10, 0),0)</f>
        <v>15</v>
      </c>
      <c r="V1394" s="46">
        <f>IFERROR(VLOOKUP(A1394,'[1]MC Masterlist 2026-09-12'!$B:$M, 11, 0),0)</f>
        <v>15</v>
      </c>
      <c r="W1394" s="46">
        <f t="shared" si="322"/>
        <v>30</v>
      </c>
      <c r="X1394" s="46">
        <f t="shared" si="323"/>
        <v>7</v>
      </c>
      <c r="Y1394" s="46">
        <f>IFERROR(IF(OR(C1394="AREA I",C1394="AREA V"),7,VLOOKUP(A1394,'[1]MC Masterlist 2026-09-12'!$B:$M, 12, 0)),0)</f>
        <v>7</v>
      </c>
      <c r="Z1394" s="46">
        <f t="shared" si="324"/>
        <v>0</v>
      </c>
      <c r="AA1394" s="46">
        <f t="shared" si="325"/>
        <v>0</v>
      </c>
      <c r="AB1394" s="46">
        <f t="shared" si="326"/>
        <v>0</v>
      </c>
      <c r="AC1394" s="46">
        <f t="shared" si="327"/>
        <v>0</v>
      </c>
      <c r="AD1394" s="44" t="str">
        <f t="shared" si="328"/>
        <v>Over</v>
      </c>
      <c r="AE1394" s="44" t="str">
        <f>IFERROR(VLOOKUP(A1394,'[1]Re-order'!$A:$AA,27,0),"")</f>
        <v>Re-order</v>
      </c>
      <c r="AF1394" s="46">
        <f t="shared" si="329"/>
        <v>-1</v>
      </c>
      <c r="AG1394" s="46">
        <f>SUMIFS('[1]Raw Inventory'!D:D,'[1]Raw Inventory'!C:C,"GREATWALL",'[1]Raw Inventory'!B:B,A1394)</f>
        <v>35</v>
      </c>
      <c r="AH1394" s="46">
        <f>SUMIFS('[1]Raw Inventory'!D:D,'[1]Raw Inventory'!C:C,"DUARTE",'[1]Raw Inventory'!B:B,A1394)</f>
        <v>0</v>
      </c>
      <c r="AI1394" s="46"/>
      <c r="AJ1394" s="46"/>
      <c r="AK1394" s="43"/>
      <c r="AL1394" s="43"/>
      <c r="AM1394" s="43"/>
      <c r="AN1394" s="43"/>
      <c r="AO1394" s="43"/>
      <c r="AP1394" s="43"/>
      <c r="AQ1394" s="43"/>
      <c r="AR1394" s="43"/>
      <c r="AS1394" s="43"/>
      <c r="AT1394" s="43"/>
    </row>
    <row r="1395" spans="1:46">
      <c r="A1395" s="43" t="s">
        <v>59</v>
      </c>
      <c r="B1395" s="43" t="s">
        <v>132</v>
      </c>
      <c r="C1395" s="43" t="s">
        <v>128</v>
      </c>
      <c r="D1395" s="44" t="s">
        <v>239</v>
      </c>
      <c r="E1395" s="44">
        <v>30</v>
      </c>
      <c r="F1395" s="44" t="s">
        <v>3</v>
      </c>
      <c r="G1395" s="43" t="str">
        <f>IFERROR(VLOOKUP(A1395,'[1]MC Masterlist 2026-09-12'!$B:$M, 3, 0),"")</f>
        <v>HONDA</v>
      </c>
      <c r="H1395" s="45">
        <f>IFERROR(VLOOKUP(A1395,'[1]MC Masterlist 2026-09-12'!$B:$M, 6, 0),"")</f>
        <v>147230</v>
      </c>
      <c r="I1395" s="46">
        <v>0</v>
      </c>
      <c r="J1395" s="46">
        <v>0</v>
      </c>
      <c r="K1395" s="46">
        <v>0</v>
      </c>
      <c r="L1395" s="46">
        <f t="shared" si="315"/>
        <v>0</v>
      </c>
      <c r="M1395" s="46">
        <f t="shared" si="316"/>
        <v>0</v>
      </c>
      <c r="N1395" s="45">
        <f t="shared" si="317"/>
        <v>0</v>
      </c>
      <c r="O1395" s="45">
        <f t="shared" si="318"/>
        <v>0</v>
      </c>
      <c r="P1395" s="46">
        <f t="shared" si="319"/>
        <v>0</v>
      </c>
      <c r="Q1395" s="46">
        <v>1</v>
      </c>
      <c r="R1395" s="45">
        <f t="shared" si="320"/>
        <v>147230</v>
      </c>
      <c r="S1395" s="46">
        <f t="shared" si="321"/>
        <v>0</v>
      </c>
      <c r="T1395" s="46">
        <f>IFERROR(VLOOKUP(A1395,'[1]Re-order'!$A:$Q,17,0),"")</f>
        <v>101.25</v>
      </c>
      <c r="U1395" s="46">
        <f>IFERROR(VLOOKUP(A1395,'[1]MC Masterlist 2026-09-12'!$B:$M, 10, 0),0)</f>
        <v>15</v>
      </c>
      <c r="V1395" s="46">
        <f>IFERROR(VLOOKUP(A1395,'[1]MC Masterlist 2026-09-12'!$B:$M, 11, 0),0)</f>
        <v>15</v>
      </c>
      <c r="W1395" s="46">
        <f t="shared" si="322"/>
        <v>30</v>
      </c>
      <c r="X1395" s="46">
        <f t="shared" si="323"/>
        <v>30</v>
      </c>
      <c r="Y1395" s="46">
        <f>IFERROR(IF(OR(C1395="AREA I",C1395="AREA V"),7,VLOOKUP(A1395,'[1]MC Masterlist 2026-09-12'!$B:$M, 12, 0)),0)</f>
        <v>30</v>
      </c>
      <c r="Z1395" s="46">
        <f t="shared" si="324"/>
        <v>0</v>
      </c>
      <c r="AA1395" s="46">
        <f t="shared" si="325"/>
        <v>0</v>
      </c>
      <c r="AB1395" s="46">
        <f t="shared" si="326"/>
        <v>0</v>
      </c>
      <c r="AC1395" s="46">
        <f t="shared" si="327"/>
        <v>0</v>
      </c>
      <c r="AD1395" s="44" t="str">
        <f t="shared" si="328"/>
        <v>Over</v>
      </c>
      <c r="AE1395" s="44" t="str">
        <f>IFERROR(VLOOKUP(A1395,'[1]Re-order'!$A:$AA,27,0),"")</f>
        <v>Over</v>
      </c>
      <c r="AF1395" s="46">
        <f t="shared" si="329"/>
        <v>-1</v>
      </c>
      <c r="AG1395" s="46">
        <f>SUMIFS('[1]Raw Inventory'!D:D,'[1]Raw Inventory'!C:C,"GREATWALL",'[1]Raw Inventory'!B:B,A1395)</f>
        <v>0</v>
      </c>
      <c r="AH1395" s="46">
        <f>SUMIFS('[1]Raw Inventory'!D:D,'[1]Raw Inventory'!C:C,"DUARTE",'[1]Raw Inventory'!B:B,A1395)</f>
        <v>0</v>
      </c>
      <c r="AI1395" s="46"/>
      <c r="AJ1395" s="46"/>
      <c r="AK1395" s="43"/>
      <c r="AL1395" s="43"/>
      <c r="AM1395" s="43"/>
      <c r="AN1395" s="43"/>
      <c r="AO1395" s="43"/>
      <c r="AP1395" s="43"/>
      <c r="AQ1395" s="43"/>
      <c r="AR1395" s="43"/>
      <c r="AS1395" s="43"/>
      <c r="AT1395" s="43"/>
    </row>
    <row r="1396" spans="1:46">
      <c r="A1396" s="43" t="s">
        <v>78</v>
      </c>
      <c r="B1396" s="43" t="s">
        <v>158</v>
      </c>
      <c r="C1396" s="43" t="s">
        <v>152</v>
      </c>
      <c r="D1396" s="44" t="s">
        <v>261</v>
      </c>
      <c r="E1396" s="44">
        <v>18</v>
      </c>
      <c r="F1396" s="44" t="s">
        <v>2</v>
      </c>
      <c r="G1396" s="43" t="str">
        <f>IFERROR(VLOOKUP(A1396,'[1]MC Masterlist 2026-09-12'!$B:$M, 3, 0),"")</f>
        <v>KAWASAKI</v>
      </c>
      <c r="H1396" s="45">
        <f>IFERROR(VLOOKUP(A1396,'[1]MC Masterlist 2026-09-12'!$B:$M, 6, 0),"")</f>
        <v>100700</v>
      </c>
      <c r="I1396" s="46">
        <v>0</v>
      </c>
      <c r="J1396" s="46">
        <v>0</v>
      </c>
      <c r="K1396" s="46">
        <v>1</v>
      </c>
      <c r="L1396" s="46">
        <f t="shared" si="315"/>
        <v>1</v>
      </c>
      <c r="M1396" s="46">
        <f t="shared" si="316"/>
        <v>0.33333333333333331</v>
      </c>
      <c r="N1396" s="45">
        <f t="shared" si="317"/>
        <v>100700</v>
      </c>
      <c r="O1396" s="45">
        <f t="shared" si="318"/>
        <v>33566.666666666664</v>
      </c>
      <c r="P1396" s="46">
        <f t="shared" si="319"/>
        <v>1.111111111111111E-2</v>
      </c>
      <c r="Q1396" s="46">
        <v>3</v>
      </c>
      <c r="R1396" s="45">
        <f t="shared" si="320"/>
        <v>302100</v>
      </c>
      <c r="S1396" s="46">
        <f t="shared" si="321"/>
        <v>270</v>
      </c>
      <c r="T1396" s="46">
        <f>IFERROR(VLOOKUP(A1396,'[1]Re-order'!$A:$Q,17,0),"")</f>
        <v>438.75000000000006</v>
      </c>
      <c r="U1396" s="46">
        <f>IFERROR(VLOOKUP(A1396,'[1]MC Masterlist 2026-09-12'!$B:$M, 10, 0),0)</f>
        <v>15</v>
      </c>
      <c r="V1396" s="46">
        <f>IFERROR(VLOOKUP(A1396,'[1]MC Masterlist 2026-09-12'!$B:$M, 11, 0),0)</f>
        <v>15</v>
      </c>
      <c r="W1396" s="46">
        <f t="shared" si="322"/>
        <v>30</v>
      </c>
      <c r="X1396" s="46">
        <f t="shared" si="323"/>
        <v>29.833333333333332</v>
      </c>
      <c r="Y1396" s="46">
        <f>IFERROR(IF(OR(C1396="AREA I",C1396="AREA V"),7,VLOOKUP(A1396,'[1]MC Masterlist 2026-09-12'!$B:$M, 12, 0)),0)</f>
        <v>30</v>
      </c>
      <c r="Z1396" s="46">
        <f t="shared" si="324"/>
        <v>0.16666666666666666</v>
      </c>
      <c r="AA1396" s="46">
        <f t="shared" si="325"/>
        <v>0.33333333333333331</v>
      </c>
      <c r="AB1396" s="46">
        <f t="shared" si="326"/>
        <v>0.33148148148148143</v>
      </c>
      <c r="AC1396" s="46">
        <f t="shared" si="327"/>
        <v>0.33333333333333331</v>
      </c>
      <c r="AD1396" s="44" t="str">
        <f t="shared" si="328"/>
        <v>Over</v>
      </c>
      <c r="AE1396" s="44" t="str">
        <f>IFERROR(VLOOKUP(A1396,'[1]Re-order'!$A:$AA,27,0),"")</f>
        <v>Over</v>
      </c>
      <c r="AF1396" s="46">
        <f t="shared" si="329"/>
        <v>-2.6666666666666665</v>
      </c>
      <c r="AG1396" s="46">
        <f>SUMIFS('[1]Raw Inventory'!D:D,'[1]Raw Inventory'!C:C,"GREATWALL",'[1]Raw Inventory'!B:B,A1396)</f>
        <v>26</v>
      </c>
      <c r="AH1396" s="46">
        <f>SUMIFS('[1]Raw Inventory'!D:D,'[1]Raw Inventory'!C:C,"DUARTE",'[1]Raw Inventory'!B:B,A1396)</f>
        <v>0</v>
      </c>
      <c r="AI1396" s="46"/>
      <c r="AJ1396" s="46"/>
      <c r="AK1396" s="43"/>
      <c r="AL1396" s="43"/>
      <c r="AM1396" s="43"/>
      <c r="AN1396" s="43"/>
      <c r="AO1396" s="43"/>
      <c r="AP1396" s="43"/>
      <c r="AQ1396" s="43"/>
      <c r="AR1396" s="43"/>
      <c r="AS1396" s="43"/>
      <c r="AT1396" s="43"/>
    </row>
    <row r="1397" spans="1:46">
      <c r="A1397" s="43" t="s">
        <v>48</v>
      </c>
      <c r="B1397" s="43" t="s">
        <v>142</v>
      </c>
      <c r="C1397" s="43" t="s">
        <v>137</v>
      </c>
      <c r="D1397" s="44" t="s">
        <v>232</v>
      </c>
      <c r="E1397" s="44">
        <v>26</v>
      </c>
      <c r="F1397" s="44" t="s">
        <v>3</v>
      </c>
      <c r="G1397" s="43" t="str">
        <f>IFERROR(VLOOKUP(A1397,'[1]MC Masterlist 2026-09-12'!$B:$M, 3, 0),"")</f>
        <v>SUZUKI</v>
      </c>
      <c r="H1397" s="45">
        <f>IFERROR(VLOOKUP(A1397,'[1]MC Masterlist 2026-09-12'!$B:$M, 6, 0),"")</f>
        <v>82687</v>
      </c>
      <c r="I1397" s="46">
        <v>0</v>
      </c>
      <c r="J1397" s="46">
        <v>0</v>
      </c>
      <c r="K1397" s="46">
        <v>0</v>
      </c>
      <c r="L1397" s="46">
        <f t="shared" si="315"/>
        <v>0</v>
      </c>
      <c r="M1397" s="46">
        <f t="shared" si="316"/>
        <v>0</v>
      </c>
      <c r="N1397" s="45">
        <f t="shared" si="317"/>
        <v>0</v>
      </c>
      <c r="O1397" s="45">
        <f t="shared" si="318"/>
        <v>0</v>
      </c>
      <c r="P1397" s="46">
        <f t="shared" si="319"/>
        <v>0</v>
      </c>
      <c r="Q1397" s="46">
        <v>1</v>
      </c>
      <c r="R1397" s="45">
        <f t="shared" si="320"/>
        <v>82687</v>
      </c>
      <c r="S1397" s="46">
        <f t="shared" si="321"/>
        <v>0</v>
      </c>
      <c r="T1397" s="46">
        <f>IFERROR(VLOOKUP(A1397,'[1]Re-order'!$A:$Q,17,0),"")</f>
        <v>303.75</v>
      </c>
      <c r="U1397" s="46">
        <f>IFERROR(VLOOKUP(A1397,'[1]MC Masterlist 2026-09-12'!$B:$M, 10, 0),0)</f>
        <v>15</v>
      </c>
      <c r="V1397" s="46">
        <f>IFERROR(VLOOKUP(A1397,'[1]MC Masterlist 2026-09-12'!$B:$M, 11, 0),0)</f>
        <v>15</v>
      </c>
      <c r="W1397" s="46">
        <f t="shared" si="322"/>
        <v>30</v>
      </c>
      <c r="X1397" s="46">
        <f t="shared" si="323"/>
        <v>7</v>
      </c>
      <c r="Y1397" s="46">
        <f>IFERROR(IF(OR(C1397="AREA I",C1397="AREA V"),7,VLOOKUP(A1397,'[1]MC Masterlist 2026-09-12'!$B:$M, 12, 0)),0)</f>
        <v>7</v>
      </c>
      <c r="Z1397" s="46">
        <f t="shared" si="324"/>
        <v>0</v>
      </c>
      <c r="AA1397" s="46">
        <f t="shared" si="325"/>
        <v>0</v>
      </c>
      <c r="AB1397" s="46">
        <f t="shared" si="326"/>
        <v>0</v>
      </c>
      <c r="AC1397" s="46">
        <f t="shared" si="327"/>
        <v>0</v>
      </c>
      <c r="AD1397" s="44" t="str">
        <f t="shared" si="328"/>
        <v>Over</v>
      </c>
      <c r="AE1397" s="44" t="str">
        <f>IFERROR(VLOOKUP(A1397,'[1]Re-order'!$A:$AA,27,0),"")</f>
        <v>Over</v>
      </c>
      <c r="AF1397" s="46">
        <f t="shared" si="329"/>
        <v>-1</v>
      </c>
      <c r="AG1397" s="46">
        <f>SUMIFS('[1]Raw Inventory'!D:D,'[1]Raw Inventory'!C:C,"GREATWALL",'[1]Raw Inventory'!B:B,A1397)</f>
        <v>10</v>
      </c>
      <c r="AH1397" s="46">
        <f>SUMIFS('[1]Raw Inventory'!D:D,'[1]Raw Inventory'!C:C,"DUARTE",'[1]Raw Inventory'!B:B,A1397)</f>
        <v>0</v>
      </c>
      <c r="AI1397" s="46"/>
      <c r="AJ1397" s="46"/>
      <c r="AK1397" s="43"/>
      <c r="AL1397" s="43"/>
      <c r="AM1397" s="43"/>
      <c r="AN1397" s="43"/>
      <c r="AO1397" s="43"/>
      <c r="AP1397" s="43"/>
      <c r="AQ1397" s="43"/>
      <c r="AR1397" s="43"/>
      <c r="AS1397" s="43"/>
      <c r="AT1397" s="43"/>
    </row>
    <row r="1398" spans="1:46">
      <c r="A1398" s="43" t="s">
        <v>52</v>
      </c>
      <c r="B1398" s="43" t="s">
        <v>96</v>
      </c>
      <c r="C1398" s="43" t="s">
        <v>90</v>
      </c>
      <c r="D1398" s="44" t="s">
        <v>241</v>
      </c>
      <c r="E1398" s="44">
        <v>7</v>
      </c>
      <c r="F1398" s="44" t="s">
        <v>3</v>
      </c>
      <c r="G1398" s="43" t="str">
        <f>IFERROR(VLOOKUP(A1398,'[1]MC Masterlist 2026-09-12'!$B:$M, 3, 0),"")</f>
        <v>YAMAHA</v>
      </c>
      <c r="H1398" s="45">
        <f>IFERROR(VLOOKUP(A1398,'[1]MC Masterlist 2026-09-12'!$B:$M, 6, 0),"")</f>
        <v>85446</v>
      </c>
      <c r="I1398" s="46">
        <v>0</v>
      </c>
      <c r="J1398" s="46">
        <v>0</v>
      </c>
      <c r="K1398" s="46">
        <v>0</v>
      </c>
      <c r="L1398" s="46">
        <f t="shared" si="315"/>
        <v>0</v>
      </c>
      <c r="M1398" s="46">
        <f t="shared" si="316"/>
        <v>0</v>
      </c>
      <c r="N1398" s="45">
        <f t="shared" si="317"/>
        <v>0</v>
      </c>
      <c r="O1398" s="45">
        <f t="shared" si="318"/>
        <v>0</v>
      </c>
      <c r="P1398" s="46">
        <f t="shared" si="319"/>
        <v>0</v>
      </c>
      <c r="Q1398" s="46">
        <v>1</v>
      </c>
      <c r="R1398" s="45">
        <f t="shared" si="320"/>
        <v>85446</v>
      </c>
      <c r="S1398" s="46">
        <f t="shared" si="321"/>
        <v>0</v>
      </c>
      <c r="T1398" s="46">
        <f>IFERROR(VLOOKUP(A1398,'[1]Re-order'!$A:$Q,17,0),"")</f>
        <v>95.454545454545453</v>
      </c>
      <c r="U1398" s="46">
        <f>IFERROR(VLOOKUP(A1398,'[1]MC Masterlist 2026-09-12'!$B:$M, 10, 0),0)</f>
        <v>15</v>
      </c>
      <c r="V1398" s="46">
        <f>IFERROR(VLOOKUP(A1398,'[1]MC Masterlist 2026-09-12'!$B:$M, 11, 0),0)</f>
        <v>15</v>
      </c>
      <c r="W1398" s="46">
        <f t="shared" si="322"/>
        <v>30</v>
      </c>
      <c r="X1398" s="46">
        <f t="shared" si="323"/>
        <v>30</v>
      </c>
      <c r="Y1398" s="46">
        <f>IFERROR(IF(OR(C1398="AREA I",C1398="AREA V"),7,VLOOKUP(A1398,'[1]MC Masterlist 2026-09-12'!$B:$M, 12, 0)),0)</f>
        <v>30</v>
      </c>
      <c r="Z1398" s="46">
        <f t="shared" si="324"/>
        <v>0</v>
      </c>
      <c r="AA1398" s="46">
        <f t="shared" si="325"/>
        <v>0</v>
      </c>
      <c r="AB1398" s="46">
        <f t="shared" si="326"/>
        <v>0</v>
      </c>
      <c r="AC1398" s="46">
        <f t="shared" si="327"/>
        <v>0</v>
      </c>
      <c r="AD1398" s="44" t="str">
        <f t="shared" si="328"/>
        <v>Over</v>
      </c>
      <c r="AE1398" s="44" t="str">
        <f>IFERROR(VLOOKUP(A1398,'[1]Re-order'!$A:$AA,27,0),"")</f>
        <v>Over</v>
      </c>
      <c r="AF1398" s="46">
        <f t="shared" si="329"/>
        <v>-1</v>
      </c>
      <c r="AG1398" s="46">
        <f>SUMIFS('[1]Raw Inventory'!D:D,'[1]Raw Inventory'!C:C,"GREATWALL",'[1]Raw Inventory'!B:B,A1398)</f>
        <v>0</v>
      </c>
      <c r="AH1398" s="46">
        <f>SUMIFS('[1]Raw Inventory'!D:D,'[1]Raw Inventory'!C:C,"DUARTE",'[1]Raw Inventory'!B:B,A1398)</f>
        <v>0</v>
      </c>
      <c r="AI1398" s="46"/>
      <c r="AJ1398" s="46"/>
      <c r="AK1398" s="43"/>
      <c r="AL1398" s="43"/>
      <c r="AM1398" s="43"/>
      <c r="AN1398" s="43"/>
      <c r="AO1398" s="43"/>
      <c r="AP1398" s="43"/>
      <c r="AQ1398" s="43"/>
      <c r="AR1398" s="43"/>
      <c r="AS1398" s="43"/>
      <c r="AT1398" s="43"/>
    </row>
    <row r="1399" spans="1:46">
      <c r="A1399" s="43" t="s">
        <v>17</v>
      </c>
      <c r="B1399" s="43" t="s">
        <v>145</v>
      </c>
      <c r="C1399" s="43" t="s">
        <v>137</v>
      </c>
      <c r="D1399" s="44" t="s">
        <v>224</v>
      </c>
      <c r="E1399" s="44">
        <v>11</v>
      </c>
      <c r="F1399" s="44" t="s">
        <v>2</v>
      </c>
      <c r="G1399" s="43" t="str">
        <f>IFERROR(VLOOKUP(A1399,'[1]MC Masterlist 2026-09-12'!$B:$M, 3, 0),"")</f>
        <v>HONDA</v>
      </c>
      <c r="H1399" s="45">
        <f>IFERROR(VLOOKUP(A1399,'[1]MC Masterlist 2026-09-12'!$B:$M, 6, 0),"")</f>
        <v>140790</v>
      </c>
      <c r="I1399" s="46">
        <v>2</v>
      </c>
      <c r="J1399" s="46">
        <v>0</v>
      </c>
      <c r="K1399" s="46">
        <v>0</v>
      </c>
      <c r="L1399" s="46">
        <f t="shared" si="315"/>
        <v>2</v>
      </c>
      <c r="M1399" s="46">
        <f t="shared" si="316"/>
        <v>0.66666666666666663</v>
      </c>
      <c r="N1399" s="45">
        <f t="shared" si="317"/>
        <v>281580</v>
      </c>
      <c r="O1399" s="45">
        <f t="shared" si="318"/>
        <v>93860</v>
      </c>
      <c r="P1399" s="46">
        <f t="shared" si="319"/>
        <v>2.222222222222222E-2</v>
      </c>
      <c r="Q1399" s="46">
        <v>3</v>
      </c>
      <c r="R1399" s="45">
        <f t="shared" si="320"/>
        <v>422370</v>
      </c>
      <c r="S1399" s="46">
        <f t="shared" si="321"/>
        <v>135</v>
      </c>
      <c r="T1399" s="46">
        <f>IFERROR(VLOOKUP(A1399,'[1]Re-order'!$A:$Q,17,0),"")</f>
        <v>43.663366336633665</v>
      </c>
      <c r="U1399" s="46">
        <f>IFERROR(VLOOKUP(A1399,'[1]MC Masterlist 2026-09-12'!$B:$M, 10, 0),0)</f>
        <v>15</v>
      </c>
      <c r="V1399" s="46">
        <f>IFERROR(VLOOKUP(A1399,'[1]MC Masterlist 2026-09-12'!$B:$M, 11, 0),0)</f>
        <v>15</v>
      </c>
      <c r="W1399" s="46">
        <f t="shared" si="322"/>
        <v>30</v>
      </c>
      <c r="X1399" s="46">
        <f t="shared" si="323"/>
        <v>6.666666666666667</v>
      </c>
      <c r="Y1399" s="46">
        <f>IFERROR(IF(OR(C1399="AREA I",C1399="AREA V"),7,VLOOKUP(A1399,'[1]MC Masterlist 2026-09-12'!$B:$M, 12, 0)),0)</f>
        <v>7</v>
      </c>
      <c r="Z1399" s="46">
        <f t="shared" si="324"/>
        <v>0.33333333333333331</v>
      </c>
      <c r="AA1399" s="46">
        <f t="shared" si="325"/>
        <v>0.66666666666666663</v>
      </c>
      <c r="AB1399" s="46">
        <f t="shared" si="326"/>
        <v>0.14814814814814814</v>
      </c>
      <c r="AC1399" s="46">
        <f t="shared" si="327"/>
        <v>0.15555555555555553</v>
      </c>
      <c r="AD1399" s="44" t="str">
        <f t="shared" si="328"/>
        <v>Over</v>
      </c>
      <c r="AE1399" s="44" t="str">
        <f>IFERROR(VLOOKUP(A1399,'[1]Re-order'!$A:$AA,27,0),"")</f>
        <v>Re-order</v>
      </c>
      <c r="AF1399" s="46">
        <f t="shared" si="329"/>
        <v>-2.8444444444444446</v>
      </c>
      <c r="AG1399" s="46">
        <f>SUMIFS('[1]Raw Inventory'!D:D,'[1]Raw Inventory'!C:C,"GREATWALL",'[1]Raw Inventory'!B:B,A1399)</f>
        <v>12</v>
      </c>
      <c r="AH1399" s="46">
        <f>SUMIFS('[1]Raw Inventory'!D:D,'[1]Raw Inventory'!C:C,"DUARTE",'[1]Raw Inventory'!B:B,A1399)</f>
        <v>0</v>
      </c>
      <c r="AI1399" s="46"/>
      <c r="AJ1399" s="46"/>
      <c r="AK1399" s="43"/>
      <c r="AL1399" s="43"/>
      <c r="AM1399" s="43"/>
      <c r="AN1399" s="43"/>
      <c r="AO1399" s="43"/>
      <c r="AP1399" s="43"/>
      <c r="AQ1399" s="43"/>
      <c r="AR1399" s="43"/>
      <c r="AS1399" s="43"/>
      <c r="AT1399" s="43"/>
    </row>
    <row r="1400" spans="1:46">
      <c r="A1400" s="43" t="s">
        <v>18</v>
      </c>
      <c r="B1400" s="43" t="s">
        <v>114</v>
      </c>
      <c r="C1400" s="43" t="s">
        <v>109</v>
      </c>
      <c r="D1400" s="44" t="s">
        <v>258</v>
      </c>
      <c r="E1400" s="44">
        <v>30</v>
      </c>
      <c r="F1400" s="44" t="s">
        <v>3</v>
      </c>
      <c r="G1400" s="43" t="str">
        <f>IFERROR(VLOOKUP(A1400,'[1]MC Masterlist 2026-09-12'!$B:$M, 3, 0),"")</f>
        <v>HONDA</v>
      </c>
      <c r="H1400" s="45">
        <f>IFERROR(VLOOKUP(A1400,'[1]MC Masterlist 2026-09-12'!$B:$M, 6, 0),"")</f>
        <v>94330</v>
      </c>
      <c r="I1400" s="46">
        <v>0</v>
      </c>
      <c r="J1400" s="46">
        <v>0</v>
      </c>
      <c r="K1400" s="46">
        <v>0</v>
      </c>
      <c r="L1400" s="46">
        <f t="shared" si="315"/>
        <v>0</v>
      </c>
      <c r="M1400" s="46">
        <f t="shared" si="316"/>
        <v>0</v>
      </c>
      <c r="N1400" s="45">
        <f t="shared" si="317"/>
        <v>0</v>
      </c>
      <c r="O1400" s="45">
        <f t="shared" si="318"/>
        <v>0</v>
      </c>
      <c r="P1400" s="46">
        <f t="shared" si="319"/>
        <v>0</v>
      </c>
      <c r="Q1400" s="46">
        <v>2</v>
      </c>
      <c r="R1400" s="45">
        <f t="shared" si="320"/>
        <v>188660</v>
      </c>
      <c r="S1400" s="46">
        <f t="shared" si="321"/>
        <v>0</v>
      </c>
      <c r="T1400" s="46">
        <f>IFERROR(VLOOKUP(A1400,'[1]Re-order'!$A:$Q,17,0),"")</f>
        <v>113.9644970414201</v>
      </c>
      <c r="U1400" s="46">
        <f>IFERROR(VLOOKUP(A1400,'[1]MC Masterlist 2026-09-12'!$B:$M, 10, 0),0)</f>
        <v>15</v>
      </c>
      <c r="V1400" s="46">
        <f>IFERROR(VLOOKUP(A1400,'[1]MC Masterlist 2026-09-12'!$B:$M, 11, 0),0)</f>
        <v>15</v>
      </c>
      <c r="W1400" s="46">
        <f t="shared" si="322"/>
        <v>30</v>
      </c>
      <c r="X1400" s="46">
        <f t="shared" si="323"/>
        <v>30</v>
      </c>
      <c r="Y1400" s="46">
        <f>IFERROR(IF(OR(C1400="AREA I",C1400="AREA V"),7,VLOOKUP(A1400,'[1]MC Masterlist 2026-09-12'!$B:$M, 12, 0)),0)</f>
        <v>30</v>
      </c>
      <c r="Z1400" s="46">
        <f t="shared" si="324"/>
        <v>0</v>
      </c>
      <c r="AA1400" s="46">
        <f t="shared" si="325"/>
        <v>0</v>
      </c>
      <c r="AB1400" s="46">
        <f t="shared" si="326"/>
        <v>0</v>
      </c>
      <c r="AC1400" s="46">
        <f t="shared" si="327"/>
        <v>0</v>
      </c>
      <c r="AD1400" s="44" t="str">
        <f t="shared" si="328"/>
        <v>Over</v>
      </c>
      <c r="AE1400" s="44" t="str">
        <f>IFERROR(VLOOKUP(A1400,'[1]Re-order'!$A:$AA,27,0),"")</f>
        <v>Over</v>
      </c>
      <c r="AF1400" s="46">
        <f t="shared" si="329"/>
        <v>-2</v>
      </c>
      <c r="AG1400" s="46">
        <f>SUMIFS('[1]Raw Inventory'!D:D,'[1]Raw Inventory'!C:C,"GREATWALL",'[1]Raw Inventory'!B:B,A1400)</f>
        <v>88</v>
      </c>
      <c r="AH1400" s="46">
        <f>SUMIFS('[1]Raw Inventory'!D:D,'[1]Raw Inventory'!C:C,"DUARTE",'[1]Raw Inventory'!B:B,A1400)</f>
        <v>0</v>
      </c>
      <c r="AI1400" s="46"/>
      <c r="AJ1400" s="46"/>
      <c r="AK1400" s="43"/>
      <c r="AL1400" s="43"/>
      <c r="AM1400" s="43"/>
      <c r="AN1400" s="43"/>
      <c r="AO1400" s="43"/>
      <c r="AP1400" s="43"/>
      <c r="AQ1400" s="43"/>
      <c r="AR1400" s="43"/>
      <c r="AS1400" s="43"/>
      <c r="AT1400" s="43"/>
    </row>
    <row r="1401" spans="1:46">
      <c r="A1401" s="43" t="s">
        <v>36</v>
      </c>
      <c r="B1401" s="43" t="s">
        <v>162</v>
      </c>
      <c r="C1401" s="43" t="s">
        <v>159</v>
      </c>
      <c r="D1401" s="44" t="s">
        <v>246</v>
      </c>
      <c r="E1401" s="44">
        <v>10</v>
      </c>
      <c r="F1401" s="44" t="s">
        <v>2</v>
      </c>
      <c r="G1401" s="43" t="str">
        <f>IFERROR(VLOOKUP(A1401,'[1]MC Masterlist 2026-09-12'!$B:$M, 3, 0),"")</f>
        <v>HONDA</v>
      </c>
      <c r="H1401" s="45">
        <f>IFERROR(VLOOKUP(A1401,'[1]MC Masterlist 2026-09-12'!$B:$M, 6, 0),"")</f>
        <v>76850</v>
      </c>
      <c r="I1401" s="46">
        <v>2</v>
      </c>
      <c r="J1401" s="46">
        <v>1</v>
      </c>
      <c r="K1401" s="46">
        <v>0</v>
      </c>
      <c r="L1401" s="46">
        <f t="shared" si="315"/>
        <v>3</v>
      </c>
      <c r="M1401" s="46">
        <f t="shared" si="316"/>
        <v>1</v>
      </c>
      <c r="N1401" s="45">
        <f t="shared" si="317"/>
        <v>230550</v>
      </c>
      <c r="O1401" s="45">
        <f t="shared" si="318"/>
        <v>76850</v>
      </c>
      <c r="P1401" s="46">
        <f t="shared" si="319"/>
        <v>3.3333333333333333E-2</v>
      </c>
      <c r="Q1401" s="46">
        <v>6</v>
      </c>
      <c r="R1401" s="45">
        <f t="shared" si="320"/>
        <v>461100</v>
      </c>
      <c r="S1401" s="46">
        <f t="shared" si="321"/>
        <v>180</v>
      </c>
      <c r="T1401" s="46">
        <f>IFERROR(VLOOKUP(A1401,'[1]Re-order'!$A:$Q,17,0),"")</f>
        <v>137.24999999999997</v>
      </c>
      <c r="U1401" s="46">
        <f>IFERROR(VLOOKUP(A1401,'[1]MC Masterlist 2026-09-12'!$B:$M, 10, 0),0)</f>
        <v>15</v>
      </c>
      <c r="V1401" s="46">
        <f>IFERROR(VLOOKUP(A1401,'[1]MC Masterlist 2026-09-12'!$B:$M, 11, 0),0)</f>
        <v>15</v>
      </c>
      <c r="W1401" s="46">
        <f t="shared" si="322"/>
        <v>30</v>
      </c>
      <c r="X1401" s="46">
        <f t="shared" si="323"/>
        <v>29.5</v>
      </c>
      <c r="Y1401" s="46">
        <f>IFERROR(IF(OR(C1401="AREA I",C1401="AREA V"),7,VLOOKUP(A1401,'[1]MC Masterlist 2026-09-12'!$B:$M, 12, 0)),0)</f>
        <v>30</v>
      </c>
      <c r="Z1401" s="46">
        <f t="shared" si="324"/>
        <v>0.5</v>
      </c>
      <c r="AA1401" s="46">
        <f t="shared" si="325"/>
        <v>1</v>
      </c>
      <c r="AB1401" s="46">
        <f t="shared" si="326"/>
        <v>0.98333333333333328</v>
      </c>
      <c r="AC1401" s="46">
        <f t="shared" si="327"/>
        <v>1</v>
      </c>
      <c r="AD1401" s="44" t="str">
        <f t="shared" si="328"/>
        <v>Over</v>
      </c>
      <c r="AE1401" s="44" t="str">
        <f>IFERROR(VLOOKUP(A1401,'[1]Re-order'!$A:$AA,27,0),"")</f>
        <v>Over</v>
      </c>
      <c r="AF1401" s="46">
        <f t="shared" si="329"/>
        <v>-5</v>
      </c>
      <c r="AG1401" s="46">
        <f>SUMIFS('[1]Raw Inventory'!D:D,'[1]Raw Inventory'!C:C,"GREATWALL",'[1]Raw Inventory'!B:B,A1401)</f>
        <v>18</v>
      </c>
      <c r="AH1401" s="46">
        <f>SUMIFS('[1]Raw Inventory'!D:D,'[1]Raw Inventory'!C:C,"DUARTE",'[1]Raw Inventory'!B:B,A1401)</f>
        <v>0</v>
      </c>
      <c r="AI1401" s="46"/>
      <c r="AJ1401" s="46"/>
      <c r="AK1401" s="43"/>
      <c r="AL1401" s="43"/>
      <c r="AM1401" s="43"/>
      <c r="AN1401" s="43"/>
      <c r="AO1401" s="43"/>
      <c r="AP1401" s="43"/>
      <c r="AQ1401" s="43"/>
      <c r="AR1401" s="43"/>
      <c r="AS1401" s="43"/>
      <c r="AT1401" s="43"/>
    </row>
    <row r="1402" spans="1:46">
      <c r="A1402" s="43" t="s">
        <v>37</v>
      </c>
      <c r="B1402" s="43" t="s">
        <v>143</v>
      </c>
      <c r="C1402" s="43" t="s">
        <v>137</v>
      </c>
      <c r="D1402" s="44" t="s">
        <v>264</v>
      </c>
      <c r="E1402" s="44">
        <v>7</v>
      </c>
      <c r="F1402" s="44" t="s">
        <v>0</v>
      </c>
      <c r="G1402" s="43" t="str">
        <f>IFERROR(VLOOKUP(A1402,'[1]MC Masterlist 2026-09-12'!$B:$M, 3, 0),"")</f>
        <v>HONDA</v>
      </c>
      <c r="H1402" s="45">
        <f>IFERROR(VLOOKUP(A1402,'[1]MC Masterlist 2026-09-12'!$B:$M, 6, 0),"")</f>
        <v>74550</v>
      </c>
      <c r="I1402" s="46">
        <v>3</v>
      </c>
      <c r="J1402" s="46">
        <v>3</v>
      </c>
      <c r="K1402" s="46">
        <v>5</v>
      </c>
      <c r="L1402" s="46">
        <f t="shared" si="315"/>
        <v>11</v>
      </c>
      <c r="M1402" s="46">
        <f t="shared" si="316"/>
        <v>3.6666666666666665</v>
      </c>
      <c r="N1402" s="45">
        <f t="shared" si="317"/>
        <v>820050</v>
      </c>
      <c r="O1402" s="45">
        <f t="shared" si="318"/>
        <v>273350</v>
      </c>
      <c r="P1402" s="46">
        <f t="shared" si="319"/>
        <v>0.12222222222222222</v>
      </c>
      <c r="Q1402" s="46">
        <v>2</v>
      </c>
      <c r="R1402" s="45">
        <f t="shared" si="320"/>
        <v>149100</v>
      </c>
      <c r="S1402" s="46">
        <f t="shared" si="321"/>
        <v>16.363636363636363</v>
      </c>
      <c r="T1402" s="46">
        <f>IFERROR(VLOOKUP(A1402,'[1]Re-order'!$A:$Q,17,0),"")</f>
        <v>33.652173913043477</v>
      </c>
      <c r="U1402" s="46">
        <f>IFERROR(VLOOKUP(A1402,'[1]MC Masterlist 2026-09-12'!$B:$M, 10, 0),0)</f>
        <v>15</v>
      </c>
      <c r="V1402" s="46">
        <f>IFERROR(VLOOKUP(A1402,'[1]MC Masterlist 2026-09-12'!$B:$M, 11, 0),0)</f>
        <v>15</v>
      </c>
      <c r="W1402" s="46">
        <f t="shared" si="322"/>
        <v>30</v>
      </c>
      <c r="X1402" s="46">
        <f t="shared" si="323"/>
        <v>5.166666666666667</v>
      </c>
      <c r="Y1402" s="46">
        <f>IFERROR(IF(OR(C1402="AREA I",C1402="AREA V"),7,VLOOKUP(A1402,'[1]MC Masterlist 2026-09-12'!$B:$M, 12, 0)),0)</f>
        <v>7</v>
      </c>
      <c r="Z1402" s="46">
        <f t="shared" si="324"/>
        <v>1.8333333333333333</v>
      </c>
      <c r="AA1402" s="46">
        <f t="shared" si="325"/>
        <v>3.6666666666666665</v>
      </c>
      <c r="AB1402" s="46">
        <f t="shared" si="326"/>
        <v>0.63148148148148153</v>
      </c>
      <c r="AC1402" s="46">
        <f t="shared" si="327"/>
        <v>0.85555555555555551</v>
      </c>
      <c r="AD1402" s="44" t="str">
        <f t="shared" si="328"/>
        <v>Over</v>
      </c>
      <c r="AE1402" s="44" t="str">
        <f>IFERROR(VLOOKUP(A1402,'[1]Re-order'!$A:$AA,27,0),"")</f>
        <v>Re-order</v>
      </c>
      <c r="AF1402" s="46">
        <f t="shared" si="329"/>
        <v>-1.1444444444444444</v>
      </c>
      <c r="AG1402" s="46">
        <f>SUMIFS('[1]Raw Inventory'!D:D,'[1]Raw Inventory'!C:C,"GREATWALL",'[1]Raw Inventory'!B:B,A1402)</f>
        <v>28</v>
      </c>
      <c r="AH1402" s="46">
        <f>SUMIFS('[1]Raw Inventory'!D:D,'[1]Raw Inventory'!C:C,"DUARTE",'[1]Raw Inventory'!B:B,A1402)</f>
        <v>0</v>
      </c>
      <c r="AI1402" s="46"/>
      <c r="AJ1402" s="46"/>
      <c r="AK1402" s="43"/>
      <c r="AL1402" s="43"/>
      <c r="AM1402" s="43"/>
      <c r="AN1402" s="43"/>
      <c r="AO1402" s="43"/>
      <c r="AP1402" s="43"/>
      <c r="AQ1402" s="43"/>
      <c r="AR1402" s="43"/>
      <c r="AS1402" s="43"/>
      <c r="AT1402" s="43"/>
    </row>
    <row r="1403" spans="1:46">
      <c r="A1403" s="43" t="s">
        <v>85</v>
      </c>
      <c r="B1403" s="43" t="s">
        <v>143</v>
      </c>
      <c r="C1403" s="43" t="s">
        <v>137</v>
      </c>
      <c r="D1403" s="44" t="s">
        <v>276</v>
      </c>
      <c r="E1403" s="44">
        <v>26</v>
      </c>
      <c r="F1403" s="44" t="s">
        <v>3</v>
      </c>
      <c r="G1403" s="43" t="str">
        <f>IFERROR(VLOOKUP(A1403,'[1]MC Masterlist 2026-09-12'!$B:$M, 3, 0),"")</f>
        <v>KAWASAKI</v>
      </c>
      <c r="H1403" s="45">
        <f>IFERROR(VLOOKUP(A1403,'[1]MC Masterlist 2026-09-12'!$B:$M, 6, 0),"")</f>
        <v>71560</v>
      </c>
      <c r="I1403" s="46">
        <v>0</v>
      </c>
      <c r="J1403" s="46">
        <v>0</v>
      </c>
      <c r="K1403" s="46">
        <v>0</v>
      </c>
      <c r="L1403" s="46">
        <f t="shared" si="315"/>
        <v>0</v>
      </c>
      <c r="M1403" s="46">
        <f t="shared" si="316"/>
        <v>0</v>
      </c>
      <c r="N1403" s="45">
        <f t="shared" si="317"/>
        <v>0</v>
      </c>
      <c r="O1403" s="45">
        <f t="shared" si="318"/>
        <v>0</v>
      </c>
      <c r="P1403" s="46">
        <f t="shared" si="319"/>
        <v>0</v>
      </c>
      <c r="Q1403" s="46">
        <v>1</v>
      </c>
      <c r="R1403" s="45">
        <f t="shared" si="320"/>
        <v>71560</v>
      </c>
      <c r="S1403" s="46">
        <f t="shared" si="321"/>
        <v>0</v>
      </c>
      <c r="T1403" s="46">
        <f>IFERROR(VLOOKUP(A1403,'[1]Re-order'!$A:$Q,17,0),"")</f>
        <v>157.5</v>
      </c>
      <c r="U1403" s="46">
        <f>IFERROR(VLOOKUP(A1403,'[1]MC Masterlist 2026-09-12'!$B:$M, 10, 0),0)</f>
        <v>15</v>
      </c>
      <c r="V1403" s="46">
        <f>IFERROR(VLOOKUP(A1403,'[1]MC Masterlist 2026-09-12'!$B:$M, 11, 0),0)</f>
        <v>15</v>
      </c>
      <c r="W1403" s="46">
        <f t="shared" si="322"/>
        <v>30</v>
      </c>
      <c r="X1403" s="46">
        <f t="shared" si="323"/>
        <v>7</v>
      </c>
      <c r="Y1403" s="46">
        <f>IFERROR(IF(OR(C1403="AREA I",C1403="AREA V"),7,VLOOKUP(A1403,'[1]MC Masterlist 2026-09-12'!$B:$M, 12, 0)),0)</f>
        <v>7</v>
      </c>
      <c r="Z1403" s="46">
        <f t="shared" si="324"/>
        <v>0</v>
      </c>
      <c r="AA1403" s="46">
        <f t="shared" si="325"/>
        <v>0</v>
      </c>
      <c r="AB1403" s="46">
        <f t="shared" si="326"/>
        <v>0</v>
      </c>
      <c r="AC1403" s="46">
        <f t="shared" si="327"/>
        <v>0</v>
      </c>
      <c r="AD1403" s="44" t="str">
        <f t="shared" si="328"/>
        <v>Over</v>
      </c>
      <c r="AE1403" s="44" t="str">
        <f>IFERROR(VLOOKUP(A1403,'[1]Re-order'!$A:$AA,27,0),"")</f>
        <v>Over</v>
      </c>
      <c r="AF1403" s="46">
        <f t="shared" si="329"/>
        <v>-1</v>
      </c>
      <c r="AG1403" s="46">
        <f>SUMIFS('[1]Raw Inventory'!D:D,'[1]Raw Inventory'!C:C,"GREATWALL",'[1]Raw Inventory'!B:B,A1403)</f>
        <v>0</v>
      </c>
      <c r="AH1403" s="46">
        <f>SUMIFS('[1]Raw Inventory'!D:D,'[1]Raw Inventory'!C:C,"DUARTE",'[1]Raw Inventory'!B:B,A1403)</f>
        <v>0</v>
      </c>
      <c r="AI1403" s="46"/>
      <c r="AJ1403" s="46"/>
      <c r="AK1403" s="43"/>
      <c r="AL1403" s="43"/>
      <c r="AM1403" s="43"/>
      <c r="AN1403" s="43"/>
      <c r="AO1403" s="43"/>
      <c r="AP1403" s="43"/>
      <c r="AQ1403" s="43"/>
      <c r="AR1403" s="43"/>
      <c r="AS1403" s="43"/>
      <c r="AT1403" s="43"/>
    </row>
    <row r="1404" spans="1:46">
      <c r="A1404" s="43" t="s">
        <v>76</v>
      </c>
      <c r="B1404" s="43" t="s">
        <v>129</v>
      </c>
      <c r="C1404" s="43" t="s">
        <v>128</v>
      </c>
      <c r="D1404" s="44" t="s">
        <v>265</v>
      </c>
      <c r="E1404" s="44">
        <v>24</v>
      </c>
      <c r="F1404" s="44" t="s">
        <v>3</v>
      </c>
      <c r="G1404" s="43" t="str">
        <f>IFERROR(VLOOKUP(A1404,'[1]MC Masterlist 2026-09-12'!$B:$M, 3, 0),"")</f>
        <v>SUZUKI</v>
      </c>
      <c r="H1404" s="45">
        <f>IFERROR(VLOOKUP(A1404,'[1]MC Masterlist 2026-09-12'!$B:$M, 6, 0),"")</f>
        <v>62692</v>
      </c>
      <c r="I1404" s="46">
        <v>0</v>
      </c>
      <c r="J1404" s="46">
        <v>0</v>
      </c>
      <c r="K1404" s="46">
        <v>0</v>
      </c>
      <c r="L1404" s="46">
        <f t="shared" si="315"/>
        <v>0</v>
      </c>
      <c r="M1404" s="46">
        <f t="shared" si="316"/>
        <v>0</v>
      </c>
      <c r="N1404" s="45">
        <f t="shared" si="317"/>
        <v>0</v>
      </c>
      <c r="O1404" s="45">
        <f t="shared" si="318"/>
        <v>0</v>
      </c>
      <c r="P1404" s="46">
        <f t="shared" si="319"/>
        <v>0</v>
      </c>
      <c r="Q1404" s="46">
        <v>2</v>
      </c>
      <c r="R1404" s="45">
        <f t="shared" si="320"/>
        <v>125384</v>
      </c>
      <c r="S1404" s="46">
        <f t="shared" si="321"/>
        <v>0</v>
      </c>
      <c r="T1404" s="46">
        <f>IFERROR(VLOOKUP(A1404,'[1]Re-order'!$A:$Q,17,0),"")</f>
        <v>106.36363636363636</v>
      </c>
      <c r="U1404" s="46">
        <f>IFERROR(VLOOKUP(A1404,'[1]MC Masterlist 2026-09-12'!$B:$M, 10, 0),0)</f>
        <v>15</v>
      </c>
      <c r="V1404" s="46">
        <f>IFERROR(VLOOKUP(A1404,'[1]MC Masterlist 2026-09-12'!$B:$M, 11, 0),0)</f>
        <v>15</v>
      </c>
      <c r="W1404" s="46">
        <f t="shared" si="322"/>
        <v>30</v>
      </c>
      <c r="X1404" s="46">
        <f t="shared" si="323"/>
        <v>30</v>
      </c>
      <c r="Y1404" s="46">
        <f>IFERROR(IF(OR(C1404="AREA I",C1404="AREA V"),7,VLOOKUP(A1404,'[1]MC Masterlist 2026-09-12'!$B:$M, 12, 0)),0)</f>
        <v>30</v>
      </c>
      <c r="Z1404" s="46">
        <f t="shared" si="324"/>
        <v>0</v>
      </c>
      <c r="AA1404" s="46">
        <f t="shared" si="325"/>
        <v>0</v>
      </c>
      <c r="AB1404" s="46">
        <f t="shared" si="326"/>
        <v>0</v>
      </c>
      <c r="AC1404" s="46">
        <f t="shared" si="327"/>
        <v>0</v>
      </c>
      <c r="AD1404" s="44" t="str">
        <f t="shared" si="328"/>
        <v>Over</v>
      </c>
      <c r="AE1404" s="44" t="str">
        <f>IFERROR(VLOOKUP(A1404,'[1]Re-order'!$A:$AA,27,0),"")</f>
        <v>Over</v>
      </c>
      <c r="AF1404" s="46">
        <f t="shared" si="329"/>
        <v>-2</v>
      </c>
      <c r="AG1404" s="46">
        <f>SUMIFS('[1]Raw Inventory'!D:D,'[1]Raw Inventory'!C:C,"GREATWALL",'[1]Raw Inventory'!B:B,A1404)</f>
        <v>1</v>
      </c>
      <c r="AH1404" s="46">
        <f>SUMIFS('[1]Raw Inventory'!D:D,'[1]Raw Inventory'!C:C,"DUARTE",'[1]Raw Inventory'!B:B,A1404)</f>
        <v>0</v>
      </c>
      <c r="AI1404" s="46"/>
      <c r="AJ1404" s="46"/>
      <c r="AK1404" s="43"/>
      <c r="AL1404" s="43"/>
      <c r="AM1404" s="43"/>
      <c r="AN1404" s="43"/>
      <c r="AO1404" s="43"/>
      <c r="AP1404" s="43"/>
      <c r="AQ1404" s="43"/>
      <c r="AR1404" s="43"/>
      <c r="AS1404" s="43"/>
      <c r="AT1404" s="43"/>
    </row>
    <row r="1405" spans="1:46">
      <c r="A1405" s="43" t="s">
        <v>35</v>
      </c>
      <c r="B1405" s="43" t="s">
        <v>130</v>
      </c>
      <c r="C1405" s="43" t="s">
        <v>128</v>
      </c>
      <c r="D1405" s="44" t="s">
        <v>266</v>
      </c>
      <c r="E1405" s="44">
        <v>20</v>
      </c>
      <c r="F1405" s="44" t="s">
        <v>2</v>
      </c>
      <c r="G1405" s="43" t="str">
        <f>IFERROR(VLOOKUP(A1405,'[1]MC Masterlist 2026-09-12'!$B:$M, 3, 0),"")</f>
        <v>HONDA</v>
      </c>
      <c r="H1405" s="45">
        <f>IFERROR(VLOOKUP(A1405,'[1]MC Masterlist 2026-09-12'!$B:$M, 6, 0),"")</f>
        <v>57990</v>
      </c>
      <c r="I1405" s="46">
        <v>1</v>
      </c>
      <c r="J1405" s="46">
        <v>1</v>
      </c>
      <c r="K1405" s="46">
        <v>1</v>
      </c>
      <c r="L1405" s="46">
        <f t="shared" si="315"/>
        <v>3</v>
      </c>
      <c r="M1405" s="46">
        <f t="shared" si="316"/>
        <v>1</v>
      </c>
      <c r="N1405" s="45">
        <f t="shared" si="317"/>
        <v>173970</v>
      </c>
      <c r="O1405" s="45">
        <f t="shared" si="318"/>
        <v>57990</v>
      </c>
      <c r="P1405" s="46">
        <f t="shared" si="319"/>
        <v>3.3333333333333333E-2</v>
      </c>
      <c r="Q1405" s="46">
        <v>2</v>
      </c>
      <c r="R1405" s="45">
        <f t="shared" si="320"/>
        <v>115980</v>
      </c>
      <c r="S1405" s="46">
        <f t="shared" si="321"/>
        <v>60</v>
      </c>
      <c r="T1405" s="46">
        <f>IFERROR(VLOOKUP(A1405,'[1]Re-order'!$A:$Q,17,0),"")</f>
        <v>68.275862068965523</v>
      </c>
      <c r="U1405" s="46">
        <f>IFERROR(VLOOKUP(A1405,'[1]MC Masterlist 2026-09-12'!$B:$M, 10, 0),0)</f>
        <v>15</v>
      </c>
      <c r="V1405" s="46">
        <f>IFERROR(VLOOKUP(A1405,'[1]MC Masterlist 2026-09-12'!$B:$M, 11, 0),0)</f>
        <v>15</v>
      </c>
      <c r="W1405" s="46">
        <f t="shared" si="322"/>
        <v>30</v>
      </c>
      <c r="X1405" s="46">
        <f t="shared" si="323"/>
        <v>29.5</v>
      </c>
      <c r="Y1405" s="46">
        <f>IFERROR(IF(OR(C1405="AREA I",C1405="AREA V"),7,VLOOKUP(A1405,'[1]MC Masterlist 2026-09-12'!$B:$M, 12, 0)),0)</f>
        <v>30</v>
      </c>
      <c r="Z1405" s="46">
        <f t="shared" si="324"/>
        <v>0.5</v>
      </c>
      <c r="AA1405" s="46">
        <f t="shared" si="325"/>
        <v>1</v>
      </c>
      <c r="AB1405" s="46">
        <f t="shared" si="326"/>
        <v>0.98333333333333328</v>
      </c>
      <c r="AC1405" s="46">
        <f t="shared" si="327"/>
        <v>1</v>
      </c>
      <c r="AD1405" s="44" t="str">
        <f t="shared" si="328"/>
        <v>Over</v>
      </c>
      <c r="AE1405" s="44" t="str">
        <f>IFERROR(VLOOKUP(A1405,'[1]Re-order'!$A:$AA,27,0),"")</f>
        <v>Re-order</v>
      </c>
      <c r="AF1405" s="46">
        <f t="shared" si="329"/>
        <v>-1</v>
      </c>
      <c r="AG1405" s="46">
        <f>SUMIFS('[1]Raw Inventory'!D:D,'[1]Raw Inventory'!C:C,"GREATWALL",'[1]Raw Inventory'!B:B,A1405)</f>
        <v>29</v>
      </c>
      <c r="AH1405" s="46">
        <f>SUMIFS('[1]Raw Inventory'!D:D,'[1]Raw Inventory'!C:C,"DUARTE",'[1]Raw Inventory'!B:B,A1405)</f>
        <v>0</v>
      </c>
      <c r="AI1405" s="46"/>
      <c r="AJ1405" s="46"/>
      <c r="AK1405" s="43"/>
      <c r="AL1405" s="43"/>
      <c r="AM1405" s="43"/>
      <c r="AN1405" s="43"/>
      <c r="AO1405" s="43"/>
      <c r="AP1405" s="43"/>
      <c r="AQ1405" s="43"/>
      <c r="AR1405" s="43"/>
      <c r="AS1405" s="43"/>
      <c r="AT1405" s="43"/>
    </row>
    <row r="1406" spans="1:46">
      <c r="A1406" s="43" t="s">
        <v>45</v>
      </c>
      <c r="B1406" s="43" t="s">
        <v>154</v>
      </c>
      <c r="C1406" s="43" t="s">
        <v>152</v>
      </c>
      <c r="D1406" s="44" t="s">
        <v>221</v>
      </c>
      <c r="E1406" s="44">
        <v>22</v>
      </c>
      <c r="F1406" s="44" t="s">
        <v>3</v>
      </c>
      <c r="G1406" s="43" t="str">
        <f>IFERROR(VLOOKUP(A1406,'[1]MC Masterlist 2026-09-12'!$B:$M, 3, 0),"")</f>
        <v>YAMAHA</v>
      </c>
      <c r="H1406" s="45">
        <f>IFERROR(VLOOKUP(A1406,'[1]MC Masterlist 2026-09-12'!$B:$M, 6, 0),"")</f>
        <v>117087</v>
      </c>
      <c r="I1406" s="46">
        <v>0</v>
      </c>
      <c r="J1406" s="46">
        <v>1</v>
      </c>
      <c r="K1406" s="46">
        <v>0</v>
      </c>
      <c r="L1406" s="46">
        <f t="shared" si="315"/>
        <v>1</v>
      </c>
      <c r="M1406" s="46">
        <f t="shared" si="316"/>
        <v>0.33333333333333331</v>
      </c>
      <c r="N1406" s="45">
        <f t="shared" si="317"/>
        <v>117087</v>
      </c>
      <c r="O1406" s="45">
        <f t="shared" si="318"/>
        <v>39029</v>
      </c>
      <c r="P1406" s="46">
        <f t="shared" si="319"/>
        <v>1.111111111111111E-2</v>
      </c>
      <c r="Q1406" s="46"/>
      <c r="R1406" s="45">
        <f t="shared" si="320"/>
        <v>0</v>
      </c>
      <c r="S1406" s="46">
        <f t="shared" si="321"/>
        <v>0</v>
      </c>
      <c r="T1406" s="46">
        <f>IFERROR(VLOOKUP(A1406,'[1]Re-order'!$A:$Q,17,0),"")</f>
        <v>18.94736842105263</v>
      </c>
      <c r="U1406" s="46">
        <f>IFERROR(VLOOKUP(A1406,'[1]MC Masterlist 2026-09-12'!$B:$M, 10, 0),0)</f>
        <v>15</v>
      </c>
      <c r="V1406" s="46">
        <f>IFERROR(VLOOKUP(A1406,'[1]MC Masterlist 2026-09-12'!$B:$M, 11, 0),0)</f>
        <v>15</v>
      </c>
      <c r="W1406" s="46">
        <f t="shared" si="322"/>
        <v>30</v>
      </c>
      <c r="X1406" s="46">
        <f t="shared" si="323"/>
        <v>29.833333333333332</v>
      </c>
      <c r="Y1406" s="46">
        <f>IFERROR(IF(OR(C1406="AREA I",C1406="AREA V"),7,VLOOKUP(A1406,'[1]MC Masterlist 2026-09-12'!$B:$M, 12, 0)),0)</f>
        <v>30</v>
      </c>
      <c r="Z1406" s="46">
        <f t="shared" si="324"/>
        <v>0.16666666666666666</v>
      </c>
      <c r="AA1406" s="46">
        <f t="shared" si="325"/>
        <v>0.33333333333333331</v>
      </c>
      <c r="AB1406" s="46">
        <f t="shared" si="326"/>
        <v>0.33148148148148143</v>
      </c>
      <c r="AC1406" s="46">
        <f t="shared" si="327"/>
        <v>0.33333333333333331</v>
      </c>
      <c r="AD1406" s="44" t="str">
        <f t="shared" si="328"/>
        <v>Stockout</v>
      </c>
      <c r="AE1406" s="44" t="str">
        <f>IFERROR(VLOOKUP(A1406,'[1]Re-order'!$A:$AA,27,0),"")</f>
        <v>Stockout</v>
      </c>
      <c r="AF1406" s="46">
        <f t="shared" si="329"/>
        <v>0.33333333333333331</v>
      </c>
      <c r="AG1406" s="46">
        <f>SUMIFS('[1]Raw Inventory'!D:D,'[1]Raw Inventory'!C:C,"GREATWALL",'[1]Raw Inventory'!B:B,A1406)</f>
        <v>5</v>
      </c>
      <c r="AH1406" s="46">
        <f>SUMIFS('[1]Raw Inventory'!D:D,'[1]Raw Inventory'!C:C,"DUARTE",'[1]Raw Inventory'!B:B,A1406)</f>
        <v>0</v>
      </c>
      <c r="AI1406" s="46"/>
      <c r="AJ1406" s="46"/>
      <c r="AK1406" s="43"/>
      <c r="AL1406" s="43"/>
      <c r="AM1406" s="43"/>
      <c r="AN1406" s="43"/>
      <c r="AO1406" s="43"/>
      <c r="AP1406" s="43"/>
      <c r="AQ1406" s="43"/>
      <c r="AR1406" s="43"/>
      <c r="AS1406" s="43"/>
      <c r="AT1406" s="43"/>
    </row>
    <row r="1407" spans="1:46">
      <c r="A1407" s="43" t="s">
        <v>64</v>
      </c>
      <c r="B1407" s="43" t="s">
        <v>113</v>
      </c>
      <c r="C1407" s="43" t="s">
        <v>109</v>
      </c>
      <c r="D1407" s="44" t="s">
        <v>266</v>
      </c>
      <c r="E1407" s="44">
        <v>18</v>
      </c>
      <c r="F1407" s="44" t="s">
        <v>2</v>
      </c>
      <c r="G1407" s="43" t="str">
        <f>IFERROR(VLOOKUP(A1407,'[1]MC Masterlist 2026-09-12'!$B:$M, 3, 0),"")</f>
        <v>HONDA</v>
      </c>
      <c r="H1407" s="45">
        <f>IFERROR(VLOOKUP(A1407,'[1]MC Masterlist 2026-09-12'!$B:$M, 6, 0),"")</f>
        <v>73170</v>
      </c>
      <c r="I1407" s="46">
        <v>0</v>
      </c>
      <c r="J1407" s="46">
        <v>4</v>
      </c>
      <c r="K1407" s="46">
        <v>0</v>
      </c>
      <c r="L1407" s="46">
        <f t="shared" si="315"/>
        <v>4</v>
      </c>
      <c r="M1407" s="46">
        <f t="shared" si="316"/>
        <v>1.3333333333333333</v>
      </c>
      <c r="N1407" s="45">
        <f t="shared" si="317"/>
        <v>292680</v>
      </c>
      <c r="O1407" s="45">
        <f t="shared" si="318"/>
        <v>97560</v>
      </c>
      <c r="P1407" s="46">
        <f t="shared" si="319"/>
        <v>4.4444444444444439E-2</v>
      </c>
      <c r="Q1407" s="46">
        <v>3</v>
      </c>
      <c r="R1407" s="45">
        <f t="shared" si="320"/>
        <v>219510</v>
      </c>
      <c r="S1407" s="46">
        <f t="shared" si="321"/>
        <v>67.5</v>
      </c>
      <c r="T1407" s="46">
        <f>IFERROR(VLOOKUP(A1407,'[1]Re-order'!$A:$Q,17,0),"")</f>
        <v>76.153846153846146</v>
      </c>
      <c r="U1407" s="46">
        <f>IFERROR(VLOOKUP(A1407,'[1]MC Masterlist 2026-09-12'!$B:$M, 10, 0),0)</f>
        <v>15</v>
      </c>
      <c r="V1407" s="46">
        <f>IFERROR(VLOOKUP(A1407,'[1]MC Masterlist 2026-09-12'!$B:$M, 11, 0),0)</f>
        <v>15</v>
      </c>
      <c r="W1407" s="46">
        <f t="shared" si="322"/>
        <v>30</v>
      </c>
      <c r="X1407" s="46">
        <f t="shared" si="323"/>
        <v>29.333333333333332</v>
      </c>
      <c r="Y1407" s="46">
        <f>IFERROR(IF(OR(C1407="AREA I",C1407="AREA V"),7,VLOOKUP(A1407,'[1]MC Masterlist 2026-09-12'!$B:$M, 12, 0)),0)</f>
        <v>30</v>
      </c>
      <c r="Z1407" s="46">
        <f t="shared" si="324"/>
        <v>0.66666666666666663</v>
      </c>
      <c r="AA1407" s="46">
        <f t="shared" si="325"/>
        <v>1.3333333333333333</v>
      </c>
      <c r="AB1407" s="46">
        <f t="shared" si="326"/>
        <v>1.3037037037037036</v>
      </c>
      <c r="AC1407" s="46">
        <f t="shared" si="327"/>
        <v>1.3333333333333333</v>
      </c>
      <c r="AD1407" s="44" t="str">
        <f t="shared" si="328"/>
        <v>Over</v>
      </c>
      <c r="AE1407" s="44" t="str">
        <f>IFERROR(VLOOKUP(A1407,'[1]Re-order'!$A:$AA,27,0),"")</f>
        <v/>
      </c>
      <c r="AF1407" s="46">
        <f t="shared" si="329"/>
        <v>-1.6666666666666667</v>
      </c>
      <c r="AG1407" s="46">
        <f>SUMIFS('[1]Raw Inventory'!D:D,'[1]Raw Inventory'!C:C,"GREATWALL",'[1]Raw Inventory'!B:B,A1407)</f>
        <v>13</v>
      </c>
      <c r="AH1407" s="46">
        <f>SUMIFS('[1]Raw Inventory'!D:D,'[1]Raw Inventory'!C:C,"DUARTE",'[1]Raw Inventory'!B:B,A1407)</f>
        <v>0</v>
      </c>
      <c r="AI1407" s="46"/>
      <c r="AJ1407" s="46"/>
      <c r="AK1407" s="43"/>
      <c r="AL1407" s="43"/>
      <c r="AM1407" s="43"/>
      <c r="AN1407" s="43"/>
      <c r="AO1407" s="43"/>
      <c r="AP1407" s="43"/>
      <c r="AQ1407" s="43"/>
      <c r="AR1407" s="43"/>
      <c r="AS1407" s="43"/>
      <c r="AT1407" s="43"/>
    </row>
    <row r="1408" spans="1:46">
      <c r="A1408" s="43" t="s">
        <v>17</v>
      </c>
      <c r="B1408" s="43" t="s">
        <v>111</v>
      </c>
      <c r="C1408" s="43" t="s">
        <v>109</v>
      </c>
      <c r="D1408" s="44" t="s">
        <v>233</v>
      </c>
      <c r="E1408" s="44">
        <v>7</v>
      </c>
      <c r="F1408" s="44" t="s">
        <v>2</v>
      </c>
      <c r="G1408" s="43" t="str">
        <f>IFERROR(VLOOKUP(A1408,'[1]MC Masterlist 2026-09-12'!$B:$M, 3, 0),"")</f>
        <v>HONDA</v>
      </c>
      <c r="H1408" s="45">
        <f>IFERROR(VLOOKUP(A1408,'[1]MC Masterlist 2026-09-12'!$B:$M, 6, 0),"")</f>
        <v>140790</v>
      </c>
      <c r="I1408" s="46">
        <v>1</v>
      </c>
      <c r="J1408" s="46">
        <v>2</v>
      </c>
      <c r="K1408" s="46">
        <v>1</v>
      </c>
      <c r="L1408" s="46">
        <f t="shared" si="315"/>
        <v>4</v>
      </c>
      <c r="M1408" s="46">
        <f t="shared" si="316"/>
        <v>1.3333333333333333</v>
      </c>
      <c r="N1408" s="45">
        <f t="shared" si="317"/>
        <v>563160</v>
      </c>
      <c r="O1408" s="45">
        <f t="shared" si="318"/>
        <v>187720</v>
      </c>
      <c r="P1408" s="46">
        <f t="shared" si="319"/>
        <v>4.4444444444444439E-2</v>
      </c>
      <c r="Q1408" s="46">
        <v>2</v>
      </c>
      <c r="R1408" s="45">
        <f t="shared" si="320"/>
        <v>281580</v>
      </c>
      <c r="S1408" s="46">
        <f t="shared" si="321"/>
        <v>45</v>
      </c>
      <c r="T1408" s="46">
        <f>IFERROR(VLOOKUP(A1408,'[1]Re-order'!$A:$Q,17,0),"")</f>
        <v>43.663366336633665</v>
      </c>
      <c r="U1408" s="46">
        <f>IFERROR(VLOOKUP(A1408,'[1]MC Masterlist 2026-09-12'!$B:$M, 10, 0),0)</f>
        <v>15</v>
      </c>
      <c r="V1408" s="46">
        <f>IFERROR(VLOOKUP(A1408,'[1]MC Masterlist 2026-09-12'!$B:$M, 11, 0),0)</f>
        <v>15</v>
      </c>
      <c r="W1408" s="46">
        <f t="shared" si="322"/>
        <v>30</v>
      </c>
      <c r="X1408" s="46">
        <f t="shared" si="323"/>
        <v>29.333333333333332</v>
      </c>
      <c r="Y1408" s="46">
        <f>IFERROR(IF(OR(C1408="AREA I",C1408="AREA V"),7,VLOOKUP(A1408,'[1]MC Masterlist 2026-09-12'!$B:$M, 12, 0)),0)</f>
        <v>30</v>
      </c>
      <c r="Z1408" s="46">
        <f t="shared" si="324"/>
        <v>0.66666666666666663</v>
      </c>
      <c r="AA1408" s="46">
        <f t="shared" si="325"/>
        <v>1.3333333333333333</v>
      </c>
      <c r="AB1408" s="46">
        <f t="shared" si="326"/>
        <v>1.3037037037037036</v>
      </c>
      <c r="AC1408" s="46">
        <f t="shared" si="327"/>
        <v>1.3333333333333333</v>
      </c>
      <c r="AD1408" s="44" t="str">
        <f t="shared" si="328"/>
        <v>Over</v>
      </c>
      <c r="AE1408" s="44" t="str">
        <f>IFERROR(VLOOKUP(A1408,'[1]Re-order'!$A:$AA,27,0),"")</f>
        <v>Re-order</v>
      </c>
      <c r="AF1408" s="46">
        <f t="shared" si="329"/>
        <v>-0.66666666666666674</v>
      </c>
      <c r="AG1408" s="46">
        <f>SUMIFS('[1]Raw Inventory'!D:D,'[1]Raw Inventory'!C:C,"GREATWALL",'[1]Raw Inventory'!B:B,A1408)</f>
        <v>12</v>
      </c>
      <c r="AH1408" s="46">
        <f>SUMIFS('[1]Raw Inventory'!D:D,'[1]Raw Inventory'!C:C,"DUARTE",'[1]Raw Inventory'!B:B,A1408)</f>
        <v>0</v>
      </c>
      <c r="AI1408" s="46"/>
      <c r="AJ1408" s="46"/>
      <c r="AK1408" s="43"/>
      <c r="AL1408" s="43"/>
      <c r="AM1408" s="43"/>
      <c r="AN1408" s="43"/>
      <c r="AO1408" s="43"/>
      <c r="AP1408" s="43"/>
      <c r="AQ1408" s="43"/>
      <c r="AR1408" s="43"/>
      <c r="AS1408" s="43"/>
      <c r="AT1408" s="43"/>
    </row>
    <row r="1409" spans="1:46">
      <c r="A1409" s="43" t="s">
        <v>12</v>
      </c>
      <c r="B1409" s="43" t="s">
        <v>161</v>
      </c>
      <c r="C1409" s="43" t="s">
        <v>159</v>
      </c>
      <c r="D1409" s="44" t="s">
        <v>238</v>
      </c>
      <c r="E1409" s="44">
        <v>1</v>
      </c>
      <c r="F1409" s="44" t="s">
        <v>0</v>
      </c>
      <c r="G1409" s="43" t="str">
        <f>IFERROR(VLOOKUP(A1409,'[1]MC Masterlist 2026-09-12'!$B:$M, 3, 0),"")</f>
        <v>HONDA</v>
      </c>
      <c r="H1409" s="45">
        <f>IFERROR(VLOOKUP(A1409,'[1]MC Masterlist 2026-09-12'!$B:$M, 6, 0),"")</f>
        <v>158270</v>
      </c>
      <c r="I1409" s="46">
        <v>0</v>
      </c>
      <c r="J1409" s="46">
        <v>0</v>
      </c>
      <c r="K1409" s="46">
        <v>0</v>
      </c>
      <c r="L1409" s="46">
        <f t="shared" si="315"/>
        <v>0</v>
      </c>
      <c r="M1409" s="46">
        <f t="shared" si="316"/>
        <v>0</v>
      </c>
      <c r="N1409" s="45">
        <f t="shared" si="317"/>
        <v>0</v>
      </c>
      <c r="O1409" s="45">
        <f t="shared" si="318"/>
        <v>0</v>
      </c>
      <c r="P1409" s="46">
        <f t="shared" si="319"/>
        <v>0</v>
      </c>
      <c r="Q1409" s="46">
        <v>3</v>
      </c>
      <c r="R1409" s="45">
        <f t="shared" si="320"/>
        <v>474810</v>
      </c>
      <c r="S1409" s="46">
        <f t="shared" si="321"/>
        <v>0</v>
      </c>
      <c r="T1409" s="46">
        <f>IFERROR(VLOOKUP(A1409,'[1]Re-order'!$A:$Q,17,0),"")</f>
        <v>46.461038961038959</v>
      </c>
      <c r="U1409" s="46">
        <f>IFERROR(VLOOKUP(A1409,'[1]MC Masterlist 2026-09-12'!$B:$M, 10, 0),0)</f>
        <v>15</v>
      </c>
      <c r="V1409" s="46">
        <f>IFERROR(VLOOKUP(A1409,'[1]MC Masterlist 2026-09-12'!$B:$M, 11, 0),0)</f>
        <v>15</v>
      </c>
      <c r="W1409" s="46">
        <f t="shared" si="322"/>
        <v>30</v>
      </c>
      <c r="X1409" s="46">
        <f t="shared" si="323"/>
        <v>30</v>
      </c>
      <c r="Y1409" s="46">
        <f>IFERROR(IF(OR(C1409="AREA I",C1409="AREA V"),7,VLOOKUP(A1409,'[1]MC Masterlist 2026-09-12'!$B:$M, 12, 0)),0)</f>
        <v>30</v>
      </c>
      <c r="Z1409" s="46">
        <f t="shared" si="324"/>
        <v>0</v>
      </c>
      <c r="AA1409" s="46">
        <f t="shared" si="325"/>
        <v>0</v>
      </c>
      <c r="AB1409" s="46">
        <f t="shared" si="326"/>
        <v>0</v>
      </c>
      <c r="AC1409" s="46">
        <f t="shared" si="327"/>
        <v>0</v>
      </c>
      <c r="AD1409" s="44" t="str">
        <f t="shared" si="328"/>
        <v>Over</v>
      </c>
      <c r="AE1409" s="44" t="str">
        <f>IFERROR(VLOOKUP(A1409,'[1]Re-order'!$A:$AA,27,0),"")</f>
        <v>Re-order</v>
      </c>
      <c r="AF1409" s="46">
        <f t="shared" si="329"/>
        <v>-3</v>
      </c>
      <c r="AG1409" s="46">
        <f>SUMIFS('[1]Raw Inventory'!D:D,'[1]Raw Inventory'!C:C,"GREATWALL",'[1]Raw Inventory'!B:B,A1409)</f>
        <v>35</v>
      </c>
      <c r="AH1409" s="46">
        <f>SUMIFS('[1]Raw Inventory'!D:D,'[1]Raw Inventory'!C:C,"DUARTE",'[1]Raw Inventory'!B:B,A1409)</f>
        <v>0</v>
      </c>
      <c r="AI1409" s="46"/>
      <c r="AJ1409" s="46"/>
      <c r="AK1409" s="43"/>
      <c r="AL1409" s="43"/>
      <c r="AM1409" s="43"/>
      <c r="AN1409" s="43"/>
      <c r="AO1409" s="43"/>
      <c r="AP1409" s="43"/>
      <c r="AQ1409" s="43"/>
      <c r="AR1409" s="43"/>
      <c r="AS1409" s="43"/>
      <c r="AT1409" s="43"/>
    </row>
    <row r="1410" spans="1:46">
      <c r="A1410" s="43" t="s">
        <v>75</v>
      </c>
      <c r="B1410" s="43" t="s">
        <v>141</v>
      </c>
      <c r="C1410" s="43" t="s">
        <v>137</v>
      </c>
      <c r="D1410" s="44" t="s">
        <v>253</v>
      </c>
      <c r="E1410" s="44">
        <v>28</v>
      </c>
      <c r="F1410" s="44" t="s">
        <v>3</v>
      </c>
      <c r="G1410" s="43" t="str">
        <f>IFERROR(VLOOKUP(A1410,'[1]MC Masterlist 2026-09-12'!$B:$M, 3, 0),"")</f>
        <v>SUZUKI</v>
      </c>
      <c r="H1410" s="45">
        <f>IFERROR(VLOOKUP(A1410,'[1]MC Masterlist 2026-09-12'!$B:$M, 6, 0),"")</f>
        <v>138952</v>
      </c>
      <c r="I1410" s="46">
        <v>0</v>
      </c>
      <c r="J1410" s="46">
        <v>0</v>
      </c>
      <c r="K1410" s="46">
        <v>0</v>
      </c>
      <c r="L1410" s="46">
        <f t="shared" si="315"/>
        <v>0</v>
      </c>
      <c r="M1410" s="46">
        <f t="shared" si="316"/>
        <v>0</v>
      </c>
      <c r="N1410" s="45">
        <f t="shared" si="317"/>
        <v>0</v>
      </c>
      <c r="O1410" s="45">
        <f t="shared" si="318"/>
        <v>0</v>
      </c>
      <c r="P1410" s="46">
        <f t="shared" si="319"/>
        <v>0</v>
      </c>
      <c r="Q1410" s="46">
        <v>1</v>
      </c>
      <c r="R1410" s="45">
        <f t="shared" si="320"/>
        <v>138952</v>
      </c>
      <c r="S1410" s="46">
        <f t="shared" si="321"/>
        <v>0</v>
      </c>
      <c r="T1410" s="46">
        <f>IFERROR(VLOOKUP(A1410,'[1]Re-order'!$A:$Q,17,0),"")</f>
        <v>855.00000000000011</v>
      </c>
      <c r="U1410" s="46">
        <f>IFERROR(VLOOKUP(A1410,'[1]MC Masterlist 2026-09-12'!$B:$M, 10, 0),0)</f>
        <v>15</v>
      </c>
      <c r="V1410" s="46">
        <f>IFERROR(VLOOKUP(A1410,'[1]MC Masterlist 2026-09-12'!$B:$M, 11, 0),0)</f>
        <v>15</v>
      </c>
      <c r="W1410" s="46">
        <f t="shared" si="322"/>
        <v>30</v>
      </c>
      <c r="X1410" s="46">
        <f t="shared" si="323"/>
        <v>7</v>
      </c>
      <c r="Y1410" s="46">
        <f>IFERROR(IF(OR(C1410="AREA I",C1410="AREA V"),7,VLOOKUP(A1410,'[1]MC Masterlist 2026-09-12'!$B:$M, 12, 0)),0)</f>
        <v>7</v>
      </c>
      <c r="Z1410" s="46">
        <f t="shared" si="324"/>
        <v>0</v>
      </c>
      <c r="AA1410" s="46">
        <f t="shared" si="325"/>
        <v>0</v>
      </c>
      <c r="AB1410" s="46">
        <f t="shared" si="326"/>
        <v>0</v>
      </c>
      <c r="AC1410" s="46">
        <f t="shared" si="327"/>
        <v>0</v>
      </c>
      <c r="AD1410" s="44" t="str">
        <f t="shared" si="328"/>
        <v>Over</v>
      </c>
      <c r="AE1410" s="44" t="str">
        <f>IFERROR(VLOOKUP(A1410,'[1]Re-order'!$A:$AA,27,0),"")</f>
        <v>Over</v>
      </c>
      <c r="AF1410" s="46">
        <f t="shared" si="329"/>
        <v>-1</v>
      </c>
      <c r="AG1410" s="46">
        <f>SUMIFS('[1]Raw Inventory'!D:D,'[1]Raw Inventory'!C:C,"GREATWALL",'[1]Raw Inventory'!B:B,A1410)</f>
        <v>8</v>
      </c>
      <c r="AH1410" s="46">
        <f>SUMIFS('[1]Raw Inventory'!D:D,'[1]Raw Inventory'!C:C,"DUARTE",'[1]Raw Inventory'!B:B,A1410)</f>
        <v>0</v>
      </c>
      <c r="AI1410" s="46"/>
      <c r="AJ1410" s="46"/>
      <c r="AK1410" s="43"/>
      <c r="AL1410" s="43"/>
      <c r="AM1410" s="43"/>
      <c r="AN1410" s="43"/>
      <c r="AO1410" s="43"/>
      <c r="AP1410" s="43"/>
      <c r="AQ1410" s="43"/>
      <c r="AR1410" s="43"/>
      <c r="AS1410" s="43"/>
      <c r="AT1410" s="43"/>
    </row>
    <row r="1411" spans="1:46">
      <c r="A1411" s="43" t="s">
        <v>36</v>
      </c>
      <c r="B1411" s="43" t="s">
        <v>156</v>
      </c>
      <c r="C1411" s="43" t="s">
        <v>152</v>
      </c>
      <c r="D1411" s="44" t="s">
        <v>247</v>
      </c>
      <c r="E1411" s="44">
        <v>22</v>
      </c>
      <c r="F1411" s="44" t="s">
        <v>3</v>
      </c>
      <c r="G1411" s="43" t="str">
        <f>IFERROR(VLOOKUP(A1411,'[1]MC Masterlist 2026-09-12'!$B:$M, 3, 0),"")</f>
        <v>HONDA</v>
      </c>
      <c r="H1411" s="45">
        <f>IFERROR(VLOOKUP(A1411,'[1]MC Masterlist 2026-09-12'!$B:$M, 6, 0),"")</f>
        <v>76850</v>
      </c>
      <c r="I1411" s="46">
        <v>1</v>
      </c>
      <c r="J1411" s="46">
        <v>0</v>
      </c>
      <c r="K1411" s="46">
        <v>0</v>
      </c>
      <c r="L1411" s="46">
        <f t="shared" ref="L1411:L1474" si="330">I1411+J1411+K1411</f>
        <v>1</v>
      </c>
      <c r="M1411" s="46">
        <f t="shared" ref="M1411:M1474" si="331">AVERAGE(I1411,J1411,K1411)</f>
        <v>0.33333333333333331</v>
      </c>
      <c r="N1411" s="45">
        <f t="shared" ref="N1411:N1474" si="332">L1411*H1411</f>
        <v>76850</v>
      </c>
      <c r="O1411" s="45">
        <f t="shared" ref="O1411:O1474" si="333">M1411*H1411</f>
        <v>25616.666666666664</v>
      </c>
      <c r="P1411" s="46">
        <f t="shared" ref="P1411:P1474" si="334">M1411/30</f>
        <v>1.111111111111111E-2</v>
      </c>
      <c r="Q1411" s="46">
        <v>2</v>
      </c>
      <c r="R1411" s="45">
        <f t="shared" ref="R1411:R1474" si="335">IFERROR(Q1411*H1411, 0)</f>
        <v>153700</v>
      </c>
      <c r="S1411" s="46">
        <f t="shared" ref="S1411:S1474" si="336">IFERROR(R1411/(O1411)*30, 0)</f>
        <v>180.00000000000003</v>
      </c>
      <c r="T1411" s="46">
        <f>IFERROR(VLOOKUP(A1411,'[1]Re-order'!$A:$Q,17,0),"")</f>
        <v>137.24999999999997</v>
      </c>
      <c r="U1411" s="46">
        <f>IFERROR(VLOOKUP(A1411,'[1]MC Masterlist 2026-09-12'!$B:$M, 10, 0),0)</f>
        <v>15</v>
      </c>
      <c r="V1411" s="46">
        <f>IFERROR(VLOOKUP(A1411,'[1]MC Masterlist 2026-09-12'!$B:$M, 11, 0),0)</f>
        <v>15</v>
      </c>
      <c r="W1411" s="46">
        <f t="shared" ref="W1411:W1474" si="337">U1411+V1411</f>
        <v>30</v>
      </c>
      <c r="X1411" s="46">
        <f t="shared" ref="X1411:X1474" si="338">Y1411-Z1411</f>
        <v>29.833333333333332</v>
      </c>
      <c r="Y1411" s="46">
        <f>IFERROR(IF(OR(C1411="AREA I",C1411="AREA V"),7,VLOOKUP(A1411,'[1]MC Masterlist 2026-09-12'!$B:$M, 12, 0)),0)</f>
        <v>30</v>
      </c>
      <c r="Z1411" s="46">
        <f t="shared" ref="Z1411:Z1474" si="339">V1411*P1411</f>
        <v>0.16666666666666666</v>
      </c>
      <c r="AA1411" s="46">
        <f t="shared" ref="AA1411:AA1474" si="340">W1411*P1411</f>
        <v>0.33333333333333331</v>
      </c>
      <c r="AB1411" s="46">
        <f t="shared" ref="AB1411:AB1474" si="341">X1411*P1411</f>
        <v>0.33148148148148143</v>
      </c>
      <c r="AC1411" s="46">
        <f t="shared" ref="AC1411:AC1474" si="342">Y1411*P1411</f>
        <v>0.33333333333333331</v>
      </c>
      <c r="AD1411" s="44" t="str">
        <f t="shared" ref="AD1411:AD1474" si="343">IFERROR(IF(Q1411&gt;AC1411, "Over", IF(Q1411&lt;=Z1411, "Stockout", IF(Q1411&lt;=AA1411, "Re-order",""))), "")</f>
        <v>Over</v>
      </c>
      <c r="AE1411" s="44" t="str">
        <f>IFERROR(VLOOKUP(A1411,'[1]Re-order'!$A:$AA,27,0),"")</f>
        <v>Over</v>
      </c>
      <c r="AF1411" s="46">
        <f t="shared" ref="AF1411:AF1474" si="344">AC1411-Q1411</f>
        <v>-1.6666666666666667</v>
      </c>
      <c r="AG1411" s="46">
        <f>SUMIFS('[1]Raw Inventory'!D:D,'[1]Raw Inventory'!C:C,"GREATWALL",'[1]Raw Inventory'!B:B,A1411)</f>
        <v>18</v>
      </c>
      <c r="AH1411" s="46">
        <f>SUMIFS('[1]Raw Inventory'!D:D,'[1]Raw Inventory'!C:C,"DUARTE",'[1]Raw Inventory'!B:B,A1411)</f>
        <v>0</v>
      </c>
      <c r="AI1411" s="46"/>
      <c r="AJ1411" s="46"/>
      <c r="AK1411" s="43"/>
      <c r="AL1411" s="43"/>
      <c r="AM1411" s="43"/>
      <c r="AN1411" s="43"/>
      <c r="AO1411" s="43"/>
      <c r="AP1411" s="43"/>
      <c r="AQ1411" s="43"/>
      <c r="AR1411" s="43"/>
      <c r="AS1411" s="43"/>
      <c r="AT1411" s="43"/>
    </row>
    <row r="1412" spans="1:46">
      <c r="A1412" s="43" t="s">
        <v>26</v>
      </c>
      <c r="B1412" s="43" t="s">
        <v>119</v>
      </c>
      <c r="C1412" s="43" t="s">
        <v>118</v>
      </c>
      <c r="D1412" s="44" t="s">
        <v>250</v>
      </c>
      <c r="E1412" s="44">
        <v>9</v>
      </c>
      <c r="F1412" s="44" t="s">
        <v>0</v>
      </c>
      <c r="G1412" s="43" t="str">
        <f>IFERROR(VLOOKUP(A1412,'[1]MC Masterlist 2026-09-12'!$B:$M, 3, 0),"")</f>
        <v>SUZUKI</v>
      </c>
      <c r="H1412" s="45">
        <f>IFERROR(VLOOKUP(A1412,'[1]MC Masterlist 2026-09-12'!$B:$M, 6, 0),"")</f>
        <v>123700</v>
      </c>
      <c r="I1412" s="46">
        <v>2</v>
      </c>
      <c r="J1412" s="46">
        <v>2</v>
      </c>
      <c r="K1412" s="46">
        <v>2</v>
      </c>
      <c r="L1412" s="46">
        <f t="shared" si="330"/>
        <v>6</v>
      </c>
      <c r="M1412" s="46">
        <f t="shared" si="331"/>
        <v>2</v>
      </c>
      <c r="N1412" s="45">
        <f t="shared" si="332"/>
        <v>742200</v>
      </c>
      <c r="O1412" s="45">
        <f t="shared" si="333"/>
        <v>247400</v>
      </c>
      <c r="P1412" s="46">
        <f t="shared" si="334"/>
        <v>6.6666666666666666E-2</v>
      </c>
      <c r="Q1412" s="46">
        <v>4</v>
      </c>
      <c r="R1412" s="45">
        <f t="shared" si="335"/>
        <v>494800</v>
      </c>
      <c r="S1412" s="46">
        <f t="shared" si="336"/>
        <v>60</v>
      </c>
      <c r="T1412" s="46">
        <f>IFERROR(VLOOKUP(A1412,'[1]Re-order'!$A:$Q,17,0),"")</f>
        <v>71.470588235294116</v>
      </c>
      <c r="U1412" s="46">
        <f>IFERROR(VLOOKUP(A1412,'[1]MC Masterlist 2026-09-12'!$B:$M, 10, 0),0)</f>
        <v>15</v>
      </c>
      <c r="V1412" s="46">
        <f>IFERROR(VLOOKUP(A1412,'[1]MC Masterlist 2026-09-12'!$B:$M, 11, 0),0)</f>
        <v>15</v>
      </c>
      <c r="W1412" s="46">
        <f t="shared" si="337"/>
        <v>30</v>
      </c>
      <c r="X1412" s="46">
        <f t="shared" si="338"/>
        <v>29</v>
      </c>
      <c r="Y1412" s="46">
        <f>IFERROR(IF(OR(C1412="AREA I",C1412="AREA V"),7,VLOOKUP(A1412,'[1]MC Masterlist 2026-09-12'!$B:$M, 12, 0)),0)</f>
        <v>30</v>
      </c>
      <c r="Z1412" s="46">
        <f t="shared" si="339"/>
        <v>1</v>
      </c>
      <c r="AA1412" s="46">
        <f t="shared" si="340"/>
        <v>2</v>
      </c>
      <c r="AB1412" s="46">
        <f t="shared" si="341"/>
        <v>1.9333333333333333</v>
      </c>
      <c r="AC1412" s="46">
        <f t="shared" si="342"/>
        <v>2</v>
      </c>
      <c r="AD1412" s="44" t="str">
        <f t="shared" si="343"/>
        <v>Over</v>
      </c>
      <c r="AE1412" s="44" t="str">
        <f>IFERROR(VLOOKUP(A1412,'[1]Re-order'!$A:$AA,27,0),"")</f>
        <v>Re-order</v>
      </c>
      <c r="AF1412" s="46">
        <f t="shared" si="344"/>
        <v>-2</v>
      </c>
      <c r="AG1412" s="46">
        <f>SUMIFS('[1]Raw Inventory'!D:D,'[1]Raw Inventory'!C:C,"GREATWALL",'[1]Raw Inventory'!B:B,A1412)</f>
        <v>30</v>
      </c>
      <c r="AH1412" s="46">
        <f>SUMIFS('[1]Raw Inventory'!D:D,'[1]Raw Inventory'!C:C,"DUARTE",'[1]Raw Inventory'!B:B,A1412)</f>
        <v>0</v>
      </c>
      <c r="AI1412" s="46"/>
      <c r="AJ1412" s="46"/>
      <c r="AK1412" s="43"/>
      <c r="AL1412" s="43"/>
      <c r="AM1412" s="43"/>
      <c r="AN1412" s="43"/>
      <c r="AO1412" s="43"/>
      <c r="AP1412" s="43"/>
      <c r="AQ1412" s="43"/>
      <c r="AR1412" s="43"/>
      <c r="AS1412" s="43"/>
      <c r="AT1412" s="43"/>
    </row>
    <row r="1413" spans="1:46">
      <c r="A1413" s="43" t="s">
        <v>82</v>
      </c>
      <c r="B1413" s="43" t="s">
        <v>98</v>
      </c>
      <c r="C1413" s="43" t="s">
        <v>90</v>
      </c>
      <c r="D1413" s="44" t="s">
        <v>257</v>
      </c>
      <c r="E1413" s="44">
        <v>21</v>
      </c>
      <c r="F1413" s="44" t="s">
        <v>3</v>
      </c>
      <c r="G1413" s="43" t="str">
        <f>IFERROR(VLOOKUP(A1413,'[1]MC Masterlist 2026-09-12'!$B:$M, 3, 0),"")</f>
        <v>SUZUKI</v>
      </c>
      <c r="H1413" s="45">
        <f>IFERROR(VLOOKUP(A1413,'[1]MC Masterlist 2026-09-12'!$B:$M, 6, 0),"")</f>
        <v>67342</v>
      </c>
      <c r="I1413" s="46">
        <v>1</v>
      </c>
      <c r="J1413" s="46">
        <v>0</v>
      </c>
      <c r="K1413" s="46">
        <v>0</v>
      </c>
      <c r="L1413" s="46">
        <f t="shared" si="330"/>
        <v>1</v>
      </c>
      <c r="M1413" s="46">
        <f t="shared" si="331"/>
        <v>0.33333333333333331</v>
      </c>
      <c r="N1413" s="45">
        <f t="shared" si="332"/>
        <v>67342</v>
      </c>
      <c r="O1413" s="45">
        <f t="shared" si="333"/>
        <v>22447.333333333332</v>
      </c>
      <c r="P1413" s="46">
        <f t="shared" si="334"/>
        <v>1.111111111111111E-2</v>
      </c>
      <c r="Q1413" s="46"/>
      <c r="R1413" s="45">
        <f t="shared" si="335"/>
        <v>0</v>
      </c>
      <c r="S1413" s="46">
        <f t="shared" si="336"/>
        <v>0</v>
      </c>
      <c r="T1413" s="46">
        <f>IFERROR(VLOOKUP(A1413,'[1]Re-order'!$A:$Q,17,0),"")</f>
        <v>64.8</v>
      </c>
      <c r="U1413" s="46">
        <f>IFERROR(VLOOKUP(A1413,'[1]MC Masterlist 2026-09-12'!$B:$M, 10, 0),0)</f>
        <v>15</v>
      </c>
      <c r="V1413" s="46">
        <f>IFERROR(VLOOKUP(A1413,'[1]MC Masterlist 2026-09-12'!$B:$M, 11, 0),0)</f>
        <v>15</v>
      </c>
      <c r="W1413" s="46">
        <f t="shared" si="337"/>
        <v>30</v>
      </c>
      <c r="X1413" s="46">
        <f t="shared" si="338"/>
        <v>29.833333333333332</v>
      </c>
      <c r="Y1413" s="46">
        <f>IFERROR(IF(OR(C1413="AREA I",C1413="AREA V"),7,VLOOKUP(A1413,'[1]MC Masterlist 2026-09-12'!$B:$M, 12, 0)),0)</f>
        <v>30</v>
      </c>
      <c r="Z1413" s="46">
        <f t="shared" si="339"/>
        <v>0.16666666666666666</v>
      </c>
      <c r="AA1413" s="46">
        <f t="shared" si="340"/>
        <v>0.33333333333333331</v>
      </c>
      <c r="AB1413" s="46">
        <f t="shared" si="341"/>
        <v>0.33148148148148143</v>
      </c>
      <c r="AC1413" s="46">
        <f t="shared" si="342"/>
        <v>0.33333333333333331</v>
      </c>
      <c r="AD1413" s="44" t="str">
        <f t="shared" si="343"/>
        <v>Stockout</v>
      </c>
      <c r="AE1413" s="44" t="str">
        <f>IFERROR(VLOOKUP(A1413,'[1]Re-order'!$A:$AA,27,0),"")</f>
        <v>Re-order</v>
      </c>
      <c r="AF1413" s="46">
        <f t="shared" si="344"/>
        <v>0.33333333333333331</v>
      </c>
      <c r="AG1413" s="46">
        <f>SUMIFS('[1]Raw Inventory'!D:D,'[1]Raw Inventory'!C:C,"GREATWALL",'[1]Raw Inventory'!B:B,A1413)</f>
        <v>1</v>
      </c>
      <c r="AH1413" s="46">
        <f>SUMIFS('[1]Raw Inventory'!D:D,'[1]Raw Inventory'!C:C,"DUARTE",'[1]Raw Inventory'!B:B,A1413)</f>
        <v>0</v>
      </c>
      <c r="AI1413" s="46"/>
      <c r="AJ1413" s="46"/>
      <c r="AK1413" s="43"/>
      <c r="AL1413" s="43"/>
      <c r="AM1413" s="43"/>
      <c r="AN1413" s="43"/>
      <c r="AO1413" s="43"/>
      <c r="AP1413" s="43"/>
      <c r="AQ1413" s="43"/>
      <c r="AR1413" s="43"/>
      <c r="AS1413" s="43"/>
      <c r="AT1413" s="43"/>
    </row>
    <row r="1414" spans="1:46">
      <c r="A1414" s="43" t="s">
        <v>43</v>
      </c>
      <c r="B1414" s="43" t="s">
        <v>96</v>
      </c>
      <c r="C1414" s="43" t="s">
        <v>90</v>
      </c>
      <c r="D1414" s="44" t="s">
        <v>235</v>
      </c>
      <c r="E1414" s="44">
        <v>7</v>
      </c>
      <c r="F1414" s="44" t="s">
        <v>3</v>
      </c>
      <c r="G1414" s="43" t="str">
        <f>IFERROR(VLOOKUP(A1414,'[1]MC Masterlist 2026-09-12'!$B:$M, 3, 0),"")</f>
        <v>YAMAHA</v>
      </c>
      <c r="H1414" s="45">
        <f>IFERROR(VLOOKUP(A1414,'[1]MC Masterlist 2026-09-12'!$B:$M, 6, 0),"")</f>
        <v>70587</v>
      </c>
      <c r="I1414" s="46">
        <v>0</v>
      </c>
      <c r="J1414" s="46">
        <v>0</v>
      </c>
      <c r="K1414" s="46">
        <v>0</v>
      </c>
      <c r="L1414" s="46">
        <f t="shared" si="330"/>
        <v>0</v>
      </c>
      <c r="M1414" s="46">
        <f t="shared" si="331"/>
        <v>0</v>
      </c>
      <c r="N1414" s="45">
        <f t="shared" si="332"/>
        <v>0</v>
      </c>
      <c r="O1414" s="45">
        <f t="shared" si="333"/>
        <v>0</v>
      </c>
      <c r="P1414" s="46">
        <f t="shared" si="334"/>
        <v>0</v>
      </c>
      <c r="Q1414" s="46">
        <v>1</v>
      </c>
      <c r="R1414" s="45">
        <f t="shared" si="335"/>
        <v>70587</v>
      </c>
      <c r="S1414" s="46">
        <f t="shared" si="336"/>
        <v>0</v>
      </c>
      <c r="T1414" s="46">
        <f>IFERROR(VLOOKUP(A1414,'[1]Re-order'!$A:$Q,17,0),"")</f>
        <v>43.578947368421055</v>
      </c>
      <c r="U1414" s="46">
        <f>IFERROR(VLOOKUP(A1414,'[1]MC Masterlist 2026-09-12'!$B:$M, 10, 0),0)</f>
        <v>15</v>
      </c>
      <c r="V1414" s="46">
        <f>IFERROR(VLOOKUP(A1414,'[1]MC Masterlist 2026-09-12'!$B:$M, 11, 0),0)</f>
        <v>15</v>
      </c>
      <c r="W1414" s="46">
        <f t="shared" si="337"/>
        <v>30</v>
      </c>
      <c r="X1414" s="46">
        <f t="shared" si="338"/>
        <v>30</v>
      </c>
      <c r="Y1414" s="46">
        <f>IFERROR(IF(OR(C1414="AREA I",C1414="AREA V"),7,VLOOKUP(A1414,'[1]MC Masterlist 2026-09-12'!$B:$M, 12, 0)),0)</f>
        <v>30</v>
      </c>
      <c r="Z1414" s="46">
        <f t="shared" si="339"/>
        <v>0</v>
      </c>
      <c r="AA1414" s="46">
        <f t="shared" si="340"/>
        <v>0</v>
      </c>
      <c r="AB1414" s="46">
        <f t="shared" si="341"/>
        <v>0</v>
      </c>
      <c r="AC1414" s="46">
        <f t="shared" si="342"/>
        <v>0</v>
      </c>
      <c r="AD1414" s="44" t="str">
        <f t="shared" si="343"/>
        <v>Over</v>
      </c>
      <c r="AE1414" s="44" t="str">
        <f>IFERROR(VLOOKUP(A1414,'[1]Re-order'!$A:$AA,27,0),"")</f>
        <v>Re-order</v>
      </c>
      <c r="AF1414" s="46">
        <f t="shared" si="344"/>
        <v>-1</v>
      </c>
      <c r="AG1414" s="46">
        <f>SUMIFS('[1]Raw Inventory'!D:D,'[1]Raw Inventory'!C:C,"GREATWALL",'[1]Raw Inventory'!B:B,A1414)</f>
        <v>0</v>
      </c>
      <c r="AH1414" s="46">
        <f>SUMIFS('[1]Raw Inventory'!D:D,'[1]Raw Inventory'!C:C,"DUARTE",'[1]Raw Inventory'!B:B,A1414)</f>
        <v>0</v>
      </c>
      <c r="AI1414" s="46"/>
      <c r="AJ1414" s="46"/>
      <c r="AK1414" s="43"/>
      <c r="AL1414" s="43"/>
      <c r="AM1414" s="43"/>
      <c r="AN1414" s="43"/>
      <c r="AO1414" s="43"/>
      <c r="AP1414" s="43"/>
      <c r="AQ1414" s="43"/>
      <c r="AR1414" s="43"/>
      <c r="AS1414" s="43"/>
      <c r="AT1414" s="43"/>
    </row>
    <row r="1415" spans="1:46">
      <c r="A1415" s="43" t="s">
        <v>56</v>
      </c>
      <c r="B1415" s="43" t="s">
        <v>122</v>
      </c>
      <c r="C1415" s="43" t="s">
        <v>118</v>
      </c>
      <c r="D1415" s="44" t="s">
        <v>265</v>
      </c>
      <c r="E1415" s="44">
        <v>32</v>
      </c>
      <c r="F1415" s="44" t="s">
        <v>3</v>
      </c>
      <c r="G1415" s="43" t="str">
        <f>IFERROR(VLOOKUP(A1415,'[1]MC Masterlist 2026-09-12'!$B:$M, 3, 0),"")</f>
        <v>HONDA</v>
      </c>
      <c r="H1415" s="45">
        <f>IFERROR(VLOOKUP(A1415,'[1]MC Masterlist 2026-09-12'!$B:$M, 6, 0),"")</f>
        <v>288118</v>
      </c>
      <c r="I1415" s="46">
        <v>0</v>
      </c>
      <c r="J1415" s="46">
        <v>0</v>
      </c>
      <c r="K1415" s="46">
        <v>0</v>
      </c>
      <c r="L1415" s="46">
        <f t="shared" si="330"/>
        <v>0</v>
      </c>
      <c r="M1415" s="46">
        <f t="shared" si="331"/>
        <v>0</v>
      </c>
      <c r="N1415" s="45">
        <f t="shared" si="332"/>
        <v>0</v>
      </c>
      <c r="O1415" s="45">
        <f t="shared" si="333"/>
        <v>0</v>
      </c>
      <c r="P1415" s="46">
        <f t="shared" si="334"/>
        <v>0</v>
      </c>
      <c r="Q1415" s="46">
        <v>1</v>
      </c>
      <c r="R1415" s="45">
        <f t="shared" si="335"/>
        <v>288118</v>
      </c>
      <c r="S1415" s="46">
        <f t="shared" si="336"/>
        <v>0</v>
      </c>
      <c r="T1415" s="46" t="str">
        <f>IFERROR(VLOOKUP(A1415,'[1]Re-order'!$A:$Q,17,0),"")</f>
        <v/>
      </c>
      <c r="U1415" s="46">
        <f>IFERROR(VLOOKUP(A1415,'[1]MC Masterlist 2026-09-12'!$B:$M, 10, 0),0)</f>
        <v>15</v>
      </c>
      <c r="V1415" s="46">
        <f>IFERROR(VLOOKUP(A1415,'[1]MC Masterlist 2026-09-12'!$B:$M, 11, 0),0)</f>
        <v>15</v>
      </c>
      <c r="W1415" s="46">
        <f t="shared" si="337"/>
        <v>30</v>
      </c>
      <c r="X1415" s="46">
        <f t="shared" si="338"/>
        <v>30</v>
      </c>
      <c r="Y1415" s="46">
        <f>IFERROR(IF(OR(C1415="AREA I",C1415="AREA V"),7,VLOOKUP(A1415,'[1]MC Masterlist 2026-09-12'!$B:$M, 12, 0)),0)</f>
        <v>30</v>
      </c>
      <c r="Z1415" s="46">
        <f t="shared" si="339"/>
        <v>0</v>
      </c>
      <c r="AA1415" s="46">
        <f t="shared" si="340"/>
        <v>0</v>
      </c>
      <c r="AB1415" s="46">
        <f t="shared" si="341"/>
        <v>0</v>
      </c>
      <c r="AC1415" s="46">
        <f t="shared" si="342"/>
        <v>0</v>
      </c>
      <c r="AD1415" s="44" t="str">
        <f t="shared" si="343"/>
        <v>Over</v>
      </c>
      <c r="AE1415" s="44" t="str">
        <f>IFERROR(VLOOKUP(A1415,'[1]Re-order'!$A:$AA,27,0),"")</f>
        <v>Over</v>
      </c>
      <c r="AF1415" s="46">
        <f t="shared" si="344"/>
        <v>-1</v>
      </c>
      <c r="AG1415" s="46">
        <f>SUMIFS('[1]Raw Inventory'!D:D,'[1]Raw Inventory'!C:C,"GREATWALL",'[1]Raw Inventory'!B:B,A1415)</f>
        <v>0</v>
      </c>
      <c r="AH1415" s="46">
        <f>SUMIFS('[1]Raw Inventory'!D:D,'[1]Raw Inventory'!C:C,"DUARTE",'[1]Raw Inventory'!B:B,A1415)</f>
        <v>0</v>
      </c>
      <c r="AI1415" s="46"/>
      <c r="AJ1415" s="46"/>
      <c r="AK1415" s="43"/>
      <c r="AL1415" s="43"/>
      <c r="AM1415" s="43"/>
      <c r="AN1415" s="43"/>
      <c r="AO1415" s="43"/>
      <c r="AP1415" s="43"/>
      <c r="AQ1415" s="43"/>
      <c r="AR1415" s="43"/>
      <c r="AS1415" s="43"/>
      <c r="AT1415" s="43"/>
    </row>
    <row r="1416" spans="1:46">
      <c r="A1416" s="43" t="s">
        <v>34</v>
      </c>
      <c r="B1416" s="43" t="s">
        <v>160</v>
      </c>
      <c r="C1416" s="43" t="s">
        <v>159</v>
      </c>
      <c r="D1416" s="44" t="s">
        <v>233</v>
      </c>
      <c r="E1416" s="44">
        <v>9</v>
      </c>
      <c r="F1416" s="44" t="s">
        <v>2</v>
      </c>
      <c r="G1416" s="43" t="str">
        <f>IFERROR(VLOOKUP(A1416,'[1]MC Masterlist 2026-09-12'!$B:$M, 3, 0),"")</f>
        <v>HONDA</v>
      </c>
      <c r="H1416" s="45">
        <f>IFERROR(VLOOKUP(A1416,'[1]MC Masterlist 2026-09-12'!$B:$M, 6, 0),"")</f>
        <v>101230</v>
      </c>
      <c r="I1416" s="46">
        <v>3</v>
      </c>
      <c r="J1416" s="46">
        <v>0</v>
      </c>
      <c r="K1416" s="46">
        <v>1</v>
      </c>
      <c r="L1416" s="46">
        <f t="shared" si="330"/>
        <v>4</v>
      </c>
      <c r="M1416" s="46">
        <f t="shared" si="331"/>
        <v>1.3333333333333333</v>
      </c>
      <c r="N1416" s="45">
        <f t="shared" si="332"/>
        <v>404920</v>
      </c>
      <c r="O1416" s="45">
        <f t="shared" si="333"/>
        <v>134973.33333333331</v>
      </c>
      <c r="P1416" s="46">
        <f t="shared" si="334"/>
        <v>4.4444444444444439E-2</v>
      </c>
      <c r="Q1416" s="46"/>
      <c r="R1416" s="45">
        <f t="shared" si="335"/>
        <v>0</v>
      </c>
      <c r="S1416" s="46">
        <f t="shared" si="336"/>
        <v>0</v>
      </c>
      <c r="T1416" s="46">
        <f>IFERROR(VLOOKUP(A1416,'[1]Re-order'!$A:$Q,17,0),"")</f>
        <v>8.4375000000000018</v>
      </c>
      <c r="U1416" s="46">
        <f>IFERROR(VLOOKUP(A1416,'[1]MC Masterlist 2026-09-12'!$B:$M, 10, 0),0)</f>
        <v>15</v>
      </c>
      <c r="V1416" s="46">
        <f>IFERROR(VLOOKUP(A1416,'[1]MC Masterlist 2026-09-12'!$B:$M, 11, 0),0)</f>
        <v>15</v>
      </c>
      <c r="W1416" s="46">
        <f t="shared" si="337"/>
        <v>30</v>
      </c>
      <c r="X1416" s="46">
        <f t="shared" si="338"/>
        <v>29.333333333333332</v>
      </c>
      <c r="Y1416" s="46">
        <f>IFERROR(IF(OR(C1416="AREA I",C1416="AREA V"),7,VLOOKUP(A1416,'[1]MC Masterlist 2026-09-12'!$B:$M, 12, 0)),0)</f>
        <v>30</v>
      </c>
      <c r="Z1416" s="46">
        <f t="shared" si="339"/>
        <v>0.66666666666666663</v>
      </c>
      <c r="AA1416" s="46">
        <f t="shared" si="340"/>
        <v>1.3333333333333333</v>
      </c>
      <c r="AB1416" s="46">
        <f t="shared" si="341"/>
        <v>1.3037037037037036</v>
      </c>
      <c r="AC1416" s="46">
        <f t="shared" si="342"/>
        <v>1.3333333333333333</v>
      </c>
      <c r="AD1416" s="44" t="str">
        <f t="shared" si="343"/>
        <v>Stockout</v>
      </c>
      <c r="AE1416" s="44" t="str">
        <f>IFERROR(VLOOKUP(A1416,'[1]Re-order'!$A:$AA,27,0),"")</f>
        <v>Stockout</v>
      </c>
      <c r="AF1416" s="46">
        <f t="shared" si="344"/>
        <v>1.3333333333333333</v>
      </c>
      <c r="AG1416" s="46">
        <f>SUMIFS('[1]Raw Inventory'!D:D,'[1]Raw Inventory'!C:C,"GREATWALL",'[1]Raw Inventory'!B:B,A1416)</f>
        <v>1</v>
      </c>
      <c r="AH1416" s="46">
        <f>SUMIFS('[1]Raw Inventory'!D:D,'[1]Raw Inventory'!C:C,"DUARTE",'[1]Raw Inventory'!B:B,A1416)</f>
        <v>0</v>
      </c>
      <c r="AI1416" s="46"/>
      <c r="AJ1416" s="46"/>
      <c r="AK1416" s="43"/>
      <c r="AL1416" s="43"/>
      <c r="AM1416" s="43"/>
      <c r="AN1416" s="43"/>
      <c r="AO1416" s="43"/>
      <c r="AP1416" s="43"/>
      <c r="AQ1416" s="43"/>
      <c r="AR1416" s="43"/>
      <c r="AS1416" s="43"/>
      <c r="AT1416" s="43"/>
    </row>
    <row r="1417" spans="1:46">
      <c r="A1417" s="43" t="s">
        <v>37</v>
      </c>
      <c r="B1417" s="43" t="s">
        <v>19</v>
      </c>
      <c r="C1417" s="43" t="s">
        <v>1</v>
      </c>
      <c r="D1417" s="44" t="s">
        <v>259</v>
      </c>
      <c r="E1417" s="44">
        <v>5</v>
      </c>
      <c r="F1417" s="44" t="s">
        <v>0</v>
      </c>
      <c r="G1417" s="43" t="str">
        <f>IFERROR(VLOOKUP(A1417,'[1]MC Masterlist 2026-09-12'!$B:$M, 3, 0),"")</f>
        <v>HONDA</v>
      </c>
      <c r="H1417" s="45">
        <f>IFERROR(VLOOKUP(A1417,'[1]MC Masterlist 2026-09-12'!$B:$M, 6, 0),"")</f>
        <v>74550</v>
      </c>
      <c r="I1417" s="46">
        <v>4</v>
      </c>
      <c r="J1417" s="46">
        <v>8</v>
      </c>
      <c r="K1417" s="46">
        <v>7</v>
      </c>
      <c r="L1417" s="46">
        <f t="shared" si="330"/>
        <v>19</v>
      </c>
      <c r="M1417" s="46">
        <f t="shared" si="331"/>
        <v>6.333333333333333</v>
      </c>
      <c r="N1417" s="45">
        <f t="shared" si="332"/>
        <v>1416450</v>
      </c>
      <c r="O1417" s="45">
        <f t="shared" si="333"/>
        <v>472150</v>
      </c>
      <c r="P1417" s="46">
        <f t="shared" si="334"/>
        <v>0.21111111111111111</v>
      </c>
      <c r="Q1417" s="46">
        <v>5</v>
      </c>
      <c r="R1417" s="45">
        <f t="shared" si="335"/>
        <v>372750</v>
      </c>
      <c r="S1417" s="46">
        <f t="shared" si="336"/>
        <v>23.684210526315791</v>
      </c>
      <c r="T1417" s="46">
        <f>IFERROR(VLOOKUP(A1417,'[1]Re-order'!$A:$Q,17,0),"")</f>
        <v>33.652173913043477</v>
      </c>
      <c r="U1417" s="46">
        <f>IFERROR(VLOOKUP(A1417,'[1]MC Masterlist 2026-09-12'!$B:$M, 10, 0),0)</f>
        <v>15</v>
      </c>
      <c r="V1417" s="46">
        <f>IFERROR(VLOOKUP(A1417,'[1]MC Masterlist 2026-09-12'!$B:$M, 11, 0),0)</f>
        <v>15</v>
      </c>
      <c r="W1417" s="46">
        <f t="shared" si="337"/>
        <v>30</v>
      </c>
      <c r="X1417" s="46">
        <f t="shared" si="338"/>
        <v>3.8333333333333335</v>
      </c>
      <c r="Y1417" s="46">
        <f>IFERROR(IF(OR(C1417="AREA I",C1417="AREA V"),7,VLOOKUP(A1417,'[1]MC Masterlist 2026-09-12'!$B:$M, 12, 0)),0)</f>
        <v>7</v>
      </c>
      <c r="Z1417" s="46">
        <f t="shared" si="339"/>
        <v>3.1666666666666665</v>
      </c>
      <c r="AA1417" s="46">
        <f t="shared" si="340"/>
        <v>6.333333333333333</v>
      </c>
      <c r="AB1417" s="46">
        <f t="shared" si="341"/>
        <v>0.80925925925925923</v>
      </c>
      <c r="AC1417" s="46">
        <f t="shared" si="342"/>
        <v>1.4777777777777779</v>
      </c>
      <c r="AD1417" s="44" t="str">
        <f t="shared" si="343"/>
        <v>Over</v>
      </c>
      <c r="AE1417" s="44" t="str">
        <f>IFERROR(VLOOKUP(A1417,'[1]Re-order'!$A:$AA,27,0),"")</f>
        <v>Re-order</v>
      </c>
      <c r="AF1417" s="46">
        <f t="shared" si="344"/>
        <v>-3.5222222222222221</v>
      </c>
      <c r="AG1417" s="46">
        <f>SUMIFS('[1]Raw Inventory'!D:D,'[1]Raw Inventory'!C:C,"GREATWALL",'[1]Raw Inventory'!B:B,A1417)</f>
        <v>28</v>
      </c>
      <c r="AH1417" s="46">
        <f>SUMIFS('[1]Raw Inventory'!D:D,'[1]Raw Inventory'!C:C,"DUARTE",'[1]Raw Inventory'!B:B,A1417)</f>
        <v>0</v>
      </c>
      <c r="AI1417" s="46"/>
      <c r="AJ1417" s="46"/>
      <c r="AK1417" s="43"/>
      <c r="AL1417" s="43"/>
      <c r="AM1417" s="43"/>
      <c r="AN1417" s="43"/>
      <c r="AO1417" s="43"/>
      <c r="AP1417" s="43"/>
      <c r="AQ1417" s="43"/>
      <c r="AR1417" s="43"/>
      <c r="AS1417" s="43"/>
      <c r="AT1417" s="43"/>
    </row>
    <row r="1418" spans="1:46">
      <c r="A1418" s="43" t="s">
        <v>23</v>
      </c>
      <c r="B1418" s="43" t="s">
        <v>129</v>
      </c>
      <c r="C1418" s="43" t="s">
        <v>128</v>
      </c>
      <c r="D1418" s="44" t="s">
        <v>225</v>
      </c>
      <c r="E1418" s="44">
        <v>3</v>
      </c>
      <c r="F1418" s="44" t="s">
        <v>0</v>
      </c>
      <c r="G1418" s="43" t="str">
        <f>IFERROR(VLOOKUP(A1418,'[1]MC Masterlist 2026-09-12'!$B:$M, 3, 0),"")</f>
        <v>KAWASAKI</v>
      </c>
      <c r="H1418" s="45">
        <f>IFERROR(VLOOKUP(A1418,'[1]MC Masterlist 2026-09-12'!$B:$M, 6, 0),"")</f>
        <v>60656</v>
      </c>
      <c r="I1418" s="46">
        <v>5</v>
      </c>
      <c r="J1418" s="46">
        <v>11</v>
      </c>
      <c r="K1418" s="46">
        <v>8</v>
      </c>
      <c r="L1418" s="46">
        <f t="shared" si="330"/>
        <v>24</v>
      </c>
      <c r="M1418" s="46">
        <f t="shared" si="331"/>
        <v>8</v>
      </c>
      <c r="N1418" s="45">
        <f t="shared" si="332"/>
        <v>1455744</v>
      </c>
      <c r="O1418" s="45">
        <f t="shared" si="333"/>
        <v>485248</v>
      </c>
      <c r="P1418" s="46">
        <f t="shared" si="334"/>
        <v>0.26666666666666666</v>
      </c>
      <c r="Q1418" s="46">
        <v>13</v>
      </c>
      <c r="R1418" s="45">
        <f t="shared" si="335"/>
        <v>788528</v>
      </c>
      <c r="S1418" s="46">
        <f t="shared" si="336"/>
        <v>48.75</v>
      </c>
      <c r="T1418" s="46">
        <f>IFERROR(VLOOKUP(A1418,'[1]Re-order'!$A:$Q,17,0),"")</f>
        <v>53.973412112259979</v>
      </c>
      <c r="U1418" s="46">
        <f>IFERROR(VLOOKUP(A1418,'[1]MC Masterlist 2026-09-12'!$B:$M, 10, 0),0)</f>
        <v>15</v>
      </c>
      <c r="V1418" s="46">
        <f>IFERROR(VLOOKUP(A1418,'[1]MC Masterlist 2026-09-12'!$B:$M, 11, 0),0)</f>
        <v>15</v>
      </c>
      <c r="W1418" s="46">
        <f t="shared" si="337"/>
        <v>30</v>
      </c>
      <c r="X1418" s="46">
        <f t="shared" si="338"/>
        <v>26</v>
      </c>
      <c r="Y1418" s="46">
        <f>IFERROR(IF(OR(C1418="AREA I",C1418="AREA V"),7,VLOOKUP(A1418,'[1]MC Masterlist 2026-09-12'!$B:$M, 12, 0)),0)</f>
        <v>30</v>
      </c>
      <c r="Z1418" s="46">
        <f t="shared" si="339"/>
        <v>4</v>
      </c>
      <c r="AA1418" s="46">
        <f t="shared" si="340"/>
        <v>8</v>
      </c>
      <c r="AB1418" s="46">
        <f t="shared" si="341"/>
        <v>6.9333333333333336</v>
      </c>
      <c r="AC1418" s="46">
        <f t="shared" si="342"/>
        <v>8</v>
      </c>
      <c r="AD1418" s="44" t="str">
        <f t="shared" si="343"/>
        <v>Over</v>
      </c>
      <c r="AE1418" s="44" t="str">
        <f>IFERROR(VLOOKUP(A1418,'[1]Re-order'!$A:$AA,27,0),"")</f>
        <v>Re-order</v>
      </c>
      <c r="AF1418" s="46">
        <f t="shared" si="344"/>
        <v>-5</v>
      </c>
      <c r="AG1418" s="46">
        <f>SUMIFS('[1]Raw Inventory'!D:D,'[1]Raw Inventory'!C:C,"GREATWALL",'[1]Raw Inventory'!B:B,A1418)</f>
        <v>282</v>
      </c>
      <c r="AH1418" s="46">
        <f>SUMIFS('[1]Raw Inventory'!D:D,'[1]Raw Inventory'!C:C,"DUARTE",'[1]Raw Inventory'!B:B,A1418)</f>
        <v>0</v>
      </c>
      <c r="AI1418" s="46"/>
      <c r="AJ1418" s="46"/>
      <c r="AK1418" s="43"/>
      <c r="AL1418" s="43"/>
      <c r="AM1418" s="43"/>
      <c r="AN1418" s="43"/>
      <c r="AO1418" s="43"/>
      <c r="AP1418" s="43"/>
      <c r="AQ1418" s="43"/>
      <c r="AR1418" s="43"/>
      <c r="AS1418" s="43"/>
      <c r="AT1418" s="43"/>
    </row>
    <row r="1419" spans="1:46">
      <c r="A1419" s="43" t="s">
        <v>43</v>
      </c>
      <c r="B1419" s="43" t="s">
        <v>157</v>
      </c>
      <c r="C1419" s="43" t="s">
        <v>152</v>
      </c>
      <c r="D1419" s="44" t="s">
        <v>243</v>
      </c>
      <c r="E1419" s="44">
        <v>14</v>
      </c>
      <c r="F1419" s="44" t="s">
        <v>2</v>
      </c>
      <c r="G1419" s="43" t="str">
        <f>IFERROR(VLOOKUP(A1419,'[1]MC Masterlist 2026-09-12'!$B:$M, 3, 0),"")</f>
        <v>YAMAHA</v>
      </c>
      <c r="H1419" s="45">
        <f>IFERROR(VLOOKUP(A1419,'[1]MC Masterlist 2026-09-12'!$B:$M, 6, 0),"")</f>
        <v>70587</v>
      </c>
      <c r="I1419" s="46">
        <v>2</v>
      </c>
      <c r="J1419" s="46">
        <v>2</v>
      </c>
      <c r="K1419" s="46">
        <v>0</v>
      </c>
      <c r="L1419" s="46">
        <f t="shared" si="330"/>
        <v>4</v>
      </c>
      <c r="M1419" s="46">
        <f t="shared" si="331"/>
        <v>1.3333333333333333</v>
      </c>
      <c r="N1419" s="45">
        <f t="shared" si="332"/>
        <v>282348</v>
      </c>
      <c r="O1419" s="45">
        <f t="shared" si="333"/>
        <v>94116</v>
      </c>
      <c r="P1419" s="46">
        <f t="shared" si="334"/>
        <v>4.4444444444444439E-2</v>
      </c>
      <c r="Q1419" s="46">
        <v>1</v>
      </c>
      <c r="R1419" s="45">
        <f t="shared" si="335"/>
        <v>70587</v>
      </c>
      <c r="S1419" s="46">
        <f t="shared" si="336"/>
        <v>22.5</v>
      </c>
      <c r="T1419" s="46">
        <f>IFERROR(VLOOKUP(A1419,'[1]Re-order'!$A:$Q,17,0),"")</f>
        <v>43.578947368421055</v>
      </c>
      <c r="U1419" s="46">
        <f>IFERROR(VLOOKUP(A1419,'[1]MC Masterlist 2026-09-12'!$B:$M, 10, 0),0)</f>
        <v>15</v>
      </c>
      <c r="V1419" s="46">
        <f>IFERROR(VLOOKUP(A1419,'[1]MC Masterlist 2026-09-12'!$B:$M, 11, 0),0)</f>
        <v>15</v>
      </c>
      <c r="W1419" s="46">
        <f t="shared" si="337"/>
        <v>30</v>
      </c>
      <c r="X1419" s="46">
        <f t="shared" si="338"/>
        <v>29.333333333333332</v>
      </c>
      <c r="Y1419" s="46">
        <f>IFERROR(IF(OR(C1419="AREA I",C1419="AREA V"),7,VLOOKUP(A1419,'[1]MC Masterlist 2026-09-12'!$B:$M, 12, 0)),0)</f>
        <v>30</v>
      </c>
      <c r="Z1419" s="46">
        <f t="shared" si="339"/>
        <v>0.66666666666666663</v>
      </c>
      <c r="AA1419" s="46">
        <f t="shared" si="340"/>
        <v>1.3333333333333333</v>
      </c>
      <c r="AB1419" s="46">
        <f t="shared" si="341"/>
        <v>1.3037037037037036</v>
      </c>
      <c r="AC1419" s="46">
        <f t="shared" si="342"/>
        <v>1.3333333333333333</v>
      </c>
      <c r="AD1419" s="44" t="str">
        <f t="shared" si="343"/>
        <v>Re-order</v>
      </c>
      <c r="AE1419" s="44" t="str">
        <f>IFERROR(VLOOKUP(A1419,'[1]Re-order'!$A:$AA,27,0),"")</f>
        <v>Re-order</v>
      </c>
      <c r="AF1419" s="46">
        <f t="shared" si="344"/>
        <v>0.33333333333333326</v>
      </c>
      <c r="AG1419" s="46">
        <f>SUMIFS('[1]Raw Inventory'!D:D,'[1]Raw Inventory'!C:C,"GREATWALL",'[1]Raw Inventory'!B:B,A1419)</f>
        <v>0</v>
      </c>
      <c r="AH1419" s="46">
        <f>SUMIFS('[1]Raw Inventory'!D:D,'[1]Raw Inventory'!C:C,"DUARTE",'[1]Raw Inventory'!B:B,A1419)</f>
        <v>0</v>
      </c>
      <c r="AI1419" s="46"/>
      <c r="AJ1419" s="46"/>
      <c r="AK1419" s="43"/>
      <c r="AL1419" s="43"/>
      <c r="AM1419" s="43"/>
      <c r="AN1419" s="43"/>
      <c r="AO1419" s="43"/>
      <c r="AP1419" s="43"/>
      <c r="AQ1419" s="43"/>
      <c r="AR1419" s="43"/>
      <c r="AS1419" s="43"/>
      <c r="AT1419" s="43"/>
    </row>
    <row r="1420" spans="1:46">
      <c r="A1420" s="43" t="s">
        <v>36</v>
      </c>
      <c r="B1420" s="43" t="s">
        <v>19</v>
      </c>
      <c r="C1420" s="43" t="s">
        <v>1</v>
      </c>
      <c r="D1420" s="44" t="s">
        <v>221</v>
      </c>
      <c r="E1420" s="44">
        <v>16</v>
      </c>
      <c r="F1420" s="44" t="s">
        <v>3</v>
      </c>
      <c r="G1420" s="43" t="str">
        <f>IFERROR(VLOOKUP(A1420,'[1]MC Masterlist 2026-09-12'!$B:$M, 3, 0),"")</f>
        <v>HONDA</v>
      </c>
      <c r="H1420" s="45">
        <f>IFERROR(VLOOKUP(A1420,'[1]MC Masterlist 2026-09-12'!$B:$M, 6, 0),"")</f>
        <v>76850</v>
      </c>
      <c r="I1420" s="46">
        <v>1</v>
      </c>
      <c r="J1420" s="46">
        <v>0</v>
      </c>
      <c r="K1420" s="46">
        <v>3</v>
      </c>
      <c r="L1420" s="46">
        <f t="shared" si="330"/>
        <v>4</v>
      </c>
      <c r="M1420" s="46">
        <f t="shared" si="331"/>
        <v>1.3333333333333333</v>
      </c>
      <c r="N1420" s="45">
        <f t="shared" si="332"/>
        <v>307400</v>
      </c>
      <c r="O1420" s="45">
        <f t="shared" si="333"/>
        <v>102466.66666666666</v>
      </c>
      <c r="P1420" s="46">
        <f t="shared" si="334"/>
        <v>4.4444444444444439E-2</v>
      </c>
      <c r="Q1420" s="46">
        <v>1</v>
      </c>
      <c r="R1420" s="45">
        <f t="shared" si="335"/>
        <v>76850</v>
      </c>
      <c r="S1420" s="46">
        <f t="shared" si="336"/>
        <v>22.500000000000004</v>
      </c>
      <c r="T1420" s="46">
        <f>IFERROR(VLOOKUP(A1420,'[1]Re-order'!$A:$Q,17,0),"")</f>
        <v>137.24999999999997</v>
      </c>
      <c r="U1420" s="46">
        <f>IFERROR(VLOOKUP(A1420,'[1]MC Masterlist 2026-09-12'!$B:$M, 10, 0),0)</f>
        <v>15</v>
      </c>
      <c r="V1420" s="46">
        <f>IFERROR(VLOOKUP(A1420,'[1]MC Masterlist 2026-09-12'!$B:$M, 11, 0),0)</f>
        <v>15</v>
      </c>
      <c r="W1420" s="46">
        <f t="shared" si="337"/>
        <v>30</v>
      </c>
      <c r="X1420" s="46">
        <f t="shared" si="338"/>
        <v>6.333333333333333</v>
      </c>
      <c r="Y1420" s="46">
        <f>IFERROR(IF(OR(C1420="AREA I",C1420="AREA V"),7,VLOOKUP(A1420,'[1]MC Masterlist 2026-09-12'!$B:$M, 12, 0)),0)</f>
        <v>7</v>
      </c>
      <c r="Z1420" s="46">
        <f t="shared" si="339"/>
        <v>0.66666666666666663</v>
      </c>
      <c r="AA1420" s="46">
        <f t="shared" si="340"/>
        <v>1.3333333333333333</v>
      </c>
      <c r="AB1420" s="46">
        <f t="shared" si="341"/>
        <v>0.28148148148148144</v>
      </c>
      <c r="AC1420" s="46">
        <f t="shared" si="342"/>
        <v>0.31111111111111106</v>
      </c>
      <c r="AD1420" s="44" t="str">
        <f t="shared" si="343"/>
        <v>Over</v>
      </c>
      <c r="AE1420" s="44" t="str">
        <f>IFERROR(VLOOKUP(A1420,'[1]Re-order'!$A:$AA,27,0),"")</f>
        <v>Over</v>
      </c>
      <c r="AF1420" s="46">
        <f t="shared" si="344"/>
        <v>-0.68888888888888888</v>
      </c>
      <c r="AG1420" s="46">
        <f>SUMIFS('[1]Raw Inventory'!D:D,'[1]Raw Inventory'!C:C,"GREATWALL",'[1]Raw Inventory'!B:B,A1420)</f>
        <v>18</v>
      </c>
      <c r="AH1420" s="46">
        <f>SUMIFS('[1]Raw Inventory'!D:D,'[1]Raw Inventory'!C:C,"DUARTE",'[1]Raw Inventory'!B:B,A1420)</f>
        <v>0</v>
      </c>
      <c r="AI1420" s="46"/>
      <c r="AJ1420" s="46"/>
      <c r="AK1420" s="43"/>
      <c r="AL1420" s="43"/>
      <c r="AM1420" s="43"/>
      <c r="AN1420" s="43"/>
      <c r="AO1420" s="43"/>
      <c r="AP1420" s="43"/>
      <c r="AQ1420" s="43"/>
      <c r="AR1420" s="43"/>
      <c r="AS1420" s="43"/>
      <c r="AT1420" s="43"/>
    </row>
    <row r="1421" spans="1:46">
      <c r="A1421" s="43" t="s">
        <v>101</v>
      </c>
      <c r="B1421" s="43" t="s">
        <v>110</v>
      </c>
      <c r="C1421" s="43" t="s">
        <v>109</v>
      </c>
      <c r="D1421" s="44" t="s">
        <v>255</v>
      </c>
      <c r="E1421" s="44">
        <v>13</v>
      </c>
      <c r="F1421" s="44" t="s">
        <v>2</v>
      </c>
      <c r="G1421" s="43" t="str">
        <f>IFERROR(VLOOKUP(A1421,'[1]MC Masterlist 2026-09-12'!$B:$M, 3, 0),"")</f>
        <v>BAJAJ RE</v>
      </c>
      <c r="H1421" s="45">
        <f>IFERROR(VLOOKUP(A1421,'[1]MC Masterlist 2026-09-12'!$B:$M, 6, 0),"")</f>
        <v>221800</v>
      </c>
      <c r="I1421" s="46">
        <v>1</v>
      </c>
      <c r="J1421" s="46">
        <v>0</v>
      </c>
      <c r="K1421" s="46">
        <v>0</v>
      </c>
      <c r="L1421" s="46">
        <f t="shared" si="330"/>
        <v>1</v>
      </c>
      <c r="M1421" s="46">
        <f t="shared" si="331"/>
        <v>0.33333333333333331</v>
      </c>
      <c r="N1421" s="45">
        <f t="shared" si="332"/>
        <v>221800</v>
      </c>
      <c r="O1421" s="45">
        <f t="shared" si="333"/>
        <v>73933.333333333328</v>
      </c>
      <c r="P1421" s="46">
        <f t="shared" si="334"/>
        <v>1.111111111111111E-2</v>
      </c>
      <c r="Q1421" s="46"/>
      <c r="R1421" s="45">
        <f t="shared" si="335"/>
        <v>0</v>
      </c>
      <c r="S1421" s="46">
        <f t="shared" si="336"/>
        <v>0</v>
      </c>
      <c r="T1421" s="46">
        <f>IFERROR(VLOOKUP(A1421,'[1]Re-order'!$A:$Q,17,0),"")</f>
        <v>90</v>
      </c>
      <c r="U1421" s="46">
        <f>IFERROR(VLOOKUP(A1421,'[1]MC Masterlist 2026-09-12'!$B:$M, 10, 0),0)</f>
        <v>15</v>
      </c>
      <c r="V1421" s="46">
        <f>IFERROR(VLOOKUP(A1421,'[1]MC Masterlist 2026-09-12'!$B:$M, 11, 0),0)</f>
        <v>15</v>
      </c>
      <c r="W1421" s="46">
        <f t="shared" si="337"/>
        <v>30</v>
      </c>
      <c r="X1421" s="46">
        <f t="shared" si="338"/>
        <v>29.833333333333332</v>
      </c>
      <c r="Y1421" s="46">
        <f>IFERROR(IF(OR(C1421="AREA I",C1421="AREA V"),7,VLOOKUP(A1421,'[1]MC Masterlist 2026-09-12'!$B:$M, 12, 0)),0)</f>
        <v>30</v>
      </c>
      <c r="Z1421" s="46">
        <f t="shared" si="339"/>
        <v>0.16666666666666666</v>
      </c>
      <c r="AA1421" s="46">
        <f t="shared" si="340"/>
        <v>0.33333333333333331</v>
      </c>
      <c r="AB1421" s="46">
        <f t="shared" si="341"/>
        <v>0.33148148148148143</v>
      </c>
      <c r="AC1421" s="46">
        <f t="shared" si="342"/>
        <v>0.33333333333333331</v>
      </c>
      <c r="AD1421" s="44" t="str">
        <f t="shared" si="343"/>
        <v>Stockout</v>
      </c>
      <c r="AE1421" s="44" t="str">
        <f>IFERROR(VLOOKUP(A1421,'[1]Re-order'!$A:$AA,27,0),"")</f>
        <v/>
      </c>
      <c r="AF1421" s="46">
        <f t="shared" si="344"/>
        <v>0.33333333333333331</v>
      </c>
      <c r="AG1421" s="46">
        <f>SUMIFS('[1]Raw Inventory'!D:D,'[1]Raw Inventory'!C:C,"GREATWALL",'[1]Raw Inventory'!B:B,A1421)</f>
        <v>0</v>
      </c>
      <c r="AH1421" s="46">
        <f>SUMIFS('[1]Raw Inventory'!D:D,'[1]Raw Inventory'!C:C,"DUARTE",'[1]Raw Inventory'!B:B,A1421)</f>
        <v>0</v>
      </c>
      <c r="AI1421" s="46"/>
      <c r="AJ1421" s="46"/>
      <c r="AK1421" s="43"/>
      <c r="AL1421" s="43"/>
      <c r="AM1421" s="43"/>
      <c r="AN1421" s="43"/>
      <c r="AO1421" s="43"/>
      <c r="AP1421" s="43"/>
      <c r="AQ1421" s="43"/>
      <c r="AR1421" s="43"/>
      <c r="AS1421" s="43"/>
      <c r="AT1421" s="43"/>
    </row>
    <row r="1422" spans="1:46">
      <c r="A1422" s="43" t="s">
        <v>31</v>
      </c>
      <c r="B1422" s="43" t="s">
        <v>153</v>
      </c>
      <c r="C1422" s="43" t="s">
        <v>152</v>
      </c>
      <c r="D1422" s="44" t="s">
        <v>257</v>
      </c>
      <c r="E1422" s="44">
        <v>17</v>
      </c>
      <c r="F1422" s="44" t="s">
        <v>3</v>
      </c>
      <c r="G1422" s="43" t="str">
        <f>IFERROR(VLOOKUP(A1422,'[1]MC Masterlist 2026-09-12'!$B:$M, 3, 0),"")</f>
        <v>KAWASAKI</v>
      </c>
      <c r="H1422" s="45">
        <f>IFERROR(VLOOKUP(A1422,'[1]MC Masterlist 2026-09-12'!$B:$M, 6, 0),"")</f>
        <v>59528</v>
      </c>
      <c r="I1422" s="46">
        <v>0</v>
      </c>
      <c r="J1422" s="46">
        <v>0</v>
      </c>
      <c r="K1422" s="46">
        <v>1</v>
      </c>
      <c r="L1422" s="46">
        <f t="shared" si="330"/>
        <v>1</v>
      </c>
      <c r="M1422" s="46">
        <f t="shared" si="331"/>
        <v>0.33333333333333331</v>
      </c>
      <c r="N1422" s="45">
        <f t="shared" si="332"/>
        <v>59528</v>
      </c>
      <c r="O1422" s="45">
        <f t="shared" si="333"/>
        <v>19842.666666666664</v>
      </c>
      <c r="P1422" s="46">
        <f t="shared" si="334"/>
        <v>1.111111111111111E-2</v>
      </c>
      <c r="Q1422" s="46">
        <v>1</v>
      </c>
      <c r="R1422" s="45">
        <f t="shared" si="335"/>
        <v>59528</v>
      </c>
      <c r="S1422" s="46">
        <f t="shared" si="336"/>
        <v>90.000000000000014</v>
      </c>
      <c r="T1422" s="46">
        <f>IFERROR(VLOOKUP(A1422,'[1]Re-order'!$A:$Q,17,0),"")</f>
        <v>95.869565217391298</v>
      </c>
      <c r="U1422" s="46">
        <f>IFERROR(VLOOKUP(A1422,'[1]MC Masterlist 2026-09-12'!$B:$M, 10, 0),0)</f>
        <v>15</v>
      </c>
      <c r="V1422" s="46">
        <f>IFERROR(VLOOKUP(A1422,'[1]MC Masterlist 2026-09-12'!$B:$M, 11, 0),0)</f>
        <v>15</v>
      </c>
      <c r="W1422" s="46">
        <f t="shared" si="337"/>
        <v>30</v>
      </c>
      <c r="X1422" s="46">
        <f t="shared" si="338"/>
        <v>29.833333333333332</v>
      </c>
      <c r="Y1422" s="46">
        <f>IFERROR(IF(OR(C1422="AREA I",C1422="AREA V"),7,VLOOKUP(A1422,'[1]MC Masterlist 2026-09-12'!$B:$M, 12, 0)),0)</f>
        <v>30</v>
      </c>
      <c r="Z1422" s="46">
        <f t="shared" si="339"/>
        <v>0.16666666666666666</v>
      </c>
      <c r="AA1422" s="46">
        <f t="shared" si="340"/>
        <v>0.33333333333333331</v>
      </c>
      <c r="AB1422" s="46">
        <f t="shared" si="341"/>
        <v>0.33148148148148143</v>
      </c>
      <c r="AC1422" s="46">
        <f t="shared" si="342"/>
        <v>0.33333333333333331</v>
      </c>
      <c r="AD1422" s="44" t="str">
        <f t="shared" si="343"/>
        <v>Over</v>
      </c>
      <c r="AE1422" s="44" t="str">
        <f>IFERROR(VLOOKUP(A1422,'[1]Re-order'!$A:$AA,27,0),"")</f>
        <v>Over</v>
      </c>
      <c r="AF1422" s="46">
        <f t="shared" si="344"/>
        <v>-0.66666666666666674</v>
      </c>
      <c r="AG1422" s="46">
        <f>SUMIFS('[1]Raw Inventory'!D:D,'[1]Raw Inventory'!C:C,"GREATWALL",'[1]Raw Inventory'!B:B,A1422)</f>
        <v>79</v>
      </c>
      <c r="AH1422" s="46">
        <f>SUMIFS('[1]Raw Inventory'!D:D,'[1]Raw Inventory'!C:C,"DUARTE",'[1]Raw Inventory'!B:B,A1422)</f>
        <v>0</v>
      </c>
      <c r="AI1422" s="46"/>
      <c r="AJ1422" s="46"/>
      <c r="AK1422" s="43"/>
      <c r="AL1422" s="43"/>
      <c r="AM1422" s="43"/>
      <c r="AN1422" s="43"/>
      <c r="AO1422" s="43"/>
      <c r="AP1422" s="43"/>
      <c r="AQ1422" s="43"/>
      <c r="AR1422" s="43"/>
      <c r="AS1422" s="43"/>
      <c r="AT1422" s="43"/>
    </row>
    <row r="1423" spans="1:46">
      <c r="A1423" s="43" t="s">
        <v>72</v>
      </c>
      <c r="B1423" s="43" t="s">
        <v>97</v>
      </c>
      <c r="C1423" s="43" t="s">
        <v>90</v>
      </c>
      <c r="D1423" s="44" t="s">
        <v>253</v>
      </c>
      <c r="E1423" s="44">
        <v>17</v>
      </c>
      <c r="F1423" s="44" t="s">
        <v>3</v>
      </c>
      <c r="G1423" s="43" t="str">
        <f>IFERROR(VLOOKUP(A1423,'[1]MC Masterlist 2026-09-12'!$B:$M, 3, 0),"")</f>
        <v>KAWASAKI</v>
      </c>
      <c r="H1423" s="45">
        <f>IFERROR(VLOOKUP(A1423,'[1]MC Masterlist 2026-09-12'!$B:$M, 6, 0),"")</f>
        <v>52948</v>
      </c>
      <c r="I1423" s="46">
        <v>0</v>
      </c>
      <c r="J1423" s="46">
        <v>0</v>
      </c>
      <c r="K1423" s="46">
        <v>0</v>
      </c>
      <c r="L1423" s="46">
        <f t="shared" si="330"/>
        <v>0</v>
      </c>
      <c r="M1423" s="46">
        <f t="shared" si="331"/>
        <v>0</v>
      </c>
      <c r="N1423" s="45">
        <f t="shared" si="332"/>
        <v>0</v>
      </c>
      <c r="O1423" s="45">
        <f t="shared" si="333"/>
        <v>0</v>
      </c>
      <c r="P1423" s="46">
        <f t="shared" si="334"/>
        <v>0</v>
      </c>
      <c r="Q1423" s="46">
        <v>1</v>
      </c>
      <c r="R1423" s="45">
        <f t="shared" si="335"/>
        <v>52948</v>
      </c>
      <c r="S1423" s="46">
        <f t="shared" si="336"/>
        <v>0</v>
      </c>
      <c r="T1423" s="46">
        <f>IFERROR(VLOOKUP(A1423,'[1]Re-order'!$A:$Q,17,0),"")</f>
        <v>378</v>
      </c>
      <c r="U1423" s="46">
        <f>IFERROR(VLOOKUP(A1423,'[1]MC Masterlist 2026-09-12'!$B:$M, 10, 0),0)</f>
        <v>15</v>
      </c>
      <c r="V1423" s="46">
        <f>IFERROR(VLOOKUP(A1423,'[1]MC Masterlist 2026-09-12'!$B:$M, 11, 0),0)</f>
        <v>15</v>
      </c>
      <c r="W1423" s="46">
        <f t="shared" si="337"/>
        <v>30</v>
      </c>
      <c r="X1423" s="46">
        <f t="shared" si="338"/>
        <v>30</v>
      </c>
      <c r="Y1423" s="46">
        <f>IFERROR(IF(OR(C1423="AREA I",C1423="AREA V"),7,VLOOKUP(A1423,'[1]MC Masterlist 2026-09-12'!$B:$M, 12, 0)),0)</f>
        <v>30</v>
      </c>
      <c r="Z1423" s="46">
        <f t="shared" si="339"/>
        <v>0</v>
      </c>
      <c r="AA1423" s="46">
        <f t="shared" si="340"/>
        <v>0</v>
      </c>
      <c r="AB1423" s="46">
        <f t="shared" si="341"/>
        <v>0</v>
      </c>
      <c r="AC1423" s="46">
        <f t="shared" si="342"/>
        <v>0</v>
      </c>
      <c r="AD1423" s="44" t="str">
        <f t="shared" si="343"/>
        <v>Over</v>
      </c>
      <c r="AE1423" s="44" t="str">
        <f>IFERROR(VLOOKUP(A1423,'[1]Re-order'!$A:$AA,27,0),"")</f>
        <v>Over</v>
      </c>
      <c r="AF1423" s="46">
        <f t="shared" si="344"/>
        <v>-1</v>
      </c>
      <c r="AG1423" s="46">
        <f>SUMIFS('[1]Raw Inventory'!D:D,'[1]Raw Inventory'!C:C,"GREATWALL",'[1]Raw Inventory'!B:B,A1423)</f>
        <v>15</v>
      </c>
      <c r="AH1423" s="46">
        <f>SUMIFS('[1]Raw Inventory'!D:D,'[1]Raw Inventory'!C:C,"DUARTE",'[1]Raw Inventory'!B:B,A1423)</f>
        <v>0</v>
      </c>
      <c r="AI1423" s="46"/>
      <c r="AJ1423" s="46"/>
      <c r="AK1423" s="43"/>
      <c r="AL1423" s="43"/>
      <c r="AM1423" s="43"/>
      <c r="AN1423" s="43"/>
      <c r="AO1423" s="43"/>
      <c r="AP1423" s="43"/>
      <c r="AQ1423" s="43"/>
      <c r="AR1423" s="43"/>
      <c r="AS1423" s="43"/>
      <c r="AT1423" s="43"/>
    </row>
    <row r="1424" spans="1:46">
      <c r="A1424" s="43" t="s">
        <v>17</v>
      </c>
      <c r="B1424" s="43" t="s">
        <v>120</v>
      </c>
      <c r="C1424" s="43" t="s">
        <v>118</v>
      </c>
      <c r="D1424" s="44" t="s">
        <v>259</v>
      </c>
      <c r="E1424" s="44">
        <v>5</v>
      </c>
      <c r="F1424" s="44" t="s">
        <v>0</v>
      </c>
      <c r="G1424" s="43" t="str">
        <f>IFERROR(VLOOKUP(A1424,'[1]MC Masterlist 2026-09-12'!$B:$M, 3, 0),"")</f>
        <v>HONDA</v>
      </c>
      <c r="H1424" s="45">
        <f>IFERROR(VLOOKUP(A1424,'[1]MC Masterlist 2026-09-12'!$B:$M, 6, 0),"")</f>
        <v>140790</v>
      </c>
      <c r="I1424" s="46">
        <v>0</v>
      </c>
      <c r="J1424" s="46">
        <v>2</v>
      </c>
      <c r="K1424" s="46">
        <v>3</v>
      </c>
      <c r="L1424" s="46">
        <f t="shared" si="330"/>
        <v>5</v>
      </c>
      <c r="M1424" s="46">
        <f t="shared" si="331"/>
        <v>1.6666666666666667</v>
      </c>
      <c r="N1424" s="45">
        <f t="shared" si="332"/>
        <v>703950</v>
      </c>
      <c r="O1424" s="45">
        <f t="shared" si="333"/>
        <v>234650</v>
      </c>
      <c r="P1424" s="46">
        <f t="shared" si="334"/>
        <v>5.5555555555555559E-2</v>
      </c>
      <c r="Q1424" s="46">
        <v>3</v>
      </c>
      <c r="R1424" s="45">
        <f t="shared" si="335"/>
        <v>422370</v>
      </c>
      <c r="S1424" s="46">
        <f t="shared" si="336"/>
        <v>54</v>
      </c>
      <c r="T1424" s="46">
        <f>IFERROR(VLOOKUP(A1424,'[1]Re-order'!$A:$Q,17,0),"")</f>
        <v>43.663366336633665</v>
      </c>
      <c r="U1424" s="46">
        <f>IFERROR(VLOOKUP(A1424,'[1]MC Masterlist 2026-09-12'!$B:$M, 10, 0),0)</f>
        <v>15</v>
      </c>
      <c r="V1424" s="46">
        <f>IFERROR(VLOOKUP(A1424,'[1]MC Masterlist 2026-09-12'!$B:$M, 11, 0),0)</f>
        <v>15</v>
      </c>
      <c r="W1424" s="46">
        <f t="shared" si="337"/>
        <v>30</v>
      </c>
      <c r="X1424" s="46">
        <f t="shared" si="338"/>
        <v>29.166666666666668</v>
      </c>
      <c r="Y1424" s="46">
        <f>IFERROR(IF(OR(C1424="AREA I",C1424="AREA V"),7,VLOOKUP(A1424,'[1]MC Masterlist 2026-09-12'!$B:$M, 12, 0)),0)</f>
        <v>30</v>
      </c>
      <c r="Z1424" s="46">
        <f t="shared" si="339"/>
        <v>0.83333333333333337</v>
      </c>
      <c r="AA1424" s="46">
        <f t="shared" si="340"/>
        <v>1.6666666666666667</v>
      </c>
      <c r="AB1424" s="46">
        <f t="shared" si="341"/>
        <v>1.6203703703703705</v>
      </c>
      <c r="AC1424" s="46">
        <f t="shared" si="342"/>
        <v>1.6666666666666667</v>
      </c>
      <c r="AD1424" s="44" t="str">
        <f t="shared" si="343"/>
        <v>Over</v>
      </c>
      <c r="AE1424" s="44" t="str">
        <f>IFERROR(VLOOKUP(A1424,'[1]Re-order'!$A:$AA,27,0),"")</f>
        <v>Re-order</v>
      </c>
      <c r="AF1424" s="46">
        <f t="shared" si="344"/>
        <v>-1.3333333333333333</v>
      </c>
      <c r="AG1424" s="46">
        <f>SUMIFS('[1]Raw Inventory'!D:D,'[1]Raw Inventory'!C:C,"GREATWALL",'[1]Raw Inventory'!B:B,A1424)</f>
        <v>12</v>
      </c>
      <c r="AH1424" s="46">
        <f>SUMIFS('[1]Raw Inventory'!D:D,'[1]Raw Inventory'!C:C,"DUARTE",'[1]Raw Inventory'!B:B,A1424)</f>
        <v>0</v>
      </c>
      <c r="AI1424" s="46"/>
      <c r="AJ1424" s="46"/>
      <c r="AK1424" s="43"/>
      <c r="AL1424" s="43"/>
      <c r="AM1424" s="43"/>
      <c r="AN1424" s="43"/>
      <c r="AO1424" s="43"/>
      <c r="AP1424" s="43"/>
      <c r="AQ1424" s="43"/>
      <c r="AR1424" s="43"/>
      <c r="AS1424" s="43"/>
      <c r="AT1424" s="43"/>
    </row>
    <row r="1425" spans="1:46">
      <c r="A1425" s="43" t="s">
        <v>37</v>
      </c>
      <c r="B1425" s="43" t="s">
        <v>132</v>
      </c>
      <c r="C1425" s="43" t="s">
        <v>128</v>
      </c>
      <c r="D1425" s="44" t="s">
        <v>224</v>
      </c>
      <c r="E1425" s="44">
        <v>11</v>
      </c>
      <c r="F1425" s="44" t="s">
        <v>2</v>
      </c>
      <c r="G1425" s="43" t="str">
        <f>IFERROR(VLOOKUP(A1425,'[1]MC Masterlist 2026-09-12'!$B:$M, 3, 0),"")</f>
        <v>HONDA</v>
      </c>
      <c r="H1425" s="45">
        <f>IFERROR(VLOOKUP(A1425,'[1]MC Masterlist 2026-09-12'!$B:$M, 6, 0),"")</f>
        <v>74550</v>
      </c>
      <c r="I1425" s="46">
        <v>0</v>
      </c>
      <c r="J1425" s="46">
        <v>3</v>
      </c>
      <c r="K1425" s="46">
        <v>3</v>
      </c>
      <c r="L1425" s="46">
        <f t="shared" si="330"/>
        <v>6</v>
      </c>
      <c r="M1425" s="46">
        <f t="shared" si="331"/>
        <v>2</v>
      </c>
      <c r="N1425" s="45">
        <f t="shared" si="332"/>
        <v>447300</v>
      </c>
      <c r="O1425" s="45">
        <f t="shared" si="333"/>
        <v>149100</v>
      </c>
      <c r="P1425" s="46">
        <f t="shared" si="334"/>
        <v>6.6666666666666666E-2</v>
      </c>
      <c r="Q1425" s="46">
        <v>1</v>
      </c>
      <c r="R1425" s="45">
        <f t="shared" si="335"/>
        <v>74550</v>
      </c>
      <c r="S1425" s="46">
        <f t="shared" si="336"/>
        <v>15</v>
      </c>
      <c r="T1425" s="46">
        <f>IFERROR(VLOOKUP(A1425,'[1]Re-order'!$A:$Q,17,0),"")</f>
        <v>33.652173913043477</v>
      </c>
      <c r="U1425" s="46">
        <f>IFERROR(VLOOKUP(A1425,'[1]MC Masterlist 2026-09-12'!$B:$M, 10, 0),0)</f>
        <v>15</v>
      </c>
      <c r="V1425" s="46">
        <f>IFERROR(VLOOKUP(A1425,'[1]MC Masterlist 2026-09-12'!$B:$M, 11, 0),0)</f>
        <v>15</v>
      </c>
      <c r="W1425" s="46">
        <f t="shared" si="337"/>
        <v>30</v>
      </c>
      <c r="X1425" s="46">
        <f t="shared" si="338"/>
        <v>29</v>
      </c>
      <c r="Y1425" s="46">
        <f>IFERROR(IF(OR(C1425="AREA I",C1425="AREA V"),7,VLOOKUP(A1425,'[1]MC Masterlist 2026-09-12'!$B:$M, 12, 0)),0)</f>
        <v>30</v>
      </c>
      <c r="Z1425" s="46">
        <f t="shared" si="339"/>
        <v>1</v>
      </c>
      <c r="AA1425" s="46">
        <f t="shared" si="340"/>
        <v>2</v>
      </c>
      <c r="AB1425" s="46">
        <f t="shared" si="341"/>
        <v>1.9333333333333333</v>
      </c>
      <c r="AC1425" s="46">
        <f t="shared" si="342"/>
        <v>2</v>
      </c>
      <c r="AD1425" s="44" t="str">
        <f t="shared" si="343"/>
        <v>Stockout</v>
      </c>
      <c r="AE1425" s="44" t="str">
        <f>IFERROR(VLOOKUP(A1425,'[1]Re-order'!$A:$AA,27,0),"")</f>
        <v>Re-order</v>
      </c>
      <c r="AF1425" s="46">
        <f t="shared" si="344"/>
        <v>1</v>
      </c>
      <c r="AG1425" s="46">
        <f>SUMIFS('[1]Raw Inventory'!D:D,'[1]Raw Inventory'!C:C,"GREATWALL",'[1]Raw Inventory'!B:B,A1425)</f>
        <v>28</v>
      </c>
      <c r="AH1425" s="46">
        <f>SUMIFS('[1]Raw Inventory'!D:D,'[1]Raw Inventory'!C:C,"DUARTE",'[1]Raw Inventory'!B:B,A1425)</f>
        <v>0</v>
      </c>
      <c r="AI1425" s="46"/>
      <c r="AJ1425" s="46"/>
      <c r="AK1425" s="43"/>
      <c r="AL1425" s="43"/>
      <c r="AM1425" s="43"/>
      <c r="AN1425" s="43"/>
      <c r="AO1425" s="43"/>
      <c r="AP1425" s="43"/>
      <c r="AQ1425" s="43"/>
      <c r="AR1425" s="43"/>
      <c r="AS1425" s="43"/>
      <c r="AT1425" s="43"/>
    </row>
    <row r="1426" spans="1:46">
      <c r="A1426" s="43" t="s">
        <v>35</v>
      </c>
      <c r="B1426" s="43" t="s">
        <v>154</v>
      </c>
      <c r="C1426" s="43" t="s">
        <v>152</v>
      </c>
      <c r="D1426" s="44" t="s">
        <v>239</v>
      </c>
      <c r="E1426" s="44">
        <v>28</v>
      </c>
      <c r="F1426" s="44" t="s">
        <v>3</v>
      </c>
      <c r="G1426" s="43" t="str">
        <f>IFERROR(VLOOKUP(A1426,'[1]MC Masterlist 2026-09-12'!$B:$M, 3, 0),"")</f>
        <v>HONDA</v>
      </c>
      <c r="H1426" s="45">
        <f>IFERROR(VLOOKUP(A1426,'[1]MC Masterlist 2026-09-12'!$B:$M, 6, 0),"")</f>
        <v>57990</v>
      </c>
      <c r="I1426" s="46">
        <v>0</v>
      </c>
      <c r="J1426" s="46">
        <v>0</v>
      </c>
      <c r="K1426" s="46">
        <v>0</v>
      </c>
      <c r="L1426" s="46">
        <f t="shared" si="330"/>
        <v>0</v>
      </c>
      <c r="M1426" s="46">
        <f t="shared" si="331"/>
        <v>0</v>
      </c>
      <c r="N1426" s="45">
        <f t="shared" si="332"/>
        <v>0</v>
      </c>
      <c r="O1426" s="45">
        <f t="shared" si="333"/>
        <v>0</v>
      </c>
      <c r="P1426" s="46">
        <f t="shared" si="334"/>
        <v>0</v>
      </c>
      <c r="Q1426" s="46">
        <v>1</v>
      </c>
      <c r="R1426" s="45">
        <f t="shared" si="335"/>
        <v>57990</v>
      </c>
      <c r="S1426" s="46">
        <f t="shared" si="336"/>
        <v>0</v>
      </c>
      <c r="T1426" s="46">
        <f>IFERROR(VLOOKUP(A1426,'[1]Re-order'!$A:$Q,17,0),"")</f>
        <v>68.275862068965523</v>
      </c>
      <c r="U1426" s="46">
        <f>IFERROR(VLOOKUP(A1426,'[1]MC Masterlist 2026-09-12'!$B:$M, 10, 0),0)</f>
        <v>15</v>
      </c>
      <c r="V1426" s="46">
        <f>IFERROR(VLOOKUP(A1426,'[1]MC Masterlist 2026-09-12'!$B:$M, 11, 0),0)</f>
        <v>15</v>
      </c>
      <c r="W1426" s="46">
        <f t="shared" si="337"/>
        <v>30</v>
      </c>
      <c r="X1426" s="46">
        <f t="shared" si="338"/>
        <v>30</v>
      </c>
      <c r="Y1426" s="46">
        <f>IFERROR(IF(OR(C1426="AREA I",C1426="AREA V"),7,VLOOKUP(A1426,'[1]MC Masterlist 2026-09-12'!$B:$M, 12, 0)),0)</f>
        <v>30</v>
      </c>
      <c r="Z1426" s="46">
        <f t="shared" si="339"/>
        <v>0</v>
      </c>
      <c r="AA1426" s="46">
        <f t="shared" si="340"/>
        <v>0</v>
      </c>
      <c r="AB1426" s="46">
        <f t="shared" si="341"/>
        <v>0</v>
      </c>
      <c r="AC1426" s="46">
        <f t="shared" si="342"/>
        <v>0</v>
      </c>
      <c r="AD1426" s="44" t="str">
        <f t="shared" si="343"/>
        <v>Over</v>
      </c>
      <c r="AE1426" s="44" t="str">
        <f>IFERROR(VLOOKUP(A1426,'[1]Re-order'!$A:$AA,27,0),"")</f>
        <v>Re-order</v>
      </c>
      <c r="AF1426" s="46">
        <f t="shared" si="344"/>
        <v>-1</v>
      </c>
      <c r="AG1426" s="46">
        <f>SUMIFS('[1]Raw Inventory'!D:D,'[1]Raw Inventory'!C:C,"GREATWALL",'[1]Raw Inventory'!B:B,A1426)</f>
        <v>29</v>
      </c>
      <c r="AH1426" s="46">
        <f>SUMIFS('[1]Raw Inventory'!D:D,'[1]Raw Inventory'!C:C,"DUARTE",'[1]Raw Inventory'!B:B,A1426)</f>
        <v>0</v>
      </c>
      <c r="AI1426" s="46"/>
      <c r="AJ1426" s="46"/>
      <c r="AK1426" s="43"/>
      <c r="AL1426" s="43"/>
      <c r="AM1426" s="43"/>
      <c r="AN1426" s="43"/>
      <c r="AO1426" s="43"/>
      <c r="AP1426" s="43"/>
      <c r="AQ1426" s="43"/>
      <c r="AR1426" s="43"/>
      <c r="AS1426" s="43"/>
      <c r="AT1426" s="43"/>
    </row>
    <row r="1427" spans="1:46">
      <c r="A1427" s="43" t="s">
        <v>77</v>
      </c>
      <c r="B1427" s="43" t="s">
        <v>29</v>
      </c>
      <c r="C1427" s="43" t="s">
        <v>1</v>
      </c>
      <c r="D1427" s="44" t="s">
        <v>273</v>
      </c>
      <c r="E1427" s="44">
        <v>38</v>
      </c>
      <c r="F1427" s="44" t="s">
        <v>3</v>
      </c>
      <c r="G1427" s="43" t="str">
        <f>IFERROR(VLOOKUP(A1427,'[1]MC Masterlist 2026-09-12'!$B:$M, 3, 0),"")</f>
        <v>SUZUKI</v>
      </c>
      <c r="H1427" s="45">
        <f>IFERROR(VLOOKUP(A1427,'[1]MC Masterlist 2026-09-12'!$B:$M, 6, 0),"")</f>
        <v>91057</v>
      </c>
      <c r="I1427" s="46">
        <v>0</v>
      </c>
      <c r="J1427" s="46">
        <v>0</v>
      </c>
      <c r="K1427" s="46">
        <v>0</v>
      </c>
      <c r="L1427" s="46">
        <f t="shared" si="330"/>
        <v>0</v>
      </c>
      <c r="M1427" s="46">
        <f t="shared" si="331"/>
        <v>0</v>
      </c>
      <c r="N1427" s="45">
        <f t="shared" si="332"/>
        <v>0</v>
      </c>
      <c r="O1427" s="45">
        <f t="shared" si="333"/>
        <v>0</v>
      </c>
      <c r="P1427" s="46">
        <f t="shared" si="334"/>
        <v>0</v>
      </c>
      <c r="Q1427" s="46">
        <v>2</v>
      </c>
      <c r="R1427" s="45">
        <f t="shared" si="335"/>
        <v>182114</v>
      </c>
      <c r="S1427" s="46">
        <f t="shared" si="336"/>
        <v>0</v>
      </c>
      <c r="T1427" s="46">
        <f>IFERROR(VLOOKUP(A1427,'[1]Re-order'!$A:$Q,17,0),"")</f>
        <v>1125</v>
      </c>
      <c r="U1427" s="46">
        <f>IFERROR(VLOOKUP(A1427,'[1]MC Masterlist 2026-09-12'!$B:$M, 10, 0),0)</f>
        <v>15</v>
      </c>
      <c r="V1427" s="46">
        <f>IFERROR(VLOOKUP(A1427,'[1]MC Masterlist 2026-09-12'!$B:$M, 11, 0),0)</f>
        <v>15</v>
      </c>
      <c r="W1427" s="46">
        <f t="shared" si="337"/>
        <v>30</v>
      </c>
      <c r="X1427" s="46">
        <f t="shared" si="338"/>
        <v>7</v>
      </c>
      <c r="Y1427" s="46">
        <f>IFERROR(IF(OR(C1427="AREA I",C1427="AREA V"),7,VLOOKUP(A1427,'[1]MC Masterlist 2026-09-12'!$B:$M, 12, 0)),0)</f>
        <v>7</v>
      </c>
      <c r="Z1427" s="46">
        <f t="shared" si="339"/>
        <v>0</v>
      </c>
      <c r="AA1427" s="46">
        <f t="shared" si="340"/>
        <v>0</v>
      </c>
      <c r="AB1427" s="46">
        <f t="shared" si="341"/>
        <v>0</v>
      </c>
      <c r="AC1427" s="46">
        <f t="shared" si="342"/>
        <v>0</v>
      </c>
      <c r="AD1427" s="44" t="str">
        <f t="shared" si="343"/>
        <v>Over</v>
      </c>
      <c r="AE1427" s="44" t="str">
        <f>IFERROR(VLOOKUP(A1427,'[1]Re-order'!$A:$AA,27,0),"")</f>
        <v>Over</v>
      </c>
      <c r="AF1427" s="46">
        <f t="shared" si="344"/>
        <v>-2</v>
      </c>
      <c r="AG1427" s="46">
        <f>SUMIFS('[1]Raw Inventory'!D:D,'[1]Raw Inventory'!C:C,"GREATWALL",'[1]Raw Inventory'!B:B,A1427)</f>
        <v>13</v>
      </c>
      <c r="AH1427" s="46">
        <f>SUMIFS('[1]Raw Inventory'!D:D,'[1]Raw Inventory'!C:C,"DUARTE",'[1]Raw Inventory'!B:B,A1427)</f>
        <v>0</v>
      </c>
      <c r="AI1427" s="46"/>
      <c r="AJ1427" s="46"/>
      <c r="AK1427" s="43"/>
      <c r="AL1427" s="43"/>
      <c r="AM1427" s="43"/>
      <c r="AN1427" s="43"/>
      <c r="AO1427" s="43"/>
      <c r="AP1427" s="43"/>
      <c r="AQ1427" s="43"/>
      <c r="AR1427" s="43"/>
      <c r="AS1427" s="43"/>
      <c r="AT1427" s="43"/>
    </row>
    <row r="1428" spans="1:46">
      <c r="A1428" s="43" t="s">
        <v>31</v>
      </c>
      <c r="B1428" s="43" t="s">
        <v>158</v>
      </c>
      <c r="C1428" s="43" t="s">
        <v>152</v>
      </c>
      <c r="D1428" s="44" t="s">
        <v>229</v>
      </c>
      <c r="E1428" s="44">
        <v>25</v>
      </c>
      <c r="F1428" s="44" t="s">
        <v>3</v>
      </c>
      <c r="G1428" s="43" t="str">
        <f>IFERROR(VLOOKUP(A1428,'[1]MC Masterlist 2026-09-12'!$B:$M, 3, 0),"")</f>
        <v>KAWASAKI</v>
      </c>
      <c r="H1428" s="45">
        <f>IFERROR(VLOOKUP(A1428,'[1]MC Masterlist 2026-09-12'!$B:$M, 6, 0),"")</f>
        <v>59528</v>
      </c>
      <c r="I1428" s="46">
        <v>0</v>
      </c>
      <c r="J1428" s="46">
        <v>0</v>
      </c>
      <c r="K1428" s="46">
        <v>0</v>
      </c>
      <c r="L1428" s="46">
        <f t="shared" si="330"/>
        <v>0</v>
      </c>
      <c r="M1428" s="46">
        <f t="shared" si="331"/>
        <v>0</v>
      </c>
      <c r="N1428" s="45">
        <f t="shared" si="332"/>
        <v>0</v>
      </c>
      <c r="O1428" s="45">
        <f t="shared" si="333"/>
        <v>0</v>
      </c>
      <c r="P1428" s="46">
        <f t="shared" si="334"/>
        <v>0</v>
      </c>
      <c r="Q1428" s="46">
        <v>1</v>
      </c>
      <c r="R1428" s="45">
        <f t="shared" si="335"/>
        <v>59528</v>
      </c>
      <c r="S1428" s="46">
        <f t="shared" si="336"/>
        <v>0</v>
      </c>
      <c r="T1428" s="46">
        <f>IFERROR(VLOOKUP(A1428,'[1]Re-order'!$A:$Q,17,0),"")</f>
        <v>95.869565217391298</v>
      </c>
      <c r="U1428" s="46">
        <f>IFERROR(VLOOKUP(A1428,'[1]MC Masterlist 2026-09-12'!$B:$M, 10, 0),0)</f>
        <v>15</v>
      </c>
      <c r="V1428" s="46">
        <f>IFERROR(VLOOKUP(A1428,'[1]MC Masterlist 2026-09-12'!$B:$M, 11, 0),0)</f>
        <v>15</v>
      </c>
      <c r="W1428" s="46">
        <f t="shared" si="337"/>
        <v>30</v>
      </c>
      <c r="X1428" s="46">
        <f t="shared" si="338"/>
        <v>30</v>
      </c>
      <c r="Y1428" s="46">
        <f>IFERROR(IF(OR(C1428="AREA I",C1428="AREA V"),7,VLOOKUP(A1428,'[1]MC Masterlist 2026-09-12'!$B:$M, 12, 0)),0)</f>
        <v>30</v>
      </c>
      <c r="Z1428" s="46">
        <f t="shared" si="339"/>
        <v>0</v>
      </c>
      <c r="AA1428" s="46">
        <f t="shared" si="340"/>
        <v>0</v>
      </c>
      <c r="AB1428" s="46">
        <f t="shared" si="341"/>
        <v>0</v>
      </c>
      <c r="AC1428" s="46">
        <f t="shared" si="342"/>
        <v>0</v>
      </c>
      <c r="AD1428" s="44" t="str">
        <f t="shared" si="343"/>
        <v>Over</v>
      </c>
      <c r="AE1428" s="44" t="str">
        <f>IFERROR(VLOOKUP(A1428,'[1]Re-order'!$A:$AA,27,0),"")</f>
        <v>Over</v>
      </c>
      <c r="AF1428" s="46">
        <f t="shared" si="344"/>
        <v>-1</v>
      </c>
      <c r="AG1428" s="46">
        <f>SUMIFS('[1]Raw Inventory'!D:D,'[1]Raw Inventory'!C:C,"GREATWALL",'[1]Raw Inventory'!B:B,A1428)</f>
        <v>79</v>
      </c>
      <c r="AH1428" s="46">
        <f>SUMIFS('[1]Raw Inventory'!D:D,'[1]Raw Inventory'!C:C,"DUARTE",'[1]Raw Inventory'!B:B,A1428)</f>
        <v>0</v>
      </c>
      <c r="AI1428" s="46"/>
      <c r="AJ1428" s="46"/>
      <c r="AK1428" s="43"/>
      <c r="AL1428" s="43"/>
      <c r="AM1428" s="43"/>
      <c r="AN1428" s="43"/>
      <c r="AO1428" s="43"/>
      <c r="AP1428" s="43"/>
      <c r="AQ1428" s="43"/>
      <c r="AR1428" s="43"/>
      <c r="AS1428" s="43"/>
      <c r="AT1428" s="43"/>
    </row>
    <row r="1429" spans="1:46">
      <c r="A1429" s="43" t="s">
        <v>80</v>
      </c>
      <c r="B1429" s="43" t="s">
        <v>130</v>
      </c>
      <c r="C1429" s="43" t="s">
        <v>128</v>
      </c>
      <c r="D1429" s="44" t="s">
        <v>235</v>
      </c>
      <c r="E1429" s="44">
        <v>28</v>
      </c>
      <c r="F1429" s="44" t="s">
        <v>3</v>
      </c>
      <c r="G1429" s="43" t="str">
        <f>IFERROR(VLOOKUP(A1429,'[1]MC Masterlist 2026-09-12'!$B:$M, 3, 0),"")</f>
        <v>YAMAHA</v>
      </c>
      <c r="H1429" s="45">
        <f>IFERROR(VLOOKUP(A1429,'[1]MC Masterlist 2026-09-12'!$B:$M, 6, 0),"")</f>
        <v>73842</v>
      </c>
      <c r="I1429" s="46">
        <v>0</v>
      </c>
      <c r="J1429" s="46">
        <v>1</v>
      </c>
      <c r="K1429" s="46">
        <v>0</v>
      </c>
      <c r="L1429" s="46">
        <f t="shared" si="330"/>
        <v>1</v>
      </c>
      <c r="M1429" s="46">
        <f t="shared" si="331"/>
        <v>0.33333333333333331</v>
      </c>
      <c r="N1429" s="45">
        <f t="shared" si="332"/>
        <v>73842</v>
      </c>
      <c r="O1429" s="45">
        <f t="shared" si="333"/>
        <v>24614</v>
      </c>
      <c r="P1429" s="46">
        <f t="shared" si="334"/>
        <v>1.111111111111111E-2</v>
      </c>
      <c r="Q1429" s="46"/>
      <c r="R1429" s="45">
        <f t="shared" si="335"/>
        <v>0</v>
      </c>
      <c r="S1429" s="46">
        <f t="shared" si="336"/>
        <v>0</v>
      </c>
      <c r="T1429" s="46">
        <f>IFERROR(VLOOKUP(A1429,'[1]Re-order'!$A:$Q,17,0),"")</f>
        <v>67.5</v>
      </c>
      <c r="U1429" s="46">
        <f>IFERROR(VLOOKUP(A1429,'[1]MC Masterlist 2026-09-12'!$B:$M, 10, 0),0)</f>
        <v>15</v>
      </c>
      <c r="V1429" s="46">
        <f>IFERROR(VLOOKUP(A1429,'[1]MC Masterlist 2026-09-12'!$B:$M, 11, 0),0)</f>
        <v>15</v>
      </c>
      <c r="W1429" s="46">
        <f t="shared" si="337"/>
        <v>30</v>
      </c>
      <c r="X1429" s="46">
        <f t="shared" si="338"/>
        <v>29.833333333333332</v>
      </c>
      <c r="Y1429" s="46">
        <f>IFERROR(IF(OR(C1429="AREA I",C1429="AREA V"),7,VLOOKUP(A1429,'[1]MC Masterlist 2026-09-12'!$B:$M, 12, 0)),0)</f>
        <v>30</v>
      </c>
      <c r="Z1429" s="46">
        <f t="shared" si="339"/>
        <v>0.16666666666666666</v>
      </c>
      <c r="AA1429" s="46">
        <f t="shared" si="340"/>
        <v>0.33333333333333331</v>
      </c>
      <c r="AB1429" s="46">
        <f t="shared" si="341"/>
        <v>0.33148148148148143</v>
      </c>
      <c r="AC1429" s="46">
        <f t="shared" si="342"/>
        <v>0.33333333333333331</v>
      </c>
      <c r="AD1429" s="44" t="str">
        <f t="shared" si="343"/>
        <v>Stockout</v>
      </c>
      <c r="AE1429" s="44" t="str">
        <f>IFERROR(VLOOKUP(A1429,'[1]Re-order'!$A:$AA,27,0),"")</f>
        <v>Re-order</v>
      </c>
      <c r="AF1429" s="46">
        <f t="shared" si="344"/>
        <v>0.33333333333333331</v>
      </c>
      <c r="AG1429" s="46">
        <f>SUMIFS('[1]Raw Inventory'!D:D,'[1]Raw Inventory'!C:C,"GREATWALL",'[1]Raw Inventory'!B:B,A1429)</f>
        <v>0</v>
      </c>
      <c r="AH1429" s="46">
        <f>SUMIFS('[1]Raw Inventory'!D:D,'[1]Raw Inventory'!C:C,"DUARTE",'[1]Raw Inventory'!B:B,A1429)</f>
        <v>0</v>
      </c>
      <c r="AI1429" s="46"/>
      <c r="AJ1429" s="46"/>
      <c r="AK1429" s="43"/>
      <c r="AL1429" s="43"/>
      <c r="AM1429" s="43"/>
      <c r="AN1429" s="43"/>
      <c r="AO1429" s="43"/>
      <c r="AP1429" s="43"/>
      <c r="AQ1429" s="43"/>
      <c r="AR1429" s="43"/>
      <c r="AS1429" s="43"/>
      <c r="AT1429" s="43"/>
    </row>
    <row r="1430" spans="1:46">
      <c r="A1430" s="43" t="s">
        <v>41</v>
      </c>
      <c r="B1430" s="43" t="s">
        <v>157</v>
      </c>
      <c r="C1430" s="43" t="s">
        <v>152</v>
      </c>
      <c r="D1430" s="44" t="s">
        <v>242</v>
      </c>
      <c r="E1430" s="44">
        <v>24</v>
      </c>
      <c r="F1430" s="44" t="s">
        <v>3</v>
      </c>
      <c r="G1430" s="43" t="str">
        <f>IFERROR(VLOOKUP(A1430,'[1]MC Masterlist 2026-09-12'!$B:$M, 3, 0),"")</f>
        <v>YAMAHA</v>
      </c>
      <c r="H1430" s="45">
        <f>IFERROR(VLOOKUP(A1430,'[1]MC Masterlist 2026-09-12'!$B:$M, 6, 0),"")</f>
        <v>92907</v>
      </c>
      <c r="I1430" s="46">
        <v>0</v>
      </c>
      <c r="J1430" s="46">
        <v>0</v>
      </c>
      <c r="K1430" s="46">
        <v>0</v>
      </c>
      <c r="L1430" s="46">
        <f t="shared" si="330"/>
        <v>0</v>
      </c>
      <c r="M1430" s="46">
        <f t="shared" si="331"/>
        <v>0</v>
      </c>
      <c r="N1430" s="45">
        <f t="shared" si="332"/>
        <v>0</v>
      </c>
      <c r="O1430" s="45">
        <f t="shared" si="333"/>
        <v>0</v>
      </c>
      <c r="P1430" s="46">
        <f t="shared" si="334"/>
        <v>0</v>
      </c>
      <c r="Q1430" s="46">
        <v>2</v>
      </c>
      <c r="R1430" s="45">
        <f t="shared" si="335"/>
        <v>185814</v>
      </c>
      <c r="S1430" s="46">
        <f t="shared" si="336"/>
        <v>0</v>
      </c>
      <c r="T1430" s="46">
        <f>IFERROR(VLOOKUP(A1430,'[1]Re-order'!$A:$Q,17,0),"")</f>
        <v>240</v>
      </c>
      <c r="U1430" s="46">
        <f>IFERROR(VLOOKUP(A1430,'[1]MC Masterlist 2026-09-12'!$B:$M, 10, 0),0)</f>
        <v>15</v>
      </c>
      <c r="V1430" s="46">
        <f>IFERROR(VLOOKUP(A1430,'[1]MC Masterlist 2026-09-12'!$B:$M, 11, 0),0)</f>
        <v>15</v>
      </c>
      <c r="W1430" s="46">
        <f t="shared" si="337"/>
        <v>30</v>
      </c>
      <c r="X1430" s="46">
        <f t="shared" si="338"/>
        <v>30</v>
      </c>
      <c r="Y1430" s="46">
        <f>IFERROR(IF(OR(C1430="AREA I",C1430="AREA V"),7,VLOOKUP(A1430,'[1]MC Masterlist 2026-09-12'!$B:$M, 12, 0)),0)</f>
        <v>30</v>
      </c>
      <c r="Z1430" s="46">
        <f t="shared" si="339"/>
        <v>0</v>
      </c>
      <c r="AA1430" s="46">
        <f t="shared" si="340"/>
        <v>0</v>
      </c>
      <c r="AB1430" s="46">
        <f t="shared" si="341"/>
        <v>0</v>
      </c>
      <c r="AC1430" s="46">
        <f t="shared" si="342"/>
        <v>0</v>
      </c>
      <c r="AD1430" s="44" t="str">
        <f t="shared" si="343"/>
        <v>Over</v>
      </c>
      <c r="AE1430" s="44" t="str">
        <f>IFERROR(VLOOKUP(A1430,'[1]Re-order'!$A:$AA,27,0),"")</f>
        <v>Over</v>
      </c>
      <c r="AF1430" s="46">
        <f t="shared" si="344"/>
        <v>-2</v>
      </c>
      <c r="AG1430" s="46">
        <f>SUMIFS('[1]Raw Inventory'!D:D,'[1]Raw Inventory'!C:C,"GREATWALL",'[1]Raw Inventory'!B:B,A1430)</f>
        <v>2</v>
      </c>
      <c r="AH1430" s="46">
        <f>SUMIFS('[1]Raw Inventory'!D:D,'[1]Raw Inventory'!C:C,"DUARTE",'[1]Raw Inventory'!B:B,A1430)</f>
        <v>0</v>
      </c>
      <c r="AI1430" s="46"/>
      <c r="AJ1430" s="46"/>
      <c r="AK1430" s="43"/>
      <c r="AL1430" s="43"/>
      <c r="AM1430" s="43"/>
      <c r="AN1430" s="43"/>
      <c r="AO1430" s="43"/>
      <c r="AP1430" s="43"/>
      <c r="AQ1430" s="43"/>
      <c r="AR1430" s="43"/>
      <c r="AS1430" s="43"/>
      <c r="AT1430" s="43"/>
    </row>
    <row r="1431" spans="1:46">
      <c r="A1431" s="43" t="s">
        <v>69</v>
      </c>
      <c r="B1431" s="43" t="s">
        <v>122</v>
      </c>
      <c r="C1431" s="43" t="s">
        <v>118</v>
      </c>
      <c r="D1431" s="44" t="s">
        <v>241</v>
      </c>
      <c r="E1431" s="44">
        <v>24</v>
      </c>
      <c r="F1431" s="44" t="s">
        <v>3</v>
      </c>
      <c r="G1431" s="43" t="str">
        <f>IFERROR(VLOOKUP(A1431,'[1]MC Masterlist 2026-09-12'!$B:$M, 3, 0),"")</f>
        <v>YAMAHA</v>
      </c>
      <c r="H1431" s="45">
        <f>IFERROR(VLOOKUP(A1431,'[1]MC Masterlist 2026-09-12'!$B:$M, 6, 0),"")</f>
        <v>54426</v>
      </c>
      <c r="I1431" s="46">
        <v>0</v>
      </c>
      <c r="J1431" s="46">
        <v>0</v>
      </c>
      <c r="K1431" s="46">
        <v>2</v>
      </c>
      <c r="L1431" s="46">
        <f t="shared" si="330"/>
        <v>2</v>
      </c>
      <c r="M1431" s="46">
        <f t="shared" si="331"/>
        <v>0.66666666666666663</v>
      </c>
      <c r="N1431" s="45">
        <f t="shared" si="332"/>
        <v>108852</v>
      </c>
      <c r="O1431" s="45">
        <f t="shared" si="333"/>
        <v>36284</v>
      </c>
      <c r="P1431" s="46">
        <f t="shared" si="334"/>
        <v>2.222222222222222E-2</v>
      </c>
      <c r="Q1431" s="46">
        <v>1</v>
      </c>
      <c r="R1431" s="45">
        <f t="shared" si="335"/>
        <v>54426</v>
      </c>
      <c r="S1431" s="46">
        <f t="shared" si="336"/>
        <v>45</v>
      </c>
      <c r="T1431" s="46">
        <f>IFERROR(VLOOKUP(A1431,'[1]Re-order'!$A:$Q,17,0),"")</f>
        <v>62.307692307692314</v>
      </c>
      <c r="U1431" s="46">
        <f>IFERROR(VLOOKUP(A1431,'[1]MC Masterlist 2026-09-12'!$B:$M, 10, 0),0)</f>
        <v>15</v>
      </c>
      <c r="V1431" s="46">
        <f>IFERROR(VLOOKUP(A1431,'[1]MC Masterlist 2026-09-12'!$B:$M, 11, 0),0)</f>
        <v>15</v>
      </c>
      <c r="W1431" s="46">
        <f t="shared" si="337"/>
        <v>30</v>
      </c>
      <c r="X1431" s="46">
        <f t="shared" si="338"/>
        <v>29.666666666666668</v>
      </c>
      <c r="Y1431" s="46">
        <f>IFERROR(IF(OR(C1431="AREA I",C1431="AREA V"),7,VLOOKUP(A1431,'[1]MC Masterlist 2026-09-12'!$B:$M, 12, 0)),0)</f>
        <v>30</v>
      </c>
      <c r="Z1431" s="46">
        <f t="shared" si="339"/>
        <v>0.33333333333333331</v>
      </c>
      <c r="AA1431" s="46">
        <f t="shared" si="340"/>
        <v>0.66666666666666663</v>
      </c>
      <c r="AB1431" s="46">
        <f t="shared" si="341"/>
        <v>0.65925925925925921</v>
      </c>
      <c r="AC1431" s="46">
        <f t="shared" si="342"/>
        <v>0.66666666666666663</v>
      </c>
      <c r="AD1431" s="44" t="str">
        <f t="shared" si="343"/>
        <v>Over</v>
      </c>
      <c r="AE1431" s="44" t="str">
        <f>IFERROR(VLOOKUP(A1431,'[1]Re-order'!$A:$AA,27,0),"")</f>
        <v>Re-order</v>
      </c>
      <c r="AF1431" s="46">
        <f t="shared" si="344"/>
        <v>-0.33333333333333337</v>
      </c>
      <c r="AG1431" s="46">
        <f>SUMIFS('[1]Raw Inventory'!D:D,'[1]Raw Inventory'!C:C,"GREATWALL",'[1]Raw Inventory'!B:B,A1431)</f>
        <v>1</v>
      </c>
      <c r="AH1431" s="46">
        <f>SUMIFS('[1]Raw Inventory'!D:D,'[1]Raw Inventory'!C:C,"DUARTE",'[1]Raw Inventory'!B:B,A1431)</f>
        <v>0</v>
      </c>
      <c r="AI1431" s="46"/>
      <c r="AJ1431" s="46"/>
      <c r="AK1431" s="43"/>
      <c r="AL1431" s="43"/>
      <c r="AM1431" s="43"/>
      <c r="AN1431" s="43"/>
      <c r="AO1431" s="43"/>
      <c r="AP1431" s="43"/>
      <c r="AQ1431" s="43"/>
      <c r="AR1431" s="43"/>
      <c r="AS1431" s="43"/>
      <c r="AT1431" s="43"/>
    </row>
    <row r="1432" spans="1:46">
      <c r="A1432" s="43" t="s">
        <v>31</v>
      </c>
      <c r="B1432" s="43" t="s">
        <v>29</v>
      </c>
      <c r="C1432" s="43" t="s">
        <v>1</v>
      </c>
      <c r="D1432" s="44" t="s">
        <v>261</v>
      </c>
      <c r="E1432" s="44">
        <v>18</v>
      </c>
      <c r="F1432" s="44" t="s">
        <v>2</v>
      </c>
      <c r="G1432" s="43" t="str">
        <f>IFERROR(VLOOKUP(A1432,'[1]MC Masterlist 2026-09-12'!$B:$M, 3, 0),"")</f>
        <v>KAWASAKI</v>
      </c>
      <c r="H1432" s="45">
        <f>IFERROR(VLOOKUP(A1432,'[1]MC Masterlist 2026-09-12'!$B:$M, 6, 0),"")</f>
        <v>59528</v>
      </c>
      <c r="I1432" s="46">
        <v>0</v>
      </c>
      <c r="J1432" s="46">
        <v>3</v>
      </c>
      <c r="K1432" s="46">
        <v>2</v>
      </c>
      <c r="L1432" s="46">
        <f t="shared" si="330"/>
        <v>5</v>
      </c>
      <c r="M1432" s="46">
        <f t="shared" si="331"/>
        <v>1.6666666666666667</v>
      </c>
      <c r="N1432" s="45">
        <f t="shared" si="332"/>
        <v>297640</v>
      </c>
      <c r="O1432" s="45">
        <f t="shared" si="333"/>
        <v>99213.333333333343</v>
      </c>
      <c r="P1432" s="46">
        <f t="shared" si="334"/>
        <v>5.5555555555555559E-2</v>
      </c>
      <c r="Q1432" s="46">
        <v>10</v>
      </c>
      <c r="R1432" s="45">
        <f t="shared" si="335"/>
        <v>595280</v>
      </c>
      <c r="S1432" s="46">
        <f t="shared" si="336"/>
        <v>179.99999999999997</v>
      </c>
      <c r="T1432" s="46">
        <f>IFERROR(VLOOKUP(A1432,'[1]Re-order'!$A:$Q,17,0),"")</f>
        <v>95.869565217391298</v>
      </c>
      <c r="U1432" s="46">
        <f>IFERROR(VLOOKUP(A1432,'[1]MC Masterlist 2026-09-12'!$B:$M, 10, 0),0)</f>
        <v>15</v>
      </c>
      <c r="V1432" s="46">
        <f>IFERROR(VLOOKUP(A1432,'[1]MC Masterlist 2026-09-12'!$B:$M, 11, 0),0)</f>
        <v>15</v>
      </c>
      <c r="W1432" s="46">
        <f t="shared" si="337"/>
        <v>30</v>
      </c>
      <c r="X1432" s="46">
        <f t="shared" si="338"/>
        <v>6.166666666666667</v>
      </c>
      <c r="Y1432" s="46">
        <f>IFERROR(IF(OR(C1432="AREA I",C1432="AREA V"),7,VLOOKUP(A1432,'[1]MC Masterlist 2026-09-12'!$B:$M, 12, 0)),0)</f>
        <v>7</v>
      </c>
      <c r="Z1432" s="46">
        <f t="shared" si="339"/>
        <v>0.83333333333333337</v>
      </c>
      <c r="AA1432" s="46">
        <f t="shared" si="340"/>
        <v>1.6666666666666667</v>
      </c>
      <c r="AB1432" s="46">
        <f t="shared" si="341"/>
        <v>0.34259259259259262</v>
      </c>
      <c r="AC1432" s="46">
        <f t="shared" si="342"/>
        <v>0.3888888888888889</v>
      </c>
      <c r="AD1432" s="44" t="str">
        <f t="shared" si="343"/>
        <v>Over</v>
      </c>
      <c r="AE1432" s="44" t="str">
        <f>IFERROR(VLOOKUP(A1432,'[1]Re-order'!$A:$AA,27,0),"")</f>
        <v>Over</v>
      </c>
      <c r="AF1432" s="46">
        <f t="shared" si="344"/>
        <v>-9.6111111111111107</v>
      </c>
      <c r="AG1432" s="46">
        <f>SUMIFS('[1]Raw Inventory'!D:D,'[1]Raw Inventory'!C:C,"GREATWALL",'[1]Raw Inventory'!B:B,A1432)</f>
        <v>79</v>
      </c>
      <c r="AH1432" s="46">
        <f>SUMIFS('[1]Raw Inventory'!D:D,'[1]Raw Inventory'!C:C,"DUARTE",'[1]Raw Inventory'!B:B,A1432)</f>
        <v>0</v>
      </c>
      <c r="AI1432" s="46"/>
      <c r="AJ1432" s="46"/>
      <c r="AK1432" s="43"/>
      <c r="AL1432" s="43"/>
      <c r="AM1432" s="43"/>
      <c r="AN1432" s="43"/>
      <c r="AO1432" s="43"/>
      <c r="AP1432" s="43"/>
      <c r="AQ1432" s="43"/>
      <c r="AR1432" s="43"/>
      <c r="AS1432" s="43"/>
      <c r="AT1432" s="43"/>
    </row>
    <row r="1433" spans="1:46">
      <c r="A1433" s="43" t="s">
        <v>32</v>
      </c>
      <c r="B1433" s="43" t="s">
        <v>145</v>
      </c>
      <c r="C1433" s="43" t="s">
        <v>137</v>
      </c>
      <c r="D1433" s="44" t="s">
        <v>242</v>
      </c>
      <c r="E1433" s="44">
        <v>28</v>
      </c>
      <c r="F1433" s="44" t="s">
        <v>3</v>
      </c>
      <c r="G1433" s="43" t="str">
        <f>IFERROR(VLOOKUP(A1433,'[1]MC Masterlist 2026-09-12'!$B:$M, 3, 0),"")</f>
        <v>HONDA</v>
      </c>
      <c r="H1433" s="45">
        <f>IFERROR(VLOOKUP(A1433,'[1]MC Masterlist 2026-09-12'!$B:$M, 6, 0),"")</f>
        <v>288910</v>
      </c>
      <c r="I1433" s="46">
        <v>0</v>
      </c>
      <c r="J1433" s="46">
        <v>0</v>
      </c>
      <c r="K1433" s="46">
        <v>0</v>
      </c>
      <c r="L1433" s="46">
        <f t="shared" si="330"/>
        <v>0</v>
      </c>
      <c r="M1433" s="46">
        <f t="shared" si="331"/>
        <v>0</v>
      </c>
      <c r="N1433" s="45">
        <f t="shared" si="332"/>
        <v>0</v>
      </c>
      <c r="O1433" s="45">
        <f t="shared" si="333"/>
        <v>0</v>
      </c>
      <c r="P1433" s="46">
        <f t="shared" si="334"/>
        <v>0</v>
      </c>
      <c r="Q1433" s="46">
        <v>1</v>
      </c>
      <c r="R1433" s="45">
        <f t="shared" si="335"/>
        <v>288910</v>
      </c>
      <c r="S1433" s="46">
        <f t="shared" si="336"/>
        <v>0</v>
      </c>
      <c r="T1433" s="46">
        <f>IFERROR(VLOOKUP(A1433,'[1]Re-order'!$A:$Q,17,0),"")</f>
        <v>97.5</v>
      </c>
      <c r="U1433" s="46">
        <f>IFERROR(VLOOKUP(A1433,'[1]MC Masterlist 2026-09-12'!$B:$M, 10, 0),0)</f>
        <v>15</v>
      </c>
      <c r="V1433" s="46">
        <f>IFERROR(VLOOKUP(A1433,'[1]MC Masterlist 2026-09-12'!$B:$M, 11, 0),0)</f>
        <v>15</v>
      </c>
      <c r="W1433" s="46">
        <f t="shared" si="337"/>
        <v>30</v>
      </c>
      <c r="X1433" s="46">
        <f t="shared" si="338"/>
        <v>7</v>
      </c>
      <c r="Y1433" s="46">
        <f>IFERROR(IF(OR(C1433="AREA I",C1433="AREA V"),7,VLOOKUP(A1433,'[1]MC Masterlist 2026-09-12'!$B:$M, 12, 0)),0)</f>
        <v>7</v>
      </c>
      <c r="Z1433" s="46">
        <f t="shared" si="339"/>
        <v>0</v>
      </c>
      <c r="AA1433" s="46">
        <f t="shared" si="340"/>
        <v>0</v>
      </c>
      <c r="AB1433" s="46">
        <f t="shared" si="341"/>
        <v>0</v>
      </c>
      <c r="AC1433" s="46">
        <f t="shared" si="342"/>
        <v>0</v>
      </c>
      <c r="AD1433" s="44" t="str">
        <f t="shared" si="343"/>
        <v>Over</v>
      </c>
      <c r="AE1433" s="44" t="str">
        <f>IFERROR(VLOOKUP(A1433,'[1]Re-order'!$A:$AA,27,0),"")</f>
        <v>Over</v>
      </c>
      <c r="AF1433" s="46">
        <f t="shared" si="344"/>
        <v>-1</v>
      </c>
      <c r="AG1433" s="46">
        <f>SUMIFS('[1]Raw Inventory'!D:D,'[1]Raw Inventory'!C:C,"GREATWALL",'[1]Raw Inventory'!B:B,A1433)</f>
        <v>7</v>
      </c>
      <c r="AH1433" s="46">
        <f>SUMIFS('[1]Raw Inventory'!D:D,'[1]Raw Inventory'!C:C,"DUARTE",'[1]Raw Inventory'!B:B,A1433)</f>
        <v>0</v>
      </c>
      <c r="AI1433" s="46"/>
      <c r="AJ1433" s="46"/>
      <c r="AK1433" s="43"/>
      <c r="AL1433" s="43"/>
      <c r="AM1433" s="43"/>
      <c r="AN1433" s="43"/>
      <c r="AO1433" s="43"/>
      <c r="AP1433" s="43"/>
      <c r="AQ1433" s="43"/>
      <c r="AR1433" s="43"/>
      <c r="AS1433" s="43"/>
      <c r="AT1433" s="43"/>
    </row>
    <row r="1434" spans="1:46">
      <c r="A1434" s="43" t="s">
        <v>61</v>
      </c>
      <c r="B1434" s="43" t="s">
        <v>138</v>
      </c>
      <c r="C1434" s="43" t="s">
        <v>137</v>
      </c>
      <c r="D1434" s="44" t="s">
        <v>300</v>
      </c>
      <c r="E1434" s="44">
        <v>39</v>
      </c>
      <c r="F1434" s="44" t="s">
        <v>3</v>
      </c>
      <c r="G1434" s="43" t="str">
        <f>IFERROR(VLOOKUP(A1434,'[1]MC Masterlist 2026-09-12'!$B:$M, 3, 0),"")</f>
        <v>HONDA</v>
      </c>
      <c r="H1434" s="45">
        <f>IFERROR(VLOOKUP(A1434,'[1]MC Masterlist 2026-09-12'!$B:$M, 6, 0),"")</f>
        <v>63510</v>
      </c>
      <c r="I1434" s="46">
        <v>0</v>
      </c>
      <c r="J1434" s="46">
        <v>0</v>
      </c>
      <c r="K1434" s="46">
        <v>0</v>
      </c>
      <c r="L1434" s="46">
        <f t="shared" si="330"/>
        <v>0</v>
      </c>
      <c r="M1434" s="46">
        <f t="shared" si="331"/>
        <v>0</v>
      </c>
      <c r="N1434" s="45">
        <f t="shared" si="332"/>
        <v>0</v>
      </c>
      <c r="O1434" s="45">
        <f t="shared" si="333"/>
        <v>0</v>
      </c>
      <c r="P1434" s="46">
        <f t="shared" si="334"/>
        <v>0</v>
      </c>
      <c r="Q1434" s="46">
        <v>1</v>
      </c>
      <c r="R1434" s="45">
        <f t="shared" si="335"/>
        <v>63510</v>
      </c>
      <c r="S1434" s="46">
        <f t="shared" si="336"/>
        <v>0</v>
      </c>
      <c r="T1434" s="46">
        <f>IFERROR(VLOOKUP(A1434,'[1]Re-order'!$A:$Q,17,0),"")</f>
        <v>135</v>
      </c>
      <c r="U1434" s="46">
        <f>IFERROR(VLOOKUP(A1434,'[1]MC Masterlist 2026-09-12'!$B:$M, 10, 0),0)</f>
        <v>15</v>
      </c>
      <c r="V1434" s="46">
        <f>IFERROR(VLOOKUP(A1434,'[1]MC Masterlist 2026-09-12'!$B:$M, 11, 0),0)</f>
        <v>15</v>
      </c>
      <c r="W1434" s="46">
        <f t="shared" si="337"/>
        <v>30</v>
      </c>
      <c r="X1434" s="46">
        <f t="shared" si="338"/>
        <v>7</v>
      </c>
      <c r="Y1434" s="46">
        <f>IFERROR(IF(OR(C1434="AREA I",C1434="AREA V"),7,VLOOKUP(A1434,'[1]MC Masterlist 2026-09-12'!$B:$M, 12, 0)),0)</f>
        <v>7</v>
      </c>
      <c r="Z1434" s="46">
        <f t="shared" si="339"/>
        <v>0</v>
      </c>
      <c r="AA1434" s="46">
        <f t="shared" si="340"/>
        <v>0</v>
      </c>
      <c r="AB1434" s="46">
        <f t="shared" si="341"/>
        <v>0</v>
      </c>
      <c r="AC1434" s="46">
        <f t="shared" si="342"/>
        <v>0</v>
      </c>
      <c r="AD1434" s="44" t="str">
        <f t="shared" si="343"/>
        <v>Over</v>
      </c>
      <c r="AE1434" s="44" t="str">
        <f>IFERROR(VLOOKUP(A1434,'[1]Re-order'!$A:$AA,27,0),"")</f>
        <v>Over</v>
      </c>
      <c r="AF1434" s="46">
        <f t="shared" si="344"/>
        <v>-1</v>
      </c>
      <c r="AG1434" s="46">
        <f>SUMIFS('[1]Raw Inventory'!D:D,'[1]Raw Inventory'!C:C,"GREATWALL",'[1]Raw Inventory'!B:B,A1434)</f>
        <v>1</v>
      </c>
      <c r="AH1434" s="46">
        <f>SUMIFS('[1]Raw Inventory'!D:D,'[1]Raw Inventory'!C:C,"DUARTE",'[1]Raw Inventory'!B:B,A1434)</f>
        <v>0</v>
      </c>
      <c r="AI1434" s="46"/>
      <c r="AJ1434" s="46"/>
      <c r="AK1434" s="43"/>
      <c r="AL1434" s="43"/>
      <c r="AM1434" s="43"/>
      <c r="AN1434" s="43"/>
      <c r="AO1434" s="43"/>
      <c r="AP1434" s="43"/>
      <c r="AQ1434" s="43"/>
      <c r="AR1434" s="43"/>
      <c r="AS1434" s="43"/>
      <c r="AT1434" s="43"/>
    </row>
    <row r="1435" spans="1:46">
      <c r="A1435" s="43" t="s">
        <v>89</v>
      </c>
      <c r="B1435" s="43" t="s">
        <v>157</v>
      </c>
      <c r="C1435" s="43" t="s">
        <v>152</v>
      </c>
      <c r="D1435" s="44" t="s">
        <v>256</v>
      </c>
      <c r="E1435" s="44">
        <v>12</v>
      </c>
      <c r="F1435" s="44" t="s">
        <v>2</v>
      </c>
      <c r="G1435" s="43" t="str">
        <f>IFERROR(VLOOKUP(A1435,'[1]MC Masterlist 2026-09-12'!$B:$M, 3, 0),"")</f>
        <v>HONDA</v>
      </c>
      <c r="H1435" s="45">
        <f>IFERROR(VLOOKUP(A1435,'[1]MC Masterlist 2026-09-12'!$B:$M, 6, 0),"")</f>
        <v>117790</v>
      </c>
      <c r="I1435" s="46">
        <v>0</v>
      </c>
      <c r="J1435" s="46">
        <v>2</v>
      </c>
      <c r="K1435" s="46">
        <v>1</v>
      </c>
      <c r="L1435" s="46">
        <f t="shared" si="330"/>
        <v>3</v>
      </c>
      <c r="M1435" s="46">
        <f t="shared" si="331"/>
        <v>1</v>
      </c>
      <c r="N1435" s="45">
        <f t="shared" si="332"/>
        <v>353370</v>
      </c>
      <c r="O1435" s="45">
        <f t="shared" si="333"/>
        <v>117790</v>
      </c>
      <c r="P1435" s="46">
        <f t="shared" si="334"/>
        <v>3.3333333333333333E-2</v>
      </c>
      <c r="Q1435" s="46"/>
      <c r="R1435" s="45">
        <f t="shared" si="335"/>
        <v>0</v>
      </c>
      <c r="S1435" s="46">
        <f t="shared" si="336"/>
        <v>0</v>
      </c>
      <c r="T1435" s="46">
        <f>IFERROR(VLOOKUP(A1435,'[1]Re-order'!$A:$Q,17,0),"")</f>
        <v>81.818181818181827</v>
      </c>
      <c r="U1435" s="46">
        <f>IFERROR(VLOOKUP(A1435,'[1]MC Masterlist 2026-09-12'!$B:$M, 10, 0),0)</f>
        <v>15</v>
      </c>
      <c r="V1435" s="46">
        <f>IFERROR(VLOOKUP(A1435,'[1]MC Masterlist 2026-09-12'!$B:$M, 11, 0),0)</f>
        <v>15</v>
      </c>
      <c r="W1435" s="46">
        <f t="shared" si="337"/>
        <v>30</v>
      </c>
      <c r="X1435" s="46">
        <f t="shared" si="338"/>
        <v>29.5</v>
      </c>
      <c r="Y1435" s="46">
        <f>IFERROR(IF(OR(C1435="AREA I",C1435="AREA V"),7,VLOOKUP(A1435,'[1]MC Masterlist 2026-09-12'!$B:$M, 12, 0)),0)</f>
        <v>30</v>
      </c>
      <c r="Z1435" s="46">
        <f t="shared" si="339"/>
        <v>0.5</v>
      </c>
      <c r="AA1435" s="46">
        <f t="shared" si="340"/>
        <v>1</v>
      </c>
      <c r="AB1435" s="46">
        <f t="shared" si="341"/>
        <v>0.98333333333333328</v>
      </c>
      <c r="AC1435" s="46">
        <f t="shared" si="342"/>
        <v>1</v>
      </c>
      <c r="AD1435" s="44" t="str">
        <f t="shared" si="343"/>
        <v>Stockout</v>
      </c>
      <c r="AE1435" s="44" t="str">
        <f>IFERROR(VLOOKUP(A1435,'[1]Re-order'!$A:$AA,27,0),"")</f>
        <v/>
      </c>
      <c r="AF1435" s="46">
        <f t="shared" si="344"/>
        <v>1</v>
      </c>
      <c r="AG1435" s="46">
        <f>SUMIFS('[1]Raw Inventory'!D:D,'[1]Raw Inventory'!C:C,"GREATWALL",'[1]Raw Inventory'!B:B,A1435)</f>
        <v>5</v>
      </c>
      <c r="AH1435" s="46">
        <f>SUMIFS('[1]Raw Inventory'!D:D,'[1]Raw Inventory'!C:C,"DUARTE",'[1]Raw Inventory'!B:B,A1435)</f>
        <v>0</v>
      </c>
      <c r="AI1435" s="46"/>
      <c r="AJ1435" s="46"/>
      <c r="AK1435" s="43"/>
      <c r="AL1435" s="43"/>
      <c r="AM1435" s="43"/>
      <c r="AN1435" s="43"/>
      <c r="AO1435" s="43"/>
      <c r="AP1435" s="43"/>
      <c r="AQ1435" s="43"/>
      <c r="AR1435" s="43"/>
      <c r="AS1435" s="43"/>
      <c r="AT1435" s="43"/>
    </row>
    <row r="1436" spans="1:46">
      <c r="A1436" s="43" t="s">
        <v>83</v>
      </c>
      <c r="B1436" s="43" t="s">
        <v>115</v>
      </c>
      <c r="C1436" s="43" t="s">
        <v>109</v>
      </c>
      <c r="D1436" s="44" t="s">
        <v>257</v>
      </c>
      <c r="E1436" s="44">
        <v>23</v>
      </c>
      <c r="F1436" s="44" t="s">
        <v>3</v>
      </c>
      <c r="G1436" s="43" t="str">
        <f>IFERROR(VLOOKUP(A1436,'[1]MC Masterlist 2026-09-12'!$B:$M, 3, 0),"")</f>
        <v>SKYGO</v>
      </c>
      <c r="H1436" s="45">
        <f>IFERROR(VLOOKUP(A1436,'[1]MC Masterlist 2026-09-12'!$B:$M, 6, 0),"")</f>
        <v>35055</v>
      </c>
      <c r="I1436" s="46">
        <v>0</v>
      </c>
      <c r="J1436" s="46">
        <v>1</v>
      </c>
      <c r="K1436" s="46">
        <v>2</v>
      </c>
      <c r="L1436" s="46">
        <f t="shared" si="330"/>
        <v>3</v>
      </c>
      <c r="M1436" s="46">
        <f t="shared" si="331"/>
        <v>1</v>
      </c>
      <c r="N1436" s="45">
        <f t="shared" si="332"/>
        <v>105165</v>
      </c>
      <c r="O1436" s="45">
        <f t="shared" si="333"/>
        <v>35055</v>
      </c>
      <c r="P1436" s="46">
        <f t="shared" si="334"/>
        <v>3.3333333333333333E-2</v>
      </c>
      <c r="Q1436" s="46">
        <v>4</v>
      </c>
      <c r="R1436" s="45">
        <f t="shared" si="335"/>
        <v>140220</v>
      </c>
      <c r="S1436" s="46">
        <f t="shared" si="336"/>
        <v>120</v>
      </c>
      <c r="T1436" s="46">
        <f>IFERROR(VLOOKUP(A1436,'[1]Re-order'!$A:$Q,17,0),"")</f>
        <v>313.2</v>
      </c>
      <c r="U1436" s="46">
        <f>IFERROR(VLOOKUP(A1436,'[1]MC Masterlist 2026-09-12'!$B:$M, 10, 0),0)</f>
        <v>15</v>
      </c>
      <c r="V1436" s="46">
        <f>IFERROR(VLOOKUP(A1436,'[1]MC Masterlist 2026-09-12'!$B:$M, 11, 0),0)</f>
        <v>15</v>
      </c>
      <c r="W1436" s="46">
        <f t="shared" si="337"/>
        <v>30</v>
      </c>
      <c r="X1436" s="46">
        <f t="shared" si="338"/>
        <v>29.5</v>
      </c>
      <c r="Y1436" s="46">
        <f>IFERROR(IF(OR(C1436="AREA I",C1436="AREA V"),7,VLOOKUP(A1436,'[1]MC Masterlist 2026-09-12'!$B:$M, 12, 0)),0)</f>
        <v>30</v>
      </c>
      <c r="Z1436" s="46">
        <f t="shared" si="339"/>
        <v>0.5</v>
      </c>
      <c r="AA1436" s="46">
        <f t="shared" si="340"/>
        <v>1</v>
      </c>
      <c r="AB1436" s="46">
        <f t="shared" si="341"/>
        <v>0.98333333333333328</v>
      </c>
      <c r="AC1436" s="46">
        <f t="shared" si="342"/>
        <v>1</v>
      </c>
      <c r="AD1436" s="44" t="str">
        <f t="shared" si="343"/>
        <v>Over</v>
      </c>
      <c r="AE1436" s="44" t="str">
        <f>IFERROR(VLOOKUP(A1436,'[1]Re-order'!$A:$AA,27,0),"")</f>
        <v>Over</v>
      </c>
      <c r="AF1436" s="46">
        <f t="shared" si="344"/>
        <v>-3</v>
      </c>
      <c r="AG1436" s="46">
        <f>SUMIFS('[1]Raw Inventory'!D:D,'[1]Raw Inventory'!C:C,"GREATWALL",'[1]Raw Inventory'!B:B,A1436)</f>
        <v>33</v>
      </c>
      <c r="AH1436" s="46">
        <f>SUMIFS('[1]Raw Inventory'!D:D,'[1]Raw Inventory'!C:C,"DUARTE",'[1]Raw Inventory'!B:B,A1436)</f>
        <v>0</v>
      </c>
      <c r="AI1436" s="46"/>
      <c r="AJ1436" s="46"/>
      <c r="AK1436" s="43"/>
      <c r="AL1436" s="43"/>
      <c r="AM1436" s="43"/>
      <c r="AN1436" s="43"/>
      <c r="AO1436" s="43"/>
      <c r="AP1436" s="43"/>
      <c r="AQ1436" s="43"/>
      <c r="AR1436" s="43"/>
      <c r="AS1436" s="43"/>
      <c r="AT1436" s="43"/>
    </row>
    <row r="1437" spans="1:46">
      <c r="A1437" s="43" t="s">
        <v>127</v>
      </c>
      <c r="B1437" s="43" t="s">
        <v>123</v>
      </c>
      <c r="C1437" s="43" t="s">
        <v>118</v>
      </c>
      <c r="D1437" s="44" t="s">
        <v>245</v>
      </c>
      <c r="E1437" s="44">
        <v>25</v>
      </c>
      <c r="F1437" s="44" t="s">
        <v>3</v>
      </c>
      <c r="G1437" s="43" t="str">
        <f>IFERROR(VLOOKUP(A1437,'[1]MC Masterlist 2026-09-12'!$B:$M, 3, 0),"")</f>
        <v>SUZUKI</v>
      </c>
      <c r="H1437" s="45">
        <f>IFERROR(VLOOKUP(A1437,'[1]MC Masterlist 2026-09-12'!$B:$M, 6, 0),"")</f>
        <v>69667</v>
      </c>
      <c r="I1437" s="46">
        <v>0</v>
      </c>
      <c r="J1437" s="46">
        <v>0</v>
      </c>
      <c r="K1437" s="46">
        <v>0</v>
      </c>
      <c r="L1437" s="46">
        <f t="shared" si="330"/>
        <v>0</v>
      </c>
      <c r="M1437" s="46">
        <f t="shared" si="331"/>
        <v>0</v>
      </c>
      <c r="N1437" s="45">
        <f t="shared" si="332"/>
        <v>0</v>
      </c>
      <c r="O1437" s="45">
        <f t="shared" si="333"/>
        <v>0</v>
      </c>
      <c r="P1437" s="46">
        <f t="shared" si="334"/>
        <v>0</v>
      </c>
      <c r="Q1437" s="46">
        <v>1</v>
      </c>
      <c r="R1437" s="45">
        <f t="shared" si="335"/>
        <v>69667</v>
      </c>
      <c r="S1437" s="46">
        <f t="shared" si="336"/>
        <v>0</v>
      </c>
      <c r="T1437" s="46" t="str">
        <f>IFERROR(VLOOKUP(A1437,'[1]Re-order'!$A:$Q,17,0),"")</f>
        <v/>
      </c>
      <c r="U1437" s="46">
        <f>IFERROR(VLOOKUP(A1437,'[1]MC Masterlist 2026-09-12'!$B:$M, 10, 0),0)</f>
        <v>15</v>
      </c>
      <c r="V1437" s="46">
        <f>IFERROR(VLOOKUP(A1437,'[1]MC Masterlist 2026-09-12'!$B:$M, 11, 0),0)</f>
        <v>15</v>
      </c>
      <c r="W1437" s="46">
        <f t="shared" si="337"/>
        <v>30</v>
      </c>
      <c r="X1437" s="46">
        <f t="shared" si="338"/>
        <v>30</v>
      </c>
      <c r="Y1437" s="46">
        <f>IFERROR(IF(OR(C1437="AREA I",C1437="AREA V"),7,VLOOKUP(A1437,'[1]MC Masterlist 2026-09-12'!$B:$M, 12, 0)),0)</f>
        <v>30</v>
      </c>
      <c r="Z1437" s="46">
        <f t="shared" si="339"/>
        <v>0</v>
      </c>
      <c r="AA1437" s="46">
        <f t="shared" si="340"/>
        <v>0</v>
      </c>
      <c r="AB1437" s="46">
        <f t="shared" si="341"/>
        <v>0</v>
      </c>
      <c r="AC1437" s="46">
        <f t="shared" si="342"/>
        <v>0</v>
      </c>
      <c r="AD1437" s="44" t="str">
        <f t="shared" si="343"/>
        <v>Over</v>
      </c>
      <c r="AE1437" s="44" t="str">
        <f>IFERROR(VLOOKUP(A1437,'[1]Re-order'!$A:$AA,27,0),"")</f>
        <v>Over</v>
      </c>
      <c r="AF1437" s="46">
        <f t="shared" si="344"/>
        <v>-1</v>
      </c>
      <c r="AG1437" s="46">
        <f>SUMIFS('[1]Raw Inventory'!D:D,'[1]Raw Inventory'!C:C,"GREATWALL",'[1]Raw Inventory'!B:B,A1437)</f>
        <v>0</v>
      </c>
      <c r="AH1437" s="46">
        <f>SUMIFS('[1]Raw Inventory'!D:D,'[1]Raw Inventory'!C:C,"DUARTE",'[1]Raw Inventory'!B:B,A1437)</f>
        <v>0</v>
      </c>
      <c r="AI1437" s="46"/>
      <c r="AJ1437" s="46"/>
      <c r="AK1437" s="43"/>
      <c r="AL1437" s="43"/>
      <c r="AM1437" s="43"/>
      <c r="AN1437" s="43"/>
      <c r="AO1437" s="43"/>
      <c r="AP1437" s="43"/>
      <c r="AQ1437" s="43"/>
      <c r="AR1437" s="43"/>
      <c r="AS1437" s="43"/>
      <c r="AT1437" s="43"/>
    </row>
    <row r="1438" spans="1:46">
      <c r="A1438" s="43" t="s">
        <v>53</v>
      </c>
      <c r="B1438" s="43" t="s">
        <v>30</v>
      </c>
      <c r="C1438" s="43" t="s">
        <v>1</v>
      </c>
      <c r="D1438" s="44" t="s">
        <v>265</v>
      </c>
      <c r="E1438" s="44">
        <v>37</v>
      </c>
      <c r="F1438" s="44" t="s">
        <v>3</v>
      </c>
      <c r="G1438" s="43" t="str">
        <f>IFERROR(VLOOKUP(A1438,'[1]MC Masterlist 2026-09-12'!$B:$M, 3, 0),"")</f>
        <v>HONDA</v>
      </c>
      <c r="H1438" s="45">
        <f>IFERROR(VLOOKUP(A1438,'[1]MC Masterlist 2026-09-12'!$B:$M, 6, 0),"")</f>
        <v>118838</v>
      </c>
      <c r="I1438" s="46">
        <v>0</v>
      </c>
      <c r="J1438" s="46">
        <v>0</v>
      </c>
      <c r="K1438" s="46">
        <v>0</v>
      </c>
      <c r="L1438" s="46">
        <f t="shared" si="330"/>
        <v>0</v>
      </c>
      <c r="M1438" s="46">
        <f t="shared" si="331"/>
        <v>0</v>
      </c>
      <c r="N1438" s="45">
        <f t="shared" si="332"/>
        <v>0</v>
      </c>
      <c r="O1438" s="45">
        <f t="shared" si="333"/>
        <v>0</v>
      </c>
      <c r="P1438" s="46">
        <f t="shared" si="334"/>
        <v>0</v>
      </c>
      <c r="Q1438" s="46">
        <v>1</v>
      </c>
      <c r="R1438" s="45">
        <f t="shared" si="335"/>
        <v>118838</v>
      </c>
      <c r="S1438" s="46">
        <f t="shared" si="336"/>
        <v>0</v>
      </c>
      <c r="T1438" s="46">
        <f>IFERROR(VLOOKUP(A1438,'[1]Re-order'!$A:$Q,17,0),"")</f>
        <v>360</v>
      </c>
      <c r="U1438" s="46">
        <f>IFERROR(VLOOKUP(A1438,'[1]MC Masterlist 2026-09-12'!$B:$M, 10, 0),0)</f>
        <v>15</v>
      </c>
      <c r="V1438" s="46">
        <f>IFERROR(VLOOKUP(A1438,'[1]MC Masterlist 2026-09-12'!$B:$M, 11, 0),0)</f>
        <v>15</v>
      </c>
      <c r="W1438" s="46">
        <f t="shared" si="337"/>
        <v>30</v>
      </c>
      <c r="X1438" s="46">
        <f t="shared" si="338"/>
        <v>7</v>
      </c>
      <c r="Y1438" s="46">
        <f>IFERROR(IF(OR(C1438="AREA I",C1438="AREA V"),7,VLOOKUP(A1438,'[1]MC Masterlist 2026-09-12'!$B:$M, 12, 0)),0)</f>
        <v>7</v>
      </c>
      <c r="Z1438" s="46">
        <f t="shared" si="339"/>
        <v>0</v>
      </c>
      <c r="AA1438" s="46">
        <f t="shared" si="340"/>
        <v>0</v>
      </c>
      <c r="AB1438" s="46">
        <f t="shared" si="341"/>
        <v>0</v>
      </c>
      <c r="AC1438" s="46">
        <f t="shared" si="342"/>
        <v>0</v>
      </c>
      <c r="AD1438" s="44" t="str">
        <f t="shared" si="343"/>
        <v>Over</v>
      </c>
      <c r="AE1438" s="44" t="str">
        <f>IFERROR(VLOOKUP(A1438,'[1]Re-order'!$A:$AA,27,0),"")</f>
        <v>Over</v>
      </c>
      <c r="AF1438" s="46">
        <f t="shared" si="344"/>
        <v>-1</v>
      </c>
      <c r="AG1438" s="46">
        <f>SUMIFS('[1]Raw Inventory'!D:D,'[1]Raw Inventory'!C:C,"GREATWALL",'[1]Raw Inventory'!B:B,A1438)</f>
        <v>0</v>
      </c>
      <c r="AH1438" s="46">
        <f>SUMIFS('[1]Raw Inventory'!D:D,'[1]Raw Inventory'!C:C,"DUARTE",'[1]Raw Inventory'!B:B,A1438)</f>
        <v>0</v>
      </c>
      <c r="AI1438" s="46"/>
      <c r="AJ1438" s="46"/>
      <c r="AK1438" s="43"/>
      <c r="AL1438" s="43"/>
      <c r="AM1438" s="43"/>
      <c r="AN1438" s="43"/>
      <c r="AO1438" s="43"/>
      <c r="AP1438" s="43"/>
      <c r="AQ1438" s="43"/>
      <c r="AR1438" s="43"/>
      <c r="AS1438" s="43"/>
      <c r="AT1438" s="43"/>
    </row>
    <row r="1439" spans="1:46">
      <c r="A1439" s="43" t="s">
        <v>37</v>
      </c>
      <c r="B1439" s="43" t="s">
        <v>130</v>
      </c>
      <c r="C1439" s="43" t="s">
        <v>128</v>
      </c>
      <c r="D1439" s="44" t="s">
        <v>261</v>
      </c>
      <c r="E1439" s="44">
        <v>19</v>
      </c>
      <c r="F1439" s="44" t="s">
        <v>2</v>
      </c>
      <c r="G1439" s="43" t="str">
        <f>IFERROR(VLOOKUP(A1439,'[1]MC Masterlist 2026-09-12'!$B:$M, 3, 0),"")</f>
        <v>HONDA</v>
      </c>
      <c r="H1439" s="45">
        <f>IFERROR(VLOOKUP(A1439,'[1]MC Masterlist 2026-09-12'!$B:$M, 6, 0),"")</f>
        <v>74550</v>
      </c>
      <c r="I1439" s="46">
        <v>2</v>
      </c>
      <c r="J1439" s="46">
        <v>0</v>
      </c>
      <c r="K1439" s="46">
        <v>1</v>
      </c>
      <c r="L1439" s="46">
        <f t="shared" si="330"/>
        <v>3</v>
      </c>
      <c r="M1439" s="46">
        <f t="shared" si="331"/>
        <v>1</v>
      </c>
      <c r="N1439" s="45">
        <f t="shared" si="332"/>
        <v>223650</v>
      </c>
      <c r="O1439" s="45">
        <f t="shared" si="333"/>
        <v>74550</v>
      </c>
      <c r="P1439" s="46">
        <f t="shared" si="334"/>
        <v>3.3333333333333333E-2</v>
      </c>
      <c r="Q1439" s="46"/>
      <c r="R1439" s="45">
        <f t="shared" si="335"/>
        <v>0</v>
      </c>
      <c r="S1439" s="46">
        <f t="shared" si="336"/>
        <v>0</v>
      </c>
      <c r="T1439" s="46">
        <f>IFERROR(VLOOKUP(A1439,'[1]Re-order'!$A:$Q,17,0),"")</f>
        <v>33.652173913043477</v>
      </c>
      <c r="U1439" s="46">
        <f>IFERROR(VLOOKUP(A1439,'[1]MC Masterlist 2026-09-12'!$B:$M, 10, 0),0)</f>
        <v>15</v>
      </c>
      <c r="V1439" s="46">
        <f>IFERROR(VLOOKUP(A1439,'[1]MC Masterlist 2026-09-12'!$B:$M, 11, 0),0)</f>
        <v>15</v>
      </c>
      <c r="W1439" s="46">
        <f t="shared" si="337"/>
        <v>30</v>
      </c>
      <c r="X1439" s="46">
        <f t="shared" si="338"/>
        <v>29.5</v>
      </c>
      <c r="Y1439" s="46">
        <f>IFERROR(IF(OR(C1439="AREA I",C1439="AREA V"),7,VLOOKUP(A1439,'[1]MC Masterlist 2026-09-12'!$B:$M, 12, 0)),0)</f>
        <v>30</v>
      </c>
      <c r="Z1439" s="46">
        <f t="shared" si="339"/>
        <v>0.5</v>
      </c>
      <c r="AA1439" s="46">
        <f t="shared" si="340"/>
        <v>1</v>
      </c>
      <c r="AB1439" s="46">
        <f t="shared" si="341"/>
        <v>0.98333333333333328</v>
      </c>
      <c r="AC1439" s="46">
        <f t="shared" si="342"/>
        <v>1</v>
      </c>
      <c r="AD1439" s="44" t="str">
        <f t="shared" si="343"/>
        <v>Stockout</v>
      </c>
      <c r="AE1439" s="44" t="str">
        <f>IFERROR(VLOOKUP(A1439,'[1]Re-order'!$A:$AA,27,0),"")</f>
        <v>Re-order</v>
      </c>
      <c r="AF1439" s="46">
        <f t="shared" si="344"/>
        <v>1</v>
      </c>
      <c r="AG1439" s="46">
        <f>SUMIFS('[1]Raw Inventory'!D:D,'[1]Raw Inventory'!C:C,"GREATWALL",'[1]Raw Inventory'!B:B,A1439)</f>
        <v>28</v>
      </c>
      <c r="AH1439" s="46">
        <f>SUMIFS('[1]Raw Inventory'!D:D,'[1]Raw Inventory'!C:C,"DUARTE",'[1]Raw Inventory'!B:B,A1439)</f>
        <v>0</v>
      </c>
      <c r="AI1439" s="46"/>
      <c r="AJ1439" s="46"/>
      <c r="AK1439" s="43"/>
      <c r="AL1439" s="43"/>
      <c r="AM1439" s="43"/>
      <c r="AN1439" s="43"/>
      <c r="AO1439" s="43"/>
      <c r="AP1439" s="43"/>
      <c r="AQ1439" s="43"/>
      <c r="AR1439" s="43"/>
      <c r="AS1439" s="43"/>
      <c r="AT1439" s="43"/>
    </row>
    <row r="1440" spans="1:46">
      <c r="A1440" s="43" t="s">
        <v>100</v>
      </c>
      <c r="B1440" s="43" t="s">
        <v>111</v>
      </c>
      <c r="C1440" s="43" t="s">
        <v>109</v>
      </c>
      <c r="D1440" s="44" t="s">
        <v>256</v>
      </c>
      <c r="E1440" s="44">
        <v>12</v>
      </c>
      <c r="F1440" s="44" t="s">
        <v>2</v>
      </c>
      <c r="G1440" s="43" t="str">
        <f>IFERROR(VLOOKUP(A1440,'[1]MC Masterlist 2026-09-12'!$B:$M, 3, 0),"")</f>
        <v>BAJAJ RE</v>
      </c>
      <c r="H1440" s="45">
        <f>IFERROR(VLOOKUP(A1440,'[1]MC Masterlist 2026-09-12'!$B:$M, 6, 0),"")</f>
        <v>225800</v>
      </c>
      <c r="I1440" s="46">
        <v>0</v>
      </c>
      <c r="J1440" s="46">
        <v>0</v>
      </c>
      <c r="K1440" s="46">
        <v>1</v>
      </c>
      <c r="L1440" s="46">
        <f t="shared" si="330"/>
        <v>1</v>
      </c>
      <c r="M1440" s="46">
        <f t="shared" si="331"/>
        <v>0.33333333333333331</v>
      </c>
      <c r="N1440" s="45">
        <f t="shared" si="332"/>
        <v>225800</v>
      </c>
      <c r="O1440" s="45">
        <f t="shared" si="333"/>
        <v>75266.666666666657</v>
      </c>
      <c r="P1440" s="46">
        <f t="shared" si="334"/>
        <v>1.111111111111111E-2</v>
      </c>
      <c r="Q1440" s="46"/>
      <c r="R1440" s="45">
        <f t="shared" si="335"/>
        <v>0</v>
      </c>
      <c r="S1440" s="46">
        <f t="shared" si="336"/>
        <v>0</v>
      </c>
      <c r="T1440" s="46">
        <f>IFERROR(VLOOKUP(A1440,'[1]Re-order'!$A:$Q,17,0),"")</f>
        <v>18</v>
      </c>
      <c r="U1440" s="46">
        <f>IFERROR(VLOOKUP(A1440,'[1]MC Masterlist 2026-09-12'!$B:$M, 10, 0),0)</f>
        <v>15</v>
      </c>
      <c r="V1440" s="46">
        <f>IFERROR(VLOOKUP(A1440,'[1]MC Masterlist 2026-09-12'!$B:$M, 11, 0),0)</f>
        <v>15</v>
      </c>
      <c r="W1440" s="46">
        <f t="shared" si="337"/>
        <v>30</v>
      </c>
      <c r="X1440" s="46">
        <f t="shared" si="338"/>
        <v>29.833333333333332</v>
      </c>
      <c r="Y1440" s="46">
        <f>IFERROR(IF(OR(C1440="AREA I",C1440="AREA V"),7,VLOOKUP(A1440,'[1]MC Masterlist 2026-09-12'!$B:$M, 12, 0)),0)</f>
        <v>30</v>
      </c>
      <c r="Z1440" s="46">
        <f t="shared" si="339"/>
        <v>0.16666666666666666</v>
      </c>
      <c r="AA1440" s="46">
        <f t="shared" si="340"/>
        <v>0.33333333333333331</v>
      </c>
      <c r="AB1440" s="46">
        <f t="shared" si="341"/>
        <v>0.33148148148148143</v>
      </c>
      <c r="AC1440" s="46">
        <f t="shared" si="342"/>
        <v>0.33333333333333331</v>
      </c>
      <c r="AD1440" s="44" t="str">
        <f t="shared" si="343"/>
        <v>Stockout</v>
      </c>
      <c r="AE1440" s="44" t="str">
        <f>IFERROR(VLOOKUP(A1440,'[1]Re-order'!$A:$AA,27,0),"")</f>
        <v>Stockout</v>
      </c>
      <c r="AF1440" s="46">
        <f t="shared" si="344"/>
        <v>0.33333333333333331</v>
      </c>
      <c r="AG1440" s="46">
        <f>SUMIFS('[1]Raw Inventory'!D:D,'[1]Raw Inventory'!C:C,"GREATWALL",'[1]Raw Inventory'!B:B,A1440)</f>
        <v>0</v>
      </c>
      <c r="AH1440" s="46">
        <f>SUMIFS('[1]Raw Inventory'!D:D,'[1]Raw Inventory'!C:C,"DUARTE",'[1]Raw Inventory'!B:B,A1440)</f>
        <v>0</v>
      </c>
      <c r="AI1440" s="46"/>
      <c r="AJ1440" s="46"/>
      <c r="AK1440" s="43"/>
      <c r="AL1440" s="43"/>
      <c r="AM1440" s="43"/>
      <c r="AN1440" s="43"/>
      <c r="AO1440" s="43"/>
      <c r="AP1440" s="43"/>
      <c r="AQ1440" s="43"/>
      <c r="AR1440" s="43"/>
      <c r="AS1440" s="43"/>
      <c r="AT1440" s="43"/>
    </row>
    <row r="1441" spans="1:46">
      <c r="A1441" s="43" t="s">
        <v>17</v>
      </c>
      <c r="B1441" s="43" t="s">
        <v>121</v>
      </c>
      <c r="C1441" s="43" t="s">
        <v>118</v>
      </c>
      <c r="D1441" s="44" t="s">
        <v>254</v>
      </c>
      <c r="E1441" s="44">
        <v>8</v>
      </c>
      <c r="F1441" s="44" t="s">
        <v>2</v>
      </c>
      <c r="G1441" s="43" t="str">
        <f>IFERROR(VLOOKUP(A1441,'[1]MC Masterlist 2026-09-12'!$B:$M, 3, 0),"")</f>
        <v>HONDA</v>
      </c>
      <c r="H1441" s="45">
        <f>IFERROR(VLOOKUP(A1441,'[1]MC Masterlist 2026-09-12'!$B:$M, 6, 0),"")</f>
        <v>140790</v>
      </c>
      <c r="I1441" s="46">
        <v>1</v>
      </c>
      <c r="J1441" s="46">
        <v>0</v>
      </c>
      <c r="K1441" s="46">
        <v>4</v>
      </c>
      <c r="L1441" s="46">
        <f t="shared" si="330"/>
        <v>5</v>
      </c>
      <c r="M1441" s="46">
        <f t="shared" si="331"/>
        <v>1.6666666666666667</v>
      </c>
      <c r="N1441" s="45">
        <f t="shared" si="332"/>
        <v>703950</v>
      </c>
      <c r="O1441" s="45">
        <f t="shared" si="333"/>
        <v>234650</v>
      </c>
      <c r="P1441" s="46">
        <f t="shared" si="334"/>
        <v>5.5555555555555559E-2</v>
      </c>
      <c r="Q1441" s="46">
        <v>1</v>
      </c>
      <c r="R1441" s="45">
        <f t="shared" si="335"/>
        <v>140790</v>
      </c>
      <c r="S1441" s="46">
        <f t="shared" si="336"/>
        <v>18</v>
      </c>
      <c r="T1441" s="46">
        <f>IFERROR(VLOOKUP(A1441,'[1]Re-order'!$A:$Q,17,0),"")</f>
        <v>43.663366336633665</v>
      </c>
      <c r="U1441" s="46">
        <f>IFERROR(VLOOKUP(A1441,'[1]MC Masterlist 2026-09-12'!$B:$M, 10, 0),0)</f>
        <v>15</v>
      </c>
      <c r="V1441" s="46">
        <f>IFERROR(VLOOKUP(A1441,'[1]MC Masterlist 2026-09-12'!$B:$M, 11, 0),0)</f>
        <v>15</v>
      </c>
      <c r="W1441" s="46">
        <f t="shared" si="337"/>
        <v>30</v>
      </c>
      <c r="X1441" s="46">
        <f t="shared" si="338"/>
        <v>29.166666666666668</v>
      </c>
      <c r="Y1441" s="46">
        <f>IFERROR(IF(OR(C1441="AREA I",C1441="AREA V"),7,VLOOKUP(A1441,'[1]MC Masterlist 2026-09-12'!$B:$M, 12, 0)),0)</f>
        <v>30</v>
      </c>
      <c r="Z1441" s="46">
        <f t="shared" si="339"/>
        <v>0.83333333333333337</v>
      </c>
      <c r="AA1441" s="46">
        <f t="shared" si="340"/>
        <v>1.6666666666666667</v>
      </c>
      <c r="AB1441" s="46">
        <f t="shared" si="341"/>
        <v>1.6203703703703705</v>
      </c>
      <c r="AC1441" s="46">
        <f t="shared" si="342"/>
        <v>1.6666666666666667</v>
      </c>
      <c r="AD1441" s="44" t="str">
        <f t="shared" si="343"/>
        <v>Re-order</v>
      </c>
      <c r="AE1441" s="44" t="str">
        <f>IFERROR(VLOOKUP(A1441,'[1]Re-order'!$A:$AA,27,0),"")</f>
        <v>Re-order</v>
      </c>
      <c r="AF1441" s="46">
        <f t="shared" si="344"/>
        <v>0.66666666666666674</v>
      </c>
      <c r="AG1441" s="46">
        <f>SUMIFS('[1]Raw Inventory'!D:D,'[1]Raw Inventory'!C:C,"GREATWALL",'[1]Raw Inventory'!B:B,A1441)</f>
        <v>12</v>
      </c>
      <c r="AH1441" s="46">
        <f>SUMIFS('[1]Raw Inventory'!D:D,'[1]Raw Inventory'!C:C,"DUARTE",'[1]Raw Inventory'!B:B,A1441)</f>
        <v>0</v>
      </c>
      <c r="AI1441" s="46"/>
      <c r="AJ1441" s="46"/>
      <c r="AK1441" s="43"/>
      <c r="AL1441" s="43"/>
      <c r="AM1441" s="43"/>
      <c r="AN1441" s="43"/>
      <c r="AO1441" s="43"/>
      <c r="AP1441" s="43"/>
      <c r="AQ1441" s="43"/>
      <c r="AR1441" s="43"/>
      <c r="AS1441" s="43"/>
      <c r="AT1441" s="43"/>
    </row>
    <row r="1442" spans="1:46">
      <c r="A1442" s="43" t="s">
        <v>37</v>
      </c>
      <c r="B1442" s="43" t="s">
        <v>158</v>
      </c>
      <c r="C1442" s="43" t="s">
        <v>152</v>
      </c>
      <c r="D1442" s="44" t="s">
        <v>246</v>
      </c>
      <c r="E1442" s="44">
        <v>13</v>
      </c>
      <c r="F1442" s="44" t="s">
        <v>2</v>
      </c>
      <c r="G1442" s="43" t="str">
        <f>IFERROR(VLOOKUP(A1442,'[1]MC Masterlist 2026-09-12'!$B:$M, 3, 0),"")</f>
        <v>HONDA</v>
      </c>
      <c r="H1442" s="45">
        <f>IFERROR(VLOOKUP(A1442,'[1]MC Masterlist 2026-09-12'!$B:$M, 6, 0),"")</f>
        <v>74550</v>
      </c>
      <c r="I1442" s="46">
        <v>3</v>
      </c>
      <c r="J1442" s="46">
        <v>0</v>
      </c>
      <c r="K1442" s="46">
        <v>0</v>
      </c>
      <c r="L1442" s="46">
        <f t="shared" si="330"/>
        <v>3</v>
      </c>
      <c r="M1442" s="46">
        <f t="shared" si="331"/>
        <v>1</v>
      </c>
      <c r="N1442" s="45">
        <f t="shared" si="332"/>
        <v>223650</v>
      </c>
      <c r="O1442" s="45">
        <f t="shared" si="333"/>
        <v>74550</v>
      </c>
      <c r="P1442" s="46">
        <f t="shared" si="334"/>
        <v>3.3333333333333333E-2</v>
      </c>
      <c r="Q1442" s="46">
        <v>2</v>
      </c>
      <c r="R1442" s="45">
        <f t="shared" si="335"/>
        <v>149100</v>
      </c>
      <c r="S1442" s="46">
        <f t="shared" si="336"/>
        <v>60</v>
      </c>
      <c r="T1442" s="46">
        <f>IFERROR(VLOOKUP(A1442,'[1]Re-order'!$A:$Q,17,0),"")</f>
        <v>33.652173913043477</v>
      </c>
      <c r="U1442" s="46">
        <f>IFERROR(VLOOKUP(A1442,'[1]MC Masterlist 2026-09-12'!$B:$M, 10, 0),0)</f>
        <v>15</v>
      </c>
      <c r="V1442" s="46">
        <f>IFERROR(VLOOKUP(A1442,'[1]MC Masterlist 2026-09-12'!$B:$M, 11, 0),0)</f>
        <v>15</v>
      </c>
      <c r="W1442" s="46">
        <f t="shared" si="337"/>
        <v>30</v>
      </c>
      <c r="X1442" s="46">
        <f t="shared" si="338"/>
        <v>29.5</v>
      </c>
      <c r="Y1442" s="46">
        <f>IFERROR(IF(OR(C1442="AREA I",C1442="AREA V"),7,VLOOKUP(A1442,'[1]MC Masterlist 2026-09-12'!$B:$M, 12, 0)),0)</f>
        <v>30</v>
      </c>
      <c r="Z1442" s="46">
        <f t="shared" si="339"/>
        <v>0.5</v>
      </c>
      <c r="AA1442" s="46">
        <f t="shared" si="340"/>
        <v>1</v>
      </c>
      <c r="AB1442" s="46">
        <f t="shared" si="341"/>
        <v>0.98333333333333328</v>
      </c>
      <c r="AC1442" s="46">
        <f t="shared" si="342"/>
        <v>1</v>
      </c>
      <c r="AD1442" s="44" t="str">
        <f t="shared" si="343"/>
        <v>Over</v>
      </c>
      <c r="AE1442" s="44" t="str">
        <f>IFERROR(VLOOKUP(A1442,'[1]Re-order'!$A:$AA,27,0),"")</f>
        <v>Re-order</v>
      </c>
      <c r="AF1442" s="46">
        <f t="shared" si="344"/>
        <v>-1</v>
      </c>
      <c r="AG1442" s="46">
        <f>SUMIFS('[1]Raw Inventory'!D:D,'[1]Raw Inventory'!C:C,"GREATWALL",'[1]Raw Inventory'!B:B,A1442)</f>
        <v>28</v>
      </c>
      <c r="AH1442" s="46">
        <f>SUMIFS('[1]Raw Inventory'!D:D,'[1]Raw Inventory'!C:C,"DUARTE",'[1]Raw Inventory'!B:B,A1442)</f>
        <v>0</v>
      </c>
      <c r="AI1442" s="46"/>
      <c r="AJ1442" s="46"/>
      <c r="AK1442" s="43"/>
      <c r="AL1442" s="43"/>
      <c r="AM1442" s="43"/>
      <c r="AN1442" s="43"/>
      <c r="AO1442" s="43"/>
      <c r="AP1442" s="43"/>
      <c r="AQ1442" s="43"/>
      <c r="AR1442" s="43"/>
      <c r="AS1442" s="43"/>
      <c r="AT1442" s="43"/>
    </row>
    <row r="1443" spans="1:46">
      <c r="A1443" s="43" t="s">
        <v>82</v>
      </c>
      <c r="B1443" s="43" t="s">
        <v>94</v>
      </c>
      <c r="C1443" s="43" t="s">
        <v>90</v>
      </c>
      <c r="D1443" s="44" t="s">
        <v>235</v>
      </c>
      <c r="E1443" s="44">
        <v>29</v>
      </c>
      <c r="F1443" s="44" t="s">
        <v>3</v>
      </c>
      <c r="G1443" s="43" t="str">
        <f>IFERROR(VLOOKUP(A1443,'[1]MC Masterlist 2026-09-12'!$B:$M, 3, 0),"")</f>
        <v>SUZUKI</v>
      </c>
      <c r="H1443" s="45">
        <f>IFERROR(VLOOKUP(A1443,'[1]MC Masterlist 2026-09-12'!$B:$M, 6, 0),"")</f>
        <v>67342</v>
      </c>
      <c r="I1443" s="46">
        <v>0</v>
      </c>
      <c r="J1443" s="46">
        <v>0</v>
      </c>
      <c r="K1443" s="46">
        <v>0</v>
      </c>
      <c r="L1443" s="46">
        <f t="shared" si="330"/>
        <v>0</v>
      </c>
      <c r="M1443" s="46">
        <f t="shared" si="331"/>
        <v>0</v>
      </c>
      <c r="N1443" s="45">
        <f t="shared" si="332"/>
        <v>0</v>
      </c>
      <c r="O1443" s="45">
        <f t="shared" si="333"/>
        <v>0</v>
      </c>
      <c r="P1443" s="46">
        <f t="shared" si="334"/>
        <v>0</v>
      </c>
      <c r="Q1443" s="46">
        <v>1</v>
      </c>
      <c r="R1443" s="45">
        <f t="shared" si="335"/>
        <v>67342</v>
      </c>
      <c r="S1443" s="46">
        <f t="shared" si="336"/>
        <v>0</v>
      </c>
      <c r="T1443" s="46">
        <f>IFERROR(VLOOKUP(A1443,'[1]Re-order'!$A:$Q,17,0),"")</f>
        <v>64.8</v>
      </c>
      <c r="U1443" s="46">
        <f>IFERROR(VLOOKUP(A1443,'[1]MC Masterlist 2026-09-12'!$B:$M, 10, 0),0)</f>
        <v>15</v>
      </c>
      <c r="V1443" s="46">
        <f>IFERROR(VLOOKUP(A1443,'[1]MC Masterlist 2026-09-12'!$B:$M, 11, 0),0)</f>
        <v>15</v>
      </c>
      <c r="W1443" s="46">
        <f t="shared" si="337"/>
        <v>30</v>
      </c>
      <c r="X1443" s="46">
        <f t="shared" si="338"/>
        <v>30</v>
      </c>
      <c r="Y1443" s="46">
        <f>IFERROR(IF(OR(C1443="AREA I",C1443="AREA V"),7,VLOOKUP(A1443,'[1]MC Masterlist 2026-09-12'!$B:$M, 12, 0)),0)</f>
        <v>30</v>
      </c>
      <c r="Z1443" s="46">
        <f t="shared" si="339"/>
        <v>0</v>
      </c>
      <c r="AA1443" s="46">
        <f t="shared" si="340"/>
        <v>0</v>
      </c>
      <c r="AB1443" s="46">
        <f t="shared" si="341"/>
        <v>0</v>
      </c>
      <c r="AC1443" s="46">
        <f t="shared" si="342"/>
        <v>0</v>
      </c>
      <c r="AD1443" s="44" t="str">
        <f t="shared" si="343"/>
        <v>Over</v>
      </c>
      <c r="AE1443" s="44" t="str">
        <f>IFERROR(VLOOKUP(A1443,'[1]Re-order'!$A:$AA,27,0),"")</f>
        <v>Re-order</v>
      </c>
      <c r="AF1443" s="46">
        <f t="shared" si="344"/>
        <v>-1</v>
      </c>
      <c r="AG1443" s="46">
        <f>SUMIFS('[1]Raw Inventory'!D:D,'[1]Raw Inventory'!C:C,"GREATWALL",'[1]Raw Inventory'!B:B,A1443)</f>
        <v>1</v>
      </c>
      <c r="AH1443" s="46">
        <f>SUMIFS('[1]Raw Inventory'!D:D,'[1]Raw Inventory'!C:C,"DUARTE",'[1]Raw Inventory'!B:B,A1443)</f>
        <v>0</v>
      </c>
      <c r="AI1443" s="46"/>
      <c r="AJ1443" s="46"/>
      <c r="AK1443" s="43"/>
      <c r="AL1443" s="43"/>
      <c r="AM1443" s="43"/>
      <c r="AN1443" s="43"/>
      <c r="AO1443" s="43"/>
      <c r="AP1443" s="43"/>
      <c r="AQ1443" s="43"/>
      <c r="AR1443" s="43"/>
      <c r="AS1443" s="43"/>
      <c r="AT1443" s="43"/>
    </row>
    <row r="1444" spans="1:46">
      <c r="A1444" s="43" t="s">
        <v>16</v>
      </c>
      <c r="B1444" s="43" t="s">
        <v>158</v>
      </c>
      <c r="C1444" s="43" t="s">
        <v>152</v>
      </c>
      <c r="D1444" s="44" t="s">
        <v>238</v>
      </c>
      <c r="E1444" s="44">
        <v>2</v>
      </c>
      <c r="F1444" s="44" t="s">
        <v>0</v>
      </c>
      <c r="G1444" s="43" t="str">
        <f>IFERROR(VLOOKUP(A1444,'[1]MC Masterlist 2026-09-12'!$B:$M, 3, 0),"")</f>
        <v>HONDA</v>
      </c>
      <c r="H1444" s="45">
        <f>IFERROR(VLOOKUP(A1444,'[1]MC Masterlist 2026-09-12'!$B:$M, 6, 0),"")</f>
        <v>84394</v>
      </c>
      <c r="I1444" s="46">
        <v>4</v>
      </c>
      <c r="J1444" s="46">
        <v>4</v>
      </c>
      <c r="K1444" s="46">
        <v>3</v>
      </c>
      <c r="L1444" s="46">
        <f t="shared" si="330"/>
        <v>11</v>
      </c>
      <c r="M1444" s="46">
        <f t="shared" si="331"/>
        <v>3.6666666666666665</v>
      </c>
      <c r="N1444" s="45">
        <f t="shared" si="332"/>
        <v>928334</v>
      </c>
      <c r="O1444" s="45">
        <f t="shared" si="333"/>
        <v>309444.66666666663</v>
      </c>
      <c r="P1444" s="46">
        <f t="shared" si="334"/>
        <v>0.12222222222222222</v>
      </c>
      <c r="Q1444" s="46"/>
      <c r="R1444" s="45">
        <f t="shared" si="335"/>
        <v>0</v>
      </c>
      <c r="S1444" s="46">
        <f t="shared" si="336"/>
        <v>0</v>
      </c>
      <c r="T1444" s="46">
        <f>IFERROR(VLOOKUP(A1444,'[1]Re-order'!$A:$Q,17,0),"")</f>
        <v>26.332665330661321</v>
      </c>
      <c r="U1444" s="46">
        <f>IFERROR(VLOOKUP(A1444,'[1]MC Masterlist 2026-09-12'!$B:$M, 10, 0),0)</f>
        <v>15</v>
      </c>
      <c r="V1444" s="46">
        <f>IFERROR(VLOOKUP(A1444,'[1]MC Masterlist 2026-09-12'!$B:$M, 11, 0),0)</f>
        <v>15</v>
      </c>
      <c r="W1444" s="46">
        <f t="shared" si="337"/>
        <v>30</v>
      </c>
      <c r="X1444" s="46">
        <f t="shared" si="338"/>
        <v>28.166666666666668</v>
      </c>
      <c r="Y1444" s="46">
        <f>IFERROR(IF(OR(C1444="AREA I",C1444="AREA V"),7,VLOOKUP(A1444,'[1]MC Masterlist 2026-09-12'!$B:$M, 12, 0)),0)</f>
        <v>30</v>
      </c>
      <c r="Z1444" s="46">
        <f t="shared" si="339"/>
        <v>1.8333333333333333</v>
      </c>
      <c r="AA1444" s="46">
        <f t="shared" si="340"/>
        <v>3.6666666666666665</v>
      </c>
      <c r="AB1444" s="46">
        <f t="shared" si="341"/>
        <v>3.4425925925925926</v>
      </c>
      <c r="AC1444" s="46">
        <f t="shared" si="342"/>
        <v>3.6666666666666665</v>
      </c>
      <c r="AD1444" s="44" t="str">
        <f t="shared" si="343"/>
        <v>Stockout</v>
      </c>
      <c r="AE1444" s="44" t="str">
        <f>IFERROR(VLOOKUP(A1444,'[1]Re-order'!$A:$AA,27,0),"")</f>
        <v>Stockout</v>
      </c>
      <c r="AF1444" s="46">
        <f t="shared" si="344"/>
        <v>3.6666666666666665</v>
      </c>
      <c r="AG1444" s="46">
        <f>SUMIFS('[1]Raw Inventory'!D:D,'[1]Raw Inventory'!C:C,"GREATWALL",'[1]Raw Inventory'!B:B,A1444)</f>
        <v>58</v>
      </c>
      <c r="AH1444" s="46">
        <f>SUMIFS('[1]Raw Inventory'!D:D,'[1]Raw Inventory'!C:C,"DUARTE",'[1]Raw Inventory'!B:B,A1444)</f>
        <v>0</v>
      </c>
      <c r="AI1444" s="46"/>
      <c r="AJ1444" s="46"/>
      <c r="AK1444" s="43"/>
      <c r="AL1444" s="43"/>
      <c r="AM1444" s="43"/>
      <c r="AN1444" s="43"/>
      <c r="AO1444" s="43"/>
      <c r="AP1444" s="43"/>
      <c r="AQ1444" s="43"/>
      <c r="AR1444" s="43"/>
      <c r="AS1444" s="43"/>
      <c r="AT1444" s="43"/>
    </row>
    <row r="1445" spans="1:46">
      <c r="A1445" s="43" t="s">
        <v>24</v>
      </c>
      <c r="B1445" s="43" t="s">
        <v>115</v>
      </c>
      <c r="C1445" s="43" t="s">
        <v>109</v>
      </c>
      <c r="D1445" s="44" t="s">
        <v>240</v>
      </c>
      <c r="E1445" s="44">
        <v>8</v>
      </c>
      <c r="F1445" s="44" t="s">
        <v>2</v>
      </c>
      <c r="G1445" s="43" t="str">
        <f>IFERROR(VLOOKUP(A1445,'[1]MC Masterlist 2026-09-12'!$B:$M, 3, 0),"")</f>
        <v>KAWASAKI</v>
      </c>
      <c r="H1445" s="45">
        <f>IFERROR(VLOOKUP(A1445,'[1]MC Masterlist 2026-09-12'!$B:$M, 6, 0),"")</f>
        <v>131626</v>
      </c>
      <c r="I1445" s="46">
        <v>1</v>
      </c>
      <c r="J1445" s="46">
        <v>2</v>
      </c>
      <c r="K1445" s="46">
        <v>0</v>
      </c>
      <c r="L1445" s="46">
        <f t="shared" si="330"/>
        <v>3</v>
      </c>
      <c r="M1445" s="46">
        <f t="shared" si="331"/>
        <v>1</v>
      </c>
      <c r="N1445" s="45">
        <f t="shared" si="332"/>
        <v>394878</v>
      </c>
      <c r="O1445" s="45">
        <f t="shared" si="333"/>
        <v>131626</v>
      </c>
      <c r="P1445" s="46">
        <f t="shared" si="334"/>
        <v>3.3333333333333333E-2</v>
      </c>
      <c r="Q1445" s="46">
        <v>5</v>
      </c>
      <c r="R1445" s="45">
        <f t="shared" si="335"/>
        <v>658130</v>
      </c>
      <c r="S1445" s="46">
        <f t="shared" si="336"/>
        <v>150</v>
      </c>
      <c r="T1445" s="46">
        <f>IFERROR(VLOOKUP(A1445,'[1]Re-order'!$A:$Q,17,0),"")</f>
        <v>40.677966101694913</v>
      </c>
      <c r="U1445" s="46">
        <f>IFERROR(VLOOKUP(A1445,'[1]MC Masterlist 2026-09-12'!$B:$M, 10, 0),0)</f>
        <v>15</v>
      </c>
      <c r="V1445" s="46">
        <f>IFERROR(VLOOKUP(A1445,'[1]MC Masterlist 2026-09-12'!$B:$M, 11, 0),0)</f>
        <v>15</v>
      </c>
      <c r="W1445" s="46">
        <f t="shared" si="337"/>
        <v>30</v>
      </c>
      <c r="X1445" s="46">
        <f t="shared" si="338"/>
        <v>29.5</v>
      </c>
      <c r="Y1445" s="46">
        <f>IFERROR(IF(OR(C1445="AREA I",C1445="AREA V"),7,VLOOKUP(A1445,'[1]MC Masterlist 2026-09-12'!$B:$M, 12, 0)),0)</f>
        <v>30</v>
      </c>
      <c r="Z1445" s="46">
        <f t="shared" si="339"/>
        <v>0.5</v>
      </c>
      <c r="AA1445" s="46">
        <f t="shared" si="340"/>
        <v>1</v>
      </c>
      <c r="AB1445" s="46">
        <f t="shared" si="341"/>
        <v>0.98333333333333328</v>
      </c>
      <c r="AC1445" s="46">
        <f t="shared" si="342"/>
        <v>1</v>
      </c>
      <c r="AD1445" s="44" t="str">
        <f t="shared" si="343"/>
        <v>Over</v>
      </c>
      <c r="AE1445" s="44" t="str">
        <f>IFERROR(VLOOKUP(A1445,'[1]Re-order'!$A:$AA,27,0),"")</f>
        <v>Re-order</v>
      </c>
      <c r="AF1445" s="46">
        <f t="shared" si="344"/>
        <v>-4</v>
      </c>
      <c r="AG1445" s="46">
        <f>SUMIFS('[1]Raw Inventory'!D:D,'[1]Raw Inventory'!C:C,"GREATWALL",'[1]Raw Inventory'!B:B,A1445)</f>
        <v>12</v>
      </c>
      <c r="AH1445" s="46">
        <f>SUMIFS('[1]Raw Inventory'!D:D,'[1]Raw Inventory'!C:C,"DUARTE",'[1]Raw Inventory'!B:B,A1445)</f>
        <v>0</v>
      </c>
      <c r="AI1445" s="46"/>
      <c r="AJ1445" s="46"/>
      <c r="AK1445" s="43"/>
      <c r="AL1445" s="43"/>
      <c r="AM1445" s="43"/>
      <c r="AN1445" s="43"/>
      <c r="AO1445" s="43"/>
      <c r="AP1445" s="43"/>
      <c r="AQ1445" s="43"/>
      <c r="AR1445" s="43"/>
      <c r="AS1445" s="43"/>
      <c r="AT1445" s="43"/>
    </row>
    <row r="1446" spans="1:46">
      <c r="A1446" s="43" t="s">
        <v>14</v>
      </c>
      <c r="B1446" s="43" t="s">
        <v>141</v>
      </c>
      <c r="C1446" s="43" t="s">
        <v>137</v>
      </c>
      <c r="D1446" s="44" t="s">
        <v>238</v>
      </c>
      <c r="E1446" s="44">
        <v>2</v>
      </c>
      <c r="F1446" s="44" t="s">
        <v>0</v>
      </c>
      <c r="G1446" s="43" t="str">
        <f>IFERROR(VLOOKUP(A1446,'[1]MC Masterlist 2026-09-12'!$B:$M, 3, 0),"")</f>
        <v>HONDA</v>
      </c>
      <c r="H1446" s="45">
        <f>IFERROR(VLOOKUP(A1446,'[1]MC Masterlist 2026-09-12'!$B:$M, 6, 0),"")</f>
        <v>80070</v>
      </c>
      <c r="I1446" s="46">
        <v>10</v>
      </c>
      <c r="J1446" s="46">
        <v>11</v>
      </c>
      <c r="K1446" s="46">
        <v>4</v>
      </c>
      <c r="L1446" s="46">
        <f t="shared" si="330"/>
        <v>25</v>
      </c>
      <c r="M1446" s="46">
        <f t="shared" si="331"/>
        <v>8.3333333333333339</v>
      </c>
      <c r="N1446" s="45">
        <f t="shared" si="332"/>
        <v>2001750</v>
      </c>
      <c r="O1446" s="45">
        <f t="shared" si="333"/>
        <v>667250</v>
      </c>
      <c r="P1446" s="46">
        <f t="shared" si="334"/>
        <v>0.27777777777777779</v>
      </c>
      <c r="Q1446" s="46">
        <v>1</v>
      </c>
      <c r="R1446" s="45">
        <f t="shared" si="335"/>
        <v>80070</v>
      </c>
      <c r="S1446" s="46">
        <f t="shared" si="336"/>
        <v>3.5999999999999996</v>
      </c>
      <c r="T1446" s="46">
        <f>IFERROR(VLOOKUP(A1446,'[1]Re-order'!$A:$Q,17,0),"")</f>
        <v>20.105787181082761</v>
      </c>
      <c r="U1446" s="46">
        <f>IFERROR(VLOOKUP(A1446,'[1]MC Masterlist 2026-09-12'!$B:$M, 10, 0),0)</f>
        <v>15</v>
      </c>
      <c r="V1446" s="46">
        <f>IFERROR(VLOOKUP(A1446,'[1]MC Masterlist 2026-09-12'!$B:$M, 11, 0),0)</f>
        <v>15</v>
      </c>
      <c r="W1446" s="46">
        <f t="shared" si="337"/>
        <v>30</v>
      </c>
      <c r="X1446" s="46">
        <f t="shared" si="338"/>
        <v>2.833333333333333</v>
      </c>
      <c r="Y1446" s="46">
        <f>IFERROR(IF(OR(C1446="AREA I",C1446="AREA V"),7,VLOOKUP(A1446,'[1]MC Masterlist 2026-09-12'!$B:$M, 12, 0)),0)</f>
        <v>7</v>
      </c>
      <c r="Z1446" s="46">
        <f t="shared" si="339"/>
        <v>4.166666666666667</v>
      </c>
      <c r="AA1446" s="46">
        <f t="shared" si="340"/>
        <v>8.3333333333333339</v>
      </c>
      <c r="AB1446" s="46">
        <f t="shared" si="341"/>
        <v>0.78703703703703698</v>
      </c>
      <c r="AC1446" s="46">
        <f t="shared" si="342"/>
        <v>1.9444444444444446</v>
      </c>
      <c r="AD1446" s="44" t="str">
        <f t="shared" si="343"/>
        <v>Stockout</v>
      </c>
      <c r="AE1446" s="44" t="str">
        <f>IFERROR(VLOOKUP(A1446,'[1]Re-order'!$A:$AA,27,0),"")</f>
        <v>Stockout</v>
      </c>
      <c r="AF1446" s="46">
        <f t="shared" si="344"/>
        <v>0.94444444444444464</v>
      </c>
      <c r="AG1446" s="46">
        <f>SUMIFS('[1]Raw Inventory'!D:D,'[1]Raw Inventory'!C:C,"GREATWALL",'[1]Raw Inventory'!B:B,A1446)</f>
        <v>176</v>
      </c>
      <c r="AH1446" s="46">
        <f>SUMIFS('[1]Raw Inventory'!D:D,'[1]Raw Inventory'!C:C,"DUARTE",'[1]Raw Inventory'!B:B,A1446)</f>
        <v>0</v>
      </c>
      <c r="AI1446" s="46"/>
      <c r="AJ1446" s="46"/>
      <c r="AK1446" s="43"/>
      <c r="AL1446" s="43"/>
      <c r="AM1446" s="43"/>
      <c r="AN1446" s="43"/>
      <c r="AO1446" s="43"/>
      <c r="AP1446" s="43"/>
      <c r="AQ1446" s="43"/>
      <c r="AR1446" s="43"/>
      <c r="AS1446" s="43"/>
      <c r="AT1446" s="43"/>
    </row>
    <row r="1447" spans="1:46">
      <c r="A1447" s="43" t="s">
        <v>14</v>
      </c>
      <c r="B1447" s="43" t="s">
        <v>140</v>
      </c>
      <c r="C1447" s="43" t="s">
        <v>137</v>
      </c>
      <c r="D1447" s="44" t="s">
        <v>234</v>
      </c>
      <c r="E1447" s="44">
        <v>4</v>
      </c>
      <c r="F1447" s="44" t="s">
        <v>0</v>
      </c>
      <c r="G1447" s="43" t="str">
        <f>IFERROR(VLOOKUP(A1447,'[1]MC Masterlist 2026-09-12'!$B:$M, 3, 0),"")</f>
        <v>HONDA</v>
      </c>
      <c r="H1447" s="45">
        <f>IFERROR(VLOOKUP(A1447,'[1]MC Masterlist 2026-09-12'!$B:$M, 6, 0),"")</f>
        <v>80070</v>
      </c>
      <c r="I1447" s="46">
        <v>1</v>
      </c>
      <c r="J1447" s="46">
        <v>5</v>
      </c>
      <c r="K1447" s="46">
        <v>7</v>
      </c>
      <c r="L1447" s="46">
        <f t="shared" si="330"/>
        <v>13</v>
      </c>
      <c r="M1447" s="46">
        <f t="shared" si="331"/>
        <v>4.333333333333333</v>
      </c>
      <c r="N1447" s="45">
        <f t="shared" si="332"/>
        <v>1040910</v>
      </c>
      <c r="O1447" s="45">
        <f t="shared" si="333"/>
        <v>346970</v>
      </c>
      <c r="P1447" s="46">
        <f t="shared" si="334"/>
        <v>0.14444444444444443</v>
      </c>
      <c r="Q1447" s="46">
        <v>1</v>
      </c>
      <c r="R1447" s="45">
        <f t="shared" si="335"/>
        <v>80070</v>
      </c>
      <c r="S1447" s="46">
        <f t="shared" si="336"/>
        <v>6.9230769230769234</v>
      </c>
      <c r="T1447" s="46">
        <f>IFERROR(VLOOKUP(A1447,'[1]Re-order'!$A:$Q,17,0),"")</f>
        <v>20.105787181082761</v>
      </c>
      <c r="U1447" s="46">
        <f>IFERROR(VLOOKUP(A1447,'[1]MC Masterlist 2026-09-12'!$B:$M, 10, 0),0)</f>
        <v>15</v>
      </c>
      <c r="V1447" s="46">
        <f>IFERROR(VLOOKUP(A1447,'[1]MC Masterlist 2026-09-12'!$B:$M, 11, 0),0)</f>
        <v>15</v>
      </c>
      <c r="W1447" s="46">
        <f t="shared" si="337"/>
        <v>30</v>
      </c>
      <c r="X1447" s="46">
        <f t="shared" si="338"/>
        <v>4.8333333333333339</v>
      </c>
      <c r="Y1447" s="46">
        <f>IFERROR(IF(OR(C1447="AREA I",C1447="AREA V"),7,VLOOKUP(A1447,'[1]MC Masterlist 2026-09-12'!$B:$M, 12, 0)),0)</f>
        <v>7</v>
      </c>
      <c r="Z1447" s="46">
        <f t="shared" si="339"/>
        <v>2.1666666666666665</v>
      </c>
      <c r="AA1447" s="46">
        <f t="shared" si="340"/>
        <v>4.333333333333333</v>
      </c>
      <c r="AB1447" s="46">
        <f t="shared" si="341"/>
        <v>0.69814814814814818</v>
      </c>
      <c r="AC1447" s="46">
        <f t="shared" si="342"/>
        <v>1.0111111111111111</v>
      </c>
      <c r="AD1447" s="44" t="str">
        <f t="shared" si="343"/>
        <v>Stockout</v>
      </c>
      <c r="AE1447" s="44" t="str">
        <f>IFERROR(VLOOKUP(A1447,'[1]Re-order'!$A:$AA,27,0),"")</f>
        <v>Stockout</v>
      </c>
      <c r="AF1447" s="46">
        <f t="shared" si="344"/>
        <v>1.1111111111111072E-2</v>
      </c>
      <c r="AG1447" s="46">
        <f>SUMIFS('[1]Raw Inventory'!D:D,'[1]Raw Inventory'!C:C,"GREATWALL",'[1]Raw Inventory'!B:B,A1447)</f>
        <v>176</v>
      </c>
      <c r="AH1447" s="46">
        <f>SUMIFS('[1]Raw Inventory'!D:D,'[1]Raw Inventory'!C:C,"DUARTE",'[1]Raw Inventory'!B:B,A1447)</f>
        <v>0</v>
      </c>
      <c r="AI1447" s="46"/>
      <c r="AJ1447" s="46"/>
      <c r="AK1447" s="43"/>
      <c r="AL1447" s="43"/>
      <c r="AM1447" s="43"/>
      <c r="AN1447" s="43"/>
      <c r="AO1447" s="43"/>
      <c r="AP1447" s="43"/>
      <c r="AQ1447" s="43"/>
      <c r="AR1447" s="43"/>
      <c r="AS1447" s="43"/>
      <c r="AT1447" s="43"/>
    </row>
    <row r="1448" spans="1:46">
      <c r="A1448" s="43" t="s">
        <v>31</v>
      </c>
      <c r="B1448" s="43" t="s">
        <v>98</v>
      </c>
      <c r="C1448" s="43" t="s">
        <v>90</v>
      </c>
      <c r="D1448" s="44" t="s">
        <v>231</v>
      </c>
      <c r="E1448" s="44">
        <v>22</v>
      </c>
      <c r="F1448" s="44" t="s">
        <v>3</v>
      </c>
      <c r="G1448" s="43" t="str">
        <f>IFERROR(VLOOKUP(A1448,'[1]MC Masterlist 2026-09-12'!$B:$M, 3, 0),"")</f>
        <v>KAWASAKI</v>
      </c>
      <c r="H1448" s="45">
        <f>IFERROR(VLOOKUP(A1448,'[1]MC Masterlist 2026-09-12'!$B:$M, 6, 0),"")</f>
        <v>59528</v>
      </c>
      <c r="I1448" s="46">
        <v>0</v>
      </c>
      <c r="J1448" s="46">
        <v>0</v>
      </c>
      <c r="K1448" s="46">
        <v>0</v>
      </c>
      <c r="L1448" s="46">
        <f t="shared" si="330"/>
        <v>0</v>
      </c>
      <c r="M1448" s="46">
        <f t="shared" si="331"/>
        <v>0</v>
      </c>
      <c r="N1448" s="45">
        <f t="shared" si="332"/>
        <v>0</v>
      </c>
      <c r="O1448" s="45">
        <f t="shared" si="333"/>
        <v>0</v>
      </c>
      <c r="P1448" s="46">
        <f t="shared" si="334"/>
        <v>0</v>
      </c>
      <c r="Q1448" s="46">
        <v>3</v>
      </c>
      <c r="R1448" s="45">
        <f t="shared" si="335"/>
        <v>178584</v>
      </c>
      <c r="S1448" s="46">
        <f t="shared" si="336"/>
        <v>0</v>
      </c>
      <c r="T1448" s="46">
        <f>IFERROR(VLOOKUP(A1448,'[1]Re-order'!$A:$Q,17,0),"")</f>
        <v>95.869565217391298</v>
      </c>
      <c r="U1448" s="46">
        <f>IFERROR(VLOOKUP(A1448,'[1]MC Masterlist 2026-09-12'!$B:$M, 10, 0),0)</f>
        <v>15</v>
      </c>
      <c r="V1448" s="46">
        <f>IFERROR(VLOOKUP(A1448,'[1]MC Masterlist 2026-09-12'!$B:$M, 11, 0),0)</f>
        <v>15</v>
      </c>
      <c r="W1448" s="46">
        <f t="shared" si="337"/>
        <v>30</v>
      </c>
      <c r="X1448" s="46">
        <f t="shared" si="338"/>
        <v>30</v>
      </c>
      <c r="Y1448" s="46">
        <f>IFERROR(IF(OR(C1448="AREA I",C1448="AREA V"),7,VLOOKUP(A1448,'[1]MC Masterlist 2026-09-12'!$B:$M, 12, 0)),0)</f>
        <v>30</v>
      </c>
      <c r="Z1448" s="46">
        <f t="shared" si="339"/>
        <v>0</v>
      </c>
      <c r="AA1448" s="46">
        <f t="shared" si="340"/>
        <v>0</v>
      </c>
      <c r="AB1448" s="46">
        <f t="shared" si="341"/>
        <v>0</v>
      </c>
      <c r="AC1448" s="46">
        <f t="shared" si="342"/>
        <v>0</v>
      </c>
      <c r="AD1448" s="44" t="str">
        <f t="shared" si="343"/>
        <v>Over</v>
      </c>
      <c r="AE1448" s="44" t="str">
        <f>IFERROR(VLOOKUP(A1448,'[1]Re-order'!$A:$AA,27,0),"")</f>
        <v>Over</v>
      </c>
      <c r="AF1448" s="46">
        <f t="shared" si="344"/>
        <v>-3</v>
      </c>
      <c r="AG1448" s="46">
        <f>SUMIFS('[1]Raw Inventory'!D:D,'[1]Raw Inventory'!C:C,"GREATWALL",'[1]Raw Inventory'!B:B,A1448)</f>
        <v>79</v>
      </c>
      <c r="AH1448" s="46">
        <f>SUMIFS('[1]Raw Inventory'!D:D,'[1]Raw Inventory'!C:C,"DUARTE",'[1]Raw Inventory'!B:B,A1448)</f>
        <v>0</v>
      </c>
      <c r="AI1448" s="46"/>
      <c r="AJ1448" s="46"/>
      <c r="AK1448" s="43"/>
      <c r="AL1448" s="43"/>
      <c r="AM1448" s="43"/>
      <c r="AN1448" s="43"/>
      <c r="AO1448" s="43"/>
      <c r="AP1448" s="43"/>
      <c r="AQ1448" s="43"/>
      <c r="AR1448" s="43"/>
      <c r="AS1448" s="43"/>
      <c r="AT1448" s="43"/>
    </row>
    <row r="1449" spans="1:46">
      <c r="A1449" s="43" t="s">
        <v>76</v>
      </c>
      <c r="B1449" s="43" t="s">
        <v>123</v>
      </c>
      <c r="C1449" s="43" t="s">
        <v>118</v>
      </c>
      <c r="D1449" s="44" t="s">
        <v>241</v>
      </c>
      <c r="E1449" s="44">
        <v>22</v>
      </c>
      <c r="F1449" s="44" t="s">
        <v>3</v>
      </c>
      <c r="G1449" s="43" t="str">
        <f>IFERROR(VLOOKUP(A1449,'[1]MC Masterlist 2026-09-12'!$B:$M, 3, 0),"")</f>
        <v>SUZUKI</v>
      </c>
      <c r="H1449" s="45">
        <f>IFERROR(VLOOKUP(A1449,'[1]MC Masterlist 2026-09-12'!$B:$M, 6, 0),"")</f>
        <v>62692</v>
      </c>
      <c r="I1449" s="46">
        <v>0</v>
      </c>
      <c r="J1449" s="46">
        <v>1</v>
      </c>
      <c r="K1449" s="46">
        <v>0</v>
      </c>
      <c r="L1449" s="46">
        <f t="shared" si="330"/>
        <v>1</v>
      </c>
      <c r="M1449" s="46">
        <f t="shared" si="331"/>
        <v>0.33333333333333331</v>
      </c>
      <c r="N1449" s="45">
        <f t="shared" si="332"/>
        <v>62692</v>
      </c>
      <c r="O1449" s="45">
        <f t="shared" si="333"/>
        <v>20897.333333333332</v>
      </c>
      <c r="P1449" s="46">
        <f t="shared" si="334"/>
        <v>1.111111111111111E-2</v>
      </c>
      <c r="Q1449" s="46">
        <v>2</v>
      </c>
      <c r="R1449" s="45">
        <f t="shared" si="335"/>
        <v>125384</v>
      </c>
      <c r="S1449" s="46">
        <f t="shared" si="336"/>
        <v>180</v>
      </c>
      <c r="T1449" s="46">
        <f>IFERROR(VLOOKUP(A1449,'[1]Re-order'!$A:$Q,17,0),"")</f>
        <v>106.36363636363636</v>
      </c>
      <c r="U1449" s="46">
        <f>IFERROR(VLOOKUP(A1449,'[1]MC Masterlist 2026-09-12'!$B:$M, 10, 0),0)</f>
        <v>15</v>
      </c>
      <c r="V1449" s="46">
        <f>IFERROR(VLOOKUP(A1449,'[1]MC Masterlist 2026-09-12'!$B:$M, 11, 0),0)</f>
        <v>15</v>
      </c>
      <c r="W1449" s="46">
        <f t="shared" si="337"/>
        <v>30</v>
      </c>
      <c r="X1449" s="46">
        <f t="shared" si="338"/>
        <v>29.833333333333332</v>
      </c>
      <c r="Y1449" s="46">
        <f>IFERROR(IF(OR(C1449="AREA I",C1449="AREA V"),7,VLOOKUP(A1449,'[1]MC Masterlist 2026-09-12'!$B:$M, 12, 0)),0)</f>
        <v>30</v>
      </c>
      <c r="Z1449" s="46">
        <f t="shared" si="339"/>
        <v>0.16666666666666666</v>
      </c>
      <c r="AA1449" s="46">
        <f t="shared" si="340"/>
        <v>0.33333333333333331</v>
      </c>
      <c r="AB1449" s="46">
        <f t="shared" si="341"/>
        <v>0.33148148148148143</v>
      </c>
      <c r="AC1449" s="46">
        <f t="shared" si="342"/>
        <v>0.33333333333333331</v>
      </c>
      <c r="AD1449" s="44" t="str">
        <f t="shared" si="343"/>
        <v>Over</v>
      </c>
      <c r="AE1449" s="44" t="str">
        <f>IFERROR(VLOOKUP(A1449,'[1]Re-order'!$A:$AA,27,0),"")</f>
        <v>Over</v>
      </c>
      <c r="AF1449" s="46">
        <f t="shared" si="344"/>
        <v>-1.6666666666666667</v>
      </c>
      <c r="AG1449" s="46">
        <f>SUMIFS('[1]Raw Inventory'!D:D,'[1]Raw Inventory'!C:C,"GREATWALL",'[1]Raw Inventory'!B:B,A1449)</f>
        <v>1</v>
      </c>
      <c r="AH1449" s="46">
        <f>SUMIFS('[1]Raw Inventory'!D:D,'[1]Raw Inventory'!C:C,"DUARTE",'[1]Raw Inventory'!B:B,A1449)</f>
        <v>0</v>
      </c>
      <c r="AI1449" s="46"/>
      <c r="AJ1449" s="46"/>
      <c r="AK1449" s="43"/>
      <c r="AL1449" s="43"/>
      <c r="AM1449" s="43"/>
      <c r="AN1449" s="43"/>
      <c r="AO1449" s="43"/>
      <c r="AP1449" s="43"/>
      <c r="AQ1449" s="43"/>
      <c r="AR1449" s="43"/>
      <c r="AS1449" s="43"/>
      <c r="AT1449" s="43"/>
    </row>
    <row r="1450" spans="1:46">
      <c r="A1450" s="43" t="s">
        <v>63</v>
      </c>
      <c r="B1450" s="43" t="s">
        <v>110</v>
      </c>
      <c r="C1450" s="43" t="s">
        <v>109</v>
      </c>
      <c r="D1450" s="44" t="s">
        <v>254</v>
      </c>
      <c r="E1450" s="44">
        <v>7</v>
      </c>
      <c r="F1450" s="44" t="s">
        <v>2</v>
      </c>
      <c r="G1450" s="43" t="str">
        <f>IFERROR(VLOOKUP(A1450,'[1]MC Masterlist 2026-09-12'!$B:$M, 3, 0),"")</f>
        <v>HONDA</v>
      </c>
      <c r="H1450" s="45">
        <f>IFERROR(VLOOKUP(A1450,'[1]MC Masterlist 2026-09-12'!$B:$M, 6, 0),"")</f>
        <v>125150</v>
      </c>
      <c r="I1450" s="46">
        <v>0</v>
      </c>
      <c r="J1450" s="46">
        <v>1</v>
      </c>
      <c r="K1450" s="46">
        <v>2</v>
      </c>
      <c r="L1450" s="46">
        <f t="shared" si="330"/>
        <v>3</v>
      </c>
      <c r="M1450" s="46">
        <f t="shared" si="331"/>
        <v>1</v>
      </c>
      <c r="N1450" s="45">
        <f t="shared" si="332"/>
        <v>375450</v>
      </c>
      <c r="O1450" s="45">
        <f t="shared" si="333"/>
        <v>125150</v>
      </c>
      <c r="P1450" s="46">
        <f t="shared" si="334"/>
        <v>3.3333333333333333E-2</v>
      </c>
      <c r="Q1450" s="46"/>
      <c r="R1450" s="45">
        <f t="shared" si="335"/>
        <v>0</v>
      </c>
      <c r="S1450" s="46">
        <f t="shared" si="336"/>
        <v>0</v>
      </c>
      <c r="T1450" s="46">
        <f>IFERROR(VLOOKUP(A1450,'[1]Re-order'!$A:$Q,17,0),"")</f>
        <v>0</v>
      </c>
      <c r="U1450" s="46">
        <f>IFERROR(VLOOKUP(A1450,'[1]MC Masterlist 2026-09-12'!$B:$M, 10, 0),0)</f>
        <v>15</v>
      </c>
      <c r="V1450" s="46">
        <f>IFERROR(VLOOKUP(A1450,'[1]MC Masterlist 2026-09-12'!$B:$M, 11, 0),0)</f>
        <v>15</v>
      </c>
      <c r="W1450" s="46">
        <f t="shared" si="337"/>
        <v>30</v>
      </c>
      <c r="X1450" s="46">
        <f t="shared" si="338"/>
        <v>29.5</v>
      </c>
      <c r="Y1450" s="46">
        <f>IFERROR(IF(OR(C1450="AREA I",C1450="AREA V"),7,VLOOKUP(A1450,'[1]MC Masterlist 2026-09-12'!$B:$M, 12, 0)),0)</f>
        <v>30</v>
      </c>
      <c r="Z1450" s="46">
        <f t="shared" si="339"/>
        <v>0.5</v>
      </c>
      <c r="AA1450" s="46">
        <f t="shared" si="340"/>
        <v>1</v>
      </c>
      <c r="AB1450" s="46">
        <f t="shared" si="341"/>
        <v>0.98333333333333328</v>
      </c>
      <c r="AC1450" s="46">
        <f t="shared" si="342"/>
        <v>1</v>
      </c>
      <c r="AD1450" s="44" t="str">
        <f t="shared" si="343"/>
        <v>Stockout</v>
      </c>
      <c r="AE1450" s="44" t="str">
        <f>IFERROR(VLOOKUP(A1450,'[1]Re-order'!$A:$AA,27,0),"")</f>
        <v>Stockout</v>
      </c>
      <c r="AF1450" s="46">
        <f t="shared" si="344"/>
        <v>1</v>
      </c>
      <c r="AG1450" s="46">
        <f>SUMIFS('[1]Raw Inventory'!D:D,'[1]Raw Inventory'!C:C,"GREATWALL",'[1]Raw Inventory'!B:B,A1450)</f>
        <v>0</v>
      </c>
      <c r="AH1450" s="46">
        <f>SUMIFS('[1]Raw Inventory'!D:D,'[1]Raw Inventory'!C:C,"DUARTE",'[1]Raw Inventory'!B:B,A1450)</f>
        <v>0</v>
      </c>
      <c r="AI1450" s="46"/>
      <c r="AJ1450" s="46"/>
      <c r="AK1450" s="43"/>
      <c r="AL1450" s="43"/>
      <c r="AM1450" s="43"/>
      <c r="AN1450" s="43"/>
      <c r="AO1450" s="43"/>
      <c r="AP1450" s="43"/>
      <c r="AQ1450" s="43"/>
      <c r="AR1450" s="43"/>
      <c r="AS1450" s="43"/>
      <c r="AT1450" s="43"/>
    </row>
    <row r="1451" spans="1:46">
      <c r="A1451" s="43" t="s">
        <v>20</v>
      </c>
      <c r="B1451" s="43" t="s">
        <v>155</v>
      </c>
      <c r="C1451" s="43" t="s">
        <v>152</v>
      </c>
      <c r="D1451" s="44" t="s">
        <v>233</v>
      </c>
      <c r="E1451" s="44">
        <v>11</v>
      </c>
      <c r="F1451" s="44" t="s">
        <v>2</v>
      </c>
      <c r="G1451" s="43" t="str">
        <f>IFERROR(VLOOKUP(A1451,'[1]MC Masterlist 2026-09-12'!$B:$M, 3, 0),"")</f>
        <v>HONDA</v>
      </c>
      <c r="H1451" s="45">
        <f>IFERROR(VLOOKUP(A1451,'[1]MC Masterlist 2026-09-12'!$B:$M, 6, 0),"")</f>
        <v>69950</v>
      </c>
      <c r="I1451" s="46">
        <v>2</v>
      </c>
      <c r="J1451" s="46">
        <v>2</v>
      </c>
      <c r="K1451" s="46">
        <v>1</v>
      </c>
      <c r="L1451" s="46">
        <f t="shared" si="330"/>
        <v>5</v>
      </c>
      <c r="M1451" s="46">
        <f t="shared" si="331"/>
        <v>1.6666666666666667</v>
      </c>
      <c r="N1451" s="45">
        <f t="shared" si="332"/>
        <v>349750</v>
      </c>
      <c r="O1451" s="45">
        <f t="shared" si="333"/>
        <v>116583.33333333334</v>
      </c>
      <c r="P1451" s="46">
        <f t="shared" si="334"/>
        <v>5.5555555555555559E-2</v>
      </c>
      <c r="Q1451" s="46">
        <v>5</v>
      </c>
      <c r="R1451" s="45">
        <f t="shared" si="335"/>
        <v>349750</v>
      </c>
      <c r="S1451" s="46">
        <f t="shared" si="336"/>
        <v>89.999999999999986</v>
      </c>
      <c r="T1451" s="46">
        <f>IFERROR(VLOOKUP(A1451,'[1]Re-order'!$A:$Q,17,0),"")</f>
        <v>75.775862068965523</v>
      </c>
      <c r="U1451" s="46">
        <f>IFERROR(VLOOKUP(A1451,'[1]MC Masterlist 2026-09-12'!$B:$M, 10, 0),0)</f>
        <v>15</v>
      </c>
      <c r="V1451" s="46">
        <f>IFERROR(VLOOKUP(A1451,'[1]MC Masterlist 2026-09-12'!$B:$M, 11, 0),0)</f>
        <v>15</v>
      </c>
      <c r="W1451" s="46">
        <f t="shared" si="337"/>
        <v>30</v>
      </c>
      <c r="X1451" s="46">
        <f t="shared" si="338"/>
        <v>29.166666666666668</v>
      </c>
      <c r="Y1451" s="46">
        <f>IFERROR(IF(OR(C1451="AREA I",C1451="AREA V"),7,VLOOKUP(A1451,'[1]MC Masterlist 2026-09-12'!$B:$M, 12, 0)),0)</f>
        <v>30</v>
      </c>
      <c r="Z1451" s="46">
        <f t="shared" si="339"/>
        <v>0.83333333333333337</v>
      </c>
      <c r="AA1451" s="46">
        <f t="shared" si="340"/>
        <v>1.6666666666666667</v>
      </c>
      <c r="AB1451" s="46">
        <f t="shared" si="341"/>
        <v>1.6203703703703705</v>
      </c>
      <c r="AC1451" s="46">
        <f t="shared" si="342"/>
        <v>1.6666666666666667</v>
      </c>
      <c r="AD1451" s="44" t="str">
        <f t="shared" si="343"/>
        <v>Over</v>
      </c>
      <c r="AE1451" s="44" t="str">
        <f>IFERROR(VLOOKUP(A1451,'[1]Re-order'!$A:$AA,27,0),"")</f>
        <v/>
      </c>
      <c r="AF1451" s="46">
        <f t="shared" si="344"/>
        <v>-3.333333333333333</v>
      </c>
      <c r="AG1451" s="46">
        <f>SUMIFS('[1]Raw Inventory'!D:D,'[1]Raw Inventory'!C:C,"GREATWALL",'[1]Raw Inventory'!B:B,A1451)</f>
        <v>110</v>
      </c>
      <c r="AH1451" s="46">
        <f>SUMIFS('[1]Raw Inventory'!D:D,'[1]Raw Inventory'!C:C,"DUARTE",'[1]Raw Inventory'!B:B,A1451)</f>
        <v>0</v>
      </c>
      <c r="AI1451" s="46"/>
      <c r="AJ1451" s="46"/>
      <c r="AK1451" s="43"/>
      <c r="AL1451" s="43"/>
      <c r="AM1451" s="43"/>
      <c r="AN1451" s="43"/>
      <c r="AO1451" s="43"/>
      <c r="AP1451" s="43"/>
      <c r="AQ1451" s="43"/>
      <c r="AR1451" s="43"/>
      <c r="AS1451" s="43"/>
      <c r="AT1451" s="43"/>
    </row>
    <row r="1452" spans="1:46">
      <c r="A1452" s="43" t="s">
        <v>35</v>
      </c>
      <c r="B1452" s="43" t="s">
        <v>158</v>
      </c>
      <c r="C1452" s="43" t="s">
        <v>152</v>
      </c>
      <c r="D1452" s="44" t="s">
        <v>243</v>
      </c>
      <c r="E1452" s="44">
        <v>17</v>
      </c>
      <c r="F1452" s="44" t="s">
        <v>2</v>
      </c>
      <c r="G1452" s="43" t="str">
        <f>IFERROR(VLOOKUP(A1452,'[1]MC Masterlist 2026-09-12'!$B:$M, 3, 0),"")</f>
        <v>HONDA</v>
      </c>
      <c r="H1452" s="45">
        <f>IFERROR(VLOOKUP(A1452,'[1]MC Masterlist 2026-09-12'!$B:$M, 6, 0),"")</f>
        <v>57990</v>
      </c>
      <c r="I1452" s="46">
        <v>1</v>
      </c>
      <c r="J1452" s="46">
        <v>0</v>
      </c>
      <c r="K1452" s="46">
        <v>1</v>
      </c>
      <c r="L1452" s="46">
        <f t="shared" si="330"/>
        <v>2</v>
      </c>
      <c r="M1452" s="46">
        <f t="shared" si="331"/>
        <v>0.66666666666666663</v>
      </c>
      <c r="N1452" s="45">
        <f t="shared" si="332"/>
        <v>115980</v>
      </c>
      <c r="O1452" s="45">
        <f t="shared" si="333"/>
        <v>38660</v>
      </c>
      <c r="P1452" s="46">
        <f t="shared" si="334"/>
        <v>2.222222222222222E-2</v>
      </c>
      <c r="Q1452" s="46"/>
      <c r="R1452" s="45">
        <f t="shared" si="335"/>
        <v>0</v>
      </c>
      <c r="S1452" s="46">
        <f t="shared" si="336"/>
        <v>0</v>
      </c>
      <c r="T1452" s="46">
        <f>IFERROR(VLOOKUP(A1452,'[1]Re-order'!$A:$Q,17,0),"")</f>
        <v>68.275862068965523</v>
      </c>
      <c r="U1452" s="46">
        <f>IFERROR(VLOOKUP(A1452,'[1]MC Masterlist 2026-09-12'!$B:$M, 10, 0),0)</f>
        <v>15</v>
      </c>
      <c r="V1452" s="46">
        <f>IFERROR(VLOOKUP(A1452,'[1]MC Masterlist 2026-09-12'!$B:$M, 11, 0),0)</f>
        <v>15</v>
      </c>
      <c r="W1452" s="46">
        <f t="shared" si="337"/>
        <v>30</v>
      </c>
      <c r="X1452" s="46">
        <f t="shared" si="338"/>
        <v>29.666666666666668</v>
      </c>
      <c r="Y1452" s="46">
        <f>IFERROR(IF(OR(C1452="AREA I",C1452="AREA V"),7,VLOOKUP(A1452,'[1]MC Masterlist 2026-09-12'!$B:$M, 12, 0)),0)</f>
        <v>30</v>
      </c>
      <c r="Z1452" s="46">
        <f t="shared" si="339"/>
        <v>0.33333333333333331</v>
      </c>
      <c r="AA1452" s="46">
        <f t="shared" si="340"/>
        <v>0.66666666666666663</v>
      </c>
      <c r="AB1452" s="46">
        <f t="shared" si="341"/>
        <v>0.65925925925925921</v>
      </c>
      <c r="AC1452" s="46">
        <f t="shared" si="342"/>
        <v>0.66666666666666663</v>
      </c>
      <c r="AD1452" s="44" t="str">
        <f t="shared" si="343"/>
        <v>Stockout</v>
      </c>
      <c r="AE1452" s="44" t="str">
        <f>IFERROR(VLOOKUP(A1452,'[1]Re-order'!$A:$AA,27,0),"")</f>
        <v>Re-order</v>
      </c>
      <c r="AF1452" s="46">
        <f t="shared" si="344"/>
        <v>0.66666666666666663</v>
      </c>
      <c r="AG1452" s="46">
        <f>SUMIFS('[1]Raw Inventory'!D:D,'[1]Raw Inventory'!C:C,"GREATWALL",'[1]Raw Inventory'!B:B,A1452)</f>
        <v>29</v>
      </c>
      <c r="AH1452" s="46">
        <f>SUMIFS('[1]Raw Inventory'!D:D,'[1]Raw Inventory'!C:C,"DUARTE",'[1]Raw Inventory'!B:B,A1452)</f>
        <v>0</v>
      </c>
      <c r="AI1452" s="46"/>
      <c r="AJ1452" s="46"/>
      <c r="AK1452" s="43"/>
      <c r="AL1452" s="43"/>
      <c r="AM1452" s="43"/>
      <c r="AN1452" s="43"/>
      <c r="AO1452" s="43"/>
      <c r="AP1452" s="43"/>
      <c r="AQ1452" s="43"/>
      <c r="AR1452" s="43"/>
      <c r="AS1452" s="43"/>
      <c r="AT1452" s="43"/>
    </row>
    <row r="1453" spans="1:46">
      <c r="A1453" s="43" t="s">
        <v>47</v>
      </c>
      <c r="B1453" s="43" t="s">
        <v>5</v>
      </c>
      <c r="C1453" s="43" t="s">
        <v>118</v>
      </c>
      <c r="D1453" s="44" t="s">
        <v>256</v>
      </c>
      <c r="E1453" s="44">
        <v>14</v>
      </c>
      <c r="F1453" s="44" t="s">
        <v>2</v>
      </c>
      <c r="G1453" s="43" t="str">
        <f>IFERROR(VLOOKUP(A1453,'[1]MC Masterlist 2026-09-12'!$B:$M, 3, 0),"")</f>
        <v>YAMAHA</v>
      </c>
      <c r="H1453" s="45">
        <f>IFERROR(VLOOKUP(A1453,'[1]MC Masterlist 2026-09-12'!$B:$M, 6, 0),"")</f>
        <v>76167</v>
      </c>
      <c r="I1453" s="46">
        <v>0</v>
      </c>
      <c r="J1453" s="46">
        <v>1</v>
      </c>
      <c r="K1453" s="46">
        <v>1</v>
      </c>
      <c r="L1453" s="46">
        <f t="shared" si="330"/>
        <v>2</v>
      </c>
      <c r="M1453" s="46">
        <f t="shared" si="331"/>
        <v>0.66666666666666663</v>
      </c>
      <c r="N1453" s="45">
        <f t="shared" si="332"/>
        <v>152334</v>
      </c>
      <c r="O1453" s="45">
        <f t="shared" si="333"/>
        <v>50778</v>
      </c>
      <c r="P1453" s="46">
        <f t="shared" si="334"/>
        <v>2.222222222222222E-2</v>
      </c>
      <c r="Q1453" s="46">
        <v>3</v>
      </c>
      <c r="R1453" s="45">
        <f t="shared" si="335"/>
        <v>228501</v>
      </c>
      <c r="S1453" s="46">
        <f t="shared" si="336"/>
        <v>135</v>
      </c>
      <c r="T1453" s="46">
        <f>IFERROR(VLOOKUP(A1453,'[1]Re-order'!$A:$Q,17,0),"")</f>
        <v>86.666666666666671</v>
      </c>
      <c r="U1453" s="46">
        <f>IFERROR(VLOOKUP(A1453,'[1]MC Masterlist 2026-09-12'!$B:$M, 10, 0),0)</f>
        <v>15</v>
      </c>
      <c r="V1453" s="46">
        <f>IFERROR(VLOOKUP(A1453,'[1]MC Masterlist 2026-09-12'!$B:$M, 11, 0),0)</f>
        <v>15</v>
      </c>
      <c r="W1453" s="46">
        <f t="shared" si="337"/>
        <v>30</v>
      </c>
      <c r="X1453" s="46">
        <f t="shared" si="338"/>
        <v>29.666666666666668</v>
      </c>
      <c r="Y1453" s="46">
        <f>IFERROR(IF(OR(C1453="AREA I",C1453="AREA V"),7,VLOOKUP(A1453,'[1]MC Masterlist 2026-09-12'!$B:$M, 12, 0)),0)</f>
        <v>30</v>
      </c>
      <c r="Z1453" s="46">
        <f t="shared" si="339"/>
        <v>0.33333333333333331</v>
      </c>
      <c r="AA1453" s="46">
        <f t="shared" si="340"/>
        <v>0.66666666666666663</v>
      </c>
      <c r="AB1453" s="46">
        <f t="shared" si="341"/>
        <v>0.65925925925925921</v>
      </c>
      <c r="AC1453" s="46">
        <f t="shared" si="342"/>
        <v>0.66666666666666663</v>
      </c>
      <c r="AD1453" s="44" t="str">
        <f t="shared" si="343"/>
        <v>Over</v>
      </c>
      <c r="AE1453" s="44" t="str">
        <f>IFERROR(VLOOKUP(A1453,'[1]Re-order'!$A:$AA,27,0),"")</f>
        <v/>
      </c>
      <c r="AF1453" s="46">
        <f t="shared" si="344"/>
        <v>-2.3333333333333335</v>
      </c>
      <c r="AG1453" s="46">
        <f>SUMIFS('[1]Raw Inventory'!D:D,'[1]Raw Inventory'!C:C,"GREATWALL",'[1]Raw Inventory'!B:B,A1453)</f>
        <v>1</v>
      </c>
      <c r="AH1453" s="46">
        <f>SUMIFS('[1]Raw Inventory'!D:D,'[1]Raw Inventory'!C:C,"DUARTE",'[1]Raw Inventory'!B:B,A1453)</f>
        <v>0</v>
      </c>
      <c r="AI1453" s="46"/>
      <c r="AJ1453" s="46"/>
      <c r="AK1453" s="43"/>
      <c r="AL1453" s="43"/>
      <c r="AM1453" s="43"/>
      <c r="AN1453" s="43"/>
      <c r="AO1453" s="43"/>
      <c r="AP1453" s="43"/>
      <c r="AQ1453" s="43"/>
      <c r="AR1453" s="43"/>
      <c r="AS1453" s="43"/>
      <c r="AT1453" s="43"/>
    </row>
    <row r="1454" spans="1:46">
      <c r="A1454" s="43" t="s">
        <v>44</v>
      </c>
      <c r="B1454" s="43" t="s">
        <v>122</v>
      </c>
      <c r="C1454" s="43" t="s">
        <v>118</v>
      </c>
      <c r="D1454" s="44" t="s">
        <v>266</v>
      </c>
      <c r="E1454" s="44">
        <v>20</v>
      </c>
      <c r="F1454" s="44" t="s">
        <v>2</v>
      </c>
      <c r="G1454" s="43" t="str">
        <f>IFERROR(VLOOKUP(A1454,'[1]MC Masterlist 2026-09-12'!$B:$M, 3, 0),"")</f>
        <v>YAMAHA</v>
      </c>
      <c r="H1454" s="45">
        <f>IFERROR(VLOOKUP(A1454,'[1]MC Masterlist 2026-09-12'!$B:$M, 6, 0),"")</f>
        <v>165912</v>
      </c>
      <c r="I1454" s="46">
        <v>0</v>
      </c>
      <c r="J1454" s="46">
        <v>1</v>
      </c>
      <c r="K1454" s="46">
        <v>0</v>
      </c>
      <c r="L1454" s="46">
        <f t="shared" si="330"/>
        <v>1</v>
      </c>
      <c r="M1454" s="46">
        <f t="shared" si="331"/>
        <v>0.33333333333333331</v>
      </c>
      <c r="N1454" s="45">
        <f t="shared" si="332"/>
        <v>165912</v>
      </c>
      <c r="O1454" s="45">
        <f t="shared" si="333"/>
        <v>55304</v>
      </c>
      <c r="P1454" s="46">
        <f t="shared" si="334"/>
        <v>1.111111111111111E-2</v>
      </c>
      <c r="Q1454" s="46"/>
      <c r="R1454" s="45">
        <f t="shared" si="335"/>
        <v>0</v>
      </c>
      <c r="S1454" s="46">
        <f t="shared" si="336"/>
        <v>0</v>
      </c>
      <c r="T1454" s="46">
        <f>IFERROR(VLOOKUP(A1454,'[1]Re-order'!$A:$Q,17,0),"")</f>
        <v>10.588235294117649</v>
      </c>
      <c r="U1454" s="46">
        <f>IFERROR(VLOOKUP(A1454,'[1]MC Masterlist 2026-09-12'!$B:$M, 10, 0),0)</f>
        <v>15</v>
      </c>
      <c r="V1454" s="46">
        <f>IFERROR(VLOOKUP(A1454,'[1]MC Masterlist 2026-09-12'!$B:$M, 11, 0),0)</f>
        <v>15</v>
      </c>
      <c r="W1454" s="46">
        <f t="shared" si="337"/>
        <v>30</v>
      </c>
      <c r="X1454" s="46">
        <f t="shared" si="338"/>
        <v>29.833333333333332</v>
      </c>
      <c r="Y1454" s="46">
        <f>IFERROR(IF(OR(C1454="AREA I",C1454="AREA V"),7,VLOOKUP(A1454,'[1]MC Masterlist 2026-09-12'!$B:$M, 12, 0)),0)</f>
        <v>30</v>
      </c>
      <c r="Z1454" s="46">
        <f t="shared" si="339"/>
        <v>0.16666666666666666</v>
      </c>
      <c r="AA1454" s="46">
        <f t="shared" si="340"/>
        <v>0.33333333333333331</v>
      </c>
      <c r="AB1454" s="46">
        <f t="shared" si="341"/>
        <v>0.33148148148148143</v>
      </c>
      <c r="AC1454" s="46">
        <f t="shared" si="342"/>
        <v>0.33333333333333331</v>
      </c>
      <c r="AD1454" s="44" t="str">
        <f t="shared" si="343"/>
        <v>Stockout</v>
      </c>
      <c r="AE1454" s="44" t="str">
        <f>IFERROR(VLOOKUP(A1454,'[1]Re-order'!$A:$AA,27,0),"")</f>
        <v>Stockout</v>
      </c>
      <c r="AF1454" s="46">
        <f t="shared" si="344"/>
        <v>0.33333333333333331</v>
      </c>
      <c r="AG1454" s="46">
        <f>SUMIFS('[1]Raw Inventory'!D:D,'[1]Raw Inventory'!C:C,"GREATWALL",'[1]Raw Inventory'!B:B,A1454)</f>
        <v>0</v>
      </c>
      <c r="AH1454" s="46">
        <f>SUMIFS('[1]Raw Inventory'!D:D,'[1]Raw Inventory'!C:C,"DUARTE",'[1]Raw Inventory'!B:B,A1454)</f>
        <v>0</v>
      </c>
      <c r="AI1454" s="46"/>
      <c r="AJ1454" s="46"/>
      <c r="AK1454" s="43"/>
      <c r="AL1454" s="43"/>
      <c r="AM1454" s="43"/>
      <c r="AN1454" s="43"/>
      <c r="AO1454" s="43"/>
      <c r="AP1454" s="43"/>
      <c r="AQ1454" s="43"/>
      <c r="AR1454" s="43"/>
      <c r="AS1454" s="43"/>
      <c r="AT1454" s="43"/>
    </row>
    <row r="1455" spans="1:46">
      <c r="A1455" s="43" t="s">
        <v>48</v>
      </c>
      <c r="B1455" s="43" t="s">
        <v>145</v>
      </c>
      <c r="C1455" s="43" t="s">
        <v>137</v>
      </c>
      <c r="D1455" s="44" t="s">
        <v>267</v>
      </c>
      <c r="E1455" s="44">
        <v>28</v>
      </c>
      <c r="F1455" s="44" t="s">
        <v>3</v>
      </c>
      <c r="G1455" s="43" t="str">
        <f>IFERROR(VLOOKUP(A1455,'[1]MC Masterlist 2026-09-12'!$B:$M, 3, 0),"")</f>
        <v>SUZUKI</v>
      </c>
      <c r="H1455" s="45">
        <f>IFERROR(VLOOKUP(A1455,'[1]MC Masterlist 2026-09-12'!$B:$M, 6, 0),"")</f>
        <v>82687</v>
      </c>
      <c r="I1455" s="46">
        <v>0</v>
      </c>
      <c r="J1455" s="46">
        <v>0</v>
      </c>
      <c r="K1455" s="46">
        <v>0</v>
      </c>
      <c r="L1455" s="46">
        <f t="shared" si="330"/>
        <v>0</v>
      </c>
      <c r="M1455" s="46">
        <f t="shared" si="331"/>
        <v>0</v>
      </c>
      <c r="N1455" s="45">
        <f t="shared" si="332"/>
        <v>0</v>
      </c>
      <c r="O1455" s="45">
        <f t="shared" si="333"/>
        <v>0</v>
      </c>
      <c r="P1455" s="46">
        <f t="shared" si="334"/>
        <v>0</v>
      </c>
      <c r="Q1455" s="46">
        <v>1</v>
      </c>
      <c r="R1455" s="45">
        <f t="shared" si="335"/>
        <v>82687</v>
      </c>
      <c r="S1455" s="46">
        <f t="shared" si="336"/>
        <v>0</v>
      </c>
      <c r="T1455" s="46">
        <f>IFERROR(VLOOKUP(A1455,'[1]Re-order'!$A:$Q,17,0),"")</f>
        <v>303.75</v>
      </c>
      <c r="U1455" s="46">
        <f>IFERROR(VLOOKUP(A1455,'[1]MC Masterlist 2026-09-12'!$B:$M, 10, 0),0)</f>
        <v>15</v>
      </c>
      <c r="V1455" s="46">
        <f>IFERROR(VLOOKUP(A1455,'[1]MC Masterlist 2026-09-12'!$B:$M, 11, 0),0)</f>
        <v>15</v>
      </c>
      <c r="W1455" s="46">
        <f t="shared" si="337"/>
        <v>30</v>
      </c>
      <c r="X1455" s="46">
        <f t="shared" si="338"/>
        <v>7</v>
      </c>
      <c r="Y1455" s="46">
        <f>IFERROR(IF(OR(C1455="AREA I",C1455="AREA V"),7,VLOOKUP(A1455,'[1]MC Masterlist 2026-09-12'!$B:$M, 12, 0)),0)</f>
        <v>7</v>
      </c>
      <c r="Z1455" s="46">
        <f t="shared" si="339"/>
        <v>0</v>
      </c>
      <c r="AA1455" s="46">
        <f t="shared" si="340"/>
        <v>0</v>
      </c>
      <c r="AB1455" s="46">
        <f t="shared" si="341"/>
        <v>0</v>
      </c>
      <c r="AC1455" s="46">
        <f t="shared" si="342"/>
        <v>0</v>
      </c>
      <c r="AD1455" s="44" t="str">
        <f t="shared" si="343"/>
        <v>Over</v>
      </c>
      <c r="AE1455" s="44" t="str">
        <f>IFERROR(VLOOKUP(A1455,'[1]Re-order'!$A:$AA,27,0),"")</f>
        <v>Over</v>
      </c>
      <c r="AF1455" s="46">
        <f t="shared" si="344"/>
        <v>-1</v>
      </c>
      <c r="AG1455" s="46">
        <f>SUMIFS('[1]Raw Inventory'!D:D,'[1]Raw Inventory'!C:C,"GREATWALL",'[1]Raw Inventory'!B:B,A1455)</f>
        <v>10</v>
      </c>
      <c r="AH1455" s="46">
        <f>SUMIFS('[1]Raw Inventory'!D:D,'[1]Raw Inventory'!C:C,"DUARTE",'[1]Raw Inventory'!B:B,A1455)</f>
        <v>0</v>
      </c>
      <c r="AI1455" s="46"/>
      <c r="AJ1455" s="46"/>
      <c r="AK1455" s="43"/>
      <c r="AL1455" s="43"/>
      <c r="AM1455" s="43"/>
      <c r="AN1455" s="43"/>
      <c r="AO1455" s="43"/>
      <c r="AP1455" s="43"/>
      <c r="AQ1455" s="43"/>
      <c r="AR1455" s="43"/>
      <c r="AS1455" s="43"/>
      <c r="AT1455" s="43"/>
    </row>
    <row r="1456" spans="1:46">
      <c r="A1456" s="43" t="s">
        <v>37</v>
      </c>
      <c r="B1456" s="43" t="s">
        <v>145</v>
      </c>
      <c r="C1456" s="43" t="s">
        <v>137</v>
      </c>
      <c r="D1456" s="44" t="s">
        <v>246</v>
      </c>
      <c r="E1456" s="44">
        <v>13</v>
      </c>
      <c r="F1456" s="44" t="s">
        <v>2</v>
      </c>
      <c r="G1456" s="43" t="str">
        <f>IFERROR(VLOOKUP(A1456,'[1]MC Masterlist 2026-09-12'!$B:$M, 3, 0),"")</f>
        <v>HONDA</v>
      </c>
      <c r="H1456" s="45">
        <f>IFERROR(VLOOKUP(A1456,'[1]MC Masterlist 2026-09-12'!$B:$M, 6, 0),"")</f>
        <v>74550</v>
      </c>
      <c r="I1456" s="46">
        <v>1</v>
      </c>
      <c r="J1456" s="46">
        <v>1</v>
      </c>
      <c r="K1456" s="46">
        <v>1</v>
      </c>
      <c r="L1456" s="46">
        <f t="shared" si="330"/>
        <v>3</v>
      </c>
      <c r="M1456" s="46">
        <f t="shared" si="331"/>
        <v>1</v>
      </c>
      <c r="N1456" s="45">
        <f t="shared" si="332"/>
        <v>223650</v>
      </c>
      <c r="O1456" s="45">
        <f t="shared" si="333"/>
        <v>74550</v>
      </c>
      <c r="P1456" s="46">
        <f t="shared" si="334"/>
        <v>3.3333333333333333E-2</v>
      </c>
      <c r="Q1456" s="46"/>
      <c r="R1456" s="45">
        <f t="shared" si="335"/>
        <v>0</v>
      </c>
      <c r="S1456" s="46">
        <f t="shared" si="336"/>
        <v>0</v>
      </c>
      <c r="T1456" s="46">
        <f>IFERROR(VLOOKUP(A1456,'[1]Re-order'!$A:$Q,17,0),"")</f>
        <v>33.652173913043477</v>
      </c>
      <c r="U1456" s="46">
        <f>IFERROR(VLOOKUP(A1456,'[1]MC Masterlist 2026-09-12'!$B:$M, 10, 0),0)</f>
        <v>15</v>
      </c>
      <c r="V1456" s="46">
        <f>IFERROR(VLOOKUP(A1456,'[1]MC Masterlist 2026-09-12'!$B:$M, 11, 0),0)</f>
        <v>15</v>
      </c>
      <c r="W1456" s="46">
        <f t="shared" si="337"/>
        <v>30</v>
      </c>
      <c r="X1456" s="46">
        <f t="shared" si="338"/>
        <v>6.5</v>
      </c>
      <c r="Y1456" s="46">
        <f>IFERROR(IF(OR(C1456="AREA I",C1456="AREA V"),7,VLOOKUP(A1456,'[1]MC Masterlist 2026-09-12'!$B:$M, 12, 0)),0)</f>
        <v>7</v>
      </c>
      <c r="Z1456" s="46">
        <f t="shared" si="339"/>
        <v>0.5</v>
      </c>
      <c r="AA1456" s="46">
        <f t="shared" si="340"/>
        <v>1</v>
      </c>
      <c r="AB1456" s="46">
        <f t="shared" si="341"/>
        <v>0.21666666666666667</v>
      </c>
      <c r="AC1456" s="46">
        <f t="shared" si="342"/>
        <v>0.23333333333333334</v>
      </c>
      <c r="AD1456" s="44" t="str">
        <f t="shared" si="343"/>
        <v>Stockout</v>
      </c>
      <c r="AE1456" s="44" t="str">
        <f>IFERROR(VLOOKUP(A1456,'[1]Re-order'!$A:$AA,27,0),"")</f>
        <v>Re-order</v>
      </c>
      <c r="AF1456" s="46">
        <f t="shared" si="344"/>
        <v>0.23333333333333334</v>
      </c>
      <c r="AG1456" s="46">
        <f>SUMIFS('[1]Raw Inventory'!D:D,'[1]Raw Inventory'!C:C,"GREATWALL",'[1]Raw Inventory'!B:B,A1456)</f>
        <v>28</v>
      </c>
      <c r="AH1456" s="46">
        <f>SUMIFS('[1]Raw Inventory'!D:D,'[1]Raw Inventory'!C:C,"DUARTE",'[1]Raw Inventory'!B:B,A1456)</f>
        <v>0</v>
      </c>
      <c r="AI1456" s="46"/>
      <c r="AJ1456" s="46"/>
      <c r="AK1456" s="43"/>
      <c r="AL1456" s="43"/>
      <c r="AM1456" s="43"/>
      <c r="AN1456" s="43"/>
      <c r="AO1456" s="43"/>
      <c r="AP1456" s="43"/>
      <c r="AQ1456" s="43"/>
      <c r="AR1456" s="43"/>
      <c r="AS1456" s="43"/>
      <c r="AT1456" s="43"/>
    </row>
    <row r="1457" spans="1:46">
      <c r="A1457" s="43" t="s">
        <v>25</v>
      </c>
      <c r="B1457" s="43" t="s">
        <v>132</v>
      </c>
      <c r="C1457" s="43" t="s">
        <v>128</v>
      </c>
      <c r="D1457" s="44" t="s">
        <v>264</v>
      </c>
      <c r="E1457" s="44">
        <v>7</v>
      </c>
      <c r="F1457" s="44" t="s">
        <v>0</v>
      </c>
      <c r="G1457" s="43" t="str">
        <f>IFERROR(VLOOKUP(A1457,'[1]MC Masterlist 2026-09-12'!$B:$M, 3, 0),"")</f>
        <v>YAMAHA</v>
      </c>
      <c r="H1457" s="45">
        <f>IFERROR(VLOOKUP(A1457,'[1]MC Masterlist 2026-09-12'!$B:$M, 6, 0),"")</f>
        <v>124527</v>
      </c>
      <c r="I1457" s="46">
        <v>3</v>
      </c>
      <c r="J1457" s="46">
        <v>3</v>
      </c>
      <c r="K1457" s="46">
        <v>0</v>
      </c>
      <c r="L1457" s="46">
        <f t="shared" si="330"/>
        <v>6</v>
      </c>
      <c r="M1457" s="46">
        <f t="shared" si="331"/>
        <v>2</v>
      </c>
      <c r="N1457" s="45">
        <f t="shared" si="332"/>
        <v>747162</v>
      </c>
      <c r="O1457" s="45">
        <f t="shared" si="333"/>
        <v>249054</v>
      </c>
      <c r="P1457" s="46">
        <f t="shared" si="334"/>
        <v>6.6666666666666666E-2</v>
      </c>
      <c r="Q1457" s="46"/>
      <c r="R1457" s="45">
        <f t="shared" si="335"/>
        <v>0</v>
      </c>
      <c r="S1457" s="46">
        <f t="shared" si="336"/>
        <v>0</v>
      </c>
      <c r="T1457" s="46">
        <f>IFERROR(VLOOKUP(A1457,'[1]Re-order'!$A:$Q,17,0),"")</f>
        <v>5.1030927835051543</v>
      </c>
      <c r="U1457" s="46">
        <f>IFERROR(VLOOKUP(A1457,'[1]MC Masterlist 2026-09-12'!$B:$M, 10, 0),0)</f>
        <v>15</v>
      </c>
      <c r="V1457" s="46">
        <f>IFERROR(VLOOKUP(A1457,'[1]MC Masterlist 2026-09-12'!$B:$M, 11, 0),0)</f>
        <v>15</v>
      </c>
      <c r="W1457" s="46">
        <f t="shared" si="337"/>
        <v>30</v>
      </c>
      <c r="X1457" s="46">
        <f t="shared" si="338"/>
        <v>29</v>
      </c>
      <c r="Y1457" s="46">
        <f>IFERROR(IF(OR(C1457="AREA I",C1457="AREA V"),7,VLOOKUP(A1457,'[1]MC Masterlist 2026-09-12'!$B:$M, 12, 0)),0)</f>
        <v>30</v>
      </c>
      <c r="Z1457" s="46">
        <f t="shared" si="339"/>
        <v>1</v>
      </c>
      <c r="AA1457" s="46">
        <f t="shared" si="340"/>
        <v>2</v>
      </c>
      <c r="AB1457" s="46">
        <f t="shared" si="341"/>
        <v>1.9333333333333333</v>
      </c>
      <c r="AC1457" s="46">
        <f t="shared" si="342"/>
        <v>2</v>
      </c>
      <c r="AD1457" s="44" t="str">
        <f t="shared" si="343"/>
        <v>Stockout</v>
      </c>
      <c r="AE1457" s="44" t="str">
        <f>IFERROR(VLOOKUP(A1457,'[1]Re-order'!$A:$AA,27,0),"")</f>
        <v>Stockout</v>
      </c>
      <c r="AF1457" s="46">
        <f t="shared" si="344"/>
        <v>2</v>
      </c>
      <c r="AG1457" s="46">
        <f>SUMIFS('[1]Raw Inventory'!D:D,'[1]Raw Inventory'!C:C,"GREATWALL",'[1]Raw Inventory'!B:B,A1457)</f>
        <v>1</v>
      </c>
      <c r="AH1457" s="46">
        <f>SUMIFS('[1]Raw Inventory'!D:D,'[1]Raw Inventory'!C:C,"DUARTE",'[1]Raw Inventory'!B:B,A1457)</f>
        <v>0</v>
      </c>
      <c r="AI1457" s="46"/>
      <c r="AJ1457" s="46"/>
      <c r="AK1457" s="43"/>
      <c r="AL1457" s="43"/>
      <c r="AM1457" s="43"/>
      <c r="AN1457" s="43"/>
      <c r="AO1457" s="43"/>
      <c r="AP1457" s="43"/>
      <c r="AQ1457" s="43"/>
      <c r="AR1457" s="43"/>
      <c r="AS1457" s="43"/>
      <c r="AT1457" s="43"/>
    </row>
    <row r="1458" spans="1:46">
      <c r="A1458" s="43" t="s">
        <v>85</v>
      </c>
      <c r="B1458" s="43" t="s">
        <v>119</v>
      </c>
      <c r="C1458" s="43" t="s">
        <v>118</v>
      </c>
      <c r="D1458" s="44" t="s">
        <v>252</v>
      </c>
      <c r="E1458" s="44">
        <v>22</v>
      </c>
      <c r="F1458" s="44" t="s">
        <v>2</v>
      </c>
      <c r="G1458" s="43" t="str">
        <f>IFERROR(VLOOKUP(A1458,'[1]MC Masterlist 2026-09-12'!$B:$M, 3, 0),"")</f>
        <v>KAWASAKI</v>
      </c>
      <c r="H1458" s="45">
        <f>IFERROR(VLOOKUP(A1458,'[1]MC Masterlist 2026-09-12'!$B:$M, 6, 0),"")</f>
        <v>71560</v>
      </c>
      <c r="I1458" s="46">
        <v>2</v>
      </c>
      <c r="J1458" s="46">
        <v>0</v>
      </c>
      <c r="K1458" s="46">
        <v>0</v>
      </c>
      <c r="L1458" s="46">
        <f t="shared" si="330"/>
        <v>2</v>
      </c>
      <c r="M1458" s="46">
        <f t="shared" si="331"/>
        <v>0.66666666666666663</v>
      </c>
      <c r="N1458" s="45">
        <f t="shared" si="332"/>
        <v>143120</v>
      </c>
      <c r="O1458" s="45">
        <f t="shared" si="333"/>
        <v>47706.666666666664</v>
      </c>
      <c r="P1458" s="46">
        <f t="shared" si="334"/>
        <v>2.222222222222222E-2</v>
      </c>
      <c r="Q1458" s="46">
        <v>1</v>
      </c>
      <c r="R1458" s="45">
        <f t="shared" si="335"/>
        <v>71560</v>
      </c>
      <c r="S1458" s="46">
        <f t="shared" si="336"/>
        <v>45</v>
      </c>
      <c r="T1458" s="46">
        <f>IFERROR(VLOOKUP(A1458,'[1]Re-order'!$A:$Q,17,0),"")</f>
        <v>157.5</v>
      </c>
      <c r="U1458" s="46">
        <f>IFERROR(VLOOKUP(A1458,'[1]MC Masterlist 2026-09-12'!$B:$M, 10, 0),0)</f>
        <v>15</v>
      </c>
      <c r="V1458" s="46">
        <f>IFERROR(VLOOKUP(A1458,'[1]MC Masterlist 2026-09-12'!$B:$M, 11, 0),0)</f>
        <v>15</v>
      </c>
      <c r="W1458" s="46">
        <f t="shared" si="337"/>
        <v>30</v>
      </c>
      <c r="X1458" s="46">
        <f t="shared" si="338"/>
        <v>29.666666666666668</v>
      </c>
      <c r="Y1458" s="46">
        <f>IFERROR(IF(OR(C1458="AREA I",C1458="AREA V"),7,VLOOKUP(A1458,'[1]MC Masterlist 2026-09-12'!$B:$M, 12, 0)),0)</f>
        <v>30</v>
      </c>
      <c r="Z1458" s="46">
        <f t="shared" si="339"/>
        <v>0.33333333333333331</v>
      </c>
      <c r="AA1458" s="46">
        <f t="shared" si="340"/>
        <v>0.66666666666666663</v>
      </c>
      <c r="AB1458" s="46">
        <f t="shared" si="341"/>
        <v>0.65925925925925921</v>
      </c>
      <c r="AC1458" s="46">
        <f t="shared" si="342"/>
        <v>0.66666666666666663</v>
      </c>
      <c r="AD1458" s="44" t="str">
        <f t="shared" si="343"/>
        <v>Over</v>
      </c>
      <c r="AE1458" s="44" t="str">
        <f>IFERROR(VLOOKUP(A1458,'[1]Re-order'!$A:$AA,27,0),"")</f>
        <v>Over</v>
      </c>
      <c r="AF1458" s="46">
        <f t="shared" si="344"/>
        <v>-0.33333333333333337</v>
      </c>
      <c r="AG1458" s="46">
        <f>SUMIFS('[1]Raw Inventory'!D:D,'[1]Raw Inventory'!C:C,"GREATWALL",'[1]Raw Inventory'!B:B,A1458)</f>
        <v>0</v>
      </c>
      <c r="AH1458" s="46">
        <f>SUMIFS('[1]Raw Inventory'!D:D,'[1]Raw Inventory'!C:C,"DUARTE",'[1]Raw Inventory'!B:B,A1458)</f>
        <v>0</v>
      </c>
      <c r="AI1458" s="46"/>
      <c r="AJ1458" s="46"/>
      <c r="AK1458" s="43"/>
      <c r="AL1458" s="43"/>
      <c r="AM1458" s="43"/>
      <c r="AN1458" s="43"/>
      <c r="AO1458" s="43"/>
      <c r="AP1458" s="43"/>
      <c r="AQ1458" s="43"/>
      <c r="AR1458" s="43"/>
      <c r="AS1458" s="43"/>
      <c r="AT1458" s="43"/>
    </row>
    <row r="1459" spans="1:46">
      <c r="A1459" s="43" t="s">
        <v>88</v>
      </c>
      <c r="B1459" s="43" t="s">
        <v>162</v>
      </c>
      <c r="C1459" s="43" t="s">
        <v>159</v>
      </c>
      <c r="D1459" s="44" t="s">
        <v>253</v>
      </c>
      <c r="E1459" s="44">
        <v>26</v>
      </c>
      <c r="F1459" s="44" t="s">
        <v>3</v>
      </c>
      <c r="G1459" s="43" t="str">
        <f>IFERROR(VLOOKUP(A1459,'[1]MC Masterlist 2026-09-12'!$B:$M, 3, 0),"")</f>
        <v>YAMAHA</v>
      </c>
      <c r="H1459" s="45">
        <f>IFERROR(VLOOKUP(A1459,'[1]MC Masterlist 2026-09-12'!$B:$M, 6, 0),"")</f>
        <v>74772</v>
      </c>
      <c r="I1459" s="46">
        <v>0</v>
      </c>
      <c r="J1459" s="46">
        <v>0</v>
      </c>
      <c r="K1459" s="46">
        <v>0</v>
      </c>
      <c r="L1459" s="46">
        <f t="shared" si="330"/>
        <v>0</v>
      </c>
      <c r="M1459" s="46">
        <f t="shared" si="331"/>
        <v>0</v>
      </c>
      <c r="N1459" s="45">
        <f t="shared" si="332"/>
        <v>0</v>
      </c>
      <c r="O1459" s="45">
        <f t="shared" si="333"/>
        <v>0</v>
      </c>
      <c r="P1459" s="46">
        <f t="shared" si="334"/>
        <v>0</v>
      </c>
      <c r="Q1459" s="46">
        <v>1</v>
      </c>
      <c r="R1459" s="45">
        <f t="shared" si="335"/>
        <v>74772</v>
      </c>
      <c r="S1459" s="46">
        <f t="shared" si="336"/>
        <v>0</v>
      </c>
      <c r="T1459" s="46">
        <f>IFERROR(VLOOKUP(A1459,'[1]Re-order'!$A:$Q,17,0),"")</f>
        <v>90</v>
      </c>
      <c r="U1459" s="46">
        <f>IFERROR(VLOOKUP(A1459,'[1]MC Masterlist 2026-09-12'!$B:$M, 10, 0),0)</f>
        <v>15</v>
      </c>
      <c r="V1459" s="46">
        <f>IFERROR(VLOOKUP(A1459,'[1]MC Masterlist 2026-09-12'!$B:$M, 11, 0),0)</f>
        <v>15</v>
      </c>
      <c r="W1459" s="46">
        <f t="shared" si="337"/>
        <v>30</v>
      </c>
      <c r="X1459" s="46">
        <f t="shared" si="338"/>
        <v>30</v>
      </c>
      <c r="Y1459" s="46">
        <f>IFERROR(IF(OR(C1459="AREA I",C1459="AREA V"),7,VLOOKUP(A1459,'[1]MC Masterlist 2026-09-12'!$B:$M, 12, 0)),0)</f>
        <v>30</v>
      </c>
      <c r="Z1459" s="46">
        <f t="shared" si="339"/>
        <v>0</v>
      </c>
      <c r="AA1459" s="46">
        <f t="shared" si="340"/>
        <v>0</v>
      </c>
      <c r="AB1459" s="46">
        <f t="shared" si="341"/>
        <v>0</v>
      </c>
      <c r="AC1459" s="46">
        <f t="shared" si="342"/>
        <v>0</v>
      </c>
      <c r="AD1459" s="44" t="str">
        <f t="shared" si="343"/>
        <v>Over</v>
      </c>
      <c r="AE1459" s="44" t="str">
        <f>IFERROR(VLOOKUP(A1459,'[1]Re-order'!$A:$AA,27,0),"")</f>
        <v/>
      </c>
      <c r="AF1459" s="46">
        <f t="shared" si="344"/>
        <v>-1</v>
      </c>
      <c r="AG1459" s="46">
        <f>SUMIFS('[1]Raw Inventory'!D:D,'[1]Raw Inventory'!C:C,"GREATWALL",'[1]Raw Inventory'!B:B,A1459)</f>
        <v>0</v>
      </c>
      <c r="AH1459" s="46">
        <f>SUMIFS('[1]Raw Inventory'!D:D,'[1]Raw Inventory'!C:C,"DUARTE",'[1]Raw Inventory'!B:B,A1459)</f>
        <v>0</v>
      </c>
      <c r="AI1459" s="46"/>
      <c r="AJ1459" s="46"/>
      <c r="AK1459" s="43"/>
      <c r="AL1459" s="43"/>
      <c r="AM1459" s="43"/>
      <c r="AN1459" s="43"/>
      <c r="AO1459" s="43"/>
      <c r="AP1459" s="43"/>
      <c r="AQ1459" s="43"/>
      <c r="AR1459" s="43"/>
      <c r="AS1459" s="43"/>
      <c r="AT1459" s="43"/>
    </row>
    <row r="1460" spans="1:46">
      <c r="A1460" s="43" t="s">
        <v>24</v>
      </c>
      <c r="B1460" s="43" t="s">
        <v>29</v>
      </c>
      <c r="C1460" s="43" t="s">
        <v>1</v>
      </c>
      <c r="D1460" s="44" t="s">
        <v>238</v>
      </c>
      <c r="E1460" s="44">
        <v>2</v>
      </c>
      <c r="F1460" s="44" t="s">
        <v>0</v>
      </c>
      <c r="G1460" s="43" t="str">
        <f>IFERROR(VLOOKUP(A1460,'[1]MC Masterlist 2026-09-12'!$B:$M, 3, 0),"")</f>
        <v>KAWASAKI</v>
      </c>
      <c r="H1460" s="45">
        <f>IFERROR(VLOOKUP(A1460,'[1]MC Masterlist 2026-09-12'!$B:$M, 6, 0),"")</f>
        <v>131626</v>
      </c>
      <c r="I1460" s="46">
        <v>9</v>
      </c>
      <c r="J1460" s="46">
        <v>7</v>
      </c>
      <c r="K1460" s="46">
        <v>6</v>
      </c>
      <c r="L1460" s="46">
        <f t="shared" si="330"/>
        <v>22</v>
      </c>
      <c r="M1460" s="46">
        <f t="shared" si="331"/>
        <v>7.333333333333333</v>
      </c>
      <c r="N1460" s="45">
        <f t="shared" si="332"/>
        <v>2895772</v>
      </c>
      <c r="O1460" s="45">
        <f t="shared" si="333"/>
        <v>965257.33333333326</v>
      </c>
      <c r="P1460" s="46">
        <f t="shared" si="334"/>
        <v>0.24444444444444444</v>
      </c>
      <c r="Q1460" s="46">
        <v>2</v>
      </c>
      <c r="R1460" s="45">
        <f t="shared" si="335"/>
        <v>263252</v>
      </c>
      <c r="S1460" s="46">
        <f t="shared" si="336"/>
        <v>8.1818181818181834</v>
      </c>
      <c r="T1460" s="46">
        <f>IFERROR(VLOOKUP(A1460,'[1]Re-order'!$A:$Q,17,0),"")</f>
        <v>40.677966101694913</v>
      </c>
      <c r="U1460" s="46">
        <f>IFERROR(VLOOKUP(A1460,'[1]MC Masterlist 2026-09-12'!$B:$M, 10, 0),0)</f>
        <v>15</v>
      </c>
      <c r="V1460" s="46">
        <f>IFERROR(VLOOKUP(A1460,'[1]MC Masterlist 2026-09-12'!$B:$M, 11, 0),0)</f>
        <v>15</v>
      </c>
      <c r="W1460" s="46">
        <f t="shared" si="337"/>
        <v>30</v>
      </c>
      <c r="X1460" s="46">
        <f t="shared" si="338"/>
        <v>3.3333333333333335</v>
      </c>
      <c r="Y1460" s="46">
        <f>IFERROR(IF(OR(C1460="AREA I",C1460="AREA V"),7,VLOOKUP(A1460,'[1]MC Masterlist 2026-09-12'!$B:$M, 12, 0)),0)</f>
        <v>7</v>
      </c>
      <c r="Z1460" s="46">
        <f t="shared" si="339"/>
        <v>3.6666666666666665</v>
      </c>
      <c r="AA1460" s="46">
        <f t="shared" si="340"/>
        <v>7.333333333333333</v>
      </c>
      <c r="AB1460" s="46">
        <f t="shared" si="341"/>
        <v>0.81481481481481477</v>
      </c>
      <c r="AC1460" s="46">
        <f t="shared" si="342"/>
        <v>1.711111111111111</v>
      </c>
      <c r="AD1460" s="44" t="str">
        <f t="shared" si="343"/>
        <v>Over</v>
      </c>
      <c r="AE1460" s="44" t="str">
        <f>IFERROR(VLOOKUP(A1460,'[1]Re-order'!$A:$AA,27,0),"")</f>
        <v>Re-order</v>
      </c>
      <c r="AF1460" s="46">
        <f t="shared" si="344"/>
        <v>-0.28888888888888897</v>
      </c>
      <c r="AG1460" s="46">
        <f>SUMIFS('[1]Raw Inventory'!D:D,'[1]Raw Inventory'!C:C,"GREATWALL",'[1]Raw Inventory'!B:B,A1460)</f>
        <v>12</v>
      </c>
      <c r="AH1460" s="46">
        <f>SUMIFS('[1]Raw Inventory'!D:D,'[1]Raw Inventory'!C:C,"DUARTE",'[1]Raw Inventory'!B:B,A1460)</f>
        <v>0</v>
      </c>
      <c r="AI1460" s="46"/>
      <c r="AJ1460" s="46"/>
      <c r="AK1460" s="43"/>
      <c r="AL1460" s="43"/>
      <c r="AM1460" s="43"/>
      <c r="AN1460" s="43"/>
      <c r="AO1460" s="43"/>
      <c r="AP1460" s="43"/>
      <c r="AQ1460" s="43"/>
      <c r="AR1460" s="43"/>
      <c r="AS1460" s="43"/>
      <c r="AT1460" s="43"/>
    </row>
    <row r="1461" spans="1:46">
      <c r="A1461" s="43" t="s">
        <v>67</v>
      </c>
      <c r="B1461" s="43" t="s">
        <v>138</v>
      </c>
      <c r="C1461" s="43" t="s">
        <v>137</v>
      </c>
      <c r="D1461" s="44" t="s">
        <v>272</v>
      </c>
      <c r="E1461" s="44">
        <v>35</v>
      </c>
      <c r="F1461" s="44" t="s">
        <v>3</v>
      </c>
      <c r="G1461" s="43" t="str">
        <f>IFERROR(VLOOKUP(A1461,'[1]MC Masterlist 2026-09-12'!$B:$M, 3, 0),"")</f>
        <v>YAMAHA</v>
      </c>
      <c r="H1461" s="45">
        <f>IFERROR(VLOOKUP(A1461,'[1]MC Masterlist 2026-09-12'!$B:$M, 6, 0),"")</f>
        <v>86397</v>
      </c>
      <c r="I1461" s="46">
        <v>0</v>
      </c>
      <c r="J1461" s="46">
        <v>0</v>
      </c>
      <c r="K1461" s="46">
        <v>0</v>
      </c>
      <c r="L1461" s="46">
        <f t="shared" si="330"/>
        <v>0</v>
      </c>
      <c r="M1461" s="46">
        <f t="shared" si="331"/>
        <v>0</v>
      </c>
      <c r="N1461" s="45">
        <f t="shared" si="332"/>
        <v>0</v>
      </c>
      <c r="O1461" s="45">
        <f t="shared" si="333"/>
        <v>0</v>
      </c>
      <c r="P1461" s="46">
        <f t="shared" si="334"/>
        <v>0</v>
      </c>
      <c r="Q1461" s="46">
        <v>1</v>
      </c>
      <c r="R1461" s="45">
        <f t="shared" si="335"/>
        <v>86397</v>
      </c>
      <c r="S1461" s="46">
        <f t="shared" si="336"/>
        <v>0</v>
      </c>
      <c r="T1461" s="46">
        <f>IFERROR(VLOOKUP(A1461,'[1]Re-order'!$A:$Q,17,0),"")</f>
        <v>73.63636363636364</v>
      </c>
      <c r="U1461" s="46">
        <f>IFERROR(VLOOKUP(A1461,'[1]MC Masterlist 2026-09-12'!$B:$M, 10, 0),0)</f>
        <v>15</v>
      </c>
      <c r="V1461" s="46">
        <f>IFERROR(VLOOKUP(A1461,'[1]MC Masterlist 2026-09-12'!$B:$M, 11, 0),0)</f>
        <v>15</v>
      </c>
      <c r="W1461" s="46">
        <f t="shared" si="337"/>
        <v>30</v>
      </c>
      <c r="X1461" s="46">
        <f t="shared" si="338"/>
        <v>7</v>
      </c>
      <c r="Y1461" s="46">
        <f>IFERROR(IF(OR(C1461="AREA I",C1461="AREA V"),7,VLOOKUP(A1461,'[1]MC Masterlist 2026-09-12'!$B:$M, 12, 0)),0)</f>
        <v>7</v>
      </c>
      <c r="Z1461" s="46">
        <f t="shared" si="339"/>
        <v>0</v>
      </c>
      <c r="AA1461" s="46">
        <f t="shared" si="340"/>
        <v>0</v>
      </c>
      <c r="AB1461" s="46">
        <f t="shared" si="341"/>
        <v>0</v>
      </c>
      <c r="AC1461" s="46">
        <f t="shared" si="342"/>
        <v>0</v>
      </c>
      <c r="AD1461" s="44" t="str">
        <f t="shared" si="343"/>
        <v>Over</v>
      </c>
      <c r="AE1461" s="44" t="str">
        <f>IFERROR(VLOOKUP(A1461,'[1]Re-order'!$A:$AA,27,0),"")</f>
        <v>Re-order</v>
      </c>
      <c r="AF1461" s="46">
        <f t="shared" si="344"/>
        <v>-1</v>
      </c>
      <c r="AG1461" s="46">
        <f>SUMIFS('[1]Raw Inventory'!D:D,'[1]Raw Inventory'!C:C,"GREATWALL",'[1]Raw Inventory'!B:B,A1461)</f>
        <v>1</v>
      </c>
      <c r="AH1461" s="46">
        <f>SUMIFS('[1]Raw Inventory'!D:D,'[1]Raw Inventory'!C:C,"DUARTE",'[1]Raw Inventory'!B:B,A1461)</f>
        <v>0</v>
      </c>
      <c r="AI1461" s="46"/>
      <c r="AJ1461" s="46"/>
      <c r="AK1461" s="43"/>
      <c r="AL1461" s="43"/>
      <c r="AM1461" s="43"/>
      <c r="AN1461" s="43"/>
      <c r="AO1461" s="43"/>
      <c r="AP1461" s="43"/>
      <c r="AQ1461" s="43"/>
      <c r="AR1461" s="43"/>
      <c r="AS1461" s="43"/>
      <c r="AT1461" s="43"/>
    </row>
    <row r="1462" spans="1:46">
      <c r="A1462" s="43" t="s">
        <v>46</v>
      </c>
      <c r="B1462" s="43" t="s">
        <v>139</v>
      </c>
      <c r="C1462" s="43" t="s">
        <v>137</v>
      </c>
      <c r="D1462" s="44" t="s">
        <v>268</v>
      </c>
      <c r="E1462" s="44">
        <v>17</v>
      </c>
      <c r="F1462" s="44" t="s">
        <v>3</v>
      </c>
      <c r="G1462" s="43" t="str">
        <f>IFERROR(VLOOKUP(A1462,'[1]MC Masterlist 2026-09-12'!$B:$M, 3, 0),"")</f>
        <v>HONDA</v>
      </c>
      <c r="H1462" s="45">
        <f>IFERROR(VLOOKUP(A1462,'[1]MC Masterlist 2026-09-12'!$B:$M, 6, 0),"")</f>
        <v>73630</v>
      </c>
      <c r="I1462" s="46">
        <v>2</v>
      </c>
      <c r="J1462" s="46">
        <v>1</v>
      </c>
      <c r="K1462" s="46">
        <v>4</v>
      </c>
      <c r="L1462" s="46">
        <f t="shared" si="330"/>
        <v>7</v>
      </c>
      <c r="M1462" s="46">
        <f t="shared" si="331"/>
        <v>2.3333333333333335</v>
      </c>
      <c r="N1462" s="45">
        <f t="shared" si="332"/>
        <v>515410</v>
      </c>
      <c r="O1462" s="45">
        <f t="shared" si="333"/>
        <v>171803.33333333334</v>
      </c>
      <c r="P1462" s="46">
        <f t="shared" si="334"/>
        <v>7.7777777777777779E-2</v>
      </c>
      <c r="Q1462" s="46">
        <v>2</v>
      </c>
      <c r="R1462" s="45">
        <f t="shared" si="335"/>
        <v>147260</v>
      </c>
      <c r="S1462" s="46">
        <f t="shared" si="336"/>
        <v>25.714285714285712</v>
      </c>
      <c r="T1462" s="46">
        <f>IFERROR(VLOOKUP(A1462,'[1]Re-order'!$A:$Q,17,0),"")</f>
        <v>51</v>
      </c>
      <c r="U1462" s="46">
        <f>IFERROR(VLOOKUP(A1462,'[1]MC Masterlist 2026-09-12'!$B:$M, 10, 0),0)</f>
        <v>15</v>
      </c>
      <c r="V1462" s="46">
        <f>IFERROR(VLOOKUP(A1462,'[1]MC Masterlist 2026-09-12'!$B:$M, 11, 0),0)</f>
        <v>15</v>
      </c>
      <c r="W1462" s="46">
        <f t="shared" si="337"/>
        <v>30</v>
      </c>
      <c r="X1462" s="46">
        <f t="shared" si="338"/>
        <v>5.833333333333333</v>
      </c>
      <c r="Y1462" s="46">
        <f>IFERROR(IF(OR(C1462="AREA I",C1462="AREA V"),7,VLOOKUP(A1462,'[1]MC Masterlist 2026-09-12'!$B:$M, 12, 0)),0)</f>
        <v>7</v>
      </c>
      <c r="Z1462" s="46">
        <f t="shared" si="339"/>
        <v>1.1666666666666667</v>
      </c>
      <c r="AA1462" s="46">
        <f t="shared" si="340"/>
        <v>2.3333333333333335</v>
      </c>
      <c r="AB1462" s="46">
        <f t="shared" si="341"/>
        <v>0.45370370370370366</v>
      </c>
      <c r="AC1462" s="46">
        <f t="shared" si="342"/>
        <v>0.54444444444444451</v>
      </c>
      <c r="AD1462" s="44" t="str">
        <f t="shared" si="343"/>
        <v>Over</v>
      </c>
      <c r="AE1462" s="44" t="str">
        <f>IFERROR(VLOOKUP(A1462,'[1]Re-order'!$A:$AA,27,0),"")</f>
        <v>Re-order</v>
      </c>
      <c r="AF1462" s="46">
        <f t="shared" si="344"/>
        <v>-1.4555555555555555</v>
      </c>
      <c r="AG1462" s="46">
        <f>SUMIFS('[1]Raw Inventory'!D:D,'[1]Raw Inventory'!C:C,"GREATWALL",'[1]Raw Inventory'!B:B,A1462)</f>
        <v>0</v>
      </c>
      <c r="AH1462" s="46">
        <f>SUMIFS('[1]Raw Inventory'!D:D,'[1]Raw Inventory'!C:C,"DUARTE",'[1]Raw Inventory'!B:B,A1462)</f>
        <v>0</v>
      </c>
      <c r="AI1462" s="46"/>
      <c r="AJ1462" s="46"/>
      <c r="AK1462" s="43"/>
      <c r="AL1462" s="43"/>
      <c r="AM1462" s="43"/>
      <c r="AN1462" s="43"/>
      <c r="AO1462" s="43"/>
      <c r="AP1462" s="43"/>
      <c r="AQ1462" s="43"/>
      <c r="AR1462" s="43"/>
      <c r="AS1462" s="43"/>
      <c r="AT1462" s="43"/>
    </row>
    <row r="1463" spans="1:46">
      <c r="A1463" s="43" t="s">
        <v>28</v>
      </c>
      <c r="B1463" s="43" t="s">
        <v>143</v>
      </c>
      <c r="C1463" s="43" t="s">
        <v>137</v>
      </c>
      <c r="D1463" s="44" t="s">
        <v>233</v>
      </c>
      <c r="E1463" s="44">
        <v>10</v>
      </c>
      <c r="F1463" s="44" t="s">
        <v>2</v>
      </c>
      <c r="G1463" s="43" t="str">
        <f>IFERROR(VLOOKUP(A1463,'[1]MC Masterlist 2026-09-12'!$B:$M, 3, 0),"")</f>
        <v>YAMAHA</v>
      </c>
      <c r="H1463" s="45">
        <f>IFERROR(VLOOKUP(A1463,'[1]MC Masterlist 2026-09-12'!$B:$M, 6, 0),"")</f>
        <v>147312</v>
      </c>
      <c r="I1463" s="46">
        <v>3</v>
      </c>
      <c r="J1463" s="46">
        <v>0</v>
      </c>
      <c r="K1463" s="46">
        <v>0</v>
      </c>
      <c r="L1463" s="46">
        <f t="shared" si="330"/>
        <v>3</v>
      </c>
      <c r="M1463" s="46">
        <f t="shared" si="331"/>
        <v>1</v>
      </c>
      <c r="N1463" s="45">
        <f t="shared" si="332"/>
        <v>441936</v>
      </c>
      <c r="O1463" s="45">
        <f t="shared" si="333"/>
        <v>147312</v>
      </c>
      <c r="P1463" s="46">
        <f t="shared" si="334"/>
        <v>3.3333333333333333E-2</v>
      </c>
      <c r="Q1463" s="46"/>
      <c r="R1463" s="45">
        <f t="shared" si="335"/>
        <v>0</v>
      </c>
      <c r="S1463" s="46">
        <f t="shared" si="336"/>
        <v>0</v>
      </c>
      <c r="T1463" s="46">
        <f>IFERROR(VLOOKUP(A1463,'[1]Re-order'!$A:$Q,17,0),"")</f>
        <v>8.2417582417582427</v>
      </c>
      <c r="U1463" s="46">
        <f>IFERROR(VLOOKUP(A1463,'[1]MC Masterlist 2026-09-12'!$B:$M, 10, 0),0)</f>
        <v>15</v>
      </c>
      <c r="V1463" s="46">
        <f>IFERROR(VLOOKUP(A1463,'[1]MC Masterlist 2026-09-12'!$B:$M, 11, 0),0)</f>
        <v>15</v>
      </c>
      <c r="W1463" s="46">
        <f t="shared" si="337"/>
        <v>30</v>
      </c>
      <c r="X1463" s="46">
        <f t="shared" si="338"/>
        <v>6.5</v>
      </c>
      <c r="Y1463" s="46">
        <f>IFERROR(IF(OR(C1463="AREA I",C1463="AREA V"),7,VLOOKUP(A1463,'[1]MC Masterlist 2026-09-12'!$B:$M, 12, 0)),0)</f>
        <v>7</v>
      </c>
      <c r="Z1463" s="46">
        <f t="shared" si="339"/>
        <v>0.5</v>
      </c>
      <c r="AA1463" s="46">
        <f t="shared" si="340"/>
        <v>1</v>
      </c>
      <c r="AB1463" s="46">
        <f t="shared" si="341"/>
        <v>0.21666666666666667</v>
      </c>
      <c r="AC1463" s="46">
        <f t="shared" si="342"/>
        <v>0.23333333333333334</v>
      </c>
      <c r="AD1463" s="44" t="str">
        <f t="shared" si="343"/>
        <v>Stockout</v>
      </c>
      <c r="AE1463" s="44" t="str">
        <f>IFERROR(VLOOKUP(A1463,'[1]Re-order'!$A:$AA,27,0),"")</f>
        <v>Stockout</v>
      </c>
      <c r="AF1463" s="46">
        <f t="shared" si="344"/>
        <v>0.23333333333333334</v>
      </c>
      <c r="AG1463" s="46">
        <f>SUMIFS('[1]Raw Inventory'!D:D,'[1]Raw Inventory'!C:C,"GREATWALL",'[1]Raw Inventory'!B:B,A1463)</f>
        <v>0</v>
      </c>
      <c r="AH1463" s="46">
        <f>SUMIFS('[1]Raw Inventory'!D:D,'[1]Raw Inventory'!C:C,"DUARTE",'[1]Raw Inventory'!B:B,A1463)</f>
        <v>0</v>
      </c>
      <c r="AI1463" s="46"/>
      <c r="AJ1463" s="46"/>
      <c r="AK1463" s="43"/>
      <c r="AL1463" s="43"/>
      <c r="AM1463" s="43"/>
      <c r="AN1463" s="43"/>
      <c r="AO1463" s="43"/>
      <c r="AP1463" s="43"/>
      <c r="AQ1463" s="43"/>
      <c r="AR1463" s="43"/>
      <c r="AS1463" s="43"/>
      <c r="AT1463" s="43"/>
    </row>
    <row r="1464" spans="1:46">
      <c r="A1464" s="43" t="s">
        <v>28</v>
      </c>
      <c r="B1464" s="43" t="s">
        <v>154</v>
      </c>
      <c r="C1464" s="43" t="s">
        <v>152</v>
      </c>
      <c r="D1464" s="44" t="s">
        <v>240</v>
      </c>
      <c r="E1464" s="44">
        <v>10</v>
      </c>
      <c r="F1464" s="44" t="s">
        <v>2</v>
      </c>
      <c r="G1464" s="43" t="str">
        <f>IFERROR(VLOOKUP(A1464,'[1]MC Masterlist 2026-09-12'!$B:$M, 3, 0),"")</f>
        <v>YAMAHA</v>
      </c>
      <c r="H1464" s="45">
        <f>IFERROR(VLOOKUP(A1464,'[1]MC Masterlist 2026-09-12'!$B:$M, 6, 0),"")</f>
        <v>147312</v>
      </c>
      <c r="I1464" s="46">
        <v>1</v>
      </c>
      <c r="J1464" s="46">
        <v>1</v>
      </c>
      <c r="K1464" s="46">
        <v>0</v>
      </c>
      <c r="L1464" s="46">
        <f t="shared" si="330"/>
        <v>2</v>
      </c>
      <c r="M1464" s="46">
        <f t="shared" si="331"/>
        <v>0.66666666666666663</v>
      </c>
      <c r="N1464" s="45">
        <f t="shared" si="332"/>
        <v>294624</v>
      </c>
      <c r="O1464" s="45">
        <f t="shared" si="333"/>
        <v>98208</v>
      </c>
      <c r="P1464" s="46">
        <f t="shared" si="334"/>
        <v>2.222222222222222E-2</v>
      </c>
      <c r="Q1464" s="46">
        <v>1</v>
      </c>
      <c r="R1464" s="45">
        <f t="shared" si="335"/>
        <v>147312</v>
      </c>
      <c r="S1464" s="46">
        <f t="shared" si="336"/>
        <v>45</v>
      </c>
      <c r="T1464" s="46">
        <f>IFERROR(VLOOKUP(A1464,'[1]Re-order'!$A:$Q,17,0),"")</f>
        <v>8.2417582417582427</v>
      </c>
      <c r="U1464" s="46">
        <f>IFERROR(VLOOKUP(A1464,'[1]MC Masterlist 2026-09-12'!$B:$M, 10, 0),0)</f>
        <v>15</v>
      </c>
      <c r="V1464" s="46">
        <f>IFERROR(VLOOKUP(A1464,'[1]MC Masterlist 2026-09-12'!$B:$M, 11, 0),0)</f>
        <v>15</v>
      </c>
      <c r="W1464" s="46">
        <f t="shared" si="337"/>
        <v>30</v>
      </c>
      <c r="X1464" s="46">
        <f t="shared" si="338"/>
        <v>29.666666666666668</v>
      </c>
      <c r="Y1464" s="46">
        <f>IFERROR(IF(OR(C1464="AREA I",C1464="AREA V"),7,VLOOKUP(A1464,'[1]MC Masterlist 2026-09-12'!$B:$M, 12, 0)),0)</f>
        <v>30</v>
      </c>
      <c r="Z1464" s="46">
        <f t="shared" si="339"/>
        <v>0.33333333333333331</v>
      </c>
      <c r="AA1464" s="46">
        <f t="shared" si="340"/>
        <v>0.66666666666666663</v>
      </c>
      <c r="AB1464" s="46">
        <f t="shared" si="341"/>
        <v>0.65925925925925921</v>
      </c>
      <c r="AC1464" s="46">
        <f t="shared" si="342"/>
        <v>0.66666666666666663</v>
      </c>
      <c r="AD1464" s="44" t="str">
        <f t="shared" si="343"/>
        <v>Over</v>
      </c>
      <c r="AE1464" s="44" t="str">
        <f>IFERROR(VLOOKUP(A1464,'[1]Re-order'!$A:$AA,27,0),"")</f>
        <v>Stockout</v>
      </c>
      <c r="AF1464" s="46">
        <f t="shared" si="344"/>
        <v>-0.33333333333333337</v>
      </c>
      <c r="AG1464" s="46">
        <f>SUMIFS('[1]Raw Inventory'!D:D,'[1]Raw Inventory'!C:C,"GREATWALL",'[1]Raw Inventory'!B:B,A1464)</f>
        <v>0</v>
      </c>
      <c r="AH1464" s="46">
        <f>SUMIFS('[1]Raw Inventory'!D:D,'[1]Raw Inventory'!C:C,"DUARTE",'[1]Raw Inventory'!B:B,A1464)</f>
        <v>0</v>
      </c>
      <c r="AI1464" s="46"/>
      <c r="AJ1464" s="46"/>
      <c r="AK1464" s="43"/>
      <c r="AL1464" s="43"/>
      <c r="AM1464" s="43"/>
      <c r="AN1464" s="43"/>
      <c r="AO1464" s="43"/>
      <c r="AP1464" s="43"/>
      <c r="AQ1464" s="43"/>
      <c r="AR1464" s="43"/>
      <c r="AS1464" s="43"/>
      <c r="AT1464" s="43"/>
    </row>
    <row r="1465" spans="1:46">
      <c r="A1465" s="43" t="s">
        <v>48</v>
      </c>
      <c r="B1465" s="43" t="s">
        <v>94</v>
      </c>
      <c r="C1465" s="43" t="s">
        <v>90</v>
      </c>
      <c r="D1465" s="44" t="s">
        <v>266</v>
      </c>
      <c r="E1465" s="44">
        <v>18</v>
      </c>
      <c r="F1465" s="44" t="s">
        <v>2</v>
      </c>
      <c r="G1465" s="43" t="str">
        <f>IFERROR(VLOOKUP(A1465,'[1]MC Masterlist 2026-09-12'!$B:$M, 3, 0),"")</f>
        <v>SUZUKI</v>
      </c>
      <c r="H1465" s="45">
        <f>IFERROR(VLOOKUP(A1465,'[1]MC Masterlist 2026-09-12'!$B:$M, 6, 0),"")</f>
        <v>82687</v>
      </c>
      <c r="I1465" s="46">
        <v>0</v>
      </c>
      <c r="J1465" s="46">
        <v>1</v>
      </c>
      <c r="K1465" s="46">
        <v>0</v>
      </c>
      <c r="L1465" s="46">
        <f t="shared" si="330"/>
        <v>1</v>
      </c>
      <c r="M1465" s="46">
        <f t="shared" si="331"/>
        <v>0.33333333333333331</v>
      </c>
      <c r="N1465" s="45">
        <f t="shared" si="332"/>
        <v>82687</v>
      </c>
      <c r="O1465" s="45">
        <f t="shared" si="333"/>
        <v>27562.333333333332</v>
      </c>
      <c r="P1465" s="46">
        <f t="shared" si="334"/>
        <v>1.111111111111111E-2</v>
      </c>
      <c r="Q1465" s="46"/>
      <c r="R1465" s="45">
        <f t="shared" si="335"/>
        <v>0</v>
      </c>
      <c r="S1465" s="46">
        <f t="shared" si="336"/>
        <v>0</v>
      </c>
      <c r="T1465" s="46">
        <f>IFERROR(VLOOKUP(A1465,'[1]Re-order'!$A:$Q,17,0),"")</f>
        <v>303.75</v>
      </c>
      <c r="U1465" s="46">
        <f>IFERROR(VLOOKUP(A1465,'[1]MC Masterlist 2026-09-12'!$B:$M, 10, 0),0)</f>
        <v>15</v>
      </c>
      <c r="V1465" s="46">
        <f>IFERROR(VLOOKUP(A1465,'[1]MC Masterlist 2026-09-12'!$B:$M, 11, 0),0)</f>
        <v>15</v>
      </c>
      <c r="W1465" s="46">
        <f t="shared" si="337"/>
        <v>30</v>
      </c>
      <c r="X1465" s="46">
        <f t="shared" si="338"/>
        <v>29.833333333333332</v>
      </c>
      <c r="Y1465" s="46">
        <f>IFERROR(IF(OR(C1465="AREA I",C1465="AREA V"),7,VLOOKUP(A1465,'[1]MC Masterlist 2026-09-12'!$B:$M, 12, 0)),0)</f>
        <v>30</v>
      </c>
      <c r="Z1465" s="46">
        <f t="shared" si="339"/>
        <v>0.16666666666666666</v>
      </c>
      <c r="AA1465" s="46">
        <f t="shared" si="340"/>
        <v>0.33333333333333331</v>
      </c>
      <c r="AB1465" s="46">
        <f t="shared" si="341"/>
        <v>0.33148148148148143</v>
      </c>
      <c r="AC1465" s="46">
        <f t="shared" si="342"/>
        <v>0.33333333333333331</v>
      </c>
      <c r="AD1465" s="44" t="str">
        <f t="shared" si="343"/>
        <v>Stockout</v>
      </c>
      <c r="AE1465" s="44" t="str">
        <f>IFERROR(VLOOKUP(A1465,'[1]Re-order'!$A:$AA,27,0),"")</f>
        <v>Over</v>
      </c>
      <c r="AF1465" s="46">
        <f t="shared" si="344"/>
        <v>0.33333333333333331</v>
      </c>
      <c r="AG1465" s="46">
        <f>SUMIFS('[1]Raw Inventory'!D:D,'[1]Raw Inventory'!C:C,"GREATWALL",'[1]Raw Inventory'!B:B,A1465)</f>
        <v>10</v>
      </c>
      <c r="AH1465" s="46">
        <f>SUMIFS('[1]Raw Inventory'!D:D,'[1]Raw Inventory'!C:C,"DUARTE",'[1]Raw Inventory'!B:B,A1465)</f>
        <v>0</v>
      </c>
      <c r="AI1465" s="46"/>
      <c r="AJ1465" s="46"/>
      <c r="AK1465" s="43"/>
      <c r="AL1465" s="43"/>
      <c r="AM1465" s="43"/>
      <c r="AN1465" s="43"/>
      <c r="AO1465" s="43"/>
      <c r="AP1465" s="43"/>
      <c r="AQ1465" s="43"/>
      <c r="AR1465" s="43"/>
      <c r="AS1465" s="43"/>
      <c r="AT1465" s="43"/>
    </row>
    <row r="1466" spans="1:46">
      <c r="A1466" s="43" t="s">
        <v>55</v>
      </c>
      <c r="B1466" s="43" t="s">
        <v>139</v>
      </c>
      <c r="C1466" s="43" t="s">
        <v>137</v>
      </c>
      <c r="D1466" s="44" t="s">
        <v>231</v>
      </c>
      <c r="E1466" s="44">
        <v>25</v>
      </c>
      <c r="F1466" s="44" t="s">
        <v>3</v>
      </c>
      <c r="G1466" s="43" t="str">
        <f>IFERROR(VLOOKUP(A1466,'[1]MC Masterlist 2026-09-12'!$B:$M, 3, 0),"")</f>
        <v>HONDA</v>
      </c>
      <c r="H1466" s="45">
        <f>IFERROR(VLOOKUP(A1466,'[1]MC Masterlist 2026-09-12'!$B:$M, 6, 0),"")</f>
        <v>284880</v>
      </c>
      <c r="I1466" s="46">
        <v>0</v>
      </c>
      <c r="J1466" s="46">
        <v>0</v>
      </c>
      <c r="K1466" s="46">
        <v>0</v>
      </c>
      <c r="L1466" s="46">
        <f t="shared" si="330"/>
        <v>0</v>
      </c>
      <c r="M1466" s="46">
        <f t="shared" si="331"/>
        <v>0</v>
      </c>
      <c r="N1466" s="45">
        <f t="shared" si="332"/>
        <v>0</v>
      </c>
      <c r="O1466" s="45">
        <f t="shared" si="333"/>
        <v>0</v>
      </c>
      <c r="P1466" s="46">
        <f t="shared" si="334"/>
        <v>0</v>
      </c>
      <c r="Q1466" s="46">
        <v>1</v>
      </c>
      <c r="R1466" s="45">
        <f t="shared" si="335"/>
        <v>284880</v>
      </c>
      <c r="S1466" s="46">
        <f t="shared" si="336"/>
        <v>0</v>
      </c>
      <c r="T1466" s="46">
        <f>IFERROR(VLOOKUP(A1466,'[1]Re-order'!$A:$Q,17,0),"")</f>
        <v>720</v>
      </c>
      <c r="U1466" s="46">
        <f>IFERROR(VLOOKUP(A1466,'[1]MC Masterlist 2026-09-12'!$B:$M, 10, 0),0)</f>
        <v>15</v>
      </c>
      <c r="V1466" s="46">
        <f>IFERROR(VLOOKUP(A1466,'[1]MC Masterlist 2026-09-12'!$B:$M, 11, 0),0)</f>
        <v>15</v>
      </c>
      <c r="W1466" s="46">
        <f t="shared" si="337"/>
        <v>30</v>
      </c>
      <c r="X1466" s="46">
        <f t="shared" si="338"/>
        <v>7</v>
      </c>
      <c r="Y1466" s="46">
        <f>IFERROR(IF(OR(C1466="AREA I",C1466="AREA V"),7,VLOOKUP(A1466,'[1]MC Masterlist 2026-09-12'!$B:$M, 12, 0)),0)</f>
        <v>7</v>
      </c>
      <c r="Z1466" s="46">
        <f t="shared" si="339"/>
        <v>0</v>
      </c>
      <c r="AA1466" s="46">
        <f t="shared" si="340"/>
        <v>0</v>
      </c>
      <c r="AB1466" s="46">
        <f t="shared" si="341"/>
        <v>0</v>
      </c>
      <c r="AC1466" s="46">
        <f t="shared" si="342"/>
        <v>0</v>
      </c>
      <c r="AD1466" s="44" t="str">
        <f t="shared" si="343"/>
        <v>Over</v>
      </c>
      <c r="AE1466" s="44" t="str">
        <f>IFERROR(VLOOKUP(A1466,'[1]Re-order'!$A:$AA,27,0),"")</f>
        <v>Over</v>
      </c>
      <c r="AF1466" s="46">
        <f t="shared" si="344"/>
        <v>-1</v>
      </c>
      <c r="AG1466" s="46">
        <f>SUMIFS('[1]Raw Inventory'!D:D,'[1]Raw Inventory'!C:C,"GREATWALL",'[1]Raw Inventory'!B:B,A1466)</f>
        <v>0</v>
      </c>
      <c r="AH1466" s="46">
        <f>SUMIFS('[1]Raw Inventory'!D:D,'[1]Raw Inventory'!C:C,"DUARTE",'[1]Raw Inventory'!B:B,A1466)</f>
        <v>0</v>
      </c>
      <c r="AI1466" s="46"/>
      <c r="AJ1466" s="46"/>
      <c r="AK1466" s="43"/>
      <c r="AL1466" s="43"/>
      <c r="AM1466" s="43"/>
      <c r="AN1466" s="43"/>
      <c r="AO1466" s="43"/>
      <c r="AP1466" s="43"/>
      <c r="AQ1466" s="43"/>
      <c r="AR1466" s="43"/>
      <c r="AS1466" s="43"/>
      <c r="AT1466" s="43"/>
    </row>
    <row r="1467" spans="1:46">
      <c r="A1467" s="43" t="s">
        <v>28</v>
      </c>
      <c r="B1467" s="43" t="s">
        <v>122</v>
      </c>
      <c r="C1467" s="43" t="s">
        <v>118</v>
      </c>
      <c r="D1467" s="44" t="s">
        <v>238</v>
      </c>
      <c r="E1467" s="44">
        <v>2</v>
      </c>
      <c r="F1467" s="44" t="s">
        <v>0</v>
      </c>
      <c r="G1467" s="43" t="str">
        <f>IFERROR(VLOOKUP(A1467,'[1]MC Masterlist 2026-09-12'!$B:$M, 3, 0),"")</f>
        <v>YAMAHA</v>
      </c>
      <c r="H1467" s="45">
        <f>IFERROR(VLOOKUP(A1467,'[1]MC Masterlist 2026-09-12'!$B:$M, 6, 0),"")</f>
        <v>147312</v>
      </c>
      <c r="I1467" s="46">
        <v>1</v>
      </c>
      <c r="J1467" s="46">
        <v>3</v>
      </c>
      <c r="K1467" s="46">
        <v>6</v>
      </c>
      <c r="L1467" s="46">
        <f t="shared" si="330"/>
        <v>10</v>
      </c>
      <c r="M1467" s="46">
        <f t="shared" si="331"/>
        <v>3.3333333333333335</v>
      </c>
      <c r="N1467" s="45">
        <f t="shared" si="332"/>
        <v>1473120</v>
      </c>
      <c r="O1467" s="45">
        <f t="shared" si="333"/>
        <v>491040</v>
      </c>
      <c r="P1467" s="46">
        <f t="shared" si="334"/>
        <v>0.11111111111111112</v>
      </c>
      <c r="Q1467" s="46"/>
      <c r="R1467" s="45">
        <f t="shared" si="335"/>
        <v>0</v>
      </c>
      <c r="S1467" s="46">
        <f t="shared" si="336"/>
        <v>0</v>
      </c>
      <c r="T1467" s="46">
        <f>IFERROR(VLOOKUP(A1467,'[1]Re-order'!$A:$Q,17,0),"")</f>
        <v>8.2417582417582427</v>
      </c>
      <c r="U1467" s="46">
        <f>IFERROR(VLOOKUP(A1467,'[1]MC Masterlist 2026-09-12'!$B:$M, 10, 0),0)</f>
        <v>15</v>
      </c>
      <c r="V1467" s="46">
        <f>IFERROR(VLOOKUP(A1467,'[1]MC Masterlist 2026-09-12'!$B:$M, 11, 0),0)</f>
        <v>15</v>
      </c>
      <c r="W1467" s="46">
        <f t="shared" si="337"/>
        <v>30</v>
      </c>
      <c r="X1467" s="46">
        <f t="shared" si="338"/>
        <v>28.333333333333332</v>
      </c>
      <c r="Y1467" s="46">
        <f>IFERROR(IF(OR(C1467="AREA I",C1467="AREA V"),7,VLOOKUP(A1467,'[1]MC Masterlist 2026-09-12'!$B:$M, 12, 0)),0)</f>
        <v>30</v>
      </c>
      <c r="Z1467" s="46">
        <f t="shared" si="339"/>
        <v>1.6666666666666667</v>
      </c>
      <c r="AA1467" s="46">
        <f t="shared" si="340"/>
        <v>3.3333333333333335</v>
      </c>
      <c r="AB1467" s="46">
        <f t="shared" si="341"/>
        <v>3.1481481481481484</v>
      </c>
      <c r="AC1467" s="46">
        <f t="shared" si="342"/>
        <v>3.3333333333333335</v>
      </c>
      <c r="AD1467" s="44" t="str">
        <f t="shared" si="343"/>
        <v>Stockout</v>
      </c>
      <c r="AE1467" s="44" t="str">
        <f>IFERROR(VLOOKUP(A1467,'[1]Re-order'!$A:$AA,27,0),"")</f>
        <v>Stockout</v>
      </c>
      <c r="AF1467" s="46">
        <f t="shared" si="344"/>
        <v>3.3333333333333335</v>
      </c>
      <c r="AG1467" s="46">
        <f>SUMIFS('[1]Raw Inventory'!D:D,'[1]Raw Inventory'!C:C,"GREATWALL",'[1]Raw Inventory'!B:B,A1467)</f>
        <v>0</v>
      </c>
      <c r="AH1467" s="46">
        <f>SUMIFS('[1]Raw Inventory'!D:D,'[1]Raw Inventory'!C:C,"DUARTE",'[1]Raw Inventory'!B:B,A1467)</f>
        <v>0</v>
      </c>
      <c r="AI1467" s="46"/>
      <c r="AJ1467" s="46"/>
      <c r="AK1467" s="43"/>
      <c r="AL1467" s="43"/>
      <c r="AM1467" s="43"/>
      <c r="AN1467" s="43"/>
      <c r="AO1467" s="43"/>
      <c r="AP1467" s="43"/>
      <c r="AQ1467" s="43"/>
      <c r="AR1467" s="43"/>
      <c r="AS1467" s="43"/>
      <c r="AT1467" s="43"/>
    </row>
    <row r="1468" spans="1:46">
      <c r="A1468" s="43" t="s">
        <v>62</v>
      </c>
      <c r="B1468" s="43" t="s">
        <v>94</v>
      </c>
      <c r="C1468" s="43" t="s">
        <v>90</v>
      </c>
      <c r="D1468" s="44" t="s">
        <v>256</v>
      </c>
      <c r="E1468" s="44">
        <v>14</v>
      </c>
      <c r="F1468" s="44" t="s">
        <v>2</v>
      </c>
      <c r="G1468" s="43" t="str">
        <f>IFERROR(VLOOKUP(A1468,'[1]MC Masterlist 2026-09-12'!$B:$M, 3, 0),"")</f>
        <v>HONDA</v>
      </c>
      <c r="H1468" s="45">
        <f>IFERROR(VLOOKUP(A1468,'[1]MC Masterlist 2026-09-12'!$B:$M, 6, 0),"")</f>
        <v>123310</v>
      </c>
      <c r="I1468" s="46">
        <v>1</v>
      </c>
      <c r="J1468" s="46">
        <v>0</v>
      </c>
      <c r="K1468" s="46">
        <v>0</v>
      </c>
      <c r="L1468" s="46">
        <f t="shared" si="330"/>
        <v>1</v>
      </c>
      <c r="M1468" s="46">
        <f t="shared" si="331"/>
        <v>0.33333333333333331</v>
      </c>
      <c r="N1468" s="45">
        <f t="shared" si="332"/>
        <v>123310</v>
      </c>
      <c r="O1468" s="45">
        <f t="shared" si="333"/>
        <v>41103.333333333328</v>
      </c>
      <c r="P1468" s="46">
        <f t="shared" si="334"/>
        <v>1.111111111111111E-2</v>
      </c>
      <c r="Q1468" s="46"/>
      <c r="R1468" s="45">
        <f t="shared" si="335"/>
        <v>0</v>
      </c>
      <c r="S1468" s="46">
        <f t="shared" si="336"/>
        <v>0</v>
      </c>
      <c r="T1468" s="46">
        <f>IFERROR(VLOOKUP(A1468,'[1]Re-order'!$A:$Q,17,0),"")</f>
        <v>165</v>
      </c>
      <c r="U1468" s="46">
        <f>IFERROR(VLOOKUP(A1468,'[1]MC Masterlist 2026-09-12'!$B:$M, 10, 0),0)</f>
        <v>15</v>
      </c>
      <c r="V1468" s="46">
        <f>IFERROR(VLOOKUP(A1468,'[1]MC Masterlist 2026-09-12'!$B:$M, 11, 0),0)</f>
        <v>15</v>
      </c>
      <c r="W1468" s="46">
        <f t="shared" si="337"/>
        <v>30</v>
      </c>
      <c r="X1468" s="46">
        <f t="shared" si="338"/>
        <v>29.833333333333332</v>
      </c>
      <c r="Y1468" s="46">
        <f>IFERROR(IF(OR(C1468="AREA I",C1468="AREA V"),7,VLOOKUP(A1468,'[1]MC Masterlist 2026-09-12'!$B:$M, 12, 0)),0)</f>
        <v>30</v>
      </c>
      <c r="Z1468" s="46">
        <f t="shared" si="339"/>
        <v>0.16666666666666666</v>
      </c>
      <c r="AA1468" s="46">
        <f t="shared" si="340"/>
        <v>0.33333333333333331</v>
      </c>
      <c r="AB1468" s="46">
        <f t="shared" si="341"/>
        <v>0.33148148148148143</v>
      </c>
      <c r="AC1468" s="46">
        <f t="shared" si="342"/>
        <v>0.33333333333333331</v>
      </c>
      <c r="AD1468" s="44" t="str">
        <f t="shared" si="343"/>
        <v>Stockout</v>
      </c>
      <c r="AE1468" s="44" t="str">
        <f>IFERROR(VLOOKUP(A1468,'[1]Re-order'!$A:$AA,27,0),"")</f>
        <v>Over</v>
      </c>
      <c r="AF1468" s="46">
        <f t="shared" si="344"/>
        <v>0.33333333333333331</v>
      </c>
      <c r="AG1468" s="46">
        <f>SUMIFS('[1]Raw Inventory'!D:D,'[1]Raw Inventory'!C:C,"GREATWALL",'[1]Raw Inventory'!B:B,A1468)</f>
        <v>4</v>
      </c>
      <c r="AH1468" s="46">
        <f>SUMIFS('[1]Raw Inventory'!D:D,'[1]Raw Inventory'!C:C,"DUARTE",'[1]Raw Inventory'!B:B,A1468)</f>
        <v>0</v>
      </c>
      <c r="AI1468" s="46"/>
      <c r="AJ1468" s="46"/>
      <c r="AK1468" s="43"/>
      <c r="AL1468" s="43"/>
      <c r="AM1468" s="43"/>
      <c r="AN1468" s="43"/>
      <c r="AO1468" s="43"/>
      <c r="AP1468" s="43"/>
      <c r="AQ1468" s="43"/>
      <c r="AR1468" s="43"/>
      <c r="AS1468" s="43"/>
      <c r="AT1468" s="43"/>
    </row>
    <row r="1469" spans="1:46">
      <c r="A1469" s="43" t="s">
        <v>43</v>
      </c>
      <c r="B1469" s="43" t="s">
        <v>29</v>
      </c>
      <c r="C1469" s="43" t="s">
        <v>1</v>
      </c>
      <c r="D1469" s="44" t="s">
        <v>256</v>
      </c>
      <c r="E1469" s="44">
        <v>15</v>
      </c>
      <c r="F1469" s="44" t="s">
        <v>2</v>
      </c>
      <c r="G1469" s="43" t="str">
        <f>IFERROR(VLOOKUP(A1469,'[1]MC Masterlist 2026-09-12'!$B:$M, 3, 0),"")</f>
        <v>YAMAHA</v>
      </c>
      <c r="H1469" s="45">
        <f>IFERROR(VLOOKUP(A1469,'[1]MC Masterlist 2026-09-12'!$B:$M, 6, 0),"")</f>
        <v>70587</v>
      </c>
      <c r="I1469" s="46">
        <v>1</v>
      </c>
      <c r="J1469" s="46">
        <v>2</v>
      </c>
      <c r="K1469" s="46">
        <v>2</v>
      </c>
      <c r="L1469" s="46">
        <f t="shared" si="330"/>
        <v>5</v>
      </c>
      <c r="M1469" s="46">
        <f t="shared" si="331"/>
        <v>1.6666666666666667</v>
      </c>
      <c r="N1469" s="45">
        <f t="shared" si="332"/>
        <v>352935</v>
      </c>
      <c r="O1469" s="45">
        <f t="shared" si="333"/>
        <v>117645</v>
      </c>
      <c r="P1469" s="46">
        <f t="shared" si="334"/>
        <v>5.5555555555555559E-2</v>
      </c>
      <c r="Q1469" s="46"/>
      <c r="R1469" s="45">
        <f t="shared" si="335"/>
        <v>0</v>
      </c>
      <c r="S1469" s="46">
        <f t="shared" si="336"/>
        <v>0</v>
      </c>
      <c r="T1469" s="46">
        <f>IFERROR(VLOOKUP(A1469,'[1]Re-order'!$A:$Q,17,0),"")</f>
        <v>43.578947368421055</v>
      </c>
      <c r="U1469" s="46">
        <f>IFERROR(VLOOKUP(A1469,'[1]MC Masterlist 2026-09-12'!$B:$M, 10, 0),0)</f>
        <v>15</v>
      </c>
      <c r="V1469" s="46">
        <f>IFERROR(VLOOKUP(A1469,'[1]MC Masterlist 2026-09-12'!$B:$M, 11, 0),0)</f>
        <v>15</v>
      </c>
      <c r="W1469" s="46">
        <f t="shared" si="337"/>
        <v>30</v>
      </c>
      <c r="X1469" s="46">
        <f t="shared" si="338"/>
        <v>6.166666666666667</v>
      </c>
      <c r="Y1469" s="46">
        <f>IFERROR(IF(OR(C1469="AREA I",C1469="AREA V"),7,VLOOKUP(A1469,'[1]MC Masterlist 2026-09-12'!$B:$M, 12, 0)),0)</f>
        <v>7</v>
      </c>
      <c r="Z1469" s="46">
        <f t="shared" si="339"/>
        <v>0.83333333333333337</v>
      </c>
      <c r="AA1469" s="46">
        <f t="shared" si="340"/>
        <v>1.6666666666666667</v>
      </c>
      <c r="AB1469" s="46">
        <f t="shared" si="341"/>
        <v>0.34259259259259262</v>
      </c>
      <c r="AC1469" s="46">
        <f t="shared" si="342"/>
        <v>0.3888888888888889</v>
      </c>
      <c r="AD1469" s="44" t="str">
        <f t="shared" si="343"/>
        <v>Stockout</v>
      </c>
      <c r="AE1469" s="44" t="str">
        <f>IFERROR(VLOOKUP(A1469,'[1]Re-order'!$A:$AA,27,0),"")</f>
        <v>Re-order</v>
      </c>
      <c r="AF1469" s="46">
        <f t="shared" si="344"/>
        <v>0.3888888888888889</v>
      </c>
      <c r="AG1469" s="46">
        <f>SUMIFS('[1]Raw Inventory'!D:D,'[1]Raw Inventory'!C:C,"GREATWALL",'[1]Raw Inventory'!B:B,A1469)</f>
        <v>0</v>
      </c>
      <c r="AH1469" s="46">
        <f>SUMIFS('[1]Raw Inventory'!D:D,'[1]Raw Inventory'!C:C,"DUARTE",'[1]Raw Inventory'!B:B,A1469)</f>
        <v>0</v>
      </c>
      <c r="AI1469" s="46"/>
      <c r="AJ1469" s="46"/>
      <c r="AK1469" s="43"/>
      <c r="AL1469" s="43"/>
      <c r="AM1469" s="43"/>
      <c r="AN1469" s="43"/>
      <c r="AO1469" s="43"/>
      <c r="AP1469" s="43"/>
      <c r="AQ1469" s="43"/>
      <c r="AR1469" s="43"/>
      <c r="AS1469" s="43"/>
      <c r="AT1469" s="43"/>
    </row>
    <row r="1470" spans="1:46">
      <c r="A1470" s="43" t="s">
        <v>37</v>
      </c>
      <c r="B1470" s="43" t="s">
        <v>114</v>
      </c>
      <c r="C1470" s="43" t="s">
        <v>109</v>
      </c>
      <c r="D1470" s="44" t="s">
        <v>229</v>
      </c>
      <c r="E1470" s="44">
        <v>25</v>
      </c>
      <c r="F1470" s="44" t="s">
        <v>3</v>
      </c>
      <c r="G1470" s="43" t="str">
        <f>IFERROR(VLOOKUP(A1470,'[1]MC Masterlist 2026-09-12'!$B:$M, 3, 0),"")</f>
        <v>HONDA</v>
      </c>
      <c r="H1470" s="45">
        <f>IFERROR(VLOOKUP(A1470,'[1]MC Masterlist 2026-09-12'!$B:$M, 6, 0),"")</f>
        <v>74550</v>
      </c>
      <c r="I1470" s="46">
        <v>0</v>
      </c>
      <c r="J1470" s="46">
        <v>1</v>
      </c>
      <c r="K1470" s="46">
        <v>0</v>
      </c>
      <c r="L1470" s="46">
        <f t="shared" si="330"/>
        <v>1</v>
      </c>
      <c r="M1470" s="46">
        <f t="shared" si="331"/>
        <v>0.33333333333333331</v>
      </c>
      <c r="N1470" s="45">
        <f t="shared" si="332"/>
        <v>74550</v>
      </c>
      <c r="O1470" s="45">
        <f t="shared" si="333"/>
        <v>24850</v>
      </c>
      <c r="P1470" s="46">
        <f t="shared" si="334"/>
        <v>1.111111111111111E-2</v>
      </c>
      <c r="Q1470" s="46">
        <v>1</v>
      </c>
      <c r="R1470" s="45">
        <f t="shared" si="335"/>
        <v>74550</v>
      </c>
      <c r="S1470" s="46">
        <f t="shared" si="336"/>
        <v>90</v>
      </c>
      <c r="T1470" s="46">
        <f>IFERROR(VLOOKUP(A1470,'[1]Re-order'!$A:$Q,17,0),"")</f>
        <v>33.652173913043477</v>
      </c>
      <c r="U1470" s="46">
        <f>IFERROR(VLOOKUP(A1470,'[1]MC Masterlist 2026-09-12'!$B:$M, 10, 0),0)</f>
        <v>15</v>
      </c>
      <c r="V1470" s="46">
        <f>IFERROR(VLOOKUP(A1470,'[1]MC Masterlist 2026-09-12'!$B:$M, 11, 0),0)</f>
        <v>15</v>
      </c>
      <c r="W1470" s="46">
        <f t="shared" si="337"/>
        <v>30</v>
      </c>
      <c r="X1470" s="46">
        <f t="shared" si="338"/>
        <v>29.833333333333332</v>
      </c>
      <c r="Y1470" s="46">
        <f>IFERROR(IF(OR(C1470="AREA I",C1470="AREA V"),7,VLOOKUP(A1470,'[1]MC Masterlist 2026-09-12'!$B:$M, 12, 0)),0)</f>
        <v>30</v>
      </c>
      <c r="Z1470" s="46">
        <f t="shared" si="339"/>
        <v>0.16666666666666666</v>
      </c>
      <c r="AA1470" s="46">
        <f t="shared" si="340"/>
        <v>0.33333333333333331</v>
      </c>
      <c r="AB1470" s="46">
        <f t="shared" si="341"/>
        <v>0.33148148148148143</v>
      </c>
      <c r="AC1470" s="46">
        <f t="shared" si="342"/>
        <v>0.33333333333333331</v>
      </c>
      <c r="AD1470" s="44" t="str">
        <f t="shared" si="343"/>
        <v>Over</v>
      </c>
      <c r="AE1470" s="44" t="str">
        <f>IFERROR(VLOOKUP(A1470,'[1]Re-order'!$A:$AA,27,0),"")</f>
        <v>Re-order</v>
      </c>
      <c r="AF1470" s="46">
        <f t="shared" si="344"/>
        <v>-0.66666666666666674</v>
      </c>
      <c r="AG1470" s="46">
        <f>SUMIFS('[1]Raw Inventory'!D:D,'[1]Raw Inventory'!C:C,"GREATWALL",'[1]Raw Inventory'!B:B,A1470)</f>
        <v>28</v>
      </c>
      <c r="AH1470" s="46">
        <f>SUMIFS('[1]Raw Inventory'!D:D,'[1]Raw Inventory'!C:C,"DUARTE",'[1]Raw Inventory'!B:B,A1470)</f>
        <v>0</v>
      </c>
      <c r="AI1470" s="46"/>
      <c r="AJ1470" s="46"/>
      <c r="AK1470" s="43"/>
      <c r="AL1470" s="43"/>
      <c r="AM1470" s="43"/>
      <c r="AN1470" s="43"/>
      <c r="AO1470" s="43"/>
      <c r="AP1470" s="43"/>
      <c r="AQ1470" s="43"/>
      <c r="AR1470" s="43"/>
      <c r="AS1470" s="43"/>
      <c r="AT1470" s="43"/>
    </row>
    <row r="1471" spans="1:46">
      <c r="A1471" s="43" t="s">
        <v>70</v>
      </c>
      <c r="B1471" s="43" t="s">
        <v>27</v>
      </c>
      <c r="C1471" s="43" t="s">
        <v>1</v>
      </c>
      <c r="D1471" s="44" t="s">
        <v>239</v>
      </c>
      <c r="E1471" s="44">
        <v>30</v>
      </c>
      <c r="F1471" s="44" t="s">
        <v>3</v>
      </c>
      <c r="G1471" s="43" t="str">
        <f>IFERROR(VLOOKUP(A1471,'[1]MC Masterlist 2026-09-12'!$B:$M, 3, 0),"")</f>
        <v>KAWASAKI</v>
      </c>
      <c r="H1471" s="45">
        <f>IFERROR(VLOOKUP(A1471,'[1]MC Masterlist 2026-09-12'!$B:$M, 6, 0),"")</f>
        <v>91770</v>
      </c>
      <c r="I1471" s="46">
        <v>0</v>
      </c>
      <c r="J1471" s="46">
        <v>0</v>
      </c>
      <c r="K1471" s="46">
        <v>0</v>
      </c>
      <c r="L1471" s="46">
        <f t="shared" si="330"/>
        <v>0</v>
      </c>
      <c r="M1471" s="46">
        <f t="shared" si="331"/>
        <v>0</v>
      </c>
      <c r="N1471" s="45">
        <f t="shared" si="332"/>
        <v>0</v>
      </c>
      <c r="O1471" s="45">
        <f t="shared" si="333"/>
        <v>0</v>
      </c>
      <c r="P1471" s="46">
        <f t="shared" si="334"/>
        <v>0</v>
      </c>
      <c r="Q1471" s="46">
        <v>2</v>
      </c>
      <c r="R1471" s="45">
        <f t="shared" si="335"/>
        <v>183540</v>
      </c>
      <c r="S1471" s="46">
        <f t="shared" si="336"/>
        <v>0</v>
      </c>
      <c r="T1471" s="46">
        <f>IFERROR(VLOOKUP(A1471,'[1]Re-order'!$A:$Q,17,0),"")</f>
        <v>255</v>
      </c>
      <c r="U1471" s="46">
        <f>IFERROR(VLOOKUP(A1471,'[1]MC Masterlist 2026-09-12'!$B:$M, 10, 0),0)</f>
        <v>15</v>
      </c>
      <c r="V1471" s="46">
        <f>IFERROR(VLOOKUP(A1471,'[1]MC Masterlist 2026-09-12'!$B:$M, 11, 0),0)</f>
        <v>15</v>
      </c>
      <c r="W1471" s="46">
        <f t="shared" si="337"/>
        <v>30</v>
      </c>
      <c r="X1471" s="46">
        <f t="shared" si="338"/>
        <v>7</v>
      </c>
      <c r="Y1471" s="46">
        <f>IFERROR(IF(OR(C1471="AREA I",C1471="AREA V"),7,VLOOKUP(A1471,'[1]MC Masterlist 2026-09-12'!$B:$M, 12, 0)),0)</f>
        <v>7</v>
      </c>
      <c r="Z1471" s="46">
        <f t="shared" si="339"/>
        <v>0</v>
      </c>
      <c r="AA1471" s="46">
        <f t="shared" si="340"/>
        <v>0</v>
      </c>
      <c r="AB1471" s="46">
        <f t="shared" si="341"/>
        <v>0</v>
      </c>
      <c r="AC1471" s="46">
        <f t="shared" si="342"/>
        <v>0</v>
      </c>
      <c r="AD1471" s="44" t="str">
        <f t="shared" si="343"/>
        <v>Over</v>
      </c>
      <c r="AE1471" s="44" t="str">
        <f>IFERROR(VLOOKUP(A1471,'[1]Re-order'!$A:$AA,27,0),"")</f>
        <v>Over</v>
      </c>
      <c r="AF1471" s="46">
        <f t="shared" si="344"/>
        <v>-2</v>
      </c>
      <c r="AG1471" s="46">
        <f>SUMIFS('[1]Raw Inventory'!D:D,'[1]Raw Inventory'!C:C,"GREATWALL",'[1]Raw Inventory'!B:B,A1471)</f>
        <v>4</v>
      </c>
      <c r="AH1471" s="46">
        <f>SUMIFS('[1]Raw Inventory'!D:D,'[1]Raw Inventory'!C:C,"DUARTE",'[1]Raw Inventory'!B:B,A1471)</f>
        <v>0</v>
      </c>
      <c r="AI1471" s="46"/>
      <c r="AJ1471" s="46"/>
      <c r="AK1471" s="43"/>
      <c r="AL1471" s="43"/>
      <c r="AM1471" s="43"/>
      <c r="AN1471" s="43"/>
      <c r="AO1471" s="43"/>
      <c r="AP1471" s="43"/>
      <c r="AQ1471" s="43"/>
      <c r="AR1471" s="43"/>
      <c r="AS1471" s="43"/>
      <c r="AT1471" s="43"/>
    </row>
    <row r="1472" spans="1:46">
      <c r="A1472" s="43" t="s">
        <v>50</v>
      </c>
      <c r="B1472" s="43" t="s">
        <v>144</v>
      </c>
      <c r="C1472" s="43" t="s">
        <v>137</v>
      </c>
      <c r="D1472" s="44" t="s">
        <v>253</v>
      </c>
      <c r="E1472" s="44">
        <v>30</v>
      </c>
      <c r="F1472" s="44" t="s">
        <v>3</v>
      </c>
      <c r="G1472" s="43" t="str">
        <f>IFERROR(VLOOKUP(A1472,'[1]MC Masterlist 2026-09-12'!$B:$M, 3, 0),"")</f>
        <v>YAMAHA</v>
      </c>
      <c r="H1472" s="45">
        <f>IFERROR(VLOOKUP(A1472,'[1]MC Masterlist 2026-09-12'!$B:$M, 6, 0),"")</f>
        <v>78957</v>
      </c>
      <c r="I1472" s="46">
        <v>1</v>
      </c>
      <c r="J1472" s="46">
        <v>0</v>
      </c>
      <c r="K1472" s="46">
        <v>0</v>
      </c>
      <c r="L1472" s="46">
        <f t="shared" si="330"/>
        <v>1</v>
      </c>
      <c r="M1472" s="46">
        <f t="shared" si="331"/>
        <v>0.33333333333333331</v>
      </c>
      <c r="N1472" s="45">
        <f t="shared" si="332"/>
        <v>78957</v>
      </c>
      <c r="O1472" s="45">
        <f t="shared" si="333"/>
        <v>26319</v>
      </c>
      <c r="P1472" s="46">
        <f t="shared" si="334"/>
        <v>1.111111111111111E-2</v>
      </c>
      <c r="Q1472" s="46"/>
      <c r="R1472" s="45">
        <f t="shared" si="335"/>
        <v>0</v>
      </c>
      <c r="S1472" s="46">
        <f t="shared" si="336"/>
        <v>0</v>
      </c>
      <c r="T1472" s="46">
        <f>IFERROR(VLOOKUP(A1472,'[1]Re-order'!$A:$Q,17,0),"")</f>
        <v>118.125</v>
      </c>
      <c r="U1472" s="46">
        <f>IFERROR(VLOOKUP(A1472,'[1]MC Masterlist 2026-09-12'!$B:$M, 10, 0),0)</f>
        <v>15</v>
      </c>
      <c r="V1472" s="46">
        <f>IFERROR(VLOOKUP(A1472,'[1]MC Masterlist 2026-09-12'!$B:$M, 11, 0),0)</f>
        <v>15</v>
      </c>
      <c r="W1472" s="46">
        <f t="shared" si="337"/>
        <v>30</v>
      </c>
      <c r="X1472" s="46">
        <f t="shared" si="338"/>
        <v>6.833333333333333</v>
      </c>
      <c r="Y1472" s="46">
        <f>IFERROR(IF(OR(C1472="AREA I",C1472="AREA V"),7,VLOOKUP(A1472,'[1]MC Masterlist 2026-09-12'!$B:$M, 12, 0)),0)</f>
        <v>7</v>
      </c>
      <c r="Z1472" s="46">
        <f t="shared" si="339"/>
        <v>0.16666666666666666</v>
      </c>
      <c r="AA1472" s="46">
        <f t="shared" si="340"/>
        <v>0.33333333333333331</v>
      </c>
      <c r="AB1472" s="46">
        <f t="shared" si="341"/>
        <v>7.5925925925925911E-2</v>
      </c>
      <c r="AC1472" s="46">
        <f t="shared" si="342"/>
        <v>7.7777777777777765E-2</v>
      </c>
      <c r="AD1472" s="44" t="str">
        <f t="shared" si="343"/>
        <v>Stockout</v>
      </c>
      <c r="AE1472" s="44" t="str">
        <f>IFERROR(VLOOKUP(A1472,'[1]Re-order'!$A:$AA,27,0),"")</f>
        <v>Over</v>
      </c>
      <c r="AF1472" s="46">
        <f t="shared" si="344"/>
        <v>7.7777777777777765E-2</v>
      </c>
      <c r="AG1472" s="46">
        <f>SUMIFS('[1]Raw Inventory'!D:D,'[1]Raw Inventory'!C:C,"GREATWALL",'[1]Raw Inventory'!B:B,A1472)</f>
        <v>23</v>
      </c>
      <c r="AH1472" s="46">
        <f>SUMIFS('[1]Raw Inventory'!D:D,'[1]Raw Inventory'!C:C,"DUARTE",'[1]Raw Inventory'!B:B,A1472)</f>
        <v>0</v>
      </c>
      <c r="AI1472" s="46"/>
      <c r="AJ1472" s="46"/>
      <c r="AK1472" s="43"/>
      <c r="AL1472" s="43"/>
      <c r="AM1472" s="43"/>
      <c r="AN1472" s="43"/>
      <c r="AO1472" s="43"/>
      <c r="AP1472" s="43"/>
      <c r="AQ1472" s="43"/>
      <c r="AR1472" s="43"/>
      <c r="AS1472" s="43"/>
      <c r="AT1472" s="43"/>
    </row>
    <row r="1473" spans="1:46">
      <c r="A1473" s="43" t="s">
        <v>25</v>
      </c>
      <c r="B1473" s="43" t="s">
        <v>123</v>
      </c>
      <c r="C1473" s="43" t="s">
        <v>118</v>
      </c>
      <c r="D1473" s="44" t="s">
        <v>254</v>
      </c>
      <c r="E1473" s="44">
        <v>7</v>
      </c>
      <c r="F1473" s="44" t="s">
        <v>2</v>
      </c>
      <c r="G1473" s="43" t="str">
        <f>IFERROR(VLOOKUP(A1473,'[1]MC Masterlist 2026-09-12'!$B:$M, 3, 0),"")</f>
        <v>YAMAHA</v>
      </c>
      <c r="H1473" s="45">
        <f>IFERROR(VLOOKUP(A1473,'[1]MC Masterlist 2026-09-12'!$B:$M, 6, 0),"")</f>
        <v>124527</v>
      </c>
      <c r="I1473" s="46">
        <v>0</v>
      </c>
      <c r="J1473" s="46">
        <v>2</v>
      </c>
      <c r="K1473" s="46">
        <v>0</v>
      </c>
      <c r="L1473" s="46">
        <f t="shared" si="330"/>
        <v>2</v>
      </c>
      <c r="M1473" s="46">
        <f t="shared" si="331"/>
        <v>0.66666666666666663</v>
      </c>
      <c r="N1473" s="45">
        <f t="shared" si="332"/>
        <v>249054</v>
      </c>
      <c r="O1473" s="45">
        <f t="shared" si="333"/>
        <v>83018</v>
      </c>
      <c r="P1473" s="46">
        <f t="shared" si="334"/>
        <v>2.222222222222222E-2</v>
      </c>
      <c r="Q1473" s="46">
        <v>1</v>
      </c>
      <c r="R1473" s="45">
        <f t="shared" si="335"/>
        <v>124527</v>
      </c>
      <c r="S1473" s="46">
        <f t="shared" si="336"/>
        <v>45</v>
      </c>
      <c r="T1473" s="46">
        <f>IFERROR(VLOOKUP(A1473,'[1]Re-order'!$A:$Q,17,0),"")</f>
        <v>5.1030927835051543</v>
      </c>
      <c r="U1473" s="46">
        <f>IFERROR(VLOOKUP(A1473,'[1]MC Masterlist 2026-09-12'!$B:$M, 10, 0),0)</f>
        <v>15</v>
      </c>
      <c r="V1473" s="46">
        <f>IFERROR(VLOOKUP(A1473,'[1]MC Masterlist 2026-09-12'!$B:$M, 11, 0),0)</f>
        <v>15</v>
      </c>
      <c r="W1473" s="46">
        <f t="shared" si="337"/>
        <v>30</v>
      </c>
      <c r="X1473" s="46">
        <f t="shared" si="338"/>
        <v>29.666666666666668</v>
      </c>
      <c r="Y1473" s="46">
        <f>IFERROR(IF(OR(C1473="AREA I",C1473="AREA V"),7,VLOOKUP(A1473,'[1]MC Masterlist 2026-09-12'!$B:$M, 12, 0)),0)</f>
        <v>30</v>
      </c>
      <c r="Z1473" s="46">
        <f t="shared" si="339"/>
        <v>0.33333333333333331</v>
      </c>
      <c r="AA1473" s="46">
        <f t="shared" si="340"/>
        <v>0.66666666666666663</v>
      </c>
      <c r="AB1473" s="46">
        <f t="shared" si="341"/>
        <v>0.65925925925925921</v>
      </c>
      <c r="AC1473" s="46">
        <f t="shared" si="342"/>
        <v>0.66666666666666663</v>
      </c>
      <c r="AD1473" s="44" t="str">
        <f t="shared" si="343"/>
        <v>Over</v>
      </c>
      <c r="AE1473" s="44" t="str">
        <f>IFERROR(VLOOKUP(A1473,'[1]Re-order'!$A:$AA,27,0),"")</f>
        <v>Stockout</v>
      </c>
      <c r="AF1473" s="46">
        <f t="shared" si="344"/>
        <v>-0.33333333333333337</v>
      </c>
      <c r="AG1473" s="46">
        <f>SUMIFS('[1]Raw Inventory'!D:D,'[1]Raw Inventory'!C:C,"GREATWALL",'[1]Raw Inventory'!B:B,A1473)</f>
        <v>1</v>
      </c>
      <c r="AH1473" s="46">
        <f>SUMIFS('[1]Raw Inventory'!D:D,'[1]Raw Inventory'!C:C,"DUARTE",'[1]Raw Inventory'!B:B,A1473)</f>
        <v>0</v>
      </c>
      <c r="AI1473" s="46"/>
      <c r="AJ1473" s="46"/>
      <c r="AK1473" s="43"/>
      <c r="AL1473" s="43"/>
      <c r="AM1473" s="43"/>
      <c r="AN1473" s="43"/>
      <c r="AO1473" s="43"/>
      <c r="AP1473" s="43"/>
      <c r="AQ1473" s="43"/>
      <c r="AR1473" s="43"/>
      <c r="AS1473" s="43"/>
      <c r="AT1473" s="43"/>
    </row>
    <row r="1474" spans="1:46">
      <c r="A1474" s="43" t="s">
        <v>76</v>
      </c>
      <c r="B1474" s="43" t="s">
        <v>160</v>
      </c>
      <c r="C1474" s="43" t="s">
        <v>159</v>
      </c>
      <c r="D1474" s="44" t="s">
        <v>273</v>
      </c>
      <c r="E1474" s="44">
        <v>24</v>
      </c>
      <c r="F1474" s="44" t="s">
        <v>3</v>
      </c>
      <c r="G1474" s="43" t="str">
        <f>IFERROR(VLOOKUP(A1474,'[1]MC Masterlist 2026-09-12'!$B:$M, 3, 0),"")</f>
        <v>SUZUKI</v>
      </c>
      <c r="H1474" s="45">
        <f>IFERROR(VLOOKUP(A1474,'[1]MC Masterlist 2026-09-12'!$B:$M, 6, 0),"")</f>
        <v>62692</v>
      </c>
      <c r="I1474" s="46">
        <v>0</v>
      </c>
      <c r="J1474" s="46">
        <v>0</v>
      </c>
      <c r="K1474" s="46">
        <v>0</v>
      </c>
      <c r="L1474" s="46">
        <f t="shared" si="330"/>
        <v>0</v>
      </c>
      <c r="M1474" s="46">
        <f t="shared" si="331"/>
        <v>0</v>
      </c>
      <c r="N1474" s="45">
        <f t="shared" si="332"/>
        <v>0</v>
      </c>
      <c r="O1474" s="45">
        <f t="shared" si="333"/>
        <v>0</v>
      </c>
      <c r="P1474" s="46">
        <f t="shared" si="334"/>
        <v>0</v>
      </c>
      <c r="Q1474" s="46">
        <v>2</v>
      </c>
      <c r="R1474" s="45">
        <f t="shared" si="335"/>
        <v>125384</v>
      </c>
      <c r="S1474" s="46">
        <f t="shared" si="336"/>
        <v>0</v>
      </c>
      <c r="T1474" s="46">
        <f>IFERROR(VLOOKUP(A1474,'[1]Re-order'!$A:$Q,17,0),"")</f>
        <v>106.36363636363636</v>
      </c>
      <c r="U1474" s="46">
        <f>IFERROR(VLOOKUP(A1474,'[1]MC Masterlist 2026-09-12'!$B:$M, 10, 0),0)</f>
        <v>15</v>
      </c>
      <c r="V1474" s="46">
        <f>IFERROR(VLOOKUP(A1474,'[1]MC Masterlist 2026-09-12'!$B:$M, 11, 0),0)</f>
        <v>15</v>
      </c>
      <c r="W1474" s="46">
        <f t="shared" si="337"/>
        <v>30</v>
      </c>
      <c r="X1474" s="46">
        <f t="shared" si="338"/>
        <v>30</v>
      </c>
      <c r="Y1474" s="46">
        <f>IFERROR(IF(OR(C1474="AREA I",C1474="AREA V"),7,VLOOKUP(A1474,'[1]MC Masterlist 2026-09-12'!$B:$M, 12, 0)),0)</f>
        <v>30</v>
      </c>
      <c r="Z1474" s="46">
        <f t="shared" si="339"/>
        <v>0</v>
      </c>
      <c r="AA1474" s="46">
        <f t="shared" si="340"/>
        <v>0</v>
      </c>
      <c r="AB1474" s="46">
        <f t="shared" si="341"/>
        <v>0</v>
      </c>
      <c r="AC1474" s="46">
        <f t="shared" si="342"/>
        <v>0</v>
      </c>
      <c r="AD1474" s="44" t="str">
        <f t="shared" si="343"/>
        <v>Over</v>
      </c>
      <c r="AE1474" s="44" t="str">
        <f>IFERROR(VLOOKUP(A1474,'[1]Re-order'!$A:$AA,27,0),"")</f>
        <v>Over</v>
      </c>
      <c r="AF1474" s="46">
        <f t="shared" si="344"/>
        <v>-2</v>
      </c>
      <c r="AG1474" s="46">
        <f>SUMIFS('[1]Raw Inventory'!D:D,'[1]Raw Inventory'!C:C,"GREATWALL",'[1]Raw Inventory'!B:B,A1474)</f>
        <v>1</v>
      </c>
      <c r="AH1474" s="46">
        <f>SUMIFS('[1]Raw Inventory'!D:D,'[1]Raw Inventory'!C:C,"DUARTE",'[1]Raw Inventory'!B:B,A1474)</f>
        <v>0</v>
      </c>
      <c r="AI1474" s="46"/>
      <c r="AJ1474" s="46"/>
      <c r="AK1474" s="43"/>
      <c r="AL1474" s="43"/>
      <c r="AM1474" s="43"/>
      <c r="AN1474" s="43"/>
      <c r="AO1474" s="43"/>
      <c r="AP1474" s="43"/>
      <c r="AQ1474" s="43"/>
      <c r="AR1474" s="43"/>
      <c r="AS1474" s="43"/>
      <c r="AT1474" s="43"/>
    </row>
    <row r="1475" spans="1:46">
      <c r="A1475" s="43" t="s">
        <v>42</v>
      </c>
      <c r="B1475" s="43" t="s">
        <v>114</v>
      </c>
      <c r="C1475" s="43" t="s">
        <v>109</v>
      </c>
      <c r="D1475" s="44" t="s">
        <v>223</v>
      </c>
      <c r="E1475" s="44">
        <v>20</v>
      </c>
      <c r="F1475" s="44" t="s">
        <v>3</v>
      </c>
      <c r="G1475" s="43" t="str">
        <f>IFERROR(VLOOKUP(A1475,'[1]MC Masterlist 2026-09-12'!$B:$M, 3, 0),"")</f>
        <v>YAMAHA</v>
      </c>
      <c r="H1475" s="45">
        <f>IFERROR(VLOOKUP(A1475,'[1]MC Masterlist 2026-09-12'!$B:$M, 6, 0),"")</f>
        <v>152892</v>
      </c>
      <c r="I1475" s="46">
        <v>1</v>
      </c>
      <c r="J1475" s="46">
        <v>0</v>
      </c>
      <c r="K1475" s="46">
        <v>0</v>
      </c>
      <c r="L1475" s="46">
        <f t="shared" ref="L1475:L1538" si="345">I1475+J1475+K1475</f>
        <v>1</v>
      </c>
      <c r="M1475" s="46">
        <f t="shared" ref="M1475:M1538" si="346">AVERAGE(I1475,J1475,K1475)</f>
        <v>0.33333333333333331</v>
      </c>
      <c r="N1475" s="45">
        <f t="shared" ref="N1475:N1538" si="347">L1475*H1475</f>
        <v>152892</v>
      </c>
      <c r="O1475" s="45">
        <f t="shared" ref="O1475:O1538" si="348">M1475*H1475</f>
        <v>50964</v>
      </c>
      <c r="P1475" s="46">
        <f t="shared" ref="P1475:P1538" si="349">M1475/30</f>
        <v>1.111111111111111E-2</v>
      </c>
      <c r="Q1475" s="46"/>
      <c r="R1475" s="45">
        <f t="shared" ref="R1475:R1538" si="350">IFERROR(Q1475*H1475, 0)</f>
        <v>0</v>
      </c>
      <c r="S1475" s="46">
        <f t="shared" ref="S1475:S1538" si="351">IFERROR(R1475/(O1475)*30, 0)</f>
        <v>0</v>
      </c>
      <c r="T1475" s="46">
        <f>IFERROR(VLOOKUP(A1475,'[1]Re-order'!$A:$Q,17,0),"")</f>
        <v>104.55882352941177</v>
      </c>
      <c r="U1475" s="46">
        <f>IFERROR(VLOOKUP(A1475,'[1]MC Masterlist 2026-09-12'!$B:$M, 10, 0),0)</f>
        <v>15</v>
      </c>
      <c r="V1475" s="46">
        <f>IFERROR(VLOOKUP(A1475,'[1]MC Masterlist 2026-09-12'!$B:$M, 11, 0),0)</f>
        <v>15</v>
      </c>
      <c r="W1475" s="46">
        <f t="shared" ref="W1475:W1538" si="352">U1475+V1475</f>
        <v>30</v>
      </c>
      <c r="X1475" s="46">
        <f t="shared" ref="X1475:X1538" si="353">Y1475-Z1475</f>
        <v>29.833333333333332</v>
      </c>
      <c r="Y1475" s="46">
        <f>IFERROR(IF(OR(C1475="AREA I",C1475="AREA V"),7,VLOOKUP(A1475,'[1]MC Masterlist 2026-09-12'!$B:$M, 12, 0)),0)</f>
        <v>30</v>
      </c>
      <c r="Z1475" s="46">
        <f t="shared" ref="Z1475:Z1538" si="354">V1475*P1475</f>
        <v>0.16666666666666666</v>
      </c>
      <c r="AA1475" s="46">
        <f t="shared" ref="AA1475:AA1538" si="355">W1475*P1475</f>
        <v>0.33333333333333331</v>
      </c>
      <c r="AB1475" s="46">
        <f t="shared" ref="AB1475:AB1538" si="356">X1475*P1475</f>
        <v>0.33148148148148143</v>
      </c>
      <c r="AC1475" s="46">
        <f t="shared" ref="AC1475:AC1538" si="357">Y1475*P1475</f>
        <v>0.33333333333333331</v>
      </c>
      <c r="AD1475" s="44" t="str">
        <f t="shared" ref="AD1475:AD1538" si="358">IFERROR(IF(Q1475&gt;AC1475, "Over", IF(Q1475&lt;=Z1475, "Stockout", IF(Q1475&lt;=AA1475, "Re-order",""))), "")</f>
        <v>Stockout</v>
      </c>
      <c r="AE1475" s="44" t="str">
        <f>IFERROR(VLOOKUP(A1475,'[1]Re-order'!$A:$AA,27,0),"")</f>
        <v>Over</v>
      </c>
      <c r="AF1475" s="46">
        <f t="shared" ref="AF1475:AF1538" si="359">AC1475-Q1475</f>
        <v>0.33333333333333331</v>
      </c>
      <c r="AG1475" s="46">
        <f>SUMIFS('[1]Raw Inventory'!D:D,'[1]Raw Inventory'!C:C,"GREATWALL",'[1]Raw Inventory'!B:B,A1475)</f>
        <v>3</v>
      </c>
      <c r="AH1475" s="46">
        <f>SUMIFS('[1]Raw Inventory'!D:D,'[1]Raw Inventory'!C:C,"DUARTE",'[1]Raw Inventory'!B:B,A1475)</f>
        <v>0</v>
      </c>
      <c r="AI1475" s="46"/>
      <c r="AJ1475" s="46"/>
      <c r="AK1475" s="43"/>
      <c r="AL1475" s="43"/>
      <c r="AM1475" s="43"/>
      <c r="AN1475" s="43"/>
      <c r="AO1475" s="43"/>
      <c r="AP1475" s="43"/>
      <c r="AQ1475" s="43"/>
      <c r="AR1475" s="43"/>
      <c r="AS1475" s="43"/>
      <c r="AT1475" s="43"/>
    </row>
    <row r="1476" spans="1:46">
      <c r="A1476" s="43" t="s">
        <v>82</v>
      </c>
      <c r="B1476" s="43" t="s">
        <v>95</v>
      </c>
      <c r="C1476" s="43" t="s">
        <v>90</v>
      </c>
      <c r="D1476" s="44" t="s">
        <v>229</v>
      </c>
      <c r="E1476" s="44">
        <v>22</v>
      </c>
      <c r="F1476" s="44" t="s">
        <v>3</v>
      </c>
      <c r="G1476" s="43" t="str">
        <f>IFERROR(VLOOKUP(A1476,'[1]MC Masterlist 2026-09-12'!$B:$M, 3, 0),"")</f>
        <v>SUZUKI</v>
      </c>
      <c r="H1476" s="45">
        <f>IFERROR(VLOOKUP(A1476,'[1]MC Masterlist 2026-09-12'!$B:$M, 6, 0),"")</f>
        <v>67342</v>
      </c>
      <c r="I1476" s="46">
        <v>0</v>
      </c>
      <c r="J1476" s="46">
        <v>0</v>
      </c>
      <c r="K1476" s="46">
        <v>0</v>
      </c>
      <c r="L1476" s="46">
        <f t="shared" si="345"/>
        <v>0</v>
      </c>
      <c r="M1476" s="46">
        <f t="shared" si="346"/>
        <v>0</v>
      </c>
      <c r="N1476" s="45">
        <f t="shared" si="347"/>
        <v>0</v>
      </c>
      <c r="O1476" s="45">
        <f t="shared" si="348"/>
        <v>0</v>
      </c>
      <c r="P1476" s="46">
        <f t="shared" si="349"/>
        <v>0</v>
      </c>
      <c r="Q1476" s="46">
        <v>1</v>
      </c>
      <c r="R1476" s="45">
        <f t="shared" si="350"/>
        <v>67342</v>
      </c>
      <c r="S1476" s="46">
        <f t="shared" si="351"/>
        <v>0</v>
      </c>
      <c r="T1476" s="46">
        <f>IFERROR(VLOOKUP(A1476,'[1]Re-order'!$A:$Q,17,0),"")</f>
        <v>64.8</v>
      </c>
      <c r="U1476" s="46">
        <f>IFERROR(VLOOKUP(A1476,'[1]MC Masterlist 2026-09-12'!$B:$M, 10, 0),0)</f>
        <v>15</v>
      </c>
      <c r="V1476" s="46">
        <f>IFERROR(VLOOKUP(A1476,'[1]MC Masterlist 2026-09-12'!$B:$M, 11, 0),0)</f>
        <v>15</v>
      </c>
      <c r="W1476" s="46">
        <f t="shared" si="352"/>
        <v>30</v>
      </c>
      <c r="X1476" s="46">
        <f t="shared" si="353"/>
        <v>30</v>
      </c>
      <c r="Y1476" s="46">
        <f>IFERROR(IF(OR(C1476="AREA I",C1476="AREA V"),7,VLOOKUP(A1476,'[1]MC Masterlist 2026-09-12'!$B:$M, 12, 0)),0)</f>
        <v>30</v>
      </c>
      <c r="Z1476" s="46">
        <f t="shared" si="354"/>
        <v>0</v>
      </c>
      <c r="AA1476" s="46">
        <f t="shared" si="355"/>
        <v>0</v>
      </c>
      <c r="AB1476" s="46">
        <f t="shared" si="356"/>
        <v>0</v>
      </c>
      <c r="AC1476" s="46">
        <f t="shared" si="357"/>
        <v>0</v>
      </c>
      <c r="AD1476" s="44" t="str">
        <f t="shared" si="358"/>
        <v>Over</v>
      </c>
      <c r="AE1476" s="44" t="str">
        <f>IFERROR(VLOOKUP(A1476,'[1]Re-order'!$A:$AA,27,0),"")</f>
        <v>Re-order</v>
      </c>
      <c r="AF1476" s="46">
        <f t="shared" si="359"/>
        <v>-1</v>
      </c>
      <c r="AG1476" s="46">
        <f>SUMIFS('[1]Raw Inventory'!D:D,'[1]Raw Inventory'!C:C,"GREATWALL",'[1]Raw Inventory'!B:B,A1476)</f>
        <v>1</v>
      </c>
      <c r="AH1476" s="46">
        <f>SUMIFS('[1]Raw Inventory'!D:D,'[1]Raw Inventory'!C:C,"DUARTE",'[1]Raw Inventory'!B:B,A1476)</f>
        <v>0</v>
      </c>
      <c r="AI1476" s="46"/>
      <c r="AJ1476" s="46"/>
      <c r="AK1476" s="43"/>
      <c r="AL1476" s="43"/>
      <c r="AM1476" s="43"/>
      <c r="AN1476" s="43"/>
      <c r="AO1476" s="43"/>
      <c r="AP1476" s="43"/>
      <c r="AQ1476" s="43"/>
      <c r="AR1476" s="43"/>
      <c r="AS1476" s="43"/>
      <c r="AT1476" s="43"/>
    </row>
    <row r="1477" spans="1:46">
      <c r="A1477" s="43" t="s">
        <v>12</v>
      </c>
      <c r="B1477" s="43" t="s">
        <v>114</v>
      </c>
      <c r="C1477" s="43" t="s">
        <v>109</v>
      </c>
      <c r="D1477" s="44" t="s">
        <v>224</v>
      </c>
      <c r="E1477" s="44">
        <v>9</v>
      </c>
      <c r="F1477" s="44" t="s">
        <v>2</v>
      </c>
      <c r="G1477" s="43" t="str">
        <f>IFERROR(VLOOKUP(A1477,'[1]MC Masterlist 2026-09-12'!$B:$M, 3, 0),"")</f>
        <v>HONDA</v>
      </c>
      <c r="H1477" s="45">
        <f>IFERROR(VLOOKUP(A1477,'[1]MC Masterlist 2026-09-12'!$B:$M, 6, 0),"")</f>
        <v>158270</v>
      </c>
      <c r="I1477" s="46">
        <v>0</v>
      </c>
      <c r="J1477" s="46">
        <v>1</v>
      </c>
      <c r="K1477" s="46">
        <v>2</v>
      </c>
      <c r="L1477" s="46">
        <f t="shared" si="345"/>
        <v>3</v>
      </c>
      <c r="M1477" s="46">
        <f t="shared" si="346"/>
        <v>1</v>
      </c>
      <c r="N1477" s="45">
        <f t="shared" si="347"/>
        <v>474810</v>
      </c>
      <c r="O1477" s="45">
        <f t="shared" si="348"/>
        <v>158270</v>
      </c>
      <c r="P1477" s="46">
        <f t="shared" si="349"/>
        <v>3.3333333333333333E-2</v>
      </c>
      <c r="Q1477" s="46">
        <v>1</v>
      </c>
      <c r="R1477" s="45">
        <f t="shared" si="350"/>
        <v>158270</v>
      </c>
      <c r="S1477" s="46">
        <f t="shared" si="351"/>
        <v>30</v>
      </c>
      <c r="T1477" s="46">
        <f>IFERROR(VLOOKUP(A1477,'[1]Re-order'!$A:$Q,17,0),"")</f>
        <v>46.461038961038959</v>
      </c>
      <c r="U1477" s="46">
        <f>IFERROR(VLOOKUP(A1477,'[1]MC Masterlist 2026-09-12'!$B:$M, 10, 0),0)</f>
        <v>15</v>
      </c>
      <c r="V1477" s="46">
        <f>IFERROR(VLOOKUP(A1477,'[1]MC Masterlist 2026-09-12'!$B:$M, 11, 0),0)</f>
        <v>15</v>
      </c>
      <c r="W1477" s="46">
        <f t="shared" si="352"/>
        <v>30</v>
      </c>
      <c r="X1477" s="46">
        <f t="shared" si="353"/>
        <v>29.5</v>
      </c>
      <c r="Y1477" s="46">
        <f>IFERROR(IF(OR(C1477="AREA I",C1477="AREA V"),7,VLOOKUP(A1477,'[1]MC Masterlist 2026-09-12'!$B:$M, 12, 0)),0)</f>
        <v>30</v>
      </c>
      <c r="Z1477" s="46">
        <f t="shared" si="354"/>
        <v>0.5</v>
      </c>
      <c r="AA1477" s="46">
        <f t="shared" si="355"/>
        <v>1</v>
      </c>
      <c r="AB1477" s="46">
        <f t="shared" si="356"/>
        <v>0.98333333333333328</v>
      </c>
      <c r="AC1477" s="46">
        <f t="shared" si="357"/>
        <v>1</v>
      </c>
      <c r="AD1477" s="44" t="str">
        <f t="shared" si="358"/>
        <v>Re-order</v>
      </c>
      <c r="AE1477" s="44" t="str">
        <f>IFERROR(VLOOKUP(A1477,'[1]Re-order'!$A:$AA,27,0),"")</f>
        <v>Re-order</v>
      </c>
      <c r="AF1477" s="46">
        <f t="shared" si="359"/>
        <v>0</v>
      </c>
      <c r="AG1477" s="46">
        <f>SUMIFS('[1]Raw Inventory'!D:D,'[1]Raw Inventory'!C:C,"GREATWALL",'[1]Raw Inventory'!B:B,A1477)</f>
        <v>35</v>
      </c>
      <c r="AH1477" s="46">
        <f>SUMIFS('[1]Raw Inventory'!D:D,'[1]Raw Inventory'!C:C,"DUARTE",'[1]Raw Inventory'!B:B,A1477)</f>
        <v>0</v>
      </c>
      <c r="AI1477" s="46"/>
      <c r="AJ1477" s="46"/>
      <c r="AK1477" s="43"/>
      <c r="AL1477" s="43"/>
      <c r="AM1477" s="43"/>
      <c r="AN1477" s="43"/>
      <c r="AO1477" s="43"/>
      <c r="AP1477" s="43"/>
      <c r="AQ1477" s="43"/>
      <c r="AR1477" s="43"/>
      <c r="AS1477" s="43"/>
      <c r="AT1477" s="43"/>
    </row>
    <row r="1478" spans="1:46">
      <c r="A1478" s="43" t="s">
        <v>22</v>
      </c>
      <c r="B1478" s="43" t="s">
        <v>132</v>
      </c>
      <c r="C1478" s="43" t="s">
        <v>128</v>
      </c>
      <c r="D1478" s="44" t="s">
        <v>259</v>
      </c>
      <c r="E1478" s="44">
        <v>5</v>
      </c>
      <c r="F1478" s="44" t="s">
        <v>0</v>
      </c>
      <c r="G1478" s="43" t="str">
        <f>IFERROR(VLOOKUP(A1478,'[1]MC Masterlist 2026-09-12'!$B:$M, 3, 0),"")</f>
        <v>HONDA</v>
      </c>
      <c r="H1478" s="45">
        <f>IFERROR(VLOOKUP(A1478,'[1]MC Masterlist 2026-09-12'!$B:$M, 6, 0),"")</f>
        <v>111258</v>
      </c>
      <c r="I1478" s="46">
        <v>4</v>
      </c>
      <c r="J1478" s="46">
        <v>2</v>
      </c>
      <c r="K1478" s="46">
        <v>2</v>
      </c>
      <c r="L1478" s="46">
        <f t="shared" si="345"/>
        <v>8</v>
      </c>
      <c r="M1478" s="46">
        <f t="shared" si="346"/>
        <v>2.6666666666666665</v>
      </c>
      <c r="N1478" s="45">
        <f t="shared" si="347"/>
        <v>890064</v>
      </c>
      <c r="O1478" s="45">
        <f t="shared" si="348"/>
        <v>296688</v>
      </c>
      <c r="P1478" s="46">
        <f t="shared" si="349"/>
        <v>8.8888888888888878E-2</v>
      </c>
      <c r="Q1478" s="46">
        <v>2</v>
      </c>
      <c r="R1478" s="45">
        <f t="shared" si="350"/>
        <v>222516</v>
      </c>
      <c r="S1478" s="46">
        <f t="shared" si="351"/>
        <v>22.5</v>
      </c>
      <c r="T1478" s="46">
        <f>IFERROR(VLOOKUP(A1478,'[1]Re-order'!$A:$Q,17,0),"")</f>
        <v>41.339712918660283</v>
      </c>
      <c r="U1478" s="46">
        <f>IFERROR(VLOOKUP(A1478,'[1]MC Masterlist 2026-09-12'!$B:$M, 10, 0),0)</f>
        <v>15</v>
      </c>
      <c r="V1478" s="46">
        <f>IFERROR(VLOOKUP(A1478,'[1]MC Masterlist 2026-09-12'!$B:$M, 11, 0),0)</f>
        <v>15</v>
      </c>
      <c r="W1478" s="46">
        <f t="shared" si="352"/>
        <v>30</v>
      </c>
      <c r="X1478" s="46">
        <f t="shared" si="353"/>
        <v>28.666666666666668</v>
      </c>
      <c r="Y1478" s="46">
        <f>IFERROR(IF(OR(C1478="AREA I",C1478="AREA V"),7,VLOOKUP(A1478,'[1]MC Masterlist 2026-09-12'!$B:$M, 12, 0)),0)</f>
        <v>30</v>
      </c>
      <c r="Z1478" s="46">
        <f t="shared" si="354"/>
        <v>1.3333333333333333</v>
      </c>
      <c r="AA1478" s="46">
        <f t="shared" si="355"/>
        <v>2.6666666666666665</v>
      </c>
      <c r="AB1478" s="46">
        <f t="shared" si="356"/>
        <v>2.5481481481481478</v>
      </c>
      <c r="AC1478" s="46">
        <f t="shared" si="357"/>
        <v>2.6666666666666665</v>
      </c>
      <c r="AD1478" s="44" t="str">
        <f t="shared" si="358"/>
        <v>Re-order</v>
      </c>
      <c r="AE1478" s="44" t="str">
        <f>IFERROR(VLOOKUP(A1478,'[1]Re-order'!$A:$AA,27,0),"")</f>
        <v>Re-order</v>
      </c>
      <c r="AF1478" s="46">
        <f t="shared" si="359"/>
        <v>0.66666666666666652</v>
      </c>
      <c r="AG1478" s="46">
        <f>SUMIFS('[1]Raw Inventory'!D:D,'[1]Raw Inventory'!C:C,"GREATWALL",'[1]Raw Inventory'!B:B,A1478)</f>
        <v>4</v>
      </c>
      <c r="AH1478" s="46">
        <f>SUMIFS('[1]Raw Inventory'!D:D,'[1]Raw Inventory'!C:C,"DUARTE",'[1]Raw Inventory'!B:B,A1478)</f>
        <v>0</v>
      </c>
      <c r="AI1478" s="46"/>
      <c r="AJ1478" s="46"/>
      <c r="AK1478" s="43"/>
      <c r="AL1478" s="43"/>
      <c r="AM1478" s="43"/>
      <c r="AN1478" s="43"/>
      <c r="AO1478" s="43"/>
      <c r="AP1478" s="43"/>
      <c r="AQ1478" s="43"/>
      <c r="AR1478" s="43"/>
      <c r="AS1478" s="43"/>
      <c r="AT1478" s="43"/>
    </row>
    <row r="1479" spans="1:46">
      <c r="A1479" s="43" t="s">
        <v>100</v>
      </c>
      <c r="B1479" s="43" t="s">
        <v>154</v>
      </c>
      <c r="C1479" s="43" t="s">
        <v>152</v>
      </c>
      <c r="D1479" s="44" t="s">
        <v>236</v>
      </c>
      <c r="E1479" s="44">
        <v>7</v>
      </c>
      <c r="F1479" s="44" t="s">
        <v>2</v>
      </c>
      <c r="G1479" s="43" t="str">
        <f>IFERROR(VLOOKUP(A1479,'[1]MC Masterlist 2026-09-12'!$B:$M, 3, 0),"")</f>
        <v>BAJAJ RE</v>
      </c>
      <c r="H1479" s="45">
        <f>IFERROR(VLOOKUP(A1479,'[1]MC Masterlist 2026-09-12'!$B:$M, 6, 0),"")</f>
        <v>225800</v>
      </c>
      <c r="I1479" s="46">
        <v>1</v>
      </c>
      <c r="J1479" s="46">
        <v>1</v>
      </c>
      <c r="K1479" s="46">
        <v>0</v>
      </c>
      <c r="L1479" s="46">
        <f t="shared" si="345"/>
        <v>2</v>
      </c>
      <c r="M1479" s="46">
        <f t="shared" si="346"/>
        <v>0.66666666666666663</v>
      </c>
      <c r="N1479" s="45">
        <f t="shared" si="347"/>
        <v>451600</v>
      </c>
      <c r="O1479" s="45">
        <f t="shared" si="348"/>
        <v>150533.33333333331</v>
      </c>
      <c r="P1479" s="46">
        <f t="shared" si="349"/>
        <v>2.222222222222222E-2</v>
      </c>
      <c r="Q1479" s="46"/>
      <c r="R1479" s="45">
        <f t="shared" si="350"/>
        <v>0</v>
      </c>
      <c r="S1479" s="46">
        <f t="shared" si="351"/>
        <v>0</v>
      </c>
      <c r="T1479" s="46">
        <f>IFERROR(VLOOKUP(A1479,'[1]Re-order'!$A:$Q,17,0),"")</f>
        <v>18</v>
      </c>
      <c r="U1479" s="46">
        <f>IFERROR(VLOOKUP(A1479,'[1]MC Masterlist 2026-09-12'!$B:$M, 10, 0),0)</f>
        <v>15</v>
      </c>
      <c r="V1479" s="46">
        <f>IFERROR(VLOOKUP(A1479,'[1]MC Masterlist 2026-09-12'!$B:$M, 11, 0),0)</f>
        <v>15</v>
      </c>
      <c r="W1479" s="46">
        <f t="shared" si="352"/>
        <v>30</v>
      </c>
      <c r="X1479" s="46">
        <f t="shared" si="353"/>
        <v>29.666666666666668</v>
      </c>
      <c r="Y1479" s="46">
        <f>IFERROR(IF(OR(C1479="AREA I",C1479="AREA V"),7,VLOOKUP(A1479,'[1]MC Masterlist 2026-09-12'!$B:$M, 12, 0)),0)</f>
        <v>30</v>
      </c>
      <c r="Z1479" s="46">
        <f t="shared" si="354"/>
        <v>0.33333333333333331</v>
      </c>
      <c r="AA1479" s="46">
        <f t="shared" si="355"/>
        <v>0.66666666666666663</v>
      </c>
      <c r="AB1479" s="46">
        <f t="shared" si="356"/>
        <v>0.65925925925925921</v>
      </c>
      <c r="AC1479" s="46">
        <f t="shared" si="357"/>
        <v>0.66666666666666663</v>
      </c>
      <c r="AD1479" s="44" t="str">
        <f t="shared" si="358"/>
        <v>Stockout</v>
      </c>
      <c r="AE1479" s="44" t="str">
        <f>IFERROR(VLOOKUP(A1479,'[1]Re-order'!$A:$AA,27,0),"")</f>
        <v>Stockout</v>
      </c>
      <c r="AF1479" s="46">
        <f t="shared" si="359"/>
        <v>0.66666666666666663</v>
      </c>
      <c r="AG1479" s="46">
        <f>SUMIFS('[1]Raw Inventory'!D:D,'[1]Raw Inventory'!C:C,"GREATWALL",'[1]Raw Inventory'!B:B,A1479)</f>
        <v>0</v>
      </c>
      <c r="AH1479" s="46">
        <f>SUMIFS('[1]Raw Inventory'!D:D,'[1]Raw Inventory'!C:C,"DUARTE",'[1]Raw Inventory'!B:B,A1479)</f>
        <v>0</v>
      </c>
      <c r="AI1479" s="46"/>
      <c r="AJ1479" s="46"/>
      <c r="AK1479" s="43"/>
      <c r="AL1479" s="43"/>
      <c r="AM1479" s="43"/>
      <c r="AN1479" s="43"/>
      <c r="AO1479" s="43"/>
      <c r="AP1479" s="43"/>
      <c r="AQ1479" s="43"/>
      <c r="AR1479" s="43"/>
      <c r="AS1479" s="43"/>
      <c r="AT1479" s="43"/>
    </row>
    <row r="1480" spans="1:46">
      <c r="A1480" s="43" t="s">
        <v>107</v>
      </c>
      <c r="B1480" s="43" t="s">
        <v>119</v>
      </c>
      <c r="C1480" s="43" t="s">
        <v>118</v>
      </c>
      <c r="D1480" s="44" t="s">
        <v>239</v>
      </c>
      <c r="E1480" s="44">
        <v>35</v>
      </c>
      <c r="F1480" s="44" t="s">
        <v>3</v>
      </c>
      <c r="G1480" s="43" t="str">
        <f>IFERROR(VLOOKUP(A1480,'[1]MC Masterlist 2026-09-12'!$B:$M, 3, 0),"")</f>
        <v>SUZUKI</v>
      </c>
      <c r="H1480" s="45">
        <f>IFERROR(VLOOKUP(A1480,'[1]MC Masterlist 2026-09-12'!$B:$M, 6, 0),"")</f>
        <v>89662</v>
      </c>
      <c r="I1480" s="46">
        <v>0</v>
      </c>
      <c r="J1480" s="46">
        <v>0</v>
      </c>
      <c r="K1480" s="46">
        <v>0</v>
      </c>
      <c r="L1480" s="46">
        <f t="shared" si="345"/>
        <v>0</v>
      </c>
      <c r="M1480" s="46">
        <f t="shared" si="346"/>
        <v>0</v>
      </c>
      <c r="N1480" s="45">
        <f t="shared" si="347"/>
        <v>0</v>
      </c>
      <c r="O1480" s="45">
        <f t="shared" si="348"/>
        <v>0</v>
      </c>
      <c r="P1480" s="46">
        <f t="shared" si="349"/>
        <v>0</v>
      </c>
      <c r="Q1480" s="46">
        <v>1</v>
      </c>
      <c r="R1480" s="45">
        <f t="shared" si="350"/>
        <v>89662</v>
      </c>
      <c r="S1480" s="46">
        <f t="shared" si="351"/>
        <v>0</v>
      </c>
      <c r="T1480" s="46">
        <f>IFERROR(VLOOKUP(A1480,'[1]Re-order'!$A:$Q,17,0),"")</f>
        <v>112.5</v>
      </c>
      <c r="U1480" s="46">
        <f>IFERROR(VLOOKUP(A1480,'[1]MC Masterlist 2026-09-12'!$B:$M, 10, 0),0)</f>
        <v>15</v>
      </c>
      <c r="V1480" s="46">
        <f>IFERROR(VLOOKUP(A1480,'[1]MC Masterlist 2026-09-12'!$B:$M, 11, 0),0)</f>
        <v>15</v>
      </c>
      <c r="W1480" s="46">
        <f t="shared" si="352"/>
        <v>30</v>
      </c>
      <c r="X1480" s="46">
        <f t="shared" si="353"/>
        <v>30</v>
      </c>
      <c r="Y1480" s="46">
        <f>IFERROR(IF(OR(C1480="AREA I",C1480="AREA V"),7,VLOOKUP(A1480,'[1]MC Masterlist 2026-09-12'!$B:$M, 12, 0)),0)</f>
        <v>30</v>
      </c>
      <c r="Z1480" s="46">
        <f t="shared" si="354"/>
        <v>0</v>
      </c>
      <c r="AA1480" s="46">
        <f t="shared" si="355"/>
        <v>0</v>
      </c>
      <c r="AB1480" s="46">
        <f t="shared" si="356"/>
        <v>0</v>
      </c>
      <c r="AC1480" s="46">
        <f t="shared" si="357"/>
        <v>0</v>
      </c>
      <c r="AD1480" s="44" t="str">
        <f t="shared" si="358"/>
        <v>Over</v>
      </c>
      <c r="AE1480" s="44" t="str">
        <f>IFERROR(VLOOKUP(A1480,'[1]Re-order'!$A:$AA,27,0),"")</f>
        <v>Over</v>
      </c>
      <c r="AF1480" s="46">
        <f t="shared" si="359"/>
        <v>-1</v>
      </c>
      <c r="AG1480" s="46">
        <f>SUMIFS('[1]Raw Inventory'!D:D,'[1]Raw Inventory'!C:C,"GREATWALL",'[1]Raw Inventory'!B:B,A1480)</f>
        <v>0</v>
      </c>
      <c r="AH1480" s="46">
        <f>SUMIFS('[1]Raw Inventory'!D:D,'[1]Raw Inventory'!C:C,"DUARTE",'[1]Raw Inventory'!B:B,A1480)</f>
        <v>0</v>
      </c>
      <c r="AI1480" s="46"/>
      <c r="AJ1480" s="46"/>
      <c r="AK1480" s="43"/>
      <c r="AL1480" s="43"/>
      <c r="AM1480" s="43"/>
      <c r="AN1480" s="43"/>
      <c r="AO1480" s="43"/>
      <c r="AP1480" s="43"/>
      <c r="AQ1480" s="43"/>
      <c r="AR1480" s="43"/>
      <c r="AS1480" s="43"/>
      <c r="AT1480" s="43"/>
    </row>
    <row r="1481" spans="1:46">
      <c r="A1481" s="43" t="s">
        <v>22</v>
      </c>
      <c r="B1481" s="43" t="s">
        <v>121</v>
      </c>
      <c r="C1481" s="43" t="s">
        <v>118</v>
      </c>
      <c r="D1481" s="44" t="s">
        <v>224</v>
      </c>
      <c r="E1481" s="44">
        <v>11</v>
      </c>
      <c r="F1481" s="44" t="s">
        <v>2</v>
      </c>
      <c r="G1481" s="43" t="str">
        <f>IFERROR(VLOOKUP(A1481,'[1]MC Masterlist 2026-09-12'!$B:$M, 3, 0),"")</f>
        <v>HONDA</v>
      </c>
      <c r="H1481" s="45">
        <f>IFERROR(VLOOKUP(A1481,'[1]MC Masterlist 2026-09-12'!$B:$M, 6, 0),"")</f>
        <v>111258</v>
      </c>
      <c r="I1481" s="46">
        <v>1</v>
      </c>
      <c r="J1481" s="46">
        <v>2</v>
      </c>
      <c r="K1481" s="46">
        <v>1</v>
      </c>
      <c r="L1481" s="46">
        <f t="shared" si="345"/>
        <v>4</v>
      </c>
      <c r="M1481" s="46">
        <f t="shared" si="346"/>
        <v>1.3333333333333333</v>
      </c>
      <c r="N1481" s="45">
        <f t="shared" si="347"/>
        <v>445032</v>
      </c>
      <c r="O1481" s="45">
        <f t="shared" si="348"/>
        <v>148344</v>
      </c>
      <c r="P1481" s="46">
        <f t="shared" si="349"/>
        <v>4.4444444444444439E-2</v>
      </c>
      <c r="Q1481" s="46">
        <v>1</v>
      </c>
      <c r="R1481" s="45">
        <f t="shared" si="350"/>
        <v>111258</v>
      </c>
      <c r="S1481" s="46">
        <f t="shared" si="351"/>
        <v>22.5</v>
      </c>
      <c r="T1481" s="46">
        <f>IFERROR(VLOOKUP(A1481,'[1]Re-order'!$A:$Q,17,0),"")</f>
        <v>41.339712918660283</v>
      </c>
      <c r="U1481" s="46">
        <f>IFERROR(VLOOKUP(A1481,'[1]MC Masterlist 2026-09-12'!$B:$M, 10, 0),0)</f>
        <v>15</v>
      </c>
      <c r="V1481" s="46">
        <f>IFERROR(VLOOKUP(A1481,'[1]MC Masterlist 2026-09-12'!$B:$M, 11, 0),0)</f>
        <v>15</v>
      </c>
      <c r="W1481" s="46">
        <f t="shared" si="352"/>
        <v>30</v>
      </c>
      <c r="X1481" s="46">
        <f t="shared" si="353"/>
        <v>29.333333333333332</v>
      </c>
      <c r="Y1481" s="46">
        <f>IFERROR(IF(OR(C1481="AREA I",C1481="AREA V"),7,VLOOKUP(A1481,'[1]MC Masterlist 2026-09-12'!$B:$M, 12, 0)),0)</f>
        <v>30</v>
      </c>
      <c r="Z1481" s="46">
        <f t="shared" si="354"/>
        <v>0.66666666666666663</v>
      </c>
      <c r="AA1481" s="46">
        <f t="shared" si="355"/>
        <v>1.3333333333333333</v>
      </c>
      <c r="AB1481" s="46">
        <f t="shared" si="356"/>
        <v>1.3037037037037036</v>
      </c>
      <c r="AC1481" s="46">
        <f t="shared" si="357"/>
        <v>1.3333333333333333</v>
      </c>
      <c r="AD1481" s="44" t="str">
        <f t="shared" si="358"/>
        <v>Re-order</v>
      </c>
      <c r="AE1481" s="44" t="str">
        <f>IFERROR(VLOOKUP(A1481,'[1]Re-order'!$A:$AA,27,0),"")</f>
        <v>Re-order</v>
      </c>
      <c r="AF1481" s="46">
        <f t="shared" si="359"/>
        <v>0.33333333333333326</v>
      </c>
      <c r="AG1481" s="46">
        <f>SUMIFS('[1]Raw Inventory'!D:D,'[1]Raw Inventory'!C:C,"GREATWALL",'[1]Raw Inventory'!B:B,A1481)</f>
        <v>4</v>
      </c>
      <c r="AH1481" s="46">
        <f>SUMIFS('[1]Raw Inventory'!D:D,'[1]Raw Inventory'!C:C,"DUARTE",'[1]Raw Inventory'!B:B,A1481)</f>
        <v>0</v>
      </c>
      <c r="AI1481" s="46"/>
      <c r="AJ1481" s="46"/>
      <c r="AK1481" s="43"/>
      <c r="AL1481" s="43"/>
      <c r="AM1481" s="43"/>
      <c r="AN1481" s="43"/>
      <c r="AO1481" s="43"/>
      <c r="AP1481" s="43"/>
      <c r="AQ1481" s="43"/>
      <c r="AR1481" s="43"/>
      <c r="AS1481" s="43"/>
      <c r="AT1481" s="43"/>
    </row>
    <row r="1482" spans="1:46">
      <c r="A1482" s="43" t="s">
        <v>42</v>
      </c>
      <c r="B1482" s="43" t="s">
        <v>92</v>
      </c>
      <c r="C1482" s="43" t="s">
        <v>90</v>
      </c>
      <c r="D1482" s="44" t="s">
        <v>254</v>
      </c>
      <c r="E1482" s="44">
        <v>8</v>
      </c>
      <c r="F1482" s="44" t="s">
        <v>2</v>
      </c>
      <c r="G1482" s="43" t="str">
        <f>IFERROR(VLOOKUP(A1482,'[1]MC Masterlist 2026-09-12'!$B:$M, 3, 0),"")</f>
        <v>YAMAHA</v>
      </c>
      <c r="H1482" s="45">
        <f>IFERROR(VLOOKUP(A1482,'[1]MC Masterlist 2026-09-12'!$B:$M, 6, 0),"")</f>
        <v>152892</v>
      </c>
      <c r="I1482" s="46">
        <v>0</v>
      </c>
      <c r="J1482" s="46">
        <v>0</v>
      </c>
      <c r="K1482" s="46">
        <v>2</v>
      </c>
      <c r="L1482" s="46">
        <f t="shared" si="345"/>
        <v>2</v>
      </c>
      <c r="M1482" s="46">
        <f t="shared" si="346"/>
        <v>0.66666666666666663</v>
      </c>
      <c r="N1482" s="45">
        <f t="shared" si="347"/>
        <v>305784</v>
      </c>
      <c r="O1482" s="45">
        <f t="shared" si="348"/>
        <v>101928</v>
      </c>
      <c r="P1482" s="46">
        <f t="shared" si="349"/>
        <v>2.222222222222222E-2</v>
      </c>
      <c r="Q1482" s="46">
        <v>1</v>
      </c>
      <c r="R1482" s="45">
        <f t="shared" si="350"/>
        <v>152892</v>
      </c>
      <c r="S1482" s="46">
        <f t="shared" si="351"/>
        <v>45</v>
      </c>
      <c r="T1482" s="46">
        <f>IFERROR(VLOOKUP(A1482,'[1]Re-order'!$A:$Q,17,0),"")</f>
        <v>104.55882352941177</v>
      </c>
      <c r="U1482" s="46">
        <f>IFERROR(VLOOKUP(A1482,'[1]MC Masterlist 2026-09-12'!$B:$M, 10, 0),0)</f>
        <v>15</v>
      </c>
      <c r="V1482" s="46">
        <f>IFERROR(VLOOKUP(A1482,'[1]MC Masterlist 2026-09-12'!$B:$M, 11, 0),0)</f>
        <v>15</v>
      </c>
      <c r="W1482" s="46">
        <f t="shared" si="352"/>
        <v>30</v>
      </c>
      <c r="X1482" s="46">
        <f t="shared" si="353"/>
        <v>29.666666666666668</v>
      </c>
      <c r="Y1482" s="46">
        <f>IFERROR(IF(OR(C1482="AREA I",C1482="AREA V"),7,VLOOKUP(A1482,'[1]MC Masterlist 2026-09-12'!$B:$M, 12, 0)),0)</f>
        <v>30</v>
      </c>
      <c r="Z1482" s="46">
        <f t="shared" si="354"/>
        <v>0.33333333333333331</v>
      </c>
      <c r="AA1482" s="46">
        <f t="shared" si="355"/>
        <v>0.66666666666666663</v>
      </c>
      <c r="AB1482" s="46">
        <f t="shared" si="356"/>
        <v>0.65925925925925921</v>
      </c>
      <c r="AC1482" s="46">
        <f t="shared" si="357"/>
        <v>0.66666666666666663</v>
      </c>
      <c r="AD1482" s="44" t="str">
        <f t="shared" si="358"/>
        <v>Over</v>
      </c>
      <c r="AE1482" s="44" t="str">
        <f>IFERROR(VLOOKUP(A1482,'[1]Re-order'!$A:$AA,27,0),"")</f>
        <v>Over</v>
      </c>
      <c r="AF1482" s="46">
        <f t="shared" si="359"/>
        <v>-0.33333333333333337</v>
      </c>
      <c r="AG1482" s="46">
        <f>SUMIFS('[1]Raw Inventory'!D:D,'[1]Raw Inventory'!C:C,"GREATWALL",'[1]Raw Inventory'!B:B,A1482)</f>
        <v>3</v>
      </c>
      <c r="AH1482" s="46">
        <f>SUMIFS('[1]Raw Inventory'!D:D,'[1]Raw Inventory'!C:C,"DUARTE",'[1]Raw Inventory'!B:B,A1482)</f>
        <v>0</v>
      </c>
      <c r="AI1482" s="46"/>
      <c r="AJ1482" s="46"/>
      <c r="AK1482" s="43"/>
      <c r="AL1482" s="43"/>
      <c r="AM1482" s="43"/>
      <c r="AN1482" s="43"/>
      <c r="AO1482" s="43"/>
      <c r="AP1482" s="43"/>
      <c r="AQ1482" s="43"/>
      <c r="AR1482" s="43"/>
      <c r="AS1482" s="43"/>
      <c r="AT1482" s="43"/>
    </row>
    <row r="1483" spans="1:46">
      <c r="A1483" s="43" t="s">
        <v>22</v>
      </c>
      <c r="B1483" s="43" t="s">
        <v>155</v>
      </c>
      <c r="C1483" s="43" t="s">
        <v>152</v>
      </c>
      <c r="D1483" s="44" t="s">
        <v>223</v>
      </c>
      <c r="E1483" s="44">
        <v>20</v>
      </c>
      <c r="F1483" s="44" t="s">
        <v>3</v>
      </c>
      <c r="G1483" s="43" t="str">
        <f>IFERROR(VLOOKUP(A1483,'[1]MC Masterlist 2026-09-12'!$B:$M, 3, 0),"")</f>
        <v>HONDA</v>
      </c>
      <c r="H1483" s="45">
        <f>IFERROR(VLOOKUP(A1483,'[1]MC Masterlist 2026-09-12'!$B:$M, 6, 0),"")</f>
        <v>111258</v>
      </c>
      <c r="I1483" s="46">
        <v>0</v>
      </c>
      <c r="J1483" s="46">
        <v>1</v>
      </c>
      <c r="K1483" s="46">
        <v>0</v>
      </c>
      <c r="L1483" s="46">
        <f t="shared" si="345"/>
        <v>1</v>
      </c>
      <c r="M1483" s="46">
        <f t="shared" si="346"/>
        <v>0.33333333333333331</v>
      </c>
      <c r="N1483" s="45">
        <f t="shared" si="347"/>
        <v>111258</v>
      </c>
      <c r="O1483" s="45">
        <f t="shared" si="348"/>
        <v>37086</v>
      </c>
      <c r="P1483" s="46">
        <f t="shared" si="349"/>
        <v>1.111111111111111E-2</v>
      </c>
      <c r="Q1483" s="46">
        <v>2</v>
      </c>
      <c r="R1483" s="45">
        <f t="shared" si="350"/>
        <v>222516</v>
      </c>
      <c r="S1483" s="46">
        <f t="shared" si="351"/>
        <v>180</v>
      </c>
      <c r="T1483" s="46">
        <f>IFERROR(VLOOKUP(A1483,'[1]Re-order'!$A:$Q,17,0),"")</f>
        <v>41.339712918660283</v>
      </c>
      <c r="U1483" s="46">
        <f>IFERROR(VLOOKUP(A1483,'[1]MC Masterlist 2026-09-12'!$B:$M, 10, 0),0)</f>
        <v>15</v>
      </c>
      <c r="V1483" s="46">
        <f>IFERROR(VLOOKUP(A1483,'[1]MC Masterlist 2026-09-12'!$B:$M, 11, 0),0)</f>
        <v>15</v>
      </c>
      <c r="W1483" s="46">
        <f t="shared" si="352"/>
        <v>30</v>
      </c>
      <c r="X1483" s="46">
        <f t="shared" si="353"/>
        <v>29.833333333333332</v>
      </c>
      <c r="Y1483" s="46">
        <f>IFERROR(IF(OR(C1483="AREA I",C1483="AREA V"),7,VLOOKUP(A1483,'[1]MC Masterlist 2026-09-12'!$B:$M, 12, 0)),0)</f>
        <v>30</v>
      </c>
      <c r="Z1483" s="46">
        <f t="shared" si="354"/>
        <v>0.16666666666666666</v>
      </c>
      <c r="AA1483" s="46">
        <f t="shared" si="355"/>
        <v>0.33333333333333331</v>
      </c>
      <c r="AB1483" s="46">
        <f t="shared" si="356"/>
        <v>0.33148148148148143</v>
      </c>
      <c r="AC1483" s="46">
        <f t="shared" si="357"/>
        <v>0.33333333333333331</v>
      </c>
      <c r="AD1483" s="44" t="str">
        <f t="shared" si="358"/>
        <v>Over</v>
      </c>
      <c r="AE1483" s="44" t="str">
        <f>IFERROR(VLOOKUP(A1483,'[1]Re-order'!$A:$AA,27,0),"")</f>
        <v>Re-order</v>
      </c>
      <c r="AF1483" s="46">
        <f t="shared" si="359"/>
        <v>-1.6666666666666667</v>
      </c>
      <c r="AG1483" s="46">
        <f>SUMIFS('[1]Raw Inventory'!D:D,'[1]Raw Inventory'!C:C,"GREATWALL",'[1]Raw Inventory'!B:B,A1483)</f>
        <v>4</v>
      </c>
      <c r="AH1483" s="46">
        <f>SUMIFS('[1]Raw Inventory'!D:D,'[1]Raw Inventory'!C:C,"DUARTE",'[1]Raw Inventory'!B:B,A1483)</f>
        <v>0</v>
      </c>
      <c r="AI1483" s="46"/>
      <c r="AJ1483" s="46"/>
      <c r="AK1483" s="43"/>
      <c r="AL1483" s="43"/>
      <c r="AM1483" s="43"/>
      <c r="AN1483" s="43"/>
      <c r="AO1483" s="43"/>
      <c r="AP1483" s="43"/>
      <c r="AQ1483" s="43"/>
      <c r="AR1483" s="43"/>
      <c r="AS1483" s="43"/>
      <c r="AT1483" s="43"/>
    </row>
    <row r="1484" spans="1:46">
      <c r="A1484" s="43" t="s">
        <v>36</v>
      </c>
      <c r="B1484" s="43" t="s">
        <v>120</v>
      </c>
      <c r="C1484" s="43" t="s">
        <v>118</v>
      </c>
      <c r="D1484" s="44" t="s">
        <v>226</v>
      </c>
      <c r="E1484" s="44">
        <v>23</v>
      </c>
      <c r="F1484" s="44" t="s">
        <v>3</v>
      </c>
      <c r="G1484" s="43" t="str">
        <f>IFERROR(VLOOKUP(A1484,'[1]MC Masterlist 2026-09-12'!$B:$M, 3, 0),"")</f>
        <v>HONDA</v>
      </c>
      <c r="H1484" s="45">
        <f>IFERROR(VLOOKUP(A1484,'[1]MC Masterlist 2026-09-12'!$B:$M, 6, 0),"")</f>
        <v>76850</v>
      </c>
      <c r="I1484" s="46">
        <v>0</v>
      </c>
      <c r="J1484" s="46">
        <v>0</v>
      </c>
      <c r="K1484" s="46">
        <v>0</v>
      </c>
      <c r="L1484" s="46">
        <f t="shared" si="345"/>
        <v>0</v>
      </c>
      <c r="M1484" s="46">
        <f t="shared" si="346"/>
        <v>0</v>
      </c>
      <c r="N1484" s="45">
        <f t="shared" si="347"/>
        <v>0</v>
      </c>
      <c r="O1484" s="45">
        <f t="shared" si="348"/>
        <v>0</v>
      </c>
      <c r="P1484" s="46">
        <f t="shared" si="349"/>
        <v>0</v>
      </c>
      <c r="Q1484" s="46">
        <v>1</v>
      </c>
      <c r="R1484" s="45">
        <f t="shared" si="350"/>
        <v>76850</v>
      </c>
      <c r="S1484" s="46">
        <f t="shared" si="351"/>
        <v>0</v>
      </c>
      <c r="T1484" s="46">
        <f>IFERROR(VLOOKUP(A1484,'[1]Re-order'!$A:$Q,17,0),"")</f>
        <v>137.24999999999997</v>
      </c>
      <c r="U1484" s="46">
        <f>IFERROR(VLOOKUP(A1484,'[1]MC Masterlist 2026-09-12'!$B:$M, 10, 0),0)</f>
        <v>15</v>
      </c>
      <c r="V1484" s="46">
        <f>IFERROR(VLOOKUP(A1484,'[1]MC Masterlist 2026-09-12'!$B:$M, 11, 0),0)</f>
        <v>15</v>
      </c>
      <c r="W1484" s="46">
        <f t="shared" si="352"/>
        <v>30</v>
      </c>
      <c r="X1484" s="46">
        <f t="shared" si="353"/>
        <v>30</v>
      </c>
      <c r="Y1484" s="46">
        <f>IFERROR(IF(OR(C1484="AREA I",C1484="AREA V"),7,VLOOKUP(A1484,'[1]MC Masterlist 2026-09-12'!$B:$M, 12, 0)),0)</f>
        <v>30</v>
      </c>
      <c r="Z1484" s="46">
        <f t="shared" si="354"/>
        <v>0</v>
      </c>
      <c r="AA1484" s="46">
        <f t="shared" si="355"/>
        <v>0</v>
      </c>
      <c r="AB1484" s="46">
        <f t="shared" si="356"/>
        <v>0</v>
      </c>
      <c r="AC1484" s="46">
        <f t="shared" si="357"/>
        <v>0</v>
      </c>
      <c r="AD1484" s="44" t="str">
        <f t="shared" si="358"/>
        <v>Over</v>
      </c>
      <c r="AE1484" s="44" t="str">
        <f>IFERROR(VLOOKUP(A1484,'[1]Re-order'!$A:$AA,27,0),"")</f>
        <v>Over</v>
      </c>
      <c r="AF1484" s="46">
        <f t="shared" si="359"/>
        <v>-1</v>
      </c>
      <c r="AG1484" s="46">
        <f>SUMIFS('[1]Raw Inventory'!D:D,'[1]Raw Inventory'!C:C,"GREATWALL",'[1]Raw Inventory'!B:B,A1484)</f>
        <v>18</v>
      </c>
      <c r="AH1484" s="46">
        <f>SUMIFS('[1]Raw Inventory'!D:D,'[1]Raw Inventory'!C:C,"DUARTE",'[1]Raw Inventory'!B:B,A1484)</f>
        <v>0</v>
      </c>
      <c r="AI1484" s="46"/>
      <c r="AJ1484" s="46"/>
      <c r="AK1484" s="43"/>
      <c r="AL1484" s="43"/>
      <c r="AM1484" s="43"/>
      <c r="AN1484" s="43"/>
      <c r="AO1484" s="43"/>
      <c r="AP1484" s="43"/>
      <c r="AQ1484" s="43"/>
      <c r="AR1484" s="43"/>
      <c r="AS1484" s="43"/>
      <c r="AT1484" s="43"/>
    </row>
    <row r="1485" spans="1:46">
      <c r="A1485" s="43" t="s">
        <v>50</v>
      </c>
      <c r="B1485" s="43" t="s">
        <v>143</v>
      </c>
      <c r="C1485" s="43" t="s">
        <v>137</v>
      </c>
      <c r="D1485" s="44" t="s">
        <v>265</v>
      </c>
      <c r="E1485" s="44">
        <v>26</v>
      </c>
      <c r="F1485" s="44" t="s">
        <v>3</v>
      </c>
      <c r="G1485" s="43" t="str">
        <f>IFERROR(VLOOKUP(A1485,'[1]MC Masterlist 2026-09-12'!$B:$M, 3, 0),"")</f>
        <v>YAMAHA</v>
      </c>
      <c r="H1485" s="45">
        <f>IFERROR(VLOOKUP(A1485,'[1]MC Masterlist 2026-09-12'!$B:$M, 6, 0),"")</f>
        <v>78957</v>
      </c>
      <c r="I1485" s="46">
        <v>0</v>
      </c>
      <c r="J1485" s="46">
        <v>0</v>
      </c>
      <c r="K1485" s="46">
        <v>0</v>
      </c>
      <c r="L1485" s="46">
        <f t="shared" si="345"/>
        <v>0</v>
      </c>
      <c r="M1485" s="46">
        <f t="shared" si="346"/>
        <v>0</v>
      </c>
      <c r="N1485" s="45">
        <f t="shared" si="347"/>
        <v>0</v>
      </c>
      <c r="O1485" s="45">
        <f t="shared" si="348"/>
        <v>0</v>
      </c>
      <c r="P1485" s="46">
        <f t="shared" si="349"/>
        <v>0</v>
      </c>
      <c r="Q1485" s="46">
        <v>2</v>
      </c>
      <c r="R1485" s="45">
        <f t="shared" si="350"/>
        <v>157914</v>
      </c>
      <c r="S1485" s="46">
        <f t="shared" si="351"/>
        <v>0</v>
      </c>
      <c r="T1485" s="46">
        <f>IFERROR(VLOOKUP(A1485,'[1]Re-order'!$A:$Q,17,0),"")</f>
        <v>118.125</v>
      </c>
      <c r="U1485" s="46">
        <f>IFERROR(VLOOKUP(A1485,'[1]MC Masterlist 2026-09-12'!$B:$M, 10, 0),0)</f>
        <v>15</v>
      </c>
      <c r="V1485" s="46">
        <f>IFERROR(VLOOKUP(A1485,'[1]MC Masterlist 2026-09-12'!$B:$M, 11, 0),0)</f>
        <v>15</v>
      </c>
      <c r="W1485" s="46">
        <f t="shared" si="352"/>
        <v>30</v>
      </c>
      <c r="X1485" s="46">
        <f t="shared" si="353"/>
        <v>7</v>
      </c>
      <c r="Y1485" s="46">
        <f>IFERROR(IF(OR(C1485="AREA I",C1485="AREA V"),7,VLOOKUP(A1485,'[1]MC Masterlist 2026-09-12'!$B:$M, 12, 0)),0)</f>
        <v>7</v>
      </c>
      <c r="Z1485" s="46">
        <f t="shared" si="354"/>
        <v>0</v>
      </c>
      <c r="AA1485" s="46">
        <f t="shared" si="355"/>
        <v>0</v>
      </c>
      <c r="AB1485" s="46">
        <f t="shared" si="356"/>
        <v>0</v>
      </c>
      <c r="AC1485" s="46">
        <f t="shared" si="357"/>
        <v>0</v>
      </c>
      <c r="AD1485" s="44" t="str">
        <f t="shared" si="358"/>
        <v>Over</v>
      </c>
      <c r="AE1485" s="44" t="str">
        <f>IFERROR(VLOOKUP(A1485,'[1]Re-order'!$A:$AA,27,0),"")</f>
        <v>Over</v>
      </c>
      <c r="AF1485" s="46">
        <f t="shared" si="359"/>
        <v>-2</v>
      </c>
      <c r="AG1485" s="46">
        <f>SUMIFS('[1]Raw Inventory'!D:D,'[1]Raw Inventory'!C:C,"GREATWALL",'[1]Raw Inventory'!B:B,A1485)</f>
        <v>23</v>
      </c>
      <c r="AH1485" s="46">
        <f>SUMIFS('[1]Raw Inventory'!D:D,'[1]Raw Inventory'!C:C,"DUARTE",'[1]Raw Inventory'!B:B,A1485)</f>
        <v>0</v>
      </c>
      <c r="AI1485" s="46"/>
      <c r="AJ1485" s="46"/>
      <c r="AK1485" s="43"/>
      <c r="AL1485" s="43"/>
      <c r="AM1485" s="43"/>
      <c r="AN1485" s="43"/>
      <c r="AO1485" s="43"/>
      <c r="AP1485" s="43"/>
      <c r="AQ1485" s="43"/>
      <c r="AR1485" s="43"/>
      <c r="AS1485" s="43"/>
      <c r="AT1485" s="43"/>
    </row>
    <row r="1486" spans="1:46">
      <c r="A1486" s="43" t="s">
        <v>54</v>
      </c>
      <c r="B1486" s="43" t="s">
        <v>129</v>
      </c>
      <c r="C1486" s="43" t="s">
        <v>128</v>
      </c>
      <c r="D1486" s="44" t="s">
        <v>229</v>
      </c>
      <c r="E1486" s="44">
        <v>21</v>
      </c>
      <c r="F1486" s="44" t="s">
        <v>3</v>
      </c>
      <c r="G1486" s="43" t="str">
        <f>IFERROR(VLOOKUP(A1486,'[1]MC Masterlist 2026-09-12'!$B:$M, 3, 0),"")</f>
        <v>HONDA</v>
      </c>
      <c r="H1486" s="45">
        <f>IFERROR(VLOOKUP(A1486,'[1]MC Masterlist 2026-09-12'!$B:$M, 6, 0),"")</f>
        <v>70998</v>
      </c>
      <c r="I1486" s="46">
        <v>0</v>
      </c>
      <c r="J1486" s="46">
        <v>0</v>
      </c>
      <c r="K1486" s="46">
        <v>1</v>
      </c>
      <c r="L1486" s="46">
        <f t="shared" si="345"/>
        <v>1</v>
      </c>
      <c r="M1486" s="46">
        <f t="shared" si="346"/>
        <v>0.33333333333333331</v>
      </c>
      <c r="N1486" s="45">
        <f t="shared" si="347"/>
        <v>70998</v>
      </c>
      <c r="O1486" s="45">
        <f t="shared" si="348"/>
        <v>23666</v>
      </c>
      <c r="P1486" s="46">
        <f t="shared" si="349"/>
        <v>1.111111111111111E-2</v>
      </c>
      <c r="Q1486" s="46"/>
      <c r="R1486" s="45">
        <f t="shared" si="350"/>
        <v>0</v>
      </c>
      <c r="S1486" s="46">
        <f t="shared" si="351"/>
        <v>0</v>
      </c>
      <c r="T1486" s="46">
        <f>IFERROR(VLOOKUP(A1486,'[1]Re-order'!$A:$Q,17,0),"")</f>
        <v>114.54545454545455</v>
      </c>
      <c r="U1486" s="46">
        <f>IFERROR(VLOOKUP(A1486,'[1]MC Masterlist 2026-09-12'!$B:$M, 10, 0),0)</f>
        <v>15</v>
      </c>
      <c r="V1486" s="46">
        <f>IFERROR(VLOOKUP(A1486,'[1]MC Masterlist 2026-09-12'!$B:$M, 11, 0),0)</f>
        <v>15</v>
      </c>
      <c r="W1486" s="46">
        <f t="shared" si="352"/>
        <v>30</v>
      </c>
      <c r="X1486" s="46">
        <f t="shared" si="353"/>
        <v>29.833333333333332</v>
      </c>
      <c r="Y1486" s="46">
        <f>IFERROR(IF(OR(C1486="AREA I",C1486="AREA V"),7,VLOOKUP(A1486,'[1]MC Masterlist 2026-09-12'!$B:$M, 12, 0)),0)</f>
        <v>30</v>
      </c>
      <c r="Z1486" s="46">
        <f t="shared" si="354"/>
        <v>0.16666666666666666</v>
      </c>
      <c r="AA1486" s="46">
        <f t="shared" si="355"/>
        <v>0.33333333333333331</v>
      </c>
      <c r="AB1486" s="46">
        <f t="shared" si="356"/>
        <v>0.33148148148148143</v>
      </c>
      <c r="AC1486" s="46">
        <f t="shared" si="357"/>
        <v>0.33333333333333331</v>
      </c>
      <c r="AD1486" s="44" t="str">
        <f t="shared" si="358"/>
        <v>Stockout</v>
      </c>
      <c r="AE1486" s="44" t="str">
        <f>IFERROR(VLOOKUP(A1486,'[1]Re-order'!$A:$AA,27,0),"")</f>
        <v>Over</v>
      </c>
      <c r="AF1486" s="46">
        <f t="shared" si="359"/>
        <v>0.33333333333333331</v>
      </c>
      <c r="AG1486" s="46">
        <f>SUMIFS('[1]Raw Inventory'!D:D,'[1]Raw Inventory'!C:C,"GREATWALL",'[1]Raw Inventory'!B:B,A1486)</f>
        <v>0</v>
      </c>
      <c r="AH1486" s="46">
        <f>SUMIFS('[1]Raw Inventory'!D:D,'[1]Raw Inventory'!C:C,"DUARTE",'[1]Raw Inventory'!B:B,A1486)</f>
        <v>0</v>
      </c>
      <c r="AI1486" s="46"/>
      <c r="AJ1486" s="46"/>
      <c r="AK1486" s="43"/>
      <c r="AL1486" s="43"/>
      <c r="AM1486" s="43"/>
      <c r="AN1486" s="43"/>
      <c r="AO1486" s="43"/>
      <c r="AP1486" s="43"/>
      <c r="AQ1486" s="43"/>
      <c r="AR1486" s="43"/>
      <c r="AS1486" s="43"/>
      <c r="AT1486" s="43"/>
    </row>
    <row r="1487" spans="1:46">
      <c r="A1487" s="43" t="s">
        <v>31</v>
      </c>
      <c r="B1487" s="43" t="s">
        <v>132</v>
      </c>
      <c r="C1487" s="43" t="s">
        <v>128</v>
      </c>
      <c r="D1487" s="44" t="s">
        <v>262</v>
      </c>
      <c r="E1487" s="44">
        <v>16</v>
      </c>
      <c r="F1487" s="44" t="s">
        <v>2</v>
      </c>
      <c r="G1487" s="43" t="str">
        <f>IFERROR(VLOOKUP(A1487,'[1]MC Masterlist 2026-09-12'!$B:$M, 3, 0),"")</f>
        <v>KAWASAKI</v>
      </c>
      <c r="H1487" s="45">
        <f>IFERROR(VLOOKUP(A1487,'[1]MC Masterlist 2026-09-12'!$B:$M, 6, 0),"")</f>
        <v>59528</v>
      </c>
      <c r="I1487" s="46">
        <v>2</v>
      </c>
      <c r="J1487" s="46">
        <v>4</v>
      </c>
      <c r="K1487" s="46">
        <v>0</v>
      </c>
      <c r="L1487" s="46">
        <f t="shared" si="345"/>
        <v>6</v>
      </c>
      <c r="M1487" s="46">
        <f t="shared" si="346"/>
        <v>2</v>
      </c>
      <c r="N1487" s="45">
        <f t="shared" si="347"/>
        <v>357168</v>
      </c>
      <c r="O1487" s="45">
        <f t="shared" si="348"/>
        <v>119056</v>
      </c>
      <c r="P1487" s="46">
        <f t="shared" si="349"/>
        <v>6.6666666666666666E-2</v>
      </c>
      <c r="Q1487" s="46">
        <v>4</v>
      </c>
      <c r="R1487" s="45">
        <f t="shared" si="350"/>
        <v>238112</v>
      </c>
      <c r="S1487" s="46">
        <f t="shared" si="351"/>
        <v>60</v>
      </c>
      <c r="T1487" s="46">
        <f>IFERROR(VLOOKUP(A1487,'[1]Re-order'!$A:$Q,17,0),"")</f>
        <v>95.869565217391298</v>
      </c>
      <c r="U1487" s="46">
        <f>IFERROR(VLOOKUP(A1487,'[1]MC Masterlist 2026-09-12'!$B:$M, 10, 0),0)</f>
        <v>15</v>
      </c>
      <c r="V1487" s="46">
        <f>IFERROR(VLOOKUP(A1487,'[1]MC Masterlist 2026-09-12'!$B:$M, 11, 0),0)</f>
        <v>15</v>
      </c>
      <c r="W1487" s="46">
        <f t="shared" si="352"/>
        <v>30</v>
      </c>
      <c r="X1487" s="46">
        <f t="shared" si="353"/>
        <v>29</v>
      </c>
      <c r="Y1487" s="46">
        <f>IFERROR(IF(OR(C1487="AREA I",C1487="AREA V"),7,VLOOKUP(A1487,'[1]MC Masterlist 2026-09-12'!$B:$M, 12, 0)),0)</f>
        <v>30</v>
      </c>
      <c r="Z1487" s="46">
        <f t="shared" si="354"/>
        <v>1</v>
      </c>
      <c r="AA1487" s="46">
        <f t="shared" si="355"/>
        <v>2</v>
      </c>
      <c r="AB1487" s="46">
        <f t="shared" si="356"/>
        <v>1.9333333333333333</v>
      </c>
      <c r="AC1487" s="46">
        <f t="shared" si="357"/>
        <v>2</v>
      </c>
      <c r="AD1487" s="44" t="str">
        <f t="shared" si="358"/>
        <v>Over</v>
      </c>
      <c r="AE1487" s="44" t="str">
        <f>IFERROR(VLOOKUP(A1487,'[1]Re-order'!$A:$AA,27,0),"")</f>
        <v>Over</v>
      </c>
      <c r="AF1487" s="46">
        <f t="shared" si="359"/>
        <v>-2</v>
      </c>
      <c r="AG1487" s="46">
        <f>SUMIFS('[1]Raw Inventory'!D:D,'[1]Raw Inventory'!C:C,"GREATWALL",'[1]Raw Inventory'!B:B,A1487)</f>
        <v>79</v>
      </c>
      <c r="AH1487" s="46">
        <f>SUMIFS('[1]Raw Inventory'!D:D,'[1]Raw Inventory'!C:C,"DUARTE",'[1]Raw Inventory'!B:B,A1487)</f>
        <v>0</v>
      </c>
      <c r="AI1487" s="46"/>
      <c r="AJ1487" s="46"/>
      <c r="AK1487" s="43"/>
      <c r="AL1487" s="43"/>
      <c r="AM1487" s="43"/>
      <c r="AN1487" s="43"/>
      <c r="AO1487" s="43"/>
      <c r="AP1487" s="43"/>
      <c r="AQ1487" s="43"/>
      <c r="AR1487" s="43"/>
      <c r="AS1487" s="43"/>
      <c r="AT1487" s="43"/>
    </row>
    <row r="1488" spans="1:46">
      <c r="A1488" s="43" t="s">
        <v>18</v>
      </c>
      <c r="B1488" s="43" t="s">
        <v>29</v>
      </c>
      <c r="C1488" s="43" t="s">
        <v>1</v>
      </c>
      <c r="D1488" s="44" t="s">
        <v>264</v>
      </c>
      <c r="E1488" s="44">
        <v>7</v>
      </c>
      <c r="F1488" s="44" t="s">
        <v>0</v>
      </c>
      <c r="G1488" s="43" t="str">
        <f>IFERROR(VLOOKUP(A1488,'[1]MC Masterlist 2026-09-12'!$B:$M, 3, 0),"")</f>
        <v>HONDA</v>
      </c>
      <c r="H1488" s="45">
        <f>IFERROR(VLOOKUP(A1488,'[1]MC Masterlist 2026-09-12'!$B:$M, 6, 0),"")</f>
        <v>94330</v>
      </c>
      <c r="I1488" s="46">
        <v>3</v>
      </c>
      <c r="J1488" s="46">
        <v>4</v>
      </c>
      <c r="K1488" s="46">
        <v>4</v>
      </c>
      <c r="L1488" s="46">
        <f t="shared" si="345"/>
        <v>11</v>
      </c>
      <c r="M1488" s="46">
        <f t="shared" si="346"/>
        <v>3.6666666666666665</v>
      </c>
      <c r="N1488" s="45">
        <f t="shared" si="347"/>
        <v>1037630</v>
      </c>
      <c r="O1488" s="45">
        <f t="shared" si="348"/>
        <v>345876.66666666663</v>
      </c>
      <c r="P1488" s="46">
        <f t="shared" si="349"/>
        <v>0.12222222222222222</v>
      </c>
      <c r="Q1488" s="46">
        <v>2</v>
      </c>
      <c r="R1488" s="45">
        <f t="shared" si="350"/>
        <v>188660</v>
      </c>
      <c r="S1488" s="46">
        <f t="shared" si="351"/>
        <v>16.363636363636367</v>
      </c>
      <c r="T1488" s="46">
        <f>IFERROR(VLOOKUP(A1488,'[1]Re-order'!$A:$Q,17,0),"")</f>
        <v>113.9644970414201</v>
      </c>
      <c r="U1488" s="46">
        <f>IFERROR(VLOOKUP(A1488,'[1]MC Masterlist 2026-09-12'!$B:$M, 10, 0),0)</f>
        <v>15</v>
      </c>
      <c r="V1488" s="46">
        <f>IFERROR(VLOOKUP(A1488,'[1]MC Masterlist 2026-09-12'!$B:$M, 11, 0),0)</f>
        <v>15</v>
      </c>
      <c r="W1488" s="46">
        <f t="shared" si="352"/>
        <v>30</v>
      </c>
      <c r="X1488" s="46">
        <f t="shared" si="353"/>
        <v>5.166666666666667</v>
      </c>
      <c r="Y1488" s="46">
        <f>IFERROR(IF(OR(C1488="AREA I",C1488="AREA V"),7,VLOOKUP(A1488,'[1]MC Masterlist 2026-09-12'!$B:$M, 12, 0)),0)</f>
        <v>7</v>
      </c>
      <c r="Z1488" s="46">
        <f t="shared" si="354"/>
        <v>1.8333333333333333</v>
      </c>
      <c r="AA1488" s="46">
        <f t="shared" si="355"/>
        <v>3.6666666666666665</v>
      </c>
      <c r="AB1488" s="46">
        <f t="shared" si="356"/>
        <v>0.63148148148148153</v>
      </c>
      <c r="AC1488" s="46">
        <f t="shared" si="357"/>
        <v>0.85555555555555551</v>
      </c>
      <c r="AD1488" s="44" t="str">
        <f t="shared" si="358"/>
        <v>Over</v>
      </c>
      <c r="AE1488" s="44" t="str">
        <f>IFERROR(VLOOKUP(A1488,'[1]Re-order'!$A:$AA,27,0),"")</f>
        <v>Over</v>
      </c>
      <c r="AF1488" s="46">
        <f t="shared" si="359"/>
        <v>-1.1444444444444444</v>
      </c>
      <c r="AG1488" s="46">
        <f>SUMIFS('[1]Raw Inventory'!D:D,'[1]Raw Inventory'!C:C,"GREATWALL",'[1]Raw Inventory'!B:B,A1488)</f>
        <v>88</v>
      </c>
      <c r="AH1488" s="46">
        <f>SUMIFS('[1]Raw Inventory'!D:D,'[1]Raw Inventory'!C:C,"DUARTE",'[1]Raw Inventory'!B:B,A1488)</f>
        <v>0</v>
      </c>
      <c r="AI1488" s="46"/>
      <c r="AJ1488" s="46"/>
      <c r="AK1488" s="43"/>
      <c r="AL1488" s="43"/>
      <c r="AM1488" s="43"/>
      <c r="AN1488" s="43"/>
      <c r="AO1488" s="43"/>
      <c r="AP1488" s="43"/>
      <c r="AQ1488" s="43"/>
      <c r="AR1488" s="43"/>
      <c r="AS1488" s="43"/>
      <c r="AT1488" s="43"/>
    </row>
    <row r="1489" spans="1:46">
      <c r="A1489" s="43" t="s">
        <v>42</v>
      </c>
      <c r="B1489" s="43" t="s">
        <v>123</v>
      </c>
      <c r="C1489" s="43" t="s">
        <v>118</v>
      </c>
      <c r="D1489" s="44" t="s">
        <v>246</v>
      </c>
      <c r="E1489" s="44">
        <v>12</v>
      </c>
      <c r="F1489" s="44" t="s">
        <v>2</v>
      </c>
      <c r="G1489" s="43" t="str">
        <f>IFERROR(VLOOKUP(A1489,'[1]MC Masterlist 2026-09-12'!$B:$M, 3, 0),"")</f>
        <v>YAMAHA</v>
      </c>
      <c r="H1489" s="45">
        <f>IFERROR(VLOOKUP(A1489,'[1]MC Masterlist 2026-09-12'!$B:$M, 6, 0),"")</f>
        <v>152892</v>
      </c>
      <c r="I1489" s="46">
        <v>0</v>
      </c>
      <c r="J1489" s="46">
        <v>0</v>
      </c>
      <c r="K1489" s="46">
        <v>1</v>
      </c>
      <c r="L1489" s="46">
        <f t="shared" si="345"/>
        <v>1</v>
      </c>
      <c r="M1489" s="46">
        <f t="shared" si="346"/>
        <v>0.33333333333333331</v>
      </c>
      <c r="N1489" s="45">
        <f t="shared" si="347"/>
        <v>152892</v>
      </c>
      <c r="O1489" s="45">
        <f t="shared" si="348"/>
        <v>50964</v>
      </c>
      <c r="P1489" s="46">
        <f t="shared" si="349"/>
        <v>1.111111111111111E-2</v>
      </c>
      <c r="Q1489" s="46">
        <v>3</v>
      </c>
      <c r="R1489" s="45">
        <f t="shared" si="350"/>
        <v>458676</v>
      </c>
      <c r="S1489" s="46">
        <f t="shared" si="351"/>
        <v>270</v>
      </c>
      <c r="T1489" s="46">
        <f>IFERROR(VLOOKUP(A1489,'[1]Re-order'!$A:$Q,17,0),"")</f>
        <v>104.55882352941177</v>
      </c>
      <c r="U1489" s="46">
        <f>IFERROR(VLOOKUP(A1489,'[1]MC Masterlist 2026-09-12'!$B:$M, 10, 0),0)</f>
        <v>15</v>
      </c>
      <c r="V1489" s="46">
        <f>IFERROR(VLOOKUP(A1489,'[1]MC Masterlist 2026-09-12'!$B:$M, 11, 0),0)</f>
        <v>15</v>
      </c>
      <c r="W1489" s="46">
        <f t="shared" si="352"/>
        <v>30</v>
      </c>
      <c r="X1489" s="46">
        <f t="shared" si="353"/>
        <v>29.833333333333332</v>
      </c>
      <c r="Y1489" s="46">
        <f>IFERROR(IF(OR(C1489="AREA I",C1489="AREA V"),7,VLOOKUP(A1489,'[1]MC Masterlist 2026-09-12'!$B:$M, 12, 0)),0)</f>
        <v>30</v>
      </c>
      <c r="Z1489" s="46">
        <f t="shared" si="354"/>
        <v>0.16666666666666666</v>
      </c>
      <c r="AA1489" s="46">
        <f t="shared" si="355"/>
        <v>0.33333333333333331</v>
      </c>
      <c r="AB1489" s="46">
        <f t="shared" si="356"/>
        <v>0.33148148148148143</v>
      </c>
      <c r="AC1489" s="46">
        <f t="shared" si="357"/>
        <v>0.33333333333333331</v>
      </c>
      <c r="AD1489" s="44" t="str">
        <f t="shared" si="358"/>
        <v>Over</v>
      </c>
      <c r="AE1489" s="44" t="str">
        <f>IFERROR(VLOOKUP(A1489,'[1]Re-order'!$A:$AA,27,0),"")</f>
        <v>Over</v>
      </c>
      <c r="AF1489" s="46">
        <f t="shared" si="359"/>
        <v>-2.6666666666666665</v>
      </c>
      <c r="AG1489" s="46">
        <f>SUMIFS('[1]Raw Inventory'!D:D,'[1]Raw Inventory'!C:C,"GREATWALL",'[1]Raw Inventory'!B:B,A1489)</f>
        <v>3</v>
      </c>
      <c r="AH1489" s="46">
        <f>SUMIFS('[1]Raw Inventory'!D:D,'[1]Raw Inventory'!C:C,"DUARTE",'[1]Raw Inventory'!B:B,A1489)</f>
        <v>0</v>
      </c>
      <c r="AI1489" s="46"/>
      <c r="AJ1489" s="46"/>
      <c r="AK1489" s="43"/>
      <c r="AL1489" s="43"/>
      <c r="AM1489" s="43"/>
      <c r="AN1489" s="43"/>
      <c r="AO1489" s="43"/>
      <c r="AP1489" s="43"/>
      <c r="AQ1489" s="43"/>
      <c r="AR1489" s="43"/>
      <c r="AS1489" s="43"/>
      <c r="AT1489" s="43"/>
    </row>
    <row r="1490" spans="1:46">
      <c r="A1490" s="43" t="s">
        <v>25</v>
      </c>
      <c r="B1490" s="43" t="s">
        <v>162</v>
      </c>
      <c r="C1490" s="43" t="s">
        <v>159</v>
      </c>
      <c r="D1490" s="44" t="s">
        <v>225</v>
      </c>
      <c r="E1490" s="44">
        <v>3</v>
      </c>
      <c r="F1490" s="44" t="s">
        <v>0</v>
      </c>
      <c r="G1490" s="43" t="str">
        <f>IFERROR(VLOOKUP(A1490,'[1]MC Masterlist 2026-09-12'!$B:$M, 3, 0),"")</f>
        <v>YAMAHA</v>
      </c>
      <c r="H1490" s="45">
        <f>IFERROR(VLOOKUP(A1490,'[1]MC Masterlist 2026-09-12'!$B:$M, 6, 0),"")</f>
        <v>124527</v>
      </c>
      <c r="I1490" s="46">
        <v>7</v>
      </c>
      <c r="J1490" s="46">
        <v>2</v>
      </c>
      <c r="K1490" s="46">
        <v>1</v>
      </c>
      <c r="L1490" s="46">
        <f t="shared" si="345"/>
        <v>10</v>
      </c>
      <c r="M1490" s="46">
        <f t="shared" si="346"/>
        <v>3.3333333333333335</v>
      </c>
      <c r="N1490" s="45">
        <f t="shared" si="347"/>
        <v>1245270</v>
      </c>
      <c r="O1490" s="45">
        <f t="shared" si="348"/>
        <v>415090</v>
      </c>
      <c r="P1490" s="46">
        <f t="shared" si="349"/>
        <v>0.11111111111111112</v>
      </c>
      <c r="Q1490" s="46"/>
      <c r="R1490" s="45">
        <f t="shared" si="350"/>
        <v>0</v>
      </c>
      <c r="S1490" s="46">
        <f t="shared" si="351"/>
        <v>0</v>
      </c>
      <c r="T1490" s="46">
        <f>IFERROR(VLOOKUP(A1490,'[1]Re-order'!$A:$Q,17,0),"")</f>
        <v>5.1030927835051543</v>
      </c>
      <c r="U1490" s="46">
        <f>IFERROR(VLOOKUP(A1490,'[1]MC Masterlist 2026-09-12'!$B:$M, 10, 0),0)</f>
        <v>15</v>
      </c>
      <c r="V1490" s="46">
        <f>IFERROR(VLOOKUP(A1490,'[1]MC Masterlist 2026-09-12'!$B:$M, 11, 0),0)</f>
        <v>15</v>
      </c>
      <c r="W1490" s="46">
        <f t="shared" si="352"/>
        <v>30</v>
      </c>
      <c r="X1490" s="46">
        <f t="shared" si="353"/>
        <v>28.333333333333332</v>
      </c>
      <c r="Y1490" s="46">
        <f>IFERROR(IF(OR(C1490="AREA I",C1490="AREA V"),7,VLOOKUP(A1490,'[1]MC Masterlist 2026-09-12'!$B:$M, 12, 0)),0)</f>
        <v>30</v>
      </c>
      <c r="Z1490" s="46">
        <f t="shared" si="354"/>
        <v>1.6666666666666667</v>
      </c>
      <c r="AA1490" s="46">
        <f t="shared" si="355"/>
        <v>3.3333333333333335</v>
      </c>
      <c r="AB1490" s="46">
        <f t="shared" si="356"/>
        <v>3.1481481481481484</v>
      </c>
      <c r="AC1490" s="46">
        <f t="shared" si="357"/>
        <v>3.3333333333333335</v>
      </c>
      <c r="AD1490" s="44" t="str">
        <f t="shared" si="358"/>
        <v>Stockout</v>
      </c>
      <c r="AE1490" s="44" t="str">
        <f>IFERROR(VLOOKUP(A1490,'[1]Re-order'!$A:$AA,27,0),"")</f>
        <v>Stockout</v>
      </c>
      <c r="AF1490" s="46">
        <f t="shared" si="359"/>
        <v>3.3333333333333335</v>
      </c>
      <c r="AG1490" s="46">
        <f>SUMIFS('[1]Raw Inventory'!D:D,'[1]Raw Inventory'!C:C,"GREATWALL",'[1]Raw Inventory'!B:B,A1490)</f>
        <v>1</v>
      </c>
      <c r="AH1490" s="46">
        <f>SUMIFS('[1]Raw Inventory'!D:D,'[1]Raw Inventory'!C:C,"DUARTE",'[1]Raw Inventory'!B:B,A1490)</f>
        <v>0</v>
      </c>
      <c r="AI1490" s="46"/>
      <c r="AJ1490" s="46"/>
      <c r="AK1490" s="43"/>
      <c r="AL1490" s="43"/>
      <c r="AM1490" s="43"/>
      <c r="AN1490" s="43"/>
      <c r="AO1490" s="43"/>
      <c r="AP1490" s="43"/>
      <c r="AQ1490" s="43"/>
      <c r="AR1490" s="43"/>
      <c r="AS1490" s="43"/>
      <c r="AT1490" s="43"/>
    </row>
    <row r="1491" spans="1:46">
      <c r="A1491" s="43" t="s">
        <v>18</v>
      </c>
      <c r="B1491" s="43" t="s">
        <v>138</v>
      </c>
      <c r="C1491" s="43" t="s">
        <v>137</v>
      </c>
      <c r="D1491" s="44" t="s">
        <v>254</v>
      </c>
      <c r="E1491" s="44">
        <v>6</v>
      </c>
      <c r="F1491" s="44" t="s">
        <v>2</v>
      </c>
      <c r="G1491" s="43" t="str">
        <f>IFERROR(VLOOKUP(A1491,'[1]MC Masterlist 2026-09-12'!$B:$M, 3, 0),"")</f>
        <v>HONDA</v>
      </c>
      <c r="H1491" s="45">
        <f>IFERROR(VLOOKUP(A1491,'[1]MC Masterlist 2026-09-12'!$B:$M, 6, 0),"")</f>
        <v>94330</v>
      </c>
      <c r="I1491" s="46">
        <v>0</v>
      </c>
      <c r="J1491" s="46">
        <v>0</v>
      </c>
      <c r="K1491" s="46">
        <v>0</v>
      </c>
      <c r="L1491" s="46">
        <f t="shared" si="345"/>
        <v>0</v>
      </c>
      <c r="M1491" s="46">
        <f t="shared" si="346"/>
        <v>0</v>
      </c>
      <c r="N1491" s="45">
        <f t="shared" si="347"/>
        <v>0</v>
      </c>
      <c r="O1491" s="45">
        <f t="shared" si="348"/>
        <v>0</v>
      </c>
      <c r="P1491" s="46">
        <f t="shared" si="349"/>
        <v>0</v>
      </c>
      <c r="Q1491" s="46">
        <v>88</v>
      </c>
      <c r="R1491" s="45">
        <f t="shared" si="350"/>
        <v>8301040</v>
      </c>
      <c r="S1491" s="46">
        <f t="shared" si="351"/>
        <v>0</v>
      </c>
      <c r="T1491" s="46">
        <f>IFERROR(VLOOKUP(A1491,'[1]Re-order'!$A:$Q,17,0),"")</f>
        <v>113.9644970414201</v>
      </c>
      <c r="U1491" s="46">
        <f>IFERROR(VLOOKUP(A1491,'[1]MC Masterlist 2026-09-12'!$B:$M, 10, 0),0)</f>
        <v>15</v>
      </c>
      <c r="V1491" s="46">
        <f>IFERROR(VLOOKUP(A1491,'[1]MC Masterlist 2026-09-12'!$B:$M, 11, 0),0)</f>
        <v>15</v>
      </c>
      <c r="W1491" s="46">
        <f t="shared" si="352"/>
        <v>30</v>
      </c>
      <c r="X1491" s="46">
        <f t="shared" si="353"/>
        <v>7</v>
      </c>
      <c r="Y1491" s="46">
        <f>IFERROR(IF(OR(C1491="AREA I",C1491="AREA V"),7,VLOOKUP(A1491,'[1]MC Masterlist 2026-09-12'!$B:$M, 12, 0)),0)</f>
        <v>7</v>
      </c>
      <c r="Z1491" s="46">
        <f t="shared" si="354"/>
        <v>0</v>
      </c>
      <c r="AA1491" s="46">
        <f t="shared" si="355"/>
        <v>0</v>
      </c>
      <c r="AB1491" s="46">
        <f t="shared" si="356"/>
        <v>0</v>
      </c>
      <c r="AC1491" s="46">
        <f t="shared" si="357"/>
        <v>0</v>
      </c>
      <c r="AD1491" s="44" t="str">
        <f t="shared" si="358"/>
        <v>Over</v>
      </c>
      <c r="AE1491" s="44" t="str">
        <f>IFERROR(VLOOKUP(A1491,'[1]Re-order'!$A:$AA,27,0),"")</f>
        <v>Over</v>
      </c>
      <c r="AF1491" s="46">
        <f t="shared" si="359"/>
        <v>-88</v>
      </c>
      <c r="AG1491" s="46">
        <f>SUMIFS('[1]Raw Inventory'!D:D,'[1]Raw Inventory'!C:C,"GREATWALL",'[1]Raw Inventory'!B:B,A1491)</f>
        <v>88</v>
      </c>
      <c r="AH1491" s="46">
        <f>SUMIFS('[1]Raw Inventory'!D:D,'[1]Raw Inventory'!C:C,"DUARTE",'[1]Raw Inventory'!B:B,A1491)</f>
        <v>0</v>
      </c>
      <c r="AI1491" s="46"/>
      <c r="AJ1491" s="46"/>
      <c r="AK1491" s="43"/>
      <c r="AL1491" s="43"/>
      <c r="AM1491" s="43"/>
      <c r="AN1491" s="43"/>
      <c r="AO1491" s="43"/>
      <c r="AP1491" s="43"/>
      <c r="AQ1491" s="43"/>
      <c r="AR1491" s="43"/>
      <c r="AS1491" s="43"/>
      <c r="AT1491" s="43"/>
    </row>
    <row r="1492" spans="1:46">
      <c r="A1492" s="43" t="s">
        <v>78</v>
      </c>
      <c r="B1492" s="43" t="s">
        <v>162</v>
      </c>
      <c r="C1492" s="43" t="s">
        <v>159</v>
      </c>
      <c r="D1492" s="44" t="s">
        <v>261</v>
      </c>
      <c r="E1492" s="44">
        <v>15</v>
      </c>
      <c r="F1492" s="44" t="s">
        <v>2</v>
      </c>
      <c r="G1492" s="43" t="str">
        <f>IFERROR(VLOOKUP(A1492,'[1]MC Masterlist 2026-09-12'!$B:$M, 3, 0),"")</f>
        <v>KAWASAKI</v>
      </c>
      <c r="H1492" s="45">
        <f>IFERROR(VLOOKUP(A1492,'[1]MC Masterlist 2026-09-12'!$B:$M, 6, 0),"")</f>
        <v>100700</v>
      </c>
      <c r="I1492" s="46">
        <v>0</v>
      </c>
      <c r="J1492" s="46">
        <v>0</v>
      </c>
      <c r="K1492" s="46">
        <v>1</v>
      </c>
      <c r="L1492" s="46">
        <f t="shared" si="345"/>
        <v>1</v>
      </c>
      <c r="M1492" s="46">
        <f t="shared" si="346"/>
        <v>0.33333333333333331</v>
      </c>
      <c r="N1492" s="45">
        <f t="shared" si="347"/>
        <v>100700</v>
      </c>
      <c r="O1492" s="45">
        <f t="shared" si="348"/>
        <v>33566.666666666664</v>
      </c>
      <c r="P1492" s="46">
        <f t="shared" si="349"/>
        <v>1.111111111111111E-2</v>
      </c>
      <c r="Q1492" s="46">
        <v>1</v>
      </c>
      <c r="R1492" s="45">
        <f t="shared" si="350"/>
        <v>100700</v>
      </c>
      <c r="S1492" s="46">
        <f t="shared" si="351"/>
        <v>90</v>
      </c>
      <c r="T1492" s="46">
        <f>IFERROR(VLOOKUP(A1492,'[1]Re-order'!$A:$Q,17,0),"")</f>
        <v>438.75000000000006</v>
      </c>
      <c r="U1492" s="46">
        <f>IFERROR(VLOOKUP(A1492,'[1]MC Masterlist 2026-09-12'!$B:$M, 10, 0),0)</f>
        <v>15</v>
      </c>
      <c r="V1492" s="46">
        <f>IFERROR(VLOOKUP(A1492,'[1]MC Masterlist 2026-09-12'!$B:$M, 11, 0),0)</f>
        <v>15</v>
      </c>
      <c r="W1492" s="46">
        <f t="shared" si="352"/>
        <v>30</v>
      </c>
      <c r="X1492" s="46">
        <f t="shared" si="353"/>
        <v>29.833333333333332</v>
      </c>
      <c r="Y1492" s="46">
        <f>IFERROR(IF(OR(C1492="AREA I",C1492="AREA V"),7,VLOOKUP(A1492,'[1]MC Masterlist 2026-09-12'!$B:$M, 12, 0)),0)</f>
        <v>30</v>
      </c>
      <c r="Z1492" s="46">
        <f t="shared" si="354"/>
        <v>0.16666666666666666</v>
      </c>
      <c r="AA1492" s="46">
        <f t="shared" si="355"/>
        <v>0.33333333333333331</v>
      </c>
      <c r="AB1492" s="46">
        <f t="shared" si="356"/>
        <v>0.33148148148148143</v>
      </c>
      <c r="AC1492" s="46">
        <f t="shared" si="357"/>
        <v>0.33333333333333331</v>
      </c>
      <c r="AD1492" s="44" t="str">
        <f t="shared" si="358"/>
        <v>Over</v>
      </c>
      <c r="AE1492" s="44" t="str">
        <f>IFERROR(VLOOKUP(A1492,'[1]Re-order'!$A:$AA,27,0),"")</f>
        <v>Over</v>
      </c>
      <c r="AF1492" s="46">
        <f t="shared" si="359"/>
        <v>-0.66666666666666674</v>
      </c>
      <c r="AG1492" s="46">
        <f>SUMIFS('[1]Raw Inventory'!D:D,'[1]Raw Inventory'!C:C,"GREATWALL",'[1]Raw Inventory'!B:B,A1492)</f>
        <v>26</v>
      </c>
      <c r="AH1492" s="46">
        <f>SUMIFS('[1]Raw Inventory'!D:D,'[1]Raw Inventory'!C:C,"DUARTE",'[1]Raw Inventory'!B:B,A1492)</f>
        <v>0</v>
      </c>
      <c r="AI1492" s="46"/>
      <c r="AJ1492" s="46"/>
      <c r="AK1492" s="43"/>
      <c r="AL1492" s="43"/>
      <c r="AM1492" s="43"/>
      <c r="AN1492" s="43"/>
      <c r="AO1492" s="43"/>
      <c r="AP1492" s="43"/>
      <c r="AQ1492" s="43"/>
      <c r="AR1492" s="43"/>
      <c r="AS1492" s="43"/>
      <c r="AT1492" s="43"/>
    </row>
    <row r="1493" spans="1:46">
      <c r="A1493" s="43" t="s">
        <v>75</v>
      </c>
      <c r="B1493" s="43" t="s">
        <v>30</v>
      </c>
      <c r="C1493" s="43" t="s">
        <v>1</v>
      </c>
      <c r="D1493" s="44" t="s">
        <v>221</v>
      </c>
      <c r="E1493" s="44">
        <v>27</v>
      </c>
      <c r="F1493" s="44" t="s">
        <v>3</v>
      </c>
      <c r="G1493" s="43" t="str">
        <f>IFERROR(VLOOKUP(A1493,'[1]MC Masterlist 2026-09-12'!$B:$M, 3, 0),"")</f>
        <v>SUZUKI</v>
      </c>
      <c r="H1493" s="45">
        <f>IFERROR(VLOOKUP(A1493,'[1]MC Masterlist 2026-09-12'!$B:$M, 6, 0),"")</f>
        <v>138952</v>
      </c>
      <c r="I1493" s="46">
        <v>1</v>
      </c>
      <c r="J1493" s="46">
        <v>0</v>
      </c>
      <c r="K1493" s="46">
        <v>0</v>
      </c>
      <c r="L1493" s="46">
        <f t="shared" si="345"/>
        <v>1</v>
      </c>
      <c r="M1493" s="46">
        <f t="shared" si="346"/>
        <v>0.33333333333333331</v>
      </c>
      <c r="N1493" s="45">
        <f t="shared" si="347"/>
        <v>138952</v>
      </c>
      <c r="O1493" s="45">
        <f t="shared" si="348"/>
        <v>46317.333333333328</v>
      </c>
      <c r="P1493" s="46">
        <f t="shared" si="349"/>
        <v>1.111111111111111E-2</v>
      </c>
      <c r="Q1493" s="46"/>
      <c r="R1493" s="45">
        <f t="shared" si="350"/>
        <v>0</v>
      </c>
      <c r="S1493" s="46">
        <f t="shared" si="351"/>
        <v>0</v>
      </c>
      <c r="T1493" s="46">
        <f>IFERROR(VLOOKUP(A1493,'[1]Re-order'!$A:$Q,17,0),"")</f>
        <v>855.00000000000011</v>
      </c>
      <c r="U1493" s="46">
        <f>IFERROR(VLOOKUP(A1493,'[1]MC Masterlist 2026-09-12'!$B:$M, 10, 0),0)</f>
        <v>15</v>
      </c>
      <c r="V1493" s="46">
        <f>IFERROR(VLOOKUP(A1493,'[1]MC Masterlist 2026-09-12'!$B:$M, 11, 0),0)</f>
        <v>15</v>
      </c>
      <c r="W1493" s="46">
        <f t="shared" si="352"/>
        <v>30</v>
      </c>
      <c r="X1493" s="46">
        <f t="shared" si="353"/>
        <v>6.833333333333333</v>
      </c>
      <c r="Y1493" s="46">
        <f>IFERROR(IF(OR(C1493="AREA I",C1493="AREA V"),7,VLOOKUP(A1493,'[1]MC Masterlist 2026-09-12'!$B:$M, 12, 0)),0)</f>
        <v>7</v>
      </c>
      <c r="Z1493" s="46">
        <f t="shared" si="354"/>
        <v>0.16666666666666666</v>
      </c>
      <c r="AA1493" s="46">
        <f t="shared" si="355"/>
        <v>0.33333333333333331</v>
      </c>
      <c r="AB1493" s="46">
        <f t="shared" si="356"/>
        <v>7.5925925925925911E-2</v>
      </c>
      <c r="AC1493" s="46">
        <f t="shared" si="357"/>
        <v>7.7777777777777765E-2</v>
      </c>
      <c r="AD1493" s="44" t="str">
        <f t="shared" si="358"/>
        <v>Stockout</v>
      </c>
      <c r="AE1493" s="44" t="str">
        <f>IFERROR(VLOOKUP(A1493,'[1]Re-order'!$A:$AA,27,0),"")</f>
        <v>Over</v>
      </c>
      <c r="AF1493" s="46">
        <f t="shared" si="359"/>
        <v>7.7777777777777765E-2</v>
      </c>
      <c r="AG1493" s="46">
        <f>SUMIFS('[1]Raw Inventory'!D:D,'[1]Raw Inventory'!C:C,"GREATWALL",'[1]Raw Inventory'!B:B,A1493)</f>
        <v>8</v>
      </c>
      <c r="AH1493" s="46">
        <f>SUMIFS('[1]Raw Inventory'!D:D,'[1]Raw Inventory'!C:C,"DUARTE",'[1]Raw Inventory'!B:B,A1493)</f>
        <v>0</v>
      </c>
      <c r="AI1493" s="46"/>
      <c r="AJ1493" s="46"/>
      <c r="AK1493" s="43"/>
      <c r="AL1493" s="43"/>
      <c r="AM1493" s="43"/>
      <c r="AN1493" s="43"/>
      <c r="AO1493" s="43"/>
      <c r="AP1493" s="43"/>
      <c r="AQ1493" s="43"/>
      <c r="AR1493" s="43"/>
      <c r="AS1493" s="43"/>
      <c r="AT1493" s="43"/>
    </row>
    <row r="1494" spans="1:46">
      <c r="A1494" s="43" t="s">
        <v>42</v>
      </c>
      <c r="B1494" s="43" t="s">
        <v>154</v>
      </c>
      <c r="C1494" s="43" t="s">
        <v>152</v>
      </c>
      <c r="D1494" s="44" t="s">
        <v>232</v>
      </c>
      <c r="E1494" s="44">
        <v>28</v>
      </c>
      <c r="F1494" s="44" t="s">
        <v>3</v>
      </c>
      <c r="G1494" s="43" t="str">
        <f>IFERROR(VLOOKUP(A1494,'[1]MC Masterlist 2026-09-12'!$B:$M, 3, 0),"")</f>
        <v>YAMAHA</v>
      </c>
      <c r="H1494" s="45">
        <f>IFERROR(VLOOKUP(A1494,'[1]MC Masterlist 2026-09-12'!$B:$M, 6, 0),"")</f>
        <v>152892</v>
      </c>
      <c r="I1494" s="46">
        <v>0</v>
      </c>
      <c r="J1494" s="46">
        <v>0</v>
      </c>
      <c r="K1494" s="46">
        <v>0</v>
      </c>
      <c r="L1494" s="46">
        <f t="shared" si="345"/>
        <v>0</v>
      </c>
      <c r="M1494" s="46">
        <f t="shared" si="346"/>
        <v>0</v>
      </c>
      <c r="N1494" s="45">
        <f t="shared" si="347"/>
        <v>0</v>
      </c>
      <c r="O1494" s="45">
        <f t="shared" si="348"/>
        <v>0</v>
      </c>
      <c r="P1494" s="46">
        <f t="shared" si="349"/>
        <v>0</v>
      </c>
      <c r="Q1494" s="46">
        <v>3</v>
      </c>
      <c r="R1494" s="45">
        <f t="shared" si="350"/>
        <v>458676</v>
      </c>
      <c r="S1494" s="46">
        <f t="shared" si="351"/>
        <v>0</v>
      </c>
      <c r="T1494" s="46">
        <f>IFERROR(VLOOKUP(A1494,'[1]Re-order'!$A:$Q,17,0),"")</f>
        <v>104.55882352941177</v>
      </c>
      <c r="U1494" s="46">
        <f>IFERROR(VLOOKUP(A1494,'[1]MC Masterlist 2026-09-12'!$B:$M, 10, 0),0)</f>
        <v>15</v>
      </c>
      <c r="V1494" s="46">
        <f>IFERROR(VLOOKUP(A1494,'[1]MC Masterlist 2026-09-12'!$B:$M, 11, 0),0)</f>
        <v>15</v>
      </c>
      <c r="W1494" s="46">
        <f t="shared" si="352"/>
        <v>30</v>
      </c>
      <c r="X1494" s="46">
        <f t="shared" si="353"/>
        <v>30</v>
      </c>
      <c r="Y1494" s="46">
        <f>IFERROR(IF(OR(C1494="AREA I",C1494="AREA V"),7,VLOOKUP(A1494,'[1]MC Masterlist 2026-09-12'!$B:$M, 12, 0)),0)</f>
        <v>30</v>
      </c>
      <c r="Z1494" s="46">
        <f t="shared" si="354"/>
        <v>0</v>
      </c>
      <c r="AA1494" s="46">
        <f t="shared" si="355"/>
        <v>0</v>
      </c>
      <c r="AB1494" s="46">
        <f t="shared" si="356"/>
        <v>0</v>
      </c>
      <c r="AC1494" s="46">
        <f t="shared" si="357"/>
        <v>0</v>
      </c>
      <c r="AD1494" s="44" t="str">
        <f t="shared" si="358"/>
        <v>Over</v>
      </c>
      <c r="AE1494" s="44" t="str">
        <f>IFERROR(VLOOKUP(A1494,'[1]Re-order'!$A:$AA,27,0),"")</f>
        <v>Over</v>
      </c>
      <c r="AF1494" s="46">
        <f t="shared" si="359"/>
        <v>-3</v>
      </c>
      <c r="AG1494" s="46">
        <f>SUMIFS('[1]Raw Inventory'!D:D,'[1]Raw Inventory'!C:C,"GREATWALL",'[1]Raw Inventory'!B:B,A1494)</f>
        <v>3</v>
      </c>
      <c r="AH1494" s="46">
        <f>SUMIFS('[1]Raw Inventory'!D:D,'[1]Raw Inventory'!C:C,"DUARTE",'[1]Raw Inventory'!B:B,A1494)</f>
        <v>0</v>
      </c>
      <c r="AI1494" s="46"/>
      <c r="AJ1494" s="46"/>
      <c r="AK1494" s="43"/>
      <c r="AL1494" s="43"/>
      <c r="AM1494" s="43"/>
      <c r="AN1494" s="43"/>
      <c r="AO1494" s="43"/>
      <c r="AP1494" s="43"/>
      <c r="AQ1494" s="43"/>
      <c r="AR1494" s="43"/>
      <c r="AS1494" s="43"/>
      <c r="AT1494" s="43"/>
    </row>
    <row r="1495" spans="1:46">
      <c r="A1495" s="43" t="s">
        <v>136</v>
      </c>
      <c r="B1495" s="43" t="s">
        <v>132</v>
      </c>
      <c r="C1495" s="43" t="s">
        <v>128</v>
      </c>
      <c r="D1495" s="44" t="s">
        <v>232</v>
      </c>
      <c r="E1495" s="44">
        <v>30</v>
      </c>
      <c r="F1495" s="44" t="s">
        <v>3</v>
      </c>
      <c r="G1495" s="43" t="str">
        <f>IFERROR(VLOOKUP(A1495,'[1]MC Masterlist 2026-09-12'!$B:$M, 3, 0),"")</f>
        <v>YAMAHA</v>
      </c>
      <c r="H1495" s="45">
        <f>IFERROR(VLOOKUP(A1495,'[1]MC Masterlist 2026-09-12'!$B:$M, 6, 0),"")</f>
        <v>236220</v>
      </c>
      <c r="I1495" s="46">
        <v>0</v>
      </c>
      <c r="J1495" s="46">
        <v>0</v>
      </c>
      <c r="K1495" s="46">
        <v>0</v>
      </c>
      <c r="L1495" s="46">
        <f t="shared" si="345"/>
        <v>0</v>
      </c>
      <c r="M1495" s="46">
        <f t="shared" si="346"/>
        <v>0</v>
      </c>
      <c r="N1495" s="45">
        <f t="shared" si="347"/>
        <v>0</v>
      </c>
      <c r="O1495" s="45">
        <f t="shared" si="348"/>
        <v>0</v>
      </c>
      <c r="P1495" s="46">
        <f t="shared" si="349"/>
        <v>0</v>
      </c>
      <c r="Q1495" s="46">
        <v>1</v>
      </c>
      <c r="R1495" s="45">
        <f t="shared" si="350"/>
        <v>236220</v>
      </c>
      <c r="S1495" s="46">
        <f t="shared" si="351"/>
        <v>0</v>
      </c>
      <c r="T1495" s="46" t="str">
        <f>IFERROR(VLOOKUP(A1495,'[1]Re-order'!$A:$Q,17,0),"")</f>
        <v/>
      </c>
      <c r="U1495" s="46">
        <f>IFERROR(VLOOKUP(A1495,'[1]MC Masterlist 2026-09-12'!$B:$M, 10, 0),0)</f>
        <v>15</v>
      </c>
      <c r="V1495" s="46">
        <f>IFERROR(VLOOKUP(A1495,'[1]MC Masterlist 2026-09-12'!$B:$M, 11, 0),0)</f>
        <v>15</v>
      </c>
      <c r="W1495" s="46">
        <f t="shared" si="352"/>
        <v>30</v>
      </c>
      <c r="X1495" s="46">
        <f t="shared" si="353"/>
        <v>30</v>
      </c>
      <c r="Y1495" s="46">
        <f>IFERROR(IF(OR(C1495="AREA I",C1495="AREA V"),7,VLOOKUP(A1495,'[1]MC Masterlist 2026-09-12'!$B:$M, 12, 0)),0)</f>
        <v>30</v>
      </c>
      <c r="Z1495" s="46">
        <f t="shared" si="354"/>
        <v>0</v>
      </c>
      <c r="AA1495" s="46">
        <f t="shared" si="355"/>
        <v>0</v>
      </c>
      <c r="AB1495" s="46">
        <f t="shared" si="356"/>
        <v>0</v>
      </c>
      <c r="AC1495" s="46">
        <f t="shared" si="357"/>
        <v>0</v>
      </c>
      <c r="AD1495" s="44" t="str">
        <f t="shared" si="358"/>
        <v>Over</v>
      </c>
      <c r="AE1495" s="44" t="str">
        <f>IFERROR(VLOOKUP(A1495,'[1]Re-order'!$A:$AA,27,0),"")</f>
        <v>Over</v>
      </c>
      <c r="AF1495" s="46">
        <f t="shared" si="359"/>
        <v>-1</v>
      </c>
      <c r="AG1495" s="46">
        <f>SUMIFS('[1]Raw Inventory'!D:D,'[1]Raw Inventory'!C:C,"GREATWALL",'[1]Raw Inventory'!B:B,A1495)</f>
        <v>0</v>
      </c>
      <c r="AH1495" s="46">
        <f>SUMIFS('[1]Raw Inventory'!D:D,'[1]Raw Inventory'!C:C,"DUARTE",'[1]Raw Inventory'!B:B,A1495)</f>
        <v>0</v>
      </c>
      <c r="AI1495" s="46"/>
      <c r="AJ1495" s="46"/>
      <c r="AK1495" s="43"/>
      <c r="AL1495" s="43"/>
      <c r="AM1495" s="43"/>
      <c r="AN1495" s="43"/>
      <c r="AO1495" s="43"/>
      <c r="AP1495" s="43"/>
      <c r="AQ1495" s="43"/>
      <c r="AR1495" s="43"/>
      <c r="AS1495" s="43"/>
      <c r="AT1495" s="43"/>
    </row>
    <row r="1496" spans="1:46">
      <c r="A1496" s="43" t="s">
        <v>22</v>
      </c>
      <c r="B1496" s="43" t="s">
        <v>113</v>
      </c>
      <c r="C1496" s="43" t="s">
        <v>109</v>
      </c>
      <c r="D1496" s="44" t="s">
        <v>246</v>
      </c>
      <c r="E1496" s="44">
        <v>12</v>
      </c>
      <c r="F1496" s="44" t="s">
        <v>2</v>
      </c>
      <c r="G1496" s="43" t="str">
        <f>IFERROR(VLOOKUP(A1496,'[1]MC Masterlist 2026-09-12'!$B:$M, 3, 0),"")</f>
        <v>HONDA</v>
      </c>
      <c r="H1496" s="45">
        <f>IFERROR(VLOOKUP(A1496,'[1]MC Masterlist 2026-09-12'!$B:$M, 6, 0),"")</f>
        <v>111258</v>
      </c>
      <c r="I1496" s="46">
        <v>1</v>
      </c>
      <c r="J1496" s="46">
        <v>0</v>
      </c>
      <c r="K1496" s="46">
        <v>3</v>
      </c>
      <c r="L1496" s="46">
        <f t="shared" si="345"/>
        <v>4</v>
      </c>
      <c r="M1496" s="46">
        <f t="shared" si="346"/>
        <v>1.3333333333333333</v>
      </c>
      <c r="N1496" s="45">
        <f t="shared" si="347"/>
        <v>445032</v>
      </c>
      <c r="O1496" s="45">
        <f t="shared" si="348"/>
        <v>148344</v>
      </c>
      <c r="P1496" s="46">
        <f t="shared" si="349"/>
        <v>4.4444444444444439E-2</v>
      </c>
      <c r="Q1496" s="46">
        <v>4</v>
      </c>
      <c r="R1496" s="45">
        <f t="shared" si="350"/>
        <v>445032</v>
      </c>
      <c r="S1496" s="46">
        <f t="shared" si="351"/>
        <v>90</v>
      </c>
      <c r="T1496" s="46">
        <f>IFERROR(VLOOKUP(A1496,'[1]Re-order'!$A:$Q,17,0),"")</f>
        <v>41.339712918660283</v>
      </c>
      <c r="U1496" s="46">
        <f>IFERROR(VLOOKUP(A1496,'[1]MC Masterlist 2026-09-12'!$B:$M, 10, 0),0)</f>
        <v>15</v>
      </c>
      <c r="V1496" s="46">
        <f>IFERROR(VLOOKUP(A1496,'[1]MC Masterlist 2026-09-12'!$B:$M, 11, 0),0)</f>
        <v>15</v>
      </c>
      <c r="W1496" s="46">
        <f t="shared" si="352"/>
        <v>30</v>
      </c>
      <c r="X1496" s="46">
        <f t="shared" si="353"/>
        <v>29.333333333333332</v>
      </c>
      <c r="Y1496" s="46">
        <f>IFERROR(IF(OR(C1496="AREA I",C1496="AREA V"),7,VLOOKUP(A1496,'[1]MC Masterlist 2026-09-12'!$B:$M, 12, 0)),0)</f>
        <v>30</v>
      </c>
      <c r="Z1496" s="46">
        <f t="shared" si="354"/>
        <v>0.66666666666666663</v>
      </c>
      <c r="AA1496" s="46">
        <f t="shared" si="355"/>
        <v>1.3333333333333333</v>
      </c>
      <c r="AB1496" s="46">
        <f t="shared" si="356"/>
        <v>1.3037037037037036</v>
      </c>
      <c r="AC1496" s="46">
        <f t="shared" si="357"/>
        <v>1.3333333333333333</v>
      </c>
      <c r="AD1496" s="44" t="str">
        <f t="shared" si="358"/>
        <v>Over</v>
      </c>
      <c r="AE1496" s="44" t="str">
        <f>IFERROR(VLOOKUP(A1496,'[1]Re-order'!$A:$AA,27,0),"")</f>
        <v>Re-order</v>
      </c>
      <c r="AF1496" s="46">
        <f t="shared" si="359"/>
        <v>-2.666666666666667</v>
      </c>
      <c r="AG1496" s="46">
        <f>SUMIFS('[1]Raw Inventory'!D:D,'[1]Raw Inventory'!C:C,"GREATWALL",'[1]Raw Inventory'!B:B,A1496)</f>
        <v>4</v>
      </c>
      <c r="AH1496" s="46">
        <f>SUMIFS('[1]Raw Inventory'!D:D,'[1]Raw Inventory'!C:C,"DUARTE",'[1]Raw Inventory'!B:B,A1496)</f>
        <v>0</v>
      </c>
      <c r="AI1496" s="46"/>
      <c r="AJ1496" s="46"/>
      <c r="AK1496" s="43"/>
      <c r="AL1496" s="43"/>
      <c r="AM1496" s="43"/>
      <c r="AN1496" s="43"/>
      <c r="AO1496" s="43"/>
      <c r="AP1496" s="43"/>
      <c r="AQ1496" s="43"/>
      <c r="AR1496" s="43"/>
      <c r="AS1496" s="43"/>
      <c r="AT1496" s="43"/>
    </row>
    <row r="1497" spans="1:46">
      <c r="A1497" s="43" t="s">
        <v>40</v>
      </c>
      <c r="B1497" s="43" t="s">
        <v>139</v>
      </c>
      <c r="C1497" s="43" t="s">
        <v>137</v>
      </c>
      <c r="D1497" s="44" t="s">
        <v>240</v>
      </c>
      <c r="E1497" s="44">
        <v>12</v>
      </c>
      <c r="F1497" s="44" t="s">
        <v>2</v>
      </c>
      <c r="G1497" s="43" t="str">
        <f>IFERROR(VLOOKUP(A1497,'[1]MC Masterlist 2026-09-12'!$B:$M, 3, 0),"")</f>
        <v>HONDA</v>
      </c>
      <c r="H1497" s="45">
        <f>IFERROR(VLOOKUP(A1497,'[1]MC Masterlist 2026-09-12'!$B:$M, 6, 0),"")</f>
        <v>56426</v>
      </c>
      <c r="I1497" s="46">
        <v>5</v>
      </c>
      <c r="J1497" s="46">
        <v>3</v>
      </c>
      <c r="K1497" s="46">
        <v>5</v>
      </c>
      <c r="L1497" s="46">
        <f t="shared" si="345"/>
        <v>13</v>
      </c>
      <c r="M1497" s="46">
        <f t="shared" si="346"/>
        <v>4.333333333333333</v>
      </c>
      <c r="N1497" s="45">
        <f t="shared" si="347"/>
        <v>733538</v>
      </c>
      <c r="O1497" s="45">
        <f t="shared" si="348"/>
        <v>244512.66666666666</v>
      </c>
      <c r="P1497" s="46">
        <f t="shared" si="349"/>
        <v>0.14444444444444443</v>
      </c>
      <c r="Q1497" s="46">
        <v>7</v>
      </c>
      <c r="R1497" s="45">
        <f t="shared" si="350"/>
        <v>394982</v>
      </c>
      <c r="S1497" s="46">
        <f t="shared" si="351"/>
        <v>48.46153846153846</v>
      </c>
      <c r="T1497" s="46">
        <f>IFERROR(VLOOKUP(A1497,'[1]Re-order'!$A:$Q,17,0),"")</f>
        <v>139.56521739130434</v>
      </c>
      <c r="U1497" s="46">
        <f>IFERROR(VLOOKUP(A1497,'[1]MC Masterlist 2026-09-12'!$B:$M, 10, 0),0)</f>
        <v>15</v>
      </c>
      <c r="V1497" s="46">
        <f>IFERROR(VLOOKUP(A1497,'[1]MC Masterlist 2026-09-12'!$B:$M, 11, 0),0)</f>
        <v>15</v>
      </c>
      <c r="W1497" s="46">
        <f t="shared" si="352"/>
        <v>30</v>
      </c>
      <c r="X1497" s="46">
        <f t="shared" si="353"/>
        <v>4.8333333333333339</v>
      </c>
      <c r="Y1497" s="46">
        <f>IFERROR(IF(OR(C1497="AREA I",C1497="AREA V"),7,VLOOKUP(A1497,'[1]MC Masterlist 2026-09-12'!$B:$M, 12, 0)),0)</f>
        <v>7</v>
      </c>
      <c r="Z1497" s="46">
        <f t="shared" si="354"/>
        <v>2.1666666666666665</v>
      </c>
      <c r="AA1497" s="46">
        <f t="shared" si="355"/>
        <v>4.333333333333333</v>
      </c>
      <c r="AB1497" s="46">
        <f t="shared" si="356"/>
        <v>0.69814814814814818</v>
      </c>
      <c r="AC1497" s="46">
        <f t="shared" si="357"/>
        <v>1.0111111111111111</v>
      </c>
      <c r="AD1497" s="44" t="str">
        <f t="shared" si="358"/>
        <v>Over</v>
      </c>
      <c r="AE1497" s="44" t="str">
        <f>IFERROR(VLOOKUP(A1497,'[1]Re-order'!$A:$AA,27,0),"")</f>
        <v>Over</v>
      </c>
      <c r="AF1497" s="46">
        <f t="shared" si="359"/>
        <v>-5.9888888888888889</v>
      </c>
      <c r="AG1497" s="46">
        <f>SUMIFS('[1]Raw Inventory'!D:D,'[1]Raw Inventory'!C:C,"GREATWALL",'[1]Raw Inventory'!B:B,A1497)</f>
        <v>45</v>
      </c>
      <c r="AH1497" s="46">
        <f>SUMIFS('[1]Raw Inventory'!D:D,'[1]Raw Inventory'!C:C,"DUARTE",'[1]Raw Inventory'!B:B,A1497)</f>
        <v>0</v>
      </c>
      <c r="AI1497" s="46"/>
      <c r="AJ1497" s="46"/>
      <c r="AK1497" s="43"/>
      <c r="AL1497" s="43"/>
      <c r="AM1497" s="43"/>
      <c r="AN1497" s="43"/>
      <c r="AO1497" s="43"/>
      <c r="AP1497" s="43"/>
      <c r="AQ1497" s="43"/>
      <c r="AR1497" s="43"/>
      <c r="AS1497" s="43"/>
      <c r="AT1497" s="43"/>
    </row>
    <row r="1498" spans="1:46">
      <c r="A1498" s="43" t="s">
        <v>44</v>
      </c>
      <c r="B1498" s="43" t="s">
        <v>98</v>
      </c>
      <c r="C1498" s="43" t="s">
        <v>90</v>
      </c>
      <c r="D1498" s="44" t="s">
        <v>246</v>
      </c>
      <c r="E1498" s="44">
        <v>12</v>
      </c>
      <c r="F1498" s="44" t="s">
        <v>2</v>
      </c>
      <c r="G1498" s="43" t="str">
        <f>IFERROR(VLOOKUP(A1498,'[1]MC Masterlist 2026-09-12'!$B:$M, 3, 0),"")</f>
        <v>YAMAHA</v>
      </c>
      <c r="H1498" s="45">
        <f>IFERROR(VLOOKUP(A1498,'[1]MC Masterlist 2026-09-12'!$B:$M, 6, 0),"")</f>
        <v>165912</v>
      </c>
      <c r="I1498" s="46">
        <v>0</v>
      </c>
      <c r="J1498" s="46">
        <v>0</v>
      </c>
      <c r="K1498" s="46">
        <v>1</v>
      </c>
      <c r="L1498" s="46">
        <f t="shared" si="345"/>
        <v>1</v>
      </c>
      <c r="M1498" s="46">
        <f t="shared" si="346"/>
        <v>0.33333333333333331</v>
      </c>
      <c r="N1498" s="45">
        <f t="shared" si="347"/>
        <v>165912</v>
      </c>
      <c r="O1498" s="45">
        <f t="shared" si="348"/>
        <v>55304</v>
      </c>
      <c r="P1498" s="46">
        <f t="shared" si="349"/>
        <v>1.111111111111111E-2</v>
      </c>
      <c r="Q1498" s="46"/>
      <c r="R1498" s="45">
        <f t="shared" si="350"/>
        <v>0</v>
      </c>
      <c r="S1498" s="46">
        <f t="shared" si="351"/>
        <v>0</v>
      </c>
      <c r="T1498" s="46">
        <f>IFERROR(VLOOKUP(A1498,'[1]Re-order'!$A:$Q,17,0),"")</f>
        <v>10.588235294117649</v>
      </c>
      <c r="U1498" s="46">
        <f>IFERROR(VLOOKUP(A1498,'[1]MC Masterlist 2026-09-12'!$B:$M, 10, 0),0)</f>
        <v>15</v>
      </c>
      <c r="V1498" s="46">
        <f>IFERROR(VLOOKUP(A1498,'[1]MC Masterlist 2026-09-12'!$B:$M, 11, 0),0)</f>
        <v>15</v>
      </c>
      <c r="W1498" s="46">
        <f t="shared" si="352"/>
        <v>30</v>
      </c>
      <c r="X1498" s="46">
        <f t="shared" si="353"/>
        <v>29.833333333333332</v>
      </c>
      <c r="Y1498" s="46">
        <f>IFERROR(IF(OR(C1498="AREA I",C1498="AREA V"),7,VLOOKUP(A1498,'[1]MC Masterlist 2026-09-12'!$B:$M, 12, 0)),0)</f>
        <v>30</v>
      </c>
      <c r="Z1498" s="46">
        <f t="shared" si="354"/>
        <v>0.16666666666666666</v>
      </c>
      <c r="AA1498" s="46">
        <f t="shared" si="355"/>
        <v>0.33333333333333331</v>
      </c>
      <c r="AB1498" s="46">
        <f t="shared" si="356"/>
        <v>0.33148148148148143</v>
      </c>
      <c r="AC1498" s="46">
        <f t="shared" si="357"/>
        <v>0.33333333333333331</v>
      </c>
      <c r="AD1498" s="44" t="str">
        <f t="shared" si="358"/>
        <v>Stockout</v>
      </c>
      <c r="AE1498" s="44" t="str">
        <f>IFERROR(VLOOKUP(A1498,'[1]Re-order'!$A:$AA,27,0),"")</f>
        <v>Stockout</v>
      </c>
      <c r="AF1498" s="46">
        <f t="shared" si="359"/>
        <v>0.33333333333333331</v>
      </c>
      <c r="AG1498" s="46">
        <f>SUMIFS('[1]Raw Inventory'!D:D,'[1]Raw Inventory'!C:C,"GREATWALL",'[1]Raw Inventory'!B:B,A1498)</f>
        <v>0</v>
      </c>
      <c r="AH1498" s="46">
        <f>SUMIFS('[1]Raw Inventory'!D:D,'[1]Raw Inventory'!C:C,"DUARTE",'[1]Raw Inventory'!B:B,A1498)</f>
        <v>0</v>
      </c>
      <c r="AI1498" s="46"/>
      <c r="AJ1498" s="46"/>
      <c r="AK1498" s="43"/>
      <c r="AL1498" s="43"/>
      <c r="AM1498" s="43"/>
      <c r="AN1498" s="43"/>
      <c r="AO1498" s="43"/>
      <c r="AP1498" s="43"/>
      <c r="AQ1498" s="43"/>
      <c r="AR1498" s="43"/>
      <c r="AS1498" s="43"/>
      <c r="AT1498" s="43"/>
    </row>
    <row r="1499" spans="1:46">
      <c r="A1499" s="43" t="s">
        <v>57</v>
      </c>
      <c r="B1499" s="43" t="s">
        <v>11</v>
      </c>
      <c r="C1499" s="43" t="s">
        <v>1</v>
      </c>
      <c r="D1499" s="44" t="s">
        <v>239</v>
      </c>
      <c r="E1499" s="44">
        <v>23</v>
      </c>
      <c r="F1499" s="44" t="s">
        <v>3</v>
      </c>
      <c r="G1499" s="43" t="str">
        <f>IFERROR(VLOOKUP(A1499,'[1]MC Masterlist 2026-09-12'!$B:$M, 3, 0),"")</f>
        <v>HONDA</v>
      </c>
      <c r="H1499" s="45">
        <f>IFERROR(VLOOKUP(A1499,'[1]MC Masterlist 2026-09-12'!$B:$M, 6, 0),"")</f>
        <v>146328</v>
      </c>
      <c r="I1499" s="46">
        <v>0</v>
      </c>
      <c r="J1499" s="46">
        <v>0</v>
      </c>
      <c r="K1499" s="46">
        <v>0</v>
      </c>
      <c r="L1499" s="46">
        <f t="shared" si="345"/>
        <v>0</v>
      </c>
      <c r="M1499" s="46">
        <f t="shared" si="346"/>
        <v>0</v>
      </c>
      <c r="N1499" s="45">
        <f t="shared" si="347"/>
        <v>0</v>
      </c>
      <c r="O1499" s="45">
        <f t="shared" si="348"/>
        <v>0</v>
      </c>
      <c r="P1499" s="46">
        <f t="shared" si="349"/>
        <v>0</v>
      </c>
      <c r="Q1499" s="46">
        <v>1</v>
      </c>
      <c r="R1499" s="45">
        <f t="shared" si="350"/>
        <v>146328</v>
      </c>
      <c r="S1499" s="46">
        <f t="shared" si="351"/>
        <v>0</v>
      </c>
      <c r="T1499" s="46" t="str">
        <f>IFERROR(VLOOKUP(A1499,'[1]Re-order'!$A:$Q,17,0),"")</f>
        <v/>
      </c>
      <c r="U1499" s="46">
        <f>IFERROR(VLOOKUP(A1499,'[1]MC Masterlist 2026-09-12'!$B:$M, 10, 0),0)</f>
        <v>15</v>
      </c>
      <c r="V1499" s="46">
        <f>IFERROR(VLOOKUP(A1499,'[1]MC Masterlist 2026-09-12'!$B:$M, 11, 0),0)</f>
        <v>15</v>
      </c>
      <c r="W1499" s="46">
        <f t="shared" si="352"/>
        <v>30</v>
      </c>
      <c r="X1499" s="46">
        <f t="shared" si="353"/>
        <v>7</v>
      </c>
      <c r="Y1499" s="46">
        <f>IFERROR(IF(OR(C1499="AREA I",C1499="AREA V"),7,VLOOKUP(A1499,'[1]MC Masterlist 2026-09-12'!$B:$M, 12, 0)),0)</f>
        <v>7</v>
      </c>
      <c r="Z1499" s="46">
        <f t="shared" si="354"/>
        <v>0</v>
      </c>
      <c r="AA1499" s="46">
        <f t="shared" si="355"/>
        <v>0</v>
      </c>
      <c r="AB1499" s="46">
        <f t="shared" si="356"/>
        <v>0</v>
      </c>
      <c r="AC1499" s="46">
        <f t="shared" si="357"/>
        <v>0</v>
      </c>
      <c r="AD1499" s="44" t="str">
        <f t="shared" si="358"/>
        <v>Over</v>
      </c>
      <c r="AE1499" s="44" t="str">
        <f>IFERROR(VLOOKUP(A1499,'[1]Re-order'!$A:$AA,27,0),"")</f>
        <v>Over</v>
      </c>
      <c r="AF1499" s="46">
        <f t="shared" si="359"/>
        <v>-1</v>
      </c>
      <c r="AG1499" s="46">
        <f>SUMIFS('[1]Raw Inventory'!D:D,'[1]Raw Inventory'!C:C,"GREATWALL",'[1]Raw Inventory'!B:B,A1499)</f>
        <v>0</v>
      </c>
      <c r="AH1499" s="46">
        <f>SUMIFS('[1]Raw Inventory'!D:D,'[1]Raw Inventory'!C:C,"DUARTE",'[1]Raw Inventory'!B:B,A1499)</f>
        <v>0</v>
      </c>
      <c r="AI1499" s="46"/>
      <c r="AJ1499" s="46"/>
      <c r="AK1499" s="43"/>
      <c r="AL1499" s="43"/>
      <c r="AM1499" s="43"/>
      <c r="AN1499" s="43"/>
      <c r="AO1499" s="43"/>
      <c r="AP1499" s="43"/>
      <c r="AQ1499" s="43"/>
      <c r="AR1499" s="43"/>
      <c r="AS1499" s="43"/>
      <c r="AT1499" s="43"/>
    </row>
    <row r="1500" spans="1:46">
      <c r="A1500" s="43" t="s">
        <v>16</v>
      </c>
      <c r="B1500" s="43" t="s">
        <v>94</v>
      </c>
      <c r="C1500" s="43" t="s">
        <v>90</v>
      </c>
      <c r="D1500" s="44" t="s">
        <v>254</v>
      </c>
      <c r="E1500" s="44">
        <v>7</v>
      </c>
      <c r="F1500" s="44" t="s">
        <v>2</v>
      </c>
      <c r="G1500" s="43" t="str">
        <f>IFERROR(VLOOKUP(A1500,'[1]MC Masterlist 2026-09-12'!$B:$M, 3, 0),"")</f>
        <v>HONDA</v>
      </c>
      <c r="H1500" s="45">
        <f>IFERROR(VLOOKUP(A1500,'[1]MC Masterlist 2026-09-12'!$B:$M, 6, 0),"")</f>
        <v>84394</v>
      </c>
      <c r="I1500" s="46">
        <v>0</v>
      </c>
      <c r="J1500" s="46">
        <v>2</v>
      </c>
      <c r="K1500" s="46">
        <v>0</v>
      </c>
      <c r="L1500" s="46">
        <f t="shared" si="345"/>
        <v>2</v>
      </c>
      <c r="M1500" s="46">
        <f t="shared" si="346"/>
        <v>0.66666666666666663</v>
      </c>
      <c r="N1500" s="45">
        <f t="shared" si="347"/>
        <v>168788</v>
      </c>
      <c r="O1500" s="45">
        <f t="shared" si="348"/>
        <v>56262.666666666664</v>
      </c>
      <c r="P1500" s="46">
        <f t="shared" si="349"/>
        <v>2.222222222222222E-2</v>
      </c>
      <c r="Q1500" s="46"/>
      <c r="R1500" s="45">
        <f t="shared" si="350"/>
        <v>0</v>
      </c>
      <c r="S1500" s="46">
        <f t="shared" si="351"/>
        <v>0</v>
      </c>
      <c r="T1500" s="46">
        <f>IFERROR(VLOOKUP(A1500,'[1]Re-order'!$A:$Q,17,0),"")</f>
        <v>26.332665330661321</v>
      </c>
      <c r="U1500" s="46">
        <f>IFERROR(VLOOKUP(A1500,'[1]MC Masterlist 2026-09-12'!$B:$M, 10, 0),0)</f>
        <v>15</v>
      </c>
      <c r="V1500" s="46">
        <f>IFERROR(VLOOKUP(A1500,'[1]MC Masterlist 2026-09-12'!$B:$M, 11, 0),0)</f>
        <v>15</v>
      </c>
      <c r="W1500" s="46">
        <f t="shared" si="352"/>
        <v>30</v>
      </c>
      <c r="X1500" s="46">
        <f t="shared" si="353"/>
        <v>29.666666666666668</v>
      </c>
      <c r="Y1500" s="46">
        <f>IFERROR(IF(OR(C1500="AREA I",C1500="AREA V"),7,VLOOKUP(A1500,'[1]MC Masterlist 2026-09-12'!$B:$M, 12, 0)),0)</f>
        <v>30</v>
      </c>
      <c r="Z1500" s="46">
        <f t="shared" si="354"/>
        <v>0.33333333333333331</v>
      </c>
      <c r="AA1500" s="46">
        <f t="shared" si="355"/>
        <v>0.66666666666666663</v>
      </c>
      <c r="AB1500" s="46">
        <f t="shared" si="356"/>
        <v>0.65925925925925921</v>
      </c>
      <c r="AC1500" s="46">
        <f t="shared" si="357"/>
        <v>0.66666666666666663</v>
      </c>
      <c r="AD1500" s="44" t="str">
        <f t="shared" si="358"/>
        <v>Stockout</v>
      </c>
      <c r="AE1500" s="44" t="str">
        <f>IFERROR(VLOOKUP(A1500,'[1]Re-order'!$A:$AA,27,0),"")</f>
        <v>Stockout</v>
      </c>
      <c r="AF1500" s="46">
        <f t="shared" si="359"/>
        <v>0.66666666666666663</v>
      </c>
      <c r="AG1500" s="46">
        <f>SUMIFS('[1]Raw Inventory'!D:D,'[1]Raw Inventory'!C:C,"GREATWALL",'[1]Raw Inventory'!B:B,A1500)</f>
        <v>58</v>
      </c>
      <c r="AH1500" s="46">
        <f>SUMIFS('[1]Raw Inventory'!D:D,'[1]Raw Inventory'!C:C,"DUARTE",'[1]Raw Inventory'!B:B,A1500)</f>
        <v>0</v>
      </c>
      <c r="AI1500" s="46"/>
      <c r="AJ1500" s="46"/>
      <c r="AK1500" s="43"/>
      <c r="AL1500" s="43"/>
      <c r="AM1500" s="43"/>
      <c r="AN1500" s="43"/>
      <c r="AO1500" s="43"/>
      <c r="AP1500" s="43"/>
      <c r="AQ1500" s="43"/>
      <c r="AR1500" s="43"/>
      <c r="AS1500" s="43"/>
      <c r="AT1500" s="43"/>
    </row>
    <row r="1501" spans="1:46">
      <c r="A1501" s="43" t="s">
        <v>38</v>
      </c>
      <c r="B1501" s="43" t="s">
        <v>139</v>
      </c>
      <c r="C1501" s="43" t="s">
        <v>137</v>
      </c>
      <c r="D1501" s="44" t="s">
        <v>241</v>
      </c>
      <c r="E1501" s="44">
        <v>20</v>
      </c>
      <c r="F1501" s="44" t="s">
        <v>3</v>
      </c>
      <c r="G1501" s="43" t="str">
        <f>IFERROR(VLOOKUP(A1501,'[1]MC Masterlist 2026-09-12'!$B:$M, 3, 0),"")</f>
        <v>HONDA</v>
      </c>
      <c r="H1501" s="45">
        <f>IFERROR(VLOOKUP(A1501,'[1]MC Masterlist 2026-09-12'!$B:$M, 6, 0),"")</f>
        <v>165630</v>
      </c>
      <c r="I1501" s="46">
        <v>0</v>
      </c>
      <c r="J1501" s="46">
        <v>1</v>
      </c>
      <c r="K1501" s="46">
        <v>0</v>
      </c>
      <c r="L1501" s="46">
        <f t="shared" si="345"/>
        <v>1</v>
      </c>
      <c r="M1501" s="46">
        <f t="shared" si="346"/>
        <v>0.33333333333333331</v>
      </c>
      <c r="N1501" s="45">
        <f t="shared" si="347"/>
        <v>165630</v>
      </c>
      <c r="O1501" s="45">
        <f t="shared" si="348"/>
        <v>55210</v>
      </c>
      <c r="P1501" s="46">
        <f t="shared" si="349"/>
        <v>1.111111111111111E-2</v>
      </c>
      <c r="Q1501" s="46">
        <v>0</v>
      </c>
      <c r="R1501" s="45">
        <f t="shared" si="350"/>
        <v>0</v>
      </c>
      <c r="S1501" s="46">
        <f t="shared" si="351"/>
        <v>0</v>
      </c>
      <c r="T1501" s="46">
        <f>IFERROR(VLOOKUP(A1501,'[1]Re-order'!$A:$Q,17,0),"")</f>
        <v>60</v>
      </c>
      <c r="U1501" s="46">
        <f>IFERROR(VLOOKUP(A1501,'[1]MC Masterlist 2026-09-12'!$B:$M, 10, 0),0)</f>
        <v>15</v>
      </c>
      <c r="V1501" s="46">
        <f>IFERROR(VLOOKUP(A1501,'[1]MC Masterlist 2026-09-12'!$B:$M, 11, 0),0)</f>
        <v>15</v>
      </c>
      <c r="W1501" s="46">
        <f t="shared" si="352"/>
        <v>30</v>
      </c>
      <c r="X1501" s="46">
        <f t="shared" si="353"/>
        <v>6.833333333333333</v>
      </c>
      <c r="Y1501" s="46">
        <f>IFERROR(IF(OR(C1501="AREA I",C1501="AREA V"),7,VLOOKUP(A1501,'[1]MC Masterlist 2026-09-12'!$B:$M, 12, 0)),0)</f>
        <v>7</v>
      </c>
      <c r="Z1501" s="46">
        <f t="shared" si="354"/>
        <v>0.16666666666666666</v>
      </c>
      <c r="AA1501" s="46">
        <f t="shared" si="355"/>
        <v>0.33333333333333331</v>
      </c>
      <c r="AB1501" s="46">
        <f t="shared" si="356"/>
        <v>7.5925925925925911E-2</v>
      </c>
      <c r="AC1501" s="46">
        <f t="shared" si="357"/>
        <v>7.7777777777777765E-2</v>
      </c>
      <c r="AD1501" s="44" t="str">
        <f t="shared" si="358"/>
        <v>Stockout</v>
      </c>
      <c r="AE1501" s="44" t="str">
        <f>IFERROR(VLOOKUP(A1501,'[1]Re-order'!$A:$AA,27,0),"")</f>
        <v>Re-order</v>
      </c>
      <c r="AF1501" s="46">
        <f t="shared" si="359"/>
        <v>7.7777777777777765E-2</v>
      </c>
      <c r="AG1501" s="46">
        <f>SUMIFS('[1]Raw Inventory'!D:D,'[1]Raw Inventory'!C:C,"GREATWALL",'[1]Raw Inventory'!B:B,A1501)</f>
        <v>6</v>
      </c>
      <c r="AH1501" s="46">
        <f>SUMIFS('[1]Raw Inventory'!D:D,'[1]Raw Inventory'!C:C,"DUARTE",'[1]Raw Inventory'!B:B,A1501)</f>
        <v>0</v>
      </c>
      <c r="AI1501" s="46"/>
      <c r="AJ1501" s="46"/>
      <c r="AK1501" s="43"/>
      <c r="AL1501" s="43"/>
      <c r="AM1501" s="43"/>
      <c r="AN1501" s="43"/>
      <c r="AO1501" s="43"/>
      <c r="AP1501" s="43"/>
      <c r="AQ1501" s="43"/>
      <c r="AR1501" s="43"/>
      <c r="AS1501" s="43"/>
      <c r="AT1501" s="43"/>
    </row>
    <row r="1502" spans="1:46">
      <c r="A1502" s="43" t="s">
        <v>16</v>
      </c>
      <c r="B1502" s="43" t="s">
        <v>111</v>
      </c>
      <c r="C1502" s="43" t="s">
        <v>109</v>
      </c>
      <c r="D1502" s="44" t="s">
        <v>246</v>
      </c>
      <c r="E1502" s="44">
        <v>10</v>
      </c>
      <c r="F1502" s="44" t="s">
        <v>2</v>
      </c>
      <c r="G1502" s="43" t="str">
        <f>IFERROR(VLOOKUP(A1502,'[1]MC Masterlist 2026-09-12'!$B:$M, 3, 0),"")</f>
        <v>HONDA</v>
      </c>
      <c r="H1502" s="45">
        <f>IFERROR(VLOOKUP(A1502,'[1]MC Masterlist 2026-09-12'!$B:$M, 6, 0),"")</f>
        <v>84394</v>
      </c>
      <c r="I1502" s="46">
        <v>0</v>
      </c>
      <c r="J1502" s="46">
        <v>0</v>
      </c>
      <c r="K1502" s="46">
        <v>3</v>
      </c>
      <c r="L1502" s="46">
        <f t="shared" si="345"/>
        <v>3</v>
      </c>
      <c r="M1502" s="46">
        <f t="shared" si="346"/>
        <v>1</v>
      </c>
      <c r="N1502" s="45">
        <f t="shared" si="347"/>
        <v>253182</v>
      </c>
      <c r="O1502" s="45">
        <f t="shared" si="348"/>
        <v>84394</v>
      </c>
      <c r="P1502" s="46">
        <f t="shared" si="349"/>
        <v>3.3333333333333333E-2</v>
      </c>
      <c r="Q1502" s="46"/>
      <c r="R1502" s="45">
        <f t="shared" si="350"/>
        <v>0</v>
      </c>
      <c r="S1502" s="46">
        <f t="shared" si="351"/>
        <v>0</v>
      </c>
      <c r="T1502" s="46">
        <f>IFERROR(VLOOKUP(A1502,'[1]Re-order'!$A:$Q,17,0),"")</f>
        <v>26.332665330661321</v>
      </c>
      <c r="U1502" s="46">
        <f>IFERROR(VLOOKUP(A1502,'[1]MC Masterlist 2026-09-12'!$B:$M, 10, 0),0)</f>
        <v>15</v>
      </c>
      <c r="V1502" s="46">
        <f>IFERROR(VLOOKUP(A1502,'[1]MC Masterlist 2026-09-12'!$B:$M, 11, 0),0)</f>
        <v>15</v>
      </c>
      <c r="W1502" s="46">
        <f t="shared" si="352"/>
        <v>30</v>
      </c>
      <c r="X1502" s="46">
        <f t="shared" si="353"/>
        <v>29.5</v>
      </c>
      <c r="Y1502" s="46">
        <f>IFERROR(IF(OR(C1502="AREA I",C1502="AREA V"),7,VLOOKUP(A1502,'[1]MC Masterlist 2026-09-12'!$B:$M, 12, 0)),0)</f>
        <v>30</v>
      </c>
      <c r="Z1502" s="46">
        <f t="shared" si="354"/>
        <v>0.5</v>
      </c>
      <c r="AA1502" s="46">
        <f t="shared" si="355"/>
        <v>1</v>
      </c>
      <c r="AB1502" s="46">
        <f t="shared" si="356"/>
        <v>0.98333333333333328</v>
      </c>
      <c r="AC1502" s="46">
        <f t="shared" si="357"/>
        <v>1</v>
      </c>
      <c r="AD1502" s="44" t="str">
        <f t="shared" si="358"/>
        <v>Stockout</v>
      </c>
      <c r="AE1502" s="44" t="str">
        <f>IFERROR(VLOOKUP(A1502,'[1]Re-order'!$A:$AA,27,0),"")</f>
        <v>Stockout</v>
      </c>
      <c r="AF1502" s="46">
        <f t="shared" si="359"/>
        <v>1</v>
      </c>
      <c r="AG1502" s="46">
        <f>SUMIFS('[1]Raw Inventory'!D:D,'[1]Raw Inventory'!C:C,"GREATWALL",'[1]Raw Inventory'!B:B,A1502)</f>
        <v>58</v>
      </c>
      <c r="AH1502" s="46">
        <f>SUMIFS('[1]Raw Inventory'!D:D,'[1]Raw Inventory'!C:C,"DUARTE",'[1]Raw Inventory'!B:B,A1502)</f>
        <v>0</v>
      </c>
      <c r="AI1502" s="46"/>
      <c r="AJ1502" s="46"/>
      <c r="AK1502" s="43"/>
      <c r="AL1502" s="43"/>
      <c r="AM1502" s="43"/>
      <c r="AN1502" s="43"/>
      <c r="AO1502" s="43"/>
      <c r="AP1502" s="43"/>
      <c r="AQ1502" s="43"/>
      <c r="AR1502" s="43"/>
      <c r="AS1502" s="43"/>
      <c r="AT1502" s="43"/>
    </row>
    <row r="1503" spans="1:46">
      <c r="A1503" s="43" t="s">
        <v>26</v>
      </c>
      <c r="B1503" s="43" t="s">
        <v>155</v>
      </c>
      <c r="C1503" s="43" t="s">
        <v>152</v>
      </c>
      <c r="D1503" s="44" t="s">
        <v>259</v>
      </c>
      <c r="E1503" s="44">
        <v>5</v>
      </c>
      <c r="F1503" s="44" t="s">
        <v>0</v>
      </c>
      <c r="G1503" s="43" t="str">
        <f>IFERROR(VLOOKUP(A1503,'[1]MC Masterlist 2026-09-12'!$B:$M, 3, 0),"")</f>
        <v>SUZUKI</v>
      </c>
      <c r="H1503" s="45">
        <f>IFERROR(VLOOKUP(A1503,'[1]MC Masterlist 2026-09-12'!$B:$M, 6, 0),"")</f>
        <v>123700</v>
      </c>
      <c r="I1503" s="46">
        <v>1</v>
      </c>
      <c r="J1503" s="46">
        <v>1</v>
      </c>
      <c r="K1503" s="46">
        <v>3</v>
      </c>
      <c r="L1503" s="46">
        <f t="shared" si="345"/>
        <v>5</v>
      </c>
      <c r="M1503" s="46">
        <f t="shared" si="346"/>
        <v>1.6666666666666667</v>
      </c>
      <c r="N1503" s="45">
        <f t="shared" si="347"/>
        <v>618500</v>
      </c>
      <c r="O1503" s="45">
        <f t="shared" si="348"/>
        <v>206166.66666666669</v>
      </c>
      <c r="P1503" s="46">
        <f t="shared" si="349"/>
        <v>5.5555555555555559E-2</v>
      </c>
      <c r="Q1503" s="46">
        <v>5</v>
      </c>
      <c r="R1503" s="45">
        <f t="shared" si="350"/>
        <v>618500</v>
      </c>
      <c r="S1503" s="46">
        <f t="shared" si="351"/>
        <v>89.999999999999986</v>
      </c>
      <c r="T1503" s="46">
        <f>IFERROR(VLOOKUP(A1503,'[1]Re-order'!$A:$Q,17,0),"")</f>
        <v>71.470588235294116</v>
      </c>
      <c r="U1503" s="46">
        <f>IFERROR(VLOOKUP(A1503,'[1]MC Masterlist 2026-09-12'!$B:$M, 10, 0),0)</f>
        <v>15</v>
      </c>
      <c r="V1503" s="46">
        <f>IFERROR(VLOOKUP(A1503,'[1]MC Masterlist 2026-09-12'!$B:$M, 11, 0),0)</f>
        <v>15</v>
      </c>
      <c r="W1503" s="46">
        <f t="shared" si="352"/>
        <v>30</v>
      </c>
      <c r="X1503" s="46">
        <f t="shared" si="353"/>
        <v>29.166666666666668</v>
      </c>
      <c r="Y1503" s="46">
        <f>IFERROR(IF(OR(C1503="AREA I",C1503="AREA V"),7,VLOOKUP(A1503,'[1]MC Masterlist 2026-09-12'!$B:$M, 12, 0)),0)</f>
        <v>30</v>
      </c>
      <c r="Z1503" s="46">
        <f t="shared" si="354"/>
        <v>0.83333333333333337</v>
      </c>
      <c r="AA1503" s="46">
        <f t="shared" si="355"/>
        <v>1.6666666666666667</v>
      </c>
      <c r="AB1503" s="46">
        <f t="shared" si="356"/>
        <v>1.6203703703703705</v>
      </c>
      <c r="AC1503" s="46">
        <f t="shared" si="357"/>
        <v>1.6666666666666667</v>
      </c>
      <c r="AD1503" s="44" t="str">
        <f t="shared" si="358"/>
        <v>Over</v>
      </c>
      <c r="AE1503" s="44" t="str">
        <f>IFERROR(VLOOKUP(A1503,'[1]Re-order'!$A:$AA,27,0),"")</f>
        <v>Re-order</v>
      </c>
      <c r="AF1503" s="46">
        <f t="shared" si="359"/>
        <v>-3.333333333333333</v>
      </c>
      <c r="AG1503" s="46">
        <f>SUMIFS('[1]Raw Inventory'!D:D,'[1]Raw Inventory'!C:C,"GREATWALL",'[1]Raw Inventory'!B:B,A1503)</f>
        <v>30</v>
      </c>
      <c r="AH1503" s="46">
        <f>SUMIFS('[1]Raw Inventory'!D:D,'[1]Raw Inventory'!C:C,"DUARTE",'[1]Raw Inventory'!B:B,A1503)</f>
        <v>0</v>
      </c>
      <c r="AI1503" s="46"/>
      <c r="AJ1503" s="46"/>
      <c r="AK1503" s="43"/>
      <c r="AL1503" s="43"/>
      <c r="AM1503" s="43"/>
      <c r="AN1503" s="43"/>
      <c r="AO1503" s="43"/>
      <c r="AP1503" s="43"/>
      <c r="AQ1503" s="43"/>
      <c r="AR1503" s="43"/>
      <c r="AS1503" s="43"/>
      <c r="AT1503" s="43"/>
    </row>
    <row r="1504" spans="1:46">
      <c r="A1504" s="43" t="s">
        <v>66</v>
      </c>
      <c r="B1504" s="43" t="s">
        <v>94</v>
      </c>
      <c r="C1504" s="43" t="s">
        <v>90</v>
      </c>
      <c r="D1504" s="44" t="s">
        <v>261</v>
      </c>
      <c r="E1504" s="44">
        <v>17</v>
      </c>
      <c r="F1504" s="44" t="s">
        <v>2</v>
      </c>
      <c r="G1504" s="43" t="str">
        <f>IFERROR(VLOOKUP(A1504,'[1]MC Masterlist 2026-09-12'!$B:$M, 3, 0),"")</f>
        <v>KAWASAKI</v>
      </c>
      <c r="H1504" s="45">
        <f>IFERROR(VLOOKUP(A1504,'[1]MC Masterlist 2026-09-12'!$B:$M, 6, 0),"")</f>
        <v>95530</v>
      </c>
      <c r="I1504" s="46">
        <v>0</v>
      </c>
      <c r="J1504" s="46">
        <v>1</v>
      </c>
      <c r="K1504" s="46">
        <v>0</v>
      </c>
      <c r="L1504" s="46">
        <f t="shared" si="345"/>
        <v>1</v>
      </c>
      <c r="M1504" s="46">
        <f t="shared" si="346"/>
        <v>0.33333333333333331</v>
      </c>
      <c r="N1504" s="45">
        <f t="shared" si="347"/>
        <v>95530</v>
      </c>
      <c r="O1504" s="45">
        <f t="shared" si="348"/>
        <v>31843.333333333332</v>
      </c>
      <c r="P1504" s="46">
        <f t="shared" si="349"/>
        <v>1.111111111111111E-2</v>
      </c>
      <c r="Q1504" s="46"/>
      <c r="R1504" s="45">
        <f t="shared" si="350"/>
        <v>0</v>
      </c>
      <c r="S1504" s="46">
        <f t="shared" si="351"/>
        <v>0</v>
      </c>
      <c r="T1504" s="46">
        <f>IFERROR(VLOOKUP(A1504,'[1]Re-order'!$A:$Q,17,0),"")</f>
        <v>112.7848101265823</v>
      </c>
      <c r="U1504" s="46">
        <f>IFERROR(VLOOKUP(A1504,'[1]MC Masterlist 2026-09-12'!$B:$M, 10, 0),0)</f>
        <v>15</v>
      </c>
      <c r="V1504" s="46">
        <f>IFERROR(VLOOKUP(A1504,'[1]MC Masterlist 2026-09-12'!$B:$M, 11, 0),0)</f>
        <v>15</v>
      </c>
      <c r="W1504" s="46">
        <f t="shared" si="352"/>
        <v>30</v>
      </c>
      <c r="X1504" s="46">
        <f t="shared" si="353"/>
        <v>29.833333333333332</v>
      </c>
      <c r="Y1504" s="46">
        <f>IFERROR(IF(OR(C1504="AREA I",C1504="AREA V"),7,VLOOKUP(A1504,'[1]MC Masterlist 2026-09-12'!$B:$M, 12, 0)),0)</f>
        <v>30</v>
      </c>
      <c r="Z1504" s="46">
        <f t="shared" si="354"/>
        <v>0.16666666666666666</v>
      </c>
      <c r="AA1504" s="46">
        <f t="shared" si="355"/>
        <v>0.33333333333333331</v>
      </c>
      <c r="AB1504" s="46">
        <f t="shared" si="356"/>
        <v>0.33148148148148143</v>
      </c>
      <c r="AC1504" s="46">
        <f t="shared" si="357"/>
        <v>0.33333333333333331</v>
      </c>
      <c r="AD1504" s="44" t="str">
        <f t="shared" si="358"/>
        <v>Stockout</v>
      </c>
      <c r="AE1504" s="44" t="str">
        <f>IFERROR(VLOOKUP(A1504,'[1]Re-order'!$A:$AA,27,0),"")</f>
        <v>Over</v>
      </c>
      <c r="AF1504" s="46">
        <f t="shared" si="359"/>
        <v>0.33333333333333331</v>
      </c>
      <c r="AG1504" s="46">
        <f>SUMIFS('[1]Raw Inventory'!D:D,'[1]Raw Inventory'!C:C,"GREATWALL",'[1]Raw Inventory'!B:B,A1504)</f>
        <v>64</v>
      </c>
      <c r="AH1504" s="46">
        <f>SUMIFS('[1]Raw Inventory'!D:D,'[1]Raw Inventory'!C:C,"DUARTE",'[1]Raw Inventory'!B:B,A1504)</f>
        <v>0</v>
      </c>
      <c r="AI1504" s="46"/>
      <c r="AJ1504" s="46"/>
      <c r="AK1504" s="43"/>
      <c r="AL1504" s="43"/>
      <c r="AM1504" s="43"/>
      <c r="AN1504" s="43"/>
      <c r="AO1504" s="43"/>
      <c r="AP1504" s="43"/>
      <c r="AQ1504" s="43"/>
      <c r="AR1504" s="43"/>
      <c r="AS1504" s="43"/>
      <c r="AT1504" s="43"/>
    </row>
    <row r="1505" spans="1:46">
      <c r="A1505" s="43" t="s">
        <v>28</v>
      </c>
      <c r="B1505" s="43" t="s">
        <v>160</v>
      </c>
      <c r="C1505" s="43" t="s">
        <v>159</v>
      </c>
      <c r="D1505" s="44" t="s">
        <v>234</v>
      </c>
      <c r="E1505" s="44">
        <v>4</v>
      </c>
      <c r="F1505" s="44" t="s">
        <v>0</v>
      </c>
      <c r="G1505" s="43" t="str">
        <f>IFERROR(VLOOKUP(A1505,'[1]MC Masterlist 2026-09-12'!$B:$M, 3, 0),"")</f>
        <v>YAMAHA</v>
      </c>
      <c r="H1505" s="45">
        <f>IFERROR(VLOOKUP(A1505,'[1]MC Masterlist 2026-09-12'!$B:$M, 6, 0),"")</f>
        <v>147312</v>
      </c>
      <c r="I1505" s="46">
        <v>2</v>
      </c>
      <c r="J1505" s="46">
        <v>2</v>
      </c>
      <c r="K1505" s="46">
        <v>1</v>
      </c>
      <c r="L1505" s="46">
        <f t="shared" si="345"/>
        <v>5</v>
      </c>
      <c r="M1505" s="46">
        <f t="shared" si="346"/>
        <v>1.6666666666666667</v>
      </c>
      <c r="N1505" s="45">
        <f t="shared" si="347"/>
        <v>736560</v>
      </c>
      <c r="O1505" s="45">
        <f t="shared" si="348"/>
        <v>245520</v>
      </c>
      <c r="P1505" s="46">
        <f t="shared" si="349"/>
        <v>5.5555555555555559E-2</v>
      </c>
      <c r="Q1505" s="46"/>
      <c r="R1505" s="45">
        <f t="shared" si="350"/>
        <v>0</v>
      </c>
      <c r="S1505" s="46">
        <f t="shared" si="351"/>
        <v>0</v>
      </c>
      <c r="T1505" s="46">
        <f>IFERROR(VLOOKUP(A1505,'[1]Re-order'!$A:$Q,17,0),"")</f>
        <v>8.2417582417582427</v>
      </c>
      <c r="U1505" s="46">
        <f>IFERROR(VLOOKUP(A1505,'[1]MC Masterlist 2026-09-12'!$B:$M, 10, 0),0)</f>
        <v>15</v>
      </c>
      <c r="V1505" s="46">
        <f>IFERROR(VLOOKUP(A1505,'[1]MC Masterlist 2026-09-12'!$B:$M, 11, 0),0)</f>
        <v>15</v>
      </c>
      <c r="W1505" s="46">
        <f t="shared" si="352"/>
        <v>30</v>
      </c>
      <c r="X1505" s="46">
        <f t="shared" si="353"/>
        <v>29.166666666666668</v>
      </c>
      <c r="Y1505" s="46">
        <f>IFERROR(IF(OR(C1505="AREA I",C1505="AREA V"),7,VLOOKUP(A1505,'[1]MC Masterlist 2026-09-12'!$B:$M, 12, 0)),0)</f>
        <v>30</v>
      </c>
      <c r="Z1505" s="46">
        <f t="shared" si="354"/>
        <v>0.83333333333333337</v>
      </c>
      <c r="AA1505" s="46">
        <f t="shared" si="355"/>
        <v>1.6666666666666667</v>
      </c>
      <c r="AB1505" s="46">
        <f t="shared" si="356"/>
        <v>1.6203703703703705</v>
      </c>
      <c r="AC1505" s="46">
        <f t="shared" si="357"/>
        <v>1.6666666666666667</v>
      </c>
      <c r="AD1505" s="44" t="str">
        <f t="shared" si="358"/>
        <v>Stockout</v>
      </c>
      <c r="AE1505" s="44" t="str">
        <f>IFERROR(VLOOKUP(A1505,'[1]Re-order'!$A:$AA,27,0),"")</f>
        <v>Stockout</v>
      </c>
      <c r="AF1505" s="46">
        <f t="shared" si="359"/>
        <v>1.6666666666666667</v>
      </c>
      <c r="AG1505" s="46">
        <f>SUMIFS('[1]Raw Inventory'!D:D,'[1]Raw Inventory'!C:C,"GREATWALL",'[1]Raw Inventory'!B:B,A1505)</f>
        <v>0</v>
      </c>
      <c r="AH1505" s="46">
        <f>SUMIFS('[1]Raw Inventory'!D:D,'[1]Raw Inventory'!C:C,"DUARTE",'[1]Raw Inventory'!B:B,A1505)</f>
        <v>0</v>
      </c>
      <c r="AI1505" s="46"/>
      <c r="AJ1505" s="46"/>
      <c r="AK1505" s="43"/>
      <c r="AL1505" s="43"/>
      <c r="AM1505" s="43"/>
      <c r="AN1505" s="43"/>
      <c r="AO1505" s="43"/>
      <c r="AP1505" s="43"/>
      <c r="AQ1505" s="43"/>
      <c r="AR1505" s="43"/>
      <c r="AS1505" s="43"/>
      <c r="AT1505" s="43"/>
    </row>
    <row r="1506" spans="1:46">
      <c r="A1506" s="43" t="s">
        <v>14</v>
      </c>
      <c r="B1506" s="43" t="s">
        <v>143</v>
      </c>
      <c r="C1506" s="43" t="s">
        <v>137</v>
      </c>
      <c r="D1506" s="44" t="s">
        <v>225</v>
      </c>
      <c r="E1506" s="44">
        <v>3</v>
      </c>
      <c r="F1506" s="44" t="s">
        <v>0</v>
      </c>
      <c r="G1506" s="43" t="str">
        <f>IFERROR(VLOOKUP(A1506,'[1]MC Masterlist 2026-09-12'!$B:$M, 3, 0),"")</f>
        <v>HONDA</v>
      </c>
      <c r="H1506" s="45">
        <f>IFERROR(VLOOKUP(A1506,'[1]MC Masterlist 2026-09-12'!$B:$M, 6, 0),"")</f>
        <v>80070</v>
      </c>
      <c r="I1506" s="46">
        <v>4</v>
      </c>
      <c r="J1506" s="46">
        <v>8</v>
      </c>
      <c r="K1506" s="46">
        <v>4</v>
      </c>
      <c r="L1506" s="46">
        <f t="shared" si="345"/>
        <v>16</v>
      </c>
      <c r="M1506" s="46">
        <f t="shared" si="346"/>
        <v>5.333333333333333</v>
      </c>
      <c r="N1506" s="45">
        <f t="shared" si="347"/>
        <v>1281120</v>
      </c>
      <c r="O1506" s="45">
        <f t="shared" si="348"/>
        <v>427040</v>
      </c>
      <c r="P1506" s="46">
        <f t="shared" si="349"/>
        <v>0.17777777777777776</v>
      </c>
      <c r="Q1506" s="46">
        <v>1</v>
      </c>
      <c r="R1506" s="45">
        <f t="shared" si="350"/>
        <v>80070</v>
      </c>
      <c r="S1506" s="46">
        <f t="shared" si="351"/>
        <v>5.625</v>
      </c>
      <c r="T1506" s="46">
        <f>IFERROR(VLOOKUP(A1506,'[1]Re-order'!$A:$Q,17,0),"")</f>
        <v>20.105787181082761</v>
      </c>
      <c r="U1506" s="46">
        <f>IFERROR(VLOOKUP(A1506,'[1]MC Masterlist 2026-09-12'!$B:$M, 10, 0),0)</f>
        <v>15</v>
      </c>
      <c r="V1506" s="46">
        <f>IFERROR(VLOOKUP(A1506,'[1]MC Masterlist 2026-09-12'!$B:$M, 11, 0),0)</f>
        <v>15</v>
      </c>
      <c r="W1506" s="46">
        <f t="shared" si="352"/>
        <v>30</v>
      </c>
      <c r="X1506" s="46">
        <f t="shared" si="353"/>
        <v>4.3333333333333339</v>
      </c>
      <c r="Y1506" s="46">
        <f>IFERROR(IF(OR(C1506="AREA I",C1506="AREA V"),7,VLOOKUP(A1506,'[1]MC Masterlist 2026-09-12'!$B:$M, 12, 0)),0)</f>
        <v>7</v>
      </c>
      <c r="Z1506" s="46">
        <f t="shared" si="354"/>
        <v>2.6666666666666665</v>
      </c>
      <c r="AA1506" s="46">
        <f t="shared" si="355"/>
        <v>5.333333333333333</v>
      </c>
      <c r="AB1506" s="46">
        <f t="shared" si="356"/>
        <v>0.77037037037037037</v>
      </c>
      <c r="AC1506" s="46">
        <f t="shared" si="357"/>
        <v>1.2444444444444442</v>
      </c>
      <c r="AD1506" s="44" t="str">
        <f t="shared" si="358"/>
        <v>Stockout</v>
      </c>
      <c r="AE1506" s="44" t="str">
        <f>IFERROR(VLOOKUP(A1506,'[1]Re-order'!$A:$AA,27,0),"")</f>
        <v>Stockout</v>
      </c>
      <c r="AF1506" s="46">
        <f t="shared" si="359"/>
        <v>0.24444444444444424</v>
      </c>
      <c r="AG1506" s="46">
        <f>SUMIFS('[1]Raw Inventory'!D:D,'[1]Raw Inventory'!C:C,"GREATWALL",'[1]Raw Inventory'!B:B,A1506)</f>
        <v>176</v>
      </c>
      <c r="AH1506" s="46">
        <f>SUMIFS('[1]Raw Inventory'!D:D,'[1]Raw Inventory'!C:C,"DUARTE",'[1]Raw Inventory'!B:B,A1506)</f>
        <v>0</v>
      </c>
      <c r="AI1506" s="46"/>
      <c r="AJ1506" s="46"/>
      <c r="AK1506" s="43"/>
      <c r="AL1506" s="43"/>
      <c r="AM1506" s="43"/>
      <c r="AN1506" s="43"/>
      <c r="AO1506" s="43"/>
      <c r="AP1506" s="43"/>
      <c r="AQ1506" s="43"/>
      <c r="AR1506" s="43"/>
      <c r="AS1506" s="43"/>
      <c r="AT1506" s="43"/>
    </row>
    <row r="1507" spans="1:46">
      <c r="A1507" s="43" t="s">
        <v>83</v>
      </c>
      <c r="B1507" s="43" t="s">
        <v>141</v>
      </c>
      <c r="C1507" s="43" t="s">
        <v>137</v>
      </c>
      <c r="D1507" s="44" t="s">
        <v>272</v>
      </c>
      <c r="E1507" s="44">
        <v>28</v>
      </c>
      <c r="F1507" s="44" t="s">
        <v>3</v>
      </c>
      <c r="G1507" s="43" t="str">
        <f>IFERROR(VLOOKUP(A1507,'[1]MC Masterlist 2026-09-12'!$B:$M, 3, 0),"")</f>
        <v>SKYGO</v>
      </c>
      <c r="H1507" s="45">
        <f>IFERROR(VLOOKUP(A1507,'[1]MC Masterlist 2026-09-12'!$B:$M, 6, 0),"")</f>
        <v>35055</v>
      </c>
      <c r="I1507" s="46">
        <v>0</v>
      </c>
      <c r="J1507" s="46">
        <v>0</v>
      </c>
      <c r="K1507" s="46">
        <v>0</v>
      </c>
      <c r="L1507" s="46">
        <f t="shared" si="345"/>
        <v>0</v>
      </c>
      <c r="M1507" s="46">
        <f t="shared" si="346"/>
        <v>0</v>
      </c>
      <c r="N1507" s="45">
        <f t="shared" si="347"/>
        <v>0</v>
      </c>
      <c r="O1507" s="45">
        <f t="shared" si="348"/>
        <v>0</v>
      </c>
      <c r="P1507" s="46">
        <f t="shared" si="349"/>
        <v>0</v>
      </c>
      <c r="Q1507" s="46">
        <v>1</v>
      </c>
      <c r="R1507" s="45">
        <f t="shared" si="350"/>
        <v>35055</v>
      </c>
      <c r="S1507" s="46">
        <f t="shared" si="351"/>
        <v>0</v>
      </c>
      <c r="T1507" s="46">
        <f>IFERROR(VLOOKUP(A1507,'[1]Re-order'!$A:$Q,17,0),"")</f>
        <v>313.2</v>
      </c>
      <c r="U1507" s="46">
        <f>IFERROR(VLOOKUP(A1507,'[1]MC Masterlist 2026-09-12'!$B:$M, 10, 0),0)</f>
        <v>15</v>
      </c>
      <c r="V1507" s="46">
        <f>IFERROR(VLOOKUP(A1507,'[1]MC Masterlist 2026-09-12'!$B:$M, 11, 0),0)</f>
        <v>15</v>
      </c>
      <c r="W1507" s="46">
        <f t="shared" si="352"/>
        <v>30</v>
      </c>
      <c r="X1507" s="46">
        <f t="shared" si="353"/>
        <v>7</v>
      </c>
      <c r="Y1507" s="46">
        <f>IFERROR(IF(OR(C1507="AREA I",C1507="AREA V"),7,VLOOKUP(A1507,'[1]MC Masterlist 2026-09-12'!$B:$M, 12, 0)),0)</f>
        <v>7</v>
      </c>
      <c r="Z1507" s="46">
        <f t="shared" si="354"/>
        <v>0</v>
      </c>
      <c r="AA1507" s="46">
        <f t="shared" si="355"/>
        <v>0</v>
      </c>
      <c r="AB1507" s="46">
        <f t="shared" si="356"/>
        <v>0</v>
      </c>
      <c r="AC1507" s="46">
        <f t="shared" si="357"/>
        <v>0</v>
      </c>
      <c r="AD1507" s="44" t="str">
        <f t="shared" si="358"/>
        <v>Over</v>
      </c>
      <c r="AE1507" s="44" t="str">
        <f>IFERROR(VLOOKUP(A1507,'[1]Re-order'!$A:$AA,27,0),"")</f>
        <v>Over</v>
      </c>
      <c r="AF1507" s="46">
        <f t="shared" si="359"/>
        <v>-1</v>
      </c>
      <c r="AG1507" s="46">
        <f>SUMIFS('[1]Raw Inventory'!D:D,'[1]Raw Inventory'!C:C,"GREATWALL",'[1]Raw Inventory'!B:B,A1507)</f>
        <v>33</v>
      </c>
      <c r="AH1507" s="46">
        <f>SUMIFS('[1]Raw Inventory'!D:D,'[1]Raw Inventory'!C:C,"DUARTE",'[1]Raw Inventory'!B:B,A1507)</f>
        <v>0</v>
      </c>
      <c r="AI1507" s="46"/>
      <c r="AJ1507" s="46"/>
      <c r="AK1507" s="43"/>
      <c r="AL1507" s="43"/>
      <c r="AM1507" s="43"/>
      <c r="AN1507" s="43"/>
      <c r="AO1507" s="43"/>
      <c r="AP1507" s="43"/>
      <c r="AQ1507" s="43"/>
      <c r="AR1507" s="43"/>
      <c r="AS1507" s="43"/>
      <c r="AT1507" s="43"/>
    </row>
    <row r="1508" spans="1:46">
      <c r="A1508" s="43" t="s">
        <v>45</v>
      </c>
      <c r="B1508" s="43" t="s">
        <v>29</v>
      </c>
      <c r="C1508" s="43" t="s">
        <v>1</v>
      </c>
      <c r="D1508" s="44" t="s">
        <v>262</v>
      </c>
      <c r="E1508" s="44">
        <v>16</v>
      </c>
      <c r="F1508" s="44" t="s">
        <v>2</v>
      </c>
      <c r="G1508" s="43" t="str">
        <f>IFERROR(VLOOKUP(A1508,'[1]MC Masterlist 2026-09-12'!$B:$M, 3, 0),"")</f>
        <v>YAMAHA</v>
      </c>
      <c r="H1508" s="45">
        <f>IFERROR(VLOOKUP(A1508,'[1]MC Masterlist 2026-09-12'!$B:$M, 6, 0),"")</f>
        <v>117087</v>
      </c>
      <c r="I1508" s="46">
        <v>2</v>
      </c>
      <c r="J1508" s="46">
        <v>1</v>
      </c>
      <c r="K1508" s="46">
        <v>0</v>
      </c>
      <c r="L1508" s="46">
        <f t="shared" si="345"/>
        <v>3</v>
      </c>
      <c r="M1508" s="46">
        <f t="shared" si="346"/>
        <v>1</v>
      </c>
      <c r="N1508" s="45">
        <f t="shared" si="347"/>
        <v>351261</v>
      </c>
      <c r="O1508" s="45">
        <f t="shared" si="348"/>
        <v>117087</v>
      </c>
      <c r="P1508" s="46">
        <f t="shared" si="349"/>
        <v>3.3333333333333333E-2</v>
      </c>
      <c r="Q1508" s="46"/>
      <c r="R1508" s="45">
        <f t="shared" si="350"/>
        <v>0</v>
      </c>
      <c r="S1508" s="46">
        <f t="shared" si="351"/>
        <v>0</v>
      </c>
      <c r="T1508" s="46">
        <f>IFERROR(VLOOKUP(A1508,'[1]Re-order'!$A:$Q,17,0),"")</f>
        <v>18.94736842105263</v>
      </c>
      <c r="U1508" s="46">
        <f>IFERROR(VLOOKUP(A1508,'[1]MC Masterlist 2026-09-12'!$B:$M, 10, 0),0)</f>
        <v>15</v>
      </c>
      <c r="V1508" s="46">
        <f>IFERROR(VLOOKUP(A1508,'[1]MC Masterlist 2026-09-12'!$B:$M, 11, 0),0)</f>
        <v>15</v>
      </c>
      <c r="W1508" s="46">
        <f t="shared" si="352"/>
        <v>30</v>
      </c>
      <c r="X1508" s="46">
        <f t="shared" si="353"/>
        <v>6.5</v>
      </c>
      <c r="Y1508" s="46">
        <f>IFERROR(IF(OR(C1508="AREA I",C1508="AREA V"),7,VLOOKUP(A1508,'[1]MC Masterlist 2026-09-12'!$B:$M, 12, 0)),0)</f>
        <v>7</v>
      </c>
      <c r="Z1508" s="46">
        <f t="shared" si="354"/>
        <v>0.5</v>
      </c>
      <c r="AA1508" s="46">
        <f t="shared" si="355"/>
        <v>1</v>
      </c>
      <c r="AB1508" s="46">
        <f t="shared" si="356"/>
        <v>0.21666666666666667</v>
      </c>
      <c r="AC1508" s="46">
        <f t="shared" si="357"/>
        <v>0.23333333333333334</v>
      </c>
      <c r="AD1508" s="44" t="str">
        <f t="shared" si="358"/>
        <v>Stockout</v>
      </c>
      <c r="AE1508" s="44" t="str">
        <f>IFERROR(VLOOKUP(A1508,'[1]Re-order'!$A:$AA,27,0),"")</f>
        <v>Stockout</v>
      </c>
      <c r="AF1508" s="46">
        <f t="shared" si="359"/>
        <v>0.23333333333333334</v>
      </c>
      <c r="AG1508" s="46">
        <f>SUMIFS('[1]Raw Inventory'!D:D,'[1]Raw Inventory'!C:C,"GREATWALL",'[1]Raw Inventory'!B:B,A1508)</f>
        <v>5</v>
      </c>
      <c r="AH1508" s="46">
        <f>SUMIFS('[1]Raw Inventory'!D:D,'[1]Raw Inventory'!C:C,"DUARTE",'[1]Raw Inventory'!B:B,A1508)</f>
        <v>0</v>
      </c>
      <c r="AI1508" s="46"/>
      <c r="AJ1508" s="46"/>
      <c r="AK1508" s="43"/>
      <c r="AL1508" s="43"/>
      <c r="AM1508" s="43"/>
      <c r="AN1508" s="43"/>
      <c r="AO1508" s="43"/>
      <c r="AP1508" s="43"/>
      <c r="AQ1508" s="43"/>
      <c r="AR1508" s="43"/>
      <c r="AS1508" s="43"/>
      <c r="AT1508" s="43"/>
    </row>
    <row r="1509" spans="1:46">
      <c r="A1509" s="43" t="s">
        <v>62</v>
      </c>
      <c r="B1509" s="43" t="s">
        <v>121</v>
      </c>
      <c r="C1509" s="43" t="s">
        <v>118</v>
      </c>
      <c r="D1509" s="44" t="s">
        <v>272</v>
      </c>
      <c r="E1509" s="44">
        <v>28</v>
      </c>
      <c r="F1509" s="44" t="s">
        <v>3</v>
      </c>
      <c r="G1509" s="43" t="str">
        <f>IFERROR(VLOOKUP(A1509,'[1]MC Masterlist 2026-09-12'!$B:$M, 3, 0),"")</f>
        <v>HONDA</v>
      </c>
      <c r="H1509" s="45">
        <f>IFERROR(VLOOKUP(A1509,'[1]MC Masterlist 2026-09-12'!$B:$M, 6, 0),"")</f>
        <v>123310</v>
      </c>
      <c r="I1509" s="46">
        <v>0</v>
      </c>
      <c r="J1509" s="46">
        <v>0</v>
      </c>
      <c r="K1509" s="46">
        <v>0</v>
      </c>
      <c r="L1509" s="46">
        <f t="shared" si="345"/>
        <v>0</v>
      </c>
      <c r="M1509" s="46">
        <f t="shared" si="346"/>
        <v>0</v>
      </c>
      <c r="N1509" s="45">
        <f t="shared" si="347"/>
        <v>0</v>
      </c>
      <c r="O1509" s="45">
        <f t="shared" si="348"/>
        <v>0</v>
      </c>
      <c r="P1509" s="46">
        <f t="shared" si="349"/>
        <v>0</v>
      </c>
      <c r="Q1509" s="46">
        <v>1</v>
      </c>
      <c r="R1509" s="45">
        <f t="shared" si="350"/>
        <v>123310</v>
      </c>
      <c r="S1509" s="46">
        <f t="shared" si="351"/>
        <v>0</v>
      </c>
      <c r="T1509" s="46">
        <f>IFERROR(VLOOKUP(A1509,'[1]Re-order'!$A:$Q,17,0),"")</f>
        <v>165</v>
      </c>
      <c r="U1509" s="46">
        <f>IFERROR(VLOOKUP(A1509,'[1]MC Masterlist 2026-09-12'!$B:$M, 10, 0),0)</f>
        <v>15</v>
      </c>
      <c r="V1509" s="46">
        <f>IFERROR(VLOOKUP(A1509,'[1]MC Masterlist 2026-09-12'!$B:$M, 11, 0),0)</f>
        <v>15</v>
      </c>
      <c r="W1509" s="46">
        <f t="shared" si="352"/>
        <v>30</v>
      </c>
      <c r="X1509" s="46">
        <f t="shared" si="353"/>
        <v>30</v>
      </c>
      <c r="Y1509" s="46">
        <f>IFERROR(IF(OR(C1509="AREA I",C1509="AREA V"),7,VLOOKUP(A1509,'[1]MC Masterlist 2026-09-12'!$B:$M, 12, 0)),0)</f>
        <v>30</v>
      </c>
      <c r="Z1509" s="46">
        <f t="shared" si="354"/>
        <v>0</v>
      </c>
      <c r="AA1509" s="46">
        <f t="shared" si="355"/>
        <v>0</v>
      </c>
      <c r="AB1509" s="46">
        <f t="shared" si="356"/>
        <v>0</v>
      </c>
      <c r="AC1509" s="46">
        <f t="shared" si="357"/>
        <v>0</v>
      </c>
      <c r="AD1509" s="44" t="str">
        <f t="shared" si="358"/>
        <v>Over</v>
      </c>
      <c r="AE1509" s="44" t="str">
        <f>IFERROR(VLOOKUP(A1509,'[1]Re-order'!$A:$AA,27,0),"")</f>
        <v>Over</v>
      </c>
      <c r="AF1509" s="46">
        <f t="shared" si="359"/>
        <v>-1</v>
      </c>
      <c r="AG1509" s="46">
        <f>SUMIFS('[1]Raw Inventory'!D:D,'[1]Raw Inventory'!C:C,"GREATWALL",'[1]Raw Inventory'!B:B,A1509)</f>
        <v>4</v>
      </c>
      <c r="AH1509" s="46">
        <f>SUMIFS('[1]Raw Inventory'!D:D,'[1]Raw Inventory'!C:C,"DUARTE",'[1]Raw Inventory'!B:B,A1509)</f>
        <v>0</v>
      </c>
      <c r="AI1509" s="46"/>
      <c r="AJ1509" s="46"/>
      <c r="AK1509" s="43"/>
      <c r="AL1509" s="43"/>
      <c r="AM1509" s="43"/>
      <c r="AN1509" s="43"/>
      <c r="AO1509" s="43"/>
      <c r="AP1509" s="43"/>
      <c r="AQ1509" s="43"/>
      <c r="AR1509" s="43"/>
      <c r="AS1509" s="43"/>
      <c r="AT1509" s="43"/>
    </row>
    <row r="1510" spans="1:46">
      <c r="A1510" s="43" t="s">
        <v>108</v>
      </c>
      <c r="B1510" s="43" t="s">
        <v>156</v>
      </c>
      <c r="C1510" s="43" t="s">
        <v>152</v>
      </c>
      <c r="D1510" s="44" t="s">
        <v>242</v>
      </c>
      <c r="E1510" s="44">
        <v>27</v>
      </c>
      <c r="F1510" s="44" t="s">
        <v>3</v>
      </c>
      <c r="G1510" s="43" t="str">
        <f>IFERROR(VLOOKUP(A1510,'[1]MC Masterlist 2026-09-12'!$B:$M, 3, 0),"")</f>
        <v>SUZUKI</v>
      </c>
      <c r="H1510" s="45">
        <f>IFERROR(VLOOKUP(A1510,'[1]MC Masterlist 2026-09-12'!$B:$M, 6, 0),"")</f>
        <v>66412</v>
      </c>
      <c r="I1510" s="46">
        <v>0</v>
      </c>
      <c r="J1510" s="46">
        <v>0</v>
      </c>
      <c r="K1510" s="46">
        <v>0</v>
      </c>
      <c r="L1510" s="46">
        <f t="shared" si="345"/>
        <v>0</v>
      </c>
      <c r="M1510" s="46">
        <f t="shared" si="346"/>
        <v>0</v>
      </c>
      <c r="N1510" s="45">
        <f t="shared" si="347"/>
        <v>0</v>
      </c>
      <c r="O1510" s="45">
        <f t="shared" si="348"/>
        <v>0</v>
      </c>
      <c r="P1510" s="46">
        <f t="shared" si="349"/>
        <v>0</v>
      </c>
      <c r="Q1510" s="46">
        <v>2</v>
      </c>
      <c r="R1510" s="45">
        <f t="shared" si="350"/>
        <v>132824</v>
      </c>
      <c r="S1510" s="46">
        <f t="shared" si="351"/>
        <v>0</v>
      </c>
      <c r="T1510" s="46">
        <f>IFERROR(VLOOKUP(A1510,'[1]Re-order'!$A:$Q,17,0),"")</f>
        <v>540</v>
      </c>
      <c r="U1510" s="46">
        <f>IFERROR(VLOOKUP(A1510,'[1]MC Masterlist 2026-09-12'!$B:$M, 10, 0),0)</f>
        <v>15</v>
      </c>
      <c r="V1510" s="46">
        <f>IFERROR(VLOOKUP(A1510,'[1]MC Masterlist 2026-09-12'!$B:$M, 11, 0),0)</f>
        <v>15</v>
      </c>
      <c r="W1510" s="46">
        <f t="shared" si="352"/>
        <v>30</v>
      </c>
      <c r="X1510" s="46">
        <f t="shared" si="353"/>
        <v>30</v>
      </c>
      <c r="Y1510" s="46">
        <f>IFERROR(IF(OR(C1510="AREA I",C1510="AREA V"),7,VLOOKUP(A1510,'[1]MC Masterlist 2026-09-12'!$B:$M, 12, 0)),0)</f>
        <v>30</v>
      </c>
      <c r="Z1510" s="46">
        <f t="shared" si="354"/>
        <v>0</v>
      </c>
      <c r="AA1510" s="46">
        <f t="shared" si="355"/>
        <v>0</v>
      </c>
      <c r="AB1510" s="46">
        <f t="shared" si="356"/>
        <v>0</v>
      </c>
      <c r="AC1510" s="46">
        <f t="shared" si="357"/>
        <v>0</v>
      </c>
      <c r="AD1510" s="44" t="str">
        <f t="shared" si="358"/>
        <v>Over</v>
      </c>
      <c r="AE1510" s="44" t="str">
        <f>IFERROR(VLOOKUP(A1510,'[1]Re-order'!$A:$AA,27,0),"")</f>
        <v>Over</v>
      </c>
      <c r="AF1510" s="46">
        <f t="shared" si="359"/>
        <v>-2</v>
      </c>
      <c r="AG1510" s="46">
        <f>SUMIFS('[1]Raw Inventory'!D:D,'[1]Raw Inventory'!C:C,"GREATWALL",'[1]Raw Inventory'!B:B,A1510)</f>
        <v>0</v>
      </c>
      <c r="AH1510" s="46">
        <f>SUMIFS('[1]Raw Inventory'!D:D,'[1]Raw Inventory'!C:C,"DUARTE",'[1]Raw Inventory'!B:B,A1510)</f>
        <v>0</v>
      </c>
      <c r="AI1510" s="46"/>
      <c r="AJ1510" s="46"/>
      <c r="AK1510" s="43"/>
      <c r="AL1510" s="43"/>
      <c r="AM1510" s="43"/>
      <c r="AN1510" s="43"/>
      <c r="AO1510" s="43"/>
      <c r="AP1510" s="43"/>
      <c r="AQ1510" s="43"/>
      <c r="AR1510" s="43"/>
      <c r="AS1510" s="43"/>
      <c r="AT1510" s="43"/>
    </row>
    <row r="1511" spans="1:46">
      <c r="A1511" s="43" t="s">
        <v>12</v>
      </c>
      <c r="B1511" s="43" t="s">
        <v>145</v>
      </c>
      <c r="C1511" s="43" t="s">
        <v>137</v>
      </c>
      <c r="D1511" s="44" t="s">
        <v>233</v>
      </c>
      <c r="E1511" s="44">
        <v>10</v>
      </c>
      <c r="F1511" s="44" t="s">
        <v>2</v>
      </c>
      <c r="G1511" s="43" t="str">
        <f>IFERROR(VLOOKUP(A1511,'[1]MC Masterlist 2026-09-12'!$B:$M, 3, 0),"")</f>
        <v>HONDA</v>
      </c>
      <c r="H1511" s="45">
        <f>IFERROR(VLOOKUP(A1511,'[1]MC Masterlist 2026-09-12'!$B:$M, 6, 0),"")</f>
        <v>158270</v>
      </c>
      <c r="I1511" s="46">
        <v>1</v>
      </c>
      <c r="J1511" s="46">
        <v>1</v>
      </c>
      <c r="K1511" s="46">
        <v>0</v>
      </c>
      <c r="L1511" s="46">
        <f t="shared" si="345"/>
        <v>2</v>
      </c>
      <c r="M1511" s="46">
        <f t="shared" si="346"/>
        <v>0.66666666666666663</v>
      </c>
      <c r="N1511" s="45">
        <f t="shared" si="347"/>
        <v>316540</v>
      </c>
      <c r="O1511" s="45">
        <f t="shared" si="348"/>
        <v>105513.33333333333</v>
      </c>
      <c r="P1511" s="46">
        <f t="shared" si="349"/>
        <v>2.222222222222222E-2</v>
      </c>
      <c r="Q1511" s="46">
        <v>3</v>
      </c>
      <c r="R1511" s="45">
        <f t="shared" si="350"/>
        <v>474810</v>
      </c>
      <c r="S1511" s="46">
        <f t="shared" si="351"/>
        <v>135</v>
      </c>
      <c r="T1511" s="46">
        <f>IFERROR(VLOOKUP(A1511,'[1]Re-order'!$A:$Q,17,0),"")</f>
        <v>46.461038961038959</v>
      </c>
      <c r="U1511" s="46">
        <f>IFERROR(VLOOKUP(A1511,'[1]MC Masterlist 2026-09-12'!$B:$M, 10, 0),0)</f>
        <v>15</v>
      </c>
      <c r="V1511" s="46">
        <f>IFERROR(VLOOKUP(A1511,'[1]MC Masterlist 2026-09-12'!$B:$M, 11, 0),0)</f>
        <v>15</v>
      </c>
      <c r="W1511" s="46">
        <f t="shared" si="352"/>
        <v>30</v>
      </c>
      <c r="X1511" s="46">
        <f t="shared" si="353"/>
        <v>6.666666666666667</v>
      </c>
      <c r="Y1511" s="46">
        <f>IFERROR(IF(OR(C1511="AREA I",C1511="AREA V"),7,VLOOKUP(A1511,'[1]MC Masterlist 2026-09-12'!$B:$M, 12, 0)),0)</f>
        <v>7</v>
      </c>
      <c r="Z1511" s="46">
        <f t="shared" si="354"/>
        <v>0.33333333333333331</v>
      </c>
      <c r="AA1511" s="46">
        <f t="shared" si="355"/>
        <v>0.66666666666666663</v>
      </c>
      <c r="AB1511" s="46">
        <f t="shared" si="356"/>
        <v>0.14814814814814814</v>
      </c>
      <c r="AC1511" s="46">
        <f t="shared" si="357"/>
        <v>0.15555555555555553</v>
      </c>
      <c r="AD1511" s="44" t="str">
        <f t="shared" si="358"/>
        <v>Over</v>
      </c>
      <c r="AE1511" s="44" t="str">
        <f>IFERROR(VLOOKUP(A1511,'[1]Re-order'!$A:$AA,27,0),"")</f>
        <v>Re-order</v>
      </c>
      <c r="AF1511" s="46">
        <f t="shared" si="359"/>
        <v>-2.8444444444444446</v>
      </c>
      <c r="AG1511" s="46">
        <f>SUMIFS('[1]Raw Inventory'!D:D,'[1]Raw Inventory'!C:C,"GREATWALL",'[1]Raw Inventory'!B:B,A1511)</f>
        <v>35</v>
      </c>
      <c r="AH1511" s="46">
        <f>SUMIFS('[1]Raw Inventory'!D:D,'[1]Raw Inventory'!C:C,"DUARTE",'[1]Raw Inventory'!B:B,A1511)</f>
        <v>0</v>
      </c>
      <c r="AI1511" s="46"/>
      <c r="AJ1511" s="46"/>
      <c r="AK1511" s="43"/>
      <c r="AL1511" s="43"/>
      <c r="AM1511" s="43"/>
      <c r="AN1511" s="43"/>
      <c r="AO1511" s="43"/>
      <c r="AP1511" s="43"/>
      <c r="AQ1511" s="43"/>
      <c r="AR1511" s="43"/>
      <c r="AS1511" s="43"/>
      <c r="AT1511" s="43"/>
    </row>
    <row r="1512" spans="1:46">
      <c r="A1512" s="43" t="s">
        <v>50</v>
      </c>
      <c r="B1512" s="43" t="s">
        <v>30</v>
      </c>
      <c r="C1512" s="43" t="s">
        <v>1</v>
      </c>
      <c r="D1512" s="44" t="s">
        <v>228</v>
      </c>
      <c r="E1512" s="44">
        <v>22</v>
      </c>
      <c r="F1512" s="44" t="s">
        <v>2</v>
      </c>
      <c r="G1512" s="43" t="str">
        <f>IFERROR(VLOOKUP(A1512,'[1]MC Masterlist 2026-09-12'!$B:$M, 3, 0),"")</f>
        <v>YAMAHA</v>
      </c>
      <c r="H1512" s="45">
        <f>IFERROR(VLOOKUP(A1512,'[1]MC Masterlist 2026-09-12'!$B:$M, 6, 0),"")</f>
        <v>78957</v>
      </c>
      <c r="I1512" s="46">
        <v>1</v>
      </c>
      <c r="J1512" s="46">
        <v>0</v>
      </c>
      <c r="K1512" s="46">
        <v>1</v>
      </c>
      <c r="L1512" s="46">
        <f t="shared" si="345"/>
        <v>2</v>
      </c>
      <c r="M1512" s="46">
        <f t="shared" si="346"/>
        <v>0.66666666666666663</v>
      </c>
      <c r="N1512" s="45">
        <f t="shared" si="347"/>
        <v>157914</v>
      </c>
      <c r="O1512" s="45">
        <f t="shared" si="348"/>
        <v>52638</v>
      </c>
      <c r="P1512" s="46">
        <f t="shared" si="349"/>
        <v>2.222222222222222E-2</v>
      </c>
      <c r="Q1512" s="46">
        <v>2</v>
      </c>
      <c r="R1512" s="45">
        <f t="shared" si="350"/>
        <v>157914</v>
      </c>
      <c r="S1512" s="46">
        <f t="shared" si="351"/>
        <v>90</v>
      </c>
      <c r="T1512" s="46">
        <f>IFERROR(VLOOKUP(A1512,'[1]Re-order'!$A:$Q,17,0),"")</f>
        <v>118.125</v>
      </c>
      <c r="U1512" s="46">
        <f>IFERROR(VLOOKUP(A1512,'[1]MC Masterlist 2026-09-12'!$B:$M, 10, 0),0)</f>
        <v>15</v>
      </c>
      <c r="V1512" s="46">
        <f>IFERROR(VLOOKUP(A1512,'[1]MC Masterlist 2026-09-12'!$B:$M, 11, 0),0)</f>
        <v>15</v>
      </c>
      <c r="W1512" s="46">
        <f t="shared" si="352"/>
        <v>30</v>
      </c>
      <c r="X1512" s="46">
        <f t="shared" si="353"/>
        <v>6.666666666666667</v>
      </c>
      <c r="Y1512" s="46">
        <f>IFERROR(IF(OR(C1512="AREA I",C1512="AREA V"),7,VLOOKUP(A1512,'[1]MC Masterlist 2026-09-12'!$B:$M, 12, 0)),0)</f>
        <v>7</v>
      </c>
      <c r="Z1512" s="46">
        <f t="shared" si="354"/>
        <v>0.33333333333333331</v>
      </c>
      <c r="AA1512" s="46">
        <f t="shared" si="355"/>
        <v>0.66666666666666663</v>
      </c>
      <c r="AB1512" s="46">
        <f t="shared" si="356"/>
        <v>0.14814814814814814</v>
      </c>
      <c r="AC1512" s="46">
        <f t="shared" si="357"/>
        <v>0.15555555555555553</v>
      </c>
      <c r="AD1512" s="44" t="str">
        <f t="shared" si="358"/>
        <v>Over</v>
      </c>
      <c r="AE1512" s="44" t="str">
        <f>IFERROR(VLOOKUP(A1512,'[1]Re-order'!$A:$AA,27,0),"")</f>
        <v>Over</v>
      </c>
      <c r="AF1512" s="46">
        <f t="shared" si="359"/>
        <v>-1.8444444444444446</v>
      </c>
      <c r="AG1512" s="46">
        <f>SUMIFS('[1]Raw Inventory'!D:D,'[1]Raw Inventory'!C:C,"GREATWALL",'[1]Raw Inventory'!B:B,A1512)</f>
        <v>23</v>
      </c>
      <c r="AH1512" s="46">
        <f>SUMIFS('[1]Raw Inventory'!D:D,'[1]Raw Inventory'!C:C,"DUARTE",'[1]Raw Inventory'!B:B,A1512)</f>
        <v>0</v>
      </c>
      <c r="AI1512" s="46"/>
      <c r="AJ1512" s="46"/>
      <c r="AK1512" s="43"/>
      <c r="AL1512" s="43"/>
      <c r="AM1512" s="43"/>
      <c r="AN1512" s="43"/>
      <c r="AO1512" s="43"/>
      <c r="AP1512" s="43"/>
      <c r="AQ1512" s="43"/>
      <c r="AR1512" s="43"/>
      <c r="AS1512" s="43"/>
      <c r="AT1512" s="43"/>
    </row>
    <row r="1513" spans="1:46">
      <c r="A1513" s="43" t="s">
        <v>23</v>
      </c>
      <c r="B1513" s="43" t="s">
        <v>131</v>
      </c>
      <c r="C1513" s="43" t="s">
        <v>128</v>
      </c>
      <c r="D1513" s="44" t="s">
        <v>225</v>
      </c>
      <c r="E1513" s="44">
        <v>3</v>
      </c>
      <c r="F1513" s="44" t="s">
        <v>0</v>
      </c>
      <c r="G1513" s="43" t="str">
        <f>IFERROR(VLOOKUP(A1513,'[1]MC Masterlist 2026-09-12'!$B:$M, 3, 0),"")</f>
        <v>KAWASAKI</v>
      </c>
      <c r="H1513" s="45">
        <f>IFERROR(VLOOKUP(A1513,'[1]MC Masterlist 2026-09-12'!$B:$M, 6, 0),"")</f>
        <v>60656</v>
      </c>
      <c r="I1513" s="46">
        <v>12</v>
      </c>
      <c r="J1513" s="46">
        <v>15</v>
      </c>
      <c r="K1513" s="46">
        <v>10</v>
      </c>
      <c r="L1513" s="46">
        <f t="shared" si="345"/>
        <v>37</v>
      </c>
      <c r="M1513" s="46">
        <f t="shared" si="346"/>
        <v>12.333333333333334</v>
      </c>
      <c r="N1513" s="45">
        <f t="shared" si="347"/>
        <v>2244272</v>
      </c>
      <c r="O1513" s="45">
        <f t="shared" si="348"/>
        <v>748090.66666666674</v>
      </c>
      <c r="P1513" s="46">
        <f t="shared" si="349"/>
        <v>0.41111111111111115</v>
      </c>
      <c r="Q1513" s="46">
        <v>9</v>
      </c>
      <c r="R1513" s="45">
        <f t="shared" si="350"/>
        <v>545904</v>
      </c>
      <c r="S1513" s="46">
        <f t="shared" si="351"/>
        <v>21.891891891891888</v>
      </c>
      <c r="T1513" s="46">
        <f>IFERROR(VLOOKUP(A1513,'[1]Re-order'!$A:$Q,17,0),"")</f>
        <v>53.973412112259979</v>
      </c>
      <c r="U1513" s="46">
        <f>IFERROR(VLOOKUP(A1513,'[1]MC Masterlist 2026-09-12'!$B:$M, 10, 0),0)</f>
        <v>15</v>
      </c>
      <c r="V1513" s="46">
        <f>IFERROR(VLOOKUP(A1513,'[1]MC Masterlist 2026-09-12'!$B:$M, 11, 0),0)</f>
        <v>15</v>
      </c>
      <c r="W1513" s="46">
        <f t="shared" si="352"/>
        <v>30</v>
      </c>
      <c r="X1513" s="46">
        <f t="shared" si="353"/>
        <v>23.833333333333332</v>
      </c>
      <c r="Y1513" s="46">
        <f>IFERROR(IF(OR(C1513="AREA I",C1513="AREA V"),7,VLOOKUP(A1513,'[1]MC Masterlist 2026-09-12'!$B:$M, 12, 0)),0)</f>
        <v>30</v>
      </c>
      <c r="Z1513" s="46">
        <f t="shared" si="354"/>
        <v>6.166666666666667</v>
      </c>
      <c r="AA1513" s="46">
        <f t="shared" si="355"/>
        <v>12.333333333333334</v>
      </c>
      <c r="AB1513" s="46">
        <f t="shared" si="356"/>
        <v>9.7981481481481492</v>
      </c>
      <c r="AC1513" s="46">
        <f t="shared" si="357"/>
        <v>12.333333333333334</v>
      </c>
      <c r="AD1513" s="44" t="str">
        <f t="shared" si="358"/>
        <v>Re-order</v>
      </c>
      <c r="AE1513" s="44" t="str">
        <f>IFERROR(VLOOKUP(A1513,'[1]Re-order'!$A:$AA,27,0),"")</f>
        <v>Re-order</v>
      </c>
      <c r="AF1513" s="46">
        <f t="shared" si="359"/>
        <v>3.3333333333333339</v>
      </c>
      <c r="AG1513" s="46">
        <f>SUMIFS('[1]Raw Inventory'!D:D,'[1]Raw Inventory'!C:C,"GREATWALL",'[1]Raw Inventory'!B:B,A1513)</f>
        <v>282</v>
      </c>
      <c r="AH1513" s="46">
        <f>SUMIFS('[1]Raw Inventory'!D:D,'[1]Raw Inventory'!C:C,"DUARTE",'[1]Raw Inventory'!B:B,A1513)</f>
        <v>0</v>
      </c>
      <c r="AI1513" s="46"/>
      <c r="AJ1513" s="46"/>
      <c r="AK1513" s="43"/>
      <c r="AL1513" s="43"/>
      <c r="AM1513" s="43"/>
      <c r="AN1513" s="43"/>
      <c r="AO1513" s="43"/>
      <c r="AP1513" s="43"/>
      <c r="AQ1513" s="43"/>
      <c r="AR1513" s="43"/>
      <c r="AS1513" s="43"/>
      <c r="AT1513" s="43"/>
    </row>
    <row r="1514" spans="1:46">
      <c r="A1514" s="43" t="s">
        <v>53</v>
      </c>
      <c r="B1514" s="43" t="s">
        <v>5</v>
      </c>
      <c r="C1514" s="43" t="s">
        <v>118</v>
      </c>
      <c r="D1514" s="44" t="s">
        <v>232</v>
      </c>
      <c r="E1514" s="44">
        <v>23</v>
      </c>
      <c r="F1514" s="44" t="s">
        <v>3</v>
      </c>
      <c r="G1514" s="43" t="str">
        <f>IFERROR(VLOOKUP(A1514,'[1]MC Masterlist 2026-09-12'!$B:$M, 3, 0),"")</f>
        <v>HONDA</v>
      </c>
      <c r="H1514" s="45">
        <f>IFERROR(VLOOKUP(A1514,'[1]MC Masterlist 2026-09-12'!$B:$M, 6, 0),"")</f>
        <v>118838</v>
      </c>
      <c r="I1514" s="46">
        <v>0</v>
      </c>
      <c r="J1514" s="46">
        <v>0</v>
      </c>
      <c r="K1514" s="46">
        <v>0</v>
      </c>
      <c r="L1514" s="46">
        <f t="shared" si="345"/>
        <v>0</v>
      </c>
      <c r="M1514" s="46">
        <f t="shared" si="346"/>
        <v>0</v>
      </c>
      <c r="N1514" s="45">
        <f t="shared" si="347"/>
        <v>0</v>
      </c>
      <c r="O1514" s="45">
        <f t="shared" si="348"/>
        <v>0</v>
      </c>
      <c r="P1514" s="46">
        <f t="shared" si="349"/>
        <v>0</v>
      </c>
      <c r="Q1514" s="46">
        <v>1</v>
      </c>
      <c r="R1514" s="45">
        <f t="shared" si="350"/>
        <v>118838</v>
      </c>
      <c r="S1514" s="46">
        <f t="shared" si="351"/>
        <v>0</v>
      </c>
      <c r="T1514" s="46">
        <f>IFERROR(VLOOKUP(A1514,'[1]Re-order'!$A:$Q,17,0),"")</f>
        <v>360</v>
      </c>
      <c r="U1514" s="46">
        <f>IFERROR(VLOOKUP(A1514,'[1]MC Masterlist 2026-09-12'!$B:$M, 10, 0),0)</f>
        <v>15</v>
      </c>
      <c r="V1514" s="46">
        <f>IFERROR(VLOOKUP(A1514,'[1]MC Masterlist 2026-09-12'!$B:$M, 11, 0),0)</f>
        <v>15</v>
      </c>
      <c r="W1514" s="46">
        <f t="shared" si="352"/>
        <v>30</v>
      </c>
      <c r="X1514" s="46">
        <f t="shared" si="353"/>
        <v>30</v>
      </c>
      <c r="Y1514" s="46">
        <f>IFERROR(IF(OR(C1514="AREA I",C1514="AREA V"),7,VLOOKUP(A1514,'[1]MC Masterlist 2026-09-12'!$B:$M, 12, 0)),0)</f>
        <v>30</v>
      </c>
      <c r="Z1514" s="46">
        <f t="shared" si="354"/>
        <v>0</v>
      </c>
      <c r="AA1514" s="46">
        <f t="shared" si="355"/>
        <v>0</v>
      </c>
      <c r="AB1514" s="46">
        <f t="shared" si="356"/>
        <v>0</v>
      </c>
      <c r="AC1514" s="46">
        <f t="shared" si="357"/>
        <v>0</v>
      </c>
      <c r="AD1514" s="44" t="str">
        <f t="shared" si="358"/>
        <v>Over</v>
      </c>
      <c r="AE1514" s="44" t="str">
        <f>IFERROR(VLOOKUP(A1514,'[1]Re-order'!$A:$AA,27,0),"")</f>
        <v>Over</v>
      </c>
      <c r="AF1514" s="46">
        <f t="shared" si="359"/>
        <v>-1</v>
      </c>
      <c r="AG1514" s="46">
        <f>SUMIFS('[1]Raw Inventory'!D:D,'[1]Raw Inventory'!C:C,"GREATWALL",'[1]Raw Inventory'!B:B,A1514)</f>
        <v>0</v>
      </c>
      <c r="AH1514" s="46">
        <f>SUMIFS('[1]Raw Inventory'!D:D,'[1]Raw Inventory'!C:C,"DUARTE",'[1]Raw Inventory'!B:B,A1514)</f>
        <v>0</v>
      </c>
      <c r="AI1514" s="46"/>
      <c r="AJ1514" s="46"/>
      <c r="AK1514" s="43"/>
      <c r="AL1514" s="43"/>
      <c r="AM1514" s="43"/>
      <c r="AN1514" s="43"/>
      <c r="AO1514" s="43"/>
      <c r="AP1514" s="43"/>
      <c r="AQ1514" s="43"/>
      <c r="AR1514" s="43"/>
      <c r="AS1514" s="43"/>
      <c r="AT1514" s="43"/>
    </row>
    <row r="1515" spans="1:46">
      <c r="A1515" s="43" t="s">
        <v>32</v>
      </c>
      <c r="B1515" s="43" t="s">
        <v>122</v>
      </c>
      <c r="C1515" s="43" t="s">
        <v>118</v>
      </c>
      <c r="D1515" s="44" t="s">
        <v>256</v>
      </c>
      <c r="E1515" s="44">
        <v>16</v>
      </c>
      <c r="F1515" s="44" t="s">
        <v>2</v>
      </c>
      <c r="G1515" s="43" t="str">
        <f>IFERROR(VLOOKUP(A1515,'[1]MC Masterlist 2026-09-12'!$B:$M, 3, 0),"")</f>
        <v>HONDA</v>
      </c>
      <c r="H1515" s="45">
        <f>IFERROR(VLOOKUP(A1515,'[1]MC Masterlist 2026-09-12'!$B:$M, 6, 0),"")</f>
        <v>288910</v>
      </c>
      <c r="I1515" s="46">
        <v>0</v>
      </c>
      <c r="J1515" s="46">
        <v>1</v>
      </c>
      <c r="K1515" s="46">
        <v>0</v>
      </c>
      <c r="L1515" s="46">
        <f t="shared" si="345"/>
        <v>1</v>
      </c>
      <c r="M1515" s="46">
        <f t="shared" si="346"/>
        <v>0.33333333333333331</v>
      </c>
      <c r="N1515" s="45">
        <f t="shared" si="347"/>
        <v>288910</v>
      </c>
      <c r="O1515" s="45">
        <f t="shared" si="348"/>
        <v>96303.333333333328</v>
      </c>
      <c r="P1515" s="46">
        <f t="shared" si="349"/>
        <v>1.111111111111111E-2</v>
      </c>
      <c r="Q1515" s="46"/>
      <c r="R1515" s="45">
        <f t="shared" si="350"/>
        <v>0</v>
      </c>
      <c r="S1515" s="46">
        <f t="shared" si="351"/>
        <v>0</v>
      </c>
      <c r="T1515" s="46">
        <f>IFERROR(VLOOKUP(A1515,'[1]Re-order'!$A:$Q,17,0),"")</f>
        <v>97.5</v>
      </c>
      <c r="U1515" s="46">
        <f>IFERROR(VLOOKUP(A1515,'[1]MC Masterlist 2026-09-12'!$B:$M, 10, 0),0)</f>
        <v>15</v>
      </c>
      <c r="V1515" s="46">
        <f>IFERROR(VLOOKUP(A1515,'[1]MC Masterlist 2026-09-12'!$B:$M, 11, 0),0)</f>
        <v>15</v>
      </c>
      <c r="W1515" s="46">
        <f t="shared" si="352"/>
        <v>30</v>
      </c>
      <c r="X1515" s="46">
        <f t="shared" si="353"/>
        <v>29.833333333333332</v>
      </c>
      <c r="Y1515" s="46">
        <f>IFERROR(IF(OR(C1515="AREA I",C1515="AREA V"),7,VLOOKUP(A1515,'[1]MC Masterlist 2026-09-12'!$B:$M, 12, 0)),0)</f>
        <v>30</v>
      </c>
      <c r="Z1515" s="46">
        <f t="shared" si="354"/>
        <v>0.16666666666666666</v>
      </c>
      <c r="AA1515" s="46">
        <f t="shared" si="355"/>
        <v>0.33333333333333331</v>
      </c>
      <c r="AB1515" s="46">
        <f t="shared" si="356"/>
        <v>0.33148148148148143</v>
      </c>
      <c r="AC1515" s="46">
        <f t="shared" si="357"/>
        <v>0.33333333333333331</v>
      </c>
      <c r="AD1515" s="44" t="str">
        <f t="shared" si="358"/>
        <v>Stockout</v>
      </c>
      <c r="AE1515" s="44" t="str">
        <f>IFERROR(VLOOKUP(A1515,'[1]Re-order'!$A:$AA,27,0),"")</f>
        <v>Over</v>
      </c>
      <c r="AF1515" s="46">
        <f t="shared" si="359"/>
        <v>0.33333333333333331</v>
      </c>
      <c r="AG1515" s="46">
        <f>SUMIFS('[1]Raw Inventory'!D:D,'[1]Raw Inventory'!C:C,"GREATWALL",'[1]Raw Inventory'!B:B,A1515)</f>
        <v>7</v>
      </c>
      <c r="AH1515" s="46">
        <f>SUMIFS('[1]Raw Inventory'!D:D,'[1]Raw Inventory'!C:C,"DUARTE",'[1]Raw Inventory'!B:B,A1515)</f>
        <v>0</v>
      </c>
      <c r="AI1515" s="46"/>
      <c r="AJ1515" s="46"/>
      <c r="AK1515" s="43"/>
      <c r="AL1515" s="43"/>
      <c r="AM1515" s="43"/>
      <c r="AN1515" s="43"/>
      <c r="AO1515" s="43"/>
      <c r="AP1515" s="43"/>
      <c r="AQ1515" s="43"/>
      <c r="AR1515" s="43"/>
      <c r="AS1515" s="43"/>
      <c r="AT1515" s="43"/>
    </row>
    <row r="1516" spans="1:46">
      <c r="A1516" s="43" t="s">
        <v>25</v>
      </c>
      <c r="B1516" s="43" t="s">
        <v>95</v>
      </c>
      <c r="C1516" s="43" t="s">
        <v>90</v>
      </c>
      <c r="D1516" s="44" t="s">
        <v>268</v>
      </c>
      <c r="E1516" s="44">
        <v>16</v>
      </c>
      <c r="F1516" s="44" t="s">
        <v>3</v>
      </c>
      <c r="G1516" s="43" t="str">
        <f>IFERROR(VLOOKUP(A1516,'[1]MC Masterlist 2026-09-12'!$B:$M, 3, 0),"")</f>
        <v>YAMAHA</v>
      </c>
      <c r="H1516" s="45">
        <f>IFERROR(VLOOKUP(A1516,'[1]MC Masterlist 2026-09-12'!$B:$M, 6, 0),"")</f>
        <v>124527</v>
      </c>
      <c r="I1516" s="46">
        <v>0</v>
      </c>
      <c r="J1516" s="46">
        <v>0</v>
      </c>
      <c r="K1516" s="46">
        <v>1</v>
      </c>
      <c r="L1516" s="46">
        <f t="shared" si="345"/>
        <v>1</v>
      </c>
      <c r="M1516" s="46">
        <f t="shared" si="346"/>
        <v>0.33333333333333331</v>
      </c>
      <c r="N1516" s="45">
        <f t="shared" si="347"/>
        <v>124527</v>
      </c>
      <c r="O1516" s="45">
        <f t="shared" si="348"/>
        <v>41509</v>
      </c>
      <c r="P1516" s="46">
        <f t="shared" si="349"/>
        <v>1.111111111111111E-2</v>
      </c>
      <c r="Q1516" s="46"/>
      <c r="R1516" s="45">
        <f t="shared" si="350"/>
        <v>0</v>
      </c>
      <c r="S1516" s="46">
        <f t="shared" si="351"/>
        <v>0</v>
      </c>
      <c r="T1516" s="46">
        <f>IFERROR(VLOOKUP(A1516,'[1]Re-order'!$A:$Q,17,0),"")</f>
        <v>5.1030927835051543</v>
      </c>
      <c r="U1516" s="46">
        <f>IFERROR(VLOOKUP(A1516,'[1]MC Masterlist 2026-09-12'!$B:$M, 10, 0),0)</f>
        <v>15</v>
      </c>
      <c r="V1516" s="46">
        <f>IFERROR(VLOOKUP(A1516,'[1]MC Masterlist 2026-09-12'!$B:$M, 11, 0),0)</f>
        <v>15</v>
      </c>
      <c r="W1516" s="46">
        <f t="shared" si="352"/>
        <v>30</v>
      </c>
      <c r="X1516" s="46">
        <f t="shared" si="353"/>
        <v>29.833333333333332</v>
      </c>
      <c r="Y1516" s="46">
        <f>IFERROR(IF(OR(C1516="AREA I",C1516="AREA V"),7,VLOOKUP(A1516,'[1]MC Masterlist 2026-09-12'!$B:$M, 12, 0)),0)</f>
        <v>30</v>
      </c>
      <c r="Z1516" s="46">
        <f t="shared" si="354"/>
        <v>0.16666666666666666</v>
      </c>
      <c r="AA1516" s="46">
        <f t="shared" si="355"/>
        <v>0.33333333333333331</v>
      </c>
      <c r="AB1516" s="46">
        <f t="shared" si="356"/>
        <v>0.33148148148148143</v>
      </c>
      <c r="AC1516" s="46">
        <f t="shared" si="357"/>
        <v>0.33333333333333331</v>
      </c>
      <c r="AD1516" s="44" t="str">
        <f t="shared" si="358"/>
        <v>Stockout</v>
      </c>
      <c r="AE1516" s="44" t="str">
        <f>IFERROR(VLOOKUP(A1516,'[1]Re-order'!$A:$AA,27,0),"")</f>
        <v>Stockout</v>
      </c>
      <c r="AF1516" s="46">
        <f t="shared" si="359"/>
        <v>0.33333333333333331</v>
      </c>
      <c r="AG1516" s="46">
        <f>SUMIFS('[1]Raw Inventory'!D:D,'[1]Raw Inventory'!C:C,"GREATWALL",'[1]Raw Inventory'!B:B,A1516)</f>
        <v>1</v>
      </c>
      <c r="AH1516" s="46">
        <f>SUMIFS('[1]Raw Inventory'!D:D,'[1]Raw Inventory'!C:C,"DUARTE",'[1]Raw Inventory'!B:B,A1516)</f>
        <v>0</v>
      </c>
      <c r="AI1516" s="46"/>
      <c r="AJ1516" s="46"/>
      <c r="AK1516" s="43"/>
      <c r="AL1516" s="43"/>
      <c r="AM1516" s="43"/>
      <c r="AN1516" s="43"/>
      <c r="AO1516" s="43"/>
      <c r="AP1516" s="43"/>
      <c r="AQ1516" s="43"/>
      <c r="AR1516" s="43"/>
      <c r="AS1516" s="43"/>
      <c r="AT1516" s="43"/>
    </row>
    <row r="1517" spans="1:46">
      <c r="A1517" s="43" t="s">
        <v>17</v>
      </c>
      <c r="B1517" s="43" t="s">
        <v>97</v>
      </c>
      <c r="C1517" s="43" t="s">
        <v>90</v>
      </c>
      <c r="D1517" s="44" t="s">
        <v>254</v>
      </c>
      <c r="E1517" s="44">
        <v>4</v>
      </c>
      <c r="F1517" s="44" t="s">
        <v>2</v>
      </c>
      <c r="G1517" s="43" t="str">
        <f>IFERROR(VLOOKUP(A1517,'[1]MC Masterlist 2026-09-12'!$B:$M, 3, 0),"")</f>
        <v>HONDA</v>
      </c>
      <c r="H1517" s="45">
        <f>IFERROR(VLOOKUP(A1517,'[1]MC Masterlist 2026-09-12'!$B:$M, 6, 0),"")</f>
        <v>140790</v>
      </c>
      <c r="I1517" s="46">
        <v>1</v>
      </c>
      <c r="J1517" s="46">
        <v>0</v>
      </c>
      <c r="K1517" s="46">
        <v>1</v>
      </c>
      <c r="L1517" s="46">
        <f t="shared" si="345"/>
        <v>2</v>
      </c>
      <c r="M1517" s="46">
        <f t="shared" si="346"/>
        <v>0.66666666666666663</v>
      </c>
      <c r="N1517" s="45">
        <f t="shared" si="347"/>
        <v>281580</v>
      </c>
      <c r="O1517" s="45">
        <f t="shared" si="348"/>
        <v>93860</v>
      </c>
      <c r="P1517" s="46">
        <f t="shared" si="349"/>
        <v>2.222222222222222E-2</v>
      </c>
      <c r="Q1517" s="46">
        <v>5</v>
      </c>
      <c r="R1517" s="45">
        <f t="shared" si="350"/>
        <v>703950</v>
      </c>
      <c r="S1517" s="46">
        <f t="shared" si="351"/>
        <v>225</v>
      </c>
      <c r="T1517" s="46">
        <f>IFERROR(VLOOKUP(A1517,'[1]Re-order'!$A:$Q,17,0),"")</f>
        <v>43.663366336633665</v>
      </c>
      <c r="U1517" s="46">
        <f>IFERROR(VLOOKUP(A1517,'[1]MC Masterlist 2026-09-12'!$B:$M, 10, 0),0)</f>
        <v>15</v>
      </c>
      <c r="V1517" s="46">
        <f>IFERROR(VLOOKUP(A1517,'[1]MC Masterlist 2026-09-12'!$B:$M, 11, 0),0)</f>
        <v>15</v>
      </c>
      <c r="W1517" s="46">
        <f t="shared" si="352"/>
        <v>30</v>
      </c>
      <c r="X1517" s="46">
        <f t="shared" si="353"/>
        <v>29.666666666666668</v>
      </c>
      <c r="Y1517" s="46">
        <f>IFERROR(IF(OR(C1517="AREA I",C1517="AREA V"),7,VLOOKUP(A1517,'[1]MC Masterlist 2026-09-12'!$B:$M, 12, 0)),0)</f>
        <v>30</v>
      </c>
      <c r="Z1517" s="46">
        <f t="shared" si="354"/>
        <v>0.33333333333333331</v>
      </c>
      <c r="AA1517" s="46">
        <f t="shared" si="355"/>
        <v>0.66666666666666663</v>
      </c>
      <c r="AB1517" s="46">
        <f t="shared" si="356"/>
        <v>0.65925925925925921</v>
      </c>
      <c r="AC1517" s="46">
        <f t="shared" si="357"/>
        <v>0.66666666666666663</v>
      </c>
      <c r="AD1517" s="44" t="str">
        <f t="shared" si="358"/>
        <v>Over</v>
      </c>
      <c r="AE1517" s="44" t="str">
        <f>IFERROR(VLOOKUP(A1517,'[1]Re-order'!$A:$AA,27,0),"")</f>
        <v>Re-order</v>
      </c>
      <c r="AF1517" s="46">
        <f t="shared" si="359"/>
        <v>-4.333333333333333</v>
      </c>
      <c r="AG1517" s="46">
        <f>SUMIFS('[1]Raw Inventory'!D:D,'[1]Raw Inventory'!C:C,"GREATWALL",'[1]Raw Inventory'!B:B,A1517)</f>
        <v>12</v>
      </c>
      <c r="AH1517" s="46">
        <f>SUMIFS('[1]Raw Inventory'!D:D,'[1]Raw Inventory'!C:C,"DUARTE",'[1]Raw Inventory'!B:B,A1517)</f>
        <v>0</v>
      </c>
      <c r="AI1517" s="46"/>
      <c r="AJ1517" s="46"/>
      <c r="AK1517" s="43"/>
      <c r="AL1517" s="43"/>
      <c r="AM1517" s="43"/>
      <c r="AN1517" s="43"/>
      <c r="AO1517" s="43"/>
      <c r="AP1517" s="43"/>
      <c r="AQ1517" s="43"/>
      <c r="AR1517" s="43"/>
      <c r="AS1517" s="43"/>
      <c r="AT1517" s="43"/>
    </row>
    <row r="1518" spans="1:46">
      <c r="A1518" s="43" t="s">
        <v>42</v>
      </c>
      <c r="B1518" s="43" t="s">
        <v>138</v>
      </c>
      <c r="C1518" s="43" t="s">
        <v>137</v>
      </c>
      <c r="D1518" s="44" t="s">
        <v>246</v>
      </c>
      <c r="E1518" s="44">
        <v>11</v>
      </c>
      <c r="F1518" s="44" t="s">
        <v>2</v>
      </c>
      <c r="G1518" s="43" t="str">
        <f>IFERROR(VLOOKUP(A1518,'[1]MC Masterlist 2026-09-12'!$B:$M, 3, 0),"")</f>
        <v>YAMAHA</v>
      </c>
      <c r="H1518" s="45">
        <f>IFERROR(VLOOKUP(A1518,'[1]MC Masterlist 2026-09-12'!$B:$M, 6, 0),"")</f>
        <v>152892</v>
      </c>
      <c r="I1518" s="46">
        <v>0</v>
      </c>
      <c r="J1518" s="46">
        <v>0</v>
      </c>
      <c r="K1518" s="46">
        <v>0</v>
      </c>
      <c r="L1518" s="46">
        <f t="shared" si="345"/>
        <v>0</v>
      </c>
      <c r="M1518" s="46">
        <f t="shared" si="346"/>
        <v>0</v>
      </c>
      <c r="N1518" s="45">
        <f t="shared" si="347"/>
        <v>0</v>
      </c>
      <c r="O1518" s="45">
        <f t="shared" si="348"/>
        <v>0</v>
      </c>
      <c r="P1518" s="46">
        <f t="shared" si="349"/>
        <v>0</v>
      </c>
      <c r="Q1518" s="46">
        <v>3</v>
      </c>
      <c r="R1518" s="45">
        <f t="shared" si="350"/>
        <v>458676</v>
      </c>
      <c r="S1518" s="46">
        <f t="shared" si="351"/>
        <v>0</v>
      </c>
      <c r="T1518" s="46">
        <f>IFERROR(VLOOKUP(A1518,'[1]Re-order'!$A:$Q,17,0),"")</f>
        <v>104.55882352941177</v>
      </c>
      <c r="U1518" s="46">
        <f>IFERROR(VLOOKUP(A1518,'[1]MC Masterlist 2026-09-12'!$B:$M, 10, 0),0)</f>
        <v>15</v>
      </c>
      <c r="V1518" s="46">
        <f>IFERROR(VLOOKUP(A1518,'[1]MC Masterlist 2026-09-12'!$B:$M, 11, 0),0)</f>
        <v>15</v>
      </c>
      <c r="W1518" s="46">
        <f t="shared" si="352"/>
        <v>30</v>
      </c>
      <c r="X1518" s="46">
        <f t="shared" si="353"/>
        <v>7</v>
      </c>
      <c r="Y1518" s="46">
        <f>IFERROR(IF(OR(C1518="AREA I",C1518="AREA V"),7,VLOOKUP(A1518,'[1]MC Masterlist 2026-09-12'!$B:$M, 12, 0)),0)</f>
        <v>7</v>
      </c>
      <c r="Z1518" s="46">
        <f t="shared" si="354"/>
        <v>0</v>
      </c>
      <c r="AA1518" s="46">
        <f t="shared" si="355"/>
        <v>0</v>
      </c>
      <c r="AB1518" s="46">
        <f t="shared" si="356"/>
        <v>0</v>
      </c>
      <c r="AC1518" s="46">
        <f t="shared" si="357"/>
        <v>0</v>
      </c>
      <c r="AD1518" s="44" t="str">
        <f t="shared" si="358"/>
        <v>Over</v>
      </c>
      <c r="AE1518" s="44" t="str">
        <f>IFERROR(VLOOKUP(A1518,'[1]Re-order'!$A:$AA,27,0),"")</f>
        <v>Over</v>
      </c>
      <c r="AF1518" s="46">
        <f t="shared" si="359"/>
        <v>-3</v>
      </c>
      <c r="AG1518" s="46">
        <f>SUMIFS('[1]Raw Inventory'!D:D,'[1]Raw Inventory'!C:C,"GREATWALL",'[1]Raw Inventory'!B:B,A1518)</f>
        <v>3</v>
      </c>
      <c r="AH1518" s="46">
        <f>SUMIFS('[1]Raw Inventory'!D:D,'[1]Raw Inventory'!C:C,"DUARTE",'[1]Raw Inventory'!B:B,A1518)</f>
        <v>0</v>
      </c>
      <c r="AI1518" s="46"/>
      <c r="AJ1518" s="46"/>
      <c r="AK1518" s="43"/>
      <c r="AL1518" s="43"/>
      <c r="AM1518" s="43"/>
      <c r="AN1518" s="43"/>
      <c r="AO1518" s="43"/>
      <c r="AP1518" s="43"/>
      <c r="AQ1518" s="43"/>
      <c r="AR1518" s="43"/>
      <c r="AS1518" s="43"/>
      <c r="AT1518" s="43"/>
    </row>
    <row r="1519" spans="1:46">
      <c r="A1519" s="43" t="s">
        <v>61</v>
      </c>
      <c r="B1519" s="43" t="s">
        <v>91</v>
      </c>
      <c r="C1519" s="43" t="s">
        <v>90</v>
      </c>
      <c r="D1519" s="44" t="s">
        <v>229</v>
      </c>
      <c r="E1519" s="44">
        <v>14</v>
      </c>
      <c r="F1519" s="44" t="s">
        <v>3</v>
      </c>
      <c r="G1519" s="43" t="str">
        <f>IFERROR(VLOOKUP(A1519,'[1]MC Masterlist 2026-09-12'!$B:$M, 3, 0),"")</f>
        <v>HONDA</v>
      </c>
      <c r="H1519" s="45">
        <f>IFERROR(VLOOKUP(A1519,'[1]MC Masterlist 2026-09-12'!$B:$M, 6, 0),"")</f>
        <v>63510</v>
      </c>
      <c r="I1519" s="46">
        <v>0</v>
      </c>
      <c r="J1519" s="46">
        <v>0</v>
      </c>
      <c r="K1519" s="46">
        <v>0</v>
      </c>
      <c r="L1519" s="46">
        <f t="shared" si="345"/>
        <v>0</v>
      </c>
      <c r="M1519" s="46">
        <f t="shared" si="346"/>
        <v>0</v>
      </c>
      <c r="N1519" s="45">
        <f t="shared" si="347"/>
        <v>0</v>
      </c>
      <c r="O1519" s="45">
        <f t="shared" si="348"/>
        <v>0</v>
      </c>
      <c r="P1519" s="46">
        <f t="shared" si="349"/>
        <v>0</v>
      </c>
      <c r="Q1519" s="46">
        <v>1</v>
      </c>
      <c r="R1519" s="45">
        <f t="shared" si="350"/>
        <v>63510</v>
      </c>
      <c r="S1519" s="46">
        <f t="shared" si="351"/>
        <v>0</v>
      </c>
      <c r="T1519" s="46">
        <f>IFERROR(VLOOKUP(A1519,'[1]Re-order'!$A:$Q,17,0),"")</f>
        <v>135</v>
      </c>
      <c r="U1519" s="46">
        <f>IFERROR(VLOOKUP(A1519,'[1]MC Masterlist 2026-09-12'!$B:$M, 10, 0),0)</f>
        <v>15</v>
      </c>
      <c r="V1519" s="46">
        <f>IFERROR(VLOOKUP(A1519,'[1]MC Masterlist 2026-09-12'!$B:$M, 11, 0),0)</f>
        <v>15</v>
      </c>
      <c r="W1519" s="46">
        <f t="shared" si="352"/>
        <v>30</v>
      </c>
      <c r="X1519" s="46">
        <f t="shared" si="353"/>
        <v>30</v>
      </c>
      <c r="Y1519" s="46">
        <f>IFERROR(IF(OR(C1519="AREA I",C1519="AREA V"),7,VLOOKUP(A1519,'[1]MC Masterlist 2026-09-12'!$B:$M, 12, 0)),0)</f>
        <v>30</v>
      </c>
      <c r="Z1519" s="46">
        <f t="shared" si="354"/>
        <v>0</v>
      </c>
      <c r="AA1519" s="46">
        <f t="shared" si="355"/>
        <v>0</v>
      </c>
      <c r="AB1519" s="46">
        <f t="shared" si="356"/>
        <v>0</v>
      </c>
      <c r="AC1519" s="46">
        <f t="shared" si="357"/>
        <v>0</v>
      </c>
      <c r="AD1519" s="44" t="str">
        <f t="shared" si="358"/>
        <v>Over</v>
      </c>
      <c r="AE1519" s="44" t="str">
        <f>IFERROR(VLOOKUP(A1519,'[1]Re-order'!$A:$AA,27,0),"")</f>
        <v>Over</v>
      </c>
      <c r="AF1519" s="46">
        <f t="shared" si="359"/>
        <v>-1</v>
      </c>
      <c r="AG1519" s="46">
        <f>SUMIFS('[1]Raw Inventory'!D:D,'[1]Raw Inventory'!C:C,"GREATWALL",'[1]Raw Inventory'!B:B,A1519)</f>
        <v>1</v>
      </c>
      <c r="AH1519" s="46">
        <f>SUMIFS('[1]Raw Inventory'!D:D,'[1]Raw Inventory'!C:C,"DUARTE",'[1]Raw Inventory'!B:B,A1519)</f>
        <v>0</v>
      </c>
      <c r="AI1519" s="46"/>
      <c r="AJ1519" s="46"/>
      <c r="AK1519" s="43"/>
      <c r="AL1519" s="43"/>
      <c r="AM1519" s="43"/>
      <c r="AN1519" s="43"/>
      <c r="AO1519" s="43"/>
      <c r="AP1519" s="43"/>
      <c r="AQ1519" s="43"/>
      <c r="AR1519" s="43"/>
      <c r="AS1519" s="43"/>
      <c r="AT1519" s="43"/>
    </row>
    <row r="1520" spans="1:46">
      <c r="A1520" s="43" t="s">
        <v>25</v>
      </c>
      <c r="B1520" s="43" t="s">
        <v>130</v>
      </c>
      <c r="C1520" s="43" t="s">
        <v>128</v>
      </c>
      <c r="D1520" s="44" t="s">
        <v>240</v>
      </c>
      <c r="E1520" s="44">
        <v>13</v>
      </c>
      <c r="F1520" s="44" t="s">
        <v>2</v>
      </c>
      <c r="G1520" s="43" t="str">
        <f>IFERROR(VLOOKUP(A1520,'[1]MC Masterlist 2026-09-12'!$B:$M, 3, 0),"")</f>
        <v>YAMAHA</v>
      </c>
      <c r="H1520" s="45">
        <f>IFERROR(VLOOKUP(A1520,'[1]MC Masterlist 2026-09-12'!$B:$M, 6, 0),"")</f>
        <v>124527</v>
      </c>
      <c r="I1520" s="46">
        <v>1</v>
      </c>
      <c r="J1520" s="46">
        <v>1</v>
      </c>
      <c r="K1520" s="46">
        <v>1</v>
      </c>
      <c r="L1520" s="46">
        <f t="shared" si="345"/>
        <v>3</v>
      </c>
      <c r="M1520" s="46">
        <f t="shared" si="346"/>
        <v>1</v>
      </c>
      <c r="N1520" s="45">
        <f t="shared" si="347"/>
        <v>373581</v>
      </c>
      <c r="O1520" s="45">
        <f t="shared" si="348"/>
        <v>124527</v>
      </c>
      <c r="P1520" s="46">
        <f t="shared" si="349"/>
        <v>3.3333333333333333E-2</v>
      </c>
      <c r="Q1520" s="46"/>
      <c r="R1520" s="45">
        <f t="shared" si="350"/>
        <v>0</v>
      </c>
      <c r="S1520" s="46">
        <f t="shared" si="351"/>
        <v>0</v>
      </c>
      <c r="T1520" s="46">
        <f>IFERROR(VLOOKUP(A1520,'[1]Re-order'!$A:$Q,17,0),"")</f>
        <v>5.1030927835051543</v>
      </c>
      <c r="U1520" s="46">
        <f>IFERROR(VLOOKUP(A1520,'[1]MC Masterlist 2026-09-12'!$B:$M, 10, 0),0)</f>
        <v>15</v>
      </c>
      <c r="V1520" s="46">
        <f>IFERROR(VLOOKUP(A1520,'[1]MC Masterlist 2026-09-12'!$B:$M, 11, 0),0)</f>
        <v>15</v>
      </c>
      <c r="W1520" s="46">
        <f t="shared" si="352"/>
        <v>30</v>
      </c>
      <c r="X1520" s="46">
        <f t="shared" si="353"/>
        <v>29.5</v>
      </c>
      <c r="Y1520" s="46">
        <f>IFERROR(IF(OR(C1520="AREA I",C1520="AREA V"),7,VLOOKUP(A1520,'[1]MC Masterlist 2026-09-12'!$B:$M, 12, 0)),0)</f>
        <v>30</v>
      </c>
      <c r="Z1520" s="46">
        <f t="shared" si="354"/>
        <v>0.5</v>
      </c>
      <c r="AA1520" s="46">
        <f t="shared" si="355"/>
        <v>1</v>
      </c>
      <c r="AB1520" s="46">
        <f t="shared" si="356"/>
        <v>0.98333333333333328</v>
      </c>
      <c r="AC1520" s="46">
        <f t="shared" si="357"/>
        <v>1</v>
      </c>
      <c r="AD1520" s="44" t="str">
        <f t="shared" si="358"/>
        <v>Stockout</v>
      </c>
      <c r="AE1520" s="44" t="str">
        <f>IFERROR(VLOOKUP(A1520,'[1]Re-order'!$A:$AA,27,0),"")</f>
        <v>Stockout</v>
      </c>
      <c r="AF1520" s="46">
        <f t="shared" si="359"/>
        <v>1</v>
      </c>
      <c r="AG1520" s="46">
        <f>SUMIFS('[1]Raw Inventory'!D:D,'[1]Raw Inventory'!C:C,"GREATWALL",'[1]Raw Inventory'!B:B,A1520)</f>
        <v>1</v>
      </c>
      <c r="AH1520" s="46">
        <f>SUMIFS('[1]Raw Inventory'!D:D,'[1]Raw Inventory'!C:C,"DUARTE",'[1]Raw Inventory'!B:B,A1520)</f>
        <v>0</v>
      </c>
      <c r="AI1520" s="46"/>
      <c r="AJ1520" s="46"/>
      <c r="AK1520" s="43"/>
      <c r="AL1520" s="43"/>
      <c r="AM1520" s="43"/>
      <c r="AN1520" s="43"/>
      <c r="AO1520" s="43"/>
      <c r="AP1520" s="43"/>
      <c r="AQ1520" s="43"/>
      <c r="AR1520" s="43"/>
      <c r="AS1520" s="43"/>
      <c r="AT1520" s="43"/>
    </row>
    <row r="1521" spans="1:46">
      <c r="A1521" s="43" t="s">
        <v>12</v>
      </c>
      <c r="B1521" s="43" t="s">
        <v>158</v>
      </c>
      <c r="C1521" s="43" t="s">
        <v>152</v>
      </c>
      <c r="D1521" s="44" t="s">
        <v>234</v>
      </c>
      <c r="E1521" s="44">
        <v>4</v>
      </c>
      <c r="F1521" s="44" t="s">
        <v>0</v>
      </c>
      <c r="G1521" s="43" t="str">
        <f>IFERROR(VLOOKUP(A1521,'[1]MC Masterlist 2026-09-12'!$B:$M, 3, 0),"")</f>
        <v>HONDA</v>
      </c>
      <c r="H1521" s="45">
        <f>IFERROR(VLOOKUP(A1521,'[1]MC Masterlist 2026-09-12'!$B:$M, 6, 0),"")</f>
        <v>158270</v>
      </c>
      <c r="I1521" s="46">
        <v>2</v>
      </c>
      <c r="J1521" s="46">
        <v>0</v>
      </c>
      <c r="K1521" s="46">
        <v>2</v>
      </c>
      <c r="L1521" s="46">
        <f t="shared" si="345"/>
        <v>4</v>
      </c>
      <c r="M1521" s="46">
        <f t="shared" si="346"/>
        <v>1.3333333333333333</v>
      </c>
      <c r="N1521" s="45">
        <f t="shared" si="347"/>
        <v>633080</v>
      </c>
      <c r="O1521" s="45">
        <f t="shared" si="348"/>
        <v>211026.66666666666</v>
      </c>
      <c r="P1521" s="46">
        <f t="shared" si="349"/>
        <v>4.4444444444444439E-2</v>
      </c>
      <c r="Q1521" s="46">
        <v>6</v>
      </c>
      <c r="R1521" s="45">
        <f t="shared" si="350"/>
        <v>949620</v>
      </c>
      <c r="S1521" s="46">
        <f t="shared" si="351"/>
        <v>135</v>
      </c>
      <c r="T1521" s="46">
        <f>IFERROR(VLOOKUP(A1521,'[1]Re-order'!$A:$Q,17,0),"")</f>
        <v>46.461038961038959</v>
      </c>
      <c r="U1521" s="46">
        <f>IFERROR(VLOOKUP(A1521,'[1]MC Masterlist 2026-09-12'!$B:$M, 10, 0),0)</f>
        <v>15</v>
      </c>
      <c r="V1521" s="46">
        <f>IFERROR(VLOOKUP(A1521,'[1]MC Masterlist 2026-09-12'!$B:$M, 11, 0),0)</f>
        <v>15</v>
      </c>
      <c r="W1521" s="46">
        <f t="shared" si="352"/>
        <v>30</v>
      </c>
      <c r="X1521" s="46">
        <f t="shared" si="353"/>
        <v>29.333333333333332</v>
      </c>
      <c r="Y1521" s="46">
        <f>IFERROR(IF(OR(C1521="AREA I",C1521="AREA V"),7,VLOOKUP(A1521,'[1]MC Masterlist 2026-09-12'!$B:$M, 12, 0)),0)</f>
        <v>30</v>
      </c>
      <c r="Z1521" s="46">
        <f t="shared" si="354"/>
        <v>0.66666666666666663</v>
      </c>
      <c r="AA1521" s="46">
        <f t="shared" si="355"/>
        <v>1.3333333333333333</v>
      </c>
      <c r="AB1521" s="46">
        <f t="shared" si="356"/>
        <v>1.3037037037037036</v>
      </c>
      <c r="AC1521" s="46">
        <f t="shared" si="357"/>
        <v>1.3333333333333333</v>
      </c>
      <c r="AD1521" s="44" t="str">
        <f t="shared" si="358"/>
        <v>Over</v>
      </c>
      <c r="AE1521" s="44" t="str">
        <f>IFERROR(VLOOKUP(A1521,'[1]Re-order'!$A:$AA,27,0),"")</f>
        <v>Re-order</v>
      </c>
      <c r="AF1521" s="46">
        <f t="shared" si="359"/>
        <v>-4.666666666666667</v>
      </c>
      <c r="AG1521" s="46">
        <f>SUMIFS('[1]Raw Inventory'!D:D,'[1]Raw Inventory'!C:C,"GREATWALL",'[1]Raw Inventory'!B:B,A1521)</f>
        <v>35</v>
      </c>
      <c r="AH1521" s="46">
        <f>SUMIFS('[1]Raw Inventory'!D:D,'[1]Raw Inventory'!C:C,"DUARTE",'[1]Raw Inventory'!B:B,A1521)</f>
        <v>0</v>
      </c>
      <c r="AI1521" s="46"/>
      <c r="AJ1521" s="46"/>
      <c r="AK1521" s="43"/>
      <c r="AL1521" s="43"/>
      <c r="AM1521" s="43"/>
      <c r="AN1521" s="43"/>
      <c r="AO1521" s="43"/>
      <c r="AP1521" s="43"/>
      <c r="AQ1521" s="43"/>
      <c r="AR1521" s="43"/>
      <c r="AS1521" s="43"/>
      <c r="AT1521" s="43"/>
    </row>
    <row r="1522" spans="1:46">
      <c r="A1522" s="43" t="s">
        <v>18</v>
      </c>
      <c r="B1522" s="43" t="s">
        <v>93</v>
      </c>
      <c r="C1522" s="43" t="s">
        <v>90</v>
      </c>
      <c r="D1522" s="44" t="s">
        <v>223</v>
      </c>
      <c r="E1522" s="44">
        <v>16</v>
      </c>
      <c r="F1522" s="44" t="s">
        <v>3</v>
      </c>
      <c r="G1522" s="43" t="str">
        <f>IFERROR(VLOOKUP(A1522,'[1]MC Masterlist 2026-09-12'!$B:$M, 3, 0),"")</f>
        <v>HONDA</v>
      </c>
      <c r="H1522" s="45">
        <f>IFERROR(VLOOKUP(A1522,'[1]MC Masterlist 2026-09-12'!$B:$M, 6, 0),"")</f>
        <v>94330</v>
      </c>
      <c r="I1522" s="46">
        <v>1</v>
      </c>
      <c r="J1522" s="46">
        <v>0</v>
      </c>
      <c r="K1522" s="46">
        <v>0</v>
      </c>
      <c r="L1522" s="46">
        <f t="shared" si="345"/>
        <v>1</v>
      </c>
      <c r="M1522" s="46">
        <f t="shared" si="346"/>
        <v>0.33333333333333331</v>
      </c>
      <c r="N1522" s="45">
        <f t="shared" si="347"/>
        <v>94330</v>
      </c>
      <c r="O1522" s="45">
        <f t="shared" si="348"/>
        <v>31443.333333333332</v>
      </c>
      <c r="P1522" s="46">
        <f t="shared" si="349"/>
        <v>1.111111111111111E-2</v>
      </c>
      <c r="Q1522" s="46"/>
      <c r="R1522" s="45">
        <f t="shared" si="350"/>
        <v>0</v>
      </c>
      <c r="S1522" s="46">
        <f t="shared" si="351"/>
        <v>0</v>
      </c>
      <c r="T1522" s="46">
        <f>IFERROR(VLOOKUP(A1522,'[1]Re-order'!$A:$Q,17,0),"")</f>
        <v>113.9644970414201</v>
      </c>
      <c r="U1522" s="46">
        <f>IFERROR(VLOOKUP(A1522,'[1]MC Masterlist 2026-09-12'!$B:$M, 10, 0),0)</f>
        <v>15</v>
      </c>
      <c r="V1522" s="46">
        <f>IFERROR(VLOOKUP(A1522,'[1]MC Masterlist 2026-09-12'!$B:$M, 11, 0),0)</f>
        <v>15</v>
      </c>
      <c r="W1522" s="46">
        <f t="shared" si="352"/>
        <v>30</v>
      </c>
      <c r="X1522" s="46">
        <f t="shared" si="353"/>
        <v>29.833333333333332</v>
      </c>
      <c r="Y1522" s="46">
        <f>IFERROR(IF(OR(C1522="AREA I",C1522="AREA V"),7,VLOOKUP(A1522,'[1]MC Masterlist 2026-09-12'!$B:$M, 12, 0)),0)</f>
        <v>30</v>
      </c>
      <c r="Z1522" s="46">
        <f t="shared" si="354"/>
        <v>0.16666666666666666</v>
      </c>
      <c r="AA1522" s="46">
        <f t="shared" si="355"/>
        <v>0.33333333333333331</v>
      </c>
      <c r="AB1522" s="46">
        <f t="shared" si="356"/>
        <v>0.33148148148148143</v>
      </c>
      <c r="AC1522" s="46">
        <f t="shared" si="357"/>
        <v>0.33333333333333331</v>
      </c>
      <c r="AD1522" s="44" t="str">
        <f t="shared" si="358"/>
        <v>Stockout</v>
      </c>
      <c r="AE1522" s="44" t="str">
        <f>IFERROR(VLOOKUP(A1522,'[1]Re-order'!$A:$AA,27,0),"")</f>
        <v>Over</v>
      </c>
      <c r="AF1522" s="46">
        <f t="shared" si="359"/>
        <v>0.33333333333333331</v>
      </c>
      <c r="AG1522" s="46">
        <f>SUMIFS('[1]Raw Inventory'!D:D,'[1]Raw Inventory'!C:C,"GREATWALL",'[1]Raw Inventory'!B:B,A1522)</f>
        <v>88</v>
      </c>
      <c r="AH1522" s="46">
        <f>SUMIFS('[1]Raw Inventory'!D:D,'[1]Raw Inventory'!C:C,"DUARTE",'[1]Raw Inventory'!B:B,A1522)</f>
        <v>0</v>
      </c>
      <c r="AI1522" s="46"/>
      <c r="AJ1522" s="46"/>
      <c r="AK1522" s="43"/>
      <c r="AL1522" s="43"/>
      <c r="AM1522" s="43"/>
      <c r="AN1522" s="43"/>
      <c r="AO1522" s="43"/>
      <c r="AP1522" s="43"/>
      <c r="AQ1522" s="43"/>
      <c r="AR1522" s="43"/>
      <c r="AS1522" s="43"/>
      <c r="AT1522" s="43"/>
    </row>
    <row r="1523" spans="1:46">
      <c r="A1523" s="43" t="s">
        <v>32</v>
      </c>
      <c r="B1523" s="43" t="s">
        <v>139</v>
      </c>
      <c r="C1523" s="43" t="s">
        <v>137</v>
      </c>
      <c r="D1523" s="44" t="s">
        <v>259</v>
      </c>
      <c r="E1523" s="44">
        <v>5</v>
      </c>
      <c r="F1523" s="44" t="s">
        <v>0</v>
      </c>
      <c r="G1523" s="43" t="str">
        <f>IFERROR(VLOOKUP(A1523,'[1]MC Masterlist 2026-09-12'!$B:$M, 3, 0),"")</f>
        <v>HONDA</v>
      </c>
      <c r="H1523" s="45">
        <f>IFERROR(VLOOKUP(A1523,'[1]MC Masterlist 2026-09-12'!$B:$M, 6, 0),"")</f>
        <v>288910</v>
      </c>
      <c r="I1523" s="46">
        <v>2</v>
      </c>
      <c r="J1523" s="46">
        <v>2</v>
      </c>
      <c r="K1523" s="46">
        <v>1</v>
      </c>
      <c r="L1523" s="46">
        <f t="shared" si="345"/>
        <v>5</v>
      </c>
      <c r="M1523" s="46">
        <f t="shared" si="346"/>
        <v>1.6666666666666667</v>
      </c>
      <c r="N1523" s="45">
        <f t="shared" si="347"/>
        <v>1444550</v>
      </c>
      <c r="O1523" s="45">
        <f t="shared" si="348"/>
        <v>481516.66666666669</v>
      </c>
      <c r="P1523" s="46">
        <f t="shared" si="349"/>
        <v>5.5555555555555559E-2</v>
      </c>
      <c r="Q1523" s="46">
        <v>2</v>
      </c>
      <c r="R1523" s="45">
        <f t="shared" si="350"/>
        <v>577820</v>
      </c>
      <c r="S1523" s="46">
        <f t="shared" si="351"/>
        <v>36</v>
      </c>
      <c r="T1523" s="46">
        <f>IFERROR(VLOOKUP(A1523,'[1]Re-order'!$A:$Q,17,0),"")</f>
        <v>97.5</v>
      </c>
      <c r="U1523" s="46">
        <f>IFERROR(VLOOKUP(A1523,'[1]MC Masterlist 2026-09-12'!$B:$M, 10, 0),0)</f>
        <v>15</v>
      </c>
      <c r="V1523" s="46">
        <f>IFERROR(VLOOKUP(A1523,'[1]MC Masterlist 2026-09-12'!$B:$M, 11, 0),0)</f>
        <v>15</v>
      </c>
      <c r="W1523" s="46">
        <f t="shared" si="352"/>
        <v>30</v>
      </c>
      <c r="X1523" s="46">
        <f t="shared" si="353"/>
        <v>6.166666666666667</v>
      </c>
      <c r="Y1523" s="46">
        <f>IFERROR(IF(OR(C1523="AREA I",C1523="AREA V"),7,VLOOKUP(A1523,'[1]MC Masterlist 2026-09-12'!$B:$M, 12, 0)),0)</f>
        <v>7</v>
      </c>
      <c r="Z1523" s="46">
        <f t="shared" si="354"/>
        <v>0.83333333333333337</v>
      </c>
      <c r="AA1523" s="46">
        <f t="shared" si="355"/>
        <v>1.6666666666666667</v>
      </c>
      <c r="AB1523" s="46">
        <f t="shared" si="356"/>
        <v>0.34259259259259262</v>
      </c>
      <c r="AC1523" s="46">
        <f t="shared" si="357"/>
        <v>0.3888888888888889</v>
      </c>
      <c r="AD1523" s="44" t="str">
        <f t="shared" si="358"/>
        <v>Over</v>
      </c>
      <c r="AE1523" s="44" t="str">
        <f>IFERROR(VLOOKUP(A1523,'[1]Re-order'!$A:$AA,27,0),"")</f>
        <v>Over</v>
      </c>
      <c r="AF1523" s="46">
        <f t="shared" si="359"/>
        <v>-1.6111111111111112</v>
      </c>
      <c r="AG1523" s="46">
        <f>SUMIFS('[1]Raw Inventory'!D:D,'[1]Raw Inventory'!C:C,"GREATWALL",'[1]Raw Inventory'!B:B,A1523)</f>
        <v>7</v>
      </c>
      <c r="AH1523" s="46">
        <f>SUMIFS('[1]Raw Inventory'!D:D,'[1]Raw Inventory'!C:C,"DUARTE",'[1]Raw Inventory'!B:B,A1523)</f>
        <v>0</v>
      </c>
      <c r="AI1523" s="46"/>
      <c r="AJ1523" s="46"/>
      <c r="AK1523" s="43"/>
      <c r="AL1523" s="43"/>
      <c r="AM1523" s="43"/>
      <c r="AN1523" s="43"/>
      <c r="AO1523" s="43"/>
      <c r="AP1523" s="43"/>
      <c r="AQ1523" s="43"/>
      <c r="AR1523" s="43"/>
      <c r="AS1523" s="43"/>
      <c r="AT1523" s="43"/>
    </row>
    <row r="1524" spans="1:46">
      <c r="A1524" s="43" t="s">
        <v>46</v>
      </c>
      <c r="B1524" s="43" t="s">
        <v>132</v>
      </c>
      <c r="C1524" s="43" t="s">
        <v>128</v>
      </c>
      <c r="D1524" s="44" t="s">
        <v>229</v>
      </c>
      <c r="E1524" s="44">
        <v>26</v>
      </c>
      <c r="F1524" s="44" t="s">
        <v>3</v>
      </c>
      <c r="G1524" s="43" t="str">
        <f>IFERROR(VLOOKUP(A1524,'[1]MC Masterlist 2026-09-12'!$B:$M, 3, 0),"")</f>
        <v>HONDA</v>
      </c>
      <c r="H1524" s="45">
        <f>IFERROR(VLOOKUP(A1524,'[1]MC Masterlist 2026-09-12'!$B:$M, 6, 0),"")</f>
        <v>73630</v>
      </c>
      <c r="I1524" s="46">
        <v>0</v>
      </c>
      <c r="J1524" s="46">
        <v>0</v>
      </c>
      <c r="K1524" s="46">
        <v>1</v>
      </c>
      <c r="L1524" s="46">
        <f t="shared" si="345"/>
        <v>1</v>
      </c>
      <c r="M1524" s="46">
        <f t="shared" si="346"/>
        <v>0.33333333333333331</v>
      </c>
      <c r="N1524" s="45">
        <f t="shared" si="347"/>
        <v>73630</v>
      </c>
      <c r="O1524" s="45">
        <f t="shared" si="348"/>
        <v>24543.333333333332</v>
      </c>
      <c r="P1524" s="46">
        <f t="shared" si="349"/>
        <v>1.111111111111111E-2</v>
      </c>
      <c r="Q1524" s="46">
        <v>1</v>
      </c>
      <c r="R1524" s="45">
        <f t="shared" si="350"/>
        <v>73630</v>
      </c>
      <c r="S1524" s="46">
        <f t="shared" si="351"/>
        <v>90</v>
      </c>
      <c r="T1524" s="46">
        <f>IFERROR(VLOOKUP(A1524,'[1]Re-order'!$A:$Q,17,0),"")</f>
        <v>51</v>
      </c>
      <c r="U1524" s="46">
        <f>IFERROR(VLOOKUP(A1524,'[1]MC Masterlist 2026-09-12'!$B:$M, 10, 0),0)</f>
        <v>15</v>
      </c>
      <c r="V1524" s="46">
        <f>IFERROR(VLOOKUP(A1524,'[1]MC Masterlist 2026-09-12'!$B:$M, 11, 0),0)</f>
        <v>15</v>
      </c>
      <c r="W1524" s="46">
        <f t="shared" si="352"/>
        <v>30</v>
      </c>
      <c r="X1524" s="46">
        <f t="shared" si="353"/>
        <v>29.833333333333332</v>
      </c>
      <c r="Y1524" s="46">
        <f>IFERROR(IF(OR(C1524="AREA I",C1524="AREA V"),7,VLOOKUP(A1524,'[1]MC Masterlist 2026-09-12'!$B:$M, 12, 0)),0)</f>
        <v>30</v>
      </c>
      <c r="Z1524" s="46">
        <f t="shared" si="354"/>
        <v>0.16666666666666666</v>
      </c>
      <c r="AA1524" s="46">
        <f t="shared" si="355"/>
        <v>0.33333333333333331</v>
      </c>
      <c r="AB1524" s="46">
        <f t="shared" si="356"/>
        <v>0.33148148148148143</v>
      </c>
      <c r="AC1524" s="46">
        <f t="shared" si="357"/>
        <v>0.33333333333333331</v>
      </c>
      <c r="AD1524" s="44" t="str">
        <f t="shared" si="358"/>
        <v>Over</v>
      </c>
      <c r="AE1524" s="44" t="str">
        <f>IFERROR(VLOOKUP(A1524,'[1]Re-order'!$A:$AA,27,0),"")</f>
        <v>Re-order</v>
      </c>
      <c r="AF1524" s="46">
        <f t="shared" si="359"/>
        <v>-0.66666666666666674</v>
      </c>
      <c r="AG1524" s="46">
        <f>SUMIFS('[1]Raw Inventory'!D:D,'[1]Raw Inventory'!C:C,"GREATWALL",'[1]Raw Inventory'!B:B,A1524)</f>
        <v>0</v>
      </c>
      <c r="AH1524" s="46">
        <f>SUMIFS('[1]Raw Inventory'!D:D,'[1]Raw Inventory'!C:C,"DUARTE",'[1]Raw Inventory'!B:B,A1524)</f>
        <v>0</v>
      </c>
      <c r="AI1524" s="46"/>
      <c r="AJ1524" s="46"/>
      <c r="AK1524" s="43"/>
      <c r="AL1524" s="43"/>
      <c r="AM1524" s="43"/>
      <c r="AN1524" s="43"/>
      <c r="AO1524" s="43"/>
      <c r="AP1524" s="43"/>
      <c r="AQ1524" s="43"/>
      <c r="AR1524" s="43"/>
      <c r="AS1524" s="43"/>
      <c r="AT1524" s="43"/>
    </row>
    <row r="1525" spans="1:46">
      <c r="A1525" s="43" t="s">
        <v>60</v>
      </c>
      <c r="B1525" s="43" t="s">
        <v>98</v>
      </c>
      <c r="C1525" s="43" t="s">
        <v>90</v>
      </c>
      <c r="D1525" s="44" t="s">
        <v>232</v>
      </c>
      <c r="E1525" s="44">
        <v>22</v>
      </c>
      <c r="F1525" s="44" t="s">
        <v>3</v>
      </c>
      <c r="G1525" s="43" t="str">
        <f>IFERROR(VLOOKUP(A1525,'[1]MC Masterlist 2026-09-12'!$B:$M, 3, 0),"")</f>
        <v>HONDA</v>
      </c>
      <c r="H1525" s="45">
        <f>IFERROR(VLOOKUP(A1525,'[1]MC Masterlist 2026-09-12'!$B:$M, 6, 0),"")</f>
        <v>61670</v>
      </c>
      <c r="I1525" s="46">
        <v>0</v>
      </c>
      <c r="J1525" s="46">
        <v>0</v>
      </c>
      <c r="K1525" s="46">
        <v>0</v>
      </c>
      <c r="L1525" s="46">
        <f t="shared" si="345"/>
        <v>0</v>
      </c>
      <c r="M1525" s="46">
        <f t="shared" si="346"/>
        <v>0</v>
      </c>
      <c r="N1525" s="45">
        <f t="shared" si="347"/>
        <v>0</v>
      </c>
      <c r="O1525" s="45">
        <f t="shared" si="348"/>
        <v>0</v>
      </c>
      <c r="P1525" s="46">
        <f t="shared" si="349"/>
        <v>0</v>
      </c>
      <c r="Q1525" s="46">
        <v>1</v>
      </c>
      <c r="R1525" s="45">
        <f t="shared" si="350"/>
        <v>61670</v>
      </c>
      <c r="S1525" s="46">
        <f t="shared" si="351"/>
        <v>0</v>
      </c>
      <c r="T1525" s="46">
        <f>IFERROR(VLOOKUP(A1525,'[1]Re-order'!$A:$Q,17,0),"")</f>
        <v>300</v>
      </c>
      <c r="U1525" s="46">
        <f>IFERROR(VLOOKUP(A1525,'[1]MC Masterlist 2026-09-12'!$B:$M, 10, 0),0)</f>
        <v>15</v>
      </c>
      <c r="V1525" s="46">
        <f>IFERROR(VLOOKUP(A1525,'[1]MC Masterlist 2026-09-12'!$B:$M, 11, 0),0)</f>
        <v>15</v>
      </c>
      <c r="W1525" s="46">
        <f t="shared" si="352"/>
        <v>30</v>
      </c>
      <c r="X1525" s="46">
        <f t="shared" si="353"/>
        <v>30</v>
      </c>
      <c r="Y1525" s="46">
        <f>IFERROR(IF(OR(C1525="AREA I",C1525="AREA V"),7,VLOOKUP(A1525,'[1]MC Masterlist 2026-09-12'!$B:$M, 12, 0)),0)</f>
        <v>30</v>
      </c>
      <c r="Z1525" s="46">
        <f t="shared" si="354"/>
        <v>0</v>
      </c>
      <c r="AA1525" s="46">
        <f t="shared" si="355"/>
        <v>0</v>
      </c>
      <c r="AB1525" s="46">
        <f t="shared" si="356"/>
        <v>0</v>
      </c>
      <c r="AC1525" s="46">
        <f t="shared" si="357"/>
        <v>0</v>
      </c>
      <c r="AD1525" s="44" t="str">
        <f t="shared" si="358"/>
        <v>Over</v>
      </c>
      <c r="AE1525" s="44" t="str">
        <f>IFERROR(VLOOKUP(A1525,'[1]Re-order'!$A:$AA,27,0),"")</f>
        <v>Over</v>
      </c>
      <c r="AF1525" s="46">
        <f t="shared" si="359"/>
        <v>-1</v>
      </c>
      <c r="AG1525" s="46">
        <f>SUMIFS('[1]Raw Inventory'!D:D,'[1]Raw Inventory'!C:C,"GREATWALL",'[1]Raw Inventory'!B:B,A1525)</f>
        <v>0</v>
      </c>
      <c r="AH1525" s="46">
        <f>SUMIFS('[1]Raw Inventory'!D:D,'[1]Raw Inventory'!C:C,"DUARTE",'[1]Raw Inventory'!B:B,A1525)</f>
        <v>0</v>
      </c>
      <c r="AI1525" s="46"/>
      <c r="AJ1525" s="46"/>
      <c r="AK1525" s="43"/>
      <c r="AL1525" s="43"/>
      <c r="AM1525" s="43"/>
      <c r="AN1525" s="43"/>
      <c r="AO1525" s="43"/>
      <c r="AP1525" s="43"/>
      <c r="AQ1525" s="43"/>
      <c r="AR1525" s="43"/>
      <c r="AS1525" s="43"/>
      <c r="AT1525" s="43"/>
    </row>
    <row r="1526" spans="1:46">
      <c r="A1526" s="43" t="s">
        <v>50</v>
      </c>
      <c r="B1526" s="43" t="s">
        <v>120</v>
      </c>
      <c r="C1526" s="43" t="s">
        <v>118</v>
      </c>
      <c r="D1526" s="44" t="s">
        <v>268</v>
      </c>
      <c r="E1526" s="44">
        <v>16</v>
      </c>
      <c r="F1526" s="44" t="s">
        <v>3</v>
      </c>
      <c r="G1526" s="43" t="str">
        <f>IFERROR(VLOOKUP(A1526,'[1]MC Masterlist 2026-09-12'!$B:$M, 3, 0),"")</f>
        <v>YAMAHA</v>
      </c>
      <c r="H1526" s="45">
        <f>IFERROR(VLOOKUP(A1526,'[1]MC Masterlist 2026-09-12'!$B:$M, 6, 0),"")</f>
        <v>78957</v>
      </c>
      <c r="I1526" s="46">
        <v>0</v>
      </c>
      <c r="J1526" s="46">
        <v>1</v>
      </c>
      <c r="K1526" s="46">
        <v>0</v>
      </c>
      <c r="L1526" s="46">
        <f t="shared" si="345"/>
        <v>1</v>
      </c>
      <c r="M1526" s="46">
        <f t="shared" si="346"/>
        <v>0.33333333333333331</v>
      </c>
      <c r="N1526" s="45">
        <f t="shared" si="347"/>
        <v>78957</v>
      </c>
      <c r="O1526" s="45">
        <f t="shared" si="348"/>
        <v>26319</v>
      </c>
      <c r="P1526" s="46">
        <f t="shared" si="349"/>
        <v>1.111111111111111E-2</v>
      </c>
      <c r="Q1526" s="46"/>
      <c r="R1526" s="45">
        <f t="shared" si="350"/>
        <v>0</v>
      </c>
      <c r="S1526" s="46">
        <f t="shared" si="351"/>
        <v>0</v>
      </c>
      <c r="T1526" s="46">
        <f>IFERROR(VLOOKUP(A1526,'[1]Re-order'!$A:$Q,17,0),"")</f>
        <v>118.125</v>
      </c>
      <c r="U1526" s="46">
        <f>IFERROR(VLOOKUP(A1526,'[1]MC Masterlist 2026-09-12'!$B:$M, 10, 0),0)</f>
        <v>15</v>
      </c>
      <c r="V1526" s="46">
        <f>IFERROR(VLOOKUP(A1526,'[1]MC Masterlist 2026-09-12'!$B:$M, 11, 0),0)</f>
        <v>15</v>
      </c>
      <c r="W1526" s="46">
        <f t="shared" si="352"/>
        <v>30</v>
      </c>
      <c r="X1526" s="46">
        <f t="shared" si="353"/>
        <v>29.833333333333332</v>
      </c>
      <c r="Y1526" s="46">
        <f>IFERROR(IF(OR(C1526="AREA I",C1526="AREA V"),7,VLOOKUP(A1526,'[1]MC Masterlist 2026-09-12'!$B:$M, 12, 0)),0)</f>
        <v>30</v>
      </c>
      <c r="Z1526" s="46">
        <f t="shared" si="354"/>
        <v>0.16666666666666666</v>
      </c>
      <c r="AA1526" s="46">
        <f t="shared" si="355"/>
        <v>0.33333333333333331</v>
      </c>
      <c r="AB1526" s="46">
        <f t="shared" si="356"/>
        <v>0.33148148148148143</v>
      </c>
      <c r="AC1526" s="46">
        <f t="shared" si="357"/>
        <v>0.33333333333333331</v>
      </c>
      <c r="AD1526" s="44" t="str">
        <f t="shared" si="358"/>
        <v>Stockout</v>
      </c>
      <c r="AE1526" s="44" t="str">
        <f>IFERROR(VLOOKUP(A1526,'[1]Re-order'!$A:$AA,27,0),"")</f>
        <v>Over</v>
      </c>
      <c r="AF1526" s="46">
        <f t="shared" si="359"/>
        <v>0.33333333333333331</v>
      </c>
      <c r="AG1526" s="46">
        <f>SUMIFS('[1]Raw Inventory'!D:D,'[1]Raw Inventory'!C:C,"GREATWALL",'[1]Raw Inventory'!B:B,A1526)</f>
        <v>23</v>
      </c>
      <c r="AH1526" s="46">
        <f>SUMIFS('[1]Raw Inventory'!D:D,'[1]Raw Inventory'!C:C,"DUARTE",'[1]Raw Inventory'!B:B,A1526)</f>
        <v>0</v>
      </c>
      <c r="AI1526" s="46"/>
      <c r="AJ1526" s="46"/>
      <c r="AK1526" s="43"/>
      <c r="AL1526" s="43"/>
      <c r="AM1526" s="43"/>
      <c r="AN1526" s="43"/>
      <c r="AO1526" s="43"/>
      <c r="AP1526" s="43"/>
      <c r="AQ1526" s="43"/>
      <c r="AR1526" s="43"/>
      <c r="AS1526" s="43"/>
      <c r="AT1526" s="43"/>
    </row>
    <row r="1527" spans="1:46">
      <c r="A1527" s="43" t="s">
        <v>31</v>
      </c>
      <c r="B1527" s="43" t="s">
        <v>97</v>
      </c>
      <c r="C1527" s="43" t="s">
        <v>90</v>
      </c>
      <c r="D1527" s="44" t="s">
        <v>256</v>
      </c>
      <c r="E1527" s="44">
        <v>11</v>
      </c>
      <c r="F1527" s="44" t="s">
        <v>2</v>
      </c>
      <c r="G1527" s="43" t="str">
        <f>IFERROR(VLOOKUP(A1527,'[1]MC Masterlist 2026-09-12'!$B:$M, 3, 0),"")</f>
        <v>KAWASAKI</v>
      </c>
      <c r="H1527" s="45">
        <f>IFERROR(VLOOKUP(A1527,'[1]MC Masterlist 2026-09-12'!$B:$M, 6, 0),"")</f>
        <v>59528</v>
      </c>
      <c r="I1527" s="46">
        <v>0</v>
      </c>
      <c r="J1527" s="46">
        <v>1</v>
      </c>
      <c r="K1527" s="46">
        <v>1</v>
      </c>
      <c r="L1527" s="46">
        <f t="shared" si="345"/>
        <v>2</v>
      </c>
      <c r="M1527" s="46">
        <f t="shared" si="346"/>
        <v>0.66666666666666663</v>
      </c>
      <c r="N1527" s="45">
        <f t="shared" si="347"/>
        <v>119056</v>
      </c>
      <c r="O1527" s="45">
        <f t="shared" si="348"/>
        <v>39685.333333333328</v>
      </c>
      <c r="P1527" s="46">
        <f t="shared" si="349"/>
        <v>2.222222222222222E-2</v>
      </c>
      <c r="Q1527" s="46"/>
      <c r="R1527" s="45">
        <f t="shared" si="350"/>
        <v>0</v>
      </c>
      <c r="S1527" s="46">
        <f t="shared" si="351"/>
        <v>0</v>
      </c>
      <c r="T1527" s="46">
        <f>IFERROR(VLOOKUP(A1527,'[1]Re-order'!$A:$Q,17,0),"")</f>
        <v>95.869565217391298</v>
      </c>
      <c r="U1527" s="46">
        <f>IFERROR(VLOOKUP(A1527,'[1]MC Masterlist 2026-09-12'!$B:$M, 10, 0),0)</f>
        <v>15</v>
      </c>
      <c r="V1527" s="46">
        <f>IFERROR(VLOOKUP(A1527,'[1]MC Masterlist 2026-09-12'!$B:$M, 11, 0),0)</f>
        <v>15</v>
      </c>
      <c r="W1527" s="46">
        <f t="shared" si="352"/>
        <v>30</v>
      </c>
      <c r="X1527" s="46">
        <f t="shared" si="353"/>
        <v>29.666666666666668</v>
      </c>
      <c r="Y1527" s="46">
        <f>IFERROR(IF(OR(C1527="AREA I",C1527="AREA V"),7,VLOOKUP(A1527,'[1]MC Masterlist 2026-09-12'!$B:$M, 12, 0)),0)</f>
        <v>30</v>
      </c>
      <c r="Z1527" s="46">
        <f t="shared" si="354"/>
        <v>0.33333333333333331</v>
      </c>
      <c r="AA1527" s="46">
        <f t="shared" si="355"/>
        <v>0.66666666666666663</v>
      </c>
      <c r="AB1527" s="46">
        <f t="shared" si="356"/>
        <v>0.65925925925925921</v>
      </c>
      <c r="AC1527" s="46">
        <f t="shared" si="357"/>
        <v>0.66666666666666663</v>
      </c>
      <c r="AD1527" s="44" t="str">
        <f t="shared" si="358"/>
        <v>Stockout</v>
      </c>
      <c r="AE1527" s="44" t="str">
        <f>IFERROR(VLOOKUP(A1527,'[1]Re-order'!$A:$AA,27,0),"")</f>
        <v>Over</v>
      </c>
      <c r="AF1527" s="46">
        <f t="shared" si="359"/>
        <v>0.66666666666666663</v>
      </c>
      <c r="AG1527" s="46">
        <f>SUMIFS('[1]Raw Inventory'!D:D,'[1]Raw Inventory'!C:C,"GREATWALL",'[1]Raw Inventory'!B:B,A1527)</f>
        <v>79</v>
      </c>
      <c r="AH1527" s="46">
        <f>SUMIFS('[1]Raw Inventory'!D:D,'[1]Raw Inventory'!C:C,"DUARTE",'[1]Raw Inventory'!B:B,A1527)</f>
        <v>0</v>
      </c>
      <c r="AI1527" s="46"/>
      <c r="AJ1527" s="46"/>
      <c r="AK1527" s="43"/>
      <c r="AL1527" s="43"/>
      <c r="AM1527" s="43"/>
      <c r="AN1527" s="43"/>
      <c r="AO1527" s="43"/>
      <c r="AP1527" s="43"/>
      <c r="AQ1527" s="43"/>
      <c r="AR1527" s="43"/>
      <c r="AS1527" s="43"/>
      <c r="AT1527" s="43"/>
    </row>
    <row r="1528" spans="1:46">
      <c r="A1528" s="43" t="s">
        <v>52</v>
      </c>
      <c r="B1528" s="43" t="s">
        <v>111</v>
      </c>
      <c r="C1528" s="43" t="s">
        <v>109</v>
      </c>
      <c r="D1528" s="44" t="s">
        <v>241</v>
      </c>
      <c r="E1528" s="44">
        <v>22</v>
      </c>
      <c r="F1528" s="44" t="s">
        <v>3</v>
      </c>
      <c r="G1528" s="43" t="str">
        <f>IFERROR(VLOOKUP(A1528,'[1]MC Masterlist 2026-09-12'!$B:$M, 3, 0),"")</f>
        <v>YAMAHA</v>
      </c>
      <c r="H1528" s="45">
        <f>IFERROR(VLOOKUP(A1528,'[1]MC Masterlist 2026-09-12'!$B:$M, 6, 0),"")</f>
        <v>85446</v>
      </c>
      <c r="I1528" s="46">
        <v>0</v>
      </c>
      <c r="J1528" s="46">
        <v>0</v>
      </c>
      <c r="K1528" s="46">
        <v>1</v>
      </c>
      <c r="L1528" s="46">
        <f t="shared" si="345"/>
        <v>1</v>
      </c>
      <c r="M1528" s="46">
        <f t="shared" si="346"/>
        <v>0.33333333333333331</v>
      </c>
      <c r="N1528" s="45">
        <f t="shared" si="347"/>
        <v>85446</v>
      </c>
      <c r="O1528" s="45">
        <f t="shared" si="348"/>
        <v>28482</v>
      </c>
      <c r="P1528" s="46">
        <f t="shared" si="349"/>
        <v>1.111111111111111E-2</v>
      </c>
      <c r="Q1528" s="46">
        <v>1</v>
      </c>
      <c r="R1528" s="45">
        <f t="shared" si="350"/>
        <v>85446</v>
      </c>
      <c r="S1528" s="46">
        <f t="shared" si="351"/>
        <v>90</v>
      </c>
      <c r="T1528" s="46">
        <f>IFERROR(VLOOKUP(A1528,'[1]Re-order'!$A:$Q,17,0),"")</f>
        <v>95.454545454545453</v>
      </c>
      <c r="U1528" s="46">
        <f>IFERROR(VLOOKUP(A1528,'[1]MC Masterlist 2026-09-12'!$B:$M, 10, 0),0)</f>
        <v>15</v>
      </c>
      <c r="V1528" s="46">
        <f>IFERROR(VLOOKUP(A1528,'[1]MC Masterlist 2026-09-12'!$B:$M, 11, 0),0)</f>
        <v>15</v>
      </c>
      <c r="W1528" s="46">
        <f t="shared" si="352"/>
        <v>30</v>
      </c>
      <c r="X1528" s="46">
        <f t="shared" si="353"/>
        <v>29.833333333333332</v>
      </c>
      <c r="Y1528" s="46">
        <f>IFERROR(IF(OR(C1528="AREA I",C1528="AREA V"),7,VLOOKUP(A1528,'[1]MC Masterlist 2026-09-12'!$B:$M, 12, 0)),0)</f>
        <v>30</v>
      </c>
      <c r="Z1528" s="46">
        <f t="shared" si="354"/>
        <v>0.16666666666666666</v>
      </c>
      <c r="AA1528" s="46">
        <f t="shared" si="355"/>
        <v>0.33333333333333331</v>
      </c>
      <c r="AB1528" s="46">
        <f t="shared" si="356"/>
        <v>0.33148148148148143</v>
      </c>
      <c r="AC1528" s="46">
        <f t="shared" si="357"/>
        <v>0.33333333333333331</v>
      </c>
      <c r="AD1528" s="44" t="str">
        <f t="shared" si="358"/>
        <v>Over</v>
      </c>
      <c r="AE1528" s="44" t="str">
        <f>IFERROR(VLOOKUP(A1528,'[1]Re-order'!$A:$AA,27,0),"")</f>
        <v>Over</v>
      </c>
      <c r="AF1528" s="46">
        <f t="shared" si="359"/>
        <v>-0.66666666666666674</v>
      </c>
      <c r="AG1528" s="46">
        <f>SUMIFS('[1]Raw Inventory'!D:D,'[1]Raw Inventory'!C:C,"GREATWALL",'[1]Raw Inventory'!B:B,A1528)</f>
        <v>0</v>
      </c>
      <c r="AH1528" s="46">
        <f>SUMIFS('[1]Raw Inventory'!D:D,'[1]Raw Inventory'!C:C,"DUARTE",'[1]Raw Inventory'!B:B,A1528)</f>
        <v>0</v>
      </c>
      <c r="AI1528" s="46"/>
      <c r="AJ1528" s="46"/>
      <c r="AK1528" s="43"/>
      <c r="AL1528" s="43"/>
      <c r="AM1528" s="43"/>
      <c r="AN1528" s="43"/>
      <c r="AO1528" s="43"/>
      <c r="AP1528" s="43"/>
      <c r="AQ1528" s="43"/>
      <c r="AR1528" s="43"/>
      <c r="AS1528" s="43"/>
      <c r="AT1528" s="43"/>
    </row>
    <row r="1529" spans="1:46">
      <c r="A1529" s="43" t="s">
        <v>176</v>
      </c>
      <c r="B1529" s="43" t="s">
        <v>19</v>
      </c>
      <c r="C1529" s="43" t="s">
        <v>1</v>
      </c>
      <c r="D1529" s="44" t="s">
        <v>229</v>
      </c>
      <c r="E1529" s="44">
        <v>20</v>
      </c>
      <c r="F1529" s="44" t="s">
        <v>3</v>
      </c>
      <c r="G1529" s="43" t="str">
        <f>IFERROR(VLOOKUP(A1529,'[1]MC Masterlist 2026-09-12'!$B:$M, 3, 0),"")</f>
        <v>HONDA</v>
      </c>
      <c r="H1529" s="45">
        <f>IFERROR(VLOOKUP(A1529,'[1]MC Masterlist 2026-09-12'!$B:$M, 6, 0),"")</f>
        <v>86510</v>
      </c>
      <c r="I1529" s="46">
        <v>0</v>
      </c>
      <c r="J1529" s="46">
        <v>0</v>
      </c>
      <c r="K1529" s="46">
        <v>0</v>
      </c>
      <c r="L1529" s="46">
        <f t="shared" si="345"/>
        <v>0</v>
      </c>
      <c r="M1529" s="46">
        <f t="shared" si="346"/>
        <v>0</v>
      </c>
      <c r="N1529" s="45">
        <f t="shared" si="347"/>
        <v>0</v>
      </c>
      <c r="O1529" s="45">
        <f t="shared" si="348"/>
        <v>0</v>
      </c>
      <c r="P1529" s="46">
        <f t="shared" si="349"/>
        <v>0</v>
      </c>
      <c r="Q1529" s="46">
        <v>8</v>
      </c>
      <c r="R1529" s="45">
        <f t="shared" si="350"/>
        <v>692080</v>
      </c>
      <c r="S1529" s="46">
        <f t="shared" si="351"/>
        <v>0</v>
      </c>
      <c r="T1529" s="46" t="str">
        <f>IFERROR(VLOOKUP(A1529,'[1]Re-order'!$A:$Q,17,0),"")</f>
        <v/>
      </c>
      <c r="U1529" s="46">
        <f>IFERROR(VLOOKUP(A1529,'[1]MC Masterlist 2026-09-12'!$B:$M, 10, 0),0)</f>
        <v>15</v>
      </c>
      <c r="V1529" s="46">
        <f>IFERROR(VLOOKUP(A1529,'[1]MC Masterlist 2026-09-12'!$B:$M, 11, 0),0)</f>
        <v>15</v>
      </c>
      <c r="W1529" s="46">
        <f t="shared" si="352"/>
        <v>30</v>
      </c>
      <c r="X1529" s="46">
        <f t="shared" si="353"/>
        <v>7</v>
      </c>
      <c r="Y1529" s="46">
        <f>IFERROR(IF(OR(C1529="AREA I",C1529="AREA V"),7,VLOOKUP(A1529,'[1]MC Masterlist 2026-09-12'!$B:$M, 12, 0)),0)</f>
        <v>7</v>
      </c>
      <c r="Z1529" s="46">
        <f t="shared" si="354"/>
        <v>0</v>
      </c>
      <c r="AA1529" s="46">
        <f t="shared" si="355"/>
        <v>0</v>
      </c>
      <c r="AB1529" s="46">
        <f t="shared" si="356"/>
        <v>0</v>
      </c>
      <c r="AC1529" s="46">
        <f t="shared" si="357"/>
        <v>0</v>
      </c>
      <c r="AD1529" s="44" t="str">
        <f t="shared" si="358"/>
        <v>Over</v>
      </c>
      <c r="AE1529" s="44" t="str">
        <f>IFERROR(VLOOKUP(A1529,'[1]Re-order'!$A:$AA,27,0),"")</f>
        <v>Over</v>
      </c>
      <c r="AF1529" s="46">
        <f t="shared" si="359"/>
        <v>-8</v>
      </c>
      <c r="AG1529" s="46">
        <f>SUMIFS('[1]Raw Inventory'!D:D,'[1]Raw Inventory'!C:C,"GREATWALL",'[1]Raw Inventory'!B:B,A1529)</f>
        <v>25</v>
      </c>
      <c r="AH1529" s="46">
        <f>SUMIFS('[1]Raw Inventory'!D:D,'[1]Raw Inventory'!C:C,"DUARTE",'[1]Raw Inventory'!B:B,A1529)</f>
        <v>0</v>
      </c>
      <c r="AI1529" s="46"/>
      <c r="AJ1529" s="46"/>
      <c r="AK1529" s="43"/>
      <c r="AL1529" s="43"/>
      <c r="AM1529" s="43"/>
      <c r="AN1529" s="43"/>
      <c r="AO1529" s="43"/>
      <c r="AP1529" s="43"/>
      <c r="AQ1529" s="43"/>
      <c r="AR1529" s="43"/>
      <c r="AS1529" s="43"/>
      <c r="AT1529" s="43"/>
    </row>
    <row r="1530" spans="1:46">
      <c r="A1530" s="43" t="s">
        <v>69</v>
      </c>
      <c r="B1530" s="43" t="s">
        <v>132</v>
      </c>
      <c r="C1530" s="43" t="s">
        <v>128</v>
      </c>
      <c r="D1530" s="44" t="s">
        <v>231</v>
      </c>
      <c r="E1530" s="44">
        <v>30</v>
      </c>
      <c r="F1530" s="44" t="s">
        <v>3</v>
      </c>
      <c r="G1530" s="43" t="str">
        <f>IFERROR(VLOOKUP(A1530,'[1]MC Masterlist 2026-09-12'!$B:$M, 3, 0),"")</f>
        <v>YAMAHA</v>
      </c>
      <c r="H1530" s="45">
        <f>IFERROR(VLOOKUP(A1530,'[1]MC Masterlist 2026-09-12'!$B:$M, 6, 0),"")</f>
        <v>54426</v>
      </c>
      <c r="I1530" s="46">
        <v>0</v>
      </c>
      <c r="J1530" s="46">
        <v>0</v>
      </c>
      <c r="K1530" s="46">
        <v>0</v>
      </c>
      <c r="L1530" s="46">
        <f t="shared" si="345"/>
        <v>0</v>
      </c>
      <c r="M1530" s="46">
        <f t="shared" si="346"/>
        <v>0</v>
      </c>
      <c r="N1530" s="45">
        <f t="shared" si="347"/>
        <v>0</v>
      </c>
      <c r="O1530" s="45">
        <f t="shared" si="348"/>
        <v>0</v>
      </c>
      <c r="P1530" s="46">
        <f t="shared" si="349"/>
        <v>0</v>
      </c>
      <c r="Q1530" s="46">
        <v>1</v>
      </c>
      <c r="R1530" s="45">
        <f t="shared" si="350"/>
        <v>54426</v>
      </c>
      <c r="S1530" s="46">
        <f t="shared" si="351"/>
        <v>0</v>
      </c>
      <c r="T1530" s="46">
        <f>IFERROR(VLOOKUP(A1530,'[1]Re-order'!$A:$Q,17,0),"")</f>
        <v>62.307692307692314</v>
      </c>
      <c r="U1530" s="46">
        <f>IFERROR(VLOOKUP(A1530,'[1]MC Masterlist 2026-09-12'!$B:$M, 10, 0),0)</f>
        <v>15</v>
      </c>
      <c r="V1530" s="46">
        <f>IFERROR(VLOOKUP(A1530,'[1]MC Masterlist 2026-09-12'!$B:$M, 11, 0),0)</f>
        <v>15</v>
      </c>
      <c r="W1530" s="46">
        <f t="shared" si="352"/>
        <v>30</v>
      </c>
      <c r="X1530" s="46">
        <f t="shared" si="353"/>
        <v>30</v>
      </c>
      <c r="Y1530" s="46">
        <f>IFERROR(IF(OR(C1530="AREA I",C1530="AREA V"),7,VLOOKUP(A1530,'[1]MC Masterlist 2026-09-12'!$B:$M, 12, 0)),0)</f>
        <v>30</v>
      </c>
      <c r="Z1530" s="46">
        <f t="shared" si="354"/>
        <v>0</v>
      </c>
      <c r="AA1530" s="46">
        <f t="shared" si="355"/>
        <v>0</v>
      </c>
      <c r="AB1530" s="46">
        <f t="shared" si="356"/>
        <v>0</v>
      </c>
      <c r="AC1530" s="46">
        <f t="shared" si="357"/>
        <v>0</v>
      </c>
      <c r="AD1530" s="44" t="str">
        <f t="shared" si="358"/>
        <v>Over</v>
      </c>
      <c r="AE1530" s="44" t="str">
        <f>IFERROR(VLOOKUP(A1530,'[1]Re-order'!$A:$AA,27,0),"")</f>
        <v>Re-order</v>
      </c>
      <c r="AF1530" s="46">
        <f t="shared" si="359"/>
        <v>-1</v>
      </c>
      <c r="AG1530" s="46">
        <f>SUMIFS('[1]Raw Inventory'!D:D,'[1]Raw Inventory'!C:C,"GREATWALL",'[1]Raw Inventory'!B:B,A1530)</f>
        <v>1</v>
      </c>
      <c r="AH1530" s="46">
        <f>SUMIFS('[1]Raw Inventory'!D:D,'[1]Raw Inventory'!C:C,"DUARTE",'[1]Raw Inventory'!B:B,A1530)</f>
        <v>0</v>
      </c>
      <c r="AI1530" s="46"/>
      <c r="AJ1530" s="46"/>
      <c r="AK1530" s="43"/>
      <c r="AL1530" s="43"/>
      <c r="AM1530" s="43"/>
      <c r="AN1530" s="43"/>
      <c r="AO1530" s="43"/>
      <c r="AP1530" s="43"/>
      <c r="AQ1530" s="43"/>
      <c r="AR1530" s="43"/>
      <c r="AS1530" s="43"/>
      <c r="AT1530" s="43"/>
    </row>
    <row r="1531" spans="1:46">
      <c r="A1531" s="43" t="s">
        <v>36</v>
      </c>
      <c r="B1531" s="43" t="s">
        <v>91</v>
      </c>
      <c r="C1531" s="43" t="s">
        <v>90</v>
      </c>
      <c r="D1531" s="44" t="s">
        <v>221</v>
      </c>
      <c r="E1531" s="44">
        <v>12</v>
      </c>
      <c r="F1531" s="44" t="s">
        <v>3</v>
      </c>
      <c r="G1531" s="43" t="str">
        <f>IFERROR(VLOOKUP(A1531,'[1]MC Masterlist 2026-09-12'!$B:$M, 3, 0),"")</f>
        <v>HONDA</v>
      </c>
      <c r="H1531" s="45">
        <f>IFERROR(VLOOKUP(A1531,'[1]MC Masterlist 2026-09-12'!$B:$M, 6, 0),"")</f>
        <v>76850</v>
      </c>
      <c r="I1531" s="46">
        <v>0</v>
      </c>
      <c r="J1531" s="46">
        <v>1</v>
      </c>
      <c r="K1531" s="46">
        <v>0</v>
      </c>
      <c r="L1531" s="46">
        <f t="shared" si="345"/>
        <v>1</v>
      </c>
      <c r="M1531" s="46">
        <f t="shared" si="346"/>
        <v>0.33333333333333331</v>
      </c>
      <c r="N1531" s="45">
        <f t="shared" si="347"/>
        <v>76850</v>
      </c>
      <c r="O1531" s="45">
        <f t="shared" si="348"/>
        <v>25616.666666666664</v>
      </c>
      <c r="P1531" s="46">
        <f t="shared" si="349"/>
        <v>1.111111111111111E-2</v>
      </c>
      <c r="Q1531" s="46">
        <v>1</v>
      </c>
      <c r="R1531" s="45">
        <f t="shared" si="350"/>
        <v>76850</v>
      </c>
      <c r="S1531" s="46">
        <f t="shared" si="351"/>
        <v>90.000000000000014</v>
      </c>
      <c r="T1531" s="46">
        <f>IFERROR(VLOOKUP(A1531,'[1]Re-order'!$A:$Q,17,0),"")</f>
        <v>137.24999999999997</v>
      </c>
      <c r="U1531" s="46">
        <f>IFERROR(VLOOKUP(A1531,'[1]MC Masterlist 2026-09-12'!$B:$M, 10, 0),0)</f>
        <v>15</v>
      </c>
      <c r="V1531" s="46">
        <f>IFERROR(VLOOKUP(A1531,'[1]MC Masterlist 2026-09-12'!$B:$M, 11, 0),0)</f>
        <v>15</v>
      </c>
      <c r="W1531" s="46">
        <f t="shared" si="352"/>
        <v>30</v>
      </c>
      <c r="X1531" s="46">
        <f t="shared" si="353"/>
        <v>29.833333333333332</v>
      </c>
      <c r="Y1531" s="46">
        <f>IFERROR(IF(OR(C1531="AREA I",C1531="AREA V"),7,VLOOKUP(A1531,'[1]MC Masterlist 2026-09-12'!$B:$M, 12, 0)),0)</f>
        <v>30</v>
      </c>
      <c r="Z1531" s="46">
        <f t="shared" si="354"/>
        <v>0.16666666666666666</v>
      </c>
      <c r="AA1531" s="46">
        <f t="shared" si="355"/>
        <v>0.33333333333333331</v>
      </c>
      <c r="AB1531" s="46">
        <f t="shared" si="356"/>
        <v>0.33148148148148143</v>
      </c>
      <c r="AC1531" s="46">
        <f t="shared" si="357"/>
        <v>0.33333333333333331</v>
      </c>
      <c r="AD1531" s="44" t="str">
        <f t="shared" si="358"/>
        <v>Over</v>
      </c>
      <c r="AE1531" s="44" t="str">
        <f>IFERROR(VLOOKUP(A1531,'[1]Re-order'!$A:$AA,27,0),"")</f>
        <v>Over</v>
      </c>
      <c r="AF1531" s="46">
        <f t="shared" si="359"/>
        <v>-0.66666666666666674</v>
      </c>
      <c r="AG1531" s="46">
        <f>SUMIFS('[1]Raw Inventory'!D:D,'[1]Raw Inventory'!C:C,"GREATWALL",'[1]Raw Inventory'!B:B,A1531)</f>
        <v>18</v>
      </c>
      <c r="AH1531" s="46">
        <f>SUMIFS('[1]Raw Inventory'!D:D,'[1]Raw Inventory'!C:C,"DUARTE",'[1]Raw Inventory'!B:B,A1531)</f>
        <v>0</v>
      </c>
      <c r="AI1531" s="46"/>
      <c r="AJ1531" s="46"/>
      <c r="AK1531" s="43"/>
      <c r="AL1531" s="43"/>
      <c r="AM1531" s="43"/>
      <c r="AN1531" s="43"/>
      <c r="AO1531" s="43"/>
      <c r="AP1531" s="43"/>
      <c r="AQ1531" s="43"/>
      <c r="AR1531" s="43"/>
      <c r="AS1531" s="43"/>
      <c r="AT1531" s="43"/>
    </row>
    <row r="1532" spans="1:46">
      <c r="A1532" s="43" t="s">
        <v>12</v>
      </c>
      <c r="B1532" s="43" t="s">
        <v>140</v>
      </c>
      <c r="C1532" s="43" t="s">
        <v>137</v>
      </c>
      <c r="D1532" s="44" t="s">
        <v>225</v>
      </c>
      <c r="E1532" s="44">
        <v>3</v>
      </c>
      <c r="F1532" s="44" t="s">
        <v>0</v>
      </c>
      <c r="G1532" s="43" t="str">
        <f>IFERROR(VLOOKUP(A1532,'[1]MC Masterlist 2026-09-12'!$B:$M, 3, 0),"")</f>
        <v>HONDA</v>
      </c>
      <c r="H1532" s="45">
        <f>IFERROR(VLOOKUP(A1532,'[1]MC Masterlist 2026-09-12'!$B:$M, 6, 0),"")</f>
        <v>158270</v>
      </c>
      <c r="I1532" s="46">
        <v>1</v>
      </c>
      <c r="J1532" s="46">
        <v>3</v>
      </c>
      <c r="K1532" s="46">
        <v>3</v>
      </c>
      <c r="L1532" s="46">
        <f t="shared" si="345"/>
        <v>7</v>
      </c>
      <c r="M1532" s="46">
        <f t="shared" si="346"/>
        <v>2.3333333333333335</v>
      </c>
      <c r="N1532" s="45">
        <f t="shared" si="347"/>
        <v>1107890</v>
      </c>
      <c r="O1532" s="45">
        <f t="shared" si="348"/>
        <v>369296.66666666669</v>
      </c>
      <c r="P1532" s="46">
        <f t="shared" si="349"/>
        <v>7.7777777777777779E-2</v>
      </c>
      <c r="Q1532" s="46">
        <v>3</v>
      </c>
      <c r="R1532" s="45">
        <f t="shared" si="350"/>
        <v>474810</v>
      </c>
      <c r="S1532" s="46">
        <f t="shared" si="351"/>
        <v>38.571428571428569</v>
      </c>
      <c r="T1532" s="46">
        <f>IFERROR(VLOOKUP(A1532,'[1]Re-order'!$A:$Q,17,0),"")</f>
        <v>46.461038961038959</v>
      </c>
      <c r="U1532" s="46">
        <f>IFERROR(VLOOKUP(A1532,'[1]MC Masterlist 2026-09-12'!$B:$M, 10, 0),0)</f>
        <v>15</v>
      </c>
      <c r="V1532" s="46">
        <f>IFERROR(VLOOKUP(A1532,'[1]MC Masterlist 2026-09-12'!$B:$M, 11, 0),0)</f>
        <v>15</v>
      </c>
      <c r="W1532" s="46">
        <f t="shared" si="352"/>
        <v>30</v>
      </c>
      <c r="X1532" s="46">
        <f t="shared" si="353"/>
        <v>5.833333333333333</v>
      </c>
      <c r="Y1532" s="46">
        <f>IFERROR(IF(OR(C1532="AREA I",C1532="AREA V"),7,VLOOKUP(A1532,'[1]MC Masterlist 2026-09-12'!$B:$M, 12, 0)),0)</f>
        <v>7</v>
      </c>
      <c r="Z1532" s="46">
        <f t="shared" si="354"/>
        <v>1.1666666666666667</v>
      </c>
      <c r="AA1532" s="46">
        <f t="shared" si="355"/>
        <v>2.3333333333333335</v>
      </c>
      <c r="AB1532" s="46">
        <f t="shared" si="356"/>
        <v>0.45370370370370366</v>
      </c>
      <c r="AC1532" s="46">
        <f t="shared" si="357"/>
        <v>0.54444444444444451</v>
      </c>
      <c r="AD1532" s="44" t="str">
        <f t="shared" si="358"/>
        <v>Over</v>
      </c>
      <c r="AE1532" s="44" t="str">
        <f>IFERROR(VLOOKUP(A1532,'[1]Re-order'!$A:$AA,27,0),"")</f>
        <v>Re-order</v>
      </c>
      <c r="AF1532" s="46">
        <f t="shared" si="359"/>
        <v>-2.4555555555555557</v>
      </c>
      <c r="AG1532" s="46">
        <f>SUMIFS('[1]Raw Inventory'!D:D,'[1]Raw Inventory'!C:C,"GREATWALL",'[1]Raw Inventory'!B:B,A1532)</f>
        <v>35</v>
      </c>
      <c r="AH1532" s="46">
        <f>SUMIFS('[1]Raw Inventory'!D:D,'[1]Raw Inventory'!C:C,"DUARTE",'[1]Raw Inventory'!B:B,A1532)</f>
        <v>0</v>
      </c>
      <c r="AI1532" s="46"/>
      <c r="AJ1532" s="46"/>
      <c r="AK1532" s="43"/>
      <c r="AL1532" s="43"/>
      <c r="AM1532" s="43"/>
      <c r="AN1532" s="43"/>
      <c r="AO1532" s="43"/>
      <c r="AP1532" s="43"/>
      <c r="AQ1532" s="43"/>
      <c r="AR1532" s="43"/>
      <c r="AS1532" s="43"/>
      <c r="AT1532" s="43"/>
    </row>
    <row r="1533" spans="1:46">
      <c r="A1533" s="43" t="s">
        <v>28</v>
      </c>
      <c r="B1533" s="43" t="s">
        <v>115</v>
      </c>
      <c r="C1533" s="43" t="s">
        <v>109</v>
      </c>
      <c r="D1533" s="44" t="s">
        <v>254</v>
      </c>
      <c r="E1533" s="44">
        <v>4</v>
      </c>
      <c r="F1533" s="44" t="s">
        <v>2</v>
      </c>
      <c r="G1533" s="43" t="str">
        <f>IFERROR(VLOOKUP(A1533,'[1]MC Masterlist 2026-09-12'!$B:$M, 3, 0),"")</f>
        <v>YAMAHA</v>
      </c>
      <c r="H1533" s="45">
        <f>IFERROR(VLOOKUP(A1533,'[1]MC Masterlist 2026-09-12'!$B:$M, 6, 0),"")</f>
        <v>147312</v>
      </c>
      <c r="I1533" s="46">
        <v>3</v>
      </c>
      <c r="J1533" s="46">
        <v>2</v>
      </c>
      <c r="K1533" s="46">
        <v>3</v>
      </c>
      <c r="L1533" s="46">
        <f t="shared" si="345"/>
        <v>8</v>
      </c>
      <c r="M1533" s="46">
        <f t="shared" si="346"/>
        <v>2.6666666666666665</v>
      </c>
      <c r="N1533" s="45">
        <f t="shared" si="347"/>
        <v>1178496</v>
      </c>
      <c r="O1533" s="45">
        <f t="shared" si="348"/>
        <v>392832</v>
      </c>
      <c r="P1533" s="46">
        <f t="shared" si="349"/>
        <v>8.8888888888888878E-2</v>
      </c>
      <c r="Q1533" s="46">
        <v>1</v>
      </c>
      <c r="R1533" s="45">
        <f t="shared" si="350"/>
        <v>147312</v>
      </c>
      <c r="S1533" s="46">
        <f t="shared" si="351"/>
        <v>11.25</v>
      </c>
      <c r="T1533" s="46">
        <f>IFERROR(VLOOKUP(A1533,'[1]Re-order'!$A:$Q,17,0),"")</f>
        <v>8.2417582417582427</v>
      </c>
      <c r="U1533" s="46">
        <f>IFERROR(VLOOKUP(A1533,'[1]MC Masterlist 2026-09-12'!$B:$M, 10, 0),0)</f>
        <v>15</v>
      </c>
      <c r="V1533" s="46">
        <f>IFERROR(VLOOKUP(A1533,'[1]MC Masterlist 2026-09-12'!$B:$M, 11, 0),0)</f>
        <v>15</v>
      </c>
      <c r="W1533" s="46">
        <f t="shared" si="352"/>
        <v>30</v>
      </c>
      <c r="X1533" s="46">
        <f t="shared" si="353"/>
        <v>28.666666666666668</v>
      </c>
      <c r="Y1533" s="46">
        <f>IFERROR(IF(OR(C1533="AREA I",C1533="AREA V"),7,VLOOKUP(A1533,'[1]MC Masterlist 2026-09-12'!$B:$M, 12, 0)),0)</f>
        <v>30</v>
      </c>
      <c r="Z1533" s="46">
        <f t="shared" si="354"/>
        <v>1.3333333333333333</v>
      </c>
      <c r="AA1533" s="46">
        <f t="shared" si="355"/>
        <v>2.6666666666666665</v>
      </c>
      <c r="AB1533" s="46">
        <f t="shared" si="356"/>
        <v>2.5481481481481478</v>
      </c>
      <c r="AC1533" s="46">
        <f t="shared" si="357"/>
        <v>2.6666666666666665</v>
      </c>
      <c r="AD1533" s="44" t="str">
        <f t="shared" si="358"/>
        <v>Stockout</v>
      </c>
      <c r="AE1533" s="44" t="str">
        <f>IFERROR(VLOOKUP(A1533,'[1]Re-order'!$A:$AA,27,0),"")</f>
        <v>Stockout</v>
      </c>
      <c r="AF1533" s="46">
        <f t="shared" si="359"/>
        <v>1.6666666666666665</v>
      </c>
      <c r="AG1533" s="46">
        <f>SUMIFS('[1]Raw Inventory'!D:D,'[1]Raw Inventory'!C:C,"GREATWALL",'[1]Raw Inventory'!B:B,A1533)</f>
        <v>0</v>
      </c>
      <c r="AH1533" s="46">
        <f>SUMIFS('[1]Raw Inventory'!D:D,'[1]Raw Inventory'!C:C,"DUARTE",'[1]Raw Inventory'!B:B,A1533)</f>
        <v>0</v>
      </c>
      <c r="AI1533" s="46"/>
      <c r="AJ1533" s="46"/>
      <c r="AK1533" s="43"/>
      <c r="AL1533" s="43"/>
      <c r="AM1533" s="43"/>
      <c r="AN1533" s="43"/>
      <c r="AO1533" s="43"/>
      <c r="AP1533" s="43"/>
      <c r="AQ1533" s="43"/>
      <c r="AR1533" s="43"/>
      <c r="AS1533" s="43"/>
      <c r="AT1533" s="43"/>
    </row>
    <row r="1534" spans="1:46">
      <c r="A1534" s="43" t="s">
        <v>42</v>
      </c>
      <c r="B1534" s="43" t="s">
        <v>27</v>
      </c>
      <c r="C1534" s="43" t="s">
        <v>1</v>
      </c>
      <c r="D1534" s="44" t="s">
        <v>236</v>
      </c>
      <c r="E1534" s="44">
        <v>9</v>
      </c>
      <c r="F1534" s="44" t="s">
        <v>2</v>
      </c>
      <c r="G1534" s="43" t="str">
        <f>IFERROR(VLOOKUP(A1534,'[1]MC Masterlist 2026-09-12'!$B:$M, 3, 0),"")</f>
        <v>YAMAHA</v>
      </c>
      <c r="H1534" s="45">
        <f>IFERROR(VLOOKUP(A1534,'[1]MC Masterlist 2026-09-12'!$B:$M, 6, 0),"")</f>
        <v>152892</v>
      </c>
      <c r="I1534" s="46">
        <v>2</v>
      </c>
      <c r="J1534" s="46">
        <v>3</v>
      </c>
      <c r="K1534" s="46">
        <v>2</v>
      </c>
      <c r="L1534" s="46">
        <f t="shared" si="345"/>
        <v>7</v>
      </c>
      <c r="M1534" s="46">
        <f t="shared" si="346"/>
        <v>2.3333333333333335</v>
      </c>
      <c r="N1534" s="45">
        <f t="shared" si="347"/>
        <v>1070244</v>
      </c>
      <c r="O1534" s="45">
        <f t="shared" si="348"/>
        <v>356748</v>
      </c>
      <c r="P1534" s="46">
        <f t="shared" si="349"/>
        <v>7.7777777777777779E-2</v>
      </c>
      <c r="Q1534" s="46">
        <v>2</v>
      </c>
      <c r="R1534" s="45">
        <f t="shared" si="350"/>
        <v>305784</v>
      </c>
      <c r="S1534" s="46">
        <f t="shared" si="351"/>
        <v>25.714285714285712</v>
      </c>
      <c r="T1534" s="46">
        <f>IFERROR(VLOOKUP(A1534,'[1]Re-order'!$A:$Q,17,0),"")</f>
        <v>104.55882352941177</v>
      </c>
      <c r="U1534" s="46">
        <f>IFERROR(VLOOKUP(A1534,'[1]MC Masterlist 2026-09-12'!$B:$M, 10, 0),0)</f>
        <v>15</v>
      </c>
      <c r="V1534" s="46">
        <f>IFERROR(VLOOKUP(A1534,'[1]MC Masterlist 2026-09-12'!$B:$M, 11, 0),0)</f>
        <v>15</v>
      </c>
      <c r="W1534" s="46">
        <f t="shared" si="352"/>
        <v>30</v>
      </c>
      <c r="X1534" s="46">
        <f t="shared" si="353"/>
        <v>5.833333333333333</v>
      </c>
      <c r="Y1534" s="46">
        <f>IFERROR(IF(OR(C1534="AREA I",C1534="AREA V"),7,VLOOKUP(A1534,'[1]MC Masterlist 2026-09-12'!$B:$M, 12, 0)),0)</f>
        <v>7</v>
      </c>
      <c r="Z1534" s="46">
        <f t="shared" si="354"/>
        <v>1.1666666666666667</v>
      </c>
      <c r="AA1534" s="46">
        <f t="shared" si="355"/>
        <v>2.3333333333333335</v>
      </c>
      <c r="AB1534" s="46">
        <f t="shared" si="356"/>
        <v>0.45370370370370366</v>
      </c>
      <c r="AC1534" s="46">
        <f t="shared" si="357"/>
        <v>0.54444444444444451</v>
      </c>
      <c r="AD1534" s="44" t="str">
        <f t="shared" si="358"/>
        <v>Over</v>
      </c>
      <c r="AE1534" s="44" t="str">
        <f>IFERROR(VLOOKUP(A1534,'[1]Re-order'!$A:$AA,27,0),"")</f>
        <v>Over</v>
      </c>
      <c r="AF1534" s="46">
        <f t="shared" si="359"/>
        <v>-1.4555555555555555</v>
      </c>
      <c r="AG1534" s="46">
        <f>SUMIFS('[1]Raw Inventory'!D:D,'[1]Raw Inventory'!C:C,"GREATWALL",'[1]Raw Inventory'!B:B,A1534)</f>
        <v>3</v>
      </c>
      <c r="AH1534" s="46">
        <f>SUMIFS('[1]Raw Inventory'!D:D,'[1]Raw Inventory'!C:C,"DUARTE",'[1]Raw Inventory'!B:B,A1534)</f>
        <v>0</v>
      </c>
      <c r="AI1534" s="46"/>
      <c r="AJ1534" s="46"/>
      <c r="AK1534" s="43"/>
      <c r="AL1534" s="43"/>
      <c r="AM1534" s="43"/>
      <c r="AN1534" s="43"/>
      <c r="AO1534" s="43"/>
      <c r="AP1534" s="43"/>
      <c r="AQ1534" s="43"/>
      <c r="AR1534" s="43"/>
      <c r="AS1534" s="43"/>
      <c r="AT1534" s="43"/>
    </row>
    <row r="1535" spans="1:46">
      <c r="A1535" s="43" t="s">
        <v>12</v>
      </c>
      <c r="B1535" s="43" t="s">
        <v>146</v>
      </c>
      <c r="C1535" s="43" t="s">
        <v>137</v>
      </c>
      <c r="D1535" s="44" t="s">
        <v>224</v>
      </c>
      <c r="E1535" s="44">
        <v>11</v>
      </c>
      <c r="F1535" s="44" t="s">
        <v>2</v>
      </c>
      <c r="G1535" s="43" t="str">
        <f>IFERROR(VLOOKUP(A1535,'[1]MC Masterlist 2026-09-12'!$B:$M, 3, 0),"")</f>
        <v>HONDA</v>
      </c>
      <c r="H1535" s="45">
        <f>IFERROR(VLOOKUP(A1535,'[1]MC Masterlist 2026-09-12'!$B:$M, 6, 0),"")</f>
        <v>158270</v>
      </c>
      <c r="I1535" s="46">
        <v>1</v>
      </c>
      <c r="J1535" s="46">
        <v>1</v>
      </c>
      <c r="K1535" s="46">
        <v>0</v>
      </c>
      <c r="L1535" s="46">
        <f t="shared" si="345"/>
        <v>2</v>
      </c>
      <c r="M1535" s="46">
        <f t="shared" si="346"/>
        <v>0.66666666666666663</v>
      </c>
      <c r="N1535" s="45">
        <f t="shared" si="347"/>
        <v>316540</v>
      </c>
      <c r="O1535" s="45">
        <f t="shared" si="348"/>
        <v>105513.33333333333</v>
      </c>
      <c r="P1535" s="46">
        <f t="shared" si="349"/>
        <v>2.222222222222222E-2</v>
      </c>
      <c r="Q1535" s="46">
        <v>3</v>
      </c>
      <c r="R1535" s="45">
        <f t="shared" si="350"/>
        <v>474810</v>
      </c>
      <c r="S1535" s="46">
        <f t="shared" si="351"/>
        <v>135</v>
      </c>
      <c r="T1535" s="46">
        <f>IFERROR(VLOOKUP(A1535,'[1]Re-order'!$A:$Q,17,0),"")</f>
        <v>46.461038961038959</v>
      </c>
      <c r="U1535" s="46">
        <f>IFERROR(VLOOKUP(A1535,'[1]MC Masterlist 2026-09-12'!$B:$M, 10, 0),0)</f>
        <v>15</v>
      </c>
      <c r="V1535" s="46">
        <f>IFERROR(VLOOKUP(A1535,'[1]MC Masterlist 2026-09-12'!$B:$M, 11, 0),0)</f>
        <v>15</v>
      </c>
      <c r="W1535" s="46">
        <f t="shared" si="352"/>
        <v>30</v>
      </c>
      <c r="X1535" s="46">
        <f t="shared" si="353"/>
        <v>6.666666666666667</v>
      </c>
      <c r="Y1535" s="46">
        <f>IFERROR(IF(OR(C1535="AREA I",C1535="AREA V"),7,VLOOKUP(A1535,'[1]MC Masterlist 2026-09-12'!$B:$M, 12, 0)),0)</f>
        <v>7</v>
      </c>
      <c r="Z1535" s="46">
        <f t="shared" si="354"/>
        <v>0.33333333333333331</v>
      </c>
      <c r="AA1535" s="46">
        <f t="shared" si="355"/>
        <v>0.66666666666666663</v>
      </c>
      <c r="AB1535" s="46">
        <f t="shared" si="356"/>
        <v>0.14814814814814814</v>
      </c>
      <c r="AC1535" s="46">
        <f t="shared" si="357"/>
        <v>0.15555555555555553</v>
      </c>
      <c r="AD1535" s="44" t="str">
        <f t="shared" si="358"/>
        <v>Over</v>
      </c>
      <c r="AE1535" s="44" t="str">
        <f>IFERROR(VLOOKUP(A1535,'[1]Re-order'!$A:$AA,27,0),"")</f>
        <v>Re-order</v>
      </c>
      <c r="AF1535" s="46">
        <f t="shared" si="359"/>
        <v>-2.8444444444444446</v>
      </c>
      <c r="AG1535" s="46">
        <f>SUMIFS('[1]Raw Inventory'!D:D,'[1]Raw Inventory'!C:C,"GREATWALL",'[1]Raw Inventory'!B:B,A1535)</f>
        <v>35</v>
      </c>
      <c r="AH1535" s="46">
        <f>SUMIFS('[1]Raw Inventory'!D:D,'[1]Raw Inventory'!C:C,"DUARTE",'[1]Raw Inventory'!B:B,A1535)</f>
        <v>0</v>
      </c>
      <c r="AI1535" s="46"/>
      <c r="AJ1535" s="46"/>
      <c r="AK1535" s="43"/>
      <c r="AL1535" s="43"/>
      <c r="AM1535" s="43"/>
      <c r="AN1535" s="43"/>
      <c r="AO1535" s="43"/>
      <c r="AP1535" s="43"/>
      <c r="AQ1535" s="43"/>
      <c r="AR1535" s="43"/>
      <c r="AS1535" s="43"/>
      <c r="AT1535" s="43"/>
    </row>
    <row r="1536" spans="1:46">
      <c r="A1536" s="43" t="s">
        <v>16</v>
      </c>
      <c r="B1536" s="43" t="s">
        <v>131</v>
      </c>
      <c r="C1536" s="43" t="s">
        <v>128</v>
      </c>
      <c r="D1536" s="44" t="s">
        <v>234</v>
      </c>
      <c r="E1536" s="44">
        <v>4</v>
      </c>
      <c r="F1536" s="44" t="s">
        <v>0</v>
      </c>
      <c r="G1536" s="43" t="str">
        <f>IFERROR(VLOOKUP(A1536,'[1]MC Masterlist 2026-09-12'!$B:$M, 3, 0),"")</f>
        <v>HONDA</v>
      </c>
      <c r="H1536" s="45">
        <f>IFERROR(VLOOKUP(A1536,'[1]MC Masterlist 2026-09-12'!$B:$M, 6, 0),"")</f>
        <v>84394</v>
      </c>
      <c r="I1536" s="46">
        <v>5</v>
      </c>
      <c r="J1536" s="46">
        <v>13</v>
      </c>
      <c r="K1536" s="46">
        <v>3</v>
      </c>
      <c r="L1536" s="46">
        <f t="shared" si="345"/>
        <v>21</v>
      </c>
      <c r="M1536" s="46">
        <f t="shared" si="346"/>
        <v>7</v>
      </c>
      <c r="N1536" s="45">
        <f t="shared" si="347"/>
        <v>1772274</v>
      </c>
      <c r="O1536" s="45">
        <f t="shared" si="348"/>
        <v>590758</v>
      </c>
      <c r="P1536" s="46">
        <f t="shared" si="349"/>
        <v>0.23333333333333334</v>
      </c>
      <c r="Q1536" s="46">
        <v>2</v>
      </c>
      <c r="R1536" s="45">
        <f t="shared" si="350"/>
        <v>168788</v>
      </c>
      <c r="S1536" s="46">
        <f t="shared" si="351"/>
        <v>8.5714285714285712</v>
      </c>
      <c r="T1536" s="46">
        <f>IFERROR(VLOOKUP(A1536,'[1]Re-order'!$A:$Q,17,0),"")</f>
        <v>26.332665330661321</v>
      </c>
      <c r="U1536" s="46">
        <f>IFERROR(VLOOKUP(A1536,'[1]MC Masterlist 2026-09-12'!$B:$M, 10, 0),0)</f>
        <v>15</v>
      </c>
      <c r="V1536" s="46">
        <f>IFERROR(VLOOKUP(A1536,'[1]MC Masterlist 2026-09-12'!$B:$M, 11, 0),0)</f>
        <v>15</v>
      </c>
      <c r="W1536" s="46">
        <f t="shared" si="352"/>
        <v>30</v>
      </c>
      <c r="X1536" s="46">
        <f t="shared" si="353"/>
        <v>26.5</v>
      </c>
      <c r="Y1536" s="46">
        <f>IFERROR(IF(OR(C1536="AREA I",C1536="AREA V"),7,VLOOKUP(A1536,'[1]MC Masterlist 2026-09-12'!$B:$M, 12, 0)),0)</f>
        <v>30</v>
      </c>
      <c r="Z1536" s="46">
        <f t="shared" si="354"/>
        <v>3.5</v>
      </c>
      <c r="AA1536" s="46">
        <f t="shared" si="355"/>
        <v>7</v>
      </c>
      <c r="AB1536" s="46">
        <f t="shared" si="356"/>
        <v>6.1833333333333336</v>
      </c>
      <c r="AC1536" s="46">
        <f t="shared" si="357"/>
        <v>7</v>
      </c>
      <c r="AD1536" s="44" t="str">
        <f t="shared" si="358"/>
        <v>Stockout</v>
      </c>
      <c r="AE1536" s="44" t="str">
        <f>IFERROR(VLOOKUP(A1536,'[1]Re-order'!$A:$AA,27,0),"")</f>
        <v>Stockout</v>
      </c>
      <c r="AF1536" s="46">
        <f t="shared" si="359"/>
        <v>5</v>
      </c>
      <c r="AG1536" s="46">
        <f>SUMIFS('[1]Raw Inventory'!D:D,'[1]Raw Inventory'!C:C,"GREATWALL",'[1]Raw Inventory'!B:B,A1536)</f>
        <v>58</v>
      </c>
      <c r="AH1536" s="46">
        <f>SUMIFS('[1]Raw Inventory'!D:D,'[1]Raw Inventory'!C:C,"DUARTE",'[1]Raw Inventory'!B:B,A1536)</f>
        <v>0</v>
      </c>
      <c r="AI1536" s="46"/>
      <c r="AJ1536" s="46"/>
      <c r="AK1536" s="43"/>
      <c r="AL1536" s="43"/>
      <c r="AM1536" s="43"/>
      <c r="AN1536" s="43"/>
      <c r="AO1536" s="43"/>
      <c r="AP1536" s="43"/>
      <c r="AQ1536" s="43"/>
      <c r="AR1536" s="43"/>
      <c r="AS1536" s="43"/>
      <c r="AT1536" s="43"/>
    </row>
    <row r="1537" spans="1:46">
      <c r="A1537" s="43" t="s">
        <v>75</v>
      </c>
      <c r="B1537" s="43" t="s">
        <v>29</v>
      </c>
      <c r="C1537" s="43" t="s">
        <v>1</v>
      </c>
      <c r="D1537" s="44" t="s">
        <v>242</v>
      </c>
      <c r="E1537" s="44">
        <v>38</v>
      </c>
      <c r="F1537" s="44" t="s">
        <v>3</v>
      </c>
      <c r="G1537" s="43" t="str">
        <f>IFERROR(VLOOKUP(A1537,'[1]MC Masterlist 2026-09-12'!$B:$M, 3, 0),"")</f>
        <v>SUZUKI</v>
      </c>
      <c r="H1537" s="45">
        <f>IFERROR(VLOOKUP(A1537,'[1]MC Masterlist 2026-09-12'!$B:$M, 6, 0),"")</f>
        <v>138952</v>
      </c>
      <c r="I1537" s="46">
        <v>0</v>
      </c>
      <c r="J1537" s="46">
        <v>0</v>
      </c>
      <c r="K1537" s="46">
        <v>0</v>
      </c>
      <c r="L1537" s="46">
        <f t="shared" si="345"/>
        <v>0</v>
      </c>
      <c r="M1537" s="46">
        <f t="shared" si="346"/>
        <v>0</v>
      </c>
      <c r="N1537" s="45">
        <f t="shared" si="347"/>
        <v>0</v>
      </c>
      <c r="O1537" s="45">
        <f t="shared" si="348"/>
        <v>0</v>
      </c>
      <c r="P1537" s="46">
        <f t="shared" si="349"/>
        <v>0</v>
      </c>
      <c r="Q1537" s="46">
        <v>1</v>
      </c>
      <c r="R1537" s="45">
        <f t="shared" si="350"/>
        <v>138952</v>
      </c>
      <c r="S1537" s="46">
        <f t="shared" si="351"/>
        <v>0</v>
      </c>
      <c r="T1537" s="46">
        <f>IFERROR(VLOOKUP(A1537,'[1]Re-order'!$A:$Q,17,0),"")</f>
        <v>855.00000000000011</v>
      </c>
      <c r="U1537" s="46">
        <f>IFERROR(VLOOKUP(A1537,'[1]MC Masterlist 2026-09-12'!$B:$M, 10, 0),0)</f>
        <v>15</v>
      </c>
      <c r="V1537" s="46">
        <f>IFERROR(VLOOKUP(A1537,'[1]MC Masterlist 2026-09-12'!$B:$M, 11, 0),0)</f>
        <v>15</v>
      </c>
      <c r="W1537" s="46">
        <f t="shared" si="352"/>
        <v>30</v>
      </c>
      <c r="X1537" s="46">
        <f t="shared" si="353"/>
        <v>7</v>
      </c>
      <c r="Y1537" s="46">
        <f>IFERROR(IF(OR(C1537="AREA I",C1537="AREA V"),7,VLOOKUP(A1537,'[1]MC Masterlist 2026-09-12'!$B:$M, 12, 0)),0)</f>
        <v>7</v>
      </c>
      <c r="Z1537" s="46">
        <f t="shared" si="354"/>
        <v>0</v>
      </c>
      <c r="AA1537" s="46">
        <f t="shared" si="355"/>
        <v>0</v>
      </c>
      <c r="AB1537" s="46">
        <f t="shared" si="356"/>
        <v>0</v>
      </c>
      <c r="AC1537" s="46">
        <f t="shared" si="357"/>
        <v>0</v>
      </c>
      <c r="AD1537" s="44" t="str">
        <f t="shared" si="358"/>
        <v>Over</v>
      </c>
      <c r="AE1537" s="44" t="str">
        <f>IFERROR(VLOOKUP(A1537,'[1]Re-order'!$A:$AA,27,0),"")</f>
        <v>Over</v>
      </c>
      <c r="AF1537" s="46">
        <f t="shared" si="359"/>
        <v>-1</v>
      </c>
      <c r="AG1537" s="46">
        <f>SUMIFS('[1]Raw Inventory'!D:D,'[1]Raw Inventory'!C:C,"GREATWALL",'[1]Raw Inventory'!B:B,A1537)</f>
        <v>8</v>
      </c>
      <c r="AH1537" s="46">
        <f>SUMIFS('[1]Raw Inventory'!D:D,'[1]Raw Inventory'!C:C,"DUARTE",'[1]Raw Inventory'!B:B,A1537)</f>
        <v>0</v>
      </c>
      <c r="AI1537" s="46"/>
      <c r="AJ1537" s="46"/>
      <c r="AK1537" s="43"/>
      <c r="AL1537" s="43"/>
      <c r="AM1537" s="43"/>
      <c r="AN1537" s="43"/>
      <c r="AO1537" s="43"/>
      <c r="AP1537" s="43"/>
      <c r="AQ1537" s="43"/>
      <c r="AR1537" s="43"/>
      <c r="AS1537" s="43"/>
      <c r="AT1537" s="43"/>
    </row>
    <row r="1538" spans="1:46">
      <c r="A1538" s="43" t="s">
        <v>64</v>
      </c>
      <c r="B1538" s="43" t="s">
        <v>112</v>
      </c>
      <c r="C1538" s="43" t="s">
        <v>109</v>
      </c>
      <c r="D1538" s="44" t="s">
        <v>226</v>
      </c>
      <c r="E1538" s="44">
        <v>23</v>
      </c>
      <c r="F1538" s="44" t="s">
        <v>3</v>
      </c>
      <c r="G1538" s="43" t="str">
        <f>IFERROR(VLOOKUP(A1538,'[1]MC Masterlist 2026-09-12'!$B:$M, 3, 0),"")</f>
        <v>HONDA</v>
      </c>
      <c r="H1538" s="45">
        <f>IFERROR(VLOOKUP(A1538,'[1]MC Masterlist 2026-09-12'!$B:$M, 6, 0),"")</f>
        <v>73170</v>
      </c>
      <c r="I1538" s="46">
        <v>0</v>
      </c>
      <c r="J1538" s="46">
        <v>0</v>
      </c>
      <c r="K1538" s="46">
        <v>0</v>
      </c>
      <c r="L1538" s="46">
        <f t="shared" si="345"/>
        <v>0</v>
      </c>
      <c r="M1538" s="46">
        <f t="shared" si="346"/>
        <v>0</v>
      </c>
      <c r="N1538" s="45">
        <f t="shared" si="347"/>
        <v>0</v>
      </c>
      <c r="O1538" s="45">
        <f t="shared" si="348"/>
        <v>0</v>
      </c>
      <c r="P1538" s="46">
        <f t="shared" si="349"/>
        <v>0</v>
      </c>
      <c r="Q1538" s="46">
        <v>4</v>
      </c>
      <c r="R1538" s="45">
        <f t="shared" si="350"/>
        <v>292680</v>
      </c>
      <c r="S1538" s="46">
        <f t="shared" si="351"/>
        <v>0</v>
      </c>
      <c r="T1538" s="46">
        <f>IFERROR(VLOOKUP(A1538,'[1]Re-order'!$A:$Q,17,0),"")</f>
        <v>76.153846153846146</v>
      </c>
      <c r="U1538" s="46">
        <f>IFERROR(VLOOKUP(A1538,'[1]MC Masterlist 2026-09-12'!$B:$M, 10, 0),0)</f>
        <v>15</v>
      </c>
      <c r="V1538" s="46">
        <f>IFERROR(VLOOKUP(A1538,'[1]MC Masterlist 2026-09-12'!$B:$M, 11, 0),0)</f>
        <v>15</v>
      </c>
      <c r="W1538" s="46">
        <f t="shared" si="352"/>
        <v>30</v>
      </c>
      <c r="X1538" s="46">
        <f t="shared" si="353"/>
        <v>30</v>
      </c>
      <c r="Y1538" s="46">
        <f>IFERROR(IF(OR(C1538="AREA I",C1538="AREA V"),7,VLOOKUP(A1538,'[1]MC Masterlist 2026-09-12'!$B:$M, 12, 0)),0)</f>
        <v>30</v>
      </c>
      <c r="Z1538" s="46">
        <f t="shared" si="354"/>
        <v>0</v>
      </c>
      <c r="AA1538" s="46">
        <f t="shared" si="355"/>
        <v>0</v>
      </c>
      <c r="AB1538" s="46">
        <f t="shared" si="356"/>
        <v>0</v>
      </c>
      <c r="AC1538" s="46">
        <f t="shared" si="357"/>
        <v>0</v>
      </c>
      <c r="AD1538" s="44" t="str">
        <f t="shared" si="358"/>
        <v>Over</v>
      </c>
      <c r="AE1538" s="44" t="str">
        <f>IFERROR(VLOOKUP(A1538,'[1]Re-order'!$A:$AA,27,0),"")</f>
        <v/>
      </c>
      <c r="AF1538" s="46">
        <f t="shared" si="359"/>
        <v>-4</v>
      </c>
      <c r="AG1538" s="46">
        <f>SUMIFS('[1]Raw Inventory'!D:D,'[1]Raw Inventory'!C:C,"GREATWALL",'[1]Raw Inventory'!B:B,A1538)</f>
        <v>13</v>
      </c>
      <c r="AH1538" s="46">
        <f>SUMIFS('[1]Raw Inventory'!D:D,'[1]Raw Inventory'!C:C,"DUARTE",'[1]Raw Inventory'!B:B,A1538)</f>
        <v>0</v>
      </c>
      <c r="AI1538" s="46"/>
      <c r="AJ1538" s="46"/>
      <c r="AK1538" s="43"/>
      <c r="AL1538" s="43"/>
      <c r="AM1538" s="43"/>
      <c r="AN1538" s="43"/>
      <c r="AO1538" s="43"/>
      <c r="AP1538" s="43"/>
      <c r="AQ1538" s="43"/>
      <c r="AR1538" s="43"/>
      <c r="AS1538" s="43"/>
      <c r="AT1538" s="43"/>
    </row>
    <row r="1539" spans="1:46">
      <c r="A1539" s="43" t="s">
        <v>26</v>
      </c>
      <c r="B1539" s="43" t="s">
        <v>145</v>
      </c>
      <c r="C1539" s="43" t="s">
        <v>137</v>
      </c>
      <c r="D1539" s="44" t="s">
        <v>254</v>
      </c>
      <c r="E1539" s="44">
        <v>8</v>
      </c>
      <c r="F1539" s="44" t="s">
        <v>2</v>
      </c>
      <c r="G1539" s="43" t="str">
        <f>IFERROR(VLOOKUP(A1539,'[1]MC Masterlist 2026-09-12'!$B:$M, 3, 0),"")</f>
        <v>SUZUKI</v>
      </c>
      <c r="H1539" s="45">
        <f>IFERROR(VLOOKUP(A1539,'[1]MC Masterlist 2026-09-12'!$B:$M, 6, 0),"")</f>
        <v>123700</v>
      </c>
      <c r="I1539" s="46">
        <v>1</v>
      </c>
      <c r="J1539" s="46">
        <v>2</v>
      </c>
      <c r="K1539" s="46">
        <v>0</v>
      </c>
      <c r="L1539" s="46">
        <f t="shared" ref="L1539:L1602" si="360">I1539+J1539+K1539</f>
        <v>3</v>
      </c>
      <c r="M1539" s="46">
        <f t="shared" ref="M1539:M1602" si="361">AVERAGE(I1539,J1539,K1539)</f>
        <v>1</v>
      </c>
      <c r="N1539" s="45">
        <f t="shared" ref="N1539:N1602" si="362">L1539*H1539</f>
        <v>371100</v>
      </c>
      <c r="O1539" s="45">
        <f t="shared" ref="O1539:O1602" si="363">M1539*H1539</f>
        <v>123700</v>
      </c>
      <c r="P1539" s="46">
        <f t="shared" ref="P1539:P1602" si="364">M1539/30</f>
        <v>3.3333333333333333E-2</v>
      </c>
      <c r="Q1539" s="46">
        <v>7</v>
      </c>
      <c r="R1539" s="45">
        <f t="shared" ref="R1539:R1602" si="365">IFERROR(Q1539*H1539, 0)</f>
        <v>865900</v>
      </c>
      <c r="S1539" s="46">
        <f t="shared" ref="S1539:S1602" si="366">IFERROR(R1539/(O1539)*30, 0)</f>
        <v>210</v>
      </c>
      <c r="T1539" s="46">
        <f>IFERROR(VLOOKUP(A1539,'[1]Re-order'!$A:$Q,17,0),"")</f>
        <v>71.470588235294116</v>
      </c>
      <c r="U1539" s="46">
        <f>IFERROR(VLOOKUP(A1539,'[1]MC Masterlist 2026-09-12'!$B:$M, 10, 0),0)</f>
        <v>15</v>
      </c>
      <c r="V1539" s="46">
        <f>IFERROR(VLOOKUP(A1539,'[1]MC Masterlist 2026-09-12'!$B:$M, 11, 0),0)</f>
        <v>15</v>
      </c>
      <c r="W1539" s="46">
        <f t="shared" ref="W1539:W1602" si="367">U1539+V1539</f>
        <v>30</v>
      </c>
      <c r="X1539" s="46">
        <f t="shared" ref="X1539:X1602" si="368">Y1539-Z1539</f>
        <v>6.5</v>
      </c>
      <c r="Y1539" s="46">
        <f>IFERROR(IF(OR(C1539="AREA I",C1539="AREA V"),7,VLOOKUP(A1539,'[1]MC Masterlist 2026-09-12'!$B:$M, 12, 0)),0)</f>
        <v>7</v>
      </c>
      <c r="Z1539" s="46">
        <f t="shared" ref="Z1539:Z1602" si="369">V1539*P1539</f>
        <v>0.5</v>
      </c>
      <c r="AA1539" s="46">
        <f t="shared" ref="AA1539:AA1602" si="370">W1539*P1539</f>
        <v>1</v>
      </c>
      <c r="AB1539" s="46">
        <f t="shared" ref="AB1539:AB1602" si="371">X1539*P1539</f>
        <v>0.21666666666666667</v>
      </c>
      <c r="AC1539" s="46">
        <f t="shared" ref="AC1539:AC1602" si="372">Y1539*P1539</f>
        <v>0.23333333333333334</v>
      </c>
      <c r="AD1539" s="44" t="str">
        <f t="shared" ref="AD1539:AD1602" si="373">IFERROR(IF(Q1539&gt;AC1539, "Over", IF(Q1539&lt;=Z1539, "Stockout", IF(Q1539&lt;=AA1539, "Re-order",""))), "")</f>
        <v>Over</v>
      </c>
      <c r="AE1539" s="44" t="str">
        <f>IFERROR(VLOOKUP(A1539,'[1]Re-order'!$A:$AA,27,0),"")</f>
        <v>Re-order</v>
      </c>
      <c r="AF1539" s="46">
        <f t="shared" ref="AF1539:AF1602" si="374">AC1539-Q1539</f>
        <v>-6.7666666666666666</v>
      </c>
      <c r="AG1539" s="46">
        <f>SUMIFS('[1]Raw Inventory'!D:D,'[1]Raw Inventory'!C:C,"GREATWALL",'[1]Raw Inventory'!B:B,A1539)</f>
        <v>30</v>
      </c>
      <c r="AH1539" s="46">
        <f>SUMIFS('[1]Raw Inventory'!D:D,'[1]Raw Inventory'!C:C,"DUARTE",'[1]Raw Inventory'!B:B,A1539)</f>
        <v>0</v>
      </c>
      <c r="AI1539" s="46"/>
      <c r="AJ1539" s="46"/>
      <c r="AK1539" s="43"/>
      <c r="AL1539" s="43"/>
      <c r="AM1539" s="43"/>
      <c r="AN1539" s="43"/>
      <c r="AO1539" s="43"/>
      <c r="AP1539" s="43"/>
      <c r="AQ1539" s="43"/>
      <c r="AR1539" s="43"/>
      <c r="AS1539" s="43"/>
      <c r="AT1539" s="43"/>
    </row>
    <row r="1540" spans="1:46">
      <c r="A1540" s="43" t="s">
        <v>47</v>
      </c>
      <c r="B1540" s="43" t="s">
        <v>116</v>
      </c>
      <c r="C1540" s="43" t="s">
        <v>109</v>
      </c>
      <c r="D1540" s="44" t="s">
        <v>253</v>
      </c>
      <c r="E1540" s="44">
        <v>7</v>
      </c>
      <c r="F1540" s="44" t="s">
        <v>3</v>
      </c>
      <c r="G1540" s="43" t="str">
        <f>IFERROR(VLOOKUP(A1540,'[1]MC Masterlist 2026-09-12'!$B:$M, 3, 0),"")</f>
        <v>YAMAHA</v>
      </c>
      <c r="H1540" s="45">
        <f>IFERROR(VLOOKUP(A1540,'[1]MC Masterlist 2026-09-12'!$B:$M, 6, 0),"")</f>
        <v>76167</v>
      </c>
      <c r="I1540" s="46">
        <v>0</v>
      </c>
      <c r="J1540" s="46">
        <v>0</v>
      </c>
      <c r="K1540" s="46">
        <v>0</v>
      </c>
      <c r="L1540" s="46">
        <f t="shared" si="360"/>
        <v>0</v>
      </c>
      <c r="M1540" s="46">
        <f t="shared" si="361"/>
        <v>0</v>
      </c>
      <c r="N1540" s="45">
        <f t="shared" si="362"/>
        <v>0</v>
      </c>
      <c r="O1540" s="45">
        <f t="shared" si="363"/>
        <v>0</v>
      </c>
      <c r="P1540" s="46">
        <f t="shared" si="364"/>
        <v>0</v>
      </c>
      <c r="Q1540" s="46">
        <v>1</v>
      </c>
      <c r="R1540" s="45">
        <f t="shared" si="365"/>
        <v>76167</v>
      </c>
      <c r="S1540" s="46">
        <f t="shared" si="366"/>
        <v>0</v>
      </c>
      <c r="T1540" s="46">
        <f>IFERROR(VLOOKUP(A1540,'[1]Re-order'!$A:$Q,17,0),"")</f>
        <v>86.666666666666671</v>
      </c>
      <c r="U1540" s="46">
        <f>IFERROR(VLOOKUP(A1540,'[1]MC Masterlist 2026-09-12'!$B:$M, 10, 0),0)</f>
        <v>15</v>
      </c>
      <c r="V1540" s="46">
        <f>IFERROR(VLOOKUP(A1540,'[1]MC Masterlist 2026-09-12'!$B:$M, 11, 0),0)</f>
        <v>15</v>
      </c>
      <c r="W1540" s="46">
        <f t="shared" si="367"/>
        <v>30</v>
      </c>
      <c r="X1540" s="46">
        <f t="shared" si="368"/>
        <v>30</v>
      </c>
      <c r="Y1540" s="46">
        <f>IFERROR(IF(OR(C1540="AREA I",C1540="AREA V"),7,VLOOKUP(A1540,'[1]MC Masterlist 2026-09-12'!$B:$M, 12, 0)),0)</f>
        <v>30</v>
      </c>
      <c r="Z1540" s="46">
        <f t="shared" si="369"/>
        <v>0</v>
      </c>
      <c r="AA1540" s="46">
        <f t="shared" si="370"/>
        <v>0</v>
      </c>
      <c r="AB1540" s="46">
        <f t="shared" si="371"/>
        <v>0</v>
      </c>
      <c r="AC1540" s="46">
        <f t="shared" si="372"/>
        <v>0</v>
      </c>
      <c r="AD1540" s="44" t="str">
        <f t="shared" si="373"/>
        <v>Over</v>
      </c>
      <c r="AE1540" s="44" t="str">
        <f>IFERROR(VLOOKUP(A1540,'[1]Re-order'!$A:$AA,27,0),"")</f>
        <v/>
      </c>
      <c r="AF1540" s="46">
        <f t="shared" si="374"/>
        <v>-1</v>
      </c>
      <c r="AG1540" s="46">
        <f>SUMIFS('[1]Raw Inventory'!D:D,'[1]Raw Inventory'!C:C,"GREATWALL",'[1]Raw Inventory'!B:B,A1540)</f>
        <v>1</v>
      </c>
      <c r="AH1540" s="46">
        <f>SUMIFS('[1]Raw Inventory'!D:D,'[1]Raw Inventory'!C:C,"DUARTE",'[1]Raw Inventory'!B:B,A1540)</f>
        <v>0</v>
      </c>
      <c r="AI1540" s="46"/>
      <c r="AJ1540" s="46"/>
      <c r="AK1540" s="43"/>
      <c r="AL1540" s="43"/>
      <c r="AM1540" s="43"/>
      <c r="AN1540" s="43"/>
      <c r="AO1540" s="43"/>
      <c r="AP1540" s="43"/>
      <c r="AQ1540" s="43"/>
      <c r="AR1540" s="43"/>
      <c r="AS1540" s="43"/>
      <c r="AT1540" s="43"/>
    </row>
    <row r="1541" spans="1:46">
      <c r="A1541" s="43" t="s">
        <v>25</v>
      </c>
      <c r="B1541" s="43" t="s">
        <v>129</v>
      </c>
      <c r="C1541" s="43" t="s">
        <v>128</v>
      </c>
      <c r="D1541" s="44" t="s">
        <v>233</v>
      </c>
      <c r="E1541" s="44">
        <v>8</v>
      </c>
      <c r="F1541" s="44" t="s">
        <v>2</v>
      </c>
      <c r="G1541" s="43" t="str">
        <f>IFERROR(VLOOKUP(A1541,'[1]MC Masterlist 2026-09-12'!$B:$M, 3, 0),"")</f>
        <v>YAMAHA</v>
      </c>
      <c r="H1541" s="45">
        <f>IFERROR(VLOOKUP(A1541,'[1]MC Masterlist 2026-09-12'!$B:$M, 6, 0),"")</f>
        <v>124527</v>
      </c>
      <c r="I1541" s="46">
        <v>3</v>
      </c>
      <c r="J1541" s="46">
        <v>4</v>
      </c>
      <c r="K1541" s="46">
        <v>0</v>
      </c>
      <c r="L1541" s="46">
        <f t="shared" si="360"/>
        <v>7</v>
      </c>
      <c r="M1541" s="46">
        <f t="shared" si="361"/>
        <v>2.3333333333333335</v>
      </c>
      <c r="N1541" s="45">
        <f t="shared" si="362"/>
        <v>871689</v>
      </c>
      <c r="O1541" s="45">
        <f t="shared" si="363"/>
        <v>290563</v>
      </c>
      <c r="P1541" s="46">
        <f t="shared" si="364"/>
        <v>7.7777777777777779E-2</v>
      </c>
      <c r="Q1541" s="46"/>
      <c r="R1541" s="45">
        <f t="shared" si="365"/>
        <v>0</v>
      </c>
      <c r="S1541" s="46">
        <f t="shared" si="366"/>
        <v>0</v>
      </c>
      <c r="T1541" s="46">
        <f>IFERROR(VLOOKUP(A1541,'[1]Re-order'!$A:$Q,17,0),"")</f>
        <v>5.1030927835051543</v>
      </c>
      <c r="U1541" s="46">
        <f>IFERROR(VLOOKUP(A1541,'[1]MC Masterlist 2026-09-12'!$B:$M, 10, 0),0)</f>
        <v>15</v>
      </c>
      <c r="V1541" s="46">
        <f>IFERROR(VLOOKUP(A1541,'[1]MC Masterlist 2026-09-12'!$B:$M, 11, 0),0)</f>
        <v>15</v>
      </c>
      <c r="W1541" s="46">
        <f t="shared" si="367"/>
        <v>30</v>
      </c>
      <c r="X1541" s="46">
        <f t="shared" si="368"/>
        <v>28.833333333333332</v>
      </c>
      <c r="Y1541" s="46">
        <f>IFERROR(IF(OR(C1541="AREA I",C1541="AREA V"),7,VLOOKUP(A1541,'[1]MC Masterlist 2026-09-12'!$B:$M, 12, 0)),0)</f>
        <v>30</v>
      </c>
      <c r="Z1541" s="46">
        <f t="shared" si="369"/>
        <v>1.1666666666666667</v>
      </c>
      <c r="AA1541" s="46">
        <f t="shared" si="370"/>
        <v>2.3333333333333335</v>
      </c>
      <c r="AB1541" s="46">
        <f t="shared" si="371"/>
        <v>2.2425925925925925</v>
      </c>
      <c r="AC1541" s="46">
        <f t="shared" si="372"/>
        <v>2.3333333333333335</v>
      </c>
      <c r="AD1541" s="44" t="str">
        <f t="shared" si="373"/>
        <v>Stockout</v>
      </c>
      <c r="AE1541" s="44" t="str">
        <f>IFERROR(VLOOKUP(A1541,'[1]Re-order'!$A:$AA,27,0),"")</f>
        <v>Stockout</v>
      </c>
      <c r="AF1541" s="46">
        <f t="shared" si="374"/>
        <v>2.3333333333333335</v>
      </c>
      <c r="AG1541" s="46">
        <f>SUMIFS('[1]Raw Inventory'!D:D,'[1]Raw Inventory'!C:C,"GREATWALL",'[1]Raw Inventory'!B:B,A1541)</f>
        <v>1</v>
      </c>
      <c r="AH1541" s="46">
        <f>SUMIFS('[1]Raw Inventory'!D:D,'[1]Raw Inventory'!C:C,"DUARTE",'[1]Raw Inventory'!B:B,A1541)</f>
        <v>0</v>
      </c>
      <c r="AI1541" s="46"/>
      <c r="AJ1541" s="46"/>
      <c r="AK1541" s="43"/>
      <c r="AL1541" s="43"/>
      <c r="AM1541" s="43"/>
      <c r="AN1541" s="43"/>
      <c r="AO1541" s="43"/>
      <c r="AP1541" s="43"/>
      <c r="AQ1541" s="43"/>
      <c r="AR1541" s="43"/>
      <c r="AS1541" s="43"/>
      <c r="AT1541" s="43"/>
    </row>
    <row r="1542" spans="1:46">
      <c r="A1542" s="43" t="s">
        <v>48</v>
      </c>
      <c r="B1542" s="43" t="s">
        <v>27</v>
      </c>
      <c r="C1542" s="43" t="s">
        <v>1</v>
      </c>
      <c r="D1542" s="44" t="s">
        <v>258</v>
      </c>
      <c r="E1542" s="44">
        <v>30</v>
      </c>
      <c r="F1542" s="44" t="s">
        <v>3</v>
      </c>
      <c r="G1542" s="43" t="str">
        <f>IFERROR(VLOOKUP(A1542,'[1]MC Masterlist 2026-09-12'!$B:$M, 3, 0),"")</f>
        <v>SUZUKI</v>
      </c>
      <c r="H1542" s="45">
        <f>IFERROR(VLOOKUP(A1542,'[1]MC Masterlist 2026-09-12'!$B:$M, 6, 0),"")</f>
        <v>82687</v>
      </c>
      <c r="I1542" s="46">
        <v>0</v>
      </c>
      <c r="J1542" s="46">
        <v>0</v>
      </c>
      <c r="K1542" s="46">
        <v>0</v>
      </c>
      <c r="L1542" s="46">
        <f t="shared" si="360"/>
        <v>0</v>
      </c>
      <c r="M1542" s="46">
        <f t="shared" si="361"/>
        <v>0</v>
      </c>
      <c r="N1542" s="45">
        <f t="shared" si="362"/>
        <v>0</v>
      </c>
      <c r="O1542" s="45">
        <f t="shared" si="363"/>
        <v>0</v>
      </c>
      <c r="P1542" s="46">
        <f t="shared" si="364"/>
        <v>0</v>
      </c>
      <c r="Q1542" s="46">
        <v>1</v>
      </c>
      <c r="R1542" s="45">
        <f t="shared" si="365"/>
        <v>82687</v>
      </c>
      <c r="S1542" s="46">
        <f t="shared" si="366"/>
        <v>0</v>
      </c>
      <c r="T1542" s="46">
        <f>IFERROR(VLOOKUP(A1542,'[1]Re-order'!$A:$Q,17,0),"")</f>
        <v>303.75</v>
      </c>
      <c r="U1542" s="46">
        <f>IFERROR(VLOOKUP(A1542,'[1]MC Masterlist 2026-09-12'!$B:$M, 10, 0),0)</f>
        <v>15</v>
      </c>
      <c r="V1542" s="46">
        <f>IFERROR(VLOOKUP(A1542,'[1]MC Masterlist 2026-09-12'!$B:$M, 11, 0),0)</f>
        <v>15</v>
      </c>
      <c r="W1542" s="46">
        <f t="shared" si="367"/>
        <v>30</v>
      </c>
      <c r="X1542" s="46">
        <f t="shared" si="368"/>
        <v>7</v>
      </c>
      <c r="Y1542" s="46">
        <f>IFERROR(IF(OR(C1542="AREA I",C1542="AREA V"),7,VLOOKUP(A1542,'[1]MC Masterlist 2026-09-12'!$B:$M, 12, 0)),0)</f>
        <v>7</v>
      </c>
      <c r="Z1542" s="46">
        <f t="shared" si="369"/>
        <v>0</v>
      </c>
      <c r="AA1542" s="46">
        <f t="shared" si="370"/>
        <v>0</v>
      </c>
      <c r="AB1542" s="46">
        <f t="shared" si="371"/>
        <v>0</v>
      </c>
      <c r="AC1542" s="46">
        <f t="shared" si="372"/>
        <v>0</v>
      </c>
      <c r="AD1542" s="44" t="str">
        <f t="shared" si="373"/>
        <v>Over</v>
      </c>
      <c r="AE1542" s="44" t="str">
        <f>IFERROR(VLOOKUP(A1542,'[1]Re-order'!$A:$AA,27,0),"")</f>
        <v>Over</v>
      </c>
      <c r="AF1542" s="46">
        <f t="shared" si="374"/>
        <v>-1</v>
      </c>
      <c r="AG1542" s="46">
        <f>SUMIFS('[1]Raw Inventory'!D:D,'[1]Raw Inventory'!C:C,"GREATWALL",'[1]Raw Inventory'!B:B,A1542)</f>
        <v>10</v>
      </c>
      <c r="AH1542" s="46">
        <f>SUMIFS('[1]Raw Inventory'!D:D,'[1]Raw Inventory'!C:C,"DUARTE",'[1]Raw Inventory'!B:B,A1542)</f>
        <v>0</v>
      </c>
      <c r="AI1542" s="46"/>
      <c r="AJ1542" s="46"/>
      <c r="AK1542" s="43"/>
      <c r="AL1542" s="43"/>
      <c r="AM1542" s="43"/>
      <c r="AN1542" s="43"/>
      <c r="AO1542" s="43"/>
      <c r="AP1542" s="43"/>
      <c r="AQ1542" s="43"/>
      <c r="AR1542" s="43"/>
      <c r="AS1542" s="43"/>
      <c r="AT1542" s="43"/>
    </row>
    <row r="1543" spans="1:46">
      <c r="A1543" s="43" t="s">
        <v>54</v>
      </c>
      <c r="B1543" s="43" t="s">
        <v>11</v>
      </c>
      <c r="C1543" s="43" t="s">
        <v>1</v>
      </c>
      <c r="D1543" s="44" t="s">
        <v>235</v>
      </c>
      <c r="E1543" s="44">
        <v>21</v>
      </c>
      <c r="F1543" s="44" t="s">
        <v>3</v>
      </c>
      <c r="G1543" s="43" t="str">
        <f>IFERROR(VLOOKUP(A1543,'[1]MC Masterlist 2026-09-12'!$B:$M, 3, 0),"")</f>
        <v>HONDA</v>
      </c>
      <c r="H1543" s="45">
        <f>IFERROR(VLOOKUP(A1543,'[1]MC Masterlist 2026-09-12'!$B:$M, 6, 0),"")</f>
        <v>70998</v>
      </c>
      <c r="I1543" s="46">
        <v>1</v>
      </c>
      <c r="J1543" s="46">
        <v>0</v>
      </c>
      <c r="K1543" s="46">
        <v>0</v>
      </c>
      <c r="L1543" s="46">
        <f t="shared" si="360"/>
        <v>1</v>
      </c>
      <c r="M1543" s="46">
        <f t="shared" si="361"/>
        <v>0.33333333333333331</v>
      </c>
      <c r="N1543" s="45">
        <f t="shared" si="362"/>
        <v>70998</v>
      </c>
      <c r="O1543" s="45">
        <f t="shared" si="363"/>
        <v>23666</v>
      </c>
      <c r="P1543" s="46">
        <f t="shared" si="364"/>
        <v>1.111111111111111E-2</v>
      </c>
      <c r="Q1543" s="46">
        <v>3</v>
      </c>
      <c r="R1543" s="45">
        <f t="shared" si="365"/>
        <v>212994</v>
      </c>
      <c r="S1543" s="46">
        <f t="shared" si="366"/>
        <v>270</v>
      </c>
      <c r="T1543" s="46">
        <f>IFERROR(VLOOKUP(A1543,'[1]Re-order'!$A:$Q,17,0),"")</f>
        <v>114.54545454545455</v>
      </c>
      <c r="U1543" s="46">
        <f>IFERROR(VLOOKUP(A1543,'[1]MC Masterlist 2026-09-12'!$B:$M, 10, 0),0)</f>
        <v>15</v>
      </c>
      <c r="V1543" s="46">
        <f>IFERROR(VLOOKUP(A1543,'[1]MC Masterlist 2026-09-12'!$B:$M, 11, 0),0)</f>
        <v>15</v>
      </c>
      <c r="W1543" s="46">
        <f t="shared" si="367"/>
        <v>30</v>
      </c>
      <c r="X1543" s="46">
        <f t="shared" si="368"/>
        <v>6.833333333333333</v>
      </c>
      <c r="Y1543" s="46">
        <f>IFERROR(IF(OR(C1543="AREA I",C1543="AREA V"),7,VLOOKUP(A1543,'[1]MC Masterlist 2026-09-12'!$B:$M, 12, 0)),0)</f>
        <v>7</v>
      </c>
      <c r="Z1543" s="46">
        <f t="shared" si="369"/>
        <v>0.16666666666666666</v>
      </c>
      <c r="AA1543" s="46">
        <f t="shared" si="370"/>
        <v>0.33333333333333331</v>
      </c>
      <c r="AB1543" s="46">
        <f t="shared" si="371"/>
        <v>7.5925925925925911E-2</v>
      </c>
      <c r="AC1543" s="46">
        <f t="shared" si="372"/>
        <v>7.7777777777777765E-2</v>
      </c>
      <c r="AD1543" s="44" t="str">
        <f t="shared" si="373"/>
        <v>Over</v>
      </c>
      <c r="AE1543" s="44" t="str">
        <f>IFERROR(VLOOKUP(A1543,'[1]Re-order'!$A:$AA,27,0),"")</f>
        <v>Over</v>
      </c>
      <c r="AF1543" s="46">
        <f t="shared" si="374"/>
        <v>-2.9222222222222221</v>
      </c>
      <c r="AG1543" s="46">
        <f>SUMIFS('[1]Raw Inventory'!D:D,'[1]Raw Inventory'!C:C,"GREATWALL",'[1]Raw Inventory'!B:B,A1543)</f>
        <v>0</v>
      </c>
      <c r="AH1543" s="46">
        <f>SUMIFS('[1]Raw Inventory'!D:D,'[1]Raw Inventory'!C:C,"DUARTE",'[1]Raw Inventory'!B:B,A1543)</f>
        <v>0</v>
      </c>
      <c r="AI1543" s="46"/>
      <c r="AJ1543" s="46"/>
      <c r="AK1543" s="43"/>
      <c r="AL1543" s="43"/>
      <c r="AM1543" s="43"/>
      <c r="AN1543" s="43"/>
      <c r="AO1543" s="43"/>
      <c r="AP1543" s="43"/>
      <c r="AQ1543" s="43"/>
      <c r="AR1543" s="43"/>
      <c r="AS1543" s="43"/>
      <c r="AT1543" s="43"/>
    </row>
    <row r="1544" spans="1:46">
      <c r="A1544" s="43" t="s">
        <v>76</v>
      </c>
      <c r="B1544" s="43" t="s">
        <v>121</v>
      </c>
      <c r="C1544" s="43" t="s">
        <v>118</v>
      </c>
      <c r="D1544" s="44" t="s">
        <v>256</v>
      </c>
      <c r="E1544" s="44">
        <v>15</v>
      </c>
      <c r="F1544" s="44" t="s">
        <v>2</v>
      </c>
      <c r="G1544" s="43" t="str">
        <f>IFERROR(VLOOKUP(A1544,'[1]MC Masterlist 2026-09-12'!$B:$M, 3, 0),"")</f>
        <v>SUZUKI</v>
      </c>
      <c r="H1544" s="45">
        <f>IFERROR(VLOOKUP(A1544,'[1]MC Masterlist 2026-09-12'!$B:$M, 6, 0),"")</f>
        <v>62692</v>
      </c>
      <c r="I1544" s="46">
        <v>0</v>
      </c>
      <c r="J1544" s="46">
        <v>2</v>
      </c>
      <c r="K1544" s="46">
        <v>2</v>
      </c>
      <c r="L1544" s="46">
        <f t="shared" si="360"/>
        <v>4</v>
      </c>
      <c r="M1544" s="46">
        <f t="shared" si="361"/>
        <v>1.3333333333333333</v>
      </c>
      <c r="N1544" s="45">
        <f t="shared" si="362"/>
        <v>250768</v>
      </c>
      <c r="O1544" s="45">
        <f t="shared" si="363"/>
        <v>83589.333333333328</v>
      </c>
      <c r="P1544" s="46">
        <f t="shared" si="364"/>
        <v>4.4444444444444439E-2</v>
      </c>
      <c r="Q1544" s="46"/>
      <c r="R1544" s="45">
        <f t="shared" si="365"/>
        <v>0</v>
      </c>
      <c r="S1544" s="46">
        <f t="shared" si="366"/>
        <v>0</v>
      </c>
      <c r="T1544" s="46">
        <f>IFERROR(VLOOKUP(A1544,'[1]Re-order'!$A:$Q,17,0),"")</f>
        <v>106.36363636363636</v>
      </c>
      <c r="U1544" s="46">
        <f>IFERROR(VLOOKUP(A1544,'[1]MC Masterlist 2026-09-12'!$B:$M, 10, 0),0)</f>
        <v>15</v>
      </c>
      <c r="V1544" s="46">
        <f>IFERROR(VLOOKUP(A1544,'[1]MC Masterlist 2026-09-12'!$B:$M, 11, 0),0)</f>
        <v>15</v>
      </c>
      <c r="W1544" s="46">
        <f t="shared" si="367"/>
        <v>30</v>
      </c>
      <c r="X1544" s="46">
        <f t="shared" si="368"/>
        <v>29.333333333333332</v>
      </c>
      <c r="Y1544" s="46">
        <f>IFERROR(IF(OR(C1544="AREA I",C1544="AREA V"),7,VLOOKUP(A1544,'[1]MC Masterlist 2026-09-12'!$B:$M, 12, 0)),0)</f>
        <v>30</v>
      </c>
      <c r="Z1544" s="46">
        <f t="shared" si="369"/>
        <v>0.66666666666666663</v>
      </c>
      <c r="AA1544" s="46">
        <f t="shared" si="370"/>
        <v>1.3333333333333333</v>
      </c>
      <c r="AB1544" s="46">
        <f t="shared" si="371"/>
        <v>1.3037037037037036</v>
      </c>
      <c r="AC1544" s="46">
        <f t="shared" si="372"/>
        <v>1.3333333333333333</v>
      </c>
      <c r="AD1544" s="44" t="str">
        <f t="shared" si="373"/>
        <v>Stockout</v>
      </c>
      <c r="AE1544" s="44" t="str">
        <f>IFERROR(VLOOKUP(A1544,'[1]Re-order'!$A:$AA,27,0),"")</f>
        <v>Over</v>
      </c>
      <c r="AF1544" s="46">
        <f t="shared" si="374"/>
        <v>1.3333333333333333</v>
      </c>
      <c r="AG1544" s="46">
        <f>SUMIFS('[1]Raw Inventory'!D:D,'[1]Raw Inventory'!C:C,"GREATWALL",'[1]Raw Inventory'!B:B,A1544)</f>
        <v>1</v>
      </c>
      <c r="AH1544" s="46">
        <f>SUMIFS('[1]Raw Inventory'!D:D,'[1]Raw Inventory'!C:C,"DUARTE",'[1]Raw Inventory'!B:B,A1544)</f>
        <v>0</v>
      </c>
      <c r="AI1544" s="46"/>
      <c r="AJ1544" s="46"/>
      <c r="AK1544" s="43"/>
      <c r="AL1544" s="43"/>
      <c r="AM1544" s="43"/>
      <c r="AN1544" s="43"/>
      <c r="AO1544" s="43"/>
      <c r="AP1544" s="43"/>
      <c r="AQ1544" s="43"/>
      <c r="AR1544" s="43"/>
      <c r="AS1544" s="43"/>
      <c r="AT1544" s="43"/>
    </row>
    <row r="1545" spans="1:46">
      <c r="A1545" s="43" t="s">
        <v>31</v>
      </c>
      <c r="B1545" s="43" t="s">
        <v>131</v>
      </c>
      <c r="C1545" s="43" t="s">
        <v>128</v>
      </c>
      <c r="D1545" s="44" t="s">
        <v>256</v>
      </c>
      <c r="E1545" s="44">
        <v>12</v>
      </c>
      <c r="F1545" s="44" t="s">
        <v>2</v>
      </c>
      <c r="G1545" s="43" t="str">
        <f>IFERROR(VLOOKUP(A1545,'[1]MC Masterlist 2026-09-12'!$B:$M, 3, 0),"")</f>
        <v>KAWASAKI</v>
      </c>
      <c r="H1545" s="45">
        <f>IFERROR(VLOOKUP(A1545,'[1]MC Masterlist 2026-09-12'!$B:$M, 6, 0),"")</f>
        <v>59528</v>
      </c>
      <c r="I1545" s="46">
        <v>4</v>
      </c>
      <c r="J1545" s="46">
        <v>0</v>
      </c>
      <c r="K1545" s="46">
        <v>1</v>
      </c>
      <c r="L1545" s="46">
        <f t="shared" si="360"/>
        <v>5</v>
      </c>
      <c r="M1545" s="46">
        <f t="shared" si="361"/>
        <v>1.6666666666666667</v>
      </c>
      <c r="N1545" s="45">
        <f t="shared" si="362"/>
        <v>297640</v>
      </c>
      <c r="O1545" s="45">
        <f t="shared" si="363"/>
        <v>99213.333333333343</v>
      </c>
      <c r="P1545" s="46">
        <f t="shared" si="364"/>
        <v>5.5555555555555559E-2</v>
      </c>
      <c r="Q1545" s="46">
        <v>1</v>
      </c>
      <c r="R1545" s="45">
        <f t="shared" si="365"/>
        <v>59528</v>
      </c>
      <c r="S1545" s="46">
        <f t="shared" si="366"/>
        <v>18</v>
      </c>
      <c r="T1545" s="46">
        <f>IFERROR(VLOOKUP(A1545,'[1]Re-order'!$A:$Q,17,0),"")</f>
        <v>95.869565217391298</v>
      </c>
      <c r="U1545" s="46">
        <f>IFERROR(VLOOKUP(A1545,'[1]MC Masterlist 2026-09-12'!$B:$M, 10, 0),0)</f>
        <v>15</v>
      </c>
      <c r="V1545" s="46">
        <f>IFERROR(VLOOKUP(A1545,'[1]MC Masterlist 2026-09-12'!$B:$M, 11, 0),0)</f>
        <v>15</v>
      </c>
      <c r="W1545" s="46">
        <f t="shared" si="367"/>
        <v>30</v>
      </c>
      <c r="X1545" s="46">
        <f t="shared" si="368"/>
        <v>29.166666666666668</v>
      </c>
      <c r="Y1545" s="46">
        <f>IFERROR(IF(OR(C1545="AREA I",C1545="AREA V"),7,VLOOKUP(A1545,'[1]MC Masterlist 2026-09-12'!$B:$M, 12, 0)),0)</f>
        <v>30</v>
      </c>
      <c r="Z1545" s="46">
        <f t="shared" si="369"/>
        <v>0.83333333333333337</v>
      </c>
      <c r="AA1545" s="46">
        <f t="shared" si="370"/>
        <v>1.6666666666666667</v>
      </c>
      <c r="AB1545" s="46">
        <f t="shared" si="371"/>
        <v>1.6203703703703705</v>
      </c>
      <c r="AC1545" s="46">
        <f t="shared" si="372"/>
        <v>1.6666666666666667</v>
      </c>
      <c r="AD1545" s="44" t="str">
        <f t="shared" si="373"/>
        <v>Re-order</v>
      </c>
      <c r="AE1545" s="44" t="str">
        <f>IFERROR(VLOOKUP(A1545,'[1]Re-order'!$A:$AA,27,0),"")</f>
        <v>Over</v>
      </c>
      <c r="AF1545" s="46">
        <f t="shared" si="374"/>
        <v>0.66666666666666674</v>
      </c>
      <c r="AG1545" s="46">
        <f>SUMIFS('[1]Raw Inventory'!D:D,'[1]Raw Inventory'!C:C,"GREATWALL",'[1]Raw Inventory'!B:B,A1545)</f>
        <v>79</v>
      </c>
      <c r="AH1545" s="46">
        <f>SUMIFS('[1]Raw Inventory'!D:D,'[1]Raw Inventory'!C:C,"DUARTE",'[1]Raw Inventory'!B:B,A1545)</f>
        <v>0</v>
      </c>
      <c r="AI1545" s="46"/>
      <c r="AJ1545" s="46"/>
      <c r="AK1545" s="43"/>
      <c r="AL1545" s="43"/>
      <c r="AM1545" s="43"/>
      <c r="AN1545" s="43"/>
      <c r="AO1545" s="43"/>
      <c r="AP1545" s="43"/>
      <c r="AQ1545" s="43"/>
      <c r="AR1545" s="43"/>
      <c r="AS1545" s="43"/>
      <c r="AT1545" s="43"/>
    </row>
    <row r="1546" spans="1:46">
      <c r="A1546" s="43" t="s">
        <v>20</v>
      </c>
      <c r="B1546" s="43" t="s">
        <v>98</v>
      </c>
      <c r="C1546" s="43" t="s">
        <v>90</v>
      </c>
      <c r="D1546" s="44" t="s">
        <v>236</v>
      </c>
      <c r="E1546" s="44">
        <v>8</v>
      </c>
      <c r="F1546" s="44" t="s">
        <v>2</v>
      </c>
      <c r="G1546" s="43" t="str">
        <f>IFERROR(VLOOKUP(A1546,'[1]MC Masterlist 2026-09-12'!$B:$M, 3, 0),"")</f>
        <v>HONDA</v>
      </c>
      <c r="H1546" s="45">
        <f>IFERROR(VLOOKUP(A1546,'[1]MC Masterlist 2026-09-12'!$B:$M, 6, 0),"")</f>
        <v>69950</v>
      </c>
      <c r="I1546" s="46">
        <v>5</v>
      </c>
      <c r="J1546" s="46">
        <v>0</v>
      </c>
      <c r="K1546" s="46">
        <v>1</v>
      </c>
      <c r="L1546" s="46">
        <f t="shared" si="360"/>
        <v>6</v>
      </c>
      <c r="M1546" s="46">
        <f t="shared" si="361"/>
        <v>2</v>
      </c>
      <c r="N1546" s="45">
        <f t="shared" si="362"/>
        <v>419700</v>
      </c>
      <c r="O1546" s="45">
        <f t="shared" si="363"/>
        <v>139900</v>
      </c>
      <c r="P1546" s="46">
        <f t="shared" si="364"/>
        <v>6.6666666666666666E-2</v>
      </c>
      <c r="Q1546" s="46">
        <v>4</v>
      </c>
      <c r="R1546" s="45">
        <f t="shared" si="365"/>
        <v>279800</v>
      </c>
      <c r="S1546" s="46">
        <f t="shared" si="366"/>
        <v>60</v>
      </c>
      <c r="T1546" s="46">
        <f>IFERROR(VLOOKUP(A1546,'[1]Re-order'!$A:$Q,17,0),"")</f>
        <v>75.775862068965523</v>
      </c>
      <c r="U1546" s="46">
        <f>IFERROR(VLOOKUP(A1546,'[1]MC Masterlist 2026-09-12'!$B:$M, 10, 0),0)</f>
        <v>15</v>
      </c>
      <c r="V1546" s="46">
        <f>IFERROR(VLOOKUP(A1546,'[1]MC Masterlist 2026-09-12'!$B:$M, 11, 0),0)</f>
        <v>15</v>
      </c>
      <c r="W1546" s="46">
        <f t="shared" si="367"/>
        <v>30</v>
      </c>
      <c r="X1546" s="46">
        <f t="shared" si="368"/>
        <v>29</v>
      </c>
      <c r="Y1546" s="46">
        <f>IFERROR(IF(OR(C1546="AREA I",C1546="AREA V"),7,VLOOKUP(A1546,'[1]MC Masterlist 2026-09-12'!$B:$M, 12, 0)),0)</f>
        <v>30</v>
      </c>
      <c r="Z1546" s="46">
        <f t="shared" si="369"/>
        <v>1</v>
      </c>
      <c r="AA1546" s="46">
        <f t="shared" si="370"/>
        <v>2</v>
      </c>
      <c r="AB1546" s="46">
        <f t="shared" si="371"/>
        <v>1.9333333333333333</v>
      </c>
      <c r="AC1546" s="46">
        <f t="shared" si="372"/>
        <v>2</v>
      </c>
      <c r="AD1546" s="44" t="str">
        <f t="shared" si="373"/>
        <v>Over</v>
      </c>
      <c r="AE1546" s="44" t="str">
        <f>IFERROR(VLOOKUP(A1546,'[1]Re-order'!$A:$AA,27,0),"")</f>
        <v/>
      </c>
      <c r="AF1546" s="46">
        <f t="shared" si="374"/>
        <v>-2</v>
      </c>
      <c r="AG1546" s="46">
        <f>SUMIFS('[1]Raw Inventory'!D:D,'[1]Raw Inventory'!C:C,"GREATWALL",'[1]Raw Inventory'!B:B,A1546)</f>
        <v>110</v>
      </c>
      <c r="AH1546" s="46">
        <f>SUMIFS('[1]Raw Inventory'!D:D,'[1]Raw Inventory'!C:C,"DUARTE",'[1]Raw Inventory'!B:B,A1546)</f>
        <v>0</v>
      </c>
      <c r="AI1546" s="46"/>
      <c r="AJ1546" s="46"/>
      <c r="AK1546" s="43"/>
      <c r="AL1546" s="43"/>
      <c r="AM1546" s="43"/>
      <c r="AN1546" s="43"/>
      <c r="AO1546" s="43"/>
      <c r="AP1546" s="43"/>
      <c r="AQ1546" s="43"/>
      <c r="AR1546" s="43"/>
      <c r="AS1546" s="43"/>
      <c r="AT1546" s="43"/>
    </row>
    <row r="1547" spans="1:46">
      <c r="A1547" s="43" t="s">
        <v>23</v>
      </c>
      <c r="B1547" s="43" t="s">
        <v>111</v>
      </c>
      <c r="C1547" s="43" t="s">
        <v>109</v>
      </c>
      <c r="D1547" s="44" t="s">
        <v>227</v>
      </c>
      <c r="E1547" s="44">
        <v>1</v>
      </c>
      <c r="F1547" s="44" t="s">
        <v>0</v>
      </c>
      <c r="G1547" s="43" t="str">
        <f>IFERROR(VLOOKUP(A1547,'[1]MC Masterlist 2026-09-12'!$B:$M, 3, 0),"")</f>
        <v>KAWASAKI</v>
      </c>
      <c r="H1547" s="45">
        <f>IFERROR(VLOOKUP(A1547,'[1]MC Masterlist 2026-09-12'!$B:$M, 6, 0),"")</f>
        <v>60656</v>
      </c>
      <c r="I1547" s="46">
        <v>30</v>
      </c>
      <c r="J1547" s="46">
        <v>22</v>
      </c>
      <c r="K1547" s="46">
        <v>16</v>
      </c>
      <c r="L1547" s="46">
        <f t="shared" si="360"/>
        <v>68</v>
      </c>
      <c r="M1547" s="46">
        <f t="shared" si="361"/>
        <v>22.666666666666668</v>
      </c>
      <c r="N1547" s="45">
        <f t="shared" si="362"/>
        <v>4124608</v>
      </c>
      <c r="O1547" s="45">
        <f t="shared" si="363"/>
        <v>1374869.3333333335</v>
      </c>
      <c r="P1547" s="46">
        <f t="shared" si="364"/>
        <v>0.75555555555555565</v>
      </c>
      <c r="Q1547" s="46">
        <v>53</v>
      </c>
      <c r="R1547" s="45">
        <f t="shared" si="365"/>
        <v>3214768</v>
      </c>
      <c r="S1547" s="46">
        <f t="shared" si="366"/>
        <v>70.147058823529406</v>
      </c>
      <c r="T1547" s="46">
        <f>IFERROR(VLOOKUP(A1547,'[1]Re-order'!$A:$Q,17,0),"")</f>
        <v>53.973412112259979</v>
      </c>
      <c r="U1547" s="46">
        <f>IFERROR(VLOOKUP(A1547,'[1]MC Masterlist 2026-09-12'!$B:$M, 10, 0),0)</f>
        <v>15</v>
      </c>
      <c r="V1547" s="46">
        <f>IFERROR(VLOOKUP(A1547,'[1]MC Masterlist 2026-09-12'!$B:$M, 11, 0),0)</f>
        <v>15</v>
      </c>
      <c r="W1547" s="46">
        <f t="shared" si="367"/>
        <v>30</v>
      </c>
      <c r="X1547" s="46">
        <f t="shared" si="368"/>
        <v>18.666666666666664</v>
      </c>
      <c r="Y1547" s="46">
        <f>IFERROR(IF(OR(C1547="AREA I",C1547="AREA V"),7,VLOOKUP(A1547,'[1]MC Masterlist 2026-09-12'!$B:$M, 12, 0)),0)</f>
        <v>30</v>
      </c>
      <c r="Z1547" s="46">
        <f t="shared" si="369"/>
        <v>11.333333333333334</v>
      </c>
      <c r="AA1547" s="46">
        <f t="shared" si="370"/>
        <v>22.666666666666668</v>
      </c>
      <c r="AB1547" s="46">
        <f t="shared" si="371"/>
        <v>14.103703703703703</v>
      </c>
      <c r="AC1547" s="46">
        <f t="shared" si="372"/>
        <v>22.666666666666668</v>
      </c>
      <c r="AD1547" s="44" t="str">
        <f t="shared" si="373"/>
        <v>Over</v>
      </c>
      <c r="AE1547" s="44" t="str">
        <f>IFERROR(VLOOKUP(A1547,'[1]Re-order'!$A:$AA,27,0),"")</f>
        <v>Re-order</v>
      </c>
      <c r="AF1547" s="46">
        <f t="shared" si="374"/>
        <v>-30.333333333333332</v>
      </c>
      <c r="AG1547" s="46">
        <f>SUMIFS('[1]Raw Inventory'!D:D,'[1]Raw Inventory'!C:C,"GREATWALL",'[1]Raw Inventory'!B:B,A1547)</f>
        <v>282</v>
      </c>
      <c r="AH1547" s="46">
        <f>SUMIFS('[1]Raw Inventory'!D:D,'[1]Raw Inventory'!C:C,"DUARTE",'[1]Raw Inventory'!B:B,A1547)</f>
        <v>0</v>
      </c>
      <c r="AI1547" s="46"/>
      <c r="AJ1547" s="46"/>
      <c r="AK1547" s="43"/>
      <c r="AL1547" s="43"/>
      <c r="AM1547" s="43"/>
      <c r="AN1547" s="43"/>
      <c r="AO1547" s="43"/>
      <c r="AP1547" s="43"/>
      <c r="AQ1547" s="43"/>
      <c r="AR1547" s="43"/>
      <c r="AS1547" s="43"/>
      <c r="AT1547" s="43"/>
    </row>
    <row r="1548" spans="1:46">
      <c r="A1548" s="43" t="s">
        <v>18</v>
      </c>
      <c r="B1548" s="43" t="s">
        <v>154</v>
      </c>
      <c r="C1548" s="43" t="s">
        <v>152</v>
      </c>
      <c r="D1548" s="44" t="s">
        <v>262</v>
      </c>
      <c r="E1548" s="44">
        <v>14</v>
      </c>
      <c r="F1548" s="44" t="s">
        <v>2</v>
      </c>
      <c r="G1548" s="43" t="str">
        <f>IFERROR(VLOOKUP(A1548,'[1]MC Masterlist 2026-09-12'!$B:$M, 3, 0),"")</f>
        <v>HONDA</v>
      </c>
      <c r="H1548" s="45">
        <f>IFERROR(VLOOKUP(A1548,'[1]MC Masterlist 2026-09-12'!$B:$M, 6, 0),"")</f>
        <v>94330</v>
      </c>
      <c r="I1548" s="46">
        <v>2</v>
      </c>
      <c r="J1548" s="46">
        <v>0</v>
      </c>
      <c r="K1548" s="46">
        <v>0</v>
      </c>
      <c r="L1548" s="46">
        <f t="shared" si="360"/>
        <v>2</v>
      </c>
      <c r="M1548" s="46">
        <f t="shared" si="361"/>
        <v>0.66666666666666663</v>
      </c>
      <c r="N1548" s="45">
        <f t="shared" si="362"/>
        <v>188660</v>
      </c>
      <c r="O1548" s="45">
        <f t="shared" si="363"/>
        <v>62886.666666666664</v>
      </c>
      <c r="P1548" s="46">
        <f t="shared" si="364"/>
        <v>2.222222222222222E-2</v>
      </c>
      <c r="Q1548" s="46">
        <v>1</v>
      </c>
      <c r="R1548" s="45">
        <f t="shared" si="365"/>
        <v>94330</v>
      </c>
      <c r="S1548" s="46">
        <f t="shared" si="366"/>
        <v>45</v>
      </c>
      <c r="T1548" s="46">
        <f>IFERROR(VLOOKUP(A1548,'[1]Re-order'!$A:$Q,17,0),"")</f>
        <v>113.9644970414201</v>
      </c>
      <c r="U1548" s="46">
        <f>IFERROR(VLOOKUP(A1548,'[1]MC Masterlist 2026-09-12'!$B:$M, 10, 0),0)</f>
        <v>15</v>
      </c>
      <c r="V1548" s="46">
        <f>IFERROR(VLOOKUP(A1548,'[1]MC Masterlist 2026-09-12'!$B:$M, 11, 0),0)</f>
        <v>15</v>
      </c>
      <c r="W1548" s="46">
        <f t="shared" si="367"/>
        <v>30</v>
      </c>
      <c r="X1548" s="46">
        <f t="shared" si="368"/>
        <v>29.666666666666668</v>
      </c>
      <c r="Y1548" s="46">
        <f>IFERROR(IF(OR(C1548="AREA I",C1548="AREA V"),7,VLOOKUP(A1548,'[1]MC Masterlist 2026-09-12'!$B:$M, 12, 0)),0)</f>
        <v>30</v>
      </c>
      <c r="Z1548" s="46">
        <f t="shared" si="369"/>
        <v>0.33333333333333331</v>
      </c>
      <c r="AA1548" s="46">
        <f t="shared" si="370"/>
        <v>0.66666666666666663</v>
      </c>
      <c r="AB1548" s="46">
        <f t="shared" si="371"/>
        <v>0.65925925925925921</v>
      </c>
      <c r="AC1548" s="46">
        <f t="shared" si="372"/>
        <v>0.66666666666666663</v>
      </c>
      <c r="AD1548" s="44" t="str">
        <f t="shared" si="373"/>
        <v>Over</v>
      </c>
      <c r="AE1548" s="44" t="str">
        <f>IFERROR(VLOOKUP(A1548,'[1]Re-order'!$A:$AA,27,0),"")</f>
        <v>Over</v>
      </c>
      <c r="AF1548" s="46">
        <f t="shared" si="374"/>
        <v>-0.33333333333333337</v>
      </c>
      <c r="AG1548" s="46">
        <f>SUMIFS('[1]Raw Inventory'!D:D,'[1]Raw Inventory'!C:C,"GREATWALL",'[1]Raw Inventory'!B:B,A1548)</f>
        <v>88</v>
      </c>
      <c r="AH1548" s="46">
        <f>SUMIFS('[1]Raw Inventory'!D:D,'[1]Raw Inventory'!C:C,"DUARTE",'[1]Raw Inventory'!B:B,A1548)</f>
        <v>0</v>
      </c>
      <c r="AI1548" s="46"/>
      <c r="AJ1548" s="46"/>
      <c r="AK1548" s="43"/>
      <c r="AL1548" s="43"/>
      <c r="AM1548" s="43"/>
      <c r="AN1548" s="43"/>
      <c r="AO1548" s="43"/>
      <c r="AP1548" s="43"/>
      <c r="AQ1548" s="43"/>
      <c r="AR1548" s="43"/>
      <c r="AS1548" s="43"/>
      <c r="AT1548" s="43"/>
    </row>
    <row r="1549" spans="1:46">
      <c r="A1549" s="43" t="s">
        <v>82</v>
      </c>
      <c r="B1549" s="43" t="s">
        <v>138</v>
      </c>
      <c r="C1549" s="43" t="s">
        <v>137</v>
      </c>
      <c r="D1549" s="44" t="s">
        <v>242</v>
      </c>
      <c r="E1549" s="44">
        <v>30</v>
      </c>
      <c r="F1549" s="44" t="s">
        <v>3</v>
      </c>
      <c r="G1549" s="43" t="str">
        <f>IFERROR(VLOOKUP(A1549,'[1]MC Masterlist 2026-09-12'!$B:$M, 3, 0),"")</f>
        <v>SUZUKI</v>
      </c>
      <c r="H1549" s="45">
        <f>IFERROR(VLOOKUP(A1549,'[1]MC Masterlist 2026-09-12'!$B:$M, 6, 0),"")</f>
        <v>67342</v>
      </c>
      <c r="I1549" s="46">
        <v>0</v>
      </c>
      <c r="J1549" s="46">
        <v>0</v>
      </c>
      <c r="K1549" s="46">
        <v>0</v>
      </c>
      <c r="L1549" s="46">
        <f t="shared" si="360"/>
        <v>0</v>
      </c>
      <c r="M1549" s="46">
        <f t="shared" si="361"/>
        <v>0</v>
      </c>
      <c r="N1549" s="45">
        <f t="shared" si="362"/>
        <v>0</v>
      </c>
      <c r="O1549" s="45">
        <f t="shared" si="363"/>
        <v>0</v>
      </c>
      <c r="P1549" s="46">
        <f t="shared" si="364"/>
        <v>0</v>
      </c>
      <c r="Q1549" s="46">
        <v>1</v>
      </c>
      <c r="R1549" s="45">
        <f t="shared" si="365"/>
        <v>67342</v>
      </c>
      <c r="S1549" s="46">
        <f t="shared" si="366"/>
        <v>0</v>
      </c>
      <c r="T1549" s="46">
        <f>IFERROR(VLOOKUP(A1549,'[1]Re-order'!$A:$Q,17,0),"")</f>
        <v>64.8</v>
      </c>
      <c r="U1549" s="46">
        <f>IFERROR(VLOOKUP(A1549,'[1]MC Masterlist 2026-09-12'!$B:$M, 10, 0),0)</f>
        <v>15</v>
      </c>
      <c r="V1549" s="46">
        <f>IFERROR(VLOOKUP(A1549,'[1]MC Masterlist 2026-09-12'!$B:$M, 11, 0),0)</f>
        <v>15</v>
      </c>
      <c r="W1549" s="46">
        <f t="shared" si="367"/>
        <v>30</v>
      </c>
      <c r="X1549" s="46">
        <f t="shared" si="368"/>
        <v>7</v>
      </c>
      <c r="Y1549" s="46">
        <f>IFERROR(IF(OR(C1549="AREA I",C1549="AREA V"),7,VLOOKUP(A1549,'[1]MC Masterlist 2026-09-12'!$B:$M, 12, 0)),0)</f>
        <v>7</v>
      </c>
      <c r="Z1549" s="46">
        <f t="shared" si="369"/>
        <v>0</v>
      </c>
      <c r="AA1549" s="46">
        <f t="shared" si="370"/>
        <v>0</v>
      </c>
      <c r="AB1549" s="46">
        <f t="shared" si="371"/>
        <v>0</v>
      </c>
      <c r="AC1549" s="46">
        <f t="shared" si="372"/>
        <v>0</v>
      </c>
      <c r="AD1549" s="44" t="str">
        <f t="shared" si="373"/>
        <v>Over</v>
      </c>
      <c r="AE1549" s="44" t="str">
        <f>IFERROR(VLOOKUP(A1549,'[1]Re-order'!$A:$AA,27,0),"")</f>
        <v>Re-order</v>
      </c>
      <c r="AF1549" s="46">
        <f t="shared" si="374"/>
        <v>-1</v>
      </c>
      <c r="AG1549" s="46">
        <f>SUMIFS('[1]Raw Inventory'!D:D,'[1]Raw Inventory'!C:C,"GREATWALL",'[1]Raw Inventory'!B:B,A1549)</f>
        <v>1</v>
      </c>
      <c r="AH1549" s="46">
        <f>SUMIFS('[1]Raw Inventory'!D:D,'[1]Raw Inventory'!C:C,"DUARTE",'[1]Raw Inventory'!B:B,A1549)</f>
        <v>0</v>
      </c>
      <c r="AI1549" s="46"/>
      <c r="AJ1549" s="46"/>
      <c r="AK1549" s="43"/>
      <c r="AL1549" s="43"/>
      <c r="AM1549" s="43"/>
      <c r="AN1549" s="43"/>
      <c r="AO1549" s="43"/>
      <c r="AP1549" s="43"/>
      <c r="AQ1549" s="43"/>
      <c r="AR1549" s="43"/>
      <c r="AS1549" s="43"/>
      <c r="AT1549" s="43"/>
    </row>
    <row r="1550" spans="1:46">
      <c r="A1550" s="43" t="s">
        <v>69</v>
      </c>
      <c r="B1550" s="43" t="s">
        <v>145</v>
      </c>
      <c r="C1550" s="43" t="s">
        <v>137</v>
      </c>
      <c r="D1550" s="44" t="s">
        <v>229</v>
      </c>
      <c r="E1550" s="44">
        <v>26</v>
      </c>
      <c r="F1550" s="44" t="s">
        <v>3</v>
      </c>
      <c r="G1550" s="43" t="str">
        <f>IFERROR(VLOOKUP(A1550,'[1]MC Masterlist 2026-09-12'!$B:$M, 3, 0),"")</f>
        <v>YAMAHA</v>
      </c>
      <c r="H1550" s="45">
        <f>IFERROR(VLOOKUP(A1550,'[1]MC Masterlist 2026-09-12'!$B:$M, 6, 0),"")</f>
        <v>54426</v>
      </c>
      <c r="I1550" s="46">
        <v>0</v>
      </c>
      <c r="J1550" s="46">
        <v>0</v>
      </c>
      <c r="K1550" s="46">
        <v>1</v>
      </c>
      <c r="L1550" s="46">
        <f t="shared" si="360"/>
        <v>1</v>
      </c>
      <c r="M1550" s="46">
        <f t="shared" si="361"/>
        <v>0.33333333333333331</v>
      </c>
      <c r="N1550" s="45">
        <f t="shared" si="362"/>
        <v>54426</v>
      </c>
      <c r="O1550" s="45">
        <f t="shared" si="363"/>
        <v>18142</v>
      </c>
      <c r="P1550" s="46">
        <f t="shared" si="364"/>
        <v>1.111111111111111E-2</v>
      </c>
      <c r="Q1550" s="46"/>
      <c r="R1550" s="45">
        <f t="shared" si="365"/>
        <v>0</v>
      </c>
      <c r="S1550" s="46">
        <f t="shared" si="366"/>
        <v>0</v>
      </c>
      <c r="T1550" s="46">
        <f>IFERROR(VLOOKUP(A1550,'[1]Re-order'!$A:$Q,17,0),"")</f>
        <v>62.307692307692314</v>
      </c>
      <c r="U1550" s="46">
        <f>IFERROR(VLOOKUP(A1550,'[1]MC Masterlist 2026-09-12'!$B:$M, 10, 0),0)</f>
        <v>15</v>
      </c>
      <c r="V1550" s="46">
        <f>IFERROR(VLOOKUP(A1550,'[1]MC Masterlist 2026-09-12'!$B:$M, 11, 0),0)</f>
        <v>15</v>
      </c>
      <c r="W1550" s="46">
        <f t="shared" si="367"/>
        <v>30</v>
      </c>
      <c r="X1550" s="46">
        <f t="shared" si="368"/>
        <v>6.833333333333333</v>
      </c>
      <c r="Y1550" s="46">
        <f>IFERROR(IF(OR(C1550="AREA I",C1550="AREA V"),7,VLOOKUP(A1550,'[1]MC Masterlist 2026-09-12'!$B:$M, 12, 0)),0)</f>
        <v>7</v>
      </c>
      <c r="Z1550" s="46">
        <f t="shared" si="369"/>
        <v>0.16666666666666666</v>
      </c>
      <c r="AA1550" s="46">
        <f t="shared" si="370"/>
        <v>0.33333333333333331</v>
      </c>
      <c r="AB1550" s="46">
        <f t="shared" si="371"/>
        <v>7.5925925925925911E-2</v>
      </c>
      <c r="AC1550" s="46">
        <f t="shared" si="372"/>
        <v>7.7777777777777765E-2</v>
      </c>
      <c r="AD1550" s="44" t="str">
        <f t="shared" si="373"/>
        <v>Stockout</v>
      </c>
      <c r="AE1550" s="44" t="str">
        <f>IFERROR(VLOOKUP(A1550,'[1]Re-order'!$A:$AA,27,0),"")</f>
        <v>Re-order</v>
      </c>
      <c r="AF1550" s="46">
        <f t="shared" si="374"/>
        <v>7.7777777777777765E-2</v>
      </c>
      <c r="AG1550" s="46">
        <f>SUMIFS('[1]Raw Inventory'!D:D,'[1]Raw Inventory'!C:C,"GREATWALL",'[1]Raw Inventory'!B:B,A1550)</f>
        <v>1</v>
      </c>
      <c r="AH1550" s="46">
        <f>SUMIFS('[1]Raw Inventory'!D:D,'[1]Raw Inventory'!C:C,"DUARTE",'[1]Raw Inventory'!B:B,A1550)</f>
        <v>0</v>
      </c>
      <c r="AI1550" s="46"/>
      <c r="AJ1550" s="46"/>
      <c r="AK1550" s="43"/>
      <c r="AL1550" s="43"/>
      <c r="AM1550" s="43"/>
      <c r="AN1550" s="43"/>
      <c r="AO1550" s="43"/>
      <c r="AP1550" s="43"/>
      <c r="AQ1550" s="43"/>
      <c r="AR1550" s="43"/>
      <c r="AS1550" s="43"/>
      <c r="AT1550" s="43"/>
    </row>
    <row r="1551" spans="1:46">
      <c r="A1551" s="43" t="s">
        <v>20</v>
      </c>
      <c r="B1551" s="43" t="s">
        <v>146</v>
      </c>
      <c r="C1551" s="43" t="s">
        <v>137</v>
      </c>
      <c r="D1551" s="44" t="s">
        <v>236</v>
      </c>
      <c r="E1551" s="44">
        <v>9</v>
      </c>
      <c r="F1551" s="44" t="s">
        <v>2</v>
      </c>
      <c r="G1551" s="43" t="str">
        <f>IFERROR(VLOOKUP(A1551,'[1]MC Masterlist 2026-09-12'!$B:$M, 3, 0),"")</f>
        <v>HONDA</v>
      </c>
      <c r="H1551" s="45">
        <f>IFERROR(VLOOKUP(A1551,'[1]MC Masterlist 2026-09-12'!$B:$M, 6, 0),"")</f>
        <v>69950</v>
      </c>
      <c r="I1551" s="46">
        <v>2</v>
      </c>
      <c r="J1551" s="46">
        <v>2</v>
      </c>
      <c r="K1551" s="46">
        <v>2</v>
      </c>
      <c r="L1551" s="46">
        <f t="shared" si="360"/>
        <v>6</v>
      </c>
      <c r="M1551" s="46">
        <f t="shared" si="361"/>
        <v>2</v>
      </c>
      <c r="N1551" s="45">
        <f t="shared" si="362"/>
        <v>419700</v>
      </c>
      <c r="O1551" s="45">
        <f t="shared" si="363"/>
        <v>139900</v>
      </c>
      <c r="P1551" s="46">
        <f t="shared" si="364"/>
        <v>6.6666666666666666E-2</v>
      </c>
      <c r="Q1551" s="46">
        <v>0</v>
      </c>
      <c r="R1551" s="45">
        <f t="shared" si="365"/>
        <v>0</v>
      </c>
      <c r="S1551" s="46">
        <f t="shared" si="366"/>
        <v>0</v>
      </c>
      <c r="T1551" s="46">
        <f>IFERROR(VLOOKUP(A1551,'[1]Re-order'!$A:$Q,17,0),"")</f>
        <v>75.775862068965523</v>
      </c>
      <c r="U1551" s="46">
        <f>IFERROR(VLOOKUP(A1551,'[1]MC Masterlist 2026-09-12'!$B:$M, 10, 0),0)</f>
        <v>15</v>
      </c>
      <c r="V1551" s="46">
        <f>IFERROR(VLOOKUP(A1551,'[1]MC Masterlist 2026-09-12'!$B:$M, 11, 0),0)</f>
        <v>15</v>
      </c>
      <c r="W1551" s="46">
        <f t="shared" si="367"/>
        <v>30</v>
      </c>
      <c r="X1551" s="46">
        <f t="shared" si="368"/>
        <v>6</v>
      </c>
      <c r="Y1551" s="46">
        <f>IFERROR(IF(OR(C1551="AREA I",C1551="AREA V"),7,VLOOKUP(A1551,'[1]MC Masterlist 2026-09-12'!$B:$M, 12, 0)),0)</f>
        <v>7</v>
      </c>
      <c r="Z1551" s="46">
        <f t="shared" si="369"/>
        <v>1</v>
      </c>
      <c r="AA1551" s="46">
        <f t="shared" si="370"/>
        <v>2</v>
      </c>
      <c r="AB1551" s="46">
        <f t="shared" si="371"/>
        <v>0.4</v>
      </c>
      <c r="AC1551" s="46">
        <f t="shared" si="372"/>
        <v>0.46666666666666667</v>
      </c>
      <c r="AD1551" s="44" t="str">
        <f t="shared" si="373"/>
        <v>Stockout</v>
      </c>
      <c r="AE1551" s="44" t="str">
        <f>IFERROR(VLOOKUP(A1551,'[1]Re-order'!$A:$AA,27,0),"")</f>
        <v/>
      </c>
      <c r="AF1551" s="46">
        <f t="shared" si="374"/>
        <v>0.46666666666666667</v>
      </c>
      <c r="AG1551" s="46">
        <f>SUMIFS('[1]Raw Inventory'!D:D,'[1]Raw Inventory'!C:C,"GREATWALL",'[1]Raw Inventory'!B:B,A1551)</f>
        <v>110</v>
      </c>
      <c r="AH1551" s="46">
        <f>SUMIFS('[1]Raw Inventory'!D:D,'[1]Raw Inventory'!C:C,"DUARTE",'[1]Raw Inventory'!B:B,A1551)</f>
        <v>0</v>
      </c>
      <c r="AI1551" s="46"/>
      <c r="AJ1551" s="46"/>
      <c r="AK1551" s="43"/>
      <c r="AL1551" s="43"/>
      <c r="AM1551" s="43"/>
      <c r="AN1551" s="43"/>
      <c r="AO1551" s="43"/>
      <c r="AP1551" s="43"/>
      <c r="AQ1551" s="43"/>
      <c r="AR1551" s="43"/>
      <c r="AS1551" s="43"/>
      <c r="AT1551" s="43"/>
    </row>
    <row r="1552" spans="1:46">
      <c r="A1552" s="43" t="s">
        <v>33</v>
      </c>
      <c r="B1552" s="43" t="s">
        <v>140</v>
      </c>
      <c r="C1552" s="43" t="s">
        <v>137</v>
      </c>
      <c r="D1552" s="44" t="s">
        <v>235</v>
      </c>
      <c r="E1552" s="44">
        <v>15</v>
      </c>
      <c r="F1552" s="44" t="s">
        <v>3</v>
      </c>
      <c r="G1552" s="43" t="str">
        <f>IFERROR(VLOOKUP(A1552,'[1]MC Masterlist 2026-09-12'!$B:$M, 3, 0),"")</f>
        <v>HONDA</v>
      </c>
      <c r="H1552" s="45">
        <f>IFERROR(VLOOKUP(A1552,'[1]MC Masterlist 2026-09-12'!$B:$M, 6, 0),"")</f>
        <v>251318</v>
      </c>
      <c r="I1552" s="46">
        <v>0</v>
      </c>
      <c r="J1552" s="46">
        <v>0</v>
      </c>
      <c r="K1552" s="46">
        <v>0</v>
      </c>
      <c r="L1552" s="46">
        <f t="shared" si="360"/>
        <v>0</v>
      </c>
      <c r="M1552" s="46">
        <f t="shared" si="361"/>
        <v>0</v>
      </c>
      <c r="N1552" s="45">
        <f t="shared" si="362"/>
        <v>0</v>
      </c>
      <c r="O1552" s="45">
        <f t="shared" si="363"/>
        <v>0</v>
      </c>
      <c r="P1552" s="46">
        <f t="shared" si="364"/>
        <v>0</v>
      </c>
      <c r="Q1552" s="46">
        <v>1</v>
      </c>
      <c r="R1552" s="45">
        <f t="shared" si="365"/>
        <v>251318</v>
      </c>
      <c r="S1552" s="46">
        <f t="shared" si="366"/>
        <v>0</v>
      </c>
      <c r="T1552" s="46">
        <f>IFERROR(VLOOKUP(A1552,'[1]Re-order'!$A:$Q,17,0),"")</f>
        <v>10.588235294117647</v>
      </c>
      <c r="U1552" s="46">
        <f>IFERROR(VLOOKUP(A1552,'[1]MC Masterlist 2026-09-12'!$B:$M, 10, 0),0)</f>
        <v>15</v>
      </c>
      <c r="V1552" s="46">
        <f>IFERROR(VLOOKUP(A1552,'[1]MC Masterlist 2026-09-12'!$B:$M, 11, 0),0)</f>
        <v>15</v>
      </c>
      <c r="W1552" s="46">
        <f t="shared" si="367"/>
        <v>30</v>
      </c>
      <c r="X1552" s="46">
        <f t="shared" si="368"/>
        <v>7</v>
      </c>
      <c r="Y1552" s="46">
        <f>IFERROR(IF(OR(C1552="AREA I",C1552="AREA V"),7,VLOOKUP(A1552,'[1]MC Masterlist 2026-09-12'!$B:$M, 12, 0)),0)</f>
        <v>7</v>
      </c>
      <c r="Z1552" s="46">
        <f t="shared" si="369"/>
        <v>0</v>
      </c>
      <c r="AA1552" s="46">
        <f t="shared" si="370"/>
        <v>0</v>
      </c>
      <c r="AB1552" s="46">
        <f t="shared" si="371"/>
        <v>0</v>
      </c>
      <c r="AC1552" s="46">
        <f t="shared" si="372"/>
        <v>0</v>
      </c>
      <c r="AD1552" s="44" t="str">
        <f t="shared" si="373"/>
        <v>Over</v>
      </c>
      <c r="AE1552" s="44" t="str">
        <f>IFERROR(VLOOKUP(A1552,'[1]Re-order'!$A:$AA,27,0),"")</f>
        <v>Stockout</v>
      </c>
      <c r="AF1552" s="46">
        <f t="shared" si="374"/>
        <v>-1</v>
      </c>
      <c r="AG1552" s="46">
        <f>SUMIFS('[1]Raw Inventory'!D:D,'[1]Raw Inventory'!C:C,"GREATWALL",'[1]Raw Inventory'!B:B,A1552)</f>
        <v>0</v>
      </c>
      <c r="AH1552" s="46">
        <f>SUMIFS('[1]Raw Inventory'!D:D,'[1]Raw Inventory'!C:C,"DUARTE",'[1]Raw Inventory'!B:B,A1552)</f>
        <v>0</v>
      </c>
      <c r="AI1552" s="46"/>
      <c r="AJ1552" s="46"/>
      <c r="AK1552" s="43"/>
      <c r="AL1552" s="43"/>
      <c r="AM1552" s="43"/>
      <c r="AN1552" s="43"/>
      <c r="AO1552" s="43"/>
      <c r="AP1552" s="43"/>
      <c r="AQ1552" s="43"/>
      <c r="AR1552" s="43"/>
      <c r="AS1552" s="43"/>
      <c r="AT1552" s="43"/>
    </row>
    <row r="1553" spans="1:46">
      <c r="A1553" s="43" t="s">
        <v>35</v>
      </c>
      <c r="B1553" s="43" t="s">
        <v>144</v>
      </c>
      <c r="C1553" s="43" t="s">
        <v>137</v>
      </c>
      <c r="D1553" s="44" t="s">
        <v>268</v>
      </c>
      <c r="E1553" s="44">
        <v>21</v>
      </c>
      <c r="F1553" s="44" t="s">
        <v>3</v>
      </c>
      <c r="G1553" s="43" t="str">
        <f>IFERROR(VLOOKUP(A1553,'[1]MC Masterlist 2026-09-12'!$B:$M, 3, 0),"")</f>
        <v>HONDA</v>
      </c>
      <c r="H1553" s="45">
        <f>IFERROR(VLOOKUP(A1553,'[1]MC Masterlist 2026-09-12'!$B:$M, 6, 0),"")</f>
        <v>57990</v>
      </c>
      <c r="I1553" s="46">
        <v>0</v>
      </c>
      <c r="J1553" s="46">
        <v>1</v>
      </c>
      <c r="K1553" s="46">
        <v>3</v>
      </c>
      <c r="L1553" s="46">
        <f t="shared" si="360"/>
        <v>4</v>
      </c>
      <c r="M1553" s="46">
        <f t="shared" si="361"/>
        <v>1.3333333333333333</v>
      </c>
      <c r="N1553" s="45">
        <f t="shared" si="362"/>
        <v>231960</v>
      </c>
      <c r="O1553" s="45">
        <f t="shared" si="363"/>
        <v>77320</v>
      </c>
      <c r="P1553" s="46">
        <f t="shared" si="364"/>
        <v>4.4444444444444439E-2</v>
      </c>
      <c r="Q1553" s="46">
        <v>1</v>
      </c>
      <c r="R1553" s="45">
        <f t="shared" si="365"/>
        <v>57990</v>
      </c>
      <c r="S1553" s="46">
        <f t="shared" si="366"/>
        <v>22.5</v>
      </c>
      <c r="T1553" s="46">
        <f>IFERROR(VLOOKUP(A1553,'[1]Re-order'!$A:$Q,17,0),"")</f>
        <v>68.275862068965523</v>
      </c>
      <c r="U1553" s="46">
        <f>IFERROR(VLOOKUP(A1553,'[1]MC Masterlist 2026-09-12'!$B:$M, 10, 0),0)</f>
        <v>15</v>
      </c>
      <c r="V1553" s="46">
        <f>IFERROR(VLOOKUP(A1553,'[1]MC Masterlist 2026-09-12'!$B:$M, 11, 0),0)</f>
        <v>15</v>
      </c>
      <c r="W1553" s="46">
        <f t="shared" si="367"/>
        <v>30</v>
      </c>
      <c r="X1553" s="46">
        <f t="shared" si="368"/>
        <v>6.333333333333333</v>
      </c>
      <c r="Y1553" s="46">
        <f>IFERROR(IF(OR(C1553="AREA I",C1553="AREA V"),7,VLOOKUP(A1553,'[1]MC Masterlist 2026-09-12'!$B:$M, 12, 0)),0)</f>
        <v>7</v>
      </c>
      <c r="Z1553" s="46">
        <f t="shared" si="369"/>
        <v>0.66666666666666663</v>
      </c>
      <c r="AA1553" s="46">
        <f t="shared" si="370"/>
        <v>1.3333333333333333</v>
      </c>
      <c r="AB1553" s="46">
        <f t="shared" si="371"/>
        <v>0.28148148148148144</v>
      </c>
      <c r="AC1553" s="46">
        <f t="shared" si="372"/>
        <v>0.31111111111111106</v>
      </c>
      <c r="AD1553" s="44" t="str">
        <f t="shared" si="373"/>
        <v>Over</v>
      </c>
      <c r="AE1553" s="44" t="str">
        <f>IFERROR(VLOOKUP(A1553,'[1]Re-order'!$A:$AA,27,0),"")</f>
        <v>Re-order</v>
      </c>
      <c r="AF1553" s="46">
        <f t="shared" si="374"/>
        <v>-0.68888888888888888</v>
      </c>
      <c r="AG1553" s="46">
        <f>SUMIFS('[1]Raw Inventory'!D:D,'[1]Raw Inventory'!C:C,"GREATWALL",'[1]Raw Inventory'!B:B,A1553)</f>
        <v>29</v>
      </c>
      <c r="AH1553" s="46">
        <f>SUMIFS('[1]Raw Inventory'!D:D,'[1]Raw Inventory'!C:C,"DUARTE",'[1]Raw Inventory'!B:B,A1553)</f>
        <v>0</v>
      </c>
      <c r="AI1553" s="46"/>
      <c r="AJ1553" s="46"/>
      <c r="AK1553" s="43"/>
      <c r="AL1553" s="43"/>
      <c r="AM1553" s="43"/>
      <c r="AN1553" s="43"/>
      <c r="AO1553" s="43"/>
      <c r="AP1553" s="43"/>
      <c r="AQ1553" s="43"/>
      <c r="AR1553" s="43"/>
      <c r="AS1553" s="43"/>
      <c r="AT1553" s="43"/>
    </row>
    <row r="1554" spans="1:46">
      <c r="A1554" s="43" t="s">
        <v>64</v>
      </c>
      <c r="B1554" s="43" t="s">
        <v>120</v>
      </c>
      <c r="C1554" s="43" t="s">
        <v>118</v>
      </c>
      <c r="D1554" s="44" t="s">
        <v>258</v>
      </c>
      <c r="E1554" s="44">
        <v>23</v>
      </c>
      <c r="F1554" s="44" t="s">
        <v>3</v>
      </c>
      <c r="G1554" s="43" t="str">
        <f>IFERROR(VLOOKUP(A1554,'[1]MC Masterlist 2026-09-12'!$B:$M, 3, 0),"")</f>
        <v>HONDA</v>
      </c>
      <c r="H1554" s="45">
        <f>IFERROR(VLOOKUP(A1554,'[1]MC Masterlist 2026-09-12'!$B:$M, 6, 0),"")</f>
        <v>73170</v>
      </c>
      <c r="I1554" s="46">
        <v>0</v>
      </c>
      <c r="J1554" s="46">
        <v>0</v>
      </c>
      <c r="K1554" s="46">
        <v>0</v>
      </c>
      <c r="L1554" s="46">
        <f t="shared" si="360"/>
        <v>0</v>
      </c>
      <c r="M1554" s="46">
        <f t="shared" si="361"/>
        <v>0</v>
      </c>
      <c r="N1554" s="45">
        <f t="shared" si="362"/>
        <v>0</v>
      </c>
      <c r="O1554" s="45">
        <f t="shared" si="363"/>
        <v>0</v>
      </c>
      <c r="P1554" s="46">
        <f t="shared" si="364"/>
        <v>0</v>
      </c>
      <c r="Q1554" s="46">
        <v>3</v>
      </c>
      <c r="R1554" s="45">
        <f t="shared" si="365"/>
        <v>219510</v>
      </c>
      <c r="S1554" s="46">
        <f t="shared" si="366"/>
        <v>0</v>
      </c>
      <c r="T1554" s="46">
        <f>IFERROR(VLOOKUP(A1554,'[1]Re-order'!$A:$Q,17,0),"")</f>
        <v>76.153846153846146</v>
      </c>
      <c r="U1554" s="46">
        <f>IFERROR(VLOOKUP(A1554,'[1]MC Masterlist 2026-09-12'!$B:$M, 10, 0),0)</f>
        <v>15</v>
      </c>
      <c r="V1554" s="46">
        <f>IFERROR(VLOOKUP(A1554,'[1]MC Masterlist 2026-09-12'!$B:$M, 11, 0),0)</f>
        <v>15</v>
      </c>
      <c r="W1554" s="46">
        <f t="shared" si="367"/>
        <v>30</v>
      </c>
      <c r="X1554" s="46">
        <f t="shared" si="368"/>
        <v>30</v>
      </c>
      <c r="Y1554" s="46">
        <f>IFERROR(IF(OR(C1554="AREA I",C1554="AREA V"),7,VLOOKUP(A1554,'[1]MC Masterlist 2026-09-12'!$B:$M, 12, 0)),0)</f>
        <v>30</v>
      </c>
      <c r="Z1554" s="46">
        <f t="shared" si="369"/>
        <v>0</v>
      </c>
      <c r="AA1554" s="46">
        <f t="shared" si="370"/>
        <v>0</v>
      </c>
      <c r="AB1554" s="46">
        <f t="shared" si="371"/>
        <v>0</v>
      </c>
      <c r="AC1554" s="46">
        <f t="shared" si="372"/>
        <v>0</v>
      </c>
      <c r="AD1554" s="44" t="str">
        <f t="shared" si="373"/>
        <v>Over</v>
      </c>
      <c r="AE1554" s="44" t="str">
        <f>IFERROR(VLOOKUP(A1554,'[1]Re-order'!$A:$AA,27,0),"")</f>
        <v/>
      </c>
      <c r="AF1554" s="46">
        <f t="shared" si="374"/>
        <v>-3</v>
      </c>
      <c r="AG1554" s="46">
        <f>SUMIFS('[1]Raw Inventory'!D:D,'[1]Raw Inventory'!C:C,"GREATWALL",'[1]Raw Inventory'!B:B,A1554)</f>
        <v>13</v>
      </c>
      <c r="AH1554" s="46">
        <f>SUMIFS('[1]Raw Inventory'!D:D,'[1]Raw Inventory'!C:C,"DUARTE",'[1]Raw Inventory'!B:B,A1554)</f>
        <v>0</v>
      </c>
      <c r="AI1554" s="46"/>
      <c r="AJ1554" s="46"/>
      <c r="AK1554" s="43"/>
      <c r="AL1554" s="43"/>
      <c r="AM1554" s="43"/>
      <c r="AN1554" s="43"/>
      <c r="AO1554" s="43"/>
      <c r="AP1554" s="43"/>
      <c r="AQ1554" s="43"/>
      <c r="AR1554" s="43"/>
      <c r="AS1554" s="43"/>
      <c r="AT1554" s="43"/>
    </row>
    <row r="1555" spans="1:46">
      <c r="A1555" s="43" t="s">
        <v>50</v>
      </c>
      <c r="B1555" s="43" t="s">
        <v>122</v>
      </c>
      <c r="C1555" s="43" t="s">
        <v>118</v>
      </c>
      <c r="D1555" s="44" t="s">
        <v>262</v>
      </c>
      <c r="E1555" s="44">
        <v>17</v>
      </c>
      <c r="F1555" s="44" t="s">
        <v>2</v>
      </c>
      <c r="G1555" s="43" t="str">
        <f>IFERROR(VLOOKUP(A1555,'[1]MC Masterlist 2026-09-12'!$B:$M, 3, 0),"")</f>
        <v>YAMAHA</v>
      </c>
      <c r="H1555" s="45">
        <f>IFERROR(VLOOKUP(A1555,'[1]MC Masterlist 2026-09-12'!$B:$M, 6, 0),"")</f>
        <v>78957</v>
      </c>
      <c r="I1555" s="46">
        <v>1</v>
      </c>
      <c r="J1555" s="46">
        <v>1</v>
      </c>
      <c r="K1555" s="46">
        <v>1</v>
      </c>
      <c r="L1555" s="46">
        <f t="shared" si="360"/>
        <v>3</v>
      </c>
      <c r="M1555" s="46">
        <f t="shared" si="361"/>
        <v>1</v>
      </c>
      <c r="N1555" s="45">
        <f t="shared" si="362"/>
        <v>236871</v>
      </c>
      <c r="O1555" s="45">
        <f t="shared" si="363"/>
        <v>78957</v>
      </c>
      <c r="P1555" s="46">
        <f t="shared" si="364"/>
        <v>3.3333333333333333E-2</v>
      </c>
      <c r="Q1555" s="46"/>
      <c r="R1555" s="45">
        <f t="shared" si="365"/>
        <v>0</v>
      </c>
      <c r="S1555" s="46">
        <f t="shared" si="366"/>
        <v>0</v>
      </c>
      <c r="T1555" s="46">
        <f>IFERROR(VLOOKUP(A1555,'[1]Re-order'!$A:$Q,17,0),"")</f>
        <v>118.125</v>
      </c>
      <c r="U1555" s="46">
        <f>IFERROR(VLOOKUP(A1555,'[1]MC Masterlist 2026-09-12'!$B:$M, 10, 0),0)</f>
        <v>15</v>
      </c>
      <c r="V1555" s="46">
        <f>IFERROR(VLOOKUP(A1555,'[1]MC Masterlist 2026-09-12'!$B:$M, 11, 0),0)</f>
        <v>15</v>
      </c>
      <c r="W1555" s="46">
        <f t="shared" si="367"/>
        <v>30</v>
      </c>
      <c r="X1555" s="46">
        <f t="shared" si="368"/>
        <v>29.5</v>
      </c>
      <c r="Y1555" s="46">
        <f>IFERROR(IF(OR(C1555="AREA I",C1555="AREA V"),7,VLOOKUP(A1555,'[1]MC Masterlist 2026-09-12'!$B:$M, 12, 0)),0)</f>
        <v>30</v>
      </c>
      <c r="Z1555" s="46">
        <f t="shared" si="369"/>
        <v>0.5</v>
      </c>
      <c r="AA1555" s="46">
        <f t="shared" si="370"/>
        <v>1</v>
      </c>
      <c r="AB1555" s="46">
        <f t="shared" si="371"/>
        <v>0.98333333333333328</v>
      </c>
      <c r="AC1555" s="46">
        <f t="shared" si="372"/>
        <v>1</v>
      </c>
      <c r="AD1555" s="44" t="str">
        <f t="shared" si="373"/>
        <v>Stockout</v>
      </c>
      <c r="AE1555" s="44" t="str">
        <f>IFERROR(VLOOKUP(A1555,'[1]Re-order'!$A:$AA,27,0),"")</f>
        <v>Over</v>
      </c>
      <c r="AF1555" s="46">
        <f t="shared" si="374"/>
        <v>1</v>
      </c>
      <c r="AG1555" s="46">
        <f>SUMIFS('[1]Raw Inventory'!D:D,'[1]Raw Inventory'!C:C,"GREATWALL",'[1]Raw Inventory'!B:B,A1555)</f>
        <v>23</v>
      </c>
      <c r="AH1555" s="46">
        <f>SUMIFS('[1]Raw Inventory'!D:D,'[1]Raw Inventory'!C:C,"DUARTE",'[1]Raw Inventory'!B:B,A1555)</f>
        <v>0</v>
      </c>
      <c r="AI1555" s="46"/>
      <c r="AJ1555" s="46"/>
      <c r="AK1555" s="43"/>
      <c r="AL1555" s="43"/>
      <c r="AM1555" s="43"/>
      <c r="AN1555" s="43"/>
      <c r="AO1555" s="43"/>
      <c r="AP1555" s="43"/>
      <c r="AQ1555" s="43"/>
      <c r="AR1555" s="43"/>
      <c r="AS1555" s="43"/>
      <c r="AT1555" s="43"/>
    </row>
    <row r="1556" spans="1:46">
      <c r="A1556" s="43" t="s">
        <v>22</v>
      </c>
      <c r="B1556" s="43" t="s">
        <v>160</v>
      </c>
      <c r="C1556" s="43" t="s">
        <v>159</v>
      </c>
      <c r="D1556" s="44" t="s">
        <v>259</v>
      </c>
      <c r="E1556" s="44">
        <v>5</v>
      </c>
      <c r="F1556" s="44" t="s">
        <v>0</v>
      </c>
      <c r="G1556" s="43" t="str">
        <f>IFERROR(VLOOKUP(A1556,'[1]MC Masterlist 2026-09-12'!$B:$M, 3, 0),"")</f>
        <v>HONDA</v>
      </c>
      <c r="H1556" s="45">
        <f>IFERROR(VLOOKUP(A1556,'[1]MC Masterlist 2026-09-12'!$B:$M, 6, 0),"")</f>
        <v>111258</v>
      </c>
      <c r="I1556" s="46">
        <v>2</v>
      </c>
      <c r="J1556" s="46">
        <v>3</v>
      </c>
      <c r="K1556" s="46">
        <v>0</v>
      </c>
      <c r="L1556" s="46">
        <f t="shared" si="360"/>
        <v>5</v>
      </c>
      <c r="M1556" s="46">
        <f t="shared" si="361"/>
        <v>1.6666666666666667</v>
      </c>
      <c r="N1556" s="45">
        <f t="shared" si="362"/>
        <v>556290</v>
      </c>
      <c r="O1556" s="45">
        <f t="shared" si="363"/>
        <v>185430</v>
      </c>
      <c r="P1556" s="46">
        <f t="shared" si="364"/>
        <v>5.5555555555555559E-2</v>
      </c>
      <c r="Q1556" s="46"/>
      <c r="R1556" s="45">
        <f t="shared" si="365"/>
        <v>0</v>
      </c>
      <c r="S1556" s="46">
        <f t="shared" si="366"/>
        <v>0</v>
      </c>
      <c r="T1556" s="46">
        <f>IFERROR(VLOOKUP(A1556,'[1]Re-order'!$A:$Q,17,0),"")</f>
        <v>41.339712918660283</v>
      </c>
      <c r="U1556" s="46">
        <f>IFERROR(VLOOKUP(A1556,'[1]MC Masterlist 2026-09-12'!$B:$M, 10, 0),0)</f>
        <v>15</v>
      </c>
      <c r="V1556" s="46">
        <f>IFERROR(VLOOKUP(A1556,'[1]MC Masterlist 2026-09-12'!$B:$M, 11, 0),0)</f>
        <v>15</v>
      </c>
      <c r="W1556" s="46">
        <f t="shared" si="367"/>
        <v>30</v>
      </c>
      <c r="X1556" s="46">
        <f t="shared" si="368"/>
        <v>29.166666666666668</v>
      </c>
      <c r="Y1556" s="46">
        <f>IFERROR(IF(OR(C1556="AREA I",C1556="AREA V"),7,VLOOKUP(A1556,'[1]MC Masterlist 2026-09-12'!$B:$M, 12, 0)),0)</f>
        <v>30</v>
      </c>
      <c r="Z1556" s="46">
        <f t="shared" si="369"/>
        <v>0.83333333333333337</v>
      </c>
      <c r="AA1556" s="46">
        <f t="shared" si="370"/>
        <v>1.6666666666666667</v>
      </c>
      <c r="AB1556" s="46">
        <f t="shared" si="371"/>
        <v>1.6203703703703705</v>
      </c>
      <c r="AC1556" s="46">
        <f t="shared" si="372"/>
        <v>1.6666666666666667</v>
      </c>
      <c r="AD1556" s="44" t="str">
        <f t="shared" si="373"/>
        <v>Stockout</v>
      </c>
      <c r="AE1556" s="44" t="str">
        <f>IFERROR(VLOOKUP(A1556,'[1]Re-order'!$A:$AA,27,0),"")</f>
        <v>Re-order</v>
      </c>
      <c r="AF1556" s="46">
        <f t="shared" si="374"/>
        <v>1.6666666666666667</v>
      </c>
      <c r="AG1556" s="46">
        <f>SUMIFS('[1]Raw Inventory'!D:D,'[1]Raw Inventory'!C:C,"GREATWALL",'[1]Raw Inventory'!B:B,A1556)</f>
        <v>4</v>
      </c>
      <c r="AH1556" s="46">
        <f>SUMIFS('[1]Raw Inventory'!D:D,'[1]Raw Inventory'!C:C,"DUARTE",'[1]Raw Inventory'!B:B,A1556)</f>
        <v>0</v>
      </c>
      <c r="AI1556" s="46"/>
      <c r="AJ1556" s="46"/>
      <c r="AK1556" s="43"/>
      <c r="AL1556" s="43"/>
      <c r="AM1556" s="43"/>
      <c r="AN1556" s="43"/>
      <c r="AO1556" s="43"/>
      <c r="AP1556" s="43"/>
      <c r="AQ1556" s="43"/>
      <c r="AR1556" s="43"/>
      <c r="AS1556" s="43"/>
      <c r="AT1556" s="43"/>
    </row>
    <row r="1557" spans="1:46">
      <c r="A1557" s="43" t="s">
        <v>87</v>
      </c>
      <c r="B1557" s="43" t="s">
        <v>140</v>
      </c>
      <c r="C1557" s="43" t="s">
        <v>137</v>
      </c>
      <c r="D1557" s="44" t="s">
        <v>257</v>
      </c>
      <c r="E1557" s="44">
        <v>15</v>
      </c>
      <c r="F1557" s="44" t="s">
        <v>3</v>
      </c>
      <c r="G1557" s="43" t="str">
        <f>IFERROR(VLOOKUP(A1557,'[1]MC Masterlist 2026-09-12'!$B:$M, 3, 0),"")</f>
        <v>HONDA</v>
      </c>
      <c r="H1557" s="45">
        <f>IFERROR(VLOOKUP(A1557,'[1]MC Masterlist 2026-09-12'!$B:$M, 6, 0),"")</f>
        <v>156098</v>
      </c>
      <c r="I1557" s="46">
        <v>0</v>
      </c>
      <c r="J1557" s="46">
        <v>0</v>
      </c>
      <c r="K1557" s="46">
        <v>0</v>
      </c>
      <c r="L1557" s="46">
        <f t="shared" si="360"/>
        <v>0</v>
      </c>
      <c r="M1557" s="46">
        <f t="shared" si="361"/>
        <v>0</v>
      </c>
      <c r="N1557" s="45">
        <f t="shared" si="362"/>
        <v>0</v>
      </c>
      <c r="O1557" s="45">
        <f t="shared" si="363"/>
        <v>0</v>
      </c>
      <c r="P1557" s="46">
        <f t="shared" si="364"/>
        <v>0</v>
      </c>
      <c r="Q1557" s="46">
        <v>2</v>
      </c>
      <c r="R1557" s="45">
        <f t="shared" si="365"/>
        <v>312196</v>
      </c>
      <c r="S1557" s="46">
        <f t="shared" si="366"/>
        <v>0</v>
      </c>
      <c r="T1557" s="46" t="str">
        <f>IFERROR(VLOOKUP(A1557,'[1]Re-order'!$A:$Q,17,0),"")</f>
        <v/>
      </c>
      <c r="U1557" s="46">
        <f>IFERROR(VLOOKUP(A1557,'[1]MC Masterlist 2026-09-12'!$B:$M, 10, 0),0)</f>
        <v>15</v>
      </c>
      <c r="V1557" s="46">
        <f>IFERROR(VLOOKUP(A1557,'[1]MC Masterlist 2026-09-12'!$B:$M, 11, 0),0)</f>
        <v>15</v>
      </c>
      <c r="W1557" s="46">
        <f t="shared" si="367"/>
        <v>30</v>
      </c>
      <c r="X1557" s="46">
        <f t="shared" si="368"/>
        <v>7</v>
      </c>
      <c r="Y1557" s="46">
        <f>IFERROR(IF(OR(C1557="AREA I",C1557="AREA V"),7,VLOOKUP(A1557,'[1]MC Masterlist 2026-09-12'!$B:$M, 12, 0)),0)</f>
        <v>7</v>
      </c>
      <c r="Z1557" s="46">
        <f t="shared" si="369"/>
        <v>0</v>
      </c>
      <c r="AA1557" s="46">
        <f t="shared" si="370"/>
        <v>0</v>
      </c>
      <c r="AB1557" s="46">
        <f t="shared" si="371"/>
        <v>0</v>
      </c>
      <c r="AC1557" s="46">
        <f t="shared" si="372"/>
        <v>0</v>
      </c>
      <c r="AD1557" s="44" t="str">
        <f t="shared" si="373"/>
        <v>Over</v>
      </c>
      <c r="AE1557" s="44" t="str">
        <f>IFERROR(VLOOKUP(A1557,'[1]Re-order'!$A:$AA,27,0),"")</f>
        <v>Over</v>
      </c>
      <c r="AF1557" s="46">
        <f t="shared" si="374"/>
        <v>-2</v>
      </c>
      <c r="AG1557" s="46">
        <f>SUMIFS('[1]Raw Inventory'!D:D,'[1]Raw Inventory'!C:C,"GREATWALL",'[1]Raw Inventory'!B:B,A1557)</f>
        <v>0</v>
      </c>
      <c r="AH1557" s="46">
        <f>SUMIFS('[1]Raw Inventory'!D:D,'[1]Raw Inventory'!C:C,"DUARTE",'[1]Raw Inventory'!B:B,A1557)</f>
        <v>0</v>
      </c>
      <c r="AI1557" s="46"/>
      <c r="AJ1557" s="46"/>
      <c r="AK1557" s="43"/>
      <c r="AL1557" s="43"/>
      <c r="AM1557" s="43"/>
      <c r="AN1557" s="43"/>
      <c r="AO1557" s="43"/>
      <c r="AP1557" s="43"/>
      <c r="AQ1557" s="43"/>
      <c r="AR1557" s="43"/>
      <c r="AS1557" s="43"/>
      <c r="AT1557" s="43"/>
    </row>
    <row r="1558" spans="1:46">
      <c r="A1558" s="43" t="s">
        <v>58</v>
      </c>
      <c r="B1558" s="43" t="s">
        <v>146</v>
      </c>
      <c r="C1558" s="43" t="s">
        <v>137</v>
      </c>
      <c r="D1558" s="44" t="s">
        <v>267</v>
      </c>
      <c r="E1558" s="44">
        <v>28</v>
      </c>
      <c r="F1558" s="44" t="s">
        <v>3</v>
      </c>
      <c r="G1558" s="43" t="str">
        <f>IFERROR(VLOOKUP(A1558,'[1]MC Masterlist 2026-09-12'!$B:$M, 3, 0),"")</f>
        <v>HONDA</v>
      </c>
      <c r="H1558" s="45">
        <f>IFERROR(VLOOKUP(A1558,'[1]MC Masterlist 2026-09-12'!$B:$M, 6, 0),"")</f>
        <v>142758</v>
      </c>
      <c r="I1558" s="46">
        <v>0</v>
      </c>
      <c r="J1558" s="46">
        <v>0</v>
      </c>
      <c r="K1558" s="46">
        <v>0</v>
      </c>
      <c r="L1558" s="46">
        <f t="shared" si="360"/>
        <v>0</v>
      </c>
      <c r="M1558" s="46">
        <f t="shared" si="361"/>
        <v>0</v>
      </c>
      <c r="N1558" s="45">
        <f t="shared" si="362"/>
        <v>0</v>
      </c>
      <c r="O1558" s="45">
        <f t="shared" si="363"/>
        <v>0</v>
      </c>
      <c r="P1558" s="46">
        <f t="shared" si="364"/>
        <v>0</v>
      </c>
      <c r="Q1558" s="46">
        <v>1</v>
      </c>
      <c r="R1558" s="45">
        <f t="shared" si="365"/>
        <v>142758</v>
      </c>
      <c r="S1558" s="46">
        <f t="shared" si="366"/>
        <v>0</v>
      </c>
      <c r="T1558" s="46">
        <f>IFERROR(VLOOKUP(A1558,'[1]Re-order'!$A:$Q,17,0),"")</f>
        <v>135</v>
      </c>
      <c r="U1558" s="46">
        <f>IFERROR(VLOOKUP(A1558,'[1]MC Masterlist 2026-09-12'!$B:$M, 10, 0),0)</f>
        <v>15</v>
      </c>
      <c r="V1558" s="46">
        <f>IFERROR(VLOOKUP(A1558,'[1]MC Masterlist 2026-09-12'!$B:$M, 11, 0),0)</f>
        <v>15</v>
      </c>
      <c r="W1558" s="46">
        <f t="shared" si="367"/>
        <v>30</v>
      </c>
      <c r="X1558" s="46">
        <f t="shared" si="368"/>
        <v>7</v>
      </c>
      <c r="Y1558" s="46">
        <f>IFERROR(IF(OR(C1558="AREA I",C1558="AREA V"),7,VLOOKUP(A1558,'[1]MC Masterlist 2026-09-12'!$B:$M, 12, 0)),0)</f>
        <v>7</v>
      </c>
      <c r="Z1558" s="46">
        <f t="shared" si="369"/>
        <v>0</v>
      </c>
      <c r="AA1558" s="46">
        <f t="shared" si="370"/>
        <v>0</v>
      </c>
      <c r="AB1558" s="46">
        <f t="shared" si="371"/>
        <v>0</v>
      </c>
      <c r="AC1558" s="46">
        <f t="shared" si="372"/>
        <v>0</v>
      </c>
      <c r="AD1558" s="44" t="str">
        <f t="shared" si="373"/>
        <v>Over</v>
      </c>
      <c r="AE1558" s="44" t="str">
        <f>IFERROR(VLOOKUP(A1558,'[1]Re-order'!$A:$AA,27,0),"")</f>
        <v>Over</v>
      </c>
      <c r="AF1558" s="46">
        <f t="shared" si="374"/>
        <v>-1</v>
      </c>
      <c r="AG1558" s="46">
        <f>SUMIFS('[1]Raw Inventory'!D:D,'[1]Raw Inventory'!C:C,"GREATWALL",'[1]Raw Inventory'!B:B,A1558)</f>
        <v>0</v>
      </c>
      <c r="AH1558" s="46">
        <f>SUMIFS('[1]Raw Inventory'!D:D,'[1]Raw Inventory'!C:C,"DUARTE",'[1]Raw Inventory'!B:B,A1558)</f>
        <v>0</v>
      </c>
      <c r="AI1558" s="46"/>
      <c r="AJ1558" s="46"/>
      <c r="AK1558" s="43"/>
      <c r="AL1558" s="43"/>
      <c r="AM1558" s="43"/>
      <c r="AN1558" s="43"/>
      <c r="AO1558" s="43"/>
      <c r="AP1558" s="43"/>
      <c r="AQ1558" s="43"/>
      <c r="AR1558" s="43"/>
      <c r="AS1558" s="43"/>
      <c r="AT1558" s="43"/>
    </row>
    <row r="1559" spans="1:46">
      <c r="A1559" s="43" t="s">
        <v>83</v>
      </c>
      <c r="B1559" s="43" t="s">
        <v>97</v>
      </c>
      <c r="C1559" s="43" t="s">
        <v>90</v>
      </c>
      <c r="D1559" s="44" t="s">
        <v>258</v>
      </c>
      <c r="E1559" s="44">
        <v>17</v>
      </c>
      <c r="F1559" s="44" t="s">
        <v>3</v>
      </c>
      <c r="G1559" s="43" t="str">
        <f>IFERROR(VLOOKUP(A1559,'[1]MC Masterlist 2026-09-12'!$B:$M, 3, 0),"")</f>
        <v>SKYGO</v>
      </c>
      <c r="H1559" s="45">
        <f>IFERROR(VLOOKUP(A1559,'[1]MC Masterlist 2026-09-12'!$B:$M, 6, 0),"")</f>
        <v>35055</v>
      </c>
      <c r="I1559" s="46">
        <v>0</v>
      </c>
      <c r="J1559" s="46">
        <v>0</v>
      </c>
      <c r="K1559" s="46">
        <v>0</v>
      </c>
      <c r="L1559" s="46">
        <f t="shared" si="360"/>
        <v>0</v>
      </c>
      <c r="M1559" s="46">
        <f t="shared" si="361"/>
        <v>0</v>
      </c>
      <c r="N1559" s="45">
        <f t="shared" si="362"/>
        <v>0</v>
      </c>
      <c r="O1559" s="45">
        <f t="shared" si="363"/>
        <v>0</v>
      </c>
      <c r="P1559" s="46">
        <f t="shared" si="364"/>
        <v>0</v>
      </c>
      <c r="Q1559" s="46">
        <v>1</v>
      </c>
      <c r="R1559" s="45">
        <f t="shared" si="365"/>
        <v>35055</v>
      </c>
      <c r="S1559" s="46">
        <f t="shared" si="366"/>
        <v>0</v>
      </c>
      <c r="T1559" s="46">
        <f>IFERROR(VLOOKUP(A1559,'[1]Re-order'!$A:$Q,17,0),"")</f>
        <v>313.2</v>
      </c>
      <c r="U1559" s="46">
        <f>IFERROR(VLOOKUP(A1559,'[1]MC Masterlist 2026-09-12'!$B:$M, 10, 0),0)</f>
        <v>15</v>
      </c>
      <c r="V1559" s="46">
        <f>IFERROR(VLOOKUP(A1559,'[1]MC Masterlist 2026-09-12'!$B:$M, 11, 0),0)</f>
        <v>15</v>
      </c>
      <c r="W1559" s="46">
        <f t="shared" si="367"/>
        <v>30</v>
      </c>
      <c r="X1559" s="46">
        <f t="shared" si="368"/>
        <v>30</v>
      </c>
      <c r="Y1559" s="46">
        <f>IFERROR(IF(OR(C1559="AREA I",C1559="AREA V"),7,VLOOKUP(A1559,'[1]MC Masterlist 2026-09-12'!$B:$M, 12, 0)),0)</f>
        <v>30</v>
      </c>
      <c r="Z1559" s="46">
        <f t="shared" si="369"/>
        <v>0</v>
      </c>
      <c r="AA1559" s="46">
        <f t="shared" si="370"/>
        <v>0</v>
      </c>
      <c r="AB1559" s="46">
        <f t="shared" si="371"/>
        <v>0</v>
      </c>
      <c r="AC1559" s="46">
        <f t="shared" si="372"/>
        <v>0</v>
      </c>
      <c r="AD1559" s="44" t="str">
        <f t="shared" si="373"/>
        <v>Over</v>
      </c>
      <c r="AE1559" s="44" t="str">
        <f>IFERROR(VLOOKUP(A1559,'[1]Re-order'!$A:$AA,27,0),"")</f>
        <v>Over</v>
      </c>
      <c r="AF1559" s="46">
        <f t="shared" si="374"/>
        <v>-1</v>
      </c>
      <c r="AG1559" s="46">
        <f>SUMIFS('[1]Raw Inventory'!D:D,'[1]Raw Inventory'!C:C,"GREATWALL",'[1]Raw Inventory'!B:B,A1559)</f>
        <v>33</v>
      </c>
      <c r="AH1559" s="46">
        <f>SUMIFS('[1]Raw Inventory'!D:D,'[1]Raw Inventory'!C:C,"DUARTE",'[1]Raw Inventory'!B:B,A1559)</f>
        <v>0</v>
      </c>
      <c r="AI1559" s="46"/>
      <c r="AJ1559" s="46"/>
      <c r="AK1559" s="43"/>
      <c r="AL1559" s="43"/>
      <c r="AM1559" s="43"/>
      <c r="AN1559" s="43"/>
      <c r="AO1559" s="43"/>
      <c r="AP1559" s="43"/>
      <c r="AQ1559" s="43"/>
      <c r="AR1559" s="43"/>
      <c r="AS1559" s="43"/>
      <c r="AT1559" s="43"/>
    </row>
    <row r="1560" spans="1:46">
      <c r="A1560" s="43" t="s">
        <v>52</v>
      </c>
      <c r="B1560" s="43" t="s">
        <v>129</v>
      </c>
      <c r="C1560" s="43" t="s">
        <v>128</v>
      </c>
      <c r="D1560" s="44" t="s">
        <v>232</v>
      </c>
      <c r="E1560" s="44">
        <v>24</v>
      </c>
      <c r="F1560" s="44" t="s">
        <v>3</v>
      </c>
      <c r="G1560" s="43" t="str">
        <f>IFERROR(VLOOKUP(A1560,'[1]MC Masterlist 2026-09-12'!$B:$M, 3, 0),"")</f>
        <v>YAMAHA</v>
      </c>
      <c r="H1560" s="45">
        <f>IFERROR(VLOOKUP(A1560,'[1]MC Masterlist 2026-09-12'!$B:$M, 6, 0),"")</f>
        <v>85446</v>
      </c>
      <c r="I1560" s="46">
        <v>0</v>
      </c>
      <c r="J1560" s="46">
        <v>0</v>
      </c>
      <c r="K1560" s="46">
        <v>0</v>
      </c>
      <c r="L1560" s="46">
        <f t="shared" si="360"/>
        <v>0</v>
      </c>
      <c r="M1560" s="46">
        <f t="shared" si="361"/>
        <v>0</v>
      </c>
      <c r="N1560" s="45">
        <f t="shared" si="362"/>
        <v>0</v>
      </c>
      <c r="O1560" s="45">
        <f t="shared" si="363"/>
        <v>0</v>
      </c>
      <c r="P1560" s="46">
        <f t="shared" si="364"/>
        <v>0</v>
      </c>
      <c r="Q1560" s="46">
        <v>1</v>
      </c>
      <c r="R1560" s="45">
        <f t="shared" si="365"/>
        <v>85446</v>
      </c>
      <c r="S1560" s="46">
        <f t="shared" si="366"/>
        <v>0</v>
      </c>
      <c r="T1560" s="46">
        <f>IFERROR(VLOOKUP(A1560,'[1]Re-order'!$A:$Q,17,0),"")</f>
        <v>95.454545454545453</v>
      </c>
      <c r="U1560" s="46">
        <f>IFERROR(VLOOKUP(A1560,'[1]MC Masterlist 2026-09-12'!$B:$M, 10, 0),0)</f>
        <v>15</v>
      </c>
      <c r="V1560" s="46">
        <f>IFERROR(VLOOKUP(A1560,'[1]MC Masterlist 2026-09-12'!$B:$M, 11, 0),0)</f>
        <v>15</v>
      </c>
      <c r="W1560" s="46">
        <f t="shared" si="367"/>
        <v>30</v>
      </c>
      <c r="X1560" s="46">
        <f t="shared" si="368"/>
        <v>30</v>
      </c>
      <c r="Y1560" s="46">
        <f>IFERROR(IF(OR(C1560="AREA I",C1560="AREA V"),7,VLOOKUP(A1560,'[1]MC Masterlist 2026-09-12'!$B:$M, 12, 0)),0)</f>
        <v>30</v>
      </c>
      <c r="Z1560" s="46">
        <f t="shared" si="369"/>
        <v>0</v>
      </c>
      <c r="AA1560" s="46">
        <f t="shared" si="370"/>
        <v>0</v>
      </c>
      <c r="AB1560" s="46">
        <f t="shared" si="371"/>
        <v>0</v>
      </c>
      <c r="AC1560" s="46">
        <f t="shared" si="372"/>
        <v>0</v>
      </c>
      <c r="AD1560" s="44" t="str">
        <f t="shared" si="373"/>
        <v>Over</v>
      </c>
      <c r="AE1560" s="44" t="str">
        <f>IFERROR(VLOOKUP(A1560,'[1]Re-order'!$A:$AA,27,0),"")</f>
        <v>Over</v>
      </c>
      <c r="AF1560" s="46">
        <f t="shared" si="374"/>
        <v>-1</v>
      </c>
      <c r="AG1560" s="46">
        <f>SUMIFS('[1]Raw Inventory'!D:D,'[1]Raw Inventory'!C:C,"GREATWALL",'[1]Raw Inventory'!B:B,A1560)</f>
        <v>0</v>
      </c>
      <c r="AH1560" s="46">
        <f>SUMIFS('[1]Raw Inventory'!D:D,'[1]Raw Inventory'!C:C,"DUARTE",'[1]Raw Inventory'!B:B,A1560)</f>
        <v>0</v>
      </c>
      <c r="AI1560" s="46"/>
      <c r="AJ1560" s="46"/>
      <c r="AK1560" s="43"/>
      <c r="AL1560" s="43"/>
      <c r="AM1560" s="43"/>
      <c r="AN1560" s="43"/>
      <c r="AO1560" s="43"/>
      <c r="AP1560" s="43"/>
      <c r="AQ1560" s="43"/>
      <c r="AR1560" s="43"/>
      <c r="AS1560" s="43"/>
      <c r="AT1560" s="43"/>
    </row>
    <row r="1561" spans="1:46">
      <c r="A1561" s="43" t="s">
        <v>25</v>
      </c>
      <c r="B1561" s="43" t="s">
        <v>115</v>
      </c>
      <c r="C1561" s="43" t="s">
        <v>109</v>
      </c>
      <c r="D1561" s="44" t="s">
        <v>241</v>
      </c>
      <c r="E1561" s="44">
        <v>22</v>
      </c>
      <c r="F1561" s="44" t="s">
        <v>3</v>
      </c>
      <c r="G1561" s="43" t="str">
        <f>IFERROR(VLOOKUP(A1561,'[1]MC Masterlist 2026-09-12'!$B:$M, 3, 0),"")</f>
        <v>YAMAHA</v>
      </c>
      <c r="H1561" s="45">
        <f>IFERROR(VLOOKUP(A1561,'[1]MC Masterlist 2026-09-12'!$B:$M, 6, 0),"")</f>
        <v>124527</v>
      </c>
      <c r="I1561" s="46">
        <v>0</v>
      </c>
      <c r="J1561" s="46">
        <v>0</v>
      </c>
      <c r="K1561" s="46">
        <v>1</v>
      </c>
      <c r="L1561" s="46">
        <f t="shared" si="360"/>
        <v>1</v>
      </c>
      <c r="M1561" s="46">
        <f t="shared" si="361"/>
        <v>0.33333333333333331</v>
      </c>
      <c r="N1561" s="45">
        <f t="shared" si="362"/>
        <v>124527</v>
      </c>
      <c r="O1561" s="45">
        <f t="shared" si="363"/>
        <v>41509</v>
      </c>
      <c r="P1561" s="46">
        <f t="shared" si="364"/>
        <v>1.111111111111111E-2</v>
      </c>
      <c r="Q1561" s="46"/>
      <c r="R1561" s="45">
        <f t="shared" si="365"/>
        <v>0</v>
      </c>
      <c r="S1561" s="46">
        <f t="shared" si="366"/>
        <v>0</v>
      </c>
      <c r="T1561" s="46">
        <f>IFERROR(VLOOKUP(A1561,'[1]Re-order'!$A:$Q,17,0),"")</f>
        <v>5.1030927835051543</v>
      </c>
      <c r="U1561" s="46">
        <f>IFERROR(VLOOKUP(A1561,'[1]MC Masterlist 2026-09-12'!$B:$M, 10, 0),0)</f>
        <v>15</v>
      </c>
      <c r="V1561" s="46">
        <f>IFERROR(VLOOKUP(A1561,'[1]MC Masterlist 2026-09-12'!$B:$M, 11, 0),0)</f>
        <v>15</v>
      </c>
      <c r="W1561" s="46">
        <f t="shared" si="367"/>
        <v>30</v>
      </c>
      <c r="X1561" s="46">
        <f t="shared" si="368"/>
        <v>29.833333333333332</v>
      </c>
      <c r="Y1561" s="46">
        <f>IFERROR(IF(OR(C1561="AREA I",C1561="AREA V"),7,VLOOKUP(A1561,'[1]MC Masterlist 2026-09-12'!$B:$M, 12, 0)),0)</f>
        <v>30</v>
      </c>
      <c r="Z1561" s="46">
        <f t="shared" si="369"/>
        <v>0.16666666666666666</v>
      </c>
      <c r="AA1561" s="46">
        <f t="shared" si="370"/>
        <v>0.33333333333333331</v>
      </c>
      <c r="AB1561" s="46">
        <f t="shared" si="371"/>
        <v>0.33148148148148143</v>
      </c>
      <c r="AC1561" s="46">
        <f t="shared" si="372"/>
        <v>0.33333333333333331</v>
      </c>
      <c r="AD1561" s="44" t="str">
        <f t="shared" si="373"/>
        <v>Stockout</v>
      </c>
      <c r="AE1561" s="44" t="str">
        <f>IFERROR(VLOOKUP(A1561,'[1]Re-order'!$A:$AA,27,0),"")</f>
        <v>Stockout</v>
      </c>
      <c r="AF1561" s="46">
        <f t="shared" si="374"/>
        <v>0.33333333333333331</v>
      </c>
      <c r="AG1561" s="46">
        <f>SUMIFS('[1]Raw Inventory'!D:D,'[1]Raw Inventory'!C:C,"GREATWALL",'[1]Raw Inventory'!B:B,A1561)</f>
        <v>1</v>
      </c>
      <c r="AH1561" s="46">
        <f>SUMIFS('[1]Raw Inventory'!D:D,'[1]Raw Inventory'!C:C,"DUARTE",'[1]Raw Inventory'!B:B,A1561)</f>
        <v>0</v>
      </c>
      <c r="AI1561" s="46"/>
      <c r="AJ1561" s="46"/>
      <c r="AK1561" s="43"/>
      <c r="AL1561" s="43"/>
      <c r="AM1561" s="43"/>
      <c r="AN1561" s="43"/>
      <c r="AO1561" s="43"/>
      <c r="AP1561" s="43"/>
      <c r="AQ1561" s="43"/>
      <c r="AR1561" s="43"/>
      <c r="AS1561" s="43"/>
      <c r="AT1561" s="43"/>
    </row>
    <row r="1562" spans="1:46">
      <c r="A1562" s="43" t="s">
        <v>14</v>
      </c>
      <c r="B1562" s="43" t="s">
        <v>139</v>
      </c>
      <c r="C1562" s="43" t="s">
        <v>137</v>
      </c>
      <c r="D1562" s="44" t="s">
        <v>225</v>
      </c>
      <c r="E1562" s="44">
        <v>3</v>
      </c>
      <c r="F1562" s="44" t="s">
        <v>0</v>
      </c>
      <c r="G1562" s="43" t="str">
        <f>IFERROR(VLOOKUP(A1562,'[1]MC Masterlist 2026-09-12'!$B:$M, 3, 0),"")</f>
        <v>HONDA</v>
      </c>
      <c r="H1562" s="45">
        <f>IFERROR(VLOOKUP(A1562,'[1]MC Masterlist 2026-09-12'!$B:$M, 6, 0),"")</f>
        <v>80070</v>
      </c>
      <c r="I1562" s="46">
        <v>14</v>
      </c>
      <c r="J1562" s="46">
        <v>7</v>
      </c>
      <c r="K1562" s="46">
        <v>12</v>
      </c>
      <c r="L1562" s="46">
        <f t="shared" si="360"/>
        <v>33</v>
      </c>
      <c r="M1562" s="46">
        <f t="shared" si="361"/>
        <v>11</v>
      </c>
      <c r="N1562" s="45">
        <f t="shared" si="362"/>
        <v>2642310</v>
      </c>
      <c r="O1562" s="45">
        <f t="shared" si="363"/>
        <v>880770</v>
      </c>
      <c r="P1562" s="46">
        <f t="shared" si="364"/>
        <v>0.36666666666666664</v>
      </c>
      <c r="Q1562" s="46">
        <v>11</v>
      </c>
      <c r="R1562" s="45">
        <f t="shared" si="365"/>
        <v>880770</v>
      </c>
      <c r="S1562" s="46">
        <f t="shared" si="366"/>
        <v>30</v>
      </c>
      <c r="T1562" s="46">
        <f>IFERROR(VLOOKUP(A1562,'[1]Re-order'!$A:$Q,17,0),"")</f>
        <v>20.105787181082761</v>
      </c>
      <c r="U1562" s="46">
        <f>IFERROR(VLOOKUP(A1562,'[1]MC Masterlist 2026-09-12'!$B:$M, 10, 0),0)</f>
        <v>15</v>
      </c>
      <c r="V1562" s="46">
        <f>IFERROR(VLOOKUP(A1562,'[1]MC Masterlist 2026-09-12'!$B:$M, 11, 0),0)</f>
        <v>15</v>
      </c>
      <c r="W1562" s="46">
        <f t="shared" si="367"/>
        <v>30</v>
      </c>
      <c r="X1562" s="46">
        <f t="shared" si="368"/>
        <v>1.5</v>
      </c>
      <c r="Y1562" s="46">
        <f>IFERROR(IF(OR(C1562="AREA I",C1562="AREA V"),7,VLOOKUP(A1562,'[1]MC Masterlist 2026-09-12'!$B:$M, 12, 0)),0)</f>
        <v>7</v>
      </c>
      <c r="Z1562" s="46">
        <f t="shared" si="369"/>
        <v>5.5</v>
      </c>
      <c r="AA1562" s="46">
        <f t="shared" si="370"/>
        <v>11</v>
      </c>
      <c r="AB1562" s="46">
        <f t="shared" si="371"/>
        <v>0.54999999999999993</v>
      </c>
      <c r="AC1562" s="46">
        <f t="shared" si="372"/>
        <v>2.5666666666666664</v>
      </c>
      <c r="AD1562" s="44" t="str">
        <f t="shared" si="373"/>
        <v>Over</v>
      </c>
      <c r="AE1562" s="44" t="str">
        <f>IFERROR(VLOOKUP(A1562,'[1]Re-order'!$A:$AA,27,0),"")</f>
        <v>Stockout</v>
      </c>
      <c r="AF1562" s="46">
        <f t="shared" si="374"/>
        <v>-8.4333333333333336</v>
      </c>
      <c r="AG1562" s="46">
        <f>SUMIFS('[1]Raw Inventory'!D:D,'[1]Raw Inventory'!C:C,"GREATWALL",'[1]Raw Inventory'!B:B,A1562)</f>
        <v>176</v>
      </c>
      <c r="AH1562" s="46">
        <f>SUMIFS('[1]Raw Inventory'!D:D,'[1]Raw Inventory'!C:C,"DUARTE",'[1]Raw Inventory'!B:B,A1562)</f>
        <v>0</v>
      </c>
      <c r="AI1562" s="46"/>
      <c r="AJ1562" s="46"/>
      <c r="AK1562" s="43"/>
      <c r="AL1562" s="43"/>
      <c r="AM1562" s="43"/>
      <c r="AN1562" s="43"/>
      <c r="AO1562" s="43"/>
      <c r="AP1562" s="43"/>
      <c r="AQ1562" s="43"/>
      <c r="AR1562" s="43"/>
      <c r="AS1562" s="43"/>
      <c r="AT1562" s="43"/>
    </row>
    <row r="1563" spans="1:46">
      <c r="A1563" s="43" t="s">
        <v>26</v>
      </c>
      <c r="B1563" s="43" t="s">
        <v>161</v>
      </c>
      <c r="C1563" s="43" t="s">
        <v>159</v>
      </c>
      <c r="D1563" s="44" t="s">
        <v>270</v>
      </c>
      <c r="E1563" s="44">
        <v>1</v>
      </c>
      <c r="F1563" s="44" t="s">
        <v>0</v>
      </c>
      <c r="G1563" s="43" t="str">
        <f>IFERROR(VLOOKUP(A1563,'[1]MC Masterlist 2026-09-12'!$B:$M, 3, 0),"")</f>
        <v>SUZUKI</v>
      </c>
      <c r="H1563" s="45">
        <f>IFERROR(VLOOKUP(A1563,'[1]MC Masterlist 2026-09-12'!$B:$M, 6, 0),"")</f>
        <v>123700</v>
      </c>
      <c r="I1563" s="46">
        <v>0</v>
      </c>
      <c r="J1563" s="46">
        <v>0</v>
      </c>
      <c r="K1563" s="46">
        <v>0</v>
      </c>
      <c r="L1563" s="46">
        <f t="shared" si="360"/>
        <v>0</v>
      </c>
      <c r="M1563" s="46">
        <f t="shared" si="361"/>
        <v>0</v>
      </c>
      <c r="N1563" s="45">
        <f t="shared" si="362"/>
        <v>0</v>
      </c>
      <c r="O1563" s="45">
        <f t="shared" si="363"/>
        <v>0</v>
      </c>
      <c r="P1563" s="46">
        <f t="shared" si="364"/>
        <v>0</v>
      </c>
      <c r="Q1563" s="46">
        <v>1</v>
      </c>
      <c r="R1563" s="45">
        <f t="shared" si="365"/>
        <v>123700</v>
      </c>
      <c r="S1563" s="46">
        <f t="shared" si="366"/>
        <v>0</v>
      </c>
      <c r="T1563" s="46">
        <f>IFERROR(VLOOKUP(A1563,'[1]Re-order'!$A:$Q,17,0),"")</f>
        <v>71.470588235294116</v>
      </c>
      <c r="U1563" s="46">
        <f>IFERROR(VLOOKUP(A1563,'[1]MC Masterlist 2026-09-12'!$B:$M, 10, 0),0)</f>
        <v>15</v>
      </c>
      <c r="V1563" s="46">
        <f>IFERROR(VLOOKUP(A1563,'[1]MC Masterlist 2026-09-12'!$B:$M, 11, 0),0)</f>
        <v>15</v>
      </c>
      <c r="W1563" s="46">
        <f t="shared" si="367"/>
        <v>30</v>
      </c>
      <c r="X1563" s="46">
        <f t="shared" si="368"/>
        <v>30</v>
      </c>
      <c r="Y1563" s="46">
        <f>IFERROR(IF(OR(C1563="AREA I",C1563="AREA V"),7,VLOOKUP(A1563,'[1]MC Masterlist 2026-09-12'!$B:$M, 12, 0)),0)</f>
        <v>30</v>
      </c>
      <c r="Z1563" s="46">
        <f t="shared" si="369"/>
        <v>0</v>
      </c>
      <c r="AA1563" s="46">
        <f t="shared" si="370"/>
        <v>0</v>
      </c>
      <c r="AB1563" s="46">
        <f t="shared" si="371"/>
        <v>0</v>
      </c>
      <c r="AC1563" s="46">
        <f t="shared" si="372"/>
        <v>0</v>
      </c>
      <c r="AD1563" s="44" t="str">
        <f t="shared" si="373"/>
        <v>Over</v>
      </c>
      <c r="AE1563" s="44" t="str">
        <f>IFERROR(VLOOKUP(A1563,'[1]Re-order'!$A:$AA,27,0),"")</f>
        <v>Re-order</v>
      </c>
      <c r="AF1563" s="46">
        <f t="shared" si="374"/>
        <v>-1</v>
      </c>
      <c r="AG1563" s="46">
        <f>SUMIFS('[1]Raw Inventory'!D:D,'[1]Raw Inventory'!C:C,"GREATWALL",'[1]Raw Inventory'!B:B,A1563)</f>
        <v>30</v>
      </c>
      <c r="AH1563" s="46">
        <f>SUMIFS('[1]Raw Inventory'!D:D,'[1]Raw Inventory'!C:C,"DUARTE",'[1]Raw Inventory'!B:B,A1563)</f>
        <v>0</v>
      </c>
      <c r="AI1563" s="46"/>
      <c r="AJ1563" s="46"/>
      <c r="AK1563" s="43"/>
      <c r="AL1563" s="43"/>
      <c r="AM1563" s="43"/>
      <c r="AN1563" s="43"/>
      <c r="AO1563" s="43"/>
      <c r="AP1563" s="43"/>
      <c r="AQ1563" s="43"/>
      <c r="AR1563" s="43"/>
      <c r="AS1563" s="43"/>
      <c r="AT1563" s="43"/>
    </row>
    <row r="1564" spans="1:46">
      <c r="A1564" s="43" t="s">
        <v>23</v>
      </c>
      <c r="B1564" s="43" t="s">
        <v>146</v>
      </c>
      <c r="C1564" s="43" t="s">
        <v>137</v>
      </c>
      <c r="D1564" s="44" t="s">
        <v>227</v>
      </c>
      <c r="E1564" s="44">
        <v>1</v>
      </c>
      <c r="F1564" s="44" t="s">
        <v>0</v>
      </c>
      <c r="G1564" s="43" t="str">
        <f>IFERROR(VLOOKUP(A1564,'[1]MC Masterlist 2026-09-12'!$B:$M, 3, 0),"")</f>
        <v>KAWASAKI</v>
      </c>
      <c r="H1564" s="45">
        <f>IFERROR(VLOOKUP(A1564,'[1]MC Masterlist 2026-09-12'!$B:$M, 6, 0),"")</f>
        <v>60656</v>
      </c>
      <c r="I1564" s="46">
        <v>13</v>
      </c>
      <c r="J1564" s="46">
        <v>11</v>
      </c>
      <c r="K1564" s="46">
        <v>14</v>
      </c>
      <c r="L1564" s="46">
        <f t="shared" si="360"/>
        <v>38</v>
      </c>
      <c r="M1564" s="46">
        <f t="shared" si="361"/>
        <v>12.666666666666666</v>
      </c>
      <c r="N1564" s="45">
        <f t="shared" si="362"/>
        <v>2304928</v>
      </c>
      <c r="O1564" s="45">
        <f t="shared" si="363"/>
        <v>768309.33333333326</v>
      </c>
      <c r="P1564" s="46">
        <f t="shared" si="364"/>
        <v>0.42222222222222222</v>
      </c>
      <c r="Q1564" s="46">
        <v>9</v>
      </c>
      <c r="R1564" s="45">
        <f t="shared" si="365"/>
        <v>545904</v>
      </c>
      <c r="S1564" s="46">
        <f t="shared" si="366"/>
        <v>21.315789473684212</v>
      </c>
      <c r="T1564" s="46">
        <f>IFERROR(VLOOKUP(A1564,'[1]Re-order'!$A:$Q,17,0),"")</f>
        <v>53.973412112259979</v>
      </c>
      <c r="U1564" s="46">
        <f>IFERROR(VLOOKUP(A1564,'[1]MC Masterlist 2026-09-12'!$B:$M, 10, 0),0)</f>
        <v>15</v>
      </c>
      <c r="V1564" s="46">
        <f>IFERROR(VLOOKUP(A1564,'[1]MC Masterlist 2026-09-12'!$B:$M, 11, 0),0)</f>
        <v>15</v>
      </c>
      <c r="W1564" s="46">
        <f t="shared" si="367"/>
        <v>30</v>
      </c>
      <c r="X1564" s="46">
        <f t="shared" si="368"/>
        <v>0.66666666666666696</v>
      </c>
      <c r="Y1564" s="46">
        <f>IFERROR(IF(OR(C1564="AREA I",C1564="AREA V"),7,VLOOKUP(A1564,'[1]MC Masterlist 2026-09-12'!$B:$M, 12, 0)),0)</f>
        <v>7</v>
      </c>
      <c r="Z1564" s="46">
        <f t="shared" si="369"/>
        <v>6.333333333333333</v>
      </c>
      <c r="AA1564" s="46">
        <f t="shared" si="370"/>
        <v>12.666666666666666</v>
      </c>
      <c r="AB1564" s="46">
        <f t="shared" si="371"/>
        <v>0.28148148148148161</v>
      </c>
      <c r="AC1564" s="46">
        <f t="shared" si="372"/>
        <v>2.9555555555555557</v>
      </c>
      <c r="AD1564" s="44" t="str">
        <f t="shared" si="373"/>
        <v>Over</v>
      </c>
      <c r="AE1564" s="44" t="str">
        <f>IFERROR(VLOOKUP(A1564,'[1]Re-order'!$A:$AA,27,0),"")</f>
        <v>Re-order</v>
      </c>
      <c r="AF1564" s="46">
        <f t="shared" si="374"/>
        <v>-6.0444444444444443</v>
      </c>
      <c r="AG1564" s="46">
        <f>SUMIFS('[1]Raw Inventory'!D:D,'[1]Raw Inventory'!C:C,"GREATWALL",'[1]Raw Inventory'!B:B,A1564)</f>
        <v>282</v>
      </c>
      <c r="AH1564" s="46">
        <f>SUMIFS('[1]Raw Inventory'!D:D,'[1]Raw Inventory'!C:C,"DUARTE",'[1]Raw Inventory'!B:B,A1564)</f>
        <v>0</v>
      </c>
      <c r="AI1564" s="46"/>
      <c r="AJ1564" s="46"/>
      <c r="AK1564" s="43"/>
      <c r="AL1564" s="43"/>
      <c r="AM1564" s="43"/>
      <c r="AN1564" s="43"/>
      <c r="AO1564" s="43"/>
      <c r="AP1564" s="43"/>
      <c r="AQ1564" s="43"/>
      <c r="AR1564" s="43"/>
      <c r="AS1564" s="43"/>
      <c r="AT1564" s="43"/>
    </row>
    <row r="1565" spans="1:46">
      <c r="A1565" s="43" t="s">
        <v>26</v>
      </c>
      <c r="B1565" s="43" t="s">
        <v>5</v>
      </c>
      <c r="C1565" s="43" t="s">
        <v>118</v>
      </c>
      <c r="D1565" s="44" t="s">
        <v>224</v>
      </c>
      <c r="E1565" s="44">
        <v>10</v>
      </c>
      <c r="F1565" s="44" t="s">
        <v>2</v>
      </c>
      <c r="G1565" s="43" t="str">
        <f>IFERROR(VLOOKUP(A1565,'[1]MC Masterlist 2026-09-12'!$B:$M, 3, 0),"")</f>
        <v>SUZUKI</v>
      </c>
      <c r="H1565" s="45">
        <f>IFERROR(VLOOKUP(A1565,'[1]MC Masterlist 2026-09-12'!$B:$M, 6, 0),"")</f>
        <v>123700</v>
      </c>
      <c r="I1565" s="46">
        <v>0</v>
      </c>
      <c r="J1565" s="46">
        <v>2</v>
      </c>
      <c r="K1565" s="46">
        <v>0</v>
      </c>
      <c r="L1565" s="46">
        <f t="shared" si="360"/>
        <v>2</v>
      </c>
      <c r="M1565" s="46">
        <f t="shared" si="361"/>
        <v>0.66666666666666663</v>
      </c>
      <c r="N1565" s="45">
        <f t="shared" si="362"/>
        <v>247400</v>
      </c>
      <c r="O1565" s="45">
        <f t="shared" si="363"/>
        <v>82466.666666666657</v>
      </c>
      <c r="P1565" s="46">
        <f t="shared" si="364"/>
        <v>2.222222222222222E-2</v>
      </c>
      <c r="Q1565" s="46">
        <v>2</v>
      </c>
      <c r="R1565" s="45">
        <f t="shared" si="365"/>
        <v>247400</v>
      </c>
      <c r="S1565" s="46">
        <f t="shared" si="366"/>
        <v>90.000000000000014</v>
      </c>
      <c r="T1565" s="46">
        <f>IFERROR(VLOOKUP(A1565,'[1]Re-order'!$A:$Q,17,0),"")</f>
        <v>71.470588235294116</v>
      </c>
      <c r="U1565" s="46">
        <f>IFERROR(VLOOKUP(A1565,'[1]MC Masterlist 2026-09-12'!$B:$M, 10, 0),0)</f>
        <v>15</v>
      </c>
      <c r="V1565" s="46">
        <f>IFERROR(VLOOKUP(A1565,'[1]MC Masterlist 2026-09-12'!$B:$M, 11, 0),0)</f>
        <v>15</v>
      </c>
      <c r="W1565" s="46">
        <f t="shared" si="367"/>
        <v>30</v>
      </c>
      <c r="X1565" s="46">
        <f t="shared" si="368"/>
        <v>29.666666666666668</v>
      </c>
      <c r="Y1565" s="46">
        <f>IFERROR(IF(OR(C1565="AREA I",C1565="AREA V"),7,VLOOKUP(A1565,'[1]MC Masterlist 2026-09-12'!$B:$M, 12, 0)),0)</f>
        <v>30</v>
      </c>
      <c r="Z1565" s="46">
        <f t="shared" si="369"/>
        <v>0.33333333333333331</v>
      </c>
      <c r="AA1565" s="46">
        <f t="shared" si="370"/>
        <v>0.66666666666666663</v>
      </c>
      <c r="AB1565" s="46">
        <f t="shared" si="371"/>
        <v>0.65925925925925921</v>
      </c>
      <c r="AC1565" s="46">
        <f t="shared" si="372"/>
        <v>0.66666666666666663</v>
      </c>
      <c r="AD1565" s="44" t="str">
        <f t="shared" si="373"/>
        <v>Over</v>
      </c>
      <c r="AE1565" s="44" t="str">
        <f>IFERROR(VLOOKUP(A1565,'[1]Re-order'!$A:$AA,27,0),"")</f>
        <v>Re-order</v>
      </c>
      <c r="AF1565" s="46">
        <f t="shared" si="374"/>
        <v>-1.3333333333333335</v>
      </c>
      <c r="AG1565" s="46">
        <f>SUMIFS('[1]Raw Inventory'!D:D,'[1]Raw Inventory'!C:C,"GREATWALL",'[1]Raw Inventory'!B:B,A1565)</f>
        <v>30</v>
      </c>
      <c r="AH1565" s="46">
        <f>SUMIFS('[1]Raw Inventory'!D:D,'[1]Raw Inventory'!C:C,"DUARTE",'[1]Raw Inventory'!B:B,A1565)</f>
        <v>0</v>
      </c>
      <c r="AI1565" s="46"/>
      <c r="AJ1565" s="46"/>
      <c r="AK1565" s="43"/>
      <c r="AL1565" s="43"/>
      <c r="AM1565" s="43"/>
      <c r="AN1565" s="43"/>
      <c r="AO1565" s="43"/>
      <c r="AP1565" s="43"/>
      <c r="AQ1565" s="43"/>
      <c r="AR1565" s="43"/>
      <c r="AS1565" s="43"/>
      <c r="AT1565" s="43"/>
    </row>
    <row r="1566" spans="1:46">
      <c r="A1566" s="43" t="s">
        <v>70</v>
      </c>
      <c r="B1566" s="43" t="s">
        <v>96</v>
      </c>
      <c r="C1566" s="43" t="s">
        <v>90</v>
      </c>
      <c r="D1566" s="44" t="s">
        <v>223</v>
      </c>
      <c r="E1566" s="44">
        <v>6</v>
      </c>
      <c r="F1566" s="44" t="s">
        <v>3</v>
      </c>
      <c r="G1566" s="43" t="str">
        <f>IFERROR(VLOOKUP(A1566,'[1]MC Masterlist 2026-09-12'!$B:$M, 3, 0),"")</f>
        <v>KAWASAKI</v>
      </c>
      <c r="H1566" s="45">
        <f>IFERROR(VLOOKUP(A1566,'[1]MC Masterlist 2026-09-12'!$B:$M, 6, 0),"")</f>
        <v>91770</v>
      </c>
      <c r="I1566" s="46">
        <v>0</v>
      </c>
      <c r="J1566" s="46">
        <v>0</v>
      </c>
      <c r="K1566" s="46">
        <v>1</v>
      </c>
      <c r="L1566" s="46">
        <f t="shared" si="360"/>
        <v>1</v>
      </c>
      <c r="M1566" s="46">
        <f t="shared" si="361"/>
        <v>0.33333333333333331</v>
      </c>
      <c r="N1566" s="45">
        <f t="shared" si="362"/>
        <v>91770</v>
      </c>
      <c r="O1566" s="45">
        <f t="shared" si="363"/>
        <v>30590</v>
      </c>
      <c r="P1566" s="46">
        <f t="shared" si="364"/>
        <v>1.111111111111111E-2</v>
      </c>
      <c r="Q1566" s="46">
        <v>2</v>
      </c>
      <c r="R1566" s="45">
        <f t="shared" si="365"/>
        <v>183540</v>
      </c>
      <c r="S1566" s="46">
        <f t="shared" si="366"/>
        <v>180</v>
      </c>
      <c r="T1566" s="46">
        <f>IFERROR(VLOOKUP(A1566,'[1]Re-order'!$A:$Q,17,0),"")</f>
        <v>255</v>
      </c>
      <c r="U1566" s="46">
        <f>IFERROR(VLOOKUP(A1566,'[1]MC Masterlist 2026-09-12'!$B:$M, 10, 0),0)</f>
        <v>15</v>
      </c>
      <c r="V1566" s="46">
        <f>IFERROR(VLOOKUP(A1566,'[1]MC Masterlist 2026-09-12'!$B:$M, 11, 0),0)</f>
        <v>15</v>
      </c>
      <c r="W1566" s="46">
        <f t="shared" si="367"/>
        <v>30</v>
      </c>
      <c r="X1566" s="46">
        <f t="shared" si="368"/>
        <v>29.833333333333332</v>
      </c>
      <c r="Y1566" s="46">
        <f>IFERROR(IF(OR(C1566="AREA I",C1566="AREA V"),7,VLOOKUP(A1566,'[1]MC Masterlist 2026-09-12'!$B:$M, 12, 0)),0)</f>
        <v>30</v>
      </c>
      <c r="Z1566" s="46">
        <f t="shared" si="369"/>
        <v>0.16666666666666666</v>
      </c>
      <c r="AA1566" s="46">
        <f t="shared" si="370"/>
        <v>0.33333333333333331</v>
      </c>
      <c r="AB1566" s="46">
        <f t="shared" si="371"/>
        <v>0.33148148148148143</v>
      </c>
      <c r="AC1566" s="46">
        <f t="shared" si="372"/>
        <v>0.33333333333333331</v>
      </c>
      <c r="AD1566" s="44" t="str">
        <f t="shared" si="373"/>
        <v>Over</v>
      </c>
      <c r="AE1566" s="44" t="str">
        <f>IFERROR(VLOOKUP(A1566,'[1]Re-order'!$A:$AA,27,0),"")</f>
        <v>Over</v>
      </c>
      <c r="AF1566" s="46">
        <f t="shared" si="374"/>
        <v>-1.6666666666666667</v>
      </c>
      <c r="AG1566" s="46">
        <f>SUMIFS('[1]Raw Inventory'!D:D,'[1]Raw Inventory'!C:C,"GREATWALL",'[1]Raw Inventory'!B:B,A1566)</f>
        <v>4</v>
      </c>
      <c r="AH1566" s="46">
        <f>SUMIFS('[1]Raw Inventory'!D:D,'[1]Raw Inventory'!C:C,"DUARTE",'[1]Raw Inventory'!B:B,A1566)</f>
        <v>0</v>
      </c>
      <c r="AI1566" s="46"/>
      <c r="AJ1566" s="46"/>
      <c r="AK1566" s="43"/>
      <c r="AL1566" s="43"/>
      <c r="AM1566" s="43"/>
      <c r="AN1566" s="43"/>
      <c r="AO1566" s="43"/>
      <c r="AP1566" s="43"/>
      <c r="AQ1566" s="43"/>
      <c r="AR1566" s="43"/>
      <c r="AS1566" s="43"/>
      <c r="AT1566" s="43"/>
    </row>
    <row r="1567" spans="1:46">
      <c r="A1567" s="43" t="s">
        <v>20</v>
      </c>
      <c r="B1567" s="43" t="s">
        <v>138</v>
      </c>
      <c r="C1567" s="43" t="s">
        <v>137</v>
      </c>
      <c r="D1567" s="44" t="s">
        <v>240</v>
      </c>
      <c r="E1567" s="44">
        <v>10</v>
      </c>
      <c r="F1567" s="44" t="s">
        <v>2</v>
      </c>
      <c r="G1567" s="43" t="str">
        <f>IFERROR(VLOOKUP(A1567,'[1]MC Masterlist 2026-09-12'!$B:$M, 3, 0),"")</f>
        <v>HONDA</v>
      </c>
      <c r="H1567" s="45">
        <f>IFERROR(VLOOKUP(A1567,'[1]MC Masterlist 2026-09-12'!$B:$M, 6, 0),"")</f>
        <v>69950</v>
      </c>
      <c r="I1567" s="46">
        <v>0</v>
      </c>
      <c r="J1567" s="46">
        <v>0</v>
      </c>
      <c r="K1567" s="46">
        <v>0</v>
      </c>
      <c r="L1567" s="46">
        <f t="shared" si="360"/>
        <v>0</v>
      </c>
      <c r="M1567" s="46">
        <f t="shared" si="361"/>
        <v>0</v>
      </c>
      <c r="N1567" s="45">
        <f t="shared" si="362"/>
        <v>0</v>
      </c>
      <c r="O1567" s="45">
        <f t="shared" si="363"/>
        <v>0</v>
      </c>
      <c r="P1567" s="46">
        <f t="shared" si="364"/>
        <v>0</v>
      </c>
      <c r="Q1567" s="46">
        <v>110</v>
      </c>
      <c r="R1567" s="45">
        <f t="shared" si="365"/>
        <v>7694500</v>
      </c>
      <c r="S1567" s="46">
        <f t="shared" si="366"/>
        <v>0</v>
      </c>
      <c r="T1567" s="46">
        <f>IFERROR(VLOOKUP(A1567,'[1]Re-order'!$A:$Q,17,0),"")</f>
        <v>75.775862068965523</v>
      </c>
      <c r="U1567" s="46">
        <f>IFERROR(VLOOKUP(A1567,'[1]MC Masterlist 2026-09-12'!$B:$M, 10, 0),0)</f>
        <v>15</v>
      </c>
      <c r="V1567" s="46">
        <f>IFERROR(VLOOKUP(A1567,'[1]MC Masterlist 2026-09-12'!$B:$M, 11, 0),0)</f>
        <v>15</v>
      </c>
      <c r="W1567" s="46">
        <f t="shared" si="367"/>
        <v>30</v>
      </c>
      <c r="X1567" s="46">
        <f t="shared" si="368"/>
        <v>7</v>
      </c>
      <c r="Y1567" s="46">
        <f>IFERROR(IF(OR(C1567="AREA I",C1567="AREA V"),7,VLOOKUP(A1567,'[1]MC Masterlist 2026-09-12'!$B:$M, 12, 0)),0)</f>
        <v>7</v>
      </c>
      <c r="Z1567" s="46">
        <f t="shared" si="369"/>
        <v>0</v>
      </c>
      <c r="AA1567" s="46">
        <f t="shared" si="370"/>
        <v>0</v>
      </c>
      <c r="AB1567" s="46">
        <f t="shared" si="371"/>
        <v>0</v>
      </c>
      <c r="AC1567" s="46">
        <f t="shared" si="372"/>
        <v>0</v>
      </c>
      <c r="AD1567" s="44" t="str">
        <f t="shared" si="373"/>
        <v>Over</v>
      </c>
      <c r="AE1567" s="44" t="str">
        <f>IFERROR(VLOOKUP(A1567,'[1]Re-order'!$A:$AA,27,0),"")</f>
        <v/>
      </c>
      <c r="AF1567" s="46">
        <f t="shared" si="374"/>
        <v>-110</v>
      </c>
      <c r="AG1567" s="46">
        <f>SUMIFS('[1]Raw Inventory'!D:D,'[1]Raw Inventory'!C:C,"GREATWALL",'[1]Raw Inventory'!B:B,A1567)</f>
        <v>110</v>
      </c>
      <c r="AH1567" s="46">
        <f>SUMIFS('[1]Raw Inventory'!D:D,'[1]Raw Inventory'!C:C,"DUARTE",'[1]Raw Inventory'!B:B,A1567)</f>
        <v>0</v>
      </c>
      <c r="AI1567" s="46"/>
      <c r="AJ1567" s="46"/>
      <c r="AK1567" s="43"/>
      <c r="AL1567" s="43"/>
      <c r="AM1567" s="43"/>
      <c r="AN1567" s="43"/>
      <c r="AO1567" s="43"/>
      <c r="AP1567" s="43"/>
      <c r="AQ1567" s="43"/>
      <c r="AR1567" s="43"/>
      <c r="AS1567" s="43"/>
      <c r="AT1567" s="43"/>
    </row>
    <row r="1568" spans="1:46">
      <c r="A1568" s="43" t="s">
        <v>23</v>
      </c>
      <c r="B1568" s="43" t="s">
        <v>21</v>
      </c>
      <c r="C1568" s="43" t="s">
        <v>1</v>
      </c>
      <c r="D1568" s="44" t="s">
        <v>227</v>
      </c>
      <c r="E1568" s="44">
        <v>1</v>
      </c>
      <c r="F1568" s="44" t="s">
        <v>0</v>
      </c>
      <c r="G1568" s="43" t="str">
        <f>IFERROR(VLOOKUP(A1568,'[1]MC Masterlist 2026-09-12'!$B:$M, 3, 0),"")</f>
        <v>KAWASAKI</v>
      </c>
      <c r="H1568" s="45">
        <f>IFERROR(VLOOKUP(A1568,'[1]MC Masterlist 2026-09-12'!$B:$M, 6, 0),"")</f>
        <v>60656</v>
      </c>
      <c r="I1568" s="46">
        <v>19</v>
      </c>
      <c r="J1568" s="46">
        <v>25</v>
      </c>
      <c r="K1568" s="46">
        <v>14</v>
      </c>
      <c r="L1568" s="46">
        <f t="shared" si="360"/>
        <v>58</v>
      </c>
      <c r="M1568" s="46">
        <f t="shared" si="361"/>
        <v>19.333333333333332</v>
      </c>
      <c r="N1568" s="45">
        <f t="shared" si="362"/>
        <v>3518048</v>
      </c>
      <c r="O1568" s="45">
        <f t="shared" si="363"/>
        <v>1172682.6666666665</v>
      </c>
      <c r="P1568" s="46">
        <f t="shared" si="364"/>
        <v>0.64444444444444438</v>
      </c>
      <c r="Q1568" s="46">
        <v>18</v>
      </c>
      <c r="R1568" s="45">
        <f t="shared" si="365"/>
        <v>1091808</v>
      </c>
      <c r="S1568" s="46">
        <f t="shared" si="366"/>
        <v>27.931034482758623</v>
      </c>
      <c r="T1568" s="46">
        <f>IFERROR(VLOOKUP(A1568,'[1]Re-order'!$A:$Q,17,0),"")</f>
        <v>53.973412112259979</v>
      </c>
      <c r="U1568" s="46">
        <f>IFERROR(VLOOKUP(A1568,'[1]MC Masterlist 2026-09-12'!$B:$M, 10, 0),0)</f>
        <v>15</v>
      </c>
      <c r="V1568" s="46">
        <f>IFERROR(VLOOKUP(A1568,'[1]MC Masterlist 2026-09-12'!$B:$M, 11, 0),0)</f>
        <v>15</v>
      </c>
      <c r="W1568" s="46">
        <f t="shared" si="367"/>
        <v>30</v>
      </c>
      <c r="X1568" s="46">
        <f t="shared" si="368"/>
        <v>-2.6666666666666661</v>
      </c>
      <c r="Y1568" s="46">
        <f>IFERROR(IF(OR(C1568="AREA I",C1568="AREA V"),7,VLOOKUP(A1568,'[1]MC Masterlist 2026-09-12'!$B:$M, 12, 0)),0)</f>
        <v>7</v>
      </c>
      <c r="Z1568" s="46">
        <f t="shared" si="369"/>
        <v>9.6666666666666661</v>
      </c>
      <c r="AA1568" s="46">
        <f t="shared" si="370"/>
        <v>19.333333333333332</v>
      </c>
      <c r="AB1568" s="46">
        <f t="shared" si="371"/>
        <v>-1.7185185185185179</v>
      </c>
      <c r="AC1568" s="46">
        <f t="shared" si="372"/>
        <v>4.5111111111111111</v>
      </c>
      <c r="AD1568" s="44" t="str">
        <f t="shared" si="373"/>
        <v>Over</v>
      </c>
      <c r="AE1568" s="44" t="str">
        <f>IFERROR(VLOOKUP(A1568,'[1]Re-order'!$A:$AA,27,0),"")</f>
        <v>Re-order</v>
      </c>
      <c r="AF1568" s="46">
        <f t="shared" si="374"/>
        <v>-13.488888888888889</v>
      </c>
      <c r="AG1568" s="46">
        <f>SUMIFS('[1]Raw Inventory'!D:D,'[1]Raw Inventory'!C:C,"GREATWALL",'[1]Raw Inventory'!B:B,A1568)</f>
        <v>282</v>
      </c>
      <c r="AH1568" s="46">
        <f>SUMIFS('[1]Raw Inventory'!D:D,'[1]Raw Inventory'!C:C,"DUARTE",'[1]Raw Inventory'!B:B,A1568)</f>
        <v>0</v>
      </c>
      <c r="AI1568" s="46"/>
      <c r="AJ1568" s="46"/>
      <c r="AK1568" s="43"/>
      <c r="AL1568" s="43"/>
      <c r="AM1568" s="43"/>
      <c r="AN1568" s="43"/>
      <c r="AO1568" s="43"/>
      <c r="AP1568" s="43"/>
      <c r="AQ1568" s="43"/>
      <c r="AR1568" s="43"/>
      <c r="AS1568" s="43"/>
      <c r="AT1568" s="43"/>
    </row>
    <row r="1569" spans="1:46">
      <c r="A1569" s="43" t="s">
        <v>37</v>
      </c>
      <c r="B1569" s="43" t="s">
        <v>156</v>
      </c>
      <c r="C1569" s="43" t="s">
        <v>152</v>
      </c>
      <c r="D1569" s="44" t="s">
        <v>256</v>
      </c>
      <c r="E1569" s="44">
        <v>10</v>
      </c>
      <c r="F1569" s="44" t="s">
        <v>2</v>
      </c>
      <c r="G1569" s="43" t="str">
        <f>IFERROR(VLOOKUP(A1569,'[1]MC Masterlist 2026-09-12'!$B:$M, 3, 0),"")</f>
        <v>HONDA</v>
      </c>
      <c r="H1569" s="45">
        <f>IFERROR(VLOOKUP(A1569,'[1]MC Masterlist 2026-09-12'!$B:$M, 6, 0),"")</f>
        <v>74550</v>
      </c>
      <c r="I1569" s="46">
        <v>3</v>
      </c>
      <c r="J1569" s="46">
        <v>0</v>
      </c>
      <c r="K1569" s="46">
        <v>0</v>
      </c>
      <c r="L1569" s="46">
        <f t="shared" si="360"/>
        <v>3</v>
      </c>
      <c r="M1569" s="46">
        <f t="shared" si="361"/>
        <v>1</v>
      </c>
      <c r="N1569" s="45">
        <f t="shared" si="362"/>
        <v>223650</v>
      </c>
      <c r="O1569" s="45">
        <f t="shared" si="363"/>
        <v>74550</v>
      </c>
      <c r="P1569" s="46">
        <f t="shared" si="364"/>
        <v>3.3333333333333333E-2</v>
      </c>
      <c r="Q1569" s="46">
        <v>1</v>
      </c>
      <c r="R1569" s="45">
        <f t="shared" si="365"/>
        <v>74550</v>
      </c>
      <c r="S1569" s="46">
        <f t="shared" si="366"/>
        <v>30</v>
      </c>
      <c r="T1569" s="46">
        <f>IFERROR(VLOOKUP(A1569,'[1]Re-order'!$A:$Q,17,0),"")</f>
        <v>33.652173913043477</v>
      </c>
      <c r="U1569" s="46">
        <f>IFERROR(VLOOKUP(A1569,'[1]MC Masterlist 2026-09-12'!$B:$M, 10, 0),0)</f>
        <v>15</v>
      </c>
      <c r="V1569" s="46">
        <f>IFERROR(VLOOKUP(A1569,'[1]MC Masterlist 2026-09-12'!$B:$M, 11, 0),0)</f>
        <v>15</v>
      </c>
      <c r="W1569" s="46">
        <f t="shared" si="367"/>
        <v>30</v>
      </c>
      <c r="X1569" s="46">
        <f t="shared" si="368"/>
        <v>29.5</v>
      </c>
      <c r="Y1569" s="46">
        <f>IFERROR(IF(OR(C1569="AREA I",C1569="AREA V"),7,VLOOKUP(A1569,'[1]MC Masterlist 2026-09-12'!$B:$M, 12, 0)),0)</f>
        <v>30</v>
      </c>
      <c r="Z1569" s="46">
        <f t="shared" si="369"/>
        <v>0.5</v>
      </c>
      <c r="AA1569" s="46">
        <f t="shared" si="370"/>
        <v>1</v>
      </c>
      <c r="AB1569" s="46">
        <f t="shared" si="371"/>
        <v>0.98333333333333328</v>
      </c>
      <c r="AC1569" s="46">
        <f t="shared" si="372"/>
        <v>1</v>
      </c>
      <c r="AD1569" s="44" t="str">
        <f t="shared" si="373"/>
        <v>Re-order</v>
      </c>
      <c r="AE1569" s="44" t="str">
        <f>IFERROR(VLOOKUP(A1569,'[1]Re-order'!$A:$AA,27,0),"")</f>
        <v>Re-order</v>
      </c>
      <c r="AF1569" s="46">
        <f t="shared" si="374"/>
        <v>0</v>
      </c>
      <c r="AG1569" s="46">
        <f>SUMIFS('[1]Raw Inventory'!D:D,'[1]Raw Inventory'!C:C,"GREATWALL",'[1]Raw Inventory'!B:B,A1569)</f>
        <v>28</v>
      </c>
      <c r="AH1569" s="46">
        <f>SUMIFS('[1]Raw Inventory'!D:D,'[1]Raw Inventory'!C:C,"DUARTE",'[1]Raw Inventory'!B:B,A1569)</f>
        <v>0</v>
      </c>
      <c r="AI1569" s="46"/>
      <c r="AJ1569" s="46"/>
      <c r="AK1569" s="43"/>
      <c r="AL1569" s="43"/>
      <c r="AM1569" s="43"/>
      <c r="AN1569" s="43"/>
      <c r="AO1569" s="43"/>
      <c r="AP1569" s="43"/>
      <c r="AQ1569" s="43"/>
      <c r="AR1569" s="43"/>
      <c r="AS1569" s="43"/>
      <c r="AT1569" s="43"/>
    </row>
    <row r="1570" spans="1:46">
      <c r="A1570" s="43" t="s">
        <v>17</v>
      </c>
      <c r="B1570" s="43" t="s">
        <v>93</v>
      </c>
      <c r="C1570" s="43" t="s">
        <v>90</v>
      </c>
      <c r="D1570" s="44" t="s">
        <v>224</v>
      </c>
      <c r="E1570" s="44">
        <v>10</v>
      </c>
      <c r="F1570" s="44" t="s">
        <v>2</v>
      </c>
      <c r="G1570" s="43" t="str">
        <f>IFERROR(VLOOKUP(A1570,'[1]MC Masterlist 2026-09-12'!$B:$M, 3, 0),"")</f>
        <v>HONDA</v>
      </c>
      <c r="H1570" s="45">
        <f>IFERROR(VLOOKUP(A1570,'[1]MC Masterlist 2026-09-12'!$B:$M, 6, 0),"")</f>
        <v>140790</v>
      </c>
      <c r="I1570" s="46">
        <v>0</v>
      </c>
      <c r="J1570" s="46">
        <v>1</v>
      </c>
      <c r="K1570" s="46">
        <v>1</v>
      </c>
      <c r="L1570" s="46">
        <f t="shared" si="360"/>
        <v>2</v>
      </c>
      <c r="M1570" s="46">
        <f t="shared" si="361"/>
        <v>0.66666666666666663</v>
      </c>
      <c r="N1570" s="45">
        <f t="shared" si="362"/>
        <v>281580</v>
      </c>
      <c r="O1570" s="45">
        <f t="shared" si="363"/>
        <v>93860</v>
      </c>
      <c r="P1570" s="46">
        <f t="shared" si="364"/>
        <v>2.222222222222222E-2</v>
      </c>
      <c r="Q1570" s="46">
        <v>3</v>
      </c>
      <c r="R1570" s="45">
        <f t="shared" si="365"/>
        <v>422370</v>
      </c>
      <c r="S1570" s="46">
        <f t="shared" si="366"/>
        <v>135</v>
      </c>
      <c r="T1570" s="46">
        <f>IFERROR(VLOOKUP(A1570,'[1]Re-order'!$A:$Q,17,0),"")</f>
        <v>43.663366336633665</v>
      </c>
      <c r="U1570" s="46">
        <f>IFERROR(VLOOKUP(A1570,'[1]MC Masterlist 2026-09-12'!$B:$M, 10, 0),0)</f>
        <v>15</v>
      </c>
      <c r="V1570" s="46">
        <f>IFERROR(VLOOKUP(A1570,'[1]MC Masterlist 2026-09-12'!$B:$M, 11, 0),0)</f>
        <v>15</v>
      </c>
      <c r="W1570" s="46">
        <f t="shared" si="367"/>
        <v>30</v>
      </c>
      <c r="X1570" s="46">
        <f t="shared" si="368"/>
        <v>29.666666666666668</v>
      </c>
      <c r="Y1570" s="46">
        <f>IFERROR(IF(OR(C1570="AREA I",C1570="AREA V"),7,VLOOKUP(A1570,'[1]MC Masterlist 2026-09-12'!$B:$M, 12, 0)),0)</f>
        <v>30</v>
      </c>
      <c r="Z1570" s="46">
        <f t="shared" si="369"/>
        <v>0.33333333333333331</v>
      </c>
      <c r="AA1570" s="46">
        <f t="shared" si="370"/>
        <v>0.66666666666666663</v>
      </c>
      <c r="AB1570" s="46">
        <f t="shared" si="371"/>
        <v>0.65925925925925921</v>
      </c>
      <c r="AC1570" s="46">
        <f t="shared" si="372"/>
        <v>0.66666666666666663</v>
      </c>
      <c r="AD1570" s="44" t="str">
        <f t="shared" si="373"/>
        <v>Over</v>
      </c>
      <c r="AE1570" s="44" t="str">
        <f>IFERROR(VLOOKUP(A1570,'[1]Re-order'!$A:$AA,27,0),"")</f>
        <v>Re-order</v>
      </c>
      <c r="AF1570" s="46">
        <f t="shared" si="374"/>
        <v>-2.3333333333333335</v>
      </c>
      <c r="AG1570" s="46">
        <f>SUMIFS('[1]Raw Inventory'!D:D,'[1]Raw Inventory'!C:C,"GREATWALL",'[1]Raw Inventory'!B:B,A1570)</f>
        <v>12</v>
      </c>
      <c r="AH1570" s="46">
        <f>SUMIFS('[1]Raw Inventory'!D:D,'[1]Raw Inventory'!C:C,"DUARTE",'[1]Raw Inventory'!B:B,A1570)</f>
        <v>0</v>
      </c>
      <c r="AI1570" s="46"/>
      <c r="AJ1570" s="46"/>
      <c r="AK1570" s="43"/>
      <c r="AL1570" s="43"/>
      <c r="AM1570" s="43"/>
      <c r="AN1570" s="43"/>
      <c r="AO1570" s="43"/>
      <c r="AP1570" s="43"/>
      <c r="AQ1570" s="43"/>
      <c r="AR1570" s="43"/>
      <c r="AS1570" s="43"/>
      <c r="AT1570" s="43"/>
    </row>
    <row r="1571" spans="1:46">
      <c r="A1571" s="43" t="s">
        <v>46</v>
      </c>
      <c r="B1571" s="43" t="s">
        <v>112</v>
      </c>
      <c r="C1571" s="43" t="s">
        <v>109</v>
      </c>
      <c r="D1571" s="44" t="s">
        <v>242</v>
      </c>
      <c r="E1571" s="44">
        <v>23</v>
      </c>
      <c r="F1571" s="44" t="s">
        <v>3</v>
      </c>
      <c r="G1571" s="43" t="str">
        <f>IFERROR(VLOOKUP(A1571,'[1]MC Masterlist 2026-09-12'!$B:$M, 3, 0),"")</f>
        <v>HONDA</v>
      </c>
      <c r="H1571" s="45">
        <f>IFERROR(VLOOKUP(A1571,'[1]MC Masterlist 2026-09-12'!$B:$M, 6, 0),"")</f>
        <v>73630</v>
      </c>
      <c r="I1571" s="46">
        <v>0</v>
      </c>
      <c r="J1571" s="46">
        <v>0</v>
      </c>
      <c r="K1571" s="46">
        <v>0</v>
      </c>
      <c r="L1571" s="46">
        <f t="shared" si="360"/>
        <v>0</v>
      </c>
      <c r="M1571" s="46">
        <f t="shared" si="361"/>
        <v>0</v>
      </c>
      <c r="N1571" s="45">
        <f t="shared" si="362"/>
        <v>0</v>
      </c>
      <c r="O1571" s="45">
        <f t="shared" si="363"/>
        <v>0</v>
      </c>
      <c r="P1571" s="46">
        <f t="shared" si="364"/>
        <v>0</v>
      </c>
      <c r="Q1571" s="46">
        <v>2</v>
      </c>
      <c r="R1571" s="45">
        <f t="shared" si="365"/>
        <v>147260</v>
      </c>
      <c r="S1571" s="46">
        <f t="shared" si="366"/>
        <v>0</v>
      </c>
      <c r="T1571" s="46">
        <f>IFERROR(VLOOKUP(A1571,'[1]Re-order'!$A:$Q,17,0),"")</f>
        <v>51</v>
      </c>
      <c r="U1571" s="46">
        <f>IFERROR(VLOOKUP(A1571,'[1]MC Masterlist 2026-09-12'!$B:$M, 10, 0),0)</f>
        <v>15</v>
      </c>
      <c r="V1571" s="46">
        <f>IFERROR(VLOOKUP(A1571,'[1]MC Masterlist 2026-09-12'!$B:$M, 11, 0),0)</f>
        <v>15</v>
      </c>
      <c r="W1571" s="46">
        <f t="shared" si="367"/>
        <v>30</v>
      </c>
      <c r="X1571" s="46">
        <f t="shared" si="368"/>
        <v>30</v>
      </c>
      <c r="Y1571" s="46">
        <f>IFERROR(IF(OR(C1571="AREA I",C1571="AREA V"),7,VLOOKUP(A1571,'[1]MC Masterlist 2026-09-12'!$B:$M, 12, 0)),0)</f>
        <v>30</v>
      </c>
      <c r="Z1571" s="46">
        <f t="shared" si="369"/>
        <v>0</v>
      </c>
      <c r="AA1571" s="46">
        <f t="shared" si="370"/>
        <v>0</v>
      </c>
      <c r="AB1571" s="46">
        <f t="shared" si="371"/>
        <v>0</v>
      </c>
      <c r="AC1571" s="46">
        <f t="shared" si="372"/>
        <v>0</v>
      </c>
      <c r="AD1571" s="44" t="str">
        <f t="shared" si="373"/>
        <v>Over</v>
      </c>
      <c r="AE1571" s="44" t="str">
        <f>IFERROR(VLOOKUP(A1571,'[1]Re-order'!$A:$AA,27,0),"")</f>
        <v>Re-order</v>
      </c>
      <c r="AF1571" s="46">
        <f t="shared" si="374"/>
        <v>-2</v>
      </c>
      <c r="AG1571" s="46">
        <f>SUMIFS('[1]Raw Inventory'!D:D,'[1]Raw Inventory'!C:C,"GREATWALL",'[1]Raw Inventory'!B:B,A1571)</f>
        <v>0</v>
      </c>
      <c r="AH1571" s="46">
        <f>SUMIFS('[1]Raw Inventory'!D:D,'[1]Raw Inventory'!C:C,"DUARTE",'[1]Raw Inventory'!B:B,A1571)</f>
        <v>0</v>
      </c>
      <c r="AI1571" s="46"/>
      <c r="AJ1571" s="46"/>
      <c r="AK1571" s="43"/>
      <c r="AL1571" s="43"/>
      <c r="AM1571" s="43"/>
      <c r="AN1571" s="43"/>
      <c r="AO1571" s="43"/>
      <c r="AP1571" s="43"/>
      <c r="AQ1571" s="43"/>
      <c r="AR1571" s="43"/>
      <c r="AS1571" s="43"/>
      <c r="AT1571" s="43"/>
    </row>
    <row r="1572" spans="1:46">
      <c r="A1572" s="43" t="s">
        <v>20</v>
      </c>
      <c r="B1572" s="43" t="s">
        <v>157</v>
      </c>
      <c r="C1572" s="43" t="s">
        <v>152</v>
      </c>
      <c r="D1572" s="44" t="s">
        <v>224</v>
      </c>
      <c r="E1572" s="44">
        <v>8</v>
      </c>
      <c r="F1572" s="44" t="s">
        <v>2</v>
      </c>
      <c r="G1572" s="43" t="str">
        <f>IFERROR(VLOOKUP(A1572,'[1]MC Masterlist 2026-09-12'!$B:$M, 3, 0),"")</f>
        <v>HONDA</v>
      </c>
      <c r="H1572" s="45">
        <f>IFERROR(VLOOKUP(A1572,'[1]MC Masterlist 2026-09-12'!$B:$M, 6, 0),"")</f>
        <v>69950</v>
      </c>
      <c r="I1572" s="46">
        <v>4</v>
      </c>
      <c r="J1572" s="46">
        <v>0</v>
      </c>
      <c r="K1572" s="46">
        <v>4</v>
      </c>
      <c r="L1572" s="46">
        <f t="shared" si="360"/>
        <v>8</v>
      </c>
      <c r="M1572" s="46">
        <f t="shared" si="361"/>
        <v>2.6666666666666665</v>
      </c>
      <c r="N1572" s="45">
        <f t="shared" si="362"/>
        <v>559600</v>
      </c>
      <c r="O1572" s="45">
        <f t="shared" si="363"/>
        <v>186533.33333333331</v>
      </c>
      <c r="P1572" s="46">
        <f t="shared" si="364"/>
        <v>8.8888888888888878E-2</v>
      </c>
      <c r="Q1572" s="46">
        <v>2</v>
      </c>
      <c r="R1572" s="45">
        <f t="shared" si="365"/>
        <v>139900</v>
      </c>
      <c r="S1572" s="46">
        <f t="shared" si="366"/>
        <v>22.500000000000004</v>
      </c>
      <c r="T1572" s="46">
        <f>IFERROR(VLOOKUP(A1572,'[1]Re-order'!$A:$Q,17,0),"")</f>
        <v>75.775862068965523</v>
      </c>
      <c r="U1572" s="46">
        <f>IFERROR(VLOOKUP(A1572,'[1]MC Masterlist 2026-09-12'!$B:$M, 10, 0),0)</f>
        <v>15</v>
      </c>
      <c r="V1572" s="46">
        <f>IFERROR(VLOOKUP(A1572,'[1]MC Masterlist 2026-09-12'!$B:$M, 11, 0),0)</f>
        <v>15</v>
      </c>
      <c r="W1572" s="46">
        <f t="shared" si="367"/>
        <v>30</v>
      </c>
      <c r="X1572" s="46">
        <f t="shared" si="368"/>
        <v>28.666666666666668</v>
      </c>
      <c r="Y1572" s="46">
        <f>IFERROR(IF(OR(C1572="AREA I",C1572="AREA V"),7,VLOOKUP(A1572,'[1]MC Masterlist 2026-09-12'!$B:$M, 12, 0)),0)</f>
        <v>30</v>
      </c>
      <c r="Z1572" s="46">
        <f t="shared" si="369"/>
        <v>1.3333333333333333</v>
      </c>
      <c r="AA1572" s="46">
        <f t="shared" si="370"/>
        <v>2.6666666666666665</v>
      </c>
      <c r="AB1572" s="46">
        <f t="shared" si="371"/>
        <v>2.5481481481481478</v>
      </c>
      <c r="AC1572" s="46">
        <f t="shared" si="372"/>
        <v>2.6666666666666665</v>
      </c>
      <c r="AD1572" s="44" t="str">
        <f t="shared" si="373"/>
        <v>Re-order</v>
      </c>
      <c r="AE1572" s="44" t="str">
        <f>IFERROR(VLOOKUP(A1572,'[1]Re-order'!$A:$AA,27,0),"")</f>
        <v/>
      </c>
      <c r="AF1572" s="46">
        <f t="shared" si="374"/>
        <v>0.66666666666666652</v>
      </c>
      <c r="AG1572" s="46">
        <f>SUMIFS('[1]Raw Inventory'!D:D,'[1]Raw Inventory'!C:C,"GREATWALL",'[1]Raw Inventory'!B:B,A1572)</f>
        <v>110</v>
      </c>
      <c r="AH1572" s="46">
        <f>SUMIFS('[1]Raw Inventory'!D:D,'[1]Raw Inventory'!C:C,"DUARTE",'[1]Raw Inventory'!B:B,A1572)</f>
        <v>0</v>
      </c>
      <c r="AI1572" s="46"/>
      <c r="AJ1572" s="46"/>
      <c r="AK1572" s="43"/>
      <c r="AL1572" s="43"/>
      <c r="AM1572" s="43"/>
      <c r="AN1572" s="43"/>
      <c r="AO1572" s="43"/>
      <c r="AP1572" s="43"/>
      <c r="AQ1572" s="43"/>
      <c r="AR1572" s="43"/>
      <c r="AS1572" s="43"/>
      <c r="AT1572" s="43"/>
    </row>
    <row r="1573" spans="1:46">
      <c r="A1573" s="43" t="s">
        <v>69</v>
      </c>
      <c r="B1573" s="43" t="s">
        <v>153</v>
      </c>
      <c r="C1573" s="43" t="s">
        <v>152</v>
      </c>
      <c r="D1573" s="44" t="s">
        <v>229</v>
      </c>
      <c r="E1573" s="44">
        <v>19</v>
      </c>
      <c r="F1573" s="44" t="s">
        <v>3</v>
      </c>
      <c r="G1573" s="43" t="str">
        <f>IFERROR(VLOOKUP(A1573,'[1]MC Masterlist 2026-09-12'!$B:$M, 3, 0),"")</f>
        <v>YAMAHA</v>
      </c>
      <c r="H1573" s="45">
        <f>IFERROR(VLOOKUP(A1573,'[1]MC Masterlist 2026-09-12'!$B:$M, 6, 0),"")</f>
        <v>54426</v>
      </c>
      <c r="I1573" s="46">
        <v>1</v>
      </c>
      <c r="J1573" s="46">
        <v>0</v>
      </c>
      <c r="K1573" s="46">
        <v>0</v>
      </c>
      <c r="L1573" s="46">
        <f t="shared" si="360"/>
        <v>1</v>
      </c>
      <c r="M1573" s="46">
        <f t="shared" si="361"/>
        <v>0.33333333333333331</v>
      </c>
      <c r="N1573" s="45">
        <f t="shared" si="362"/>
        <v>54426</v>
      </c>
      <c r="O1573" s="45">
        <f t="shared" si="363"/>
        <v>18142</v>
      </c>
      <c r="P1573" s="46">
        <f t="shared" si="364"/>
        <v>1.111111111111111E-2</v>
      </c>
      <c r="Q1573" s="46"/>
      <c r="R1573" s="45">
        <f t="shared" si="365"/>
        <v>0</v>
      </c>
      <c r="S1573" s="46">
        <f t="shared" si="366"/>
        <v>0</v>
      </c>
      <c r="T1573" s="46">
        <f>IFERROR(VLOOKUP(A1573,'[1]Re-order'!$A:$Q,17,0),"")</f>
        <v>62.307692307692314</v>
      </c>
      <c r="U1573" s="46">
        <f>IFERROR(VLOOKUP(A1573,'[1]MC Masterlist 2026-09-12'!$B:$M, 10, 0),0)</f>
        <v>15</v>
      </c>
      <c r="V1573" s="46">
        <f>IFERROR(VLOOKUP(A1573,'[1]MC Masterlist 2026-09-12'!$B:$M, 11, 0),0)</f>
        <v>15</v>
      </c>
      <c r="W1573" s="46">
        <f t="shared" si="367"/>
        <v>30</v>
      </c>
      <c r="X1573" s="46">
        <f t="shared" si="368"/>
        <v>29.833333333333332</v>
      </c>
      <c r="Y1573" s="46">
        <f>IFERROR(IF(OR(C1573="AREA I",C1573="AREA V"),7,VLOOKUP(A1573,'[1]MC Masterlist 2026-09-12'!$B:$M, 12, 0)),0)</f>
        <v>30</v>
      </c>
      <c r="Z1573" s="46">
        <f t="shared" si="369"/>
        <v>0.16666666666666666</v>
      </c>
      <c r="AA1573" s="46">
        <f t="shared" si="370"/>
        <v>0.33333333333333331</v>
      </c>
      <c r="AB1573" s="46">
        <f t="shared" si="371"/>
        <v>0.33148148148148143</v>
      </c>
      <c r="AC1573" s="46">
        <f t="shared" si="372"/>
        <v>0.33333333333333331</v>
      </c>
      <c r="AD1573" s="44" t="str">
        <f t="shared" si="373"/>
        <v>Stockout</v>
      </c>
      <c r="AE1573" s="44" t="str">
        <f>IFERROR(VLOOKUP(A1573,'[1]Re-order'!$A:$AA,27,0),"")</f>
        <v>Re-order</v>
      </c>
      <c r="AF1573" s="46">
        <f t="shared" si="374"/>
        <v>0.33333333333333331</v>
      </c>
      <c r="AG1573" s="46">
        <f>SUMIFS('[1]Raw Inventory'!D:D,'[1]Raw Inventory'!C:C,"GREATWALL",'[1]Raw Inventory'!B:B,A1573)</f>
        <v>1</v>
      </c>
      <c r="AH1573" s="46">
        <f>SUMIFS('[1]Raw Inventory'!D:D,'[1]Raw Inventory'!C:C,"DUARTE",'[1]Raw Inventory'!B:B,A1573)</f>
        <v>0</v>
      </c>
      <c r="AI1573" s="46"/>
      <c r="AJ1573" s="46"/>
      <c r="AK1573" s="43"/>
      <c r="AL1573" s="43"/>
      <c r="AM1573" s="43"/>
      <c r="AN1573" s="43"/>
      <c r="AO1573" s="43"/>
      <c r="AP1573" s="43"/>
      <c r="AQ1573" s="43"/>
      <c r="AR1573" s="43"/>
      <c r="AS1573" s="43"/>
      <c r="AT1573" s="43"/>
    </row>
    <row r="1574" spans="1:46">
      <c r="A1574" s="43" t="s">
        <v>42</v>
      </c>
      <c r="B1574" s="43" t="s">
        <v>98</v>
      </c>
      <c r="C1574" s="43" t="s">
        <v>90</v>
      </c>
      <c r="D1574" s="44" t="s">
        <v>255</v>
      </c>
      <c r="E1574" s="44">
        <v>13</v>
      </c>
      <c r="F1574" s="44" t="s">
        <v>2</v>
      </c>
      <c r="G1574" s="43" t="str">
        <f>IFERROR(VLOOKUP(A1574,'[1]MC Masterlist 2026-09-12'!$B:$M, 3, 0),"")</f>
        <v>YAMAHA</v>
      </c>
      <c r="H1574" s="45">
        <f>IFERROR(VLOOKUP(A1574,'[1]MC Masterlist 2026-09-12'!$B:$M, 6, 0),"")</f>
        <v>152892</v>
      </c>
      <c r="I1574" s="46">
        <v>0</v>
      </c>
      <c r="J1574" s="46">
        <v>1</v>
      </c>
      <c r="K1574" s="46">
        <v>0</v>
      </c>
      <c r="L1574" s="46">
        <f t="shared" si="360"/>
        <v>1</v>
      </c>
      <c r="M1574" s="46">
        <f t="shared" si="361"/>
        <v>0.33333333333333331</v>
      </c>
      <c r="N1574" s="45">
        <f t="shared" si="362"/>
        <v>152892</v>
      </c>
      <c r="O1574" s="45">
        <f t="shared" si="363"/>
        <v>50964</v>
      </c>
      <c r="P1574" s="46">
        <f t="shared" si="364"/>
        <v>1.111111111111111E-2</v>
      </c>
      <c r="Q1574" s="46">
        <v>2</v>
      </c>
      <c r="R1574" s="45">
        <f t="shared" si="365"/>
        <v>305784</v>
      </c>
      <c r="S1574" s="46">
        <f t="shared" si="366"/>
        <v>180</v>
      </c>
      <c r="T1574" s="46">
        <f>IFERROR(VLOOKUP(A1574,'[1]Re-order'!$A:$Q,17,0),"")</f>
        <v>104.55882352941177</v>
      </c>
      <c r="U1574" s="46">
        <f>IFERROR(VLOOKUP(A1574,'[1]MC Masterlist 2026-09-12'!$B:$M, 10, 0),0)</f>
        <v>15</v>
      </c>
      <c r="V1574" s="46">
        <f>IFERROR(VLOOKUP(A1574,'[1]MC Masterlist 2026-09-12'!$B:$M, 11, 0),0)</f>
        <v>15</v>
      </c>
      <c r="W1574" s="46">
        <f t="shared" si="367"/>
        <v>30</v>
      </c>
      <c r="X1574" s="46">
        <f t="shared" si="368"/>
        <v>29.833333333333332</v>
      </c>
      <c r="Y1574" s="46">
        <f>IFERROR(IF(OR(C1574="AREA I",C1574="AREA V"),7,VLOOKUP(A1574,'[1]MC Masterlist 2026-09-12'!$B:$M, 12, 0)),0)</f>
        <v>30</v>
      </c>
      <c r="Z1574" s="46">
        <f t="shared" si="369"/>
        <v>0.16666666666666666</v>
      </c>
      <c r="AA1574" s="46">
        <f t="shared" si="370"/>
        <v>0.33333333333333331</v>
      </c>
      <c r="AB1574" s="46">
        <f t="shared" si="371"/>
        <v>0.33148148148148143</v>
      </c>
      <c r="AC1574" s="46">
        <f t="shared" si="372"/>
        <v>0.33333333333333331</v>
      </c>
      <c r="AD1574" s="44" t="str">
        <f t="shared" si="373"/>
        <v>Over</v>
      </c>
      <c r="AE1574" s="44" t="str">
        <f>IFERROR(VLOOKUP(A1574,'[1]Re-order'!$A:$AA,27,0),"")</f>
        <v>Over</v>
      </c>
      <c r="AF1574" s="46">
        <f t="shared" si="374"/>
        <v>-1.6666666666666667</v>
      </c>
      <c r="AG1574" s="46">
        <f>SUMIFS('[1]Raw Inventory'!D:D,'[1]Raw Inventory'!C:C,"GREATWALL",'[1]Raw Inventory'!B:B,A1574)</f>
        <v>3</v>
      </c>
      <c r="AH1574" s="46">
        <f>SUMIFS('[1]Raw Inventory'!D:D,'[1]Raw Inventory'!C:C,"DUARTE",'[1]Raw Inventory'!B:B,A1574)</f>
        <v>0</v>
      </c>
      <c r="AI1574" s="46"/>
      <c r="AJ1574" s="46"/>
      <c r="AK1574" s="43"/>
      <c r="AL1574" s="43"/>
      <c r="AM1574" s="43"/>
      <c r="AN1574" s="43"/>
      <c r="AO1574" s="43"/>
      <c r="AP1574" s="43"/>
      <c r="AQ1574" s="43"/>
      <c r="AR1574" s="43"/>
      <c r="AS1574" s="43"/>
      <c r="AT1574" s="43"/>
    </row>
    <row r="1575" spans="1:46">
      <c r="A1575" s="43" t="s">
        <v>105</v>
      </c>
      <c r="B1575" s="43" t="s">
        <v>120</v>
      </c>
      <c r="C1575" s="43" t="s">
        <v>118</v>
      </c>
      <c r="D1575" s="44" t="s">
        <v>242</v>
      </c>
      <c r="E1575" s="44">
        <v>23</v>
      </c>
      <c r="F1575" s="44" t="s">
        <v>3</v>
      </c>
      <c r="G1575" s="43" t="str">
        <f>IFERROR(VLOOKUP(A1575,'[1]MC Masterlist 2026-09-12'!$B:$M, 3, 0),"")</f>
        <v>SUZUKI</v>
      </c>
      <c r="H1575" s="45">
        <f>IFERROR(VLOOKUP(A1575,'[1]MC Masterlist 2026-09-12'!$B:$M, 6, 0),"")</f>
        <v>215770</v>
      </c>
      <c r="I1575" s="46">
        <v>0</v>
      </c>
      <c r="J1575" s="46">
        <v>0</v>
      </c>
      <c r="K1575" s="46">
        <v>0</v>
      </c>
      <c r="L1575" s="46">
        <f t="shared" si="360"/>
        <v>0</v>
      </c>
      <c r="M1575" s="46">
        <f t="shared" si="361"/>
        <v>0</v>
      </c>
      <c r="N1575" s="45">
        <f t="shared" si="362"/>
        <v>0</v>
      </c>
      <c r="O1575" s="45">
        <f t="shared" si="363"/>
        <v>0</v>
      </c>
      <c r="P1575" s="46">
        <f t="shared" si="364"/>
        <v>0</v>
      </c>
      <c r="Q1575" s="46">
        <v>1</v>
      </c>
      <c r="R1575" s="45">
        <f t="shared" si="365"/>
        <v>215770</v>
      </c>
      <c r="S1575" s="46">
        <f t="shared" si="366"/>
        <v>0</v>
      </c>
      <c r="T1575" s="46" t="str">
        <f>IFERROR(VLOOKUP(A1575,'[1]Re-order'!$A:$Q,17,0),"")</f>
        <v/>
      </c>
      <c r="U1575" s="46">
        <f>IFERROR(VLOOKUP(A1575,'[1]MC Masterlist 2026-09-12'!$B:$M, 10, 0),0)</f>
        <v>15</v>
      </c>
      <c r="V1575" s="46">
        <f>IFERROR(VLOOKUP(A1575,'[1]MC Masterlist 2026-09-12'!$B:$M, 11, 0),0)</f>
        <v>15</v>
      </c>
      <c r="W1575" s="46">
        <f t="shared" si="367"/>
        <v>30</v>
      </c>
      <c r="X1575" s="46">
        <f t="shared" si="368"/>
        <v>30</v>
      </c>
      <c r="Y1575" s="46">
        <f>IFERROR(IF(OR(C1575="AREA I",C1575="AREA V"),7,VLOOKUP(A1575,'[1]MC Masterlist 2026-09-12'!$B:$M, 12, 0)),0)</f>
        <v>30</v>
      </c>
      <c r="Z1575" s="46">
        <f t="shared" si="369"/>
        <v>0</v>
      </c>
      <c r="AA1575" s="46">
        <f t="shared" si="370"/>
        <v>0</v>
      </c>
      <c r="AB1575" s="46">
        <f t="shared" si="371"/>
        <v>0</v>
      </c>
      <c r="AC1575" s="46">
        <f t="shared" si="372"/>
        <v>0</v>
      </c>
      <c r="AD1575" s="44" t="str">
        <f t="shared" si="373"/>
        <v>Over</v>
      </c>
      <c r="AE1575" s="44" t="str">
        <f>IFERROR(VLOOKUP(A1575,'[1]Re-order'!$A:$AA,27,0),"")</f>
        <v>Over</v>
      </c>
      <c r="AF1575" s="46">
        <f t="shared" si="374"/>
        <v>-1</v>
      </c>
      <c r="AG1575" s="46">
        <f>SUMIFS('[1]Raw Inventory'!D:D,'[1]Raw Inventory'!C:C,"GREATWALL",'[1]Raw Inventory'!B:B,A1575)</f>
        <v>0</v>
      </c>
      <c r="AH1575" s="46">
        <f>SUMIFS('[1]Raw Inventory'!D:D,'[1]Raw Inventory'!C:C,"DUARTE",'[1]Raw Inventory'!B:B,A1575)</f>
        <v>0</v>
      </c>
      <c r="AI1575" s="46"/>
      <c r="AJ1575" s="46"/>
      <c r="AK1575" s="43"/>
      <c r="AL1575" s="43"/>
      <c r="AM1575" s="43"/>
      <c r="AN1575" s="43"/>
      <c r="AO1575" s="43"/>
      <c r="AP1575" s="43"/>
      <c r="AQ1575" s="43"/>
      <c r="AR1575" s="43"/>
      <c r="AS1575" s="43"/>
      <c r="AT1575" s="43"/>
    </row>
    <row r="1576" spans="1:46">
      <c r="A1576" s="43" t="s">
        <v>39</v>
      </c>
      <c r="B1576" s="43" t="s">
        <v>157</v>
      </c>
      <c r="C1576" s="43" t="s">
        <v>152</v>
      </c>
      <c r="D1576" s="44" t="s">
        <v>229</v>
      </c>
      <c r="E1576" s="44">
        <v>21</v>
      </c>
      <c r="F1576" s="44" t="s">
        <v>3</v>
      </c>
      <c r="G1576" s="43" t="str">
        <f>IFERROR(VLOOKUP(A1576,'[1]MC Masterlist 2026-09-12'!$B:$M, 3, 0),"")</f>
        <v>HONDA</v>
      </c>
      <c r="H1576" s="45">
        <f>IFERROR(VLOOKUP(A1576,'[1]MC Masterlist 2026-09-12'!$B:$M, 6, 0),"")</f>
        <v>72434</v>
      </c>
      <c r="I1576" s="46">
        <v>1</v>
      </c>
      <c r="J1576" s="46">
        <v>0</v>
      </c>
      <c r="K1576" s="46">
        <v>0</v>
      </c>
      <c r="L1576" s="46">
        <f t="shared" si="360"/>
        <v>1</v>
      </c>
      <c r="M1576" s="46">
        <f t="shared" si="361"/>
        <v>0.33333333333333331</v>
      </c>
      <c r="N1576" s="45">
        <f t="shared" si="362"/>
        <v>72434</v>
      </c>
      <c r="O1576" s="45">
        <f t="shared" si="363"/>
        <v>24144.666666666664</v>
      </c>
      <c r="P1576" s="46">
        <f t="shared" si="364"/>
        <v>1.111111111111111E-2</v>
      </c>
      <c r="Q1576" s="46">
        <v>1</v>
      </c>
      <c r="R1576" s="45">
        <f t="shared" si="365"/>
        <v>72434</v>
      </c>
      <c r="S1576" s="46">
        <f t="shared" si="366"/>
        <v>90.000000000000014</v>
      </c>
      <c r="T1576" s="46">
        <f>IFERROR(VLOOKUP(A1576,'[1]Re-order'!$A:$Q,17,0),"")</f>
        <v>40.982142857142854</v>
      </c>
      <c r="U1576" s="46">
        <f>IFERROR(VLOOKUP(A1576,'[1]MC Masterlist 2026-09-12'!$B:$M, 10, 0),0)</f>
        <v>15</v>
      </c>
      <c r="V1576" s="46">
        <f>IFERROR(VLOOKUP(A1576,'[1]MC Masterlist 2026-09-12'!$B:$M, 11, 0),0)</f>
        <v>15</v>
      </c>
      <c r="W1576" s="46">
        <f t="shared" si="367"/>
        <v>30</v>
      </c>
      <c r="X1576" s="46">
        <f t="shared" si="368"/>
        <v>29.833333333333332</v>
      </c>
      <c r="Y1576" s="46">
        <f>IFERROR(IF(OR(C1576="AREA I",C1576="AREA V"),7,VLOOKUP(A1576,'[1]MC Masterlist 2026-09-12'!$B:$M, 12, 0)),0)</f>
        <v>30</v>
      </c>
      <c r="Z1576" s="46">
        <f t="shared" si="369"/>
        <v>0.16666666666666666</v>
      </c>
      <c r="AA1576" s="46">
        <f t="shared" si="370"/>
        <v>0.33333333333333331</v>
      </c>
      <c r="AB1576" s="46">
        <f t="shared" si="371"/>
        <v>0.33148148148148143</v>
      </c>
      <c r="AC1576" s="46">
        <f t="shared" si="372"/>
        <v>0.33333333333333331</v>
      </c>
      <c r="AD1576" s="44" t="str">
        <f t="shared" si="373"/>
        <v>Over</v>
      </c>
      <c r="AE1576" s="44" t="str">
        <f>IFERROR(VLOOKUP(A1576,'[1]Re-order'!$A:$AA,27,0),"")</f>
        <v>Re-order</v>
      </c>
      <c r="AF1576" s="46">
        <f t="shared" si="374"/>
        <v>-0.66666666666666674</v>
      </c>
      <c r="AG1576" s="46">
        <f>SUMIFS('[1]Raw Inventory'!D:D,'[1]Raw Inventory'!C:C,"GREATWALL",'[1]Raw Inventory'!B:B,A1576)</f>
        <v>16</v>
      </c>
      <c r="AH1576" s="46">
        <f>SUMIFS('[1]Raw Inventory'!D:D,'[1]Raw Inventory'!C:C,"DUARTE",'[1]Raw Inventory'!B:B,A1576)</f>
        <v>0</v>
      </c>
      <c r="AI1576" s="46"/>
      <c r="AJ1576" s="46"/>
      <c r="AK1576" s="43"/>
      <c r="AL1576" s="43"/>
      <c r="AM1576" s="43"/>
      <c r="AN1576" s="43"/>
      <c r="AO1576" s="43"/>
      <c r="AP1576" s="43"/>
      <c r="AQ1576" s="43"/>
      <c r="AR1576" s="43"/>
      <c r="AS1576" s="43"/>
      <c r="AT1576" s="43"/>
    </row>
    <row r="1577" spans="1:46">
      <c r="A1577" s="43" t="s">
        <v>24</v>
      </c>
      <c r="B1577" s="43" t="s">
        <v>145</v>
      </c>
      <c r="C1577" s="43" t="s">
        <v>137</v>
      </c>
      <c r="D1577" s="44" t="s">
        <v>264</v>
      </c>
      <c r="E1577" s="44">
        <v>7</v>
      </c>
      <c r="F1577" s="44" t="s">
        <v>0</v>
      </c>
      <c r="G1577" s="43" t="str">
        <f>IFERROR(VLOOKUP(A1577,'[1]MC Masterlist 2026-09-12'!$B:$M, 3, 0),"")</f>
        <v>KAWASAKI</v>
      </c>
      <c r="H1577" s="45">
        <f>IFERROR(VLOOKUP(A1577,'[1]MC Masterlist 2026-09-12'!$B:$M, 6, 0),"")</f>
        <v>131626</v>
      </c>
      <c r="I1577" s="46">
        <v>1</v>
      </c>
      <c r="J1577" s="46">
        <v>0</v>
      </c>
      <c r="K1577" s="46">
        <v>2</v>
      </c>
      <c r="L1577" s="46">
        <f t="shared" si="360"/>
        <v>3</v>
      </c>
      <c r="M1577" s="46">
        <f t="shared" si="361"/>
        <v>1</v>
      </c>
      <c r="N1577" s="45">
        <f t="shared" si="362"/>
        <v>394878</v>
      </c>
      <c r="O1577" s="45">
        <f t="shared" si="363"/>
        <v>131626</v>
      </c>
      <c r="P1577" s="46">
        <f t="shared" si="364"/>
        <v>3.3333333333333333E-2</v>
      </c>
      <c r="Q1577" s="46">
        <v>1</v>
      </c>
      <c r="R1577" s="45">
        <f t="shared" si="365"/>
        <v>131626</v>
      </c>
      <c r="S1577" s="46">
        <f t="shared" si="366"/>
        <v>30</v>
      </c>
      <c r="T1577" s="46">
        <f>IFERROR(VLOOKUP(A1577,'[1]Re-order'!$A:$Q,17,0),"")</f>
        <v>40.677966101694913</v>
      </c>
      <c r="U1577" s="46">
        <f>IFERROR(VLOOKUP(A1577,'[1]MC Masterlist 2026-09-12'!$B:$M, 10, 0),0)</f>
        <v>15</v>
      </c>
      <c r="V1577" s="46">
        <f>IFERROR(VLOOKUP(A1577,'[1]MC Masterlist 2026-09-12'!$B:$M, 11, 0),0)</f>
        <v>15</v>
      </c>
      <c r="W1577" s="46">
        <f t="shared" si="367"/>
        <v>30</v>
      </c>
      <c r="X1577" s="46">
        <f t="shared" si="368"/>
        <v>6.5</v>
      </c>
      <c r="Y1577" s="46">
        <f>IFERROR(IF(OR(C1577="AREA I",C1577="AREA V"),7,VLOOKUP(A1577,'[1]MC Masterlist 2026-09-12'!$B:$M, 12, 0)),0)</f>
        <v>7</v>
      </c>
      <c r="Z1577" s="46">
        <f t="shared" si="369"/>
        <v>0.5</v>
      </c>
      <c r="AA1577" s="46">
        <f t="shared" si="370"/>
        <v>1</v>
      </c>
      <c r="AB1577" s="46">
        <f t="shared" si="371"/>
        <v>0.21666666666666667</v>
      </c>
      <c r="AC1577" s="46">
        <f t="shared" si="372"/>
        <v>0.23333333333333334</v>
      </c>
      <c r="AD1577" s="44" t="str">
        <f t="shared" si="373"/>
        <v>Over</v>
      </c>
      <c r="AE1577" s="44" t="str">
        <f>IFERROR(VLOOKUP(A1577,'[1]Re-order'!$A:$AA,27,0),"")</f>
        <v>Re-order</v>
      </c>
      <c r="AF1577" s="46">
        <f t="shared" si="374"/>
        <v>-0.76666666666666661</v>
      </c>
      <c r="AG1577" s="46">
        <f>SUMIFS('[1]Raw Inventory'!D:D,'[1]Raw Inventory'!C:C,"GREATWALL",'[1]Raw Inventory'!B:B,A1577)</f>
        <v>12</v>
      </c>
      <c r="AH1577" s="46">
        <f>SUMIFS('[1]Raw Inventory'!D:D,'[1]Raw Inventory'!C:C,"DUARTE",'[1]Raw Inventory'!B:B,A1577)</f>
        <v>0</v>
      </c>
      <c r="AI1577" s="46"/>
      <c r="AJ1577" s="46"/>
      <c r="AK1577" s="43"/>
      <c r="AL1577" s="43"/>
      <c r="AM1577" s="43"/>
      <c r="AN1577" s="43"/>
      <c r="AO1577" s="43"/>
      <c r="AP1577" s="43"/>
      <c r="AQ1577" s="43"/>
      <c r="AR1577" s="43"/>
      <c r="AS1577" s="43"/>
      <c r="AT1577" s="43"/>
    </row>
    <row r="1578" spans="1:46">
      <c r="A1578" s="43" t="s">
        <v>52</v>
      </c>
      <c r="B1578" s="43" t="s">
        <v>121</v>
      </c>
      <c r="C1578" s="43" t="s">
        <v>118</v>
      </c>
      <c r="D1578" s="44" t="s">
        <v>246</v>
      </c>
      <c r="E1578" s="44">
        <v>13</v>
      </c>
      <c r="F1578" s="44" t="s">
        <v>2</v>
      </c>
      <c r="G1578" s="43" t="str">
        <f>IFERROR(VLOOKUP(A1578,'[1]MC Masterlist 2026-09-12'!$B:$M, 3, 0),"")</f>
        <v>YAMAHA</v>
      </c>
      <c r="H1578" s="45">
        <f>IFERROR(VLOOKUP(A1578,'[1]MC Masterlist 2026-09-12'!$B:$M, 6, 0),"")</f>
        <v>85446</v>
      </c>
      <c r="I1578" s="46">
        <v>1</v>
      </c>
      <c r="J1578" s="46">
        <v>1</v>
      </c>
      <c r="K1578" s="46">
        <v>2</v>
      </c>
      <c r="L1578" s="46">
        <f t="shared" si="360"/>
        <v>4</v>
      </c>
      <c r="M1578" s="46">
        <f t="shared" si="361"/>
        <v>1.3333333333333333</v>
      </c>
      <c r="N1578" s="45">
        <f t="shared" si="362"/>
        <v>341784</v>
      </c>
      <c r="O1578" s="45">
        <f t="shared" si="363"/>
        <v>113928</v>
      </c>
      <c r="P1578" s="46">
        <f t="shared" si="364"/>
        <v>4.4444444444444439E-2</v>
      </c>
      <c r="Q1578" s="46">
        <v>1</v>
      </c>
      <c r="R1578" s="45">
        <f t="shared" si="365"/>
        <v>85446</v>
      </c>
      <c r="S1578" s="46">
        <f t="shared" si="366"/>
        <v>22.5</v>
      </c>
      <c r="T1578" s="46">
        <f>IFERROR(VLOOKUP(A1578,'[1]Re-order'!$A:$Q,17,0),"")</f>
        <v>95.454545454545453</v>
      </c>
      <c r="U1578" s="46">
        <f>IFERROR(VLOOKUP(A1578,'[1]MC Masterlist 2026-09-12'!$B:$M, 10, 0),0)</f>
        <v>15</v>
      </c>
      <c r="V1578" s="46">
        <f>IFERROR(VLOOKUP(A1578,'[1]MC Masterlist 2026-09-12'!$B:$M, 11, 0),0)</f>
        <v>15</v>
      </c>
      <c r="W1578" s="46">
        <f t="shared" si="367"/>
        <v>30</v>
      </c>
      <c r="X1578" s="46">
        <f t="shared" si="368"/>
        <v>29.333333333333332</v>
      </c>
      <c r="Y1578" s="46">
        <f>IFERROR(IF(OR(C1578="AREA I",C1578="AREA V"),7,VLOOKUP(A1578,'[1]MC Masterlist 2026-09-12'!$B:$M, 12, 0)),0)</f>
        <v>30</v>
      </c>
      <c r="Z1578" s="46">
        <f t="shared" si="369"/>
        <v>0.66666666666666663</v>
      </c>
      <c r="AA1578" s="46">
        <f t="shared" si="370"/>
        <v>1.3333333333333333</v>
      </c>
      <c r="AB1578" s="46">
        <f t="shared" si="371"/>
        <v>1.3037037037037036</v>
      </c>
      <c r="AC1578" s="46">
        <f t="shared" si="372"/>
        <v>1.3333333333333333</v>
      </c>
      <c r="AD1578" s="44" t="str">
        <f t="shared" si="373"/>
        <v>Re-order</v>
      </c>
      <c r="AE1578" s="44" t="str">
        <f>IFERROR(VLOOKUP(A1578,'[1]Re-order'!$A:$AA,27,0),"")</f>
        <v>Over</v>
      </c>
      <c r="AF1578" s="46">
        <f t="shared" si="374"/>
        <v>0.33333333333333326</v>
      </c>
      <c r="AG1578" s="46">
        <f>SUMIFS('[1]Raw Inventory'!D:D,'[1]Raw Inventory'!C:C,"GREATWALL",'[1]Raw Inventory'!B:B,A1578)</f>
        <v>0</v>
      </c>
      <c r="AH1578" s="46">
        <f>SUMIFS('[1]Raw Inventory'!D:D,'[1]Raw Inventory'!C:C,"DUARTE",'[1]Raw Inventory'!B:B,A1578)</f>
        <v>0</v>
      </c>
      <c r="AI1578" s="46"/>
      <c r="AJ1578" s="46"/>
      <c r="AK1578" s="43"/>
      <c r="AL1578" s="43"/>
      <c r="AM1578" s="43"/>
      <c r="AN1578" s="43"/>
      <c r="AO1578" s="43"/>
      <c r="AP1578" s="43"/>
      <c r="AQ1578" s="43"/>
      <c r="AR1578" s="43"/>
      <c r="AS1578" s="43"/>
      <c r="AT1578" s="43"/>
    </row>
    <row r="1579" spans="1:46">
      <c r="A1579" s="43" t="s">
        <v>17</v>
      </c>
      <c r="B1579" s="43" t="s">
        <v>154</v>
      </c>
      <c r="C1579" s="43" t="s">
        <v>152</v>
      </c>
      <c r="D1579" s="44" t="s">
        <v>246</v>
      </c>
      <c r="E1579" s="44">
        <v>11</v>
      </c>
      <c r="F1579" s="44" t="s">
        <v>2</v>
      </c>
      <c r="G1579" s="43" t="str">
        <f>IFERROR(VLOOKUP(A1579,'[1]MC Masterlist 2026-09-12'!$B:$M, 3, 0),"")</f>
        <v>HONDA</v>
      </c>
      <c r="H1579" s="45">
        <f>IFERROR(VLOOKUP(A1579,'[1]MC Masterlist 2026-09-12'!$B:$M, 6, 0),"")</f>
        <v>140790</v>
      </c>
      <c r="I1579" s="46">
        <v>0</v>
      </c>
      <c r="J1579" s="46">
        <v>1</v>
      </c>
      <c r="K1579" s="46">
        <v>1</v>
      </c>
      <c r="L1579" s="46">
        <f t="shared" si="360"/>
        <v>2</v>
      </c>
      <c r="M1579" s="46">
        <f t="shared" si="361"/>
        <v>0.66666666666666663</v>
      </c>
      <c r="N1579" s="45">
        <f t="shared" si="362"/>
        <v>281580</v>
      </c>
      <c r="O1579" s="45">
        <f t="shared" si="363"/>
        <v>93860</v>
      </c>
      <c r="P1579" s="46">
        <f t="shared" si="364"/>
        <v>2.222222222222222E-2</v>
      </c>
      <c r="Q1579" s="46">
        <v>2</v>
      </c>
      <c r="R1579" s="45">
        <f t="shared" si="365"/>
        <v>281580</v>
      </c>
      <c r="S1579" s="46">
        <f t="shared" si="366"/>
        <v>90</v>
      </c>
      <c r="T1579" s="46">
        <f>IFERROR(VLOOKUP(A1579,'[1]Re-order'!$A:$Q,17,0),"")</f>
        <v>43.663366336633665</v>
      </c>
      <c r="U1579" s="46">
        <f>IFERROR(VLOOKUP(A1579,'[1]MC Masterlist 2026-09-12'!$B:$M, 10, 0),0)</f>
        <v>15</v>
      </c>
      <c r="V1579" s="46">
        <f>IFERROR(VLOOKUP(A1579,'[1]MC Masterlist 2026-09-12'!$B:$M, 11, 0),0)</f>
        <v>15</v>
      </c>
      <c r="W1579" s="46">
        <f t="shared" si="367"/>
        <v>30</v>
      </c>
      <c r="X1579" s="46">
        <f t="shared" si="368"/>
        <v>29.666666666666668</v>
      </c>
      <c r="Y1579" s="46">
        <f>IFERROR(IF(OR(C1579="AREA I",C1579="AREA V"),7,VLOOKUP(A1579,'[1]MC Masterlist 2026-09-12'!$B:$M, 12, 0)),0)</f>
        <v>30</v>
      </c>
      <c r="Z1579" s="46">
        <f t="shared" si="369"/>
        <v>0.33333333333333331</v>
      </c>
      <c r="AA1579" s="46">
        <f t="shared" si="370"/>
        <v>0.66666666666666663</v>
      </c>
      <c r="AB1579" s="46">
        <f t="shared" si="371"/>
        <v>0.65925925925925921</v>
      </c>
      <c r="AC1579" s="46">
        <f t="shared" si="372"/>
        <v>0.66666666666666663</v>
      </c>
      <c r="AD1579" s="44" t="str">
        <f t="shared" si="373"/>
        <v>Over</v>
      </c>
      <c r="AE1579" s="44" t="str">
        <f>IFERROR(VLOOKUP(A1579,'[1]Re-order'!$A:$AA,27,0),"")</f>
        <v>Re-order</v>
      </c>
      <c r="AF1579" s="46">
        <f t="shared" si="374"/>
        <v>-1.3333333333333335</v>
      </c>
      <c r="AG1579" s="46">
        <f>SUMIFS('[1]Raw Inventory'!D:D,'[1]Raw Inventory'!C:C,"GREATWALL",'[1]Raw Inventory'!B:B,A1579)</f>
        <v>12</v>
      </c>
      <c r="AH1579" s="46">
        <f>SUMIFS('[1]Raw Inventory'!D:D,'[1]Raw Inventory'!C:C,"DUARTE",'[1]Raw Inventory'!B:B,A1579)</f>
        <v>0</v>
      </c>
      <c r="AI1579" s="46"/>
      <c r="AJ1579" s="46"/>
      <c r="AK1579" s="43"/>
      <c r="AL1579" s="43"/>
      <c r="AM1579" s="43"/>
      <c r="AN1579" s="43"/>
      <c r="AO1579" s="43"/>
      <c r="AP1579" s="43"/>
      <c r="AQ1579" s="43"/>
      <c r="AR1579" s="43"/>
      <c r="AS1579" s="43"/>
      <c r="AT1579" s="43"/>
    </row>
    <row r="1580" spans="1:46">
      <c r="A1580" s="43" t="s">
        <v>43</v>
      </c>
      <c r="B1580" s="43" t="s">
        <v>145</v>
      </c>
      <c r="C1580" s="43" t="s">
        <v>137</v>
      </c>
      <c r="D1580" s="44" t="s">
        <v>239</v>
      </c>
      <c r="E1580" s="44">
        <v>28</v>
      </c>
      <c r="F1580" s="44" t="s">
        <v>3</v>
      </c>
      <c r="G1580" s="43" t="str">
        <f>IFERROR(VLOOKUP(A1580,'[1]MC Masterlist 2026-09-12'!$B:$M, 3, 0),"")</f>
        <v>YAMAHA</v>
      </c>
      <c r="H1580" s="45">
        <f>IFERROR(VLOOKUP(A1580,'[1]MC Masterlist 2026-09-12'!$B:$M, 6, 0),"")</f>
        <v>70587</v>
      </c>
      <c r="I1580" s="46">
        <v>0</v>
      </c>
      <c r="J1580" s="46">
        <v>0</v>
      </c>
      <c r="K1580" s="46">
        <v>0</v>
      </c>
      <c r="L1580" s="46">
        <f t="shared" si="360"/>
        <v>0</v>
      </c>
      <c r="M1580" s="46">
        <f t="shared" si="361"/>
        <v>0</v>
      </c>
      <c r="N1580" s="45">
        <f t="shared" si="362"/>
        <v>0</v>
      </c>
      <c r="O1580" s="45">
        <f t="shared" si="363"/>
        <v>0</v>
      </c>
      <c r="P1580" s="46">
        <f t="shared" si="364"/>
        <v>0</v>
      </c>
      <c r="Q1580" s="46">
        <v>1</v>
      </c>
      <c r="R1580" s="45">
        <f t="shared" si="365"/>
        <v>70587</v>
      </c>
      <c r="S1580" s="46">
        <f t="shared" si="366"/>
        <v>0</v>
      </c>
      <c r="T1580" s="46">
        <f>IFERROR(VLOOKUP(A1580,'[1]Re-order'!$A:$Q,17,0),"")</f>
        <v>43.578947368421055</v>
      </c>
      <c r="U1580" s="46">
        <f>IFERROR(VLOOKUP(A1580,'[1]MC Masterlist 2026-09-12'!$B:$M, 10, 0),0)</f>
        <v>15</v>
      </c>
      <c r="V1580" s="46">
        <f>IFERROR(VLOOKUP(A1580,'[1]MC Masterlist 2026-09-12'!$B:$M, 11, 0),0)</f>
        <v>15</v>
      </c>
      <c r="W1580" s="46">
        <f t="shared" si="367"/>
        <v>30</v>
      </c>
      <c r="X1580" s="46">
        <f t="shared" si="368"/>
        <v>7</v>
      </c>
      <c r="Y1580" s="46">
        <f>IFERROR(IF(OR(C1580="AREA I",C1580="AREA V"),7,VLOOKUP(A1580,'[1]MC Masterlist 2026-09-12'!$B:$M, 12, 0)),0)</f>
        <v>7</v>
      </c>
      <c r="Z1580" s="46">
        <f t="shared" si="369"/>
        <v>0</v>
      </c>
      <c r="AA1580" s="46">
        <f t="shared" si="370"/>
        <v>0</v>
      </c>
      <c r="AB1580" s="46">
        <f t="shared" si="371"/>
        <v>0</v>
      </c>
      <c r="AC1580" s="46">
        <f t="shared" si="372"/>
        <v>0</v>
      </c>
      <c r="AD1580" s="44" t="str">
        <f t="shared" si="373"/>
        <v>Over</v>
      </c>
      <c r="AE1580" s="44" t="str">
        <f>IFERROR(VLOOKUP(A1580,'[1]Re-order'!$A:$AA,27,0),"")</f>
        <v>Re-order</v>
      </c>
      <c r="AF1580" s="46">
        <f t="shared" si="374"/>
        <v>-1</v>
      </c>
      <c r="AG1580" s="46">
        <f>SUMIFS('[1]Raw Inventory'!D:D,'[1]Raw Inventory'!C:C,"GREATWALL",'[1]Raw Inventory'!B:B,A1580)</f>
        <v>0</v>
      </c>
      <c r="AH1580" s="46">
        <f>SUMIFS('[1]Raw Inventory'!D:D,'[1]Raw Inventory'!C:C,"DUARTE",'[1]Raw Inventory'!B:B,A1580)</f>
        <v>0</v>
      </c>
      <c r="AI1580" s="46"/>
      <c r="AJ1580" s="46"/>
      <c r="AK1580" s="43"/>
      <c r="AL1580" s="43"/>
      <c r="AM1580" s="43"/>
      <c r="AN1580" s="43"/>
      <c r="AO1580" s="43"/>
      <c r="AP1580" s="43"/>
      <c r="AQ1580" s="43"/>
      <c r="AR1580" s="43"/>
      <c r="AS1580" s="43"/>
      <c r="AT1580" s="43"/>
    </row>
    <row r="1581" spans="1:46">
      <c r="A1581" s="43" t="s">
        <v>26</v>
      </c>
      <c r="B1581" s="43" t="s">
        <v>158</v>
      </c>
      <c r="C1581" s="43" t="s">
        <v>152</v>
      </c>
      <c r="D1581" s="44" t="s">
        <v>224</v>
      </c>
      <c r="E1581" s="44">
        <v>11</v>
      </c>
      <c r="F1581" s="44" t="s">
        <v>2</v>
      </c>
      <c r="G1581" s="43" t="str">
        <f>IFERROR(VLOOKUP(A1581,'[1]MC Masterlist 2026-09-12'!$B:$M, 3, 0),"")</f>
        <v>SUZUKI</v>
      </c>
      <c r="H1581" s="45">
        <f>IFERROR(VLOOKUP(A1581,'[1]MC Masterlist 2026-09-12'!$B:$M, 6, 0),"")</f>
        <v>123700</v>
      </c>
      <c r="I1581" s="46">
        <v>0</v>
      </c>
      <c r="J1581" s="46">
        <v>1</v>
      </c>
      <c r="K1581" s="46">
        <v>1</v>
      </c>
      <c r="L1581" s="46">
        <f t="shared" si="360"/>
        <v>2</v>
      </c>
      <c r="M1581" s="46">
        <f t="shared" si="361"/>
        <v>0.66666666666666663</v>
      </c>
      <c r="N1581" s="45">
        <f t="shared" si="362"/>
        <v>247400</v>
      </c>
      <c r="O1581" s="45">
        <f t="shared" si="363"/>
        <v>82466.666666666657</v>
      </c>
      <c r="P1581" s="46">
        <f t="shared" si="364"/>
        <v>2.222222222222222E-2</v>
      </c>
      <c r="Q1581" s="46">
        <v>5</v>
      </c>
      <c r="R1581" s="45">
        <f t="shared" si="365"/>
        <v>618500</v>
      </c>
      <c r="S1581" s="46">
        <f t="shared" si="366"/>
        <v>225.00000000000003</v>
      </c>
      <c r="T1581" s="46">
        <f>IFERROR(VLOOKUP(A1581,'[1]Re-order'!$A:$Q,17,0),"")</f>
        <v>71.470588235294116</v>
      </c>
      <c r="U1581" s="46">
        <f>IFERROR(VLOOKUP(A1581,'[1]MC Masterlist 2026-09-12'!$B:$M, 10, 0),0)</f>
        <v>15</v>
      </c>
      <c r="V1581" s="46">
        <f>IFERROR(VLOOKUP(A1581,'[1]MC Masterlist 2026-09-12'!$B:$M, 11, 0),0)</f>
        <v>15</v>
      </c>
      <c r="W1581" s="46">
        <f t="shared" si="367"/>
        <v>30</v>
      </c>
      <c r="X1581" s="46">
        <f t="shared" si="368"/>
        <v>29.666666666666668</v>
      </c>
      <c r="Y1581" s="46">
        <f>IFERROR(IF(OR(C1581="AREA I",C1581="AREA V"),7,VLOOKUP(A1581,'[1]MC Masterlist 2026-09-12'!$B:$M, 12, 0)),0)</f>
        <v>30</v>
      </c>
      <c r="Z1581" s="46">
        <f t="shared" si="369"/>
        <v>0.33333333333333331</v>
      </c>
      <c r="AA1581" s="46">
        <f t="shared" si="370"/>
        <v>0.66666666666666663</v>
      </c>
      <c r="AB1581" s="46">
        <f t="shared" si="371"/>
        <v>0.65925925925925921</v>
      </c>
      <c r="AC1581" s="46">
        <f t="shared" si="372"/>
        <v>0.66666666666666663</v>
      </c>
      <c r="AD1581" s="44" t="str">
        <f t="shared" si="373"/>
        <v>Over</v>
      </c>
      <c r="AE1581" s="44" t="str">
        <f>IFERROR(VLOOKUP(A1581,'[1]Re-order'!$A:$AA,27,0),"")</f>
        <v>Re-order</v>
      </c>
      <c r="AF1581" s="46">
        <f t="shared" si="374"/>
        <v>-4.333333333333333</v>
      </c>
      <c r="AG1581" s="46">
        <f>SUMIFS('[1]Raw Inventory'!D:D,'[1]Raw Inventory'!C:C,"GREATWALL",'[1]Raw Inventory'!B:B,A1581)</f>
        <v>30</v>
      </c>
      <c r="AH1581" s="46">
        <f>SUMIFS('[1]Raw Inventory'!D:D,'[1]Raw Inventory'!C:C,"DUARTE",'[1]Raw Inventory'!B:B,A1581)</f>
        <v>0</v>
      </c>
      <c r="AI1581" s="46"/>
      <c r="AJ1581" s="46"/>
      <c r="AK1581" s="43"/>
      <c r="AL1581" s="43"/>
      <c r="AM1581" s="43"/>
      <c r="AN1581" s="43"/>
      <c r="AO1581" s="43"/>
      <c r="AP1581" s="43"/>
      <c r="AQ1581" s="43"/>
      <c r="AR1581" s="43"/>
      <c r="AS1581" s="43"/>
      <c r="AT1581" s="43"/>
    </row>
    <row r="1582" spans="1:46">
      <c r="A1582" s="43" t="s">
        <v>20</v>
      </c>
      <c r="B1582" s="43" t="s">
        <v>29</v>
      </c>
      <c r="C1582" s="43" t="s">
        <v>1</v>
      </c>
      <c r="D1582" s="44" t="s">
        <v>236</v>
      </c>
      <c r="E1582" s="44">
        <v>9</v>
      </c>
      <c r="F1582" s="44" t="s">
        <v>2</v>
      </c>
      <c r="G1582" s="43" t="str">
        <f>IFERROR(VLOOKUP(A1582,'[1]MC Masterlist 2026-09-12'!$B:$M, 3, 0),"")</f>
        <v>HONDA</v>
      </c>
      <c r="H1582" s="45">
        <f>IFERROR(VLOOKUP(A1582,'[1]MC Masterlist 2026-09-12'!$B:$M, 6, 0),"")</f>
        <v>69950</v>
      </c>
      <c r="I1582" s="46">
        <v>7</v>
      </c>
      <c r="J1582" s="46">
        <v>2</v>
      </c>
      <c r="K1582" s="46">
        <v>0</v>
      </c>
      <c r="L1582" s="46">
        <f t="shared" si="360"/>
        <v>9</v>
      </c>
      <c r="M1582" s="46">
        <f t="shared" si="361"/>
        <v>3</v>
      </c>
      <c r="N1582" s="45">
        <f t="shared" si="362"/>
        <v>629550</v>
      </c>
      <c r="O1582" s="45">
        <f t="shared" si="363"/>
        <v>209850</v>
      </c>
      <c r="P1582" s="46">
        <f t="shared" si="364"/>
        <v>0.1</v>
      </c>
      <c r="Q1582" s="46">
        <v>5</v>
      </c>
      <c r="R1582" s="45">
        <f t="shared" si="365"/>
        <v>349750</v>
      </c>
      <c r="S1582" s="46">
        <f t="shared" si="366"/>
        <v>50</v>
      </c>
      <c r="T1582" s="46">
        <f>IFERROR(VLOOKUP(A1582,'[1]Re-order'!$A:$Q,17,0),"")</f>
        <v>75.775862068965523</v>
      </c>
      <c r="U1582" s="46">
        <f>IFERROR(VLOOKUP(A1582,'[1]MC Masterlist 2026-09-12'!$B:$M, 10, 0),0)</f>
        <v>15</v>
      </c>
      <c r="V1582" s="46">
        <f>IFERROR(VLOOKUP(A1582,'[1]MC Masterlist 2026-09-12'!$B:$M, 11, 0),0)</f>
        <v>15</v>
      </c>
      <c r="W1582" s="46">
        <f t="shared" si="367"/>
        <v>30</v>
      </c>
      <c r="X1582" s="46">
        <f t="shared" si="368"/>
        <v>5.5</v>
      </c>
      <c r="Y1582" s="46">
        <f>IFERROR(IF(OR(C1582="AREA I",C1582="AREA V"),7,VLOOKUP(A1582,'[1]MC Masterlist 2026-09-12'!$B:$M, 12, 0)),0)</f>
        <v>7</v>
      </c>
      <c r="Z1582" s="46">
        <f t="shared" si="369"/>
        <v>1.5</v>
      </c>
      <c r="AA1582" s="46">
        <f t="shared" si="370"/>
        <v>3</v>
      </c>
      <c r="AB1582" s="46">
        <f t="shared" si="371"/>
        <v>0.55000000000000004</v>
      </c>
      <c r="AC1582" s="46">
        <f t="shared" si="372"/>
        <v>0.70000000000000007</v>
      </c>
      <c r="AD1582" s="44" t="str">
        <f t="shared" si="373"/>
        <v>Over</v>
      </c>
      <c r="AE1582" s="44" t="str">
        <f>IFERROR(VLOOKUP(A1582,'[1]Re-order'!$A:$AA,27,0),"")</f>
        <v/>
      </c>
      <c r="AF1582" s="46">
        <f t="shared" si="374"/>
        <v>-4.3</v>
      </c>
      <c r="AG1582" s="46">
        <f>SUMIFS('[1]Raw Inventory'!D:D,'[1]Raw Inventory'!C:C,"GREATWALL",'[1]Raw Inventory'!B:B,A1582)</f>
        <v>110</v>
      </c>
      <c r="AH1582" s="46">
        <f>SUMIFS('[1]Raw Inventory'!D:D,'[1]Raw Inventory'!C:C,"DUARTE",'[1]Raw Inventory'!B:B,A1582)</f>
        <v>0</v>
      </c>
      <c r="AI1582" s="46"/>
      <c r="AJ1582" s="46"/>
      <c r="AK1582" s="43"/>
      <c r="AL1582" s="43"/>
      <c r="AM1582" s="43"/>
      <c r="AN1582" s="43"/>
      <c r="AO1582" s="43"/>
      <c r="AP1582" s="43"/>
      <c r="AQ1582" s="43"/>
      <c r="AR1582" s="43"/>
      <c r="AS1582" s="43"/>
      <c r="AT1582" s="43"/>
    </row>
    <row r="1583" spans="1:46">
      <c r="A1583" s="43" t="s">
        <v>43</v>
      </c>
      <c r="B1583" s="43" t="s">
        <v>123</v>
      </c>
      <c r="C1583" s="43" t="s">
        <v>118</v>
      </c>
      <c r="D1583" s="44" t="s">
        <v>256</v>
      </c>
      <c r="E1583" s="44">
        <v>14</v>
      </c>
      <c r="F1583" s="44" t="s">
        <v>2</v>
      </c>
      <c r="G1583" s="43" t="str">
        <f>IFERROR(VLOOKUP(A1583,'[1]MC Masterlist 2026-09-12'!$B:$M, 3, 0),"")</f>
        <v>YAMAHA</v>
      </c>
      <c r="H1583" s="45">
        <f>IFERROR(VLOOKUP(A1583,'[1]MC Masterlist 2026-09-12'!$B:$M, 6, 0),"")</f>
        <v>70587</v>
      </c>
      <c r="I1583" s="46">
        <v>1</v>
      </c>
      <c r="J1583" s="46">
        <v>0</v>
      </c>
      <c r="K1583" s="46">
        <v>1</v>
      </c>
      <c r="L1583" s="46">
        <f t="shared" si="360"/>
        <v>2</v>
      </c>
      <c r="M1583" s="46">
        <f t="shared" si="361"/>
        <v>0.66666666666666663</v>
      </c>
      <c r="N1583" s="45">
        <f t="shared" si="362"/>
        <v>141174</v>
      </c>
      <c r="O1583" s="45">
        <f t="shared" si="363"/>
        <v>47058</v>
      </c>
      <c r="P1583" s="46">
        <f t="shared" si="364"/>
        <v>2.222222222222222E-2</v>
      </c>
      <c r="Q1583" s="46"/>
      <c r="R1583" s="45">
        <f t="shared" si="365"/>
        <v>0</v>
      </c>
      <c r="S1583" s="46">
        <f t="shared" si="366"/>
        <v>0</v>
      </c>
      <c r="T1583" s="46">
        <f>IFERROR(VLOOKUP(A1583,'[1]Re-order'!$A:$Q,17,0),"")</f>
        <v>43.578947368421055</v>
      </c>
      <c r="U1583" s="46">
        <f>IFERROR(VLOOKUP(A1583,'[1]MC Masterlist 2026-09-12'!$B:$M, 10, 0),0)</f>
        <v>15</v>
      </c>
      <c r="V1583" s="46">
        <f>IFERROR(VLOOKUP(A1583,'[1]MC Masterlist 2026-09-12'!$B:$M, 11, 0),0)</f>
        <v>15</v>
      </c>
      <c r="W1583" s="46">
        <f t="shared" si="367"/>
        <v>30</v>
      </c>
      <c r="X1583" s="46">
        <f t="shared" si="368"/>
        <v>29.666666666666668</v>
      </c>
      <c r="Y1583" s="46">
        <f>IFERROR(IF(OR(C1583="AREA I",C1583="AREA V"),7,VLOOKUP(A1583,'[1]MC Masterlist 2026-09-12'!$B:$M, 12, 0)),0)</f>
        <v>30</v>
      </c>
      <c r="Z1583" s="46">
        <f t="shared" si="369"/>
        <v>0.33333333333333331</v>
      </c>
      <c r="AA1583" s="46">
        <f t="shared" si="370"/>
        <v>0.66666666666666663</v>
      </c>
      <c r="AB1583" s="46">
        <f t="shared" si="371"/>
        <v>0.65925925925925921</v>
      </c>
      <c r="AC1583" s="46">
        <f t="shared" si="372"/>
        <v>0.66666666666666663</v>
      </c>
      <c r="AD1583" s="44" t="str">
        <f t="shared" si="373"/>
        <v>Stockout</v>
      </c>
      <c r="AE1583" s="44" t="str">
        <f>IFERROR(VLOOKUP(A1583,'[1]Re-order'!$A:$AA,27,0),"")</f>
        <v>Re-order</v>
      </c>
      <c r="AF1583" s="46">
        <f t="shared" si="374"/>
        <v>0.66666666666666663</v>
      </c>
      <c r="AG1583" s="46">
        <f>SUMIFS('[1]Raw Inventory'!D:D,'[1]Raw Inventory'!C:C,"GREATWALL",'[1]Raw Inventory'!B:B,A1583)</f>
        <v>0</v>
      </c>
      <c r="AH1583" s="46">
        <f>SUMIFS('[1]Raw Inventory'!D:D,'[1]Raw Inventory'!C:C,"DUARTE",'[1]Raw Inventory'!B:B,A1583)</f>
        <v>0</v>
      </c>
      <c r="AI1583" s="46"/>
      <c r="AJ1583" s="46"/>
      <c r="AK1583" s="43"/>
      <c r="AL1583" s="43"/>
      <c r="AM1583" s="43"/>
      <c r="AN1583" s="43"/>
      <c r="AO1583" s="43"/>
      <c r="AP1583" s="43"/>
      <c r="AQ1583" s="43"/>
      <c r="AR1583" s="43"/>
      <c r="AS1583" s="43"/>
      <c r="AT1583" s="43"/>
    </row>
    <row r="1584" spans="1:46">
      <c r="A1584" s="43" t="s">
        <v>18</v>
      </c>
      <c r="B1584" s="43" t="s">
        <v>95</v>
      </c>
      <c r="C1584" s="43" t="s">
        <v>90</v>
      </c>
      <c r="D1584" s="44" t="s">
        <v>236</v>
      </c>
      <c r="E1584" s="44">
        <v>8</v>
      </c>
      <c r="F1584" s="44" t="s">
        <v>2</v>
      </c>
      <c r="G1584" s="43" t="str">
        <f>IFERROR(VLOOKUP(A1584,'[1]MC Masterlist 2026-09-12'!$B:$M, 3, 0),"")</f>
        <v>HONDA</v>
      </c>
      <c r="H1584" s="45">
        <f>IFERROR(VLOOKUP(A1584,'[1]MC Masterlist 2026-09-12'!$B:$M, 6, 0),"")</f>
        <v>94330</v>
      </c>
      <c r="I1584" s="46">
        <v>2</v>
      </c>
      <c r="J1584" s="46">
        <v>0</v>
      </c>
      <c r="K1584" s="46">
        <v>1</v>
      </c>
      <c r="L1584" s="46">
        <f t="shared" si="360"/>
        <v>3</v>
      </c>
      <c r="M1584" s="46">
        <f t="shared" si="361"/>
        <v>1</v>
      </c>
      <c r="N1584" s="45">
        <f t="shared" si="362"/>
        <v>282990</v>
      </c>
      <c r="O1584" s="45">
        <f t="shared" si="363"/>
        <v>94330</v>
      </c>
      <c r="P1584" s="46">
        <f t="shared" si="364"/>
        <v>3.3333333333333333E-2</v>
      </c>
      <c r="Q1584" s="46"/>
      <c r="R1584" s="45">
        <f t="shared" si="365"/>
        <v>0</v>
      </c>
      <c r="S1584" s="46">
        <f t="shared" si="366"/>
        <v>0</v>
      </c>
      <c r="T1584" s="46">
        <f>IFERROR(VLOOKUP(A1584,'[1]Re-order'!$A:$Q,17,0),"")</f>
        <v>113.9644970414201</v>
      </c>
      <c r="U1584" s="46">
        <f>IFERROR(VLOOKUP(A1584,'[1]MC Masterlist 2026-09-12'!$B:$M, 10, 0),0)</f>
        <v>15</v>
      </c>
      <c r="V1584" s="46">
        <f>IFERROR(VLOOKUP(A1584,'[1]MC Masterlist 2026-09-12'!$B:$M, 11, 0),0)</f>
        <v>15</v>
      </c>
      <c r="W1584" s="46">
        <f t="shared" si="367"/>
        <v>30</v>
      </c>
      <c r="X1584" s="46">
        <f t="shared" si="368"/>
        <v>29.5</v>
      </c>
      <c r="Y1584" s="46">
        <f>IFERROR(IF(OR(C1584="AREA I",C1584="AREA V"),7,VLOOKUP(A1584,'[1]MC Masterlist 2026-09-12'!$B:$M, 12, 0)),0)</f>
        <v>30</v>
      </c>
      <c r="Z1584" s="46">
        <f t="shared" si="369"/>
        <v>0.5</v>
      </c>
      <c r="AA1584" s="46">
        <f t="shared" si="370"/>
        <v>1</v>
      </c>
      <c r="AB1584" s="46">
        <f t="shared" si="371"/>
        <v>0.98333333333333328</v>
      </c>
      <c r="AC1584" s="46">
        <f t="shared" si="372"/>
        <v>1</v>
      </c>
      <c r="AD1584" s="44" t="str">
        <f t="shared" si="373"/>
        <v>Stockout</v>
      </c>
      <c r="AE1584" s="44" t="str">
        <f>IFERROR(VLOOKUP(A1584,'[1]Re-order'!$A:$AA,27,0),"")</f>
        <v>Over</v>
      </c>
      <c r="AF1584" s="46">
        <f t="shared" si="374"/>
        <v>1</v>
      </c>
      <c r="AG1584" s="46">
        <f>SUMIFS('[1]Raw Inventory'!D:D,'[1]Raw Inventory'!C:C,"GREATWALL",'[1]Raw Inventory'!B:B,A1584)</f>
        <v>88</v>
      </c>
      <c r="AH1584" s="46">
        <f>SUMIFS('[1]Raw Inventory'!D:D,'[1]Raw Inventory'!C:C,"DUARTE",'[1]Raw Inventory'!B:B,A1584)</f>
        <v>0</v>
      </c>
      <c r="AI1584" s="46"/>
      <c r="AJ1584" s="46"/>
      <c r="AK1584" s="43"/>
      <c r="AL1584" s="43"/>
      <c r="AM1584" s="43"/>
      <c r="AN1584" s="43"/>
      <c r="AO1584" s="43"/>
      <c r="AP1584" s="43"/>
      <c r="AQ1584" s="43"/>
      <c r="AR1584" s="43"/>
      <c r="AS1584" s="43"/>
      <c r="AT1584" s="43"/>
    </row>
    <row r="1585" spans="1:46">
      <c r="A1585" s="43" t="s">
        <v>12</v>
      </c>
      <c r="B1585" s="43" t="s">
        <v>122</v>
      </c>
      <c r="C1585" s="43" t="s">
        <v>118</v>
      </c>
      <c r="D1585" s="44" t="s">
        <v>225</v>
      </c>
      <c r="E1585" s="44">
        <v>3</v>
      </c>
      <c r="F1585" s="44" t="s">
        <v>0</v>
      </c>
      <c r="G1585" s="43" t="str">
        <f>IFERROR(VLOOKUP(A1585,'[1]MC Masterlist 2026-09-12'!$B:$M, 3, 0),"")</f>
        <v>HONDA</v>
      </c>
      <c r="H1585" s="45">
        <f>IFERROR(VLOOKUP(A1585,'[1]MC Masterlist 2026-09-12'!$B:$M, 6, 0),"")</f>
        <v>158270</v>
      </c>
      <c r="I1585" s="46">
        <v>3</v>
      </c>
      <c r="J1585" s="46">
        <v>3</v>
      </c>
      <c r="K1585" s="46">
        <v>3</v>
      </c>
      <c r="L1585" s="46">
        <f t="shared" si="360"/>
        <v>9</v>
      </c>
      <c r="M1585" s="46">
        <f t="shared" si="361"/>
        <v>3</v>
      </c>
      <c r="N1585" s="45">
        <f t="shared" si="362"/>
        <v>1424430</v>
      </c>
      <c r="O1585" s="45">
        <f t="shared" si="363"/>
        <v>474810</v>
      </c>
      <c r="P1585" s="46">
        <f t="shared" si="364"/>
        <v>0.1</v>
      </c>
      <c r="Q1585" s="46"/>
      <c r="R1585" s="45">
        <f t="shared" si="365"/>
        <v>0</v>
      </c>
      <c r="S1585" s="46">
        <f t="shared" si="366"/>
        <v>0</v>
      </c>
      <c r="T1585" s="46">
        <f>IFERROR(VLOOKUP(A1585,'[1]Re-order'!$A:$Q,17,0),"")</f>
        <v>46.461038961038959</v>
      </c>
      <c r="U1585" s="46">
        <f>IFERROR(VLOOKUP(A1585,'[1]MC Masterlist 2026-09-12'!$B:$M, 10, 0),0)</f>
        <v>15</v>
      </c>
      <c r="V1585" s="46">
        <f>IFERROR(VLOOKUP(A1585,'[1]MC Masterlist 2026-09-12'!$B:$M, 11, 0),0)</f>
        <v>15</v>
      </c>
      <c r="W1585" s="46">
        <f t="shared" si="367"/>
        <v>30</v>
      </c>
      <c r="X1585" s="46">
        <f t="shared" si="368"/>
        <v>28.5</v>
      </c>
      <c r="Y1585" s="46">
        <f>IFERROR(IF(OR(C1585="AREA I",C1585="AREA V"),7,VLOOKUP(A1585,'[1]MC Masterlist 2026-09-12'!$B:$M, 12, 0)),0)</f>
        <v>30</v>
      </c>
      <c r="Z1585" s="46">
        <f t="shared" si="369"/>
        <v>1.5</v>
      </c>
      <c r="AA1585" s="46">
        <f t="shared" si="370"/>
        <v>3</v>
      </c>
      <c r="AB1585" s="46">
        <f t="shared" si="371"/>
        <v>2.85</v>
      </c>
      <c r="AC1585" s="46">
        <f t="shared" si="372"/>
        <v>3</v>
      </c>
      <c r="AD1585" s="44" t="str">
        <f t="shared" si="373"/>
        <v>Stockout</v>
      </c>
      <c r="AE1585" s="44" t="str">
        <f>IFERROR(VLOOKUP(A1585,'[1]Re-order'!$A:$AA,27,0),"")</f>
        <v>Re-order</v>
      </c>
      <c r="AF1585" s="46">
        <f t="shared" si="374"/>
        <v>3</v>
      </c>
      <c r="AG1585" s="46">
        <f>SUMIFS('[1]Raw Inventory'!D:D,'[1]Raw Inventory'!C:C,"GREATWALL",'[1]Raw Inventory'!B:B,A1585)</f>
        <v>35</v>
      </c>
      <c r="AH1585" s="46">
        <f>SUMIFS('[1]Raw Inventory'!D:D,'[1]Raw Inventory'!C:C,"DUARTE",'[1]Raw Inventory'!B:B,A1585)</f>
        <v>0</v>
      </c>
      <c r="AI1585" s="46"/>
      <c r="AJ1585" s="46"/>
      <c r="AK1585" s="43"/>
      <c r="AL1585" s="43"/>
      <c r="AM1585" s="43"/>
      <c r="AN1585" s="43"/>
      <c r="AO1585" s="43"/>
      <c r="AP1585" s="43"/>
      <c r="AQ1585" s="43"/>
      <c r="AR1585" s="43"/>
      <c r="AS1585" s="43"/>
      <c r="AT1585" s="43"/>
    </row>
    <row r="1586" spans="1:46">
      <c r="A1586" s="43" t="s">
        <v>108</v>
      </c>
      <c r="B1586" s="43" t="s">
        <v>110</v>
      </c>
      <c r="C1586" s="43" t="s">
        <v>109</v>
      </c>
      <c r="D1586" s="44" t="s">
        <v>231</v>
      </c>
      <c r="E1586" s="44">
        <v>30</v>
      </c>
      <c r="F1586" s="44" t="s">
        <v>3</v>
      </c>
      <c r="G1586" s="43" t="str">
        <f>IFERROR(VLOOKUP(A1586,'[1]MC Masterlist 2026-09-12'!$B:$M, 3, 0),"")</f>
        <v>SUZUKI</v>
      </c>
      <c r="H1586" s="45">
        <f>IFERROR(VLOOKUP(A1586,'[1]MC Masterlist 2026-09-12'!$B:$M, 6, 0),"")</f>
        <v>66412</v>
      </c>
      <c r="I1586" s="46">
        <v>0</v>
      </c>
      <c r="J1586" s="46">
        <v>0</v>
      </c>
      <c r="K1586" s="46">
        <v>0</v>
      </c>
      <c r="L1586" s="46">
        <f t="shared" si="360"/>
        <v>0</v>
      </c>
      <c r="M1586" s="46">
        <f t="shared" si="361"/>
        <v>0</v>
      </c>
      <c r="N1586" s="45">
        <f t="shared" si="362"/>
        <v>0</v>
      </c>
      <c r="O1586" s="45">
        <f t="shared" si="363"/>
        <v>0</v>
      </c>
      <c r="P1586" s="46">
        <f t="shared" si="364"/>
        <v>0</v>
      </c>
      <c r="Q1586" s="46">
        <v>1</v>
      </c>
      <c r="R1586" s="45">
        <f t="shared" si="365"/>
        <v>66412</v>
      </c>
      <c r="S1586" s="46">
        <f t="shared" si="366"/>
        <v>0</v>
      </c>
      <c r="T1586" s="46">
        <f>IFERROR(VLOOKUP(A1586,'[1]Re-order'!$A:$Q,17,0),"")</f>
        <v>540</v>
      </c>
      <c r="U1586" s="46">
        <f>IFERROR(VLOOKUP(A1586,'[1]MC Masterlist 2026-09-12'!$B:$M, 10, 0),0)</f>
        <v>15</v>
      </c>
      <c r="V1586" s="46">
        <f>IFERROR(VLOOKUP(A1586,'[1]MC Masterlist 2026-09-12'!$B:$M, 11, 0),0)</f>
        <v>15</v>
      </c>
      <c r="W1586" s="46">
        <f t="shared" si="367"/>
        <v>30</v>
      </c>
      <c r="X1586" s="46">
        <f t="shared" si="368"/>
        <v>30</v>
      </c>
      <c r="Y1586" s="46">
        <f>IFERROR(IF(OR(C1586="AREA I",C1586="AREA V"),7,VLOOKUP(A1586,'[1]MC Masterlist 2026-09-12'!$B:$M, 12, 0)),0)</f>
        <v>30</v>
      </c>
      <c r="Z1586" s="46">
        <f t="shared" si="369"/>
        <v>0</v>
      </c>
      <c r="AA1586" s="46">
        <f t="shared" si="370"/>
        <v>0</v>
      </c>
      <c r="AB1586" s="46">
        <f t="shared" si="371"/>
        <v>0</v>
      </c>
      <c r="AC1586" s="46">
        <f t="shared" si="372"/>
        <v>0</v>
      </c>
      <c r="AD1586" s="44" t="str">
        <f t="shared" si="373"/>
        <v>Over</v>
      </c>
      <c r="AE1586" s="44" t="str">
        <f>IFERROR(VLOOKUP(A1586,'[1]Re-order'!$A:$AA,27,0),"")</f>
        <v>Over</v>
      </c>
      <c r="AF1586" s="46">
        <f t="shared" si="374"/>
        <v>-1</v>
      </c>
      <c r="AG1586" s="46">
        <f>SUMIFS('[1]Raw Inventory'!D:D,'[1]Raw Inventory'!C:C,"GREATWALL",'[1]Raw Inventory'!B:B,A1586)</f>
        <v>0</v>
      </c>
      <c r="AH1586" s="46">
        <f>SUMIFS('[1]Raw Inventory'!D:D,'[1]Raw Inventory'!C:C,"DUARTE",'[1]Raw Inventory'!B:B,A1586)</f>
        <v>0</v>
      </c>
      <c r="AI1586" s="46"/>
      <c r="AJ1586" s="46"/>
      <c r="AK1586" s="43"/>
      <c r="AL1586" s="43"/>
      <c r="AM1586" s="43"/>
      <c r="AN1586" s="43"/>
      <c r="AO1586" s="43"/>
      <c r="AP1586" s="43"/>
      <c r="AQ1586" s="43"/>
      <c r="AR1586" s="43"/>
      <c r="AS1586" s="43"/>
      <c r="AT1586" s="43"/>
    </row>
    <row r="1587" spans="1:46">
      <c r="A1587" s="43" t="s">
        <v>69</v>
      </c>
      <c r="B1587" s="43" t="s">
        <v>143</v>
      </c>
      <c r="C1587" s="43" t="s">
        <v>137</v>
      </c>
      <c r="D1587" s="44" t="s">
        <v>258</v>
      </c>
      <c r="E1587" s="44">
        <v>26</v>
      </c>
      <c r="F1587" s="44" t="s">
        <v>3</v>
      </c>
      <c r="G1587" s="43" t="str">
        <f>IFERROR(VLOOKUP(A1587,'[1]MC Masterlist 2026-09-12'!$B:$M, 3, 0),"")</f>
        <v>YAMAHA</v>
      </c>
      <c r="H1587" s="45">
        <f>IFERROR(VLOOKUP(A1587,'[1]MC Masterlist 2026-09-12'!$B:$M, 6, 0),"")</f>
        <v>54426</v>
      </c>
      <c r="I1587" s="46">
        <v>0</v>
      </c>
      <c r="J1587" s="46">
        <v>0</v>
      </c>
      <c r="K1587" s="46">
        <v>0</v>
      </c>
      <c r="L1587" s="46">
        <f t="shared" si="360"/>
        <v>0</v>
      </c>
      <c r="M1587" s="46">
        <f t="shared" si="361"/>
        <v>0</v>
      </c>
      <c r="N1587" s="45">
        <f t="shared" si="362"/>
        <v>0</v>
      </c>
      <c r="O1587" s="45">
        <f t="shared" si="363"/>
        <v>0</v>
      </c>
      <c r="P1587" s="46">
        <f t="shared" si="364"/>
        <v>0</v>
      </c>
      <c r="Q1587" s="46">
        <v>1</v>
      </c>
      <c r="R1587" s="45">
        <f t="shared" si="365"/>
        <v>54426</v>
      </c>
      <c r="S1587" s="46">
        <f t="shared" si="366"/>
        <v>0</v>
      </c>
      <c r="T1587" s="46">
        <f>IFERROR(VLOOKUP(A1587,'[1]Re-order'!$A:$Q,17,0),"")</f>
        <v>62.307692307692314</v>
      </c>
      <c r="U1587" s="46">
        <f>IFERROR(VLOOKUP(A1587,'[1]MC Masterlist 2026-09-12'!$B:$M, 10, 0),0)</f>
        <v>15</v>
      </c>
      <c r="V1587" s="46">
        <f>IFERROR(VLOOKUP(A1587,'[1]MC Masterlist 2026-09-12'!$B:$M, 11, 0),0)</f>
        <v>15</v>
      </c>
      <c r="W1587" s="46">
        <f t="shared" si="367"/>
        <v>30</v>
      </c>
      <c r="X1587" s="46">
        <f t="shared" si="368"/>
        <v>7</v>
      </c>
      <c r="Y1587" s="46">
        <f>IFERROR(IF(OR(C1587="AREA I",C1587="AREA V"),7,VLOOKUP(A1587,'[1]MC Masterlist 2026-09-12'!$B:$M, 12, 0)),0)</f>
        <v>7</v>
      </c>
      <c r="Z1587" s="46">
        <f t="shared" si="369"/>
        <v>0</v>
      </c>
      <c r="AA1587" s="46">
        <f t="shared" si="370"/>
        <v>0</v>
      </c>
      <c r="AB1587" s="46">
        <f t="shared" si="371"/>
        <v>0</v>
      </c>
      <c r="AC1587" s="46">
        <f t="shared" si="372"/>
        <v>0</v>
      </c>
      <c r="AD1587" s="44" t="str">
        <f t="shared" si="373"/>
        <v>Over</v>
      </c>
      <c r="AE1587" s="44" t="str">
        <f>IFERROR(VLOOKUP(A1587,'[1]Re-order'!$A:$AA,27,0),"")</f>
        <v>Re-order</v>
      </c>
      <c r="AF1587" s="46">
        <f t="shared" si="374"/>
        <v>-1</v>
      </c>
      <c r="AG1587" s="46">
        <f>SUMIFS('[1]Raw Inventory'!D:D,'[1]Raw Inventory'!C:C,"GREATWALL",'[1]Raw Inventory'!B:B,A1587)</f>
        <v>1</v>
      </c>
      <c r="AH1587" s="46">
        <f>SUMIFS('[1]Raw Inventory'!D:D,'[1]Raw Inventory'!C:C,"DUARTE",'[1]Raw Inventory'!B:B,A1587)</f>
        <v>0</v>
      </c>
      <c r="AI1587" s="46"/>
      <c r="AJ1587" s="46"/>
      <c r="AK1587" s="43"/>
      <c r="AL1587" s="43"/>
      <c r="AM1587" s="43"/>
      <c r="AN1587" s="43"/>
      <c r="AO1587" s="43"/>
      <c r="AP1587" s="43"/>
      <c r="AQ1587" s="43"/>
      <c r="AR1587" s="43"/>
      <c r="AS1587" s="43"/>
      <c r="AT1587" s="43"/>
    </row>
    <row r="1588" spans="1:46">
      <c r="A1588" s="43" t="s">
        <v>12</v>
      </c>
      <c r="B1588" s="43" t="s">
        <v>129</v>
      </c>
      <c r="C1588" s="43" t="s">
        <v>128</v>
      </c>
      <c r="D1588" s="44" t="s">
        <v>254</v>
      </c>
      <c r="E1588" s="44">
        <v>6</v>
      </c>
      <c r="F1588" s="44" t="s">
        <v>2</v>
      </c>
      <c r="G1588" s="43" t="str">
        <f>IFERROR(VLOOKUP(A1588,'[1]MC Masterlist 2026-09-12'!$B:$M, 3, 0),"")</f>
        <v>HONDA</v>
      </c>
      <c r="H1588" s="45">
        <f>IFERROR(VLOOKUP(A1588,'[1]MC Masterlist 2026-09-12'!$B:$M, 6, 0),"")</f>
        <v>158270</v>
      </c>
      <c r="I1588" s="46">
        <v>1</v>
      </c>
      <c r="J1588" s="46">
        <v>2</v>
      </c>
      <c r="K1588" s="46">
        <v>5</v>
      </c>
      <c r="L1588" s="46">
        <f t="shared" si="360"/>
        <v>8</v>
      </c>
      <c r="M1588" s="46">
        <f t="shared" si="361"/>
        <v>2.6666666666666665</v>
      </c>
      <c r="N1588" s="45">
        <f t="shared" si="362"/>
        <v>1266160</v>
      </c>
      <c r="O1588" s="45">
        <f t="shared" si="363"/>
        <v>422053.33333333331</v>
      </c>
      <c r="P1588" s="46">
        <f t="shared" si="364"/>
        <v>8.8888888888888878E-2</v>
      </c>
      <c r="Q1588" s="46">
        <v>2</v>
      </c>
      <c r="R1588" s="45">
        <f t="shared" si="365"/>
        <v>316540</v>
      </c>
      <c r="S1588" s="46">
        <f t="shared" si="366"/>
        <v>22.5</v>
      </c>
      <c r="T1588" s="46">
        <f>IFERROR(VLOOKUP(A1588,'[1]Re-order'!$A:$Q,17,0),"")</f>
        <v>46.461038961038959</v>
      </c>
      <c r="U1588" s="46">
        <f>IFERROR(VLOOKUP(A1588,'[1]MC Masterlist 2026-09-12'!$B:$M, 10, 0),0)</f>
        <v>15</v>
      </c>
      <c r="V1588" s="46">
        <f>IFERROR(VLOOKUP(A1588,'[1]MC Masterlist 2026-09-12'!$B:$M, 11, 0),0)</f>
        <v>15</v>
      </c>
      <c r="W1588" s="46">
        <f t="shared" si="367"/>
        <v>30</v>
      </c>
      <c r="X1588" s="46">
        <f t="shared" si="368"/>
        <v>28.666666666666668</v>
      </c>
      <c r="Y1588" s="46">
        <f>IFERROR(IF(OR(C1588="AREA I",C1588="AREA V"),7,VLOOKUP(A1588,'[1]MC Masterlist 2026-09-12'!$B:$M, 12, 0)),0)</f>
        <v>30</v>
      </c>
      <c r="Z1588" s="46">
        <f t="shared" si="369"/>
        <v>1.3333333333333333</v>
      </c>
      <c r="AA1588" s="46">
        <f t="shared" si="370"/>
        <v>2.6666666666666665</v>
      </c>
      <c r="AB1588" s="46">
        <f t="shared" si="371"/>
        <v>2.5481481481481478</v>
      </c>
      <c r="AC1588" s="46">
        <f t="shared" si="372"/>
        <v>2.6666666666666665</v>
      </c>
      <c r="AD1588" s="44" t="str">
        <f t="shared" si="373"/>
        <v>Re-order</v>
      </c>
      <c r="AE1588" s="44" t="str">
        <f>IFERROR(VLOOKUP(A1588,'[1]Re-order'!$A:$AA,27,0),"")</f>
        <v>Re-order</v>
      </c>
      <c r="AF1588" s="46">
        <f t="shared" si="374"/>
        <v>0.66666666666666652</v>
      </c>
      <c r="AG1588" s="46">
        <f>SUMIFS('[1]Raw Inventory'!D:D,'[1]Raw Inventory'!C:C,"GREATWALL",'[1]Raw Inventory'!B:B,A1588)</f>
        <v>35</v>
      </c>
      <c r="AH1588" s="46">
        <f>SUMIFS('[1]Raw Inventory'!D:D,'[1]Raw Inventory'!C:C,"DUARTE",'[1]Raw Inventory'!B:B,A1588)</f>
        <v>0</v>
      </c>
      <c r="AI1588" s="46"/>
      <c r="AJ1588" s="46"/>
      <c r="AK1588" s="43"/>
      <c r="AL1588" s="43"/>
      <c r="AM1588" s="43"/>
      <c r="AN1588" s="43"/>
      <c r="AO1588" s="43"/>
      <c r="AP1588" s="43"/>
      <c r="AQ1588" s="43"/>
      <c r="AR1588" s="43"/>
      <c r="AS1588" s="43"/>
      <c r="AT1588" s="43"/>
    </row>
    <row r="1589" spans="1:46">
      <c r="A1589" s="43" t="s">
        <v>70</v>
      </c>
      <c r="B1589" s="43" t="s">
        <v>161</v>
      </c>
      <c r="C1589" s="43" t="s">
        <v>159</v>
      </c>
      <c r="D1589" s="44" t="s">
        <v>234</v>
      </c>
      <c r="E1589" s="44">
        <v>1</v>
      </c>
      <c r="F1589" s="44" t="s">
        <v>0</v>
      </c>
      <c r="G1589" s="43" t="str">
        <f>IFERROR(VLOOKUP(A1589,'[1]MC Masterlist 2026-09-12'!$B:$M, 3, 0),"")</f>
        <v>KAWASAKI</v>
      </c>
      <c r="H1589" s="45">
        <f>IFERROR(VLOOKUP(A1589,'[1]MC Masterlist 2026-09-12'!$B:$M, 6, 0),"")</f>
        <v>91770</v>
      </c>
      <c r="I1589" s="46">
        <v>0</v>
      </c>
      <c r="J1589" s="46">
        <v>0</v>
      </c>
      <c r="K1589" s="46">
        <v>0</v>
      </c>
      <c r="L1589" s="46">
        <f t="shared" si="360"/>
        <v>0</v>
      </c>
      <c r="M1589" s="46">
        <f t="shared" si="361"/>
        <v>0</v>
      </c>
      <c r="N1589" s="45">
        <f t="shared" si="362"/>
        <v>0</v>
      </c>
      <c r="O1589" s="45">
        <f t="shared" si="363"/>
        <v>0</v>
      </c>
      <c r="P1589" s="46">
        <f t="shared" si="364"/>
        <v>0</v>
      </c>
      <c r="Q1589" s="46">
        <v>1</v>
      </c>
      <c r="R1589" s="45">
        <f t="shared" si="365"/>
        <v>91770</v>
      </c>
      <c r="S1589" s="46">
        <f t="shared" si="366"/>
        <v>0</v>
      </c>
      <c r="T1589" s="46">
        <f>IFERROR(VLOOKUP(A1589,'[1]Re-order'!$A:$Q,17,0),"")</f>
        <v>255</v>
      </c>
      <c r="U1589" s="46">
        <f>IFERROR(VLOOKUP(A1589,'[1]MC Masterlist 2026-09-12'!$B:$M, 10, 0),0)</f>
        <v>15</v>
      </c>
      <c r="V1589" s="46">
        <f>IFERROR(VLOOKUP(A1589,'[1]MC Masterlist 2026-09-12'!$B:$M, 11, 0),0)</f>
        <v>15</v>
      </c>
      <c r="W1589" s="46">
        <f t="shared" si="367"/>
        <v>30</v>
      </c>
      <c r="X1589" s="46">
        <f t="shared" si="368"/>
        <v>30</v>
      </c>
      <c r="Y1589" s="46">
        <f>IFERROR(IF(OR(C1589="AREA I",C1589="AREA V"),7,VLOOKUP(A1589,'[1]MC Masterlist 2026-09-12'!$B:$M, 12, 0)),0)</f>
        <v>30</v>
      </c>
      <c r="Z1589" s="46">
        <f t="shared" si="369"/>
        <v>0</v>
      </c>
      <c r="AA1589" s="46">
        <f t="shared" si="370"/>
        <v>0</v>
      </c>
      <c r="AB1589" s="46">
        <f t="shared" si="371"/>
        <v>0</v>
      </c>
      <c r="AC1589" s="46">
        <f t="shared" si="372"/>
        <v>0</v>
      </c>
      <c r="AD1589" s="44" t="str">
        <f t="shared" si="373"/>
        <v>Over</v>
      </c>
      <c r="AE1589" s="44" t="str">
        <f>IFERROR(VLOOKUP(A1589,'[1]Re-order'!$A:$AA,27,0),"")</f>
        <v>Over</v>
      </c>
      <c r="AF1589" s="46">
        <f t="shared" si="374"/>
        <v>-1</v>
      </c>
      <c r="AG1589" s="46">
        <f>SUMIFS('[1]Raw Inventory'!D:D,'[1]Raw Inventory'!C:C,"GREATWALL",'[1]Raw Inventory'!B:B,A1589)</f>
        <v>4</v>
      </c>
      <c r="AH1589" s="46">
        <f>SUMIFS('[1]Raw Inventory'!D:D,'[1]Raw Inventory'!C:C,"DUARTE",'[1]Raw Inventory'!B:B,A1589)</f>
        <v>0</v>
      </c>
      <c r="AI1589" s="46"/>
      <c r="AJ1589" s="46"/>
      <c r="AK1589" s="43"/>
      <c r="AL1589" s="43"/>
      <c r="AM1589" s="43"/>
      <c r="AN1589" s="43"/>
      <c r="AO1589" s="43"/>
      <c r="AP1589" s="43"/>
      <c r="AQ1589" s="43"/>
      <c r="AR1589" s="43"/>
      <c r="AS1589" s="43"/>
      <c r="AT1589" s="43"/>
    </row>
    <row r="1590" spans="1:46">
      <c r="A1590" s="43" t="s">
        <v>43</v>
      </c>
      <c r="B1590" s="43" t="s">
        <v>21</v>
      </c>
      <c r="C1590" s="43" t="s">
        <v>1</v>
      </c>
      <c r="D1590" s="44" t="s">
        <v>223</v>
      </c>
      <c r="E1590" s="44">
        <v>21</v>
      </c>
      <c r="F1590" s="44" t="s">
        <v>3</v>
      </c>
      <c r="G1590" s="43" t="str">
        <f>IFERROR(VLOOKUP(A1590,'[1]MC Masterlist 2026-09-12'!$B:$M, 3, 0),"")</f>
        <v>YAMAHA</v>
      </c>
      <c r="H1590" s="45">
        <f>IFERROR(VLOOKUP(A1590,'[1]MC Masterlist 2026-09-12'!$B:$M, 6, 0),"")</f>
        <v>70587</v>
      </c>
      <c r="I1590" s="46">
        <v>1</v>
      </c>
      <c r="J1590" s="46">
        <v>1</v>
      </c>
      <c r="K1590" s="46">
        <v>0</v>
      </c>
      <c r="L1590" s="46">
        <f t="shared" si="360"/>
        <v>2</v>
      </c>
      <c r="M1590" s="46">
        <f t="shared" si="361"/>
        <v>0.66666666666666663</v>
      </c>
      <c r="N1590" s="45">
        <f t="shared" si="362"/>
        <v>141174</v>
      </c>
      <c r="O1590" s="45">
        <f t="shared" si="363"/>
        <v>47058</v>
      </c>
      <c r="P1590" s="46">
        <f t="shared" si="364"/>
        <v>2.222222222222222E-2</v>
      </c>
      <c r="Q1590" s="46">
        <v>3</v>
      </c>
      <c r="R1590" s="45">
        <f t="shared" si="365"/>
        <v>211761</v>
      </c>
      <c r="S1590" s="46">
        <f t="shared" si="366"/>
        <v>135</v>
      </c>
      <c r="T1590" s="46">
        <f>IFERROR(VLOOKUP(A1590,'[1]Re-order'!$A:$Q,17,0),"")</f>
        <v>43.578947368421055</v>
      </c>
      <c r="U1590" s="46">
        <f>IFERROR(VLOOKUP(A1590,'[1]MC Masterlist 2026-09-12'!$B:$M, 10, 0),0)</f>
        <v>15</v>
      </c>
      <c r="V1590" s="46">
        <f>IFERROR(VLOOKUP(A1590,'[1]MC Masterlist 2026-09-12'!$B:$M, 11, 0),0)</f>
        <v>15</v>
      </c>
      <c r="W1590" s="46">
        <f t="shared" si="367"/>
        <v>30</v>
      </c>
      <c r="X1590" s="46">
        <f t="shared" si="368"/>
        <v>6.666666666666667</v>
      </c>
      <c r="Y1590" s="46">
        <f>IFERROR(IF(OR(C1590="AREA I",C1590="AREA V"),7,VLOOKUP(A1590,'[1]MC Masterlist 2026-09-12'!$B:$M, 12, 0)),0)</f>
        <v>7</v>
      </c>
      <c r="Z1590" s="46">
        <f t="shared" si="369"/>
        <v>0.33333333333333331</v>
      </c>
      <c r="AA1590" s="46">
        <f t="shared" si="370"/>
        <v>0.66666666666666663</v>
      </c>
      <c r="AB1590" s="46">
        <f t="shared" si="371"/>
        <v>0.14814814814814814</v>
      </c>
      <c r="AC1590" s="46">
        <f t="shared" si="372"/>
        <v>0.15555555555555553</v>
      </c>
      <c r="AD1590" s="44" t="str">
        <f t="shared" si="373"/>
        <v>Over</v>
      </c>
      <c r="AE1590" s="44" t="str">
        <f>IFERROR(VLOOKUP(A1590,'[1]Re-order'!$A:$AA,27,0),"")</f>
        <v>Re-order</v>
      </c>
      <c r="AF1590" s="46">
        <f t="shared" si="374"/>
        <v>-2.8444444444444446</v>
      </c>
      <c r="AG1590" s="46">
        <f>SUMIFS('[1]Raw Inventory'!D:D,'[1]Raw Inventory'!C:C,"GREATWALL",'[1]Raw Inventory'!B:B,A1590)</f>
        <v>0</v>
      </c>
      <c r="AH1590" s="46">
        <f>SUMIFS('[1]Raw Inventory'!D:D,'[1]Raw Inventory'!C:C,"DUARTE",'[1]Raw Inventory'!B:B,A1590)</f>
        <v>0</v>
      </c>
      <c r="AI1590" s="46"/>
      <c r="AJ1590" s="46"/>
      <c r="AK1590" s="43"/>
      <c r="AL1590" s="43"/>
      <c r="AM1590" s="43"/>
      <c r="AN1590" s="43"/>
      <c r="AO1590" s="43"/>
      <c r="AP1590" s="43"/>
      <c r="AQ1590" s="43"/>
      <c r="AR1590" s="43"/>
      <c r="AS1590" s="43"/>
      <c r="AT1590" s="43"/>
    </row>
    <row r="1591" spans="1:46">
      <c r="A1591" s="43" t="s">
        <v>39</v>
      </c>
      <c r="B1591" s="43" t="s">
        <v>146</v>
      </c>
      <c r="C1591" s="43" t="s">
        <v>137</v>
      </c>
      <c r="D1591" s="44" t="s">
        <v>261</v>
      </c>
      <c r="E1591" s="44">
        <v>18</v>
      </c>
      <c r="F1591" s="44" t="s">
        <v>2</v>
      </c>
      <c r="G1591" s="43" t="str">
        <f>IFERROR(VLOOKUP(A1591,'[1]MC Masterlist 2026-09-12'!$B:$M, 3, 0),"")</f>
        <v>HONDA</v>
      </c>
      <c r="H1591" s="45">
        <f>IFERROR(VLOOKUP(A1591,'[1]MC Masterlist 2026-09-12'!$B:$M, 6, 0),"")</f>
        <v>72434</v>
      </c>
      <c r="I1591" s="46">
        <v>0</v>
      </c>
      <c r="J1591" s="46">
        <v>1</v>
      </c>
      <c r="K1591" s="46">
        <v>1</v>
      </c>
      <c r="L1591" s="46">
        <f t="shared" si="360"/>
        <v>2</v>
      </c>
      <c r="M1591" s="46">
        <f t="shared" si="361"/>
        <v>0.66666666666666663</v>
      </c>
      <c r="N1591" s="45">
        <f t="shared" si="362"/>
        <v>144868</v>
      </c>
      <c r="O1591" s="45">
        <f t="shared" si="363"/>
        <v>48289.333333333328</v>
      </c>
      <c r="P1591" s="46">
        <f t="shared" si="364"/>
        <v>2.222222222222222E-2</v>
      </c>
      <c r="Q1591" s="46"/>
      <c r="R1591" s="45">
        <f t="shared" si="365"/>
        <v>0</v>
      </c>
      <c r="S1591" s="46">
        <f t="shared" si="366"/>
        <v>0</v>
      </c>
      <c r="T1591" s="46">
        <f>IFERROR(VLOOKUP(A1591,'[1]Re-order'!$A:$Q,17,0),"")</f>
        <v>40.982142857142854</v>
      </c>
      <c r="U1591" s="46">
        <f>IFERROR(VLOOKUP(A1591,'[1]MC Masterlist 2026-09-12'!$B:$M, 10, 0),0)</f>
        <v>15</v>
      </c>
      <c r="V1591" s="46">
        <f>IFERROR(VLOOKUP(A1591,'[1]MC Masterlist 2026-09-12'!$B:$M, 11, 0),0)</f>
        <v>15</v>
      </c>
      <c r="W1591" s="46">
        <f t="shared" si="367"/>
        <v>30</v>
      </c>
      <c r="X1591" s="46">
        <f t="shared" si="368"/>
        <v>6.666666666666667</v>
      </c>
      <c r="Y1591" s="46">
        <f>IFERROR(IF(OR(C1591="AREA I",C1591="AREA V"),7,VLOOKUP(A1591,'[1]MC Masterlist 2026-09-12'!$B:$M, 12, 0)),0)</f>
        <v>7</v>
      </c>
      <c r="Z1591" s="46">
        <f t="shared" si="369"/>
        <v>0.33333333333333331</v>
      </c>
      <c r="AA1591" s="46">
        <f t="shared" si="370"/>
        <v>0.66666666666666663</v>
      </c>
      <c r="AB1591" s="46">
        <f t="shared" si="371"/>
        <v>0.14814814814814814</v>
      </c>
      <c r="AC1591" s="46">
        <f t="shared" si="372"/>
        <v>0.15555555555555553</v>
      </c>
      <c r="AD1591" s="44" t="str">
        <f t="shared" si="373"/>
        <v>Stockout</v>
      </c>
      <c r="AE1591" s="44" t="str">
        <f>IFERROR(VLOOKUP(A1591,'[1]Re-order'!$A:$AA,27,0),"")</f>
        <v>Re-order</v>
      </c>
      <c r="AF1591" s="46">
        <f t="shared" si="374"/>
        <v>0.15555555555555553</v>
      </c>
      <c r="AG1591" s="46">
        <f>SUMIFS('[1]Raw Inventory'!D:D,'[1]Raw Inventory'!C:C,"GREATWALL",'[1]Raw Inventory'!B:B,A1591)</f>
        <v>16</v>
      </c>
      <c r="AH1591" s="46">
        <f>SUMIFS('[1]Raw Inventory'!D:D,'[1]Raw Inventory'!C:C,"DUARTE",'[1]Raw Inventory'!B:B,A1591)</f>
        <v>0</v>
      </c>
      <c r="AI1591" s="46"/>
      <c r="AJ1591" s="46"/>
      <c r="AK1591" s="43"/>
      <c r="AL1591" s="43"/>
      <c r="AM1591" s="43"/>
      <c r="AN1591" s="43"/>
      <c r="AO1591" s="43"/>
      <c r="AP1591" s="43"/>
      <c r="AQ1591" s="43"/>
      <c r="AR1591" s="43"/>
      <c r="AS1591" s="43"/>
      <c r="AT1591" s="43"/>
    </row>
    <row r="1592" spans="1:46">
      <c r="A1592" s="43" t="s">
        <v>50</v>
      </c>
      <c r="B1592" s="43" t="s">
        <v>113</v>
      </c>
      <c r="C1592" s="43" t="s">
        <v>109</v>
      </c>
      <c r="D1592" s="44" t="s">
        <v>229</v>
      </c>
      <c r="E1592" s="44">
        <v>27</v>
      </c>
      <c r="F1592" s="44" t="s">
        <v>3</v>
      </c>
      <c r="G1592" s="43" t="str">
        <f>IFERROR(VLOOKUP(A1592,'[1]MC Masterlist 2026-09-12'!$B:$M, 3, 0),"")</f>
        <v>YAMAHA</v>
      </c>
      <c r="H1592" s="45">
        <f>IFERROR(VLOOKUP(A1592,'[1]MC Masterlist 2026-09-12'!$B:$M, 6, 0),"")</f>
        <v>78957</v>
      </c>
      <c r="I1592" s="46">
        <v>0</v>
      </c>
      <c r="J1592" s="46">
        <v>0</v>
      </c>
      <c r="K1592" s="46">
        <v>1</v>
      </c>
      <c r="L1592" s="46">
        <f t="shared" si="360"/>
        <v>1</v>
      </c>
      <c r="M1592" s="46">
        <f t="shared" si="361"/>
        <v>0.33333333333333331</v>
      </c>
      <c r="N1592" s="45">
        <f t="shared" si="362"/>
        <v>78957</v>
      </c>
      <c r="O1592" s="45">
        <f t="shared" si="363"/>
        <v>26319</v>
      </c>
      <c r="P1592" s="46">
        <f t="shared" si="364"/>
        <v>1.111111111111111E-2</v>
      </c>
      <c r="Q1592" s="46"/>
      <c r="R1592" s="45">
        <f t="shared" si="365"/>
        <v>0</v>
      </c>
      <c r="S1592" s="46">
        <f t="shared" si="366"/>
        <v>0</v>
      </c>
      <c r="T1592" s="46">
        <f>IFERROR(VLOOKUP(A1592,'[1]Re-order'!$A:$Q,17,0),"")</f>
        <v>118.125</v>
      </c>
      <c r="U1592" s="46">
        <f>IFERROR(VLOOKUP(A1592,'[1]MC Masterlist 2026-09-12'!$B:$M, 10, 0),0)</f>
        <v>15</v>
      </c>
      <c r="V1592" s="46">
        <f>IFERROR(VLOOKUP(A1592,'[1]MC Masterlist 2026-09-12'!$B:$M, 11, 0),0)</f>
        <v>15</v>
      </c>
      <c r="W1592" s="46">
        <f t="shared" si="367"/>
        <v>30</v>
      </c>
      <c r="X1592" s="46">
        <f t="shared" si="368"/>
        <v>29.833333333333332</v>
      </c>
      <c r="Y1592" s="46">
        <f>IFERROR(IF(OR(C1592="AREA I",C1592="AREA V"),7,VLOOKUP(A1592,'[1]MC Masterlist 2026-09-12'!$B:$M, 12, 0)),0)</f>
        <v>30</v>
      </c>
      <c r="Z1592" s="46">
        <f t="shared" si="369"/>
        <v>0.16666666666666666</v>
      </c>
      <c r="AA1592" s="46">
        <f t="shared" si="370"/>
        <v>0.33333333333333331</v>
      </c>
      <c r="AB1592" s="46">
        <f t="shared" si="371"/>
        <v>0.33148148148148143</v>
      </c>
      <c r="AC1592" s="46">
        <f t="shared" si="372"/>
        <v>0.33333333333333331</v>
      </c>
      <c r="AD1592" s="44" t="str">
        <f t="shared" si="373"/>
        <v>Stockout</v>
      </c>
      <c r="AE1592" s="44" t="str">
        <f>IFERROR(VLOOKUP(A1592,'[1]Re-order'!$A:$AA,27,0),"")</f>
        <v>Over</v>
      </c>
      <c r="AF1592" s="46">
        <f t="shared" si="374"/>
        <v>0.33333333333333331</v>
      </c>
      <c r="AG1592" s="46">
        <f>SUMIFS('[1]Raw Inventory'!D:D,'[1]Raw Inventory'!C:C,"GREATWALL",'[1]Raw Inventory'!B:B,A1592)</f>
        <v>23</v>
      </c>
      <c r="AH1592" s="46">
        <f>SUMIFS('[1]Raw Inventory'!D:D,'[1]Raw Inventory'!C:C,"DUARTE",'[1]Raw Inventory'!B:B,A1592)</f>
        <v>0</v>
      </c>
      <c r="AI1592" s="46"/>
      <c r="AJ1592" s="46"/>
      <c r="AK1592" s="43"/>
      <c r="AL1592" s="43"/>
      <c r="AM1592" s="43"/>
      <c r="AN1592" s="43"/>
      <c r="AO1592" s="43"/>
      <c r="AP1592" s="43"/>
      <c r="AQ1592" s="43"/>
      <c r="AR1592" s="43"/>
      <c r="AS1592" s="43"/>
      <c r="AT1592" s="43"/>
    </row>
    <row r="1593" spans="1:46">
      <c r="A1593" s="43" t="s">
        <v>25</v>
      </c>
      <c r="B1593" s="43" t="s">
        <v>21</v>
      </c>
      <c r="C1593" s="43" t="s">
        <v>1</v>
      </c>
      <c r="D1593" s="44" t="s">
        <v>230</v>
      </c>
      <c r="E1593" s="44">
        <v>6</v>
      </c>
      <c r="F1593" s="44" t="s">
        <v>0</v>
      </c>
      <c r="G1593" s="43" t="str">
        <f>IFERROR(VLOOKUP(A1593,'[1]MC Masterlist 2026-09-12'!$B:$M, 3, 0),"")</f>
        <v>YAMAHA</v>
      </c>
      <c r="H1593" s="45">
        <f>IFERROR(VLOOKUP(A1593,'[1]MC Masterlist 2026-09-12'!$B:$M, 6, 0),"")</f>
        <v>124527</v>
      </c>
      <c r="I1593" s="46">
        <v>3</v>
      </c>
      <c r="J1593" s="46">
        <v>1</v>
      </c>
      <c r="K1593" s="46">
        <v>2</v>
      </c>
      <c r="L1593" s="46">
        <f t="shared" si="360"/>
        <v>6</v>
      </c>
      <c r="M1593" s="46">
        <f t="shared" si="361"/>
        <v>2</v>
      </c>
      <c r="N1593" s="45">
        <f t="shared" si="362"/>
        <v>747162</v>
      </c>
      <c r="O1593" s="45">
        <f t="shared" si="363"/>
        <v>249054</v>
      </c>
      <c r="P1593" s="46">
        <f t="shared" si="364"/>
        <v>6.6666666666666666E-2</v>
      </c>
      <c r="Q1593" s="46"/>
      <c r="R1593" s="45">
        <f t="shared" si="365"/>
        <v>0</v>
      </c>
      <c r="S1593" s="46">
        <f t="shared" si="366"/>
        <v>0</v>
      </c>
      <c r="T1593" s="46">
        <f>IFERROR(VLOOKUP(A1593,'[1]Re-order'!$A:$Q,17,0),"")</f>
        <v>5.1030927835051543</v>
      </c>
      <c r="U1593" s="46">
        <f>IFERROR(VLOOKUP(A1593,'[1]MC Masterlist 2026-09-12'!$B:$M, 10, 0),0)</f>
        <v>15</v>
      </c>
      <c r="V1593" s="46">
        <f>IFERROR(VLOOKUP(A1593,'[1]MC Masterlist 2026-09-12'!$B:$M, 11, 0),0)</f>
        <v>15</v>
      </c>
      <c r="W1593" s="46">
        <f t="shared" si="367"/>
        <v>30</v>
      </c>
      <c r="X1593" s="46">
        <f t="shared" si="368"/>
        <v>6</v>
      </c>
      <c r="Y1593" s="46">
        <f>IFERROR(IF(OR(C1593="AREA I",C1593="AREA V"),7,VLOOKUP(A1593,'[1]MC Masterlist 2026-09-12'!$B:$M, 12, 0)),0)</f>
        <v>7</v>
      </c>
      <c r="Z1593" s="46">
        <f t="shared" si="369"/>
        <v>1</v>
      </c>
      <c r="AA1593" s="46">
        <f t="shared" si="370"/>
        <v>2</v>
      </c>
      <c r="AB1593" s="46">
        <f t="shared" si="371"/>
        <v>0.4</v>
      </c>
      <c r="AC1593" s="46">
        <f t="shared" si="372"/>
        <v>0.46666666666666667</v>
      </c>
      <c r="AD1593" s="44" t="str">
        <f t="shared" si="373"/>
        <v>Stockout</v>
      </c>
      <c r="AE1593" s="44" t="str">
        <f>IFERROR(VLOOKUP(A1593,'[1]Re-order'!$A:$AA,27,0),"")</f>
        <v>Stockout</v>
      </c>
      <c r="AF1593" s="46">
        <f t="shared" si="374"/>
        <v>0.46666666666666667</v>
      </c>
      <c r="AG1593" s="46">
        <f>SUMIFS('[1]Raw Inventory'!D:D,'[1]Raw Inventory'!C:C,"GREATWALL",'[1]Raw Inventory'!B:B,A1593)</f>
        <v>1</v>
      </c>
      <c r="AH1593" s="46">
        <f>SUMIFS('[1]Raw Inventory'!D:D,'[1]Raw Inventory'!C:C,"DUARTE",'[1]Raw Inventory'!B:B,A1593)</f>
        <v>0</v>
      </c>
      <c r="AI1593" s="46"/>
      <c r="AJ1593" s="46"/>
      <c r="AK1593" s="43"/>
      <c r="AL1593" s="43"/>
      <c r="AM1593" s="43"/>
      <c r="AN1593" s="43"/>
      <c r="AO1593" s="43"/>
      <c r="AP1593" s="43"/>
      <c r="AQ1593" s="43"/>
      <c r="AR1593" s="43"/>
      <c r="AS1593" s="43"/>
      <c r="AT1593" s="43"/>
    </row>
    <row r="1594" spans="1:46">
      <c r="A1594" s="43" t="s">
        <v>46</v>
      </c>
      <c r="B1594" s="43" t="s">
        <v>5</v>
      </c>
      <c r="C1594" s="43" t="s">
        <v>118</v>
      </c>
      <c r="D1594" s="44" t="s">
        <v>262</v>
      </c>
      <c r="E1594" s="44">
        <v>15</v>
      </c>
      <c r="F1594" s="44" t="s">
        <v>2</v>
      </c>
      <c r="G1594" s="43" t="str">
        <f>IFERROR(VLOOKUP(A1594,'[1]MC Masterlist 2026-09-12'!$B:$M, 3, 0),"")</f>
        <v>HONDA</v>
      </c>
      <c r="H1594" s="45">
        <f>IFERROR(VLOOKUP(A1594,'[1]MC Masterlist 2026-09-12'!$B:$M, 6, 0),"")</f>
        <v>73630</v>
      </c>
      <c r="I1594" s="46">
        <v>1</v>
      </c>
      <c r="J1594" s="46">
        <v>1</v>
      </c>
      <c r="K1594" s="46">
        <v>0</v>
      </c>
      <c r="L1594" s="46">
        <f t="shared" si="360"/>
        <v>2</v>
      </c>
      <c r="M1594" s="46">
        <f t="shared" si="361"/>
        <v>0.66666666666666663</v>
      </c>
      <c r="N1594" s="45">
        <f t="shared" si="362"/>
        <v>147260</v>
      </c>
      <c r="O1594" s="45">
        <f t="shared" si="363"/>
        <v>49086.666666666664</v>
      </c>
      <c r="P1594" s="46">
        <f t="shared" si="364"/>
        <v>2.222222222222222E-2</v>
      </c>
      <c r="Q1594" s="46"/>
      <c r="R1594" s="45">
        <f t="shared" si="365"/>
        <v>0</v>
      </c>
      <c r="S1594" s="46">
        <f t="shared" si="366"/>
        <v>0</v>
      </c>
      <c r="T1594" s="46">
        <f>IFERROR(VLOOKUP(A1594,'[1]Re-order'!$A:$Q,17,0),"")</f>
        <v>51</v>
      </c>
      <c r="U1594" s="46">
        <f>IFERROR(VLOOKUP(A1594,'[1]MC Masterlist 2026-09-12'!$B:$M, 10, 0),0)</f>
        <v>15</v>
      </c>
      <c r="V1594" s="46">
        <f>IFERROR(VLOOKUP(A1594,'[1]MC Masterlist 2026-09-12'!$B:$M, 11, 0),0)</f>
        <v>15</v>
      </c>
      <c r="W1594" s="46">
        <f t="shared" si="367"/>
        <v>30</v>
      </c>
      <c r="X1594" s="46">
        <f t="shared" si="368"/>
        <v>29.666666666666668</v>
      </c>
      <c r="Y1594" s="46">
        <f>IFERROR(IF(OR(C1594="AREA I",C1594="AREA V"),7,VLOOKUP(A1594,'[1]MC Masterlist 2026-09-12'!$B:$M, 12, 0)),0)</f>
        <v>30</v>
      </c>
      <c r="Z1594" s="46">
        <f t="shared" si="369"/>
        <v>0.33333333333333331</v>
      </c>
      <c r="AA1594" s="46">
        <f t="shared" si="370"/>
        <v>0.66666666666666663</v>
      </c>
      <c r="AB1594" s="46">
        <f t="shared" si="371"/>
        <v>0.65925925925925921</v>
      </c>
      <c r="AC1594" s="46">
        <f t="shared" si="372"/>
        <v>0.66666666666666663</v>
      </c>
      <c r="AD1594" s="44" t="str">
        <f t="shared" si="373"/>
        <v>Stockout</v>
      </c>
      <c r="AE1594" s="44" t="str">
        <f>IFERROR(VLOOKUP(A1594,'[1]Re-order'!$A:$AA,27,0),"")</f>
        <v>Re-order</v>
      </c>
      <c r="AF1594" s="46">
        <f t="shared" si="374"/>
        <v>0.66666666666666663</v>
      </c>
      <c r="AG1594" s="46">
        <f>SUMIFS('[1]Raw Inventory'!D:D,'[1]Raw Inventory'!C:C,"GREATWALL",'[1]Raw Inventory'!B:B,A1594)</f>
        <v>0</v>
      </c>
      <c r="AH1594" s="46">
        <f>SUMIFS('[1]Raw Inventory'!D:D,'[1]Raw Inventory'!C:C,"DUARTE",'[1]Raw Inventory'!B:B,A1594)</f>
        <v>0</v>
      </c>
      <c r="AI1594" s="46"/>
      <c r="AJ1594" s="46"/>
      <c r="AK1594" s="43"/>
      <c r="AL1594" s="43"/>
      <c r="AM1594" s="43"/>
      <c r="AN1594" s="43"/>
      <c r="AO1594" s="43"/>
      <c r="AP1594" s="43"/>
      <c r="AQ1594" s="43"/>
      <c r="AR1594" s="43"/>
      <c r="AS1594" s="43"/>
      <c r="AT1594" s="43"/>
    </row>
    <row r="1595" spans="1:46">
      <c r="A1595" s="43" t="s">
        <v>39</v>
      </c>
      <c r="B1595" s="43" t="s">
        <v>111</v>
      </c>
      <c r="C1595" s="43" t="s">
        <v>109</v>
      </c>
      <c r="D1595" s="44" t="s">
        <v>261</v>
      </c>
      <c r="E1595" s="44">
        <v>15</v>
      </c>
      <c r="F1595" s="44" t="s">
        <v>2</v>
      </c>
      <c r="G1595" s="43" t="str">
        <f>IFERROR(VLOOKUP(A1595,'[1]MC Masterlist 2026-09-12'!$B:$M, 3, 0),"")</f>
        <v>HONDA</v>
      </c>
      <c r="H1595" s="45">
        <f>IFERROR(VLOOKUP(A1595,'[1]MC Masterlist 2026-09-12'!$B:$M, 6, 0),"")</f>
        <v>72434</v>
      </c>
      <c r="I1595" s="46">
        <v>0</v>
      </c>
      <c r="J1595" s="46">
        <v>1</v>
      </c>
      <c r="K1595" s="46">
        <v>1</v>
      </c>
      <c r="L1595" s="46">
        <f t="shared" si="360"/>
        <v>2</v>
      </c>
      <c r="M1595" s="46">
        <f t="shared" si="361"/>
        <v>0.66666666666666663</v>
      </c>
      <c r="N1595" s="45">
        <f t="shared" si="362"/>
        <v>144868</v>
      </c>
      <c r="O1595" s="45">
        <f t="shared" si="363"/>
        <v>48289.333333333328</v>
      </c>
      <c r="P1595" s="46">
        <f t="shared" si="364"/>
        <v>2.222222222222222E-2</v>
      </c>
      <c r="Q1595" s="46"/>
      <c r="R1595" s="45">
        <f t="shared" si="365"/>
        <v>0</v>
      </c>
      <c r="S1595" s="46">
        <f t="shared" si="366"/>
        <v>0</v>
      </c>
      <c r="T1595" s="46">
        <f>IFERROR(VLOOKUP(A1595,'[1]Re-order'!$A:$Q,17,0),"")</f>
        <v>40.982142857142854</v>
      </c>
      <c r="U1595" s="46">
        <f>IFERROR(VLOOKUP(A1595,'[1]MC Masterlist 2026-09-12'!$B:$M, 10, 0),0)</f>
        <v>15</v>
      </c>
      <c r="V1595" s="46">
        <f>IFERROR(VLOOKUP(A1595,'[1]MC Masterlist 2026-09-12'!$B:$M, 11, 0),0)</f>
        <v>15</v>
      </c>
      <c r="W1595" s="46">
        <f t="shared" si="367"/>
        <v>30</v>
      </c>
      <c r="X1595" s="46">
        <f t="shared" si="368"/>
        <v>29.666666666666668</v>
      </c>
      <c r="Y1595" s="46">
        <f>IFERROR(IF(OR(C1595="AREA I",C1595="AREA V"),7,VLOOKUP(A1595,'[1]MC Masterlist 2026-09-12'!$B:$M, 12, 0)),0)</f>
        <v>30</v>
      </c>
      <c r="Z1595" s="46">
        <f t="shared" si="369"/>
        <v>0.33333333333333331</v>
      </c>
      <c r="AA1595" s="46">
        <f t="shared" si="370"/>
        <v>0.66666666666666663</v>
      </c>
      <c r="AB1595" s="46">
        <f t="shared" si="371"/>
        <v>0.65925925925925921</v>
      </c>
      <c r="AC1595" s="46">
        <f t="shared" si="372"/>
        <v>0.66666666666666663</v>
      </c>
      <c r="AD1595" s="44" t="str">
        <f t="shared" si="373"/>
        <v>Stockout</v>
      </c>
      <c r="AE1595" s="44" t="str">
        <f>IFERROR(VLOOKUP(A1595,'[1]Re-order'!$A:$AA,27,0),"")</f>
        <v>Re-order</v>
      </c>
      <c r="AF1595" s="46">
        <f t="shared" si="374"/>
        <v>0.66666666666666663</v>
      </c>
      <c r="AG1595" s="46">
        <f>SUMIFS('[1]Raw Inventory'!D:D,'[1]Raw Inventory'!C:C,"GREATWALL",'[1]Raw Inventory'!B:B,A1595)</f>
        <v>16</v>
      </c>
      <c r="AH1595" s="46">
        <f>SUMIFS('[1]Raw Inventory'!D:D,'[1]Raw Inventory'!C:C,"DUARTE",'[1]Raw Inventory'!B:B,A1595)</f>
        <v>0</v>
      </c>
      <c r="AI1595" s="46"/>
      <c r="AJ1595" s="46"/>
      <c r="AK1595" s="43"/>
      <c r="AL1595" s="43"/>
      <c r="AM1595" s="43"/>
      <c r="AN1595" s="43"/>
      <c r="AO1595" s="43"/>
      <c r="AP1595" s="43"/>
      <c r="AQ1595" s="43"/>
      <c r="AR1595" s="43"/>
      <c r="AS1595" s="43"/>
      <c r="AT1595" s="43"/>
    </row>
    <row r="1596" spans="1:46">
      <c r="A1596" s="43" t="s">
        <v>64</v>
      </c>
      <c r="B1596" s="43" t="s">
        <v>94</v>
      </c>
      <c r="C1596" s="43" t="s">
        <v>90</v>
      </c>
      <c r="D1596" s="44" t="s">
        <v>240</v>
      </c>
      <c r="E1596" s="44">
        <v>11</v>
      </c>
      <c r="F1596" s="44" t="s">
        <v>2</v>
      </c>
      <c r="G1596" s="43" t="str">
        <f>IFERROR(VLOOKUP(A1596,'[1]MC Masterlist 2026-09-12'!$B:$M, 3, 0),"")</f>
        <v>HONDA</v>
      </c>
      <c r="H1596" s="45">
        <f>IFERROR(VLOOKUP(A1596,'[1]MC Masterlist 2026-09-12'!$B:$M, 6, 0),"")</f>
        <v>73170</v>
      </c>
      <c r="I1596" s="46">
        <v>1</v>
      </c>
      <c r="J1596" s="46">
        <v>1</v>
      </c>
      <c r="K1596" s="46">
        <v>0</v>
      </c>
      <c r="L1596" s="46">
        <f t="shared" si="360"/>
        <v>2</v>
      </c>
      <c r="M1596" s="46">
        <f t="shared" si="361"/>
        <v>0.66666666666666663</v>
      </c>
      <c r="N1596" s="45">
        <f t="shared" si="362"/>
        <v>146340</v>
      </c>
      <c r="O1596" s="45">
        <f t="shared" si="363"/>
        <v>48780</v>
      </c>
      <c r="P1596" s="46">
        <f t="shared" si="364"/>
        <v>2.222222222222222E-2</v>
      </c>
      <c r="Q1596" s="46">
        <v>2</v>
      </c>
      <c r="R1596" s="45">
        <f t="shared" si="365"/>
        <v>146340</v>
      </c>
      <c r="S1596" s="46">
        <f t="shared" si="366"/>
        <v>90</v>
      </c>
      <c r="T1596" s="46">
        <f>IFERROR(VLOOKUP(A1596,'[1]Re-order'!$A:$Q,17,0),"")</f>
        <v>76.153846153846146</v>
      </c>
      <c r="U1596" s="46">
        <f>IFERROR(VLOOKUP(A1596,'[1]MC Masterlist 2026-09-12'!$B:$M, 10, 0),0)</f>
        <v>15</v>
      </c>
      <c r="V1596" s="46">
        <f>IFERROR(VLOOKUP(A1596,'[1]MC Masterlist 2026-09-12'!$B:$M, 11, 0),0)</f>
        <v>15</v>
      </c>
      <c r="W1596" s="46">
        <f t="shared" si="367"/>
        <v>30</v>
      </c>
      <c r="X1596" s="46">
        <f t="shared" si="368"/>
        <v>29.666666666666668</v>
      </c>
      <c r="Y1596" s="46">
        <f>IFERROR(IF(OR(C1596="AREA I",C1596="AREA V"),7,VLOOKUP(A1596,'[1]MC Masterlist 2026-09-12'!$B:$M, 12, 0)),0)</f>
        <v>30</v>
      </c>
      <c r="Z1596" s="46">
        <f t="shared" si="369"/>
        <v>0.33333333333333331</v>
      </c>
      <c r="AA1596" s="46">
        <f t="shared" si="370"/>
        <v>0.66666666666666663</v>
      </c>
      <c r="AB1596" s="46">
        <f t="shared" si="371"/>
        <v>0.65925925925925921</v>
      </c>
      <c r="AC1596" s="46">
        <f t="shared" si="372"/>
        <v>0.66666666666666663</v>
      </c>
      <c r="AD1596" s="44" t="str">
        <f t="shared" si="373"/>
        <v>Over</v>
      </c>
      <c r="AE1596" s="44" t="str">
        <f>IFERROR(VLOOKUP(A1596,'[1]Re-order'!$A:$AA,27,0),"")</f>
        <v/>
      </c>
      <c r="AF1596" s="46">
        <f t="shared" si="374"/>
        <v>-1.3333333333333335</v>
      </c>
      <c r="AG1596" s="46">
        <f>SUMIFS('[1]Raw Inventory'!D:D,'[1]Raw Inventory'!C:C,"GREATWALL",'[1]Raw Inventory'!B:B,A1596)</f>
        <v>13</v>
      </c>
      <c r="AH1596" s="46">
        <f>SUMIFS('[1]Raw Inventory'!D:D,'[1]Raw Inventory'!C:C,"DUARTE",'[1]Raw Inventory'!B:B,A1596)</f>
        <v>0</v>
      </c>
      <c r="AI1596" s="46"/>
      <c r="AJ1596" s="46"/>
      <c r="AK1596" s="43"/>
      <c r="AL1596" s="43"/>
      <c r="AM1596" s="43"/>
      <c r="AN1596" s="43"/>
      <c r="AO1596" s="43"/>
      <c r="AP1596" s="43"/>
      <c r="AQ1596" s="43"/>
      <c r="AR1596" s="43"/>
      <c r="AS1596" s="43"/>
      <c r="AT1596" s="43"/>
    </row>
    <row r="1597" spans="1:46">
      <c r="A1597" s="43" t="s">
        <v>28</v>
      </c>
      <c r="B1597" s="43" t="s">
        <v>121</v>
      </c>
      <c r="C1597" s="43" t="s">
        <v>118</v>
      </c>
      <c r="D1597" s="44" t="s">
        <v>230</v>
      </c>
      <c r="E1597" s="44">
        <v>6</v>
      </c>
      <c r="F1597" s="44" t="s">
        <v>0</v>
      </c>
      <c r="G1597" s="43" t="str">
        <f>IFERROR(VLOOKUP(A1597,'[1]MC Masterlist 2026-09-12'!$B:$M, 3, 0),"")</f>
        <v>YAMAHA</v>
      </c>
      <c r="H1597" s="45">
        <f>IFERROR(VLOOKUP(A1597,'[1]MC Masterlist 2026-09-12'!$B:$M, 6, 0),"")</f>
        <v>147312</v>
      </c>
      <c r="I1597" s="46">
        <v>1</v>
      </c>
      <c r="J1597" s="46">
        <v>2</v>
      </c>
      <c r="K1597" s="46">
        <v>3</v>
      </c>
      <c r="L1597" s="46">
        <f t="shared" si="360"/>
        <v>6</v>
      </c>
      <c r="M1597" s="46">
        <f t="shared" si="361"/>
        <v>2</v>
      </c>
      <c r="N1597" s="45">
        <f t="shared" si="362"/>
        <v>883872</v>
      </c>
      <c r="O1597" s="45">
        <f t="shared" si="363"/>
        <v>294624</v>
      </c>
      <c r="P1597" s="46">
        <f t="shared" si="364"/>
        <v>6.6666666666666666E-2</v>
      </c>
      <c r="Q1597" s="46"/>
      <c r="R1597" s="45">
        <f t="shared" si="365"/>
        <v>0</v>
      </c>
      <c r="S1597" s="46">
        <f t="shared" si="366"/>
        <v>0</v>
      </c>
      <c r="T1597" s="46">
        <f>IFERROR(VLOOKUP(A1597,'[1]Re-order'!$A:$Q,17,0),"")</f>
        <v>8.2417582417582427</v>
      </c>
      <c r="U1597" s="46">
        <f>IFERROR(VLOOKUP(A1597,'[1]MC Masterlist 2026-09-12'!$B:$M, 10, 0),0)</f>
        <v>15</v>
      </c>
      <c r="V1597" s="46">
        <f>IFERROR(VLOOKUP(A1597,'[1]MC Masterlist 2026-09-12'!$B:$M, 11, 0),0)</f>
        <v>15</v>
      </c>
      <c r="W1597" s="46">
        <f t="shared" si="367"/>
        <v>30</v>
      </c>
      <c r="X1597" s="46">
        <f t="shared" si="368"/>
        <v>29</v>
      </c>
      <c r="Y1597" s="46">
        <f>IFERROR(IF(OR(C1597="AREA I",C1597="AREA V"),7,VLOOKUP(A1597,'[1]MC Masterlist 2026-09-12'!$B:$M, 12, 0)),0)</f>
        <v>30</v>
      </c>
      <c r="Z1597" s="46">
        <f t="shared" si="369"/>
        <v>1</v>
      </c>
      <c r="AA1597" s="46">
        <f t="shared" si="370"/>
        <v>2</v>
      </c>
      <c r="AB1597" s="46">
        <f t="shared" si="371"/>
        <v>1.9333333333333333</v>
      </c>
      <c r="AC1597" s="46">
        <f t="shared" si="372"/>
        <v>2</v>
      </c>
      <c r="AD1597" s="44" t="str">
        <f t="shared" si="373"/>
        <v>Stockout</v>
      </c>
      <c r="AE1597" s="44" t="str">
        <f>IFERROR(VLOOKUP(A1597,'[1]Re-order'!$A:$AA,27,0),"")</f>
        <v>Stockout</v>
      </c>
      <c r="AF1597" s="46">
        <f t="shared" si="374"/>
        <v>2</v>
      </c>
      <c r="AG1597" s="46">
        <f>SUMIFS('[1]Raw Inventory'!D:D,'[1]Raw Inventory'!C:C,"GREATWALL",'[1]Raw Inventory'!B:B,A1597)</f>
        <v>0</v>
      </c>
      <c r="AH1597" s="46">
        <f>SUMIFS('[1]Raw Inventory'!D:D,'[1]Raw Inventory'!C:C,"DUARTE",'[1]Raw Inventory'!B:B,A1597)</f>
        <v>0</v>
      </c>
      <c r="AI1597" s="46"/>
      <c r="AJ1597" s="46"/>
      <c r="AK1597" s="43"/>
      <c r="AL1597" s="43"/>
      <c r="AM1597" s="43"/>
      <c r="AN1597" s="43"/>
      <c r="AO1597" s="43"/>
      <c r="AP1597" s="43"/>
      <c r="AQ1597" s="43"/>
      <c r="AR1597" s="43"/>
      <c r="AS1597" s="43"/>
      <c r="AT1597" s="43"/>
    </row>
    <row r="1598" spans="1:46">
      <c r="A1598" s="43" t="s">
        <v>20</v>
      </c>
      <c r="B1598" s="43" t="s">
        <v>132</v>
      </c>
      <c r="C1598" s="43" t="s">
        <v>128</v>
      </c>
      <c r="D1598" s="44" t="s">
        <v>233</v>
      </c>
      <c r="E1598" s="44">
        <v>10</v>
      </c>
      <c r="F1598" s="44" t="s">
        <v>2</v>
      </c>
      <c r="G1598" s="43" t="str">
        <f>IFERROR(VLOOKUP(A1598,'[1]MC Masterlist 2026-09-12'!$B:$M, 3, 0),"")</f>
        <v>HONDA</v>
      </c>
      <c r="H1598" s="45">
        <f>IFERROR(VLOOKUP(A1598,'[1]MC Masterlist 2026-09-12'!$B:$M, 6, 0),"")</f>
        <v>69950</v>
      </c>
      <c r="I1598" s="46">
        <v>4</v>
      </c>
      <c r="J1598" s="46">
        <v>0</v>
      </c>
      <c r="K1598" s="46">
        <v>4</v>
      </c>
      <c r="L1598" s="46">
        <f t="shared" si="360"/>
        <v>8</v>
      </c>
      <c r="M1598" s="46">
        <f t="shared" si="361"/>
        <v>2.6666666666666665</v>
      </c>
      <c r="N1598" s="45">
        <f t="shared" si="362"/>
        <v>559600</v>
      </c>
      <c r="O1598" s="45">
        <f t="shared" si="363"/>
        <v>186533.33333333331</v>
      </c>
      <c r="P1598" s="46">
        <f t="shared" si="364"/>
        <v>8.8888888888888878E-2</v>
      </c>
      <c r="Q1598" s="46">
        <v>2</v>
      </c>
      <c r="R1598" s="45">
        <f t="shared" si="365"/>
        <v>139900</v>
      </c>
      <c r="S1598" s="46">
        <f t="shared" si="366"/>
        <v>22.500000000000004</v>
      </c>
      <c r="T1598" s="46">
        <f>IFERROR(VLOOKUP(A1598,'[1]Re-order'!$A:$Q,17,0),"")</f>
        <v>75.775862068965523</v>
      </c>
      <c r="U1598" s="46">
        <f>IFERROR(VLOOKUP(A1598,'[1]MC Masterlist 2026-09-12'!$B:$M, 10, 0),0)</f>
        <v>15</v>
      </c>
      <c r="V1598" s="46">
        <f>IFERROR(VLOOKUP(A1598,'[1]MC Masterlist 2026-09-12'!$B:$M, 11, 0),0)</f>
        <v>15</v>
      </c>
      <c r="W1598" s="46">
        <f t="shared" si="367"/>
        <v>30</v>
      </c>
      <c r="X1598" s="46">
        <f t="shared" si="368"/>
        <v>28.666666666666668</v>
      </c>
      <c r="Y1598" s="46">
        <f>IFERROR(IF(OR(C1598="AREA I",C1598="AREA V"),7,VLOOKUP(A1598,'[1]MC Masterlist 2026-09-12'!$B:$M, 12, 0)),0)</f>
        <v>30</v>
      </c>
      <c r="Z1598" s="46">
        <f t="shared" si="369"/>
        <v>1.3333333333333333</v>
      </c>
      <c r="AA1598" s="46">
        <f t="shared" si="370"/>
        <v>2.6666666666666665</v>
      </c>
      <c r="AB1598" s="46">
        <f t="shared" si="371"/>
        <v>2.5481481481481478</v>
      </c>
      <c r="AC1598" s="46">
        <f t="shared" si="372"/>
        <v>2.6666666666666665</v>
      </c>
      <c r="AD1598" s="44" t="str">
        <f t="shared" si="373"/>
        <v>Re-order</v>
      </c>
      <c r="AE1598" s="44" t="str">
        <f>IFERROR(VLOOKUP(A1598,'[1]Re-order'!$A:$AA,27,0),"")</f>
        <v/>
      </c>
      <c r="AF1598" s="46">
        <f t="shared" si="374"/>
        <v>0.66666666666666652</v>
      </c>
      <c r="AG1598" s="46">
        <f>SUMIFS('[1]Raw Inventory'!D:D,'[1]Raw Inventory'!C:C,"GREATWALL",'[1]Raw Inventory'!B:B,A1598)</f>
        <v>110</v>
      </c>
      <c r="AH1598" s="46">
        <f>SUMIFS('[1]Raw Inventory'!D:D,'[1]Raw Inventory'!C:C,"DUARTE",'[1]Raw Inventory'!B:B,A1598)</f>
        <v>0</v>
      </c>
      <c r="AI1598" s="46"/>
      <c r="AJ1598" s="46"/>
      <c r="AK1598" s="43"/>
      <c r="AL1598" s="43"/>
      <c r="AM1598" s="43"/>
      <c r="AN1598" s="43"/>
      <c r="AO1598" s="43"/>
      <c r="AP1598" s="43"/>
      <c r="AQ1598" s="43"/>
      <c r="AR1598" s="43"/>
      <c r="AS1598" s="43"/>
      <c r="AT1598" s="43"/>
    </row>
    <row r="1599" spans="1:46">
      <c r="A1599" s="43" t="s">
        <v>69</v>
      </c>
      <c r="B1599" s="43" t="s">
        <v>123</v>
      </c>
      <c r="C1599" s="43" t="s">
        <v>118</v>
      </c>
      <c r="D1599" s="44" t="s">
        <v>247</v>
      </c>
      <c r="E1599" s="44">
        <v>24</v>
      </c>
      <c r="F1599" s="44" t="s">
        <v>3</v>
      </c>
      <c r="G1599" s="43" t="str">
        <f>IFERROR(VLOOKUP(A1599,'[1]MC Masterlist 2026-09-12'!$B:$M, 3, 0),"")</f>
        <v>YAMAHA</v>
      </c>
      <c r="H1599" s="45">
        <f>IFERROR(VLOOKUP(A1599,'[1]MC Masterlist 2026-09-12'!$B:$M, 6, 0),"")</f>
        <v>54426</v>
      </c>
      <c r="I1599" s="46">
        <v>0</v>
      </c>
      <c r="J1599" s="46">
        <v>1</v>
      </c>
      <c r="K1599" s="46">
        <v>0</v>
      </c>
      <c r="L1599" s="46">
        <f t="shared" si="360"/>
        <v>1</v>
      </c>
      <c r="M1599" s="46">
        <f t="shared" si="361"/>
        <v>0.33333333333333331</v>
      </c>
      <c r="N1599" s="45">
        <f t="shared" si="362"/>
        <v>54426</v>
      </c>
      <c r="O1599" s="45">
        <f t="shared" si="363"/>
        <v>18142</v>
      </c>
      <c r="P1599" s="46">
        <f t="shared" si="364"/>
        <v>1.111111111111111E-2</v>
      </c>
      <c r="Q1599" s="46">
        <v>1</v>
      </c>
      <c r="R1599" s="45">
        <f t="shared" si="365"/>
        <v>54426</v>
      </c>
      <c r="S1599" s="46">
        <f t="shared" si="366"/>
        <v>90</v>
      </c>
      <c r="T1599" s="46">
        <f>IFERROR(VLOOKUP(A1599,'[1]Re-order'!$A:$Q,17,0),"")</f>
        <v>62.307692307692314</v>
      </c>
      <c r="U1599" s="46">
        <f>IFERROR(VLOOKUP(A1599,'[1]MC Masterlist 2026-09-12'!$B:$M, 10, 0),0)</f>
        <v>15</v>
      </c>
      <c r="V1599" s="46">
        <f>IFERROR(VLOOKUP(A1599,'[1]MC Masterlist 2026-09-12'!$B:$M, 11, 0),0)</f>
        <v>15</v>
      </c>
      <c r="W1599" s="46">
        <f t="shared" si="367"/>
        <v>30</v>
      </c>
      <c r="X1599" s="46">
        <f t="shared" si="368"/>
        <v>29.833333333333332</v>
      </c>
      <c r="Y1599" s="46">
        <f>IFERROR(IF(OR(C1599="AREA I",C1599="AREA V"),7,VLOOKUP(A1599,'[1]MC Masterlist 2026-09-12'!$B:$M, 12, 0)),0)</f>
        <v>30</v>
      </c>
      <c r="Z1599" s="46">
        <f t="shared" si="369"/>
        <v>0.16666666666666666</v>
      </c>
      <c r="AA1599" s="46">
        <f t="shared" si="370"/>
        <v>0.33333333333333331</v>
      </c>
      <c r="AB1599" s="46">
        <f t="shared" si="371"/>
        <v>0.33148148148148143</v>
      </c>
      <c r="AC1599" s="46">
        <f t="shared" si="372"/>
        <v>0.33333333333333331</v>
      </c>
      <c r="AD1599" s="44" t="str">
        <f t="shared" si="373"/>
        <v>Over</v>
      </c>
      <c r="AE1599" s="44" t="str">
        <f>IFERROR(VLOOKUP(A1599,'[1]Re-order'!$A:$AA,27,0),"")</f>
        <v>Re-order</v>
      </c>
      <c r="AF1599" s="46">
        <f t="shared" si="374"/>
        <v>-0.66666666666666674</v>
      </c>
      <c r="AG1599" s="46">
        <f>SUMIFS('[1]Raw Inventory'!D:D,'[1]Raw Inventory'!C:C,"GREATWALL",'[1]Raw Inventory'!B:B,A1599)</f>
        <v>1</v>
      </c>
      <c r="AH1599" s="46">
        <f>SUMIFS('[1]Raw Inventory'!D:D,'[1]Raw Inventory'!C:C,"DUARTE",'[1]Raw Inventory'!B:B,A1599)</f>
        <v>0</v>
      </c>
      <c r="AI1599" s="46"/>
      <c r="AJ1599" s="46"/>
      <c r="AK1599" s="43"/>
      <c r="AL1599" s="43"/>
      <c r="AM1599" s="43"/>
      <c r="AN1599" s="43"/>
      <c r="AO1599" s="43"/>
      <c r="AP1599" s="43"/>
      <c r="AQ1599" s="43"/>
      <c r="AR1599" s="43"/>
      <c r="AS1599" s="43"/>
      <c r="AT1599" s="43"/>
    </row>
    <row r="1600" spans="1:46">
      <c r="A1600" s="43" t="s">
        <v>40</v>
      </c>
      <c r="B1600" s="43" t="s">
        <v>93</v>
      </c>
      <c r="C1600" s="43" t="s">
        <v>90</v>
      </c>
      <c r="D1600" s="44" t="s">
        <v>247</v>
      </c>
      <c r="E1600" s="44">
        <v>20</v>
      </c>
      <c r="F1600" s="44" t="s">
        <v>3</v>
      </c>
      <c r="G1600" s="43" t="str">
        <f>IFERROR(VLOOKUP(A1600,'[1]MC Masterlist 2026-09-12'!$B:$M, 3, 0),"")</f>
        <v>HONDA</v>
      </c>
      <c r="H1600" s="45">
        <f>IFERROR(VLOOKUP(A1600,'[1]MC Masterlist 2026-09-12'!$B:$M, 6, 0),"")</f>
        <v>56426</v>
      </c>
      <c r="I1600" s="46">
        <v>0</v>
      </c>
      <c r="J1600" s="46">
        <v>0</v>
      </c>
      <c r="K1600" s="46">
        <v>1</v>
      </c>
      <c r="L1600" s="46">
        <f t="shared" si="360"/>
        <v>1</v>
      </c>
      <c r="M1600" s="46">
        <f t="shared" si="361"/>
        <v>0.33333333333333331</v>
      </c>
      <c r="N1600" s="45">
        <f t="shared" si="362"/>
        <v>56426</v>
      </c>
      <c r="O1600" s="45">
        <f t="shared" si="363"/>
        <v>18808.666666666664</v>
      </c>
      <c r="P1600" s="46">
        <f t="shared" si="364"/>
        <v>1.111111111111111E-2</v>
      </c>
      <c r="Q1600" s="46">
        <v>2</v>
      </c>
      <c r="R1600" s="45">
        <f t="shared" si="365"/>
        <v>112852</v>
      </c>
      <c r="S1600" s="46">
        <f t="shared" si="366"/>
        <v>180.00000000000003</v>
      </c>
      <c r="T1600" s="46">
        <f>IFERROR(VLOOKUP(A1600,'[1]Re-order'!$A:$Q,17,0),"")</f>
        <v>139.56521739130434</v>
      </c>
      <c r="U1600" s="46">
        <f>IFERROR(VLOOKUP(A1600,'[1]MC Masterlist 2026-09-12'!$B:$M, 10, 0),0)</f>
        <v>15</v>
      </c>
      <c r="V1600" s="46">
        <f>IFERROR(VLOOKUP(A1600,'[1]MC Masterlist 2026-09-12'!$B:$M, 11, 0),0)</f>
        <v>15</v>
      </c>
      <c r="W1600" s="46">
        <f t="shared" si="367"/>
        <v>30</v>
      </c>
      <c r="X1600" s="46">
        <f t="shared" si="368"/>
        <v>29.833333333333332</v>
      </c>
      <c r="Y1600" s="46">
        <f>IFERROR(IF(OR(C1600="AREA I",C1600="AREA V"),7,VLOOKUP(A1600,'[1]MC Masterlist 2026-09-12'!$B:$M, 12, 0)),0)</f>
        <v>30</v>
      </c>
      <c r="Z1600" s="46">
        <f t="shared" si="369"/>
        <v>0.16666666666666666</v>
      </c>
      <c r="AA1600" s="46">
        <f t="shared" si="370"/>
        <v>0.33333333333333331</v>
      </c>
      <c r="AB1600" s="46">
        <f t="shared" si="371"/>
        <v>0.33148148148148143</v>
      </c>
      <c r="AC1600" s="46">
        <f t="shared" si="372"/>
        <v>0.33333333333333331</v>
      </c>
      <c r="AD1600" s="44" t="str">
        <f t="shared" si="373"/>
        <v>Over</v>
      </c>
      <c r="AE1600" s="44" t="str">
        <f>IFERROR(VLOOKUP(A1600,'[1]Re-order'!$A:$AA,27,0),"")</f>
        <v>Over</v>
      </c>
      <c r="AF1600" s="46">
        <f t="shared" si="374"/>
        <v>-1.6666666666666667</v>
      </c>
      <c r="AG1600" s="46">
        <f>SUMIFS('[1]Raw Inventory'!D:D,'[1]Raw Inventory'!C:C,"GREATWALL",'[1]Raw Inventory'!B:B,A1600)</f>
        <v>45</v>
      </c>
      <c r="AH1600" s="46">
        <f>SUMIFS('[1]Raw Inventory'!D:D,'[1]Raw Inventory'!C:C,"DUARTE",'[1]Raw Inventory'!B:B,A1600)</f>
        <v>0</v>
      </c>
      <c r="AI1600" s="46"/>
      <c r="AJ1600" s="46"/>
      <c r="AK1600" s="43"/>
      <c r="AL1600" s="43"/>
      <c r="AM1600" s="43"/>
      <c r="AN1600" s="43"/>
      <c r="AO1600" s="43"/>
      <c r="AP1600" s="43"/>
      <c r="AQ1600" s="43"/>
      <c r="AR1600" s="43"/>
      <c r="AS1600" s="43"/>
      <c r="AT1600" s="43"/>
    </row>
    <row r="1601" spans="1:46">
      <c r="A1601" s="43" t="s">
        <v>50</v>
      </c>
      <c r="B1601" s="43" t="s">
        <v>142</v>
      </c>
      <c r="C1601" s="43" t="s">
        <v>137</v>
      </c>
      <c r="D1601" s="44" t="s">
        <v>224</v>
      </c>
      <c r="E1601" s="44">
        <v>11</v>
      </c>
      <c r="F1601" s="44" t="s">
        <v>2</v>
      </c>
      <c r="G1601" s="43" t="str">
        <f>IFERROR(VLOOKUP(A1601,'[1]MC Masterlist 2026-09-12'!$B:$M, 3, 0),"")</f>
        <v>YAMAHA</v>
      </c>
      <c r="H1601" s="45">
        <f>IFERROR(VLOOKUP(A1601,'[1]MC Masterlist 2026-09-12'!$B:$M, 6, 0),"")</f>
        <v>78957</v>
      </c>
      <c r="I1601" s="46">
        <v>1</v>
      </c>
      <c r="J1601" s="46">
        <v>1</v>
      </c>
      <c r="K1601" s="46">
        <v>0</v>
      </c>
      <c r="L1601" s="46">
        <f t="shared" si="360"/>
        <v>2</v>
      </c>
      <c r="M1601" s="46">
        <f t="shared" si="361"/>
        <v>0.66666666666666663</v>
      </c>
      <c r="N1601" s="45">
        <f t="shared" si="362"/>
        <v>157914</v>
      </c>
      <c r="O1601" s="45">
        <f t="shared" si="363"/>
        <v>52638</v>
      </c>
      <c r="P1601" s="46">
        <f t="shared" si="364"/>
        <v>2.222222222222222E-2</v>
      </c>
      <c r="Q1601" s="46">
        <v>2</v>
      </c>
      <c r="R1601" s="45">
        <f t="shared" si="365"/>
        <v>157914</v>
      </c>
      <c r="S1601" s="46">
        <f t="shared" si="366"/>
        <v>90</v>
      </c>
      <c r="T1601" s="46">
        <f>IFERROR(VLOOKUP(A1601,'[1]Re-order'!$A:$Q,17,0),"")</f>
        <v>118.125</v>
      </c>
      <c r="U1601" s="46">
        <f>IFERROR(VLOOKUP(A1601,'[1]MC Masterlist 2026-09-12'!$B:$M, 10, 0),0)</f>
        <v>15</v>
      </c>
      <c r="V1601" s="46">
        <f>IFERROR(VLOOKUP(A1601,'[1]MC Masterlist 2026-09-12'!$B:$M, 11, 0),0)</f>
        <v>15</v>
      </c>
      <c r="W1601" s="46">
        <f t="shared" si="367"/>
        <v>30</v>
      </c>
      <c r="X1601" s="46">
        <f t="shared" si="368"/>
        <v>6.666666666666667</v>
      </c>
      <c r="Y1601" s="46">
        <f>IFERROR(IF(OR(C1601="AREA I",C1601="AREA V"),7,VLOOKUP(A1601,'[1]MC Masterlist 2026-09-12'!$B:$M, 12, 0)),0)</f>
        <v>7</v>
      </c>
      <c r="Z1601" s="46">
        <f t="shared" si="369"/>
        <v>0.33333333333333331</v>
      </c>
      <c r="AA1601" s="46">
        <f t="shared" si="370"/>
        <v>0.66666666666666663</v>
      </c>
      <c r="AB1601" s="46">
        <f t="shared" si="371"/>
        <v>0.14814814814814814</v>
      </c>
      <c r="AC1601" s="46">
        <f t="shared" si="372"/>
        <v>0.15555555555555553</v>
      </c>
      <c r="AD1601" s="44" t="str">
        <f t="shared" si="373"/>
        <v>Over</v>
      </c>
      <c r="AE1601" s="44" t="str">
        <f>IFERROR(VLOOKUP(A1601,'[1]Re-order'!$A:$AA,27,0),"")</f>
        <v>Over</v>
      </c>
      <c r="AF1601" s="46">
        <f t="shared" si="374"/>
        <v>-1.8444444444444446</v>
      </c>
      <c r="AG1601" s="46">
        <f>SUMIFS('[1]Raw Inventory'!D:D,'[1]Raw Inventory'!C:C,"GREATWALL",'[1]Raw Inventory'!B:B,A1601)</f>
        <v>23</v>
      </c>
      <c r="AH1601" s="46">
        <f>SUMIFS('[1]Raw Inventory'!D:D,'[1]Raw Inventory'!C:C,"DUARTE",'[1]Raw Inventory'!B:B,A1601)</f>
        <v>0</v>
      </c>
      <c r="AI1601" s="46"/>
      <c r="AJ1601" s="46"/>
      <c r="AK1601" s="43"/>
      <c r="AL1601" s="43"/>
      <c r="AM1601" s="43"/>
      <c r="AN1601" s="43"/>
      <c r="AO1601" s="43"/>
      <c r="AP1601" s="43"/>
      <c r="AQ1601" s="43"/>
      <c r="AR1601" s="43"/>
      <c r="AS1601" s="43"/>
      <c r="AT1601" s="43"/>
    </row>
    <row r="1602" spans="1:46">
      <c r="A1602" s="43" t="s">
        <v>23</v>
      </c>
      <c r="B1602" s="43" t="s">
        <v>112</v>
      </c>
      <c r="C1602" s="43" t="s">
        <v>109</v>
      </c>
      <c r="D1602" s="44" t="s">
        <v>257</v>
      </c>
      <c r="E1602" s="44">
        <v>21</v>
      </c>
      <c r="F1602" s="44" t="s">
        <v>3</v>
      </c>
      <c r="G1602" s="43" t="str">
        <f>IFERROR(VLOOKUP(A1602,'[1]MC Masterlist 2026-09-12'!$B:$M, 3, 0),"")</f>
        <v>KAWASAKI</v>
      </c>
      <c r="H1602" s="45">
        <f>IFERROR(VLOOKUP(A1602,'[1]MC Masterlist 2026-09-12'!$B:$M, 6, 0),"")</f>
        <v>60656</v>
      </c>
      <c r="I1602" s="46">
        <v>0</v>
      </c>
      <c r="J1602" s="46">
        <v>0</v>
      </c>
      <c r="K1602" s="46">
        <v>1</v>
      </c>
      <c r="L1602" s="46">
        <f t="shared" si="360"/>
        <v>1</v>
      </c>
      <c r="M1602" s="46">
        <f t="shared" si="361"/>
        <v>0.33333333333333331</v>
      </c>
      <c r="N1602" s="45">
        <f t="shared" si="362"/>
        <v>60656</v>
      </c>
      <c r="O1602" s="45">
        <f t="shared" si="363"/>
        <v>20218.666666666664</v>
      </c>
      <c r="P1602" s="46">
        <f t="shared" si="364"/>
        <v>1.111111111111111E-2</v>
      </c>
      <c r="Q1602" s="46">
        <v>3</v>
      </c>
      <c r="R1602" s="45">
        <f t="shared" si="365"/>
        <v>181968</v>
      </c>
      <c r="S1602" s="46">
        <f t="shared" si="366"/>
        <v>270.00000000000006</v>
      </c>
      <c r="T1602" s="46">
        <f>IFERROR(VLOOKUP(A1602,'[1]Re-order'!$A:$Q,17,0),"")</f>
        <v>53.973412112259979</v>
      </c>
      <c r="U1602" s="46">
        <f>IFERROR(VLOOKUP(A1602,'[1]MC Masterlist 2026-09-12'!$B:$M, 10, 0),0)</f>
        <v>15</v>
      </c>
      <c r="V1602" s="46">
        <f>IFERROR(VLOOKUP(A1602,'[1]MC Masterlist 2026-09-12'!$B:$M, 11, 0),0)</f>
        <v>15</v>
      </c>
      <c r="W1602" s="46">
        <f t="shared" si="367"/>
        <v>30</v>
      </c>
      <c r="X1602" s="46">
        <f t="shared" si="368"/>
        <v>29.833333333333332</v>
      </c>
      <c r="Y1602" s="46">
        <f>IFERROR(IF(OR(C1602="AREA I",C1602="AREA V"),7,VLOOKUP(A1602,'[1]MC Masterlist 2026-09-12'!$B:$M, 12, 0)),0)</f>
        <v>30</v>
      </c>
      <c r="Z1602" s="46">
        <f t="shared" si="369"/>
        <v>0.16666666666666666</v>
      </c>
      <c r="AA1602" s="46">
        <f t="shared" si="370"/>
        <v>0.33333333333333331</v>
      </c>
      <c r="AB1602" s="46">
        <f t="shared" si="371"/>
        <v>0.33148148148148143</v>
      </c>
      <c r="AC1602" s="46">
        <f t="shared" si="372"/>
        <v>0.33333333333333331</v>
      </c>
      <c r="AD1602" s="44" t="str">
        <f t="shared" si="373"/>
        <v>Over</v>
      </c>
      <c r="AE1602" s="44" t="str">
        <f>IFERROR(VLOOKUP(A1602,'[1]Re-order'!$A:$AA,27,0),"")</f>
        <v>Re-order</v>
      </c>
      <c r="AF1602" s="46">
        <f t="shared" si="374"/>
        <v>-2.6666666666666665</v>
      </c>
      <c r="AG1602" s="46">
        <f>SUMIFS('[1]Raw Inventory'!D:D,'[1]Raw Inventory'!C:C,"GREATWALL",'[1]Raw Inventory'!B:B,A1602)</f>
        <v>282</v>
      </c>
      <c r="AH1602" s="46">
        <f>SUMIFS('[1]Raw Inventory'!D:D,'[1]Raw Inventory'!C:C,"DUARTE",'[1]Raw Inventory'!B:B,A1602)</f>
        <v>0</v>
      </c>
      <c r="AI1602" s="46"/>
      <c r="AJ1602" s="46"/>
      <c r="AK1602" s="43"/>
      <c r="AL1602" s="43"/>
      <c r="AM1602" s="43"/>
      <c r="AN1602" s="43"/>
      <c r="AO1602" s="43"/>
      <c r="AP1602" s="43"/>
      <c r="AQ1602" s="43"/>
      <c r="AR1602" s="43"/>
      <c r="AS1602" s="43"/>
      <c r="AT1602" s="43"/>
    </row>
    <row r="1603" spans="1:46">
      <c r="A1603" s="43" t="s">
        <v>31</v>
      </c>
      <c r="B1603" s="43" t="s">
        <v>30</v>
      </c>
      <c r="C1603" s="43" t="s">
        <v>1</v>
      </c>
      <c r="D1603" s="44" t="s">
        <v>234</v>
      </c>
      <c r="E1603" s="44">
        <v>4</v>
      </c>
      <c r="F1603" s="44" t="s">
        <v>0</v>
      </c>
      <c r="G1603" s="43" t="str">
        <f>IFERROR(VLOOKUP(A1603,'[1]MC Masterlist 2026-09-12'!$B:$M, 3, 0),"")</f>
        <v>KAWASAKI</v>
      </c>
      <c r="H1603" s="45">
        <f>IFERROR(VLOOKUP(A1603,'[1]MC Masterlist 2026-09-12'!$B:$M, 6, 0),"")</f>
        <v>59528</v>
      </c>
      <c r="I1603" s="46">
        <v>9</v>
      </c>
      <c r="J1603" s="46">
        <v>4</v>
      </c>
      <c r="K1603" s="46">
        <v>29</v>
      </c>
      <c r="L1603" s="46">
        <f t="shared" ref="L1603:L1653" si="375">I1603+J1603+K1603</f>
        <v>42</v>
      </c>
      <c r="M1603" s="46">
        <f t="shared" ref="M1603:M1653" si="376">AVERAGE(I1603,J1603,K1603)</f>
        <v>14</v>
      </c>
      <c r="N1603" s="45">
        <f t="shared" ref="N1603:N1653" si="377">L1603*H1603</f>
        <v>2500176</v>
      </c>
      <c r="O1603" s="45">
        <f t="shared" ref="O1603:O1653" si="378">M1603*H1603</f>
        <v>833392</v>
      </c>
      <c r="P1603" s="46">
        <f t="shared" ref="P1603:P1653" si="379">M1603/30</f>
        <v>0.46666666666666667</v>
      </c>
      <c r="Q1603" s="46">
        <v>1</v>
      </c>
      <c r="R1603" s="45">
        <f t="shared" ref="R1603:R1653" si="380">IFERROR(Q1603*H1603, 0)</f>
        <v>59528</v>
      </c>
      <c r="S1603" s="46">
        <f t="shared" ref="S1603:S1653" si="381">IFERROR(R1603/(O1603)*30, 0)</f>
        <v>2.1428571428571428</v>
      </c>
      <c r="T1603" s="46">
        <f>IFERROR(VLOOKUP(A1603,'[1]Re-order'!$A:$Q,17,0),"")</f>
        <v>95.869565217391298</v>
      </c>
      <c r="U1603" s="46">
        <f>IFERROR(VLOOKUP(A1603,'[1]MC Masterlist 2026-09-12'!$B:$M, 10, 0),0)</f>
        <v>15</v>
      </c>
      <c r="V1603" s="46">
        <f>IFERROR(VLOOKUP(A1603,'[1]MC Masterlist 2026-09-12'!$B:$M, 11, 0),0)</f>
        <v>15</v>
      </c>
      <c r="W1603" s="46">
        <f t="shared" ref="W1603:W1653" si="382">U1603+V1603</f>
        <v>30</v>
      </c>
      <c r="X1603" s="46">
        <f t="shared" ref="X1603:X1653" si="383">Y1603-Z1603</f>
        <v>0</v>
      </c>
      <c r="Y1603" s="46">
        <f>IFERROR(IF(OR(C1603="AREA I",C1603="AREA V"),7,VLOOKUP(A1603,'[1]MC Masterlist 2026-09-12'!$B:$M, 12, 0)),0)</f>
        <v>7</v>
      </c>
      <c r="Z1603" s="46">
        <f t="shared" ref="Z1603:Z1653" si="384">V1603*P1603</f>
        <v>7</v>
      </c>
      <c r="AA1603" s="46">
        <f t="shared" ref="AA1603:AA1653" si="385">W1603*P1603</f>
        <v>14</v>
      </c>
      <c r="AB1603" s="46">
        <f t="shared" ref="AB1603:AB1653" si="386">X1603*P1603</f>
        <v>0</v>
      </c>
      <c r="AC1603" s="46">
        <f t="shared" ref="AC1603:AC1653" si="387">Y1603*P1603</f>
        <v>3.2666666666666666</v>
      </c>
      <c r="AD1603" s="44" t="str">
        <f t="shared" ref="AD1603:AD1653" si="388">IFERROR(IF(Q1603&gt;AC1603, "Over", IF(Q1603&lt;=Z1603, "Stockout", IF(Q1603&lt;=AA1603, "Re-order",""))), "")</f>
        <v>Stockout</v>
      </c>
      <c r="AE1603" s="44" t="str">
        <f>IFERROR(VLOOKUP(A1603,'[1]Re-order'!$A:$AA,27,0),"")</f>
        <v>Over</v>
      </c>
      <c r="AF1603" s="46">
        <f t="shared" ref="AF1603:AF1653" si="389">AC1603-Q1603</f>
        <v>2.2666666666666666</v>
      </c>
      <c r="AG1603" s="46">
        <f>SUMIFS('[1]Raw Inventory'!D:D,'[1]Raw Inventory'!C:C,"GREATWALL",'[1]Raw Inventory'!B:B,A1603)</f>
        <v>79</v>
      </c>
      <c r="AH1603" s="46">
        <f>SUMIFS('[1]Raw Inventory'!D:D,'[1]Raw Inventory'!C:C,"DUARTE",'[1]Raw Inventory'!B:B,A1603)</f>
        <v>0</v>
      </c>
      <c r="AI1603" s="46"/>
      <c r="AJ1603" s="46"/>
      <c r="AK1603" s="43"/>
      <c r="AL1603" s="43"/>
      <c r="AM1603" s="43"/>
      <c r="AN1603" s="43"/>
      <c r="AO1603" s="43"/>
      <c r="AP1603" s="43"/>
      <c r="AQ1603" s="43"/>
      <c r="AR1603" s="43"/>
      <c r="AS1603" s="43"/>
      <c r="AT1603" s="43"/>
    </row>
    <row r="1604" spans="1:46">
      <c r="A1604" s="43" t="s">
        <v>39</v>
      </c>
      <c r="B1604" s="43" t="s">
        <v>248</v>
      </c>
      <c r="C1604" s="43"/>
      <c r="D1604" s="44" t="s">
        <v>278</v>
      </c>
      <c r="E1604" s="44">
        <v>1</v>
      </c>
      <c r="F1604" s="44" t="s">
        <v>0</v>
      </c>
      <c r="G1604" s="43" t="str">
        <f>IFERROR(VLOOKUP(A1604,'[1]MC Masterlist 2026-09-12'!$B:$M, 3, 0),"")</f>
        <v>HONDA</v>
      </c>
      <c r="H1604" s="45">
        <f>IFERROR(VLOOKUP(A1604,'[1]MC Masterlist 2026-09-12'!$B:$M, 6, 0),"")</f>
        <v>72434</v>
      </c>
      <c r="I1604" s="46">
        <v>0</v>
      </c>
      <c r="J1604" s="46">
        <v>0</v>
      </c>
      <c r="K1604" s="46">
        <v>0</v>
      </c>
      <c r="L1604" s="46">
        <f t="shared" si="375"/>
        <v>0</v>
      </c>
      <c r="M1604" s="46">
        <f t="shared" si="376"/>
        <v>0</v>
      </c>
      <c r="N1604" s="45">
        <f t="shared" si="377"/>
        <v>0</v>
      </c>
      <c r="O1604" s="45">
        <f t="shared" si="378"/>
        <v>0</v>
      </c>
      <c r="P1604" s="46">
        <f t="shared" si="379"/>
        <v>0</v>
      </c>
      <c r="Q1604" s="46">
        <v>1</v>
      </c>
      <c r="R1604" s="45">
        <f t="shared" si="380"/>
        <v>72434</v>
      </c>
      <c r="S1604" s="46">
        <f t="shared" si="381"/>
        <v>0</v>
      </c>
      <c r="T1604" s="46">
        <f>IFERROR(VLOOKUP(A1604,'[1]Re-order'!$A:$Q,17,0),"")</f>
        <v>40.982142857142854</v>
      </c>
      <c r="U1604" s="46">
        <f>IFERROR(VLOOKUP(A1604,'[1]MC Masterlist 2026-09-12'!$B:$M, 10, 0),0)</f>
        <v>15</v>
      </c>
      <c r="V1604" s="46">
        <f>IFERROR(VLOOKUP(A1604,'[1]MC Masterlist 2026-09-12'!$B:$M, 11, 0),0)</f>
        <v>15</v>
      </c>
      <c r="W1604" s="46">
        <f t="shared" si="382"/>
        <v>30</v>
      </c>
      <c r="X1604" s="46">
        <f t="shared" si="383"/>
        <v>30</v>
      </c>
      <c r="Y1604" s="46">
        <f>IFERROR(IF(OR(C1604="AREA I",C1604="AREA V"),7,VLOOKUP(A1604,'[1]MC Masterlist 2026-09-12'!$B:$M, 12, 0)),0)</f>
        <v>30</v>
      </c>
      <c r="Z1604" s="46">
        <f t="shared" si="384"/>
        <v>0</v>
      </c>
      <c r="AA1604" s="46">
        <f t="shared" si="385"/>
        <v>0</v>
      </c>
      <c r="AB1604" s="46">
        <f t="shared" si="386"/>
        <v>0</v>
      </c>
      <c r="AC1604" s="46">
        <f t="shared" si="387"/>
        <v>0</v>
      </c>
      <c r="AD1604" s="44" t="str">
        <f t="shared" si="388"/>
        <v>Over</v>
      </c>
      <c r="AE1604" s="44" t="str">
        <f>IFERROR(VLOOKUP(A1604,'[1]Re-order'!$A:$AA,27,0),"")</f>
        <v>Re-order</v>
      </c>
      <c r="AF1604" s="46">
        <f t="shared" si="389"/>
        <v>-1</v>
      </c>
      <c r="AG1604" s="46">
        <f>SUMIFS('[1]Raw Inventory'!D:D,'[1]Raw Inventory'!C:C,"GREATWALL",'[1]Raw Inventory'!B:B,A1604)</f>
        <v>16</v>
      </c>
      <c r="AH1604" s="46">
        <f>SUMIFS('[1]Raw Inventory'!D:D,'[1]Raw Inventory'!C:C,"DUARTE",'[1]Raw Inventory'!B:B,A1604)</f>
        <v>0</v>
      </c>
      <c r="AI1604" s="46"/>
      <c r="AJ1604" s="46"/>
      <c r="AK1604" s="43"/>
      <c r="AL1604" s="43"/>
      <c r="AM1604" s="43"/>
      <c r="AN1604" s="43"/>
      <c r="AO1604" s="43"/>
      <c r="AP1604" s="43"/>
      <c r="AQ1604" s="43"/>
      <c r="AR1604" s="43"/>
      <c r="AS1604" s="43"/>
      <c r="AT1604" s="43"/>
    </row>
    <row r="1605" spans="1:46">
      <c r="A1605" s="43" t="s">
        <v>73</v>
      </c>
      <c r="B1605" s="43" t="s">
        <v>154</v>
      </c>
      <c r="C1605" s="43" t="s">
        <v>152</v>
      </c>
      <c r="D1605" s="44" t="s">
        <v>231</v>
      </c>
      <c r="E1605" s="44">
        <v>28</v>
      </c>
      <c r="F1605" s="44" t="s">
        <v>3</v>
      </c>
      <c r="G1605" s="43" t="str">
        <f>IFERROR(VLOOKUP(A1605,'[1]MC Masterlist 2026-09-12'!$B:$M, 3, 0),"")</f>
        <v>SUZUKI</v>
      </c>
      <c r="H1605" s="45">
        <f>IFERROR(VLOOKUP(A1605,'[1]MC Masterlist 2026-09-12'!$B:$M, 6, 0),"")</f>
        <v>122770</v>
      </c>
      <c r="I1605" s="46">
        <v>0</v>
      </c>
      <c r="J1605" s="46">
        <v>0</v>
      </c>
      <c r="K1605" s="46">
        <v>0</v>
      </c>
      <c r="L1605" s="46">
        <f t="shared" si="375"/>
        <v>0</v>
      </c>
      <c r="M1605" s="46">
        <f t="shared" si="376"/>
        <v>0</v>
      </c>
      <c r="N1605" s="45">
        <f t="shared" si="377"/>
        <v>0</v>
      </c>
      <c r="O1605" s="45">
        <f t="shared" si="378"/>
        <v>0</v>
      </c>
      <c r="P1605" s="46">
        <f t="shared" si="379"/>
        <v>0</v>
      </c>
      <c r="Q1605" s="46">
        <v>2</v>
      </c>
      <c r="R1605" s="45">
        <f t="shared" si="380"/>
        <v>245540</v>
      </c>
      <c r="S1605" s="46">
        <f t="shared" si="381"/>
        <v>0</v>
      </c>
      <c r="T1605" s="46">
        <f>IFERROR(VLOOKUP(A1605,'[1]Re-order'!$A:$Q,17,0),"")</f>
        <v>787.50000000000011</v>
      </c>
      <c r="U1605" s="46">
        <f>IFERROR(VLOOKUP(A1605,'[1]MC Masterlist 2026-09-12'!$B:$M, 10, 0),0)</f>
        <v>15</v>
      </c>
      <c r="V1605" s="46">
        <f>IFERROR(VLOOKUP(A1605,'[1]MC Masterlist 2026-09-12'!$B:$M, 11, 0),0)</f>
        <v>15</v>
      </c>
      <c r="W1605" s="46">
        <f t="shared" si="382"/>
        <v>30</v>
      </c>
      <c r="X1605" s="46">
        <f t="shared" si="383"/>
        <v>30</v>
      </c>
      <c r="Y1605" s="46">
        <f>IFERROR(IF(OR(C1605="AREA I",C1605="AREA V"),7,VLOOKUP(A1605,'[1]MC Masterlist 2026-09-12'!$B:$M, 12, 0)),0)</f>
        <v>30</v>
      </c>
      <c r="Z1605" s="46">
        <f t="shared" si="384"/>
        <v>0</v>
      </c>
      <c r="AA1605" s="46">
        <f t="shared" si="385"/>
        <v>0</v>
      </c>
      <c r="AB1605" s="46">
        <f t="shared" si="386"/>
        <v>0</v>
      </c>
      <c r="AC1605" s="46">
        <f t="shared" si="387"/>
        <v>0</v>
      </c>
      <c r="AD1605" s="44" t="str">
        <f t="shared" si="388"/>
        <v>Over</v>
      </c>
      <c r="AE1605" s="44" t="str">
        <f>IFERROR(VLOOKUP(A1605,'[1]Re-order'!$A:$AA,27,0),"")</f>
        <v>Over</v>
      </c>
      <c r="AF1605" s="46">
        <f t="shared" si="389"/>
        <v>-2</v>
      </c>
      <c r="AG1605" s="46">
        <f>SUMIFS('[1]Raw Inventory'!D:D,'[1]Raw Inventory'!C:C,"GREATWALL",'[1]Raw Inventory'!B:B,A1605)</f>
        <v>9</v>
      </c>
      <c r="AH1605" s="46">
        <f>SUMIFS('[1]Raw Inventory'!D:D,'[1]Raw Inventory'!C:C,"DUARTE",'[1]Raw Inventory'!B:B,A1605)</f>
        <v>0</v>
      </c>
      <c r="AI1605" s="46"/>
      <c r="AJ1605" s="46"/>
      <c r="AK1605" s="43"/>
      <c r="AL1605" s="43"/>
      <c r="AM1605" s="43"/>
      <c r="AN1605" s="43"/>
      <c r="AO1605" s="43"/>
      <c r="AP1605" s="43"/>
      <c r="AQ1605" s="43"/>
      <c r="AR1605" s="43"/>
      <c r="AS1605" s="43"/>
      <c r="AT1605" s="43"/>
    </row>
    <row r="1606" spans="1:46">
      <c r="A1606" s="43" t="s">
        <v>36</v>
      </c>
      <c r="B1606" s="43" t="s">
        <v>94</v>
      </c>
      <c r="C1606" s="43" t="s">
        <v>90</v>
      </c>
      <c r="D1606" s="44" t="s">
        <v>226</v>
      </c>
      <c r="E1606" s="44">
        <v>29</v>
      </c>
      <c r="F1606" s="44" t="s">
        <v>3</v>
      </c>
      <c r="G1606" s="43" t="str">
        <f>IFERROR(VLOOKUP(A1606,'[1]MC Masterlist 2026-09-12'!$B:$M, 3, 0),"")</f>
        <v>HONDA</v>
      </c>
      <c r="H1606" s="45">
        <f>IFERROR(VLOOKUP(A1606,'[1]MC Masterlist 2026-09-12'!$B:$M, 6, 0),"")</f>
        <v>76850</v>
      </c>
      <c r="I1606" s="46">
        <v>0</v>
      </c>
      <c r="J1606" s="46">
        <v>0</v>
      </c>
      <c r="K1606" s="46">
        <v>0</v>
      </c>
      <c r="L1606" s="46">
        <f t="shared" si="375"/>
        <v>0</v>
      </c>
      <c r="M1606" s="46">
        <f t="shared" si="376"/>
        <v>0</v>
      </c>
      <c r="N1606" s="45">
        <f t="shared" si="377"/>
        <v>0</v>
      </c>
      <c r="O1606" s="45">
        <f t="shared" si="378"/>
        <v>0</v>
      </c>
      <c r="P1606" s="46">
        <f t="shared" si="379"/>
        <v>0</v>
      </c>
      <c r="Q1606" s="46">
        <v>1</v>
      </c>
      <c r="R1606" s="45">
        <f t="shared" si="380"/>
        <v>76850</v>
      </c>
      <c r="S1606" s="46">
        <f t="shared" si="381"/>
        <v>0</v>
      </c>
      <c r="T1606" s="46">
        <f>IFERROR(VLOOKUP(A1606,'[1]Re-order'!$A:$Q,17,0),"")</f>
        <v>137.24999999999997</v>
      </c>
      <c r="U1606" s="46">
        <f>IFERROR(VLOOKUP(A1606,'[1]MC Masterlist 2026-09-12'!$B:$M, 10, 0),0)</f>
        <v>15</v>
      </c>
      <c r="V1606" s="46">
        <f>IFERROR(VLOOKUP(A1606,'[1]MC Masterlist 2026-09-12'!$B:$M, 11, 0),0)</f>
        <v>15</v>
      </c>
      <c r="W1606" s="46">
        <f t="shared" si="382"/>
        <v>30</v>
      </c>
      <c r="X1606" s="46">
        <f t="shared" si="383"/>
        <v>30</v>
      </c>
      <c r="Y1606" s="46">
        <f>IFERROR(IF(OR(C1606="AREA I",C1606="AREA V"),7,VLOOKUP(A1606,'[1]MC Masterlist 2026-09-12'!$B:$M, 12, 0)),0)</f>
        <v>30</v>
      </c>
      <c r="Z1606" s="46">
        <f t="shared" si="384"/>
        <v>0</v>
      </c>
      <c r="AA1606" s="46">
        <f t="shared" si="385"/>
        <v>0</v>
      </c>
      <c r="AB1606" s="46">
        <f t="shared" si="386"/>
        <v>0</v>
      </c>
      <c r="AC1606" s="46">
        <f t="shared" si="387"/>
        <v>0</v>
      </c>
      <c r="AD1606" s="44" t="str">
        <f t="shared" si="388"/>
        <v>Over</v>
      </c>
      <c r="AE1606" s="44" t="str">
        <f>IFERROR(VLOOKUP(A1606,'[1]Re-order'!$A:$AA,27,0),"")</f>
        <v>Over</v>
      </c>
      <c r="AF1606" s="46">
        <f t="shared" si="389"/>
        <v>-1</v>
      </c>
      <c r="AG1606" s="46">
        <f>SUMIFS('[1]Raw Inventory'!D:D,'[1]Raw Inventory'!C:C,"GREATWALL",'[1]Raw Inventory'!B:B,A1606)</f>
        <v>18</v>
      </c>
      <c r="AH1606" s="46">
        <f>SUMIFS('[1]Raw Inventory'!D:D,'[1]Raw Inventory'!C:C,"DUARTE",'[1]Raw Inventory'!B:B,A1606)</f>
        <v>0</v>
      </c>
      <c r="AI1606" s="46"/>
      <c r="AJ1606" s="46"/>
      <c r="AK1606" s="43"/>
      <c r="AL1606" s="43"/>
      <c r="AM1606" s="43"/>
      <c r="AN1606" s="43"/>
      <c r="AO1606" s="43"/>
      <c r="AP1606" s="43"/>
      <c r="AQ1606" s="43"/>
      <c r="AR1606" s="43"/>
      <c r="AS1606" s="43"/>
      <c r="AT1606" s="43"/>
    </row>
    <row r="1607" spans="1:46">
      <c r="A1607" s="43" t="s">
        <v>37</v>
      </c>
      <c r="B1607" s="43" t="s">
        <v>5</v>
      </c>
      <c r="C1607" s="43" t="s">
        <v>118</v>
      </c>
      <c r="D1607" s="44" t="s">
        <v>259</v>
      </c>
      <c r="E1607" s="44">
        <v>5</v>
      </c>
      <c r="F1607" s="44" t="s">
        <v>0</v>
      </c>
      <c r="G1607" s="43" t="str">
        <f>IFERROR(VLOOKUP(A1607,'[1]MC Masterlist 2026-09-12'!$B:$M, 3, 0),"")</f>
        <v>HONDA</v>
      </c>
      <c r="H1607" s="45">
        <f>IFERROR(VLOOKUP(A1607,'[1]MC Masterlist 2026-09-12'!$B:$M, 6, 0),"")</f>
        <v>74550</v>
      </c>
      <c r="I1607" s="46">
        <v>2</v>
      </c>
      <c r="J1607" s="46">
        <v>5</v>
      </c>
      <c r="K1607" s="46">
        <v>0</v>
      </c>
      <c r="L1607" s="46">
        <f t="shared" si="375"/>
        <v>7</v>
      </c>
      <c r="M1607" s="46">
        <f t="shared" si="376"/>
        <v>2.3333333333333335</v>
      </c>
      <c r="N1607" s="45">
        <f t="shared" si="377"/>
        <v>521850</v>
      </c>
      <c r="O1607" s="45">
        <f t="shared" si="378"/>
        <v>173950</v>
      </c>
      <c r="P1607" s="46">
        <f t="shared" si="379"/>
        <v>7.7777777777777779E-2</v>
      </c>
      <c r="Q1607" s="46">
        <v>1</v>
      </c>
      <c r="R1607" s="45">
        <f t="shared" si="380"/>
        <v>74550</v>
      </c>
      <c r="S1607" s="46">
        <f t="shared" si="381"/>
        <v>12.857142857142856</v>
      </c>
      <c r="T1607" s="46">
        <f>IFERROR(VLOOKUP(A1607,'[1]Re-order'!$A:$Q,17,0),"")</f>
        <v>33.652173913043477</v>
      </c>
      <c r="U1607" s="46">
        <f>IFERROR(VLOOKUP(A1607,'[1]MC Masterlist 2026-09-12'!$B:$M, 10, 0),0)</f>
        <v>15</v>
      </c>
      <c r="V1607" s="46">
        <f>IFERROR(VLOOKUP(A1607,'[1]MC Masterlist 2026-09-12'!$B:$M, 11, 0),0)</f>
        <v>15</v>
      </c>
      <c r="W1607" s="46">
        <f t="shared" si="382"/>
        <v>30</v>
      </c>
      <c r="X1607" s="46">
        <f t="shared" si="383"/>
        <v>28.833333333333332</v>
      </c>
      <c r="Y1607" s="46">
        <f>IFERROR(IF(OR(C1607="AREA I",C1607="AREA V"),7,VLOOKUP(A1607,'[1]MC Masterlist 2026-09-12'!$B:$M, 12, 0)),0)</f>
        <v>30</v>
      </c>
      <c r="Z1607" s="46">
        <f t="shared" si="384"/>
        <v>1.1666666666666667</v>
      </c>
      <c r="AA1607" s="46">
        <f t="shared" si="385"/>
        <v>2.3333333333333335</v>
      </c>
      <c r="AB1607" s="46">
        <f t="shared" si="386"/>
        <v>2.2425925925925925</v>
      </c>
      <c r="AC1607" s="46">
        <f t="shared" si="387"/>
        <v>2.3333333333333335</v>
      </c>
      <c r="AD1607" s="44" t="str">
        <f t="shared" si="388"/>
        <v>Stockout</v>
      </c>
      <c r="AE1607" s="44" t="str">
        <f>IFERROR(VLOOKUP(A1607,'[1]Re-order'!$A:$AA,27,0),"")</f>
        <v>Re-order</v>
      </c>
      <c r="AF1607" s="46">
        <f t="shared" si="389"/>
        <v>1.3333333333333335</v>
      </c>
      <c r="AG1607" s="46">
        <f>SUMIFS('[1]Raw Inventory'!D:D,'[1]Raw Inventory'!C:C,"GREATWALL",'[1]Raw Inventory'!B:B,A1607)</f>
        <v>28</v>
      </c>
      <c r="AH1607" s="46">
        <f>SUMIFS('[1]Raw Inventory'!D:D,'[1]Raw Inventory'!C:C,"DUARTE",'[1]Raw Inventory'!B:B,A1607)</f>
        <v>0</v>
      </c>
      <c r="AI1607" s="46"/>
      <c r="AJ1607" s="46"/>
      <c r="AK1607" s="43"/>
      <c r="AL1607" s="43"/>
      <c r="AM1607" s="43"/>
      <c r="AN1607" s="43"/>
      <c r="AO1607" s="43"/>
      <c r="AP1607" s="43"/>
      <c r="AQ1607" s="43"/>
      <c r="AR1607" s="43"/>
      <c r="AS1607" s="43"/>
      <c r="AT1607" s="43"/>
    </row>
    <row r="1608" spans="1:46">
      <c r="A1608" s="43" t="s">
        <v>23</v>
      </c>
      <c r="B1608" s="43" t="s">
        <v>143</v>
      </c>
      <c r="C1608" s="43" t="s">
        <v>137</v>
      </c>
      <c r="D1608" s="44" t="s">
        <v>227</v>
      </c>
      <c r="E1608" s="44">
        <v>1</v>
      </c>
      <c r="F1608" s="44" t="s">
        <v>0</v>
      </c>
      <c r="G1608" s="43" t="str">
        <f>IFERROR(VLOOKUP(A1608,'[1]MC Masterlist 2026-09-12'!$B:$M, 3, 0),"")</f>
        <v>KAWASAKI</v>
      </c>
      <c r="H1608" s="45">
        <f>IFERROR(VLOOKUP(A1608,'[1]MC Masterlist 2026-09-12'!$B:$M, 6, 0),"")</f>
        <v>60656</v>
      </c>
      <c r="I1608" s="46">
        <v>9</v>
      </c>
      <c r="J1608" s="46">
        <v>8</v>
      </c>
      <c r="K1608" s="46">
        <v>11</v>
      </c>
      <c r="L1608" s="46">
        <f t="shared" si="375"/>
        <v>28</v>
      </c>
      <c r="M1608" s="46">
        <f t="shared" si="376"/>
        <v>9.3333333333333339</v>
      </c>
      <c r="N1608" s="45">
        <f t="shared" si="377"/>
        <v>1698368</v>
      </c>
      <c r="O1608" s="45">
        <f t="shared" si="378"/>
        <v>566122.66666666674</v>
      </c>
      <c r="P1608" s="46">
        <f t="shared" si="379"/>
        <v>0.31111111111111112</v>
      </c>
      <c r="Q1608" s="46">
        <v>9</v>
      </c>
      <c r="R1608" s="45">
        <f t="shared" si="380"/>
        <v>545904</v>
      </c>
      <c r="S1608" s="46">
        <f t="shared" si="381"/>
        <v>28.928571428571427</v>
      </c>
      <c r="T1608" s="46">
        <f>IFERROR(VLOOKUP(A1608,'[1]Re-order'!$A:$Q,17,0),"")</f>
        <v>53.973412112259979</v>
      </c>
      <c r="U1608" s="46">
        <f>IFERROR(VLOOKUP(A1608,'[1]MC Masterlist 2026-09-12'!$B:$M, 10, 0),0)</f>
        <v>15</v>
      </c>
      <c r="V1608" s="46">
        <f>IFERROR(VLOOKUP(A1608,'[1]MC Masterlist 2026-09-12'!$B:$M, 11, 0),0)</f>
        <v>15</v>
      </c>
      <c r="W1608" s="46">
        <f t="shared" si="382"/>
        <v>30</v>
      </c>
      <c r="X1608" s="46">
        <f t="shared" si="383"/>
        <v>2.333333333333333</v>
      </c>
      <c r="Y1608" s="46">
        <f>IFERROR(IF(OR(C1608="AREA I",C1608="AREA V"),7,VLOOKUP(A1608,'[1]MC Masterlist 2026-09-12'!$B:$M, 12, 0)),0)</f>
        <v>7</v>
      </c>
      <c r="Z1608" s="46">
        <f t="shared" si="384"/>
        <v>4.666666666666667</v>
      </c>
      <c r="AA1608" s="46">
        <f t="shared" si="385"/>
        <v>9.3333333333333339</v>
      </c>
      <c r="AB1608" s="46">
        <f t="shared" si="386"/>
        <v>0.72592592592592586</v>
      </c>
      <c r="AC1608" s="46">
        <f t="shared" si="387"/>
        <v>2.177777777777778</v>
      </c>
      <c r="AD1608" s="44" t="str">
        <f t="shared" si="388"/>
        <v>Over</v>
      </c>
      <c r="AE1608" s="44" t="str">
        <f>IFERROR(VLOOKUP(A1608,'[1]Re-order'!$A:$AA,27,0),"")</f>
        <v>Re-order</v>
      </c>
      <c r="AF1608" s="46">
        <f t="shared" si="389"/>
        <v>-6.822222222222222</v>
      </c>
      <c r="AG1608" s="46">
        <f>SUMIFS('[1]Raw Inventory'!D:D,'[1]Raw Inventory'!C:C,"GREATWALL",'[1]Raw Inventory'!B:B,A1608)</f>
        <v>282</v>
      </c>
      <c r="AH1608" s="46">
        <f>SUMIFS('[1]Raw Inventory'!D:D,'[1]Raw Inventory'!C:C,"DUARTE",'[1]Raw Inventory'!B:B,A1608)</f>
        <v>0</v>
      </c>
      <c r="AI1608" s="46"/>
      <c r="AJ1608" s="46"/>
      <c r="AK1608" s="43"/>
      <c r="AL1608" s="43"/>
      <c r="AM1608" s="43"/>
      <c r="AN1608" s="43"/>
      <c r="AO1608" s="43"/>
      <c r="AP1608" s="43"/>
      <c r="AQ1608" s="43"/>
      <c r="AR1608" s="43"/>
      <c r="AS1608" s="43"/>
      <c r="AT1608" s="43"/>
    </row>
    <row r="1609" spans="1:46">
      <c r="A1609" s="43" t="s">
        <v>16</v>
      </c>
      <c r="B1609" s="43" t="s">
        <v>132</v>
      </c>
      <c r="C1609" s="43" t="s">
        <v>128</v>
      </c>
      <c r="D1609" s="44" t="s">
        <v>234</v>
      </c>
      <c r="E1609" s="44">
        <v>4</v>
      </c>
      <c r="F1609" s="44" t="s">
        <v>0</v>
      </c>
      <c r="G1609" s="43" t="str">
        <f>IFERROR(VLOOKUP(A1609,'[1]MC Masterlist 2026-09-12'!$B:$M, 3, 0),"")</f>
        <v>HONDA</v>
      </c>
      <c r="H1609" s="45">
        <f>IFERROR(VLOOKUP(A1609,'[1]MC Masterlist 2026-09-12'!$B:$M, 6, 0),"")</f>
        <v>84394</v>
      </c>
      <c r="I1609" s="46">
        <v>4</v>
      </c>
      <c r="J1609" s="46">
        <v>3</v>
      </c>
      <c r="K1609" s="46">
        <v>6</v>
      </c>
      <c r="L1609" s="46">
        <f t="shared" si="375"/>
        <v>13</v>
      </c>
      <c r="M1609" s="46">
        <f t="shared" si="376"/>
        <v>4.333333333333333</v>
      </c>
      <c r="N1609" s="45">
        <f t="shared" si="377"/>
        <v>1097122</v>
      </c>
      <c r="O1609" s="45">
        <f t="shared" si="378"/>
        <v>365707.33333333331</v>
      </c>
      <c r="P1609" s="46">
        <f t="shared" si="379"/>
        <v>0.14444444444444443</v>
      </c>
      <c r="Q1609" s="46">
        <v>6</v>
      </c>
      <c r="R1609" s="45">
        <f t="shared" si="380"/>
        <v>506364</v>
      </c>
      <c r="S1609" s="46">
        <f t="shared" si="381"/>
        <v>41.53846153846154</v>
      </c>
      <c r="T1609" s="46">
        <f>IFERROR(VLOOKUP(A1609,'[1]Re-order'!$A:$Q,17,0),"")</f>
        <v>26.332665330661321</v>
      </c>
      <c r="U1609" s="46">
        <f>IFERROR(VLOOKUP(A1609,'[1]MC Masterlist 2026-09-12'!$B:$M, 10, 0),0)</f>
        <v>15</v>
      </c>
      <c r="V1609" s="46">
        <f>IFERROR(VLOOKUP(A1609,'[1]MC Masterlist 2026-09-12'!$B:$M, 11, 0),0)</f>
        <v>15</v>
      </c>
      <c r="W1609" s="46">
        <f t="shared" si="382"/>
        <v>30</v>
      </c>
      <c r="X1609" s="46">
        <f t="shared" si="383"/>
        <v>27.833333333333332</v>
      </c>
      <c r="Y1609" s="46">
        <f>IFERROR(IF(OR(C1609="AREA I",C1609="AREA V"),7,VLOOKUP(A1609,'[1]MC Masterlist 2026-09-12'!$B:$M, 12, 0)),0)</f>
        <v>30</v>
      </c>
      <c r="Z1609" s="46">
        <f t="shared" si="384"/>
        <v>2.1666666666666665</v>
      </c>
      <c r="AA1609" s="46">
        <f t="shared" si="385"/>
        <v>4.333333333333333</v>
      </c>
      <c r="AB1609" s="46">
        <f t="shared" si="386"/>
        <v>4.0203703703703697</v>
      </c>
      <c r="AC1609" s="46">
        <f t="shared" si="387"/>
        <v>4.333333333333333</v>
      </c>
      <c r="AD1609" s="44" t="str">
        <f t="shared" si="388"/>
        <v>Over</v>
      </c>
      <c r="AE1609" s="44" t="str">
        <f>IFERROR(VLOOKUP(A1609,'[1]Re-order'!$A:$AA,27,0),"")</f>
        <v>Stockout</v>
      </c>
      <c r="AF1609" s="46">
        <f t="shared" si="389"/>
        <v>-1.666666666666667</v>
      </c>
      <c r="AG1609" s="46">
        <f>SUMIFS('[1]Raw Inventory'!D:D,'[1]Raw Inventory'!C:C,"GREATWALL",'[1]Raw Inventory'!B:B,A1609)</f>
        <v>58</v>
      </c>
      <c r="AH1609" s="46">
        <f>SUMIFS('[1]Raw Inventory'!D:D,'[1]Raw Inventory'!C:C,"DUARTE",'[1]Raw Inventory'!B:B,A1609)</f>
        <v>0</v>
      </c>
      <c r="AI1609" s="46"/>
      <c r="AJ1609" s="46"/>
      <c r="AK1609" s="43"/>
      <c r="AL1609" s="43"/>
      <c r="AM1609" s="43"/>
      <c r="AN1609" s="43"/>
      <c r="AO1609" s="43"/>
      <c r="AP1609" s="43"/>
      <c r="AQ1609" s="43"/>
      <c r="AR1609" s="43"/>
      <c r="AS1609" s="43"/>
      <c r="AT1609" s="43"/>
    </row>
    <row r="1610" spans="1:46">
      <c r="A1610" s="43" t="s">
        <v>65</v>
      </c>
      <c r="B1610" s="43" t="s">
        <v>110</v>
      </c>
      <c r="C1610" s="43" t="s">
        <v>109</v>
      </c>
      <c r="D1610" s="44" t="s">
        <v>241</v>
      </c>
      <c r="E1610" s="44">
        <v>24</v>
      </c>
      <c r="F1610" s="44" t="s">
        <v>3</v>
      </c>
      <c r="G1610" s="43" t="str">
        <f>IFERROR(VLOOKUP(A1610,'[1]MC Masterlist 2026-09-12'!$B:$M, 3, 0),"")</f>
        <v>SUZUKI</v>
      </c>
      <c r="H1610" s="45">
        <f>IFERROR(VLOOKUP(A1610,'[1]MC Masterlist 2026-09-12'!$B:$M, 6, 0),"")</f>
        <v>77572</v>
      </c>
      <c r="I1610" s="46">
        <v>0</v>
      </c>
      <c r="J1610" s="46">
        <v>1</v>
      </c>
      <c r="K1610" s="46">
        <v>0</v>
      </c>
      <c r="L1610" s="46">
        <f t="shared" si="375"/>
        <v>1</v>
      </c>
      <c r="M1610" s="46">
        <f t="shared" si="376"/>
        <v>0.33333333333333331</v>
      </c>
      <c r="N1610" s="45">
        <f t="shared" si="377"/>
        <v>77572</v>
      </c>
      <c r="O1610" s="45">
        <f t="shared" si="378"/>
        <v>25857.333333333332</v>
      </c>
      <c r="P1610" s="46">
        <f t="shared" si="379"/>
        <v>1.111111111111111E-2</v>
      </c>
      <c r="Q1610" s="46">
        <v>1</v>
      </c>
      <c r="R1610" s="45">
        <f t="shared" si="380"/>
        <v>77572</v>
      </c>
      <c r="S1610" s="46">
        <f t="shared" si="381"/>
        <v>90</v>
      </c>
      <c r="T1610" s="46">
        <f>IFERROR(VLOOKUP(A1610,'[1]Re-order'!$A:$Q,17,0),"")</f>
        <v>158.8235294117647</v>
      </c>
      <c r="U1610" s="46">
        <f>IFERROR(VLOOKUP(A1610,'[1]MC Masterlist 2026-09-12'!$B:$M, 10, 0),0)</f>
        <v>15</v>
      </c>
      <c r="V1610" s="46">
        <f>IFERROR(VLOOKUP(A1610,'[1]MC Masterlist 2026-09-12'!$B:$M, 11, 0),0)</f>
        <v>15</v>
      </c>
      <c r="W1610" s="46">
        <f t="shared" si="382"/>
        <v>30</v>
      </c>
      <c r="X1610" s="46">
        <f t="shared" si="383"/>
        <v>29.833333333333332</v>
      </c>
      <c r="Y1610" s="46">
        <f>IFERROR(IF(OR(C1610="AREA I",C1610="AREA V"),7,VLOOKUP(A1610,'[1]MC Masterlist 2026-09-12'!$B:$M, 12, 0)),0)</f>
        <v>30</v>
      </c>
      <c r="Z1610" s="46">
        <f t="shared" si="384"/>
        <v>0.16666666666666666</v>
      </c>
      <c r="AA1610" s="46">
        <f t="shared" si="385"/>
        <v>0.33333333333333331</v>
      </c>
      <c r="AB1610" s="46">
        <f t="shared" si="386"/>
        <v>0.33148148148148143</v>
      </c>
      <c r="AC1610" s="46">
        <f t="shared" si="387"/>
        <v>0.33333333333333331</v>
      </c>
      <c r="AD1610" s="44" t="str">
        <f t="shared" si="388"/>
        <v>Over</v>
      </c>
      <c r="AE1610" s="44" t="str">
        <f>IFERROR(VLOOKUP(A1610,'[1]Re-order'!$A:$AA,27,0),"")</f>
        <v>Over</v>
      </c>
      <c r="AF1610" s="46">
        <f t="shared" si="389"/>
        <v>-0.66666666666666674</v>
      </c>
      <c r="AG1610" s="46">
        <f>SUMIFS('[1]Raw Inventory'!D:D,'[1]Raw Inventory'!C:C,"GREATWALL",'[1]Raw Inventory'!B:B,A1610)</f>
        <v>4</v>
      </c>
      <c r="AH1610" s="46">
        <f>SUMIFS('[1]Raw Inventory'!D:D,'[1]Raw Inventory'!C:C,"DUARTE",'[1]Raw Inventory'!B:B,A1610)</f>
        <v>0</v>
      </c>
      <c r="AI1610" s="46"/>
      <c r="AJ1610" s="46"/>
      <c r="AK1610" s="43"/>
      <c r="AL1610" s="43"/>
      <c r="AM1610" s="43"/>
      <c r="AN1610" s="43"/>
      <c r="AO1610" s="43"/>
      <c r="AP1610" s="43"/>
      <c r="AQ1610" s="43"/>
      <c r="AR1610" s="43"/>
      <c r="AS1610" s="43"/>
      <c r="AT1610" s="43"/>
    </row>
    <row r="1611" spans="1:46">
      <c r="A1611" s="43" t="s">
        <v>31</v>
      </c>
      <c r="B1611" s="43" t="s">
        <v>114</v>
      </c>
      <c r="C1611" s="43" t="s">
        <v>109</v>
      </c>
      <c r="D1611" s="44" t="s">
        <v>253</v>
      </c>
      <c r="E1611" s="44">
        <v>28</v>
      </c>
      <c r="F1611" s="44" t="s">
        <v>3</v>
      </c>
      <c r="G1611" s="43" t="str">
        <f>IFERROR(VLOOKUP(A1611,'[1]MC Masterlist 2026-09-12'!$B:$M, 3, 0),"")</f>
        <v>KAWASAKI</v>
      </c>
      <c r="H1611" s="45">
        <f>IFERROR(VLOOKUP(A1611,'[1]MC Masterlist 2026-09-12'!$B:$M, 6, 0),"")</f>
        <v>59528</v>
      </c>
      <c r="I1611" s="46">
        <v>1</v>
      </c>
      <c r="J1611" s="46">
        <v>0</v>
      </c>
      <c r="K1611" s="46">
        <v>0</v>
      </c>
      <c r="L1611" s="46">
        <f t="shared" si="375"/>
        <v>1</v>
      </c>
      <c r="M1611" s="46">
        <f t="shared" si="376"/>
        <v>0.33333333333333331</v>
      </c>
      <c r="N1611" s="45">
        <f t="shared" si="377"/>
        <v>59528</v>
      </c>
      <c r="O1611" s="45">
        <f t="shared" si="378"/>
        <v>19842.666666666664</v>
      </c>
      <c r="P1611" s="46">
        <f t="shared" si="379"/>
        <v>1.111111111111111E-2</v>
      </c>
      <c r="Q1611" s="46"/>
      <c r="R1611" s="45">
        <f t="shared" si="380"/>
        <v>0</v>
      </c>
      <c r="S1611" s="46">
        <f t="shared" si="381"/>
        <v>0</v>
      </c>
      <c r="T1611" s="46">
        <f>IFERROR(VLOOKUP(A1611,'[1]Re-order'!$A:$Q,17,0),"")</f>
        <v>95.869565217391298</v>
      </c>
      <c r="U1611" s="46">
        <f>IFERROR(VLOOKUP(A1611,'[1]MC Masterlist 2026-09-12'!$B:$M, 10, 0),0)</f>
        <v>15</v>
      </c>
      <c r="V1611" s="46">
        <f>IFERROR(VLOOKUP(A1611,'[1]MC Masterlist 2026-09-12'!$B:$M, 11, 0),0)</f>
        <v>15</v>
      </c>
      <c r="W1611" s="46">
        <f t="shared" si="382"/>
        <v>30</v>
      </c>
      <c r="X1611" s="46">
        <f t="shared" si="383"/>
        <v>29.833333333333332</v>
      </c>
      <c r="Y1611" s="46">
        <f>IFERROR(IF(OR(C1611="AREA I",C1611="AREA V"),7,VLOOKUP(A1611,'[1]MC Masterlist 2026-09-12'!$B:$M, 12, 0)),0)</f>
        <v>30</v>
      </c>
      <c r="Z1611" s="46">
        <f t="shared" si="384"/>
        <v>0.16666666666666666</v>
      </c>
      <c r="AA1611" s="46">
        <f t="shared" si="385"/>
        <v>0.33333333333333331</v>
      </c>
      <c r="AB1611" s="46">
        <f t="shared" si="386"/>
        <v>0.33148148148148143</v>
      </c>
      <c r="AC1611" s="46">
        <f t="shared" si="387"/>
        <v>0.33333333333333331</v>
      </c>
      <c r="AD1611" s="44" t="str">
        <f t="shared" si="388"/>
        <v>Stockout</v>
      </c>
      <c r="AE1611" s="44" t="str">
        <f>IFERROR(VLOOKUP(A1611,'[1]Re-order'!$A:$AA,27,0),"")</f>
        <v>Over</v>
      </c>
      <c r="AF1611" s="46">
        <f t="shared" si="389"/>
        <v>0.33333333333333331</v>
      </c>
      <c r="AG1611" s="46">
        <f>SUMIFS('[1]Raw Inventory'!D:D,'[1]Raw Inventory'!C:C,"GREATWALL",'[1]Raw Inventory'!B:B,A1611)</f>
        <v>79</v>
      </c>
      <c r="AH1611" s="46">
        <f>SUMIFS('[1]Raw Inventory'!D:D,'[1]Raw Inventory'!C:C,"DUARTE",'[1]Raw Inventory'!B:B,A1611)</f>
        <v>0</v>
      </c>
      <c r="AI1611" s="46"/>
      <c r="AJ1611" s="46"/>
      <c r="AK1611" s="43"/>
      <c r="AL1611" s="43"/>
      <c r="AM1611" s="43"/>
      <c r="AN1611" s="43"/>
      <c r="AO1611" s="43"/>
      <c r="AP1611" s="43"/>
      <c r="AQ1611" s="43"/>
      <c r="AR1611" s="43"/>
      <c r="AS1611" s="43"/>
      <c r="AT1611" s="43"/>
    </row>
    <row r="1612" spans="1:46">
      <c r="A1612" s="43" t="s">
        <v>33</v>
      </c>
      <c r="B1612" s="43" t="s">
        <v>29</v>
      </c>
      <c r="C1612" s="43" t="s">
        <v>1</v>
      </c>
      <c r="D1612" s="44" t="s">
        <v>245</v>
      </c>
      <c r="E1612" s="44">
        <v>38</v>
      </c>
      <c r="F1612" s="44" t="s">
        <v>3</v>
      </c>
      <c r="G1612" s="43" t="str">
        <f>IFERROR(VLOOKUP(A1612,'[1]MC Masterlist 2026-09-12'!$B:$M, 3, 0),"")</f>
        <v>HONDA</v>
      </c>
      <c r="H1612" s="45">
        <f>IFERROR(VLOOKUP(A1612,'[1]MC Masterlist 2026-09-12'!$B:$M, 6, 0),"")</f>
        <v>251318</v>
      </c>
      <c r="I1612" s="46">
        <v>0</v>
      </c>
      <c r="J1612" s="46">
        <v>0</v>
      </c>
      <c r="K1612" s="46">
        <v>0</v>
      </c>
      <c r="L1612" s="46">
        <f t="shared" si="375"/>
        <v>0</v>
      </c>
      <c r="M1612" s="46">
        <f t="shared" si="376"/>
        <v>0</v>
      </c>
      <c r="N1612" s="45">
        <f t="shared" si="377"/>
        <v>0</v>
      </c>
      <c r="O1612" s="45">
        <f t="shared" si="378"/>
        <v>0</v>
      </c>
      <c r="P1612" s="46">
        <f t="shared" si="379"/>
        <v>0</v>
      </c>
      <c r="Q1612" s="46">
        <v>1</v>
      </c>
      <c r="R1612" s="45">
        <f t="shared" si="380"/>
        <v>251318</v>
      </c>
      <c r="S1612" s="46">
        <f t="shared" si="381"/>
        <v>0</v>
      </c>
      <c r="T1612" s="46">
        <f>IFERROR(VLOOKUP(A1612,'[1]Re-order'!$A:$Q,17,0),"")</f>
        <v>10.588235294117647</v>
      </c>
      <c r="U1612" s="46">
        <f>IFERROR(VLOOKUP(A1612,'[1]MC Masterlist 2026-09-12'!$B:$M, 10, 0),0)</f>
        <v>15</v>
      </c>
      <c r="V1612" s="46">
        <f>IFERROR(VLOOKUP(A1612,'[1]MC Masterlist 2026-09-12'!$B:$M, 11, 0),0)</f>
        <v>15</v>
      </c>
      <c r="W1612" s="46">
        <f t="shared" si="382"/>
        <v>30</v>
      </c>
      <c r="X1612" s="46">
        <f t="shared" si="383"/>
        <v>7</v>
      </c>
      <c r="Y1612" s="46">
        <f>IFERROR(IF(OR(C1612="AREA I",C1612="AREA V"),7,VLOOKUP(A1612,'[1]MC Masterlist 2026-09-12'!$B:$M, 12, 0)),0)</f>
        <v>7</v>
      </c>
      <c r="Z1612" s="46">
        <f t="shared" si="384"/>
        <v>0</v>
      </c>
      <c r="AA1612" s="46">
        <f t="shared" si="385"/>
        <v>0</v>
      </c>
      <c r="AB1612" s="46">
        <f t="shared" si="386"/>
        <v>0</v>
      </c>
      <c r="AC1612" s="46">
        <f t="shared" si="387"/>
        <v>0</v>
      </c>
      <c r="AD1612" s="44" t="str">
        <f t="shared" si="388"/>
        <v>Over</v>
      </c>
      <c r="AE1612" s="44" t="str">
        <f>IFERROR(VLOOKUP(A1612,'[1]Re-order'!$A:$AA,27,0),"")</f>
        <v>Stockout</v>
      </c>
      <c r="AF1612" s="46">
        <f t="shared" si="389"/>
        <v>-1</v>
      </c>
      <c r="AG1612" s="46">
        <f>SUMIFS('[1]Raw Inventory'!D:D,'[1]Raw Inventory'!C:C,"GREATWALL",'[1]Raw Inventory'!B:B,A1612)</f>
        <v>0</v>
      </c>
      <c r="AH1612" s="46">
        <f>SUMIFS('[1]Raw Inventory'!D:D,'[1]Raw Inventory'!C:C,"DUARTE",'[1]Raw Inventory'!B:B,A1612)</f>
        <v>0</v>
      </c>
      <c r="AI1612" s="46"/>
      <c r="AJ1612" s="46"/>
      <c r="AK1612" s="43"/>
      <c r="AL1612" s="43"/>
      <c r="AM1612" s="43"/>
      <c r="AN1612" s="43"/>
      <c r="AO1612" s="43"/>
      <c r="AP1612" s="43"/>
      <c r="AQ1612" s="43"/>
      <c r="AR1612" s="43"/>
      <c r="AS1612" s="43"/>
      <c r="AT1612" s="43"/>
    </row>
    <row r="1613" spans="1:46">
      <c r="A1613" s="43" t="s">
        <v>35</v>
      </c>
      <c r="B1613" s="43" t="s">
        <v>141</v>
      </c>
      <c r="C1613" s="43" t="s">
        <v>137</v>
      </c>
      <c r="D1613" s="44" t="s">
        <v>223</v>
      </c>
      <c r="E1613" s="44">
        <v>21</v>
      </c>
      <c r="F1613" s="44" t="s">
        <v>3</v>
      </c>
      <c r="G1613" s="43" t="str">
        <f>IFERROR(VLOOKUP(A1613,'[1]MC Masterlist 2026-09-12'!$B:$M, 3, 0),"")</f>
        <v>HONDA</v>
      </c>
      <c r="H1613" s="45">
        <f>IFERROR(VLOOKUP(A1613,'[1]MC Masterlist 2026-09-12'!$B:$M, 6, 0),"")</f>
        <v>57990</v>
      </c>
      <c r="I1613" s="46">
        <v>1</v>
      </c>
      <c r="J1613" s="46">
        <v>0</v>
      </c>
      <c r="K1613" s="46">
        <v>1</v>
      </c>
      <c r="L1613" s="46">
        <f t="shared" si="375"/>
        <v>2</v>
      </c>
      <c r="M1613" s="46">
        <f t="shared" si="376"/>
        <v>0.66666666666666663</v>
      </c>
      <c r="N1613" s="45">
        <f t="shared" si="377"/>
        <v>115980</v>
      </c>
      <c r="O1613" s="45">
        <f t="shared" si="378"/>
        <v>38660</v>
      </c>
      <c r="P1613" s="46">
        <f t="shared" si="379"/>
        <v>2.222222222222222E-2</v>
      </c>
      <c r="Q1613" s="46">
        <v>1</v>
      </c>
      <c r="R1613" s="45">
        <f t="shared" si="380"/>
        <v>57990</v>
      </c>
      <c r="S1613" s="46">
        <f t="shared" si="381"/>
        <v>45</v>
      </c>
      <c r="T1613" s="46">
        <f>IFERROR(VLOOKUP(A1613,'[1]Re-order'!$A:$Q,17,0),"")</f>
        <v>68.275862068965523</v>
      </c>
      <c r="U1613" s="46">
        <f>IFERROR(VLOOKUP(A1613,'[1]MC Masterlist 2026-09-12'!$B:$M, 10, 0),0)</f>
        <v>15</v>
      </c>
      <c r="V1613" s="46">
        <f>IFERROR(VLOOKUP(A1613,'[1]MC Masterlist 2026-09-12'!$B:$M, 11, 0),0)</f>
        <v>15</v>
      </c>
      <c r="W1613" s="46">
        <f t="shared" si="382"/>
        <v>30</v>
      </c>
      <c r="X1613" s="46">
        <f t="shared" si="383"/>
        <v>6.666666666666667</v>
      </c>
      <c r="Y1613" s="46">
        <f>IFERROR(IF(OR(C1613="AREA I",C1613="AREA V"),7,VLOOKUP(A1613,'[1]MC Masterlist 2026-09-12'!$B:$M, 12, 0)),0)</f>
        <v>7</v>
      </c>
      <c r="Z1613" s="46">
        <f t="shared" si="384"/>
        <v>0.33333333333333331</v>
      </c>
      <c r="AA1613" s="46">
        <f t="shared" si="385"/>
        <v>0.66666666666666663</v>
      </c>
      <c r="AB1613" s="46">
        <f t="shared" si="386"/>
        <v>0.14814814814814814</v>
      </c>
      <c r="AC1613" s="46">
        <f t="shared" si="387"/>
        <v>0.15555555555555553</v>
      </c>
      <c r="AD1613" s="44" t="str">
        <f t="shared" si="388"/>
        <v>Over</v>
      </c>
      <c r="AE1613" s="44" t="str">
        <f>IFERROR(VLOOKUP(A1613,'[1]Re-order'!$A:$AA,27,0),"")</f>
        <v>Re-order</v>
      </c>
      <c r="AF1613" s="46">
        <f t="shared" si="389"/>
        <v>-0.84444444444444444</v>
      </c>
      <c r="AG1613" s="46">
        <f>SUMIFS('[1]Raw Inventory'!D:D,'[1]Raw Inventory'!C:C,"GREATWALL",'[1]Raw Inventory'!B:B,A1613)</f>
        <v>29</v>
      </c>
      <c r="AH1613" s="46">
        <f>SUMIFS('[1]Raw Inventory'!D:D,'[1]Raw Inventory'!C:C,"DUARTE",'[1]Raw Inventory'!B:B,A1613)</f>
        <v>0</v>
      </c>
      <c r="AI1613" s="46"/>
      <c r="AJ1613" s="46"/>
      <c r="AK1613" s="43"/>
      <c r="AL1613" s="43"/>
      <c r="AM1613" s="43"/>
      <c r="AN1613" s="43"/>
      <c r="AO1613" s="43"/>
      <c r="AP1613" s="43"/>
      <c r="AQ1613" s="43"/>
      <c r="AR1613" s="43"/>
      <c r="AS1613" s="43"/>
      <c r="AT1613" s="43"/>
    </row>
    <row r="1614" spans="1:46">
      <c r="A1614" s="43" t="s">
        <v>60</v>
      </c>
      <c r="B1614" s="43" t="s">
        <v>29</v>
      </c>
      <c r="C1614" s="43" t="s">
        <v>1</v>
      </c>
      <c r="D1614" s="44" t="s">
        <v>231</v>
      </c>
      <c r="E1614" s="44">
        <v>35</v>
      </c>
      <c r="F1614" s="44" t="s">
        <v>3</v>
      </c>
      <c r="G1614" s="43" t="str">
        <f>IFERROR(VLOOKUP(A1614,'[1]MC Masterlist 2026-09-12'!$B:$M, 3, 0),"")</f>
        <v>HONDA</v>
      </c>
      <c r="H1614" s="45">
        <f>IFERROR(VLOOKUP(A1614,'[1]MC Masterlist 2026-09-12'!$B:$M, 6, 0),"")</f>
        <v>61670</v>
      </c>
      <c r="I1614" s="46">
        <v>0</v>
      </c>
      <c r="J1614" s="46">
        <v>1</v>
      </c>
      <c r="K1614" s="46">
        <v>0</v>
      </c>
      <c r="L1614" s="46">
        <f t="shared" si="375"/>
        <v>1</v>
      </c>
      <c r="M1614" s="46">
        <f t="shared" si="376"/>
        <v>0.33333333333333331</v>
      </c>
      <c r="N1614" s="45">
        <f t="shared" si="377"/>
        <v>61670</v>
      </c>
      <c r="O1614" s="45">
        <f t="shared" si="378"/>
        <v>20556.666666666664</v>
      </c>
      <c r="P1614" s="46">
        <f t="shared" si="379"/>
        <v>1.111111111111111E-2</v>
      </c>
      <c r="Q1614" s="46">
        <v>1</v>
      </c>
      <c r="R1614" s="45">
        <f t="shared" si="380"/>
        <v>61670</v>
      </c>
      <c r="S1614" s="46">
        <f t="shared" si="381"/>
        <v>90.000000000000014</v>
      </c>
      <c r="T1614" s="46">
        <f>IFERROR(VLOOKUP(A1614,'[1]Re-order'!$A:$Q,17,0),"")</f>
        <v>300</v>
      </c>
      <c r="U1614" s="46">
        <f>IFERROR(VLOOKUP(A1614,'[1]MC Masterlist 2026-09-12'!$B:$M, 10, 0),0)</f>
        <v>15</v>
      </c>
      <c r="V1614" s="46">
        <f>IFERROR(VLOOKUP(A1614,'[1]MC Masterlist 2026-09-12'!$B:$M, 11, 0),0)</f>
        <v>15</v>
      </c>
      <c r="W1614" s="46">
        <f t="shared" si="382"/>
        <v>30</v>
      </c>
      <c r="X1614" s="46">
        <f t="shared" si="383"/>
        <v>6.833333333333333</v>
      </c>
      <c r="Y1614" s="46">
        <f>IFERROR(IF(OR(C1614="AREA I",C1614="AREA V"),7,VLOOKUP(A1614,'[1]MC Masterlist 2026-09-12'!$B:$M, 12, 0)),0)</f>
        <v>7</v>
      </c>
      <c r="Z1614" s="46">
        <f t="shared" si="384"/>
        <v>0.16666666666666666</v>
      </c>
      <c r="AA1614" s="46">
        <f t="shared" si="385"/>
        <v>0.33333333333333331</v>
      </c>
      <c r="AB1614" s="46">
        <f t="shared" si="386"/>
        <v>7.5925925925925911E-2</v>
      </c>
      <c r="AC1614" s="46">
        <f t="shared" si="387"/>
        <v>7.7777777777777765E-2</v>
      </c>
      <c r="AD1614" s="44" t="str">
        <f t="shared" si="388"/>
        <v>Over</v>
      </c>
      <c r="AE1614" s="44" t="str">
        <f>IFERROR(VLOOKUP(A1614,'[1]Re-order'!$A:$AA,27,0),"")</f>
        <v>Over</v>
      </c>
      <c r="AF1614" s="46">
        <f t="shared" si="389"/>
        <v>-0.92222222222222228</v>
      </c>
      <c r="AG1614" s="46">
        <f>SUMIFS('[1]Raw Inventory'!D:D,'[1]Raw Inventory'!C:C,"GREATWALL",'[1]Raw Inventory'!B:B,A1614)</f>
        <v>0</v>
      </c>
      <c r="AH1614" s="46">
        <f>SUMIFS('[1]Raw Inventory'!D:D,'[1]Raw Inventory'!C:C,"DUARTE",'[1]Raw Inventory'!B:B,A1614)</f>
        <v>0</v>
      </c>
      <c r="AI1614" s="46"/>
      <c r="AJ1614" s="46"/>
      <c r="AK1614" s="43"/>
      <c r="AL1614" s="43"/>
      <c r="AM1614" s="43"/>
      <c r="AN1614" s="43"/>
      <c r="AO1614" s="43"/>
      <c r="AP1614" s="43"/>
      <c r="AQ1614" s="43"/>
      <c r="AR1614" s="43"/>
      <c r="AS1614" s="43"/>
      <c r="AT1614" s="43"/>
    </row>
    <row r="1615" spans="1:46">
      <c r="A1615" s="43" t="s">
        <v>67</v>
      </c>
      <c r="B1615" s="43" t="s">
        <v>92</v>
      </c>
      <c r="C1615" s="43" t="s">
        <v>90</v>
      </c>
      <c r="D1615" s="44" t="s">
        <v>266</v>
      </c>
      <c r="E1615" s="44">
        <v>19</v>
      </c>
      <c r="F1615" s="44" t="s">
        <v>2</v>
      </c>
      <c r="G1615" s="43" t="str">
        <f>IFERROR(VLOOKUP(A1615,'[1]MC Masterlist 2026-09-12'!$B:$M, 3, 0),"")</f>
        <v>YAMAHA</v>
      </c>
      <c r="H1615" s="45">
        <f>IFERROR(VLOOKUP(A1615,'[1]MC Masterlist 2026-09-12'!$B:$M, 6, 0),"")</f>
        <v>86397</v>
      </c>
      <c r="I1615" s="46">
        <v>0</v>
      </c>
      <c r="J1615" s="46">
        <v>0</v>
      </c>
      <c r="K1615" s="46">
        <v>1</v>
      </c>
      <c r="L1615" s="46">
        <f t="shared" si="375"/>
        <v>1</v>
      </c>
      <c r="M1615" s="46">
        <f t="shared" si="376"/>
        <v>0.33333333333333331</v>
      </c>
      <c r="N1615" s="45">
        <f t="shared" si="377"/>
        <v>86397</v>
      </c>
      <c r="O1615" s="45">
        <f t="shared" si="378"/>
        <v>28799</v>
      </c>
      <c r="P1615" s="46">
        <f t="shared" si="379"/>
        <v>1.111111111111111E-2</v>
      </c>
      <c r="Q1615" s="46"/>
      <c r="R1615" s="45">
        <f t="shared" si="380"/>
        <v>0</v>
      </c>
      <c r="S1615" s="46">
        <f t="shared" si="381"/>
        <v>0</v>
      </c>
      <c r="T1615" s="46">
        <f>IFERROR(VLOOKUP(A1615,'[1]Re-order'!$A:$Q,17,0),"")</f>
        <v>73.63636363636364</v>
      </c>
      <c r="U1615" s="46">
        <f>IFERROR(VLOOKUP(A1615,'[1]MC Masterlist 2026-09-12'!$B:$M, 10, 0),0)</f>
        <v>15</v>
      </c>
      <c r="V1615" s="46">
        <f>IFERROR(VLOOKUP(A1615,'[1]MC Masterlist 2026-09-12'!$B:$M, 11, 0),0)</f>
        <v>15</v>
      </c>
      <c r="W1615" s="46">
        <f t="shared" si="382"/>
        <v>30</v>
      </c>
      <c r="X1615" s="46">
        <f t="shared" si="383"/>
        <v>29.833333333333332</v>
      </c>
      <c r="Y1615" s="46">
        <f>IFERROR(IF(OR(C1615="AREA I",C1615="AREA V"),7,VLOOKUP(A1615,'[1]MC Masterlist 2026-09-12'!$B:$M, 12, 0)),0)</f>
        <v>30</v>
      </c>
      <c r="Z1615" s="46">
        <f t="shared" si="384"/>
        <v>0.16666666666666666</v>
      </c>
      <c r="AA1615" s="46">
        <f t="shared" si="385"/>
        <v>0.33333333333333331</v>
      </c>
      <c r="AB1615" s="46">
        <f t="shared" si="386"/>
        <v>0.33148148148148143</v>
      </c>
      <c r="AC1615" s="46">
        <f t="shared" si="387"/>
        <v>0.33333333333333331</v>
      </c>
      <c r="AD1615" s="44" t="str">
        <f t="shared" si="388"/>
        <v>Stockout</v>
      </c>
      <c r="AE1615" s="44" t="str">
        <f>IFERROR(VLOOKUP(A1615,'[1]Re-order'!$A:$AA,27,0),"")</f>
        <v>Re-order</v>
      </c>
      <c r="AF1615" s="46">
        <f t="shared" si="389"/>
        <v>0.33333333333333331</v>
      </c>
      <c r="AG1615" s="46">
        <f>SUMIFS('[1]Raw Inventory'!D:D,'[1]Raw Inventory'!C:C,"GREATWALL",'[1]Raw Inventory'!B:B,A1615)</f>
        <v>1</v>
      </c>
      <c r="AH1615" s="46">
        <f>SUMIFS('[1]Raw Inventory'!D:D,'[1]Raw Inventory'!C:C,"DUARTE",'[1]Raw Inventory'!B:B,A1615)</f>
        <v>0</v>
      </c>
      <c r="AI1615" s="46"/>
      <c r="AJ1615" s="46"/>
      <c r="AK1615" s="43"/>
      <c r="AL1615" s="43"/>
      <c r="AM1615" s="43"/>
      <c r="AN1615" s="43"/>
      <c r="AO1615" s="43"/>
      <c r="AP1615" s="43"/>
      <c r="AQ1615" s="43"/>
      <c r="AR1615" s="43"/>
      <c r="AS1615" s="43"/>
      <c r="AT1615" s="43"/>
    </row>
    <row r="1616" spans="1:46">
      <c r="A1616" s="43" t="s">
        <v>65</v>
      </c>
      <c r="B1616" s="43" t="s">
        <v>21</v>
      </c>
      <c r="C1616" s="43" t="s">
        <v>1</v>
      </c>
      <c r="D1616" s="44" t="s">
        <v>247</v>
      </c>
      <c r="E1616" s="44">
        <v>25</v>
      </c>
      <c r="F1616" s="44" t="s">
        <v>3</v>
      </c>
      <c r="G1616" s="43" t="str">
        <f>IFERROR(VLOOKUP(A1616,'[1]MC Masterlist 2026-09-12'!$B:$M, 3, 0),"")</f>
        <v>SUZUKI</v>
      </c>
      <c r="H1616" s="45">
        <f>IFERROR(VLOOKUP(A1616,'[1]MC Masterlist 2026-09-12'!$B:$M, 6, 0),"")</f>
        <v>77572</v>
      </c>
      <c r="I1616" s="46">
        <v>0</v>
      </c>
      <c r="J1616" s="46">
        <v>1</v>
      </c>
      <c r="K1616" s="46">
        <v>0</v>
      </c>
      <c r="L1616" s="46">
        <f t="shared" si="375"/>
        <v>1</v>
      </c>
      <c r="M1616" s="46">
        <f t="shared" si="376"/>
        <v>0.33333333333333331</v>
      </c>
      <c r="N1616" s="45">
        <f t="shared" si="377"/>
        <v>77572</v>
      </c>
      <c r="O1616" s="45">
        <f t="shared" si="378"/>
        <v>25857.333333333332</v>
      </c>
      <c r="P1616" s="46">
        <f t="shared" si="379"/>
        <v>1.111111111111111E-2</v>
      </c>
      <c r="Q1616" s="46">
        <v>1</v>
      </c>
      <c r="R1616" s="45">
        <f t="shared" si="380"/>
        <v>77572</v>
      </c>
      <c r="S1616" s="46">
        <f t="shared" si="381"/>
        <v>90</v>
      </c>
      <c r="T1616" s="46">
        <f>IFERROR(VLOOKUP(A1616,'[1]Re-order'!$A:$Q,17,0),"")</f>
        <v>158.8235294117647</v>
      </c>
      <c r="U1616" s="46">
        <f>IFERROR(VLOOKUP(A1616,'[1]MC Masterlist 2026-09-12'!$B:$M, 10, 0),0)</f>
        <v>15</v>
      </c>
      <c r="V1616" s="46">
        <f>IFERROR(VLOOKUP(A1616,'[1]MC Masterlist 2026-09-12'!$B:$M, 11, 0),0)</f>
        <v>15</v>
      </c>
      <c r="W1616" s="46">
        <f t="shared" si="382"/>
        <v>30</v>
      </c>
      <c r="X1616" s="46">
        <f t="shared" si="383"/>
        <v>6.833333333333333</v>
      </c>
      <c r="Y1616" s="46">
        <f>IFERROR(IF(OR(C1616="AREA I",C1616="AREA V"),7,VLOOKUP(A1616,'[1]MC Masterlist 2026-09-12'!$B:$M, 12, 0)),0)</f>
        <v>7</v>
      </c>
      <c r="Z1616" s="46">
        <f t="shared" si="384"/>
        <v>0.16666666666666666</v>
      </c>
      <c r="AA1616" s="46">
        <f t="shared" si="385"/>
        <v>0.33333333333333331</v>
      </c>
      <c r="AB1616" s="46">
        <f t="shared" si="386"/>
        <v>7.5925925925925911E-2</v>
      </c>
      <c r="AC1616" s="46">
        <f t="shared" si="387"/>
        <v>7.7777777777777765E-2</v>
      </c>
      <c r="AD1616" s="44" t="str">
        <f t="shared" si="388"/>
        <v>Over</v>
      </c>
      <c r="AE1616" s="44" t="str">
        <f>IFERROR(VLOOKUP(A1616,'[1]Re-order'!$A:$AA,27,0),"")</f>
        <v>Over</v>
      </c>
      <c r="AF1616" s="46">
        <f t="shared" si="389"/>
        <v>-0.92222222222222228</v>
      </c>
      <c r="AG1616" s="46">
        <f>SUMIFS('[1]Raw Inventory'!D:D,'[1]Raw Inventory'!C:C,"GREATWALL",'[1]Raw Inventory'!B:B,A1616)</f>
        <v>4</v>
      </c>
      <c r="AH1616" s="46">
        <f>SUMIFS('[1]Raw Inventory'!D:D,'[1]Raw Inventory'!C:C,"DUARTE",'[1]Raw Inventory'!B:B,A1616)</f>
        <v>0</v>
      </c>
      <c r="AI1616" s="46"/>
      <c r="AJ1616" s="46"/>
      <c r="AK1616" s="43"/>
      <c r="AL1616" s="43"/>
      <c r="AM1616" s="43"/>
      <c r="AN1616" s="43"/>
      <c r="AO1616" s="43"/>
      <c r="AP1616" s="43"/>
      <c r="AQ1616" s="43"/>
      <c r="AR1616" s="43"/>
      <c r="AS1616" s="43"/>
      <c r="AT1616" s="43"/>
    </row>
    <row r="1617" spans="1:46">
      <c r="A1617" s="43" t="s">
        <v>14</v>
      </c>
      <c r="B1617" s="43" t="s">
        <v>153</v>
      </c>
      <c r="C1617" s="43" t="s">
        <v>152</v>
      </c>
      <c r="D1617" s="44" t="s">
        <v>238</v>
      </c>
      <c r="E1617" s="44">
        <v>2</v>
      </c>
      <c r="F1617" s="44" t="s">
        <v>0</v>
      </c>
      <c r="G1617" s="43" t="str">
        <f>IFERROR(VLOOKUP(A1617,'[1]MC Masterlist 2026-09-12'!$B:$M, 3, 0),"")</f>
        <v>HONDA</v>
      </c>
      <c r="H1617" s="45">
        <f>IFERROR(VLOOKUP(A1617,'[1]MC Masterlist 2026-09-12'!$B:$M, 6, 0),"")</f>
        <v>80070</v>
      </c>
      <c r="I1617" s="46">
        <v>17</v>
      </c>
      <c r="J1617" s="46">
        <v>4</v>
      </c>
      <c r="K1617" s="46">
        <v>10</v>
      </c>
      <c r="L1617" s="46">
        <f t="shared" si="375"/>
        <v>31</v>
      </c>
      <c r="M1617" s="46">
        <f t="shared" si="376"/>
        <v>10.333333333333334</v>
      </c>
      <c r="N1617" s="45">
        <f t="shared" si="377"/>
        <v>2482170</v>
      </c>
      <c r="O1617" s="45">
        <f t="shared" si="378"/>
        <v>827390</v>
      </c>
      <c r="P1617" s="46">
        <f t="shared" si="379"/>
        <v>0.34444444444444444</v>
      </c>
      <c r="Q1617" s="46">
        <v>1</v>
      </c>
      <c r="R1617" s="45">
        <f t="shared" si="380"/>
        <v>80070</v>
      </c>
      <c r="S1617" s="46">
        <f t="shared" si="381"/>
        <v>2.903225806451613</v>
      </c>
      <c r="T1617" s="46">
        <f>IFERROR(VLOOKUP(A1617,'[1]Re-order'!$A:$Q,17,0),"")</f>
        <v>20.105787181082761</v>
      </c>
      <c r="U1617" s="46">
        <f>IFERROR(VLOOKUP(A1617,'[1]MC Masterlist 2026-09-12'!$B:$M, 10, 0),0)</f>
        <v>15</v>
      </c>
      <c r="V1617" s="46">
        <f>IFERROR(VLOOKUP(A1617,'[1]MC Masterlist 2026-09-12'!$B:$M, 11, 0),0)</f>
        <v>15</v>
      </c>
      <c r="W1617" s="46">
        <f t="shared" si="382"/>
        <v>30</v>
      </c>
      <c r="X1617" s="46">
        <f t="shared" si="383"/>
        <v>24.833333333333332</v>
      </c>
      <c r="Y1617" s="46">
        <f>IFERROR(IF(OR(C1617="AREA I",C1617="AREA V"),7,VLOOKUP(A1617,'[1]MC Masterlist 2026-09-12'!$B:$M, 12, 0)),0)</f>
        <v>30</v>
      </c>
      <c r="Z1617" s="46">
        <f t="shared" si="384"/>
        <v>5.166666666666667</v>
      </c>
      <c r="AA1617" s="46">
        <f t="shared" si="385"/>
        <v>10.333333333333334</v>
      </c>
      <c r="AB1617" s="46">
        <f t="shared" si="386"/>
        <v>8.5537037037037038</v>
      </c>
      <c r="AC1617" s="46">
        <f t="shared" si="387"/>
        <v>10.333333333333334</v>
      </c>
      <c r="AD1617" s="44" t="str">
        <f t="shared" si="388"/>
        <v>Stockout</v>
      </c>
      <c r="AE1617" s="44" t="str">
        <f>IFERROR(VLOOKUP(A1617,'[1]Re-order'!$A:$AA,27,0),"")</f>
        <v>Stockout</v>
      </c>
      <c r="AF1617" s="46">
        <f t="shared" si="389"/>
        <v>9.3333333333333339</v>
      </c>
      <c r="AG1617" s="46">
        <f>SUMIFS('[1]Raw Inventory'!D:D,'[1]Raw Inventory'!C:C,"GREATWALL",'[1]Raw Inventory'!B:B,A1617)</f>
        <v>176</v>
      </c>
      <c r="AH1617" s="46">
        <f>SUMIFS('[1]Raw Inventory'!D:D,'[1]Raw Inventory'!C:C,"DUARTE",'[1]Raw Inventory'!B:B,A1617)</f>
        <v>0</v>
      </c>
      <c r="AI1617" s="46"/>
      <c r="AJ1617" s="46"/>
      <c r="AK1617" s="43"/>
      <c r="AL1617" s="43"/>
      <c r="AM1617" s="43"/>
      <c r="AN1617" s="43"/>
      <c r="AO1617" s="43"/>
      <c r="AP1617" s="43"/>
      <c r="AQ1617" s="43"/>
      <c r="AR1617" s="43"/>
      <c r="AS1617" s="43"/>
      <c r="AT1617" s="43"/>
    </row>
    <row r="1618" spans="1:46">
      <c r="A1618" s="43" t="s">
        <v>44</v>
      </c>
      <c r="B1618" s="43" t="s">
        <v>145</v>
      </c>
      <c r="C1618" s="43" t="s">
        <v>137</v>
      </c>
      <c r="D1618" s="44" t="s">
        <v>236</v>
      </c>
      <c r="E1618" s="44">
        <v>9</v>
      </c>
      <c r="F1618" s="44" t="s">
        <v>2</v>
      </c>
      <c r="G1618" s="43" t="str">
        <f>IFERROR(VLOOKUP(A1618,'[1]MC Masterlist 2026-09-12'!$B:$M, 3, 0),"")</f>
        <v>YAMAHA</v>
      </c>
      <c r="H1618" s="45">
        <f>IFERROR(VLOOKUP(A1618,'[1]MC Masterlist 2026-09-12'!$B:$M, 6, 0),"")</f>
        <v>165912</v>
      </c>
      <c r="I1618" s="46">
        <v>1</v>
      </c>
      <c r="J1618" s="46">
        <v>0</v>
      </c>
      <c r="K1618" s="46">
        <v>1</v>
      </c>
      <c r="L1618" s="46">
        <f t="shared" si="375"/>
        <v>2</v>
      </c>
      <c r="M1618" s="46">
        <f t="shared" si="376"/>
        <v>0.66666666666666663</v>
      </c>
      <c r="N1618" s="45">
        <f t="shared" si="377"/>
        <v>331824</v>
      </c>
      <c r="O1618" s="45">
        <f t="shared" si="378"/>
        <v>110608</v>
      </c>
      <c r="P1618" s="46">
        <f t="shared" si="379"/>
        <v>2.222222222222222E-2</v>
      </c>
      <c r="Q1618" s="46">
        <v>1</v>
      </c>
      <c r="R1618" s="45">
        <f t="shared" si="380"/>
        <v>165912</v>
      </c>
      <c r="S1618" s="46">
        <f t="shared" si="381"/>
        <v>45</v>
      </c>
      <c r="T1618" s="46">
        <f>IFERROR(VLOOKUP(A1618,'[1]Re-order'!$A:$Q,17,0),"")</f>
        <v>10.588235294117649</v>
      </c>
      <c r="U1618" s="46">
        <f>IFERROR(VLOOKUP(A1618,'[1]MC Masterlist 2026-09-12'!$B:$M, 10, 0),0)</f>
        <v>15</v>
      </c>
      <c r="V1618" s="46">
        <f>IFERROR(VLOOKUP(A1618,'[1]MC Masterlist 2026-09-12'!$B:$M, 11, 0),0)</f>
        <v>15</v>
      </c>
      <c r="W1618" s="46">
        <f t="shared" si="382"/>
        <v>30</v>
      </c>
      <c r="X1618" s="46">
        <f t="shared" si="383"/>
        <v>6.666666666666667</v>
      </c>
      <c r="Y1618" s="46">
        <f>IFERROR(IF(OR(C1618="AREA I",C1618="AREA V"),7,VLOOKUP(A1618,'[1]MC Masterlist 2026-09-12'!$B:$M, 12, 0)),0)</f>
        <v>7</v>
      </c>
      <c r="Z1618" s="46">
        <f t="shared" si="384"/>
        <v>0.33333333333333331</v>
      </c>
      <c r="AA1618" s="46">
        <f t="shared" si="385"/>
        <v>0.66666666666666663</v>
      </c>
      <c r="AB1618" s="46">
        <f t="shared" si="386"/>
        <v>0.14814814814814814</v>
      </c>
      <c r="AC1618" s="46">
        <f t="shared" si="387"/>
        <v>0.15555555555555553</v>
      </c>
      <c r="AD1618" s="44" t="str">
        <f t="shared" si="388"/>
        <v>Over</v>
      </c>
      <c r="AE1618" s="44" t="str">
        <f>IFERROR(VLOOKUP(A1618,'[1]Re-order'!$A:$AA,27,0),"")</f>
        <v>Stockout</v>
      </c>
      <c r="AF1618" s="46">
        <f t="shared" si="389"/>
        <v>-0.84444444444444444</v>
      </c>
      <c r="AG1618" s="46">
        <f>SUMIFS('[1]Raw Inventory'!D:D,'[1]Raw Inventory'!C:C,"GREATWALL",'[1]Raw Inventory'!B:B,A1618)</f>
        <v>0</v>
      </c>
      <c r="AH1618" s="46">
        <f>SUMIFS('[1]Raw Inventory'!D:D,'[1]Raw Inventory'!C:C,"DUARTE",'[1]Raw Inventory'!B:B,A1618)</f>
        <v>0</v>
      </c>
      <c r="AI1618" s="46"/>
      <c r="AJ1618" s="46"/>
      <c r="AK1618" s="43"/>
      <c r="AL1618" s="43"/>
      <c r="AM1618" s="43"/>
      <c r="AN1618" s="43"/>
      <c r="AO1618" s="43"/>
      <c r="AP1618" s="43"/>
      <c r="AQ1618" s="43"/>
      <c r="AR1618" s="43"/>
      <c r="AS1618" s="43"/>
      <c r="AT1618" s="43"/>
    </row>
    <row r="1619" spans="1:46">
      <c r="A1619" s="43" t="s">
        <v>105</v>
      </c>
      <c r="B1619" s="43" t="s">
        <v>141</v>
      </c>
      <c r="C1619" s="43" t="s">
        <v>137</v>
      </c>
      <c r="D1619" s="44" t="s">
        <v>276</v>
      </c>
      <c r="E1619" s="44">
        <v>28</v>
      </c>
      <c r="F1619" s="44" t="s">
        <v>3</v>
      </c>
      <c r="G1619" s="43" t="str">
        <f>IFERROR(VLOOKUP(A1619,'[1]MC Masterlist 2026-09-12'!$B:$M, 3, 0),"")</f>
        <v>SUZUKI</v>
      </c>
      <c r="H1619" s="45">
        <f>IFERROR(VLOOKUP(A1619,'[1]MC Masterlist 2026-09-12'!$B:$M, 6, 0),"")</f>
        <v>215770</v>
      </c>
      <c r="I1619" s="46">
        <v>0</v>
      </c>
      <c r="J1619" s="46">
        <v>0</v>
      </c>
      <c r="K1619" s="46">
        <v>0</v>
      </c>
      <c r="L1619" s="46">
        <f t="shared" si="375"/>
        <v>0</v>
      </c>
      <c r="M1619" s="46">
        <f t="shared" si="376"/>
        <v>0</v>
      </c>
      <c r="N1619" s="45">
        <f t="shared" si="377"/>
        <v>0</v>
      </c>
      <c r="O1619" s="45">
        <f t="shared" si="378"/>
        <v>0</v>
      </c>
      <c r="P1619" s="46">
        <f t="shared" si="379"/>
        <v>0</v>
      </c>
      <c r="Q1619" s="46">
        <v>1</v>
      </c>
      <c r="R1619" s="45">
        <f t="shared" si="380"/>
        <v>215770</v>
      </c>
      <c r="S1619" s="46">
        <f t="shared" si="381"/>
        <v>0</v>
      </c>
      <c r="T1619" s="46" t="str">
        <f>IFERROR(VLOOKUP(A1619,'[1]Re-order'!$A:$Q,17,0),"")</f>
        <v/>
      </c>
      <c r="U1619" s="46">
        <f>IFERROR(VLOOKUP(A1619,'[1]MC Masterlist 2026-09-12'!$B:$M, 10, 0),0)</f>
        <v>15</v>
      </c>
      <c r="V1619" s="46">
        <f>IFERROR(VLOOKUP(A1619,'[1]MC Masterlist 2026-09-12'!$B:$M, 11, 0),0)</f>
        <v>15</v>
      </c>
      <c r="W1619" s="46">
        <f t="shared" si="382"/>
        <v>30</v>
      </c>
      <c r="X1619" s="46">
        <f t="shared" si="383"/>
        <v>7</v>
      </c>
      <c r="Y1619" s="46">
        <f>IFERROR(IF(OR(C1619="AREA I",C1619="AREA V"),7,VLOOKUP(A1619,'[1]MC Masterlist 2026-09-12'!$B:$M, 12, 0)),0)</f>
        <v>7</v>
      </c>
      <c r="Z1619" s="46">
        <f t="shared" si="384"/>
        <v>0</v>
      </c>
      <c r="AA1619" s="46">
        <f t="shared" si="385"/>
        <v>0</v>
      </c>
      <c r="AB1619" s="46">
        <f t="shared" si="386"/>
        <v>0</v>
      </c>
      <c r="AC1619" s="46">
        <f t="shared" si="387"/>
        <v>0</v>
      </c>
      <c r="AD1619" s="44" t="str">
        <f t="shared" si="388"/>
        <v>Over</v>
      </c>
      <c r="AE1619" s="44" t="str">
        <f>IFERROR(VLOOKUP(A1619,'[1]Re-order'!$A:$AA,27,0),"")</f>
        <v>Over</v>
      </c>
      <c r="AF1619" s="46">
        <f t="shared" si="389"/>
        <v>-1</v>
      </c>
      <c r="AG1619" s="46">
        <f>SUMIFS('[1]Raw Inventory'!D:D,'[1]Raw Inventory'!C:C,"GREATWALL",'[1]Raw Inventory'!B:B,A1619)</f>
        <v>0</v>
      </c>
      <c r="AH1619" s="46">
        <f>SUMIFS('[1]Raw Inventory'!D:D,'[1]Raw Inventory'!C:C,"DUARTE",'[1]Raw Inventory'!B:B,A1619)</f>
        <v>0</v>
      </c>
      <c r="AI1619" s="46"/>
      <c r="AJ1619" s="46"/>
      <c r="AK1619" s="43"/>
      <c r="AL1619" s="43"/>
      <c r="AM1619" s="43"/>
      <c r="AN1619" s="43"/>
      <c r="AO1619" s="43"/>
      <c r="AP1619" s="43"/>
      <c r="AQ1619" s="43"/>
      <c r="AR1619" s="43"/>
      <c r="AS1619" s="43"/>
      <c r="AT1619" s="43"/>
    </row>
    <row r="1620" spans="1:46">
      <c r="A1620" s="43" t="s">
        <v>12</v>
      </c>
      <c r="B1620" s="43" t="s">
        <v>157</v>
      </c>
      <c r="C1620" s="43" t="s">
        <v>152</v>
      </c>
      <c r="D1620" s="44" t="s">
        <v>236</v>
      </c>
      <c r="E1620" s="44">
        <v>6</v>
      </c>
      <c r="F1620" s="44" t="s">
        <v>2</v>
      </c>
      <c r="G1620" s="43" t="str">
        <f>IFERROR(VLOOKUP(A1620,'[1]MC Masterlist 2026-09-12'!$B:$M, 3, 0),"")</f>
        <v>HONDA</v>
      </c>
      <c r="H1620" s="45">
        <f>IFERROR(VLOOKUP(A1620,'[1]MC Masterlist 2026-09-12'!$B:$M, 6, 0),"")</f>
        <v>158270</v>
      </c>
      <c r="I1620" s="46">
        <v>2</v>
      </c>
      <c r="J1620" s="46">
        <v>2</v>
      </c>
      <c r="K1620" s="46">
        <v>1</v>
      </c>
      <c r="L1620" s="46">
        <f t="shared" si="375"/>
        <v>5</v>
      </c>
      <c r="M1620" s="46">
        <f t="shared" si="376"/>
        <v>1.6666666666666667</v>
      </c>
      <c r="N1620" s="45">
        <f t="shared" si="377"/>
        <v>791350</v>
      </c>
      <c r="O1620" s="45">
        <f t="shared" si="378"/>
        <v>263783.33333333337</v>
      </c>
      <c r="P1620" s="46">
        <f t="shared" si="379"/>
        <v>5.5555555555555559E-2</v>
      </c>
      <c r="Q1620" s="46">
        <v>7</v>
      </c>
      <c r="R1620" s="45">
        <f t="shared" si="380"/>
        <v>1107890</v>
      </c>
      <c r="S1620" s="46">
        <f t="shared" si="381"/>
        <v>125.99999999999997</v>
      </c>
      <c r="T1620" s="46">
        <f>IFERROR(VLOOKUP(A1620,'[1]Re-order'!$A:$Q,17,0),"")</f>
        <v>46.461038961038959</v>
      </c>
      <c r="U1620" s="46">
        <f>IFERROR(VLOOKUP(A1620,'[1]MC Masterlist 2026-09-12'!$B:$M, 10, 0),0)</f>
        <v>15</v>
      </c>
      <c r="V1620" s="46">
        <f>IFERROR(VLOOKUP(A1620,'[1]MC Masterlist 2026-09-12'!$B:$M, 11, 0),0)</f>
        <v>15</v>
      </c>
      <c r="W1620" s="46">
        <f t="shared" si="382"/>
        <v>30</v>
      </c>
      <c r="X1620" s="46">
        <f t="shared" si="383"/>
        <v>29.166666666666668</v>
      </c>
      <c r="Y1620" s="46">
        <f>IFERROR(IF(OR(C1620="AREA I",C1620="AREA V"),7,VLOOKUP(A1620,'[1]MC Masterlist 2026-09-12'!$B:$M, 12, 0)),0)</f>
        <v>30</v>
      </c>
      <c r="Z1620" s="46">
        <f t="shared" si="384"/>
        <v>0.83333333333333337</v>
      </c>
      <c r="AA1620" s="46">
        <f t="shared" si="385"/>
        <v>1.6666666666666667</v>
      </c>
      <c r="AB1620" s="46">
        <f t="shared" si="386"/>
        <v>1.6203703703703705</v>
      </c>
      <c r="AC1620" s="46">
        <f t="shared" si="387"/>
        <v>1.6666666666666667</v>
      </c>
      <c r="AD1620" s="44" t="str">
        <f t="shared" si="388"/>
        <v>Over</v>
      </c>
      <c r="AE1620" s="44" t="str">
        <f>IFERROR(VLOOKUP(A1620,'[1]Re-order'!$A:$AA,27,0),"")</f>
        <v>Re-order</v>
      </c>
      <c r="AF1620" s="46">
        <f t="shared" si="389"/>
        <v>-5.333333333333333</v>
      </c>
      <c r="AG1620" s="46">
        <f>SUMIFS('[1]Raw Inventory'!D:D,'[1]Raw Inventory'!C:C,"GREATWALL",'[1]Raw Inventory'!B:B,A1620)</f>
        <v>35</v>
      </c>
      <c r="AH1620" s="46">
        <f>SUMIFS('[1]Raw Inventory'!D:D,'[1]Raw Inventory'!C:C,"DUARTE",'[1]Raw Inventory'!B:B,A1620)</f>
        <v>0</v>
      </c>
      <c r="AI1620" s="46"/>
      <c r="AJ1620" s="46"/>
      <c r="AK1620" s="43"/>
      <c r="AL1620" s="43"/>
      <c r="AM1620" s="43"/>
      <c r="AN1620" s="43"/>
      <c r="AO1620" s="43"/>
      <c r="AP1620" s="43"/>
      <c r="AQ1620" s="43"/>
      <c r="AR1620" s="43"/>
      <c r="AS1620" s="43"/>
      <c r="AT1620" s="43"/>
    </row>
    <row r="1621" spans="1:46">
      <c r="A1621" s="43" t="s">
        <v>12</v>
      </c>
      <c r="B1621" s="43" t="s">
        <v>119</v>
      </c>
      <c r="C1621" s="43" t="s">
        <v>118</v>
      </c>
      <c r="D1621" s="44" t="s">
        <v>264</v>
      </c>
      <c r="E1621" s="44">
        <v>7</v>
      </c>
      <c r="F1621" s="44" t="s">
        <v>0</v>
      </c>
      <c r="G1621" s="43" t="str">
        <f>IFERROR(VLOOKUP(A1621,'[1]MC Masterlist 2026-09-12'!$B:$M, 3, 0),"")</f>
        <v>HONDA</v>
      </c>
      <c r="H1621" s="45">
        <f>IFERROR(VLOOKUP(A1621,'[1]MC Masterlist 2026-09-12'!$B:$M, 6, 0),"")</f>
        <v>158270</v>
      </c>
      <c r="I1621" s="46">
        <v>1</v>
      </c>
      <c r="J1621" s="46">
        <v>2</v>
      </c>
      <c r="K1621" s="46">
        <v>2</v>
      </c>
      <c r="L1621" s="46">
        <f t="shared" si="375"/>
        <v>5</v>
      </c>
      <c r="M1621" s="46">
        <f t="shared" si="376"/>
        <v>1.6666666666666667</v>
      </c>
      <c r="N1621" s="45">
        <f t="shared" si="377"/>
        <v>791350</v>
      </c>
      <c r="O1621" s="45">
        <f t="shared" si="378"/>
        <v>263783.33333333337</v>
      </c>
      <c r="P1621" s="46">
        <f t="shared" si="379"/>
        <v>5.5555555555555559E-2</v>
      </c>
      <c r="Q1621" s="46">
        <v>2</v>
      </c>
      <c r="R1621" s="45">
        <f t="shared" si="380"/>
        <v>316540</v>
      </c>
      <c r="S1621" s="46">
        <f t="shared" si="381"/>
        <v>35.999999999999993</v>
      </c>
      <c r="T1621" s="46">
        <f>IFERROR(VLOOKUP(A1621,'[1]Re-order'!$A:$Q,17,0),"")</f>
        <v>46.461038961038959</v>
      </c>
      <c r="U1621" s="46">
        <f>IFERROR(VLOOKUP(A1621,'[1]MC Masterlist 2026-09-12'!$B:$M, 10, 0),0)</f>
        <v>15</v>
      </c>
      <c r="V1621" s="46">
        <f>IFERROR(VLOOKUP(A1621,'[1]MC Masterlist 2026-09-12'!$B:$M, 11, 0),0)</f>
        <v>15</v>
      </c>
      <c r="W1621" s="46">
        <f t="shared" si="382"/>
        <v>30</v>
      </c>
      <c r="X1621" s="46">
        <f t="shared" si="383"/>
        <v>29.166666666666668</v>
      </c>
      <c r="Y1621" s="46">
        <f>IFERROR(IF(OR(C1621="AREA I",C1621="AREA V"),7,VLOOKUP(A1621,'[1]MC Masterlist 2026-09-12'!$B:$M, 12, 0)),0)</f>
        <v>30</v>
      </c>
      <c r="Z1621" s="46">
        <f t="shared" si="384"/>
        <v>0.83333333333333337</v>
      </c>
      <c r="AA1621" s="46">
        <f t="shared" si="385"/>
        <v>1.6666666666666667</v>
      </c>
      <c r="AB1621" s="46">
        <f t="shared" si="386"/>
        <v>1.6203703703703705</v>
      </c>
      <c r="AC1621" s="46">
        <f t="shared" si="387"/>
        <v>1.6666666666666667</v>
      </c>
      <c r="AD1621" s="44" t="str">
        <f t="shared" si="388"/>
        <v>Over</v>
      </c>
      <c r="AE1621" s="44" t="str">
        <f>IFERROR(VLOOKUP(A1621,'[1]Re-order'!$A:$AA,27,0),"")</f>
        <v>Re-order</v>
      </c>
      <c r="AF1621" s="46">
        <f t="shared" si="389"/>
        <v>-0.33333333333333326</v>
      </c>
      <c r="AG1621" s="46">
        <f>SUMIFS('[1]Raw Inventory'!D:D,'[1]Raw Inventory'!C:C,"GREATWALL",'[1]Raw Inventory'!B:B,A1621)</f>
        <v>35</v>
      </c>
      <c r="AH1621" s="46">
        <f>SUMIFS('[1]Raw Inventory'!D:D,'[1]Raw Inventory'!C:C,"DUARTE",'[1]Raw Inventory'!B:B,A1621)</f>
        <v>0</v>
      </c>
      <c r="AI1621" s="46"/>
      <c r="AJ1621" s="46"/>
      <c r="AK1621" s="43"/>
      <c r="AL1621" s="43"/>
      <c r="AM1621" s="43"/>
      <c r="AN1621" s="43"/>
      <c r="AO1621" s="43"/>
      <c r="AP1621" s="43"/>
      <c r="AQ1621" s="43"/>
      <c r="AR1621" s="43"/>
      <c r="AS1621" s="43"/>
      <c r="AT1621" s="43"/>
    </row>
    <row r="1622" spans="1:46">
      <c r="A1622" s="43" t="s">
        <v>53</v>
      </c>
      <c r="B1622" s="43" t="s">
        <v>146</v>
      </c>
      <c r="C1622" s="43" t="s">
        <v>137</v>
      </c>
      <c r="D1622" s="44" t="s">
        <v>226</v>
      </c>
      <c r="E1622" s="44">
        <v>28</v>
      </c>
      <c r="F1622" s="44" t="s">
        <v>3</v>
      </c>
      <c r="G1622" s="43" t="str">
        <f>IFERROR(VLOOKUP(A1622,'[1]MC Masterlist 2026-09-12'!$B:$M, 3, 0),"")</f>
        <v>HONDA</v>
      </c>
      <c r="H1622" s="45">
        <f>IFERROR(VLOOKUP(A1622,'[1]MC Masterlist 2026-09-12'!$B:$M, 6, 0),"")</f>
        <v>118838</v>
      </c>
      <c r="I1622" s="46">
        <v>0</v>
      </c>
      <c r="J1622" s="46">
        <v>0</v>
      </c>
      <c r="K1622" s="46">
        <v>0</v>
      </c>
      <c r="L1622" s="46">
        <f t="shared" si="375"/>
        <v>0</v>
      </c>
      <c r="M1622" s="46">
        <f t="shared" si="376"/>
        <v>0</v>
      </c>
      <c r="N1622" s="45">
        <f t="shared" si="377"/>
        <v>0</v>
      </c>
      <c r="O1622" s="45">
        <f t="shared" si="378"/>
        <v>0</v>
      </c>
      <c r="P1622" s="46">
        <f t="shared" si="379"/>
        <v>0</v>
      </c>
      <c r="Q1622" s="46">
        <v>1</v>
      </c>
      <c r="R1622" s="45">
        <f t="shared" si="380"/>
        <v>118838</v>
      </c>
      <c r="S1622" s="46">
        <f t="shared" si="381"/>
        <v>0</v>
      </c>
      <c r="T1622" s="46">
        <f>IFERROR(VLOOKUP(A1622,'[1]Re-order'!$A:$Q,17,0),"")</f>
        <v>360</v>
      </c>
      <c r="U1622" s="46">
        <f>IFERROR(VLOOKUP(A1622,'[1]MC Masterlist 2026-09-12'!$B:$M, 10, 0),0)</f>
        <v>15</v>
      </c>
      <c r="V1622" s="46">
        <f>IFERROR(VLOOKUP(A1622,'[1]MC Masterlist 2026-09-12'!$B:$M, 11, 0),0)</f>
        <v>15</v>
      </c>
      <c r="W1622" s="46">
        <f t="shared" si="382"/>
        <v>30</v>
      </c>
      <c r="X1622" s="46">
        <f t="shared" si="383"/>
        <v>7</v>
      </c>
      <c r="Y1622" s="46">
        <f>IFERROR(IF(OR(C1622="AREA I",C1622="AREA V"),7,VLOOKUP(A1622,'[1]MC Masterlist 2026-09-12'!$B:$M, 12, 0)),0)</f>
        <v>7</v>
      </c>
      <c r="Z1622" s="46">
        <f t="shared" si="384"/>
        <v>0</v>
      </c>
      <c r="AA1622" s="46">
        <f t="shared" si="385"/>
        <v>0</v>
      </c>
      <c r="AB1622" s="46">
        <f t="shared" si="386"/>
        <v>0</v>
      </c>
      <c r="AC1622" s="46">
        <f t="shared" si="387"/>
        <v>0</v>
      </c>
      <c r="AD1622" s="44" t="str">
        <f t="shared" si="388"/>
        <v>Over</v>
      </c>
      <c r="AE1622" s="44" t="str">
        <f>IFERROR(VLOOKUP(A1622,'[1]Re-order'!$A:$AA,27,0),"")</f>
        <v>Over</v>
      </c>
      <c r="AF1622" s="46">
        <f t="shared" si="389"/>
        <v>-1</v>
      </c>
      <c r="AG1622" s="46">
        <f>SUMIFS('[1]Raw Inventory'!D:D,'[1]Raw Inventory'!C:C,"GREATWALL",'[1]Raw Inventory'!B:B,A1622)</f>
        <v>0</v>
      </c>
      <c r="AH1622" s="46">
        <f>SUMIFS('[1]Raw Inventory'!D:D,'[1]Raw Inventory'!C:C,"DUARTE",'[1]Raw Inventory'!B:B,A1622)</f>
        <v>0</v>
      </c>
      <c r="AI1622" s="46"/>
      <c r="AJ1622" s="46"/>
      <c r="AK1622" s="43"/>
      <c r="AL1622" s="43"/>
      <c r="AM1622" s="43"/>
      <c r="AN1622" s="43"/>
      <c r="AO1622" s="43"/>
      <c r="AP1622" s="43"/>
      <c r="AQ1622" s="43"/>
      <c r="AR1622" s="43"/>
      <c r="AS1622" s="43"/>
      <c r="AT1622" s="43"/>
    </row>
    <row r="1623" spans="1:46">
      <c r="A1623" s="43" t="s">
        <v>49</v>
      </c>
      <c r="B1623" s="43" t="s">
        <v>30</v>
      </c>
      <c r="C1623" s="43" t="s">
        <v>1</v>
      </c>
      <c r="D1623" s="44" t="s">
        <v>224</v>
      </c>
      <c r="E1623" s="44">
        <v>12</v>
      </c>
      <c r="F1623" s="44" t="s">
        <v>2</v>
      </c>
      <c r="G1623" s="43" t="str">
        <f>IFERROR(VLOOKUP(A1623,'[1]MC Masterlist 2026-09-12'!$B:$M, 3, 0),"")</f>
        <v>BAJAJ RE</v>
      </c>
      <c r="H1623" s="45">
        <f>IFERROR(VLOOKUP(A1623,'[1]MC Masterlist 2026-09-12'!$B:$M, 6, 0),"")</f>
        <v>191000</v>
      </c>
      <c r="I1623" s="46">
        <v>1</v>
      </c>
      <c r="J1623" s="46">
        <v>0</v>
      </c>
      <c r="K1623" s="46">
        <v>2</v>
      </c>
      <c r="L1623" s="46">
        <f t="shared" si="375"/>
        <v>3</v>
      </c>
      <c r="M1623" s="46">
        <f t="shared" si="376"/>
        <v>1</v>
      </c>
      <c r="N1623" s="45">
        <f t="shared" si="377"/>
        <v>573000</v>
      </c>
      <c r="O1623" s="45">
        <f t="shared" si="378"/>
        <v>191000</v>
      </c>
      <c r="P1623" s="46">
        <f t="shared" si="379"/>
        <v>3.3333333333333333E-2</v>
      </c>
      <c r="Q1623" s="46">
        <v>1</v>
      </c>
      <c r="R1623" s="45">
        <f t="shared" si="380"/>
        <v>191000</v>
      </c>
      <c r="S1623" s="46">
        <f t="shared" si="381"/>
        <v>30</v>
      </c>
      <c r="T1623" s="46">
        <f>IFERROR(VLOOKUP(A1623,'[1]Re-order'!$A:$Q,17,0),"")</f>
        <v>21.516709511568124</v>
      </c>
      <c r="U1623" s="46">
        <f>IFERROR(VLOOKUP(A1623,'[1]MC Masterlist 2026-09-12'!$B:$M, 10, 0),0)</f>
        <v>15</v>
      </c>
      <c r="V1623" s="46">
        <f>IFERROR(VLOOKUP(A1623,'[1]MC Masterlist 2026-09-12'!$B:$M, 11, 0),0)</f>
        <v>15</v>
      </c>
      <c r="W1623" s="46">
        <f t="shared" si="382"/>
        <v>30</v>
      </c>
      <c r="X1623" s="46">
        <f t="shared" si="383"/>
        <v>6.5</v>
      </c>
      <c r="Y1623" s="46">
        <f>IFERROR(IF(OR(C1623="AREA I",C1623="AREA V"),7,VLOOKUP(A1623,'[1]MC Masterlist 2026-09-12'!$B:$M, 12, 0)),0)</f>
        <v>7</v>
      </c>
      <c r="Z1623" s="46">
        <f t="shared" si="384"/>
        <v>0.5</v>
      </c>
      <c r="AA1623" s="46">
        <f t="shared" si="385"/>
        <v>1</v>
      </c>
      <c r="AB1623" s="46">
        <f t="shared" si="386"/>
        <v>0.21666666666666667</v>
      </c>
      <c r="AC1623" s="46">
        <f t="shared" si="387"/>
        <v>0.23333333333333334</v>
      </c>
      <c r="AD1623" s="44" t="str">
        <f t="shared" si="388"/>
        <v>Over</v>
      </c>
      <c r="AE1623" s="44" t="str">
        <f>IFERROR(VLOOKUP(A1623,'[1]Re-order'!$A:$AA,27,0),"")</f>
        <v>Stockout</v>
      </c>
      <c r="AF1623" s="46">
        <f t="shared" si="389"/>
        <v>-0.76666666666666661</v>
      </c>
      <c r="AG1623" s="46">
        <f>SUMIFS('[1]Raw Inventory'!D:D,'[1]Raw Inventory'!C:C,"GREATWALL",'[1]Raw Inventory'!B:B,A1623)</f>
        <v>0</v>
      </c>
      <c r="AH1623" s="46">
        <f>SUMIFS('[1]Raw Inventory'!D:D,'[1]Raw Inventory'!C:C,"DUARTE",'[1]Raw Inventory'!B:B,A1623)</f>
        <v>0</v>
      </c>
      <c r="AI1623" s="46"/>
      <c r="AJ1623" s="46"/>
      <c r="AK1623" s="43"/>
      <c r="AL1623" s="43"/>
      <c r="AM1623" s="43"/>
      <c r="AN1623" s="43"/>
      <c r="AO1623" s="43"/>
      <c r="AP1623" s="43"/>
      <c r="AQ1623" s="43"/>
      <c r="AR1623" s="43"/>
      <c r="AS1623" s="43"/>
      <c r="AT1623" s="43"/>
    </row>
    <row r="1624" spans="1:46">
      <c r="A1624" s="43" t="s">
        <v>23</v>
      </c>
      <c r="B1624" s="43" t="s">
        <v>113</v>
      </c>
      <c r="C1624" s="43" t="s">
        <v>109</v>
      </c>
      <c r="D1624" s="44" t="s">
        <v>259</v>
      </c>
      <c r="E1624" s="44">
        <v>5</v>
      </c>
      <c r="F1624" s="44" t="s">
        <v>0</v>
      </c>
      <c r="G1624" s="43" t="str">
        <f>IFERROR(VLOOKUP(A1624,'[1]MC Masterlist 2026-09-12'!$B:$M, 3, 0),"")</f>
        <v>KAWASAKI</v>
      </c>
      <c r="H1624" s="45">
        <f>IFERROR(VLOOKUP(A1624,'[1]MC Masterlist 2026-09-12'!$B:$M, 6, 0),"")</f>
        <v>60656</v>
      </c>
      <c r="I1624" s="46">
        <v>7</v>
      </c>
      <c r="J1624" s="46">
        <v>7</v>
      </c>
      <c r="K1624" s="46">
        <v>2</v>
      </c>
      <c r="L1624" s="46">
        <f t="shared" si="375"/>
        <v>16</v>
      </c>
      <c r="M1624" s="46">
        <f t="shared" si="376"/>
        <v>5.333333333333333</v>
      </c>
      <c r="N1624" s="45">
        <f t="shared" si="377"/>
        <v>970496</v>
      </c>
      <c r="O1624" s="45">
        <f t="shared" si="378"/>
        <v>323498.66666666663</v>
      </c>
      <c r="P1624" s="46">
        <f t="shared" si="379"/>
        <v>0.17777777777777776</v>
      </c>
      <c r="Q1624" s="46">
        <v>17</v>
      </c>
      <c r="R1624" s="45">
        <f t="shared" si="380"/>
        <v>1031152</v>
      </c>
      <c r="S1624" s="46">
        <f t="shared" si="381"/>
        <v>95.625000000000014</v>
      </c>
      <c r="T1624" s="46">
        <f>IFERROR(VLOOKUP(A1624,'[1]Re-order'!$A:$Q,17,0),"")</f>
        <v>53.973412112259979</v>
      </c>
      <c r="U1624" s="46">
        <f>IFERROR(VLOOKUP(A1624,'[1]MC Masterlist 2026-09-12'!$B:$M, 10, 0),0)</f>
        <v>15</v>
      </c>
      <c r="V1624" s="46">
        <f>IFERROR(VLOOKUP(A1624,'[1]MC Masterlist 2026-09-12'!$B:$M, 11, 0),0)</f>
        <v>15</v>
      </c>
      <c r="W1624" s="46">
        <f t="shared" si="382"/>
        <v>30</v>
      </c>
      <c r="X1624" s="46">
        <f t="shared" si="383"/>
        <v>27.333333333333332</v>
      </c>
      <c r="Y1624" s="46">
        <f>IFERROR(IF(OR(C1624="AREA I",C1624="AREA V"),7,VLOOKUP(A1624,'[1]MC Masterlist 2026-09-12'!$B:$M, 12, 0)),0)</f>
        <v>30</v>
      </c>
      <c r="Z1624" s="46">
        <f t="shared" si="384"/>
        <v>2.6666666666666665</v>
      </c>
      <c r="AA1624" s="46">
        <f t="shared" si="385"/>
        <v>5.333333333333333</v>
      </c>
      <c r="AB1624" s="46">
        <f t="shared" si="386"/>
        <v>4.8592592592592583</v>
      </c>
      <c r="AC1624" s="46">
        <f t="shared" si="387"/>
        <v>5.333333333333333</v>
      </c>
      <c r="AD1624" s="44" t="str">
        <f t="shared" si="388"/>
        <v>Over</v>
      </c>
      <c r="AE1624" s="44" t="str">
        <f>IFERROR(VLOOKUP(A1624,'[1]Re-order'!$A:$AA,27,0),"")</f>
        <v>Re-order</v>
      </c>
      <c r="AF1624" s="46">
        <f t="shared" si="389"/>
        <v>-11.666666666666668</v>
      </c>
      <c r="AG1624" s="46">
        <f>SUMIFS('[1]Raw Inventory'!D:D,'[1]Raw Inventory'!C:C,"GREATWALL",'[1]Raw Inventory'!B:B,A1624)</f>
        <v>282</v>
      </c>
      <c r="AH1624" s="46">
        <f>SUMIFS('[1]Raw Inventory'!D:D,'[1]Raw Inventory'!C:C,"DUARTE",'[1]Raw Inventory'!B:B,A1624)</f>
        <v>0</v>
      </c>
      <c r="AI1624" s="46"/>
      <c r="AJ1624" s="46"/>
      <c r="AK1624" s="43"/>
      <c r="AL1624" s="43"/>
      <c r="AM1624" s="43"/>
      <c r="AN1624" s="43"/>
      <c r="AO1624" s="43"/>
      <c r="AP1624" s="43"/>
      <c r="AQ1624" s="43"/>
      <c r="AR1624" s="43"/>
      <c r="AS1624" s="43"/>
      <c r="AT1624" s="43"/>
    </row>
    <row r="1625" spans="1:46">
      <c r="A1625" s="43" t="s">
        <v>20</v>
      </c>
      <c r="B1625" s="43" t="s">
        <v>5</v>
      </c>
      <c r="C1625" s="43" t="s">
        <v>118</v>
      </c>
      <c r="D1625" s="44" t="s">
        <v>246</v>
      </c>
      <c r="E1625" s="44">
        <v>12</v>
      </c>
      <c r="F1625" s="44" t="s">
        <v>2</v>
      </c>
      <c r="G1625" s="43" t="str">
        <f>IFERROR(VLOOKUP(A1625,'[1]MC Masterlist 2026-09-12'!$B:$M, 3, 0),"")</f>
        <v>HONDA</v>
      </c>
      <c r="H1625" s="45">
        <f>IFERROR(VLOOKUP(A1625,'[1]MC Masterlist 2026-09-12'!$B:$M, 6, 0),"")</f>
        <v>69950</v>
      </c>
      <c r="I1625" s="46">
        <v>0</v>
      </c>
      <c r="J1625" s="46">
        <v>2</v>
      </c>
      <c r="K1625" s="46">
        <v>1</v>
      </c>
      <c r="L1625" s="46">
        <f t="shared" si="375"/>
        <v>3</v>
      </c>
      <c r="M1625" s="46">
        <f t="shared" si="376"/>
        <v>1</v>
      </c>
      <c r="N1625" s="45">
        <f t="shared" si="377"/>
        <v>209850</v>
      </c>
      <c r="O1625" s="45">
        <f t="shared" si="378"/>
        <v>69950</v>
      </c>
      <c r="P1625" s="46">
        <f t="shared" si="379"/>
        <v>3.3333333333333333E-2</v>
      </c>
      <c r="Q1625" s="46">
        <v>2</v>
      </c>
      <c r="R1625" s="45">
        <f t="shared" si="380"/>
        <v>139900</v>
      </c>
      <c r="S1625" s="46">
        <f t="shared" si="381"/>
        <v>60</v>
      </c>
      <c r="T1625" s="46">
        <f>IFERROR(VLOOKUP(A1625,'[1]Re-order'!$A:$Q,17,0),"")</f>
        <v>75.775862068965523</v>
      </c>
      <c r="U1625" s="46">
        <f>IFERROR(VLOOKUP(A1625,'[1]MC Masterlist 2026-09-12'!$B:$M, 10, 0),0)</f>
        <v>15</v>
      </c>
      <c r="V1625" s="46">
        <f>IFERROR(VLOOKUP(A1625,'[1]MC Masterlist 2026-09-12'!$B:$M, 11, 0),0)</f>
        <v>15</v>
      </c>
      <c r="W1625" s="46">
        <f t="shared" si="382"/>
        <v>30</v>
      </c>
      <c r="X1625" s="46">
        <f t="shared" si="383"/>
        <v>29.5</v>
      </c>
      <c r="Y1625" s="46">
        <f>IFERROR(IF(OR(C1625="AREA I",C1625="AREA V"),7,VLOOKUP(A1625,'[1]MC Masterlist 2026-09-12'!$B:$M, 12, 0)),0)</f>
        <v>30</v>
      </c>
      <c r="Z1625" s="46">
        <f t="shared" si="384"/>
        <v>0.5</v>
      </c>
      <c r="AA1625" s="46">
        <f t="shared" si="385"/>
        <v>1</v>
      </c>
      <c r="AB1625" s="46">
        <f t="shared" si="386"/>
        <v>0.98333333333333328</v>
      </c>
      <c r="AC1625" s="46">
        <f t="shared" si="387"/>
        <v>1</v>
      </c>
      <c r="AD1625" s="44" t="str">
        <f t="shared" si="388"/>
        <v>Over</v>
      </c>
      <c r="AE1625" s="44" t="str">
        <f>IFERROR(VLOOKUP(A1625,'[1]Re-order'!$A:$AA,27,0),"")</f>
        <v/>
      </c>
      <c r="AF1625" s="46">
        <f t="shared" si="389"/>
        <v>-1</v>
      </c>
      <c r="AG1625" s="46">
        <f>SUMIFS('[1]Raw Inventory'!D:D,'[1]Raw Inventory'!C:C,"GREATWALL",'[1]Raw Inventory'!B:B,A1625)</f>
        <v>110</v>
      </c>
      <c r="AH1625" s="46">
        <f>SUMIFS('[1]Raw Inventory'!D:D,'[1]Raw Inventory'!C:C,"DUARTE",'[1]Raw Inventory'!B:B,A1625)</f>
        <v>0</v>
      </c>
      <c r="AI1625" s="46"/>
      <c r="AJ1625" s="46"/>
      <c r="AK1625" s="43"/>
      <c r="AL1625" s="43"/>
      <c r="AM1625" s="43"/>
      <c r="AN1625" s="43"/>
      <c r="AO1625" s="43"/>
      <c r="AP1625" s="43"/>
      <c r="AQ1625" s="43"/>
      <c r="AR1625" s="43"/>
      <c r="AS1625" s="43"/>
      <c r="AT1625" s="43"/>
    </row>
    <row r="1626" spans="1:46">
      <c r="A1626" s="43" t="s">
        <v>24</v>
      </c>
      <c r="B1626" s="43" t="s">
        <v>143</v>
      </c>
      <c r="C1626" s="43" t="s">
        <v>137</v>
      </c>
      <c r="D1626" s="44" t="s">
        <v>259</v>
      </c>
      <c r="E1626" s="44">
        <v>5</v>
      </c>
      <c r="F1626" s="44" t="s">
        <v>0</v>
      </c>
      <c r="G1626" s="43" t="str">
        <f>IFERROR(VLOOKUP(A1626,'[1]MC Masterlist 2026-09-12'!$B:$M, 3, 0),"")</f>
        <v>KAWASAKI</v>
      </c>
      <c r="H1626" s="45">
        <f>IFERROR(VLOOKUP(A1626,'[1]MC Masterlist 2026-09-12'!$B:$M, 6, 0),"")</f>
        <v>131626</v>
      </c>
      <c r="I1626" s="46">
        <v>1</v>
      </c>
      <c r="J1626" s="46">
        <v>2</v>
      </c>
      <c r="K1626" s="46">
        <v>4</v>
      </c>
      <c r="L1626" s="46">
        <f t="shared" si="375"/>
        <v>7</v>
      </c>
      <c r="M1626" s="46">
        <f t="shared" si="376"/>
        <v>2.3333333333333335</v>
      </c>
      <c r="N1626" s="45">
        <f t="shared" si="377"/>
        <v>921382</v>
      </c>
      <c r="O1626" s="45">
        <f t="shared" si="378"/>
        <v>307127.33333333337</v>
      </c>
      <c r="P1626" s="46">
        <f t="shared" si="379"/>
        <v>7.7777777777777779E-2</v>
      </c>
      <c r="Q1626" s="46">
        <v>1</v>
      </c>
      <c r="R1626" s="45">
        <f t="shared" si="380"/>
        <v>131626</v>
      </c>
      <c r="S1626" s="46">
        <f t="shared" si="381"/>
        <v>12.857142857142854</v>
      </c>
      <c r="T1626" s="46">
        <f>IFERROR(VLOOKUP(A1626,'[1]Re-order'!$A:$Q,17,0),"")</f>
        <v>40.677966101694913</v>
      </c>
      <c r="U1626" s="46">
        <f>IFERROR(VLOOKUP(A1626,'[1]MC Masterlist 2026-09-12'!$B:$M, 10, 0),0)</f>
        <v>15</v>
      </c>
      <c r="V1626" s="46">
        <f>IFERROR(VLOOKUP(A1626,'[1]MC Masterlist 2026-09-12'!$B:$M, 11, 0),0)</f>
        <v>15</v>
      </c>
      <c r="W1626" s="46">
        <f t="shared" si="382"/>
        <v>30</v>
      </c>
      <c r="X1626" s="46">
        <f t="shared" si="383"/>
        <v>5.833333333333333</v>
      </c>
      <c r="Y1626" s="46">
        <f>IFERROR(IF(OR(C1626="AREA I",C1626="AREA V"),7,VLOOKUP(A1626,'[1]MC Masterlist 2026-09-12'!$B:$M, 12, 0)),0)</f>
        <v>7</v>
      </c>
      <c r="Z1626" s="46">
        <f t="shared" si="384"/>
        <v>1.1666666666666667</v>
      </c>
      <c r="AA1626" s="46">
        <f t="shared" si="385"/>
        <v>2.3333333333333335</v>
      </c>
      <c r="AB1626" s="46">
        <f t="shared" si="386"/>
        <v>0.45370370370370366</v>
      </c>
      <c r="AC1626" s="46">
        <f t="shared" si="387"/>
        <v>0.54444444444444451</v>
      </c>
      <c r="AD1626" s="44" t="str">
        <f t="shared" si="388"/>
        <v>Over</v>
      </c>
      <c r="AE1626" s="44" t="str">
        <f>IFERROR(VLOOKUP(A1626,'[1]Re-order'!$A:$AA,27,0),"")</f>
        <v>Re-order</v>
      </c>
      <c r="AF1626" s="46">
        <f t="shared" si="389"/>
        <v>-0.45555555555555549</v>
      </c>
      <c r="AG1626" s="46">
        <f>SUMIFS('[1]Raw Inventory'!D:D,'[1]Raw Inventory'!C:C,"GREATWALL",'[1]Raw Inventory'!B:B,A1626)</f>
        <v>12</v>
      </c>
      <c r="AH1626" s="46">
        <f>SUMIFS('[1]Raw Inventory'!D:D,'[1]Raw Inventory'!C:C,"DUARTE",'[1]Raw Inventory'!B:B,A1626)</f>
        <v>0</v>
      </c>
      <c r="AI1626" s="46"/>
      <c r="AJ1626" s="46"/>
      <c r="AK1626" s="43"/>
      <c r="AL1626" s="43"/>
      <c r="AM1626" s="43"/>
      <c r="AN1626" s="43"/>
      <c r="AO1626" s="43"/>
      <c r="AP1626" s="43"/>
      <c r="AQ1626" s="43"/>
      <c r="AR1626" s="43"/>
      <c r="AS1626" s="43"/>
      <c r="AT1626" s="43"/>
    </row>
    <row r="1627" spans="1:46">
      <c r="A1627" s="43" t="s">
        <v>39</v>
      </c>
      <c r="B1627" s="43" t="s">
        <v>91</v>
      </c>
      <c r="C1627" s="43" t="s">
        <v>90</v>
      </c>
      <c r="D1627" s="44" t="s">
        <v>237</v>
      </c>
      <c r="E1627" s="44">
        <v>14</v>
      </c>
      <c r="F1627" s="44" t="s">
        <v>3</v>
      </c>
      <c r="G1627" s="43" t="str">
        <f>IFERROR(VLOOKUP(A1627,'[1]MC Masterlist 2026-09-12'!$B:$M, 3, 0),"")</f>
        <v>HONDA</v>
      </c>
      <c r="H1627" s="45">
        <f>IFERROR(VLOOKUP(A1627,'[1]MC Masterlist 2026-09-12'!$B:$M, 6, 0),"")</f>
        <v>72434</v>
      </c>
      <c r="I1627" s="46">
        <v>0</v>
      </c>
      <c r="J1627" s="46">
        <v>0</v>
      </c>
      <c r="K1627" s="46">
        <v>0</v>
      </c>
      <c r="L1627" s="46">
        <f t="shared" si="375"/>
        <v>0</v>
      </c>
      <c r="M1627" s="46">
        <f t="shared" si="376"/>
        <v>0</v>
      </c>
      <c r="N1627" s="45">
        <f t="shared" si="377"/>
        <v>0</v>
      </c>
      <c r="O1627" s="45">
        <f t="shared" si="378"/>
        <v>0</v>
      </c>
      <c r="P1627" s="46">
        <f t="shared" si="379"/>
        <v>0</v>
      </c>
      <c r="Q1627" s="46">
        <v>2</v>
      </c>
      <c r="R1627" s="45">
        <f t="shared" si="380"/>
        <v>144868</v>
      </c>
      <c r="S1627" s="46">
        <f t="shared" si="381"/>
        <v>0</v>
      </c>
      <c r="T1627" s="46">
        <f>IFERROR(VLOOKUP(A1627,'[1]Re-order'!$A:$Q,17,0),"")</f>
        <v>40.982142857142854</v>
      </c>
      <c r="U1627" s="46">
        <f>IFERROR(VLOOKUP(A1627,'[1]MC Masterlist 2026-09-12'!$B:$M, 10, 0),0)</f>
        <v>15</v>
      </c>
      <c r="V1627" s="46">
        <f>IFERROR(VLOOKUP(A1627,'[1]MC Masterlist 2026-09-12'!$B:$M, 11, 0),0)</f>
        <v>15</v>
      </c>
      <c r="W1627" s="46">
        <f t="shared" si="382"/>
        <v>30</v>
      </c>
      <c r="X1627" s="46">
        <f t="shared" si="383"/>
        <v>30</v>
      </c>
      <c r="Y1627" s="46">
        <f>IFERROR(IF(OR(C1627="AREA I",C1627="AREA V"),7,VLOOKUP(A1627,'[1]MC Masterlist 2026-09-12'!$B:$M, 12, 0)),0)</f>
        <v>30</v>
      </c>
      <c r="Z1627" s="46">
        <f t="shared" si="384"/>
        <v>0</v>
      </c>
      <c r="AA1627" s="46">
        <f t="shared" si="385"/>
        <v>0</v>
      </c>
      <c r="AB1627" s="46">
        <f t="shared" si="386"/>
        <v>0</v>
      </c>
      <c r="AC1627" s="46">
        <f t="shared" si="387"/>
        <v>0</v>
      </c>
      <c r="AD1627" s="44" t="str">
        <f t="shared" si="388"/>
        <v>Over</v>
      </c>
      <c r="AE1627" s="44" t="str">
        <f>IFERROR(VLOOKUP(A1627,'[1]Re-order'!$A:$AA,27,0),"")</f>
        <v>Re-order</v>
      </c>
      <c r="AF1627" s="46">
        <f t="shared" si="389"/>
        <v>-2</v>
      </c>
      <c r="AG1627" s="46">
        <f>SUMIFS('[1]Raw Inventory'!D:D,'[1]Raw Inventory'!C:C,"GREATWALL",'[1]Raw Inventory'!B:B,A1627)</f>
        <v>16</v>
      </c>
      <c r="AH1627" s="46">
        <f>SUMIFS('[1]Raw Inventory'!D:D,'[1]Raw Inventory'!C:C,"DUARTE",'[1]Raw Inventory'!B:B,A1627)</f>
        <v>0</v>
      </c>
      <c r="AI1627" s="46"/>
      <c r="AJ1627" s="46"/>
      <c r="AK1627" s="43"/>
      <c r="AL1627" s="43"/>
      <c r="AM1627" s="43"/>
      <c r="AN1627" s="43"/>
      <c r="AO1627" s="43"/>
      <c r="AP1627" s="43"/>
      <c r="AQ1627" s="43"/>
      <c r="AR1627" s="43"/>
      <c r="AS1627" s="43"/>
      <c r="AT1627" s="43"/>
    </row>
    <row r="1628" spans="1:46">
      <c r="A1628" s="43" t="s">
        <v>64</v>
      </c>
      <c r="B1628" s="43" t="s">
        <v>98</v>
      </c>
      <c r="C1628" s="43" t="s">
        <v>90</v>
      </c>
      <c r="D1628" s="44" t="s">
        <v>224</v>
      </c>
      <c r="E1628" s="44">
        <v>10</v>
      </c>
      <c r="F1628" s="44" t="s">
        <v>2</v>
      </c>
      <c r="G1628" s="43" t="str">
        <f>IFERROR(VLOOKUP(A1628,'[1]MC Masterlist 2026-09-12'!$B:$M, 3, 0),"")</f>
        <v>HONDA</v>
      </c>
      <c r="H1628" s="45">
        <f>IFERROR(VLOOKUP(A1628,'[1]MC Masterlist 2026-09-12'!$B:$M, 6, 0),"")</f>
        <v>73170</v>
      </c>
      <c r="I1628" s="46">
        <v>1</v>
      </c>
      <c r="J1628" s="46">
        <v>1</v>
      </c>
      <c r="K1628" s="46">
        <v>1</v>
      </c>
      <c r="L1628" s="46">
        <f t="shared" si="375"/>
        <v>3</v>
      </c>
      <c r="M1628" s="46">
        <f t="shared" si="376"/>
        <v>1</v>
      </c>
      <c r="N1628" s="45">
        <f t="shared" si="377"/>
        <v>219510</v>
      </c>
      <c r="O1628" s="45">
        <f t="shared" si="378"/>
        <v>73170</v>
      </c>
      <c r="P1628" s="46">
        <f t="shared" si="379"/>
        <v>3.3333333333333333E-2</v>
      </c>
      <c r="Q1628" s="46">
        <v>4</v>
      </c>
      <c r="R1628" s="45">
        <f t="shared" si="380"/>
        <v>292680</v>
      </c>
      <c r="S1628" s="46">
        <f t="shared" si="381"/>
        <v>120</v>
      </c>
      <c r="T1628" s="46">
        <f>IFERROR(VLOOKUP(A1628,'[1]Re-order'!$A:$Q,17,0),"")</f>
        <v>76.153846153846146</v>
      </c>
      <c r="U1628" s="46">
        <f>IFERROR(VLOOKUP(A1628,'[1]MC Masterlist 2026-09-12'!$B:$M, 10, 0),0)</f>
        <v>15</v>
      </c>
      <c r="V1628" s="46">
        <f>IFERROR(VLOOKUP(A1628,'[1]MC Masterlist 2026-09-12'!$B:$M, 11, 0),0)</f>
        <v>15</v>
      </c>
      <c r="W1628" s="46">
        <f t="shared" si="382"/>
        <v>30</v>
      </c>
      <c r="X1628" s="46">
        <f t="shared" si="383"/>
        <v>29.5</v>
      </c>
      <c r="Y1628" s="46">
        <f>IFERROR(IF(OR(C1628="AREA I",C1628="AREA V"),7,VLOOKUP(A1628,'[1]MC Masterlist 2026-09-12'!$B:$M, 12, 0)),0)</f>
        <v>30</v>
      </c>
      <c r="Z1628" s="46">
        <f t="shared" si="384"/>
        <v>0.5</v>
      </c>
      <c r="AA1628" s="46">
        <f t="shared" si="385"/>
        <v>1</v>
      </c>
      <c r="AB1628" s="46">
        <f t="shared" si="386"/>
        <v>0.98333333333333328</v>
      </c>
      <c r="AC1628" s="46">
        <f t="shared" si="387"/>
        <v>1</v>
      </c>
      <c r="AD1628" s="44" t="str">
        <f t="shared" si="388"/>
        <v>Over</v>
      </c>
      <c r="AE1628" s="44" t="str">
        <f>IFERROR(VLOOKUP(A1628,'[1]Re-order'!$A:$AA,27,0),"")</f>
        <v/>
      </c>
      <c r="AF1628" s="46">
        <f t="shared" si="389"/>
        <v>-3</v>
      </c>
      <c r="AG1628" s="46">
        <f>SUMIFS('[1]Raw Inventory'!D:D,'[1]Raw Inventory'!C:C,"GREATWALL",'[1]Raw Inventory'!B:B,A1628)</f>
        <v>13</v>
      </c>
      <c r="AH1628" s="46">
        <f>SUMIFS('[1]Raw Inventory'!D:D,'[1]Raw Inventory'!C:C,"DUARTE",'[1]Raw Inventory'!B:B,A1628)</f>
        <v>0</v>
      </c>
      <c r="AI1628" s="46"/>
      <c r="AJ1628" s="46"/>
      <c r="AK1628" s="43"/>
      <c r="AL1628" s="43"/>
      <c r="AM1628" s="43"/>
      <c r="AN1628" s="43"/>
      <c r="AO1628" s="43"/>
      <c r="AP1628" s="43"/>
      <c r="AQ1628" s="43"/>
      <c r="AR1628" s="43"/>
      <c r="AS1628" s="43"/>
      <c r="AT1628" s="43"/>
    </row>
    <row r="1629" spans="1:46">
      <c r="A1629" s="43" t="s">
        <v>75</v>
      </c>
      <c r="B1629" s="43" t="s">
        <v>146</v>
      </c>
      <c r="C1629" s="43" t="s">
        <v>137</v>
      </c>
      <c r="D1629" s="44" t="s">
        <v>231</v>
      </c>
      <c r="E1629" s="44">
        <v>28</v>
      </c>
      <c r="F1629" s="44" t="s">
        <v>3</v>
      </c>
      <c r="G1629" s="43" t="str">
        <f>IFERROR(VLOOKUP(A1629,'[1]MC Masterlist 2026-09-12'!$B:$M, 3, 0),"")</f>
        <v>SUZUKI</v>
      </c>
      <c r="H1629" s="45">
        <f>IFERROR(VLOOKUP(A1629,'[1]MC Masterlist 2026-09-12'!$B:$M, 6, 0),"")</f>
        <v>138952</v>
      </c>
      <c r="I1629" s="46">
        <v>0</v>
      </c>
      <c r="J1629" s="46">
        <v>0</v>
      </c>
      <c r="K1629" s="46">
        <v>0</v>
      </c>
      <c r="L1629" s="46">
        <f t="shared" si="375"/>
        <v>0</v>
      </c>
      <c r="M1629" s="46">
        <f t="shared" si="376"/>
        <v>0</v>
      </c>
      <c r="N1629" s="45">
        <f t="shared" si="377"/>
        <v>0</v>
      </c>
      <c r="O1629" s="45">
        <f t="shared" si="378"/>
        <v>0</v>
      </c>
      <c r="P1629" s="46">
        <f t="shared" si="379"/>
        <v>0</v>
      </c>
      <c r="Q1629" s="46">
        <v>1</v>
      </c>
      <c r="R1629" s="45">
        <f t="shared" si="380"/>
        <v>138952</v>
      </c>
      <c r="S1629" s="46">
        <f t="shared" si="381"/>
        <v>0</v>
      </c>
      <c r="T1629" s="46">
        <f>IFERROR(VLOOKUP(A1629,'[1]Re-order'!$A:$Q,17,0),"")</f>
        <v>855.00000000000011</v>
      </c>
      <c r="U1629" s="46">
        <f>IFERROR(VLOOKUP(A1629,'[1]MC Masterlist 2026-09-12'!$B:$M, 10, 0),0)</f>
        <v>15</v>
      </c>
      <c r="V1629" s="46">
        <f>IFERROR(VLOOKUP(A1629,'[1]MC Masterlist 2026-09-12'!$B:$M, 11, 0),0)</f>
        <v>15</v>
      </c>
      <c r="W1629" s="46">
        <f t="shared" si="382"/>
        <v>30</v>
      </c>
      <c r="X1629" s="46">
        <f t="shared" si="383"/>
        <v>7</v>
      </c>
      <c r="Y1629" s="46">
        <f>IFERROR(IF(OR(C1629="AREA I",C1629="AREA V"),7,VLOOKUP(A1629,'[1]MC Masterlist 2026-09-12'!$B:$M, 12, 0)),0)</f>
        <v>7</v>
      </c>
      <c r="Z1629" s="46">
        <f t="shared" si="384"/>
        <v>0</v>
      </c>
      <c r="AA1629" s="46">
        <f t="shared" si="385"/>
        <v>0</v>
      </c>
      <c r="AB1629" s="46">
        <f t="shared" si="386"/>
        <v>0</v>
      </c>
      <c r="AC1629" s="46">
        <f t="shared" si="387"/>
        <v>0</v>
      </c>
      <c r="AD1629" s="44" t="str">
        <f t="shared" si="388"/>
        <v>Over</v>
      </c>
      <c r="AE1629" s="44" t="str">
        <f>IFERROR(VLOOKUP(A1629,'[1]Re-order'!$A:$AA,27,0),"")</f>
        <v>Over</v>
      </c>
      <c r="AF1629" s="46">
        <f t="shared" si="389"/>
        <v>-1</v>
      </c>
      <c r="AG1629" s="46">
        <f>SUMIFS('[1]Raw Inventory'!D:D,'[1]Raw Inventory'!C:C,"GREATWALL",'[1]Raw Inventory'!B:B,A1629)</f>
        <v>8</v>
      </c>
      <c r="AH1629" s="46">
        <f>SUMIFS('[1]Raw Inventory'!D:D,'[1]Raw Inventory'!C:C,"DUARTE",'[1]Raw Inventory'!B:B,A1629)</f>
        <v>0</v>
      </c>
      <c r="AI1629" s="46"/>
      <c r="AJ1629" s="46"/>
      <c r="AK1629" s="43"/>
      <c r="AL1629" s="43"/>
      <c r="AM1629" s="43"/>
      <c r="AN1629" s="43"/>
      <c r="AO1629" s="43"/>
      <c r="AP1629" s="43"/>
      <c r="AQ1629" s="43"/>
      <c r="AR1629" s="43"/>
      <c r="AS1629" s="43"/>
      <c r="AT1629" s="43"/>
    </row>
    <row r="1630" spans="1:46">
      <c r="A1630" s="43" t="s">
        <v>50</v>
      </c>
      <c r="B1630" s="43" t="s">
        <v>130</v>
      </c>
      <c r="C1630" s="43" t="s">
        <v>128</v>
      </c>
      <c r="D1630" s="44" t="s">
        <v>232</v>
      </c>
      <c r="E1630" s="44">
        <v>30</v>
      </c>
      <c r="F1630" s="44" t="s">
        <v>3</v>
      </c>
      <c r="G1630" s="43" t="str">
        <f>IFERROR(VLOOKUP(A1630,'[1]MC Masterlist 2026-09-12'!$B:$M, 3, 0),"")</f>
        <v>YAMAHA</v>
      </c>
      <c r="H1630" s="45">
        <f>IFERROR(VLOOKUP(A1630,'[1]MC Masterlist 2026-09-12'!$B:$M, 6, 0),"")</f>
        <v>78957</v>
      </c>
      <c r="I1630" s="46">
        <v>0</v>
      </c>
      <c r="J1630" s="46">
        <v>0</v>
      </c>
      <c r="K1630" s="46">
        <v>0</v>
      </c>
      <c r="L1630" s="46">
        <f t="shared" si="375"/>
        <v>0</v>
      </c>
      <c r="M1630" s="46">
        <f t="shared" si="376"/>
        <v>0</v>
      </c>
      <c r="N1630" s="45">
        <f t="shared" si="377"/>
        <v>0</v>
      </c>
      <c r="O1630" s="45">
        <f t="shared" si="378"/>
        <v>0</v>
      </c>
      <c r="P1630" s="46">
        <f t="shared" si="379"/>
        <v>0</v>
      </c>
      <c r="Q1630" s="46">
        <v>1</v>
      </c>
      <c r="R1630" s="45">
        <f t="shared" si="380"/>
        <v>78957</v>
      </c>
      <c r="S1630" s="46">
        <f t="shared" si="381"/>
        <v>0</v>
      </c>
      <c r="T1630" s="46">
        <f>IFERROR(VLOOKUP(A1630,'[1]Re-order'!$A:$Q,17,0),"")</f>
        <v>118.125</v>
      </c>
      <c r="U1630" s="46">
        <f>IFERROR(VLOOKUP(A1630,'[1]MC Masterlist 2026-09-12'!$B:$M, 10, 0),0)</f>
        <v>15</v>
      </c>
      <c r="V1630" s="46">
        <f>IFERROR(VLOOKUP(A1630,'[1]MC Masterlist 2026-09-12'!$B:$M, 11, 0),0)</f>
        <v>15</v>
      </c>
      <c r="W1630" s="46">
        <f t="shared" si="382"/>
        <v>30</v>
      </c>
      <c r="X1630" s="46">
        <f t="shared" si="383"/>
        <v>30</v>
      </c>
      <c r="Y1630" s="46">
        <f>IFERROR(IF(OR(C1630="AREA I",C1630="AREA V"),7,VLOOKUP(A1630,'[1]MC Masterlist 2026-09-12'!$B:$M, 12, 0)),0)</f>
        <v>30</v>
      </c>
      <c r="Z1630" s="46">
        <f t="shared" si="384"/>
        <v>0</v>
      </c>
      <c r="AA1630" s="46">
        <f t="shared" si="385"/>
        <v>0</v>
      </c>
      <c r="AB1630" s="46">
        <f t="shared" si="386"/>
        <v>0</v>
      </c>
      <c r="AC1630" s="46">
        <f t="shared" si="387"/>
        <v>0</v>
      </c>
      <c r="AD1630" s="44" t="str">
        <f t="shared" si="388"/>
        <v>Over</v>
      </c>
      <c r="AE1630" s="44" t="str">
        <f>IFERROR(VLOOKUP(A1630,'[1]Re-order'!$A:$AA,27,0),"")</f>
        <v>Over</v>
      </c>
      <c r="AF1630" s="46">
        <f t="shared" si="389"/>
        <v>-1</v>
      </c>
      <c r="AG1630" s="46">
        <f>SUMIFS('[1]Raw Inventory'!D:D,'[1]Raw Inventory'!C:C,"GREATWALL",'[1]Raw Inventory'!B:B,A1630)</f>
        <v>23</v>
      </c>
      <c r="AH1630" s="46">
        <f>SUMIFS('[1]Raw Inventory'!D:D,'[1]Raw Inventory'!C:C,"DUARTE",'[1]Raw Inventory'!B:B,A1630)</f>
        <v>0</v>
      </c>
      <c r="AI1630" s="46"/>
      <c r="AJ1630" s="46"/>
      <c r="AK1630" s="43"/>
      <c r="AL1630" s="43"/>
      <c r="AM1630" s="43"/>
      <c r="AN1630" s="43"/>
      <c r="AO1630" s="43"/>
      <c r="AP1630" s="43"/>
      <c r="AQ1630" s="43"/>
      <c r="AR1630" s="43"/>
      <c r="AS1630" s="43"/>
      <c r="AT1630" s="43"/>
    </row>
    <row r="1631" spans="1:46">
      <c r="A1631" s="43" t="s">
        <v>28</v>
      </c>
      <c r="B1631" s="43" t="s">
        <v>123</v>
      </c>
      <c r="C1631" s="43" t="s">
        <v>118</v>
      </c>
      <c r="D1631" s="44" t="s">
        <v>227</v>
      </c>
      <c r="E1631" s="44">
        <v>1</v>
      </c>
      <c r="F1631" s="44" t="s">
        <v>0</v>
      </c>
      <c r="G1631" s="43" t="str">
        <f>IFERROR(VLOOKUP(A1631,'[1]MC Masterlist 2026-09-12'!$B:$M, 3, 0),"")</f>
        <v>YAMAHA</v>
      </c>
      <c r="H1631" s="45">
        <f>IFERROR(VLOOKUP(A1631,'[1]MC Masterlist 2026-09-12'!$B:$M, 6, 0),"")</f>
        <v>147312</v>
      </c>
      <c r="I1631" s="46">
        <v>6</v>
      </c>
      <c r="J1631" s="46">
        <v>2</v>
      </c>
      <c r="K1631" s="46">
        <v>4</v>
      </c>
      <c r="L1631" s="46">
        <f t="shared" si="375"/>
        <v>12</v>
      </c>
      <c r="M1631" s="46">
        <f t="shared" si="376"/>
        <v>4</v>
      </c>
      <c r="N1631" s="45">
        <f t="shared" si="377"/>
        <v>1767744</v>
      </c>
      <c r="O1631" s="45">
        <f t="shared" si="378"/>
        <v>589248</v>
      </c>
      <c r="P1631" s="46">
        <f t="shared" si="379"/>
        <v>0.13333333333333333</v>
      </c>
      <c r="Q1631" s="46"/>
      <c r="R1631" s="45">
        <f t="shared" si="380"/>
        <v>0</v>
      </c>
      <c r="S1631" s="46">
        <f t="shared" si="381"/>
        <v>0</v>
      </c>
      <c r="T1631" s="46">
        <f>IFERROR(VLOOKUP(A1631,'[1]Re-order'!$A:$Q,17,0),"")</f>
        <v>8.2417582417582427</v>
      </c>
      <c r="U1631" s="46">
        <f>IFERROR(VLOOKUP(A1631,'[1]MC Masterlist 2026-09-12'!$B:$M, 10, 0),0)</f>
        <v>15</v>
      </c>
      <c r="V1631" s="46">
        <f>IFERROR(VLOOKUP(A1631,'[1]MC Masterlist 2026-09-12'!$B:$M, 11, 0),0)</f>
        <v>15</v>
      </c>
      <c r="W1631" s="46">
        <f t="shared" si="382"/>
        <v>30</v>
      </c>
      <c r="X1631" s="46">
        <f t="shared" si="383"/>
        <v>28</v>
      </c>
      <c r="Y1631" s="46">
        <f>IFERROR(IF(OR(C1631="AREA I",C1631="AREA V"),7,VLOOKUP(A1631,'[1]MC Masterlist 2026-09-12'!$B:$M, 12, 0)),0)</f>
        <v>30</v>
      </c>
      <c r="Z1631" s="46">
        <f t="shared" si="384"/>
        <v>2</v>
      </c>
      <c r="AA1631" s="46">
        <f t="shared" si="385"/>
        <v>4</v>
      </c>
      <c r="AB1631" s="46">
        <f t="shared" si="386"/>
        <v>3.7333333333333334</v>
      </c>
      <c r="AC1631" s="46">
        <f t="shared" si="387"/>
        <v>4</v>
      </c>
      <c r="AD1631" s="44" t="str">
        <f t="shared" si="388"/>
        <v>Stockout</v>
      </c>
      <c r="AE1631" s="44" t="str">
        <f>IFERROR(VLOOKUP(A1631,'[1]Re-order'!$A:$AA,27,0),"")</f>
        <v>Stockout</v>
      </c>
      <c r="AF1631" s="46">
        <f t="shared" si="389"/>
        <v>4</v>
      </c>
      <c r="AG1631" s="46">
        <f>SUMIFS('[1]Raw Inventory'!D:D,'[1]Raw Inventory'!C:C,"GREATWALL",'[1]Raw Inventory'!B:B,A1631)</f>
        <v>0</v>
      </c>
      <c r="AH1631" s="46">
        <f>SUMIFS('[1]Raw Inventory'!D:D,'[1]Raw Inventory'!C:C,"DUARTE",'[1]Raw Inventory'!B:B,A1631)</f>
        <v>0</v>
      </c>
      <c r="AI1631" s="46"/>
      <c r="AJ1631" s="46"/>
      <c r="AK1631" s="43"/>
      <c r="AL1631" s="43"/>
      <c r="AM1631" s="43"/>
      <c r="AN1631" s="43"/>
      <c r="AO1631" s="43"/>
      <c r="AP1631" s="43"/>
      <c r="AQ1631" s="43"/>
      <c r="AR1631" s="43"/>
      <c r="AS1631" s="43"/>
      <c r="AT1631" s="43"/>
    </row>
    <row r="1632" spans="1:46">
      <c r="A1632" s="43" t="s">
        <v>44</v>
      </c>
      <c r="B1632" s="43" t="s">
        <v>144</v>
      </c>
      <c r="C1632" s="43" t="s">
        <v>137</v>
      </c>
      <c r="D1632" s="44" t="s">
        <v>255</v>
      </c>
      <c r="E1632" s="44">
        <v>14</v>
      </c>
      <c r="F1632" s="44" t="s">
        <v>2</v>
      </c>
      <c r="G1632" s="43" t="str">
        <f>IFERROR(VLOOKUP(A1632,'[1]MC Masterlist 2026-09-12'!$B:$M, 3, 0),"")</f>
        <v>YAMAHA</v>
      </c>
      <c r="H1632" s="45">
        <f>IFERROR(VLOOKUP(A1632,'[1]MC Masterlist 2026-09-12'!$B:$M, 6, 0),"")</f>
        <v>165912</v>
      </c>
      <c r="I1632" s="46">
        <v>1</v>
      </c>
      <c r="J1632" s="46">
        <v>0</v>
      </c>
      <c r="K1632" s="46">
        <v>1</v>
      </c>
      <c r="L1632" s="46">
        <f t="shared" si="375"/>
        <v>2</v>
      </c>
      <c r="M1632" s="46">
        <f t="shared" si="376"/>
        <v>0.66666666666666663</v>
      </c>
      <c r="N1632" s="45">
        <f t="shared" si="377"/>
        <v>331824</v>
      </c>
      <c r="O1632" s="45">
        <f t="shared" si="378"/>
        <v>110608</v>
      </c>
      <c r="P1632" s="46">
        <f t="shared" si="379"/>
        <v>2.222222222222222E-2</v>
      </c>
      <c r="Q1632" s="46">
        <v>1</v>
      </c>
      <c r="R1632" s="45">
        <f t="shared" si="380"/>
        <v>165912</v>
      </c>
      <c r="S1632" s="46">
        <f t="shared" si="381"/>
        <v>45</v>
      </c>
      <c r="T1632" s="46">
        <f>IFERROR(VLOOKUP(A1632,'[1]Re-order'!$A:$Q,17,0),"")</f>
        <v>10.588235294117649</v>
      </c>
      <c r="U1632" s="46">
        <f>IFERROR(VLOOKUP(A1632,'[1]MC Masterlist 2026-09-12'!$B:$M, 10, 0),0)</f>
        <v>15</v>
      </c>
      <c r="V1632" s="46">
        <f>IFERROR(VLOOKUP(A1632,'[1]MC Masterlist 2026-09-12'!$B:$M, 11, 0),0)</f>
        <v>15</v>
      </c>
      <c r="W1632" s="46">
        <f t="shared" si="382"/>
        <v>30</v>
      </c>
      <c r="X1632" s="46">
        <f t="shared" si="383"/>
        <v>6.666666666666667</v>
      </c>
      <c r="Y1632" s="46">
        <f>IFERROR(IF(OR(C1632="AREA I",C1632="AREA V"),7,VLOOKUP(A1632,'[1]MC Masterlist 2026-09-12'!$B:$M, 12, 0)),0)</f>
        <v>7</v>
      </c>
      <c r="Z1632" s="46">
        <f t="shared" si="384"/>
        <v>0.33333333333333331</v>
      </c>
      <c r="AA1632" s="46">
        <f t="shared" si="385"/>
        <v>0.66666666666666663</v>
      </c>
      <c r="AB1632" s="46">
        <f t="shared" si="386"/>
        <v>0.14814814814814814</v>
      </c>
      <c r="AC1632" s="46">
        <f t="shared" si="387"/>
        <v>0.15555555555555553</v>
      </c>
      <c r="AD1632" s="44" t="str">
        <f t="shared" si="388"/>
        <v>Over</v>
      </c>
      <c r="AE1632" s="44" t="str">
        <f>IFERROR(VLOOKUP(A1632,'[1]Re-order'!$A:$AA,27,0),"")</f>
        <v>Stockout</v>
      </c>
      <c r="AF1632" s="46">
        <f t="shared" si="389"/>
        <v>-0.84444444444444444</v>
      </c>
      <c r="AG1632" s="46">
        <f>SUMIFS('[1]Raw Inventory'!D:D,'[1]Raw Inventory'!C:C,"GREATWALL",'[1]Raw Inventory'!B:B,A1632)</f>
        <v>0</v>
      </c>
      <c r="AH1632" s="46">
        <f>SUMIFS('[1]Raw Inventory'!D:D,'[1]Raw Inventory'!C:C,"DUARTE",'[1]Raw Inventory'!B:B,A1632)</f>
        <v>0</v>
      </c>
      <c r="AI1632" s="46"/>
      <c r="AJ1632" s="46"/>
      <c r="AK1632" s="43"/>
      <c r="AL1632" s="43"/>
      <c r="AM1632" s="43"/>
      <c r="AN1632" s="43"/>
      <c r="AO1632" s="43"/>
      <c r="AP1632" s="43"/>
      <c r="AQ1632" s="43"/>
      <c r="AR1632" s="43"/>
      <c r="AS1632" s="43"/>
      <c r="AT1632" s="43"/>
    </row>
    <row r="1633" spans="1:46">
      <c r="A1633" s="43" t="s">
        <v>37</v>
      </c>
      <c r="B1633" s="43" t="s">
        <v>153</v>
      </c>
      <c r="C1633" s="43" t="s">
        <v>152</v>
      </c>
      <c r="D1633" s="44" t="s">
        <v>223</v>
      </c>
      <c r="E1633" s="44">
        <v>14</v>
      </c>
      <c r="F1633" s="44" t="s">
        <v>3</v>
      </c>
      <c r="G1633" s="43" t="str">
        <f>IFERROR(VLOOKUP(A1633,'[1]MC Masterlist 2026-09-12'!$B:$M, 3, 0),"")</f>
        <v>HONDA</v>
      </c>
      <c r="H1633" s="45">
        <f>IFERROR(VLOOKUP(A1633,'[1]MC Masterlist 2026-09-12'!$B:$M, 6, 0),"")</f>
        <v>74550</v>
      </c>
      <c r="I1633" s="46">
        <v>0</v>
      </c>
      <c r="J1633" s="46">
        <v>1</v>
      </c>
      <c r="K1633" s="46">
        <v>0</v>
      </c>
      <c r="L1633" s="46">
        <f t="shared" si="375"/>
        <v>1</v>
      </c>
      <c r="M1633" s="46">
        <f t="shared" si="376"/>
        <v>0.33333333333333331</v>
      </c>
      <c r="N1633" s="45">
        <f t="shared" si="377"/>
        <v>74550</v>
      </c>
      <c r="O1633" s="45">
        <f t="shared" si="378"/>
        <v>24850</v>
      </c>
      <c r="P1633" s="46">
        <f t="shared" si="379"/>
        <v>1.111111111111111E-2</v>
      </c>
      <c r="Q1633" s="46">
        <v>1</v>
      </c>
      <c r="R1633" s="45">
        <f t="shared" si="380"/>
        <v>74550</v>
      </c>
      <c r="S1633" s="46">
        <f t="shared" si="381"/>
        <v>90</v>
      </c>
      <c r="T1633" s="46">
        <f>IFERROR(VLOOKUP(A1633,'[1]Re-order'!$A:$Q,17,0),"")</f>
        <v>33.652173913043477</v>
      </c>
      <c r="U1633" s="46">
        <f>IFERROR(VLOOKUP(A1633,'[1]MC Masterlist 2026-09-12'!$B:$M, 10, 0),0)</f>
        <v>15</v>
      </c>
      <c r="V1633" s="46">
        <f>IFERROR(VLOOKUP(A1633,'[1]MC Masterlist 2026-09-12'!$B:$M, 11, 0),0)</f>
        <v>15</v>
      </c>
      <c r="W1633" s="46">
        <f t="shared" si="382"/>
        <v>30</v>
      </c>
      <c r="X1633" s="46">
        <f t="shared" si="383"/>
        <v>29.833333333333332</v>
      </c>
      <c r="Y1633" s="46">
        <f>IFERROR(IF(OR(C1633="AREA I",C1633="AREA V"),7,VLOOKUP(A1633,'[1]MC Masterlist 2026-09-12'!$B:$M, 12, 0)),0)</f>
        <v>30</v>
      </c>
      <c r="Z1633" s="46">
        <f t="shared" si="384"/>
        <v>0.16666666666666666</v>
      </c>
      <c r="AA1633" s="46">
        <f t="shared" si="385"/>
        <v>0.33333333333333331</v>
      </c>
      <c r="AB1633" s="46">
        <f t="shared" si="386"/>
        <v>0.33148148148148143</v>
      </c>
      <c r="AC1633" s="46">
        <f t="shared" si="387"/>
        <v>0.33333333333333331</v>
      </c>
      <c r="AD1633" s="44" t="str">
        <f t="shared" si="388"/>
        <v>Over</v>
      </c>
      <c r="AE1633" s="44" t="str">
        <f>IFERROR(VLOOKUP(A1633,'[1]Re-order'!$A:$AA,27,0),"")</f>
        <v>Re-order</v>
      </c>
      <c r="AF1633" s="46">
        <f t="shared" si="389"/>
        <v>-0.66666666666666674</v>
      </c>
      <c r="AG1633" s="46">
        <f>SUMIFS('[1]Raw Inventory'!D:D,'[1]Raw Inventory'!C:C,"GREATWALL",'[1]Raw Inventory'!B:B,A1633)</f>
        <v>28</v>
      </c>
      <c r="AH1633" s="46">
        <f>SUMIFS('[1]Raw Inventory'!D:D,'[1]Raw Inventory'!C:C,"DUARTE",'[1]Raw Inventory'!B:B,A1633)</f>
        <v>0</v>
      </c>
      <c r="AI1633" s="46"/>
      <c r="AJ1633" s="46"/>
      <c r="AK1633" s="43"/>
      <c r="AL1633" s="43"/>
      <c r="AM1633" s="43"/>
      <c r="AN1633" s="43"/>
      <c r="AO1633" s="43"/>
      <c r="AP1633" s="43"/>
      <c r="AQ1633" s="43"/>
      <c r="AR1633" s="43"/>
      <c r="AS1633" s="43"/>
      <c r="AT1633" s="43"/>
    </row>
    <row r="1634" spans="1:46">
      <c r="A1634" s="43" t="s">
        <v>40</v>
      </c>
      <c r="B1634" s="43" t="s">
        <v>120</v>
      </c>
      <c r="C1634" s="43" t="s">
        <v>118</v>
      </c>
      <c r="D1634" s="44" t="s">
        <v>232</v>
      </c>
      <c r="E1634" s="44">
        <v>23</v>
      </c>
      <c r="F1634" s="44" t="s">
        <v>3</v>
      </c>
      <c r="G1634" s="43" t="str">
        <f>IFERROR(VLOOKUP(A1634,'[1]MC Masterlist 2026-09-12'!$B:$M, 3, 0),"")</f>
        <v>HONDA</v>
      </c>
      <c r="H1634" s="45">
        <f>IFERROR(VLOOKUP(A1634,'[1]MC Masterlist 2026-09-12'!$B:$M, 6, 0),"")</f>
        <v>56426</v>
      </c>
      <c r="I1634" s="46">
        <v>0</v>
      </c>
      <c r="J1634" s="46">
        <v>0</v>
      </c>
      <c r="K1634" s="46">
        <v>0</v>
      </c>
      <c r="L1634" s="46">
        <f t="shared" si="375"/>
        <v>0</v>
      </c>
      <c r="M1634" s="46">
        <f t="shared" si="376"/>
        <v>0</v>
      </c>
      <c r="N1634" s="45">
        <f t="shared" si="377"/>
        <v>0</v>
      </c>
      <c r="O1634" s="45">
        <f t="shared" si="378"/>
        <v>0</v>
      </c>
      <c r="P1634" s="46">
        <f t="shared" si="379"/>
        <v>0</v>
      </c>
      <c r="Q1634" s="46">
        <v>2</v>
      </c>
      <c r="R1634" s="45">
        <f t="shared" si="380"/>
        <v>112852</v>
      </c>
      <c r="S1634" s="46">
        <f t="shared" si="381"/>
        <v>0</v>
      </c>
      <c r="T1634" s="46">
        <f>IFERROR(VLOOKUP(A1634,'[1]Re-order'!$A:$Q,17,0),"")</f>
        <v>139.56521739130434</v>
      </c>
      <c r="U1634" s="46">
        <f>IFERROR(VLOOKUP(A1634,'[1]MC Masterlist 2026-09-12'!$B:$M, 10, 0),0)</f>
        <v>15</v>
      </c>
      <c r="V1634" s="46">
        <f>IFERROR(VLOOKUP(A1634,'[1]MC Masterlist 2026-09-12'!$B:$M, 11, 0),0)</f>
        <v>15</v>
      </c>
      <c r="W1634" s="46">
        <f t="shared" si="382"/>
        <v>30</v>
      </c>
      <c r="X1634" s="46">
        <f t="shared" si="383"/>
        <v>30</v>
      </c>
      <c r="Y1634" s="46">
        <f>IFERROR(IF(OR(C1634="AREA I",C1634="AREA V"),7,VLOOKUP(A1634,'[1]MC Masterlist 2026-09-12'!$B:$M, 12, 0)),0)</f>
        <v>30</v>
      </c>
      <c r="Z1634" s="46">
        <f t="shared" si="384"/>
        <v>0</v>
      </c>
      <c r="AA1634" s="46">
        <f t="shared" si="385"/>
        <v>0</v>
      </c>
      <c r="AB1634" s="46">
        <f t="shared" si="386"/>
        <v>0</v>
      </c>
      <c r="AC1634" s="46">
        <f t="shared" si="387"/>
        <v>0</v>
      </c>
      <c r="AD1634" s="44" t="str">
        <f t="shared" si="388"/>
        <v>Over</v>
      </c>
      <c r="AE1634" s="44" t="str">
        <f>IFERROR(VLOOKUP(A1634,'[1]Re-order'!$A:$AA,27,0),"")</f>
        <v>Over</v>
      </c>
      <c r="AF1634" s="46">
        <f t="shared" si="389"/>
        <v>-2</v>
      </c>
      <c r="AG1634" s="46">
        <f>SUMIFS('[1]Raw Inventory'!D:D,'[1]Raw Inventory'!C:C,"GREATWALL",'[1]Raw Inventory'!B:B,A1634)</f>
        <v>45</v>
      </c>
      <c r="AH1634" s="46">
        <f>SUMIFS('[1]Raw Inventory'!D:D,'[1]Raw Inventory'!C:C,"DUARTE",'[1]Raw Inventory'!B:B,A1634)</f>
        <v>0</v>
      </c>
      <c r="AI1634" s="46"/>
      <c r="AJ1634" s="46"/>
      <c r="AK1634" s="43"/>
      <c r="AL1634" s="43"/>
      <c r="AM1634" s="43"/>
      <c r="AN1634" s="43"/>
      <c r="AO1634" s="43"/>
      <c r="AP1634" s="43"/>
      <c r="AQ1634" s="43"/>
      <c r="AR1634" s="43"/>
      <c r="AS1634" s="43"/>
      <c r="AT1634" s="43"/>
    </row>
    <row r="1635" spans="1:46">
      <c r="A1635" s="43" t="s">
        <v>18</v>
      </c>
      <c r="B1635" s="43" t="s">
        <v>119</v>
      </c>
      <c r="C1635" s="43" t="s">
        <v>118</v>
      </c>
      <c r="D1635" s="44" t="s">
        <v>240</v>
      </c>
      <c r="E1635" s="44">
        <v>14</v>
      </c>
      <c r="F1635" s="44" t="s">
        <v>2</v>
      </c>
      <c r="G1635" s="43" t="str">
        <f>IFERROR(VLOOKUP(A1635,'[1]MC Masterlist 2026-09-12'!$B:$M, 3, 0),"")</f>
        <v>HONDA</v>
      </c>
      <c r="H1635" s="45">
        <f>IFERROR(VLOOKUP(A1635,'[1]MC Masterlist 2026-09-12'!$B:$M, 6, 0),"")</f>
        <v>94330</v>
      </c>
      <c r="I1635" s="46">
        <v>1</v>
      </c>
      <c r="J1635" s="46">
        <v>2</v>
      </c>
      <c r="K1635" s="46">
        <v>1</v>
      </c>
      <c r="L1635" s="46">
        <f t="shared" si="375"/>
        <v>4</v>
      </c>
      <c r="M1635" s="46">
        <f t="shared" si="376"/>
        <v>1.3333333333333333</v>
      </c>
      <c r="N1635" s="45">
        <f t="shared" si="377"/>
        <v>377320</v>
      </c>
      <c r="O1635" s="45">
        <f t="shared" si="378"/>
        <v>125773.33333333333</v>
      </c>
      <c r="P1635" s="46">
        <f t="shared" si="379"/>
        <v>4.4444444444444439E-2</v>
      </c>
      <c r="Q1635" s="46">
        <v>2</v>
      </c>
      <c r="R1635" s="45">
        <f t="shared" si="380"/>
        <v>188660</v>
      </c>
      <c r="S1635" s="46">
        <f t="shared" si="381"/>
        <v>45</v>
      </c>
      <c r="T1635" s="46">
        <f>IFERROR(VLOOKUP(A1635,'[1]Re-order'!$A:$Q,17,0),"")</f>
        <v>113.9644970414201</v>
      </c>
      <c r="U1635" s="46">
        <f>IFERROR(VLOOKUP(A1635,'[1]MC Masterlist 2026-09-12'!$B:$M, 10, 0),0)</f>
        <v>15</v>
      </c>
      <c r="V1635" s="46">
        <f>IFERROR(VLOOKUP(A1635,'[1]MC Masterlist 2026-09-12'!$B:$M, 11, 0),0)</f>
        <v>15</v>
      </c>
      <c r="W1635" s="46">
        <f t="shared" si="382"/>
        <v>30</v>
      </c>
      <c r="X1635" s="46">
        <f t="shared" si="383"/>
        <v>29.333333333333332</v>
      </c>
      <c r="Y1635" s="46">
        <f>IFERROR(IF(OR(C1635="AREA I",C1635="AREA V"),7,VLOOKUP(A1635,'[1]MC Masterlist 2026-09-12'!$B:$M, 12, 0)),0)</f>
        <v>30</v>
      </c>
      <c r="Z1635" s="46">
        <f t="shared" si="384"/>
        <v>0.66666666666666663</v>
      </c>
      <c r="AA1635" s="46">
        <f t="shared" si="385"/>
        <v>1.3333333333333333</v>
      </c>
      <c r="AB1635" s="46">
        <f t="shared" si="386"/>
        <v>1.3037037037037036</v>
      </c>
      <c r="AC1635" s="46">
        <f t="shared" si="387"/>
        <v>1.3333333333333333</v>
      </c>
      <c r="AD1635" s="44" t="str">
        <f t="shared" si="388"/>
        <v>Over</v>
      </c>
      <c r="AE1635" s="44" t="str">
        <f>IFERROR(VLOOKUP(A1635,'[1]Re-order'!$A:$AA,27,0),"")</f>
        <v>Over</v>
      </c>
      <c r="AF1635" s="46">
        <f t="shared" si="389"/>
        <v>-0.66666666666666674</v>
      </c>
      <c r="AG1635" s="46">
        <f>SUMIFS('[1]Raw Inventory'!D:D,'[1]Raw Inventory'!C:C,"GREATWALL",'[1]Raw Inventory'!B:B,A1635)</f>
        <v>88</v>
      </c>
      <c r="AH1635" s="46">
        <f>SUMIFS('[1]Raw Inventory'!D:D,'[1]Raw Inventory'!C:C,"DUARTE",'[1]Raw Inventory'!B:B,A1635)</f>
        <v>0</v>
      </c>
      <c r="AI1635" s="46"/>
      <c r="AJ1635" s="46"/>
      <c r="AK1635" s="43"/>
      <c r="AL1635" s="43"/>
      <c r="AM1635" s="43"/>
      <c r="AN1635" s="43"/>
      <c r="AO1635" s="43"/>
      <c r="AP1635" s="43"/>
      <c r="AQ1635" s="43"/>
      <c r="AR1635" s="43"/>
      <c r="AS1635" s="43"/>
      <c r="AT1635" s="43"/>
    </row>
    <row r="1636" spans="1:46">
      <c r="A1636" s="43" t="s">
        <v>41</v>
      </c>
      <c r="B1636" s="43" t="s">
        <v>158</v>
      </c>
      <c r="C1636" s="43" t="s">
        <v>152</v>
      </c>
      <c r="D1636" s="44" t="s">
        <v>226</v>
      </c>
      <c r="E1636" s="44">
        <v>25</v>
      </c>
      <c r="F1636" s="44" t="s">
        <v>3</v>
      </c>
      <c r="G1636" s="43" t="str">
        <f>IFERROR(VLOOKUP(A1636,'[1]MC Masterlist 2026-09-12'!$B:$M, 3, 0),"")</f>
        <v>YAMAHA</v>
      </c>
      <c r="H1636" s="45">
        <f>IFERROR(VLOOKUP(A1636,'[1]MC Masterlist 2026-09-12'!$B:$M, 6, 0),"")</f>
        <v>92907</v>
      </c>
      <c r="I1636" s="46">
        <v>0</v>
      </c>
      <c r="J1636" s="46">
        <v>0</v>
      </c>
      <c r="K1636" s="46">
        <v>0</v>
      </c>
      <c r="L1636" s="46">
        <f t="shared" si="375"/>
        <v>0</v>
      </c>
      <c r="M1636" s="46">
        <f t="shared" si="376"/>
        <v>0</v>
      </c>
      <c r="N1636" s="45">
        <f t="shared" si="377"/>
        <v>0</v>
      </c>
      <c r="O1636" s="45">
        <f t="shared" si="378"/>
        <v>0</v>
      </c>
      <c r="P1636" s="46">
        <f t="shared" si="379"/>
        <v>0</v>
      </c>
      <c r="Q1636" s="46">
        <v>1</v>
      </c>
      <c r="R1636" s="45">
        <f t="shared" si="380"/>
        <v>92907</v>
      </c>
      <c r="S1636" s="46">
        <f t="shared" si="381"/>
        <v>0</v>
      </c>
      <c r="T1636" s="46">
        <f>IFERROR(VLOOKUP(A1636,'[1]Re-order'!$A:$Q,17,0),"")</f>
        <v>240</v>
      </c>
      <c r="U1636" s="46">
        <f>IFERROR(VLOOKUP(A1636,'[1]MC Masterlist 2026-09-12'!$B:$M, 10, 0),0)</f>
        <v>15</v>
      </c>
      <c r="V1636" s="46">
        <f>IFERROR(VLOOKUP(A1636,'[1]MC Masterlist 2026-09-12'!$B:$M, 11, 0),0)</f>
        <v>15</v>
      </c>
      <c r="W1636" s="46">
        <f t="shared" si="382"/>
        <v>30</v>
      </c>
      <c r="X1636" s="46">
        <f t="shared" si="383"/>
        <v>30</v>
      </c>
      <c r="Y1636" s="46">
        <f>IFERROR(IF(OR(C1636="AREA I",C1636="AREA V"),7,VLOOKUP(A1636,'[1]MC Masterlist 2026-09-12'!$B:$M, 12, 0)),0)</f>
        <v>30</v>
      </c>
      <c r="Z1636" s="46">
        <f t="shared" si="384"/>
        <v>0</v>
      </c>
      <c r="AA1636" s="46">
        <f t="shared" si="385"/>
        <v>0</v>
      </c>
      <c r="AB1636" s="46">
        <f t="shared" si="386"/>
        <v>0</v>
      </c>
      <c r="AC1636" s="46">
        <f t="shared" si="387"/>
        <v>0</v>
      </c>
      <c r="AD1636" s="44" t="str">
        <f t="shared" si="388"/>
        <v>Over</v>
      </c>
      <c r="AE1636" s="44" t="str">
        <f>IFERROR(VLOOKUP(A1636,'[1]Re-order'!$A:$AA,27,0),"")</f>
        <v>Over</v>
      </c>
      <c r="AF1636" s="46">
        <f t="shared" si="389"/>
        <v>-1</v>
      </c>
      <c r="AG1636" s="46">
        <f>SUMIFS('[1]Raw Inventory'!D:D,'[1]Raw Inventory'!C:C,"GREATWALL",'[1]Raw Inventory'!B:B,A1636)</f>
        <v>2</v>
      </c>
      <c r="AH1636" s="46">
        <f>SUMIFS('[1]Raw Inventory'!D:D,'[1]Raw Inventory'!C:C,"DUARTE",'[1]Raw Inventory'!B:B,A1636)</f>
        <v>0</v>
      </c>
      <c r="AI1636" s="46"/>
      <c r="AJ1636" s="46"/>
      <c r="AK1636" s="43"/>
      <c r="AL1636" s="43"/>
      <c r="AM1636" s="43"/>
      <c r="AN1636" s="43"/>
      <c r="AO1636" s="43"/>
      <c r="AP1636" s="43"/>
      <c r="AQ1636" s="43"/>
      <c r="AR1636" s="43"/>
      <c r="AS1636" s="43"/>
      <c r="AT1636" s="43"/>
    </row>
    <row r="1637" spans="1:46">
      <c r="A1637" s="43" t="s">
        <v>39</v>
      </c>
      <c r="B1637" s="43" t="s">
        <v>121</v>
      </c>
      <c r="C1637" s="43" t="s">
        <v>118</v>
      </c>
      <c r="D1637" s="44" t="s">
        <v>261</v>
      </c>
      <c r="E1637" s="44">
        <v>18</v>
      </c>
      <c r="F1637" s="44" t="s">
        <v>2</v>
      </c>
      <c r="G1637" s="43" t="str">
        <f>IFERROR(VLOOKUP(A1637,'[1]MC Masterlist 2026-09-12'!$B:$M, 3, 0),"")</f>
        <v>HONDA</v>
      </c>
      <c r="H1637" s="45">
        <f>IFERROR(VLOOKUP(A1637,'[1]MC Masterlist 2026-09-12'!$B:$M, 6, 0),"")</f>
        <v>72434</v>
      </c>
      <c r="I1637" s="46">
        <v>0</v>
      </c>
      <c r="J1637" s="46">
        <v>0</v>
      </c>
      <c r="K1637" s="46">
        <v>2</v>
      </c>
      <c r="L1637" s="46">
        <f t="shared" si="375"/>
        <v>2</v>
      </c>
      <c r="M1637" s="46">
        <f t="shared" si="376"/>
        <v>0.66666666666666663</v>
      </c>
      <c r="N1637" s="45">
        <f t="shared" si="377"/>
        <v>144868</v>
      </c>
      <c r="O1637" s="45">
        <f t="shared" si="378"/>
        <v>48289.333333333328</v>
      </c>
      <c r="P1637" s="46">
        <f t="shared" si="379"/>
        <v>2.222222222222222E-2</v>
      </c>
      <c r="Q1637" s="46"/>
      <c r="R1637" s="45">
        <f t="shared" si="380"/>
        <v>0</v>
      </c>
      <c r="S1637" s="46">
        <f t="shared" si="381"/>
        <v>0</v>
      </c>
      <c r="T1637" s="46">
        <f>IFERROR(VLOOKUP(A1637,'[1]Re-order'!$A:$Q,17,0),"")</f>
        <v>40.982142857142854</v>
      </c>
      <c r="U1637" s="46">
        <f>IFERROR(VLOOKUP(A1637,'[1]MC Masterlist 2026-09-12'!$B:$M, 10, 0),0)</f>
        <v>15</v>
      </c>
      <c r="V1637" s="46">
        <f>IFERROR(VLOOKUP(A1637,'[1]MC Masterlist 2026-09-12'!$B:$M, 11, 0),0)</f>
        <v>15</v>
      </c>
      <c r="W1637" s="46">
        <f t="shared" si="382"/>
        <v>30</v>
      </c>
      <c r="X1637" s="46">
        <f t="shared" si="383"/>
        <v>29.666666666666668</v>
      </c>
      <c r="Y1637" s="46">
        <f>IFERROR(IF(OR(C1637="AREA I",C1637="AREA V"),7,VLOOKUP(A1637,'[1]MC Masterlist 2026-09-12'!$B:$M, 12, 0)),0)</f>
        <v>30</v>
      </c>
      <c r="Z1637" s="46">
        <f t="shared" si="384"/>
        <v>0.33333333333333331</v>
      </c>
      <c r="AA1637" s="46">
        <f t="shared" si="385"/>
        <v>0.66666666666666663</v>
      </c>
      <c r="AB1637" s="46">
        <f t="shared" si="386"/>
        <v>0.65925925925925921</v>
      </c>
      <c r="AC1637" s="46">
        <f t="shared" si="387"/>
        <v>0.66666666666666663</v>
      </c>
      <c r="AD1637" s="44" t="str">
        <f t="shared" si="388"/>
        <v>Stockout</v>
      </c>
      <c r="AE1637" s="44" t="str">
        <f>IFERROR(VLOOKUP(A1637,'[1]Re-order'!$A:$AA,27,0),"")</f>
        <v>Re-order</v>
      </c>
      <c r="AF1637" s="46">
        <f t="shared" si="389"/>
        <v>0.66666666666666663</v>
      </c>
      <c r="AG1637" s="46">
        <f>SUMIFS('[1]Raw Inventory'!D:D,'[1]Raw Inventory'!C:C,"GREATWALL",'[1]Raw Inventory'!B:B,A1637)</f>
        <v>16</v>
      </c>
      <c r="AH1637" s="46">
        <f>SUMIFS('[1]Raw Inventory'!D:D,'[1]Raw Inventory'!C:C,"DUARTE",'[1]Raw Inventory'!B:B,A1637)</f>
        <v>0</v>
      </c>
      <c r="AI1637" s="46"/>
      <c r="AJ1637" s="46"/>
      <c r="AK1637" s="43"/>
      <c r="AL1637" s="43"/>
      <c r="AM1637" s="43"/>
      <c r="AN1637" s="43"/>
      <c r="AO1637" s="43"/>
      <c r="AP1637" s="43"/>
      <c r="AQ1637" s="43"/>
      <c r="AR1637" s="43"/>
      <c r="AS1637" s="43"/>
      <c r="AT1637" s="43"/>
    </row>
    <row r="1638" spans="1:46">
      <c r="A1638" s="43" t="s">
        <v>17</v>
      </c>
      <c r="B1638" s="43" t="s">
        <v>156</v>
      </c>
      <c r="C1638" s="43" t="s">
        <v>152</v>
      </c>
      <c r="D1638" s="44" t="s">
        <v>252</v>
      </c>
      <c r="E1638" s="44">
        <v>15</v>
      </c>
      <c r="F1638" s="44" t="s">
        <v>2</v>
      </c>
      <c r="G1638" s="43" t="str">
        <f>IFERROR(VLOOKUP(A1638,'[1]MC Masterlist 2026-09-12'!$B:$M, 3, 0),"")</f>
        <v>HONDA</v>
      </c>
      <c r="H1638" s="45">
        <f>IFERROR(VLOOKUP(A1638,'[1]MC Masterlist 2026-09-12'!$B:$M, 6, 0),"")</f>
        <v>140790</v>
      </c>
      <c r="I1638" s="46">
        <v>1</v>
      </c>
      <c r="J1638" s="46">
        <v>0</v>
      </c>
      <c r="K1638" s="46">
        <v>0</v>
      </c>
      <c r="L1638" s="46">
        <f t="shared" si="375"/>
        <v>1</v>
      </c>
      <c r="M1638" s="46">
        <f t="shared" si="376"/>
        <v>0.33333333333333331</v>
      </c>
      <c r="N1638" s="45">
        <f t="shared" si="377"/>
        <v>140790</v>
      </c>
      <c r="O1638" s="45">
        <f t="shared" si="378"/>
        <v>46930</v>
      </c>
      <c r="P1638" s="46">
        <f t="shared" si="379"/>
        <v>1.111111111111111E-2</v>
      </c>
      <c r="Q1638" s="46">
        <v>4</v>
      </c>
      <c r="R1638" s="45">
        <f t="shared" si="380"/>
        <v>563160</v>
      </c>
      <c r="S1638" s="46">
        <f t="shared" si="381"/>
        <v>360</v>
      </c>
      <c r="T1638" s="46">
        <f>IFERROR(VLOOKUP(A1638,'[1]Re-order'!$A:$Q,17,0),"")</f>
        <v>43.663366336633665</v>
      </c>
      <c r="U1638" s="46">
        <f>IFERROR(VLOOKUP(A1638,'[1]MC Masterlist 2026-09-12'!$B:$M, 10, 0),0)</f>
        <v>15</v>
      </c>
      <c r="V1638" s="46">
        <f>IFERROR(VLOOKUP(A1638,'[1]MC Masterlist 2026-09-12'!$B:$M, 11, 0),0)</f>
        <v>15</v>
      </c>
      <c r="W1638" s="46">
        <f t="shared" si="382"/>
        <v>30</v>
      </c>
      <c r="X1638" s="46">
        <f t="shared" si="383"/>
        <v>29.833333333333332</v>
      </c>
      <c r="Y1638" s="46">
        <f>IFERROR(IF(OR(C1638="AREA I",C1638="AREA V"),7,VLOOKUP(A1638,'[1]MC Masterlist 2026-09-12'!$B:$M, 12, 0)),0)</f>
        <v>30</v>
      </c>
      <c r="Z1638" s="46">
        <f t="shared" si="384"/>
        <v>0.16666666666666666</v>
      </c>
      <c r="AA1638" s="46">
        <f t="shared" si="385"/>
        <v>0.33333333333333331</v>
      </c>
      <c r="AB1638" s="46">
        <f t="shared" si="386"/>
        <v>0.33148148148148143</v>
      </c>
      <c r="AC1638" s="46">
        <f t="shared" si="387"/>
        <v>0.33333333333333331</v>
      </c>
      <c r="AD1638" s="44" t="str">
        <f t="shared" si="388"/>
        <v>Over</v>
      </c>
      <c r="AE1638" s="44" t="str">
        <f>IFERROR(VLOOKUP(A1638,'[1]Re-order'!$A:$AA,27,0),"")</f>
        <v>Re-order</v>
      </c>
      <c r="AF1638" s="46">
        <f t="shared" si="389"/>
        <v>-3.6666666666666665</v>
      </c>
      <c r="AG1638" s="46">
        <f>SUMIFS('[1]Raw Inventory'!D:D,'[1]Raw Inventory'!C:C,"GREATWALL",'[1]Raw Inventory'!B:B,A1638)</f>
        <v>12</v>
      </c>
      <c r="AH1638" s="46">
        <f>SUMIFS('[1]Raw Inventory'!D:D,'[1]Raw Inventory'!C:C,"DUARTE",'[1]Raw Inventory'!B:B,A1638)</f>
        <v>0</v>
      </c>
      <c r="AI1638" s="46"/>
      <c r="AJ1638" s="46"/>
      <c r="AK1638" s="43"/>
      <c r="AL1638" s="43"/>
      <c r="AM1638" s="43"/>
      <c r="AN1638" s="43"/>
      <c r="AO1638" s="43"/>
      <c r="AP1638" s="43"/>
      <c r="AQ1638" s="43"/>
      <c r="AR1638" s="43"/>
      <c r="AS1638" s="43"/>
      <c r="AT1638" s="43"/>
    </row>
    <row r="1639" spans="1:46">
      <c r="A1639" s="43" t="s">
        <v>69</v>
      </c>
      <c r="B1639" s="43" t="s">
        <v>162</v>
      </c>
      <c r="C1639" s="43" t="s">
        <v>159</v>
      </c>
      <c r="D1639" s="44" t="s">
        <v>237</v>
      </c>
      <c r="E1639" s="44">
        <v>25</v>
      </c>
      <c r="F1639" s="44" t="s">
        <v>3</v>
      </c>
      <c r="G1639" s="43" t="str">
        <f>IFERROR(VLOOKUP(A1639,'[1]MC Masterlist 2026-09-12'!$B:$M, 3, 0),"")</f>
        <v>YAMAHA</v>
      </c>
      <c r="H1639" s="45">
        <f>IFERROR(VLOOKUP(A1639,'[1]MC Masterlist 2026-09-12'!$B:$M, 6, 0),"")</f>
        <v>54426</v>
      </c>
      <c r="I1639" s="46">
        <v>1</v>
      </c>
      <c r="J1639" s="46">
        <v>0</v>
      </c>
      <c r="K1639" s="46">
        <v>0</v>
      </c>
      <c r="L1639" s="46">
        <f t="shared" si="375"/>
        <v>1</v>
      </c>
      <c r="M1639" s="46">
        <f t="shared" si="376"/>
        <v>0.33333333333333331</v>
      </c>
      <c r="N1639" s="45">
        <f t="shared" si="377"/>
        <v>54426</v>
      </c>
      <c r="O1639" s="45">
        <f t="shared" si="378"/>
        <v>18142</v>
      </c>
      <c r="P1639" s="46">
        <f t="shared" si="379"/>
        <v>1.111111111111111E-2</v>
      </c>
      <c r="Q1639" s="46">
        <v>1</v>
      </c>
      <c r="R1639" s="45">
        <f t="shared" si="380"/>
        <v>54426</v>
      </c>
      <c r="S1639" s="46">
        <f t="shared" si="381"/>
        <v>90</v>
      </c>
      <c r="T1639" s="46">
        <f>IFERROR(VLOOKUP(A1639,'[1]Re-order'!$A:$Q,17,0),"")</f>
        <v>62.307692307692314</v>
      </c>
      <c r="U1639" s="46">
        <f>IFERROR(VLOOKUP(A1639,'[1]MC Masterlist 2026-09-12'!$B:$M, 10, 0),0)</f>
        <v>15</v>
      </c>
      <c r="V1639" s="46">
        <f>IFERROR(VLOOKUP(A1639,'[1]MC Masterlist 2026-09-12'!$B:$M, 11, 0),0)</f>
        <v>15</v>
      </c>
      <c r="W1639" s="46">
        <f t="shared" si="382"/>
        <v>30</v>
      </c>
      <c r="X1639" s="46">
        <f t="shared" si="383"/>
        <v>29.833333333333332</v>
      </c>
      <c r="Y1639" s="46">
        <f>IFERROR(IF(OR(C1639="AREA I",C1639="AREA V"),7,VLOOKUP(A1639,'[1]MC Masterlist 2026-09-12'!$B:$M, 12, 0)),0)</f>
        <v>30</v>
      </c>
      <c r="Z1639" s="46">
        <f t="shared" si="384"/>
        <v>0.16666666666666666</v>
      </c>
      <c r="AA1639" s="46">
        <f t="shared" si="385"/>
        <v>0.33333333333333331</v>
      </c>
      <c r="AB1639" s="46">
        <f t="shared" si="386"/>
        <v>0.33148148148148143</v>
      </c>
      <c r="AC1639" s="46">
        <f t="shared" si="387"/>
        <v>0.33333333333333331</v>
      </c>
      <c r="AD1639" s="44" t="str">
        <f t="shared" si="388"/>
        <v>Over</v>
      </c>
      <c r="AE1639" s="44" t="str">
        <f>IFERROR(VLOOKUP(A1639,'[1]Re-order'!$A:$AA,27,0),"")</f>
        <v>Re-order</v>
      </c>
      <c r="AF1639" s="46">
        <f t="shared" si="389"/>
        <v>-0.66666666666666674</v>
      </c>
      <c r="AG1639" s="46">
        <f>SUMIFS('[1]Raw Inventory'!D:D,'[1]Raw Inventory'!C:C,"GREATWALL",'[1]Raw Inventory'!B:B,A1639)</f>
        <v>1</v>
      </c>
      <c r="AH1639" s="46">
        <f>SUMIFS('[1]Raw Inventory'!D:D,'[1]Raw Inventory'!C:C,"DUARTE",'[1]Raw Inventory'!B:B,A1639)</f>
        <v>0</v>
      </c>
      <c r="AI1639" s="46"/>
      <c r="AJ1639" s="46"/>
      <c r="AK1639" s="43"/>
      <c r="AL1639" s="43"/>
      <c r="AM1639" s="43"/>
      <c r="AN1639" s="43"/>
      <c r="AO1639" s="43"/>
      <c r="AP1639" s="43"/>
      <c r="AQ1639" s="43"/>
      <c r="AR1639" s="43"/>
      <c r="AS1639" s="43"/>
      <c r="AT1639" s="43"/>
    </row>
    <row r="1640" spans="1:46">
      <c r="A1640" s="43" t="s">
        <v>39</v>
      </c>
      <c r="B1640" s="43" t="s">
        <v>140</v>
      </c>
      <c r="C1640" s="43" t="s">
        <v>137</v>
      </c>
      <c r="D1640" s="44" t="s">
        <v>223</v>
      </c>
      <c r="E1640" s="44">
        <v>12</v>
      </c>
      <c r="F1640" s="44" t="s">
        <v>3</v>
      </c>
      <c r="G1640" s="43" t="str">
        <f>IFERROR(VLOOKUP(A1640,'[1]MC Masterlist 2026-09-12'!$B:$M, 3, 0),"")</f>
        <v>HONDA</v>
      </c>
      <c r="H1640" s="45">
        <f>IFERROR(VLOOKUP(A1640,'[1]MC Masterlist 2026-09-12'!$B:$M, 6, 0),"")</f>
        <v>72434</v>
      </c>
      <c r="I1640" s="46">
        <v>0</v>
      </c>
      <c r="J1640" s="46">
        <v>2</v>
      </c>
      <c r="K1640" s="46">
        <v>0</v>
      </c>
      <c r="L1640" s="46">
        <f t="shared" si="375"/>
        <v>2</v>
      </c>
      <c r="M1640" s="46">
        <f t="shared" si="376"/>
        <v>0.66666666666666663</v>
      </c>
      <c r="N1640" s="45">
        <f t="shared" si="377"/>
        <v>144868</v>
      </c>
      <c r="O1640" s="45">
        <f t="shared" si="378"/>
        <v>48289.333333333328</v>
      </c>
      <c r="P1640" s="46">
        <f t="shared" si="379"/>
        <v>2.222222222222222E-2</v>
      </c>
      <c r="Q1640" s="46">
        <v>1</v>
      </c>
      <c r="R1640" s="45">
        <f t="shared" si="380"/>
        <v>72434</v>
      </c>
      <c r="S1640" s="46">
        <f t="shared" si="381"/>
        <v>45.000000000000007</v>
      </c>
      <c r="T1640" s="46">
        <f>IFERROR(VLOOKUP(A1640,'[1]Re-order'!$A:$Q,17,0),"")</f>
        <v>40.982142857142854</v>
      </c>
      <c r="U1640" s="46">
        <f>IFERROR(VLOOKUP(A1640,'[1]MC Masterlist 2026-09-12'!$B:$M, 10, 0),0)</f>
        <v>15</v>
      </c>
      <c r="V1640" s="46">
        <f>IFERROR(VLOOKUP(A1640,'[1]MC Masterlist 2026-09-12'!$B:$M, 11, 0),0)</f>
        <v>15</v>
      </c>
      <c r="W1640" s="46">
        <f t="shared" si="382"/>
        <v>30</v>
      </c>
      <c r="X1640" s="46">
        <f t="shared" si="383"/>
        <v>6.666666666666667</v>
      </c>
      <c r="Y1640" s="46">
        <f>IFERROR(IF(OR(C1640="AREA I",C1640="AREA V"),7,VLOOKUP(A1640,'[1]MC Masterlist 2026-09-12'!$B:$M, 12, 0)),0)</f>
        <v>7</v>
      </c>
      <c r="Z1640" s="46">
        <f t="shared" si="384"/>
        <v>0.33333333333333331</v>
      </c>
      <c r="AA1640" s="46">
        <f t="shared" si="385"/>
        <v>0.66666666666666663</v>
      </c>
      <c r="AB1640" s="46">
        <f t="shared" si="386"/>
        <v>0.14814814814814814</v>
      </c>
      <c r="AC1640" s="46">
        <f t="shared" si="387"/>
        <v>0.15555555555555553</v>
      </c>
      <c r="AD1640" s="44" t="str">
        <f t="shared" si="388"/>
        <v>Over</v>
      </c>
      <c r="AE1640" s="44" t="str">
        <f>IFERROR(VLOOKUP(A1640,'[1]Re-order'!$A:$AA,27,0),"")</f>
        <v>Re-order</v>
      </c>
      <c r="AF1640" s="46">
        <f t="shared" si="389"/>
        <v>-0.84444444444444444</v>
      </c>
      <c r="AG1640" s="46">
        <f>SUMIFS('[1]Raw Inventory'!D:D,'[1]Raw Inventory'!C:C,"GREATWALL",'[1]Raw Inventory'!B:B,A1640)</f>
        <v>16</v>
      </c>
      <c r="AH1640" s="46">
        <f>SUMIFS('[1]Raw Inventory'!D:D,'[1]Raw Inventory'!C:C,"DUARTE",'[1]Raw Inventory'!B:B,A1640)</f>
        <v>0</v>
      </c>
      <c r="AI1640" s="46"/>
      <c r="AJ1640" s="46"/>
      <c r="AK1640" s="43"/>
      <c r="AL1640" s="43"/>
      <c r="AM1640" s="43"/>
      <c r="AN1640" s="43"/>
      <c r="AO1640" s="43"/>
      <c r="AP1640" s="43"/>
      <c r="AQ1640" s="43"/>
      <c r="AR1640" s="43"/>
      <c r="AS1640" s="43"/>
      <c r="AT1640" s="43"/>
    </row>
    <row r="1641" spans="1:46">
      <c r="A1641" s="43" t="s">
        <v>31</v>
      </c>
      <c r="B1641" s="43" t="s">
        <v>141</v>
      </c>
      <c r="C1641" s="43" t="s">
        <v>137</v>
      </c>
      <c r="D1641" s="44" t="s">
        <v>243</v>
      </c>
      <c r="E1641" s="44">
        <v>18</v>
      </c>
      <c r="F1641" s="44" t="s">
        <v>2</v>
      </c>
      <c r="G1641" s="43" t="str">
        <f>IFERROR(VLOOKUP(A1641,'[1]MC Masterlist 2026-09-12'!$B:$M, 3, 0),"")</f>
        <v>KAWASAKI</v>
      </c>
      <c r="H1641" s="45">
        <f>IFERROR(VLOOKUP(A1641,'[1]MC Masterlist 2026-09-12'!$B:$M, 6, 0),"")</f>
        <v>59528</v>
      </c>
      <c r="I1641" s="46">
        <v>0</v>
      </c>
      <c r="J1641" s="46">
        <v>3</v>
      </c>
      <c r="K1641" s="46">
        <v>0</v>
      </c>
      <c r="L1641" s="46">
        <f t="shared" si="375"/>
        <v>3</v>
      </c>
      <c r="M1641" s="46">
        <f t="shared" si="376"/>
        <v>1</v>
      </c>
      <c r="N1641" s="45">
        <f t="shared" si="377"/>
        <v>178584</v>
      </c>
      <c r="O1641" s="45">
        <f t="shared" si="378"/>
        <v>59528</v>
      </c>
      <c r="P1641" s="46">
        <f t="shared" si="379"/>
        <v>3.3333333333333333E-2</v>
      </c>
      <c r="Q1641" s="46">
        <v>0</v>
      </c>
      <c r="R1641" s="45">
        <f t="shared" si="380"/>
        <v>0</v>
      </c>
      <c r="S1641" s="46">
        <f t="shared" si="381"/>
        <v>0</v>
      </c>
      <c r="T1641" s="46">
        <f>IFERROR(VLOOKUP(A1641,'[1]Re-order'!$A:$Q,17,0),"")</f>
        <v>95.869565217391298</v>
      </c>
      <c r="U1641" s="46">
        <f>IFERROR(VLOOKUP(A1641,'[1]MC Masterlist 2026-09-12'!$B:$M, 10, 0),0)</f>
        <v>15</v>
      </c>
      <c r="V1641" s="46">
        <f>IFERROR(VLOOKUP(A1641,'[1]MC Masterlist 2026-09-12'!$B:$M, 11, 0),0)</f>
        <v>15</v>
      </c>
      <c r="W1641" s="46">
        <f t="shared" si="382"/>
        <v>30</v>
      </c>
      <c r="X1641" s="46">
        <f t="shared" si="383"/>
        <v>6.5</v>
      </c>
      <c r="Y1641" s="46">
        <f>IFERROR(IF(OR(C1641="AREA I",C1641="AREA V"),7,VLOOKUP(A1641,'[1]MC Masterlist 2026-09-12'!$B:$M, 12, 0)),0)</f>
        <v>7</v>
      </c>
      <c r="Z1641" s="46">
        <f t="shared" si="384"/>
        <v>0.5</v>
      </c>
      <c r="AA1641" s="46">
        <f t="shared" si="385"/>
        <v>1</v>
      </c>
      <c r="AB1641" s="46">
        <f t="shared" si="386"/>
        <v>0.21666666666666667</v>
      </c>
      <c r="AC1641" s="46">
        <f t="shared" si="387"/>
        <v>0.23333333333333334</v>
      </c>
      <c r="AD1641" s="44" t="str">
        <f t="shared" si="388"/>
        <v>Stockout</v>
      </c>
      <c r="AE1641" s="44" t="str">
        <f>IFERROR(VLOOKUP(A1641,'[1]Re-order'!$A:$AA,27,0),"")</f>
        <v>Over</v>
      </c>
      <c r="AF1641" s="46">
        <f t="shared" si="389"/>
        <v>0.23333333333333334</v>
      </c>
      <c r="AG1641" s="46">
        <f>SUMIFS('[1]Raw Inventory'!D:D,'[1]Raw Inventory'!C:C,"GREATWALL",'[1]Raw Inventory'!B:B,A1641)</f>
        <v>79</v>
      </c>
      <c r="AH1641" s="46">
        <f>SUMIFS('[1]Raw Inventory'!D:D,'[1]Raw Inventory'!C:C,"DUARTE",'[1]Raw Inventory'!B:B,A1641)</f>
        <v>0</v>
      </c>
      <c r="AI1641" s="46"/>
      <c r="AJ1641" s="46"/>
      <c r="AK1641" s="43"/>
      <c r="AL1641" s="43"/>
      <c r="AM1641" s="43"/>
      <c r="AN1641" s="43"/>
      <c r="AO1641" s="43"/>
      <c r="AP1641" s="43"/>
      <c r="AQ1641" s="43"/>
      <c r="AR1641" s="43"/>
      <c r="AS1641" s="43"/>
      <c r="AT1641" s="43"/>
    </row>
    <row r="1642" spans="1:46">
      <c r="A1642" s="43" t="s">
        <v>22</v>
      </c>
      <c r="B1642" s="43" t="s">
        <v>5</v>
      </c>
      <c r="C1642" s="43" t="s">
        <v>118</v>
      </c>
      <c r="D1642" s="44" t="s">
        <v>268</v>
      </c>
      <c r="E1642" s="44">
        <v>17</v>
      </c>
      <c r="F1642" s="44" t="s">
        <v>3</v>
      </c>
      <c r="G1642" s="43" t="str">
        <f>IFERROR(VLOOKUP(A1642,'[1]MC Masterlist 2026-09-12'!$B:$M, 3, 0),"")</f>
        <v>HONDA</v>
      </c>
      <c r="H1642" s="45">
        <f>IFERROR(VLOOKUP(A1642,'[1]MC Masterlist 2026-09-12'!$B:$M, 6, 0),"")</f>
        <v>111258</v>
      </c>
      <c r="I1642" s="46">
        <v>0</v>
      </c>
      <c r="J1642" s="46">
        <v>1</v>
      </c>
      <c r="K1642" s="46">
        <v>0</v>
      </c>
      <c r="L1642" s="46">
        <f t="shared" si="375"/>
        <v>1</v>
      </c>
      <c r="M1642" s="46">
        <f t="shared" si="376"/>
        <v>0.33333333333333331</v>
      </c>
      <c r="N1642" s="45">
        <f t="shared" si="377"/>
        <v>111258</v>
      </c>
      <c r="O1642" s="45">
        <f t="shared" si="378"/>
        <v>37086</v>
      </c>
      <c r="P1642" s="46">
        <f t="shared" si="379"/>
        <v>1.111111111111111E-2</v>
      </c>
      <c r="Q1642" s="46">
        <v>4</v>
      </c>
      <c r="R1642" s="45">
        <f t="shared" si="380"/>
        <v>445032</v>
      </c>
      <c r="S1642" s="46">
        <f t="shared" si="381"/>
        <v>360</v>
      </c>
      <c r="T1642" s="46">
        <f>IFERROR(VLOOKUP(A1642,'[1]Re-order'!$A:$Q,17,0),"")</f>
        <v>41.339712918660283</v>
      </c>
      <c r="U1642" s="46">
        <f>IFERROR(VLOOKUP(A1642,'[1]MC Masterlist 2026-09-12'!$B:$M, 10, 0),0)</f>
        <v>15</v>
      </c>
      <c r="V1642" s="46">
        <f>IFERROR(VLOOKUP(A1642,'[1]MC Masterlist 2026-09-12'!$B:$M, 11, 0),0)</f>
        <v>15</v>
      </c>
      <c r="W1642" s="46">
        <f t="shared" si="382"/>
        <v>30</v>
      </c>
      <c r="X1642" s="46">
        <f t="shared" si="383"/>
        <v>29.833333333333332</v>
      </c>
      <c r="Y1642" s="46">
        <f>IFERROR(IF(OR(C1642="AREA I",C1642="AREA V"),7,VLOOKUP(A1642,'[1]MC Masterlist 2026-09-12'!$B:$M, 12, 0)),0)</f>
        <v>30</v>
      </c>
      <c r="Z1642" s="46">
        <f t="shared" si="384"/>
        <v>0.16666666666666666</v>
      </c>
      <c r="AA1642" s="46">
        <f t="shared" si="385"/>
        <v>0.33333333333333331</v>
      </c>
      <c r="AB1642" s="46">
        <f t="shared" si="386"/>
        <v>0.33148148148148143</v>
      </c>
      <c r="AC1642" s="46">
        <f t="shared" si="387"/>
        <v>0.33333333333333331</v>
      </c>
      <c r="AD1642" s="44" t="str">
        <f t="shared" si="388"/>
        <v>Over</v>
      </c>
      <c r="AE1642" s="44" t="str">
        <f>IFERROR(VLOOKUP(A1642,'[1]Re-order'!$A:$AA,27,0),"")</f>
        <v>Re-order</v>
      </c>
      <c r="AF1642" s="46">
        <f t="shared" si="389"/>
        <v>-3.6666666666666665</v>
      </c>
      <c r="AG1642" s="46">
        <f>SUMIFS('[1]Raw Inventory'!D:D,'[1]Raw Inventory'!C:C,"GREATWALL",'[1]Raw Inventory'!B:B,A1642)</f>
        <v>4</v>
      </c>
      <c r="AH1642" s="46">
        <f>SUMIFS('[1]Raw Inventory'!D:D,'[1]Raw Inventory'!C:C,"DUARTE",'[1]Raw Inventory'!B:B,A1642)</f>
        <v>0</v>
      </c>
      <c r="AI1642" s="46"/>
      <c r="AJ1642" s="46"/>
      <c r="AK1642" s="43"/>
      <c r="AL1642" s="43"/>
      <c r="AM1642" s="43"/>
      <c r="AN1642" s="43"/>
      <c r="AO1642" s="43"/>
      <c r="AP1642" s="43"/>
      <c r="AQ1642" s="43"/>
      <c r="AR1642" s="43"/>
      <c r="AS1642" s="43"/>
      <c r="AT1642" s="43"/>
    </row>
    <row r="1643" spans="1:46">
      <c r="A1643" s="43" t="s">
        <v>52</v>
      </c>
      <c r="B1643" s="43" t="s">
        <v>113</v>
      </c>
      <c r="C1643" s="43" t="s">
        <v>109</v>
      </c>
      <c r="D1643" s="44" t="s">
        <v>239</v>
      </c>
      <c r="E1643" s="44">
        <v>33</v>
      </c>
      <c r="F1643" s="44" t="s">
        <v>3</v>
      </c>
      <c r="G1643" s="43" t="str">
        <f>IFERROR(VLOOKUP(A1643,'[1]MC Masterlist 2026-09-12'!$B:$M, 3, 0),"")</f>
        <v>YAMAHA</v>
      </c>
      <c r="H1643" s="45">
        <f>IFERROR(VLOOKUP(A1643,'[1]MC Masterlist 2026-09-12'!$B:$M, 6, 0),"")</f>
        <v>85446</v>
      </c>
      <c r="I1643" s="46">
        <v>0</v>
      </c>
      <c r="J1643" s="46">
        <v>0</v>
      </c>
      <c r="K1643" s="46">
        <v>0</v>
      </c>
      <c r="L1643" s="46">
        <f t="shared" si="375"/>
        <v>0</v>
      </c>
      <c r="M1643" s="46">
        <f t="shared" si="376"/>
        <v>0</v>
      </c>
      <c r="N1643" s="45">
        <f t="shared" si="377"/>
        <v>0</v>
      </c>
      <c r="O1643" s="45">
        <f t="shared" si="378"/>
        <v>0</v>
      </c>
      <c r="P1643" s="46">
        <f t="shared" si="379"/>
        <v>0</v>
      </c>
      <c r="Q1643" s="46">
        <v>2</v>
      </c>
      <c r="R1643" s="45">
        <f t="shared" si="380"/>
        <v>170892</v>
      </c>
      <c r="S1643" s="46">
        <f t="shared" si="381"/>
        <v>0</v>
      </c>
      <c r="T1643" s="46">
        <f>IFERROR(VLOOKUP(A1643,'[1]Re-order'!$A:$Q,17,0),"")</f>
        <v>95.454545454545453</v>
      </c>
      <c r="U1643" s="46">
        <f>IFERROR(VLOOKUP(A1643,'[1]MC Masterlist 2026-09-12'!$B:$M, 10, 0),0)</f>
        <v>15</v>
      </c>
      <c r="V1643" s="46">
        <f>IFERROR(VLOOKUP(A1643,'[1]MC Masterlist 2026-09-12'!$B:$M, 11, 0),0)</f>
        <v>15</v>
      </c>
      <c r="W1643" s="46">
        <f t="shared" si="382"/>
        <v>30</v>
      </c>
      <c r="X1643" s="46">
        <f t="shared" si="383"/>
        <v>30</v>
      </c>
      <c r="Y1643" s="46">
        <f>IFERROR(IF(OR(C1643="AREA I",C1643="AREA V"),7,VLOOKUP(A1643,'[1]MC Masterlist 2026-09-12'!$B:$M, 12, 0)),0)</f>
        <v>30</v>
      </c>
      <c r="Z1643" s="46">
        <f t="shared" si="384"/>
        <v>0</v>
      </c>
      <c r="AA1643" s="46">
        <f t="shared" si="385"/>
        <v>0</v>
      </c>
      <c r="AB1643" s="46">
        <f t="shared" si="386"/>
        <v>0</v>
      </c>
      <c r="AC1643" s="46">
        <f t="shared" si="387"/>
        <v>0</v>
      </c>
      <c r="AD1643" s="44" t="str">
        <f t="shared" si="388"/>
        <v>Over</v>
      </c>
      <c r="AE1643" s="44" t="str">
        <f>IFERROR(VLOOKUP(A1643,'[1]Re-order'!$A:$AA,27,0),"")</f>
        <v>Over</v>
      </c>
      <c r="AF1643" s="46">
        <f t="shared" si="389"/>
        <v>-2</v>
      </c>
      <c r="AG1643" s="46">
        <f>SUMIFS('[1]Raw Inventory'!D:D,'[1]Raw Inventory'!C:C,"GREATWALL",'[1]Raw Inventory'!B:B,A1643)</f>
        <v>0</v>
      </c>
      <c r="AH1643" s="46">
        <f>SUMIFS('[1]Raw Inventory'!D:D,'[1]Raw Inventory'!C:C,"DUARTE",'[1]Raw Inventory'!B:B,A1643)</f>
        <v>0</v>
      </c>
      <c r="AI1643" s="46"/>
      <c r="AJ1643" s="46"/>
      <c r="AK1643" s="43"/>
      <c r="AL1643" s="43"/>
      <c r="AM1643" s="43"/>
      <c r="AN1643" s="43"/>
      <c r="AO1643" s="43"/>
      <c r="AP1643" s="43"/>
      <c r="AQ1643" s="43"/>
      <c r="AR1643" s="43"/>
      <c r="AS1643" s="43"/>
      <c r="AT1643" s="43"/>
    </row>
    <row r="1644" spans="1:46">
      <c r="A1644" s="43" t="s">
        <v>32</v>
      </c>
      <c r="B1644" s="43" t="s">
        <v>144</v>
      </c>
      <c r="C1644" s="43" t="s">
        <v>137</v>
      </c>
      <c r="D1644" s="44" t="s">
        <v>242</v>
      </c>
      <c r="E1644" s="44">
        <v>33</v>
      </c>
      <c r="F1644" s="44" t="s">
        <v>3</v>
      </c>
      <c r="G1644" s="43" t="str">
        <f>IFERROR(VLOOKUP(A1644,'[1]MC Masterlist 2026-09-12'!$B:$M, 3, 0),"")</f>
        <v>HONDA</v>
      </c>
      <c r="H1644" s="45">
        <f>IFERROR(VLOOKUP(A1644,'[1]MC Masterlist 2026-09-12'!$B:$M, 6, 0),"")</f>
        <v>288910</v>
      </c>
      <c r="I1644" s="46">
        <v>0</v>
      </c>
      <c r="J1644" s="46">
        <v>0</v>
      </c>
      <c r="K1644" s="46">
        <v>0</v>
      </c>
      <c r="L1644" s="46">
        <f t="shared" si="375"/>
        <v>0</v>
      </c>
      <c r="M1644" s="46">
        <f t="shared" si="376"/>
        <v>0</v>
      </c>
      <c r="N1644" s="45">
        <f t="shared" si="377"/>
        <v>0</v>
      </c>
      <c r="O1644" s="45">
        <f t="shared" si="378"/>
        <v>0</v>
      </c>
      <c r="P1644" s="46">
        <f t="shared" si="379"/>
        <v>0</v>
      </c>
      <c r="Q1644" s="46">
        <v>1</v>
      </c>
      <c r="R1644" s="45">
        <f t="shared" si="380"/>
        <v>288910</v>
      </c>
      <c r="S1644" s="46">
        <f t="shared" si="381"/>
        <v>0</v>
      </c>
      <c r="T1644" s="46">
        <f>IFERROR(VLOOKUP(A1644,'[1]Re-order'!$A:$Q,17,0),"")</f>
        <v>97.5</v>
      </c>
      <c r="U1644" s="46">
        <f>IFERROR(VLOOKUP(A1644,'[1]MC Masterlist 2026-09-12'!$B:$M, 10, 0),0)</f>
        <v>15</v>
      </c>
      <c r="V1644" s="46">
        <f>IFERROR(VLOOKUP(A1644,'[1]MC Masterlist 2026-09-12'!$B:$M, 11, 0),0)</f>
        <v>15</v>
      </c>
      <c r="W1644" s="46">
        <f t="shared" si="382"/>
        <v>30</v>
      </c>
      <c r="X1644" s="46">
        <f t="shared" si="383"/>
        <v>7</v>
      </c>
      <c r="Y1644" s="46">
        <f>IFERROR(IF(OR(C1644="AREA I",C1644="AREA V"),7,VLOOKUP(A1644,'[1]MC Masterlist 2026-09-12'!$B:$M, 12, 0)),0)</f>
        <v>7</v>
      </c>
      <c r="Z1644" s="46">
        <f t="shared" si="384"/>
        <v>0</v>
      </c>
      <c r="AA1644" s="46">
        <f t="shared" si="385"/>
        <v>0</v>
      </c>
      <c r="AB1644" s="46">
        <f t="shared" si="386"/>
        <v>0</v>
      </c>
      <c r="AC1644" s="46">
        <f t="shared" si="387"/>
        <v>0</v>
      </c>
      <c r="AD1644" s="44" t="str">
        <f t="shared" si="388"/>
        <v>Over</v>
      </c>
      <c r="AE1644" s="44" t="str">
        <f>IFERROR(VLOOKUP(A1644,'[1]Re-order'!$A:$AA,27,0),"")</f>
        <v>Over</v>
      </c>
      <c r="AF1644" s="46">
        <f t="shared" si="389"/>
        <v>-1</v>
      </c>
      <c r="AG1644" s="46">
        <f>SUMIFS('[1]Raw Inventory'!D:D,'[1]Raw Inventory'!C:C,"GREATWALL",'[1]Raw Inventory'!B:B,A1644)</f>
        <v>7</v>
      </c>
      <c r="AH1644" s="46">
        <f>SUMIFS('[1]Raw Inventory'!D:D,'[1]Raw Inventory'!C:C,"DUARTE",'[1]Raw Inventory'!B:B,A1644)</f>
        <v>0</v>
      </c>
      <c r="AI1644" s="46"/>
      <c r="AJ1644" s="46"/>
      <c r="AK1644" s="43"/>
      <c r="AL1644" s="43"/>
      <c r="AM1644" s="43"/>
      <c r="AN1644" s="43"/>
      <c r="AO1644" s="43"/>
      <c r="AP1644" s="43"/>
      <c r="AQ1644" s="43"/>
      <c r="AR1644" s="43"/>
      <c r="AS1644" s="43"/>
      <c r="AT1644" s="43"/>
    </row>
    <row r="1645" spans="1:46">
      <c r="A1645" s="43" t="s">
        <v>12</v>
      </c>
      <c r="B1645" s="43" t="s">
        <v>116</v>
      </c>
      <c r="C1645" s="43" t="s">
        <v>109</v>
      </c>
      <c r="D1645" s="44" t="s">
        <v>247</v>
      </c>
      <c r="E1645" s="44">
        <v>7</v>
      </c>
      <c r="F1645" s="44" t="s">
        <v>3</v>
      </c>
      <c r="G1645" s="43" t="str">
        <f>IFERROR(VLOOKUP(A1645,'[1]MC Masterlist 2026-09-12'!$B:$M, 3, 0),"")</f>
        <v>HONDA</v>
      </c>
      <c r="H1645" s="45">
        <f>IFERROR(VLOOKUP(A1645,'[1]MC Masterlist 2026-09-12'!$B:$M, 6, 0),"")</f>
        <v>158270</v>
      </c>
      <c r="I1645" s="46">
        <v>0</v>
      </c>
      <c r="J1645" s="46">
        <v>0</v>
      </c>
      <c r="K1645" s="46">
        <v>0</v>
      </c>
      <c r="L1645" s="46">
        <f t="shared" si="375"/>
        <v>0</v>
      </c>
      <c r="M1645" s="46">
        <f t="shared" si="376"/>
        <v>0</v>
      </c>
      <c r="N1645" s="45">
        <f t="shared" si="377"/>
        <v>0</v>
      </c>
      <c r="O1645" s="45">
        <f t="shared" si="378"/>
        <v>0</v>
      </c>
      <c r="P1645" s="46">
        <f t="shared" si="379"/>
        <v>0</v>
      </c>
      <c r="Q1645" s="46">
        <v>2</v>
      </c>
      <c r="R1645" s="45">
        <f t="shared" si="380"/>
        <v>316540</v>
      </c>
      <c r="S1645" s="46">
        <f t="shared" si="381"/>
        <v>0</v>
      </c>
      <c r="T1645" s="46">
        <f>IFERROR(VLOOKUP(A1645,'[1]Re-order'!$A:$Q,17,0),"")</f>
        <v>46.461038961038959</v>
      </c>
      <c r="U1645" s="46">
        <f>IFERROR(VLOOKUP(A1645,'[1]MC Masterlist 2026-09-12'!$B:$M, 10, 0),0)</f>
        <v>15</v>
      </c>
      <c r="V1645" s="46">
        <f>IFERROR(VLOOKUP(A1645,'[1]MC Masterlist 2026-09-12'!$B:$M, 11, 0),0)</f>
        <v>15</v>
      </c>
      <c r="W1645" s="46">
        <f t="shared" si="382"/>
        <v>30</v>
      </c>
      <c r="X1645" s="46">
        <f t="shared" si="383"/>
        <v>30</v>
      </c>
      <c r="Y1645" s="46">
        <f>IFERROR(IF(OR(C1645="AREA I",C1645="AREA V"),7,VLOOKUP(A1645,'[1]MC Masterlist 2026-09-12'!$B:$M, 12, 0)),0)</f>
        <v>30</v>
      </c>
      <c r="Z1645" s="46">
        <f t="shared" si="384"/>
        <v>0</v>
      </c>
      <c r="AA1645" s="46">
        <f t="shared" si="385"/>
        <v>0</v>
      </c>
      <c r="AB1645" s="46">
        <f t="shared" si="386"/>
        <v>0</v>
      </c>
      <c r="AC1645" s="46">
        <f t="shared" si="387"/>
        <v>0</v>
      </c>
      <c r="AD1645" s="44" t="str">
        <f t="shared" si="388"/>
        <v>Over</v>
      </c>
      <c r="AE1645" s="44" t="str">
        <f>IFERROR(VLOOKUP(A1645,'[1]Re-order'!$A:$AA,27,0),"")</f>
        <v>Re-order</v>
      </c>
      <c r="AF1645" s="46">
        <f t="shared" si="389"/>
        <v>-2</v>
      </c>
      <c r="AG1645" s="46">
        <f>SUMIFS('[1]Raw Inventory'!D:D,'[1]Raw Inventory'!C:C,"GREATWALL",'[1]Raw Inventory'!B:B,A1645)</f>
        <v>35</v>
      </c>
      <c r="AH1645" s="46">
        <f>SUMIFS('[1]Raw Inventory'!D:D,'[1]Raw Inventory'!C:C,"DUARTE",'[1]Raw Inventory'!B:B,A1645)</f>
        <v>0</v>
      </c>
      <c r="AI1645" s="46"/>
      <c r="AJ1645" s="46"/>
      <c r="AK1645" s="43"/>
      <c r="AL1645" s="43"/>
      <c r="AM1645" s="43"/>
      <c r="AN1645" s="43"/>
      <c r="AO1645" s="43"/>
      <c r="AP1645" s="43"/>
      <c r="AQ1645" s="43"/>
      <c r="AR1645" s="43"/>
      <c r="AS1645" s="43"/>
      <c r="AT1645" s="43"/>
    </row>
    <row r="1646" spans="1:46">
      <c r="A1646" s="43" t="s">
        <v>40</v>
      </c>
      <c r="B1646" s="43" t="s">
        <v>97</v>
      </c>
      <c r="C1646" s="43" t="s">
        <v>90</v>
      </c>
      <c r="D1646" s="44" t="s">
        <v>257</v>
      </c>
      <c r="E1646" s="44">
        <v>16</v>
      </c>
      <c r="F1646" s="44" t="s">
        <v>3</v>
      </c>
      <c r="G1646" s="43" t="str">
        <f>IFERROR(VLOOKUP(A1646,'[1]MC Masterlist 2026-09-12'!$B:$M, 3, 0),"")</f>
        <v>HONDA</v>
      </c>
      <c r="H1646" s="45">
        <f>IFERROR(VLOOKUP(A1646,'[1]MC Masterlist 2026-09-12'!$B:$M, 6, 0),"")</f>
        <v>56426</v>
      </c>
      <c r="I1646" s="46">
        <v>1</v>
      </c>
      <c r="J1646" s="46">
        <v>0</v>
      </c>
      <c r="K1646" s="46">
        <v>0</v>
      </c>
      <c r="L1646" s="46">
        <f t="shared" si="375"/>
        <v>1</v>
      </c>
      <c r="M1646" s="46">
        <f t="shared" si="376"/>
        <v>0.33333333333333331</v>
      </c>
      <c r="N1646" s="45">
        <f t="shared" si="377"/>
        <v>56426</v>
      </c>
      <c r="O1646" s="45">
        <f t="shared" si="378"/>
        <v>18808.666666666664</v>
      </c>
      <c r="P1646" s="46">
        <f t="shared" si="379"/>
        <v>1.111111111111111E-2</v>
      </c>
      <c r="Q1646" s="46">
        <v>1</v>
      </c>
      <c r="R1646" s="45">
        <f t="shared" si="380"/>
        <v>56426</v>
      </c>
      <c r="S1646" s="46">
        <f t="shared" si="381"/>
        <v>90.000000000000014</v>
      </c>
      <c r="T1646" s="46">
        <f>IFERROR(VLOOKUP(A1646,'[1]Re-order'!$A:$Q,17,0),"")</f>
        <v>139.56521739130434</v>
      </c>
      <c r="U1646" s="46">
        <f>IFERROR(VLOOKUP(A1646,'[1]MC Masterlist 2026-09-12'!$B:$M, 10, 0),0)</f>
        <v>15</v>
      </c>
      <c r="V1646" s="46">
        <f>IFERROR(VLOOKUP(A1646,'[1]MC Masterlist 2026-09-12'!$B:$M, 11, 0),0)</f>
        <v>15</v>
      </c>
      <c r="W1646" s="46">
        <f t="shared" si="382"/>
        <v>30</v>
      </c>
      <c r="X1646" s="46">
        <f t="shared" si="383"/>
        <v>29.833333333333332</v>
      </c>
      <c r="Y1646" s="46">
        <f>IFERROR(IF(OR(C1646="AREA I",C1646="AREA V"),7,VLOOKUP(A1646,'[1]MC Masterlist 2026-09-12'!$B:$M, 12, 0)),0)</f>
        <v>30</v>
      </c>
      <c r="Z1646" s="46">
        <f t="shared" si="384"/>
        <v>0.16666666666666666</v>
      </c>
      <c r="AA1646" s="46">
        <f t="shared" si="385"/>
        <v>0.33333333333333331</v>
      </c>
      <c r="AB1646" s="46">
        <f t="shared" si="386"/>
        <v>0.33148148148148143</v>
      </c>
      <c r="AC1646" s="46">
        <f t="shared" si="387"/>
        <v>0.33333333333333331</v>
      </c>
      <c r="AD1646" s="44" t="str">
        <f t="shared" si="388"/>
        <v>Over</v>
      </c>
      <c r="AE1646" s="44" t="str">
        <f>IFERROR(VLOOKUP(A1646,'[1]Re-order'!$A:$AA,27,0),"")</f>
        <v>Over</v>
      </c>
      <c r="AF1646" s="46">
        <f t="shared" si="389"/>
        <v>-0.66666666666666674</v>
      </c>
      <c r="AG1646" s="46">
        <f>SUMIFS('[1]Raw Inventory'!D:D,'[1]Raw Inventory'!C:C,"GREATWALL",'[1]Raw Inventory'!B:B,A1646)</f>
        <v>45</v>
      </c>
      <c r="AH1646" s="46">
        <f>SUMIFS('[1]Raw Inventory'!D:D,'[1]Raw Inventory'!C:C,"DUARTE",'[1]Raw Inventory'!B:B,A1646)</f>
        <v>0</v>
      </c>
      <c r="AI1646" s="46"/>
      <c r="AJ1646" s="46"/>
      <c r="AK1646" s="43"/>
      <c r="AL1646" s="43"/>
      <c r="AM1646" s="43"/>
      <c r="AN1646" s="43"/>
      <c r="AO1646" s="43"/>
      <c r="AP1646" s="43"/>
      <c r="AQ1646" s="43"/>
      <c r="AR1646" s="43"/>
      <c r="AS1646" s="43"/>
      <c r="AT1646" s="43"/>
    </row>
    <row r="1647" spans="1:46">
      <c r="A1647" s="43" t="s">
        <v>51</v>
      </c>
      <c r="B1647" s="43" t="s">
        <v>29</v>
      </c>
      <c r="C1647" s="43" t="s">
        <v>1</v>
      </c>
      <c r="D1647" s="44" t="s">
        <v>266</v>
      </c>
      <c r="E1647" s="44">
        <v>19</v>
      </c>
      <c r="F1647" s="44" t="s">
        <v>2</v>
      </c>
      <c r="G1647" s="43" t="str">
        <f>IFERROR(VLOOKUP(A1647,'[1]MC Masterlist 2026-09-12'!$B:$M, 3, 0),"")</f>
        <v>SUZUKI</v>
      </c>
      <c r="H1647" s="45">
        <f>IFERROR(VLOOKUP(A1647,'[1]MC Masterlist 2026-09-12'!$B:$M, 6, 0),"")</f>
        <v>138580</v>
      </c>
      <c r="I1647" s="46">
        <v>1</v>
      </c>
      <c r="J1647" s="46">
        <v>1</v>
      </c>
      <c r="K1647" s="46">
        <v>0</v>
      </c>
      <c r="L1647" s="46">
        <f t="shared" si="375"/>
        <v>2</v>
      </c>
      <c r="M1647" s="46">
        <f t="shared" si="376"/>
        <v>0.66666666666666663</v>
      </c>
      <c r="N1647" s="45">
        <f t="shared" si="377"/>
        <v>277160</v>
      </c>
      <c r="O1647" s="45">
        <f t="shared" si="378"/>
        <v>92386.666666666657</v>
      </c>
      <c r="P1647" s="46">
        <f t="shared" si="379"/>
        <v>2.222222222222222E-2</v>
      </c>
      <c r="Q1647" s="46">
        <v>1</v>
      </c>
      <c r="R1647" s="45">
        <f t="shared" si="380"/>
        <v>138580</v>
      </c>
      <c r="S1647" s="46">
        <f t="shared" si="381"/>
        <v>45.000000000000007</v>
      </c>
      <c r="T1647" s="46">
        <f>IFERROR(VLOOKUP(A1647,'[1]Re-order'!$A:$Q,17,0),"")</f>
        <v>18</v>
      </c>
      <c r="U1647" s="46">
        <f>IFERROR(VLOOKUP(A1647,'[1]MC Masterlist 2026-09-12'!$B:$M, 10, 0),0)</f>
        <v>15</v>
      </c>
      <c r="V1647" s="46">
        <f>IFERROR(VLOOKUP(A1647,'[1]MC Masterlist 2026-09-12'!$B:$M, 11, 0),0)</f>
        <v>15</v>
      </c>
      <c r="W1647" s="46">
        <f t="shared" si="382"/>
        <v>30</v>
      </c>
      <c r="X1647" s="46">
        <f t="shared" si="383"/>
        <v>6.666666666666667</v>
      </c>
      <c r="Y1647" s="46">
        <f>IFERROR(IF(OR(C1647="AREA I",C1647="AREA V"),7,VLOOKUP(A1647,'[1]MC Masterlist 2026-09-12'!$B:$M, 12, 0)),0)</f>
        <v>7</v>
      </c>
      <c r="Z1647" s="46">
        <f t="shared" si="384"/>
        <v>0.33333333333333331</v>
      </c>
      <c r="AA1647" s="46">
        <f t="shared" si="385"/>
        <v>0.66666666666666663</v>
      </c>
      <c r="AB1647" s="46">
        <f t="shared" si="386"/>
        <v>0.14814814814814814</v>
      </c>
      <c r="AC1647" s="46">
        <f t="shared" si="387"/>
        <v>0.15555555555555553</v>
      </c>
      <c r="AD1647" s="44" t="str">
        <f t="shared" si="388"/>
        <v>Over</v>
      </c>
      <c r="AE1647" s="44" t="str">
        <f>IFERROR(VLOOKUP(A1647,'[1]Re-order'!$A:$AA,27,0),"")</f>
        <v>Stockout</v>
      </c>
      <c r="AF1647" s="46">
        <f t="shared" si="389"/>
        <v>-0.84444444444444444</v>
      </c>
      <c r="AG1647" s="46">
        <f>SUMIFS('[1]Raw Inventory'!D:D,'[1]Raw Inventory'!C:C,"GREATWALL",'[1]Raw Inventory'!B:B,A1647)</f>
        <v>0</v>
      </c>
      <c r="AH1647" s="46">
        <f>SUMIFS('[1]Raw Inventory'!D:D,'[1]Raw Inventory'!C:C,"DUARTE",'[1]Raw Inventory'!B:B,A1647)</f>
        <v>0</v>
      </c>
      <c r="AI1647" s="46"/>
      <c r="AJ1647" s="46"/>
      <c r="AK1647" s="43"/>
      <c r="AL1647" s="43"/>
      <c r="AM1647" s="43"/>
      <c r="AN1647" s="43"/>
      <c r="AO1647" s="43"/>
      <c r="AP1647" s="43"/>
      <c r="AQ1647" s="43"/>
      <c r="AR1647" s="43"/>
      <c r="AS1647" s="43"/>
      <c r="AT1647" s="43"/>
    </row>
    <row r="1648" spans="1:46">
      <c r="A1648" s="43" t="s">
        <v>54</v>
      </c>
      <c r="B1648" s="43" t="s">
        <v>161</v>
      </c>
      <c r="C1648" s="43" t="s">
        <v>159</v>
      </c>
      <c r="D1648" s="44" t="s">
        <v>259</v>
      </c>
      <c r="E1648" s="44">
        <v>1</v>
      </c>
      <c r="F1648" s="44" t="s">
        <v>0</v>
      </c>
      <c r="G1648" s="43" t="str">
        <f>IFERROR(VLOOKUP(A1648,'[1]MC Masterlist 2026-09-12'!$B:$M, 3, 0),"")</f>
        <v>HONDA</v>
      </c>
      <c r="H1648" s="45">
        <f>IFERROR(VLOOKUP(A1648,'[1]MC Masterlist 2026-09-12'!$B:$M, 6, 0),"")</f>
        <v>70998</v>
      </c>
      <c r="I1648" s="46">
        <v>0</v>
      </c>
      <c r="J1648" s="46">
        <v>0</v>
      </c>
      <c r="K1648" s="46">
        <v>0</v>
      </c>
      <c r="L1648" s="46">
        <f t="shared" si="375"/>
        <v>0</v>
      </c>
      <c r="M1648" s="46">
        <f t="shared" si="376"/>
        <v>0</v>
      </c>
      <c r="N1648" s="45">
        <f t="shared" si="377"/>
        <v>0</v>
      </c>
      <c r="O1648" s="45">
        <f t="shared" si="378"/>
        <v>0</v>
      </c>
      <c r="P1648" s="46">
        <f t="shared" si="379"/>
        <v>0</v>
      </c>
      <c r="Q1648" s="46">
        <v>1</v>
      </c>
      <c r="R1648" s="45">
        <f t="shared" si="380"/>
        <v>70998</v>
      </c>
      <c r="S1648" s="46">
        <f t="shared" si="381"/>
        <v>0</v>
      </c>
      <c r="T1648" s="46">
        <f>IFERROR(VLOOKUP(A1648,'[1]Re-order'!$A:$Q,17,0),"")</f>
        <v>114.54545454545455</v>
      </c>
      <c r="U1648" s="46">
        <f>IFERROR(VLOOKUP(A1648,'[1]MC Masterlist 2026-09-12'!$B:$M, 10, 0),0)</f>
        <v>15</v>
      </c>
      <c r="V1648" s="46">
        <f>IFERROR(VLOOKUP(A1648,'[1]MC Masterlist 2026-09-12'!$B:$M, 11, 0),0)</f>
        <v>15</v>
      </c>
      <c r="W1648" s="46">
        <f t="shared" si="382"/>
        <v>30</v>
      </c>
      <c r="X1648" s="46">
        <f t="shared" si="383"/>
        <v>30</v>
      </c>
      <c r="Y1648" s="46">
        <f>IFERROR(IF(OR(C1648="AREA I",C1648="AREA V"),7,VLOOKUP(A1648,'[1]MC Masterlist 2026-09-12'!$B:$M, 12, 0)),0)</f>
        <v>30</v>
      </c>
      <c r="Z1648" s="46">
        <f t="shared" si="384"/>
        <v>0</v>
      </c>
      <c r="AA1648" s="46">
        <f t="shared" si="385"/>
        <v>0</v>
      </c>
      <c r="AB1648" s="46">
        <f t="shared" si="386"/>
        <v>0</v>
      </c>
      <c r="AC1648" s="46">
        <f t="shared" si="387"/>
        <v>0</v>
      </c>
      <c r="AD1648" s="44" t="str">
        <f t="shared" si="388"/>
        <v>Over</v>
      </c>
      <c r="AE1648" s="44" t="str">
        <f>IFERROR(VLOOKUP(A1648,'[1]Re-order'!$A:$AA,27,0),"")</f>
        <v>Over</v>
      </c>
      <c r="AF1648" s="46">
        <f t="shared" si="389"/>
        <v>-1</v>
      </c>
      <c r="AG1648" s="46">
        <f>SUMIFS('[1]Raw Inventory'!D:D,'[1]Raw Inventory'!C:C,"GREATWALL",'[1]Raw Inventory'!B:B,A1648)</f>
        <v>0</v>
      </c>
      <c r="AH1648" s="46">
        <f>SUMIFS('[1]Raw Inventory'!D:D,'[1]Raw Inventory'!C:C,"DUARTE",'[1]Raw Inventory'!B:B,A1648)</f>
        <v>0</v>
      </c>
      <c r="AI1648" s="46"/>
      <c r="AJ1648" s="46"/>
      <c r="AK1648" s="43"/>
      <c r="AL1648" s="43"/>
      <c r="AM1648" s="43"/>
      <c r="AN1648" s="43"/>
      <c r="AO1648" s="43"/>
      <c r="AP1648" s="43"/>
      <c r="AQ1648" s="43"/>
      <c r="AR1648" s="43"/>
      <c r="AS1648" s="43"/>
      <c r="AT1648" s="43"/>
    </row>
    <row r="1649" spans="1:46">
      <c r="A1649" s="43" t="s">
        <v>62</v>
      </c>
      <c r="B1649" s="43" t="s">
        <v>153</v>
      </c>
      <c r="C1649" s="43" t="s">
        <v>152</v>
      </c>
      <c r="D1649" s="44" t="s">
        <v>235</v>
      </c>
      <c r="E1649" s="44">
        <v>20</v>
      </c>
      <c r="F1649" s="44" t="s">
        <v>3</v>
      </c>
      <c r="G1649" s="43" t="str">
        <f>IFERROR(VLOOKUP(A1649,'[1]MC Masterlist 2026-09-12'!$B:$M, 3, 0),"")</f>
        <v>HONDA</v>
      </c>
      <c r="H1649" s="45">
        <f>IFERROR(VLOOKUP(A1649,'[1]MC Masterlist 2026-09-12'!$B:$M, 6, 0),"")</f>
        <v>123310</v>
      </c>
      <c r="I1649" s="46">
        <v>0</v>
      </c>
      <c r="J1649" s="46">
        <v>0</v>
      </c>
      <c r="K1649" s="46">
        <v>0</v>
      </c>
      <c r="L1649" s="46">
        <f t="shared" si="375"/>
        <v>0</v>
      </c>
      <c r="M1649" s="46">
        <f t="shared" si="376"/>
        <v>0</v>
      </c>
      <c r="N1649" s="45">
        <f t="shared" si="377"/>
        <v>0</v>
      </c>
      <c r="O1649" s="45">
        <f t="shared" si="378"/>
        <v>0</v>
      </c>
      <c r="P1649" s="46">
        <f t="shared" si="379"/>
        <v>0</v>
      </c>
      <c r="Q1649" s="46">
        <v>1</v>
      </c>
      <c r="R1649" s="45">
        <f t="shared" si="380"/>
        <v>123310</v>
      </c>
      <c r="S1649" s="46">
        <f t="shared" si="381"/>
        <v>0</v>
      </c>
      <c r="T1649" s="46">
        <f>IFERROR(VLOOKUP(A1649,'[1]Re-order'!$A:$Q,17,0),"")</f>
        <v>165</v>
      </c>
      <c r="U1649" s="46">
        <f>IFERROR(VLOOKUP(A1649,'[1]MC Masterlist 2026-09-12'!$B:$M, 10, 0),0)</f>
        <v>15</v>
      </c>
      <c r="V1649" s="46">
        <f>IFERROR(VLOOKUP(A1649,'[1]MC Masterlist 2026-09-12'!$B:$M, 11, 0),0)</f>
        <v>15</v>
      </c>
      <c r="W1649" s="46">
        <f t="shared" si="382"/>
        <v>30</v>
      </c>
      <c r="X1649" s="46">
        <f t="shared" si="383"/>
        <v>30</v>
      </c>
      <c r="Y1649" s="46">
        <f>IFERROR(IF(OR(C1649="AREA I",C1649="AREA V"),7,VLOOKUP(A1649,'[1]MC Masterlist 2026-09-12'!$B:$M, 12, 0)),0)</f>
        <v>30</v>
      </c>
      <c r="Z1649" s="46">
        <f t="shared" si="384"/>
        <v>0</v>
      </c>
      <c r="AA1649" s="46">
        <f t="shared" si="385"/>
        <v>0</v>
      </c>
      <c r="AB1649" s="46">
        <f t="shared" si="386"/>
        <v>0</v>
      </c>
      <c r="AC1649" s="46">
        <f t="shared" si="387"/>
        <v>0</v>
      </c>
      <c r="AD1649" s="44" t="str">
        <f t="shared" si="388"/>
        <v>Over</v>
      </c>
      <c r="AE1649" s="44" t="str">
        <f>IFERROR(VLOOKUP(A1649,'[1]Re-order'!$A:$AA,27,0),"")</f>
        <v>Over</v>
      </c>
      <c r="AF1649" s="46">
        <f t="shared" si="389"/>
        <v>-1</v>
      </c>
      <c r="AG1649" s="46">
        <f>SUMIFS('[1]Raw Inventory'!D:D,'[1]Raw Inventory'!C:C,"GREATWALL",'[1]Raw Inventory'!B:B,A1649)</f>
        <v>4</v>
      </c>
      <c r="AH1649" s="46">
        <f>SUMIFS('[1]Raw Inventory'!D:D,'[1]Raw Inventory'!C:C,"DUARTE",'[1]Raw Inventory'!B:B,A1649)</f>
        <v>0</v>
      </c>
      <c r="AI1649" s="46"/>
      <c r="AJ1649" s="46"/>
      <c r="AK1649" s="43"/>
      <c r="AL1649" s="43"/>
      <c r="AM1649" s="43"/>
      <c r="AN1649" s="43"/>
      <c r="AO1649" s="43"/>
      <c r="AP1649" s="43"/>
      <c r="AQ1649" s="43"/>
      <c r="AR1649" s="43"/>
      <c r="AS1649" s="43"/>
      <c r="AT1649" s="43"/>
    </row>
    <row r="1650" spans="1:46">
      <c r="A1650" s="43" t="s">
        <v>28</v>
      </c>
      <c r="B1650" s="43" t="s">
        <v>157</v>
      </c>
      <c r="C1650" s="43" t="s">
        <v>152</v>
      </c>
      <c r="D1650" s="44" t="s">
        <v>233</v>
      </c>
      <c r="E1650" s="44">
        <v>7</v>
      </c>
      <c r="F1650" s="44" t="s">
        <v>2</v>
      </c>
      <c r="G1650" s="43" t="str">
        <f>IFERROR(VLOOKUP(A1650,'[1]MC Masterlist 2026-09-12'!$B:$M, 3, 0),"")</f>
        <v>YAMAHA</v>
      </c>
      <c r="H1650" s="45">
        <f>IFERROR(VLOOKUP(A1650,'[1]MC Masterlist 2026-09-12'!$B:$M, 6, 0),"")</f>
        <v>147312</v>
      </c>
      <c r="I1650" s="46">
        <v>2</v>
      </c>
      <c r="J1650" s="46">
        <v>0</v>
      </c>
      <c r="K1650" s="46">
        <v>2</v>
      </c>
      <c r="L1650" s="46">
        <f t="shared" si="375"/>
        <v>4</v>
      </c>
      <c r="M1650" s="46">
        <f t="shared" si="376"/>
        <v>1.3333333333333333</v>
      </c>
      <c r="N1650" s="45">
        <f t="shared" si="377"/>
        <v>589248</v>
      </c>
      <c r="O1650" s="45">
        <f t="shared" si="378"/>
        <v>196416</v>
      </c>
      <c r="P1650" s="46">
        <f t="shared" si="379"/>
        <v>4.4444444444444439E-2</v>
      </c>
      <c r="Q1650" s="46">
        <v>1</v>
      </c>
      <c r="R1650" s="45">
        <f t="shared" si="380"/>
        <v>147312</v>
      </c>
      <c r="S1650" s="46">
        <f t="shared" si="381"/>
        <v>22.5</v>
      </c>
      <c r="T1650" s="46">
        <f>IFERROR(VLOOKUP(A1650,'[1]Re-order'!$A:$Q,17,0),"")</f>
        <v>8.2417582417582427</v>
      </c>
      <c r="U1650" s="46">
        <f>IFERROR(VLOOKUP(A1650,'[1]MC Masterlist 2026-09-12'!$B:$M, 10, 0),0)</f>
        <v>15</v>
      </c>
      <c r="V1650" s="46">
        <f>IFERROR(VLOOKUP(A1650,'[1]MC Masterlist 2026-09-12'!$B:$M, 11, 0),0)</f>
        <v>15</v>
      </c>
      <c r="W1650" s="46">
        <f t="shared" si="382"/>
        <v>30</v>
      </c>
      <c r="X1650" s="46">
        <f t="shared" si="383"/>
        <v>29.333333333333332</v>
      </c>
      <c r="Y1650" s="46">
        <f>IFERROR(IF(OR(C1650="AREA I",C1650="AREA V"),7,VLOOKUP(A1650,'[1]MC Masterlist 2026-09-12'!$B:$M, 12, 0)),0)</f>
        <v>30</v>
      </c>
      <c r="Z1650" s="46">
        <f t="shared" si="384"/>
        <v>0.66666666666666663</v>
      </c>
      <c r="AA1650" s="46">
        <f t="shared" si="385"/>
        <v>1.3333333333333333</v>
      </c>
      <c r="AB1650" s="46">
        <f t="shared" si="386"/>
        <v>1.3037037037037036</v>
      </c>
      <c r="AC1650" s="46">
        <f t="shared" si="387"/>
        <v>1.3333333333333333</v>
      </c>
      <c r="AD1650" s="44" t="str">
        <f t="shared" si="388"/>
        <v>Re-order</v>
      </c>
      <c r="AE1650" s="44" t="str">
        <f>IFERROR(VLOOKUP(A1650,'[1]Re-order'!$A:$AA,27,0),"")</f>
        <v>Stockout</v>
      </c>
      <c r="AF1650" s="46">
        <f t="shared" si="389"/>
        <v>0.33333333333333326</v>
      </c>
      <c r="AG1650" s="46">
        <f>SUMIFS('[1]Raw Inventory'!D:D,'[1]Raw Inventory'!C:C,"GREATWALL",'[1]Raw Inventory'!B:B,A1650)</f>
        <v>0</v>
      </c>
      <c r="AH1650" s="46">
        <f>SUMIFS('[1]Raw Inventory'!D:D,'[1]Raw Inventory'!C:C,"DUARTE",'[1]Raw Inventory'!B:B,A1650)</f>
        <v>0</v>
      </c>
      <c r="AI1650" s="46"/>
      <c r="AJ1650" s="46"/>
      <c r="AK1650" s="43"/>
      <c r="AL1650" s="43"/>
      <c r="AM1650" s="43"/>
      <c r="AN1650" s="43"/>
      <c r="AO1650" s="43"/>
      <c r="AP1650" s="43"/>
      <c r="AQ1650" s="43"/>
      <c r="AR1650" s="43"/>
      <c r="AS1650" s="43"/>
      <c r="AT1650" s="43"/>
    </row>
    <row r="1651" spans="1:46">
      <c r="A1651" s="43" t="s">
        <v>14</v>
      </c>
      <c r="B1651" s="43" t="s">
        <v>146</v>
      </c>
      <c r="C1651" s="43" t="s">
        <v>137</v>
      </c>
      <c r="D1651" s="44" t="s">
        <v>238</v>
      </c>
      <c r="E1651" s="44">
        <v>2</v>
      </c>
      <c r="F1651" s="44" t="s">
        <v>0</v>
      </c>
      <c r="G1651" s="43" t="str">
        <f>IFERROR(VLOOKUP(A1651,'[1]MC Masterlist 2026-09-12'!$B:$M, 3, 0),"")</f>
        <v>HONDA</v>
      </c>
      <c r="H1651" s="45">
        <f>IFERROR(VLOOKUP(A1651,'[1]MC Masterlist 2026-09-12'!$B:$M, 6, 0),"")</f>
        <v>80070</v>
      </c>
      <c r="I1651" s="46">
        <v>9</v>
      </c>
      <c r="J1651" s="46">
        <v>5</v>
      </c>
      <c r="K1651" s="46">
        <v>12</v>
      </c>
      <c r="L1651" s="46">
        <f t="shared" si="375"/>
        <v>26</v>
      </c>
      <c r="M1651" s="46">
        <f t="shared" si="376"/>
        <v>8.6666666666666661</v>
      </c>
      <c r="N1651" s="45">
        <f t="shared" si="377"/>
        <v>2081820</v>
      </c>
      <c r="O1651" s="45">
        <f t="shared" si="378"/>
        <v>693940</v>
      </c>
      <c r="P1651" s="46">
        <f t="shared" si="379"/>
        <v>0.28888888888888886</v>
      </c>
      <c r="Q1651" s="46">
        <v>1</v>
      </c>
      <c r="R1651" s="45">
        <f t="shared" si="380"/>
        <v>80070</v>
      </c>
      <c r="S1651" s="46">
        <f t="shared" si="381"/>
        <v>3.4615384615384617</v>
      </c>
      <c r="T1651" s="46">
        <f>IFERROR(VLOOKUP(A1651,'[1]Re-order'!$A:$Q,17,0),"")</f>
        <v>20.105787181082761</v>
      </c>
      <c r="U1651" s="46">
        <f>IFERROR(VLOOKUP(A1651,'[1]MC Masterlist 2026-09-12'!$B:$M, 10, 0),0)</f>
        <v>15</v>
      </c>
      <c r="V1651" s="46">
        <f>IFERROR(VLOOKUP(A1651,'[1]MC Masterlist 2026-09-12'!$B:$M, 11, 0),0)</f>
        <v>15</v>
      </c>
      <c r="W1651" s="46">
        <f t="shared" si="382"/>
        <v>30</v>
      </c>
      <c r="X1651" s="46">
        <f t="shared" si="383"/>
        <v>2.666666666666667</v>
      </c>
      <c r="Y1651" s="46">
        <f>IFERROR(IF(OR(C1651="AREA I",C1651="AREA V"),7,VLOOKUP(A1651,'[1]MC Masterlist 2026-09-12'!$B:$M, 12, 0)),0)</f>
        <v>7</v>
      </c>
      <c r="Z1651" s="46">
        <f t="shared" si="384"/>
        <v>4.333333333333333</v>
      </c>
      <c r="AA1651" s="46">
        <f t="shared" si="385"/>
        <v>8.6666666666666661</v>
      </c>
      <c r="AB1651" s="46">
        <f t="shared" si="386"/>
        <v>0.77037037037037037</v>
      </c>
      <c r="AC1651" s="46">
        <f t="shared" si="387"/>
        <v>2.0222222222222221</v>
      </c>
      <c r="AD1651" s="44" t="str">
        <f t="shared" si="388"/>
        <v>Stockout</v>
      </c>
      <c r="AE1651" s="44" t="str">
        <f>IFERROR(VLOOKUP(A1651,'[1]Re-order'!$A:$AA,27,0),"")</f>
        <v>Stockout</v>
      </c>
      <c r="AF1651" s="46">
        <f t="shared" si="389"/>
        <v>1.0222222222222221</v>
      </c>
      <c r="AG1651" s="46">
        <f>SUMIFS('[1]Raw Inventory'!D:D,'[1]Raw Inventory'!C:C,"GREATWALL",'[1]Raw Inventory'!B:B,A1651)</f>
        <v>176</v>
      </c>
      <c r="AH1651" s="46">
        <f>SUMIFS('[1]Raw Inventory'!D:D,'[1]Raw Inventory'!C:C,"DUARTE",'[1]Raw Inventory'!B:B,A1651)</f>
        <v>0</v>
      </c>
      <c r="AI1651" s="46"/>
      <c r="AJ1651" s="46"/>
      <c r="AK1651" s="43"/>
      <c r="AL1651" s="43"/>
      <c r="AM1651" s="43"/>
      <c r="AN1651" s="43"/>
      <c r="AO1651" s="43"/>
      <c r="AP1651" s="43"/>
      <c r="AQ1651" s="43"/>
      <c r="AR1651" s="43"/>
      <c r="AS1651" s="43"/>
      <c r="AT1651" s="43"/>
    </row>
    <row r="1652" spans="1:46">
      <c r="A1652" s="43" t="s">
        <v>59</v>
      </c>
      <c r="B1652" s="43" t="s">
        <v>11</v>
      </c>
      <c r="C1652" s="43" t="s">
        <v>1</v>
      </c>
      <c r="D1652" s="44" t="s">
        <v>241</v>
      </c>
      <c r="E1652" s="44">
        <v>17</v>
      </c>
      <c r="F1652" s="44" t="s">
        <v>3</v>
      </c>
      <c r="G1652" s="43" t="str">
        <f>IFERROR(VLOOKUP(A1652,'[1]MC Masterlist 2026-09-12'!$B:$M, 3, 0),"")</f>
        <v>HONDA</v>
      </c>
      <c r="H1652" s="45">
        <f>IFERROR(VLOOKUP(A1652,'[1]MC Masterlist 2026-09-12'!$B:$M, 6, 0),"")</f>
        <v>147230</v>
      </c>
      <c r="I1652" s="46">
        <v>0</v>
      </c>
      <c r="J1652" s="46">
        <v>0</v>
      </c>
      <c r="K1652" s="46">
        <v>1</v>
      </c>
      <c r="L1652" s="46">
        <f t="shared" si="375"/>
        <v>1</v>
      </c>
      <c r="M1652" s="46">
        <f t="shared" si="376"/>
        <v>0.33333333333333331</v>
      </c>
      <c r="N1652" s="45">
        <f t="shared" si="377"/>
        <v>147230</v>
      </c>
      <c r="O1652" s="45">
        <f t="shared" si="378"/>
        <v>49076.666666666664</v>
      </c>
      <c r="P1652" s="46">
        <f t="shared" si="379"/>
        <v>1.111111111111111E-2</v>
      </c>
      <c r="Q1652" s="46">
        <v>1</v>
      </c>
      <c r="R1652" s="45">
        <f t="shared" si="380"/>
        <v>147230</v>
      </c>
      <c r="S1652" s="46">
        <f t="shared" si="381"/>
        <v>90</v>
      </c>
      <c r="T1652" s="46">
        <f>IFERROR(VLOOKUP(A1652,'[1]Re-order'!$A:$Q,17,0),"")</f>
        <v>101.25</v>
      </c>
      <c r="U1652" s="46">
        <f>IFERROR(VLOOKUP(A1652,'[1]MC Masterlist 2026-09-12'!$B:$M, 10, 0),0)</f>
        <v>15</v>
      </c>
      <c r="V1652" s="46">
        <f>IFERROR(VLOOKUP(A1652,'[1]MC Masterlist 2026-09-12'!$B:$M, 11, 0),0)</f>
        <v>15</v>
      </c>
      <c r="W1652" s="46">
        <f t="shared" si="382"/>
        <v>30</v>
      </c>
      <c r="X1652" s="46">
        <f t="shared" si="383"/>
        <v>6.833333333333333</v>
      </c>
      <c r="Y1652" s="46">
        <f>IFERROR(IF(OR(C1652="AREA I",C1652="AREA V"),7,VLOOKUP(A1652,'[1]MC Masterlist 2026-09-12'!$B:$M, 12, 0)),0)</f>
        <v>7</v>
      </c>
      <c r="Z1652" s="46">
        <f t="shared" si="384"/>
        <v>0.16666666666666666</v>
      </c>
      <c r="AA1652" s="46">
        <f t="shared" si="385"/>
        <v>0.33333333333333331</v>
      </c>
      <c r="AB1652" s="46">
        <f t="shared" si="386"/>
        <v>7.5925925925925911E-2</v>
      </c>
      <c r="AC1652" s="46">
        <f t="shared" si="387"/>
        <v>7.7777777777777765E-2</v>
      </c>
      <c r="AD1652" s="44" t="str">
        <f t="shared" si="388"/>
        <v>Over</v>
      </c>
      <c r="AE1652" s="44" t="str">
        <f>IFERROR(VLOOKUP(A1652,'[1]Re-order'!$A:$AA,27,0),"")</f>
        <v>Over</v>
      </c>
      <c r="AF1652" s="46">
        <f t="shared" si="389"/>
        <v>-0.92222222222222228</v>
      </c>
      <c r="AG1652" s="46">
        <f>SUMIFS('[1]Raw Inventory'!D:D,'[1]Raw Inventory'!C:C,"GREATWALL",'[1]Raw Inventory'!B:B,A1652)</f>
        <v>0</v>
      </c>
      <c r="AH1652" s="46">
        <f>SUMIFS('[1]Raw Inventory'!D:D,'[1]Raw Inventory'!C:C,"DUARTE",'[1]Raw Inventory'!B:B,A1652)</f>
        <v>0</v>
      </c>
      <c r="AI1652" s="46"/>
      <c r="AJ1652" s="46"/>
      <c r="AK1652" s="43"/>
      <c r="AL1652" s="43"/>
      <c r="AM1652" s="43"/>
      <c r="AN1652" s="43"/>
      <c r="AO1652" s="43"/>
      <c r="AP1652" s="43"/>
      <c r="AQ1652" s="43"/>
      <c r="AR1652" s="43"/>
      <c r="AS1652" s="43"/>
      <c r="AT1652" s="43"/>
    </row>
    <row r="1653" spans="1:46">
      <c r="A1653" s="43" t="s">
        <v>46</v>
      </c>
      <c r="B1653" s="43" t="s">
        <v>115</v>
      </c>
      <c r="C1653" s="43" t="s">
        <v>109</v>
      </c>
      <c r="D1653" s="44" t="s">
        <v>229</v>
      </c>
      <c r="E1653" s="44">
        <v>25</v>
      </c>
      <c r="F1653" s="44" t="s">
        <v>3</v>
      </c>
      <c r="G1653" s="43" t="str">
        <f>IFERROR(VLOOKUP(A1653,'[1]MC Masterlist 2026-09-12'!$B:$M, 3, 0),"")</f>
        <v>HONDA</v>
      </c>
      <c r="H1653" s="45">
        <f>IFERROR(VLOOKUP(A1653,'[1]MC Masterlist 2026-09-12'!$B:$M, 6, 0),"")</f>
        <v>73630</v>
      </c>
      <c r="I1653" s="46">
        <v>0</v>
      </c>
      <c r="J1653" s="46">
        <v>1</v>
      </c>
      <c r="K1653" s="46">
        <v>0</v>
      </c>
      <c r="L1653" s="46">
        <f t="shared" si="375"/>
        <v>1</v>
      </c>
      <c r="M1653" s="46">
        <f t="shared" si="376"/>
        <v>0.33333333333333331</v>
      </c>
      <c r="N1653" s="45">
        <f t="shared" si="377"/>
        <v>73630</v>
      </c>
      <c r="O1653" s="45">
        <f t="shared" si="378"/>
        <v>24543.333333333332</v>
      </c>
      <c r="P1653" s="46">
        <f t="shared" si="379"/>
        <v>1.111111111111111E-2</v>
      </c>
      <c r="Q1653" s="46">
        <v>2</v>
      </c>
      <c r="R1653" s="45">
        <f t="shared" si="380"/>
        <v>147260</v>
      </c>
      <c r="S1653" s="46">
        <f t="shared" si="381"/>
        <v>180</v>
      </c>
      <c r="T1653" s="46">
        <f>IFERROR(VLOOKUP(A1653,'[1]Re-order'!$A:$Q,17,0),"")</f>
        <v>51</v>
      </c>
      <c r="U1653" s="46">
        <f>IFERROR(VLOOKUP(A1653,'[1]MC Masterlist 2026-09-12'!$B:$M, 10, 0),0)</f>
        <v>15</v>
      </c>
      <c r="V1653" s="46">
        <f>IFERROR(VLOOKUP(A1653,'[1]MC Masterlist 2026-09-12'!$B:$M, 11, 0),0)</f>
        <v>15</v>
      </c>
      <c r="W1653" s="46">
        <f t="shared" si="382"/>
        <v>30</v>
      </c>
      <c r="X1653" s="46">
        <f t="shared" si="383"/>
        <v>29.833333333333332</v>
      </c>
      <c r="Y1653" s="46">
        <f>IFERROR(IF(OR(C1653="AREA I",C1653="AREA V"),7,VLOOKUP(A1653,'[1]MC Masterlist 2026-09-12'!$B:$M, 12, 0)),0)</f>
        <v>30</v>
      </c>
      <c r="Z1653" s="46">
        <f t="shared" si="384"/>
        <v>0.16666666666666666</v>
      </c>
      <c r="AA1653" s="46">
        <f t="shared" si="385"/>
        <v>0.33333333333333331</v>
      </c>
      <c r="AB1653" s="46">
        <f t="shared" si="386"/>
        <v>0.33148148148148143</v>
      </c>
      <c r="AC1653" s="46">
        <f t="shared" si="387"/>
        <v>0.33333333333333331</v>
      </c>
      <c r="AD1653" s="44" t="str">
        <f t="shared" si="388"/>
        <v>Over</v>
      </c>
      <c r="AE1653" s="44" t="str">
        <f>IFERROR(VLOOKUP(A1653,'[1]Re-order'!$A:$AA,27,0),"")</f>
        <v>Re-order</v>
      </c>
      <c r="AF1653" s="46">
        <f t="shared" si="389"/>
        <v>-1.6666666666666667</v>
      </c>
      <c r="AG1653" s="46">
        <f>SUMIFS('[1]Raw Inventory'!D:D,'[1]Raw Inventory'!C:C,"GREATWALL",'[1]Raw Inventory'!B:B,A1653)</f>
        <v>0</v>
      </c>
      <c r="AH1653" s="46">
        <f>SUMIFS('[1]Raw Inventory'!D:D,'[1]Raw Inventory'!C:C,"DUARTE",'[1]Raw Inventory'!B:B,A1653)</f>
        <v>0</v>
      </c>
      <c r="AI1653" s="46"/>
      <c r="AJ1653" s="46"/>
      <c r="AK1653" s="43"/>
      <c r="AL1653" s="43"/>
      <c r="AM1653" s="43"/>
      <c r="AN1653" s="43"/>
      <c r="AO1653" s="43"/>
      <c r="AP1653" s="43"/>
      <c r="AQ1653" s="43"/>
      <c r="AR1653" s="43"/>
      <c r="AS1653" s="43"/>
      <c r="AT1653" s="4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62"/>
  <sheetViews>
    <sheetView workbookViewId="0"/>
  </sheetViews>
  <sheetFormatPr defaultRowHeight="14"/>
  <cols>
    <col min="1" max="1" width="43" customWidth="1"/>
    <col min="2" max="2" width="4" customWidth="1"/>
    <col min="3" max="14" width="13" customWidth="1"/>
  </cols>
  <sheetData>
    <row r="1" spans="1:14" ht="15.4" customHeight="1">
      <c r="A1" s="7" t="s">
        <v>163</v>
      </c>
      <c r="B1" s="8"/>
      <c r="C1" s="15">
        <f t="shared" ref="C1:N1" si="0">IF(COUNT(C4:C17)=0,"",AVERAGE(C3,C8,C13))</f>
        <v>0.2409784624162031</v>
      </c>
      <c r="D1" s="15">
        <f t="shared" si="0"/>
        <v>0.12974573319400906</v>
      </c>
      <c r="E1" s="15">
        <f t="shared" si="0"/>
        <v>0.1219047619047619</v>
      </c>
      <c r="F1" s="15">
        <f t="shared" si="0"/>
        <v>0.13411764705882354</v>
      </c>
      <c r="G1" s="15">
        <f t="shared" si="0"/>
        <v>0.12141073657927591</v>
      </c>
      <c r="H1" s="15">
        <f t="shared" si="0"/>
        <v>9.7826086956521743E-2</v>
      </c>
      <c r="I1" s="15">
        <f t="shared" si="0"/>
        <v>5.7762557077625565E-2</v>
      </c>
      <c r="J1" s="15">
        <f t="shared" si="0"/>
        <v>4.4444444444444446E-2</v>
      </c>
      <c r="K1" s="15">
        <f t="shared" si="0"/>
        <v>4.0140845070422537E-2</v>
      </c>
      <c r="L1" s="15" t="str">
        <f t="shared" si="0"/>
        <v/>
      </c>
      <c r="M1" s="15" t="str">
        <f t="shared" si="0"/>
        <v/>
      </c>
      <c r="N1" s="16" t="str">
        <f t="shared" si="0"/>
        <v/>
      </c>
    </row>
    <row r="2" spans="1:14" ht="12.65" customHeight="1">
      <c r="A2" s="11"/>
      <c r="B2" s="12"/>
      <c r="C2" s="27">
        <v>46053</v>
      </c>
      <c r="D2" s="27">
        <v>46081</v>
      </c>
      <c r="E2" s="27">
        <v>46112</v>
      </c>
      <c r="F2" s="27">
        <v>46142</v>
      </c>
      <c r="G2" s="27">
        <v>46173</v>
      </c>
      <c r="H2" s="27">
        <v>46203</v>
      </c>
      <c r="I2" s="27">
        <v>46234</v>
      </c>
      <c r="J2" s="27">
        <v>46265</v>
      </c>
      <c r="K2" s="36">
        <v>46276</v>
      </c>
      <c r="L2" s="27"/>
      <c r="M2" s="27"/>
      <c r="N2" s="28"/>
    </row>
    <row r="3" spans="1:14" ht="12.65" customHeight="1">
      <c r="A3" s="14" t="s">
        <v>0</v>
      </c>
      <c r="B3" s="13"/>
      <c r="C3" s="32">
        <f t="shared" ref="C3:N3" si="1">IF(SUM(C4:C7)=0,"",C6/SUM(C4:C7))</f>
        <v>0.33333333333333331</v>
      </c>
      <c r="D3" s="32">
        <f t="shared" si="1"/>
        <v>9.0909090909090912E-2</v>
      </c>
      <c r="E3" s="32">
        <f t="shared" si="1"/>
        <v>0</v>
      </c>
      <c r="F3" s="32">
        <f t="shared" si="1"/>
        <v>0</v>
      </c>
      <c r="G3" s="32">
        <f t="shared" si="1"/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 t="str">
        <f t="shared" si="1"/>
        <v/>
      </c>
      <c r="M3" s="32" t="str">
        <f t="shared" si="1"/>
        <v/>
      </c>
      <c r="N3" s="33" t="str">
        <f t="shared" si="1"/>
        <v/>
      </c>
    </row>
    <row r="4" spans="1:14" ht="12.65" customHeight="1">
      <c r="A4" s="3" t="s">
        <v>13</v>
      </c>
      <c r="B4" s="2"/>
      <c r="C4" s="21">
        <v>4</v>
      </c>
      <c r="D4" s="21">
        <v>2</v>
      </c>
      <c r="E4" s="21">
        <v>3</v>
      </c>
      <c r="F4" s="21">
        <v>3</v>
      </c>
      <c r="G4" s="21">
        <v>2</v>
      </c>
      <c r="H4" s="21">
        <v>5</v>
      </c>
      <c r="I4" s="21">
        <v>4</v>
      </c>
      <c r="J4" s="21">
        <v>4</v>
      </c>
      <c r="K4" s="1">
        <v>4</v>
      </c>
      <c r="L4" s="21"/>
      <c r="M4" s="21"/>
      <c r="N4" s="22"/>
    </row>
    <row r="5" spans="1:14" ht="12.65" customHeight="1">
      <c r="A5" s="3" t="s">
        <v>164</v>
      </c>
      <c r="B5" s="2"/>
      <c r="C5" s="21">
        <v>2</v>
      </c>
      <c r="D5" s="21">
        <v>7</v>
      </c>
      <c r="E5" s="21">
        <v>4</v>
      </c>
      <c r="F5" s="21">
        <v>7</v>
      </c>
      <c r="G5" s="21">
        <v>6</v>
      </c>
      <c r="H5" s="21">
        <v>4</v>
      </c>
      <c r="I5" s="21">
        <v>3</v>
      </c>
      <c r="J5" s="21">
        <v>3</v>
      </c>
      <c r="K5" s="1">
        <v>2</v>
      </c>
      <c r="L5" s="21"/>
      <c r="M5" s="21"/>
      <c r="N5" s="22"/>
    </row>
    <row r="6" spans="1:14" ht="12.65" customHeight="1">
      <c r="A6" s="31" t="s">
        <v>15</v>
      </c>
      <c r="B6" s="2"/>
      <c r="C6" s="21">
        <v>3</v>
      </c>
      <c r="D6" s="21">
        <v>1</v>
      </c>
      <c r="E6" s="21"/>
      <c r="F6" s="21"/>
      <c r="G6" s="21"/>
      <c r="H6" s="21"/>
      <c r="I6" s="21"/>
      <c r="J6" s="21"/>
      <c r="K6" s="21"/>
      <c r="L6" s="21"/>
      <c r="M6" s="21"/>
      <c r="N6" s="22"/>
    </row>
    <row r="7" spans="1:14" ht="12.65" customHeight="1">
      <c r="A7" s="3" t="s">
        <v>165</v>
      </c>
      <c r="B7" s="2"/>
      <c r="C7" s="21"/>
      <c r="D7" s="21">
        <v>1</v>
      </c>
      <c r="E7" s="21">
        <v>4</v>
      </c>
      <c r="F7" s="21"/>
      <c r="G7" s="21">
        <v>1</v>
      </c>
      <c r="H7" s="21"/>
      <c r="I7" s="21">
        <v>2</v>
      </c>
      <c r="J7" s="21">
        <v>2</v>
      </c>
      <c r="K7" s="21">
        <v>3</v>
      </c>
      <c r="L7" s="21"/>
      <c r="M7" s="21"/>
      <c r="N7" s="22"/>
    </row>
    <row r="8" spans="1:14" ht="12.65" customHeight="1">
      <c r="A8" s="14" t="s">
        <v>2</v>
      </c>
      <c r="B8" s="13"/>
      <c r="C8" s="32">
        <f t="shared" ref="C8:N8" si="2">IF(SUM(C9:C12)=0,"",C11/SUM(C9:C12))</f>
        <v>0.15789473684210525</v>
      </c>
      <c r="D8" s="32">
        <f t="shared" si="2"/>
        <v>4.5454545454545456E-2</v>
      </c>
      <c r="E8" s="32">
        <f t="shared" si="2"/>
        <v>0.08</v>
      </c>
      <c r="F8" s="32">
        <f t="shared" si="2"/>
        <v>0.12</v>
      </c>
      <c r="G8" s="32">
        <f t="shared" si="2"/>
        <v>8.3333333333333329E-2</v>
      </c>
      <c r="H8" s="32">
        <f t="shared" si="2"/>
        <v>0</v>
      </c>
      <c r="I8" s="32">
        <f t="shared" si="2"/>
        <v>0.05</v>
      </c>
      <c r="J8" s="32">
        <f t="shared" si="2"/>
        <v>4.7619047619047616E-2</v>
      </c>
      <c r="K8" s="32">
        <f t="shared" si="2"/>
        <v>0.05</v>
      </c>
      <c r="L8" s="32" t="str">
        <f t="shared" si="2"/>
        <v/>
      </c>
      <c r="M8" s="32" t="str">
        <f t="shared" si="2"/>
        <v/>
      </c>
      <c r="N8" s="33" t="str">
        <f t="shared" si="2"/>
        <v/>
      </c>
    </row>
    <row r="9" spans="1:14" ht="12.65" customHeight="1">
      <c r="A9" s="3" t="s">
        <v>13</v>
      </c>
      <c r="B9" s="2"/>
      <c r="C9" s="21">
        <v>11</v>
      </c>
      <c r="D9" s="21">
        <v>8</v>
      </c>
      <c r="E9" s="21">
        <v>7</v>
      </c>
      <c r="F9" s="21">
        <v>10</v>
      </c>
      <c r="G9" s="21">
        <v>11</v>
      </c>
      <c r="H9" s="21">
        <v>14</v>
      </c>
      <c r="I9" s="21">
        <v>16</v>
      </c>
      <c r="J9" s="21">
        <v>19</v>
      </c>
      <c r="K9" s="21">
        <v>18</v>
      </c>
      <c r="L9" s="21"/>
      <c r="M9" s="21"/>
      <c r="N9" s="22"/>
    </row>
    <row r="10" spans="1:14" ht="12.65" customHeight="1">
      <c r="A10" s="3" t="s">
        <v>164</v>
      </c>
      <c r="B10" s="2"/>
      <c r="C10" s="21">
        <v>5</v>
      </c>
      <c r="D10" s="21">
        <v>12</v>
      </c>
      <c r="E10" s="21">
        <v>14</v>
      </c>
      <c r="F10" s="21">
        <v>11</v>
      </c>
      <c r="G10" s="21">
        <v>9</v>
      </c>
      <c r="H10" s="21">
        <v>4</v>
      </c>
      <c r="I10" s="21">
        <v>2</v>
      </c>
      <c r="J10" s="21">
        <v>1</v>
      </c>
      <c r="K10" s="21"/>
      <c r="L10" s="21"/>
      <c r="M10" s="21"/>
      <c r="N10" s="22"/>
    </row>
    <row r="11" spans="1:14" ht="12.65" customHeight="1">
      <c r="A11" s="31" t="s">
        <v>15</v>
      </c>
      <c r="B11" s="2"/>
      <c r="C11" s="21">
        <v>3</v>
      </c>
      <c r="D11" s="21">
        <v>1</v>
      </c>
      <c r="E11" s="21">
        <v>2</v>
      </c>
      <c r="F11" s="21">
        <v>3</v>
      </c>
      <c r="G11" s="21">
        <v>2</v>
      </c>
      <c r="H11" s="21"/>
      <c r="I11" s="21">
        <v>1</v>
      </c>
      <c r="J11" s="21">
        <v>1</v>
      </c>
      <c r="K11" s="21">
        <v>1</v>
      </c>
      <c r="L11" s="21"/>
      <c r="M11" s="21"/>
      <c r="N11" s="22"/>
    </row>
    <row r="12" spans="1:14" ht="12.65" customHeight="1">
      <c r="A12" s="3" t="s">
        <v>165</v>
      </c>
      <c r="B12" s="2"/>
      <c r="C12" s="21"/>
      <c r="D12" s="21">
        <v>1</v>
      </c>
      <c r="E12" s="21">
        <v>2</v>
      </c>
      <c r="F12" s="21">
        <v>1</v>
      </c>
      <c r="G12" s="21">
        <v>2</v>
      </c>
      <c r="H12" s="21">
        <v>4</v>
      </c>
      <c r="I12" s="21">
        <v>1</v>
      </c>
      <c r="J12" s="21"/>
      <c r="K12" s="21">
        <v>1</v>
      </c>
      <c r="L12" s="21"/>
      <c r="M12" s="21"/>
      <c r="N12" s="22"/>
    </row>
    <row r="13" spans="1:14" ht="12.65" customHeight="1">
      <c r="A13" s="14" t="s">
        <v>3</v>
      </c>
      <c r="B13" s="13"/>
      <c r="C13" s="32">
        <f t="shared" ref="C13:N13" si="3">IF(SUM(C14:C17)=0,"",C16/SUM(C14:C17))</f>
        <v>0.23170731707317074</v>
      </c>
      <c r="D13" s="32">
        <f t="shared" si="3"/>
        <v>0.25287356321839083</v>
      </c>
      <c r="E13" s="32">
        <f t="shared" si="3"/>
        <v>0.2857142857142857</v>
      </c>
      <c r="F13" s="32">
        <f t="shared" si="3"/>
        <v>0.28235294117647058</v>
      </c>
      <c r="G13" s="32">
        <f t="shared" si="3"/>
        <v>0.2808988764044944</v>
      </c>
      <c r="H13" s="32">
        <f t="shared" si="3"/>
        <v>0.29347826086956524</v>
      </c>
      <c r="I13" s="32">
        <f t="shared" si="3"/>
        <v>0.12328767123287671</v>
      </c>
      <c r="J13" s="32">
        <f t="shared" si="3"/>
        <v>8.5714285714285715E-2</v>
      </c>
      <c r="K13" s="32">
        <f t="shared" si="3"/>
        <v>7.0422535211267609E-2</v>
      </c>
      <c r="L13" s="32" t="str">
        <f t="shared" si="3"/>
        <v/>
      </c>
      <c r="M13" s="32" t="str">
        <f t="shared" si="3"/>
        <v/>
      </c>
      <c r="N13" s="33" t="str">
        <f t="shared" si="3"/>
        <v/>
      </c>
    </row>
    <row r="14" spans="1:14" ht="12.65" customHeight="1">
      <c r="A14" s="3" t="s">
        <v>13</v>
      </c>
      <c r="B14" s="2"/>
      <c r="C14" s="21">
        <v>57</v>
      </c>
      <c r="D14" s="21">
        <v>48</v>
      </c>
      <c r="E14" s="21">
        <v>44</v>
      </c>
      <c r="F14" s="21">
        <v>47</v>
      </c>
      <c r="G14" s="21">
        <v>47</v>
      </c>
      <c r="H14" s="21">
        <v>55</v>
      </c>
      <c r="I14" s="21">
        <v>53</v>
      </c>
      <c r="J14" s="21">
        <v>56</v>
      </c>
      <c r="K14" s="1">
        <v>60</v>
      </c>
      <c r="L14" s="21"/>
      <c r="M14" s="21"/>
      <c r="N14" s="22"/>
    </row>
    <row r="15" spans="1:14" ht="12.65" customHeight="1">
      <c r="A15" s="3" t="s">
        <v>164</v>
      </c>
      <c r="B15" s="2"/>
      <c r="C15" s="21">
        <v>6</v>
      </c>
      <c r="D15" s="21">
        <v>9</v>
      </c>
      <c r="E15" s="21">
        <v>11</v>
      </c>
      <c r="F15" s="21">
        <v>10</v>
      </c>
      <c r="G15" s="21">
        <v>12</v>
      </c>
      <c r="H15" s="21">
        <v>6</v>
      </c>
      <c r="I15" s="21">
        <v>5</v>
      </c>
      <c r="J15" s="21">
        <v>4</v>
      </c>
      <c r="K15" s="1">
        <v>4</v>
      </c>
      <c r="L15" s="21"/>
      <c r="M15" s="21"/>
      <c r="N15" s="22"/>
    </row>
    <row r="16" spans="1:14" ht="12.65" customHeight="1">
      <c r="A16" s="31" t="s">
        <v>15</v>
      </c>
      <c r="B16" s="2"/>
      <c r="C16" s="21">
        <v>19</v>
      </c>
      <c r="D16" s="21">
        <v>22</v>
      </c>
      <c r="E16" s="21">
        <v>24</v>
      </c>
      <c r="F16" s="21">
        <v>24</v>
      </c>
      <c r="G16" s="21">
        <v>25</v>
      </c>
      <c r="H16" s="21">
        <v>27</v>
      </c>
      <c r="I16" s="21">
        <v>9</v>
      </c>
      <c r="J16" s="21">
        <v>6</v>
      </c>
      <c r="K16" s="1">
        <v>5</v>
      </c>
      <c r="L16" s="21"/>
      <c r="M16" s="21"/>
      <c r="N16" s="22"/>
    </row>
    <row r="17" spans="1:14" ht="12.65" customHeight="1">
      <c r="A17" s="3" t="s">
        <v>165</v>
      </c>
      <c r="B17" s="2"/>
      <c r="C17" s="21"/>
      <c r="D17" s="21">
        <v>8</v>
      </c>
      <c r="E17" s="21">
        <v>5</v>
      </c>
      <c r="F17" s="21">
        <v>4</v>
      </c>
      <c r="G17" s="21">
        <v>5</v>
      </c>
      <c r="H17" s="21">
        <v>4</v>
      </c>
      <c r="I17" s="21">
        <v>6</v>
      </c>
      <c r="J17" s="21">
        <v>4</v>
      </c>
      <c r="K17" s="21">
        <v>2</v>
      </c>
      <c r="L17" s="21"/>
      <c r="M17" s="21"/>
      <c r="N17" s="22"/>
    </row>
    <row r="18" spans="1:14" ht="12.65" customHeight="1">
      <c r="A18" s="3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4"/>
    </row>
    <row r="19" spans="1:14" ht="15.4" customHeight="1">
      <c r="A19" s="9" t="s">
        <v>166</v>
      </c>
      <c r="B19" s="10"/>
      <c r="C19" s="17">
        <f t="shared" ref="C19:N19" si="4">IF(COUNT(C22:C35)=0,"",AVERAGE(C21,C26,C31))</f>
        <v>0.28471765884997069</v>
      </c>
      <c r="D19" s="17">
        <f t="shared" si="4"/>
        <v>0.34117070973688618</v>
      </c>
      <c r="E19" s="17">
        <f t="shared" si="4"/>
        <v>0.28122401881803033</v>
      </c>
      <c r="F19" s="17">
        <f t="shared" si="4"/>
        <v>0.29239091677189105</v>
      </c>
      <c r="G19" s="17">
        <f t="shared" si="4"/>
        <v>0.30812033733936789</v>
      </c>
      <c r="H19" s="17">
        <f t="shared" si="4"/>
        <v>0.35974565612191545</v>
      </c>
      <c r="I19" s="17">
        <f t="shared" si="4"/>
        <v>0.3445478507704785</v>
      </c>
      <c r="J19" s="17">
        <f t="shared" si="4"/>
        <v>0.32076102530964701</v>
      </c>
      <c r="K19" s="17">
        <f t="shared" si="4"/>
        <v>0.33450538078201869</v>
      </c>
      <c r="L19" s="17" t="str">
        <f t="shared" si="4"/>
        <v/>
      </c>
      <c r="M19" s="17" t="str">
        <f t="shared" si="4"/>
        <v/>
      </c>
      <c r="N19" s="18" t="str">
        <f t="shared" si="4"/>
        <v/>
      </c>
    </row>
    <row r="20" spans="1:14" ht="12.65" customHeight="1">
      <c r="A20" s="11"/>
      <c r="B20" s="12"/>
      <c r="C20" s="29">
        <f t="shared" ref="C20:N20" si="5">IF(C2="","",C2)</f>
        <v>46053</v>
      </c>
      <c r="D20" s="29">
        <f t="shared" si="5"/>
        <v>46081</v>
      </c>
      <c r="E20" s="29">
        <f t="shared" si="5"/>
        <v>46112</v>
      </c>
      <c r="F20" s="29">
        <f t="shared" si="5"/>
        <v>46142</v>
      </c>
      <c r="G20" s="29">
        <f t="shared" si="5"/>
        <v>46173</v>
      </c>
      <c r="H20" s="29">
        <f t="shared" si="5"/>
        <v>46203</v>
      </c>
      <c r="I20" s="29">
        <f t="shared" si="5"/>
        <v>46234</v>
      </c>
      <c r="J20" s="29">
        <f t="shared" si="5"/>
        <v>46265</v>
      </c>
      <c r="K20" s="36">
        <f>K2</f>
        <v>46276</v>
      </c>
      <c r="L20" s="29" t="str">
        <f t="shared" si="5"/>
        <v/>
      </c>
      <c r="M20" s="29" t="str">
        <f t="shared" si="5"/>
        <v/>
      </c>
      <c r="N20" s="30" t="str">
        <f t="shared" si="5"/>
        <v/>
      </c>
    </row>
    <row r="21" spans="1:14" ht="12.65" customHeight="1">
      <c r="A21" s="14" t="s">
        <v>172</v>
      </c>
      <c r="B21" s="13"/>
      <c r="C21" s="32">
        <f t="shared" ref="C21:N21" si="6">IF(SUM(C22:C25)=0,"",C24/SUM(C22:C25))</f>
        <v>0.40889830508474578</v>
      </c>
      <c r="D21" s="32">
        <f t="shared" si="6"/>
        <v>0.44062499999999999</v>
      </c>
      <c r="E21" s="32">
        <f t="shared" si="6"/>
        <v>0.28273809523809523</v>
      </c>
      <c r="F21" s="32">
        <f t="shared" si="6"/>
        <v>0.30630630630630629</v>
      </c>
      <c r="G21" s="32">
        <f t="shared" si="6"/>
        <v>0.3396825396825397</v>
      </c>
      <c r="H21" s="32">
        <f t="shared" si="6"/>
        <v>0.43448275862068964</v>
      </c>
      <c r="I21" s="32">
        <f t="shared" si="6"/>
        <v>0.3978102189781022</v>
      </c>
      <c r="J21" s="32">
        <f t="shared" si="6"/>
        <v>0.3611111111111111</v>
      </c>
      <c r="K21" s="32">
        <f t="shared" si="6"/>
        <v>0.37671232876712329</v>
      </c>
      <c r="L21" s="32" t="str">
        <f t="shared" si="6"/>
        <v/>
      </c>
      <c r="M21" s="32" t="str">
        <f t="shared" si="6"/>
        <v/>
      </c>
      <c r="N21" s="33" t="str">
        <f t="shared" si="6"/>
        <v/>
      </c>
    </row>
    <row r="22" spans="1:14" ht="12.65" customHeight="1">
      <c r="A22" s="3" t="s">
        <v>13</v>
      </c>
      <c r="B22" s="2"/>
      <c r="C22" s="21">
        <v>239</v>
      </c>
      <c r="D22" s="21">
        <v>150</v>
      </c>
      <c r="E22" s="21">
        <v>174</v>
      </c>
      <c r="F22" s="21">
        <v>186</v>
      </c>
      <c r="G22" s="21">
        <v>166</v>
      </c>
      <c r="H22" s="21">
        <v>112</v>
      </c>
      <c r="I22" s="21">
        <v>129</v>
      </c>
      <c r="J22" s="21">
        <v>141</v>
      </c>
      <c r="K22" s="1">
        <v>152</v>
      </c>
      <c r="L22" s="21"/>
      <c r="M22" s="21"/>
      <c r="N22" s="22"/>
    </row>
    <row r="23" spans="1:14" ht="12.65" customHeight="1">
      <c r="A23" s="3" t="s">
        <v>164</v>
      </c>
      <c r="B23" s="2"/>
      <c r="C23" s="21">
        <v>40</v>
      </c>
      <c r="D23" s="21">
        <v>29</v>
      </c>
      <c r="E23" s="21">
        <v>67</v>
      </c>
      <c r="F23" s="21">
        <v>45</v>
      </c>
      <c r="G23" s="21">
        <v>42</v>
      </c>
      <c r="H23" s="21">
        <v>52</v>
      </c>
      <c r="I23" s="21">
        <v>36</v>
      </c>
      <c r="J23" s="21">
        <v>43</v>
      </c>
      <c r="K23" s="1">
        <v>30</v>
      </c>
      <c r="L23" s="21"/>
      <c r="M23" s="21"/>
      <c r="N23" s="22"/>
    </row>
    <row r="24" spans="1:14" ht="12.65" customHeight="1">
      <c r="A24" s="31" t="s">
        <v>15</v>
      </c>
      <c r="B24" s="2"/>
      <c r="C24" s="21">
        <v>193</v>
      </c>
      <c r="D24" s="21">
        <v>141</v>
      </c>
      <c r="E24" s="21">
        <v>95</v>
      </c>
      <c r="F24" s="21">
        <v>102</v>
      </c>
      <c r="G24" s="21">
        <v>107</v>
      </c>
      <c r="H24" s="21">
        <v>126</v>
      </c>
      <c r="I24" s="21">
        <v>109</v>
      </c>
      <c r="J24" s="21">
        <v>104</v>
      </c>
      <c r="K24" s="1">
        <v>110</v>
      </c>
      <c r="L24" s="21"/>
      <c r="M24" s="21"/>
      <c r="N24" s="22"/>
    </row>
    <row r="25" spans="1:14" ht="12.65" customHeight="1">
      <c r="A25" s="3" t="s">
        <v>165</v>
      </c>
      <c r="B25" s="2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2"/>
    </row>
    <row r="26" spans="1:14" ht="12.65" customHeight="1">
      <c r="A26" s="14" t="s">
        <v>2</v>
      </c>
      <c r="B26" s="13"/>
      <c r="C26" s="32">
        <f t="shared" ref="C26:N26" si="7">IF(SUM(C27:C30)=0,"",C29/SUM(C27:C30))</f>
        <v>0.1609907120743034</v>
      </c>
      <c r="D26" s="32">
        <f t="shared" si="7"/>
        <v>0.38803418803418804</v>
      </c>
      <c r="E26" s="32">
        <f t="shared" si="7"/>
        <v>0.3768595041322314</v>
      </c>
      <c r="F26" s="32">
        <f t="shared" si="7"/>
        <v>0.38596491228070173</v>
      </c>
      <c r="G26" s="32">
        <f t="shared" si="7"/>
        <v>0.38240574506283664</v>
      </c>
      <c r="H26" s="32">
        <f t="shared" si="7"/>
        <v>0.4200743494423792</v>
      </c>
      <c r="I26" s="32">
        <f t="shared" si="7"/>
        <v>0.39583333333333331</v>
      </c>
      <c r="J26" s="32">
        <f t="shared" si="7"/>
        <v>0.38330170777988615</v>
      </c>
      <c r="K26" s="32">
        <f t="shared" si="7"/>
        <v>0.40607210626185958</v>
      </c>
      <c r="L26" s="32" t="str">
        <f t="shared" si="7"/>
        <v/>
      </c>
      <c r="M26" s="32" t="str">
        <f t="shared" si="7"/>
        <v/>
      </c>
      <c r="N26" s="33" t="str">
        <f t="shared" si="7"/>
        <v/>
      </c>
    </row>
    <row r="27" spans="1:14" ht="12.65" customHeight="1">
      <c r="A27" s="3" t="s">
        <v>13</v>
      </c>
      <c r="B27" s="2"/>
      <c r="C27" s="21">
        <v>512</v>
      </c>
      <c r="D27" s="21">
        <v>313</v>
      </c>
      <c r="E27" s="21">
        <v>346</v>
      </c>
      <c r="F27" s="21">
        <v>324</v>
      </c>
      <c r="G27" s="21">
        <v>309</v>
      </c>
      <c r="H27" s="21">
        <v>269</v>
      </c>
      <c r="I27" s="21">
        <v>278</v>
      </c>
      <c r="J27" s="21">
        <v>294</v>
      </c>
      <c r="K27" s="1">
        <v>283</v>
      </c>
      <c r="L27" s="21"/>
      <c r="M27" s="21"/>
      <c r="N27" s="22"/>
    </row>
    <row r="28" spans="1:14" ht="12.65" customHeight="1">
      <c r="A28" s="3" t="s">
        <v>164</v>
      </c>
      <c r="B28" s="2"/>
      <c r="C28" s="21">
        <v>30</v>
      </c>
      <c r="D28" s="21">
        <v>45</v>
      </c>
      <c r="E28" s="21">
        <v>31</v>
      </c>
      <c r="F28" s="21">
        <v>26</v>
      </c>
      <c r="G28" s="21">
        <v>35</v>
      </c>
      <c r="H28" s="21">
        <v>43</v>
      </c>
      <c r="I28" s="21">
        <v>41</v>
      </c>
      <c r="J28" s="21">
        <v>31</v>
      </c>
      <c r="K28" s="1">
        <v>30</v>
      </c>
      <c r="L28" s="21"/>
      <c r="M28" s="21"/>
      <c r="N28" s="22"/>
    </row>
    <row r="29" spans="1:14" ht="12.65" customHeight="1">
      <c r="A29" s="31" t="s">
        <v>15</v>
      </c>
      <c r="B29" s="2"/>
      <c r="C29" s="21">
        <v>104</v>
      </c>
      <c r="D29" s="21">
        <v>227</v>
      </c>
      <c r="E29" s="21">
        <v>228</v>
      </c>
      <c r="F29" s="21">
        <v>220</v>
      </c>
      <c r="G29" s="21">
        <v>213</v>
      </c>
      <c r="H29" s="21">
        <v>226</v>
      </c>
      <c r="I29" s="21">
        <v>209</v>
      </c>
      <c r="J29" s="21">
        <v>202</v>
      </c>
      <c r="K29" s="1">
        <v>214</v>
      </c>
      <c r="L29" s="21"/>
      <c r="M29" s="21"/>
      <c r="N29" s="22"/>
    </row>
    <row r="30" spans="1:14" ht="12.65" customHeight="1">
      <c r="A30" s="3" t="s">
        <v>165</v>
      </c>
      <c r="B30" s="2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2"/>
    </row>
    <row r="31" spans="1:14" ht="12.65" customHeight="1">
      <c r="A31" s="14" t="s">
        <v>3</v>
      </c>
      <c r="B31" s="13"/>
      <c r="C31" s="32">
        <f t="shared" ref="C31:N31" si="8">IF(SUM(C32:C35)=0,"",C34/SUM(C32:C35))</f>
        <v>0.28426395939086296</v>
      </c>
      <c r="D31" s="32">
        <f t="shared" si="8"/>
        <v>0.19485294117647059</v>
      </c>
      <c r="E31" s="32">
        <f t="shared" si="8"/>
        <v>0.18407445708376421</v>
      </c>
      <c r="F31" s="32">
        <f t="shared" si="8"/>
        <v>0.18490153172866522</v>
      </c>
      <c r="G31" s="32">
        <f t="shared" si="8"/>
        <v>0.20227272727272727</v>
      </c>
      <c r="H31" s="32">
        <f t="shared" si="8"/>
        <v>0.22467986030267753</v>
      </c>
      <c r="I31" s="32">
        <f t="shared" si="8"/>
        <v>0.24</v>
      </c>
      <c r="J31" s="32">
        <f t="shared" si="8"/>
        <v>0.21787025703794369</v>
      </c>
      <c r="K31" s="32">
        <f t="shared" si="8"/>
        <v>0.22073170731707317</v>
      </c>
      <c r="L31" s="32" t="str">
        <f t="shared" si="8"/>
        <v/>
      </c>
      <c r="M31" s="32" t="str">
        <f t="shared" si="8"/>
        <v/>
      </c>
      <c r="N31" s="33" t="str">
        <f t="shared" si="8"/>
        <v/>
      </c>
    </row>
    <row r="32" spans="1:14" ht="12.65" customHeight="1">
      <c r="A32" s="3" t="s">
        <v>13</v>
      </c>
      <c r="B32" s="2"/>
      <c r="C32" s="21">
        <v>561</v>
      </c>
      <c r="D32" s="21">
        <v>866</v>
      </c>
      <c r="E32" s="21">
        <v>788</v>
      </c>
      <c r="F32" s="21">
        <v>744</v>
      </c>
      <c r="G32" s="21">
        <v>702</v>
      </c>
      <c r="H32" s="21">
        <v>664</v>
      </c>
      <c r="I32" s="21">
        <v>646</v>
      </c>
      <c r="J32" s="21">
        <v>637</v>
      </c>
      <c r="K32" s="1">
        <v>638</v>
      </c>
      <c r="L32" s="21"/>
      <c r="M32" s="21"/>
      <c r="N32" s="22"/>
    </row>
    <row r="33" spans="1:14" ht="12.65" customHeight="1">
      <c r="A33" s="3" t="s">
        <v>164</v>
      </c>
      <c r="B33" s="2"/>
      <c r="C33" s="21">
        <v>3</v>
      </c>
      <c r="D33" s="21">
        <v>10</v>
      </c>
      <c r="E33" s="21">
        <v>1</v>
      </c>
      <c r="F33" s="21">
        <v>1</v>
      </c>
      <c r="G33" s="21"/>
      <c r="H33" s="21">
        <v>2</v>
      </c>
      <c r="I33" s="21"/>
      <c r="J33" s="21">
        <v>2</v>
      </c>
      <c r="K33" s="1">
        <v>1</v>
      </c>
      <c r="L33" s="21"/>
      <c r="M33" s="21"/>
      <c r="N33" s="22"/>
    </row>
    <row r="34" spans="1:14" ht="12.65" customHeight="1">
      <c r="A34" s="31" t="s">
        <v>15</v>
      </c>
      <c r="B34" s="2"/>
      <c r="C34" s="21">
        <v>224</v>
      </c>
      <c r="D34" s="21">
        <v>212</v>
      </c>
      <c r="E34" s="21">
        <v>178</v>
      </c>
      <c r="F34" s="21">
        <v>169</v>
      </c>
      <c r="G34" s="21">
        <v>178</v>
      </c>
      <c r="H34" s="21">
        <v>193</v>
      </c>
      <c r="I34" s="21">
        <v>204</v>
      </c>
      <c r="J34" s="21">
        <v>178</v>
      </c>
      <c r="K34" s="1">
        <v>181</v>
      </c>
      <c r="L34" s="21"/>
      <c r="M34" s="21"/>
      <c r="N34" s="22"/>
    </row>
    <row r="35" spans="1:14" ht="12.65" customHeight="1">
      <c r="A35" s="3" t="s">
        <v>165</v>
      </c>
      <c r="B35" s="2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2"/>
    </row>
    <row r="36" spans="1:14" ht="12.65" customHeight="1">
      <c r="A36" s="3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4"/>
    </row>
    <row r="37" spans="1:14" ht="15.4" customHeight="1">
      <c r="A37" s="9" t="s">
        <v>167</v>
      </c>
      <c r="B37" s="10"/>
      <c r="C37" s="17">
        <f t="shared" ref="C37:N37" si="9">IF(COUNT(C40:C53)=0,"",AVERAGE(C39,C44,C49))</f>
        <v>0.35025799793601653</v>
      </c>
      <c r="D37" s="17">
        <f t="shared" si="9"/>
        <v>0.3608498780912574</v>
      </c>
      <c r="E37" s="17">
        <f t="shared" si="9"/>
        <v>0.28311688311688316</v>
      </c>
      <c r="F37" s="17">
        <f t="shared" si="9"/>
        <v>0.26470588235294118</v>
      </c>
      <c r="G37" s="17">
        <f t="shared" si="9"/>
        <v>0.35200790678318766</v>
      </c>
      <c r="H37" s="17">
        <f t="shared" si="9"/>
        <v>0.45095886400234225</v>
      </c>
      <c r="I37" s="17">
        <f t="shared" si="9"/>
        <v>0.40651953323186191</v>
      </c>
      <c r="J37" s="17">
        <f t="shared" si="9"/>
        <v>0.2544973544973545</v>
      </c>
      <c r="K37" s="17">
        <f t="shared" si="9"/>
        <v>0.30607720396452792</v>
      </c>
      <c r="L37" s="17" t="str">
        <f t="shared" si="9"/>
        <v/>
      </c>
      <c r="M37" s="17" t="str">
        <f t="shared" si="9"/>
        <v/>
      </c>
      <c r="N37" s="18" t="str">
        <f t="shared" si="9"/>
        <v/>
      </c>
    </row>
    <row r="38" spans="1:14" ht="12.65" customHeight="1">
      <c r="A38" s="11"/>
      <c r="B38" s="12"/>
      <c r="C38" s="29">
        <f t="shared" ref="C38:N38" si="10">IF(C20="","",C20)</f>
        <v>46053</v>
      </c>
      <c r="D38" s="29">
        <f t="shared" si="10"/>
        <v>46081</v>
      </c>
      <c r="E38" s="29">
        <f t="shared" si="10"/>
        <v>46112</v>
      </c>
      <c r="F38" s="29">
        <f t="shared" si="10"/>
        <v>46142</v>
      </c>
      <c r="G38" s="29">
        <f t="shared" si="10"/>
        <v>46173</v>
      </c>
      <c r="H38" s="29">
        <f t="shared" si="10"/>
        <v>46203</v>
      </c>
      <c r="I38" s="29">
        <f t="shared" si="10"/>
        <v>46234</v>
      </c>
      <c r="J38" s="29">
        <f t="shared" si="10"/>
        <v>46265</v>
      </c>
      <c r="K38" s="36">
        <f>K2</f>
        <v>46276</v>
      </c>
      <c r="L38" s="29" t="str">
        <f t="shared" si="10"/>
        <v/>
      </c>
      <c r="M38" s="29" t="str">
        <f t="shared" si="10"/>
        <v/>
      </c>
      <c r="N38" s="30" t="str">
        <f t="shared" si="10"/>
        <v/>
      </c>
    </row>
    <row r="39" spans="1:14" ht="12.65" customHeight="1">
      <c r="A39" s="14" t="s">
        <v>0</v>
      </c>
      <c r="B39" s="13"/>
      <c r="C39" s="32">
        <f t="shared" ref="C39:N39" si="11">IF(SUM(C40:C43)=0,"",C42/SUM(C40:C43))</f>
        <v>0.4</v>
      </c>
      <c r="D39" s="32">
        <f t="shared" si="11"/>
        <v>0.63636363636363635</v>
      </c>
      <c r="E39" s="32">
        <f t="shared" si="11"/>
        <v>0.36363636363636365</v>
      </c>
      <c r="F39" s="32">
        <f t="shared" si="11"/>
        <v>0.3</v>
      </c>
      <c r="G39" s="32">
        <f t="shared" si="11"/>
        <v>0.55555555555555558</v>
      </c>
      <c r="H39" s="32">
        <f t="shared" si="11"/>
        <v>0.77777777777777779</v>
      </c>
      <c r="I39" s="32">
        <f t="shared" si="11"/>
        <v>0.77777777777777779</v>
      </c>
      <c r="J39" s="32">
        <f t="shared" si="11"/>
        <v>0.44444444444444442</v>
      </c>
      <c r="K39" s="32">
        <f t="shared" si="11"/>
        <v>0.55555555555555558</v>
      </c>
      <c r="L39" s="32" t="str">
        <f t="shared" si="11"/>
        <v/>
      </c>
      <c r="M39" s="32" t="str">
        <f t="shared" si="11"/>
        <v/>
      </c>
      <c r="N39" s="33" t="str">
        <f t="shared" si="11"/>
        <v/>
      </c>
    </row>
    <row r="40" spans="1:14" ht="12.65" customHeight="1">
      <c r="A40" s="3" t="s">
        <v>13</v>
      </c>
      <c r="B40" s="2"/>
      <c r="C40" s="21">
        <v>1</v>
      </c>
      <c r="D40" s="21">
        <v>1</v>
      </c>
      <c r="E40" s="21"/>
      <c r="F40" s="21">
        <v>2</v>
      </c>
      <c r="G40" s="21"/>
      <c r="H40" s="21"/>
      <c r="I40" s="21"/>
      <c r="J40" s="21"/>
      <c r="K40" s="21"/>
      <c r="L40" s="21"/>
      <c r="M40" s="21"/>
      <c r="N40" s="22"/>
    </row>
    <row r="41" spans="1:14" ht="12.65" customHeight="1">
      <c r="A41" s="3" t="s">
        <v>164</v>
      </c>
      <c r="B41" s="2"/>
      <c r="C41" s="21">
        <v>5</v>
      </c>
      <c r="D41" s="21">
        <v>3</v>
      </c>
      <c r="E41" s="21">
        <v>5</v>
      </c>
      <c r="F41" s="21">
        <v>5</v>
      </c>
      <c r="G41" s="21">
        <v>3</v>
      </c>
      <c r="H41" s="21">
        <v>2</v>
      </c>
      <c r="I41" s="21">
        <v>2</v>
      </c>
      <c r="J41" s="21">
        <v>5</v>
      </c>
      <c r="K41" s="1">
        <v>4</v>
      </c>
      <c r="L41" s="21"/>
      <c r="M41" s="21"/>
      <c r="N41" s="22"/>
    </row>
    <row r="42" spans="1:14" ht="12.65" customHeight="1">
      <c r="A42" s="31" t="s">
        <v>15</v>
      </c>
      <c r="B42" s="2"/>
      <c r="C42" s="21">
        <v>4</v>
      </c>
      <c r="D42" s="21">
        <v>7</v>
      </c>
      <c r="E42" s="21">
        <v>4</v>
      </c>
      <c r="F42" s="21">
        <v>3</v>
      </c>
      <c r="G42" s="21">
        <v>5</v>
      </c>
      <c r="H42" s="21">
        <v>7</v>
      </c>
      <c r="I42" s="21">
        <v>7</v>
      </c>
      <c r="J42" s="21">
        <v>4</v>
      </c>
      <c r="K42" s="1">
        <v>5</v>
      </c>
      <c r="L42" s="21"/>
      <c r="M42" s="21"/>
      <c r="N42" s="22"/>
    </row>
    <row r="43" spans="1:14" ht="12.65" customHeight="1">
      <c r="A43" s="3" t="s">
        <v>165</v>
      </c>
      <c r="B43" s="2"/>
      <c r="C43" s="21"/>
      <c r="D43" s="21"/>
      <c r="E43" s="21">
        <v>2</v>
      </c>
      <c r="F43" s="21"/>
      <c r="G43" s="21">
        <v>1</v>
      </c>
      <c r="H43" s="21"/>
      <c r="I43" s="21"/>
      <c r="J43" s="21"/>
      <c r="K43" s="21"/>
      <c r="L43" s="21"/>
      <c r="M43" s="21"/>
      <c r="N43" s="22"/>
    </row>
    <row r="44" spans="1:14" ht="12.65" customHeight="1">
      <c r="A44" s="14" t="s">
        <v>2</v>
      </c>
      <c r="B44" s="13"/>
      <c r="C44" s="32">
        <f t="shared" ref="C44:N44" si="12">IF(SUM(C45:C48)=0,"",C47/SUM(C45:C48))</f>
        <v>0.36842105263157893</v>
      </c>
      <c r="D44" s="32">
        <f t="shared" si="12"/>
        <v>0.18181818181818182</v>
      </c>
      <c r="E44" s="32">
        <f t="shared" si="12"/>
        <v>0.2</v>
      </c>
      <c r="F44" s="32">
        <f t="shared" si="12"/>
        <v>0.2</v>
      </c>
      <c r="G44" s="32">
        <f t="shared" si="12"/>
        <v>0.20833333333333334</v>
      </c>
      <c r="H44" s="32">
        <f t="shared" si="12"/>
        <v>0.22727272727272727</v>
      </c>
      <c r="I44" s="32">
        <f t="shared" si="12"/>
        <v>0.25</v>
      </c>
      <c r="J44" s="32">
        <f t="shared" si="12"/>
        <v>0.19047619047619047</v>
      </c>
      <c r="K44" s="32">
        <f t="shared" si="12"/>
        <v>0.25</v>
      </c>
      <c r="L44" s="32" t="str">
        <f t="shared" si="12"/>
        <v/>
      </c>
      <c r="M44" s="32" t="str">
        <f t="shared" si="12"/>
        <v/>
      </c>
      <c r="N44" s="33" t="str">
        <f t="shared" si="12"/>
        <v/>
      </c>
    </row>
    <row r="45" spans="1:14" ht="12.65" customHeight="1">
      <c r="A45" s="3" t="s">
        <v>13</v>
      </c>
      <c r="B45" s="2"/>
      <c r="C45" s="21">
        <v>9</v>
      </c>
      <c r="D45" s="21">
        <v>4</v>
      </c>
      <c r="E45" s="21">
        <v>7</v>
      </c>
      <c r="F45" s="21">
        <v>8</v>
      </c>
      <c r="G45" s="21">
        <v>7</v>
      </c>
      <c r="H45" s="21">
        <v>2</v>
      </c>
      <c r="I45" s="21">
        <v>4</v>
      </c>
      <c r="J45" s="21">
        <v>6</v>
      </c>
      <c r="K45" s="1">
        <v>5</v>
      </c>
      <c r="L45" s="21"/>
      <c r="M45" s="21"/>
      <c r="N45" s="22"/>
    </row>
    <row r="46" spans="1:14" ht="12.65" customHeight="1">
      <c r="A46" s="3" t="s">
        <v>164</v>
      </c>
      <c r="B46" s="2"/>
      <c r="C46" s="21">
        <v>3</v>
      </c>
      <c r="D46" s="21">
        <v>12</v>
      </c>
      <c r="E46" s="21">
        <v>11</v>
      </c>
      <c r="F46" s="21">
        <v>11</v>
      </c>
      <c r="G46" s="21">
        <v>10</v>
      </c>
      <c r="H46" s="21">
        <v>9</v>
      </c>
      <c r="I46" s="21">
        <v>9</v>
      </c>
      <c r="J46" s="21">
        <v>11</v>
      </c>
      <c r="K46" s="1">
        <v>8</v>
      </c>
      <c r="L46" s="21"/>
      <c r="M46" s="21"/>
      <c r="N46" s="22"/>
    </row>
    <row r="47" spans="1:14" ht="12.65" customHeight="1">
      <c r="A47" s="31" t="s">
        <v>15</v>
      </c>
      <c r="B47" s="2"/>
      <c r="C47" s="21">
        <v>7</v>
      </c>
      <c r="D47" s="21">
        <v>4</v>
      </c>
      <c r="E47" s="21">
        <v>5</v>
      </c>
      <c r="F47" s="21">
        <v>5</v>
      </c>
      <c r="G47" s="21">
        <v>5</v>
      </c>
      <c r="H47" s="21">
        <v>5</v>
      </c>
      <c r="I47" s="21">
        <v>5</v>
      </c>
      <c r="J47" s="21">
        <v>4</v>
      </c>
      <c r="K47" s="1">
        <v>5</v>
      </c>
      <c r="L47" s="21"/>
      <c r="M47" s="21"/>
      <c r="N47" s="22"/>
    </row>
    <row r="48" spans="1:14" ht="12.65" customHeight="1">
      <c r="A48" s="3" t="s">
        <v>165</v>
      </c>
      <c r="B48" s="2"/>
      <c r="C48" s="21"/>
      <c r="D48" s="21">
        <v>2</v>
      </c>
      <c r="E48" s="21">
        <v>2</v>
      </c>
      <c r="F48" s="21">
        <v>1</v>
      </c>
      <c r="G48" s="21">
        <v>2</v>
      </c>
      <c r="H48" s="21">
        <v>6</v>
      </c>
      <c r="I48" s="21">
        <v>2</v>
      </c>
      <c r="J48" s="21"/>
      <c r="K48" s="21">
        <v>2</v>
      </c>
      <c r="L48" s="21"/>
      <c r="M48" s="21"/>
      <c r="N48" s="22"/>
    </row>
    <row r="49" spans="1:14" ht="12.65" customHeight="1">
      <c r="A49" s="14" t="s">
        <v>3</v>
      </c>
      <c r="B49" s="13"/>
      <c r="C49" s="32">
        <f t="shared" ref="C49:N49" si="13">IF(SUM(C50:C53)=0,"",C52/SUM(C50:C53))</f>
        <v>0.28235294117647058</v>
      </c>
      <c r="D49" s="32">
        <f t="shared" si="13"/>
        <v>0.26436781609195403</v>
      </c>
      <c r="E49" s="32">
        <f t="shared" si="13"/>
        <v>0.2857142857142857</v>
      </c>
      <c r="F49" s="32">
        <f t="shared" si="13"/>
        <v>0.29411764705882354</v>
      </c>
      <c r="G49" s="32">
        <f t="shared" si="13"/>
        <v>0.29213483146067415</v>
      </c>
      <c r="H49" s="32">
        <f t="shared" si="13"/>
        <v>0.34782608695652173</v>
      </c>
      <c r="I49" s="32">
        <f t="shared" si="13"/>
        <v>0.19178082191780821</v>
      </c>
      <c r="J49" s="32">
        <f t="shared" si="13"/>
        <v>0.12857142857142856</v>
      </c>
      <c r="K49" s="32">
        <f t="shared" si="13"/>
        <v>0.11267605633802817</v>
      </c>
      <c r="L49" s="32" t="str">
        <f t="shared" si="13"/>
        <v/>
      </c>
      <c r="M49" s="32" t="str">
        <f t="shared" si="13"/>
        <v/>
      </c>
      <c r="N49" s="33" t="str">
        <f t="shared" si="13"/>
        <v/>
      </c>
    </row>
    <row r="50" spans="1:14" ht="12.65" customHeight="1">
      <c r="A50" s="3" t="s">
        <v>13</v>
      </c>
      <c r="B50" s="2"/>
      <c r="C50" s="21">
        <v>54</v>
      </c>
      <c r="D50" s="21">
        <v>44</v>
      </c>
      <c r="E50" s="21">
        <v>42</v>
      </c>
      <c r="F50" s="21">
        <v>45</v>
      </c>
      <c r="G50" s="21">
        <v>45</v>
      </c>
      <c r="H50" s="21">
        <v>48</v>
      </c>
      <c r="I50" s="21">
        <v>44</v>
      </c>
      <c r="J50" s="21">
        <v>43</v>
      </c>
      <c r="K50" s="1">
        <v>49</v>
      </c>
      <c r="L50" s="21"/>
      <c r="M50" s="21"/>
      <c r="N50" s="22"/>
    </row>
    <row r="51" spans="1:14" ht="12.65" customHeight="1">
      <c r="A51" s="3" t="s">
        <v>164</v>
      </c>
      <c r="B51" s="2"/>
      <c r="C51" s="21">
        <v>7</v>
      </c>
      <c r="D51" s="21">
        <v>11</v>
      </c>
      <c r="E51" s="21">
        <v>13</v>
      </c>
      <c r="F51" s="21">
        <v>13</v>
      </c>
      <c r="G51" s="21">
        <v>12</v>
      </c>
      <c r="H51" s="21">
        <v>7</v>
      </c>
      <c r="I51" s="21">
        <v>8</v>
      </c>
      <c r="J51" s="21">
        <v>9</v>
      </c>
      <c r="K51" s="1">
        <v>10</v>
      </c>
      <c r="L51" s="21"/>
      <c r="M51" s="21"/>
      <c r="N51" s="22"/>
    </row>
    <row r="52" spans="1:14" ht="12.65" customHeight="1">
      <c r="A52" s="31" t="s">
        <v>15</v>
      </c>
      <c r="B52" s="2"/>
      <c r="C52" s="21">
        <v>24</v>
      </c>
      <c r="D52" s="21">
        <v>23</v>
      </c>
      <c r="E52" s="21">
        <v>24</v>
      </c>
      <c r="F52" s="21">
        <v>25</v>
      </c>
      <c r="G52" s="21">
        <v>26</v>
      </c>
      <c r="H52" s="21">
        <v>32</v>
      </c>
      <c r="I52" s="21">
        <v>14</v>
      </c>
      <c r="J52" s="21">
        <v>9</v>
      </c>
      <c r="K52" s="1">
        <v>8</v>
      </c>
      <c r="L52" s="21"/>
      <c r="M52" s="21"/>
      <c r="N52" s="22"/>
    </row>
    <row r="53" spans="1:14" ht="12.65" customHeight="1">
      <c r="A53" s="3" t="s">
        <v>165</v>
      </c>
      <c r="B53" s="2"/>
      <c r="C53" s="21"/>
      <c r="D53" s="21">
        <v>9</v>
      </c>
      <c r="E53" s="21">
        <v>5</v>
      </c>
      <c r="F53" s="21">
        <v>2</v>
      </c>
      <c r="G53" s="21">
        <v>6</v>
      </c>
      <c r="H53" s="21">
        <v>5</v>
      </c>
      <c r="I53" s="21">
        <v>7</v>
      </c>
      <c r="J53" s="21">
        <v>9</v>
      </c>
      <c r="K53" s="21">
        <v>4</v>
      </c>
      <c r="L53" s="21"/>
      <c r="M53" s="21"/>
      <c r="N53" s="22"/>
    </row>
    <row r="54" spans="1:14" ht="12.65" customHeight="1">
      <c r="A54" s="3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4"/>
    </row>
    <row r="55" spans="1:14" ht="15.4" customHeight="1">
      <c r="A55" s="9" t="s">
        <v>168</v>
      </c>
      <c r="B55" s="10"/>
      <c r="C55" s="19">
        <f t="shared" ref="C55:N55" si="14">IF(COUNT(C57:C59)=0,"",AVERAGE(C57:C59))</f>
        <v>139</v>
      </c>
      <c r="D55" s="19">
        <f t="shared" si="14"/>
        <v>95.314352084996813</v>
      </c>
      <c r="E55" s="19">
        <f t="shared" si="14"/>
        <v>98.742523337859907</v>
      </c>
      <c r="F55" s="19">
        <f t="shared" si="14"/>
        <v>104.78961708536103</v>
      </c>
      <c r="G55" s="19">
        <f t="shared" si="14"/>
        <v>85.426255571992328</v>
      </c>
      <c r="H55" s="19">
        <f t="shared" si="14"/>
        <v>82.95129427921735</v>
      </c>
      <c r="I55" s="19">
        <f t="shared" si="14"/>
        <v>89.551050556144574</v>
      </c>
      <c r="J55" s="19">
        <f t="shared" si="14"/>
        <v>92.000751095769672</v>
      </c>
      <c r="K55" s="19">
        <f t="shared" si="14"/>
        <v>103.95576446415642</v>
      </c>
      <c r="L55" s="19" t="str">
        <f t="shared" si="14"/>
        <v/>
      </c>
      <c r="M55" s="19" t="str">
        <f t="shared" si="14"/>
        <v/>
      </c>
      <c r="N55" s="20" t="str">
        <f t="shared" si="14"/>
        <v/>
      </c>
    </row>
    <row r="56" spans="1:14" ht="12.65" customHeight="1">
      <c r="A56" s="11"/>
      <c r="B56" s="12"/>
      <c r="C56" s="29">
        <f t="shared" ref="C56:N56" si="15">IF(C38="","",C38)</f>
        <v>46053</v>
      </c>
      <c r="D56" s="29">
        <f t="shared" si="15"/>
        <v>46081</v>
      </c>
      <c r="E56" s="29">
        <f t="shared" si="15"/>
        <v>46112</v>
      </c>
      <c r="F56" s="29">
        <f t="shared" si="15"/>
        <v>46142</v>
      </c>
      <c r="G56" s="29">
        <f t="shared" si="15"/>
        <v>46173</v>
      </c>
      <c r="H56" s="29">
        <f t="shared" si="15"/>
        <v>46203</v>
      </c>
      <c r="I56" s="29">
        <f t="shared" si="15"/>
        <v>46234</v>
      </c>
      <c r="J56" s="29">
        <f t="shared" si="15"/>
        <v>46265</v>
      </c>
      <c r="K56" s="36">
        <f>K2</f>
        <v>46276</v>
      </c>
      <c r="L56" s="29" t="str">
        <f t="shared" si="15"/>
        <v/>
      </c>
      <c r="M56" s="29" t="str">
        <f t="shared" si="15"/>
        <v/>
      </c>
      <c r="N56" s="30" t="str">
        <f t="shared" si="15"/>
        <v/>
      </c>
    </row>
    <row r="57" spans="1:14" ht="12.65" customHeight="1">
      <c r="A57" s="3" t="s">
        <v>173</v>
      </c>
      <c r="B57" s="2"/>
      <c r="C57" s="23">
        <v>40</v>
      </c>
      <c r="D57" s="23">
        <v>37.877713864264301</v>
      </c>
      <c r="E57" s="23">
        <v>43.688997546628549</v>
      </c>
      <c r="F57" s="23">
        <v>52.698293970949557</v>
      </c>
      <c r="G57" s="23">
        <v>31.439933483616581</v>
      </c>
      <c r="H57" s="23">
        <v>24.371823851928589</v>
      </c>
      <c r="I57" s="23">
        <v>27.952305176918511</v>
      </c>
      <c r="J57" s="23">
        <v>34.923542912713323</v>
      </c>
      <c r="K57" s="37">
        <v>31.530443873693116</v>
      </c>
      <c r="L57" s="23"/>
      <c r="M57" s="23"/>
      <c r="N57" s="24"/>
    </row>
    <row r="58" spans="1:14" ht="12.65" customHeight="1">
      <c r="A58" s="3" t="s">
        <v>2</v>
      </c>
      <c r="B58" s="2"/>
      <c r="C58" s="23">
        <v>90</v>
      </c>
      <c r="D58" s="23">
        <v>75.123061035398038</v>
      </c>
      <c r="E58" s="23">
        <v>73.322545001593483</v>
      </c>
      <c r="F58" s="23">
        <v>77.404049233144519</v>
      </c>
      <c r="G58" s="23">
        <v>68.910323817436577</v>
      </c>
      <c r="H58" s="23">
        <v>67.57336647079363</v>
      </c>
      <c r="I58" s="23">
        <v>61.549709984119922</v>
      </c>
      <c r="J58" s="23">
        <v>57.643769152247323</v>
      </c>
      <c r="K58" s="37">
        <v>58.642874731220061</v>
      </c>
      <c r="L58" s="23"/>
      <c r="M58" s="23"/>
      <c r="N58" s="24"/>
    </row>
    <row r="59" spans="1:14" ht="12.65" customHeight="1">
      <c r="A59" s="5" t="s">
        <v>3</v>
      </c>
      <c r="B59" s="6"/>
      <c r="C59" s="25">
        <v>287</v>
      </c>
      <c r="D59" s="25">
        <v>172.94228135532811</v>
      </c>
      <c r="E59" s="25">
        <v>179.21602746535771</v>
      </c>
      <c r="F59" s="25">
        <v>184.26650805198901</v>
      </c>
      <c r="G59" s="25">
        <v>155.92850941492381</v>
      </c>
      <c r="H59" s="25">
        <v>156.90869251492981</v>
      </c>
      <c r="I59" s="25">
        <v>179.15113650739531</v>
      </c>
      <c r="J59" s="25">
        <v>183.43494122234841</v>
      </c>
      <c r="K59" s="37">
        <v>221.6939747875561</v>
      </c>
      <c r="L59" s="25"/>
      <c r="M59" s="25"/>
      <c r="N59" s="26"/>
    </row>
    <row r="60" spans="1:14" ht="12.6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16" customHeight="1">
      <c r="A61" s="40" t="s">
        <v>169</v>
      </c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</row>
    <row r="62" spans="1:14" ht="24" customHeight="1">
      <c r="A62" s="38" t="s">
        <v>170</v>
      </c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</row>
  </sheetData>
  <mergeCells count="2">
    <mergeCell ref="A62:N62"/>
    <mergeCell ref="A61:N6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topLeftCell="A41" workbookViewId="0">
      <selection activeCell="F8" sqref="F8"/>
    </sheetView>
  </sheetViews>
  <sheetFormatPr defaultRowHeight="14"/>
  <cols>
    <col min="1" max="1" width="43" customWidth="1"/>
    <col min="2" max="2" width="4" customWidth="1"/>
    <col min="3" max="11" width="13" customWidth="1"/>
  </cols>
  <sheetData>
    <row r="1" spans="1:11" ht="15.4" customHeight="1">
      <c r="A1" s="7" t="s">
        <v>163</v>
      </c>
      <c r="B1" s="8"/>
      <c r="C1" s="15">
        <f t="shared" ref="C1:K1" si="0">IF(COUNT(C4:C17)=0,"",AVERAGE(C3,C8,C13))</f>
        <v>4.4444444444444446E-2</v>
      </c>
      <c r="D1" s="15">
        <f t="shared" ref="D1:E1" si="1">IF(COUNT(D4:D17)=0,"",AVERAGE(D3,D8,D13))</f>
        <v>4.4835680751173702E-2</v>
      </c>
      <c r="E1" s="15">
        <f t="shared" si="1"/>
        <v>4.0140845070422537E-2</v>
      </c>
      <c r="F1" s="15" t="str">
        <f t="shared" si="0"/>
        <v/>
      </c>
      <c r="G1" s="15" t="str">
        <f t="shared" si="0"/>
        <v/>
      </c>
      <c r="H1" s="15" t="str">
        <f t="shared" si="0"/>
        <v/>
      </c>
      <c r="I1" s="15" t="str">
        <f t="shared" si="0"/>
        <v/>
      </c>
      <c r="J1" s="15" t="str">
        <f t="shared" si="0"/>
        <v/>
      </c>
      <c r="K1" s="16" t="str">
        <f t="shared" si="0"/>
        <v/>
      </c>
    </row>
    <row r="2" spans="1:11" ht="12.65" customHeight="1">
      <c r="A2" s="11"/>
      <c r="B2" s="12"/>
      <c r="C2" s="27">
        <v>46265</v>
      </c>
      <c r="D2" s="36">
        <v>46272</v>
      </c>
      <c r="E2" s="36">
        <v>46276</v>
      </c>
      <c r="F2" s="27"/>
      <c r="G2" s="27"/>
      <c r="H2" s="27"/>
      <c r="I2" s="27"/>
      <c r="J2" s="27"/>
      <c r="K2" s="28"/>
    </row>
    <row r="3" spans="1:11" ht="12.65" customHeight="1">
      <c r="A3" s="14" t="s">
        <v>0</v>
      </c>
      <c r="B3" s="13"/>
      <c r="C3" s="32">
        <f t="shared" ref="C3:K3" si="2">IF(SUM(C4:C7)=0,"",C6/SUM(C4:C7))</f>
        <v>0</v>
      </c>
      <c r="D3" s="32">
        <f t="shared" ref="D3:E3" si="3">IF(SUM(D4:D7)=0,"",D6/SUM(D4:D7))</f>
        <v>0</v>
      </c>
      <c r="E3" s="32">
        <f t="shared" si="3"/>
        <v>0</v>
      </c>
      <c r="F3" s="32" t="str">
        <f t="shared" si="2"/>
        <v/>
      </c>
      <c r="G3" s="32" t="str">
        <f t="shared" si="2"/>
        <v/>
      </c>
      <c r="H3" s="32" t="str">
        <f t="shared" si="2"/>
        <v/>
      </c>
      <c r="I3" s="32" t="str">
        <f t="shared" si="2"/>
        <v/>
      </c>
      <c r="J3" s="32" t="str">
        <f t="shared" si="2"/>
        <v/>
      </c>
      <c r="K3" s="33" t="str">
        <f t="shared" si="2"/>
        <v/>
      </c>
    </row>
    <row r="4" spans="1:11" ht="12.65" customHeight="1">
      <c r="A4" s="3" t="s">
        <v>13</v>
      </c>
      <c r="B4" s="2"/>
      <c r="C4" s="21">
        <v>4</v>
      </c>
      <c r="D4" s="21">
        <v>4</v>
      </c>
      <c r="E4" s="1">
        <v>4</v>
      </c>
      <c r="F4" s="21"/>
      <c r="G4" s="21"/>
      <c r="H4" s="21"/>
      <c r="I4" s="21"/>
      <c r="J4" s="21"/>
      <c r="K4" s="22"/>
    </row>
    <row r="5" spans="1:11" ht="12.65" customHeight="1">
      <c r="A5" s="3" t="s">
        <v>164</v>
      </c>
      <c r="B5" s="2"/>
      <c r="C5" s="21">
        <v>3</v>
      </c>
      <c r="D5" s="21">
        <v>3</v>
      </c>
      <c r="E5" s="1">
        <v>2</v>
      </c>
      <c r="F5" s="21"/>
      <c r="G5" s="21"/>
      <c r="H5" s="21"/>
      <c r="I5" s="21"/>
      <c r="J5" s="21"/>
      <c r="K5" s="22"/>
    </row>
    <row r="6" spans="1:11" ht="12.65" customHeight="1">
      <c r="A6" s="31" t="s">
        <v>15</v>
      </c>
      <c r="B6" s="2"/>
      <c r="C6" s="21"/>
      <c r="D6" s="21"/>
      <c r="E6" s="21"/>
      <c r="F6" s="21"/>
      <c r="G6" s="21"/>
      <c r="H6" s="21"/>
      <c r="I6" s="21"/>
      <c r="J6" s="21"/>
      <c r="K6" s="22"/>
    </row>
    <row r="7" spans="1:11" ht="12.65" customHeight="1">
      <c r="A7" s="3" t="s">
        <v>165</v>
      </c>
      <c r="B7" s="2"/>
      <c r="C7" s="21">
        <v>2</v>
      </c>
      <c r="D7" s="21">
        <v>2</v>
      </c>
      <c r="E7" s="21">
        <v>3</v>
      </c>
      <c r="F7" s="21"/>
      <c r="G7" s="21"/>
      <c r="H7" s="21"/>
      <c r="I7" s="21"/>
      <c r="J7" s="21"/>
      <c r="K7" s="22"/>
    </row>
    <row r="8" spans="1:11" ht="12.65" customHeight="1">
      <c r="A8" s="14" t="s">
        <v>2</v>
      </c>
      <c r="B8" s="13"/>
      <c r="C8" s="32">
        <f t="shared" ref="C8:K8" si="4">IF(SUM(C9:C12)=0,"",C11/SUM(C9:C12))</f>
        <v>4.7619047619047616E-2</v>
      </c>
      <c r="D8" s="32">
        <f t="shared" ref="D8:E8" si="5">IF(SUM(D9:D12)=0,"",D11/SUM(D9:D12))</f>
        <v>0.05</v>
      </c>
      <c r="E8" s="32">
        <f t="shared" si="5"/>
        <v>0.05</v>
      </c>
      <c r="F8" s="32" t="str">
        <f t="shared" si="4"/>
        <v/>
      </c>
      <c r="G8" s="32" t="str">
        <f t="shared" si="4"/>
        <v/>
      </c>
      <c r="H8" s="32" t="str">
        <f t="shared" si="4"/>
        <v/>
      </c>
      <c r="I8" s="32" t="str">
        <f t="shared" si="4"/>
        <v/>
      </c>
      <c r="J8" s="32" t="str">
        <f t="shared" si="4"/>
        <v/>
      </c>
      <c r="K8" s="33" t="str">
        <f t="shared" si="4"/>
        <v/>
      </c>
    </row>
    <row r="9" spans="1:11" ht="12.65" customHeight="1">
      <c r="A9" s="3" t="s">
        <v>13</v>
      </c>
      <c r="B9" s="2"/>
      <c r="C9" s="21">
        <v>19</v>
      </c>
      <c r="D9" s="21">
        <v>19</v>
      </c>
      <c r="E9" s="21">
        <v>18</v>
      </c>
      <c r="F9" s="21"/>
      <c r="G9" s="21"/>
      <c r="H9" s="21"/>
      <c r="I9" s="21"/>
      <c r="J9" s="21"/>
      <c r="K9" s="22"/>
    </row>
    <row r="10" spans="1:11" ht="12.65" customHeight="1">
      <c r="A10" s="3" t="s">
        <v>164</v>
      </c>
      <c r="B10" s="2"/>
      <c r="C10" s="21">
        <v>1</v>
      </c>
      <c r="D10" s="21"/>
      <c r="E10" s="21"/>
      <c r="F10" s="21"/>
      <c r="G10" s="21"/>
      <c r="H10" s="21"/>
      <c r="I10" s="21"/>
      <c r="J10" s="21"/>
      <c r="K10" s="22"/>
    </row>
    <row r="11" spans="1:11" ht="12.65" customHeight="1">
      <c r="A11" s="31" t="s">
        <v>15</v>
      </c>
      <c r="B11" s="2"/>
      <c r="C11" s="21">
        <v>1</v>
      </c>
      <c r="D11" s="21">
        <v>1</v>
      </c>
      <c r="E11" s="21">
        <v>1</v>
      </c>
      <c r="F11" s="21"/>
      <c r="G11" s="21"/>
      <c r="H11" s="21"/>
      <c r="I11" s="21"/>
      <c r="J11" s="21"/>
      <c r="K11" s="22"/>
    </row>
    <row r="12" spans="1:11" ht="12.65" customHeight="1">
      <c r="A12" s="3" t="s">
        <v>165</v>
      </c>
      <c r="B12" s="2"/>
      <c r="C12" s="21"/>
      <c r="D12" s="21"/>
      <c r="E12" s="21">
        <v>1</v>
      </c>
      <c r="F12" s="21"/>
      <c r="G12" s="21"/>
      <c r="H12" s="21"/>
      <c r="I12" s="21"/>
      <c r="J12" s="21"/>
      <c r="K12" s="22"/>
    </row>
    <row r="13" spans="1:11" ht="12.65" customHeight="1">
      <c r="A13" s="14" t="s">
        <v>3</v>
      </c>
      <c r="B13" s="13"/>
      <c r="C13" s="32">
        <f t="shared" ref="C13:K13" si="6">IF(SUM(C14:C17)=0,"",C16/SUM(C14:C17))</f>
        <v>8.5714285714285715E-2</v>
      </c>
      <c r="D13" s="32">
        <f t="shared" ref="D13:E13" si="7">IF(SUM(D14:D17)=0,"",D16/SUM(D14:D17))</f>
        <v>8.4507042253521125E-2</v>
      </c>
      <c r="E13" s="32">
        <f t="shared" si="7"/>
        <v>7.0422535211267609E-2</v>
      </c>
      <c r="F13" s="32" t="str">
        <f t="shared" si="6"/>
        <v/>
      </c>
      <c r="G13" s="32" t="str">
        <f t="shared" si="6"/>
        <v/>
      </c>
      <c r="H13" s="32" t="str">
        <f t="shared" si="6"/>
        <v/>
      </c>
      <c r="I13" s="32" t="str">
        <f t="shared" si="6"/>
        <v/>
      </c>
      <c r="J13" s="32" t="str">
        <f t="shared" si="6"/>
        <v/>
      </c>
      <c r="K13" s="33" t="str">
        <f t="shared" si="6"/>
        <v/>
      </c>
    </row>
    <row r="14" spans="1:11" ht="12.65" customHeight="1">
      <c r="A14" s="3" t="s">
        <v>13</v>
      </c>
      <c r="B14" s="2"/>
      <c r="C14" s="21">
        <v>56</v>
      </c>
      <c r="D14" s="21">
        <v>59</v>
      </c>
      <c r="E14" s="1">
        <v>60</v>
      </c>
      <c r="F14" s="21"/>
      <c r="G14" s="21"/>
      <c r="H14" s="21"/>
      <c r="I14" s="21"/>
      <c r="J14" s="21"/>
      <c r="K14" s="22"/>
    </row>
    <row r="15" spans="1:11" ht="12.65" customHeight="1">
      <c r="A15" s="3" t="s">
        <v>164</v>
      </c>
      <c r="B15" s="2"/>
      <c r="C15" s="21">
        <v>4</v>
      </c>
      <c r="D15" s="21">
        <v>4</v>
      </c>
      <c r="E15" s="1">
        <v>4</v>
      </c>
      <c r="F15" s="21"/>
      <c r="G15" s="21"/>
      <c r="H15" s="21"/>
      <c r="I15" s="21"/>
      <c r="J15" s="21"/>
      <c r="K15" s="22"/>
    </row>
    <row r="16" spans="1:11" ht="12.65" customHeight="1">
      <c r="A16" s="31" t="s">
        <v>15</v>
      </c>
      <c r="B16" s="2"/>
      <c r="C16" s="21">
        <v>6</v>
      </c>
      <c r="D16" s="21">
        <v>6</v>
      </c>
      <c r="E16" s="1">
        <v>5</v>
      </c>
      <c r="F16" s="21"/>
      <c r="G16" s="21"/>
      <c r="H16" s="21"/>
      <c r="I16" s="21"/>
      <c r="J16" s="21"/>
      <c r="K16" s="22"/>
    </row>
    <row r="17" spans="1:11" ht="12.65" customHeight="1">
      <c r="A17" s="3" t="s">
        <v>165</v>
      </c>
      <c r="B17" s="2"/>
      <c r="C17" s="21">
        <v>4</v>
      </c>
      <c r="D17" s="21">
        <v>2</v>
      </c>
      <c r="E17" s="21">
        <v>2</v>
      </c>
      <c r="F17" s="21"/>
      <c r="G17" s="21"/>
      <c r="H17" s="21"/>
      <c r="I17" s="21"/>
      <c r="J17" s="21"/>
      <c r="K17" s="22"/>
    </row>
    <row r="18" spans="1:11" ht="12.65" customHeight="1">
      <c r="A18" s="3"/>
      <c r="B18" s="2"/>
      <c r="C18" s="2"/>
      <c r="D18" s="2"/>
      <c r="E18" s="2"/>
      <c r="F18" s="2"/>
      <c r="G18" s="2"/>
      <c r="H18" s="2"/>
      <c r="I18" s="2"/>
      <c r="J18" s="2"/>
      <c r="K18" s="4"/>
    </row>
    <row r="19" spans="1:11" ht="15.4" customHeight="1">
      <c r="A19" s="9" t="s">
        <v>166</v>
      </c>
      <c r="B19" s="10"/>
      <c r="C19" s="17">
        <f t="shared" ref="C19:K19" si="8">IF(COUNT(C22:C35)=0,"",AVERAGE(C21,C26,C31))</f>
        <v>0.32076102530964701</v>
      </c>
      <c r="D19" s="17">
        <f t="shared" ref="D19:E19" si="9">IF(COUNT(D22:D35)=0,"",AVERAGE(D21,D26,D31))</f>
        <v>0.33893646365106284</v>
      </c>
      <c r="E19" s="17">
        <f t="shared" si="9"/>
        <v>0.33450538078201869</v>
      </c>
      <c r="F19" s="17" t="str">
        <f t="shared" si="8"/>
        <v/>
      </c>
      <c r="G19" s="17" t="str">
        <f t="shared" si="8"/>
        <v/>
      </c>
      <c r="H19" s="17" t="str">
        <f t="shared" si="8"/>
        <v/>
      </c>
      <c r="I19" s="17" t="str">
        <f t="shared" si="8"/>
        <v/>
      </c>
      <c r="J19" s="17" t="str">
        <f t="shared" si="8"/>
        <v/>
      </c>
      <c r="K19" s="18" t="str">
        <f t="shared" si="8"/>
        <v/>
      </c>
    </row>
    <row r="20" spans="1:11" ht="12.65" customHeight="1">
      <c r="A20" s="11"/>
      <c r="B20" s="12"/>
      <c r="C20" s="29">
        <f t="shared" ref="C20:K20" si="10">IF(C2="","",C2)</f>
        <v>46265</v>
      </c>
      <c r="D20" s="29">
        <f>D2</f>
        <v>46272</v>
      </c>
      <c r="E20" s="36">
        <f>E2</f>
        <v>46276</v>
      </c>
      <c r="F20" s="29" t="str">
        <f t="shared" si="10"/>
        <v/>
      </c>
      <c r="G20" s="29" t="str">
        <f t="shared" si="10"/>
        <v/>
      </c>
      <c r="H20" s="29" t="str">
        <f t="shared" si="10"/>
        <v/>
      </c>
      <c r="I20" s="29" t="str">
        <f t="shared" si="10"/>
        <v/>
      </c>
      <c r="J20" s="29" t="str">
        <f t="shared" si="10"/>
        <v/>
      </c>
      <c r="K20" s="30" t="str">
        <f t="shared" si="10"/>
        <v/>
      </c>
    </row>
    <row r="21" spans="1:11" ht="12.65" customHeight="1">
      <c r="A21" s="14" t="s">
        <v>172</v>
      </c>
      <c r="B21" s="13"/>
      <c r="C21" s="32">
        <f t="shared" ref="C21:K21" si="11">IF(SUM(C22:C25)=0,"",C24/SUM(C22:C25))</f>
        <v>0.3611111111111111</v>
      </c>
      <c r="D21" s="32">
        <f t="shared" ref="D21:E21" si="12">IF(SUM(D22:D25)=0,"",D24/SUM(D22:D25))</f>
        <v>0.39189189189189189</v>
      </c>
      <c r="E21" s="32">
        <f t="shared" si="12"/>
        <v>0.37671232876712329</v>
      </c>
      <c r="F21" s="32" t="str">
        <f t="shared" si="11"/>
        <v/>
      </c>
      <c r="G21" s="32" t="str">
        <f t="shared" si="11"/>
        <v/>
      </c>
      <c r="H21" s="32" t="str">
        <f t="shared" si="11"/>
        <v/>
      </c>
      <c r="I21" s="32" t="str">
        <f t="shared" si="11"/>
        <v/>
      </c>
      <c r="J21" s="32" t="str">
        <f t="shared" si="11"/>
        <v/>
      </c>
      <c r="K21" s="33" t="str">
        <f t="shared" si="11"/>
        <v/>
      </c>
    </row>
    <row r="22" spans="1:11" ht="12.65" customHeight="1">
      <c r="A22" s="3" t="s">
        <v>13</v>
      </c>
      <c r="B22" s="2"/>
      <c r="C22" s="21">
        <v>141</v>
      </c>
      <c r="D22" s="21">
        <v>153</v>
      </c>
      <c r="E22" s="1">
        <v>152</v>
      </c>
      <c r="F22" s="21"/>
      <c r="G22" s="21"/>
      <c r="H22" s="21"/>
      <c r="I22" s="21"/>
      <c r="J22" s="21"/>
      <c r="K22" s="22"/>
    </row>
    <row r="23" spans="1:11" ht="12.65" customHeight="1">
      <c r="A23" s="3" t="s">
        <v>164</v>
      </c>
      <c r="B23" s="2"/>
      <c r="C23" s="21">
        <v>43</v>
      </c>
      <c r="D23" s="21">
        <v>27</v>
      </c>
      <c r="E23" s="1">
        <v>30</v>
      </c>
      <c r="F23" s="21"/>
      <c r="G23" s="21"/>
      <c r="H23" s="21"/>
      <c r="I23" s="21"/>
      <c r="J23" s="21"/>
      <c r="K23" s="22"/>
    </row>
    <row r="24" spans="1:11" ht="12.65" customHeight="1">
      <c r="A24" s="31" t="s">
        <v>15</v>
      </c>
      <c r="B24" s="2"/>
      <c r="C24" s="21">
        <v>104</v>
      </c>
      <c r="D24" s="21">
        <v>116</v>
      </c>
      <c r="E24" s="1">
        <v>110</v>
      </c>
      <c r="F24" s="21"/>
      <c r="G24" s="21"/>
      <c r="H24" s="21"/>
      <c r="I24" s="21"/>
      <c r="J24" s="21"/>
      <c r="K24" s="22"/>
    </row>
    <row r="25" spans="1:11" ht="12.65" customHeight="1">
      <c r="A25" s="3" t="s">
        <v>165</v>
      </c>
      <c r="B25" s="2"/>
      <c r="C25" s="21"/>
      <c r="D25" s="21"/>
      <c r="E25" s="21"/>
      <c r="F25" s="21"/>
      <c r="G25" s="21"/>
      <c r="H25" s="21"/>
      <c r="I25" s="21"/>
      <c r="J25" s="21"/>
      <c r="K25" s="22"/>
    </row>
    <row r="26" spans="1:11" ht="12.65" customHeight="1">
      <c r="A26" s="14" t="s">
        <v>2</v>
      </c>
      <c r="B26" s="13"/>
      <c r="C26" s="32">
        <f t="shared" ref="C26:K26" si="13">IF(SUM(C27:C30)=0,"",C29/SUM(C27:C30))</f>
        <v>0.38330170777988615</v>
      </c>
      <c r="D26" s="32">
        <f t="shared" ref="D26:E26" si="14">IF(SUM(D27:D30)=0,"",D29/SUM(D27:D30))</f>
        <v>0.4049904030710173</v>
      </c>
      <c r="E26" s="32">
        <f t="shared" si="14"/>
        <v>0.40607210626185958</v>
      </c>
      <c r="F26" s="32" t="str">
        <f t="shared" si="13"/>
        <v/>
      </c>
      <c r="G26" s="32" t="str">
        <f t="shared" si="13"/>
        <v/>
      </c>
      <c r="H26" s="32" t="str">
        <f t="shared" si="13"/>
        <v/>
      </c>
      <c r="I26" s="32" t="str">
        <f t="shared" si="13"/>
        <v/>
      </c>
      <c r="J26" s="32" t="str">
        <f t="shared" si="13"/>
        <v/>
      </c>
      <c r="K26" s="33" t="str">
        <f t="shared" si="13"/>
        <v/>
      </c>
    </row>
    <row r="27" spans="1:11" ht="12.65" customHeight="1">
      <c r="A27" s="3" t="s">
        <v>13</v>
      </c>
      <c r="B27" s="2"/>
      <c r="C27" s="21">
        <v>294</v>
      </c>
      <c r="D27" s="21">
        <v>274</v>
      </c>
      <c r="E27" s="1">
        <v>283</v>
      </c>
      <c r="F27" s="21"/>
      <c r="G27" s="21"/>
      <c r="H27" s="21"/>
      <c r="I27" s="21"/>
      <c r="J27" s="21"/>
      <c r="K27" s="22"/>
    </row>
    <row r="28" spans="1:11" ht="12.65" customHeight="1">
      <c r="A28" s="3" t="s">
        <v>164</v>
      </c>
      <c r="B28" s="2"/>
      <c r="C28" s="21">
        <v>31</v>
      </c>
      <c r="D28" s="21">
        <v>36</v>
      </c>
      <c r="E28" s="1">
        <v>30</v>
      </c>
      <c r="F28" s="21"/>
      <c r="G28" s="21"/>
      <c r="H28" s="21"/>
      <c r="I28" s="21"/>
      <c r="J28" s="21"/>
      <c r="K28" s="22"/>
    </row>
    <row r="29" spans="1:11" ht="12.65" customHeight="1">
      <c r="A29" s="31" t="s">
        <v>15</v>
      </c>
      <c r="B29" s="2"/>
      <c r="C29" s="21">
        <v>202</v>
      </c>
      <c r="D29" s="21">
        <v>211</v>
      </c>
      <c r="E29" s="1">
        <v>214</v>
      </c>
      <c r="F29" s="21"/>
      <c r="G29" s="21"/>
      <c r="H29" s="21"/>
      <c r="I29" s="21"/>
      <c r="J29" s="21"/>
      <c r="K29" s="22"/>
    </row>
    <row r="30" spans="1:11" ht="12.65" customHeight="1">
      <c r="A30" s="3" t="s">
        <v>165</v>
      </c>
      <c r="B30" s="2"/>
      <c r="C30" s="21"/>
      <c r="D30" s="21"/>
      <c r="E30" s="21"/>
      <c r="F30" s="21"/>
      <c r="G30" s="21"/>
      <c r="H30" s="21"/>
      <c r="I30" s="21"/>
      <c r="J30" s="21"/>
      <c r="K30" s="22"/>
    </row>
    <row r="31" spans="1:11" ht="12.65" customHeight="1">
      <c r="A31" s="14" t="s">
        <v>3</v>
      </c>
      <c r="B31" s="13"/>
      <c r="C31" s="32">
        <f t="shared" ref="C31:K31" si="15">IF(SUM(C32:C35)=0,"",C34/SUM(C32:C35))</f>
        <v>0.21787025703794369</v>
      </c>
      <c r="D31" s="32">
        <f t="shared" ref="D31:E31" si="16">IF(SUM(D32:D35)=0,"",D34/SUM(D32:D35))</f>
        <v>0.21992709599027946</v>
      </c>
      <c r="E31" s="32">
        <f t="shared" si="16"/>
        <v>0.22073170731707317</v>
      </c>
      <c r="F31" s="32" t="str">
        <f t="shared" si="15"/>
        <v/>
      </c>
      <c r="G31" s="32" t="str">
        <f t="shared" si="15"/>
        <v/>
      </c>
      <c r="H31" s="32" t="str">
        <f t="shared" si="15"/>
        <v/>
      </c>
      <c r="I31" s="32" t="str">
        <f t="shared" si="15"/>
        <v/>
      </c>
      <c r="J31" s="32" t="str">
        <f t="shared" si="15"/>
        <v/>
      </c>
      <c r="K31" s="33" t="str">
        <f t="shared" si="15"/>
        <v/>
      </c>
    </row>
    <row r="32" spans="1:11" ht="12.65" customHeight="1">
      <c r="A32" s="3" t="s">
        <v>13</v>
      </c>
      <c r="B32" s="2"/>
      <c r="C32" s="21">
        <v>637</v>
      </c>
      <c r="D32" s="21">
        <v>641</v>
      </c>
      <c r="E32" s="1">
        <v>638</v>
      </c>
      <c r="F32" s="21"/>
      <c r="G32" s="21"/>
      <c r="H32" s="21"/>
      <c r="I32" s="21"/>
      <c r="J32" s="21"/>
      <c r="K32" s="22"/>
    </row>
    <row r="33" spans="1:11" ht="12.65" customHeight="1">
      <c r="A33" s="3" t="s">
        <v>164</v>
      </c>
      <c r="B33" s="2"/>
      <c r="C33" s="21">
        <v>2</v>
      </c>
      <c r="D33" s="21">
        <v>1</v>
      </c>
      <c r="E33" s="1">
        <v>1</v>
      </c>
      <c r="F33" s="21"/>
      <c r="G33" s="21"/>
      <c r="H33" s="21"/>
      <c r="I33" s="21"/>
      <c r="J33" s="21"/>
      <c r="K33" s="22"/>
    </row>
    <row r="34" spans="1:11" ht="12.65" customHeight="1">
      <c r="A34" s="31" t="s">
        <v>15</v>
      </c>
      <c r="B34" s="2"/>
      <c r="C34" s="21">
        <v>178</v>
      </c>
      <c r="D34" s="21">
        <v>181</v>
      </c>
      <c r="E34" s="1">
        <v>181</v>
      </c>
      <c r="F34" s="21"/>
      <c r="G34" s="21"/>
      <c r="H34" s="21"/>
      <c r="I34" s="21"/>
      <c r="J34" s="21"/>
      <c r="K34" s="22"/>
    </row>
    <row r="35" spans="1:11" ht="12.65" customHeight="1">
      <c r="A35" s="3" t="s">
        <v>165</v>
      </c>
      <c r="B35" s="2"/>
      <c r="C35" s="21"/>
      <c r="D35" s="21"/>
      <c r="E35" s="21"/>
      <c r="F35" s="21"/>
      <c r="G35" s="21"/>
      <c r="H35" s="21"/>
      <c r="I35" s="21"/>
      <c r="J35" s="21"/>
      <c r="K35" s="22"/>
    </row>
    <row r="36" spans="1:11" ht="12.65" customHeight="1">
      <c r="A36" s="3"/>
      <c r="B36" s="2"/>
      <c r="C36" s="2"/>
      <c r="D36" s="2"/>
      <c r="E36" s="2"/>
      <c r="F36" s="2"/>
      <c r="G36" s="2"/>
      <c r="H36" s="2"/>
      <c r="I36" s="2"/>
      <c r="J36" s="2"/>
      <c r="K36" s="4"/>
    </row>
    <row r="37" spans="1:11" ht="15.4" customHeight="1">
      <c r="A37" s="9" t="s">
        <v>167</v>
      </c>
      <c r="B37" s="10"/>
      <c r="C37" s="17">
        <f t="shared" ref="C37:K37" si="17">IF(COUNT(C40:C53)=0,"",AVERAGE(C39,C44,C49))</f>
        <v>0.2544973544973545</v>
      </c>
      <c r="D37" s="17">
        <f t="shared" ref="D37:E37" si="18">IF(COUNT(D40:D53)=0,"",AVERAGE(D39,D44,D49))</f>
        <v>0.31077203964527911</v>
      </c>
      <c r="E37" s="17">
        <f t="shared" si="18"/>
        <v>0.30607720396452792</v>
      </c>
      <c r="F37" s="17" t="str">
        <f t="shared" si="17"/>
        <v/>
      </c>
      <c r="G37" s="17" t="str">
        <f t="shared" si="17"/>
        <v/>
      </c>
      <c r="H37" s="17" t="str">
        <f t="shared" si="17"/>
        <v/>
      </c>
      <c r="I37" s="17" t="str">
        <f t="shared" si="17"/>
        <v/>
      </c>
      <c r="J37" s="17" t="str">
        <f t="shared" si="17"/>
        <v/>
      </c>
      <c r="K37" s="18" t="str">
        <f t="shared" si="17"/>
        <v/>
      </c>
    </row>
    <row r="38" spans="1:11" ht="12.65" customHeight="1">
      <c r="A38" s="11"/>
      <c r="B38" s="12"/>
      <c r="C38" s="29">
        <f t="shared" ref="C38:K38" si="19">IF(C20="","",C20)</f>
        <v>46265</v>
      </c>
      <c r="D38" s="29">
        <f>D20</f>
        <v>46272</v>
      </c>
      <c r="E38" s="36">
        <f>E2</f>
        <v>46276</v>
      </c>
      <c r="F38" s="29" t="str">
        <f t="shared" si="19"/>
        <v/>
      </c>
      <c r="G38" s="29" t="str">
        <f t="shared" si="19"/>
        <v/>
      </c>
      <c r="H38" s="29" t="str">
        <f t="shared" si="19"/>
        <v/>
      </c>
      <c r="I38" s="29" t="str">
        <f t="shared" si="19"/>
        <v/>
      </c>
      <c r="J38" s="29" t="str">
        <f t="shared" si="19"/>
        <v/>
      </c>
      <c r="K38" s="30" t="str">
        <f t="shared" si="19"/>
        <v/>
      </c>
    </row>
    <row r="39" spans="1:11" ht="12.65" customHeight="1">
      <c r="A39" s="14" t="s">
        <v>0</v>
      </c>
      <c r="B39" s="13"/>
      <c r="C39" s="32">
        <f t="shared" ref="C39:K39" si="20">IF(SUM(C40:C43)=0,"",C42/SUM(C40:C43))</f>
        <v>0.44444444444444442</v>
      </c>
      <c r="D39" s="32">
        <f t="shared" ref="D39:E39" si="21">IF(SUM(D40:D43)=0,"",D42/SUM(D40:D43))</f>
        <v>0.55555555555555558</v>
      </c>
      <c r="E39" s="32">
        <f t="shared" si="21"/>
        <v>0.55555555555555558</v>
      </c>
      <c r="F39" s="32" t="str">
        <f t="shared" si="20"/>
        <v/>
      </c>
      <c r="G39" s="32" t="str">
        <f t="shared" si="20"/>
        <v/>
      </c>
      <c r="H39" s="32" t="str">
        <f t="shared" si="20"/>
        <v/>
      </c>
      <c r="I39" s="32" t="str">
        <f t="shared" si="20"/>
        <v/>
      </c>
      <c r="J39" s="32" t="str">
        <f t="shared" si="20"/>
        <v/>
      </c>
      <c r="K39" s="33" t="str">
        <f t="shared" si="20"/>
        <v/>
      </c>
    </row>
    <row r="40" spans="1:11" ht="12.65" customHeight="1">
      <c r="A40" s="3" t="s">
        <v>13</v>
      </c>
      <c r="B40" s="2"/>
      <c r="C40" s="21"/>
      <c r="D40" s="21"/>
      <c r="E40" s="21"/>
      <c r="F40" s="21"/>
      <c r="G40" s="21"/>
      <c r="H40" s="21"/>
      <c r="I40" s="21"/>
      <c r="J40" s="21"/>
      <c r="K40" s="22"/>
    </row>
    <row r="41" spans="1:11" ht="12.65" customHeight="1">
      <c r="A41" s="3" t="s">
        <v>164</v>
      </c>
      <c r="B41" s="2"/>
      <c r="C41" s="21">
        <v>5</v>
      </c>
      <c r="D41" s="21">
        <v>4</v>
      </c>
      <c r="E41" s="1">
        <v>4</v>
      </c>
      <c r="F41" s="21"/>
      <c r="G41" s="21"/>
      <c r="H41" s="21"/>
      <c r="I41" s="21"/>
      <c r="J41" s="21"/>
      <c r="K41" s="22"/>
    </row>
    <row r="42" spans="1:11" ht="12.65" customHeight="1">
      <c r="A42" s="31" t="s">
        <v>15</v>
      </c>
      <c r="B42" s="2"/>
      <c r="C42" s="21">
        <v>4</v>
      </c>
      <c r="D42" s="21">
        <v>5</v>
      </c>
      <c r="E42" s="1">
        <v>5</v>
      </c>
      <c r="F42" s="21"/>
      <c r="G42" s="21"/>
      <c r="H42" s="21"/>
      <c r="I42" s="21"/>
      <c r="J42" s="21"/>
      <c r="K42" s="22"/>
    </row>
    <row r="43" spans="1:11" ht="12.65" customHeight="1">
      <c r="A43" s="3" t="s">
        <v>165</v>
      </c>
      <c r="B43" s="2"/>
      <c r="C43" s="21"/>
      <c r="D43" s="21"/>
      <c r="E43" s="21"/>
      <c r="F43" s="21"/>
      <c r="G43" s="21"/>
      <c r="H43" s="21"/>
      <c r="I43" s="21"/>
      <c r="J43" s="21"/>
      <c r="K43" s="22"/>
    </row>
    <row r="44" spans="1:11" ht="12.65" customHeight="1">
      <c r="A44" s="14" t="s">
        <v>2</v>
      </c>
      <c r="B44" s="13"/>
      <c r="C44" s="32">
        <f t="shared" ref="C44:K44" si="22">IF(SUM(C45:C48)=0,"",C47/SUM(C45:C48))</f>
        <v>0.19047619047619047</v>
      </c>
      <c r="D44" s="32">
        <f t="shared" ref="D44:E44" si="23">IF(SUM(D45:D48)=0,"",D47/SUM(D45:D48))</f>
        <v>0.25</v>
      </c>
      <c r="E44" s="32">
        <f t="shared" si="23"/>
        <v>0.25</v>
      </c>
      <c r="F44" s="32" t="str">
        <f t="shared" si="22"/>
        <v/>
      </c>
      <c r="G44" s="32" t="str">
        <f t="shared" si="22"/>
        <v/>
      </c>
      <c r="H44" s="32" t="str">
        <f t="shared" si="22"/>
        <v/>
      </c>
      <c r="I44" s="32" t="str">
        <f t="shared" si="22"/>
        <v/>
      </c>
      <c r="J44" s="32" t="str">
        <f t="shared" si="22"/>
        <v/>
      </c>
      <c r="K44" s="33" t="str">
        <f t="shared" si="22"/>
        <v/>
      </c>
    </row>
    <row r="45" spans="1:11" ht="12.65" customHeight="1">
      <c r="A45" s="3" t="s">
        <v>13</v>
      </c>
      <c r="B45" s="2"/>
      <c r="C45" s="21">
        <v>6</v>
      </c>
      <c r="D45" s="21">
        <v>4</v>
      </c>
      <c r="E45" s="1">
        <v>5</v>
      </c>
      <c r="F45" s="21"/>
      <c r="G45" s="21"/>
      <c r="H45" s="21"/>
      <c r="I45" s="21"/>
      <c r="J45" s="21"/>
      <c r="K45" s="22"/>
    </row>
    <row r="46" spans="1:11" ht="12.65" customHeight="1">
      <c r="A46" s="3" t="s">
        <v>164</v>
      </c>
      <c r="B46" s="2"/>
      <c r="C46" s="21">
        <v>11</v>
      </c>
      <c r="D46" s="21">
        <v>9</v>
      </c>
      <c r="E46" s="1">
        <v>8</v>
      </c>
      <c r="F46" s="21"/>
      <c r="G46" s="21"/>
      <c r="H46" s="21"/>
      <c r="I46" s="21"/>
      <c r="J46" s="21"/>
      <c r="K46" s="22"/>
    </row>
    <row r="47" spans="1:11" ht="12.65" customHeight="1">
      <c r="A47" s="31" t="s">
        <v>15</v>
      </c>
      <c r="B47" s="2"/>
      <c r="C47" s="21">
        <v>4</v>
      </c>
      <c r="D47" s="21">
        <v>5</v>
      </c>
      <c r="E47" s="1">
        <v>5</v>
      </c>
      <c r="F47" s="21"/>
      <c r="G47" s="21"/>
      <c r="H47" s="21"/>
      <c r="I47" s="21"/>
      <c r="J47" s="21"/>
      <c r="K47" s="22"/>
    </row>
    <row r="48" spans="1:11" ht="12.65" customHeight="1">
      <c r="A48" s="3" t="s">
        <v>165</v>
      </c>
      <c r="B48" s="2"/>
      <c r="C48" s="21"/>
      <c r="D48" s="21">
        <v>2</v>
      </c>
      <c r="E48" s="21">
        <v>2</v>
      </c>
      <c r="F48" s="21"/>
      <c r="G48" s="21"/>
      <c r="H48" s="21"/>
      <c r="I48" s="21"/>
      <c r="J48" s="21"/>
      <c r="K48" s="22"/>
    </row>
    <row r="49" spans="1:11" ht="12.65" customHeight="1">
      <c r="A49" s="14" t="s">
        <v>3</v>
      </c>
      <c r="B49" s="13"/>
      <c r="C49" s="32">
        <f t="shared" ref="C49:K49" si="24">IF(SUM(C50:C53)=0,"",C52/SUM(C50:C53))</f>
        <v>0.12857142857142856</v>
      </c>
      <c r="D49" s="32">
        <f t="shared" ref="D49:E49" si="25">IF(SUM(D50:D53)=0,"",D52/SUM(D50:D53))</f>
        <v>0.12676056338028169</v>
      </c>
      <c r="E49" s="32">
        <f t="shared" si="25"/>
        <v>0.11267605633802817</v>
      </c>
      <c r="F49" s="32" t="str">
        <f t="shared" si="24"/>
        <v/>
      </c>
      <c r="G49" s="32" t="str">
        <f t="shared" si="24"/>
        <v/>
      </c>
      <c r="H49" s="32" t="str">
        <f t="shared" si="24"/>
        <v/>
      </c>
      <c r="I49" s="32" t="str">
        <f t="shared" si="24"/>
        <v/>
      </c>
      <c r="J49" s="32" t="str">
        <f t="shared" si="24"/>
        <v/>
      </c>
      <c r="K49" s="33" t="str">
        <f t="shared" si="24"/>
        <v/>
      </c>
    </row>
    <row r="50" spans="1:11" ht="12.65" customHeight="1">
      <c r="A50" s="3" t="s">
        <v>13</v>
      </c>
      <c r="B50" s="2"/>
      <c r="C50" s="21">
        <v>43</v>
      </c>
      <c r="D50" s="21">
        <v>49</v>
      </c>
      <c r="E50" s="1">
        <v>49</v>
      </c>
      <c r="F50" s="21"/>
      <c r="G50" s="21"/>
      <c r="H50" s="21"/>
      <c r="I50" s="21"/>
      <c r="J50" s="21"/>
      <c r="K50" s="22"/>
    </row>
    <row r="51" spans="1:11" ht="12.65" customHeight="1">
      <c r="A51" s="3" t="s">
        <v>164</v>
      </c>
      <c r="B51" s="2"/>
      <c r="C51" s="21">
        <v>9</v>
      </c>
      <c r="D51" s="21">
        <v>10</v>
      </c>
      <c r="E51" s="1">
        <v>10</v>
      </c>
      <c r="F51" s="21"/>
      <c r="G51" s="21"/>
      <c r="H51" s="21"/>
      <c r="I51" s="21"/>
      <c r="J51" s="21"/>
      <c r="K51" s="22"/>
    </row>
    <row r="52" spans="1:11" ht="12.65" customHeight="1">
      <c r="A52" s="31" t="s">
        <v>15</v>
      </c>
      <c r="B52" s="2"/>
      <c r="C52" s="21">
        <v>9</v>
      </c>
      <c r="D52" s="21">
        <v>9</v>
      </c>
      <c r="E52" s="1">
        <v>8</v>
      </c>
      <c r="F52" s="21"/>
      <c r="G52" s="21"/>
      <c r="H52" s="21"/>
      <c r="I52" s="21"/>
      <c r="J52" s="21"/>
      <c r="K52" s="22"/>
    </row>
    <row r="53" spans="1:11" ht="12.65" customHeight="1">
      <c r="A53" s="3" t="s">
        <v>165</v>
      </c>
      <c r="B53" s="2"/>
      <c r="C53" s="21">
        <v>9</v>
      </c>
      <c r="D53" s="21">
        <v>3</v>
      </c>
      <c r="E53" s="21">
        <v>4</v>
      </c>
      <c r="F53" s="21"/>
      <c r="G53" s="21"/>
      <c r="H53" s="21"/>
      <c r="I53" s="21"/>
      <c r="J53" s="21"/>
      <c r="K53" s="22"/>
    </row>
    <row r="54" spans="1:11" ht="12.65" customHeight="1">
      <c r="A54" s="3"/>
      <c r="B54" s="2"/>
      <c r="C54" s="2"/>
      <c r="D54" s="2"/>
      <c r="E54" s="2"/>
      <c r="F54" s="2"/>
      <c r="G54" s="2"/>
      <c r="H54" s="2"/>
      <c r="I54" s="2"/>
      <c r="J54" s="2"/>
      <c r="K54" s="4"/>
    </row>
    <row r="55" spans="1:11" ht="15.4" customHeight="1">
      <c r="A55" s="9" t="s">
        <v>168</v>
      </c>
      <c r="B55" s="10"/>
      <c r="C55" s="19">
        <f t="shared" ref="C55:K55" si="26">IF(COUNT(C57:C59)=0,"",AVERAGE(C57:C59))</f>
        <v>92.000751095769672</v>
      </c>
      <c r="D55" s="19">
        <f t="shared" ref="D55:E55" si="27">IF(COUNT(D57:D59)=0,"",AVERAGE(D57:D59))</f>
        <v>99.666666666666671</v>
      </c>
      <c r="E55" s="19">
        <f t="shared" si="27"/>
        <v>103.95576446415642</v>
      </c>
      <c r="F55" s="19" t="str">
        <f t="shared" si="26"/>
        <v/>
      </c>
      <c r="G55" s="19" t="str">
        <f t="shared" si="26"/>
        <v/>
      </c>
      <c r="H55" s="19" t="str">
        <f t="shared" si="26"/>
        <v/>
      </c>
      <c r="I55" s="19" t="str">
        <f t="shared" si="26"/>
        <v/>
      </c>
      <c r="J55" s="19" t="str">
        <f t="shared" si="26"/>
        <v/>
      </c>
      <c r="K55" s="20" t="str">
        <f t="shared" si="26"/>
        <v/>
      </c>
    </row>
    <row r="56" spans="1:11" ht="12.65" customHeight="1">
      <c r="A56" s="11"/>
      <c r="B56" s="12"/>
      <c r="C56" s="29">
        <f t="shared" ref="C56:K56" si="28">IF(C38="","",C38)</f>
        <v>46265</v>
      </c>
      <c r="D56" s="29">
        <f>D38</f>
        <v>46272</v>
      </c>
      <c r="E56" s="36">
        <f>E2</f>
        <v>46276</v>
      </c>
      <c r="F56" s="29" t="str">
        <f t="shared" si="28"/>
        <v/>
      </c>
      <c r="G56" s="29" t="str">
        <f t="shared" si="28"/>
        <v/>
      </c>
      <c r="H56" s="29" t="str">
        <f t="shared" si="28"/>
        <v/>
      </c>
      <c r="I56" s="29" t="str">
        <f t="shared" si="28"/>
        <v/>
      </c>
      <c r="J56" s="29" t="str">
        <f t="shared" si="28"/>
        <v/>
      </c>
      <c r="K56" s="30" t="str">
        <f t="shared" si="28"/>
        <v/>
      </c>
    </row>
    <row r="57" spans="1:11" ht="12.65" customHeight="1">
      <c r="A57" s="3" t="s">
        <v>173</v>
      </c>
      <c r="B57" s="2"/>
      <c r="C57" s="34">
        <v>34.923542912713323</v>
      </c>
      <c r="D57" s="34">
        <v>32</v>
      </c>
      <c r="E57" s="37">
        <v>31.530443873693116</v>
      </c>
      <c r="F57" s="23"/>
      <c r="G57" s="23"/>
      <c r="H57" s="23"/>
      <c r="I57" s="23"/>
      <c r="J57" s="23"/>
      <c r="K57" s="24"/>
    </row>
    <row r="58" spans="1:11" ht="12.65" customHeight="1">
      <c r="A58" s="3" t="s">
        <v>2</v>
      </c>
      <c r="B58" s="2"/>
      <c r="C58" s="34">
        <v>57.643769152247323</v>
      </c>
      <c r="D58" s="34">
        <v>56</v>
      </c>
      <c r="E58" s="37">
        <v>58.642874731220061</v>
      </c>
      <c r="F58" s="23"/>
      <c r="G58" s="23"/>
      <c r="H58" s="23"/>
      <c r="I58" s="23"/>
      <c r="J58" s="23"/>
      <c r="K58" s="24"/>
    </row>
    <row r="59" spans="1:11" ht="12.65" customHeight="1">
      <c r="A59" s="5" t="s">
        <v>3</v>
      </c>
      <c r="B59" s="6"/>
      <c r="C59" s="35">
        <v>183.43494122234841</v>
      </c>
      <c r="D59" s="35">
        <v>211</v>
      </c>
      <c r="E59" s="37">
        <v>221.6939747875561</v>
      </c>
      <c r="F59" s="25"/>
      <c r="G59" s="25"/>
      <c r="H59" s="25"/>
      <c r="I59" s="25"/>
      <c r="J59" s="25"/>
      <c r="K59" s="26"/>
    </row>
    <row r="60" spans="1:11" ht="12.6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ht="16" customHeight="1">
      <c r="A61" s="40" t="s">
        <v>171</v>
      </c>
      <c r="B61" s="39"/>
      <c r="C61" s="39"/>
      <c r="D61" s="39"/>
      <c r="E61" s="39"/>
      <c r="F61" s="39"/>
      <c r="G61" s="39"/>
      <c r="H61" s="39"/>
      <c r="I61" s="39"/>
      <c r="J61" s="39"/>
      <c r="K61" s="39"/>
    </row>
    <row r="62" spans="1:11" ht="24" customHeight="1">
      <c r="A62" s="38" t="s">
        <v>170</v>
      </c>
      <c r="B62" s="39"/>
      <c r="C62" s="39"/>
      <c r="D62" s="39"/>
      <c r="E62" s="39"/>
      <c r="F62" s="39"/>
      <c r="G62" s="39"/>
      <c r="H62" s="39"/>
      <c r="I62" s="39"/>
      <c r="J62" s="39"/>
      <c r="K62" s="39"/>
    </row>
  </sheetData>
  <mergeCells count="2">
    <mergeCell ref="A62:K62"/>
    <mergeCell ref="A61:K6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DE66F-954F-4E2E-AC7F-958EE5941F48}">
  <dimension ref="A1:AG102"/>
  <sheetViews>
    <sheetView tabSelected="1" topLeftCell="K1" workbookViewId="0">
      <selection activeCell="L1" sqref="L1:N1048576"/>
    </sheetView>
  </sheetViews>
  <sheetFormatPr defaultRowHeight="14"/>
  <cols>
    <col min="6" max="6" width="9.6640625" bestFit="1" customWidth="1"/>
    <col min="12" max="12" width="13" bestFit="1" customWidth="1"/>
    <col min="13" max="13" width="12" bestFit="1" customWidth="1"/>
    <col min="14" max="14" width="8.58203125" bestFit="1" customWidth="1"/>
  </cols>
  <sheetData>
    <row r="1" spans="1:33" ht="18">
      <c r="A1" s="41" t="s">
        <v>301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52">
      <c r="A2" s="42" t="s">
        <v>179</v>
      </c>
      <c r="B2" s="42" t="s">
        <v>180</v>
      </c>
      <c r="C2" s="42" t="s">
        <v>174</v>
      </c>
      <c r="D2" s="42" t="s">
        <v>8</v>
      </c>
      <c r="E2" s="42" t="s">
        <v>302</v>
      </c>
      <c r="F2" s="42" t="s">
        <v>184</v>
      </c>
      <c r="G2" s="42" t="s">
        <v>185</v>
      </c>
      <c r="H2" s="42" t="s">
        <v>186</v>
      </c>
      <c r="I2" s="42" t="s">
        <v>187</v>
      </c>
      <c r="J2" s="42" t="s">
        <v>188</v>
      </c>
      <c r="K2" s="42" t="s">
        <v>303</v>
      </c>
      <c r="L2" s="42" t="s">
        <v>304</v>
      </c>
      <c r="M2" s="42" t="s">
        <v>305</v>
      </c>
      <c r="N2" s="42" t="s">
        <v>192</v>
      </c>
      <c r="O2" s="42" t="s">
        <v>193</v>
      </c>
      <c r="P2" s="42" t="s">
        <v>306</v>
      </c>
      <c r="Q2" s="42" t="s">
        <v>7</v>
      </c>
      <c r="R2" s="42" t="s">
        <v>307</v>
      </c>
      <c r="S2" s="42" t="s">
        <v>308</v>
      </c>
      <c r="T2" s="42" t="s">
        <v>309</v>
      </c>
      <c r="U2" s="42" t="s">
        <v>310</v>
      </c>
      <c r="V2" s="42" t="s">
        <v>311</v>
      </c>
      <c r="W2" s="42" t="s">
        <v>312</v>
      </c>
      <c r="X2" s="42" t="s">
        <v>313</v>
      </c>
      <c r="Y2" s="42" t="s">
        <v>314</v>
      </c>
      <c r="Z2" s="42" t="s">
        <v>315</v>
      </c>
      <c r="AA2" s="42" t="s">
        <v>6</v>
      </c>
      <c r="AB2" s="42" t="s">
        <v>316</v>
      </c>
      <c r="AC2" s="42" t="s">
        <v>317</v>
      </c>
      <c r="AD2" s="42" t="s">
        <v>318</v>
      </c>
      <c r="AE2" s="42" t="s">
        <v>319</v>
      </c>
      <c r="AF2" s="42" t="s">
        <v>320</v>
      </c>
      <c r="AG2" s="42" t="s">
        <v>177</v>
      </c>
    </row>
    <row r="3" spans="1:33">
      <c r="A3" s="43" t="s">
        <v>48</v>
      </c>
      <c r="B3" s="44" t="str">
        <f>IFERROR(VLOOKUP(A3,'[2]Class ABC'!$A:$I, 9, 0),"")</f>
        <v>C23</v>
      </c>
      <c r="C3" s="44">
        <f>IFERROR(VLOOKUP(A3,'[2]Class ABC'!$A:$I, 6, 0),"")</f>
        <v>52</v>
      </c>
      <c r="D3" s="44" t="str">
        <f>IFERROR(CONCATENATE("Class ", VLOOKUP(A3,'[2]Class ABC'!$A:$I, 8, 0)),"Class C")</f>
        <v>Class C</v>
      </c>
      <c r="E3" s="43" t="str">
        <f>IFERROR(VLOOKUP(A3,'[2]MC Masterlist 2026-09-11'!$B:$M, 3, 0),"")</f>
        <v>SUZUKI</v>
      </c>
      <c r="F3" s="45">
        <f>IFERROR(VLOOKUP(A3,'[2]MC Masterlist 2026-09-11'!$B:$M, 6, 0),"")</f>
        <v>82687</v>
      </c>
      <c r="G3" s="46">
        <f>SUMIF('[2]Raw Sales'!$B:$B, A3, '[2]Raw Sales'!$I:$I)</f>
        <v>2</v>
      </c>
      <c r="H3" s="46">
        <f>SUMIF('[2]Raw Sales'!$B:$B, A3, '[2]Raw Sales'!$H:$H)</f>
        <v>5</v>
      </c>
      <c r="I3" s="46">
        <f>SUMIF('[2]Raw Sales'!$B:$B, A3, '[2]Raw Sales'!$G:$G)</f>
        <v>1</v>
      </c>
      <c r="J3" s="46">
        <f t="shared" ref="J3:J66" si="0">SUM(G3,H3,I3)</f>
        <v>8</v>
      </c>
      <c r="K3" s="46">
        <f t="shared" ref="K3:K66" si="1">AVERAGE(G3:I3)</f>
        <v>2.6666666666666665</v>
      </c>
      <c r="L3" s="45">
        <f t="shared" ref="L3:L66" si="2">F3*J3</f>
        <v>661496</v>
      </c>
      <c r="M3" s="45">
        <f t="shared" ref="M3:M66" si="3">F3*K3</f>
        <v>220498.66666666666</v>
      </c>
      <c r="N3" s="46">
        <f t="shared" ref="N3:N66" si="4">J3/90</f>
        <v>8.8888888888888892E-2</v>
      </c>
      <c r="O3" s="46">
        <f>SUMIF('[2]Raw Inventory'!$B:$B, A3, '[2]Raw Inventory'!$D:$D)</f>
        <v>29</v>
      </c>
      <c r="P3" s="45">
        <f t="shared" ref="P3:P66" si="5">O3*F3</f>
        <v>2397923</v>
      </c>
      <c r="Q3" s="46">
        <f t="shared" ref="Q3:Q66" si="6">IFERROR((P3/(M3))*30,"")</f>
        <v>326.25</v>
      </c>
      <c r="R3" s="46">
        <f>IFERROR(VLOOKUP(A3,'[2]MC Masterlist 2026-09-11'!$B:$M, 7, 0),0)</f>
        <v>45</v>
      </c>
      <c r="S3" s="46">
        <f>IFERROR(VLOOKUP(A3,'[2]MC Masterlist 2026-09-11'!$B:$M, 8, 0),0)</f>
        <v>30</v>
      </c>
      <c r="T3" s="46">
        <f t="shared" ref="T3:T66" si="7">R3+S3</f>
        <v>75</v>
      </c>
      <c r="U3" s="46">
        <f t="shared" ref="U3:U66" si="8">(V3-S3)</f>
        <v>60</v>
      </c>
      <c r="V3" s="46">
        <f>IFERROR(VLOOKUP(A3,'[2]MC Masterlist 2026-09-11'!$B:$L, 9, 0),0)</f>
        <v>90</v>
      </c>
      <c r="W3" s="46">
        <f t="shared" ref="W3:W66" si="9">S3*N3</f>
        <v>2.666666666666667</v>
      </c>
      <c r="X3" s="46">
        <f t="shared" ref="X3:X66" si="10">T3*N3</f>
        <v>6.666666666666667</v>
      </c>
      <c r="Y3" s="46">
        <f t="shared" ref="Y3:Y66" si="11">U3*N3</f>
        <v>5.3333333333333339</v>
      </c>
      <c r="Z3" s="46">
        <f t="shared" ref="Z3:Z66" si="12">V3*N3</f>
        <v>8</v>
      </c>
      <c r="AA3" s="44" t="str">
        <f t="shared" ref="AA3:AA66" si="13">IFERROR(IF(O3&gt;Z3, "Over", IF(O3&lt;=W3, "Stockout", IF(O3&lt;=X3, "Re-order",""))), "")</f>
        <v>Over</v>
      </c>
      <c r="AB3" s="46">
        <f>IFERROR(VLOOKUP(A3,'[2]PO Balance'!$A:$C, 3, 0),0)</f>
        <v>10</v>
      </c>
      <c r="AC3" s="43"/>
      <c r="AD3" s="46">
        <f t="shared" ref="AD3:AD66" si="14">O3+AB3+AC3</f>
        <v>39</v>
      </c>
      <c r="AE3" s="46">
        <f t="shared" ref="AE3:AE66" si="15">IFERROR(AD3/N3,)</f>
        <v>438.75</v>
      </c>
      <c r="AF3" s="44" t="str">
        <f t="shared" ref="AF3:AF66" si="16">IFERROR(IF(AD3&gt;Z3, "Over", IF(AD3&lt;=W3, "Stockout", IF(AD3&lt;=X3, "Re-order",""))), "")</f>
        <v>Over</v>
      </c>
      <c r="AG3" s="46">
        <f t="shared" ref="AG3:AG66" si="17">X3+AB3</f>
        <v>16.666666666666668</v>
      </c>
    </row>
    <row r="4" spans="1:33">
      <c r="A4" s="43" t="s">
        <v>77</v>
      </c>
      <c r="B4" s="44" t="str">
        <f>IFERROR(VLOOKUP(A4,'[2]Class ABC'!$A:$I, 9, 0),"")</f>
        <v>C43</v>
      </c>
      <c r="C4" s="44">
        <f>IFERROR(VLOOKUP(A4,'[2]Class ABC'!$A:$I, 6, 0),"")</f>
        <v>72</v>
      </c>
      <c r="D4" s="44" t="str">
        <f>IFERROR(CONCATENATE("Class ", VLOOKUP(A4,'[2]Class ABC'!$A:$I, 8, 0)),"Class C")</f>
        <v>Class C</v>
      </c>
      <c r="E4" s="43" t="str">
        <f>IFERROR(VLOOKUP(A4,'[2]MC Masterlist 2026-09-11'!$B:$M, 3, 0),"")</f>
        <v>SUZUKI</v>
      </c>
      <c r="F4" s="45">
        <f>IFERROR(VLOOKUP(A4,'[2]MC Masterlist 2026-09-11'!$B:$M, 6, 0),"")</f>
        <v>91057</v>
      </c>
      <c r="G4" s="46">
        <f>SUMIF('[2]Raw Sales'!$B:$B, A4, '[2]Raw Sales'!$I:$I)</f>
        <v>2</v>
      </c>
      <c r="H4" s="46">
        <f>SUMIF('[2]Raw Sales'!$B:$B, A4, '[2]Raw Sales'!$H:$H)</f>
        <v>0</v>
      </c>
      <c r="I4" s="46">
        <f>SUMIF('[2]Raw Sales'!$B:$B, A4, '[2]Raw Sales'!$G:$G)</f>
        <v>0</v>
      </c>
      <c r="J4" s="46">
        <f t="shared" si="0"/>
        <v>2</v>
      </c>
      <c r="K4" s="46">
        <f t="shared" si="1"/>
        <v>0.66666666666666663</v>
      </c>
      <c r="L4" s="45">
        <f t="shared" si="2"/>
        <v>182114</v>
      </c>
      <c r="M4" s="45">
        <f t="shared" si="3"/>
        <v>60704.666666666664</v>
      </c>
      <c r="N4" s="46">
        <f t="shared" si="4"/>
        <v>2.2222222222222223E-2</v>
      </c>
      <c r="O4" s="46">
        <f>SUMIF('[2]Raw Inventory'!$B:$B, A4, '[2]Raw Inventory'!$D:$D)</f>
        <v>25</v>
      </c>
      <c r="P4" s="45">
        <f t="shared" si="5"/>
        <v>2276425</v>
      </c>
      <c r="Q4" s="46">
        <f t="shared" si="6"/>
        <v>1125</v>
      </c>
      <c r="R4" s="46">
        <f>IFERROR(VLOOKUP(A4,'[2]MC Masterlist 2026-09-11'!$B:$M, 7, 0),0)</f>
        <v>45</v>
      </c>
      <c r="S4" s="46">
        <f>IFERROR(VLOOKUP(A4,'[2]MC Masterlist 2026-09-11'!$B:$M, 8, 0),0)</f>
        <v>30</v>
      </c>
      <c r="T4" s="46">
        <f t="shared" si="7"/>
        <v>75</v>
      </c>
      <c r="U4" s="46">
        <f t="shared" si="8"/>
        <v>60</v>
      </c>
      <c r="V4" s="46">
        <f>IFERROR(VLOOKUP(A4,'[2]MC Masterlist 2026-09-11'!$B:$L, 9, 0),0)</f>
        <v>90</v>
      </c>
      <c r="W4" s="46">
        <f t="shared" si="9"/>
        <v>0.66666666666666674</v>
      </c>
      <c r="X4" s="46">
        <f t="shared" si="10"/>
        <v>1.6666666666666667</v>
      </c>
      <c r="Y4" s="46">
        <f t="shared" si="11"/>
        <v>1.3333333333333335</v>
      </c>
      <c r="Z4" s="46">
        <f t="shared" si="12"/>
        <v>2</v>
      </c>
      <c r="AA4" s="44" t="str">
        <f t="shared" si="13"/>
        <v>Over</v>
      </c>
      <c r="AB4" s="46">
        <f>IFERROR(VLOOKUP(A4,'[2]PO Balance'!$A:$C, 3, 0),0)</f>
        <v>12</v>
      </c>
      <c r="AC4" s="43"/>
      <c r="AD4" s="46">
        <f t="shared" si="14"/>
        <v>37</v>
      </c>
      <c r="AE4" s="46">
        <f t="shared" si="15"/>
        <v>1665</v>
      </c>
      <c r="AF4" s="44" t="str">
        <f t="shared" si="16"/>
        <v>Over</v>
      </c>
      <c r="AG4" s="46">
        <f t="shared" si="17"/>
        <v>13.666666666666666</v>
      </c>
    </row>
    <row r="5" spans="1:33">
      <c r="A5" s="43" t="s">
        <v>12</v>
      </c>
      <c r="B5" s="44" t="str">
        <f>IFERROR(VLOOKUP(A5,'[2]Class ABC'!$A:$I, 9, 0),"")</f>
        <v>A4</v>
      </c>
      <c r="C5" s="44">
        <f>IFERROR(VLOOKUP(A5,'[2]Class ABC'!$A:$I, 6, 0),"")</f>
        <v>4</v>
      </c>
      <c r="D5" s="44" t="str">
        <f>IFERROR(CONCATENATE("Class ", VLOOKUP(A5,'[2]Class ABC'!$A:$I, 8, 0)),"Class C")</f>
        <v>Class A</v>
      </c>
      <c r="E5" s="43" t="str">
        <f>IFERROR(VLOOKUP(A5,'[2]MC Masterlist 2026-09-11'!$B:$M, 3, 0),"")</f>
        <v>HONDA</v>
      </c>
      <c r="F5" s="45">
        <f>IFERROR(VLOOKUP(A5,'[2]MC Masterlist 2026-09-11'!$B:$M, 6, 0),"")</f>
        <v>158270</v>
      </c>
      <c r="G5" s="46">
        <f>SUMIF('[2]Raw Sales'!$B:$B, A5, '[2]Raw Sales'!$I:$I)</f>
        <v>103</v>
      </c>
      <c r="H5" s="46">
        <f>SUMIF('[2]Raw Sales'!$B:$B, A5, '[2]Raw Sales'!$H:$H)</f>
        <v>88</v>
      </c>
      <c r="I5" s="46">
        <f>SUMIF('[2]Raw Sales'!$B:$B, A5, '[2]Raw Sales'!$G:$G)</f>
        <v>116</v>
      </c>
      <c r="J5" s="46">
        <f t="shared" si="0"/>
        <v>307</v>
      </c>
      <c r="K5" s="46">
        <f t="shared" si="1"/>
        <v>102.33333333333333</v>
      </c>
      <c r="L5" s="45">
        <f t="shared" si="2"/>
        <v>48588890</v>
      </c>
      <c r="M5" s="45">
        <f t="shared" si="3"/>
        <v>16196296.666666666</v>
      </c>
      <c r="N5" s="46">
        <f t="shared" si="4"/>
        <v>3.411111111111111</v>
      </c>
      <c r="O5" s="46">
        <f>SUMIF('[2]Raw Inventory'!$B:$B, A5, '[2]Raw Inventory'!$D:$D)</f>
        <v>134</v>
      </c>
      <c r="P5" s="45">
        <f t="shared" si="5"/>
        <v>21208180</v>
      </c>
      <c r="Q5" s="46">
        <f t="shared" si="6"/>
        <v>39.283387622149839</v>
      </c>
      <c r="R5" s="46">
        <f>IFERROR(VLOOKUP(A5,'[2]MC Masterlist 2026-09-11'!$B:$M, 7, 0),0)</f>
        <v>45</v>
      </c>
      <c r="S5" s="46">
        <f>IFERROR(VLOOKUP(A5,'[2]MC Masterlist 2026-09-11'!$B:$M, 8, 0),0)</f>
        <v>30</v>
      </c>
      <c r="T5" s="46">
        <f t="shared" si="7"/>
        <v>75</v>
      </c>
      <c r="U5" s="46">
        <f t="shared" si="8"/>
        <v>60</v>
      </c>
      <c r="V5" s="46">
        <f>IFERROR(VLOOKUP(A5,'[2]MC Masterlist 2026-09-11'!$B:$L, 9, 0),0)</f>
        <v>90</v>
      </c>
      <c r="W5" s="46">
        <f t="shared" si="9"/>
        <v>102.33333333333333</v>
      </c>
      <c r="X5" s="46">
        <f t="shared" si="10"/>
        <v>255.83333333333331</v>
      </c>
      <c r="Y5" s="46">
        <f t="shared" si="11"/>
        <v>204.66666666666666</v>
      </c>
      <c r="Z5" s="46">
        <f t="shared" si="12"/>
        <v>307</v>
      </c>
      <c r="AA5" s="44" t="str">
        <f t="shared" si="13"/>
        <v>Re-order</v>
      </c>
      <c r="AB5" s="46">
        <f>IFERROR(VLOOKUP(A5,'[2]PO Balance'!$A:$C, 3, 0),0)</f>
        <v>402</v>
      </c>
      <c r="AC5" s="43"/>
      <c r="AD5" s="46">
        <f t="shared" si="14"/>
        <v>536</v>
      </c>
      <c r="AE5" s="46">
        <f t="shared" si="15"/>
        <v>157.13355048859935</v>
      </c>
      <c r="AF5" s="44" t="str">
        <f t="shared" si="16"/>
        <v>Over</v>
      </c>
      <c r="AG5" s="46">
        <f t="shared" si="17"/>
        <v>657.83333333333326</v>
      </c>
    </row>
    <row r="6" spans="1:33">
      <c r="A6" s="43" t="s">
        <v>38</v>
      </c>
      <c r="B6" s="44" t="str">
        <f>IFERROR(VLOOKUP(A6,'[2]Class ABC'!$A:$I, 9, 0),"")</f>
        <v>C5</v>
      </c>
      <c r="C6" s="44">
        <f>IFERROR(VLOOKUP(A6,'[2]Class ABC'!$A:$I, 6, 0),"")</f>
        <v>34</v>
      </c>
      <c r="D6" s="44" t="str">
        <f>IFERROR(CONCATENATE("Class ", VLOOKUP(A6,'[2]Class ABC'!$A:$I, 8, 0)),"Class C")</f>
        <v>Class C</v>
      </c>
      <c r="E6" s="43" t="str">
        <f>IFERROR(VLOOKUP(A6,'[2]MC Masterlist 2026-09-11'!$B:$M, 3, 0),"")</f>
        <v>HONDA</v>
      </c>
      <c r="F6" s="45">
        <f>IFERROR(VLOOKUP(A6,'[2]MC Masterlist 2026-09-11'!$B:$M, 6, 0),"")</f>
        <v>165630</v>
      </c>
      <c r="G6" s="46">
        <f>SUMIF('[2]Raw Sales'!$B:$B, A6, '[2]Raw Sales'!$I:$I)</f>
        <v>4</v>
      </c>
      <c r="H6" s="46">
        <f>SUMIF('[2]Raw Sales'!$B:$B, A6, '[2]Raw Sales'!$H:$H)</f>
        <v>7</v>
      </c>
      <c r="I6" s="46">
        <f>SUMIF('[2]Raw Sales'!$B:$B, A6, '[2]Raw Sales'!$G:$G)</f>
        <v>1</v>
      </c>
      <c r="J6" s="46">
        <f t="shared" si="0"/>
        <v>12</v>
      </c>
      <c r="K6" s="46">
        <f t="shared" si="1"/>
        <v>4</v>
      </c>
      <c r="L6" s="45">
        <f t="shared" si="2"/>
        <v>1987560</v>
      </c>
      <c r="M6" s="45">
        <f t="shared" si="3"/>
        <v>662520</v>
      </c>
      <c r="N6" s="46">
        <f t="shared" si="4"/>
        <v>0.13333333333333333</v>
      </c>
      <c r="O6" s="46">
        <f>SUMIF('[2]Raw Inventory'!$B:$B, A6, '[2]Raw Inventory'!$D:$D)</f>
        <v>9</v>
      </c>
      <c r="P6" s="45">
        <f t="shared" si="5"/>
        <v>1490670</v>
      </c>
      <c r="Q6" s="46">
        <f t="shared" si="6"/>
        <v>67.5</v>
      </c>
      <c r="R6" s="46">
        <f>IFERROR(VLOOKUP(A6,'[2]MC Masterlist 2026-09-11'!$B:$M, 7, 0),0)</f>
        <v>45</v>
      </c>
      <c r="S6" s="46">
        <f>IFERROR(VLOOKUP(A6,'[2]MC Masterlist 2026-09-11'!$B:$M, 8, 0),0)</f>
        <v>30</v>
      </c>
      <c r="T6" s="46">
        <f t="shared" si="7"/>
        <v>75</v>
      </c>
      <c r="U6" s="46">
        <f t="shared" si="8"/>
        <v>60</v>
      </c>
      <c r="V6" s="46">
        <f>IFERROR(VLOOKUP(A6,'[2]MC Masterlist 2026-09-11'!$B:$L, 9, 0),0)</f>
        <v>90</v>
      </c>
      <c r="W6" s="46">
        <f t="shared" si="9"/>
        <v>4</v>
      </c>
      <c r="X6" s="46">
        <f t="shared" si="10"/>
        <v>10</v>
      </c>
      <c r="Y6" s="46">
        <f t="shared" si="11"/>
        <v>8</v>
      </c>
      <c r="Z6" s="46">
        <f t="shared" si="12"/>
        <v>12</v>
      </c>
      <c r="AA6" s="44" t="str">
        <f t="shared" si="13"/>
        <v>Re-order</v>
      </c>
      <c r="AB6" s="46">
        <f>IFERROR(VLOOKUP(A6,'[2]PO Balance'!$A:$C, 3, 0),0)</f>
        <v>23</v>
      </c>
      <c r="AC6" s="43"/>
      <c r="AD6" s="46">
        <f t="shared" si="14"/>
        <v>32</v>
      </c>
      <c r="AE6" s="46">
        <f t="shared" si="15"/>
        <v>240</v>
      </c>
      <c r="AF6" s="44" t="str">
        <f t="shared" si="16"/>
        <v>Over</v>
      </c>
      <c r="AG6" s="46">
        <f t="shared" si="17"/>
        <v>33</v>
      </c>
    </row>
    <row r="7" spans="1:33">
      <c r="A7" s="43" t="s">
        <v>32</v>
      </c>
      <c r="B7" s="44" t="str">
        <f>IFERROR(VLOOKUP(A7,'[2]Class ABC'!$A:$I, 9, 0),"")</f>
        <v>B18</v>
      </c>
      <c r="C7" s="44">
        <f>IFERROR(VLOOKUP(A7,'[2]Class ABC'!$A:$I, 6, 0),"")</f>
        <v>27</v>
      </c>
      <c r="D7" s="44" t="str">
        <f>IFERROR(CONCATENATE("Class ", VLOOKUP(A7,'[2]Class ABC'!$A:$I, 8, 0)),"Class C")</f>
        <v>Class B</v>
      </c>
      <c r="E7" s="43" t="str">
        <f>IFERROR(VLOOKUP(A7,'[2]MC Masterlist 2026-09-11'!$B:$M, 3, 0),"")</f>
        <v>HONDA</v>
      </c>
      <c r="F7" s="45">
        <f>IFERROR(VLOOKUP(A7,'[2]MC Masterlist 2026-09-11'!$B:$M, 6, 0),"")</f>
        <v>288910</v>
      </c>
      <c r="G7" s="46">
        <f>SUMIF('[2]Raw Sales'!$B:$B, A7, '[2]Raw Sales'!$I:$I)</f>
        <v>6</v>
      </c>
      <c r="H7" s="46">
        <f>SUMIF('[2]Raw Sales'!$B:$B, A7, '[2]Raw Sales'!$H:$H)</f>
        <v>4</v>
      </c>
      <c r="I7" s="46">
        <f>SUMIF('[2]Raw Sales'!$B:$B, A7, '[2]Raw Sales'!$G:$G)</f>
        <v>2</v>
      </c>
      <c r="J7" s="46">
        <f t="shared" si="0"/>
        <v>12</v>
      </c>
      <c r="K7" s="46">
        <f t="shared" si="1"/>
        <v>4</v>
      </c>
      <c r="L7" s="45">
        <f t="shared" si="2"/>
        <v>3466920</v>
      </c>
      <c r="M7" s="45">
        <f t="shared" si="3"/>
        <v>1155640</v>
      </c>
      <c r="N7" s="46">
        <f t="shared" si="4"/>
        <v>0.13333333333333333</v>
      </c>
      <c r="O7" s="46">
        <f>SUMIF('[2]Raw Inventory'!$B:$B, A7, '[2]Raw Inventory'!$D:$D)</f>
        <v>13</v>
      </c>
      <c r="P7" s="45">
        <f t="shared" si="5"/>
        <v>3755830</v>
      </c>
      <c r="Q7" s="46">
        <f t="shared" si="6"/>
        <v>97.5</v>
      </c>
      <c r="R7" s="46">
        <f>IFERROR(VLOOKUP(A7,'[2]MC Masterlist 2026-09-11'!$B:$M, 7, 0),0)</f>
        <v>45</v>
      </c>
      <c r="S7" s="46">
        <f>IFERROR(VLOOKUP(A7,'[2]MC Masterlist 2026-09-11'!$B:$M, 8, 0),0)</f>
        <v>30</v>
      </c>
      <c r="T7" s="46">
        <f t="shared" si="7"/>
        <v>75</v>
      </c>
      <c r="U7" s="46">
        <f t="shared" si="8"/>
        <v>60</v>
      </c>
      <c r="V7" s="46">
        <f>IFERROR(VLOOKUP(A7,'[2]MC Masterlist 2026-09-11'!$B:$L, 9, 0),0)</f>
        <v>90</v>
      </c>
      <c r="W7" s="46">
        <f t="shared" si="9"/>
        <v>4</v>
      </c>
      <c r="X7" s="46">
        <f t="shared" si="10"/>
        <v>10</v>
      </c>
      <c r="Y7" s="46">
        <f t="shared" si="11"/>
        <v>8</v>
      </c>
      <c r="Z7" s="46">
        <f t="shared" si="12"/>
        <v>12</v>
      </c>
      <c r="AA7" s="44" t="str">
        <f t="shared" si="13"/>
        <v>Over</v>
      </c>
      <c r="AB7" s="46">
        <f>IFERROR(VLOOKUP(A7,'[2]PO Balance'!$A:$C, 3, 0),0)</f>
        <v>8</v>
      </c>
      <c r="AC7" s="43"/>
      <c r="AD7" s="46">
        <f t="shared" si="14"/>
        <v>21</v>
      </c>
      <c r="AE7" s="46">
        <f t="shared" si="15"/>
        <v>157.5</v>
      </c>
      <c r="AF7" s="44" t="str">
        <f t="shared" si="16"/>
        <v>Over</v>
      </c>
      <c r="AG7" s="46">
        <f t="shared" si="17"/>
        <v>18</v>
      </c>
    </row>
    <row r="8" spans="1:33">
      <c r="A8" s="43" t="s">
        <v>53</v>
      </c>
      <c r="B8" s="44" t="str">
        <f>IFERROR(VLOOKUP(A8,'[2]Class ABC'!$A:$I, 9, 0),"")</f>
        <v>C47</v>
      </c>
      <c r="C8" s="44">
        <f>IFERROR(VLOOKUP(A8,'[2]Class ABC'!$A:$I, 6, 0),"")</f>
        <v>76</v>
      </c>
      <c r="D8" s="44" t="str">
        <f>IFERROR(CONCATENATE("Class ", VLOOKUP(A8,'[2]Class ABC'!$A:$I, 8, 0)),"Class C")</f>
        <v>Class C</v>
      </c>
      <c r="E8" s="43" t="str">
        <f>IFERROR(VLOOKUP(A8,'[2]MC Masterlist 2026-09-11'!$B:$M, 3, 0),"")</f>
        <v>HONDA</v>
      </c>
      <c r="F8" s="45">
        <f>IFERROR(VLOOKUP(A8,'[2]MC Masterlist 2026-09-11'!$B:$M, 6, 0),"")</f>
        <v>118838</v>
      </c>
      <c r="G8" s="46">
        <f>SUMIF('[2]Raw Sales'!$B:$B, A8, '[2]Raw Sales'!$I:$I)</f>
        <v>1</v>
      </c>
      <c r="H8" s="46">
        <f>SUMIF('[2]Raw Sales'!$B:$B, A8, '[2]Raw Sales'!$H:$H)</f>
        <v>0</v>
      </c>
      <c r="I8" s="46">
        <f>SUMIF('[2]Raw Sales'!$B:$B, A8, '[2]Raw Sales'!$G:$G)</f>
        <v>0</v>
      </c>
      <c r="J8" s="46">
        <f t="shared" si="0"/>
        <v>1</v>
      </c>
      <c r="K8" s="46">
        <f t="shared" si="1"/>
        <v>0.33333333333333331</v>
      </c>
      <c r="L8" s="45">
        <f t="shared" si="2"/>
        <v>118838</v>
      </c>
      <c r="M8" s="45">
        <f t="shared" si="3"/>
        <v>39612.666666666664</v>
      </c>
      <c r="N8" s="46">
        <f t="shared" si="4"/>
        <v>1.1111111111111112E-2</v>
      </c>
      <c r="O8" s="46">
        <f>SUMIF('[2]Raw Inventory'!$B:$B, A8, '[2]Raw Inventory'!$D:$D)</f>
        <v>8</v>
      </c>
      <c r="P8" s="45">
        <f t="shared" si="5"/>
        <v>950704</v>
      </c>
      <c r="Q8" s="46">
        <f t="shared" si="6"/>
        <v>720</v>
      </c>
      <c r="R8" s="46">
        <f>IFERROR(VLOOKUP(A8,'[2]MC Masterlist 2026-09-11'!$B:$M, 7, 0),0)</f>
        <v>45</v>
      </c>
      <c r="S8" s="46">
        <f>IFERROR(VLOOKUP(A8,'[2]MC Masterlist 2026-09-11'!$B:$M, 8, 0),0)</f>
        <v>30</v>
      </c>
      <c r="T8" s="46">
        <f t="shared" si="7"/>
        <v>75</v>
      </c>
      <c r="U8" s="46">
        <f t="shared" si="8"/>
        <v>60</v>
      </c>
      <c r="V8" s="46">
        <f>IFERROR(VLOOKUP(A8,'[2]MC Masterlist 2026-09-11'!$B:$L, 9, 0),0)</f>
        <v>90</v>
      </c>
      <c r="W8" s="46">
        <f t="shared" si="9"/>
        <v>0.33333333333333337</v>
      </c>
      <c r="X8" s="46">
        <f t="shared" si="10"/>
        <v>0.83333333333333337</v>
      </c>
      <c r="Y8" s="46">
        <f t="shared" si="11"/>
        <v>0.66666666666666674</v>
      </c>
      <c r="Z8" s="46">
        <f t="shared" si="12"/>
        <v>1</v>
      </c>
      <c r="AA8" s="44" t="str">
        <f t="shared" si="13"/>
        <v>Over</v>
      </c>
      <c r="AB8" s="46">
        <f>IFERROR(VLOOKUP(A8,'[2]PO Balance'!$A:$C, 3, 0),0)</f>
        <v>0</v>
      </c>
      <c r="AC8" s="43"/>
      <c r="AD8" s="46">
        <f t="shared" si="14"/>
        <v>8</v>
      </c>
      <c r="AE8" s="46">
        <f t="shared" si="15"/>
        <v>720</v>
      </c>
      <c r="AF8" s="44" t="str">
        <f t="shared" si="16"/>
        <v>Over</v>
      </c>
      <c r="AG8" s="46">
        <f t="shared" si="17"/>
        <v>0.83333333333333337</v>
      </c>
    </row>
    <row r="9" spans="1:33">
      <c r="A9" s="43" t="s">
        <v>65</v>
      </c>
      <c r="B9" s="44" t="str">
        <f>IFERROR(VLOOKUP(A9,'[2]Class ABC'!$A:$I, 9, 0),"")</f>
        <v>C10</v>
      </c>
      <c r="C9" s="44">
        <f>IFERROR(VLOOKUP(A9,'[2]Class ABC'!$A:$I, 6, 0),"")</f>
        <v>39</v>
      </c>
      <c r="D9" s="44" t="str">
        <f>IFERROR(CONCATENATE("Class ", VLOOKUP(A9,'[2]Class ABC'!$A:$I, 8, 0)),"Class C")</f>
        <v>Class C</v>
      </c>
      <c r="E9" s="43" t="str">
        <f>IFERROR(VLOOKUP(A9,'[2]MC Masterlist 2026-09-11'!$B:$M, 3, 0),"")</f>
        <v>SUZUKI</v>
      </c>
      <c r="F9" s="45">
        <f>IFERROR(VLOOKUP(A9,'[2]MC Masterlist 2026-09-11'!$B:$M, 6, 0),"")</f>
        <v>77572</v>
      </c>
      <c r="G9" s="46">
        <f>SUMIF('[2]Raw Sales'!$B:$B, A9, '[2]Raw Sales'!$I:$I)</f>
        <v>1</v>
      </c>
      <c r="H9" s="46">
        <f>SUMIF('[2]Raw Sales'!$B:$B, A9, '[2]Raw Sales'!$H:$H)</f>
        <v>8</v>
      </c>
      <c r="I9" s="46">
        <f>SUMIF('[2]Raw Sales'!$B:$B, A9, '[2]Raw Sales'!$G:$G)</f>
        <v>7</v>
      </c>
      <c r="J9" s="46">
        <f t="shared" si="0"/>
        <v>16</v>
      </c>
      <c r="K9" s="46">
        <f t="shared" si="1"/>
        <v>5.333333333333333</v>
      </c>
      <c r="L9" s="45">
        <f t="shared" si="2"/>
        <v>1241152</v>
      </c>
      <c r="M9" s="45">
        <f t="shared" si="3"/>
        <v>413717.33333333331</v>
      </c>
      <c r="N9" s="46">
        <f t="shared" si="4"/>
        <v>0.17777777777777778</v>
      </c>
      <c r="O9" s="46">
        <f>SUMIF('[2]Raw Inventory'!$B:$B, A9, '[2]Raw Inventory'!$D:$D)</f>
        <v>30</v>
      </c>
      <c r="P9" s="45">
        <f t="shared" si="5"/>
        <v>2327160</v>
      </c>
      <c r="Q9" s="46">
        <f t="shared" si="6"/>
        <v>168.75</v>
      </c>
      <c r="R9" s="46">
        <f>IFERROR(VLOOKUP(A9,'[2]MC Masterlist 2026-09-11'!$B:$M, 7, 0),0)</f>
        <v>45</v>
      </c>
      <c r="S9" s="46">
        <f>IFERROR(VLOOKUP(A9,'[2]MC Masterlist 2026-09-11'!$B:$M, 8, 0),0)</f>
        <v>30</v>
      </c>
      <c r="T9" s="46">
        <f t="shared" si="7"/>
        <v>75</v>
      </c>
      <c r="U9" s="46">
        <f t="shared" si="8"/>
        <v>60</v>
      </c>
      <c r="V9" s="46">
        <f>IFERROR(VLOOKUP(A9,'[2]MC Masterlist 2026-09-11'!$B:$L, 9, 0),0)</f>
        <v>90</v>
      </c>
      <c r="W9" s="46">
        <f t="shared" si="9"/>
        <v>5.3333333333333339</v>
      </c>
      <c r="X9" s="46">
        <f t="shared" si="10"/>
        <v>13.333333333333334</v>
      </c>
      <c r="Y9" s="46">
        <f t="shared" si="11"/>
        <v>10.666666666666668</v>
      </c>
      <c r="Z9" s="46">
        <f t="shared" si="12"/>
        <v>16</v>
      </c>
      <c r="AA9" s="44" t="str">
        <f t="shared" si="13"/>
        <v>Over</v>
      </c>
      <c r="AB9" s="46">
        <f>IFERROR(VLOOKUP(A9,'[2]PO Balance'!$A:$C, 3, 0),0)</f>
        <v>0</v>
      </c>
      <c r="AC9" s="43"/>
      <c r="AD9" s="46">
        <f t="shared" si="14"/>
        <v>30</v>
      </c>
      <c r="AE9" s="46">
        <f t="shared" si="15"/>
        <v>168.75</v>
      </c>
      <c r="AF9" s="44" t="str">
        <f t="shared" si="16"/>
        <v>Over</v>
      </c>
      <c r="AG9" s="46">
        <f t="shared" si="17"/>
        <v>13.333333333333334</v>
      </c>
    </row>
    <row r="10" spans="1:33">
      <c r="A10" s="43" t="s">
        <v>49</v>
      </c>
      <c r="B10" s="44" t="str">
        <f>IFERROR(VLOOKUP(A10,'[2]Class ABC'!$A:$I, 9, 0),"")</f>
        <v>A3</v>
      </c>
      <c r="C10" s="44">
        <f>IFERROR(VLOOKUP(A10,'[2]Class ABC'!$A:$I, 6, 0),"")</f>
        <v>3</v>
      </c>
      <c r="D10" s="44" t="str">
        <f>IFERROR(CONCATENATE("Class ", VLOOKUP(A10,'[2]Class ABC'!$A:$I, 8, 0)),"Class C")</f>
        <v>Class A</v>
      </c>
      <c r="E10" s="43" t="str">
        <f>IFERROR(VLOOKUP(A10,'[2]MC Masterlist 2026-09-11'!$B:$M, 3, 0),"")</f>
        <v>BAJAJ RE</v>
      </c>
      <c r="F10" s="45">
        <f>IFERROR(VLOOKUP(A10,'[2]MC Masterlist 2026-09-11'!$B:$M, 6, 0),"")</f>
        <v>191000</v>
      </c>
      <c r="G10" s="46">
        <f>SUMIF('[2]Raw Sales'!$B:$B, A10, '[2]Raw Sales'!$I:$I)</f>
        <v>126</v>
      </c>
      <c r="H10" s="46">
        <f>SUMIF('[2]Raw Sales'!$B:$B, A10, '[2]Raw Sales'!$H:$H)</f>
        <v>124</v>
      </c>
      <c r="I10" s="46">
        <f>SUMIF('[2]Raw Sales'!$B:$B, A10, '[2]Raw Sales'!$G:$G)</f>
        <v>141</v>
      </c>
      <c r="J10" s="46">
        <f t="shared" si="0"/>
        <v>391</v>
      </c>
      <c r="K10" s="46">
        <f t="shared" si="1"/>
        <v>130.33333333333334</v>
      </c>
      <c r="L10" s="45">
        <f t="shared" si="2"/>
        <v>74681000</v>
      </c>
      <c r="M10" s="45">
        <f t="shared" si="3"/>
        <v>24893666.666666668</v>
      </c>
      <c r="N10" s="46">
        <f t="shared" si="4"/>
        <v>4.3444444444444441</v>
      </c>
      <c r="O10" s="46">
        <f>SUMIF('[2]Raw Inventory'!$B:$B, A10, '[2]Raw Inventory'!$D:$D)</f>
        <v>86</v>
      </c>
      <c r="P10" s="45">
        <f t="shared" si="5"/>
        <v>16426000</v>
      </c>
      <c r="Q10" s="46">
        <f t="shared" si="6"/>
        <v>19.795396419437338</v>
      </c>
      <c r="R10" s="46">
        <f>IFERROR(VLOOKUP(A10,'[2]MC Masterlist 2026-09-11'!$B:$M, 7, 0),0)</f>
        <v>45</v>
      </c>
      <c r="S10" s="46">
        <f>IFERROR(VLOOKUP(A10,'[2]MC Masterlist 2026-09-11'!$B:$M, 8, 0),0)</f>
        <v>30</v>
      </c>
      <c r="T10" s="46">
        <f t="shared" si="7"/>
        <v>75</v>
      </c>
      <c r="U10" s="46">
        <f t="shared" si="8"/>
        <v>60</v>
      </c>
      <c r="V10" s="46">
        <f>IFERROR(VLOOKUP(A10,'[2]MC Masterlist 2026-09-11'!$B:$L, 9, 0),0)</f>
        <v>90</v>
      </c>
      <c r="W10" s="46">
        <f t="shared" si="9"/>
        <v>130.33333333333331</v>
      </c>
      <c r="X10" s="46">
        <f t="shared" si="10"/>
        <v>325.83333333333331</v>
      </c>
      <c r="Y10" s="46">
        <f t="shared" si="11"/>
        <v>260.66666666666663</v>
      </c>
      <c r="Z10" s="46">
        <f t="shared" si="12"/>
        <v>390.99999999999994</v>
      </c>
      <c r="AA10" s="44" t="str">
        <f t="shared" si="13"/>
        <v>Stockout</v>
      </c>
      <c r="AB10" s="46">
        <f>IFERROR(VLOOKUP(A10,'[2]PO Balance'!$A:$C, 3, 0),0)</f>
        <v>62</v>
      </c>
      <c r="AC10" s="43"/>
      <c r="AD10" s="46">
        <f t="shared" si="14"/>
        <v>148</v>
      </c>
      <c r="AE10" s="46">
        <f t="shared" si="15"/>
        <v>34.066496163682864</v>
      </c>
      <c r="AF10" s="44" t="str">
        <f t="shared" si="16"/>
        <v>Re-order</v>
      </c>
      <c r="AG10" s="46">
        <f t="shared" si="17"/>
        <v>387.83333333333331</v>
      </c>
    </row>
    <row r="11" spans="1:33">
      <c r="A11" s="43" t="s">
        <v>150</v>
      </c>
      <c r="B11" s="44" t="str">
        <f>IFERROR(VLOOKUP(A11,'[2]Class ABC'!$A:$I, 9, 0),"")</f>
        <v/>
      </c>
      <c r="C11" s="44" t="str">
        <f>IFERROR(VLOOKUP(A11,'[2]Class ABC'!$A:$I, 6, 0),"")</f>
        <v/>
      </c>
      <c r="D11" s="44" t="str">
        <f>IFERROR(CONCATENATE("Class ", VLOOKUP(A11,'[2]Class ABC'!$A:$I, 8, 0)),"Class C")</f>
        <v>Class C</v>
      </c>
      <c r="E11" s="43" t="str">
        <f>IFERROR(VLOOKUP(A11,'[2]MC Masterlist 2026-09-11'!$B:$M, 3, 0),"")</f>
        <v>BAJAJ RE</v>
      </c>
      <c r="F11" s="45">
        <f>IFERROR(VLOOKUP(A11,'[2]MC Masterlist 2026-09-11'!$B:$M, 6, 0),"")</f>
        <v>233000</v>
      </c>
      <c r="G11" s="46">
        <f>SUMIF('[2]Raw Sales'!$B:$B, A11, '[2]Raw Sales'!$I:$I)</f>
        <v>0</v>
      </c>
      <c r="H11" s="46">
        <f>SUMIF('[2]Raw Sales'!$B:$B, A11, '[2]Raw Sales'!$H:$H)</f>
        <v>0</v>
      </c>
      <c r="I11" s="46">
        <f>SUMIF('[2]Raw Sales'!$B:$B, A11, '[2]Raw Sales'!$G:$G)</f>
        <v>0</v>
      </c>
      <c r="J11" s="46">
        <f t="shared" si="0"/>
        <v>0</v>
      </c>
      <c r="K11" s="46">
        <f t="shared" si="1"/>
        <v>0</v>
      </c>
      <c r="L11" s="45">
        <f t="shared" si="2"/>
        <v>0</v>
      </c>
      <c r="M11" s="45">
        <f t="shared" si="3"/>
        <v>0</v>
      </c>
      <c r="N11" s="46">
        <f t="shared" si="4"/>
        <v>0</v>
      </c>
      <c r="O11" s="46">
        <f>SUMIF('[2]Raw Inventory'!$B:$B, A11, '[2]Raw Inventory'!$D:$D)</f>
        <v>1</v>
      </c>
      <c r="P11" s="45">
        <f t="shared" si="5"/>
        <v>233000</v>
      </c>
      <c r="Q11" s="46" t="str">
        <f t="shared" si="6"/>
        <v/>
      </c>
      <c r="R11" s="46">
        <f>IFERROR(VLOOKUP(A11,'[2]MC Masterlist 2026-09-11'!$B:$M, 7, 0),0)</f>
        <v>45</v>
      </c>
      <c r="S11" s="46">
        <f>IFERROR(VLOOKUP(A11,'[2]MC Masterlist 2026-09-11'!$B:$M, 8, 0),0)</f>
        <v>30</v>
      </c>
      <c r="T11" s="46">
        <f t="shared" si="7"/>
        <v>75</v>
      </c>
      <c r="U11" s="46">
        <f t="shared" si="8"/>
        <v>60</v>
      </c>
      <c r="V11" s="46">
        <f>IFERROR(VLOOKUP(A11,'[2]MC Masterlist 2026-09-11'!$B:$L, 9, 0),0)</f>
        <v>90</v>
      </c>
      <c r="W11" s="46">
        <f t="shared" si="9"/>
        <v>0</v>
      </c>
      <c r="X11" s="46">
        <f t="shared" si="10"/>
        <v>0</v>
      </c>
      <c r="Y11" s="46">
        <f t="shared" si="11"/>
        <v>0</v>
      </c>
      <c r="Z11" s="46">
        <f t="shared" si="12"/>
        <v>0</v>
      </c>
      <c r="AA11" s="44" t="str">
        <f t="shared" si="13"/>
        <v>Over</v>
      </c>
      <c r="AB11" s="46">
        <f>IFERROR(VLOOKUP(A11,'[2]PO Balance'!$A:$C, 3, 0),0)</f>
        <v>0</v>
      </c>
      <c r="AC11" s="43"/>
      <c r="AD11" s="46">
        <f t="shared" si="14"/>
        <v>1</v>
      </c>
      <c r="AE11" s="46">
        <f t="shared" si="15"/>
        <v>0</v>
      </c>
      <c r="AF11" s="44" t="str">
        <f t="shared" si="16"/>
        <v>Over</v>
      </c>
      <c r="AG11" s="46">
        <f t="shared" si="17"/>
        <v>0</v>
      </c>
    </row>
    <row r="12" spans="1:33">
      <c r="A12" s="43" t="s">
        <v>66</v>
      </c>
      <c r="B12" s="44" t="str">
        <f>IFERROR(VLOOKUP(A12,'[2]Class ABC'!$A:$I, 9, 0),"")</f>
        <v>B11</v>
      </c>
      <c r="C12" s="44">
        <f>IFERROR(VLOOKUP(A12,'[2]Class ABC'!$A:$I, 6, 0),"")</f>
        <v>20</v>
      </c>
      <c r="D12" s="44" t="str">
        <f>IFERROR(CONCATENATE("Class ", VLOOKUP(A12,'[2]Class ABC'!$A:$I, 8, 0)),"Class C")</f>
        <v>Class B</v>
      </c>
      <c r="E12" s="43" t="str">
        <f>IFERROR(VLOOKUP(A12,'[2]MC Masterlist 2026-09-11'!$B:$M, 3, 0),"")</f>
        <v>KAWASAKI</v>
      </c>
      <c r="F12" s="45">
        <f>IFERROR(VLOOKUP(A12,'[2]MC Masterlist 2026-09-11'!$B:$M, 6, 0),"")</f>
        <v>95530</v>
      </c>
      <c r="G12" s="46">
        <f>SUMIF('[2]Raw Sales'!$B:$B, A12, '[2]Raw Sales'!$I:$I)</f>
        <v>29</v>
      </c>
      <c r="H12" s="46">
        <f>SUMIF('[2]Raw Sales'!$B:$B, A12, '[2]Raw Sales'!$H:$H)</f>
        <v>28</v>
      </c>
      <c r="I12" s="46">
        <f>SUMIF('[2]Raw Sales'!$B:$B, A12, '[2]Raw Sales'!$G:$G)</f>
        <v>22</v>
      </c>
      <c r="J12" s="46">
        <f t="shared" si="0"/>
        <v>79</v>
      </c>
      <c r="K12" s="46">
        <f t="shared" si="1"/>
        <v>26.333333333333332</v>
      </c>
      <c r="L12" s="45">
        <f t="shared" si="2"/>
        <v>7546870</v>
      </c>
      <c r="M12" s="45">
        <f t="shared" si="3"/>
        <v>2515623.333333333</v>
      </c>
      <c r="N12" s="46">
        <f t="shared" si="4"/>
        <v>0.87777777777777777</v>
      </c>
      <c r="O12" s="46">
        <f>SUMIF('[2]Raw Inventory'!$B:$B, A12, '[2]Raw Inventory'!$D:$D)</f>
        <v>49</v>
      </c>
      <c r="P12" s="45">
        <f t="shared" si="5"/>
        <v>4680970</v>
      </c>
      <c r="Q12" s="46">
        <f t="shared" si="6"/>
        <v>55.822784810126585</v>
      </c>
      <c r="R12" s="46">
        <f>IFERROR(VLOOKUP(A12,'[2]MC Masterlist 2026-09-11'!$B:$M, 7, 0),0)</f>
        <v>45</v>
      </c>
      <c r="S12" s="46">
        <f>IFERROR(VLOOKUP(A12,'[2]MC Masterlist 2026-09-11'!$B:$M, 8, 0),0)</f>
        <v>30</v>
      </c>
      <c r="T12" s="46">
        <f t="shared" si="7"/>
        <v>75</v>
      </c>
      <c r="U12" s="46">
        <f t="shared" si="8"/>
        <v>60</v>
      </c>
      <c r="V12" s="46">
        <f>IFERROR(VLOOKUP(A12,'[2]MC Masterlist 2026-09-11'!$B:$L, 9, 0),0)</f>
        <v>90</v>
      </c>
      <c r="W12" s="46">
        <f t="shared" si="9"/>
        <v>26.333333333333332</v>
      </c>
      <c r="X12" s="46">
        <f t="shared" si="10"/>
        <v>65.833333333333329</v>
      </c>
      <c r="Y12" s="46">
        <f t="shared" si="11"/>
        <v>52.666666666666664</v>
      </c>
      <c r="Z12" s="46">
        <f t="shared" si="12"/>
        <v>79</v>
      </c>
      <c r="AA12" s="44" t="str">
        <f t="shared" si="13"/>
        <v>Re-order</v>
      </c>
      <c r="AB12" s="46">
        <f>IFERROR(VLOOKUP(A12,'[2]PO Balance'!$A:$C, 3, 0),0)</f>
        <v>66</v>
      </c>
      <c r="AC12" s="43"/>
      <c r="AD12" s="46">
        <f t="shared" si="14"/>
        <v>115</v>
      </c>
      <c r="AE12" s="46">
        <f t="shared" si="15"/>
        <v>131.01265822784811</v>
      </c>
      <c r="AF12" s="44" t="str">
        <f t="shared" si="16"/>
        <v>Over</v>
      </c>
      <c r="AG12" s="46">
        <f t="shared" si="17"/>
        <v>131.83333333333331</v>
      </c>
    </row>
    <row r="13" spans="1:33">
      <c r="A13" s="43" t="s">
        <v>70</v>
      </c>
      <c r="B13" s="44" t="str">
        <f>IFERROR(VLOOKUP(A13,'[2]Class ABC'!$A:$I, 9, 0),"")</f>
        <v>C13</v>
      </c>
      <c r="C13" s="44">
        <f>IFERROR(VLOOKUP(A13,'[2]Class ABC'!$A:$I, 6, 0),"")</f>
        <v>42</v>
      </c>
      <c r="D13" s="44" t="str">
        <f>IFERROR(CONCATENATE("Class ", VLOOKUP(A13,'[2]Class ABC'!$A:$I, 8, 0)),"Class C")</f>
        <v>Class C</v>
      </c>
      <c r="E13" s="43" t="str">
        <f>IFERROR(VLOOKUP(A13,'[2]MC Masterlist 2026-09-11'!$B:$M, 3, 0),"")</f>
        <v>KAWASAKI</v>
      </c>
      <c r="F13" s="45">
        <f>IFERROR(VLOOKUP(A13,'[2]MC Masterlist 2026-09-11'!$B:$M, 6, 0),"")</f>
        <v>91770</v>
      </c>
      <c r="G13" s="46">
        <f>SUMIF('[2]Raw Sales'!$B:$B, A13, '[2]Raw Sales'!$I:$I)</f>
        <v>6</v>
      </c>
      <c r="H13" s="46">
        <f>SUMIF('[2]Raw Sales'!$B:$B, A13, '[2]Raw Sales'!$H:$H)</f>
        <v>2</v>
      </c>
      <c r="I13" s="46">
        <f>SUMIF('[2]Raw Sales'!$B:$B, A13, '[2]Raw Sales'!$G:$G)</f>
        <v>3</v>
      </c>
      <c r="J13" s="46">
        <f t="shared" si="0"/>
        <v>11</v>
      </c>
      <c r="K13" s="46">
        <f t="shared" si="1"/>
        <v>3.6666666666666665</v>
      </c>
      <c r="L13" s="45">
        <f t="shared" si="2"/>
        <v>1009470</v>
      </c>
      <c r="M13" s="45">
        <f t="shared" si="3"/>
        <v>336490</v>
      </c>
      <c r="N13" s="46">
        <f t="shared" si="4"/>
        <v>0.12222222222222222</v>
      </c>
      <c r="O13" s="46">
        <f>SUMIF('[2]Raw Inventory'!$B:$B, A13, '[2]Raw Inventory'!$D:$D)</f>
        <v>34</v>
      </c>
      <c r="P13" s="45">
        <f t="shared" si="5"/>
        <v>3120180</v>
      </c>
      <c r="Q13" s="46">
        <f t="shared" si="6"/>
        <v>278.18181818181819</v>
      </c>
      <c r="R13" s="46">
        <f>IFERROR(VLOOKUP(A13,'[2]MC Masterlist 2026-09-11'!$B:$M, 7, 0),0)</f>
        <v>45</v>
      </c>
      <c r="S13" s="46">
        <f>IFERROR(VLOOKUP(A13,'[2]MC Masterlist 2026-09-11'!$B:$M, 8, 0),0)</f>
        <v>30</v>
      </c>
      <c r="T13" s="46">
        <f t="shared" si="7"/>
        <v>75</v>
      </c>
      <c r="U13" s="46">
        <f t="shared" si="8"/>
        <v>60</v>
      </c>
      <c r="V13" s="46">
        <f>IFERROR(VLOOKUP(A13,'[2]MC Masterlist 2026-09-11'!$B:$L, 9, 0),0)</f>
        <v>90</v>
      </c>
      <c r="W13" s="46">
        <f t="shared" si="9"/>
        <v>3.6666666666666665</v>
      </c>
      <c r="X13" s="46">
        <f t="shared" si="10"/>
        <v>9.1666666666666661</v>
      </c>
      <c r="Y13" s="46">
        <f t="shared" si="11"/>
        <v>7.333333333333333</v>
      </c>
      <c r="Z13" s="46">
        <f t="shared" si="12"/>
        <v>11</v>
      </c>
      <c r="AA13" s="44" t="str">
        <f t="shared" si="13"/>
        <v>Over</v>
      </c>
      <c r="AB13" s="46">
        <f>IFERROR(VLOOKUP(A13,'[2]PO Balance'!$A:$C, 3, 0),0)</f>
        <v>7</v>
      </c>
      <c r="AC13" s="43"/>
      <c r="AD13" s="46">
        <f t="shared" si="14"/>
        <v>41</v>
      </c>
      <c r="AE13" s="46">
        <f t="shared" si="15"/>
        <v>335.45454545454544</v>
      </c>
      <c r="AF13" s="44" t="str">
        <f t="shared" si="16"/>
        <v>Over</v>
      </c>
      <c r="AG13" s="46">
        <f t="shared" si="17"/>
        <v>16.166666666666664</v>
      </c>
    </row>
    <row r="14" spans="1:33">
      <c r="A14" s="43" t="s">
        <v>78</v>
      </c>
      <c r="B14" s="44" t="str">
        <f>IFERROR(VLOOKUP(A14,'[2]Class ABC'!$A:$I, 9, 0),"")</f>
        <v>C17</v>
      </c>
      <c r="C14" s="44">
        <f>IFERROR(VLOOKUP(A14,'[2]Class ABC'!$A:$I, 6, 0),"")</f>
        <v>46</v>
      </c>
      <c r="D14" s="44" t="str">
        <f>IFERROR(CONCATENATE("Class ", VLOOKUP(A14,'[2]Class ABC'!$A:$I, 8, 0)),"Class C")</f>
        <v>Class C</v>
      </c>
      <c r="E14" s="43" t="str">
        <f>IFERROR(VLOOKUP(A14,'[2]MC Masterlist 2026-09-11'!$B:$M, 3, 0),"")</f>
        <v>KAWASAKI</v>
      </c>
      <c r="F14" s="45">
        <f>IFERROR(VLOOKUP(A14,'[2]MC Masterlist 2026-09-11'!$B:$M, 6, 0),"")</f>
        <v>100700</v>
      </c>
      <c r="G14" s="46">
        <f>SUMIF('[2]Raw Sales'!$B:$B, A14, '[2]Raw Sales'!$I:$I)</f>
        <v>3</v>
      </c>
      <c r="H14" s="46">
        <f>SUMIF('[2]Raw Sales'!$B:$B, A14, '[2]Raw Sales'!$H:$H)</f>
        <v>0</v>
      </c>
      <c r="I14" s="46">
        <f>SUMIF('[2]Raw Sales'!$B:$B, A14, '[2]Raw Sales'!$G:$G)</f>
        <v>5</v>
      </c>
      <c r="J14" s="46">
        <f t="shared" si="0"/>
        <v>8</v>
      </c>
      <c r="K14" s="46">
        <f t="shared" si="1"/>
        <v>2.6666666666666665</v>
      </c>
      <c r="L14" s="45">
        <f t="shared" si="2"/>
        <v>805600</v>
      </c>
      <c r="M14" s="45">
        <f t="shared" si="3"/>
        <v>268533.33333333331</v>
      </c>
      <c r="N14" s="46">
        <f t="shared" si="4"/>
        <v>8.8888888888888892E-2</v>
      </c>
      <c r="O14" s="46">
        <f>SUMIF('[2]Raw Inventory'!$B:$B, A14, '[2]Raw Inventory'!$D:$D)</f>
        <v>19</v>
      </c>
      <c r="P14" s="45">
        <f t="shared" si="5"/>
        <v>1913300</v>
      </c>
      <c r="Q14" s="46">
        <f t="shared" si="6"/>
        <v>213.75000000000003</v>
      </c>
      <c r="R14" s="46">
        <f>IFERROR(VLOOKUP(A14,'[2]MC Masterlist 2026-09-11'!$B:$M, 7, 0),0)</f>
        <v>45</v>
      </c>
      <c r="S14" s="46">
        <f>IFERROR(VLOOKUP(A14,'[2]MC Masterlist 2026-09-11'!$B:$M, 8, 0),0)</f>
        <v>30</v>
      </c>
      <c r="T14" s="46">
        <f t="shared" si="7"/>
        <v>75</v>
      </c>
      <c r="U14" s="46">
        <f t="shared" si="8"/>
        <v>60</v>
      </c>
      <c r="V14" s="46">
        <f>IFERROR(VLOOKUP(A14,'[2]MC Masterlist 2026-09-11'!$B:$L, 9, 0),0)</f>
        <v>90</v>
      </c>
      <c r="W14" s="46">
        <f t="shared" si="9"/>
        <v>2.666666666666667</v>
      </c>
      <c r="X14" s="46">
        <f t="shared" si="10"/>
        <v>6.666666666666667</v>
      </c>
      <c r="Y14" s="46">
        <f t="shared" si="11"/>
        <v>5.3333333333333339</v>
      </c>
      <c r="Z14" s="46">
        <f t="shared" si="12"/>
        <v>8</v>
      </c>
      <c r="AA14" s="44" t="str">
        <f t="shared" si="13"/>
        <v>Over</v>
      </c>
      <c r="AB14" s="46">
        <f>IFERROR(VLOOKUP(A14,'[2]PO Balance'!$A:$C, 3, 0),0)</f>
        <v>21</v>
      </c>
      <c r="AC14" s="43"/>
      <c r="AD14" s="46">
        <f t="shared" si="14"/>
        <v>40</v>
      </c>
      <c r="AE14" s="46">
        <f t="shared" si="15"/>
        <v>450</v>
      </c>
      <c r="AF14" s="44" t="str">
        <f t="shared" si="16"/>
        <v>Over</v>
      </c>
      <c r="AG14" s="46">
        <f t="shared" si="17"/>
        <v>27.666666666666668</v>
      </c>
    </row>
    <row r="15" spans="1:33">
      <c r="A15" s="43" t="s">
        <v>135</v>
      </c>
      <c r="B15" s="44" t="str">
        <f>IFERROR(VLOOKUP(A15,'[2]Class ABC'!$A:$I, 9, 0),"")</f>
        <v/>
      </c>
      <c r="C15" s="44" t="str">
        <f>IFERROR(VLOOKUP(A15,'[2]Class ABC'!$A:$I, 6, 0),"")</f>
        <v/>
      </c>
      <c r="D15" s="44" t="str">
        <f>IFERROR(CONCATENATE("Class ", VLOOKUP(A15,'[2]Class ABC'!$A:$I, 8, 0)),"Class C")</f>
        <v>Class C</v>
      </c>
      <c r="E15" s="43" t="str">
        <f>IFERROR(VLOOKUP(A15,'[2]MC Masterlist 2026-09-11'!$B:$M, 3, 0),"")</f>
        <v>KAWASAKI</v>
      </c>
      <c r="F15" s="45">
        <f>IFERROR(VLOOKUP(A15,'[2]MC Masterlist 2026-09-11'!$B:$M, 6, 0),"")</f>
        <v>92710</v>
      </c>
      <c r="G15" s="46">
        <f>SUMIF('[2]Raw Sales'!$B:$B, A15, '[2]Raw Sales'!$I:$I)</f>
        <v>0</v>
      </c>
      <c r="H15" s="46">
        <f>SUMIF('[2]Raw Sales'!$B:$B, A15, '[2]Raw Sales'!$H:$H)</f>
        <v>0</v>
      </c>
      <c r="I15" s="46">
        <f>SUMIF('[2]Raw Sales'!$B:$B, A15, '[2]Raw Sales'!$G:$G)</f>
        <v>0</v>
      </c>
      <c r="J15" s="46">
        <f t="shared" si="0"/>
        <v>0</v>
      </c>
      <c r="K15" s="46">
        <f t="shared" si="1"/>
        <v>0</v>
      </c>
      <c r="L15" s="45">
        <f t="shared" si="2"/>
        <v>0</v>
      </c>
      <c r="M15" s="45">
        <f t="shared" si="3"/>
        <v>0</v>
      </c>
      <c r="N15" s="46">
        <f t="shared" si="4"/>
        <v>0</v>
      </c>
      <c r="O15" s="46">
        <f>SUMIF('[2]Raw Inventory'!$B:$B, A15, '[2]Raw Inventory'!$D:$D)</f>
        <v>1</v>
      </c>
      <c r="P15" s="45">
        <f t="shared" si="5"/>
        <v>92710</v>
      </c>
      <c r="Q15" s="46" t="str">
        <f t="shared" si="6"/>
        <v/>
      </c>
      <c r="R15" s="46">
        <f>IFERROR(VLOOKUP(A15,'[2]MC Masterlist 2026-09-11'!$B:$M, 7, 0),0)</f>
        <v>45</v>
      </c>
      <c r="S15" s="46">
        <f>IFERROR(VLOOKUP(A15,'[2]MC Masterlist 2026-09-11'!$B:$M, 8, 0),0)</f>
        <v>30</v>
      </c>
      <c r="T15" s="46">
        <f t="shared" si="7"/>
        <v>75</v>
      </c>
      <c r="U15" s="46">
        <f t="shared" si="8"/>
        <v>60</v>
      </c>
      <c r="V15" s="46">
        <f>IFERROR(VLOOKUP(A15,'[2]MC Masterlist 2026-09-11'!$B:$L, 9, 0),0)</f>
        <v>90</v>
      </c>
      <c r="W15" s="46">
        <f t="shared" si="9"/>
        <v>0</v>
      </c>
      <c r="X15" s="46">
        <f t="shared" si="10"/>
        <v>0</v>
      </c>
      <c r="Y15" s="46">
        <f t="shared" si="11"/>
        <v>0</v>
      </c>
      <c r="Z15" s="46">
        <f t="shared" si="12"/>
        <v>0</v>
      </c>
      <c r="AA15" s="44" t="str">
        <f t="shared" si="13"/>
        <v>Over</v>
      </c>
      <c r="AB15" s="46">
        <f>IFERROR(VLOOKUP(A15,'[2]PO Balance'!$A:$C, 3, 0),0)</f>
        <v>0</v>
      </c>
      <c r="AC15" s="43"/>
      <c r="AD15" s="46">
        <f t="shared" si="14"/>
        <v>1</v>
      </c>
      <c r="AE15" s="46">
        <f t="shared" si="15"/>
        <v>0</v>
      </c>
      <c r="AF15" s="44" t="str">
        <f t="shared" si="16"/>
        <v>Over</v>
      </c>
      <c r="AG15" s="46">
        <f t="shared" si="17"/>
        <v>0</v>
      </c>
    </row>
    <row r="16" spans="1:33">
      <c r="A16" s="43" t="s">
        <v>39</v>
      </c>
      <c r="B16" s="44" t="str">
        <f>IFERROR(VLOOKUP(A16,'[2]Class ABC'!$A:$I, 9, 0),"")</f>
        <v>B9</v>
      </c>
      <c r="C16" s="44">
        <f>IFERROR(VLOOKUP(A16,'[2]Class ABC'!$A:$I, 6, 0),"")</f>
        <v>18</v>
      </c>
      <c r="D16" s="44" t="str">
        <f>IFERROR(CONCATENATE("Class ", VLOOKUP(A16,'[2]Class ABC'!$A:$I, 8, 0)),"Class C")</f>
        <v>Class B</v>
      </c>
      <c r="E16" s="43" t="str">
        <f>IFERROR(VLOOKUP(A16,'[2]MC Masterlist 2026-09-11'!$B:$M, 3, 0),"")</f>
        <v>HONDA</v>
      </c>
      <c r="F16" s="45">
        <f>IFERROR(VLOOKUP(A16,'[2]MC Masterlist 2026-09-11'!$B:$M, 6, 0),"")</f>
        <v>72434</v>
      </c>
      <c r="G16" s="46">
        <f>SUMIF('[2]Raw Sales'!$B:$B, A16, '[2]Raw Sales'!$I:$I)</f>
        <v>21</v>
      </c>
      <c r="H16" s="46">
        <f>SUMIF('[2]Raw Sales'!$B:$B, A16, '[2]Raw Sales'!$H:$H)</f>
        <v>41</v>
      </c>
      <c r="I16" s="46">
        <f>SUMIF('[2]Raw Sales'!$B:$B, A16, '[2]Raw Sales'!$G:$G)</f>
        <v>52</v>
      </c>
      <c r="J16" s="46">
        <f t="shared" si="0"/>
        <v>114</v>
      </c>
      <c r="K16" s="46">
        <f t="shared" si="1"/>
        <v>38</v>
      </c>
      <c r="L16" s="45">
        <f t="shared" si="2"/>
        <v>8257476</v>
      </c>
      <c r="M16" s="45">
        <f t="shared" si="3"/>
        <v>2752492</v>
      </c>
      <c r="N16" s="46">
        <f t="shared" si="4"/>
        <v>1.2666666666666666</v>
      </c>
      <c r="O16" s="46">
        <f>SUMIF('[2]Raw Inventory'!$B:$B, A16, '[2]Raw Inventory'!$D:$D)</f>
        <v>48</v>
      </c>
      <c r="P16" s="45">
        <f t="shared" si="5"/>
        <v>3476832</v>
      </c>
      <c r="Q16" s="46">
        <f t="shared" si="6"/>
        <v>37.89473684210526</v>
      </c>
      <c r="R16" s="46">
        <f>IFERROR(VLOOKUP(A16,'[2]MC Masterlist 2026-09-11'!$B:$M, 7, 0),0)</f>
        <v>45</v>
      </c>
      <c r="S16" s="46">
        <f>IFERROR(VLOOKUP(A16,'[2]MC Masterlist 2026-09-11'!$B:$M, 8, 0),0)</f>
        <v>30</v>
      </c>
      <c r="T16" s="46">
        <f t="shared" si="7"/>
        <v>75</v>
      </c>
      <c r="U16" s="46">
        <f t="shared" si="8"/>
        <v>60</v>
      </c>
      <c r="V16" s="46">
        <f>IFERROR(VLOOKUP(A16,'[2]MC Masterlist 2026-09-11'!$B:$L, 9, 0),0)</f>
        <v>90</v>
      </c>
      <c r="W16" s="46">
        <f t="shared" si="9"/>
        <v>38</v>
      </c>
      <c r="X16" s="46">
        <f t="shared" si="10"/>
        <v>95</v>
      </c>
      <c r="Y16" s="46">
        <f t="shared" si="11"/>
        <v>76</v>
      </c>
      <c r="Z16" s="46">
        <f t="shared" si="12"/>
        <v>114</v>
      </c>
      <c r="AA16" s="44" t="str">
        <f t="shared" si="13"/>
        <v>Re-order</v>
      </c>
      <c r="AB16" s="46">
        <f>IFERROR(VLOOKUP(A16,'[2]PO Balance'!$A:$C, 3, 0),0)</f>
        <v>123</v>
      </c>
      <c r="AC16" s="43"/>
      <c r="AD16" s="46">
        <f t="shared" si="14"/>
        <v>171</v>
      </c>
      <c r="AE16" s="46">
        <f t="shared" si="15"/>
        <v>135</v>
      </c>
      <c r="AF16" s="44" t="str">
        <f t="shared" si="16"/>
        <v>Over</v>
      </c>
      <c r="AG16" s="46">
        <f t="shared" si="17"/>
        <v>218</v>
      </c>
    </row>
    <row r="17" spans="1:33">
      <c r="A17" s="43" t="s">
        <v>54</v>
      </c>
      <c r="B17" s="44" t="str">
        <f>IFERROR(VLOOKUP(A17,'[2]Class ABC'!$A:$I, 9, 0),"")</f>
        <v>C19</v>
      </c>
      <c r="C17" s="44">
        <f>IFERROR(VLOOKUP(A17,'[2]Class ABC'!$A:$I, 6, 0),"")</f>
        <v>48</v>
      </c>
      <c r="D17" s="44" t="str">
        <f>IFERROR(CONCATENATE("Class ", VLOOKUP(A17,'[2]Class ABC'!$A:$I, 8, 0)),"Class C")</f>
        <v>Class C</v>
      </c>
      <c r="E17" s="43" t="str">
        <f>IFERROR(VLOOKUP(A17,'[2]MC Masterlist 2026-09-11'!$B:$M, 3, 0),"")</f>
        <v>HONDA</v>
      </c>
      <c r="F17" s="45">
        <f>IFERROR(VLOOKUP(A17,'[2]MC Masterlist 2026-09-11'!$B:$M, 6, 0),"")</f>
        <v>70998</v>
      </c>
      <c r="G17" s="46">
        <f>SUMIF('[2]Raw Sales'!$B:$B, A17, '[2]Raw Sales'!$I:$I)</f>
        <v>4</v>
      </c>
      <c r="H17" s="46">
        <f>SUMIF('[2]Raw Sales'!$B:$B, A17, '[2]Raw Sales'!$H:$H)</f>
        <v>4</v>
      </c>
      <c r="I17" s="46">
        <f>SUMIF('[2]Raw Sales'!$B:$B, A17, '[2]Raw Sales'!$G:$G)</f>
        <v>3</v>
      </c>
      <c r="J17" s="46">
        <f t="shared" si="0"/>
        <v>11</v>
      </c>
      <c r="K17" s="46">
        <f t="shared" si="1"/>
        <v>3.6666666666666665</v>
      </c>
      <c r="L17" s="45">
        <f t="shared" si="2"/>
        <v>780978</v>
      </c>
      <c r="M17" s="45">
        <f t="shared" si="3"/>
        <v>260326</v>
      </c>
      <c r="N17" s="46">
        <f t="shared" si="4"/>
        <v>0.12222222222222222</v>
      </c>
      <c r="O17" s="46">
        <f>SUMIF('[2]Raw Inventory'!$B:$B, A17, '[2]Raw Inventory'!$D:$D)</f>
        <v>14</v>
      </c>
      <c r="P17" s="45">
        <f t="shared" si="5"/>
        <v>993972</v>
      </c>
      <c r="Q17" s="46">
        <f t="shared" si="6"/>
        <v>114.54545454545455</v>
      </c>
      <c r="R17" s="46">
        <f>IFERROR(VLOOKUP(A17,'[2]MC Masterlist 2026-09-11'!$B:$M, 7, 0),0)</f>
        <v>45</v>
      </c>
      <c r="S17" s="46">
        <f>IFERROR(VLOOKUP(A17,'[2]MC Masterlist 2026-09-11'!$B:$M, 8, 0),0)</f>
        <v>30</v>
      </c>
      <c r="T17" s="46">
        <f t="shared" si="7"/>
        <v>75</v>
      </c>
      <c r="U17" s="46">
        <f t="shared" si="8"/>
        <v>60</v>
      </c>
      <c r="V17" s="46">
        <f>IFERROR(VLOOKUP(A17,'[2]MC Masterlist 2026-09-11'!$B:$L, 9, 0),0)</f>
        <v>90</v>
      </c>
      <c r="W17" s="46">
        <f t="shared" si="9"/>
        <v>3.6666666666666665</v>
      </c>
      <c r="X17" s="46">
        <f t="shared" si="10"/>
        <v>9.1666666666666661</v>
      </c>
      <c r="Y17" s="46">
        <f t="shared" si="11"/>
        <v>7.333333333333333</v>
      </c>
      <c r="Z17" s="46">
        <f t="shared" si="12"/>
        <v>11</v>
      </c>
      <c r="AA17" s="44" t="str">
        <f t="shared" si="13"/>
        <v>Over</v>
      </c>
      <c r="AB17" s="46">
        <f>IFERROR(VLOOKUP(A17,'[2]PO Balance'!$A:$C, 3, 0),0)</f>
        <v>87</v>
      </c>
      <c r="AC17" s="43"/>
      <c r="AD17" s="46">
        <f t="shared" si="14"/>
        <v>101</v>
      </c>
      <c r="AE17" s="46">
        <f t="shared" si="15"/>
        <v>826.36363636363637</v>
      </c>
      <c r="AF17" s="44" t="str">
        <f t="shared" si="16"/>
        <v>Over</v>
      </c>
      <c r="AG17" s="46">
        <f t="shared" si="17"/>
        <v>96.166666666666671</v>
      </c>
    </row>
    <row r="18" spans="1:33">
      <c r="A18" s="43" t="s">
        <v>84</v>
      </c>
      <c r="B18" s="44" t="str">
        <f>IFERROR(VLOOKUP(A18,'[2]Class ABC'!$A:$I, 9, 0),"")</f>
        <v>C48</v>
      </c>
      <c r="C18" s="44">
        <f>IFERROR(VLOOKUP(A18,'[2]Class ABC'!$A:$I, 6, 0),"")</f>
        <v>77</v>
      </c>
      <c r="D18" s="44" t="str">
        <f>IFERROR(CONCATENATE("Class ", VLOOKUP(A18,'[2]Class ABC'!$A:$I, 8, 0)),"Class C")</f>
        <v>Class C</v>
      </c>
      <c r="E18" s="43" t="str">
        <f>IFERROR(VLOOKUP(A18,'[2]MC Masterlist 2026-09-11'!$B:$M, 3, 0),"")</f>
        <v>SKYGO</v>
      </c>
      <c r="F18" s="45">
        <f>IFERROR(VLOOKUP(A18,'[2]MC Masterlist 2026-09-11'!$B:$M, 6, 0),"")</f>
        <v>98325</v>
      </c>
      <c r="G18" s="46">
        <f>SUMIF('[2]Raw Sales'!$B:$B, A18, '[2]Raw Sales'!$I:$I)</f>
        <v>0</v>
      </c>
      <c r="H18" s="46">
        <f>SUMIF('[2]Raw Sales'!$B:$B, A18, '[2]Raw Sales'!$H:$H)</f>
        <v>0</v>
      </c>
      <c r="I18" s="46">
        <f>SUMIF('[2]Raw Sales'!$B:$B, A18, '[2]Raw Sales'!$G:$G)</f>
        <v>1</v>
      </c>
      <c r="J18" s="46">
        <f t="shared" si="0"/>
        <v>1</v>
      </c>
      <c r="K18" s="46">
        <f t="shared" si="1"/>
        <v>0.33333333333333331</v>
      </c>
      <c r="L18" s="45">
        <f t="shared" si="2"/>
        <v>98325</v>
      </c>
      <c r="M18" s="45">
        <f t="shared" si="3"/>
        <v>32775</v>
      </c>
      <c r="N18" s="46">
        <f t="shared" si="4"/>
        <v>1.1111111111111112E-2</v>
      </c>
      <c r="O18" s="46">
        <f>SUMIF('[2]Raw Inventory'!$B:$B, A18, '[2]Raw Inventory'!$D:$D)</f>
        <v>4</v>
      </c>
      <c r="P18" s="45">
        <f t="shared" si="5"/>
        <v>393300</v>
      </c>
      <c r="Q18" s="46">
        <f t="shared" si="6"/>
        <v>360</v>
      </c>
      <c r="R18" s="46">
        <f>IFERROR(VLOOKUP(A18,'[2]MC Masterlist 2026-09-11'!$B:$M, 7, 0),0)</f>
        <v>45</v>
      </c>
      <c r="S18" s="46">
        <f>IFERROR(VLOOKUP(A18,'[2]MC Masterlist 2026-09-11'!$B:$M, 8, 0),0)</f>
        <v>30</v>
      </c>
      <c r="T18" s="46">
        <f t="shared" si="7"/>
        <v>75</v>
      </c>
      <c r="U18" s="46">
        <f t="shared" si="8"/>
        <v>60</v>
      </c>
      <c r="V18" s="46">
        <f>IFERROR(VLOOKUP(A18,'[2]MC Masterlist 2026-09-11'!$B:$L, 9, 0),0)</f>
        <v>90</v>
      </c>
      <c r="W18" s="46">
        <f t="shared" si="9"/>
        <v>0.33333333333333337</v>
      </c>
      <c r="X18" s="46">
        <f t="shared" si="10"/>
        <v>0.83333333333333337</v>
      </c>
      <c r="Y18" s="46">
        <f t="shared" si="11"/>
        <v>0.66666666666666674</v>
      </c>
      <c r="Z18" s="46">
        <f t="shared" si="12"/>
        <v>1</v>
      </c>
      <c r="AA18" s="44" t="str">
        <f t="shared" si="13"/>
        <v>Over</v>
      </c>
      <c r="AB18" s="46">
        <f>IFERROR(VLOOKUP(A18,'[2]PO Balance'!$A:$C, 3, 0),0)</f>
        <v>0</v>
      </c>
      <c r="AC18" s="43"/>
      <c r="AD18" s="46">
        <f t="shared" si="14"/>
        <v>4</v>
      </c>
      <c r="AE18" s="46">
        <f t="shared" si="15"/>
        <v>360</v>
      </c>
      <c r="AF18" s="44" t="str">
        <f t="shared" si="16"/>
        <v>Over</v>
      </c>
      <c r="AG18" s="46">
        <f t="shared" si="17"/>
        <v>0.83333333333333337</v>
      </c>
    </row>
    <row r="19" spans="1:33">
      <c r="A19" s="43" t="s">
        <v>85</v>
      </c>
      <c r="B19" s="44" t="str">
        <f>IFERROR(VLOOKUP(A19,'[2]Class ABC'!$A:$I, 9, 0),"")</f>
        <v>C36</v>
      </c>
      <c r="C19" s="44">
        <f>IFERROR(VLOOKUP(A19,'[2]Class ABC'!$A:$I, 6, 0),"")</f>
        <v>65</v>
      </c>
      <c r="D19" s="44" t="str">
        <f>IFERROR(CONCATENATE("Class ", VLOOKUP(A19,'[2]Class ABC'!$A:$I, 8, 0)),"Class C")</f>
        <v>Class C</v>
      </c>
      <c r="E19" s="43" t="str">
        <f>IFERROR(VLOOKUP(A19,'[2]MC Masterlist 2026-09-11'!$B:$M, 3, 0),"")</f>
        <v>KAWASAKI</v>
      </c>
      <c r="F19" s="45">
        <f>IFERROR(VLOOKUP(A19,'[2]MC Masterlist 2026-09-11'!$B:$M, 6, 0),"")</f>
        <v>71560</v>
      </c>
      <c r="G19" s="46">
        <f>SUMIF('[2]Raw Sales'!$B:$B, A19, '[2]Raw Sales'!$I:$I)</f>
        <v>2</v>
      </c>
      <c r="H19" s="46">
        <f>SUMIF('[2]Raw Sales'!$B:$B, A19, '[2]Raw Sales'!$H:$H)</f>
        <v>0</v>
      </c>
      <c r="I19" s="46">
        <f>SUMIF('[2]Raw Sales'!$B:$B, A19, '[2]Raw Sales'!$G:$G)</f>
        <v>2</v>
      </c>
      <c r="J19" s="46">
        <f t="shared" si="0"/>
        <v>4</v>
      </c>
      <c r="K19" s="46">
        <f t="shared" si="1"/>
        <v>1.3333333333333333</v>
      </c>
      <c r="L19" s="45">
        <f t="shared" si="2"/>
        <v>286240</v>
      </c>
      <c r="M19" s="45">
        <f t="shared" si="3"/>
        <v>95413.333333333328</v>
      </c>
      <c r="N19" s="46">
        <f t="shared" si="4"/>
        <v>4.4444444444444446E-2</v>
      </c>
      <c r="O19" s="46">
        <f>SUMIF('[2]Raw Inventory'!$B:$B, A19, '[2]Raw Inventory'!$D:$D)</f>
        <v>7</v>
      </c>
      <c r="P19" s="45">
        <f t="shared" si="5"/>
        <v>500920</v>
      </c>
      <c r="Q19" s="46">
        <f t="shared" si="6"/>
        <v>157.5</v>
      </c>
      <c r="R19" s="46">
        <f>IFERROR(VLOOKUP(A19,'[2]MC Masterlist 2026-09-11'!$B:$M, 7, 0),0)</f>
        <v>45</v>
      </c>
      <c r="S19" s="46">
        <f>IFERROR(VLOOKUP(A19,'[2]MC Masterlist 2026-09-11'!$B:$M, 8, 0),0)</f>
        <v>30</v>
      </c>
      <c r="T19" s="46">
        <f t="shared" si="7"/>
        <v>75</v>
      </c>
      <c r="U19" s="46">
        <f t="shared" si="8"/>
        <v>60</v>
      </c>
      <c r="V19" s="46">
        <f>IFERROR(VLOOKUP(A19,'[2]MC Masterlist 2026-09-11'!$B:$L, 9, 0),0)</f>
        <v>90</v>
      </c>
      <c r="W19" s="46">
        <f t="shared" si="9"/>
        <v>1.3333333333333335</v>
      </c>
      <c r="X19" s="46">
        <f t="shared" si="10"/>
        <v>3.3333333333333335</v>
      </c>
      <c r="Y19" s="46">
        <f t="shared" si="11"/>
        <v>2.666666666666667</v>
      </c>
      <c r="Z19" s="46">
        <f t="shared" si="12"/>
        <v>4</v>
      </c>
      <c r="AA19" s="44" t="str">
        <f t="shared" si="13"/>
        <v>Over</v>
      </c>
      <c r="AB19" s="46">
        <f>IFERROR(VLOOKUP(A19,'[2]PO Balance'!$A:$C, 3, 0),0)</f>
        <v>0</v>
      </c>
      <c r="AC19" s="43"/>
      <c r="AD19" s="46">
        <f t="shared" si="14"/>
        <v>7</v>
      </c>
      <c r="AE19" s="46">
        <f t="shared" si="15"/>
        <v>157.5</v>
      </c>
      <c r="AF19" s="44" t="str">
        <f t="shared" si="16"/>
        <v>Over</v>
      </c>
      <c r="AG19" s="46">
        <f t="shared" si="17"/>
        <v>3.3333333333333335</v>
      </c>
    </row>
    <row r="20" spans="1:33">
      <c r="A20" s="43" t="s">
        <v>86</v>
      </c>
      <c r="B20" s="44" t="str">
        <f>IFERROR(VLOOKUP(A20,'[2]Class ABC'!$A:$I, 9, 0),"")</f>
        <v>C29</v>
      </c>
      <c r="C20" s="44">
        <f>IFERROR(VLOOKUP(A20,'[2]Class ABC'!$A:$I, 6, 0),"")</f>
        <v>58</v>
      </c>
      <c r="D20" s="44" t="str">
        <f>IFERROR(CONCATENATE("Class ", VLOOKUP(A20,'[2]Class ABC'!$A:$I, 8, 0)),"Class C")</f>
        <v>Class C</v>
      </c>
      <c r="E20" s="43" t="str">
        <f>IFERROR(VLOOKUP(A20,'[2]MC Masterlist 2026-09-11'!$B:$M, 3, 0),"")</f>
        <v>KAWASAKI</v>
      </c>
      <c r="F20" s="45">
        <f>IFERROR(VLOOKUP(A20,'[2]MC Masterlist 2026-09-11'!$B:$M, 6, 0),"")</f>
        <v>72500</v>
      </c>
      <c r="G20" s="46">
        <f>SUMIF('[2]Raw Sales'!$B:$B, A20, '[2]Raw Sales'!$I:$I)</f>
        <v>1</v>
      </c>
      <c r="H20" s="46">
        <f>SUMIF('[2]Raw Sales'!$B:$B, A20, '[2]Raw Sales'!$H:$H)</f>
        <v>3</v>
      </c>
      <c r="I20" s="46">
        <f>SUMIF('[2]Raw Sales'!$B:$B, A20, '[2]Raw Sales'!$G:$G)</f>
        <v>3</v>
      </c>
      <c r="J20" s="46">
        <f t="shared" si="0"/>
        <v>7</v>
      </c>
      <c r="K20" s="46">
        <f t="shared" si="1"/>
        <v>2.3333333333333335</v>
      </c>
      <c r="L20" s="45">
        <f t="shared" si="2"/>
        <v>507500</v>
      </c>
      <c r="M20" s="45">
        <f t="shared" si="3"/>
        <v>169166.66666666669</v>
      </c>
      <c r="N20" s="46">
        <f t="shared" si="4"/>
        <v>7.7777777777777779E-2</v>
      </c>
      <c r="O20" s="46">
        <f>SUMIF('[2]Raw Inventory'!$B:$B, A20, '[2]Raw Inventory'!$D:$D)</f>
        <v>10</v>
      </c>
      <c r="P20" s="45">
        <f t="shared" si="5"/>
        <v>725000</v>
      </c>
      <c r="Q20" s="46">
        <f t="shared" si="6"/>
        <v>128.57142857142856</v>
      </c>
      <c r="R20" s="46">
        <f>IFERROR(VLOOKUP(A20,'[2]MC Masterlist 2026-09-11'!$B:$M, 7, 0),0)</f>
        <v>45</v>
      </c>
      <c r="S20" s="46">
        <f>IFERROR(VLOOKUP(A20,'[2]MC Masterlist 2026-09-11'!$B:$M, 8, 0),0)</f>
        <v>30</v>
      </c>
      <c r="T20" s="46">
        <f t="shared" si="7"/>
        <v>75</v>
      </c>
      <c r="U20" s="46">
        <f t="shared" si="8"/>
        <v>60</v>
      </c>
      <c r="V20" s="46">
        <f>IFERROR(VLOOKUP(A20,'[2]MC Masterlist 2026-09-11'!$B:$L, 9, 0),0)</f>
        <v>90</v>
      </c>
      <c r="W20" s="46">
        <f t="shared" si="9"/>
        <v>2.3333333333333335</v>
      </c>
      <c r="X20" s="46">
        <f t="shared" si="10"/>
        <v>5.833333333333333</v>
      </c>
      <c r="Y20" s="46">
        <f t="shared" si="11"/>
        <v>4.666666666666667</v>
      </c>
      <c r="Z20" s="46">
        <f t="shared" si="12"/>
        <v>7</v>
      </c>
      <c r="AA20" s="44" t="str">
        <f t="shared" si="13"/>
        <v>Over</v>
      </c>
      <c r="AB20" s="46">
        <f>IFERROR(VLOOKUP(A20,'[2]PO Balance'!$A:$C, 3, 0),0)</f>
        <v>0</v>
      </c>
      <c r="AC20" s="43"/>
      <c r="AD20" s="46">
        <f t="shared" si="14"/>
        <v>10</v>
      </c>
      <c r="AE20" s="46">
        <f t="shared" si="15"/>
        <v>128.57142857142856</v>
      </c>
      <c r="AF20" s="44" t="str">
        <f t="shared" si="16"/>
        <v>Over</v>
      </c>
      <c r="AG20" s="46">
        <f t="shared" si="17"/>
        <v>5.833333333333333</v>
      </c>
    </row>
    <row r="21" spans="1:33">
      <c r="A21" s="43" t="s">
        <v>79</v>
      </c>
      <c r="B21" s="44" t="str">
        <f>IFERROR(VLOOKUP(A21,'[2]Class ABC'!$A:$I, 9, 0),"")</f>
        <v>C34</v>
      </c>
      <c r="C21" s="44">
        <f>IFERROR(VLOOKUP(A21,'[2]Class ABC'!$A:$I, 6, 0),"")</f>
        <v>63</v>
      </c>
      <c r="D21" s="44" t="str">
        <f>IFERROR(CONCATENATE("Class ", VLOOKUP(A21,'[2]Class ABC'!$A:$I, 8, 0)),"Class C")</f>
        <v>Class C</v>
      </c>
      <c r="E21" s="43" t="str">
        <f>IFERROR(VLOOKUP(A21,'[2]MC Masterlist 2026-09-11'!$B:$M, 3, 0),"")</f>
        <v>SUZUKI</v>
      </c>
      <c r="F21" s="45">
        <f>IFERROR(VLOOKUP(A21,'[2]MC Masterlist 2026-09-11'!$B:$M, 6, 0),"")</f>
        <v>78872</v>
      </c>
      <c r="G21" s="46">
        <f>SUMIF('[2]Raw Sales'!$B:$B, A21, '[2]Raw Sales'!$I:$I)</f>
        <v>1</v>
      </c>
      <c r="H21" s="46">
        <f>SUMIF('[2]Raw Sales'!$B:$B, A21, '[2]Raw Sales'!$H:$H)</f>
        <v>2</v>
      </c>
      <c r="I21" s="46">
        <f>SUMIF('[2]Raw Sales'!$B:$B, A21, '[2]Raw Sales'!$G:$G)</f>
        <v>2</v>
      </c>
      <c r="J21" s="46">
        <f t="shared" si="0"/>
        <v>5</v>
      </c>
      <c r="K21" s="46">
        <f t="shared" si="1"/>
        <v>1.6666666666666667</v>
      </c>
      <c r="L21" s="45">
        <f t="shared" si="2"/>
        <v>394360</v>
      </c>
      <c r="M21" s="45">
        <f t="shared" si="3"/>
        <v>131453.33333333334</v>
      </c>
      <c r="N21" s="46">
        <f t="shared" si="4"/>
        <v>5.5555555555555552E-2</v>
      </c>
      <c r="O21" s="46">
        <f>SUMIF('[2]Raw Inventory'!$B:$B, A21, '[2]Raw Inventory'!$D:$D)</f>
        <v>4</v>
      </c>
      <c r="P21" s="45">
        <f t="shared" si="5"/>
        <v>315488</v>
      </c>
      <c r="Q21" s="46">
        <f t="shared" si="6"/>
        <v>72</v>
      </c>
      <c r="R21" s="46">
        <f>IFERROR(VLOOKUP(A21,'[2]MC Masterlist 2026-09-11'!$B:$M, 7, 0),0)</f>
        <v>45</v>
      </c>
      <c r="S21" s="46">
        <f>IFERROR(VLOOKUP(A21,'[2]MC Masterlist 2026-09-11'!$B:$M, 8, 0),0)</f>
        <v>30</v>
      </c>
      <c r="T21" s="46">
        <f t="shared" si="7"/>
        <v>75</v>
      </c>
      <c r="U21" s="46">
        <f t="shared" si="8"/>
        <v>60</v>
      </c>
      <c r="V21" s="46">
        <f>IFERROR(VLOOKUP(A21,'[2]MC Masterlist 2026-09-11'!$B:$L, 9, 0),0)</f>
        <v>90</v>
      </c>
      <c r="W21" s="46">
        <f t="shared" si="9"/>
        <v>1.6666666666666665</v>
      </c>
      <c r="X21" s="46">
        <f t="shared" si="10"/>
        <v>4.1666666666666661</v>
      </c>
      <c r="Y21" s="46">
        <f t="shared" si="11"/>
        <v>3.333333333333333</v>
      </c>
      <c r="Z21" s="46">
        <f t="shared" si="12"/>
        <v>5</v>
      </c>
      <c r="AA21" s="44" t="str">
        <f t="shared" si="13"/>
        <v>Re-order</v>
      </c>
      <c r="AB21" s="46">
        <f>IFERROR(VLOOKUP(A21,'[2]PO Balance'!$A:$C, 3, 0),0)</f>
        <v>3</v>
      </c>
      <c r="AC21" s="43"/>
      <c r="AD21" s="46">
        <f t="shared" si="14"/>
        <v>7</v>
      </c>
      <c r="AE21" s="46">
        <f t="shared" si="15"/>
        <v>126</v>
      </c>
      <c r="AF21" s="44" t="str">
        <f t="shared" si="16"/>
        <v>Over</v>
      </c>
      <c r="AG21" s="46">
        <f t="shared" si="17"/>
        <v>7.1666666666666661</v>
      </c>
    </row>
    <row r="22" spans="1:33">
      <c r="A22" s="43" t="s">
        <v>107</v>
      </c>
      <c r="B22" s="44" t="str">
        <f>IFERROR(VLOOKUP(A22,'[2]Class ABC'!$A:$I, 9, 0),"")</f>
        <v>C21</v>
      </c>
      <c r="C22" s="44">
        <f>IFERROR(VLOOKUP(A22,'[2]Class ABC'!$A:$I, 6, 0),"")</f>
        <v>50</v>
      </c>
      <c r="D22" s="44" t="str">
        <f>IFERROR(CONCATENATE("Class ", VLOOKUP(A22,'[2]Class ABC'!$A:$I, 8, 0)),"Class C")</f>
        <v>Class C</v>
      </c>
      <c r="E22" s="43" t="str">
        <f>IFERROR(VLOOKUP(A22,'[2]MC Masterlist 2026-09-11'!$B:$M, 3, 0),"")</f>
        <v>SUZUKI</v>
      </c>
      <c r="F22" s="45">
        <f>IFERROR(VLOOKUP(A22,'[2]MC Masterlist 2026-09-11'!$B:$M, 6, 0),"")</f>
        <v>89662</v>
      </c>
      <c r="G22" s="46">
        <f>SUMIF('[2]Raw Sales'!$B:$B, A22, '[2]Raw Sales'!$I:$I)</f>
        <v>1</v>
      </c>
      <c r="H22" s="46">
        <f>SUMIF('[2]Raw Sales'!$B:$B, A22, '[2]Raw Sales'!$H:$H)</f>
        <v>3</v>
      </c>
      <c r="I22" s="46">
        <f>SUMIF('[2]Raw Sales'!$B:$B, A22, '[2]Raw Sales'!$G:$G)</f>
        <v>4</v>
      </c>
      <c r="J22" s="46">
        <f t="shared" si="0"/>
        <v>8</v>
      </c>
      <c r="K22" s="46">
        <f t="shared" si="1"/>
        <v>2.6666666666666665</v>
      </c>
      <c r="L22" s="45">
        <f t="shared" si="2"/>
        <v>717296</v>
      </c>
      <c r="M22" s="45">
        <f t="shared" si="3"/>
        <v>239098.66666666666</v>
      </c>
      <c r="N22" s="46">
        <f t="shared" si="4"/>
        <v>8.8888888888888892E-2</v>
      </c>
      <c r="O22" s="46">
        <f>SUMIF('[2]Raw Inventory'!$B:$B, A22, '[2]Raw Inventory'!$D:$D)</f>
        <v>11</v>
      </c>
      <c r="P22" s="45">
        <f t="shared" si="5"/>
        <v>986282</v>
      </c>
      <c r="Q22" s="46">
        <f t="shared" si="6"/>
        <v>123.75</v>
      </c>
      <c r="R22" s="46">
        <f>IFERROR(VLOOKUP(A22,'[2]MC Masterlist 2026-09-11'!$B:$M, 7, 0),0)</f>
        <v>45</v>
      </c>
      <c r="S22" s="46">
        <f>IFERROR(VLOOKUP(A22,'[2]MC Masterlist 2026-09-11'!$B:$M, 8, 0),0)</f>
        <v>30</v>
      </c>
      <c r="T22" s="46">
        <f t="shared" si="7"/>
        <v>75</v>
      </c>
      <c r="U22" s="46">
        <f t="shared" si="8"/>
        <v>60</v>
      </c>
      <c r="V22" s="46">
        <f>IFERROR(VLOOKUP(A22,'[2]MC Masterlist 2026-09-11'!$B:$L, 9, 0),0)</f>
        <v>90</v>
      </c>
      <c r="W22" s="46">
        <f t="shared" si="9"/>
        <v>2.666666666666667</v>
      </c>
      <c r="X22" s="46">
        <f t="shared" si="10"/>
        <v>6.666666666666667</v>
      </c>
      <c r="Y22" s="46">
        <f t="shared" si="11"/>
        <v>5.3333333333333339</v>
      </c>
      <c r="Z22" s="46">
        <f t="shared" si="12"/>
        <v>8</v>
      </c>
      <c r="AA22" s="44" t="str">
        <f t="shared" si="13"/>
        <v>Over</v>
      </c>
      <c r="AB22" s="46">
        <f>IFERROR(VLOOKUP(A22,'[2]PO Balance'!$A:$C, 3, 0),0)</f>
        <v>2</v>
      </c>
      <c r="AC22" s="43"/>
      <c r="AD22" s="46">
        <f t="shared" si="14"/>
        <v>13</v>
      </c>
      <c r="AE22" s="46">
        <f t="shared" si="15"/>
        <v>146.25</v>
      </c>
      <c r="AF22" s="44" t="str">
        <f t="shared" si="16"/>
        <v>Over</v>
      </c>
      <c r="AG22" s="46">
        <f t="shared" si="17"/>
        <v>8.6666666666666679</v>
      </c>
    </row>
    <row r="23" spans="1:33">
      <c r="A23" s="43" t="s">
        <v>71</v>
      </c>
      <c r="B23" s="44" t="str">
        <f>IFERROR(VLOOKUP(A23,'[2]Class ABC'!$A:$I, 9, 0),"")</f>
        <v>C18</v>
      </c>
      <c r="C23" s="44">
        <f>IFERROR(VLOOKUP(A23,'[2]Class ABC'!$A:$I, 6, 0),"")</f>
        <v>47</v>
      </c>
      <c r="D23" s="44" t="str">
        <f>IFERROR(CONCATENATE("Class ", VLOOKUP(A23,'[2]Class ABC'!$A:$I, 8, 0)),"Class C")</f>
        <v>Class C</v>
      </c>
      <c r="E23" s="43" t="str">
        <f>IFERROR(VLOOKUP(A23,'[2]MC Masterlist 2026-09-11'!$B:$M, 3, 0),"")</f>
        <v>SUZUKI</v>
      </c>
      <c r="F23" s="45">
        <f>IFERROR(VLOOKUP(A23,'[2]MC Masterlist 2026-09-11'!$B:$M, 6, 0),"")</f>
        <v>156250</v>
      </c>
      <c r="G23" s="46">
        <f>SUMIF('[2]Raw Sales'!$B:$B, A23, '[2]Raw Sales'!$I:$I)</f>
        <v>0</v>
      </c>
      <c r="H23" s="46">
        <f>SUMIF('[2]Raw Sales'!$B:$B, A23, '[2]Raw Sales'!$H:$H)</f>
        <v>0</v>
      </c>
      <c r="I23" s="46">
        <f>SUMIF('[2]Raw Sales'!$B:$B, A23, '[2]Raw Sales'!$G:$G)</f>
        <v>5</v>
      </c>
      <c r="J23" s="46">
        <f t="shared" si="0"/>
        <v>5</v>
      </c>
      <c r="K23" s="46">
        <f t="shared" si="1"/>
        <v>1.6666666666666667</v>
      </c>
      <c r="L23" s="45">
        <f t="shared" si="2"/>
        <v>781250</v>
      </c>
      <c r="M23" s="45">
        <f t="shared" si="3"/>
        <v>260416.66666666669</v>
      </c>
      <c r="N23" s="46">
        <f t="shared" si="4"/>
        <v>5.5555555555555552E-2</v>
      </c>
      <c r="O23" s="46">
        <f>SUMIF('[2]Raw Inventory'!$B:$B, A23, '[2]Raw Inventory'!$D:$D)</f>
        <v>34</v>
      </c>
      <c r="P23" s="45">
        <f t="shared" si="5"/>
        <v>5312500</v>
      </c>
      <c r="Q23" s="46">
        <f t="shared" si="6"/>
        <v>612</v>
      </c>
      <c r="R23" s="46">
        <f>IFERROR(VLOOKUP(A23,'[2]MC Masterlist 2026-09-11'!$B:$M, 7, 0),0)</f>
        <v>45</v>
      </c>
      <c r="S23" s="46">
        <f>IFERROR(VLOOKUP(A23,'[2]MC Masterlist 2026-09-11'!$B:$M, 8, 0),0)</f>
        <v>30</v>
      </c>
      <c r="T23" s="46">
        <f t="shared" si="7"/>
        <v>75</v>
      </c>
      <c r="U23" s="46">
        <f t="shared" si="8"/>
        <v>60</v>
      </c>
      <c r="V23" s="46">
        <f>IFERROR(VLOOKUP(A23,'[2]MC Masterlist 2026-09-11'!$B:$L, 9, 0),0)</f>
        <v>90</v>
      </c>
      <c r="W23" s="46">
        <f t="shared" si="9"/>
        <v>1.6666666666666665</v>
      </c>
      <c r="X23" s="46">
        <f t="shared" si="10"/>
        <v>4.1666666666666661</v>
      </c>
      <c r="Y23" s="46">
        <f t="shared" si="11"/>
        <v>3.333333333333333</v>
      </c>
      <c r="Z23" s="46">
        <f t="shared" si="12"/>
        <v>5</v>
      </c>
      <c r="AA23" s="44" t="str">
        <f t="shared" si="13"/>
        <v>Over</v>
      </c>
      <c r="AB23" s="46">
        <f>IFERROR(VLOOKUP(A23,'[2]PO Balance'!$A:$C, 3, 0),0)</f>
        <v>20</v>
      </c>
      <c r="AC23" s="43"/>
      <c r="AD23" s="46">
        <f t="shared" si="14"/>
        <v>54</v>
      </c>
      <c r="AE23" s="46">
        <f t="shared" si="15"/>
        <v>972</v>
      </c>
      <c r="AF23" s="44" t="str">
        <f t="shared" si="16"/>
        <v>Over</v>
      </c>
      <c r="AG23" s="46">
        <f t="shared" si="17"/>
        <v>24.166666666666664</v>
      </c>
    </row>
    <row r="24" spans="1:33">
      <c r="A24" s="43" t="s">
        <v>321</v>
      </c>
      <c r="B24" s="44" t="str">
        <f>IFERROR(VLOOKUP(A24,'[2]Class ABC'!$A:$I, 9, 0),"")</f>
        <v/>
      </c>
      <c r="C24" s="44" t="str">
        <f>IFERROR(VLOOKUP(A24,'[2]Class ABC'!$A:$I, 6, 0),"")</f>
        <v/>
      </c>
      <c r="D24" s="44" t="str">
        <f>IFERROR(CONCATENATE("Class ", VLOOKUP(A24,'[2]Class ABC'!$A:$I, 8, 0)),"Class C")</f>
        <v>Class C</v>
      </c>
      <c r="E24" s="43" t="str">
        <f>IFERROR(VLOOKUP(A24,'[2]MC Masterlist 2026-09-11'!$B:$M, 3, 0),"")</f>
        <v>HONDA</v>
      </c>
      <c r="F24" s="45">
        <f>IFERROR(VLOOKUP(A24,'[2]MC Masterlist 2026-09-11'!$B:$M, 6, 0),"")</f>
        <v>173910</v>
      </c>
      <c r="G24" s="46">
        <f>SUMIF('[2]Raw Sales'!$B:$B, A24, '[2]Raw Sales'!$I:$I)</f>
        <v>0</v>
      </c>
      <c r="H24" s="46">
        <f>SUMIF('[2]Raw Sales'!$B:$B, A24, '[2]Raw Sales'!$H:$H)</f>
        <v>0</v>
      </c>
      <c r="I24" s="46">
        <f>SUMIF('[2]Raw Sales'!$B:$B, A24, '[2]Raw Sales'!$G:$G)</f>
        <v>0</v>
      </c>
      <c r="J24" s="46">
        <f t="shared" si="0"/>
        <v>0</v>
      </c>
      <c r="K24" s="46">
        <f t="shared" si="1"/>
        <v>0</v>
      </c>
      <c r="L24" s="45">
        <f t="shared" si="2"/>
        <v>0</v>
      </c>
      <c r="M24" s="45">
        <f t="shared" si="3"/>
        <v>0</v>
      </c>
      <c r="N24" s="46">
        <f t="shared" si="4"/>
        <v>0</v>
      </c>
      <c r="O24" s="46">
        <f>SUMIF('[2]Raw Inventory'!$B:$B, A24, '[2]Raw Inventory'!$D:$D)</f>
        <v>0</v>
      </c>
      <c r="P24" s="45">
        <f t="shared" si="5"/>
        <v>0</v>
      </c>
      <c r="Q24" s="46" t="str">
        <f t="shared" si="6"/>
        <v/>
      </c>
      <c r="R24" s="46">
        <f>IFERROR(VLOOKUP(A24,'[2]MC Masterlist 2026-09-11'!$B:$M, 7, 0),0)</f>
        <v>45</v>
      </c>
      <c r="S24" s="46">
        <f>IFERROR(VLOOKUP(A24,'[2]MC Masterlist 2026-09-11'!$B:$M, 8, 0),0)</f>
        <v>30</v>
      </c>
      <c r="T24" s="46">
        <f t="shared" si="7"/>
        <v>75</v>
      </c>
      <c r="U24" s="46">
        <f t="shared" si="8"/>
        <v>60</v>
      </c>
      <c r="V24" s="46">
        <f>IFERROR(VLOOKUP(A24,'[2]MC Masterlist 2026-09-11'!$B:$L, 9, 0),0)</f>
        <v>90</v>
      </c>
      <c r="W24" s="46">
        <f t="shared" si="9"/>
        <v>0</v>
      </c>
      <c r="X24" s="46">
        <f t="shared" si="10"/>
        <v>0</v>
      </c>
      <c r="Y24" s="46">
        <f t="shared" si="11"/>
        <v>0</v>
      </c>
      <c r="Z24" s="46">
        <f t="shared" si="12"/>
        <v>0</v>
      </c>
      <c r="AA24" s="44" t="str">
        <f t="shared" si="13"/>
        <v>Stockout</v>
      </c>
      <c r="AB24" s="46">
        <f>IFERROR(VLOOKUP(A24,'[2]PO Balance'!$A:$C, 3, 0),0)</f>
        <v>0</v>
      </c>
      <c r="AC24" s="43"/>
      <c r="AD24" s="46">
        <f t="shared" si="14"/>
        <v>0</v>
      </c>
      <c r="AE24" s="46">
        <f t="shared" si="15"/>
        <v>0</v>
      </c>
      <c r="AF24" s="44" t="str">
        <f t="shared" si="16"/>
        <v>Stockout</v>
      </c>
      <c r="AG24" s="46">
        <f t="shared" si="17"/>
        <v>0</v>
      </c>
    </row>
    <row r="25" spans="1:33">
      <c r="A25" s="43" t="s">
        <v>87</v>
      </c>
      <c r="B25" s="44" t="str">
        <f>IFERROR(VLOOKUP(A25,'[2]Class ABC'!$A:$I, 9, 0),"")</f>
        <v/>
      </c>
      <c r="C25" s="44" t="str">
        <f>IFERROR(VLOOKUP(A25,'[2]Class ABC'!$A:$I, 6, 0),"")</f>
        <v/>
      </c>
      <c r="D25" s="44" t="str">
        <f>IFERROR(CONCATENATE("Class ", VLOOKUP(A25,'[2]Class ABC'!$A:$I, 8, 0)),"Class C")</f>
        <v>Class C</v>
      </c>
      <c r="E25" s="43" t="str">
        <f>IFERROR(VLOOKUP(A25,'[2]MC Masterlist 2026-09-11'!$B:$M, 3, 0),"")</f>
        <v>HONDA</v>
      </c>
      <c r="F25" s="45">
        <f>IFERROR(VLOOKUP(A25,'[2]MC Masterlist 2026-09-11'!$B:$M, 6, 0),"")</f>
        <v>156098</v>
      </c>
      <c r="G25" s="46">
        <f>SUMIF('[2]Raw Sales'!$B:$B, A25, '[2]Raw Sales'!$I:$I)</f>
        <v>0</v>
      </c>
      <c r="H25" s="46">
        <f>SUMIF('[2]Raw Sales'!$B:$B, A25, '[2]Raw Sales'!$H:$H)</f>
        <v>0</v>
      </c>
      <c r="I25" s="46">
        <f>SUMIF('[2]Raw Sales'!$B:$B, A25, '[2]Raw Sales'!$G:$G)</f>
        <v>0</v>
      </c>
      <c r="J25" s="46">
        <f t="shared" si="0"/>
        <v>0</v>
      </c>
      <c r="K25" s="46">
        <f t="shared" si="1"/>
        <v>0</v>
      </c>
      <c r="L25" s="45">
        <f t="shared" si="2"/>
        <v>0</v>
      </c>
      <c r="M25" s="45">
        <f t="shared" si="3"/>
        <v>0</v>
      </c>
      <c r="N25" s="46">
        <f t="shared" si="4"/>
        <v>0</v>
      </c>
      <c r="O25" s="46">
        <f>SUMIF('[2]Raw Inventory'!$B:$B, A25, '[2]Raw Inventory'!$D:$D)</f>
        <v>4</v>
      </c>
      <c r="P25" s="45">
        <f t="shared" si="5"/>
        <v>624392</v>
      </c>
      <c r="Q25" s="46" t="str">
        <f t="shared" si="6"/>
        <v/>
      </c>
      <c r="R25" s="46">
        <f>IFERROR(VLOOKUP(A25,'[2]MC Masterlist 2026-09-11'!$B:$M, 7, 0),0)</f>
        <v>45</v>
      </c>
      <c r="S25" s="46">
        <f>IFERROR(VLOOKUP(A25,'[2]MC Masterlist 2026-09-11'!$B:$M, 8, 0),0)</f>
        <v>30</v>
      </c>
      <c r="T25" s="46">
        <f t="shared" si="7"/>
        <v>75</v>
      </c>
      <c r="U25" s="46">
        <f t="shared" si="8"/>
        <v>60</v>
      </c>
      <c r="V25" s="46">
        <f>IFERROR(VLOOKUP(A25,'[2]MC Masterlist 2026-09-11'!$B:$L, 9, 0),0)</f>
        <v>90</v>
      </c>
      <c r="W25" s="46">
        <f t="shared" si="9"/>
        <v>0</v>
      </c>
      <c r="X25" s="46">
        <f t="shared" si="10"/>
        <v>0</v>
      </c>
      <c r="Y25" s="46">
        <f t="shared" si="11"/>
        <v>0</v>
      </c>
      <c r="Z25" s="46">
        <f t="shared" si="12"/>
        <v>0</v>
      </c>
      <c r="AA25" s="44" t="str">
        <f t="shared" si="13"/>
        <v>Over</v>
      </c>
      <c r="AB25" s="46">
        <f>IFERROR(VLOOKUP(A25,'[2]PO Balance'!$A:$C, 3, 0),0)</f>
        <v>0</v>
      </c>
      <c r="AC25" s="43"/>
      <c r="AD25" s="46">
        <f t="shared" si="14"/>
        <v>4</v>
      </c>
      <c r="AE25" s="46">
        <f t="shared" si="15"/>
        <v>0</v>
      </c>
      <c r="AF25" s="44" t="str">
        <f t="shared" si="16"/>
        <v>Over</v>
      </c>
      <c r="AG25" s="46">
        <f t="shared" si="17"/>
        <v>0</v>
      </c>
    </row>
    <row r="26" spans="1:33">
      <c r="A26" s="43" t="s">
        <v>14</v>
      </c>
      <c r="B26" s="44" t="str">
        <f>IFERROR(VLOOKUP(A26,'[2]Class ABC'!$A:$I, 9, 0),"")</f>
        <v>A1</v>
      </c>
      <c r="C26" s="44">
        <f>IFERROR(VLOOKUP(A26,'[2]Class ABC'!$A:$I, 6, 0),"")</f>
        <v>1</v>
      </c>
      <c r="D26" s="44" t="str">
        <f>IFERROR(CONCATENATE("Class ", VLOOKUP(A26,'[2]Class ABC'!$A:$I, 8, 0)),"Class C")</f>
        <v>Class A</v>
      </c>
      <c r="E26" s="43" t="str">
        <f>IFERROR(VLOOKUP(A26,'[2]MC Masterlist 2026-09-11'!$B:$M, 3, 0),"")</f>
        <v>HONDA</v>
      </c>
      <c r="F26" s="45">
        <f>IFERROR(VLOOKUP(A26,'[2]MC Masterlist 2026-09-11'!$B:$M, 6, 0),"")</f>
        <v>80070</v>
      </c>
      <c r="G26" s="46">
        <f>SUMIF('[2]Raw Sales'!$B:$B, A26, '[2]Raw Sales'!$I:$I)</f>
        <v>665</v>
      </c>
      <c r="H26" s="46">
        <f>SUMIF('[2]Raw Sales'!$B:$B, A26, '[2]Raw Sales'!$H:$H)</f>
        <v>383</v>
      </c>
      <c r="I26" s="46">
        <f>SUMIF('[2]Raw Sales'!$B:$B, A26, '[2]Raw Sales'!$G:$G)</f>
        <v>633</v>
      </c>
      <c r="J26" s="46">
        <f t="shared" si="0"/>
        <v>1681</v>
      </c>
      <c r="K26" s="46">
        <f t="shared" si="1"/>
        <v>560.33333333333337</v>
      </c>
      <c r="L26" s="45">
        <f t="shared" si="2"/>
        <v>134597670</v>
      </c>
      <c r="M26" s="45">
        <f t="shared" si="3"/>
        <v>44865890</v>
      </c>
      <c r="N26" s="46">
        <f t="shared" si="4"/>
        <v>18.677777777777777</v>
      </c>
      <c r="O26" s="46">
        <f>SUMIF('[2]Raw Inventory'!$B:$B, A26, '[2]Raw Inventory'!$D:$D)</f>
        <v>359</v>
      </c>
      <c r="P26" s="45">
        <f t="shared" si="5"/>
        <v>28745130</v>
      </c>
      <c r="Q26" s="46">
        <f t="shared" si="6"/>
        <v>19.220701963117193</v>
      </c>
      <c r="R26" s="46">
        <f>IFERROR(VLOOKUP(A26,'[2]MC Masterlist 2026-09-11'!$B:$M, 7, 0),0)</f>
        <v>45</v>
      </c>
      <c r="S26" s="46">
        <f>IFERROR(VLOOKUP(A26,'[2]MC Masterlist 2026-09-11'!$B:$M, 8, 0),0)</f>
        <v>30</v>
      </c>
      <c r="T26" s="46">
        <f t="shared" si="7"/>
        <v>75</v>
      </c>
      <c r="U26" s="46">
        <f t="shared" si="8"/>
        <v>60</v>
      </c>
      <c r="V26" s="46">
        <f>IFERROR(VLOOKUP(A26,'[2]MC Masterlist 2026-09-11'!$B:$L, 9, 0),0)</f>
        <v>90</v>
      </c>
      <c r="W26" s="46">
        <f t="shared" si="9"/>
        <v>560.33333333333326</v>
      </c>
      <c r="X26" s="46">
        <f t="shared" si="10"/>
        <v>1400.8333333333333</v>
      </c>
      <c r="Y26" s="46">
        <f t="shared" si="11"/>
        <v>1120.6666666666665</v>
      </c>
      <c r="Z26" s="46">
        <f t="shared" si="12"/>
        <v>1681</v>
      </c>
      <c r="AA26" s="44" t="str">
        <f t="shared" si="13"/>
        <v>Stockout</v>
      </c>
      <c r="AB26" s="46">
        <f>IFERROR(VLOOKUP(A26,'[2]PO Balance'!$A:$C, 3, 0),0)</f>
        <v>1247</v>
      </c>
      <c r="AC26" s="43"/>
      <c r="AD26" s="46">
        <f t="shared" si="14"/>
        <v>1606</v>
      </c>
      <c r="AE26" s="46">
        <f t="shared" si="15"/>
        <v>85.984533016061874</v>
      </c>
      <c r="AF26" s="44" t="str">
        <f t="shared" si="16"/>
        <v/>
      </c>
      <c r="AG26" s="46">
        <f t="shared" si="17"/>
        <v>2647.833333333333</v>
      </c>
    </row>
    <row r="27" spans="1:33">
      <c r="A27" s="43" t="s">
        <v>16</v>
      </c>
      <c r="B27" s="44" t="str">
        <f>IFERROR(VLOOKUP(A27,'[2]Class ABC'!$A:$I, 9, 0),"")</f>
        <v>A6</v>
      </c>
      <c r="C27" s="44">
        <f>IFERROR(VLOOKUP(A27,'[2]Class ABC'!$A:$I, 6, 0),"")</f>
        <v>6</v>
      </c>
      <c r="D27" s="44" t="str">
        <f>IFERROR(CONCATENATE("Class ", VLOOKUP(A27,'[2]Class ABC'!$A:$I, 8, 0)),"Class C")</f>
        <v>Class A</v>
      </c>
      <c r="E27" s="43" t="str">
        <f>IFERROR(VLOOKUP(A27,'[2]MC Masterlist 2026-09-11'!$B:$M, 3, 0),"")</f>
        <v>HONDA</v>
      </c>
      <c r="F27" s="45">
        <f>IFERROR(VLOOKUP(A27,'[2]MC Masterlist 2026-09-11'!$B:$M, 6, 0),"")</f>
        <v>84394</v>
      </c>
      <c r="G27" s="46">
        <f>SUMIF('[2]Raw Sales'!$B:$B, A27, '[2]Raw Sales'!$I:$I)</f>
        <v>141</v>
      </c>
      <c r="H27" s="46">
        <f>SUMIF('[2]Raw Sales'!$B:$B, A27, '[2]Raw Sales'!$H:$H)</f>
        <v>218</v>
      </c>
      <c r="I27" s="46">
        <f>SUMIF('[2]Raw Sales'!$B:$B, A27, '[2]Raw Sales'!$G:$G)</f>
        <v>134</v>
      </c>
      <c r="J27" s="46">
        <f t="shared" si="0"/>
        <v>493</v>
      </c>
      <c r="K27" s="46">
        <f t="shared" si="1"/>
        <v>164.33333333333334</v>
      </c>
      <c r="L27" s="45">
        <f t="shared" si="2"/>
        <v>41606242</v>
      </c>
      <c r="M27" s="45">
        <f t="shared" si="3"/>
        <v>13868747.333333334</v>
      </c>
      <c r="N27" s="46">
        <f t="shared" si="4"/>
        <v>5.4777777777777779</v>
      </c>
      <c r="O27" s="46">
        <f>SUMIF('[2]Raw Inventory'!$B:$B, A27, '[2]Raw Inventory'!$D:$D)</f>
        <v>152</v>
      </c>
      <c r="P27" s="45">
        <f t="shared" si="5"/>
        <v>12827888</v>
      </c>
      <c r="Q27" s="46">
        <f t="shared" si="6"/>
        <v>27.748478701825558</v>
      </c>
      <c r="R27" s="46">
        <f>IFERROR(VLOOKUP(A27,'[2]MC Masterlist 2026-09-11'!$B:$M, 7, 0),0)</f>
        <v>45</v>
      </c>
      <c r="S27" s="46">
        <f>IFERROR(VLOOKUP(A27,'[2]MC Masterlist 2026-09-11'!$B:$M, 8, 0),0)</f>
        <v>30</v>
      </c>
      <c r="T27" s="46">
        <f t="shared" si="7"/>
        <v>75</v>
      </c>
      <c r="U27" s="46">
        <f t="shared" si="8"/>
        <v>60</v>
      </c>
      <c r="V27" s="46">
        <f>IFERROR(VLOOKUP(A27,'[2]MC Masterlist 2026-09-11'!$B:$L, 9, 0),0)</f>
        <v>90</v>
      </c>
      <c r="W27" s="46">
        <f t="shared" si="9"/>
        <v>164.33333333333334</v>
      </c>
      <c r="X27" s="46">
        <f t="shared" si="10"/>
        <v>410.83333333333331</v>
      </c>
      <c r="Y27" s="46">
        <f t="shared" si="11"/>
        <v>328.66666666666669</v>
      </c>
      <c r="Z27" s="46">
        <f t="shared" si="12"/>
        <v>493</v>
      </c>
      <c r="AA27" s="44" t="str">
        <f t="shared" si="13"/>
        <v>Stockout</v>
      </c>
      <c r="AB27" s="46">
        <f>IFERROR(VLOOKUP(A27,'[2]PO Balance'!$A:$C, 3, 0),0)</f>
        <v>794</v>
      </c>
      <c r="AC27" s="43"/>
      <c r="AD27" s="46">
        <f t="shared" si="14"/>
        <v>946</v>
      </c>
      <c r="AE27" s="46">
        <f t="shared" si="15"/>
        <v>172.69776876267747</v>
      </c>
      <c r="AF27" s="44" t="str">
        <f t="shared" si="16"/>
        <v>Over</v>
      </c>
      <c r="AG27" s="46">
        <f t="shared" si="17"/>
        <v>1204.8333333333333</v>
      </c>
    </row>
    <row r="28" spans="1:33">
      <c r="A28" s="43" t="s">
        <v>176</v>
      </c>
      <c r="B28" s="44" t="str">
        <f>IFERROR(VLOOKUP(A28,'[2]Class ABC'!$A:$I, 9, 0),"")</f>
        <v/>
      </c>
      <c r="C28" s="44" t="str">
        <f>IFERROR(VLOOKUP(A28,'[2]Class ABC'!$A:$I, 6, 0),"")</f>
        <v/>
      </c>
      <c r="D28" s="44" t="str">
        <f>IFERROR(CONCATENATE("Class ", VLOOKUP(A28,'[2]Class ABC'!$A:$I, 8, 0)),"Class C")</f>
        <v>Class C</v>
      </c>
      <c r="E28" s="43" t="str">
        <f>IFERROR(VLOOKUP(A28,'[2]MC Masterlist 2026-09-11'!$B:$M, 3, 0),"")</f>
        <v>HONDA</v>
      </c>
      <c r="F28" s="45">
        <f>IFERROR(VLOOKUP(A28,'[2]MC Masterlist 2026-09-11'!$B:$M, 6, 0),"")</f>
        <v>86510</v>
      </c>
      <c r="G28" s="46">
        <f>SUMIF('[2]Raw Sales'!$B:$B, A28, '[2]Raw Sales'!$I:$I)</f>
        <v>0</v>
      </c>
      <c r="H28" s="46">
        <f>SUMIF('[2]Raw Sales'!$B:$B, A28, '[2]Raw Sales'!$H:$H)</f>
        <v>0</v>
      </c>
      <c r="I28" s="46">
        <f>SUMIF('[2]Raw Sales'!$B:$B, A28, '[2]Raw Sales'!$G:$G)</f>
        <v>0</v>
      </c>
      <c r="J28" s="46">
        <f t="shared" si="0"/>
        <v>0</v>
      </c>
      <c r="K28" s="46">
        <f t="shared" si="1"/>
        <v>0</v>
      </c>
      <c r="L28" s="45">
        <f t="shared" si="2"/>
        <v>0</v>
      </c>
      <c r="M28" s="45">
        <f t="shared" si="3"/>
        <v>0</v>
      </c>
      <c r="N28" s="46">
        <f t="shared" si="4"/>
        <v>0</v>
      </c>
      <c r="O28" s="46">
        <f>SUMIF('[2]Raw Inventory'!$B:$B, A28, '[2]Raw Inventory'!$D:$D)</f>
        <v>20</v>
      </c>
      <c r="P28" s="45">
        <f t="shared" si="5"/>
        <v>1730200</v>
      </c>
      <c r="Q28" s="46" t="str">
        <f t="shared" si="6"/>
        <v/>
      </c>
      <c r="R28" s="46">
        <f>IFERROR(VLOOKUP(A28,'[2]MC Masterlist 2026-09-11'!$B:$M, 7, 0),0)</f>
        <v>45</v>
      </c>
      <c r="S28" s="46">
        <f>IFERROR(VLOOKUP(A28,'[2]MC Masterlist 2026-09-11'!$B:$M, 8, 0),0)</f>
        <v>30</v>
      </c>
      <c r="T28" s="46">
        <f t="shared" si="7"/>
        <v>75</v>
      </c>
      <c r="U28" s="46">
        <f t="shared" si="8"/>
        <v>60</v>
      </c>
      <c r="V28" s="46">
        <f>IFERROR(VLOOKUP(A28,'[2]MC Masterlist 2026-09-11'!$B:$L, 9, 0),0)</f>
        <v>90</v>
      </c>
      <c r="W28" s="46">
        <f t="shared" si="9"/>
        <v>0</v>
      </c>
      <c r="X28" s="46">
        <f t="shared" si="10"/>
        <v>0</v>
      </c>
      <c r="Y28" s="46">
        <f t="shared" si="11"/>
        <v>0</v>
      </c>
      <c r="Z28" s="46">
        <f t="shared" si="12"/>
        <v>0</v>
      </c>
      <c r="AA28" s="44" t="str">
        <f t="shared" si="13"/>
        <v>Over</v>
      </c>
      <c r="AB28" s="46">
        <f>IFERROR(VLOOKUP(A28,'[2]PO Balance'!$A:$C, 3, 0),0)</f>
        <v>59</v>
      </c>
      <c r="AC28" s="43"/>
      <c r="AD28" s="46">
        <f t="shared" si="14"/>
        <v>79</v>
      </c>
      <c r="AE28" s="46">
        <f t="shared" si="15"/>
        <v>0</v>
      </c>
      <c r="AF28" s="44" t="str">
        <f t="shared" si="16"/>
        <v>Over</v>
      </c>
      <c r="AG28" s="46">
        <f t="shared" si="17"/>
        <v>59</v>
      </c>
    </row>
    <row r="29" spans="1:33">
      <c r="A29" s="43" t="s">
        <v>22</v>
      </c>
      <c r="B29" s="44" t="str">
        <f>IFERROR(VLOOKUP(A29,'[2]Class ABC'!$A:$I, 9, 0),"")</f>
        <v>B3</v>
      </c>
      <c r="C29" s="44">
        <f>IFERROR(VLOOKUP(A29,'[2]Class ABC'!$A:$I, 6, 0),"")</f>
        <v>12</v>
      </c>
      <c r="D29" s="44" t="str">
        <f>IFERROR(CONCATENATE("Class ", VLOOKUP(A29,'[2]Class ABC'!$A:$I, 8, 0)),"Class C")</f>
        <v>Class B</v>
      </c>
      <c r="E29" s="43" t="str">
        <f>IFERROR(VLOOKUP(A29,'[2]MC Masterlist 2026-09-11'!$B:$M, 3, 0),"")</f>
        <v>HONDA</v>
      </c>
      <c r="F29" s="45">
        <f>IFERROR(VLOOKUP(A29,'[2]MC Masterlist 2026-09-11'!$B:$M, 6, 0),"")</f>
        <v>111258</v>
      </c>
      <c r="G29" s="46">
        <f>SUMIF('[2]Raw Sales'!$B:$B, A29, '[2]Raw Sales'!$I:$I)</f>
        <v>50</v>
      </c>
      <c r="H29" s="46">
        <f>SUMIF('[2]Raw Sales'!$B:$B, A29, '[2]Raw Sales'!$H:$H)</f>
        <v>76</v>
      </c>
      <c r="I29" s="46">
        <f>SUMIF('[2]Raw Sales'!$B:$B, A29, '[2]Raw Sales'!$G:$G)</f>
        <v>82</v>
      </c>
      <c r="J29" s="46">
        <f t="shared" si="0"/>
        <v>208</v>
      </c>
      <c r="K29" s="46">
        <f t="shared" si="1"/>
        <v>69.333333333333329</v>
      </c>
      <c r="L29" s="45">
        <f t="shared" si="2"/>
        <v>23141664</v>
      </c>
      <c r="M29" s="45">
        <f t="shared" si="3"/>
        <v>7713887.9999999991</v>
      </c>
      <c r="N29" s="46">
        <f t="shared" si="4"/>
        <v>2.3111111111111109</v>
      </c>
      <c r="O29" s="46">
        <f>SUMIF('[2]Raw Inventory'!$B:$B, A29, '[2]Raw Inventory'!$D:$D)</f>
        <v>97</v>
      </c>
      <c r="P29" s="45">
        <f t="shared" si="5"/>
        <v>10792026</v>
      </c>
      <c r="Q29" s="46">
        <f t="shared" si="6"/>
        <v>41.971153846153854</v>
      </c>
      <c r="R29" s="46">
        <f>IFERROR(VLOOKUP(A29,'[2]MC Masterlist 2026-09-11'!$B:$M, 7, 0),0)</f>
        <v>45</v>
      </c>
      <c r="S29" s="46">
        <f>IFERROR(VLOOKUP(A29,'[2]MC Masterlist 2026-09-11'!$B:$M, 8, 0),0)</f>
        <v>30</v>
      </c>
      <c r="T29" s="46">
        <f t="shared" si="7"/>
        <v>75</v>
      </c>
      <c r="U29" s="46">
        <f t="shared" si="8"/>
        <v>60</v>
      </c>
      <c r="V29" s="46">
        <f>IFERROR(VLOOKUP(A29,'[2]MC Masterlist 2026-09-11'!$B:$L, 9, 0),0)</f>
        <v>90</v>
      </c>
      <c r="W29" s="46">
        <f t="shared" si="9"/>
        <v>69.333333333333329</v>
      </c>
      <c r="X29" s="46">
        <f t="shared" si="10"/>
        <v>173.33333333333331</v>
      </c>
      <c r="Y29" s="46">
        <f t="shared" si="11"/>
        <v>138.66666666666666</v>
      </c>
      <c r="Z29" s="46">
        <f t="shared" si="12"/>
        <v>207.99999999999997</v>
      </c>
      <c r="AA29" s="44" t="str">
        <f t="shared" si="13"/>
        <v>Re-order</v>
      </c>
      <c r="AB29" s="46">
        <f>IFERROR(VLOOKUP(A29,'[2]PO Balance'!$A:$C, 3, 0),0)</f>
        <v>110</v>
      </c>
      <c r="AC29" s="43"/>
      <c r="AD29" s="46">
        <f t="shared" si="14"/>
        <v>207</v>
      </c>
      <c r="AE29" s="46">
        <f t="shared" si="15"/>
        <v>89.567307692307708</v>
      </c>
      <c r="AF29" s="44" t="str">
        <f t="shared" si="16"/>
        <v/>
      </c>
      <c r="AG29" s="46">
        <f t="shared" si="17"/>
        <v>283.33333333333331</v>
      </c>
    </row>
    <row r="30" spans="1:33">
      <c r="A30" s="43" t="s">
        <v>102</v>
      </c>
      <c r="B30" s="44" t="str">
        <f>IFERROR(VLOOKUP(A30,'[2]Class ABC'!$A:$I, 9, 0),"")</f>
        <v/>
      </c>
      <c r="C30" s="44" t="str">
        <f>IFERROR(VLOOKUP(A30,'[2]Class ABC'!$A:$I, 6, 0),"")</f>
        <v/>
      </c>
      <c r="D30" s="44" t="str">
        <f>IFERROR(CONCATENATE("Class ", VLOOKUP(A30,'[2]Class ABC'!$A:$I, 8, 0)),"Class C")</f>
        <v>Class C</v>
      </c>
      <c r="E30" s="43" t="str">
        <f>IFERROR(VLOOKUP(A30,'[2]MC Masterlist 2026-09-11'!$B:$M, 3, 0),"")</f>
        <v>HONDA</v>
      </c>
      <c r="F30" s="45">
        <f>IFERROR(VLOOKUP(A30,'[2]MC Masterlist 2026-09-11'!$B:$M, 6, 0),"")</f>
        <v>178068</v>
      </c>
      <c r="G30" s="46">
        <f>SUMIF('[2]Raw Sales'!$B:$B, A30, '[2]Raw Sales'!$I:$I)</f>
        <v>0</v>
      </c>
      <c r="H30" s="46">
        <f>SUMIF('[2]Raw Sales'!$B:$B, A30, '[2]Raw Sales'!$H:$H)</f>
        <v>0</v>
      </c>
      <c r="I30" s="46">
        <f>SUMIF('[2]Raw Sales'!$B:$B, A30, '[2]Raw Sales'!$G:$G)</f>
        <v>0</v>
      </c>
      <c r="J30" s="46">
        <f t="shared" si="0"/>
        <v>0</v>
      </c>
      <c r="K30" s="46">
        <f t="shared" si="1"/>
        <v>0</v>
      </c>
      <c r="L30" s="45">
        <f t="shared" si="2"/>
        <v>0</v>
      </c>
      <c r="M30" s="45">
        <f t="shared" si="3"/>
        <v>0</v>
      </c>
      <c r="N30" s="46">
        <f t="shared" si="4"/>
        <v>0</v>
      </c>
      <c r="O30" s="46">
        <f>SUMIF('[2]Raw Inventory'!$B:$B, A30, '[2]Raw Inventory'!$D:$D)</f>
        <v>1</v>
      </c>
      <c r="P30" s="45">
        <f t="shared" si="5"/>
        <v>178068</v>
      </c>
      <c r="Q30" s="46" t="str">
        <f t="shared" si="6"/>
        <v/>
      </c>
      <c r="R30" s="46">
        <f>IFERROR(VLOOKUP(A30,'[2]MC Masterlist 2026-09-11'!$B:$M, 7, 0),0)</f>
        <v>45</v>
      </c>
      <c r="S30" s="46">
        <f>IFERROR(VLOOKUP(A30,'[2]MC Masterlist 2026-09-11'!$B:$M, 8, 0),0)</f>
        <v>30</v>
      </c>
      <c r="T30" s="46">
        <f t="shared" si="7"/>
        <v>75</v>
      </c>
      <c r="U30" s="46">
        <f t="shared" si="8"/>
        <v>60</v>
      </c>
      <c r="V30" s="46">
        <f>IFERROR(VLOOKUP(A30,'[2]MC Masterlist 2026-09-11'!$B:$L, 9, 0),0)</f>
        <v>90</v>
      </c>
      <c r="W30" s="46">
        <f t="shared" si="9"/>
        <v>0</v>
      </c>
      <c r="X30" s="46">
        <f t="shared" si="10"/>
        <v>0</v>
      </c>
      <c r="Y30" s="46">
        <f t="shared" si="11"/>
        <v>0</v>
      </c>
      <c r="Z30" s="46">
        <f t="shared" si="12"/>
        <v>0</v>
      </c>
      <c r="AA30" s="44" t="str">
        <f t="shared" si="13"/>
        <v>Over</v>
      </c>
      <c r="AB30" s="46">
        <f>IFERROR(VLOOKUP(A30,'[2]PO Balance'!$A:$C, 3, 0),0)</f>
        <v>0</v>
      </c>
      <c r="AC30" s="43"/>
      <c r="AD30" s="46">
        <f t="shared" si="14"/>
        <v>1</v>
      </c>
      <c r="AE30" s="46">
        <f t="shared" si="15"/>
        <v>0</v>
      </c>
      <c r="AF30" s="44" t="str">
        <f t="shared" si="16"/>
        <v>Over</v>
      </c>
      <c r="AG30" s="46">
        <f t="shared" si="17"/>
        <v>0</v>
      </c>
    </row>
    <row r="31" spans="1:33">
      <c r="A31" s="43" t="s">
        <v>17</v>
      </c>
      <c r="B31" s="44" t="str">
        <f>IFERROR(VLOOKUP(A31,'[2]Class ABC'!$A:$I, 9, 0),"")</f>
        <v>A5</v>
      </c>
      <c r="C31" s="44">
        <f>IFERROR(VLOOKUP(A31,'[2]Class ABC'!$A:$I, 6, 0),"")</f>
        <v>5</v>
      </c>
      <c r="D31" s="44" t="str">
        <f>IFERROR(CONCATENATE("Class ", VLOOKUP(A31,'[2]Class ABC'!$A:$I, 8, 0)),"Class C")</f>
        <v>Class A</v>
      </c>
      <c r="E31" s="43" t="str">
        <f>IFERROR(VLOOKUP(A31,'[2]MC Masterlist 2026-09-11'!$B:$M, 3, 0),"")</f>
        <v>HONDA</v>
      </c>
      <c r="F31" s="45">
        <f>IFERROR(VLOOKUP(A31,'[2]MC Masterlist 2026-09-11'!$B:$M, 6, 0),"")</f>
        <v>140790</v>
      </c>
      <c r="G31" s="46">
        <f>SUMIF('[2]Raw Sales'!$B:$B, A31, '[2]Raw Sales'!$I:$I)</f>
        <v>100</v>
      </c>
      <c r="H31" s="46">
        <f>SUMIF('[2]Raw Sales'!$B:$B, A31, '[2]Raw Sales'!$H:$H)</f>
        <v>75</v>
      </c>
      <c r="I31" s="46">
        <f>SUMIF('[2]Raw Sales'!$B:$B, A31, '[2]Raw Sales'!$G:$G)</f>
        <v>126</v>
      </c>
      <c r="J31" s="46">
        <f t="shared" si="0"/>
        <v>301</v>
      </c>
      <c r="K31" s="46">
        <f t="shared" si="1"/>
        <v>100.33333333333333</v>
      </c>
      <c r="L31" s="45">
        <f t="shared" si="2"/>
        <v>42377790</v>
      </c>
      <c r="M31" s="45">
        <f t="shared" si="3"/>
        <v>14125930</v>
      </c>
      <c r="N31" s="46">
        <f t="shared" si="4"/>
        <v>3.3444444444444446</v>
      </c>
      <c r="O31" s="46">
        <f>SUMIF('[2]Raw Inventory'!$B:$B, A31, '[2]Raw Inventory'!$D:$D)</f>
        <v>148</v>
      </c>
      <c r="P31" s="45">
        <f t="shared" si="5"/>
        <v>20836920</v>
      </c>
      <c r="Q31" s="46">
        <f t="shared" si="6"/>
        <v>44.252491694352159</v>
      </c>
      <c r="R31" s="46">
        <f>IFERROR(VLOOKUP(A31,'[2]MC Masterlist 2026-09-11'!$B:$M, 7, 0),0)</f>
        <v>45</v>
      </c>
      <c r="S31" s="46">
        <f>IFERROR(VLOOKUP(A31,'[2]MC Masterlist 2026-09-11'!$B:$M, 8, 0),0)</f>
        <v>30</v>
      </c>
      <c r="T31" s="46">
        <f t="shared" si="7"/>
        <v>75</v>
      </c>
      <c r="U31" s="46">
        <f t="shared" si="8"/>
        <v>60</v>
      </c>
      <c r="V31" s="46">
        <f>IFERROR(VLOOKUP(A31,'[2]MC Masterlist 2026-09-11'!$B:$L, 9, 0),0)</f>
        <v>90</v>
      </c>
      <c r="W31" s="46">
        <f t="shared" si="9"/>
        <v>100.33333333333334</v>
      </c>
      <c r="X31" s="46">
        <f t="shared" si="10"/>
        <v>250.83333333333334</v>
      </c>
      <c r="Y31" s="46">
        <f t="shared" si="11"/>
        <v>200.66666666666669</v>
      </c>
      <c r="Z31" s="46">
        <f t="shared" si="12"/>
        <v>301</v>
      </c>
      <c r="AA31" s="44" t="str">
        <f t="shared" si="13"/>
        <v>Re-order</v>
      </c>
      <c r="AB31" s="46">
        <f>IFERROR(VLOOKUP(A31,'[2]PO Balance'!$A:$C, 3, 0),0)</f>
        <v>287</v>
      </c>
      <c r="AC31" s="43"/>
      <c r="AD31" s="46">
        <f t="shared" si="14"/>
        <v>435</v>
      </c>
      <c r="AE31" s="46">
        <f t="shared" si="15"/>
        <v>130.06644518272424</v>
      </c>
      <c r="AF31" s="44" t="str">
        <f t="shared" si="16"/>
        <v>Over</v>
      </c>
      <c r="AG31" s="46">
        <f t="shared" si="17"/>
        <v>537.83333333333337</v>
      </c>
    </row>
    <row r="32" spans="1:33">
      <c r="A32" s="43" t="s">
        <v>55</v>
      </c>
      <c r="B32" s="44" t="str">
        <f>IFERROR(VLOOKUP(A32,'[2]Class ABC'!$A:$I, 9, 0),"")</f>
        <v>C38</v>
      </c>
      <c r="C32" s="44">
        <f>IFERROR(VLOOKUP(A32,'[2]Class ABC'!$A:$I, 6, 0),"")</f>
        <v>67</v>
      </c>
      <c r="D32" s="44" t="str">
        <f>IFERROR(CONCATENATE("Class ", VLOOKUP(A32,'[2]Class ABC'!$A:$I, 8, 0)),"Class C")</f>
        <v>Class C</v>
      </c>
      <c r="E32" s="43" t="str">
        <f>IFERROR(VLOOKUP(A32,'[2]MC Masterlist 2026-09-11'!$B:$M, 3, 0),"")</f>
        <v>HONDA</v>
      </c>
      <c r="F32" s="45">
        <f>IFERROR(VLOOKUP(A32,'[2]MC Masterlist 2026-09-11'!$B:$M, 6, 0),"")</f>
        <v>284880</v>
      </c>
      <c r="G32" s="46">
        <f>SUMIF('[2]Raw Sales'!$B:$B, A32, '[2]Raw Sales'!$I:$I)</f>
        <v>0</v>
      </c>
      <c r="H32" s="46">
        <f>SUMIF('[2]Raw Sales'!$B:$B, A32, '[2]Raw Sales'!$H:$H)</f>
        <v>0</v>
      </c>
      <c r="I32" s="46">
        <f>SUMIF('[2]Raw Sales'!$B:$B, A32, '[2]Raw Sales'!$G:$G)</f>
        <v>1</v>
      </c>
      <c r="J32" s="46">
        <f t="shared" si="0"/>
        <v>1</v>
      </c>
      <c r="K32" s="46">
        <f t="shared" si="1"/>
        <v>0.33333333333333331</v>
      </c>
      <c r="L32" s="45">
        <f t="shared" si="2"/>
        <v>284880</v>
      </c>
      <c r="M32" s="45">
        <f t="shared" si="3"/>
        <v>94960</v>
      </c>
      <c r="N32" s="46">
        <f t="shared" si="4"/>
        <v>1.1111111111111112E-2</v>
      </c>
      <c r="O32" s="46">
        <f>SUMIF('[2]Raw Inventory'!$B:$B, A32, '[2]Raw Inventory'!$D:$D)</f>
        <v>8</v>
      </c>
      <c r="P32" s="45">
        <f t="shared" si="5"/>
        <v>2279040</v>
      </c>
      <c r="Q32" s="46">
        <f t="shared" si="6"/>
        <v>720</v>
      </c>
      <c r="R32" s="46">
        <f>IFERROR(VLOOKUP(A32,'[2]MC Masterlist 2026-09-11'!$B:$M, 7, 0),0)</f>
        <v>45</v>
      </c>
      <c r="S32" s="46">
        <f>IFERROR(VLOOKUP(A32,'[2]MC Masterlist 2026-09-11'!$B:$M, 8, 0),0)</f>
        <v>30</v>
      </c>
      <c r="T32" s="46">
        <f t="shared" si="7"/>
        <v>75</v>
      </c>
      <c r="U32" s="46">
        <f t="shared" si="8"/>
        <v>60</v>
      </c>
      <c r="V32" s="46">
        <f>IFERROR(VLOOKUP(A32,'[2]MC Masterlist 2026-09-11'!$B:$L, 9, 0),0)</f>
        <v>90</v>
      </c>
      <c r="W32" s="46">
        <f t="shared" si="9"/>
        <v>0.33333333333333337</v>
      </c>
      <c r="X32" s="46">
        <f t="shared" si="10"/>
        <v>0.83333333333333337</v>
      </c>
      <c r="Y32" s="46">
        <f t="shared" si="11"/>
        <v>0.66666666666666674</v>
      </c>
      <c r="Z32" s="46">
        <f t="shared" si="12"/>
        <v>1</v>
      </c>
      <c r="AA32" s="44" t="str">
        <f t="shared" si="13"/>
        <v>Over</v>
      </c>
      <c r="AB32" s="46">
        <f>IFERROR(VLOOKUP(A32,'[2]PO Balance'!$A:$C, 3, 0),0)</f>
        <v>0</v>
      </c>
      <c r="AC32" s="43"/>
      <c r="AD32" s="46">
        <f t="shared" si="14"/>
        <v>8</v>
      </c>
      <c r="AE32" s="46">
        <f t="shared" si="15"/>
        <v>720</v>
      </c>
      <c r="AF32" s="44" t="str">
        <f t="shared" si="16"/>
        <v>Over</v>
      </c>
      <c r="AG32" s="46">
        <f t="shared" si="17"/>
        <v>0.83333333333333337</v>
      </c>
    </row>
    <row r="33" spans="1:33">
      <c r="A33" s="43" t="s">
        <v>33</v>
      </c>
      <c r="B33" s="44" t="str">
        <f>IFERROR(VLOOKUP(A33,'[2]Class ABC'!$A:$I, 9, 0),"")</f>
        <v>B16</v>
      </c>
      <c r="C33" s="44">
        <f>IFERROR(VLOOKUP(A33,'[2]Class ABC'!$A:$I, 6, 0),"")</f>
        <v>25</v>
      </c>
      <c r="D33" s="44" t="str">
        <f>IFERROR(CONCATENATE("Class ", VLOOKUP(A33,'[2]Class ABC'!$A:$I, 8, 0)),"Class C")</f>
        <v>Class B</v>
      </c>
      <c r="E33" s="43" t="str">
        <f>IFERROR(VLOOKUP(A33,'[2]MC Masterlist 2026-09-11'!$B:$M, 3, 0),"")</f>
        <v>HONDA</v>
      </c>
      <c r="F33" s="45">
        <f>IFERROR(VLOOKUP(A33,'[2]MC Masterlist 2026-09-11'!$B:$M, 6, 0),"")</f>
        <v>251318</v>
      </c>
      <c r="G33" s="46">
        <f>SUMIF('[2]Raw Sales'!$B:$B, A33, '[2]Raw Sales'!$I:$I)</f>
        <v>2</v>
      </c>
      <c r="H33" s="46">
        <f>SUMIF('[2]Raw Sales'!$B:$B, A33, '[2]Raw Sales'!$H:$H)</f>
        <v>6</v>
      </c>
      <c r="I33" s="46">
        <f>SUMIF('[2]Raw Sales'!$B:$B, A33, '[2]Raw Sales'!$G:$G)</f>
        <v>9</v>
      </c>
      <c r="J33" s="46">
        <f t="shared" si="0"/>
        <v>17</v>
      </c>
      <c r="K33" s="46">
        <f t="shared" si="1"/>
        <v>5.666666666666667</v>
      </c>
      <c r="L33" s="45">
        <f t="shared" si="2"/>
        <v>4272406</v>
      </c>
      <c r="M33" s="45">
        <f t="shared" si="3"/>
        <v>1424135.3333333335</v>
      </c>
      <c r="N33" s="46">
        <f t="shared" si="4"/>
        <v>0.18888888888888888</v>
      </c>
      <c r="O33" s="46">
        <f>SUMIF('[2]Raw Inventory'!$B:$B, A33, '[2]Raw Inventory'!$D:$D)</f>
        <v>2</v>
      </c>
      <c r="P33" s="45">
        <f t="shared" si="5"/>
        <v>502636</v>
      </c>
      <c r="Q33" s="46">
        <f t="shared" si="6"/>
        <v>10.588235294117647</v>
      </c>
      <c r="R33" s="46">
        <f>IFERROR(VLOOKUP(A33,'[2]MC Masterlist 2026-09-11'!$B:$M, 7, 0),0)</f>
        <v>45</v>
      </c>
      <c r="S33" s="46">
        <f>IFERROR(VLOOKUP(A33,'[2]MC Masterlist 2026-09-11'!$B:$M, 8, 0),0)</f>
        <v>30</v>
      </c>
      <c r="T33" s="46">
        <f t="shared" si="7"/>
        <v>75</v>
      </c>
      <c r="U33" s="46">
        <f t="shared" si="8"/>
        <v>60</v>
      </c>
      <c r="V33" s="46">
        <f>IFERROR(VLOOKUP(A33,'[2]MC Masterlist 2026-09-11'!$B:$L, 9, 0),0)</f>
        <v>90</v>
      </c>
      <c r="W33" s="46">
        <f t="shared" si="9"/>
        <v>5.6666666666666661</v>
      </c>
      <c r="X33" s="46">
        <f t="shared" si="10"/>
        <v>14.166666666666666</v>
      </c>
      <c r="Y33" s="46">
        <f t="shared" si="11"/>
        <v>11.333333333333332</v>
      </c>
      <c r="Z33" s="46">
        <f t="shared" si="12"/>
        <v>17</v>
      </c>
      <c r="AA33" s="44" t="str">
        <f t="shared" si="13"/>
        <v>Stockout</v>
      </c>
      <c r="AB33" s="46">
        <f>IFERROR(VLOOKUP(A33,'[2]PO Balance'!$A:$C, 3, 0),0)</f>
        <v>16</v>
      </c>
      <c r="AC33" s="43"/>
      <c r="AD33" s="46">
        <f t="shared" si="14"/>
        <v>18</v>
      </c>
      <c r="AE33" s="46">
        <f t="shared" si="15"/>
        <v>95.294117647058826</v>
      </c>
      <c r="AF33" s="44" t="str">
        <f t="shared" si="16"/>
        <v>Over</v>
      </c>
      <c r="AG33" s="46">
        <f t="shared" si="17"/>
        <v>30.166666666666664</v>
      </c>
    </row>
    <row r="34" spans="1:33">
      <c r="A34" s="43" t="s">
        <v>56</v>
      </c>
      <c r="B34" s="44" t="str">
        <f>IFERROR(VLOOKUP(A34,'[2]Class ABC'!$A:$I, 9, 0),"")</f>
        <v/>
      </c>
      <c r="C34" s="44" t="str">
        <f>IFERROR(VLOOKUP(A34,'[2]Class ABC'!$A:$I, 6, 0),"")</f>
        <v/>
      </c>
      <c r="D34" s="44" t="str">
        <f>IFERROR(CONCATENATE("Class ", VLOOKUP(A34,'[2]Class ABC'!$A:$I, 8, 0)),"Class C")</f>
        <v>Class C</v>
      </c>
      <c r="E34" s="43" t="str">
        <f>IFERROR(VLOOKUP(A34,'[2]MC Masterlist 2026-09-11'!$B:$M, 3, 0),"")</f>
        <v>HONDA</v>
      </c>
      <c r="F34" s="45">
        <f>IFERROR(VLOOKUP(A34,'[2]MC Masterlist 2026-09-11'!$B:$M, 6, 0),"")</f>
        <v>288118</v>
      </c>
      <c r="G34" s="46">
        <f>SUMIF('[2]Raw Sales'!$B:$B, A34, '[2]Raw Sales'!$I:$I)</f>
        <v>0</v>
      </c>
      <c r="H34" s="46">
        <f>SUMIF('[2]Raw Sales'!$B:$B, A34, '[2]Raw Sales'!$H:$H)</f>
        <v>0</v>
      </c>
      <c r="I34" s="46">
        <f>SUMIF('[2]Raw Sales'!$B:$B, A34, '[2]Raw Sales'!$G:$G)</f>
        <v>0</v>
      </c>
      <c r="J34" s="46">
        <f t="shared" si="0"/>
        <v>0</v>
      </c>
      <c r="K34" s="46">
        <f t="shared" si="1"/>
        <v>0</v>
      </c>
      <c r="L34" s="45">
        <f t="shared" si="2"/>
        <v>0</v>
      </c>
      <c r="M34" s="45">
        <f t="shared" si="3"/>
        <v>0</v>
      </c>
      <c r="N34" s="46">
        <f t="shared" si="4"/>
        <v>0</v>
      </c>
      <c r="O34" s="46">
        <f>SUMIF('[2]Raw Inventory'!$B:$B, A34, '[2]Raw Inventory'!$D:$D)</f>
        <v>5</v>
      </c>
      <c r="P34" s="45">
        <f t="shared" si="5"/>
        <v>1440590</v>
      </c>
      <c r="Q34" s="46" t="str">
        <f t="shared" si="6"/>
        <v/>
      </c>
      <c r="R34" s="46">
        <f>IFERROR(VLOOKUP(A34,'[2]MC Masterlist 2026-09-11'!$B:$M, 7, 0),0)</f>
        <v>45</v>
      </c>
      <c r="S34" s="46">
        <f>IFERROR(VLOOKUP(A34,'[2]MC Masterlist 2026-09-11'!$B:$M, 8, 0),0)</f>
        <v>30</v>
      </c>
      <c r="T34" s="46">
        <f t="shared" si="7"/>
        <v>75</v>
      </c>
      <c r="U34" s="46">
        <f t="shared" si="8"/>
        <v>60</v>
      </c>
      <c r="V34" s="46">
        <f>IFERROR(VLOOKUP(A34,'[2]MC Masterlist 2026-09-11'!$B:$L, 9, 0),0)</f>
        <v>90</v>
      </c>
      <c r="W34" s="46">
        <f t="shared" si="9"/>
        <v>0</v>
      </c>
      <c r="X34" s="46">
        <f t="shared" si="10"/>
        <v>0</v>
      </c>
      <c r="Y34" s="46">
        <f t="shared" si="11"/>
        <v>0</v>
      </c>
      <c r="Z34" s="46">
        <f t="shared" si="12"/>
        <v>0</v>
      </c>
      <c r="AA34" s="44" t="str">
        <f t="shared" si="13"/>
        <v>Over</v>
      </c>
      <c r="AB34" s="46">
        <f>IFERROR(VLOOKUP(A34,'[2]PO Balance'!$A:$C, 3, 0),0)</f>
        <v>0</v>
      </c>
      <c r="AC34" s="43"/>
      <c r="AD34" s="46">
        <f t="shared" si="14"/>
        <v>5</v>
      </c>
      <c r="AE34" s="46">
        <f t="shared" si="15"/>
        <v>0</v>
      </c>
      <c r="AF34" s="44" t="str">
        <f t="shared" si="16"/>
        <v>Over</v>
      </c>
      <c r="AG34" s="46">
        <f t="shared" si="17"/>
        <v>0</v>
      </c>
    </row>
    <row r="35" spans="1:33">
      <c r="A35" s="43" t="s">
        <v>31</v>
      </c>
      <c r="B35" s="44" t="str">
        <f>IFERROR(VLOOKUP(A35,'[2]Class ABC'!$A:$I, 9, 0),"")</f>
        <v>B10</v>
      </c>
      <c r="C35" s="44">
        <f>IFERROR(VLOOKUP(A35,'[2]Class ABC'!$A:$I, 6, 0),"")</f>
        <v>19</v>
      </c>
      <c r="D35" s="44" t="str">
        <f>IFERROR(CONCATENATE("Class ", VLOOKUP(A35,'[2]Class ABC'!$A:$I, 8, 0)),"Class C")</f>
        <v>Class B</v>
      </c>
      <c r="E35" s="43" t="str">
        <f>IFERROR(VLOOKUP(A35,'[2]MC Masterlist 2026-09-11'!$B:$M, 3, 0),"")</f>
        <v>KAWASAKI</v>
      </c>
      <c r="F35" s="45">
        <f>IFERROR(VLOOKUP(A35,'[2]MC Masterlist 2026-09-11'!$B:$M, 6, 0),"")</f>
        <v>59528</v>
      </c>
      <c r="G35" s="46">
        <f>SUMIF('[2]Raw Sales'!$B:$B, A35, '[2]Raw Sales'!$I:$I)</f>
        <v>52</v>
      </c>
      <c r="H35" s="46">
        <f>SUMIF('[2]Raw Sales'!$B:$B, A35, '[2]Raw Sales'!$H:$H)</f>
        <v>43</v>
      </c>
      <c r="I35" s="46">
        <f>SUMIF('[2]Raw Sales'!$B:$B, A35, '[2]Raw Sales'!$G:$G)</f>
        <v>42</v>
      </c>
      <c r="J35" s="46">
        <f t="shared" si="0"/>
        <v>137</v>
      </c>
      <c r="K35" s="46">
        <f t="shared" si="1"/>
        <v>45.666666666666664</v>
      </c>
      <c r="L35" s="45">
        <f t="shared" si="2"/>
        <v>8155336</v>
      </c>
      <c r="M35" s="45">
        <f t="shared" si="3"/>
        <v>2718445.333333333</v>
      </c>
      <c r="N35" s="46">
        <f t="shared" si="4"/>
        <v>1.5222222222222221</v>
      </c>
      <c r="O35" s="46">
        <f>SUMIF('[2]Raw Inventory'!$B:$B, A35, '[2]Raw Inventory'!$D:$D)</f>
        <v>128</v>
      </c>
      <c r="P35" s="45">
        <f t="shared" si="5"/>
        <v>7619584</v>
      </c>
      <c r="Q35" s="46">
        <f t="shared" si="6"/>
        <v>84.087591240875923</v>
      </c>
      <c r="R35" s="46">
        <f>IFERROR(VLOOKUP(A35,'[2]MC Masterlist 2026-09-11'!$B:$M, 7, 0),0)</f>
        <v>45</v>
      </c>
      <c r="S35" s="46">
        <f>IFERROR(VLOOKUP(A35,'[2]MC Masterlist 2026-09-11'!$B:$M, 8, 0),0)</f>
        <v>30</v>
      </c>
      <c r="T35" s="46">
        <f t="shared" si="7"/>
        <v>75</v>
      </c>
      <c r="U35" s="46">
        <f t="shared" si="8"/>
        <v>60</v>
      </c>
      <c r="V35" s="46">
        <f>IFERROR(VLOOKUP(A35,'[2]MC Masterlist 2026-09-11'!$B:$L, 9, 0),0)</f>
        <v>90</v>
      </c>
      <c r="W35" s="46">
        <f t="shared" si="9"/>
        <v>45.666666666666664</v>
      </c>
      <c r="X35" s="46">
        <f t="shared" si="10"/>
        <v>114.16666666666666</v>
      </c>
      <c r="Y35" s="46">
        <f t="shared" si="11"/>
        <v>91.333333333333329</v>
      </c>
      <c r="Z35" s="46">
        <f t="shared" si="12"/>
        <v>137</v>
      </c>
      <c r="AA35" s="44" t="str">
        <f t="shared" si="13"/>
        <v/>
      </c>
      <c r="AB35" s="46">
        <f>IFERROR(VLOOKUP(A35,'[2]PO Balance'!$A:$C, 3, 0),0)</f>
        <v>50</v>
      </c>
      <c r="AC35" s="43"/>
      <c r="AD35" s="46">
        <f t="shared" si="14"/>
        <v>178</v>
      </c>
      <c r="AE35" s="46">
        <f t="shared" si="15"/>
        <v>116.93430656934308</v>
      </c>
      <c r="AF35" s="44" t="str">
        <f t="shared" si="16"/>
        <v>Over</v>
      </c>
      <c r="AG35" s="46">
        <f t="shared" si="17"/>
        <v>164.16666666666666</v>
      </c>
    </row>
    <row r="36" spans="1:33">
      <c r="A36" s="43" t="s">
        <v>72</v>
      </c>
      <c r="B36" s="44" t="str">
        <f>IFERROR(VLOOKUP(A36,'[2]Class ABC'!$A:$I, 9, 0),"")</f>
        <v>C25</v>
      </c>
      <c r="C36" s="44">
        <f>IFERROR(VLOOKUP(A36,'[2]Class ABC'!$A:$I, 6, 0),"")</f>
        <v>54</v>
      </c>
      <c r="D36" s="44" t="str">
        <f>IFERROR(CONCATENATE("Class ", VLOOKUP(A36,'[2]Class ABC'!$A:$I, 8, 0)),"Class C")</f>
        <v>Class C</v>
      </c>
      <c r="E36" s="43" t="str">
        <f>IFERROR(VLOOKUP(A36,'[2]MC Masterlist 2026-09-11'!$B:$M, 3, 0),"")</f>
        <v>KAWASAKI</v>
      </c>
      <c r="F36" s="45">
        <f>IFERROR(VLOOKUP(A36,'[2]MC Masterlist 2026-09-11'!$B:$M, 6, 0),"")</f>
        <v>52948</v>
      </c>
      <c r="G36" s="46">
        <f>SUMIF('[2]Raw Sales'!$B:$B, A36, '[2]Raw Sales'!$I:$I)</f>
        <v>2</v>
      </c>
      <c r="H36" s="46">
        <f>SUMIF('[2]Raw Sales'!$B:$B, A36, '[2]Raw Sales'!$H:$H)</f>
        <v>4</v>
      </c>
      <c r="I36" s="46">
        <f>SUMIF('[2]Raw Sales'!$B:$B, A36, '[2]Raw Sales'!$G:$G)</f>
        <v>5</v>
      </c>
      <c r="J36" s="46">
        <f t="shared" si="0"/>
        <v>11</v>
      </c>
      <c r="K36" s="46">
        <f t="shared" si="1"/>
        <v>3.6666666666666665</v>
      </c>
      <c r="L36" s="45">
        <f t="shared" si="2"/>
        <v>582428</v>
      </c>
      <c r="M36" s="45">
        <f t="shared" si="3"/>
        <v>194142.66666666666</v>
      </c>
      <c r="N36" s="46">
        <f t="shared" si="4"/>
        <v>0.12222222222222222</v>
      </c>
      <c r="O36" s="46">
        <f>SUMIF('[2]Raw Inventory'!$B:$B, A36, '[2]Raw Inventory'!$D:$D)</f>
        <v>42</v>
      </c>
      <c r="P36" s="45">
        <f t="shared" si="5"/>
        <v>2223816</v>
      </c>
      <c r="Q36" s="46">
        <f t="shared" si="6"/>
        <v>343.63636363636363</v>
      </c>
      <c r="R36" s="46">
        <f>IFERROR(VLOOKUP(A36,'[2]MC Masterlist 2026-09-11'!$B:$M, 7, 0),0)</f>
        <v>45</v>
      </c>
      <c r="S36" s="46">
        <f>IFERROR(VLOOKUP(A36,'[2]MC Masterlist 2026-09-11'!$B:$M, 8, 0),0)</f>
        <v>30</v>
      </c>
      <c r="T36" s="46">
        <f t="shared" si="7"/>
        <v>75</v>
      </c>
      <c r="U36" s="46">
        <f t="shared" si="8"/>
        <v>60</v>
      </c>
      <c r="V36" s="46">
        <f>IFERROR(VLOOKUP(A36,'[2]MC Masterlist 2026-09-11'!$B:$L, 9, 0),0)</f>
        <v>90</v>
      </c>
      <c r="W36" s="46">
        <f t="shared" si="9"/>
        <v>3.6666666666666665</v>
      </c>
      <c r="X36" s="46">
        <f t="shared" si="10"/>
        <v>9.1666666666666661</v>
      </c>
      <c r="Y36" s="46">
        <f t="shared" si="11"/>
        <v>7.333333333333333</v>
      </c>
      <c r="Z36" s="46">
        <f t="shared" si="12"/>
        <v>11</v>
      </c>
      <c r="AA36" s="44" t="str">
        <f t="shared" si="13"/>
        <v>Over</v>
      </c>
      <c r="AB36" s="46">
        <f>IFERROR(VLOOKUP(A36,'[2]PO Balance'!$A:$C, 3, 0),0)</f>
        <v>0</v>
      </c>
      <c r="AC36" s="43"/>
      <c r="AD36" s="46">
        <f t="shared" si="14"/>
        <v>42</v>
      </c>
      <c r="AE36" s="46">
        <f t="shared" si="15"/>
        <v>343.63636363636363</v>
      </c>
      <c r="AF36" s="44" t="str">
        <f t="shared" si="16"/>
        <v>Over</v>
      </c>
      <c r="AG36" s="46">
        <f t="shared" si="17"/>
        <v>9.1666666666666661</v>
      </c>
    </row>
    <row r="37" spans="1:33">
      <c r="A37" s="43" t="s">
        <v>23</v>
      </c>
      <c r="B37" s="44" t="str">
        <f>IFERROR(VLOOKUP(A37,'[2]Class ABC'!$A:$I, 9, 0),"")</f>
        <v>A2</v>
      </c>
      <c r="C37" s="44">
        <f>IFERROR(VLOOKUP(A37,'[2]Class ABC'!$A:$I, 6, 0),"")</f>
        <v>2</v>
      </c>
      <c r="D37" s="44" t="str">
        <f>IFERROR(CONCATENATE("Class ", VLOOKUP(A37,'[2]Class ABC'!$A:$I, 8, 0)),"Class C")</f>
        <v>Class A</v>
      </c>
      <c r="E37" s="43" t="str">
        <f>IFERROR(VLOOKUP(A37,'[2]MC Masterlist 2026-09-11'!$B:$M, 3, 0),"")</f>
        <v>KAWASAKI</v>
      </c>
      <c r="F37" s="45">
        <f>IFERROR(VLOOKUP(A37,'[2]MC Masterlist 2026-09-11'!$B:$M, 6, 0),"")</f>
        <v>60656</v>
      </c>
      <c r="G37" s="46">
        <f>SUMIF('[2]Raw Sales'!$B:$B, A37, '[2]Raw Sales'!$I:$I)</f>
        <v>490</v>
      </c>
      <c r="H37" s="46">
        <f>SUMIF('[2]Raw Sales'!$B:$B, A37, '[2]Raw Sales'!$H:$H)</f>
        <v>518</v>
      </c>
      <c r="I37" s="46">
        <f>SUMIF('[2]Raw Sales'!$B:$B, A37, '[2]Raw Sales'!$G:$G)</f>
        <v>390</v>
      </c>
      <c r="J37" s="46">
        <f t="shared" si="0"/>
        <v>1398</v>
      </c>
      <c r="K37" s="46">
        <f t="shared" si="1"/>
        <v>466</v>
      </c>
      <c r="L37" s="45">
        <f t="shared" si="2"/>
        <v>84797088</v>
      </c>
      <c r="M37" s="45">
        <f t="shared" si="3"/>
        <v>28265696</v>
      </c>
      <c r="N37" s="46">
        <f t="shared" si="4"/>
        <v>15.533333333333333</v>
      </c>
      <c r="O37" s="46">
        <f>SUMIF('[2]Raw Inventory'!$B:$B, A37, '[2]Raw Inventory'!$D:$D)</f>
        <v>801</v>
      </c>
      <c r="P37" s="45">
        <f t="shared" si="5"/>
        <v>48585456</v>
      </c>
      <c r="Q37" s="46">
        <f t="shared" si="6"/>
        <v>51.566523605150216</v>
      </c>
      <c r="R37" s="46">
        <f>IFERROR(VLOOKUP(A37,'[2]MC Masterlist 2026-09-11'!$B:$M, 7, 0),0)</f>
        <v>45</v>
      </c>
      <c r="S37" s="46">
        <f>IFERROR(VLOOKUP(A37,'[2]MC Masterlist 2026-09-11'!$B:$M, 8, 0),0)</f>
        <v>30</v>
      </c>
      <c r="T37" s="46">
        <f t="shared" si="7"/>
        <v>75</v>
      </c>
      <c r="U37" s="46">
        <f t="shared" si="8"/>
        <v>60</v>
      </c>
      <c r="V37" s="46">
        <f>IFERROR(VLOOKUP(A37,'[2]MC Masterlist 2026-09-11'!$B:$L, 9, 0),0)</f>
        <v>90</v>
      </c>
      <c r="W37" s="46">
        <f t="shared" si="9"/>
        <v>466</v>
      </c>
      <c r="X37" s="46">
        <f t="shared" si="10"/>
        <v>1165</v>
      </c>
      <c r="Y37" s="46">
        <f t="shared" si="11"/>
        <v>932</v>
      </c>
      <c r="Z37" s="46">
        <f t="shared" si="12"/>
        <v>1398</v>
      </c>
      <c r="AA37" s="44" t="str">
        <f t="shared" si="13"/>
        <v>Re-order</v>
      </c>
      <c r="AB37" s="46">
        <f>IFERROR(VLOOKUP(A37,'[2]PO Balance'!$A:$C, 3, 0),0)</f>
        <v>567</v>
      </c>
      <c r="AC37" s="43"/>
      <c r="AD37" s="46">
        <f t="shared" si="14"/>
        <v>1368</v>
      </c>
      <c r="AE37" s="46">
        <f t="shared" si="15"/>
        <v>88.068669527897001</v>
      </c>
      <c r="AF37" s="44" t="str">
        <f t="shared" si="16"/>
        <v/>
      </c>
      <c r="AG37" s="46">
        <f t="shared" si="17"/>
        <v>1732</v>
      </c>
    </row>
    <row r="38" spans="1:33">
      <c r="A38" s="43" t="s">
        <v>149</v>
      </c>
      <c r="B38" s="44" t="str">
        <f>IFERROR(VLOOKUP(A38,'[2]Class ABC'!$A:$I, 9, 0),"")</f>
        <v/>
      </c>
      <c r="C38" s="44" t="str">
        <f>IFERROR(VLOOKUP(A38,'[2]Class ABC'!$A:$I, 6, 0),"")</f>
        <v/>
      </c>
      <c r="D38" s="44" t="str">
        <f>IFERROR(CONCATENATE("Class ", VLOOKUP(A38,'[2]Class ABC'!$A:$I, 8, 0)),"Class C")</f>
        <v>Class C</v>
      </c>
      <c r="E38" s="43" t="str">
        <f>IFERROR(VLOOKUP(A38,'[2]MC Masterlist 2026-09-11'!$B:$M, 3, 0),"")</f>
        <v>HONDA</v>
      </c>
      <c r="F38" s="45">
        <f>IFERROR(VLOOKUP(A38,'[2]MC Masterlist 2026-09-11'!$B:$M, 6, 0),"")</f>
        <v>254520</v>
      </c>
      <c r="G38" s="46">
        <f>SUMIF('[2]Raw Sales'!$B:$B, A38, '[2]Raw Sales'!$I:$I)</f>
        <v>0</v>
      </c>
      <c r="H38" s="46">
        <f>SUMIF('[2]Raw Sales'!$B:$B, A38, '[2]Raw Sales'!$H:$H)</f>
        <v>0</v>
      </c>
      <c r="I38" s="46">
        <f>SUMIF('[2]Raw Sales'!$B:$B, A38, '[2]Raw Sales'!$G:$G)</f>
        <v>0</v>
      </c>
      <c r="J38" s="46">
        <f t="shared" si="0"/>
        <v>0</v>
      </c>
      <c r="K38" s="46">
        <f t="shared" si="1"/>
        <v>0</v>
      </c>
      <c r="L38" s="45">
        <f t="shared" si="2"/>
        <v>0</v>
      </c>
      <c r="M38" s="45">
        <f t="shared" si="3"/>
        <v>0</v>
      </c>
      <c r="N38" s="46">
        <f t="shared" si="4"/>
        <v>0</v>
      </c>
      <c r="O38" s="46">
        <f>SUMIF('[2]Raw Inventory'!$B:$B, A38, '[2]Raw Inventory'!$D:$D)</f>
        <v>1</v>
      </c>
      <c r="P38" s="45">
        <f t="shared" si="5"/>
        <v>254520</v>
      </c>
      <c r="Q38" s="46" t="str">
        <f t="shared" si="6"/>
        <v/>
      </c>
      <c r="R38" s="46">
        <f>IFERROR(VLOOKUP(A38,'[2]MC Masterlist 2026-09-11'!$B:$M, 7, 0),0)</f>
        <v>45</v>
      </c>
      <c r="S38" s="46">
        <f>IFERROR(VLOOKUP(A38,'[2]MC Masterlist 2026-09-11'!$B:$M, 8, 0),0)</f>
        <v>30</v>
      </c>
      <c r="T38" s="46">
        <f t="shared" si="7"/>
        <v>75</v>
      </c>
      <c r="U38" s="46">
        <f t="shared" si="8"/>
        <v>60</v>
      </c>
      <c r="V38" s="46">
        <f>IFERROR(VLOOKUP(A38,'[2]MC Masterlist 2026-09-11'!$B:$L, 9, 0),0)</f>
        <v>90</v>
      </c>
      <c r="W38" s="46">
        <f t="shared" si="9"/>
        <v>0</v>
      </c>
      <c r="X38" s="46">
        <f t="shared" si="10"/>
        <v>0</v>
      </c>
      <c r="Y38" s="46">
        <f t="shared" si="11"/>
        <v>0</v>
      </c>
      <c r="Z38" s="46">
        <f t="shared" si="12"/>
        <v>0</v>
      </c>
      <c r="AA38" s="44" t="str">
        <f t="shared" si="13"/>
        <v>Over</v>
      </c>
      <c r="AB38" s="46">
        <f>IFERROR(VLOOKUP(A38,'[2]PO Balance'!$A:$C, 3, 0),0)</f>
        <v>0</v>
      </c>
      <c r="AC38" s="43"/>
      <c r="AD38" s="46">
        <f t="shared" si="14"/>
        <v>1</v>
      </c>
      <c r="AE38" s="46">
        <f t="shared" si="15"/>
        <v>0</v>
      </c>
      <c r="AF38" s="44" t="str">
        <f t="shared" si="16"/>
        <v>Over</v>
      </c>
      <c r="AG38" s="46">
        <f t="shared" si="17"/>
        <v>0</v>
      </c>
    </row>
    <row r="39" spans="1:33">
      <c r="A39" s="43" t="s">
        <v>73</v>
      </c>
      <c r="B39" s="44" t="str">
        <f>IFERROR(VLOOKUP(A39,'[2]Class ABC'!$A:$I, 9, 0),"")</f>
        <v>C31</v>
      </c>
      <c r="C39" s="44">
        <f>IFERROR(VLOOKUP(A39,'[2]Class ABC'!$A:$I, 6, 0),"")</f>
        <v>60</v>
      </c>
      <c r="D39" s="44" t="str">
        <f>IFERROR(CONCATENATE("Class ", VLOOKUP(A39,'[2]Class ABC'!$A:$I, 8, 0)),"Class C")</f>
        <v>Class C</v>
      </c>
      <c r="E39" s="43" t="str">
        <f>IFERROR(VLOOKUP(A39,'[2]MC Masterlist 2026-09-11'!$B:$M, 3, 0),"")</f>
        <v>SUZUKI</v>
      </c>
      <c r="F39" s="45">
        <f>IFERROR(VLOOKUP(A39,'[2]MC Masterlist 2026-09-11'!$B:$M, 6, 0),"")</f>
        <v>122770</v>
      </c>
      <c r="G39" s="46">
        <f>SUMIF('[2]Raw Sales'!$B:$B, A39, '[2]Raw Sales'!$I:$I)</f>
        <v>1</v>
      </c>
      <c r="H39" s="46">
        <f>SUMIF('[2]Raw Sales'!$B:$B, A39, '[2]Raw Sales'!$H:$H)</f>
        <v>1</v>
      </c>
      <c r="I39" s="46">
        <f>SUMIF('[2]Raw Sales'!$B:$B, A39, '[2]Raw Sales'!$G:$G)</f>
        <v>2</v>
      </c>
      <c r="J39" s="46">
        <f t="shared" si="0"/>
        <v>4</v>
      </c>
      <c r="K39" s="46">
        <f t="shared" si="1"/>
        <v>1.3333333333333333</v>
      </c>
      <c r="L39" s="45">
        <f t="shared" si="2"/>
        <v>491080</v>
      </c>
      <c r="M39" s="45">
        <f t="shared" si="3"/>
        <v>163693.33333333331</v>
      </c>
      <c r="N39" s="46">
        <f t="shared" si="4"/>
        <v>4.4444444444444446E-2</v>
      </c>
      <c r="O39" s="46">
        <f>SUMIF('[2]Raw Inventory'!$B:$B, A39, '[2]Raw Inventory'!$D:$D)</f>
        <v>35</v>
      </c>
      <c r="P39" s="45">
        <f t="shared" si="5"/>
        <v>4296950</v>
      </c>
      <c r="Q39" s="46">
        <f t="shared" si="6"/>
        <v>787.50000000000011</v>
      </c>
      <c r="R39" s="46">
        <f>IFERROR(VLOOKUP(A39,'[2]MC Masterlist 2026-09-11'!$B:$M, 7, 0),0)</f>
        <v>45</v>
      </c>
      <c r="S39" s="46">
        <f>IFERROR(VLOOKUP(A39,'[2]MC Masterlist 2026-09-11'!$B:$M, 8, 0),0)</f>
        <v>30</v>
      </c>
      <c r="T39" s="46">
        <f t="shared" si="7"/>
        <v>75</v>
      </c>
      <c r="U39" s="46">
        <f t="shared" si="8"/>
        <v>60</v>
      </c>
      <c r="V39" s="46">
        <f>IFERROR(VLOOKUP(A39,'[2]MC Masterlist 2026-09-11'!$B:$L, 9, 0),0)</f>
        <v>90</v>
      </c>
      <c r="W39" s="46">
        <f t="shared" si="9"/>
        <v>1.3333333333333335</v>
      </c>
      <c r="X39" s="46">
        <f t="shared" si="10"/>
        <v>3.3333333333333335</v>
      </c>
      <c r="Y39" s="46">
        <f t="shared" si="11"/>
        <v>2.666666666666667</v>
      </c>
      <c r="Z39" s="46">
        <f t="shared" si="12"/>
        <v>4</v>
      </c>
      <c r="AA39" s="44" t="str">
        <f t="shared" si="13"/>
        <v>Over</v>
      </c>
      <c r="AB39" s="46">
        <f>IFERROR(VLOOKUP(A39,'[2]PO Balance'!$A:$C, 3, 0),0)</f>
        <v>11</v>
      </c>
      <c r="AC39" s="43"/>
      <c r="AD39" s="46">
        <f t="shared" si="14"/>
        <v>46</v>
      </c>
      <c r="AE39" s="46">
        <f t="shared" si="15"/>
        <v>1035</v>
      </c>
      <c r="AF39" s="44" t="str">
        <f t="shared" si="16"/>
        <v>Over</v>
      </c>
      <c r="AG39" s="46">
        <f t="shared" si="17"/>
        <v>14.333333333333334</v>
      </c>
    </row>
    <row r="40" spans="1:33">
      <c r="A40" s="43" t="s">
        <v>57</v>
      </c>
      <c r="B40" s="44" t="str">
        <f>IFERROR(VLOOKUP(A40,'[2]Class ABC'!$A:$I, 9, 0),"")</f>
        <v/>
      </c>
      <c r="C40" s="44" t="str">
        <f>IFERROR(VLOOKUP(A40,'[2]Class ABC'!$A:$I, 6, 0),"")</f>
        <v/>
      </c>
      <c r="D40" s="44" t="str">
        <f>IFERROR(CONCATENATE("Class ", VLOOKUP(A40,'[2]Class ABC'!$A:$I, 8, 0)),"Class C")</f>
        <v>Class C</v>
      </c>
      <c r="E40" s="43" t="str">
        <f>IFERROR(VLOOKUP(A40,'[2]MC Masterlist 2026-09-11'!$B:$M, 3, 0),"")</f>
        <v>HONDA</v>
      </c>
      <c r="F40" s="45">
        <f>IFERROR(VLOOKUP(A40,'[2]MC Masterlist 2026-09-11'!$B:$M, 6, 0),"")</f>
        <v>146328</v>
      </c>
      <c r="G40" s="46">
        <f>SUMIF('[2]Raw Sales'!$B:$B, A40, '[2]Raw Sales'!$I:$I)</f>
        <v>0</v>
      </c>
      <c r="H40" s="46">
        <f>SUMIF('[2]Raw Sales'!$B:$B, A40, '[2]Raw Sales'!$H:$H)</f>
        <v>0</v>
      </c>
      <c r="I40" s="46">
        <f>SUMIF('[2]Raw Sales'!$B:$B, A40, '[2]Raw Sales'!$G:$G)</f>
        <v>0</v>
      </c>
      <c r="J40" s="46">
        <f t="shared" si="0"/>
        <v>0</v>
      </c>
      <c r="K40" s="46">
        <f t="shared" si="1"/>
        <v>0</v>
      </c>
      <c r="L40" s="45">
        <f t="shared" si="2"/>
        <v>0</v>
      </c>
      <c r="M40" s="45">
        <f t="shared" si="3"/>
        <v>0</v>
      </c>
      <c r="N40" s="46">
        <f t="shared" si="4"/>
        <v>0</v>
      </c>
      <c r="O40" s="46">
        <f>SUMIF('[2]Raw Inventory'!$B:$B, A40, '[2]Raw Inventory'!$D:$D)</f>
        <v>4</v>
      </c>
      <c r="P40" s="45">
        <f t="shared" si="5"/>
        <v>585312</v>
      </c>
      <c r="Q40" s="46" t="str">
        <f t="shared" si="6"/>
        <v/>
      </c>
      <c r="R40" s="46">
        <f>IFERROR(VLOOKUP(A40,'[2]MC Masterlist 2026-09-11'!$B:$M, 7, 0),0)</f>
        <v>45</v>
      </c>
      <c r="S40" s="46">
        <f>IFERROR(VLOOKUP(A40,'[2]MC Masterlist 2026-09-11'!$B:$M, 8, 0),0)</f>
        <v>30</v>
      </c>
      <c r="T40" s="46">
        <f t="shared" si="7"/>
        <v>75</v>
      </c>
      <c r="U40" s="46">
        <f t="shared" si="8"/>
        <v>60</v>
      </c>
      <c r="V40" s="46">
        <f>IFERROR(VLOOKUP(A40,'[2]MC Masterlist 2026-09-11'!$B:$L, 9, 0),0)</f>
        <v>90</v>
      </c>
      <c r="W40" s="46">
        <f t="shared" si="9"/>
        <v>0</v>
      </c>
      <c r="X40" s="46">
        <f t="shared" si="10"/>
        <v>0</v>
      </c>
      <c r="Y40" s="46">
        <f t="shared" si="11"/>
        <v>0</v>
      </c>
      <c r="Z40" s="46">
        <f t="shared" si="12"/>
        <v>0</v>
      </c>
      <c r="AA40" s="44" t="str">
        <f t="shared" si="13"/>
        <v>Over</v>
      </c>
      <c r="AB40" s="46">
        <f>IFERROR(VLOOKUP(A40,'[2]PO Balance'!$A:$C, 3, 0),0)</f>
        <v>0</v>
      </c>
      <c r="AC40" s="43"/>
      <c r="AD40" s="46">
        <f t="shared" si="14"/>
        <v>4</v>
      </c>
      <c r="AE40" s="46">
        <f t="shared" si="15"/>
        <v>0</v>
      </c>
      <c r="AF40" s="44" t="str">
        <f t="shared" si="16"/>
        <v>Over</v>
      </c>
      <c r="AG40" s="46">
        <f t="shared" si="17"/>
        <v>0</v>
      </c>
    </row>
    <row r="41" spans="1:33">
      <c r="A41" s="43" t="s">
        <v>67</v>
      </c>
      <c r="B41" s="44" t="str">
        <f>IFERROR(VLOOKUP(A41,'[2]Class ABC'!$A:$I, 9, 0),"")</f>
        <v>C15</v>
      </c>
      <c r="C41" s="44">
        <f>IFERROR(VLOOKUP(A41,'[2]Class ABC'!$A:$I, 6, 0),"")</f>
        <v>44</v>
      </c>
      <c r="D41" s="44" t="str">
        <f>IFERROR(CONCATENATE("Class ", VLOOKUP(A41,'[2]Class ABC'!$A:$I, 8, 0)),"Class C")</f>
        <v>Class C</v>
      </c>
      <c r="E41" s="43" t="str">
        <f>IFERROR(VLOOKUP(A41,'[2]MC Masterlist 2026-09-11'!$B:$M, 3, 0),"")</f>
        <v>YAMAHA</v>
      </c>
      <c r="F41" s="45">
        <f>IFERROR(VLOOKUP(A41,'[2]MC Masterlist 2026-09-11'!$B:$M, 6, 0),"")</f>
        <v>86397</v>
      </c>
      <c r="G41" s="46">
        <f>SUMIF('[2]Raw Sales'!$B:$B, A41, '[2]Raw Sales'!$I:$I)</f>
        <v>4</v>
      </c>
      <c r="H41" s="46">
        <f>SUMIF('[2]Raw Sales'!$B:$B, A41, '[2]Raw Sales'!$H:$H)</f>
        <v>2</v>
      </c>
      <c r="I41" s="46">
        <f>SUMIF('[2]Raw Sales'!$B:$B, A41, '[2]Raw Sales'!$G:$G)</f>
        <v>5</v>
      </c>
      <c r="J41" s="46">
        <f t="shared" si="0"/>
        <v>11</v>
      </c>
      <c r="K41" s="46">
        <f t="shared" si="1"/>
        <v>3.6666666666666665</v>
      </c>
      <c r="L41" s="45">
        <f t="shared" si="2"/>
        <v>950367</v>
      </c>
      <c r="M41" s="45">
        <f t="shared" si="3"/>
        <v>316789</v>
      </c>
      <c r="N41" s="46">
        <f t="shared" si="4"/>
        <v>0.12222222222222222</v>
      </c>
      <c r="O41" s="46">
        <f>SUMIF('[2]Raw Inventory'!$B:$B, A41, '[2]Raw Inventory'!$D:$D)</f>
        <v>9</v>
      </c>
      <c r="P41" s="45">
        <f t="shared" si="5"/>
        <v>777573</v>
      </c>
      <c r="Q41" s="46">
        <f t="shared" si="6"/>
        <v>73.63636363636364</v>
      </c>
      <c r="R41" s="46">
        <f>IFERROR(VLOOKUP(A41,'[2]MC Masterlist 2026-09-11'!$B:$M, 7, 0),0)</f>
        <v>45</v>
      </c>
      <c r="S41" s="46">
        <f>IFERROR(VLOOKUP(A41,'[2]MC Masterlist 2026-09-11'!$B:$M, 8, 0),0)</f>
        <v>30</v>
      </c>
      <c r="T41" s="46">
        <f t="shared" si="7"/>
        <v>75</v>
      </c>
      <c r="U41" s="46">
        <f t="shared" si="8"/>
        <v>60</v>
      </c>
      <c r="V41" s="46">
        <f>IFERROR(VLOOKUP(A41,'[2]MC Masterlist 2026-09-11'!$B:$L, 9, 0),0)</f>
        <v>90</v>
      </c>
      <c r="W41" s="46">
        <f t="shared" si="9"/>
        <v>3.6666666666666665</v>
      </c>
      <c r="X41" s="46">
        <f t="shared" si="10"/>
        <v>9.1666666666666661</v>
      </c>
      <c r="Y41" s="46">
        <f t="shared" si="11"/>
        <v>7.333333333333333</v>
      </c>
      <c r="Z41" s="46">
        <f t="shared" si="12"/>
        <v>11</v>
      </c>
      <c r="AA41" s="44" t="str">
        <f t="shared" si="13"/>
        <v>Re-order</v>
      </c>
      <c r="AB41" s="46">
        <f>IFERROR(VLOOKUP(A41,'[2]PO Balance'!$A:$C, 3, 0),0)</f>
        <v>5</v>
      </c>
      <c r="AC41" s="43"/>
      <c r="AD41" s="46">
        <f t="shared" si="14"/>
        <v>14</v>
      </c>
      <c r="AE41" s="46">
        <f t="shared" si="15"/>
        <v>114.54545454545455</v>
      </c>
      <c r="AF41" s="44" t="str">
        <f t="shared" si="16"/>
        <v>Over</v>
      </c>
      <c r="AG41" s="46">
        <f t="shared" si="17"/>
        <v>14.166666666666666</v>
      </c>
    </row>
    <row r="42" spans="1:33">
      <c r="A42" s="43" t="s">
        <v>34</v>
      </c>
      <c r="B42" s="44" t="str">
        <f>IFERROR(VLOOKUP(A42,'[2]Class ABC'!$A:$I, 9, 0),"")</f>
        <v>B19</v>
      </c>
      <c r="C42" s="44">
        <f>IFERROR(VLOOKUP(A42,'[2]Class ABC'!$A:$I, 6, 0),"")</f>
        <v>28</v>
      </c>
      <c r="D42" s="44" t="str">
        <f>IFERROR(CONCATENATE("Class ", VLOOKUP(A42,'[2]Class ABC'!$A:$I, 8, 0)),"Class C")</f>
        <v>Class B</v>
      </c>
      <c r="E42" s="43" t="str">
        <f>IFERROR(VLOOKUP(A42,'[2]MC Masterlist 2026-09-11'!$B:$M, 3, 0),"")</f>
        <v>HONDA</v>
      </c>
      <c r="F42" s="45">
        <f>IFERROR(VLOOKUP(A42,'[2]MC Masterlist 2026-09-11'!$B:$M, 6, 0),"")</f>
        <v>101230</v>
      </c>
      <c r="G42" s="46">
        <f>SUMIF('[2]Raw Sales'!$B:$B, A42, '[2]Raw Sales'!$I:$I)</f>
        <v>21</v>
      </c>
      <c r="H42" s="46">
        <f>SUMIF('[2]Raw Sales'!$B:$B, A42, '[2]Raw Sales'!$H:$H)</f>
        <v>0</v>
      </c>
      <c r="I42" s="46">
        <f>SUMIF('[2]Raw Sales'!$B:$B, A42, '[2]Raw Sales'!$G:$G)</f>
        <v>12</v>
      </c>
      <c r="J42" s="46">
        <f t="shared" si="0"/>
        <v>33</v>
      </c>
      <c r="K42" s="46">
        <f t="shared" si="1"/>
        <v>11</v>
      </c>
      <c r="L42" s="45">
        <f t="shared" si="2"/>
        <v>3340590</v>
      </c>
      <c r="M42" s="45">
        <f t="shared" si="3"/>
        <v>1113530</v>
      </c>
      <c r="N42" s="46">
        <f t="shared" si="4"/>
        <v>0.36666666666666664</v>
      </c>
      <c r="O42" s="46">
        <f>SUMIF('[2]Raw Inventory'!$B:$B, A42, '[2]Raw Inventory'!$D:$D)</f>
        <v>2</v>
      </c>
      <c r="P42" s="45">
        <f t="shared" si="5"/>
        <v>202460</v>
      </c>
      <c r="Q42" s="46">
        <f t="shared" si="6"/>
        <v>5.454545454545455</v>
      </c>
      <c r="R42" s="46">
        <f>IFERROR(VLOOKUP(A42,'[2]MC Masterlist 2026-09-11'!$B:$M, 7, 0),0)</f>
        <v>45</v>
      </c>
      <c r="S42" s="46">
        <f>IFERROR(VLOOKUP(A42,'[2]MC Masterlist 2026-09-11'!$B:$M, 8, 0),0)</f>
        <v>30</v>
      </c>
      <c r="T42" s="46">
        <f t="shared" si="7"/>
        <v>75</v>
      </c>
      <c r="U42" s="46">
        <f t="shared" si="8"/>
        <v>60</v>
      </c>
      <c r="V42" s="46">
        <f>IFERROR(VLOOKUP(A42,'[2]MC Masterlist 2026-09-11'!$B:$L, 9, 0),0)</f>
        <v>90</v>
      </c>
      <c r="W42" s="46">
        <f t="shared" si="9"/>
        <v>11</v>
      </c>
      <c r="X42" s="46">
        <f t="shared" si="10"/>
        <v>27.499999999999996</v>
      </c>
      <c r="Y42" s="46">
        <f t="shared" si="11"/>
        <v>22</v>
      </c>
      <c r="Z42" s="46">
        <f t="shared" si="12"/>
        <v>33</v>
      </c>
      <c r="AA42" s="44" t="str">
        <f t="shared" si="13"/>
        <v>Stockout</v>
      </c>
      <c r="AB42" s="46">
        <f>IFERROR(VLOOKUP(A42,'[2]PO Balance'!$A:$C, 3, 0),0)</f>
        <v>47</v>
      </c>
      <c r="AC42" s="43"/>
      <c r="AD42" s="46">
        <f t="shared" si="14"/>
        <v>49</v>
      </c>
      <c r="AE42" s="46">
        <f t="shared" si="15"/>
        <v>133.63636363636365</v>
      </c>
      <c r="AF42" s="44" t="str">
        <f t="shared" si="16"/>
        <v>Over</v>
      </c>
      <c r="AG42" s="46">
        <f t="shared" si="17"/>
        <v>74.5</v>
      </c>
    </row>
    <row r="43" spans="1:33">
      <c r="A43" s="43" t="s">
        <v>148</v>
      </c>
      <c r="B43" s="44" t="str">
        <f>IFERROR(VLOOKUP(A43,'[2]Class ABC'!$A:$I, 9, 0),"")</f>
        <v>C41</v>
      </c>
      <c r="C43" s="44">
        <f>IFERROR(VLOOKUP(A43,'[2]Class ABC'!$A:$I, 6, 0),"")</f>
        <v>70</v>
      </c>
      <c r="D43" s="44" t="str">
        <f>IFERROR(CONCATENATE("Class ", VLOOKUP(A43,'[2]Class ABC'!$A:$I, 8, 0)),"Class C")</f>
        <v>Class C</v>
      </c>
      <c r="E43" s="43" t="str">
        <f>IFERROR(VLOOKUP(A43,'[2]MC Masterlist 2026-09-11'!$B:$M, 3, 0),"")</f>
        <v>SUZUKI</v>
      </c>
      <c r="F43" s="45">
        <f>IFERROR(VLOOKUP(A43,'[2]MC Masterlist 2026-09-11'!$B:$M, 6, 0),"")</f>
        <v>101752</v>
      </c>
      <c r="G43" s="46">
        <f>SUMIF('[2]Raw Sales'!$B:$B, A43, '[2]Raw Sales'!$I:$I)</f>
        <v>1</v>
      </c>
      <c r="H43" s="46">
        <f>SUMIF('[2]Raw Sales'!$B:$B, A43, '[2]Raw Sales'!$H:$H)</f>
        <v>0</v>
      </c>
      <c r="I43" s="46">
        <f>SUMIF('[2]Raw Sales'!$B:$B, A43, '[2]Raw Sales'!$G:$G)</f>
        <v>1</v>
      </c>
      <c r="J43" s="46">
        <f t="shared" si="0"/>
        <v>2</v>
      </c>
      <c r="K43" s="46">
        <f t="shared" si="1"/>
        <v>0.66666666666666663</v>
      </c>
      <c r="L43" s="45">
        <f t="shared" si="2"/>
        <v>203504</v>
      </c>
      <c r="M43" s="45">
        <f t="shared" si="3"/>
        <v>67834.666666666657</v>
      </c>
      <c r="N43" s="46">
        <f t="shared" si="4"/>
        <v>2.2222222222222223E-2</v>
      </c>
      <c r="O43" s="46">
        <f>SUMIF('[2]Raw Inventory'!$B:$B, A43, '[2]Raw Inventory'!$D:$D)</f>
        <v>0</v>
      </c>
      <c r="P43" s="45">
        <f t="shared" si="5"/>
        <v>0</v>
      </c>
      <c r="Q43" s="46">
        <f t="shared" si="6"/>
        <v>0</v>
      </c>
      <c r="R43" s="46">
        <f>IFERROR(VLOOKUP(A43,'[2]MC Masterlist 2026-09-11'!$B:$M, 7, 0),0)</f>
        <v>45</v>
      </c>
      <c r="S43" s="46">
        <f>IFERROR(VLOOKUP(A43,'[2]MC Masterlist 2026-09-11'!$B:$M, 8, 0),0)</f>
        <v>30</v>
      </c>
      <c r="T43" s="46">
        <f t="shared" si="7"/>
        <v>75</v>
      </c>
      <c r="U43" s="46">
        <f t="shared" si="8"/>
        <v>60</v>
      </c>
      <c r="V43" s="46">
        <f>IFERROR(VLOOKUP(A43,'[2]MC Masterlist 2026-09-11'!$B:$L, 9, 0),0)</f>
        <v>90</v>
      </c>
      <c r="W43" s="46">
        <f t="shared" si="9"/>
        <v>0.66666666666666674</v>
      </c>
      <c r="X43" s="46">
        <f t="shared" si="10"/>
        <v>1.6666666666666667</v>
      </c>
      <c r="Y43" s="46">
        <f t="shared" si="11"/>
        <v>1.3333333333333335</v>
      </c>
      <c r="Z43" s="46">
        <f t="shared" si="12"/>
        <v>2</v>
      </c>
      <c r="AA43" s="44" t="str">
        <f t="shared" si="13"/>
        <v>Stockout</v>
      </c>
      <c r="AB43" s="46">
        <f>IFERROR(VLOOKUP(A43,'[2]PO Balance'!$A:$C, 3, 0),0)</f>
        <v>1</v>
      </c>
      <c r="AC43" s="43"/>
      <c r="AD43" s="46">
        <f t="shared" si="14"/>
        <v>1</v>
      </c>
      <c r="AE43" s="46">
        <f t="shared" si="15"/>
        <v>45</v>
      </c>
      <c r="AF43" s="44" t="str">
        <f t="shared" si="16"/>
        <v>Re-order</v>
      </c>
      <c r="AG43" s="46">
        <f t="shared" si="17"/>
        <v>2.666666666666667</v>
      </c>
    </row>
    <row r="44" spans="1:33">
      <c r="A44" s="43" t="s">
        <v>103</v>
      </c>
      <c r="B44" s="44" t="str">
        <f>IFERROR(VLOOKUP(A44,'[2]Class ABC'!$A:$I, 9, 0),"")</f>
        <v/>
      </c>
      <c r="C44" s="44" t="str">
        <f>IFERROR(VLOOKUP(A44,'[2]Class ABC'!$A:$I, 6, 0),"")</f>
        <v/>
      </c>
      <c r="D44" s="44" t="str">
        <f>IFERROR(CONCATENATE("Class ", VLOOKUP(A44,'[2]Class ABC'!$A:$I, 8, 0)),"Class C")</f>
        <v>Class C</v>
      </c>
      <c r="E44" s="43" t="str">
        <f>IFERROR(VLOOKUP(A44,'[2]MC Masterlist 2026-09-11'!$B:$M, 3, 0),"")</f>
        <v>SUZUKI</v>
      </c>
      <c r="F44" s="45">
        <f>IFERROR(VLOOKUP(A44,'[2]MC Masterlist 2026-09-11'!$B:$M, 6, 0),"")</f>
        <v>172897</v>
      </c>
      <c r="G44" s="46">
        <f>SUMIF('[2]Raw Sales'!$B:$B, A44, '[2]Raw Sales'!$I:$I)</f>
        <v>0</v>
      </c>
      <c r="H44" s="46">
        <f>SUMIF('[2]Raw Sales'!$B:$B, A44, '[2]Raw Sales'!$H:$H)</f>
        <v>0</v>
      </c>
      <c r="I44" s="46">
        <f>SUMIF('[2]Raw Sales'!$B:$B, A44, '[2]Raw Sales'!$G:$G)</f>
        <v>0</v>
      </c>
      <c r="J44" s="46">
        <f t="shared" si="0"/>
        <v>0</v>
      </c>
      <c r="K44" s="46">
        <f t="shared" si="1"/>
        <v>0</v>
      </c>
      <c r="L44" s="45">
        <f t="shared" si="2"/>
        <v>0</v>
      </c>
      <c r="M44" s="45">
        <f t="shared" si="3"/>
        <v>0</v>
      </c>
      <c r="N44" s="46">
        <f t="shared" si="4"/>
        <v>0</v>
      </c>
      <c r="O44" s="46">
        <f>SUMIF('[2]Raw Inventory'!$B:$B, A44, '[2]Raw Inventory'!$D:$D)</f>
        <v>1</v>
      </c>
      <c r="P44" s="45">
        <f t="shared" si="5"/>
        <v>172897</v>
      </c>
      <c r="Q44" s="46" t="str">
        <f t="shared" si="6"/>
        <v/>
      </c>
      <c r="R44" s="46">
        <f>IFERROR(VLOOKUP(A44,'[2]MC Masterlist 2026-09-11'!$B:$M, 7, 0),0)</f>
        <v>45</v>
      </c>
      <c r="S44" s="46">
        <f>IFERROR(VLOOKUP(A44,'[2]MC Masterlist 2026-09-11'!$B:$M, 8, 0),0)</f>
        <v>30</v>
      </c>
      <c r="T44" s="46">
        <f t="shared" si="7"/>
        <v>75</v>
      </c>
      <c r="U44" s="46">
        <f t="shared" si="8"/>
        <v>60</v>
      </c>
      <c r="V44" s="46">
        <f>IFERROR(VLOOKUP(A44,'[2]MC Masterlist 2026-09-11'!$B:$L, 9, 0),0)</f>
        <v>90</v>
      </c>
      <c r="W44" s="46">
        <f t="shared" si="9"/>
        <v>0</v>
      </c>
      <c r="X44" s="46">
        <f t="shared" si="10"/>
        <v>0</v>
      </c>
      <c r="Y44" s="46">
        <f t="shared" si="11"/>
        <v>0</v>
      </c>
      <c r="Z44" s="46">
        <f t="shared" si="12"/>
        <v>0</v>
      </c>
      <c r="AA44" s="44" t="str">
        <f t="shared" si="13"/>
        <v>Over</v>
      </c>
      <c r="AB44" s="46">
        <f>IFERROR(VLOOKUP(A44,'[2]PO Balance'!$A:$C, 3, 0),0)</f>
        <v>0</v>
      </c>
      <c r="AC44" s="43"/>
      <c r="AD44" s="46">
        <f t="shared" si="14"/>
        <v>1</v>
      </c>
      <c r="AE44" s="46">
        <f t="shared" si="15"/>
        <v>0</v>
      </c>
      <c r="AF44" s="44" t="str">
        <f t="shared" si="16"/>
        <v>Over</v>
      </c>
      <c r="AG44" s="46">
        <f t="shared" si="17"/>
        <v>0</v>
      </c>
    </row>
    <row r="45" spans="1:33">
      <c r="A45" s="43" t="s">
        <v>322</v>
      </c>
      <c r="B45" s="44" t="str">
        <f>IFERROR(VLOOKUP(A45,'[2]Class ABC'!$A:$I, 9, 0),"")</f>
        <v/>
      </c>
      <c r="C45" s="44" t="str">
        <f>IFERROR(VLOOKUP(A45,'[2]Class ABC'!$A:$I, 6, 0),"")</f>
        <v/>
      </c>
      <c r="D45" s="44" t="str">
        <f>IFERROR(CONCATENATE("Class ", VLOOKUP(A45,'[2]Class ABC'!$A:$I, 8, 0)),"Class C")</f>
        <v>Class C</v>
      </c>
      <c r="E45" s="43" t="str">
        <f>IFERROR(VLOOKUP(A45,'[2]MC Masterlist 2026-09-11'!$B:$M, 3, 0),"")</f>
        <v>SUZUKI</v>
      </c>
      <c r="F45" s="45">
        <f>IFERROR(VLOOKUP(A45,'[2]MC Masterlist 2026-09-11'!$B:$M, 6, 0),"")</f>
        <v>182197</v>
      </c>
      <c r="G45" s="46">
        <f>SUMIF('[2]Raw Sales'!$B:$B, A45, '[2]Raw Sales'!$I:$I)</f>
        <v>0</v>
      </c>
      <c r="H45" s="46">
        <f>SUMIF('[2]Raw Sales'!$B:$B, A45, '[2]Raw Sales'!$H:$H)</f>
        <v>0</v>
      </c>
      <c r="I45" s="46">
        <f>SUMIF('[2]Raw Sales'!$B:$B, A45, '[2]Raw Sales'!$G:$G)</f>
        <v>0</v>
      </c>
      <c r="J45" s="46">
        <f t="shared" si="0"/>
        <v>0</v>
      </c>
      <c r="K45" s="46">
        <f t="shared" si="1"/>
        <v>0</v>
      </c>
      <c r="L45" s="45">
        <f t="shared" si="2"/>
        <v>0</v>
      </c>
      <c r="M45" s="45">
        <f t="shared" si="3"/>
        <v>0</v>
      </c>
      <c r="N45" s="46">
        <f t="shared" si="4"/>
        <v>0</v>
      </c>
      <c r="O45" s="46">
        <f>SUMIF('[2]Raw Inventory'!$B:$B, A45, '[2]Raw Inventory'!$D:$D)</f>
        <v>0</v>
      </c>
      <c r="P45" s="45">
        <f t="shared" si="5"/>
        <v>0</v>
      </c>
      <c r="Q45" s="46" t="str">
        <f t="shared" si="6"/>
        <v/>
      </c>
      <c r="R45" s="46">
        <f>IFERROR(VLOOKUP(A45,'[2]MC Masterlist 2026-09-11'!$B:$M, 7, 0),0)</f>
        <v>45</v>
      </c>
      <c r="S45" s="46">
        <f>IFERROR(VLOOKUP(A45,'[2]MC Masterlist 2026-09-11'!$B:$M, 8, 0),0)</f>
        <v>30</v>
      </c>
      <c r="T45" s="46">
        <f t="shared" si="7"/>
        <v>75</v>
      </c>
      <c r="U45" s="46">
        <f t="shared" si="8"/>
        <v>60</v>
      </c>
      <c r="V45" s="46">
        <f>IFERROR(VLOOKUP(A45,'[2]MC Masterlist 2026-09-11'!$B:$L, 9, 0),0)</f>
        <v>90</v>
      </c>
      <c r="W45" s="46">
        <f t="shared" si="9"/>
        <v>0</v>
      </c>
      <c r="X45" s="46">
        <f t="shared" si="10"/>
        <v>0</v>
      </c>
      <c r="Y45" s="46">
        <f t="shared" si="11"/>
        <v>0</v>
      </c>
      <c r="Z45" s="46">
        <f t="shared" si="12"/>
        <v>0</v>
      </c>
      <c r="AA45" s="44" t="str">
        <f t="shared" si="13"/>
        <v>Stockout</v>
      </c>
      <c r="AB45" s="46">
        <f>IFERROR(VLOOKUP(A45,'[2]PO Balance'!$A:$C, 3, 0),0)</f>
        <v>0</v>
      </c>
      <c r="AC45" s="43"/>
      <c r="AD45" s="46">
        <f t="shared" si="14"/>
        <v>0</v>
      </c>
      <c r="AE45" s="46">
        <f t="shared" si="15"/>
        <v>0</v>
      </c>
      <c r="AF45" s="44" t="str">
        <f t="shared" si="16"/>
        <v>Stockout</v>
      </c>
      <c r="AG45" s="46">
        <f t="shared" si="17"/>
        <v>0</v>
      </c>
    </row>
    <row r="46" spans="1:33">
      <c r="A46" s="43" t="s">
        <v>124</v>
      </c>
      <c r="B46" s="44" t="str">
        <f>IFERROR(VLOOKUP(A46,'[2]Class ABC'!$A:$I, 9, 0),"")</f>
        <v>C49</v>
      </c>
      <c r="C46" s="44">
        <f>IFERROR(VLOOKUP(A46,'[2]Class ABC'!$A:$I, 6, 0),"")</f>
        <v>78</v>
      </c>
      <c r="D46" s="44" t="str">
        <f>IFERROR(CONCATENATE("Class ", VLOOKUP(A46,'[2]Class ABC'!$A:$I, 8, 0)),"Class C")</f>
        <v>Class C</v>
      </c>
      <c r="E46" s="43" t="str">
        <f>IFERROR(VLOOKUP(A46,'[2]MC Masterlist 2026-09-11'!$B:$M, 3, 0),"")</f>
        <v>SKYGO</v>
      </c>
      <c r="F46" s="45">
        <f>IFERROR(VLOOKUP(A46,'[2]MC Masterlist 2026-09-11'!$B:$M, 6, 0),"")</f>
        <v>36765</v>
      </c>
      <c r="G46" s="46">
        <f>SUMIF('[2]Raw Sales'!$B:$B, A46, '[2]Raw Sales'!$I:$I)</f>
        <v>0</v>
      </c>
      <c r="H46" s="46">
        <f>SUMIF('[2]Raw Sales'!$B:$B, A46, '[2]Raw Sales'!$H:$H)</f>
        <v>0</v>
      </c>
      <c r="I46" s="46">
        <f>SUMIF('[2]Raw Sales'!$B:$B, A46, '[2]Raw Sales'!$G:$G)</f>
        <v>1</v>
      </c>
      <c r="J46" s="46">
        <f t="shared" si="0"/>
        <v>1</v>
      </c>
      <c r="K46" s="46">
        <f t="shared" si="1"/>
        <v>0.33333333333333331</v>
      </c>
      <c r="L46" s="45">
        <f t="shared" si="2"/>
        <v>36765</v>
      </c>
      <c r="M46" s="45">
        <f t="shared" si="3"/>
        <v>12255</v>
      </c>
      <c r="N46" s="46">
        <f t="shared" si="4"/>
        <v>1.1111111111111112E-2</v>
      </c>
      <c r="O46" s="46">
        <f>SUMIF('[2]Raw Inventory'!$B:$B, A46, '[2]Raw Inventory'!$D:$D)</f>
        <v>2</v>
      </c>
      <c r="P46" s="45">
        <f t="shared" si="5"/>
        <v>73530</v>
      </c>
      <c r="Q46" s="46">
        <f t="shared" si="6"/>
        <v>180</v>
      </c>
      <c r="R46" s="46">
        <f>IFERROR(VLOOKUP(A46,'[2]MC Masterlist 2026-09-11'!$B:$M, 7, 0),0)</f>
        <v>45</v>
      </c>
      <c r="S46" s="46">
        <f>IFERROR(VLOOKUP(A46,'[2]MC Masterlist 2026-09-11'!$B:$M, 8, 0),0)</f>
        <v>30</v>
      </c>
      <c r="T46" s="46">
        <f t="shared" si="7"/>
        <v>75</v>
      </c>
      <c r="U46" s="46">
        <f t="shared" si="8"/>
        <v>60</v>
      </c>
      <c r="V46" s="46">
        <f>IFERROR(VLOOKUP(A46,'[2]MC Masterlist 2026-09-11'!$B:$L, 9, 0),0)</f>
        <v>90</v>
      </c>
      <c r="W46" s="46">
        <f t="shared" si="9"/>
        <v>0.33333333333333337</v>
      </c>
      <c r="X46" s="46">
        <f t="shared" si="10"/>
        <v>0.83333333333333337</v>
      </c>
      <c r="Y46" s="46">
        <f t="shared" si="11"/>
        <v>0.66666666666666674</v>
      </c>
      <c r="Z46" s="46">
        <f t="shared" si="12"/>
        <v>1</v>
      </c>
      <c r="AA46" s="44" t="str">
        <f t="shared" si="13"/>
        <v>Over</v>
      </c>
      <c r="AB46" s="46">
        <f>IFERROR(VLOOKUP(A46,'[2]PO Balance'!$A:$C, 3, 0),0)</f>
        <v>0</v>
      </c>
      <c r="AC46" s="43"/>
      <c r="AD46" s="46">
        <f t="shared" si="14"/>
        <v>2</v>
      </c>
      <c r="AE46" s="46">
        <f t="shared" si="15"/>
        <v>180</v>
      </c>
      <c r="AF46" s="44" t="str">
        <f t="shared" si="16"/>
        <v>Over</v>
      </c>
      <c r="AG46" s="46">
        <f t="shared" si="17"/>
        <v>0.83333333333333337</v>
      </c>
    </row>
    <row r="47" spans="1:33">
      <c r="A47" s="43" t="s">
        <v>323</v>
      </c>
      <c r="B47" s="44" t="str">
        <f>IFERROR(VLOOKUP(A47,'[2]Class ABC'!$A:$I, 9, 0),"")</f>
        <v/>
      </c>
      <c r="C47" s="44" t="str">
        <f>IFERROR(VLOOKUP(A47,'[2]Class ABC'!$A:$I, 6, 0),"")</f>
        <v/>
      </c>
      <c r="D47" s="44" t="str">
        <f>IFERROR(CONCATENATE("Class ", VLOOKUP(A47,'[2]Class ABC'!$A:$I, 8, 0)),"Class C")</f>
        <v>Class C</v>
      </c>
      <c r="E47" s="43" t="str">
        <f>IFERROR(VLOOKUP(A47,'[2]MC Masterlist 2026-09-11'!$B:$M, 3, 0),"")</f>
        <v>KAWASAKI</v>
      </c>
      <c r="F47" s="45">
        <f>IFERROR(VLOOKUP(A47,'[2]MC Masterlist 2026-09-11'!$B:$M, 6, 0),"")</f>
        <v>154280</v>
      </c>
      <c r="G47" s="46">
        <f>SUMIF('[2]Raw Sales'!$B:$B, A47, '[2]Raw Sales'!$I:$I)</f>
        <v>0</v>
      </c>
      <c r="H47" s="46">
        <f>SUMIF('[2]Raw Sales'!$B:$B, A47, '[2]Raw Sales'!$H:$H)</f>
        <v>0</v>
      </c>
      <c r="I47" s="46">
        <f>SUMIF('[2]Raw Sales'!$B:$B, A47, '[2]Raw Sales'!$G:$G)</f>
        <v>0</v>
      </c>
      <c r="J47" s="46">
        <f t="shared" si="0"/>
        <v>0</v>
      </c>
      <c r="K47" s="46">
        <f t="shared" si="1"/>
        <v>0</v>
      </c>
      <c r="L47" s="45">
        <f t="shared" si="2"/>
        <v>0</v>
      </c>
      <c r="M47" s="45">
        <f t="shared" si="3"/>
        <v>0</v>
      </c>
      <c r="N47" s="46">
        <f t="shared" si="4"/>
        <v>0</v>
      </c>
      <c r="O47" s="46">
        <f>SUMIF('[2]Raw Inventory'!$B:$B, A47, '[2]Raw Inventory'!$D:$D)</f>
        <v>0</v>
      </c>
      <c r="P47" s="45">
        <f t="shared" si="5"/>
        <v>0</v>
      </c>
      <c r="Q47" s="46" t="str">
        <f t="shared" si="6"/>
        <v/>
      </c>
      <c r="R47" s="46">
        <f>IFERROR(VLOOKUP(A47,'[2]MC Masterlist 2026-09-11'!$B:$M, 7, 0),0)</f>
        <v>45</v>
      </c>
      <c r="S47" s="46">
        <f>IFERROR(VLOOKUP(A47,'[2]MC Masterlist 2026-09-11'!$B:$M, 8, 0),0)</f>
        <v>30</v>
      </c>
      <c r="T47" s="46">
        <f t="shared" si="7"/>
        <v>75</v>
      </c>
      <c r="U47" s="46">
        <f t="shared" si="8"/>
        <v>60</v>
      </c>
      <c r="V47" s="46">
        <f>IFERROR(VLOOKUP(A47,'[2]MC Masterlist 2026-09-11'!$B:$L, 9, 0),0)</f>
        <v>90</v>
      </c>
      <c r="W47" s="46">
        <f t="shared" si="9"/>
        <v>0</v>
      </c>
      <c r="X47" s="46">
        <f t="shared" si="10"/>
        <v>0</v>
      </c>
      <c r="Y47" s="46">
        <f t="shared" si="11"/>
        <v>0</v>
      </c>
      <c r="Z47" s="46">
        <f t="shared" si="12"/>
        <v>0</v>
      </c>
      <c r="AA47" s="44" t="str">
        <f t="shared" si="13"/>
        <v>Stockout</v>
      </c>
      <c r="AB47" s="46">
        <f>IFERROR(VLOOKUP(A47,'[2]PO Balance'!$A:$C, 3, 0),0)</f>
        <v>2</v>
      </c>
      <c r="AC47" s="43"/>
      <c r="AD47" s="46">
        <f t="shared" si="14"/>
        <v>2</v>
      </c>
      <c r="AE47" s="46">
        <f t="shared" si="15"/>
        <v>0</v>
      </c>
      <c r="AF47" s="44" t="str">
        <f t="shared" si="16"/>
        <v>Over</v>
      </c>
      <c r="AG47" s="46">
        <f t="shared" si="17"/>
        <v>2</v>
      </c>
    </row>
    <row r="48" spans="1:33">
      <c r="A48" s="43" t="s">
        <v>24</v>
      </c>
      <c r="B48" s="44" t="str">
        <f>IFERROR(VLOOKUP(A48,'[2]Class ABC'!$A:$I, 9, 0),"")</f>
        <v>B2</v>
      </c>
      <c r="C48" s="44">
        <f>IFERROR(VLOOKUP(A48,'[2]Class ABC'!$A:$I, 6, 0),"")</f>
        <v>11</v>
      </c>
      <c r="D48" s="44" t="str">
        <f>IFERROR(CONCATENATE("Class ", VLOOKUP(A48,'[2]Class ABC'!$A:$I, 8, 0)),"Class C")</f>
        <v>Class B</v>
      </c>
      <c r="E48" s="43" t="str">
        <f>IFERROR(VLOOKUP(A48,'[2]MC Masterlist 2026-09-11'!$B:$M, 3, 0),"")</f>
        <v>KAWASAKI</v>
      </c>
      <c r="F48" s="45">
        <f>IFERROR(VLOOKUP(A48,'[2]MC Masterlist 2026-09-11'!$B:$M, 6, 0),"")</f>
        <v>131626</v>
      </c>
      <c r="G48" s="46">
        <f>SUMIF('[2]Raw Sales'!$B:$B, A48, '[2]Raw Sales'!$I:$I)</f>
        <v>68</v>
      </c>
      <c r="H48" s="46">
        <f>SUMIF('[2]Raw Sales'!$B:$B, A48, '[2]Raw Sales'!$H:$H)</f>
        <v>52</v>
      </c>
      <c r="I48" s="46">
        <f>SUMIF('[2]Raw Sales'!$B:$B, A48, '[2]Raw Sales'!$G:$G)</f>
        <v>58</v>
      </c>
      <c r="J48" s="46">
        <f t="shared" si="0"/>
        <v>178</v>
      </c>
      <c r="K48" s="46">
        <f t="shared" si="1"/>
        <v>59.333333333333336</v>
      </c>
      <c r="L48" s="45">
        <f t="shared" si="2"/>
        <v>23429428</v>
      </c>
      <c r="M48" s="45">
        <f t="shared" si="3"/>
        <v>7809809.333333334</v>
      </c>
      <c r="N48" s="46">
        <f t="shared" si="4"/>
        <v>1.9777777777777779</v>
      </c>
      <c r="O48" s="46">
        <f>SUMIF('[2]Raw Inventory'!$B:$B, A48, '[2]Raw Inventory'!$D:$D)</f>
        <v>76</v>
      </c>
      <c r="P48" s="45">
        <f t="shared" si="5"/>
        <v>10003576</v>
      </c>
      <c r="Q48" s="46">
        <f t="shared" si="6"/>
        <v>38.426966292134829</v>
      </c>
      <c r="R48" s="46">
        <f>IFERROR(VLOOKUP(A48,'[2]MC Masterlist 2026-09-11'!$B:$M, 7, 0),0)</f>
        <v>45</v>
      </c>
      <c r="S48" s="46">
        <f>IFERROR(VLOOKUP(A48,'[2]MC Masterlist 2026-09-11'!$B:$M, 8, 0),0)</f>
        <v>30</v>
      </c>
      <c r="T48" s="46">
        <f t="shared" si="7"/>
        <v>75</v>
      </c>
      <c r="U48" s="46">
        <f t="shared" si="8"/>
        <v>60</v>
      </c>
      <c r="V48" s="46">
        <f>IFERROR(VLOOKUP(A48,'[2]MC Masterlist 2026-09-11'!$B:$L, 9, 0),0)</f>
        <v>90</v>
      </c>
      <c r="W48" s="46">
        <f t="shared" si="9"/>
        <v>59.333333333333336</v>
      </c>
      <c r="X48" s="46">
        <f t="shared" si="10"/>
        <v>148.33333333333334</v>
      </c>
      <c r="Y48" s="46">
        <f t="shared" si="11"/>
        <v>118.66666666666667</v>
      </c>
      <c r="Z48" s="46">
        <f t="shared" si="12"/>
        <v>178</v>
      </c>
      <c r="AA48" s="44" t="str">
        <f t="shared" si="13"/>
        <v>Re-order</v>
      </c>
      <c r="AB48" s="46">
        <f>IFERROR(VLOOKUP(A48,'[2]PO Balance'!$A:$C, 3, 0),0)</f>
        <v>174</v>
      </c>
      <c r="AC48" s="43"/>
      <c r="AD48" s="46">
        <f t="shared" si="14"/>
        <v>250</v>
      </c>
      <c r="AE48" s="46">
        <f t="shared" si="15"/>
        <v>126.40449438202246</v>
      </c>
      <c r="AF48" s="44" t="str">
        <f t="shared" si="16"/>
        <v>Over</v>
      </c>
      <c r="AG48" s="46">
        <f t="shared" si="17"/>
        <v>322.33333333333337</v>
      </c>
    </row>
    <row r="49" spans="1:33">
      <c r="A49" s="43" t="s">
        <v>126</v>
      </c>
      <c r="B49" s="44" t="str">
        <f>IFERROR(VLOOKUP(A49,'[2]Class ABC'!$A:$I, 9, 0),"")</f>
        <v/>
      </c>
      <c r="C49" s="44" t="str">
        <f>IFERROR(VLOOKUP(A49,'[2]Class ABC'!$A:$I, 6, 0),"")</f>
        <v/>
      </c>
      <c r="D49" s="44" t="str">
        <f>IFERROR(CONCATENATE("Class ", VLOOKUP(A49,'[2]Class ABC'!$A:$I, 8, 0)),"Class C")</f>
        <v>Class C</v>
      </c>
      <c r="E49" s="43" t="str">
        <f>IFERROR(VLOOKUP(A49,'[2]MC Masterlist 2026-09-11'!$B:$M, 3, 0),"")</f>
        <v>KAWASAKI</v>
      </c>
      <c r="F49" s="45">
        <f>IFERROR(VLOOKUP(A49,'[2]MC Masterlist 2026-09-11'!$B:$M, 6, 0),"")</f>
        <v>134000</v>
      </c>
      <c r="G49" s="46">
        <f>SUMIF('[2]Raw Sales'!$B:$B, A49, '[2]Raw Sales'!$I:$I)</f>
        <v>0</v>
      </c>
      <c r="H49" s="46">
        <f>SUMIF('[2]Raw Sales'!$B:$B, A49, '[2]Raw Sales'!$H:$H)</f>
        <v>0</v>
      </c>
      <c r="I49" s="46">
        <f>SUMIF('[2]Raw Sales'!$B:$B, A49, '[2]Raw Sales'!$G:$G)</f>
        <v>0</v>
      </c>
      <c r="J49" s="46">
        <f t="shared" si="0"/>
        <v>0</v>
      </c>
      <c r="K49" s="46">
        <f t="shared" si="1"/>
        <v>0</v>
      </c>
      <c r="L49" s="45">
        <f t="shared" si="2"/>
        <v>0</v>
      </c>
      <c r="M49" s="45">
        <f t="shared" si="3"/>
        <v>0</v>
      </c>
      <c r="N49" s="46">
        <f t="shared" si="4"/>
        <v>0</v>
      </c>
      <c r="O49" s="46">
        <f>SUMIF('[2]Raw Inventory'!$B:$B, A49, '[2]Raw Inventory'!$D:$D)</f>
        <v>1</v>
      </c>
      <c r="P49" s="45">
        <f t="shared" si="5"/>
        <v>134000</v>
      </c>
      <c r="Q49" s="46" t="str">
        <f t="shared" si="6"/>
        <v/>
      </c>
      <c r="R49" s="46">
        <f>IFERROR(VLOOKUP(A49,'[2]MC Masterlist 2026-09-11'!$B:$M, 7, 0),0)</f>
        <v>45</v>
      </c>
      <c r="S49" s="46">
        <f>IFERROR(VLOOKUP(A49,'[2]MC Masterlist 2026-09-11'!$B:$M, 8, 0),0)</f>
        <v>30</v>
      </c>
      <c r="T49" s="46">
        <f t="shared" si="7"/>
        <v>75</v>
      </c>
      <c r="U49" s="46">
        <f t="shared" si="8"/>
        <v>60</v>
      </c>
      <c r="V49" s="46">
        <f>IFERROR(VLOOKUP(A49,'[2]MC Masterlist 2026-09-11'!$B:$L, 9, 0),0)</f>
        <v>90</v>
      </c>
      <c r="W49" s="46">
        <f t="shared" si="9"/>
        <v>0</v>
      </c>
      <c r="X49" s="46">
        <f t="shared" si="10"/>
        <v>0</v>
      </c>
      <c r="Y49" s="46">
        <f t="shared" si="11"/>
        <v>0</v>
      </c>
      <c r="Z49" s="46">
        <f t="shared" si="12"/>
        <v>0</v>
      </c>
      <c r="AA49" s="44" t="str">
        <f t="shared" si="13"/>
        <v>Over</v>
      </c>
      <c r="AB49" s="46">
        <f>IFERROR(VLOOKUP(A49,'[2]PO Balance'!$A:$C, 3, 0),0)</f>
        <v>0</v>
      </c>
      <c r="AC49" s="43"/>
      <c r="AD49" s="46">
        <f t="shared" si="14"/>
        <v>1</v>
      </c>
      <c r="AE49" s="46">
        <f t="shared" si="15"/>
        <v>0</v>
      </c>
      <c r="AF49" s="44" t="str">
        <f t="shared" si="16"/>
        <v>Over</v>
      </c>
      <c r="AG49" s="46">
        <f t="shared" si="17"/>
        <v>0</v>
      </c>
    </row>
    <row r="50" spans="1:33">
      <c r="A50" s="43" t="s">
        <v>74</v>
      </c>
      <c r="B50" s="44" t="str">
        <f>IFERROR(VLOOKUP(A50,'[2]Class ABC'!$A:$I, 9, 0),"")</f>
        <v/>
      </c>
      <c r="C50" s="44" t="str">
        <f>IFERROR(VLOOKUP(A50,'[2]Class ABC'!$A:$I, 6, 0),"")</f>
        <v/>
      </c>
      <c r="D50" s="44" t="str">
        <f>IFERROR(CONCATENATE("Class ", VLOOKUP(A50,'[2]Class ABC'!$A:$I, 8, 0)),"Class C")</f>
        <v>Class C</v>
      </c>
      <c r="E50" s="43" t="str">
        <f>IFERROR(VLOOKUP(A50,'[2]MC Masterlist 2026-09-11'!$B:$M, 3, 0),"")</f>
        <v>SKYGO</v>
      </c>
      <c r="F50" s="45">
        <f>IFERROR(VLOOKUP(A50,'[2]MC Masterlist 2026-09-11'!$B:$M, 6, 0),"")</f>
        <v>98325</v>
      </c>
      <c r="G50" s="46">
        <f>SUMIF('[2]Raw Sales'!$B:$B, A50, '[2]Raw Sales'!$I:$I)</f>
        <v>0</v>
      </c>
      <c r="H50" s="46">
        <f>SUMIF('[2]Raw Sales'!$B:$B, A50, '[2]Raw Sales'!$H:$H)</f>
        <v>0</v>
      </c>
      <c r="I50" s="46">
        <f>SUMIF('[2]Raw Sales'!$B:$B, A50, '[2]Raw Sales'!$G:$G)</f>
        <v>0</v>
      </c>
      <c r="J50" s="46">
        <f t="shared" si="0"/>
        <v>0</v>
      </c>
      <c r="K50" s="46">
        <f t="shared" si="1"/>
        <v>0</v>
      </c>
      <c r="L50" s="45">
        <f t="shared" si="2"/>
        <v>0</v>
      </c>
      <c r="M50" s="45">
        <f t="shared" si="3"/>
        <v>0</v>
      </c>
      <c r="N50" s="46">
        <f t="shared" si="4"/>
        <v>0</v>
      </c>
      <c r="O50" s="46">
        <f>SUMIF('[2]Raw Inventory'!$B:$B, A50, '[2]Raw Inventory'!$D:$D)</f>
        <v>7</v>
      </c>
      <c r="P50" s="45">
        <f t="shared" si="5"/>
        <v>688275</v>
      </c>
      <c r="Q50" s="46" t="str">
        <f t="shared" si="6"/>
        <v/>
      </c>
      <c r="R50" s="46">
        <f>IFERROR(VLOOKUP(A50,'[2]MC Masterlist 2026-09-11'!$B:$M, 7, 0),0)</f>
        <v>45</v>
      </c>
      <c r="S50" s="46">
        <f>IFERROR(VLOOKUP(A50,'[2]MC Masterlist 2026-09-11'!$B:$M, 8, 0),0)</f>
        <v>30</v>
      </c>
      <c r="T50" s="46">
        <f t="shared" si="7"/>
        <v>75</v>
      </c>
      <c r="U50" s="46">
        <f t="shared" si="8"/>
        <v>60</v>
      </c>
      <c r="V50" s="46">
        <f>IFERROR(VLOOKUP(A50,'[2]MC Masterlist 2026-09-11'!$B:$L, 9, 0),0)</f>
        <v>90</v>
      </c>
      <c r="W50" s="46">
        <f t="shared" si="9"/>
        <v>0</v>
      </c>
      <c r="X50" s="46">
        <f t="shared" si="10"/>
        <v>0</v>
      </c>
      <c r="Y50" s="46">
        <f t="shared" si="11"/>
        <v>0</v>
      </c>
      <c r="Z50" s="46">
        <f t="shared" si="12"/>
        <v>0</v>
      </c>
      <c r="AA50" s="44" t="str">
        <f t="shared" si="13"/>
        <v>Over</v>
      </c>
      <c r="AB50" s="46">
        <f>IFERROR(VLOOKUP(A50,'[2]PO Balance'!$A:$C, 3, 0),0)</f>
        <v>0</v>
      </c>
      <c r="AC50" s="43"/>
      <c r="AD50" s="46">
        <f t="shared" si="14"/>
        <v>7</v>
      </c>
      <c r="AE50" s="46">
        <f t="shared" si="15"/>
        <v>0</v>
      </c>
      <c r="AF50" s="44" t="str">
        <f t="shared" si="16"/>
        <v>Over</v>
      </c>
      <c r="AG50" s="46">
        <f t="shared" si="17"/>
        <v>0</v>
      </c>
    </row>
    <row r="51" spans="1:33">
      <c r="A51" s="43" t="s">
        <v>41</v>
      </c>
      <c r="B51" s="44" t="str">
        <f>IFERROR(VLOOKUP(A51,'[2]Class ABC'!$A:$I, 9, 0),"")</f>
        <v>C24</v>
      </c>
      <c r="C51" s="44">
        <f>IFERROR(VLOOKUP(A51,'[2]Class ABC'!$A:$I, 6, 0),"")</f>
        <v>53</v>
      </c>
      <c r="D51" s="44" t="str">
        <f>IFERROR(CONCATENATE("Class ", VLOOKUP(A51,'[2]Class ABC'!$A:$I, 8, 0)),"Class C")</f>
        <v>Class C</v>
      </c>
      <c r="E51" s="43" t="str">
        <f>IFERROR(VLOOKUP(A51,'[2]MC Masterlist 2026-09-11'!$B:$M, 3, 0),"")</f>
        <v>YAMAHA</v>
      </c>
      <c r="F51" s="45">
        <f>IFERROR(VLOOKUP(A51,'[2]MC Masterlist 2026-09-11'!$B:$M, 6, 0),"")</f>
        <v>92907</v>
      </c>
      <c r="G51" s="46">
        <f>SUMIF('[2]Raw Sales'!$B:$B, A51, '[2]Raw Sales'!$I:$I)</f>
        <v>2</v>
      </c>
      <c r="H51" s="46">
        <f>SUMIF('[2]Raw Sales'!$B:$B, A51, '[2]Raw Sales'!$H:$H)</f>
        <v>4</v>
      </c>
      <c r="I51" s="46">
        <f>SUMIF('[2]Raw Sales'!$B:$B, A51, '[2]Raw Sales'!$G:$G)</f>
        <v>1</v>
      </c>
      <c r="J51" s="46">
        <f t="shared" si="0"/>
        <v>7</v>
      </c>
      <c r="K51" s="46">
        <f t="shared" si="1"/>
        <v>2.3333333333333335</v>
      </c>
      <c r="L51" s="45">
        <f t="shared" si="2"/>
        <v>650349</v>
      </c>
      <c r="M51" s="45">
        <f t="shared" si="3"/>
        <v>216783</v>
      </c>
      <c r="N51" s="46">
        <f t="shared" si="4"/>
        <v>7.7777777777777779E-2</v>
      </c>
      <c r="O51" s="46">
        <f>SUMIF('[2]Raw Inventory'!$B:$B, A51, '[2]Raw Inventory'!$D:$D)</f>
        <v>16</v>
      </c>
      <c r="P51" s="45">
        <f t="shared" si="5"/>
        <v>1486512</v>
      </c>
      <c r="Q51" s="46">
        <f t="shared" si="6"/>
        <v>205.71428571428569</v>
      </c>
      <c r="R51" s="46">
        <f>IFERROR(VLOOKUP(A51,'[2]MC Masterlist 2026-09-11'!$B:$M, 7, 0),0)</f>
        <v>45</v>
      </c>
      <c r="S51" s="46">
        <f>IFERROR(VLOOKUP(A51,'[2]MC Masterlist 2026-09-11'!$B:$M, 8, 0),0)</f>
        <v>30</v>
      </c>
      <c r="T51" s="46">
        <f t="shared" si="7"/>
        <v>75</v>
      </c>
      <c r="U51" s="46">
        <f t="shared" si="8"/>
        <v>60</v>
      </c>
      <c r="V51" s="46">
        <f>IFERROR(VLOOKUP(A51,'[2]MC Masterlist 2026-09-11'!$B:$L, 9, 0),0)</f>
        <v>90</v>
      </c>
      <c r="W51" s="46">
        <f t="shared" si="9"/>
        <v>2.3333333333333335</v>
      </c>
      <c r="X51" s="46">
        <f t="shared" si="10"/>
        <v>5.833333333333333</v>
      </c>
      <c r="Y51" s="46">
        <f t="shared" si="11"/>
        <v>4.666666666666667</v>
      </c>
      <c r="Z51" s="46">
        <f t="shared" si="12"/>
        <v>7</v>
      </c>
      <c r="AA51" s="44" t="str">
        <f t="shared" si="13"/>
        <v>Over</v>
      </c>
      <c r="AB51" s="46">
        <f>IFERROR(VLOOKUP(A51,'[2]PO Balance'!$A:$C, 3, 0),0)</f>
        <v>0</v>
      </c>
      <c r="AC51" s="43"/>
      <c r="AD51" s="46">
        <f t="shared" si="14"/>
        <v>16</v>
      </c>
      <c r="AE51" s="46">
        <f t="shared" si="15"/>
        <v>205.71428571428572</v>
      </c>
      <c r="AF51" s="44" t="str">
        <f t="shared" si="16"/>
        <v>Over</v>
      </c>
      <c r="AG51" s="46">
        <f t="shared" si="17"/>
        <v>5.833333333333333</v>
      </c>
    </row>
    <row r="52" spans="1:33">
      <c r="A52" s="43" t="s">
        <v>101</v>
      </c>
      <c r="B52" s="44" t="str">
        <f>IFERROR(VLOOKUP(A52,'[2]Class ABC'!$A:$I, 9, 0),"")</f>
        <v>C32</v>
      </c>
      <c r="C52" s="44">
        <f>IFERROR(VLOOKUP(A52,'[2]Class ABC'!$A:$I, 6, 0),"")</f>
        <v>61</v>
      </c>
      <c r="D52" s="44" t="str">
        <f>IFERROR(CONCATENATE("Class ", VLOOKUP(A52,'[2]Class ABC'!$A:$I, 8, 0)),"Class C")</f>
        <v>Class C</v>
      </c>
      <c r="E52" s="43" t="str">
        <f>IFERROR(VLOOKUP(A52,'[2]MC Masterlist 2026-09-11'!$B:$M, 3, 0),"")</f>
        <v>BAJAJ RE</v>
      </c>
      <c r="F52" s="45">
        <f>IFERROR(VLOOKUP(A52,'[2]MC Masterlist 2026-09-11'!$B:$M, 6, 0),"")</f>
        <v>221800</v>
      </c>
      <c r="G52" s="46">
        <f>SUMIF('[2]Raw Sales'!$B:$B, A52, '[2]Raw Sales'!$I:$I)</f>
        <v>2</v>
      </c>
      <c r="H52" s="46">
        <f>SUMIF('[2]Raw Sales'!$B:$B, A52, '[2]Raw Sales'!$H:$H)</f>
        <v>0</v>
      </c>
      <c r="I52" s="46">
        <f>SUMIF('[2]Raw Sales'!$B:$B, A52, '[2]Raw Sales'!$G:$G)</f>
        <v>0</v>
      </c>
      <c r="J52" s="46">
        <f t="shared" si="0"/>
        <v>2</v>
      </c>
      <c r="K52" s="46">
        <f t="shared" si="1"/>
        <v>0.66666666666666663</v>
      </c>
      <c r="L52" s="45">
        <f t="shared" si="2"/>
        <v>443600</v>
      </c>
      <c r="M52" s="45">
        <f t="shared" si="3"/>
        <v>147866.66666666666</v>
      </c>
      <c r="N52" s="46">
        <f t="shared" si="4"/>
        <v>2.2222222222222223E-2</v>
      </c>
      <c r="O52" s="46">
        <f>SUMIF('[2]Raw Inventory'!$B:$B, A52, '[2]Raw Inventory'!$D:$D)</f>
        <v>2</v>
      </c>
      <c r="P52" s="45">
        <f t="shared" si="5"/>
        <v>443600</v>
      </c>
      <c r="Q52" s="46">
        <f t="shared" si="6"/>
        <v>90</v>
      </c>
      <c r="R52" s="46">
        <f>IFERROR(VLOOKUP(A52,'[2]MC Masterlist 2026-09-11'!$B:$M, 7, 0),0)</f>
        <v>45</v>
      </c>
      <c r="S52" s="46">
        <f>IFERROR(VLOOKUP(A52,'[2]MC Masterlist 2026-09-11'!$B:$M, 8, 0),0)</f>
        <v>30</v>
      </c>
      <c r="T52" s="46">
        <f t="shared" si="7"/>
        <v>75</v>
      </c>
      <c r="U52" s="46">
        <f t="shared" si="8"/>
        <v>60</v>
      </c>
      <c r="V52" s="46">
        <f>IFERROR(VLOOKUP(A52,'[2]MC Masterlist 2026-09-11'!$B:$L, 9, 0),0)</f>
        <v>90</v>
      </c>
      <c r="W52" s="46">
        <f t="shared" si="9"/>
        <v>0.66666666666666674</v>
      </c>
      <c r="X52" s="46">
        <f t="shared" si="10"/>
        <v>1.6666666666666667</v>
      </c>
      <c r="Y52" s="46">
        <f t="shared" si="11"/>
        <v>1.3333333333333335</v>
      </c>
      <c r="Z52" s="46">
        <f t="shared" si="12"/>
        <v>2</v>
      </c>
      <c r="AA52" s="44" t="str">
        <f t="shared" si="13"/>
        <v/>
      </c>
      <c r="AB52" s="46">
        <f>IFERROR(VLOOKUP(A52,'[2]PO Balance'!$A:$C, 3, 0),0)</f>
        <v>0</v>
      </c>
      <c r="AC52" s="43"/>
      <c r="AD52" s="46">
        <f t="shared" si="14"/>
        <v>2</v>
      </c>
      <c r="AE52" s="46">
        <f t="shared" si="15"/>
        <v>90</v>
      </c>
      <c r="AF52" s="44" t="str">
        <f t="shared" si="16"/>
        <v/>
      </c>
      <c r="AG52" s="46">
        <f t="shared" si="17"/>
        <v>1.6666666666666667</v>
      </c>
    </row>
    <row r="53" spans="1:33">
      <c r="A53" s="43" t="s">
        <v>100</v>
      </c>
      <c r="B53" s="44" t="str">
        <f>IFERROR(VLOOKUP(A53,'[2]Class ABC'!$A:$I, 9, 0),"")</f>
        <v>C12</v>
      </c>
      <c r="C53" s="44">
        <f>IFERROR(VLOOKUP(A53,'[2]Class ABC'!$A:$I, 6, 0),"")</f>
        <v>41</v>
      </c>
      <c r="D53" s="44" t="str">
        <f>IFERROR(CONCATENATE("Class ", VLOOKUP(A53,'[2]Class ABC'!$A:$I, 8, 0)),"Class C")</f>
        <v>Class C</v>
      </c>
      <c r="E53" s="43" t="str">
        <f>IFERROR(VLOOKUP(A53,'[2]MC Masterlist 2026-09-11'!$B:$M, 3, 0),"")</f>
        <v>BAJAJ RE</v>
      </c>
      <c r="F53" s="45">
        <f>IFERROR(VLOOKUP(A53,'[2]MC Masterlist 2026-09-11'!$B:$M, 6, 0),"")</f>
        <v>225800</v>
      </c>
      <c r="G53" s="46">
        <f>SUMIF('[2]Raw Sales'!$B:$B, A53, '[2]Raw Sales'!$I:$I)</f>
        <v>1</v>
      </c>
      <c r="H53" s="46">
        <f>SUMIF('[2]Raw Sales'!$B:$B, A53, '[2]Raw Sales'!$H:$H)</f>
        <v>1</v>
      </c>
      <c r="I53" s="46">
        <f>SUMIF('[2]Raw Sales'!$B:$B, A53, '[2]Raw Sales'!$G:$G)</f>
        <v>3</v>
      </c>
      <c r="J53" s="46">
        <f t="shared" si="0"/>
        <v>5</v>
      </c>
      <c r="K53" s="46">
        <f t="shared" si="1"/>
        <v>1.6666666666666667</v>
      </c>
      <c r="L53" s="45">
        <f t="shared" si="2"/>
        <v>1129000</v>
      </c>
      <c r="M53" s="45">
        <f t="shared" si="3"/>
        <v>376333.33333333337</v>
      </c>
      <c r="N53" s="46">
        <f t="shared" si="4"/>
        <v>5.5555555555555552E-2</v>
      </c>
      <c r="O53" s="46">
        <f>SUMIF('[2]Raw Inventory'!$B:$B, A53, '[2]Raw Inventory'!$D:$D)</f>
        <v>1</v>
      </c>
      <c r="P53" s="45">
        <f t="shared" si="5"/>
        <v>225800</v>
      </c>
      <c r="Q53" s="46">
        <f t="shared" si="6"/>
        <v>18</v>
      </c>
      <c r="R53" s="46">
        <f>IFERROR(VLOOKUP(A53,'[2]MC Masterlist 2026-09-11'!$B:$M, 7, 0),0)</f>
        <v>45</v>
      </c>
      <c r="S53" s="46">
        <f>IFERROR(VLOOKUP(A53,'[2]MC Masterlist 2026-09-11'!$B:$M, 8, 0),0)</f>
        <v>30</v>
      </c>
      <c r="T53" s="46">
        <f t="shared" si="7"/>
        <v>75</v>
      </c>
      <c r="U53" s="46">
        <f t="shared" si="8"/>
        <v>60</v>
      </c>
      <c r="V53" s="46">
        <f>IFERROR(VLOOKUP(A53,'[2]MC Masterlist 2026-09-11'!$B:$L, 9, 0),0)</f>
        <v>90</v>
      </c>
      <c r="W53" s="46">
        <f t="shared" si="9"/>
        <v>1.6666666666666665</v>
      </c>
      <c r="X53" s="46">
        <f t="shared" si="10"/>
        <v>4.1666666666666661</v>
      </c>
      <c r="Y53" s="46">
        <f t="shared" si="11"/>
        <v>3.333333333333333</v>
      </c>
      <c r="Z53" s="46">
        <f t="shared" si="12"/>
        <v>5</v>
      </c>
      <c r="AA53" s="44" t="str">
        <f t="shared" si="13"/>
        <v>Stockout</v>
      </c>
      <c r="AB53" s="46">
        <f>IFERROR(VLOOKUP(A53,'[2]PO Balance'!$A:$C, 3, 0),0)</f>
        <v>0</v>
      </c>
      <c r="AC53" s="43"/>
      <c r="AD53" s="46">
        <f t="shared" si="14"/>
        <v>1</v>
      </c>
      <c r="AE53" s="46">
        <f t="shared" si="15"/>
        <v>18</v>
      </c>
      <c r="AF53" s="44" t="str">
        <f t="shared" si="16"/>
        <v>Stockout</v>
      </c>
      <c r="AG53" s="46">
        <f t="shared" si="17"/>
        <v>4.1666666666666661</v>
      </c>
    </row>
    <row r="54" spans="1:33">
      <c r="A54" s="43" t="s">
        <v>25</v>
      </c>
      <c r="B54" s="44" t="str">
        <f>IFERROR(VLOOKUP(A54,'[2]Class ABC'!$A:$I, 9, 0),"")</f>
        <v>A9</v>
      </c>
      <c r="C54" s="44">
        <f>IFERROR(VLOOKUP(A54,'[2]Class ABC'!$A:$I, 6, 0),"")</f>
        <v>9</v>
      </c>
      <c r="D54" s="44" t="str">
        <f>IFERROR(CONCATENATE("Class ", VLOOKUP(A54,'[2]Class ABC'!$A:$I, 8, 0)),"Class C")</f>
        <v>Class A</v>
      </c>
      <c r="E54" s="43" t="str">
        <f>IFERROR(VLOOKUP(A54,'[2]MC Masterlist 2026-09-11'!$B:$M, 3, 0),"")</f>
        <v>YAMAHA</v>
      </c>
      <c r="F54" s="45">
        <f>IFERROR(VLOOKUP(A54,'[2]MC Masterlist 2026-09-11'!$B:$M, 6, 0),"")</f>
        <v>124527</v>
      </c>
      <c r="G54" s="46">
        <f>SUMIF('[2]Raw Sales'!$B:$B, A54, '[2]Raw Sales'!$I:$I)</f>
        <v>93</v>
      </c>
      <c r="H54" s="46">
        <f>SUMIF('[2]Raw Sales'!$B:$B, A54, '[2]Raw Sales'!$H:$H)</f>
        <v>69</v>
      </c>
      <c r="I54" s="46">
        <f>SUMIF('[2]Raw Sales'!$B:$B, A54, '[2]Raw Sales'!$G:$G)</f>
        <v>39</v>
      </c>
      <c r="J54" s="46">
        <f t="shared" si="0"/>
        <v>201</v>
      </c>
      <c r="K54" s="46">
        <f t="shared" si="1"/>
        <v>67</v>
      </c>
      <c r="L54" s="45">
        <f t="shared" si="2"/>
        <v>25029927</v>
      </c>
      <c r="M54" s="45">
        <f t="shared" si="3"/>
        <v>8343309</v>
      </c>
      <c r="N54" s="46">
        <f t="shared" si="4"/>
        <v>2.2333333333333334</v>
      </c>
      <c r="O54" s="46">
        <f>SUMIF('[2]Raw Inventory'!$B:$B, A54, '[2]Raw Inventory'!$D:$D)</f>
        <v>13</v>
      </c>
      <c r="P54" s="45">
        <f t="shared" si="5"/>
        <v>1618851</v>
      </c>
      <c r="Q54" s="46">
        <f t="shared" si="6"/>
        <v>5.8208955223880601</v>
      </c>
      <c r="R54" s="46">
        <f>IFERROR(VLOOKUP(A54,'[2]MC Masterlist 2026-09-11'!$B:$M, 7, 0),0)</f>
        <v>45</v>
      </c>
      <c r="S54" s="46">
        <f>IFERROR(VLOOKUP(A54,'[2]MC Masterlist 2026-09-11'!$B:$M, 8, 0),0)</f>
        <v>30</v>
      </c>
      <c r="T54" s="46">
        <f t="shared" si="7"/>
        <v>75</v>
      </c>
      <c r="U54" s="46">
        <f t="shared" si="8"/>
        <v>60</v>
      </c>
      <c r="V54" s="46">
        <f>IFERROR(VLOOKUP(A54,'[2]MC Masterlist 2026-09-11'!$B:$L, 9, 0),0)</f>
        <v>90</v>
      </c>
      <c r="W54" s="46">
        <f t="shared" si="9"/>
        <v>67</v>
      </c>
      <c r="X54" s="46">
        <f t="shared" si="10"/>
        <v>167.5</v>
      </c>
      <c r="Y54" s="46">
        <f t="shared" si="11"/>
        <v>134</v>
      </c>
      <c r="Z54" s="46">
        <f t="shared" si="12"/>
        <v>201</v>
      </c>
      <c r="AA54" s="44" t="str">
        <f t="shared" si="13"/>
        <v>Stockout</v>
      </c>
      <c r="AB54" s="46">
        <f>IFERROR(VLOOKUP(A54,'[2]PO Balance'!$A:$C, 3, 0),0)</f>
        <v>161</v>
      </c>
      <c r="AC54" s="43"/>
      <c r="AD54" s="46">
        <f t="shared" si="14"/>
        <v>174</v>
      </c>
      <c r="AE54" s="46">
        <f t="shared" si="15"/>
        <v>77.910447761194021</v>
      </c>
      <c r="AF54" s="44" t="str">
        <f t="shared" si="16"/>
        <v/>
      </c>
      <c r="AG54" s="46">
        <f t="shared" si="17"/>
        <v>328.5</v>
      </c>
    </row>
    <row r="55" spans="1:33">
      <c r="A55" s="43" t="s">
        <v>42</v>
      </c>
      <c r="B55" s="44" t="str">
        <f>IFERROR(VLOOKUP(A55,'[2]Class ABC'!$A:$I, 9, 0),"")</f>
        <v>B6</v>
      </c>
      <c r="C55" s="44">
        <f>IFERROR(VLOOKUP(A55,'[2]Class ABC'!$A:$I, 6, 0),"")</f>
        <v>15</v>
      </c>
      <c r="D55" s="44" t="str">
        <f>IFERROR(CONCATENATE("Class ", VLOOKUP(A55,'[2]Class ABC'!$A:$I, 8, 0)),"Class C")</f>
        <v>Class B</v>
      </c>
      <c r="E55" s="43" t="str">
        <f>IFERROR(VLOOKUP(A55,'[2]MC Masterlist 2026-09-11'!$B:$M, 3, 0),"")</f>
        <v>YAMAHA</v>
      </c>
      <c r="F55" s="45">
        <f>IFERROR(VLOOKUP(A55,'[2]MC Masterlist 2026-09-11'!$B:$M, 6, 0),"")</f>
        <v>152892</v>
      </c>
      <c r="G55" s="46">
        <f>SUMIF('[2]Raw Sales'!$B:$B, A55, '[2]Raw Sales'!$I:$I)</f>
        <v>14</v>
      </c>
      <c r="H55" s="46">
        <f>SUMIF('[2]Raw Sales'!$B:$B, A55, '[2]Raw Sales'!$H:$H)</f>
        <v>20</v>
      </c>
      <c r="I55" s="46">
        <f>SUMIF('[2]Raw Sales'!$B:$B, A55, '[2]Raw Sales'!$G:$G)</f>
        <v>36</v>
      </c>
      <c r="J55" s="46">
        <f t="shared" si="0"/>
        <v>70</v>
      </c>
      <c r="K55" s="46">
        <f t="shared" si="1"/>
        <v>23.333333333333332</v>
      </c>
      <c r="L55" s="45">
        <f t="shared" si="2"/>
        <v>10702440</v>
      </c>
      <c r="M55" s="45">
        <f t="shared" si="3"/>
        <v>3567480</v>
      </c>
      <c r="N55" s="46">
        <f t="shared" si="4"/>
        <v>0.77777777777777779</v>
      </c>
      <c r="O55" s="46">
        <f>SUMIF('[2]Raw Inventory'!$B:$B, A55, '[2]Raw Inventory'!$D:$D)</f>
        <v>79</v>
      </c>
      <c r="P55" s="45">
        <f t="shared" si="5"/>
        <v>12078468</v>
      </c>
      <c r="Q55" s="46">
        <f t="shared" si="6"/>
        <v>101.57142857142857</v>
      </c>
      <c r="R55" s="46">
        <f>IFERROR(VLOOKUP(A55,'[2]MC Masterlist 2026-09-11'!$B:$M, 7, 0),0)</f>
        <v>45</v>
      </c>
      <c r="S55" s="46">
        <f>IFERROR(VLOOKUP(A55,'[2]MC Masterlist 2026-09-11'!$B:$M, 8, 0),0)</f>
        <v>30</v>
      </c>
      <c r="T55" s="46">
        <f t="shared" si="7"/>
        <v>75</v>
      </c>
      <c r="U55" s="46">
        <f t="shared" si="8"/>
        <v>60</v>
      </c>
      <c r="V55" s="46">
        <f>IFERROR(VLOOKUP(A55,'[2]MC Masterlist 2026-09-11'!$B:$L, 9, 0),0)</f>
        <v>90</v>
      </c>
      <c r="W55" s="46">
        <f t="shared" si="9"/>
        <v>23.333333333333332</v>
      </c>
      <c r="X55" s="46">
        <f t="shared" si="10"/>
        <v>58.333333333333336</v>
      </c>
      <c r="Y55" s="46">
        <f t="shared" si="11"/>
        <v>46.666666666666664</v>
      </c>
      <c r="Z55" s="46">
        <f t="shared" si="12"/>
        <v>70</v>
      </c>
      <c r="AA55" s="44" t="str">
        <f t="shared" si="13"/>
        <v>Over</v>
      </c>
      <c r="AB55" s="46">
        <f>IFERROR(VLOOKUP(A55,'[2]PO Balance'!$A:$C, 3, 0),0)</f>
        <v>2</v>
      </c>
      <c r="AC55" s="43"/>
      <c r="AD55" s="46">
        <f t="shared" si="14"/>
        <v>81</v>
      </c>
      <c r="AE55" s="46">
        <f t="shared" si="15"/>
        <v>104.14285714285714</v>
      </c>
      <c r="AF55" s="44" t="str">
        <f t="shared" si="16"/>
        <v>Over</v>
      </c>
      <c r="AG55" s="46">
        <f t="shared" si="17"/>
        <v>60.333333333333336</v>
      </c>
    </row>
    <row r="56" spans="1:33">
      <c r="A56" s="43" t="s">
        <v>80</v>
      </c>
      <c r="B56" s="44" t="str">
        <f>IFERROR(VLOOKUP(A56,'[2]Class ABC'!$A:$I, 9, 0),"")</f>
        <v>C14</v>
      </c>
      <c r="C56" s="44">
        <f>IFERROR(VLOOKUP(A56,'[2]Class ABC'!$A:$I, 6, 0),"")</f>
        <v>43</v>
      </c>
      <c r="D56" s="44" t="str">
        <f>IFERROR(CONCATENATE("Class ", VLOOKUP(A56,'[2]Class ABC'!$A:$I, 8, 0)),"Class C")</f>
        <v>Class C</v>
      </c>
      <c r="E56" s="43" t="str">
        <f>IFERROR(VLOOKUP(A56,'[2]MC Masterlist 2026-09-11'!$B:$M, 3, 0),"")</f>
        <v>YAMAHA</v>
      </c>
      <c r="F56" s="45">
        <f>IFERROR(VLOOKUP(A56,'[2]MC Masterlist 2026-09-11'!$B:$M, 6, 0),"")</f>
        <v>73842</v>
      </c>
      <c r="G56" s="46">
        <f>SUMIF('[2]Raw Sales'!$B:$B, A56, '[2]Raw Sales'!$I:$I)</f>
        <v>8</v>
      </c>
      <c r="H56" s="46">
        <f>SUMIF('[2]Raw Sales'!$B:$B, A56, '[2]Raw Sales'!$H:$H)</f>
        <v>3</v>
      </c>
      <c r="I56" s="46">
        <f>SUMIF('[2]Raw Sales'!$B:$B, A56, '[2]Raw Sales'!$G:$G)</f>
        <v>2</v>
      </c>
      <c r="J56" s="46">
        <f t="shared" si="0"/>
        <v>13</v>
      </c>
      <c r="K56" s="46">
        <f t="shared" si="1"/>
        <v>4.333333333333333</v>
      </c>
      <c r="L56" s="45">
        <f t="shared" si="2"/>
        <v>959946</v>
      </c>
      <c r="M56" s="45">
        <f t="shared" si="3"/>
        <v>319982</v>
      </c>
      <c r="N56" s="46">
        <f t="shared" si="4"/>
        <v>0.14444444444444443</v>
      </c>
      <c r="O56" s="46">
        <f>SUMIF('[2]Raw Inventory'!$B:$B, A56, '[2]Raw Inventory'!$D:$D)</f>
        <v>9</v>
      </c>
      <c r="P56" s="45">
        <f t="shared" si="5"/>
        <v>664578</v>
      </c>
      <c r="Q56" s="46">
        <f t="shared" si="6"/>
        <v>62.307692307692314</v>
      </c>
      <c r="R56" s="46">
        <f>IFERROR(VLOOKUP(A56,'[2]MC Masterlist 2026-09-11'!$B:$M, 7, 0),0)</f>
        <v>45</v>
      </c>
      <c r="S56" s="46">
        <f>IFERROR(VLOOKUP(A56,'[2]MC Masterlist 2026-09-11'!$B:$M, 8, 0),0)</f>
        <v>30</v>
      </c>
      <c r="T56" s="46">
        <f t="shared" si="7"/>
        <v>75</v>
      </c>
      <c r="U56" s="46">
        <f t="shared" si="8"/>
        <v>60</v>
      </c>
      <c r="V56" s="46">
        <f>IFERROR(VLOOKUP(A56,'[2]MC Masterlist 2026-09-11'!$B:$L, 9, 0),0)</f>
        <v>90</v>
      </c>
      <c r="W56" s="46">
        <f t="shared" si="9"/>
        <v>4.333333333333333</v>
      </c>
      <c r="X56" s="46">
        <f t="shared" si="10"/>
        <v>10.833333333333332</v>
      </c>
      <c r="Y56" s="46">
        <f t="shared" si="11"/>
        <v>8.6666666666666661</v>
      </c>
      <c r="Z56" s="46">
        <f t="shared" si="12"/>
        <v>12.999999999999998</v>
      </c>
      <c r="AA56" s="44" t="str">
        <f t="shared" si="13"/>
        <v>Re-order</v>
      </c>
      <c r="AB56" s="46">
        <f>IFERROR(VLOOKUP(A56,'[2]PO Balance'!$A:$C, 3, 0),0)</f>
        <v>0</v>
      </c>
      <c r="AC56" s="43"/>
      <c r="AD56" s="46">
        <f t="shared" si="14"/>
        <v>9</v>
      </c>
      <c r="AE56" s="46">
        <f t="shared" si="15"/>
        <v>62.307692307692314</v>
      </c>
      <c r="AF56" s="44" t="str">
        <f t="shared" si="16"/>
        <v>Re-order</v>
      </c>
      <c r="AG56" s="46">
        <f t="shared" si="17"/>
        <v>10.833333333333332</v>
      </c>
    </row>
    <row r="57" spans="1:33">
      <c r="A57" s="43" t="s">
        <v>47</v>
      </c>
      <c r="B57" s="44" t="str">
        <f>IFERROR(VLOOKUP(A57,'[2]Class ABC'!$A:$I, 9, 0),"")</f>
        <v>C6</v>
      </c>
      <c r="C57" s="44">
        <f>IFERROR(VLOOKUP(A57,'[2]Class ABC'!$A:$I, 6, 0),"")</f>
        <v>35</v>
      </c>
      <c r="D57" s="44" t="str">
        <f>IFERROR(CONCATENATE("Class ", VLOOKUP(A57,'[2]Class ABC'!$A:$I, 8, 0)),"Class C")</f>
        <v>Class C</v>
      </c>
      <c r="E57" s="43" t="str">
        <f>IFERROR(VLOOKUP(A57,'[2]MC Masterlist 2026-09-11'!$B:$M, 3, 0),"")</f>
        <v>YAMAHA</v>
      </c>
      <c r="F57" s="45">
        <f>IFERROR(VLOOKUP(A57,'[2]MC Masterlist 2026-09-11'!$B:$M, 6, 0),"")</f>
        <v>76167</v>
      </c>
      <c r="G57" s="46">
        <f>SUMIF('[2]Raw Sales'!$B:$B, A57, '[2]Raw Sales'!$I:$I)</f>
        <v>1</v>
      </c>
      <c r="H57" s="46">
        <f>SUMIF('[2]Raw Sales'!$B:$B, A57, '[2]Raw Sales'!$H:$H)</f>
        <v>11</v>
      </c>
      <c r="I57" s="46">
        <f>SUMIF('[2]Raw Sales'!$B:$B, A57, '[2]Raw Sales'!$G:$G)</f>
        <v>13</v>
      </c>
      <c r="J57" s="46">
        <f t="shared" si="0"/>
        <v>25</v>
      </c>
      <c r="K57" s="46">
        <f t="shared" si="1"/>
        <v>8.3333333333333339</v>
      </c>
      <c r="L57" s="45">
        <f t="shared" si="2"/>
        <v>1904175</v>
      </c>
      <c r="M57" s="45">
        <f t="shared" si="3"/>
        <v>634725</v>
      </c>
      <c r="N57" s="46">
        <f t="shared" si="4"/>
        <v>0.27777777777777779</v>
      </c>
      <c r="O57" s="46">
        <f>SUMIF('[2]Raw Inventory'!$B:$B, A57, '[2]Raw Inventory'!$D:$D)</f>
        <v>26</v>
      </c>
      <c r="P57" s="45">
        <f t="shared" si="5"/>
        <v>1980342</v>
      </c>
      <c r="Q57" s="46">
        <f t="shared" si="6"/>
        <v>93.600000000000009</v>
      </c>
      <c r="R57" s="46">
        <f>IFERROR(VLOOKUP(A57,'[2]MC Masterlist 2026-09-11'!$B:$M, 7, 0),0)</f>
        <v>45</v>
      </c>
      <c r="S57" s="46">
        <f>IFERROR(VLOOKUP(A57,'[2]MC Masterlist 2026-09-11'!$B:$M, 8, 0),0)</f>
        <v>30</v>
      </c>
      <c r="T57" s="46">
        <f t="shared" si="7"/>
        <v>75</v>
      </c>
      <c r="U57" s="46">
        <f t="shared" si="8"/>
        <v>60</v>
      </c>
      <c r="V57" s="46">
        <f>IFERROR(VLOOKUP(A57,'[2]MC Masterlist 2026-09-11'!$B:$L, 9, 0),0)</f>
        <v>90</v>
      </c>
      <c r="W57" s="46">
        <f t="shared" si="9"/>
        <v>8.3333333333333339</v>
      </c>
      <c r="X57" s="46">
        <f t="shared" si="10"/>
        <v>20.833333333333336</v>
      </c>
      <c r="Y57" s="46">
        <f t="shared" si="11"/>
        <v>16.666666666666668</v>
      </c>
      <c r="Z57" s="46">
        <f t="shared" si="12"/>
        <v>25</v>
      </c>
      <c r="AA57" s="44" t="str">
        <f t="shared" si="13"/>
        <v>Over</v>
      </c>
      <c r="AB57" s="46">
        <f>IFERROR(VLOOKUP(A57,'[2]PO Balance'!$A:$C, 3, 0),0)</f>
        <v>17</v>
      </c>
      <c r="AC57" s="43"/>
      <c r="AD57" s="46">
        <f t="shared" si="14"/>
        <v>43</v>
      </c>
      <c r="AE57" s="46">
        <f t="shared" si="15"/>
        <v>154.79999999999998</v>
      </c>
      <c r="AF57" s="44" t="str">
        <f t="shared" si="16"/>
        <v>Over</v>
      </c>
      <c r="AG57" s="46">
        <f t="shared" si="17"/>
        <v>37.833333333333336</v>
      </c>
    </row>
    <row r="58" spans="1:33">
      <c r="A58" s="43" t="s">
        <v>50</v>
      </c>
      <c r="B58" s="44" t="str">
        <f>IFERROR(VLOOKUP(A58,'[2]Class ABC'!$A:$I, 9, 0),"")</f>
        <v>C3</v>
      </c>
      <c r="C58" s="44">
        <f>IFERROR(VLOOKUP(A58,'[2]Class ABC'!$A:$I, 6, 0),"")</f>
        <v>32</v>
      </c>
      <c r="D58" s="44" t="str">
        <f>IFERROR(CONCATENATE("Class ", VLOOKUP(A58,'[2]Class ABC'!$A:$I, 8, 0)),"Class C")</f>
        <v>Class C</v>
      </c>
      <c r="E58" s="43" t="str">
        <f>IFERROR(VLOOKUP(A58,'[2]MC Masterlist 2026-09-11'!$B:$M, 3, 0),"")</f>
        <v>YAMAHA</v>
      </c>
      <c r="F58" s="45">
        <f>IFERROR(VLOOKUP(A58,'[2]MC Masterlist 2026-09-11'!$B:$M, 6, 0),"")</f>
        <v>78957</v>
      </c>
      <c r="G58" s="46">
        <f>SUMIF('[2]Raw Sales'!$B:$B, A58, '[2]Raw Sales'!$I:$I)</f>
        <v>15</v>
      </c>
      <c r="H58" s="46">
        <f>SUMIF('[2]Raw Sales'!$B:$B, A58, '[2]Raw Sales'!$H:$H)</f>
        <v>9</v>
      </c>
      <c r="I58" s="46">
        <f>SUMIF('[2]Raw Sales'!$B:$B, A58, '[2]Raw Sales'!$G:$G)</f>
        <v>7</v>
      </c>
      <c r="J58" s="46">
        <f t="shared" si="0"/>
        <v>31</v>
      </c>
      <c r="K58" s="46">
        <f t="shared" si="1"/>
        <v>10.333333333333334</v>
      </c>
      <c r="L58" s="45">
        <f t="shared" si="2"/>
        <v>2447667</v>
      </c>
      <c r="M58" s="45">
        <f t="shared" si="3"/>
        <v>815889</v>
      </c>
      <c r="N58" s="46">
        <f t="shared" si="4"/>
        <v>0.34444444444444444</v>
      </c>
      <c r="O58" s="46">
        <f>SUMIF('[2]Raw Inventory'!$B:$B, A58, '[2]Raw Inventory'!$D:$D)</f>
        <v>42</v>
      </c>
      <c r="P58" s="45">
        <f t="shared" si="5"/>
        <v>3316194</v>
      </c>
      <c r="Q58" s="46">
        <f t="shared" si="6"/>
        <v>121.93548387096774</v>
      </c>
      <c r="R58" s="46">
        <f>IFERROR(VLOOKUP(A58,'[2]MC Masterlist 2026-09-11'!$B:$M, 7, 0),0)</f>
        <v>45</v>
      </c>
      <c r="S58" s="46">
        <f>IFERROR(VLOOKUP(A58,'[2]MC Masterlist 2026-09-11'!$B:$M, 8, 0),0)</f>
        <v>30</v>
      </c>
      <c r="T58" s="46">
        <f t="shared" si="7"/>
        <v>75</v>
      </c>
      <c r="U58" s="46">
        <f t="shared" si="8"/>
        <v>60</v>
      </c>
      <c r="V58" s="46">
        <f>IFERROR(VLOOKUP(A58,'[2]MC Masterlist 2026-09-11'!$B:$L, 9, 0),0)</f>
        <v>90</v>
      </c>
      <c r="W58" s="46">
        <f t="shared" si="9"/>
        <v>10.333333333333334</v>
      </c>
      <c r="X58" s="46">
        <f t="shared" si="10"/>
        <v>25.833333333333332</v>
      </c>
      <c r="Y58" s="46">
        <f t="shared" si="11"/>
        <v>20.666666666666668</v>
      </c>
      <c r="Z58" s="46">
        <f t="shared" si="12"/>
        <v>31</v>
      </c>
      <c r="AA58" s="44" t="str">
        <f t="shared" si="13"/>
        <v>Over</v>
      </c>
      <c r="AB58" s="46">
        <f>IFERROR(VLOOKUP(A58,'[2]PO Balance'!$A:$C, 3, 0),0)</f>
        <v>38</v>
      </c>
      <c r="AC58" s="43"/>
      <c r="AD58" s="46">
        <f t="shared" si="14"/>
        <v>80</v>
      </c>
      <c r="AE58" s="46">
        <f t="shared" si="15"/>
        <v>232.25806451612902</v>
      </c>
      <c r="AF58" s="44" t="str">
        <f t="shared" si="16"/>
        <v>Over</v>
      </c>
      <c r="AG58" s="46">
        <f t="shared" si="17"/>
        <v>63.833333333333329</v>
      </c>
    </row>
    <row r="59" spans="1:33">
      <c r="A59" s="43" t="s">
        <v>133</v>
      </c>
      <c r="B59" s="44" t="str">
        <f>IFERROR(VLOOKUP(A59,'[2]Class ABC'!$A:$I, 9, 0),"")</f>
        <v/>
      </c>
      <c r="C59" s="44" t="str">
        <f>IFERROR(VLOOKUP(A59,'[2]Class ABC'!$A:$I, 6, 0),"")</f>
        <v/>
      </c>
      <c r="D59" s="44" t="str">
        <f>IFERROR(CONCATENATE("Class ", VLOOKUP(A59,'[2]Class ABC'!$A:$I, 8, 0)),"Class C")</f>
        <v>Class C</v>
      </c>
      <c r="E59" s="43" t="str">
        <f>IFERROR(VLOOKUP(A59,'[2]MC Masterlist 2026-09-11'!$B:$M, 3, 0),"")</f>
        <v>YAMAHA</v>
      </c>
      <c r="F59" s="45">
        <f>IFERROR(VLOOKUP(A59,'[2]MC Masterlist 2026-09-11'!$B:$M, 6, 0),"")</f>
        <v>68727</v>
      </c>
      <c r="G59" s="46">
        <f>SUMIF('[2]Raw Sales'!$B:$B, A59, '[2]Raw Sales'!$I:$I)</f>
        <v>0</v>
      </c>
      <c r="H59" s="46">
        <f>SUMIF('[2]Raw Sales'!$B:$B, A59, '[2]Raw Sales'!$H:$H)</f>
        <v>0</v>
      </c>
      <c r="I59" s="46">
        <f>SUMIF('[2]Raw Sales'!$B:$B, A59, '[2]Raw Sales'!$G:$G)</f>
        <v>0</v>
      </c>
      <c r="J59" s="46">
        <f t="shared" si="0"/>
        <v>0</v>
      </c>
      <c r="K59" s="46">
        <f t="shared" si="1"/>
        <v>0</v>
      </c>
      <c r="L59" s="45">
        <f t="shared" si="2"/>
        <v>0</v>
      </c>
      <c r="M59" s="45">
        <f t="shared" si="3"/>
        <v>0</v>
      </c>
      <c r="N59" s="46">
        <f t="shared" si="4"/>
        <v>0</v>
      </c>
      <c r="O59" s="46">
        <f>SUMIF('[2]Raw Inventory'!$B:$B, A59, '[2]Raw Inventory'!$D:$D)</f>
        <v>2</v>
      </c>
      <c r="P59" s="45">
        <f t="shared" si="5"/>
        <v>137454</v>
      </c>
      <c r="Q59" s="46" t="str">
        <f t="shared" si="6"/>
        <v/>
      </c>
      <c r="R59" s="46">
        <f>IFERROR(VLOOKUP(A59,'[2]MC Masterlist 2026-09-11'!$B:$M, 7, 0),0)</f>
        <v>45</v>
      </c>
      <c r="S59" s="46">
        <f>IFERROR(VLOOKUP(A59,'[2]MC Masterlist 2026-09-11'!$B:$M, 8, 0),0)</f>
        <v>30</v>
      </c>
      <c r="T59" s="46">
        <f t="shared" si="7"/>
        <v>75</v>
      </c>
      <c r="U59" s="46">
        <f t="shared" si="8"/>
        <v>60</v>
      </c>
      <c r="V59" s="46">
        <f>IFERROR(VLOOKUP(A59,'[2]MC Masterlist 2026-09-11'!$B:$L, 9, 0),0)</f>
        <v>90</v>
      </c>
      <c r="W59" s="46">
        <f t="shared" si="9"/>
        <v>0</v>
      </c>
      <c r="X59" s="46">
        <f t="shared" si="10"/>
        <v>0</v>
      </c>
      <c r="Y59" s="46">
        <f t="shared" si="11"/>
        <v>0</v>
      </c>
      <c r="Z59" s="46">
        <f t="shared" si="12"/>
        <v>0</v>
      </c>
      <c r="AA59" s="44" t="str">
        <f t="shared" si="13"/>
        <v>Over</v>
      </c>
      <c r="AB59" s="46">
        <f>IFERROR(VLOOKUP(A59,'[2]PO Balance'!$A:$C, 3, 0),0)</f>
        <v>0</v>
      </c>
      <c r="AC59" s="43"/>
      <c r="AD59" s="46">
        <f t="shared" si="14"/>
        <v>2</v>
      </c>
      <c r="AE59" s="46">
        <f t="shared" si="15"/>
        <v>0</v>
      </c>
      <c r="AF59" s="44" t="str">
        <f t="shared" si="16"/>
        <v>Over</v>
      </c>
      <c r="AG59" s="46">
        <f t="shared" si="17"/>
        <v>0</v>
      </c>
    </row>
    <row r="60" spans="1:33">
      <c r="A60" s="43" t="s">
        <v>43</v>
      </c>
      <c r="B60" s="44" t="str">
        <f>IFERROR(VLOOKUP(A60,'[2]Class ABC'!$A:$I, 9, 0),"")</f>
        <v>B12</v>
      </c>
      <c r="C60" s="44">
        <f>IFERROR(VLOOKUP(A60,'[2]Class ABC'!$A:$I, 6, 0),"")</f>
        <v>21</v>
      </c>
      <c r="D60" s="44" t="str">
        <f>IFERROR(CONCATENATE("Class ", VLOOKUP(A60,'[2]Class ABC'!$A:$I, 8, 0)),"Class C")</f>
        <v>Class B</v>
      </c>
      <c r="E60" s="43" t="str">
        <f>IFERROR(VLOOKUP(A60,'[2]MC Masterlist 2026-09-11'!$B:$M, 3, 0),"")</f>
        <v>YAMAHA</v>
      </c>
      <c r="F60" s="45">
        <f>IFERROR(VLOOKUP(A60,'[2]MC Masterlist 2026-09-11'!$B:$M, 6, 0),"")</f>
        <v>70587</v>
      </c>
      <c r="G60" s="46">
        <f>SUMIF('[2]Raw Sales'!$B:$B, A60, '[2]Raw Sales'!$I:$I)</f>
        <v>34</v>
      </c>
      <c r="H60" s="46">
        <f>SUMIF('[2]Raw Sales'!$B:$B, A60, '[2]Raw Sales'!$H:$H)</f>
        <v>39</v>
      </c>
      <c r="I60" s="46">
        <f>SUMIF('[2]Raw Sales'!$B:$B, A60, '[2]Raw Sales'!$G:$G)</f>
        <v>22</v>
      </c>
      <c r="J60" s="46">
        <f t="shared" si="0"/>
        <v>95</v>
      </c>
      <c r="K60" s="46">
        <f t="shared" si="1"/>
        <v>31.666666666666668</v>
      </c>
      <c r="L60" s="45">
        <f t="shared" si="2"/>
        <v>6705765</v>
      </c>
      <c r="M60" s="45">
        <f t="shared" si="3"/>
        <v>2235255</v>
      </c>
      <c r="N60" s="46">
        <f t="shared" si="4"/>
        <v>1.0555555555555556</v>
      </c>
      <c r="O60" s="46">
        <f>SUMIF('[2]Raw Inventory'!$B:$B, A60, '[2]Raw Inventory'!$D:$D)</f>
        <v>46</v>
      </c>
      <c r="P60" s="45">
        <f t="shared" si="5"/>
        <v>3247002</v>
      </c>
      <c r="Q60" s="46">
        <f t="shared" si="6"/>
        <v>43.578947368421055</v>
      </c>
      <c r="R60" s="46">
        <f>IFERROR(VLOOKUP(A60,'[2]MC Masterlist 2026-09-11'!$B:$M, 7, 0),0)</f>
        <v>45</v>
      </c>
      <c r="S60" s="46">
        <f>IFERROR(VLOOKUP(A60,'[2]MC Masterlist 2026-09-11'!$B:$M, 8, 0),0)</f>
        <v>30</v>
      </c>
      <c r="T60" s="46">
        <f t="shared" si="7"/>
        <v>75</v>
      </c>
      <c r="U60" s="46">
        <f t="shared" si="8"/>
        <v>60</v>
      </c>
      <c r="V60" s="46">
        <f>IFERROR(VLOOKUP(A60,'[2]MC Masterlist 2026-09-11'!$B:$L, 9, 0),0)</f>
        <v>90</v>
      </c>
      <c r="W60" s="46">
        <f t="shared" si="9"/>
        <v>31.666666666666668</v>
      </c>
      <c r="X60" s="46">
        <f t="shared" si="10"/>
        <v>79.166666666666671</v>
      </c>
      <c r="Y60" s="46">
        <f t="shared" si="11"/>
        <v>63.333333333333336</v>
      </c>
      <c r="Z60" s="46">
        <f t="shared" si="12"/>
        <v>95</v>
      </c>
      <c r="AA60" s="44" t="str">
        <f t="shared" si="13"/>
        <v>Re-order</v>
      </c>
      <c r="AB60" s="46">
        <f>IFERROR(VLOOKUP(A60,'[2]PO Balance'!$A:$C, 3, 0),0)</f>
        <v>91</v>
      </c>
      <c r="AC60" s="43"/>
      <c r="AD60" s="46">
        <f t="shared" si="14"/>
        <v>137</v>
      </c>
      <c r="AE60" s="46">
        <f t="shared" si="15"/>
        <v>129.78947368421052</v>
      </c>
      <c r="AF60" s="44" t="str">
        <f t="shared" si="16"/>
        <v>Over</v>
      </c>
      <c r="AG60" s="46">
        <f t="shared" si="17"/>
        <v>170.16666666666669</v>
      </c>
    </row>
    <row r="61" spans="1:33">
      <c r="A61" s="43" t="s">
        <v>88</v>
      </c>
      <c r="B61" s="44" t="str">
        <f>IFERROR(VLOOKUP(A61,'[2]Class ABC'!$A:$I, 9, 0),"")</f>
        <v>C35</v>
      </c>
      <c r="C61" s="44">
        <f>IFERROR(VLOOKUP(A61,'[2]Class ABC'!$A:$I, 6, 0),"")</f>
        <v>64</v>
      </c>
      <c r="D61" s="44" t="str">
        <f>IFERROR(CONCATENATE("Class ", VLOOKUP(A61,'[2]Class ABC'!$A:$I, 8, 0)),"Class C")</f>
        <v>Class C</v>
      </c>
      <c r="E61" s="43" t="str">
        <f>IFERROR(VLOOKUP(A61,'[2]MC Masterlist 2026-09-11'!$B:$M, 3, 0),"")</f>
        <v>YAMAHA</v>
      </c>
      <c r="F61" s="45">
        <f>IFERROR(VLOOKUP(A61,'[2]MC Masterlist 2026-09-11'!$B:$M, 6, 0),"")</f>
        <v>74772</v>
      </c>
      <c r="G61" s="46">
        <f>SUMIF('[2]Raw Sales'!$B:$B, A61, '[2]Raw Sales'!$I:$I)</f>
        <v>3</v>
      </c>
      <c r="H61" s="46">
        <f>SUMIF('[2]Raw Sales'!$B:$B, A61, '[2]Raw Sales'!$H:$H)</f>
        <v>2</v>
      </c>
      <c r="I61" s="46">
        <f>SUMIF('[2]Raw Sales'!$B:$B, A61, '[2]Raw Sales'!$G:$G)</f>
        <v>0</v>
      </c>
      <c r="J61" s="46">
        <f t="shared" si="0"/>
        <v>5</v>
      </c>
      <c r="K61" s="46">
        <f t="shared" si="1"/>
        <v>1.6666666666666667</v>
      </c>
      <c r="L61" s="45">
        <f t="shared" si="2"/>
        <v>373860</v>
      </c>
      <c r="M61" s="45">
        <f t="shared" si="3"/>
        <v>124620</v>
      </c>
      <c r="N61" s="46">
        <f t="shared" si="4"/>
        <v>5.5555555555555552E-2</v>
      </c>
      <c r="O61" s="46">
        <f>SUMIF('[2]Raw Inventory'!$B:$B, A61, '[2]Raw Inventory'!$D:$D)</f>
        <v>4</v>
      </c>
      <c r="P61" s="45">
        <f t="shared" si="5"/>
        <v>299088</v>
      </c>
      <c r="Q61" s="46">
        <f t="shared" si="6"/>
        <v>72</v>
      </c>
      <c r="R61" s="46">
        <f>IFERROR(VLOOKUP(A61,'[2]MC Masterlist 2026-09-11'!$B:$M, 7, 0),0)</f>
        <v>45</v>
      </c>
      <c r="S61" s="46">
        <f>IFERROR(VLOOKUP(A61,'[2]MC Masterlist 2026-09-11'!$B:$M, 8, 0),0)</f>
        <v>30</v>
      </c>
      <c r="T61" s="46">
        <f t="shared" si="7"/>
        <v>75</v>
      </c>
      <c r="U61" s="46">
        <f t="shared" si="8"/>
        <v>60</v>
      </c>
      <c r="V61" s="46">
        <f>IFERROR(VLOOKUP(A61,'[2]MC Masterlist 2026-09-11'!$B:$L, 9, 0),0)</f>
        <v>90</v>
      </c>
      <c r="W61" s="46">
        <f t="shared" si="9"/>
        <v>1.6666666666666665</v>
      </c>
      <c r="X61" s="46">
        <f t="shared" si="10"/>
        <v>4.1666666666666661</v>
      </c>
      <c r="Y61" s="46">
        <f t="shared" si="11"/>
        <v>3.333333333333333</v>
      </c>
      <c r="Z61" s="46">
        <f t="shared" si="12"/>
        <v>5</v>
      </c>
      <c r="AA61" s="44" t="str">
        <f t="shared" si="13"/>
        <v>Re-order</v>
      </c>
      <c r="AB61" s="46">
        <f>IFERROR(VLOOKUP(A61,'[2]PO Balance'!$A:$C, 3, 0),0)</f>
        <v>0</v>
      </c>
      <c r="AC61" s="43"/>
      <c r="AD61" s="46">
        <f t="shared" si="14"/>
        <v>4</v>
      </c>
      <c r="AE61" s="46">
        <f t="shared" si="15"/>
        <v>72</v>
      </c>
      <c r="AF61" s="44" t="str">
        <f t="shared" si="16"/>
        <v>Re-order</v>
      </c>
      <c r="AG61" s="46">
        <f t="shared" si="17"/>
        <v>4.1666666666666661</v>
      </c>
    </row>
    <row r="62" spans="1:33">
      <c r="A62" s="43" t="s">
        <v>136</v>
      </c>
      <c r="B62" s="44" t="str">
        <f>IFERROR(VLOOKUP(A62,'[2]Class ABC'!$A:$I, 9, 0),"")</f>
        <v/>
      </c>
      <c r="C62" s="44" t="str">
        <f>IFERROR(VLOOKUP(A62,'[2]Class ABC'!$A:$I, 6, 0),"")</f>
        <v/>
      </c>
      <c r="D62" s="44" t="str">
        <f>IFERROR(CONCATENATE("Class ", VLOOKUP(A62,'[2]Class ABC'!$A:$I, 8, 0)),"Class C")</f>
        <v>Class C</v>
      </c>
      <c r="E62" s="43" t="str">
        <f>IFERROR(VLOOKUP(A62,'[2]MC Masterlist 2026-09-11'!$B:$M, 3, 0),"")</f>
        <v>YAMAHA</v>
      </c>
      <c r="F62" s="45">
        <f>IFERROR(VLOOKUP(A62,'[2]MC Masterlist 2026-09-11'!$B:$M, 6, 0),"")</f>
        <v>236220</v>
      </c>
      <c r="G62" s="46">
        <f>SUMIF('[2]Raw Sales'!$B:$B, A62, '[2]Raw Sales'!$I:$I)</f>
        <v>0</v>
      </c>
      <c r="H62" s="46">
        <f>SUMIF('[2]Raw Sales'!$B:$B, A62, '[2]Raw Sales'!$H:$H)</f>
        <v>0</v>
      </c>
      <c r="I62" s="46">
        <f>SUMIF('[2]Raw Sales'!$B:$B, A62, '[2]Raw Sales'!$G:$G)</f>
        <v>0</v>
      </c>
      <c r="J62" s="46">
        <f t="shared" si="0"/>
        <v>0</v>
      </c>
      <c r="K62" s="46">
        <f t="shared" si="1"/>
        <v>0</v>
      </c>
      <c r="L62" s="45">
        <f t="shared" si="2"/>
        <v>0</v>
      </c>
      <c r="M62" s="45">
        <f t="shared" si="3"/>
        <v>0</v>
      </c>
      <c r="N62" s="46">
        <f t="shared" si="4"/>
        <v>0</v>
      </c>
      <c r="O62" s="46">
        <f>SUMIF('[2]Raw Inventory'!$B:$B, A62, '[2]Raw Inventory'!$D:$D)</f>
        <v>1</v>
      </c>
      <c r="P62" s="45">
        <f t="shared" si="5"/>
        <v>236220</v>
      </c>
      <c r="Q62" s="46" t="str">
        <f t="shared" si="6"/>
        <v/>
      </c>
      <c r="R62" s="46">
        <f>IFERROR(VLOOKUP(A62,'[2]MC Masterlist 2026-09-11'!$B:$M, 7, 0),0)</f>
        <v>45</v>
      </c>
      <c r="S62" s="46">
        <f>IFERROR(VLOOKUP(A62,'[2]MC Masterlist 2026-09-11'!$B:$M, 8, 0),0)</f>
        <v>30</v>
      </c>
      <c r="T62" s="46">
        <f t="shared" si="7"/>
        <v>75</v>
      </c>
      <c r="U62" s="46">
        <f t="shared" si="8"/>
        <v>60</v>
      </c>
      <c r="V62" s="46">
        <f>IFERROR(VLOOKUP(A62,'[2]MC Masterlist 2026-09-11'!$B:$L, 9, 0),0)</f>
        <v>90</v>
      </c>
      <c r="W62" s="46">
        <f t="shared" si="9"/>
        <v>0</v>
      </c>
      <c r="X62" s="46">
        <f t="shared" si="10"/>
        <v>0</v>
      </c>
      <c r="Y62" s="46">
        <f t="shared" si="11"/>
        <v>0</v>
      </c>
      <c r="Z62" s="46">
        <f t="shared" si="12"/>
        <v>0</v>
      </c>
      <c r="AA62" s="44" t="str">
        <f t="shared" si="13"/>
        <v>Over</v>
      </c>
      <c r="AB62" s="46">
        <f>IFERROR(VLOOKUP(A62,'[2]PO Balance'!$A:$C, 3, 0),0)</f>
        <v>0</v>
      </c>
      <c r="AC62" s="43"/>
      <c r="AD62" s="46">
        <f t="shared" si="14"/>
        <v>1</v>
      </c>
      <c r="AE62" s="46">
        <f t="shared" si="15"/>
        <v>0</v>
      </c>
      <c r="AF62" s="44" t="str">
        <f t="shared" si="16"/>
        <v>Over</v>
      </c>
      <c r="AG62" s="46">
        <f t="shared" si="17"/>
        <v>0</v>
      </c>
    </row>
    <row r="63" spans="1:33">
      <c r="A63" s="43" t="s">
        <v>35</v>
      </c>
      <c r="B63" s="44" t="str">
        <f>IFERROR(VLOOKUP(A63,'[2]Class ABC'!$A:$I, 9, 0),"")</f>
        <v>B13</v>
      </c>
      <c r="C63" s="44">
        <f>IFERROR(VLOOKUP(A63,'[2]Class ABC'!$A:$I, 6, 0),"")</f>
        <v>22</v>
      </c>
      <c r="D63" s="44" t="str">
        <f>IFERROR(CONCATENATE("Class ", VLOOKUP(A63,'[2]Class ABC'!$A:$I, 8, 0)),"Class C")</f>
        <v>Class B</v>
      </c>
      <c r="E63" s="43" t="str">
        <f>IFERROR(VLOOKUP(A63,'[2]MC Masterlist 2026-09-11'!$B:$M, 3, 0),"")</f>
        <v>HONDA</v>
      </c>
      <c r="F63" s="45">
        <f>IFERROR(VLOOKUP(A63,'[2]MC Masterlist 2026-09-11'!$B:$M, 6, 0),"")</f>
        <v>57990</v>
      </c>
      <c r="G63" s="46">
        <f>SUMIF('[2]Raw Sales'!$B:$B, A63, '[2]Raw Sales'!$I:$I)</f>
        <v>19</v>
      </c>
      <c r="H63" s="46">
        <f>SUMIF('[2]Raw Sales'!$B:$B, A63, '[2]Raw Sales'!$H:$H)</f>
        <v>32</v>
      </c>
      <c r="I63" s="46">
        <f>SUMIF('[2]Raw Sales'!$B:$B, A63, '[2]Raw Sales'!$G:$G)</f>
        <v>36</v>
      </c>
      <c r="J63" s="46">
        <f t="shared" si="0"/>
        <v>87</v>
      </c>
      <c r="K63" s="46">
        <f t="shared" si="1"/>
        <v>29</v>
      </c>
      <c r="L63" s="45">
        <f t="shared" si="2"/>
        <v>5045130</v>
      </c>
      <c r="M63" s="45">
        <f t="shared" si="3"/>
        <v>1681710</v>
      </c>
      <c r="N63" s="46">
        <f t="shared" si="4"/>
        <v>0.96666666666666667</v>
      </c>
      <c r="O63" s="46">
        <f>SUMIF('[2]Raw Inventory'!$B:$B, A63, '[2]Raw Inventory'!$D:$D)</f>
        <v>67</v>
      </c>
      <c r="P63" s="45">
        <f t="shared" si="5"/>
        <v>3885330</v>
      </c>
      <c r="Q63" s="46">
        <f t="shared" si="6"/>
        <v>69.310344827586206</v>
      </c>
      <c r="R63" s="46">
        <f>IFERROR(VLOOKUP(A63,'[2]MC Masterlist 2026-09-11'!$B:$M, 7, 0),0)</f>
        <v>45</v>
      </c>
      <c r="S63" s="46">
        <f>IFERROR(VLOOKUP(A63,'[2]MC Masterlist 2026-09-11'!$B:$M, 8, 0),0)</f>
        <v>30</v>
      </c>
      <c r="T63" s="46">
        <f t="shared" si="7"/>
        <v>75</v>
      </c>
      <c r="U63" s="46">
        <f t="shared" si="8"/>
        <v>60</v>
      </c>
      <c r="V63" s="46">
        <f>IFERROR(VLOOKUP(A63,'[2]MC Masterlist 2026-09-11'!$B:$L, 9, 0),0)</f>
        <v>90</v>
      </c>
      <c r="W63" s="46">
        <f t="shared" si="9"/>
        <v>29</v>
      </c>
      <c r="X63" s="46">
        <f t="shared" si="10"/>
        <v>72.5</v>
      </c>
      <c r="Y63" s="46">
        <f t="shared" si="11"/>
        <v>58</v>
      </c>
      <c r="Z63" s="46">
        <f t="shared" si="12"/>
        <v>87</v>
      </c>
      <c r="AA63" s="44" t="str">
        <f t="shared" si="13"/>
        <v>Re-order</v>
      </c>
      <c r="AB63" s="46">
        <f>IFERROR(VLOOKUP(A63,'[2]PO Balance'!$A:$C, 3, 0),0)</f>
        <v>65</v>
      </c>
      <c r="AC63" s="43"/>
      <c r="AD63" s="46">
        <f t="shared" si="14"/>
        <v>132</v>
      </c>
      <c r="AE63" s="46">
        <f t="shared" si="15"/>
        <v>136.55172413793105</v>
      </c>
      <c r="AF63" s="44" t="str">
        <f t="shared" si="16"/>
        <v>Over</v>
      </c>
      <c r="AG63" s="46">
        <f t="shared" si="17"/>
        <v>137.5</v>
      </c>
    </row>
    <row r="64" spans="1:33">
      <c r="A64" s="43" t="s">
        <v>28</v>
      </c>
      <c r="B64" s="44" t="str">
        <f>IFERROR(VLOOKUP(A64,'[2]Class ABC'!$A:$I, 9, 0),"")</f>
        <v>A7</v>
      </c>
      <c r="C64" s="44">
        <f>IFERROR(VLOOKUP(A64,'[2]Class ABC'!$A:$I, 6, 0),"")</f>
        <v>7</v>
      </c>
      <c r="D64" s="44" t="str">
        <f>IFERROR(CONCATENATE("Class ", VLOOKUP(A64,'[2]Class ABC'!$A:$I, 8, 0)),"Class C")</f>
        <v>Class A</v>
      </c>
      <c r="E64" s="43" t="str">
        <f>IFERROR(VLOOKUP(A64,'[2]MC Masterlist 2026-09-11'!$B:$M, 3, 0),"")</f>
        <v>YAMAHA</v>
      </c>
      <c r="F64" s="45">
        <f>IFERROR(VLOOKUP(A64,'[2]MC Masterlist 2026-09-11'!$B:$M, 6, 0),"")</f>
        <v>147312</v>
      </c>
      <c r="G64" s="46">
        <f>SUMIF('[2]Raw Sales'!$B:$B, A64, '[2]Raw Sales'!$I:$I)</f>
        <v>85</v>
      </c>
      <c r="H64" s="46">
        <f>SUMIF('[2]Raw Sales'!$B:$B, A64, '[2]Raw Sales'!$H:$H)</f>
        <v>86</v>
      </c>
      <c r="I64" s="46">
        <f>SUMIF('[2]Raw Sales'!$B:$B, A64, '[2]Raw Sales'!$G:$G)</f>
        <v>106</v>
      </c>
      <c r="J64" s="46">
        <f t="shared" si="0"/>
        <v>277</v>
      </c>
      <c r="K64" s="46">
        <f t="shared" si="1"/>
        <v>92.333333333333329</v>
      </c>
      <c r="L64" s="45">
        <f t="shared" si="2"/>
        <v>40805424</v>
      </c>
      <c r="M64" s="45">
        <f t="shared" si="3"/>
        <v>13601808</v>
      </c>
      <c r="N64" s="46">
        <f t="shared" si="4"/>
        <v>3.0777777777777779</v>
      </c>
      <c r="O64" s="46">
        <f>SUMIF('[2]Raw Inventory'!$B:$B, A64, '[2]Raw Inventory'!$D:$D)</f>
        <v>26</v>
      </c>
      <c r="P64" s="45">
        <f t="shared" si="5"/>
        <v>3830112</v>
      </c>
      <c r="Q64" s="46">
        <f t="shared" si="6"/>
        <v>8.4476534296028873</v>
      </c>
      <c r="R64" s="46">
        <f>IFERROR(VLOOKUP(A64,'[2]MC Masterlist 2026-09-11'!$B:$M, 7, 0),0)</f>
        <v>45</v>
      </c>
      <c r="S64" s="46">
        <f>IFERROR(VLOOKUP(A64,'[2]MC Masterlist 2026-09-11'!$B:$M, 8, 0),0)</f>
        <v>30</v>
      </c>
      <c r="T64" s="46">
        <f t="shared" si="7"/>
        <v>75</v>
      </c>
      <c r="U64" s="46">
        <f t="shared" si="8"/>
        <v>60</v>
      </c>
      <c r="V64" s="46">
        <f>IFERROR(VLOOKUP(A64,'[2]MC Masterlist 2026-09-11'!$B:$L, 9, 0),0)</f>
        <v>90</v>
      </c>
      <c r="W64" s="46">
        <f t="shared" si="9"/>
        <v>92.333333333333343</v>
      </c>
      <c r="X64" s="46">
        <f t="shared" si="10"/>
        <v>230.83333333333334</v>
      </c>
      <c r="Y64" s="46">
        <f t="shared" si="11"/>
        <v>184.66666666666669</v>
      </c>
      <c r="Z64" s="46">
        <f t="shared" si="12"/>
        <v>277</v>
      </c>
      <c r="AA64" s="44" t="str">
        <f t="shared" si="13"/>
        <v>Stockout</v>
      </c>
      <c r="AB64" s="46">
        <f>IFERROR(VLOOKUP(A64,'[2]PO Balance'!$A:$C, 3, 0),0)</f>
        <v>130</v>
      </c>
      <c r="AC64" s="43"/>
      <c r="AD64" s="46">
        <f t="shared" si="14"/>
        <v>156</v>
      </c>
      <c r="AE64" s="46">
        <f t="shared" si="15"/>
        <v>50.685920577617324</v>
      </c>
      <c r="AF64" s="44" t="str">
        <f t="shared" si="16"/>
        <v>Re-order</v>
      </c>
      <c r="AG64" s="46">
        <f t="shared" si="17"/>
        <v>360.83333333333337</v>
      </c>
    </row>
    <row r="65" spans="1:33">
      <c r="A65" s="43" t="s">
        <v>44</v>
      </c>
      <c r="B65" s="44" t="str">
        <f>IFERROR(VLOOKUP(A65,'[2]Class ABC'!$A:$I, 9, 0),"")</f>
        <v>B8</v>
      </c>
      <c r="C65" s="44">
        <f>IFERROR(VLOOKUP(A65,'[2]Class ABC'!$A:$I, 6, 0),"")</f>
        <v>17</v>
      </c>
      <c r="D65" s="44" t="str">
        <f>IFERROR(CONCATENATE("Class ", VLOOKUP(A65,'[2]Class ABC'!$A:$I, 8, 0)),"Class C")</f>
        <v>Class B</v>
      </c>
      <c r="E65" s="43" t="str">
        <f>IFERROR(VLOOKUP(A65,'[2]MC Masterlist 2026-09-11'!$B:$M, 3, 0),"")</f>
        <v>YAMAHA</v>
      </c>
      <c r="F65" s="45">
        <f>IFERROR(VLOOKUP(A65,'[2]MC Masterlist 2026-09-11'!$B:$M, 6, 0),"")</f>
        <v>165912</v>
      </c>
      <c r="G65" s="46">
        <f>SUMIF('[2]Raw Sales'!$B:$B, A65, '[2]Raw Sales'!$I:$I)</f>
        <v>24</v>
      </c>
      <c r="H65" s="46">
        <f>SUMIF('[2]Raw Sales'!$B:$B, A65, '[2]Raw Sales'!$H:$H)</f>
        <v>11</v>
      </c>
      <c r="I65" s="46">
        <f>SUMIF('[2]Raw Sales'!$B:$B, A65, '[2]Raw Sales'!$G:$G)</f>
        <v>16</v>
      </c>
      <c r="J65" s="46">
        <f t="shared" si="0"/>
        <v>51</v>
      </c>
      <c r="K65" s="46">
        <f t="shared" si="1"/>
        <v>17</v>
      </c>
      <c r="L65" s="45">
        <f t="shared" si="2"/>
        <v>8461512</v>
      </c>
      <c r="M65" s="45">
        <f t="shared" si="3"/>
        <v>2820504</v>
      </c>
      <c r="N65" s="46">
        <f t="shared" si="4"/>
        <v>0.56666666666666665</v>
      </c>
      <c r="O65" s="46">
        <f>SUMIF('[2]Raw Inventory'!$B:$B, A65, '[2]Raw Inventory'!$D:$D)</f>
        <v>6</v>
      </c>
      <c r="P65" s="45">
        <f t="shared" si="5"/>
        <v>995472</v>
      </c>
      <c r="Q65" s="46">
        <f t="shared" si="6"/>
        <v>10.588235294117649</v>
      </c>
      <c r="R65" s="46">
        <f>IFERROR(VLOOKUP(A65,'[2]MC Masterlist 2026-09-11'!$B:$M, 7, 0),0)</f>
        <v>45</v>
      </c>
      <c r="S65" s="46">
        <f>IFERROR(VLOOKUP(A65,'[2]MC Masterlist 2026-09-11'!$B:$M, 8, 0),0)</f>
        <v>30</v>
      </c>
      <c r="T65" s="46">
        <f t="shared" si="7"/>
        <v>75</v>
      </c>
      <c r="U65" s="46">
        <f t="shared" si="8"/>
        <v>60</v>
      </c>
      <c r="V65" s="46">
        <f>IFERROR(VLOOKUP(A65,'[2]MC Masterlist 2026-09-11'!$B:$L, 9, 0),0)</f>
        <v>90</v>
      </c>
      <c r="W65" s="46">
        <f t="shared" si="9"/>
        <v>17</v>
      </c>
      <c r="X65" s="46">
        <f t="shared" si="10"/>
        <v>42.5</v>
      </c>
      <c r="Y65" s="46">
        <f t="shared" si="11"/>
        <v>34</v>
      </c>
      <c r="Z65" s="46">
        <f t="shared" si="12"/>
        <v>51</v>
      </c>
      <c r="AA65" s="44" t="str">
        <f t="shared" si="13"/>
        <v>Stockout</v>
      </c>
      <c r="AB65" s="46">
        <f>IFERROR(VLOOKUP(A65,'[2]PO Balance'!$A:$C, 3, 0),0)</f>
        <v>5</v>
      </c>
      <c r="AC65" s="43"/>
      <c r="AD65" s="46">
        <f t="shared" si="14"/>
        <v>11</v>
      </c>
      <c r="AE65" s="46">
        <f t="shared" si="15"/>
        <v>19.411764705882355</v>
      </c>
      <c r="AF65" s="44" t="str">
        <f t="shared" si="16"/>
        <v>Stockout</v>
      </c>
      <c r="AG65" s="46">
        <f t="shared" si="17"/>
        <v>47.5</v>
      </c>
    </row>
    <row r="66" spans="1:33">
      <c r="A66" s="43" t="s">
        <v>58</v>
      </c>
      <c r="B66" s="44" t="str">
        <f>IFERROR(VLOOKUP(A66,'[2]Class ABC'!$A:$I, 9, 0),"")</f>
        <v>C37</v>
      </c>
      <c r="C66" s="44">
        <f>IFERROR(VLOOKUP(A66,'[2]Class ABC'!$A:$I, 6, 0),"")</f>
        <v>66</v>
      </c>
      <c r="D66" s="44" t="str">
        <f>IFERROR(CONCATENATE("Class ", VLOOKUP(A66,'[2]Class ABC'!$A:$I, 8, 0)),"Class C")</f>
        <v>Class C</v>
      </c>
      <c r="E66" s="43" t="str">
        <f>IFERROR(VLOOKUP(A66,'[2]MC Masterlist 2026-09-11'!$B:$M, 3, 0),"")</f>
        <v>HONDA</v>
      </c>
      <c r="F66" s="45">
        <f>IFERROR(VLOOKUP(A66,'[2]MC Masterlist 2026-09-11'!$B:$M, 6, 0),"")</f>
        <v>142758</v>
      </c>
      <c r="G66" s="46">
        <f>SUMIF('[2]Raw Sales'!$B:$B, A66, '[2]Raw Sales'!$I:$I)</f>
        <v>1</v>
      </c>
      <c r="H66" s="46">
        <f>SUMIF('[2]Raw Sales'!$B:$B, A66, '[2]Raw Sales'!$H:$H)</f>
        <v>0</v>
      </c>
      <c r="I66" s="46">
        <f>SUMIF('[2]Raw Sales'!$B:$B, A66, '[2]Raw Sales'!$G:$G)</f>
        <v>1</v>
      </c>
      <c r="J66" s="46">
        <f t="shared" si="0"/>
        <v>2</v>
      </c>
      <c r="K66" s="46">
        <f t="shared" si="1"/>
        <v>0.66666666666666663</v>
      </c>
      <c r="L66" s="45">
        <f t="shared" si="2"/>
        <v>285516</v>
      </c>
      <c r="M66" s="45">
        <f t="shared" si="3"/>
        <v>95172</v>
      </c>
      <c r="N66" s="46">
        <f t="shared" si="4"/>
        <v>2.2222222222222223E-2</v>
      </c>
      <c r="O66" s="46">
        <f>SUMIF('[2]Raw Inventory'!$B:$B, A66, '[2]Raw Inventory'!$D:$D)</f>
        <v>3</v>
      </c>
      <c r="P66" s="45">
        <f t="shared" si="5"/>
        <v>428274</v>
      </c>
      <c r="Q66" s="46">
        <f t="shared" si="6"/>
        <v>135</v>
      </c>
      <c r="R66" s="46">
        <f>IFERROR(VLOOKUP(A66,'[2]MC Masterlist 2026-09-11'!$B:$M, 7, 0),0)</f>
        <v>45</v>
      </c>
      <c r="S66" s="46">
        <f>IFERROR(VLOOKUP(A66,'[2]MC Masterlist 2026-09-11'!$B:$M, 8, 0),0)</f>
        <v>30</v>
      </c>
      <c r="T66" s="46">
        <f t="shared" si="7"/>
        <v>75</v>
      </c>
      <c r="U66" s="46">
        <f t="shared" si="8"/>
        <v>60</v>
      </c>
      <c r="V66" s="46">
        <f>IFERROR(VLOOKUP(A66,'[2]MC Masterlist 2026-09-11'!$B:$L, 9, 0),0)</f>
        <v>90</v>
      </c>
      <c r="W66" s="46">
        <f t="shared" si="9"/>
        <v>0.66666666666666674</v>
      </c>
      <c r="X66" s="46">
        <f t="shared" si="10"/>
        <v>1.6666666666666667</v>
      </c>
      <c r="Y66" s="46">
        <f t="shared" si="11"/>
        <v>1.3333333333333335</v>
      </c>
      <c r="Z66" s="46">
        <f t="shared" si="12"/>
        <v>2</v>
      </c>
      <c r="AA66" s="44" t="str">
        <f t="shared" si="13"/>
        <v>Over</v>
      </c>
      <c r="AB66" s="46">
        <f>IFERROR(VLOOKUP(A66,'[2]PO Balance'!$A:$C, 3, 0),0)</f>
        <v>0</v>
      </c>
      <c r="AC66" s="43"/>
      <c r="AD66" s="46">
        <f t="shared" si="14"/>
        <v>3</v>
      </c>
      <c r="AE66" s="46">
        <f t="shared" si="15"/>
        <v>135</v>
      </c>
      <c r="AF66" s="44" t="str">
        <f t="shared" si="16"/>
        <v>Over</v>
      </c>
      <c r="AG66" s="46">
        <f t="shared" si="17"/>
        <v>1.6666666666666667</v>
      </c>
    </row>
    <row r="67" spans="1:33">
      <c r="A67" s="43" t="s">
        <v>81</v>
      </c>
      <c r="B67" s="44" t="str">
        <f>IFERROR(VLOOKUP(A67,'[2]Class ABC'!$A:$I, 9, 0),"")</f>
        <v>C30</v>
      </c>
      <c r="C67" s="44">
        <f>IFERROR(VLOOKUP(A67,'[2]Class ABC'!$A:$I, 6, 0),"")</f>
        <v>59</v>
      </c>
      <c r="D67" s="44" t="str">
        <f>IFERROR(CONCATENATE("Class ", VLOOKUP(A67,'[2]Class ABC'!$A:$I, 8, 0)),"Class C")</f>
        <v>Class C</v>
      </c>
      <c r="E67" s="43" t="str">
        <f>IFERROR(VLOOKUP(A67,'[2]MC Masterlist 2026-09-11'!$B:$M, 3, 0),"")</f>
        <v>HONDA</v>
      </c>
      <c r="F67" s="45">
        <f>IFERROR(VLOOKUP(A67,'[2]MC Masterlist 2026-09-11'!$B:$M, 6, 0),"")</f>
        <v>126198</v>
      </c>
      <c r="G67" s="46">
        <f>SUMIF('[2]Raw Sales'!$B:$B, A67, '[2]Raw Sales'!$I:$I)</f>
        <v>0</v>
      </c>
      <c r="H67" s="46">
        <f>SUMIF('[2]Raw Sales'!$B:$B, A67, '[2]Raw Sales'!$H:$H)</f>
        <v>3</v>
      </c>
      <c r="I67" s="46">
        <f>SUMIF('[2]Raw Sales'!$B:$B, A67, '[2]Raw Sales'!$G:$G)</f>
        <v>1</v>
      </c>
      <c r="J67" s="46">
        <f t="shared" ref="J67:J102" si="18">SUM(G67,H67,I67)</f>
        <v>4</v>
      </c>
      <c r="K67" s="46">
        <f t="shared" ref="K67:K102" si="19">AVERAGE(G67:I67)</f>
        <v>1.3333333333333333</v>
      </c>
      <c r="L67" s="45">
        <f t="shared" ref="L67:L102" si="20">F67*J67</f>
        <v>504792</v>
      </c>
      <c r="M67" s="45">
        <f t="shared" ref="M67:M102" si="21">F67*K67</f>
        <v>168264</v>
      </c>
      <c r="N67" s="46">
        <f t="shared" ref="N67:N102" si="22">J67/90</f>
        <v>4.4444444444444446E-2</v>
      </c>
      <c r="O67" s="46">
        <f>SUMIF('[2]Raw Inventory'!$B:$B, A67, '[2]Raw Inventory'!$D:$D)</f>
        <v>1</v>
      </c>
      <c r="P67" s="45">
        <f t="shared" ref="P67:P102" si="23">O67*F67</f>
        <v>126198</v>
      </c>
      <c r="Q67" s="46">
        <f t="shared" ref="Q67:Q102" si="24">IFERROR((P67/(M67))*30,"")</f>
        <v>22.5</v>
      </c>
      <c r="R67" s="46">
        <f>IFERROR(VLOOKUP(A67,'[2]MC Masterlist 2026-09-11'!$B:$M, 7, 0),0)</f>
        <v>45</v>
      </c>
      <c r="S67" s="46">
        <f>IFERROR(VLOOKUP(A67,'[2]MC Masterlist 2026-09-11'!$B:$M, 8, 0),0)</f>
        <v>30</v>
      </c>
      <c r="T67" s="46">
        <f t="shared" ref="T67:T102" si="25">R67+S67</f>
        <v>75</v>
      </c>
      <c r="U67" s="46">
        <f t="shared" ref="U67:U102" si="26">(V67-S67)</f>
        <v>60</v>
      </c>
      <c r="V67" s="46">
        <f>IFERROR(VLOOKUP(A67,'[2]MC Masterlist 2026-09-11'!$B:$L, 9, 0),0)</f>
        <v>90</v>
      </c>
      <c r="W67" s="46">
        <f t="shared" ref="W67:W102" si="27">S67*N67</f>
        <v>1.3333333333333335</v>
      </c>
      <c r="X67" s="46">
        <f t="shared" ref="X67:X102" si="28">T67*N67</f>
        <v>3.3333333333333335</v>
      </c>
      <c r="Y67" s="46">
        <f t="shared" ref="Y67:Y102" si="29">U67*N67</f>
        <v>2.666666666666667</v>
      </c>
      <c r="Z67" s="46">
        <f t="shared" ref="Z67:Z102" si="30">V67*N67</f>
        <v>4</v>
      </c>
      <c r="AA67" s="44" t="str">
        <f t="shared" ref="AA67:AA102" si="31">IFERROR(IF(O67&gt;Z67, "Over", IF(O67&lt;=W67, "Stockout", IF(O67&lt;=X67, "Re-order",""))), "")</f>
        <v>Stockout</v>
      </c>
      <c r="AB67" s="46">
        <f>IFERROR(VLOOKUP(A67,'[2]PO Balance'!$A:$C, 3, 0),0)</f>
        <v>0</v>
      </c>
      <c r="AC67" s="43"/>
      <c r="AD67" s="46">
        <f t="shared" ref="AD67:AD102" si="32">O67+AB67+AC67</f>
        <v>1</v>
      </c>
      <c r="AE67" s="46">
        <f t="shared" ref="AE67:AE102" si="33">IFERROR(AD67/N67,)</f>
        <v>22.5</v>
      </c>
      <c r="AF67" s="44" t="str">
        <f t="shared" ref="AF67:AF102" si="34">IFERROR(IF(AD67&gt;Z67, "Over", IF(AD67&lt;=W67, "Stockout", IF(AD67&lt;=X67, "Re-order",""))), "")</f>
        <v>Stockout</v>
      </c>
      <c r="AG67" s="46">
        <f t="shared" ref="AG67:AG102" si="35">X67+AB67</f>
        <v>3.3333333333333335</v>
      </c>
    </row>
    <row r="68" spans="1:33">
      <c r="A68" s="43" t="s">
        <v>59</v>
      </c>
      <c r="B68" s="44" t="str">
        <f>IFERROR(VLOOKUP(A68,'[2]Class ABC'!$A:$I, 9, 0),"")</f>
        <v>C11</v>
      </c>
      <c r="C68" s="44">
        <f>IFERROR(VLOOKUP(A68,'[2]Class ABC'!$A:$I, 6, 0),"")</f>
        <v>40</v>
      </c>
      <c r="D68" s="44" t="str">
        <f>IFERROR(CONCATENATE("Class ", VLOOKUP(A68,'[2]Class ABC'!$A:$I, 8, 0)),"Class C")</f>
        <v>Class C</v>
      </c>
      <c r="E68" s="43" t="str">
        <f>IFERROR(VLOOKUP(A68,'[2]MC Masterlist 2026-09-11'!$B:$M, 3, 0),"")</f>
        <v>HONDA</v>
      </c>
      <c r="F68" s="45">
        <f>IFERROR(VLOOKUP(A68,'[2]MC Masterlist 2026-09-11'!$B:$M, 6, 0),"")</f>
        <v>147230</v>
      </c>
      <c r="G68" s="46">
        <f>SUMIF('[2]Raw Sales'!$B:$B, A68, '[2]Raw Sales'!$I:$I)</f>
        <v>0</v>
      </c>
      <c r="H68" s="46">
        <f>SUMIF('[2]Raw Sales'!$B:$B, A68, '[2]Raw Sales'!$H:$H)</f>
        <v>4</v>
      </c>
      <c r="I68" s="46">
        <f>SUMIF('[2]Raw Sales'!$B:$B, A68, '[2]Raw Sales'!$G:$G)</f>
        <v>4</v>
      </c>
      <c r="J68" s="46">
        <f t="shared" si="18"/>
        <v>8</v>
      </c>
      <c r="K68" s="46">
        <f t="shared" si="19"/>
        <v>2.6666666666666665</v>
      </c>
      <c r="L68" s="45">
        <f t="shared" si="20"/>
        <v>1177840</v>
      </c>
      <c r="M68" s="45">
        <f t="shared" si="21"/>
        <v>392613.33333333331</v>
      </c>
      <c r="N68" s="46">
        <f t="shared" si="22"/>
        <v>8.8888888888888892E-2</v>
      </c>
      <c r="O68" s="46">
        <f>SUMIF('[2]Raw Inventory'!$B:$B, A68, '[2]Raw Inventory'!$D:$D)</f>
        <v>9</v>
      </c>
      <c r="P68" s="45">
        <f t="shared" si="23"/>
        <v>1325070</v>
      </c>
      <c r="Q68" s="46">
        <f t="shared" si="24"/>
        <v>101.25</v>
      </c>
      <c r="R68" s="46">
        <f>IFERROR(VLOOKUP(A68,'[2]MC Masterlist 2026-09-11'!$B:$M, 7, 0),0)</f>
        <v>45</v>
      </c>
      <c r="S68" s="46">
        <f>IFERROR(VLOOKUP(A68,'[2]MC Masterlist 2026-09-11'!$B:$M, 8, 0),0)</f>
        <v>30</v>
      </c>
      <c r="T68" s="46">
        <f t="shared" si="25"/>
        <v>75</v>
      </c>
      <c r="U68" s="46">
        <f t="shared" si="26"/>
        <v>60</v>
      </c>
      <c r="V68" s="46">
        <f>IFERROR(VLOOKUP(A68,'[2]MC Masterlist 2026-09-11'!$B:$L, 9, 0),0)</f>
        <v>90</v>
      </c>
      <c r="W68" s="46">
        <f t="shared" si="27"/>
        <v>2.666666666666667</v>
      </c>
      <c r="X68" s="46">
        <f t="shared" si="28"/>
        <v>6.666666666666667</v>
      </c>
      <c r="Y68" s="46">
        <f t="shared" si="29"/>
        <v>5.3333333333333339</v>
      </c>
      <c r="Z68" s="46">
        <f t="shared" si="30"/>
        <v>8</v>
      </c>
      <c r="AA68" s="44" t="str">
        <f t="shared" si="31"/>
        <v>Over</v>
      </c>
      <c r="AB68" s="46">
        <f>IFERROR(VLOOKUP(A68,'[2]PO Balance'!$A:$C, 3, 0),0)</f>
        <v>13</v>
      </c>
      <c r="AC68" s="43"/>
      <c r="AD68" s="46">
        <f t="shared" si="32"/>
        <v>22</v>
      </c>
      <c r="AE68" s="46">
        <f t="shared" si="33"/>
        <v>247.5</v>
      </c>
      <c r="AF68" s="44" t="str">
        <f t="shared" si="34"/>
        <v>Over</v>
      </c>
      <c r="AG68" s="46">
        <f t="shared" si="35"/>
        <v>19.666666666666668</v>
      </c>
    </row>
    <row r="69" spans="1:33">
      <c r="A69" s="43" t="s">
        <v>117</v>
      </c>
      <c r="B69" s="44" t="str">
        <f>IFERROR(VLOOKUP(A69,'[2]Class ABC'!$A:$I, 9, 0),"")</f>
        <v>C28</v>
      </c>
      <c r="C69" s="44">
        <f>IFERROR(VLOOKUP(A69,'[2]Class ABC'!$A:$I, 6, 0),"")</f>
        <v>57</v>
      </c>
      <c r="D69" s="44" t="str">
        <f>IFERROR(CONCATENATE("Class ", VLOOKUP(A69,'[2]Class ABC'!$A:$I, 8, 0)),"Class C")</f>
        <v>Class C</v>
      </c>
      <c r="E69" s="43" t="str">
        <f>IFERROR(VLOOKUP(A69,'[2]MC Masterlist 2026-09-11'!$B:$M, 3, 0),"")</f>
        <v>HONDA</v>
      </c>
      <c r="F69" s="45">
        <f>IFERROR(VLOOKUP(A69,'[2]MC Masterlist 2026-09-11'!$B:$M, 6, 0),"")</f>
        <v>126990</v>
      </c>
      <c r="G69" s="46">
        <f>SUMIF('[2]Raw Sales'!$B:$B, A69, '[2]Raw Sales'!$I:$I)</f>
        <v>1</v>
      </c>
      <c r="H69" s="46">
        <f>SUMIF('[2]Raw Sales'!$B:$B, A69, '[2]Raw Sales'!$H:$H)</f>
        <v>3</v>
      </c>
      <c r="I69" s="46">
        <f>SUMIF('[2]Raw Sales'!$B:$B, A69, '[2]Raw Sales'!$G:$G)</f>
        <v>0</v>
      </c>
      <c r="J69" s="46">
        <f t="shared" si="18"/>
        <v>4</v>
      </c>
      <c r="K69" s="46">
        <f t="shared" si="19"/>
        <v>1.3333333333333333</v>
      </c>
      <c r="L69" s="45">
        <f t="shared" si="20"/>
        <v>507960</v>
      </c>
      <c r="M69" s="45">
        <f t="shared" si="21"/>
        <v>169320</v>
      </c>
      <c r="N69" s="46">
        <f t="shared" si="22"/>
        <v>4.4444444444444446E-2</v>
      </c>
      <c r="O69" s="46">
        <f>SUMIF('[2]Raw Inventory'!$B:$B, A69, '[2]Raw Inventory'!$D:$D)</f>
        <v>6</v>
      </c>
      <c r="P69" s="45">
        <f t="shared" si="23"/>
        <v>761940</v>
      </c>
      <c r="Q69" s="46">
        <f t="shared" si="24"/>
        <v>135</v>
      </c>
      <c r="R69" s="46">
        <f>IFERROR(VLOOKUP(A69,'[2]MC Masterlist 2026-09-11'!$B:$M, 7, 0),0)</f>
        <v>45</v>
      </c>
      <c r="S69" s="46">
        <f>IFERROR(VLOOKUP(A69,'[2]MC Masterlist 2026-09-11'!$B:$M, 8, 0),0)</f>
        <v>30</v>
      </c>
      <c r="T69" s="46">
        <f t="shared" si="25"/>
        <v>75</v>
      </c>
      <c r="U69" s="46">
        <f t="shared" si="26"/>
        <v>60</v>
      </c>
      <c r="V69" s="46">
        <f>IFERROR(VLOOKUP(A69,'[2]MC Masterlist 2026-09-11'!$B:$L, 9, 0),0)</f>
        <v>90</v>
      </c>
      <c r="W69" s="46">
        <f t="shared" si="27"/>
        <v>1.3333333333333335</v>
      </c>
      <c r="X69" s="46">
        <f t="shared" si="28"/>
        <v>3.3333333333333335</v>
      </c>
      <c r="Y69" s="46">
        <f t="shared" si="29"/>
        <v>2.666666666666667</v>
      </c>
      <c r="Z69" s="46">
        <f t="shared" si="30"/>
        <v>4</v>
      </c>
      <c r="AA69" s="44" t="str">
        <f t="shared" si="31"/>
        <v>Over</v>
      </c>
      <c r="AB69" s="46">
        <f>IFERROR(VLOOKUP(A69,'[2]PO Balance'!$A:$C, 3, 0),0)</f>
        <v>3</v>
      </c>
      <c r="AC69" s="43"/>
      <c r="AD69" s="46">
        <f t="shared" si="32"/>
        <v>9</v>
      </c>
      <c r="AE69" s="46">
        <f t="shared" si="33"/>
        <v>202.5</v>
      </c>
      <c r="AF69" s="44" t="str">
        <f t="shared" si="34"/>
        <v>Over</v>
      </c>
      <c r="AG69" s="46">
        <f t="shared" si="35"/>
        <v>6.3333333333333339</v>
      </c>
    </row>
    <row r="70" spans="1:33">
      <c r="A70" s="43" t="s">
        <v>99</v>
      </c>
      <c r="B70" s="44" t="str">
        <f>IFERROR(VLOOKUP(A70,'[2]Class ABC'!$A:$I, 9, 0),"")</f>
        <v>C33</v>
      </c>
      <c r="C70" s="44">
        <f>IFERROR(VLOOKUP(A70,'[2]Class ABC'!$A:$I, 6, 0),"")</f>
        <v>62</v>
      </c>
      <c r="D70" s="44" t="str">
        <f>IFERROR(CONCATENATE("Class ", VLOOKUP(A70,'[2]Class ABC'!$A:$I, 8, 0)),"Class C")</f>
        <v>Class C</v>
      </c>
      <c r="E70" s="43" t="str">
        <f>IFERROR(VLOOKUP(A70,'[2]MC Masterlist 2026-09-11'!$B:$M, 3, 0),"")</f>
        <v>YAMAHA</v>
      </c>
      <c r="F70" s="45">
        <f>IFERROR(VLOOKUP(A70,'[2]MC Masterlist 2026-09-11'!$B:$M, 6, 0),"")</f>
        <v>86397</v>
      </c>
      <c r="G70" s="46">
        <f>SUMIF('[2]Raw Sales'!$B:$B, A70, '[2]Raw Sales'!$I:$I)</f>
        <v>2</v>
      </c>
      <c r="H70" s="46">
        <f>SUMIF('[2]Raw Sales'!$B:$B, A70, '[2]Raw Sales'!$H:$H)</f>
        <v>1</v>
      </c>
      <c r="I70" s="46">
        <f>SUMIF('[2]Raw Sales'!$B:$B, A70, '[2]Raw Sales'!$G:$G)</f>
        <v>2</v>
      </c>
      <c r="J70" s="46">
        <f t="shared" si="18"/>
        <v>5</v>
      </c>
      <c r="K70" s="46">
        <f t="shared" si="19"/>
        <v>1.6666666666666667</v>
      </c>
      <c r="L70" s="45">
        <f t="shared" si="20"/>
        <v>431985</v>
      </c>
      <c r="M70" s="45">
        <f t="shared" si="21"/>
        <v>143995</v>
      </c>
      <c r="N70" s="46">
        <f t="shared" si="22"/>
        <v>5.5555555555555552E-2</v>
      </c>
      <c r="O70" s="46">
        <f>SUMIF('[2]Raw Inventory'!$B:$B, A70, '[2]Raw Inventory'!$D:$D)</f>
        <v>4</v>
      </c>
      <c r="P70" s="45">
        <f t="shared" si="23"/>
        <v>345588</v>
      </c>
      <c r="Q70" s="46">
        <f t="shared" si="24"/>
        <v>72</v>
      </c>
      <c r="R70" s="46">
        <f>IFERROR(VLOOKUP(A70,'[2]MC Masterlist 2026-09-11'!$B:$M, 7, 0),0)</f>
        <v>45</v>
      </c>
      <c r="S70" s="46">
        <f>IFERROR(VLOOKUP(A70,'[2]MC Masterlist 2026-09-11'!$B:$M, 8, 0),0)</f>
        <v>30</v>
      </c>
      <c r="T70" s="46">
        <f t="shared" si="25"/>
        <v>75</v>
      </c>
      <c r="U70" s="46">
        <f t="shared" si="26"/>
        <v>60</v>
      </c>
      <c r="V70" s="46">
        <f>IFERROR(VLOOKUP(A70,'[2]MC Masterlist 2026-09-11'!$B:$L, 9, 0),0)</f>
        <v>90</v>
      </c>
      <c r="W70" s="46">
        <f t="shared" si="27"/>
        <v>1.6666666666666665</v>
      </c>
      <c r="X70" s="46">
        <f t="shared" si="28"/>
        <v>4.1666666666666661</v>
      </c>
      <c r="Y70" s="46">
        <f t="shared" si="29"/>
        <v>3.333333333333333</v>
      </c>
      <c r="Z70" s="46">
        <f t="shared" si="30"/>
        <v>5</v>
      </c>
      <c r="AA70" s="44" t="str">
        <f t="shared" si="31"/>
        <v>Re-order</v>
      </c>
      <c r="AB70" s="46">
        <f>IFERROR(VLOOKUP(A70,'[2]PO Balance'!$A:$C, 3, 0),0)</f>
        <v>2</v>
      </c>
      <c r="AC70" s="43"/>
      <c r="AD70" s="46">
        <f t="shared" si="32"/>
        <v>6</v>
      </c>
      <c r="AE70" s="46">
        <f t="shared" si="33"/>
        <v>108</v>
      </c>
      <c r="AF70" s="44" t="str">
        <f t="shared" si="34"/>
        <v>Over</v>
      </c>
      <c r="AG70" s="46">
        <f t="shared" si="35"/>
        <v>6.1666666666666661</v>
      </c>
    </row>
    <row r="71" spans="1:33">
      <c r="A71" s="43" t="s">
        <v>127</v>
      </c>
      <c r="B71" s="44" t="str">
        <f>IFERROR(VLOOKUP(A71,'[2]Class ABC'!$A:$I, 9, 0),"")</f>
        <v/>
      </c>
      <c r="C71" s="44" t="str">
        <f>IFERROR(VLOOKUP(A71,'[2]Class ABC'!$A:$I, 6, 0),"")</f>
        <v/>
      </c>
      <c r="D71" s="44" t="str">
        <f>IFERROR(CONCATENATE("Class ", VLOOKUP(A71,'[2]Class ABC'!$A:$I, 8, 0)),"Class C")</f>
        <v>Class C</v>
      </c>
      <c r="E71" s="43" t="str">
        <f>IFERROR(VLOOKUP(A71,'[2]MC Masterlist 2026-09-11'!$B:$M, 3, 0),"")</f>
        <v>SUZUKI</v>
      </c>
      <c r="F71" s="45">
        <f>IFERROR(VLOOKUP(A71,'[2]MC Masterlist 2026-09-11'!$B:$M, 6, 0),"")</f>
        <v>69667</v>
      </c>
      <c r="G71" s="46">
        <f>SUMIF('[2]Raw Sales'!$B:$B, A71, '[2]Raw Sales'!$I:$I)</f>
        <v>0</v>
      </c>
      <c r="H71" s="46">
        <f>SUMIF('[2]Raw Sales'!$B:$B, A71, '[2]Raw Sales'!$H:$H)</f>
        <v>0</v>
      </c>
      <c r="I71" s="46">
        <f>SUMIF('[2]Raw Sales'!$B:$B, A71, '[2]Raw Sales'!$G:$G)</f>
        <v>0</v>
      </c>
      <c r="J71" s="46">
        <f t="shared" si="18"/>
        <v>0</v>
      </c>
      <c r="K71" s="46">
        <f t="shared" si="19"/>
        <v>0</v>
      </c>
      <c r="L71" s="45">
        <f t="shared" si="20"/>
        <v>0</v>
      </c>
      <c r="M71" s="45">
        <f t="shared" si="21"/>
        <v>0</v>
      </c>
      <c r="N71" s="46">
        <f t="shared" si="22"/>
        <v>0</v>
      </c>
      <c r="O71" s="46">
        <f>SUMIF('[2]Raw Inventory'!$B:$B, A71, '[2]Raw Inventory'!$D:$D)</f>
        <v>3</v>
      </c>
      <c r="P71" s="45">
        <f t="shared" si="23"/>
        <v>209001</v>
      </c>
      <c r="Q71" s="46" t="str">
        <f t="shared" si="24"/>
        <v/>
      </c>
      <c r="R71" s="46">
        <f>IFERROR(VLOOKUP(A71,'[2]MC Masterlist 2026-09-11'!$B:$M, 7, 0),0)</f>
        <v>45</v>
      </c>
      <c r="S71" s="46">
        <f>IFERROR(VLOOKUP(A71,'[2]MC Masterlist 2026-09-11'!$B:$M, 8, 0),0)</f>
        <v>30</v>
      </c>
      <c r="T71" s="46">
        <f t="shared" si="25"/>
        <v>75</v>
      </c>
      <c r="U71" s="46">
        <f t="shared" si="26"/>
        <v>60</v>
      </c>
      <c r="V71" s="46">
        <f>IFERROR(VLOOKUP(A71,'[2]MC Masterlist 2026-09-11'!$B:$L, 9, 0),0)</f>
        <v>90</v>
      </c>
      <c r="W71" s="46">
        <f t="shared" si="27"/>
        <v>0</v>
      </c>
      <c r="X71" s="46">
        <f t="shared" si="28"/>
        <v>0</v>
      </c>
      <c r="Y71" s="46">
        <f t="shared" si="29"/>
        <v>0</v>
      </c>
      <c r="Z71" s="46">
        <f t="shared" si="30"/>
        <v>0</v>
      </c>
      <c r="AA71" s="44" t="str">
        <f t="shared" si="31"/>
        <v>Over</v>
      </c>
      <c r="AB71" s="46">
        <f>IFERROR(VLOOKUP(A71,'[2]PO Balance'!$A:$C, 3, 0),0)</f>
        <v>0</v>
      </c>
      <c r="AC71" s="43"/>
      <c r="AD71" s="46">
        <f t="shared" si="32"/>
        <v>3</v>
      </c>
      <c r="AE71" s="46">
        <f t="shared" si="33"/>
        <v>0</v>
      </c>
      <c r="AF71" s="44" t="str">
        <f t="shared" si="34"/>
        <v>Over</v>
      </c>
      <c r="AG71" s="46">
        <f t="shared" si="35"/>
        <v>0</v>
      </c>
    </row>
    <row r="72" spans="1:33">
      <c r="A72" s="43" t="s">
        <v>106</v>
      </c>
      <c r="B72" s="44" t="str">
        <f>IFERROR(VLOOKUP(A72,'[2]Class ABC'!$A:$I, 9, 0),"")</f>
        <v>C40</v>
      </c>
      <c r="C72" s="44">
        <f>IFERROR(VLOOKUP(A72,'[2]Class ABC'!$A:$I, 6, 0),"")</f>
        <v>69</v>
      </c>
      <c r="D72" s="44" t="str">
        <f>IFERROR(CONCATENATE("Class ", VLOOKUP(A72,'[2]Class ABC'!$A:$I, 8, 0)),"Class C")</f>
        <v>Class C</v>
      </c>
      <c r="E72" s="43" t="str">
        <f>IFERROR(VLOOKUP(A72,'[2]MC Masterlist 2026-09-11'!$B:$M, 3, 0),"")</f>
        <v>SUZUKI</v>
      </c>
      <c r="F72" s="45">
        <f>IFERROR(VLOOKUP(A72,'[2]MC Masterlist 2026-09-11'!$B:$M, 6, 0),"")</f>
        <v>104077</v>
      </c>
      <c r="G72" s="46">
        <f>SUMIF('[2]Raw Sales'!$B:$B, A72, '[2]Raw Sales'!$I:$I)</f>
        <v>0</v>
      </c>
      <c r="H72" s="46">
        <f>SUMIF('[2]Raw Sales'!$B:$B, A72, '[2]Raw Sales'!$H:$H)</f>
        <v>2</v>
      </c>
      <c r="I72" s="46">
        <f>SUMIF('[2]Raw Sales'!$B:$B, A72, '[2]Raw Sales'!$G:$G)</f>
        <v>0</v>
      </c>
      <c r="J72" s="46">
        <f t="shared" si="18"/>
        <v>2</v>
      </c>
      <c r="K72" s="46">
        <f t="shared" si="19"/>
        <v>0.66666666666666663</v>
      </c>
      <c r="L72" s="45">
        <f t="shared" si="20"/>
        <v>208154</v>
      </c>
      <c r="M72" s="45">
        <f t="shared" si="21"/>
        <v>69384.666666666657</v>
      </c>
      <c r="N72" s="46">
        <f t="shared" si="22"/>
        <v>2.2222222222222223E-2</v>
      </c>
      <c r="O72" s="46">
        <f>SUMIF('[2]Raw Inventory'!$B:$B, A72, '[2]Raw Inventory'!$D:$D)</f>
        <v>1</v>
      </c>
      <c r="P72" s="45">
        <f t="shared" si="23"/>
        <v>104077</v>
      </c>
      <c r="Q72" s="46">
        <f t="shared" si="24"/>
        <v>45.000000000000007</v>
      </c>
      <c r="R72" s="46">
        <f>IFERROR(VLOOKUP(A72,'[2]MC Masterlist 2026-09-11'!$B:$M, 7, 0),0)</f>
        <v>45</v>
      </c>
      <c r="S72" s="46">
        <f>IFERROR(VLOOKUP(A72,'[2]MC Masterlist 2026-09-11'!$B:$M, 8, 0),0)</f>
        <v>30</v>
      </c>
      <c r="T72" s="46">
        <f t="shared" si="25"/>
        <v>75</v>
      </c>
      <c r="U72" s="46">
        <f t="shared" si="26"/>
        <v>60</v>
      </c>
      <c r="V72" s="46">
        <f>IFERROR(VLOOKUP(A72,'[2]MC Masterlist 2026-09-11'!$B:$L, 9, 0),0)</f>
        <v>90</v>
      </c>
      <c r="W72" s="46">
        <f t="shared" si="27"/>
        <v>0.66666666666666674</v>
      </c>
      <c r="X72" s="46">
        <f t="shared" si="28"/>
        <v>1.6666666666666667</v>
      </c>
      <c r="Y72" s="46">
        <f t="shared" si="29"/>
        <v>1.3333333333333335</v>
      </c>
      <c r="Z72" s="46">
        <f t="shared" si="30"/>
        <v>2</v>
      </c>
      <c r="AA72" s="44" t="str">
        <f t="shared" si="31"/>
        <v>Re-order</v>
      </c>
      <c r="AB72" s="46">
        <f>IFERROR(VLOOKUP(A72,'[2]PO Balance'!$A:$C, 3, 0),0)</f>
        <v>0</v>
      </c>
      <c r="AC72" s="43"/>
      <c r="AD72" s="46">
        <f t="shared" si="32"/>
        <v>1</v>
      </c>
      <c r="AE72" s="46">
        <f t="shared" si="33"/>
        <v>45</v>
      </c>
      <c r="AF72" s="44" t="str">
        <f t="shared" si="34"/>
        <v>Re-order</v>
      </c>
      <c r="AG72" s="46">
        <f t="shared" si="35"/>
        <v>1.6666666666666667</v>
      </c>
    </row>
    <row r="73" spans="1:33">
      <c r="A73" s="43" t="s">
        <v>26</v>
      </c>
      <c r="B73" s="44" t="str">
        <f>IFERROR(VLOOKUP(A73,'[2]Class ABC'!$A:$I, 9, 0),"")</f>
        <v>A8</v>
      </c>
      <c r="C73" s="44">
        <f>IFERROR(VLOOKUP(A73,'[2]Class ABC'!$A:$I, 6, 0),"")</f>
        <v>8</v>
      </c>
      <c r="D73" s="44" t="str">
        <f>IFERROR(CONCATENATE("Class ", VLOOKUP(A73,'[2]Class ABC'!$A:$I, 8, 0)),"Class C")</f>
        <v>Class A</v>
      </c>
      <c r="E73" s="43" t="str">
        <f>IFERROR(VLOOKUP(A73,'[2]MC Masterlist 2026-09-11'!$B:$M, 3, 0),"")</f>
        <v>SUZUKI</v>
      </c>
      <c r="F73" s="45">
        <f>IFERROR(VLOOKUP(A73,'[2]MC Masterlist 2026-09-11'!$B:$M, 6, 0),"")</f>
        <v>123700</v>
      </c>
      <c r="G73" s="46">
        <f>SUMIF('[2]Raw Sales'!$B:$B, A73, '[2]Raw Sales'!$I:$I)</f>
        <v>65</v>
      </c>
      <c r="H73" s="46">
        <f>SUMIF('[2]Raw Sales'!$B:$B, A73, '[2]Raw Sales'!$H:$H)</f>
        <v>60</v>
      </c>
      <c r="I73" s="46">
        <f>SUMIF('[2]Raw Sales'!$B:$B, A73, '[2]Raw Sales'!$G:$G)</f>
        <v>81</v>
      </c>
      <c r="J73" s="46">
        <f t="shared" si="18"/>
        <v>206</v>
      </c>
      <c r="K73" s="46">
        <f t="shared" si="19"/>
        <v>68.666666666666671</v>
      </c>
      <c r="L73" s="45">
        <f t="shared" si="20"/>
        <v>25482200</v>
      </c>
      <c r="M73" s="45">
        <f t="shared" si="21"/>
        <v>8494066.6666666679</v>
      </c>
      <c r="N73" s="46">
        <f t="shared" si="22"/>
        <v>2.2888888888888888</v>
      </c>
      <c r="O73" s="46">
        <f>SUMIF('[2]Raw Inventory'!$B:$B, A73, '[2]Raw Inventory'!$D:$D)</f>
        <v>163</v>
      </c>
      <c r="P73" s="45">
        <f t="shared" si="23"/>
        <v>20163100</v>
      </c>
      <c r="Q73" s="46">
        <f t="shared" si="24"/>
        <v>71.213592233009692</v>
      </c>
      <c r="R73" s="46">
        <f>IFERROR(VLOOKUP(A73,'[2]MC Masterlist 2026-09-11'!$B:$M, 7, 0),0)</f>
        <v>45</v>
      </c>
      <c r="S73" s="46">
        <f>IFERROR(VLOOKUP(A73,'[2]MC Masterlist 2026-09-11'!$B:$M, 8, 0),0)</f>
        <v>30</v>
      </c>
      <c r="T73" s="46">
        <f t="shared" si="25"/>
        <v>75</v>
      </c>
      <c r="U73" s="46">
        <f t="shared" si="26"/>
        <v>60</v>
      </c>
      <c r="V73" s="46">
        <f>IFERROR(VLOOKUP(A73,'[2]MC Masterlist 2026-09-11'!$B:$L, 9, 0),0)</f>
        <v>90</v>
      </c>
      <c r="W73" s="46">
        <f t="shared" si="27"/>
        <v>68.666666666666657</v>
      </c>
      <c r="X73" s="46">
        <f t="shared" si="28"/>
        <v>171.66666666666666</v>
      </c>
      <c r="Y73" s="46">
        <f t="shared" si="29"/>
        <v>137.33333333333331</v>
      </c>
      <c r="Z73" s="46">
        <f t="shared" si="30"/>
        <v>206</v>
      </c>
      <c r="AA73" s="44" t="str">
        <f t="shared" si="31"/>
        <v>Re-order</v>
      </c>
      <c r="AB73" s="46">
        <f>IFERROR(VLOOKUP(A73,'[2]PO Balance'!$A:$C, 3, 0),0)</f>
        <v>112</v>
      </c>
      <c r="AC73" s="43"/>
      <c r="AD73" s="46">
        <f t="shared" si="32"/>
        <v>275</v>
      </c>
      <c r="AE73" s="46">
        <f t="shared" si="33"/>
        <v>120.14563106796118</v>
      </c>
      <c r="AF73" s="44" t="str">
        <f t="shared" si="34"/>
        <v>Over</v>
      </c>
      <c r="AG73" s="46">
        <f t="shared" si="35"/>
        <v>283.66666666666663</v>
      </c>
    </row>
    <row r="74" spans="1:33">
      <c r="A74" s="43" t="s">
        <v>75</v>
      </c>
      <c r="B74" s="44" t="str">
        <f>IFERROR(VLOOKUP(A74,'[2]Class ABC'!$A:$I, 9, 0),"")</f>
        <v>C39</v>
      </c>
      <c r="C74" s="44">
        <f>IFERROR(VLOOKUP(A74,'[2]Class ABC'!$A:$I, 6, 0),"")</f>
        <v>68</v>
      </c>
      <c r="D74" s="44" t="str">
        <f>IFERROR(CONCATENATE("Class ", VLOOKUP(A74,'[2]Class ABC'!$A:$I, 8, 0)),"Class C")</f>
        <v>Class C</v>
      </c>
      <c r="E74" s="43" t="str">
        <f>IFERROR(VLOOKUP(A74,'[2]MC Masterlist 2026-09-11'!$B:$M, 3, 0),"")</f>
        <v>SUZUKI</v>
      </c>
      <c r="F74" s="45">
        <f>IFERROR(VLOOKUP(A74,'[2]MC Masterlist 2026-09-11'!$B:$M, 6, 0),"")</f>
        <v>138952</v>
      </c>
      <c r="G74" s="46">
        <f>SUMIF('[2]Raw Sales'!$B:$B, A74, '[2]Raw Sales'!$I:$I)</f>
        <v>1</v>
      </c>
      <c r="H74" s="46">
        <f>SUMIF('[2]Raw Sales'!$B:$B, A74, '[2]Raw Sales'!$H:$H)</f>
        <v>1</v>
      </c>
      <c r="I74" s="46">
        <f>SUMIF('[2]Raw Sales'!$B:$B, A74, '[2]Raw Sales'!$G:$G)</f>
        <v>0</v>
      </c>
      <c r="J74" s="46">
        <f t="shared" si="18"/>
        <v>2</v>
      </c>
      <c r="K74" s="46">
        <f t="shared" si="19"/>
        <v>0.66666666666666663</v>
      </c>
      <c r="L74" s="45">
        <f t="shared" si="20"/>
        <v>277904</v>
      </c>
      <c r="M74" s="45">
        <f t="shared" si="21"/>
        <v>92634.666666666657</v>
      </c>
      <c r="N74" s="46">
        <f t="shared" si="22"/>
        <v>2.2222222222222223E-2</v>
      </c>
      <c r="O74" s="46">
        <f>SUMIF('[2]Raw Inventory'!$B:$B, A74, '[2]Raw Inventory'!$D:$D)</f>
        <v>19</v>
      </c>
      <c r="P74" s="45">
        <f t="shared" si="23"/>
        <v>2640088</v>
      </c>
      <c r="Q74" s="46">
        <f t="shared" si="24"/>
        <v>855.00000000000011</v>
      </c>
      <c r="R74" s="46">
        <f>IFERROR(VLOOKUP(A74,'[2]MC Masterlist 2026-09-11'!$B:$M, 7, 0),0)</f>
        <v>45</v>
      </c>
      <c r="S74" s="46">
        <f>IFERROR(VLOOKUP(A74,'[2]MC Masterlist 2026-09-11'!$B:$M, 8, 0),0)</f>
        <v>30</v>
      </c>
      <c r="T74" s="46">
        <f t="shared" si="25"/>
        <v>75</v>
      </c>
      <c r="U74" s="46">
        <f t="shared" si="26"/>
        <v>60</v>
      </c>
      <c r="V74" s="46">
        <f>IFERROR(VLOOKUP(A74,'[2]MC Masterlist 2026-09-11'!$B:$L, 9, 0),0)</f>
        <v>90</v>
      </c>
      <c r="W74" s="46">
        <f t="shared" si="27"/>
        <v>0.66666666666666674</v>
      </c>
      <c r="X74" s="46">
        <f t="shared" si="28"/>
        <v>1.6666666666666667</v>
      </c>
      <c r="Y74" s="46">
        <f t="shared" si="29"/>
        <v>1.3333333333333335</v>
      </c>
      <c r="Z74" s="46">
        <f t="shared" si="30"/>
        <v>2</v>
      </c>
      <c r="AA74" s="44" t="str">
        <f t="shared" si="31"/>
        <v>Over</v>
      </c>
      <c r="AB74" s="46">
        <f>IFERROR(VLOOKUP(A74,'[2]PO Balance'!$A:$C, 3, 0),0)</f>
        <v>38</v>
      </c>
      <c r="AC74" s="43"/>
      <c r="AD74" s="46">
        <f t="shared" si="32"/>
        <v>57</v>
      </c>
      <c r="AE74" s="46">
        <f t="shared" si="33"/>
        <v>2565</v>
      </c>
      <c r="AF74" s="44" t="str">
        <f t="shared" si="34"/>
        <v>Over</v>
      </c>
      <c r="AG74" s="46">
        <f t="shared" si="35"/>
        <v>39.666666666666664</v>
      </c>
    </row>
    <row r="75" spans="1:33">
      <c r="A75" s="43" t="s">
        <v>175</v>
      </c>
      <c r="B75" s="44" t="str">
        <f>IFERROR(VLOOKUP(A75,'[2]Class ABC'!$A:$I, 9, 0),"")</f>
        <v/>
      </c>
      <c r="C75" s="44" t="str">
        <f>IFERROR(VLOOKUP(A75,'[2]Class ABC'!$A:$I, 6, 0),"")</f>
        <v/>
      </c>
      <c r="D75" s="44" t="str">
        <f>IFERROR(CONCATENATE("Class ", VLOOKUP(A75,'[2]Class ABC'!$A:$I, 8, 0)),"Class C")</f>
        <v>Class C</v>
      </c>
      <c r="E75" s="43" t="str">
        <f>IFERROR(VLOOKUP(A75,'[2]MC Masterlist 2026-09-11'!$B:$M, 3, 0),"")</f>
        <v>KAWASAKI</v>
      </c>
      <c r="F75" s="45">
        <f>IFERROR(VLOOKUP(A75,'[2]MC Masterlist 2026-09-11'!$B:$M, 6, 0),"")</f>
        <v>73158</v>
      </c>
      <c r="G75" s="46">
        <f>SUMIF('[2]Raw Sales'!$B:$B, A75, '[2]Raw Sales'!$I:$I)</f>
        <v>0</v>
      </c>
      <c r="H75" s="46">
        <f>SUMIF('[2]Raw Sales'!$B:$B, A75, '[2]Raw Sales'!$H:$H)</f>
        <v>0</v>
      </c>
      <c r="I75" s="46">
        <f>SUMIF('[2]Raw Sales'!$B:$B, A75, '[2]Raw Sales'!$G:$G)</f>
        <v>0</v>
      </c>
      <c r="J75" s="46">
        <f t="shared" si="18"/>
        <v>0</v>
      </c>
      <c r="K75" s="46">
        <f t="shared" si="19"/>
        <v>0</v>
      </c>
      <c r="L75" s="45">
        <f t="shared" si="20"/>
        <v>0</v>
      </c>
      <c r="M75" s="45">
        <f t="shared" si="21"/>
        <v>0</v>
      </c>
      <c r="N75" s="46">
        <f t="shared" si="22"/>
        <v>0</v>
      </c>
      <c r="O75" s="46">
        <f>SUMIF('[2]Raw Inventory'!$B:$B, A75, '[2]Raw Inventory'!$D:$D)</f>
        <v>1</v>
      </c>
      <c r="P75" s="45">
        <f t="shared" si="23"/>
        <v>73158</v>
      </c>
      <c r="Q75" s="46" t="str">
        <f t="shared" si="24"/>
        <v/>
      </c>
      <c r="R75" s="46">
        <f>IFERROR(VLOOKUP(A75,'[2]MC Masterlist 2026-09-11'!$B:$M, 7, 0),0)</f>
        <v>45</v>
      </c>
      <c r="S75" s="46">
        <f>IFERROR(VLOOKUP(A75,'[2]MC Masterlist 2026-09-11'!$B:$M, 8, 0),0)</f>
        <v>30</v>
      </c>
      <c r="T75" s="46">
        <f t="shared" si="25"/>
        <v>75</v>
      </c>
      <c r="U75" s="46">
        <f t="shared" si="26"/>
        <v>60</v>
      </c>
      <c r="V75" s="46">
        <f>IFERROR(VLOOKUP(A75,'[2]MC Masterlist 2026-09-11'!$B:$L, 9, 0),0)</f>
        <v>90</v>
      </c>
      <c r="W75" s="46">
        <f t="shared" si="27"/>
        <v>0</v>
      </c>
      <c r="X75" s="46">
        <f t="shared" si="28"/>
        <v>0</v>
      </c>
      <c r="Y75" s="46">
        <f t="shared" si="29"/>
        <v>0</v>
      </c>
      <c r="Z75" s="46">
        <f t="shared" si="30"/>
        <v>0</v>
      </c>
      <c r="AA75" s="44" t="str">
        <f t="shared" si="31"/>
        <v>Over</v>
      </c>
      <c r="AB75" s="46">
        <f>IFERROR(VLOOKUP(A75,'[2]PO Balance'!$A:$C, 3, 0),0)</f>
        <v>0</v>
      </c>
      <c r="AC75" s="43"/>
      <c r="AD75" s="46">
        <f t="shared" si="32"/>
        <v>1</v>
      </c>
      <c r="AE75" s="46">
        <f t="shared" si="33"/>
        <v>0</v>
      </c>
      <c r="AF75" s="44" t="str">
        <f t="shared" si="34"/>
        <v>Over</v>
      </c>
      <c r="AG75" s="46">
        <f t="shared" si="35"/>
        <v>0</v>
      </c>
    </row>
    <row r="76" spans="1:33">
      <c r="A76" s="43" t="s">
        <v>68</v>
      </c>
      <c r="B76" s="44" t="str">
        <f>IFERROR(VLOOKUP(A76,'[2]Class ABC'!$A:$I, 9, 0),"")</f>
        <v/>
      </c>
      <c r="C76" s="44" t="str">
        <f>IFERROR(VLOOKUP(A76,'[2]Class ABC'!$A:$I, 6, 0),"")</f>
        <v/>
      </c>
      <c r="D76" s="44" t="str">
        <f>IFERROR(CONCATENATE("Class ", VLOOKUP(A76,'[2]Class ABC'!$A:$I, 8, 0)),"Class C")</f>
        <v>Class C</v>
      </c>
      <c r="E76" s="43" t="str">
        <f>IFERROR(VLOOKUP(A76,'[2]MC Masterlist 2026-09-11'!$B:$M, 3, 0),"")</f>
        <v>SUZUKI</v>
      </c>
      <c r="F76" s="45">
        <f>IFERROR(VLOOKUP(A76,'[2]MC Masterlist 2026-09-11'!$B:$M, 6, 0),"")</f>
        <v>70037</v>
      </c>
      <c r="G76" s="46">
        <f>SUMIF('[2]Raw Sales'!$B:$B, A76, '[2]Raw Sales'!$I:$I)</f>
        <v>0</v>
      </c>
      <c r="H76" s="46">
        <f>SUMIF('[2]Raw Sales'!$B:$B, A76, '[2]Raw Sales'!$H:$H)</f>
        <v>0</v>
      </c>
      <c r="I76" s="46">
        <f>SUMIF('[2]Raw Sales'!$B:$B, A76, '[2]Raw Sales'!$G:$G)</f>
        <v>0</v>
      </c>
      <c r="J76" s="46">
        <f t="shared" si="18"/>
        <v>0</v>
      </c>
      <c r="K76" s="46">
        <f t="shared" si="19"/>
        <v>0</v>
      </c>
      <c r="L76" s="45">
        <f t="shared" si="20"/>
        <v>0</v>
      </c>
      <c r="M76" s="45">
        <f t="shared" si="21"/>
        <v>0</v>
      </c>
      <c r="N76" s="46">
        <f t="shared" si="22"/>
        <v>0</v>
      </c>
      <c r="O76" s="46">
        <f>SUMIF('[2]Raw Inventory'!$B:$B, A76, '[2]Raw Inventory'!$D:$D)</f>
        <v>6</v>
      </c>
      <c r="P76" s="45">
        <f t="shared" si="23"/>
        <v>420222</v>
      </c>
      <c r="Q76" s="46" t="str">
        <f t="shared" si="24"/>
        <v/>
      </c>
      <c r="R76" s="46">
        <f>IFERROR(VLOOKUP(A76,'[2]MC Masterlist 2026-09-11'!$B:$M, 7, 0),0)</f>
        <v>45</v>
      </c>
      <c r="S76" s="46">
        <f>IFERROR(VLOOKUP(A76,'[2]MC Masterlist 2026-09-11'!$B:$M, 8, 0),0)</f>
        <v>30</v>
      </c>
      <c r="T76" s="46">
        <f t="shared" si="25"/>
        <v>75</v>
      </c>
      <c r="U76" s="46">
        <f t="shared" si="26"/>
        <v>60</v>
      </c>
      <c r="V76" s="46">
        <f>IFERROR(VLOOKUP(A76,'[2]MC Masterlist 2026-09-11'!$B:$L, 9, 0),0)</f>
        <v>90</v>
      </c>
      <c r="W76" s="46">
        <f t="shared" si="27"/>
        <v>0</v>
      </c>
      <c r="X76" s="46">
        <f t="shared" si="28"/>
        <v>0</v>
      </c>
      <c r="Y76" s="46">
        <f t="shared" si="29"/>
        <v>0</v>
      </c>
      <c r="Z76" s="46">
        <f t="shared" si="30"/>
        <v>0</v>
      </c>
      <c r="AA76" s="44" t="str">
        <f t="shared" si="31"/>
        <v>Over</v>
      </c>
      <c r="AB76" s="46">
        <f>IFERROR(VLOOKUP(A76,'[2]PO Balance'!$A:$C, 3, 0),0)</f>
        <v>0</v>
      </c>
      <c r="AC76" s="43"/>
      <c r="AD76" s="46">
        <f t="shared" si="32"/>
        <v>6</v>
      </c>
      <c r="AE76" s="46">
        <f t="shared" si="33"/>
        <v>0</v>
      </c>
      <c r="AF76" s="44" t="str">
        <f t="shared" si="34"/>
        <v>Over</v>
      </c>
      <c r="AG76" s="46">
        <f t="shared" si="35"/>
        <v>0</v>
      </c>
    </row>
    <row r="77" spans="1:33">
      <c r="A77" s="43" t="s">
        <v>125</v>
      </c>
      <c r="B77" s="44" t="str">
        <f>IFERROR(VLOOKUP(A77,'[2]Class ABC'!$A:$I, 9, 0),"")</f>
        <v>C45</v>
      </c>
      <c r="C77" s="44">
        <f>IFERROR(VLOOKUP(A77,'[2]Class ABC'!$A:$I, 6, 0),"")</f>
        <v>74</v>
      </c>
      <c r="D77" s="44" t="str">
        <f>IFERROR(CONCATENATE("Class ", VLOOKUP(A77,'[2]Class ABC'!$A:$I, 8, 0)),"Class C")</f>
        <v>Class C</v>
      </c>
      <c r="E77" s="43" t="str">
        <f>IFERROR(VLOOKUP(A77,'[2]MC Masterlist 2026-09-11'!$B:$M, 3, 0),"")</f>
        <v>SUZUKI</v>
      </c>
      <c r="F77" s="45">
        <f>IFERROR(VLOOKUP(A77,'[2]MC Masterlist 2026-09-11'!$B:$M, 6, 0),"")</f>
        <v>68177</v>
      </c>
      <c r="G77" s="46">
        <f>SUMIF('[2]Raw Sales'!$B:$B, A77, '[2]Raw Sales'!$I:$I)</f>
        <v>1</v>
      </c>
      <c r="H77" s="46">
        <f>SUMIF('[2]Raw Sales'!$B:$B, A77, '[2]Raw Sales'!$H:$H)</f>
        <v>0</v>
      </c>
      <c r="I77" s="46">
        <f>SUMIF('[2]Raw Sales'!$B:$B, A77, '[2]Raw Sales'!$G:$G)</f>
        <v>1</v>
      </c>
      <c r="J77" s="46">
        <f t="shared" si="18"/>
        <v>2</v>
      </c>
      <c r="K77" s="46">
        <f t="shared" si="19"/>
        <v>0.66666666666666663</v>
      </c>
      <c r="L77" s="45">
        <f t="shared" si="20"/>
        <v>136354</v>
      </c>
      <c r="M77" s="45">
        <f t="shared" si="21"/>
        <v>45451.333333333328</v>
      </c>
      <c r="N77" s="46">
        <f t="shared" si="22"/>
        <v>2.2222222222222223E-2</v>
      </c>
      <c r="O77" s="46">
        <f>SUMIF('[2]Raw Inventory'!$B:$B, A77, '[2]Raw Inventory'!$D:$D)</f>
        <v>2</v>
      </c>
      <c r="P77" s="45">
        <f t="shared" si="23"/>
        <v>136354</v>
      </c>
      <c r="Q77" s="46">
        <f t="shared" si="24"/>
        <v>90.000000000000014</v>
      </c>
      <c r="R77" s="46">
        <f>IFERROR(VLOOKUP(A77,'[2]MC Masterlist 2026-09-11'!$B:$M, 7, 0),0)</f>
        <v>45</v>
      </c>
      <c r="S77" s="46">
        <f>IFERROR(VLOOKUP(A77,'[2]MC Masterlist 2026-09-11'!$B:$M, 8, 0),0)</f>
        <v>30</v>
      </c>
      <c r="T77" s="46">
        <f t="shared" si="25"/>
        <v>75</v>
      </c>
      <c r="U77" s="46">
        <f t="shared" si="26"/>
        <v>60</v>
      </c>
      <c r="V77" s="46">
        <f>IFERROR(VLOOKUP(A77,'[2]MC Masterlist 2026-09-11'!$B:$L, 9, 0),0)</f>
        <v>90</v>
      </c>
      <c r="W77" s="46">
        <f t="shared" si="27"/>
        <v>0.66666666666666674</v>
      </c>
      <c r="X77" s="46">
        <f t="shared" si="28"/>
        <v>1.6666666666666667</v>
      </c>
      <c r="Y77" s="46">
        <f t="shared" si="29"/>
        <v>1.3333333333333335</v>
      </c>
      <c r="Z77" s="46">
        <f t="shared" si="30"/>
        <v>2</v>
      </c>
      <c r="AA77" s="44" t="str">
        <f t="shared" si="31"/>
        <v/>
      </c>
      <c r="AB77" s="46">
        <f>IFERROR(VLOOKUP(A77,'[2]PO Balance'!$A:$C, 3, 0),0)</f>
        <v>0</v>
      </c>
      <c r="AC77" s="43"/>
      <c r="AD77" s="46">
        <f t="shared" si="32"/>
        <v>2</v>
      </c>
      <c r="AE77" s="46">
        <f t="shared" si="33"/>
        <v>90</v>
      </c>
      <c r="AF77" s="44" t="str">
        <f t="shared" si="34"/>
        <v/>
      </c>
      <c r="AG77" s="46">
        <f t="shared" si="35"/>
        <v>1.6666666666666667</v>
      </c>
    </row>
    <row r="78" spans="1:33">
      <c r="A78" s="43" t="s">
        <v>104</v>
      </c>
      <c r="B78" s="44" t="str">
        <f>IFERROR(VLOOKUP(A78,'[2]Class ABC'!$A:$I, 9, 0),"")</f>
        <v>C44</v>
      </c>
      <c r="C78" s="44">
        <f>IFERROR(VLOOKUP(A78,'[2]Class ABC'!$A:$I, 6, 0),"")</f>
        <v>73</v>
      </c>
      <c r="D78" s="44" t="str">
        <f>IFERROR(CONCATENATE("Class ", VLOOKUP(A78,'[2]Class ABC'!$A:$I, 8, 0)),"Class C")</f>
        <v>Class C</v>
      </c>
      <c r="E78" s="43" t="str">
        <f>IFERROR(VLOOKUP(A78,'[2]MC Masterlist 2026-09-11'!$B:$M, 3, 0),"")</f>
        <v>SUZUKI</v>
      </c>
      <c r="F78" s="45">
        <f>IFERROR(VLOOKUP(A78,'[2]MC Masterlist 2026-09-11'!$B:$M, 6, 0),"")</f>
        <v>71062</v>
      </c>
      <c r="G78" s="46">
        <f>SUMIF('[2]Raw Sales'!$B:$B, A78, '[2]Raw Sales'!$I:$I)</f>
        <v>1</v>
      </c>
      <c r="H78" s="46">
        <f>SUMIF('[2]Raw Sales'!$B:$B, A78, '[2]Raw Sales'!$H:$H)</f>
        <v>0</v>
      </c>
      <c r="I78" s="46">
        <f>SUMIF('[2]Raw Sales'!$B:$B, A78, '[2]Raw Sales'!$G:$G)</f>
        <v>1</v>
      </c>
      <c r="J78" s="46">
        <f t="shared" si="18"/>
        <v>2</v>
      </c>
      <c r="K78" s="46">
        <f t="shared" si="19"/>
        <v>0.66666666666666663</v>
      </c>
      <c r="L78" s="45">
        <f t="shared" si="20"/>
        <v>142124</v>
      </c>
      <c r="M78" s="45">
        <f t="shared" si="21"/>
        <v>47374.666666666664</v>
      </c>
      <c r="N78" s="46">
        <f t="shared" si="22"/>
        <v>2.2222222222222223E-2</v>
      </c>
      <c r="O78" s="46">
        <f>SUMIF('[2]Raw Inventory'!$B:$B, A78, '[2]Raw Inventory'!$D:$D)</f>
        <v>5</v>
      </c>
      <c r="P78" s="45">
        <f t="shared" si="23"/>
        <v>355310</v>
      </c>
      <c r="Q78" s="46">
        <f t="shared" si="24"/>
        <v>225</v>
      </c>
      <c r="R78" s="46">
        <f>IFERROR(VLOOKUP(A78,'[2]MC Masterlist 2026-09-11'!$B:$M, 7, 0),0)</f>
        <v>45</v>
      </c>
      <c r="S78" s="46">
        <f>IFERROR(VLOOKUP(A78,'[2]MC Masterlist 2026-09-11'!$B:$M, 8, 0),0)</f>
        <v>30</v>
      </c>
      <c r="T78" s="46">
        <f t="shared" si="25"/>
        <v>75</v>
      </c>
      <c r="U78" s="46">
        <f t="shared" si="26"/>
        <v>60</v>
      </c>
      <c r="V78" s="46">
        <f>IFERROR(VLOOKUP(A78,'[2]MC Masterlist 2026-09-11'!$B:$L, 9, 0),0)</f>
        <v>90</v>
      </c>
      <c r="W78" s="46">
        <f t="shared" si="27"/>
        <v>0.66666666666666674</v>
      </c>
      <c r="X78" s="46">
        <f t="shared" si="28"/>
        <v>1.6666666666666667</v>
      </c>
      <c r="Y78" s="46">
        <f t="shared" si="29"/>
        <v>1.3333333333333335</v>
      </c>
      <c r="Z78" s="46">
        <f t="shared" si="30"/>
        <v>2</v>
      </c>
      <c r="AA78" s="44" t="str">
        <f t="shared" si="31"/>
        <v>Over</v>
      </c>
      <c r="AB78" s="46">
        <f>IFERROR(VLOOKUP(A78,'[2]PO Balance'!$A:$C, 3, 0),0)</f>
        <v>0</v>
      </c>
      <c r="AC78" s="43"/>
      <c r="AD78" s="46">
        <f t="shared" si="32"/>
        <v>5</v>
      </c>
      <c r="AE78" s="46">
        <f t="shared" si="33"/>
        <v>225</v>
      </c>
      <c r="AF78" s="44" t="str">
        <f t="shared" si="34"/>
        <v>Over</v>
      </c>
      <c r="AG78" s="46">
        <f t="shared" si="35"/>
        <v>1.6666666666666667</v>
      </c>
    </row>
    <row r="79" spans="1:33">
      <c r="A79" s="43" t="s">
        <v>108</v>
      </c>
      <c r="B79" s="44" t="str">
        <f>IFERROR(VLOOKUP(A79,'[2]Class ABC'!$A:$I, 9, 0),"")</f>
        <v>C46</v>
      </c>
      <c r="C79" s="44">
        <f>IFERROR(VLOOKUP(A79,'[2]Class ABC'!$A:$I, 6, 0),"")</f>
        <v>75</v>
      </c>
      <c r="D79" s="44" t="str">
        <f>IFERROR(CONCATENATE("Class ", VLOOKUP(A79,'[2]Class ABC'!$A:$I, 8, 0)),"Class C")</f>
        <v>Class C</v>
      </c>
      <c r="E79" s="43" t="str">
        <f>IFERROR(VLOOKUP(A79,'[2]MC Masterlist 2026-09-11'!$B:$M, 3, 0),"")</f>
        <v>SUZUKI</v>
      </c>
      <c r="F79" s="45">
        <f>IFERROR(VLOOKUP(A79,'[2]MC Masterlist 2026-09-11'!$B:$M, 6, 0),"")</f>
        <v>66412</v>
      </c>
      <c r="G79" s="46">
        <f>SUMIF('[2]Raw Sales'!$B:$B, A79, '[2]Raw Sales'!$I:$I)</f>
        <v>0</v>
      </c>
      <c r="H79" s="46">
        <f>SUMIF('[2]Raw Sales'!$B:$B, A79, '[2]Raw Sales'!$H:$H)</f>
        <v>1</v>
      </c>
      <c r="I79" s="46">
        <f>SUMIF('[2]Raw Sales'!$B:$B, A79, '[2]Raw Sales'!$G:$G)</f>
        <v>1</v>
      </c>
      <c r="J79" s="46">
        <f t="shared" si="18"/>
        <v>2</v>
      </c>
      <c r="K79" s="46">
        <f t="shared" si="19"/>
        <v>0.66666666666666663</v>
      </c>
      <c r="L79" s="45">
        <f t="shared" si="20"/>
        <v>132824</v>
      </c>
      <c r="M79" s="45">
        <f t="shared" si="21"/>
        <v>44274.666666666664</v>
      </c>
      <c r="N79" s="46">
        <f t="shared" si="22"/>
        <v>2.2222222222222223E-2</v>
      </c>
      <c r="O79" s="46">
        <f>SUMIF('[2]Raw Inventory'!$B:$B, A79, '[2]Raw Inventory'!$D:$D)</f>
        <v>12</v>
      </c>
      <c r="P79" s="45">
        <f t="shared" si="23"/>
        <v>796944</v>
      </c>
      <c r="Q79" s="46">
        <f t="shared" si="24"/>
        <v>540</v>
      </c>
      <c r="R79" s="46">
        <f>IFERROR(VLOOKUP(A79,'[2]MC Masterlist 2026-09-11'!$B:$M, 7, 0),0)</f>
        <v>45</v>
      </c>
      <c r="S79" s="46">
        <f>IFERROR(VLOOKUP(A79,'[2]MC Masterlist 2026-09-11'!$B:$M, 8, 0),0)</f>
        <v>30</v>
      </c>
      <c r="T79" s="46">
        <f t="shared" si="25"/>
        <v>75</v>
      </c>
      <c r="U79" s="46">
        <f t="shared" si="26"/>
        <v>60</v>
      </c>
      <c r="V79" s="46">
        <f>IFERROR(VLOOKUP(A79,'[2]MC Masterlist 2026-09-11'!$B:$L, 9, 0),0)</f>
        <v>90</v>
      </c>
      <c r="W79" s="46">
        <f t="shared" si="27"/>
        <v>0.66666666666666674</v>
      </c>
      <c r="X79" s="46">
        <f t="shared" si="28"/>
        <v>1.6666666666666667</v>
      </c>
      <c r="Y79" s="46">
        <f t="shared" si="29"/>
        <v>1.3333333333333335</v>
      </c>
      <c r="Z79" s="46">
        <f t="shared" si="30"/>
        <v>2</v>
      </c>
      <c r="AA79" s="44" t="str">
        <f t="shared" si="31"/>
        <v>Over</v>
      </c>
      <c r="AB79" s="46">
        <f>IFERROR(VLOOKUP(A79,'[2]PO Balance'!$A:$C, 3, 0),0)</f>
        <v>0</v>
      </c>
      <c r="AC79" s="43"/>
      <c r="AD79" s="46">
        <f t="shared" si="32"/>
        <v>12</v>
      </c>
      <c r="AE79" s="46">
        <f t="shared" si="33"/>
        <v>540</v>
      </c>
      <c r="AF79" s="44" t="str">
        <f t="shared" si="34"/>
        <v>Over</v>
      </c>
      <c r="AG79" s="46">
        <f t="shared" si="35"/>
        <v>1.6666666666666667</v>
      </c>
    </row>
    <row r="80" spans="1:33">
      <c r="A80" s="43" t="s">
        <v>82</v>
      </c>
      <c r="B80" s="44" t="str">
        <f>IFERROR(VLOOKUP(A80,'[2]Class ABC'!$A:$I, 9, 0),"")</f>
        <v>C7</v>
      </c>
      <c r="C80" s="44">
        <f>IFERROR(VLOOKUP(A80,'[2]Class ABC'!$A:$I, 6, 0),"")</f>
        <v>36</v>
      </c>
      <c r="D80" s="44" t="str">
        <f>IFERROR(CONCATENATE("Class ", VLOOKUP(A80,'[2]Class ABC'!$A:$I, 8, 0)),"Class C")</f>
        <v>Class C</v>
      </c>
      <c r="E80" s="43" t="str">
        <f>IFERROR(VLOOKUP(A80,'[2]MC Masterlist 2026-09-11'!$B:$M, 3, 0),"")</f>
        <v>SUZUKI</v>
      </c>
      <c r="F80" s="45">
        <f>IFERROR(VLOOKUP(A80,'[2]MC Masterlist 2026-09-11'!$B:$M, 6, 0),"")</f>
        <v>67342</v>
      </c>
      <c r="G80" s="46">
        <f>SUMIF('[2]Raw Sales'!$B:$B, A80, '[2]Raw Sales'!$I:$I)</f>
        <v>11</v>
      </c>
      <c r="H80" s="46">
        <f>SUMIF('[2]Raw Sales'!$B:$B, A80, '[2]Raw Sales'!$H:$H)</f>
        <v>8</v>
      </c>
      <c r="I80" s="46">
        <f>SUMIF('[2]Raw Sales'!$B:$B, A80, '[2]Raw Sales'!$G:$G)</f>
        <v>5</v>
      </c>
      <c r="J80" s="46">
        <f t="shared" si="18"/>
        <v>24</v>
      </c>
      <c r="K80" s="46">
        <f t="shared" si="19"/>
        <v>8</v>
      </c>
      <c r="L80" s="45">
        <f t="shared" si="20"/>
        <v>1616208</v>
      </c>
      <c r="M80" s="45">
        <f t="shared" si="21"/>
        <v>538736</v>
      </c>
      <c r="N80" s="46">
        <f t="shared" si="22"/>
        <v>0.26666666666666666</v>
      </c>
      <c r="O80" s="46">
        <f>SUMIF('[2]Raw Inventory'!$B:$B, A80, '[2]Raw Inventory'!$D:$D)</f>
        <v>18</v>
      </c>
      <c r="P80" s="45">
        <f t="shared" si="23"/>
        <v>1212156</v>
      </c>
      <c r="Q80" s="46">
        <f t="shared" si="24"/>
        <v>67.5</v>
      </c>
      <c r="R80" s="46">
        <f>IFERROR(VLOOKUP(A80,'[2]MC Masterlist 2026-09-11'!$B:$M, 7, 0),0)</f>
        <v>45</v>
      </c>
      <c r="S80" s="46">
        <f>IFERROR(VLOOKUP(A80,'[2]MC Masterlist 2026-09-11'!$B:$M, 8, 0),0)</f>
        <v>30</v>
      </c>
      <c r="T80" s="46">
        <f t="shared" si="25"/>
        <v>75</v>
      </c>
      <c r="U80" s="46">
        <f t="shared" si="26"/>
        <v>60</v>
      </c>
      <c r="V80" s="46">
        <f>IFERROR(VLOOKUP(A80,'[2]MC Masterlist 2026-09-11'!$B:$L, 9, 0),0)</f>
        <v>90</v>
      </c>
      <c r="W80" s="46">
        <f t="shared" si="27"/>
        <v>8</v>
      </c>
      <c r="X80" s="46">
        <f t="shared" si="28"/>
        <v>20</v>
      </c>
      <c r="Y80" s="46">
        <f t="shared" si="29"/>
        <v>16</v>
      </c>
      <c r="Z80" s="46">
        <f t="shared" si="30"/>
        <v>24</v>
      </c>
      <c r="AA80" s="44" t="str">
        <f t="shared" si="31"/>
        <v>Re-order</v>
      </c>
      <c r="AB80" s="46">
        <f>IFERROR(VLOOKUP(A80,'[2]PO Balance'!$A:$C, 3, 0),0)</f>
        <v>20</v>
      </c>
      <c r="AC80" s="43"/>
      <c r="AD80" s="46">
        <f t="shared" si="32"/>
        <v>38</v>
      </c>
      <c r="AE80" s="46">
        <f t="shared" si="33"/>
        <v>142.5</v>
      </c>
      <c r="AF80" s="44" t="str">
        <f t="shared" si="34"/>
        <v>Over</v>
      </c>
      <c r="AG80" s="46">
        <f t="shared" si="35"/>
        <v>40</v>
      </c>
    </row>
    <row r="81" spans="1:33">
      <c r="A81" s="43" t="s">
        <v>76</v>
      </c>
      <c r="B81" s="44" t="str">
        <f>IFERROR(VLOOKUP(A81,'[2]Class ABC'!$A:$I, 9, 0),"")</f>
        <v>C2</v>
      </c>
      <c r="C81" s="44">
        <f>IFERROR(VLOOKUP(A81,'[2]Class ABC'!$A:$I, 6, 0),"")</f>
        <v>31</v>
      </c>
      <c r="D81" s="44" t="str">
        <f>IFERROR(CONCATENATE("Class ", VLOOKUP(A81,'[2]Class ABC'!$A:$I, 8, 0)),"Class C")</f>
        <v>Class C</v>
      </c>
      <c r="E81" s="43" t="str">
        <f>IFERROR(VLOOKUP(A81,'[2]MC Masterlist 2026-09-11'!$B:$M, 3, 0),"")</f>
        <v>SUZUKI</v>
      </c>
      <c r="F81" s="45">
        <f>IFERROR(VLOOKUP(A81,'[2]MC Masterlist 2026-09-11'!$B:$M, 6, 0),"")</f>
        <v>62692</v>
      </c>
      <c r="G81" s="46">
        <f>SUMIF('[2]Raw Sales'!$B:$B, A81, '[2]Raw Sales'!$I:$I)</f>
        <v>9</v>
      </c>
      <c r="H81" s="46">
        <f>SUMIF('[2]Raw Sales'!$B:$B, A81, '[2]Raw Sales'!$H:$H)</f>
        <v>15</v>
      </c>
      <c r="I81" s="46">
        <f>SUMIF('[2]Raw Sales'!$B:$B, A81, '[2]Raw Sales'!$G:$G)</f>
        <v>21</v>
      </c>
      <c r="J81" s="46">
        <f t="shared" si="18"/>
        <v>45</v>
      </c>
      <c r="K81" s="46">
        <f t="shared" si="19"/>
        <v>15</v>
      </c>
      <c r="L81" s="45">
        <f t="shared" si="20"/>
        <v>2821140</v>
      </c>
      <c r="M81" s="45">
        <f t="shared" si="21"/>
        <v>940380</v>
      </c>
      <c r="N81" s="46">
        <f t="shared" si="22"/>
        <v>0.5</v>
      </c>
      <c r="O81" s="46">
        <f>SUMIF('[2]Raw Inventory'!$B:$B, A81, '[2]Raw Inventory'!$D:$D)</f>
        <v>52</v>
      </c>
      <c r="P81" s="45">
        <f t="shared" si="23"/>
        <v>3259984</v>
      </c>
      <c r="Q81" s="46">
        <f t="shared" si="24"/>
        <v>104</v>
      </c>
      <c r="R81" s="46">
        <f>IFERROR(VLOOKUP(A81,'[2]MC Masterlist 2026-09-11'!$B:$M, 7, 0),0)</f>
        <v>45</v>
      </c>
      <c r="S81" s="46">
        <f>IFERROR(VLOOKUP(A81,'[2]MC Masterlist 2026-09-11'!$B:$M, 8, 0),0)</f>
        <v>30</v>
      </c>
      <c r="T81" s="46">
        <f t="shared" si="25"/>
        <v>75</v>
      </c>
      <c r="U81" s="46">
        <f t="shared" si="26"/>
        <v>60</v>
      </c>
      <c r="V81" s="46">
        <f>IFERROR(VLOOKUP(A81,'[2]MC Masterlist 2026-09-11'!$B:$L, 9, 0),0)</f>
        <v>90</v>
      </c>
      <c r="W81" s="46">
        <f t="shared" si="27"/>
        <v>15</v>
      </c>
      <c r="X81" s="46">
        <f t="shared" si="28"/>
        <v>37.5</v>
      </c>
      <c r="Y81" s="46">
        <f t="shared" si="29"/>
        <v>30</v>
      </c>
      <c r="Z81" s="46">
        <f t="shared" si="30"/>
        <v>45</v>
      </c>
      <c r="AA81" s="44" t="str">
        <f t="shared" si="31"/>
        <v>Over</v>
      </c>
      <c r="AB81" s="46">
        <f>IFERROR(VLOOKUP(A81,'[2]PO Balance'!$A:$C, 3, 0),0)</f>
        <v>0</v>
      </c>
      <c r="AC81" s="43"/>
      <c r="AD81" s="46">
        <f t="shared" si="32"/>
        <v>52</v>
      </c>
      <c r="AE81" s="46">
        <f t="shared" si="33"/>
        <v>104</v>
      </c>
      <c r="AF81" s="44" t="str">
        <f t="shared" si="34"/>
        <v>Over</v>
      </c>
      <c r="AG81" s="46">
        <f t="shared" si="35"/>
        <v>37.5</v>
      </c>
    </row>
    <row r="82" spans="1:33">
      <c r="A82" s="43" t="s">
        <v>45</v>
      </c>
      <c r="B82" s="44" t="str">
        <f>IFERROR(VLOOKUP(A82,'[2]Class ABC'!$A:$I, 9, 0),"")</f>
        <v>B15</v>
      </c>
      <c r="C82" s="44">
        <f>IFERROR(VLOOKUP(A82,'[2]Class ABC'!$A:$I, 6, 0),"")</f>
        <v>24</v>
      </c>
      <c r="D82" s="44" t="str">
        <f>IFERROR(CONCATENATE("Class ", VLOOKUP(A82,'[2]Class ABC'!$A:$I, 8, 0)),"Class C")</f>
        <v>Class B</v>
      </c>
      <c r="E82" s="43" t="str">
        <f>IFERROR(VLOOKUP(A82,'[2]MC Masterlist 2026-09-11'!$B:$M, 3, 0),"")</f>
        <v>YAMAHA</v>
      </c>
      <c r="F82" s="45">
        <f>IFERROR(VLOOKUP(A82,'[2]MC Masterlist 2026-09-11'!$B:$M, 6, 0),"")</f>
        <v>117087</v>
      </c>
      <c r="G82" s="46">
        <f>SUMIF('[2]Raw Sales'!$B:$B, A82, '[2]Raw Sales'!$I:$I)</f>
        <v>27</v>
      </c>
      <c r="H82" s="46">
        <f>SUMIF('[2]Raw Sales'!$B:$B, A82, '[2]Raw Sales'!$H:$H)</f>
        <v>8</v>
      </c>
      <c r="I82" s="46">
        <f>SUMIF('[2]Raw Sales'!$B:$B, A82, '[2]Raw Sales'!$G:$G)</f>
        <v>3</v>
      </c>
      <c r="J82" s="46">
        <f t="shared" si="18"/>
        <v>38</v>
      </c>
      <c r="K82" s="46">
        <f t="shared" si="19"/>
        <v>12.666666666666666</v>
      </c>
      <c r="L82" s="45">
        <f t="shared" si="20"/>
        <v>4449306</v>
      </c>
      <c r="M82" s="45">
        <f t="shared" si="21"/>
        <v>1483102</v>
      </c>
      <c r="N82" s="46">
        <f t="shared" si="22"/>
        <v>0.42222222222222222</v>
      </c>
      <c r="O82" s="46">
        <f>SUMIF('[2]Raw Inventory'!$B:$B, A82, '[2]Raw Inventory'!$D:$D)</f>
        <v>8</v>
      </c>
      <c r="P82" s="45">
        <f t="shared" si="23"/>
        <v>936696</v>
      </c>
      <c r="Q82" s="46">
        <f t="shared" si="24"/>
        <v>18.94736842105263</v>
      </c>
      <c r="R82" s="46">
        <f>IFERROR(VLOOKUP(A82,'[2]MC Masterlist 2026-09-11'!$B:$M, 7, 0),0)</f>
        <v>45</v>
      </c>
      <c r="S82" s="46">
        <f>IFERROR(VLOOKUP(A82,'[2]MC Masterlist 2026-09-11'!$B:$M, 8, 0),0)</f>
        <v>30</v>
      </c>
      <c r="T82" s="46">
        <f t="shared" si="25"/>
        <v>75</v>
      </c>
      <c r="U82" s="46">
        <f t="shared" si="26"/>
        <v>60</v>
      </c>
      <c r="V82" s="46">
        <f>IFERROR(VLOOKUP(A82,'[2]MC Masterlist 2026-09-11'!$B:$L, 9, 0),0)</f>
        <v>90</v>
      </c>
      <c r="W82" s="46">
        <f t="shared" si="27"/>
        <v>12.666666666666666</v>
      </c>
      <c r="X82" s="46">
        <f t="shared" si="28"/>
        <v>31.666666666666668</v>
      </c>
      <c r="Y82" s="46">
        <f t="shared" si="29"/>
        <v>25.333333333333332</v>
      </c>
      <c r="Z82" s="46">
        <f t="shared" si="30"/>
        <v>38</v>
      </c>
      <c r="AA82" s="44" t="str">
        <f t="shared" si="31"/>
        <v>Stockout</v>
      </c>
      <c r="AB82" s="46">
        <f>IFERROR(VLOOKUP(A82,'[2]PO Balance'!$A:$C, 3, 0),0)</f>
        <v>59</v>
      </c>
      <c r="AC82" s="43"/>
      <c r="AD82" s="46">
        <f t="shared" si="32"/>
        <v>67</v>
      </c>
      <c r="AE82" s="46">
        <f t="shared" si="33"/>
        <v>158.68421052631578</v>
      </c>
      <c r="AF82" s="44" t="str">
        <f t="shared" si="34"/>
        <v>Over</v>
      </c>
      <c r="AG82" s="46">
        <f t="shared" si="35"/>
        <v>90.666666666666671</v>
      </c>
    </row>
    <row r="83" spans="1:33">
      <c r="A83" s="43" t="s">
        <v>134</v>
      </c>
      <c r="B83" s="44" t="str">
        <f>IFERROR(VLOOKUP(A83,'[2]Class ABC'!$A:$I, 9, 0),"")</f>
        <v/>
      </c>
      <c r="C83" s="44" t="str">
        <f>IFERROR(VLOOKUP(A83,'[2]Class ABC'!$A:$I, 6, 0),"")</f>
        <v/>
      </c>
      <c r="D83" s="44" t="str">
        <f>IFERROR(CONCATENATE("Class ", VLOOKUP(A83,'[2]Class ABC'!$A:$I, 8, 0)),"Class C")</f>
        <v>Class C</v>
      </c>
      <c r="E83" s="43" t="str">
        <f>IFERROR(VLOOKUP(A83,'[2]MC Masterlist 2026-09-11'!$B:$M, 3, 0),"")</f>
        <v>HONDA</v>
      </c>
      <c r="F83" s="45">
        <f>IFERROR(VLOOKUP(A83,'[2]MC Masterlist 2026-09-11'!$B:$M, 6, 0),"")</f>
        <v>101358</v>
      </c>
      <c r="G83" s="46">
        <f>SUMIF('[2]Raw Sales'!$B:$B, A83, '[2]Raw Sales'!$I:$I)</f>
        <v>0</v>
      </c>
      <c r="H83" s="46">
        <f>SUMIF('[2]Raw Sales'!$B:$B, A83, '[2]Raw Sales'!$H:$H)</f>
        <v>0</v>
      </c>
      <c r="I83" s="46">
        <f>SUMIF('[2]Raw Sales'!$B:$B, A83, '[2]Raw Sales'!$G:$G)</f>
        <v>0</v>
      </c>
      <c r="J83" s="46">
        <f t="shared" si="18"/>
        <v>0</v>
      </c>
      <c r="K83" s="46">
        <f t="shared" si="19"/>
        <v>0</v>
      </c>
      <c r="L83" s="45">
        <f t="shared" si="20"/>
        <v>0</v>
      </c>
      <c r="M83" s="45">
        <f t="shared" si="21"/>
        <v>0</v>
      </c>
      <c r="N83" s="46">
        <f t="shared" si="22"/>
        <v>0</v>
      </c>
      <c r="O83" s="46">
        <f>SUMIF('[2]Raw Inventory'!$B:$B, A83, '[2]Raw Inventory'!$D:$D)</f>
        <v>1</v>
      </c>
      <c r="P83" s="45">
        <f t="shared" si="23"/>
        <v>101358</v>
      </c>
      <c r="Q83" s="46" t="str">
        <f t="shared" si="24"/>
        <v/>
      </c>
      <c r="R83" s="46">
        <f>IFERROR(VLOOKUP(A83,'[2]MC Masterlist 2026-09-11'!$B:$M, 7, 0),0)</f>
        <v>45</v>
      </c>
      <c r="S83" s="46">
        <f>IFERROR(VLOOKUP(A83,'[2]MC Masterlist 2026-09-11'!$B:$M, 8, 0),0)</f>
        <v>30</v>
      </c>
      <c r="T83" s="46">
        <f t="shared" si="25"/>
        <v>75</v>
      </c>
      <c r="U83" s="46">
        <f t="shared" si="26"/>
        <v>60</v>
      </c>
      <c r="V83" s="46">
        <f>IFERROR(VLOOKUP(A83,'[2]MC Masterlist 2026-09-11'!$B:$L, 9, 0),0)</f>
        <v>90</v>
      </c>
      <c r="W83" s="46">
        <f t="shared" si="27"/>
        <v>0</v>
      </c>
      <c r="X83" s="46">
        <f t="shared" si="28"/>
        <v>0</v>
      </c>
      <c r="Y83" s="46">
        <f t="shared" si="29"/>
        <v>0</v>
      </c>
      <c r="Z83" s="46">
        <f t="shared" si="30"/>
        <v>0</v>
      </c>
      <c r="AA83" s="44" t="str">
        <f t="shared" si="31"/>
        <v>Over</v>
      </c>
      <c r="AB83" s="46">
        <f>IFERROR(VLOOKUP(A83,'[2]PO Balance'!$A:$C, 3, 0),0)</f>
        <v>0</v>
      </c>
      <c r="AC83" s="43"/>
      <c r="AD83" s="46">
        <f t="shared" si="32"/>
        <v>1</v>
      </c>
      <c r="AE83" s="46">
        <f t="shared" si="33"/>
        <v>0</v>
      </c>
      <c r="AF83" s="44" t="str">
        <f t="shared" si="34"/>
        <v>Over</v>
      </c>
      <c r="AG83" s="46">
        <f t="shared" si="35"/>
        <v>0</v>
      </c>
    </row>
    <row r="84" spans="1:33">
      <c r="A84" s="43" t="s">
        <v>40</v>
      </c>
      <c r="B84" s="44" t="str">
        <f>IFERROR(VLOOKUP(A84,'[2]Class ABC'!$A:$I, 9, 0),"")</f>
        <v>B17</v>
      </c>
      <c r="C84" s="44">
        <f>IFERROR(VLOOKUP(A84,'[2]Class ABC'!$A:$I, 6, 0),"")</f>
        <v>26</v>
      </c>
      <c r="D84" s="44" t="str">
        <f>IFERROR(CONCATENATE("Class ", VLOOKUP(A84,'[2]Class ABC'!$A:$I, 8, 0)),"Class C")</f>
        <v>Class B</v>
      </c>
      <c r="E84" s="43" t="str">
        <f>IFERROR(VLOOKUP(A84,'[2]MC Masterlist 2026-09-11'!$B:$M, 3, 0),"")</f>
        <v>HONDA</v>
      </c>
      <c r="F84" s="45">
        <f>IFERROR(VLOOKUP(A84,'[2]MC Masterlist 2026-09-11'!$B:$M, 6, 0),"")</f>
        <v>56426</v>
      </c>
      <c r="G84" s="46">
        <f>SUMIF('[2]Raw Sales'!$B:$B, A84, '[2]Raw Sales'!$I:$I)</f>
        <v>32</v>
      </c>
      <c r="H84" s="46">
        <f>SUMIF('[2]Raw Sales'!$B:$B, A84, '[2]Raw Sales'!$H:$H)</f>
        <v>16</v>
      </c>
      <c r="I84" s="46">
        <f>SUMIF('[2]Raw Sales'!$B:$B, A84, '[2]Raw Sales'!$G:$G)</f>
        <v>24</v>
      </c>
      <c r="J84" s="46">
        <f t="shared" si="18"/>
        <v>72</v>
      </c>
      <c r="K84" s="46">
        <f t="shared" si="19"/>
        <v>24</v>
      </c>
      <c r="L84" s="45">
        <f t="shared" si="20"/>
        <v>4062672</v>
      </c>
      <c r="M84" s="45">
        <f t="shared" si="21"/>
        <v>1354224</v>
      </c>
      <c r="N84" s="46">
        <f t="shared" si="22"/>
        <v>0.8</v>
      </c>
      <c r="O84" s="46">
        <f>SUMIF('[2]Raw Inventory'!$B:$B, A84, '[2]Raw Inventory'!$D:$D)</f>
        <v>101</v>
      </c>
      <c r="P84" s="45">
        <f t="shared" si="23"/>
        <v>5699026</v>
      </c>
      <c r="Q84" s="46">
        <f t="shared" si="24"/>
        <v>126.24999999999999</v>
      </c>
      <c r="R84" s="46">
        <f>IFERROR(VLOOKUP(A84,'[2]MC Masterlist 2026-09-11'!$B:$M, 7, 0),0)</f>
        <v>45</v>
      </c>
      <c r="S84" s="46">
        <f>IFERROR(VLOOKUP(A84,'[2]MC Masterlist 2026-09-11'!$B:$M, 8, 0),0)</f>
        <v>30</v>
      </c>
      <c r="T84" s="46">
        <f t="shared" si="25"/>
        <v>75</v>
      </c>
      <c r="U84" s="46">
        <f t="shared" si="26"/>
        <v>60</v>
      </c>
      <c r="V84" s="46">
        <f>IFERROR(VLOOKUP(A84,'[2]MC Masterlist 2026-09-11'!$B:$L, 9, 0),0)</f>
        <v>90</v>
      </c>
      <c r="W84" s="46">
        <f t="shared" si="27"/>
        <v>24</v>
      </c>
      <c r="X84" s="46">
        <f t="shared" si="28"/>
        <v>60</v>
      </c>
      <c r="Y84" s="46">
        <f t="shared" si="29"/>
        <v>48</v>
      </c>
      <c r="Z84" s="46">
        <f t="shared" si="30"/>
        <v>72</v>
      </c>
      <c r="AA84" s="44" t="str">
        <f t="shared" si="31"/>
        <v>Over</v>
      </c>
      <c r="AB84" s="46">
        <f>IFERROR(VLOOKUP(A84,'[2]PO Balance'!$A:$C, 3, 0),0)</f>
        <v>51</v>
      </c>
      <c r="AC84" s="43"/>
      <c r="AD84" s="46">
        <f t="shared" si="32"/>
        <v>152</v>
      </c>
      <c r="AE84" s="46">
        <f t="shared" si="33"/>
        <v>190</v>
      </c>
      <c r="AF84" s="44" t="str">
        <f t="shared" si="34"/>
        <v>Over</v>
      </c>
      <c r="AG84" s="46">
        <f t="shared" si="35"/>
        <v>111</v>
      </c>
    </row>
    <row r="85" spans="1:33">
      <c r="A85" s="43" t="s">
        <v>36</v>
      </c>
      <c r="B85" s="44" t="str">
        <f>IFERROR(VLOOKUP(A85,'[2]Class ABC'!$A:$I, 9, 0),"")</f>
        <v>B20</v>
      </c>
      <c r="C85" s="44">
        <f>IFERROR(VLOOKUP(A85,'[2]Class ABC'!$A:$I, 6, 0),"")</f>
        <v>29</v>
      </c>
      <c r="D85" s="44" t="str">
        <f>IFERROR(CONCATENATE("Class ", VLOOKUP(A85,'[2]Class ABC'!$A:$I, 8, 0)),"Class C")</f>
        <v>Class B</v>
      </c>
      <c r="E85" s="43" t="str">
        <f>IFERROR(VLOOKUP(A85,'[2]MC Masterlist 2026-09-11'!$B:$M, 3, 0),"")</f>
        <v>HONDA</v>
      </c>
      <c r="F85" s="45">
        <f>IFERROR(VLOOKUP(A85,'[2]MC Masterlist 2026-09-11'!$B:$M, 6, 0),"")</f>
        <v>76850</v>
      </c>
      <c r="G85" s="46">
        <f>SUMIF('[2]Raw Sales'!$B:$B, A85, '[2]Raw Sales'!$I:$I)</f>
        <v>15</v>
      </c>
      <c r="H85" s="46">
        <f>SUMIF('[2]Raw Sales'!$B:$B, A85, '[2]Raw Sales'!$H:$H)</f>
        <v>12</v>
      </c>
      <c r="I85" s="46">
        <f>SUMIF('[2]Raw Sales'!$B:$B, A85, '[2]Raw Sales'!$G:$G)</f>
        <v>13</v>
      </c>
      <c r="J85" s="46">
        <f t="shared" si="18"/>
        <v>40</v>
      </c>
      <c r="K85" s="46">
        <f t="shared" si="19"/>
        <v>13.333333333333334</v>
      </c>
      <c r="L85" s="45">
        <f t="shared" si="20"/>
        <v>3074000</v>
      </c>
      <c r="M85" s="45">
        <f t="shared" si="21"/>
        <v>1024666.6666666667</v>
      </c>
      <c r="N85" s="46">
        <f t="shared" si="22"/>
        <v>0.44444444444444442</v>
      </c>
      <c r="O85" s="46">
        <f>SUMIF('[2]Raw Inventory'!$B:$B, A85, '[2]Raw Inventory'!$D:$D)</f>
        <v>46</v>
      </c>
      <c r="P85" s="45">
        <f t="shared" si="23"/>
        <v>3535100</v>
      </c>
      <c r="Q85" s="46">
        <f t="shared" si="24"/>
        <v>103.49999999999999</v>
      </c>
      <c r="R85" s="46">
        <f>IFERROR(VLOOKUP(A85,'[2]MC Masterlist 2026-09-11'!$B:$M, 7, 0),0)</f>
        <v>45</v>
      </c>
      <c r="S85" s="46">
        <f>IFERROR(VLOOKUP(A85,'[2]MC Masterlist 2026-09-11'!$B:$M, 8, 0),0)</f>
        <v>30</v>
      </c>
      <c r="T85" s="46">
        <f t="shared" si="25"/>
        <v>75</v>
      </c>
      <c r="U85" s="46">
        <f t="shared" si="26"/>
        <v>60</v>
      </c>
      <c r="V85" s="46">
        <f>IFERROR(VLOOKUP(A85,'[2]MC Masterlist 2026-09-11'!$B:$L, 9, 0),0)</f>
        <v>90</v>
      </c>
      <c r="W85" s="46">
        <f t="shared" si="27"/>
        <v>13.333333333333332</v>
      </c>
      <c r="X85" s="46">
        <f t="shared" si="28"/>
        <v>33.333333333333329</v>
      </c>
      <c r="Y85" s="46">
        <f t="shared" si="29"/>
        <v>26.666666666666664</v>
      </c>
      <c r="Z85" s="46">
        <f t="shared" si="30"/>
        <v>40</v>
      </c>
      <c r="AA85" s="44" t="str">
        <f t="shared" si="31"/>
        <v>Over</v>
      </c>
      <c r="AB85" s="46">
        <f>IFERROR(VLOOKUP(A85,'[2]PO Balance'!$A:$C, 3, 0),0)</f>
        <v>107</v>
      </c>
      <c r="AC85" s="43"/>
      <c r="AD85" s="46">
        <f t="shared" si="32"/>
        <v>153</v>
      </c>
      <c r="AE85" s="46">
        <f t="shared" si="33"/>
        <v>344.25</v>
      </c>
      <c r="AF85" s="44" t="str">
        <f t="shared" si="34"/>
        <v>Over</v>
      </c>
      <c r="AG85" s="46">
        <f t="shared" si="35"/>
        <v>140.33333333333331</v>
      </c>
    </row>
    <row r="86" spans="1:33">
      <c r="A86" s="43" t="s">
        <v>51</v>
      </c>
      <c r="B86" s="44" t="str">
        <f>IFERROR(VLOOKUP(A86,'[2]Class ABC'!$A:$I, 9, 0),"")</f>
        <v>C22</v>
      </c>
      <c r="C86" s="44">
        <f>IFERROR(VLOOKUP(A86,'[2]Class ABC'!$A:$I, 6, 0),"")</f>
        <v>51</v>
      </c>
      <c r="D86" s="44" t="str">
        <f>IFERROR(CONCATENATE("Class ", VLOOKUP(A86,'[2]Class ABC'!$A:$I, 8, 0)),"Class C")</f>
        <v>Class C</v>
      </c>
      <c r="E86" s="43" t="str">
        <f>IFERROR(VLOOKUP(A86,'[2]MC Masterlist 2026-09-11'!$B:$M, 3, 0),"")</f>
        <v>SUZUKI</v>
      </c>
      <c r="F86" s="45">
        <f>IFERROR(VLOOKUP(A86,'[2]MC Masterlist 2026-09-11'!$B:$M, 6, 0),"")</f>
        <v>138580</v>
      </c>
      <c r="G86" s="46">
        <f>SUMIF('[2]Raw Sales'!$B:$B, A86, '[2]Raw Sales'!$I:$I)</f>
        <v>2</v>
      </c>
      <c r="H86" s="46">
        <f>SUMIF('[2]Raw Sales'!$B:$B, A86, '[2]Raw Sales'!$H:$H)</f>
        <v>2</v>
      </c>
      <c r="I86" s="46">
        <f>SUMIF('[2]Raw Sales'!$B:$B, A86, '[2]Raw Sales'!$G:$G)</f>
        <v>1</v>
      </c>
      <c r="J86" s="46">
        <f t="shared" si="18"/>
        <v>5</v>
      </c>
      <c r="K86" s="46">
        <f t="shared" si="19"/>
        <v>1.6666666666666667</v>
      </c>
      <c r="L86" s="45">
        <f t="shared" si="20"/>
        <v>692900</v>
      </c>
      <c r="M86" s="45">
        <f t="shared" si="21"/>
        <v>230966.66666666669</v>
      </c>
      <c r="N86" s="46">
        <f t="shared" si="22"/>
        <v>5.5555555555555552E-2</v>
      </c>
      <c r="O86" s="46">
        <f>SUMIF('[2]Raw Inventory'!$B:$B, A86, '[2]Raw Inventory'!$D:$D)</f>
        <v>1</v>
      </c>
      <c r="P86" s="45">
        <f t="shared" si="23"/>
        <v>138580</v>
      </c>
      <c r="Q86" s="46">
        <f t="shared" si="24"/>
        <v>18</v>
      </c>
      <c r="R86" s="46">
        <f>IFERROR(VLOOKUP(A86,'[2]MC Masterlist 2026-09-11'!$B:$M, 7, 0),0)</f>
        <v>45</v>
      </c>
      <c r="S86" s="46">
        <f>IFERROR(VLOOKUP(A86,'[2]MC Masterlist 2026-09-11'!$B:$M, 8, 0),0)</f>
        <v>30</v>
      </c>
      <c r="T86" s="46">
        <f t="shared" si="25"/>
        <v>75</v>
      </c>
      <c r="U86" s="46">
        <f t="shared" si="26"/>
        <v>60</v>
      </c>
      <c r="V86" s="46">
        <f>IFERROR(VLOOKUP(A86,'[2]MC Masterlist 2026-09-11'!$B:$L, 9, 0),0)</f>
        <v>90</v>
      </c>
      <c r="W86" s="46">
        <f t="shared" si="27"/>
        <v>1.6666666666666665</v>
      </c>
      <c r="X86" s="46">
        <f t="shared" si="28"/>
        <v>4.1666666666666661</v>
      </c>
      <c r="Y86" s="46">
        <f t="shared" si="29"/>
        <v>3.333333333333333</v>
      </c>
      <c r="Z86" s="46">
        <f t="shared" si="30"/>
        <v>5</v>
      </c>
      <c r="AA86" s="44" t="str">
        <f t="shared" si="31"/>
        <v>Stockout</v>
      </c>
      <c r="AB86" s="46">
        <f>IFERROR(VLOOKUP(A86,'[2]PO Balance'!$A:$C, 3, 0),0)</f>
        <v>11</v>
      </c>
      <c r="AC86" s="43"/>
      <c r="AD86" s="46">
        <f t="shared" si="32"/>
        <v>12</v>
      </c>
      <c r="AE86" s="46">
        <f t="shared" si="33"/>
        <v>216</v>
      </c>
      <c r="AF86" s="44" t="str">
        <f t="shared" si="34"/>
        <v>Over</v>
      </c>
      <c r="AG86" s="46">
        <f t="shared" si="35"/>
        <v>15.166666666666666</v>
      </c>
    </row>
    <row r="87" spans="1:33">
      <c r="A87" s="43" t="s">
        <v>105</v>
      </c>
      <c r="B87" s="44" t="str">
        <f>IFERROR(VLOOKUP(A87,'[2]Class ABC'!$A:$I, 9, 0),"")</f>
        <v/>
      </c>
      <c r="C87" s="44" t="str">
        <f>IFERROR(VLOOKUP(A87,'[2]Class ABC'!$A:$I, 6, 0),"")</f>
        <v/>
      </c>
      <c r="D87" s="44" t="str">
        <f>IFERROR(CONCATENATE("Class ", VLOOKUP(A87,'[2]Class ABC'!$A:$I, 8, 0)),"Class C")</f>
        <v>Class C</v>
      </c>
      <c r="E87" s="43" t="str">
        <f>IFERROR(VLOOKUP(A87,'[2]MC Masterlist 2026-09-11'!$B:$M, 3, 0),"")</f>
        <v>SUZUKI</v>
      </c>
      <c r="F87" s="45">
        <f>IFERROR(VLOOKUP(A87,'[2]MC Masterlist 2026-09-11'!$B:$M, 6, 0),"")</f>
        <v>215770</v>
      </c>
      <c r="G87" s="46">
        <f>SUMIF('[2]Raw Sales'!$B:$B, A87, '[2]Raw Sales'!$I:$I)</f>
        <v>0</v>
      </c>
      <c r="H87" s="46">
        <f>SUMIF('[2]Raw Sales'!$B:$B, A87, '[2]Raw Sales'!$H:$H)</f>
        <v>0</v>
      </c>
      <c r="I87" s="46">
        <f>SUMIF('[2]Raw Sales'!$B:$B, A87, '[2]Raw Sales'!$G:$G)</f>
        <v>0</v>
      </c>
      <c r="J87" s="46">
        <f t="shared" si="18"/>
        <v>0</v>
      </c>
      <c r="K87" s="46">
        <f t="shared" si="19"/>
        <v>0</v>
      </c>
      <c r="L87" s="45">
        <f t="shared" si="20"/>
        <v>0</v>
      </c>
      <c r="M87" s="45">
        <f t="shared" si="21"/>
        <v>0</v>
      </c>
      <c r="N87" s="46">
        <f t="shared" si="22"/>
        <v>0</v>
      </c>
      <c r="O87" s="46">
        <f>SUMIF('[2]Raw Inventory'!$B:$B, A87, '[2]Raw Inventory'!$D:$D)</f>
        <v>3</v>
      </c>
      <c r="P87" s="45">
        <f t="shared" si="23"/>
        <v>647310</v>
      </c>
      <c r="Q87" s="46" t="str">
        <f t="shared" si="24"/>
        <v/>
      </c>
      <c r="R87" s="46">
        <f>IFERROR(VLOOKUP(A87,'[2]MC Masterlist 2026-09-11'!$B:$M, 7, 0),0)</f>
        <v>45</v>
      </c>
      <c r="S87" s="46">
        <f>IFERROR(VLOOKUP(A87,'[2]MC Masterlist 2026-09-11'!$B:$M, 8, 0),0)</f>
        <v>30</v>
      </c>
      <c r="T87" s="46">
        <f t="shared" si="25"/>
        <v>75</v>
      </c>
      <c r="U87" s="46">
        <f t="shared" si="26"/>
        <v>60</v>
      </c>
      <c r="V87" s="46">
        <f>IFERROR(VLOOKUP(A87,'[2]MC Masterlist 2026-09-11'!$B:$L, 9, 0),0)</f>
        <v>90</v>
      </c>
      <c r="W87" s="46">
        <f t="shared" si="27"/>
        <v>0</v>
      </c>
      <c r="X87" s="46">
        <f t="shared" si="28"/>
        <v>0</v>
      </c>
      <c r="Y87" s="46">
        <f t="shared" si="29"/>
        <v>0</v>
      </c>
      <c r="Z87" s="46">
        <f t="shared" si="30"/>
        <v>0</v>
      </c>
      <c r="AA87" s="44" t="str">
        <f t="shared" si="31"/>
        <v>Over</v>
      </c>
      <c r="AB87" s="46">
        <f>IFERROR(VLOOKUP(A87,'[2]PO Balance'!$A:$C, 3, 0),0)</f>
        <v>0</v>
      </c>
      <c r="AC87" s="43"/>
      <c r="AD87" s="46">
        <f t="shared" si="32"/>
        <v>3</v>
      </c>
      <c r="AE87" s="46">
        <f t="shared" si="33"/>
        <v>0</v>
      </c>
      <c r="AF87" s="44" t="str">
        <f t="shared" si="34"/>
        <v>Over</v>
      </c>
      <c r="AG87" s="46">
        <f t="shared" si="35"/>
        <v>0</v>
      </c>
    </row>
    <row r="88" spans="1:33">
      <c r="A88" s="43" t="s">
        <v>151</v>
      </c>
      <c r="B88" s="44" t="str">
        <f>IFERROR(VLOOKUP(A88,'[2]Class ABC'!$A:$I, 9, 0),"")</f>
        <v/>
      </c>
      <c r="C88" s="44" t="str">
        <f>IFERROR(VLOOKUP(A88,'[2]Class ABC'!$A:$I, 6, 0),"")</f>
        <v/>
      </c>
      <c r="D88" s="44" t="str">
        <f>IFERROR(CONCATENATE("Class ", VLOOKUP(A88,'[2]Class ABC'!$A:$I, 8, 0)),"Class C")</f>
        <v>Class C</v>
      </c>
      <c r="E88" s="43" t="str">
        <f>IFERROR(VLOOKUP(A88,'[2]MC Masterlist 2026-09-11'!$B:$M, 3, 0),"")</f>
        <v>KAWASAKI</v>
      </c>
      <c r="F88" s="45">
        <f>IFERROR(VLOOKUP(A88,'[2]MC Masterlist 2026-09-11'!$B:$M, 6, 0),"")</f>
        <v>127866</v>
      </c>
      <c r="G88" s="46">
        <f>SUMIF('[2]Raw Sales'!$B:$B, A88, '[2]Raw Sales'!$I:$I)</f>
        <v>0</v>
      </c>
      <c r="H88" s="46">
        <f>SUMIF('[2]Raw Sales'!$B:$B, A88, '[2]Raw Sales'!$H:$H)</f>
        <v>0</v>
      </c>
      <c r="I88" s="46">
        <f>SUMIF('[2]Raw Sales'!$B:$B, A88, '[2]Raw Sales'!$G:$G)</f>
        <v>0</v>
      </c>
      <c r="J88" s="46">
        <f t="shared" si="18"/>
        <v>0</v>
      </c>
      <c r="K88" s="46">
        <f t="shared" si="19"/>
        <v>0</v>
      </c>
      <c r="L88" s="45">
        <f t="shared" si="20"/>
        <v>0</v>
      </c>
      <c r="M88" s="45">
        <f t="shared" si="21"/>
        <v>0</v>
      </c>
      <c r="N88" s="46">
        <f t="shared" si="22"/>
        <v>0</v>
      </c>
      <c r="O88" s="46">
        <f>SUMIF('[2]Raw Inventory'!$B:$B, A88, '[2]Raw Inventory'!$D:$D)</f>
        <v>1</v>
      </c>
      <c r="P88" s="45">
        <f t="shared" si="23"/>
        <v>127866</v>
      </c>
      <c r="Q88" s="46" t="str">
        <f t="shared" si="24"/>
        <v/>
      </c>
      <c r="R88" s="46">
        <f>IFERROR(VLOOKUP(A88,'[2]MC Masterlist 2026-09-11'!$B:$M, 7, 0),0)</f>
        <v>45</v>
      </c>
      <c r="S88" s="46">
        <f>IFERROR(VLOOKUP(A88,'[2]MC Masterlist 2026-09-11'!$B:$M, 8, 0),0)</f>
        <v>30</v>
      </c>
      <c r="T88" s="46">
        <f t="shared" si="25"/>
        <v>75</v>
      </c>
      <c r="U88" s="46">
        <f t="shared" si="26"/>
        <v>60</v>
      </c>
      <c r="V88" s="46">
        <f>IFERROR(VLOOKUP(A88,'[2]MC Masterlist 2026-09-11'!$B:$L, 9, 0),0)</f>
        <v>90</v>
      </c>
      <c r="W88" s="46">
        <f t="shared" si="27"/>
        <v>0</v>
      </c>
      <c r="X88" s="46">
        <f t="shared" si="28"/>
        <v>0</v>
      </c>
      <c r="Y88" s="46">
        <f t="shared" si="29"/>
        <v>0</v>
      </c>
      <c r="Z88" s="46">
        <f t="shared" si="30"/>
        <v>0</v>
      </c>
      <c r="AA88" s="44" t="str">
        <f t="shared" si="31"/>
        <v>Over</v>
      </c>
      <c r="AB88" s="46">
        <f>IFERROR(VLOOKUP(A88,'[2]PO Balance'!$A:$C, 3, 0),0)</f>
        <v>0</v>
      </c>
      <c r="AC88" s="43"/>
      <c r="AD88" s="46">
        <f t="shared" si="32"/>
        <v>1</v>
      </c>
      <c r="AE88" s="46">
        <f t="shared" si="33"/>
        <v>0</v>
      </c>
      <c r="AF88" s="44" t="str">
        <f t="shared" si="34"/>
        <v>Over</v>
      </c>
      <c r="AG88" s="46">
        <f t="shared" si="35"/>
        <v>0</v>
      </c>
    </row>
    <row r="89" spans="1:33">
      <c r="A89" s="43" t="s">
        <v>60</v>
      </c>
      <c r="B89" s="44" t="str">
        <f>IFERROR(VLOOKUP(A89,'[2]Class ABC'!$A:$I, 9, 0),"")</f>
        <v>C42</v>
      </c>
      <c r="C89" s="44">
        <f>IFERROR(VLOOKUP(A89,'[2]Class ABC'!$A:$I, 6, 0),"")</f>
        <v>71</v>
      </c>
      <c r="D89" s="44" t="str">
        <f>IFERROR(CONCATENATE("Class ", VLOOKUP(A89,'[2]Class ABC'!$A:$I, 8, 0)),"Class C")</f>
        <v>Class C</v>
      </c>
      <c r="E89" s="43" t="str">
        <f>IFERROR(VLOOKUP(A89,'[2]MC Masterlist 2026-09-11'!$B:$M, 3, 0),"")</f>
        <v>HONDA</v>
      </c>
      <c r="F89" s="45">
        <f>IFERROR(VLOOKUP(A89,'[2]MC Masterlist 2026-09-11'!$B:$M, 6, 0),"")</f>
        <v>61670</v>
      </c>
      <c r="G89" s="46">
        <f>SUMIF('[2]Raw Sales'!$B:$B, A89, '[2]Raw Sales'!$I:$I)</f>
        <v>1</v>
      </c>
      <c r="H89" s="46">
        <f>SUMIF('[2]Raw Sales'!$B:$B, A89, '[2]Raw Sales'!$H:$H)</f>
        <v>2</v>
      </c>
      <c r="I89" s="46">
        <f>SUMIF('[2]Raw Sales'!$B:$B, A89, '[2]Raw Sales'!$G:$G)</f>
        <v>0</v>
      </c>
      <c r="J89" s="46">
        <f t="shared" si="18"/>
        <v>3</v>
      </c>
      <c r="K89" s="46">
        <f t="shared" si="19"/>
        <v>1</v>
      </c>
      <c r="L89" s="45">
        <f t="shared" si="20"/>
        <v>185010</v>
      </c>
      <c r="M89" s="45">
        <f t="shared" si="21"/>
        <v>61670</v>
      </c>
      <c r="N89" s="46">
        <f t="shared" si="22"/>
        <v>3.3333333333333333E-2</v>
      </c>
      <c r="O89" s="46">
        <f>SUMIF('[2]Raw Inventory'!$B:$B, A89, '[2]Raw Inventory'!$D:$D)</f>
        <v>10</v>
      </c>
      <c r="P89" s="45">
        <f t="shared" si="23"/>
        <v>616700</v>
      </c>
      <c r="Q89" s="46">
        <f t="shared" si="24"/>
        <v>300</v>
      </c>
      <c r="R89" s="46">
        <f>IFERROR(VLOOKUP(A89,'[2]MC Masterlist 2026-09-11'!$B:$M, 7, 0),0)</f>
        <v>45</v>
      </c>
      <c r="S89" s="46">
        <f>IFERROR(VLOOKUP(A89,'[2]MC Masterlist 2026-09-11'!$B:$M, 8, 0),0)</f>
        <v>30</v>
      </c>
      <c r="T89" s="46">
        <f t="shared" si="25"/>
        <v>75</v>
      </c>
      <c r="U89" s="46">
        <f t="shared" si="26"/>
        <v>60</v>
      </c>
      <c r="V89" s="46">
        <f>IFERROR(VLOOKUP(A89,'[2]MC Masterlist 2026-09-11'!$B:$L, 9, 0),0)</f>
        <v>90</v>
      </c>
      <c r="W89" s="46">
        <f t="shared" si="27"/>
        <v>1</v>
      </c>
      <c r="X89" s="46">
        <f t="shared" si="28"/>
        <v>2.5</v>
      </c>
      <c r="Y89" s="46">
        <f t="shared" si="29"/>
        <v>2</v>
      </c>
      <c r="Z89" s="46">
        <f t="shared" si="30"/>
        <v>3</v>
      </c>
      <c r="AA89" s="44" t="str">
        <f t="shared" si="31"/>
        <v>Over</v>
      </c>
      <c r="AB89" s="46">
        <f>IFERROR(VLOOKUP(A89,'[2]PO Balance'!$A:$C, 3, 0),0)</f>
        <v>0</v>
      </c>
      <c r="AC89" s="43"/>
      <c r="AD89" s="46">
        <f t="shared" si="32"/>
        <v>10</v>
      </c>
      <c r="AE89" s="46">
        <f t="shared" si="33"/>
        <v>300</v>
      </c>
      <c r="AF89" s="44" t="str">
        <f t="shared" si="34"/>
        <v>Over</v>
      </c>
      <c r="AG89" s="46">
        <f t="shared" si="35"/>
        <v>2.5</v>
      </c>
    </row>
    <row r="90" spans="1:33">
      <c r="A90" s="43" t="s">
        <v>61</v>
      </c>
      <c r="B90" s="44" t="str">
        <f>IFERROR(VLOOKUP(A90,'[2]Class ABC'!$A:$I, 9, 0),"")</f>
        <v>C27</v>
      </c>
      <c r="C90" s="44">
        <f>IFERROR(VLOOKUP(A90,'[2]Class ABC'!$A:$I, 6, 0),"")</f>
        <v>56</v>
      </c>
      <c r="D90" s="44" t="str">
        <f>IFERROR(CONCATENATE("Class ", VLOOKUP(A90,'[2]Class ABC'!$A:$I, 8, 0)),"Class C")</f>
        <v>Class C</v>
      </c>
      <c r="E90" s="43" t="str">
        <f>IFERROR(VLOOKUP(A90,'[2]MC Masterlist 2026-09-11'!$B:$M, 3, 0),"")</f>
        <v>HONDA</v>
      </c>
      <c r="F90" s="45">
        <f>IFERROR(VLOOKUP(A90,'[2]MC Masterlist 2026-09-11'!$B:$M, 6, 0),"")</f>
        <v>63510</v>
      </c>
      <c r="G90" s="46">
        <f>SUMIF('[2]Raw Sales'!$B:$B, A90, '[2]Raw Sales'!$I:$I)</f>
        <v>2</v>
      </c>
      <c r="H90" s="46">
        <f>SUMIF('[2]Raw Sales'!$B:$B, A90, '[2]Raw Sales'!$H:$H)</f>
        <v>4</v>
      </c>
      <c r="I90" s="46">
        <f>SUMIF('[2]Raw Sales'!$B:$B, A90, '[2]Raw Sales'!$G:$G)</f>
        <v>3</v>
      </c>
      <c r="J90" s="46">
        <f t="shared" si="18"/>
        <v>9</v>
      </c>
      <c r="K90" s="46">
        <f t="shared" si="19"/>
        <v>3</v>
      </c>
      <c r="L90" s="45">
        <f t="shared" si="20"/>
        <v>571590</v>
      </c>
      <c r="M90" s="45">
        <f t="shared" si="21"/>
        <v>190530</v>
      </c>
      <c r="N90" s="46">
        <f t="shared" si="22"/>
        <v>0.1</v>
      </c>
      <c r="O90" s="46">
        <f>SUMIF('[2]Raw Inventory'!$B:$B, A90, '[2]Raw Inventory'!$D:$D)</f>
        <v>12</v>
      </c>
      <c r="P90" s="45">
        <f t="shared" si="23"/>
        <v>762120</v>
      </c>
      <c r="Q90" s="46">
        <f t="shared" si="24"/>
        <v>120</v>
      </c>
      <c r="R90" s="46">
        <f>IFERROR(VLOOKUP(A90,'[2]MC Masterlist 2026-09-11'!$B:$M, 7, 0),0)</f>
        <v>45</v>
      </c>
      <c r="S90" s="46">
        <f>IFERROR(VLOOKUP(A90,'[2]MC Masterlist 2026-09-11'!$B:$M, 8, 0),0)</f>
        <v>30</v>
      </c>
      <c r="T90" s="46">
        <f t="shared" si="25"/>
        <v>75</v>
      </c>
      <c r="U90" s="46">
        <f t="shared" si="26"/>
        <v>60</v>
      </c>
      <c r="V90" s="46">
        <f>IFERROR(VLOOKUP(A90,'[2]MC Masterlist 2026-09-11'!$B:$L, 9, 0),0)</f>
        <v>90</v>
      </c>
      <c r="W90" s="46">
        <f t="shared" si="27"/>
        <v>3</v>
      </c>
      <c r="X90" s="46">
        <f t="shared" si="28"/>
        <v>7.5</v>
      </c>
      <c r="Y90" s="46">
        <f t="shared" si="29"/>
        <v>6</v>
      </c>
      <c r="Z90" s="46">
        <f t="shared" si="30"/>
        <v>9</v>
      </c>
      <c r="AA90" s="44" t="str">
        <f t="shared" si="31"/>
        <v>Over</v>
      </c>
      <c r="AB90" s="46">
        <f>IFERROR(VLOOKUP(A90,'[2]PO Balance'!$A:$C, 3, 0),0)</f>
        <v>0</v>
      </c>
      <c r="AC90" s="43"/>
      <c r="AD90" s="46">
        <f t="shared" si="32"/>
        <v>12</v>
      </c>
      <c r="AE90" s="46">
        <f t="shared" si="33"/>
        <v>120</v>
      </c>
      <c r="AF90" s="44" t="str">
        <f t="shared" si="34"/>
        <v>Over</v>
      </c>
      <c r="AG90" s="46">
        <f t="shared" si="35"/>
        <v>7.5</v>
      </c>
    </row>
    <row r="91" spans="1:33">
      <c r="A91" s="43" t="s">
        <v>62</v>
      </c>
      <c r="B91" s="44" t="str">
        <f>IFERROR(VLOOKUP(A91,'[2]Class ABC'!$A:$I, 9, 0),"")</f>
        <v>C20</v>
      </c>
      <c r="C91" s="44">
        <f>IFERROR(VLOOKUP(A91,'[2]Class ABC'!$A:$I, 6, 0),"")</f>
        <v>49</v>
      </c>
      <c r="D91" s="44" t="str">
        <f>IFERROR(CONCATENATE("Class ", VLOOKUP(A91,'[2]Class ABC'!$A:$I, 8, 0)),"Class C")</f>
        <v>Class C</v>
      </c>
      <c r="E91" s="43" t="str">
        <f>IFERROR(VLOOKUP(A91,'[2]MC Masterlist 2026-09-11'!$B:$M, 3, 0),"")</f>
        <v>HONDA</v>
      </c>
      <c r="F91" s="45">
        <f>IFERROR(VLOOKUP(A91,'[2]MC Masterlist 2026-09-11'!$B:$M, 6, 0),"")</f>
        <v>123310</v>
      </c>
      <c r="G91" s="46">
        <f>SUMIF('[2]Raw Sales'!$B:$B, A91, '[2]Raw Sales'!$I:$I)</f>
        <v>4</v>
      </c>
      <c r="H91" s="46">
        <f>SUMIF('[2]Raw Sales'!$B:$B, A91, '[2]Raw Sales'!$H:$H)</f>
        <v>0</v>
      </c>
      <c r="I91" s="46">
        <f>SUMIF('[2]Raw Sales'!$B:$B, A91, '[2]Raw Sales'!$G:$G)</f>
        <v>2</v>
      </c>
      <c r="J91" s="46">
        <f t="shared" si="18"/>
        <v>6</v>
      </c>
      <c r="K91" s="46">
        <f t="shared" si="19"/>
        <v>2</v>
      </c>
      <c r="L91" s="45">
        <f t="shared" si="20"/>
        <v>739860</v>
      </c>
      <c r="M91" s="45">
        <f t="shared" si="21"/>
        <v>246620</v>
      </c>
      <c r="N91" s="46">
        <f t="shared" si="22"/>
        <v>6.6666666666666666E-2</v>
      </c>
      <c r="O91" s="46">
        <f>SUMIF('[2]Raw Inventory'!$B:$B, A91, '[2]Raw Inventory'!$D:$D)</f>
        <v>12</v>
      </c>
      <c r="P91" s="45">
        <f t="shared" si="23"/>
        <v>1479720</v>
      </c>
      <c r="Q91" s="46">
        <f t="shared" si="24"/>
        <v>180</v>
      </c>
      <c r="R91" s="46">
        <f>IFERROR(VLOOKUP(A91,'[2]MC Masterlist 2026-09-11'!$B:$M, 7, 0),0)</f>
        <v>45</v>
      </c>
      <c r="S91" s="46">
        <f>IFERROR(VLOOKUP(A91,'[2]MC Masterlist 2026-09-11'!$B:$M, 8, 0),0)</f>
        <v>30</v>
      </c>
      <c r="T91" s="46">
        <f t="shared" si="25"/>
        <v>75</v>
      </c>
      <c r="U91" s="46">
        <f t="shared" si="26"/>
        <v>60</v>
      </c>
      <c r="V91" s="46">
        <f>IFERROR(VLOOKUP(A91,'[2]MC Masterlist 2026-09-11'!$B:$L, 9, 0),0)</f>
        <v>90</v>
      </c>
      <c r="W91" s="46">
        <f t="shared" si="27"/>
        <v>2</v>
      </c>
      <c r="X91" s="46">
        <f t="shared" si="28"/>
        <v>5</v>
      </c>
      <c r="Y91" s="46">
        <f t="shared" si="29"/>
        <v>4</v>
      </c>
      <c r="Z91" s="46">
        <f t="shared" si="30"/>
        <v>6</v>
      </c>
      <c r="AA91" s="44" t="str">
        <f t="shared" si="31"/>
        <v>Over</v>
      </c>
      <c r="AB91" s="46">
        <f>IFERROR(VLOOKUP(A91,'[2]PO Balance'!$A:$C, 3, 0),0)</f>
        <v>62</v>
      </c>
      <c r="AC91" s="43"/>
      <c r="AD91" s="46">
        <f t="shared" si="32"/>
        <v>74</v>
      </c>
      <c r="AE91" s="46">
        <f t="shared" si="33"/>
        <v>1110</v>
      </c>
      <c r="AF91" s="44" t="str">
        <f t="shared" si="34"/>
        <v>Over</v>
      </c>
      <c r="AG91" s="46">
        <f t="shared" si="35"/>
        <v>67</v>
      </c>
    </row>
    <row r="92" spans="1:33">
      <c r="A92" s="43" t="s">
        <v>63</v>
      </c>
      <c r="B92" s="44" t="str">
        <f>IFERROR(VLOOKUP(A92,'[2]Class ABC'!$A:$I, 9, 0),"")</f>
        <v>C9</v>
      </c>
      <c r="C92" s="44">
        <f>IFERROR(VLOOKUP(A92,'[2]Class ABC'!$A:$I, 6, 0),"")</f>
        <v>38</v>
      </c>
      <c r="D92" s="44" t="str">
        <f>IFERROR(CONCATENATE("Class ", VLOOKUP(A92,'[2]Class ABC'!$A:$I, 8, 0)),"Class C")</f>
        <v>Class C</v>
      </c>
      <c r="E92" s="43" t="str">
        <f>IFERROR(VLOOKUP(A92,'[2]MC Masterlist 2026-09-11'!$B:$M, 3, 0),"")</f>
        <v>HONDA</v>
      </c>
      <c r="F92" s="45">
        <f>IFERROR(VLOOKUP(A92,'[2]MC Masterlist 2026-09-11'!$B:$M, 6, 0),"")</f>
        <v>125150</v>
      </c>
      <c r="G92" s="46">
        <f>SUMIF('[2]Raw Sales'!$B:$B, A92, '[2]Raw Sales'!$I:$I)</f>
        <v>4</v>
      </c>
      <c r="H92" s="46">
        <f>SUMIF('[2]Raw Sales'!$B:$B, A92, '[2]Raw Sales'!$H:$H)</f>
        <v>2</v>
      </c>
      <c r="I92" s="46">
        <f>SUMIF('[2]Raw Sales'!$B:$B, A92, '[2]Raw Sales'!$G:$G)</f>
        <v>4</v>
      </c>
      <c r="J92" s="46">
        <f t="shared" si="18"/>
        <v>10</v>
      </c>
      <c r="K92" s="46">
        <f t="shared" si="19"/>
        <v>3.3333333333333335</v>
      </c>
      <c r="L92" s="45">
        <f t="shared" si="20"/>
        <v>1251500</v>
      </c>
      <c r="M92" s="45">
        <f t="shared" si="21"/>
        <v>417166.66666666669</v>
      </c>
      <c r="N92" s="46">
        <f t="shared" si="22"/>
        <v>0.1111111111111111</v>
      </c>
      <c r="O92" s="46">
        <f>SUMIF('[2]Raw Inventory'!$B:$B, A92, '[2]Raw Inventory'!$D:$D)</f>
        <v>0</v>
      </c>
      <c r="P92" s="45">
        <f t="shared" si="23"/>
        <v>0</v>
      </c>
      <c r="Q92" s="46">
        <f t="shared" si="24"/>
        <v>0</v>
      </c>
      <c r="R92" s="46">
        <f>IFERROR(VLOOKUP(A92,'[2]MC Masterlist 2026-09-11'!$B:$M, 7, 0),0)</f>
        <v>45</v>
      </c>
      <c r="S92" s="46">
        <f>IFERROR(VLOOKUP(A92,'[2]MC Masterlist 2026-09-11'!$B:$M, 8, 0),0)</f>
        <v>30</v>
      </c>
      <c r="T92" s="46">
        <f t="shared" si="25"/>
        <v>75</v>
      </c>
      <c r="U92" s="46">
        <f t="shared" si="26"/>
        <v>60</v>
      </c>
      <c r="V92" s="46">
        <f>IFERROR(VLOOKUP(A92,'[2]MC Masterlist 2026-09-11'!$B:$L, 9, 0),0)</f>
        <v>90</v>
      </c>
      <c r="W92" s="46">
        <f t="shared" si="27"/>
        <v>3.333333333333333</v>
      </c>
      <c r="X92" s="46">
        <f t="shared" si="28"/>
        <v>8.3333333333333321</v>
      </c>
      <c r="Y92" s="46">
        <f t="shared" si="29"/>
        <v>6.6666666666666661</v>
      </c>
      <c r="Z92" s="46">
        <f t="shared" si="30"/>
        <v>10</v>
      </c>
      <c r="AA92" s="44" t="str">
        <f t="shared" si="31"/>
        <v>Stockout</v>
      </c>
      <c r="AB92" s="46">
        <f>IFERROR(VLOOKUP(A92,'[2]PO Balance'!$A:$C, 3, 0),0)</f>
        <v>0</v>
      </c>
      <c r="AC92" s="43"/>
      <c r="AD92" s="46">
        <f t="shared" si="32"/>
        <v>0</v>
      </c>
      <c r="AE92" s="46">
        <f t="shared" si="33"/>
        <v>0</v>
      </c>
      <c r="AF92" s="44" t="str">
        <f t="shared" si="34"/>
        <v>Stockout</v>
      </c>
      <c r="AG92" s="46">
        <f t="shared" si="35"/>
        <v>8.3333333333333321</v>
      </c>
    </row>
    <row r="93" spans="1:33">
      <c r="A93" s="43" t="s">
        <v>89</v>
      </c>
      <c r="B93" s="44" t="str">
        <f>IFERROR(VLOOKUP(A93,'[2]Class ABC'!$A:$I, 9, 0),"")</f>
        <v>C8</v>
      </c>
      <c r="C93" s="44">
        <f>IFERROR(VLOOKUP(A93,'[2]Class ABC'!$A:$I, 6, 0),"")</f>
        <v>37</v>
      </c>
      <c r="D93" s="44" t="str">
        <f>IFERROR(CONCATENATE("Class ", VLOOKUP(A93,'[2]Class ABC'!$A:$I, 8, 0)),"Class C")</f>
        <v>Class C</v>
      </c>
      <c r="E93" s="43" t="str">
        <f>IFERROR(VLOOKUP(A93,'[2]MC Masterlist 2026-09-11'!$B:$M, 3, 0),"")</f>
        <v>HONDA</v>
      </c>
      <c r="F93" s="45">
        <f>IFERROR(VLOOKUP(A93,'[2]MC Masterlist 2026-09-11'!$B:$M, 6, 0),"")</f>
        <v>117790</v>
      </c>
      <c r="G93" s="46">
        <f>SUMIF('[2]Raw Sales'!$B:$B, A93, '[2]Raw Sales'!$I:$I)</f>
        <v>4</v>
      </c>
      <c r="H93" s="46">
        <f>SUMIF('[2]Raw Sales'!$B:$B, A93, '[2]Raw Sales'!$H:$H)</f>
        <v>4</v>
      </c>
      <c r="I93" s="46">
        <f>SUMIF('[2]Raw Sales'!$B:$B, A93, '[2]Raw Sales'!$G:$G)</f>
        <v>3</v>
      </c>
      <c r="J93" s="46">
        <f t="shared" si="18"/>
        <v>11</v>
      </c>
      <c r="K93" s="46">
        <f t="shared" si="19"/>
        <v>3.6666666666666665</v>
      </c>
      <c r="L93" s="45">
        <f t="shared" si="20"/>
        <v>1295690</v>
      </c>
      <c r="M93" s="45">
        <f t="shared" si="21"/>
        <v>431896.66666666663</v>
      </c>
      <c r="N93" s="46">
        <f t="shared" si="22"/>
        <v>0.12222222222222222</v>
      </c>
      <c r="O93" s="46">
        <f>SUMIF('[2]Raw Inventory'!$B:$B, A93, '[2]Raw Inventory'!$D:$D)</f>
        <v>10</v>
      </c>
      <c r="P93" s="45">
        <f t="shared" si="23"/>
        <v>1177900</v>
      </c>
      <c r="Q93" s="46">
        <f t="shared" si="24"/>
        <v>81.818181818181827</v>
      </c>
      <c r="R93" s="46">
        <f>IFERROR(VLOOKUP(A93,'[2]MC Masterlist 2026-09-11'!$B:$M, 7, 0),0)</f>
        <v>45</v>
      </c>
      <c r="S93" s="46">
        <f>IFERROR(VLOOKUP(A93,'[2]MC Masterlist 2026-09-11'!$B:$M, 8, 0),0)</f>
        <v>30</v>
      </c>
      <c r="T93" s="46">
        <f t="shared" si="25"/>
        <v>75</v>
      </c>
      <c r="U93" s="46">
        <f t="shared" si="26"/>
        <v>60</v>
      </c>
      <c r="V93" s="46">
        <f>IFERROR(VLOOKUP(A93,'[2]MC Masterlist 2026-09-11'!$B:$L, 9, 0),0)</f>
        <v>90</v>
      </c>
      <c r="W93" s="46">
        <f t="shared" si="27"/>
        <v>3.6666666666666665</v>
      </c>
      <c r="X93" s="46">
        <f t="shared" si="28"/>
        <v>9.1666666666666661</v>
      </c>
      <c r="Y93" s="46">
        <f t="shared" si="29"/>
        <v>7.333333333333333</v>
      </c>
      <c r="Z93" s="46">
        <f t="shared" si="30"/>
        <v>11</v>
      </c>
      <c r="AA93" s="44" t="str">
        <f t="shared" si="31"/>
        <v/>
      </c>
      <c r="AB93" s="46">
        <f>IFERROR(VLOOKUP(A93,'[2]PO Balance'!$A:$C, 3, 0),0)</f>
        <v>22</v>
      </c>
      <c r="AC93" s="43"/>
      <c r="AD93" s="46">
        <f t="shared" si="32"/>
        <v>32</v>
      </c>
      <c r="AE93" s="46">
        <f t="shared" si="33"/>
        <v>261.81818181818181</v>
      </c>
      <c r="AF93" s="44" t="str">
        <f t="shared" si="34"/>
        <v>Over</v>
      </c>
      <c r="AG93" s="46">
        <f t="shared" si="35"/>
        <v>31.166666666666664</v>
      </c>
    </row>
    <row r="94" spans="1:33">
      <c r="A94" s="43" t="s">
        <v>83</v>
      </c>
      <c r="B94" s="44" t="str">
        <f>IFERROR(VLOOKUP(A94,'[2]Class ABC'!$A:$I, 9, 0),"")</f>
        <v>C16</v>
      </c>
      <c r="C94" s="44">
        <f>IFERROR(VLOOKUP(A94,'[2]Class ABC'!$A:$I, 6, 0),"")</f>
        <v>45</v>
      </c>
      <c r="D94" s="44" t="str">
        <f>IFERROR(CONCATENATE("Class ", VLOOKUP(A94,'[2]Class ABC'!$A:$I, 8, 0)),"Class C")</f>
        <v>Class C</v>
      </c>
      <c r="E94" s="43" t="str">
        <f>IFERROR(VLOOKUP(A94,'[2]MC Masterlist 2026-09-11'!$B:$M, 3, 0),"")</f>
        <v>SKYGO</v>
      </c>
      <c r="F94" s="45">
        <f>IFERROR(VLOOKUP(A94,'[2]MC Masterlist 2026-09-11'!$B:$M, 6, 0),"")</f>
        <v>35055</v>
      </c>
      <c r="G94" s="46">
        <f>SUMIF('[2]Raw Sales'!$B:$B, A94, '[2]Raw Sales'!$I:$I)</f>
        <v>5</v>
      </c>
      <c r="H94" s="46">
        <f>SUMIF('[2]Raw Sales'!$B:$B, A94, '[2]Raw Sales'!$H:$H)</f>
        <v>5</v>
      </c>
      <c r="I94" s="46">
        <f>SUMIF('[2]Raw Sales'!$B:$B, A94, '[2]Raw Sales'!$G:$G)</f>
        <v>14</v>
      </c>
      <c r="J94" s="46">
        <f t="shared" si="18"/>
        <v>24</v>
      </c>
      <c r="K94" s="46">
        <f t="shared" si="19"/>
        <v>8</v>
      </c>
      <c r="L94" s="45">
        <f t="shared" si="20"/>
        <v>841320</v>
      </c>
      <c r="M94" s="45">
        <f t="shared" si="21"/>
        <v>280440</v>
      </c>
      <c r="N94" s="46">
        <f t="shared" si="22"/>
        <v>0.26666666666666666</v>
      </c>
      <c r="O94" s="46">
        <f>SUMIF('[2]Raw Inventory'!$B:$B, A94, '[2]Raw Inventory'!$D:$D)</f>
        <v>87</v>
      </c>
      <c r="P94" s="45">
        <f t="shared" si="23"/>
        <v>3049785</v>
      </c>
      <c r="Q94" s="46">
        <f t="shared" si="24"/>
        <v>326.25</v>
      </c>
      <c r="R94" s="46">
        <f>IFERROR(VLOOKUP(A94,'[2]MC Masterlist 2026-09-11'!$B:$M, 7, 0),0)</f>
        <v>45</v>
      </c>
      <c r="S94" s="46">
        <f>IFERROR(VLOOKUP(A94,'[2]MC Masterlist 2026-09-11'!$B:$M, 8, 0),0)</f>
        <v>30</v>
      </c>
      <c r="T94" s="46">
        <f t="shared" si="25"/>
        <v>75</v>
      </c>
      <c r="U94" s="46">
        <f t="shared" si="26"/>
        <v>60</v>
      </c>
      <c r="V94" s="46">
        <f>IFERROR(VLOOKUP(A94,'[2]MC Masterlist 2026-09-11'!$B:$L, 9, 0),0)</f>
        <v>90</v>
      </c>
      <c r="W94" s="46">
        <f t="shared" si="27"/>
        <v>8</v>
      </c>
      <c r="X94" s="46">
        <f t="shared" si="28"/>
        <v>20</v>
      </c>
      <c r="Y94" s="46">
        <f t="shared" si="29"/>
        <v>16</v>
      </c>
      <c r="Z94" s="46">
        <f t="shared" si="30"/>
        <v>24</v>
      </c>
      <c r="AA94" s="44" t="str">
        <f t="shared" si="31"/>
        <v>Over</v>
      </c>
      <c r="AB94" s="46">
        <f>IFERROR(VLOOKUP(A94,'[2]PO Balance'!$A:$C, 3, 0),0)</f>
        <v>12</v>
      </c>
      <c r="AC94" s="43"/>
      <c r="AD94" s="46">
        <f t="shared" si="32"/>
        <v>99</v>
      </c>
      <c r="AE94" s="46">
        <f t="shared" si="33"/>
        <v>371.25</v>
      </c>
      <c r="AF94" s="44" t="str">
        <f t="shared" si="34"/>
        <v>Over</v>
      </c>
      <c r="AG94" s="46">
        <f t="shared" si="35"/>
        <v>32</v>
      </c>
    </row>
    <row r="95" spans="1:33">
      <c r="A95" s="43" t="s">
        <v>147</v>
      </c>
      <c r="B95" s="44" t="str">
        <f>IFERROR(VLOOKUP(A95,'[2]Class ABC'!$A:$I, 9, 0),"")</f>
        <v>C26</v>
      </c>
      <c r="C95" s="44">
        <f>IFERROR(VLOOKUP(A95,'[2]Class ABC'!$A:$I, 6, 0),"")</f>
        <v>55</v>
      </c>
      <c r="D95" s="44" t="str">
        <f>IFERROR(CONCATENATE("Class ", VLOOKUP(A95,'[2]Class ABC'!$A:$I, 8, 0)),"Class C")</f>
        <v>Class C</v>
      </c>
      <c r="E95" s="43" t="str">
        <f>IFERROR(VLOOKUP(A95,'[2]MC Masterlist 2026-09-11'!$B:$M, 3, 0),"")</f>
        <v>YAMAHA</v>
      </c>
      <c r="F95" s="45">
        <f>IFERROR(VLOOKUP(A95,'[2]MC Masterlist 2026-09-11'!$B:$M, 6, 0),"")</f>
        <v>278535</v>
      </c>
      <c r="G95" s="46">
        <f>SUMIF('[2]Raw Sales'!$B:$B, A95, '[2]Raw Sales'!$I:$I)</f>
        <v>0</v>
      </c>
      <c r="H95" s="46">
        <f>SUMIF('[2]Raw Sales'!$B:$B, A95, '[2]Raw Sales'!$H:$H)</f>
        <v>1</v>
      </c>
      <c r="I95" s="46">
        <f>SUMIF('[2]Raw Sales'!$B:$B, A95, '[2]Raw Sales'!$G:$G)</f>
        <v>1</v>
      </c>
      <c r="J95" s="46">
        <f t="shared" si="18"/>
        <v>2</v>
      </c>
      <c r="K95" s="46">
        <f t="shared" si="19"/>
        <v>0.66666666666666663</v>
      </c>
      <c r="L95" s="45">
        <f t="shared" si="20"/>
        <v>557070</v>
      </c>
      <c r="M95" s="45">
        <f t="shared" si="21"/>
        <v>185690</v>
      </c>
      <c r="N95" s="46">
        <f t="shared" si="22"/>
        <v>2.2222222222222223E-2</v>
      </c>
      <c r="O95" s="46">
        <f>SUMIF('[2]Raw Inventory'!$B:$B, A95, '[2]Raw Inventory'!$D:$D)</f>
        <v>1</v>
      </c>
      <c r="P95" s="45">
        <f t="shared" si="23"/>
        <v>278535</v>
      </c>
      <c r="Q95" s="46">
        <f t="shared" si="24"/>
        <v>45</v>
      </c>
      <c r="R95" s="46">
        <f>IFERROR(VLOOKUP(A95,'[2]MC Masterlist 2026-09-11'!$B:$M, 7, 0),0)</f>
        <v>45</v>
      </c>
      <c r="S95" s="46">
        <f>IFERROR(VLOOKUP(A95,'[2]MC Masterlist 2026-09-11'!$B:$M, 8, 0),0)</f>
        <v>30</v>
      </c>
      <c r="T95" s="46">
        <f t="shared" si="25"/>
        <v>75</v>
      </c>
      <c r="U95" s="46">
        <f t="shared" si="26"/>
        <v>60</v>
      </c>
      <c r="V95" s="46">
        <f>IFERROR(VLOOKUP(A95,'[2]MC Masterlist 2026-09-11'!$B:$L, 9, 0),0)</f>
        <v>90</v>
      </c>
      <c r="W95" s="46">
        <f t="shared" si="27"/>
        <v>0.66666666666666674</v>
      </c>
      <c r="X95" s="46">
        <f t="shared" si="28"/>
        <v>1.6666666666666667</v>
      </c>
      <c r="Y95" s="46">
        <f t="shared" si="29"/>
        <v>1.3333333333333335</v>
      </c>
      <c r="Z95" s="46">
        <f t="shared" si="30"/>
        <v>2</v>
      </c>
      <c r="AA95" s="44" t="str">
        <f t="shared" si="31"/>
        <v>Re-order</v>
      </c>
      <c r="AB95" s="46">
        <f>IFERROR(VLOOKUP(A95,'[2]PO Balance'!$A:$C, 3, 0),0)</f>
        <v>2</v>
      </c>
      <c r="AC95" s="43"/>
      <c r="AD95" s="46">
        <f t="shared" si="32"/>
        <v>3</v>
      </c>
      <c r="AE95" s="46">
        <f t="shared" si="33"/>
        <v>135</v>
      </c>
      <c r="AF95" s="44" t="str">
        <f t="shared" si="34"/>
        <v>Over</v>
      </c>
      <c r="AG95" s="46">
        <f t="shared" si="35"/>
        <v>3.666666666666667</v>
      </c>
    </row>
    <row r="96" spans="1:33">
      <c r="A96" s="43" t="s">
        <v>18</v>
      </c>
      <c r="B96" s="44" t="str">
        <f>IFERROR(VLOOKUP(A96,'[2]Class ABC'!$A:$I, 9, 0),"")</f>
        <v>B5</v>
      </c>
      <c r="C96" s="44">
        <f>IFERROR(VLOOKUP(A96,'[2]Class ABC'!$A:$I, 6, 0),"")</f>
        <v>14</v>
      </c>
      <c r="D96" s="44" t="str">
        <f>IFERROR(CONCATENATE("Class ", VLOOKUP(A96,'[2]Class ABC'!$A:$I, 8, 0)),"Class C")</f>
        <v>Class B</v>
      </c>
      <c r="E96" s="43" t="str">
        <f>IFERROR(VLOOKUP(A96,'[2]MC Masterlist 2026-09-11'!$B:$M, 3, 0),"")</f>
        <v>HONDA</v>
      </c>
      <c r="F96" s="45">
        <f>IFERROR(VLOOKUP(A96,'[2]MC Masterlist 2026-09-11'!$B:$M, 6, 0),"")</f>
        <v>94330</v>
      </c>
      <c r="G96" s="46">
        <f>SUMIF('[2]Raw Sales'!$B:$B, A96, '[2]Raw Sales'!$I:$I)</f>
        <v>44</v>
      </c>
      <c r="H96" s="46">
        <f>SUMIF('[2]Raw Sales'!$B:$B, A96, '[2]Raw Sales'!$H:$H)</f>
        <v>68</v>
      </c>
      <c r="I96" s="46">
        <f>SUMIF('[2]Raw Sales'!$B:$B, A96, '[2]Raw Sales'!$G:$G)</f>
        <v>56</v>
      </c>
      <c r="J96" s="46">
        <f t="shared" si="18"/>
        <v>168</v>
      </c>
      <c r="K96" s="46">
        <f t="shared" si="19"/>
        <v>56</v>
      </c>
      <c r="L96" s="45">
        <f t="shared" si="20"/>
        <v>15847440</v>
      </c>
      <c r="M96" s="45">
        <f t="shared" si="21"/>
        <v>5282480</v>
      </c>
      <c r="N96" s="46">
        <f t="shared" si="22"/>
        <v>1.8666666666666667</v>
      </c>
      <c r="O96" s="46">
        <f>SUMIF('[2]Raw Inventory'!$B:$B, A96, '[2]Raw Inventory'!$D:$D)</f>
        <v>186</v>
      </c>
      <c r="P96" s="45">
        <f t="shared" si="23"/>
        <v>17545380</v>
      </c>
      <c r="Q96" s="46">
        <f t="shared" si="24"/>
        <v>99.642857142857153</v>
      </c>
      <c r="R96" s="46">
        <f>IFERROR(VLOOKUP(A96,'[2]MC Masterlist 2026-09-11'!$B:$M, 7, 0),0)</f>
        <v>45</v>
      </c>
      <c r="S96" s="46">
        <f>IFERROR(VLOOKUP(A96,'[2]MC Masterlist 2026-09-11'!$B:$M, 8, 0),0)</f>
        <v>30</v>
      </c>
      <c r="T96" s="46">
        <f t="shared" si="25"/>
        <v>75</v>
      </c>
      <c r="U96" s="46">
        <f t="shared" si="26"/>
        <v>60</v>
      </c>
      <c r="V96" s="46">
        <f>IFERROR(VLOOKUP(A96,'[2]MC Masterlist 2026-09-11'!$B:$L, 9, 0),0)</f>
        <v>90</v>
      </c>
      <c r="W96" s="46">
        <f t="shared" si="27"/>
        <v>56</v>
      </c>
      <c r="X96" s="46">
        <f t="shared" si="28"/>
        <v>140</v>
      </c>
      <c r="Y96" s="46">
        <f t="shared" si="29"/>
        <v>112</v>
      </c>
      <c r="Z96" s="46">
        <f t="shared" si="30"/>
        <v>168</v>
      </c>
      <c r="AA96" s="44" t="str">
        <f t="shared" si="31"/>
        <v>Over</v>
      </c>
      <c r="AB96" s="46">
        <f>IFERROR(VLOOKUP(A96,'[2]PO Balance'!$A:$C, 3, 0),0)</f>
        <v>190</v>
      </c>
      <c r="AC96" s="43"/>
      <c r="AD96" s="46">
        <f t="shared" si="32"/>
        <v>376</v>
      </c>
      <c r="AE96" s="46">
        <f t="shared" si="33"/>
        <v>201.42857142857142</v>
      </c>
      <c r="AF96" s="44" t="str">
        <f t="shared" si="34"/>
        <v>Over</v>
      </c>
      <c r="AG96" s="46">
        <f t="shared" si="35"/>
        <v>330</v>
      </c>
    </row>
    <row r="97" spans="1:33">
      <c r="A97" s="43" t="s">
        <v>20</v>
      </c>
      <c r="B97" s="44" t="str">
        <f>IFERROR(VLOOKUP(A97,'[2]Class ABC'!$A:$I, 9, 0),"")</f>
        <v>B1</v>
      </c>
      <c r="C97" s="44">
        <f>IFERROR(VLOOKUP(A97,'[2]Class ABC'!$A:$I, 6, 0),"")</f>
        <v>10</v>
      </c>
      <c r="D97" s="44" t="str">
        <f>IFERROR(CONCATENATE("Class ", VLOOKUP(A97,'[2]Class ABC'!$A:$I, 8, 0)),"Class C")</f>
        <v>Class B</v>
      </c>
      <c r="E97" s="43" t="str">
        <f>IFERROR(VLOOKUP(A97,'[2]MC Masterlist 2026-09-11'!$B:$M, 3, 0),"")</f>
        <v>HONDA</v>
      </c>
      <c r="F97" s="45">
        <f>IFERROR(VLOOKUP(A97,'[2]MC Masterlist 2026-09-11'!$B:$M, 6, 0),"")</f>
        <v>69950</v>
      </c>
      <c r="G97" s="46">
        <f>SUMIF('[2]Raw Sales'!$B:$B, A97, '[2]Raw Sales'!$I:$I)</f>
        <v>141</v>
      </c>
      <c r="H97" s="46">
        <f>SUMIF('[2]Raw Sales'!$B:$B, A97, '[2]Raw Sales'!$H:$H)</f>
        <v>94</v>
      </c>
      <c r="I97" s="46">
        <f>SUMIF('[2]Raw Sales'!$B:$B, A97, '[2]Raw Sales'!$G:$G)</f>
        <v>112</v>
      </c>
      <c r="J97" s="46">
        <f t="shared" si="18"/>
        <v>347</v>
      </c>
      <c r="K97" s="46">
        <f t="shared" si="19"/>
        <v>115.66666666666667</v>
      </c>
      <c r="L97" s="45">
        <f t="shared" si="20"/>
        <v>24272650</v>
      </c>
      <c r="M97" s="45">
        <f t="shared" si="21"/>
        <v>8090883.333333334</v>
      </c>
      <c r="N97" s="46">
        <f t="shared" si="22"/>
        <v>3.8555555555555556</v>
      </c>
      <c r="O97" s="46">
        <f>SUMIF('[2]Raw Inventory'!$B:$B, A97, '[2]Raw Inventory'!$D:$D)</f>
        <v>280</v>
      </c>
      <c r="P97" s="45">
        <f t="shared" si="23"/>
        <v>19586000</v>
      </c>
      <c r="Q97" s="46">
        <f t="shared" si="24"/>
        <v>72.622478386167145</v>
      </c>
      <c r="R97" s="46">
        <f>IFERROR(VLOOKUP(A97,'[2]MC Masterlist 2026-09-11'!$B:$M, 7, 0),0)</f>
        <v>45</v>
      </c>
      <c r="S97" s="46">
        <f>IFERROR(VLOOKUP(A97,'[2]MC Masterlist 2026-09-11'!$B:$M, 8, 0),0)</f>
        <v>30</v>
      </c>
      <c r="T97" s="46">
        <f t="shared" si="25"/>
        <v>75</v>
      </c>
      <c r="U97" s="46">
        <f t="shared" si="26"/>
        <v>60</v>
      </c>
      <c r="V97" s="46">
        <f>IFERROR(VLOOKUP(A97,'[2]MC Masterlist 2026-09-11'!$B:$L, 9, 0),0)</f>
        <v>90</v>
      </c>
      <c r="W97" s="46">
        <f t="shared" si="27"/>
        <v>115.66666666666667</v>
      </c>
      <c r="X97" s="46">
        <f t="shared" si="28"/>
        <v>289.16666666666669</v>
      </c>
      <c r="Y97" s="46">
        <f t="shared" si="29"/>
        <v>231.33333333333334</v>
      </c>
      <c r="Z97" s="46">
        <f t="shared" si="30"/>
        <v>347</v>
      </c>
      <c r="AA97" s="44" t="str">
        <f t="shared" si="31"/>
        <v>Re-order</v>
      </c>
      <c r="AB97" s="46">
        <f>IFERROR(VLOOKUP(A97,'[2]PO Balance'!$A:$C, 3, 0),0)</f>
        <v>263</v>
      </c>
      <c r="AC97" s="43"/>
      <c r="AD97" s="46">
        <f t="shared" si="32"/>
        <v>543</v>
      </c>
      <c r="AE97" s="46">
        <f t="shared" si="33"/>
        <v>140.835734870317</v>
      </c>
      <c r="AF97" s="44" t="str">
        <f t="shared" si="34"/>
        <v>Over</v>
      </c>
      <c r="AG97" s="46">
        <f t="shared" si="35"/>
        <v>552.16666666666674</v>
      </c>
    </row>
    <row r="98" spans="1:33">
      <c r="A98" s="43" t="s">
        <v>37</v>
      </c>
      <c r="B98" s="44" t="str">
        <f>IFERROR(VLOOKUP(A98,'[2]Class ABC'!$A:$I, 9, 0),"")</f>
        <v>B4</v>
      </c>
      <c r="C98" s="44">
        <f>IFERROR(VLOOKUP(A98,'[2]Class ABC'!$A:$I, 6, 0),"")</f>
        <v>13</v>
      </c>
      <c r="D98" s="44" t="str">
        <f>IFERROR(CONCATENATE("Class ", VLOOKUP(A98,'[2]Class ABC'!$A:$I, 8, 0)),"Class C")</f>
        <v>Class B</v>
      </c>
      <c r="E98" s="43" t="str">
        <f>IFERROR(VLOOKUP(A98,'[2]MC Masterlist 2026-09-11'!$B:$M, 3, 0),"")</f>
        <v>HONDA</v>
      </c>
      <c r="F98" s="45">
        <f>IFERROR(VLOOKUP(A98,'[2]MC Masterlist 2026-09-11'!$B:$M, 6, 0),"")</f>
        <v>74550</v>
      </c>
      <c r="G98" s="46">
        <f>SUMIF('[2]Raw Sales'!$B:$B, A98, '[2]Raw Sales'!$I:$I)</f>
        <v>76</v>
      </c>
      <c r="H98" s="46">
        <f>SUMIF('[2]Raw Sales'!$B:$B, A98, '[2]Raw Sales'!$H:$H)</f>
        <v>62</v>
      </c>
      <c r="I98" s="46">
        <f>SUMIF('[2]Raw Sales'!$B:$B, A98, '[2]Raw Sales'!$G:$G)</f>
        <v>95</v>
      </c>
      <c r="J98" s="46">
        <f t="shared" si="18"/>
        <v>233</v>
      </c>
      <c r="K98" s="46">
        <f t="shared" si="19"/>
        <v>77.666666666666671</v>
      </c>
      <c r="L98" s="45">
        <f t="shared" si="20"/>
        <v>17370150</v>
      </c>
      <c r="M98" s="45">
        <f t="shared" si="21"/>
        <v>5790050</v>
      </c>
      <c r="N98" s="46">
        <f t="shared" si="22"/>
        <v>2.588888888888889</v>
      </c>
      <c r="O98" s="46">
        <f>SUMIF('[2]Raw Inventory'!$B:$B, A98, '[2]Raw Inventory'!$D:$D)</f>
        <v>86</v>
      </c>
      <c r="P98" s="45">
        <f t="shared" si="23"/>
        <v>6411300</v>
      </c>
      <c r="Q98" s="46">
        <f t="shared" si="24"/>
        <v>33.218884120171673</v>
      </c>
      <c r="R98" s="46">
        <f>IFERROR(VLOOKUP(A98,'[2]MC Masterlist 2026-09-11'!$B:$M, 7, 0),0)</f>
        <v>45</v>
      </c>
      <c r="S98" s="46">
        <f>IFERROR(VLOOKUP(A98,'[2]MC Masterlist 2026-09-11'!$B:$M, 8, 0),0)</f>
        <v>30</v>
      </c>
      <c r="T98" s="46">
        <f t="shared" si="25"/>
        <v>75</v>
      </c>
      <c r="U98" s="46">
        <f t="shared" si="26"/>
        <v>60</v>
      </c>
      <c r="V98" s="46">
        <f>IFERROR(VLOOKUP(A98,'[2]MC Masterlist 2026-09-11'!$B:$L, 9, 0),0)</f>
        <v>90</v>
      </c>
      <c r="W98" s="46">
        <f t="shared" si="27"/>
        <v>77.666666666666671</v>
      </c>
      <c r="X98" s="46">
        <f t="shared" si="28"/>
        <v>194.16666666666669</v>
      </c>
      <c r="Y98" s="46">
        <f t="shared" si="29"/>
        <v>155.33333333333334</v>
      </c>
      <c r="Z98" s="46">
        <f t="shared" si="30"/>
        <v>233</v>
      </c>
      <c r="AA98" s="44" t="str">
        <f t="shared" si="31"/>
        <v>Re-order</v>
      </c>
      <c r="AB98" s="46">
        <f>IFERROR(VLOOKUP(A98,'[2]PO Balance'!$A:$C, 3, 0),0)</f>
        <v>239</v>
      </c>
      <c r="AC98" s="43"/>
      <c r="AD98" s="46">
        <f t="shared" si="32"/>
        <v>325</v>
      </c>
      <c r="AE98" s="46">
        <f t="shared" si="33"/>
        <v>125.53648068669527</v>
      </c>
      <c r="AF98" s="44" t="str">
        <f t="shared" si="34"/>
        <v>Over</v>
      </c>
      <c r="AG98" s="46">
        <f t="shared" si="35"/>
        <v>433.16666666666669</v>
      </c>
    </row>
    <row r="99" spans="1:33">
      <c r="A99" s="43" t="s">
        <v>64</v>
      </c>
      <c r="B99" s="44" t="str">
        <f>IFERROR(VLOOKUP(A99,'[2]Class ABC'!$A:$I, 9, 0),"")</f>
        <v>B7</v>
      </c>
      <c r="C99" s="44">
        <f>IFERROR(VLOOKUP(A99,'[2]Class ABC'!$A:$I, 6, 0),"")</f>
        <v>16</v>
      </c>
      <c r="D99" s="44" t="str">
        <f>IFERROR(CONCATENATE("Class ", VLOOKUP(A99,'[2]Class ABC'!$A:$I, 8, 0)),"Class C")</f>
        <v>Class B</v>
      </c>
      <c r="E99" s="43" t="str">
        <f>IFERROR(VLOOKUP(A99,'[2]MC Masterlist 2026-09-11'!$B:$M, 3, 0),"")</f>
        <v>HONDA</v>
      </c>
      <c r="F99" s="45">
        <f>IFERROR(VLOOKUP(A99,'[2]MC Masterlist 2026-09-11'!$B:$M, 6, 0),"")</f>
        <v>73170</v>
      </c>
      <c r="G99" s="46">
        <f>SUMIF('[2]Raw Sales'!$B:$B, A99, '[2]Raw Sales'!$I:$I)</f>
        <v>23</v>
      </c>
      <c r="H99" s="46">
        <f>SUMIF('[2]Raw Sales'!$B:$B, A99, '[2]Raw Sales'!$H:$H)</f>
        <v>57</v>
      </c>
      <c r="I99" s="46">
        <f>SUMIF('[2]Raw Sales'!$B:$B, A99, '[2]Raw Sales'!$G:$G)</f>
        <v>48</v>
      </c>
      <c r="J99" s="46">
        <f t="shared" si="18"/>
        <v>128</v>
      </c>
      <c r="K99" s="46">
        <f t="shared" si="19"/>
        <v>42.666666666666664</v>
      </c>
      <c r="L99" s="45">
        <f t="shared" si="20"/>
        <v>9365760</v>
      </c>
      <c r="M99" s="45">
        <f t="shared" si="21"/>
        <v>3121920</v>
      </c>
      <c r="N99" s="46">
        <f t="shared" si="22"/>
        <v>1.4222222222222223</v>
      </c>
      <c r="O99" s="46">
        <f>SUMIF('[2]Raw Inventory'!$B:$B, A99, '[2]Raw Inventory'!$D:$D)</f>
        <v>112</v>
      </c>
      <c r="P99" s="45">
        <f t="shared" si="23"/>
        <v>8195040</v>
      </c>
      <c r="Q99" s="46">
        <f t="shared" si="24"/>
        <v>78.75</v>
      </c>
      <c r="R99" s="46">
        <f>IFERROR(VLOOKUP(A99,'[2]MC Masterlist 2026-09-11'!$B:$M, 7, 0),0)</f>
        <v>45</v>
      </c>
      <c r="S99" s="46">
        <f>IFERROR(VLOOKUP(A99,'[2]MC Masterlist 2026-09-11'!$B:$M, 8, 0),0)</f>
        <v>30</v>
      </c>
      <c r="T99" s="46">
        <f t="shared" si="25"/>
        <v>75</v>
      </c>
      <c r="U99" s="46">
        <f t="shared" si="26"/>
        <v>60</v>
      </c>
      <c r="V99" s="46">
        <f>IFERROR(VLOOKUP(A99,'[2]MC Masterlist 2026-09-11'!$B:$L, 9, 0),0)</f>
        <v>90</v>
      </c>
      <c r="W99" s="46">
        <f t="shared" si="27"/>
        <v>42.666666666666671</v>
      </c>
      <c r="X99" s="46">
        <f t="shared" si="28"/>
        <v>106.66666666666667</v>
      </c>
      <c r="Y99" s="46">
        <f t="shared" si="29"/>
        <v>85.333333333333343</v>
      </c>
      <c r="Z99" s="46">
        <f t="shared" si="30"/>
        <v>128</v>
      </c>
      <c r="AA99" s="44" t="str">
        <f t="shared" si="31"/>
        <v/>
      </c>
      <c r="AB99" s="46">
        <f>IFERROR(VLOOKUP(A99,'[2]PO Balance'!$A:$C, 3, 0),0)</f>
        <v>90</v>
      </c>
      <c r="AC99" s="43"/>
      <c r="AD99" s="46">
        <f t="shared" si="32"/>
        <v>202</v>
      </c>
      <c r="AE99" s="46">
        <f t="shared" si="33"/>
        <v>142.03125</v>
      </c>
      <c r="AF99" s="44" t="str">
        <f t="shared" si="34"/>
        <v>Over</v>
      </c>
      <c r="AG99" s="46">
        <f t="shared" si="35"/>
        <v>196.66666666666669</v>
      </c>
    </row>
    <row r="100" spans="1:33">
      <c r="A100" s="43" t="s">
        <v>46</v>
      </c>
      <c r="B100" s="44" t="str">
        <f>IFERROR(VLOOKUP(A100,'[2]Class ABC'!$A:$I, 9, 0),"")</f>
        <v>B14</v>
      </c>
      <c r="C100" s="44">
        <f>IFERROR(VLOOKUP(A100,'[2]Class ABC'!$A:$I, 6, 0),"")</f>
        <v>23</v>
      </c>
      <c r="D100" s="44" t="str">
        <f>IFERROR(CONCATENATE("Class ", VLOOKUP(A100,'[2]Class ABC'!$A:$I, 8, 0)),"Class C")</f>
        <v>Class B</v>
      </c>
      <c r="E100" s="43" t="str">
        <f>IFERROR(VLOOKUP(A100,'[2]MC Masterlist 2026-09-11'!$B:$M, 3, 0),"")</f>
        <v>HONDA</v>
      </c>
      <c r="F100" s="45">
        <f>IFERROR(VLOOKUP(A100,'[2]MC Masterlist 2026-09-11'!$B:$M, 6, 0),"")</f>
        <v>73630</v>
      </c>
      <c r="G100" s="46">
        <f>SUMIF('[2]Raw Sales'!$B:$B, A100, '[2]Raw Sales'!$I:$I)</f>
        <v>18</v>
      </c>
      <c r="H100" s="46">
        <f>SUMIF('[2]Raw Sales'!$B:$B, A100, '[2]Raw Sales'!$H:$H)</f>
        <v>20</v>
      </c>
      <c r="I100" s="46">
        <f>SUMIF('[2]Raw Sales'!$B:$B, A100, '[2]Raw Sales'!$G:$G)</f>
        <v>23</v>
      </c>
      <c r="J100" s="46">
        <f t="shared" si="18"/>
        <v>61</v>
      </c>
      <c r="K100" s="46">
        <f t="shared" si="19"/>
        <v>20.333333333333332</v>
      </c>
      <c r="L100" s="45">
        <f t="shared" si="20"/>
        <v>4491430</v>
      </c>
      <c r="M100" s="45">
        <f t="shared" si="21"/>
        <v>1497143.3333333333</v>
      </c>
      <c r="N100" s="46">
        <f t="shared" si="22"/>
        <v>0.67777777777777781</v>
      </c>
      <c r="O100" s="46">
        <f>SUMIF('[2]Raw Inventory'!$B:$B, A100, '[2]Raw Inventory'!$D:$D)</f>
        <v>34</v>
      </c>
      <c r="P100" s="45">
        <f t="shared" si="23"/>
        <v>2503420</v>
      </c>
      <c r="Q100" s="46">
        <f t="shared" si="24"/>
        <v>50.16393442622951</v>
      </c>
      <c r="R100" s="46">
        <f>IFERROR(VLOOKUP(A100,'[2]MC Masterlist 2026-09-11'!$B:$M, 7, 0),0)</f>
        <v>45</v>
      </c>
      <c r="S100" s="46">
        <f>IFERROR(VLOOKUP(A100,'[2]MC Masterlist 2026-09-11'!$B:$M, 8, 0),0)</f>
        <v>30</v>
      </c>
      <c r="T100" s="46">
        <f t="shared" si="25"/>
        <v>75</v>
      </c>
      <c r="U100" s="46">
        <f t="shared" si="26"/>
        <v>60</v>
      </c>
      <c r="V100" s="46">
        <f>IFERROR(VLOOKUP(A100,'[2]MC Masterlist 2026-09-11'!$B:$L, 9, 0),0)</f>
        <v>90</v>
      </c>
      <c r="W100" s="46">
        <f t="shared" si="27"/>
        <v>20.333333333333336</v>
      </c>
      <c r="X100" s="46">
        <f t="shared" si="28"/>
        <v>50.833333333333336</v>
      </c>
      <c r="Y100" s="46">
        <f t="shared" si="29"/>
        <v>40.666666666666671</v>
      </c>
      <c r="Z100" s="46">
        <f t="shared" si="30"/>
        <v>61</v>
      </c>
      <c r="AA100" s="44" t="str">
        <f t="shared" si="31"/>
        <v>Re-order</v>
      </c>
      <c r="AB100" s="46">
        <f>IFERROR(VLOOKUP(A100,'[2]PO Balance'!$A:$C, 3, 0),0)</f>
        <v>115</v>
      </c>
      <c r="AC100" s="43"/>
      <c r="AD100" s="46">
        <f t="shared" si="32"/>
        <v>149</v>
      </c>
      <c r="AE100" s="46">
        <f t="shared" si="33"/>
        <v>219.83606557377047</v>
      </c>
      <c r="AF100" s="44" t="str">
        <f t="shared" si="34"/>
        <v>Over</v>
      </c>
      <c r="AG100" s="46">
        <f t="shared" si="35"/>
        <v>165.83333333333334</v>
      </c>
    </row>
    <row r="101" spans="1:33">
      <c r="A101" s="43" t="s">
        <v>52</v>
      </c>
      <c r="B101" s="44" t="str">
        <f>IFERROR(VLOOKUP(A101,'[2]Class ABC'!$A:$I, 9, 0),"")</f>
        <v>C1</v>
      </c>
      <c r="C101" s="44">
        <f>IFERROR(VLOOKUP(A101,'[2]Class ABC'!$A:$I, 6, 0),"")</f>
        <v>30</v>
      </c>
      <c r="D101" s="44" t="str">
        <f>IFERROR(CONCATENATE("Class ", VLOOKUP(A101,'[2]Class ABC'!$A:$I, 8, 0)),"Class C")</f>
        <v>Class C</v>
      </c>
      <c r="E101" s="43" t="str">
        <f>IFERROR(VLOOKUP(A101,'[2]MC Masterlist 2026-09-11'!$B:$M, 3, 0),"")</f>
        <v>YAMAHA</v>
      </c>
      <c r="F101" s="45">
        <f>IFERROR(VLOOKUP(A101,'[2]MC Masterlist 2026-09-11'!$B:$M, 6, 0),"")</f>
        <v>85446</v>
      </c>
      <c r="G101" s="46">
        <f>SUMIF('[2]Raw Sales'!$B:$B, A101, '[2]Raw Sales'!$I:$I)</f>
        <v>9</v>
      </c>
      <c r="H101" s="46">
        <f>SUMIF('[2]Raw Sales'!$B:$B, A101, '[2]Raw Sales'!$H:$H)</f>
        <v>15</v>
      </c>
      <c r="I101" s="46">
        <f>SUMIF('[2]Raw Sales'!$B:$B, A101, '[2]Raw Sales'!$G:$G)</f>
        <v>11</v>
      </c>
      <c r="J101" s="46">
        <f t="shared" si="18"/>
        <v>35</v>
      </c>
      <c r="K101" s="46">
        <f t="shared" si="19"/>
        <v>11.666666666666666</v>
      </c>
      <c r="L101" s="45">
        <f t="shared" si="20"/>
        <v>2990610</v>
      </c>
      <c r="M101" s="45">
        <f t="shared" si="21"/>
        <v>996870</v>
      </c>
      <c r="N101" s="46">
        <f t="shared" si="22"/>
        <v>0.3888888888888889</v>
      </c>
      <c r="O101" s="46">
        <f>SUMIF('[2]Raw Inventory'!$B:$B, A101, '[2]Raw Inventory'!$D:$D)</f>
        <v>35</v>
      </c>
      <c r="P101" s="45">
        <f t="shared" si="23"/>
        <v>2990610</v>
      </c>
      <c r="Q101" s="46">
        <f t="shared" si="24"/>
        <v>90</v>
      </c>
      <c r="R101" s="46">
        <f>IFERROR(VLOOKUP(A101,'[2]MC Masterlist 2026-09-11'!$B:$M, 7, 0),0)</f>
        <v>45</v>
      </c>
      <c r="S101" s="46">
        <f>IFERROR(VLOOKUP(A101,'[2]MC Masterlist 2026-09-11'!$B:$M, 8, 0),0)</f>
        <v>30</v>
      </c>
      <c r="T101" s="46">
        <f t="shared" si="25"/>
        <v>75</v>
      </c>
      <c r="U101" s="46">
        <f t="shared" si="26"/>
        <v>60</v>
      </c>
      <c r="V101" s="46">
        <f>IFERROR(VLOOKUP(A101,'[2]MC Masterlist 2026-09-11'!$B:$L, 9, 0),0)</f>
        <v>90</v>
      </c>
      <c r="W101" s="46">
        <f t="shared" si="27"/>
        <v>11.666666666666666</v>
      </c>
      <c r="X101" s="46">
        <f t="shared" si="28"/>
        <v>29.166666666666668</v>
      </c>
      <c r="Y101" s="46">
        <f t="shared" si="29"/>
        <v>23.333333333333332</v>
      </c>
      <c r="Z101" s="46">
        <f t="shared" si="30"/>
        <v>35</v>
      </c>
      <c r="AA101" s="44" t="str">
        <f t="shared" si="31"/>
        <v/>
      </c>
      <c r="AB101" s="46">
        <f>IFERROR(VLOOKUP(A101,'[2]PO Balance'!$A:$C, 3, 0),0)</f>
        <v>1</v>
      </c>
      <c r="AC101" s="43"/>
      <c r="AD101" s="46">
        <f t="shared" si="32"/>
        <v>36</v>
      </c>
      <c r="AE101" s="46">
        <f t="shared" si="33"/>
        <v>92.571428571428569</v>
      </c>
      <c r="AF101" s="44" t="str">
        <f t="shared" si="34"/>
        <v>Over</v>
      </c>
      <c r="AG101" s="46">
        <f t="shared" si="35"/>
        <v>30.166666666666668</v>
      </c>
    </row>
    <row r="102" spans="1:33">
      <c r="A102" s="43" t="s">
        <v>69</v>
      </c>
      <c r="B102" s="44" t="str">
        <f>IFERROR(VLOOKUP(A102,'[2]Class ABC'!$A:$I, 9, 0),"")</f>
        <v>C4</v>
      </c>
      <c r="C102" s="44">
        <f>IFERROR(VLOOKUP(A102,'[2]Class ABC'!$A:$I, 6, 0),"")</f>
        <v>33</v>
      </c>
      <c r="D102" s="44" t="str">
        <f>IFERROR(CONCATENATE("Class ", VLOOKUP(A102,'[2]Class ABC'!$A:$I, 8, 0)),"Class C")</f>
        <v>Class C</v>
      </c>
      <c r="E102" s="43" t="str">
        <f>IFERROR(VLOOKUP(A102,'[2]MC Masterlist 2026-09-11'!$B:$M, 3, 0),"")</f>
        <v>YAMAHA</v>
      </c>
      <c r="F102" s="45">
        <f>IFERROR(VLOOKUP(A102,'[2]MC Masterlist 2026-09-11'!$B:$M, 6, 0),"")</f>
        <v>54426</v>
      </c>
      <c r="G102" s="46">
        <f>SUMIF('[2]Raw Sales'!$B:$B, A102, '[2]Raw Sales'!$I:$I)</f>
        <v>12</v>
      </c>
      <c r="H102" s="46">
        <f>SUMIF('[2]Raw Sales'!$B:$B, A102, '[2]Raw Sales'!$H:$H)</f>
        <v>10</v>
      </c>
      <c r="I102" s="46">
        <f>SUMIF('[2]Raw Sales'!$B:$B, A102, '[2]Raw Sales'!$G:$G)</f>
        <v>17</v>
      </c>
      <c r="J102" s="46">
        <f t="shared" si="18"/>
        <v>39</v>
      </c>
      <c r="K102" s="46">
        <f t="shared" si="19"/>
        <v>13</v>
      </c>
      <c r="L102" s="45">
        <f t="shared" si="20"/>
        <v>2122614</v>
      </c>
      <c r="M102" s="45">
        <f t="shared" si="21"/>
        <v>707538</v>
      </c>
      <c r="N102" s="46">
        <f t="shared" si="22"/>
        <v>0.43333333333333335</v>
      </c>
      <c r="O102" s="46">
        <f>SUMIF('[2]Raw Inventory'!$B:$B, A102, '[2]Raw Inventory'!$D:$D)</f>
        <v>27</v>
      </c>
      <c r="P102" s="45">
        <f t="shared" si="23"/>
        <v>1469502</v>
      </c>
      <c r="Q102" s="46">
        <f t="shared" si="24"/>
        <v>62.307692307692314</v>
      </c>
      <c r="R102" s="46">
        <f>IFERROR(VLOOKUP(A102,'[2]MC Masterlist 2026-09-11'!$B:$M, 7, 0),0)</f>
        <v>45</v>
      </c>
      <c r="S102" s="46">
        <f>IFERROR(VLOOKUP(A102,'[2]MC Masterlist 2026-09-11'!$B:$M, 8, 0),0)</f>
        <v>30</v>
      </c>
      <c r="T102" s="46">
        <f t="shared" si="25"/>
        <v>75</v>
      </c>
      <c r="U102" s="46">
        <f t="shared" si="26"/>
        <v>60</v>
      </c>
      <c r="V102" s="46">
        <f>IFERROR(VLOOKUP(A102,'[2]MC Masterlist 2026-09-11'!$B:$L, 9, 0),0)</f>
        <v>90</v>
      </c>
      <c r="W102" s="46">
        <f t="shared" si="27"/>
        <v>13</v>
      </c>
      <c r="X102" s="46">
        <f t="shared" si="28"/>
        <v>32.5</v>
      </c>
      <c r="Y102" s="46">
        <f t="shared" si="29"/>
        <v>26</v>
      </c>
      <c r="Z102" s="46">
        <f t="shared" si="30"/>
        <v>39</v>
      </c>
      <c r="AA102" s="44" t="str">
        <f t="shared" si="31"/>
        <v>Re-order</v>
      </c>
      <c r="AB102" s="46">
        <f>IFERROR(VLOOKUP(A102,'[2]PO Balance'!$A:$C, 3, 0),0)</f>
        <v>18</v>
      </c>
      <c r="AC102" s="43"/>
      <c r="AD102" s="46">
        <f t="shared" si="32"/>
        <v>45</v>
      </c>
      <c r="AE102" s="46">
        <f t="shared" si="33"/>
        <v>103.84615384615384</v>
      </c>
      <c r="AF102" s="44" t="str">
        <f t="shared" si="34"/>
        <v>Over</v>
      </c>
      <c r="AG102" s="46">
        <f t="shared" si="35"/>
        <v>50.5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</vt:lpstr>
      <vt:lpstr>KPI_YTD_Input</vt:lpstr>
      <vt:lpstr>KPI_WEEKLY_Input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 Winston</dc:creator>
  <cp:lastModifiedBy>karl winston torres</cp:lastModifiedBy>
  <dcterms:created xsi:type="dcterms:W3CDTF">2026-09-05T09:47:25Z</dcterms:created>
  <dcterms:modified xsi:type="dcterms:W3CDTF">2026-09-13T09:04:44Z</dcterms:modified>
</cp:coreProperties>
</file>